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pnc-my.sharepoint.com/personal/joseph_renner_pnc_com/Documents/2)Personal/Budget project/Official Template/"/>
    </mc:Choice>
  </mc:AlternateContent>
  <xr:revisionPtr revIDLastSave="0" documentId="8_{21FAB867-50AD-4C2D-B58E-FF5732C9CD88}" xr6:coauthVersionLast="47" xr6:coauthVersionMax="47" xr10:uidLastSave="{00000000-0000-0000-0000-000000000000}"/>
  <bookViews>
    <workbookView xWindow="-120" yWindow="-120" windowWidth="29040" windowHeight="15720" tabRatio="835" activeTab="3" xr2:uid="{F9DC1E2F-F7C0-46EC-90BE-4297CF8B5056}"/>
  </bookViews>
  <sheets>
    <sheet name="README" sheetId="14" r:id="rId1"/>
    <sheet name="SUMMARIES→" sheetId="19" r:id="rId2"/>
    <sheet name="Actions" sheetId="52" r:id="rId3"/>
    <sheet name="NTM" sheetId="5" r:id="rId4"/>
    <sheet name="Balances" sheetId="50" r:id="rId5"/>
    <sheet name="Archive" sheetId="46" r:id="rId6"/>
    <sheet name="WORKING→" sheetId="18" r:id="rId7"/>
    <sheet name="Assets" sheetId="34" r:id="rId8"/>
    <sheet name="Credit Cards" sheetId="20" r:id="rId9"/>
    <sheet name="Loans" sheetId="15" r:id="rId10"/>
    <sheet name="Loyalty Points &amp; Miles" sheetId="38" r:id="rId11"/>
    <sheet name="Recurring" sheetId="8" r:id="rId12"/>
    <sheet name="Precedents" sheetId="31" r:id="rId13"/>
    <sheet name="Changes" sheetId="23" r:id="rId14"/>
    <sheet name="Planned" sheetId="4" r:id="rId15"/>
    <sheet name="Blanket" sheetId="30" r:id="rId16"/>
    <sheet name="AD HOC→" sheetId="17" r:id="rId17"/>
    <sheet name="HELPERS→" sheetId="41" r:id="rId18"/>
    <sheet name="Paydays list" sheetId="24" r:id="rId19"/>
    <sheet name="Points Values" sheetId="12" r:id="rId20"/>
    <sheet name="Categorized Inputs" sheetId="32" r:id="rId21"/>
    <sheet name="Data Validation" sheetId="55" r:id="rId22"/>
  </sheets>
  <definedNames>
    <definedName name="_xlnm._FilterDatabase" localSheetId="7" hidden="1">Assets!$B$3:$G$17</definedName>
    <definedName name="_xlnm._FilterDatabase" localSheetId="8" hidden="1">'Credit Cards'!$B$3:$I$6</definedName>
    <definedName name="_xlnm._FilterDatabase" localSheetId="9" hidden="1">Loans!$B$3:$G$5</definedName>
    <definedName name="_xlnm._FilterDatabase" localSheetId="10" hidden="1">'Loyalty Points &amp; Miles'!$B$3:$G$7</definedName>
    <definedName name="_xlnm._FilterDatabase" localSheetId="14" hidden="1">Planned!$B$3:$F$5</definedName>
    <definedName name="_xlnm._FilterDatabase" localSheetId="11" hidden="1">Recurring!$B$3:$G$24</definedName>
    <definedName name="_xlpm.a" hidden="1" xlm="1">#NAME?</definedName>
    <definedName name="_xlpm.an" hidden="1" xlm="1">#NAME?</definedName>
    <definedName name="_xlpm.ann" hidden="1" xlm="1">#NAME?</definedName>
    <definedName name="_xlpm.annu" hidden="1" xlm="1">#NAME?</definedName>
    <definedName name="_xlpm.annua" hidden="1" xlm="1">#NAME?</definedName>
    <definedName name="_xlpm.annual" hidden="1" xlm="1">#NAME?</definedName>
    <definedName name="_xlpm.annuall" hidden="1" xlm="1">#NAME?</definedName>
    <definedName name="_xlpm.annually" hidden="1" xlm="1">#NAME?</definedName>
    <definedName name="_xlpm.b" hidden="1" xlm="1">#NAME?</definedName>
    <definedName name="_xlpm.bi" hidden="1" xlm="1">#NAME?</definedName>
    <definedName name="_xlpm.biw" hidden="1" xlm="1">#NAME?</definedName>
    <definedName name="_xlpm.biwe" hidden="1" xlm="1">#NAME?</definedName>
    <definedName name="_xlpm.biwee" hidden="1" xlm="1">#NAME?</definedName>
    <definedName name="_xlpm.biweek" hidden="1" xlm="1">#NAME?</definedName>
    <definedName name="_xlpm.biweekl" hidden="1" xlm="1">#NAME?</definedName>
    <definedName name="_xlpm.biweekly" hidden="1" xlm="1">#NAME?</definedName>
    <definedName name="_xlpm.change" hidden="1" xlm="1">#NAME?</definedName>
    <definedName name="_xlpm.cmonthly_card_payment" hidden="1" xlm="1">#NAME?</definedName>
    <definedName name="_xlpm.cumonthly_card_payment" hidden="1" xlm="1">#NAME?</definedName>
    <definedName name="_xlpm.curmonthly_card_payment" hidden="1" xlm="1">#NAME?</definedName>
    <definedName name="_xlpm.curremonthly_card_payment" hidden="1" xlm="1">#NAME?</definedName>
    <definedName name="_xlpm.currenmonthly_card_payment" hidden="1" xlm="1">#NAME?</definedName>
    <definedName name="_xlpm.current" hidden="1" xlm="1">#NAME?</definedName>
    <definedName name="_xlpm.current__card_payment" hidden="1" xlm="1">#NAME?</definedName>
    <definedName name="_xlpm.current_card_payment" hidden="1" xlm="1">#NAME?</definedName>
    <definedName name="_xlpm.current_h_card_payment" hidden="1" xlm="1">#NAME?</definedName>
    <definedName name="_xlpm.current_month_card_payment" hidden="1" xlm="1">#NAME?</definedName>
    <definedName name="_xlpm.current_monthly_card_payment" hidden="1" xlm="1">#NAME?</definedName>
    <definedName name="_xlpm.current_monthy_card_payment" hidden="1" xlm="1">#NAME?</definedName>
    <definedName name="_xlpm.current_nth_card_payment" hidden="1" xlm="1">#NAME?</definedName>
    <definedName name="_xlpm.current_onth_card_payment" hidden="1" xlm="1">#NAME?</definedName>
    <definedName name="_xlpm.current_th_card_payment" hidden="1" xlm="1">#NAME?</definedName>
    <definedName name="_xlpm.currentmonthly_card_payment" hidden="1" xlm="1">#NAME?</definedName>
    <definedName name="_xlpm.currmonthly_card_payment" hidden="1" xlm="1">#NAME?</definedName>
    <definedName name="_xlpm.daily" hidden="1" xlm="1">#NAME?</definedName>
    <definedName name="_xlpm.Date" hidden="1" xlm="1">#NAME?</definedName>
    <definedName name="_xlpm.f" hidden="1" xlm="1">#NAME?</definedName>
    <definedName name="_xlpm.Factor" hidden="1" xlm="1">#NAME?</definedName>
    <definedName name="_xlpm.fr" hidden="1" xlm="1">#NAME?</definedName>
    <definedName name="_xlpm.fri" hidden="1" xlm="1">#NAME?</definedName>
    <definedName name="_xlpm.frid" hidden="1" xlm="1">#NAME?</definedName>
    <definedName name="_xlpm.frida" hidden="1" xlm="1">#NAME?</definedName>
    <definedName name="_xlpm.friday" hidden="1" xlm="1">#NAME?</definedName>
    <definedName name="_xlpm.fridays" hidden="1" xlm="1">#NAME?</definedName>
    <definedName name="_xlpm.l" hidden="1" xlm="1">#NAME?</definedName>
    <definedName name="_xlpm.LineItem" hidden="1" xlm="1">#NAME?</definedName>
    <definedName name="_xlpm.LineItemType" hidden="1" xlm="1">#NAME?</definedName>
    <definedName name="_xlpm.lo" hidden="1" xlm="1">#NAME?</definedName>
    <definedName name="_xlpm.loa" hidden="1" xlm="1">#NAME?</definedName>
    <definedName name="_xlpm.loan" hidden="1" xlm="1">#NAME?</definedName>
    <definedName name="_xlpm.m" hidden="1" xlm="1">#NAME?</definedName>
    <definedName name="_xlpm.mo" hidden="1" xlm="1">#NAME?</definedName>
    <definedName name="_xlpm.mon" hidden="1" xlm="1">#NAME?</definedName>
    <definedName name="_xlpm.mond" hidden="1" xlm="1">#NAME?</definedName>
    <definedName name="_xlpm.monda" hidden="1" xlm="1">#NAME?</definedName>
    <definedName name="_xlpm.monday" hidden="1" xlm="1">#NAME?</definedName>
    <definedName name="_xlpm.mondays" hidden="1" xlm="1">#NAME?</definedName>
    <definedName name="_xlpm.mont" hidden="1" xlm="1">#NAME?</definedName>
    <definedName name="_xlpm.month" hidden="1" xlm="1">#NAME?</definedName>
    <definedName name="_xlpm.monthl" hidden="1" xlm="1">#NAME?</definedName>
    <definedName name="_xlpm.monthly" hidden="1" xlm="1">#NAME?</definedName>
    <definedName name="_xlpm.monthly_card_payment" hidden="1" xlm="1">#NAME?</definedName>
    <definedName name="_xlpm.n_card_payment" hidden="1" xlm="1">#NAME?</definedName>
    <definedName name="_xlpm.ne_card_payment" hidden="1" xlm="1">#NAME?</definedName>
    <definedName name="_xlpm.nex_card_payment" hidden="1" xlm="1">#NAME?</definedName>
    <definedName name="_xlpm.next_card_payment" hidden="1" xlm="1">#NAME?</definedName>
    <definedName name="_xlpm.paydays" hidden="1" xlm="1">#NAME?</definedName>
    <definedName name="_xlpm.planned" hidden="1" xlm="1">#NAME?</definedName>
    <definedName name="_xlpm.r" hidden="1" xlm="1">#NAME?</definedName>
    <definedName name="_xlpm.re" hidden="1" xlm="1">#NAME?</definedName>
    <definedName name="_xlpm.rec" hidden="1" xlm="1">#NAME?</definedName>
    <definedName name="_xlpm.recu" hidden="1" xlm="1">#NAME?</definedName>
    <definedName name="_xlpm.recurrance" hidden="1" xlm="1">#NAME?</definedName>
    <definedName name="_xlpm.s" hidden="1" xlm="1">#NAME?</definedName>
    <definedName name="_xlpm.saturdays" hidden="1" xlm="1">#NAME?</definedName>
    <definedName name="_xlpm.su" hidden="1" xlm="1">#NAME?</definedName>
    <definedName name="_xlpm.sun" hidden="1" xlm="1">#NAME?</definedName>
    <definedName name="_xlpm.sund" hidden="1" xlm="1">#NAME?</definedName>
    <definedName name="_xlpm.sunda" hidden="1" xlm="1">#NAME?</definedName>
    <definedName name="_xlpm.sunday" hidden="1" xlm="1">#NAME?</definedName>
    <definedName name="_xlpm.sundays" hidden="1" xlm="1">#NAME?</definedName>
    <definedName name="_xlpm.T" hidden="1" xlm="1">#NAME?</definedName>
    <definedName name="_xlpm.th" hidden="1" xlm="1">#NAME?</definedName>
    <definedName name="_xlpm.thu" hidden="1" xlm="1">#NAME?</definedName>
    <definedName name="_xlpm.thur" hidden="1" xlm="1">#NAME?</definedName>
    <definedName name="_xlpm.thurs" hidden="1" xlm="1">#NAME?</definedName>
    <definedName name="_xlpm.thursd" hidden="1" xlm="1">#NAME?</definedName>
    <definedName name="_xlpm.thursda" hidden="1" xlm="1">#NAME?</definedName>
    <definedName name="_xlpm.thursday" hidden="1" xlm="1">#NAME?</definedName>
    <definedName name="_xlpm.thursdays" hidden="1" xlm="1">#NAME?</definedName>
    <definedName name="_xlpm.tu" hidden="1" xlm="1">#NAME?</definedName>
    <definedName name="_xlpm.tue" hidden="1" xlm="1">#NAME?</definedName>
    <definedName name="_xlpm.tues" hidden="1" xlm="1">#NAME?</definedName>
    <definedName name="_xlpm.tuesd" hidden="1" xlm="1">#NAME?</definedName>
    <definedName name="_xlpm.tuesda" hidden="1" xlm="1">#NAME?</definedName>
    <definedName name="_xlpm.tuesday" hidden="1" xlm="1">#NAME?</definedName>
    <definedName name="_xlpm.tuesdays" hidden="1" xlm="1">#NAME?</definedName>
    <definedName name="_xlpm.Type" hidden="1" xlm="1">#NAME?</definedName>
    <definedName name="_xlpm.w" hidden="1" xlm="1">#NAME?</definedName>
    <definedName name="_xlpm.we" hidden="1" xlm="1">#NAME?</definedName>
    <definedName name="_xlpm.wed" hidden="1" xlm="1">#NAME?</definedName>
    <definedName name="_xlpm.wedn" hidden="1" xlm="1">#NAME?</definedName>
    <definedName name="_xlpm.wedne" hidden="1" xlm="1">#NAME?</definedName>
    <definedName name="_xlpm.wednes" hidden="1" xlm="1">#NAME?</definedName>
    <definedName name="_xlpm.wednesd" hidden="1" xlm="1">#NAME?</definedName>
    <definedName name="_xlpm.wednesda" hidden="1" xlm="1">#NAME?</definedName>
    <definedName name="_xlpm.wednesday" hidden="1" xlm="1">#NAME?</definedName>
    <definedName name="_xlpm.wednesdays" hidden="1" xlm="1">#NAME?</definedName>
    <definedName name="_xlpm.wee" hidden="1" xlm="1">#NAME?</definedName>
    <definedName name="_xlpm.week" hidden="1" xlm="1">#NAME?</definedName>
    <definedName name="_xlpm.weekdays" hidden="1" xlm="1">#NAME?</definedName>
    <definedName name="_xlpm.weekl" hidden="1" xlm="1">#NAME?</definedName>
    <definedName name="_xlpm.weekly" hidden="1" xlm="1">#NAME?</definedName>
    <definedName name="FactorLookup">_xlfn.LAMBDA(_xlpm.Type,_xlpm.T,VLOOKUP(_xlpm.Type,NTM!$B$122:$N$131,_xlpm.T+1,FALSE))</definedName>
    <definedName name="IQ_CH">110000</definedName>
    <definedName name="IQ_CQ">5000</definedName>
    <definedName name="IQ_CY">10000</definedName>
    <definedName name="IQ_DAILY">500000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NTM">6000</definedName>
    <definedName name="IQ_TODAY" hidden="1">0</definedName>
    <definedName name="IQ_WEEK">50000</definedName>
    <definedName name="IQ_YTD">3000</definedName>
    <definedName name="IQ_YTDMONTH" hidden="1">130000</definedName>
    <definedName name="RecurringAnnual">_xlfn.LAMBDA(_xlpm.LineItem,_xlpm.Date,SUMIFS(Recurring!$D:$D,Recurring!$B:$B,_xlpm.LineItem,Recurring!$E:$E,"Annually",Recurring!$G:$G,"&gt;="&amp;_xlpm.Date,Recurring!$G:$G,"&lt;="&amp;EOMONTH(_xlpm.Date,0))+SUMIFS(Changes!$F:$F,Changes!$B:$B,_xlpm.LineItem,Changes!$D:$D,"&lt;="&amp;_xlpm.Date,Changes!$E:$E,"Annually"))</definedName>
    <definedName name="RecurringFactorBased">_xlfn.LAMBDA(_xlpm.LineItem,_xlpm.Type,_xlpm.Date,_xlpm.T,(SUMIFS(Recurring!$D:$D,Recurring!$B:$B,_xlpm.LineItem,Recurring!$E:$E,_xlpm.Type)+SUMIFS(Changes!$F:$F,Changes!$B:$B,_xlpm.LineItem,Changes!$D:$D,"&lt;="&amp;_xlpm.Date,Changes!$E:$E,_xlpm.Type))*VLOOKUP(_xlpm.Type,NTM!$B$122:$N$131,_xlpm.T+1,FALSE))</definedName>
    <definedName name="RecurringMonthly">_xlfn.LAMBDA(_xlpm.LineItem,_xlpm.Date,IF(_xlpm.Date=TODAY(),SUMIFS(Recurring!$D:$D,Recurring!$B:$B,_xlpm.LineItem,Recurring!$E:$E,"Monthly",Recurring!$G:$G,"&gt;="&amp;_xlpm.Date),SUMIFS(Recurring!$D:$D,Recurring!$B:$B,_xlpm.LineItem,Recurring!$E:$E,"Monthly"))+SUMIFS(Changes!$F:$F,Changes!$B:$B,_xlpm.LineItem,Changes!$D:$D,"&lt;="&amp;_xlpm.Date,Changes!$E:$E,"Monthly"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0" i="8" l="1"/>
  <c r="G20" i="8" s="1"/>
  <c r="G5" i="8"/>
  <c r="G4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1" i="8"/>
  <c r="G22" i="8"/>
  <c r="G23" i="8"/>
  <c r="G24" i="8"/>
  <c r="G25" i="8"/>
  <c r="G28" i="8"/>
  <c r="E9" i="4"/>
  <c r="G9" i="4" s="1"/>
  <c r="E4" i="4"/>
  <c r="E7" i="4"/>
  <c r="G7" i="4" s="1"/>
  <c r="E11" i="4"/>
  <c r="G11" i="4" s="1"/>
  <c r="E10" i="4"/>
  <c r="G10" i="4" s="1"/>
  <c r="E8" i="4"/>
  <c r="G8" i="4" s="1"/>
  <c r="F5" i="20"/>
  <c r="F6" i="20"/>
  <c r="F4" i="20"/>
  <c r="B3" i="24"/>
  <c r="G1" i="55" l="1" a="1"/>
  <c r="G1" i="55" s="1"/>
  <c r="F1" i="55" a="1"/>
  <c r="F1" i="55" s="1"/>
  <c r="D1" i="55" a="1"/>
  <c r="D1" i="55" s="1"/>
  <c r="B1" i="55" a="1"/>
  <c r="B1" i="55" s="1"/>
  <c r="A1" i="55" a="1"/>
  <c r="A1" i="55" s="1"/>
  <c r="C3" i="52" l="1"/>
  <c r="C4" i="52" s="1"/>
  <c r="C8" i="52"/>
  <c r="C9" i="50"/>
  <c r="C15" i="50"/>
  <c r="C14" i="50"/>
  <c r="C10" i="50"/>
  <c r="C4" i="46"/>
  <c r="C5" i="52" l="1"/>
  <c r="C6" i="52" s="1"/>
  <c r="C9" i="52" s="1"/>
  <c r="C17" i="50"/>
  <c r="E4" i="46"/>
  <c r="B6" i="34" l="1"/>
  <c r="B12" i="34"/>
  <c r="B13" i="34"/>
  <c r="B14" i="34"/>
  <c r="B15" i="34"/>
  <c r="B17" i="34"/>
  <c r="B5" i="34"/>
  <c r="B7" i="34"/>
  <c r="B9" i="34"/>
  <c r="B10" i="34"/>
  <c r="B11" i="34"/>
  <c r="B8" i="34"/>
  <c r="B16" i="34"/>
  <c r="B4" i="34"/>
  <c r="E6" i="4"/>
  <c r="G6" i="4" s="1"/>
  <c r="F6" i="4" l="1"/>
  <c r="F5" i="15" l="1"/>
  <c r="G5" i="15" s="1"/>
  <c r="F6" i="38"/>
  <c r="G6" i="38" s="1"/>
  <c r="F7" i="38"/>
  <c r="G7" i="38" s="1"/>
  <c r="G4" i="15"/>
  <c r="G5" i="20"/>
  <c r="H5" i="20" s="1"/>
  <c r="I5" i="20" s="1"/>
  <c r="H6" i="20"/>
  <c r="I6" i="20" s="1"/>
  <c r="H4" i="20"/>
  <c r="C17" i="30" l="1"/>
  <c r="C16" i="30"/>
  <c r="D119" i="5"/>
  <c r="E119" i="5" s="1"/>
  <c r="F119" i="5" s="1"/>
  <c r="G119" i="5" s="1"/>
  <c r="H119" i="5" s="1"/>
  <c r="I119" i="5" s="1"/>
  <c r="J119" i="5" s="1"/>
  <c r="K119" i="5" s="1"/>
  <c r="L119" i="5" s="1"/>
  <c r="M119" i="5" s="1"/>
  <c r="N119" i="5" s="1"/>
  <c r="F5" i="38"/>
  <c r="G5" i="38" s="1"/>
  <c r="F4" i="38"/>
  <c r="G4" i="4"/>
  <c r="G6" i="23"/>
  <c r="G5" i="23"/>
  <c r="B98" i="5"/>
  <c r="G4" i="38" l="1"/>
  <c r="C7" i="50" s="1"/>
  <c r="C102" i="5" s="1"/>
  <c r="D102" i="5" s="1"/>
  <c r="E102" i="5" s="1"/>
  <c r="F102" i="5" s="1"/>
  <c r="G102" i="5" s="1"/>
  <c r="H102" i="5" s="1"/>
  <c r="I102" i="5" s="1"/>
  <c r="J102" i="5" s="1"/>
  <c r="K102" i="5" s="1"/>
  <c r="L102" i="5" s="1"/>
  <c r="M102" i="5" s="1"/>
  <c r="N102" i="5" s="1"/>
  <c r="D7" i="50" s="1"/>
  <c r="C6" i="50"/>
  <c r="E5" i="4"/>
  <c r="G5" i="4" s="1"/>
  <c r="I4" i="20"/>
  <c r="C12" i="50" l="1"/>
  <c r="C19" i="50" s="1"/>
  <c r="G4" i="46" s="1"/>
  <c r="D4" i="46"/>
  <c r="F4" i="46" s="1"/>
  <c r="B4" i="24"/>
  <c r="B5" i="24" s="1"/>
  <c r="B6" i="24" s="1"/>
  <c r="B7" i="24" s="1"/>
  <c r="B8" i="24" s="1"/>
  <c r="B9" i="24" s="1"/>
  <c r="B10" i="24" s="1"/>
  <c r="B11" i="24" s="1"/>
  <c r="B12" i="24" s="1"/>
  <c r="B13" i="24" s="1"/>
  <c r="B14" i="24" s="1"/>
  <c r="B15" i="24" s="1"/>
  <c r="B16" i="24" s="1"/>
  <c r="B17" i="24" s="1"/>
  <c r="B18" i="24" s="1"/>
  <c r="B19" i="24" s="1"/>
  <c r="B20" i="24" s="1"/>
  <c r="B21" i="24" s="1"/>
  <c r="B22" i="24" s="1"/>
  <c r="B23" i="24" s="1"/>
  <c r="B24" i="24" s="1"/>
  <c r="B25" i="24" s="1"/>
  <c r="B26" i="24" s="1"/>
  <c r="B27" i="24" s="1"/>
  <c r="B28" i="24" s="1"/>
  <c r="B29" i="24" s="1"/>
  <c r="B30" i="24" s="1"/>
  <c r="B31" i="24" s="1"/>
  <c r="B32" i="24" s="1"/>
  <c r="B33" i="24" s="1"/>
  <c r="B34" i="24" s="1"/>
  <c r="B35" i="24" s="1"/>
  <c r="B36" i="24" s="1"/>
  <c r="B37" i="24" s="1"/>
  <c r="B38" i="24" s="1"/>
  <c r="B39" i="24" s="1"/>
  <c r="B40" i="24" s="1"/>
  <c r="B41" i="24" s="1"/>
  <c r="B42" i="24" s="1"/>
  <c r="B43" i="24" s="1"/>
  <c r="B44" i="24" s="1"/>
  <c r="B45" i="24" s="1"/>
  <c r="B46" i="24" s="1"/>
  <c r="B47" i="24" s="1"/>
  <c r="B48" i="24" s="1"/>
  <c r="B49" i="24" s="1"/>
  <c r="B50" i="24" s="1"/>
  <c r="B51" i="24" s="1"/>
  <c r="B52" i="24" s="1"/>
  <c r="B53" i="24" s="1"/>
  <c r="B54" i="24" s="1"/>
  <c r="B55" i="24" s="1"/>
  <c r="B56" i="24" s="1"/>
  <c r="B57" i="24" s="1"/>
  <c r="B58" i="24" s="1"/>
  <c r="B59" i="24" s="1"/>
  <c r="B60" i="24" s="1"/>
  <c r="B61" i="24" s="1"/>
  <c r="B62" i="24" s="1"/>
  <c r="B63" i="24" s="1"/>
  <c r="B64" i="24" s="1"/>
  <c r="B65" i="24" s="1"/>
  <c r="B66" i="24" s="1"/>
  <c r="B67" i="24" s="1"/>
  <c r="B68" i="24" s="1"/>
  <c r="B69" i="24" s="1"/>
  <c r="B70" i="24" s="1"/>
  <c r="B71" i="24" s="1"/>
  <c r="B72" i="24" s="1"/>
  <c r="B73" i="24" s="1"/>
  <c r="B74" i="24" s="1"/>
  <c r="B75" i="24" s="1"/>
  <c r="B76" i="24" s="1"/>
  <c r="B77" i="24" s="1"/>
  <c r="B78" i="24" s="1"/>
  <c r="B79" i="24" s="1"/>
  <c r="B80" i="24" s="1"/>
  <c r="B81" i="24" s="1"/>
  <c r="B82" i="24" s="1"/>
  <c r="B83" i="24" s="1"/>
  <c r="B84" i="24" s="1"/>
  <c r="B85" i="24" s="1"/>
  <c r="B86" i="24" s="1"/>
  <c r="B87" i="24" s="1"/>
  <c r="B88" i="24" s="1"/>
  <c r="B89" i="24" s="1"/>
  <c r="B90" i="24" s="1"/>
  <c r="B91" i="24" s="1"/>
  <c r="C3" i="24"/>
  <c r="B2" i="24"/>
  <c r="D2" i="24" s="1"/>
  <c r="D3" i="24"/>
  <c r="C2" i="24" l="1"/>
  <c r="C4" i="24"/>
  <c r="D4" i="24"/>
  <c r="D5" i="24"/>
  <c r="C5" i="24"/>
  <c r="C6" i="24" l="1"/>
  <c r="D6" i="24"/>
  <c r="D7" i="24" l="1"/>
  <c r="C7" i="24"/>
  <c r="D8" i="24" l="1"/>
  <c r="C8" i="24"/>
  <c r="D9" i="24" l="1"/>
  <c r="C9" i="24"/>
  <c r="D10" i="24" l="1"/>
  <c r="C10" i="24"/>
  <c r="D11" i="24" l="1"/>
  <c r="C11" i="24"/>
  <c r="D12" i="24" l="1"/>
  <c r="C12" i="24"/>
  <c r="D13" i="24" l="1"/>
  <c r="C13" i="24"/>
  <c r="D14" i="24" l="1"/>
  <c r="C14" i="24"/>
  <c r="D15" i="24" l="1"/>
  <c r="C15" i="24"/>
  <c r="D16" i="24" l="1"/>
  <c r="C16" i="24"/>
  <c r="D17" i="24" l="1"/>
  <c r="C17" i="24"/>
  <c r="D18" i="24" l="1"/>
  <c r="C18" i="24"/>
  <c r="D19" i="24" l="1"/>
  <c r="C19" i="24"/>
  <c r="D20" i="24" l="1"/>
  <c r="C20" i="24"/>
  <c r="D21" i="24" l="1"/>
  <c r="C21" i="24"/>
  <c r="C22" i="24" l="1"/>
  <c r="D22" i="24"/>
  <c r="D23" i="24" l="1"/>
  <c r="C23" i="24"/>
  <c r="D24" i="24" l="1"/>
  <c r="C24" i="24"/>
  <c r="D25" i="24" l="1"/>
  <c r="C25" i="24"/>
  <c r="D26" i="24" l="1"/>
  <c r="C26" i="24"/>
  <c r="D27" i="24" l="1"/>
  <c r="C27" i="24"/>
  <c r="D28" i="24" l="1"/>
  <c r="C28" i="24"/>
  <c r="D29" i="24" l="1"/>
  <c r="C29" i="24"/>
  <c r="D30" i="24" l="1"/>
  <c r="C30" i="24"/>
  <c r="D31" i="24" l="1"/>
  <c r="C31" i="24"/>
  <c r="D32" i="24" l="1"/>
  <c r="C32" i="24"/>
  <c r="D33" i="24" l="1"/>
  <c r="C33" i="24"/>
  <c r="D34" i="24" l="1"/>
  <c r="C34" i="24"/>
  <c r="D35" i="24" l="1"/>
  <c r="C35" i="24"/>
  <c r="D36" i="24" l="1"/>
  <c r="C36" i="24"/>
  <c r="D37" i="24" l="1"/>
  <c r="C37" i="24"/>
  <c r="C38" i="24" l="1"/>
  <c r="D38" i="24"/>
  <c r="D39" i="24" l="1"/>
  <c r="C39" i="24"/>
  <c r="D40" i="24" l="1"/>
  <c r="C40" i="24"/>
  <c r="D41" i="24" l="1"/>
  <c r="C41" i="24"/>
  <c r="D42" i="24" l="1"/>
  <c r="C42" i="24"/>
  <c r="D43" i="24" l="1"/>
  <c r="C43" i="24"/>
  <c r="D44" i="24" l="1"/>
  <c r="C44" i="24"/>
  <c r="D45" i="24" l="1"/>
  <c r="C45" i="24"/>
  <c r="D46" i="24" l="1"/>
  <c r="C46" i="24"/>
  <c r="D47" i="24" l="1"/>
  <c r="C47" i="24"/>
  <c r="D48" i="24" l="1"/>
  <c r="C48" i="24"/>
  <c r="D49" i="24" l="1"/>
  <c r="C49" i="24"/>
  <c r="D50" i="24" l="1"/>
  <c r="C50" i="24"/>
  <c r="D51" i="24" l="1"/>
  <c r="C51" i="24"/>
  <c r="D52" i="24" l="1"/>
  <c r="C52" i="24"/>
  <c r="D53" i="24" l="1"/>
  <c r="C53" i="24"/>
  <c r="C54" i="24" l="1"/>
  <c r="D54" i="24"/>
  <c r="D55" i="24" l="1"/>
  <c r="C55" i="24"/>
  <c r="D56" i="24" l="1"/>
  <c r="C56" i="24"/>
  <c r="D57" i="24" l="1"/>
  <c r="C57" i="24"/>
  <c r="D58" i="24" l="1"/>
  <c r="C58" i="24"/>
  <c r="D59" i="24" l="1"/>
  <c r="C59" i="24"/>
  <c r="D60" i="24" l="1"/>
  <c r="C60" i="24"/>
  <c r="D61" i="24" l="1"/>
  <c r="C61" i="24"/>
  <c r="D62" i="24" l="1"/>
  <c r="C62" i="24"/>
  <c r="D63" i="24" l="1"/>
  <c r="C63" i="24"/>
  <c r="D64" i="24" l="1"/>
  <c r="C64" i="24"/>
  <c r="D65" i="24" l="1"/>
  <c r="C65" i="24"/>
  <c r="D66" i="24" l="1"/>
  <c r="C66" i="24"/>
  <c r="D67" i="24" l="1"/>
  <c r="C67" i="24"/>
  <c r="D68" i="24" l="1"/>
  <c r="C68" i="24"/>
  <c r="D69" i="24" l="1"/>
  <c r="C69" i="24"/>
  <c r="C70" i="24" l="1"/>
  <c r="D70" i="24"/>
  <c r="D71" i="24" l="1"/>
  <c r="C71" i="24"/>
  <c r="D72" i="24" l="1"/>
  <c r="C72" i="24"/>
  <c r="D73" i="24" l="1"/>
  <c r="C73" i="24"/>
  <c r="D74" i="24" l="1"/>
  <c r="C74" i="24"/>
  <c r="D75" i="24" l="1"/>
  <c r="C75" i="24"/>
  <c r="D76" i="24" l="1"/>
  <c r="C76" i="24"/>
  <c r="D77" i="24" l="1"/>
  <c r="C77" i="24"/>
  <c r="D78" i="24" l="1"/>
  <c r="C78" i="24"/>
  <c r="D79" i="24" l="1"/>
  <c r="C79" i="24"/>
  <c r="D80" i="24" l="1"/>
  <c r="C80" i="24"/>
  <c r="D81" i="24" l="1"/>
  <c r="C81" i="24"/>
  <c r="D82" i="24" l="1"/>
  <c r="C82" i="24"/>
  <c r="D83" i="24" l="1"/>
  <c r="C83" i="24"/>
  <c r="D84" i="24" l="1"/>
  <c r="C84" i="24"/>
  <c r="D85" i="24" l="1"/>
  <c r="C85" i="24"/>
  <c r="C86" i="24" l="1"/>
  <c r="D86" i="24"/>
  <c r="D87" i="24" l="1"/>
  <c r="C87" i="24"/>
  <c r="D88" i="24" l="1"/>
  <c r="C88" i="24"/>
  <c r="D89" i="24" l="1"/>
  <c r="C89" i="24"/>
  <c r="D90" i="24" l="1"/>
  <c r="C90" i="24"/>
  <c r="D91" i="24" l="1"/>
  <c r="C91" i="24"/>
  <c r="B85" i="5" l="1"/>
  <c r="B79" i="5"/>
  <c r="B73" i="5"/>
  <c r="B47" i="5"/>
  <c r="C4" i="5"/>
  <c r="C131" i="5" l="1"/>
  <c r="C130" i="5"/>
  <c r="C129" i="5"/>
  <c r="C128" i="5"/>
  <c r="C127" i="5"/>
  <c r="C126" i="5"/>
  <c r="C125" i="5"/>
  <c r="C82" i="5"/>
  <c r="C124" i="5"/>
  <c r="C123" i="5"/>
  <c r="C122" i="5"/>
  <c r="C27" i="5" s="1" a="1"/>
  <c r="C27" i="5" s="1"/>
  <c r="D4" i="5"/>
  <c r="C77" i="5" l="1" a="1"/>
  <c r="C77" i="5" s="1"/>
  <c r="C76" i="5" a="1"/>
  <c r="C76" i="5" s="1"/>
  <c r="C68" i="5" a="1"/>
  <c r="C68" i="5" s="1"/>
  <c r="C70" i="5" a="1"/>
  <c r="C70" i="5" s="1"/>
  <c r="C69" i="5" a="1"/>
  <c r="C69" i="5" s="1"/>
  <c r="C71" i="5" a="1"/>
  <c r="C71" i="5" s="1"/>
  <c r="C67" i="5" a="1"/>
  <c r="C67" i="5" s="1"/>
  <c r="C58" i="5" a="1"/>
  <c r="C58" i="5" s="1"/>
  <c r="C59" i="5" a="1"/>
  <c r="C59" i="5" s="1"/>
  <c r="C61" i="5" a="1"/>
  <c r="C61" i="5" s="1"/>
  <c r="C60" i="5" a="1"/>
  <c r="C60" i="5" s="1"/>
  <c r="C62" i="5" a="1"/>
  <c r="C62" i="5" s="1"/>
  <c r="C42" i="5" a="1"/>
  <c r="C42" i="5" s="1"/>
  <c r="C44" i="5" a="1"/>
  <c r="C44" i="5" s="1"/>
  <c r="C43" i="5" a="1"/>
  <c r="C43" i="5" s="1"/>
  <c r="C45" i="5" a="1"/>
  <c r="C45" i="5" s="1"/>
  <c r="C35" i="5" a="1"/>
  <c r="C35" i="5" s="1"/>
  <c r="C26" i="5" a="1"/>
  <c r="C26" i="5" s="1"/>
  <c r="C25" i="5" a="1"/>
  <c r="C25" i="5" s="1"/>
  <c r="D129" i="5"/>
  <c r="D126" i="5"/>
  <c r="D127" i="5"/>
  <c r="D131" i="5"/>
  <c r="D125" i="5"/>
  <c r="D130" i="5"/>
  <c r="D128" i="5"/>
  <c r="D82" i="5"/>
  <c r="C109" i="5"/>
  <c r="C83" i="5"/>
  <c r="C110" i="5" s="1"/>
  <c r="D124" i="5"/>
  <c r="D123" i="5"/>
  <c r="D122" i="5"/>
  <c r="E4" i="5"/>
  <c r="D77" i="5" l="1" a="1"/>
  <c r="D77" i="5" s="1"/>
  <c r="D76" i="5" a="1"/>
  <c r="D76" i="5" s="1"/>
  <c r="D71" i="5" a="1"/>
  <c r="D71" i="5" s="1"/>
  <c r="D68" i="5" a="1"/>
  <c r="D68" i="5" s="1"/>
  <c r="D70" i="5" a="1"/>
  <c r="D70" i="5" s="1"/>
  <c r="D69" i="5" a="1"/>
  <c r="D69" i="5" s="1"/>
  <c r="D67" i="5" a="1"/>
  <c r="D67" i="5" s="1"/>
  <c r="D43" i="5" a="1"/>
  <c r="D43" i="5" s="1"/>
  <c r="D59" i="5" a="1"/>
  <c r="D59" i="5" s="1"/>
  <c r="D61" i="5" a="1"/>
  <c r="D61" i="5" s="1"/>
  <c r="D60" i="5" a="1"/>
  <c r="D60" i="5" s="1"/>
  <c r="D62" i="5" a="1"/>
  <c r="D62" i="5" s="1"/>
  <c r="D58" i="5" a="1"/>
  <c r="D58" i="5" s="1"/>
  <c r="D44" i="5" a="1"/>
  <c r="D44" i="5" s="1"/>
  <c r="D35" i="5" a="1"/>
  <c r="D35" i="5" s="1"/>
  <c r="D45" i="5" a="1"/>
  <c r="D45" i="5" s="1"/>
  <c r="D42" i="5" a="1"/>
  <c r="D42" i="5" s="1"/>
  <c r="D25" i="5" a="1"/>
  <c r="D25" i="5" s="1"/>
  <c r="D27" i="5" a="1"/>
  <c r="D27" i="5" s="1"/>
  <c r="D26" i="5" a="1"/>
  <c r="D26" i="5" s="1"/>
  <c r="C104" i="5"/>
  <c r="C47" i="5"/>
  <c r="C64" i="5"/>
  <c r="E126" i="5"/>
  <c r="E130" i="5"/>
  <c r="E127" i="5"/>
  <c r="E131" i="5"/>
  <c r="E128" i="5"/>
  <c r="E125" i="5"/>
  <c r="E129" i="5"/>
  <c r="C32" i="5"/>
  <c r="C34" i="5"/>
  <c r="C33" i="5"/>
  <c r="C96" i="5"/>
  <c r="E82" i="5"/>
  <c r="D109" i="5"/>
  <c r="D83" i="5"/>
  <c r="E83" i="5" s="1"/>
  <c r="C112" i="5"/>
  <c r="E124" i="5"/>
  <c r="E123" i="5"/>
  <c r="E122" i="5"/>
  <c r="F4" i="5"/>
  <c r="E77" i="5" l="1" a="1"/>
  <c r="E77" i="5" s="1"/>
  <c r="E76" i="5" a="1"/>
  <c r="E76" i="5" s="1"/>
  <c r="E62" i="5" a="1"/>
  <c r="E62" i="5" s="1"/>
  <c r="E67" i="5" a="1"/>
  <c r="E67" i="5" s="1"/>
  <c r="E70" i="5" a="1"/>
  <c r="E70" i="5" s="1"/>
  <c r="E68" i="5" a="1"/>
  <c r="E68" i="5" s="1"/>
  <c r="E69" i="5" a="1"/>
  <c r="E69" i="5" s="1"/>
  <c r="E71" i="5" a="1"/>
  <c r="E71" i="5" s="1"/>
  <c r="E61" i="5" a="1"/>
  <c r="E61" i="5" s="1"/>
  <c r="E59" i="5" a="1"/>
  <c r="E59" i="5" s="1"/>
  <c r="E60" i="5" a="1"/>
  <c r="E60" i="5" s="1"/>
  <c r="E45" i="5" a="1"/>
  <c r="E45" i="5" s="1"/>
  <c r="E58" i="5" a="1"/>
  <c r="E58" i="5" s="1"/>
  <c r="E44" i="5" a="1"/>
  <c r="E44" i="5" s="1"/>
  <c r="E42" i="5" a="1"/>
  <c r="E42" i="5" s="1"/>
  <c r="E43" i="5" a="1"/>
  <c r="E43" i="5" s="1"/>
  <c r="E26" i="5" a="1"/>
  <c r="E26" i="5" s="1"/>
  <c r="E35" i="5" a="1"/>
  <c r="E35" i="5" s="1"/>
  <c r="E27" i="5" a="1"/>
  <c r="E27" i="5" s="1"/>
  <c r="E25" i="5" a="1"/>
  <c r="E25" i="5" s="1"/>
  <c r="C79" i="5"/>
  <c r="D104" i="5"/>
  <c r="F127" i="5"/>
  <c r="F128" i="5"/>
  <c r="F131" i="5"/>
  <c r="F125" i="5"/>
  <c r="F130" i="5"/>
  <c r="F129" i="5"/>
  <c r="F126" i="5"/>
  <c r="D32" i="5"/>
  <c r="D34" i="5"/>
  <c r="D33" i="5"/>
  <c r="D96" i="5"/>
  <c r="F82" i="5"/>
  <c r="E109" i="5"/>
  <c r="C85" i="5"/>
  <c r="D79" i="5"/>
  <c r="D64" i="5"/>
  <c r="F124" i="5"/>
  <c r="F123" i="5"/>
  <c r="F122" i="5"/>
  <c r="G4" i="5"/>
  <c r="F77" i="5" l="1" a="1"/>
  <c r="F77" i="5" s="1"/>
  <c r="F76" i="5" a="1"/>
  <c r="F76" i="5" s="1"/>
  <c r="F62" i="5" a="1"/>
  <c r="F62" i="5" s="1"/>
  <c r="F68" i="5" a="1"/>
  <c r="F68" i="5" s="1"/>
  <c r="F70" i="5" a="1"/>
  <c r="F70" i="5" s="1"/>
  <c r="F69" i="5" a="1"/>
  <c r="F69" i="5" s="1"/>
  <c r="F71" i="5" a="1"/>
  <c r="F71" i="5" s="1"/>
  <c r="F67" i="5" a="1"/>
  <c r="F67" i="5" s="1"/>
  <c r="F59" i="5" a="1"/>
  <c r="F59" i="5" s="1"/>
  <c r="F61" i="5" a="1"/>
  <c r="F61" i="5" s="1"/>
  <c r="F58" i="5" a="1"/>
  <c r="F58" i="5" s="1"/>
  <c r="F60" i="5" a="1"/>
  <c r="F60" i="5" s="1"/>
  <c r="F35" i="5" a="1"/>
  <c r="F35" i="5" s="1"/>
  <c r="F44" i="5" a="1"/>
  <c r="F44" i="5" s="1"/>
  <c r="F42" i="5" a="1"/>
  <c r="F42" i="5" s="1"/>
  <c r="F43" i="5" a="1"/>
  <c r="F43" i="5" s="1"/>
  <c r="F45" i="5" a="1"/>
  <c r="F45" i="5" s="1"/>
  <c r="F25" i="5" a="1"/>
  <c r="F25" i="5" s="1"/>
  <c r="F27" i="5" a="1"/>
  <c r="F27" i="5" s="1"/>
  <c r="F26" i="5" a="1"/>
  <c r="F26" i="5" s="1"/>
  <c r="E104" i="5"/>
  <c r="G130" i="5"/>
  <c r="G125" i="5"/>
  <c r="G131" i="5"/>
  <c r="G128" i="5"/>
  <c r="G129" i="5"/>
  <c r="G127" i="5"/>
  <c r="G126" i="5"/>
  <c r="E32" i="5"/>
  <c r="E34" i="5"/>
  <c r="E33" i="5"/>
  <c r="E96" i="5"/>
  <c r="G82" i="5"/>
  <c r="F109" i="5"/>
  <c r="E79" i="5"/>
  <c r="E64" i="5"/>
  <c r="G124" i="5"/>
  <c r="G123" i="5"/>
  <c r="G122" i="5"/>
  <c r="H4" i="5"/>
  <c r="G76" i="5" l="1" a="1"/>
  <c r="G76" i="5" s="1"/>
  <c r="G104" i="5" s="1"/>
  <c r="F104" i="5"/>
  <c r="G77" i="5" a="1"/>
  <c r="G77" i="5" s="1"/>
  <c r="G68" i="5" a="1"/>
  <c r="G68" i="5" s="1"/>
  <c r="G67" i="5" a="1"/>
  <c r="G67" i="5" s="1"/>
  <c r="G69" i="5" a="1"/>
  <c r="G69" i="5" s="1"/>
  <c r="G71" i="5" a="1"/>
  <c r="G71" i="5" s="1"/>
  <c r="G70" i="5" a="1"/>
  <c r="G70" i="5" s="1"/>
  <c r="G44" i="5" a="1"/>
  <c r="G44" i="5" s="1"/>
  <c r="G62" i="5" a="1"/>
  <c r="G62" i="5" s="1"/>
  <c r="G60" i="5" a="1"/>
  <c r="G60" i="5" s="1"/>
  <c r="G58" i="5" a="1"/>
  <c r="G58" i="5" s="1"/>
  <c r="G61" i="5" a="1"/>
  <c r="G61" i="5" s="1"/>
  <c r="G59" i="5" a="1"/>
  <c r="G59" i="5" s="1"/>
  <c r="G43" i="5" a="1"/>
  <c r="G43" i="5" s="1"/>
  <c r="G45" i="5" a="1"/>
  <c r="G45" i="5" s="1"/>
  <c r="G42" i="5" a="1"/>
  <c r="G42" i="5" s="1"/>
  <c r="G26" i="5" a="1"/>
  <c r="G26" i="5" s="1"/>
  <c r="G35" i="5" a="1"/>
  <c r="G35" i="5" s="1"/>
  <c r="G27" i="5" a="1"/>
  <c r="G27" i="5" s="1"/>
  <c r="G25" i="5" a="1"/>
  <c r="G25" i="5" s="1"/>
  <c r="H130" i="5"/>
  <c r="H127" i="5"/>
  <c r="H131" i="5"/>
  <c r="H128" i="5"/>
  <c r="H125" i="5"/>
  <c r="H129" i="5"/>
  <c r="H126" i="5"/>
  <c r="F32" i="5"/>
  <c r="F34" i="5"/>
  <c r="F33" i="5"/>
  <c r="F96" i="5"/>
  <c r="H82" i="5"/>
  <c r="G109" i="5"/>
  <c r="F79" i="5"/>
  <c r="F64" i="5"/>
  <c r="H124" i="5"/>
  <c r="H123" i="5"/>
  <c r="H122" i="5"/>
  <c r="I4" i="5"/>
  <c r="H76" i="5" l="1" a="1"/>
  <c r="H76" i="5" s="1"/>
  <c r="H104" i="5" s="1"/>
  <c r="H77" i="5" a="1"/>
  <c r="H77" i="5" s="1"/>
  <c r="H68" i="5" a="1"/>
  <c r="H68" i="5" s="1"/>
  <c r="H69" i="5" a="1"/>
  <c r="H69" i="5" s="1"/>
  <c r="H71" i="5" a="1"/>
  <c r="H71" i="5" s="1"/>
  <c r="H67" i="5" a="1"/>
  <c r="H67" i="5" s="1"/>
  <c r="H70" i="5" a="1"/>
  <c r="H70" i="5" s="1"/>
  <c r="H44" i="5" a="1"/>
  <c r="H44" i="5" s="1"/>
  <c r="H60" i="5" a="1"/>
  <c r="H60" i="5" s="1"/>
  <c r="H62" i="5" a="1"/>
  <c r="H62" i="5" s="1"/>
  <c r="H58" i="5" a="1"/>
  <c r="H58" i="5" s="1"/>
  <c r="H59" i="5" a="1"/>
  <c r="H59" i="5" s="1"/>
  <c r="H61" i="5" a="1"/>
  <c r="H61" i="5" s="1"/>
  <c r="H45" i="5" a="1"/>
  <c r="H45" i="5" s="1"/>
  <c r="H43" i="5" a="1"/>
  <c r="H43" i="5" s="1"/>
  <c r="H42" i="5" a="1"/>
  <c r="H42" i="5" s="1"/>
  <c r="H27" i="5" a="1"/>
  <c r="H27" i="5" s="1"/>
  <c r="H35" i="5" a="1"/>
  <c r="H35" i="5" s="1"/>
  <c r="H26" i="5" a="1"/>
  <c r="H26" i="5" s="1"/>
  <c r="H25" i="5" a="1"/>
  <c r="H25" i="5" s="1"/>
  <c r="I130" i="5"/>
  <c r="I127" i="5"/>
  <c r="I131" i="5"/>
  <c r="I128" i="5"/>
  <c r="I125" i="5"/>
  <c r="I126" i="5"/>
  <c r="I129" i="5"/>
  <c r="G33" i="5"/>
  <c r="G32" i="5"/>
  <c r="G34" i="5"/>
  <c r="G96" i="5"/>
  <c r="I82" i="5"/>
  <c r="H109" i="5"/>
  <c r="G79" i="5"/>
  <c r="G64" i="5"/>
  <c r="I124" i="5"/>
  <c r="I123" i="5"/>
  <c r="I122" i="5"/>
  <c r="I25" i="5" s="1" a="1"/>
  <c r="I25" i="5" s="1"/>
  <c r="J4" i="5"/>
  <c r="I76" i="5" l="1" a="1"/>
  <c r="I76" i="5" s="1"/>
  <c r="I104" i="5" s="1"/>
  <c r="I77" i="5" a="1"/>
  <c r="I77" i="5" s="1"/>
  <c r="I69" i="5" a="1"/>
  <c r="I69" i="5" s="1"/>
  <c r="I60" i="5" a="1"/>
  <c r="I60" i="5" s="1"/>
  <c r="I71" i="5" a="1"/>
  <c r="I71" i="5" s="1"/>
  <c r="I68" i="5" a="1"/>
  <c r="I68" i="5" s="1"/>
  <c r="I67" i="5" a="1"/>
  <c r="I67" i="5" s="1"/>
  <c r="I70" i="5" a="1"/>
  <c r="I70" i="5" s="1"/>
  <c r="I62" i="5" a="1"/>
  <c r="I62" i="5" s="1"/>
  <c r="I44" i="5" a="1"/>
  <c r="I44" i="5" s="1"/>
  <c r="I58" i="5" a="1"/>
  <c r="I58" i="5" s="1"/>
  <c r="I61" i="5" a="1"/>
  <c r="I61" i="5" s="1"/>
  <c r="I59" i="5" a="1"/>
  <c r="I59" i="5" s="1"/>
  <c r="I45" i="5" a="1"/>
  <c r="I45" i="5" s="1"/>
  <c r="I43" i="5" a="1"/>
  <c r="I43" i="5" s="1"/>
  <c r="I42" i="5" a="1"/>
  <c r="I42" i="5" s="1"/>
  <c r="I27" i="5" a="1"/>
  <c r="I27" i="5" s="1"/>
  <c r="I35" i="5" a="1"/>
  <c r="I35" i="5" s="1"/>
  <c r="I26" i="5" a="1"/>
  <c r="I26" i="5" s="1"/>
  <c r="J127" i="5"/>
  <c r="J128" i="5"/>
  <c r="J131" i="5"/>
  <c r="J125" i="5"/>
  <c r="J129" i="5"/>
  <c r="J126" i="5"/>
  <c r="J130" i="5"/>
  <c r="H33" i="5"/>
  <c r="H32" i="5"/>
  <c r="H34" i="5"/>
  <c r="H96" i="5"/>
  <c r="J82" i="5"/>
  <c r="I109" i="5"/>
  <c r="H79" i="5"/>
  <c r="H64" i="5"/>
  <c r="J124" i="5"/>
  <c r="J123" i="5"/>
  <c r="J122" i="5"/>
  <c r="J60" i="5" s="1" a="1"/>
  <c r="J60" i="5" s="1"/>
  <c r="K4" i="5"/>
  <c r="J76" i="5" l="1" a="1"/>
  <c r="J76" i="5" s="1"/>
  <c r="J104" i="5" s="1"/>
  <c r="J77" i="5" a="1"/>
  <c r="J77" i="5" s="1"/>
  <c r="J62" i="5" a="1"/>
  <c r="J62" i="5" s="1"/>
  <c r="J67" i="5" a="1"/>
  <c r="J67" i="5" s="1"/>
  <c r="J71" i="5" a="1"/>
  <c r="J71" i="5" s="1"/>
  <c r="J69" i="5" a="1"/>
  <c r="J69" i="5" s="1"/>
  <c r="J68" i="5" a="1"/>
  <c r="J68" i="5" s="1"/>
  <c r="J70" i="5" a="1"/>
  <c r="J70" i="5" s="1"/>
  <c r="J44" i="5" a="1"/>
  <c r="J44" i="5" s="1"/>
  <c r="J58" i="5" a="1"/>
  <c r="J58" i="5" s="1"/>
  <c r="J61" i="5" a="1"/>
  <c r="J61" i="5" s="1"/>
  <c r="J59" i="5" a="1"/>
  <c r="J59" i="5" s="1"/>
  <c r="J42" i="5" a="1"/>
  <c r="J42" i="5" s="1"/>
  <c r="J45" i="5" a="1"/>
  <c r="J45" i="5" s="1"/>
  <c r="J43" i="5" a="1"/>
  <c r="J43" i="5" s="1"/>
  <c r="J27" i="5" a="1"/>
  <c r="J27" i="5" s="1"/>
  <c r="J35" i="5" a="1"/>
  <c r="J35" i="5" s="1"/>
  <c r="J26" i="5" a="1"/>
  <c r="J26" i="5" s="1"/>
  <c r="J25" i="5" a="1"/>
  <c r="J25" i="5" s="1"/>
  <c r="K125" i="5"/>
  <c r="K128" i="5"/>
  <c r="K126" i="5"/>
  <c r="K127" i="5"/>
  <c r="K131" i="5"/>
  <c r="K130" i="5"/>
  <c r="K129" i="5"/>
  <c r="I33" i="5"/>
  <c r="I32" i="5"/>
  <c r="I34" i="5"/>
  <c r="I96" i="5"/>
  <c r="K82" i="5"/>
  <c r="J109" i="5"/>
  <c r="I79" i="5"/>
  <c r="I64" i="5"/>
  <c r="K124" i="5"/>
  <c r="K123" i="5"/>
  <c r="K122" i="5"/>
  <c r="K62" i="5" s="1" a="1"/>
  <c r="K62" i="5" s="1"/>
  <c r="L4" i="5"/>
  <c r="K76" i="5" l="1" a="1"/>
  <c r="K76" i="5" s="1"/>
  <c r="K104" i="5" s="1"/>
  <c r="K77" i="5" a="1"/>
  <c r="K77" i="5" s="1"/>
  <c r="K59" i="5" a="1"/>
  <c r="K59" i="5" s="1"/>
  <c r="K68" i="5" a="1"/>
  <c r="K68" i="5" s="1"/>
  <c r="K67" i="5" a="1"/>
  <c r="K67" i="5" s="1"/>
  <c r="K70" i="5" a="1"/>
  <c r="K70" i="5" s="1"/>
  <c r="K71" i="5" a="1"/>
  <c r="K71" i="5" s="1"/>
  <c r="K69" i="5" a="1"/>
  <c r="K69" i="5" s="1"/>
  <c r="K61" i="5" a="1"/>
  <c r="K61" i="5" s="1"/>
  <c r="K43" i="5" a="1"/>
  <c r="K43" i="5" s="1"/>
  <c r="K58" i="5" a="1"/>
  <c r="K58" i="5" s="1"/>
  <c r="K60" i="5" a="1"/>
  <c r="K60" i="5" s="1"/>
  <c r="K42" i="5" a="1"/>
  <c r="K42" i="5" s="1"/>
  <c r="K44" i="5" a="1"/>
  <c r="K44" i="5" s="1"/>
  <c r="K45" i="5" a="1"/>
  <c r="K45" i="5" s="1"/>
  <c r="K26" i="5" a="1"/>
  <c r="K26" i="5" s="1"/>
  <c r="K35" i="5" a="1"/>
  <c r="K35" i="5" s="1"/>
  <c r="K27" i="5" a="1"/>
  <c r="K27" i="5" s="1"/>
  <c r="K25" i="5" a="1"/>
  <c r="K25" i="5" s="1"/>
  <c r="L131" i="5"/>
  <c r="L125" i="5"/>
  <c r="L126" i="5"/>
  <c r="L129" i="5"/>
  <c r="L130" i="5"/>
  <c r="L128" i="5"/>
  <c r="L127" i="5"/>
  <c r="J33" i="5"/>
  <c r="J32" i="5"/>
  <c r="J34" i="5"/>
  <c r="J96" i="5"/>
  <c r="L82" i="5"/>
  <c r="K109" i="5"/>
  <c r="J79" i="5"/>
  <c r="J64" i="5"/>
  <c r="L124" i="5"/>
  <c r="L123" i="5"/>
  <c r="L122" i="5"/>
  <c r="L59" i="5" s="1" a="1"/>
  <c r="L59" i="5" s="1"/>
  <c r="M4" i="5"/>
  <c r="L77" i="5" l="1" a="1"/>
  <c r="L77" i="5" s="1"/>
  <c r="L76" i="5" a="1"/>
  <c r="L76" i="5" s="1"/>
  <c r="L104" i="5" s="1"/>
  <c r="L69" i="5" a="1"/>
  <c r="L69" i="5" s="1"/>
  <c r="L68" i="5" a="1"/>
  <c r="L68" i="5" s="1"/>
  <c r="L70" i="5" a="1"/>
  <c r="L70" i="5" s="1"/>
  <c r="L67" i="5" a="1"/>
  <c r="L67" i="5" s="1"/>
  <c r="L71" i="5" a="1"/>
  <c r="L71" i="5" s="1"/>
  <c r="L45" i="5" a="1"/>
  <c r="L45" i="5" s="1"/>
  <c r="L61" i="5" a="1"/>
  <c r="L61" i="5" s="1"/>
  <c r="L58" i="5" a="1"/>
  <c r="L58" i="5" s="1"/>
  <c r="L62" i="5" a="1"/>
  <c r="L62" i="5" s="1"/>
  <c r="L60" i="5" a="1"/>
  <c r="L60" i="5" s="1"/>
  <c r="L42" i="5" a="1"/>
  <c r="L42" i="5" s="1"/>
  <c r="L44" i="5" a="1"/>
  <c r="L44" i="5" s="1"/>
  <c r="L43" i="5" a="1"/>
  <c r="L43" i="5" s="1"/>
  <c r="L27" i="5" a="1"/>
  <c r="L27" i="5" s="1"/>
  <c r="L35" i="5" a="1"/>
  <c r="L35" i="5" s="1"/>
  <c r="L26" i="5" a="1"/>
  <c r="L26" i="5" s="1"/>
  <c r="L25" i="5" a="1"/>
  <c r="L25" i="5" s="1"/>
  <c r="M131" i="5"/>
  <c r="M128" i="5"/>
  <c r="M129" i="5"/>
  <c r="M126" i="5"/>
  <c r="M130" i="5"/>
  <c r="M127" i="5"/>
  <c r="M125" i="5"/>
  <c r="K34" i="5"/>
  <c r="K33" i="5"/>
  <c r="K32" i="5"/>
  <c r="K96" i="5"/>
  <c r="M82" i="5"/>
  <c r="L109" i="5"/>
  <c r="K79" i="5"/>
  <c r="K64" i="5"/>
  <c r="M124" i="5"/>
  <c r="M123" i="5"/>
  <c r="M122" i="5"/>
  <c r="M60" i="5" s="1" a="1"/>
  <c r="M60" i="5" s="1"/>
  <c r="N4" i="5"/>
  <c r="M77" i="5" l="1" a="1"/>
  <c r="M77" i="5" s="1"/>
  <c r="M76" i="5" a="1"/>
  <c r="M76" i="5" s="1"/>
  <c r="M104" i="5" s="1"/>
  <c r="M62" i="5" a="1"/>
  <c r="M62" i="5" s="1"/>
  <c r="M67" i="5" a="1"/>
  <c r="M67" i="5" s="1"/>
  <c r="M68" i="5" a="1"/>
  <c r="M68" i="5" s="1"/>
  <c r="M70" i="5" a="1"/>
  <c r="M70" i="5" s="1"/>
  <c r="M69" i="5" a="1"/>
  <c r="M69" i="5" s="1"/>
  <c r="M71" i="5" a="1"/>
  <c r="M71" i="5" s="1"/>
  <c r="M59" i="5" a="1"/>
  <c r="M59" i="5" s="1"/>
  <c r="M61" i="5" a="1"/>
  <c r="M61" i="5" s="1"/>
  <c r="M58" i="5" a="1"/>
  <c r="M58" i="5" s="1"/>
  <c r="M35" i="5" a="1"/>
  <c r="M35" i="5" s="1"/>
  <c r="M42" i="5" a="1"/>
  <c r="M42" i="5" s="1"/>
  <c r="M44" i="5" a="1"/>
  <c r="M44" i="5" s="1"/>
  <c r="M43" i="5" a="1"/>
  <c r="M43" i="5" s="1"/>
  <c r="M45" i="5" a="1"/>
  <c r="M45" i="5" s="1"/>
  <c r="M25" i="5" a="1"/>
  <c r="M25" i="5" s="1"/>
  <c r="M27" i="5" a="1"/>
  <c r="M27" i="5" s="1"/>
  <c r="M26" i="5" a="1"/>
  <c r="M26" i="5" s="1"/>
  <c r="N131" i="5"/>
  <c r="N128" i="5"/>
  <c r="N125" i="5"/>
  <c r="N126" i="5"/>
  <c r="N129" i="5"/>
  <c r="N130" i="5"/>
  <c r="N127" i="5"/>
  <c r="L34" i="5"/>
  <c r="L33" i="5"/>
  <c r="L32" i="5"/>
  <c r="L96" i="5"/>
  <c r="N82" i="5"/>
  <c r="M109" i="5"/>
  <c r="L79" i="5"/>
  <c r="L64" i="5"/>
  <c r="N124" i="5"/>
  <c r="N123" i="5"/>
  <c r="N122" i="5"/>
  <c r="N70" i="5" s="1" a="1"/>
  <c r="N70" i="5" s="1"/>
  <c r="N77" i="5" l="1" a="1"/>
  <c r="N77" i="5" s="1"/>
  <c r="N76" i="5" a="1"/>
  <c r="N76" i="5" s="1"/>
  <c r="N104" i="5" s="1"/>
  <c r="D9" i="50" s="1"/>
  <c r="N68" i="5" a="1"/>
  <c r="N68" i="5" s="1"/>
  <c r="N62" i="5" a="1"/>
  <c r="N62" i="5" s="1"/>
  <c r="N67" i="5" a="1"/>
  <c r="N67" i="5" s="1"/>
  <c r="N69" i="5" a="1"/>
  <c r="N69" i="5" s="1"/>
  <c r="N71" i="5" a="1"/>
  <c r="N71" i="5" s="1"/>
  <c r="N59" i="5" a="1"/>
  <c r="N59" i="5" s="1"/>
  <c r="N61" i="5" a="1"/>
  <c r="N61" i="5" s="1"/>
  <c r="N58" i="5" a="1"/>
  <c r="N58" i="5" s="1"/>
  <c r="N60" i="5" a="1"/>
  <c r="N60" i="5" s="1"/>
  <c r="N35" i="5" a="1"/>
  <c r="N35" i="5" s="1"/>
  <c r="N44" i="5" a="1"/>
  <c r="N44" i="5" s="1"/>
  <c r="N42" i="5" a="1"/>
  <c r="N42" i="5" s="1"/>
  <c r="N45" i="5" a="1"/>
  <c r="N45" i="5" s="1"/>
  <c r="N43" i="5" a="1"/>
  <c r="N43" i="5" s="1"/>
  <c r="N25" i="5" a="1"/>
  <c r="N25" i="5" s="1"/>
  <c r="N27" i="5" a="1"/>
  <c r="N27" i="5" s="1"/>
  <c r="P27" i="5" s="1"/>
  <c r="N26" i="5" a="1"/>
  <c r="N26" i="5" s="1"/>
  <c r="M34" i="5"/>
  <c r="M33" i="5"/>
  <c r="M32" i="5"/>
  <c r="M96" i="5"/>
  <c r="N109" i="5"/>
  <c r="P124" i="5"/>
  <c r="M79" i="5"/>
  <c r="M64" i="5"/>
  <c r="N34" i="5" l="1"/>
  <c r="N33" i="5"/>
  <c r="N32" i="5"/>
  <c r="N96" i="5"/>
  <c r="D14" i="50"/>
  <c r="P67" i="5"/>
  <c r="P68" i="5"/>
  <c r="P71" i="5"/>
  <c r="P69" i="5"/>
  <c r="P60" i="5"/>
  <c r="P62" i="5"/>
  <c r="P64" i="5" s="1"/>
  <c r="P61" i="5"/>
  <c r="P59" i="5"/>
  <c r="P43" i="5"/>
  <c r="P45" i="5"/>
  <c r="P42" i="5"/>
  <c r="P44" i="5"/>
  <c r="N79" i="5"/>
  <c r="P82" i="5"/>
  <c r="N64" i="5"/>
  <c r="P58" i="5"/>
  <c r="P73" i="5" l="1"/>
  <c r="M47" i="5"/>
  <c r="E47" i="5"/>
  <c r="F47" i="5"/>
  <c r="K47" i="5"/>
  <c r="I47" i="5"/>
  <c r="P77" i="5"/>
  <c r="H47" i="5"/>
  <c r="J47" i="5"/>
  <c r="P76" i="5"/>
  <c r="L47" i="5"/>
  <c r="N47" i="5"/>
  <c r="P25" i="5"/>
  <c r="D47" i="5"/>
  <c r="G47" i="5"/>
  <c r="P79" i="5" l="1"/>
  <c r="P47" i="5" l="1"/>
  <c r="P122" i="5" l="1"/>
  <c r="C118" i="5" l="1"/>
  <c r="E98" i="5"/>
  <c r="N98" i="5"/>
  <c r="I98" i="5"/>
  <c r="K98" i="5"/>
  <c r="C29" i="5"/>
  <c r="I118" i="5"/>
  <c r="I29" i="5"/>
  <c r="K29" i="5"/>
  <c r="K118" i="5"/>
  <c r="D29" i="5" l="1"/>
  <c r="C105" i="5"/>
  <c r="E118" i="5"/>
  <c r="E29" i="5"/>
  <c r="J29" i="5"/>
  <c r="J118" i="5"/>
  <c r="L29" i="5"/>
  <c r="L118" i="5"/>
  <c r="L98" i="5"/>
  <c r="H98" i="5"/>
  <c r="N29" i="5"/>
  <c r="H118" i="5"/>
  <c r="N118" i="5"/>
  <c r="H29" i="5"/>
  <c r="J98" i="5"/>
  <c r="G29" i="5"/>
  <c r="G118" i="5"/>
  <c r="G98" i="5"/>
  <c r="D98" i="5"/>
  <c r="D118" i="5"/>
  <c r="P26" i="5"/>
  <c r="F98" i="5"/>
  <c r="F29" i="5"/>
  <c r="F118" i="5"/>
  <c r="M98" i="5"/>
  <c r="M29" i="5"/>
  <c r="M118" i="5"/>
  <c r="C98" i="5"/>
  <c r="C37" i="5"/>
  <c r="K37" i="5"/>
  <c r="K39" i="5" s="1"/>
  <c r="K49" i="5" s="1"/>
  <c r="K9" i="5" s="1"/>
  <c r="I37" i="5"/>
  <c r="I39" i="5" s="1"/>
  <c r="I49" i="5" s="1"/>
  <c r="I9" i="5" s="1"/>
  <c r="K12" i="5" l="1"/>
  <c r="I12" i="5"/>
  <c r="K4" i="46"/>
  <c r="J37" i="5"/>
  <c r="J39" i="5" s="1"/>
  <c r="J49" i="5" s="1"/>
  <c r="J9" i="5" s="1"/>
  <c r="L37" i="5"/>
  <c r="L39" i="5" s="1"/>
  <c r="L49" i="5" s="1"/>
  <c r="L9" i="5" s="1"/>
  <c r="E37" i="5"/>
  <c r="E39" i="5" s="1"/>
  <c r="E49" i="5" s="1"/>
  <c r="E9" i="5" s="1"/>
  <c r="H37" i="5"/>
  <c r="H39" i="5" s="1"/>
  <c r="H49" i="5" s="1"/>
  <c r="H9" i="5" s="1"/>
  <c r="D105" i="5"/>
  <c r="E105" i="5" s="1"/>
  <c r="F105" i="5" s="1"/>
  <c r="G105" i="5" s="1"/>
  <c r="H105" i="5" s="1"/>
  <c r="I105" i="5" s="1"/>
  <c r="J105" i="5" s="1"/>
  <c r="K105" i="5" s="1"/>
  <c r="L105" i="5" s="1"/>
  <c r="M105" i="5" s="1"/>
  <c r="N105" i="5" s="1"/>
  <c r="D10" i="50" s="1"/>
  <c r="N37" i="5"/>
  <c r="N39" i="5" s="1"/>
  <c r="N49" i="5" s="1"/>
  <c r="N9" i="5" s="1"/>
  <c r="G37" i="5"/>
  <c r="G39" i="5" s="1"/>
  <c r="G49" i="5" s="1"/>
  <c r="G9" i="5" s="1"/>
  <c r="D37" i="5"/>
  <c r="D39" i="5" s="1"/>
  <c r="D49" i="5" s="1"/>
  <c r="D9" i="5" s="1"/>
  <c r="P29" i="5"/>
  <c r="P34" i="5"/>
  <c r="P35" i="5"/>
  <c r="P33" i="5"/>
  <c r="M37" i="5"/>
  <c r="M39" i="5" s="1"/>
  <c r="M49" i="5" s="1"/>
  <c r="M9" i="5" s="1"/>
  <c r="F37" i="5"/>
  <c r="F39" i="5" s="1"/>
  <c r="F49" i="5" s="1"/>
  <c r="F9" i="5" s="1"/>
  <c r="P96" i="5"/>
  <c r="P98" i="5" s="1"/>
  <c r="P32" i="5"/>
  <c r="C39" i="5"/>
  <c r="E12" i="5" l="1"/>
  <c r="J12" i="5"/>
  <c r="D12" i="5"/>
  <c r="N12" i="5"/>
  <c r="H12" i="5"/>
  <c r="L12" i="5"/>
  <c r="F12" i="5"/>
  <c r="M12" i="5"/>
  <c r="G12" i="5"/>
  <c r="P37" i="5"/>
  <c r="P39" i="5"/>
  <c r="P49" i="5" s="1"/>
  <c r="C49" i="5"/>
  <c r="C9" i="5" l="1"/>
  <c r="C12" i="5" l="1"/>
  <c r="P9" i="5"/>
  <c r="L85" i="5" l="1"/>
  <c r="K85" i="5"/>
  <c r="M85" i="5" l="1"/>
  <c r="J85" i="5" l="1"/>
  <c r="I85" i="5"/>
  <c r="N85" i="5"/>
  <c r="E85" i="5" l="1"/>
  <c r="G85" i="5"/>
  <c r="F85" i="5" l="1"/>
  <c r="D110" i="5" l="1"/>
  <c r="D85" i="5"/>
  <c r="E110" i="5" l="1"/>
  <c r="D112" i="5"/>
  <c r="F110" i="5" l="1"/>
  <c r="E112" i="5"/>
  <c r="G110" i="5" l="1"/>
  <c r="F112" i="5"/>
  <c r="G112" i="5" l="1"/>
  <c r="H110" i="5" l="1"/>
  <c r="I110" i="5" s="1"/>
  <c r="J110" i="5" l="1"/>
  <c r="K110" i="5" s="1"/>
  <c r="I112" i="5"/>
  <c r="P83" i="5"/>
  <c r="H85" i="5"/>
  <c r="P85" i="5" l="1"/>
  <c r="P87" i="5" s="1"/>
  <c r="P12" i="5"/>
  <c r="L110" i="5"/>
  <c r="M110" i="5" s="1"/>
  <c r="K112" i="5"/>
  <c r="H112" i="5"/>
  <c r="N110" i="5" l="1"/>
  <c r="D15" i="50" s="1"/>
  <c r="M112" i="5"/>
  <c r="J112" i="5"/>
  <c r="L112" i="5" l="1"/>
  <c r="N112" i="5" l="1"/>
  <c r="D17" i="50" s="1"/>
  <c r="H73" i="5"/>
  <c r="H87" i="5" s="1"/>
  <c r="H10" i="5" s="1"/>
  <c r="D73" i="5"/>
  <c r="D87" i="5" s="1"/>
  <c r="D10" i="5" s="1"/>
  <c r="E73" i="5"/>
  <c r="E87" i="5" s="1"/>
  <c r="E10" i="5" s="1"/>
  <c r="F73" i="5"/>
  <c r="F87" i="5" s="1"/>
  <c r="F10" i="5" s="1"/>
  <c r="G73" i="5"/>
  <c r="G87" i="5" s="1"/>
  <c r="G10" i="5" s="1"/>
  <c r="N73" i="5"/>
  <c r="N87" i="5" s="1"/>
  <c r="N10" i="5" s="1"/>
  <c r="J73" i="5"/>
  <c r="J87" i="5" s="1"/>
  <c r="J10" i="5" s="1"/>
  <c r="M73" i="5"/>
  <c r="M87" i="5" s="1"/>
  <c r="M10" i="5" s="1"/>
  <c r="L73" i="5"/>
  <c r="L87" i="5" s="1"/>
  <c r="L10" i="5" s="1"/>
  <c r="K73" i="5"/>
  <c r="K87" i="5" s="1"/>
  <c r="K10" i="5" s="1"/>
  <c r="C73" i="5"/>
  <c r="C87" i="5" s="1"/>
  <c r="C10" i="5" s="1"/>
  <c r="N11" i="5" l="1"/>
  <c r="L11" i="5"/>
  <c r="J11" i="5"/>
  <c r="F11" i="5"/>
  <c r="D11" i="5"/>
  <c r="K11" i="5"/>
  <c r="M11" i="5"/>
  <c r="G11" i="5"/>
  <c r="E11" i="5"/>
  <c r="H11" i="5"/>
  <c r="C11" i="5"/>
  <c r="C12" i="52"/>
  <c r="I73" i="5"/>
  <c r="I87" i="5" s="1"/>
  <c r="I10" i="5" s="1"/>
  <c r="P70" i="5"/>
  <c r="I11" i="5" l="1"/>
  <c r="P11" i="5" s="1"/>
  <c r="P10" i="5"/>
  <c r="C21" i="5"/>
  <c r="C18" i="52"/>
  <c r="C13" i="52"/>
  <c r="C19" i="52" l="1"/>
  <c r="C20" i="52" s="1"/>
  <c r="C14" i="52"/>
  <c r="C21" i="52" s="1"/>
  <c r="C101" i="5"/>
  <c r="C107" i="5" s="1"/>
  <c r="C114" i="5" s="1"/>
  <c r="C22" i="5" s="1"/>
  <c r="D21" i="5"/>
  <c r="C15" i="52" l="1"/>
  <c r="D101" i="5"/>
  <c r="D107" i="5" s="1"/>
  <c r="D114" i="5" s="1"/>
  <c r="D22" i="5" s="1"/>
  <c r="E21" i="5"/>
  <c r="E101" i="5" l="1"/>
  <c r="E107" i="5" s="1"/>
  <c r="E114" i="5" s="1"/>
  <c r="E22" i="5" s="1"/>
  <c r="F21" i="5"/>
  <c r="F101" i="5" l="1"/>
  <c r="F107" i="5" s="1"/>
  <c r="F114" i="5" s="1"/>
  <c r="F22" i="5" s="1"/>
  <c r="G21" i="5"/>
  <c r="G101" i="5" l="1"/>
  <c r="G107" i="5" s="1"/>
  <c r="G114" i="5" s="1"/>
  <c r="G22" i="5" s="1"/>
  <c r="H21" i="5"/>
  <c r="I21" i="5" l="1"/>
  <c r="H101" i="5"/>
  <c r="H107" i="5" s="1"/>
  <c r="H114" i="5" s="1"/>
  <c r="H22" i="5" s="1"/>
  <c r="I101" i="5" l="1"/>
  <c r="I107" i="5" s="1"/>
  <c r="I114" i="5" s="1"/>
  <c r="I22" i="5" s="1"/>
  <c r="J21" i="5"/>
  <c r="K21" i="5" l="1"/>
  <c r="J101" i="5"/>
  <c r="J107" i="5" s="1"/>
  <c r="J114" i="5" s="1"/>
  <c r="J22" i="5" s="1"/>
  <c r="L21" i="5" l="1"/>
  <c r="K101" i="5"/>
  <c r="K107" i="5" s="1"/>
  <c r="K114" i="5" s="1"/>
  <c r="K22" i="5" s="1"/>
  <c r="M21" i="5" l="1"/>
  <c r="L101" i="5"/>
  <c r="L107" i="5" s="1"/>
  <c r="L114" i="5" s="1"/>
  <c r="L22" i="5" s="1"/>
  <c r="M101" i="5" l="1"/>
  <c r="M107" i="5" s="1"/>
  <c r="M114" i="5" s="1"/>
  <c r="M22" i="5" s="1"/>
  <c r="N21" i="5"/>
  <c r="P21" i="5" l="1"/>
  <c r="H4" i="46" s="1"/>
  <c r="N101" i="5"/>
  <c r="I4" i="46" l="1"/>
  <c r="N107" i="5"/>
  <c r="D6" i="50"/>
  <c r="N114" i="5" l="1"/>
  <c r="D12" i="50"/>
  <c r="J4" i="46"/>
  <c r="N22" i="5" l="1"/>
  <c r="P22" i="5" s="1"/>
  <c r="D19" i="50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<sst xmlns="http://schemas.openxmlformats.org/spreadsheetml/2006/main" count="854" uniqueCount="335">
  <si>
    <t>Rent</t>
  </si>
  <si>
    <t>Annually</t>
  </si>
  <si>
    <t>Monthly</t>
  </si>
  <si>
    <t>IRA Contribution</t>
  </si>
  <si>
    <t>Groceries</t>
  </si>
  <si>
    <t>Food &amp; Drinks</t>
  </si>
  <si>
    <t>Haircuts</t>
  </si>
  <si>
    <t>Dues &amp; Memberships</t>
  </si>
  <si>
    <t>Account</t>
  </si>
  <si>
    <t>Balance</t>
  </si>
  <si>
    <t>Statement</t>
  </si>
  <si>
    <t>Loans</t>
  </si>
  <si>
    <t>Cash</t>
  </si>
  <si>
    <t>401k</t>
  </si>
  <si>
    <t>Amount</t>
  </si>
  <si>
    <t>Salary</t>
  </si>
  <si>
    <t>Bonus</t>
  </si>
  <si>
    <t>Friend Fees</t>
  </si>
  <si>
    <t>Selling &amp; Refunds</t>
  </si>
  <si>
    <t>Brokerage Cashout</t>
  </si>
  <si>
    <t>Wishlist</t>
  </si>
  <si>
    <t>Medication</t>
  </si>
  <si>
    <t>INVESTMENTS</t>
  </si>
  <si>
    <t>DEBT PAYMENTS</t>
  </si>
  <si>
    <t>Recurrance</t>
  </si>
  <si>
    <t>Travel Rewards</t>
  </si>
  <si>
    <t>Avg. Value (¢)</t>
  </si>
  <si>
    <t>Marriott Bonvoy</t>
  </si>
  <si>
    <t>Delta</t>
  </si>
  <si>
    <t>United</t>
  </si>
  <si>
    <t>American</t>
  </si>
  <si>
    <t>Capital One</t>
  </si>
  <si>
    <t>Ultimate Rewards</t>
  </si>
  <si>
    <t>Tap Air Portugal</t>
  </si>
  <si>
    <t>British Airways</t>
  </si>
  <si>
    <t>Hilton</t>
  </si>
  <si>
    <t>Hyatt</t>
  </si>
  <si>
    <t>Avios</t>
  </si>
  <si>
    <t>Investments</t>
  </si>
  <si>
    <t>Venmo</t>
  </si>
  <si>
    <t>Cash Remption Value (¢)</t>
  </si>
  <si>
    <t>Wells Fargo Rewards</t>
  </si>
  <si>
    <t>Credit Cards</t>
  </si>
  <si>
    <t>401k Match</t>
  </si>
  <si>
    <t>Medicare</t>
  </si>
  <si>
    <t>Social Security</t>
  </si>
  <si>
    <t>Gross Earnings</t>
  </si>
  <si>
    <t>Transportation</t>
  </si>
  <si>
    <t>Line Item</t>
  </si>
  <si>
    <t>Effective Date</t>
  </si>
  <si>
    <t>Taxes</t>
  </si>
  <si>
    <t>EARNINGS</t>
  </si>
  <si>
    <t>OTHER INFLOWS</t>
  </si>
  <si>
    <t>Total INFLOWS</t>
  </si>
  <si>
    <t>Net from Gross Earnings</t>
  </si>
  <si>
    <t>Total EARNINGS INFLOWS</t>
  </si>
  <si>
    <t>Other Earnings</t>
  </si>
  <si>
    <t>Other Inflows</t>
  </si>
  <si>
    <t>Next Twelve Months (NTM)</t>
  </si>
  <si>
    <t>Retirement</t>
  </si>
  <si>
    <t>Brokerage</t>
  </si>
  <si>
    <t>Housing</t>
  </si>
  <si>
    <t>FLEXIBLE OUTFLOWS</t>
  </si>
  <si>
    <t>Health</t>
  </si>
  <si>
    <t>Travel &amp; Events</t>
  </si>
  <si>
    <t>Total OUTFLOWS</t>
  </si>
  <si>
    <t>Total FIXED OUTFLOWS</t>
  </si>
  <si>
    <t>Due Day</t>
  </si>
  <si>
    <t>Next Due Date</t>
  </si>
  <si>
    <t>SUMMARY</t>
  </si>
  <si>
    <t>Inflows</t>
  </si>
  <si>
    <t>Outflows</t>
  </si>
  <si>
    <t>NET WORTH</t>
  </si>
  <si>
    <t>x</t>
  </si>
  <si>
    <t>ENDING BALANCES</t>
  </si>
  <si>
    <t>Category</t>
  </si>
  <si>
    <t>Item</t>
  </si>
  <si>
    <t>Amt</t>
  </si>
  <si>
    <t>Recurrence</t>
  </si>
  <si>
    <t>Move to/(from) Master</t>
  </si>
  <si>
    <t>Master balance</t>
  </si>
  <si>
    <t>Inflation</t>
  </si>
  <si>
    <t>Current Month Due Date</t>
  </si>
  <si>
    <t>Percentage</t>
  </si>
  <si>
    <t>State</t>
  </si>
  <si>
    <t>Federal</t>
  </si>
  <si>
    <t>Electricity</t>
  </si>
  <si>
    <t>Gas / Oil</t>
  </si>
  <si>
    <t>Water / Sewer</t>
  </si>
  <si>
    <t>Trash</t>
  </si>
  <si>
    <t>Cable / Satelite</t>
  </si>
  <si>
    <t>Internet</t>
  </si>
  <si>
    <t>Auto Fuel</t>
  </si>
  <si>
    <t>Parking / Tolls</t>
  </si>
  <si>
    <t>Public Transporation</t>
  </si>
  <si>
    <t>Dry Cleaning</t>
  </si>
  <si>
    <t>Laundry</t>
  </si>
  <si>
    <t>Groceries / Food</t>
  </si>
  <si>
    <t>Home Supplies</t>
  </si>
  <si>
    <t>Outside Childcare (daycare, etc.)</t>
  </si>
  <si>
    <t>Healthcare / Insurance</t>
  </si>
  <si>
    <t>Dental Care / Insurance</t>
  </si>
  <si>
    <t>Vision Care / Insurance</t>
  </si>
  <si>
    <t>Life Insurance</t>
  </si>
  <si>
    <t>Medicine / Prescriptions</t>
  </si>
  <si>
    <t>Veterinarian</t>
  </si>
  <si>
    <t>Auto Insurance</t>
  </si>
  <si>
    <t>Auto Registration / License</t>
  </si>
  <si>
    <t>Home / Rental Insurance</t>
  </si>
  <si>
    <t>Home Owners' Assoc. Fees</t>
  </si>
  <si>
    <t>Property Taxes</t>
  </si>
  <si>
    <t>School Taxes</t>
  </si>
  <si>
    <t>REQUIRED OUTFLOWS</t>
  </si>
  <si>
    <t>Required</t>
  </si>
  <si>
    <t>Outflow</t>
  </si>
  <si>
    <t>Dining Out</t>
  </si>
  <si>
    <t>Concerts / Plays</t>
  </si>
  <si>
    <t>Sports</t>
  </si>
  <si>
    <t>Gym Membership</t>
  </si>
  <si>
    <t>Home Improvement</t>
  </si>
  <si>
    <t>Home Security</t>
  </si>
  <si>
    <t>Lawn / Garden</t>
  </si>
  <si>
    <t>Pet Boarding</t>
  </si>
  <si>
    <t>Beer / Alcohol</t>
  </si>
  <si>
    <t>Travel / Vacation</t>
  </si>
  <si>
    <t>Flexible</t>
  </si>
  <si>
    <t>Brokerage Deposites</t>
  </si>
  <si>
    <t>401K Deposites</t>
  </si>
  <si>
    <t>IRA Deposite</t>
  </si>
  <si>
    <t>Pension</t>
  </si>
  <si>
    <t>Severance</t>
  </si>
  <si>
    <t>Other</t>
  </si>
  <si>
    <t>Inflow</t>
  </si>
  <si>
    <t>Earnings</t>
  </si>
  <si>
    <t>Monthly Payment</t>
  </si>
  <si>
    <t>Pretax 401k Contribution</t>
  </si>
  <si>
    <t>Paydays</t>
  </si>
  <si>
    <t>Less</t>
  </si>
  <si>
    <t>NON CASH</t>
  </si>
  <si>
    <t>Retirement Deductions</t>
  </si>
  <si>
    <t>Brokerage Deductions</t>
  </si>
  <si>
    <t>Brokerage Contributions</t>
  </si>
  <si>
    <t>Retirement Contributions</t>
  </si>
  <si>
    <t>Employer Retirement Contributions</t>
  </si>
  <si>
    <t>Note</t>
  </si>
  <si>
    <t>Salary bump</t>
  </si>
  <si>
    <t>Rent bump</t>
  </si>
  <si>
    <t>NTM all-in pay helper</t>
  </si>
  <si>
    <t>Long term securities yield</t>
  </si>
  <si>
    <t>Short term securities yield</t>
  </si>
  <si>
    <t>Balances</t>
  </si>
  <si>
    <t>Recurring</t>
  </si>
  <si>
    <t>Planned</t>
  </si>
  <si>
    <t>Other Deductions</t>
  </si>
  <si>
    <t>FORMULA</t>
  </si>
  <si>
    <t>=</t>
  </si>
  <si>
    <t>Cash flows</t>
  </si>
  <si>
    <t>Net CASH FLOW</t>
  </si>
  <si>
    <t>ASSETS</t>
  </si>
  <si>
    <t>LIABILITIES</t>
  </si>
  <si>
    <t>Physical cash</t>
  </si>
  <si>
    <t>Master cash account</t>
  </si>
  <si>
    <t>Other savings balance</t>
  </si>
  <si>
    <t>System</t>
  </si>
  <si>
    <t>Upside Value</t>
  </si>
  <si>
    <t>Cash Value</t>
  </si>
  <si>
    <t>STATIC INPUT</t>
  </si>
  <si>
    <t>FREQUENT INPUT</t>
  </si>
  <si>
    <t>Student</t>
  </si>
  <si>
    <t>Airline</t>
  </si>
  <si>
    <t>Master</t>
  </si>
  <si>
    <t>All other banking/cash accounts that you don't have spend out of (typically higher interest rates)</t>
  </si>
  <si>
    <t>Savings</t>
  </si>
  <si>
    <t>Investment accounts that don't have pre-retirement withdrawl penalties (more liquid but don't really want to sell if you don’t have to)</t>
  </si>
  <si>
    <t>Investment accounts that have pre-retirement withdrawl penalties (long term lock-ups)</t>
  </si>
  <si>
    <t>Next tweleve (i.e. NTM = next tweleve months)</t>
  </si>
  <si>
    <t>NT</t>
  </si>
  <si>
    <t>Blue text</t>
  </si>
  <si>
    <t>Inputs in a column with other formulas (i.e. overwriting formulas)</t>
  </si>
  <si>
    <t>Move to/(from) same-bank savings</t>
  </si>
  <si>
    <t>Number of month's outflows per account</t>
  </si>
  <si>
    <t>Master bank</t>
  </si>
  <si>
    <t>Move to/(from) best yield savings</t>
  </si>
  <si>
    <t>Institution</t>
  </si>
  <si>
    <t>Roth IRA</t>
  </si>
  <si>
    <t>N/A</t>
  </si>
  <si>
    <t>Same-bank balance (excludes Master)</t>
  </si>
  <si>
    <t>Flow of funds actions</t>
  </si>
  <si>
    <t>Minimum total cash account balance</t>
  </si>
  <si>
    <t>+additional in Master bank</t>
  </si>
  <si>
    <t>+additional in Savings</t>
  </si>
  <si>
    <t>Total outflow preparedness</t>
  </si>
  <si>
    <t>Master bank accounts</t>
  </si>
  <si>
    <t>All savings</t>
  </si>
  <si>
    <t>Current total cash account balance</t>
  </si>
  <si>
    <t>Next Payment</t>
  </si>
  <si>
    <t>PNC</t>
  </si>
  <si>
    <t>Apple</t>
  </si>
  <si>
    <t>Starbucks</t>
  </si>
  <si>
    <t>Schwab</t>
  </si>
  <si>
    <t>Brokerage account</t>
  </si>
  <si>
    <t>Employer</t>
  </si>
  <si>
    <t>HSA</t>
  </si>
  <si>
    <t>Robinhood</t>
  </si>
  <si>
    <t>Fidelilty</t>
  </si>
  <si>
    <t>ESPP</t>
  </si>
  <si>
    <t>Chase Sapphire Reserve</t>
  </si>
  <si>
    <t>Capital One Quicksilver</t>
  </si>
  <si>
    <t>Aggregated</t>
  </si>
  <si>
    <t>Hotel</t>
  </si>
  <si>
    <t>Barstool Sportsbook</t>
  </si>
  <si>
    <t>0% financing</t>
  </si>
  <si>
    <t>Amazon Prime</t>
  </si>
  <si>
    <t>Renters insurance</t>
  </si>
  <si>
    <t>Netflix</t>
  </si>
  <si>
    <t>Spotify</t>
  </si>
  <si>
    <t>iCloud</t>
  </si>
  <si>
    <t>Utilities package</t>
  </si>
  <si>
    <t>Phone Plan</t>
  </si>
  <si>
    <t>Internet (RCN)</t>
  </si>
  <si>
    <t>Dental</t>
  </si>
  <si>
    <t>Health Savings Contribution</t>
  </si>
  <si>
    <t>Medical</t>
  </si>
  <si>
    <t>State Tax</t>
  </si>
  <si>
    <t>Vision</t>
  </si>
  <si>
    <t>Roth</t>
  </si>
  <si>
    <t>Reference ID</t>
  </si>
  <si>
    <t>Account Reference ID</t>
  </si>
  <si>
    <t>Yellow text</t>
  </si>
  <si>
    <t>Formula in a column with inputs (i.e. custom input)</t>
  </si>
  <si>
    <t>Date</t>
  </si>
  <si>
    <t>Daily</t>
  </si>
  <si>
    <t>Meds</t>
  </si>
  <si>
    <t>Liquid</t>
  </si>
  <si>
    <t>Illiquid</t>
  </si>
  <si>
    <t>Liquid savings</t>
  </si>
  <si>
    <t>Liquid brokerage</t>
  </si>
  <si>
    <t>Account minimums</t>
  </si>
  <si>
    <t>Same-bank savings balance</t>
  </si>
  <si>
    <t>Brokerage_Liquid_Fidelilty_Brokerage account</t>
  </si>
  <si>
    <t>CURRENT</t>
  </si>
  <si>
    <t>Total Securities</t>
  </si>
  <si>
    <t>Cash + Securities</t>
  </si>
  <si>
    <t>Net Worth</t>
  </si>
  <si>
    <t>NTM End Cash</t>
  </si>
  <si>
    <t>Next Month End Cash</t>
  </si>
  <si>
    <t>NTM End Cash + Securities</t>
  </si>
  <si>
    <t>NTM All-In Gross</t>
  </si>
  <si>
    <t>Current</t>
  </si>
  <si>
    <t>NTM</t>
  </si>
  <si>
    <t>TOTAL</t>
  </si>
  <si>
    <t>Account rebalancing</t>
  </si>
  <si>
    <t>Checking acccount that all outflow/spending will flow out of</t>
  </si>
  <si>
    <t>Manual inputs each time you open up the budget (mainly balances)</t>
  </si>
  <si>
    <t>Manual inputs that are input once and/or re-input infrequently (like the list of accounts you have)</t>
  </si>
  <si>
    <t>Automatic calculations. Ensure that the formula reaches down to the bottom of each list</t>
  </si>
  <si>
    <t>SUMMARY tabs</t>
  </si>
  <si>
    <t>Where you will add inputs</t>
  </si>
  <si>
    <t>WORKING tabs</t>
  </si>
  <si>
    <t>AD HOC tabs</t>
  </si>
  <si>
    <t>HELPER tabs</t>
  </si>
  <si>
    <t>Inform calculations in other tabs</t>
  </si>
  <si>
    <t>Flexible to create your own tabs for calculations or tracking. There may be cases where you feed the result into a WORKING TAB</t>
  </si>
  <si>
    <t>Terms</t>
  </si>
  <si>
    <t>Color coding</t>
  </si>
  <si>
    <t>Tabs</t>
  </si>
  <si>
    <t>Rewards Upside Value</t>
  </si>
  <si>
    <t>Projected loan balances doesn’t account for interest accurals</t>
  </si>
  <si>
    <t>06-11</t>
  </si>
  <si>
    <t>FUTURE CASH FLOW CHANGES</t>
  </si>
  <si>
    <t>Asset</t>
  </si>
  <si>
    <t>Real Asset</t>
  </si>
  <si>
    <t>Car</t>
  </si>
  <si>
    <t>House</t>
  </si>
  <si>
    <t>Lock-Up</t>
  </si>
  <si>
    <t>Phone</t>
  </si>
  <si>
    <t>Auto Maintenance</t>
  </si>
  <si>
    <t>Home Maintenance</t>
  </si>
  <si>
    <t>Car Maintenance</t>
  </si>
  <si>
    <t>Clothes</t>
  </si>
  <si>
    <t>Salary/Wages</t>
  </si>
  <si>
    <t>Current Due Date</t>
  </si>
  <si>
    <t>Dependant</t>
  </si>
  <si>
    <t>Dependant On</t>
  </si>
  <si>
    <t>Spend</t>
  </si>
  <si>
    <t>Reserve</t>
  </si>
  <si>
    <t>Growth</t>
  </si>
  <si>
    <t>Job</t>
  </si>
  <si>
    <t>Trip</t>
  </si>
  <si>
    <t>Sell stock</t>
  </si>
  <si>
    <t>Payday date</t>
  </si>
  <si>
    <t>Need to designate one checking account as Master - have all deposit/cash spending flow out of that account</t>
  </si>
  <si>
    <t>Bike</t>
  </si>
  <si>
    <t>Gas</t>
  </si>
  <si>
    <t>Into Fidelity account</t>
  </si>
  <si>
    <t>Dec Bike</t>
  </si>
  <si>
    <t>Require no inputs. These are output tabs that auto populate as changes are made in WORKING tabs</t>
  </si>
  <si>
    <t>Important Rules</t>
  </si>
  <si>
    <t>Don’t forget accounts like Venmo, Apple Cash, Starbucks, physical cash or sportsbooks</t>
  </si>
  <si>
    <t>Remaining Balance</t>
  </si>
  <si>
    <t>Move to/(from) Master bank</t>
  </si>
  <si>
    <t>Net Change (+/-)</t>
  </si>
  <si>
    <t>Dog sitting</t>
  </si>
  <si>
    <t>Lunch</t>
  </si>
  <si>
    <t>Amazon return</t>
  </si>
  <si>
    <t>Insurance payout</t>
  </si>
  <si>
    <t>Apr Bonus</t>
  </si>
  <si>
    <t>Mar Insurance payout</t>
  </si>
  <si>
    <t>Jan Lunch</t>
  </si>
  <si>
    <t>Feb Amazon return</t>
  </si>
  <si>
    <t>Dec Sell stock</t>
  </si>
  <si>
    <t>Dec Trip</t>
  </si>
  <si>
    <t>Excl. Financing/Investing Activities</t>
  </si>
  <si>
    <t>Friend Payment</t>
  </si>
  <si>
    <t>Friend Receivable</t>
  </si>
  <si>
    <t>Outflow safety helper</t>
  </si>
  <si>
    <t>Bi-Annually</t>
  </si>
  <si>
    <t>Quarterly</t>
  </si>
  <si>
    <t>Bi-Monthly</t>
  </si>
  <si>
    <t>Car insurance</t>
  </si>
  <si>
    <t>Bi-Weekly</t>
  </si>
  <si>
    <t>Cat sitting</t>
  </si>
  <si>
    <t>TBD</t>
  </si>
  <si>
    <t>Calc Helpers</t>
  </si>
  <si>
    <t>Factor Helper (days left)</t>
  </si>
  <si>
    <t>Weekdays</t>
  </si>
  <si>
    <t>Mondays</t>
  </si>
  <si>
    <t>Tuesdays</t>
  </si>
  <si>
    <t>Wednesdays</t>
  </si>
  <si>
    <t>Thursdays</t>
  </si>
  <si>
    <t>Fridays</t>
  </si>
  <si>
    <t>Saturdays</t>
  </si>
  <si>
    <t>Sundays</t>
  </si>
  <si>
    <t>Not financial advice</t>
  </si>
  <si>
    <t>Disclaimers/Footnotes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</si>
</sst>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(* #,##0.00_);_(* \(#,##0.00\);_(* &quot;-&quot;??_);_(@_)"/>
    <numFmt numFmtId="164" formatCode="_(#,##0_);\(#,##0\)"/>
    <numFmt numFmtId="165" formatCode="_(#,##0.00_);\(#,##0.00\)"/>
    <numFmt numFmtId="166" formatCode="mmm"/>
    <numFmt numFmtId="167" formatCode="_(* #,##0_);_(* \(#,##0\);_(* &quot;-&quot;??_);_(@_)"/>
    <numFmt numFmtId="168" formatCode="_(#,##0.00_)%;\(#,##0.00\)%"/>
    <numFmt numFmtId="169" formatCode="_(#,##0_)%;\(#,##0\)%"/>
    <numFmt numFmtId="170" formatCode="_(#,##0_);\(#,##0\);_(* &quot;–&quot;_);_(@_)"/>
    <numFmt numFmtId="171" formatCode="_(#,##0_);\(#,##0\);_(* &quot;– &quot;_);_(@_)"/>
  </numFmts>
  <fonts count="44" x14ac:knownFonts="1">
    <font>
      <sz val="10"/>
      <color rgb="FF000000"/>
      <name val="Arial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rgb="FF000000"/>
      <name val="Arial"/>
      <family val="2"/>
      <scheme val="minor"/>
    </font>
    <font>
      <u/>
      <sz val="10"/>
      <color theme="10"/>
      <name val="Arial"/>
      <family val="2"/>
      <scheme val="minor"/>
    </font>
    <font>
      <b/>
      <sz val="10"/>
      <color indexed="8"/>
      <name val="Arial"/>
      <family val="2"/>
      <scheme val="major"/>
    </font>
    <font>
      <b/>
      <sz val="10"/>
      <name val="Arial"/>
      <family val="2"/>
      <scheme val="major"/>
    </font>
    <font>
      <sz val="10"/>
      <color indexed="8"/>
      <name val="Arial"/>
      <family val="2"/>
      <scheme val="major"/>
    </font>
    <font>
      <sz val="10"/>
      <name val="Arial"/>
      <family val="2"/>
      <scheme val="major"/>
    </font>
    <font>
      <i/>
      <sz val="10"/>
      <name val="Arial"/>
      <family val="2"/>
      <scheme val="major"/>
    </font>
    <font>
      <i/>
      <sz val="10"/>
      <color indexed="8"/>
      <name val="Arial"/>
      <family val="2"/>
      <scheme val="major"/>
    </font>
    <font>
      <b/>
      <sz val="10"/>
      <color theme="0"/>
      <name val="Arial"/>
      <family val="2"/>
      <scheme val="major"/>
    </font>
    <font>
      <sz val="10"/>
      <color theme="0"/>
      <name val="Arial"/>
      <family val="2"/>
      <scheme val="major"/>
    </font>
    <font>
      <b/>
      <sz val="10"/>
      <color rgb="FF333333"/>
      <name val="Arial"/>
      <family val="2"/>
      <scheme val="major"/>
    </font>
    <font>
      <u/>
      <sz val="10"/>
      <color theme="10"/>
      <name val="Arial"/>
      <family val="2"/>
      <scheme val="major"/>
    </font>
    <font>
      <i/>
      <sz val="10"/>
      <color theme="0" tint="-0.499984740745262"/>
      <name val="Arial"/>
      <family val="2"/>
      <scheme val="major"/>
    </font>
    <font>
      <sz val="10"/>
      <color rgb="FF0000FF"/>
      <name val="Arial"/>
      <family val="2"/>
      <scheme val="minor"/>
    </font>
    <font>
      <b/>
      <sz val="10"/>
      <color rgb="FF000000"/>
      <name val="Arial"/>
      <family val="2"/>
      <scheme val="minor"/>
    </font>
    <font>
      <sz val="10"/>
      <color rgb="FF000000"/>
      <name val="Arial"/>
      <family val="2"/>
      <scheme val="minor"/>
    </font>
    <font>
      <b/>
      <u val="singleAccounting"/>
      <sz val="10"/>
      <color rgb="FF000000"/>
      <name val="Arial"/>
      <family val="2"/>
      <scheme val="minor"/>
    </font>
    <font>
      <sz val="10"/>
      <name val="Arial"/>
      <family val="2"/>
      <scheme val="minor"/>
    </font>
    <font>
      <b/>
      <sz val="10"/>
      <name val="Arial"/>
      <family val="2"/>
      <scheme val="minor"/>
    </font>
    <font>
      <b/>
      <u val="singleAccounting"/>
      <sz val="10"/>
      <name val="Arial"/>
      <family val="2"/>
      <scheme val="minor"/>
    </font>
    <font>
      <sz val="10"/>
      <color rgb="FFFF0000"/>
      <name val="Arial"/>
      <family val="2"/>
      <scheme val="minor"/>
    </font>
    <font>
      <b/>
      <u val="singleAccounting"/>
      <sz val="10"/>
      <color theme="1"/>
      <name val="Arial"/>
      <family val="2"/>
    </font>
    <font>
      <b/>
      <sz val="10"/>
      <color theme="0"/>
      <name val="Arial"/>
      <family val="2"/>
      <scheme val="minor"/>
    </font>
    <font>
      <i/>
      <sz val="10"/>
      <color rgb="FFFF0000"/>
      <name val="Arial"/>
      <family val="2"/>
      <scheme val="major"/>
    </font>
    <font>
      <i/>
      <sz val="10"/>
      <color theme="0"/>
      <name val="Arial"/>
      <family val="2"/>
      <scheme val="major"/>
    </font>
    <font>
      <i/>
      <sz val="8"/>
      <name val="Arial"/>
      <family val="2"/>
      <scheme val="minor"/>
    </font>
    <font>
      <b/>
      <i/>
      <u val="singleAccounting"/>
      <sz val="8"/>
      <name val="Arial"/>
      <family val="2"/>
      <scheme val="minor"/>
    </font>
    <font>
      <sz val="10"/>
      <color rgb="FF0000FF"/>
      <name val="Arial"/>
      <family val="2"/>
      <scheme val="minor"/>
    </font>
    <font>
      <i/>
      <u/>
      <sz val="10"/>
      <name val="Arial"/>
      <family val="2"/>
      <scheme val="major"/>
    </font>
    <font>
      <i/>
      <u/>
      <sz val="10"/>
      <color indexed="8"/>
      <name val="Arial"/>
      <family val="2"/>
      <scheme val="major"/>
    </font>
    <font>
      <i/>
      <u/>
      <sz val="10"/>
      <color rgb="FF000000"/>
      <name val="Arial"/>
      <family val="2"/>
      <scheme val="minor"/>
    </font>
    <font>
      <sz val="10"/>
      <color indexed="8"/>
      <name val="Arial"/>
      <family val="2"/>
    </font>
    <font>
      <b/>
      <u val="singleAccounting"/>
      <sz val="10"/>
      <color indexed="8"/>
      <name val="Arial"/>
      <family val="2"/>
      <scheme val="major"/>
    </font>
    <font>
      <sz val="10"/>
      <color theme="7" tint="-0.249977111117893"/>
      <name val="Arial"/>
      <family val="2"/>
      <scheme val="minor"/>
    </font>
    <font>
      <sz val="10"/>
      <color rgb="FF000000"/>
      <name val="Arial"/>
      <family val="2"/>
    </font>
    <font>
      <b/>
      <u/>
      <sz val="10"/>
      <color indexed="8"/>
      <name val="Arial"/>
      <family val="2"/>
      <scheme val="major"/>
    </font>
    <font>
      <b/>
      <u/>
      <sz val="10"/>
      <color rgb="FF000000"/>
      <name val="Arial"/>
      <family val="2"/>
      <scheme val="minor"/>
    </font>
    <font>
      <u/>
      <sz val="10"/>
      <color rgb="FF000000"/>
      <name val="Arial"/>
      <family val="2"/>
    </font>
    <font>
      <sz val="10"/>
      <color rgb="FFFF0000"/>
      <name val="Arial"/>
      <family val="2"/>
      <scheme val="major"/>
    </font>
  </fonts>
  <fills count="19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 style="thin">
        <color auto="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indexed="64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</borders>
  <cellStyleXfs count="6">
    <xf numFmtId="0" fontId="0" fillId="0" borderId="0"/>
    <xf numFmtId="43" fontId="5" fillId="0" borderId="0" applyFon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2" fillId="0" borderId="0"/>
    <xf numFmtId="0" fontId="1" fillId="0" borderId="0"/>
  </cellStyleXfs>
  <cellXfs count="239">
    <xf numFmtId="0" fontId="0" fillId="0" borderId="0" xfId="0" applyFont="1" applyAlignment="1"/>
    <xf numFmtId="164" fontId="0" fillId="0" borderId="0" xfId="0" applyNumberFormat="1" applyFont="1" applyAlignment="1"/>
    <xf numFmtId="165" fontId="0" fillId="0" borderId="0" xfId="0" applyNumberFormat="1" applyFont="1" applyAlignment="1"/>
    <xf numFmtId="0" fontId="8" fillId="2" borderId="0" xfId="0" applyFont="1" applyFill="1"/>
    <xf numFmtId="14" fontId="8" fillId="2" borderId="0" xfId="0" applyNumberFormat="1" applyFont="1" applyFill="1"/>
    <xf numFmtId="0" fontId="9" fillId="0" borderId="0" xfId="0" applyFont="1"/>
    <xf numFmtId="164" fontId="9" fillId="0" borderId="0" xfId="0" applyNumberFormat="1" applyFont="1"/>
    <xf numFmtId="166" fontId="8" fillId="3" borderId="2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vertical="center"/>
    </xf>
    <xf numFmtId="164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/>
    <xf numFmtId="14" fontId="9" fillId="0" borderId="0" xfId="0" applyNumberFormat="1" applyFont="1" applyAlignment="1">
      <alignment horizontal="right"/>
    </xf>
    <xf numFmtId="164" fontId="10" fillId="0" borderId="0" xfId="0" applyNumberFormat="1" applyFont="1"/>
    <xf numFmtId="164" fontId="11" fillId="0" borderId="0" xfId="0" applyNumberFormat="1" applyFont="1"/>
    <xf numFmtId="167" fontId="9" fillId="0" borderId="0" xfId="1" applyNumberFormat="1" applyFont="1" applyFill="1" applyBorder="1"/>
    <xf numFmtId="164" fontId="12" fillId="3" borderId="0" xfId="0" applyNumberFormat="1" applyFont="1" applyFill="1"/>
    <xf numFmtId="164" fontId="7" fillId="0" borderId="0" xfId="0" applyNumberFormat="1" applyFont="1" applyAlignment="1">
      <alignment horizontal="right"/>
    </xf>
    <xf numFmtId="167" fontId="9" fillId="0" borderId="0" xfId="0" applyNumberFormat="1" applyFont="1"/>
    <xf numFmtId="43" fontId="15" fillId="0" borderId="0" xfId="1" applyFont="1"/>
    <xf numFmtId="164" fontId="15" fillId="0" borderId="0" xfId="1" applyNumberFormat="1" applyFont="1"/>
    <xf numFmtId="166" fontId="9" fillId="0" borderId="0" xfId="0" applyNumberFormat="1" applyFont="1"/>
    <xf numFmtId="0" fontId="16" fillId="0" borderId="0" xfId="2" applyFont="1" applyBorder="1"/>
    <xf numFmtId="0" fontId="0" fillId="0" borderId="0" xfId="0" applyFont="1" applyFill="1" applyBorder="1" applyAlignment="1"/>
    <xf numFmtId="0" fontId="21" fillId="0" borderId="0" xfId="0" applyFont="1" applyAlignment="1"/>
    <xf numFmtId="164" fontId="21" fillId="0" borderId="0" xfId="0" applyNumberFormat="1" applyFont="1" applyAlignment="1"/>
    <xf numFmtId="0" fontId="22" fillId="0" borderId="0" xfId="0" applyFont="1" applyBorder="1" applyAlignment="1"/>
    <xf numFmtId="0" fontId="20" fillId="0" borderId="0" xfId="0" applyFont="1" applyAlignment="1"/>
    <xf numFmtId="0" fontId="26" fillId="0" borderId="0" xfId="0" applyFont="1"/>
    <xf numFmtId="2" fontId="26" fillId="0" borderId="0" xfId="0" applyNumberFormat="1" applyFont="1"/>
    <xf numFmtId="0" fontId="0" fillId="0" borderId="0" xfId="0"/>
    <xf numFmtId="2" fontId="0" fillId="0" borderId="0" xfId="0" applyNumberFormat="1"/>
    <xf numFmtId="0" fontId="0" fillId="0" borderId="0" xfId="0" applyNumberFormat="1" applyFont="1" applyAlignment="1"/>
    <xf numFmtId="2" fontId="0" fillId="0" borderId="0" xfId="0" applyNumberFormat="1" applyFont="1" applyAlignment="1"/>
    <xf numFmtId="168" fontId="0" fillId="0" borderId="0" xfId="0" applyNumberFormat="1" applyFont="1" applyAlignment="1"/>
    <xf numFmtId="165" fontId="21" fillId="0" borderId="0" xfId="0" applyNumberFormat="1" applyFont="1" applyAlignment="1"/>
    <xf numFmtId="0" fontId="0" fillId="11" borderId="0" xfId="0" applyFont="1" applyFill="1" applyAlignment="1"/>
    <xf numFmtId="0" fontId="5" fillId="0" borderId="0" xfId="0" applyFont="1" applyAlignment="1"/>
    <xf numFmtId="165" fontId="27" fillId="12" borderId="0" xfId="0" applyNumberFormat="1" applyFont="1" applyFill="1" applyAlignment="1"/>
    <xf numFmtId="165" fontId="5" fillId="0" borderId="0" xfId="0" applyNumberFormat="1" applyFont="1" applyAlignment="1"/>
    <xf numFmtId="169" fontId="0" fillId="0" borderId="0" xfId="0" applyNumberFormat="1" applyFont="1" applyAlignment="1"/>
    <xf numFmtId="168" fontId="21" fillId="0" borderId="0" xfId="0" applyNumberFormat="1" applyFont="1" applyAlignment="1"/>
    <xf numFmtId="0" fontId="5" fillId="0" borderId="0" xfId="0" applyFont="1" applyFill="1" applyBorder="1" applyAlignment="1"/>
    <xf numFmtId="165" fontId="18" fillId="0" borderId="0" xfId="0" applyNumberFormat="1" applyFont="1" applyAlignment="1"/>
    <xf numFmtId="0" fontId="9" fillId="0" borderId="0" xfId="0" applyFont="1" applyFill="1"/>
    <xf numFmtId="164" fontId="10" fillId="0" borderId="0" xfId="0" applyNumberFormat="1" applyFont="1" applyFill="1"/>
    <xf numFmtId="14" fontId="0" fillId="0" borderId="0" xfId="0" applyNumberFormat="1" applyFont="1" applyAlignment="1"/>
    <xf numFmtId="14" fontId="9" fillId="0" borderId="0" xfId="3" applyNumberFormat="1" applyFont="1"/>
    <xf numFmtId="0" fontId="9" fillId="0" borderId="0" xfId="3" applyFont="1"/>
    <xf numFmtId="0" fontId="12" fillId="0" borderId="0" xfId="0" applyFont="1" applyFill="1"/>
    <xf numFmtId="0" fontId="12" fillId="0" borderId="0" xfId="0" applyFont="1"/>
    <xf numFmtId="0" fontId="9" fillId="0" borderId="0" xfId="0" applyFont="1" applyBorder="1"/>
    <xf numFmtId="164" fontId="9" fillId="0" borderId="0" xfId="0" applyNumberFormat="1" applyFont="1" applyBorder="1"/>
    <xf numFmtId="167" fontId="9" fillId="0" borderId="0" xfId="0" applyNumberFormat="1" applyFont="1" applyBorder="1"/>
    <xf numFmtId="14" fontId="22" fillId="0" borderId="0" xfId="0" applyNumberFormat="1" applyFont="1" applyAlignment="1"/>
    <xf numFmtId="14" fontId="21" fillId="0" borderId="0" xfId="0" applyNumberFormat="1" applyFont="1" applyAlignment="1"/>
    <xf numFmtId="14" fontId="5" fillId="0" borderId="0" xfId="0" applyNumberFormat="1" applyFont="1" applyAlignment="1"/>
    <xf numFmtId="0" fontId="24" fillId="0" borderId="0" xfId="0" applyFont="1" applyAlignment="1"/>
    <xf numFmtId="164" fontId="24" fillId="0" borderId="0" xfId="0" applyNumberFormat="1" applyFont="1" applyAlignment="1"/>
    <xf numFmtId="0" fontId="22" fillId="0" borderId="0" xfId="0" applyFont="1" applyAlignment="1"/>
    <xf numFmtId="164" fontId="22" fillId="0" borderId="0" xfId="0" applyNumberFormat="1" applyFont="1" applyAlignment="1"/>
    <xf numFmtId="0" fontId="12" fillId="3" borderId="0" xfId="0" applyFont="1" applyFill="1"/>
    <xf numFmtId="0" fontId="12" fillId="3" borderId="0" xfId="0" applyFont="1" applyFill="1" applyAlignment="1">
      <alignment vertical="center"/>
    </xf>
    <xf numFmtId="0" fontId="28" fillId="3" borderId="0" xfId="0" applyFont="1" applyFill="1"/>
    <xf numFmtId="0" fontId="12" fillId="3" borderId="0" xfId="0" applyFont="1" applyFill="1" applyBorder="1"/>
    <xf numFmtId="0" fontId="17" fillId="3" borderId="0" xfId="0" applyFont="1" applyFill="1"/>
    <xf numFmtId="3" fontId="28" fillId="3" borderId="0" xfId="0" applyNumberFormat="1" applyFont="1" applyFill="1"/>
    <xf numFmtId="0" fontId="12" fillId="3" borderId="0" xfId="0" applyFont="1" applyFill="1" applyBorder="1" applyAlignment="1">
      <alignment vertical="center"/>
    </xf>
    <xf numFmtId="0" fontId="7" fillId="0" borderId="0" xfId="0" applyFont="1" applyBorder="1" applyAlignment="1">
      <alignment vertical="center"/>
    </xf>
    <xf numFmtId="164" fontId="7" fillId="0" borderId="0" xfId="0" applyNumberFormat="1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7" fillId="0" borderId="0" xfId="0" applyFont="1" applyBorder="1"/>
    <xf numFmtId="14" fontId="9" fillId="0" borderId="0" xfId="0" applyNumberFormat="1" applyFont="1" applyBorder="1" applyAlignment="1">
      <alignment horizontal="right"/>
    </xf>
    <xf numFmtId="164" fontId="9" fillId="3" borderId="0" xfId="0" applyNumberFormat="1" applyFont="1" applyFill="1"/>
    <xf numFmtId="0" fontId="29" fillId="3" borderId="0" xfId="0" applyFont="1" applyFill="1"/>
    <xf numFmtId="170" fontId="8" fillId="3" borderId="0" xfId="0" applyNumberFormat="1" applyFont="1" applyFill="1" applyBorder="1" applyAlignment="1">
      <alignment horizontal="center" vertical="center"/>
    </xf>
    <xf numFmtId="170" fontId="12" fillId="3" borderId="0" xfId="0" applyNumberFormat="1" applyFont="1" applyFill="1" applyBorder="1" applyAlignment="1">
      <alignment vertical="center"/>
    </xf>
    <xf numFmtId="170" fontId="13" fillId="4" borderId="0" xfId="0" applyNumberFormat="1" applyFont="1" applyFill="1" applyBorder="1" applyAlignment="1">
      <alignment horizontal="center" vertical="center"/>
    </xf>
    <xf numFmtId="170" fontId="9" fillId="3" borderId="0" xfId="0" applyNumberFormat="1" applyFont="1" applyFill="1" applyAlignment="1">
      <alignment horizontal="right" vertical="center"/>
    </xf>
    <xf numFmtId="170" fontId="12" fillId="3" borderId="0" xfId="0" applyNumberFormat="1" applyFont="1" applyFill="1"/>
    <xf numFmtId="170" fontId="28" fillId="3" borderId="0" xfId="0" applyNumberFormat="1" applyFont="1" applyFill="1"/>
    <xf numFmtId="170" fontId="10" fillId="3" borderId="0" xfId="0" applyNumberFormat="1" applyFont="1" applyFill="1" applyBorder="1"/>
    <xf numFmtId="170" fontId="12" fillId="3" borderId="0" xfId="0" applyNumberFormat="1" applyFont="1" applyFill="1" applyBorder="1"/>
    <xf numFmtId="170" fontId="17" fillId="3" borderId="0" xfId="0" applyNumberFormat="1" applyFont="1" applyFill="1"/>
    <xf numFmtId="170" fontId="9" fillId="3" borderId="0" xfId="0" applyNumberFormat="1" applyFont="1" applyFill="1"/>
    <xf numFmtId="165" fontId="22" fillId="0" borderId="0" xfId="0" applyNumberFormat="1" applyFont="1" applyAlignment="1"/>
    <xf numFmtId="0" fontId="27" fillId="7" borderId="0" xfId="0" applyFont="1" applyFill="1" applyAlignment="1"/>
    <xf numFmtId="164" fontId="27" fillId="7" borderId="0" xfId="0" applyNumberFormat="1" applyFont="1" applyFill="1" applyAlignment="1"/>
    <xf numFmtId="164" fontId="24" fillId="0" borderId="0" xfId="0" applyNumberFormat="1" applyFont="1" applyAlignment="1">
      <alignment horizontal="centerContinuous"/>
    </xf>
    <xf numFmtId="0" fontId="30" fillId="0" borderId="0" xfId="0" applyFont="1" applyAlignment="1"/>
    <xf numFmtId="0" fontId="31" fillId="0" borderId="0" xfId="0" applyFont="1" applyAlignment="1"/>
    <xf numFmtId="168" fontId="32" fillId="0" borderId="0" xfId="0" applyNumberFormat="1" applyFont="1" applyAlignment="1"/>
    <xf numFmtId="49" fontId="10" fillId="0" borderId="0" xfId="0" applyNumberFormat="1" applyFont="1" applyFill="1" applyBorder="1"/>
    <xf numFmtId="0" fontId="23" fillId="2" borderId="0" xfId="0" applyFont="1" applyFill="1" applyAlignment="1"/>
    <xf numFmtId="0" fontId="12" fillId="3" borderId="0" xfId="0" applyNumberFormat="1" applyFont="1" applyFill="1" applyAlignment="1">
      <alignment horizontal="right"/>
    </xf>
    <xf numFmtId="0" fontId="8" fillId="2" borderId="0" xfId="2" applyNumberFormat="1" applyFont="1" applyFill="1" applyBorder="1"/>
    <xf numFmtId="0" fontId="9" fillId="3" borderId="0" xfId="0" applyNumberFormat="1" applyFont="1" applyFill="1"/>
    <xf numFmtId="0" fontId="9" fillId="3" borderId="0" xfId="0" applyNumberFormat="1" applyFont="1" applyFill="1" applyBorder="1"/>
    <xf numFmtId="0" fontId="13" fillId="4" borderId="0" xfId="0" applyNumberFormat="1" applyFont="1" applyFill="1" applyBorder="1"/>
    <xf numFmtId="0" fontId="7" fillId="13" borderId="4" xfId="0" applyNumberFormat="1" applyFont="1" applyFill="1" applyBorder="1" applyAlignment="1">
      <alignment horizontal="right" vertical="center"/>
    </xf>
    <xf numFmtId="0" fontId="10" fillId="3" borderId="0" xfId="0" applyNumberFormat="1" applyFont="1" applyFill="1" applyAlignment="1">
      <alignment horizontal="right"/>
    </xf>
    <xf numFmtId="0" fontId="13" fillId="5" borderId="7" xfId="0" applyNumberFormat="1" applyFont="1" applyFill="1" applyBorder="1"/>
    <xf numFmtId="0" fontId="10" fillId="3" borderId="10" xfId="0" applyNumberFormat="1" applyFont="1" applyFill="1" applyBorder="1"/>
    <xf numFmtId="0" fontId="10" fillId="3" borderId="0" xfId="0" applyNumberFormat="1" applyFont="1" applyFill="1" applyBorder="1"/>
    <xf numFmtId="0" fontId="10" fillId="13" borderId="10" xfId="0" applyNumberFormat="1" applyFont="1" applyFill="1" applyBorder="1" applyAlignment="1">
      <alignment horizontal="right"/>
    </xf>
    <xf numFmtId="0" fontId="33" fillId="3" borderId="10" xfId="0" applyNumberFormat="1" applyFont="1" applyFill="1" applyBorder="1"/>
    <xf numFmtId="0" fontId="10" fillId="6" borderId="13" xfId="0" applyNumberFormat="1" applyFont="1" applyFill="1" applyBorder="1" applyAlignment="1">
      <alignment horizontal="right"/>
    </xf>
    <xf numFmtId="0" fontId="13" fillId="5" borderId="7" xfId="0" applyNumberFormat="1" applyFont="1" applyFill="1" applyBorder="1" applyAlignment="1">
      <alignment horizontal="left"/>
    </xf>
    <xf numFmtId="0" fontId="8" fillId="10" borderId="4" xfId="0" applyNumberFormat="1" applyFont="1" applyFill="1" applyBorder="1"/>
    <xf numFmtId="0" fontId="10" fillId="3" borderId="0" xfId="0" applyNumberFormat="1" applyFont="1" applyFill="1"/>
    <xf numFmtId="0" fontId="13" fillId="7" borderId="7" xfId="0" applyNumberFormat="1" applyFont="1" applyFill="1" applyBorder="1"/>
    <xf numFmtId="0" fontId="10" fillId="3" borderId="10" xfId="0" applyNumberFormat="1" applyFont="1" applyFill="1" applyBorder="1" applyAlignment="1">
      <alignment horizontal="left"/>
    </xf>
    <xf numFmtId="0" fontId="0" fillId="3" borderId="10" xfId="0" applyNumberFormat="1" applyFill="1" applyBorder="1"/>
    <xf numFmtId="0" fontId="10" fillId="8" borderId="13" xfId="0" applyNumberFormat="1" applyFont="1" applyFill="1" applyBorder="1" applyAlignment="1">
      <alignment horizontal="right"/>
    </xf>
    <xf numFmtId="0" fontId="8" fillId="14" borderId="4" xfId="0" applyNumberFormat="1" applyFont="1" applyFill="1" applyBorder="1"/>
    <xf numFmtId="0" fontId="13" fillId="9" borderId="7" xfId="0" applyNumberFormat="1" applyFont="1" applyFill="1" applyBorder="1"/>
    <xf numFmtId="0" fontId="8" fillId="13" borderId="10" xfId="0" applyNumberFormat="1" applyFont="1" applyFill="1" applyBorder="1" applyAlignment="1">
      <alignment horizontal="right"/>
    </xf>
    <xf numFmtId="0" fontId="8" fillId="15" borderId="13" xfId="0" applyNumberFormat="1" applyFont="1" applyFill="1" applyBorder="1" applyAlignment="1">
      <alignment horizontal="right"/>
    </xf>
    <xf numFmtId="0" fontId="9" fillId="0" borderId="0" xfId="0" applyNumberFormat="1" applyFont="1"/>
    <xf numFmtId="0" fontId="9" fillId="13" borderId="0" xfId="0" applyNumberFormat="1" applyFont="1" applyFill="1" applyAlignment="1">
      <alignment horizontal="left" vertical="center"/>
    </xf>
    <xf numFmtId="0" fontId="34" fillId="3" borderId="0" xfId="0" applyNumberFormat="1" applyFont="1" applyFill="1" applyAlignment="1">
      <alignment horizontal="left" vertical="center"/>
    </xf>
    <xf numFmtId="165" fontId="23" fillId="2" borderId="0" xfId="0" applyNumberFormat="1" applyFont="1" applyFill="1" applyAlignment="1"/>
    <xf numFmtId="0" fontId="27" fillId="16" borderId="0" xfId="0" applyFont="1" applyFill="1" applyAlignment="1"/>
    <xf numFmtId="0" fontId="5" fillId="0" borderId="0" xfId="0" quotePrefix="1" applyFont="1" applyAlignment="1"/>
    <xf numFmtId="168" fontId="27" fillId="16" borderId="0" xfId="0" applyNumberFormat="1" applyFont="1" applyFill="1" applyAlignment="1"/>
    <xf numFmtId="0" fontId="5" fillId="0" borderId="0" xfId="0" applyNumberFormat="1" applyFont="1" applyAlignment="1"/>
    <xf numFmtId="0" fontId="19" fillId="17" borderId="0" xfId="0" applyFont="1" applyFill="1" applyAlignment="1"/>
    <xf numFmtId="164" fontId="19" fillId="17" borderId="0" xfId="0" applyNumberFormat="1" applyFont="1" applyFill="1" applyAlignment="1"/>
    <xf numFmtId="0" fontId="5" fillId="3" borderId="0" xfId="0" applyFont="1" applyFill="1" applyAlignment="1"/>
    <xf numFmtId="164" fontId="0" fillId="3" borderId="0" xfId="0" applyNumberFormat="1" applyFont="1" applyFill="1" applyAlignment="1"/>
    <xf numFmtId="0" fontId="0" fillId="3" borderId="0" xfId="0" applyFont="1" applyFill="1" applyAlignment="1"/>
    <xf numFmtId="0" fontId="35" fillId="3" borderId="0" xfId="0" applyFont="1" applyFill="1" applyAlignment="1"/>
    <xf numFmtId="0" fontId="8" fillId="3" borderId="3" xfId="0" applyFont="1" applyFill="1" applyBorder="1" applyAlignment="1">
      <alignment horizontal="center" vertical="center" wrapText="1"/>
    </xf>
    <xf numFmtId="171" fontId="10" fillId="3" borderId="0" xfId="0" applyNumberFormat="1" applyFont="1" applyFill="1" applyBorder="1"/>
    <xf numFmtId="171" fontId="9" fillId="3" borderId="0" xfId="0" applyNumberFormat="1" applyFont="1" applyFill="1" applyAlignment="1">
      <alignment horizontal="right" vertical="center"/>
    </xf>
    <xf numFmtId="171" fontId="9" fillId="13" borderId="0" xfId="0" applyNumberFormat="1" applyFont="1" applyFill="1" applyAlignment="1">
      <alignment horizontal="right" vertical="center"/>
    </xf>
    <xf numFmtId="171" fontId="9" fillId="13" borderId="0" xfId="0" applyNumberFormat="1" applyFont="1" applyFill="1"/>
    <xf numFmtId="171" fontId="7" fillId="13" borderId="5" xfId="0" applyNumberFormat="1" applyFont="1" applyFill="1" applyBorder="1" applyAlignment="1">
      <alignment horizontal="right" vertical="center"/>
    </xf>
    <xf numFmtId="171" fontId="7" fillId="13" borderId="6" xfId="0" applyNumberFormat="1" applyFont="1" applyFill="1" applyBorder="1"/>
    <xf numFmtId="171" fontId="7" fillId="3" borderId="0" xfId="0" applyNumberFormat="1" applyFont="1" applyFill="1"/>
    <xf numFmtId="171" fontId="10" fillId="3" borderId="0" xfId="0" applyNumberFormat="1" applyFont="1" applyFill="1"/>
    <xf numFmtId="171" fontId="14" fillId="5" borderId="8" xfId="0" applyNumberFormat="1" applyFont="1" applyFill="1" applyBorder="1" applyAlignment="1">
      <alignment horizontal="center"/>
    </xf>
    <xf numFmtId="171" fontId="14" fillId="5" borderId="9" xfId="0" applyNumberFormat="1" applyFont="1" applyFill="1" applyBorder="1" applyAlignment="1">
      <alignment horizontal="center"/>
    </xf>
    <xf numFmtId="171" fontId="10" fillId="3" borderId="11" xfId="0" applyNumberFormat="1" applyFont="1" applyFill="1" applyBorder="1"/>
    <xf numFmtId="171" fontId="10" fillId="3" borderId="12" xfId="0" applyNumberFormat="1" applyFont="1" applyFill="1" applyBorder="1"/>
    <xf numFmtId="171" fontId="10" fillId="13" borderId="0" xfId="0" applyNumberFormat="1" applyFont="1" applyFill="1" applyBorder="1"/>
    <xf numFmtId="171" fontId="10" fillId="13" borderId="12" xfId="0" applyNumberFormat="1" applyFont="1" applyFill="1" applyBorder="1"/>
    <xf numFmtId="171" fontId="10" fillId="6" borderId="14" xfId="0" applyNumberFormat="1" applyFont="1" applyFill="1" applyBorder="1"/>
    <xf numFmtId="171" fontId="10" fillId="6" borderId="15" xfId="0" applyNumberFormat="1" applyFont="1" applyFill="1" applyBorder="1"/>
    <xf numFmtId="171" fontId="8" fillId="10" borderId="5" xfId="0" applyNumberFormat="1" applyFont="1" applyFill="1" applyBorder="1"/>
    <xf numFmtId="171" fontId="8" fillId="10" borderId="6" xfId="0" applyNumberFormat="1" applyFont="1" applyFill="1" applyBorder="1"/>
    <xf numFmtId="171" fontId="10" fillId="8" borderId="14" xfId="0" applyNumberFormat="1" applyFont="1" applyFill="1" applyBorder="1"/>
    <xf numFmtId="171" fontId="10" fillId="8" borderId="16" xfId="0" applyNumberFormat="1" applyFont="1" applyFill="1" applyBorder="1"/>
    <xf numFmtId="171" fontId="10" fillId="8" borderId="15" xfId="0" applyNumberFormat="1" applyFont="1" applyFill="1" applyBorder="1"/>
    <xf numFmtId="171" fontId="10" fillId="14" borderId="5" xfId="0" applyNumberFormat="1" applyFont="1" applyFill="1" applyBorder="1"/>
    <xf numFmtId="171" fontId="8" fillId="14" borderId="5" xfId="0" applyNumberFormat="1" applyFont="1" applyFill="1" applyBorder="1"/>
    <xf numFmtId="171" fontId="8" fillId="14" borderId="6" xfId="0" applyNumberFormat="1" applyFont="1" applyFill="1" applyBorder="1"/>
    <xf numFmtId="171" fontId="10" fillId="6" borderId="16" xfId="0" applyNumberFormat="1" applyFont="1" applyFill="1" applyBorder="1"/>
    <xf numFmtId="171" fontId="14" fillId="9" borderId="8" xfId="0" applyNumberFormat="1" applyFont="1" applyFill="1" applyBorder="1" applyAlignment="1">
      <alignment horizontal="center"/>
    </xf>
    <xf numFmtId="171" fontId="8" fillId="13" borderId="0" xfId="0" applyNumberFormat="1" applyFont="1" applyFill="1" applyBorder="1"/>
    <xf numFmtId="171" fontId="8" fillId="15" borderId="14" xfId="0" applyNumberFormat="1" applyFont="1" applyFill="1" applyBorder="1"/>
    <xf numFmtId="0" fontId="36" fillId="0" borderId="0" xfId="0" applyFont="1"/>
    <xf numFmtId="0" fontId="3" fillId="0" borderId="0" xfId="0" applyNumberFormat="1" applyFont="1" applyAlignment="1"/>
    <xf numFmtId="165" fontId="24" fillId="0" borderId="0" xfId="0" applyNumberFormat="1" applyFont="1" applyAlignment="1"/>
    <xf numFmtId="164" fontId="27" fillId="16" borderId="0" xfId="0" applyNumberFormat="1" applyFont="1" applyFill="1" applyAlignment="1"/>
    <xf numFmtId="165" fontId="27" fillId="16" borderId="0" xfId="0" applyNumberFormat="1" applyFont="1" applyFill="1" applyAlignment="1"/>
    <xf numFmtId="0" fontId="25" fillId="0" borderId="0" xfId="0" applyFont="1" applyAlignment="1"/>
    <xf numFmtId="14" fontId="10" fillId="0" borderId="0" xfId="0" applyNumberFormat="1" applyFont="1" applyAlignment="1">
      <alignment horizontal="right"/>
    </xf>
    <xf numFmtId="164" fontId="38" fillId="0" borderId="0" xfId="0" applyNumberFormat="1" applyFont="1" applyAlignment="1"/>
    <xf numFmtId="0" fontId="9" fillId="0" borderId="0" xfId="5" applyFont="1" applyAlignment="1">
      <alignment horizontal="center" wrapText="1"/>
    </xf>
    <xf numFmtId="14" fontId="37" fillId="0" borderId="0" xfId="5" applyNumberFormat="1" applyFont="1" applyAlignment="1">
      <alignment horizontal="left" wrapText="1"/>
    </xf>
    <xf numFmtId="164" fontId="37" fillId="0" borderId="0" xfId="5" applyNumberFormat="1" applyFont="1" applyAlignment="1">
      <alignment horizontal="center" wrapText="1"/>
    </xf>
    <xf numFmtId="0" fontId="9" fillId="0" borderId="0" xfId="5" applyFont="1"/>
    <xf numFmtId="14" fontId="40" fillId="0" borderId="0" xfId="5" applyNumberFormat="1" applyFont="1" applyAlignment="1">
      <alignment horizontal="center" wrapText="1"/>
    </xf>
    <xf numFmtId="164" fontId="40" fillId="0" borderId="0" xfId="5" applyNumberFormat="1" applyFont="1" applyAlignment="1">
      <alignment horizontal="center" wrapText="1"/>
    </xf>
    <xf numFmtId="0" fontId="7" fillId="18" borderId="4" xfId="5" applyFont="1" applyFill="1" applyBorder="1"/>
    <xf numFmtId="14" fontId="7" fillId="18" borderId="5" xfId="5" applyNumberFormat="1" applyFont="1" applyFill="1" applyBorder="1" applyAlignment="1">
      <alignment horizontal="left"/>
    </xf>
    <xf numFmtId="164" fontId="7" fillId="18" borderId="5" xfId="5" applyNumberFormat="1" applyFont="1" applyFill="1" applyBorder="1"/>
    <xf numFmtId="164" fontId="7" fillId="18" borderId="6" xfId="5" applyNumberFormat="1" applyFont="1" applyFill="1" applyBorder="1"/>
    <xf numFmtId="14" fontId="9" fillId="0" borderId="0" xfId="5" applyNumberFormat="1" applyFont="1" applyAlignment="1">
      <alignment horizontal="left"/>
    </xf>
    <xf numFmtId="164" fontId="9" fillId="0" borderId="0" xfId="5" applyNumberFormat="1" applyFont="1"/>
    <xf numFmtId="0" fontId="1" fillId="0" borderId="0" xfId="5"/>
    <xf numFmtId="166" fontId="8" fillId="3" borderId="1" xfId="0" applyNumberFormat="1" applyFont="1" applyFill="1" applyBorder="1" applyAlignment="1">
      <alignment horizontal="center" vertical="center"/>
    </xf>
    <xf numFmtId="166" fontId="8" fillId="3" borderId="3" xfId="0" applyNumberFormat="1" applyFont="1" applyFill="1" applyBorder="1" applyAlignment="1">
      <alignment horizontal="center" vertical="center"/>
    </xf>
    <xf numFmtId="0" fontId="10" fillId="3" borderId="7" xfId="0" applyNumberFormat="1" applyFont="1" applyFill="1" applyBorder="1"/>
    <xf numFmtId="171" fontId="10" fillId="3" borderId="17" xfId="0" applyNumberFormat="1" applyFont="1" applyFill="1" applyBorder="1"/>
    <xf numFmtId="171" fontId="10" fillId="3" borderId="18" xfId="0" applyNumberFormat="1" applyFont="1" applyFill="1" applyBorder="1"/>
    <xf numFmtId="171" fontId="10" fillId="3" borderId="19" xfId="0" applyNumberFormat="1" applyFont="1" applyFill="1" applyBorder="1"/>
    <xf numFmtId="171" fontId="8" fillId="13" borderId="12" xfId="0" applyNumberFormat="1" applyFont="1" applyFill="1" applyBorder="1"/>
    <xf numFmtId="171" fontId="8" fillId="15" borderId="15" xfId="0" applyNumberFormat="1" applyFont="1" applyFill="1" applyBorder="1"/>
    <xf numFmtId="171" fontId="14" fillId="9" borderId="9" xfId="0" applyNumberFormat="1" applyFont="1" applyFill="1" applyBorder="1" applyAlignment="1">
      <alignment horizontal="center"/>
    </xf>
    <xf numFmtId="0" fontId="41" fillId="0" borderId="0" xfId="0" applyFont="1" applyAlignment="1"/>
    <xf numFmtId="0" fontId="41" fillId="0" borderId="0" xfId="0" quotePrefix="1" applyFont="1" applyAlignment="1"/>
    <xf numFmtId="16" fontId="22" fillId="0" borderId="0" xfId="0" quotePrefix="1" applyNumberFormat="1" applyFont="1" applyAlignment="1">
      <alignment horizontal="right"/>
    </xf>
    <xf numFmtId="0" fontId="22" fillId="0" borderId="0" xfId="0" applyFont="1" applyAlignment="1">
      <alignment horizontal="right"/>
    </xf>
    <xf numFmtId="0" fontId="0" fillId="0" borderId="0" xfId="0" applyFont="1" applyAlignment="1">
      <alignment horizontal="right"/>
    </xf>
    <xf numFmtId="0" fontId="25" fillId="0" borderId="0" xfId="0" applyFont="1" applyAlignment="1">
      <alignment horizontal="right"/>
    </xf>
    <xf numFmtId="0" fontId="5" fillId="0" borderId="0" xfId="0" applyFont="1" applyAlignment="1">
      <alignment horizontal="right"/>
    </xf>
    <xf numFmtId="0" fontId="24" fillId="0" borderId="0" xfId="0" applyFont="1" applyAlignment="1">
      <alignment horizontal="center"/>
    </xf>
    <xf numFmtId="0" fontId="27" fillId="16" borderId="0" xfId="0" applyFont="1" applyFill="1" applyAlignment="1">
      <alignment horizontal="center"/>
    </xf>
    <xf numFmtId="0" fontId="9" fillId="3" borderId="0" xfId="0" applyFont="1" applyFill="1" applyBorder="1"/>
    <xf numFmtId="0" fontId="9" fillId="3" borderId="0" xfId="0" applyFont="1" applyFill="1"/>
    <xf numFmtId="0" fontId="12" fillId="3" borderId="0" xfId="0" quotePrefix="1" applyFont="1" applyFill="1" applyAlignment="1">
      <alignment wrapText="1"/>
    </xf>
    <xf numFmtId="14" fontId="5" fillId="0" borderId="0" xfId="0" quotePrefix="1" applyNumberFormat="1" applyFont="1" applyAlignment="1">
      <alignment horizontal="right" wrapText="1"/>
    </xf>
    <xf numFmtId="0" fontId="23" fillId="2" borderId="0" xfId="0" applyFont="1" applyFill="1" applyAlignment="1">
      <alignment horizontal="center"/>
    </xf>
    <xf numFmtId="0" fontId="0" fillId="0" borderId="0" xfId="0" applyFont="1" applyAlignment="1">
      <alignment horizontal="center"/>
    </xf>
    <xf numFmtId="14" fontId="21" fillId="0" borderId="0" xfId="0" applyNumberFormat="1" applyFont="1" applyAlignment="1">
      <alignment horizontal="center"/>
    </xf>
    <xf numFmtId="0" fontId="18" fillId="0" borderId="0" xfId="0" applyFont="1" applyAlignment="1"/>
    <xf numFmtId="167" fontId="10" fillId="0" borderId="0" xfId="0" applyNumberFormat="1" applyFont="1" applyBorder="1" applyAlignment="1">
      <alignment horizontal="center"/>
    </xf>
    <xf numFmtId="0" fontId="38" fillId="0" borderId="0" xfId="0" applyFont="1" applyAlignment="1"/>
    <xf numFmtId="14" fontId="10" fillId="0" borderId="0" xfId="3" applyNumberFormat="1" applyFont="1"/>
    <xf numFmtId="0" fontId="34" fillId="3" borderId="0" xfId="0" applyNumberFormat="1" applyFont="1" applyFill="1" applyBorder="1" applyAlignment="1">
      <alignment horizontal="right"/>
    </xf>
    <xf numFmtId="0" fontId="12" fillId="3" borderId="0" xfId="0" applyNumberFormat="1" applyFont="1" applyFill="1" applyBorder="1" applyAlignment="1">
      <alignment horizontal="right" vertical="center"/>
    </xf>
    <xf numFmtId="164" fontId="11" fillId="3" borderId="0" xfId="0" applyNumberFormat="1" applyFont="1" applyFill="1" applyBorder="1" applyAlignment="1">
      <alignment horizontal="right" vertical="center"/>
    </xf>
    <xf numFmtId="164" fontId="12" fillId="3" borderId="0" xfId="0" applyNumberFormat="1" applyFont="1" applyFill="1" applyBorder="1" applyAlignment="1">
      <alignment horizontal="right" vertical="center"/>
    </xf>
    <xf numFmtId="164" fontId="7" fillId="3" borderId="0" xfId="0" applyNumberFormat="1" applyFont="1" applyFill="1" applyBorder="1"/>
    <xf numFmtId="0" fontId="9" fillId="0" borderId="0" xfId="0" applyFont="1" applyFill="1" applyBorder="1"/>
    <xf numFmtId="164" fontId="10" fillId="0" borderId="0" xfId="0" applyNumberFormat="1" applyFont="1" applyFill="1" applyBorder="1"/>
    <xf numFmtId="0" fontId="12" fillId="3" borderId="0" xfId="0" applyNumberFormat="1" applyFont="1" applyFill="1" applyBorder="1" applyAlignment="1">
      <alignment horizontal="right"/>
    </xf>
    <xf numFmtId="164" fontId="12" fillId="3" borderId="0" xfId="0" applyNumberFormat="1" applyFont="1" applyFill="1" applyBorder="1"/>
    <xf numFmtId="0" fontId="9" fillId="0" borderId="0" xfId="0" quotePrefix="1" applyFont="1"/>
    <xf numFmtId="164" fontId="10" fillId="0" borderId="0" xfId="0" applyNumberFormat="1" applyFont="1" applyBorder="1"/>
    <xf numFmtId="171" fontId="10" fillId="5" borderId="8" xfId="0" applyNumberFormat="1" applyFont="1" applyFill="1" applyBorder="1" applyAlignment="1">
      <alignment horizontal="center"/>
    </xf>
    <xf numFmtId="171" fontId="10" fillId="5" borderId="9" xfId="0" applyNumberFormat="1" applyFont="1" applyFill="1" applyBorder="1" applyAlignment="1">
      <alignment horizontal="center"/>
    </xf>
    <xf numFmtId="171" fontId="10" fillId="5" borderId="8" xfId="0" applyNumberFormat="1" applyFont="1" applyFill="1" applyBorder="1" applyAlignment="1">
      <alignment horizontal="left"/>
    </xf>
    <xf numFmtId="171" fontId="10" fillId="5" borderId="9" xfId="0" applyNumberFormat="1" applyFont="1" applyFill="1" applyBorder="1" applyAlignment="1">
      <alignment horizontal="left"/>
    </xf>
    <xf numFmtId="171" fontId="10" fillId="7" borderId="8" xfId="0" applyNumberFormat="1" applyFont="1" applyFill="1" applyBorder="1" applyAlignment="1">
      <alignment horizontal="center"/>
    </xf>
    <xf numFmtId="171" fontId="10" fillId="7" borderId="9" xfId="0" applyNumberFormat="1" applyFont="1" applyFill="1" applyBorder="1" applyAlignment="1">
      <alignment horizontal="center"/>
    </xf>
    <xf numFmtId="0" fontId="5" fillId="3" borderId="10" xfId="0" applyNumberFormat="1" applyFont="1" applyFill="1" applyBorder="1"/>
    <xf numFmtId="0" fontId="43" fillId="0" borderId="0" xfId="0" applyFont="1"/>
    <xf numFmtId="14" fontId="25" fillId="0" borderId="0" xfId="0" quotePrefix="1" applyNumberFormat="1" applyFont="1" applyAlignment="1"/>
    <xf numFmtId="165" fontId="25" fillId="0" borderId="0" xfId="0" applyNumberFormat="1" applyFont="1" applyAlignment="1"/>
    <xf numFmtId="164" fontId="11" fillId="3" borderId="0" xfId="0" applyNumberFormat="1" applyFont="1" applyFill="1" applyBorder="1"/>
    <xf numFmtId="0" fontId="34" fillId="3" borderId="0" xfId="0" applyNumberFormat="1" applyFont="1" applyFill="1" applyBorder="1" applyAlignment="1">
      <alignment horizontal="right" vertical="center"/>
    </xf>
    <xf numFmtId="0" fontId="12" fillId="0" borderId="0" xfId="0" quotePrefix="1" applyFont="1" applyBorder="1"/>
    <xf numFmtId="0" fontId="12" fillId="0" borderId="0" xfId="0" quotePrefix="1" applyFont="1" applyBorder="1" applyAlignment="1"/>
    <xf numFmtId="14" fontId="22" fillId="0" borderId="0" xfId="0" quotePrefix="1" applyNumberFormat="1" applyFont="1" applyAlignment="1">
      <alignment horizontal="right" wrapText="1"/>
    </xf>
    <xf numFmtId="0" fontId="9" fillId="3" borderId="0" xfId="0" applyNumberFormat="1" applyFont="1" applyFill="1" applyBorder="1" applyAlignment="1">
      <alignment horizontal="right" vertical="center"/>
    </xf>
    <xf numFmtId="171" fontId="9" fillId="3" borderId="0" xfId="0" applyNumberFormat="1" applyFont="1" applyFill="1" applyBorder="1" applyAlignment="1">
      <alignment horizontal="right" vertical="center"/>
    </xf>
  </cellXfs>
  <cellStyles count="6">
    <cellStyle name="Comma" xfId="1" builtinId="3"/>
    <cellStyle name="Hyperlink" xfId="2" builtinId="8"/>
    <cellStyle name="Normal" xfId="0" builtinId="0"/>
    <cellStyle name="Normal 2" xfId="3" xr:uid="{CEC3D16E-4166-4668-9BC3-C144B47C870F}"/>
    <cellStyle name="Normal 3" xfId="4" xr:uid="{6CA16E74-4B7B-4598-9E11-AB00B459EAD6}"/>
    <cellStyle name="Normal 4" xfId="5" xr:uid="{28C9050D-52DD-4991-AD73-BA46E072E313}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"/>
          <c:w val="1"/>
          <c:h val="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NTM!$B$11</c:f>
              <c:strCache>
                <c:ptCount val="1"/>
                <c:pt idx="0">
                  <c:v>Net CASH FLOW</c:v>
                </c:pt>
              </c:strCache>
            </c:strRef>
          </c:tx>
          <c:spPr>
            <a:solidFill>
              <a:srgbClr val="00B050"/>
            </a:solidFill>
            <a:ln w="12700">
              <a:noFill/>
              <a:miter lim="800000"/>
            </a:ln>
            <a:effectLst/>
          </c:spPr>
          <c:invertIfNegative val="1"/>
          <c:val>
            <c:numRef>
              <c:f>NTM!$C$11:$N$11</c:f>
              <c:numCache>
                <c:formatCode>_(#,##0_);\(#,##0\);_(* "– "_);_(@_)</c:formatCode>
                <c:ptCount val="12"/>
                <c:pt idx="0">
                  <c:v>7970</c:v>
                </c:pt>
                <c:pt idx="1">
                  <c:v>-1165.9700000000003</c:v>
                </c:pt>
                <c:pt idx="2">
                  <c:v>-840.97000000000025</c:v>
                </c:pt>
                <c:pt idx="3">
                  <c:v>2530.0299999999997</c:v>
                </c:pt>
                <c:pt idx="4">
                  <c:v>7045.03</c:v>
                </c:pt>
                <c:pt idx="5">
                  <c:v>4702.03</c:v>
                </c:pt>
                <c:pt idx="6">
                  <c:v>2431.0299999999997</c:v>
                </c:pt>
                <c:pt idx="7">
                  <c:v>2520.0299999999997</c:v>
                </c:pt>
                <c:pt idx="8">
                  <c:v>2480.0299999999997</c:v>
                </c:pt>
                <c:pt idx="9">
                  <c:v>2495.0299999999997</c:v>
                </c:pt>
                <c:pt idx="10">
                  <c:v>4747.03</c:v>
                </c:pt>
                <c:pt idx="11">
                  <c:v>2505.0299999999997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0000"/>
                  </a:solidFill>
                  <a:ln w="12700">
                    <a:noFill/>
                    <a:miter lim="800000"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64E0-43D3-A808-206920B741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854495376"/>
        <c:axId val="854480016"/>
      </c:barChart>
      <c:catAx>
        <c:axId val="854495376"/>
        <c:scaling>
          <c:orientation val="minMax"/>
        </c:scaling>
        <c:delete val="0"/>
        <c:axPos val="b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4480016"/>
        <c:crosses val="autoZero"/>
        <c:auto val="1"/>
        <c:lblAlgn val="ctr"/>
        <c:lblOffset val="100"/>
        <c:noMultiLvlLbl val="0"/>
      </c:catAx>
      <c:valAx>
        <c:axId val="854480016"/>
        <c:scaling>
          <c:orientation val="minMax"/>
        </c:scaling>
        <c:delete val="0"/>
        <c:axPos val="l"/>
        <c:numFmt formatCode="_(#,##0_);\(#,##0\);_(* &quot;– &quot;_);_(@_)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4495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"/>
          <c:w val="1"/>
          <c:h val="0.9574123822757449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NTM!$B$49</c:f>
              <c:strCache>
                <c:ptCount val="1"/>
                <c:pt idx="0">
                  <c:v>Total INFLOWS</c:v>
                </c:pt>
              </c:strCache>
            </c:strRef>
          </c:tx>
          <c:spPr>
            <a:solidFill>
              <a:schemeClr val="accent3"/>
            </a:solidFill>
            <a:ln w="12700">
              <a:noFill/>
              <a:miter lim="800000"/>
            </a:ln>
            <a:effectLst/>
          </c:spPr>
          <c:invertIfNegative val="0"/>
          <c:val>
            <c:numRef>
              <c:f>NTM!$C$49:$N$49</c:f>
              <c:numCache>
                <c:formatCode>_(#,##0_);\(#,##0\);_(* "– "_);_(@_)</c:formatCode>
                <c:ptCount val="12"/>
                <c:pt idx="0">
                  <c:v>10000</c:v>
                </c:pt>
                <c:pt idx="1">
                  <c:v>5168</c:v>
                </c:pt>
                <c:pt idx="2">
                  <c:v>5218</c:v>
                </c:pt>
                <c:pt idx="3">
                  <c:v>5154</c:v>
                </c:pt>
                <c:pt idx="4">
                  <c:v>9704</c:v>
                </c:pt>
                <c:pt idx="5">
                  <c:v>7631</c:v>
                </c:pt>
                <c:pt idx="6">
                  <c:v>5154</c:v>
                </c:pt>
                <c:pt idx="7">
                  <c:v>5204</c:v>
                </c:pt>
                <c:pt idx="8">
                  <c:v>5154</c:v>
                </c:pt>
                <c:pt idx="9">
                  <c:v>5154</c:v>
                </c:pt>
                <c:pt idx="10">
                  <c:v>7681</c:v>
                </c:pt>
                <c:pt idx="11">
                  <c:v>5154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48-4FFD-9397-31998A503B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854495376"/>
        <c:axId val="854480016"/>
      </c:barChart>
      <c:catAx>
        <c:axId val="854495376"/>
        <c:scaling>
          <c:orientation val="minMax"/>
        </c:scaling>
        <c:delete val="0"/>
        <c:axPos val="b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4480016"/>
        <c:crosses val="autoZero"/>
        <c:auto val="1"/>
        <c:lblAlgn val="ctr"/>
        <c:lblOffset val="100"/>
        <c:noMultiLvlLbl val="0"/>
      </c:catAx>
      <c:valAx>
        <c:axId val="854480016"/>
        <c:scaling>
          <c:orientation val="minMax"/>
        </c:scaling>
        <c:delete val="0"/>
        <c:axPos val="l"/>
        <c:numFmt formatCode="_(#,##0_);\(#,##0\);_(* &quot;– &quot;_);_(@_)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4495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"/>
          <c:w val="1"/>
          <c:h val="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NTM!$B$11</c:f>
              <c:strCache>
                <c:ptCount val="1"/>
                <c:pt idx="0">
                  <c:v>Net CASH FLOW</c:v>
                </c:pt>
              </c:strCache>
            </c:strRef>
          </c:tx>
          <c:spPr>
            <a:solidFill>
              <a:schemeClr val="tx2"/>
            </a:solidFill>
            <a:ln w="12700">
              <a:noFill/>
              <a:miter lim="800000"/>
            </a:ln>
            <a:effectLst/>
          </c:spPr>
          <c:invertIfNegative val="0"/>
          <c:val>
            <c:numRef>
              <c:f>NTM!$C$87:$N$87</c:f>
              <c:numCache>
                <c:formatCode>_(#,##0_);\(#,##0\);_(* "– "_);_(@_)</c:formatCode>
                <c:ptCount val="12"/>
                <c:pt idx="0">
                  <c:v>2030</c:v>
                </c:pt>
                <c:pt idx="1">
                  <c:v>6333.97</c:v>
                </c:pt>
                <c:pt idx="2">
                  <c:v>6058.97</c:v>
                </c:pt>
                <c:pt idx="3">
                  <c:v>2623.9700000000003</c:v>
                </c:pt>
                <c:pt idx="4">
                  <c:v>2658.9700000000003</c:v>
                </c:pt>
                <c:pt idx="5">
                  <c:v>2928.9700000000003</c:v>
                </c:pt>
                <c:pt idx="6">
                  <c:v>2722.9700000000003</c:v>
                </c:pt>
                <c:pt idx="7">
                  <c:v>2683.9700000000003</c:v>
                </c:pt>
                <c:pt idx="8">
                  <c:v>2673.9700000000003</c:v>
                </c:pt>
                <c:pt idx="9">
                  <c:v>2658.9700000000003</c:v>
                </c:pt>
                <c:pt idx="10">
                  <c:v>2933.9700000000003</c:v>
                </c:pt>
                <c:pt idx="11">
                  <c:v>2648.9700000000003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49-4051-813C-B5767BDE2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854495376"/>
        <c:axId val="854480016"/>
      </c:barChart>
      <c:catAx>
        <c:axId val="854495376"/>
        <c:scaling>
          <c:orientation val="minMax"/>
        </c:scaling>
        <c:delete val="0"/>
        <c:axPos val="b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4480016"/>
        <c:crosses val="autoZero"/>
        <c:auto val="1"/>
        <c:lblAlgn val="ctr"/>
        <c:lblOffset val="100"/>
        <c:noMultiLvlLbl val="0"/>
      </c:catAx>
      <c:valAx>
        <c:axId val="854480016"/>
        <c:scaling>
          <c:orientation val="minMax"/>
        </c:scaling>
        <c:delete val="0"/>
        <c:axPos val="l"/>
        <c:numFmt formatCode="_(#,##0_);\(#,##0\);_(* &quot;– &quot;_);_(@_)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4495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</xdr:row>
          <xdr:rowOff>9525</xdr:rowOff>
        </xdr:from>
        <xdr:to>
          <xdr:col>18</xdr:col>
          <xdr:colOff>0</xdr:colOff>
          <xdr:row>4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3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sng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change notes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13</xdr:row>
      <xdr:rowOff>0</xdr:rowOff>
    </xdr:from>
    <xdr:to>
      <xdr:col>14</xdr:col>
      <xdr:colOff>0</xdr:colOff>
      <xdr:row>18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4B712DE-399D-AA4E-2EEC-C37B6C8603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50</xdr:row>
      <xdr:rowOff>0</xdr:rowOff>
    </xdr:from>
    <xdr:to>
      <xdr:col>14</xdr:col>
      <xdr:colOff>0</xdr:colOff>
      <xdr:row>55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B3DFD2E-39C6-4B58-A245-B01FB6144A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14</xdr:col>
      <xdr:colOff>0</xdr:colOff>
      <xdr:row>93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80CDB19-C200-4A5B-97F9-D12C35D45C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1</xdr:row>
          <xdr:rowOff>57150</xdr:rowOff>
        </xdr:from>
        <xdr:to>
          <xdr:col>1</xdr:col>
          <xdr:colOff>581025</xdr:colOff>
          <xdr:row>2</xdr:row>
          <xdr:rowOff>95250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Archive Balances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666749</xdr:colOff>
      <xdr:row>19</xdr:row>
      <xdr:rowOff>66675</xdr:rowOff>
    </xdr:from>
    <xdr:ext cx="6286501" cy="171457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 txBox="1"/>
      </xdr:nvSpPr>
      <xdr:spPr>
        <a:xfrm>
          <a:off x="809624" y="3171825"/>
          <a:ext cx="6286501" cy="1714572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1" u="sng"/>
            <a:t>Columns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/>
            <a:t>Line Item:</a:t>
          </a:r>
          <a:r>
            <a:rPr lang="en-US" sz="1100" baseline="0"/>
            <a:t> Cash, Brokerage, Retirement, or Real Asset (like car or house).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 baseline="0"/>
            <a:t>Lock-Up: If Brokerage, describe if it is liquid (can sell securities and draw whenever) or illiquid.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 baseline="0"/>
            <a:t>Institution: Where the account is held. </a:t>
          </a: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For Brokerage, seperate securities balances from cash balances.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Account: Free-form description to remember what account the values relate to.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Balance: Balance of the associated account.</a:t>
          </a:r>
        </a:p>
        <a:p>
          <a:pPr marL="171450" indent="-171450">
            <a:buFont typeface="Arial" panose="020B0604020202020204" pitchFamily="34" charset="0"/>
            <a:buChar char="•"/>
          </a:pPr>
          <a:endParaRPr lang="en-US" sz="1100"/>
        </a:p>
        <a:p>
          <a:r>
            <a:rPr lang="en-US" sz="1100" b="1" u="sng"/>
            <a:t>Tips</a:t>
          </a:r>
          <a:r>
            <a:rPr lang="en-US" sz="1100" b="1" u="sng" baseline="0"/>
            <a:t> for inputting</a:t>
          </a:r>
          <a:endParaRPr lang="en-US" sz="1100" b="1" u="sng"/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/>
            <a:t>Sort by Institution</a:t>
          </a:r>
          <a:r>
            <a:rPr lang="en-US" sz="1100" baseline="0"/>
            <a:t> to ease input process.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1266826</xdr:colOff>
      <xdr:row>7</xdr:row>
      <xdr:rowOff>114300</xdr:rowOff>
    </xdr:from>
    <xdr:ext cx="3429000" cy="416781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 txBox="1"/>
      </xdr:nvSpPr>
      <xdr:spPr>
        <a:xfrm>
          <a:off x="1390651" y="1276350"/>
          <a:ext cx="3429000" cy="416781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/>
            <a:t>Credit card logic only supports paying the statement every month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857250</xdr:colOff>
      <xdr:row>7</xdr:row>
      <xdr:rowOff>47625</xdr:rowOff>
    </xdr:from>
    <xdr:ext cx="6286501" cy="25455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F61ED5A9-4FC0-4C22-8680-40C4291474F7}"/>
            </a:ext>
          </a:extLst>
        </xdr:cNvPr>
        <xdr:cNvSpPr txBox="1"/>
      </xdr:nvSpPr>
      <xdr:spPr>
        <a:xfrm>
          <a:off x="1000125" y="1209675"/>
          <a:ext cx="6286501" cy="254557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/>
            <a:t>Input any term</a:t>
          </a:r>
          <a:r>
            <a:rPr lang="en-US" sz="1100" baseline="0"/>
            <a:t> loans including for a car, house, large purchases etc</a:t>
          </a: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466725</xdr:colOff>
      <xdr:row>8</xdr:row>
      <xdr:rowOff>114300</xdr:rowOff>
    </xdr:from>
    <xdr:ext cx="6286501" cy="25455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CB5B63D-9098-4746-8428-7D784C83B95E}"/>
            </a:ext>
          </a:extLst>
        </xdr:cNvPr>
        <xdr:cNvSpPr txBox="1"/>
      </xdr:nvSpPr>
      <xdr:spPr>
        <a:xfrm>
          <a:off x="609600" y="1438275"/>
          <a:ext cx="6286501" cy="254557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/>
            <a:t>Input all credit card, airline,</a:t>
          </a:r>
          <a:r>
            <a:rPr lang="en-US" sz="1100" baseline="0"/>
            <a:t> hotel or other rewards balances</a:t>
          </a:r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285749</xdr:colOff>
      <xdr:row>31</xdr:row>
      <xdr:rowOff>133350</xdr:rowOff>
    </xdr:from>
    <xdr:ext cx="6286501" cy="171457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176160E4-4B7B-4913-82AD-BAD47B8F5881}"/>
            </a:ext>
          </a:extLst>
        </xdr:cNvPr>
        <xdr:cNvSpPr txBox="1"/>
      </xdr:nvSpPr>
      <xdr:spPr>
        <a:xfrm>
          <a:off x="447674" y="5181600"/>
          <a:ext cx="6286501" cy="1714572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0" u="none"/>
            <a:t>Input all cash inflows or outflows that occur</a:t>
          </a:r>
          <a:r>
            <a:rPr lang="en-US" sz="1100" b="0" u="none" baseline="0"/>
            <a:t> on an set recurring basis</a:t>
          </a:r>
          <a:endParaRPr lang="en-US" sz="1100" b="0" u="none"/>
        </a:p>
        <a:p>
          <a:endParaRPr lang="en-US" sz="1100" b="0" u="none"/>
        </a:p>
        <a:p>
          <a:r>
            <a:rPr lang="en-US" sz="1100" b="1" u="sng"/>
            <a:t>Columns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/>
            <a:t>Line Item:</a:t>
          </a:r>
          <a:r>
            <a:rPr lang="en-US" sz="1100" baseline="0"/>
            <a:t> </a:t>
          </a:r>
          <a:r>
            <a:rPr lang="en-US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Housing,</a:t>
          </a:r>
          <a:r>
            <a:rPr lang="en-US"/>
            <a:t> </a:t>
          </a:r>
          <a:r>
            <a:rPr lang="en-US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Dues &amp; Memberships,</a:t>
          </a:r>
          <a:r>
            <a:rPr lang="en-US"/>
            <a:t> </a:t>
          </a:r>
          <a:r>
            <a:rPr lang="en-US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Transportation,</a:t>
          </a:r>
          <a:r>
            <a:rPr lang="en-US"/>
            <a:t> </a:t>
          </a:r>
          <a:r>
            <a:rPr lang="en-US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Health,</a:t>
          </a:r>
          <a:r>
            <a:rPr lang="en-US"/>
            <a:t> </a:t>
          </a:r>
          <a:r>
            <a:rPr lang="en-US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Groceries,</a:t>
          </a:r>
          <a:r>
            <a:rPr lang="en-US"/>
            <a:t> </a:t>
          </a:r>
          <a:r>
            <a:rPr lang="en-US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Food &amp; Drinks,</a:t>
          </a:r>
          <a:r>
            <a:rPr lang="en-US"/>
            <a:t> </a:t>
          </a:r>
          <a:r>
            <a:rPr lang="en-US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Brokerage Contributions,</a:t>
          </a:r>
          <a:r>
            <a:rPr lang="en-US"/>
            <a:t> </a:t>
          </a:r>
          <a:r>
            <a:rPr lang="en-US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Retirement Contributions,</a:t>
          </a:r>
          <a:r>
            <a:rPr lang="en-US"/>
            <a:t> </a:t>
          </a:r>
          <a:r>
            <a:rPr lang="en-US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Other Deductions,</a:t>
          </a:r>
          <a:r>
            <a:rPr lang="en-US"/>
            <a:t> or </a:t>
          </a:r>
          <a:r>
            <a:rPr lang="en-US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Salary</a:t>
          </a:r>
          <a:r>
            <a:rPr lang="en-US"/>
            <a:t> 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 baseline="0"/>
            <a:t>Recurrence: When does the inflow or outflow happen. </a:t>
          </a:r>
          <a:endParaRPr lang="en-US" sz="110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Due Day: Day of the month if monthly recurrence. Month and day formatted as "mm-dd" for one (any) of the due dates if quarterly, bi-annually, bi-weekly, bi-monthly or annual recurrence. Input the following formula for end-of month due dates "=DAY(EOMONTH(TODAY(),0))". Input the day of the week if weekly.</a:t>
          </a: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180975</xdr:colOff>
      <xdr:row>16</xdr:row>
      <xdr:rowOff>19050</xdr:rowOff>
    </xdr:from>
    <xdr:ext cx="6286501" cy="1390124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B5767F45-B75F-4CF8-A72A-BFCDD042214B}"/>
            </a:ext>
          </a:extLst>
        </xdr:cNvPr>
        <xdr:cNvSpPr txBox="1"/>
      </xdr:nvSpPr>
      <xdr:spPr>
        <a:xfrm>
          <a:off x="314325" y="2638425"/>
          <a:ext cx="6286501" cy="1390124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0" u="none"/>
            <a:t>Input all items that are</a:t>
          </a:r>
          <a:r>
            <a:rPr lang="en-US" sz="1100" b="0" u="none" baseline="0"/>
            <a:t> variable based on Salary or Bonus</a:t>
          </a:r>
          <a:endParaRPr lang="en-US" sz="1100" b="0" u="none"/>
        </a:p>
        <a:p>
          <a:endParaRPr lang="en-US" sz="1100" b="0" u="none"/>
        </a:p>
        <a:p>
          <a:r>
            <a:rPr lang="en-US" sz="1100" b="1" u="sng"/>
            <a:t>Columns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/>
            <a:t>Line Item:</a:t>
          </a:r>
          <a:r>
            <a:rPr lang="en-US" sz="1100" baseline="0"/>
            <a:t> </a:t>
          </a:r>
          <a:r>
            <a:rPr lang="en-US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Taxes, Retirement</a:t>
          </a:r>
          <a:r>
            <a:rPr lang="en-US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Deductions, Other Deductions, Employer Retirement Contributions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Item: Things like Federal and State Taxes or 401k contribution (and employer match)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 baseline="0"/>
            <a:t>Dependant On: What the Item is based on. For example, you might have Federal tax of 20% of Salary and 25% of Bonus</a:t>
          </a:r>
          <a:endParaRPr lang="en-US" sz="110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533400</xdr:colOff>
      <xdr:row>9</xdr:row>
      <xdr:rowOff>0</xdr:rowOff>
    </xdr:from>
    <xdr:ext cx="6286501" cy="1552348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FDD86FE-0FA9-4613-9788-62BD61807C3B}"/>
            </a:ext>
          </a:extLst>
        </xdr:cNvPr>
        <xdr:cNvSpPr txBox="1"/>
      </xdr:nvSpPr>
      <xdr:spPr>
        <a:xfrm>
          <a:off x="695325" y="1543050"/>
          <a:ext cx="6286501" cy="1552348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0" u="none"/>
            <a:t>Input</a:t>
          </a:r>
          <a:r>
            <a:rPr lang="en-US" sz="1100" b="0" u="none" baseline="0"/>
            <a:t> all changes to recurring cash flows that you know of or expect</a:t>
          </a:r>
          <a:endParaRPr lang="en-US" sz="1100" b="0" u="none"/>
        </a:p>
        <a:p>
          <a:endParaRPr lang="en-US" sz="1100" b="0" u="none"/>
        </a:p>
        <a:p>
          <a:r>
            <a:rPr lang="en-US" sz="1100" b="1" u="sng"/>
            <a:t>Columns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/>
            <a:t>Line Item:</a:t>
          </a:r>
          <a:r>
            <a:rPr lang="en-US" sz="1100" baseline="0"/>
            <a:t> </a:t>
          </a:r>
          <a:r>
            <a:rPr lang="en-US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any item that you have already input on the Recurring tab</a:t>
          </a:r>
          <a:endParaRPr lang="en-US" sz="1100" b="0" i="0" u="none" strike="noStrike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Item: Things like a salary increase or rent increase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 baseline="0"/>
            <a:t>Effective Date: Date that the change is expected to take effect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Recurrance: How often is the change effected (probably monthly or paycheck)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Net Change: What is the dollar amount higher or lower that the recurring item is going to change (per recurrance)</a:t>
          </a:r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1028699</xdr:colOff>
      <xdr:row>14</xdr:row>
      <xdr:rowOff>85725</xdr:rowOff>
    </xdr:from>
    <xdr:ext cx="6286501" cy="1390124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6B7F66D-F9B1-4FF9-BC17-419AAD4C5661}"/>
            </a:ext>
          </a:extLst>
        </xdr:cNvPr>
        <xdr:cNvSpPr txBox="1"/>
      </xdr:nvSpPr>
      <xdr:spPr>
        <a:xfrm>
          <a:off x="1200149" y="2219325"/>
          <a:ext cx="6286501" cy="1390124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0" u="none"/>
            <a:t>Input</a:t>
          </a:r>
          <a:r>
            <a:rPr lang="en-US" sz="1100" b="0" u="none" baseline="0"/>
            <a:t> all one-time planned purchases or inflows</a:t>
          </a:r>
          <a:endParaRPr lang="en-US" sz="1100" b="0" u="none"/>
        </a:p>
        <a:p>
          <a:endParaRPr lang="en-US" sz="1100" b="0" u="none"/>
        </a:p>
        <a:p>
          <a:r>
            <a:rPr lang="en-US" sz="1100" b="1" u="sng"/>
            <a:t>Columns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/>
            <a:t>Line Item:</a:t>
          </a:r>
          <a:r>
            <a:rPr lang="en-US" sz="1100" baseline="0"/>
            <a:t> </a:t>
          </a:r>
          <a:r>
            <a:rPr lang="en-US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Bonus,</a:t>
          </a:r>
          <a:r>
            <a:rPr lang="en-US"/>
            <a:t> </a:t>
          </a:r>
          <a:r>
            <a:rPr lang="en-US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Friend Fees,</a:t>
          </a:r>
          <a:r>
            <a:rPr lang="en-US"/>
            <a:t> </a:t>
          </a:r>
          <a:r>
            <a:rPr lang="en-US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Selling &amp; Refunds,</a:t>
          </a:r>
          <a:r>
            <a:rPr lang="en-US"/>
            <a:t> </a:t>
          </a:r>
          <a:r>
            <a:rPr lang="en-US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Brokerage Cashout,</a:t>
          </a:r>
          <a:r>
            <a:rPr lang="en-US"/>
            <a:t> </a:t>
          </a:r>
          <a:r>
            <a:rPr lang="en-US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Other,</a:t>
          </a:r>
          <a:r>
            <a:rPr lang="en-US"/>
            <a:t> </a:t>
          </a:r>
          <a:r>
            <a:rPr lang="en-US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Housing,</a:t>
          </a:r>
          <a:r>
            <a:rPr lang="en-US"/>
            <a:t> </a:t>
          </a:r>
          <a:r>
            <a:rPr lang="en-US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Transportation,</a:t>
          </a:r>
          <a:r>
            <a:rPr lang="en-US"/>
            <a:t> </a:t>
          </a:r>
          <a:r>
            <a:rPr lang="en-US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Wishlist,</a:t>
          </a:r>
          <a:r>
            <a:rPr lang="en-US"/>
            <a:t> or </a:t>
          </a:r>
          <a:r>
            <a:rPr lang="en-US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Travel &amp; Events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Item: Things like an expected bonus, travel costs, brokerage account cashouts</a:t>
          </a:r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Char char="•"/>
            <a:tabLst/>
            <a:defRPr/>
          </a:pPr>
          <a:r>
            <a:rPr lang="en-US" sz="1100" baseline="0"/>
            <a:t>Account Reference ID: If Brokerage Cashout, pull the </a:t>
          </a: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Reference ID </a:t>
          </a:r>
          <a:r>
            <a:rPr lang="en-US" sz="1100" baseline="0"/>
            <a:t>code from the Assets tab</a:t>
          </a:r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Char char="•"/>
            <a:tabLst/>
            <a:defRPr/>
          </a:pP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Effective Date: Date that you expect the inflow or outflow to occur</a:t>
          </a:r>
          <a:endParaRPr lang="en-US" sz="1100">
            <a:effectLst/>
          </a:endParaRPr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6</xdr:row>
      <xdr:rowOff>0</xdr:rowOff>
    </xdr:from>
    <xdr:ext cx="4876799" cy="32385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152BB99-5B32-4DEF-B976-DC8DEBDA85B2}"/>
            </a:ext>
          </a:extLst>
        </xdr:cNvPr>
        <xdr:cNvSpPr txBox="1"/>
      </xdr:nvSpPr>
      <xdr:spPr>
        <a:xfrm>
          <a:off x="4181475" y="1457325"/>
          <a:ext cx="4876799" cy="32385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100" b="0" u="none"/>
            <a:t>Elect which account you are going to have all your cash flow in and out of</a:t>
          </a:r>
          <a:endParaRPr lang="en-US" sz="1100">
            <a:effectLst/>
          </a:endParaRPr>
        </a:p>
      </xdr:txBody>
    </xdr:sp>
    <xdr:clientData/>
  </xdr:oneCellAnchor>
  <xdr:oneCellAnchor>
    <xdr:from>
      <xdr:col>3</xdr:col>
      <xdr:colOff>0</xdr:colOff>
      <xdr:row>9</xdr:row>
      <xdr:rowOff>0</xdr:rowOff>
    </xdr:from>
    <xdr:ext cx="4876799" cy="64770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2A859425-3763-6596-C363-6B79BCB2B839}"/>
            </a:ext>
          </a:extLst>
        </xdr:cNvPr>
        <xdr:cNvSpPr txBox="1"/>
      </xdr:nvSpPr>
      <xdr:spPr>
        <a:xfrm>
          <a:off x="4181475" y="1943100"/>
          <a:ext cx="4876799" cy="6477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100" b="0" u="none"/>
            <a:t>How much of</a:t>
          </a:r>
          <a:r>
            <a:rPr lang="en-US" sz="1100" b="0" u="none" baseline="0"/>
            <a:t> a balance you want to hold in each account. Based on the number of months of outflows that you want to make sure you have in the accounts</a:t>
          </a:r>
        </a:p>
      </xdr:txBody>
    </xdr:sp>
    <xdr:clientData/>
  </xdr:oneCellAnchor>
  <xdr:oneCellAnchor>
    <xdr:from>
      <xdr:col>3</xdr:col>
      <xdr:colOff>1</xdr:colOff>
      <xdr:row>18</xdr:row>
      <xdr:rowOff>0</xdr:rowOff>
    </xdr:from>
    <xdr:ext cx="4876799" cy="32385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C06B25C9-102E-74D4-821C-FCFC9CCCD966}"/>
            </a:ext>
          </a:extLst>
        </xdr:cNvPr>
        <xdr:cNvSpPr txBox="1"/>
      </xdr:nvSpPr>
      <xdr:spPr>
        <a:xfrm>
          <a:off x="4181476" y="2914650"/>
          <a:ext cx="4876799" cy="32385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100" b="0" u="none"/>
            <a:t>Input any date of a payday (assuming</a:t>
          </a:r>
          <a:r>
            <a:rPr lang="en-US" sz="1100" b="0" u="none" baseline="0"/>
            <a:t> bi-weekly)</a:t>
          </a:r>
          <a:endParaRPr lang="en-US" sz="1100">
            <a:effectLst/>
          </a:endParaRPr>
        </a:p>
      </xdr:txBody>
    </xdr:sp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1</xdr:row>
      <xdr:rowOff>0</xdr:rowOff>
    </xdr:from>
    <xdr:ext cx="726481" cy="239809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FF640EA-AA77-4B4E-AE70-00EF8865731C}"/>
            </a:ext>
          </a:extLst>
        </xdr:cNvPr>
        <xdr:cNvSpPr txBox="1"/>
      </xdr:nvSpPr>
      <xdr:spPr>
        <a:xfrm>
          <a:off x="4371975" y="190500"/>
          <a:ext cx="726481" cy="239809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000">
              <a:solidFill>
                <a:srgbClr val="FF0000"/>
              </a:solidFill>
            </a:rPr>
            <a:t>To add....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Sheets">
  <a:themeElements>
    <a:clrScheme name="PNC">
      <a:dk1>
        <a:srgbClr val="000000"/>
      </a:dk1>
      <a:lt1>
        <a:srgbClr val="FFFFFF"/>
      </a:lt1>
      <a:dk2>
        <a:srgbClr val="005288"/>
      </a:dk2>
      <a:lt2>
        <a:srgbClr val="DCF1F7"/>
      </a:lt2>
      <a:accent1>
        <a:srgbClr val="5B9BD5"/>
      </a:accent1>
      <a:accent2>
        <a:srgbClr val="ED9131"/>
      </a:accent2>
      <a:accent3>
        <a:srgbClr val="70AD47"/>
      </a:accent3>
      <a:accent4>
        <a:srgbClr val="FCC000"/>
      </a:accent4>
      <a:accent5>
        <a:srgbClr val="4472C4"/>
      </a:accent5>
      <a:accent6>
        <a:srgbClr val="A5A5A5"/>
      </a:accent6>
      <a:hlink>
        <a:srgbClr val="7F7F7F"/>
      </a:hlink>
      <a:folHlink>
        <a:srgbClr val="ABB0B4"/>
      </a:folHlink>
    </a:clrScheme>
    <a:fontScheme name="PNC_Arial">
      <a:majorFont>
        <a:latin typeface="Arial"/>
        <a:ea typeface=""/>
        <a:cs typeface=""/>
      </a:majorFont>
      <a:minorFont>
        <a:latin typeface="Aria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32A20-D9A6-4E50-97AD-C21F6F219053}">
  <sheetPr codeName="Sheet2">
    <tabColor theme="6"/>
  </sheetPr>
  <dimension ref="B2:D28"/>
  <sheetViews>
    <sheetView workbookViewId="0">
      <selection activeCell="L20" sqref="L20"/>
    </sheetView>
  </sheetViews>
  <sheetFormatPr defaultRowHeight="12.75" x14ac:dyDescent="0.2"/>
  <cols>
    <col min="1" max="1" width="2.85546875" customWidth="1"/>
    <col min="2" max="2" width="17.28515625" bestFit="1" customWidth="1"/>
    <col min="3" max="3" width="2.140625" bestFit="1" customWidth="1"/>
  </cols>
  <sheetData>
    <row r="2" spans="2:4" x14ac:dyDescent="0.2">
      <c r="B2" s="191" t="s">
        <v>263</v>
      </c>
    </row>
    <row r="3" spans="2:4" x14ac:dyDescent="0.2">
      <c r="B3" s="37" t="s">
        <v>170</v>
      </c>
      <c r="C3" s="123" t="s">
        <v>155</v>
      </c>
      <c r="D3" s="37" t="s">
        <v>252</v>
      </c>
    </row>
    <row r="4" spans="2:4" x14ac:dyDescent="0.2">
      <c r="B4" s="37" t="s">
        <v>172</v>
      </c>
      <c r="C4" s="123" t="s">
        <v>155</v>
      </c>
      <c r="D4" s="37" t="s">
        <v>171</v>
      </c>
    </row>
    <row r="5" spans="2:4" x14ac:dyDescent="0.2">
      <c r="B5" s="37" t="s">
        <v>60</v>
      </c>
      <c r="C5" s="123" t="s">
        <v>155</v>
      </c>
      <c r="D5" s="37" t="s">
        <v>173</v>
      </c>
    </row>
    <row r="6" spans="2:4" x14ac:dyDescent="0.2">
      <c r="B6" s="37" t="s">
        <v>59</v>
      </c>
      <c r="C6" s="123" t="s">
        <v>155</v>
      </c>
      <c r="D6" s="37" t="s">
        <v>174</v>
      </c>
    </row>
    <row r="7" spans="2:4" x14ac:dyDescent="0.2">
      <c r="B7" s="37" t="s">
        <v>176</v>
      </c>
      <c r="C7" s="123" t="s">
        <v>155</v>
      </c>
      <c r="D7" s="37" t="s">
        <v>175</v>
      </c>
    </row>
    <row r="8" spans="2:4" x14ac:dyDescent="0.2">
      <c r="B8" s="37" t="s">
        <v>12</v>
      </c>
      <c r="C8" s="37" t="s">
        <v>155</v>
      </c>
      <c r="D8" t="s">
        <v>298</v>
      </c>
    </row>
    <row r="9" spans="2:4" x14ac:dyDescent="0.2">
      <c r="B9" s="37"/>
      <c r="C9" s="123"/>
      <c r="D9" s="37"/>
    </row>
    <row r="10" spans="2:4" x14ac:dyDescent="0.2">
      <c r="B10" s="191" t="s">
        <v>264</v>
      </c>
      <c r="C10" s="123"/>
      <c r="D10" s="37"/>
    </row>
    <row r="11" spans="2:4" x14ac:dyDescent="0.2">
      <c r="B11" s="38" t="s">
        <v>167</v>
      </c>
      <c r="C11" s="123" t="s">
        <v>155</v>
      </c>
      <c r="D11" s="37" t="s">
        <v>253</v>
      </c>
    </row>
    <row r="12" spans="2:4" x14ac:dyDescent="0.2">
      <c r="B12" s="122" t="s">
        <v>166</v>
      </c>
      <c r="C12" s="123" t="s">
        <v>155</v>
      </c>
      <c r="D12" s="37" t="s">
        <v>254</v>
      </c>
    </row>
    <row r="13" spans="2:4" x14ac:dyDescent="0.2">
      <c r="B13" s="121" t="s">
        <v>154</v>
      </c>
      <c r="C13" s="123" t="s">
        <v>155</v>
      </c>
      <c r="D13" s="37" t="s">
        <v>255</v>
      </c>
    </row>
    <row r="14" spans="2:4" x14ac:dyDescent="0.2">
      <c r="B14" s="43" t="s">
        <v>177</v>
      </c>
      <c r="C14" s="123" t="s">
        <v>155</v>
      </c>
      <c r="D14" s="37" t="s">
        <v>178</v>
      </c>
    </row>
    <row r="15" spans="2:4" x14ac:dyDescent="0.2">
      <c r="B15" s="168" t="s">
        <v>228</v>
      </c>
      <c r="C15" s="123" t="s">
        <v>155</v>
      </c>
      <c r="D15" s="37" t="s">
        <v>229</v>
      </c>
    </row>
    <row r="16" spans="2:4" x14ac:dyDescent="0.2">
      <c r="B16" s="168"/>
      <c r="C16" s="123"/>
      <c r="D16" s="37"/>
    </row>
    <row r="17" spans="2:4" x14ac:dyDescent="0.2">
      <c r="B17" s="192" t="s">
        <v>265</v>
      </c>
      <c r="C17" s="123"/>
      <c r="D17" s="37"/>
    </row>
    <row r="18" spans="2:4" x14ac:dyDescent="0.2">
      <c r="B18" s="37" t="s">
        <v>256</v>
      </c>
      <c r="C18" s="37" t="s">
        <v>155</v>
      </c>
      <c r="D18" t="s">
        <v>296</v>
      </c>
    </row>
    <row r="19" spans="2:4" x14ac:dyDescent="0.2">
      <c r="B19" s="37" t="s">
        <v>258</v>
      </c>
      <c r="C19" s="37" t="s">
        <v>155</v>
      </c>
      <c r="D19" t="s">
        <v>257</v>
      </c>
    </row>
    <row r="20" spans="2:4" x14ac:dyDescent="0.2">
      <c r="B20" s="37" t="s">
        <v>259</v>
      </c>
      <c r="C20" s="37" t="s">
        <v>155</v>
      </c>
      <c r="D20" t="s">
        <v>262</v>
      </c>
    </row>
    <row r="21" spans="2:4" x14ac:dyDescent="0.2">
      <c r="B21" s="37" t="s">
        <v>260</v>
      </c>
      <c r="C21" s="37" t="s">
        <v>155</v>
      </c>
      <c r="D21" t="s">
        <v>261</v>
      </c>
    </row>
    <row r="23" spans="2:4" x14ac:dyDescent="0.2">
      <c r="B23" s="191" t="s">
        <v>297</v>
      </c>
    </row>
    <row r="24" spans="2:4" x14ac:dyDescent="0.2">
      <c r="B24" s="37" t="s">
        <v>291</v>
      </c>
    </row>
    <row r="25" spans="2:4" x14ac:dyDescent="0.2">
      <c r="B25" s="37"/>
    </row>
    <row r="26" spans="2:4" x14ac:dyDescent="0.2">
      <c r="B26" s="191" t="s">
        <v>334</v>
      </c>
    </row>
    <row r="27" spans="2:4" x14ac:dyDescent="0.2">
      <c r="B27" s="37" t="s">
        <v>267</v>
      </c>
    </row>
    <row r="28" spans="2:4" x14ac:dyDescent="0.2">
      <c r="B28" s="37" t="s">
        <v>333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6A0A3-6000-4FCF-9738-A3321631AF9A}">
  <sheetPr codeName="Sheet5"/>
  <dimension ref="A1"/>
  <sheetViews>
    <sheetView workbookViewId="0"/>
  </sheetViews>
  <sheetFormatPr defaultRowHeight="12.75" x14ac:dyDescent="0.2"/>
  <cols>
    <col min="1" max="16384" width="9.140625" style="36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6222A-0A7D-4807-85F0-7456FD4AFBDE}">
  <sheetPr codeName="Sheet36">
    <tabColor theme="7"/>
  </sheetPr>
  <dimension ref="B2:C21"/>
  <sheetViews>
    <sheetView workbookViewId="0">
      <selection activeCell="B21" sqref="B21"/>
    </sheetView>
  </sheetViews>
  <sheetFormatPr defaultRowHeight="12.75" x14ac:dyDescent="0.2"/>
  <cols>
    <col min="1" max="1" width="2.85546875" customWidth="1"/>
    <col min="2" max="2" width="35.140625" bestFit="1" customWidth="1"/>
    <col min="3" max="3" width="7.7109375" bestFit="1" customWidth="1"/>
  </cols>
  <sheetData>
    <row r="2" spans="2:3" x14ac:dyDescent="0.2">
      <c r="B2" s="86" t="s">
        <v>251</v>
      </c>
      <c r="C2" s="87"/>
    </row>
    <row r="3" spans="2:3" x14ac:dyDescent="0.2">
      <c r="B3" s="128" t="s">
        <v>80</v>
      </c>
      <c r="C3" s="129">
        <f>SUMIFS(Assets!$G:$G,Assets!$F:$F,Blanket!$C$7)</f>
        <v>5000</v>
      </c>
    </row>
    <row r="4" spans="2:3" x14ac:dyDescent="0.2">
      <c r="B4" s="128" t="s">
        <v>186</v>
      </c>
      <c r="C4" s="129">
        <f>SUMIFS(Assets!$G:$G,Assets!$E:$E,Blanket!C8)-C3</f>
        <v>30000</v>
      </c>
    </row>
    <row r="5" spans="2:3" x14ac:dyDescent="0.2">
      <c r="B5" s="128" t="s">
        <v>162</v>
      </c>
      <c r="C5" s="129">
        <f>SUMIFS(Assets!$G:$G,Assets!$C:$C,"Cash")-SUM(C3:C4)</f>
        <v>2270</v>
      </c>
    </row>
    <row r="6" spans="2:3" x14ac:dyDescent="0.2">
      <c r="B6" s="126" t="s">
        <v>194</v>
      </c>
      <c r="C6" s="127">
        <f>SUM(C3:C5)</f>
        <v>37270</v>
      </c>
    </row>
    <row r="7" spans="2:3" x14ac:dyDescent="0.2">
      <c r="B7" s="128"/>
      <c r="C7" s="129"/>
    </row>
    <row r="8" spans="2:3" x14ac:dyDescent="0.2">
      <c r="B8" s="128" t="s">
        <v>236</v>
      </c>
      <c r="C8" s="129">
        <f>SUMIFS(Assets!$G:$G,Assets!$C:$C,"Brokerage",Assets!$D:$D,"Liquid")</f>
        <v>12500</v>
      </c>
    </row>
    <row r="9" spans="2:3" x14ac:dyDescent="0.2">
      <c r="B9" s="126" t="s">
        <v>235</v>
      </c>
      <c r="C9" s="127">
        <f>SUM(C6:C8)</f>
        <v>49770</v>
      </c>
    </row>
    <row r="10" spans="2:3" x14ac:dyDescent="0.2">
      <c r="B10" s="128"/>
      <c r="C10" s="129"/>
    </row>
    <row r="11" spans="2:3" x14ac:dyDescent="0.2">
      <c r="B11" s="131" t="s">
        <v>237</v>
      </c>
      <c r="C11" s="129"/>
    </row>
    <row r="12" spans="2:3" x14ac:dyDescent="0.2">
      <c r="B12" s="128" t="s">
        <v>80</v>
      </c>
      <c r="C12" s="129">
        <f ca="1">SUMIFS(NTM!$C$10:$N$10,NTM!$C$119:$N$119,"&lt;="&amp;Blanket!C11)</f>
        <v>2030</v>
      </c>
    </row>
    <row r="13" spans="2:3" x14ac:dyDescent="0.2">
      <c r="B13" s="128" t="s">
        <v>238</v>
      </c>
      <c r="C13" s="129">
        <f ca="1">SUMIFS(NTM!$C$10:$N$10,NTM!$C$119:$N$119,"&lt;="&amp;Blanket!C16)-C12</f>
        <v>6333.9700000000012</v>
      </c>
    </row>
    <row r="14" spans="2:3" x14ac:dyDescent="0.2">
      <c r="B14" s="128" t="s">
        <v>162</v>
      </c>
      <c r="C14" s="129">
        <f ca="1">SUMIFS(NTM!$C$10:$N$10,NTM!$C$119:$N$119,"&lt;="&amp;Blanket!C17)-SUM(C12:C13)</f>
        <v>14270.880000000005</v>
      </c>
    </row>
    <row r="15" spans="2:3" x14ac:dyDescent="0.2">
      <c r="B15" s="126" t="s">
        <v>188</v>
      </c>
      <c r="C15" s="127">
        <f ca="1">SUM(C12:C14)</f>
        <v>22634.850000000006</v>
      </c>
    </row>
    <row r="16" spans="2:3" x14ac:dyDescent="0.2">
      <c r="B16" s="130"/>
      <c r="C16" s="129"/>
    </row>
    <row r="17" spans="2:3" x14ac:dyDescent="0.2">
      <c r="B17" s="131" t="s">
        <v>187</v>
      </c>
      <c r="C17" s="129"/>
    </row>
    <row r="18" spans="2:3" x14ac:dyDescent="0.2">
      <c r="B18" s="128" t="s">
        <v>79</v>
      </c>
      <c r="C18" s="129">
        <f ca="1">C12-C3</f>
        <v>-2970</v>
      </c>
    </row>
    <row r="19" spans="2:3" x14ac:dyDescent="0.2">
      <c r="B19" s="128" t="s">
        <v>179</v>
      </c>
      <c r="C19" s="129">
        <f ca="1">C13-C4</f>
        <v>-23666.03</v>
      </c>
    </row>
    <row r="20" spans="2:3" x14ac:dyDescent="0.2">
      <c r="B20" s="126" t="s">
        <v>300</v>
      </c>
      <c r="C20" s="127">
        <f ca="1">SUM(C18:C19)</f>
        <v>-26636.03</v>
      </c>
    </row>
    <row r="21" spans="2:3" x14ac:dyDescent="0.2">
      <c r="B21" s="128" t="s">
        <v>182</v>
      </c>
      <c r="C21" s="129">
        <f ca="1">C14-C5</f>
        <v>12000.880000000005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B05C2-B667-4769-8178-2C34FF729726}">
  <sheetPr codeName="Sheet6">
    <tabColor theme="7"/>
  </sheetPr>
  <dimension ref="A1:AF164"/>
  <sheetViews>
    <sheetView tabSelected="1" zoomScaleNormal="100" workbookViewId="0">
      <pane xSplit="2" ySplit="5" topLeftCell="C6" activePane="bottomRight" state="frozen"/>
      <selection pane="topRight" activeCell="E1" sqref="E1"/>
      <selection pane="bottomLeft" activeCell="A6" sqref="A6"/>
      <selection pane="bottomRight" activeCell="R17" sqref="R17"/>
    </sheetView>
  </sheetViews>
  <sheetFormatPr defaultColWidth="7.7109375" defaultRowHeight="12.75" x14ac:dyDescent="0.2"/>
  <cols>
    <col min="1" max="1" width="1" style="50" customWidth="1"/>
    <col min="2" max="2" width="30.5703125" style="118" bestFit="1" customWidth="1"/>
    <col min="3" max="3" width="10.28515625" style="5" bestFit="1" customWidth="1"/>
    <col min="4" max="11" width="11.28515625" style="5" bestFit="1" customWidth="1"/>
    <col min="12" max="14" width="12.28515625" style="5" bestFit="1" customWidth="1"/>
    <col min="15" max="15" width="1.28515625" style="5" customWidth="1"/>
    <col min="16" max="16" width="10.42578125" style="5" customWidth="1"/>
    <col min="17" max="17" width="1" style="50" customWidth="1"/>
    <col min="18" max="18" width="30.42578125" style="5" bestFit="1" customWidth="1"/>
    <col min="19" max="19" width="9.85546875" style="5" bestFit="1" customWidth="1"/>
    <col min="20" max="20" width="10.42578125" style="5" bestFit="1" customWidth="1"/>
    <col min="21" max="21" width="14.5703125" style="5" customWidth="1"/>
    <col min="22" max="22" width="10.42578125" style="6" bestFit="1" customWidth="1"/>
    <col min="23" max="23" width="10.42578125" style="5" customWidth="1"/>
    <col min="24" max="26" width="9.140625" style="5" customWidth="1"/>
    <col min="27" max="27" width="7.7109375" style="5"/>
    <col min="28" max="28" width="18.85546875" style="5" customWidth="1"/>
    <col min="29" max="29" width="22" style="5" bestFit="1" customWidth="1"/>
    <col min="30" max="30" width="7.7109375" style="5"/>
    <col min="31" max="31" width="10.42578125" style="5" bestFit="1" customWidth="1"/>
    <col min="32" max="33" width="7.7109375" style="5"/>
    <col min="34" max="34" width="10.42578125" style="5" bestFit="1" customWidth="1"/>
    <col min="35" max="16384" width="7.7109375" style="5"/>
  </cols>
  <sheetData>
    <row r="1" spans="1:32" s="44" customFormat="1" ht="5.0999999999999996" customHeight="1" x14ac:dyDescent="0.2">
      <c r="A1" s="74" t="s">
        <v>73</v>
      </c>
      <c r="B1" s="94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73"/>
      <c r="Q1" s="74" t="s">
        <v>73</v>
      </c>
      <c r="U1" s="45"/>
      <c r="V1" s="45"/>
      <c r="W1" s="15"/>
    </row>
    <row r="2" spans="1:32" ht="12.75" customHeight="1" x14ac:dyDescent="0.2">
      <c r="A2" s="61"/>
      <c r="B2" s="95" t="s">
        <v>58</v>
      </c>
      <c r="C2" s="3"/>
      <c r="D2" s="3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3"/>
      <c r="Q2" s="61"/>
    </row>
    <row r="3" spans="1:32" s="44" customFormat="1" ht="5.0999999999999996" customHeight="1" thickBot="1" x14ac:dyDescent="0.25">
      <c r="A3" s="74"/>
      <c r="B3" s="94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73"/>
      <c r="Q3" s="61"/>
      <c r="U3" s="45"/>
      <c r="V3" s="45"/>
      <c r="W3" s="15"/>
    </row>
    <row r="4" spans="1:32" ht="13.5" thickBot="1" x14ac:dyDescent="0.25">
      <c r="A4" s="62"/>
      <c r="B4" s="96"/>
      <c r="C4" s="182">
        <f ca="1">TODAY()</f>
        <v>45656</v>
      </c>
      <c r="D4" s="7">
        <f ca="1">EOMONTH(C4,0)+1</f>
        <v>45658</v>
      </c>
      <c r="E4" s="7">
        <f t="shared" ref="E4:N4" ca="1" si="0">EDATE(D4,1)</f>
        <v>45689</v>
      </c>
      <c r="F4" s="7">
        <f t="shared" ca="1" si="0"/>
        <v>45717</v>
      </c>
      <c r="G4" s="7">
        <f t="shared" ca="1" si="0"/>
        <v>45748</v>
      </c>
      <c r="H4" s="7">
        <f t="shared" ca="1" si="0"/>
        <v>45778</v>
      </c>
      <c r="I4" s="7">
        <f t="shared" ca="1" si="0"/>
        <v>45809</v>
      </c>
      <c r="J4" s="7">
        <f t="shared" ca="1" si="0"/>
        <v>45839</v>
      </c>
      <c r="K4" s="7">
        <f t="shared" ca="1" si="0"/>
        <v>45870</v>
      </c>
      <c r="L4" s="7">
        <f t="shared" ca="1" si="0"/>
        <v>45901</v>
      </c>
      <c r="M4" s="7">
        <f t="shared" ca="1" si="0"/>
        <v>45931</v>
      </c>
      <c r="N4" s="7">
        <f t="shared" ca="1" si="0"/>
        <v>45962</v>
      </c>
      <c r="O4" s="7"/>
      <c r="P4" s="132" t="s">
        <v>250</v>
      </c>
      <c r="Q4" s="62"/>
      <c r="S4" s="229"/>
      <c r="U4" s="8"/>
      <c r="V4" s="9"/>
      <c r="W4" s="10"/>
      <c r="X4" s="11"/>
      <c r="AD4" s="12"/>
      <c r="AE4" s="12"/>
      <c r="AF4" s="12"/>
    </row>
    <row r="5" spans="1:32" s="51" customFormat="1" ht="5.0999999999999996" customHeight="1" x14ac:dyDescent="0.2">
      <c r="A5" s="67"/>
      <c r="B5" s="97"/>
      <c r="C5" s="75"/>
      <c r="D5" s="75"/>
      <c r="E5" s="75"/>
      <c r="F5" s="75"/>
      <c r="G5" s="75"/>
      <c r="H5" s="75"/>
      <c r="I5" s="75"/>
      <c r="J5" s="75"/>
      <c r="K5" s="75"/>
      <c r="L5" s="75"/>
      <c r="M5" s="75"/>
      <c r="N5" s="75"/>
      <c r="O5" s="75"/>
      <c r="P5" s="75"/>
      <c r="Q5" s="76"/>
      <c r="U5" s="68"/>
      <c r="V5" s="69"/>
      <c r="W5" s="70"/>
      <c r="X5" s="71"/>
      <c r="AD5" s="72"/>
      <c r="AE5" s="72"/>
      <c r="AF5" s="72"/>
    </row>
    <row r="6" spans="1:32" s="51" customFormat="1" x14ac:dyDescent="0.2">
      <c r="A6" s="67"/>
      <c r="B6" s="98" t="s">
        <v>69</v>
      </c>
      <c r="C6" s="77"/>
      <c r="D6" s="77"/>
      <c r="E6" s="77"/>
      <c r="F6" s="77"/>
      <c r="G6" s="77"/>
      <c r="H6" s="77"/>
      <c r="I6" s="77"/>
      <c r="J6" s="77"/>
      <c r="K6" s="77"/>
      <c r="L6" s="77"/>
      <c r="M6" s="77"/>
      <c r="N6" s="77"/>
      <c r="O6" s="77"/>
      <c r="P6" s="77"/>
      <c r="Q6" s="76"/>
      <c r="R6" s="98" t="s">
        <v>269</v>
      </c>
      <c r="U6" s="68"/>
      <c r="V6" s="69"/>
      <c r="W6" s="70"/>
      <c r="X6" s="71"/>
      <c r="AD6" s="72"/>
      <c r="AE6" s="72"/>
      <c r="AF6" s="72"/>
    </row>
    <row r="7" spans="1:32" s="51" customFormat="1" ht="5.0999999999999996" customHeight="1" x14ac:dyDescent="0.2">
      <c r="A7" s="64"/>
      <c r="B7" s="103"/>
      <c r="C7" s="81"/>
      <c r="D7" s="81"/>
      <c r="E7" s="81"/>
      <c r="F7" s="81"/>
      <c r="G7" s="81"/>
      <c r="H7" s="81"/>
      <c r="I7" s="81"/>
      <c r="J7" s="81"/>
      <c r="K7" s="81"/>
      <c r="L7" s="81"/>
      <c r="M7" s="81"/>
      <c r="N7" s="81"/>
      <c r="O7" s="81"/>
      <c r="P7" s="81"/>
      <c r="Q7" s="82"/>
      <c r="R7" s="200"/>
      <c r="V7" s="52"/>
      <c r="W7" s="53"/>
    </row>
    <row r="8" spans="1:32" ht="12.75" customHeight="1" x14ac:dyDescent="0.2">
      <c r="A8" s="61"/>
      <c r="B8" s="120" t="s">
        <v>156</v>
      </c>
      <c r="C8" s="78"/>
      <c r="D8" s="78"/>
      <c r="E8" s="78"/>
      <c r="F8" s="78"/>
      <c r="G8" s="78"/>
      <c r="H8" s="78"/>
      <c r="I8" s="78"/>
      <c r="J8" s="78"/>
      <c r="K8" s="78"/>
      <c r="L8" s="78"/>
      <c r="M8" s="78"/>
      <c r="N8" s="78"/>
      <c r="O8" s="78"/>
      <c r="P8" s="84"/>
      <c r="Q8" s="79"/>
      <c r="R8" s="201"/>
      <c r="U8" s="13"/>
      <c r="V8" s="14"/>
      <c r="W8" s="15"/>
    </row>
    <row r="9" spans="1:32" ht="12.75" customHeight="1" x14ac:dyDescent="0.2">
      <c r="A9" s="61"/>
      <c r="B9" s="119" t="s">
        <v>70</v>
      </c>
      <c r="C9" s="135">
        <f t="shared" ref="C9:N9" ca="1" si="1">C49</f>
        <v>10000</v>
      </c>
      <c r="D9" s="135">
        <f t="shared" ca="1" si="1"/>
        <v>5168</v>
      </c>
      <c r="E9" s="135">
        <f t="shared" ca="1" si="1"/>
        <v>5218</v>
      </c>
      <c r="F9" s="135">
        <f t="shared" ca="1" si="1"/>
        <v>5154</v>
      </c>
      <c r="G9" s="135">
        <f t="shared" ca="1" si="1"/>
        <v>9704</v>
      </c>
      <c r="H9" s="135">
        <f t="shared" ca="1" si="1"/>
        <v>7631</v>
      </c>
      <c r="I9" s="135">
        <f t="shared" ca="1" si="1"/>
        <v>5154</v>
      </c>
      <c r="J9" s="135">
        <f t="shared" ca="1" si="1"/>
        <v>5204</v>
      </c>
      <c r="K9" s="135">
        <f t="shared" ca="1" si="1"/>
        <v>5154</v>
      </c>
      <c r="L9" s="135">
        <f t="shared" ca="1" si="1"/>
        <v>5154</v>
      </c>
      <c r="M9" s="135">
        <f t="shared" ca="1" si="1"/>
        <v>7681</v>
      </c>
      <c r="N9" s="135">
        <f t="shared" ca="1" si="1"/>
        <v>5154</v>
      </c>
      <c r="O9" s="134"/>
      <c r="P9" s="136">
        <f ca="1">SUM(C9:N9)</f>
        <v>76376</v>
      </c>
      <c r="Q9" s="79"/>
      <c r="R9" s="201"/>
      <c r="U9" s="13"/>
      <c r="V9" s="14"/>
      <c r="W9" s="15"/>
    </row>
    <row r="10" spans="1:32" ht="12.75" customHeight="1" x14ac:dyDescent="0.2">
      <c r="A10" s="61"/>
      <c r="B10" s="119" t="s">
        <v>71</v>
      </c>
      <c r="C10" s="135">
        <f ca="1">C87</f>
        <v>2030</v>
      </c>
      <c r="D10" s="135">
        <f t="shared" ref="D10:N10" ca="1" si="2">D87</f>
        <v>6333.97</v>
      </c>
      <c r="E10" s="135">
        <f t="shared" ca="1" si="2"/>
        <v>6058.97</v>
      </c>
      <c r="F10" s="135">
        <f t="shared" ca="1" si="2"/>
        <v>2623.9700000000003</v>
      </c>
      <c r="G10" s="135">
        <f t="shared" ca="1" si="2"/>
        <v>2658.9700000000003</v>
      </c>
      <c r="H10" s="135">
        <f t="shared" ca="1" si="2"/>
        <v>2928.9700000000003</v>
      </c>
      <c r="I10" s="135">
        <f t="shared" ca="1" si="2"/>
        <v>2722.9700000000003</v>
      </c>
      <c r="J10" s="135">
        <f t="shared" ca="1" si="2"/>
        <v>2683.9700000000003</v>
      </c>
      <c r="K10" s="135">
        <f t="shared" ca="1" si="2"/>
        <v>2673.9700000000003</v>
      </c>
      <c r="L10" s="135">
        <f t="shared" ca="1" si="2"/>
        <v>2658.9700000000003</v>
      </c>
      <c r="M10" s="135">
        <f t="shared" ca="1" si="2"/>
        <v>2933.9700000000003</v>
      </c>
      <c r="N10" s="135">
        <f t="shared" ca="1" si="2"/>
        <v>2648.9700000000003</v>
      </c>
      <c r="O10" s="134"/>
      <c r="P10" s="136">
        <f ca="1">SUM(C10:N10)</f>
        <v>38957.670000000013</v>
      </c>
      <c r="Q10" s="79"/>
      <c r="R10" s="201"/>
      <c r="U10" s="13"/>
      <c r="V10" s="14"/>
      <c r="W10" s="15"/>
    </row>
    <row r="11" spans="1:32" ht="12.75" customHeight="1" x14ac:dyDescent="0.2">
      <c r="A11" s="61"/>
      <c r="B11" s="99" t="s">
        <v>157</v>
      </c>
      <c r="C11" s="137">
        <f ca="1">C9-C10</f>
        <v>7970</v>
      </c>
      <c r="D11" s="137">
        <f t="shared" ref="D11:N11" ca="1" si="3">D9-D10</f>
        <v>-1165.9700000000003</v>
      </c>
      <c r="E11" s="137">
        <f t="shared" ca="1" si="3"/>
        <v>-840.97000000000025</v>
      </c>
      <c r="F11" s="137">
        <f t="shared" ca="1" si="3"/>
        <v>2530.0299999999997</v>
      </c>
      <c r="G11" s="137">
        <f t="shared" ca="1" si="3"/>
        <v>7045.03</v>
      </c>
      <c r="H11" s="137">
        <f t="shared" ca="1" si="3"/>
        <v>4702.03</v>
      </c>
      <c r="I11" s="137">
        <f t="shared" ca="1" si="3"/>
        <v>2431.0299999999997</v>
      </c>
      <c r="J11" s="137">
        <f t="shared" ca="1" si="3"/>
        <v>2520.0299999999997</v>
      </c>
      <c r="K11" s="137">
        <f t="shared" ca="1" si="3"/>
        <v>2480.0299999999997</v>
      </c>
      <c r="L11" s="137">
        <f t="shared" ca="1" si="3"/>
        <v>2495.0299999999997</v>
      </c>
      <c r="M11" s="137">
        <f t="shared" ca="1" si="3"/>
        <v>4747.03</v>
      </c>
      <c r="N11" s="137">
        <f t="shared" ca="1" si="3"/>
        <v>2505.0299999999997</v>
      </c>
      <c r="O11" s="137"/>
      <c r="P11" s="138">
        <f ca="1">SUM(C11:N11)</f>
        <v>37418.329999999994</v>
      </c>
      <c r="Q11" s="79"/>
      <c r="R11" s="201"/>
      <c r="U11" s="13"/>
      <c r="V11" s="13"/>
      <c r="W11" s="15"/>
    </row>
    <row r="12" spans="1:32" s="51" customFormat="1" ht="12.75" customHeight="1" x14ac:dyDescent="0.2">
      <c r="A12" s="64"/>
      <c r="B12" s="237" t="s">
        <v>312</v>
      </c>
      <c r="C12" s="238">
        <f t="shared" ref="C12:N12" ca="1" si="4">C9-SUM(C44)+SUM(C76:C77,C33:C34,C82:C83)</f>
        <v>100</v>
      </c>
      <c r="D12" s="238">
        <f t="shared" ca="1" si="4"/>
        <v>9818</v>
      </c>
      <c r="E12" s="238">
        <f t="shared" ca="1" si="4"/>
        <v>9718</v>
      </c>
      <c r="F12" s="238">
        <f t="shared" ca="1" si="4"/>
        <v>6164</v>
      </c>
      <c r="G12" s="238">
        <f t="shared" ca="1" si="4"/>
        <v>11214</v>
      </c>
      <c r="H12" s="238">
        <f t="shared" ca="1" si="4"/>
        <v>9046</v>
      </c>
      <c r="I12" s="238">
        <f t="shared" ca="1" si="4"/>
        <v>6164</v>
      </c>
      <c r="J12" s="238">
        <f t="shared" ca="1" si="4"/>
        <v>6214</v>
      </c>
      <c r="K12" s="238">
        <f t="shared" ca="1" si="4"/>
        <v>6164</v>
      </c>
      <c r="L12" s="238">
        <f t="shared" ca="1" si="4"/>
        <v>6164</v>
      </c>
      <c r="M12" s="238">
        <f t="shared" ca="1" si="4"/>
        <v>9096</v>
      </c>
      <c r="N12" s="238">
        <f t="shared" ca="1" si="4"/>
        <v>6164</v>
      </c>
      <c r="O12" s="134"/>
      <c r="P12" s="238">
        <f ca="1">P9-SUM(P44)+SUM(P76:P77,P33:P34,P82:P83)</f>
        <v>86026</v>
      </c>
      <c r="Q12" s="82"/>
      <c r="R12" s="200"/>
      <c r="U12" s="221"/>
      <c r="V12" s="221"/>
      <c r="W12" s="15"/>
    </row>
    <row r="13" spans="1:32" s="51" customFormat="1" ht="5.0999999999999996" customHeight="1" x14ac:dyDescent="0.2">
      <c r="A13" s="64"/>
      <c r="B13" s="103"/>
      <c r="C13" s="133"/>
      <c r="D13" s="133"/>
      <c r="E13" s="133"/>
      <c r="F13" s="133"/>
      <c r="G13" s="133"/>
      <c r="H13" s="133"/>
      <c r="I13" s="133"/>
      <c r="J13" s="133"/>
      <c r="K13" s="133"/>
      <c r="L13" s="133"/>
      <c r="M13" s="133"/>
      <c r="N13" s="133"/>
      <c r="O13" s="133"/>
      <c r="P13" s="133"/>
      <c r="Q13" s="82"/>
      <c r="R13" s="200"/>
      <c r="V13" s="52"/>
      <c r="W13" s="53"/>
    </row>
    <row r="14" spans="1:32" s="51" customFormat="1" x14ac:dyDescent="0.2">
      <c r="A14" s="64"/>
      <c r="B14" s="103"/>
      <c r="C14" s="133"/>
      <c r="D14" s="133"/>
      <c r="E14" s="133"/>
      <c r="F14" s="133"/>
      <c r="G14" s="133"/>
      <c r="H14" s="133"/>
      <c r="I14" s="133"/>
      <c r="J14" s="133"/>
      <c r="K14" s="133"/>
      <c r="L14" s="133"/>
      <c r="M14" s="133"/>
      <c r="N14" s="133"/>
      <c r="O14" s="133"/>
      <c r="P14" s="133"/>
      <c r="Q14" s="82"/>
      <c r="R14" s="200"/>
      <c r="V14" s="52"/>
      <c r="W14" s="53"/>
    </row>
    <row r="15" spans="1:32" s="51" customFormat="1" x14ac:dyDescent="0.2">
      <c r="A15" s="64"/>
      <c r="B15" s="103"/>
      <c r="C15" s="133"/>
      <c r="D15" s="133"/>
      <c r="E15" s="133"/>
      <c r="F15" s="133"/>
      <c r="G15" s="133"/>
      <c r="H15" s="133"/>
      <c r="I15" s="133"/>
      <c r="J15" s="133"/>
      <c r="K15" s="133"/>
      <c r="L15" s="133"/>
      <c r="M15" s="133"/>
      <c r="N15" s="133"/>
      <c r="O15" s="133"/>
      <c r="P15" s="133"/>
      <c r="Q15" s="82"/>
      <c r="R15" s="200"/>
      <c r="V15" s="52"/>
      <c r="W15" s="53"/>
    </row>
    <row r="16" spans="1:32" s="51" customFormat="1" x14ac:dyDescent="0.2">
      <c r="A16" s="64"/>
      <c r="B16" s="103"/>
      <c r="C16" s="133"/>
      <c r="D16" s="133"/>
      <c r="E16" s="133"/>
      <c r="F16" s="133"/>
      <c r="G16" s="133"/>
      <c r="H16" s="133"/>
      <c r="I16" s="133"/>
      <c r="J16" s="133"/>
      <c r="K16" s="133"/>
      <c r="L16" s="133"/>
      <c r="M16" s="133"/>
      <c r="N16" s="133"/>
      <c r="O16" s="133"/>
      <c r="P16" s="133"/>
      <c r="Q16" s="82"/>
      <c r="R16" s="200"/>
      <c r="V16" s="52"/>
      <c r="W16" s="53"/>
    </row>
    <row r="17" spans="1:23" s="51" customFormat="1" x14ac:dyDescent="0.2">
      <c r="A17" s="64"/>
      <c r="B17" s="103"/>
      <c r="C17" s="133"/>
      <c r="D17" s="133"/>
      <c r="E17" s="133"/>
      <c r="F17" s="133"/>
      <c r="G17" s="133"/>
      <c r="H17" s="133"/>
      <c r="I17" s="133"/>
      <c r="J17" s="133"/>
      <c r="K17" s="133"/>
      <c r="L17" s="133"/>
      <c r="M17" s="133"/>
      <c r="N17" s="133"/>
      <c r="O17" s="133"/>
      <c r="P17" s="133"/>
      <c r="Q17" s="82"/>
      <c r="R17" s="200"/>
      <c r="V17" s="52"/>
      <c r="W17" s="53"/>
    </row>
    <row r="18" spans="1:23" s="51" customFormat="1" x14ac:dyDescent="0.2">
      <c r="A18" s="64"/>
      <c r="B18" s="103"/>
      <c r="C18" s="133"/>
      <c r="D18" s="133"/>
      <c r="E18" s="133"/>
      <c r="F18" s="133"/>
      <c r="G18" s="133"/>
      <c r="H18" s="133"/>
      <c r="I18" s="133"/>
      <c r="J18" s="133"/>
      <c r="K18" s="133"/>
      <c r="L18" s="133"/>
      <c r="M18" s="133"/>
      <c r="N18" s="133"/>
      <c r="O18" s="133"/>
      <c r="P18" s="133"/>
      <c r="Q18" s="82"/>
      <c r="R18" s="200"/>
      <c r="V18" s="52"/>
      <c r="W18" s="53"/>
    </row>
    <row r="19" spans="1:23" s="51" customFormat="1" ht="5.0999999999999996" customHeight="1" x14ac:dyDescent="0.2">
      <c r="A19" s="64"/>
      <c r="B19" s="103"/>
      <c r="C19" s="133"/>
      <c r="D19" s="133"/>
      <c r="E19" s="133"/>
      <c r="F19" s="133"/>
      <c r="G19" s="133"/>
      <c r="H19" s="133"/>
      <c r="I19" s="133"/>
      <c r="J19" s="133"/>
      <c r="K19" s="133"/>
      <c r="L19" s="133"/>
      <c r="M19" s="133"/>
      <c r="N19" s="133"/>
      <c r="O19" s="133"/>
      <c r="P19" s="133"/>
      <c r="Q19" s="82"/>
      <c r="R19" s="200"/>
      <c r="V19" s="52"/>
      <c r="W19" s="53"/>
    </row>
    <row r="20" spans="1:23" ht="12.75" customHeight="1" x14ac:dyDescent="0.2">
      <c r="A20" s="63"/>
      <c r="B20" s="120" t="s">
        <v>150</v>
      </c>
      <c r="C20" s="134"/>
      <c r="D20" s="134"/>
      <c r="E20" s="134"/>
      <c r="F20" s="134"/>
      <c r="G20" s="134"/>
      <c r="H20" s="134"/>
      <c r="I20" s="134"/>
      <c r="J20" s="134"/>
      <c r="K20" s="134"/>
      <c r="L20" s="134"/>
      <c r="M20" s="134"/>
      <c r="N20" s="134"/>
      <c r="O20" s="134"/>
      <c r="P20" s="139"/>
      <c r="Q20" s="80"/>
      <c r="R20" s="201"/>
      <c r="U20" s="13"/>
      <c r="V20" s="13"/>
      <c r="W20" s="15"/>
    </row>
    <row r="21" spans="1:23" ht="12.75" customHeight="1" x14ac:dyDescent="0.2">
      <c r="A21" s="63"/>
      <c r="B21" s="119" t="s">
        <v>12</v>
      </c>
      <c r="C21" s="135">
        <f ca="1">Balances!C6+C11</f>
        <v>45360</v>
      </c>
      <c r="D21" s="135">
        <f t="shared" ref="D21:N21" ca="1" si="5">C21+D11</f>
        <v>44194.03</v>
      </c>
      <c r="E21" s="135">
        <f t="shared" ca="1" si="5"/>
        <v>43353.06</v>
      </c>
      <c r="F21" s="135">
        <f t="shared" ca="1" si="5"/>
        <v>45883.09</v>
      </c>
      <c r="G21" s="135">
        <f t="shared" ca="1" si="5"/>
        <v>52928.119999999995</v>
      </c>
      <c r="H21" s="135">
        <f t="shared" ca="1" si="5"/>
        <v>57630.149999999994</v>
      </c>
      <c r="I21" s="135">
        <f t="shared" ca="1" si="5"/>
        <v>60061.179999999993</v>
      </c>
      <c r="J21" s="135">
        <f t="shared" ca="1" si="5"/>
        <v>62581.209999999992</v>
      </c>
      <c r="K21" s="135">
        <f t="shared" ca="1" si="5"/>
        <v>65061.239999999991</v>
      </c>
      <c r="L21" s="135">
        <f t="shared" ca="1" si="5"/>
        <v>67556.26999999999</v>
      </c>
      <c r="M21" s="135">
        <f t="shared" ca="1" si="5"/>
        <v>72303.299999999988</v>
      </c>
      <c r="N21" s="135">
        <f t="shared" ca="1" si="5"/>
        <v>74808.329999999987</v>
      </c>
      <c r="O21" s="134"/>
      <c r="P21" s="136">
        <f ca="1">N21</f>
        <v>74808.329999999987</v>
      </c>
      <c r="Q21" s="80"/>
      <c r="R21" s="201"/>
      <c r="S21" s="220"/>
      <c r="U21" s="13"/>
      <c r="V21" s="13"/>
      <c r="W21" s="15"/>
    </row>
    <row r="22" spans="1:23" ht="12.75" customHeight="1" x14ac:dyDescent="0.2">
      <c r="A22" s="63"/>
      <c r="B22" s="99" t="s">
        <v>72</v>
      </c>
      <c r="C22" s="137">
        <f t="shared" ref="C22:N22" ca="1" si="6">C114</f>
        <v>130997</v>
      </c>
      <c r="D22" s="137">
        <f t="shared" ca="1" si="6"/>
        <v>135714.36333333334</v>
      </c>
      <c r="E22" s="137">
        <f t="shared" ca="1" si="6"/>
        <v>140623.67111111112</v>
      </c>
      <c r="F22" s="137">
        <f t="shared" ca="1" si="6"/>
        <v>145441.06453703705</v>
      </c>
      <c r="G22" s="137">
        <f t="shared" ca="1" si="6"/>
        <v>155790.85265817901</v>
      </c>
      <c r="H22" s="137">
        <f t="shared" ca="1" si="6"/>
        <v>163433.51376366382</v>
      </c>
      <c r="I22" s="137">
        <f t="shared" ca="1" si="6"/>
        <v>168218.01346169435</v>
      </c>
      <c r="J22" s="137">
        <f t="shared" ca="1" si="6"/>
        <v>173109.4587405418</v>
      </c>
      <c r="K22" s="137">
        <f t="shared" ca="1" si="6"/>
        <v>177978.99914671297</v>
      </c>
      <c r="L22" s="137">
        <f t="shared" ca="1" si="6"/>
        <v>182881.78547293559</v>
      </c>
      <c r="M22" s="137">
        <f t="shared" ca="1" si="6"/>
        <v>190664.96976854338</v>
      </c>
      <c r="N22" s="137">
        <f t="shared" ca="1" si="6"/>
        <v>195619.78868328122</v>
      </c>
      <c r="O22" s="137"/>
      <c r="P22" s="138">
        <f ca="1">N22</f>
        <v>195619.78868328122</v>
      </c>
      <c r="Q22" s="80"/>
      <c r="R22" s="201"/>
      <c r="S22" s="220"/>
      <c r="U22" s="13"/>
      <c r="V22" s="13"/>
      <c r="W22" s="15"/>
    </row>
    <row r="23" spans="1:23" ht="12.75" customHeight="1" x14ac:dyDescent="0.2">
      <c r="A23" s="61"/>
      <c r="B23" s="100"/>
      <c r="C23" s="140"/>
      <c r="D23" s="140"/>
      <c r="E23" s="140"/>
      <c r="F23" s="140"/>
      <c r="G23" s="140"/>
      <c r="H23" s="140"/>
      <c r="I23" s="140"/>
      <c r="J23" s="140"/>
      <c r="K23" s="140"/>
      <c r="L23" s="140"/>
      <c r="M23" s="140"/>
      <c r="N23" s="140"/>
      <c r="O23" s="140"/>
      <c r="P23" s="140"/>
      <c r="Q23" s="79"/>
      <c r="R23" s="201"/>
      <c r="U23" s="11"/>
      <c r="V23" s="17"/>
      <c r="W23" s="17"/>
    </row>
    <row r="24" spans="1:23" ht="12.75" customHeight="1" x14ac:dyDescent="0.2">
      <c r="A24" s="61"/>
      <c r="B24" s="101" t="s">
        <v>51</v>
      </c>
      <c r="C24" s="222"/>
      <c r="D24" s="222"/>
      <c r="E24" s="222"/>
      <c r="F24" s="222"/>
      <c r="G24" s="222"/>
      <c r="H24" s="222"/>
      <c r="I24" s="222"/>
      <c r="J24" s="222"/>
      <c r="K24" s="222"/>
      <c r="L24" s="222"/>
      <c r="M24" s="222"/>
      <c r="N24" s="222"/>
      <c r="O24" s="222"/>
      <c r="P24" s="223"/>
      <c r="Q24" s="79"/>
      <c r="R24" s="201"/>
      <c r="S24" s="220"/>
    </row>
    <row r="25" spans="1:23" ht="12.75" customHeight="1" x14ac:dyDescent="0.2">
      <c r="A25" s="61"/>
      <c r="B25" s="102" t="s">
        <v>15</v>
      </c>
      <c r="C25" s="143" cm="1">
        <f t="array" aca="1" ref="C25" ca="1">_xlfn.LET(
_xlpm.daily,RecurringFactorBased($B25,"Daily",C$4,C$119),
_xlpm.weekdays,RecurringFactorBased($B25,"Weekdays",C$4,C$119),
_xlpm.paydays,RecurringFactorBased($B25,"Paydays",C$4,C$119),
_xlpm.mondays,RecurringFactorBased($B25,"Mondays",C$4,C$119),
_xlpm.tuesdays,RecurringFactorBased($B25,"Tuesdays",C$4,C$119),
_xlpm.wednesdays,RecurringFactorBased($B25,"Wednesdays",C$4,C$119),
_xlpm.thursdays,RecurringFactorBased($B25,"Thursdays",C$4,C$119),
_xlpm.fridays,RecurringFactorBased($B25,"Fridays",C$4,C$119),
_xlpm.saturdays,RecurringFactorBased($B25,"Saturdays",C$4,C$119),
_xlpm.sundays,RecurringFactorBased($B25,"Sundays",C$4,C$119),
_xlpm.monthly,RecurringMonthly($B25,C$4),
_xlpm.annual,RecurringAnnual($B25,C$4),
_xlpm.planned,SUMIFS(Planned!$F:$F,Planned!$B:$B,$B25,Planned!$E:$E,"&gt;="&amp;C$4,Planned!$E:$E,"&lt;="&amp;EOMONTH(C$4,0)),
_xlpm.daily+_xlpm.weekdays+_xlpm.mondays+_xlpm.tuesdays+_xlpm.wednesdays+_xlpm.thursdays+_xlpm.fridays+_xlpm.saturdays+_xlpm.sundays+_xlpm.paydays+_xlpm.monthly+_xlpm.annual+_xlpm.planned)</f>
        <v>0</v>
      </c>
      <c r="D25" s="143" cm="1">
        <f t="array" aca="1" ref="D25" ca="1">_xlfn.LET(
_xlpm.daily,RecurringFactorBased($B25,"Daily",D$4,D$119),
_xlpm.weekdays,RecurringFactorBased($B25,"Weekdays",D$4,D$119),
_xlpm.paydays,RecurringFactorBased($B25,"Paydays",D$4,D$119),
_xlpm.mondays,RecurringFactorBased($B25,"Mondays",D$4,D$119),
_xlpm.tuesdays,RecurringFactorBased($B25,"Tuesdays",D$4,D$119),
_xlpm.wednesdays,RecurringFactorBased($B25,"Wednesdays",D$4,D$119),
_xlpm.thursdays,RecurringFactorBased($B25,"Thursdays",D$4,D$119),
_xlpm.fridays,RecurringFactorBased($B25,"Fridays",D$4,D$119),
_xlpm.saturdays,RecurringFactorBased($B25,"Saturdays",D$4,D$119),
_xlpm.sundays,RecurringFactorBased($B25,"Sundays",D$4,D$119),
_xlpm.monthly,RecurringMonthly($B25,D$4),
_xlpm.annual,RecurringAnnual($B25,D$4),
_xlpm.planned,SUMIFS(Planned!$F:$F,Planned!$B:$B,$B25,Planned!$E:$E,"&gt;="&amp;D$4,Planned!$E:$E,"&lt;="&amp;EOMONTH(D$4,0)),
_xlpm.daily+_xlpm.weekdays+_xlpm.mondays+_xlpm.tuesdays+_xlpm.wednesdays+_xlpm.thursdays+_xlpm.fridays+_xlpm.saturdays+_xlpm.sundays+_xlpm.paydays+_xlpm.monthly+_xlpm.annual+_xlpm.planned)</f>
        <v>8000</v>
      </c>
      <c r="E25" s="143" cm="1">
        <f t="array" aca="1" ref="E25" ca="1">_xlfn.LET(
_xlpm.daily,RecurringFactorBased($B25,"Daily",E$4,E$119),
_xlpm.weekdays,RecurringFactorBased($B25,"Weekdays",E$4,E$119),
_xlpm.paydays,RecurringFactorBased($B25,"Paydays",E$4,E$119),
_xlpm.mondays,RecurringFactorBased($B25,"Mondays",E$4,E$119),
_xlpm.tuesdays,RecurringFactorBased($B25,"Tuesdays",E$4,E$119),
_xlpm.wednesdays,RecurringFactorBased($B25,"Wednesdays",E$4,E$119),
_xlpm.thursdays,RecurringFactorBased($B25,"Thursdays",E$4,E$119),
_xlpm.fridays,RecurringFactorBased($B25,"Fridays",E$4,E$119),
_xlpm.saturdays,RecurringFactorBased($B25,"Saturdays",E$4,E$119),
_xlpm.sundays,RecurringFactorBased($B25,"Sundays",E$4,E$119),
_xlpm.monthly,RecurringMonthly($B25,E$4),
_xlpm.annual,RecurringAnnual($B25,E$4),
_xlpm.planned,SUMIFS(Planned!$F:$F,Planned!$B:$B,$B25,Planned!$E:$E,"&gt;="&amp;E$4,Planned!$E:$E,"&lt;="&amp;EOMONTH(E$4,0)),
_xlpm.daily+_xlpm.weekdays+_xlpm.mondays+_xlpm.tuesdays+_xlpm.wednesdays+_xlpm.thursdays+_xlpm.fridays+_xlpm.saturdays+_xlpm.sundays+_xlpm.paydays+_xlpm.monthly+_xlpm.annual+_xlpm.planned)</f>
        <v>8000</v>
      </c>
      <c r="F25" s="143" cm="1">
        <f t="array" aca="1" ref="F25" ca="1">_xlfn.LET(
_xlpm.daily,RecurringFactorBased($B25,"Daily",F$4,F$119),
_xlpm.weekdays,RecurringFactorBased($B25,"Weekdays",F$4,F$119),
_xlpm.paydays,RecurringFactorBased($B25,"Paydays",F$4,F$119),
_xlpm.mondays,RecurringFactorBased($B25,"Mondays",F$4,F$119),
_xlpm.tuesdays,RecurringFactorBased($B25,"Tuesdays",F$4,F$119),
_xlpm.wednesdays,RecurringFactorBased($B25,"Wednesdays",F$4,F$119),
_xlpm.thursdays,RecurringFactorBased($B25,"Thursdays",F$4,F$119),
_xlpm.fridays,RecurringFactorBased($B25,"Fridays",F$4,F$119),
_xlpm.saturdays,RecurringFactorBased($B25,"Saturdays",F$4,F$119),
_xlpm.sundays,RecurringFactorBased($B25,"Sundays",F$4,F$119),
_xlpm.monthly,RecurringMonthly($B25,F$4),
_xlpm.annual,RecurringAnnual($B25,F$4),
_xlpm.planned,SUMIFS(Planned!$F:$F,Planned!$B:$B,$B25,Planned!$E:$E,"&gt;="&amp;F$4,Planned!$E:$E,"&lt;="&amp;EOMONTH(F$4,0)),
_xlpm.daily+_xlpm.weekdays+_xlpm.mondays+_xlpm.tuesdays+_xlpm.wednesdays+_xlpm.thursdays+_xlpm.fridays+_xlpm.saturdays+_xlpm.sundays+_xlpm.paydays+_xlpm.monthly+_xlpm.annual+_xlpm.planned)</f>
        <v>8200</v>
      </c>
      <c r="G25" s="143" cm="1">
        <f t="array" aca="1" ref="G25" ca="1">_xlfn.LET(
_xlpm.daily,RecurringFactorBased($B25,"Daily",G$4,G$119),
_xlpm.weekdays,RecurringFactorBased($B25,"Weekdays",G$4,G$119),
_xlpm.paydays,RecurringFactorBased($B25,"Paydays",G$4,G$119),
_xlpm.mondays,RecurringFactorBased($B25,"Mondays",G$4,G$119),
_xlpm.tuesdays,RecurringFactorBased($B25,"Tuesdays",G$4,G$119),
_xlpm.wednesdays,RecurringFactorBased($B25,"Wednesdays",G$4,G$119),
_xlpm.thursdays,RecurringFactorBased($B25,"Thursdays",G$4,G$119),
_xlpm.fridays,RecurringFactorBased($B25,"Fridays",G$4,G$119),
_xlpm.saturdays,RecurringFactorBased($B25,"Saturdays",G$4,G$119),
_xlpm.sundays,RecurringFactorBased($B25,"Sundays",G$4,G$119),
_xlpm.monthly,RecurringMonthly($B25,G$4),
_xlpm.annual,RecurringAnnual($B25,G$4),
_xlpm.planned,SUMIFS(Planned!$F:$F,Planned!$B:$B,$B25,Planned!$E:$E,"&gt;="&amp;G$4,Planned!$E:$E,"&lt;="&amp;EOMONTH(G$4,0)),
_xlpm.daily+_xlpm.weekdays+_xlpm.mondays+_xlpm.tuesdays+_xlpm.wednesdays+_xlpm.thursdays+_xlpm.fridays+_xlpm.saturdays+_xlpm.sundays+_xlpm.paydays+_xlpm.monthly+_xlpm.annual+_xlpm.planned)</f>
        <v>8200</v>
      </c>
      <c r="H25" s="143" cm="1">
        <f t="array" aca="1" ref="H25" ca="1">_xlfn.LET(
_xlpm.daily,RecurringFactorBased($B25,"Daily",H$4,H$119),
_xlpm.weekdays,RecurringFactorBased($B25,"Weekdays",H$4,H$119),
_xlpm.paydays,RecurringFactorBased($B25,"Paydays",H$4,H$119),
_xlpm.mondays,RecurringFactorBased($B25,"Mondays",H$4,H$119),
_xlpm.tuesdays,RecurringFactorBased($B25,"Tuesdays",H$4,H$119),
_xlpm.wednesdays,RecurringFactorBased($B25,"Wednesdays",H$4,H$119),
_xlpm.thursdays,RecurringFactorBased($B25,"Thursdays",H$4,H$119),
_xlpm.fridays,RecurringFactorBased($B25,"Fridays",H$4,H$119),
_xlpm.saturdays,RecurringFactorBased($B25,"Saturdays",H$4,H$119),
_xlpm.sundays,RecurringFactorBased($B25,"Sundays",H$4,H$119),
_xlpm.monthly,RecurringMonthly($B25,H$4),
_xlpm.annual,RecurringAnnual($B25,H$4),
_xlpm.planned,SUMIFS(Planned!$F:$F,Planned!$B:$B,$B25,Planned!$E:$E,"&gt;="&amp;H$4,Planned!$E:$E,"&lt;="&amp;EOMONTH(H$4,0)),
_xlpm.daily+_xlpm.weekdays+_xlpm.mondays+_xlpm.tuesdays+_xlpm.wednesdays+_xlpm.thursdays+_xlpm.fridays+_xlpm.saturdays+_xlpm.sundays+_xlpm.paydays+_xlpm.monthly+_xlpm.annual+_xlpm.planned)</f>
        <v>12300</v>
      </c>
      <c r="I25" s="143" cm="1">
        <f t="array" aca="1" ref="I25" ca="1">_xlfn.LET(
_xlpm.daily,RecurringFactorBased($B25,"Daily",I$4,I$119),
_xlpm.weekdays,RecurringFactorBased($B25,"Weekdays",I$4,I$119),
_xlpm.paydays,RecurringFactorBased($B25,"Paydays",I$4,I$119),
_xlpm.mondays,RecurringFactorBased($B25,"Mondays",I$4,I$119),
_xlpm.tuesdays,RecurringFactorBased($B25,"Tuesdays",I$4,I$119),
_xlpm.wednesdays,RecurringFactorBased($B25,"Wednesdays",I$4,I$119),
_xlpm.thursdays,RecurringFactorBased($B25,"Thursdays",I$4,I$119),
_xlpm.fridays,RecurringFactorBased($B25,"Fridays",I$4,I$119),
_xlpm.saturdays,RecurringFactorBased($B25,"Saturdays",I$4,I$119),
_xlpm.sundays,RecurringFactorBased($B25,"Sundays",I$4,I$119),
_xlpm.monthly,RecurringMonthly($B25,I$4),
_xlpm.annual,RecurringAnnual($B25,I$4),
_xlpm.planned,SUMIFS(Planned!$F:$F,Planned!$B:$B,$B25,Planned!$E:$E,"&gt;="&amp;I$4,Planned!$E:$E,"&lt;="&amp;EOMONTH(I$4,0)),
_xlpm.daily+_xlpm.weekdays+_xlpm.mondays+_xlpm.tuesdays+_xlpm.wednesdays+_xlpm.thursdays+_xlpm.fridays+_xlpm.saturdays+_xlpm.sundays+_xlpm.paydays+_xlpm.monthly+_xlpm.annual+_xlpm.planned)</f>
        <v>8200</v>
      </c>
      <c r="J25" s="143" cm="1">
        <f t="array" aca="1" ref="J25" ca="1">_xlfn.LET(
_xlpm.daily,RecurringFactorBased($B25,"Daily",J$4,J$119),
_xlpm.weekdays,RecurringFactorBased($B25,"Weekdays",J$4,J$119),
_xlpm.paydays,RecurringFactorBased($B25,"Paydays",J$4,J$119),
_xlpm.mondays,RecurringFactorBased($B25,"Mondays",J$4,J$119),
_xlpm.tuesdays,RecurringFactorBased($B25,"Tuesdays",J$4,J$119),
_xlpm.wednesdays,RecurringFactorBased($B25,"Wednesdays",J$4,J$119),
_xlpm.thursdays,RecurringFactorBased($B25,"Thursdays",J$4,J$119),
_xlpm.fridays,RecurringFactorBased($B25,"Fridays",J$4,J$119),
_xlpm.saturdays,RecurringFactorBased($B25,"Saturdays",J$4,J$119),
_xlpm.sundays,RecurringFactorBased($B25,"Sundays",J$4,J$119),
_xlpm.monthly,RecurringMonthly($B25,J$4),
_xlpm.annual,RecurringAnnual($B25,J$4),
_xlpm.planned,SUMIFS(Planned!$F:$F,Planned!$B:$B,$B25,Planned!$E:$E,"&gt;="&amp;J$4,Planned!$E:$E,"&lt;="&amp;EOMONTH(J$4,0)),
_xlpm.daily+_xlpm.weekdays+_xlpm.mondays+_xlpm.tuesdays+_xlpm.wednesdays+_xlpm.thursdays+_xlpm.fridays+_xlpm.saturdays+_xlpm.sundays+_xlpm.paydays+_xlpm.monthly+_xlpm.annual+_xlpm.planned)</f>
        <v>8200</v>
      </c>
      <c r="K25" s="143" cm="1">
        <f t="array" aca="1" ref="K25" ca="1">_xlfn.LET(
_xlpm.daily,RecurringFactorBased($B25,"Daily",K$4,K$119),
_xlpm.weekdays,RecurringFactorBased($B25,"Weekdays",K$4,K$119),
_xlpm.paydays,RecurringFactorBased($B25,"Paydays",K$4,K$119),
_xlpm.mondays,RecurringFactorBased($B25,"Mondays",K$4,K$119),
_xlpm.tuesdays,RecurringFactorBased($B25,"Tuesdays",K$4,K$119),
_xlpm.wednesdays,RecurringFactorBased($B25,"Wednesdays",K$4,K$119),
_xlpm.thursdays,RecurringFactorBased($B25,"Thursdays",K$4,K$119),
_xlpm.fridays,RecurringFactorBased($B25,"Fridays",K$4,K$119),
_xlpm.saturdays,RecurringFactorBased($B25,"Saturdays",K$4,K$119),
_xlpm.sundays,RecurringFactorBased($B25,"Sundays",K$4,K$119),
_xlpm.monthly,RecurringMonthly($B25,K$4),
_xlpm.annual,RecurringAnnual($B25,K$4),
_xlpm.planned,SUMIFS(Planned!$F:$F,Planned!$B:$B,$B25,Planned!$E:$E,"&gt;="&amp;K$4,Planned!$E:$E,"&lt;="&amp;EOMONTH(K$4,0)),
_xlpm.daily+_xlpm.weekdays+_xlpm.mondays+_xlpm.tuesdays+_xlpm.wednesdays+_xlpm.thursdays+_xlpm.fridays+_xlpm.saturdays+_xlpm.sundays+_xlpm.paydays+_xlpm.monthly+_xlpm.annual+_xlpm.planned)</f>
        <v>8200</v>
      </c>
      <c r="L25" s="143" cm="1">
        <f t="array" aca="1" ref="L25" ca="1">_xlfn.LET(
_xlpm.daily,RecurringFactorBased($B25,"Daily",L$4,L$119),
_xlpm.weekdays,RecurringFactorBased($B25,"Weekdays",L$4,L$119),
_xlpm.paydays,RecurringFactorBased($B25,"Paydays",L$4,L$119),
_xlpm.mondays,RecurringFactorBased($B25,"Mondays",L$4,L$119),
_xlpm.tuesdays,RecurringFactorBased($B25,"Tuesdays",L$4,L$119),
_xlpm.wednesdays,RecurringFactorBased($B25,"Wednesdays",L$4,L$119),
_xlpm.thursdays,RecurringFactorBased($B25,"Thursdays",L$4,L$119),
_xlpm.fridays,RecurringFactorBased($B25,"Fridays",L$4,L$119),
_xlpm.saturdays,RecurringFactorBased($B25,"Saturdays",L$4,L$119),
_xlpm.sundays,RecurringFactorBased($B25,"Sundays",L$4,L$119),
_xlpm.monthly,RecurringMonthly($B25,L$4),
_xlpm.annual,RecurringAnnual($B25,L$4),
_xlpm.planned,SUMIFS(Planned!$F:$F,Planned!$B:$B,$B25,Planned!$E:$E,"&gt;="&amp;L$4,Planned!$E:$E,"&lt;="&amp;EOMONTH(L$4,0)),
_xlpm.daily+_xlpm.weekdays+_xlpm.mondays+_xlpm.tuesdays+_xlpm.wednesdays+_xlpm.thursdays+_xlpm.fridays+_xlpm.saturdays+_xlpm.sundays+_xlpm.paydays+_xlpm.monthly+_xlpm.annual+_xlpm.planned)</f>
        <v>8200</v>
      </c>
      <c r="M25" s="143" cm="1">
        <f t="array" aca="1" ref="M25" ca="1">_xlfn.LET(
_xlpm.daily,RecurringFactorBased($B25,"Daily",M$4,M$119),
_xlpm.weekdays,RecurringFactorBased($B25,"Weekdays",M$4,M$119),
_xlpm.paydays,RecurringFactorBased($B25,"Paydays",M$4,M$119),
_xlpm.mondays,RecurringFactorBased($B25,"Mondays",M$4,M$119),
_xlpm.tuesdays,RecurringFactorBased($B25,"Tuesdays",M$4,M$119),
_xlpm.wednesdays,RecurringFactorBased($B25,"Wednesdays",M$4,M$119),
_xlpm.thursdays,RecurringFactorBased($B25,"Thursdays",M$4,M$119),
_xlpm.fridays,RecurringFactorBased($B25,"Fridays",M$4,M$119),
_xlpm.saturdays,RecurringFactorBased($B25,"Saturdays",M$4,M$119),
_xlpm.sundays,RecurringFactorBased($B25,"Sundays",M$4,M$119),
_xlpm.monthly,RecurringMonthly($B25,M$4),
_xlpm.annual,RecurringAnnual($B25,M$4),
_xlpm.planned,SUMIFS(Planned!$F:$F,Planned!$B:$B,$B25,Planned!$E:$E,"&gt;="&amp;M$4,Planned!$E:$E,"&lt;="&amp;EOMONTH(M$4,0)),
_xlpm.daily+_xlpm.weekdays+_xlpm.mondays+_xlpm.tuesdays+_xlpm.wednesdays+_xlpm.thursdays+_xlpm.fridays+_xlpm.saturdays+_xlpm.sundays+_xlpm.paydays+_xlpm.monthly+_xlpm.annual+_xlpm.planned)</f>
        <v>12300</v>
      </c>
      <c r="N25" s="143" cm="1">
        <f t="array" aca="1" ref="N25" ca="1">_xlfn.LET(
_xlpm.daily,RecurringFactorBased($B25,"Daily",N$4,N$119),
_xlpm.weekdays,RecurringFactorBased($B25,"Weekdays",N$4,N$119),
_xlpm.paydays,RecurringFactorBased($B25,"Paydays",N$4,N$119),
_xlpm.mondays,RecurringFactorBased($B25,"Mondays",N$4,N$119),
_xlpm.tuesdays,RecurringFactorBased($B25,"Tuesdays",N$4,N$119),
_xlpm.wednesdays,RecurringFactorBased($B25,"Wednesdays",N$4,N$119),
_xlpm.thursdays,RecurringFactorBased($B25,"Thursdays",N$4,N$119),
_xlpm.fridays,RecurringFactorBased($B25,"Fridays",N$4,N$119),
_xlpm.saturdays,RecurringFactorBased($B25,"Saturdays",N$4,N$119),
_xlpm.sundays,RecurringFactorBased($B25,"Sundays",N$4,N$119),
_xlpm.monthly,RecurringMonthly($B25,N$4),
_xlpm.annual,RecurringAnnual($B25,N$4),
_xlpm.planned,SUMIFS(Planned!$F:$F,Planned!$B:$B,$B25,Planned!$E:$E,"&gt;="&amp;N$4,Planned!$E:$E,"&lt;="&amp;EOMONTH(N$4,0)),
_xlpm.daily+_xlpm.weekdays+_xlpm.mondays+_xlpm.tuesdays+_xlpm.wednesdays+_xlpm.thursdays+_xlpm.fridays+_xlpm.saturdays+_xlpm.sundays+_xlpm.paydays+_xlpm.monthly+_xlpm.annual+_xlpm.planned)</f>
        <v>8200</v>
      </c>
      <c r="O25" s="133"/>
      <c r="P25" s="144">
        <f ca="1">SUM(C25:N25)</f>
        <v>98000</v>
      </c>
      <c r="Q25" s="79"/>
      <c r="R25" s="202"/>
      <c r="S25" s="234"/>
      <c r="T25" s="234"/>
      <c r="U25" s="234"/>
      <c r="W25" s="18"/>
    </row>
    <row r="26" spans="1:23" ht="12.75" customHeight="1" x14ac:dyDescent="0.2">
      <c r="A26" s="61"/>
      <c r="B26" s="102" t="s">
        <v>16</v>
      </c>
      <c r="C26" s="143" cm="1">
        <f t="array" aca="1" ref="C26" ca="1">_xlfn.LET(
_xlpm.daily,RecurringFactorBased($B26,"Daily",C$4,C$119),
_xlpm.weekdays,RecurringFactorBased($B26,"Weekdays",C$4,C$119),
_xlpm.paydays,RecurringFactorBased($B26,"Paydays",C$4,C$119),
_xlpm.mondays,RecurringFactorBased($B26,"Mondays",C$4,C$119),
_xlpm.tuesdays,RecurringFactorBased($B26,"Tuesdays",C$4,C$119),
_xlpm.wednesdays,RecurringFactorBased($B26,"Wednesdays",C$4,C$119),
_xlpm.thursdays,RecurringFactorBased($B26,"Thursdays",C$4,C$119),
_xlpm.fridays,RecurringFactorBased($B26,"Fridays",C$4,C$119),
_xlpm.saturdays,RecurringFactorBased($B26,"Saturdays",C$4,C$119),
_xlpm.sundays,RecurringFactorBased($B26,"Sundays",C$4,C$119),
_xlpm.monthly,RecurringMonthly($B26,C$4),
_xlpm.annual,RecurringAnnual($B26,C$4),
_xlpm.planned,SUMIFS(Planned!$F:$F,Planned!$B:$B,$B26,Planned!$E:$E,"&gt;="&amp;C$4,Planned!$E:$E,"&lt;="&amp;EOMONTH(C$4,0)),
_xlpm.daily+_xlpm.weekdays+_xlpm.mondays+_xlpm.tuesdays+_xlpm.wednesdays+_xlpm.thursdays+_xlpm.fridays+_xlpm.saturdays+_xlpm.sundays+_xlpm.paydays+_xlpm.monthly+_xlpm.annual+_xlpm.planned)</f>
        <v>0</v>
      </c>
      <c r="D26" s="143" cm="1">
        <f t="array" aca="1" ref="D26" ca="1">_xlfn.LET(
_xlpm.daily,RecurringFactorBased($B26,"Daily",D$4,D$119),
_xlpm.weekdays,RecurringFactorBased($B26,"Weekdays",D$4,D$119),
_xlpm.paydays,RecurringFactorBased($B26,"Paydays",D$4,D$119),
_xlpm.mondays,RecurringFactorBased($B26,"Mondays",D$4,D$119),
_xlpm.tuesdays,RecurringFactorBased($B26,"Tuesdays",D$4,D$119),
_xlpm.wednesdays,RecurringFactorBased($B26,"Wednesdays",D$4,D$119),
_xlpm.thursdays,RecurringFactorBased($B26,"Thursdays",D$4,D$119),
_xlpm.fridays,RecurringFactorBased($B26,"Fridays",D$4,D$119),
_xlpm.saturdays,RecurringFactorBased($B26,"Saturdays",D$4,D$119),
_xlpm.sundays,RecurringFactorBased($B26,"Sundays",D$4,D$119),
_xlpm.monthly,RecurringMonthly($B26,D$4),
_xlpm.annual,RecurringAnnual($B26,D$4),
_xlpm.planned,SUMIFS(Planned!$F:$F,Planned!$B:$B,$B26,Planned!$E:$E,"&gt;="&amp;D$4,Planned!$E:$E,"&lt;="&amp;EOMONTH(D$4,0)),
_xlpm.daily+_xlpm.weekdays+_xlpm.mondays+_xlpm.tuesdays+_xlpm.wednesdays+_xlpm.thursdays+_xlpm.fridays+_xlpm.saturdays+_xlpm.sundays+_xlpm.paydays+_xlpm.monthly+_xlpm.annual+_xlpm.planned)</f>
        <v>0</v>
      </c>
      <c r="E26" s="143" cm="1">
        <f t="array" aca="1" ref="E26" ca="1">_xlfn.LET(
_xlpm.daily,RecurringFactorBased($B26,"Daily",E$4,E$119),
_xlpm.weekdays,RecurringFactorBased($B26,"Weekdays",E$4,E$119),
_xlpm.paydays,RecurringFactorBased($B26,"Paydays",E$4,E$119),
_xlpm.mondays,RecurringFactorBased($B26,"Mondays",E$4,E$119),
_xlpm.tuesdays,RecurringFactorBased($B26,"Tuesdays",E$4,E$119),
_xlpm.wednesdays,RecurringFactorBased($B26,"Wednesdays",E$4,E$119),
_xlpm.thursdays,RecurringFactorBased($B26,"Thursdays",E$4,E$119),
_xlpm.fridays,RecurringFactorBased($B26,"Fridays",E$4,E$119),
_xlpm.saturdays,RecurringFactorBased($B26,"Saturdays",E$4,E$119),
_xlpm.sundays,RecurringFactorBased($B26,"Sundays",E$4,E$119),
_xlpm.monthly,RecurringMonthly($B26,E$4),
_xlpm.annual,RecurringAnnual($B26,E$4),
_xlpm.planned,SUMIFS(Planned!$F:$F,Planned!$B:$B,$B26,Planned!$E:$E,"&gt;="&amp;E$4,Planned!$E:$E,"&lt;="&amp;EOMONTH(E$4,0)),
_xlpm.daily+_xlpm.weekdays+_xlpm.mondays+_xlpm.tuesdays+_xlpm.wednesdays+_xlpm.thursdays+_xlpm.fridays+_xlpm.saturdays+_xlpm.sundays+_xlpm.paydays+_xlpm.monthly+_xlpm.annual+_xlpm.planned)</f>
        <v>0</v>
      </c>
      <c r="F26" s="143" cm="1">
        <f t="array" aca="1" ref="F26" ca="1">_xlfn.LET(
_xlpm.daily,RecurringFactorBased($B26,"Daily",F$4,F$119),
_xlpm.weekdays,RecurringFactorBased($B26,"Weekdays",F$4,F$119),
_xlpm.paydays,RecurringFactorBased($B26,"Paydays",F$4,F$119),
_xlpm.mondays,RecurringFactorBased($B26,"Mondays",F$4,F$119),
_xlpm.tuesdays,RecurringFactorBased($B26,"Tuesdays",F$4,F$119),
_xlpm.wednesdays,RecurringFactorBased($B26,"Wednesdays",F$4,F$119),
_xlpm.thursdays,RecurringFactorBased($B26,"Thursdays",F$4,F$119),
_xlpm.fridays,RecurringFactorBased($B26,"Fridays",F$4,F$119),
_xlpm.saturdays,RecurringFactorBased($B26,"Saturdays",F$4,F$119),
_xlpm.sundays,RecurringFactorBased($B26,"Sundays",F$4,F$119),
_xlpm.monthly,RecurringMonthly($B26,F$4),
_xlpm.annual,RecurringAnnual($B26,F$4),
_xlpm.planned,SUMIFS(Planned!$F:$F,Planned!$B:$B,$B26,Planned!$E:$E,"&gt;="&amp;F$4,Planned!$E:$E,"&lt;="&amp;EOMONTH(F$4,0)),
_xlpm.daily+_xlpm.weekdays+_xlpm.mondays+_xlpm.tuesdays+_xlpm.wednesdays+_xlpm.thursdays+_xlpm.fridays+_xlpm.saturdays+_xlpm.sundays+_xlpm.paydays+_xlpm.monthly+_xlpm.annual+_xlpm.planned)</f>
        <v>0</v>
      </c>
      <c r="G26" s="143" cm="1">
        <f t="array" aca="1" ref="G26" ca="1">_xlfn.LET(
_xlpm.daily,RecurringFactorBased($B26,"Daily",G$4,G$119),
_xlpm.weekdays,RecurringFactorBased($B26,"Weekdays",G$4,G$119),
_xlpm.paydays,RecurringFactorBased($B26,"Paydays",G$4,G$119),
_xlpm.mondays,RecurringFactorBased($B26,"Mondays",G$4,G$119),
_xlpm.tuesdays,RecurringFactorBased($B26,"Tuesdays",G$4,G$119),
_xlpm.wednesdays,RecurringFactorBased($B26,"Wednesdays",G$4,G$119),
_xlpm.thursdays,RecurringFactorBased($B26,"Thursdays",G$4,G$119),
_xlpm.fridays,RecurringFactorBased($B26,"Fridays",G$4,G$119),
_xlpm.saturdays,RecurringFactorBased($B26,"Saturdays",G$4,G$119),
_xlpm.sundays,RecurringFactorBased($B26,"Sundays",G$4,G$119),
_xlpm.monthly,RecurringMonthly($B26,G$4),
_xlpm.annual,RecurringAnnual($B26,G$4),
_xlpm.planned,SUMIFS(Planned!$F:$F,Planned!$B:$B,$B26,Planned!$E:$E,"&gt;="&amp;G$4,Planned!$E:$E,"&lt;="&amp;EOMONTH(G$4,0)),
_xlpm.daily+_xlpm.weekdays+_xlpm.mondays+_xlpm.tuesdays+_xlpm.wednesdays+_xlpm.thursdays+_xlpm.fridays+_xlpm.saturdays+_xlpm.sundays+_xlpm.paydays+_xlpm.monthly+_xlpm.annual+_xlpm.planned)</f>
        <v>10000</v>
      </c>
      <c r="H26" s="143" cm="1">
        <f t="array" aca="1" ref="H26" ca="1">_xlfn.LET(
_xlpm.daily,RecurringFactorBased($B26,"Daily",H$4,H$119),
_xlpm.weekdays,RecurringFactorBased($B26,"Weekdays",H$4,H$119),
_xlpm.paydays,RecurringFactorBased($B26,"Paydays",H$4,H$119),
_xlpm.mondays,RecurringFactorBased($B26,"Mondays",H$4,H$119),
_xlpm.tuesdays,RecurringFactorBased($B26,"Tuesdays",H$4,H$119),
_xlpm.wednesdays,RecurringFactorBased($B26,"Wednesdays",H$4,H$119),
_xlpm.thursdays,RecurringFactorBased($B26,"Thursdays",H$4,H$119),
_xlpm.fridays,RecurringFactorBased($B26,"Fridays",H$4,H$119),
_xlpm.saturdays,RecurringFactorBased($B26,"Saturdays",H$4,H$119),
_xlpm.sundays,RecurringFactorBased($B26,"Sundays",H$4,H$119),
_xlpm.monthly,RecurringMonthly($B26,H$4),
_xlpm.annual,RecurringAnnual($B26,H$4),
_xlpm.planned,SUMIFS(Planned!$F:$F,Planned!$B:$B,$B26,Planned!$E:$E,"&gt;="&amp;H$4,Planned!$E:$E,"&lt;="&amp;EOMONTH(H$4,0)),
_xlpm.daily+_xlpm.weekdays+_xlpm.mondays+_xlpm.tuesdays+_xlpm.wednesdays+_xlpm.thursdays+_xlpm.fridays+_xlpm.saturdays+_xlpm.sundays+_xlpm.paydays+_xlpm.monthly+_xlpm.annual+_xlpm.planned)</f>
        <v>0</v>
      </c>
      <c r="I26" s="143" cm="1">
        <f t="array" aca="1" ref="I26" ca="1">_xlfn.LET(
_xlpm.daily,RecurringFactorBased($B26,"Daily",I$4,I$119),
_xlpm.weekdays,RecurringFactorBased($B26,"Weekdays",I$4,I$119),
_xlpm.paydays,RecurringFactorBased($B26,"Paydays",I$4,I$119),
_xlpm.mondays,RecurringFactorBased($B26,"Mondays",I$4,I$119),
_xlpm.tuesdays,RecurringFactorBased($B26,"Tuesdays",I$4,I$119),
_xlpm.wednesdays,RecurringFactorBased($B26,"Wednesdays",I$4,I$119),
_xlpm.thursdays,RecurringFactorBased($B26,"Thursdays",I$4,I$119),
_xlpm.fridays,RecurringFactorBased($B26,"Fridays",I$4,I$119),
_xlpm.saturdays,RecurringFactorBased($B26,"Saturdays",I$4,I$119),
_xlpm.sundays,RecurringFactorBased($B26,"Sundays",I$4,I$119),
_xlpm.monthly,RecurringMonthly($B26,I$4),
_xlpm.annual,RecurringAnnual($B26,I$4),
_xlpm.planned,SUMIFS(Planned!$F:$F,Planned!$B:$B,$B26,Planned!$E:$E,"&gt;="&amp;I$4,Planned!$E:$E,"&lt;="&amp;EOMONTH(I$4,0)),
_xlpm.daily+_xlpm.weekdays+_xlpm.mondays+_xlpm.tuesdays+_xlpm.wednesdays+_xlpm.thursdays+_xlpm.fridays+_xlpm.saturdays+_xlpm.sundays+_xlpm.paydays+_xlpm.monthly+_xlpm.annual+_xlpm.planned)</f>
        <v>0</v>
      </c>
      <c r="J26" s="143" cm="1">
        <f t="array" aca="1" ref="J26" ca="1">_xlfn.LET(
_xlpm.daily,RecurringFactorBased($B26,"Daily",J$4,J$119),
_xlpm.weekdays,RecurringFactorBased($B26,"Weekdays",J$4,J$119),
_xlpm.paydays,RecurringFactorBased($B26,"Paydays",J$4,J$119),
_xlpm.mondays,RecurringFactorBased($B26,"Mondays",J$4,J$119),
_xlpm.tuesdays,RecurringFactorBased($B26,"Tuesdays",J$4,J$119),
_xlpm.wednesdays,RecurringFactorBased($B26,"Wednesdays",J$4,J$119),
_xlpm.thursdays,RecurringFactorBased($B26,"Thursdays",J$4,J$119),
_xlpm.fridays,RecurringFactorBased($B26,"Fridays",J$4,J$119),
_xlpm.saturdays,RecurringFactorBased($B26,"Saturdays",J$4,J$119),
_xlpm.sundays,RecurringFactorBased($B26,"Sundays",J$4,J$119),
_xlpm.monthly,RecurringMonthly($B26,J$4),
_xlpm.annual,RecurringAnnual($B26,J$4),
_xlpm.planned,SUMIFS(Planned!$F:$F,Planned!$B:$B,$B26,Planned!$E:$E,"&gt;="&amp;J$4,Planned!$E:$E,"&lt;="&amp;EOMONTH(J$4,0)),
_xlpm.daily+_xlpm.weekdays+_xlpm.mondays+_xlpm.tuesdays+_xlpm.wednesdays+_xlpm.thursdays+_xlpm.fridays+_xlpm.saturdays+_xlpm.sundays+_xlpm.paydays+_xlpm.monthly+_xlpm.annual+_xlpm.planned)</f>
        <v>0</v>
      </c>
      <c r="K26" s="143" cm="1">
        <f t="array" aca="1" ref="K26" ca="1">_xlfn.LET(
_xlpm.daily,RecurringFactorBased($B26,"Daily",K$4,K$119),
_xlpm.weekdays,RecurringFactorBased($B26,"Weekdays",K$4,K$119),
_xlpm.paydays,RecurringFactorBased($B26,"Paydays",K$4,K$119),
_xlpm.mondays,RecurringFactorBased($B26,"Mondays",K$4,K$119),
_xlpm.tuesdays,RecurringFactorBased($B26,"Tuesdays",K$4,K$119),
_xlpm.wednesdays,RecurringFactorBased($B26,"Wednesdays",K$4,K$119),
_xlpm.thursdays,RecurringFactorBased($B26,"Thursdays",K$4,K$119),
_xlpm.fridays,RecurringFactorBased($B26,"Fridays",K$4,K$119),
_xlpm.saturdays,RecurringFactorBased($B26,"Saturdays",K$4,K$119),
_xlpm.sundays,RecurringFactorBased($B26,"Sundays",K$4,K$119),
_xlpm.monthly,RecurringMonthly($B26,K$4),
_xlpm.annual,RecurringAnnual($B26,K$4),
_xlpm.planned,SUMIFS(Planned!$F:$F,Planned!$B:$B,$B26,Planned!$E:$E,"&gt;="&amp;K$4,Planned!$E:$E,"&lt;="&amp;EOMONTH(K$4,0)),
_xlpm.daily+_xlpm.weekdays+_xlpm.mondays+_xlpm.tuesdays+_xlpm.wednesdays+_xlpm.thursdays+_xlpm.fridays+_xlpm.saturdays+_xlpm.sundays+_xlpm.paydays+_xlpm.monthly+_xlpm.annual+_xlpm.planned)</f>
        <v>0</v>
      </c>
      <c r="L26" s="143" cm="1">
        <f t="array" aca="1" ref="L26" ca="1">_xlfn.LET(
_xlpm.daily,RecurringFactorBased($B26,"Daily",L$4,L$119),
_xlpm.weekdays,RecurringFactorBased($B26,"Weekdays",L$4,L$119),
_xlpm.paydays,RecurringFactorBased($B26,"Paydays",L$4,L$119),
_xlpm.mondays,RecurringFactorBased($B26,"Mondays",L$4,L$119),
_xlpm.tuesdays,RecurringFactorBased($B26,"Tuesdays",L$4,L$119),
_xlpm.wednesdays,RecurringFactorBased($B26,"Wednesdays",L$4,L$119),
_xlpm.thursdays,RecurringFactorBased($B26,"Thursdays",L$4,L$119),
_xlpm.fridays,RecurringFactorBased($B26,"Fridays",L$4,L$119),
_xlpm.saturdays,RecurringFactorBased($B26,"Saturdays",L$4,L$119),
_xlpm.sundays,RecurringFactorBased($B26,"Sundays",L$4,L$119),
_xlpm.monthly,RecurringMonthly($B26,L$4),
_xlpm.annual,RecurringAnnual($B26,L$4),
_xlpm.planned,SUMIFS(Planned!$F:$F,Planned!$B:$B,$B26,Planned!$E:$E,"&gt;="&amp;L$4,Planned!$E:$E,"&lt;="&amp;EOMONTH(L$4,0)),
_xlpm.daily+_xlpm.weekdays+_xlpm.mondays+_xlpm.tuesdays+_xlpm.wednesdays+_xlpm.thursdays+_xlpm.fridays+_xlpm.saturdays+_xlpm.sundays+_xlpm.paydays+_xlpm.monthly+_xlpm.annual+_xlpm.planned)</f>
        <v>0</v>
      </c>
      <c r="M26" s="143" cm="1">
        <f t="array" aca="1" ref="M26" ca="1">_xlfn.LET(
_xlpm.daily,RecurringFactorBased($B26,"Daily",M$4,M$119),
_xlpm.weekdays,RecurringFactorBased($B26,"Weekdays",M$4,M$119),
_xlpm.paydays,RecurringFactorBased($B26,"Paydays",M$4,M$119),
_xlpm.mondays,RecurringFactorBased($B26,"Mondays",M$4,M$119),
_xlpm.tuesdays,RecurringFactorBased($B26,"Tuesdays",M$4,M$119),
_xlpm.wednesdays,RecurringFactorBased($B26,"Wednesdays",M$4,M$119),
_xlpm.thursdays,RecurringFactorBased($B26,"Thursdays",M$4,M$119),
_xlpm.fridays,RecurringFactorBased($B26,"Fridays",M$4,M$119),
_xlpm.saturdays,RecurringFactorBased($B26,"Saturdays",M$4,M$119),
_xlpm.sundays,RecurringFactorBased($B26,"Sundays",M$4,M$119),
_xlpm.monthly,RecurringMonthly($B26,M$4),
_xlpm.annual,RecurringAnnual($B26,M$4),
_xlpm.planned,SUMIFS(Planned!$F:$F,Planned!$B:$B,$B26,Planned!$E:$E,"&gt;="&amp;M$4,Planned!$E:$E,"&lt;="&amp;EOMONTH(M$4,0)),
_xlpm.daily+_xlpm.weekdays+_xlpm.mondays+_xlpm.tuesdays+_xlpm.wednesdays+_xlpm.thursdays+_xlpm.fridays+_xlpm.saturdays+_xlpm.sundays+_xlpm.paydays+_xlpm.monthly+_xlpm.annual+_xlpm.planned)</f>
        <v>0</v>
      </c>
      <c r="N26" s="143" cm="1">
        <f t="array" aca="1" ref="N26" ca="1">_xlfn.LET(
_xlpm.daily,RecurringFactorBased($B26,"Daily",N$4,N$119),
_xlpm.weekdays,RecurringFactorBased($B26,"Weekdays",N$4,N$119),
_xlpm.paydays,RecurringFactorBased($B26,"Paydays",N$4,N$119),
_xlpm.mondays,RecurringFactorBased($B26,"Mondays",N$4,N$119),
_xlpm.tuesdays,RecurringFactorBased($B26,"Tuesdays",N$4,N$119),
_xlpm.wednesdays,RecurringFactorBased($B26,"Wednesdays",N$4,N$119),
_xlpm.thursdays,RecurringFactorBased($B26,"Thursdays",N$4,N$119),
_xlpm.fridays,RecurringFactorBased($B26,"Fridays",N$4,N$119),
_xlpm.saturdays,RecurringFactorBased($B26,"Saturdays",N$4,N$119),
_xlpm.sundays,RecurringFactorBased($B26,"Sundays",N$4,N$119),
_xlpm.monthly,RecurringMonthly($B26,N$4),
_xlpm.annual,RecurringAnnual($B26,N$4),
_xlpm.planned,SUMIFS(Planned!$F:$F,Planned!$B:$B,$B26,Planned!$E:$E,"&gt;="&amp;N$4,Planned!$E:$E,"&lt;="&amp;EOMONTH(N$4,0)),
_xlpm.daily+_xlpm.weekdays+_xlpm.mondays+_xlpm.tuesdays+_xlpm.wednesdays+_xlpm.thursdays+_xlpm.fridays+_xlpm.saturdays+_xlpm.sundays+_xlpm.paydays+_xlpm.monthly+_xlpm.annual+_xlpm.planned)</f>
        <v>0</v>
      </c>
      <c r="O26" s="133"/>
      <c r="P26" s="144">
        <f ca="1">SUM(C26:N26)</f>
        <v>10000</v>
      </c>
      <c r="Q26" s="79"/>
      <c r="R26" s="202" t="s">
        <v>306</v>
      </c>
      <c r="S26" s="234"/>
      <c r="T26" s="234"/>
      <c r="U26" s="234"/>
      <c r="W26" s="18"/>
    </row>
    <row r="27" spans="1:23" ht="12.75" customHeight="1" x14ac:dyDescent="0.2">
      <c r="A27" s="61"/>
      <c r="B27" s="102" t="s">
        <v>56</v>
      </c>
      <c r="C27" s="143" cm="1">
        <f t="array" aca="1" ref="C27" ca="1">_xlfn.LET(
_xlpm.daily,RecurringFactorBased($B27,"Daily",C$4,C$119),
_xlpm.weekdays,RecurringFactorBased($B27,"Weekdays",C$4,C$119),
_xlpm.paydays,RecurringFactorBased($B27,"Paydays",C$4,C$119),
_xlpm.mondays,RecurringFactorBased($B27,"Mondays",C$4,C$119),
_xlpm.tuesdays,RecurringFactorBased($B27,"Tuesdays",C$4,C$119),
_xlpm.wednesdays,RecurringFactorBased($B27,"Wednesdays",C$4,C$119),
_xlpm.thursdays,RecurringFactorBased($B27,"Thursdays",C$4,C$119),
_xlpm.fridays,RecurringFactorBased($B27,"Fridays",C$4,C$119),
_xlpm.saturdays,RecurringFactorBased($B27,"Saturdays",C$4,C$119),
_xlpm.sundays,RecurringFactorBased($B27,"Sundays",C$4,C$119),
_xlpm.monthly,RecurringMonthly($B27,C$4),
_xlpm.annual,RecurringAnnual($B27,C$4),
_xlpm.planned,SUMIFS(Planned!$F:$F,Planned!$B:$B,$B27,Planned!$E:$E,"&gt;="&amp;C$4,Planned!$E:$E,"&lt;="&amp;EOMONTH(C$4,0)),
_xlpm.daily+_xlpm.weekdays+_xlpm.mondays+_xlpm.tuesdays+_xlpm.wednesdays+_xlpm.thursdays+_xlpm.fridays+_xlpm.saturdays+_xlpm.sundays+_xlpm.paydays+_xlpm.monthly+_xlpm.annual+_xlpm.planned)</f>
        <v>0</v>
      </c>
      <c r="D27" s="143" cm="1">
        <f t="array" aca="1" ref="D27" ca="1">_xlfn.LET(
_xlpm.daily,RecurringFactorBased($B27,"Daily",D$4,D$119),
_xlpm.weekdays,RecurringFactorBased($B27,"Weekdays",D$4,D$119),
_xlpm.paydays,RecurringFactorBased($B27,"Paydays",D$4,D$119),
_xlpm.mondays,RecurringFactorBased($B27,"Mondays",D$4,D$119),
_xlpm.tuesdays,RecurringFactorBased($B27,"Tuesdays",D$4,D$119),
_xlpm.wednesdays,RecurringFactorBased($B27,"Wednesdays",D$4,D$119),
_xlpm.thursdays,RecurringFactorBased($B27,"Thursdays",D$4,D$119),
_xlpm.fridays,RecurringFactorBased($B27,"Fridays",D$4,D$119),
_xlpm.saturdays,RecurringFactorBased($B27,"Saturdays",D$4,D$119),
_xlpm.sundays,RecurringFactorBased($B27,"Sundays",D$4,D$119),
_xlpm.monthly,RecurringMonthly($B27,D$4),
_xlpm.annual,RecurringAnnual($B27,D$4),
_xlpm.planned,SUMIFS(Planned!$F:$F,Planned!$B:$B,$B27,Planned!$E:$E,"&gt;="&amp;D$4,Planned!$E:$E,"&lt;="&amp;EOMONTH(D$4,0)),
_xlpm.daily+_xlpm.weekdays+_xlpm.mondays+_xlpm.tuesdays+_xlpm.wednesdays+_xlpm.thursdays+_xlpm.fridays+_xlpm.saturdays+_xlpm.sundays+_xlpm.paydays+_xlpm.monthly+_xlpm.annual+_xlpm.planned)</f>
        <v>250</v>
      </c>
      <c r="E27" s="143" cm="1">
        <f t="array" aca="1" ref="E27" ca="1">_xlfn.LET(
_xlpm.daily,RecurringFactorBased($B27,"Daily",E$4,E$119),
_xlpm.weekdays,RecurringFactorBased($B27,"Weekdays",E$4,E$119),
_xlpm.paydays,RecurringFactorBased($B27,"Paydays",E$4,E$119),
_xlpm.mondays,RecurringFactorBased($B27,"Mondays",E$4,E$119),
_xlpm.tuesdays,RecurringFactorBased($B27,"Tuesdays",E$4,E$119),
_xlpm.wednesdays,RecurringFactorBased($B27,"Wednesdays",E$4,E$119),
_xlpm.thursdays,RecurringFactorBased($B27,"Thursdays",E$4,E$119),
_xlpm.fridays,RecurringFactorBased($B27,"Fridays",E$4,E$119),
_xlpm.saturdays,RecurringFactorBased($B27,"Saturdays",E$4,E$119),
_xlpm.sundays,RecurringFactorBased($B27,"Sundays",E$4,E$119),
_xlpm.monthly,RecurringMonthly($B27,E$4),
_xlpm.annual,RecurringAnnual($B27,E$4),
_xlpm.planned,SUMIFS(Planned!$F:$F,Planned!$B:$B,$B27,Planned!$E:$E,"&gt;="&amp;E$4,Planned!$E:$E,"&lt;="&amp;EOMONTH(E$4,0)),
_xlpm.daily+_xlpm.weekdays+_xlpm.mondays+_xlpm.tuesdays+_xlpm.wednesdays+_xlpm.thursdays+_xlpm.fridays+_xlpm.saturdays+_xlpm.sundays+_xlpm.paydays+_xlpm.monthly+_xlpm.annual+_xlpm.planned)</f>
        <v>200</v>
      </c>
      <c r="F27" s="143" cm="1">
        <f t="array" aca="1" ref="F27" ca="1">_xlfn.LET(
_xlpm.daily,RecurringFactorBased($B27,"Daily",F$4,F$119),
_xlpm.weekdays,RecurringFactorBased($B27,"Weekdays",F$4,F$119),
_xlpm.paydays,RecurringFactorBased($B27,"Paydays",F$4,F$119),
_xlpm.mondays,RecurringFactorBased($B27,"Mondays",F$4,F$119),
_xlpm.tuesdays,RecurringFactorBased($B27,"Tuesdays",F$4,F$119),
_xlpm.wednesdays,RecurringFactorBased($B27,"Wednesdays",F$4,F$119),
_xlpm.thursdays,RecurringFactorBased($B27,"Thursdays",F$4,F$119),
_xlpm.fridays,RecurringFactorBased($B27,"Fridays",F$4,F$119),
_xlpm.saturdays,RecurringFactorBased($B27,"Saturdays",F$4,F$119),
_xlpm.sundays,RecurringFactorBased($B27,"Sundays",F$4,F$119),
_xlpm.monthly,RecurringMonthly($B27,F$4),
_xlpm.annual,RecurringAnnual($B27,F$4),
_xlpm.planned,SUMIFS(Planned!$F:$F,Planned!$B:$B,$B27,Planned!$E:$E,"&gt;="&amp;F$4,Planned!$E:$E,"&lt;="&amp;EOMONTH(F$4,0)),
_xlpm.daily+_xlpm.weekdays+_xlpm.mondays+_xlpm.tuesdays+_xlpm.wednesdays+_xlpm.thursdays+_xlpm.fridays+_xlpm.saturdays+_xlpm.sundays+_xlpm.paydays+_xlpm.monthly+_xlpm.annual+_xlpm.planned)</f>
        <v>200</v>
      </c>
      <c r="G27" s="143" cm="1">
        <f t="array" aca="1" ref="G27" ca="1">_xlfn.LET(
_xlpm.daily,RecurringFactorBased($B27,"Daily",G$4,G$119),
_xlpm.weekdays,RecurringFactorBased($B27,"Weekdays",G$4,G$119),
_xlpm.paydays,RecurringFactorBased($B27,"Paydays",G$4,G$119),
_xlpm.mondays,RecurringFactorBased($B27,"Mondays",G$4,G$119),
_xlpm.tuesdays,RecurringFactorBased($B27,"Tuesdays",G$4,G$119),
_xlpm.wednesdays,RecurringFactorBased($B27,"Wednesdays",G$4,G$119),
_xlpm.thursdays,RecurringFactorBased($B27,"Thursdays",G$4,G$119),
_xlpm.fridays,RecurringFactorBased($B27,"Fridays",G$4,G$119),
_xlpm.saturdays,RecurringFactorBased($B27,"Saturdays",G$4,G$119),
_xlpm.sundays,RecurringFactorBased($B27,"Sundays",G$4,G$119),
_xlpm.monthly,RecurringMonthly($B27,G$4),
_xlpm.annual,RecurringAnnual($B27,G$4),
_xlpm.planned,SUMIFS(Planned!$F:$F,Planned!$B:$B,$B27,Planned!$E:$E,"&gt;="&amp;G$4,Planned!$E:$E,"&lt;="&amp;EOMONTH(G$4,0)),
_xlpm.daily+_xlpm.weekdays+_xlpm.mondays+_xlpm.tuesdays+_xlpm.wednesdays+_xlpm.thursdays+_xlpm.fridays+_xlpm.saturdays+_xlpm.sundays+_xlpm.paydays+_xlpm.monthly+_xlpm.annual+_xlpm.planned)</f>
        <v>250</v>
      </c>
      <c r="H27" s="143" cm="1">
        <f t="array" aca="1" ref="H27" ca="1">_xlfn.LET(
_xlpm.daily,RecurringFactorBased($B27,"Daily",H$4,H$119),
_xlpm.weekdays,RecurringFactorBased($B27,"Weekdays",H$4,H$119),
_xlpm.paydays,RecurringFactorBased($B27,"Paydays",H$4,H$119),
_xlpm.mondays,RecurringFactorBased($B27,"Mondays",H$4,H$119),
_xlpm.tuesdays,RecurringFactorBased($B27,"Tuesdays",H$4,H$119),
_xlpm.wednesdays,RecurringFactorBased($B27,"Wednesdays",H$4,H$119),
_xlpm.thursdays,RecurringFactorBased($B27,"Thursdays",H$4,H$119),
_xlpm.fridays,RecurringFactorBased($B27,"Fridays",H$4,H$119),
_xlpm.saturdays,RecurringFactorBased($B27,"Saturdays",H$4,H$119),
_xlpm.sundays,RecurringFactorBased($B27,"Sundays",H$4,H$119),
_xlpm.monthly,RecurringMonthly($B27,H$4),
_xlpm.annual,RecurringAnnual($B27,H$4),
_xlpm.planned,SUMIFS(Planned!$F:$F,Planned!$B:$B,$B27,Planned!$E:$E,"&gt;="&amp;H$4,Planned!$E:$E,"&lt;="&amp;EOMONTH(H$4,0)),
_xlpm.daily+_xlpm.weekdays+_xlpm.mondays+_xlpm.tuesdays+_xlpm.wednesdays+_xlpm.thursdays+_xlpm.fridays+_xlpm.saturdays+_xlpm.sundays+_xlpm.paydays+_xlpm.monthly+_xlpm.annual+_xlpm.planned)</f>
        <v>200</v>
      </c>
      <c r="I27" s="143" cm="1">
        <f t="array" aca="1" ref="I27" ca="1">_xlfn.LET(
_xlpm.daily,RecurringFactorBased($B27,"Daily",I$4,I$119),
_xlpm.weekdays,RecurringFactorBased($B27,"Weekdays",I$4,I$119),
_xlpm.paydays,RecurringFactorBased($B27,"Paydays",I$4,I$119),
_xlpm.mondays,RecurringFactorBased($B27,"Mondays",I$4,I$119),
_xlpm.tuesdays,RecurringFactorBased($B27,"Tuesdays",I$4,I$119),
_xlpm.wednesdays,RecurringFactorBased($B27,"Wednesdays",I$4,I$119),
_xlpm.thursdays,RecurringFactorBased($B27,"Thursdays",I$4,I$119),
_xlpm.fridays,RecurringFactorBased($B27,"Fridays",I$4,I$119),
_xlpm.saturdays,RecurringFactorBased($B27,"Saturdays",I$4,I$119),
_xlpm.sundays,RecurringFactorBased($B27,"Sundays",I$4,I$119),
_xlpm.monthly,RecurringMonthly($B27,I$4),
_xlpm.annual,RecurringAnnual($B27,I$4),
_xlpm.planned,SUMIFS(Planned!$F:$F,Planned!$B:$B,$B27,Planned!$E:$E,"&gt;="&amp;I$4,Planned!$E:$E,"&lt;="&amp;EOMONTH(I$4,0)),
_xlpm.daily+_xlpm.weekdays+_xlpm.mondays+_xlpm.tuesdays+_xlpm.wednesdays+_xlpm.thursdays+_xlpm.fridays+_xlpm.saturdays+_xlpm.sundays+_xlpm.paydays+_xlpm.monthly+_xlpm.annual+_xlpm.planned)</f>
        <v>200</v>
      </c>
      <c r="J27" s="143" cm="1">
        <f t="array" aca="1" ref="J27" ca="1">_xlfn.LET(
_xlpm.daily,RecurringFactorBased($B27,"Daily",J$4,J$119),
_xlpm.weekdays,RecurringFactorBased($B27,"Weekdays",J$4,J$119),
_xlpm.paydays,RecurringFactorBased($B27,"Paydays",J$4,J$119),
_xlpm.mondays,RecurringFactorBased($B27,"Mondays",J$4,J$119),
_xlpm.tuesdays,RecurringFactorBased($B27,"Tuesdays",J$4,J$119),
_xlpm.wednesdays,RecurringFactorBased($B27,"Wednesdays",J$4,J$119),
_xlpm.thursdays,RecurringFactorBased($B27,"Thursdays",J$4,J$119),
_xlpm.fridays,RecurringFactorBased($B27,"Fridays",J$4,J$119),
_xlpm.saturdays,RecurringFactorBased($B27,"Saturdays",J$4,J$119),
_xlpm.sundays,RecurringFactorBased($B27,"Sundays",J$4,J$119),
_xlpm.monthly,RecurringMonthly($B27,J$4),
_xlpm.annual,RecurringAnnual($B27,J$4),
_xlpm.planned,SUMIFS(Planned!$F:$F,Planned!$B:$B,$B27,Planned!$E:$E,"&gt;="&amp;J$4,Planned!$E:$E,"&lt;="&amp;EOMONTH(J$4,0)),
_xlpm.daily+_xlpm.weekdays+_xlpm.mondays+_xlpm.tuesdays+_xlpm.wednesdays+_xlpm.thursdays+_xlpm.fridays+_xlpm.saturdays+_xlpm.sundays+_xlpm.paydays+_xlpm.monthly+_xlpm.annual+_xlpm.planned)</f>
        <v>250</v>
      </c>
      <c r="K27" s="143" cm="1">
        <f t="array" aca="1" ref="K27" ca="1">_xlfn.LET(
_xlpm.daily,RecurringFactorBased($B27,"Daily",K$4,K$119),
_xlpm.weekdays,RecurringFactorBased($B27,"Weekdays",K$4,K$119),
_xlpm.paydays,RecurringFactorBased($B27,"Paydays",K$4,K$119),
_xlpm.mondays,RecurringFactorBased($B27,"Mondays",K$4,K$119),
_xlpm.tuesdays,RecurringFactorBased($B27,"Tuesdays",K$4,K$119),
_xlpm.wednesdays,RecurringFactorBased($B27,"Wednesdays",K$4,K$119),
_xlpm.thursdays,RecurringFactorBased($B27,"Thursdays",K$4,K$119),
_xlpm.fridays,RecurringFactorBased($B27,"Fridays",K$4,K$119),
_xlpm.saturdays,RecurringFactorBased($B27,"Saturdays",K$4,K$119),
_xlpm.sundays,RecurringFactorBased($B27,"Sundays",K$4,K$119),
_xlpm.monthly,RecurringMonthly($B27,K$4),
_xlpm.annual,RecurringAnnual($B27,K$4),
_xlpm.planned,SUMIFS(Planned!$F:$F,Planned!$B:$B,$B27,Planned!$E:$E,"&gt;="&amp;K$4,Planned!$E:$E,"&lt;="&amp;EOMONTH(K$4,0)),
_xlpm.daily+_xlpm.weekdays+_xlpm.mondays+_xlpm.tuesdays+_xlpm.wednesdays+_xlpm.thursdays+_xlpm.fridays+_xlpm.saturdays+_xlpm.sundays+_xlpm.paydays+_xlpm.monthly+_xlpm.annual+_xlpm.planned)</f>
        <v>200</v>
      </c>
      <c r="L27" s="143" cm="1">
        <f t="array" aca="1" ref="L27" ca="1">_xlfn.LET(
_xlpm.daily,RecurringFactorBased($B27,"Daily",L$4,L$119),
_xlpm.weekdays,RecurringFactorBased($B27,"Weekdays",L$4,L$119),
_xlpm.paydays,RecurringFactorBased($B27,"Paydays",L$4,L$119),
_xlpm.mondays,RecurringFactorBased($B27,"Mondays",L$4,L$119),
_xlpm.tuesdays,RecurringFactorBased($B27,"Tuesdays",L$4,L$119),
_xlpm.wednesdays,RecurringFactorBased($B27,"Wednesdays",L$4,L$119),
_xlpm.thursdays,RecurringFactorBased($B27,"Thursdays",L$4,L$119),
_xlpm.fridays,RecurringFactorBased($B27,"Fridays",L$4,L$119),
_xlpm.saturdays,RecurringFactorBased($B27,"Saturdays",L$4,L$119),
_xlpm.sundays,RecurringFactorBased($B27,"Sundays",L$4,L$119),
_xlpm.monthly,RecurringMonthly($B27,L$4),
_xlpm.annual,RecurringAnnual($B27,L$4),
_xlpm.planned,SUMIFS(Planned!$F:$F,Planned!$B:$B,$B27,Planned!$E:$E,"&gt;="&amp;L$4,Planned!$E:$E,"&lt;="&amp;EOMONTH(L$4,0)),
_xlpm.daily+_xlpm.weekdays+_xlpm.mondays+_xlpm.tuesdays+_xlpm.wednesdays+_xlpm.thursdays+_xlpm.fridays+_xlpm.saturdays+_xlpm.sundays+_xlpm.paydays+_xlpm.monthly+_xlpm.annual+_xlpm.planned)</f>
        <v>200</v>
      </c>
      <c r="M27" s="143" cm="1">
        <f t="array" aca="1" ref="M27" ca="1">_xlfn.LET(
_xlpm.daily,RecurringFactorBased($B27,"Daily",M$4,M$119),
_xlpm.weekdays,RecurringFactorBased($B27,"Weekdays",M$4,M$119),
_xlpm.paydays,RecurringFactorBased($B27,"Paydays",M$4,M$119),
_xlpm.mondays,RecurringFactorBased($B27,"Mondays",M$4,M$119),
_xlpm.tuesdays,RecurringFactorBased($B27,"Tuesdays",M$4,M$119),
_xlpm.wednesdays,RecurringFactorBased($B27,"Wednesdays",M$4,M$119),
_xlpm.thursdays,RecurringFactorBased($B27,"Thursdays",M$4,M$119),
_xlpm.fridays,RecurringFactorBased($B27,"Fridays",M$4,M$119),
_xlpm.saturdays,RecurringFactorBased($B27,"Saturdays",M$4,M$119),
_xlpm.sundays,RecurringFactorBased($B27,"Sundays",M$4,M$119),
_xlpm.monthly,RecurringMonthly($B27,M$4),
_xlpm.annual,RecurringAnnual($B27,M$4),
_xlpm.planned,SUMIFS(Planned!$F:$F,Planned!$B:$B,$B27,Planned!$E:$E,"&gt;="&amp;M$4,Planned!$E:$E,"&lt;="&amp;EOMONTH(M$4,0)),
_xlpm.daily+_xlpm.weekdays+_xlpm.mondays+_xlpm.tuesdays+_xlpm.wednesdays+_xlpm.thursdays+_xlpm.fridays+_xlpm.saturdays+_xlpm.sundays+_xlpm.paydays+_xlpm.monthly+_xlpm.annual+_xlpm.planned)</f>
        <v>250</v>
      </c>
      <c r="N27" s="143" cm="1">
        <f t="array" aca="1" ref="N27" ca="1">_xlfn.LET(
_xlpm.daily,RecurringFactorBased($B27,"Daily",N$4,N$119),
_xlpm.weekdays,RecurringFactorBased($B27,"Weekdays",N$4,N$119),
_xlpm.paydays,RecurringFactorBased($B27,"Paydays",N$4,N$119),
_xlpm.mondays,RecurringFactorBased($B27,"Mondays",N$4,N$119),
_xlpm.tuesdays,RecurringFactorBased($B27,"Tuesdays",N$4,N$119),
_xlpm.wednesdays,RecurringFactorBased($B27,"Wednesdays",N$4,N$119),
_xlpm.thursdays,RecurringFactorBased($B27,"Thursdays",N$4,N$119),
_xlpm.fridays,RecurringFactorBased($B27,"Fridays",N$4,N$119),
_xlpm.saturdays,RecurringFactorBased($B27,"Saturdays",N$4,N$119),
_xlpm.sundays,RecurringFactorBased($B27,"Sundays",N$4,N$119),
_xlpm.monthly,RecurringMonthly($B27,N$4),
_xlpm.annual,RecurringAnnual($B27,N$4),
_xlpm.planned,SUMIFS(Planned!$F:$F,Planned!$B:$B,$B27,Planned!$E:$E,"&gt;="&amp;N$4,Planned!$E:$E,"&lt;="&amp;EOMONTH(N$4,0)),
_xlpm.daily+_xlpm.weekdays+_xlpm.mondays+_xlpm.tuesdays+_xlpm.wednesdays+_xlpm.thursdays+_xlpm.fridays+_xlpm.saturdays+_xlpm.sundays+_xlpm.paydays+_xlpm.monthly+_xlpm.annual+_xlpm.planned)</f>
        <v>200</v>
      </c>
      <c r="O27" s="133"/>
      <c r="P27" s="144">
        <f t="shared" ref="P27:P29" ca="1" si="7">SUM(C27:N27)</f>
        <v>2400</v>
      </c>
      <c r="Q27" s="79"/>
      <c r="R27" s="202"/>
      <c r="S27" s="234"/>
      <c r="T27" s="234"/>
      <c r="U27" s="234"/>
      <c r="W27" s="18"/>
    </row>
    <row r="28" spans="1:23" s="51" customFormat="1" ht="5.0999999999999996" customHeight="1" x14ac:dyDescent="0.2">
      <c r="A28" s="64"/>
      <c r="B28" s="102"/>
      <c r="C28" s="133"/>
      <c r="D28" s="133"/>
      <c r="E28" s="133"/>
      <c r="F28" s="133"/>
      <c r="G28" s="133"/>
      <c r="H28" s="133"/>
      <c r="I28" s="133"/>
      <c r="J28" s="133"/>
      <c r="K28" s="133"/>
      <c r="L28" s="133"/>
      <c r="M28" s="133"/>
      <c r="N28" s="133"/>
      <c r="O28" s="133"/>
      <c r="P28" s="144"/>
      <c r="Q28" s="82"/>
      <c r="R28" s="202"/>
      <c r="V28" s="52"/>
      <c r="W28" s="53"/>
    </row>
    <row r="29" spans="1:23" ht="12.75" customHeight="1" x14ac:dyDescent="0.2">
      <c r="A29" s="61"/>
      <c r="B29" s="104" t="s">
        <v>46</v>
      </c>
      <c r="C29" s="145">
        <f t="shared" ref="C29:N29" ca="1" si="8">SUM(C25:C28)</f>
        <v>0</v>
      </c>
      <c r="D29" s="145">
        <f t="shared" ca="1" si="8"/>
        <v>8250</v>
      </c>
      <c r="E29" s="145">
        <f t="shared" ca="1" si="8"/>
        <v>8200</v>
      </c>
      <c r="F29" s="145">
        <f t="shared" ca="1" si="8"/>
        <v>8400</v>
      </c>
      <c r="G29" s="145">
        <f t="shared" ca="1" si="8"/>
        <v>18450</v>
      </c>
      <c r="H29" s="145">
        <f t="shared" ca="1" si="8"/>
        <v>12500</v>
      </c>
      <c r="I29" s="145">
        <f t="shared" ca="1" si="8"/>
        <v>8400</v>
      </c>
      <c r="J29" s="145">
        <f t="shared" ca="1" si="8"/>
        <v>8450</v>
      </c>
      <c r="K29" s="145">
        <f t="shared" ca="1" si="8"/>
        <v>8400</v>
      </c>
      <c r="L29" s="145">
        <f t="shared" ca="1" si="8"/>
        <v>8400</v>
      </c>
      <c r="M29" s="145">
        <f t="shared" ca="1" si="8"/>
        <v>12550</v>
      </c>
      <c r="N29" s="145">
        <f t="shared" ca="1" si="8"/>
        <v>8400</v>
      </c>
      <c r="O29" s="145"/>
      <c r="P29" s="146">
        <f t="shared" ca="1" si="7"/>
        <v>110400</v>
      </c>
      <c r="Q29" s="79"/>
      <c r="R29" s="202"/>
      <c r="S29" s="234"/>
      <c r="W29" s="18"/>
    </row>
    <row r="30" spans="1:23" s="51" customFormat="1" ht="5.0999999999999996" customHeight="1" x14ac:dyDescent="0.2">
      <c r="A30" s="64"/>
      <c r="B30" s="102"/>
      <c r="C30" s="133"/>
      <c r="D30" s="133"/>
      <c r="E30" s="133"/>
      <c r="F30" s="133"/>
      <c r="G30" s="133"/>
      <c r="H30" s="133"/>
      <c r="I30" s="133"/>
      <c r="J30" s="133"/>
      <c r="K30" s="133"/>
      <c r="L30" s="133"/>
      <c r="M30" s="133"/>
      <c r="N30" s="133"/>
      <c r="O30" s="133"/>
      <c r="P30" s="144"/>
      <c r="Q30" s="82"/>
      <c r="R30" s="202"/>
      <c r="V30" s="52"/>
      <c r="W30" s="53"/>
    </row>
    <row r="31" spans="1:23" s="51" customFormat="1" x14ac:dyDescent="0.2">
      <c r="A31" s="64"/>
      <c r="B31" s="105" t="s">
        <v>137</v>
      </c>
      <c r="C31" s="133"/>
      <c r="D31" s="133"/>
      <c r="E31" s="133"/>
      <c r="F31" s="133"/>
      <c r="G31" s="133"/>
      <c r="H31" s="133"/>
      <c r="I31" s="133"/>
      <c r="J31" s="133"/>
      <c r="K31" s="133"/>
      <c r="L31" s="133"/>
      <c r="M31" s="133"/>
      <c r="N31" s="133"/>
      <c r="O31" s="133"/>
      <c r="P31" s="144"/>
      <c r="Q31" s="82"/>
      <c r="R31" s="202"/>
      <c r="S31" s="234"/>
      <c r="T31" s="234"/>
      <c r="U31" s="234"/>
      <c r="V31" s="52"/>
      <c r="W31" s="53"/>
    </row>
    <row r="32" spans="1:23" ht="12.75" customHeight="1" x14ac:dyDescent="0.2">
      <c r="A32" s="61"/>
      <c r="B32" s="102" t="s">
        <v>50</v>
      </c>
      <c r="C32" s="143">
        <f ca="1">C$25*SUMIFS(Precedents!$E:$E,Precedents!$D:$D,$B$25,Precedents!$B:$B,$B32)+C$26*SUMIFS(Precedents!$E:$E,Precedents!$D:$D,$B$26,Precedents!$B:$B,$B32)</f>
        <v>0</v>
      </c>
      <c r="D32" s="143">
        <f ca="1">D$25*SUMIFS(Precedents!$E:$E,Precedents!$D:$D,$B$25,Precedents!$B:$B,$B32)+D$26*SUMIFS(Precedents!$E:$E,Precedents!$D:$D,$B$26)</f>
        <v>2160</v>
      </c>
      <c r="E32" s="143">
        <f ca="1">E$25*SUMIFS(Precedents!$E:$E,Precedents!$D:$D,$B$25,Precedents!$B:$B,$B32)+E$26*SUMIFS(Precedents!$E:$E,Precedents!$D:$D,$B$26)</f>
        <v>2160</v>
      </c>
      <c r="F32" s="143">
        <f ca="1">F$25*SUMIFS(Precedents!$E:$E,Precedents!$D:$D,$B$25,Precedents!$B:$B,$B32)+F$26*SUMIFS(Precedents!$E:$E,Precedents!$D:$D,$B$26)</f>
        <v>2214</v>
      </c>
      <c r="G32" s="143">
        <f ca="1">G$25*SUMIFS(Precedents!$E:$E,Precedents!$D:$D,$B$25,Precedents!$B:$B,$B32)+G$26*SUMIFS(Precedents!$E:$E,Precedents!$D:$D,$B$26)</f>
        <v>7214</v>
      </c>
      <c r="H32" s="143">
        <f ca="1">H$25*SUMIFS(Precedents!$E:$E,Precedents!$D:$D,$B$25,Precedents!$B:$B,$B32)+H$26*SUMIFS(Precedents!$E:$E,Precedents!$D:$D,$B$26)</f>
        <v>3321</v>
      </c>
      <c r="I32" s="143">
        <f ca="1">I$25*SUMIFS(Precedents!$E:$E,Precedents!$D:$D,$B$25,Precedents!$B:$B,$B32)+I$26*SUMIFS(Precedents!$E:$E,Precedents!$D:$D,$B$26)</f>
        <v>2214</v>
      </c>
      <c r="J32" s="143">
        <f ca="1">J$25*SUMIFS(Precedents!$E:$E,Precedents!$D:$D,$B$25,Precedents!$B:$B,$B32)+J$26*SUMIFS(Precedents!$E:$E,Precedents!$D:$D,$B$26)</f>
        <v>2214</v>
      </c>
      <c r="K32" s="143">
        <f ca="1">K$25*SUMIFS(Precedents!$E:$E,Precedents!$D:$D,$B$25,Precedents!$B:$B,$B32)+K$26*SUMIFS(Precedents!$E:$E,Precedents!$D:$D,$B$26)</f>
        <v>2214</v>
      </c>
      <c r="L32" s="143">
        <f ca="1">L$25*SUMIFS(Precedents!$E:$E,Precedents!$D:$D,$B$25,Precedents!$B:$B,$B32)+L$26*SUMIFS(Precedents!$E:$E,Precedents!$D:$D,$B$26)</f>
        <v>2214</v>
      </c>
      <c r="M32" s="143">
        <f ca="1">M$25*SUMIFS(Precedents!$E:$E,Precedents!$D:$D,$B$25,Precedents!$B:$B,$B32)+M$26*SUMIFS(Precedents!$E:$E,Precedents!$D:$D,$B$26)</f>
        <v>3321</v>
      </c>
      <c r="N32" s="143">
        <f ca="1">N$25*SUMIFS(Precedents!$E:$E,Precedents!$D:$D,$B$25,Precedents!$B:$B,$B32)+N$26*SUMIFS(Precedents!$E:$E,Precedents!$D:$D,$B$26)</f>
        <v>2214</v>
      </c>
      <c r="O32" s="133"/>
      <c r="P32" s="144">
        <f ca="1">SUM(C32:N32)</f>
        <v>31460</v>
      </c>
      <c r="Q32" s="79"/>
      <c r="R32" s="202"/>
      <c r="S32" s="235"/>
    </row>
    <row r="33" spans="1:23" ht="12.75" customHeight="1" x14ac:dyDescent="0.2">
      <c r="A33" s="61"/>
      <c r="B33" s="102" t="s">
        <v>140</v>
      </c>
      <c r="C33" s="143">
        <f ca="1">C$25*SUMIFS(Precedents!$E:$E,Precedents!$D:$D,$B$25,Precedents!$B:$B,$B33)+C$26*SUMIFS(Precedents!$E:$E,Precedents!$D:$D,$B$26,Precedents!$B:$B,$B33)+SUMIFS(Recurring!$D:$D,Recurring!$B:$B,$B33)</f>
        <v>0</v>
      </c>
      <c r="D33" s="143">
        <f ca="1">D$25*SUMIFS(Precedents!$E:$E,Precedents!$D:$D,$B$25,Precedents!$B:$B,$B33)+D$26*SUMIFS(Precedents!$E:$E,Precedents!$D:$D,$B$26,Precedents!$B:$B,$B33)+SUMIFS(Recurring!$D:$D,Recurring!$B:$B,$B33)</f>
        <v>0</v>
      </c>
      <c r="E33" s="143">
        <f ca="1">E$25*SUMIFS(Precedents!$E:$E,Precedents!$D:$D,$B$25,Precedents!$B:$B,$B33)+E$26*SUMIFS(Precedents!$E:$E,Precedents!$D:$D,$B$26,Precedents!$B:$B,$B33)+SUMIFS(Recurring!$D:$D,Recurring!$B:$B,$B33)</f>
        <v>0</v>
      </c>
      <c r="F33" s="143">
        <f ca="1">F$25*SUMIFS(Precedents!$E:$E,Precedents!$D:$D,$B$25,Precedents!$B:$B,$B33)+F$26*SUMIFS(Precedents!$E:$E,Precedents!$D:$D,$B$26,Precedents!$B:$B,$B33)+SUMIFS(Recurring!$D:$D,Recurring!$B:$B,$B33)</f>
        <v>0</v>
      </c>
      <c r="G33" s="143">
        <f ca="1">G$25*SUMIFS(Precedents!$E:$E,Precedents!$D:$D,$B$25,Precedents!$B:$B,$B33)+G$26*SUMIFS(Precedents!$E:$E,Precedents!$D:$D,$B$26,Precedents!$B:$B,$B33)+SUMIFS(Recurring!$D:$D,Recurring!$B:$B,$B33)</f>
        <v>0</v>
      </c>
      <c r="H33" s="143">
        <f ca="1">H$25*SUMIFS(Precedents!$E:$E,Precedents!$D:$D,$B$25,Precedents!$B:$B,$B33)+H$26*SUMIFS(Precedents!$E:$E,Precedents!$D:$D,$B$26,Precedents!$B:$B,$B33)+SUMIFS(Recurring!$D:$D,Recurring!$B:$B,$B33)</f>
        <v>0</v>
      </c>
      <c r="I33" s="143">
        <f ca="1">I$25*SUMIFS(Precedents!$E:$E,Precedents!$D:$D,$B$25,Precedents!$B:$B,$B33)+I$26*SUMIFS(Precedents!$E:$E,Precedents!$D:$D,$B$26,Precedents!$B:$B,$B33)+SUMIFS(Recurring!$D:$D,Recurring!$B:$B,$B33)</f>
        <v>0</v>
      </c>
      <c r="J33" s="143">
        <f ca="1">J$25*SUMIFS(Precedents!$E:$E,Precedents!$D:$D,$B$25,Precedents!$B:$B,$B33)+J$26*SUMIFS(Precedents!$E:$E,Precedents!$D:$D,$B$26,Precedents!$B:$B,$B33)+SUMIFS(Recurring!$D:$D,Recurring!$B:$B,$B33)</f>
        <v>0</v>
      </c>
      <c r="K33" s="143">
        <f ca="1">K$25*SUMIFS(Precedents!$E:$E,Precedents!$D:$D,$B$25,Precedents!$B:$B,$B33)+K$26*SUMIFS(Precedents!$E:$E,Precedents!$D:$D,$B$26,Precedents!$B:$B,$B33)+SUMIFS(Recurring!$D:$D,Recurring!$B:$B,$B33)</f>
        <v>0</v>
      </c>
      <c r="L33" s="143">
        <f ca="1">L$25*SUMIFS(Precedents!$E:$E,Precedents!$D:$D,$B$25,Precedents!$B:$B,$B33)+L$26*SUMIFS(Precedents!$E:$E,Precedents!$D:$D,$B$26,Precedents!$B:$B,$B33)+SUMIFS(Recurring!$D:$D,Recurring!$B:$B,$B33)</f>
        <v>0</v>
      </c>
      <c r="M33" s="143">
        <f ca="1">M$25*SUMIFS(Precedents!$E:$E,Precedents!$D:$D,$B$25,Precedents!$B:$B,$B33)+M$26*SUMIFS(Precedents!$E:$E,Precedents!$D:$D,$B$26,Precedents!$B:$B,$B33)+SUMIFS(Recurring!$D:$D,Recurring!$B:$B,$B33)</f>
        <v>0</v>
      </c>
      <c r="N33" s="143">
        <f ca="1">N$25*SUMIFS(Precedents!$E:$E,Precedents!$D:$D,$B$25,Precedents!$B:$B,$B33)+N$26*SUMIFS(Precedents!$E:$E,Precedents!$D:$D,$B$26,Precedents!$B:$B,$B33)+SUMIFS(Recurring!$D:$D,Recurring!$B:$B,$B33)</f>
        <v>0</v>
      </c>
      <c r="O33" s="133"/>
      <c r="P33" s="144">
        <f t="shared" ref="P33:P35" ca="1" si="9">SUM(C33:N33)</f>
        <v>0</v>
      </c>
      <c r="Q33" s="79"/>
      <c r="R33" s="202"/>
      <c r="S33" s="220"/>
    </row>
    <row r="34" spans="1:23" ht="12.75" customHeight="1" x14ac:dyDescent="0.2">
      <c r="A34" s="61"/>
      <c r="B34" s="102" t="s">
        <v>139</v>
      </c>
      <c r="C34" s="143">
        <f ca="1">C$25*SUMIFS(Precedents!$E:$E,Precedents!$D:$D,$B$25,Precedents!$B:$B,$B34)+C$26*SUMIFS(Precedents!$E:$E,Precedents!$D:$D,$B$26,Precedents!$B:$B,$B34)+SUMIFS(Recurring!$D:$D,Recurring!$B:$B,$B34)</f>
        <v>0</v>
      </c>
      <c r="D34" s="143">
        <f ca="1">D$25*SUMIFS(Precedents!$E:$E,Precedents!$D:$D,$B$25,Precedents!$B:$B,$B34)+D$26*SUMIFS(Precedents!$E:$E,Precedents!$D:$D,$B$26,Precedents!$B:$B,$B34)+SUMIFS(Recurring!$D:$D,Recurring!$B:$B,$B34)</f>
        <v>400</v>
      </c>
      <c r="E34" s="143">
        <f ca="1">E$25*SUMIFS(Precedents!$E:$E,Precedents!$D:$D,$B$25,Precedents!$B:$B,$B34)+E$26*SUMIFS(Precedents!$E:$E,Precedents!$D:$D,$B$26,Precedents!$B:$B,$B34)+SUMIFS(Recurring!$D:$D,Recurring!$B:$B,$B34)</f>
        <v>400</v>
      </c>
      <c r="F34" s="143">
        <f ca="1">F$25*SUMIFS(Precedents!$E:$E,Precedents!$D:$D,$B$25,Precedents!$B:$B,$B34)+F$26*SUMIFS(Precedents!$E:$E,Precedents!$D:$D,$B$26,Precedents!$B:$B,$B34)+SUMIFS(Recurring!$D:$D,Recurring!$B:$B,$B34)</f>
        <v>410</v>
      </c>
      <c r="G34" s="143">
        <f ca="1">G$25*SUMIFS(Precedents!$E:$E,Precedents!$D:$D,$B$25,Precedents!$B:$B,$B34)+G$26*SUMIFS(Precedents!$E:$E,Precedents!$D:$D,$B$26,Precedents!$B:$B,$B34)+SUMIFS(Recurring!$D:$D,Recurring!$B:$B,$B34)</f>
        <v>910</v>
      </c>
      <c r="H34" s="143">
        <f ca="1">H$25*SUMIFS(Precedents!$E:$E,Precedents!$D:$D,$B$25,Precedents!$B:$B,$B34)+H$26*SUMIFS(Precedents!$E:$E,Precedents!$D:$D,$B$26,Precedents!$B:$B,$B34)+SUMIFS(Recurring!$D:$D,Recurring!$B:$B,$B34)</f>
        <v>615</v>
      </c>
      <c r="I34" s="143">
        <f ca="1">I$25*SUMIFS(Precedents!$E:$E,Precedents!$D:$D,$B$25,Precedents!$B:$B,$B34)+I$26*SUMIFS(Precedents!$E:$E,Precedents!$D:$D,$B$26,Precedents!$B:$B,$B34)+SUMIFS(Recurring!$D:$D,Recurring!$B:$B,$B34)</f>
        <v>410</v>
      </c>
      <c r="J34" s="143">
        <f ca="1">J$25*SUMIFS(Precedents!$E:$E,Precedents!$D:$D,$B$25,Precedents!$B:$B,$B34)+J$26*SUMIFS(Precedents!$E:$E,Precedents!$D:$D,$B$26,Precedents!$B:$B,$B34)+SUMIFS(Recurring!$D:$D,Recurring!$B:$B,$B34)</f>
        <v>410</v>
      </c>
      <c r="K34" s="143">
        <f ca="1">K$25*SUMIFS(Precedents!$E:$E,Precedents!$D:$D,$B$25,Precedents!$B:$B,$B34)+K$26*SUMIFS(Precedents!$E:$E,Precedents!$D:$D,$B$26,Precedents!$B:$B,$B34)+SUMIFS(Recurring!$D:$D,Recurring!$B:$B,$B34)</f>
        <v>410</v>
      </c>
      <c r="L34" s="143">
        <f ca="1">L$25*SUMIFS(Precedents!$E:$E,Precedents!$D:$D,$B$25,Precedents!$B:$B,$B34)+L$26*SUMIFS(Precedents!$E:$E,Precedents!$D:$D,$B$26,Precedents!$B:$B,$B34)+SUMIFS(Recurring!$D:$D,Recurring!$B:$B,$B34)</f>
        <v>410</v>
      </c>
      <c r="M34" s="143">
        <f ca="1">M$25*SUMIFS(Precedents!$E:$E,Precedents!$D:$D,$B$25,Precedents!$B:$B,$B34)+M$26*SUMIFS(Precedents!$E:$E,Precedents!$D:$D,$B$26,Precedents!$B:$B,$B34)+SUMIFS(Recurring!$D:$D,Recurring!$B:$B,$B34)</f>
        <v>615</v>
      </c>
      <c r="N34" s="143">
        <f ca="1">N$25*SUMIFS(Precedents!$E:$E,Precedents!$D:$D,$B$25,Precedents!$B:$B,$B34)+N$26*SUMIFS(Precedents!$E:$E,Precedents!$D:$D,$B$26,Precedents!$B:$B,$B34)+SUMIFS(Recurring!$D:$D,Recurring!$B:$B,$B34)</f>
        <v>410</v>
      </c>
      <c r="O34" s="133"/>
      <c r="P34" s="144">
        <f t="shared" ca="1" si="9"/>
        <v>5400</v>
      </c>
      <c r="Q34" s="79"/>
      <c r="R34" s="202"/>
    </row>
    <row r="35" spans="1:23" ht="12.75" customHeight="1" x14ac:dyDescent="0.2">
      <c r="A35" s="63"/>
      <c r="B35" s="102" t="s">
        <v>153</v>
      </c>
      <c r="C35" s="143" cm="1">
        <f t="array" aca="1" ref="C35" ca="1">_xlfn.LET(
_xlpm.daily,RecurringFactorBased($B35,"Daily",C$4,C$119),
_xlpm.weekdays,RecurringFactorBased($B35,"Weekdays",C$4,C$119),
_xlpm.paydays,RecurringFactorBased($B35,"Paydays",C$4,C$119),
_xlpm.mondays,RecurringFactorBased($B35,"Mondays",C$4,C$119),
_xlpm.tuesdays,RecurringFactorBased($B35,"Tuesdays",C$4,C$119),
_xlpm.wednesdays,RecurringFactorBased($B35,"Wednesdays",C$4,C$119),
_xlpm.thursdays,RecurringFactorBased($B35,"Thursdays",C$4,C$119),
_xlpm.fridays,RecurringFactorBased($B35,"Fridays",C$4,C$119),
_xlpm.saturdays,RecurringFactorBased($B35,"Saturdays",C$4,C$119),
_xlpm.sundays,RecurringFactorBased($B35,"Sundays",C$4,C$119),
_xlpm.monthly,RecurringMonthly($B35,C$4),
_xlpm.annual,RecurringAnnual($B35,C$4),
_xlpm.planned,SUMIFS(Planned!$F:$F,Planned!$B:$B,$B35,Planned!$E:$E,"&gt;="&amp;C$4,Planned!$E:$E,"&lt;="&amp;EOMONTH(C$4,0)),
_xlpm.daily+_xlpm.weekdays+_xlpm.mondays+_xlpm.tuesdays+_xlpm.wednesdays+_xlpm.thursdays+_xlpm.fridays+_xlpm.saturdays+_xlpm.sundays+_xlpm.paydays+_xlpm.monthly+_xlpm.annual+_xlpm.planned)</f>
        <v>0</v>
      </c>
      <c r="D35" s="143" cm="1">
        <f t="array" aca="1" ref="D35" ca="1">_xlfn.LET(
_xlpm.daily,RecurringFactorBased($B35,"Daily",D$4,D$119),
_xlpm.weekdays,RecurringFactorBased($B35,"Weekdays",D$4,D$119),
_xlpm.paydays,RecurringFactorBased($B35,"Paydays",D$4,D$119),
_xlpm.mondays,RecurringFactorBased($B35,"Mondays",D$4,D$119),
_xlpm.tuesdays,RecurringFactorBased($B35,"Tuesdays",D$4,D$119),
_xlpm.wednesdays,RecurringFactorBased($B35,"Wednesdays",D$4,D$119),
_xlpm.thursdays,RecurringFactorBased($B35,"Thursdays",D$4,D$119),
_xlpm.fridays,RecurringFactorBased($B35,"Fridays",D$4,D$119),
_xlpm.saturdays,RecurringFactorBased($B35,"Saturdays",D$4,D$119),
_xlpm.sundays,RecurringFactorBased($B35,"Sundays",D$4,D$119),
_xlpm.monthly,RecurringMonthly($B35,D$4),
_xlpm.annual,RecurringAnnual($B35,D$4),
_xlpm.planned,SUMIFS(Planned!$F:$F,Planned!$B:$B,$B35,Planned!$E:$E,"&gt;="&amp;D$4,Planned!$E:$E,"&lt;="&amp;EOMONTH(D$4,0)),
_xlpm.daily+_xlpm.weekdays+_xlpm.mondays+_xlpm.tuesdays+_xlpm.wednesdays+_xlpm.thursdays+_xlpm.fridays+_xlpm.saturdays+_xlpm.sundays+_xlpm.paydays+_xlpm.monthly+_xlpm.annual+_xlpm.planned)</f>
        <v>622</v>
      </c>
      <c r="E35" s="143" cm="1">
        <f t="array" aca="1" ref="E35" ca="1">_xlfn.LET(
_xlpm.daily,RecurringFactorBased($B35,"Daily",E$4,E$119),
_xlpm.weekdays,RecurringFactorBased($B35,"Weekdays",E$4,E$119),
_xlpm.paydays,RecurringFactorBased($B35,"Paydays",E$4,E$119),
_xlpm.mondays,RecurringFactorBased($B35,"Mondays",E$4,E$119),
_xlpm.tuesdays,RecurringFactorBased($B35,"Tuesdays",E$4,E$119),
_xlpm.wednesdays,RecurringFactorBased($B35,"Wednesdays",E$4,E$119),
_xlpm.thursdays,RecurringFactorBased($B35,"Thursdays",E$4,E$119),
_xlpm.fridays,RecurringFactorBased($B35,"Fridays",E$4,E$119),
_xlpm.saturdays,RecurringFactorBased($B35,"Saturdays",E$4,E$119),
_xlpm.sundays,RecurringFactorBased($B35,"Sundays",E$4,E$119),
_xlpm.monthly,RecurringMonthly($B35,E$4),
_xlpm.annual,RecurringAnnual($B35,E$4),
_xlpm.planned,SUMIFS(Planned!$F:$F,Planned!$B:$B,$B35,Planned!$E:$E,"&gt;="&amp;E$4,Planned!$E:$E,"&lt;="&amp;EOMONTH(E$4,0)),
_xlpm.daily+_xlpm.weekdays+_xlpm.mondays+_xlpm.tuesdays+_xlpm.wednesdays+_xlpm.thursdays+_xlpm.fridays+_xlpm.saturdays+_xlpm.sundays+_xlpm.paydays+_xlpm.monthly+_xlpm.annual+_xlpm.planned)</f>
        <v>622</v>
      </c>
      <c r="F35" s="143" cm="1">
        <f t="array" aca="1" ref="F35" ca="1">_xlfn.LET(
_xlpm.daily,RecurringFactorBased($B35,"Daily",F$4,F$119),
_xlpm.weekdays,RecurringFactorBased($B35,"Weekdays",F$4,F$119),
_xlpm.paydays,RecurringFactorBased($B35,"Paydays",F$4,F$119),
_xlpm.mondays,RecurringFactorBased($B35,"Mondays",F$4,F$119),
_xlpm.tuesdays,RecurringFactorBased($B35,"Tuesdays",F$4,F$119),
_xlpm.wednesdays,RecurringFactorBased($B35,"Wednesdays",F$4,F$119),
_xlpm.thursdays,RecurringFactorBased($B35,"Thursdays",F$4,F$119),
_xlpm.fridays,RecurringFactorBased($B35,"Fridays",F$4,F$119),
_xlpm.saturdays,RecurringFactorBased($B35,"Saturdays",F$4,F$119),
_xlpm.sundays,RecurringFactorBased($B35,"Sundays",F$4,F$119),
_xlpm.monthly,RecurringMonthly($B35,F$4),
_xlpm.annual,RecurringAnnual($B35,F$4),
_xlpm.planned,SUMIFS(Planned!$F:$F,Planned!$B:$B,$B35,Planned!$E:$E,"&gt;="&amp;F$4,Planned!$E:$E,"&lt;="&amp;EOMONTH(F$4,0)),
_xlpm.daily+_xlpm.weekdays+_xlpm.mondays+_xlpm.tuesdays+_xlpm.wednesdays+_xlpm.thursdays+_xlpm.fridays+_xlpm.saturdays+_xlpm.sundays+_xlpm.paydays+_xlpm.monthly+_xlpm.annual+_xlpm.planned)</f>
        <v>622</v>
      </c>
      <c r="G35" s="143" cm="1">
        <f t="array" aca="1" ref="G35" ca="1">_xlfn.LET(
_xlpm.daily,RecurringFactorBased($B35,"Daily",G$4,G$119),
_xlpm.weekdays,RecurringFactorBased($B35,"Weekdays",G$4,G$119),
_xlpm.paydays,RecurringFactorBased($B35,"Paydays",G$4,G$119),
_xlpm.mondays,RecurringFactorBased($B35,"Mondays",G$4,G$119),
_xlpm.tuesdays,RecurringFactorBased($B35,"Tuesdays",G$4,G$119),
_xlpm.wednesdays,RecurringFactorBased($B35,"Wednesdays",G$4,G$119),
_xlpm.thursdays,RecurringFactorBased($B35,"Thursdays",G$4,G$119),
_xlpm.fridays,RecurringFactorBased($B35,"Fridays",G$4,G$119),
_xlpm.saturdays,RecurringFactorBased($B35,"Saturdays",G$4,G$119),
_xlpm.sundays,RecurringFactorBased($B35,"Sundays",G$4,G$119),
_xlpm.monthly,RecurringMonthly($B35,G$4),
_xlpm.annual,RecurringAnnual($B35,G$4),
_xlpm.planned,SUMIFS(Planned!$F:$F,Planned!$B:$B,$B35,Planned!$E:$E,"&gt;="&amp;G$4,Planned!$E:$E,"&lt;="&amp;EOMONTH(G$4,0)),
_xlpm.daily+_xlpm.weekdays+_xlpm.mondays+_xlpm.tuesdays+_xlpm.wednesdays+_xlpm.thursdays+_xlpm.fridays+_xlpm.saturdays+_xlpm.sundays+_xlpm.paydays+_xlpm.monthly+_xlpm.annual+_xlpm.planned)</f>
        <v>622</v>
      </c>
      <c r="H35" s="143" cm="1">
        <f t="array" aca="1" ref="H35" ca="1">_xlfn.LET(
_xlpm.daily,RecurringFactorBased($B35,"Daily",H$4,H$119),
_xlpm.weekdays,RecurringFactorBased($B35,"Weekdays",H$4,H$119),
_xlpm.paydays,RecurringFactorBased($B35,"Paydays",H$4,H$119),
_xlpm.mondays,RecurringFactorBased($B35,"Mondays",H$4,H$119),
_xlpm.tuesdays,RecurringFactorBased($B35,"Tuesdays",H$4,H$119),
_xlpm.wednesdays,RecurringFactorBased($B35,"Wednesdays",H$4,H$119),
_xlpm.thursdays,RecurringFactorBased($B35,"Thursdays",H$4,H$119),
_xlpm.fridays,RecurringFactorBased($B35,"Fridays",H$4,H$119),
_xlpm.saturdays,RecurringFactorBased($B35,"Saturdays",H$4,H$119),
_xlpm.sundays,RecurringFactorBased($B35,"Sundays",H$4,H$119),
_xlpm.monthly,RecurringMonthly($B35,H$4),
_xlpm.annual,RecurringAnnual($B35,H$4),
_xlpm.planned,SUMIFS(Planned!$F:$F,Planned!$B:$B,$B35,Planned!$E:$E,"&gt;="&amp;H$4,Planned!$E:$E,"&lt;="&amp;EOMONTH(H$4,0)),
_xlpm.daily+_xlpm.weekdays+_xlpm.mondays+_xlpm.tuesdays+_xlpm.wednesdays+_xlpm.thursdays+_xlpm.fridays+_xlpm.saturdays+_xlpm.sundays+_xlpm.paydays+_xlpm.monthly+_xlpm.annual+_xlpm.planned)</f>
        <v>933</v>
      </c>
      <c r="I35" s="143" cm="1">
        <f t="array" aca="1" ref="I35" ca="1">_xlfn.LET(
_xlpm.daily,RecurringFactorBased($B35,"Daily",I$4,I$119),
_xlpm.weekdays,RecurringFactorBased($B35,"Weekdays",I$4,I$119),
_xlpm.paydays,RecurringFactorBased($B35,"Paydays",I$4,I$119),
_xlpm.mondays,RecurringFactorBased($B35,"Mondays",I$4,I$119),
_xlpm.tuesdays,RecurringFactorBased($B35,"Tuesdays",I$4,I$119),
_xlpm.wednesdays,RecurringFactorBased($B35,"Wednesdays",I$4,I$119),
_xlpm.thursdays,RecurringFactorBased($B35,"Thursdays",I$4,I$119),
_xlpm.fridays,RecurringFactorBased($B35,"Fridays",I$4,I$119),
_xlpm.saturdays,RecurringFactorBased($B35,"Saturdays",I$4,I$119),
_xlpm.sundays,RecurringFactorBased($B35,"Sundays",I$4,I$119),
_xlpm.monthly,RecurringMonthly($B35,I$4),
_xlpm.annual,RecurringAnnual($B35,I$4),
_xlpm.planned,SUMIFS(Planned!$F:$F,Planned!$B:$B,$B35,Planned!$E:$E,"&gt;="&amp;I$4,Planned!$E:$E,"&lt;="&amp;EOMONTH(I$4,0)),
_xlpm.daily+_xlpm.weekdays+_xlpm.mondays+_xlpm.tuesdays+_xlpm.wednesdays+_xlpm.thursdays+_xlpm.fridays+_xlpm.saturdays+_xlpm.sundays+_xlpm.paydays+_xlpm.monthly+_xlpm.annual+_xlpm.planned)</f>
        <v>622</v>
      </c>
      <c r="J35" s="143" cm="1">
        <f t="array" aca="1" ref="J35" ca="1">_xlfn.LET(
_xlpm.daily,RecurringFactorBased($B35,"Daily",J$4,J$119),
_xlpm.weekdays,RecurringFactorBased($B35,"Weekdays",J$4,J$119),
_xlpm.paydays,RecurringFactorBased($B35,"Paydays",J$4,J$119),
_xlpm.mondays,RecurringFactorBased($B35,"Mondays",J$4,J$119),
_xlpm.tuesdays,RecurringFactorBased($B35,"Tuesdays",J$4,J$119),
_xlpm.wednesdays,RecurringFactorBased($B35,"Wednesdays",J$4,J$119),
_xlpm.thursdays,RecurringFactorBased($B35,"Thursdays",J$4,J$119),
_xlpm.fridays,RecurringFactorBased($B35,"Fridays",J$4,J$119),
_xlpm.saturdays,RecurringFactorBased($B35,"Saturdays",J$4,J$119),
_xlpm.sundays,RecurringFactorBased($B35,"Sundays",J$4,J$119),
_xlpm.monthly,RecurringMonthly($B35,J$4),
_xlpm.annual,RecurringAnnual($B35,J$4),
_xlpm.planned,SUMIFS(Planned!$F:$F,Planned!$B:$B,$B35,Planned!$E:$E,"&gt;="&amp;J$4,Planned!$E:$E,"&lt;="&amp;EOMONTH(J$4,0)),
_xlpm.daily+_xlpm.weekdays+_xlpm.mondays+_xlpm.tuesdays+_xlpm.wednesdays+_xlpm.thursdays+_xlpm.fridays+_xlpm.saturdays+_xlpm.sundays+_xlpm.paydays+_xlpm.monthly+_xlpm.annual+_xlpm.planned)</f>
        <v>622</v>
      </c>
      <c r="K35" s="143" cm="1">
        <f t="array" aca="1" ref="K35" ca="1">_xlfn.LET(
_xlpm.daily,RecurringFactorBased($B35,"Daily",K$4,K$119),
_xlpm.weekdays,RecurringFactorBased($B35,"Weekdays",K$4,K$119),
_xlpm.paydays,RecurringFactorBased($B35,"Paydays",K$4,K$119),
_xlpm.mondays,RecurringFactorBased($B35,"Mondays",K$4,K$119),
_xlpm.tuesdays,RecurringFactorBased($B35,"Tuesdays",K$4,K$119),
_xlpm.wednesdays,RecurringFactorBased($B35,"Wednesdays",K$4,K$119),
_xlpm.thursdays,RecurringFactorBased($B35,"Thursdays",K$4,K$119),
_xlpm.fridays,RecurringFactorBased($B35,"Fridays",K$4,K$119),
_xlpm.saturdays,RecurringFactorBased($B35,"Saturdays",K$4,K$119),
_xlpm.sundays,RecurringFactorBased($B35,"Sundays",K$4,K$119),
_xlpm.monthly,RecurringMonthly($B35,K$4),
_xlpm.annual,RecurringAnnual($B35,K$4),
_xlpm.planned,SUMIFS(Planned!$F:$F,Planned!$B:$B,$B35,Planned!$E:$E,"&gt;="&amp;K$4,Planned!$E:$E,"&lt;="&amp;EOMONTH(K$4,0)),
_xlpm.daily+_xlpm.weekdays+_xlpm.mondays+_xlpm.tuesdays+_xlpm.wednesdays+_xlpm.thursdays+_xlpm.fridays+_xlpm.saturdays+_xlpm.sundays+_xlpm.paydays+_xlpm.monthly+_xlpm.annual+_xlpm.planned)</f>
        <v>622</v>
      </c>
      <c r="L35" s="143" cm="1">
        <f t="array" aca="1" ref="L35" ca="1">_xlfn.LET(
_xlpm.daily,RecurringFactorBased($B35,"Daily",L$4,L$119),
_xlpm.weekdays,RecurringFactorBased($B35,"Weekdays",L$4,L$119),
_xlpm.paydays,RecurringFactorBased($B35,"Paydays",L$4,L$119),
_xlpm.mondays,RecurringFactorBased($B35,"Mondays",L$4,L$119),
_xlpm.tuesdays,RecurringFactorBased($B35,"Tuesdays",L$4,L$119),
_xlpm.wednesdays,RecurringFactorBased($B35,"Wednesdays",L$4,L$119),
_xlpm.thursdays,RecurringFactorBased($B35,"Thursdays",L$4,L$119),
_xlpm.fridays,RecurringFactorBased($B35,"Fridays",L$4,L$119),
_xlpm.saturdays,RecurringFactorBased($B35,"Saturdays",L$4,L$119),
_xlpm.sundays,RecurringFactorBased($B35,"Sundays",L$4,L$119),
_xlpm.monthly,RecurringMonthly($B35,L$4),
_xlpm.annual,RecurringAnnual($B35,L$4),
_xlpm.planned,SUMIFS(Planned!$F:$F,Planned!$B:$B,$B35,Planned!$E:$E,"&gt;="&amp;L$4,Planned!$E:$E,"&lt;="&amp;EOMONTH(L$4,0)),
_xlpm.daily+_xlpm.weekdays+_xlpm.mondays+_xlpm.tuesdays+_xlpm.wednesdays+_xlpm.thursdays+_xlpm.fridays+_xlpm.saturdays+_xlpm.sundays+_xlpm.paydays+_xlpm.monthly+_xlpm.annual+_xlpm.planned)</f>
        <v>622</v>
      </c>
      <c r="M35" s="143" cm="1">
        <f t="array" aca="1" ref="M35" ca="1">_xlfn.LET(
_xlpm.daily,RecurringFactorBased($B35,"Daily",M$4,M$119),
_xlpm.weekdays,RecurringFactorBased($B35,"Weekdays",M$4,M$119),
_xlpm.paydays,RecurringFactorBased($B35,"Paydays",M$4,M$119),
_xlpm.mondays,RecurringFactorBased($B35,"Mondays",M$4,M$119),
_xlpm.tuesdays,RecurringFactorBased($B35,"Tuesdays",M$4,M$119),
_xlpm.wednesdays,RecurringFactorBased($B35,"Wednesdays",M$4,M$119),
_xlpm.thursdays,RecurringFactorBased($B35,"Thursdays",M$4,M$119),
_xlpm.fridays,RecurringFactorBased($B35,"Fridays",M$4,M$119),
_xlpm.saturdays,RecurringFactorBased($B35,"Saturdays",M$4,M$119),
_xlpm.sundays,RecurringFactorBased($B35,"Sundays",M$4,M$119),
_xlpm.monthly,RecurringMonthly($B35,M$4),
_xlpm.annual,RecurringAnnual($B35,M$4),
_xlpm.planned,SUMIFS(Planned!$F:$F,Planned!$B:$B,$B35,Planned!$E:$E,"&gt;="&amp;M$4,Planned!$E:$E,"&lt;="&amp;EOMONTH(M$4,0)),
_xlpm.daily+_xlpm.weekdays+_xlpm.mondays+_xlpm.tuesdays+_xlpm.wednesdays+_xlpm.thursdays+_xlpm.fridays+_xlpm.saturdays+_xlpm.sundays+_xlpm.paydays+_xlpm.monthly+_xlpm.annual+_xlpm.planned)</f>
        <v>933</v>
      </c>
      <c r="N35" s="143" cm="1">
        <f t="array" aca="1" ref="N35" ca="1">_xlfn.LET(
_xlpm.daily,RecurringFactorBased($B35,"Daily",N$4,N$119),
_xlpm.weekdays,RecurringFactorBased($B35,"Weekdays",N$4,N$119),
_xlpm.paydays,RecurringFactorBased($B35,"Paydays",N$4,N$119),
_xlpm.mondays,RecurringFactorBased($B35,"Mondays",N$4,N$119),
_xlpm.tuesdays,RecurringFactorBased($B35,"Tuesdays",N$4,N$119),
_xlpm.wednesdays,RecurringFactorBased($B35,"Wednesdays",N$4,N$119),
_xlpm.thursdays,RecurringFactorBased($B35,"Thursdays",N$4,N$119),
_xlpm.fridays,RecurringFactorBased($B35,"Fridays",N$4,N$119),
_xlpm.saturdays,RecurringFactorBased($B35,"Saturdays",N$4,N$119),
_xlpm.sundays,RecurringFactorBased($B35,"Sundays",N$4,N$119),
_xlpm.monthly,RecurringMonthly($B35,N$4),
_xlpm.annual,RecurringAnnual($B35,N$4),
_xlpm.planned,SUMIFS(Planned!$F:$F,Planned!$B:$B,$B35,Planned!$E:$E,"&gt;="&amp;N$4,Planned!$E:$E,"&lt;="&amp;EOMONTH(N$4,0)),
_xlpm.daily+_xlpm.weekdays+_xlpm.mondays+_xlpm.tuesdays+_xlpm.wednesdays+_xlpm.thursdays+_xlpm.fridays+_xlpm.saturdays+_xlpm.sundays+_xlpm.paydays+_xlpm.monthly+_xlpm.annual+_xlpm.planned)</f>
        <v>622</v>
      </c>
      <c r="O35" s="133"/>
      <c r="P35" s="144">
        <f t="shared" ca="1" si="9"/>
        <v>7464</v>
      </c>
      <c r="Q35" s="80"/>
      <c r="R35" s="202"/>
    </row>
    <row r="36" spans="1:23" s="51" customFormat="1" ht="5.0999999999999996" customHeight="1" x14ac:dyDescent="0.2">
      <c r="A36" s="64"/>
      <c r="B36" s="102"/>
      <c r="C36" s="133"/>
      <c r="D36" s="133"/>
      <c r="E36" s="133"/>
      <c r="F36" s="133"/>
      <c r="G36" s="133"/>
      <c r="H36" s="133"/>
      <c r="I36" s="133"/>
      <c r="J36" s="133"/>
      <c r="K36" s="133"/>
      <c r="L36" s="133"/>
      <c r="M36" s="133"/>
      <c r="N36" s="133"/>
      <c r="O36" s="133"/>
      <c r="P36" s="144"/>
      <c r="Q36" s="82"/>
      <c r="R36" s="202"/>
      <c r="V36" s="52"/>
      <c r="W36" s="53"/>
    </row>
    <row r="37" spans="1:23" ht="12.75" customHeight="1" x14ac:dyDescent="0.2">
      <c r="A37" s="61"/>
      <c r="B37" s="104" t="s">
        <v>54</v>
      </c>
      <c r="C37" s="145">
        <f t="shared" ref="C37:N37" ca="1" si="10">SUM(C32:C36)</f>
        <v>0</v>
      </c>
      <c r="D37" s="145">
        <f t="shared" ca="1" si="10"/>
        <v>3182</v>
      </c>
      <c r="E37" s="145">
        <f t="shared" ca="1" si="10"/>
        <v>3182</v>
      </c>
      <c r="F37" s="145">
        <f t="shared" ca="1" si="10"/>
        <v>3246</v>
      </c>
      <c r="G37" s="145">
        <f t="shared" ca="1" si="10"/>
        <v>8746</v>
      </c>
      <c r="H37" s="145">
        <f t="shared" ca="1" si="10"/>
        <v>4869</v>
      </c>
      <c r="I37" s="145">
        <f t="shared" ca="1" si="10"/>
        <v>3246</v>
      </c>
      <c r="J37" s="145">
        <f t="shared" ca="1" si="10"/>
        <v>3246</v>
      </c>
      <c r="K37" s="145">
        <f t="shared" ca="1" si="10"/>
        <v>3246</v>
      </c>
      <c r="L37" s="145">
        <f t="shared" ca="1" si="10"/>
        <v>3246</v>
      </c>
      <c r="M37" s="145">
        <f t="shared" ca="1" si="10"/>
        <v>4869</v>
      </c>
      <c r="N37" s="145">
        <f t="shared" ca="1" si="10"/>
        <v>3246</v>
      </c>
      <c r="O37" s="145"/>
      <c r="P37" s="146">
        <f ca="1">SUM(C37:N37)</f>
        <v>44324</v>
      </c>
      <c r="Q37" s="79"/>
      <c r="R37" s="202"/>
      <c r="U37" s="19"/>
      <c r="V37" s="20"/>
      <c r="W37" s="19"/>
    </row>
    <row r="38" spans="1:23" s="51" customFormat="1" ht="5.0999999999999996" customHeight="1" x14ac:dyDescent="0.2">
      <c r="A38" s="64"/>
      <c r="B38" s="102"/>
      <c r="C38" s="133"/>
      <c r="D38" s="133"/>
      <c r="E38" s="133"/>
      <c r="F38" s="133"/>
      <c r="G38" s="133"/>
      <c r="H38" s="133"/>
      <c r="I38" s="133"/>
      <c r="J38" s="133"/>
      <c r="K38" s="133"/>
      <c r="L38" s="133"/>
      <c r="M38" s="133"/>
      <c r="N38" s="133"/>
      <c r="O38" s="133"/>
      <c r="P38" s="144"/>
      <c r="Q38" s="82"/>
      <c r="R38" s="202"/>
      <c r="V38" s="52"/>
      <c r="W38" s="53"/>
    </row>
    <row r="39" spans="1:23" ht="12.75" customHeight="1" x14ac:dyDescent="0.2">
      <c r="A39" s="61"/>
      <c r="B39" s="106" t="s">
        <v>55</v>
      </c>
      <c r="C39" s="147">
        <f t="shared" ref="C39:N39" ca="1" si="11">C29-C37</f>
        <v>0</v>
      </c>
      <c r="D39" s="147">
        <f t="shared" ca="1" si="11"/>
        <v>5068</v>
      </c>
      <c r="E39" s="147">
        <f t="shared" ca="1" si="11"/>
        <v>5018</v>
      </c>
      <c r="F39" s="147">
        <f t="shared" ca="1" si="11"/>
        <v>5154</v>
      </c>
      <c r="G39" s="147">
        <f t="shared" ca="1" si="11"/>
        <v>9704</v>
      </c>
      <c r="H39" s="147">
        <f t="shared" ca="1" si="11"/>
        <v>7631</v>
      </c>
      <c r="I39" s="147">
        <f t="shared" ca="1" si="11"/>
        <v>5154</v>
      </c>
      <c r="J39" s="147">
        <f t="shared" ca="1" si="11"/>
        <v>5204</v>
      </c>
      <c r="K39" s="147">
        <f t="shared" ca="1" si="11"/>
        <v>5154</v>
      </c>
      <c r="L39" s="147">
        <f t="shared" ca="1" si="11"/>
        <v>5154</v>
      </c>
      <c r="M39" s="147">
        <f t="shared" ca="1" si="11"/>
        <v>7681</v>
      </c>
      <c r="N39" s="147">
        <f t="shared" ca="1" si="11"/>
        <v>5154</v>
      </c>
      <c r="O39" s="147"/>
      <c r="P39" s="148">
        <f ca="1">SUM(C39:N39)</f>
        <v>66076</v>
      </c>
      <c r="Q39" s="79"/>
      <c r="R39" s="202"/>
      <c r="U39" s="21"/>
      <c r="W39" s="21"/>
    </row>
    <row r="40" spans="1:23" ht="5.0999999999999996" customHeight="1" x14ac:dyDescent="0.2">
      <c r="A40" s="61"/>
      <c r="B40" s="100"/>
      <c r="C40" s="140"/>
      <c r="D40" s="140"/>
      <c r="E40" s="140"/>
      <c r="F40" s="140"/>
      <c r="G40" s="140"/>
      <c r="H40" s="140"/>
      <c r="I40" s="140"/>
      <c r="J40" s="140"/>
      <c r="K40" s="140"/>
      <c r="L40" s="140"/>
      <c r="M40" s="140"/>
      <c r="N40" s="140"/>
      <c r="O40" s="140"/>
      <c r="P40" s="140"/>
      <c r="Q40" s="79"/>
      <c r="R40" s="202"/>
    </row>
    <row r="41" spans="1:23" ht="12.75" customHeight="1" x14ac:dyDescent="0.2">
      <c r="A41" s="61"/>
      <c r="B41" s="107" t="s">
        <v>52</v>
      </c>
      <c r="C41" s="224"/>
      <c r="D41" s="224"/>
      <c r="E41" s="224"/>
      <c r="F41" s="224"/>
      <c r="G41" s="224"/>
      <c r="H41" s="224"/>
      <c r="I41" s="224"/>
      <c r="J41" s="224"/>
      <c r="K41" s="224"/>
      <c r="L41" s="224"/>
      <c r="M41" s="224"/>
      <c r="N41" s="224"/>
      <c r="O41" s="224"/>
      <c r="P41" s="225"/>
      <c r="Q41" s="79"/>
      <c r="R41" s="202"/>
    </row>
    <row r="42" spans="1:23" ht="12.75" customHeight="1" x14ac:dyDescent="0.2">
      <c r="A42" s="63"/>
      <c r="B42" s="228" t="s">
        <v>314</v>
      </c>
      <c r="C42" s="143" cm="1">
        <f t="array" aca="1" ref="C42" ca="1">_xlfn.LET(
_xlpm.daily,RecurringFactorBased($B42,"Daily",C$4,C$119),
_xlpm.weekdays,RecurringFactorBased($B42,"Weekdays",C$4,C$119),
_xlpm.paydays,RecurringFactorBased($B42,"Paydays",C$4,C$119),
_xlpm.mondays,RecurringFactorBased($B42,"Mondays",C$4,C$119),
_xlpm.tuesdays,RecurringFactorBased($B42,"Tuesdays",C$4,C$119),
_xlpm.wednesdays,RecurringFactorBased($B42,"Wednesdays",C$4,C$119),
_xlpm.thursdays,RecurringFactorBased($B42,"Thursdays",C$4,C$119),
_xlpm.fridays,RecurringFactorBased($B42,"Fridays",C$4,C$119),
_xlpm.saturdays,RecurringFactorBased($B42,"Saturdays",C$4,C$119),
_xlpm.sundays,RecurringFactorBased($B42,"Sundays",C$4,C$119),
_xlpm.monthly,RecurringMonthly($B42,C$4),
_xlpm.annual,RecurringAnnual($B42,C$4),
_xlpm.planned,SUMIFS(Planned!$F:$F,Planned!$B:$B,$B42,Planned!$E:$E,"&gt;="&amp;C$4,Planned!$E:$E,"&lt;="&amp;EOMONTH(C$4,0)),
_xlpm.daily+_xlpm.weekdays+_xlpm.mondays+_xlpm.tuesdays+_xlpm.wednesdays+_xlpm.thursdays+_xlpm.fridays+_xlpm.saturdays+_xlpm.sundays+_xlpm.paydays+_xlpm.monthly+_xlpm.annual+_xlpm.planned)</f>
        <v>0</v>
      </c>
      <c r="D42" s="143" cm="1">
        <f t="array" aca="1" ref="D42" ca="1">_xlfn.LET(
_xlpm.daily,RecurringFactorBased($B42,"Daily",D$4,D$119),
_xlpm.weekdays,RecurringFactorBased($B42,"Weekdays",D$4,D$119),
_xlpm.paydays,RecurringFactorBased($B42,"Paydays",D$4,D$119),
_xlpm.mondays,RecurringFactorBased($B42,"Mondays",D$4,D$119),
_xlpm.tuesdays,RecurringFactorBased($B42,"Tuesdays",D$4,D$119),
_xlpm.wednesdays,RecurringFactorBased($B42,"Wednesdays",D$4,D$119),
_xlpm.thursdays,RecurringFactorBased($B42,"Thursdays",D$4,D$119),
_xlpm.fridays,RecurringFactorBased($B42,"Fridays",D$4,D$119),
_xlpm.saturdays,RecurringFactorBased($B42,"Saturdays",D$4,D$119),
_xlpm.sundays,RecurringFactorBased($B42,"Sundays",D$4,D$119),
_xlpm.monthly,RecurringMonthly($B42,D$4),
_xlpm.annual,RecurringAnnual($B42,D$4),
_xlpm.planned,SUMIFS(Planned!$F:$F,Planned!$B:$B,$B42,Planned!$E:$E,"&gt;="&amp;D$4,Planned!$E:$E,"&lt;="&amp;EOMONTH(D$4,0)),
_xlpm.daily+_xlpm.weekdays+_xlpm.mondays+_xlpm.tuesdays+_xlpm.wednesdays+_xlpm.thursdays+_xlpm.fridays+_xlpm.saturdays+_xlpm.sundays+_xlpm.paydays+_xlpm.monthly+_xlpm.annual+_xlpm.planned)</f>
        <v>100</v>
      </c>
      <c r="E42" s="143" cm="1">
        <f t="array" aca="1" ref="E42" ca="1">_xlfn.LET(
_xlpm.daily,RecurringFactorBased($B42,"Daily",E$4,E$119),
_xlpm.weekdays,RecurringFactorBased($B42,"Weekdays",E$4,E$119),
_xlpm.paydays,RecurringFactorBased($B42,"Paydays",E$4,E$119),
_xlpm.mondays,RecurringFactorBased($B42,"Mondays",E$4,E$119),
_xlpm.tuesdays,RecurringFactorBased($B42,"Tuesdays",E$4,E$119),
_xlpm.wednesdays,RecurringFactorBased($B42,"Wednesdays",E$4,E$119),
_xlpm.thursdays,RecurringFactorBased($B42,"Thursdays",E$4,E$119),
_xlpm.fridays,RecurringFactorBased($B42,"Fridays",E$4,E$119),
_xlpm.saturdays,RecurringFactorBased($B42,"Saturdays",E$4,E$119),
_xlpm.sundays,RecurringFactorBased($B42,"Sundays",E$4,E$119),
_xlpm.monthly,RecurringMonthly($B42,E$4),
_xlpm.annual,RecurringAnnual($B42,E$4),
_xlpm.planned,SUMIFS(Planned!$F:$F,Planned!$B:$B,$B42,Planned!$E:$E,"&gt;="&amp;E$4,Planned!$E:$E,"&lt;="&amp;EOMONTH(E$4,0)),
_xlpm.daily+_xlpm.weekdays+_xlpm.mondays+_xlpm.tuesdays+_xlpm.wednesdays+_xlpm.thursdays+_xlpm.fridays+_xlpm.saturdays+_xlpm.sundays+_xlpm.paydays+_xlpm.monthly+_xlpm.annual+_xlpm.planned)</f>
        <v>0</v>
      </c>
      <c r="F42" s="143" cm="1">
        <f t="array" aca="1" ref="F42" ca="1">_xlfn.LET(
_xlpm.daily,RecurringFactorBased($B42,"Daily",F$4,F$119),
_xlpm.weekdays,RecurringFactorBased($B42,"Weekdays",F$4,F$119),
_xlpm.paydays,RecurringFactorBased($B42,"Paydays",F$4,F$119),
_xlpm.mondays,RecurringFactorBased($B42,"Mondays",F$4,F$119),
_xlpm.tuesdays,RecurringFactorBased($B42,"Tuesdays",F$4,F$119),
_xlpm.wednesdays,RecurringFactorBased($B42,"Wednesdays",F$4,F$119),
_xlpm.thursdays,RecurringFactorBased($B42,"Thursdays",F$4,F$119),
_xlpm.fridays,RecurringFactorBased($B42,"Fridays",F$4,F$119),
_xlpm.saturdays,RecurringFactorBased($B42,"Saturdays",F$4,F$119),
_xlpm.sundays,RecurringFactorBased($B42,"Sundays",F$4,F$119),
_xlpm.monthly,RecurringMonthly($B42,F$4),
_xlpm.annual,RecurringAnnual($B42,F$4),
_xlpm.planned,SUMIFS(Planned!$F:$F,Planned!$B:$B,$B42,Planned!$E:$E,"&gt;="&amp;F$4,Planned!$E:$E,"&lt;="&amp;EOMONTH(F$4,0)),
_xlpm.daily+_xlpm.weekdays+_xlpm.mondays+_xlpm.tuesdays+_xlpm.wednesdays+_xlpm.thursdays+_xlpm.fridays+_xlpm.saturdays+_xlpm.sundays+_xlpm.paydays+_xlpm.monthly+_xlpm.annual+_xlpm.planned)</f>
        <v>0</v>
      </c>
      <c r="G42" s="143" cm="1">
        <f t="array" aca="1" ref="G42" ca="1">_xlfn.LET(
_xlpm.daily,RecurringFactorBased($B42,"Daily",G$4,G$119),
_xlpm.weekdays,RecurringFactorBased($B42,"Weekdays",G$4,G$119),
_xlpm.paydays,RecurringFactorBased($B42,"Paydays",G$4,G$119),
_xlpm.mondays,RecurringFactorBased($B42,"Mondays",G$4,G$119),
_xlpm.tuesdays,RecurringFactorBased($B42,"Tuesdays",G$4,G$119),
_xlpm.wednesdays,RecurringFactorBased($B42,"Wednesdays",G$4,G$119),
_xlpm.thursdays,RecurringFactorBased($B42,"Thursdays",G$4,G$119),
_xlpm.fridays,RecurringFactorBased($B42,"Fridays",G$4,G$119),
_xlpm.saturdays,RecurringFactorBased($B42,"Saturdays",G$4,G$119),
_xlpm.sundays,RecurringFactorBased($B42,"Sundays",G$4,G$119),
_xlpm.monthly,RecurringMonthly($B42,G$4),
_xlpm.annual,RecurringAnnual($B42,G$4),
_xlpm.planned,SUMIFS(Planned!$F:$F,Planned!$B:$B,$B42,Planned!$E:$E,"&gt;="&amp;G$4,Planned!$E:$E,"&lt;="&amp;EOMONTH(G$4,0)),
_xlpm.daily+_xlpm.weekdays+_xlpm.mondays+_xlpm.tuesdays+_xlpm.wednesdays+_xlpm.thursdays+_xlpm.fridays+_xlpm.saturdays+_xlpm.sundays+_xlpm.paydays+_xlpm.monthly+_xlpm.annual+_xlpm.planned)</f>
        <v>0</v>
      </c>
      <c r="H42" s="143" cm="1">
        <f t="array" aca="1" ref="H42" ca="1">_xlfn.LET(
_xlpm.daily,RecurringFactorBased($B42,"Daily",H$4,H$119),
_xlpm.weekdays,RecurringFactorBased($B42,"Weekdays",H$4,H$119),
_xlpm.paydays,RecurringFactorBased($B42,"Paydays",H$4,H$119),
_xlpm.mondays,RecurringFactorBased($B42,"Mondays",H$4,H$119),
_xlpm.tuesdays,RecurringFactorBased($B42,"Tuesdays",H$4,H$119),
_xlpm.wednesdays,RecurringFactorBased($B42,"Wednesdays",H$4,H$119),
_xlpm.thursdays,RecurringFactorBased($B42,"Thursdays",H$4,H$119),
_xlpm.fridays,RecurringFactorBased($B42,"Fridays",H$4,H$119),
_xlpm.saturdays,RecurringFactorBased($B42,"Saturdays",H$4,H$119),
_xlpm.sundays,RecurringFactorBased($B42,"Sundays",H$4,H$119),
_xlpm.monthly,RecurringMonthly($B42,H$4),
_xlpm.annual,RecurringAnnual($B42,H$4),
_xlpm.planned,SUMIFS(Planned!$F:$F,Planned!$B:$B,$B42,Planned!$E:$E,"&gt;="&amp;H$4,Planned!$E:$E,"&lt;="&amp;EOMONTH(H$4,0)),
_xlpm.daily+_xlpm.weekdays+_xlpm.mondays+_xlpm.tuesdays+_xlpm.wednesdays+_xlpm.thursdays+_xlpm.fridays+_xlpm.saturdays+_xlpm.sundays+_xlpm.paydays+_xlpm.monthly+_xlpm.annual+_xlpm.planned)</f>
        <v>0</v>
      </c>
      <c r="I42" s="143" cm="1">
        <f t="array" aca="1" ref="I42" ca="1">_xlfn.LET(
_xlpm.daily,RecurringFactorBased($B42,"Daily",I$4,I$119),
_xlpm.weekdays,RecurringFactorBased($B42,"Weekdays",I$4,I$119),
_xlpm.paydays,RecurringFactorBased($B42,"Paydays",I$4,I$119),
_xlpm.mondays,RecurringFactorBased($B42,"Mondays",I$4,I$119),
_xlpm.tuesdays,RecurringFactorBased($B42,"Tuesdays",I$4,I$119),
_xlpm.wednesdays,RecurringFactorBased($B42,"Wednesdays",I$4,I$119),
_xlpm.thursdays,RecurringFactorBased($B42,"Thursdays",I$4,I$119),
_xlpm.fridays,RecurringFactorBased($B42,"Fridays",I$4,I$119),
_xlpm.saturdays,RecurringFactorBased($B42,"Saturdays",I$4,I$119),
_xlpm.sundays,RecurringFactorBased($B42,"Sundays",I$4,I$119),
_xlpm.monthly,RecurringMonthly($B42,I$4),
_xlpm.annual,RecurringAnnual($B42,I$4),
_xlpm.planned,SUMIFS(Planned!$F:$F,Planned!$B:$B,$B42,Planned!$E:$E,"&gt;="&amp;I$4,Planned!$E:$E,"&lt;="&amp;EOMONTH(I$4,0)),
_xlpm.daily+_xlpm.weekdays+_xlpm.mondays+_xlpm.tuesdays+_xlpm.wednesdays+_xlpm.thursdays+_xlpm.fridays+_xlpm.saturdays+_xlpm.sundays+_xlpm.paydays+_xlpm.monthly+_xlpm.annual+_xlpm.planned)</f>
        <v>0</v>
      </c>
      <c r="J42" s="143" cm="1">
        <f t="array" aca="1" ref="J42" ca="1">_xlfn.LET(
_xlpm.daily,RecurringFactorBased($B42,"Daily",J$4,J$119),
_xlpm.weekdays,RecurringFactorBased($B42,"Weekdays",J$4,J$119),
_xlpm.paydays,RecurringFactorBased($B42,"Paydays",J$4,J$119),
_xlpm.mondays,RecurringFactorBased($B42,"Mondays",J$4,J$119),
_xlpm.tuesdays,RecurringFactorBased($B42,"Tuesdays",J$4,J$119),
_xlpm.wednesdays,RecurringFactorBased($B42,"Wednesdays",J$4,J$119),
_xlpm.thursdays,RecurringFactorBased($B42,"Thursdays",J$4,J$119),
_xlpm.fridays,RecurringFactorBased($B42,"Fridays",J$4,J$119),
_xlpm.saturdays,RecurringFactorBased($B42,"Saturdays",J$4,J$119),
_xlpm.sundays,RecurringFactorBased($B42,"Sundays",J$4,J$119),
_xlpm.monthly,RecurringMonthly($B42,J$4),
_xlpm.annual,RecurringAnnual($B42,J$4),
_xlpm.planned,SUMIFS(Planned!$F:$F,Planned!$B:$B,$B42,Planned!$E:$E,"&gt;="&amp;J$4,Planned!$E:$E,"&lt;="&amp;EOMONTH(J$4,0)),
_xlpm.daily+_xlpm.weekdays+_xlpm.mondays+_xlpm.tuesdays+_xlpm.wednesdays+_xlpm.thursdays+_xlpm.fridays+_xlpm.saturdays+_xlpm.sundays+_xlpm.paydays+_xlpm.monthly+_xlpm.annual+_xlpm.planned)</f>
        <v>0</v>
      </c>
      <c r="K42" s="143" cm="1">
        <f t="array" aca="1" ref="K42" ca="1">_xlfn.LET(
_xlpm.daily,RecurringFactorBased($B42,"Daily",K$4,K$119),
_xlpm.weekdays,RecurringFactorBased($B42,"Weekdays",K$4,K$119),
_xlpm.paydays,RecurringFactorBased($B42,"Paydays",K$4,K$119),
_xlpm.mondays,RecurringFactorBased($B42,"Mondays",K$4,K$119),
_xlpm.tuesdays,RecurringFactorBased($B42,"Tuesdays",K$4,K$119),
_xlpm.wednesdays,RecurringFactorBased($B42,"Wednesdays",K$4,K$119),
_xlpm.thursdays,RecurringFactorBased($B42,"Thursdays",K$4,K$119),
_xlpm.fridays,RecurringFactorBased($B42,"Fridays",K$4,K$119),
_xlpm.saturdays,RecurringFactorBased($B42,"Saturdays",K$4,K$119),
_xlpm.sundays,RecurringFactorBased($B42,"Sundays",K$4,K$119),
_xlpm.monthly,RecurringMonthly($B42,K$4),
_xlpm.annual,RecurringAnnual($B42,K$4),
_xlpm.planned,SUMIFS(Planned!$F:$F,Planned!$B:$B,$B42,Planned!$E:$E,"&gt;="&amp;K$4,Planned!$E:$E,"&lt;="&amp;EOMONTH(K$4,0)),
_xlpm.daily+_xlpm.weekdays+_xlpm.mondays+_xlpm.tuesdays+_xlpm.wednesdays+_xlpm.thursdays+_xlpm.fridays+_xlpm.saturdays+_xlpm.sundays+_xlpm.paydays+_xlpm.monthly+_xlpm.annual+_xlpm.planned)</f>
        <v>0</v>
      </c>
      <c r="L42" s="143" cm="1">
        <f t="array" aca="1" ref="L42" ca="1">_xlfn.LET(
_xlpm.daily,RecurringFactorBased($B42,"Daily",L$4,L$119),
_xlpm.weekdays,RecurringFactorBased($B42,"Weekdays",L$4,L$119),
_xlpm.paydays,RecurringFactorBased($B42,"Paydays",L$4,L$119),
_xlpm.mondays,RecurringFactorBased($B42,"Mondays",L$4,L$119),
_xlpm.tuesdays,RecurringFactorBased($B42,"Tuesdays",L$4,L$119),
_xlpm.wednesdays,RecurringFactorBased($B42,"Wednesdays",L$4,L$119),
_xlpm.thursdays,RecurringFactorBased($B42,"Thursdays",L$4,L$119),
_xlpm.fridays,RecurringFactorBased($B42,"Fridays",L$4,L$119),
_xlpm.saturdays,RecurringFactorBased($B42,"Saturdays",L$4,L$119),
_xlpm.sundays,RecurringFactorBased($B42,"Sundays",L$4,L$119),
_xlpm.monthly,RecurringMonthly($B42,L$4),
_xlpm.annual,RecurringAnnual($B42,L$4),
_xlpm.planned,SUMIFS(Planned!$F:$F,Planned!$B:$B,$B42,Planned!$E:$E,"&gt;="&amp;L$4,Planned!$E:$E,"&lt;="&amp;EOMONTH(L$4,0)),
_xlpm.daily+_xlpm.weekdays+_xlpm.mondays+_xlpm.tuesdays+_xlpm.wednesdays+_xlpm.thursdays+_xlpm.fridays+_xlpm.saturdays+_xlpm.sundays+_xlpm.paydays+_xlpm.monthly+_xlpm.annual+_xlpm.planned)</f>
        <v>0</v>
      </c>
      <c r="M42" s="143" cm="1">
        <f t="array" aca="1" ref="M42" ca="1">_xlfn.LET(
_xlpm.daily,RecurringFactorBased($B42,"Daily",M$4,M$119),
_xlpm.weekdays,RecurringFactorBased($B42,"Weekdays",M$4,M$119),
_xlpm.paydays,RecurringFactorBased($B42,"Paydays",M$4,M$119),
_xlpm.mondays,RecurringFactorBased($B42,"Mondays",M$4,M$119),
_xlpm.tuesdays,RecurringFactorBased($B42,"Tuesdays",M$4,M$119),
_xlpm.wednesdays,RecurringFactorBased($B42,"Wednesdays",M$4,M$119),
_xlpm.thursdays,RecurringFactorBased($B42,"Thursdays",M$4,M$119),
_xlpm.fridays,RecurringFactorBased($B42,"Fridays",M$4,M$119),
_xlpm.saturdays,RecurringFactorBased($B42,"Saturdays",M$4,M$119),
_xlpm.sundays,RecurringFactorBased($B42,"Sundays",M$4,M$119),
_xlpm.monthly,RecurringMonthly($B42,M$4),
_xlpm.annual,RecurringAnnual($B42,M$4),
_xlpm.planned,SUMIFS(Planned!$F:$F,Planned!$B:$B,$B42,Planned!$E:$E,"&gt;="&amp;M$4,Planned!$E:$E,"&lt;="&amp;EOMONTH(M$4,0)),
_xlpm.daily+_xlpm.weekdays+_xlpm.mondays+_xlpm.tuesdays+_xlpm.wednesdays+_xlpm.thursdays+_xlpm.fridays+_xlpm.saturdays+_xlpm.sundays+_xlpm.paydays+_xlpm.monthly+_xlpm.annual+_xlpm.planned)</f>
        <v>0</v>
      </c>
      <c r="N42" s="143" cm="1">
        <f t="array" aca="1" ref="N42" ca="1">_xlfn.LET(
_xlpm.daily,RecurringFactorBased($B42,"Daily",N$4,N$119),
_xlpm.weekdays,RecurringFactorBased($B42,"Weekdays",N$4,N$119),
_xlpm.paydays,RecurringFactorBased($B42,"Paydays",N$4,N$119),
_xlpm.mondays,RecurringFactorBased($B42,"Mondays",N$4,N$119),
_xlpm.tuesdays,RecurringFactorBased($B42,"Tuesdays",N$4,N$119),
_xlpm.wednesdays,RecurringFactorBased($B42,"Wednesdays",N$4,N$119),
_xlpm.thursdays,RecurringFactorBased($B42,"Thursdays",N$4,N$119),
_xlpm.fridays,RecurringFactorBased($B42,"Fridays",N$4,N$119),
_xlpm.saturdays,RecurringFactorBased($B42,"Saturdays",N$4,N$119),
_xlpm.sundays,RecurringFactorBased($B42,"Sundays",N$4,N$119),
_xlpm.monthly,RecurringMonthly($B42,N$4),
_xlpm.annual,RecurringAnnual($B42,N$4),
_xlpm.planned,SUMIFS(Planned!$F:$F,Planned!$B:$B,$B42,Planned!$E:$E,"&gt;="&amp;N$4,Planned!$E:$E,"&lt;="&amp;EOMONTH(N$4,0)),
_xlpm.daily+_xlpm.weekdays+_xlpm.mondays+_xlpm.tuesdays+_xlpm.wednesdays+_xlpm.thursdays+_xlpm.fridays+_xlpm.saturdays+_xlpm.sundays+_xlpm.paydays+_xlpm.monthly+_xlpm.annual+_xlpm.planned)</f>
        <v>0</v>
      </c>
      <c r="O42" s="133"/>
      <c r="P42" s="144">
        <f ca="1">SUM(C42:N42)</f>
        <v>100</v>
      </c>
      <c r="Q42" s="80"/>
      <c r="R42" s="202" t="s">
        <v>308</v>
      </c>
    </row>
    <row r="43" spans="1:23" ht="12.75" customHeight="1" x14ac:dyDescent="0.2">
      <c r="A43" s="63"/>
      <c r="B43" s="102" t="s">
        <v>18</v>
      </c>
      <c r="C43" s="143" cm="1">
        <f t="array" aca="1" ref="C43" ca="1">_xlfn.LET(
_xlpm.daily,RecurringFactorBased($B43,"Daily",C$4,C$119),
_xlpm.weekdays,RecurringFactorBased($B43,"Weekdays",C$4,C$119),
_xlpm.paydays,RecurringFactorBased($B43,"Paydays",C$4,C$119),
_xlpm.mondays,RecurringFactorBased($B43,"Mondays",C$4,C$119),
_xlpm.tuesdays,RecurringFactorBased($B43,"Tuesdays",C$4,C$119),
_xlpm.wednesdays,RecurringFactorBased($B43,"Wednesdays",C$4,C$119),
_xlpm.thursdays,RecurringFactorBased($B43,"Thursdays",C$4,C$119),
_xlpm.fridays,RecurringFactorBased($B43,"Fridays",C$4,C$119),
_xlpm.saturdays,RecurringFactorBased($B43,"Saturdays",C$4,C$119),
_xlpm.sundays,RecurringFactorBased($B43,"Sundays",C$4,C$119),
_xlpm.monthly,RecurringMonthly($B43,C$4),
_xlpm.annual,RecurringAnnual($B43,C$4),
_xlpm.planned,SUMIFS(Planned!$F:$F,Planned!$B:$B,$B43,Planned!$E:$E,"&gt;="&amp;C$4,Planned!$E:$E,"&lt;="&amp;EOMONTH(C$4,0)),
_xlpm.daily+_xlpm.weekdays+_xlpm.mondays+_xlpm.tuesdays+_xlpm.wednesdays+_xlpm.thursdays+_xlpm.fridays+_xlpm.saturdays+_xlpm.sundays+_xlpm.paydays+_xlpm.monthly+_xlpm.annual+_xlpm.planned)</f>
        <v>0</v>
      </c>
      <c r="D43" s="143" cm="1">
        <f t="array" aca="1" ref="D43" ca="1">_xlfn.LET(
_xlpm.daily,RecurringFactorBased($B43,"Daily",D$4,D$119),
_xlpm.weekdays,RecurringFactorBased($B43,"Weekdays",D$4,D$119),
_xlpm.paydays,RecurringFactorBased($B43,"Paydays",D$4,D$119),
_xlpm.mondays,RecurringFactorBased($B43,"Mondays",D$4,D$119),
_xlpm.tuesdays,RecurringFactorBased($B43,"Tuesdays",D$4,D$119),
_xlpm.wednesdays,RecurringFactorBased($B43,"Wednesdays",D$4,D$119),
_xlpm.thursdays,RecurringFactorBased($B43,"Thursdays",D$4,D$119),
_xlpm.fridays,RecurringFactorBased($B43,"Fridays",D$4,D$119),
_xlpm.saturdays,RecurringFactorBased($B43,"Saturdays",D$4,D$119),
_xlpm.sundays,RecurringFactorBased($B43,"Sundays",D$4,D$119),
_xlpm.monthly,RecurringMonthly($B43,D$4),
_xlpm.annual,RecurringAnnual($B43,D$4),
_xlpm.planned,SUMIFS(Planned!$F:$F,Planned!$B:$B,$B43,Planned!$E:$E,"&gt;="&amp;D$4,Planned!$E:$E,"&lt;="&amp;EOMONTH(D$4,0)),
_xlpm.daily+_xlpm.weekdays+_xlpm.mondays+_xlpm.tuesdays+_xlpm.wednesdays+_xlpm.thursdays+_xlpm.fridays+_xlpm.saturdays+_xlpm.sundays+_xlpm.paydays+_xlpm.monthly+_xlpm.annual+_xlpm.planned)</f>
        <v>0</v>
      </c>
      <c r="E43" s="143" cm="1">
        <f t="array" aca="1" ref="E43" ca="1">_xlfn.LET(
_xlpm.daily,RecurringFactorBased($B43,"Daily",E$4,E$119),
_xlpm.weekdays,RecurringFactorBased($B43,"Weekdays",E$4,E$119),
_xlpm.paydays,RecurringFactorBased($B43,"Paydays",E$4,E$119),
_xlpm.mondays,RecurringFactorBased($B43,"Mondays",E$4,E$119),
_xlpm.tuesdays,RecurringFactorBased($B43,"Tuesdays",E$4,E$119),
_xlpm.wednesdays,RecurringFactorBased($B43,"Wednesdays",E$4,E$119),
_xlpm.thursdays,RecurringFactorBased($B43,"Thursdays",E$4,E$119),
_xlpm.fridays,RecurringFactorBased($B43,"Fridays",E$4,E$119),
_xlpm.saturdays,RecurringFactorBased($B43,"Saturdays",E$4,E$119),
_xlpm.sundays,RecurringFactorBased($B43,"Sundays",E$4,E$119),
_xlpm.monthly,RecurringMonthly($B43,E$4),
_xlpm.annual,RecurringAnnual($B43,E$4),
_xlpm.planned,SUMIFS(Planned!$F:$F,Planned!$B:$B,$B43,Planned!$E:$E,"&gt;="&amp;E$4,Planned!$E:$E,"&lt;="&amp;EOMONTH(E$4,0)),
_xlpm.daily+_xlpm.weekdays+_xlpm.mondays+_xlpm.tuesdays+_xlpm.wednesdays+_xlpm.thursdays+_xlpm.fridays+_xlpm.saturdays+_xlpm.sundays+_xlpm.paydays+_xlpm.monthly+_xlpm.annual+_xlpm.planned)</f>
        <v>200</v>
      </c>
      <c r="F43" s="143" cm="1">
        <f t="array" aca="1" ref="F43" ca="1">_xlfn.LET(
_xlpm.daily,RecurringFactorBased($B43,"Daily",F$4,F$119),
_xlpm.weekdays,RecurringFactorBased($B43,"Weekdays",F$4,F$119),
_xlpm.paydays,RecurringFactorBased($B43,"Paydays",F$4,F$119),
_xlpm.mondays,RecurringFactorBased($B43,"Mondays",F$4,F$119),
_xlpm.tuesdays,RecurringFactorBased($B43,"Tuesdays",F$4,F$119),
_xlpm.wednesdays,RecurringFactorBased($B43,"Wednesdays",F$4,F$119),
_xlpm.thursdays,RecurringFactorBased($B43,"Thursdays",F$4,F$119),
_xlpm.fridays,RecurringFactorBased($B43,"Fridays",F$4,F$119),
_xlpm.saturdays,RecurringFactorBased($B43,"Saturdays",F$4,F$119),
_xlpm.sundays,RecurringFactorBased($B43,"Sundays",F$4,F$119),
_xlpm.monthly,RecurringMonthly($B43,F$4),
_xlpm.annual,RecurringAnnual($B43,F$4),
_xlpm.planned,SUMIFS(Planned!$F:$F,Planned!$B:$B,$B43,Planned!$E:$E,"&gt;="&amp;F$4,Planned!$E:$E,"&lt;="&amp;EOMONTH(F$4,0)),
_xlpm.daily+_xlpm.weekdays+_xlpm.mondays+_xlpm.tuesdays+_xlpm.wednesdays+_xlpm.thursdays+_xlpm.fridays+_xlpm.saturdays+_xlpm.sundays+_xlpm.paydays+_xlpm.monthly+_xlpm.annual+_xlpm.planned)</f>
        <v>0</v>
      </c>
      <c r="G43" s="143" cm="1">
        <f t="array" aca="1" ref="G43" ca="1">_xlfn.LET(
_xlpm.daily,RecurringFactorBased($B43,"Daily",G$4,G$119),
_xlpm.weekdays,RecurringFactorBased($B43,"Weekdays",G$4,G$119),
_xlpm.paydays,RecurringFactorBased($B43,"Paydays",G$4,G$119),
_xlpm.mondays,RecurringFactorBased($B43,"Mondays",G$4,G$119),
_xlpm.tuesdays,RecurringFactorBased($B43,"Tuesdays",G$4,G$119),
_xlpm.wednesdays,RecurringFactorBased($B43,"Wednesdays",G$4,G$119),
_xlpm.thursdays,RecurringFactorBased($B43,"Thursdays",G$4,G$119),
_xlpm.fridays,RecurringFactorBased($B43,"Fridays",G$4,G$119),
_xlpm.saturdays,RecurringFactorBased($B43,"Saturdays",G$4,G$119),
_xlpm.sundays,RecurringFactorBased($B43,"Sundays",G$4,G$119),
_xlpm.monthly,RecurringMonthly($B43,G$4),
_xlpm.annual,RecurringAnnual($B43,G$4),
_xlpm.planned,SUMIFS(Planned!$F:$F,Planned!$B:$B,$B43,Planned!$E:$E,"&gt;="&amp;G$4,Planned!$E:$E,"&lt;="&amp;EOMONTH(G$4,0)),
_xlpm.daily+_xlpm.weekdays+_xlpm.mondays+_xlpm.tuesdays+_xlpm.wednesdays+_xlpm.thursdays+_xlpm.fridays+_xlpm.saturdays+_xlpm.sundays+_xlpm.paydays+_xlpm.monthly+_xlpm.annual+_xlpm.planned)</f>
        <v>0</v>
      </c>
      <c r="H43" s="143" cm="1">
        <f t="array" aca="1" ref="H43" ca="1">_xlfn.LET(
_xlpm.daily,RecurringFactorBased($B43,"Daily",H$4,H$119),
_xlpm.weekdays,RecurringFactorBased($B43,"Weekdays",H$4,H$119),
_xlpm.paydays,RecurringFactorBased($B43,"Paydays",H$4,H$119),
_xlpm.mondays,RecurringFactorBased($B43,"Mondays",H$4,H$119),
_xlpm.tuesdays,RecurringFactorBased($B43,"Tuesdays",H$4,H$119),
_xlpm.wednesdays,RecurringFactorBased($B43,"Wednesdays",H$4,H$119),
_xlpm.thursdays,RecurringFactorBased($B43,"Thursdays",H$4,H$119),
_xlpm.fridays,RecurringFactorBased($B43,"Fridays",H$4,H$119),
_xlpm.saturdays,RecurringFactorBased($B43,"Saturdays",H$4,H$119),
_xlpm.sundays,RecurringFactorBased($B43,"Sundays",H$4,H$119),
_xlpm.monthly,RecurringMonthly($B43,H$4),
_xlpm.annual,RecurringAnnual($B43,H$4),
_xlpm.planned,SUMIFS(Planned!$F:$F,Planned!$B:$B,$B43,Planned!$E:$E,"&gt;="&amp;H$4,Planned!$E:$E,"&lt;="&amp;EOMONTH(H$4,0)),
_xlpm.daily+_xlpm.weekdays+_xlpm.mondays+_xlpm.tuesdays+_xlpm.wednesdays+_xlpm.thursdays+_xlpm.fridays+_xlpm.saturdays+_xlpm.sundays+_xlpm.paydays+_xlpm.monthly+_xlpm.annual+_xlpm.planned)</f>
        <v>0</v>
      </c>
      <c r="I43" s="143" cm="1">
        <f t="array" aca="1" ref="I43" ca="1">_xlfn.LET(
_xlpm.daily,RecurringFactorBased($B43,"Daily",I$4,I$119),
_xlpm.weekdays,RecurringFactorBased($B43,"Weekdays",I$4,I$119),
_xlpm.paydays,RecurringFactorBased($B43,"Paydays",I$4,I$119),
_xlpm.mondays,RecurringFactorBased($B43,"Mondays",I$4,I$119),
_xlpm.tuesdays,RecurringFactorBased($B43,"Tuesdays",I$4,I$119),
_xlpm.wednesdays,RecurringFactorBased($B43,"Wednesdays",I$4,I$119),
_xlpm.thursdays,RecurringFactorBased($B43,"Thursdays",I$4,I$119),
_xlpm.fridays,RecurringFactorBased($B43,"Fridays",I$4,I$119),
_xlpm.saturdays,RecurringFactorBased($B43,"Saturdays",I$4,I$119),
_xlpm.sundays,RecurringFactorBased($B43,"Sundays",I$4,I$119),
_xlpm.monthly,RecurringMonthly($B43,I$4),
_xlpm.annual,RecurringAnnual($B43,I$4),
_xlpm.planned,SUMIFS(Planned!$F:$F,Planned!$B:$B,$B43,Planned!$E:$E,"&gt;="&amp;I$4,Planned!$E:$E,"&lt;="&amp;EOMONTH(I$4,0)),
_xlpm.daily+_xlpm.weekdays+_xlpm.mondays+_xlpm.tuesdays+_xlpm.wednesdays+_xlpm.thursdays+_xlpm.fridays+_xlpm.saturdays+_xlpm.sundays+_xlpm.paydays+_xlpm.monthly+_xlpm.annual+_xlpm.planned)</f>
        <v>0</v>
      </c>
      <c r="J43" s="143" cm="1">
        <f t="array" aca="1" ref="J43" ca="1">_xlfn.LET(
_xlpm.daily,RecurringFactorBased($B43,"Daily",J$4,J$119),
_xlpm.weekdays,RecurringFactorBased($B43,"Weekdays",J$4,J$119),
_xlpm.paydays,RecurringFactorBased($B43,"Paydays",J$4,J$119),
_xlpm.mondays,RecurringFactorBased($B43,"Mondays",J$4,J$119),
_xlpm.tuesdays,RecurringFactorBased($B43,"Tuesdays",J$4,J$119),
_xlpm.wednesdays,RecurringFactorBased($B43,"Wednesdays",J$4,J$119),
_xlpm.thursdays,RecurringFactorBased($B43,"Thursdays",J$4,J$119),
_xlpm.fridays,RecurringFactorBased($B43,"Fridays",J$4,J$119),
_xlpm.saturdays,RecurringFactorBased($B43,"Saturdays",J$4,J$119),
_xlpm.sundays,RecurringFactorBased($B43,"Sundays",J$4,J$119),
_xlpm.monthly,RecurringMonthly($B43,J$4),
_xlpm.annual,RecurringAnnual($B43,J$4),
_xlpm.planned,SUMIFS(Planned!$F:$F,Planned!$B:$B,$B43,Planned!$E:$E,"&gt;="&amp;J$4,Planned!$E:$E,"&lt;="&amp;EOMONTH(J$4,0)),
_xlpm.daily+_xlpm.weekdays+_xlpm.mondays+_xlpm.tuesdays+_xlpm.wednesdays+_xlpm.thursdays+_xlpm.fridays+_xlpm.saturdays+_xlpm.sundays+_xlpm.paydays+_xlpm.monthly+_xlpm.annual+_xlpm.planned)</f>
        <v>0</v>
      </c>
      <c r="K43" s="143" cm="1">
        <f t="array" aca="1" ref="K43" ca="1">_xlfn.LET(
_xlpm.daily,RecurringFactorBased($B43,"Daily",K$4,K$119),
_xlpm.weekdays,RecurringFactorBased($B43,"Weekdays",K$4,K$119),
_xlpm.paydays,RecurringFactorBased($B43,"Paydays",K$4,K$119),
_xlpm.mondays,RecurringFactorBased($B43,"Mondays",K$4,K$119),
_xlpm.tuesdays,RecurringFactorBased($B43,"Tuesdays",K$4,K$119),
_xlpm.wednesdays,RecurringFactorBased($B43,"Wednesdays",K$4,K$119),
_xlpm.thursdays,RecurringFactorBased($B43,"Thursdays",K$4,K$119),
_xlpm.fridays,RecurringFactorBased($B43,"Fridays",K$4,K$119),
_xlpm.saturdays,RecurringFactorBased($B43,"Saturdays",K$4,K$119),
_xlpm.sundays,RecurringFactorBased($B43,"Sundays",K$4,K$119),
_xlpm.monthly,RecurringMonthly($B43,K$4),
_xlpm.annual,RecurringAnnual($B43,K$4),
_xlpm.planned,SUMIFS(Planned!$F:$F,Planned!$B:$B,$B43,Planned!$E:$E,"&gt;="&amp;K$4,Planned!$E:$E,"&lt;="&amp;EOMONTH(K$4,0)),
_xlpm.daily+_xlpm.weekdays+_xlpm.mondays+_xlpm.tuesdays+_xlpm.wednesdays+_xlpm.thursdays+_xlpm.fridays+_xlpm.saturdays+_xlpm.sundays+_xlpm.paydays+_xlpm.monthly+_xlpm.annual+_xlpm.planned)</f>
        <v>0</v>
      </c>
      <c r="L43" s="143" cm="1">
        <f t="array" aca="1" ref="L43" ca="1">_xlfn.LET(
_xlpm.daily,RecurringFactorBased($B43,"Daily",L$4,L$119),
_xlpm.weekdays,RecurringFactorBased($B43,"Weekdays",L$4,L$119),
_xlpm.paydays,RecurringFactorBased($B43,"Paydays",L$4,L$119),
_xlpm.mondays,RecurringFactorBased($B43,"Mondays",L$4,L$119),
_xlpm.tuesdays,RecurringFactorBased($B43,"Tuesdays",L$4,L$119),
_xlpm.wednesdays,RecurringFactorBased($B43,"Wednesdays",L$4,L$119),
_xlpm.thursdays,RecurringFactorBased($B43,"Thursdays",L$4,L$119),
_xlpm.fridays,RecurringFactorBased($B43,"Fridays",L$4,L$119),
_xlpm.saturdays,RecurringFactorBased($B43,"Saturdays",L$4,L$119),
_xlpm.sundays,RecurringFactorBased($B43,"Sundays",L$4,L$119),
_xlpm.monthly,RecurringMonthly($B43,L$4),
_xlpm.annual,RecurringAnnual($B43,L$4),
_xlpm.planned,SUMIFS(Planned!$F:$F,Planned!$B:$B,$B43,Planned!$E:$E,"&gt;="&amp;L$4,Planned!$E:$E,"&lt;="&amp;EOMONTH(L$4,0)),
_xlpm.daily+_xlpm.weekdays+_xlpm.mondays+_xlpm.tuesdays+_xlpm.wednesdays+_xlpm.thursdays+_xlpm.fridays+_xlpm.saturdays+_xlpm.sundays+_xlpm.paydays+_xlpm.monthly+_xlpm.annual+_xlpm.planned)</f>
        <v>0</v>
      </c>
      <c r="M43" s="143" cm="1">
        <f t="array" aca="1" ref="M43" ca="1">_xlfn.LET(
_xlpm.daily,RecurringFactorBased($B43,"Daily",M$4,M$119),
_xlpm.weekdays,RecurringFactorBased($B43,"Weekdays",M$4,M$119),
_xlpm.paydays,RecurringFactorBased($B43,"Paydays",M$4,M$119),
_xlpm.mondays,RecurringFactorBased($B43,"Mondays",M$4,M$119),
_xlpm.tuesdays,RecurringFactorBased($B43,"Tuesdays",M$4,M$119),
_xlpm.wednesdays,RecurringFactorBased($B43,"Wednesdays",M$4,M$119),
_xlpm.thursdays,RecurringFactorBased($B43,"Thursdays",M$4,M$119),
_xlpm.fridays,RecurringFactorBased($B43,"Fridays",M$4,M$119),
_xlpm.saturdays,RecurringFactorBased($B43,"Saturdays",M$4,M$119),
_xlpm.sundays,RecurringFactorBased($B43,"Sundays",M$4,M$119),
_xlpm.monthly,RecurringMonthly($B43,M$4),
_xlpm.annual,RecurringAnnual($B43,M$4),
_xlpm.planned,SUMIFS(Planned!$F:$F,Planned!$B:$B,$B43,Planned!$E:$E,"&gt;="&amp;M$4,Planned!$E:$E,"&lt;="&amp;EOMONTH(M$4,0)),
_xlpm.daily+_xlpm.weekdays+_xlpm.mondays+_xlpm.tuesdays+_xlpm.wednesdays+_xlpm.thursdays+_xlpm.fridays+_xlpm.saturdays+_xlpm.sundays+_xlpm.paydays+_xlpm.monthly+_xlpm.annual+_xlpm.planned)</f>
        <v>0</v>
      </c>
      <c r="N43" s="143" cm="1">
        <f t="array" aca="1" ref="N43" ca="1">_xlfn.LET(
_xlpm.daily,RecurringFactorBased($B43,"Daily",N$4,N$119),
_xlpm.weekdays,RecurringFactorBased($B43,"Weekdays",N$4,N$119),
_xlpm.paydays,RecurringFactorBased($B43,"Paydays",N$4,N$119),
_xlpm.mondays,RecurringFactorBased($B43,"Mondays",N$4,N$119),
_xlpm.tuesdays,RecurringFactorBased($B43,"Tuesdays",N$4,N$119),
_xlpm.wednesdays,RecurringFactorBased($B43,"Wednesdays",N$4,N$119),
_xlpm.thursdays,RecurringFactorBased($B43,"Thursdays",N$4,N$119),
_xlpm.fridays,RecurringFactorBased($B43,"Fridays",N$4,N$119),
_xlpm.saturdays,RecurringFactorBased($B43,"Saturdays",N$4,N$119),
_xlpm.sundays,RecurringFactorBased($B43,"Sundays",N$4,N$119),
_xlpm.monthly,RecurringMonthly($B43,N$4),
_xlpm.annual,RecurringAnnual($B43,N$4),
_xlpm.planned,SUMIFS(Planned!$F:$F,Planned!$B:$B,$B43,Planned!$E:$E,"&gt;="&amp;N$4,Planned!$E:$E,"&lt;="&amp;EOMONTH(N$4,0)),
_xlpm.daily+_xlpm.weekdays+_xlpm.mondays+_xlpm.tuesdays+_xlpm.wednesdays+_xlpm.thursdays+_xlpm.fridays+_xlpm.saturdays+_xlpm.sundays+_xlpm.paydays+_xlpm.monthly+_xlpm.annual+_xlpm.planned)</f>
        <v>0</v>
      </c>
      <c r="O43" s="133"/>
      <c r="P43" s="144">
        <f ca="1">SUM(C43:N43)</f>
        <v>200</v>
      </c>
      <c r="Q43" s="80"/>
      <c r="R43" s="202" t="s">
        <v>309</v>
      </c>
    </row>
    <row r="44" spans="1:23" ht="12.75" customHeight="1" x14ac:dyDescent="0.2">
      <c r="A44" s="63"/>
      <c r="B44" s="102" t="s">
        <v>19</v>
      </c>
      <c r="C44" s="143" cm="1">
        <f t="array" aca="1" ref="C44" ca="1">_xlfn.LET(
_xlpm.daily,RecurringFactorBased($B44,"Daily",C$4,C$119),
_xlpm.weekdays,RecurringFactorBased($B44,"Weekdays",C$4,C$119),
_xlpm.paydays,RecurringFactorBased($B44,"Paydays",C$4,C$119),
_xlpm.mondays,RecurringFactorBased($B44,"Mondays",C$4,C$119),
_xlpm.tuesdays,RecurringFactorBased($B44,"Tuesdays",C$4,C$119),
_xlpm.wednesdays,RecurringFactorBased($B44,"Wednesdays",C$4,C$119),
_xlpm.thursdays,RecurringFactorBased($B44,"Thursdays",C$4,C$119),
_xlpm.fridays,RecurringFactorBased($B44,"Fridays",C$4,C$119),
_xlpm.saturdays,RecurringFactorBased($B44,"Saturdays",C$4,C$119),
_xlpm.sundays,RecurringFactorBased($B44,"Sundays",C$4,C$119),
_xlpm.monthly,RecurringMonthly($B44,C$4),
_xlpm.annual,RecurringAnnual($B44,C$4),
_xlpm.planned,SUMIFS(Planned!$F:$F,Planned!$B:$B,$B44,Planned!$E:$E,"&gt;="&amp;C$4,Planned!$E:$E,"&lt;="&amp;EOMONTH(C$4,0)),
_xlpm.daily+_xlpm.weekdays+_xlpm.mondays+_xlpm.tuesdays+_xlpm.wednesdays+_xlpm.thursdays+_xlpm.fridays+_xlpm.saturdays+_xlpm.sundays+_xlpm.paydays+_xlpm.monthly+_xlpm.annual+_xlpm.planned)</f>
        <v>10000</v>
      </c>
      <c r="D44" s="143" cm="1">
        <f t="array" aca="1" ref="D44" ca="1">_xlfn.LET(
_xlpm.daily,RecurringFactorBased($B44,"Daily",D$4,D$119),
_xlpm.weekdays,RecurringFactorBased($B44,"Weekdays",D$4,D$119),
_xlpm.paydays,RecurringFactorBased($B44,"Paydays",D$4,D$119),
_xlpm.mondays,RecurringFactorBased($B44,"Mondays",D$4,D$119),
_xlpm.tuesdays,RecurringFactorBased($B44,"Tuesdays",D$4,D$119),
_xlpm.wednesdays,RecurringFactorBased($B44,"Wednesdays",D$4,D$119),
_xlpm.thursdays,RecurringFactorBased($B44,"Thursdays",D$4,D$119),
_xlpm.fridays,RecurringFactorBased($B44,"Fridays",D$4,D$119),
_xlpm.saturdays,RecurringFactorBased($B44,"Saturdays",D$4,D$119),
_xlpm.sundays,RecurringFactorBased($B44,"Sundays",D$4,D$119),
_xlpm.monthly,RecurringMonthly($B44,D$4),
_xlpm.annual,RecurringAnnual($B44,D$4),
_xlpm.planned,SUMIFS(Planned!$F:$F,Planned!$B:$B,$B44,Planned!$E:$E,"&gt;="&amp;D$4,Planned!$E:$E,"&lt;="&amp;EOMONTH(D$4,0)),
_xlpm.daily+_xlpm.weekdays+_xlpm.mondays+_xlpm.tuesdays+_xlpm.wednesdays+_xlpm.thursdays+_xlpm.fridays+_xlpm.saturdays+_xlpm.sundays+_xlpm.paydays+_xlpm.monthly+_xlpm.annual+_xlpm.planned)</f>
        <v>0</v>
      </c>
      <c r="E44" s="143" cm="1">
        <f t="array" aca="1" ref="E44" ca="1">_xlfn.LET(
_xlpm.daily,RecurringFactorBased($B44,"Daily",E$4,E$119),
_xlpm.weekdays,RecurringFactorBased($B44,"Weekdays",E$4,E$119),
_xlpm.paydays,RecurringFactorBased($B44,"Paydays",E$4,E$119),
_xlpm.mondays,RecurringFactorBased($B44,"Mondays",E$4,E$119),
_xlpm.tuesdays,RecurringFactorBased($B44,"Tuesdays",E$4,E$119),
_xlpm.wednesdays,RecurringFactorBased($B44,"Wednesdays",E$4,E$119),
_xlpm.thursdays,RecurringFactorBased($B44,"Thursdays",E$4,E$119),
_xlpm.fridays,RecurringFactorBased($B44,"Fridays",E$4,E$119),
_xlpm.saturdays,RecurringFactorBased($B44,"Saturdays",E$4,E$119),
_xlpm.sundays,RecurringFactorBased($B44,"Sundays",E$4,E$119),
_xlpm.monthly,RecurringMonthly($B44,E$4),
_xlpm.annual,RecurringAnnual($B44,E$4),
_xlpm.planned,SUMIFS(Planned!$F:$F,Planned!$B:$B,$B44,Planned!$E:$E,"&gt;="&amp;E$4,Planned!$E:$E,"&lt;="&amp;EOMONTH(E$4,0)),
_xlpm.daily+_xlpm.weekdays+_xlpm.mondays+_xlpm.tuesdays+_xlpm.wednesdays+_xlpm.thursdays+_xlpm.fridays+_xlpm.saturdays+_xlpm.sundays+_xlpm.paydays+_xlpm.monthly+_xlpm.annual+_xlpm.planned)</f>
        <v>0</v>
      </c>
      <c r="F44" s="143" cm="1">
        <f t="array" aca="1" ref="F44" ca="1">_xlfn.LET(
_xlpm.daily,RecurringFactorBased($B44,"Daily",F$4,F$119),
_xlpm.weekdays,RecurringFactorBased($B44,"Weekdays",F$4,F$119),
_xlpm.paydays,RecurringFactorBased($B44,"Paydays",F$4,F$119),
_xlpm.mondays,RecurringFactorBased($B44,"Mondays",F$4,F$119),
_xlpm.tuesdays,RecurringFactorBased($B44,"Tuesdays",F$4,F$119),
_xlpm.wednesdays,RecurringFactorBased($B44,"Wednesdays",F$4,F$119),
_xlpm.thursdays,RecurringFactorBased($B44,"Thursdays",F$4,F$119),
_xlpm.fridays,RecurringFactorBased($B44,"Fridays",F$4,F$119),
_xlpm.saturdays,RecurringFactorBased($B44,"Saturdays",F$4,F$119),
_xlpm.sundays,RecurringFactorBased($B44,"Sundays",F$4,F$119),
_xlpm.monthly,RecurringMonthly($B44,F$4),
_xlpm.annual,RecurringAnnual($B44,F$4),
_xlpm.planned,SUMIFS(Planned!$F:$F,Planned!$B:$B,$B44,Planned!$E:$E,"&gt;="&amp;F$4,Planned!$E:$E,"&lt;="&amp;EOMONTH(F$4,0)),
_xlpm.daily+_xlpm.weekdays+_xlpm.mondays+_xlpm.tuesdays+_xlpm.wednesdays+_xlpm.thursdays+_xlpm.fridays+_xlpm.saturdays+_xlpm.sundays+_xlpm.paydays+_xlpm.monthly+_xlpm.annual+_xlpm.planned)</f>
        <v>0</v>
      </c>
      <c r="G44" s="143" cm="1">
        <f t="array" aca="1" ref="G44" ca="1">_xlfn.LET(
_xlpm.daily,RecurringFactorBased($B44,"Daily",G$4,G$119),
_xlpm.weekdays,RecurringFactorBased($B44,"Weekdays",G$4,G$119),
_xlpm.paydays,RecurringFactorBased($B44,"Paydays",G$4,G$119),
_xlpm.mondays,RecurringFactorBased($B44,"Mondays",G$4,G$119),
_xlpm.tuesdays,RecurringFactorBased($B44,"Tuesdays",G$4,G$119),
_xlpm.wednesdays,RecurringFactorBased($B44,"Wednesdays",G$4,G$119),
_xlpm.thursdays,RecurringFactorBased($B44,"Thursdays",G$4,G$119),
_xlpm.fridays,RecurringFactorBased($B44,"Fridays",G$4,G$119),
_xlpm.saturdays,RecurringFactorBased($B44,"Saturdays",G$4,G$119),
_xlpm.sundays,RecurringFactorBased($B44,"Sundays",G$4,G$119),
_xlpm.monthly,RecurringMonthly($B44,G$4),
_xlpm.annual,RecurringAnnual($B44,G$4),
_xlpm.planned,SUMIFS(Planned!$F:$F,Planned!$B:$B,$B44,Planned!$E:$E,"&gt;="&amp;G$4,Planned!$E:$E,"&lt;="&amp;EOMONTH(G$4,0)),
_xlpm.daily+_xlpm.weekdays+_xlpm.mondays+_xlpm.tuesdays+_xlpm.wednesdays+_xlpm.thursdays+_xlpm.fridays+_xlpm.saturdays+_xlpm.sundays+_xlpm.paydays+_xlpm.monthly+_xlpm.annual+_xlpm.planned)</f>
        <v>0</v>
      </c>
      <c r="H44" s="143" cm="1">
        <f t="array" aca="1" ref="H44" ca="1">_xlfn.LET(
_xlpm.daily,RecurringFactorBased($B44,"Daily",H$4,H$119),
_xlpm.weekdays,RecurringFactorBased($B44,"Weekdays",H$4,H$119),
_xlpm.paydays,RecurringFactorBased($B44,"Paydays",H$4,H$119),
_xlpm.mondays,RecurringFactorBased($B44,"Mondays",H$4,H$119),
_xlpm.tuesdays,RecurringFactorBased($B44,"Tuesdays",H$4,H$119),
_xlpm.wednesdays,RecurringFactorBased($B44,"Wednesdays",H$4,H$119),
_xlpm.thursdays,RecurringFactorBased($B44,"Thursdays",H$4,H$119),
_xlpm.fridays,RecurringFactorBased($B44,"Fridays",H$4,H$119),
_xlpm.saturdays,RecurringFactorBased($B44,"Saturdays",H$4,H$119),
_xlpm.sundays,RecurringFactorBased($B44,"Sundays",H$4,H$119),
_xlpm.monthly,RecurringMonthly($B44,H$4),
_xlpm.annual,RecurringAnnual($B44,H$4),
_xlpm.planned,SUMIFS(Planned!$F:$F,Planned!$B:$B,$B44,Planned!$E:$E,"&gt;="&amp;H$4,Planned!$E:$E,"&lt;="&amp;EOMONTH(H$4,0)),
_xlpm.daily+_xlpm.weekdays+_xlpm.mondays+_xlpm.tuesdays+_xlpm.wednesdays+_xlpm.thursdays+_xlpm.fridays+_xlpm.saturdays+_xlpm.sundays+_xlpm.paydays+_xlpm.monthly+_xlpm.annual+_xlpm.planned)</f>
        <v>0</v>
      </c>
      <c r="I44" s="143" cm="1">
        <f t="array" aca="1" ref="I44" ca="1">_xlfn.LET(
_xlpm.daily,RecurringFactorBased($B44,"Daily",I$4,I$119),
_xlpm.weekdays,RecurringFactorBased($B44,"Weekdays",I$4,I$119),
_xlpm.paydays,RecurringFactorBased($B44,"Paydays",I$4,I$119),
_xlpm.mondays,RecurringFactorBased($B44,"Mondays",I$4,I$119),
_xlpm.tuesdays,RecurringFactorBased($B44,"Tuesdays",I$4,I$119),
_xlpm.wednesdays,RecurringFactorBased($B44,"Wednesdays",I$4,I$119),
_xlpm.thursdays,RecurringFactorBased($B44,"Thursdays",I$4,I$119),
_xlpm.fridays,RecurringFactorBased($B44,"Fridays",I$4,I$119),
_xlpm.saturdays,RecurringFactorBased($B44,"Saturdays",I$4,I$119),
_xlpm.sundays,RecurringFactorBased($B44,"Sundays",I$4,I$119),
_xlpm.monthly,RecurringMonthly($B44,I$4),
_xlpm.annual,RecurringAnnual($B44,I$4),
_xlpm.planned,SUMIFS(Planned!$F:$F,Planned!$B:$B,$B44,Planned!$E:$E,"&gt;="&amp;I$4,Planned!$E:$E,"&lt;="&amp;EOMONTH(I$4,0)),
_xlpm.daily+_xlpm.weekdays+_xlpm.mondays+_xlpm.tuesdays+_xlpm.wednesdays+_xlpm.thursdays+_xlpm.fridays+_xlpm.saturdays+_xlpm.sundays+_xlpm.paydays+_xlpm.monthly+_xlpm.annual+_xlpm.planned)</f>
        <v>0</v>
      </c>
      <c r="J44" s="143" cm="1">
        <f t="array" aca="1" ref="J44" ca="1">_xlfn.LET(
_xlpm.daily,RecurringFactorBased($B44,"Daily",J$4,J$119),
_xlpm.weekdays,RecurringFactorBased($B44,"Weekdays",J$4,J$119),
_xlpm.paydays,RecurringFactorBased($B44,"Paydays",J$4,J$119),
_xlpm.mondays,RecurringFactorBased($B44,"Mondays",J$4,J$119),
_xlpm.tuesdays,RecurringFactorBased($B44,"Tuesdays",J$4,J$119),
_xlpm.wednesdays,RecurringFactorBased($B44,"Wednesdays",J$4,J$119),
_xlpm.thursdays,RecurringFactorBased($B44,"Thursdays",J$4,J$119),
_xlpm.fridays,RecurringFactorBased($B44,"Fridays",J$4,J$119),
_xlpm.saturdays,RecurringFactorBased($B44,"Saturdays",J$4,J$119),
_xlpm.sundays,RecurringFactorBased($B44,"Sundays",J$4,J$119),
_xlpm.monthly,RecurringMonthly($B44,J$4),
_xlpm.annual,RecurringAnnual($B44,J$4),
_xlpm.planned,SUMIFS(Planned!$F:$F,Planned!$B:$B,$B44,Planned!$E:$E,"&gt;="&amp;J$4,Planned!$E:$E,"&lt;="&amp;EOMONTH(J$4,0)),
_xlpm.daily+_xlpm.weekdays+_xlpm.mondays+_xlpm.tuesdays+_xlpm.wednesdays+_xlpm.thursdays+_xlpm.fridays+_xlpm.saturdays+_xlpm.sundays+_xlpm.paydays+_xlpm.monthly+_xlpm.annual+_xlpm.planned)</f>
        <v>0</v>
      </c>
      <c r="K44" s="143" cm="1">
        <f t="array" aca="1" ref="K44" ca="1">_xlfn.LET(
_xlpm.daily,RecurringFactorBased($B44,"Daily",K$4,K$119),
_xlpm.weekdays,RecurringFactorBased($B44,"Weekdays",K$4,K$119),
_xlpm.paydays,RecurringFactorBased($B44,"Paydays",K$4,K$119),
_xlpm.mondays,RecurringFactorBased($B44,"Mondays",K$4,K$119),
_xlpm.tuesdays,RecurringFactorBased($B44,"Tuesdays",K$4,K$119),
_xlpm.wednesdays,RecurringFactorBased($B44,"Wednesdays",K$4,K$119),
_xlpm.thursdays,RecurringFactorBased($B44,"Thursdays",K$4,K$119),
_xlpm.fridays,RecurringFactorBased($B44,"Fridays",K$4,K$119),
_xlpm.saturdays,RecurringFactorBased($B44,"Saturdays",K$4,K$119),
_xlpm.sundays,RecurringFactorBased($B44,"Sundays",K$4,K$119),
_xlpm.monthly,RecurringMonthly($B44,K$4),
_xlpm.annual,RecurringAnnual($B44,K$4),
_xlpm.planned,SUMIFS(Planned!$F:$F,Planned!$B:$B,$B44,Planned!$E:$E,"&gt;="&amp;K$4,Planned!$E:$E,"&lt;="&amp;EOMONTH(K$4,0)),
_xlpm.daily+_xlpm.weekdays+_xlpm.mondays+_xlpm.tuesdays+_xlpm.wednesdays+_xlpm.thursdays+_xlpm.fridays+_xlpm.saturdays+_xlpm.sundays+_xlpm.paydays+_xlpm.monthly+_xlpm.annual+_xlpm.planned)</f>
        <v>0</v>
      </c>
      <c r="L44" s="143" cm="1">
        <f t="array" aca="1" ref="L44" ca="1">_xlfn.LET(
_xlpm.daily,RecurringFactorBased($B44,"Daily",L$4,L$119),
_xlpm.weekdays,RecurringFactorBased($B44,"Weekdays",L$4,L$119),
_xlpm.paydays,RecurringFactorBased($B44,"Paydays",L$4,L$119),
_xlpm.mondays,RecurringFactorBased($B44,"Mondays",L$4,L$119),
_xlpm.tuesdays,RecurringFactorBased($B44,"Tuesdays",L$4,L$119),
_xlpm.wednesdays,RecurringFactorBased($B44,"Wednesdays",L$4,L$119),
_xlpm.thursdays,RecurringFactorBased($B44,"Thursdays",L$4,L$119),
_xlpm.fridays,RecurringFactorBased($B44,"Fridays",L$4,L$119),
_xlpm.saturdays,RecurringFactorBased($B44,"Saturdays",L$4,L$119),
_xlpm.sundays,RecurringFactorBased($B44,"Sundays",L$4,L$119),
_xlpm.monthly,RecurringMonthly($B44,L$4),
_xlpm.annual,RecurringAnnual($B44,L$4),
_xlpm.planned,SUMIFS(Planned!$F:$F,Planned!$B:$B,$B44,Planned!$E:$E,"&gt;="&amp;L$4,Planned!$E:$E,"&lt;="&amp;EOMONTH(L$4,0)),
_xlpm.daily+_xlpm.weekdays+_xlpm.mondays+_xlpm.tuesdays+_xlpm.wednesdays+_xlpm.thursdays+_xlpm.fridays+_xlpm.saturdays+_xlpm.sundays+_xlpm.paydays+_xlpm.monthly+_xlpm.annual+_xlpm.planned)</f>
        <v>0</v>
      </c>
      <c r="M44" s="143" cm="1">
        <f t="array" aca="1" ref="M44" ca="1">_xlfn.LET(
_xlpm.daily,RecurringFactorBased($B44,"Daily",M$4,M$119),
_xlpm.weekdays,RecurringFactorBased($B44,"Weekdays",M$4,M$119),
_xlpm.paydays,RecurringFactorBased($B44,"Paydays",M$4,M$119),
_xlpm.mondays,RecurringFactorBased($B44,"Mondays",M$4,M$119),
_xlpm.tuesdays,RecurringFactorBased($B44,"Tuesdays",M$4,M$119),
_xlpm.wednesdays,RecurringFactorBased($B44,"Wednesdays",M$4,M$119),
_xlpm.thursdays,RecurringFactorBased($B44,"Thursdays",M$4,M$119),
_xlpm.fridays,RecurringFactorBased($B44,"Fridays",M$4,M$119),
_xlpm.saturdays,RecurringFactorBased($B44,"Saturdays",M$4,M$119),
_xlpm.sundays,RecurringFactorBased($B44,"Sundays",M$4,M$119),
_xlpm.monthly,RecurringMonthly($B44,M$4),
_xlpm.annual,RecurringAnnual($B44,M$4),
_xlpm.planned,SUMIFS(Planned!$F:$F,Planned!$B:$B,$B44,Planned!$E:$E,"&gt;="&amp;M$4,Planned!$E:$E,"&lt;="&amp;EOMONTH(M$4,0)),
_xlpm.daily+_xlpm.weekdays+_xlpm.mondays+_xlpm.tuesdays+_xlpm.wednesdays+_xlpm.thursdays+_xlpm.fridays+_xlpm.saturdays+_xlpm.sundays+_xlpm.paydays+_xlpm.monthly+_xlpm.annual+_xlpm.planned)</f>
        <v>0</v>
      </c>
      <c r="N44" s="143" cm="1">
        <f t="array" aca="1" ref="N44" ca="1">_xlfn.LET(
_xlpm.daily,RecurringFactorBased($B44,"Daily",N$4,N$119),
_xlpm.weekdays,RecurringFactorBased($B44,"Weekdays",N$4,N$119),
_xlpm.paydays,RecurringFactorBased($B44,"Paydays",N$4,N$119),
_xlpm.mondays,RecurringFactorBased($B44,"Mondays",N$4,N$119),
_xlpm.tuesdays,RecurringFactorBased($B44,"Tuesdays",N$4,N$119),
_xlpm.wednesdays,RecurringFactorBased($B44,"Wednesdays",N$4,N$119),
_xlpm.thursdays,RecurringFactorBased($B44,"Thursdays",N$4,N$119),
_xlpm.fridays,RecurringFactorBased($B44,"Fridays",N$4,N$119),
_xlpm.saturdays,RecurringFactorBased($B44,"Saturdays",N$4,N$119),
_xlpm.sundays,RecurringFactorBased($B44,"Sundays",N$4,N$119),
_xlpm.monthly,RecurringMonthly($B44,N$4),
_xlpm.annual,RecurringAnnual($B44,N$4),
_xlpm.planned,SUMIFS(Planned!$F:$F,Planned!$B:$B,$B44,Planned!$E:$E,"&gt;="&amp;N$4,Planned!$E:$E,"&lt;="&amp;EOMONTH(N$4,0)),
_xlpm.daily+_xlpm.weekdays+_xlpm.mondays+_xlpm.tuesdays+_xlpm.wednesdays+_xlpm.thursdays+_xlpm.fridays+_xlpm.saturdays+_xlpm.sundays+_xlpm.paydays+_xlpm.monthly+_xlpm.annual+_xlpm.planned)</f>
        <v>0</v>
      </c>
      <c r="O44" s="133"/>
      <c r="P44" s="144">
        <f ca="1">SUM(C44:N44)</f>
        <v>10000</v>
      </c>
      <c r="Q44" s="80"/>
      <c r="R44" s="202" t="s">
        <v>310</v>
      </c>
      <c r="U44" s="22"/>
    </row>
    <row r="45" spans="1:23" ht="12.75" customHeight="1" x14ac:dyDescent="0.2">
      <c r="A45" s="63"/>
      <c r="B45" s="102" t="s">
        <v>57</v>
      </c>
      <c r="C45" s="143" cm="1">
        <f t="array" aca="1" ref="C45" ca="1">_xlfn.LET(
_xlpm.daily,RecurringFactorBased($B45,"Daily",C$4,C$119),
_xlpm.weekdays,RecurringFactorBased($B45,"Weekdays",C$4,C$119),
_xlpm.paydays,RecurringFactorBased($B45,"Paydays",C$4,C$119),
_xlpm.mondays,RecurringFactorBased($B45,"Mondays",C$4,C$119),
_xlpm.tuesdays,RecurringFactorBased($B45,"Tuesdays",C$4,C$119),
_xlpm.wednesdays,RecurringFactorBased($B45,"Wednesdays",C$4,C$119),
_xlpm.thursdays,RecurringFactorBased($B45,"Thursdays",C$4,C$119),
_xlpm.fridays,RecurringFactorBased($B45,"Fridays",C$4,C$119),
_xlpm.saturdays,RecurringFactorBased($B45,"Saturdays",C$4,C$119),
_xlpm.sundays,RecurringFactorBased($B45,"Sundays",C$4,C$119),
_xlpm.monthly,RecurringMonthly($B45,C$4),
_xlpm.annual,RecurringAnnual($B45,C$4),
_xlpm.planned,SUMIFS(Planned!$F:$F,Planned!$B:$B,$B45,Planned!$E:$E,"&gt;="&amp;C$4,Planned!$E:$E,"&lt;="&amp;EOMONTH(C$4,0)),
_xlpm.daily+_xlpm.weekdays+_xlpm.mondays+_xlpm.tuesdays+_xlpm.wednesdays+_xlpm.thursdays+_xlpm.fridays+_xlpm.saturdays+_xlpm.sundays+_xlpm.paydays+_xlpm.monthly+_xlpm.annual+_xlpm.planned)</f>
        <v>0</v>
      </c>
      <c r="D45" s="143" cm="1">
        <f t="array" aca="1" ref="D45" ca="1">_xlfn.LET(
_xlpm.daily,RecurringFactorBased($B45,"Daily",D$4,D$119),
_xlpm.weekdays,RecurringFactorBased($B45,"Weekdays",D$4,D$119),
_xlpm.paydays,RecurringFactorBased($B45,"Paydays",D$4,D$119),
_xlpm.mondays,RecurringFactorBased($B45,"Mondays",D$4,D$119),
_xlpm.tuesdays,RecurringFactorBased($B45,"Tuesdays",D$4,D$119),
_xlpm.wednesdays,RecurringFactorBased($B45,"Wednesdays",D$4,D$119),
_xlpm.thursdays,RecurringFactorBased($B45,"Thursdays",D$4,D$119),
_xlpm.fridays,RecurringFactorBased($B45,"Fridays",D$4,D$119),
_xlpm.saturdays,RecurringFactorBased($B45,"Saturdays",D$4,D$119),
_xlpm.sundays,RecurringFactorBased($B45,"Sundays",D$4,D$119),
_xlpm.monthly,RecurringMonthly($B45,D$4),
_xlpm.annual,RecurringAnnual($B45,D$4),
_xlpm.planned,SUMIFS(Planned!$F:$F,Planned!$B:$B,$B45,Planned!$E:$E,"&gt;="&amp;D$4,Planned!$E:$E,"&lt;="&amp;EOMONTH(D$4,0)),
_xlpm.daily+_xlpm.weekdays+_xlpm.mondays+_xlpm.tuesdays+_xlpm.wednesdays+_xlpm.thursdays+_xlpm.fridays+_xlpm.saturdays+_xlpm.sundays+_xlpm.paydays+_xlpm.monthly+_xlpm.annual+_xlpm.planned)</f>
        <v>0</v>
      </c>
      <c r="E45" s="143" cm="1">
        <f t="array" aca="1" ref="E45" ca="1">_xlfn.LET(
_xlpm.daily,RecurringFactorBased($B45,"Daily",E$4,E$119),
_xlpm.weekdays,RecurringFactorBased($B45,"Weekdays",E$4,E$119),
_xlpm.paydays,RecurringFactorBased($B45,"Paydays",E$4,E$119),
_xlpm.mondays,RecurringFactorBased($B45,"Mondays",E$4,E$119),
_xlpm.tuesdays,RecurringFactorBased($B45,"Tuesdays",E$4,E$119),
_xlpm.wednesdays,RecurringFactorBased($B45,"Wednesdays",E$4,E$119),
_xlpm.thursdays,RecurringFactorBased($B45,"Thursdays",E$4,E$119),
_xlpm.fridays,RecurringFactorBased($B45,"Fridays",E$4,E$119),
_xlpm.saturdays,RecurringFactorBased($B45,"Saturdays",E$4,E$119),
_xlpm.sundays,RecurringFactorBased($B45,"Sundays",E$4,E$119),
_xlpm.monthly,RecurringMonthly($B45,E$4),
_xlpm.annual,RecurringAnnual($B45,E$4),
_xlpm.planned,SUMIFS(Planned!$F:$F,Planned!$B:$B,$B45,Planned!$E:$E,"&gt;="&amp;E$4,Planned!$E:$E,"&lt;="&amp;EOMONTH(E$4,0)),
_xlpm.daily+_xlpm.weekdays+_xlpm.mondays+_xlpm.tuesdays+_xlpm.wednesdays+_xlpm.thursdays+_xlpm.fridays+_xlpm.saturdays+_xlpm.sundays+_xlpm.paydays+_xlpm.monthly+_xlpm.annual+_xlpm.planned)</f>
        <v>0</v>
      </c>
      <c r="F45" s="143" cm="1">
        <f t="array" aca="1" ref="F45" ca="1">_xlfn.LET(
_xlpm.daily,RecurringFactorBased($B45,"Daily",F$4,F$119),
_xlpm.weekdays,RecurringFactorBased($B45,"Weekdays",F$4,F$119),
_xlpm.paydays,RecurringFactorBased($B45,"Paydays",F$4,F$119),
_xlpm.mondays,RecurringFactorBased($B45,"Mondays",F$4,F$119),
_xlpm.tuesdays,RecurringFactorBased($B45,"Tuesdays",F$4,F$119),
_xlpm.wednesdays,RecurringFactorBased($B45,"Wednesdays",F$4,F$119),
_xlpm.thursdays,RecurringFactorBased($B45,"Thursdays",F$4,F$119),
_xlpm.fridays,RecurringFactorBased($B45,"Fridays",F$4,F$119),
_xlpm.saturdays,RecurringFactorBased($B45,"Saturdays",F$4,F$119),
_xlpm.sundays,RecurringFactorBased($B45,"Sundays",F$4,F$119),
_xlpm.monthly,RecurringMonthly($B45,F$4),
_xlpm.annual,RecurringAnnual($B45,F$4),
_xlpm.planned,SUMIFS(Planned!$F:$F,Planned!$B:$B,$B45,Planned!$E:$E,"&gt;="&amp;F$4,Planned!$E:$E,"&lt;="&amp;EOMONTH(F$4,0)),
_xlpm.daily+_xlpm.weekdays+_xlpm.mondays+_xlpm.tuesdays+_xlpm.wednesdays+_xlpm.thursdays+_xlpm.fridays+_xlpm.saturdays+_xlpm.sundays+_xlpm.paydays+_xlpm.monthly+_xlpm.annual+_xlpm.planned)</f>
        <v>500</v>
      </c>
      <c r="G45" s="143" cm="1">
        <f t="array" aca="1" ref="G45" ca="1">_xlfn.LET(
_xlpm.daily,RecurringFactorBased($B45,"Daily",G$4,G$119),
_xlpm.weekdays,RecurringFactorBased($B45,"Weekdays",G$4,G$119),
_xlpm.paydays,RecurringFactorBased($B45,"Paydays",G$4,G$119),
_xlpm.mondays,RecurringFactorBased($B45,"Mondays",G$4,G$119),
_xlpm.tuesdays,RecurringFactorBased($B45,"Tuesdays",G$4,G$119),
_xlpm.wednesdays,RecurringFactorBased($B45,"Wednesdays",G$4,G$119),
_xlpm.thursdays,RecurringFactorBased($B45,"Thursdays",G$4,G$119),
_xlpm.fridays,RecurringFactorBased($B45,"Fridays",G$4,G$119),
_xlpm.saturdays,RecurringFactorBased($B45,"Saturdays",G$4,G$119),
_xlpm.sundays,RecurringFactorBased($B45,"Sundays",G$4,G$119),
_xlpm.monthly,RecurringMonthly($B45,G$4),
_xlpm.annual,RecurringAnnual($B45,G$4),
_xlpm.planned,SUMIFS(Planned!$F:$F,Planned!$B:$B,$B45,Planned!$E:$E,"&gt;="&amp;G$4,Planned!$E:$E,"&lt;="&amp;EOMONTH(G$4,0)),
_xlpm.daily+_xlpm.weekdays+_xlpm.mondays+_xlpm.tuesdays+_xlpm.wednesdays+_xlpm.thursdays+_xlpm.fridays+_xlpm.saturdays+_xlpm.sundays+_xlpm.paydays+_xlpm.monthly+_xlpm.annual+_xlpm.planned)</f>
        <v>0</v>
      </c>
      <c r="H45" s="143" cm="1">
        <f t="array" aca="1" ref="H45" ca="1">_xlfn.LET(
_xlpm.daily,RecurringFactorBased($B45,"Daily",H$4,H$119),
_xlpm.weekdays,RecurringFactorBased($B45,"Weekdays",H$4,H$119),
_xlpm.paydays,RecurringFactorBased($B45,"Paydays",H$4,H$119),
_xlpm.mondays,RecurringFactorBased($B45,"Mondays",H$4,H$119),
_xlpm.tuesdays,RecurringFactorBased($B45,"Tuesdays",H$4,H$119),
_xlpm.wednesdays,RecurringFactorBased($B45,"Wednesdays",H$4,H$119),
_xlpm.thursdays,RecurringFactorBased($B45,"Thursdays",H$4,H$119),
_xlpm.fridays,RecurringFactorBased($B45,"Fridays",H$4,H$119),
_xlpm.saturdays,RecurringFactorBased($B45,"Saturdays",H$4,H$119),
_xlpm.sundays,RecurringFactorBased($B45,"Sundays",H$4,H$119),
_xlpm.monthly,RecurringMonthly($B45,H$4),
_xlpm.annual,RecurringAnnual($B45,H$4),
_xlpm.planned,SUMIFS(Planned!$F:$F,Planned!$B:$B,$B45,Planned!$E:$E,"&gt;="&amp;H$4,Planned!$E:$E,"&lt;="&amp;EOMONTH(H$4,0)),
_xlpm.daily+_xlpm.weekdays+_xlpm.mondays+_xlpm.tuesdays+_xlpm.wednesdays+_xlpm.thursdays+_xlpm.fridays+_xlpm.saturdays+_xlpm.sundays+_xlpm.paydays+_xlpm.monthly+_xlpm.annual+_xlpm.planned)</f>
        <v>0</v>
      </c>
      <c r="I45" s="143" cm="1">
        <f t="array" aca="1" ref="I45" ca="1">_xlfn.LET(
_xlpm.daily,RecurringFactorBased($B45,"Daily",I$4,I$119),
_xlpm.weekdays,RecurringFactorBased($B45,"Weekdays",I$4,I$119),
_xlpm.paydays,RecurringFactorBased($B45,"Paydays",I$4,I$119),
_xlpm.mondays,RecurringFactorBased($B45,"Mondays",I$4,I$119),
_xlpm.tuesdays,RecurringFactorBased($B45,"Tuesdays",I$4,I$119),
_xlpm.wednesdays,RecurringFactorBased($B45,"Wednesdays",I$4,I$119),
_xlpm.thursdays,RecurringFactorBased($B45,"Thursdays",I$4,I$119),
_xlpm.fridays,RecurringFactorBased($B45,"Fridays",I$4,I$119),
_xlpm.saturdays,RecurringFactorBased($B45,"Saturdays",I$4,I$119),
_xlpm.sundays,RecurringFactorBased($B45,"Sundays",I$4,I$119),
_xlpm.monthly,RecurringMonthly($B45,I$4),
_xlpm.annual,RecurringAnnual($B45,I$4),
_xlpm.planned,SUMIFS(Planned!$F:$F,Planned!$B:$B,$B45,Planned!$E:$E,"&gt;="&amp;I$4,Planned!$E:$E,"&lt;="&amp;EOMONTH(I$4,0)),
_xlpm.daily+_xlpm.weekdays+_xlpm.mondays+_xlpm.tuesdays+_xlpm.wednesdays+_xlpm.thursdays+_xlpm.fridays+_xlpm.saturdays+_xlpm.sundays+_xlpm.paydays+_xlpm.monthly+_xlpm.annual+_xlpm.planned)</f>
        <v>0</v>
      </c>
      <c r="J45" s="143" cm="1">
        <f t="array" aca="1" ref="J45" ca="1">_xlfn.LET(
_xlpm.daily,RecurringFactorBased($B45,"Daily",J$4,J$119),
_xlpm.weekdays,RecurringFactorBased($B45,"Weekdays",J$4,J$119),
_xlpm.paydays,RecurringFactorBased($B45,"Paydays",J$4,J$119),
_xlpm.mondays,RecurringFactorBased($B45,"Mondays",J$4,J$119),
_xlpm.tuesdays,RecurringFactorBased($B45,"Tuesdays",J$4,J$119),
_xlpm.wednesdays,RecurringFactorBased($B45,"Wednesdays",J$4,J$119),
_xlpm.thursdays,RecurringFactorBased($B45,"Thursdays",J$4,J$119),
_xlpm.fridays,RecurringFactorBased($B45,"Fridays",J$4,J$119),
_xlpm.saturdays,RecurringFactorBased($B45,"Saturdays",J$4,J$119),
_xlpm.sundays,RecurringFactorBased($B45,"Sundays",J$4,J$119),
_xlpm.monthly,RecurringMonthly($B45,J$4),
_xlpm.annual,RecurringAnnual($B45,J$4),
_xlpm.planned,SUMIFS(Planned!$F:$F,Planned!$B:$B,$B45,Planned!$E:$E,"&gt;="&amp;J$4,Planned!$E:$E,"&lt;="&amp;EOMONTH(J$4,0)),
_xlpm.daily+_xlpm.weekdays+_xlpm.mondays+_xlpm.tuesdays+_xlpm.wednesdays+_xlpm.thursdays+_xlpm.fridays+_xlpm.saturdays+_xlpm.sundays+_xlpm.paydays+_xlpm.monthly+_xlpm.annual+_xlpm.planned)</f>
        <v>0</v>
      </c>
      <c r="K45" s="143" cm="1">
        <f t="array" aca="1" ref="K45" ca="1">_xlfn.LET(
_xlpm.daily,RecurringFactorBased($B45,"Daily",K$4,K$119),
_xlpm.weekdays,RecurringFactorBased($B45,"Weekdays",K$4,K$119),
_xlpm.paydays,RecurringFactorBased($B45,"Paydays",K$4,K$119),
_xlpm.mondays,RecurringFactorBased($B45,"Mondays",K$4,K$119),
_xlpm.tuesdays,RecurringFactorBased($B45,"Tuesdays",K$4,K$119),
_xlpm.wednesdays,RecurringFactorBased($B45,"Wednesdays",K$4,K$119),
_xlpm.thursdays,RecurringFactorBased($B45,"Thursdays",K$4,K$119),
_xlpm.fridays,RecurringFactorBased($B45,"Fridays",K$4,K$119),
_xlpm.saturdays,RecurringFactorBased($B45,"Saturdays",K$4,K$119),
_xlpm.sundays,RecurringFactorBased($B45,"Sundays",K$4,K$119),
_xlpm.monthly,RecurringMonthly($B45,K$4),
_xlpm.annual,RecurringAnnual($B45,K$4),
_xlpm.planned,SUMIFS(Planned!$F:$F,Planned!$B:$B,$B45,Planned!$E:$E,"&gt;="&amp;K$4,Planned!$E:$E,"&lt;="&amp;EOMONTH(K$4,0)),
_xlpm.daily+_xlpm.weekdays+_xlpm.mondays+_xlpm.tuesdays+_xlpm.wednesdays+_xlpm.thursdays+_xlpm.fridays+_xlpm.saturdays+_xlpm.sundays+_xlpm.paydays+_xlpm.monthly+_xlpm.annual+_xlpm.planned)</f>
        <v>0</v>
      </c>
      <c r="L45" s="143" cm="1">
        <f t="array" aca="1" ref="L45" ca="1">_xlfn.LET(
_xlpm.daily,RecurringFactorBased($B45,"Daily",L$4,L$119),
_xlpm.weekdays,RecurringFactorBased($B45,"Weekdays",L$4,L$119),
_xlpm.paydays,RecurringFactorBased($B45,"Paydays",L$4,L$119),
_xlpm.mondays,RecurringFactorBased($B45,"Mondays",L$4,L$119),
_xlpm.tuesdays,RecurringFactorBased($B45,"Tuesdays",L$4,L$119),
_xlpm.wednesdays,RecurringFactorBased($B45,"Wednesdays",L$4,L$119),
_xlpm.thursdays,RecurringFactorBased($B45,"Thursdays",L$4,L$119),
_xlpm.fridays,RecurringFactorBased($B45,"Fridays",L$4,L$119),
_xlpm.saturdays,RecurringFactorBased($B45,"Saturdays",L$4,L$119),
_xlpm.sundays,RecurringFactorBased($B45,"Sundays",L$4,L$119),
_xlpm.monthly,RecurringMonthly($B45,L$4),
_xlpm.annual,RecurringAnnual($B45,L$4),
_xlpm.planned,SUMIFS(Planned!$F:$F,Planned!$B:$B,$B45,Planned!$E:$E,"&gt;="&amp;L$4,Planned!$E:$E,"&lt;="&amp;EOMONTH(L$4,0)),
_xlpm.daily+_xlpm.weekdays+_xlpm.mondays+_xlpm.tuesdays+_xlpm.wednesdays+_xlpm.thursdays+_xlpm.fridays+_xlpm.saturdays+_xlpm.sundays+_xlpm.paydays+_xlpm.monthly+_xlpm.annual+_xlpm.planned)</f>
        <v>0</v>
      </c>
      <c r="M45" s="143" cm="1">
        <f t="array" aca="1" ref="M45" ca="1">_xlfn.LET(
_xlpm.daily,RecurringFactorBased($B45,"Daily",M$4,M$119),
_xlpm.weekdays,RecurringFactorBased($B45,"Weekdays",M$4,M$119),
_xlpm.paydays,RecurringFactorBased($B45,"Paydays",M$4,M$119),
_xlpm.mondays,RecurringFactorBased($B45,"Mondays",M$4,M$119),
_xlpm.tuesdays,RecurringFactorBased($B45,"Tuesdays",M$4,M$119),
_xlpm.wednesdays,RecurringFactorBased($B45,"Wednesdays",M$4,M$119),
_xlpm.thursdays,RecurringFactorBased($B45,"Thursdays",M$4,M$119),
_xlpm.fridays,RecurringFactorBased($B45,"Fridays",M$4,M$119),
_xlpm.saturdays,RecurringFactorBased($B45,"Saturdays",M$4,M$119),
_xlpm.sundays,RecurringFactorBased($B45,"Sundays",M$4,M$119),
_xlpm.monthly,RecurringMonthly($B45,M$4),
_xlpm.annual,RecurringAnnual($B45,M$4),
_xlpm.planned,SUMIFS(Planned!$F:$F,Planned!$B:$B,$B45,Planned!$E:$E,"&gt;="&amp;M$4,Planned!$E:$E,"&lt;="&amp;EOMONTH(M$4,0)),
_xlpm.daily+_xlpm.weekdays+_xlpm.mondays+_xlpm.tuesdays+_xlpm.wednesdays+_xlpm.thursdays+_xlpm.fridays+_xlpm.saturdays+_xlpm.sundays+_xlpm.paydays+_xlpm.monthly+_xlpm.annual+_xlpm.planned)</f>
        <v>0</v>
      </c>
      <c r="N45" s="143" cm="1">
        <f t="array" aca="1" ref="N45" ca="1">_xlfn.LET(
_xlpm.daily,RecurringFactorBased($B45,"Daily",N$4,N$119),
_xlpm.weekdays,RecurringFactorBased($B45,"Weekdays",N$4,N$119),
_xlpm.paydays,RecurringFactorBased($B45,"Paydays",N$4,N$119),
_xlpm.mondays,RecurringFactorBased($B45,"Mondays",N$4,N$119),
_xlpm.tuesdays,RecurringFactorBased($B45,"Tuesdays",N$4,N$119),
_xlpm.wednesdays,RecurringFactorBased($B45,"Wednesdays",N$4,N$119),
_xlpm.thursdays,RecurringFactorBased($B45,"Thursdays",N$4,N$119),
_xlpm.fridays,RecurringFactorBased($B45,"Fridays",N$4,N$119),
_xlpm.saturdays,RecurringFactorBased($B45,"Saturdays",N$4,N$119),
_xlpm.sundays,RecurringFactorBased($B45,"Sundays",N$4,N$119),
_xlpm.monthly,RecurringMonthly($B45,N$4),
_xlpm.annual,RecurringAnnual($B45,N$4),
_xlpm.planned,SUMIFS(Planned!$F:$F,Planned!$B:$B,$B45,Planned!$E:$E,"&gt;="&amp;N$4,Planned!$E:$E,"&lt;="&amp;EOMONTH(N$4,0)),
_xlpm.daily+_xlpm.weekdays+_xlpm.mondays+_xlpm.tuesdays+_xlpm.wednesdays+_xlpm.thursdays+_xlpm.fridays+_xlpm.saturdays+_xlpm.sundays+_xlpm.paydays+_xlpm.monthly+_xlpm.annual+_xlpm.planned)</f>
        <v>0</v>
      </c>
      <c r="O45" s="133"/>
      <c r="P45" s="144">
        <f ca="1">SUM(C45:N45)</f>
        <v>500</v>
      </c>
      <c r="Q45" s="80"/>
      <c r="R45" s="202" t="s">
        <v>307</v>
      </c>
      <c r="U45" s="22"/>
    </row>
    <row r="46" spans="1:23" s="51" customFormat="1" ht="5.0999999999999996" customHeight="1" x14ac:dyDescent="0.2">
      <c r="A46" s="64"/>
      <c r="B46" s="102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44"/>
      <c r="Q46" s="82"/>
      <c r="R46" s="202"/>
      <c r="V46" s="52"/>
      <c r="W46" s="53"/>
    </row>
    <row r="47" spans="1:23" ht="12.75" customHeight="1" x14ac:dyDescent="0.2">
      <c r="A47" s="61"/>
      <c r="B47" s="106" t="str">
        <f>"Total "&amp;B41</f>
        <v>Total OTHER INFLOWS</v>
      </c>
      <c r="C47" s="147">
        <f ca="1">SUM(C42:C45)</f>
        <v>10000</v>
      </c>
      <c r="D47" s="147">
        <f t="shared" ref="D47:N47" ca="1" si="12">SUM(D42:D44)</f>
        <v>100</v>
      </c>
      <c r="E47" s="147">
        <f t="shared" ca="1" si="12"/>
        <v>200</v>
      </c>
      <c r="F47" s="147">
        <f t="shared" ca="1" si="12"/>
        <v>0</v>
      </c>
      <c r="G47" s="147">
        <f t="shared" ca="1" si="12"/>
        <v>0</v>
      </c>
      <c r="H47" s="147">
        <f t="shared" ca="1" si="12"/>
        <v>0</v>
      </c>
      <c r="I47" s="147">
        <f t="shared" ca="1" si="12"/>
        <v>0</v>
      </c>
      <c r="J47" s="147">
        <f t="shared" ca="1" si="12"/>
        <v>0</v>
      </c>
      <c r="K47" s="147">
        <f t="shared" ca="1" si="12"/>
        <v>0</v>
      </c>
      <c r="L47" s="147">
        <f t="shared" ca="1" si="12"/>
        <v>0</v>
      </c>
      <c r="M47" s="147">
        <f t="shared" ca="1" si="12"/>
        <v>0</v>
      </c>
      <c r="N47" s="147">
        <f t="shared" ca="1" si="12"/>
        <v>0</v>
      </c>
      <c r="O47" s="147"/>
      <c r="P47" s="148">
        <f ca="1">SUM(P42:P44)</f>
        <v>10300</v>
      </c>
      <c r="Q47" s="79"/>
      <c r="R47" s="202"/>
      <c r="U47" s="22"/>
    </row>
    <row r="48" spans="1:23" ht="5.0999999999999996" customHeight="1" x14ac:dyDescent="0.2">
      <c r="A48" s="61"/>
      <c r="B48" s="100"/>
      <c r="C48" s="140"/>
      <c r="D48" s="140"/>
      <c r="E48" s="140"/>
      <c r="F48" s="140"/>
      <c r="G48" s="140"/>
      <c r="H48" s="140"/>
      <c r="I48" s="140"/>
      <c r="J48" s="140"/>
      <c r="K48" s="140"/>
      <c r="L48" s="140"/>
      <c r="M48" s="140"/>
      <c r="N48" s="140"/>
      <c r="O48" s="140"/>
      <c r="P48" s="140"/>
      <c r="Q48" s="79"/>
      <c r="R48" s="202"/>
    </row>
    <row r="49" spans="1:23" ht="12.75" customHeight="1" x14ac:dyDescent="0.2">
      <c r="A49" s="65"/>
      <c r="B49" s="108" t="s">
        <v>53</v>
      </c>
      <c r="C49" s="149">
        <f t="shared" ref="C49:N49" ca="1" si="13">SUM(C47,C39)</f>
        <v>10000</v>
      </c>
      <c r="D49" s="149">
        <f t="shared" ca="1" si="13"/>
        <v>5168</v>
      </c>
      <c r="E49" s="149">
        <f t="shared" ca="1" si="13"/>
        <v>5218</v>
      </c>
      <c r="F49" s="149">
        <f t="shared" ca="1" si="13"/>
        <v>5154</v>
      </c>
      <c r="G49" s="149">
        <f t="shared" ca="1" si="13"/>
        <v>9704</v>
      </c>
      <c r="H49" s="149">
        <f t="shared" ca="1" si="13"/>
        <v>7631</v>
      </c>
      <c r="I49" s="149">
        <f t="shared" ca="1" si="13"/>
        <v>5154</v>
      </c>
      <c r="J49" s="149">
        <f t="shared" ca="1" si="13"/>
        <v>5204</v>
      </c>
      <c r="K49" s="149">
        <f t="shared" ca="1" si="13"/>
        <v>5154</v>
      </c>
      <c r="L49" s="149">
        <f t="shared" ca="1" si="13"/>
        <v>5154</v>
      </c>
      <c r="M49" s="149">
        <f t="shared" ca="1" si="13"/>
        <v>7681</v>
      </c>
      <c r="N49" s="149">
        <f t="shared" ca="1" si="13"/>
        <v>5154</v>
      </c>
      <c r="O49" s="149"/>
      <c r="P49" s="150">
        <f ca="1">SUM(P47,P39)</f>
        <v>76376</v>
      </c>
      <c r="Q49" s="83"/>
      <c r="R49" s="202"/>
      <c r="U49" s="22"/>
    </row>
    <row r="50" spans="1:23" ht="5.0999999999999996" customHeight="1" x14ac:dyDescent="0.2">
      <c r="A50" s="61"/>
      <c r="B50" s="100"/>
      <c r="C50" s="140"/>
      <c r="D50" s="140"/>
      <c r="E50" s="140"/>
      <c r="F50" s="140"/>
      <c r="G50" s="140"/>
      <c r="H50" s="140"/>
      <c r="I50" s="140"/>
      <c r="J50" s="140"/>
      <c r="K50" s="140"/>
      <c r="L50" s="140"/>
      <c r="M50" s="140"/>
      <c r="N50" s="140"/>
      <c r="O50" s="140"/>
      <c r="P50" s="140"/>
      <c r="Q50" s="79"/>
      <c r="R50" s="202"/>
    </row>
    <row r="51" spans="1:23" s="51" customFormat="1" x14ac:dyDescent="0.2">
      <c r="A51" s="64"/>
      <c r="B51" s="103"/>
      <c r="C51" s="133"/>
      <c r="D51" s="133"/>
      <c r="E51" s="133"/>
      <c r="F51" s="133"/>
      <c r="G51" s="133"/>
      <c r="H51" s="133"/>
      <c r="I51" s="133"/>
      <c r="J51" s="133"/>
      <c r="K51" s="133"/>
      <c r="L51" s="133"/>
      <c r="M51" s="133"/>
      <c r="N51" s="133"/>
      <c r="O51" s="133"/>
      <c r="P51" s="133"/>
      <c r="Q51" s="82"/>
      <c r="R51" s="200"/>
      <c r="V51" s="52"/>
      <c r="W51" s="53"/>
    </row>
    <row r="52" spans="1:23" s="51" customFormat="1" x14ac:dyDescent="0.2">
      <c r="A52" s="64"/>
      <c r="B52" s="103"/>
      <c r="C52" s="133"/>
      <c r="D52" s="133"/>
      <c r="E52" s="133"/>
      <c r="F52" s="133"/>
      <c r="G52" s="133"/>
      <c r="H52" s="133"/>
      <c r="I52" s="133"/>
      <c r="J52" s="133"/>
      <c r="K52" s="133"/>
      <c r="L52" s="133"/>
      <c r="M52" s="133"/>
      <c r="N52" s="133"/>
      <c r="O52" s="133"/>
      <c r="P52" s="133"/>
      <c r="Q52" s="82"/>
      <c r="R52" s="200"/>
      <c r="V52" s="52"/>
      <c r="W52" s="53"/>
    </row>
    <row r="53" spans="1:23" s="51" customFormat="1" x14ac:dyDescent="0.2">
      <c r="A53" s="64"/>
      <c r="B53" s="103"/>
      <c r="C53" s="133"/>
      <c r="D53" s="133"/>
      <c r="E53" s="133"/>
      <c r="F53" s="133"/>
      <c r="G53" s="133"/>
      <c r="H53" s="133"/>
      <c r="I53" s="133"/>
      <c r="J53" s="133"/>
      <c r="K53" s="133"/>
      <c r="L53" s="133"/>
      <c r="M53" s="133"/>
      <c r="N53" s="133"/>
      <c r="O53" s="133"/>
      <c r="P53" s="133"/>
      <c r="Q53" s="82"/>
      <c r="R53" s="200"/>
      <c r="V53" s="52"/>
      <c r="W53" s="53"/>
    </row>
    <row r="54" spans="1:23" s="51" customFormat="1" x14ac:dyDescent="0.2">
      <c r="A54" s="64"/>
      <c r="B54" s="103"/>
      <c r="C54" s="133"/>
      <c r="D54" s="133"/>
      <c r="E54" s="133"/>
      <c r="F54" s="133"/>
      <c r="G54" s="133"/>
      <c r="H54" s="133"/>
      <c r="I54" s="133"/>
      <c r="J54" s="133"/>
      <c r="K54" s="133"/>
      <c r="L54" s="133"/>
      <c r="M54" s="133"/>
      <c r="N54" s="133"/>
      <c r="O54" s="133"/>
      <c r="P54" s="133"/>
      <c r="Q54" s="82"/>
      <c r="R54" s="200"/>
      <c r="V54" s="52"/>
      <c r="W54" s="53"/>
    </row>
    <row r="55" spans="1:23" s="51" customFormat="1" x14ac:dyDescent="0.2">
      <c r="A55" s="64"/>
      <c r="B55" s="103"/>
      <c r="C55" s="133"/>
      <c r="D55" s="133"/>
      <c r="E55" s="133"/>
      <c r="F55" s="133"/>
      <c r="G55" s="133"/>
      <c r="H55" s="133"/>
      <c r="I55" s="133"/>
      <c r="J55" s="133"/>
      <c r="K55" s="133"/>
      <c r="L55" s="133"/>
      <c r="M55" s="133"/>
      <c r="N55" s="133"/>
      <c r="O55" s="133"/>
      <c r="P55" s="133"/>
      <c r="Q55" s="82"/>
      <c r="R55" s="200"/>
      <c r="V55" s="52"/>
      <c r="W55" s="53"/>
    </row>
    <row r="56" spans="1:23" ht="12.75" customHeight="1" x14ac:dyDescent="0.2">
      <c r="A56" s="65"/>
      <c r="B56" s="109"/>
      <c r="C56" s="140"/>
      <c r="D56" s="140"/>
      <c r="E56" s="140"/>
      <c r="F56" s="140"/>
      <c r="G56" s="140"/>
      <c r="H56" s="140"/>
      <c r="I56" s="140"/>
      <c r="J56" s="140"/>
      <c r="K56" s="140"/>
      <c r="L56" s="140"/>
      <c r="M56" s="140"/>
      <c r="N56" s="140"/>
      <c r="O56" s="140"/>
      <c r="P56" s="140"/>
      <c r="Q56" s="83"/>
      <c r="R56" s="202"/>
      <c r="U56" s="22"/>
    </row>
    <row r="57" spans="1:23" ht="12.75" customHeight="1" x14ac:dyDescent="0.2">
      <c r="A57" s="61"/>
      <c r="B57" s="110" t="s">
        <v>112</v>
      </c>
      <c r="C57" s="226"/>
      <c r="D57" s="226"/>
      <c r="E57" s="226"/>
      <c r="F57" s="226"/>
      <c r="G57" s="226"/>
      <c r="H57" s="226"/>
      <c r="I57" s="226"/>
      <c r="J57" s="226"/>
      <c r="K57" s="226"/>
      <c r="L57" s="226"/>
      <c r="M57" s="226"/>
      <c r="N57" s="226"/>
      <c r="O57" s="226"/>
      <c r="P57" s="227"/>
      <c r="Q57" s="79"/>
      <c r="R57" s="202"/>
      <c r="U57" s="22"/>
    </row>
    <row r="58" spans="1:23" ht="12.75" customHeight="1" x14ac:dyDescent="0.2">
      <c r="A58" s="61"/>
      <c r="B58" s="102" t="s">
        <v>61</v>
      </c>
      <c r="C58" s="143" cm="1">
        <f t="array" aca="1" ref="C58" ca="1">_xlfn.LET(
_xlpm.daily,RecurringFactorBased($B58,"Daily",C$4,C$119),
_xlpm.weekdays,RecurringFactorBased($B58,"Weekdays",C$4,C$119),
_xlpm.paydays,RecurringFactorBased($B58,"Paydays",C$4,C$119),
_xlpm.mondays,RecurringFactorBased($B58,"Mondays",C$4,C$119),
_xlpm.tuesdays,RecurringFactorBased($B58,"Tuesdays",C$4,C$119),
_xlpm.wednesdays,RecurringFactorBased($B58,"Wednesdays",C$4,C$119),
_xlpm.thursdays,RecurringFactorBased($B58,"Thursdays",C$4,C$119),
_xlpm.fridays,RecurringFactorBased($B58,"Fridays",C$4,C$119),
_xlpm.saturdays,RecurringFactorBased($B58,"Saturdays",C$4,C$119),
_xlpm.sundays,RecurringFactorBased($B58,"Sundays",C$4,C$119),
_xlpm.monthly,RecurringMonthly($B58,C$4),
_xlpm.annual,RecurringAnnual($B58,C$4),
_xlpm.planned,SUMIFS(Planned!$F:$F,Planned!$B:$B,$B58,Planned!$E:$E,"&gt;="&amp;C$4,Planned!$E:$E,"&lt;="&amp;EOMONTH(C$4,0)),
_xlpm.daily+_xlpm.weekdays+_xlpm.mondays+_xlpm.tuesdays+_xlpm.wednesdays+_xlpm.thursdays+_xlpm.fridays+_xlpm.saturdays+_xlpm.sundays+_xlpm.paydays+_xlpm.monthly+_xlpm.annual+_xlpm.planned)</f>
        <v>1000</v>
      </c>
      <c r="D58" s="143" cm="1">
        <f t="array" aca="1" ref="D58" ca="1">_xlfn.LET(
_xlpm.daily,RecurringFactorBased($B58,"Daily",D$4,D$119),
_xlpm.weekdays,RecurringFactorBased($B58,"Weekdays",D$4,D$119),
_xlpm.paydays,RecurringFactorBased($B58,"Paydays",D$4,D$119),
_xlpm.mondays,RecurringFactorBased($B58,"Mondays",D$4,D$119),
_xlpm.tuesdays,RecurringFactorBased($B58,"Tuesdays",D$4,D$119),
_xlpm.wednesdays,RecurringFactorBased($B58,"Wednesdays",D$4,D$119),
_xlpm.thursdays,RecurringFactorBased($B58,"Thursdays",D$4,D$119),
_xlpm.fridays,RecurringFactorBased($B58,"Fridays",D$4,D$119),
_xlpm.saturdays,RecurringFactorBased($B58,"Saturdays",D$4,D$119),
_xlpm.sundays,RecurringFactorBased($B58,"Sundays",D$4,D$119),
_xlpm.monthly,RecurringMonthly($B58,D$4),
_xlpm.annual,RecurringAnnual($B58,D$4),
_xlpm.planned,SUMIFS(Planned!$F:$F,Planned!$B:$B,$B58,Planned!$E:$E,"&gt;="&amp;D$4,Planned!$E:$E,"&lt;="&amp;EOMONTH(D$4,0)),
_xlpm.daily+_xlpm.weekdays+_xlpm.mondays+_xlpm.tuesdays+_xlpm.wednesdays+_xlpm.thursdays+_xlpm.fridays+_xlpm.saturdays+_xlpm.sundays+_xlpm.paydays+_xlpm.monthly+_xlpm.annual+_xlpm.planned)</f>
        <v>1175</v>
      </c>
      <c r="E58" s="143" cm="1">
        <f t="array" aca="1" ref="E58" ca="1">_xlfn.LET(
_xlpm.daily,RecurringFactorBased($B58,"Daily",E$4,E$119),
_xlpm.weekdays,RecurringFactorBased($B58,"Weekdays",E$4,E$119),
_xlpm.paydays,RecurringFactorBased($B58,"Paydays",E$4,E$119),
_xlpm.mondays,RecurringFactorBased($B58,"Mondays",E$4,E$119),
_xlpm.tuesdays,RecurringFactorBased($B58,"Tuesdays",E$4,E$119),
_xlpm.wednesdays,RecurringFactorBased($B58,"Wednesdays",E$4,E$119),
_xlpm.thursdays,RecurringFactorBased($B58,"Thursdays",E$4,E$119),
_xlpm.fridays,RecurringFactorBased($B58,"Fridays",E$4,E$119),
_xlpm.saturdays,RecurringFactorBased($B58,"Saturdays",E$4,E$119),
_xlpm.sundays,RecurringFactorBased($B58,"Sundays",E$4,E$119),
_xlpm.monthly,RecurringMonthly($B58,E$4),
_xlpm.annual,RecurringAnnual($B58,E$4),
_xlpm.planned,SUMIFS(Planned!$F:$F,Planned!$B:$B,$B58,Planned!$E:$E,"&gt;="&amp;E$4,Planned!$E:$E,"&lt;="&amp;EOMONTH(E$4,0)),
_xlpm.daily+_xlpm.weekdays+_xlpm.mondays+_xlpm.tuesdays+_xlpm.wednesdays+_xlpm.thursdays+_xlpm.fridays+_xlpm.saturdays+_xlpm.sundays+_xlpm.paydays+_xlpm.monthly+_xlpm.annual+_xlpm.planned)</f>
        <v>1175</v>
      </c>
      <c r="F58" s="143" cm="1">
        <f t="array" aca="1" ref="F58" ca="1">_xlfn.LET(
_xlpm.daily,RecurringFactorBased($B58,"Daily",F$4,F$119),
_xlpm.weekdays,RecurringFactorBased($B58,"Weekdays",F$4,F$119),
_xlpm.paydays,RecurringFactorBased($B58,"Paydays",F$4,F$119),
_xlpm.mondays,RecurringFactorBased($B58,"Mondays",F$4,F$119),
_xlpm.tuesdays,RecurringFactorBased($B58,"Tuesdays",F$4,F$119),
_xlpm.wednesdays,RecurringFactorBased($B58,"Wednesdays",F$4,F$119),
_xlpm.thursdays,RecurringFactorBased($B58,"Thursdays",F$4,F$119),
_xlpm.fridays,RecurringFactorBased($B58,"Fridays",F$4,F$119),
_xlpm.saturdays,RecurringFactorBased($B58,"Saturdays",F$4,F$119),
_xlpm.sundays,RecurringFactorBased($B58,"Sundays",F$4,F$119),
_xlpm.monthly,RecurringMonthly($B58,F$4),
_xlpm.annual,RecurringAnnual($B58,F$4),
_xlpm.planned,SUMIFS(Planned!$F:$F,Planned!$B:$B,$B58,Planned!$E:$E,"&gt;="&amp;F$4,Planned!$E:$E,"&lt;="&amp;EOMONTH(F$4,0)),
_xlpm.daily+_xlpm.weekdays+_xlpm.mondays+_xlpm.tuesdays+_xlpm.wednesdays+_xlpm.thursdays+_xlpm.fridays+_xlpm.saturdays+_xlpm.sundays+_xlpm.paydays+_xlpm.monthly+_xlpm.annual+_xlpm.planned)</f>
        <v>1175</v>
      </c>
      <c r="G58" s="143" cm="1">
        <f t="array" aca="1" ref="G58" ca="1">_xlfn.LET(
_xlpm.daily,RecurringFactorBased($B58,"Daily",G$4,G$119),
_xlpm.weekdays,RecurringFactorBased($B58,"Weekdays",G$4,G$119),
_xlpm.paydays,RecurringFactorBased($B58,"Paydays",G$4,G$119),
_xlpm.mondays,RecurringFactorBased($B58,"Mondays",G$4,G$119),
_xlpm.tuesdays,RecurringFactorBased($B58,"Tuesdays",G$4,G$119),
_xlpm.wednesdays,RecurringFactorBased($B58,"Wednesdays",G$4,G$119),
_xlpm.thursdays,RecurringFactorBased($B58,"Thursdays",G$4,G$119),
_xlpm.fridays,RecurringFactorBased($B58,"Fridays",G$4,G$119),
_xlpm.saturdays,RecurringFactorBased($B58,"Saturdays",G$4,G$119),
_xlpm.sundays,RecurringFactorBased($B58,"Sundays",G$4,G$119),
_xlpm.monthly,RecurringMonthly($B58,G$4),
_xlpm.annual,RecurringAnnual($B58,G$4),
_xlpm.planned,SUMIFS(Planned!$F:$F,Planned!$B:$B,$B58,Planned!$E:$E,"&gt;="&amp;G$4,Planned!$E:$E,"&lt;="&amp;EOMONTH(G$4,0)),
_xlpm.daily+_xlpm.weekdays+_xlpm.mondays+_xlpm.tuesdays+_xlpm.wednesdays+_xlpm.thursdays+_xlpm.fridays+_xlpm.saturdays+_xlpm.sundays+_xlpm.paydays+_xlpm.monthly+_xlpm.annual+_xlpm.planned)</f>
        <v>1225</v>
      </c>
      <c r="H58" s="143" cm="1">
        <f t="array" aca="1" ref="H58" ca="1">_xlfn.LET(
_xlpm.daily,RecurringFactorBased($B58,"Daily",H$4,H$119),
_xlpm.weekdays,RecurringFactorBased($B58,"Weekdays",H$4,H$119),
_xlpm.paydays,RecurringFactorBased($B58,"Paydays",H$4,H$119),
_xlpm.mondays,RecurringFactorBased($B58,"Mondays",H$4,H$119),
_xlpm.tuesdays,RecurringFactorBased($B58,"Tuesdays",H$4,H$119),
_xlpm.wednesdays,RecurringFactorBased($B58,"Wednesdays",H$4,H$119),
_xlpm.thursdays,RecurringFactorBased($B58,"Thursdays",H$4,H$119),
_xlpm.fridays,RecurringFactorBased($B58,"Fridays",H$4,H$119),
_xlpm.saturdays,RecurringFactorBased($B58,"Saturdays",H$4,H$119),
_xlpm.sundays,RecurringFactorBased($B58,"Sundays",H$4,H$119),
_xlpm.monthly,RecurringMonthly($B58,H$4),
_xlpm.annual,RecurringAnnual($B58,H$4),
_xlpm.planned,SUMIFS(Planned!$F:$F,Planned!$B:$B,$B58,Planned!$E:$E,"&gt;="&amp;H$4,Planned!$E:$E,"&lt;="&amp;EOMONTH(H$4,0)),
_xlpm.daily+_xlpm.weekdays+_xlpm.mondays+_xlpm.tuesdays+_xlpm.wednesdays+_xlpm.thursdays+_xlpm.fridays+_xlpm.saturdays+_xlpm.sundays+_xlpm.paydays+_xlpm.monthly+_xlpm.annual+_xlpm.planned)</f>
        <v>1225</v>
      </c>
      <c r="I58" s="143" cm="1">
        <f t="array" aca="1" ref="I58" ca="1">_xlfn.LET(
_xlpm.daily,RecurringFactorBased($B58,"Daily",I$4,I$119),
_xlpm.weekdays,RecurringFactorBased($B58,"Weekdays",I$4,I$119),
_xlpm.paydays,RecurringFactorBased($B58,"Paydays",I$4,I$119),
_xlpm.mondays,RecurringFactorBased($B58,"Mondays",I$4,I$119),
_xlpm.tuesdays,RecurringFactorBased($B58,"Tuesdays",I$4,I$119),
_xlpm.wednesdays,RecurringFactorBased($B58,"Wednesdays",I$4,I$119),
_xlpm.thursdays,RecurringFactorBased($B58,"Thursdays",I$4,I$119),
_xlpm.fridays,RecurringFactorBased($B58,"Fridays",I$4,I$119),
_xlpm.saturdays,RecurringFactorBased($B58,"Saturdays",I$4,I$119),
_xlpm.sundays,RecurringFactorBased($B58,"Sundays",I$4,I$119),
_xlpm.monthly,RecurringMonthly($B58,I$4),
_xlpm.annual,RecurringAnnual($B58,I$4),
_xlpm.planned,SUMIFS(Planned!$F:$F,Planned!$B:$B,$B58,Planned!$E:$E,"&gt;="&amp;I$4,Planned!$E:$E,"&lt;="&amp;EOMONTH(I$4,0)),
_xlpm.daily+_xlpm.weekdays+_xlpm.mondays+_xlpm.tuesdays+_xlpm.wednesdays+_xlpm.thursdays+_xlpm.fridays+_xlpm.saturdays+_xlpm.sundays+_xlpm.paydays+_xlpm.monthly+_xlpm.annual+_xlpm.planned)</f>
        <v>1225</v>
      </c>
      <c r="J58" s="143" cm="1">
        <f t="array" aca="1" ref="J58" ca="1">_xlfn.LET(
_xlpm.daily,RecurringFactorBased($B58,"Daily",J$4,J$119),
_xlpm.weekdays,RecurringFactorBased($B58,"Weekdays",J$4,J$119),
_xlpm.paydays,RecurringFactorBased($B58,"Paydays",J$4,J$119),
_xlpm.mondays,RecurringFactorBased($B58,"Mondays",J$4,J$119),
_xlpm.tuesdays,RecurringFactorBased($B58,"Tuesdays",J$4,J$119),
_xlpm.wednesdays,RecurringFactorBased($B58,"Wednesdays",J$4,J$119),
_xlpm.thursdays,RecurringFactorBased($B58,"Thursdays",J$4,J$119),
_xlpm.fridays,RecurringFactorBased($B58,"Fridays",J$4,J$119),
_xlpm.saturdays,RecurringFactorBased($B58,"Saturdays",J$4,J$119),
_xlpm.sundays,RecurringFactorBased($B58,"Sundays",J$4,J$119),
_xlpm.monthly,RecurringMonthly($B58,J$4),
_xlpm.annual,RecurringAnnual($B58,J$4),
_xlpm.planned,SUMIFS(Planned!$F:$F,Planned!$B:$B,$B58,Planned!$E:$E,"&gt;="&amp;J$4,Planned!$E:$E,"&lt;="&amp;EOMONTH(J$4,0)),
_xlpm.daily+_xlpm.weekdays+_xlpm.mondays+_xlpm.tuesdays+_xlpm.wednesdays+_xlpm.thursdays+_xlpm.fridays+_xlpm.saturdays+_xlpm.sundays+_xlpm.paydays+_xlpm.monthly+_xlpm.annual+_xlpm.planned)</f>
        <v>1225</v>
      </c>
      <c r="K58" s="143" cm="1">
        <f t="array" aca="1" ref="K58" ca="1">_xlfn.LET(
_xlpm.daily,RecurringFactorBased($B58,"Daily",K$4,K$119),
_xlpm.weekdays,RecurringFactorBased($B58,"Weekdays",K$4,K$119),
_xlpm.paydays,RecurringFactorBased($B58,"Paydays",K$4,K$119),
_xlpm.mondays,RecurringFactorBased($B58,"Mondays",K$4,K$119),
_xlpm.tuesdays,RecurringFactorBased($B58,"Tuesdays",K$4,K$119),
_xlpm.wednesdays,RecurringFactorBased($B58,"Wednesdays",K$4,K$119),
_xlpm.thursdays,RecurringFactorBased($B58,"Thursdays",K$4,K$119),
_xlpm.fridays,RecurringFactorBased($B58,"Fridays",K$4,K$119),
_xlpm.saturdays,RecurringFactorBased($B58,"Saturdays",K$4,K$119),
_xlpm.sundays,RecurringFactorBased($B58,"Sundays",K$4,K$119),
_xlpm.monthly,RecurringMonthly($B58,K$4),
_xlpm.annual,RecurringAnnual($B58,K$4),
_xlpm.planned,SUMIFS(Planned!$F:$F,Planned!$B:$B,$B58,Planned!$E:$E,"&gt;="&amp;K$4,Planned!$E:$E,"&lt;="&amp;EOMONTH(K$4,0)),
_xlpm.daily+_xlpm.weekdays+_xlpm.mondays+_xlpm.tuesdays+_xlpm.wednesdays+_xlpm.thursdays+_xlpm.fridays+_xlpm.saturdays+_xlpm.sundays+_xlpm.paydays+_xlpm.monthly+_xlpm.annual+_xlpm.planned)</f>
        <v>1225</v>
      </c>
      <c r="L58" s="143" cm="1">
        <f t="array" aca="1" ref="L58" ca="1">_xlfn.LET(
_xlpm.daily,RecurringFactorBased($B58,"Daily",L$4,L$119),
_xlpm.weekdays,RecurringFactorBased($B58,"Weekdays",L$4,L$119),
_xlpm.paydays,RecurringFactorBased($B58,"Paydays",L$4,L$119),
_xlpm.mondays,RecurringFactorBased($B58,"Mondays",L$4,L$119),
_xlpm.tuesdays,RecurringFactorBased($B58,"Tuesdays",L$4,L$119),
_xlpm.wednesdays,RecurringFactorBased($B58,"Wednesdays",L$4,L$119),
_xlpm.thursdays,RecurringFactorBased($B58,"Thursdays",L$4,L$119),
_xlpm.fridays,RecurringFactorBased($B58,"Fridays",L$4,L$119),
_xlpm.saturdays,RecurringFactorBased($B58,"Saturdays",L$4,L$119),
_xlpm.sundays,RecurringFactorBased($B58,"Sundays",L$4,L$119),
_xlpm.monthly,RecurringMonthly($B58,L$4),
_xlpm.annual,RecurringAnnual($B58,L$4),
_xlpm.planned,SUMIFS(Planned!$F:$F,Planned!$B:$B,$B58,Planned!$E:$E,"&gt;="&amp;L$4,Planned!$E:$E,"&lt;="&amp;EOMONTH(L$4,0)),
_xlpm.daily+_xlpm.weekdays+_xlpm.mondays+_xlpm.tuesdays+_xlpm.wednesdays+_xlpm.thursdays+_xlpm.fridays+_xlpm.saturdays+_xlpm.sundays+_xlpm.paydays+_xlpm.monthly+_xlpm.annual+_xlpm.planned)</f>
        <v>1225</v>
      </c>
      <c r="M58" s="143" cm="1">
        <f t="array" aca="1" ref="M58" ca="1">_xlfn.LET(
_xlpm.daily,RecurringFactorBased($B58,"Daily",M$4,M$119),
_xlpm.weekdays,RecurringFactorBased($B58,"Weekdays",M$4,M$119),
_xlpm.paydays,RecurringFactorBased($B58,"Paydays",M$4,M$119),
_xlpm.mondays,RecurringFactorBased($B58,"Mondays",M$4,M$119),
_xlpm.tuesdays,RecurringFactorBased($B58,"Tuesdays",M$4,M$119),
_xlpm.wednesdays,RecurringFactorBased($B58,"Wednesdays",M$4,M$119),
_xlpm.thursdays,RecurringFactorBased($B58,"Thursdays",M$4,M$119),
_xlpm.fridays,RecurringFactorBased($B58,"Fridays",M$4,M$119),
_xlpm.saturdays,RecurringFactorBased($B58,"Saturdays",M$4,M$119),
_xlpm.sundays,RecurringFactorBased($B58,"Sundays",M$4,M$119),
_xlpm.monthly,RecurringMonthly($B58,M$4),
_xlpm.annual,RecurringAnnual($B58,M$4),
_xlpm.planned,SUMIFS(Planned!$F:$F,Planned!$B:$B,$B58,Planned!$E:$E,"&gt;="&amp;M$4,Planned!$E:$E,"&lt;="&amp;EOMONTH(M$4,0)),
_xlpm.daily+_xlpm.weekdays+_xlpm.mondays+_xlpm.tuesdays+_xlpm.wednesdays+_xlpm.thursdays+_xlpm.fridays+_xlpm.saturdays+_xlpm.sundays+_xlpm.paydays+_xlpm.monthly+_xlpm.annual+_xlpm.planned)</f>
        <v>1225</v>
      </c>
      <c r="N58" s="143" cm="1">
        <f t="array" aca="1" ref="N58" ca="1">_xlfn.LET(
_xlpm.daily,RecurringFactorBased($B58,"Daily",N$4,N$119),
_xlpm.weekdays,RecurringFactorBased($B58,"Weekdays",N$4,N$119),
_xlpm.paydays,RecurringFactorBased($B58,"Paydays",N$4,N$119),
_xlpm.mondays,RecurringFactorBased($B58,"Mondays",N$4,N$119),
_xlpm.tuesdays,RecurringFactorBased($B58,"Tuesdays",N$4,N$119),
_xlpm.wednesdays,RecurringFactorBased($B58,"Wednesdays",N$4,N$119),
_xlpm.thursdays,RecurringFactorBased($B58,"Thursdays",N$4,N$119),
_xlpm.fridays,RecurringFactorBased($B58,"Fridays",N$4,N$119),
_xlpm.saturdays,RecurringFactorBased($B58,"Saturdays",N$4,N$119),
_xlpm.sundays,RecurringFactorBased($B58,"Sundays",N$4,N$119),
_xlpm.monthly,RecurringMonthly($B58,N$4),
_xlpm.annual,RecurringAnnual($B58,N$4),
_xlpm.planned,SUMIFS(Planned!$F:$F,Planned!$B:$B,$B58,Planned!$E:$E,"&gt;="&amp;N$4,Planned!$E:$E,"&lt;="&amp;EOMONTH(N$4,0)),
_xlpm.daily+_xlpm.weekdays+_xlpm.mondays+_xlpm.tuesdays+_xlpm.wednesdays+_xlpm.thursdays+_xlpm.fridays+_xlpm.saturdays+_xlpm.sundays+_xlpm.paydays+_xlpm.monthly+_xlpm.annual+_xlpm.planned)</f>
        <v>1225</v>
      </c>
      <c r="O58" s="133"/>
      <c r="P58" s="144">
        <f ca="1">SUM(C58:N58)</f>
        <v>14325</v>
      </c>
      <c r="Q58" s="79"/>
      <c r="R58" s="202"/>
      <c r="U58" s="22"/>
    </row>
    <row r="59" spans="1:23" ht="12.75" customHeight="1" x14ac:dyDescent="0.2">
      <c r="A59" s="63"/>
      <c r="B59" s="102" t="s">
        <v>47</v>
      </c>
      <c r="C59" s="143" cm="1">
        <f t="array" aca="1" ref="C59" ca="1">_xlfn.LET(
_xlpm.daily,RecurringFactorBased($B59,"Daily",C$4,C$119),
_xlpm.weekdays,RecurringFactorBased($B59,"Weekdays",C$4,C$119),
_xlpm.paydays,RecurringFactorBased($B59,"Paydays",C$4,C$119),
_xlpm.mondays,RecurringFactorBased($B59,"Mondays",C$4,C$119),
_xlpm.tuesdays,RecurringFactorBased($B59,"Tuesdays",C$4,C$119),
_xlpm.wednesdays,RecurringFactorBased($B59,"Wednesdays",C$4,C$119),
_xlpm.thursdays,RecurringFactorBased($B59,"Thursdays",C$4,C$119),
_xlpm.fridays,RecurringFactorBased($B59,"Fridays",C$4,C$119),
_xlpm.saturdays,RecurringFactorBased($B59,"Saturdays",C$4,C$119),
_xlpm.sundays,RecurringFactorBased($B59,"Sundays",C$4,C$119),
_xlpm.monthly,RecurringMonthly($B59,C$4),
_xlpm.annual,RecurringAnnual($B59,C$4),
_xlpm.planned,SUMIFS(Planned!$F:$F,Planned!$B:$B,$B59,Planned!$E:$E,"&gt;="&amp;C$4,Planned!$E:$E,"&lt;="&amp;EOMONTH(C$4,0)),
_xlpm.daily+_xlpm.weekdays+_xlpm.mondays+_xlpm.tuesdays+_xlpm.wednesdays+_xlpm.thursdays+_xlpm.fridays+_xlpm.saturdays+_xlpm.sundays+_xlpm.paydays+_xlpm.monthly+_xlpm.annual+_xlpm.planned)</f>
        <v>10</v>
      </c>
      <c r="D59" s="143" cm="1">
        <f t="array" aca="1" ref="D59" ca="1">_xlfn.LET(
_xlpm.daily,RecurringFactorBased($B59,"Daily",D$4,D$119),
_xlpm.weekdays,RecurringFactorBased($B59,"Weekdays",D$4,D$119),
_xlpm.paydays,RecurringFactorBased($B59,"Paydays",D$4,D$119),
_xlpm.mondays,RecurringFactorBased($B59,"Mondays",D$4,D$119),
_xlpm.tuesdays,RecurringFactorBased($B59,"Tuesdays",D$4,D$119),
_xlpm.wednesdays,RecurringFactorBased($B59,"Wednesdays",D$4,D$119),
_xlpm.thursdays,RecurringFactorBased($B59,"Thursdays",D$4,D$119),
_xlpm.fridays,RecurringFactorBased($B59,"Fridays",D$4,D$119),
_xlpm.saturdays,RecurringFactorBased($B59,"Saturdays",D$4,D$119),
_xlpm.sundays,RecurringFactorBased($B59,"Sundays",D$4,D$119),
_xlpm.monthly,RecurringMonthly($B59,D$4),
_xlpm.annual,RecurringAnnual($B59,D$4),
_xlpm.planned,SUMIFS(Planned!$F:$F,Planned!$B:$B,$B59,Planned!$E:$E,"&gt;="&amp;D$4,Planned!$E:$E,"&lt;="&amp;EOMONTH(D$4,0)),
_xlpm.daily+_xlpm.weekdays+_xlpm.mondays+_xlpm.tuesdays+_xlpm.wednesdays+_xlpm.thursdays+_xlpm.fridays+_xlpm.saturdays+_xlpm.sundays+_xlpm.paydays+_xlpm.monthly+_xlpm.annual+_xlpm.planned)</f>
        <v>115</v>
      </c>
      <c r="E59" s="143" cm="1">
        <f t="array" aca="1" ref="E59" ca="1">_xlfn.LET(
_xlpm.daily,RecurringFactorBased($B59,"Daily",E$4,E$119),
_xlpm.weekdays,RecurringFactorBased($B59,"Weekdays",E$4,E$119),
_xlpm.paydays,RecurringFactorBased($B59,"Paydays",E$4,E$119),
_xlpm.mondays,RecurringFactorBased($B59,"Mondays",E$4,E$119),
_xlpm.tuesdays,RecurringFactorBased($B59,"Tuesdays",E$4,E$119),
_xlpm.wednesdays,RecurringFactorBased($B59,"Wednesdays",E$4,E$119),
_xlpm.thursdays,RecurringFactorBased($B59,"Thursdays",E$4,E$119),
_xlpm.fridays,RecurringFactorBased($B59,"Fridays",E$4,E$119),
_xlpm.saturdays,RecurringFactorBased($B59,"Saturdays",E$4,E$119),
_xlpm.sundays,RecurringFactorBased($B59,"Sundays",E$4,E$119),
_xlpm.monthly,RecurringMonthly($B59,E$4),
_xlpm.annual,RecurringAnnual($B59,E$4),
_xlpm.planned,SUMIFS(Planned!$F:$F,Planned!$B:$B,$B59,Planned!$E:$E,"&gt;="&amp;E$4,Planned!$E:$E,"&lt;="&amp;EOMONTH(E$4,0)),
_xlpm.daily+_xlpm.weekdays+_xlpm.mondays+_xlpm.tuesdays+_xlpm.wednesdays+_xlpm.thursdays+_xlpm.fridays+_xlpm.saturdays+_xlpm.sundays+_xlpm.paydays+_xlpm.monthly+_xlpm.annual+_xlpm.planned)</f>
        <v>100</v>
      </c>
      <c r="F59" s="143" cm="1">
        <f t="array" aca="1" ref="F59" ca="1">_xlfn.LET(
_xlpm.daily,RecurringFactorBased($B59,"Daily",F$4,F$119),
_xlpm.weekdays,RecurringFactorBased($B59,"Weekdays",F$4,F$119),
_xlpm.paydays,RecurringFactorBased($B59,"Paydays",F$4,F$119),
_xlpm.mondays,RecurringFactorBased($B59,"Mondays",F$4,F$119),
_xlpm.tuesdays,RecurringFactorBased($B59,"Tuesdays",F$4,F$119),
_xlpm.wednesdays,RecurringFactorBased($B59,"Wednesdays",F$4,F$119),
_xlpm.thursdays,RecurringFactorBased($B59,"Thursdays",F$4,F$119),
_xlpm.fridays,RecurringFactorBased($B59,"Fridays",F$4,F$119),
_xlpm.saturdays,RecurringFactorBased($B59,"Saturdays",F$4,F$119),
_xlpm.sundays,RecurringFactorBased($B59,"Sundays",F$4,F$119),
_xlpm.monthly,RecurringMonthly($B59,F$4),
_xlpm.annual,RecurringAnnual($B59,F$4),
_xlpm.planned,SUMIFS(Planned!$F:$F,Planned!$B:$B,$B59,Planned!$E:$E,"&gt;="&amp;F$4,Planned!$E:$E,"&lt;="&amp;EOMONTH(F$4,0)),
_xlpm.daily+_xlpm.weekdays+_xlpm.mondays+_xlpm.tuesdays+_xlpm.wednesdays+_xlpm.thursdays+_xlpm.fridays+_xlpm.saturdays+_xlpm.sundays+_xlpm.paydays+_xlpm.monthly+_xlpm.annual+_xlpm.planned)</f>
        <v>105</v>
      </c>
      <c r="G59" s="143" cm="1">
        <f t="array" aca="1" ref="G59" ca="1">_xlfn.LET(
_xlpm.daily,RecurringFactorBased($B59,"Daily",G$4,G$119),
_xlpm.weekdays,RecurringFactorBased($B59,"Weekdays",G$4,G$119),
_xlpm.paydays,RecurringFactorBased($B59,"Paydays",G$4,G$119),
_xlpm.mondays,RecurringFactorBased($B59,"Mondays",G$4,G$119),
_xlpm.tuesdays,RecurringFactorBased($B59,"Tuesdays",G$4,G$119),
_xlpm.wednesdays,RecurringFactorBased($B59,"Wednesdays",G$4,G$119),
_xlpm.thursdays,RecurringFactorBased($B59,"Thursdays",G$4,G$119),
_xlpm.fridays,RecurringFactorBased($B59,"Fridays",G$4,G$119),
_xlpm.saturdays,RecurringFactorBased($B59,"Saturdays",G$4,G$119),
_xlpm.sundays,RecurringFactorBased($B59,"Sundays",G$4,G$119),
_xlpm.monthly,RecurringMonthly($B59,G$4),
_xlpm.annual,RecurringAnnual($B59,G$4),
_xlpm.planned,SUMIFS(Planned!$F:$F,Planned!$B:$B,$B59,Planned!$E:$E,"&gt;="&amp;G$4,Planned!$E:$E,"&lt;="&amp;EOMONTH(G$4,0)),
_xlpm.daily+_xlpm.weekdays+_xlpm.mondays+_xlpm.tuesdays+_xlpm.wednesdays+_xlpm.thursdays+_xlpm.fridays+_xlpm.saturdays+_xlpm.sundays+_xlpm.paydays+_xlpm.monthly+_xlpm.annual+_xlpm.planned)</f>
        <v>110</v>
      </c>
      <c r="H59" s="143" cm="1">
        <f t="array" aca="1" ref="H59" ca="1">_xlfn.LET(
_xlpm.daily,RecurringFactorBased($B59,"Daily",H$4,H$119),
_xlpm.weekdays,RecurringFactorBased($B59,"Weekdays",H$4,H$119),
_xlpm.paydays,RecurringFactorBased($B59,"Paydays",H$4,H$119),
_xlpm.mondays,RecurringFactorBased($B59,"Mondays",H$4,H$119),
_xlpm.tuesdays,RecurringFactorBased($B59,"Tuesdays",H$4,H$119),
_xlpm.wednesdays,RecurringFactorBased($B59,"Wednesdays",H$4,H$119),
_xlpm.thursdays,RecurringFactorBased($B59,"Thursdays",H$4,H$119),
_xlpm.fridays,RecurringFactorBased($B59,"Fridays",H$4,H$119),
_xlpm.saturdays,RecurringFactorBased($B59,"Saturdays",H$4,H$119),
_xlpm.sundays,RecurringFactorBased($B59,"Sundays",H$4,H$119),
_xlpm.monthly,RecurringMonthly($B59,H$4),
_xlpm.annual,RecurringAnnual($B59,H$4),
_xlpm.planned,SUMIFS(Planned!$F:$F,Planned!$B:$B,$B59,Planned!$E:$E,"&gt;="&amp;H$4,Planned!$E:$E,"&lt;="&amp;EOMONTH(H$4,0)),
_xlpm.daily+_xlpm.weekdays+_xlpm.mondays+_xlpm.tuesdays+_xlpm.wednesdays+_xlpm.thursdays+_xlpm.fridays+_xlpm.saturdays+_xlpm.sundays+_xlpm.paydays+_xlpm.monthly+_xlpm.annual+_xlpm.planned)</f>
        <v>110</v>
      </c>
      <c r="I59" s="143" cm="1">
        <f t="array" aca="1" ref="I59" ca="1">_xlfn.LET(
_xlpm.daily,RecurringFactorBased($B59,"Daily",I$4,I$119),
_xlpm.weekdays,RecurringFactorBased($B59,"Weekdays",I$4,I$119),
_xlpm.paydays,RecurringFactorBased($B59,"Paydays",I$4,I$119),
_xlpm.mondays,RecurringFactorBased($B59,"Mondays",I$4,I$119),
_xlpm.tuesdays,RecurringFactorBased($B59,"Tuesdays",I$4,I$119),
_xlpm.wednesdays,RecurringFactorBased($B59,"Wednesdays",I$4,I$119),
_xlpm.thursdays,RecurringFactorBased($B59,"Thursdays",I$4,I$119),
_xlpm.fridays,RecurringFactorBased($B59,"Fridays",I$4,I$119),
_xlpm.saturdays,RecurringFactorBased($B59,"Saturdays",I$4,I$119),
_xlpm.sundays,RecurringFactorBased($B59,"Sundays",I$4,I$119),
_xlpm.monthly,RecurringMonthly($B59,I$4),
_xlpm.annual,RecurringAnnual($B59,I$4),
_xlpm.planned,SUMIFS(Planned!$F:$F,Planned!$B:$B,$B59,Planned!$E:$E,"&gt;="&amp;I$4,Planned!$E:$E,"&lt;="&amp;EOMONTH(I$4,0)),
_xlpm.daily+_xlpm.weekdays+_xlpm.mondays+_xlpm.tuesdays+_xlpm.wednesdays+_xlpm.thursdays+_xlpm.fridays+_xlpm.saturdays+_xlpm.sundays+_xlpm.paydays+_xlpm.monthly+_xlpm.annual+_xlpm.planned)</f>
        <v>105</v>
      </c>
      <c r="J59" s="143" cm="1">
        <f t="array" aca="1" ref="J59" ca="1">_xlfn.LET(
_xlpm.daily,RecurringFactorBased($B59,"Daily",J$4,J$119),
_xlpm.weekdays,RecurringFactorBased($B59,"Weekdays",J$4,J$119),
_xlpm.paydays,RecurringFactorBased($B59,"Paydays",J$4,J$119),
_xlpm.mondays,RecurringFactorBased($B59,"Mondays",J$4,J$119),
_xlpm.tuesdays,RecurringFactorBased($B59,"Tuesdays",J$4,J$119),
_xlpm.wednesdays,RecurringFactorBased($B59,"Wednesdays",J$4,J$119),
_xlpm.thursdays,RecurringFactorBased($B59,"Thursdays",J$4,J$119),
_xlpm.fridays,RecurringFactorBased($B59,"Fridays",J$4,J$119),
_xlpm.saturdays,RecurringFactorBased($B59,"Saturdays",J$4,J$119),
_xlpm.sundays,RecurringFactorBased($B59,"Sundays",J$4,J$119),
_xlpm.monthly,RecurringMonthly($B59,J$4),
_xlpm.annual,RecurringAnnual($B59,J$4),
_xlpm.planned,SUMIFS(Planned!$F:$F,Planned!$B:$B,$B59,Planned!$E:$E,"&gt;="&amp;J$4,Planned!$E:$E,"&lt;="&amp;EOMONTH(J$4,0)),
_xlpm.daily+_xlpm.weekdays+_xlpm.mondays+_xlpm.tuesdays+_xlpm.wednesdays+_xlpm.thursdays+_xlpm.fridays+_xlpm.saturdays+_xlpm.sundays+_xlpm.paydays+_xlpm.monthly+_xlpm.annual+_xlpm.planned)</f>
        <v>115</v>
      </c>
      <c r="K59" s="143" cm="1">
        <f t="array" aca="1" ref="K59" ca="1">_xlfn.LET(
_xlpm.daily,RecurringFactorBased($B59,"Daily",K$4,K$119),
_xlpm.weekdays,RecurringFactorBased($B59,"Weekdays",K$4,K$119),
_xlpm.paydays,RecurringFactorBased($B59,"Paydays",K$4,K$119),
_xlpm.mondays,RecurringFactorBased($B59,"Mondays",K$4,K$119),
_xlpm.tuesdays,RecurringFactorBased($B59,"Tuesdays",K$4,K$119),
_xlpm.wednesdays,RecurringFactorBased($B59,"Wednesdays",K$4,K$119),
_xlpm.thursdays,RecurringFactorBased($B59,"Thursdays",K$4,K$119),
_xlpm.fridays,RecurringFactorBased($B59,"Fridays",K$4,K$119),
_xlpm.saturdays,RecurringFactorBased($B59,"Saturdays",K$4,K$119),
_xlpm.sundays,RecurringFactorBased($B59,"Sundays",K$4,K$119),
_xlpm.monthly,RecurringMonthly($B59,K$4),
_xlpm.annual,RecurringAnnual($B59,K$4),
_xlpm.planned,SUMIFS(Planned!$F:$F,Planned!$B:$B,$B59,Planned!$E:$E,"&gt;="&amp;K$4,Planned!$E:$E,"&lt;="&amp;EOMONTH(K$4,0)),
_xlpm.daily+_xlpm.weekdays+_xlpm.mondays+_xlpm.tuesdays+_xlpm.wednesdays+_xlpm.thursdays+_xlpm.fridays+_xlpm.saturdays+_xlpm.sundays+_xlpm.paydays+_xlpm.monthly+_xlpm.annual+_xlpm.planned)</f>
        <v>105</v>
      </c>
      <c r="L59" s="143" cm="1">
        <f t="array" aca="1" ref="L59" ca="1">_xlfn.LET(
_xlpm.daily,RecurringFactorBased($B59,"Daily",L$4,L$119),
_xlpm.weekdays,RecurringFactorBased($B59,"Weekdays",L$4,L$119),
_xlpm.paydays,RecurringFactorBased($B59,"Paydays",L$4,L$119),
_xlpm.mondays,RecurringFactorBased($B59,"Mondays",L$4,L$119),
_xlpm.tuesdays,RecurringFactorBased($B59,"Tuesdays",L$4,L$119),
_xlpm.wednesdays,RecurringFactorBased($B59,"Wednesdays",L$4,L$119),
_xlpm.thursdays,RecurringFactorBased($B59,"Thursdays",L$4,L$119),
_xlpm.fridays,RecurringFactorBased($B59,"Fridays",L$4,L$119),
_xlpm.saturdays,RecurringFactorBased($B59,"Saturdays",L$4,L$119),
_xlpm.sundays,RecurringFactorBased($B59,"Sundays",L$4,L$119),
_xlpm.monthly,RecurringMonthly($B59,L$4),
_xlpm.annual,RecurringAnnual($B59,L$4),
_xlpm.planned,SUMIFS(Planned!$F:$F,Planned!$B:$B,$B59,Planned!$E:$E,"&gt;="&amp;L$4,Planned!$E:$E,"&lt;="&amp;EOMONTH(L$4,0)),
_xlpm.daily+_xlpm.weekdays+_xlpm.mondays+_xlpm.tuesdays+_xlpm.wednesdays+_xlpm.thursdays+_xlpm.fridays+_xlpm.saturdays+_xlpm.sundays+_xlpm.paydays+_xlpm.monthly+_xlpm.annual+_xlpm.planned)</f>
        <v>110</v>
      </c>
      <c r="M59" s="143" cm="1">
        <f t="array" aca="1" ref="M59" ca="1">_xlfn.LET(
_xlpm.daily,RecurringFactorBased($B59,"Daily",M$4,M$119),
_xlpm.weekdays,RecurringFactorBased($B59,"Weekdays",M$4,M$119),
_xlpm.paydays,RecurringFactorBased($B59,"Paydays",M$4,M$119),
_xlpm.mondays,RecurringFactorBased($B59,"Mondays",M$4,M$119),
_xlpm.tuesdays,RecurringFactorBased($B59,"Tuesdays",M$4,M$119),
_xlpm.wednesdays,RecurringFactorBased($B59,"Wednesdays",M$4,M$119),
_xlpm.thursdays,RecurringFactorBased($B59,"Thursdays",M$4,M$119),
_xlpm.fridays,RecurringFactorBased($B59,"Fridays",M$4,M$119),
_xlpm.saturdays,RecurringFactorBased($B59,"Saturdays",M$4,M$119),
_xlpm.sundays,RecurringFactorBased($B59,"Sundays",M$4,M$119),
_xlpm.monthly,RecurringMonthly($B59,M$4),
_xlpm.annual,RecurringAnnual($B59,M$4),
_xlpm.planned,SUMIFS(Planned!$F:$F,Planned!$B:$B,$B59,Planned!$E:$E,"&gt;="&amp;M$4,Planned!$E:$E,"&lt;="&amp;EOMONTH(M$4,0)),
_xlpm.daily+_xlpm.weekdays+_xlpm.mondays+_xlpm.tuesdays+_xlpm.wednesdays+_xlpm.thursdays+_xlpm.fridays+_xlpm.saturdays+_xlpm.sundays+_xlpm.paydays+_xlpm.monthly+_xlpm.annual+_xlpm.planned)</f>
        <v>115</v>
      </c>
      <c r="N59" s="143" cm="1">
        <f t="array" aca="1" ref="N59" ca="1">_xlfn.LET(
_xlpm.daily,RecurringFactorBased($B59,"Daily",N$4,N$119),
_xlpm.weekdays,RecurringFactorBased($B59,"Weekdays",N$4,N$119),
_xlpm.paydays,RecurringFactorBased($B59,"Paydays",N$4,N$119),
_xlpm.mondays,RecurringFactorBased($B59,"Mondays",N$4,N$119),
_xlpm.tuesdays,RecurringFactorBased($B59,"Tuesdays",N$4,N$119),
_xlpm.wednesdays,RecurringFactorBased($B59,"Wednesdays",N$4,N$119),
_xlpm.thursdays,RecurringFactorBased($B59,"Thursdays",N$4,N$119),
_xlpm.fridays,RecurringFactorBased($B59,"Fridays",N$4,N$119),
_xlpm.saturdays,RecurringFactorBased($B59,"Saturdays",N$4,N$119),
_xlpm.sundays,RecurringFactorBased($B59,"Sundays",N$4,N$119),
_xlpm.monthly,RecurringMonthly($B59,N$4),
_xlpm.annual,RecurringAnnual($B59,N$4),
_xlpm.planned,SUMIFS(Planned!$F:$F,Planned!$B:$B,$B59,Planned!$E:$E,"&gt;="&amp;N$4,Planned!$E:$E,"&lt;="&amp;EOMONTH(N$4,0)),
_xlpm.daily+_xlpm.weekdays+_xlpm.mondays+_xlpm.tuesdays+_xlpm.wednesdays+_xlpm.thursdays+_xlpm.fridays+_xlpm.saturdays+_xlpm.sundays+_xlpm.paydays+_xlpm.monthly+_xlpm.annual+_xlpm.planned)</f>
        <v>100</v>
      </c>
      <c r="O59" s="133"/>
      <c r="P59" s="144">
        <f ca="1">SUM(C59:N59)</f>
        <v>1200</v>
      </c>
      <c r="Q59" s="80"/>
      <c r="R59" s="202"/>
      <c r="U59" s="22"/>
    </row>
    <row r="60" spans="1:23" ht="12.75" customHeight="1" x14ac:dyDescent="0.2">
      <c r="A60" s="61"/>
      <c r="B60" s="111" t="s">
        <v>21</v>
      </c>
      <c r="C60" s="143" cm="1">
        <f t="array" aca="1" ref="C60" ca="1">_xlfn.LET(
_xlpm.daily,RecurringFactorBased($B60,"Daily",C$4,C$119),
_xlpm.weekdays,RecurringFactorBased($B60,"Weekdays",C$4,C$119),
_xlpm.paydays,RecurringFactorBased($B60,"Paydays",C$4,C$119),
_xlpm.mondays,RecurringFactorBased($B60,"Mondays",C$4,C$119),
_xlpm.tuesdays,RecurringFactorBased($B60,"Tuesdays",C$4,C$119),
_xlpm.wednesdays,RecurringFactorBased($B60,"Wednesdays",C$4,C$119),
_xlpm.thursdays,RecurringFactorBased($B60,"Thursdays",C$4,C$119),
_xlpm.fridays,RecurringFactorBased($B60,"Fridays",C$4,C$119),
_xlpm.saturdays,RecurringFactorBased($B60,"Saturdays",C$4,C$119),
_xlpm.sundays,RecurringFactorBased($B60,"Sundays",C$4,C$119),
_xlpm.monthly,RecurringMonthly($B60,C$4),
_xlpm.annual,RecurringAnnual($B60,C$4),
_xlpm.planned,SUMIFS(Planned!$F:$F,Planned!$B:$B,$B60,Planned!$E:$E,"&gt;="&amp;C$4,Planned!$E:$E,"&lt;="&amp;EOMONTH(C$4,0)),
_xlpm.daily+_xlpm.weekdays+_xlpm.mondays+_xlpm.tuesdays+_xlpm.wednesdays+_xlpm.thursdays+_xlpm.fridays+_xlpm.saturdays+_xlpm.sundays+_xlpm.paydays+_xlpm.monthly+_xlpm.annual+_xlpm.planned)</f>
        <v>0</v>
      </c>
      <c r="D60" s="143" cm="1">
        <f t="array" aca="1" ref="D60" ca="1">_xlfn.LET(
_xlpm.daily,RecurringFactorBased($B60,"Daily",D$4,D$119),
_xlpm.weekdays,RecurringFactorBased($B60,"Weekdays",D$4,D$119),
_xlpm.paydays,RecurringFactorBased($B60,"Paydays",D$4,D$119),
_xlpm.mondays,RecurringFactorBased($B60,"Mondays",D$4,D$119),
_xlpm.tuesdays,RecurringFactorBased($B60,"Tuesdays",D$4,D$119),
_xlpm.wednesdays,RecurringFactorBased($B60,"Wednesdays",D$4,D$119),
_xlpm.thursdays,RecurringFactorBased($B60,"Thursdays",D$4,D$119),
_xlpm.fridays,RecurringFactorBased($B60,"Fridays",D$4,D$119),
_xlpm.saturdays,RecurringFactorBased($B60,"Saturdays",D$4,D$119),
_xlpm.sundays,RecurringFactorBased($B60,"Sundays",D$4,D$119),
_xlpm.monthly,RecurringMonthly($B60,D$4),
_xlpm.annual,RecurringAnnual($B60,D$4),
_xlpm.planned,SUMIFS(Planned!$F:$F,Planned!$B:$B,$B60,Planned!$E:$E,"&gt;="&amp;D$4,Planned!$E:$E,"&lt;="&amp;EOMONTH(D$4,0)),
_xlpm.daily+_xlpm.weekdays+_xlpm.mondays+_xlpm.tuesdays+_xlpm.wednesdays+_xlpm.thursdays+_xlpm.fridays+_xlpm.saturdays+_xlpm.sundays+_xlpm.paydays+_xlpm.monthly+_xlpm.annual+_xlpm.planned)</f>
        <v>0</v>
      </c>
      <c r="E60" s="143" cm="1">
        <f t="array" aca="1" ref="E60" ca="1">_xlfn.LET(
_xlpm.daily,RecurringFactorBased($B60,"Daily",E$4,E$119),
_xlpm.weekdays,RecurringFactorBased($B60,"Weekdays",E$4,E$119),
_xlpm.paydays,RecurringFactorBased($B60,"Paydays",E$4,E$119),
_xlpm.mondays,RecurringFactorBased($B60,"Mondays",E$4,E$119),
_xlpm.tuesdays,RecurringFactorBased($B60,"Tuesdays",E$4,E$119),
_xlpm.wednesdays,RecurringFactorBased($B60,"Wednesdays",E$4,E$119),
_xlpm.thursdays,RecurringFactorBased($B60,"Thursdays",E$4,E$119),
_xlpm.fridays,RecurringFactorBased($B60,"Fridays",E$4,E$119),
_xlpm.saturdays,RecurringFactorBased($B60,"Saturdays",E$4,E$119),
_xlpm.sundays,RecurringFactorBased($B60,"Sundays",E$4,E$119),
_xlpm.monthly,RecurringMonthly($B60,E$4),
_xlpm.annual,RecurringAnnual($B60,E$4),
_xlpm.planned,SUMIFS(Planned!$F:$F,Planned!$B:$B,$B60,Planned!$E:$E,"&gt;="&amp;E$4,Planned!$E:$E,"&lt;="&amp;EOMONTH(E$4,0)),
_xlpm.daily+_xlpm.weekdays+_xlpm.mondays+_xlpm.tuesdays+_xlpm.wednesdays+_xlpm.thursdays+_xlpm.fridays+_xlpm.saturdays+_xlpm.sundays+_xlpm.paydays+_xlpm.monthly+_xlpm.annual+_xlpm.planned)</f>
        <v>0</v>
      </c>
      <c r="F60" s="143" cm="1">
        <f t="array" aca="1" ref="F60" ca="1">_xlfn.LET(
_xlpm.daily,RecurringFactorBased($B60,"Daily",F$4,F$119),
_xlpm.weekdays,RecurringFactorBased($B60,"Weekdays",F$4,F$119),
_xlpm.paydays,RecurringFactorBased($B60,"Paydays",F$4,F$119),
_xlpm.mondays,RecurringFactorBased($B60,"Mondays",F$4,F$119),
_xlpm.tuesdays,RecurringFactorBased($B60,"Tuesdays",F$4,F$119),
_xlpm.wednesdays,RecurringFactorBased($B60,"Wednesdays",F$4,F$119),
_xlpm.thursdays,RecurringFactorBased($B60,"Thursdays",F$4,F$119),
_xlpm.fridays,RecurringFactorBased($B60,"Fridays",F$4,F$119),
_xlpm.saturdays,RecurringFactorBased($B60,"Saturdays",F$4,F$119),
_xlpm.sundays,RecurringFactorBased($B60,"Sundays",F$4,F$119),
_xlpm.monthly,RecurringMonthly($B60,F$4),
_xlpm.annual,RecurringAnnual($B60,F$4),
_xlpm.planned,SUMIFS(Planned!$F:$F,Planned!$B:$B,$B60,Planned!$E:$E,"&gt;="&amp;F$4,Planned!$E:$E,"&lt;="&amp;EOMONTH(F$4,0)),
_xlpm.daily+_xlpm.weekdays+_xlpm.mondays+_xlpm.tuesdays+_xlpm.wednesdays+_xlpm.thursdays+_xlpm.fridays+_xlpm.saturdays+_xlpm.sundays+_xlpm.paydays+_xlpm.monthly+_xlpm.annual+_xlpm.planned)</f>
        <v>0</v>
      </c>
      <c r="G60" s="143" cm="1">
        <f t="array" aca="1" ref="G60" ca="1">_xlfn.LET(
_xlpm.daily,RecurringFactorBased($B60,"Daily",G$4,G$119),
_xlpm.weekdays,RecurringFactorBased($B60,"Weekdays",G$4,G$119),
_xlpm.paydays,RecurringFactorBased($B60,"Paydays",G$4,G$119),
_xlpm.mondays,RecurringFactorBased($B60,"Mondays",G$4,G$119),
_xlpm.tuesdays,RecurringFactorBased($B60,"Tuesdays",G$4,G$119),
_xlpm.wednesdays,RecurringFactorBased($B60,"Wednesdays",G$4,G$119),
_xlpm.thursdays,RecurringFactorBased($B60,"Thursdays",G$4,G$119),
_xlpm.fridays,RecurringFactorBased($B60,"Fridays",G$4,G$119),
_xlpm.saturdays,RecurringFactorBased($B60,"Saturdays",G$4,G$119),
_xlpm.sundays,RecurringFactorBased($B60,"Sundays",G$4,G$119),
_xlpm.monthly,RecurringMonthly($B60,G$4),
_xlpm.annual,RecurringAnnual($B60,G$4),
_xlpm.planned,SUMIFS(Planned!$F:$F,Planned!$B:$B,$B60,Planned!$E:$E,"&gt;="&amp;G$4,Planned!$E:$E,"&lt;="&amp;EOMONTH(G$4,0)),
_xlpm.daily+_xlpm.weekdays+_xlpm.mondays+_xlpm.tuesdays+_xlpm.wednesdays+_xlpm.thursdays+_xlpm.fridays+_xlpm.saturdays+_xlpm.sundays+_xlpm.paydays+_xlpm.monthly+_xlpm.annual+_xlpm.planned)</f>
        <v>0</v>
      </c>
      <c r="H60" s="143" cm="1">
        <f t="array" aca="1" ref="H60" ca="1">_xlfn.LET(
_xlpm.daily,RecurringFactorBased($B60,"Daily",H$4,H$119),
_xlpm.weekdays,RecurringFactorBased($B60,"Weekdays",H$4,H$119),
_xlpm.paydays,RecurringFactorBased($B60,"Paydays",H$4,H$119),
_xlpm.mondays,RecurringFactorBased($B60,"Mondays",H$4,H$119),
_xlpm.tuesdays,RecurringFactorBased($B60,"Tuesdays",H$4,H$119),
_xlpm.wednesdays,RecurringFactorBased($B60,"Wednesdays",H$4,H$119),
_xlpm.thursdays,RecurringFactorBased($B60,"Thursdays",H$4,H$119),
_xlpm.fridays,RecurringFactorBased($B60,"Fridays",H$4,H$119),
_xlpm.saturdays,RecurringFactorBased($B60,"Saturdays",H$4,H$119),
_xlpm.sundays,RecurringFactorBased($B60,"Sundays",H$4,H$119),
_xlpm.monthly,RecurringMonthly($B60,H$4),
_xlpm.annual,RecurringAnnual($B60,H$4),
_xlpm.planned,SUMIFS(Planned!$F:$F,Planned!$B:$B,$B60,Planned!$E:$E,"&gt;="&amp;H$4,Planned!$E:$E,"&lt;="&amp;EOMONTH(H$4,0)),
_xlpm.daily+_xlpm.weekdays+_xlpm.mondays+_xlpm.tuesdays+_xlpm.wednesdays+_xlpm.thursdays+_xlpm.fridays+_xlpm.saturdays+_xlpm.sundays+_xlpm.paydays+_xlpm.monthly+_xlpm.annual+_xlpm.planned)</f>
        <v>0</v>
      </c>
      <c r="I60" s="143" cm="1">
        <f t="array" aca="1" ref="I60" ca="1">_xlfn.LET(
_xlpm.daily,RecurringFactorBased($B60,"Daily",I$4,I$119),
_xlpm.weekdays,RecurringFactorBased($B60,"Weekdays",I$4,I$119),
_xlpm.paydays,RecurringFactorBased($B60,"Paydays",I$4,I$119),
_xlpm.mondays,RecurringFactorBased($B60,"Mondays",I$4,I$119),
_xlpm.tuesdays,RecurringFactorBased($B60,"Tuesdays",I$4,I$119),
_xlpm.wednesdays,RecurringFactorBased($B60,"Wednesdays",I$4,I$119),
_xlpm.thursdays,RecurringFactorBased($B60,"Thursdays",I$4,I$119),
_xlpm.fridays,RecurringFactorBased($B60,"Fridays",I$4,I$119),
_xlpm.saturdays,RecurringFactorBased($B60,"Saturdays",I$4,I$119),
_xlpm.sundays,RecurringFactorBased($B60,"Sundays",I$4,I$119),
_xlpm.monthly,RecurringMonthly($B60,I$4),
_xlpm.annual,RecurringAnnual($B60,I$4),
_xlpm.planned,SUMIFS(Planned!$F:$F,Planned!$B:$B,$B60,Planned!$E:$E,"&gt;="&amp;I$4,Planned!$E:$E,"&lt;="&amp;EOMONTH(I$4,0)),
_xlpm.daily+_xlpm.weekdays+_xlpm.mondays+_xlpm.tuesdays+_xlpm.wednesdays+_xlpm.thursdays+_xlpm.fridays+_xlpm.saturdays+_xlpm.sundays+_xlpm.paydays+_xlpm.monthly+_xlpm.annual+_xlpm.planned)</f>
        <v>0</v>
      </c>
      <c r="J60" s="143" cm="1">
        <f t="array" aca="1" ref="J60" ca="1">_xlfn.LET(
_xlpm.daily,RecurringFactorBased($B60,"Daily",J$4,J$119),
_xlpm.weekdays,RecurringFactorBased($B60,"Weekdays",J$4,J$119),
_xlpm.paydays,RecurringFactorBased($B60,"Paydays",J$4,J$119),
_xlpm.mondays,RecurringFactorBased($B60,"Mondays",J$4,J$119),
_xlpm.tuesdays,RecurringFactorBased($B60,"Tuesdays",J$4,J$119),
_xlpm.wednesdays,RecurringFactorBased($B60,"Wednesdays",J$4,J$119),
_xlpm.thursdays,RecurringFactorBased($B60,"Thursdays",J$4,J$119),
_xlpm.fridays,RecurringFactorBased($B60,"Fridays",J$4,J$119),
_xlpm.saturdays,RecurringFactorBased($B60,"Saturdays",J$4,J$119),
_xlpm.sundays,RecurringFactorBased($B60,"Sundays",J$4,J$119),
_xlpm.monthly,RecurringMonthly($B60,J$4),
_xlpm.annual,RecurringAnnual($B60,J$4),
_xlpm.planned,SUMIFS(Planned!$F:$F,Planned!$B:$B,$B60,Planned!$E:$E,"&gt;="&amp;J$4,Planned!$E:$E,"&lt;="&amp;EOMONTH(J$4,0)),
_xlpm.daily+_xlpm.weekdays+_xlpm.mondays+_xlpm.tuesdays+_xlpm.wednesdays+_xlpm.thursdays+_xlpm.fridays+_xlpm.saturdays+_xlpm.sundays+_xlpm.paydays+_xlpm.monthly+_xlpm.annual+_xlpm.planned)</f>
        <v>0</v>
      </c>
      <c r="K60" s="143" cm="1">
        <f t="array" aca="1" ref="K60" ca="1">_xlfn.LET(
_xlpm.daily,RecurringFactorBased($B60,"Daily",K$4,K$119),
_xlpm.weekdays,RecurringFactorBased($B60,"Weekdays",K$4,K$119),
_xlpm.paydays,RecurringFactorBased($B60,"Paydays",K$4,K$119),
_xlpm.mondays,RecurringFactorBased($B60,"Mondays",K$4,K$119),
_xlpm.tuesdays,RecurringFactorBased($B60,"Tuesdays",K$4,K$119),
_xlpm.wednesdays,RecurringFactorBased($B60,"Wednesdays",K$4,K$119),
_xlpm.thursdays,RecurringFactorBased($B60,"Thursdays",K$4,K$119),
_xlpm.fridays,RecurringFactorBased($B60,"Fridays",K$4,K$119),
_xlpm.saturdays,RecurringFactorBased($B60,"Saturdays",K$4,K$119),
_xlpm.sundays,RecurringFactorBased($B60,"Sundays",K$4,K$119),
_xlpm.monthly,RecurringMonthly($B60,K$4),
_xlpm.annual,RecurringAnnual($B60,K$4),
_xlpm.planned,SUMIFS(Planned!$F:$F,Planned!$B:$B,$B60,Planned!$E:$E,"&gt;="&amp;K$4,Planned!$E:$E,"&lt;="&amp;EOMONTH(K$4,0)),
_xlpm.daily+_xlpm.weekdays+_xlpm.mondays+_xlpm.tuesdays+_xlpm.wednesdays+_xlpm.thursdays+_xlpm.fridays+_xlpm.saturdays+_xlpm.sundays+_xlpm.paydays+_xlpm.monthly+_xlpm.annual+_xlpm.planned)</f>
        <v>0</v>
      </c>
      <c r="L60" s="143" cm="1">
        <f t="array" aca="1" ref="L60" ca="1">_xlfn.LET(
_xlpm.daily,RecurringFactorBased($B60,"Daily",L$4,L$119),
_xlpm.weekdays,RecurringFactorBased($B60,"Weekdays",L$4,L$119),
_xlpm.paydays,RecurringFactorBased($B60,"Paydays",L$4,L$119),
_xlpm.mondays,RecurringFactorBased($B60,"Mondays",L$4,L$119),
_xlpm.tuesdays,RecurringFactorBased($B60,"Tuesdays",L$4,L$119),
_xlpm.wednesdays,RecurringFactorBased($B60,"Wednesdays",L$4,L$119),
_xlpm.thursdays,RecurringFactorBased($B60,"Thursdays",L$4,L$119),
_xlpm.fridays,RecurringFactorBased($B60,"Fridays",L$4,L$119),
_xlpm.saturdays,RecurringFactorBased($B60,"Saturdays",L$4,L$119),
_xlpm.sundays,RecurringFactorBased($B60,"Sundays",L$4,L$119),
_xlpm.monthly,RecurringMonthly($B60,L$4),
_xlpm.annual,RecurringAnnual($B60,L$4),
_xlpm.planned,SUMIFS(Planned!$F:$F,Planned!$B:$B,$B60,Planned!$E:$E,"&gt;="&amp;L$4,Planned!$E:$E,"&lt;="&amp;EOMONTH(L$4,0)),
_xlpm.daily+_xlpm.weekdays+_xlpm.mondays+_xlpm.tuesdays+_xlpm.wednesdays+_xlpm.thursdays+_xlpm.fridays+_xlpm.saturdays+_xlpm.sundays+_xlpm.paydays+_xlpm.monthly+_xlpm.annual+_xlpm.planned)</f>
        <v>0</v>
      </c>
      <c r="M60" s="143" cm="1">
        <f t="array" aca="1" ref="M60" ca="1">_xlfn.LET(
_xlpm.daily,RecurringFactorBased($B60,"Daily",M$4,M$119),
_xlpm.weekdays,RecurringFactorBased($B60,"Weekdays",M$4,M$119),
_xlpm.paydays,RecurringFactorBased($B60,"Paydays",M$4,M$119),
_xlpm.mondays,RecurringFactorBased($B60,"Mondays",M$4,M$119),
_xlpm.tuesdays,RecurringFactorBased($B60,"Tuesdays",M$4,M$119),
_xlpm.wednesdays,RecurringFactorBased($B60,"Wednesdays",M$4,M$119),
_xlpm.thursdays,RecurringFactorBased($B60,"Thursdays",M$4,M$119),
_xlpm.fridays,RecurringFactorBased($B60,"Fridays",M$4,M$119),
_xlpm.saturdays,RecurringFactorBased($B60,"Saturdays",M$4,M$119),
_xlpm.sundays,RecurringFactorBased($B60,"Sundays",M$4,M$119),
_xlpm.monthly,RecurringMonthly($B60,M$4),
_xlpm.annual,RecurringAnnual($B60,M$4),
_xlpm.planned,SUMIFS(Planned!$F:$F,Planned!$B:$B,$B60,Planned!$E:$E,"&gt;="&amp;M$4,Planned!$E:$E,"&lt;="&amp;EOMONTH(M$4,0)),
_xlpm.daily+_xlpm.weekdays+_xlpm.mondays+_xlpm.tuesdays+_xlpm.wednesdays+_xlpm.thursdays+_xlpm.fridays+_xlpm.saturdays+_xlpm.sundays+_xlpm.paydays+_xlpm.monthly+_xlpm.annual+_xlpm.planned)</f>
        <v>0</v>
      </c>
      <c r="N60" s="143" cm="1">
        <f t="array" aca="1" ref="N60" ca="1">_xlfn.LET(
_xlpm.daily,RecurringFactorBased($B60,"Daily",N$4,N$119),
_xlpm.weekdays,RecurringFactorBased($B60,"Weekdays",N$4,N$119),
_xlpm.paydays,RecurringFactorBased($B60,"Paydays",N$4,N$119),
_xlpm.mondays,RecurringFactorBased($B60,"Mondays",N$4,N$119),
_xlpm.tuesdays,RecurringFactorBased($B60,"Tuesdays",N$4,N$119),
_xlpm.wednesdays,RecurringFactorBased($B60,"Wednesdays",N$4,N$119),
_xlpm.thursdays,RecurringFactorBased($B60,"Thursdays",N$4,N$119),
_xlpm.fridays,RecurringFactorBased($B60,"Fridays",N$4,N$119),
_xlpm.saturdays,RecurringFactorBased($B60,"Saturdays",N$4,N$119),
_xlpm.sundays,RecurringFactorBased($B60,"Sundays",N$4,N$119),
_xlpm.monthly,RecurringMonthly($B60,N$4),
_xlpm.annual,RecurringAnnual($B60,N$4),
_xlpm.planned,SUMIFS(Planned!$F:$F,Planned!$B:$B,$B60,Planned!$E:$E,"&gt;="&amp;N$4,Planned!$E:$E,"&lt;="&amp;EOMONTH(N$4,0)),
_xlpm.daily+_xlpm.weekdays+_xlpm.mondays+_xlpm.tuesdays+_xlpm.wednesdays+_xlpm.thursdays+_xlpm.fridays+_xlpm.saturdays+_xlpm.sundays+_xlpm.paydays+_xlpm.monthly+_xlpm.annual+_xlpm.planned)</f>
        <v>0</v>
      </c>
      <c r="O60" s="133"/>
      <c r="P60" s="144">
        <f ca="1">SUM(C60:N60)</f>
        <v>0</v>
      </c>
      <c r="Q60" s="79"/>
      <c r="R60" s="202"/>
      <c r="U60" s="22"/>
    </row>
    <row r="61" spans="1:23" ht="12.75" customHeight="1" x14ac:dyDescent="0.2">
      <c r="A61" s="61"/>
      <c r="B61" s="102" t="s">
        <v>63</v>
      </c>
      <c r="C61" s="143" cm="1">
        <f t="array" aca="1" ref="C61" ca="1">_xlfn.LET(
_xlpm.daily,RecurringFactorBased($B61,"Daily",C$4,C$119),
_xlpm.weekdays,RecurringFactorBased($B61,"Weekdays",C$4,C$119),
_xlpm.paydays,RecurringFactorBased($B61,"Paydays",C$4,C$119),
_xlpm.mondays,RecurringFactorBased($B61,"Mondays",C$4,C$119),
_xlpm.tuesdays,RecurringFactorBased($B61,"Tuesdays",C$4,C$119),
_xlpm.wednesdays,RecurringFactorBased($B61,"Wednesdays",C$4,C$119),
_xlpm.thursdays,RecurringFactorBased($B61,"Thursdays",C$4,C$119),
_xlpm.fridays,RecurringFactorBased($B61,"Fridays",C$4,C$119),
_xlpm.saturdays,RecurringFactorBased($B61,"Saturdays",C$4,C$119),
_xlpm.sundays,RecurringFactorBased($B61,"Sundays",C$4,C$119),
_xlpm.monthly,RecurringMonthly($B61,C$4),
_xlpm.annual,RecurringAnnual($B61,C$4),
_xlpm.planned,SUMIFS(Planned!$F:$F,Planned!$B:$B,$B61,Planned!$E:$E,"&gt;="&amp;C$4,Planned!$E:$E,"&lt;="&amp;EOMONTH(C$4,0)),
_xlpm.daily+_xlpm.weekdays+_xlpm.mondays+_xlpm.tuesdays+_xlpm.wednesdays+_xlpm.thursdays+_xlpm.fridays+_xlpm.saturdays+_xlpm.sundays+_xlpm.paydays+_xlpm.monthly+_xlpm.annual+_xlpm.planned)</f>
        <v>0</v>
      </c>
      <c r="D61" s="143" cm="1">
        <f t="array" aca="1" ref="D61" ca="1">_xlfn.LET(
_xlpm.daily,RecurringFactorBased($B61,"Daily",D$4,D$119),
_xlpm.weekdays,RecurringFactorBased($B61,"Weekdays",D$4,D$119),
_xlpm.paydays,RecurringFactorBased($B61,"Paydays",D$4,D$119),
_xlpm.mondays,RecurringFactorBased($B61,"Mondays",D$4,D$119),
_xlpm.tuesdays,RecurringFactorBased($B61,"Tuesdays",D$4,D$119),
_xlpm.wednesdays,RecurringFactorBased($B61,"Wednesdays",D$4,D$119),
_xlpm.thursdays,RecurringFactorBased($B61,"Thursdays",D$4,D$119),
_xlpm.fridays,RecurringFactorBased($B61,"Fridays",D$4,D$119),
_xlpm.saturdays,RecurringFactorBased($B61,"Saturdays",D$4,D$119),
_xlpm.sundays,RecurringFactorBased($B61,"Sundays",D$4,D$119),
_xlpm.monthly,RecurringMonthly($B61,D$4),
_xlpm.annual,RecurringAnnual($B61,D$4),
_xlpm.planned,SUMIFS(Planned!$F:$F,Planned!$B:$B,$B61,Planned!$E:$E,"&gt;="&amp;D$4,Planned!$E:$E,"&lt;="&amp;EOMONTH(D$4,0)),
_xlpm.daily+_xlpm.weekdays+_xlpm.mondays+_xlpm.tuesdays+_xlpm.wednesdays+_xlpm.thursdays+_xlpm.fridays+_xlpm.saturdays+_xlpm.sundays+_xlpm.paydays+_xlpm.monthly+_xlpm.annual+_xlpm.planned)</f>
        <v>100</v>
      </c>
      <c r="E61" s="143" cm="1">
        <f t="array" aca="1" ref="E61" ca="1">_xlfn.LET(
_xlpm.daily,RecurringFactorBased($B61,"Daily",E$4,E$119),
_xlpm.weekdays,RecurringFactorBased($B61,"Weekdays",E$4,E$119),
_xlpm.paydays,RecurringFactorBased($B61,"Paydays",E$4,E$119),
_xlpm.mondays,RecurringFactorBased($B61,"Mondays",E$4,E$119),
_xlpm.tuesdays,RecurringFactorBased($B61,"Tuesdays",E$4,E$119),
_xlpm.wednesdays,RecurringFactorBased($B61,"Wednesdays",E$4,E$119),
_xlpm.thursdays,RecurringFactorBased($B61,"Thursdays",E$4,E$119),
_xlpm.fridays,RecurringFactorBased($B61,"Fridays",E$4,E$119),
_xlpm.saturdays,RecurringFactorBased($B61,"Saturdays",E$4,E$119),
_xlpm.sundays,RecurringFactorBased($B61,"Sundays",E$4,E$119),
_xlpm.monthly,RecurringMonthly($B61,E$4),
_xlpm.annual,RecurringAnnual($B61,E$4),
_xlpm.planned,SUMIFS(Planned!$F:$F,Planned!$B:$B,$B61,Planned!$E:$E,"&gt;="&amp;E$4,Planned!$E:$E,"&lt;="&amp;EOMONTH(E$4,0)),
_xlpm.daily+_xlpm.weekdays+_xlpm.mondays+_xlpm.tuesdays+_xlpm.wednesdays+_xlpm.thursdays+_xlpm.fridays+_xlpm.saturdays+_xlpm.sundays+_xlpm.paydays+_xlpm.monthly+_xlpm.annual+_xlpm.planned)</f>
        <v>100</v>
      </c>
      <c r="F61" s="143" cm="1">
        <f t="array" aca="1" ref="F61" ca="1">_xlfn.LET(
_xlpm.daily,RecurringFactorBased($B61,"Daily",F$4,F$119),
_xlpm.weekdays,RecurringFactorBased($B61,"Weekdays",F$4,F$119),
_xlpm.paydays,RecurringFactorBased($B61,"Paydays",F$4,F$119),
_xlpm.mondays,RecurringFactorBased($B61,"Mondays",F$4,F$119),
_xlpm.tuesdays,RecurringFactorBased($B61,"Tuesdays",F$4,F$119),
_xlpm.wednesdays,RecurringFactorBased($B61,"Wednesdays",F$4,F$119),
_xlpm.thursdays,RecurringFactorBased($B61,"Thursdays",F$4,F$119),
_xlpm.fridays,RecurringFactorBased($B61,"Fridays",F$4,F$119),
_xlpm.saturdays,RecurringFactorBased($B61,"Saturdays",F$4,F$119),
_xlpm.sundays,RecurringFactorBased($B61,"Sundays",F$4,F$119),
_xlpm.monthly,RecurringMonthly($B61,F$4),
_xlpm.annual,RecurringAnnual($B61,F$4),
_xlpm.planned,SUMIFS(Planned!$F:$F,Planned!$B:$B,$B61,Planned!$E:$E,"&gt;="&amp;F$4,Planned!$E:$E,"&lt;="&amp;EOMONTH(F$4,0)),
_xlpm.daily+_xlpm.weekdays+_xlpm.mondays+_xlpm.tuesdays+_xlpm.wednesdays+_xlpm.thursdays+_xlpm.fridays+_xlpm.saturdays+_xlpm.sundays+_xlpm.paydays+_xlpm.monthly+_xlpm.annual+_xlpm.planned)</f>
        <v>100</v>
      </c>
      <c r="G61" s="143" cm="1">
        <f t="array" aca="1" ref="G61" ca="1">_xlfn.LET(
_xlpm.daily,RecurringFactorBased($B61,"Daily",G$4,G$119),
_xlpm.weekdays,RecurringFactorBased($B61,"Weekdays",G$4,G$119),
_xlpm.paydays,RecurringFactorBased($B61,"Paydays",G$4,G$119),
_xlpm.mondays,RecurringFactorBased($B61,"Mondays",G$4,G$119),
_xlpm.tuesdays,RecurringFactorBased($B61,"Tuesdays",G$4,G$119),
_xlpm.wednesdays,RecurringFactorBased($B61,"Wednesdays",G$4,G$119),
_xlpm.thursdays,RecurringFactorBased($B61,"Thursdays",G$4,G$119),
_xlpm.fridays,RecurringFactorBased($B61,"Fridays",G$4,G$119),
_xlpm.saturdays,RecurringFactorBased($B61,"Saturdays",G$4,G$119),
_xlpm.sundays,RecurringFactorBased($B61,"Sundays",G$4,G$119),
_xlpm.monthly,RecurringMonthly($B61,G$4),
_xlpm.annual,RecurringAnnual($B61,G$4),
_xlpm.planned,SUMIFS(Planned!$F:$F,Planned!$B:$B,$B61,Planned!$E:$E,"&gt;="&amp;G$4,Planned!$E:$E,"&lt;="&amp;EOMONTH(G$4,0)),
_xlpm.daily+_xlpm.weekdays+_xlpm.mondays+_xlpm.tuesdays+_xlpm.wednesdays+_xlpm.thursdays+_xlpm.fridays+_xlpm.saturdays+_xlpm.sundays+_xlpm.paydays+_xlpm.monthly+_xlpm.annual+_xlpm.planned)</f>
        <v>100</v>
      </c>
      <c r="H61" s="143" cm="1">
        <f t="array" aca="1" ref="H61" ca="1">_xlfn.LET(
_xlpm.daily,RecurringFactorBased($B61,"Daily",H$4,H$119),
_xlpm.weekdays,RecurringFactorBased($B61,"Weekdays",H$4,H$119),
_xlpm.paydays,RecurringFactorBased($B61,"Paydays",H$4,H$119),
_xlpm.mondays,RecurringFactorBased($B61,"Mondays",H$4,H$119),
_xlpm.tuesdays,RecurringFactorBased($B61,"Tuesdays",H$4,H$119),
_xlpm.wednesdays,RecurringFactorBased($B61,"Wednesdays",H$4,H$119),
_xlpm.thursdays,RecurringFactorBased($B61,"Thursdays",H$4,H$119),
_xlpm.fridays,RecurringFactorBased($B61,"Fridays",H$4,H$119),
_xlpm.saturdays,RecurringFactorBased($B61,"Saturdays",H$4,H$119),
_xlpm.sundays,RecurringFactorBased($B61,"Sundays",H$4,H$119),
_xlpm.monthly,RecurringMonthly($B61,H$4),
_xlpm.annual,RecurringAnnual($B61,H$4),
_xlpm.planned,SUMIFS(Planned!$F:$F,Planned!$B:$B,$B61,Planned!$E:$E,"&gt;="&amp;H$4,Planned!$E:$E,"&lt;="&amp;EOMONTH(H$4,0)),
_xlpm.daily+_xlpm.weekdays+_xlpm.mondays+_xlpm.tuesdays+_xlpm.wednesdays+_xlpm.thursdays+_xlpm.fridays+_xlpm.saturdays+_xlpm.sundays+_xlpm.paydays+_xlpm.monthly+_xlpm.annual+_xlpm.planned)</f>
        <v>150</v>
      </c>
      <c r="I61" s="143" cm="1">
        <f t="array" aca="1" ref="I61" ca="1">_xlfn.LET(
_xlpm.daily,RecurringFactorBased($B61,"Daily",I$4,I$119),
_xlpm.weekdays,RecurringFactorBased($B61,"Weekdays",I$4,I$119),
_xlpm.paydays,RecurringFactorBased($B61,"Paydays",I$4,I$119),
_xlpm.mondays,RecurringFactorBased($B61,"Mondays",I$4,I$119),
_xlpm.tuesdays,RecurringFactorBased($B61,"Tuesdays",I$4,I$119),
_xlpm.wednesdays,RecurringFactorBased($B61,"Wednesdays",I$4,I$119),
_xlpm.thursdays,RecurringFactorBased($B61,"Thursdays",I$4,I$119),
_xlpm.fridays,RecurringFactorBased($B61,"Fridays",I$4,I$119),
_xlpm.saturdays,RecurringFactorBased($B61,"Saturdays",I$4,I$119),
_xlpm.sundays,RecurringFactorBased($B61,"Sundays",I$4,I$119),
_xlpm.monthly,RecurringMonthly($B61,I$4),
_xlpm.annual,RecurringAnnual($B61,I$4),
_xlpm.planned,SUMIFS(Planned!$F:$F,Planned!$B:$B,$B61,Planned!$E:$E,"&gt;="&amp;I$4,Planned!$E:$E,"&lt;="&amp;EOMONTH(I$4,0)),
_xlpm.daily+_xlpm.weekdays+_xlpm.mondays+_xlpm.tuesdays+_xlpm.wednesdays+_xlpm.thursdays+_xlpm.fridays+_xlpm.saturdays+_xlpm.sundays+_xlpm.paydays+_xlpm.monthly+_xlpm.annual+_xlpm.planned)</f>
        <v>100</v>
      </c>
      <c r="J61" s="143" cm="1">
        <f t="array" aca="1" ref="J61" ca="1">_xlfn.LET(
_xlpm.daily,RecurringFactorBased($B61,"Daily",J$4,J$119),
_xlpm.weekdays,RecurringFactorBased($B61,"Weekdays",J$4,J$119),
_xlpm.paydays,RecurringFactorBased($B61,"Paydays",J$4,J$119),
_xlpm.mondays,RecurringFactorBased($B61,"Mondays",J$4,J$119),
_xlpm.tuesdays,RecurringFactorBased($B61,"Tuesdays",J$4,J$119),
_xlpm.wednesdays,RecurringFactorBased($B61,"Wednesdays",J$4,J$119),
_xlpm.thursdays,RecurringFactorBased($B61,"Thursdays",J$4,J$119),
_xlpm.fridays,RecurringFactorBased($B61,"Fridays",J$4,J$119),
_xlpm.saturdays,RecurringFactorBased($B61,"Saturdays",J$4,J$119),
_xlpm.sundays,RecurringFactorBased($B61,"Sundays",J$4,J$119),
_xlpm.monthly,RecurringMonthly($B61,J$4),
_xlpm.annual,RecurringAnnual($B61,J$4),
_xlpm.planned,SUMIFS(Planned!$F:$F,Planned!$B:$B,$B61,Planned!$E:$E,"&gt;="&amp;J$4,Planned!$E:$E,"&lt;="&amp;EOMONTH(J$4,0)),
_xlpm.daily+_xlpm.weekdays+_xlpm.mondays+_xlpm.tuesdays+_xlpm.wednesdays+_xlpm.thursdays+_xlpm.fridays+_xlpm.saturdays+_xlpm.sundays+_xlpm.paydays+_xlpm.monthly+_xlpm.annual+_xlpm.planned)</f>
        <v>100</v>
      </c>
      <c r="K61" s="143" cm="1">
        <f t="array" aca="1" ref="K61" ca="1">_xlfn.LET(
_xlpm.daily,RecurringFactorBased($B61,"Daily",K$4,K$119),
_xlpm.weekdays,RecurringFactorBased($B61,"Weekdays",K$4,K$119),
_xlpm.paydays,RecurringFactorBased($B61,"Paydays",K$4,K$119),
_xlpm.mondays,RecurringFactorBased($B61,"Mondays",K$4,K$119),
_xlpm.tuesdays,RecurringFactorBased($B61,"Tuesdays",K$4,K$119),
_xlpm.wednesdays,RecurringFactorBased($B61,"Wednesdays",K$4,K$119),
_xlpm.thursdays,RecurringFactorBased($B61,"Thursdays",K$4,K$119),
_xlpm.fridays,RecurringFactorBased($B61,"Fridays",K$4,K$119),
_xlpm.saturdays,RecurringFactorBased($B61,"Saturdays",K$4,K$119),
_xlpm.sundays,RecurringFactorBased($B61,"Sundays",K$4,K$119),
_xlpm.monthly,RecurringMonthly($B61,K$4),
_xlpm.annual,RecurringAnnual($B61,K$4),
_xlpm.planned,SUMIFS(Planned!$F:$F,Planned!$B:$B,$B61,Planned!$E:$E,"&gt;="&amp;K$4,Planned!$E:$E,"&lt;="&amp;EOMONTH(K$4,0)),
_xlpm.daily+_xlpm.weekdays+_xlpm.mondays+_xlpm.tuesdays+_xlpm.wednesdays+_xlpm.thursdays+_xlpm.fridays+_xlpm.saturdays+_xlpm.sundays+_xlpm.paydays+_xlpm.monthly+_xlpm.annual+_xlpm.planned)</f>
        <v>100</v>
      </c>
      <c r="L61" s="143" cm="1">
        <f t="array" aca="1" ref="L61" ca="1">_xlfn.LET(
_xlpm.daily,RecurringFactorBased($B61,"Daily",L$4,L$119),
_xlpm.weekdays,RecurringFactorBased($B61,"Weekdays",L$4,L$119),
_xlpm.paydays,RecurringFactorBased($B61,"Paydays",L$4,L$119),
_xlpm.mondays,RecurringFactorBased($B61,"Mondays",L$4,L$119),
_xlpm.tuesdays,RecurringFactorBased($B61,"Tuesdays",L$4,L$119),
_xlpm.wednesdays,RecurringFactorBased($B61,"Wednesdays",L$4,L$119),
_xlpm.thursdays,RecurringFactorBased($B61,"Thursdays",L$4,L$119),
_xlpm.fridays,RecurringFactorBased($B61,"Fridays",L$4,L$119),
_xlpm.saturdays,RecurringFactorBased($B61,"Saturdays",L$4,L$119),
_xlpm.sundays,RecurringFactorBased($B61,"Sundays",L$4,L$119),
_xlpm.monthly,RecurringMonthly($B61,L$4),
_xlpm.annual,RecurringAnnual($B61,L$4),
_xlpm.planned,SUMIFS(Planned!$F:$F,Planned!$B:$B,$B61,Planned!$E:$E,"&gt;="&amp;L$4,Planned!$E:$E,"&lt;="&amp;EOMONTH(L$4,0)),
_xlpm.daily+_xlpm.weekdays+_xlpm.mondays+_xlpm.tuesdays+_xlpm.wednesdays+_xlpm.thursdays+_xlpm.fridays+_xlpm.saturdays+_xlpm.sundays+_xlpm.paydays+_xlpm.monthly+_xlpm.annual+_xlpm.planned)</f>
        <v>100</v>
      </c>
      <c r="M61" s="143" cm="1">
        <f t="array" aca="1" ref="M61" ca="1">_xlfn.LET(
_xlpm.daily,RecurringFactorBased($B61,"Daily",M$4,M$119),
_xlpm.weekdays,RecurringFactorBased($B61,"Weekdays",M$4,M$119),
_xlpm.paydays,RecurringFactorBased($B61,"Paydays",M$4,M$119),
_xlpm.mondays,RecurringFactorBased($B61,"Mondays",M$4,M$119),
_xlpm.tuesdays,RecurringFactorBased($B61,"Tuesdays",M$4,M$119),
_xlpm.wednesdays,RecurringFactorBased($B61,"Wednesdays",M$4,M$119),
_xlpm.thursdays,RecurringFactorBased($B61,"Thursdays",M$4,M$119),
_xlpm.fridays,RecurringFactorBased($B61,"Fridays",M$4,M$119),
_xlpm.saturdays,RecurringFactorBased($B61,"Saturdays",M$4,M$119),
_xlpm.sundays,RecurringFactorBased($B61,"Sundays",M$4,M$119),
_xlpm.monthly,RecurringMonthly($B61,M$4),
_xlpm.annual,RecurringAnnual($B61,M$4),
_xlpm.planned,SUMIFS(Planned!$F:$F,Planned!$B:$B,$B61,Planned!$E:$E,"&gt;="&amp;M$4,Planned!$E:$E,"&lt;="&amp;EOMONTH(M$4,0)),
_xlpm.daily+_xlpm.weekdays+_xlpm.mondays+_xlpm.tuesdays+_xlpm.wednesdays+_xlpm.thursdays+_xlpm.fridays+_xlpm.saturdays+_xlpm.sundays+_xlpm.paydays+_xlpm.monthly+_xlpm.annual+_xlpm.planned)</f>
        <v>150</v>
      </c>
      <c r="N61" s="143" cm="1">
        <f t="array" aca="1" ref="N61" ca="1">_xlfn.LET(
_xlpm.daily,RecurringFactorBased($B61,"Daily",N$4,N$119),
_xlpm.weekdays,RecurringFactorBased($B61,"Weekdays",N$4,N$119),
_xlpm.paydays,RecurringFactorBased($B61,"Paydays",N$4,N$119),
_xlpm.mondays,RecurringFactorBased($B61,"Mondays",N$4,N$119),
_xlpm.tuesdays,RecurringFactorBased($B61,"Tuesdays",N$4,N$119),
_xlpm.wednesdays,RecurringFactorBased($B61,"Wednesdays",N$4,N$119),
_xlpm.thursdays,RecurringFactorBased($B61,"Thursdays",N$4,N$119),
_xlpm.fridays,RecurringFactorBased($B61,"Fridays",N$4,N$119),
_xlpm.saturdays,RecurringFactorBased($B61,"Saturdays",N$4,N$119),
_xlpm.sundays,RecurringFactorBased($B61,"Sundays",N$4,N$119),
_xlpm.monthly,RecurringMonthly($B61,N$4),
_xlpm.annual,RecurringAnnual($B61,N$4),
_xlpm.planned,SUMIFS(Planned!$F:$F,Planned!$B:$B,$B61,Planned!$E:$E,"&gt;="&amp;N$4,Planned!$E:$E,"&lt;="&amp;EOMONTH(N$4,0)),
_xlpm.daily+_xlpm.weekdays+_xlpm.mondays+_xlpm.tuesdays+_xlpm.wednesdays+_xlpm.thursdays+_xlpm.fridays+_xlpm.saturdays+_xlpm.sundays+_xlpm.paydays+_xlpm.monthly+_xlpm.annual+_xlpm.planned)</f>
        <v>100</v>
      </c>
      <c r="O61" s="133"/>
      <c r="P61" s="144">
        <f ca="1">SUM(C61:N61)</f>
        <v>1200</v>
      </c>
      <c r="Q61" s="79"/>
      <c r="R61" s="202"/>
      <c r="U61" s="22"/>
    </row>
    <row r="62" spans="1:23" ht="12.75" customHeight="1" x14ac:dyDescent="0.2">
      <c r="A62" s="61"/>
      <c r="B62" s="228" t="s">
        <v>313</v>
      </c>
      <c r="C62" s="143" cm="1">
        <f t="array" aca="1" ref="C62" ca="1">_xlfn.LET(
_xlpm.daily,RecurringFactorBased($B62,"Daily",C$4,C$119),
_xlpm.weekdays,RecurringFactorBased($B62,"Weekdays",C$4,C$119),
_xlpm.paydays,RecurringFactorBased($B62,"Paydays",C$4,C$119),
_xlpm.mondays,RecurringFactorBased($B62,"Mondays",C$4,C$119),
_xlpm.tuesdays,RecurringFactorBased($B62,"Tuesdays",C$4,C$119),
_xlpm.wednesdays,RecurringFactorBased($B62,"Wednesdays",C$4,C$119),
_xlpm.thursdays,RecurringFactorBased($B62,"Thursdays",C$4,C$119),
_xlpm.fridays,RecurringFactorBased($B62,"Fridays",C$4,C$119),
_xlpm.saturdays,RecurringFactorBased($B62,"Saturdays",C$4,C$119),
_xlpm.sundays,RecurringFactorBased($B62,"Sundays",C$4,C$119),
_xlpm.monthly,RecurringMonthly($B62,C$4),
_xlpm.annual,RecurringAnnual($B62,C$4),
_xlpm.planned,SUMIFS(Planned!$F:$F,Planned!$B:$B,$B62,Planned!$E:$E,"&gt;="&amp;C$4,Planned!$E:$E,"&lt;="&amp;EOMONTH(C$4,0)),
_xlpm.daily+_xlpm.weekdays+_xlpm.mondays+_xlpm.tuesdays+_xlpm.wednesdays+_xlpm.thursdays+_xlpm.fridays+_xlpm.saturdays+_xlpm.sundays+_xlpm.paydays+_xlpm.monthly+_xlpm.annual+_xlpm.planned)</f>
        <v>0</v>
      </c>
      <c r="D62" s="143" cm="1">
        <f t="array" aca="1" ref="D62" ca="1">_xlfn.LET(
_xlpm.daily,RecurringFactorBased($B62,"Daily",D$4,D$119),
_xlpm.weekdays,RecurringFactorBased($B62,"Weekdays",D$4,D$119),
_xlpm.paydays,RecurringFactorBased($B62,"Paydays",D$4,D$119),
_xlpm.mondays,RecurringFactorBased($B62,"Mondays",D$4,D$119),
_xlpm.tuesdays,RecurringFactorBased($B62,"Tuesdays",D$4,D$119),
_xlpm.wednesdays,RecurringFactorBased($B62,"Wednesdays",D$4,D$119),
_xlpm.thursdays,RecurringFactorBased($B62,"Thursdays",D$4,D$119),
_xlpm.fridays,RecurringFactorBased($B62,"Fridays",D$4,D$119),
_xlpm.saturdays,RecurringFactorBased($B62,"Saturdays",D$4,D$119),
_xlpm.sundays,RecurringFactorBased($B62,"Sundays",D$4,D$119),
_xlpm.monthly,RecurringMonthly($B62,D$4),
_xlpm.annual,RecurringAnnual($B62,D$4),
_xlpm.planned,SUMIFS(Planned!$F:$F,Planned!$B:$B,$B62,Planned!$E:$E,"&gt;="&amp;D$4,Planned!$E:$E,"&lt;="&amp;EOMONTH(D$4,0)),
_xlpm.daily+_xlpm.weekdays+_xlpm.mondays+_xlpm.tuesdays+_xlpm.wednesdays+_xlpm.thursdays+_xlpm.fridays+_xlpm.saturdays+_xlpm.sundays+_xlpm.paydays+_xlpm.monthly+_xlpm.annual+_xlpm.planned)</f>
        <v>50</v>
      </c>
      <c r="E62" s="143" cm="1">
        <f t="array" aca="1" ref="E62" ca="1">_xlfn.LET(
_xlpm.daily,RecurringFactorBased($B62,"Daily",E$4,E$119),
_xlpm.weekdays,RecurringFactorBased($B62,"Weekdays",E$4,E$119),
_xlpm.paydays,RecurringFactorBased($B62,"Paydays",E$4,E$119),
_xlpm.mondays,RecurringFactorBased($B62,"Mondays",E$4,E$119),
_xlpm.tuesdays,RecurringFactorBased($B62,"Tuesdays",E$4,E$119),
_xlpm.wednesdays,RecurringFactorBased($B62,"Wednesdays",E$4,E$119),
_xlpm.thursdays,RecurringFactorBased($B62,"Thursdays",E$4,E$119),
_xlpm.fridays,RecurringFactorBased($B62,"Fridays",E$4,E$119),
_xlpm.saturdays,RecurringFactorBased($B62,"Saturdays",E$4,E$119),
_xlpm.sundays,RecurringFactorBased($B62,"Sundays",E$4,E$119),
_xlpm.monthly,RecurringMonthly($B62,E$4),
_xlpm.annual,RecurringAnnual($B62,E$4),
_xlpm.planned,SUMIFS(Planned!$F:$F,Planned!$B:$B,$B62,Planned!$E:$E,"&gt;="&amp;E$4,Planned!$E:$E,"&lt;="&amp;EOMONTH(E$4,0)),
_xlpm.daily+_xlpm.weekdays+_xlpm.mondays+_xlpm.tuesdays+_xlpm.wednesdays+_xlpm.thursdays+_xlpm.fridays+_xlpm.saturdays+_xlpm.sundays+_xlpm.paydays+_xlpm.monthly+_xlpm.annual+_xlpm.planned)</f>
        <v>0</v>
      </c>
      <c r="F62" s="143" cm="1">
        <f t="array" aca="1" ref="F62" ca="1">_xlfn.LET(
_xlpm.daily,RecurringFactorBased($B62,"Daily",F$4,F$119),
_xlpm.weekdays,RecurringFactorBased($B62,"Weekdays",F$4,F$119),
_xlpm.paydays,RecurringFactorBased($B62,"Paydays",F$4,F$119),
_xlpm.mondays,RecurringFactorBased($B62,"Mondays",F$4,F$119),
_xlpm.tuesdays,RecurringFactorBased($B62,"Tuesdays",F$4,F$119),
_xlpm.wednesdays,RecurringFactorBased($B62,"Wednesdays",F$4,F$119),
_xlpm.thursdays,RecurringFactorBased($B62,"Thursdays",F$4,F$119),
_xlpm.fridays,RecurringFactorBased($B62,"Fridays",F$4,F$119),
_xlpm.saturdays,RecurringFactorBased($B62,"Saturdays",F$4,F$119),
_xlpm.sundays,RecurringFactorBased($B62,"Sundays",F$4,F$119),
_xlpm.monthly,RecurringMonthly($B62,F$4),
_xlpm.annual,RecurringAnnual($B62,F$4),
_xlpm.planned,SUMIFS(Planned!$F:$F,Planned!$B:$B,$B62,Planned!$E:$E,"&gt;="&amp;F$4,Planned!$E:$E,"&lt;="&amp;EOMONTH(F$4,0)),
_xlpm.daily+_xlpm.weekdays+_xlpm.mondays+_xlpm.tuesdays+_xlpm.wednesdays+_xlpm.thursdays+_xlpm.fridays+_xlpm.saturdays+_xlpm.sundays+_xlpm.paydays+_xlpm.monthly+_xlpm.annual+_xlpm.planned)</f>
        <v>0</v>
      </c>
      <c r="G62" s="143" cm="1">
        <f t="array" aca="1" ref="G62" ca="1">_xlfn.LET(
_xlpm.daily,RecurringFactorBased($B62,"Daily",G$4,G$119),
_xlpm.weekdays,RecurringFactorBased($B62,"Weekdays",G$4,G$119),
_xlpm.paydays,RecurringFactorBased($B62,"Paydays",G$4,G$119),
_xlpm.mondays,RecurringFactorBased($B62,"Mondays",G$4,G$119),
_xlpm.tuesdays,RecurringFactorBased($B62,"Tuesdays",G$4,G$119),
_xlpm.wednesdays,RecurringFactorBased($B62,"Wednesdays",G$4,G$119),
_xlpm.thursdays,RecurringFactorBased($B62,"Thursdays",G$4,G$119),
_xlpm.fridays,RecurringFactorBased($B62,"Fridays",G$4,G$119),
_xlpm.saturdays,RecurringFactorBased($B62,"Saturdays",G$4,G$119),
_xlpm.sundays,RecurringFactorBased($B62,"Sundays",G$4,G$119),
_xlpm.monthly,RecurringMonthly($B62,G$4),
_xlpm.annual,RecurringAnnual($B62,G$4),
_xlpm.planned,SUMIFS(Planned!$F:$F,Planned!$B:$B,$B62,Planned!$E:$E,"&gt;="&amp;G$4,Planned!$E:$E,"&lt;="&amp;EOMONTH(G$4,0)),
_xlpm.daily+_xlpm.weekdays+_xlpm.mondays+_xlpm.tuesdays+_xlpm.wednesdays+_xlpm.thursdays+_xlpm.fridays+_xlpm.saturdays+_xlpm.sundays+_xlpm.paydays+_xlpm.monthly+_xlpm.annual+_xlpm.planned)</f>
        <v>0</v>
      </c>
      <c r="H62" s="143" cm="1">
        <f t="array" aca="1" ref="H62" ca="1">_xlfn.LET(
_xlpm.daily,RecurringFactorBased($B62,"Daily",H$4,H$119),
_xlpm.weekdays,RecurringFactorBased($B62,"Weekdays",H$4,H$119),
_xlpm.paydays,RecurringFactorBased($B62,"Paydays",H$4,H$119),
_xlpm.mondays,RecurringFactorBased($B62,"Mondays",H$4,H$119),
_xlpm.tuesdays,RecurringFactorBased($B62,"Tuesdays",H$4,H$119),
_xlpm.wednesdays,RecurringFactorBased($B62,"Wednesdays",H$4,H$119),
_xlpm.thursdays,RecurringFactorBased($B62,"Thursdays",H$4,H$119),
_xlpm.fridays,RecurringFactorBased($B62,"Fridays",H$4,H$119),
_xlpm.saturdays,RecurringFactorBased($B62,"Saturdays",H$4,H$119),
_xlpm.sundays,RecurringFactorBased($B62,"Sundays",H$4,H$119),
_xlpm.monthly,RecurringMonthly($B62,H$4),
_xlpm.annual,RecurringAnnual($B62,H$4),
_xlpm.planned,SUMIFS(Planned!$F:$F,Planned!$B:$B,$B62,Planned!$E:$E,"&gt;="&amp;H$4,Planned!$E:$E,"&lt;="&amp;EOMONTH(H$4,0)),
_xlpm.daily+_xlpm.weekdays+_xlpm.mondays+_xlpm.tuesdays+_xlpm.wednesdays+_xlpm.thursdays+_xlpm.fridays+_xlpm.saturdays+_xlpm.sundays+_xlpm.paydays+_xlpm.monthly+_xlpm.annual+_xlpm.planned)</f>
        <v>0</v>
      </c>
      <c r="I62" s="143" cm="1">
        <f t="array" aca="1" ref="I62" ca="1">_xlfn.LET(
_xlpm.daily,RecurringFactorBased($B62,"Daily",I$4,I$119),
_xlpm.weekdays,RecurringFactorBased($B62,"Weekdays",I$4,I$119),
_xlpm.paydays,RecurringFactorBased($B62,"Paydays",I$4,I$119),
_xlpm.mondays,RecurringFactorBased($B62,"Mondays",I$4,I$119),
_xlpm.tuesdays,RecurringFactorBased($B62,"Tuesdays",I$4,I$119),
_xlpm.wednesdays,RecurringFactorBased($B62,"Wednesdays",I$4,I$119),
_xlpm.thursdays,RecurringFactorBased($B62,"Thursdays",I$4,I$119),
_xlpm.fridays,RecurringFactorBased($B62,"Fridays",I$4,I$119),
_xlpm.saturdays,RecurringFactorBased($B62,"Saturdays",I$4,I$119),
_xlpm.sundays,RecurringFactorBased($B62,"Sundays",I$4,I$119),
_xlpm.monthly,RecurringMonthly($B62,I$4),
_xlpm.annual,RecurringAnnual($B62,I$4),
_xlpm.planned,SUMIFS(Planned!$F:$F,Planned!$B:$B,$B62,Planned!$E:$E,"&gt;="&amp;I$4,Planned!$E:$E,"&lt;="&amp;EOMONTH(I$4,0)),
_xlpm.daily+_xlpm.weekdays+_xlpm.mondays+_xlpm.tuesdays+_xlpm.wednesdays+_xlpm.thursdays+_xlpm.fridays+_xlpm.saturdays+_xlpm.sundays+_xlpm.paydays+_xlpm.monthly+_xlpm.annual+_xlpm.planned)</f>
        <v>0</v>
      </c>
      <c r="J62" s="143" cm="1">
        <f t="array" aca="1" ref="J62" ca="1">_xlfn.LET(
_xlpm.daily,RecurringFactorBased($B62,"Daily",J$4,J$119),
_xlpm.weekdays,RecurringFactorBased($B62,"Weekdays",J$4,J$119),
_xlpm.paydays,RecurringFactorBased($B62,"Paydays",J$4,J$119),
_xlpm.mondays,RecurringFactorBased($B62,"Mondays",J$4,J$119),
_xlpm.tuesdays,RecurringFactorBased($B62,"Tuesdays",J$4,J$119),
_xlpm.wednesdays,RecurringFactorBased($B62,"Wednesdays",J$4,J$119),
_xlpm.thursdays,RecurringFactorBased($B62,"Thursdays",J$4,J$119),
_xlpm.fridays,RecurringFactorBased($B62,"Fridays",J$4,J$119),
_xlpm.saturdays,RecurringFactorBased($B62,"Saturdays",J$4,J$119),
_xlpm.sundays,RecurringFactorBased($B62,"Sundays",J$4,J$119),
_xlpm.monthly,RecurringMonthly($B62,J$4),
_xlpm.annual,RecurringAnnual($B62,J$4),
_xlpm.planned,SUMIFS(Planned!$F:$F,Planned!$B:$B,$B62,Planned!$E:$E,"&gt;="&amp;J$4,Planned!$E:$E,"&lt;="&amp;EOMONTH(J$4,0)),
_xlpm.daily+_xlpm.weekdays+_xlpm.mondays+_xlpm.tuesdays+_xlpm.wednesdays+_xlpm.thursdays+_xlpm.fridays+_xlpm.saturdays+_xlpm.sundays+_xlpm.paydays+_xlpm.monthly+_xlpm.annual+_xlpm.planned)</f>
        <v>0</v>
      </c>
      <c r="K62" s="143" cm="1">
        <f t="array" aca="1" ref="K62" ca="1">_xlfn.LET(
_xlpm.daily,RecurringFactorBased($B62,"Daily",K$4,K$119),
_xlpm.weekdays,RecurringFactorBased($B62,"Weekdays",K$4,K$119),
_xlpm.paydays,RecurringFactorBased($B62,"Paydays",K$4,K$119),
_xlpm.mondays,RecurringFactorBased($B62,"Mondays",K$4,K$119),
_xlpm.tuesdays,RecurringFactorBased($B62,"Tuesdays",K$4,K$119),
_xlpm.wednesdays,RecurringFactorBased($B62,"Wednesdays",K$4,K$119),
_xlpm.thursdays,RecurringFactorBased($B62,"Thursdays",K$4,K$119),
_xlpm.fridays,RecurringFactorBased($B62,"Fridays",K$4,K$119),
_xlpm.saturdays,RecurringFactorBased($B62,"Saturdays",K$4,K$119),
_xlpm.sundays,RecurringFactorBased($B62,"Sundays",K$4,K$119),
_xlpm.monthly,RecurringMonthly($B62,K$4),
_xlpm.annual,RecurringAnnual($B62,K$4),
_xlpm.planned,SUMIFS(Planned!$F:$F,Planned!$B:$B,$B62,Planned!$E:$E,"&gt;="&amp;K$4,Planned!$E:$E,"&lt;="&amp;EOMONTH(K$4,0)),
_xlpm.daily+_xlpm.weekdays+_xlpm.mondays+_xlpm.tuesdays+_xlpm.wednesdays+_xlpm.thursdays+_xlpm.fridays+_xlpm.saturdays+_xlpm.sundays+_xlpm.paydays+_xlpm.monthly+_xlpm.annual+_xlpm.planned)</f>
        <v>0</v>
      </c>
      <c r="L62" s="143" cm="1">
        <f t="array" aca="1" ref="L62" ca="1">_xlfn.LET(
_xlpm.daily,RecurringFactorBased($B62,"Daily",L$4,L$119),
_xlpm.weekdays,RecurringFactorBased($B62,"Weekdays",L$4,L$119),
_xlpm.paydays,RecurringFactorBased($B62,"Paydays",L$4,L$119),
_xlpm.mondays,RecurringFactorBased($B62,"Mondays",L$4,L$119),
_xlpm.tuesdays,RecurringFactorBased($B62,"Tuesdays",L$4,L$119),
_xlpm.wednesdays,RecurringFactorBased($B62,"Wednesdays",L$4,L$119),
_xlpm.thursdays,RecurringFactorBased($B62,"Thursdays",L$4,L$119),
_xlpm.fridays,RecurringFactorBased($B62,"Fridays",L$4,L$119),
_xlpm.saturdays,RecurringFactorBased($B62,"Saturdays",L$4,L$119),
_xlpm.sundays,RecurringFactorBased($B62,"Sundays",L$4,L$119),
_xlpm.monthly,RecurringMonthly($B62,L$4),
_xlpm.annual,RecurringAnnual($B62,L$4),
_xlpm.planned,SUMIFS(Planned!$F:$F,Planned!$B:$B,$B62,Planned!$E:$E,"&gt;="&amp;L$4,Planned!$E:$E,"&lt;="&amp;EOMONTH(L$4,0)),
_xlpm.daily+_xlpm.weekdays+_xlpm.mondays+_xlpm.tuesdays+_xlpm.wednesdays+_xlpm.thursdays+_xlpm.fridays+_xlpm.saturdays+_xlpm.sundays+_xlpm.paydays+_xlpm.monthly+_xlpm.annual+_xlpm.planned)</f>
        <v>0</v>
      </c>
      <c r="M62" s="143" cm="1">
        <f t="array" aca="1" ref="M62" ca="1">_xlfn.LET(
_xlpm.daily,RecurringFactorBased($B62,"Daily",M$4,M$119),
_xlpm.weekdays,RecurringFactorBased($B62,"Weekdays",M$4,M$119),
_xlpm.paydays,RecurringFactorBased($B62,"Paydays",M$4,M$119),
_xlpm.mondays,RecurringFactorBased($B62,"Mondays",M$4,M$119),
_xlpm.tuesdays,RecurringFactorBased($B62,"Tuesdays",M$4,M$119),
_xlpm.wednesdays,RecurringFactorBased($B62,"Wednesdays",M$4,M$119),
_xlpm.thursdays,RecurringFactorBased($B62,"Thursdays",M$4,M$119),
_xlpm.fridays,RecurringFactorBased($B62,"Fridays",M$4,M$119),
_xlpm.saturdays,RecurringFactorBased($B62,"Saturdays",M$4,M$119),
_xlpm.sundays,RecurringFactorBased($B62,"Sundays",M$4,M$119),
_xlpm.monthly,RecurringMonthly($B62,M$4),
_xlpm.annual,RecurringAnnual($B62,M$4),
_xlpm.planned,SUMIFS(Planned!$F:$F,Planned!$B:$B,$B62,Planned!$E:$E,"&gt;="&amp;M$4,Planned!$E:$E,"&lt;="&amp;EOMONTH(M$4,0)),
_xlpm.daily+_xlpm.weekdays+_xlpm.mondays+_xlpm.tuesdays+_xlpm.wednesdays+_xlpm.thursdays+_xlpm.fridays+_xlpm.saturdays+_xlpm.sundays+_xlpm.paydays+_xlpm.monthly+_xlpm.annual+_xlpm.planned)</f>
        <v>0</v>
      </c>
      <c r="N62" s="143" cm="1">
        <f t="array" aca="1" ref="N62" ca="1">_xlfn.LET(
_xlpm.daily,RecurringFactorBased($B62,"Daily",N$4,N$119),
_xlpm.weekdays,RecurringFactorBased($B62,"Weekdays",N$4,N$119),
_xlpm.paydays,RecurringFactorBased($B62,"Paydays",N$4,N$119),
_xlpm.mondays,RecurringFactorBased($B62,"Mondays",N$4,N$119),
_xlpm.tuesdays,RecurringFactorBased($B62,"Tuesdays",N$4,N$119),
_xlpm.wednesdays,RecurringFactorBased($B62,"Wednesdays",N$4,N$119),
_xlpm.thursdays,RecurringFactorBased($B62,"Thursdays",N$4,N$119),
_xlpm.fridays,RecurringFactorBased($B62,"Fridays",N$4,N$119),
_xlpm.saturdays,RecurringFactorBased($B62,"Saturdays",N$4,N$119),
_xlpm.sundays,RecurringFactorBased($B62,"Sundays",N$4,N$119),
_xlpm.monthly,RecurringMonthly($B62,N$4),
_xlpm.annual,RecurringAnnual($B62,N$4),
_xlpm.planned,SUMIFS(Planned!$F:$F,Planned!$B:$B,$B62,Planned!$E:$E,"&gt;="&amp;N$4,Planned!$E:$E,"&lt;="&amp;EOMONTH(N$4,0)),
_xlpm.daily+_xlpm.weekdays+_xlpm.mondays+_xlpm.tuesdays+_xlpm.wednesdays+_xlpm.thursdays+_xlpm.fridays+_xlpm.saturdays+_xlpm.sundays+_xlpm.paydays+_xlpm.monthly+_xlpm.annual+_xlpm.planned)</f>
        <v>0</v>
      </c>
      <c r="O62" s="133"/>
      <c r="P62" s="144">
        <f ca="1">SUM(C62:N62)</f>
        <v>50</v>
      </c>
      <c r="Q62" s="79"/>
      <c r="R62" s="202" t="s">
        <v>308</v>
      </c>
      <c r="U62" s="22"/>
    </row>
    <row r="63" spans="1:23" s="51" customFormat="1" ht="5.0999999999999996" customHeight="1" x14ac:dyDescent="0.2">
      <c r="A63" s="64"/>
      <c r="B63" s="102"/>
      <c r="C63" s="133"/>
      <c r="D63" s="133"/>
      <c r="E63" s="133"/>
      <c r="F63" s="133"/>
      <c r="G63" s="133"/>
      <c r="H63" s="133"/>
      <c r="I63" s="133"/>
      <c r="J63" s="133"/>
      <c r="K63" s="133"/>
      <c r="L63" s="133"/>
      <c r="M63" s="133"/>
      <c r="N63" s="133"/>
      <c r="O63" s="133"/>
      <c r="P63" s="144"/>
      <c r="Q63" s="82"/>
      <c r="R63" s="202"/>
      <c r="V63" s="52"/>
      <c r="W63" s="53"/>
    </row>
    <row r="64" spans="1:23" ht="12.75" customHeight="1" x14ac:dyDescent="0.2">
      <c r="A64" s="61"/>
      <c r="B64" s="113" t="s">
        <v>66</v>
      </c>
      <c r="C64" s="151">
        <f ca="1">SUM(C58:C63)</f>
        <v>1010</v>
      </c>
      <c r="D64" s="151">
        <f t="shared" ref="D64:N64" ca="1" si="14">SUM(D58:D63)</f>
        <v>1440</v>
      </c>
      <c r="E64" s="151">
        <f t="shared" ca="1" si="14"/>
        <v>1375</v>
      </c>
      <c r="F64" s="151">
        <f t="shared" ca="1" si="14"/>
        <v>1380</v>
      </c>
      <c r="G64" s="151">
        <f t="shared" ca="1" si="14"/>
        <v>1435</v>
      </c>
      <c r="H64" s="151">
        <f t="shared" ca="1" si="14"/>
        <v>1485</v>
      </c>
      <c r="I64" s="151">
        <f t="shared" ca="1" si="14"/>
        <v>1430</v>
      </c>
      <c r="J64" s="151">
        <f t="shared" ca="1" si="14"/>
        <v>1440</v>
      </c>
      <c r="K64" s="151">
        <f t="shared" ca="1" si="14"/>
        <v>1430</v>
      </c>
      <c r="L64" s="151">
        <f t="shared" ca="1" si="14"/>
        <v>1435</v>
      </c>
      <c r="M64" s="151">
        <f t="shared" ca="1" si="14"/>
        <v>1490</v>
      </c>
      <c r="N64" s="152">
        <f t="shared" ca="1" si="14"/>
        <v>1425</v>
      </c>
      <c r="O64" s="151"/>
      <c r="P64" s="153">
        <f ca="1">SUM(P62:P62)</f>
        <v>50</v>
      </c>
      <c r="Q64" s="79"/>
      <c r="R64" s="202"/>
      <c r="U64" s="22"/>
    </row>
    <row r="65" spans="1:23" ht="5.0999999999999996" customHeight="1" x14ac:dyDescent="0.2">
      <c r="A65" s="61"/>
      <c r="B65" s="100"/>
      <c r="C65" s="140"/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79"/>
      <c r="R65" s="202"/>
    </row>
    <row r="66" spans="1:23" ht="12.75" customHeight="1" x14ac:dyDescent="0.2">
      <c r="A66" s="61"/>
      <c r="B66" s="110" t="s">
        <v>62</v>
      </c>
      <c r="C66" s="226"/>
      <c r="D66" s="226"/>
      <c r="E66" s="226"/>
      <c r="F66" s="226"/>
      <c r="G66" s="226"/>
      <c r="H66" s="226"/>
      <c r="I66" s="226"/>
      <c r="J66" s="226"/>
      <c r="K66" s="226"/>
      <c r="L66" s="226"/>
      <c r="M66" s="226"/>
      <c r="N66" s="226"/>
      <c r="O66" s="226"/>
      <c r="P66" s="227"/>
      <c r="Q66" s="79"/>
      <c r="R66" s="202"/>
      <c r="U66" s="22"/>
    </row>
    <row r="67" spans="1:23" ht="12.75" customHeight="1" x14ac:dyDescent="0.2">
      <c r="A67" s="66"/>
      <c r="B67" s="102" t="s">
        <v>4</v>
      </c>
      <c r="C67" s="143" cm="1">
        <f t="array" aca="1" ref="C67" ca="1">_xlfn.LET(
_xlpm.daily,RecurringFactorBased($B67,"Daily",C$4,C$119),
_xlpm.weekdays,RecurringFactorBased($B67,"Weekdays",C$4,C$119),
_xlpm.paydays,RecurringFactorBased($B67,"Paydays",C$4,C$119),
_xlpm.mondays,RecurringFactorBased($B67,"Mondays",C$4,C$119),
_xlpm.tuesdays,RecurringFactorBased($B67,"Tuesdays",C$4,C$119),
_xlpm.wednesdays,RecurringFactorBased($B67,"Wednesdays",C$4,C$119),
_xlpm.thursdays,RecurringFactorBased($B67,"Thursdays",C$4,C$119),
_xlpm.fridays,RecurringFactorBased($B67,"Fridays",C$4,C$119),
_xlpm.saturdays,RecurringFactorBased($B67,"Saturdays",C$4,C$119),
_xlpm.sundays,RecurringFactorBased($B67,"Sundays",C$4,C$119),
_xlpm.monthly,RecurringMonthly($B67,C$4),
_xlpm.annual,RecurringAnnual($B67,C$4),
_xlpm.planned,SUMIFS(Planned!$F:$F,Planned!$B:$B,$B67,Planned!$E:$E,"&gt;="&amp;C$4,Planned!$E:$E,"&lt;="&amp;EOMONTH(C$4,0)),
_xlpm.daily+_xlpm.weekdays+_xlpm.mondays+_xlpm.tuesdays+_xlpm.wednesdays+_xlpm.thursdays+_xlpm.fridays+_xlpm.saturdays+_xlpm.sundays+_xlpm.paydays+_xlpm.monthly+_xlpm.annual+_xlpm.planned)</f>
        <v>10</v>
      </c>
      <c r="D67" s="143" cm="1">
        <f t="array" aca="1" ref="D67" ca="1">_xlfn.LET(
_xlpm.daily,RecurringFactorBased($B67,"Daily",D$4,D$119),
_xlpm.weekdays,RecurringFactorBased($B67,"Weekdays",D$4,D$119),
_xlpm.paydays,RecurringFactorBased($B67,"Paydays",D$4,D$119),
_xlpm.mondays,RecurringFactorBased($B67,"Mondays",D$4,D$119),
_xlpm.tuesdays,RecurringFactorBased($B67,"Tuesdays",D$4,D$119),
_xlpm.wednesdays,RecurringFactorBased($B67,"Wednesdays",D$4,D$119),
_xlpm.thursdays,RecurringFactorBased($B67,"Thursdays",D$4,D$119),
_xlpm.fridays,RecurringFactorBased($B67,"Fridays",D$4,D$119),
_xlpm.saturdays,RecurringFactorBased($B67,"Saturdays",D$4,D$119),
_xlpm.sundays,RecurringFactorBased($B67,"Sundays",D$4,D$119),
_xlpm.monthly,RecurringMonthly($B67,D$4),
_xlpm.annual,RecurringAnnual($B67,D$4),
_xlpm.planned,SUMIFS(Planned!$F:$F,Planned!$B:$B,$B67,Planned!$E:$E,"&gt;="&amp;D$4,Planned!$E:$E,"&lt;="&amp;EOMONTH(D$4,0)),
_xlpm.daily+_xlpm.weekdays+_xlpm.mondays+_xlpm.tuesdays+_xlpm.wednesdays+_xlpm.thursdays+_xlpm.fridays+_xlpm.saturdays+_xlpm.sundays+_xlpm.paydays+_xlpm.monthly+_xlpm.annual+_xlpm.planned)</f>
        <v>300</v>
      </c>
      <c r="E67" s="143" cm="1">
        <f t="array" aca="1" ref="E67" ca="1">_xlfn.LET(
_xlpm.daily,RecurringFactorBased($B67,"Daily",E$4,E$119),
_xlpm.weekdays,RecurringFactorBased($B67,"Weekdays",E$4,E$119),
_xlpm.paydays,RecurringFactorBased($B67,"Paydays",E$4,E$119),
_xlpm.mondays,RecurringFactorBased($B67,"Mondays",E$4,E$119),
_xlpm.tuesdays,RecurringFactorBased($B67,"Tuesdays",E$4,E$119),
_xlpm.wednesdays,RecurringFactorBased($B67,"Wednesdays",E$4,E$119),
_xlpm.thursdays,RecurringFactorBased($B67,"Thursdays",E$4,E$119),
_xlpm.fridays,RecurringFactorBased($B67,"Fridays",E$4,E$119),
_xlpm.saturdays,RecurringFactorBased($B67,"Saturdays",E$4,E$119),
_xlpm.sundays,RecurringFactorBased($B67,"Sundays",E$4,E$119),
_xlpm.monthly,RecurringMonthly($B67,E$4),
_xlpm.annual,RecurringAnnual($B67,E$4),
_xlpm.planned,SUMIFS(Planned!$F:$F,Planned!$B:$B,$B67,Planned!$E:$E,"&gt;="&amp;E$4,Planned!$E:$E,"&lt;="&amp;EOMONTH(E$4,0)),
_xlpm.daily+_xlpm.weekdays+_xlpm.mondays+_xlpm.tuesdays+_xlpm.wednesdays+_xlpm.thursdays+_xlpm.fridays+_xlpm.saturdays+_xlpm.sundays+_xlpm.paydays+_xlpm.monthly+_xlpm.annual+_xlpm.planned)</f>
        <v>270</v>
      </c>
      <c r="F67" s="143" cm="1">
        <f t="array" aca="1" ref="F67" ca="1">_xlfn.LET(
_xlpm.daily,RecurringFactorBased($B67,"Daily",F$4,F$119),
_xlpm.weekdays,RecurringFactorBased($B67,"Weekdays",F$4,F$119),
_xlpm.paydays,RecurringFactorBased($B67,"Paydays",F$4,F$119),
_xlpm.mondays,RecurringFactorBased($B67,"Mondays",F$4,F$119),
_xlpm.tuesdays,RecurringFactorBased($B67,"Tuesdays",F$4,F$119),
_xlpm.wednesdays,RecurringFactorBased($B67,"Wednesdays",F$4,F$119),
_xlpm.thursdays,RecurringFactorBased($B67,"Thursdays",F$4,F$119),
_xlpm.fridays,RecurringFactorBased($B67,"Fridays",F$4,F$119),
_xlpm.saturdays,RecurringFactorBased($B67,"Saturdays",F$4,F$119),
_xlpm.sundays,RecurringFactorBased($B67,"Sundays",F$4,F$119),
_xlpm.monthly,RecurringMonthly($B67,F$4),
_xlpm.annual,RecurringAnnual($B67,F$4),
_xlpm.planned,SUMIFS(Planned!$F:$F,Planned!$B:$B,$B67,Planned!$E:$E,"&gt;="&amp;F$4,Planned!$E:$E,"&lt;="&amp;EOMONTH(F$4,0)),
_xlpm.daily+_xlpm.weekdays+_xlpm.mondays+_xlpm.tuesdays+_xlpm.wednesdays+_xlpm.thursdays+_xlpm.fridays+_xlpm.saturdays+_xlpm.sundays+_xlpm.paydays+_xlpm.monthly+_xlpm.annual+_xlpm.planned)</f>
        <v>300</v>
      </c>
      <c r="G67" s="143" cm="1">
        <f t="array" aca="1" ref="G67" ca="1">_xlfn.LET(
_xlpm.daily,RecurringFactorBased($B67,"Daily",G$4,G$119),
_xlpm.weekdays,RecurringFactorBased($B67,"Weekdays",G$4,G$119),
_xlpm.paydays,RecurringFactorBased($B67,"Paydays",G$4,G$119),
_xlpm.mondays,RecurringFactorBased($B67,"Mondays",G$4,G$119),
_xlpm.tuesdays,RecurringFactorBased($B67,"Tuesdays",G$4,G$119),
_xlpm.wednesdays,RecurringFactorBased($B67,"Wednesdays",G$4,G$119),
_xlpm.thursdays,RecurringFactorBased($B67,"Thursdays",G$4,G$119),
_xlpm.fridays,RecurringFactorBased($B67,"Fridays",G$4,G$119),
_xlpm.saturdays,RecurringFactorBased($B67,"Saturdays",G$4,G$119),
_xlpm.sundays,RecurringFactorBased($B67,"Sundays",G$4,G$119),
_xlpm.monthly,RecurringMonthly($B67,G$4),
_xlpm.annual,RecurringAnnual($B67,G$4),
_xlpm.planned,SUMIFS(Planned!$F:$F,Planned!$B:$B,$B67,Planned!$E:$E,"&gt;="&amp;G$4,Planned!$E:$E,"&lt;="&amp;EOMONTH(G$4,0)),
_xlpm.daily+_xlpm.weekdays+_xlpm.mondays+_xlpm.tuesdays+_xlpm.wednesdays+_xlpm.thursdays+_xlpm.fridays+_xlpm.saturdays+_xlpm.sundays+_xlpm.paydays+_xlpm.monthly+_xlpm.annual+_xlpm.planned)</f>
        <v>290</v>
      </c>
      <c r="H67" s="143" cm="1">
        <f t="array" aca="1" ref="H67" ca="1">_xlfn.LET(
_xlpm.daily,RecurringFactorBased($B67,"Daily",H$4,H$119),
_xlpm.weekdays,RecurringFactorBased($B67,"Weekdays",H$4,H$119),
_xlpm.paydays,RecurringFactorBased($B67,"Paydays",H$4,H$119),
_xlpm.mondays,RecurringFactorBased($B67,"Mondays",H$4,H$119),
_xlpm.tuesdays,RecurringFactorBased($B67,"Tuesdays",H$4,H$119),
_xlpm.wednesdays,RecurringFactorBased($B67,"Wednesdays",H$4,H$119),
_xlpm.thursdays,RecurringFactorBased($B67,"Thursdays",H$4,H$119),
_xlpm.fridays,RecurringFactorBased($B67,"Fridays",H$4,H$119),
_xlpm.saturdays,RecurringFactorBased($B67,"Saturdays",H$4,H$119),
_xlpm.sundays,RecurringFactorBased($B67,"Sundays",H$4,H$119),
_xlpm.monthly,RecurringMonthly($B67,H$4),
_xlpm.annual,RecurringAnnual($B67,H$4),
_xlpm.planned,SUMIFS(Planned!$F:$F,Planned!$B:$B,$B67,Planned!$E:$E,"&gt;="&amp;H$4,Planned!$E:$E,"&lt;="&amp;EOMONTH(H$4,0)),
_xlpm.daily+_xlpm.weekdays+_xlpm.mondays+_xlpm.tuesdays+_xlpm.wednesdays+_xlpm.thursdays+_xlpm.fridays+_xlpm.saturdays+_xlpm.sundays+_xlpm.paydays+_xlpm.monthly+_xlpm.annual+_xlpm.planned)</f>
        <v>300</v>
      </c>
      <c r="I67" s="143" cm="1">
        <f t="array" aca="1" ref="I67" ca="1">_xlfn.LET(
_xlpm.daily,RecurringFactorBased($B67,"Daily",I$4,I$119),
_xlpm.weekdays,RecurringFactorBased($B67,"Weekdays",I$4,I$119),
_xlpm.paydays,RecurringFactorBased($B67,"Paydays",I$4,I$119),
_xlpm.mondays,RecurringFactorBased($B67,"Mondays",I$4,I$119),
_xlpm.tuesdays,RecurringFactorBased($B67,"Tuesdays",I$4,I$119),
_xlpm.wednesdays,RecurringFactorBased($B67,"Wednesdays",I$4,I$119),
_xlpm.thursdays,RecurringFactorBased($B67,"Thursdays",I$4,I$119),
_xlpm.fridays,RecurringFactorBased($B67,"Fridays",I$4,I$119),
_xlpm.saturdays,RecurringFactorBased($B67,"Saturdays",I$4,I$119),
_xlpm.sundays,RecurringFactorBased($B67,"Sundays",I$4,I$119),
_xlpm.monthly,RecurringMonthly($B67,I$4),
_xlpm.annual,RecurringAnnual($B67,I$4),
_xlpm.planned,SUMIFS(Planned!$F:$F,Planned!$B:$B,$B67,Planned!$E:$E,"&gt;="&amp;I$4,Planned!$E:$E,"&lt;="&amp;EOMONTH(I$4,0)),
_xlpm.daily+_xlpm.weekdays+_xlpm.mondays+_xlpm.tuesdays+_xlpm.wednesdays+_xlpm.thursdays+_xlpm.fridays+_xlpm.saturdays+_xlpm.sundays+_xlpm.paydays+_xlpm.monthly+_xlpm.annual+_xlpm.planned)</f>
        <v>290</v>
      </c>
      <c r="J67" s="143" cm="1">
        <f t="array" aca="1" ref="J67" ca="1">_xlfn.LET(
_xlpm.daily,RecurringFactorBased($B67,"Daily",J$4,J$119),
_xlpm.weekdays,RecurringFactorBased($B67,"Weekdays",J$4,J$119),
_xlpm.paydays,RecurringFactorBased($B67,"Paydays",J$4,J$119),
_xlpm.mondays,RecurringFactorBased($B67,"Mondays",J$4,J$119),
_xlpm.tuesdays,RecurringFactorBased($B67,"Tuesdays",J$4,J$119),
_xlpm.wednesdays,RecurringFactorBased($B67,"Wednesdays",J$4,J$119),
_xlpm.thursdays,RecurringFactorBased($B67,"Thursdays",J$4,J$119),
_xlpm.fridays,RecurringFactorBased($B67,"Fridays",J$4,J$119),
_xlpm.saturdays,RecurringFactorBased($B67,"Saturdays",J$4,J$119),
_xlpm.sundays,RecurringFactorBased($B67,"Sundays",J$4,J$119),
_xlpm.monthly,RecurringMonthly($B67,J$4),
_xlpm.annual,RecurringAnnual($B67,J$4),
_xlpm.planned,SUMIFS(Planned!$F:$F,Planned!$B:$B,$B67,Planned!$E:$E,"&gt;="&amp;J$4,Planned!$E:$E,"&lt;="&amp;EOMONTH(J$4,0)),
_xlpm.daily+_xlpm.weekdays+_xlpm.mondays+_xlpm.tuesdays+_xlpm.wednesdays+_xlpm.thursdays+_xlpm.fridays+_xlpm.saturdays+_xlpm.sundays+_xlpm.paydays+_xlpm.monthly+_xlpm.annual+_xlpm.planned)</f>
        <v>300</v>
      </c>
      <c r="K67" s="143" cm="1">
        <f t="array" aca="1" ref="K67" ca="1">_xlfn.LET(
_xlpm.daily,RecurringFactorBased($B67,"Daily",K$4,K$119),
_xlpm.weekdays,RecurringFactorBased($B67,"Weekdays",K$4,K$119),
_xlpm.paydays,RecurringFactorBased($B67,"Paydays",K$4,K$119),
_xlpm.mondays,RecurringFactorBased($B67,"Mondays",K$4,K$119),
_xlpm.tuesdays,RecurringFactorBased($B67,"Tuesdays",K$4,K$119),
_xlpm.wednesdays,RecurringFactorBased($B67,"Wednesdays",K$4,K$119),
_xlpm.thursdays,RecurringFactorBased($B67,"Thursdays",K$4,K$119),
_xlpm.fridays,RecurringFactorBased($B67,"Fridays",K$4,K$119),
_xlpm.saturdays,RecurringFactorBased($B67,"Saturdays",K$4,K$119),
_xlpm.sundays,RecurringFactorBased($B67,"Sundays",K$4,K$119),
_xlpm.monthly,RecurringMonthly($B67,K$4),
_xlpm.annual,RecurringAnnual($B67,K$4),
_xlpm.planned,SUMIFS(Planned!$F:$F,Planned!$B:$B,$B67,Planned!$E:$E,"&gt;="&amp;K$4,Planned!$E:$E,"&lt;="&amp;EOMONTH(K$4,0)),
_xlpm.daily+_xlpm.weekdays+_xlpm.mondays+_xlpm.tuesdays+_xlpm.wednesdays+_xlpm.thursdays+_xlpm.fridays+_xlpm.saturdays+_xlpm.sundays+_xlpm.paydays+_xlpm.monthly+_xlpm.annual+_xlpm.planned)</f>
        <v>300</v>
      </c>
      <c r="L67" s="143" cm="1">
        <f t="array" aca="1" ref="L67" ca="1">_xlfn.LET(
_xlpm.daily,RecurringFactorBased($B67,"Daily",L$4,L$119),
_xlpm.weekdays,RecurringFactorBased($B67,"Weekdays",L$4,L$119),
_xlpm.paydays,RecurringFactorBased($B67,"Paydays",L$4,L$119),
_xlpm.mondays,RecurringFactorBased($B67,"Mondays",L$4,L$119),
_xlpm.tuesdays,RecurringFactorBased($B67,"Tuesdays",L$4,L$119),
_xlpm.wednesdays,RecurringFactorBased($B67,"Wednesdays",L$4,L$119),
_xlpm.thursdays,RecurringFactorBased($B67,"Thursdays",L$4,L$119),
_xlpm.fridays,RecurringFactorBased($B67,"Fridays",L$4,L$119),
_xlpm.saturdays,RecurringFactorBased($B67,"Saturdays",L$4,L$119),
_xlpm.sundays,RecurringFactorBased($B67,"Sundays",L$4,L$119),
_xlpm.monthly,RecurringMonthly($B67,L$4),
_xlpm.annual,RecurringAnnual($B67,L$4),
_xlpm.planned,SUMIFS(Planned!$F:$F,Planned!$B:$B,$B67,Planned!$E:$E,"&gt;="&amp;L$4,Planned!$E:$E,"&lt;="&amp;EOMONTH(L$4,0)),
_xlpm.daily+_xlpm.weekdays+_xlpm.mondays+_xlpm.tuesdays+_xlpm.wednesdays+_xlpm.thursdays+_xlpm.fridays+_xlpm.saturdays+_xlpm.sundays+_xlpm.paydays+_xlpm.monthly+_xlpm.annual+_xlpm.planned)</f>
        <v>290</v>
      </c>
      <c r="M67" s="143" cm="1">
        <f t="array" aca="1" ref="M67" ca="1">_xlfn.LET(
_xlpm.daily,RecurringFactorBased($B67,"Daily",M$4,M$119),
_xlpm.weekdays,RecurringFactorBased($B67,"Weekdays",M$4,M$119),
_xlpm.paydays,RecurringFactorBased($B67,"Paydays",M$4,M$119),
_xlpm.mondays,RecurringFactorBased($B67,"Mondays",M$4,M$119),
_xlpm.tuesdays,RecurringFactorBased($B67,"Tuesdays",M$4,M$119),
_xlpm.wednesdays,RecurringFactorBased($B67,"Wednesdays",M$4,M$119),
_xlpm.thursdays,RecurringFactorBased($B67,"Thursdays",M$4,M$119),
_xlpm.fridays,RecurringFactorBased($B67,"Fridays",M$4,M$119),
_xlpm.saturdays,RecurringFactorBased($B67,"Saturdays",M$4,M$119),
_xlpm.sundays,RecurringFactorBased($B67,"Sundays",M$4,M$119),
_xlpm.monthly,RecurringMonthly($B67,M$4),
_xlpm.annual,RecurringAnnual($B67,M$4),
_xlpm.planned,SUMIFS(Planned!$F:$F,Planned!$B:$B,$B67,Planned!$E:$E,"&gt;="&amp;M$4,Planned!$E:$E,"&lt;="&amp;EOMONTH(M$4,0)),
_xlpm.daily+_xlpm.weekdays+_xlpm.mondays+_xlpm.tuesdays+_xlpm.wednesdays+_xlpm.thursdays+_xlpm.fridays+_xlpm.saturdays+_xlpm.sundays+_xlpm.paydays+_xlpm.monthly+_xlpm.annual+_xlpm.planned)</f>
        <v>300</v>
      </c>
      <c r="N67" s="143" cm="1">
        <f t="array" aca="1" ref="N67" ca="1">_xlfn.LET(
_xlpm.daily,RecurringFactorBased($B67,"Daily",N$4,N$119),
_xlpm.weekdays,RecurringFactorBased($B67,"Weekdays",N$4,N$119),
_xlpm.paydays,RecurringFactorBased($B67,"Paydays",N$4,N$119),
_xlpm.mondays,RecurringFactorBased($B67,"Mondays",N$4,N$119),
_xlpm.tuesdays,RecurringFactorBased($B67,"Tuesdays",N$4,N$119),
_xlpm.wednesdays,RecurringFactorBased($B67,"Wednesdays",N$4,N$119),
_xlpm.thursdays,RecurringFactorBased($B67,"Thursdays",N$4,N$119),
_xlpm.fridays,RecurringFactorBased($B67,"Fridays",N$4,N$119),
_xlpm.saturdays,RecurringFactorBased($B67,"Saturdays",N$4,N$119),
_xlpm.sundays,RecurringFactorBased($B67,"Sundays",N$4,N$119),
_xlpm.monthly,RecurringMonthly($B67,N$4),
_xlpm.annual,RecurringAnnual($B67,N$4),
_xlpm.planned,SUMIFS(Planned!$F:$F,Planned!$B:$B,$B67,Planned!$E:$E,"&gt;="&amp;N$4,Planned!$E:$E,"&lt;="&amp;EOMONTH(N$4,0)),
_xlpm.daily+_xlpm.weekdays+_xlpm.mondays+_xlpm.tuesdays+_xlpm.wednesdays+_xlpm.thursdays+_xlpm.fridays+_xlpm.saturdays+_xlpm.sundays+_xlpm.paydays+_xlpm.monthly+_xlpm.annual+_xlpm.planned)</f>
        <v>290</v>
      </c>
      <c r="O67" s="133"/>
      <c r="P67" s="144">
        <f t="shared" ref="P67:P70" ca="1" si="15">SUM(C67:N67)</f>
        <v>3240</v>
      </c>
      <c r="Q67" s="80"/>
      <c r="R67" s="202"/>
      <c r="U67" s="22"/>
    </row>
    <row r="68" spans="1:23" ht="12.75" customHeight="1" x14ac:dyDescent="0.2">
      <c r="A68" s="66"/>
      <c r="B68" s="102" t="s">
        <v>5</v>
      </c>
      <c r="C68" s="143" cm="1">
        <f t="array" aca="1" ref="C68" ca="1">_xlfn.LET(
_xlpm.daily,RecurringFactorBased($B68,"Daily",C$4,C$119),
_xlpm.weekdays,RecurringFactorBased($B68,"Weekdays",C$4,C$119),
_xlpm.paydays,RecurringFactorBased($B68,"Paydays",C$4,C$119),
_xlpm.mondays,RecurringFactorBased($B68,"Mondays",C$4,C$119),
_xlpm.tuesdays,RecurringFactorBased($B68,"Tuesdays",C$4,C$119),
_xlpm.wednesdays,RecurringFactorBased($B68,"Wednesdays",C$4,C$119),
_xlpm.thursdays,RecurringFactorBased($B68,"Thursdays",C$4,C$119),
_xlpm.fridays,RecurringFactorBased($B68,"Fridays",C$4,C$119),
_xlpm.saturdays,RecurringFactorBased($B68,"Saturdays",C$4,C$119),
_xlpm.sundays,RecurringFactorBased($B68,"Sundays",C$4,C$119),
_xlpm.monthly,RecurringMonthly($B68,C$4),
_xlpm.annual,RecurringAnnual($B68,C$4),
_xlpm.planned,SUMIFS(Planned!$F:$F,Planned!$B:$B,$B68,Planned!$E:$E,"&gt;="&amp;C$4,Planned!$E:$E,"&lt;="&amp;EOMONTH(C$4,0)),
_xlpm.daily+_xlpm.weekdays+_xlpm.mondays+_xlpm.tuesdays+_xlpm.wednesdays+_xlpm.thursdays+_xlpm.fridays+_xlpm.saturdays+_xlpm.sundays+_xlpm.paydays+_xlpm.monthly+_xlpm.annual+_xlpm.planned)</f>
        <v>10</v>
      </c>
      <c r="D68" s="143" cm="1">
        <f t="array" aca="1" ref="D68" ca="1">_xlfn.LET(
_xlpm.daily,RecurringFactorBased($B68,"Daily",D$4,D$119),
_xlpm.weekdays,RecurringFactorBased($B68,"Weekdays",D$4,D$119),
_xlpm.paydays,RecurringFactorBased($B68,"Paydays",D$4,D$119),
_xlpm.mondays,RecurringFactorBased($B68,"Mondays",D$4,D$119),
_xlpm.tuesdays,RecurringFactorBased($B68,"Tuesdays",D$4,D$119),
_xlpm.wednesdays,RecurringFactorBased($B68,"Wednesdays",D$4,D$119),
_xlpm.thursdays,RecurringFactorBased($B68,"Thursdays",D$4,D$119),
_xlpm.fridays,RecurringFactorBased($B68,"Fridays",D$4,D$119),
_xlpm.saturdays,RecurringFactorBased($B68,"Saturdays",D$4,D$119),
_xlpm.sundays,RecurringFactorBased($B68,"Sundays",D$4,D$119),
_xlpm.monthly,RecurringMonthly($B68,D$4),
_xlpm.annual,RecurringAnnual($B68,D$4),
_xlpm.planned,SUMIFS(Planned!$F:$F,Planned!$B:$B,$B68,Planned!$E:$E,"&gt;="&amp;D$4,Planned!$E:$E,"&lt;="&amp;EOMONTH(D$4,0)),
_xlpm.daily+_xlpm.weekdays+_xlpm.mondays+_xlpm.tuesdays+_xlpm.wednesdays+_xlpm.thursdays+_xlpm.fridays+_xlpm.saturdays+_xlpm.sundays+_xlpm.paydays+_xlpm.monthly+_xlpm.annual+_xlpm.planned)</f>
        <v>300</v>
      </c>
      <c r="E68" s="143" cm="1">
        <f t="array" aca="1" ref="E68" ca="1">_xlfn.LET(
_xlpm.daily,RecurringFactorBased($B68,"Daily",E$4,E$119),
_xlpm.weekdays,RecurringFactorBased($B68,"Weekdays",E$4,E$119),
_xlpm.paydays,RecurringFactorBased($B68,"Paydays",E$4,E$119),
_xlpm.mondays,RecurringFactorBased($B68,"Mondays",E$4,E$119),
_xlpm.tuesdays,RecurringFactorBased($B68,"Tuesdays",E$4,E$119),
_xlpm.wednesdays,RecurringFactorBased($B68,"Wednesdays",E$4,E$119),
_xlpm.thursdays,RecurringFactorBased($B68,"Thursdays",E$4,E$119),
_xlpm.fridays,RecurringFactorBased($B68,"Fridays",E$4,E$119),
_xlpm.saturdays,RecurringFactorBased($B68,"Saturdays",E$4,E$119),
_xlpm.sundays,RecurringFactorBased($B68,"Sundays",E$4,E$119),
_xlpm.monthly,RecurringMonthly($B68,E$4),
_xlpm.annual,RecurringAnnual($B68,E$4),
_xlpm.planned,SUMIFS(Planned!$F:$F,Planned!$B:$B,$B68,Planned!$E:$E,"&gt;="&amp;E$4,Planned!$E:$E,"&lt;="&amp;EOMONTH(E$4,0)),
_xlpm.daily+_xlpm.weekdays+_xlpm.mondays+_xlpm.tuesdays+_xlpm.wednesdays+_xlpm.thursdays+_xlpm.fridays+_xlpm.saturdays+_xlpm.sundays+_xlpm.paydays+_xlpm.monthly+_xlpm.annual+_xlpm.planned)</f>
        <v>270</v>
      </c>
      <c r="F68" s="143" cm="1">
        <f t="array" aca="1" ref="F68" ca="1">_xlfn.LET(
_xlpm.daily,RecurringFactorBased($B68,"Daily",F$4,F$119),
_xlpm.weekdays,RecurringFactorBased($B68,"Weekdays",F$4,F$119),
_xlpm.paydays,RecurringFactorBased($B68,"Paydays",F$4,F$119),
_xlpm.mondays,RecurringFactorBased($B68,"Mondays",F$4,F$119),
_xlpm.tuesdays,RecurringFactorBased($B68,"Tuesdays",F$4,F$119),
_xlpm.wednesdays,RecurringFactorBased($B68,"Wednesdays",F$4,F$119),
_xlpm.thursdays,RecurringFactorBased($B68,"Thursdays",F$4,F$119),
_xlpm.fridays,RecurringFactorBased($B68,"Fridays",F$4,F$119),
_xlpm.saturdays,RecurringFactorBased($B68,"Saturdays",F$4,F$119),
_xlpm.sundays,RecurringFactorBased($B68,"Sundays",F$4,F$119),
_xlpm.monthly,RecurringMonthly($B68,F$4),
_xlpm.annual,RecurringAnnual($B68,F$4),
_xlpm.planned,SUMIFS(Planned!$F:$F,Planned!$B:$B,$B68,Planned!$E:$E,"&gt;="&amp;F$4,Planned!$E:$E,"&lt;="&amp;EOMONTH(F$4,0)),
_xlpm.daily+_xlpm.weekdays+_xlpm.mondays+_xlpm.tuesdays+_xlpm.wednesdays+_xlpm.thursdays+_xlpm.fridays+_xlpm.saturdays+_xlpm.sundays+_xlpm.paydays+_xlpm.monthly+_xlpm.annual+_xlpm.planned)</f>
        <v>300</v>
      </c>
      <c r="G68" s="143" cm="1">
        <f t="array" aca="1" ref="G68" ca="1">_xlfn.LET(
_xlpm.daily,RecurringFactorBased($B68,"Daily",G$4,G$119),
_xlpm.weekdays,RecurringFactorBased($B68,"Weekdays",G$4,G$119),
_xlpm.paydays,RecurringFactorBased($B68,"Paydays",G$4,G$119),
_xlpm.mondays,RecurringFactorBased($B68,"Mondays",G$4,G$119),
_xlpm.tuesdays,RecurringFactorBased($B68,"Tuesdays",G$4,G$119),
_xlpm.wednesdays,RecurringFactorBased($B68,"Wednesdays",G$4,G$119),
_xlpm.thursdays,RecurringFactorBased($B68,"Thursdays",G$4,G$119),
_xlpm.fridays,RecurringFactorBased($B68,"Fridays",G$4,G$119),
_xlpm.saturdays,RecurringFactorBased($B68,"Saturdays",G$4,G$119),
_xlpm.sundays,RecurringFactorBased($B68,"Sundays",G$4,G$119),
_xlpm.monthly,RecurringMonthly($B68,G$4),
_xlpm.annual,RecurringAnnual($B68,G$4),
_xlpm.planned,SUMIFS(Planned!$F:$F,Planned!$B:$B,$B68,Planned!$E:$E,"&gt;="&amp;G$4,Planned!$E:$E,"&lt;="&amp;EOMONTH(G$4,0)),
_xlpm.daily+_xlpm.weekdays+_xlpm.mondays+_xlpm.tuesdays+_xlpm.wednesdays+_xlpm.thursdays+_xlpm.fridays+_xlpm.saturdays+_xlpm.sundays+_xlpm.paydays+_xlpm.monthly+_xlpm.annual+_xlpm.planned)</f>
        <v>290</v>
      </c>
      <c r="H68" s="143" cm="1">
        <f t="array" aca="1" ref="H68" ca="1">_xlfn.LET(
_xlpm.daily,RecurringFactorBased($B68,"Daily",H$4,H$119),
_xlpm.weekdays,RecurringFactorBased($B68,"Weekdays",H$4,H$119),
_xlpm.paydays,RecurringFactorBased($B68,"Paydays",H$4,H$119),
_xlpm.mondays,RecurringFactorBased($B68,"Mondays",H$4,H$119),
_xlpm.tuesdays,RecurringFactorBased($B68,"Tuesdays",H$4,H$119),
_xlpm.wednesdays,RecurringFactorBased($B68,"Wednesdays",H$4,H$119),
_xlpm.thursdays,RecurringFactorBased($B68,"Thursdays",H$4,H$119),
_xlpm.fridays,RecurringFactorBased($B68,"Fridays",H$4,H$119),
_xlpm.saturdays,RecurringFactorBased($B68,"Saturdays",H$4,H$119),
_xlpm.sundays,RecurringFactorBased($B68,"Sundays",H$4,H$119),
_xlpm.monthly,RecurringMonthly($B68,H$4),
_xlpm.annual,RecurringAnnual($B68,H$4),
_xlpm.planned,SUMIFS(Planned!$F:$F,Planned!$B:$B,$B68,Planned!$E:$E,"&gt;="&amp;H$4,Planned!$E:$E,"&lt;="&amp;EOMONTH(H$4,0)),
_xlpm.daily+_xlpm.weekdays+_xlpm.mondays+_xlpm.tuesdays+_xlpm.wednesdays+_xlpm.thursdays+_xlpm.fridays+_xlpm.saturdays+_xlpm.sundays+_xlpm.paydays+_xlpm.monthly+_xlpm.annual+_xlpm.planned)</f>
        <v>300</v>
      </c>
      <c r="I68" s="143" cm="1">
        <f t="array" aca="1" ref="I68" ca="1">_xlfn.LET(
_xlpm.daily,RecurringFactorBased($B68,"Daily",I$4,I$119),
_xlpm.weekdays,RecurringFactorBased($B68,"Weekdays",I$4,I$119),
_xlpm.paydays,RecurringFactorBased($B68,"Paydays",I$4,I$119),
_xlpm.mondays,RecurringFactorBased($B68,"Mondays",I$4,I$119),
_xlpm.tuesdays,RecurringFactorBased($B68,"Tuesdays",I$4,I$119),
_xlpm.wednesdays,RecurringFactorBased($B68,"Wednesdays",I$4,I$119),
_xlpm.thursdays,RecurringFactorBased($B68,"Thursdays",I$4,I$119),
_xlpm.fridays,RecurringFactorBased($B68,"Fridays",I$4,I$119),
_xlpm.saturdays,RecurringFactorBased($B68,"Saturdays",I$4,I$119),
_xlpm.sundays,RecurringFactorBased($B68,"Sundays",I$4,I$119),
_xlpm.monthly,RecurringMonthly($B68,I$4),
_xlpm.annual,RecurringAnnual($B68,I$4),
_xlpm.planned,SUMIFS(Planned!$F:$F,Planned!$B:$B,$B68,Planned!$E:$E,"&gt;="&amp;I$4,Planned!$E:$E,"&lt;="&amp;EOMONTH(I$4,0)),
_xlpm.daily+_xlpm.weekdays+_xlpm.mondays+_xlpm.tuesdays+_xlpm.wednesdays+_xlpm.thursdays+_xlpm.fridays+_xlpm.saturdays+_xlpm.sundays+_xlpm.paydays+_xlpm.monthly+_xlpm.annual+_xlpm.planned)</f>
        <v>290</v>
      </c>
      <c r="J68" s="143" cm="1">
        <f t="array" aca="1" ref="J68" ca="1">_xlfn.LET(
_xlpm.daily,RecurringFactorBased($B68,"Daily",J$4,J$119),
_xlpm.weekdays,RecurringFactorBased($B68,"Weekdays",J$4,J$119),
_xlpm.paydays,RecurringFactorBased($B68,"Paydays",J$4,J$119),
_xlpm.mondays,RecurringFactorBased($B68,"Mondays",J$4,J$119),
_xlpm.tuesdays,RecurringFactorBased($B68,"Tuesdays",J$4,J$119),
_xlpm.wednesdays,RecurringFactorBased($B68,"Wednesdays",J$4,J$119),
_xlpm.thursdays,RecurringFactorBased($B68,"Thursdays",J$4,J$119),
_xlpm.fridays,RecurringFactorBased($B68,"Fridays",J$4,J$119),
_xlpm.saturdays,RecurringFactorBased($B68,"Saturdays",J$4,J$119),
_xlpm.sundays,RecurringFactorBased($B68,"Sundays",J$4,J$119),
_xlpm.monthly,RecurringMonthly($B68,J$4),
_xlpm.annual,RecurringAnnual($B68,J$4),
_xlpm.planned,SUMIFS(Planned!$F:$F,Planned!$B:$B,$B68,Planned!$E:$E,"&gt;="&amp;J$4,Planned!$E:$E,"&lt;="&amp;EOMONTH(J$4,0)),
_xlpm.daily+_xlpm.weekdays+_xlpm.mondays+_xlpm.tuesdays+_xlpm.wednesdays+_xlpm.thursdays+_xlpm.fridays+_xlpm.saturdays+_xlpm.sundays+_xlpm.paydays+_xlpm.monthly+_xlpm.annual+_xlpm.planned)</f>
        <v>300</v>
      </c>
      <c r="K68" s="143" cm="1">
        <f t="array" aca="1" ref="K68" ca="1">_xlfn.LET(
_xlpm.daily,RecurringFactorBased($B68,"Daily",K$4,K$119),
_xlpm.weekdays,RecurringFactorBased($B68,"Weekdays",K$4,K$119),
_xlpm.paydays,RecurringFactorBased($B68,"Paydays",K$4,K$119),
_xlpm.mondays,RecurringFactorBased($B68,"Mondays",K$4,K$119),
_xlpm.tuesdays,RecurringFactorBased($B68,"Tuesdays",K$4,K$119),
_xlpm.wednesdays,RecurringFactorBased($B68,"Wednesdays",K$4,K$119),
_xlpm.thursdays,RecurringFactorBased($B68,"Thursdays",K$4,K$119),
_xlpm.fridays,RecurringFactorBased($B68,"Fridays",K$4,K$119),
_xlpm.saturdays,RecurringFactorBased($B68,"Saturdays",K$4,K$119),
_xlpm.sundays,RecurringFactorBased($B68,"Sundays",K$4,K$119),
_xlpm.monthly,RecurringMonthly($B68,K$4),
_xlpm.annual,RecurringAnnual($B68,K$4),
_xlpm.planned,SUMIFS(Planned!$F:$F,Planned!$B:$B,$B68,Planned!$E:$E,"&gt;="&amp;K$4,Planned!$E:$E,"&lt;="&amp;EOMONTH(K$4,0)),
_xlpm.daily+_xlpm.weekdays+_xlpm.mondays+_xlpm.tuesdays+_xlpm.wednesdays+_xlpm.thursdays+_xlpm.fridays+_xlpm.saturdays+_xlpm.sundays+_xlpm.paydays+_xlpm.monthly+_xlpm.annual+_xlpm.planned)</f>
        <v>300</v>
      </c>
      <c r="L68" s="143" cm="1">
        <f t="array" aca="1" ref="L68" ca="1">_xlfn.LET(
_xlpm.daily,RecurringFactorBased($B68,"Daily",L$4,L$119),
_xlpm.weekdays,RecurringFactorBased($B68,"Weekdays",L$4,L$119),
_xlpm.paydays,RecurringFactorBased($B68,"Paydays",L$4,L$119),
_xlpm.mondays,RecurringFactorBased($B68,"Mondays",L$4,L$119),
_xlpm.tuesdays,RecurringFactorBased($B68,"Tuesdays",L$4,L$119),
_xlpm.wednesdays,RecurringFactorBased($B68,"Wednesdays",L$4,L$119),
_xlpm.thursdays,RecurringFactorBased($B68,"Thursdays",L$4,L$119),
_xlpm.fridays,RecurringFactorBased($B68,"Fridays",L$4,L$119),
_xlpm.saturdays,RecurringFactorBased($B68,"Saturdays",L$4,L$119),
_xlpm.sundays,RecurringFactorBased($B68,"Sundays",L$4,L$119),
_xlpm.monthly,RecurringMonthly($B68,L$4),
_xlpm.annual,RecurringAnnual($B68,L$4),
_xlpm.planned,SUMIFS(Planned!$F:$F,Planned!$B:$B,$B68,Planned!$E:$E,"&gt;="&amp;L$4,Planned!$E:$E,"&lt;="&amp;EOMONTH(L$4,0)),
_xlpm.daily+_xlpm.weekdays+_xlpm.mondays+_xlpm.tuesdays+_xlpm.wednesdays+_xlpm.thursdays+_xlpm.fridays+_xlpm.saturdays+_xlpm.sundays+_xlpm.paydays+_xlpm.monthly+_xlpm.annual+_xlpm.planned)</f>
        <v>290</v>
      </c>
      <c r="M68" s="143" cm="1">
        <f t="array" aca="1" ref="M68" ca="1">_xlfn.LET(
_xlpm.daily,RecurringFactorBased($B68,"Daily",M$4,M$119),
_xlpm.weekdays,RecurringFactorBased($B68,"Weekdays",M$4,M$119),
_xlpm.paydays,RecurringFactorBased($B68,"Paydays",M$4,M$119),
_xlpm.mondays,RecurringFactorBased($B68,"Mondays",M$4,M$119),
_xlpm.tuesdays,RecurringFactorBased($B68,"Tuesdays",M$4,M$119),
_xlpm.wednesdays,RecurringFactorBased($B68,"Wednesdays",M$4,M$119),
_xlpm.thursdays,RecurringFactorBased($B68,"Thursdays",M$4,M$119),
_xlpm.fridays,RecurringFactorBased($B68,"Fridays",M$4,M$119),
_xlpm.saturdays,RecurringFactorBased($B68,"Saturdays",M$4,M$119),
_xlpm.sundays,RecurringFactorBased($B68,"Sundays",M$4,M$119),
_xlpm.monthly,RecurringMonthly($B68,M$4),
_xlpm.annual,RecurringAnnual($B68,M$4),
_xlpm.planned,SUMIFS(Planned!$F:$F,Planned!$B:$B,$B68,Planned!$E:$E,"&gt;="&amp;M$4,Planned!$E:$E,"&lt;="&amp;EOMONTH(M$4,0)),
_xlpm.daily+_xlpm.weekdays+_xlpm.mondays+_xlpm.tuesdays+_xlpm.wednesdays+_xlpm.thursdays+_xlpm.fridays+_xlpm.saturdays+_xlpm.sundays+_xlpm.paydays+_xlpm.monthly+_xlpm.annual+_xlpm.planned)</f>
        <v>300</v>
      </c>
      <c r="N68" s="143" cm="1">
        <f t="array" aca="1" ref="N68" ca="1">_xlfn.LET(
_xlpm.daily,RecurringFactorBased($B68,"Daily",N$4,N$119),
_xlpm.weekdays,RecurringFactorBased($B68,"Weekdays",N$4,N$119),
_xlpm.paydays,RecurringFactorBased($B68,"Paydays",N$4,N$119),
_xlpm.mondays,RecurringFactorBased($B68,"Mondays",N$4,N$119),
_xlpm.tuesdays,RecurringFactorBased($B68,"Tuesdays",N$4,N$119),
_xlpm.wednesdays,RecurringFactorBased($B68,"Wednesdays",N$4,N$119),
_xlpm.thursdays,RecurringFactorBased($B68,"Thursdays",N$4,N$119),
_xlpm.fridays,RecurringFactorBased($B68,"Fridays",N$4,N$119),
_xlpm.saturdays,RecurringFactorBased($B68,"Saturdays",N$4,N$119),
_xlpm.sundays,RecurringFactorBased($B68,"Sundays",N$4,N$119),
_xlpm.monthly,RecurringMonthly($B68,N$4),
_xlpm.annual,RecurringAnnual($B68,N$4),
_xlpm.planned,SUMIFS(Planned!$F:$F,Planned!$B:$B,$B68,Planned!$E:$E,"&gt;="&amp;N$4,Planned!$E:$E,"&lt;="&amp;EOMONTH(N$4,0)),
_xlpm.daily+_xlpm.weekdays+_xlpm.mondays+_xlpm.tuesdays+_xlpm.wednesdays+_xlpm.thursdays+_xlpm.fridays+_xlpm.saturdays+_xlpm.sundays+_xlpm.paydays+_xlpm.monthly+_xlpm.annual+_xlpm.planned)</f>
        <v>290</v>
      </c>
      <c r="O68" s="133"/>
      <c r="P68" s="144">
        <f t="shared" ca="1" si="15"/>
        <v>3240</v>
      </c>
      <c r="Q68" s="80"/>
      <c r="R68" s="202"/>
      <c r="U68" s="22"/>
    </row>
    <row r="69" spans="1:23" ht="12.75" customHeight="1" x14ac:dyDescent="0.2">
      <c r="A69" s="61"/>
      <c r="B69" s="102" t="s">
        <v>64</v>
      </c>
      <c r="C69" s="143" cm="1">
        <f t="array" aca="1" ref="C69" ca="1">_xlfn.LET(
_xlpm.daily,RecurringFactorBased($B69,"Daily",C$4,C$119),
_xlpm.weekdays,RecurringFactorBased($B69,"Weekdays",C$4,C$119),
_xlpm.paydays,RecurringFactorBased($B69,"Paydays",C$4,C$119),
_xlpm.mondays,RecurringFactorBased($B69,"Mondays",C$4,C$119),
_xlpm.tuesdays,RecurringFactorBased($B69,"Tuesdays",C$4,C$119),
_xlpm.wednesdays,RecurringFactorBased($B69,"Wednesdays",C$4,C$119),
_xlpm.thursdays,RecurringFactorBased($B69,"Thursdays",C$4,C$119),
_xlpm.fridays,RecurringFactorBased($B69,"Fridays",C$4,C$119),
_xlpm.saturdays,RecurringFactorBased($B69,"Saturdays",C$4,C$119),
_xlpm.sundays,RecurringFactorBased($B69,"Sundays",C$4,C$119),
_xlpm.monthly,RecurringMonthly($B69,C$4),
_xlpm.annual,RecurringAnnual($B69,C$4),
_xlpm.planned,SUMIFS(Planned!$F:$F,Planned!$B:$B,$B69,Planned!$E:$E,"&gt;="&amp;C$4,Planned!$E:$E,"&lt;="&amp;EOMONTH(C$4,0)),
_xlpm.daily+_xlpm.weekdays+_xlpm.mondays+_xlpm.tuesdays+_xlpm.wednesdays+_xlpm.thursdays+_xlpm.fridays+_xlpm.saturdays+_xlpm.sundays+_xlpm.paydays+_xlpm.monthly+_xlpm.annual+_xlpm.planned)</f>
        <v>500</v>
      </c>
      <c r="D69" s="143" cm="1">
        <f t="array" aca="1" ref="D69" ca="1">_xlfn.LET(
_xlpm.daily,RecurringFactorBased($B69,"Daily",D$4,D$119),
_xlpm.weekdays,RecurringFactorBased($B69,"Weekdays",D$4,D$119),
_xlpm.paydays,RecurringFactorBased($B69,"Paydays",D$4,D$119),
_xlpm.mondays,RecurringFactorBased($B69,"Mondays",D$4,D$119),
_xlpm.tuesdays,RecurringFactorBased($B69,"Tuesdays",D$4,D$119),
_xlpm.wednesdays,RecurringFactorBased($B69,"Wednesdays",D$4,D$119),
_xlpm.thursdays,RecurringFactorBased($B69,"Thursdays",D$4,D$119),
_xlpm.fridays,RecurringFactorBased($B69,"Fridays",D$4,D$119),
_xlpm.saturdays,RecurringFactorBased($B69,"Saturdays",D$4,D$119),
_xlpm.sundays,RecurringFactorBased($B69,"Sundays",D$4,D$119),
_xlpm.monthly,RecurringMonthly($B69,D$4),
_xlpm.annual,RecurringAnnual($B69,D$4),
_xlpm.planned,SUMIFS(Planned!$F:$F,Planned!$B:$B,$B69,Planned!$E:$E,"&gt;="&amp;D$4,Planned!$E:$E,"&lt;="&amp;EOMONTH(D$4,0)),
_xlpm.daily+_xlpm.weekdays+_xlpm.mondays+_xlpm.tuesdays+_xlpm.wednesdays+_xlpm.thursdays+_xlpm.fridays+_xlpm.saturdays+_xlpm.sundays+_xlpm.paydays+_xlpm.monthly+_xlpm.annual+_xlpm.planned)</f>
        <v>0</v>
      </c>
      <c r="E69" s="143" cm="1">
        <f t="array" aca="1" ref="E69" ca="1">_xlfn.LET(
_xlpm.daily,RecurringFactorBased($B69,"Daily",E$4,E$119),
_xlpm.weekdays,RecurringFactorBased($B69,"Weekdays",E$4,E$119),
_xlpm.paydays,RecurringFactorBased($B69,"Paydays",E$4,E$119),
_xlpm.mondays,RecurringFactorBased($B69,"Mondays",E$4,E$119),
_xlpm.tuesdays,RecurringFactorBased($B69,"Tuesdays",E$4,E$119),
_xlpm.wednesdays,RecurringFactorBased($B69,"Wednesdays",E$4,E$119),
_xlpm.thursdays,RecurringFactorBased($B69,"Thursdays",E$4,E$119),
_xlpm.fridays,RecurringFactorBased($B69,"Fridays",E$4,E$119),
_xlpm.saturdays,RecurringFactorBased($B69,"Saturdays",E$4,E$119),
_xlpm.sundays,RecurringFactorBased($B69,"Sundays",E$4,E$119),
_xlpm.monthly,RecurringMonthly($B69,E$4),
_xlpm.annual,RecurringAnnual($B69,E$4),
_xlpm.planned,SUMIFS(Planned!$F:$F,Planned!$B:$B,$B69,Planned!$E:$E,"&gt;="&amp;E$4,Planned!$E:$E,"&lt;="&amp;EOMONTH(E$4,0)),
_xlpm.daily+_xlpm.weekdays+_xlpm.mondays+_xlpm.tuesdays+_xlpm.wednesdays+_xlpm.thursdays+_xlpm.fridays+_xlpm.saturdays+_xlpm.sundays+_xlpm.paydays+_xlpm.monthly+_xlpm.annual+_xlpm.planned)</f>
        <v>0</v>
      </c>
      <c r="F69" s="143" cm="1">
        <f t="array" aca="1" ref="F69" ca="1">_xlfn.LET(
_xlpm.daily,RecurringFactorBased($B69,"Daily",F$4,F$119),
_xlpm.weekdays,RecurringFactorBased($B69,"Weekdays",F$4,F$119),
_xlpm.paydays,RecurringFactorBased($B69,"Paydays",F$4,F$119),
_xlpm.mondays,RecurringFactorBased($B69,"Mondays",F$4,F$119),
_xlpm.tuesdays,RecurringFactorBased($B69,"Tuesdays",F$4,F$119),
_xlpm.wednesdays,RecurringFactorBased($B69,"Wednesdays",F$4,F$119),
_xlpm.thursdays,RecurringFactorBased($B69,"Thursdays",F$4,F$119),
_xlpm.fridays,RecurringFactorBased($B69,"Fridays",F$4,F$119),
_xlpm.saturdays,RecurringFactorBased($B69,"Saturdays",F$4,F$119),
_xlpm.sundays,RecurringFactorBased($B69,"Sundays",F$4,F$119),
_xlpm.monthly,RecurringMonthly($B69,F$4),
_xlpm.annual,RecurringAnnual($B69,F$4),
_xlpm.planned,SUMIFS(Planned!$F:$F,Planned!$B:$B,$B69,Planned!$E:$E,"&gt;="&amp;F$4,Planned!$E:$E,"&lt;="&amp;EOMONTH(F$4,0)),
_xlpm.daily+_xlpm.weekdays+_xlpm.mondays+_xlpm.tuesdays+_xlpm.wednesdays+_xlpm.thursdays+_xlpm.fridays+_xlpm.saturdays+_xlpm.sundays+_xlpm.paydays+_xlpm.monthly+_xlpm.annual+_xlpm.planned)</f>
        <v>0</v>
      </c>
      <c r="G69" s="143" cm="1">
        <f t="array" aca="1" ref="G69" ca="1">_xlfn.LET(
_xlpm.daily,RecurringFactorBased($B69,"Daily",G$4,G$119),
_xlpm.weekdays,RecurringFactorBased($B69,"Weekdays",G$4,G$119),
_xlpm.paydays,RecurringFactorBased($B69,"Paydays",G$4,G$119),
_xlpm.mondays,RecurringFactorBased($B69,"Mondays",G$4,G$119),
_xlpm.tuesdays,RecurringFactorBased($B69,"Tuesdays",G$4,G$119),
_xlpm.wednesdays,RecurringFactorBased($B69,"Wednesdays",G$4,G$119),
_xlpm.thursdays,RecurringFactorBased($B69,"Thursdays",G$4,G$119),
_xlpm.fridays,RecurringFactorBased($B69,"Fridays",G$4,G$119),
_xlpm.saturdays,RecurringFactorBased($B69,"Saturdays",G$4,G$119),
_xlpm.sundays,RecurringFactorBased($B69,"Sundays",G$4,G$119),
_xlpm.monthly,RecurringMonthly($B69,G$4),
_xlpm.annual,RecurringAnnual($B69,G$4),
_xlpm.planned,SUMIFS(Planned!$F:$F,Planned!$B:$B,$B69,Planned!$E:$E,"&gt;="&amp;G$4,Planned!$E:$E,"&lt;="&amp;EOMONTH(G$4,0)),
_xlpm.daily+_xlpm.weekdays+_xlpm.mondays+_xlpm.tuesdays+_xlpm.wednesdays+_xlpm.thursdays+_xlpm.fridays+_xlpm.saturdays+_xlpm.sundays+_xlpm.paydays+_xlpm.monthly+_xlpm.annual+_xlpm.planned)</f>
        <v>0</v>
      </c>
      <c r="H69" s="143" cm="1">
        <f t="array" aca="1" ref="H69" ca="1">_xlfn.LET(
_xlpm.daily,RecurringFactorBased($B69,"Daily",H$4,H$119),
_xlpm.weekdays,RecurringFactorBased($B69,"Weekdays",H$4,H$119),
_xlpm.paydays,RecurringFactorBased($B69,"Paydays",H$4,H$119),
_xlpm.mondays,RecurringFactorBased($B69,"Mondays",H$4,H$119),
_xlpm.tuesdays,RecurringFactorBased($B69,"Tuesdays",H$4,H$119),
_xlpm.wednesdays,RecurringFactorBased($B69,"Wednesdays",H$4,H$119),
_xlpm.thursdays,RecurringFactorBased($B69,"Thursdays",H$4,H$119),
_xlpm.fridays,RecurringFactorBased($B69,"Fridays",H$4,H$119),
_xlpm.saturdays,RecurringFactorBased($B69,"Saturdays",H$4,H$119),
_xlpm.sundays,RecurringFactorBased($B69,"Sundays",H$4,H$119),
_xlpm.monthly,RecurringMonthly($B69,H$4),
_xlpm.annual,RecurringAnnual($B69,H$4),
_xlpm.planned,SUMIFS(Planned!$F:$F,Planned!$B:$B,$B69,Planned!$E:$E,"&gt;="&amp;H$4,Planned!$E:$E,"&lt;="&amp;EOMONTH(H$4,0)),
_xlpm.daily+_xlpm.weekdays+_xlpm.mondays+_xlpm.tuesdays+_xlpm.wednesdays+_xlpm.thursdays+_xlpm.fridays+_xlpm.saturdays+_xlpm.sundays+_xlpm.paydays+_xlpm.monthly+_xlpm.annual+_xlpm.planned)</f>
        <v>0</v>
      </c>
      <c r="I69" s="143" cm="1">
        <f t="array" aca="1" ref="I69" ca="1">_xlfn.LET(
_xlpm.daily,RecurringFactorBased($B69,"Daily",I$4,I$119),
_xlpm.weekdays,RecurringFactorBased($B69,"Weekdays",I$4,I$119),
_xlpm.paydays,RecurringFactorBased($B69,"Paydays",I$4,I$119),
_xlpm.mondays,RecurringFactorBased($B69,"Mondays",I$4,I$119),
_xlpm.tuesdays,RecurringFactorBased($B69,"Tuesdays",I$4,I$119),
_xlpm.wednesdays,RecurringFactorBased($B69,"Wednesdays",I$4,I$119),
_xlpm.thursdays,RecurringFactorBased($B69,"Thursdays",I$4,I$119),
_xlpm.fridays,RecurringFactorBased($B69,"Fridays",I$4,I$119),
_xlpm.saturdays,RecurringFactorBased($B69,"Saturdays",I$4,I$119),
_xlpm.sundays,RecurringFactorBased($B69,"Sundays",I$4,I$119),
_xlpm.monthly,RecurringMonthly($B69,I$4),
_xlpm.annual,RecurringAnnual($B69,I$4),
_xlpm.planned,SUMIFS(Planned!$F:$F,Planned!$B:$B,$B69,Planned!$E:$E,"&gt;="&amp;I$4,Planned!$E:$E,"&lt;="&amp;EOMONTH(I$4,0)),
_xlpm.daily+_xlpm.weekdays+_xlpm.mondays+_xlpm.tuesdays+_xlpm.wednesdays+_xlpm.thursdays+_xlpm.fridays+_xlpm.saturdays+_xlpm.sundays+_xlpm.paydays+_xlpm.monthly+_xlpm.annual+_xlpm.planned)</f>
        <v>0</v>
      </c>
      <c r="J69" s="143" cm="1">
        <f t="array" aca="1" ref="J69" ca="1">_xlfn.LET(
_xlpm.daily,RecurringFactorBased($B69,"Daily",J$4,J$119),
_xlpm.weekdays,RecurringFactorBased($B69,"Weekdays",J$4,J$119),
_xlpm.paydays,RecurringFactorBased($B69,"Paydays",J$4,J$119),
_xlpm.mondays,RecurringFactorBased($B69,"Mondays",J$4,J$119),
_xlpm.tuesdays,RecurringFactorBased($B69,"Tuesdays",J$4,J$119),
_xlpm.wednesdays,RecurringFactorBased($B69,"Wednesdays",J$4,J$119),
_xlpm.thursdays,RecurringFactorBased($B69,"Thursdays",J$4,J$119),
_xlpm.fridays,RecurringFactorBased($B69,"Fridays",J$4,J$119),
_xlpm.saturdays,RecurringFactorBased($B69,"Saturdays",J$4,J$119),
_xlpm.sundays,RecurringFactorBased($B69,"Sundays",J$4,J$119),
_xlpm.monthly,RecurringMonthly($B69,J$4),
_xlpm.annual,RecurringAnnual($B69,J$4),
_xlpm.planned,SUMIFS(Planned!$F:$F,Planned!$B:$B,$B69,Planned!$E:$E,"&gt;="&amp;J$4,Planned!$E:$E,"&lt;="&amp;EOMONTH(J$4,0)),
_xlpm.daily+_xlpm.weekdays+_xlpm.mondays+_xlpm.tuesdays+_xlpm.wednesdays+_xlpm.thursdays+_xlpm.fridays+_xlpm.saturdays+_xlpm.sundays+_xlpm.paydays+_xlpm.monthly+_xlpm.annual+_xlpm.planned)</f>
        <v>0</v>
      </c>
      <c r="K69" s="143" cm="1">
        <f t="array" aca="1" ref="K69" ca="1">_xlfn.LET(
_xlpm.daily,RecurringFactorBased($B69,"Daily",K$4,K$119),
_xlpm.weekdays,RecurringFactorBased($B69,"Weekdays",K$4,K$119),
_xlpm.paydays,RecurringFactorBased($B69,"Paydays",K$4,K$119),
_xlpm.mondays,RecurringFactorBased($B69,"Mondays",K$4,K$119),
_xlpm.tuesdays,RecurringFactorBased($B69,"Tuesdays",K$4,K$119),
_xlpm.wednesdays,RecurringFactorBased($B69,"Wednesdays",K$4,K$119),
_xlpm.thursdays,RecurringFactorBased($B69,"Thursdays",K$4,K$119),
_xlpm.fridays,RecurringFactorBased($B69,"Fridays",K$4,K$119),
_xlpm.saturdays,RecurringFactorBased($B69,"Saturdays",K$4,K$119),
_xlpm.sundays,RecurringFactorBased($B69,"Sundays",K$4,K$119),
_xlpm.monthly,RecurringMonthly($B69,K$4),
_xlpm.annual,RecurringAnnual($B69,K$4),
_xlpm.planned,SUMIFS(Planned!$F:$F,Planned!$B:$B,$B69,Planned!$E:$E,"&gt;="&amp;K$4,Planned!$E:$E,"&lt;="&amp;EOMONTH(K$4,0)),
_xlpm.daily+_xlpm.weekdays+_xlpm.mondays+_xlpm.tuesdays+_xlpm.wednesdays+_xlpm.thursdays+_xlpm.fridays+_xlpm.saturdays+_xlpm.sundays+_xlpm.paydays+_xlpm.monthly+_xlpm.annual+_xlpm.planned)</f>
        <v>0</v>
      </c>
      <c r="L69" s="143" cm="1">
        <f t="array" aca="1" ref="L69" ca="1">_xlfn.LET(
_xlpm.daily,RecurringFactorBased($B69,"Daily",L$4,L$119),
_xlpm.weekdays,RecurringFactorBased($B69,"Weekdays",L$4,L$119),
_xlpm.paydays,RecurringFactorBased($B69,"Paydays",L$4,L$119),
_xlpm.mondays,RecurringFactorBased($B69,"Mondays",L$4,L$119),
_xlpm.tuesdays,RecurringFactorBased($B69,"Tuesdays",L$4,L$119),
_xlpm.wednesdays,RecurringFactorBased($B69,"Wednesdays",L$4,L$119),
_xlpm.thursdays,RecurringFactorBased($B69,"Thursdays",L$4,L$119),
_xlpm.fridays,RecurringFactorBased($B69,"Fridays",L$4,L$119),
_xlpm.saturdays,RecurringFactorBased($B69,"Saturdays",L$4,L$119),
_xlpm.sundays,RecurringFactorBased($B69,"Sundays",L$4,L$119),
_xlpm.monthly,RecurringMonthly($B69,L$4),
_xlpm.annual,RecurringAnnual($B69,L$4),
_xlpm.planned,SUMIFS(Planned!$F:$F,Planned!$B:$B,$B69,Planned!$E:$E,"&gt;="&amp;L$4,Planned!$E:$E,"&lt;="&amp;EOMONTH(L$4,0)),
_xlpm.daily+_xlpm.weekdays+_xlpm.mondays+_xlpm.tuesdays+_xlpm.wednesdays+_xlpm.thursdays+_xlpm.fridays+_xlpm.saturdays+_xlpm.sundays+_xlpm.paydays+_xlpm.monthly+_xlpm.annual+_xlpm.planned)</f>
        <v>0</v>
      </c>
      <c r="M69" s="143" cm="1">
        <f t="array" aca="1" ref="M69" ca="1">_xlfn.LET(
_xlpm.daily,RecurringFactorBased($B69,"Daily",M$4,M$119),
_xlpm.weekdays,RecurringFactorBased($B69,"Weekdays",M$4,M$119),
_xlpm.paydays,RecurringFactorBased($B69,"Paydays",M$4,M$119),
_xlpm.mondays,RecurringFactorBased($B69,"Mondays",M$4,M$119),
_xlpm.tuesdays,RecurringFactorBased($B69,"Tuesdays",M$4,M$119),
_xlpm.wednesdays,RecurringFactorBased($B69,"Wednesdays",M$4,M$119),
_xlpm.thursdays,RecurringFactorBased($B69,"Thursdays",M$4,M$119),
_xlpm.fridays,RecurringFactorBased($B69,"Fridays",M$4,M$119),
_xlpm.saturdays,RecurringFactorBased($B69,"Saturdays",M$4,M$119),
_xlpm.sundays,RecurringFactorBased($B69,"Sundays",M$4,M$119),
_xlpm.monthly,RecurringMonthly($B69,M$4),
_xlpm.annual,RecurringAnnual($B69,M$4),
_xlpm.planned,SUMIFS(Planned!$F:$F,Planned!$B:$B,$B69,Planned!$E:$E,"&gt;="&amp;M$4,Planned!$E:$E,"&lt;="&amp;EOMONTH(M$4,0)),
_xlpm.daily+_xlpm.weekdays+_xlpm.mondays+_xlpm.tuesdays+_xlpm.wednesdays+_xlpm.thursdays+_xlpm.fridays+_xlpm.saturdays+_xlpm.sundays+_xlpm.paydays+_xlpm.monthly+_xlpm.annual+_xlpm.planned)</f>
        <v>0</v>
      </c>
      <c r="N69" s="143" cm="1">
        <f t="array" aca="1" ref="N69" ca="1">_xlfn.LET(
_xlpm.daily,RecurringFactorBased($B69,"Daily",N$4,N$119),
_xlpm.weekdays,RecurringFactorBased($B69,"Weekdays",N$4,N$119),
_xlpm.paydays,RecurringFactorBased($B69,"Paydays",N$4,N$119),
_xlpm.mondays,RecurringFactorBased($B69,"Mondays",N$4,N$119),
_xlpm.tuesdays,RecurringFactorBased($B69,"Tuesdays",N$4,N$119),
_xlpm.wednesdays,RecurringFactorBased($B69,"Wednesdays",N$4,N$119),
_xlpm.thursdays,RecurringFactorBased($B69,"Thursdays",N$4,N$119),
_xlpm.fridays,RecurringFactorBased($B69,"Fridays",N$4,N$119),
_xlpm.saturdays,RecurringFactorBased($B69,"Saturdays",N$4,N$119),
_xlpm.sundays,RecurringFactorBased($B69,"Sundays",N$4,N$119),
_xlpm.monthly,RecurringMonthly($B69,N$4),
_xlpm.annual,RecurringAnnual($B69,N$4),
_xlpm.planned,SUMIFS(Planned!$F:$F,Planned!$B:$B,$B69,Planned!$E:$E,"&gt;="&amp;N$4,Planned!$E:$E,"&lt;="&amp;EOMONTH(N$4,0)),
_xlpm.daily+_xlpm.weekdays+_xlpm.mondays+_xlpm.tuesdays+_xlpm.wednesdays+_xlpm.thursdays+_xlpm.fridays+_xlpm.saturdays+_xlpm.sundays+_xlpm.paydays+_xlpm.monthly+_xlpm.annual+_xlpm.planned)</f>
        <v>0</v>
      </c>
      <c r="O69" s="133"/>
      <c r="P69" s="144">
        <f t="shared" ca="1" si="15"/>
        <v>500</v>
      </c>
      <c r="Q69" s="79"/>
      <c r="R69" s="202" t="s">
        <v>311</v>
      </c>
      <c r="U69" s="22"/>
    </row>
    <row r="70" spans="1:23" ht="12.75" customHeight="1" x14ac:dyDescent="0.2">
      <c r="A70" s="66"/>
      <c r="B70" s="102" t="s">
        <v>7</v>
      </c>
      <c r="C70" s="143" cm="1">
        <f t="array" aca="1" ref="C70" ca="1">_xlfn.LET(
_xlpm.daily,RecurringFactorBased($B70,"Daily",C$4,C$119),
_xlpm.weekdays,RecurringFactorBased($B70,"Weekdays",C$4,C$119),
_xlpm.paydays,RecurringFactorBased($B70,"Paydays",C$4,C$119),
_xlpm.mondays,RecurringFactorBased($B70,"Mondays",C$4,C$119),
_xlpm.tuesdays,RecurringFactorBased($B70,"Tuesdays",C$4,C$119),
_xlpm.wednesdays,RecurringFactorBased($B70,"Wednesdays",C$4,C$119),
_xlpm.thursdays,RecurringFactorBased($B70,"Thursdays",C$4,C$119),
_xlpm.fridays,RecurringFactorBased($B70,"Fridays",C$4,C$119),
_xlpm.saturdays,RecurringFactorBased($B70,"Saturdays",C$4,C$119),
_xlpm.sundays,RecurringFactorBased($B70,"Sundays",C$4,C$119),
_xlpm.monthly,RecurringMonthly($B70,C$4),
_xlpm.annual,RecurringAnnual($B70,C$4),
_xlpm.planned,SUMIFS(Planned!$F:$F,Planned!$B:$B,$B70,Planned!$E:$E,"&gt;="&amp;C$4,Planned!$E:$E,"&lt;="&amp;EOMONTH(C$4,0)),
_xlpm.daily+_xlpm.weekdays+_xlpm.mondays+_xlpm.tuesdays+_xlpm.wednesdays+_xlpm.thursdays+_xlpm.fridays+_xlpm.saturdays+_xlpm.sundays+_xlpm.paydays+_xlpm.monthly+_xlpm.annual+_xlpm.planned)</f>
        <v>0</v>
      </c>
      <c r="D70" s="143" cm="1">
        <f t="array" aca="1" ref="D70" ca="1">_xlfn.LET(
_xlpm.daily,RecurringFactorBased($B70,"Daily",D$4,D$119),
_xlpm.weekdays,RecurringFactorBased($B70,"Weekdays",D$4,D$119),
_xlpm.paydays,RecurringFactorBased($B70,"Paydays",D$4,D$119),
_xlpm.mondays,RecurringFactorBased($B70,"Mondays",D$4,D$119),
_xlpm.tuesdays,RecurringFactorBased($B70,"Tuesdays",D$4,D$119),
_xlpm.wednesdays,RecurringFactorBased($B70,"Wednesdays",D$4,D$119),
_xlpm.thursdays,RecurringFactorBased($B70,"Thursdays",D$4,D$119),
_xlpm.fridays,RecurringFactorBased($B70,"Fridays",D$4,D$119),
_xlpm.saturdays,RecurringFactorBased($B70,"Saturdays",D$4,D$119),
_xlpm.sundays,RecurringFactorBased($B70,"Sundays",D$4,D$119),
_xlpm.monthly,RecurringMonthly($B70,D$4),
_xlpm.annual,RecurringAnnual($B70,D$4),
_xlpm.planned,SUMIFS(Planned!$F:$F,Planned!$B:$B,$B70,Planned!$E:$E,"&gt;="&amp;D$4,Planned!$E:$E,"&lt;="&amp;EOMONTH(D$4,0)),
_xlpm.daily+_xlpm.weekdays+_xlpm.mondays+_xlpm.tuesdays+_xlpm.wednesdays+_xlpm.thursdays+_xlpm.fridays+_xlpm.saturdays+_xlpm.sundays+_xlpm.paydays+_xlpm.monthly+_xlpm.annual+_xlpm.planned)</f>
        <v>43.970000000000006</v>
      </c>
      <c r="E70" s="143" cm="1">
        <f t="array" aca="1" ref="E70" ca="1">_xlfn.LET(
_xlpm.daily,RecurringFactorBased($B70,"Daily",E$4,E$119),
_xlpm.weekdays,RecurringFactorBased($B70,"Weekdays",E$4,E$119),
_xlpm.paydays,RecurringFactorBased($B70,"Paydays",E$4,E$119),
_xlpm.mondays,RecurringFactorBased($B70,"Mondays",E$4,E$119),
_xlpm.tuesdays,RecurringFactorBased($B70,"Tuesdays",E$4,E$119),
_xlpm.wednesdays,RecurringFactorBased($B70,"Wednesdays",E$4,E$119),
_xlpm.thursdays,RecurringFactorBased($B70,"Thursdays",E$4,E$119),
_xlpm.fridays,RecurringFactorBased($B70,"Fridays",E$4,E$119),
_xlpm.saturdays,RecurringFactorBased($B70,"Saturdays",E$4,E$119),
_xlpm.sundays,RecurringFactorBased($B70,"Sundays",E$4,E$119),
_xlpm.monthly,RecurringMonthly($B70,E$4),
_xlpm.annual,RecurringAnnual($B70,E$4),
_xlpm.planned,SUMIFS(Planned!$F:$F,Planned!$B:$B,$B70,Planned!$E:$E,"&gt;="&amp;E$4,Planned!$E:$E,"&lt;="&amp;EOMONTH(E$4,0)),
_xlpm.daily+_xlpm.weekdays+_xlpm.mondays+_xlpm.tuesdays+_xlpm.wednesdays+_xlpm.thursdays+_xlpm.fridays+_xlpm.saturdays+_xlpm.sundays+_xlpm.paydays+_xlpm.monthly+_xlpm.annual+_xlpm.planned)</f>
        <v>43.970000000000006</v>
      </c>
      <c r="F70" s="143" cm="1">
        <f t="array" aca="1" ref="F70" ca="1">_xlfn.LET(
_xlpm.daily,RecurringFactorBased($B70,"Daily",F$4,F$119),
_xlpm.weekdays,RecurringFactorBased($B70,"Weekdays",F$4,F$119),
_xlpm.paydays,RecurringFactorBased($B70,"Paydays",F$4,F$119),
_xlpm.mondays,RecurringFactorBased($B70,"Mondays",F$4,F$119),
_xlpm.tuesdays,RecurringFactorBased($B70,"Tuesdays",F$4,F$119),
_xlpm.wednesdays,RecurringFactorBased($B70,"Wednesdays",F$4,F$119),
_xlpm.thursdays,RecurringFactorBased($B70,"Thursdays",F$4,F$119),
_xlpm.fridays,RecurringFactorBased($B70,"Fridays",F$4,F$119),
_xlpm.saturdays,RecurringFactorBased($B70,"Saturdays",F$4,F$119),
_xlpm.sundays,RecurringFactorBased($B70,"Sundays",F$4,F$119),
_xlpm.monthly,RecurringMonthly($B70,F$4),
_xlpm.annual,RecurringAnnual($B70,F$4),
_xlpm.planned,SUMIFS(Planned!$F:$F,Planned!$B:$B,$B70,Planned!$E:$E,"&gt;="&amp;F$4,Planned!$E:$E,"&lt;="&amp;EOMONTH(F$4,0)),
_xlpm.daily+_xlpm.weekdays+_xlpm.mondays+_xlpm.tuesdays+_xlpm.wednesdays+_xlpm.thursdays+_xlpm.fridays+_xlpm.saturdays+_xlpm.sundays+_xlpm.paydays+_xlpm.monthly+_xlpm.annual+_xlpm.planned)</f>
        <v>43.970000000000006</v>
      </c>
      <c r="G70" s="143" cm="1">
        <f t="array" aca="1" ref="G70" ca="1">_xlfn.LET(
_xlpm.daily,RecurringFactorBased($B70,"Daily",G$4,G$119),
_xlpm.weekdays,RecurringFactorBased($B70,"Weekdays",G$4,G$119),
_xlpm.paydays,RecurringFactorBased($B70,"Paydays",G$4,G$119),
_xlpm.mondays,RecurringFactorBased($B70,"Mondays",G$4,G$119),
_xlpm.tuesdays,RecurringFactorBased($B70,"Tuesdays",G$4,G$119),
_xlpm.wednesdays,RecurringFactorBased($B70,"Wednesdays",G$4,G$119),
_xlpm.thursdays,RecurringFactorBased($B70,"Thursdays",G$4,G$119),
_xlpm.fridays,RecurringFactorBased($B70,"Fridays",G$4,G$119),
_xlpm.saturdays,RecurringFactorBased($B70,"Saturdays",G$4,G$119),
_xlpm.sundays,RecurringFactorBased($B70,"Sundays",G$4,G$119),
_xlpm.monthly,RecurringMonthly($B70,G$4),
_xlpm.annual,RecurringAnnual($B70,G$4),
_xlpm.planned,SUMIFS(Planned!$F:$F,Planned!$B:$B,$B70,Planned!$E:$E,"&gt;="&amp;G$4,Planned!$E:$E,"&lt;="&amp;EOMONTH(G$4,0)),
_xlpm.daily+_xlpm.weekdays+_xlpm.mondays+_xlpm.tuesdays+_xlpm.wednesdays+_xlpm.thursdays+_xlpm.fridays+_xlpm.saturdays+_xlpm.sundays+_xlpm.paydays+_xlpm.monthly+_xlpm.annual+_xlpm.planned)</f>
        <v>43.970000000000006</v>
      </c>
      <c r="H70" s="143" cm="1">
        <f t="array" aca="1" ref="H70" ca="1">_xlfn.LET(
_xlpm.daily,RecurringFactorBased($B70,"Daily",H$4,H$119),
_xlpm.weekdays,RecurringFactorBased($B70,"Weekdays",H$4,H$119),
_xlpm.paydays,RecurringFactorBased($B70,"Paydays",H$4,H$119),
_xlpm.mondays,RecurringFactorBased($B70,"Mondays",H$4,H$119),
_xlpm.tuesdays,RecurringFactorBased($B70,"Tuesdays",H$4,H$119),
_xlpm.wednesdays,RecurringFactorBased($B70,"Wednesdays",H$4,H$119),
_xlpm.thursdays,RecurringFactorBased($B70,"Thursdays",H$4,H$119),
_xlpm.fridays,RecurringFactorBased($B70,"Fridays",H$4,H$119),
_xlpm.saturdays,RecurringFactorBased($B70,"Saturdays",H$4,H$119),
_xlpm.sundays,RecurringFactorBased($B70,"Sundays",H$4,H$119),
_xlpm.monthly,RecurringMonthly($B70,H$4),
_xlpm.annual,RecurringAnnual($B70,H$4),
_xlpm.planned,SUMIFS(Planned!$F:$F,Planned!$B:$B,$B70,Planned!$E:$E,"&gt;="&amp;H$4,Planned!$E:$E,"&lt;="&amp;EOMONTH(H$4,0)),
_xlpm.daily+_xlpm.weekdays+_xlpm.mondays+_xlpm.tuesdays+_xlpm.wednesdays+_xlpm.thursdays+_xlpm.fridays+_xlpm.saturdays+_xlpm.sundays+_xlpm.paydays+_xlpm.monthly+_xlpm.annual+_xlpm.planned)</f>
        <v>43.970000000000006</v>
      </c>
      <c r="I70" s="143" cm="1">
        <f t="array" aca="1" ref="I70" ca="1">_xlfn.LET(
_xlpm.daily,RecurringFactorBased($B70,"Daily",I$4,I$119),
_xlpm.weekdays,RecurringFactorBased($B70,"Weekdays",I$4,I$119),
_xlpm.paydays,RecurringFactorBased($B70,"Paydays",I$4,I$119),
_xlpm.mondays,RecurringFactorBased($B70,"Mondays",I$4,I$119),
_xlpm.tuesdays,RecurringFactorBased($B70,"Tuesdays",I$4,I$119),
_xlpm.wednesdays,RecurringFactorBased($B70,"Wednesdays",I$4,I$119),
_xlpm.thursdays,RecurringFactorBased($B70,"Thursdays",I$4,I$119),
_xlpm.fridays,RecurringFactorBased($B70,"Fridays",I$4,I$119),
_xlpm.saturdays,RecurringFactorBased($B70,"Saturdays",I$4,I$119),
_xlpm.sundays,RecurringFactorBased($B70,"Sundays",I$4,I$119),
_xlpm.monthly,RecurringMonthly($B70,I$4),
_xlpm.annual,RecurringAnnual($B70,I$4),
_xlpm.planned,SUMIFS(Planned!$F:$F,Planned!$B:$B,$B70,Planned!$E:$E,"&gt;="&amp;I$4,Planned!$E:$E,"&lt;="&amp;EOMONTH(I$4,0)),
_xlpm.daily+_xlpm.weekdays+_xlpm.mondays+_xlpm.tuesdays+_xlpm.wednesdays+_xlpm.thursdays+_xlpm.fridays+_xlpm.saturdays+_xlpm.sundays+_xlpm.paydays+_xlpm.monthly+_xlpm.annual+_xlpm.planned)</f>
        <v>112.97</v>
      </c>
      <c r="J70" s="143" cm="1">
        <f t="array" aca="1" ref="J70" ca="1">_xlfn.LET(
_xlpm.daily,RecurringFactorBased($B70,"Daily",J$4,J$119),
_xlpm.weekdays,RecurringFactorBased($B70,"Weekdays",J$4,J$119),
_xlpm.paydays,RecurringFactorBased($B70,"Paydays",J$4,J$119),
_xlpm.mondays,RecurringFactorBased($B70,"Mondays",J$4,J$119),
_xlpm.tuesdays,RecurringFactorBased($B70,"Tuesdays",J$4,J$119),
_xlpm.wednesdays,RecurringFactorBased($B70,"Wednesdays",J$4,J$119),
_xlpm.thursdays,RecurringFactorBased($B70,"Thursdays",J$4,J$119),
_xlpm.fridays,RecurringFactorBased($B70,"Fridays",J$4,J$119),
_xlpm.saturdays,RecurringFactorBased($B70,"Saturdays",J$4,J$119),
_xlpm.sundays,RecurringFactorBased($B70,"Sundays",J$4,J$119),
_xlpm.monthly,RecurringMonthly($B70,J$4),
_xlpm.annual,RecurringAnnual($B70,J$4),
_xlpm.planned,SUMIFS(Planned!$F:$F,Planned!$B:$B,$B70,Planned!$E:$E,"&gt;="&amp;J$4,Planned!$E:$E,"&lt;="&amp;EOMONTH(J$4,0)),
_xlpm.daily+_xlpm.weekdays+_xlpm.mondays+_xlpm.tuesdays+_xlpm.wednesdays+_xlpm.thursdays+_xlpm.fridays+_xlpm.saturdays+_xlpm.sundays+_xlpm.paydays+_xlpm.monthly+_xlpm.annual+_xlpm.planned)</f>
        <v>43.970000000000006</v>
      </c>
      <c r="K70" s="143" cm="1">
        <f t="array" aca="1" ref="K70" ca="1">_xlfn.LET(
_xlpm.daily,RecurringFactorBased($B70,"Daily",K$4,K$119),
_xlpm.weekdays,RecurringFactorBased($B70,"Weekdays",K$4,K$119),
_xlpm.paydays,RecurringFactorBased($B70,"Paydays",K$4,K$119),
_xlpm.mondays,RecurringFactorBased($B70,"Mondays",K$4,K$119),
_xlpm.tuesdays,RecurringFactorBased($B70,"Tuesdays",K$4,K$119),
_xlpm.wednesdays,RecurringFactorBased($B70,"Wednesdays",K$4,K$119),
_xlpm.thursdays,RecurringFactorBased($B70,"Thursdays",K$4,K$119),
_xlpm.fridays,RecurringFactorBased($B70,"Fridays",K$4,K$119),
_xlpm.saturdays,RecurringFactorBased($B70,"Saturdays",K$4,K$119),
_xlpm.sundays,RecurringFactorBased($B70,"Sundays",K$4,K$119),
_xlpm.monthly,RecurringMonthly($B70,K$4),
_xlpm.annual,RecurringAnnual($B70,K$4),
_xlpm.planned,SUMIFS(Planned!$F:$F,Planned!$B:$B,$B70,Planned!$E:$E,"&gt;="&amp;K$4,Planned!$E:$E,"&lt;="&amp;EOMONTH(K$4,0)),
_xlpm.daily+_xlpm.weekdays+_xlpm.mondays+_xlpm.tuesdays+_xlpm.wednesdays+_xlpm.thursdays+_xlpm.fridays+_xlpm.saturdays+_xlpm.sundays+_xlpm.paydays+_xlpm.monthly+_xlpm.annual+_xlpm.planned)</f>
        <v>43.970000000000006</v>
      </c>
      <c r="L70" s="143" cm="1">
        <f t="array" aca="1" ref="L70" ca="1">_xlfn.LET(
_xlpm.daily,RecurringFactorBased($B70,"Daily",L$4,L$119),
_xlpm.weekdays,RecurringFactorBased($B70,"Weekdays",L$4,L$119),
_xlpm.paydays,RecurringFactorBased($B70,"Paydays",L$4,L$119),
_xlpm.mondays,RecurringFactorBased($B70,"Mondays",L$4,L$119),
_xlpm.tuesdays,RecurringFactorBased($B70,"Tuesdays",L$4,L$119),
_xlpm.wednesdays,RecurringFactorBased($B70,"Wednesdays",L$4,L$119),
_xlpm.thursdays,RecurringFactorBased($B70,"Thursdays",L$4,L$119),
_xlpm.fridays,RecurringFactorBased($B70,"Fridays",L$4,L$119),
_xlpm.saturdays,RecurringFactorBased($B70,"Saturdays",L$4,L$119),
_xlpm.sundays,RecurringFactorBased($B70,"Sundays",L$4,L$119),
_xlpm.monthly,RecurringMonthly($B70,L$4),
_xlpm.annual,RecurringAnnual($B70,L$4),
_xlpm.planned,SUMIFS(Planned!$F:$F,Planned!$B:$B,$B70,Planned!$E:$E,"&gt;="&amp;L$4,Planned!$E:$E,"&lt;="&amp;EOMONTH(L$4,0)),
_xlpm.daily+_xlpm.weekdays+_xlpm.mondays+_xlpm.tuesdays+_xlpm.wednesdays+_xlpm.thursdays+_xlpm.fridays+_xlpm.saturdays+_xlpm.sundays+_xlpm.paydays+_xlpm.monthly+_xlpm.annual+_xlpm.planned)</f>
        <v>43.970000000000006</v>
      </c>
      <c r="M70" s="143" cm="1">
        <f t="array" aca="1" ref="M70" ca="1">_xlfn.LET(
_xlpm.daily,RecurringFactorBased($B70,"Daily",M$4,M$119),
_xlpm.weekdays,RecurringFactorBased($B70,"Weekdays",M$4,M$119),
_xlpm.paydays,RecurringFactorBased($B70,"Paydays",M$4,M$119),
_xlpm.mondays,RecurringFactorBased($B70,"Mondays",M$4,M$119),
_xlpm.tuesdays,RecurringFactorBased($B70,"Tuesdays",M$4,M$119),
_xlpm.wednesdays,RecurringFactorBased($B70,"Wednesdays",M$4,M$119),
_xlpm.thursdays,RecurringFactorBased($B70,"Thursdays",M$4,M$119),
_xlpm.fridays,RecurringFactorBased($B70,"Fridays",M$4,M$119),
_xlpm.saturdays,RecurringFactorBased($B70,"Saturdays",M$4,M$119),
_xlpm.sundays,RecurringFactorBased($B70,"Sundays",M$4,M$119),
_xlpm.monthly,RecurringMonthly($B70,M$4),
_xlpm.annual,RecurringAnnual($B70,M$4),
_xlpm.planned,SUMIFS(Planned!$F:$F,Planned!$B:$B,$B70,Planned!$E:$E,"&gt;="&amp;M$4,Planned!$E:$E,"&lt;="&amp;EOMONTH(M$4,0)),
_xlpm.daily+_xlpm.weekdays+_xlpm.mondays+_xlpm.tuesdays+_xlpm.wednesdays+_xlpm.thursdays+_xlpm.fridays+_xlpm.saturdays+_xlpm.sundays+_xlpm.paydays+_xlpm.monthly+_xlpm.annual+_xlpm.planned)</f>
        <v>43.970000000000006</v>
      </c>
      <c r="N70" s="143" cm="1">
        <f t="array" aca="1" ref="N70" ca="1">_xlfn.LET(
_xlpm.daily,RecurringFactorBased($B70,"Daily",N$4,N$119),
_xlpm.weekdays,RecurringFactorBased($B70,"Weekdays",N$4,N$119),
_xlpm.paydays,RecurringFactorBased($B70,"Paydays",N$4,N$119),
_xlpm.mondays,RecurringFactorBased($B70,"Mondays",N$4,N$119),
_xlpm.tuesdays,RecurringFactorBased($B70,"Tuesdays",N$4,N$119),
_xlpm.wednesdays,RecurringFactorBased($B70,"Wednesdays",N$4,N$119),
_xlpm.thursdays,RecurringFactorBased($B70,"Thursdays",N$4,N$119),
_xlpm.fridays,RecurringFactorBased($B70,"Fridays",N$4,N$119),
_xlpm.saturdays,RecurringFactorBased($B70,"Saturdays",N$4,N$119),
_xlpm.sundays,RecurringFactorBased($B70,"Sundays",N$4,N$119),
_xlpm.monthly,RecurringMonthly($B70,N$4),
_xlpm.annual,RecurringAnnual($B70,N$4),
_xlpm.planned,SUMIFS(Planned!$F:$F,Planned!$B:$B,$B70,Planned!$E:$E,"&gt;="&amp;N$4,Planned!$E:$E,"&lt;="&amp;EOMONTH(N$4,0)),
_xlpm.daily+_xlpm.weekdays+_xlpm.mondays+_xlpm.tuesdays+_xlpm.wednesdays+_xlpm.thursdays+_xlpm.fridays+_xlpm.saturdays+_xlpm.sundays+_xlpm.paydays+_xlpm.monthly+_xlpm.annual+_xlpm.planned)</f>
        <v>43.970000000000006</v>
      </c>
      <c r="O70" s="133"/>
      <c r="P70" s="144">
        <f t="shared" ca="1" si="15"/>
        <v>552.67000000000019</v>
      </c>
      <c r="Q70" s="80"/>
      <c r="R70" s="202"/>
    </row>
    <row r="71" spans="1:23" ht="12.75" customHeight="1" x14ac:dyDescent="0.2">
      <c r="A71" s="61"/>
      <c r="B71" s="112" t="s">
        <v>20</v>
      </c>
      <c r="C71" s="143" cm="1">
        <f t="array" aca="1" ref="C71" ca="1">_xlfn.LET(
_xlpm.daily,RecurringFactorBased($B71,"Daily",C$4,C$119),
_xlpm.weekdays,RecurringFactorBased($B71,"Weekdays",C$4,C$119),
_xlpm.paydays,RecurringFactorBased($B71,"Paydays",C$4,C$119),
_xlpm.mondays,RecurringFactorBased($B71,"Mondays",C$4,C$119),
_xlpm.tuesdays,RecurringFactorBased($B71,"Tuesdays",C$4,C$119),
_xlpm.wednesdays,RecurringFactorBased($B71,"Wednesdays",C$4,C$119),
_xlpm.thursdays,RecurringFactorBased($B71,"Thursdays",C$4,C$119),
_xlpm.fridays,RecurringFactorBased($B71,"Fridays",C$4,C$119),
_xlpm.saturdays,RecurringFactorBased($B71,"Saturdays",C$4,C$119),
_xlpm.sundays,RecurringFactorBased($B71,"Sundays",C$4,C$119),
_xlpm.monthly,RecurringMonthly($B71,C$4),
_xlpm.annual,RecurringAnnual($B71,C$4),
_xlpm.planned,SUMIFS(Planned!$F:$F,Planned!$B:$B,$B71,Planned!$E:$E,"&gt;="&amp;C$4,Planned!$E:$E,"&lt;="&amp;EOMONTH(C$4,0)),
_xlpm.daily+_xlpm.weekdays+_xlpm.mondays+_xlpm.tuesdays+_xlpm.wednesdays+_xlpm.thursdays+_xlpm.fridays+_xlpm.saturdays+_xlpm.sundays+_xlpm.paydays+_xlpm.monthly+_xlpm.annual+_xlpm.planned)</f>
        <v>400</v>
      </c>
      <c r="D71" s="143" cm="1">
        <f t="array" aca="1" ref="D71" ca="1">_xlfn.LET(
_xlpm.daily,RecurringFactorBased($B71,"Daily",D$4,D$119),
_xlpm.weekdays,RecurringFactorBased($B71,"Weekdays",D$4,D$119),
_xlpm.paydays,RecurringFactorBased($B71,"Paydays",D$4,D$119),
_xlpm.mondays,RecurringFactorBased($B71,"Mondays",D$4,D$119),
_xlpm.tuesdays,RecurringFactorBased($B71,"Tuesdays",D$4,D$119),
_xlpm.wednesdays,RecurringFactorBased($B71,"Wednesdays",D$4,D$119),
_xlpm.thursdays,RecurringFactorBased($B71,"Thursdays",D$4,D$119),
_xlpm.fridays,RecurringFactorBased($B71,"Fridays",D$4,D$119),
_xlpm.saturdays,RecurringFactorBased($B71,"Saturdays",D$4,D$119),
_xlpm.sundays,RecurringFactorBased($B71,"Sundays",D$4,D$119),
_xlpm.monthly,RecurringMonthly($B71,D$4),
_xlpm.annual,RecurringAnnual($B71,D$4),
_xlpm.planned,SUMIFS(Planned!$F:$F,Planned!$B:$B,$B71,Planned!$E:$E,"&gt;="&amp;D$4,Planned!$E:$E,"&lt;="&amp;EOMONTH(D$4,0)),
_xlpm.daily+_xlpm.weekdays+_xlpm.mondays+_xlpm.tuesdays+_xlpm.wednesdays+_xlpm.thursdays+_xlpm.fridays+_xlpm.saturdays+_xlpm.sundays+_xlpm.paydays+_xlpm.monthly+_xlpm.annual+_xlpm.planned)</f>
        <v>0</v>
      </c>
      <c r="E71" s="143" cm="1">
        <f t="array" aca="1" ref="E71" ca="1">_xlfn.LET(
_xlpm.daily,RecurringFactorBased($B71,"Daily",E$4,E$119),
_xlpm.weekdays,RecurringFactorBased($B71,"Weekdays",E$4,E$119),
_xlpm.paydays,RecurringFactorBased($B71,"Paydays",E$4,E$119),
_xlpm.mondays,RecurringFactorBased($B71,"Mondays",E$4,E$119),
_xlpm.tuesdays,RecurringFactorBased($B71,"Tuesdays",E$4,E$119),
_xlpm.wednesdays,RecurringFactorBased($B71,"Wednesdays",E$4,E$119),
_xlpm.thursdays,RecurringFactorBased($B71,"Thursdays",E$4,E$119),
_xlpm.fridays,RecurringFactorBased($B71,"Fridays",E$4,E$119),
_xlpm.saturdays,RecurringFactorBased($B71,"Saturdays",E$4,E$119),
_xlpm.sundays,RecurringFactorBased($B71,"Sundays",E$4,E$119),
_xlpm.monthly,RecurringMonthly($B71,E$4),
_xlpm.annual,RecurringAnnual($B71,E$4),
_xlpm.planned,SUMIFS(Planned!$F:$F,Planned!$B:$B,$B71,Planned!$E:$E,"&gt;="&amp;E$4,Planned!$E:$E,"&lt;="&amp;EOMONTH(E$4,0)),
_xlpm.daily+_xlpm.weekdays+_xlpm.mondays+_xlpm.tuesdays+_xlpm.wednesdays+_xlpm.thursdays+_xlpm.fridays+_xlpm.saturdays+_xlpm.sundays+_xlpm.paydays+_xlpm.monthly+_xlpm.annual+_xlpm.planned)</f>
        <v>0</v>
      </c>
      <c r="F71" s="143" cm="1">
        <f t="array" aca="1" ref="F71" ca="1">_xlfn.LET(
_xlpm.daily,RecurringFactorBased($B71,"Daily",F$4,F$119),
_xlpm.weekdays,RecurringFactorBased($B71,"Weekdays",F$4,F$119),
_xlpm.paydays,RecurringFactorBased($B71,"Paydays",F$4,F$119),
_xlpm.mondays,RecurringFactorBased($B71,"Mondays",F$4,F$119),
_xlpm.tuesdays,RecurringFactorBased($B71,"Tuesdays",F$4,F$119),
_xlpm.wednesdays,RecurringFactorBased($B71,"Wednesdays",F$4,F$119),
_xlpm.thursdays,RecurringFactorBased($B71,"Thursdays",F$4,F$119),
_xlpm.fridays,RecurringFactorBased($B71,"Fridays",F$4,F$119),
_xlpm.saturdays,RecurringFactorBased($B71,"Saturdays",F$4,F$119),
_xlpm.sundays,RecurringFactorBased($B71,"Sundays",F$4,F$119),
_xlpm.monthly,RecurringMonthly($B71,F$4),
_xlpm.annual,RecurringAnnual($B71,F$4),
_xlpm.planned,SUMIFS(Planned!$F:$F,Planned!$B:$B,$B71,Planned!$E:$E,"&gt;="&amp;F$4,Planned!$E:$E,"&lt;="&amp;EOMONTH(F$4,0)),
_xlpm.daily+_xlpm.weekdays+_xlpm.mondays+_xlpm.tuesdays+_xlpm.wednesdays+_xlpm.thursdays+_xlpm.fridays+_xlpm.saturdays+_xlpm.sundays+_xlpm.paydays+_xlpm.monthly+_xlpm.annual+_xlpm.planned)</f>
        <v>0</v>
      </c>
      <c r="G71" s="143" cm="1">
        <f t="array" aca="1" ref="G71" ca="1">_xlfn.LET(
_xlpm.daily,RecurringFactorBased($B71,"Daily",G$4,G$119),
_xlpm.weekdays,RecurringFactorBased($B71,"Weekdays",G$4,G$119),
_xlpm.paydays,RecurringFactorBased($B71,"Paydays",G$4,G$119),
_xlpm.mondays,RecurringFactorBased($B71,"Mondays",G$4,G$119),
_xlpm.tuesdays,RecurringFactorBased($B71,"Tuesdays",G$4,G$119),
_xlpm.wednesdays,RecurringFactorBased($B71,"Wednesdays",G$4,G$119),
_xlpm.thursdays,RecurringFactorBased($B71,"Thursdays",G$4,G$119),
_xlpm.fridays,RecurringFactorBased($B71,"Fridays",G$4,G$119),
_xlpm.saturdays,RecurringFactorBased($B71,"Saturdays",G$4,G$119),
_xlpm.sundays,RecurringFactorBased($B71,"Sundays",G$4,G$119),
_xlpm.monthly,RecurringMonthly($B71,G$4),
_xlpm.annual,RecurringAnnual($B71,G$4),
_xlpm.planned,SUMIFS(Planned!$F:$F,Planned!$B:$B,$B71,Planned!$E:$E,"&gt;="&amp;G$4,Planned!$E:$E,"&lt;="&amp;EOMONTH(G$4,0)),
_xlpm.daily+_xlpm.weekdays+_xlpm.mondays+_xlpm.tuesdays+_xlpm.wednesdays+_xlpm.thursdays+_xlpm.fridays+_xlpm.saturdays+_xlpm.sundays+_xlpm.paydays+_xlpm.monthly+_xlpm.annual+_xlpm.planned)</f>
        <v>0</v>
      </c>
      <c r="H71" s="143" cm="1">
        <f t="array" aca="1" ref="H71" ca="1">_xlfn.LET(
_xlpm.daily,RecurringFactorBased($B71,"Daily",H$4,H$119),
_xlpm.weekdays,RecurringFactorBased($B71,"Weekdays",H$4,H$119),
_xlpm.paydays,RecurringFactorBased($B71,"Paydays",H$4,H$119),
_xlpm.mondays,RecurringFactorBased($B71,"Mondays",H$4,H$119),
_xlpm.tuesdays,RecurringFactorBased($B71,"Tuesdays",H$4,H$119),
_xlpm.wednesdays,RecurringFactorBased($B71,"Wednesdays",H$4,H$119),
_xlpm.thursdays,RecurringFactorBased($B71,"Thursdays",H$4,H$119),
_xlpm.fridays,RecurringFactorBased($B71,"Fridays",H$4,H$119),
_xlpm.saturdays,RecurringFactorBased($B71,"Saturdays",H$4,H$119),
_xlpm.sundays,RecurringFactorBased($B71,"Sundays",H$4,H$119),
_xlpm.monthly,RecurringMonthly($B71,H$4),
_xlpm.annual,RecurringAnnual($B71,H$4),
_xlpm.planned,SUMIFS(Planned!$F:$F,Planned!$B:$B,$B71,Planned!$E:$E,"&gt;="&amp;H$4,Planned!$E:$E,"&lt;="&amp;EOMONTH(H$4,0)),
_xlpm.daily+_xlpm.weekdays+_xlpm.mondays+_xlpm.tuesdays+_xlpm.wednesdays+_xlpm.thursdays+_xlpm.fridays+_xlpm.saturdays+_xlpm.sundays+_xlpm.paydays+_xlpm.monthly+_xlpm.annual+_xlpm.planned)</f>
        <v>0</v>
      </c>
      <c r="I71" s="143" cm="1">
        <f t="array" aca="1" ref="I71" ca="1">_xlfn.LET(
_xlpm.daily,RecurringFactorBased($B71,"Daily",I$4,I$119),
_xlpm.weekdays,RecurringFactorBased($B71,"Weekdays",I$4,I$119),
_xlpm.paydays,RecurringFactorBased($B71,"Paydays",I$4,I$119),
_xlpm.mondays,RecurringFactorBased($B71,"Mondays",I$4,I$119),
_xlpm.tuesdays,RecurringFactorBased($B71,"Tuesdays",I$4,I$119),
_xlpm.wednesdays,RecurringFactorBased($B71,"Wednesdays",I$4,I$119),
_xlpm.thursdays,RecurringFactorBased($B71,"Thursdays",I$4,I$119),
_xlpm.fridays,RecurringFactorBased($B71,"Fridays",I$4,I$119),
_xlpm.saturdays,RecurringFactorBased($B71,"Saturdays",I$4,I$119),
_xlpm.sundays,RecurringFactorBased($B71,"Sundays",I$4,I$119),
_xlpm.monthly,RecurringMonthly($B71,I$4),
_xlpm.annual,RecurringAnnual($B71,I$4),
_xlpm.planned,SUMIFS(Planned!$F:$F,Planned!$B:$B,$B71,Planned!$E:$E,"&gt;="&amp;I$4,Planned!$E:$E,"&lt;="&amp;EOMONTH(I$4,0)),
_xlpm.daily+_xlpm.weekdays+_xlpm.mondays+_xlpm.tuesdays+_xlpm.wednesdays+_xlpm.thursdays+_xlpm.fridays+_xlpm.saturdays+_xlpm.sundays+_xlpm.paydays+_xlpm.monthly+_xlpm.annual+_xlpm.planned)</f>
        <v>0</v>
      </c>
      <c r="J71" s="143" cm="1">
        <f t="array" aca="1" ref="J71" ca="1">_xlfn.LET(
_xlpm.daily,RecurringFactorBased($B71,"Daily",J$4,J$119),
_xlpm.weekdays,RecurringFactorBased($B71,"Weekdays",J$4,J$119),
_xlpm.paydays,RecurringFactorBased($B71,"Paydays",J$4,J$119),
_xlpm.mondays,RecurringFactorBased($B71,"Mondays",J$4,J$119),
_xlpm.tuesdays,RecurringFactorBased($B71,"Tuesdays",J$4,J$119),
_xlpm.wednesdays,RecurringFactorBased($B71,"Wednesdays",J$4,J$119),
_xlpm.thursdays,RecurringFactorBased($B71,"Thursdays",J$4,J$119),
_xlpm.fridays,RecurringFactorBased($B71,"Fridays",J$4,J$119),
_xlpm.saturdays,RecurringFactorBased($B71,"Saturdays",J$4,J$119),
_xlpm.sundays,RecurringFactorBased($B71,"Sundays",J$4,J$119),
_xlpm.monthly,RecurringMonthly($B71,J$4),
_xlpm.annual,RecurringAnnual($B71,J$4),
_xlpm.planned,SUMIFS(Planned!$F:$F,Planned!$B:$B,$B71,Planned!$E:$E,"&gt;="&amp;J$4,Planned!$E:$E,"&lt;="&amp;EOMONTH(J$4,0)),
_xlpm.daily+_xlpm.weekdays+_xlpm.mondays+_xlpm.tuesdays+_xlpm.wednesdays+_xlpm.thursdays+_xlpm.fridays+_xlpm.saturdays+_xlpm.sundays+_xlpm.paydays+_xlpm.monthly+_xlpm.annual+_xlpm.planned)</f>
        <v>0</v>
      </c>
      <c r="K71" s="143" cm="1">
        <f t="array" aca="1" ref="K71" ca="1">_xlfn.LET(
_xlpm.daily,RecurringFactorBased($B71,"Daily",K$4,K$119),
_xlpm.weekdays,RecurringFactorBased($B71,"Weekdays",K$4,K$119),
_xlpm.paydays,RecurringFactorBased($B71,"Paydays",K$4,K$119),
_xlpm.mondays,RecurringFactorBased($B71,"Mondays",K$4,K$119),
_xlpm.tuesdays,RecurringFactorBased($B71,"Tuesdays",K$4,K$119),
_xlpm.wednesdays,RecurringFactorBased($B71,"Wednesdays",K$4,K$119),
_xlpm.thursdays,RecurringFactorBased($B71,"Thursdays",K$4,K$119),
_xlpm.fridays,RecurringFactorBased($B71,"Fridays",K$4,K$119),
_xlpm.saturdays,RecurringFactorBased($B71,"Saturdays",K$4,K$119),
_xlpm.sundays,RecurringFactorBased($B71,"Sundays",K$4,K$119),
_xlpm.monthly,RecurringMonthly($B71,K$4),
_xlpm.annual,RecurringAnnual($B71,K$4),
_xlpm.planned,SUMIFS(Planned!$F:$F,Planned!$B:$B,$B71,Planned!$E:$E,"&gt;="&amp;K$4,Planned!$E:$E,"&lt;="&amp;EOMONTH(K$4,0)),
_xlpm.daily+_xlpm.weekdays+_xlpm.mondays+_xlpm.tuesdays+_xlpm.wednesdays+_xlpm.thursdays+_xlpm.fridays+_xlpm.saturdays+_xlpm.sundays+_xlpm.paydays+_xlpm.monthly+_xlpm.annual+_xlpm.planned)</f>
        <v>0</v>
      </c>
      <c r="L71" s="143" cm="1">
        <f t="array" aca="1" ref="L71" ca="1">_xlfn.LET(
_xlpm.daily,RecurringFactorBased($B71,"Daily",L$4,L$119),
_xlpm.weekdays,RecurringFactorBased($B71,"Weekdays",L$4,L$119),
_xlpm.paydays,RecurringFactorBased($B71,"Paydays",L$4,L$119),
_xlpm.mondays,RecurringFactorBased($B71,"Mondays",L$4,L$119),
_xlpm.tuesdays,RecurringFactorBased($B71,"Tuesdays",L$4,L$119),
_xlpm.wednesdays,RecurringFactorBased($B71,"Wednesdays",L$4,L$119),
_xlpm.thursdays,RecurringFactorBased($B71,"Thursdays",L$4,L$119),
_xlpm.fridays,RecurringFactorBased($B71,"Fridays",L$4,L$119),
_xlpm.saturdays,RecurringFactorBased($B71,"Saturdays",L$4,L$119),
_xlpm.sundays,RecurringFactorBased($B71,"Sundays",L$4,L$119),
_xlpm.monthly,RecurringMonthly($B71,L$4),
_xlpm.annual,RecurringAnnual($B71,L$4),
_xlpm.planned,SUMIFS(Planned!$F:$F,Planned!$B:$B,$B71,Planned!$E:$E,"&gt;="&amp;L$4,Planned!$E:$E,"&lt;="&amp;EOMONTH(L$4,0)),
_xlpm.daily+_xlpm.weekdays+_xlpm.mondays+_xlpm.tuesdays+_xlpm.wednesdays+_xlpm.thursdays+_xlpm.fridays+_xlpm.saturdays+_xlpm.sundays+_xlpm.paydays+_xlpm.monthly+_xlpm.annual+_xlpm.planned)</f>
        <v>0</v>
      </c>
      <c r="M71" s="143" cm="1">
        <f t="array" aca="1" ref="M71" ca="1">_xlfn.LET(
_xlpm.daily,RecurringFactorBased($B71,"Daily",M$4,M$119),
_xlpm.weekdays,RecurringFactorBased($B71,"Weekdays",M$4,M$119),
_xlpm.paydays,RecurringFactorBased($B71,"Paydays",M$4,M$119),
_xlpm.mondays,RecurringFactorBased($B71,"Mondays",M$4,M$119),
_xlpm.tuesdays,RecurringFactorBased($B71,"Tuesdays",M$4,M$119),
_xlpm.wednesdays,RecurringFactorBased($B71,"Wednesdays",M$4,M$119),
_xlpm.thursdays,RecurringFactorBased($B71,"Thursdays",M$4,M$119),
_xlpm.fridays,RecurringFactorBased($B71,"Fridays",M$4,M$119),
_xlpm.saturdays,RecurringFactorBased($B71,"Saturdays",M$4,M$119),
_xlpm.sundays,RecurringFactorBased($B71,"Sundays",M$4,M$119),
_xlpm.monthly,RecurringMonthly($B71,M$4),
_xlpm.annual,RecurringAnnual($B71,M$4),
_xlpm.planned,SUMIFS(Planned!$F:$F,Planned!$B:$B,$B71,Planned!$E:$E,"&gt;="&amp;M$4,Planned!$E:$E,"&lt;="&amp;EOMONTH(M$4,0)),
_xlpm.daily+_xlpm.weekdays+_xlpm.mondays+_xlpm.tuesdays+_xlpm.wednesdays+_xlpm.thursdays+_xlpm.fridays+_xlpm.saturdays+_xlpm.sundays+_xlpm.paydays+_xlpm.monthly+_xlpm.annual+_xlpm.planned)</f>
        <v>0</v>
      </c>
      <c r="N71" s="143" cm="1">
        <f t="array" aca="1" ref="N71" ca="1">_xlfn.LET(
_xlpm.daily,RecurringFactorBased($B71,"Daily",N$4,N$119),
_xlpm.weekdays,RecurringFactorBased($B71,"Weekdays",N$4,N$119),
_xlpm.paydays,RecurringFactorBased($B71,"Paydays",N$4,N$119),
_xlpm.mondays,RecurringFactorBased($B71,"Mondays",N$4,N$119),
_xlpm.tuesdays,RecurringFactorBased($B71,"Tuesdays",N$4,N$119),
_xlpm.wednesdays,RecurringFactorBased($B71,"Wednesdays",N$4,N$119),
_xlpm.thursdays,RecurringFactorBased($B71,"Thursdays",N$4,N$119),
_xlpm.fridays,RecurringFactorBased($B71,"Fridays",N$4,N$119),
_xlpm.saturdays,RecurringFactorBased($B71,"Saturdays",N$4,N$119),
_xlpm.sundays,RecurringFactorBased($B71,"Sundays",N$4,N$119),
_xlpm.monthly,RecurringMonthly($B71,N$4),
_xlpm.annual,RecurringAnnual($B71,N$4),
_xlpm.planned,SUMIFS(Planned!$F:$F,Planned!$B:$B,$B71,Planned!$E:$E,"&gt;="&amp;N$4,Planned!$E:$E,"&lt;="&amp;EOMONTH(N$4,0)),
_xlpm.daily+_xlpm.weekdays+_xlpm.mondays+_xlpm.tuesdays+_xlpm.wednesdays+_xlpm.thursdays+_xlpm.fridays+_xlpm.saturdays+_xlpm.sundays+_xlpm.paydays+_xlpm.monthly+_xlpm.annual+_xlpm.planned)</f>
        <v>0</v>
      </c>
      <c r="O71" s="133"/>
      <c r="P71" s="144">
        <f ca="1">SUM(C71:N71)</f>
        <v>400</v>
      </c>
      <c r="Q71" s="79"/>
      <c r="R71" s="202" t="s">
        <v>295</v>
      </c>
      <c r="U71" s="22"/>
    </row>
    <row r="72" spans="1:23" s="51" customFormat="1" ht="5.0999999999999996" customHeight="1" x14ac:dyDescent="0.2">
      <c r="A72" s="64"/>
      <c r="B72" s="102"/>
      <c r="C72" s="133"/>
      <c r="D72" s="133"/>
      <c r="E72" s="133"/>
      <c r="F72" s="133"/>
      <c r="G72" s="133"/>
      <c r="H72" s="133"/>
      <c r="I72" s="133"/>
      <c r="J72" s="133"/>
      <c r="K72" s="133"/>
      <c r="L72" s="133"/>
      <c r="M72" s="133"/>
      <c r="N72" s="133"/>
      <c r="O72" s="133"/>
      <c r="P72" s="144"/>
      <c r="Q72" s="82"/>
      <c r="R72" s="202"/>
      <c r="V72" s="52"/>
      <c r="W72" s="53"/>
    </row>
    <row r="73" spans="1:23" ht="12.75" customHeight="1" x14ac:dyDescent="0.2">
      <c r="A73" s="61"/>
      <c r="B73" s="113" t="str">
        <f>"Total "&amp;B66</f>
        <v>Total FLEXIBLE OUTFLOWS</v>
      </c>
      <c r="C73" s="151">
        <f t="shared" ref="C73:N73" ca="1" si="16">SUM(C66:C72)</f>
        <v>920</v>
      </c>
      <c r="D73" s="151">
        <f t="shared" ca="1" si="16"/>
        <v>643.97</v>
      </c>
      <c r="E73" s="151">
        <f t="shared" ca="1" si="16"/>
        <v>583.97</v>
      </c>
      <c r="F73" s="151">
        <f t="shared" ca="1" si="16"/>
        <v>643.97</v>
      </c>
      <c r="G73" s="151">
        <f t="shared" ca="1" si="16"/>
        <v>623.97</v>
      </c>
      <c r="H73" s="151">
        <f t="shared" ca="1" si="16"/>
        <v>643.97</v>
      </c>
      <c r="I73" s="151">
        <f t="shared" ca="1" si="16"/>
        <v>692.97</v>
      </c>
      <c r="J73" s="151">
        <f t="shared" ca="1" si="16"/>
        <v>643.97</v>
      </c>
      <c r="K73" s="151">
        <f t="shared" ca="1" si="16"/>
        <v>643.97</v>
      </c>
      <c r="L73" s="151">
        <f t="shared" ca="1" si="16"/>
        <v>623.97</v>
      </c>
      <c r="M73" s="151">
        <f t="shared" ca="1" si="16"/>
        <v>643.97</v>
      </c>
      <c r="N73" s="152">
        <f t="shared" ca="1" si="16"/>
        <v>623.97</v>
      </c>
      <c r="O73" s="151"/>
      <c r="P73" s="153">
        <f ca="1">SUM(P58:P66)</f>
        <v>16825</v>
      </c>
      <c r="Q73" s="79"/>
      <c r="R73" s="202"/>
      <c r="U73" s="22"/>
    </row>
    <row r="74" spans="1:23" ht="5.0999999999999996" customHeight="1" x14ac:dyDescent="0.2">
      <c r="A74" s="61"/>
      <c r="B74" s="100"/>
      <c r="C74" s="140"/>
      <c r="D74" s="140"/>
      <c r="E74" s="140"/>
      <c r="F74" s="140"/>
      <c r="G74" s="140"/>
      <c r="H74" s="140"/>
      <c r="I74" s="140"/>
      <c r="J74" s="140"/>
      <c r="K74" s="140"/>
      <c r="L74" s="140"/>
      <c r="M74" s="140"/>
      <c r="N74" s="140"/>
      <c r="O74" s="140"/>
      <c r="P74" s="140"/>
      <c r="Q74" s="79"/>
      <c r="R74" s="202"/>
    </row>
    <row r="75" spans="1:23" ht="12.75" customHeight="1" x14ac:dyDescent="0.2">
      <c r="A75" s="61"/>
      <c r="B75" s="110" t="s">
        <v>22</v>
      </c>
      <c r="C75" s="226"/>
      <c r="D75" s="226"/>
      <c r="E75" s="226"/>
      <c r="F75" s="226"/>
      <c r="G75" s="226"/>
      <c r="H75" s="226"/>
      <c r="I75" s="226"/>
      <c r="J75" s="226"/>
      <c r="K75" s="226"/>
      <c r="L75" s="226"/>
      <c r="M75" s="226"/>
      <c r="N75" s="226"/>
      <c r="O75" s="226"/>
      <c r="P75" s="227"/>
      <c r="Q75" s="79"/>
      <c r="R75" s="202"/>
    </row>
    <row r="76" spans="1:23" ht="12.75" customHeight="1" x14ac:dyDescent="0.2">
      <c r="A76" s="66"/>
      <c r="B76" s="102" t="s">
        <v>141</v>
      </c>
      <c r="C76" s="143" cm="1">
        <f t="array" aca="1" ref="C76" ca="1">_xlfn.LET(
_xlpm.daily,RecurringFactorBased($B76,"Daily",C$4,C$119),
_xlpm.weekdays,RecurringFactorBased($B76,"Weekdays",C$4,C$119),
_xlpm.paydays,RecurringFactorBased($B76,"Paydays",C$4,C$119),
_xlpm.mondays,RecurringFactorBased($B76,"Mondays",C$4,C$119),
_xlpm.tuesdays,RecurringFactorBased($B76,"Tuesdays",C$4,C$119),
_xlpm.wednesdays,RecurringFactorBased($B76,"Wednesdays",C$4,C$119),
_xlpm.thursdays,RecurringFactorBased($B76,"Thursdays",C$4,C$119),
_xlpm.fridays,RecurringFactorBased($B76,"Fridays",C$4,C$119),
_xlpm.saturdays,RecurringFactorBased($B76,"Saturdays",C$4,C$119),
_xlpm.sundays,RecurringFactorBased($B76,"Sundays",C$4,C$119),
_xlpm.monthly,RecurringMonthly($B76,C$4),
_xlpm.annual,RecurringAnnual($B76,C$4),
_xlpm.planned,SUMIFS(Planned!$F:$F,Planned!$B:$B,$B76,Planned!$E:$E,"&gt;="&amp;C$4,Planned!$E:$E,"&lt;="&amp;EOMONTH(C$4,0)),
_xlpm.daily+_xlpm.weekdays+_xlpm.mondays+_xlpm.tuesdays+_xlpm.wednesdays+_xlpm.thursdays+_xlpm.fridays+_xlpm.saturdays+_xlpm.sundays+_xlpm.paydays+_xlpm.monthly+_xlpm.annual+_xlpm.planned)</f>
        <v>0</v>
      </c>
      <c r="D76" s="143" cm="1">
        <f t="array" aca="1" ref="D76" ca="1">_xlfn.LET(
_xlpm.daily,RecurringFactorBased($B76,"Daily",D$4,D$119),
_xlpm.weekdays,RecurringFactorBased($B76,"Weekdays",D$4,D$119),
_xlpm.paydays,RecurringFactorBased($B76,"Paydays",D$4,D$119),
_xlpm.mondays,RecurringFactorBased($B76,"Mondays",D$4,D$119),
_xlpm.tuesdays,RecurringFactorBased($B76,"Tuesdays",D$4,D$119),
_xlpm.wednesdays,RecurringFactorBased($B76,"Wednesdays",D$4,D$119),
_xlpm.thursdays,RecurringFactorBased($B76,"Thursdays",D$4,D$119),
_xlpm.fridays,RecurringFactorBased($B76,"Fridays",D$4,D$119),
_xlpm.saturdays,RecurringFactorBased($B76,"Saturdays",D$4,D$119),
_xlpm.sundays,RecurringFactorBased($B76,"Sundays",D$4,D$119),
_xlpm.monthly,RecurringMonthly($B76,D$4),
_xlpm.annual,RecurringAnnual($B76,D$4),
_xlpm.planned,SUMIFS(Planned!$F:$F,Planned!$B:$B,$B76,Planned!$E:$E,"&gt;="&amp;D$4,Planned!$E:$E,"&lt;="&amp;EOMONTH(D$4,0)),
_xlpm.daily+_xlpm.weekdays+_xlpm.mondays+_xlpm.tuesdays+_xlpm.wednesdays+_xlpm.thursdays+_xlpm.fridays+_xlpm.saturdays+_xlpm.sundays+_xlpm.paydays+_xlpm.monthly+_xlpm.annual+_xlpm.planned)</f>
        <v>0</v>
      </c>
      <c r="E76" s="143" cm="1">
        <f t="array" aca="1" ref="E76" ca="1">_xlfn.LET(
_xlpm.daily,RecurringFactorBased($B76,"Daily",E$4,E$119),
_xlpm.weekdays,RecurringFactorBased($B76,"Weekdays",E$4,E$119),
_xlpm.paydays,RecurringFactorBased($B76,"Paydays",E$4,E$119),
_xlpm.mondays,RecurringFactorBased($B76,"Mondays",E$4,E$119),
_xlpm.tuesdays,RecurringFactorBased($B76,"Tuesdays",E$4,E$119),
_xlpm.wednesdays,RecurringFactorBased($B76,"Wednesdays",E$4,E$119),
_xlpm.thursdays,RecurringFactorBased($B76,"Thursdays",E$4,E$119),
_xlpm.fridays,RecurringFactorBased($B76,"Fridays",E$4,E$119),
_xlpm.saturdays,RecurringFactorBased($B76,"Saturdays",E$4,E$119),
_xlpm.sundays,RecurringFactorBased($B76,"Sundays",E$4,E$119),
_xlpm.monthly,RecurringMonthly($B76,E$4),
_xlpm.annual,RecurringAnnual($B76,E$4),
_xlpm.planned,SUMIFS(Planned!$F:$F,Planned!$B:$B,$B76,Planned!$E:$E,"&gt;="&amp;E$4,Planned!$E:$E,"&lt;="&amp;EOMONTH(E$4,0)),
_xlpm.daily+_xlpm.weekdays+_xlpm.mondays+_xlpm.tuesdays+_xlpm.wednesdays+_xlpm.thursdays+_xlpm.fridays+_xlpm.saturdays+_xlpm.sundays+_xlpm.paydays+_xlpm.monthly+_xlpm.annual+_xlpm.planned)</f>
        <v>0</v>
      </c>
      <c r="F76" s="143" cm="1">
        <f t="array" aca="1" ref="F76" ca="1">_xlfn.LET(
_xlpm.daily,RecurringFactorBased($B76,"Daily",F$4,F$119),
_xlpm.weekdays,RecurringFactorBased($B76,"Weekdays",F$4,F$119),
_xlpm.paydays,RecurringFactorBased($B76,"Paydays",F$4,F$119),
_xlpm.mondays,RecurringFactorBased($B76,"Mondays",F$4,F$119),
_xlpm.tuesdays,RecurringFactorBased($B76,"Tuesdays",F$4,F$119),
_xlpm.wednesdays,RecurringFactorBased($B76,"Wednesdays",F$4,F$119),
_xlpm.thursdays,RecurringFactorBased($B76,"Thursdays",F$4,F$119),
_xlpm.fridays,RecurringFactorBased($B76,"Fridays",F$4,F$119),
_xlpm.saturdays,RecurringFactorBased($B76,"Saturdays",F$4,F$119),
_xlpm.sundays,RecurringFactorBased($B76,"Sundays",F$4,F$119),
_xlpm.monthly,RecurringMonthly($B76,F$4),
_xlpm.annual,RecurringAnnual($B76,F$4),
_xlpm.planned,SUMIFS(Planned!$F:$F,Planned!$B:$B,$B76,Planned!$E:$E,"&gt;="&amp;F$4,Planned!$E:$E,"&lt;="&amp;EOMONTH(F$4,0)),
_xlpm.daily+_xlpm.weekdays+_xlpm.mondays+_xlpm.tuesdays+_xlpm.wednesdays+_xlpm.thursdays+_xlpm.fridays+_xlpm.saturdays+_xlpm.sundays+_xlpm.paydays+_xlpm.monthly+_xlpm.annual+_xlpm.planned)</f>
        <v>0</v>
      </c>
      <c r="G76" s="143" cm="1">
        <f t="array" aca="1" ref="G76" ca="1">_xlfn.LET(
_xlpm.daily,RecurringFactorBased($B76,"Daily",G$4,G$119),
_xlpm.weekdays,RecurringFactorBased($B76,"Weekdays",G$4,G$119),
_xlpm.paydays,RecurringFactorBased($B76,"Paydays",G$4,G$119),
_xlpm.mondays,RecurringFactorBased($B76,"Mondays",G$4,G$119),
_xlpm.tuesdays,RecurringFactorBased($B76,"Tuesdays",G$4,G$119),
_xlpm.wednesdays,RecurringFactorBased($B76,"Wednesdays",G$4,G$119),
_xlpm.thursdays,RecurringFactorBased($B76,"Thursdays",G$4,G$119),
_xlpm.fridays,RecurringFactorBased($B76,"Fridays",G$4,G$119),
_xlpm.saturdays,RecurringFactorBased($B76,"Saturdays",G$4,G$119),
_xlpm.sundays,RecurringFactorBased($B76,"Sundays",G$4,G$119),
_xlpm.monthly,RecurringMonthly($B76,G$4),
_xlpm.annual,RecurringAnnual($B76,G$4),
_xlpm.planned,SUMIFS(Planned!$F:$F,Planned!$B:$B,$B76,Planned!$E:$E,"&gt;="&amp;G$4,Planned!$E:$E,"&lt;="&amp;EOMONTH(G$4,0)),
_xlpm.daily+_xlpm.weekdays+_xlpm.mondays+_xlpm.tuesdays+_xlpm.wednesdays+_xlpm.thursdays+_xlpm.fridays+_xlpm.saturdays+_xlpm.sundays+_xlpm.paydays+_xlpm.monthly+_xlpm.annual+_xlpm.planned)</f>
        <v>0</v>
      </c>
      <c r="H76" s="143" cm="1">
        <f t="array" aca="1" ref="H76" ca="1">_xlfn.LET(
_xlpm.daily,RecurringFactorBased($B76,"Daily",H$4,H$119),
_xlpm.weekdays,RecurringFactorBased($B76,"Weekdays",H$4,H$119),
_xlpm.paydays,RecurringFactorBased($B76,"Paydays",H$4,H$119),
_xlpm.mondays,RecurringFactorBased($B76,"Mondays",H$4,H$119),
_xlpm.tuesdays,RecurringFactorBased($B76,"Tuesdays",H$4,H$119),
_xlpm.wednesdays,RecurringFactorBased($B76,"Wednesdays",H$4,H$119),
_xlpm.thursdays,RecurringFactorBased($B76,"Thursdays",H$4,H$119),
_xlpm.fridays,RecurringFactorBased($B76,"Fridays",H$4,H$119),
_xlpm.saturdays,RecurringFactorBased($B76,"Saturdays",H$4,H$119),
_xlpm.sundays,RecurringFactorBased($B76,"Sundays",H$4,H$119),
_xlpm.monthly,RecurringMonthly($B76,H$4),
_xlpm.annual,RecurringAnnual($B76,H$4),
_xlpm.planned,SUMIFS(Planned!$F:$F,Planned!$B:$B,$B76,Planned!$E:$E,"&gt;="&amp;H$4,Planned!$E:$E,"&lt;="&amp;EOMONTH(H$4,0)),
_xlpm.daily+_xlpm.weekdays+_xlpm.mondays+_xlpm.tuesdays+_xlpm.wednesdays+_xlpm.thursdays+_xlpm.fridays+_xlpm.saturdays+_xlpm.sundays+_xlpm.paydays+_xlpm.monthly+_xlpm.annual+_xlpm.planned)</f>
        <v>0</v>
      </c>
      <c r="I76" s="143" cm="1">
        <f t="array" aca="1" ref="I76" ca="1">_xlfn.LET(
_xlpm.daily,RecurringFactorBased($B76,"Daily",I$4,I$119),
_xlpm.weekdays,RecurringFactorBased($B76,"Weekdays",I$4,I$119),
_xlpm.paydays,RecurringFactorBased($B76,"Paydays",I$4,I$119),
_xlpm.mondays,RecurringFactorBased($B76,"Mondays",I$4,I$119),
_xlpm.tuesdays,RecurringFactorBased($B76,"Tuesdays",I$4,I$119),
_xlpm.wednesdays,RecurringFactorBased($B76,"Wednesdays",I$4,I$119),
_xlpm.thursdays,RecurringFactorBased($B76,"Thursdays",I$4,I$119),
_xlpm.fridays,RecurringFactorBased($B76,"Fridays",I$4,I$119),
_xlpm.saturdays,RecurringFactorBased($B76,"Saturdays",I$4,I$119),
_xlpm.sundays,RecurringFactorBased($B76,"Sundays",I$4,I$119),
_xlpm.monthly,RecurringMonthly($B76,I$4),
_xlpm.annual,RecurringAnnual($B76,I$4),
_xlpm.planned,SUMIFS(Planned!$F:$F,Planned!$B:$B,$B76,Planned!$E:$E,"&gt;="&amp;I$4,Planned!$E:$E,"&lt;="&amp;EOMONTH(I$4,0)),
_xlpm.daily+_xlpm.weekdays+_xlpm.mondays+_xlpm.tuesdays+_xlpm.wednesdays+_xlpm.thursdays+_xlpm.fridays+_xlpm.saturdays+_xlpm.sundays+_xlpm.paydays+_xlpm.monthly+_xlpm.annual+_xlpm.planned)</f>
        <v>0</v>
      </c>
      <c r="J76" s="143" cm="1">
        <f t="array" aca="1" ref="J76" ca="1">_xlfn.LET(
_xlpm.daily,RecurringFactorBased($B76,"Daily",J$4,J$119),
_xlpm.weekdays,RecurringFactorBased($B76,"Weekdays",J$4,J$119),
_xlpm.paydays,RecurringFactorBased($B76,"Paydays",J$4,J$119),
_xlpm.mondays,RecurringFactorBased($B76,"Mondays",J$4,J$119),
_xlpm.tuesdays,RecurringFactorBased($B76,"Tuesdays",J$4,J$119),
_xlpm.wednesdays,RecurringFactorBased($B76,"Wednesdays",J$4,J$119),
_xlpm.thursdays,RecurringFactorBased($B76,"Thursdays",J$4,J$119),
_xlpm.fridays,RecurringFactorBased($B76,"Fridays",J$4,J$119),
_xlpm.saturdays,RecurringFactorBased($B76,"Saturdays",J$4,J$119),
_xlpm.sundays,RecurringFactorBased($B76,"Sundays",J$4,J$119),
_xlpm.monthly,RecurringMonthly($B76,J$4),
_xlpm.annual,RecurringAnnual($B76,J$4),
_xlpm.planned,SUMIFS(Planned!$F:$F,Planned!$B:$B,$B76,Planned!$E:$E,"&gt;="&amp;J$4,Planned!$E:$E,"&lt;="&amp;EOMONTH(J$4,0)),
_xlpm.daily+_xlpm.weekdays+_xlpm.mondays+_xlpm.tuesdays+_xlpm.wednesdays+_xlpm.thursdays+_xlpm.fridays+_xlpm.saturdays+_xlpm.sundays+_xlpm.paydays+_xlpm.monthly+_xlpm.annual+_xlpm.planned)</f>
        <v>0</v>
      </c>
      <c r="K76" s="143" cm="1">
        <f t="array" aca="1" ref="K76" ca="1">_xlfn.LET(
_xlpm.daily,RecurringFactorBased($B76,"Daily",K$4,K$119),
_xlpm.weekdays,RecurringFactorBased($B76,"Weekdays",K$4,K$119),
_xlpm.paydays,RecurringFactorBased($B76,"Paydays",K$4,K$119),
_xlpm.mondays,RecurringFactorBased($B76,"Mondays",K$4,K$119),
_xlpm.tuesdays,RecurringFactorBased($B76,"Tuesdays",K$4,K$119),
_xlpm.wednesdays,RecurringFactorBased($B76,"Wednesdays",K$4,K$119),
_xlpm.thursdays,RecurringFactorBased($B76,"Thursdays",K$4,K$119),
_xlpm.fridays,RecurringFactorBased($B76,"Fridays",K$4,K$119),
_xlpm.saturdays,RecurringFactorBased($B76,"Saturdays",K$4,K$119),
_xlpm.sundays,RecurringFactorBased($B76,"Sundays",K$4,K$119),
_xlpm.monthly,RecurringMonthly($B76,K$4),
_xlpm.annual,RecurringAnnual($B76,K$4),
_xlpm.planned,SUMIFS(Planned!$F:$F,Planned!$B:$B,$B76,Planned!$E:$E,"&gt;="&amp;K$4,Planned!$E:$E,"&lt;="&amp;EOMONTH(K$4,0)),
_xlpm.daily+_xlpm.weekdays+_xlpm.mondays+_xlpm.tuesdays+_xlpm.wednesdays+_xlpm.thursdays+_xlpm.fridays+_xlpm.saturdays+_xlpm.sundays+_xlpm.paydays+_xlpm.monthly+_xlpm.annual+_xlpm.planned)</f>
        <v>0</v>
      </c>
      <c r="L76" s="143" cm="1">
        <f t="array" aca="1" ref="L76" ca="1">_xlfn.LET(
_xlpm.daily,RecurringFactorBased($B76,"Daily",L$4,L$119),
_xlpm.weekdays,RecurringFactorBased($B76,"Weekdays",L$4,L$119),
_xlpm.paydays,RecurringFactorBased($B76,"Paydays",L$4,L$119),
_xlpm.mondays,RecurringFactorBased($B76,"Mondays",L$4,L$119),
_xlpm.tuesdays,RecurringFactorBased($B76,"Tuesdays",L$4,L$119),
_xlpm.wednesdays,RecurringFactorBased($B76,"Wednesdays",L$4,L$119),
_xlpm.thursdays,RecurringFactorBased($B76,"Thursdays",L$4,L$119),
_xlpm.fridays,RecurringFactorBased($B76,"Fridays",L$4,L$119),
_xlpm.saturdays,RecurringFactorBased($B76,"Saturdays",L$4,L$119),
_xlpm.sundays,RecurringFactorBased($B76,"Sundays",L$4,L$119),
_xlpm.monthly,RecurringMonthly($B76,L$4),
_xlpm.annual,RecurringAnnual($B76,L$4),
_xlpm.planned,SUMIFS(Planned!$F:$F,Planned!$B:$B,$B76,Planned!$E:$E,"&gt;="&amp;L$4,Planned!$E:$E,"&lt;="&amp;EOMONTH(L$4,0)),
_xlpm.daily+_xlpm.weekdays+_xlpm.mondays+_xlpm.tuesdays+_xlpm.wednesdays+_xlpm.thursdays+_xlpm.fridays+_xlpm.saturdays+_xlpm.sundays+_xlpm.paydays+_xlpm.monthly+_xlpm.annual+_xlpm.planned)</f>
        <v>0</v>
      </c>
      <c r="M76" s="143" cm="1">
        <f t="array" aca="1" ref="M76" ca="1">_xlfn.LET(
_xlpm.daily,RecurringFactorBased($B76,"Daily",M$4,M$119),
_xlpm.weekdays,RecurringFactorBased($B76,"Weekdays",M$4,M$119),
_xlpm.paydays,RecurringFactorBased($B76,"Paydays",M$4,M$119),
_xlpm.mondays,RecurringFactorBased($B76,"Mondays",M$4,M$119),
_xlpm.tuesdays,RecurringFactorBased($B76,"Tuesdays",M$4,M$119),
_xlpm.wednesdays,RecurringFactorBased($B76,"Wednesdays",M$4,M$119),
_xlpm.thursdays,RecurringFactorBased($B76,"Thursdays",M$4,M$119),
_xlpm.fridays,RecurringFactorBased($B76,"Fridays",M$4,M$119),
_xlpm.saturdays,RecurringFactorBased($B76,"Saturdays",M$4,M$119),
_xlpm.sundays,RecurringFactorBased($B76,"Sundays",M$4,M$119),
_xlpm.monthly,RecurringMonthly($B76,M$4),
_xlpm.annual,RecurringAnnual($B76,M$4),
_xlpm.planned,SUMIFS(Planned!$F:$F,Planned!$B:$B,$B76,Planned!$E:$E,"&gt;="&amp;M$4,Planned!$E:$E,"&lt;="&amp;EOMONTH(M$4,0)),
_xlpm.daily+_xlpm.weekdays+_xlpm.mondays+_xlpm.tuesdays+_xlpm.wednesdays+_xlpm.thursdays+_xlpm.fridays+_xlpm.saturdays+_xlpm.sundays+_xlpm.paydays+_xlpm.monthly+_xlpm.annual+_xlpm.planned)</f>
        <v>0</v>
      </c>
      <c r="N76" s="143" cm="1">
        <f t="array" aca="1" ref="N76" ca="1">_xlfn.LET(
_xlpm.daily,RecurringFactorBased($B76,"Daily",N$4,N$119),
_xlpm.weekdays,RecurringFactorBased($B76,"Weekdays",N$4,N$119),
_xlpm.paydays,RecurringFactorBased($B76,"Paydays",N$4,N$119),
_xlpm.mondays,RecurringFactorBased($B76,"Mondays",N$4,N$119),
_xlpm.tuesdays,RecurringFactorBased($B76,"Tuesdays",N$4,N$119),
_xlpm.wednesdays,RecurringFactorBased($B76,"Wednesdays",N$4,N$119),
_xlpm.thursdays,RecurringFactorBased($B76,"Thursdays",N$4,N$119),
_xlpm.fridays,RecurringFactorBased($B76,"Fridays",N$4,N$119),
_xlpm.saturdays,RecurringFactorBased($B76,"Saturdays",N$4,N$119),
_xlpm.sundays,RecurringFactorBased($B76,"Sundays",N$4,N$119),
_xlpm.monthly,RecurringMonthly($B76,N$4),
_xlpm.annual,RecurringAnnual($B76,N$4),
_xlpm.planned,SUMIFS(Planned!$F:$F,Planned!$B:$B,$B76,Planned!$E:$E,"&gt;="&amp;N$4,Planned!$E:$E,"&lt;="&amp;EOMONTH(N$4,0)),
_xlpm.daily+_xlpm.weekdays+_xlpm.mondays+_xlpm.tuesdays+_xlpm.wednesdays+_xlpm.thursdays+_xlpm.fridays+_xlpm.saturdays+_xlpm.sundays+_xlpm.paydays+_xlpm.monthly+_xlpm.annual+_xlpm.planned)</f>
        <v>0</v>
      </c>
      <c r="O76" s="133"/>
      <c r="P76" s="144">
        <f ca="1">SUM(C76:N76)</f>
        <v>0</v>
      </c>
      <c r="Q76" s="80"/>
      <c r="R76" s="202"/>
    </row>
    <row r="77" spans="1:23" ht="12.75" customHeight="1" x14ac:dyDescent="0.2">
      <c r="A77" s="66"/>
      <c r="B77" s="102" t="s">
        <v>142</v>
      </c>
      <c r="C77" s="143" cm="1">
        <f t="array" aca="1" ref="C77" ca="1">_xlfn.LET(
_xlpm.daily,RecurringFactorBased($B77,"Daily",C$4,C$119),
_xlpm.weekdays,RecurringFactorBased($B77,"Weekdays",C$4,C$119),
_xlpm.paydays,RecurringFactorBased($B77,"Paydays",C$4,C$119),
_xlpm.mondays,RecurringFactorBased($B77,"Mondays",C$4,C$119),
_xlpm.tuesdays,RecurringFactorBased($B77,"Tuesdays",C$4,C$119),
_xlpm.wednesdays,RecurringFactorBased($B77,"Wednesdays",C$4,C$119),
_xlpm.thursdays,RecurringFactorBased($B77,"Thursdays",C$4,C$119),
_xlpm.fridays,RecurringFactorBased($B77,"Fridays",C$4,C$119),
_xlpm.saturdays,RecurringFactorBased($B77,"Saturdays",C$4,C$119),
_xlpm.sundays,RecurringFactorBased($B77,"Sundays",C$4,C$119),
_xlpm.monthly,RecurringMonthly($B77,C$4),
_xlpm.annual,RecurringAnnual($B77,C$4),
_xlpm.planned,SUMIFS(Planned!$F:$F,Planned!$B:$B,$B77,Planned!$E:$E,"&gt;="&amp;C$4,Planned!$E:$E,"&lt;="&amp;EOMONTH(C$4,0)),
_xlpm.daily+_xlpm.weekdays+_xlpm.mondays+_xlpm.tuesdays+_xlpm.wednesdays+_xlpm.thursdays+_xlpm.fridays+_xlpm.saturdays+_xlpm.sundays+_xlpm.paydays+_xlpm.monthly+_xlpm.annual+_xlpm.planned)</f>
        <v>0</v>
      </c>
      <c r="D77" s="143" cm="1">
        <f t="array" aca="1" ref="D77" ca="1">_xlfn.LET(
_xlpm.daily,RecurringFactorBased($B77,"Daily",D$4,D$119),
_xlpm.weekdays,RecurringFactorBased($B77,"Weekdays",D$4,D$119),
_xlpm.paydays,RecurringFactorBased($B77,"Paydays",D$4,D$119),
_xlpm.mondays,RecurringFactorBased($B77,"Mondays",D$4,D$119),
_xlpm.tuesdays,RecurringFactorBased($B77,"Tuesdays",D$4,D$119),
_xlpm.wednesdays,RecurringFactorBased($B77,"Wednesdays",D$4,D$119),
_xlpm.thursdays,RecurringFactorBased($B77,"Thursdays",D$4,D$119),
_xlpm.fridays,RecurringFactorBased($B77,"Fridays",D$4,D$119),
_xlpm.saturdays,RecurringFactorBased($B77,"Saturdays",D$4,D$119),
_xlpm.sundays,RecurringFactorBased($B77,"Sundays",D$4,D$119),
_xlpm.monthly,RecurringMonthly($B77,D$4),
_xlpm.annual,RecurringAnnual($B77,D$4),
_xlpm.planned,SUMIFS(Planned!$F:$F,Planned!$B:$B,$B77,Planned!$E:$E,"&gt;="&amp;D$4,Planned!$E:$E,"&lt;="&amp;EOMONTH(D$4,0)),
_xlpm.daily+_xlpm.weekdays+_xlpm.mondays+_xlpm.tuesdays+_xlpm.wednesdays+_xlpm.thursdays+_xlpm.fridays+_xlpm.saturdays+_xlpm.sundays+_xlpm.paydays+_xlpm.monthly+_xlpm.annual+_xlpm.planned)</f>
        <v>400</v>
      </c>
      <c r="E77" s="143" cm="1">
        <f t="array" aca="1" ref="E77" ca="1">_xlfn.LET(
_xlpm.daily,RecurringFactorBased($B77,"Daily",E$4,E$119),
_xlpm.weekdays,RecurringFactorBased($B77,"Weekdays",E$4,E$119),
_xlpm.paydays,RecurringFactorBased($B77,"Paydays",E$4,E$119),
_xlpm.mondays,RecurringFactorBased($B77,"Mondays",E$4,E$119),
_xlpm.tuesdays,RecurringFactorBased($B77,"Tuesdays",E$4,E$119),
_xlpm.wednesdays,RecurringFactorBased($B77,"Wednesdays",E$4,E$119),
_xlpm.thursdays,RecurringFactorBased($B77,"Thursdays",E$4,E$119),
_xlpm.fridays,RecurringFactorBased($B77,"Fridays",E$4,E$119),
_xlpm.saturdays,RecurringFactorBased($B77,"Saturdays",E$4,E$119),
_xlpm.sundays,RecurringFactorBased($B77,"Sundays",E$4,E$119),
_xlpm.monthly,RecurringMonthly($B77,E$4),
_xlpm.annual,RecurringAnnual($B77,E$4),
_xlpm.planned,SUMIFS(Planned!$F:$F,Planned!$B:$B,$B77,Planned!$E:$E,"&gt;="&amp;E$4,Planned!$E:$E,"&lt;="&amp;EOMONTH(E$4,0)),
_xlpm.daily+_xlpm.weekdays+_xlpm.mondays+_xlpm.tuesdays+_xlpm.wednesdays+_xlpm.thursdays+_xlpm.fridays+_xlpm.saturdays+_xlpm.sundays+_xlpm.paydays+_xlpm.monthly+_xlpm.annual+_xlpm.planned)</f>
        <v>400</v>
      </c>
      <c r="F77" s="143" cm="1">
        <f t="array" aca="1" ref="F77" ca="1">_xlfn.LET(
_xlpm.daily,RecurringFactorBased($B77,"Daily",F$4,F$119),
_xlpm.weekdays,RecurringFactorBased($B77,"Weekdays",F$4,F$119),
_xlpm.paydays,RecurringFactorBased($B77,"Paydays",F$4,F$119),
_xlpm.mondays,RecurringFactorBased($B77,"Mondays",F$4,F$119),
_xlpm.tuesdays,RecurringFactorBased($B77,"Tuesdays",F$4,F$119),
_xlpm.wednesdays,RecurringFactorBased($B77,"Wednesdays",F$4,F$119),
_xlpm.thursdays,RecurringFactorBased($B77,"Thursdays",F$4,F$119),
_xlpm.fridays,RecurringFactorBased($B77,"Fridays",F$4,F$119),
_xlpm.saturdays,RecurringFactorBased($B77,"Saturdays",F$4,F$119),
_xlpm.sundays,RecurringFactorBased($B77,"Sundays",F$4,F$119),
_xlpm.monthly,RecurringMonthly($B77,F$4),
_xlpm.annual,RecurringAnnual($B77,F$4),
_xlpm.planned,SUMIFS(Planned!$F:$F,Planned!$B:$B,$B77,Planned!$E:$E,"&gt;="&amp;F$4,Planned!$E:$E,"&lt;="&amp;EOMONTH(F$4,0)),
_xlpm.daily+_xlpm.weekdays+_xlpm.mondays+_xlpm.tuesdays+_xlpm.wednesdays+_xlpm.thursdays+_xlpm.fridays+_xlpm.saturdays+_xlpm.sundays+_xlpm.paydays+_xlpm.monthly+_xlpm.annual+_xlpm.planned)</f>
        <v>400</v>
      </c>
      <c r="G77" s="143" cm="1">
        <f t="array" aca="1" ref="G77" ca="1">_xlfn.LET(
_xlpm.daily,RecurringFactorBased($B77,"Daily",G$4,G$119),
_xlpm.weekdays,RecurringFactorBased($B77,"Weekdays",G$4,G$119),
_xlpm.paydays,RecurringFactorBased($B77,"Paydays",G$4,G$119),
_xlpm.mondays,RecurringFactorBased($B77,"Mondays",G$4,G$119),
_xlpm.tuesdays,RecurringFactorBased($B77,"Tuesdays",G$4,G$119),
_xlpm.wednesdays,RecurringFactorBased($B77,"Wednesdays",G$4,G$119),
_xlpm.thursdays,RecurringFactorBased($B77,"Thursdays",G$4,G$119),
_xlpm.fridays,RecurringFactorBased($B77,"Fridays",G$4,G$119),
_xlpm.saturdays,RecurringFactorBased($B77,"Saturdays",G$4,G$119),
_xlpm.sundays,RecurringFactorBased($B77,"Sundays",G$4,G$119),
_xlpm.monthly,RecurringMonthly($B77,G$4),
_xlpm.annual,RecurringAnnual($B77,G$4),
_xlpm.planned,SUMIFS(Planned!$F:$F,Planned!$B:$B,$B77,Planned!$E:$E,"&gt;="&amp;G$4,Planned!$E:$E,"&lt;="&amp;EOMONTH(G$4,0)),
_xlpm.daily+_xlpm.weekdays+_xlpm.mondays+_xlpm.tuesdays+_xlpm.wednesdays+_xlpm.thursdays+_xlpm.fridays+_xlpm.saturdays+_xlpm.sundays+_xlpm.paydays+_xlpm.monthly+_xlpm.annual+_xlpm.planned)</f>
        <v>400</v>
      </c>
      <c r="H77" s="143" cm="1">
        <f t="array" aca="1" ref="H77" ca="1">_xlfn.LET(
_xlpm.daily,RecurringFactorBased($B77,"Daily",H$4,H$119),
_xlpm.weekdays,RecurringFactorBased($B77,"Weekdays",H$4,H$119),
_xlpm.paydays,RecurringFactorBased($B77,"Paydays",H$4,H$119),
_xlpm.mondays,RecurringFactorBased($B77,"Mondays",H$4,H$119),
_xlpm.tuesdays,RecurringFactorBased($B77,"Tuesdays",H$4,H$119),
_xlpm.wednesdays,RecurringFactorBased($B77,"Wednesdays",H$4,H$119),
_xlpm.thursdays,RecurringFactorBased($B77,"Thursdays",H$4,H$119),
_xlpm.fridays,RecurringFactorBased($B77,"Fridays",H$4,H$119),
_xlpm.saturdays,RecurringFactorBased($B77,"Saturdays",H$4,H$119),
_xlpm.sundays,RecurringFactorBased($B77,"Sundays",H$4,H$119),
_xlpm.monthly,RecurringMonthly($B77,H$4),
_xlpm.annual,RecurringAnnual($B77,H$4),
_xlpm.planned,SUMIFS(Planned!$F:$F,Planned!$B:$B,$B77,Planned!$E:$E,"&gt;="&amp;H$4,Planned!$E:$E,"&lt;="&amp;EOMONTH(H$4,0)),
_xlpm.daily+_xlpm.weekdays+_xlpm.mondays+_xlpm.tuesdays+_xlpm.wednesdays+_xlpm.thursdays+_xlpm.fridays+_xlpm.saturdays+_xlpm.sundays+_xlpm.paydays+_xlpm.monthly+_xlpm.annual+_xlpm.planned)</f>
        <v>600</v>
      </c>
      <c r="I77" s="143" cm="1">
        <f t="array" aca="1" ref="I77" ca="1">_xlfn.LET(
_xlpm.daily,RecurringFactorBased($B77,"Daily",I$4,I$119),
_xlpm.weekdays,RecurringFactorBased($B77,"Weekdays",I$4,I$119),
_xlpm.paydays,RecurringFactorBased($B77,"Paydays",I$4,I$119),
_xlpm.mondays,RecurringFactorBased($B77,"Mondays",I$4,I$119),
_xlpm.tuesdays,RecurringFactorBased($B77,"Tuesdays",I$4,I$119),
_xlpm.wednesdays,RecurringFactorBased($B77,"Wednesdays",I$4,I$119),
_xlpm.thursdays,RecurringFactorBased($B77,"Thursdays",I$4,I$119),
_xlpm.fridays,RecurringFactorBased($B77,"Fridays",I$4,I$119),
_xlpm.saturdays,RecurringFactorBased($B77,"Saturdays",I$4,I$119),
_xlpm.sundays,RecurringFactorBased($B77,"Sundays",I$4,I$119),
_xlpm.monthly,RecurringMonthly($B77,I$4),
_xlpm.annual,RecurringAnnual($B77,I$4),
_xlpm.planned,SUMIFS(Planned!$F:$F,Planned!$B:$B,$B77,Planned!$E:$E,"&gt;="&amp;I$4,Planned!$E:$E,"&lt;="&amp;EOMONTH(I$4,0)),
_xlpm.daily+_xlpm.weekdays+_xlpm.mondays+_xlpm.tuesdays+_xlpm.wednesdays+_xlpm.thursdays+_xlpm.fridays+_xlpm.saturdays+_xlpm.sundays+_xlpm.paydays+_xlpm.monthly+_xlpm.annual+_xlpm.planned)</f>
        <v>400</v>
      </c>
      <c r="J77" s="143" cm="1">
        <f t="array" aca="1" ref="J77" ca="1">_xlfn.LET(
_xlpm.daily,RecurringFactorBased($B77,"Daily",J$4,J$119),
_xlpm.weekdays,RecurringFactorBased($B77,"Weekdays",J$4,J$119),
_xlpm.paydays,RecurringFactorBased($B77,"Paydays",J$4,J$119),
_xlpm.mondays,RecurringFactorBased($B77,"Mondays",J$4,J$119),
_xlpm.tuesdays,RecurringFactorBased($B77,"Tuesdays",J$4,J$119),
_xlpm.wednesdays,RecurringFactorBased($B77,"Wednesdays",J$4,J$119),
_xlpm.thursdays,RecurringFactorBased($B77,"Thursdays",J$4,J$119),
_xlpm.fridays,RecurringFactorBased($B77,"Fridays",J$4,J$119),
_xlpm.saturdays,RecurringFactorBased($B77,"Saturdays",J$4,J$119),
_xlpm.sundays,RecurringFactorBased($B77,"Sundays",J$4,J$119),
_xlpm.monthly,RecurringMonthly($B77,J$4),
_xlpm.annual,RecurringAnnual($B77,J$4),
_xlpm.planned,SUMIFS(Planned!$F:$F,Planned!$B:$B,$B77,Planned!$E:$E,"&gt;="&amp;J$4,Planned!$E:$E,"&lt;="&amp;EOMONTH(J$4,0)),
_xlpm.daily+_xlpm.weekdays+_xlpm.mondays+_xlpm.tuesdays+_xlpm.wednesdays+_xlpm.thursdays+_xlpm.fridays+_xlpm.saturdays+_xlpm.sundays+_xlpm.paydays+_xlpm.monthly+_xlpm.annual+_xlpm.planned)</f>
        <v>400</v>
      </c>
      <c r="K77" s="143" cm="1">
        <f t="array" aca="1" ref="K77" ca="1">_xlfn.LET(
_xlpm.daily,RecurringFactorBased($B77,"Daily",K$4,K$119),
_xlpm.weekdays,RecurringFactorBased($B77,"Weekdays",K$4,K$119),
_xlpm.paydays,RecurringFactorBased($B77,"Paydays",K$4,K$119),
_xlpm.mondays,RecurringFactorBased($B77,"Mondays",K$4,K$119),
_xlpm.tuesdays,RecurringFactorBased($B77,"Tuesdays",K$4,K$119),
_xlpm.wednesdays,RecurringFactorBased($B77,"Wednesdays",K$4,K$119),
_xlpm.thursdays,RecurringFactorBased($B77,"Thursdays",K$4,K$119),
_xlpm.fridays,RecurringFactorBased($B77,"Fridays",K$4,K$119),
_xlpm.saturdays,RecurringFactorBased($B77,"Saturdays",K$4,K$119),
_xlpm.sundays,RecurringFactorBased($B77,"Sundays",K$4,K$119),
_xlpm.monthly,RecurringMonthly($B77,K$4),
_xlpm.annual,RecurringAnnual($B77,K$4),
_xlpm.planned,SUMIFS(Planned!$F:$F,Planned!$B:$B,$B77,Planned!$E:$E,"&gt;="&amp;K$4,Planned!$E:$E,"&lt;="&amp;EOMONTH(K$4,0)),
_xlpm.daily+_xlpm.weekdays+_xlpm.mondays+_xlpm.tuesdays+_xlpm.wednesdays+_xlpm.thursdays+_xlpm.fridays+_xlpm.saturdays+_xlpm.sundays+_xlpm.paydays+_xlpm.monthly+_xlpm.annual+_xlpm.planned)</f>
        <v>400</v>
      </c>
      <c r="L77" s="143" cm="1">
        <f t="array" aca="1" ref="L77" ca="1">_xlfn.LET(
_xlpm.daily,RecurringFactorBased($B77,"Daily",L$4,L$119),
_xlpm.weekdays,RecurringFactorBased($B77,"Weekdays",L$4,L$119),
_xlpm.paydays,RecurringFactorBased($B77,"Paydays",L$4,L$119),
_xlpm.mondays,RecurringFactorBased($B77,"Mondays",L$4,L$119),
_xlpm.tuesdays,RecurringFactorBased($B77,"Tuesdays",L$4,L$119),
_xlpm.wednesdays,RecurringFactorBased($B77,"Wednesdays",L$4,L$119),
_xlpm.thursdays,RecurringFactorBased($B77,"Thursdays",L$4,L$119),
_xlpm.fridays,RecurringFactorBased($B77,"Fridays",L$4,L$119),
_xlpm.saturdays,RecurringFactorBased($B77,"Saturdays",L$4,L$119),
_xlpm.sundays,RecurringFactorBased($B77,"Sundays",L$4,L$119),
_xlpm.monthly,RecurringMonthly($B77,L$4),
_xlpm.annual,RecurringAnnual($B77,L$4),
_xlpm.planned,SUMIFS(Planned!$F:$F,Planned!$B:$B,$B77,Planned!$E:$E,"&gt;="&amp;L$4,Planned!$E:$E,"&lt;="&amp;EOMONTH(L$4,0)),
_xlpm.daily+_xlpm.weekdays+_xlpm.mondays+_xlpm.tuesdays+_xlpm.wednesdays+_xlpm.thursdays+_xlpm.fridays+_xlpm.saturdays+_xlpm.sundays+_xlpm.paydays+_xlpm.monthly+_xlpm.annual+_xlpm.planned)</f>
        <v>400</v>
      </c>
      <c r="M77" s="143" cm="1">
        <f t="array" aca="1" ref="M77" ca="1">_xlfn.LET(
_xlpm.daily,RecurringFactorBased($B77,"Daily",M$4,M$119),
_xlpm.weekdays,RecurringFactorBased($B77,"Weekdays",M$4,M$119),
_xlpm.paydays,RecurringFactorBased($B77,"Paydays",M$4,M$119),
_xlpm.mondays,RecurringFactorBased($B77,"Mondays",M$4,M$119),
_xlpm.tuesdays,RecurringFactorBased($B77,"Tuesdays",M$4,M$119),
_xlpm.wednesdays,RecurringFactorBased($B77,"Wednesdays",M$4,M$119),
_xlpm.thursdays,RecurringFactorBased($B77,"Thursdays",M$4,M$119),
_xlpm.fridays,RecurringFactorBased($B77,"Fridays",M$4,M$119),
_xlpm.saturdays,RecurringFactorBased($B77,"Saturdays",M$4,M$119),
_xlpm.sundays,RecurringFactorBased($B77,"Sundays",M$4,M$119),
_xlpm.monthly,RecurringMonthly($B77,M$4),
_xlpm.annual,RecurringAnnual($B77,M$4),
_xlpm.planned,SUMIFS(Planned!$F:$F,Planned!$B:$B,$B77,Planned!$E:$E,"&gt;="&amp;M$4,Planned!$E:$E,"&lt;="&amp;EOMONTH(M$4,0)),
_xlpm.daily+_xlpm.weekdays+_xlpm.mondays+_xlpm.tuesdays+_xlpm.wednesdays+_xlpm.thursdays+_xlpm.fridays+_xlpm.saturdays+_xlpm.sundays+_xlpm.paydays+_xlpm.monthly+_xlpm.annual+_xlpm.planned)</f>
        <v>600</v>
      </c>
      <c r="N77" s="143" cm="1">
        <f t="array" aca="1" ref="N77" ca="1">_xlfn.LET(
_xlpm.daily,RecurringFactorBased($B77,"Daily",N$4,N$119),
_xlpm.weekdays,RecurringFactorBased($B77,"Weekdays",N$4,N$119),
_xlpm.paydays,RecurringFactorBased($B77,"Paydays",N$4,N$119),
_xlpm.mondays,RecurringFactorBased($B77,"Mondays",N$4,N$119),
_xlpm.tuesdays,RecurringFactorBased($B77,"Tuesdays",N$4,N$119),
_xlpm.wednesdays,RecurringFactorBased($B77,"Wednesdays",N$4,N$119),
_xlpm.thursdays,RecurringFactorBased($B77,"Thursdays",N$4,N$119),
_xlpm.fridays,RecurringFactorBased($B77,"Fridays",N$4,N$119),
_xlpm.saturdays,RecurringFactorBased($B77,"Saturdays",N$4,N$119),
_xlpm.sundays,RecurringFactorBased($B77,"Sundays",N$4,N$119),
_xlpm.monthly,RecurringMonthly($B77,N$4),
_xlpm.annual,RecurringAnnual($B77,N$4),
_xlpm.planned,SUMIFS(Planned!$F:$F,Planned!$B:$B,$B77,Planned!$E:$E,"&gt;="&amp;N$4,Planned!$E:$E,"&lt;="&amp;EOMONTH(N$4,0)),
_xlpm.daily+_xlpm.weekdays+_xlpm.mondays+_xlpm.tuesdays+_xlpm.wednesdays+_xlpm.thursdays+_xlpm.fridays+_xlpm.saturdays+_xlpm.sundays+_xlpm.paydays+_xlpm.monthly+_xlpm.annual+_xlpm.planned)</f>
        <v>400</v>
      </c>
      <c r="O77" s="133"/>
      <c r="P77" s="144">
        <f ca="1">SUM(C77:N77)</f>
        <v>4800</v>
      </c>
      <c r="Q77" s="80"/>
      <c r="R77" s="202"/>
      <c r="W77" s="6"/>
    </row>
    <row r="78" spans="1:23" s="51" customFormat="1" ht="5.0999999999999996" customHeight="1" x14ac:dyDescent="0.2">
      <c r="A78" s="64"/>
      <c r="B78" s="102"/>
      <c r="C78" s="133"/>
      <c r="D78" s="133"/>
      <c r="E78" s="133"/>
      <c r="F78" s="133"/>
      <c r="G78" s="133"/>
      <c r="H78" s="133"/>
      <c r="I78" s="133"/>
      <c r="J78" s="133"/>
      <c r="K78" s="133"/>
      <c r="L78" s="133"/>
      <c r="M78" s="133"/>
      <c r="N78" s="133"/>
      <c r="O78" s="133"/>
      <c r="P78" s="144"/>
      <c r="Q78" s="82"/>
      <c r="R78" s="202"/>
      <c r="V78" s="52"/>
      <c r="W78" s="53"/>
    </row>
    <row r="79" spans="1:23" ht="12.75" customHeight="1" x14ac:dyDescent="0.2">
      <c r="A79" s="61"/>
      <c r="B79" s="113" t="str">
        <f>"Total "&amp;B75</f>
        <v>Total INVESTMENTS</v>
      </c>
      <c r="C79" s="151">
        <f ca="1">SUM(C76:C78)</f>
        <v>0</v>
      </c>
      <c r="D79" s="151">
        <f t="shared" ref="D79:N79" ca="1" si="17">SUM(D76:D78)</f>
        <v>400</v>
      </c>
      <c r="E79" s="151">
        <f t="shared" ca="1" si="17"/>
        <v>400</v>
      </c>
      <c r="F79" s="151">
        <f t="shared" ca="1" si="17"/>
        <v>400</v>
      </c>
      <c r="G79" s="151">
        <f t="shared" ca="1" si="17"/>
        <v>400</v>
      </c>
      <c r="H79" s="151">
        <f t="shared" ca="1" si="17"/>
        <v>600</v>
      </c>
      <c r="I79" s="151">
        <f t="shared" ca="1" si="17"/>
        <v>400</v>
      </c>
      <c r="J79" s="151">
        <f t="shared" ca="1" si="17"/>
        <v>400</v>
      </c>
      <c r="K79" s="151">
        <f t="shared" ca="1" si="17"/>
        <v>400</v>
      </c>
      <c r="L79" s="151">
        <f t="shared" ca="1" si="17"/>
        <v>400</v>
      </c>
      <c r="M79" s="151">
        <f t="shared" ca="1" si="17"/>
        <v>600</v>
      </c>
      <c r="N79" s="152">
        <f t="shared" ca="1" si="17"/>
        <v>400</v>
      </c>
      <c r="O79" s="151"/>
      <c r="P79" s="153">
        <f t="shared" ref="P79" ca="1" si="18">SUM(P76:P77)</f>
        <v>4800</v>
      </c>
      <c r="Q79" s="79"/>
      <c r="R79" s="202"/>
    </row>
    <row r="80" spans="1:23" ht="5.0999999999999996" customHeight="1" x14ac:dyDescent="0.2">
      <c r="A80" s="61"/>
      <c r="B80" s="100"/>
      <c r="C80" s="140"/>
      <c r="D80" s="140"/>
      <c r="E80" s="140"/>
      <c r="F80" s="140"/>
      <c r="G80" s="140"/>
      <c r="H80" s="140"/>
      <c r="I80" s="140"/>
      <c r="J80" s="140"/>
      <c r="K80" s="140"/>
      <c r="L80" s="140"/>
      <c r="M80" s="140"/>
      <c r="N80" s="140"/>
      <c r="O80" s="140"/>
      <c r="P80" s="140"/>
      <c r="Q80" s="79"/>
      <c r="R80" s="202"/>
    </row>
    <row r="81" spans="1:23" s="6" customFormat="1" ht="12.75" customHeight="1" x14ac:dyDescent="0.2">
      <c r="A81" s="61"/>
      <c r="B81" s="110" t="s">
        <v>23</v>
      </c>
      <c r="C81" s="226"/>
      <c r="D81" s="226"/>
      <c r="E81" s="226"/>
      <c r="F81" s="226"/>
      <c r="G81" s="226"/>
      <c r="H81" s="226"/>
      <c r="I81" s="226"/>
      <c r="J81" s="226"/>
      <c r="K81" s="226"/>
      <c r="L81" s="226"/>
      <c r="M81" s="226"/>
      <c r="N81" s="226"/>
      <c r="O81" s="226"/>
      <c r="P81" s="227"/>
      <c r="Q81" s="79"/>
      <c r="R81" s="202"/>
      <c r="S81" s="5"/>
      <c r="T81" s="5"/>
      <c r="U81" s="5"/>
      <c r="W81" s="5"/>
    </row>
    <row r="82" spans="1:23" ht="12.75" customHeight="1" x14ac:dyDescent="0.2">
      <c r="A82" s="66"/>
      <c r="B82" s="102" t="s">
        <v>11</v>
      </c>
      <c r="C82" s="143">
        <f ca="1">_xlfn.LET(
_xlpm.monthly,SUMIFS(Loans!$E:$E,Loans!$G:$G,"&gt;="&amp;C$4),
_xlpm.planned,SUMIFS(Planned!$F:$F,Planned!$B:$B,$B82,Planned!$E:$E,"&gt;="&amp;C$4,Planned!$E:$E,"&lt;="&amp;EOMONTH(C$4,0)),
_xlpm.monthly+_xlpm.planned)</f>
        <v>50</v>
      </c>
      <c r="D82" s="143">
        <f ca="1">_xlfn.LET(
_xlpm.monthly,SUM(Loans!$E:$E),
_xlpm.planned,SUMIFS(Planned!$F:$F,Planned!$B:$B,$B82,Planned!$E:$E,"&gt;="&amp;D$4,Planned!$E:$E,"&lt;="&amp;EOMONTH(D$4,0)),
_xlpm.monthly+_xlpm.planned)</f>
        <v>200</v>
      </c>
      <c r="E82" s="143">
        <f ca="1">_xlfn.LET(
_xlpm.monthly,SUM(Loans!$E:$E),
_xlpm.planned,SUMIFS(Planned!$F:$F,Planned!$B:$B,$B82,Planned!$E:$E,"&gt;="&amp;E$4,Planned!$E:$E,"&lt;="&amp;EOMONTH(E$4,0)),
_xlpm.monthly+_xlpm.planned)</f>
        <v>200</v>
      </c>
      <c r="F82" s="143">
        <f ca="1">_xlfn.LET(
_xlpm.monthly,SUM(Loans!$E:$E),
_xlpm.planned,SUMIFS(Planned!$F:$F,Planned!$B:$B,$B82,Planned!$E:$E,"&gt;="&amp;F$4,Planned!$E:$E,"&lt;="&amp;EOMONTH(F$4,0)),
_xlpm.monthly+_xlpm.planned)</f>
        <v>200</v>
      </c>
      <c r="G82" s="143">
        <f ca="1">_xlfn.LET(
_xlpm.monthly,SUM(Loans!$E:$E),
_xlpm.planned,SUMIFS(Planned!$F:$F,Planned!$B:$B,$B82,Planned!$E:$E,"&gt;="&amp;G$4,Planned!$E:$E,"&lt;="&amp;EOMONTH(G$4,0)),
_xlpm.monthly+_xlpm.planned)</f>
        <v>200</v>
      </c>
      <c r="H82" s="143">
        <f ca="1">_xlfn.LET(
_xlpm.monthly,SUM(Loans!$E:$E),
_xlpm.planned,SUMIFS(Planned!$F:$F,Planned!$B:$B,$B82,Planned!$E:$E,"&gt;="&amp;H$4,Planned!$E:$E,"&lt;="&amp;EOMONTH(H$4,0)),
_xlpm.monthly+_xlpm.planned)</f>
        <v>200</v>
      </c>
      <c r="I82" s="143">
        <f ca="1">_xlfn.LET(
_xlpm.monthly,SUM(Loans!$E:$E),
_xlpm.planned,SUMIFS(Planned!$F:$F,Planned!$B:$B,$B82,Planned!$E:$E,"&gt;="&amp;I$4,Planned!$E:$E,"&lt;="&amp;EOMONTH(I$4,0)),
_xlpm.monthly+_xlpm.planned)</f>
        <v>200</v>
      </c>
      <c r="J82" s="143">
        <f ca="1">_xlfn.LET(
_xlpm.monthly,SUM(Loans!$E:$E),
_xlpm.planned,SUMIFS(Planned!$F:$F,Planned!$B:$B,$B82,Planned!$E:$E,"&gt;="&amp;J$4,Planned!$E:$E,"&lt;="&amp;EOMONTH(J$4,0)),
_xlpm.monthly+_xlpm.planned)</f>
        <v>200</v>
      </c>
      <c r="K82" s="143">
        <f ca="1">_xlfn.LET(
_xlpm.monthly,SUM(Loans!$E:$E),
_xlpm.planned,SUMIFS(Planned!$F:$F,Planned!$B:$B,$B82,Planned!$E:$E,"&gt;="&amp;K$4,Planned!$E:$E,"&lt;="&amp;EOMONTH(K$4,0)),
_xlpm.monthly+_xlpm.planned)</f>
        <v>200</v>
      </c>
      <c r="L82" s="143">
        <f ca="1">_xlfn.LET(
_xlpm.monthly,SUM(Loans!$E:$E),
_xlpm.planned,SUMIFS(Planned!$F:$F,Planned!$B:$B,$B82,Planned!$E:$E,"&gt;="&amp;L$4,Planned!$E:$E,"&lt;="&amp;EOMONTH(L$4,0)),
_xlpm.monthly+_xlpm.planned)</f>
        <v>200</v>
      </c>
      <c r="M82" s="143">
        <f ca="1">_xlfn.LET(
_xlpm.monthly,SUM(Loans!$E:$E),
_xlpm.planned,SUMIFS(Planned!$F:$F,Planned!$B:$B,$B82,Planned!$E:$E,"&gt;="&amp;M$4,Planned!$E:$E,"&lt;="&amp;EOMONTH(M$4,0)),
_xlpm.monthly+_xlpm.planned)</f>
        <v>200</v>
      </c>
      <c r="N82" s="143">
        <f ca="1">_xlfn.LET(
_xlpm.monthly,SUM(Loans!$E:$E),
_xlpm.planned,SUMIFS(Planned!$F:$F,Planned!$B:$B,$B82,Planned!$E:$E,"&gt;="&amp;N$4,Planned!$E:$E,"&lt;="&amp;EOMONTH(N$4,0)),
_xlpm.monthly+_xlpm.planned)</f>
        <v>200</v>
      </c>
      <c r="O82" s="133"/>
      <c r="P82" s="144">
        <f ca="1">SUM(C82:N82)</f>
        <v>2250</v>
      </c>
      <c r="Q82" s="80"/>
      <c r="R82" s="202"/>
    </row>
    <row r="83" spans="1:23" ht="12.75" customHeight="1" x14ac:dyDescent="0.2">
      <c r="A83" s="66"/>
      <c r="B83" s="102" t="s">
        <v>42</v>
      </c>
      <c r="C83" s="143">
        <f ca="1">_xlfn.LET(
_xlpm.daily,SUMIFS(Recurring!$D:$D,Recurring!$B:$B,$B83,Recurring!$E:$E,"Daily")*C$124,
_xlpm.weekdays,SUMIFS(Recurring!$D:$D,Recurring!$B:$B,$B83,Recurring!$E:$E,"Weekdays")*C$123,
_xlpm.paydays,SUMIFS(Recurring!$D:$D,Recurring!$B:$B,$B83,Recurring!$E:$E,"Paydays")*C$122,
_xlpm.monthly,SUMIFS(Recurring!$D:$D,Recurring!$B:$B,$B83,Recurring!$E:$E,"Monthly",Recurring!$G:$G,"&gt;="&amp;C$4),
_xlpm.annual,SUMIFS(Recurring!$D:$D,Recurring!$B:$B,$B83,Recurring!$E:$E,"Annual",Recurring!$G:$G,"&gt;="&amp;C$4,Recurring!$G:$G,"&lt;="&amp;EOMONTH(C$4,0)),
_xlpm.planned,SUMIFS(Planned!$F:$F,Planned!$B:$B,$B83,Planned!$E:$E,"&gt;="&amp;C$4,Planned!$E:$E,"&lt;="&amp;EOMONTH(C$4,0)),
_xlpm.monthly_card_payment,SUMIFS('Credit Cards'!$E:$E,'Credit Cards'!$H:$H,"&gt;="&amp;C$4,'Credit Cards'!$H:$H,"&lt;="&amp;EOMONTH(C$4,0)),
_xlpm.daily+_xlpm.weekdays+_xlpm.paydays+_xlpm.monthly+_xlpm.monthly_card_payment+_xlpm.planned+_xlpm.annual)</f>
        <v>50</v>
      </c>
      <c r="D83" s="143">
        <f ca="1">_xlfn.LET(
_xlpm.daily,SUMIFS(Recurring!$D:$D,Recurring!$B:$B,$B83,Recurring!$E:$E,"Daily")*D$124,
_xlpm.weekdays,SUMIFS(Recurring!$D:$D,Recurring!$B:$B,$B83,Recurring!$E:$E,"Weekdays")*D$123,
_xlpm.paydays,SUMIFS(Recurring!$D:$D,Recurring!$B:$B,$B83,Recurring!$E:$E,"Paydays")*D$122,
_xlpm.monthly,SUMIFS(Recurring!$D:$D,Recurring!$B:$B,$B83,Recurring!$E:$E,"Monthly",Recurring!$G:$G,"&gt;="&amp;D$4),
_xlpm.annual,SUMIFS(Recurring!$D:$D,Recurring!$B:$B,$B83,Recurring!$E:$E,"Annual",Recurring!$G:$G,"&gt;="&amp;D$4,Recurring!$G:$G,"&lt;="&amp;EOMONTH(D$4,0)),
_xlpm.planned,SUMIFS(Planned!$F:$F,Planned!$B:$B,$B83,Planned!$E:$E,"&gt;="&amp;D$4,Planned!$E:$E,"&lt;="&amp;EOMONTH(D$4,0)),
_xlpm.current_card_payment,SUMIFS('Credit Cards'!$E:$E,'Credit Cards'!$H:$H,"&gt;="&amp;D$4,'Credit Cards'!$H:$H,"&lt;="&amp;EOMONTH(D$4,0)),
_xlpm.next_card_payment,SUMIFS('Credit Cards'!$F:$F,'Credit Cards'!$I:$I,"&gt;="&amp;D$4,'Credit Cards'!$I:$I,"&lt;="&amp;EOMONTH(D$4,0)),
_xlpm.daily+_xlpm.weekdays+_xlpm.paydays+_xlpm.monthly+_xlpm.current_card_payment+_xlpm.next_card_payment+_xlpm.planned+_xlpm.annual)</f>
        <v>3650</v>
      </c>
      <c r="E83" s="143">
        <f ca="1">SUM('Credit Cards'!$C:$C)-SUM(C83:D83)</f>
        <v>3500</v>
      </c>
      <c r="F83" s="133"/>
      <c r="G83" s="133"/>
      <c r="H83" s="133"/>
      <c r="I83" s="133"/>
      <c r="J83" s="133"/>
      <c r="K83" s="133"/>
      <c r="L83" s="133"/>
      <c r="M83" s="133"/>
      <c r="N83" s="133"/>
      <c r="O83" s="133"/>
      <c r="P83" s="144">
        <f ca="1">SUM(C83:N83)</f>
        <v>7200</v>
      </c>
      <c r="Q83" s="80"/>
      <c r="R83" s="202"/>
    </row>
    <row r="84" spans="1:23" s="51" customFormat="1" ht="5.0999999999999996" customHeight="1" x14ac:dyDescent="0.2">
      <c r="A84" s="64"/>
      <c r="B84" s="102"/>
      <c r="C84" s="133"/>
      <c r="D84" s="133"/>
      <c r="E84" s="133"/>
      <c r="F84" s="133"/>
      <c r="G84" s="133"/>
      <c r="H84" s="133"/>
      <c r="I84" s="133"/>
      <c r="J84" s="133"/>
      <c r="K84" s="133"/>
      <c r="L84" s="133"/>
      <c r="M84" s="133"/>
      <c r="N84" s="133"/>
      <c r="O84" s="133"/>
      <c r="P84" s="144"/>
      <c r="Q84" s="82"/>
      <c r="R84" s="202"/>
      <c r="V84" s="52"/>
      <c r="W84" s="53"/>
    </row>
    <row r="85" spans="1:23" ht="12.75" customHeight="1" x14ac:dyDescent="0.2">
      <c r="A85" s="61"/>
      <c r="B85" s="113" t="str">
        <f>"Total "&amp;B81</f>
        <v>Total DEBT PAYMENTS</v>
      </c>
      <c r="C85" s="151">
        <f ca="1">SUM(C82:C84)</f>
        <v>100</v>
      </c>
      <c r="D85" s="151">
        <f t="shared" ref="D85:N85" ca="1" si="19">SUM(D82:D84)</f>
        <v>3850</v>
      </c>
      <c r="E85" s="151">
        <f t="shared" ca="1" si="19"/>
        <v>3700</v>
      </c>
      <c r="F85" s="151">
        <f t="shared" ca="1" si="19"/>
        <v>200</v>
      </c>
      <c r="G85" s="151">
        <f t="shared" ca="1" si="19"/>
        <v>200</v>
      </c>
      <c r="H85" s="151">
        <f t="shared" ca="1" si="19"/>
        <v>200</v>
      </c>
      <c r="I85" s="151">
        <f t="shared" ca="1" si="19"/>
        <v>200</v>
      </c>
      <c r="J85" s="151">
        <f t="shared" ca="1" si="19"/>
        <v>200</v>
      </c>
      <c r="K85" s="151">
        <f t="shared" ca="1" si="19"/>
        <v>200</v>
      </c>
      <c r="L85" s="151">
        <f t="shared" ca="1" si="19"/>
        <v>200</v>
      </c>
      <c r="M85" s="151">
        <f t="shared" ca="1" si="19"/>
        <v>200</v>
      </c>
      <c r="N85" s="152">
        <f t="shared" ca="1" si="19"/>
        <v>200</v>
      </c>
      <c r="O85" s="151"/>
      <c r="P85" s="153">
        <f ca="1">SUM(P82:P83)</f>
        <v>9450</v>
      </c>
      <c r="Q85" s="79"/>
      <c r="R85" s="202"/>
    </row>
    <row r="86" spans="1:23" ht="5.0999999999999996" customHeight="1" x14ac:dyDescent="0.2">
      <c r="A86" s="61"/>
      <c r="B86" s="109"/>
      <c r="C86" s="140"/>
      <c r="D86" s="140"/>
      <c r="E86" s="140"/>
      <c r="F86" s="140"/>
      <c r="G86" s="140"/>
      <c r="H86" s="140"/>
      <c r="I86" s="140"/>
      <c r="J86" s="140"/>
      <c r="K86" s="140"/>
      <c r="L86" s="140"/>
      <c r="M86" s="140"/>
      <c r="N86" s="140"/>
      <c r="O86" s="140"/>
      <c r="P86" s="140"/>
      <c r="Q86" s="79"/>
      <c r="R86" s="202"/>
    </row>
    <row r="87" spans="1:23" ht="12.75" customHeight="1" x14ac:dyDescent="0.2">
      <c r="A87" s="61"/>
      <c r="B87" s="114" t="s">
        <v>65</v>
      </c>
      <c r="C87" s="155">
        <f t="shared" ref="C87:N87" ca="1" si="20">SUM(C85,C79,C73,C64)</f>
        <v>2030</v>
      </c>
      <c r="D87" s="155">
        <f t="shared" ca="1" si="20"/>
        <v>6333.97</v>
      </c>
      <c r="E87" s="155">
        <f t="shared" ca="1" si="20"/>
        <v>6058.97</v>
      </c>
      <c r="F87" s="155">
        <f t="shared" ca="1" si="20"/>
        <v>2623.9700000000003</v>
      </c>
      <c r="G87" s="155">
        <f t="shared" ca="1" si="20"/>
        <v>2658.9700000000003</v>
      </c>
      <c r="H87" s="155">
        <f t="shared" ca="1" si="20"/>
        <v>2928.9700000000003</v>
      </c>
      <c r="I87" s="155">
        <f t="shared" ca="1" si="20"/>
        <v>2722.9700000000003</v>
      </c>
      <c r="J87" s="155">
        <f t="shared" ca="1" si="20"/>
        <v>2683.9700000000003</v>
      </c>
      <c r="K87" s="155">
        <f t="shared" ca="1" si="20"/>
        <v>2673.9700000000003</v>
      </c>
      <c r="L87" s="155">
        <f t="shared" ca="1" si="20"/>
        <v>2658.9700000000003</v>
      </c>
      <c r="M87" s="155">
        <f t="shared" ca="1" si="20"/>
        <v>2933.9700000000003</v>
      </c>
      <c r="N87" s="155">
        <f t="shared" ca="1" si="20"/>
        <v>2648.9700000000003</v>
      </c>
      <c r="O87" s="154"/>
      <c r="P87" s="156">
        <f ca="1">SUM(P85,P79,P73,P64)</f>
        <v>31125</v>
      </c>
      <c r="Q87" s="79"/>
      <c r="R87" s="202"/>
    </row>
    <row r="88" spans="1:23" s="51" customFormat="1" ht="5.0999999999999996" customHeight="1" x14ac:dyDescent="0.2">
      <c r="A88" s="64"/>
      <c r="B88" s="103"/>
      <c r="C88" s="133"/>
      <c r="D88" s="133"/>
      <c r="E88" s="133"/>
      <c r="F88" s="133"/>
      <c r="G88" s="133"/>
      <c r="H88" s="133"/>
      <c r="I88" s="133"/>
      <c r="J88" s="133"/>
      <c r="K88" s="133"/>
      <c r="L88" s="133"/>
      <c r="M88" s="133"/>
      <c r="N88" s="133"/>
      <c r="O88" s="133"/>
      <c r="P88" s="133"/>
      <c r="Q88" s="82"/>
      <c r="R88" s="200"/>
      <c r="V88" s="52"/>
      <c r="W88" s="53"/>
    </row>
    <row r="89" spans="1:23" s="51" customFormat="1" x14ac:dyDescent="0.2">
      <c r="A89" s="64"/>
      <c r="B89" s="103"/>
      <c r="C89" s="133"/>
      <c r="D89" s="133"/>
      <c r="E89" s="133"/>
      <c r="F89" s="133"/>
      <c r="G89" s="133"/>
      <c r="H89" s="133"/>
      <c r="I89" s="133"/>
      <c r="J89" s="133"/>
      <c r="K89" s="133"/>
      <c r="L89" s="133"/>
      <c r="M89" s="133"/>
      <c r="N89" s="133"/>
      <c r="O89" s="133"/>
      <c r="P89" s="133"/>
      <c r="Q89" s="82"/>
      <c r="R89" s="200"/>
      <c r="V89" s="52"/>
      <c r="W89" s="53"/>
    </row>
    <row r="90" spans="1:23" s="51" customFormat="1" x14ac:dyDescent="0.2">
      <c r="A90" s="64"/>
      <c r="B90" s="103"/>
      <c r="C90" s="133"/>
      <c r="D90" s="133"/>
      <c r="E90" s="133"/>
      <c r="F90" s="133"/>
      <c r="G90" s="133"/>
      <c r="H90" s="133"/>
      <c r="I90" s="133"/>
      <c r="J90" s="133"/>
      <c r="K90" s="133"/>
      <c r="L90" s="133"/>
      <c r="M90" s="133"/>
      <c r="N90" s="133"/>
      <c r="O90" s="133"/>
      <c r="P90" s="133"/>
      <c r="Q90" s="82"/>
      <c r="R90" s="200"/>
      <c r="V90" s="52"/>
      <c r="W90" s="53"/>
    </row>
    <row r="91" spans="1:23" s="51" customFormat="1" x14ac:dyDescent="0.2">
      <c r="A91" s="64"/>
      <c r="B91" s="103"/>
      <c r="C91" s="133"/>
      <c r="D91" s="133"/>
      <c r="E91" s="133"/>
      <c r="F91" s="133"/>
      <c r="G91" s="133"/>
      <c r="H91" s="133"/>
      <c r="I91" s="133"/>
      <c r="J91" s="133"/>
      <c r="K91" s="133"/>
      <c r="L91" s="133"/>
      <c r="M91" s="133"/>
      <c r="N91" s="133"/>
      <c r="O91" s="133"/>
      <c r="P91" s="133"/>
      <c r="Q91" s="82"/>
      <c r="R91" s="200"/>
      <c r="V91" s="52"/>
      <c r="W91" s="53"/>
    </row>
    <row r="92" spans="1:23" s="51" customFormat="1" x14ac:dyDescent="0.2">
      <c r="A92" s="64"/>
      <c r="B92" s="103"/>
      <c r="C92" s="133"/>
      <c r="D92" s="133"/>
      <c r="E92" s="133"/>
      <c r="F92" s="133"/>
      <c r="G92" s="133"/>
      <c r="H92" s="133"/>
      <c r="I92" s="133"/>
      <c r="J92" s="133"/>
      <c r="K92" s="133"/>
      <c r="L92" s="133"/>
      <c r="M92" s="133"/>
      <c r="N92" s="133"/>
      <c r="O92" s="133"/>
      <c r="P92" s="133"/>
      <c r="Q92" s="82"/>
      <c r="R92" s="200"/>
      <c r="V92" s="52"/>
      <c r="W92" s="53"/>
    </row>
    <row r="93" spans="1:23" s="51" customFormat="1" x14ac:dyDescent="0.2">
      <c r="A93" s="64"/>
      <c r="B93" s="103"/>
      <c r="C93" s="133"/>
      <c r="D93" s="133"/>
      <c r="E93" s="133"/>
      <c r="F93" s="133"/>
      <c r="G93" s="133"/>
      <c r="H93" s="133"/>
      <c r="I93" s="133"/>
      <c r="J93" s="133"/>
      <c r="K93" s="133"/>
      <c r="L93" s="133"/>
      <c r="M93" s="133"/>
      <c r="N93" s="133"/>
      <c r="O93" s="133"/>
      <c r="P93" s="133"/>
      <c r="Q93" s="82"/>
      <c r="R93" s="200"/>
      <c r="V93" s="52"/>
      <c r="W93" s="53"/>
    </row>
    <row r="94" spans="1:23" ht="12.75" customHeight="1" x14ac:dyDescent="0.2">
      <c r="A94" s="61"/>
      <c r="B94" s="109"/>
      <c r="C94" s="140"/>
      <c r="D94" s="140"/>
      <c r="E94" s="140"/>
      <c r="F94" s="140"/>
      <c r="G94" s="140"/>
      <c r="H94" s="140"/>
      <c r="I94" s="140"/>
      <c r="J94" s="140"/>
      <c r="K94" s="140"/>
      <c r="L94" s="140"/>
      <c r="M94" s="140"/>
      <c r="N94" s="140"/>
      <c r="O94" s="140"/>
      <c r="P94" s="140"/>
      <c r="Q94" s="79"/>
      <c r="R94" s="202"/>
    </row>
    <row r="95" spans="1:23" ht="12.75" customHeight="1" x14ac:dyDescent="0.2">
      <c r="A95" s="61"/>
      <c r="B95" s="101" t="s">
        <v>138</v>
      </c>
      <c r="C95" s="141"/>
      <c r="D95" s="141"/>
      <c r="E95" s="141"/>
      <c r="F95" s="141"/>
      <c r="G95" s="141"/>
      <c r="H95" s="141"/>
      <c r="I95" s="141"/>
      <c r="J95" s="141"/>
      <c r="K95" s="141"/>
      <c r="L95" s="141"/>
      <c r="M95" s="141"/>
      <c r="N95" s="141"/>
      <c r="O95" s="141"/>
      <c r="P95" s="142"/>
      <c r="Q95" s="79"/>
      <c r="R95" s="202"/>
    </row>
    <row r="96" spans="1:23" ht="12.75" customHeight="1" x14ac:dyDescent="0.2">
      <c r="A96" s="61"/>
      <c r="B96" s="102" t="s">
        <v>143</v>
      </c>
      <c r="C96" s="143">
        <f ca="1">C$25*SUMIFS(Precedents!$E:$E,Precedents!$D:$D,$B$25,Precedents!$B:$B,$B96)+C$26*SUMIFS(Precedents!$E:$E,Precedents!$D:$D,$B$26,Precedents!$B:$B,$B96)</f>
        <v>0</v>
      </c>
      <c r="D96" s="143">
        <f ca="1">D$25*SUMIFS(Precedents!$E:$E,Precedents!$D:$D,$B$25,Precedents!$B:$B,$B96)+D$26*SUMIFS(Precedents!$E:$E,Precedents!$D:$D,$B$26,Precedents!$B:$B,$B96)</f>
        <v>400</v>
      </c>
      <c r="E96" s="143">
        <f ca="1">E$25*SUMIFS(Precedents!$E:$E,Precedents!$D:$D,$B$25,Precedents!$B:$B,$B96)+E$26*SUMIFS(Precedents!$E:$E,Precedents!$D:$D,$B$26,Precedents!$B:$B,$B96)</f>
        <v>400</v>
      </c>
      <c r="F96" s="143">
        <f ca="1">F$25*SUMIFS(Precedents!$E:$E,Precedents!$D:$D,$B$25,Precedents!$B:$B,$B96)+F$26*SUMIFS(Precedents!$E:$E,Precedents!$D:$D,$B$26,Precedents!$B:$B,$B96)</f>
        <v>410</v>
      </c>
      <c r="G96" s="143">
        <f ca="1">G$25*SUMIFS(Precedents!$E:$E,Precedents!$D:$D,$B$25,Precedents!$B:$B,$B96)+G$26*SUMIFS(Precedents!$E:$E,Precedents!$D:$D,$B$26,Precedents!$B:$B,$B96)</f>
        <v>910</v>
      </c>
      <c r="H96" s="143">
        <f ca="1">H$25*SUMIFS(Precedents!$E:$E,Precedents!$D:$D,$B$25,Precedents!$B:$B,$B96)+H$26*SUMIFS(Precedents!$E:$E,Precedents!$D:$D,$B$26,Precedents!$B:$B,$B96)</f>
        <v>615</v>
      </c>
      <c r="I96" s="143">
        <f ca="1">I$25*SUMIFS(Precedents!$E:$E,Precedents!$D:$D,$B$25,Precedents!$B:$B,$B96)+I$26*SUMIFS(Precedents!$E:$E,Precedents!$D:$D,$B$26,Precedents!$B:$B,$B96)</f>
        <v>410</v>
      </c>
      <c r="J96" s="143">
        <f ca="1">J$25*SUMIFS(Precedents!$E:$E,Precedents!$D:$D,$B$25,Precedents!$B:$B,$B96)+J$26*SUMIFS(Precedents!$E:$E,Precedents!$D:$D,$B$26,Precedents!$B:$B,$B96)</f>
        <v>410</v>
      </c>
      <c r="K96" s="143">
        <f ca="1">K$25*SUMIFS(Precedents!$E:$E,Precedents!$D:$D,$B$25,Precedents!$B:$B,$B96)+K$26*SUMIFS(Precedents!$E:$E,Precedents!$D:$D,$B$26,Precedents!$B:$B,$B96)</f>
        <v>410</v>
      </c>
      <c r="L96" s="143">
        <f ca="1">L$25*SUMIFS(Precedents!$E:$E,Precedents!$D:$D,$B$25,Precedents!$B:$B,$B96)+L$26*SUMIFS(Precedents!$E:$E,Precedents!$D:$D,$B$26,Precedents!$B:$B,$B96)</f>
        <v>410</v>
      </c>
      <c r="M96" s="143">
        <f ca="1">M$25*SUMIFS(Precedents!$E:$E,Precedents!$D:$D,$B$25,Precedents!$B:$B,$B96)+M$26*SUMIFS(Precedents!$E:$E,Precedents!$D:$D,$B$26,Precedents!$B:$B,$B96)</f>
        <v>615</v>
      </c>
      <c r="N96" s="143">
        <f ca="1">N$25*SUMIFS(Precedents!$E:$E,Precedents!$D:$D,$B$25,Precedents!$B:$B,$B96)+N$26*SUMIFS(Precedents!$E:$E,Precedents!$D:$D,$B$26,Precedents!$B:$B,$B96)</f>
        <v>410</v>
      </c>
      <c r="O96" s="133"/>
      <c r="P96" s="144">
        <f ca="1">SUM(C96:N96)</f>
        <v>5400</v>
      </c>
      <c r="Q96" s="79"/>
      <c r="R96" s="202"/>
    </row>
    <row r="97" spans="1:23" ht="5.0999999999999996" customHeight="1" x14ac:dyDescent="0.2">
      <c r="A97" s="61"/>
      <c r="B97" s="102"/>
      <c r="C97" s="133"/>
      <c r="D97" s="133"/>
      <c r="E97" s="133"/>
      <c r="F97" s="133"/>
      <c r="G97" s="133"/>
      <c r="H97" s="133"/>
      <c r="I97" s="133"/>
      <c r="J97" s="133"/>
      <c r="K97" s="133"/>
      <c r="L97" s="133"/>
      <c r="M97" s="133"/>
      <c r="N97" s="133"/>
      <c r="O97" s="133"/>
      <c r="P97" s="144"/>
      <c r="Q97" s="79"/>
      <c r="R97" s="202"/>
    </row>
    <row r="98" spans="1:23" ht="12.75" customHeight="1" x14ac:dyDescent="0.2">
      <c r="A98" s="61"/>
      <c r="B98" s="106" t="str">
        <f>"Total "&amp;B95</f>
        <v>Total NON CASH</v>
      </c>
      <c r="C98" s="147">
        <f t="shared" ref="C98:N98" ca="1" si="21">SUM(C96:C97)</f>
        <v>0</v>
      </c>
      <c r="D98" s="147">
        <f t="shared" ca="1" si="21"/>
        <v>400</v>
      </c>
      <c r="E98" s="147">
        <f t="shared" ca="1" si="21"/>
        <v>400</v>
      </c>
      <c r="F98" s="147">
        <f t="shared" ca="1" si="21"/>
        <v>410</v>
      </c>
      <c r="G98" s="147">
        <f t="shared" ca="1" si="21"/>
        <v>910</v>
      </c>
      <c r="H98" s="147">
        <f t="shared" ca="1" si="21"/>
        <v>615</v>
      </c>
      <c r="I98" s="147">
        <f t="shared" ca="1" si="21"/>
        <v>410</v>
      </c>
      <c r="J98" s="147">
        <f t="shared" ca="1" si="21"/>
        <v>410</v>
      </c>
      <c r="K98" s="147">
        <f t="shared" ca="1" si="21"/>
        <v>410</v>
      </c>
      <c r="L98" s="147">
        <f t="shared" ca="1" si="21"/>
        <v>410</v>
      </c>
      <c r="M98" s="147">
        <f t="shared" ca="1" si="21"/>
        <v>615</v>
      </c>
      <c r="N98" s="157">
        <f t="shared" ca="1" si="21"/>
        <v>410</v>
      </c>
      <c r="O98" s="147"/>
      <c r="P98" s="148">
        <f ca="1">SUM(P96:P96)</f>
        <v>5400</v>
      </c>
      <c r="Q98" s="79"/>
      <c r="R98" s="202"/>
    </row>
    <row r="99" spans="1:23" ht="5.0999999999999996" customHeight="1" x14ac:dyDescent="0.2">
      <c r="A99" s="61"/>
      <c r="B99" s="109"/>
      <c r="C99" s="140"/>
      <c r="D99" s="140"/>
      <c r="E99" s="140"/>
      <c r="F99" s="140"/>
      <c r="G99" s="140"/>
      <c r="H99" s="140"/>
      <c r="I99" s="140"/>
      <c r="J99" s="140"/>
      <c r="K99" s="140"/>
      <c r="L99" s="140"/>
      <c r="M99" s="140"/>
      <c r="N99" s="140"/>
      <c r="O99" s="140"/>
      <c r="P99" s="140"/>
      <c r="Q99" s="79"/>
      <c r="R99" s="202"/>
    </row>
    <row r="100" spans="1:23" ht="12.75" customHeight="1" x14ac:dyDescent="0.2">
      <c r="A100" s="61"/>
      <c r="B100" s="115" t="s">
        <v>74</v>
      </c>
      <c r="C100" s="158"/>
      <c r="D100" s="158"/>
      <c r="E100" s="158"/>
      <c r="F100" s="158"/>
      <c r="G100" s="158"/>
      <c r="H100" s="158"/>
      <c r="I100" s="158"/>
      <c r="J100" s="158"/>
      <c r="K100" s="158"/>
      <c r="L100" s="158"/>
      <c r="M100" s="158"/>
      <c r="N100" s="190"/>
      <c r="O100" s="140"/>
      <c r="P100" s="140"/>
      <c r="Q100" s="79"/>
      <c r="R100" s="202"/>
    </row>
    <row r="101" spans="1:23" ht="12.75" customHeight="1" x14ac:dyDescent="0.2">
      <c r="A101" s="61"/>
      <c r="B101" s="102" t="s">
        <v>12</v>
      </c>
      <c r="C101" s="143">
        <f t="shared" ref="C101:N101" ca="1" si="22">C21</f>
        <v>45360</v>
      </c>
      <c r="D101" s="143">
        <f t="shared" ca="1" si="22"/>
        <v>44194.03</v>
      </c>
      <c r="E101" s="143">
        <f t="shared" ca="1" si="22"/>
        <v>43353.06</v>
      </c>
      <c r="F101" s="143">
        <f t="shared" ca="1" si="22"/>
        <v>45883.09</v>
      </c>
      <c r="G101" s="143">
        <f t="shared" ca="1" si="22"/>
        <v>52928.119999999995</v>
      </c>
      <c r="H101" s="143">
        <f t="shared" ca="1" si="22"/>
        <v>57630.149999999994</v>
      </c>
      <c r="I101" s="143">
        <f t="shared" ca="1" si="22"/>
        <v>60061.179999999993</v>
      </c>
      <c r="J101" s="143">
        <f t="shared" ca="1" si="22"/>
        <v>62581.209999999992</v>
      </c>
      <c r="K101" s="143">
        <f t="shared" ca="1" si="22"/>
        <v>65061.239999999991</v>
      </c>
      <c r="L101" s="143">
        <f t="shared" ca="1" si="22"/>
        <v>67556.26999999999</v>
      </c>
      <c r="M101" s="143">
        <f t="shared" ca="1" si="22"/>
        <v>72303.299999999988</v>
      </c>
      <c r="N101" s="187">
        <f t="shared" ca="1" si="22"/>
        <v>74808.329999999987</v>
      </c>
      <c r="O101" s="140"/>
      <c r="P101" s="140"/>
      <c r="Q101" s="79"/>
      <c r="R101" s="202"/>
    </row>
    <row r="102" spans="1:23" ht="12.75" customHeight="1" x14ac:dyDescent="0.2">
      <c r="A102" s="61"/>
      <c r="B102" s="102" t="s">
        <v>266</v>
      </c>
      <c r="C102" s="143">
        <f>Balances!C7</f>
        <v>137</v>
      </c>
      <c r="D102" s="143">
        <f>C102</f>
        <v>137</v>
      </c>
      <c r="E102" s="143">
        <f t="shared" ref="E102:N102" si="23">D102</f>
        <v>137</v>
      </c>
      <c r="F102" s="143">
        <f t="shared" si="23"/>
        <v>137</v>
      </c>
      <c r="G102" s="143">
        <f t="shared" si="23"/>
        <v>137</v>
      </c>
      <c r="H102" s="143">
        <f t="shared" si="23"/>
        <v>137</v>
      </c>
      <c r="I102" s="143">
        <f t="shared" si="23"/>
        <v>137</v>
      </c>
      <c r="J102" s="143">
        <f t="shared" si="23"/>
        <v>137</v>
      </c>
      <c r="K102" s="143">
        <f t="shared" si="23"/>
        <v>137</v>
      </c>
      <c r="L102" s="143">
        <f t="shared" si="23"/>
        <v>137</v>
      </c>
      <c r="M102" s="143">
        <f t="shared" si="23"/>
        <v>137</v>
      </c>
      <c r="N102" s="187">
        <f t="shared" si="23"/>
        <v>137</v>
      </c>
      <c r="O102" s="140"/>
      <c r="P102" s="140"/>
      <c r="Q102" s="79"/>
      <c r="R102" s="202"/>
    </row>
    <row r="103" spans="1:23" s="51" customFormat="1" ht="5.0999999999999996" customHeight="1" x14ac:dyDescent="0.2">
      <c r="A103" s="64"/>
      <c r="B103" s="102"/>
      <c r="C103" s="133"/>
      <c r="D103" s="133"/>
      <c r="E103" s="133"/>
      <c r="F103" s="133"/>
      <c r="G103" s="133"/>
      <c r="H103" s="133"/>
      <c r="I103" s="133"/>
      <c r="J103" s="133"/>
      <c r="K103" s="133"/>
      <c r="L103" s="133"/>
      <c r="M103" s="133"/>
      <c r="N103" s="144"/>
      <c r="O103" s="140"/>
      <c r="P103" s="140"/>
      <c r="Q103" s="82"/>
      <c r="R103" s="202"/>
      <c r="V103" s="52"/>
      <c r="W103" s="53"/>
    </row>
    <row r="104" spans="1:23" ht="12.75" customHeight="1" x14ac:dyDescent="0.2">
      <c r="A104" s="61"/>
      <c r="B104" s="102" t="s">
        <v>60</v>
      </c>
      <c r="C104" s="143">
        <f ca="1">Balances!C9+C76</f>
        <v>13000</v>
      </c>
      <c r="D104" s="143">
        <f ca="1">C104+D76</f>
        <v>13000</v>
      </c>
      <c r="E104" s="143">
        <f t="shared" ref="E104:N104" ca="1" si="24">D104+E76</f>
        <v>13000</v>
      </c>
      <c r="F104" s="143">
        <f t="shared" ca="1" si="24"/>
        <v>13000</v>
      </c>
      <c r="G104" s="143">
        <f t="shared" ca="1" si="24"/>
        <v>13000</v>
      </c>
      <c r="H104" s="143">
        <f t="shared" ca="1" si="24"/>
        <v>13000</v>
      </c>
      <c r="I104" s="143">
        <f t="shared" ca="1" si="24"/>
        <v>13000</v>
      </c>
      <c r="J104" s="143">
        <f t="shared" ca="1" si="24"/>
        <v>13000</v>
      </c>
      <c r="K104" s="143">
        <f t="shared" ca="1" si="24"/>
        <v>13000</v>
      </c>
      <c r="L104" s="143">
        <f t="shared" ca="1" si="24"/>
        <v>13000</v>
      </c>
      <c r="M104" s="143">
        <f t="shared" ca="1" si="24"/>
        <v>13000</v>
      </c>
      <c r="N104" s="187">
        <f t="shared" ca="1" si="24"/>
        <v>13000</v>
      </c>
      <c r="O104" s="140"/>
      <c r="P104" s="140"/>
      <c r="Q104" s="79"/>
      <c r="R104" s="202"/>
    </row>
    <row r="105" spans="1:23" ht="12.75" customHeight="1" x14ac:dyDescent="0.2">
      <c r="A105" s="61"/>
      <c r="B105" s="102" t="s">
        <v>59</v>
      </c>
      <c r="C105" s="143">
        <f ca="1">Balances!C10+SUM(C77,C34,C96)</f>
        <v>100000</v>
      </c>
      <c r="D105" s="143">
        <f ca="1">C105*(1+Blanket!$C$3/12)+SUM(D77,D34,D96)</f>
        <v>102033.33333333333</v>
      </c>
      <c r="E105" s="143">
        <f ca="1">D105*(1+Blanket!$C$3/12)+SUM(E77,E34,E96)</f>
        <v>104083.61111111111</v>
      </c>
      <c r="F105" s="143">
        <f ca="1">E105*(1+Blanket!$C$3/12)+SUM(F77,F34,F96)</f>
        <v>106170.97453703704</v>
      </c>
      <c r="G105" s="143">
        <f ca="1">F105*(1+Blanket!$C$3/12)+SUM(G77,G34,G96)</f>
        <v>109275.73265817901</v>
      </c>
      <c r="H105" s="143">
        <f ca="1">G105*(1+Blanket!$C$3/12)+SUM(H77,H34,H96)</f>
        <v>112016.36376366383</v>
      </c>
      <c r="I105" s="143">
        <f ca="1">H105*(1+Blanket!$C$3/12)+SUM(I77,I34,I96)</f>
        <v>114169.83346169436</v>
      </c>
      <c r="J105" s="143">
        <f ca="1">I105*(1+Blanket!$C$3/12)+SUM(J77,J34,J96)</f>
        <v>116341.24874054181</v>
      </c>
      <c r="K105" s="143">
        <f ca="1">J105*(1+Blanket!$C$3/12)+SUM(K77,K34,K96)</f>
        <v>118530.75914671298</v>
      </c>
      <c r="L105" s="143">
        <f ca="1">K105*(1+Blanket!$C$3/12)+SUM(L77,L34,L96)</f>
        <v>120738.51547293559</v>
      </c>
      <c r="M105" s="143">
        <f ca="1">L105*(1+Blanket!$C$3/12)+SUM(M77,M34,M96)</f>
        <v>123574.66976854338</v>
      </c>
      <c r="N105" s="187">
        <f ca="1">M105*(1+Blanket!$C$3/12)+SUM(N77,N34,N96)</f>
        <v>125824.45868328123</v>
      </c>
      <c r="O105" s="140"/>
      <c r="P105" s="140"/>
      <c r="Q105" s="79"/>
      <c r="R105" s="202"/>
    </row>
    <row r="106" spans="1:23" s="51" customFormat="1" ht="5.0999999999999996" customHeight="1" x14ac:dyDescent="0.2">
      <c r="A106" s="64"/>
      <c r="B106" s="102"/>
      <c r="C106" s="133"/>
      <c r="D106" s="133"/>
      <c r="E106" s="133"/>
      <c r="F106" s="133"/>
      <c r="G106" s="133"/>
      <c r="H106" s="133"/>
      <c r="I106" s="133"/>
      <c r="J106" s="133"/>
      <c r="K106" s="133"/>
      <c r="L106" s="133"/>
      <c r="M106" s="133"/>
      <c r="N106" s="144"/>
      <c r="O106" s="140"/>
      <c r="P106" s="140"/>
      <c r="Q106" s="82"/>
      <c r="R106" s="202"/>
      <c r="V106" s="52"/>
      <c r="W106" s="53"/>
    </row>
    <row r="107" spans="1:23" ht="12.75" customHeight="1" x14ac:dyDescent="0.2">
      <c r="A107" s="61"/>
      <c r="B107" s="116" t="s">
        <v>158</v>
      </c>
      <c r="C107" s="159">
        <f t="shared" ref="C107:N107" ca="1" si="25">SUM(C101:C106)</f>
        <v>158497</v>
      </c>
      <c r="D107" s="159">
        <f t="shared" ca="1" si="25"/>
        <v>159364.36333333334</v>
      </c>
      <c r="E107" s="159">
        <f t="shared" ca="1" si="25"/>
        <v>160573.67111111112</v>
      </c>
      <c r="F107" s="159">
        <f t="shared" ca="1" si="25"/>
        <v>165191.06453703705</v>
      </c>
      <c r="G107" s="159">
        <f t="shared" ca="1" si="25"/>
        <v>175340.85265817901</v>
      </c>
      <c r="H107" s="159">
        <f t="shared" ca="1" si="25"/>
        <v>182783.51376366382</v>
      </c>
      <c r="I107" s="159">
        <f t="shared" ca="1" si="25"/>
        <v>187368.01346169435</v>
      </c>
      <c r="J107" s="159">
        <f t="shared" ca="1" si="25"/>
        <v>192059.4587405418</v>
      </c>
      <c r="K107" s="159">
        <f t="shared" ca="1" si="25"/>
        <v>196728.99914671297</v>
      </c>
      <c r="L107" s="159">
        <f t="shared" ca="1" si="25"/>
        <v>201431.78547293559</v>
      </c>
      <c r="M107" s="159">
        <f t="shared" ca="1" si="25"/>
        <v>209014.96976854338</v>
      </c>
      <c r="N107" s="188">
        <f t="shared" ca="1" si="25"/>
        <v>213769.78868328122</v>
      </c>
      <c r="O107" s="140"/>
      <c r="P107" s="140"/>
      <c r="Q107" s="82"/>
      <c r="R107" s="202"/>
    </row>
    <row r="108" spans="1:23" s="51" customFormat="1" ht="5.0999999999999996" customHeight="1" x14ac:dyDescent="0.2">
      <c r="A108" s="64"/>
      <c r="B108" s="102"/>
      <c r="C108" s="133"/>
      <c r="D108" s="133"/>
      <c r="E108" s="133"/>
      <c r="F108" s="133"/>
      <c r="G108" s="133"/>
      <c r="H108" s="133"/>
      <c r="I108" s="133"/>
      <c r="J108" s="133"/>
      <c r="K108" s="133"/>
      <c r="L108" s="133"/>
      <c r="M108" s="133"/>
      <c r="N108" s="144"/>
      <c r="O108" s="140"/>
      <c r="P108" s="140"/>
      <c r="Q108" s="82"/>
      <c r="R108" s="202"/>
      <c r="V108" s="52"/>
      <c r="W108" s="53"/>
    </row>
    <row r="109" spans="1:23" ht="12.75" customHeight="1" x14ac:dyDescent="0.2">
      <c r="A109" s="61"/>
      <c r="B109" s="102" t="s">
        <v>11</v>
      </c>
      <c r="C109" s="143">
        <f ca="1">Balances!C14-C82</f>
        <v>20350</v>
      </c>
      <c r="D109" s="143">
        <f t="shared" ref="D109:N109" ca="1" si="26">C109-D82</f>
        <v>20150</v>
      </c>
      <c r="E109" s="143">
        <f t="shared" ca="1" si="26"/>
        <v>19950</v>
      </c>
      <c r="F109" s="143">
        <f t="shared" ca="1" si="26"/>
        <v>19750</v>
      </c>
      <c r="G109" s="143">
        <f t="shared" ca="1" si="26"/>
        <v>19550</v>
      </c>
      <c r="H109" s="143">
        <f t="shared" ca="1" si="26"/>
        <v>19350</v>
      </c>
      <c r="I109" s="143">
        <f t="shared" ca="1" si="26"/>
        <v>19150</v>
      </c>
      <c r="J109" s="143">
        <f t="shared" ca="1" si="26"/>
        <v>18950</v>
      </c>
      <c r="K109" s="143">
        <f t="shared" ca="1" si="26"/>
        <v>18750</v>
      </c>
      <c r="L109" s="143">
        <f t="shared" ca="1" si="26"/>
        <v>18550</v>
      </c>
      <c r="M109" s="143">
        <f t="shared" ca="1" si="26"/>
        <v>18350</v>
      </c>
      <c r="N109" s="187">
        <f t="shared" ca="1" si="26"/>
        <v>18150</v>
      </c>
      <c r="O109" s="140"/>
      <c r="P109" s="140"/>
      <c r="Q109" s="82"/>
      <c r="R109" s="202"/>
    </row>
    <row r="110" spans="1:23" ht="12.75" customHeight="1" x14ac:dyDescent="0.2">
      <c r="A110" s="61"/>
      <c r="B110" s="102" t="s">
        <v>42</v>
      </c>
      <c r="C110" s="143">
        <f ca="1">Balances!C15-C83</f>
        <v>7150</v>
      </c>
      <c r="D110" s="143">
        <f t="shared" ref="D110:N110" ca="1" si="27">C110-D83</f>
        <v>3500</v>
      </c>
      <c r="E110" s="143">
        <f t="shared" ca="1" si="27"/>
        <v>0</v>
      </c>
      <c r="F110" s="143">
        <f t="shared" ca="1" si="27"/>
        <v>0</v>
      </c>
      <c r="G110" s="143">
        <f t="shared" ca="1" si="27"/>
        <v>0</v>
      </c>
      <c r="H110" s="143">
        <f t="shared" ca="1" si="27"/>
        <v>0</v>
      </c>
      <c r="I110" s="143">
        <f t="shared" ca="1" si="27"/>
        <v>0</v>
      </c>
      <c r="J110" s="143">
        <f t="shared" ca="1" si="27"/>
        <v>0</v>
      </c>
      <c r="K110" s="143">
        <f t="shared" ca="1" si="27"/>
        <v>0</v>
      </c>
      <c r="L110" s="143">
        <f t="shared" ca="1" si="27"/>
        <v>0</v>
      </c>
      <c r="M110" s="143">
        <f t="shared" ca="1" si="27"/>
        <v>0</v>
      </c>
      <c r="N110" s="187">
        <f t="shared" ca="1" si="27"/>
        <v>0</v>
      </c>
      <c r="O110" s="140"/>
      <c r="P110" s="140"/>
      <c r="Q110" s="79"/>
      <c r="R110" s="202"/>
    </row>
    <row r="111" spans="1:23" s="51" customFormat="1" ht="5.0999999999999996" customHeight="1" x14ac:dyDescent="0.2">
      <c r="A111" s="64"/>
      <c r="B111" s="102"/>
      <c r="C111" s="133"/>
      <c r="D111" s="133"/>
      <c r="E111" s="133"/>
      <c r="F111" s="133"/>
      <c r="G111" s="133"/>
      <c r="H111" s="133"/>
      <c r="I111" s="133"/>
      <c r="J111" s="133"/>
      <c r="K111" s="133"/>
      <c r="L111" s="133"/>
      <c r="M111" s="133"/>
      <c r="N111" s="144"/>
      <c r="O111" s="140"/>
      <c r="P111" s="140"/>
      <c r="Q111" s="82"/>
      <c r="R111" s="202"/>
      <c r="V111" s="52"/>
      <c r="W111" s="53"/>
    </row>
    <row r="112" spans="1:23" ht="12.75" customHeight="1" x14ac:dyDescent="0.2">
      <c r="A112" s="61"/>
      <c r="B112" s="116" t="s">
        <v>159</v>
      </c>
      <c r="C112" s="159">
        <f ca="1">SUM(C108:C111)</f>
        <v>27500</v>
      </c>
      <c r="D112" s="159">
        <f t="shared" ref="D112:N112" ca="1" si="28">SUM(D108:D111)</f>
        <v>23650</v>
      </c>
      <c r="E112" s="159">
        <f t="shared" ca="1" si="28"/>
        <v>19950</v>
      </c>
      <c r="F112" s="159">
        <f t="shared" ca="1" si="28"/>
        <v>19750</v>
      </c>
      <c r="G112" s="159">
        <f t="shared" ca="1" si="28"/>
        <v>19550</v>
      </c>
      <c r="H112" s="159">
        <f t="shared" ca="1" si="28"/>
        <v>19350</v>
      </c>
      <c r="I112" s="159">
        <f t="shared" ca="1" si="28"/>
        <v>19150</v>
      </c>
      <c r="J112" s="159">
        <f t="shared" ca="1" si="28"/>
        <v>18950</v>
      </c>
      <c r="K112" s="159">
        <f t="shared" ca="1" si="28"/>
        <v>18750</v>
      </c>
      <c r="L112" s="159">
        <f t="shared" ca="1" si="28"/>
        <v>18550</v>
      </c>
      <c r="M112" s="159">
        <f t="shared" ca="1" si="28"/>
        <v>18350</v>
      </c>
      <c r="N112" s="188">
        <f t="shared" ca="1" si="28"/>
        <v>18150</v>
      </c>
      <c r="O112" s="140"/>
      <c r="P112" s="140"/>
      <c r="Q112" s="82"/>
      <c r="R112" s="202"/>
    </row>
    <row r="113" spans="1:23" s="51" customFormat="1" ht="5.0999999999999996" customHeight="1" x14ac:dyDescent="0.2">
      <c r="A113" s="64"/>
      <c r="B113" s="102"/>
      <c r="C113" s="133"/>
      <c r="D113" s="133"/>
      <c r="E113" s="133"/>
      <c r="F113" s="133"/>
      <c r="G113" s="133"/>
      <c r="H113" s="133"/>
      <c r="I113" s="133"/>
      <c r="J113" s="133"/>
      <c r="K113" s="133"/>
      <c r="L113" s="133"/>
      <c r="M113" s="133"/>
      <c r="N113" s="144"/>
      <c r="O113" s="140"/>
      <c r="P113" s="140"/>
      <c r="Q113" s="82"/>
      <c r="R113" s="202"/>
      <c r="V113" s="52"/>
      <c r="W113" s="53"/>
    </row>
    <row r="114" spans="1:23" ht="12.75" customHeight="1" x14ac:dyDescent="0.2">
      <c r="A114" s="61"/>
      <c r="B114" s="117" t="s">
        <v>72</v>
      </c>
      <c r="C114" s="160">
        <f ca="1">C107-C112</f>
        <v>130997</v>
      </c>
      <c r="D114" s="160">
        <f t="shared" ref="D114:N114" ca="1" si="29">D107-D112</f>
        <v>135714.36333333334</v>
      </c>
      <c r="E114" s="160">
        <f t="shared" ca="1" si="29"/>
        <v>140623.67111111112</v>
      </c>
      <c r="F114" s="160">
        <f t="shared" ca="1" si="29"/>
        <v>145441.06453703705</v>
      </c>
      <c r="G114" s="160">
        <f t="shared" ca="1" si="29"/>
        <v>155790.85265817901</v>
      </c>
      <c r="H114" s="160">
        <f t="shared" ca="1" si="29"/>
        <v>163433.51376366382</v>
      </c>
      <c r="I114" s="160">
        <f t="shared" ca="1" si="29"/>
        <v>168218.01346169435</v>
      </c>
      <c r="J114" s="160">
        <f t="shared" ca="1" si="29"/>
        <v>173109.4587405418</v>
      </c>
      <c r="K114" s="160">
        <f t="shared" ca="1" si="29"/>
        <v>177978.99914671297</v>
      </c>
      <c r="L114" s="160">
        <f t="shared" ca="1" si="29"/>
        <v>182881.78547293559</v>
      </c>
      <c r="M114" s="160">
        <f t="shared" ca="1" si="29"/>
        <v>190664.96976854338</v>
      </c>
      <c r="N114" s="189">
        <f t="shared" ca="1" si="29"/>
        <v>195619.78868328122</v>
      </c>
      <c r="O114" s="140"/>
      <c r="P114" s="140"/>
      <c r="Q114" s="79"/>
      <c r="R114" s="202"/>
    </row>
    <row r="115" spans="1:23" s="44" customFormat="1" ht="5.0999999999999996" customHeight="1" x14ac:dyDescent="0.2">
      <c r="A115" s="74" t="s">
        <v>73</v>
      </c>
      <c r="B115" s="94"/>
      <c r="C115" s="79"/>
      <c r="D115" s="79"/>
      <c r="E115" s="79"/>
      <c r="F115" s="79"/>
      <c r="G115" s="79"/>
      <c r="H115" s="79"/>
      <c r="I115" s="79"/>
      <c r="J115" s="79"/>
      <c r="K115" s="79"/>
      <c r="L115" s="79"/>
      <c r="M115" s="79"/>
      <c r="N115" s="79"/>
      <c r="O115" s="140"/>
      <c r="P115" s="140"/>
      <c r="Q115" s="74" t="s">
        <v>73</v>
      </c>
      <c r="R115" s="202"/>
      <c r="U115" s="45"/>
      <c r="V115" s="45"/>
      <c r="W115" s="15"/>
    </row>
    <row r="116" spans="1:23" s="51" customFormat="1" x14ac:dyDescent="0.2">
      <c r="A116" s="64"/>
      <c r="B116" s="97"/>
      <c r="C116" s="200"/>
      <c r="D116" s="200"/>
      <c r="E116" s="200"/>
      <c r="F116" s="200"/>
      <c r="G116" s="200"/>
      <c r="H116" s="200"/>
      <c r="I116" s="200"/>
      <c r="J116" s="200"/>
      <c r="K116" s="200"/>
      <c r="L116" s="200"/>
      <c r="M116" s="200"/>
      <c r="N116" s="200"/>
      <c r="O116" s="200"/>
      <c r="P116" s="200"/>
      <c r="Q116" s="200"/>
      <c r="R116" s="202"/>
      <c r="V116" s="52"/>
    </row>
    <row r="117" spans="1:23" s="51" customFormat="1" x14ac:dyDescent="0.2">
      <c r="A117" s="64"/>
      <c r="B117" s="211" t="s">
        <v>323</v>
      </c>
      <c r="C117" s="200"/>
      <c r="D117" s="200"/>
      <c r="E117" s="200"/>
      <c r="F117" s="200"/>
      <c r="G117" s="200"/>
      <c r="H117" s="200"/>
      <c r="I117" s="200"/>
      <c r="J117" s="200"/>
      <c r="K117" s="200"/>
      <c r="L117" s="200"/>
      <c r="M117" s="200"/>
      <c r="N117" s="200"/>
      <c r="O117" s="200"/>
      <c r="P117" s="200"/>
      <c r="Q117" s="64"/>
      <c r="R117" s="202"/>
      <c r="V117" s="52"/>
    </row>
    <row r="118" spans="1:23" s="216" customFormat="1" x14ac:dyDescent="0.2">
      <c r="A118" s="64"/>
      <c r="B118" s="212" t="s">
        <v>147</v>
      </c>
      <c r="C118" s="213">
        <f ca="1">(N25/N122)*COUNTIFS('Paydays list'!$C:$C,MONTH(C$4),'Paydays list'!$D:$D,YEAR(C$4)+1)+C26</f>
        <v>8200</v>
      </c>
      <c r="D118" s="214">
        <f t="shared" ref="D118:N118" ca="1" si="30">SUM(D25:D26)</f>
        <v>8000</v>
      </c>
      <c r="E118" s="214">
        <f t="shared" ca="1" si="30"/>
        <v>8000</v>
      </c>
      <c r="F118" s="214">
        <f t="shared" ca="1" si="30"/>
        <v>8200</v>
      </c>
      <c r="G118" s="214">
        <f t="shared" ca="1" si="30"/>
        <v>18200</v>
      </c>
      <c r="H118" s="214">
        <f t="shared" ca="1" si="30"/>
        <v>12300</v>
      </c>
      <c r="I118" s="214">
        <f t="shared" ca="1" si="30"/>
        <v>8200</v>
      </c>
      <c r="J118" s="214">
        <f t="shared" ca="1" si="30"/>
        <v>8200</v>
      </c>
      <c r="K118" s="214">
        <f t="shared" ca="1" si="30"/>
        <v>8200</v>
      </c>
      <c r="L118" s="214">
        <f t="shared" ca="1" si="30"/>
        <v>8200</v>
      </c>
      <c r="M118" s="214">
        <f t="shared" ca="1" si="30"/>
        <v>12300</v>
      </c>
      <c r="N118" s="214">
        <f t="shared" ca="1" si="30"/>
        <v>8200</v>
      </c>
      <c r="O118" s="214"/>
      <c r="P118" s="215"/>
      <c r="Q118" s="64"/>
      <c r="R118" s="202"/>
      <c r="U118" s="217"/>
      <c r="V118" s="217"/>
      <c r="W118" s="15"/>
    </row>
    <row r="119" spans="1:23" s="216" customFormat="1" x14ac:dyDescent="0.2">
      <c r="A119" s="64"/>
      <c r="B119" s="212" t="s">
        <v>315</v>
      </c>
      <c r="C119" s="213">
        <v>1</v>
      </c>
      <c r="D119" s="214">
        <f>C119+1</f>
        <v>2</v>
      </c>
      <c r="E119" s="214">
        <f t="shared" ref="E119:N119" si="31">D119+1</f>
        <v>3</v>
      </c>
      <c r="F119" s="214">
        <f t="shared" si="31"/>
        <v>4</v>
      </c>
      <c r="G119" s="214">
        <f t="shared" si="31"/>
        <v>5</v>
      </c>
      <c r="H119" s="214">
        <f t="shared" si="31"/>
        <v>6</v>
      </c>
      <c r="I119" s="214">
        <f t="shared" si="31"/>
        <v>7</v>
      </c>
      <c r="J119" s="214">
        <f t="shared" si="31"/>
        <v>8</v>
      </c>
      <c r="K119" s="214">
        <f t="shared" si="31"/>
        <v>9</v>
      </c>
      <c r="L119" s="214">
        <f t="shared" si="31"/>
        <v>10</v>
      </c>
      <c r="M119" s="214">
        <f t="shared" si="31"/>
        <v>11</v>
      </c>
      <c r="N119" s="214">
        <f t="shared" si="31"/>
        <v>12</v>
      </c>
      <c r="O119" s="214"/>
      <c r="P119" s="215"/>
      <c r="Q119" s="64"/>
      <c r="R119" s="202"/>
      <c r="U119" s="217"/>
      <c r="V119" s="217"/>
      <c r="W119" s="15"/>
    </row>
    <row r="120" spans="1:23" s="216" customFormat="1" x14ac:dyDescent="0.2">
      <c r="A120" s="64"/>
      <c r="B120" s="212"/>
      <c r="C120" s="213"/>
      <c r="D120" s="214"/>
      <c r="E120" s="214"/>
      <c r="F120" s="214"/>
      <c r="G120" s="214"/>
      <c r="H120" s="214"/>
      <c r="I120" s="214"/>
      <c r="J120" s="214"/>
      <c r="K120" s="214"/>
      <c r="L120" s="214"/>
      <c r="M120" s="214"/>
      <c r="N120" s="214"/>
      <c r="O120" s="214"/>
      <c r="P120" s="215"/>
      <c r="Q120" s="64"/>
      <c r="R120" s="202"/>
      <c r="U120" s="217"/>
      <c r="V120" s="217"/>
      <c r="W120" s="15"/>
    </row>
    <row r="121" spans="1:23" s="216" customFormat="1" x14ac:dyDescent="0.2">
      <c r="A121" s="64"/>
      <c r="B121" s="233" t="s">
        <v>324</v>
      </c>
      <c r="C121" s="213"/>
      <c r="D121" s="214"/>
      <c r="E121" s="214"/>
      <c r="F121" s="214"/>
      <c r="G121" s="214"/>
      <c r="H121" s="214"/>
      <c r="I121" s="214"/>
      <c r="J121" s="214"/>
      <c r="K121" s="214"/>
      <c r="L121" s="214"/>
      <c r="M121" s="214"/>
      <c r="N121" s="214"/>
      <c r="O121" s="214"/>
      <c r="P121" s="215"/>
      <c r="Q121" s="64"/>
      <c r="R121" s="202"/>
      <c r="U121" s="217"/>
      <c r="V121" s="217"/>
      <c r="W121" s="15"/>
    </row>
    <row r="122" spans="1:23" s="216" customFormat="1" x14ac:dyDescent="0.2">
      <c r="A122" s="64"/>
      <c r="B122" s="218" t="s">
        <v>136</v>
      </c>
      <c r="C122" s="219">
        <f ca="1">COUNTIFS('Paydays list'!$C:$C,MONTH(C$4),'Paydays list'!$D:$D,YEAR(C$4),'Paydays list'!$B:$B,"&gt;"&amp;TODAY())</f>
        <v>0</v>
      </c>
      <c r="D122" s="219">
        <f ca="1">COUNTIFS('Paydays list'!$C:$C,MONTH(D$4),'Paydays list'!$D:$D,YEAR(D$4),'Paydays list'!$B:$B,"&gt;"&amp;TODAY())</f>
        <v>2</v>
      </c>
      <c r="E122" s="219">
        <f ca="1">COUNTIFS('Paydays list'!$C:$C,MONTH(E$4),'Paydays list'!$D:$D,YEAR(E$4),'Paydays list'!$B:$B,"&gt;"&amp;TODAY())</f>
        <v>2</v>
      </c>
      <c r="F122" s="219">
        <f ca="1">COUNTIFS('Paydays list'!$C:$C,MONTH(F$4),'Paydays list'!$D:$D,YEAR(F$4),'Paydays list'!$B:$B,"&gt;"&amp;TODAY())</f>
        <v>2</v>
      </c>
      <c r="G122" s="219">
        <f ca="1">COUNTIFS('Paydays list'!$C:$C,MONTH(G$4),'Paydays list'!$D:$D,YEAR(G$4),'Paydays list'!$B:$B,"&gt;"&amp;TODAY())</f>
        <v>2</v>
      </c>
      <c r="H122" s="219">
        <f ca="1">COUNTIFS('Paydays list'!$C:$C,MONTH(H$4),'Paydays list'!$D:$D,YEAR(H$4),'Paydays list'!$B:$B,"&gt;"&amp;TODAY())</f>
        <v>3</v>
      </c>
      <c r="I122" s="219">
        <f ca="1">COUNTIFS('Paydays list'!$C:$C,MONTH(I$4),'Paydays list'!$D:$D,YEAR(I$4),'Paydays list'!$B:$B,"&gt;"&amp;TODAY())</f>
        <v>2</v>
      </c>
      <c r="J122" s="219">
        <f ca="1">COUNTIFS('Paydays list'!$C:$C,MONTH(J$4),'Paydays list'!$D:$D,YEAR(J$4),'Paydays list'!$B:$B,"&gt;"&amp;TODAY())</f>
        <v>2</v>
      </c>
      <c r="K122" s="219">
        <f ca="1">COUNTIFS('Paydays list'!$C:$C,MONTH(K$4),'Paydays list'!$D:$D,YEAR(K$4),'Paydays list'!$B:$B,"&gt;"&amp;TODAY())</f>
        <v>2</v>
      </c>
      <c r="L122" s="219">
        <f ca="1">COUNTIFS('Paydays list'!$C:$C,MONTH(L$4),'Paydays list'!$D:$D,YEAR(L$4),'Paydays list'!$B:$B,"&gt;"&amp;TODAY())</f>
        <v>2</v>
      </c>
      <c r="M122" s="219">
        <f ca="1">COUNTIFS('Paydays list'!$C:$C,MONTH(M$4),'Paydays list'!$D:$D,YEAR(M$4),'Paydays list'!$B:$B,"&gt;"&amp;TODAY())</f>
        <v>3</v>
      </c>
      <c r="N122" s="219">
        <f ca="1">COUNTIFS('Paydays list'!$C:$C,MONTH(N$4),'Paydays list'!$D:$D,YEAR(N$4),'Paydays list'!$B:$B,"&gt;"&amp;TODAY())</f>
        <v>2</v>
      </c>
      <c r="O122" s="219"/>
      <c r="P122" s="219">
        <f ca="1">SUM(C122:N122)</f>
        <v>24</v>
      </c>
      <c r="Q122" s="64"/>
      <c r="R122" s="202"/>
      <c r="U122" s="217"/>
      <c r="V122" s="217"/>
      <c r="W122" s="15"/>
    </row>
    <row r="123" spans="1:23" s="216" customFormat="1" x14ac:dyDescent="0.2">
      <c r="A123" s="64"/>
      <c r="B123" s="218" t="s">
        <v>325</v>
      </c>
      <c r="C123" s="219">
        <f t="shared" ref="C123:N123" ca="1" si="32">NETWORKDAYS(C4,EOMONTH(C4,0))</f>
        <v>2</v>
      </c>
      <c r="D123" s="219">
        <f t="shared" ca="1" si="32"/>
        <v>23</v>
      </c>
      <c r="E123" s="219">
        <f t="shared" ca="1" si="32"/>
        <v>20</v>
      </c>
      <c r="F123" s="219">
        <f t="shared" ca="1" si="32"/>
        <v>21</v>
      </c>
      <c r="G123" s="219">
        <f t="shared" ca="1" si="32"/>
        <v>22</v>
      </c>
      <c r="H123" s="219">
        <f t="shared" ca="1" si="32"/>
        <v>22</v>
      </c>
      <c r="I123" s="219">
        <f t="shared" ca="1" si="32"/>
        <v>21</v>
      </c>
      <c r="J123" s="219">
        <f t="shared" ca="1" si="32"/>
        <v>23</v>
      </c>
      <c r="K123" s="219">
        <f t="shared" ca="1" si="32"/>
        <v>21</v>
      </c>
      <c r="L123" s="219">
        <f t="shared" ca="1" si="32"/>
        <v>22</v>
      </c>
      <c r="M123" s="219">
        <f t="shared" ca="1" si="32"/>
        <v>23</v>
      </c>
      <c r="N123" s="219">
        <f t="shared" ca="1" si="32"/>
        <v>20</v>
      </c>
      <c r="O123" s="219"/>
      <c r="P123" s="219"/>
      <c r="Q123" s="64"/>
      <c r="R123" s="202"/>
      <c r="U123" s="217"/>
      <c r="V123" s="217"/>
      <c r="W123" s="15"/>
    </row>
    <row r="124" spans="1:23" s="216" customFormat="1" x14ac:dyDescent="0.2">
      <c r="A124" s="64"/>
      <c r="B124" s="218" t="s">
        <v>231</v>
      </c>
      <c r="C124" s="219">
        <f t="shared" ref="C124:N124" ca="1" si="33">EOMONTH(C4,0)-C4</f>
        <v>1</v>
      </c>
      <c r="D124" s="219">
        <f t="shared" ca="1" si="33"/>
        <v>30</v>
      </c>
      <c r="E124" s="219">
        <f t="shared" ca="1" si="33"/>
        <v>27</v>
      </c>
      <c r="F124" s="219">
        <f t="shared" ca="1" si="33"/>
        <v>30</v>
      </c>
      <c r="G124" s="219">
        <f t="shared" ca="1" si="33"/>
        <v>29</v>
      </c>
      <c r="H124" s="219">
        <f t="shared" ca="1" si="33"/>
        <v>30</v>
      </c>
      <c r="I124" s="219">
        <f t="shared" ca="1" si="33"/>
        <v>29</v>
      </c>
      <c r="J124" s="219">
        <f t="shared" ca="1" si="33"/>
        <v>30</v>
      </c>
      <c r="K124" s="219">
        <f t="shared" ca="1" si="33"/>
        <v>30</v>
      </c>
      <c r="L124" s="219">
        <f t="shared" ca="1" si="33"/>
        <v>29</v>
      </c>
      <c r="M124" s="219">
        <f t="shared" ca="1" si="33"/>
        <v>30</v>
      </c>
      <c r="N124" s="219">
        <f t="shared" ca="1" si="33"/>
        <v>29</v>
      </c>
      <c r="O124" s="219"/>
      <c r="P124" s="219">
        <f ca="1">SUM(C124:N124)</f>
        <v>324</v>
      </c>
      <c r="Q124" s="64"/>
      <c r="R124" s="202"/>
      <c r="U124" s="217"/>
      <c r="V124" s="217"/>
      <c r="W124" s="15"/>
    </row>
    <row r="125" spans="1:23" s="216" customFormat="1" x14ac:dyDescent="0.2">
      <c r="A125" s="64"/>
      <c r="B125" s="218" t="s">
        <v>326</v>
      </c>
      <c r="C125" s="232">
        <f ca="1">NETWORKDAYS.INTL(C$4,EOMONTH(C$4,0),"0111111")</f>
        <v>1</v>
      </c>
      <c r="D125" s="232">
        <f t="shared" ref="D125:N125" ca="1" si="34">NETWORKDAYS.INTL(D$4,EOMONTH(D$4,0),"0111111")</f>
        <v>4</v>
      </c>
      <c r="E125" s="232">
        <f t="shared" ca="1" si="34"/>
        <v>4</v>
      </c>
      <c r="F125" s="232">
        <f t="shared" ca="1" si="34"/>
        <v>5</v>
      </c>
      <c r="G125" s="232">
        <f t="shared" ca="1" si="34"/>
        <v>4</v>
      </c>
      <c r="H125" s="232">
        <f t="shared" ca="1" si="34"/>
        <v>4</v>
      </c>
      <c r="I125" s="232">
        <f t="shared" ca="1" si="34"/>
        <v>5</v>
      </c>
      <c r="J125" s="232">
        <f t="shared" ca="1" si="34"/>
        <v>4</v>
      </c>
      <c r="K125" s="232">
        <f t="shared" ca="1" si="34"/>
        <v>4</v>
      </c>
      <c r="L125" s="232">
        <f t="shared" ca="1" si="34"/>
        <v>5</v>
      </c>
      <c r="M125" s="232">
        <f t="shared" ca="1" si="34"/>
        <v>4</v>
      </c>
      <c r="N125" s="232">
        <f t="shared" ca="1" si="34"/>
        <v>4</v>
      </c>
      <c r="O125" s="219"/>
      <c r="P125" s="219"/>
      <c r="Q125" s="64"/>
      <c r="R125" s="202"/>
      <c r="U125" s="217"/>
      <c r="V125" s="217"/>
      <c r="W125" s="15"/>
    </row>
    <row r="126" spans="1:23" s="216" customFormat="1" x14ac:dyDescent="0.2">
      <c r="A126" s="64"/>
      <c r="B126" s="218" t="s">
        <v>327</v>
      </c>
      <c r="C126" s="232">
        <f ca="1">NETWORKDAYS.INTL(C$4,EOMONTH(C$4,0),"1011111")</f>
        <v>1</v>
      </c>
      <c r="D126" s="232">
        <f t="shared" ref="D126:N126" ca="1" si="35">NETWORKDAYS.INTL(D$4,EOMONTH(D$4,0),"1011111")</f>
        <v>4</v>
      </c>
      <c r="E126" s="232">
        <f t="shared" ca="1" si="35"/>
        <v>4</v>
      </c>
      <c r="F126" s="232">
        <f t="shared" ca="1" si="35"/>
        <v>4</v>
      </c>
      <c r="G126" s="232">
        <f t="shared" ca="1" si="35"/>
        <v>5</v>
      </c>
      <c r="H126" s="232">
        <f t="shared" ca="1" si="35"/>
        <v>4</v>
      </c>
      <c r="I126" s="232">
        <f t="shared" ca="1" si="35"/>
        <v>4</v>
      </c>
      <c r="J126" s="232">
        <f t="shared" ca="1" si="35"/>
        <v>5</v>
      </c>
      <c r="K126" s="232">
        <f t="shared" ca="1" si="35"/>
        <v>4</v>
      </c>
      <c r="L126" s="232">
        <f t="shared" ca="1" si="35"/>
        <v>5</v>
      </c>
      <c r="M126" s="232">
        <f t="shared" ca="1" si="35"/>
        <v>4</v>
      </c>
      <c r="N126" s="232">
        <f t="shared" ca="1" si="35"/>
        <v>4</v>
      </c>
      <c r="O126" s="219"/>
      <c r="P126" s="219"/>
      <c r="Q126" s="64"/>
      <c r="R126" s="202"/>
      <c r="U126" s="217"/>
      <c r="V126" s="217"/>
      <c r="W126" s="15"/>
    </row>
    <row r="127" spans="1:23" s="216" customFormat="1" x14ac:dyDescent="0.2">
      <c r="A127" s="64"/>
      <c r="B127" s="218" t="s">
        <v>328</v>
      </c>
      <c r="C127" s="232">
        <f ca="1">NETWORKDAYS.INTL(C$4,EOMONTH(C$4,0),"1101111")</f>
        <v>0</v>
      </c>
      <c r="D127" s="232">
        <f t="shared" ref="D127:N127" ca="1" si="36">NETWORKDAYS.INTL(D$4,EOMONTH(D$4,0),"1101111")</f>
        <v>5</v>
      </c>
      <c r="E127" s="232">
        <f t="shared" ca="1" si="36"/>
        <v>4</v>
      </c>
      <c r="F127" s="232">
        <f t="shared" ca="1" si="36"/>
        <v>4</v>
      </c>
      <c r="G127" s="232">
        <f t="shared" ca="1" si="36"/>
        <v>5</v>
      </c>
      <c r="H127" s="232">
        <f t="shared" ca="1" si="36"/>
        <v>4</v>
      </c>
      <c r="I127" s="232">
        <f t="shared" ca="1" si="36"/>
        <v>4</v>
      </c>
      <c r="J127" s="232">
        <f t="shared" ca="1" si="36"/>
        <v>5</v>
      </c>
      <c r="K127" s="232">
        <f t="shared" ca="1" si="36"/>
        <v>4</v>
      </c>
      <c r="L127" s="232">
        <f t="shared" ca="1" si="36"/>
        <v>4</v>
      </c>
      <c r="M127" s="232">
        <f t="shared" ca="1" si="36"/>
        <v>5</v>
      </c>
      <c r="N127" s="232">
        <f t="shared" ca="1" si="36"/>
        <v>4</v>
      </c>
      <c r="O127" s="219"/>
      <c r="P127" s="219"/>
      <c r="Q127" s="64"/>
      <c r="R127" s="202"/>
      <c r="U127" s="217"/>
      <c r="V127" s="217"/>
      <c r="W127" s="15"/>
    </row>
    <row r="128" spans="1:23" s="216" customFormat="1" x14ac:dyDescent="0.2">
      <c r="A128" s="64"/>
      <c r="B128" s="218" t="s">
        <v>329</v>
      </c>
      <c r="C128" s="232">
        <f ca="1">NETWORKDAYS.INTL(C$4,EOMONTH(C$4,0),"1110111")</f>
        <v>0</v>
      </c>
      <c r="D128" s="232">
        <f t="shared" ref="D128:N128" ca="1" si="37">NETWORKDAYS.INTL(D$4,EOMONTH(D$4,0),"1110111")</f>
        <v>5</v>
      </c>
      <c r="E128" s="232">
        <f t="shared" ca="1" si="37"/>
        <v>4</v>
      </c>
      <c r="F128" s="232">
        <f t="shared" ca="1" si="37"/>
        <v>4</v>
      </c>
      <c r="G128" s="232">
        <f t="shared" ca="1" si="37"/>
        <v>4</v>
      </c>
      <c r="H128" s="232">
        <f t="shared" ca="1" si="37"/>
        <v>5</v>
      </c>
      <c r="I128" s="232">
        <f t="shared" ca="1" si="37"/>
        <v>4</v>
      </c>
      <c r="J128" s="232">
        <f t="shared" ca="1" si="37"/>
        <v>5</v>
      </c>
      <c r="K128" s="232">
        <f t="shared" ca="1" si="37"/>
        <v>4</v>
      </c>
      <c r="L128" s="232">
        <f t="shared" ca="1" si="37"/>
        <v>4</v>
      </c>
      <c r="M128" s="232">
        <f t="shared" ca="1" si="37"/>
        <v>5</v>
      </c>
      <c r="N128" s="232">
        <f t="shared" ca="1" si="37"/>
        <v>4</v>
      </c>
      <c r="O128" s="219"/>
      <c r="P128" s="219"/>
      <c r="Q128" s="64"/>
      <c r="R128" s="202"/>
      <c r="U128" s="217"/>
      <c r="V128" s="217"/>
      <c r="W128" s="15"/>
    </row>
    <row r="129" spans="1:23" s="216" customFormat="1" x14ac:dyDescent="0.2">
      <c r="A129" s="64"/>
      <c r="B129" s="218" t="s">
        <v>330</v>
      </c>
      <c r="C129" s="232">
        <f ca="1">NETWORKDAYS.INTL(C$4,EOMONTH(C$4,0),"1111011")</f>
        <v>0</v>
      </c>
      <c r="D129" s="232">
        <f t="shared" ref="D129:N129" ca="1" si="38">NETWORKDAYS.INTL(D$4,EOMONTH(D$4,0),"1111011")</f>
        <v>5</v>
      </c>
      <c r="E129" s="232">
        <f t="shared" ca="1" si="38"/>
        <v>4</v>
      </c>
      <c r="F129" s="232">
        <f t="shared" ca="1" si="38"/>
        <v>4</v>
      </c>
      <c r="G129" s="232">
        <f t="shared" ca="1" si="38"/>
        <v>4</v>
      </c>
      <c r="H129" s="232">
        <f t="shared" ca="1" si="38"/>
        <v>5</v>
      </c>
      <c r="I129" s="232">
        <f t="shared" ca="1" si="38"/>
        <v>4</v>
      </c>
      <c r="J129" s="232">
        <f t="shared" ca="1" si="38"/>
        <v>4</v>
      </c>
      <c r="K129" s="232">
        <f t="shared" ca="1" si="38"/>
        <v>5</v>
      </c>
      <c r="L129" s="232">
        <f t="shared" ca="1" si="38"/>
        <v>4</v>
      </c>
      <c r="M129" s="232">
        <f t="shared" ca="1" si="38"/>
        <v>5</v>
      </c>
      <c r="N129" s="232">
        <f t="shared" ca="1" si="38"/>
        <v>4</v>
      </c>
      <c r="O129" s="219"/>
      <c r="P129" s="219"/>
      <c r="Q129" s="64"/>
      <c r="R129" s="202"/>
      <c r="U129" s="217"/>
      <c r="V129" s="217"/>
      <c r="W129" s="15"/>
    </row>
    <row r="130" spans="1:23" s="216" customFormat="1" x14ac:dyDescent="0.2">
      <c r="A130" s="64"/>
      <c r="B130" s="218" t="s">
        <v>331</v>
      </c>
      <c r="C130" s="232">
        <f ca="1">NETWORKDAYS.INTL(C$4,EOMONTH(C$4,0),"1111101")</f>
        <v>0</v>
      </c>
      <c r="D130" s="232">
        <f t="shared" ref="D130:N130" ca="1" si="39">NETWORKDAYS.INTL(D$4,EOMONTH(D$4,0),"1111101")</f>
        <v>4</v>
      </c>
      <c r="E130" s="232">
        <f t="shared" ca="1" si="39"/>
        <v>4</v>
      </c>
      <c r="F130" s="232">
        <f t="shared" ca="1" si="39"/>
        <v>5</v>
      </c>
      <c r="G130" s="232">
        <f t="shared" ca="1" si="39"/>
        <v>4</v>
      </c>
      <c r="H130" s="232">
        <f t="shared" ca="1" si="39"/>
        <v>5</v>
      </c>
      <c r="I130" s="232">
        <f t="shared" ca="1" si="39"/>
        <v>4</v>
      </c>
      <c r="J130" s="232">
        <f t="shared" ca="1" si="39"/>
        <v>4</v>
      </c>
      <c r="K130" s="232">
        <f t="shared" ca="1" si="39"/>
        <v>5</v>
      </c>
      <c r="L130" s="232">
        <f t="shared" ca="1" si="39"/>
        <v>4</v>
      </c>
      <c r="M130" s="232">
        <f t="shared" ca="1" si="39"/>
        <v>4</v>
      </c>
      <c r="N130" s="232">
        <f t="shared" ca="1" si="39"/>
        <v>5</v>
      </c>
      <c r="O130" s="219"/>
      <c r="P130" s="219"/>
      <c r="Q130" s="64"/>
      <c r="R130" s="202"/>
      <c r="U130" s="217"/>
      <c r="V130" s="217"/>
      <c r="W130" s="15"/>
    </row>
    <row r="131" spans="1:23" s="216" customFormat="1" x14ac:dyDescent="0.2">
      <c r="A131" s="64"/>
      <c r="B131" s="218" t="s">
        <v>332</v>
      </c>
      <c r="C131" s="232">
        <f ca="1">NETWORKDAYS.INTL(C$4,EOMONTH(C$4,0),"1111110")</f>
        <v>0</v>
      </c>
      <c r="D131" s="232">
        <f t="shared" ref="D131:N131" ca="1" si="40">NETWORKDAYS.INTL(D$4,EOMONTH(D$4,0),"1111110")</f>
        <v>4</v>
      </c>
      <c r="E131" s="232">
        <f t="shared" ca="1" si="40"/>
        <v>4</v>
      </c>
      <c r="F131" s="232">
        <f t="shared" ca="1" si="40"/>
        <v>5</v>
      </c>
      <c r="G131" s="232">
        <f t="shared" ca="1" si="40"/>
        <v>4</v>
      </c>
      <c r="H131" s="232">
        <f t="shared" ca="1" si="40"/>
        <v>4</v>
      </c>
      <c r="I131" s="232">
        <f t="shared" ca="1" si="40"/>
        <v>5</v>
      </c>
      <c r="J131" s="232">
        <f t="shared" ca="1" si="40"/>
        <v>4</v>
      </c>
      <c r="K131" s="232">
        <f t="shared" ca="1" si="40"/>
        <v>5</v>
      </c>
      <c r="L131" s="232">
        <f t="shared" ca="1" si="40"/>
        <v>4</v>
      </c>
      <c r="M131" s="232">
        <f t="shared" ca="1" si="40"/>
        <v>4</v>
      </c>
      <c r="N131" s="232">
        <f t="shared" ca="1" si="40"/>
        <v>5</v>
      </c>
      <c r="O131" s="219"/>
      <c r="P131" s="219"/>
      <c r="Q131" s="64"/>
      <c r="R131" s="202"/>
      <c r="U131" s="217"/>
      <c r="V131" s="217"/>
      <c r="W131" s="15"/>
    </row>
    <row r="132" spans="1:23" ht="12.75" customHeight="1" x14ac:dyDescent="0.2"/>
    <row r="133" spans="1:23" ht="12.75" customHeight="1" x14ac:dyDescent="0.2"/>
    <row r="134" spans="1:23" ht="12.75" customHeight="1" x14ac:dyDescent="0.2"/>
    <row r="135" spans="1:23" ht="12.75" customHeight="1" x14ac:dyDescent="0.2"/>
    <row r="136" spans="1:23" ht="12.75" customHeight="1" x14ac:dyDescent="0.2"/>
    <row r="137" spans="1:23" ht="12.75" customHeight="1" x14ac:dyDescent="0.2"/>
    <row r="138" spans="1:23" ht="12.75" customHeight="1" x14ac:dyDescent="0.2"/>
    <row r="139" spans="1:23" ht="12.75" customHeight="1" x14ac:dyDescent="0.2"/>
    <row r="140" spans="1:23" ht="12.75" customHeight="1" x14ac:dyDescent="0.2"/>
    <row r="141" spans="1:23" ht="12.75" customHeight="1" x14ac:dyDescent="0.2"/>
    <row r="142" spans="1:23" ht="12.75" customHeight="1" x14ac:dyDescent="0.2"/>
    <row r="143" spans="1:23" ht="12.75" customHeight="1" x14ac:dyDescent="0.2"/>
    <row r="144" spans="1:23" ht="12.75" customHeight="1" x14ac:dyDescent="0.2"/>
    <row r="145" ht="12.75" customHeight="1" x14ac:dyDescent="0.2"/>
    <row r="146" ht="12.75" customHeight="1" x14ac:dyDescent="0.2"/>
    <row r="147" ht="12.75" customHeight="1" x14ac:dyDescent="0.2"/>
    <row r="148" ht="12.75" customHeight="1" x14ac:dyDescent="0.2"/>
    <row r="149" ht="12.75" customHeight="1" x14ac:dyDescent="0.2"/>
    <row r="150" ht="12.75" customHeight="1" x14ac:dyDescent="0.2"/>
    <row r="151" ht="12.75" customHeight="1" x14ac:dyDescent="0.2"/>
    <row r="152" ht="12.75" customHeight="1" x14ac:dyDescent="0.2"/>
    <row r="153" ht="12.75" customHeight="1" x14ac:dyDescent="0.2"/>
    <row r="154" ht="12.75" customHeight="1" x14ac:dyDescent="0.2"/>
    <row r="155" ht="12.75" customHeight="1" x14ac:dyDescent="0.2"/>
    <row r="156" ht="12.75" customHeight="1" x14ac:dyDescent="0.2"/>
    <row r="157" ht="12.75" customHeight="1" x14ac:dyDescent="0.2"/>
    <row r="158" ht="12.75" customHeight="1" x14ac:dyDescent="0.2"/>
    <row r="159" ht="12.75" customHeight="1" x14ac:dyDescent="0.2"/>
    <row r="160" ht="12.75" customHeight="1" x14ac:dyDescent="0.2"/>
    <row r="161" ht="12.75" customHeight="1" x14ac:dyDescent="0.2"/>
    <row r="162" ht="12.75" customHeight="1" x14ac:dyDescent="0.2"/>
    <row r="163" ht="12.75" customHeight="1" x14ac:dyDescent="0.2"/>
    <row r="164" ht="12.75" customHeight="1" x14ac:dyDescent="0.2"/>
  </sheetData>
  <conditionalFormatting sqref="C20:O22 C12:O12">
    <cfRule type="cellIs" dxfId="1" priority="3" operator="lessThan">
      <formula>0</formula>
    </cfRule>
  </conditionalFormatting>
  <conditionalFormatting sqref="P12">
    <cfRule type="cellIs" dxfId="0" priority="1" operator="lessThan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13" r:id="rId4" name="Button 9">
              <controlPr defaultSize="0" print="0" autoFill="0" autoPict="0" macro="[0]!ChangeNotes">
                <anchor moveWithCells="1">
                  <from>
                    <xdr:col>17</xdr:col>
                    <xdr:colOff>0</xdr:colOff>
                    <xdr:row>1</xdr:row>
                    <xdr:rowOff>9525</xdr:rowOff>
                  </from>
                  <to>
                    <xdr:col>18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35B35-C8A2-48BA-AAB4-31AC32581EB8}">
  <sheetPr codeName="Sheet38">
    <tabColor theme="7"/>
  </sheetPr>
  <dimension ref="A1:K27"/>
  <sheetViews>
    <sheetView workbookViewId="0">
      <selection activeCell="C9" sqref="C9"/>
    </sheetView>
  </sheetViews>
  <sheetFormatPr defaultRowHeight="12.75" x14ac:dyDescent="0.2"/>
  <cols>
    <col min="1" max="1" width="1" style="50" customWidth="1"/>
    <col min="2" max="2" width="20" bestFit="1" customWidth="1"/>
    <col min="3" max="4" width="12" customWidth="1"/>
    <col min="5" max="5" width="1" style="50" customWidth="1"/>
  </cols>
  <sheetData>
    <row r="1" spans="1:11" s="44" customFormat="1" ht="5.0999999999999996" customHeight="1" x14ac:dyDescent="0.2">
      <c r="A1" s="74" t="s">
        <v>73</v>
      </c>
      <c r="B1" s="94"/>
      <c r="C1" s="16"/>
      <c r="D1" s="16"/>
      <c r="E1" s="74" t="s">
        <v>73</v>
      </c>
      <c r="I1" s="45"/>
      <c r="J1" s="45"/>
      <c r="K1" s="15"/>
    </row>
    <row r="2" spans="1:11" x14ac:dyDescent="0.2">
      <c r="A2" s="61"/>
      <c r="B2" s="95" t="s">
        <v>150</v>
      </c>
      <c r="C2" s="3"/>
      <c r="D2" s="3"/>
      <c r="E2" s="61"/>
    </row>
    <row r="3" spans="1:11" ht="5.0999999999999996" customHeight="1" thickBot="1" x14ac:dyDescent="0.25">
      <c r="A3" s="74"/>
      <c r="B3" s="94"/>
      <c r="C3" s="16"/>
      <c r="D3" s="16"/>
      <c r="E3" s="74"/>
    </row>
    <row r="4" spans="1:11" ht="13.5" thickBot="1" x14ac:dyDescent="0.25">
      <c r="A4" s="62"/>
      <c r="B4" s="96"/>
      <c r="C4" s="182" t="s">
        <v>248</v>
      </c>
      <c r="D4" s="183" t="s">
        <v>249</v>
      </c>
      <c r="E4" s="62"/>
    </row>
    <row r="5" spans="1:11" ht="5.0999999999999996" customHeight="1" x14ac:dyDescent="0.2">
      <c r="A5" s="67"/>
      <c r="B5" s="94"/>
      <c r="C5" s="16"/>
      <c r="D5" s="16"/>
      <c r="E5" s="67"/>
    </row>
    <row r="6" spans="1:11" x14ac:dyDescent="0.2">
      <c r="A6" s="67"/>
      <c r="B6" s="184" t="s">
        <v>12</v>
      </c>
      <c r="C6" s="185">
        <f>SUMIFS(Assets!$G:$G,Assets!$C:$C,$B6)+SUM('Loyalty Points &amp; Miles'!$F:$F)</f>
        <v>37390</v>
      </c>
      <c r="D6" s="186">
        <f ca="1">NTM!N101</f>
        <v>74808.329999999987</v>
      </c>
      <c r="E6" s="67"/>
    </row>
    <row r="7" spans="1:11" x14ac:dyDescent="0.2">
      <c r="A7" s="61"/>
      <c r="B7" s="102" t="s">
        <v>266</v>
      </c>
      <c r="C7" s="143">
        <f>SUM('Loyalty Points &amp; Miles'!$G:$G)</f>
        <v>137</v>
      </c>
      <c r="D7" s="187">
        <f>NTM!N102</f>
        <v>137</v>
      </c>
      <c r="E7" s="61"/>
    </row>
    <row r="8" spans="1:11" ht="5.0999999999999996" customHeight="1" x14ac:dyDescent="0.2">
      <c r="A8" s="64"/>
      <c r="B8" s="102"/>
      <c r="C8" s="133"/>
      <c r="D8" s="144"/>
      <c r="E8" s="64"/>
    </row>
    <row r="9" spans="1:11" x14ac:dyDescent="0.2">
      <c r="A9" s="61"/>
      <c r="B9" s="102" t="s">
        <v>60</v>
      </c>
      <c r="C9" s="143">
        <f>SUMIFS(Assets!$G:$G,Assets!$C:$C,$B9)</f>
        <v>13000</v>
      </c>
      <c r="D9" s="187">
        <f ca="1">NTM!N104</f>
        <v>13000</v>
      </c>
      <c r="E9" s="61"/>
    </row>
    <row r="10" spans="1:11" x14ac:dyDescent="0.2">
      <c r="A10" s="61"/>
      <c r="B10" s="102" t="s">
        <v>59</v>
      </c>
      <c r="C10" s="143">
        <f>SUMIFS(Assets!$G:$G,Assets!$C:$C,$B10)</f>
        <v>100000</v>
      </c>
      <c r="D10" s="187">
        <f ca="1">NTM!N105</f>
        <v>125824.45868328123</v>
      </c>
      <c r="E10" s="61"/>
    </row>
    <row r="11" spans="1:11" ht="5.0999999999999996" customHeight="1" x14ac:dyDescent="0.2">
      <c r="A11" s="61"/>
      <c r="B11" s="102"/>
      <c r="C11" s="133"/>
      <c r="D11" s="144"/>
      <c r="E11" s="61"/>
    </row>
    <row r="12" spans="1:11" x14ac:dyDescent="0.2">
      <c r="A12" s="61"/>
      <c r="B12" s="116" t="s">
        <v>158</v>
      </c>
      <c r="C12" s="159">
        <f>SUM(C6:C11)</f>
        <v>150527</v>
      </c>
      <c r="D12" s="188">
        <f ca="1">NTM!N107</f>
        <v>213769.78868328122</v>
      </c>
      <c r="E12" s="61"/>
    </row>
    <row r="13" spans="1:11" ht="5.0999999999999996" customHeight="1" x14ac:dyDescent="0.2">
      <c r="A13" s="64"/>
      <c r="B13" s="102"/>
      <c r="C13" s="133"/>
      <c r="D13" s="144"/>
      <c r="E13" s="64"/>
    </row>
    <row r="14" spans="1:11" x14ac:dyDescent="0.2">
      <c r="A14" s="63"/>
      <c r="B14" s="102" t="s">
        <v>11</v>
      </c>
      <c r="C14" s="143">
        <f>SUM(Loans!D:D)</f>
        <v>20400</v>
      </c>
      <c r="D14" s="187">
        <f ca="1">NTM!N109</f>
        <v>18150</v>
      </c>
      <c r="E14" s="63"/>
    </row>
    <row r="15" spans="1:11" x14ac:dyDescent="0.2">
      <c r="A15" s="63"/>
      <c r="B15" s="102" t="s">
        <v>42</v>
      </c>
      <c r="C15" s="143">
        <f>SUM('Credit Cards'!C:C)</f>
        <v>7200</v>
      </c>
      <c r="D15" s="187">
        <f ca="1">NTM!N110</f>
        <v>0</v>
      </c>
      <c r="E15" s="63"/>
    </row>
    <row r="16" spans="1:11" ht="5.0999999999999996" customHeight="1" x14ac:dyDescent="0.2">
      <c r="A16" s="63"/>
      <c r="B16" s="102"/>
      <c r="C16" s="133"/>
      <c r="D16" s="144"/>
      <c r="E16" s="63"/>
    </row>
    <row r="17" spans="1:11" x14ac:dyDescent="0.2">
      <c r="A17" s="61"/>
      <c r="B17" s="116" t="s">
        <v>159</v>
      </c>
      <c r="C17" s="159">
        <f>SUM(C13:C16)</f>
        <v>27600</v>
      </c>
      <c r="D17" s="188">
        <f ca="1">NTM!N112</f>
        <v>18150</v>
      </c>
      <c r="E17" s="61"/>
    </row>
    <row r="18" spans="1:11" ht="5.0999999999999996" customHeight="1" x14ac:dyDescent="0.2">
      <c r="A18" s="61"/>
      <c r="B18" s="102"/>
      <c r="C18" s="133"/>
      <c r="D18" s="144"/>
      <c r="E18" s="61"/>
    </row>
    <row r="19" spans="1:11" x14ac:dyDescent="0.2">
      <c r="A19" s="61"/>
      <c r="B19" s="117" t="s">
        <v>72</v>
      </c>
      <c r="C19" s="160">
        <f>C12-C17</f>
        <v>122927</v>
      </c>
      <c r="D19" s="189">
        <f ca="1">NTM!N114</f>
        <v>195619.78868328122</v>
      </c>
      <c r="E19" s="61"/>
    </row>
    <row r="20" spans="1:11" s="44" customFormat="1" ht="5.0999999999999996" customHeight="1" x14ac:dyDescent="0.2">
      <c r="A20" s="74" t="s">
        <v>73</v>
      </c>
      <c r="B20" s="94"/>
      <c r="C20" s="16"/>
      <c r="D20" s="16"/>
      <c r="E20" s="74" t="s">
        <v>73</v>
      </c>
      <c r="I20" s="45"/>
      <c r="J20" s="45"/>
      <c r="K20" s="15"/>
    </row>
    <row r="23" spans="1:11" x14ac:dyDescent="0.2">
      <c r="A23" s="49"/>
      <c r="E23" s="49"/>
    </row>
    <row r="24" spans="1:11" x14ac:dyDescent="0.2">
      <c r="A24" s="49"/>
      <c r="E24" s="49"/>
    </row>
    <row r="25" spans="1:11" x14ac:dyDescent="0.2">
      <c r="A25" s="49"/>
      <c r="E25" s="49"/>
    </row>
    <row r="26" spans="1:11" x14ac:dyDescent="0.2">
      <c r="A26" s="49"/>
      <c r="E26" s="49"/>
    </row>
    <row r="27" spans="1:11" x14ac:dyDescent="0.2">
      <c r="A27" s="49"/>
      <c r="E27" s="49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28F64-B0F0-4F44-809F-E08F8C2497AC}">
  <sheetPr codeName="Sheet34">
    <tabColor theme="7"/>
  </sheetPr>
  <dimension ref="B2:L65"/>
  <sheetViews>
    <sheetView workbookViewId="0">
      <selection activeCell="K4" sqref="K4"/>
    </sheetView>
  </sheetViews>
  <sheetFormatPr defaultColWidth="8" defaultRowHeight="12.75" x14ac:dyDescent="0.2"/>
  <cols>
    <col min="1" max="1" width="3.5703125" style="172" customWidth="1"/>
    <col min="2" max="2" width="9.7109375" style="172" bestFit="1" customWidth="1"/>
    <col min="3" max="3" width="10.140625" style="179" bestFit="1" customWidth="1"/>
    <col min="4" max="11" width="16.5703125" style="180" customWidth="1"/>
    <col min="12" max="12" width="3" style="172" customWidth="1"/>
    <col min="13" max="16384" width="8" style="172"/>
  </cols>
  <sheetData>
    <row r="2" spans="2:12" s="169" customFormat="1" ht="30" x14ac:dyDescent="0.35">
      <c r="C2" s="170" t="s">
        <v>230</v>
      </c>
      <c r="D2" s="171" t="s">
        <v>12</v>
      </c>
      <c r="E2" s="171" t="s">
        <v>241</v>
      </c>
      <c r="F2" s="171" t="s">
        <v>242</v>
      </c>
      <c r="G2" s="171" t="s">
        <v>243</v>
      </c>
      <c r="H2" s="171" t="s">
        <v>244</v>
      </c>
      <c r="I2" s="171" t="s">
        <v>245</v>
      </c>
      <c r="J2" s="171" t="s">
        <v>246</v>
      </c>
      <c r="K2" s="171" t="s">
        <v>247</v>
      </c>
      <c r="L2" s="172"/>
    </row>
    <row r="3" spans="2:12" s="169" customFormat="1" x14ac:dyDescent="0.2">
      <c r="C3" s="173"/>
      <c r="D3" s="174"/>
      <c r="E3" s="174"/>
      <c r="F3" s="174"/>
      <c r="G3" s="174"/>
      <c r="H3" s="174"/>
      <c r="I3" s="174"/>
      <c r="J3" s="174"/>
      <c r="K3" s="174"/>
      <c r="L3" s="172"/>
    </row>
    <row r="4" spans="2:12" x14ac:dyDescent="0.2">
      <c r="B4" s="175" t="s">
        <v>240</v>
      </c>
      <c r="C4" s="176">
        <f ca="1">TODAY()</f>
        <v>45656</v>
      </c>
      <c r="D4" s="177">
        <f>Balances!$C$6</f>
        <v>37390</v>
      </c>
      <c r="E4" s="177">
        <f>SUM(Balances!C9:C10)</f>
        <v>113000</v>
      </c>
      <c r="F4" s="177">
        <f>SUM(D4:E4)</f>
        <v>150390</v>
      </c>
      <c r="G4" s="177">
        <f>Balances!$C$19</f>
        <v>122927</v>
      </c>
      <c r="H4" s="177">
        <f ca="1">NTM!$P$21</f>
        <v>74808.329999999987</v>
      </c>
      <c r="I4" s="177">
        <f ca="1">NTM!$N$101</f>
        <v>74808.329999999987</v>
      </c>
      <c r="J4" s="177">
        <f ca="1">NTM!$N$107</f>
        <v>213769.78868328122</v>
      </c>
      <c r="K4" s="178">
        <f ca="1">SUM(NTM!118:118)</f>
        <v>116200</v>
      </c>
    </row>
    <row r="6" spans="2:12" x14ac:dyDescent="0.2">
      <c r="B6"/>
    </row>
    <row r="7" spans="2:12" x14ac:dyDescent="0.2">
      <c r="B7"/>
    </row>
    <row r="8" spans="2:12" x14ac:dyDescent="0.2">
      <c r="B8" s="181"/>
    </row>
    <row r="9" spans="2:12" x14ac:dyDescent="0.2">
      <c r="B9" s="181"/>
    </row>
    <row r="10" spans="2:12" x14ac:dyDescent="0.2">
      <c r="B10" s="181"/>
    </row>
    <row r="11" spans="2:12" x14ac:dyDescent="0.2">
      <c r="B11" s="181"/>
    </row>
    <row r="12" spans="2:12" x14ac:dyDescent="0.2">
      <c r="B12" s="181"/>
    </row>
    <row r="13" spans="2:12" x14ac:dyDescent="0.2">
      <c r="B13" s="181"/>
    </row>
    <row r="14" spans="2:12" x14ac:dyDescent="0.2">
      <c r="B14" s="181"/>
    </row>
    <row r="15" spans="2:12" x14ac:dyDescent="0.2">
      <c r="B15" s="181"/>
    </row>
    <row r="16" spans="2:12" x14ac:dyDescent="0.2">
      <c r="B16" s="181"/>
    </row>
    <row r="17" spans="2:2" x14ac:dyDescent="0.2">
      <c r="B17" s="181"/>
    </row>
    <row r="18" spans="2:2" x14ac:dyDescent="0.2">
      <c r="B18" s="181"/>
    </row>
    <row r="19" spans="2:2" x14ac:dyDescent="0.2">
      <c r="B19" s="181"/>
    </row>
    <row r="20" spans="2:2" x14ac:dyDescent="0.2">
      <c r="B20" s="181"/>
    </row>
    <row r="21" spans="2:2" x14ac:dyDescent="0.2">
      <c r="B21" s="181"/>
    </row>
    <row r="22" spans="2:2" x14ac:dyDescent="0.2">
      <c r="B22" s="181"/>
    </row>
    <row r="23" spans="2:2" x14ac:dyDescent="0.2">
      <c r="B23" s="181"/>
    </row>
    <row r="24" spans="2:2" x14ac:dyDescent="0.2">
      <c r="B24" s="181"/>
    </row>
    <row r="25" spans="2:2" x14ac:dyDescent="0.2">
      <c r="B25" s="181"/>
    </row>
    <row r="26" spans="2:2" x14ac:dyDescent="0.2">
      <c r="B26" s="181"/>
    </row>
    <row r="27" spans="2:2" x14ac:dyDescent="0.2">
      <c r="B27" s="181"/>
    </row>
    <row r="28" spans="2:2" x14ac:dyDescent="0.2">
      <c r="B28" s="181"/>
    </row>
    <row r="29" spans="2:2" x14ac:dyDescent="0.2">
      <c r="B29" s="181"/>
    </row>
    <row r="30" spans="2:2" x14ac:dyDescent="0.2">
      <c r="B30" s="181"/>
    </row>
    <row r="32" spans="2:2" x14ac:dyDescent="0.2">
      <c r="B32" s="181"/>
    </row>
    <row r="33" spans="2:2" x14ac:dyDescent="0.2">
      <c r="B33" s="181"/>
    </row>
    <row r="34" spans="2:2" x14ac:dyDescent="0.2">
      <c r="B34" s="181"/>
    </row>
    <row r="35" spans="2:2" x14ac:dyDescent="0.2">
      <c r="B35" s="181"/>
    </row>
    <row r="36" spans="2:2" x14ac:dyDescent="0.2">
      <c r="B36" s="181"/>
    </row>
    <row r="37" spans="2:2" x14ac:dyDescent="0.2">
      <c r="B37" s="181"/>
    </row>
    <row r="38" spans="2:2" x14ac:dyDescent="0.2">
      <c r="B38" s="181"/>
    </row>
    <row r="39" spans="2:2" x14ac:dyDescent="0.2">
      <c r="B39" s="181"/>
    </row>
    <row r="40" spans="2:2" x14ac:dyDescent="0.2">
      <c r="B40" s="181"/>
    </row>
    <row r="41" spans="2:2" x14ac:dyDescent="0.2">
      <c r="B41" s="181"/>
    </row>
    <row r="42" spans="2:2" x14ac:dyDescent="0.2">
      <c r="B42" s="181"/>
    </row>
    <row r="43" spans="2:2" x14ac:dyDescent="0.2">
      <c r="B43" s="181"/>
    </row>
    <row r="44" spans="2:2" x14ac:dyDescent="0.2">
      <c r="B44" s="181"/>
    </row>
    <row r="45" spans="2:2" x14ac:dyDescent="0.2">
      <c r="B45" s="181"/>
    </row>
    <row r="46" spans="2:2" x14ac:dyDescent="0.2">
      <c r="B46" s="181"/>
    </row>
    <row r="47" spans="2:2" x14ac:dyDescent="0.2">
      <c r="B47" s="181"/>
    </row>
    <row r="48" spans="2:2" x14ac:dyDescent="0.2">
      <c r="B48" s="181"/>
    </row>
    <row r="49" spans="2:2" x14ac:dyDescent="0.2">
      <c r="B49" s="181"/>
    </row>
    <row r="50" spans="2:2" x14ac:dyDescent="0.2">
      <c r="B50" s="181"/>
    </row>
    <row r="51" spans="2:2" x14ac:dyDescent="0.2">
      <c r="B51" s="181"/>
    </row>
    <row r="52" spans="2:2" x14ac:dyDescent="0.2">
      <c r="B52" s="181"/>
    </row>
    <row r="53" spans="2:2" x14ac:dyDescent="0.2">
      <c r="B53" s="181"/>
    </row>
    <row r="54" spans="2:2" x14ac:dyDescent="0.2">
      <c r="B54" s="181"/>
    </row>
    <row r="55" spans="2:2" x14ac:dyDescent="0.2">
      <c r="B55" s="181"/>
    </row>
    <row r="56" spans="2:2" x14ac:dyDescent="0.2">
      <c r="B56" s="181"/>
    </row>
    <row r="57" spans="2:2" x14ac:dyDescent="0.2">
      <c r="B57" s="181"/>
    </row>
    <row r="58" spans="2:2" x14ac:dyDescent="0.2">
      <c r="B58" s="181"/>
    </row>
    <row r="59" spans="2:2" x14ac:dyDescent="0.2">
      <c r="B59" s="181"/>
    </row>
    <row r="60" spans="2:2" x14ac:dyDescent="0.2">
      <c r="B60" s="181"/>
    </row>
    <row r="61" spans="2:2" x14ac:dyDescent="0.2">
      <c r="B61" s="181"/>
    </row>
    <row r="62" spans="2:2" x14ac:dyDescent="0.2">
      <c r="B62" s="181"/>
    </row>
    <row r="63" spans="2:2" x14ac:dyDescent="0.2">
      <c r="B63" s="181"/>
    </row>
    <row r="64" spans="2:2" x14ac:dyDescent="0.2">
      <c r="B64" s="181"/>
    </row>
    <row r="65" spans="2:2" x14ac:dyDescent="0.2">
      <c r="B65" s="181"/>
    </row>
  </sheetData>
  <conditionalFormatting sqref="D5:D70">
    <cfRule type="colorScale" priority="9">
      <colorScale>
        <cfvo type="min"/>
        <cfvo type="percentile" val="50"/>
        <cfvo type="max"/>
        <color rgb="FFFDCFD0"/>
        <color rgb="FFFFF7CD"/>
        <color rgb="FFDCF0E1"/>
      </colorScale>
    </cfRule>
  </conditionalFormatting>
  <conditionalFormatting sqref="E5:E70">
    <cfRule type="colorScale" priority="11">
      <colorScale>
        <cfvo type="min"/>
        <cfvo type="percentile" val="50"/>
        <cfvo type="max"/>
        <color rgb="FFFDCFD0"/>
        <color rgb="FFFFF7CD"/>
        <color rgb="FFDCF0E1"/>
      </colorScale>
    </cfRule>
  </conditionalFormatting>
  <conditionalFormatting sqref="F5:F70">
    <cfRule type="colorScale" priority="13">
      <colorScale>
        <cfvo type="min"/>
        <cfvo type="percentile" val="50"/>
        <cfvo type="max"/>
        <color rgb="FFFDCFD0"/>
        <color rgb="FFFFF7CD"/>
        <color rgb="FFDCF0E1"/>
      </colorScale>
    </cfRule>
  </conditionalFormatting>
  <conditionalFormatting sqref="G5:G70">
    <cfRule type="colorScale" priority="15">
      <colorScale>
        <cfvo type="min"/>
        <cfvo type="percentile" val="50"/>
        <cfvo type="max"/>
        <color rgb="FFFDCFD0"/>
        <color rgb="FFFFF7CD"/>
        <color rgb="FFDCF0E1"/>
      </colorScale>
    </cfRule>
  </conditionalFormatting>
  <conditionalFormatting sqref="H5:H70">
    <cfRule type="colorScale" priority="17">
      <colorScale>
        <cfvo type="min"/>
        <cfvo type="percentile" val="50"/>
        <cfvo type="max"/>
        <color rgb="FFFDCFD0"/>
        <color rgb="FFFFF7CD"/>
        <color rgb="FFDCF0E1"/>
      </colorScale>
    </cfRule>
  </conditionalFormatting>
  <conditionalFormatting sqref="I5:I70">
    <cfRule type="colorScale" priority="19">
      <colorScale>
        <cfvo type="min"/>
        <cfvo type="percentile" val="50"/>
        <cfvo type="max"/>
        <color rgb="FFFDCFD0"/>
        <color rgb="FFFFF7CD"/>
        <color rgb="FFDCF0E1"/>
      </colorScale>
    </cfRule>
  </conditionalFormatting>
  <conditionalFormatting sqref="J5:J70">
    <cfRule type="colorScale" priority="21">
      <colorScale>
        <cfvo type="min"/>
        <cfvo type="percentile" val="50"/>
        <cfvo type="max"/>
        <color rgb="FFFDCFD0"/>
        <color rgb="FFFFF7CD"/>
        <color rgb="FFDCF0E1"/>
      </colorScale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Archive">
                <anchor moveWithCells="1">
                  <from>
                    <xdr:col>0</xdr:col>
                    <xdr:colOff>104775</xdr:colOff>
                    <xdr:row>1</xdr:row>
                    <xdr:rowOff>57150</xdr:rowOff>
                  </from>
                  <to>
                    <xdr:col>1</xdr:col>
                    <xdr:colOff>581025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05226B-B534-40C3-BD6D-78D5CDFA724A}">
  <sheetPr codeName="Sheet10"/>
  <dimension ref="A1"/>
  <sheetViews>
    <sheetView workbookViewId="0"/>
  </sheetViews>
  <sheetFormatPr defaultRowHeight="12.75" x14ac:dyDescent="0.2"/>
  <cols>
    <col min="1" max="16384" width="9.140625" style="36"/>
  </cols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25454-6767-4ABA-99C6-F62C66F166FD}">
  <sheetPr codeName="Sheet12">
    <tabColor rgb="FF0000FF"/>
  </sheetPr>
  <dimension ref="B1:G17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F19" sqref="F19"/>
    </sheetView>
  </sheetViews>
  <sheetFormatPr defaultRowHeight="12.75" x14ac:dyDescent="0.2"/>
  <cols>
    <col min="1" max="1" width="2.140625" customWidth="1"/>
    <col min="2" max="2" width="39.28515625" bestFit="1" customWidth="1"/>
    <col min="3" max="3" width="14" bestFit="1" customWidth="1"/>
    <col min="4" max="4" width="14" customWidth="1"/>
    <col min="5" max="5" width="20.42578125" bestFit="1" customWidth="1"/>
    <col min="6" max="6" width="24" bestFit="1" customWidth="1"/>
    <col min="7" max="7" width="17.28515625" style="2" bestFit="1" customWidth="1"/>
  </cols>
  <sheetData>
    <row r="1" spans="2:7" x14ac:dyDescent="0.2">
      <c r="B1" s="93" t="s">
        <v>154</v>
      </c>
      <c r="C1" s="122" t="s">
        <v>166</v>
      </c>
      <c r="D1" s="122" t="s">
        <v>166</v>
      </c>
      <c r="E1" s="122" t="s">
        <v>166</v>
      </c>
      <c r="F1" s="122" t="s">
        <v>166</v>
      </c>
      <c r="G1" s="38" t="s">
        <v>167</v>
      </c>
    </row>
    <row r="3" spans="2:7" s="24" customFormat="1" ht="15" x14ac:dyDescent="0.35">
      <c r="B3" s="24" t="s">
        <v>226</v>
      </c>
      <c r="C3" s="24" t="s">
        <v>48</v>
      </c>
      <c r="D3" s="24" t="s">
        <v>274</v>
      </c>
      <c r="E3" s="24" t="s">
        <v>183</v>
      </c>
      <c r="F3" s="24" t="s">
        <v>8</v>
      </c>
      <c r="G3" s="35" t="s">
        <v>9</v>
      </c>
    </row>
    <row r="4" spans="2:7" x14ac:dyDescent="0.2">
      <c r="B4" t="str">
        <f t="shared" ref="B4:B17" si="0">_xlfn.TEXTJOIN("_",TRUE,C4:F4)</f>
        <v>Cash_Venmo_Cash</v>
      </c>
      <c r="C4" s="37" t="s">
        <v>12</v>
      </c>
      <c r="D4" s="37"/>
      <c r="E4" s="37" t="s">
        <v>39</v>
      </c>
      <c r="F4" s="162" t="s">
        <v>12</v>
      </c>
      <c r="G4" s="2">
        <v>100</v>
      </c>
    </row>
    <row r="5" spans="2:7" x14ac:dyDescent="0.2">
      <c r="B5" t="str">
        <f t="shared" si="0"/>
        <v>Cash_Barstool Sportsbook</v>
      </c>
      <c r="C5" s="37" t="s">
        <v>12</v>
      </c>
      <c r="D5" s="37"/>
      <c r="E5" t="s">
        <v>210</v>
      </c>
      <c r="G5" s="39">
        <v>50</v>
      </c>
    </row>
    <row r="6" spans="2:7" x14ac:dyDescent="0.2">
      <c r="B6" t="str">
        <f t="shared" si="0"/>
        <v>Cash_Employer_HSA</v>
      </c>
      <c r="C6" s="37" t="s">
        <v>12</v>
      </c>
      <c r="D6" s="37"/>
      <c r="E6" s="37" t="s">
        <v>201</v>
      </c>
      <c r="F6" s="162" t="s">
        <v>202</v>
      </c>
      <c r="G6" s="2">
        <v>2000</v>
      </c>
    </row>
    <row r="7" spans="2:7" x14ac:dyDescent="0.2">
      <c r="B7" t="str">
        <f t="shared" si="0"/>
        <v>Brokerage_Liquid_Employer_HSA</v>
      </c>
      <c r="C7" s="37" t="s">
        <v>60</v>
      </c>
      <c r="D7" s="37" t="s">
        <v>233</v>
      </c>
      <c r="E7" s="37" t="s">
        <v>201</v>
      </c>
      <c r="F7" s="162" t="s">
        <v>202</v>
      </c>
      <c r="G7" s="2">
        <v>500</v>
      </c>
    </row>
    <row r="8" spans="2:7" x14ac:dyDescent="0.2">
      <c r="B8" t="str">
        <f t="shared" si="0"/>
        <v>Retirement_Employer_401k</v>
      </c>
      <c r="C8" s="37" t="s">
        <v>59</v>
      </c>
      <c r="D8" s="37"/>
      <c r="E8" s="37" t="s">
        <v>201</v>
      </c>
      <c r="F8" s="162" t="s">
        <v>13</v>
      </c>
      <c r="G8" s="2">
        <v>50000</v>
      </c>
    </row>
    <row r="9" spans="2:7" x14ac:dyDescent="0.2">
      <c r="B9" t="str">
        <f t="shared" si="0"/>
        <v>Brokerage_Liquid_Fidelilty_Brokerage account</v>
      </c>
      <c r="C9" s="37" t="s">
        <v>60</v>
      </c>
      <c r="D9" s="37" t="s">
        <v>233</v>
      </c>
      <c r="E9" s="37" t="s">
        <v>204</v>
      </c>
      <c r="F9" s="162" t="s">
        <v>200</v>
      </c>
      <c r="G9" s="2">
        <v>10000</v>
      </c>
    </row>
    <row r="10" spans="2:7" x14ac:dyDescent="0.2">
      <c r="B10" t="str">
        <f t="shared" si="0"/>
        <v>Brokerage_Illiquid_Fidelilty_ESPP</v>
      </c>
      <c r="C10" s="37" t="s">
        <v>60</v>
      </c>
      <c r="D10" s="37" t="s">
        <v>234</v>
      </c>
      <c r="E10" s="37" t="s">
        <v>204</v>
      </c>
      <c r="F10" s="162" t="s">
        <v>205</v>
      </c>
      <c r="G10" s="2">
        <v>500</v>
      </c>
    </row>
    <row r="11" spans="2:7" x14ac:dyDescent="0.2">
      <c r="B11" t="str">
        <f t="shared" si="0"/>
        <v>Brokerage_Liquid_Robinhood</v>
      </c>
      <c r="C11" s="37" t="s">
        <v>60</v>
      </c>
      <c r="D11" s="37" t="s">
        <v>233</v>
      </c>
      <c r="E11" s="37" t="s">
        <v>203</v>
      </c>
      <c r="G11" s="2">
        <v>2000</v>
      </c>
    </row>
    <row r="12" spans="2:7" x14ac:dyDescent="0.2">
      <c r="B12" t="str">
        <f t="shared" si="0"/>
        <v>Cash_N/A_Physical cash</v>
      </c>
      <c r="C12" s="37" t="s">
        <v>12</v>
      </c>
      <c r="D12" s="37"/>
      <c r="E12" s="37" t="s">
        <v>185</v>
      </c>
      <c r="F12" s="37" t="s">
        <v>160</v>
      </c>
      <c r="G12" s="2">
        <v>100</v>
      </c>
    </row>
    <row r="13" spans="2:7" x14ac:dyDescent="0.2">
      <c r="B13" t="str">
        <f t="shared" si="0"/>
        <v>Cash_PNC_Spend</v>
      </c>
      <c r="C13" s="37" t="s">
        <v>12</v>
      </c>
      <c r="D13" s="37"/>
      <c r="E13" s="37" t="s">
        <v>196</v>
      </c>
      <c r="F13" s="161" t="s">
        <v>284</v>
      </c>
      <c r="G13" s="2">
        <v>5000</v>
      </c>
    </row>
    <row r="14" spans="2:7" x14ac:dyDescent="0.2">
      <c r="B14" t="str">
        <f t="shared" si="0"/>
        <v>Cash_PNC_Reserve</v>
      </c>
      <c r="C14" s="37" t="s">
        <v>12</v>
      </c>
      <c r="D14" s="37"/>
      <c r="E14" s="37" t="s">
        <v>196</v>
      </c>
      <c r="F14" s="161" t="s">
        <v>285</v>
      </c>
      <c r="G14" s="2">
        <v>10000</v>
      </c>
    </row>
    <row r="15" spans="2:7" x14ac:dyDescent="0.2">
      <c r="B15" t="str">
        <f t="shared" si="0"/>
        <v>Cash_PNC_Growth</v>
      </c>
      <c r="C15" s="37" t="s">
        <v>12</v>
      </c>
      <c r="D15" s="37"/>
      <c r="E15" s="37" t="s">
        <v>196</v>
      </c>
      <c r="F15" s="161" t="s">
        <v>286</v>
      </c>
      <c r="G15" s="2">
        <v>20000</v>
      </c>
    </row>
    <row r="16" spans="2:7" x14ac:dyDescent="0.2">
      <c r="B16" t="str">
        <f t="shared" si="0"/>
        <v>Retirement_Schwab_Roth IRA</v>
      </c>
      <c r="C16" s="37" t="s">
        <v>59</v>
      </c>
      <c r="D16" s="37"/>
      <c r="E16" s="37" t="s">
        <v>199</v>
      </c>
      <c r="F16" s="162" t="s">
        <v>184</v>
      </c>
      <c r="G16" s="2">
        <v>50000</v>
      </c>
    </row>
    <row r="17" spans="2:7" x14ac:dyDescent="0.2">
      <c r="B17" t="str">
        <f t="shared" si="0"/>
        <v>Cash_Starbucks</v>
      </c>
      <c r="C17" s="37" t="s">
        <v>12</v>
      </c>
      <c r="D17" s="37"/>
      <c r="E17" s="37" t="s">
        <v>198</v>
      </c>
      <c r="F17" s="162"/>
      <c r="G17" s="2">
        <v>20</v>
      </c>
    </row>
  </sheetData>
  <autoFilter ref="B3:G17" xr:uid="{22E25454-6767-4ABA-99C6-F62C66F166FD}"/>
  <sortState xmlns:xlrd2="http://schemas.microsoft.com/office/spreadsheetml/2017/richdata2" ref="B4:G17">
    <sortCondition ref="E3:E17"/>
  </sortState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1201EAF-5AA3-46A6-8991-9DAEC0F6F343}">
          <x14:formula1>
            <xm:f>'Data Validation'!$A:$A</xm:f>
          </x14:formula1>
          <xm:sqref>C4:C1048576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7E42D-8A38-44D8-B035-BDB07D6DC655}">
  <sheetPr codeName="Sheet13">
    <tabColor rgb="FF0000FF"/>
  </sheetPr>
  <dimension ref="B1:I9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H24" sqref="H24"/>
    </sheetView>
  </sheetViews>
  <sheetFormatPr defaultRowHeight="12.75" x14ac:dyDescent="0.2"/>
  <cols>
    <col min="1" max="1" width="1.85546875" customWidth="1"/>
    <col min="2" max="2" width="42.7109375" bestFit="1" customWidth="1"/>
    <col min="3" max="4" width="15.42578125" style="2" customWidth="1"/>
    <col min="5" max="6" width="16.85546875" style="2" customWidth="1"/>
    <col min="7" max="7" width="15.42578125" style="1" customWidth="1"/>
    <col min="8" max="8" width="16.7109375" style="46" bestFit="1" customWidth="1"/>
    <col min="9" max="9" width="15.42578125" style="46" customWidth="1"/>
  </cols>
  <sheetData>
    <row r="1" spans="2:9" x14ac:dyDescent="0.2">
      <c r="B1" s="122" t="s">
        <v>166</v>
      </c>
      <c r="C1" s="38" t="s">
        <v>167</v>
      </c>
      <c r="D1" s="38" t="s">
        <v>167</v>
      </c>
      <c r="E1" s="38" t="s">
        <v>167</v>
      </c>
      <c r="F1" s="121" t="s">
        <v>154</v>
      </c>
      <c r="G1" s="122" t="s">
        <v>166</v>
      </c>
      <c r="H1" s="121" t="s">
        <v>154</v>
      </c>
      <c r="I1" s="121" t="s">
        <v>154</v>
      </c>
    </row>
    <row r="2" spans="2:9" x14ac:dyDescent="0.2">
      <c r="B2" s="37"/>
    </row>
    <row r="3" spans="2:9" s="24" customFormat="1" ht="15" x14ac:dyDescent="0.35">
      <c r="B3" s="24" t="s">
        <v>8</v>
      </c>
      <c r="C3" s="35" t="s">
        <v>9</v>
      </c>
      <c r="D3" s="35" t="s">
        <v>10</v>
      </c>
      <c r="E3" s="35" t="s">
        <v>195</v>
      </c>
      <c r="F3" s="35" t="s">
        <v>299</v>
      </c>
      <c r="G3" s="25" t="s">
        <v>67</v>
      </c>
      <c r="H3" s="55" t="s">
        <v>281</v>
      </c>
      <c r="I3" s="55" t="s">
        <v>68</v>
      </c>
    </row>
    <row r="4" spans="2:9" x14ac:dyDescent="0.2">
      <c r="B4" t="s">
        <v>206</v>
      </c>
      <c r="C4" s="2">
        <v>5000</v>
      </c>
      <c r="D4" s="2">
        <v>3000</v>
      </c>
      <c r="E4" s="2">
        <v>3000</v>
      </c>
      <c r="F4" s="2">
        <f>(C4-E4)</f>
        <v>2000</v>
      </c>
      <c r="G4" s="60">
        <v>10</v>
      </c>
      <c r="H4" s="56">
        <f ca="1">IF(DATEVALUE(YEAR(TODAY())&amp;"-"&amp;MONTH(TODAY())&amp;"-"&amp;G4)&gt;=TODAY(),DATEVALUE(YEAR(TODAY())&amp;"-"&amp;MONTH(TODAY())&amp;"-"&amp;G4),DATEVALUE(YEAR(EOMONTH(TODAY(),1))&amp;"-"&amp;MONTH(EOMONTH(TODAY(),1))&amp;"-"&amp;G4))</f>
        <v>45667</v>
      </c>
      <c r="I4" s="56">
        <f ca="1">EDATE(H4,1)</f>
        <v>45698</v>
      </c>
    </row>
    <row r="5" spans="2:9" x14ac:dyDescent="0.2">
      <c r="B5" s="37" t="s">
        <v>197</v>
      </c>
      <c r="C5" s="2">
        <v>200</v>
      </c>
      <c r="D5" s="2">
        <v>100</v>
      </c>
      <c r="E5" s="2">
        <v>50</v>
      </c>
      <c r="F5" s="2">
        <f t="shared" ref="F5:F6" si="0">(C5-E5)</f>
        <v>150</v>
      </c>
      <c r="G5" s="60">
        <f ca="1">DAY(EOMONTH(TODAY(),0))</f>
        <v>31</v>
      </c>
      <c r="H5" s="56">
        <f ca="1">IF(DATEVALUE(YEAR(TODAY())&amp;"-"&amp;MONTH(TODAY())&amp;"-"&amp;G5)&gt;=TODAY(),DATEVALUE(YEAR(TODAY())&amp;"-"&amp;MONTH(TODAY())&amp;"-"&amp;G5),DATEVALUE(YEAR(EOMONTH(TODAY(),1))&amp;"-"&amp;MONTH(EOMONTH(TODAY(),1))&amp;"-"&amp;G5))</f>
        <v>45657</v>
      </c>
      <c r="I5" s="56">
        <f ca="1">EDATE(H5,1)</f>
        <v>45688</v>
      </c>
    </row>
    <row r="6" spans="2:9" x14ac:dyDescent="0.2">
      <c r="B6" t="s">
        <v>207</v>
      </c>
      <c r="C6" s="2">
        <v>2000</v>
      </c>
      <c r="D6" s="2">
        <v>1000</v>
      </c>
      <c r="E6" s="2">
        <v>500</v>
      </c>
      <c r="F6" s="2">
        <f t="shared" si="0"/>
        <v>1500</v>
      </c>
      <c r="G6" s="60">
        <v>4</v>
      </c>
      <c r="H6" s="56">
        <f ca="1">IF(DATEVALUE(YEAR(TODAY())&amp;"-"&amp;MONTH(TODAY())&amp;"-"&amp;G6)&gt;=TODAY(),DATEVALUE(YEAR(TODAY())&amp;"-"&amp;MONTH(TODAY())&amp;"-"&amp;G6),DATEVALUE(YEAR(EOMONTH(TODAY(),1))&amp;"-"&amp;MONTH(EOMONTH(TODAY(),1))&amp;"-"&amp;G6))</f>
        <v>45661</v>
      </c>
      <c r="I6" s="56">
        <f ca="1">EDATE(H6,1)</f>
        <v>45692</v>
      </c>
    </row>
    <row r="7" spans="2:9" x14ac:dyDescent="0.2">
      <c r="G7" s="60"/>
    </row>
    <row r="8" spans="2:9" x14ac:dyDescent="0.2">
      <c r="G8" s="60"/>
    </row>
    <row r="9" spans="2:9" x14ac:dyDescent="0.2">
      <c r="G9" s="60"/>
    </row>
  </sheetData>
  <autoFilter ref="B3:I6" xr:uid="{B267E42D-8A38-44D8-B035-BDB07D6DC655}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D886F-EC50-4885-A26B-FECB62B6DE05}">
  <sheetPr codeName="Sheet14">
    <tabColor rgb="FF0000FF"/>
  </sheetPr>
  <dimension ref="B1:G5"/>
  <sheetViews>
    <sheetView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H43" sqref="H43"/>
    </sheetView>
  </sheetViews>
  <sheetFormatPr defaultRowHeight="12.75" x14ac:dyDescent="0.2"/>
  <cols>
    <col min="1" max="1" width="2.140625" customWidth="1"/>
    <col min="2" max="2" width="21.7109375" customWidth="1"/>
    <col min="3" max="3" width="42.7109375" bestFit="1" customWidth="1"/>
    <col min="4" max="4" width="15.42578125" style="2" customWidth="1"/>
    <col min="5" max="5" width="16.85546875" style="2" customWidth="1"/>
    <col min="6" max="6" width="9.140625" style="1"/>
    <col min="7" max="7" width="23.140625" style="46" bestFit="1" customWidth="1"/>
  </cols>
  <sheetData>
    <row r="1" spans="2:7" x14ac:dyDescent="0.2">
      <c r="B1" s="122" t="s">
        <v>166</v>
      </c>
      <c r="C1" s="122" t="s">
        <v>166</v>
      </c>
      <c r="D1" s="38" t="s">
        <v>167</v>
      </c>
      <c r="E1" s="165" t="s">
        <v>166</v>
      </c>
      <c r="F1" s="164" t="s">
        <v>166</v>
      </c>
      <c r="G1" s="121" t="s">
        <v>154</v>
      </c>
    </row>
    <row r="3" spans="2:7" s="24" customFormat="1" ht="15" x14ac:dyDescent="0.35">
      <c r="B3" s="24" t="s">
        <v>75</v>
      </c>
      <c r="C3" s="24" t="s">
        <v>8</v>
      </c>
      <c r="D3" s="163" t="s">
        <v>9</v>
      </c>
      <c r="E3" s="35" t="s">
        <v>134</v>
      </c>
      <c r="F3" s="25" t="s">
        <v>67</v>
      </c>
      <c r="G3" s="55" t="s">
        <v>82</v>
      </c>
    </row>
    <row r="4" spans="2:7" x14ac:dyDescent="0.2">
      <c r="B4" s="37" t="s">
        <v>168</v>
      </c>
      <c r="C4" s="37" t="s">
        <v>208</v>
      </c>
      <c r="D4" s="85">
        <v>20000</v>
      </c>
      <c r="E4" s="85">
        <v>150</v>
      </c>
      <c r="F4" s="60">
        <v>17</v>
      </c>
      <c r="G4" s="46">
        <f ca="1">DATEVALUE(YEAR(TODAY())&amp;"-"&amp;MONTH(TODAY())&amp;"-"&amp;F4)</f>
        <v>45643</v>
      </c>
    </row>
    <row r="5" spans="2:7" x14ac:dyDescent="0.2">
      <c r="B5" s="37" t="s">
        <v>211</v>
      </c>
      <c r="C5" s="37" t="s">
        <v>197</v>
      </c>
      <c r="D5" s="85">
        <v>400</v>
      </c>
      <c r="E5" s="2">
        <v>50</v>
      </c>
      <c r="F5" s="60">
        <f ca="1">DAY(EOMONTH(TODAY(),0))</f>
        <v>31</v>
      </c>
      <c r="G5" s="46">
        <f ca="1">DATEVALUE(YEAR(TODAY())&amp;"-"&amp;MONTH(TODAY())&amp;"-"&amp;F5)</f>
        <v>45657</v>
      </c>
    </row>
  </sheetData>
  <autoFilter ref="B3:G5" xr:uid="{097D886F-EC50-4885-A26B-FECB62B6DE05}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CF7C3-12C6-4848-B376-9685294E2411}">
  <sheetPr codeName="Sheet15">
    <tabColor rgb="FF0000FF"/>
  </sheetPr>
  <dimension ref="B1:G7"/>
  <sheetViews>
    <sheetView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D4" sqref="D4"/>
    </sheetView>
  </sheetViews>
  <sheetFormatPr defaultRowHeight="12.75" x14ac:dyDescent="0.2"/>
  <cols>
    <col min="1" max="1" width="2.140625" customWidth="1"/>
    <col min="2" max="2" width="18.140625" bestFit="1" customWidth="1"/>
    <col min="3" max="3" width="35" bestFit="1" customWidth="1"/>
    <col min="4" max="4" width="19" bestFit="1" customWidth="1"/>
    <col min="5" max="5" width="14.7109375" style="2" bestFit="1" customWidth="1"/>
    <col min="6" max="6" width="12" style="2" bestFit="1" customWidth="1"/>
    <col min="7" max="7" width="14.7109375" style="2" bestFit="1" customWidth="1"/>
  </cols>
  <sheetData>
    <row r="1" spans="2:7" x14ac:dyDescent="0.2">
      <c r="B1" s="122" t="s">
        <v>166</v>
      </c>
      <c r="C1" s="122" t="s">
        <v>166</v>
      </c>
      <c r="D1" s="122" t="s">
        <v>166</v>
      </c>
      <c r="E1" s="38" t="s">
        <v>167</v>
      </c>
      <c r="F1" s="121" t="s">
        <v>154</v>
      </c>
      <c r="G1" s="121" t="s">
        <v>154</v>
      </c>
    </row>
    <row r="3" spans="2:7" s="24" customFormat="1" ht="15" x14ac:dyDescent="0.35">
      <c r="B3" s="24" t="s">
        <v>75</v>
      </c>
      <c r="C3" s="24" t="s">
        <v>8</v>
      </c>
      <c r="D3" s="24" t="s">
        <v>163</v>
      </c>
      <c r="E3" s="35" t="s">
        <v>9</v>
      </c>
      <c r="F3" s="35" t="s">
        <v>165</v>
      </c>
      <c r="G3" s="35" t="s">
        <v>164</v>
      </c>
    </row>
    <row r="4" spans="2:7" x14ac:dyDescent="0.2">
      <c r="B4" s="37" t="s">
        <v>42</v>
      </c>
      <c r="C4" t="s">
        <v>206</v>
      </c>
      <c r="D4" t="s">
        <v>32</v>
      </c>
      <c r="E4" s="2">
        <v>10000</v>
      </c>
      <c r="F4" s="2">
        <f>(VLOOKUP(D4,'Points Values'!$A:$C,2,0)/100)*E4</f>
        <v>100</v>
      </c>
      <c r="G4" s="2">
        <f>(VLOOKUP(D4,'Points Values'!$A:$C,3,0)/100)*E4-F4</f>
        <v>100</v>
      </c>
    </row>
    <row r="5" spans="2:7" x14ac:dyDescent="0.2">
      <c r="B5" s="37" t="s">
        <v>42</v>
      </c>
      <c r="C5" t="s">
        <v>207</v>
      </c>
      <c r="D5" t="s">
        <v>32</v>
      </c>
      <c r="E5" s="2">
        <v>2000</v>
      </c>
      <c r="F5" s="2">
        <f>(VLOOKUP(D5,'Points Values'!$A:$C,2,0)/100)*E5</f>
        <v>20</v>
      </c>
      <c r="G5" s="2">
        <f>(VLOOKUP(D5,'Points Values'!$A:$C,3,0)/100)*E5-F5</f>
        <v>20</v>
      </c>
    </row>
    <row r="6" spans="2:7" x14ac:dyDescent="0.2">
      <c r="B6" s="37" t="s">
        <v>169</v>
      </c>
      <c r="C6" s="161" t="s">
        <v>29</v>
      </c>
      <c r="D6" s="30" t="s">
        <v>29</v>
      </c>
      <c r="E6" s="2">
        <v>1000</v>
      </c>
      <c r="F6" s="2">
        <f>(VLOOKUP(D6,'Points Values'!$A:$C,2,0)/100)*E6</f>
        <v>0</v>
      </c>
      <c r="G6" s="2">
        <f>(VLOOKUP(D6,'Points Values'!$A:$C,3,0)/100)*E6-F6</f>
        <v>12</v>
      </c>
    </row>
    <row r="7" spans="2:7" x14ac:dyDescent="0.2">
      <c r="B7" s="37" t="s">
        <v>209</v>
      </c>
      <c r="C7" s="161" t="s">
        <v>35</v>
      </c>
      <c r="D7" s="161" t="s">
        <v>35</v>
      </c>
      <c r="E7" s="2">
        <v>1000</v>
      </c>
      <c r="F7" s="2">
        <f>(VLOOKUP(D7,'Points Values'!$A:$C,2,0)/100)*E7</f>
        <v>0</v>
      </c>
      <c r="G7" s="2">
        <f>(VLOOKUP(D7,'Points Values'!$A:$C,3,0)/100)*E7-F7</f>
        <v>5</v>
      </c>
    </row>
  </sheetData>
  <autoFilter ref="B3:G7" xr:uid="{1A4CF7C3-12C6-4848-B376-9685294E2411}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E55F6-D3CB-4342-AF80-F445B78F2F4C}">
  <sheetPr codeName="Sheet16">
    <tabColor rgb="FF0000FF"/>
  </sheetPr>
  <dimension ref="B1:I30"/>
  <sheetViews>
    <sheetView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G15" sqref="G15"/>
    </sheetView>
  </sheetViews>
  <sheetFormatPr defaultRowHeight="12.75" x14ac:dyDescent="0.2"/>
  <cols>
    <col min="1" max="1" width="2.42578125" customWidth="1"/>
    <col min="2" max="3" width="32.140625" customWidth="1"/>
    <col min="4" max="4" width="15.7109375" style="2" customWidth="1"/>
    <col min="5" max="5" width="14" customWidth="1"/>
    <col min="6" max="6" width="13.140625" style="195" customWidth="1"/>
    <col min="7" max="7" width="23.140625" style="195" bestFit="1" customWidth="1"/>
    <col min="8" max="9" width="10.140625" bestFit="1" customWidth="1"/>
  </cols>
  <sheetData>
    <row r="1" spans="2:9" x14ac:dyDescent="0.2">
      <c r="B1" s="122" t="s">
        <v>166</v>
      </c>
      <c r="C1" s="122" t="s">
        <v>166</v>
      </c>
      <c r="D1" s="122" t="s">
        <v>166</v>
      </c>
      <c r="E1" s="122" t="s">
        <v>166</v>
      </c>
      <c r="F1" s="199" t="s">
        <v>166</v>
      </c>
      <c r="G1" s="204" t="s">
        <v>154</v>
      </c>
    </row>
    <row r="2" spans="2:9" x14ac:dyDescent="0.2">
      <c r="G2" s="205"/>
    </row>
    <row r="3" spans="2:9" s="24" customFormat="1" ht="15" x14ac:dyDescent="0.35">
      <c r="B3" s="24" t="s">
        <v>48</v>
      </c>
      <c r="C3" s="57" t="s">
        <v>76</v>
      </c>
      <c r="D3" s="163" t="s">
        <v>77</v>
      </c>
      <c r="E3" s="57" t="s">
        <v>78</v>
      </c>
      <c r="F3" s="198" t="s">
        <v>67</v>
      </c>
      <c r="G3" s="206" t="s">
        <v>281</v>
      </c>
    </row>
    <row r="4" spans="2:9" x14ac:dyDescent="0.2">
      <c r="B4" t="s">
        <v>7</v>
      </c>
      <c r="C4" s="59" t="s">
        <v>212</v>
      </c>
      <c r="D4" s="85">
        <v>69</v>
      </c>
      <c r="E4" s="59" t="s">
        <v>1</v>
      </c>
      <c r="F4" s="193" t="s">
        <v>268</v>
      </c>
      <c r="G4" s="203">
        <f ca="1">IFERROR(_xlfn.LET(
_xlpm.annually,IF(DATEVALUE(YEAR(TODAY())&amp;"-"&amp;LEFT(F4,2)&amp;"-"&amp;RIGHT(F4,2))&lt;TODAY(),DATEVALUE(YEAR(TODAY())+1&amp;"-"&amp;LEFT(F4,2)&amp;"-"&amp;RIGHT(F4,2)),DATEVALUE(YEAR(TODAY())&amp;"-"&amp;LEFT(F4,2)&amp;"-"&amp;RIGHT(F4,2))),
_xlpm.monthly,IF(DATEVALUE(YEAR(TODAY())&amp;"-"&amp;MONTH(TODAY())&amp;"-"&amp;F4)&lt;TODAY(),DATEVALUE(YEAR(TODAY())&amp;"-"&amp;MONTH(TODAY())+1&amp;"-"&amp;F4),DATEVALUE(YEAR(TODAY())&amp;"-"&amp;MONTH(TODAY())&amp;"-"&amp;F4)),
IF(E4="Annually",_xlpm.annually,_xlpm.monthly)),"N/A")</f>
        <v>45819</v>
      </c>
      <c r="I4" s="56"/>
    </row>
    <row r="5" spans="2:9" x14ac:dyDescent="0.2">
      <c r="B5" t="s">
        <v>7</v>
      </c>
      <c r="C5" s="59" t="s">
        <v>213</v>
      </c>
      <c r="D5" s="85">
        <v>14.5</v>
      </c>
      <c r="E5" s="59" t="s">
        <v>2</v>
      </c>
      <c r="F5" s="194">
        <v>4</v>
      </c>
      <c r="G5" s="203">
        <f t="shared" ref="G5:G15" ca="1" si="0">IFERROR(_xlfn.LET(
_xlpm.annually,IF(DATEVALUE(YEAR(TODAY())&amp;"-"&amp;LEFT(F5,2)&amp;"-"&amp;RIGHT(F5,2))&lt;TODAY(),DATEVALUE(YEAR(TODAY())+1&amp;"-"&amp;LEFT(F5,2)&amp;"-"&amp;RIGHT(F5,2)),DATEVALUE(YEAR(TODAY())&amp;"-"&amp;LEFT(F5,2)&amp;"-"&amp;RIGHT(F5,2))),
_xlpm.monthly,DATEVALUE(YEAR(TODAY())&amp;"-"&amp;MONTH(TODAY())&amp;"-"&amp;F5),
IF(E5="Annually",_xlpm.annually,_xlpm.monthly)),"N/A")</f>
        <v>45630</v>
      </c>
      <c r="H5" s="230"/>
    </row>
    <row r="6" spans="2:9" x14ac:dyDescent="0.2">
      <c r="B6" t="s">
        <v>7</v>
      </c>
      <c r="C6" s="27" t="s">
        <v>214</v>
      </c>
      <c r="D6" s="85">
        <v>15.49</v>
      </c>
      <c r="E6" t="s">
        <v>2</v>
      </c>
      <c r="F6" s="195">
        <v>17</v>
      </c>
      <c r="G6" s="203">
        <f t="shared" ca="1" si="0"/>
        <v>45643</v>
      </c>
    </row>
    <row r="7" spans="2:9" x14ac:dyDescent="0.2">
      <c r="B7" t="s">
        <v>7</v>
      </c>
      <c r="C7" s="37" t="s">
        <v>215</v>
      </c>
      <c r="D7" s="2">
        <v>10.99</v>
      </c>
      <c r="E7" t="s">
        <v>2</v>
      </c>
      <c r="F7" s="195">
        <v>18</v>
      </c>
      <c r="G7" s="203">
        <f t="shared" ca="1" si="0"/>
        <v>45644</v>
      </c>
    </row>
    <row r="8" spans="2:9" x14ac:dyDescent="0.2">
      <c r="B8" t="s">
        <v>7</v>
      </c>
      <c r="C8" s="37" t="s">
        <v>216</v>
      </c>
      <c r="D8" s="2">
        <v>2.99</v>
      </c>
      <c r="E8" t="s">
        <v>2</v>
      </c>
      <c r="F8" s="195">
        <v>27</v>
      </c>
      <c r="G8" s="203">
        <f t="shared" ca="1" si="0"/>
        <v>45653</v>
      </c>
    </row>
    <row r="9" spans="2:9" x14ac:dyDescent="0.2">
      <c r="B9" s="37" t="s">
        <v>61</v>
      </c>
      <c r="C9" s="37" t="s">
        <v>217</v>
      </c>
      <c r="D9" s="85">
        <v>65</v>
      </c>
      <c r="E9" s="37" t="s">
        <v>2</v>
      </c>
      <c r="F9" s="195">
        <v>27</v>
      </c>
      <c r="G9" s="203">
        <f t="shared" ca="1" si="0"/>
        <v>45653</v>
      </c>
    </row>
    <row r="10" spans="2:9" x14ac:dyDescent="0.2">
      <c r="B10" s="37" t="s">
        <v>61</v>
      </c>
      <c r="C10" s="37" t="s">
        <v>218</v>
      </c>
      <c r="D10" s="2">
        <v>60</v>
      </c>
      <c r="E10" s="37" t="s">
        <v>2</v>
      </c>
      <c r="F10" s="195">
        <v>27</v>
      </c>
      <c r="G10" s="203">
        <f t="shared" ca="1" si="0"/>
        <v>45653</v>
      </c>
    </row>
    <row r="11" spans="2:9" x14ac:dyDescent="0.2">
      <c r="B11" s="37" t="s">
        <v>61</v>
      </c>
      <c r="C11" t="s">
        <v>219</v>
      </c>
      <c r="D11" s="85">
        <v>50</v>
      </c>
      <c r="E11" s="37" t="s">
        <v>2</v>
      </c>
      <c r="F11" s="195">
        <v>8</v>
      </c>
      <c r="G11" s="203">
        <f t="shared" ca="1" si="0"/>
        <v>45634</v>
      </c>
    </row>
    <row r="12" spans="2:9" x14ac:dyDescent="0.2">
      <c r="B12" t="s">
        <v>153</v>
      </c>
      <c r="C12" s="37" t="s">
        <v>47</v>
      </c>
      <c r="D12" s="2">
        <v>10</v>
      </c>
      <c r="E12" s="37" t="s">
        <v>136</v>
      </c>
      <c r="F12" s="196"/>
      <c r="G12" s="203" t="str">
        <f t="shared" ca="1" si="0"/>
        <v>N/A</v>
      </c>
    </row>
    <row r="13" spans="2:9" x14ac:dyDescent="0.2">
      <c r="B13" s="37" t="s">
        <v>15</v>
      </c>
      <c r="C13" s="37" t="s">
        <v>287</v>
      </c>
      <c r="D13" s="2">
        <v>4000</v>
      </c>
      <c r="E13" s="37" t="s">
        <v>136</v>
      </c>
      <c r="G13" s="203" t="str">
        <f t="shared" ca="1" si="0"/>
        <v>N/A</v>
      </c>
    </row>
    <row r="14" spans="2:9" x14ac:dyDescent="0.2">
      <c r="B14" t="s">
        <v>153</v>
      </c>
      <c r="C14" t="s">
        <v>220</v>
      </c>
      <c r="D14" s="2">
        <v>1</v>
      </c>
      <c r="E14" s="37" t="s">
        <v>136</v>
      </c>
      <c r="G14" s="203" t="str">
        <f t="shared" ca="1" si="0"/>
        <v>N/A</v>
      </c>
    </row>
    <row r="15" spans="2:9" x14ac:dyDescent="0.2">
      <c r="B15" t="s">
        <v>153</v>
      </c>
      <c r="C15" t="s">
        <v>221</v>
      </c>
      <c r="D15" s="2">
        <v>40</v>
      </c>
      <c r="E15" s="37" t="s">
        <v>136</v>
      </c>
      <c r="G15" s="203" t="str">
        <f t="shared" ca="1" si="0"/>
        <v>N/A</v>
      </c>
    </row>
    <row r="16" spans="2:9" x14ac:dyDescent="0.2">
      <c r="B16" t="s">
        <v>153</v>
      </c>
      <c r="C16" t="s">
        <v>222</v>
      </c>
      <c r="D16" s="2">
        <v>45</v>
      </c>
      <c r="E16" s="37" t="s">
        <v>136</v>
      </c>
      <c r="G16" s="203" t="str">
        <f t="shared" ref="G16:G28" ca="1" si="1">IFERROR(_xlfn.LET(
_xlpm.annually,IF(DATEVALUE(YEAR(TODAY())&amp;"-"&amp;LEFT(F16,2)&amp;"-"&amp;RIGHT(F16,2))&lt;TODAY(),DATEVALUE(YEAR(TODAY())+1&amp;"-"&amp;LEFT(F16,2)&amp;"-"&amp;RIGHT(F16,2)),DATEVALUE(YEAR(TODAY())&amp;"-"&amp;LEFT(F16,2)&amp;"-"&amp;RIGHT(F16,2))),
_xlpm.monthly,DATEVALUE(YEAR(TODAY())&amp;"-"&amp;MONTH(TODAY())&amp;"-"&amp;F16),
IF(E16="Annually",_xlpm.annually,_xlpm.monthly)),"N/A")</f>
        <v>N/A</v>
      </c>
    </row>
    <row r="17" spans="2:7" x14ac:dyDescent="0.2">
      <c r="B17" t="s">
        <v>153</v>
      </c>
      <c r="C17" t="s">
        <v>224</v>
      </c>
      <c r="D17" s="2">
        <v>5</v>
      </c>
      <c r="E17" s="37" t="s">
        <v>136</v>
      </c>
      <c r="G17" s="203" t="str">
        <f t="shared" ca="1" si="1"/>
        <v>N/A</v>
      </c>
    </row>
    <row r="18" spans="2:7" x14ac:dyDescent="0.2">
      <c r="B18" t="s">
        <v>153</v>
      </c>
      <c r="C18" t="s">
        <v>205</v>
      </c>
      <c r="D18" s="2">
        <v>10</v>
      </c>
      <c r="E18" s="37" t="s">
        <v>136</v>
      </c>
      <c r="G18" s="203" t="str">
        <f t="shared" ca="1" si="1"/>
        <v>N/A</v>
      </c>
    </row>
    <row r="19" spans="2:7" x14ac:dyDescent="0.2">
      <c r="B19" t="s">
        <v>153</v>
      </c>
      <c r="C19" s="37" t="s">
        <v>225</v>
      </c>
      <c r="D19" s="2">
        <v>200</v>
      </c>
      <c r="E19" s="37" t="s">
        <v>136</v>
      </c>
      <c r="G19" s="203" t="str">
        <f t="shared" ca="1" si="1"/>
        <v>N/A</v>
      </c>
    </row>
    <row r="20" spans="2:7" x14ac:dyDescent="0.2">
      <c r="B20" s="37" t="s">
        <v>61</v>
      </c>
      <c r="C20" s="37" t="s">
        <v>0</v>
      </c>
      <c r="D20" s="2">
        <v>1000</v>
      </c>
      <c r="E20" s="37" t="s">
        <v>2</v>
      </c>
      <c r="F20" s="197">
        <f ca="1">DAY(EOMONTH(TODAY(),0))</f>
        <v>31</v>
      </c>
      <c r="G20" s="203">
        <f t="shared" ca="1" si="1"/>
        <v>45657</v>
      </c>
    </row>
    <row r="21" spans="2:7" x14ac:dyDescent="0.2">
      <c r="B21" t="s">
        <v>5</v>
      </c>
      <c r="D21" s="2">
        <v>10</v>
      </c>
      <c r="E21" s="37" t="s">
        <v>231</v>
      </c>
      <c r="G21" s="203" t="str">
        <f t="shared" ca="1" si="1"/>
        <v>N/A</v>
      </c>
    </row>
    <row r="22" spans="2:7" x14ac:dyDescent="0.2">
      <c r="B22" t="s">
        <v>4</v>
      </c>
      <c r="D22" s="2">
        <v>10</v>
      </c>
      <c r="E22" s="37" t="s">
        <v>231</v>
      </c>
      <c r="G22" s="203" t="str">
        <f t="shared" ca="1" si="1"/>
        <v>N/A</v>
      </c>
    </row>
    <row r="23" spans="2:7" x14ac:dyDescent="0.2">
      <c r="B23" t="s">
        <v>63</v>
      </c>
      <c r="C23" s="37" t="s">
        <v>6</v>
      </c>
      <c r="D23" s="2">
        <v>50</v>
      </c>
      <c r="E23" s="37" t="s">
        <v>136</v>
      </c>
      <c r="G23" s="203" t="str">
        <f t="shared" ca="1" si="1"/>
        <v>N/A</v>
      </c>
    </row>
    <row r="24" spans="2:7" x14ac:dyDescent="0.2">
      <c r="B24" t="s">
        <v>142</v>
      </c>
      <c r="C24" t="s">
        <v>3</v>
      </c>
      <c r="D24" s="2">
        <v>200</v>
      </c>
      <c r="E24" s="37" t="s">
        <v>136</v>
      </c>
      <c r="G24" s="203" t="str">
        <f t="shared" ca="1" si="1"/>
        <v>N/A</v>
      </c>
    </row>
    <row r="25" spans="2:7" x14ac:dyDescent="0.2">
      <c r="B25" t="s">
        <v>47</v>
      </c>
      <c r="C25" s="37" t="s">
        <v>293</v>
      </c>
      <c r="D25" s="2">
        <v>5</v>
      </c>
      <c r="E25" s="37" t="s">
        <v>325</v>
      </c>
      <c r="G25" s="203" t="str">
        <f t="shared" ca="1" si="1"/>
        <v>N/A</v>
      </c>
    </row>
    <row r="26" spans="2:7" s="166" customFormat="1" x14ac:dyDescent="0.2">
      <c r="B26" s="166" t="s">
        <v>21</v>
      </c>
      <c r="C26" s="166" t="s">
        <v>232</v>
      </c>
      <c r="D26" s="231">
        <v>150</v>
      </c>
      <c r="E26" s="166" t="s">
        <v>317</v>
      </c>
      <c r="F26" s="196" t="s">
        <v>322</v>
      </c>
      <c r="G26" s="196" t="s">
        <v>322</v>
      </c>
    </row>
    <row r="27" spans="2:7" s="166" customFormat="1" x14ac:dyDescent="0.2">
      <c r="B27" s="166" t="s">
        <v>141</v>
      </c>
      <c r="C27" s="166" t="s">
        <v>294</v>
      </c>
      <c r="D27" s="231">
        <v>50</v>
      </c>
      <c r="E27" s="166" t="s">
        <v>318</v>
      </c>
      <c r="F27" s="196" t="s">
        <v>322</v>
      </c>
      <c r="G27" s="196" t="s">
        <v>322</v>
      </c>
    </row>
    <row r="28" spans="2:7" s="59" customFormat="1" x14ac:dyDescent="0.2">
      <c r="B28" s="59" t="s">
        <v>56</v>
      </c>
      <c r="C28" s="59" t="s">
        <v>302</v>
      </c>
      <c r="D28" s="85">
        <v>50</v>
      </c>
      <c r="E28" s="59" t="s">
        <v>328</v>
      </c>
      <c r="F28" s="194"/>
      <c r="G28" s="236" t="str">
        <f t="shared" ca="1" si="1"/>
        <v>N/A</v>
      </c>
    </row>
    <row r="29" spans="2:7" s="166" customFormat="1" x14ac:dyDescent="0.2">
      <c r="B29" s="166" t="s">
        <v>56</v>
      </c>
      <c r="C29" s="166" t="s">
        <v>321</v>
      </c>
      <c r="D29" s="231">
        <v>50</v>
      </c>
      <c r="E29" s="166" t="s">
        <v>320</v>
      </c>
      <c r="F29" s="196" t="s">
        <v>322</v>
      </c>
      <c r="G29" s="196" t="s">
        <v>322</v>
      </c>
    </row>
    <row r="30" spans="2:7" s="166" customFormat="1" x14ac:dyDescent="0.2">
      <c r="B30" s="166" t="s">
        <v>47</v>
      </c>
      <c r="C30" s="166" t="s">
        <v>319</v>
      </c>
      <c r="D30" s="231">
        <v>600</v>
      </c>
      <c r="E30" s="166" t="s">
        <v>316</v>
      </c>
      <c r="F30" s="196" t="s">
        <v>322</v>
      </c>
      <c r="G30" s="196" t="s">
        <v>322</v>
      </c>
    </row>
  </sheetData>
  <autoFilter ref="B3:G24" xr:uid="{85FE55F6-D3CB-4342-AF80-F445B78F2F4C}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1605DEC-20EC-4870-AF22-CBBEA3AD2D6B}">
          <x14:formula1>
            <xm:f>'Data Validation'!$B:$B</xm:f>
          </x14:formula1>
          <xm:sqref>B4:B1048576</xm:sqref>
        </x14:dataValidation>
        <x14:dataValidation type="list" allowBlank="1" showInputMessage="1" showErrorMessage="1" xr:uid="{C2C10AC7-48E8-41B3-BF23-6A1E249C3095}">
          <x14:formula1>
            <xm:f>'Data Validation'!$C:$C</xm:f>
          </x14:formula1>
          <xm:sqref>E4:E1048576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DF666B-B883-454C-B506-3E9C2D4F2687}">
  <sheetPr codeName="Sheet17">
    <tabColor rgb="FF0000FF"/>
  </sheetPr>
  <dimension ref="B1:F15"/>
  <sheetViews>
    <sheetView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D3" sqref="D3"/>
    </sheetView>
  </sheetViews>
  <sheetFormatPr defaultRowHeight="12.75" x14ac:dyDescent="0.2"/>
  <cols>
    <col min="1" max="1" width="2" customWidth="1"/>
    <col min="2" max="2" width="20.5703125" bestFit="1" customWidth="1"/>
    <col min="3" max="3" width="24.140625" bestFit="1" customWidth="1"/>
    <col min="4" max="4" width="14" bestFit="1" customWidth="1"/>
    <col min="5" max="5" width="11.42578125" style="34" bestFit="1" customWidth="1"/>
  </cols>
  <sheetData>
    <row r="1" spans="2:6" x14ac:dyDescent="0.2">
      <c r="B1" s="122" t="s">
        <v>166</v>
      </c>
      <c r="C1" s="122" t="s">
        <v>166</v>
      </c>
      <c r="D1" s="122" t="s">
        <v>166</v>
      </c>
      <c r="E1" s="124" t="s">
        <v>166</v>
      </c>
    </row>
    <row r="3" spans="2:6" s="24" customFormat="1" ht="15" x14ac:dyDescent="0.35">
      <c r="B3" s="24" t="s">
        <v>48</v>
      </c>
      <c r="C3" s="24" t="s">
        <v>76</v>
      </c>
      <c r="D3" s="24" t="s">
        <v>283</v>
      </c>
      <c r="E3" s="41" t="s">
        <v>83</v>
      </c>
    </row>
    <row r="4" spans="2:6" x14ac:dyDescent="0.2">
      <c r="B4" s="37" t="s">
        <v>50</v>
      </c>
      <c r="C4" s="37" t="s">
        <v>44</v>
      </c>
      <c r="D4" t="s">
        <v>15</v>
      </c>
      <c r="E4" s="91">
        <v>0.02</v>
      </c>
    </row>
    <row r="5" spans="2:6" x14ac:dyDescent="0.2">
      <c r="B5" s="37" t="s">
        <v>50</v>
      </c>
      <c r="C5" s="37" t="s">
        <v>223</v>
      </c>
      <c r="D5" t="s">
        <v>15</v>
      </c>
      <c r="E5" s="91">
        <v>0.05</v>
      </c>
    </row>
    <row r="6" spans="2:6" x14ac:dyDescent="0.2">
      <c r="B6" s="37" t="s">
        <v>50</v>
      </c>
      <c r="C6" s="37" t="s">
        <v>85</v>
      </c>
      <c r="D6" t="s">
        <v>15</v>
      </c>
      <c r="E6" s="91">
        <v>0.2</v>
      </c>
    </row>
    <row r="7" spans="2:6" x14ac:dyDescent="0.2">
      <c r="B7" s="37" t="s">
        <v>50</v>
      </c>
      <c r="C7" s="37" t="s">
        <v>85</v>
      </c>
      <c r="D7" t="s">
        <v>16</v>
      </c>
      <c r="E7" s="91">
        <v>0.25</v>
      </c>
      <c r="F7" s="166"/>
    </row>
    <row r="8" spans="2:6" x14ac:dyDescent="0.2">
      <c r="B8" s="37" t="s">
        <v>50</v>
      </c>
      <c r="C8" s="37" t="s">
        <v>45</v>
      </c>
      <c r="D8" t="s">
        <v>16</v>
      </c>
      <c r="E8" s="91">
        <v>0.02</v>
      </c>
      <c r="F8" s="166"/>
    </row>
    <row r="9" spans="2:6" x14ac:dyDescent="0.2">
      <c r="B9" s="37" t="s">
        <v>50</v>
      </c>
      <c r="C9" s="37" t="s">
        <v>44</v>
      </c>
      <c r="D9" t="s">
        <v>16</v>
      </c>
      <c r="E9" s="91">
        <v>0.05</v>
      </c>
      <c r="F9" s="166"/>
    </row>
    <row r="10" spans="2:6" x14ac:dyDescent="0.2">
      <c r="B10" s="37" t="s">
        <v>50</v>
      </c>
      <c r="C10" s="37" t="s">
        <v>84</v>
      </c>
      <c r="D10" t="s">
        <v>16</v>
      </c>
      <c r="E10" s="91">
        <v>0.08</v>
      </c>
      <c r="F10" s="166"/>
    </row>
    <row r="11" spans="2:6" x14ac:dyDescent="0.2">
      <c r="B11" s="37" t="s">
        <v>139</v>
      </c>
      <c r="C11" s="37" t="s">
        <v>135</v>
      </c>
      <c r="D11" s="37" t="s">
        <v>15</v>
      </c>
      <c r="E11" s="91">
        <v>0.05</v>
      </c>
    </row>
    <row r="12" spans="2:6" x14ac:dyDescent="0.2">
      <c r="B12" s="42" t="s">
        <v>139</v>
      </c>
      <c r="C12" s="37" t="s">
        <v>135</v>
      </c>
      <c r="D12" s="37" t="s">
        <v>16</v>
      </c>
      <c r="E12" s="91">
        <v>0.05</v>
      </c>
    </row>
    <row r="13" spans="2:6" x14ac:dyDescent="0.2">
      <c r="B13" s="92" t="s">
        <v>143</v>
      </c>
      <c r="C13" s="37" t="s">
        <v>43</v>
      </c>
      <c r="D13" s="37" t="s">
        <v>15</v>
      </c>
      <c r="E13" s="91">
        <v>0.05</v>
      </c>
    </row>
    <row r="14" spans="2:6" x14ac:dyDescent="0.2">
      <c r="B14" s="92" t="s">
        <v>143</v>
      </c>
      <c r="C14" s="37" t="s">
        <v>43</v>
      </c>
      <c r="D14" s="37" t="s">
        <v>16</v>
      </c>
      <c r="E14" s="91">
        <v>0.05</v>
      </c>
    </row>
    <row r="15" spans="2:6" x14ac:dyDescent="0.2">
      <c r="B15" s="23"/>
    </row>
  </sheetData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7E0F38C-18EB-43A9-A16F-F530FFBEAA9F}">
          <x14:formula1>
            <xm:f>'Data Validation'!$E:$E</xm:f>
          </x14:formula1>
          <xm:sqref>D4:D1048576</xm:sqref>
        </x14:dataValidation>
        <x14:dataValidation type="list" allowBlank="1" showInputMessage="1" showErrorMessage="1" xr:uid="{7C70984A-F693-4C4E-A2F4-DEC6810F435C}">
          <x14:formula1>
            <xm:f>'Data Validation'!$D:$D</xm:f>
          </x14:formula1>
          <xm:sqref>D4:D1048576 B4:B1048576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8A14B2-1527-4A93-9B9E-D57A0533804D}">
  <sheetPr codeName="Sheet20">
    <tabColor rgb="FF0000FF"/>
  </sheetPr>
  <dimension ref="B1:H7"/>
  <sheetViews>
    <sheetView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F4" sqref="F4"/>
    </sheetView>
  </sheetViews>
  <sheetFormatPr defaultRowHeight="12.75" x14ac:dyDescent="0.2"/>
  <cols>
    <col min="1" max="1" width="2.42578125" style="59" customWidth="1"/>
    <col min="2" max="2" width="20" style="59" bestFit="1" customWidth="1"/>
    <col min="3" max="3" width="20" style="59" customWidth="1"/>
    <col min="4" max="5" width="17" style="59" customWidth="1"/>
    <col min="6" max="6" width="21.42578125" style="60" bestFit="1" customWidth="1"/>
    <col min="7" max="7" width="17" style="60" customWidth="1"/>
    <col min="8" max="8" width="9.140625" style="89"/>
    <col min="9" max="16384" width="9.140625" style="59"/>
  </cols>
  <sheetData>
    <row r="1" spans="2:8" x14ac:dyDescent="0.2">
      <c r="B1" s="122" t="s">
        <v>166</v>
      </c>
      <c r="C1" s="122" t="s">
        <v>166</v>
      </c>
      <c r="D1" s="122" t="s">
        <v>166</v>
      </c>
      <c r="E1" s="122" t="s">
        <v>166</v>
      </c>
      <c r="F1" s="122" t="s">
        <v>166</v>
      </c>
      <c r="G1" s="93" t="s">
        <v>154</v>
      </c>
    </row>
    <row r="2" spans="2:8" ht="15" x14ac:dyDescent="0.35">
      <c r="E2" s="88"/>
      <c r="F2" s="88"/>
    </row>
    <row r="3" spans="2:8" ht="15" x14ac:dyDescent="0.35">
      <c r="E3" s="88"/>
      <c r="F3" s="88"/>
    </row>
    <row r="4" spans="2:8" s="57" customFormat="1" ht="15" x14ac:dyDescent="0.35">
      <c r="B4" s="57" t="s">
        <v>48</v>
      </c>
      <c r="C4" s="57" t="s">
        <v>76</v>
      </c>
      <c r="D4" s="57" t="s">
        <v>49</v>
      </c>
      <c r="E4" s="57" t="s">
        <v>24</v>
      </c>
      <c r="F4" s="58" t="s">
        <v>301</v>
      </c>
      <c r="G4" s="58" t="s">
        <v>144</v>
      </c>
      <c r="H4" s="90"/>
    </row>
    <row r="5" spans="2:8" x14ac:dyDescent="0.2">
      <c r="B5" s="59" t="s">
        <v>15</v>
      </c>
      <c r="C5" s="59" t="s">
        <v>145</v>
      </c>
      <c r="D5" s="167">
        <v>45714</v>
      </c>
      <c r="E5" s="54" t="s">
        <v>136</v>
      </c>
      <c r="F5" s="60">
        <v>100</v>
      </c>
      <c r="G5" s="60" t="str">
        <f>TEXT(D5,"mmm")&amp;" "&amp;C5</f>
        <v>Feb Salary bump</v>
      </c>
    </row>
    <row r="6" spans="2:8" x14ac:dyDescent="0.2">
      <c r="B6" s="59" t="s">
        <v>61</v>
      </c>
      <c r="C6" s="59" t="s">
        <v>146</v>
      </c>
      <c r="D6" s="54">
        <v>45747</v>
      </c>
      <c r="E6" s="54" t="s">
        <v>2</v>
      </c>
      <c r="F6" s="60">
        <v>50</v>
      </c>
      <c r="G6" s="60" t="str">
        <f t="shared" ref="G6" si="0">TEXT(D6,"mmm")&amp;" "&amp;C6</f>
        <v>Mar Rent bump</v>
      </c>
    </row>
    <row r="7" spans="2:8" x14ac:dyDescent="0.2">
      <c r="D7" s="54"/>
    </row>
  </sheetData>
  <conditionalFormatting sqref="D1:E1048576">
    <cfRule type="cellIs" priority="1" operator="greaterThan">
      <formula>TODAY()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DB25B16-69A2-44E9-AD0D-DCF385211284}">
          <x14:formula1>
            <xm:f>'Data Validation'!$F:$F</xm:f>
          </x14:formula1>
          <xm:sqref>B5:B1048576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BDD182-16A1-43FC-91B8-3BB7D2013D2B}">
  <sheetPr codeName="Sheet21">
    <tabColor rgb="FF0000FF"/>
  </sheetPr>
  <dimension ref="B1:G11"/>
  <sheetViews>
    <sheetView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B3" sqref="B3"/>
    </sheetView>
  </sheetViews>
  <sheetFormatPr defaultRowHeight="12.75" x14ac:dyDescent="0.2"/>
  <cols>
    <col min="1" max="1" width="2.5703125" customWidth="1"/>
    <col min="2" max="2" width="17" bestFit="1" customWidth="1"/>
    <col min="3" max="3" width="23.140625" customWidth="1"/>
    <col min="4" max="4" width="40.28515625" bestFit="1" customWidth="1"/>
    <col min="5" max="5" width="13.7109375" bestFit="1" customWidth="1"/>
    <col min="6" max="6" width="15.5703125" style="1" customWidth="1"/>
    <col min="7" max="7" width="24.28515625" bestFit="1" customWidth="1"/>
  </cols>
  <sheetData>
    <row r="1" spans="2:7" x14ac:dyDescent="0.2">
      <c r="B1" s="122" t="s">
        <v>166</v>
      </c>
      <c r="C1" s="122" t="s">
        <v>166</v>
      </c>
      <c r="D1" s="122" t="s">
        <v>166</v>
      </c>
      <c r="E1" s="122" t="s">
        <v>166</v>
      </c>
      <c r="F1" s="122" t="s">
        <v>166</v>
      </c>
      <c r="G1" s="93" t="s">
        <v>154</v>
      </c>
    </row>
    <row r="3" spans="2:7" s="24" customFormat="1" ht="15" x14ac:dyDescent="0.35">
      <c r="B3" s="57" t="s">
        <v>48</v>
      </c>
      <c r="C3" s="57" t="s">
        <v>76</v>
      </c>
      <c r="D3" s="57" t="s">
        <v>227</v>
      </c>
      <c r="E3" s="57" t="s">
        <v>49</v>
      </c>
      <c r="F3" s="58" t="s">
        <v>14</v>
      </c>
      <c r="G3" s="57" t="s">
        <v>144</v>
      </c>
    </row>
    <row r="4" spans="2:7" x14ac:dyDescent="0.2">
      <c r="B4" s="59" t="s">
        <v>16</v>
      </c>
      <c r="C4" s="59" t="s">
        <v>16</v>
      </c>
      <c r="D4" s="59"/>
      <c r="E4" s="54">
        <f ca="1">TODAY()+120</f>
        <v>45776</v>
      </c>
      <c r="F4" s="208">
        <v>10000</v>
      </c>
      <c r="G4" s="26" t="str">
        <f ca="1">TEXT(E4,"mmm")&amp;" "&amp;C4</f>
        <v>Apr Bonus</v>
      </c>
    </row>
    <row r="5" spans="2:7" x14ac:dyDescent="0.2">
      <c r="B5" s="59" t="s">
        <v>64</v>
      </c>
      <c r="C5" s="59" t="s">
        <v>288</v>
      </c>
      <c r="D5" s="59"/>
      <c r="E5" s="54">
        <f ca="1">TODAY()</f>
        <v>45656</v>
      </c>
      <c r="F5" s="60">
        <v>500</v>
      </c>
      <c r="G5" s="59" t="str">
        <f ca="1">TEXT(E5,"mmm")&amp;" "&amp;C5</f>
        <v>Dec Trip</v>
      </c>
    </row>
    <row r="6" spans="2:7" x14ac:dyDescent="0.2">
      <c r="B6" s="59" t="s">
        <v>19</v>
      </c>
      <c r="C6" s="59" t="s">
        <v>289</v>
      </c>
      <c r="D6" s="59" t="s">
        <v>239</v>
      </c>
      <c r="E6" s="54">
        <f ca="1">TODAY()</f>
        <v>45656</v>
      </c>
      <c r="F6" s="168">
        <f>VLOOKUP(D6,Assets!B:G,6,0)</f>
        <v>10000</v>
      </c>
      <c r="G6" s="59" t="str">
        <f ca="1">TEXT(E6,"mmm")&amp;" "&amp;C6</f>
        <v>Dec Sell stock</v>
      </c>
    </row>
    <row r="7" spans="2:7" x14ac:dyDescent="0.2">
      <c r="B7" t="s">
        <v>20</v>
      </c>
      <c r="C7" s="59" t="s">
        <v>292</v>
      </c>
      <c r="E7" s="56">
        <f ca="1">TODAY()</f>
        <v>45656</v>
      </c>
      <c r="F7" s="1">
        <v>400</v>
      </c>
      <c r="G7" s="59" t="str">
        <f t="shared" ref="G7:G11" ca="1" si="0">TEXT(E7,"mmm")&amp;" "&amp;C7</f>
        <v>Dec Bike</v>
      </c>
    </row>
    <row r="8" spans="2:7" x14ac:dyDescent="0.2">
      <c r="B8" t="s">
        <v>314</v>
      </c>
      <c r="C8" s="59" t="s">
        <v>303</v>
      </c>
      <c r="E8" s="46">
        <f ca="1">TODAY()+30</f>
        <v>45686</v>
      </c>
      <c r="F8" s="1">
        <v>100</v>
      </c>
      <c r="G8" s="59" t="str">
        <f t="shared" ca="1" si="0"/>
        <v>Jan Lunch</v>
      </c>
    </row>
    <row r="9" spans="2:7" x14ac:dyDescent="0.2">
      <c r="B9" t="s">
        <v>313</v>
      </c>
      <c r="C9" s="59" t="s">
        <v>303</v>
      </c>
      <c r="E9" s="46">
        <f ca="1">TODAY()+30</f>
        <v>45686</v>
      </c>
      <c r="F9" s="1">
        <v>50</v>
      </c>
      <c r="G9" s="59" t="str">
        <f t="shared" ref="G9" ca="1" si="1">TEXT(E9,"mmm")&amp;" "&amp;C9</f>
        <v>Jan Lunch</v>
      </c>
    </row>
    <row r="10" spans="2:7" x14ac:dyDescent="0.2">
      <c r="B10" t="s">
        <v>18</v>
      </c>
      <c r="C10" s="59" t="s">
        <v>304</v>
      </c>
      <c r="E10" s="46">
        <f ca="1">TODAY()+60</f>
        <v>45716</v>
      </c>
      <c r="F10" s="1">
        <v>200</v>
      </c>
      <c r="G10" s="59" t="str">
        <f t="shared" ca="1" si="0"/>
        <v>Feb Amazon return</v>
      </c>
    </row>
    <row r="11" spans="2:7" x14ac:dyDescent="0.2">
      <c r="B11" t="s">
        <v>57</v>
      </c>
      <c r="C11" s="59" t="s">
        <v>305</v>
      </c>
      <c r="E11" s="46">
        <f ca="1">TODAY()+90</f>
        <v>45746</v>
      </c>
      <c r="F11" s="1">
        <v>500</v>
      </c>
      <c r="G11" s="59" t="str">
        <f t="shared" ca="1" si="0"/>
        <v>Mar Insurance payout</v>
      </c>
    </row>
  </sheetData>
  <autoFilter ref="B3:F5" xr:uid="{42BDD182-16A1-43FC-91B8-3BB7D2013D2B}"/>
  <conditionalFormatting sqref="E3">
    <cfRule type="cellIs" priority="1" operator="greaterThan">
      <formula>TODAY()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3D0D16-55FD-44DC-98BF-49A03DED6509}">
          <x14:formula1>
            <xm:f>'Data Validation'!$G:$G</xm:f>
          </x14:formula1>
          <xm:sqref>B4:B1048576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479487-D0F6-4DEB-84E5-CD9AF42CC274}">
  <sheetPr codeName="Sheet22">
    <tabColor rgb="FF0000FF"/>
  </sheetPr>
  <dimension ref="B1:D19"/>
  <sheetViews>
    <sheetView workbookViewId="0">
      <selection activeCell="B42" sqref="B42"/>
    </sheetView>
  </sheetViews>
  <sheetFormatPr defaultRowHeight="12.75" x14ac:dyDescent="0.2"/>
  <cols>
    <col min="1" max="1" width="1.28515625" customWidth="1"/>
    <col min="2" max="2" width="37.42578125" bestFit="1" customWidth="1"/>
    <col min="3" max="3" width="24" style="32" bestFit="1" customWidth="1"/>
  </cols>
  <sheetData>
    <row r="1" spans="2:4" x14ac:dyDescent="0.2">
      <c r="C1" s="122" t="s">
        <v>166</v>
      </c>
    </row>
    <row r="3" spans="2:4" x14ac:dyDescent="0.2">
      <c r="B3" s="37" t="s">
        <v>149</v>
      </c>
      <c r="C3" s="40">
        <v>0.1</v>
      </c>
    </row>
    <row r="4" spans="2:4" x14ac:dyDescent="0.2">
      <c r="B4" s="37" t="s">
        <v>148</v>
      </c>
      <c r="C4" s="40">
        <v>0.1</v>
      </c>
    </row>
    <row r="5" spans="2:4" x14ac:dyDescent="0.2">
      <c r="B5" s="37" t="s">
        <v>81</v>
      </c>
      <c r="C5" s="40">
        <v>0.03</v>
      </c>
    </row>
    <row r="7" spans="2:4" x14ac:dyDescent="0.2">
      <c r="B7" s="37" t="s">
        <v>161</v>
      </c>
      <c r="C7" s="161" t="s">
        <v>284</v>
      </c>
    </row>
    <row r="8" spans="2:4" x14ac:dyDescent="0.2">
      <c r="B8" s="37" t="s">
        <v>181</v>
      </c>
      <c r="C8" s="125" t="s">
        <v>196</v>
      </c>
    </row>
    <row r="10" spans="2:4" x14ac:dyDescent="0.2">
      <c r="B10" s="37" t="s">
        <v>180</v>
      </c>
    </row>
    <row r="11" spans="2:4" x14ac:dyDescent="0.2">
      <c r="B11" s="37" t="s">
        <v>170</v>
      </c>
      <c r="C11" s="32">
        <v>1</v>
      </c>
      <c r="D11" s="37"/>
    </row>
    <row r="12" spans="2:4" x14ac:dyDescent="0.2">
      <c r="B12" s="123" t="s">
        <v>189</v>
      </c>
      <c r="C12" s="32">
        <v>1</v>
      </c>
    </row>
    <row r="13" spans="2:4" x14ac:dyDescent="0.2">
      <c r="B13" s="123" t="s">
        <v>190</v>
      </c>
      <c r="C13" s="32">
        <v>4</v>
      </c>
    </row>
    <row r="15" spans="2:4" x14ac:dyDescent="0.2">
      <c r="B15" s="37" t="s">
        <v>191</v>
      </c>
    </row>
    <row r="16" spans="2:4" x14ac:dyDescent="0.2">
      <c r="B16" s="37" t="s">
        <v>192</v>
      </c>
      <c r="C16" s="209">
        <f>SUM($C$11:C12)</f>
        <v>2</v>
      </c>
    </row>
    <row r="17" spans="2:3" x14ac:dyDescent="0.2">
      <c r="B17" s="37" t="s">
        <v>193</v>
      </c>
      <c r="C17" s="209">
        <f>SUM($C$11:C13)</f>
        <v>6</v>
      </c>
    </row>
    <row r="19" spans="2:3" x14ac:dyDescent="0.2">
      <c r="B19" s="37" t="s">
        <v>290</v>
      </c>
      <c r="C19" s="210">
        <v>45513</v>
      </c>
    </row>
  </sheetData>
  <pageMargins left="0.7" right="0.7" top="0.75" bottom="0.75" header="0.3" footer="0.3"/>
  <pageSetup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75814F-4FA7-4FFF-A9E0-68C44DE08E21}">
  <sheetPr codeName="Sheet23"/>
  <dimension ref="A1"/>
  <sheetViews>
    <sheetView workbookViewId="0"/>
  </sheetViews>
  <sheetFormatPr defaultRowHeight="12.75" x14ac:dyDescent="0.2"/>
  <cols>
    <col min="1" max="16384" width="9.140625" style="36"/>
  </cols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AFE363-6E06-445A-A33D-5E17F3BDB645}">
  <sheetPr codeName="Sheet28"/>
  <dimension ref="A1"/>
  <sheetViews>
    <sheetView workbookViewId="0"/>
  </sheetViews>
  <sheetFormatPr defaultRowHeight="12.75" x14ac:dyDescent="0.2"/>
  <cols>
    <col min="1" max="16384" width="9.140625" style="36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71E00-08A8-4C29-AC9B-000C205672BD}">
  <sheetPr codeName="Sheet18">
    <tabColor theme="9"/>
  </sheetPr>
  <dimension ref="B2:D91"/>
  <sheetViews>
    <sheetView workbookViewId="0"/>
  </sheetViews>
  <sheetFormatPr defaultColWidth="8" defaultRowHeight="12.75" x14ac:dyDescent="0.2"/>
  <cols>
    <col min="1" max="1" width="8" style="48"/>
    <col min="2" max="2" width="10.140625" style="48" bestFit="1" customWidth="1"/>
    <col min="3" max="16384" width="8" style="48"/>
  </cols>
  <sheetData>
    <row r="2" spans="2:4" x14ac:dyDescent="0.2">
      <c r="B2" s="47">
        <f>B3-14</f>
        <v>45499</v>
      </c>
      <c r="C2" s="48">
        <f t="shared" ref="C2:C66" si="0">MONTH(B2)</f>
        <v>7</v>
      </c>
      <c r="D2" s="48">
        <f t="shared" ref="D2:D66" si="1">YEAR(B2)</f>
        <v>2024</v>
      </c>
    </row>
    <row r="3" spans="2:4" x14ac:dyDescent="0.2">
      <c r="B3" s="210">
        <f>Blanket!$C$19</f>
        <v>45513</v>
      </c>
      <c r="C3" s="48">
        <f t="shared" si="0"/>
        <v>8</v>
      </c>
      <c r="D3" s="48">
        <f t="shared" si="1"/>
        <v>2024</v>
      </c>
    </row>
    <row r="4" spans="2:4" x14ac:dyDescent="0.2">
      <c r="B4" s="47">
        <f>B3+14</f>
        <v>45527</v>
      </c>
      <c r="C4" s="48">
        <f t="shared" si="0"/>
        <v>8</v>
      </c>
      <c r="D4" s="48">
        <f t="shared" si="1"/>
        <v>2024</v>
      </c>
    </row>
    <row r="5" spans="2:4" x14ac:dyDescent="0.2">
      <c r="B5" s="47">
        <f t="shared" ref="B5:B68" si="2">B4+14</f>
        <v>45541</v>
      </c>
      <c r="C5" s="48">
        <f t="shared" si="0"/>
        <v>9</v>
      </c>
      <c r="D5" s="48">
        <f t="shared" si="1"/>
        <v>2024</v>
      </c>
    </row>
    <row r="6" spans="2:4" x14ac:dyDescent="0.2">
      <c r="B6" s="47">
        <f t="shared" si="2"/>
        <v>45555</v>
      </c>
      <c r="C6" s="48">
        <f t="shared" si="0"/>
        <v>9</v>
      </c>
      <c r="D6" s="48">
        <f t="shared" si="1"/>
        <v>2024</v>
      </c>
    </row>
    <row r="7" spans="2:4" x14ac:dyDescent="0.2">
      <c r="B7" s="47">
        <f t="shared" si="2"/>
        <v>45569</v>
      </c>
      <c r="C7" s="48">
        <f t="shared" si="0"/>
        <v>10</v>
      </c>
      <c r="D7" s="48">
        <f t="shared" si="1"/>
        <v>2024</v>
      </c>
    </row>
    <row r="8" spans="2:4" x14ac:dyDescent="0.2">
      <c r="B8" s="47">
        <f t="shared" si="2"/>
        <v>45583</v>
      </c>
      <c r="C8" s="48">
        <f t="shared" si="0"/>
        <v>10</v>
      </c>
      <c r="D8" s="48">
        <f t="shared" si="1"/>
        <v>2024</v>
      </c>
    </row>
    <row r="9" spans="2:4" x14ac:dyDescent="0.2">
      <c r="B9" s="47">
        <f t="shared" si="2"/>
        <v>45597</v>
      </c>
      <c r="C9" s="48">
        <f t="shared" si="0"/>
        <v>11</v>
      </c>
      <c r="D9" s="48">
        <f t="shared" si="1"/>
        <v>2024</v>
      </c>
    </row>
    <row r="10" spans="2:4" x14ac:dyDescent="0.2">
      <c r="B10" s="47">
        <f t="shared" si="2"/>
        <v>45611</v>
      </c>
      <c r="C10" s="48">
        <f t="shared" si="0"/>
        <v>11</v>
      </c>
      <c r="D10" s="48">
        <f t="shared" si="1"/>
        <v>2024</v>
      </c>
    </row>
    <row r="11" spans="2:4" x14ac:dyDescent="0.2">
      <c r="B11" s="47">
        <f t="shared" si="2"/>
        <v>45625</v>
      </c>
      <c r="C11" s="48">
        <f t="shared" si="0"/>
        <v>11</v>
      </c>
      <c r="D11" s="48">
        <f t="shared" si="1"/>
        <v>2024</v>
      </c>
    </row>
    <row r="12" spans="2:4" x14ac:dyDescent="0.2">
      <c r="B12" s="47">
        <f t="shared" si="2"/>
        <v>45639</v>
      </c>
      <c r="C12" s="48">
        <f t="shared" si="0"/>
        <v>12</v>
      </c>
      <c r="D12" s="48">
        <f t="shared" si="1"/>
        <v>2024</v>
      </c>
    </row>
    <row r="13" spans="2:4" x14ac:dyDescent="0.2">
      <c r="B13" s="47">
        <f t="shared" si="2"/>
        <v>45653</v>
      </c>
      <c r="C13" s="48">
        <f t="shared" si="0"/>
        <v>12</v>
      </c>
      <c r="D13" s="48">
        <f t="shared" si="1"/>
        <v>2024</v>
      </c>
    </row>
    <row r="14" spans="2:4" x14ac:dyDescent="0.2">
      <c r="B14" s="47">
        <f t="shared" si="2"/>
        <v>45667</v>
      </c>
      <c r="C14" s="48">
        <f t="shared" si="0"/>
        <v>1</v>
      </c>
      <c r="D14" s="48">
        <f t="shared" si="1"/>
        <v>2025</v>
      </c>
    </row>
    <row r="15" spans="2:4" x14ac:dyDescent="0.2">
      <c r="B15" s="47">
        <f t="shared" si="2"/>
        <v>45681</v>
      </c>
      <c r="C15" s="48">
        <f t="shared" si="0"/>
        <v>1</v>
      </c>
      <c r="D15" s="48">
        <f t="shared" si="1"/>
        <v>2025</v>
      </c>
    </row>
    <row r="16" spans="2:4" x14ac:dyDescent="0.2">
      <c r="B16" s="47">
        <f t="shared" si="2"/>
        <v>45695</v>
      </c>
      <c r="C16" s="48">
        <f t="shared" si="0"/>
        <v>2</v>
      </c>
      <c r="D16" s="48">
        <f t="shared" si="1"/>
        <v>2025</v>
      </c>
    </row>
    <row r="17" spans="2:4" x14ac:dyDescent="0.2">
      <c r="B17" s="47">
        <f t="shared" si="2"/>
        <v>45709</v>
      </c>
      <c r="C17" s="48">
        <f t="shared" si="0"/>
        <v>2</v>
      </c>
      <c r="D17" s="48">
        <f t="shared" si="1"/>
        <v>2025</v>
      </c>
    </row>
    <row r="18" spans="2:4" x14ac:dyDescent="0.2">
      <c r="B18" s="47">
        <f t="shared" si="2"/>
        <v>45723</v>
      </c>
      <c r="C18" s="48">
        <f t="shared" si="0"/>
        <v>3</v>
      </c>
      <c r="D18" s="48">
        <f t="shared" si="1"/>
        <v>2025</v>
      </c>
    </row>
    <row r="19" spans="2:4" x14ac:dyDescent="0.2">
      <c r="B19" s="47">
        <f t="shared" si="2"/>
        <v>45737</v>
      </c>
      <c r="C19" s="48">
        <f t="shared" si="0"/>
        <v>3</v>
      </c>
      <c r="D19" s="48">
        <f t="shared" si="1"/>
        <v>2025</v>
      </c>
    </row>
    <row r="20" spans="2:4" x14ac:dyDescent="0.2">
      <c r="B20" s="47">
        <f t="shared" si="2"/>
        <v>45751</v>
      </c>
      <c r="C20" s="48">
        <f t="shared" si="0"/>
        <v>4</v>
      </c>
      <c r="D20" s="48">
        <f t="shared" si="1"/>
        <v>2025</v>
      </c>
    </row>
    <row r="21" spans="2:4" x14ac:dyDescent="0.2">
      <c r="B21" s="47">
        <f t="shared" si="2"/>
        <v>45765</v>
      </c>
      <c r="C21" s="48">
        <f t="shared" si="0"/>
        <v>4</v>
      </c>
      <c r="D21" s="48">
        <f t="shared" si="1"/>
        <v>2025</v>
      </c>
    </row>
    <row r="22" spans="2:4" x14ac:dyDescent="0.2">
      <c r="B22" s="47">
        <f t="shared" si="2"/>
        <v>45779</v>
      </c>
      <c r="C22" s="48">
        <f t="shared" si="0"/>
        <v>5</v>
      </c>
      <c r="D22" s="48">
        <f t="shared" si="1"/>
        <v>2025</v>
      </c>
    </row>
    <row r="23" spans="2:4" x14ac:dyDescent="0.2">
      <c r="B23" s="47">
        <f t="shared" si="2"/>
        <v>45793</v>
      </c>
      <c r="C23" s="48">
        <f t="shared" si="0"/>
        <v>5</v>
      </c>
      <c r="D23" s="48">
        <f t="shared" si="1"/>
        <v>2025</v>
      </c>
    </row>
    <row r="24" spans="2:4" x14ac:dyDescent="0.2">
      <c r="B24" s="47">
        <f t="shared" si="2"/>
        <v>45807</v>
      </c>
      <c r="C24" s="48">
        <f t="shared" si="0"/>
        <v>5</v>
      </c>
      <c r="D24" s="48">
        <f t="shared" si="1"/>
        <v>2025</v>
      </c>
    </row>
    <row r="25" spans="2:4" x14ac:dyDescent="0.2">
      <c r="B25" s="47">
        <f t="shared" si="2"/>
        <v>45821</v>
      </c>
      <c r="C25" s="48">
        <f t="shared" si="0"/>
        <v>6</v>
      </c>
      <c r="D25" s="48">
        <f t="shared" si="1"/>
        <v>2025</v>
      </c>
    </row>
    <row r="26" spans="2:4" x14ac:dyDescent="0.2">
      <c r="B26" s="47">
        <f t="shared" si="2"/>
        <v>45835</v>
      </c>
      <c r="C26" s="48">
        <f t="shared" si="0"/>
        <v>6</v>
      </c>
      <c r="D26" s="48">
        <f t="shared" si="1"/>
        <v>2025</v>
      </c>
    </row>
    <row r="27" spans="2:4" x14ac:dyDescent="0.2">
      <c r="B27" s="47">
        <f t="shared" si="2"/>
        <v>45849</v>
      </c>
      <c r="C27" s="48">
        <f t="shared" si="0"/>
        <v>7</v>
      </c>
      <c r="D27" s="48">
        <f t="shared" si="1"/>
        <v>2025</v>
      </c>
    </row>
    <row r="28" spans="2:4" x14ac:dyDescent="0.2">
      <c r="B28" s="47">
        <f t="shared" si="2"/>
        <v>45863</v>
      </c>
      <c r="C28" s="48">
        <f t="shared" si="0"/>
        <v>7</v>
      </c>
      <c r="D28" s="48">
        <f t="shared" si="1"/>
        <v>2025</v>
      </c>
    </row>
    <row r="29" spans="2:4" x14ac:dyDescent="0.2">
      <c r="B29" s="47">
        <f t="shared" si="2"/>
        <v>45877</v>
      </c>
      <c r="C29" s="48">
        <f t="shared" si="0"/>
        <v>8</v>
      </c>
      <c r="D29" s="48">
        <f t="shared" si="1"/>
        <v>2025</v>
      </c>
    </row>
    <row r="30" spans="2:4" x14ac:dyDescent="0.2">
      <c r="B30" s="47">
        <f t="shared" si="2"/>
        <v>45891</v>
      </c>
      <c r="C30" s="48">
        <f t="shared" si="0"/>
        <v>8</v>
      </c>
      <c r="D30" s="48">
        <f t="shared" si="1"/>
        <v>2025</v>
      </c>
    </row>
    <row r="31" spans="2:4" x14ac:dyDescent="0.2">
      <c r="B31" s="47">
        <f t="shared" si="2"/>
        <v>45905</v>
      </c>
      <c r="C31" s="48">
        <f t="shared" si="0"/>
        <v>9</v>
      </c>
      <c r="D31" s="48">
        <f t="shared" si="1"/>
        <v>2025</v>
      </c>
    </row>
    <row r="32" spans="2:4" x14ac:dyDescent="0.2">
      <c r="B32" s="47">
        <f t="shared" si="2"/>
        <v>45919</v>
      </c>
      <c r="C32" s="48">
        <f t="shared" si="0"/>
        <v>9</v>
      </c>
      <c r="D32" s="48">
        <f t="shared" si="1"/>
        <v>2025</v>
      </c>
    </row>
    <row r="33" spans="2:4" x14ac:dyDescent="0.2">
      <c r="B33" s="47">
        <f t="shared" si="2"/>
        <v>45933</v>
      </c>
      <c r="C33" s="48">
        <f t="shared" si="0"/>
        <v>10</v>
      </c>
      <c r="D33" s="48">
        <f t="shared" si="1"/>
        <v>2025</v>
      </c>
    </row>
    <row r="34" spans="2:4" x14ac:dyDescent="0.2">
      <c r="B34" s="47">
        <f t="shared" si="2"/>
        <v>45947</v>
      </c>
      <c r="C34" s="48">
        <f t="shared" si="0"/>
        <v>10</v>
      </c>
      <c r="D34" s="48">
        <f t="shared" si="1"/>
        <v>2025</v>
      </c>
    </row>
    <row r="35" spans="2:4" x14ac:dyDescent="0.2">
      <c r="B35" s="47">
        <f t="shared" si="2"/>
        <v>45961</v>
      </c>
      <c r="C35" s="48">
        <f t="shared" si="0"/>
        <v>10</v>
      </c>
      <c r="D35" s="48">
        <f t="shared" si="1"/>
        <v>2025</v>
      </c>
    </row>
    <row r="36" spans="2:4" x14ac:dyDescent="0.2">
      <c r="B36" s="47">
        <f t="shared" si="2"/>
        <v>45975</v>
      </c>
      <c r="C36" s="48">
        <f t="shared" si="0"/>
        <v>11</v>
      </c>
      <c r="D36" s="48">
        <f t="shared" si="1"/>
        <v>2025</v>
      </c>
    </row>
    <row r="37" spans="2:4" x14ac:dyDescent="0.2">
      <c r="B37" s="47">
        <f t="shared" si="2"/>
        <v>45989</v>
      </c>
      <c r="C37" s="48">
        <f t="shared" si="0"/>
        <v>11</v>
      </c>
      <c r="D37" s="48">
        <f t="shared" si="1"/>
        <v>2025</v>
      </c>
    </row>
    <row r="38" spans="2:4" x14ac:dyDescent="0.2">
      <c r="B38" s="47">
        <f t="shared" si="2"/>
        <v>46003</v>
      </c>
      <c r="C38" s="48">
        <f t="shared" si="0"/>
        <v>12</v>
      </c>
      <c r="D38" s="48">
        <f t="shared" si="1"/>
        <v>2025</v>
      </c>
    </row>
    <row r="39" spans="2:4" x14ac:dyDescent="0.2">
      <c r="B39" s="47">
        <f t="shared" si="2"/>
        <v>46017</v>
      </c>
      <c r="C39" s="48">
        <f t="shared" si="0"/>
        <v>12</v>
      </c>
      <c r="D39" s="48">
        <f t="shared" si="1"/>
        <v>2025</v>
      </c>
    </row>
    <row r="40" spans="2:4" x14ac:dyDescent="0.2">
      <c r="B40" s="47">
        <f t="shared" si="2"/>
        <v>46031</v>
      </c>
      <c r="C40" s="48">
        <f t="shared" si="0"/>
        <v>1</v>
      </c>
      <c r="D40" s="48">
        <f t="shared" si="1"/>
        <v>2026</v>
      </c>
    </row>
    <row r="41" spans="2:4" x14ac:dyDescent="0.2">
      <c r="B41" s="47">
        <f t="shared" si="2"/>
        <v>46045</v>
      </c>
      <c r="C41" s="48">
        <f t="shared" si="0"/>
        <v>1</v>
      </c>
      <c r="D41" s="48">
        <f t="shared" si="1"/>
        <v>2026</v>
      </c>
    </row>
    <row r="42" spans="2:4" x14ac:dyDescent="0.2">
      <c r="B42" s="47">
        <f t="shared" si="2"/>
        <v>46059</v>
      </c>
      <c r="C42" s="48">
        <f t="shared" si="0"/>
        <v>2</v>
      </c>
      <c r="D42" s="48">
        <f t="shared" si="1"/>
        <v>2026</v>
      </c>
    </row>
    <row r="43" spans="2:4" x14ac:dyDescent="0.2">
      <c r="B43" s="47">
        <f t="shared" si="2"/>
        <v>46073</v>
      </c>
      <c r="C43" s="48">
        <f t="shared" si="0"/>
        <v>2</v>
      </c>
      <c r="D43" s="48">
        <f t="shared" si="1"/>
        <v>2026</v>
      </c>
    </row>
    <row r="44" spans="2:4" x14ac:dyDescent="0.2">
      <c r="B44" s="47">
        <f t="shared" si="2"/>
        <v>46087</v>
      </c>
      <c r="C44" s="48">
        <f t="shared" si="0"/>
        <v>3</v>
      </c>
      <c r="D44" s="48">
        <f t="shared" si="1"/>
        <v>2026</v>
      </c>
    </row>
    <row r="45" spans="2:4" x14ac:dyDescent="0.2">
      <c r="B45" s="47">
        <f t="shared" si="2"/>
        <v>46101</v>
      </c>
      <c r="C45" s="48">
        <f t="shared" si="0"/>
        <v>3</v>
      </c>
      <c r="D45" s="48">
        <f t="shared" si="1"/>
        <v>2026</v>
      </c>
    </row>
    <row r="46" spans="2:4" x14ac:dyDescent="0.2">
      <c r="B46" s="47">
        <f t="shared" si="2"/>
        <v>46115</v>
      </c>
      <c r="C46" s="48">
        <f t="shared" si="0"/>
        <v>4</v>
      </c>
      <c r="D46" s="48">
        <f t="shared" si="1"/>
        <v>2026</v>
      </c>
    </row>
    <row r="47" spans="2:4" x14ac:dyDescent="0.2">
      <c r="B47" s="47">
        <f t="shared" si="2"/>
        <v>46129</v>
      </c>
      <c r="C47" s="48">
        <f t="shared" si="0"/>
        <v>4</v>
      </c>
      <c r="D47" s="48">
        <f t="shared" si="1"/>
        <v>2026</v>
      </c>
    </row>
    <row r="48" spans="2:4" x14ac:dyDescent="0.2">
      <c r="B48" s="47">
        <f t="shared" si="2"/>
        <v>46143</v>
      </c>
      <c r="C48" s="48">
        <f t="shared" si="0"/>
        <v>5</v>
      </c>
      <c r="D48" s="48">
        <f t="shared" si="1"/>
        <v>2026</v>
      </c>
    </row>
    <row r="49" spans="2:4" x14ac:dyDescent="0.2">
      <c r="B49" s="47">
        <f t="shared" si="2"/>
        <v>46157</v>
      </c>
      <c r="C49" s="48">
        <f t="shared" si="0"/>
        <v>5</v>
      </c>
      <c r="D49" s="48">
        <f t="shared" si="1"/>
        <v>2026</v>
      </c>
    </row>
    <row r="50" spans="2:4" x14ac:dyDescent="0.2">
      <c r="B50" s="47">
        <f t="shared" si="2"/>
        <v>46171</v>
      </c>
      <c r="C50" s="48">
        <f t="shared" si="0"/>
        <v>5</v>
      </c>
      <c r="D50" s="48">
        <f t="shared" si="1"/>
        <v>2026</v>
      </c>
    </row>
    <row r="51" spans="2:4" x14ac:dyDescent="0.2">
      <c r="B51" s="47">
        <f t="shared" si="2"/>
        <v>46185</v>
      </c>
      <c r="C51" s="48">
        <f t="shared" si="0"/>
        <v>6</v>
      </c>
      <c r="D51" s="48">
        <f t="shared" si="1"/>
        <v>2026</v>
      </c>
    </row>
    <row r="52" spans="2:4" x14ac:dyDescent="0.2">
      <c r="B52" s="47">
        <f t="shared" si="2"/>
        <v>46199</v>
      </c>
      <c r="C52" s="48">
        <f t="shared" si="0"/>
        <v>6</v>
      </c>
      <c r="D52" s="48">
        <f t="shared" si="1"/>
        <v>2026</v>
      </c>
    </row>
    <row r="53" spans="2:4" x14ac:dyDescent="0.2">
      <c r="B53" s="47">
        <f t="shared" si="2"/>
        <v>46213</v>
      </c>
      <c r="C53" s="48">
        <f t="shared" si="0"/>
        <v>7</v>
      </c>
      <c r="D53" s="48">
        <f t="shared" si="1"/>
        <v>2026</v>
      </c>
    </row>
    <row r="54" spans="2:4" x14ac:dyDescent="0.2">
      <c r="B54" s="47">
        <f t="shared" si="2"/>
        <v>46227</v>
      </c>
      <c r="C54" s="48">
        <f t="shared" si="0"/>
        <v>7</v>
      </c>
      <c r="D54" s="48">
        <f t="shared" si="1"/>
        <v>2026</v>
      </c>
    </row>
    <row r="55" spans="2:4" x14ac:dyDescent="0.2">
      <c r="B55" s="47">
        <f t="shared" si="2"/>
        <v>46241</v>
      </c>
      <c r="C55" s="48">
        <f t="shared" si="0"/>
        <v>8</v>
      </c>
      <c r="D55" s="48">
        <f t="shared" si="1"/>
        <v>2026</v>
      </c>
    </row>
    <row r="56" spans="2:4" x14ac:dyDescent="0.2">
      <c r="B56" s="47">
        <f t="shared" si="2"/>
        <v>46255</v>
      </c>
      <c r="C56" s="48">
        <f t="shared" si="0"/>
        <v>8</v>
      </c>
      <c r="D56" s="48">
        <f t="shared" si="1"/>
        <v>2026</v>
      </c>
    </row>
    <row r="57" spans="2:4" x14ac:dyDescent="0.2">
      <c r="B57" s="47">
        <f t="shared" si="2"/>
        <v>46269</v>
      </c>
      <c r="C57" s="48">
        <f t="shared" si="0"/>
        <v>9</v>
      </c>
      <c r="D57" s="48">
        <f t="shared" si="1"/>
        <v>2026</v>
      </c>
    </row>
    <row r="58" spans="2:4" x14ac:dyDescent="0.2">
      <c r="B58" s="47">
        <f t="shared" si="2"/>
        <v>46283</v>
      </c>
      <c r="C58" s="48">
        <f t="shared" si="0"/>
        <v>9</v>
      </c>
      <c r="D58" s="48">
        <f t="shared" si="1"/>
        <v>2026</v>
      </c>
    </row>
    <row r="59" spans="2:4" x14ac:dyDescent="0.2">
      <c r="B59" s="47">
        <f t="shared" si="2"/>
        <v>46297</v>
      </c>
      <c r="C59" s="48">
        <f t="shared" si="0"/>
        <v>10</v>
      </c>
      <c r="D59" s="48">
        <f t="shared" si="1"/>
        <v>2026</v>
      </c>
    </row>
    <row r="60" spans="2:4" x14ac:dyDescent="0.2">
      <c r="B60" s="47">
        <f t="shared" si="2"/>
        <v>46311</v>
      </c>
      <c r="C60" s="48">
        <f t="shared" si="0"/>
        <v>10</v>
      </c>
      <c r="D60" s="48">
        <f t="shared" si="1"/>
        <v>2026</v>
      </c>
    </row>
    <row r="61" spans="2:4" x14ac:dyDescent="0.2">
      <c r="B61" s="47">
        <f t="shared" si="2"/>
        <v>46325</v>
      </c>
      <c r="C61" s="48">
        <f t="shared" si="0"/>
        <v>10</v>
      </c>
      <c r="D61" s="48">
        <f t="shared" si="1"/>
        <v>2026</v>
      </c>
    </row>
    <row r="62" spans="2:4" x14ac:dyDescent="0.2">
      <c r="B62" s="47">
        <f t="shared" si="2"/>
        <v>46339</v>
      </c>
      <c r="C62" s="48">
        <f t="shared" si="0"/>
        <v>11</v>
      </c>
      <c r="D62" s="48">
        <f t="shared" si="1"/>
        <v>2026</v>
      </c>
    </row>
    <row r="63" spans="2:4" x14ac:dyDescent="0.2">
      <c r="B63" s="47">
        <f t="shared" si="2"/>
        <v>46353</v>
      </c>
      <c r="C63" s="48">
        <f t="shared" si="0"/>
        <v>11</v>
      </c>
      <c r="D63" s="48">
        <f t="shared" si="1"/>
        <v>2026</v>
      </c>
    </row>
    <row r="64" spans="2:4" x14ac:dyDescent="0.2">
      <c r="B64" s="47">
        <f t="shared" si="2"/>
        <v>46367</v>
      </c>
      <c r="C64" s="48">
        <f t="shared" si="0"/>
        <v>12</v>
      </c>
      <c r="D64" s="48">
        <f t="shared" si="1"/>
        <v>2026</v>
      </c>
    </row>
    <row r="65" spans="2:4" x14ac:dyDescent="0.2">
      <c r="B65" s="47">
        <f t="shared" si="2"/>
        <v>46381</v>
      </c>
      <c r="C65" s="48">
        <f t="shared" si="0"/>
        <v>12</v>
      </c>
      <c r="D65" s="48">
        <f t="shared" si="1"/>
        <v>2026</v>
      </c>
    </row>
    <row r="66" spans="2:4" x14ac:dyDescent="0.2">
      <c r="B66" s="47">
        <f t="shared" si="2"/>
        <v>46395</v>
      </c>
      <c r="C66" s="48">
        <f t="shared" si="0"/>
        <v>1</v>
      </c>
      <c r="D66" s="48">
        <f t="shared" si="1"/>
        <v>2027</v>
      </c>
    </row>
    <row r="67" spans="2:4" x14ac:dyDescent="0.2">
      <c r="B67" s="47">
        <f t="shared" si="2"/>
        <v>46409</v>
      </c>
      <c r="C67" s="48">
        <f t="shared" ref="C67:C91" si="3">MONTH(B67)</f>
        <v>1</v>
      </c>
      <c r="D67" s="48">
        <f t="shared" ref="D67:D91" si="4">YEAR(B67)</f>
        <v>2027</v>
      </c>
    </row>
    <row r="68" spans="2:4" x14ac:dyDescent="0.2">
      <c r="B68" s="47">
        <f t="shared" si="2"/>
        <v>46423</v>
      </c>
      <c r="C68" s="48">
        <f t="shared" si="3"/>
        <v>2</v>
      </c>
      <c r="D68" s="48">
        <f t="shared" si="4"/>
        <v>2027</v>
      </c>
    </row>
    <row r="69" spans="2:4" x14ac:dyDescent="0.2">
      <c r="B69" s="47">
        <f t="shared" ref="B69:B91" si="5">B68+14</f>
        <v>46437</v>
      </c>
      <c r="C69" s="48">
        <f t="shared" si="3"/>
        <v>2</v>
      </c>
      <c r="D69" s="48">
        <f t="shared" si="4"/>
        <v>2027</v>
      </c>
    </row>
    <row r="70" spans="2:4" x14ac:dyDescent="0.2">
      <c r="B70" s="47">
        <f t="shared" si="5"/>
        <v>46451</v>
      </c>
      <c r="C70" s="48">
        <f t="shared" si="3"/>
        <v>3</v>
      </c>
      <c r="D70" s="48">
        <f t="shared" si="4"/>
        <v>2027</v>
      </c>
    </row>
    <row r="71" spans="2:4" x14ac:dyDescent="0.2">
      <c r="B71" s="47">
        <f t="shared" si="5"/>
        <v>46465</v>
      </c>
      <c r="C71" s="48">
        <f t="shared" si="3"/>
        <v>3</v>
      </c>
      <c r="D71" s="48">
        <f t="shared" si="4"/>
        <v>2027</v>
      </c>
    </row>
    <row r="72" spans="2:4" x14ac:dyDescent="0.2">
      <c r="B72" s="47">
        <f t="shared" si="5"/>
        <v>46479</v>
      </c>
      <c r="C72" s="48">
        <f t="shared" si="3"/>
        <v>4</v>
      </c>
      <c r="D72" s="48">
        <f t="shared" si="4"/>
        <v>2027</v>
      </c>
    </row>
    <row r="73" spans="2:4" x14ac:dyDescent="0.2">
      <c r="B73" s="47">
        <f t="shared" si="5"/>
        <v>46493</v>
      </c>
      <c r="C73" s="48">
        <f t="shared" si="3"/>
        <v>4</v>
      </c>
      <c r="D73" s="48">
        <f t="shared" si="4"/>
        <v>2027</v>
      </c>
    </row>
    <row r="74" spans="2:4" x14ac:dyDescent="0.2">
      <c r="B74" s="47">
        <f t="shared" si="5"/>
        <v>46507</v>
      </c>
      <c r="C74" s="48">
        <f t="shared" si="3"/>
        <v>4</v>
      </c>
      <c r="D74" s="48">
        <f t="shared" si="4"/>
        <v>2027</v>
      </c>
    </row>
    <row r="75" spans="2:4" x14ac:dyDescent="0.2">
      <c r="B75" s="47">
        <f t="shared" si="5"/>
        <v>46521</v>
      </c>
      <c r="C75" s="48">
        <f t="shared" si="3"/>
        <v>5</v>
      </c>
      <c r="D75" s="48">
        <f t="shared" si="4"/>
        <v>2027</v>
      </c>
    </row>
    <row r="76" spans="2:4" x14ac:dyDescent="0.2">
      <c r="B76" s="47">
        <f t="shared" si="5"/>
        <v>46535</v>
      </c>
      <c r="C76" s="48">
        <f t="shared" si="3"/>
        <v>5</v>
      </c>
      <c r="D76" s="48">
        <f t="shared" si="4"/>
        <v>2027</v>
      </c>
    </row>
    <row r="77" spans="2:4" x14ac:dyDescent="0.2">
      <c r="B77" s="47">
        <f t="shared" si="5"/>
        <v>46549</v>
      </c>
      <c r="C77" s="48">
        <f t="shared" si="3"/>
        <v>6</v>
      </c>
      <c r="D77" s="48">
        <f t="shared" si="4"/>
        <v>2027</v>
      </c>
    </row>
    <row r="78" spans="2:4" x14ac:dyDescent="0.2">
      <c r="B78" s="47">
        <f t="shared" si="5"/>
        <v>46563</v>
      </c>
      <c r="C78" s="48">
        <f t="shared" si="3"/>
        <v>6</v>
      </c>
      <c r="D78" s="48">
        <f t="shared" si="4"/>
        <v>2027</v>
      </c>
    </row>
    <row r="79" spans="2:4" x14ac:dyDescent="0.2">
      <c r="B79" s="47">
        <f t="shared" si="5"/>
        <v>46577</v>
      </c>
      <c r="C79" s="48">
        <f t="shared" si="3"/>
        <v>7</v>
      </c>
      <c r="D79" s="48">
        <f t="shared" si="4"/>
        <v>2027</v>
      </c>
    </row>
    <row r="80" spans="2:4" x14ac:dyDescent="0.2">
      <c r="B80" s="47">
        <f t="shared" si="5"/>
        <v>46591</v>
      </c>
      <c r="C80" s="48">
        <f t="shared" si="3"/>
        <v>7</v>
      </c>
      <c r="D80" s="48">
        <f t="shared" si="4"/>
        <v>2027</v>
      </c>
    </row>
    <row r="81" spans="2:4" x14ac:dyDescent="0.2">
      <c r="B81" s="47">
        <f t="shared" si="5"/>
        <v>46605</v>
      </c>
      <c r="C81" s="48">
        <f t="shared" si="3"/>
        <v>8</v>
      </c>
      <c r="D81" s="48">
        <f t="shared" si="4"/>
        <v>2027</v>
      </c>
    </row>
    <row r="82" spans="2:4" x14ac:dyDescent="0.2">
      <c r="B82" s="47">
        <f t="shared" si="5"/>
        <v>46619</v>
      </c>
      <c r="C82" s="48">
        <f t="shared" si="3"/>
        <v>8</v>
      </c>
      <c r="D82" s="48">
        <f t="shared" si="4"/>
        <v>2027</v>
      </c>
    </row>
    <row r="83" spans="2:4" x14ac:dyDescent="0.2">
      <c r="B83" s="47">
        <f t="shared" si="5"/>
        <v>46633</v>
      </c>
      <c r="C83" s="48">
        <f t="shared" si="3"/>
        <v>9</v>
      </c>
      <c r="D83" s="48">
        <f t="shared" si="4"/>
        <v>2027</v>
      </c>
    </row>
    <row r="84" spans="2:4" x14ac:dyDescent="0.2">
      <c r="B84" s="47">
        <f t="shared" si="5"/>
        <v>46647</v>
      </c>
      <c r="C84" s="48">
        <f t="shared" si="3"/>
        <v>9</v>
      </c>
      <c r="D84" s="48">
        <f t="shared" si="4"/>
        <v>2027</v>
      </c>
    </row>
    <row r="85" spans="2:4" x14ac:dyDescent="0.2">
      <c r="B85" s="47">
        <f t="shared" si="5"/>
        <v>46661</v>
      </c>
      <c r="C85" s="48">
        <f t="shared" si="3"/>
        <v>10</v>
      </c>
      <c r="D85" s="48">
        <f t="shared" si="4"/>
        <v>2027</v>
      </c>
    </row>
    <row r="86" spans="2:4" x14ac:dyDescent="0.2">
      <c r="B86" s="47">
        <f t="shared" si="5"/>
        <v>46675</v>
      </c>
      <c r="C86" s="48">
        <f t="shared" si="3"/>
        <v>10</v>
      </c>
      <c r="D86" s="48">
        <f t="shared" si="4"/>
        <v>2027</v>
      </c>
    </row>
    <row r="87" spans="2:4" x14ac:dyDescent="0.2">
      <c r="B87" s="47">
        <f t="shared" si="5"/>
        <v>46689</v>
      </c>
      <c r="C87" s="48">
        <f t="shared" si="3"/>
        <v>10</v>
      </c>
      <c r="D87" s="48">
        <f t="shared" si="4"/>
        <v>2027</v>
      </c>
    </row>
    <row r="88" spans="2:4" x14ac:dyDescent="0.2">
      <c r="B88" s="47">
        <f t="shared" si="5"/>
        <v>46703</v>
      </c>
      <c r="C88" s="48">
        <f t="shared" si="3"/>
        <v>11</v>
      </c>
      <c r="D88" s="48">
        <f t="shared" si="4"/>
        <v>2027</v>
      </c>
    </row>
    <row r="89" spans="2:4" x14ac:dyDescent="0.2">
      <c r="B89" s="47">
        <f t="shared" si="5"/>
        <v>46717</v>
      </c>
      <c r="C89" s="48">
        <f t="shared" si="3"/>
        <v>11</v>
      </c>
      <c r="D89" s="48">
        <f t="shared" si="4"/>
        <v>2027</v>
      </c>
    </row>
    <row r="90" spans="2:4" x14ac:dyDescent="0.2">
      <c r="B90" s="47">
        <f t="shared" si="5"/>
        <v>46731</v>
      </c>
      <c r="C90" s="48">
        <f t="shared" si="3"/>
        <v>12</v>
      </c>
      <c r="D90" s="48">
        <f t="shared" si="4"/>
        <v>2027</v>
      </c>
    </row>
    <row r="91" spans="2:4" x14ac:dyDescent="0.2">
      <c r="B91" s="47">
        <f t="shared" si="5"/>
        <v>46745</v>
      </c>
      <c r="C91" s="48">
        <f t="shared" si="3"/>
        <v>12</v>
      </c>
      <c r="D91" s="48">
        <f t="shared" si="4"/>
        <v>2027</v>
      </c>
    </row>
  </sheetData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735FD1-DE75-40D6-A3C6-D1E52E783CDC}">
  <sheetPr codeName="Sheet29">
    <tabColor theme="9"/>
  </sheetPr>
  <dimension ref="A1:C13"/>
  <sheetViews>
    <sheetView workbookViewId="0"/>
  </sheetViews>
  <sheetFormatPr defaultRowHeight="12.75" x14ac:dyDescent="0.2"/>
  <cols>
    <col min="1" max="1" width="19" bestFit="1" customWidth="1"/>
    <col min="2" max="2" width="23.7109375" style="33" bestFit="1" customWidth="1"/>
    <col min="3" max="3" width="13.7109375" bestFit="1" customWidth="1"/>
  </cols>
  <sheetData>
    <row r="1" spans="1:3" ht="15" x14ac:dyDescent="0.35">
      <c r="A1" s="28" t="s">
        <v>25</v>
      </c>
      <c r="B1" s="29" t="s">
        <v>40</v>
      </c>
      <c r="C1" s="29" t="s">
        <v>26</v>
      </c>
    </row>
    <row r="2" spans="1:3" x14ac:dyDescent="0.2">
      <c r="A2" s="30" t="s">
        <v>27</v>
      </c>
      <c r="B2" s="31">
        <v>0</v>
      </c>
      <c r="C2" s="31">
        <v>0.7</v>
      </c>
    </row>
    <row r="3" spans="1:3" x14ac:dyDescent="0.2">
      <c r="A3" s="30" t="s">
        <v>28</v>
      </c>
      <c r="B3" s="31">
        <v>0</v>
      </c>
      <c r="C3" s="31">
        <v>1.1599999999999999</v>
      </c>
    </row>
    <row r="4" spans="1:3" x14ac:dyDescent="0.2">
      <c r="A4" s="30" t="s">
        <v>29</v>
      </c>
      <c r="B4" s="31">
        <v>0</v>
      </c>
      <c r="C4" s="31">
        <v>1.2</v>
      </c>
    </row>
    <row r="5" spans="1:3" x14ac:dyDescent="0.2">
      <c r="A5" s="30" t="s">
        <v>30</v>
      </c>
      <c r="B5" s="31">
        <v>0</v>
      </c>
      <c r="C5" s="31">
        <v>1.5</v>
      </c>
    </row>
    <row r="6" spans="1:3" x14ac:dyDescent="0.2">
      <c r="A6" s="30" t="s">
        <v>31</v>
      </c>
      <c r="B6" s="31">
        <v>1</v>
      </c>
      <c r="C6" s="31">
        <v>170</v>
      </c>
    </row>
    <row r="7" spans="1:3" x14ac:dyDescent="0.2">
      <c r="A7" s="30" t="s">
        <v>32</v>
      </c>
      <c r="B7" s="31">
        <v>1</v>
      </c>
      <c r="C7" s="31">
        <v>2</v>
      </c>
    </row>
    <row r="8" spans="1:3" x14ac:dyDescent="0.2">
      <c r="A8" s="30" t="s">
        <v>33</v>
      </c>
      <c r="B8" s="31">
        <v>0</v>
      </c>
      <c r="C8" s="31"/>
    </row>
    <row r="9" spans="1:3" x14ac:dyDescent="0.2">
      <c r="A9" s="30" t="s">
        <v>34</v>
      </c>
      <c r="B9" s="31">
        <v>0</v>
      </c>
      <c r="C9" s="31"/>
    </row>
    <row r="10" spans="1:3" x14ac:dyDescent="0.2">
      <c r="A10" s="30" t="s">
        <v>35</v>
      </c>
      <c r="B10" s="31">
        <v>0</v>
      </c>
      <c r="C10" s="31">
        <v>0.5</v>
      </c>
    </row>
    <row r="11" spans="1:3" x14ac:dyDescent="0.2">
      <c r="A11" s="30" t="s">
        <v>36</v>
      </c>
      <c r="B11" s="31">
        <v>0</v>
      </c>
      <c r="C11" s="31">
        <v>2.8</v>
      </c>
    </row>
    <row r="12" spans="1:3" x14ac:dyDescent="0.2">
      <c r="A12" s="30" t="s">
        <v>37</v>
      </c>
      <c r="B12" s="31">
        <v>0</v>
      </c>
      <c r="C12" s="31">
        <v>1</v>
      </c>
    </row>
    <row r="13" spans="1:3" x14ac:dyDescent="0.2">
      <c r="A13" t="s">
        <v>41</v>
      </c>
      <c r="B13" s="33">
        <v>100</v>
      </c>
      <c r="C13" s="33">
        <v>150</v>
      </c>
    </row>
  </sheetData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2965A1-ACD1-4985-8533-6D3D83D236D4}">
  <sheetPr codeName="Sheet30">
    <tabColor theme="9"/>
  </sheetPr>
  <dimension ref="B3:F72"/>
  <sheetViews>
    <sheetView topLeftCell="A2" workbookViewId="0">
      <selection activeCell="E2" sqref="E1:E1048576"/>
    </sheetView>
  </sheetViews>
  <sheetFormatPr defaultRowHeight="12.75" x14ac:dyDescent="0.2"/>
  <cols>
    <col min="1" max="1" width="2" customWidth="1"/>
    <col min="3" max="3" width="11.7109375" bestFit="1" customWidth="1"/>
    <col min="4" max="4" width="11.7109375" customWidth="1"/>
    <col min="5" max="5" width="21.85546875" bestFit="1" customWidth="1"/>
    <col min="6" max="6" width="30.85546875" bestFit="1" customWidth="1"/>
  </cols>
  <sheetData>
    <row r="3" spans="2:6" x14ac:dyDescent="0.2">
      <c r="B3" t="s">
        <v>114</v>
      </c>
      <c r="C3" t="s">
        <v>113</v>
      </c>
      <c r="D3" t="s">
        <v>151</v>
      </c>
      <c r="E3" t="s">
        <v>61</v>
      </c>
      <c r="F3" t="s">
        <v>0</v>
      </c>
    </row>
    <row r="4" spans="2:6" x14ac:dyDescent="0.2">
      <c r="B4" t="s">
        <v>114</v>
      </c>
      <c r="C4" t="s">
        <v>113</v>
      </c>
      <c r="D4" t="s">
        <v>151</v>
      </c>
      <c r="E4" t="s">
        <v>61</v>
      </c>
      <c r="F4" t="s">
        <v>86</v>
      </c>
    </row>
    <row r="5" spans="2:6" x14ac:dyDescent="0.2">
      <c r="B5" t="s">
        <v>114</v>
      </c>
      <c r="C5" t="s">
        <v>113</v>
      </c>
      <c r="D5" t="s">
        <v>151</v>
      </c>
      <c r="E5" t="s">
        <v>61</v>
      </c>
      <c r="F5" t="s">
        <v>87</v>
      </c>
    </row>
    <row r="6" spans="2:6" x14ac:dyDescent="0.2">
      <c r="B6" t="s">
        <v>114</v>
      </c>
      <c r="C6" t="s">
        <v>113</v>
      </c>
      <c r="D6" t="s">
        <v>151</v>
      </c>
      <c r="E6" t="s">
        <v>61</v>
      </c>
      <c r="F6" t="s">
        <v>88</v>
      </c>
    </row>
    <row r="7" spans="2:6" x14ac:dyDescent="0.2">
      <c r="B7" t="s">
        <v>114</v>
      </c>
      <c r="C7" t="s">
        <v>113</v>
      </c>
      <c r="D7" t="s">
        <v>151</v>
      </c>
      <c r="E7" t="s">
        <v>61</v>
      </c>
      <c r="F7" t="s">
        <v>89</v>
      </c>
    </row>
    <row r="8" spans="2:6" x14ac:dyDescent="0.2">
      <c r="B8" t="s">
        <v>114</v>
      </c>
      <c r="C8" t="s">
        <v>113</v>
      </c>
      <c r="D8" t="s">
        <v>151</v>
      </c>
      <c r="E8" t="s">
        <v>7</v>
      </c>
      <c r="F8" t="s">
        <v>275</v>
      </c>
    </row>
    <row r="9" spans="2:6" x14ac:dyDescent="0.2">
      <c r="B9" t="s">
        <v>114</v>
      </c>
      <c r="C9" t="s">
        <v>113</v>
      </c>
      <c r="D9" t="s">
        <v>151</v>
      </c>
      <c r="E9" t="s">
        <v>7</v>
      </c>
      <c r="F9" t="s">
        <v>90</v>
      </c>
    </row>
    <row r="10" spans="2:6" x14ac:dyDescent="0.2">
      <c r="B10" t="s">
        <v>114</v>
      </c>
      <c r="C10" t="s">
        <v>113</v>
      </c>
      <c r="D10" t="s">
        <v>151</v>
      </c>
      <c r="E10" t="s">
        <v>7</v>
      </c>
      <c r="F10" t="s">
        <v>91</v>
      </c>
    </row>
    <row r="11" spans="2:6" x14ac:dyDescent="0.2">
      <c r="B11" t="s">
        <v>114</v>
      </c>
      <c r="C11" t="s">
        <v>113</v>
      </c>
      <c r="D11" t="s">
        <v>151</v>
      </c>
      <c r="E11" t="s">
        <v>47</v>
      </c>
      <c r="F11" t="s">
        <v>92</v>
      </c>
    </row>
    <row r="12" spans="2:6" x14ac:dyDescent="0.2">
      <c r="B12" t="s">
        <v>114</v>
      </c>
      <c r="C12" t="s">
        <v>113</v>
      </c>
      <c r="D12" t="s">
        <v>151</v>
      </c>
      <c r="E12" t="s">
        <v>47</v>
      </c>
      <c r="F12" t="s">
        <v>276</v>
      </c>
    </row>
    <row r="13" spans="2:6" x14ac:dyDescent="0.2">
      <c r="B13" t="s">
        <v>114</v>
      </c>
      <c r="C13" t="s">
        <v>113</v>
      </c>
      <c r="D13" t="s">
        <v>151</v>
      </c>
      <c r="E13" t="s">
        <v>47</v>
      </c>
      <c r="F13" t="s">
        <v>93</v>
      </c>
    </row>
    <row r="14" spans="2:6" x14ac:dyDescent="0.2">
      <c r="B14" t="s">
        <v>114</v>
      </c>
      <c r="C14" t="s">
        <v>113</v>
      </c>
      <c r="D14" t="s">
        <v>151</v>
      </c>
      <c r="E14" t="s">
        <v>47</v>
      </c>
      <c r="F14" t="s">
        <v>94</v>
      </c>
    </row>
    <row r="15" spans="2:6" x14ac:dyDescent="0.2">
      <c r="B15" t="s">
        <v>114</v>
      </c>
      <c r="C15" t="s">
        <v>113</v>
      </c>
      <c r="D15" t="s">
        <v>151</v>
      </c>
      <c r="E15" t="s">
        <v>63</v>
      </c>
      <c r="F15" t="s">
        <v>95</v>
      </c>
    </row>
    <row r="16" spans="2:6" x14ac:dyDescent="0.2">
      <c r="B16" t="s">
        <v>114</v>
      </c>
      <c r="C16" t="s">
        <v>113</v>
      </c>
      <c r="D16" t="s">
        <v>151</v>
      </c>
      <c r="E16" t="s">
        <v>63</v>
      </c>
      <c r="F16" t="s">
        <v>96</v>
      </c>
    </row>
    <row r="17" spans="2:6" x14ac:dyDescent="0.2">
      <c r="B17" t="s">
        <v>114</v>
      </c>
      <c r="C17" t="s">
        <v>113</v>
      </c>
      <c r="D17" t="s">
        <v>151</v>
      </c>
      <c r="E17" t="s">
        <v>4</v>
      </c>
      <c r="F17" t="s">
        <v>97</v>
      </c>
    </row>
    <row r="18" spans="2:6" x14ac:dyDescent="0.2">
      <c r="B18" t="s">
        <v>114</v>
      </c>
      <c r="C18" t="s">
        <v>113</v>
      </c>
      <c r="D18" t="s">
        <v>151</v>
      </c>
      <c r="E18" t="s">
        <v>4</v>
      </c>
      <c r="F18" t="s">
        <v>98</v>
      </c>
    </row>
    <row r="19" spans="2:6" x14ac:dyDescent="0.2">
      <c r="B19" t="s">
        <v>114</v>
      </c>
      <c r="C19" t="s">
        <v>113</v>
      </c>
      <c r="D19" t="s">
        <v>151</v>
      </c>
      <c r="E19" t="s">
        <v>7</v>
      </c>
      <c r="F19" t="s">
        <v>99</v>
      </c>
    </row>
    <row r="20" spans="2:6" x14ac:dyDescent="0.2">
      <c r="B20" t="s">
        <v>114</v>
      </c>
      <c r="C20" t="s">
        <v>113</v>
      </c>
      <c r="D20" t="s">
        <v>151</v>
      </c>
      <c r="E20" t="s">
        <v>7</v>
      </c>
      <c r="F20" t="s">
        <v>100</v>
      </c>
    </row>
    <row r="21" spans="2:6" x14ac:dyDescent="0.2">
      <c r="B21" t="s">
        <v>114</v>
      </c>
      <c r="C21" t="s">
        <v>113</v>
      </c>
      <c r="D21" t="s">
        <v>151</v>
      </c>
      <c r="E21" t="s">
        <v>7</v>
      </c>
      <c r="F21" t="s">
        <v>101</v>
      </c>
    </row>
    <row r="22" spans="2:6" x14ac:dyDescent="0.2">
      <c r="B22" t="s">
        <v>114</v>
      </c>
      <c r="C22" t="s">
        <v>113</v>
      </c>
      <c r="D22" t="s">
        <v>151</v>
      </c>
      <c r="E22" t="s">
        <v>7</v>
      </c>
      <c r="F22" t="s">
        <v>102</v>
      </c>
    </row>
    <row r="23" spans="2:6" x14ac:dyDescent="0.2">
      <c r="B23" t="s">
        <v>114</v>
      </c>
      <c r="C23" t="s">
        <v>113</v>
      </c>
      <c r="D23" t="s">
        <v>151</v>
      </c>
      <c r="E23" t="s">
        <v>7</v>
      </c>
      <c r="F23" t="s">
        <v>103</v>
      </c>
    </row>
    <row r="24" spans="2:6" x14ac:dyDescent="0.2">
      <c r="B24" t="s">
        <v>114</v>
      </c>
      <c r="C24" t="s">
        <v>113</v>
      </c>
      <c r="D24" t="s">
        <v>151</v>
      </c>
      <c r="E24" t="s">
        <v>63</v>
      </c>
      <c r="F24" t="s">
        <v>104</v>
      </c>
    </row>
    <row r="25" spans="2:6" x14ac:dyDescent="0.2">
      <c r="B25" t="s">
        <v>114</v>
      </c>
      <c r="C25" t="s">
        <v>113</v>
      </c>
      <c r="D25" t="s">
        <v>151</v>
      </c>
      <c r="E25" t="s">
        <v>7</v>
      </c>
      <c r="F25" t="s">
        <v>105</v>
      </c>
    </row>
    <row r="26" spans="2:6" x14ac:dyDescent="0.2">
      <c r="B26" t="s">
        <v>114</v>
      </c>
      <c r="C26" t="s">
        <v>113</v>
      </c>
      <c r="D26" t="s">
        <v>151</v>
      </c>
      <c r="E26" t="s">
        <v>7</v>
      </c>
      <c r="F26" t="s">
        <v>106</v>
      </c>
    </row>
    <row r="27" spans="2:6" x14ac:dyDescent="0.2">
      <c r="B27" t="s">
        <v>114</v>
      </c>
      <c r="C27" t="s">
        <v>113</v>
      </c>
      <c r="D27" t="s">
        <v>151</v>
      </c>
      <c r="E27" t="s">
        <v>7</v>
      </c>
      <c r="F27" t="s">
        <v>107</v>
      </c>
    </row>
    <row r="28" spans="2:6" x14ac:dyDescent="0.2">
      <c r="B28" t="s">
        <v>114</v>
      </c>
      <c r="C28" t="s">
        <v>113</v>
      </c>
      <c r="D28" t="s">
        <v>151</v>
      </c>
      <c r="E28" t="s">
        <v>7</v>
      </c>
      <c r="F28" t="s">
        <v>108</v>
      </c>
    </row>
    <row r="29" spans="2:6" x14ac:dyDescent="0.2">
      <c r="B29" t="s">
        <v>114</v>
      </c>
      <c r="C29" t="s">
        <v>113</v>
      </c>
      <c r="D29" t="s">
        <v>151</v>
      </c>
      <c r="E29" t="s">
        <v>7</v>
      </c>
      <c r="F29" t="s">
        <v>109</v>
      </c>
    </row>
    <row r="30" spans="2:6" x14ac:dyDescent="0.2">
      <c r="B30" t="s">
        <v>114</v>
      </c>
      <c r="C30" t="s">
        <v>113</v>
      </c>
      <c r="D30" t="s">
        <v>151</v>
      </c>
      <c r="E30" t="s">
        <v>7</v>
      </c>
      <c r="F30" t="s">
        <v>110</v>
      </c>
    </row>
    <row r="31" spans="2:6" x14ac:dyDescent="0.2">
      <c r="B31" t="s">
        <v>114</v>
      </c>
      <c r="C31" t="s">
        <v>113</v>
      </c>
      <c r="D31" t="s">
        <v>151</v>
      </c>
      <c r="E31" t="s">
        <v>7</v>
      </c>
      <c r="F31" t="s">
        <v>111</v>
      </c>
    </row>
    <row r="32" spans="2:6" x14ac:dyDescent="0.2">
      <c r="B32" t="s">
        <v>114</v>
      </c>
      <c r="C32" t="s">
        <v>125</v>
      </c>
      <c r="D32" t="s">
        <v>151</v>
      </c>
      <c r="E32" t="s">
        <v>5</v>
      </c>
      <c r="F32" t="s">
        <v>115</v>
      </c>
    </row>
    <row r="33" spans="2:6" x14ac:dyDescent="0.2">
      <c r="B33" t="s">
        <v>114</v>
      </c>
      <c r="C33" t="s">
        <v>125</v>
      </c>
      <c r="D33" t="s">
        <v>151</v>
      </c>
      <c r="E33" t="s">
        <v>7</v>
      </c>
      <c r="F33" t="s">
        <v>118</v>
      </c>
    </row>
    <row r="34" spans="2:6" x14ac:dyDescent="0.2">
      <c r="B34" t="s">
        <v>114</v>
      </c>
      <c r="C34" t="s">
        <v>125</v>
      </c>
      <c r="D34" t="s">
        <v>151</v>
      </c>
      <c r="E34" t="s">
        <v>7</v>
      </c>
      <c r="F34" t="s">
        <v>120</v>
      </c>
    </row>
    <row r="35" spans="2:6" x14ac:dyDescent="0.2">
      <c r="B35" t="s">
        <v>114</v>
      </c>
      <c r="C35" t="s">
        <v>125</v>
      </c>
      <c r="D35" t="s">
        <v>151</v>
      </c>
      <c r="E35" t="s">
        <v>7</v>
      </c>
      <c r="F35" t="s">
        <v>121</v>
      </c>
    </row>
    <row r="36" spans="2:6" x14ac:dyDescent="0.2">
      <c r="B36" t="s">
        <v>114</v>
      </c>
      <c r="C36" t="s">
        <v>125</v>
      </c>
      <c r="D36" t="s">
        <v>151</v>
      </c>
      <c r="E36" t="s">
        <v>7</v>
      </c>
      <c r="F36" t="s">
        <v>122</v>
      </c>
    </row>
    <row r="37" spans="2:6" x14ac:dyDescent="0.2">
      <c r="B37" t="s">
        <v>114</v>
      </c>
      <c r="C37" t="s">
        <v>125</v>
      </c>
      <c r="D37" t="s">
        <v>151</v>
      </c>
      <c r="E37" t="s">
        <v>5</v>
      </c>
      <c r="F37" t="s">
        <v>123</v>
      </c>
    </row>
    <row r="38" spans="2:6" x14ac:dyDescent="0.2">
      <c r="B38" t="s">
        <v>114</v>
      </c>
      <c r="C38" t="s">
        <v>38</v>
      </c>
      <c r="D38" t="s">
        <v>151</v>
      </c>
      <c r="E38" t="s">
        <v>141</v>
      </c>
      <c r="F38" t="s">
        <v>126</v>
      </c>
    </row>
    <row r="39" spans="2:6" x14ac:dyDescent="0.2">
      <c r="B39" t="s">
        <v>114</v>
      </c>
      <c r="C39" t="s">
        <v>38</v>
      </c>
      <c r="D39" t="s">
        <v>151</v>
      </c>
      <c r="E39" t="s">
        <v>142</v>
      </c>
      <c r="F39" t="s">
        <v>127</v>
      </c>
    </row>
    <row r="40" spans="2:6" x14ac:dyDescent="0.2">
      <c r="B40" t="s">
        <v>114</v>
      </c>
      <c r="C40" t="s">
        <v>38</v>
      </c>
      <c r="D40" t="s">
        <v>151</v>
      </c>
      <c r="E40" t="s">
        <v>142</v>
      </c>
      <c r="F40" t="s">
        <v>128</v>
      </c>
    </row>
    <row r="41" spans="2:6" x14ac:dyDescent="0.2">
      <c r="B41" t="s">
        <v>114</v>
      </c>
      <c r="C41" s="37" t="s">
        <v>113</v>
      </c>
      <c r="D41" s="37" t="s">
        <v>282</v>
      </c>
      <c r="E41" s="37" t="s">
        <v>50</v>
      </c>
    </row>
    <row r="42" spans="2:6" x14ac:dyDescent="0.2">
      <c r="B42" t="s">
        <v>114</v>
      </c>
      <c r="C42" t="s">
        <v>125</v>
      </c>
      <c r="D42" s="37" t="s">
        <v>282</v>
      </c>
      <c r="E42" s="37" t="s">
        <v>139</v>
      </c>
    </row>
    <row r="43" spans="2:6" x14ac:dyDescent="0.2">
      <c r="B43" t="s">
        <v>114</v>
      </c>
      <c r="C43" s="37" t="s">
        <v>113</v>
      </c>
      <c r="D43" s="37" t="s">
        <v>282</v>
      </c>
      <c r="E43" t="s">
        <v>153</v>
      </c>
      <c r="F43" t="s">
        <v>100</v>
      </c>
    </row>
    <row r="44" spans="2:6" x14ac:dyDescent="0.2">
      <c r="B44" t="s">
        <v>114</v>
      </c>
      <c r="C44" s="37" t="s">
        <v>113</v>
      </c>
      <c r="D44" s="37" t="s">
        <v>282</v>
      </c>
      <c r="E44" t="s">
        <v>153</v>
      </c>
      <c r="F44" t="s">
        <v>101</v>
      </c>
    </row>
    <row r="45" spans="2:6" x14ac:dyDescent="0.2">
      <c r="B45" t="s">
        <v>114</v>
      </c>
      <c r="C45" s="37" t="s">
        <v>113</v>
      </c>
      <c r="D45" s="37" t="s">
        <v>282</v>
      </c>
      <c r="E45" t="s">
        <v>153</v>
      </c>
      <c r="F45" t="s">
        <v>102</v>
      </c>
    </row>
    <row r="46" spans="2:6" x14ac:dyDescent="0.2">
      <c r="B46" t="s">
        <v>114</v>
      </c>
      <c r="C46" s="37" t="s">
        <v>113</v>
      </c>
      <c r="D46" s="37" t="s">
        <v>282</v>
      </c>
      <c r="E46" t="s">
        <v>153</v>
      </c>
      <c r="F46" t="s">
        <v>103</v>
      </c>
    </row>
    <row r="47" spans="2:6" x14ac:dyDescent="0.2">
      <c r="B47" t="s">
        <v>114</v>
      </c>
      <c r="C47" t="s">
        <v>125</v>
      </c>
      <c r="D47" s="37" t="s">
        <v>282</v>
      </c>
      <c r="E47" t="s">
        <v>143</v>
      </c>
    </row>
    <row r="48" spans="2:6" x14ac:dyDescent="0.2">
      <c r="B48" t="s">
        <v>132</v>
      </c>
      <c r="C48" t="s">
        <v>133</v>
      </c>
      <c r="D48" t="s">
        <v>151</v>
      </c>
      <c r="E48" t="s">
        <v>15</v>
      </c>
      <c r="F48" t="s">
        <v>280</v>
      </c>
    </row>
    <row r="49" spans="2:6" x14ac:dyDescent="0.2">
      <c r="B49" t="s">
        <v>132</v>
      </c>
      <c r="C49" t="s">
        <v>133</v>
      </c>
      <c r="D49" t="s">
        <v>151</v>
      </c>
      <c r="E49" t="s">
        <v>15</v>
      </c>
      <c r="F49" t="s">
        <v>129</v>
      </c>
    </row>
    <row r="50" spans="2:6" x14ac:dyDescent="0.2">
      <c r="B50" t="s">
        <v>132</v>
      </c>
      <c r="C50" t="s">
        <v>133</v>
      </c>
      <c r="D50" t="s">
        <v>151</v>
      </c>
      <c r="E50" t="s">
        <v>15</v>
      </c>
      <c r="F50" t="s">
        <v>45</v>
      </c>
    </row>
    <row r="51" spans="2:6" x14ac:dyDescent="0.2">
      <c r="B51" t="s">
        <v>132</v>
      </c>
      <c r="C51" t="s">
        <v>133</v>
      </c>
      <c r="D51" t="s">
        <v>151</v>
      </c>
      <c r="E51" t="s">
        <v>15</v>
      </c>
      <c r="F51" t="s">
        <v>130</v>
      </c>
    </row>
    <row r="52" spans="2:6" x14ac:dyDescent="0.2">
      <c r="B52" t="s">
        <v>132</v>
      </c>
      <c r="C52" t="s">
        <v>16</v>
      </c>
      <c r="D52" t="s">
        <v>152</v>
      </c>
      <c r="E52" t="s">
        <v>16</v>
      </c>
      <c r="F52" t="s">
        <v>16</v>
      </c>
    </row>
    <row r="53" spans="2:6" x14ac:dyDescent="0.2">
      <c r="B53" t="s">
        <v>132</v>
      </c>
      <c r="C53" t="s">
        <v>131</v>
      </c>
      <c r="D53" t="s">
        <v>152</v>
      </c>
      <c r="E53" s="37" t="s">
        <v>314</v>
      </c>
      <c r="F53" t="s">
        <v>17</v>
      </c>
    </row>
    <row r="54" spans="2:6" x14ac:dyDescent="0.2">
      <c r="B54" t="s">
        <v>132</v>
      </c>
      <c r="C54" t="s">
        <v>131</v>
      </c>
      <c r="D54" t="s">
        <v>152</v>
      </c>
      <c r="E54" t="s">
        <v>18</v>
      </c>
      <c r="F54" t="s">
        <v>18</v>
      </c>
    </row>
    <row r="55" spans="2:6" x14ac:dyDescent="0.2">
      <c r="B55" t="s">
        <v>132</v>
      </c>
      <c r="C55" t="s">
        <v>131</v>
      </c>
      <c r="D55" t="s">
        <v>152</v>
      </c>
      <c r="E55" t="s">
        <v>19</v>
      </c>
      <c r="F55" t="s">
        <v>19</v>
      </c>
    </row>
    <row r="56" spans="2:6" x14ac:dyDescent="0.2">
      <c r="B56" t="s">
        <v>132</v>
      </c>
      <c r="C56" t="s">
        <v>131</v>
      </c>
      <c r="D56" t="s">
        <v>152</v>
      </c>
      <c r="E56" t="s">
        <v>131</v>
      </c>
      <c r="F56" t="s">
        <v>131</v>
      </c>
    </row>
    <row r="57" spans="2:6" x14ac:dyDescent="0.2">
      <c r="C57" t="s">
        <v>270</v>
      </c>
      <c r="E57" t="s">
        <v>12</v>
      </c>
    </row>
    <row r="58" spans="2:6" x14ac:dyDescent="0.2">
      <c r="C58" t="s">
        <v>270</v>
      </c>
      <c r="E58" t="s">
        <v>60</v>
      </c>
    </row>
    <row r="59" spans="2:6" x14ac:dyDescent="0.2">
      <c r="C59" t="s">
        <v>270</v>
      </c>
      <c r="E59" t="s">
        <v>59</v>
      </c>
    </row>
    <row r="60" spans="2:6" x14ac:dyDescent="0.2">
      <c r="C60" t="s">
        <v>270</v>
      </c>
      <c r="E60" t="s">
        <v>271</v>
      </c>
      <c r="F60" t="s">
        <v>272</v>
      </c>
    </row>
    <row r="61" spans="2:6" x14ac:dyDescent="0.2">
      <c r="C61" t="s">
        <v>270</v>
      </c>
      <c r="E61" t="s">
        <v>271</v>
      </c>
      <c r="F61" t="s">
        <v>273</v>
      </c>
    </row>
    <row r="62" spans="2:6" x14ac:dyDescent="0.2">
      <c r="B62" t="s">
        <v>114</v>
      </c>
      <c r="D62" t="s">
        <v>152</v>
      </c>
      <c r="E62" t="s">
        <v>61</v>
      </c>
      <c r="F62" t="s">
        <v>277</v>
      </c>
    </row>
    <row r="63" spans="2:6" x14ac:dyDescent="0.2">
      <c r="B63" t="s">
        <v>114</v>
      </c>
      <c r="D63" t="s">
        <v>152</v>
      </c>
      <c r="E63" t="s">
        <v>47</v>
      </c>
      <c r="F63" t="s">
        <v>278</v>
      </c>
    </row>
    <row r="64" spans="2:6" x14ac:dyDescent="0.2">
      <c r="B64" t="s">
        <v>114</v>
      </c>
      <c r="D64" t="s">
        <v>152</v>
      </c>
      <c r="E64" t="s">
        <v>20</v>
      </c>
      <c r="F64" t="s">
        <v>279</v>
      </c>
    </row>
    <row r="65" spans="2:6" x14ac:dyDescent="0.2">
      <c r="B65" t="s">
        <v>114</v>
      </c>
      <c r="D65" t="s">
        <v>152</v>
      </c>
      <c r="E65" t="s">
        <v>64</v>
      </c>
      <c r="F65" t="s">
        <v>116</v>
      </c>
    </row>
    <row r="66" spans="2:6" x14ac:dyDescent="0.2">
      <c r="B66" t="s">
        <v>114</v>
      </c>
      <c r="D66" t="s">
        <v>152</v>
      </c>
      <c r="E66" t="s">
        <v>64</v>
      </c>
      <c r="F66" t="s">
        <v>117</v>
      </c>
    </row>
    <row r="67" spans="2:6" x14ac:dyDescent="0.2">
      <c r="B67" t="s">
        <v>114</v>
      </c>
      <c r="D67" t="s">
        <v>152</v>
      </c>
      <c r="E67" t="s">
        <v>61</v>
      </c>
      <c r="F67" t="s">
        <v>119</v>
      </c>
    </row>
    <row r="68" spans="2:6" x14ac:dyDescent="0.2">
      <c r="B68" t="s">
        <v>114</v>
      </c>
      <c r="D68" t="s">
        <v>152</v>
      </c>
      <c r="E68" t="s">
        <v>64</v>
      </c>
      <c r="F68" t="s">
        <v>124</v>
      </c>
    </row>
    <row r="69" spans="2:6" x14ac:dyDescent="0.2">
      <c r="B69" t="s">
        <v>114</v>
      </c>
      <c r="D69" s="37" t="s">
        <v>151</v>
      </c>
      <c r="E69" s="37" t="s">
        <v>21</v>
      </c>
    </row>
    <row r="70" spans="2:6" x14ac:dyDescent="0.2">
      <c r="B70" t="s">
        <v>114</v>
      </c>
      <c r="D70" s="37" t="s">
        <v>151</v>
      </c>
      <c r="E70" s="37" t="s">
        <v>56</v>
      </c>
    </row>
    <row r="71" spans="2:6" x14ac:dyDescent="0.2">
      <c r="B71" t="s">
        <v>114</v>
      </c>
      <c r="D71" t="s">
        <v>152</v>
      </c>
      <c r="E71" s="37" t="s">
        <v>57</v>
      </c>
    </row>
    <row r="72" spans="2:6" x14ac:dyDescent="0.2">
      <c r="B72" t="s">
        <v>114</v>
      </c>
      <c r="D72" t="s">
        <v>152</v>
      </c>
      <c r="E72" s="37" t="s">
        <v>313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DA384-6C29-4B16-B77E-1BC8023952CE}">
  <sheetPr>
    <tabColor theme="9"/>
  </sheetPr>
  <dimension ref="A1:G16"/>
  <sheetViews>
    <sheetView workbookViewId="0">
      <selection activeCell="B1" sqref="B1"/>
    </sheetView>
  </sheetViews>
  <sheetFormatPr defaultRowHeight="12.75" x14ac:dyDescent="0.2"/>
  <cols>
    <col min="1" max="1" width="10.140625" bestFit="1" customWidth="1"/>
    <col min="2" max="2" width="21.85546875" bestFit="1" customWidth="1"/>
    <col min="3" max="3" width="13.28515625" bestFit="1" customWidth="1"/>
    <col min="4" max="4" width="30.5703125" bestFit="1" customWidth="1"/>
    <col min="6" max="6" width="21.85546875" bestFit="1" customWidth="1"/>
    <col min="7" max="7" width="17" customWidth="1"/>
  </cols>
  <sheetData>
    <row r="1" spans="1:7" x14ac:dyDescent="0.2">
      <c r="A1" t="str" cm="1">
        <f t="array" ref="A1:A4">_xlfn.UNIQUE(_xlfn._xlws.FILTER('Categorized Inputs'!$E:$E,'Categorized Inputs'!$C:$C="Asset"))</f>
        <v>Cash</v>
      </c>
      <c r="B1" t="str" cm="1">
        <f t="array" ref="B1:B11">_xlfn.UNIQUE(_xlfn._xlws.FILTER('Categorized Inputs'!$E:$E,'Categorized Inputs'!$D:$D="Recurring"))</f>
        <v>Housing</v>
      </c>
      <c r="C1" s="207" t="s">
        <v>1</v>
      </c>
      <c r="D1" t="str" cm="1">
        <f t="array" ref="D1:D4">_xlfn.UNIQUE(_xlfn._xlws.FILTER('Categorized Inputs'!$E:$E,'Categorized Inputs'!$D:$D="Dependant"))</f>
        <v>Taxes</v>
      </c>
      <c r="E1" s="207" t="s">
        <v>15</v>
      </c>
      <c r="F1" t="str" cm="1">
        <f t="array" ref="F1:F13">_xlfn.UNIQUE(Recurring!B4:B992)</f>
        <v>Dues &amp; Memberships</v>
      </c>
      <c r="G1" t="str" cm="1">
        <f t="array" ref="G1:G11">_xlfn.UNIQUE(_xlfn._xlws.FILTER('Categorized Inputs'!$E:$E,'Categorized Inputs'!$D:$D="Planned"))</f>
        <v>Bonus</v>
      </c>
    </row>
    <row r="2" spans="1:7" x14ac:dyDescent="0.2">
      <c r="A2" t="str">
        <v>Brokerage</v>
      </c>
      <c r="B2" t="str">
        <v>Dues &amp; Memberships</v>
      </c>
      <c r="C2" s="207" t="s">
        <v>316</v>
      </c>
      <c r="D2" t="str">
        <v>Retirement Deductions</v>
      </c>
      <c r="E2" s="207" t="s">
        <v>16</v>
      </c>
      <c r="F2" t="str">
        <v>Housing</v>
      </c>
      <c r="G2" t="str">
        <v>Friend Receivable</v>
      </c>
    </row>
    <row r="3" spans="1:7" x14ac:dyDescent="0.2">
      <c r="A3" t="str">
        <v>Retirement</v>
      </c>
      <c r="B3" t="str">
        <v>Transportation</v>
      </c>
      <c r="C3" s="207" t="s">
        <v>317</v>
      </c>
      <c r="D3" t="str">
        <v>Other Deductions</v>
      </c>
      <c r="F3" t="str">
        <v>Other Deductions</v>
      </c>
      <c r="G3" t="str">
        <v>Selling &amp; Refunds</v>
      </c>
    </row>
    <row r="4" spans="1:7" x14ac:dyDescent="0.2">
      <c r="A4" t="str">
        <v>Real Asset</v>
      </c>
      <c r="B4" t="str">
        <v>Health</v>
      </c>
      <c r="C4" s="207" t="s">
        <v>318</v>
      </c>
      <c r="D4" t="str">
        <v>Employer Retirement Contributions</v>
      </c>
      <c r="F4" t="str">
        <v>Salary</v>
      </c>
      <c r="G4" t="str">
        <v>Brokerage Cashout</v>
      </c>
    </row>
    <row r="5" spans="1:7" x14ac:dyDescent="0.2">
      <c r="B5" t="str">
        <v>Groceries</v>
      </c>
      <c r="C5" s="207" t="s">
        <v>2</v>
      </c>
      <c r="F5" t="str">
        <v>Food &amp; Drinks</v>
      </c>
      <c r="G5" t="str">
        <v>Other</v>
      </c>
    </row>
    <row r="6" spans="1:7" x14ac:dyDescent="0.2">
      <c r="B6" t="str">
        <v>Food &amp; Drinks</v>
      </c>
      <c r="C6" s="207" t="s">
        <v>320</v>
      </c>
      <c r="F6" t="str">
        <v>Groceries</v>
      </c>
      <c r="G6" t="str">
        <v>Housing</v>
      </c>
    </row>
    <row r="7" spans="1:7" x14ac:dyDescent="0.2">
      <c r="B7" t="str">
        <v>Brokerage Contributions</v>
      </c>
      <c r="C7" s="207" t="s">
        <v>326</v>
      </c>
      <c r="F7" t="str">
        <v>Health</v>
      </c>
      <c r="G7" t="str">
        <v>Transportation</v>
      </c>
    </row>
    <row r="8" spans="1:7" x14ac:dyDescent="0.2">
      <c r="B8" t="str">
        <v>Retirement Contributions</v>
      </c>
      <c r="C8" s="207" t="s">
        <v>327</v>
      </c>
      <c r="F8" t="str">
        <v>Retirement Contributions</v>
      </c>
      <c r="G8" t="str">
        <v>Wishlist</v>
      </c>
    </row>
    <row r="9" spans="1:7" x14ac:dyDescent="0.2">
      <c r="B9" t="str">
        <v>Salary</v>
      </c>
      <c r="C9" s="207" t="s">
        <v>328</v>
      </c>
      <c r="F9" t="str">
        <v>Transportation</v>
      </c>
      <c r="G9" t="str">
        <v>Travel &amp; Events</v>
      </c>
    </row>
    <row r="10" spans="1:7" x14ac:dyDescent="0.2">
      <c r="B10" t="str">
        <v>Medication</v>
      </c>
      <c r="C10" s="207" t="s">
        <v>329</v>
      </c>
      <c r="F10" t="str">
        <v>Medication</v>
      </c>
      <c r="G10" t="str">
        <v>Other Inflows</v>
      </c>
    </row>
    <row r="11" spans="1:7" x14ac:dyDescent="0.2">
      <c r="B11" t="str">
        <v>Other Earnings</v>
      </c>
      <c r="C11" s="207" t="s">
        <v>330</v>
      </c>
      <c r="F11" t="str">
        <v>Brokerage Contributions</v>
      </c>
      <c r="G11" t="str">
        <v>Friend Payment</v>
      </c>
    </row>
    <row r="12" spans="1:7" x14ac:dyDescent="0.2">
      <c r="C12" s="207" t="s">
        <v>331</v>
      </c>
      <c r="F12" t="str">
        <v>Other Earnings</v>
      </c>
    </row>
    <row r="13" spans="1:7" x14ac:dyDescent="0.2">
      <c r="C13" s="207" t="s">
        <v>332</v>
      </c>
      <c r="F13">
        <v>0</v>
      </c>
    </row>
    <row r="14" spans="1:7" x14ac:dyDescent="0.2">
      <c r="C14" s="207" t="s">
        <v>136</v>
      </c>
    </row>
    <row r="15" spans="1:7" x14ac:dyDescent="0.2">
      <c r="C15" s="207" t="s">
        <v>325</v>
      </c>
    </row>
    <row r="16" spans="1:7" x14ac:dyDescent="0.2">
      <c r="C16" s="207" t="s">
        <v>231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</vt:i4>
      </vt:variant>
    </vt:vector>
  </HeadingPairs>
  <TitlesOfParts>
    <vt:vector size="22" baseType="lpstr">
      <vt:lpstr>README</vt:lpstr>
      <vt:lpstr>SUMMARIES→</vt:lpstr>
      <vt:lpstr>Actions</vt:lpstr>
      <vt:lpstr>NTM</vt:lpstr>
      <vt:lpstr>Balances</vt:lpstr>
      <vt:lpstr>Archive</vt:lpstr>
      <vt:lpstr>WORKING→</vt:lpstr>
      <vt:lpstr>Assets</vt:lpstr>
      <vt:lpstr>Credit Cards</vt:lpstr>
      <vt:lpstr>Loans</vt:lpstr>
      <vt:lpstr>Loyalty Points &amp; Miles</vt:lpstr>
      <vt:lpstr>Recurring</vt:lpstr>
      <vt:lpstr>Precedents</vt:lpstr>
      <vt:lpstr>Changes</vt:lpstr>
      <vt:lpstr>Planned</vt:lpstr>
      <vt:lpstr>Blanket</vt:lpstr>
      <vt:lpstr>AD HOC→</vt:lpstr>
      <vt:lpstr>HELPERS→</vt:lpstr>
      <vt:lpstr>Paydays list</vt:lpstr>
      <vt:lpstr>Points Values</vt:lpstr>
      <vt:lpstr>Categorized Inputs</vt:lpstr>
      <vt:lpstr>Data Validation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Joseph Renner</dc:creator>
  <cp:lastModifiedBy>Renner, Joseph</cp:lastModifiedBy>
  <dcterms:created xsi:type="dcterms:W3CDTF">2024-07-21T15:21:17Z</dcterms:created>
  <dcterms:modified xsi:type="dcterms:W3CDTF">2024-12-31T00:32:47Z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ea8ce42-0a38-4038-af78-0463c9adb574_Enabled">
    <vt:lpwstr>true</vt:lpwstr>
  </property>
  <property fmtid="{D5CDD505-2E9C-101B-9397-08002B2CF9AE}" pid="3" name="MSIP_Label_cea8ce42-0a38-4038-af78-0463c9adb574_SetDate">
    <vt:lpwstr>2024-07-21T15:21:07Z</vt:lpwstr>
  </property>
  <property fmtid="{D5CDD505-2E9C-101B-9397-08002B2CF9AE}" pid="4" name="MSIP_Label_cea8ce42-0a38-4038-af78-0463c9adb574_Method">
    <vt:lpwstr>Standard</vt:lpwstr>
  </property>
  <property fmtid="{D5CDD505-2E9C-101B-9397-08002B2CF9AE}" pid="5" name="MSIP_Label_cea8ce42-0a38-4038-af78-0463c9adb574_Name">
    <vt:lpwstr>cea8ce42-0a38-4038-af78-0463c9adb574</vt:lpwstr>
  </property>
  <property fmtid="{D5CDD505-2E9C-101B-9397-08002B2CF9AE}" pid="6" name="MSIP_Label_cea8ce42-0a38-4038-af78-0463c9adb574_SiteId">
    <vt:lpwstr>5d25c963-07db-4627-9db3-720b2ff89865</vt:lpwstr>
  </property>
  <property fmtid="{D5CDD505-2E9C-101B-9397-08002B2CF9AE}" pid="7" name="MSIP_Label_cea8ce42-0a38-4038-af78-0463c9adb574_ActionId">
    <vt:lpwstr>c1bbcd58-cf55-4c99-949e-87db68e7c7ff</vt:lpwstr>
  </property>
  <property fmtid="{D5CDD505-2E9C-101B-9397-08002B2CF9AE}" pid="8" name="MSIP_Label_cea8ce42-0a38-4038-af78-0463c9adb574_ContentBits">
    <vt:lpwstr>0</vt:lpwstr>
  </property>
  <property fmtid="{D5CDD505-2E9C-101B-9397-08002B2CF9AE}" pid="9" name="{A44787D4-0540-4523-9961-78E4036D8C6D}">
    <vt:lpwstr>{BD615B06-A48D-4D0C-973D-A2E12A3B67B8}</vt:lpwstr>
  </property>
</Properties>
</file>