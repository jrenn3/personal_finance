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nc-my.sharepoint.com/personal/joseph_renner_pnc_com/Documents/2)Personal/Budget project/Official Template/"/>
    </mc:Choice>
  </mc:AlternateContent>
  <xr:revisionPtr revIDLastSave="13" documentId="8_{4A42B51E-7943-4F76-B742-5FE4FB222C9A}" xr6:coauthVersionLast="47" xr6:coauthVersionMax="47" xr10:uidLastSave="{0FCC4CEA-0897-40C0-A0A6-E3EFA2D4F518}"/>
  <bookViews>
    <workbookView xWindow="-120" yWindow="-120" windowWidth="29040" windowHeight="15720" tabRatio="835" firstSheet="5" activeTab="5" xr2:uid="{F9DC1E2F-F7C0-46EC-90BE-4297CF8B5056}"/>
  </bookViews>
  <sheets>
    <sheet name="Definitions" sheetId="14" r:id="rId1"/>
    <sheet name="Footnotes" sheetId="29" r:id="rId2"/>
    <sheet name="SUMMARIES→" sheetId="19" r:id="rId3"/>
    <sheet name="Actions" sheetId="52" r:id="rId4"/>
    <sheet name="Cash Flows" sheetId="49" r:id="rId5"/>
    <sheet name="NTM" sheetId="5" r:id="rId6"/>
    <sheet name="Balances" sheetId="50" r:id="rId7"/>
    <sheet name="Archive" sheetId="46" r:id="rId8"/>
    <sheet name="WORKING→" sheetId="18" r:id="rId9"/>
    <sheet name="Assets" sheetId="34" r:id="rId10"/>
    <sheet name="Credit Cards" sheetId="20" r:id="rId11"/>
    <sheet name="Loans" sheetId="15" r:id="rId12"/>
    <sheet name="Loyalty Points &amp; Miles" sheetId="38" r:id="rId13"/>
    <sheet name="Recurring" sheetId="8" r:id="rId14"/>
    <sheet name="Precedents" sheetId="31" r:id="rId15"/>
    <sheet name="Changes" sheetId="23" r:id="rId16"/>
    <sheet name="Planned" sheetId="4" r:id="rId17"/>
    <sheet name="Blanket" sheetId="30" r:id="rId18"/>
    <sheet name="AD HOC→" sheetId="17" r:id="rId19"/>
    <sheet name="HELPERS→" sheetId="41" r:id="rId20"/>
    <sheet name="Paydays list" sheetId="24" r:id="rId21"/>
    <sheet name="Points Values" sheetId="12" r:id="rId22"/>
    <sheet name="Categorized Inputs" sheetId="32" r:id="rId23"/>
    <sheet name="Data Validation" sheetId="55" r:id="rId24"/>
  </sheets>
  <definedNames>
    <definedName name="_xlnm._FilterDatabase" localSheetId="9" hidden="1">Assets!$B$3:$G$17</definedName>
    <definedName name="_xlnm._FilterDatabase" localSheetId="10" hidden="1">'Credit Cards'!$B$3:$I$6</definedName>
    <definedName name="_xlnm._FilterDatabase" localSheetId="11" hidden="1">Loans!$B$3:$G$5</definedName>
    <definedName name="_xlnm._FilterDatabase" localSheetId="12" hidden="1">'Loyalty Points &amp; Miles'!$B$3:$G$7</definedName>
    <definedName name="_xlnm._FilterDatabase" localSheetId="16" hidden="1">Planned!$B$3:$F$5</definedName>
    <definedName name="_xlnm._FilterDatabase" localSheetId="13" hidden="1">Recurring!$B$3:$G$24</definedName>
    <definedName name="_xlpm.a" hidden="1" xlm="1">#NAME?</definedName>
    <definedName name="_xlpm.an" hidden="1" xlm="1">#NAME?</definedName>
    <definedName name="_xlpm.ann" hidden="1" xlm="1">#NAME?</definedName>
    <definedName name="_xlpm.annu" hidden="1" xlm="1">#NAME?</definedName>
    <definedName name="_xlpm.annua" hidden="1" xlm="1">#NAME?</definedName>
    <definedName name="_xlpm.annual" hidden="1" xlm="1">#NAME?</definedName>
    <definedName name="_xlpm.annuall" hidden="1" xlm="1">#NAME?</definedName>
    <definedName name="_xlpm.annually" hidden="1" xlm="1">#NAME?</definedName>
    <definedName name="_xlpm.b" hidden="1" xlm="1">#NAME?</definedName>
    <definedName name="_xlpm.bi" hidden="1" xlm="1">#NAME?</definedName>
    <definedName name="_xlpm.biw" hidden="1" xlm="1">#NAME?</definedName>
    <definedName name="_xlpm.biwe" hidden="1" xlm="1">#NAME?</definedName>
    <definedName name="_xlpm.biwee" hidden="1" xlm="1">#NAME?</definedName>
    <definedName name="_xlpm.biweek" hidden="1" xlm="1">#NAME?</definedName>
    <definedName name="_xlpm.biweekl" hidden="1" xlm="1">#NAME?</definedName>
    <definedName name="_xlpm.biweekly" hidden="1" xlm="1">#NAME?</definedName>
    <definedName name="_xlpm.change" hidden="1" xlm="1">#NAME?</definedName>
    <definedName name="_xlpm.cmonthly_card_payment" hidden="1" xlm="1">#NAME?</definedName>
    <definedName name="_xlpm.cumonthly_card_payment" hidden="1" xlm="1">#NAME?</definedName>
    <definedName name="_xlpm.curmonthly_card_payment" hidden="1" xlm="1">#NAME?</definedName>
    <definedName name="_xlpm.curremonthly_card_payment" hidden="1" xlm="1">#NAME?</definedName>
    <definedName name="_xlpm.currenmonthly_card_payment" hidden="1" xlm="1">#NAME?</definedName>
    <definedName name="_xlpm.current" hidden="1" xlm="1">#NAME?</definedName>
    <definedName name="_xlpm.current__card_payment" hidden="1" xlm="1">#NAME?</definedName>
    <definedName name="_xlpm.current_card_payment" hidden="1" xlm="1">#NAME?</definedName>
    <definedName name="_xlpm.current_h_card_payment" hidden="1" xlm="1">#NAME?</definedName>
    <definedName name="_xlpm.current_month_card_payment" hidden="1" xlm="1">#NAME?</definedName>
    <definedName name="_xlpm.current_monthly_card_payment" hidden="1" xlm="1">#NAME?</definedName>
    <definedName name="_xlpm.current_monthy_card_payment" hidden="1" xlm="1">#NAME?</definedName>
    <definedName name="_xlpm.current_nth_card_payment" hidden="1" xlm="1">#NAME?</definedName>
    <definedName name="_xlpm.current_onth_card_payment" hidden="1" xlm="1">#NAME?</definedName>
    <definedName name="_xlpm.current_th_card_payment" hidden="1" xlm="1">#NAME?</definedName>
    <definedName name="_xlpm.currentmonthly_card_payment" hidden="1" xlm="1">#NAME?</definedName>
    <definedName name="_xlpm.currmonthly_card_payment" hidden="1" xlm="1">#NAME?</definedName>
    <definedName name="_xlpm.daily" hidden="1" xlm="1">#NAME?</definedName>
    <definedName name="_xlpm.Date" hidden="1" xlm="1">#NAME?</definedName>
    <definedName name="_xlpm.Factor" hidden="1" xlm="1">#NAME?</definedName>
    <definedName name="_xlpm.l" hidden="1" xlm="1">#NAME?</definedName>
    <definedName name="_xlpm.LineItem" hidden="1" xlm="1">#NAME?</definedName>
    <definedName name="_xlpm.LineItemType" hidden="1" xlm="1">#NAME?</definedName>
    <definedName name="_xlpm.lo" hidden="1" xlm="1">#NAME?</definedName>
    <definedName name="_xlpm.loa" hidden="1" xlm="1">#NAME?</definedName>
    <definedName name="_xlpm.loan" hidden="1" xlm="1">#NAME?</definedName>
    <definedName name="_xlpm.m" hidden="1" xlm="1">#NAME?</definedName>
    <definedName name="_xlpm.mo" hidden="1" xlm="1">#NAME?</definedName>
    <definedName name="_xlpm.mon" hidden="1" xlm="1">#NAME?</definedName>
    <definedName name="_xlpm.mont" hidden="1" xlm="1">#NAME?</definedName>
    <definedName name="_xlpm.month" hidden="1" xlm="1">#NAME?</definedName>
    <definedName name="_xlpm.monthl" hidden="1" xlm="1">#NAME?</definedName>
    <definedName name="_xlpm.monthly" hidden="1" xlm="1">#NAME?</definedName>
    <definedName name="_xlpm.monthly_card_payment" hidden="1" xlm="1">#NAME?</definedName>
    <definedName name="_xlpm.n_card_payment" hidden="1" xlm="1">#NAME?</definedName>
    <definedName name="_xlpm.ne_card_payment" hidden="1" xlm="1">#NAME?</definedName>
    <definedName name="_xlpm.nex_card_payment" hidden="1" xlm="1">#NAME?</definedName>
    <definedName name="_xlpm.next_card_payment" hidden="1" xlm="1">#NAME?</definedName>
    <definedName name="_xlpm.paydays" hidden="1" xlm="1">#NAME?</definedName>
    <definedName name="_xlpm.planned" hidden="1" xlm="1">#NAME?</definedName>
    <definedName name="_xlpm.r" hidden="1" xlm="1">#NAME?</definedName>
    <definedName name="_xlpm.re" hidden="1" xlm="1">#NAME?</definedName>
    <definedName name="_xlpm.rec" hidden="1" xlm="1">#NAME?</definedName>
    <definedName name="_xlpm.recu" hidden="1" xlm="1">#NAME?</definedName>
    <definedName name="_xlpm.recurrance" hidden="1" xlm="1">#NAME?</definedName>
    <definedName name="_xlpm.Type" hidden="1" xlm="1">#NAME?</definedName>
    <definedName name="_xlpm.w" hidden="1" xlm="1">#NAME?</definedName>
    <definedName name="_xlpm.we" hidden="1" xlm="1">#NAME?</definedName>
    <definedName name="_xlpm.wee" hidden="1" xlm="1">#NAME?</definedName>
    <definedName name="_xlpm.week" hidden="1" xlm="1">#NAME?</definedName>
    <definedName name="_xlpm.weekdays" hidden="1" xlm="1">#NAME?</definedName>
    <definedName name="_xlpm.weekl" hidden="1" xlm="1">#NAME?</definedName>
    <definedName name="_xlpm.weekly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RecurringDateBased">0</definedName>
    <definedName name="RecurringFactorBased">_xlfn.LAMBDA(_xlpm.LineItem,_xlpm.Type,_xlpm.Date,_xlpm.Factor,(SUMIFS(Recurring!$D:$D,Recurring!$B:$B,_xlpm.LineItem,Recurring!$E:$E,_xlpm.Type)+SUMIFS(Changes!$F:$F,Changes!$B:$B,_xlpm.LineItem,Changes!$D:$D,"&lt;="&amp;_xlpm.Date,Changes!$E:$E,_xlpm.Type))*_xlpm.Factor)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4" l="1"/>
  <c r="G9" i="4" s="1"/>
  <c r="G15" i="8"/>
  <c r="G14" i="8"/>
  <c r="G13" i="8"/>
  <c r="G12" i="8"/>
  <c r="G11" i="8"/>
  <c r="G10" i="8"/>
  <c r="G9" i="8"/>
  <c r="G8" i="8"/>
  <c r="G7" i="8"/>
  <c r="G6" i="8"/>
  <c r="G5" i="8"/>
  <c r="G4" i="8"/>
  <c r="E4" i="4"/>
  <c r="E7" i="4"/>
  <c r="G7" i="4" s="1"/>
  <c r="E11" i="4"/>
  <c r="G11" i="4" s="1"/>
  <c r="E10" i="4"/>
  <c r="G10" i="4" s="1"/>
  <c r="E8" i="4"/>
  <c r="G8" i="4" s="1"/>
  <c r="G28" i="8"/>
  <c r="G27" i="8"/>
  <c r="G26" i="8"/>
  <c r="G25" i="8"/>
  <c r="F5" i="20"/>
  <c r="F6" i="20"/>
  <c r="F4" i="20"/>
  <c r="B3" i="24"/>
  <c r="G1" i="55" l="1" a="1"/>
  <c r="G1" i="55" s="1"/>
  <c r="F1" i="55" a="1"/>
  <c r="F1" i="55" s="1"/>
  <c r="D1" i="55" a="1"/>
  <c r="D1" i="55" s="1"/>
  <c r="B1" i="55" a="1"/>
  <c r="B1" i="55" s="1"/>
  <c r="G16" i="8"/>
  <c r="G17" i="8"/>
  <c r="G18" i="8"/>
  <c r="G19" i="8"/>
  <c r="G20" i="8"/>
  <c r="G21" i="8"/>
  <c r="G22" i="8"/>
  <c r="G23" i="8"/>
  <c r="G24" i="8"/>
  <c r="A1" i="55" a="1"/>
  <c r="A1" i="55" s="1"/>
  <c r="C9" i="49" l="1"/>
  <c r="D9" i="49" s="1"/>
  <c r="E9" i="49" s="1"/>
  <c r="F9" i="49" s="1"/>
  <c r="G9" i="49" s="1"/>
  <c r="C8" i="49"/>
  <c r="D8" i="49" s="1"/>
  <c r="E8" i="49" s="1"/>
  <c r="F8" i="49" s="1"/>
  <c r="G8" i="49" s="1"/>
  <c r="C7" i="49"/>
  <c r="D7" i="49" s="1"/>
  <c r="E7" i="49" s="1"/>
  <c r="F7" i="49" s="1"/>
  <c r="G7" i="49" s="1"/>
  <c r="K4" i="46" s="1"/>
  <c r="C17" i="49"/>
  <c r="D17" i="49" s="1"/>
  <c r="E17" i="49" s="1"/>
  <c r="F17" i="49" s="1"/>
  <c r="G17" i="49" s="1"/>
  <c r="C16" i="49"/>
  <c r="D16" i="49" s="1"/>
  <c r="E16" i="49" s="1"/>
  <c r="F16" i="49" s="1"/>
  <c r="G16" i="49" s="1"/>
  <c r="C15" i="49"/>
  <c r="D15" i="49" s="1"/>
  <c r="E15" i="49" s="1"/>
  <c r="F15" i="49" s="1"/>
  <c r="G15" i="49" s="1"/>
  <c r="C14" i="49"/>
  <c r="D14" i="49" s="1"/>
  <c r="E14" i="49" s="1"/>
  <c r="F14" i="49" s="1"/>
  <c r="G14" i="49" s="1"/>
  <c r="C27" i="49"/>
  <c r="D27" i="49" s="1"/>
  <c r="E27" i="49" s="1"/>
  <c r="F27" i="49" s="1"/>
  <c r="G27" i="49" s="1"/>
  <c r="C26" i="49"/>
  <c r="D26" i="49" s="1"/>
  <c r="E26" i="49" s="1"/>
  <c r="F26" i="49" s="1"/>
  <c r="G26" i="49" s="1"/>
  <c r="C25" i="49"/>
  <c r="D25" i="49" s="1"/>
  <c r="E25" i="49" s="1"/>
  <c r="F25" i="49" s="1"/>
  <c r="G25" i="49" s="1"/>
  <c r="C24" i="49"/>
  <c r="D24" i="49" s="1"/>
  <c r="E24" i="49" s="1"/>
  <c r="F24" i="49" s="1"/>
  <c r="G24" i="49" s="1"/>
  <c r="C38" i="49"/>
  <c r="D38" i="49" s="1"/>
  <c r="E38" i="49" s="1"/>
  <c r="F38" i="49" s="1"/>
  <c r="G38" i="49" s="1"/>
  <c r="C37" i="49"/>
  <c r="D37" i="49" s="1"/>
  <c r="E37" i="49" s="1"/>
  <c r="F37" i="49" s="1"/>
  <c r="G37" i="49" s="1"/>
  <c r="C36" i="49"/>
  <c r="D36" i="49" s="1"/>
  <c r="E36" i="49" s="1"/>
  <c r="F36" i="49" s="1"/>
  <c r="G36" i="49" s="1"/>
  <c r="C35" i="49"/>
  <c r="D35" i="49" s="1"/>
  <c r="E35" i="49" s="1"/>
  <c r="F35" i="49" s="1"/>
  <c r="G35" i="49" s="1"/>
  <c r="C34" i="49"/>
  <c r="D34" i="49" s="1"/>
  <c r="E34" i="49" s="1"/>
  <c r="C66" i="49"/>
  <c r="D66" i="49" s="1"/>
  <c r="E66" i="49" s="1"/>
  <c r="F66" i="49" s="1"/>
  <c r="G66" i="49" s="1"/>
  <c r="C59" i="49"/>
  <c r="D59" i="49" s="1"/>
  <c r="E59" i="49" s="1"/>
  <c r="F59" i="49" s="1"/>
  <c r="G59" i="49" s="1"/>
  <c r="C58" i="49"/>
  <c r="D58" i="49" s="1"/>
  <c r="E58" i="49" s="1"/>
  <c r="F58" i="49" s="1"/>
  <c r="G58" i="49" s="1"/>
  <c r="C53" i="49"/>
  <c r="D53" i="49" s="1"/>
  <c r="C52" i="49"/>
  <c r="D52" i="49" s="1"/>
  <c r="E52" i="49" s="1"/>
  <c r="F52" i="49" s="1"/>
  <c r="G52" i="49" s="1"/>
  <c r="C44" i="49"/>
  <c r="D44" i="49" s="1"/>
  <c r="E44" i="49" s="1"/>
  <c r="F44" i="49" s="1"/>
  <c r="G44" i="49" s="1"/>
  <c r="C45" i="49"/>
  <c r="D45" i="49" s="1"/>
  <c r="E45" i="49" s="1"/>
  <c r="F45" i="49" s="1"/>
  <c r="G45" i="49" s="1"/>
  <c r="C46" i="49"/>
  <c r="D46" i="49" s="1"/>
  <c r="E46" i="49" s="1"/>
  <c r="F46" i="49" s="1"/>
  <c r="G46" i="49" s="1"/>
  <c r="C47" i="49"/>
  <c r="D47" i="49" s="1"/>
  <c r="E47" i="49" s="1"/>
  <c r="F47" i="49" s="1"/>
  <c r="G47" i="49" s="1"/>
  <c r="C43" i="49"/>
  <c r="D43" i="49" s="1"/>
  <c r="E43" i="49" s="1"/>
  <c r="F43" i="49" s="1"/>
  <c r="G43" i="49" s="1"/>
  <c r="C3" i="52"/>
  <c r="C4" i="52" s="1"/>
  <c r="C8" i="52"/>
  <c r="C9" i="50"/>
  <c r="C15" i="50"/>
  <c r="C14" i="50"/>
  <c r="C10" i="50"/>
  <c r="C4" i="46"/>
  <c r="C5" i="52" l="1"/>
  <c r="C6" i="52" s="1"/>
  <c r="C9" i="52" s="1"/>
  <c r="C17" i="50"/>
  <c r="E4" i="46"/>
  <c r="E53" i="49" l="1"/>
  <c r="F53" i="49" s="1"/>
  <c r="G53" i="49" s="1"/>
  <c r="F34" i="49"/>
  <c r="G34" i="49" s="1"/>
  <c r="B6" i="34"/>
  <c r="B12" i="34"/>
  <c r="B13" i="34"/>
  <c r="B14" i="34"/>
  <c r="B15" i="34"/>
  <c r="B17" i="34"/>
  <c r="B5" i="34"/>
  <c r="B7" i="34"/>
  <c r="B9" i="34"/>
  <c r="B10" i="34"/>
  <c r="B11" i="34"/>
  <c r="B8" i="34"/>
  <c r="B16" i="34"/>
  <c r="B4" i="34"/>
  <c r="E6" i="4"/>
  <c r="G6" i="4" s="1"/>
  <c r="F6" i="4" l="1"/>
  <c r="F5" i="15" l="1"/>
  <c r="G5" i="15" s="1"/>
  <c r="F6" i="38"/>
  <c r="G6" i="38" s="1"/>
  <c r="F7" i="38"/>
  <c r="G7" i="38" s="1"/>
  <c r="G4" i="15"/>
  <c r="G5" i="20"/>
  <c r="H5" i="20" s="1"/>
  <c r="I5" i="20" s="1"/>
  <c r="H6" i="20"/>
  <c r="I6" i="20" s="1"/>
  <c r="H4" i="20"/>
  <c r="C17" i="30" l="1"/>
  <c r="C16" i="30"/>
  <c r="D101" i="5"/>
  <c r="E101" i="5" s="1"/>
  <c r="F101" i="5" s="1"/>
  <c r="G101" i="5" s="1"/>
  <c r="H101" i="5" s="1"/>
  <c r="I101" i="5" s="1"/>
  <c r="J101" i="5" s="1"/>
  <c r="K101" i="5" s="1"/>
  <c r="L101" i="5" s="1"/>
  <c r="M101" i="5" s="1"/>
  <c r="N101" i="5" s="1"/>
  <c r="F5" i="38"/>
  <c r="G5" i="38" s="1"/>
  <c r="F4" i="38"/>
  <c r="G4" i="4"/>
  <c r="G6" i="23"/>
  <c r="G5" i="23"/>
  <c r="B80" i="5"/>
  <c r="G4" i="38" l="1"/>
  <c r="C7" i="50" s="1"/>
  <c r="C84" i="5" s="1"/>
  <c r="D84" i="5" s="1"/>
  <c r="E84" i="5" s="1"/>
  <c r="F84" i="5" s="1"/>
  <c r="G84" i="5" s="1"/>
  <c r="H84" i="5" s="1"/>
  <c r="I84" i="5" s="1"/>
  <c r="J84" i="5" s="1"/>
  <c r="K84" i="5" s="1"/>
  <c r="L84" i="5" s="1"/>
  <c r="M84" i="5" s="1"/>
  <c r="N84" i="5" s="1"/>
  <c r="D7" i="50" s="1"/>
  <c r="C6" i="50"/>
  <c r="E5" i="4"/>
  <c r="G5" i="4" s="1"/>
  <c r="I4" i="20"/>
  <c r="C12" i="50" l="1"/>
  <c r="C19" i="50" s="1"/>
  <c r="G4" i="46" s="1"/>
  <c r="D4" i="46"/>
  <c r="F4" i="46" s="1"/>
  <c r="B4" i="24"/>
  <c r="B5" i="24" s="1"/>
  <c r="B6" i="24" s="1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B28" i="24" s="1"/>
  <c r="B29" i="24" s="1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47" i="24" s="1"/>
  <c r="B48" i="24" s="1"/>
  <c r="B49" i="24" s="1"/>
  <c r="B50" i="24" s="1"/>
  <c r="B51" i="24" s="1"/>
  <c r="B52" i="24" s="1"/>
  <c r="B53" i="24" s="1"/>
  <c r="B54" i="24" s="1"/>
  <c r="B55" i="24" s="1"/>
  <c r="B56" i="24" s="1"/>
  <c r="B57" i="24" s="1"/>
  <c r="B58" i="24" s="1"/>
  <c r="B59" i="24" s="1"/>
  <c r="B60" i="24" s="1"/>
  <c r="B61" i="24" s="1"/>
  <c r="B62" i="24" s="1"/>
  <c r="B63" i="24" s="1"/>
  <c r="B64" i="24" s="1"/>
  <c r="B65" i="24" s="1"/>
  <c r="B66" i="24" s="1"/>
  <c r="B67" i="24" s="1"/>
  <c r="B68" i="24" s="1"/>
  <c r="B69" i="24" s="1"/>
  <c r="B70" i="24" s="1"/>
  <c r="B71" i="24" s="1"/>
  <c r="B72" i="24" s="1"/>
  <c r="B73" i="24" s="1"/>
  <c r="B74" i="24" s="1"/>
  <c r="B75" i="24" s="1"/>
  <c r="B76" i="24" s="1"/>
  <c r="B77" i="24" s="1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C3" i="24"/>
  <c r="B2" i="24"/>
  <c r="D2" i="24" s="1"/>
  <c r="D3" i="24"/>
  <c r="C2" i="24" l="1"/>
  <c r="C4" i="24"/>
  <c r="D4" i="24"/>
  <c r="D5" i="24"/>
  <c r="C5" i="24"/>
  <c r="C6" i="24" l="1"/>
  <c r="D6" i="24"/>
  <c r="D7" i="24" l="1"/>
  <c r="C7" i="24"/>
  <c r="D8" i="24" l="1"/>
  <c r="C8" i="24"/>
  <c r="D9" i="24" l="1"/>
  <c r="C9" i="24"/>
  <c r="D10" i="24" l="1"/>
  <c r="C10" i="24"/>
  <c r="D11" i="24" l="1"/>
  <c r="C11" i="24"/>
  <c r="D12" i="24" l="1"/>
  <c r="C12" i="24"/>
  <c r="D13" i="24" l="1"/>
  <c r="C13" i="24"/>
  <c r="D14" i="24" l="1"/>
  <c r="C14" i="24"/>
  <c r="D15" i="24" l="1"/>
  <c r="C15" i="24"/>
  <c r="D16" i="24" l="1"/>
  <c r="C16" i="24"/>
  <c r="D17" i="24" l="1"/>
  <c r="C17" i="24"/>
  <c r="D18" i="24" l="1"/>
  <c r="C18" i="24"/>
  <c r="D19" i="24" l="1"/>
  <c r="C19" i="24"/>
  <c r="D20" i="24" l="1"/>
  <c r="C20" i="24"/>
  <c r="D21" i="24" l="1"/>
  <c r="C21" i="24"/>
  <c r="C22" i="24" l="1"/>
  <c r="D22" i="24"/>
  <c r="D23" i="24" l="1"/>
  <c r="C23" i="24"/>
  <c r="D24" i="24" l="1"/>
  <c r="C24" i="24"/>
  <c r="D25" i="24" l="1"/>
  <c r="C25" i="24"/>
  <c r="D26" i="24" l="1"/>
  <c r="C26" i="24"/>
  <c r="D27" i="24" l="1"/>
  <c r="C27" i="24"/>
  <c r="D28" i="24" l="1"/>
  <c r="C28" i="24"/>
  <c r="D29" i="24" l="1"/>
  <c r="C29" i="24"/>
  <c r="D30" i="24" l="1"/>
  <c r="C30" i="24"/>
  <c r="D31" i="24" l="1"/>
  <c r="C31" i="24"/>
  <c r="D32" i="24" l="1"/>
  <c r="C32" i="24"/>
  <c r="D33" i="24" l="1"/>
  <c r="C33" i="24"/>
  <c r="D34" i="24" l="1"/>
  <c r="C34" i="24"/>
  <c r="D35" i="24" l="1"/>
  <c r="C35" i="24"/>
  <c r="D36" i="24" l="1"/>
  <c r="C36" i="24"/>
  <c r="D37" i="24" l="1"/>
  <c r="C37" i="24"/>
  <c r="C38" i="24" l="1"/>
  <c r="D38" i="24"/>
  <c r="D39" i="24" l="1"/>
  <c r="C39" i="24"/>
  <c r="D40" i="24" l="1"/>
  <c r="C40" i="24"/>
  <c r="D41" i="24" l="1"/>
  <c r="C41" i="24"/>
  <c r="D42" i="24" l="1"/>
  <c r="C42" i="24"/>
  <c r="D43" i="24" l="1"/>
  <c r="C43" i="24"/>
  <c r="D44" i="24" l="1"/>
  <c r="C44" i="24"/>
  <c r="D45" i="24" l="1"/>
  <c r="C45" i="24"/>
  <c r="D46" i="24" l="1"/>
  <c r="C46" i="24"/>
  <c r="D47" i="24" l="1"/>
  <c r="C47" i="24"/>
  <c r="D48" i="24" l="1"/>
  <c r="C48" i="24"/>
  <c r="D49" i="24" l="1"/>
  <c r="C49" i="24"/>
  <c r="D50" i="24" l="1"/>
  <c r="C50" i="24"/>
  <c r="D51" i="24" l="1"/>
  <c r="C51" i="24"/>
  <c r="D52" i="24" l="1"/>
  <c r="C52" i="24"/>
  <c r="D53" i="24" l="1"/>
  <c r="C53" i="24"/>
  <c r="C54" i="24" l="1"/>
  <c r="D54" i="24"/>
  <c r="D55" i="24" l="1"/>
  <c r="C55" i="24"/>
  <c r="D56" i="24" l="1"/>
  <c r="C56" i="24"/>
  <c r="D57" i="24" l="1"/>
  <c r="C57" i="24"/>
  <c r="D58" i="24" l="1"/>
  <c r="C58" i="24"/>
  <c r="D59" i="24" l="1"/>
  <c r="C59" i="24"/>
  <c r="D60" i="24" l="1"/>
  <c r="C60" i="24"/>
  <c r="D61" i="24" l="1"/>
  <c r="C61" i="24"/>
  <c r="D62" i="24" l="1"/>
  <c r="C62" i="24"/>
  <c r="D63" i="24" l="1"/>
  <c r="C63" i="24"/>
  <c r="D64" i="24" l="1"/>
  <c r="C64" i="24"/>
  <c r="D65" i="24" l="1"/>
  <c r="C65" i="24"/>
  <c r="D66" i="24" l="1"/>
  <c r="C66" i="24"/>
  <c r="D67" i="24" l="1"/>
  <c r="C67" i="24"/>
  <c r="D68" i="24" l="1"/>
  <c r="C68" i="24"/>
  <c r="D69" i="24" l="1"/>
  <c r="C69" i="24"/>
  <c r="C70" i="24" l="1"/>
  <c r="D70" i="24"/>
  <c r="D71" i="24" l="1"/>
  <c r="C71" i="24"/>
  <c r="D72" i="24" l="1"/>
  <c r="C72" i="24"/>
  <c r="D73" i="24" l="1"/>
  <c r="C73" i="24"/>
  <c r="D74" i="24" l="1"/>
  <c r="C74" i="24"/>
  <c r="D75" i="24" l="1"/>
  <c r="C75" i="24"/>
  <c r="D76" i="24" l="1"/>
  <c r="C76" i="24"/>
  <c r="D77" i="24" l="1"/>
  <c r="C77" i="24"/>
  <c r="D78" i="24" l="1"/>
  <c r="C78" i="24"/>
  <c r="D79" i="24" l="1"/>
  <c r="C79" i="24"/>
  <c r="D80" i="24" l="1"/>
  <c r="C80" i="24"/>
  <c r="D81" i="24" l="1"/>
  <c r="C81" i="24"/>
  <c r="D82" i="24" l="1"/>
  <c r="C82" i="24"/>
  <c r="D83" i="24" l="1"/>
  <c r="C83" i="24"/>
  <c r="D84" i="24" l="1"/>
  <c r="C84" i="24"/>
  <c r="D85" i="24" l="1"/>
  <c r="C85" i="24"/>
  <c r="C86" i="24" l="1"/>
  <c r="D86" i="24"/>
  <c r="D87" i="24" l="1"/>
  <c r="C87" i="24"/>
  <c r="D88" i="24" l="1"/>
  <c r="C88" i="24"/>
  <c r="D89" i="24" l="1"/>
  <c r="C89" i="24"/>
  <c r="D90" i="24" l="1"/>
  <c r="C90" i="24"/>
  <c r="D91" i="24" l="1"/>
  <c r="C91" i="24"/>
  <c r="B73" i="5" l="1"/>
  <c r="B67" i="5"/>
  <c r="B61" i="5"/>
  <c r="B41" i="5"/>
  <c r="C4" i="5"/>
  <c r="C70" i="5" l="1"/>
  <c r="C104" i="5"/>
  <c r="C103" i="5"/>
  <c r="C102" i="5"/>
  <c r="D4" i="5"/>
  <c r="C21" i="5" l="1" a="1"/>
  <c r="C21" i="5" s="1"/>
  <c r="D70" i="5"/>
  <c r="C91" i="5"/>
  <c r="C65" i="5" a="1"/>
  <c r="C65" i="5" s="1"/>
  <c r="C64" i="5" a="1"/>
  <c r="C64" i="5" s="1"/>
  <c r="C86" i="5" s="1"/>
  <c r="C58" i="5" a="1"/>
  <c r="C58" i="5" s="1"/>
  <c r="C59" i="5" a="1"/>
  <c r="C59" i="5" s="1"/>
  <c r="C56" i="5" a="1"/>
  <c r="C56" i="5" s="1"/>
  <c r="C57" i="5" a="1"/>
  <c r="C57" i="5" s="1"/>
  <c r="C50" i="5" a="1"/>
  <c r="C50" i="5" s="1"/>
  <c r="C55" i="5" a="1"/>
  <c r="C55" i="5" s="1"/>
  <c r="C48" i="5" a="1"/>
  <c r="C48" i="5" s="1"/>
  <c r="C49" i="5" a="1"/>
  <c r="C49" i="5" s="1"/>
  <c r="C46" i="5" a="1"/>
  <c r="C46" i="5" s="1"/>
  <c r="C47" i="5" a="1"/>
  <c r="C47" i="5" s="1"/>
  <c r="C29" i="5" a="1"/>
  <c r="C29" i="5" s="1"/>
  <c r="C20" i="5" a="1"/>
  <c r="C20" i="5" s="1"/>
  <c r="C19" i="5" a="1"/>
  <c r="C19" i="5" s="1"/>
  <c r="C37" i="5" a="1"/>
  <c r="C37" i="5" s="1"/>
  <c r="C36" i="5" a="1"/>
  <c r="C36" i="5" s="1"/>
  <c r="C38" i="5" a="1"/>
  <c r="C38" i="5" s="1"/>
  <c r="C39" i="5" a="1"/>
  <c r="C39" i="5" s="1"/>
  <c r="C71" i="5"/>
  <c r="C92" i="5" s="1"/>
  <c r="D104" i="5"/>
  <c r="D103" i="5"/>
  <c r="D102" i="5"/>
  <c r="D20" i="5" s="1" a="1"/>
  <c r="D20" i="5" s="1"/>
  <c r="E4" i="5"/>
  <c r="C78" i="5" l="1"/>
  <c r="E70" i="5"/>
  <c r="D64" i="5" a="1"/>
  <c r="D64" i="5" s="1"/>
  <c r="D86" i="5" s="1"/>
  <c r="D65" i="5" a="1"/>
  <c r="D65" i="5" s="1"/>
  <c r="D58" i="5" a="1"/>
  <c r="D58" i="5" s="1"/>
  <c r="D59" i="5" a="1"/>
  <c r="D59" i="5" s="1"/>
  <c r="D56" i="5" a="1"/>
  <c r="D56" i="5" s="1"/>
  <c r="D57" i="5" a="1"/>
  <c r="D57" i="5" s="1"/>
  <c r="D50" i="5" a="1"/>
  <c r="D50" i="5" s="1"/>
  <c r="D55" i="5" a="1"/>
  <c r="D55" i="5" s="1"/>
  <c r="D48" i="5" a="1"/>
  <c r="D48" i="5" s="1"/>
  <c r="D49" i="5" a="1"/>
  <c r="D49" i="5" s="1"/>
  <c r="D46" i="5" a="1"/>
  <c r="D46" i="5" s="1"/>
  <c r="D47" i="5" a="1"/>
  <c r="D47" i="5" s="1"/>
  <c r="D36" i="5" a="1"/>
  <c r="D36" i="5" s="1"/>
  <c r="D38" i="5" a="1"/>
  <c r="D38" i="5" s="1"/>
  <c r="D37" i="5" a="1"/>
  <c r="D37" i="5" s="1"/>
  <c r="D39" i="5" a="1"/>
  <c r="D39" i="5" s="1"/>
  <c r="D29" i="5" a="1"/>
  <c r="D29" i="5" s="1"/>
  <c r="D21" i="5" a="1"/>
  <c r="D21" i="5" s="1"/>
  <c r="D19" i="5" a="1"/>
  <c r="D19" i="5" s="1"/>
  <c r="D78" i="5" s="1"/>
  <c r="D91" i="5"/>
  <c r="D71" i="5"/>
  <c r="E71" i="5" s="1"/>
  <c r="C26" i="5"/>
  <c r="C28" i="5"/>
  <c r="C27" i="5"/>
  <c r="C94" i="5"/>
  <c r="C67" i="5"/>
  <c r="C41" i="5"/>
  <c r="C52" i="5"/>
  <c r="C61" i="5"/>
  <c r="E104" i="5"/>
  <c r="E103" i="5"/>
  <c r="E102" i="5"/>
  <c r="E50" i="5" s="1" a="1"/>
  <c r="E50" i="5" s="1"/>
  <c r="F4" i="5"/>
  <c r="F70" i="5" l="1"/>
  <c r="E64" i="5" a="1"/>
  <c r="E64" i="5" s="1"/>
  <c r="E86" i="5" s="1"/>
  <c r="E65" i="5" a="1"/>
  <c r="E65" i="5" s="1"/>
  <c r="E58" i="5" a="1"/>
  <c r="E58" i="5" s="1"/>
  <c r="E59" i="5" a="1"/>
  <c r="E59" i="5" s="1"/>
  <c r="E57" i="5" a="1"/>
  <c r="E57" i="5" s="1"/>
  <c r="E55" i="5" a="1"/>
  <c r="E55" i="5" s="1"/>
  <c r="E56" i="5" a="1"/>
  <c r="E56" i="5" s="1"/>
  <c r="E48" i="5" a="1"/>
  <c r="E48" i="5" s="1"/>
  <c r="E49" i="5" a="1"/>
  <c r="E49" i="5" s="1"/>
  <c r="E46" i="5" a="1"/>
  <c r="E46" i="5" s="1"/>
  <c r="E47" i="5" a="1"/>
  <c r="E47" i="5" s="1"/>
  <c r="E38" i="5" a="1"/>
  <c r="E38" i="5" s="1"/>
  <c r="E37" i="5" a="1"/>
  <c r="E37" i="5" s="1"/>
  <c r="E39" i="5" a="1"/>
  <c r="E39" i="5" s="1"/>
  <c r="E36" i="5" a="1"/>
  <c r="E36" i="5" s="1"/>
  <c r="E29" i="5" a="1"/>
  <c r="E29" i="5" s="1"/>
  <c r="E21" i="5" a="1"/>
  <c r="E21" i="5" s="1"/>
  <c r="E20" i="5" a="1"/>
  <c r="E20" i="5" s="1"/>
  <c r="E19" i="5" a="1"/>
  <c r="E19" i="5" s="1"/>
  <c r="E91" i="5"/>
  <c r="D26" i="5"/>
  <c r="D28" i="5"/>
  <c r="D27" i="5"/>
  <c r="C73" i="5"/>
  <c r="D67" i="5"/>
  <c r="D52" i="5"/>
  <c r="D61" i="5"/>
  <c r="F104" i="5"/>
  <c r="F103" i="5"/>
  <c r="F102" i="5"/>
  <c r="F48" i="5" s="1" a="1"/>
  <c r="F48" i="5" s="1"/>
  <c r="G4" i="5"/>
  <c r="E78" i="5" l="1"/>
  <c r="G70" i="5"/>
  <c r="F64" i="5" a="1"/>
  <c r="F64" i="5" s="1"/>
  <c r="F86" i="5" s="1"/>
  <c r="F65" i="5" a="1"/>
  <c r="F65" i="5" s="1"/>
  <c r="F58" i="5" a="1"/>
  <c r="F58" i="5" s="1"/>
  <c r="F59" i="5" a="1"/>
  <c r="F59" i="5" s="1"/>
  <c r="F57" i="5" a="1"/>
  <c r="F57" i="5" s="1"/>
  <c r="F55" i="5" a="1"/>
  <c r="F55" i="5" s="1"/>
  <c r="F56" i="5" a="1"/>
  <c r="F56" i="5" s="1"/>
  <c r="F49" i="5" a="1"/>
  <c r="F49" i="5" s="1"/>
  <c r="F50" i="5" a="1"/>
  <c r="F50" i="5" s="1"/>
  <c r="F46" i="5" a="1"/>
  <c r="F46" i="5" s="1"/>
  <c r="F47" i="5" a="1"/>
  <c r="F47" i="5" s="1"/>
  <c r="F36" i="5" a="1"/>
  <c r="F36" i="5" s="1"/>
  <c r="F37" i="5" a="1"/>
  <c r="F37" i="5" s="1"/>
  <c r="F39" i="5" a="1"/>
  <c r="F39" i="5" s="1"/>
  <c r="F38" i="5" a="1"/>
  <c r="F38" i="5" s="1"/>
  <c r="F29" i="5" a="1"/>
  <c r="F29" i="5" s="1"/>
  <c r="F21" i="5" a="1"/>
  <c r="F21" i="5" s="1"/>
  <c r="F20" i="5" a="1"/>
  <c r="F20" i="5" s="1"/>
  <c r="F19" i="5" a="1"/>
  <c r="F19" i="5" s="1"/>
  <c r="F91" i="5"/>
  <c r="E26" i="5"/>
  <c r="E28" i="5"/>
  <c r="E27" i="5"/>
  <c r="C75" i="5"/>
  <c r="C10" i="5" s="1"/>
  <c r="E67" i="5"/>
  <c r="E52" i="5"/>
  <c r="E61" i="5"/>
  <c r="G104" i="5"/>
  <c r="G103" i="5"/>
  <c r="G102" i="5"/>
  <c r="G46" i="5" s="1" a="1"/>
  <c r="G46" i="5" s="1"/>
  <c r="H4" i="5"/>
  <c r="F78" i="5" l="1"/>
  <c r="H70" i="5"/>
  <c r="G64" i="5" a="1"/>
  <c r="G64" i="5" s="1"/>
  <c r="G86" i="5" s="1"/>
  <c r="G65" i="5" a="1"/>
  <c r="G65" i="5" s="1"/>
  <c r="G58" i="5" a="1"/>
  <c r="G58" i="5" s="1"/>
  <c r="G59" i="5" a="1"/>
  <c r="G59" i="5" s="1"/>
  <c r="G57" i="5" a="1"/>
  <c r="G57" i="5" s="1"/>
  <c r="G55" i="5" a="1"/>
  <c r="G55" i="5" s="1"/>
  <c r="G56" i="5" a="1"/>
  <c r="G56" i="5" s="1"/>
  <c r="G49" i="5" a="1"/>
  <c r="G49" i="5" s="1"/>
  <c r="G50" i="5" a="1"/>
  <c r="G50" i="5" s="1"/>
  <c r="G48" i="5" a="1"/>
  <c r="G48" i="5" s="1"/>
  <c r="G47" i="5" a="1"/>
  <c r="G47" i="5" s="1"/>
  <c r="G36" i="5" a="1"/>
  <c r="G36" i="5" s="1"/>
  <c r="G37" i="5" a="1"/>
  <c r="G37" i="5" s="1"/>
  <c r="G39" i="5" a="1"/>
  <c r="G39" i="5" s="1"/>
  <c r="G38" i="5" a="1"/>
  <c r="G38" i="5" s="1"/>
  <c r="G29" i="5" a="1"/>
  <c r="G29" i="5" s="1"/>
  <c r="G21" i="5" a="1"/>
  <c r="G21" i="5" s="1"/>
  <c r="G20" i="5" a="1"/>
  <c r="G20" i="5" s="1"/>
  <c r="G19" i="5" a="1"/>
  <c r="G19" i="5" s="1"/>
  <c r="G91" i="5"/>
  <c r="F26" i="5"/>
  <c r="F28" i="5"/>
  <c r="F27" i="5"/>
  <c r="C12" i="52"/>
  <c r="F67" i="5"/>
  <c r="F52" i="5"/>
  <c r="F61" i="5"/>
  <c r="H104" i="5"/>
  <c r="H103" i="5"/>
  <c r="H102" i="5"/>
  <c r="H38" i="5" s="1" a="1"/>
  <c r="H38" i="5" s="1"/>
  <c r="I4" i="5"/>
  <c r="G78" i="5" l="1"/>
  <c r="I70" i="5"/>
  <c r="H64" i="5" a="1"/>
  <c r="H64" i="5" s="1"/>
  <c r="H86" i="5" s="1"/>
  <c r="H65" i="5" a="1"/>
  <c r="H65" i="5" s="1"/>
  <c r="H58" i="5" a="1"/>
  <c r="H58" i="5" s="1"/>
  <c r="H59" i="5" a="1"/>
  <c r="H59" i="5" s="1"/>
  <c r="H57" i="5" a="1"/>
  <c r="H57" i="5" s="1"/>
  <c r="H55" i="5" a="1"/>
  <c r="H55" i="5" s="1"/>
  <c r="H56" i="5" a="1"/>
  <c r="H56" i="5" s="1"/>
  <c r="H49" i="5" a="1"/>
  <c r="H49" i="5" s="1"/>
  <c r="H50" i="5" a="1"/>
  <c r="H50" i="5" s="1"/>
  <c r="H48" i="5" a="1"/>
  <c r="H48" i="5" s="1"/>
  <c r="H47" i="5" a="1"/>
  <c r="H47" i="5" s="1"/>
  <c r="H46" i="5" a="1"/>
  <c r="H46" i="5" s="1"/>
  <c r="H36" i="5" a="1"/>
  <c r="H36" i="5" s="1"/>
  <c r="H37" i="5" a="1"/>
  <c r="H37" i="5" s="1"/>
  <c r="H39" i="5" a="1"/>
  <c r="H39" i="5" s="1"/>
  <c r="H29" i="5" a="1"/>
  <c r="H29" i="5" s="1"/>
  <c r="H21" i="5" a="1"/>
  <c r="H21" i="5" s="1"/>
  <c r="H20" i="5" a="1"/>
  <c r="H20" i="5" s="1"/>
  <c r="H19" i="5" a="1"/>
  <c r="H19" i="5" s="1"/>
  <c r="H91" i="5"/>
  <c r="G27" i="5"/>
  <c r="G26" i="5"/>
  <c r="G28" i="5"/>
  <c r="C18" i="52"/>
  <c r="G67" i="5"/>
  <c r="G52" i="5"/>
  <c r="G61" i="5"/>
  <c r="I104" i="5"/>
  <c r="I103" i="5"/>
  <c r="I102" i="5"/>
  <c r="I21" i="5" s="1" a="1"/>
  <c r="I21" i="5" s="1"/>
  <c r="J4" i="5"/>
  <c r="H78" i="5" l="1"/>
  <c r="J70" i="5"/>
  <c r="I91" i="5"/>
  <c r="I64" i="5" a="1"/>
  <c r="I64" i="5" s="1"/>
  <c r="I86" i="5" s="1"/>
  <c r="I65" i="5" a="1"/>
  <c r="I65" i="5" s="1"/>
  <c r="I58" i="5" a="1"/>
  <c r="I58" i="5" s="1"/>
  <c r="I59" i="5" a="1"/>
  <c r="I59" i="5" s="1"/>
  <c r="I56" i="5" a="1"/>
  <c r="I56" i="5" s="1"/>
  <c r="I57" i="5" a="1"/>
  <c r="I57" i="5" s="1"/>
  <c r="I50" i="5" a="1"/>
  <c r="I50" i="5" s="1"/>
  <c r="I55" i="5" a="1"/>
  <c r="I55" i="5" s="1"/>
  <c r="I48" i="5" a="1"/>
  <c r="I48" i="5" s="1"/>
  <c r="I49" i="5" a="1"/>
  <c r="I49" i="5" s="1"/>
  <c r="I46" i="5" a="1"/>
  <c r="I46" i="5" s="1"/>
  <c r="I47" i="5" a="1"/>
  <c r="I47" i="5" s="1"/>
  <c r="I39" i="5" a="1"/>
  <c r="I39" i="5" s="1"/>
  <c r="I38" i="5" a="1"/>
  <c r="I38" i="5" s="1"/>
  <c r="I36" i="5" a="1"/>
  <c r="I36" i="5" s="1"/>
  <c r="I37" i="5" a="1"/>
  <c r="I37" i="5" s="1"/>
  <c r="I29" i="5" a="1"/>
  <c r="I29" i="5" s="1"/>
  <c r="I20" i="5" a="1"/>
  <c r="I20" i="5" s="1"/>
  <c r="I19" i="5" a="1"/>
  <c r="I19" i="5" s="1"/>
  <c r="H27" i="5"/>
  <c r="H26" i="5"/>
  <c r="H28" i="5"/>
  <c r="H67" i="5"/>
  <c r="H52" i="5"/>
  <c r="H61" i="5"/>
  <c r="J104" i="5"/>
  <c r="J103" i="5"/>
  <c r="J102" i="5"/>
  <c r="J29" i="5" s="1" a="1"/>
  <c r="J29" i="5" s="1"/>
  <c r="K4" i="5"/>
  <c r="I78" i="5" l="1"/>
  <c r="K70" i="5"/>
  <c r="J64" i="5" a="1"/>
  <c r="J64" i="5" s="1"/>
  <c r="J86" i="5" s="1"/>
  <c r="J65" i="5" a="1"/>
  <c r="J65" i="5" s="1"/>
  <c r="J58" i="5" a="1"/>
  <c r="J58" i="5" s="1"/>
  <c r="J59" i="5" a="1"/>
  <c r="J59" i="5" s="1"/>
  <c r="J57" i="5" a="1"/>
  <c r="J57" i="5" s="1"/>
  <c r="J55" i="5" a="1"/>
  <c r="J55" i="5" s="1"/>
  <c r="J56" i="5" a="1"/>
  <c r="J56" i="5" s="1"/>
  <c r="J50" i="5" a="1"/>
  <c r="J50" i="5" s="1"/>
  <c r="J49" i="5" a="1"/>
  <c r="J49" i="5" s="1"/>
  <c r="J48" i="5" a="1"/>
  <c r="J48" i="5" s="1"/>
  <c r="J47" i="5" a="1"/>
  <c r="J47" i="5" s="1"/>
  <c r="J46" i="5" a="1"/>
  <c r="J46" i="5" s="1"/>
  <c r="J37" i="5" a="1"/>
  <c r="J37" i="5" s="1"/>
  <c r="J38" i="5" a="1"/>
  <c r="J38" i="5" s="1"/>
  <c r="J36" i="5" a="1"/>
  <c r="J36" i="5" s="1"/>
  <c r="J39" i="5" a="1"/>
  <c r="J39" i="5" s="1"/>
  <c r="J21" i="5" a="1"/>
  <c r="J21" i="5" s="1"/>
  <c r="J20" i="5" a="1"/>
  <c r="J20" i="5" s="1"/>
  <c r="J19" i="5" a="1"/>
  <c r="J19" i="5" s="1"/>
  <c r="J91" i="5"/>
  <c r="I27" i="5"/>
  <c r="I26" i="5"/>
  <c r="I28" i="5"/>
  <c r="I67" i="5"/>
  <c r="I52" i="5"/>
  <c r="I61" i="5"/>
  <c r="K104" i="5"/>
  <c r="K103" i="5"/>
  <c r="K102" i="5"/>
  <c r="K20" i="5" s="1" a="1"/>
  <c r="K20" i="5" s="1"/>
  <c r="L4" i="5"/>
  <c r="J78" i="5" l="1"/>
  <c r="L70" i="5"/>
  <c r="K64" i="5" a="1"/>
  <c r="K64" i="5" s="1"/>
  <c r="K86" i="5" s="1"/>
  <c r="K65" i="5" a="1"/>
  <c r="K65" i="5" s="1"/>
  <c r="K58" i="5" a="1"/>
  <c r="K58" i="5" s="1"/>
  <c r="K59" i="5" a="1"/>
  <c r="K59" i="5" s="1"/>
  <c r="K57" i="5" a="1"/>
  <c r="K57" i="5" s="1"/>
  <c r="K55" i="5" a="1"/>
  <c r="K55" i="5" s="1"/>
  <c r="K56" i="5" a="1"/>
  <c r="K56" i="5" s="1"/>
  <c r="K49" i="5" a="1"/>
  <c r="K49" i="5" s="1"/>
  <c r="K50" i="5" a="1"/>
  <c r="K50" i="5" s="1"/>
  <c r="K48" i="5" a="1"/>
  <c r="K48" i="5" s="1"/>
  <c r="K46" i="5" a="1"/>
  <c r="K46" i="5" s="1"/>
  <c r="K47" i="5" a="1"/>
  <c r="K47" i="5" s="1"/>
  <c r="K36" i="5" a="1"/>
  <c r="K36" i="5" s="1"/>
  <c r="K39" i="5" a="1"/>
  <c r="K39" i="5" s="1"/>
  <c r="K37" i="5" a="1"/>
  <c r="K37" i="5" s="1"/>
  <c r="K38" i="5" a="1"/>
  <c r="K38" i="5" s="1"/>
  <c r="K29" i="5" a="1"/>
  <c r="K29" i="5" s="1"/>
  <c r="K21" i="5" a="1"/>
  <c r="K21" i="5" s="1"/>
  <c r="K19" i="5" a="1"/>
  <c r="K19" i="5" s="1"/>
  <c r="K78" i="5" s="1"/>
  <c r="K91" i="5"/>
  <c r="J27" i="5"/>
  <c r="J26" i="5"/>
  <c r="J28" i="5"/>
  <c r="J67" i="5"/>
  <c r="J52" i="5"/>
  <c r="J61" i="5"/>
  <c r="L104" i="5"/>
  <c r="L103" i="5"/>
  <c r="L102" i="5"/>
  <c r="L21" i="5" s="1" a="1"/>
  <c r="L21" i="5" s="1"/>
  <c r="M4" i="5"/>
  <c r="M70" i="5" l="1"/>
  <c r="L65" i="5" a="1"/>
  <c r="L65" i="5" s="1"/>
  <c r="L64" i="5" a="1"/>
  <c r="L64" i="5" s="1"/>
  <c r="L86" i="5" s="1"/>
  <c r="L59" i="5" a="1"/>
  <c r="L59" i="5" s="1"/>
  <c r="L58" i="5" a="1"/>
  <c r="L58" i="5" s="1"/>
  <c r="L57" i="5" a="1"/>
  <c r="L57" i="5" s="1"/>
  <c r="L55" i="5" a="1"/>
  <c r="L55" i="5" s="1"/>
  <c r="L56" i="5" a="1"/>
  <c r="L56" i="5" s="1"/>
  <c r="L50" i="5" a="1"/>
  <c r="L50" i="5" s="1"/>
  <c r="L48" i="5" a="1"/>
  <c r="L48" i="5" s="1"/>
  <c r="L49" i="5" a="1"/>
  <c r="L49" i="5" s="1"/>
  <c r="L46" i="5" a="1"/>
  <c r="L46" i="5" s="1"/>
  <c r="L47" i="5" a="1"/>
  <c r="L47" i="5" s="1"/>
  <c r="L36" i="5" a="1"/>
  <c r="L36" i="5" s="1"/>
  <c r="L38" i="5" a="1"/>
  <c r="L38" i="5" s="1"/>
  <c r="L37" i="5" a="1"/>
  <c r="L37" i="5" s="1"/>
  <c r="L39" i="5" a="1"/>
  <c r="L39" i="5" s="1"/>
  <c r="L29" i="5" a="1"/>
  <c r="L29" i="5" s="1"/>
  <c r="L20" i="5" a="1"/>
  <c r="L20" i="5" s="1"/>
  <c r="L19" i="5" a="1"/>
  <c r="L19" i="5" s="1"/>
  <c r="L91" i="5"/>
  <c r="K28" i="5"/>
  <c r="K27" i="5"/>
  <c r="K26" i="5"/>
  <c r="K67" i="5"/>
  <c r="K52" i="5"/>
  <c r="K61" i="5"/>
  <c r="M104" i="5"/>
  <c r="M103" i="5"/>
  <c r="M102" i="5"/>
  <c r="M20" i="5" s="1" a="1"/>
  <c r="M20" i="5" s="1"/>
  <c r="N4" i="5"/>
  <c r="L78" i="5" l="1"/>
  <c r="N70" i="5"/>
  <c r="M91" i="5"/>
  <c r="M64" i="5" a="1"/>
  <c r="M64" i="5" s="1"/>
  <c r="M86" i="5" s="1"/>
  <c r="M65" i="5" a="1"/>
  <c r="M65" i="5" s="1"/>
  <c r="M58" i="5" a="1"/>
  <c r="M58" i="5" s="1"/>
  <c r="M59" i="5" a="1"/>
  <c r="M59" i="5" s="1"/>
  <c r="M57" i="5" a="1"/>
  <c r="M57" i="5" s="1"/>
  <c r="M56" i="5" a="1"/>
  <c r="M56" i="5" s="1"/>
  <c r="M55" i="5" a="1"/>
  <c r="M55" i="5" s="1"/>
  <c r="M49" i="5" a="1"/>
  <c r="M49" i="5" s="1"/>
  <c r="M50" i="5" a="1"/>
  <c r="M50" i="5" s="1"/>
  <c r="M47" i="5" a="1"/>
  <c r="M47" i="5" s="1"/>
  <c r="M48" i="5" a="1"/>
  <c r="M48" i="5" s="1"/>
  <c r="M46" i="5" a="1"/>
  <c r="M46" i="5" s="1"/>
  <c r="M36" i="5" a="1"/>
  <c r="M36" i="5" s="1"/>
  <c r="M39" i="5" a="1"/>
  <c r="M39" i="5" s="1"/>
  <c r="M37" i="5" a="1"/>
  <c r="M37" i="5" s="1"/>
  <c r="M38" i="5" a="1"/>
  <c r="M38" i="5" s="1"/>
  <c r="M29" i="5" a="1"/>
  <c r="M29" i="5" s="1"/>
  <c r="M21" i="5" a="1"/>
  <c r="M21" i="5" s="1"/>
  <c r="M19" i="5" a="1"/>
  <c r="M19" i="5" s="1"/>
  <c r="M78" i="5" s="1"/>
  <c r="L28" i="5"/>
  <c r="L27" i="5"/>
  <c r="L26" i="5"/>
  <c r="L67" i="5"/>
  <c r="L52" i="5"/>
  <c r="L61" i="5"/>
  <c r="N104" i="5"/>
  <c r="N103" i="5"/>
  <c r="N102" i="5"/>
  <c r="N20" i="5" s="1" a="1"/>
  <c r="N20" i="5" s="1"/>
  <c r="N91" i="5" l="1"/>
  <c r="N64" i="5" a="1"/>
  <c r="N64" i="5" s="1"/>
  <c r="N86" i="5" s="1"/>
  <c r="D9" i="50" s="1"/>
  <c r="N65" i="5" a="1"/>
  <c r="N65" i="5" s="1"/>
  <c r="N58" i="5" a="1"/>
  <c r="N58" i="5" s="1"/>
  <c r="N59" i="5" a="1"/>
  <c r="N59" i="5" s="1"/>
  <c r="N57" i="5" a="1"/>
  <c r="N57" i="5" s="1"/>
  <c r="N55" i="5" a="1"/>
  <c r="N55" i="5" s="1"/>
  <c r="N56" i="5" a="1"/>
  <c r="N56" i="5" s="1"/>
  <c r="N50" i="5" a="1"/>
  <c r="N50" i="5" s="1"/>
  <c r="N48" i="5" a="1"/>
  <c r="N48" i="5" s="1"/>
  <c r="N49" i="5" a="1"/>
  <c r="N49" i="5" s="1"/>
  <c r="N47" i="5" a="1"/>
  <c r="N47" i="5" s="1"/>
  <c r="N46" i="5" a="1"/>
  <c r="N46" i="5" s="1"/>
  <c r="N37" i="5" a="1"/>
  <c r="N37" i="5" s="1"/>
  <c r="N39" i="5" a="1"/>
  <c r="N39" i="5" s="1"/>
  <c r="N36" i="5" a="1"/>
  <c r="N36" i="5" s="1"/>
  <c r="N38" i="5" a="1"/>
  <c r="N38" i="5" s="1"/>
  <c r="N29" i="5" a="1"/>
  <c r="N29" i="5" s="1"/>
  <c r="N21" i="5" a="1"/>
  <c r="N21" i="5" s="1"/>
  <c r="P21" i="5" s="1"/>
  <c r="N19" i="5" a="1"/>
  <c r="N19" i="5" s="1"/>
  <c r="N78" i="5" s="1"/>
  <c r="M28" i="5"/>
  <c r="M27" i="5"/>
  <c r="M26" i="5"/>
  <c r="P104" i="5"/>
  <c r="M67" i="5"/>
  <c r="M52" i="5"/>
  <c r="M61" i="5"/>
  <c r="N28" i="5" l="1"/>
  <c r="N27" i="5"/>
  <c r="N26" i="5"/>
  <c r="D14" i="50"/>
  <c r="P58" i="5"/>
  <c r="P55" i="5"/>
  <c r="P56" i="5"/>
  <c r="P59" i="5"/>
  <c r="P57" i="5"/>
  <c r="P48" i="5"/>
  <c r="P50" i="5"/>
  <c r="P52" i="5" s="1"/>
  <c r="P49" i="5"/>
  <c r="P47" i="5"/>
  <c r="P37" i="5"/>
  <c r="P39" i="5"/>
  <c r="P36" i="5"/>
  <c r="P38" i="5"/>
  <c r="N67" i="5"/>
  <c r="P70" i="5"/>
  <c r="N52" i="5"/>
  <c r="P46" i="5"/>
  <c r="N61" i="5"/>
  <c r="P61" i="5" l="1"/>
  <c r="M41" i="5"/>
  <c r="E41" i="5"/>
  <c r="F41" i="5"/>
  <c r="K41" i="5"/>
  <c r="I41" i="5"/>
  <c r="P65" i="5"/>
  <c r="H41" i="5"/>
  <c r="J41" i="5"/>
  <c r="P64" i="5"/>
  <c r="L41" i="5"/>
  <c r="N41" i="5"/>
  <c r="P19" i="5"/>
  <c r="D41" i="5"/>
  <c r="G41" i="5"/>
  <c r="P67" i="5" l="1"/>
  <c r="P41" i="5" l="1"/>
  <c r="P102" i="5" l="1"/>
  <c r="C100" i="5" l="1"/>
  <c r="E80" i="5"/>
  <c r="N80" i="5"/>
  <c r="I80" i="5"/>
  <c r="K80" i="5"/>
  <c r="C23" i="5"/>
  <c r="I100" i="5"/>
  <c r="I23" i="5"/>
  <c r="K23" i="5"/>
  <c r="K100" i="5"/>
  <c r="D23" i="5" l="1"/>
  <c r="C87" i="5"/>
  <c r="E100" i="5"/>
  <c r="E23" i="5"/>
  <c r="J23" i="5"/>
  <c r="J100" i="5"/>
  <c r="L23" i="5"/>
  <c r="L100" i="5"/>
  <c r="L80" i="5"/>
  <c r="H80" i="5"/>
  <c r="N23" i="5"/>
  <c r="H100" i="5"/>
  <c r="N100" i="5"/>
  <c r="H23" i="5"/>
  <c r="J80" i="5"/>
  <c r="G23" i="5"/>
  <c r="G100" i="5"/>
  <c r="G80" i="5"/>
  <c r="D80" i="5"/>
  <c r="D100" i="5"/>
  <c r="P20" i="5"/>
  <c r="F80" i="5"/>
  <c r="F23" i="5"/>
  <c r="F100" i="5"/>
  <c r="M80" i="5"/>
  <c r="M23" i="5"/>
  <c r="M100" i="5"/>
  <c r="C80" i="5"/>
  <c r="C31" i="5"/>
  <c r="K31" i="5"/>
  <c r="K33" i="5" s="1"/>
  <c r="K43" i="5" s="1"/>
  <c r="K9" i="5" s="1"/>
  <c r="K12" i="5" s="1"/>
  <c r="I31" i="5"/>
  <c r="I33" i="5" s="1"/>
  <c r="I43" i="5" s="1"/>
  <c r="I9" i="5" s="1"/>
  <c r="I12" i="5" s="1"/>
  <c r="L4" i="46" l="1"/>
  <c r="J31" i="5"/>
  <c r="J33" i="5" s="1"/>
  <c r="J43" i="5" s="1"/>
  <c r="J9" i="5" s="1"/>
  <c r="J12" i="5" s="1"/>
  <c r="L31" i="5"/>
  <c r="L33" i="5" s="1"/>
  <c r="L43" i="5" s="1"/>
  <c r="L9" i="5" s="1"/>
  <c r="L12" i="5" s="1"/>
  <c r="E31" i="5"/>
  <c r="E33" i="5" s="1"/>
  <c r="E43" i="5" s="1"/>
  <c r="E9" i="5" s="1"/>
  <c r="E12" i="5" s="1"/>
  <c r="H31" i="5"/>
  <c r="H33" i="5" s="1"/>
  <c r="H43" i="5" s="1"/>
  <c r="H9" i="5" s="1"/>
  <c r="H12" i="5" s="1"/>
  <c r="D87" i="5"/>
  <c r="E87" i="5" s="1"/>
  <c r="F87" i="5" s="1"/>
  <c r="G87" i="5" s="1"/>
  <c r="H87" i="5" s="1"/>
  <c r="I87" i="5" s="1"/>
  <c r="J87" i="5" s="1"/>
  <c r="K87" i="5" s="1"/>
  <c r="L87" i="5" s="1"/>
  <c r="M87" i="5" s="1"/>
  <c r="N87" i="5" s="1"/>
  <c r="D10" i="50" s="1"/>
  <c r="N31" i="5"/>
  <c r="N33" i="5" s="1"/>
  <c r="N43" i="5" s="1"/>
  <c r="N9" i="5" s="1"/>
  <c r="N12" i="5" s="1"/>
  <c r="G31" i="5"/>
  <c r="G33" i="5" s="1"/>
  <c r="G43" i="5" s="1"/>
  <c r="G9" i="5" s="1"/>
  <c r="G12" i="5" s="1"/>
  <c r="D31" i="5"/>
  <c r="D33" i="5" s="1"/>
  <c r="D43" i="5" s="1"/>
  <c r="D9" i="5" s="1"/>
  <c r="D12" i="5" s="1"/>
  <c r="P23" i="5"/>
  <c r="P28" i="5"/>
  <c r="P29" i="5"/>
  <c r="P27" i="5"/>
  <c r="M31" i="5"/>
  <c r="M33" i="5" s="1"/>
  <c r="M43" i="5" s="1"/>
  <c r="M9" i="5" s="1"/>
  <c r="M12" i="5" s="1"/>
  <c r="F31" i="5"/>
  <c r="F33" i="5" s="1"/>
  <c r="F43" i="5" s="1"/>
  <c r="F9" i="5" s="1"/>
  <c r="F12" i="5" s="1"/>
  <c r="P78" i="5"/>
  <c r="P80" i="5" s="1"/>
  <c r="P26" i="5"/>
  <c r="C33" i="5"/>
  <c r="P31" i="5" l="1"/>
  <c r="P33" i="5"/>
  <c r="P43" i="5" s="1"/>
  <c r="C43" i="5"/>
  <c r="C9" i="5" l="1"/>
  <c r="C12" i="5" s="1"/>
  <c r="P9" i="5" l="1"/>
  <c r="C11" i="5"/>
  <c r="C15" i="5" l="1"/>
  <c r="C83" i="5" s="1"/>
  <c r="L73" i="5" l="1"/>
  <c r="L75" i="5" s="1"/>
  <c r="L10" i="5" s="1"/>
  <c r="K73" i="5"/>
  <c r="K75" i="5" s="1"/>
  <c r="K10" i="5" s="1"/>
  <c r="K11" i="5" l="1"/>
  <c r="L11" i="5"/>
  <c r="M73" i="5"/>
  <c r="M75" i="5" s="1"/>
  <c r="M10" i="5" s="1"/>
  <c r="M11" i="5" l="1"/>
  <c r="J73" i="5"/>
  <c r="J75" i="5" s="1"/>
  <c r="J10" i="5" s="1"/>
  <c r="I73" i="5"/>
  <c r="I75" i="5" s="1"/>
  <c r="N73" i="5"/>
  <c r="J11" i="5" l="1"/>
  <c r="I10" i="5"/>
  <c r="N75" i="5"/>
  <c r="N10" i="5" s="1"/>
  <c r="N11" i="5" l="1"/>
  <c r="I11" i="5"/>
  <c r="E73" i="5" l="1"/>
  <c r="G73" i="5"/>
  <c r="G75" i="5" s="1"/>
  <c r="G10" i="5" s="1"/>
  <c r="G11" i="5" l="1"/>
  <c r="E75" i="5"/>
  <c r="F73" i="5"/>
  <c r="F75" i="5" s="1"/>
  <c r="F10" i="5" s="1"/>
  <c r="F11" i="5" l="1"/>
  <c r="E10" i="5"/>
  <c r="E11" i="5" l="1"/>
  <c r="D92" i="5"/>
  <c r="D73" i="5"/>
  <c r="E92" i="5" l="1"/>
  <c r="D94" i="5"/>
  <c r="D75" i="5"/>
  <c r="F92" i="5" l="1"/>
  <c r="E94" i="5"/>
  <c r="D10" i="5"/>
  <c r="C13" i="52" l="1"/>
  <c r="G92" i="5"/>
  <c r="F94" i="5"/>
  <c r="D11" i="5"/>
  <c r="C19" i="52" l="1"/>
  <c r="C20" i="52" s="1"/>
  <c r="G94" i="5"/>
  <c r="D15" i="5"/>
  <c r="E15" i="5" l="1"/>
  <c r="D83" i="5"/>
  <c r="F15" i="5" l="1"/>
  <c r="E83" i="5"/>
  <c r="G15" i="5" l="1"/>
  <c r="F83" i="5"/>
  <c r="G83" i="5" l="1"/>
  <c r="H92" i="5"/>
  <c r="I92" i="5" s="1"/>
  <c r="J92" i="5" l="1"/>
  <c r="K92" i="5" s="1"/>
  <c r="I94" i="5"/>
  <c r="P71" i="5"/>
  <c r="H73" i="5"/>
  <c r="P73" i="5" l="1"/>
  <c r="P75" i="5" s="1"/>
  <c r="P12" i="5"/>
  <c r="L92" i="5"/>
  <c r="M92" i="5" s="1"/>
  <c r="K94" i="5"/>
  <c r="H94" i="5"/>
  <c r="H75" i="5"/>
  <c r="N92" i="5" l="1"/>
  <c r="D15" i="50" s="1"/>
  <c r="M94" i="5"/>
  <c r="J94" i="5"/>
  <c r="H10" i="5"/>
  <c r="C14" i="52" l="1"/>
  <c r="C21" i="52" s="1"/>
  <c r="L94" i="5"/>
  <c r="H11" i="5"/>
  <c r="P10" i="5"/>
  <c r="C15" i="52" l="1"/>
  <c r="N94" i="5"/>
  <c r="D17" i="50" s="1"/>
  <c r="H15" i="5"/>
  <c r="P11" i="5"/>
  <c r="I15" i="5" l="1"/>
  <c r="H83" i="5"/>
  <c r="I83" i="5" l="1"/>
  <c r="J15" i="5"/>
  <c r="K15" i="5" l="1"/>
  <c r="J83" i="5"/>
  <c r="K83" i="5" l="1"/>
  <c r="L15" i="5"/>
  <c r="L83" i="5" l="1"/>
  <c r="M15" i="5"/>
  <c r="N15" i="5" l="1"/>
  <c r="M83" i="5"/>
  <c r="N83" i="5" l="1"/>
  <c r="P15" i="5"/>
  <c r="H4" i="46" s="1"/>
  <c r="D6" i="50" l="1"/>
  <c r="I4" i="46"/>
  <c r="M89" i="5"/>
  <c r="M96" i="5" s="1"/>
  <c r="M16" i="5" s="1"/>
  <c r="L89" i="5"/>
  <c r="L96" i="5" s="1"/>
  <c r="L16" i="5" s="1"/>
  <c r="K89" i="5"/>
  <c r="K96" i="5" s="1"/>
  <c r="K16" i="5" s="1"/>
  <c r="J89" i="5"/>
  <c r="J96" i="5" s="1"/>
  <c r="J16" i="5" s="1"/>
  <c r="I89" i="5"/>
  <c r="I96" i="5" s="1"/>
  <c r="I16" i="5" s="1"/>
  <c r="H89" i="5"/>
  <c r="H96" i="5" s="1"/>
  <c r="H16" i="5" s="1"/>
  <c r="G89" i="5"/>
  <c r="G96" i="5" s="1"/>
  <c r="G16" i="5" s="1"/>
  <c r="F89" i="5"/>
  <c r="F96" i="5" s="1"/>
  <c r="F16" i="5" s="1"/>
  <c r="E89" i="5"/>
  <c r="E96" i="5" s="1"/>
  <c r="E16" i="5" s="1"/>
  <c r="D89" i="5"/>
  <c r="D96" i="5" s="1"/>
  <c r="D16" i="5" s="1"/>
  <c r="C89" i="5"/>
  <c r="C96" i="5" s="1"/>
  <c r="C16" i="5" s="1"/>
  <c r="N89" i="5"/>
  <c r="J4" i="46" s="1"/>
  <c r="N96" i="5" l="1"/>
  <c r="D12" i="50"/>
  <c r="D19" i="50" l="1"/>
  <c r="N16" i="5"/>
  <c r="P16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<sst xmlns="http://schemas.openxmlformats.org/spreadsheetml/2006/main" count="873" uniqueCount="328">
  <si>
    <t>Rent</t>
  </si>
  <si>
    <t>Annually</t>
  </si>
  <si>
    <t>Monthly</t>
  </si>
  <si>
    <t>IRA Contribution</t>
  </si>
  <si>
    <t>Groceries</t>
  </si>
  <si>
    <t>Food &amp; Drinks</t>
  </si>
  <si>
    <t>Haircuts</t>
  </si>
  <si>
    <t>Dues &amp; Memberships</t>
  </si>
  <si>
    <t>Account</t>
  </si>
  <si>
    <t>Balance</t>
  </si>
  <si>
    <t>Statement</t>
  </si>
  <si>
    <t>Loans</t>
  </si>
  <si>
    <t>Cash</t>
  </si>
  <si>
    <t>401k</t>
  </si>
  <si>
    <t>Amount</t>
  </si>
  <si>
    <t>Salary</t>
  </si>
  <si>
    <t>Bonus</t>
  </si>
  <si>
    <t>Friend Fees</t>
  </si>
  <si>
    <t>Selling &amp; Refunds</t>
  </si>
  <si>
    <t>Brokerage Cashout</t>
  </si>
  <si>
    <t>Wishlist</t>
  </si>
  <si>
    <t>Medication</t>
  </si>
  <si>
    <t>INVESTMENTS</t>
  </si>
  <si>
    <t>DEBT PAYMENTS</t>
  </si>
  <si>
    <t>Recurrance</t>
  </si>
  <si>
    <t>Travel Rewards</t>
  </si>
  <si>
    <t>Avg. Value (¢)</t>
  </si>
  <si>
    <t>Marriott Bonvoy</t>
  </si>
  <si>
    <t>Delta</t>
  </si>
  <si>
    <t>United</t>
  </si>
  <si>
    <t>American</t>
  </si>
  <si>
    <t>Capital One</t>
  </si>
  <si>
    <t>Ultimate Rewards</t>
  </si>
  <si>
    <t>Tap Air Portugal</t>
  </si>
  <si>
    <t>British Airways</t>
  </si>
  <si>
    <t>Hilton</t>
  </si>
  <si>
    <t>Hyatt</t>
  </si>
  <si>
    <t>Avios</t>
  </si>
  <si>
    <t>Investments</t>
  </si>
  <si>
    <t>Venmo</t>
  </si>
  <si>
    <t>Cash Remption Value (¢)</t>
  </si>
  <si>
    <t>Wells Fargo Rewards</t>
  </si>
  <si>
    <t>Credit Cards</t>
  </si>
  <si>
    <t>401k Match</t>
  </si>
  <si>
    <t>Medicare</t>
  </si>
  <si>
    <t>Social Security</t>
  </si>
  <si>
    <t>Gross Earnings</t>
  </si>
  <si>
    <t>Transportation</t>
  </si>
  <si>
    <t>Line Item</t>
  </si>
  <si>
    <t>Effective Date</t>
  </si>
  <si>
    <t>Taxes</t>
  </si>
  <si>
    <t>EARNINGS</t>
  </si>
  <si>
    <t>OTHER INFLOWS</t>
  </si>
  <si>
    <t>Total INFLOWS</t>
  </si>
  <si>
    <t>Net from Gross Earnings</t>
  </si>
  <si>
    <t>Total EARNINGS INFLOWS</t>
  </si>
  <si>
    <t>Other Earnings</t>
  </si>
  <si>
    <t>Other Inflows</t>
  </si>
  <si>
    <t>Next Twelve Months (NTM)</t>
  </si>
  <si>
    <t>Retirement</t>
  </si>
  <si>
    <t>Brokerage</t>
  </si>
  <si>
    <t>Housing</t>
  </si>
  <si>
    <t>FLEXIBLE OUTFLOWS</t>
  </si>
  <si>
    <t>Health</t>
  </si>
  <si>
    <t>Travel &amp; Events</t>
  </si>
  <si>
    <t>Total OUTFLOWS</t>
  </si>
  <si>
    <t>Total FIXED OUTFLOWS</t>
  </si>
  <si>
    <t>Due Day</t>
  </si>
  <si>
    <t>Next Due Date</t>
  </si>
  <si>
    <t>SUMMARY</t>
  </si>
  <si>
    <t>Inflows</t>
  </si>
  <si>
    <t>Outflows</t>
  </si>
  <si>
    <t>NET WORTH</t>
  </si>
  <si>
    <t>x</t>
  </si>
  <si>
    <t>ENDING BALANCES</t>
  </si>
  <si>
    <t>Category</t>
  </si>
  <si>
    <t>Item</t>
  </si>
  <si>
    <t>Amt</t>
  </si>
  <si>
    <t>Recurrence</t>
  </si>
  <si>
    <t>Move to/(from) Master</t>
  </si>
  <si>
    <t>Master balance</t>
  </si>
  <si>
    <t>Inflation</t>
  </si>
  <si>
    <t>Current Month Due Date</t>
  </si>
  <si>
    <t>Percentage</t>
  </si>
  <si>
    <t>State</t>
  </si>
  <si>
    <t>Federal</t>
  </si>
  <si>
    <t>Electricity</t>
  </si>
  <si>
    <t>Gas / Oil</t>
  </si>
  <si>
    <t>Water / Sewer</t>
  </si>
  <si>
    <t>Trash</t>
  </si>
  <si>
    <t>Cable / Satelite</t>
  </si>
  <si>
    <t>Internet</t>
  </si>
  <si>
    <t>Auto Fuel</t>
  </si>
  <si>
    <t>Parking / Tolls</t>
  </si>
  <si>
    <t>Public Transporation</t>
  </si>
  <si>
    <t>Dry Cleaning</t>
  </si>
  <si>
    <t>Laundry</t>
  </si>
  <si>
    <t>Groceries / Food</t>
  </si>
  <si>
    <t>Home Supplies</t>
  </si>
  <si>
    <t>Outside Childcare (daycare, etc.)</t>
  </si>
  <si>
    <t>Healthcare / Insurance</t>
  </si>
  <si>
    <t>Dental Care / Insurance</t>
  </si>
  <si>
    <t>Vision Care / Insurance</t>
  </si>
  <si>
    <t>Life Insurance</t>
  </si>
  <si>
    <t>Medicine / Prescriptions</t>
  </si>
  <si>
    <t>Veterinarian</t>
  </si>
  <si>
    <t>Auto Insurance</t>
  </si>
  <si>
    <t>Auto Registration / License</t>
  </si>
  <si>
    <t>Home / Rental Insurance</t>
  </si>
  <si>
    <t>Home Owners' Assoc. Fees</t>
  </si>
  <si>
    <t>Property Taxes</t>
  </si>
  <si>
    <t>School Taxes</t>
  </si>
  <si>
    <t>REQUIRED OUTFLOWS</t>
  </si>
  <si>
    <t>Required</t>
  </si>
  <si>
    <t>Outflow</t>
  </si>
  <si>
    <t>Dining Out</t>
  </si>
  <si>
    <t>Concerts / Plays</t>
  </si>
  <si>
    <t>Sports</t>
  </si>
  <si>
    <t>Gym Membership</t>
  </si>
  <si>
    <t>Home Improvement</t>
  </si>
  <si>
    <t>Home Security</t>
  </si>
  <si>
    <t>Lawn / Garden</t>
  </si>
  <si>
    <t>Pet Boarding</t>
  </si>
  <si>
    <t>Beer / Alcohol</t>
  </si>
  <si>
    <t>Travel / Vacation</t>
  </si>
  <si>
    <t>Flexible</t>
  </si>
  <si>
    <t>Brokerage Deposites</t>
  </si>
  <si>
    <t>401K Deposites</t>
  </si>
  <si>
    <t>IRA Deposite</t>
  </si>
  <si>
    <t>Pension</t>
  </si>
  <si>
    <t>Severance</t>
  </si>
  <si>
    <t>Other</t>
  </si>
  <si>
    <t>Inflow</t>
  </si>
  <si>
    <t>Earnings</t>
  </si>
  <si>
    <t>Monthly Payment</t>
  </si>
  <si>
    <t>Pretax 401k Contribution</t>
  </si>
  <si>
    <t>Paydays</t>
  </si>
  <si>
    <t>Less</t>
  </si>
  <si>
    <t>NON CASH</t>
  </si>
  <si>
    <t>Retirement Deductions</t>
  </si>
  <si>
    <t>Brokerage Deductions</t>
  </si>
  <si>
    <t>Brokerage Contributions</t>
  </si>
  <si>
    <t>Retirement Contributions</t>
  </si>
  <si>
    <t>Employer Retirement Contributions</t>
  </si>
  <si>
    <t>Note</t>
  </si>
  <si>
    <t>Salary bump</t>
  </si>
  <si>
    <t>Rent bump</t>
  </si>
  <si>
    <t>Weekdays left</t>
  </si>
  <si>
    <t>NTM all-in pay helper</t>
  </si>
  <si>
    <t>Paydays left</t>
  </si>
  <si>
    <t>Days left</t>
  </si>
  <si>
    <t>Long term securities yield</t>
  </si>
  <si>
    <t>Short term securities yield</t>
  </si>
  <si>
    <t>Balances</t>
  </si>
  <si>
    <t>Recurring</t>
  </si>
  <si>
    <t>Planned</t>
  </si>
  <si>
    <t>Other Deductions</t>
  </si>
  <si>
    <t>FORMULA</t>
  </si>
  <si>
    <t>=</t>
  </si>
  <si>
    <t>Cash flows</t>
  </si>
  <si>
    <t>Net CASH FLOW</t>
  </si>
  <si>
    <t>ASSETS</t>
  </si>
  <si>
    <t>LIABILITIES</t>
  </si>
  <si>
    <t>Physical cash</t>
  </si>
  <si>
    <t>Master cash account</t>
  </si>
  <si>
    <t>Other savings balance</t>
  </si>
  <si>
    <t>System</t>
  </si>
  <si>
    <t>Upside Value</t>
  </si>
  <si>
    <t>Cash Value</t>
  </si>
  <si>
    <t>STATIC INPUT</t>
  </si>
  <si>
    <t>FREQUENT INPUT</t>
  </si>
  <si>
    <t>Student</t>
  </si>
  <si>
    <t>Airline</t>
  </si>
  <si>
    <t>Master</t>
  </si>
  <si>
    <t>All other banking/cash accounts that you don't have spend out of (typically higher interest rates)</t>
  </si>
  <si>
    <t>Savings</t>
  </si>
  <si>
    <t>Investment accounts that don't have pre-retirement withdrawl penalties (more liquid but don't really want to sell if you don’t have to)</t>
  </si>
  <si>
    <t>Investment accounts that have pre-retirement withdrawl penalties (long term lock-ups)</t>
  </si>
  <si>
    <t>Next tweleve (i.e. NTM = next tweleve months)</t>
  </si>
  <si>
    <t>NT</t>
  </si>
  <si>
    <t>Blue text</t>
  </si>
  <si>
    <t>Inputs in a column with other formulas (i.e. overwriting formulas)</t>
  </si>
  <si>
    <t>Move to/(from) same-bank savings</t>
  </si>
  <si>
    <t>Number of month's outflows per account</t>
  </si>
  <si>
    <t>Master bank</t>
  </si>
  <si>
    <t>Move to/(from) best yield savings</t>
  </si>
  <si>
    <t>Institution</t>
  </si>
  <si>
    <t>Roth IRA</t>
  </si>
  <si>
    <t>N/A</t>
  </si>
  <si>
    <t>Same-bank balance (excludes Master)</t>
  </si>
  <si>
    <t>Flow of funds actions</t>
  </si>
  <si>
    <t>Minimum total cash account balance</t>
  </si>
  <si>
    <t>+additional in Master bank</t>
  </si>
  <si>
    <t>+additional in Savings</t>
  </si>
  <si>
    <t>Total outflow preparedness</t>
  </si>
  <si>
    <t>Master bank accounts</t>
  </si>
  <si>
    <t>All savings</t>
  </si>
  <si>
    <t>Current total cash account balance</t>
  </si>
  <si>
    <t>Next Payment</t>
  </si>
  <si>
    <t>Helpers</t>
  </si>
  <si>
    <t>PNC</t>
  </si>
  <si>
    <t>Apple</t>
  </si>
  <si>
    <t>Starbucks</t>
  </si>
  <si>
    <t>Schwab</t>
  </si>
  <si>
    <t>Brokerage account</t>
  </si>
  <si>
    <t>Employer</t>
  </si>
  <si>
    <t>HSA</t>
  </si>
  <si>
    <t>Robinhood</t>
  </si>
  <si>
    <t>Fidelilty</t>
  </si>
  <si>
    <t>ESPP</t>
  </si>
  <si>
    <t>Chase Sapphire Reserve</t>
  </si>
  <si>
    <t>Capital One Quicksilver</t>
  </si>
  <si>
    <t>Aggregated</t>
  </si>
  <si>
    <t>Hotel</t>
  </si>
  <si>
    <t>Barstool Sportsbook</t>
  </si>
  <si>
    <t>0% financing</t>
  </si>
  <si>
    <t>Amazon Prime</t>
  </si>
  <si>
    <t>Renters insurance</t>
  </si>
  <si>
    <t>Netflix</t>
  </si>
  <si>
    <t>Spotify</t>
  </si>
  <si>
    <t>iCloud</t>
  </si>
  <si>
    <t>Utilities package</t>
  </si>
  <si>
    <t>Phone Plan</t>
  </si>
  <si>
    <t>Internet (RCN)</t>
  </si>
  <si>
    <t>Dental</t>
  </si>
  <si>
    <t>Health Savings Contribution</t>
  </si>
  <si>
    <t>Medical</t>
  </si>
  <si>
    <t>State Tax</t>
  </si>
  <si>
    <t>Vision</t>
  </si>
  <si>
    <t>Roth</t>
  </si>
  <si>
    <t>Reference ID</t>
  </si>
  <si>
    <t>Account Reference ID</t>
  </si>
  <si>
    <t>Yellow text</t>
  </si>
  <si>
    <t>Formula in a column with inputs (i.e. custom input)</t>
  </si>
  <si>
    <t>Leo payment</t>
  </si>
  <si>
    <t>Date</t>
  </si>
  <si>
    <t>Daily</t>
  </si>
  <si>
    <t>Meds</t>
  </si>
  <si>
    <t>Weekly</t>
  </si>
  <si>
    <t>Liquid</t>
  </si>
  <si>
    <t>Illiquid</t>
  </si>
  <si>
    <t>Liquid savings</t>
  </si>
  <si>
    <t>Liquid brokerage</t>
  </si>
  <si>
    <t>Account minimums</t>
  </si>
  <si>
    <t>Same-bank savings balance</t>
  </si>
  <si>
    <t>Brokerage_Liquid_Fidelilty_Brokerage account</t>
  </si>
  <si>
    <t>CURRENT</t>
  </si>
  <si>
    <t>Total Securities</t>
  </si>
  <si>
    <t>Cash + Securities</t>
  </si>
  <si>
    <t>Net Worth</t>
  </si>
  <si>
    <t>NTM End Cash</t>
  </si>
  <si>
    <t>Next Month End Cash</t>
  </si>
  <si>
    <t>NTM End Cash + Securities</t>
  </si>
  <si>
    <t>NTM All-In Gross</t>
  </si>
  <si>
    <t>Total OTHER INFLOWS</t>
  </si>
  <si>
    <t>Total FLEXIBLE OUTFLOWS</t>
  </si>
  <si>
    <t>Total INVESTMENTS</t>
  </si>
  <si>
    <t>Total DEBT PAYMENTS</t>
  </si>
  <si>
    <t>Total NON CASH</t>
  </si>
  <si>
    <t>Current</t>
  </si>
  <si>
    <t>NTM</t>
  </si>
  <si>
    <t>TOTAL</t>
  </si>
  <si>
    <t>Current Cash Flows</t>
  </si>
  <si>
    <t>Account rebalancing</t>
  </si>
  <si>
    <t>Checking acccount that all outflow/spending will flow out of</t>
  </si>
  <si>
    <t>Manual inputs each time you open up the budget (mainly balances)</t>
  </si>
  <si>
    <t>Manual inputs that are input once and/or re-input infrequently (like the list of accounts you have)</t>
  </si>
  <si>
    <t>Automatic calculations. Ensure that the formula reaches down to the bottom of each list</t>
  </si>
  <si>
    <t>SUMMARY tabs</t>
  </si>
  <si>
    <t>Where you will add inputs</t>
  </si>
  <si>
    <t>WORKING tabs</t>
  </si>
  <si>
    <t>AD HOC tabs</t>
  </si>
  <si>
    <t>HELPER tabs</t>
  </si>
  <si>
    <t>Inform calculations in other tabs</t>
  </si>
  <si>
    <t>Flexible to create your own tabs for calculations or tracking. There may be cases where you feed the result into a WORKING TAB</t>
  </si>
  <si>
    <t>Terms</t>
  </si>
  <si>
    <t>Color coding</t>
  </si>
  <si>
    <t>Tabs</t>
  </si>
  <si>
    <t>Rewards Upside Value</t>
  </si>
  <si>
    <t>Projected loan balances doesn’t account for interest accurals</t>
  </si>
  <si>
    <t>06-11</t>
  </si>
  <si>
    <t>FUTURE CASH FLOW CHANGES</t>
  </si>
  <si>
    <t>Asset</t>
  </si>
  <si>
    <t>Real Asset</t>
  </si>
  <si>
    <t>Car</t>
  </si>
  <si>
    <t>House</t>
  </si>
  <si>
    <t>Lock-Up</t>
  </si>
  <si>
    <t>Phone</t>
  </si>
  <si>
    <t>Auto Maintenance</t>
  </si>
  <si>
    <t>Home Maintenance</t>
  </si>
  <si>
    <t>Car Maintenance</t>
  </si>
  <si>
    <t>Clothes</t>
  </si>
  <si>
    <t>Salary/Wages</t>
  </si>
  <si>
    <t>Current Due Date</t>
  </si>
  <si>
    <t>Dependant</t>
  </si>
  <si>
    <t>Dependant On</t>
  </si>
  <si>
    <t>Spend</t>
  </si>
  <si>
    <t>Reserve</t>
  </si>
  <si>
    <t>Growth</t>
  </si>
  <si>
    <t>Job</t>
  </si>
  <si>
    <t>Trip</t>
  </si>
  <si>
    <t>Sell stock</t>
  </si>
  <si>
    <t>Payday date</t>
  </si>
  <si>
    <t>Need to designate one checking account as Master - have all deposit/cash spending flow out of that account</t>
  </si>
  <si>
    <t>Bike</t>
  </si>
  <si>
    <t>Gas</t>
  </si>
  <si>
    <t>Into Fidelity account</t>
  </si>
  <si>
    <t>Dec Bike</t>
  </si>
  <si>
    <t>Require no inputs. These are output tabs that auto populate as changes are made in WORKING tabs</t>
  </si>
  <si>
    <t>Important Rules</t>
  </si>
  <si>
    <t>Don’t forget accounts like Venmo, Apple Cash, Starbucks, physical cash or sportsbooks</t>
  </si>
  <si>
    <t>Remaining Balance</t>
  </si>
  <si>
    <t>Move to/(from) Master bank</t>
  </si>
  <si>
    <t>Net Change (+/-)</t>
  </si>
  <si>
    <t>Dog sitting</t>
  </si>
  <si>
    <t>Lunch</t>
  </si>
  <si>
    <t>Amazon return</t>
  </si>
  <si>
    <t>Insurance payout</t>
  </si>
  <si>
    <t>Apr Bonus</t>
  </si>
  <si>
    <t>Mar Insurance payout</t>
  </si>
  <si>
    <t>Jan Lunch</t>
  </si>
  <si>
    <t>Feb Amazon return</t>
  </si>
  <si>
    <t>Dec Sell stock</t>
  </si>
  <si>
    <t>Dec Trip</t>
  </si>
  <si>
    <t>Excl. Financing/Investing Activities</t>
  </si>
  <si>
    <t>Friend Payment</t>
  </si>
  <si>
    <t>Friend Receivable</t>
  </si>
  <si>
    <t>Outflow safety helper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</si>
</sst>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#,##0_);\(#,##0\)"/>
    <numFmt numFmtId="165" formatCode="_(#,##0.00_);\(#,##0.00\)"/>
    <numFmt numFmtId="166" formatCode="mmm"/>
    <numFmt numFmtId="167" formatCode="_(* #,##0_);_(* \(#,##0\);_(* &quot;-&quot;??_);_(@_)"/>
    <numFmt numFmtId="168" formatCode="_(#,##0.00_)%;\(#,##0.00\)%"/>
    <numFmt numFmtId="169" formatCode="_(#,##0_)%;\(#,##0\)%"/>
    <numFmt numFmtId="170" formatCode="_(#,##0_);\(#,##0\);_(* &quot;–&quot;_);_(@_)"/>
    <numFmt numFmtId="171" formatCode="_(#,##0_);\(#,##0\);_(* &quot;– &quot;_);_(@_)"/>
  </numFmts>
  <fonts count="43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indexed="8"/>
      <name val="Arial"/>
      <family val="2"/>
      <scheme val="major"/>
    </font>
    <font>
      <b/>
      <sz val="10"/>
      <name val="Arial"/>
      <family val="2"/>
      <scheme val="major"/>
    </font>
    <font>
      <sz val="10"/>
      <color indexed="8"/>
      <name val="Arial"/>
      <family val="2"/>
      <scheme val="major"/>
    </font>
    <font>
      <sz val="10"/>
      <name val="Arial"/>
      <family val="2"/>
      <scheme val="major"/>
    </font>
    <font>
      <i/>
      <sz val="10"/>
      <name val="Arial"/>
      <family val="2"/>
      <scheme val="major"/>
    </font>
    <font>
      <i/>
      <sz val="10"/>
      <color indexed="8"/>
      <name val="Arial"/>
      <family val="2"/>
      <scheme val="major"/>
    </font>
    <font>
      <b/>
      <sz val="10"/>
      <color theme="0"/>
      <name val="Arial"/>
      <family val="2"/>
      <scheme val="major"/>
    </font>
    <font>
      <sz val="10"/>
      <color theme="0"/>
      <name val="Arial"/>
      <family val="2"/>
      <scheme val="major"/>
    </font>
    <font>
      <b/>
      <sz val="10"/>
      <color rgb="FF333333"/>
      <name val="Arial"/>
      <family val="2"/>
      <scheme val="major"/>
    </font>
    <font>
      <u/>
      <sz val="10"/>
      <color theme="10"/>
      <name val="Arial"/>
      <family val="2"/>
      <scheme val="major"/>
    </font>
    <font>
      <i/>
      <sz val="10"/>
      <color theme="0" tint="-0.499984740745262"/>
      <name val="Arial"/>
      <family val="2"/>
      <scheme val="major"/>
    </font>
    <font>
      <sz val="10"/>
      <color rgb="FF0000FF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u val="singleAccounting"/>
      <sz val="10"/>
      <color rgb="FF000000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u val="singleAccounting"/>
      <sz val="10"/>
      <name val="Arial"/>
      <family val="2"/>
      <scheme val="minor"/>
    </font>
    <font>
      <sz val="10"/>
      <color rgb="FFFF0000"/>
      <name val="Arial"/>
      <family val="2"/>
      <scheme val="minor"/>
    </font>
    <font>
      <b/>
      <u val="singleAccounting"/>
      <sz val="10"/>
      <color theme="1"/>
      <name val="Arial"/>
      <family val="2"/>
    </font>
    <font>
      <b/>
      <sz val="10"/>
      <color theme="0"/>
      <name val="Arial"/>
      <family val="2"/>
      <scheme val="minor"/>
    </font>
    <font>
      <i/>
      <sz val="10"/>
      <color rgb="FFFF0000"/>
      <name val="Arial"/>
      <family val="2"/>
      <scheme val="major"/>
    </font>
    <font>
      <i/>
      <sz val="10"/>
      <color theme="0"/>
      <name val="Arial"/>
      <family val="2"/>
      <scheme val="major"/>
    </font>
    <font>
      <i/>
      <sz val="8"/>
      <name val="Arial"/>
      <family val="2"/>
      <scheme val="minor"/>
    </font>
    <font>
      <b/>
      <i/>
      <u val="singleAccounting"/>
      <sz val="8"/>
      <name val="Arial"/>
      <family val="2"/>
      <scheme val="minor"/>
    </font>
    <font>
      <sz val="10"/>
      <color rgb="FF0000FF"/>
      <name val="Arial"/>
      <family val="2"/>
      <scheme val="minor"/>
    </font>
    <font>
      <i/>
      <u/>
      <sz val="10"/>
      <name val="Arial"/>
      <family val="2"/>
      <scheme val="major"/>
    </font>
    <font>
      <i/>
      <u/>
      <sz val="10"/>
      <color indexed="8"/>
      <name val="Arial"/>
      <family val="2"/>
      <scheme val="major"/>
    </font>
    <font>
      <i/>
      <u/>
      <sz val="10"/>
      <color rgb="FF000000"/>
      <name val="Arial"/>
      <family val="2"/>
      <scheme val="minor"/>
    </font>
    <font>
      <sz val="10"/>
      <color indexed="8"/>
      <name val="Arial"/>
      <family val="2"/>
    </font>
    <font>
      <b/>
      <u val="singleAccounting"/>
      <sz val="10"/>
      <color indexed="8"/>
      <name val="Arial"/>
      <family val="2"/>
      <scheme val="major"/>
    </font>
    <font>
      <sz val="10"/>
      <color theme="7" tint="-0.249977111117893"/>
      <name val="Arial"/>
      <family val="2"/>
      <scheme val="minor"/>
    </font>
    <font>
      <sz val="10"/>
      <color rgb="FF000000"/>
      <name val="Arial"/>
      <family val="2"/>
    </font>
    <font>
      <b/>
      <u/>
      <sz val="10"/>
      <color indexed="8"/>
      <name val="Arial"/>
      <family val="2"/>
      <scheme val="major"/>
    </font>
    <font>
      <b/>
      <u/>
      <sz val="10"/>
      <color rgb="FF000000"/>
      <name val="Arial"/>
      <family val="2"/>
      <scheme val="minor"/>
    </font>
    <font>
      <u/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</borders>
  <cellStyleXfs count="6">
    <xf numFmtId="0" fontId="0" fillId="0" borderId="0"/>
    <xf numFmtId="43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2" fillId="0" borderId="0"/>
    <xf numFmtId="0" fontId="1" fillId="0" borderId="0"/>
  </cellStyleXfs>
  <cellXfs count="237">
    <xf numFmtId="0" fontId="0" fillId="0" borderId="0" xfId="0" applyFont="1" applyAlignment="1"/>
    <xf numFmtId="164" fontId="0" fillId="0" borderId="0" xfId="0" applyNumberFormat="1" applyFont="1" applyAlignment="1"/>
    <xf numFmtId="165" fontId="0" fillId="0" borderId="0" xfId="0" applyNumberFormat="1" applyFont="1" applyAlignment="1"/>
    <xf numFmtId="0" fontId="8" fillId="2" borderId="0" xfId="0" applyFont="1" applyFill="1"/>
    <xf numFmtId="14" fontId="8" fillId="2" borderId="0" xfId="0" applyNumberFormat="1" applyFont="1" applyFill="1"/>
    <xf numFmtId="0" fontId="9" fillId="0" borderId="0" xfId="0" applyFont="1"/>
    <xf numFmtId="164" fontId="9" fillId="0" borderId="0" xfId="0" applyNumberFormat="1" applyFont="1"/>
    <xf numFmtId="166" fontId="8" fillId="3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16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/>
    <xf numFmtId="14" fontId="9" fillId="0" borderId="0" xfId="0" applyNumberFormat="1" applyFont="1" applyAlignment="1">
      <alignment horizontal="right"/>
    </xf>
    <xf numFmtId="164" fontId="10" fillId="0" borderId="0" xfId="0" applyNumberFormat="1" applyFont="1"/>
    <xf numFmtId="164" fontId="11" fillId="0" borderId="0" xfId="0" applyNumberFormat="1" applyFont="1"/>
    <xf numFmtId="167" fontId="9" fillId="0" borderId="0" xfId="1" applyNumberFormat="1" applyFont="1" applyFill="1" applyBorder="1"/>
    <xf numFmtId="164" fontId="12" fillId="3" borderId="0" xfId="0" applyNumberFormat="1" applyFont="1" applyFill="1"/>
    <xf numFmtId="164" fontId="7" fillId="0" borderId="0" xfId="0" applyNumberFormat="1" applyFont="1" applyAlignment="1">
      <alignment horizontal="right"/>
    </xf>
    <xf numFmtId="167" fontId="9" fillId="0" borderId="0" xfId="0" applyNumberFormat="1" applyFont="1"/>
    <xf numFmtId="43" fontId="15" fillId="0" borderId="0" xfId="1" applyFont="1"/>
    <xf numFmtId="164" fontId="15" fillId="0" borderId="0" xfId="1" applyNumberFormat="1" applyFont="1"/>
    <xf numFmtId="166" fontId="9" fillId="0" borderId="0" xfId="0" applyNumberFormat="1" applyFont="1"/>
    <xf numFmtId="0" fontId="16" fillId="0" borderId="0" xfId="2" applyFont="1" applyBorder="1"/>
    <xf numFmtId="14" fontId="9" fillId="0" borderId="0" xfId="0" applyNumberFormat="1" applyFont="1"/>
    <xf numFmtId="0" fontId="0" fillId="0" borderId="0" xfId="0" applyFont="1" applyFill="1" applyBorder="1" applyAlignment="1"/>
    <xf numFmtId="0" fontId="21" fillId="0" borderId="0" xfId="0" applyFont="1" applyAlignment="1"/>
    <xf numFmtId="164" fontId="21" fillId="0" borderId="0" xfId="0" applyNumberFormat="1" applyFont="1" applyAlignment="1"/>
    <xf numFmtId="0" fontId="22" fillId="0" borderId="0" xfId="0" applyFont="1" applyBorder="1" applyAlignment="1"/>
    <xf numFmtId="0" fontId="20" fillId="0" borderId="0" xfId="0" applyFont="1" applyAlignment="1"/>
    <xf numFmtId="0" fontId="26" fillId="0" borderId="0" xfId="0" applyFont="1"/>
    <xf numFmtId="2" fontId="26" fillId="0" borderId="0" xfId="0" applyNumberFormat="1" applyFont="1"/>
    <xf numFmtId="0" fontId="0" fillId="0" borderId="0" xfId="0"/>
    <xf numFmtId="2" fontId="0" fillId="0" borderId="0" xfId="0" applyNumberFormat="1"/>
    <xf numFmtId="0" fontId="0" fillId="0" borderId="0" xfId="0" applyNumberFormat="1" applyFont="1" applyAlignment="1"/>
    <xf numFmtId="2" fontId="0" fillId="0" borderId="0" xfId="0" applyNumberFormat="1" applyFont="1" applyAlignment="1"/>
    <xf numFmtId="168" fontId="0" fillId="0" borderId="0" xfId="0" applyNumberFormat="1" applyFont="1" applyAlignment="1"/>
    <xf numFmtId="165" fontId="21" fillId="0" borderId="0" xfId="0" applyNumberFormat="1" applyFont="1" applyAlignment="1"/>
    <xf numFmtId="0" fontId="0" fillId="11" borderId="0" xfId="0" applyFont="1" applyFill="1" applyAlignment="1"/>
    <xf numFmtId="0" fontId="5" fillId="0" borderId="0" xfId="0" applyFont="1" applyAlignment="1"/>
    <xf numFmtId="165" fontId="27" fillId="12" borderId="0" xfId="0" applyNumberFormat="1" applyFont="1" applyFill="1" applyAlignment="1"/>
    <xf numFmtId="165" fontId="5" fillId="0" borderId="0" xfId="0" applyNumberFormat="1" applyFont="1" applyAlignment="1"/>
    <xf numFmtId="169" fontId="0" fillId="0" borderId="0" xfId="0" applyNumberFormat="1" applyFont="1" applyAlignment="1"/>
    <xf numFmtId="168" fontId="21" fillId="0" borderId="0" xfId="0" applyNumberFormat="1" applyFont="1" applyAlignment="1"/>
    <xf numFmtId="0" fontId="5" fillId="0" borderId="0" xfId="0" applyFont="1" applyFill="1" applyBorder="1" applyAlignment="1"/>
    <xf numFmtId="165" fontId="18" fillId="0" borderId="0" xfId="0" applyNumberFormat="1" applyFont="1" applyAlignment="1"/>
    <xf numFmtId="0" fontId="9" fillId="0" borderId="0" xfId="0" applyFont="1" applyFill="1"/>
    <xf numFmtId="164" fontId="10" fillId="0" borderId="0" xfId="0" applyNumberFormat="1" applyFont="1" applyFill="1"/>
    <xf numFmtId="14" fontId="0" fillId="0" borderId="0" xfId="0" applyNumberFormat="1" applyFont="1" applyAlignment="1"/>
    <xf numFmtId="14" fontId="9" fillId="0" borderId="0" xfId="3" applyNumberFormat="1" applyFont="1"/>
    <xf numFmtId="0" fontId="9" fillId="0" borderId="0" xfId="3" applyFont="1"/>
    <xf numFmtId="0" fontId="12" fillId="0" borderId="0" xfId="0" applyFont="1" applyFill="1"/>
    <xf numFmtId="0" fontId="12" fillId="0" borderId="0" xfId="0" applyFont="1"/>
    <xf numFmtId="0" fontId="9" fillId="0" borderId="0" xfId="0" applyFont="1" applyBorder="1"/>
    <xf numFmtId="164" fontId="9" fillId="0" borderId="0" xfId="0" applyNumberFormat="1" applyFont="1" applyBorder="1"/>
    <xf numFmtId="167" fontId="9" fillId="0" borderId="0" xfId="0" applyNumberFormat="1" applyFont="1" applyBorder="1"/>
    <xf numFmtId="14" fontId="22" fillId="0" borderId="0" xfId="0" applyNumberFormat="1" applyFont="1" applyAlignment="1"/>
    <xf numFmtId="14" fontId="21" fillId="0" borderId="0" xfId="0" applyNumberFormat="1" applyFont="1" applyAlignment="1"/>
    <xf numFmtId="14" fontId="5" fillId="0" borderId="0" xfId="0" applyNumberFormat="1" applyFont="1" applyAlignment="1"/>
    <xf numFmtId="0" fontId="24" fillId="0" borderId="0" xfId="0" applyFont="1" applyAlignment="1"/>
    <xf numFmtId="164" fontId="24" fillId="0" borderId="0" xfId="0" applyNumberFormat="1" applyFont="1" applyAlignment="1"/>
    <xf numFmtId="0" fontId="22" fillId="0" borderId="0" xfId="0" applyFont="1" applyAlignment="1"/>
    <xf numFmtId="164" fontId="22" fillId="0" borderId="0" xfId="0" applyNumberFormat="1" applyFont="1" applyAlignment="1"/>
    <xf numFmtId="0" fontId="12" fillId="3" borderId="0" xfId="0" applyFont="1" applyFill="1"/>
    <xf numFmtId="0" fontId="12" fillId="3" borderId="0" xfId="0" applyFont="1" applyFill="1" applyAlignment="1">
      <alignment vertical="center"/>
    </xf>
    <xf numFmtId="0" fontId="28" fillId="3" borderId="0" xfId="0" applyFont="1" applyFill="1"/>
    <xf numFmtId="0" fontId="12" fillId="3" borderId="0" xfId="0" applyFont="1" applyFill="1" applyBorder="1"/>
    <xf numFmtId="0" fontId="17" fillId="3" borderId="0" xfId="0" applyFont="1" applyFill="1"/>
    <xf numFmtId="3" fontId="28" fillId="3" borderId="0" xfId="0" applyNumberFormat="1" applyFont="1" applyFill="1"/>
    <xf numFmtId="0" fontId="12" fillId="3" borderId="0" xfId="0" applyFont="1" applyFill="1" applyBorder="1" applyAlignment="1">
      <alignment vertical="center"/>
    </xf>
    <xf numFmtId="0" fontId="7" fillId="0" borderId="0" xfId="0" applyFont="1" applyBorder="1" applyAlignment="1">
      <alignment vertical="center"/>
    </xf>
    <xf numFmtId="164" fontId="7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/>
    <xf numFmtId="14" fontId="9" fillId="0" borderId="0" xfId="0" applyNumberFormat="1" applyFont="1" applyBorder="1" applyAlignment="1">
      <alignment horizontal="right"/>
    </xf>
    <xf numFmtId="164" fontId="9" fillId="3" borderId="0" xfId="0" applyNumberFormat="1" applyFont="1" applyFill="1"/>
    <xf numFmtId="0" fontId="29" fillId="3" borderId="0" xfId="0" applyFont="1" applyFill="1"/>
    <xf numFmtId="170" fontId="8" fillId="3" borderId="0" xfId="0" applyNumberFormat="1" applyFont="1" applyFill="1" applyBorder="1" applyAlignment="1">
      <alignment horizontal="center" vertical="center"/>
    </xf>
    <xf numFmtId="170" fontId="12" fillId="3" borderId="0" xfId="0" applyNumberFormat="1" applyFont="1" applyFill="1" applyBorder="1" applyAlignment="1">
      <alignment vertical="center"/>
    </xf>
    <xf numFmtId="170" fontId="13" fillId="4" borderId="0" xfId="0" applyNumberFormat="1" applyFont="1" applyFill="1" applyBorder="1" applyAlignment="1">
      <alignment horizontal="center" vertical="center"/>
    </xf>
    <xf numFmtId="170" fontId="9" fillId="3" borderId="0" xfId="0" applyNumberFormat="1" applyFont="1" applyFill="1" applyAlignment="1">
      <alignment horizontal="right" vertical="center"/>
    </xf>
    <xf numFmtId="170" fontId="12" fillId="3" borderId="0" xfId="0" applyNumberFormat="1" applyFont="1" applyFill="1"/>
    <xf numFmtId="170" fontId="28" fillId="3" borderId="0" xfId="0" applyNumberFormat="1" applyFont="1" applyFill="1"/>
    <xf numFmtId="170" fontId="10" fillId="3" borderId="0" xfId="0" applyNumberFormat="1" applyFont="1" applyFill="1" applyBorder="1"/>
    <xf numFmtId="170" fontId="12" fillId="3" borderId="0" xfId="0" applyNumberFormat="1" applyFont="1" applyFill="1" applyBorder="1"/>
    <xf numFmtId="170" fontId="17" fillId="3" borderId="0" xfId="0" applyNumberFormat="1" applyFont="1" applyFill="1"/>
    <xf numFmtId="170" fontId="9" fillId="3" borderId="0" xfId="0" applyNumberFormat="1" applyFont="1" applyFill="1"/>
    <xf numFmtId="165" fontId="22" fillId="0" borderId="0" xfId="0" applyNumberFormat="1" applyFont="1" applyAlignment="1"/>
    <xf numFmtId="0" fontId="27" fillId="7" borderId="0" xfId="0" applyFont="1" applyFill="1" applyAlignment="1"/>
    <xf numFmtId="164" fontId="27" fillId="7" borderId="0" xfId="0" applyNumberFormat="1" applyFont="1" applyFill="1" applyAlignment="1"/>
    <xf numFmtId="164" fontId="24" fillId="0" borderId="0" xfId="0" applyNumberFormat="1" applyFont="1" applyAlignment="1">
      <alignment horizontal="centerContinuous"/>
    </xf>
    <xf numFmtId="0" fontId="30" fillId="0" borderId="0" xfId="0" applyFont="1" applyAlignment="1"/>
    <xf numFmtId="0" fontId="31" fillId="0" borderId="0" xfId="0" applyFont="1" applyAlignment="1"/>
    <xf numFmtId="168" fontId="32" fillId="0" borderId="0" xfId="0" applyNumberFormat="1" applyFont="1" applyAlignment="1"/>
    <xf numFmtId="49" fontId="10" fillId="0" borderId="0" xfId="0" applyNumberFormat="1" applyFont="1" applyFill="1" applyBorder="1"/>
    <xf numFmtId="0" fontId="23" fillId="2" borderId="0" xfId="0" applyFont="1" applyFill="1" applyAlignment="1"/>
    <xf numFmtId="0" fontId="12" fillId="3" borderId="0" xfId="0" applyNumberFormat="1" applyFont="1" applyFill="1" applyAlignment="1">
      <alignment horizontal="right"/>
    </xf>
    <xf numFmtId="0" fontId="8" fillId="2" borderId="0" xfId="2" applyNumberFormat="1" applyFont="1" applyFill="1" applyBorder="1"/>
    <xf numFmtId="0" fontId="9" fillId="3" borderId="0" xfId="0" applyNumberFormat="1" applyFont="1" applyFill="1"/>
    <xf numFmtId="0" fontId="9" fillId="3" borderId="0" xfId="0" applyNumberFormat="1" applyFont="1" applyFill="1" applyBorder="1"/>
    <xf numFmtId="0" fontId="13" fillId="4" borderId="0" xfId="0" applyNumberFormat="1" applyFont="1" applyFill="1" applyBorder="1"/>
    <xf numFmtId="0" fontId="7" fillId="13" borderId="4" xfId="0" applyNumberFormat="1" applyFont="1" applyFill="1" applyBorder="1" applyAlignment="1">
      <alignment horizontal="right" vertical="center"/>
    </xf>
    <xf numFmtId="0" fontId="10" fillId="3" borderId="0" xfId="0" applyNumberFormat="1" applyFont="1" applyFill="1" applyAlignment="1">
      <alignment horizontal="right"/>
    </xf>
    <xf numFmtId="0" fontId="13" fillId="5" borderId="7" xfId="0" applyNumberFormat="1" applyFont="1" applyFill="1" applyBorder="1"/>
    <xf numFmtId="0" fontId="10" fillId="3" borderId="10" xfId="0" applyNumberFormat="1" applyFont="1" applyFill="1" applyBorder="1"/>
    <xf numFmtId="0" fontId="10" fillId="3" borderId="0" xfId="0" applyNumberFormat="1" applyFont="1" applyFill="1" applyBorder="1"/>
    <xf numFmtId="0" fontId="10" fillId="13" borderId="10" xfId="0" applyNumberFormat="1" applyFont="1" applyFill="1" applyBorder="1" applyAlignment="1">
      <alignment horizontal="right"/>
    </xf>
    <xf numFmtId="0" fontId="33" fillId="3" borderId="10" xfId="0" applyNumberFormat="1" applyFont="1" applyFill="1" applyBorder="1"/>
    <xf numFmtId="0" fontId="10" fillId="6" borderId="13" xfId="0" applyNumberFormat="1" applyFont="1" applyFill="1" applyBorder="1" applyAlignment="1">
      <alignment horizontal="right"/>
    </xf>
    <xf numFmtId="0" fontId="13" fillId="5" borderId="7" xfId="0" applyNumberFormat="1" applyFont="1" applyFill="1" applyBorder="1" applyAlignment="1">
      <alignment horizontal="left"/>
    </xf>
    <xf numFmtId="0" fontId="8" fillId="10" borderId="4" xfId="0" applyNumberFormat="1" applyFont="1" applyFill="1" applyBorder="1"/>
    <xf numFmtId="0" fontId="10" fillId="3" borderId="0" xfId="0" applyNumberFormat="1" applyFont="1" applyFill="1"/>
    <xf numFmtId="0" fontId="13" fillId="7" borderId="7" xfId="0" applyNumberFormat="1" applyFont="1" applyFill="1" applyBorder="1"/>
    <xf numFmtId="0" fontId="10" fillId="3" borderId="10" xfId="0" applyNumberFormat="1" applyFont="1" applyFill="1" applyBorder="1" applyAlignment="1">
      <alignment horizontal="left"/>
    </xf>
    <xf numFmtId="0" fontId="0" fillId="3" borderId="10" xfId="0" applyNumberFormat="1" applyFill="1" applyBorder="1"/>
    <xf numFmtId="0" fontId="10" fillId="8" borderId="13" xfId="0" applyNumberFormat="1" applyFont="1" applyFill="1" applyBorder="1" applyAlignment="1">
      <alignment horizontal="right"/>
    </xf>
    <xf numFmtId="0" fontId="8" fillId="14" borderId="4" xfId="0" applyNumberFormat="1" applyFont="1" applyFill="1" applyBorder="1"/>
    <xf numFmtId="0" fontId="13" fillId="9" borderId="7" xfId="0" applyNumberFormat="1" applyFont="1" applyFill="1" applyBorder="1"/>
    <xf numFmtId="0" fontId="8" fillId="13" borderId="10" xfId="0" applyNumberFormat="1" applyFont="1" applyFill="1" applyBorder="1" applyAlignment="1">
      <alignment horizontal="right"/>
    </xf>
    <xf numFmtId="0" fontId="8" fillId="15" borderId="13" xfId="0" applyNumberFormat="1" applyFont="1" applyFill="1" applyBorder="1" applyAlignment="1">
      <alignment horizontal="right"/>
    </xf>
    <xf numFmtId="0" fontId="9" fillId="0" borderId="0" xfId="0" applyNumberFormat="1" applyFont="1"/>
    <xf numFmtId="0" fontId="9" fillId="13" borderId="0" xfId="0" applyNumberFormat="1" applyFont="1" applyFill="1" applyAlignment="1">
      <alignment horizontal="left" vertical="center"/>
    </xf>
    <xf numFmtId="0" fontId="34" fillId="3" borderId="0" xfId="0" applyNumberFormat="1" applyFont="1" applyFill="1" applyAlignment="1">
      <alignment horizontal="left" vertical="center"/>
    </xf>
    <xf numFmtId="165" fontId="23" fillId="2" borderId="0" xfId="0" applyNumberFormat="1" applyFont="1" applyFill="1" applyAlignment="1"/>
    <xf numFmtId="0" fontId="27" fillId="16" borderId="0" xfId="0" applyFont="1" applyFill="1" applyAlignment="1"/>
    <xf numFmtId="0" fontId="5" fillId="0" borderId="0" xfId="0" quotePrefix="1" applyFont="1" applyAlignment="1"/>
    <xf numFmtId="168" fontId="27" fillId="16" borderId="0" xfId="0" applyNumberFormat="1" applyFont="1" applyFill="1" applyAlignment="1"/>
    <xf numFmtId="0" fontId="5" fillId="0" borderId="0" xfId="0" applyNumberFormat="1" applyFont="1" applyAlignment="1"/>
    <xf numFmtId="0" fontId="19" fillId="17" borderId="0" xfId="0" applyFont="1" applyFill="1" applyAlignment="1"/>
    <xf numFmtId="164" fontId="19" fillId="17" borderId="0" xfId="0" applyNumberFormat="1" applyFont="1" applyFill="1" applyAlignment="1"/>
    <xf numFmtId="0" fontId="5" fillId="3" borderId="0" xfId="0" applyFont="1" applyFill="1" applyAlignment="1"/>
    <xf numFmtId="164" fontId="0" fillId="3" borderId="0" xfId="0" applyNumberFormat="1" applyFont="1" applyFill="1" applyAlignment="1"/>
    <xf numFmtId="0" fontId="0" fillId="3" borderId="0" xfId="0" applyFont="1" applyFill="1" applyAlignment="1"/>
    <xf numFmtId="0" fontId="35" fillId="3" borderId="0" xfId="0" applyFont="1" applyFill="1" applyAlignment="1"/>
    <xf numFmtId="0" fontId="8" fillId="3" borderId="3" xfId="0" applyFont="1" applyFill="1" applyBorder="1" applyAlignment="1">
      <alignment horizontal="center" vertical="center" wrapText="1"/>
    </xf>
    <xf numFmtId="171" fontId="10" fillId="3" borderId="0" xfId="0" applyNumberFormat="1" applyFont="1" applyFill="1" applyBorder="1"/>
    <xf numFmtId="171" fontId="9" fillId="3" borderId="0" xfId="0" applyNumberFormat="1" applyFont="1" applyFill="1" applyAlignment="1">
      <alignment horizontal="right" vertical="center"/>
    </xf>
    <xf numFmtId="171" fontId="9" fillId="13" borderId="0" xfId="0" applyNumberFormat="1" applyFont="1" applyFill="1" applyAlignment="1">
      <alignment horizontal="right" vertical="center"/>
    </xf>
    <xf numFmtId="171" fontId="9" fillId="13" borderId="0" xfId="0" applyNumberFormat="1" applyFont="1" applyFill="1"/>
    <xf numFmtId="171" fontId="7" fillId="13" borderId="5" xfId="0" applyNumberFormat="1" applyFont="1" applyFill="1" applyBorder="1" applyAlignment="1">
      <alignment horizontal="right" vertical="center"/>
    </xf>
    <xf numFmtId="171" fontId="7" fillId="13" borderId="6" xfId="0" applyNumberFormat="1" applyFont="1" applyFill="1" applyBorder="1"/>
    <xf numFmtId="171" fontId="7" fillId="3" borderId="0" xfId="0" applyNumberFormat="1" applyFont="1" applyFill="1"/>
    <xf numFmtId="171" fontId="10" fillId="3" borderId="0" xfId="0" applyNumberFormat="1" applyFont="1" applyFill="1"/>
    <xf numFmtId="171" fontId="14" fillId="5" borderId="8" xfId="0" applyNumberFormat="1" applyFont="1" applyFill="1" applyBorder="1" applyAlignment="1">
      <alignment horizontal="center"/>
    </xf>
    <xf numFmtId="171" fontId="14" fillId="5" borderId="9" xfId="0" applyNumberFormat="1" applyFont="1" applyFill="1" applyBorder="1" applyAlignment="1">
      <alignment horizontal="center"/>
    </xf>
    <xf numFmtId="171" fontId="10" fillId="3" borderId="11" xfId="0" applyNumberFormat="1" applyFont="1" applyFill="1" applyBorder="1"/>
    <xf numFmtId="171" fontId="10" fillId="3" borderId="12" xfId="0" applyNumberFormat="1" applyFont="1" applyFill="1" applyBorder="1"/>
    <xf numFmtId="171" fontId="10" fillId="13" borderId="0" xfId="0" applyNumberFormat="1" applyFont="1" applyFill="1" applyBorder="1"/>
    <xf numFmtId="171" fontId="10" fillId="13" borderId="12" xfId="0" applyNumberFormat="1" applyFont="1" applyFill="1" applyBorder="1"/>
    <xf numFmtId="171" fontId="10" fillId="6" borderId="14" xfId="0" applyNumberFormat="1" applyFont="1" applyFill="1" applyBorder="1"/>
    <xf numFmtId="171" fontId="10" fillId="6" borderId="15" xfId="0" applyNumberFormat="1" applyFont="1" applyFill="1" applyBorder="1"/>
    <xf numFmtId="171" fontId="14" fillId="5" borderId="8" xfId="0" applyNumberFormat="1" applyFont="1" applyFill="1" applyBorder="1" applyAlignment="1">
      <alignment horizontal="left"/>
    </xf>
    <xf numFmtId="171" fontId="8" fillId="10" borderId="5" xfId="0" applyNumberFormat="1" applyFont="1" applyFill="1" applyBorder="1"/>
    <xf numFmtId="171" fontId="8" fillId="10" borderId="6" xfId="0" applyNumberFormat="1" applyFont="1" applyFill="1" applyBorder="1"/>
    <xf numFmtId="171" fontId="14" fillId="7" borderId="8" xfId="0" applyNumberFormat="1" applyFont="1" applyFill="1" applyBorder="1" applyAlignment="1">
      <alignment horizontal="center"/>
    </xf>
    <xf numFmtId="171" fontId="10" fillId="8" borderId="14" xfId="0" applyNumberFormat="1" applyFont="1" applyFill="1" applyBorder="1"/>
    <xf numFmtId="171" fontId="10" fillId="8" borderId="16" xfId="0" applyNumberFormat="1" applyFont="1" applyFill="1" applyBorder="1"/>
    <xf numFmtId="171" fontId="10" fillId="8" borderId="15" xfId="0" applyNumberFormat="1" applyFont="1" applyFill="1" applyBorder="1"/>
    <xf numFmtId="171" fontId="10" fillId="14" borderId="5" xfId="0" applyNumberFormat="1" applyFont="1" applyFill="1" applyBorder="1"/>
    <xf numFmtId="171" fontId="8" fillId="14" borderId="5" xfId="0" applyNumberFormat="1" applyFont="1" applyFill="1" applyBorder="1"/>
    <xf numFmtId="171" fontId="8" fillId="14" borderId="6" xfId="0" applyNumberFormat="1" applyFont="1" applyFill="1" applyBorder="1"/>
    <xf numFmtId="171" fontId="10" fillId="6" borderId="16" xfId="0" applyNumberFormat="1" applyFont="1" applyFill="1" applyBorder="1"/>
    <xf numFmtId="171" fontId="14" fillId="9" borderId="8" xfId="0" applyNumberFormat="1" applyFont="1" applyFill="1" applyBorder="1" applyAlignment="1">
      <alignment horizontal="center"/>
    </xf>
    <xf numFmtId="171" fontId="8" fillId="13" borderId="0" xfId="0" applyNumberFormat="1" applyFont="1" applyFill="1" applyBorder="1"/>
    <xf numFmtId="171" fontId="8" fillId="15" borderId="14" xfId="0" applyNumberFormat="1" applyFont="1" applyFill="1" applyBorder="1"/>
    <xf numFmtId="0" fontId="36" fillId="0" borderId="0" xfId="0" applyFont="1"/>
    <xf numFmtId="0" fontId="3" fillId="0" borderId="0" xfId="0" applyNumberFormat="1" applyFont="1" applyAlignment="1"/>
    <xf numFmtId="165" fontId="24" fillId="0" borderId="0" xfId="0" applyNumberFormat="1" applyFont="1" applyAlignment="1"/>
    <xf numFmtId="164" fontId="27" fillId="16" borderId="0" xfId="0" applyNumberFormat="1" applyFont="1" applyFill="1" applyAlignment="1"/>
    <xf numFmtId="165" fontId="27" fillId="16" borderId="0" xfId="0" applyNumberFormat="1" applyFont="1" applyFill="1" applyAlignment="1"/>
    <xf numFmtId="0" fontId="25" fillId="0" borderId="0" xfId="0" applyFont="1" applyAlignment="1"/>
    <xf numFmtId="14" fontId="10" fillId="0" borderId="0" xfId="0" applyNumberFormat="1" applyFont="1" applyAlignment="1">
      <alignment horizontal="right"/>
    </xf>
    <xf numFmtId="164" fontId="38" fillId="0" borderId="0" xfId="0" applyNumberFormat="1" applyFont="1" applyAlignment="1"/>
    <xf numFmtId="0" fontId="9" fillId="0" borderId="0" xfId="5" applyFont="1" applyAlignment="1">
      <alignment horizontal="center" wrapText="1"/>
    </xf>
    <xf numFmtId="14" fontId="37" fillId="0" borderId="0" xfId="5" applyNumberFormat="1" applyFont="1" applyAlignment="1">
      <alignment horizontal="left" wrapText="1"/>
    </xf>
    <xf numFmtId="164" fontId="37" fillId="0" borderId="0" xfId="5" applyNumberFormat="1" applyFont="1" applyAlignment="1">
      <alignment horizontal="center" wrapText="1"/>
    </xf>
    <xf numFmtId="0" fontId="9" fillId="0" borderId="0" xfId="5" applyFont="1"/>
    <xf numFmtId="14" fontId="40" fillId="0" borderId="0" xfId="5" applyNumberFormat="1" applyFont="1" applyAlignment="1">
      <alignment horizontal="center" wrapText="1"/>
    </xf>
    <xf numFmtId="164" fontId="40" fillId="0" borderId="0" xfId="5" applyNumberFormat="1" applyFont="1" applyAlignment="1">
      <alignment horizontal="center" wrapText="1"/>
    </xf>
    <xf numFmtId="0" fontId="7" fillId="18" borderId="4" xfId="5" applyFont="1" applyFill="1" applyBorder="1"/>
    <xf numFmtId="14" fontId="7" fillId="18" borderId="5" xfId="5" applyNumberFormat="1" applyFont="1" applyFill="1" applyBorder="1" applyAlignment="1">
      <alignment horizontal="left"/>
    </xf>
    <xf numFmtId="164" fontId="7" fillId="18" borderId="5" xfId="5" applyNumberFormat="1" applyFont="1" applyFill="1" applyBorder="1"/>
    <xf numFmtId="164" fontId="7" fillId="18" borderId="6" xfId="5" applyNumberFormat="1" applyFont="1" applyFill="1" applyBorder="1"/>
    <xf numFmtId="14" fontId="9" fillId="0" borderId="0" xfId="5" applyNumberFormat="1" applyFont="1" applyAlignment="1">
      <alignment horizontal="left"/>
    </xf>
    <xf numFmtId="164" fontId="9" fillId="0" borderId="0" xfId="5" applyNumberFormat="1" applyFont="1"/>
    <xf numFmtId="0" fontId="1" fillId="0" borderId="0" xfId="5"/>
    <xf numFmtId="166" fontId="8" fillId="3" borderId="1" xfId="0" applyNumberFormat="1" applyFont="1" applyFill="1" applyBorder="1" applyAlignment="1">
      <alignment horizontal="center" vertical="center"/>
    </xf>
    <xf numFmtId="166" fontId="8" fillId="3" borderId="3" xfId="0" applyNumberFormat="1" applyFont="1" applyFill="1" applyBorder="1" applyAlignment="1">
      <alignment horizontal="center" vertical="center"/>
    </xf>
    <xf numFmtId="0" fontId="10" fillId="3" borderId="7" xfId="0" applyNumberFormat="1" applyFont="1" applyFill="1" applyBorder="1"/>
    <xf numFmtId="171" fontId="10" fillId="3" borderId="17" xfId="0" applyNumberFormat="1" applyFont="1" applyFill="1" applyBorder="1"/>
    <xf numFmtId="171" fontId="10" fillId="3" borderId="18" xfId="0" applyNumberFormat="1" applyFont="1" applyFill="1" applyBorder="1"/>
    <xf numFmtId="171" fontId="10" fillId="3" borderId="19" xfId="0" applyNumberFormat="1" applyFont="1" applyFill="1" applyBorder="1"/>
    <xf numFmtId="171" fontId="8" fillId="13" borderId="12" xfId="0" applyNumberFormat="1" applyFont="1" applyFill="1" applyBorder="1"/>
    <xf numFmtId="171" fontId="8" fillId="15" borderId="15" xfId="0" applyNumberFormat="1" applyFont="1" applyFill="1" applyBorder="1"/>
    <xf numFmtId="171" fontId="14" fillId="9" borderId="9" xfId="0" applyNumberFormat="1" applyFont="1" applyFill="1" applyBorder="1" applyAlignment="1">
      <alignment horizontal="center"/>
    </xf>
    <xf numFmtId="0" fontId="41" fillId="0" borderId="0" xfId="0" applyFont="1" applyAlignment="1"/>
    <xf numFmtId="0" fontId="41" fillId="0" borderId="0" xfId="0" quotePrefix="1" applyFont="1" applyAlignment="1"/>
    <xf numFmtId="171" fontId="10" fillId="3" borderId="11" xfId="0" quotePrefix="1" applyNumberFormat="1" applyFont="1" applyFill="1" applyBorder="1" applyAlignment="1">
      <alignment wrapText="1"/>
    </xf>
    <xf numFmtId="16" fontId="22" fillId="0" borderId="0" xfId="0" quotePrefix="1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0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24" fillId="0" borderId="0" xfId="0" applyFont="1" applyAlignment="1">
      <alignment horizontal="center"/>
    </xf>
    <xf numFmtId="0" fontId="27" fillId="16" borderId="0" xfId="0" applyFont="1" applyFill="1" applyAlignment="1">
      <alignment horizontal="center"/>
    </xf>
    <xf numFmtId="0" fontId="9" fillId="3" borderId="0" xfId="0" applyFont="1" applyFill="1" applyBorder="1"/>
    <xf numFmtId="0" fontId="9" fillId="3" borderId="0" xfId="0" applyFont="1" applyFill="1"/>
    <xf numFmtId="0" fontId="12" fillId="3" borderId="0" xfId="0" quotePrefix="1" applyFont="1" applyFill="1" applyAlignment="1">
      <alignment wrapText="1"/>
    </xf>
    <xf numFmtId="14" fontId="5" fillId="0" borderId="0" xfId="0" quotePrefix="1" applyNumberFormat="1" applyFont="1" applyAlignment="1">
      <alignment horizontal="right" wrapText="1"/>
    </xf>
    <xf numFmtId="0" fontId="23" fillId="2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18" fillId="0" borderId="0" xfId="0" applyFont="1" applyAlignment="1"/>
    <xf numFmtId="167" fontId="10" fillId="0" borderId="0" xfId="0" applyNumberFormat="1" applyFont="1" applyBorder="1" applyAlignment="1">
      <alignment horizontal="center"/>
    </xf>
    <xf numFmtId="0" fontId="38" fillId="0" borderId="0" xfId="0" applyFont="1" applyAlignment="1"/>
    <xf numFmtId="14" fontId="10" fillId="0" borderId="0" xfId="3" applyNumberFormat="1" applyFont="1"/>
    <xf numFmtId="0" fontId="34" fillId="3" borderId="0" xfId="0" applyNumberFormat="1" applyFont="1" applyFill="1" applyBorder="1" applyAlignment="1">
      <alignment horizontal="right"/>
    </xf>
    <xf numFmtId="0" fontId="12" fillId="3" borderId="0" xfId="0" applyNumberFormat="1" applyFont="1" applyFill="1" applyBorder="1" applyAlignment="1">
      <alignment horizontal="right" vertical="center"/>
    </xf>
    <xf numFmtId="164" fontId="11" fillId="3" borderId="0" xfId="0" applyNumberFormat="1" applyFont="1" applyFill="1" applyBorder="1" applyAlignment="1">
      <alignment horizontal="right" vertical="center"/>
    </xf>
    <xf numFmtId="164" fontId="12" fillId="3" borderId="0" xfId="0" applyNumberFormat="1" applyFont="1" applyFill="1" applyBorder="1" applyAlignment="1">
      <alignment horizontal="right" vertical="center"/>
    </xf>
    <xf numFmtId="164" fontId="7" fillId="3" borderId="0" xfId="0" applyNumberFormat="1" applyFont="1" applyFill="1" applyBorder="1"/>
    <xf numFmtId="0" fontId="9" fillId="0" borderId="0" xfId="0" applyFont="1" applyFill="1" applyBorder="1"/>
    <xf numFmtId="164" fontId="10" fillId="0" borderId="0" xfId="0" applyNumberFormat="1" applyFont="1" applyFill="1" applyBorder="1"/>
    <xf numFmtId="0" fontId="12" fillId="3" borderId="0" xfId="0" applyNumberFormat="1" applyFont="1" applyFill="1" applyBorder="1" applyAlignment="1">
      <alignment horizontal="right"/>
    </xf>
    <xf numFmtId="164" fontId="12" fillId="3" borderId="0" xfId="0" applyNumberFormat="1" applyFont="1" applyFill="1" applyBorder="1"/>
    <xf numFmtId="0" fontId="12" fillId="0" borderId="0" xfId="0" applyFont="1" applyBorder="1"/>
    <xf numFmtId="0" fontId="9" fillId="0" borderId="0" xfId="0" applyNumberFormat="1" applyFont="1" applyBorder="1"/>
    <xf numFmtId="0" fontId="9" fillId="0" borderId="0" xfId="0" quotePrefix="1" applyFont="1"/>
    <xf numFmtId="0" fontId="9" fillId="13" borderId="0" xfId="0" applyNumberFormat="1" applyFont="1" applyFill="1" applyBorder="1" applyAlignment="1">
      <alignment horizontal="right" vertical="center"/>
    </xf>
    <xf numFmtId="171" fontId="9" fillId="13" borderId="0" xfId="0" applyNumberFormat="1" applyFont="1" applyFill="1" applyBorder="1" applyAlignment="1">
      <alignment horizontal="right" vertical="center"/>
    </xf>
    <xf numFmtId="164" fontId="10" fillId="0" borderId="0" xfId="0" applyNumberFormat="1" applyFont="1" applyBorder="1"/>
    <xf numFmtId="171" fontId="10" fillId="5" borderId="8" xfId="0" applyNumberFormat="1" applyFont="1" applyFill="1" applyBorder="1" applyAlignment="1">
      <alignment horizontal="center"/>
    </xf>
    <xf numFmtId="171" fontId="10" fillId="5" borderId="9" xfId="0" applyNumberFormat="1" applyFont="1" applyFill="1" applyBorder="1" applyAlignment="1">
      <alignment horizontal="center"/>
    </xf>
    <xf numFmtId="171" fontId="10" fillId="5" borderId="8" xfId="0" applyNumberFormat="1" applyFont="1" applyFill="1" applyBorder="1" applyAlignment="1">
      <alignment horizontal="left"/>
    </xf>
    <xf numFmtId="171" fontId="10" fillId="5" borderId="9" xfId="0" applyNumberFormat="1" applyFont="1" applyFill="1" applyBorder="1" applyAlignment="1">
      <alignment horizontal="left"/>
    </xf>
    <xf numFmtId="171" fontId="10" fillId="7" borderId="8" xfId="0" applyNumberFormat="1" applyFont="1" applyFill="1" applyBorder="1" applyAlignment="1">
      <alignment horizontal="center"/>
    </xf>
    <xf numFmtId="171" fontId="10" fillId="7" borderId="9" xfId="0" applyNumberFormat="1" applyFont="1" applyFill="1" applyBorder="1" applyAlignment="1">
      <alignment horizontal="center"/>
    </xf>
    <xf numFmtId="0" fontId="5" fillId="3" borderId="10" xfId="0" applyNumberFormat="1" applyFont="1" applyFill="1" applyBorder="1"/>
  </cellXfs>
  <cellStyles count="6">
    <cellStyle name="Comma" xfId="1" builtinId="3"/>
    <cellStyle name="Hyperlink" xfId="2" builtinId="8"/>
    <cellStyle name="Normal" xfId="0" builtinId="0"/>
    <cellStyle name="Normal 2" xfId="3" xr:uid="{CEC3D16E-4166-4668-9BC3-C144B47C870F}"/>
    <cellStyle name="Normal 3" xfId="4" xr:uid="{6CA16E74-4B7B-4598-9E11-AB00B459EAD6}"/>
    <cellStyle name="Normal 4" xfId="5" xr:uid="{28C9050D-52DD-4991-AD73-BA46E072E313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9525</xdr:rowOff>
        </xdr:from>
        <xdr:to>
          <xdr:col>18</xdr:col>
          <xdr:colOff>0</xdr:colOff>
          <xdr:row>4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5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change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57150</xdr:rowOff>
        </xdr:from>
        <xdr:to>
          <xdr:col>1</xdr:col>
          <xdr:colOff>581025</xdr:colOff>
          <xdr:row>2</xdr:row>
          <xdr:rowOff>95250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7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 Balances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666749</xdr:colOff>
      <xdr:row>19</xdr:row>
      <xdr:rowOff>66675</xdr:rowOff>
    </xdr:from>
    <xdr:ext cx="6286501" cy="171457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809624" y="3171825"/>
          <a:ext cx="6286501" cy="171457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Cash, Brokerage, Retirement, or Real Asset (like car or house).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Lock-Up: If Brokerage, describe if it is liquid (can sell securities and draw whenever) or illiquid.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Institution: Where the account is held.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 Brokerage, seperate securities balances from cash balances.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Account: Free-form description to remember what account the values relate to.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Balance: Balance of the associated account.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en-US" sz="1100" b="1" u="sng"/>
            <a:t>Tips</a:t>
          </a:r>
          <a:r>
            <a:rPr lang="en-US" sz="1100" b="1" u="sng" baseline="0"/>
            <a:t> for inputting</a:t>
          </a:r>
          <a:endParaRPr lang="en-US" sz="1100" b="1" u="sng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Sort by Institution</a:t>
          </a:r>
          <a:r>
            <a:rPr lang="en-US" sz="1100" baseline="0"/>
            <a:t> to ease input process.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1266826</xdr:colOff>
      <xdr:row>7</xdr:row>
      <xdr:rowOff>114300</xdr:rowOff>
    </xdr:from>
    <xdr:ext cx="3429000" cy="41678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390651" y="1276350"/>
          <a:ext cx="3429000" cy="4167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Credit card logic only supports paying the statement every month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857250</xdr:colOff>
      <xdr:row>7</xdr:row>
      <xdr:rowOff>47625</xdr:rowOff>
    </xdr:from>
    <xdr:ext cx="628650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1ED5A9-4FC0-4C22-8680-40C4291474F7}"/>
            </a:ext>
          </a:extLst>
        </xdr:cNvPr>
        <xdr:cNvSpPr txBox="1"/>
      </xdr:nvSpPr>
      <xdr:spPr>
        <a:xfrm>
          <a:off x="1000125" y="1209675"/>
          <a:ext cx="6286501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any term</a:t>
          </a:r>
          <a:r>
            <a:rPr lang="en-US" sz="1100" baseline="0"/>
            <a:t> loans including for a car, house, large purchases etc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466725</xdr:colOff>
      <xdr:row>8</xdr:row>
      <xdr:rowOff>114300</xdr:rowOff>
    </xdr:from>
    <xdr:ext cx="6286501" cy="25455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B5B63D-9098-4746-8428-7D784C83B95E}"/>
            </a:ext>
          </a:extLst>
        </xdr:cNvPr>
        <xdr:cNvSpPr txBox="1"/>
      </xdr:nvSpPr>
      <xdr:spPr>
        <a:xfrm>
          <a:off x="609600" y="1438275"/>
          <a:ext cx="6286501" cy="25455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Input all credit card, airline,</a:t>
          </a:r>
          <a:r>
            <a:rPr lang="en-US" sz="1100" baseline="0"/>
            <a:t> hotel or other rewards balances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495300</xdr:colOff>
      <xdr:row>31</xdr:row>
      <xdr:rowOff>57150</xdr:rowOff>
    </xdr:from>
    <xdr:ext cx="6286501" cy="139012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6160E4-4B7B-4913-82AD-BAD47B8F5881}"/>
            </a:ext>
          </a:extLst>
        </xdr:cNvPr>
        <xdr:cNvSpPr txBox="1"/>
      </xdr:nvSpPr>
      <xdr:spPr>
        <a:xfrm>
          <a:off x="657225" y="5105400"/>
          <a:ext cx="6286501" cy="139012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 all cash inflows or outflows that occur</a:t>
          </a:r>
          <a:r>
            <a:rPr lang="en-US" sz="1100" b="0" u="none" baseline="0"/>
            <a:t> on an set recurring basis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Dues &amp; Memberships,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Health,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Groceries,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Food &amp; Drinks,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Retirement Contributions,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 Deductions,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Salary</a:t>
          </a:r>
          <a:r>
            <a:rPr lang="en-US"/>
            <a:t> 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Recurrence: When does the inflow or outflow happen. </a:t>
          </a: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Due Day: Day of the month if monthly recurrence. Month and day formatted as "mm-dd" if annual recurrence.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180975</xdr:colOff>
      <xdr:row>16</xdr:row>
      <xdr:rowOff>19050</xdr:rowOff>
    </xdr:from>
    <xdr:ext cx="6286501" cy="139012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5767F45-B75F-4CF8-A72A-BFCDD042214B}"/>
            </a:ext>
          </a:extLst>
        </xdr:cNvPr>
        <xdr:cNvSpPr txBox="1"/>
      </xdr:nvSpPr>
      <xdr:spPr>
        <a:xfrm>
          <a:off x="314325" y="2638425"/>
          <a:ext cx="6286501" cy="139012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 all items that are</a:t>
          </a:r>
          <a:r>
            <a:rPr lang="en-US" sz="1100" b="0" u="none" baseline="0"/>
            <a:t> variable based on Salary or Bonus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Taxes, Retirement</a:t>
          </a: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Deductions, Other Deductions, Employer Retirement Contributions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Federal and State Taxes or 401k contribution (and employer match)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Dependant On: What the Item is based on. For example, you might have Federal tax of 20% of Salary and 25% of Bonus</a:t>
          </a:r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533400</xdr:colOff>
      <xdr:row>9</xdr:row>
      <xdr:rowOff>0</xdr:rowOff>
    </xdr:from>
    <xdr:ext cx="6286501" cy="155234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DD86FE-0FA9-4613-9788-62BD61807C3B}"/>
            </a:ext>
          </a:extLst>
        </xdr:cNvPr>
        <xdr:cNvSpPr txBox="1"/>
      </xdr:nvSpPr>
      <xdr:spPr>
        <a:xfrm>
          <a:off x="695325" y="1543050"/>
          <a:ext cx="6286501" cy="155234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changes to recurring cash flows that you know of or expect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any item that you have already input on the Recurring tab</a:t>
          </a:r>
          <a:endParaRPr lang="en-US" sz="11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a salary increase or rent increase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Effective Date: Date that the change is expected to take effect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Recurrance: How often is the change effected (probably monthly or paycheck)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Net Change: What is the dollar amount higher or lower that the recurring item is going to change (per recurrance)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1028699</xdr:colOff>
      <xdr:row>14</xdr:row>
      <xdr:rowOff>85725</xdr:rowOff>
    </xdr:from>
    <xdr:ext cx="6286501" cy="139012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6B7F66D-F9B1-4FF9-BC17-419AAD4C5661}"/>
            </a:ext>
          </a:extLst>
        </xdr:cNvPr>
        <xdr:cNvSpPr txBox="1"/>
      </xdr:nvSpPr>
      <xdr:spPr>
        <a:xfrm>
          <a:off x="1200149" y="2219325"/>
          <a:ext cx="6286501" cy="139012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u="none"/>
            <a:t>Input</a:t>
          </a:r>
          <a:r>
            <a:rPr lang="en-US" sz="1100" b="0" u="none" baseline="0"/>
            <a:t> all one-time planned purchases or inflows</a:t>
          </a:r>
          <a:endParaRPr lang="en-US" sz="1100" b="0" u="none"/>
        </a:p>
        <a:p>
          <a:endParaRPr lang="en-US" sz="1100" b="0" u="none"/>
        </a:p>
        <a:p>
          <a:r>
            <a:rPr lang="en-US" sz="1100" b="1" u="sng"/>
            <a:t>Columns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Line Item:</a:t>
          </a:r>
          <a:r>
            <a:rPr lang="en-US" sz="1100" baseline="0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Bonus,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Friend Fees,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Selling &amp; Refunds,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Brokerage Cashout,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Other,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Housing,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Transportation,</a:t>
          </a:r>
          <a:r>
            <a:rPr lang="en-US"/>
            <a:t>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Wishlist,</a:t>
          </a:r>
          <a:r>
            <a:rPr lang="en-US"/>
            <a:t> or 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Travel &amp; Events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Item: Things like an expected bonus, travel costs, brokerage account cashouts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/>
            <a:t>Account Reference ID: If Brokerage Cashout, pull the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Reference ID </a:t>
          </a:r>
          <a:r>
            <a:rPr lang="en-US" sz="1100" baseline="0"/>
            <a:t>code from the Assets tab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Effective Date: Date that you expect the inflow or outflow to occur</a:t>
          </a:r>
          <a:endParaRPr lang="en-US" sz="1100">
            <a:effectLst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6</xdr:row>
      <xdr:rowOff>0</xdr:rowOff>
    </xdr:from>
    <xdr:ext cx="4876799" cy="3238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152BB99-5B32-4DEF-B976-DC8DEBDA85B2}"/>
            </a:ext>
          </a:extLst>
        </xdr:cNvPr>
        <xdr:cNvSpPr txBox="1"/>
      </xdr:nvSpPr>
      <xdr:spPr>
        <a:xfrm>
          <a:off x="4181475" y="1457325"/>
          <a:ext cx="4876799" cy="3238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Elect which account you are going to have all your cash flow in and out of</a:t>
          </a:r>
          <a:endParaRPr lang="en-US" sz="1100">
            <a:effectLst/>
          </a:endParaRPr>
        </a:p>
      </xdr:txBody>
    </xdr:sp>
    <xdr:clientData/>
  </xdr:oneCellAnchor>
  <xdr:oneCellAnchor>
    <xdr:from>
      <xdr:col>3</xdr:col>
      <xdr:colOff>0</xdr:colOff>
      <xdr:row>9</xdr:row>
      <xdr:rowOff>0</xdr:rowOff>
    </xdr:from>
    <xdr:ext cx="4876799" cy="6477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859425-3763-6596-C363-6B79BCB2B839}"/>
            </a:ext>
          </a:extLst>
        </xdr:cNvPr>
        <xdr:cNvSpPr txBox="1"/>
      </xdr:nvSpPr>
      <xdr:spPr>
        <a:xfrm>
          <a:off x="4181475" y="1943100"/>
          <a:ext cx="4876799" cy="647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How much of</a:t>
          </a:r>
          <a:r>
            <a:rPr lang="en-US" sz="1100" b="0" u="none" baseline="0"/>
            <a:t> a balance you want to hold in each account. Based on the number of months of outflows that you want to make sure you have in the accounts</a:t>
          </a:r>
        </a:p>
      </xdr:txBody>
    </xdr:sp>
    <xdr:clientData/>
  </xdr:oneCellAnchor>
  <xdr:oneCellAnchor>
    <xdr:from>
      <xdr:col>3</xdr:col>
      <xdr:colOff>1</xdr:colOff>
      <xdr:row>18</xdr:row>
      <xdr:rowOff>0</xdr:rowOff>
    </xdr:from>
    <xdr:ext cx="4876799" cy="32385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06B25C9-102E-74D4-821C-FCFC9CCCD966}"/>
            </a:ext>
          </a:extLst>
        </xdr:cNvPr>
        <xdr:cNvSpPr txBox="1"/>
      </xdr:nvSpPr>
      <xdr:spPr>
        <a:xfrm>
          <a:off x="4181476" y="2914650"/>
          <a:ext cx="4876799" cy="3238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none"/>
            <a:t>Input any date of a payday (assuming</a:t>
          </a:r>
          <a:r>
            <a:rPr lang="en-US" sz="1100" b="0" u="none" baseline="0"/>
            <a:t> bi-weekly)</a:t>
          </a:r>
          <a:endParaRPr lang="en-US" sz="1100">
            <a:effectLst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726481" cy="23980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FF640EA-AA77-4B4E-AE70-00EF8865731C}"/>
            </a:ext>
          </a:extLst>
        </xdr:cNvPr>
        <xdr:cNvSpPr txBox="1"/>
      </xdr:nvSpPr>
      <xdr:spPr>
        <a:xfrm>
          <a:off x="4371975" y="190500"/>
          <a:ext cx="726481" cy="23980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>
              <a:solidFill>
                <a:srgbClr val="FF0000"/>
              </a:solidFill>
            </a:rPr>
            <a:t>To add....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PNC">
      <a:dk1>
        <a:srgbClr val="000000"/>
      </a:dk1>
      <a:lt1>
        <a:srgbClr val="FFFFFF"/>
      </a:lt1>
      <a:dk2>
        <a:srgbClr val="005288"/>
      </a:dk2>
      <a:lt2>
        <a:srgbClr val="DCF1F7"/>
      </a:lt2>
      <a:accent1>
        <a:srgbClr val="5B9BD5"/>
      </a:accent1>
      <a:accent2>
        <a:srgbClr val="ED9131"/>
      </a:accent2>
      <a:accent3>
        <a:srgbClr val="70AD47"/>
      </a:accent3>
      <a:accent4>
        <a:srgbClr val="FCC000"/>
      </a:accent4>
      <a:accent5>
        <a:srgbClr val="4472C4"/>
      </a:accent5>
      <a:accent6>
        <a:srgbClr val="A5A5A5"/>
      </a:accent6>
      <a:hlink>
        <a:srgbClr val="7F7F7F"/>
      </a:hlink>
      <a:folHlink>
        <a:srgbClr val="ABB0B4"/>
      </a:folHlink>
    </a:clrScheme>
    <a:fontScheme name="PNC_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2A20-D9A6-4E50-97AD-C21F6F219053}">
  <sheetPr codeName="Sheet2">
    <tabColor theme="6"/>
  </sheetPr>
  <dimension ref="B2:D25"/>
  <sheetViews>
    <sheetView workbookViewId="0">
      <selection activeCell="D9" sqref="D9"/>
    </sheetView>
  </sheetViews>
  <sheetFormatPr defaultRowHeight="12.75" x14ac:dyDescent="0.2"/>
  <cols>
    <col min="1" max="1" width="2.85546875" customWidth="1"/>
    <col min="2" max="2" width="17.28515625" bestFit="1" customWidth="1"/>
    <col min="3" max="3" width="2.140625" bestFit="1" customWidth="1"/>
  </cols>
  <sheetData>
    <row r="2" spans="2:4" x14ac:dyDescent="0.2">
      <c r="B2" s="194" t="s">
        <v>275</v>
      </c>
    </row>
    <row r="3" spans="2:4" x14ac:dyDescent="0.2">
      <c r="B3" s="38" t="s">
        <v>173</v>
      </c>
      <c r="C3" s="124" t="s">
        <v>158</v>
      </c>
      <c r="D3" s="38" t="s">
        <v>264</v>
      </c>
    </row>
    <row r="4" spans="2:4" x14ac:dyDescent="0.2">
      <c r="B4" s="38" t="s">
        <v>175</v>
      </c>
      <c r="C4" s="124" t="s">
        <v>158</v>
      </c>
      <c r="D4" s="38" t="s">
        <v>174</v>
      </c>
    </row>
    <row r="5" spans="2:4" x14ac:dyDescent="0.2">
      <c r="B5" s="38" t="s">
        <v>60</v>
      </c>
      <c r="C5" s="124" t="s">
        <v>158</v>
      </c>
      <c r="D5" s="38" t="s">
        <v>176</v>
      </c>
    </row>
    <row r="6" spans="2:4" x14ac:dyDescent="0.2">
      <c r="B6" s="38" t="s">
        <v>59</v>
      </c>
      <c r="C6" s="124" t="s">
        <v>158</v>
      </c>
      <c r="D6" s="38" t="s">
        <v>177</v>
      </c>
    </row>
    <row r="7" spans="2:4" x14ac:dyDescent="0.2">
      <c r="B7" s="38" t="s">
        <v>179</v>
      </c>
      <c r="C7" s="124" t="s">
        <v>158</v>
      </c>
      <c r="D7" s="38" t="s">
        <v>178</v>
      </c>
    </row>
    <row r="8" spans="2:4" x14ac:dyDescent="0.2">
      <c r="B8" s="38" t="s">
        <v>12</v>
      </c>
      <c r="C8" s="38" t="s">
        <v>158</v>
      </c>
      <c r="D8" t="s">
        <v>310</v>
      </c>
    </row>
    <row r="9" spans="2:4" x14ac:dyDescent="0.2">
      <c r="B9" s="38"/>
      <c r="C9" s="124"/>
      <c r="D9" s="38"/>
    </row>
    <row r="10" spans="2:4" x14ac:dyDescent="0.2">
      <c r="B10" s="194" t="s">
        <v>276</v>
      </c>
      <c r="C10" s="124"/>
      <c r="D10" s="38"/>
    </row>
    <row r="11" spans="2:4" x14ac:dyDescent="0.2">
      <c r="B11" s="39" t="s">
        <v>170</v>
      </c>
      <c r="C11" s="124" t="s">
        <v>158</v>
      </c>
      <c r="D11" s="38" t="s">
        <v>265</v>
      </c>
    </row>
    <row r="12" spans="2:4" x14ac:dyDescent="0.2">
      <c r="B12" s="123" t="s">
        <v>169</v>
      </c>
      <c r="C12" s="124" t="s">
        <v>158</v>
      </c>
      <c r="D12" s="38" t="s">
        <v>266</v>
      </c>
    </row>
    <row r="13" spans="2:4" x14ac:dyDescent="0.2">
      <c r="B13" s="122" t="s">
        <v>157</v>
      </c>
      <c r="C13" s="124" t="s">
        <v>158</v>
      </c>
      <c r="D13" s="38" t="s">
        <v>267</v>
      </c>
    </row>
    <row r="14" spans="2:4" x14ac:dyDescent="0.2">
      <c r="B14" s="44" t="s">
        <v>180</v>
      </c>
      <c r="C14" s="124" t="s">
        <v>158</v>
      </c>
      <c r="D14" s="38" t="s">
        <v>181</v>
      </c>
    </row>
    <row r="15" spans="2:4" x14ac:dyDescent="0.2">
      <c r="B15" s="171" t="s">
        <v>232</v>
      </c>
      <c r="C15" s="124" t="s">
        <v>158</v>
      </c>
      <c r="D15" s="38" t="s">
        <v>233</v>
      </c>
    </row>
    <row r="16" spans="2:4" x14ac:dyDescent="0.2">
      <c r="B16" s="171"/>
      <c r="C16" s="124"/>
      <c r="D16" s="38"/>
    </row>
    <row r="17" spans="2:4" x14ac:dyDescent="0.2">
      <c r="B17" s="195" t="s">
        <v>277</v>
      </c>
      <c r="C17" s="124"/>
      <c r="D17" s="38"/>
    </row>
    <row r="18" spans="2:4" x14ac:dyDescent="0.2">
      <c r="B18" s="38" t="s">
        <v>268</v>
      </c>
      <c r="C18" s="38" t="s">
        <v>158</v>
      </c>
      <c r="D18" t="s">
        <v>308</v>
      </c>
    </row>
    <row r="19" spans="2:4" x14ac:dyDescent="0.2">
      <c r="B19" s="38" t="s">
        <v>270</v>
      </c>
      <c r="C19" s="38" t="s">
        <v>158</v>
      </c>
      <c r="D19" t="s">
        <v>269</v>
      </c>
    </row>
    <row r="20" spans="2:4" x14ac:dyDescent="0.2">
      <c r="B20" s="38" t="s">
        <v>271</v>
      </c>
      <c r="C20" s="38" t="s">
        <v>158</v>
      </c>
      <c r="D20" t="s">
        <v>274</v>
      </c>
    </row>
    <row r="21" spans="2:4" x14ac:dyDescent="0.2">
      <c r="B21" s="38" t="s">
        <v>272</v>
      </c>
      <c r="C21" s="38" t="s">
        <v>158</v>
      </c>
      <c r="D21" t="s">
        <v>273</v>
      </c>
    </row>
    <row r="23" spans="2:4" x14ac:dyDescent="0.2">
      <c r="B23" s="194" t="s">
        <v>309</v>
      </c>
    </row>
    <row r="24" spans="2:4" x14ac:dyDescent="0.2">
      <c r="B24" s="38" t="s">
        <v>303</v>
      </c>
    </row>
    <row r="25" spans="2:4" x14ac:dyDescent="0.2">
      <c r="B25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8BF6-AA12-4DFB-8E23-647A1937E350}">
  <sheetPr codeName="Sheet3">
    <tabColor theme="6"/>
  </sheetPr>
  <dimension ref="B2:B8"/>
  <sheetViews>
    <sheetView workbookViewId="0">
      <selection activeCell="A2" sqref="A2"/>
    </sheetView>
  </sheetViews>
  <sheetFormatPr defaultRowHeight="12.75" x14ac:dyDescent="0.2"/>
  <cols>
    <col min="1" max="1" width="2.5703125" customWidth="1"/>
  </cols>
  <sheetData>
    <row r="2" spans="2:2" x14ac:dyDescent="0.2">
      <c r="B2" s="38" t="s">
        <v>279</v>
      </c>
    </row>
    <row r="3" spans="2:2" x14ac:dyDescent="0.2">
      <c r="B3" s="38"/>
    </row>
    <row r="5" spans="2:2" x14ac:dyDescent="0.2">
      <c r="B5" s="38"/>
    </row>
    <row r="8" spans="2:2" x14ac:dyDescent="0.2">
      <c r="B8" s="3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A0A3-6000-4FCF-9738-A3321631AF9A}">
  <sheetPr codeName="Sheet5"/>
  <dimension ref="A1"/>
  <sheetViews>
    <sheetView workbookViewId="0"/>
  </sheetViews>
  <sheetFormatPr defaultRowHeight="12.75" x14ac:dyDescent="0.2"/>
  <cols>
    <col min="1" max="16384" width="9.140625" style="37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6222A-0A7D-4807-85F0-7456FD4AFBDE}">
  <sheetPr codeName="Sheet36">
    <tabColor theme="7"/>
  </sheetPr>
  <dimension ref="B2:C21"/>
  <sheetViews>
    <sheetView workbookViewId="0">
      <selection activeCell="B21" sqref="B21"/>
    </sheetView>
  </sheetViews>
  <sheetFormatPr defaultRowHeight="12.75" x14ac:dyDescent="0.2"/>
  <cols>
    <col min="1" max="1" width="2.85546875" customWidth="1"/>
    <col min="2" max="2" width="35.140625" bestFit="1" customWidth="1"/>
    <col min="3" max="3" width="7.7109375" bestFit="1" customWidth="1"/>
  </cols>
  <sheetData>
    <row r="2" spans="2:3" x14ac:dyDescent="0.2">
      <c r="B2" s="87" t="s">
        <v>263</v>
      </c>
      <c r="C2" s="88"/>
    </row>
    <row r="3" spans="2:3" x14ac:dyDescent="0.2">
      <c r="B3" s="129" t="s">
        <v>80</v>
      </c>
      <c r="C3" s="130">
        <f>SUMIFS(Assets!$G:$G,Assets!$F:$F,Blanket!$C$7)</f>
        <v>5000</v>
      </c>
    </row>
    <row r="4" spans="2:3" x14ac:dyDescent="0.2">
      <c r="B4" s="129" t="s">
        <v>189</v>
      </c>
      <c r="C4" s="130">
        <f>SUMIFS(Assets!$G:$G,Assets!$E:$E,Blanket!C8)-C3</f>
        <v>30000</v>
      </c>
    </row>
    <row r="5" spans="2:3" x14ac:dyDescent="0.2">
      <c r="B5" s="129" t="s">
        <v>165</v>
      </c>
      <c r="C5" s="130">
        <f>SUMIFS(Assets!$G:$G,Assets!$C:$C,"Cash")-SUM(C3:C4)</f>
        <v>2270</v>
      </c>
    </row>
    <row r="6" spans="2:3" x14ac:dyDescent="0.2">
      <c r="B6" s="127" t="s">
        <v>197</v>
      </c>
      <c r="C6" s="128">
        <f>SUM(C3:C5)</f>
        <v>37270</v>
      </c>
    </row>
    <row r="7" spans="2:3" x14ac:dyDescent="0.2">
      <c r="B7" s="129"/>
      <c r="C7" s="130"/>
    </row>
    <row r="8" spans="2:3" x14ac:dyDescent="0.2">
      <c r="B8" s="129" t="s">
        <v>242</v>
      </c>
      <c r="C8" s="130">
        <f>SUMIFS(Assets!$G:$G,Assets!$C:$C,"Brokerage",Assets!$D:$D,"Liquid")</f>
        <v>12500</v>
      </c>
    </row>
    <row r="9" spans="2:3" x14ac:dyDescent="0.2">
      <c r="B9" s="127" t="s">
        <v>241</v>
      </c>
      <c r="C9" s="128">
        <f>SUM(C6:C8)</f>
        <v>49770</v>
      </c>
    </row>
    <row r="10" spans="2:3" x14ac:dyDescent="0.2">
      <c r="B10" s="129"/>
      <c r="C10" s="130"/>
    </row>
    <row r="11" spans="2:3" x14ac:dyDescent="0.2">
      <c r="B11" s="132" t="s">
        <v>243</v>
      </c>
      <c r="C11" s="130"/>
    </row>
    <row r="12" spans="2:3" x14ac:dyDescent="0.2">
      <c r="B12" s="129" t="s">
        <v>80</v>
      </c>
      <c r="C12" s="130">
        <f ca="1">SUMIFS(NTM!$C$10:$N$10,NTM!$C$101:$N$101,"&lt;="&amp;Blanket!C11)</f>
        <v>1227.99</v>
      </c>
    </row>
    <row r="13" spans="2:3" x14ac:dyDescent="0.2">
      <c r="B13" s="129" t="s">
        <v>244</v>
      </c>
      <c r="C13" s="130">
        <f ca="1">SUMIFS(NTM!$C$10:$N$10,NTM!$C$101:$N$101,"&lt;="&amp;Blanket!C16)-C12</f>
        <v>6468.97</v>
      </c>
    </row>
    <row r="14" spans="2:3" x14ac:dyDescent="0.2">
      <c r="B14" s="129" t="s">
        <v>165</v>
      </c>
      <c r="C14" s="130">
        <f ca="1">SUMIFS(NTM!$C$10:$N$10,NTM!$C$101:$N$101,"&lt;="&amp;Blanket!C17)-SUM(C12:C13)</f>
        <v>14825.880000000005</v>
      </c>
    </row>
    <row r="15" spans="2:3" x14ac:dyDescent="0.2">
      <c r="B15" s="127" t="s">
        <v>191</v>
      </c>
      <c r="C15" s="128">
        <f ca="1">SUM(C12:C14)</f>
        <v>22522.840000000004</v>
      </c>
    </row>
    <row r="16" spans="2:3" x14ac:dyDescent="0.2">
      <c r="B16" s="131"/>
      <c r="C16" s="130"/>
    </row>
    <row r="17" spans="2:3" x14ac:dyDescent="0.2">
      <c r="B17" s="132" t="s">
        <v>190</v>
      </c>
      <c r="C17" s="130"/>
    </row>
    <row r="18" spans="2:3" x14ac:dyDescent="0.2">
      <c r="B18" s="129" t="s">
        <v>79</v>
      </c>
      <c r="C18" s="130">
        <f ca="1">C12-C3</f>
        <v>-3772.01</v>
      </c>
    </row>
    <row r="19" spans="2:3" x14ac:dyDescent="0.2">
      <c r="B19" s="129" t="s">
        <v>182</v>
      </c>
      <c r="C19" s="130">
        <f ca="1">C13-C4</f>
        <v>-23531.03</v>
      </c>
    </row>
    <row r="20" spans="2:3" x14ac:dyDescent="0.2">
      <c r="B20" s="127" t="s">
        <v>312</v>
      </c>
      <c r="C20" s="128">
        <f ca="1">SUM(C18:C19)</f>
        <v>-27303.040000000001</v>
      </c>
    </row>
    <row r="21" spans="2:3" x14ac:dyDescent="0.2">
      <c r="B21" s="129" t="s">
        <v>185</v>
      </c>
      <c r="C21" s="130">
        <f ca="1">C14-C5</f>
        <v>12555.880000000005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923DB-C573-4134-B265-15F32068133C}">
  <sheetPr codeName="Sheet37">
    <tabColor theme="7"/>
  </sheetPr>
  <dimension ref="A1:W88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defaultColWidth="7.7109375" defaultRowHeight="12.75" x14ac:dyDescent="0.2"/>
  <cols>
    <col min="1" max="1" width="1" style="51" customWidth="1"/>
    <col min="2" max="2" width="30.5703125" style="119" bestFit="1" customWidth="1"/>
    <col min="3" max="3" width="10.28515625" style="5" bestFit="1" customWidth="1"/>
    <col min="4" max="4" width="10.28515625" style="5" customWidth="1"/>
    <col min="5" max="7" width="11.28515625" style="5" bestFit="1" customWidth="1"/>
    <col min="8" max="8" width="1" style="51" customWidth="1"/>
    <col min="9" max="9" width="12.28515625" style="5" bestFit="1" customWidth="1"/>
    <col min="10" max="10" width="9.85546875" style="5" bestFit="1" customWidth="1"/>
    <col min="11" max="11" width="10.42578125" style="5" bestFit="1" customWidth="1"/>
    <col min="12" max="12" width="14.5703125" style="5" customWidth="1"/>
    <col min="13" max="13" width="10.42578125" style="6" bestFit="1" customWidth="1"/>
    <col min="14" max="14" width="10.42578125" style="5" customWidth="1"/>
    <col min="15" max="17" width="9.140625" style="5" customWidth="1"/>
    <col min="18" max="18" width="7.7109375" style="5"/>
    <col min="19" max="19" width="18.85546875" style="5" customWidth="1"/>
    <col min="20" max="20" width="22" style="5" bestFit="1" customWidth="1"/>
    <col min="21" max="21" width="7.7109375" style="5"/>
    <col min="22" max="22" width="10.42578125" style="5" bestFit="1" customWidth="1"/>
    <col min="23" max="24" width="7.7109375" style="5"/>
    <col min="25" max="25" width="10.42578125" style="5" bestFit="1" customWidth="1"/>
    <col min="26" max="16384" width="7.7109375" style="5"/>
  </cols>
  <sheetData>
    <row r="1" spans="1:23" s="45" customFormat="1" ht="5.0999999999999996" customHeight="1" x14ac:dyDescent="0.2">
      <c r="A1" s="75" t="s">
        <v>73</v>
      </c>
      <c r="B1" s="95"/>
      <c r="C1" s="16"/>
      <c r="D1" s="16"/>
      <c r="E1" s="16"/>
      <c r="F1" s="16"/>
      <c r="G1" s="16"/>
      <c r="H1" s="75" t="s">
        <v>73</v>
      </c>
      <c r="L1" s="46"/>
      <c r="M1" s="46"/>
      <c r="N1" s="15"/>
    </row>
    <row r="2" spans="1:23" ht="12.75" customHeight="1" x14ac:dyDescent="0.2">
      <c r="A2" s="62"/>
      <c r="B2" s="96" t="s">
        <v>262</v>
      </c>
      <c r="C2" s="3"/>
      <c r="D2" s="3"/>
      <c r="E2" s="3"/>
      <c r="F2" s="4"/>
      <c r="G2" s="4"/>
      <c r="H2" s="62"/>
    </row>
    <row r="3" spans="1:23" s="45" customFormat="1" ht="5.0999999999999996" customHeight="1" thickBot="1" x14ac:dyDescent="0.25">
      <c r="A3" s="75"/>
      <c r="B3" s="95"/>
      <c r="C3" s="16"/>
      <c r="D3" s="16"/>
      <c r="E3" s="16"/>
      <c r="F3" s="16"/>
      <c r="G3" s="16"/>
      <c r="H3" s="62"/>
      <c r="L3" s="46"/>
      <c r="M3" s="46"/>
      <c r="N3" s="15"/>
    </row>
    <row r="4" spans="1:23" ht="13.5" thickBot="1" x14ac:dyDescent="0.25">
      <c r="A4" s="63"/>
      <c r="B4" s="97"/>
      <c r="C4" s="185" t="s">
        <v>236</v>
      </c>
      <c r="D4" s="7" t="s">
        <v>238</v>
      </c>
      <c r="E4" s="7" t="s">
        <v>136</v>
      </c>
      <c r="F4" s="7" t="s">
        <v>2</v>
      </c>
      <c r="G4" s="186" t="s">
        <v>1</v>
      </c>
      <c r="H4" s="63"/>
      <c r="L4" s="8"/>
      <c r="M4" s="9"/>
      <c r="N4" s="10"/>
      <c r="O4" s="11"/>
      <c r="U4" s="12"/>
      <c r="V4" s="12"/>
      <c r="W4" s="12"/>
    </row>
    <row r="5" spans="1:23" s="52" customFormat="1" ht="5.0999999999999996" customHeight="1" x14ac:dyDescent="0.2">
      <c r="A5" s="68"/>
      <c r="B5" s="98"/>
      <c r="C5" s="76"/>
      <c r="D5" s="76"/>
      <c r="E5" s="76"/>
      <c r="F5" s="76"/>
      <c r="G5" s="76"/>
      <c r="H5" s="77"/>
      <c r="L5" s="69"/>
      <c r="M5" s="70"/>
      <c r="N5" s="71"/>
      <c r="O5" s="72"/>
      <c r="U5" s="73"/>
      <c r="V5" s="73"/>
      <c r="W5" s="73"/>
    </row>
    <row r="6" spans="1:23" ht="12.75" customHeight="1" x14ac:dyDescent="0.2">
      <c r="A6" s="62"/>
      <c r="B6" s="102" t="s">
        <v>51</v>
      </c>
      <c r="C6" s="142"/>
      <c r="D6" s="142"/>
      <c r="E6" s="142"/>
      <c r="F6" s="142"/>
      <c r="G6" s="142"/>
      <c r="H6" s="80"/>
    </row>
    <row r="7" spans="1:23" ht="12.75" customHeight="1" x14ac:dyDescent="0.2">
      <c r="A7" s="62"/>
      <c r="B7" s="103" t="s">
        <v>15</v>
      </c>
      <c r="C7" s="144">
        <f>SUMIFS(Recurring!$D:$D,Recurring!$B:$B,$B7,Recurring!$E:$E,C$4)</f>
        <v>0</v>
      </c>
      <c r="D7" s="144">
        <f>_xlfn.LET(
_xlpm.daily,IF(C7&lt;&gt;0,C7*7,0),
_xlpm.weekly,SUMIFS(Recurring!$D:$D,Recurring!$B:$B,$B7,Recurring!$E:$E,D$4),
_xlpm.daily+_xlpm.weekly)</f>
        <v>0</v>
      </c>
      <c r="E7" s="144">
        <f>_xlfn.LET(
_xlpm.weekly,IF(D7&lt;&gt;0,D7*2,0),
_xlpm.biweekly,SUMIFS(Recurring!$D:$D,Recurring!$B:$B,$B7,Recurring!$E:$E,E$4),
_xlpm.weekly+_xlpm.biweekly)</f>
        <v>4000</v>
      </c>
      <c r="F7" s="144">
        <f>_xlfn.LET(
_xlpm.biweekly,IF(E7&lt;&gt;0,E7*26/12,0),
_xlpm.monthly,SUMIFS(Recurring!$D:$D,Recurring!$B:$B,$B7,Recurring!$E:$E,F$4),
_xlpm.biweekly+_xlpm.monthly)</f>
        <v>8666.6666666666661</v>
      </c>
      <c r="G7" s="144">
        <f>_xlfn.LET(
_xlpm.monthly,IF(F7&lt;&gt;0,F7*12,0),
_xlpm.annually,SUMIFS(Recurring!$D:$D,Recurring!$B:$B,$B7,Recurring!$E:$E,G$4),
_xlpm.monthly+_xlpm.annually)</f>
        <v>104000</v>
      </c>
      <c r="H7" s="80"/>
      <c r="N7" s="18"/>
    </row>
    <row r="8" spans="1:23" ht="12.75" customHeight="1" x14ac:dyDescent="0.2">
      <c r="A8" s="62"/>
      <c r="B8" s="103" t="s">
        <v>16</v>
      </c>
      <c r="C8" s="144">
        <f>SUMIFS(Recurring!$D:$D,Recurring!$B:$B,$B8,Recurring!$E:$E,C$4)</f>
        <v>0</v>
      </c>
      <c r="D8" s="144">
        <f>_xlfn.LET(
_xlpm.daily,IF(C8&lt;&gt;0,C8*7,0),
_xlpm.weekly,SUMIFS(Recurring!$D:$D,Recurring!$B:$B,$B8,Recurring!$E:$E,D$4),
_xlpm.daily+_xlpm.weekly)</f>
        <v>0</v>
      </c>
      <c r="E8" s="144">
        <f>_xlfn.LET(
_xlpm.weekly,IF(D8&lt;&gt;0,D8*2,0),
_xlpm.biweekly,SUMIFS(Recurring!$D:$D,Recurring!$B:$B,$B8,Recurring!$E:$E,E$4),
_xlpm.weekly+_xlpm.biweekly)</f>
        <v>0</v>
      </c>
      <c r="F8" s="144">
        <f>_xlfn.LET(
_xlpm.biweekly,IF(E8&lt;&gt;0,E8*26/12,0),
_xlpm.monthly,SUMIFS(Recurring!$D:$D,Recurring!$B:$B,$B8,Recurring!$E:$E,F$4),
_xlpm.biweekly+_xlpm.monthly)</f>
        <v>0</v>
      </c>
      <c r="G8" s="144">
        <f>_xlfn.LET(
_xlpm.monthly,IF(F8&lt;&gt;0,F8*12,0),
_xlpm.annually,SUMIFS(Recurring!$D:$D,Recurring!$B:$B,$B8,Recurring!$E:$E,G$4),
_xlpm.monthly+_xlpm.annually)</f>
        <v>0</v>
      </c>
      <c r="H8" s="80"/>
      <c r="N8" s="18"/>
    </row>
    <row r="9" spans="1:23" ht="12.75" customHeight="1" x14ac:dyDescent="0.2">
      <c r="A9" s="62"/>
      <c r="B9" s="103" t="s">
        <v>56</v>
      </c>
      <c r="C9" s="144">
        <f>SUMIFS(Recurring!$D:$D,Recurring!$B:$B,$B9,Recurring!$E:$E,C$4)</f>
        <v>0</v>
      </c>
      <c r="D9" s="144">
        <f>_xlfn.LET(
_xlpm.daily,IF(C9&lt;&gt;0,C9*7,0),
_xlpm.weekly,SUMIFS(Recurring!$D:$D,Recurring!$B:$B,$B9,Recurring!$E:$E,D$4),
_xlpm.daily+_xlpm.weekly)</f>
        <v>0</v>
      </c>
      <c r="E9" s="144">
        <f>_xlfn.LET(
_xlpm.weekly,IF(D9&lt;&gt;0,D9*2,0),
_xlpm.biweekly,SUMIFS(Recurring!$D:$D,Recurring!$B:$B,$B9,Recurring!$E:$E,E$4),
_xlpm.weekly+_xlpm.biweekly)</f>
        <v>0</v>
      </c>
      <c r="F9" s="144">
        <f>_xlfn.LET(
_xlpm.biweekly,IF(E9&lt;&gt;0,E9*26/12,0),
_xlpm.monthly,SUMIFS(Recurring!$D:$D,Recurring!$B:$B,$B9,Recurring!$E:$E,F$4),
_xlpm.biweekly+_xlpm.monthly)</f>
        <v>50</v>
      </c>
      <c r="G9" s="144">
        <f>_xlfn.LET(
_xlpm.monthly,IF(F9&lt;&gt;0,F9*12,0),
_xlpm.annually,SUMIFS(Recurring!$D:$D,Recurring!$B:$B,$B9,Recurring!$E:$E,G$4),
_xlpm.monthly+_xlpm.annually)</f>
        <v>600</v>
      </c>
      <c r="H9" s="80"/>
      <c r="N9" s="18"/>
    </row>
    <row r="10" spans="1:23" s="52" customFormat="1" ht="5.0999999999999996" customHeight="1" x14ac:dyDescent="0.2">
      <c r="A10" s="65"/>
      <c r="B10" s="103"/>
      <c r="C10" s="134"/>
      <c r="D10" s="134"/>
      <c r="E10" s="134"/>
      <c r="F10" s="134"/>
      <c r="G10" s="134"/>
      <c r="H10" s="83"/>
      <c r="M10" s="53"/>
      <c r="N10" s="54"/>
    </row>
    <row r="11" spans="1:23" ht="12.75" customHeight="1" x14ac:dyDescent="0.2">
      <c r="A11" s="62"/>
      <c r="B11" s="105" t="s">
        <v>46</v>
      </c>
      <c r="C11" s="146"/>
      <c r="D11" s="146"/>
      <c r="E11" s="146"/>
      <c r="F11" s="146"/>
      <c r="G11" s="146"/>
      <c r="H11" s="80"/>
      <c r="N11" s="18"/>
    </row>
    <row r="12" spans="1:23" s="52" customFormat="1" ht="5.0999999999999996" customHeight="1" x14ac:dyDescent="0.2">
      <c r="A12" s="65"/>
      <c r="B12" s="103"/>
      <c r="C12" s="134"/>
      <c r="D12" s="134"/>
      <c r="E12" s="134"/>
      <c r="F12" s="134"/>
      <c r="G12" s="134"/>
      <c r="H12" s="83"/>
      <c r="M12" s="53"/>
      <c r="N12" s="54"/>
    </row>
    <row r="13" spans="1:23" s="52" customFormat="1" x14ac:dyDescent="0.2">
      <c r="A13" s="65"/>
      <c r="B13" s="106" t="s">
        <v>137</v>
      </c>
      <c r="C13" s="134"/>
      <c r="D13" s="134"/>
      <c r="E13" s="134"/>
      <c r="F13" s="134"/>
      <c r="G13" s="134"/>
      <c r="H13" s="83"/>
      <c r="M13" s="53"/>
      <c r="N13" s="54"/>
    </row>
    <row r="14" spans="1:23" ht="12.75" customHeight="1" x14ac:dyDescent="0.2">
      <c r="A14" s="62"/>
      <c r="B14" s="103" t="s">
        <v>50</v>
      </c>
      <c r="C14" s="144">
        <f>SUMIFS(Recurring!$D:$D,Recurring!$B:$B,$B14,Recurring!$E:$E,C$4)</f>
        <v>0</v>
      </c>
      <c r="D14" s="144">
        <f>_xlfn.LET(
_xlpm.daily,IF(C14&lt;&gt;0,C14*7,0),
_xlpm.weekly,SUMIFS(Recurring!$D:$D,Recurring!$B:$B,$B14,Recurring!$E:$E,D$4),
_xlpm.daily+_xlpm.weekly)</f>
        <v>0</v>
      </c>
      <c r="E14" s="144">
        <f>_xlfn.LET(
_xlpm.weekly,IF(D14&lt;&gt;0,D14*2,0),
_xlpm.biweekly,SUMIFS(Recurring!$D:$D,Recurring!$B:$B,$B14,Recurring!$E:$E,E$4),
_xlpm.weekly+_xlpm.biweekly)</f>
        <v>0</v>
      </c>
      <c r="F14" s="144">
        <f>_xlfn.LET(
_xlpm.biweekly,IF(E14&lt;&gt;0,E14*26/12,0),
_xlpm.monthly,SUMIFS(Recurring!$D:$D,Recurring!$B:$B,$B14,Recurring!$E:$E,F$4),
_xlpm.biweekly+_xlpm.monthly)</f>
        <v>0</v>
      </c>
      <c r="G14" s="144">
        <f>_xlfn.LET(
_xlpm.monthly,IF(F14&lt;&gt;0,F14*12,0),
_xlpm.annually,SUMIFS(Recurring!$D:$D,Recurring!$B:$B,$B14,Recurring!$E:$E,G$4),
_xlpm.monthly+_xlpm.annually)</f>
        <v>0</v>
      </c>
      <c r="H14" s="80"/>
    </row>
    <row r="15" spans="1:23" ht="12.75" customHeight="1" x14ac:dyDescent="0.2">
      <c r="A15" s="62"/>
      <c r="B15" s="103" t="s">
        <v>140</v>
      </c>
      <c r="C15" s="144">
        <f>SUMIFS(Recurring!$D:$D,Recurring!$B:$B,$B15,Recurring!$E:$E,C$4)</f>
        <v>0</v>
      </c>
      <c r="D15" s="144">
        <f>_xlfn.LET(
_xlpm.daily,IF(C15&lt;&gt;0,C15*7,0),
_xlpm.weekly,SUMIFS(Recurring!$D:$D,Recurring!$B:$B,$B15,Recurring!$E:$E,D$4),
_xlpm.daily+_xlpm.weekly)</f>
        <v>0</v>
      </c>
      <c r="E15" s="144">
        <f>_xlfn.LET(
_xlpm.weekly,IF(D15&lt;&gt;0,D15*2,0),
_xlpm.biweekly,SUMIFS(Recurring!$D:$D,Recurring!$B:$B,$B15,Recurring!$E:$E,E$4),
_xlpm.weekly+_xlpm.biweekly)</f>
        <v>0</v>
      </c>
      <c r="F15" s="144">
        <f>_xlfn.LET(
_xlpm.biweekly,IF(E15&lt;&gt;0,E15*26/12,0),
_xlpm.monthly,SUMIFS(Recurring!$D:$D,Recurring!$B:$B,$B15,Recurring!$E:$E,F$4),
_xlpm.biweekly+_xlpm.monthly)</f>
        <v>0</v>
      </c>
      <c r="G15" s="144">
        <f>_xlfn.LET(
_xlpm.monthly,IF(F15&lt;&gt;0,F15*12,0),
_xlpm.annually,SUMIFS(Recurring!$D:$D,Recurring!$B:$B,$B15,Recurring!$E:$E,G$4),
_xlpm.monthly+_xlpm.annually)</f>
        <v>0</v>
      </c>
      <c r="H15" s="80"/>
    </row>
    <row r="16" spans="1:23" ht="12.75" customHeight="1" x14ac:dyDescent="0.2">
      <c r="A16" s="62"/>
      <c r="B16" s="103" t="s">
        <v>139</v>
      </c>
      <c r="C16" s="144">
        <f>SUMIFS(Recurring!$D:$D,Recurring!$B:$B,$B16,Recurring!$E:$E,C$4)</f>
        <v>0</v>
      </c>
      <c r="D16" s="144">
        <f>_xlfn.LET(
_xlpm.daily,IF(C16&lt;&gt;0,C16*7,0),
_xlpm.weekly,SUMIFS(Recurring!$D:$D,Recurring!$B:$B,$B16,Recurring!$E:$E,D$4),
_xlpm.daily+_xlpm.weekly)</f>
        <v>0</v>
      </c>
      <c r="E16" s="144">
        <f>_xlfn.LET(
_xlpm.weekly,IF(D16&lt;&gt;0,D16*2,0),
_xlpm.biweekly,SUMIFS(Recurring!$D:$D,Recurring!$B:$B,$B16,Recurring!$E:$E,E$4),
_xlpm.weekly+_xlpm.biweekly)</f>
        <v>0</v>
      </c>
      <c r="F16" s="144">
        <f>_xlfn.LET(
_xlpm.biweekly,IF(E16&lt;&gt;0,E16*26/12,0),
_xlpm.monthly,SUMIFS(Recurring!$D:$D,Recurring!$B:$B,$B16,Recurring!$E:$E,F$4),
_xlpm.biweekly+_xlpm.monthly)</f>
        <v>0</v>
      </c>
      <c r="G16" s="144">
        <f>_xlfn.LET(
_xlpm.monthly,IF(F16&lt;&gt;0,F16*12,0),
_xlpm.annually,SUMIFS(Recurring!$D:$D,Recurring!$B:$B,$B16,Recurring!$E:$E,G$4),
_xlpm.monthly+_xlpm.annually)</f>
        <v>0</v>
      </c>
      <c r="H16" s="80"/>
    </row>
    <row r="17" spans="1:14" ht="12.75" customHeight="1" x14ac:dyDescent="0.2">
      <c r="A17" s="64"/>
      <c r="B17" s="103" t="s">
        <v>156</v>
      </c>
      <c r="C17" s="144">
        <f>SUMIFS(Recurring!$D:$D,Recurring!$B:$B,$B17,Recurring!$E:$E,C$4)</f>
        <v>0</v>
      </c>
      <c r="D17" s="144">
        <f>_xlfn.LET(
_xlpm.daily,IF(C17&lt;&gt;0,C17*7,0),
_xlpm.weekly,SUMIFS(Recurring!$D:$D,Recurring!$B:$B,$B17,Recurring!$E:$E,D$4),
_xlpm.daily+_xlpm.weekly)</f>
        <v>0</v>
      </c>
      <c r="E17" s="144">
        <f>_xlfn.LET(
_xlpm.weekly,IF(D17&lt;&gt;0,D17*2,0),
_xlpm.biweekly,SUMIFS(Recurring!$D:$D,Recurring!$B:$B,$B17,Recurring!$E:$E,E$4),
_xlpm.weekly+_xlpm.biweekly)</f>
        <v>311</v>
      </c>
      <c r="F17" s="144">
        <f>_xlfn.LET(
_xlpm.biweekly,IF(E17&lt;&gt;0,E17*26/12,0),
_xlpm.monthly,SUMIFS(Recurring!$D:$D,Recurring!$B:$B,$B17,Recurring!$E:$E,F$4),
_xlpm.biweekly+_xlpm.monthly)</f>
        <v>673.83333333333337</v>
      </c>
      <c r="G17" s="144">
        <f>_xlfn.LET(
_xlpm.monthly,IF(F17&lt;&gt;0,F17*12,0),
_xlpm.annually,SUMIFS(Recurring!$D:$D,Recurring!$B:$B,$B17,Recurring!$E:$E,G$4),
_xlpm.monthly+_xlpm.annually)</f>
        <v>8086</v>
      </c>
      <c r="H17" s="81"/>
    </row>
    <row r="18" spans="1:14" s="52" customFormat="1" ht="5.0999999999999996" customHeight="1" x14ac:dyDescent="0.2">
      <c r="A18" s="65"/>
      <c r="B18" s="103"/>
      <c r="C18" s="134"/>
      <c r="D18" s="134"/>
      <c r="E18" s="134"/>
      <c r="F18" s="134"/>
      <c r="G18" s="134"/>
      <c r="H18" s="83"/>
      <c r="M18" s="53"/>
      <c r="N18" s="54"/>
    </row>
    <row r="19" spans="1:14" ht="12.75" customHeight="1" x14ac:dyDescent="0.2">
      <c r="A19" s="62"/>
      <c r="B19" s="105" t="s">
        <v>54</v>
      </c>
      <c r="C19" s="146"/>
      <c r="D19" s="146"/>
      <c r="E19" s="146"/>
      <c r="F19" s="146"/>
      <c r="G19" s="146"/>
      <c r="H19" s="80"/>
      <c r="L19" s="19"/>
      <c r="M19" s="20"/>
      <c r="N19" s="19"/>
    </row>
    <row r="20" spans="1:14" s="52" customFormat="1" ht="5.0999999999999996" customHeight="1" x14ac:dyDescent="0.2">
      <c r="A20" s="65"/>
      <c r="B20" s="103"/>
      <c r="C20" s="134"/>
      <c r="D20" s="134"/>
      <c r="E20" s="134"/>
      <c r="F20" s="134"/>
      <c r="G20" s="134"/>
      <c r="H20" s="83"/>
      <c r="M20" s="53"/>
      <c r="N20" s="54"/>
    </row>
    <row r="21" spans="1:14" ht="12.75" customHeight="1" x14ac:dyDescent="0.2">
      <c r="A21" s="62"/>
      <c r="B21" s="107" t="s">
        <v>55</v>
      </c>
      <c r="C21" s="148"/>
      <c r="D21" s="148"/>
      <c r="E21" s="148"/>
      <c r="F21" s="148"/>
      <c r="G21" s="148"/>
      <c r="H21" s="80"/>
      <c r="L21" s="21"/>
      <c r="N21" s="21"/>
    </row>
    <row r="22" spans="1:14" ht="5.0999999999999996" customHeight="1" x14ac:dyDescent="0.2">
      <c r="A22" s="62"/>
      <c r="B22" s="101"/>
      <c r="C22" s="141"/>
      <c r="D22" s="141"/>
      <c r="E22" s="141"/>
      <c r="F22" s="141"/>
      <c r="G22" s="141"/>
      <c r="H22" s="80"/>
    </row>
    <row r="23" spans="1:14" ht="12.75" customHeight="1" x14ac:dyDescent="0.2">
      <c r="A23" s="62"/>
      <c r="B23" s="108" t="s">
        <v>52</v>
      </c>
      <c r="C23" s="150"/>
      <c r="D23" s="150"/>
      <c r="E23" s="150"/>
      <c r="F23" s="150"/>
      <c r="G23" s="150"/>
      <c r="H23" s="80"/>
    </row>
    <row r="24" spans="1:14" ht="12.75" customHeight="1" x14ac:dyDescent="0.2">
      <c r="A24" s="64"/>
      <c r="B24" s="113" t="s">
        <v>17</v>
      </c>
      <c r="C24" s="144">
        <f>SUMIFS(Recurring!$D:$D,Recurring!$B:$B,$B24,Recurring!$E:$E,C$4)</f>
        <v>0</v>
      </c>
      <c r="D24" s="144">
        <f>_xlfn.LET(
_xlpm.daily,IF(C24&lt;&gt;0,C24*7,0),
_xlpm.weekly,SUMIFS(Recurring!$D:$D,Recurring!$B:$B,$B24,Recurring!$E:$E,D$4),
_xlpm.daily+_xlpm.weekly)</f>
        <v>0</v>
      </c>
      <c r="E24" s="144">
        <f>_xlfn.LET(
_xlpm.weekly,IF(D24&lt;&gt;0,D24*2,0),
_xlpm.biweekly,SUMIFS(Recurring!$D:$D,Recurring!$B:$B,$B24,Recurring!$E:$E,E$4),
_xlpm.weekly+_xlpm.biweekly)</f>
        <v>0</v>
      </c>
      <c r="F24" s="144">
        <f>_xlfn.LET(
_xlpm.biweekly,IF(E24&lt;&gt;0,E24*26/12,0),
_xlpm.monthly,SUMIFS(Recurring!$D:$D,Recurring!$B:$B,$B24,Recurring!$E:$E,F$4),
_xlpm.biweekly+_xlpm.monthly)</f>
        <v>0</v>
      </c>
      <c r="G24" s="144">
        <f>_xlfn.LET(
_xlpm.monthly,IF(F24&lt;&gt;0,F24*12,0),
_xlpm.annually,SUMIFS(Recurring!$D:$D,Recurring!$B:$B,$B24,Recurring!$E:$E,G$4),
_xlpm.monthly+_xlpm.annually)</f>
        <v>0</v>
      </c>
      <c r="H24" s="81"/>
    </row>
    <row r="25" spans="1:14" ht="12.75" customHeight="1" x14ac:dyDescent="0.2">
      <c r="A25" s="64"/>
      <c r="B25" s="103" t="s">
        <v>18</v>
      </c>
      <c r="C25" s="144">
        <f>SUMIFS(Recurring!$D:$D,Recurring!$B:$B,$B25,Recurring!$E:$E,C$4)</f>
        <v>0</v>
      </c>
      <c r="D25" s="144">
        <f>_xlfn.LET(
_xlpm.daily,IF(C25&lt;&gt;0,C25*7,0),
_xlpm.weekly,SUMIFS(Recurring!$D:$D,Recurring!$B:$B,$B25,Recurring!$E:$E,D$4),
_xlpm.daily+_xlpm.weekly)</f>
        <v>0</v>
      </c>
      <c r="E25" s="144">
        <f>_xlfn.LET(
_xlpm.weekly,IF(D25&lt;&gt;0,D25*2,0),
_xlpm.biweekly,SUMIFS(Recurring!$D:$D,Recurring!$B:$B,$B25,Recurring!$E:$E,E$4),
_xlpm.weekly+_xlpm.biweekly)</f>
        <v>0</v>
      </c>
      <c r="F25" s="144">
        <f>_xlfn.LET(
_xlpm.biweekly,IF(E25&lt;&gt;0,E25*26/12,0),
_xlpm.monthly,SUMIFS(Recurring!$D:$D,Recurring!$B:$B,$B25,Recurring!$E:$E,F$4),
_xlpm.biweekly+_xlpm.monthly)</f>
        <v>0</v>
      </c>
      <c r="G25" s="144">
        <f>_xlfn.LET(
_xlpm.monthly,IF(F25&lt;&gt;0,F25*12,0),
_xlpm.annually,SUMIFS(Recurring!$D:$D,Recurring!$B:$B,$B25,Recurring!$E:$E,G$4),
_xlpm.monthly+_xlpm.annually)</f>
        <v>0</v>
      </c>
      <c r="H25" s="81"/>
    </row>
    <row r="26" spans="1:14" ht="12.75" customHeight="1" x14ac:dyDescent="0.2">
      <c r="A26" s="64"/>
      <c r="B26" s="103" t="s">
        <v>19</v>
      </c>
      <c r="C26" s="144">
        <f>SUMIFS(Recurring!$D:$D,Recurring!$B:$B,$B26,Recurring!$E:$E,C$4)</f>
        <v>0</v>
      </c>
      <c r="D26" s="144">
        <f>_xlfn.LET(
_xlpm.daily,IF(C26&lt;&gt;0,C26*7,0),
_xlpm.weekly,SUMIFS(Recurring!$D:$D,Recurring!$B:$B,$B26,Recurring!$E:$E,D$4),
_xlpm.daily+_xlpm.weekly)</f>
        <v>0</v>
      </c>
      <c r="E26" s="144">
        <f>_xlfn.LET(
_xlpm.weekly,IF(D26&lt;&gt;0,D26*2,0),
_xlpm.biweekly,SUMIFS(Recurring!$D:$D,Recurring!$B:$B,$B26,Recurring!$E:$E,E$4),
_xlpm.weekly+_xlpm.biweekly)</f>
        <v>0</v>
      </c>
      <c r="F26" s="144">
        <f>_xlfn.LET(
_xlpm.biweekly,IF(E26&lt;&gt;0,E26*26/12,0),
_xlpm.monthly,SUMIFS(Recurring!$D:$D,Recurring!$B:$B,$B26,Recurring!$E:$E,F$4),
_xlpm.biweekly+_xlpm.monthly)</f>
        <v>0</v>
      </c>
      <c r="G26" s="144">
        <f>_xlfn.LET(
_xlpm.monthly,IF(F26&lt;&gt;0,F26*12,0),
_xlpm.annually,SUMIFS(Recurring!$D:$D,Recurring!$B:$B,$B26,Recurring!$E:$E,G$4),
_xlpm.monthly+_xlpm.annually)</f>
        <v>0</v>
      </c>
      <c r="H26" s="81"/>
      <c r="L26" s="22"/>
    </row>
    <row r="27" spans="1:14" ht="12.75" customHeight="1" x14ac:dyDescent="0.2">
      <c r="A27" s="64"/>
      <c r="B27" s="103" t="s">
        <v>57</v>
      </c>
      <c r="C27" s="144">
        <f>SUMIFS(Recurring!$D:$D,Recurring!$B:$B,$B27,Recurring!$E:$E,C$4)</f>
        <v>0</v>
      </c>
      <c r="D27" s="144">
        <f>_xlfn.LET(
_xlpm.daily,IF(C27&lt;&gt;0,C27*7,0),
_xlpm.weekly,SUMIFS(Recurring!$D:$D,Recurring!$B:$B,$B27,Recurring!$E:$E,D$4),
_xlpm.daily+_xlpm.weekly)</f>
        <v>0</v>
      </c>
      <c r="E27" s="144">
        <f>_xlfn.LET(
_xlpm.weekly,IF(D27&lt;&gt;0,D27*2,0),
_xlpm.biweekly,SUMIFS(Recurring!$D:$D,Recurring!$B:$B,$B27,Recurring!$E:$E,E$4),
_xlpm.weekly+_xlpm.biweekly)</f>
        <v>0</v>
      </c>
      <c r="F27" s="144">
        <f>_xlfn.LET(
_xlpm.biweekly,IF(E27&lt;&gt;0,E27*26/12,0),
_xlpm.monthly,SUMIFS(Recurring!$D:$D,Recurring!$B:$B,$B27,Recurring!$E:$E,F$4),
_xlpm.biweekly+_xlpm.monthly)</f>
        <v>0</v>
      </c>
      <c r="G27" s="144">
        <f>_xlfn.LET(
_xlpm.monthly,IF(F27&lt;&gt;0,F27*12,0),
_xlpm.annually,SUMIFS(Recurring!$D:$D,Recurring!$B:$B,$B27,Recurring!$E:$E,G$4),
_xlpm.monthly+_xlpm.annually)</f>
        <v>0</v>
      </c>
      <c r="H27" s="81"/>
      <c r="L27" s="22"/>
    </row>
    <row r="28" spans="1:14" s="52" customFormat="1" ht="5.0999999999999996" customHeight="1" x14ac:dyDescent="0.2">
      <c r="A28" s="65"/>
      <c r="B28" s="103"/>
      <c r="C28" s="134"/>
      <c r="D28" s="134"/>
      <c r="E28" s="134"/>
      <c r="F28" s="134"/>
      <c r="G28" s="134"/>
      <c r="H28" s="83"/>
      <c r="M28" s="53"/>
      <c r="N28" s="54"/>
    </row>
    <row r="29" spans="1:14" ht="12.75" customHeight="1" x14ac:dyDescent="0.2">
      <c r="A29" s="62"/>
      <c r="B29" s="107" t="s">
        <v>254</v>
      </c>
      <c r="C29" s="148"/>
      <c r="D29" s="148"/>
      <c r="E29" s="148"/>
      <c r="F29" s="148"/>
      <c r="G29" s="148"/>
      <c r="H29" s="80"/>
      <c r="L29" s="22"/>
    </row>
    <row r="30" spans="1:14" ht="5.0999999999999996" customHeight="1" x14ac:dyDescent="0.2">
      <c r="A30" s="62"/>
      <c r="B30" s="101"/>
      <c r="C30" s="141"/>
      <c r="D30" s="141"/>
      <c r="E30" s="141"/>
      <c r="F30" s="141"/>
      <c r="G30" s="141"/>
      <c r="H30" s="80"/>
    </row>
    <row r="31" spans="1:14" ht="12.75" customHeight="1" x14ac:dyDescent="0.2">
      <c r="A31" s="66"/>
      <c r="B31" s="109" t="s">
        <v>53</v>
      </c>
      <c r="C31" s="151"/>
      <c r="D31" s="151"/>
      <c r="E31" s="151"/>
      <c r="F31" s="151"/>
      <c r="G31" s="151"/>
      <c r="H31" s="84"/>
      <c r="L31" s="22"/>
    </row>
    <row r="32" spans="1:14" ht="12.75" customHeight="1" x14ac:dyDescent="0.2">
      <c r="A32" s="66"/>
      <c r="B32" s="110"/>
      <c r="C32" s="141"/>
      <c r="D32" s="141"/>
      <c r="E32" s="141"/>
      <c r="F32" s="141"/>
      <c r="G32" s="141"/>
      <c r="H32" s="84"/>
      <c r="L32" s="22"/>
    </row>
    <row r="33" spans="1:14" ht="12.75" customHeight="1" x14ac:dyDescent="0.2">
      <c r="A33" s="62"/>
      <c r="B33" s="111" t="s">
        <v>112</v>
      </c>
      <c r="C33" s="153"/>
      <c r="D33" s="153"/>
      <c r="E33" s="153"/>
      <c r="F33" s="153"/>
      <c r="G33" s="153"/>
      <c r="H33" s="80"/>
      <c r="L33" s="22"/>
    </row>
    <row r="34" spans="1:14" ht="12.75" customHeight="1" x14ac:dyDescent="0.2">
      <c r="A34" s="62"/>
      <c r="B34" s="103" t="s">
        <v>61</v>
      </c>
      <c r="C34" s="144">
        <f>SUMIFS(Recurring!$D:$D,Recurring!$B:$B,$B34,Recurring!$E:$E,C$4)</f>
        <v>0</v>
      </c>
      <c r="D34" s="196">
        <f>_xlfn.LET(
_xlpm.daily,IF(C34&lt;&gt;0,C34*7,0),
_xlpm.weekly,SUMIFS(Recurring!$D:$D,Recurring!$B:$B,$B34,Recurring!$E:$E,D$4),
_xlpm.daily+_xlpm.weekly)</f>
        <v>0</v>
      </c>
      <c r="E34" s="196">
        <f>_xlfn.LET(
_xlpm.weekly,IF(D34&lt;&gt;0,D34*2,0),
_xlpm.biweekly,SUMIFS(Recurring!$D:$D,Recurring!$B:$B,$B34,Recurring!$E:$E,E$4),
_xlpm.weekly+_xlpm.biweekly)</f>
        <v>0</v>
      </c>
      <c r="F34" s="196">
        <f>_xlfn.LET(
_xlpm.biweekly,IF(E34&lt;&gt;0,E34*26/12,0),
_xlpm.monthly,SUMIFS(Recurring!$D:$D,Recurring!$B:$B,$B34,Recurring!$E:$E,F$4),
_xlpm.biweekly+_xlpm.monthly)</f>
        <v>1175</v>
      </c>
      <c r="G34" s="196">
        <f>_xlfn.LET(
_xlpm.monthly,IF(F34&lt;&gt;0,F34*12,0),
_xlpm.annually,SUMIFS(Recurring!$D:$D,Recurring!$B:$B,$B34,Recurring!$E:$E,G$4),
_xlpm.monthly+_xlpm.annually)</f>
        <v>14100</v>
      </c>
      <c r="H34" s="80"/>
      <c r="L34" s="22"/>
    </row>
    <row r="35" spans="1:14" ht="12.75" customHeight="1" x14ac:dyDescent="0.2">
      <c r="A35" s="64"/>
      <c r="B35" s="103" t="s">
        <v>47</v>
      </c>
      <c r="C35" s="144">
        <f>SUMIFS(Recurring!$D:$D,Recurring!$B:$B,$B35,Recurring!$E:$E,C$4)</f>
        <v>5</v>
      </c>
      <c r="D35" s="196">
        <f>_xlfn.LET(
_xlpm.daily,IF(C35&lt;&gt;0,C35*7,0),
_xlpm.weekly,SUMIFS(Recurring!$D:$D,Recurring!$B:$B,$B35,Recurring!$E:$E,D$4),
_xlpm.daily+_xlpm.weekly)</f>
        <v>35</v>
      </c>
      <c r="E35" s="196">
        <f>_xlfn.LET(
_xlpm.weekly,IF(D35&lt;&gt;0,D35*2,0),
_xlpm.biweekly,SUMIFS(Recurring!$D:$D,Recurring!$B:$B,$B35,Recurring!$E:$E,E$4),
_xlpm.weekly+_xlpm.biweekly)</f>
        <v>70</v>
      </c>
      <c r="F35" s="196">
        <f>_xlfn.LET(
_xlpm.biweekly,IF(E35&lt;&gt;0,E35*26/12,0),
_xlpm.monthly,SUMIFS(Recurring!$D:$D,Recurring!$B:$B,$B35,Recurring!$E:$E,F$4),
_xlpm.biweekly+_xlpm.monthly)</f>
        <v>151.66666666666666</v>
      </c>
      <c r="G35" s="196">
        <f>_xlfn.LET(
_xlpm.monthly,IF(F35&lt;&gt;0,F35*12,0),
_xlpm.annually,SUMIFS(Recurring!$D:$D,Recurring!$B:$B,$B35,Recurring!$E:$E,G$4),
_xlpm.monthly+_xlpm.annually)</f>
        <v>1820</v>
      </c>
      <c r="H35" s="81"/>
      <c r="L35" s="22"/>
    </row>
    <row r="36" spans="1:14" ht="12.75" customHeight="1" x14ac:dyDescent="0.2">
      <c r="A36" s="62"/>
      <c r="B36" s="112" t="s">
        <v>21</v>
      </c>
      <c r="C36" s="144">
        <f>SUMIFS(Recurring!$D:$D,Recurring!$B:$B,$B36,Recurring!$E:$E,C$4)</f>
        <v>0</v>
      </c>
      <c r="D36" s="196">
        <f>_xlfn.LET(
_xlpm.daily,IF(C36&lt;&gt;0,C36*7,0),
_xlpm.weekly,SUMIFS(Recurring!$D:$D,Recurring!$B:$B,$B36,Recurring!$E:$E,D$4),
_xlpm.daily+_xlpm.weekly)</f>
        <v>0</v>
      </c>
      <c r="E36" s="196">
        <f>_xlfn.LET(
_xlpm.weekly,IF(D36&lt;&gt;0,D36*2,0),
_xlpm.biweekly,SUMIFS(Recurring!$D:$D,Recurring!$B:$B,$B36,Recurring!$E:$E,E$4),
_xlpm.weekly+_xlpm.biweekly)</f>
        <v>0</v>
      </c>
      <c r="F36" s="196">
        <f>_xlfn.LET(
_xlpm.biweekly,IF(E36&lt;&gt;0,E36*26/12,0),
_xlpm.monthly,SUMIFS(Recurring!$D:$D,Recurring!$B:$B,$B36,Recurring!$E:$E,F$4),
_xlpm.biweekly+_xlpm.monthly)</f>
        <v>50</v>
      </c>
      <c r="G36" s="196">
        <f>_xlfn.LET(
_xlpm.monthly,IF(F36&lt;&gt;0,F36*12,0),
_xlpm.annually,SUMIFS(Recurring!$D:$D,Recurring!$B:$B,$B36,Recurring!$E:$E,G$4),
_xlpm.monthly+_xlpm.annually)</f>
        <v>600</v>
      </c>
      <c r="H36" s="80"/>
      <c r="L36" s="22"/>
    </row>
    <row r="37" spans="1:14" ht="12.75" customHeight="1" x14ac:dyDescent="0.2">
      <c r="A37" s="62"/>
      <c r="B37" s="103" t="s">
        <v>63</v>
      </c>
      <c r="C37" s="144">
        <f>SUMIFS(Recurring!$D:$D,Recurring!$B:$B,$B37,Recurring!$E:$E,C$4)</f>
        <v>0</v>
      </c>
      <c r="D37" s="196">
        <f>_xlfn.LET(
_xlpm.daily,IF(C37&lt;&gt;0,C37*7,0),
_xlpm.weekly,SUMIFS(Recurring!$D:$D,Recurring!$B:$B,$B37,Recurring!$E:$E,D$4),
_xlpm.daily+_xlpm.weekly)</f>
        <v>0</v>
      </c>
      <c r="E37" s="196">
        <f>_xlfn.LET(
_xlpm.weekly,IF(D37&lt;&gt;0,D37*2,0),
_xlpm.biweekly,SUMIFS(Recurring!$D:$D,Recurring!$B:$B,$B37,Recurring!$E:$E,E$4),
_xlpm.weekly+_xlpm.biweekly)</f>
        <v>50</v>
      </c>
      <c r="F37" s="196">
        <f>_xlfn.LET(
_xlpm.biweekly,IF(E37&lt;&gt;0,E37*26/12,0),
_xlpm.monthly,SUMIFS(Recurring!$D:$D,Recurring!$B:$B,$B37,Recurring!$E:$E,F$4),
_xlpm.biweekly+_xlpm.monthly)</f>
        <v>108.33333333333333</v>
      </c>
      <c r="G37" s="196">
        <f>_xlfn.LET(
_xlpm.monthly,IF(F37&lt;&gt;0,F37*12,0),
_xlpm.annually,SUMIFS(Recurring!$D:$D,Recurring!$B:$B,$B37,Recurring!$E:$E,G$4),
_xlpm.monthly+_xlpm.annually)</f>
        <v>1300</v>
      </c>
      <c r="H37" s="80"/>
      <c r="L37" s="22"/>
    </row>
    <row r="38" spans="1:14" ht="12.75" customHeight="1" x14ac:dyDescent="0.2">
      <c r="A38" s="62"/>
      <c r="B38" s="113" t="s">
        <v>17</v>
      </c>
      <c r="C38" s="144">
        <f>SUMIFS(Recurring!$D:$D,Recurring!$B:$B,$B38,Recurring!$E:$E,C$4)</f>
        <v>0</v>
      </c>
      <c r="D38" s="196">
        <f>_xlfn.LET(
_xlpm.daily,IF(C38&lt;&gt;0,C38*7,0),
_xlpm.weekly,SUMIFS(Recurring!$D:$D,Recurring!$B:$B,$B38,Recurring!$E:$E,D$4),
_xlpm.daily+_xlpm.weekly)</f>
        <v>0</v>
      </c>
      <c r="E38" s="196">
        <f>_xlfn.LET(
_xlpm.weekly,IF(D38&lt;&gt;0,D38*2,0),
_xlpm.biweekly,SUMIFS(Recurring!$D:$D,Recurring!$B:$B,$B38,Recurring!$E:$E,E$4),
_xlpm.weekly+_xlpm.biweekly)</f>
        <v>0</v>
      </c>
      <c r="F38" s="196">
        <f>_xlfn.LET(
_xlpm.biweekly,IF(E38&lt;&gt;0,E38*26/12,0),
_xlpm.monthly,SUMIFS(Recurring!$D:$D,Recurring!$B:$B,$B38,Recurring!$E:$E,F$4),
_xlpm.biweekly+_xlpm.monthly)</f>
        <v>0</v>
      </c>
      <c r="G38" s="196">
        <f>_xlfn.LET(
_xlpm.monthly,IF(F38&lt;&gt;0,F38*12,0),
_xlpm.annually,SUMIFS(Recurring!$D:$D,Recurring!$B:$B,$B38,Recurring!$E:$E,G$4),
_xlpm.monthly+_xlpm.annually)</f>
        <v>0</v>
      </c>
      <c r="H38" s="80"/>
      <c r="L38" s="22"/>
    </row>
    <row r="39" spans="1:14" s="52" customFormat="1" ht="5.0999999999999996" customHeight="1" x14ac:dyDescent="0.2">
      <c r="A39" s="65"/>
      <c r="B39" s="103"/>
      <c r="C39" s="134"/>
      <c r="D39" s="134"/>
      <c r="E39" s="134"/>
      <c r="F39" s="134"/>
      <c r="G39" s="134"/>
      <c r="H39" s="83"/>
      <c r="M39" s="53"/>
      <c r="N39" s="54"/>
    </row>
    <row r="40" spans="1:14" ht="12.75" customHeight="1" x14ac:dyDescent="0.2">
      <c r="A40" s="62"/>
      <c r="B40" s="114" t="s">
        <v>66</v>
      </c>
      <c r="C40" s="154"/>
      <c r="D40" s="154"/>
      <c r="E40" s="154"/>
      <c r="F40" s="154"/>
      <c r="G40" s="154"/>
      <c r="H40" s="80"/>
      <c r="L40" s="22"/>
    </row>
    <row r="41" spans="1:14" ht="5.0999999999999996" customHeight="1" x14ac:dyDescent="0.2">
      <c r="A41" s="62"/>
      <c r="B41" s="101"/>
      <c r="C41" s="141"/>
      <c r="D41" s="141"/>
      <c r="E41" s="141"/>
      <c r="F41" s="141"/>
      <c r="G41" s="141"/>
      <c r="H41" s="80"/>
    </row>
    <row r="42" spans="1:14" ht="12.75" customHeight="1" x14ac:dyDescent="0.2">
      <c r="A42" s="62"/>
      <c r="B42" s="111" t="s">
        <v>62</v>
      </c>
      <c r="C42" s="153"/>
      <c r="D42" s="153"/>
      <c r="E42" s="153"/>
      <c r="F42" s="153"/>
      <c r="G42" s="153"/>
      <c r="H42" s="80"/>
      <c r="L42" s="22"/>
    </row>
    <row r="43" spans="1:14" ht="12.75" customHeight="1" x14ac:dyDescent="0.2">
      <c r="A43" s="67"/>
      <c r="B43" s="103" t="s">
        <v>4</v>
      </c>
      <c r="C43" s="144">
        <f>SUMIFS(Recurring!$D:$D,Recurring!$B:$B,$B43,Recurring!$E:$E,C$4)</f>
        <v>10</v>
      </c>
      <c r="D43" s="196">
        <f>_xlfn.LET(
_xlpm.daily,IF(C43&lt;&gt;0,C43*7,0),
_xlpm.weekly,SUMIFS(Recurring!$D:$D,Recurring!$B:$B,$B43,Recurring!$E:$E,D$4),
_xlpm.daily+_xlpm.weekly)</f>
        <v>70</v>
      </c>
      <c r="E43" s="196">
        <f>_xlfn.LET(
_xlpm.weekly,IF(D43&lt;&gt;0,D43*2,0),
_xlpm.biweekly,SUMIFS(Recurring!$D:$D,Recurring!$B:$B,$B43,Recurring!$E:$E,E$4),
_xlpm.weekly+_xlpm.biweekly)</f>
        <v>140</v>
      </c>
      <c r="F43" s="196">
        <f>_xlfn.LET(
_xlpm.biweekly,IF(E43&lt;&gt;0,E43*26/12,0),
_xlpm.monthly,SUMIFS(Recurring!$D:$D,Recurring!$B:$B,$B43,Recurring!$E:$E,F$4),
_xlpm.biweekly+_xlpm.monthly)</f>
        <v>303.33333333333331</v>
      </c>
      <c r="G43" s="196">
        <f>_xlfn.LET(
_xlpm.monthly,IF(F43&lt;&gt;0,F43*12,0),
_xlpm.annually,SUMIFS(Recurring!$D:$D,Recurring!$B:$B,$B43,Recurring!$E:$E,G$4),
_xlpm.monthly+_xlpm.annually)</f>
        <v>3640</v>
      </c>
      <c r="H43" s="81"/>
      <c r="L43" s="22"/>
    </row>
    <row r="44" spans="1:14" ht="12.75" customHeight="1" x14ac:dyDescent="0.2">
      <c r="A44" s="67"/>
      <c r="B44" s="103" t="s">
        <v>5</v>
      </c>
      <c r="C44" s="144">
        <f>SUMIFS(Recurring!$D:$D,Recurring!$B:$B,$B44,Recurring!$E:$E,C$4)</f>
        <v>10</v>
      </c>
      <c r="D44" s="196">
        <f>_xlfn.LET(
_xlpm.daily,IF(C44&lt;&gt;0,C44*7,0),
_xlpm.weekly,SUMIFS(Recurring!$D:$D,Recurring!$B:$B,$B44,Recurring!$E:$E,D$4),
_xlpm.daily+_xlpm.weekly)</f>
        <v>70</v>
      </c>
      <c r="E44" s="196">
        <f>_xlfn.LET(
_xlpm.weekly,IF(D44&lt;&gt;0,D44*2,0),
_xlpm.biweekly,SUMIFS(Recurring!$D:$D,Recurring!$B:$B,$B44,Recurring!$E:$E,E$4),
_xlpm.weekly+_xlpm.biweekly)</f>
        <v>140</v>
      </c>
      <c r="F44" s="196">
        <f>_xlfn.LET(
_xlpm.biweekly,IF(E44&lt;&gt;0,E44*26/12,0),
_xlpm.monthly,SUMIFS(Recurring!$D:$D,Recurring!$B:$B,$B44,Recurring!$E:$E,F$4),
_xlpm.biweekly+_xlpm.monthly)</f>
        <v>303.33333333333331</v>
      </c>
      <c r="G44" s="196">
        <f>_xlfn.LET(
_xlpm.monthly,IF(F44&lt;&gt;0,F44*12,0),
_xlpm.annually,SUMIFS(Recurring!$D:$D,Recurring!$B:$B,$B44,Recurring!$E:$E,G$4),
_xlpm.monthly+_xlpm.annually)</f>
        <v>3640</v>
      </c>
      <c r="H44" s="81"/>
      <c r="L44" s="22"/>
    </row>
    <row r="45" spans="1:14" ht="12.75" customHeight="1" x14ac:dyDescent="0.2">
      <c r="A45" s="62"/>
      <c r="B45" s="103" t="s">
        <v>64</v>
      </c>
      <c r="C45" s="144">
        <f>SUMIFS(Recurring!$D:$D,Recurring!$B:$B,$B45,Recurring!$E:$E,C$4)</f>
        <v>0</v>
      </c>
      <c r="D45" s="196">
        <f>_xlfn.LET(
_xlpm.daily,IF(C45&lt;&gt;0,C45*7,0),
_xlpm.weekly,SUMIFS(Recurring!$D:$D,Recurring!$B:$B,$B45,Recurring!$E:$E,D$4),
_xlpm.daily+_xlpm.weekly)</f>
        <v>0</v>
      </c>
      <c r="E45" s="196">
        <f>_xlfn.LET(
_xlpm.weekly,IF(D45&lt;&gt;0,D45*2,0),
_xlpm.biweekly,SUMIFS(Recurring!$D:$D,Recurring!$B:$B,$B45,Recurring!$E:$E,E$4),
_xlpm.weekly+_xlpm.biweekly)</f>
        <v>0</v>
      </c>
      <c r="F45" s="196">
        <f>_xlfn.LET(
_xlpm.biweekly,IF(E45&lt;&gt;0,E45*26/12,0),
_xlpm.monthly,SUMIFS(Recurring!$D:$D,Recurring!$B:$B,$B45,Recurring!$E:$E,F$4),
_xlpm.biweekly+_xlpm.monthly)</f>
        <v>0</v>
      </c>
      <c r="G45" s="196">
        <f>_xlfn.LET(
_xlpm.monthly,IF(F45&lt;&gt;0,F45*12,0),
_xlpm.annually,SUMIFS(Recurring!$D:$D,Recurring!$B:$B,$B45,Recurring!$E:$E,G$4),
_xlpm.monthly+_xlpm.annually)</f>
        <v>0</v>
      </c>
      <c r="H45" s="80"/>
      <c r="L45" s="22"/>
    </row>
    <row r="46" spans="1:14" ht="12.75" customHeight="1" x14ac:dyDescent="0.2">
      <c r="A46" s="67"/>
      <c r="B46" s="103" t="s">
        <v>7</v>
      </c>
      <c r="C46" s="144">
        <f>SUMIFS(Recurring!$D:$D,Recurring!$B:$B,$B46,Recurring!$E:$E,C$4)</f>
        <v>0</v>
      </c>
      <c r="D46" s="196">
        <f>_xlfn.LET(
_xlpm.daily,IF(C46&lt;&gt;0,C46*7,0),
_xlpm.weekly,SUMIFS(Recurring!$D:$D,Recurring!$B:$B,$B46,Recurring!$E:$E,D$4),
_xlpm.daily+_xlpm.weekly)</f>
        <v>0</v>
      </c>
      <c r="E46" s="196">
        <f>_xlfn.LET(
_xlpm.weekly,IF(D46&lt;&gt;0,D46*2,0),
_xlpm.biweekly,SUMIFS(Recurring!$D:$D,Recurring!$B:$B,$B46,Recurring!$E:$E,E$4),
_xlpm.weekly+_xlpm.biweekly)</f>
        <v>0</v>
      </c>
      <c r="F46" s="196">
        <f>_xlfn.LET(
_xlpm.biweekly,IF(E46&lt;&gt;0,E46*26/12,0),
_xlpm.monthly,SUMIFS(Recurring!$D:$D,Recurring!$B:$B,$B46,Recurring!$E:$E,F$4),
_xlpm.biweekly+_xlpm.monthly)</f>
        <v>43.970000000000006</v>
      </c>
      <c r="G46" s="196">
        <f>_xlfn.LET(
_xlpm.monthly,IF(F46&lt;&gt;0,F46*12,0),
_xlpm.annually,SUMIFS(Recurring!$D:$D,Recurring!$B:$B,$B46,Recurring!$E:$E,G$4),
_xlpm.monthly+_xlpm.annually)</f>
        <v>596.6400000000001</v>
      </c>
      <c r="H46" s="81"/>
      <c r="L46" s="22"/>
    </row>
    <row r="47" spans="1:14" ht="12.75" customHeight="1" x14ac:dyDescent="0.2">
      <c r="A47" s="62"/>
      <c r="B47" s="113" t="s">
        <v>20</v>
      </c>
      <c r="C47" s="144">
        <f>SUMIFS(Recurring!$D:$D,Recurring!$B:$B,$B47,Recurring!$E:$E,C$4)</f>
        <v>0</v>
      </c>
      <c r="D47" s="196">
        <f>_xlfn.LET(
_xlpm.daily,IF(C47&lt;&gt;0,C47*7,0),
_xlpm.weekly,SUMIFS(Recurring!$D:$D,Recurring!$B:$B,$B47,Recurring!$E:$E,D$4),
_xlpm.daily+_xlpm.weekly)</f>
        <v>0</v>
      </c>
      <c r="E47" s="196">
        <f>_xlfn.LET(
_xlpm.weekly,IF(D47&lt;&gt;0,D47*2,0),
_xlpm.biweekly,SUMIFS(Recurring!$D:$D,Recurring!$B:$B,$B47,Recurring!$E:$E,E$4),
_xlpm.weekly+_xlpm.biweekly)</f>
        <v>0</v>
      </c>
      <c r="F47" s="196">
        <f>_xlfn.LET(
_xlpm.biweekly,IF(E47&lt;&gt;0,E47*26/12,0),
_xlpm.monthly,SUMIFS(Recurring!$D:$D,Recurring!$B:$B,$B47,Recurring!$E:$E,F$4),
_xlpm.biweekly+_xlpm.monthly)</f>
        <v>0</v>
      </c>
      <c r="G47" s="196">
        <f>_xlfn.LET(
_xlpm.monthly,IF(F47&lt;&gt;0,F47*12,0),
_xlpm.annually,SUMIFS(Recurring!$D:$D,Recurring!$B:$B,$B47,Recurring!$E:$E,G$4),
_xlpm.monthly+_xlpm.annually)</f>
        <v>0</v>
      </c>
      <c r="H47" s="80"/>
      <c r="L47" s="22"/>
    </row>
    <row r="48" spans="1:14" s="52" customFormat="1" ht="5.0999999999999996" customHeight="1" x14ac:dyDescent="0.2">
      <c r="A48" s="65"/>
      <c r="B48" s="103"/>
      <c r="C48" s="134"/>
      <c r="D48" s="134"/>
      <c r="E48" s="134"/>
      <c r="F48" s="134"/>
      <c r="G48" s="134"/>
      <c r="H48" s="83"/>
      <c r="M48" s="53"/>
      <c r="N48" s="54"/>
    </row>
    <row r="49" spans="1:14" ht="12.75" customHeight="1" x14ac:dyDescent="0.2">
      <c r="A49" s="62"/>
      <c r="B49" s="114" t="s">
        <v>255</v>
      </c>
      <c r="C49" s="154"/>
      <c r="D49" s="154"/>
      <c r="E49" s="154"/>
      <c r="F49" s="154"/>
      <c r="G49" s="154"/>
      <c r="H49" s="80"/>
      <c r="L49" s="22"/>
    </row>
    <row r="50" spans="1:14" ht="5.0999999999999996" customHeight="1" x14ac:dyDescent="0.2">
      <c r="A50" s="62"/>
      <c r="B50" s="101"/>
      <c r="C50" s="141"/>
      <c r="D50" s="141"/>
      <c r="E50" s="141"/>
      <c r="F50" s="141"/>
      <c r="G50" s="141"/>
      <c r="H50" s="80"/>
    </row>
    <row r="51" spans="1:14" ht="12.75" customHeight="1" x14ac:dyDescent="0.2">
      <c r="A51" s="62"/>
      <c r="B51" s="111" t="s">
        <v>22</v>
      </c>
      <c r="C51" s="153"/>
      <c r="D51" s="153"/>
      <c r="E51" s="153"/>
      <c r="F51" s="153"/>
      <c r="G51" s="153"/>
      <c r="H51" s="80"/>
    </row>
    <row r="52" spans="1:14" ht="12.75" customHeight="1" x14ac:dyDescent="0.2">
      <c r="A52" s="67"/>
      <c r="B52" s="103" t="s">
        <v>141</v>
      </c>
      <c r="C52" s="144">
        <f>SUMIFS(Recurring!$D:$D,Recurring!$B:$B,$B52,Recurring!$E:$E,C$4)</f>
        <v>0</v>
      </c>
      <c r="D52" s="196">
        <f>_xlfn.LET(
_xlpm.daily,IF(C52&lt;&gt;0,C52*7,0),
_xlpm.weekly,SUMIFS(Recurring!$D:$D,Recurring!$B:$B,$B52,Recurring!$E:$E,D$4),
_xlpm.daily+_xlpm.weekly)</f>
        <v>0</v>
      </c>
      <c r="E52" s="196">
        <f>_xlfn.LET(
_xlpm.weekly,IF(D52&lt;&gt;0,D52*2,0),
_xlpm.biweekly,SUMIFS(Recurring!$D:$D,Recurring!$B:$B,$B52,Recurring!$E:$E,E$4),
_xlpm.weekly+_xlpm.biweekly)</f>
        <v>0</v>
      </c>
      <c r="F52" s="196">
        <f>_xlfn.LET(
_xlpm.biweekly,IF(E52&lt;&gt;0,E52*26/12,0),
_xlpm.monthly,SUMIFS(Recurring!$D:$D,Recurring!$B:$B,$B52,Recurring!$E:$E,F$4),
_xlpm.biweekly+_xlpm.monthly)</f>
        <v>50</v>
      </c>
      <c r="G52" s="196">
        <f>_xlfn.LET(
_xlpm.monthly,IF(F52&lt;&gt;0,F52*12,0),
_xlpm.annually,SUMIFS(Recurring!$D:$D,Recurring!$B:$B,$B52,Recurring!$E:$E,G$4),
_xlpm.monthly+_xlpm.annually)</f>
        <v>600</v>
      </c>
      <c r="H52" s="81"/>
    </row>
    <row r="53" spans="1:14" ht="12.75" customHeight="1" x14ac:dyDescent="0.2">
      <c r="A53" s="67"/>
      <c r="B53" s="103" t="s">
        <v>142</v>
      </c>
      <c r="C53" s="144">
        <f>SUMIFS(Recurring!$D:$D,Recurring!$B:$B,$B53,Recurring!$E:$E,C$4)</f>
        <v>0</v>
      </c>
      <c r="D53" s="196">
        <f>_xlfn.LET(
_xlpm.daily,IF(C53&lt;&gt;0,C53*7,0),
_xlpm.weekly,SUMIFS(Recurring!$D:$D,Recurring!$B:$B,$B53,Recurring!$E:$E,D$4),
_xlpm.daily+_xlpm.weekly)</f>
        <v>0</v>
      </c>
      <c r="E53" s="196">
        <f>_xlfn.LET(
_xlpm.weekly,IF(D53&lt;&gt;0,D53*2,0),
_xlpm.biweekly,SUMIFS(Recurring!$D:$D,Recurring!$B:$B,$B53,Recurring!$E:$E,E$4),
_xlpm.weekly+_xlpm.biweekly)</f>
        <v>200</v>
      </c>
      <c r="F53" s="196">
        <f>_xlfn.LET(
_xlpm.biweekly,IF(E53&lt;&gt;0,E53*26/12,0),
_xlpm.monthly,SUMIFS(Recurring!$D:$D,Recurring!$B:$B,$B53,Recurring!$E:$E,F$4),
_xlpm.biweekly+_xlpm.monthly)</f>
        <v>433.33333333333331</v>
      </c>
      <c r="G53" s="196">
        <f>_xlfn.LET(
_xlpm.monthly,IF(F53&lt;&gt;0,F53*12,0),
_xlpm.annually,SUMIFS(Recurring!$D:$D,Recurring!$B:$B,$B53,Recurring!$E:$E,G$4),
_xlpm.monthly+_xlpm.annually)</f>
        <v>5200</v>
      </c>
      <c r="H53" s="81"/>
      <c r="J53" s="23"/>
      <c r="N53" s="6"/>
    </row>
    <row r="54" spans="1:14" s="52" customFormat="1" ht="5.0999999999999996" customHeight="1" x14ac:dyDescent="0.2">
      <c r="A54" s="65"/>
      <c r="B54" s="103"/>
      <c r="C54" s="134"/>
      <c r="D54" s="134"/>
      <c r="E54" s="134"/>
      <c r="F54" s="134"/>
      <c r="G54" s="134"/>
      <c r="H54" s="83"/>
      <c r="M54" s="53"/>
      <c r="N54" s="54"/>
    </row>
    <row r="55" spans="1:14" ht="12.75" customHeight="1" x14ac:dyDescent="0.2">
      <c r="A55" s="62"/>
      <c r="B55" s="114" t="s">
        <v>256</v>
      </c>
      <c r="C55" s="154"/>
      <c r="D55" s="154"/>
      <c r="E55" s="154"/>
      <c r="F55" s="154"/>
      <c r="G55" s="154"/>
      <c r="H55" s="80"/>
    </row>
    <row r="56" spans="1:14" ht="5.0999999999999996" customHeight="1" x14ac:dyDescent="0.2">
      <c r="A56" s="62"/>
      <c r="B56" s="101"/>
      <c r="C56" s="141"/>
      <c r="D56" s="141"/>
      <c r="E56" s="141"/>
      <c r="F56" s="141"/>
      <c r="G56" s="141"/>
      <c r="H56" s="80"/>
    </row>
    <row r="57" spans="1:14" s="6" customFormat="1" ht="12.75" customHeight="1" x14ac:dyDescent="0.2">
      <c r="A57" s="62"/>
      <c r="B57" s="111" t="s">
        <v>23</v>
      </c>
      <c r="C57" s="153"/>
      <c r="D57" s="153"/>
      <c r="E57" s="153"/>
      <c r="F57" s="153"/>
      <c r="G57" s="153"/>
      <c r="H57" s="80"/>
      <c r="I57" s="5"/>
      <c r="J57" s="5"/>
      <c r="K57" s="5"/>
      <c r="L57" s="5"/>
      <c r="N57" s="5"/>
    </row>
    <row r="58" spans="1:14" ht="12.75" customHeight="1" x14ac:dyDescent="0.2">
      <c r="A58" s="67"/>
      <c r="B58" s="103" t="s">
        <v>11</v>
      </c>
      <c r="C58" s="144">
        <f>SUMIFS(Recurring!$D:$D,Recurring!$B:$B,$B58,Recurring!$E:$E,C$4)</f>
        <v>0</v>
      </c>
      <c r="D58" s="196">
        <f>_xlfn.LET(
_xlpm.daily,IF(C58&lt;&gt;0,C58*7,0),
_xlpm.weekly,SUMIFS(Recurring!$D:$D,Recurring!$B:$B,$B58,Recurring!$E:$E,D$4),
_xlpm.daily+_xlpm.weekly)</f>
        <v>0</v>
      </c>
      <c r="E58" s="196">
        <f>_xlfn.LET(
_xlpm.weekly,IF(D58&lt;&gt;0,D58*2,0),
_xlpm.biweekly,SUMIFS(Recurring!$D:$D,Recurring!$B:$B,$B58,Recurring!$E:$E,E$4),
_xlpm.weekly+_xlpm.biweekly)</f>
        <v>0</v>
      </c>
      <c r="F58" s="196">
        <f>_xlfn.LET(
_xlpm.biweekly,IF(E58&lt;&gt;0,E58*26/12,0),
_xlpm.monthly,SUMIFS(Recurring!$D:$D,Recurring!$B:$B,$B58,Recurring!$E:$E,F$4),
_xlpm.biweekly+_xlpm.monthly)</f>
        <v>0</v>
      </c>
      <c r="G58" s="196">
        <f>_xlfn.LET(
_xlpm.monthly,IF(F58&lt;&gt;0,F58*12,0),
_xlpm.annually,SUMIFS(Recurring!$D:$D,Recurring!$B:$B,$B58,Recurring!$E:$E,G$4),
_xlpm.monthly+_xlpm.annually)</f>
        <v>0</v>
      </c>
      <c r="H58" s="81"/>
    </row>
    <row r="59" spans="1:14" ht="12.75" customHeight="1" x14ac:dyDescent="0.2">
      <c r="A59" s="67"/>
      <c r="B59" s="103" t="s">
        <v>42</v>
      </c>
      <c r="C59" s="144">
        <f>SUMIFS(Recurring!$D:$D,Recurring!$B:$B,$B59,Recurring!$E:$E,C$4)</f>
        <v>0</v>
      </c>
      <c r="D59" s="196">
        <f>_xlfn.LET(
_xlpm.daily,IF(C59&lt;&gt;0,C59*7,0),
_xlpm.weekly,SUMIFS(Recurring!$D:$D,Recurring!$B:$B,$B59,Recurring!$E:$E,D$4),
_xlpm.daily+_xlpm.weekly)</f>
        <v>0</v>
      </c>
      <c r="E59" s="196">
        <f>_xlfn.LET(
_xlpm.weekly,IF(D59&lt;&gt;0,D59*2,0),
_xlpm.biweekly,SUMIFS(Recurring!$D:$D,Recurring!$B:$B,$B59,Recurring!$E:$E,E$4),
_xlpm.weekly+_xlpm.biweekly)</f>
        <v>0</v>
      </c>
      <c r="F59" s="196">
        <f>_xlfn.LET(
_xlpm.biweekly,IF(E59&lt;&gt;0,E59*26/12,0),
_xlpm.monthly,SUMIFS(Recurring!$D:$D,Recurring!$B:$B,$B59,Recurring!$E:$E,F$4),
_xlpm.biweekly+_xlpm.monthly)</f>
        <v>0</v>
      </c>
      <c r="G59" s="196">
        <f>_xlfn.LET(
_xlpm.monthly,IF(F59&lt;&gt;0,F59*12,0),
_xlpm.annually,SUMIFS(Recurring!$D:$D,Recurring!$B:$B,$B59,Recurring!$E:$E,G$4),
_xlpm.monthly+_xlpm.annually)</f>
        <v>0</v>
      </c>
      <c r="H59" s="81"/>
    </row>
    <row r="60" spans="1:14" s="52" customFormat="1" ht="5.0999999999999996" customHeight="1" x14ac:dyDescent="0.2">
      <c r="A60" s="65"/>
      <c r="B60" s="103"/>
      <c r="C60" s="134"/>
      <c r="D60" s="134"/>
      <c r="E60" s="134"/>
      <c r="F60" s="134"/>
      <c r="G60" s="134"/>
      <c r="H60" s="83"/>
      <c r="M60" s="53"/>
      <c r="N60" s="54"/>
    </row>
    <row r="61" spans="1:14" ht="12.75" customHeight="1" x14ac:dyDescent="0.2">
      <c r="A61" s="62"/>
      <c r="B61" s="114" t="s">
        <v>257</v>
      </c>
      <c r="C61" s="154"/>
      <c r="D61" s="154"/>
      <c r="E61" s="154"/>
      <c r="F61" s="154"/>
      <c r="G61" s="154"/>
      <c r="H61" s="80"/>
    </row>
    <row r="62" spans="1:14" ht="5.0999999999999996" customHeight="1" x14ac:dyDescent="0.2">
      <c r="A62" s="62"/>
      <c r="B62" s="110"/>
      <c r="C62" s="141"/>
      <c r="D62" s="141"/>
      <c r="E62" s="141"/>
      <c r="F62" s="141"/>
      <c r="G62" s="141"/>
      <c r="H62" s="80"/>
    </row>
    <row r="63" spans="1:14" ht="12.75" customHeight="1" x14ac:dyDescent="0.2">
      <c r="A63" s="62"/>
      <c r="B63" s="115" t="s">
        <v>65</v>
      </c>
      <c r="C63" s="158"/>
      <c r="D63" s="158"/>
      <c r="E63" s="158"/>
      <c r="F63" s="158"/>
      <c r="G63" s="158"/>
      <c r="H63" s="80"/>
    </row>
    <row r="64" spans="1:14" ht="12.75" customHeight="1" x14ac:dyDescent="0.2">
      <c r="A64" s="62"/>
      <c r="B64" s="110"/>
      <c r="C64" s="141"/>
      <c r="D64" s="141"/>
      <c r="E64" s="141"/>
      <c r="F64" s="141"/>
      <c r="G64" s="141"/>
      <c r="H64" s="80"/>
    </row>
    <row r="65" spans="1:8" ht="12.75" customHeight="1" x14ac:dyDescent="0.2">
      <c r="A65" s="62"/>
      <c r="B65" s="102" t="s">
        <v>138</v>
      </c>
      <c r="C65" s="142"/>
      <c r="D65" s="142"/>
      <c r="E65" s="142"/>
      <c r="F65" s="142"/>
      <c r="G65" s="142"/>
      <c r="H65" s="80"/>
    </row>
    <row r="66" spans="1:8" ht="12.75" customHeight="1" x14ac:dyDescent="0.2">
      <c r="A66" s="62"/>
      <c r="B66" s="103" t="s">
        <v>143</v>
      </c>
      <c r="C66" s="144">
        <f>SUMIFS(Recurring!$D:$D,Recurring!$B:$B,$B66,Recurring!$E:$E,C$4)</f>
        <v>0</v>
      </c>
      <c r="D66" s="196">
        <f>_xlfn.LET(
_xlpm.daily,IF(C66&lt;&gt;0,C66*7,0),
_xlpm.weekly,SUMIFS(Recurring!$D:$D,Recurring!$B:$B,$B66,Recurring!$E:$E,D$4),
_xlpm.daily+_xlpm.weekly)</f>
        <v>0</v>
      </c>
      <c r="E66" s="196">
        <f>_xlfn.LET(
_xlpm.weekly,IF(D66&lt;&gt;0,D66*2,0),
_xlpm.biweekly,SUMIFS(Recurring!$D:$D,Recurring!$B:$B,$B66,Recurring!$E:$E,E$4),
_xlpm.weekly+_xlpm.biweekly)</f>
        <v>0</v>
      </c>
      <c r="F66" s="196">
        <f>_xlfn.LET(
_xlpm.biweekly,IF(E66&lt;&gt;0,E66*26/12,0),
_xlpm.monthly,SUMIFS(Recurring!$D:$D,Recurring!$B:$B,$B66,Recurring!$E:$E,F$4),
_xlpm.biweekly+_xlpm.monthly)</f>
        <v>0</v>
      </c>
      <c r="G66" s="196">
        <f>_xlfn.LET(
_xlpm.monthly,IF(F66&lt;&gt;0,F66*12,0),
_xlpm.annually,SUMIFS(Recurring!$D:$D,Recurring!$B:$B,$B66,Recurring!$E:$E,G$4),
_xlpm.monthly+_xlpm.annually)</f>
        <v>0</v>
      </c>
      <c r="H66" s="80"/>
    </row>
    <row r="67" spans="1:8" ht="5.0999999999999996" customHeight="1" x14ac:dyDescent="0.2">
      <c r="A67" s="62"/>
      <c r="B67" s="103"/>
      <c r="C67" s="134"/>
      <c r="D67" s="134"/>
      <c r="E67" s="134"/>
      <c r="F67" s="134"/>
      <c r="G67" s="134"/>
      <c r="H67" s="80"/>
    </row>
    <row r="68" spans="1:8" ht="12.75" customHeight="1" x14ac:dyDescent="0.2">
      <c r="A68" s="62"/>
      <c r="B68" s="107" t="s">
        <v>258</v>
      </c>
      <c r="C68" s="148"/>
      <c r="D68" s="148"/>
      <c r="E68" s="148"/>
      <c r="F68" s="148"/>
      <c r="G68" s="148"/>
      <c r="H68" s="80"/>
    </row>
    <row r="69" spans="1:8" ht="5.0999999999999996" customHeight="1" x14ac:dyDescent="0.2">
      <c r="A69" s="62"/>
      <c r="B69" s="110"/>
      <c r="C69" s="141"/>
      <c r="D69" s="141"/>
      <c r="E69" s="141"/>
      <c r="F69" s="141"/>
      <c r="G69" s="141"/>
      <c r="H69" s="80"/>
    </row>
    <row r="70" spans="1:8" ht="12.75" customHeight="1" x14ac:dyDescent="0.2"/>
    <row r="71" spans="1:8" ht="12.75" customHeight="1" x14ac:dyDescent="0.2"/>
    <row r="72" spans="1:8" ht="12.75" customHeight="1" x14ac:dyDescent="0.2"/>
    <row r="73" spans="1:8" ht="12.75" customHeight="1" x14ac:dyDescent="0.2"/>
    <row r="74" spans="1:8" ht="12.75" customHeight="1" x14ac:dyDescent="0.2"/>
    <row r="75" spans="1:8" ht="12.75" customHeight="1" x14ac:dyDescent="0.2"/>
    <row r="76" spans="1:8" ht="12.75" customHeight="1" x14ac:dyDescent="0.2"/>
    <row r="77" spans="1:8" ht="12.75" customHeight="1" x14ac:dyDescent="0.2"/>
    <row r="78" spans="1:8" ht="12.75" customHeight="1" x14ac:dyDescent="0.2"/>
    <row r="79" spans="1:8" ht="12.75" customHeight="1" x14ac:dyDescent="0.2"/>
    <row r="80" spans="1:8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B05C2-B667-4769-8178-2C34FF729726}">
  <sheetPr codeName="Sheet6">
    <tabColor theme="7"/>
  </sheetPr>
  <dimension ref="A1:AF144"/>
  <sheetViews>
    <sheetView tabSelected="1" workbookViewId="0">
      <pane xSplit="2" ySplit="5" topLeftCell="C6" activePane="bottomRight" state="frozen"/>
      <selection pane="topRight" activeCell="E1" sqref="E1"/>
      <selection pane="bottomLeft" activeCell="A6" sqref="A6"/>
      <selection pane="bottomRight" activeCell="I15" sqref="I15"/>
    </sheetView>
  </sheetViews>
  <sheetFormatPr defaultColWidth="7.7109375" defaultRowHeight="12.75" x14ac:dyDescent="0.2"/>
  <cols>
    <col min="1" max="1" width="1" style="51" customWidth="1"/>
    <col min="2" max="2" width="30.5703125" style="119" bestFit="1" customWidth="1"/>
    <col min="3" max="3" width="10.28515625" style="5" bestFit="1" customWidth="1"/>
    <col min="4" max="11" width="11.28515625" style="5" bestFit="1" customWidth="1"/>
    <col min="12" max="14" width="12.28515625" style="5" bestFit="1" customWidth="1"/>
    <col min="15" max="15" width="1.28515625" style="5" customWidth="1"/>
    <col min="16" max="16" width="10.42578125" style="5" customWidth="1"/>
    <col min="17" max="17" width="1" style="51" customWidth="1"/>
    <col min="18" max="18" width="30.42578125" style="5" bestFit="1" customWidth="1"/>
    <col min="19" max="19" width="9.85546875" style="5" bestFit="1" customWidth="1"/>
    <col min="20" max="20" width="10.42578125" style="5" bestFit="1" customWidth="1"/>
    <col min="21" max="21" width="14.5703125" style="5" customWidth="1"/>
    <col min="22" max="22" width="10.42578125" style="6" bestFit="1" customWidth="1"/>
    <col min="23" max="23" width="10.42578125" style="5" customWidth="1"/>
    <col min="24" max="26" width="9.140625" style="5" customWidth="1"/>
    <col min="27" max="27" width="7.7109375" style="5"/>
    <col min="28" max="28" width="18.85546875" style="5" customWidth="1"/>
    <col min="29" max="29" width="22" style="5" bestFit="1" customWidth="1"/>
    <col min="30" max="30" width="7.7109375" style="5"/>
    <col min="31" max="31" width="10.42578125" style="5" bestFit="1" customWidth="1"/>
    <col min="32" max="33" width="7.7109375" style="5"/>
    <col min="34" max="34" width="10.42578125" style="5" bestFit="1" customWidth="1"/>
    <col min="35" max="16384" width="7.7109375" style="5"/>
  </cols>
  <sheetData>
    <row r="1" spans="1:32" s="45" customFormat="1" ht="5.0999999999999996" customHeight="1" x14ac:dyDescent="0.2">
      <c r="A1" s="75" t="s">
        <v>73</v>
      </c>
      <c r="B1" s="95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74"/>
      <c r="Q1" s="75" t="s">
        <v>73</v>
      </c>
      <c r="U1" s="46"/>
      <c r="V1" s="46"/>
      <c r="W1" s="15"/>
    </row>
    <row r="2" spans="1:32" ht="12.75" customHeight="1" x14ac:dyDescent="0.2">
      <c r="A2" s="62"/>
      <c r="B2" s="96" t="s">
        <v>58</v>
      </c>
      <c r="C2" s="3"/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  <c r="Q2" s="62"/>
    </row>
    <row r="3" spans="1:32" s="45" customFormat="1" ht="5.0999999999999996" customHeight="1" thickBot="1" x14ac:dyDescent="0.25">
      <c r="A3" s="75"/>
      <c r="B3" s="95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74"/>
      <c r="Q3" s="62"/>
      <c r="U3" s="46"/>
      <c r="V3" s="46"/>
      <c r="W3" s="15"/>
    </row>
    <row r="4" spans="1:32" ht="13.5" thickBot="1" x14ac:dyDescent="0.25">
      <c r="A4" s="63"/>
      <c r="B4" s="97"/>
      <c r="C4" s="185">
        <f ca="1">TODAY()</f>
        <v>45653</v>
      </c>
      <c r="D4" s="7">
        <f ca="1">EOMONTH(C4,0)+1</f>
        <v>45658</v>
      </c>
      <c r="E4" s="7">
        <f t="shared" ref="E4:N4" ca="1" si="0">EDATE(D4,1)</f>
        <v>45689</v>
      </c>
      <c r="F4" s="7">
        <f t="shared" ca="1" si="0"/>
        <v>45717</v>
      </c>
      <c r="G4" s="7">
        <f t="shared" ca="1" si="0"/>
        <v>45748</v>
      </c>
      <c r="H4" s="7">
        <f t="shared" ca="1" si="0"/>
        <v>45778</v>
      </c>
      <c r="I4" s="7">
        <f t="shared" ca="1" si="0"/>
        <v>45809</v>
      </c>
      <c r="J4" s="7">
        <f t="shared" ca="1" si="0"/>
        <v>45839</v>
      </c>
      <c r="K4" s="7">
        <f t="shared" ca="1" si="0"/>
        <v>45870</v>
      </c>
      <c r="L4" s="7">
        <f t="shared" ca="1" si="0"/>
        <v>45901</v>
      </c>
      <c r="M4" s="7">
        <f t="shared" ca="1" si="0"/>
        <v>45931</v>
      </c>
      <c r="N4" s="7">
        <f t="shared" ca="1" si="0"/>
        <v>45962</v>
      </c>
      <c r="O4" s="7"/>
      <c r="P4" s="133" t="s">
        <v>261</v>
      </c>
      <c r="Q4" s="63"/>
      <c r="U4" s="8"/>
      <c r="V4" s="9"/>
      <c r="W4" s="10"/>
      <c r="X4" s="11"/>
      <c r="AD4" s="12"/>
      <c r="AE4" s="12"/>
      <c r="AF4" s="12"/>
    </row>
    <row r="5" spans="1:32" s="52" customFormat="1" ht="5.0999999999999996" customHeight="1" x14ac:dyDescent="0.2">
      <c r="A5" s="68"/>
      <c r="B5" s="98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7"/>
      <c r="U5" s="69"/>
      <c r="V5" s="70"/>
      <c r="W5" s="71"/>
      <c r="X5" s="72"/>
      <c r="AD5" s="73"/>
      <c r="AE5" s="73"/>
      <c r="AF5" s="73"/>
    </row>
    <row r="6" spans="1:32" s="52" customFormat="1" x14ac:dyDescent="0.2">
      <c r="A6" s="68"/>
      <c r="B6" s="99" t="s">
        <v>69</v>
      </c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7"/>
      <c r="R6" s="99" t="s">
        <v>281</v>
      </c>
      <c r="U6" s="69"/>
      <c r="V6" s="70"/>
      <c r="W6" s="71"/>
      <c r="X6" s="72"/>
      <c r="AD6" s="73"/>
      <c r="AE6" s="73"/>
      <c r="AF6" s="73"/>
    </row>
    <row r="7" spans="1:32" s="52" customFormat="1" ht="5.0999999999999996" customHeight="1" x14ac:dyDescent="0.2">
      <c r="A7" s="65"/>
      <c r="B7" s="104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3"/>
      <c r="R7" s="204"/>
      <c r="V7" s="53"/>
      <c r="W7" s="54"/>
    </row>
    <row r="8" spans="1:32" ht="12.75" customHeight="1" x14ac:dyDescent="0.2">
      <c r="A8" s="62"/>
      <c r="B8" s="121" t="s">
        <v>159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85"/>
      <c r="Q8" s="80"/>
      <c r="R8" s="205"/>
      <c r="U8" s="13"/>
      <c r="V8" s="14"/>
      <c r="W8" s="15"/>
    </row>
    <row r="9" spans="1:32" ht="12.75" customHeight="1" x14ac:dyDescent="0.2">
      <c r="A9" s="62"/>
      <c r="B9" s="120" t="s">
        <v>70</v>
      </c>
      <c r="C9" s="136">
        <f t="shared" ref="C9:N9" ca="1" si="1">C43</f>
        <v>10050</v>
      </c>
      <c r="D9" s="136">
        <f t="shared" ca="1" si="1"/>
        <v>4968</v>
      </c>
      <c r="E9" s="136">
        <f t="shared" ca="1" si="1"/>
        <v>5068</v>
      </c>
      <c r="F9" s="136">
        <f t="shared" ca="1" si="1"/>
        <v>5004</v>
      </c>
      <c r="G9" s="136">
        <f t="shared" ca="1" si="1"/>
        <v>9504</v>
      </c>
      <c r="H9" s="136">
        <f t="shared" ca="1" si="1"/>
        <v>7481</v>
      </c>
      <c r="I9" s="136">
        <f t="shared" ca="1" si="1"/>
        <v>5004</v>
      </c>
      <c r="J9" s="136">
        <f t="shared" ca="1" si="1"/>
        <v>5004</v>
      </c>
      <c r="K9" s="136">
        <f t="shared" ca="1" si="1"/>
        <v>5004</v>
      </c>
      <c r="L9" s="136">
        <f t="shared" ca="1" si="1"/>
        <v>5004</v>
      </c>
      <c r="M9" s="136">
        <f t="shared" ca="1" si="1"/>
        <v>7481</v>
      </c>
      <c r="N9" s="136">
        <f t="shared" ca="1" si="1"/>
        <v>5004</v>
      </c>
      <c r="O9" s="135"/>
      <c r="P9" s="137">
        <f ca="1">SUM(C9:N9)</f>
        <v>74576</v>
      </c>
      <c r="Q9" s="80"/>
      <c r="R9" s="205"/>
      <c r="U9" s="13"/>
      <c r="V9" s="14"/>
      <c r="W9" s="15"/>
    </row>
    <row r="10" spans="1:32" ht="12.75" customHeight="1" x14ac:dyDescent="0.2">
      <c r="A10" s="62"/>
      <c r="B10" s="120" t="s">
        <v>71</v>
      </c>
      <c r="C10" s="136">
        <f ca="1">C75</f>
        <v>1227.99</v>
      </c>
      <c r="D10" s="136">
        <f t="shared" ref="D10:N10" ca="1" si="2">D75</f>
        <v>6468.97</v>
      </c>
      <c r="E10" s="136">
        <f t="shared" ca="1" si="2"/>
        <v>6193.97</v>
      </c>
      <c r="F10" s="136">
        <f t="shared" ca="1" si="2"/>
        <v>2768.9700000000003</v>
      </c>
      <c r="G10" s="136">
        <f t="shared" ca="1" si="2"/>
        <v>2793.9700000000003</v>
      </c>
      <c r="H10" s="136">
        <f t="shared" ca="1" si="2"/>
        <v>3068.9700000000003</v>
      </c>
      <c r="I10" s="136">
        <f t="shared" ca="1" si="2"/>
        <v>2793.9700000000003</v>
      </c>
      <c r="J10" s="136">
        <f t="shared" ca="1" si="2"/>
        <v>2818.9700000000003</v>
      </c>
      <c r="K10" s="136">
        <f t="shared" ca="1" si="2"/>
        <v>2818.9700000000003</v>
      </c>
      <c r="L10" s="136">
        <f t="shared" ca="1" si="2"/>
        <v>2793.9700000000003</v>
      </c>
      <c r="M10" s="136">
        <f t="shared" ca="1" si="2"/>
        <v>3068.9700000000003</v>
      </c>
      <c r="N10" s="136">
        <f t="shared" ca="1" si="2"/>
        <v>2793.9700000000003</v>
      </c>
      <c r="O10" s="135"/>
      <c r="P10" s="137">
        <f ca="1">SUM(C10:N10)</f>
        <v>39611.660000000011</v>
      </c>
      <c r="Q10" s="80"/>
      <c r="R10" s="205"/>
      <c r="U10" s="13"/>
      <c r="V10" s="14"/>
      <c r="W10" s="15"/>
    </row>
    <row r="11" spans="1:32" ht="12.75" customHeight="1" x14ac:dyDescent="0.2">
      <c r="A11" s="62"/>
      <c r="B11" s="100" t="s">
        <v>160</v>
      </c>
      <c r="C11" s="138">
        <f ca="1">C9-C10</f>
        <v>8822.01</v>
      </c>
      <c r="D11" s="138">
        <f t="shared" ref="D11:N11" ca="1" si="3">D9-D10</f>
        <v>-1500.9700000000003</v>
      </c>
      <c r="E11" s="138">
        <f t="shared" ca="1" si="3"/>
        <v>-1125.9700000000003</v>
      </c>
      <c r="F11" s="138">
        <f t="shared" ca="1" si="3"/>
        <v>2235.0299999999997</v>
      </c>
      <c r="G11" s="138">
        <f t="shared" ca="1" si="3"/>
        <v>6710.03</v>
      </c>
      <c r="H11" s="138">
        <f t="shared" ca="1" si="3"/>
        <v>4412.03</v>
      </c>
      <c r="I11" s="138">
        <f t="shared" ca="1" si="3"/>
        <v>2210.0299999999997</v>
      </c>
      <c r="J11" s="138">
        <f t="shared" ca="1" si="3"/>
        <v>2185.0299999999997</v>
      </c>
      <c r="K11" s="138">
        <f t="shared" ca="1" si="3"/>
        <v>2185.0299999999997</v>
      </c>
      <c r="L11" s="138">
        <f t="shared" ca="1" si="3"/>
        <v>2210.0299999999997</v>
      </c>
      <c r="M11" s="138">
        <f t="shared" ca="1" si="3"/>
        <v>4412.03</v>
      </c>
      <c r="N11" s="138">
        <f t="shared" ca="1" si="3"/>
        <v>2210.0299999999997</v>
      </c>
      <c r="O11" s="138"/>
      <c r="P11" s="139">
        <f ca="1">SUM(C11:N11)</f>
        <v>34964.339999999989</v>
      </c>
      <c r="Q11" s="80"/>
      <c r="R11" s="205"/>
      <c r="U11" s="13"/>
      <c r="V11" s="13"/>
      <c r="W11" s="15"/>
    </row>
    <row r="12" spans="1:32" s="52" customFormat="1" ht="12.75" customHeight="1" x14ac:dyDescent="0.2">
      <c r="A12" s="65"/>
      <c r="B12" s="227" t="s">
        <v>324</v>
      </c>
      <c r="C12" s="228">
        <f ca="1">C9-SUM(C38)+SUM(C64:C65,C27:C28,C70:C71)</f>
        <v>150</v>
      </c>
      <c r="D12" s="228">
        <f t="shared" ref="D12:P12" ca="1" si="4">D9-SUM(D38)+SUM(D64:D65,D27:D28,D70:D71)</f>
        <v>9668</v>
      </c>
      <c r="E12" s="228">
        <f t="shared" ca="1" si="4"/>
        <v>9618</v>
      </c>
      <c r="F12" s="228">
        <f t="shared" ca="1" si="4"/>
        <v>6064</v>
      </c>
      <c r="G12" s="228">
        <f t="shared" ca="1" si="4"/>
        <v>11064</v>
      </c>
      <c r="H12" s="228">
        <f t="shared" ca="1" si="4"/>
        <v>8946</v>
      </c>
      <c r="I12" s="228">
        <f t="shared" ca="1" si="4"/>
        <v>6064</v>
      </c>
      <c r="J12" s="228">
        <f t="shared" ca="1" si="4"/>
        <v>6064</v>
      </c>
      <c r="K12" s="228">
        <f t="shared" ca="1" si="4"/>
        <v>6064</v>
      </c>
      <c r="L12" s="228">
        <f t="shared" ca="1" si="4"/>
        <v>6064</v>
      </c>
      <c r="M12" s="228">
        <f t="shared" ca="1" si="4"/>
        <v>8946</v>
      </c>
      <c r="N12" s="228">
        <f t="shared" ca="1" si="4"/>
        <v>6064</v>
      </c>
      <c r="O12" s="135"/>
      <c r="P12" s="228">
        <f t="shared" ca="1" si="4"/>
        <v>84776</v>
      </c>
      <c r="Q12" s="83"/>
      <c r="R12" s="204"/>
      <c r="U12" s="229"/>
      <c r="V12" s="229"/>
      <c r="W12" s="15"/>
    </row>
    <row r="13" spans="1:32" s="52" customFormat="1" ht="5.0999999999999996" customHeight="1" x14ac:dyDescent="0.2">
      <c r="A13" s="65"/>
      <c r="B13" s="10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83"/>
      <c r="R13" s="204"/>
      <c r="V13" s="53"/>
      <c r="W13" s="54"/>
    </row>
    <row r="14" spans="1:32" ht="12.75" customHeight="1" x14ac:dyDescent="0.2">
      <c r="A14" s="64"/>
      <c r="B14" s="121" t="s">
        <v>153</v>
      </c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40"/>
      <c r="Q14" s="81"/>
      <c r="R14" s="205"/>
      <c r="U14" s="13"/>
      <c r="V14" s="13"/>
      <c r="W14" s="15"/>
    </row>
    <row r="15" spans="1:32" ht="12.75" customHeight="1" x14ac:dyDescent="0.2">
      <c r="A15" s="64"/>
      <c r="B15" s="120" t="s">
        <v>12</v>
      </c>
      <c r="C15" s="136">
        <f ca="1">Balances!C6+C11</f>
        <v>46212.01</v>
      </c>
      <c r="D15" s="136">
        <f t="shared" ref="D15:N15" ca="1" si="5">C15+D11</f>
        <v>44711.040000000001</v>
      </c>
      <c r="E15" s="136">
        <f t="shared" ca="1" si="5"/>
        <v>43585.07</v>
      </c>
      <c r="F15" s="136">
        <f t="shared" ca="1" si="5"/>
        <v>45820.1</v>
      </c>
      <c r="G15" s="136">
        <f t="shared" ca="1" si="5"/>
        <v>52530.13</v>
      </c>
      <c r="H15" s="136">
        <f t="shared" ca="1" si="5"/>
        <v>56942.159999999996</v>
      </c>
      <c r="I15" s="136">
        <f t="shared" ca="1" si="5"/>
        <v>59152.189999999995</v>
      </c>
      <c r="J15" s="136">
        <f t="shared" ca="1" si="5"/>
        <v>61337.219999999994</v>
      </c>
      <c r="K15" s="136">
        <f t="shared" ca="1" si="5"/>
        <v>63522.249999999993</v>
      </c>
      <c r="L15" s="136">
        <f t="shared" ca="1" si="5"/>
        <v>65732.28</v>
      </c>
      <c r="M15" s="136">
        <f t="shared" ca="1" si="5"/>
        <v>70144.31</v>
      </c>
      <c r="N15" s="136">
        <f t="shared" ca="1" si="5"/>
        <v>72354.34</v>
      </c>
      <c r="O15" s="135"/>
      <c r="P15" s="137">
        <f ca="1">N15</f>
        <v>72354.34</v>
      </c>
      <c r="Q15" s="81"/>
      <c r="R15" s="205"/>
      <c r="S15" s="226"/>
      <c r="U15" s="13"/>
      <c r="V15" s="13"/>
      <c r="W15" s="15"/>
    </row>
    <row r="16" spans="1:32" ht="12.75" customHeight="1" x14ac:dyDescent="0.2">
      <c r="A16" s="64"/>
      <c r="B16" s="100" t="s">
        <v>72</v>
      </c>
      <c r="C16" s="138">
        <f t="shared" ref="C16:N16" ca="1" si="6">C96</f>
        <v>131849.01</v>
      </c>
      <c r="D16" s="138">
        <f t="shared" ca="1" si="6"/>
        <v>136281.37333333332</v>
      </c>
      <c r="E16" s="138">
        <f t="shared" ca="1" si="6"/>
        <v>140955.6811111111</v>
      </c>
      <c r="F16" s="138">
        <f t="shared" ca="1" si="6"/>
        <v>145528.07453703703</v>
      </c>
      <c r="G16" s="138">
        <f t="shared" ca="1" si="6"/>
        <v>155592.86265817902</v>
      </c>
      <c r="H16" s="138">
        <f t="shared" ca="1" si="6"/>
        <v>162995.52376366383</v>
      </c>
      <c r="I16" s="138">
        <f t="shared" ca="1" si="6"/>
        <v>167609.02346169436</v>
      </c>
      <c r="J16" s="138">
        <f t="shared" ca="1" si="6"/>
        <v>172215.46874054181</v>
      </c>
      <c r="K16" s="138">
        <f t="shared" ca="1" si="6"/>
        <v>176840.00914671298</v>
      </c>
      <c r="L16" s="138">
        <f t="shared" ca="1" si="6"/>
        <v>181507.7954729356</v>
      </c>
      <c r="M16" s="138">
        <f t="shared" ca="1" si="6"/>
        <v>189005.97976854339</v>
      </c>
      <c r="N16" s="138">
        <f t="shared" ca="1" si="6"/>
        <v>193715.79868328123</v>
      </c>
      <c r="O16" s="138"/>
      <c r="P16" s="139">
        <f ca="1">N16</f>
        <v>193715.79868328123</v>
      </c>
      <c r="Q16" s="81"/>
      <c r="R16" s="205"/>
      <c r="U16" s="13"/>
      <c r="V16" s="13"/>
      <c r="W16" s="15"/>
    </row>
    <row r="17" spans="1:23" ht="12.75" customHeight="1" x14ac:dyDescent="0.2">
      <c r="A17" s="62"/>
      <c r="B17" s="10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80"/>
      <c r="R17" s="205"/>
      <c r="U17" s="11"/>
      <c r="V17" s="17"/>
      <c r="W17" s="17"/>
    </row>
    <row r="18" spans="1:23" ht="12.75" customHeight="1" x14ac:dyDescent="0.2">
      <c r="A18" s="62"/>
      <c r="B18" s="102" t="s">
        <v>51</v>
      </c>
      <c r="C18" s="230"/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  <c r="O18" s="230"/>
      <c r="P18" s="231"/>
      <c r="Q18" s="80"/>
      <c r="R18" s="205"/>
      <c r="S18" s="226"/>
    </row>
    <row r="19" spans="1:23" ht="12.75" customHeight="1" x14ac:dyDescent="0.2">
      <c r="A19" s="62"/>
      <c r="B19" s="103" t="s">
        <v>15</v>
      </c>
      <c r="C19" s="144" cm="1">
        <f t="array" aca="1" ref="C19" ca="1">_xlfn.LET(
_xlpm.daily,RecurringFactorBased($B19,"Daily",C$4,C$104),
_xlpm.weekdays,RecurringFactorBased($B19,"Weekdays",C$4,C$103),
_xlpm.paydays,RecurringFactorBased($B19,"Paydays",C$4,C$102),
_xlpm.monthly,SUMIFS(Recurring!$D:$D,Recurring!$B:$B,$B19,Recurring!$E:$E,"Monthly",Recurring!$G:$G,"&gt;="&amp;C$4)+SUMIFS(Changes!$F:$F,Changes!$B:$B,$B19,Changes!$D:$D,"&lt;="&amp;C$4,Changes!$E:$E,"Monthly"),
_xlpm.annual,SUMIFS(Recurring!$D:$D,Recurring!$B:$B,$B19,Recurring!$E:$E,"Annual",Recurring!$G:$G,"&gt;="&amp;C$4,Recurring!$G:$G,"&lt;="&amp;EOMONTH(C$4,0))+SUMIFS(Changes!$F:$F,Changes!$B:$B,$B19,Changes!$D:$D,"&lt;="&amp;C$4,Changes!$E:$E,"Annual"),
_xlpm.planned,SUMIFS(Planned!$F:$F,Planned!$B:$B,$B19,Planned!$E:$E,"&gt;="&amp;C$4,Planned!$E:$E,"&lt;="&amp;EOMONTH(C$4,0)),
_xlpm.daily+_xlpm.weekdays+_xlpm.paydays+_xlpm.monthly+_xlpm.annual+_xlpm.planned)</f>
        <v>0</v>
      </c>
      <c r="D19" s="144" cm="1">
        <f t="array" aca="1" ref="D19" ca="1">_xlfn.LET(
_xlpm.daily,RecurringFactorBased($B19,"Daily",D$4,D$104),
_xlpm.weekdays,RecurringFactorBased($B19,"Weekdays",D$4,D$103),
_xlpm.paydays,RecurringFactorBased($B19,"Paydays",D$4,D$102),
_xlpm.monthly,SUMIFS(Recurring!$D:$D,Recurring!$B:$B,$B19,Recurring!$E:$E,"Monthly")+SUMIFS(Changes!$F:$F,Changes!$B:$B,$B19,Changes!$D:$D,"&lt;="&amp;D$4,Changes!$E:$E,"Monthly"),
_xlpm.annual,SUMIFS(Recurring!$D:$D,Recurring!$B:$B,$B19,Recurring!$E:$E,"Annual",Recurring!$G:$G,"&gt;="&amp;D$4,Recurring!$G:$G,"&lt;="&amp;EOMONTH(D$4,0))+SUMIFS(Changes!$F:$F,Changes!$B:$B,$B19,Changes!$D:$D,"&lt;="&amp;D$4,Changes!$E:$E,"Annual"),
_xlpm.planned,SUMIFS(Planned!$F:$F,Planned!$B:$B,$B19,Planned!$E:$E,"&gt;="&amp;D$4,Planned!$E:$E,"&lt;="&amp;EOMONTH(D$4,0)),
_xlpm.daily+_xlpm.weekdays+_xlpm.paydays+_xlpm.monthly+_xlpm.annual+_xlpm.planned)</f>
        <v>8000</v>
      </c>
      <c r="E19" s="144" cm="1">
        <f t="array" aca="1" ref="E19" ca="1">_xlfn.LET(
_xlpm.daily,RecurringFactorBased($B19,"Daily",E$4,E$104),
_xlpm.weekdays,(SUMIFS(Recurring!$D:$D,Recurring!$B:$B,$B19,Recurring!$E:$E,"Weekdays")+SUMIFS(Changes!$F:$F,Changes!$B:$B,$B19,Changes!$D:$D,"&lt;="&amp;E$4,Changes!$E:$E,"Weekdays"))*E$103,
_xlpm.paydays,(SUMIFS(Recurring!$D:$D,Recurring!$B:$B,$B19,Recurring!$E:$E,"Paydays")+SUMIFS(Changes!$F:$F,Changes!$B:$B,$B19,Changes!$D:$D,"&lt;="&amp;E$4,Changes!$E:$E,"Paydays"))*E$102,
_xlpm.monthly,SUMIFS(Recurring!$D:$D,Recurring!$B:$B,$B19,Recurring!$E:$E,"Monthly")+SUMIFS(Changes!$F:$F,Changes!$B:$B,$B19,Changes!$D:$D,"&lt;="&amp;E$4,Changes!$E:$E,"Monthly"),
_xlpm.annual,SUMIFS(Recurring!$D:$D,Recurring!$B:$B,$B19,Recurring!$E:$E,"Annual",Recurring!$G:$G,"&gt;="&amp;E$4,Recurring!$G:$G,"&lt;="&amp;EOMONTH(E$4,0))+SUMIFS(Changes!$F:$F,Changes!$B:$B,$B19,Changes!$D:$D,"&lt;="&amp;E$4,Changes!$E:$E,"Annual"),
_xlpm.planned,SUMIFS(Planned!$F:$F,Planned!$B:$B,$B19,Planned!$E:$E,"&gt;="&amp;E$4,Planned!$E:$E,"&lt;="&amp;EOMONTH(E$4,0)),
_xlpm.daily+_xlpm.weekdays+_xlpm.paydays+_xlpm.monthly+_xlpm.annual+_xlpm.planned)</f>
        <v>8000</v>
      </c>
      <c r="F19" s="144" cm="1">
        <f t="array" aca="1" ref="F19" ca="1">_xlfn.LET(
_xlpm.daily,RecurringFactorBased($B19,"Daily",F$4,F$104),
_xlpm.weekdays,(SUMIFS(Recurring!$D:$D,Recurring!$B:$B,$B19,Recurring!$E:$E,"Weekdays")+SUMIFS(Changes!$F:$F,Changes!$B:$B,$B19,Changes!$D:$D,"&lt;="&amp;F$4,Changes!$E:$E,"Weekdays"))*F$103,
_xlpm.paydays,(SUMIFS(Recurring!$D:$D,Recurring!$B:$B,$B19,Recurring!$E:$E,"Paydays")+SUMIFS(Changes!$F:$F,Changes!$B:$B,$B19,Changes!$D:$D,"&lt;="&amp;F$4,Changes!$E:$E,"Paydays"))*F$102,
_xlpm.monthly,SUMIFS(Recurring!$D:$D,Recurring!$B:$B,$B19,Recurring!$E:$E,"Monthly")+SUMIFS(Changes!$F:$F,Changes!$B:$B,$B19,Changes!$D:$D,"&lt;="&amp;F$4,Changes!$E:$E,"Monthly"),
_xlpm.annual,SUMIFS(Recurring!$D:$D,Recurring!$B:$B,$B19,Recurring!$E:$E,"Annual",Recurring!$G:$G,"&gt;="&amp;F$4,Recurring!$G:$G,"&lt;="&amp;EOMONTH(F$4,0))+SUMIFS(Changes!$F:$F,Changes!$B:$B,$B19,Changes!$D:$D,"&lt;="&amp;F$4,Changes!$E:$E,"Annual"),
_xlpm.planned,SUMIFS(Planned!$F:$F,Planned!$B:$B,$B19,Planned!$E:$E,"&gt;="&amp;F$4,Planned!$E:$E,"&lt;="&amp;EOMONTH(F$4,0)),
_xlpm.daily+_xlpm.weekdays+_xlpm.paydays+_xlpm.monthly+_xlpm.annual+_xlpm.planned)</f>
        <v>8200</v>
      </c>
      <c r="G19" s="144" cm="1">
        <f t="array" aca="1" ref="G19" ca="1">_xlfn.LET(
_xlpm.daily,RecurringFactorBased($B19,"Daily",G$4,G$104),
_xlpm.weekdays,(SUMIFS(Recurring!$D:$D,Recurring!$B:$B,$B19,Recurring!$E:$E,"Weekdays")+SUMIFS(Changes!$F:$F,Changes!$B:$B,$B19,Changes!$D:$D,"&lt;="&amp;G$4,Changes!$E:$E,"Weekdays"))*G$103,
_xlpm.paydays,(SUMIFS(Recurring!$D:$D,Recurring!$B:$B,$B19,Recurring!$E:$E,"Paydays")+SUMIFS(Changes!$F:$F,Changes!$B:$B,$B19,Changes!$D:$D,"&lt;="&amp;G$4,Changes!$E:$E,"Paydays"))*G$102,
_xlpm.monthly,SUMIFS(Recurring!$D:$D,Recurring!$B:$B,$B19,Recurring!$E:$E,"Monthly")+SUMIFS(Changes!$F:$F,Changes!$B:$B,$B19,Changes!$D:$D,"&lt;="&amp;G$4,Changes!$E:$E,"Monthly"),
_xlpm.annual,SUMIFS(Recurring!$D:$D,Recurring!$B:$B,$B19,Recurring!$E:$E,"Annual",Recurring!$G:$G,"&gt;="&amp;G$4,Recurring!$G:$G,"&lt;="&amp;EOMONTH(G$4,0))+SUMIFS(Changes!$F:$F,Changes!$B:$B,$B19,Changes!$D:$D,"&lt;="&amp;G$4,Changes!$E:$E,"Annual"),
_xlpm.planned,SUMIFS(Planned!$F:$F,Planned!$B:$B,$B19,Planned!$E:$E,"&gt;="&amp;G$4,Planned!$E:$E,"&lt;="&amp;EOMONTH(G$4,0)),
_xlpm.daily+_xlpm.weekdays+_xlpm.paydays+_xlpm.monthly+_xlpm.annual+_xlpm.planned)</f>
        <v>8200</v>
      </c>
      <c r="H19" s="144" cm="1">
        <f t="array" aca="1" ref="H19" ca="1">_xlfn.LET(
_xlpm.daily,RecurringFactorBased($B19,"Daily",H$4,H$104),
_xlpm.weekdays,(SUMIFS(Recurring!$D:$D,Recurring!$B:$B,$B19,Recurring!$E:$E,"Weekdays")+SUMIFS(Changes!$F:$F,Changes!$B:$B,$B19,Changes!$D:$D,"&lt;="&amp;H$4,Changes!$E:$E,"Weekdays"))*H$103,
_xlpm.paydays,(SUMIFS(Recurring!$D:$D,Recurring!$B:$B,$B19,Recurring!$E:$E,"Paydays")+SUMIFS(Changes!$F:$F,Changes!$B:$B,$B19,Changes!$D:$D,"&lt;="&amp;H$4,Changes!$E:$E,"Paydays"))*H$102,
_xlpm.monthly,SUMIFS(Recurring!$D:$D,Recurring!$B:$B,$B19,Recurring!$E:$E,"Monthly")+SUMIFS(Changes!$F:$F,Changes!$B:$B,$B19,Changes!$D:$D,"&lt;="&amp;H$4,Changes!$E:$E,"Monthly"),
_xlpm.annual,SUMIFS(Recurring!$D:$D,Recurring!$B:$B,$B19,Recurring!$E:$E,"Annual",Recurring!$G:$G,"&gt;="&amp;H$4,Recurring!$G:$G,"&lt;="&amp;EOMONTH(H$4,0))+SUMIFS(Changes!$F:$F,Changes!$B:$B,$B19,Changes!$D:$D,"&lt;="&amp;H$4,Changes!$E:$E,"Annual"),
_xlpm.planned,SUMIFS(Planned!$F:$F,Planned!$B:$B,$B19,Planned!$E:$E,"&gt;="&amp;H$4,Planned!$E:$E,"&lt;="&amp;EOMONTH(H$4,0)),
_xlpm.daily+_xlpm.weekdays+_xlpm.paydays+_xlpm.monthly+_xlpm.annual+_xlpm.planned)</f>
        <v>12300</v>
      </c>
      <c r="I19" s="144" cm="1">
        <f t="array" aca="1" ref="I19" ca="1">_xlfn.LET(
_xlpm.daily,RecurringFactorBased($B19,"Daily",I$4,I$104),
_xlpm.weekdays,(SUMIFS(Recurring!$D:$D,Recurring!$B:$B,$B19,Recurring!$E:$E,"Weekdays")+SUMIFS(Changes!$F:$F,Changes!$B:$B,$B19,Changes!$D:$D,"&lt;="&amp;I$4,Changes!$E:$E,"Weekdays"))*I$103,
_xlpm.paydays,(SUMIFS(Recurring!$D:$D,Recurring!$B:$B,$B19,Recurring!$E:$E,"Paydays")+SUMIFS(Changes!$F:$F,Changes!$B:$B,$B19,Changes!$D:$D,"&lt;="&amp;I$4,Changes!$E:$E,"Paydays"))*I$102,
_xlpm.monthly,SUMIFS(Recurring!$D:$D,Recurring!$B:$B,$B19,Recurring!$E:$E,"Monthly")+SUMIFS(Changes!$F:$F,Changes!$B:$B,$B19,Changes!$D:$D,"&lt;="&amp;I$4,Changes!$E:$E,"Monthly"),
_xlpm.annual,SUMIFS(Recurring!$D:$D,Recurring!$B:$B,$B19,Recurring!$E:$E,"Annual",Recurring!$G:$G,"&gt;="&amp;I$4,Recurring!$G:$G,"&lt;="&amp;EOMONTH(I$4,0))+SUMIFS(Changes!$F:$F,Changes!$B:$B,$B19,Changes!$D:$D,"&lt;="&amp;I$4,Changes!$E:$E,"Annual"),
_xlpm.planned,SUMIFS(Planned!$F:$F,Planned!$B:$B,$B19,Planned!$E:$E,"&gt;="&amp;I$4,Planned!$E:$E,"&lt;="&amp;EOMONTH(I$4,0)),
_xlpm.daily+_xlpm.weekdays+_xlpm.paydays+_xlpm.monthly+_xlpm.annual+_xlpm.planned)</f>
        <v>8200</v>
      </c>
      <c r="J19" s="144" cm="1">
        <f t="array" aca="1" ref="J19" ca="1">_xlfn.LET(
_xlpm.daily,RecurringFactorBased($B19,"Daily",J$4,J$104),
_xlpm.weekdays,(SUMIFS(Recurring!$D:$D,Recurring!$B:$B,$B19,Recurring!$E:$E,"Weekdays")+SUMIFS(Changes!$F:$F,Changes!$B:$B,$B19,Changes!$D:$D,"&lt;="&amp;J$4,Changes!$E:$E,"Weekdays"))*J$103,
_xlpm.paydays,(SUMIFS(Recurring!$D:$D,Recurring!$B:$B,$B19,Recurring!$E:$E,"Paydays")+SUMIFS(Changes!$F:$F,Changes!$B:$B,$B19,Changes!$D:$D,"&lt;="&amp;J$4,Changes!$E:$E,"Paydays"))*J$102,
_xlpm.monthly,SUMIFS(Recurring!$D:$D,Recurring!$B:$B,$B19,Recurring!$E:$E,"Monthly")+SUMIFS(Changes!$F:$F,Changes!$B:$B,$B19,Changes!$D:$D,"&lt;="&amp;J$4,Changes!$E:$E,"Monthly"),
_xlpm.annual,SUMIFS(Recurring!$D:$D,Recurring!$B:$B,$B19,Recurring!$E:$E,"Annual",Recurring!$G:$G,"&gt;="&amp;J$4,Recurring!$G:$G,"&lt;="&amp;EOMONTH(J$4,0))+SUMIFS(Changes!$F:$F,Changes!$B:$B,$B19,Changes!$D:$D,"&lt;="&amp;J$4,Changes!$E:$E,"Annual"),
_xlpm.planned,SUMIFS(Planned!$F:$F,Planned!$B:$B,$B19,Planned!$E:$E,"&gt;="&amp;J$4,Planned!$E:$E,"&lt;="&amp;EOMONTH(J$4,0)),
_xlpm.daily+_xlpm.weekdays+_xlpm.paydays+_xlpm.monthly+_xlpm.annual+_xlpm.planned)</f>
        <v>8200</v>
      </c>
      <c r="K19" s="144" cm="1">
        <f t="array" aca="1" ref="K19" ca="1">_xlfn.LET(
_xlpm.daily,RecurringFactorBased($B19,"Daily",K$4,K$104),
_xlpm.weekdays,(SUMIFS(Recurring!$D:$D,Recurring!$B:$B,$B19,Recurring!$E:$E,"Weekdays")+SUMIFS(Changes!$F:$F,Changes!$B:$B,$B19,Changes!$D:$D,"&lt;="&amp;K$4,Changes!$E:$E,"Weekdays"))*K$103,
_xlpm.paydays,(SUMIFS(Recurring!$D:$D,Recurring!$B:$B,$B19,Recurring!$E:$E,"Paydays")+SUMIFS(Changes!$F:$F,Changes!$B:$B,$B19,Changes!$D:$D,"&lt;="&amp;K$4,Changes!$E:$E,"Paydays"))*K$102,
_xlpm.monthly,SUMIFS(Recurring!$D:$D,Recurring!$B:$B,$B19,Recurring!$E:$E,"Monthly")+SUMIFS(Changes!$F:$F,Changes!$B:$B,$B19,Changes!$D:$D,"&lt;="&amp;K$4,Changes!$E:$E,"Monthly"),
_xlpm.annual,SUMIFS(Recurring!$D:$D,Recurring!$B:$B,$B19,Recurring!$E:$E,"Annual",Recurring!$G:$G,"&gt;="&amp;K$4,Recurring!$G:$G,"&lt;="&amp;EOMONTH(K$4,0))+SUMIFS(Changes!$F:$F,Changes!$B:$B,$B19,Changes!$D:$D,"&lt;="&amp;K$4,Changes!$E:$E,"Annual"),
_xlpm.planned,SUMIFS(Planned!$F:$F,Planned!$B:$B,$B19,Planned!$E:$E,"&gt;="&amp;K$4,Planned!$E:$E,"&lt;="&amp;EOMONTH(K$4,0)),
_xlpm.daily+_xlpm.weekdays+_xlpm.paydays+_xlpm.monthly+_xlpm.annual+_xlpm.planned)</f>
        <v>8200</v>
      </c>
      <c r="L19" s="144" cm="1">
        <f t="array" aca="1" ref="L19" ca="1">_xlfn.LET(
_xlpm.daily,RecurringFactorBased($B19,"Daily",L$4,L$104),
_xlpm.weekdays,(SUMIFS(Recurring!$D:$D,Recurring!$B:$B,$B19,Recurring!$E:$E,"Weekdays")+SUMIFS(Changes!$F:$F,Changes!$B:$B,$B19,Changes!$D:$D,"&lt;="&amp;L$4,Changes!$E:$E,"Weekdays"))*L$103,
_xlpm.paydays,(SUMIFS(Recurring!$D:$D,Recurring!$B:$B,$B19,Recurring!$E:$E,"Paydays")+SUMIFS(Changes!$F:$F,Changes!$B:$B,$B19,Changes!$D:$D,"&lt;="&amp;L$4,Changes!$E:$E,"Paydays"))*L$102,
_xlpm.monthly,SUMIFS(Recurring!$D:$D,Recurring!$B:$B,$B19,Recurring!$E:$E,"Monthly")+SUMIFS(Changes!$F:$F,Changes!$B:$B,$B19,Changes!$D:$D,"&lt;="&amp;L$4,Changes!$E:$E,"Monthly"),
_xlpm.annual,SUMIFS(Recurring!$D:$D,Recurring!$B:$B,$B19,Recurring!$E:$E,"Annual",Recurring!$G:$G,"&gt;="&amp;L$4,Recurring!$G:$G,"&lt;="&amp;EOMONTH(L$4,0))+SUMIFS(Changes!$F:$F,Changes!$B:$B,$B19,Changes!$D:$D,"&lt;="&amp;L$4,Changes!$E:$E,"Annual"),
_xlpm.planned,SUMIFS(Planned!$F:$F,Planned!$B:$B,$B19,Planned!$E:$E,"&gt;="&amp;L$4,Planned!$E:$E,"&lt;="&amp;EOMONTH(L$4,0)),
_xlpm.daily+_xlpm.weekdays+_xlpm.paydays+_xlpm.monthly+_xlpm.annual+_xlpm.planned)</f>
        <v>8200</v>
      </c>
      <c r="M19" s="144" cm="1">
        <f t="array" aca="1" ref="M19" ca="1">_xlfn.LET(
_xlpm.daily,RecurringFactorBased($B19,"Daily",M$4,M$104),
_xlpm.weekdays,(SUMIFS(Recurring!$D:$D,Recurring!$B:$B,$B19,Recurring!$E:$E,"Weekdays")+SUMIFS(Changes!$F:$F,Changes!$B:$B,$B19,Changes!$D:$D,"&lt;="&amp;M$4,Changes!$E:$E,"Weekdays"))*M$103,
_xlpm.paydays,(SUMIFS(Recurring!$D:$D,Recurring!$B:$B,$B19,Recurring!$E:$E,"Paydays")+SUMIFS(Changes!$F:$F,Changes!$B:$B,$B19,Changes!$D:$D,"&lt;="&amp;M$4,Changes!$E:$E,"Paydays"))*M$102,
_xlpm.monthly,SUMIFS(Recurring!$D:$D,Recurring!$B:$B,$B19,Recurring!$E:$E,"Monthly")+SUMIFS(Changes!$F:$F,Changes!$B:$B,$B19,Changes!$D:$D,"&lt;="&amp;M$4,Changes!$E:$E,"Monthly"),
_xlpm.annual,SUMIFS(Recurring!$D:$D,Recurring!$B:$B,$B19,Recurring!$E:$E,"Annual",Recurring!$G:$G,"&gt;="&amp;M$4,Recurring!$G:$G,"&lt;="&amp;EOMONTH(M$4,0))+SUMIFS(Changes!$F:$F,Changes!$B:$B,$B19,Changes!$D:$D,"&lt;="&amp;M$4,Changes!$E:$E,"Annual"),
_xlpm.planned,SUMIFS(Planned!$F:$F,Planned!$B:$B,$B19,Planned!$E:$E,"&gt;="&amp;M$4,Planned!$E:$E,"&lt;="&amp;EOMONTH(M$4,0)),
_xlpm.daily+_xlpm.weekdays+_xlpm.paydays+_xlpm.monthly+_xlpm.annual+_xlpm.planned)</f>
        <v>12300</v>
      </c>
      <c r="N19" s="144" cm="1">
        <f t="array" aca="1" ref="N19" ca="1">_xlfn.LET(
_xlpm.daily,RecurringFactorBased($B19,"Daily",N$4,N$104),
_xlpm.weekdays,(SUMIFS(Recurring!$D:$D,Recurring!$B:$B,$B19,Recurring!$E:$E,"Weekdays")+SUMIFS(Changes!$F:$F,Changes!$B:$B,$B19,Changes!$D:$D,"&lt;="&amp;N$4,Changes!$E:$E,"Weekdays"))*N$103,
_xlpm.paydays,(SUMIFS(Recurring!$D:$D,Recurring!$B:$B,$B19,Recurring!$E:$E,"Paydays")+SUMIFS(Changes!$F:$F,Changes!$B:$B,$B19,Changes!$D:$D,"&lt;="&amp;N$4,Changes!$E:$E,"Paydays"))*N$102,
_xlpm.monthly,SUMIFS(Recurring!$D:$D,Recurring!$B:$B,$B19,Recurring!$E:$E,"Monthly")+SUMIFS(Changes!$F:$F,Changes!$B:$B,$B19,Changes!$D:$D,"&lt;="&amp;N$4,Changes!$E:$E,"Monthly"),
_xlpm.annual,SUMIFS(Recurring!$D:$D,Recurring!$B:$B,$B19,Recurring!$E:$E,"Annual",Recurring!$G:$G,"&gt;="&amp;N$4,Recurring!$G:$G,"&lt;="&amp;EOMONTH(N$4,0))+SUMIFS(Changes!$F:$F,Changes!$B:$B,$B19,Changes!$D:$D,"&lt;="&amp;N$4,Changes!$E:$E,"Annual"),
_xlpm.planned,SUMIFS(Planned!$F:$F,Planned!$B:$B,$B19,Planned!$E:$E,"&gt;="&amp;N$4,Planned!$E:$E,"&lt;="&amp;EOMONTH(N$4,0)),
_xlpm.daily+_xlpm.weekdays+_xlpm.paydays+_xlpm.monthly+_xlpm.annual+_xlpm.planned)</f>
        <v>8200</v>
      </c>
      <c r="O19" s="134"/>
      <c r="P19" s="145">
        <f ca="1">SUM(C19:N19)</f>
        <v>98000</v>
      </c>
      <c r="Q19" s="80"/>
      <c r="R19" s="206"/>
      <c r="S19" s="226"/>
      <c r="W19" s="18"/>
    </row>
    <row r="20" spans="1:23" ht="12.75" customHeight="1" x14ac:dyDescent="0.2">
      <c r="A20" s="62"/>
      <c r="B20" s="103" t="s">
        <v>16</v>
      </c>
      <c r="C20" s="144" cm="1">
        <f t="array" aca="1" ref="C20" ca="1">_xlfn.LET(
_xlpm.daily,RecurringFactorBased($B20,"Daily",C$4,C$104),
_xlpm.weekdays,RecurringFactorBased($B20,"Weekdays",C$4,C$103),
_xlpm.paydays,RecurringFactorBased($B20,"Paydays",C$4,C$102),
_xlpm.monthly,SUMIFS(Recurring!$D:$D,Recurring!$B:$B,$B20,Recurring!$E:$E,"Monthly",Recurring!$G:$G,"&gt;="&amp;C$4)+SUMIFS(Changes!$F:$F,Changes!$B:$B,$B20,Changes!$D:$D,"&lt;="&amp;C$4,Changes!$E:$E,"Monthly"),
_xlpm.annual,SUMIFS(Recurring!$D:$D,Recurring!$B:$B,$B20,Recurring!$E:$E,"Annual",Recurring!$G:$G,"&gt;="&amp;C$4,Recurring!$G:$G,"&lt;="&amp;EOMONTH(C$4,0))+SUMIFS(Changes!$F:$F,Changes!$B:$B,$B20,Changes!$D:$D,"&lt;="&amp;C$4,Changes!$E:$E,"Annual"),
_xlpm.planned,SUMIFS(Planned!$F:$F,Planned!$B:$B,$B20,Planned!$E:$E,"&gt;="&amp;C$4,Planned!$E:$E,"&lt;="&amp;EOMONTH(C$4,0)),
_xlpm.daily+_xlpm.weekdays+_xlpm.paydays+_xlpm.monthly+_xlpm.annual+_xlpm.planned)</f>
        <v>0</v>
      </c>
      <c r="D20" s="144" cm="1">
        <f t="array" aca="1" ref="D20" ca="1">_xlfn.LET(
_xlpm.daily,RecurringFactorBased($B20,"Daily",D$4,D$104),
_xlpm.weekdays,RecurringFactorBased($B20,"Weekdays",D$4,D$103),
_xlpm.paydays,RecurringFactorBased($B20,"Paydays",D$4,D$102),
_xlpm.monthly,SUMIFS(Recurring!$D:$D,Recurring!$B:$B,$B20,Recurring!$E:$E,"Monthly")+SUMIFS(Changes!$F:$F,Changes!$B:$B,$B20,Changes!$D:$D,"&lt;="&amp;D$4,Changes!$E:$E,"Monthly"),
_xlpm.annual,SUMIFS(Recurring!$D:$D,Recurring!$B:$B,$B20,Recurring!$E:$E,"Annual",Recurring!$G:$G,"&gt;="&amp;D$4,Recurring!$G:$G,"&lt;="&amp;EOMONTH(D$4,0))+SUMIFS(Changes!$F:$F,Changes!$B:$B,$B20,Changes!$D:$D,"&lt;="&amp;D$4,Changes!$E:$E,"Annual"),
_xlpm.planned,SUMIFS(Planned!$F:$F,Planned!$B:$B,$B20,Planned!$E:$E,"&gt;="&amp;D$4,Planned!$E:$E,"&lt;="&amp;EOMONTH(D$4,0)),
_xlpm.daily+_xlpm.weekdays+_xlpm.paydays+_xlpm.monthly+_xlpm.annual+_xlpm.planned)</f>
        <v>0</v>
      </c>
      <c r="E20" s="144" cm="1">
        <f t="array" aca="1" ref="E20" ca="1">_xlfn.LET(
_xlpm.daily,RecurringFactorBased($B20,"Daily",E$4,E$104),
_xlpm.weekdays,RecurringFactorBased($B20,"Weekdays",E$4,E$103),
_xlpm.paydays,RecurringFactorBased($B20,"Paydays",E$4,E$102),
_xlpm.monthly,SUMIFS(Recurring!$D:$D,Recurring!$B:$B,$B20,Recurring!$E:$E,"Monthly")+SUMIFS(Changes!$F:$F,Changes!$B:$B,$B20,Changes!$D:$D,"&lt;="&amp;E$4,Changes!$E:$E,"Monthly"),
_xlpm.annual,SUMIFS(Recurring!$D:$D,Recurring!$B:$B,$B20,Recurring!$E:$E,"Annual",Recurring!$G:$G,"&gt;="&amp;E$4,Recurring!$G:$G,"&lt;="&amp;EOMONTH(E$4,0))+SUMIFS(Changes!$F:$F,Changes!$B:$B,$B20,Changes!$D:$D,"&lt;="&amp;E$4,Changes!$E:$E,"Annual"),
_xlpm.planned,SUMIFS(Planned!$F:$F,Planned!$B:$B,$B20,Planned!$E:$E,"&gt;="&amp;E$4,Planned!$E:$E,"&lt;="&amp;EOMONTH(E$4,0)),
_xlpm.daily+_xlpm.weekdays+_xlpm.paydays+_xlpm.monthly+_xlpm.annual+_xlpm.planned)</f>
        <v>0</v>
      </c>
      <c r="F20" s="144" cm="1">
        <f t="array" aca="1" ref="F20" ca="1">_xlfn.LET(
_xlpm.daily,RecurringFactorBased($B20,"Daily",F$4,F$104),
_xlpm.weekdays,RecurringFactorBased($B20,"Weekdays",F$4,F$103),
_xlpm.paydays,RecurringFactorBased($B20,"Paydays",F$4,F$102),
_xlpm.monthly,SUMIFS(Recurring!$D:$D,Recurring!$B:$B,$B20,Recurring!$E:$E,"Monthly")+SUMIFS(Changes!$F:$F,Changes!$B:$B,$B20,Changes!$D:$D,"&lt;="&amp;F$4,Changes!$E:$E,"Monthly"),
_xlpm.annual,SUMIFS(Recurring!$D:$D,Recurring!$B:$B,$B20,Recurring!$E:$E,"Annual",Recurring!$G:$G,"&gt;="&amp;F$4,Recurring!$G:$G,"&lt;="&amp;EOMONTH(F$4,0))+SUMIFS(Changes!$F:$F,Changes!$B:$B,$B20,Changes!$D:$D,"&lt;="&amp;F$4,Changes!$E:$E,"Annual"),
_xlpm.planned,SUMIFS(Planned!$F:$F,Planned!$B:$B,$B20,Planned!$E:$E,"&gt;="&amp;F$4,Planned!$E:$E,"&lt;="&amp;EOMONTH(F$4,0)),
_xlpm.daily+_xlpm.weekdays+_xlpm.paydays+_xlpm.monthly+_xlpm.annual+_xlpm.planned)</f>
        <v>0</v>
      </c>
      <c r="G20" s="144" cm="1">
        <f t="array" aca="1" ref="G20" ca="1">_xlfn.LET(
_xlpm.daily,RecurringFactorBased($B20,"Daily",G$4,G$104),
_xlpm.weekdays,RecurringFactorBased($B20,"Weekdays",G$4,G$103),
_xlpm.paydays,RecurringFactorBased($B20,"Paydays",G$4,G$102),
_xlpm.monthly,SUMIFS(Recurring!$D:$D,Recurring!$B:$B,$B20,Recurring!$E:$E,"Monthly")+SUMIFS(Changes!$F:$F,Changes!$B:$B,$B20,Changes!$D:$D,"&lt;="&amp;G$4,Changes!$E:$E,"Monthly"),
_xlpm.annual,SUMIFS(Recurring!$D:$D,Recurring!$B:$B,$B20,Recurring!$E:$E,"Annual",Recurring!$G:$G,"&gt;="&amp;G$4,Recurring!$G:$G,"&lt;="&amp;EOMONTH(G$4,0))+SUMIFS(Changes!$F:$F,Changes!$B:$B,$B20,Changes!$D:$D,"&lt;="&amp;G$4,Changes!$E:$E,"Annual"),
_xlpm.planned,SUMIFS(Planned!$F:$F,Planned!$B:$B,$B20,Planned!$E:$E,"&gt;="&amp;G$4,Planned!$E:$E,"&lt;="&amp;EOMONTH(G$4,0)),
_xlpm.daily+_xlpm.weekdays+_xlpm.paydays+_xlpm.monthly+_xlpm.annual+_xlpm.planned)</f>
        <v>10000</v>
      </c>
      <c r="H20" s="144" cm="1">
        <f t="array" aca="1" ref="H20" ca="1">_xlfn.LET(
_xlpm.daily,RecurringFactorBased($B20,"Daily",H$4,H$104),
_xlpm.weekdays,RecurringFactorBased($B20,"Weekdays",H$4,H$103),
_xlpm.paydays,RecurringFactorBased($B20,"Paydays",H$4,H$102),
_xlpm.monthly,SUMIFS(Recurring!$D:$D,Recurring!$B:$B,$B20,Recurring!$E:$E,"Monthly")+SUMIFS(Changes!$F:$F,Changes!$B:$B,$B20,Changes!$D:$D,"&lt;="&amp;H$4,Changes!$E:$E,"Monthly"),
_xlpm.annual,SUMIFS(Recurring!$D:$D,Recurring!$B:$B,$B20,Recurring!$E:$E,"Annual",Recurring!$G:$G,"&gt;="&amp;H$4,Recurring!$G:$G,"&lt;="&amp;EOMONTH(H$4,0))+SUMIFS(Changes!$F:$F,Changes!$B:$B,$B20,Changes!$D:$D,"&lt;="&amp;H$4,Changes!$E:$E,"Annual"),
_xlpm.planned,SUMIFS(Planned!$F:$F,Planned!$B:$B,$B20,Planned!$E:$E,"&gt;="&amp;H$4,Planned!$E:$E,"&lt;="&amp;EOMONTH(H$4,0)),
_xlpm.daily+_xlpm.weekdays+_xlpm.paydays+_xlpm.monthly+_xlpm.annual+_xlpm.planned)</f>
        <v>0</v>
      </c>
      <c r="I20" s="144" cm="1">
        <f t="array" aca="1" ref="I20" ca="1">_xlfn.LET(
_xlpm.daily,RecurringFactorBased($B20,"Daily",I$4,I$104),
_xlpm.weekdays,RecurringFactorBased($B20,"Weekdays",I$4,I$103),
_xlpm.paydays,RecurringFactorBased($B20,"Paydays",I$4,I$102),
_xlpm.monthly,SUMIFS(Recurring!$D:$D,Recurring!$B:$B,$B20,Recurring!$E:$E,"Monthly")+SUMIFS(Changes!$F:$F,Changes!$B:$B,$B20,Changes!$D:$D,"&lt;="&amp;I$4,Changes!$E:$E,"Monthly"),
_xlpm.annual,SUMIFS(Recurring!$D:$D,Recurring!$B:$B,$B20,Recurring!$E:$E,"Annual",Recurring!$G:$G,"&gt;="&amp;I$4,Recurring!$G:$G,"&lt;="&amp;EOMONTH(I$4,0))+SUMIFS(Changes!$F:$F,Changes!$B:$B,$B20,Changes!$D:$D,"&lt;="&amp;I$4,Changes!$E:$E,"Annual"),
_xlpm.planned,SUMIFS(Planned!$F:$F,Planned!$B:$B,$B20,Planned!$E:$E,"&gt;="&amp;I$4,Planned!$E:$E,"&lt;="&amp;EOMONTH(I$4,0)),
_xlpm.daily+_xlpm.weekdays+_xlpm.paydays+_xlpm.monthly+_xlpm.annual+_xlpm.planned)</f>
        <v>0</v>
      </c>
      <c r="J20" s="144" cm="1">
        <f t="array" aca="1" ref="J20" ca="1">_xlfn.LET(
_xlpm.daily,RecurringFactorBased($B20,"Daily",J$4,J$104),
_xlpm.weekdays,RecurringFactorBased($B20,"Weekdays",J$4,J$103),
_xlpm.paydays,RecurringFactorBased($B20,"Paydays",J$4,J$102),
_xlpm.monthly,SUMIFS(Recurring!$D:$D,Recurring!$B:$B,$B20,Recurring!$E:$E,"Monthly")+SUMIFS(Changes!$F:$F,Changes!$B:$B,$B20,Changes!$D:$D,"&lt;="&amp;J$4,Changes!$E:$E,"Monthly"),
_xlpm.annual,SUMIFS(Recurring!$D:$D,Recurring!$B:$B,$B20,Recurring!$E:$E,"Annual",Recurring!$G:$G,"&gt;="&amp;J$4,Recurring!$G:$G,"&lt;="&amp;EOMONTH(J$4,0))+SUMIFS(Changes!$F:$F,Changes!$B:$B,$B20,Changes!$D:$D,"&lt;="&amp;J$4,Changes!$E:$E,"Annual"),
_xlpm.planned,SUMIFS(Planned!$F:$F,Planned!$B:$B,$B20,Planned!$E:$E,"&gt;="&amp;J$4,Planned!$E:$E,"&lt;="&amp;EOMONTH(J$4,0)),
_xlpm.daily+_xlpm.weekdays+_xlpm.paydays+_xlpm.monthly+_xlpm.annual+_xlpm.planned)</f>
        <v>0</v>
      </c>
      <c r="K20" s="144" cm="1">
        <f t="array" aca="1" ref="K20" ca="1">_xlfn.LET(
_xlpm.daily,RecurringFactorBased($B20,"Daily",K$4,K$104),
_xlpm.weekdays,RecurringFactorBased($B20,"Weekdays",K$4,K$103),
_xlpm.paydays,RecurringFactorBased($B20,"Paydays",K$4,K$102),
_xlpm.monthly,SUMIFS(Recurring!$D:$D,Recurring!$B:$B,$B20,Recurring!$E:$E,"Monthly")+SUMIFS(Changes!$F:$F,Changes!$B:$B,$B20,Changes!$D:$D,"&lt;="&amp;K$4,Changes!$E:$E,"Monthly"),
_xlpm.annual,SUMIFS(Recurring!$D:$D,Recurring!$B:$B,$B20,Recurring!$E:$E,"Annual",Recurring!$G:$G,"&gt;="&amp;K$4,Recurring!$G:$G,"&lt;="&amp;EOMONTH(K$4,0))+SUMIFS(Changes!$F:$F,Changes!$B:$B,$B20,Changes!$D:$D,"&lt;="&amp;K$4,Changes!$E:$E,"Annual"),
_xlpm.planned,SUMIFS(Planned!$F:$F,Planned!$B:$B,$B20,Planned!$E:$E,"&gt;="&amp;K$4,Planned!$E:$E,"&lt;="&amp;EOMONTH(K$4,0)),
_xlpm.daily+_xlpm.weekdays+_xlpm.paydays+_xlpm.monthly+_xlpm.annual+_xlpm.planned)</f>
        <v>0</v>
      </c>
      <c r="L20" s="144" cm="1">
        <f t="array" aca="1" ref="L20" ca="1">_xlfn.LET(
_xlpm.daily,RecurringFactorBased($B20,"Daily",L$4,L$104),
_xlpm.weekdays,RecurringFactorBased($B20,"Weekdays",L$4,L$103),
_xlpm.paydays,RecurringFactorBased($B20,"Paydays",L$4,L$102),
_xlpm.monthly,SUMIFS(Recurring!$D:$D,Recurring!$B:$B,$B20,Recurring!$E:$E,"Monthly")+SUMIFS(Changes!$F:$F,Changes!$B:$B,$B20,Changes!$D:$D,"&lt;="&amp;L$4,Changes!$E:$E,"Monthly"),
_xlpm.annual,SUMIFS(Recurring!$D:$D,Recurring!$B:$B,$B20,Recurring!$E:$E,"Annual",Recurring!$G:$G,"&gt;="&amp;L$4,Recurring!$G:$G,"&lt;="&amp;EOMONTH(L$4,0))+SUMIFS(Changes!$F:$F,Changes!$B:$B,$B20,Changes!$D:$D,"&lt;="&amp;L$4,Changes!$E:$E,"Annual"),
_xlpm.planned,SUMIFS(Planned!$F:$F,Planned!$B:$B,$B20,Planned!$E:$E,"&gt;="&amp;L$4,Planned!$E:$E,"&lt;="&amp;EOMONTH(L$4,0)),
_xlpm.daily+_xlpm.weekdays+_xlpm.paydays+_xlpm.monthly+_xlpm.annual+_xlpm.planned)</f>
        <v>0</v>
      </c>
      <c r="M20" s="144" cm="1">
        <f t="array" aca="1" ref="M20" ca="1">_xlfn.LET(
_xlpm.daily,RecurringFactorBased($B20,"Daily",M$4,M$104),
_xlpm.weekdays,RecurringFactorBased($B20,"Weekdays",M$4,M$103),
_xlpm.paydays,RecurringFactorBased($B20,"Paydays",M$4,M$102),
_xlpm.monthly,SUMIFS(Recurring!$D:$D,Recurring!$B:$B,$B20,Recurring!$E:$E,"Monthly")+SUMIFS(Changes!$F:$F,Changes!$B:$B,$B20,Changes!$D:$D,"&lt;="&amp;M$4,Changes!$E:$E,"Monthly"),
_xlpm.annual,SUMIFS(Recurring!$D:$D,Recurring!$B:$B,$B20,Recurring!$E:$E,"Annual",Recurring!$G:$G,"&gt;="&amp;M$4,Recurring!$G:$G,"&lt;="&amp;EOMONTH(M$4,0))+SUMIFS(Changes!$F:$F,Changes!$B:$B,$B20,Changes!$D:$D,"&lt;="&amp;M$4,Changes!$E:$E,"Annual"),
_xlpm.planned,SUMIFS(Planned!$F:$F,Planned!$B:$B,$B20,Planned!$E:$E,"&gt;="&amp;M$4,Planned!$E:$E,"&lt;="&amp;EOMONTH(M$4,0)),
_xlpm.daily+_xlpm.weekdays+_xlpm.paydays+_xlpm.monthly+_xlpm.annual+_xlpm.planned)</f>
        <v>0</v>
      </c>
      <c r="N20" s="144" cm="1">
        <f t="array" aca="1" ref="N20" ca="1">_xlfn.LET(
_xlpm.daily,RecurringFactorBased($B20,"Daily",N$4,N$104),
_xlpm.weekdays,RecurringFactorBased($B20,"Weekdays",N$4,N$103),
_xlpm.paydays,RecurringFactorBased($B20,"Paydays",N$4,N$102),
_xlpm.monthly,SUMIFS(Recurring!$D:$D,Recurring!$B:$B,$B20,Recurring!$E:$E,"Monthly")+SUMIFS(Changes!$F:$F,Changes!$B:$B,$B20,Changes!$D:$D,"&lt;="&amp;N$4,Changes!$E:$E,"Monthly"),
_xlpm.annual,SUMIFS(Recurring!$D:$D,Recurring!$B:$B,$B20,Recurring!$E:$E,"Annual",Recurring!$G:$G,"&gt;="&amp;N$4,Recurring!$G:$G,"&lt;="&amp;EOMONTH(N$4,0))+SUMIFS(Changes!$F:$F,Changes!$B:$B,$B20,Changes!$D:$D,"&lt;="&amp;N$4,Changes!$E:$E,"Annual"),
_xlpm.planned,SUMIFS(Planned!$F:$F,Planned!$B:$B,$B20,Planned!$E:$E,"&gt;="&amp;N$4,Planned!$E:$E,"&lt;="&amp;EOMONTH(N$4,0)),
_xlpm.daily+_xlpm.weekdays+_xlpm.paydays+_xlpm.monthly+_xlpm.annual+_xlpm.planned)</f>
        <v>0</v>
      </c>
      <c r="O20" s="134"/>
      <c r="P20" s="145">
        <f ca="1">SUM(C20:N20)</f>
        <v>10000</v>
      </c>
      <c r="Q20" s="80"/>
      <c r="R20" s="206" t="s">
        <v>318</v>
      </c>
      <c r="S20" s="226"/>
      <c r="W20" s="18"/>
    </row>
    <row r="21" spans="1:23" ht="12.75" customHeight="1" x14ac:dyDescent="0.2">
      <c r="A21" s="62"/>
      <c r="B21" s="103" t="s">
        <v>56</v>
      </c>
      <c r="C21" s="144" cm="1">
        <f t="array" aca="1" ref="C21" ca="1">_xlfn.LET(
_xlpm.daily,RecurringFactorBased($B21,"Daily",C$4,C$104),
_xlpm.weekdays,RecurringFactorBased($B21,"Weekdays",C$4,C$103),
_xlpm.paydays,RecurringFactorBased($B21,"Paydays",C$4,C$102),
_xlpm.monthly,SUMIFS(Recurring!$D:$D,Recurring!$B:$B,$B21,Recurring!$E:$E,"Monthly",Recurring!$G:$G,"&gt;="&amp;C$4)+SUMIFS(Changes!$F:$F,Changes!$B:$B,$B21,Changes!$D:$D,"&lt;="&amp;C$4,Changes!$E:$E,"Monthly"),
_xlpm.annual,SUMIFS(Recurring!$D:$D,Recurring!$B:$B,$B21,Recurring!$E:$E,"Annual",Recurring!$G:$G,"&gt;="&amp;C$4,Recurring!$G:$G,"&lt;="&amp;EOMONTH(C$4,0))+SUMIFS(Changes!$F:$F,Changes!$B:$B,$B21,Changes!$D:$D,"&lt;="&amp;C$4,Changes!$E:$E,"Annual"),
_xlpm.planned,SUMIFS(Planned!$F:$F,Planned!$B:$B,$B21,Planned!$E:$E,"&gt;="&amp;C$4,Planned!$E:$E,"&lt;="&amp;EOMONTH(C$4,0)),
_xlpm.daily+_xlpm.weekdays+_xlpm.paydays+_xlpm.monthly+_xlpm.annual+_xlpm.planned)</f>
        <v>50</v>
      </c>
      <c r="D21" s="144" cm="1">
        <f t="array" aca="1" ref="D21" ca="1">_xlfn.LET(
_xlpm.daily,RecurringFactorBased($B21,"Daily",D$4,D$104),
_xlpm.weekdays,RecurringFactorBased($B21,"Weekdays",D$4,D$103),
_xlpm.paydays,RecurringFactorBased($B21,"Paydays",D$4,D$102),
_xlpm.monthly,SUMIFS(Recurring!$D:$D,Recurring!$B:$B,$B21,Recurring!$E:$E,"Monthly")+SUMIFS(Changes!$F:$F,Changes!$B:$B,$B21,Changes!$D:$D,"&lt;="&amp;D$4,Changes!$E:$E,"Monthly"),
_xlpm.annual,SUMIFS(Recurring!$D:$D,Recurring!$B:$B,$B21,Recurring!$E:$E,"Annual",Recurring!$G:$G,"&gt;="&amp;D$4,Recurring!$G:$G,"&lt;="&amp;EOMONTH(D$4,0))+SUMIFS(Changes!$F:$F,Changes!$B:$B,$B21,Changes!$D:$D,"&lt;="&amp;D$4,Changes!$E:$E,"Annual"),
_xlpm.planned,SUMIFS(Planned!$F:$F,Planned!$B:$B,$B21,Planned!$E:$E,"&gt;="&amp;D$4,Planned!$E:$E,"&lt;="&amp;EOMONTH(D$4,0)),
_xlpm.daily+_xlpm.weekdays+_xlpm.paydays+_xlpm.monthly+_xlpm.annual+_xlpm.planned)</f>
        <v>50</v>
      </c>
      <c r="E21" s="144" cm="1">
        <f t="array" aca="1" ref="E21" ca="1">_xlfn.LET(
_xlpm.daily,RecurringFactorBased($B21,"Daily",E$4,E$104),
_xlpm.weekdays,RecurringFactorBased($B21,"Weekdays",E$4,E$103),
_xlpm.paydays,RecurringFactorBased($B21,"Paydays",E$4,E$102),
_xlpm.monthly,SUMIFS(Recurring!$D:$D,Recurring!$B:$B,$B21,Recurring!$E:$E,"Monthly")+SUMIFS(Changes!$F:$F,Changes!$B:$B,$B21,Changes!$D:$D,"&lt;="&amp;E$4,Changes!$E:$E,"Monthly"),
_xlpm.annual,SUMIFS(Recurring!$D:$D,Recurring!$B:$B,$B21,Recurring!$E:$E,"Annual",Recurring!$G:$G,"&gt;="&amp;E$4,Recurring!$G:$G,"&lt;="&amp;EOMONTH(E$4,0))+SUMIFS(Changes!$F:$F,Changes!$B:$B,$B21,Changes!$D:$D,"&lt;="&amp;E$4,Changes!$E:$E,"Annual"),
_xlpm.planned,SUMIFS(Planned!$F:$F,Planned!$B:$B,$B21,Planned!$E:$E,"&gt;="&amp;E$4,Planned!$E:$E,"&lt;="&amp;EOMONTH(E$4,0)),
_xlpm.daily+_xlpm.weekdays+_xlpm.paydays+_xlpm.monthly+_xlpm.annual+_xlpm.planned)</f>
        <v>50</v>
      </c>
      <c r="F21" s="144" cm="1">
        <f t="array" aca="1" ref="F21" ca="1">_xlfn.LET(
_xlpm.daily,RecurringFactorBased($B21,"Daily",F$4,F$104),
_xlpm.weekdays,RecurringFactorBased($B21,"Weekdays",F$4,F$103),
_xlpm.paydays,RecurringFactorBased($B21,"Paydays",F$4,F$102),
_xlpm.monthly,SUMIFS(Recurring!$D:$D,Recurring!$B:$B,$B21,Recurring!$E:$E,"Monthly")+SUMIFS(Changes!$F:$F,Changes!$B:$B,$B21,Changes!$D:$D,"&lt;="&amp;F$4,Changes!$E:$E,"Monthly"),
_xlpm.annual,SUMIFS(Recurring!$D:$D,Recurring!$B:$B,$B21,Recurring!$E:$E,"Annual",Recurring!$G:$G,"&gt;="&amp;F$4,Recurring!$G:$G,"&lt;="&amp;EOMONTH(F$4,0))+SUMIFS(Changes!$F:$F,Changes!$B:$B,$B21,Changes!$D:$D,"&lt;="&amp;F$4,Changes!$E:$E,"Annual"),
_xlpm.planned,SUMIFS(Planned!$F:$F,Planned!$B:$B,$B21,Planned!$E:$E,"&gt;="&amp;F$4,Planned!$E:$E,"&lt;="&amp;EOMONTH(F$4,0)),
_xlpm.daily+_xlpm.weekdays+_xlpm.paydays+_xlpm.monthly+_xlpm.annual+_xlpm.planned)</f>
        <v>50</v>
      </c>
      <c r="G21" s="144" cm="1">
        <f t="array" aca="1" ref="G21" ca="1">_xlfn.LET(
_xlpm.daily,RecurringFactorBased($B21,"Daily",G$4,G$104),
_xlpm.weekdays,RecurringFactorBased($B21,"Weekdays",G$4,G$103),
_xlpm.paydays,RecurringFactorBased($B21,"Paydays",G$4,G$102),
_xlpm.monthly,SUMIFS(Recurring!$D:$D,Recurring!$B:$B,$B21,Recurring!$E:$E,"Monthly")+SUMIFS(Changes!$F:$F,Changes!$B:$B,$B21,Changes!$D:$D,"&lt;="&amp;G$4,Changes!$E:$E,"Monthly"),
_xlpm.annual,SUMIFS(Recurring!$D:$D,Recurring!$B:$B,$B21,Recurring!$E:$E,"Annual",Recurring!$G:$G,"&gt;="&amp;G$4,Recurring!$G:$G,"&lt;="&amp;EOMONTH(G$4,0))+SUMIFS(Changes!$F:$F,Changes!$B:$B,$B21,Changes!$D:$D,"&lt;="&amp;G$4,Changes!$E:$E,"Annual"),
_xlpm.planned,SUMIFS(Planned!$F:$F,Planned!$B:$B,$B21,Planned!$E:$E,"&gt;="&amp;G$4,Planned!$E:$E,"&lt;="&amp;EOMONTH(G$4,0)),
_xlpm.daily+_xlpm.weekdays+_xlpm.paydays+_xlpm.monthly+_xlpm.annual+_xlpm.planned)</f>
        <v>50</v>
      </c>
      <c r="H21" s="144" cm="1">
        <f t="array" aca="1" ref="H21" ca="1">_xlfn.LET(
_xlpm.daily,RecurringFactorBased($B21,"Daily",H$4,H$104),
_xlpm.weekdays,RecurringFactorBased($B21,"Weekdays",H$4,H$103),
_xlpm.paydays,RecurringFactorBased($B21,"Paydays",H$4,H$102),
_xlpm.monthly,SUMIFS(Recurring!$D:$D,Recurring!$B:$B,$B21,Recurring!$E:$E,"Monthly")+SUMIFS(Changes!$F:$F,Changes!$B:$B,$B21,Changes!$D:$D,"&lt;="&amp;H$4,Changes!$E:$E,"Monthly"),
_xlpm.annual,SUMIFS(Recurring!$D:$D,Recurring!$B:$B,$B21,Recurring!$E:$E,"Annual",Recurring!$G:$G,"&gt;="&amp;H$4,Recurring!$G:$G,"&lt;="&amp;EOMONTH(H$4,0))+SUMIFS(Changes!$F:$F,Changes!$B:$B,$B21,Changes!$D:$D,"&lt;="&amp;H$4,Changes!$E:$E,"Annual"),
_xlpm.planned,SUMIFS(Planned!$F:$F,Planned!$B:$B,$B21,Planned!$E:$E,"&gt;="&amp;H$4,Planned!$E:$E,"&lt;="&amp;EOMONTH(H$4,0)),
_xlpm.daily+_xlpm.weekdays+_xlpm.paydays+_xlpm.monthly+_xlpm.annual+_xlpm.planned)</f>
        <v>50</v>
      </c>
      <c r="I21" s="144" cm="1">
        <f t="array" aca="1" ref="I21" ca="1">_xlfn.LET(
_xlpm.daily,RecurringFactorBased($B21,"Daily",I$4,I$104),
_xlpm.weekdays,RecurringFactorBased($B21,"Weekdays",I$4,I$103),
_xlpm.paydays,RecurringFactorBased($B21,"Paydays",I$4,I$102),
_xlpm.monthly,SUMIFS(Recurring!$D:$D,Recurring!$B:$B,$B21,Recurring!$E:$E,"Monthly")+SUMIFS(Changes!$F:$F,Changes!$B:$B,$B21,Changes!$D:$D,"&lt;="&amp;I$4,Changes!$E:$E,"Monthly"),
_xlpm.annual,SUMIFS(Recurring!$D:$D,Recurring!$B:$B,$B21,Recurring!$E:$E,"Annual",Recurring!$G:$G,"&gt;="&amp;I$4,Recurring!$G:$G,"&lt;="&amp;EOMONTH(I$4,0))+SUMIFS(Changes!$F:$F,Changes!$B:$B,$B21,Changes!$D:$D,"&lt;="&amp;I$4,Changes!$E:$E,"Annual"),
_xlpm.planned,SUMIFS(Planned!$F:$F,Planned!$B:$B,$B21,Planned!$E:$E,"&gt;="&amp;I$4,Planned!$E:$E,"&lt;="&amp;EOMONTH(I$4,0)),
_xlpm.daily+_xlpm.weekdays+_xlpm.paydays+_xlpm.monthly+_xlpm.annual+_xlpm.planned)</f>
        <v>50</v>
      </c>
      <c r="J21" s="144" cm="1">
        <f t="array" aca="1" ref="J21" ca="1">_xlfn.LET(
_xlpm.daily,RecurringFactorBased($B21,"Daily",J$4,J$104),
_xlpm.weekdays,RecurringFactorBased($B21,"Weekdays",J$4,J$103),
_xlpm.paydays,RecurringFactorBased($B21,"Paydays",J$4,J$102),
_xlpm.monthly,SUMIFS(Recurring!$D:$D,Recurring!$B:$B,$B21,Recurring!$E:$E,"Monthly")+SUMIFS(Changes!$F:$F,Changes!$B:$B,$B21,Changes!$D:$D,"&lt;="&amp;J$4,Changes!$E:$E,"Monthly"),
_xlpm.annual,SUMIFS(Recurring!$D:$D,Recurring!$B:$B,$B21,Recurring!$E:$E,"Annual",Recurring!$G:$G,"&gt;="&amp;J$4,Recurring!$G:$G,"&lt;="&amp;EOMONTH(J$4,0))+SUMIFS(Changes!$F:$F,Changes!$B:$B,$B21,Changes!$D:$D,"&lt;="&amp;J$4,Changes!$E:$E,"Annual"),
_xlpm.planned,SUMIFS(Planned!$F:$F,Planned!$B:$B,$B21,Planned!$E:$E,"&gt;="&amp;J$4,Planned!$E:$E,"&lt;="&amp;EOMONTH(J$4,0)),
_xlpm.daily+_xlpm.weekdays+_xlpm.paydays+_xlpm.monthly+_xlpm.annual+_xlpm.planned)</f>
        <v>50</v>
      </c>
      <c r="K21" s="144" cm="1">
        <f t="array" aca="1" ref="K21" ca="1">_xlfn.LET(
_xlpm.daily,RecurringFactorBased($B21,"Daily",K$4,K$104),
_xlpm.weekdays,RecurringFactorBased($B21,"Weekdays",K$4,K$103),
_xlpm.paydays,RecurringFactorBased($B21,"Paydays",K$4,K$102),
_xlpm.monthly,SUMIFS(Recurring!$D:$D,Recurring!$B:$B,$B21,Recurring!$E:$E,"Monthly")+SUMIFS(Changes!$F:$F,Changes!$B:$B,$B21,Changes!$D:$D,"&lt;="&amp;K$4,Changes!$E:$E,"Monthly"),
_xlpm.annual,SUMIFS(Recurring!$D:$D,Recurring!$B:$B,$B21,Recurring!$E:$E,"Annual",Recurring!$G:$G,"&gt;="&amp;K$4,Recurring!$G:$G,"&lt;="&amp;EOMONTH(K$4,0))+SUMIFS(Changes!$F:$F,Changes!$B:$B,$B21,Changes!$D:$D,"&lt;="&amp;K$4,Changes!$E:$E,"Annual"),
_xlpm.planned,SUMIFS(Planned!$F:$F,Planned!$B:$B,$B21,Planned!$E:$E,"&gt;="&amp;K$4,Planned!$E:$E,"&lt;="&amp;EOMONTH(K$4,0)),
_xlpm.daily+_xlpm.weekdays+_xlpm.paydays+_xlpm.monthly+_xlpm.annual+_xlpm.planned)</f>
        <v>50</v>
      </c>
      <c r="L21" s="144" cm="1">
        <f t="array" aca="1" ref="L21" ca="1">_xlfn.LET(
_xlpm.daily,RecurringFactorBased($B21,"Daily",L$4,L$104),
_xlpm.weekdays,RecurringFactorBased($B21,"Weekdays",L$4,L$103),
_xlpm.paydays,RecurringFactorBased($B21,"Paydays",L$4,L$102),
_xlpm.monthly,SUMIFS(Recurring!$D:$D,Recurring!$B:$B,$B21,Recurring!$E:$E,"Monthly")+SUMIFS(Changes!$F:$F,Changes!$B:$B,$B21,Changes!$D:$D,"&lt;="&amp;L$4,Changes!$E:$E,"Monthly"),
_xlpm.annual,SUMIFS(Recurring!$D:$D,Recurring!$B:$B,$B21,Recurring!$E:$E,"Annual",Recurring!$G:$G,"&gt;="&amp;L$4,Recurring!$G:$G,"&lt;="&amp;EOMONTH(L$4,0))+SUMIFS(Changes!$F:$F,Changes!$B:$B,$B21,Changes!$D:$D,"&lt;="&amp;L$4,Changes!$E:$E,"Annual"),
_xlpm.planned,SUMIFS(Planned!$F:$F,Planned!$B:$B,$B21,Planned!$E:$E,"&gt;="&amp;L$4,Planned!$E:$E,"&lt;="&amp;EOMONTH(L$4,0)),
_xlpm.daily+_xlpm.weekdays+_xlpm.paydays+_xlpm.monthly+_xlpm.annual+_xlpm.planned)</f>
        <v>50</v>
      </c>
      <c r="M21" s="144" cm="1">
        <f t="array" aca="1" ref="M21" ca="1">_xlfn.LET(
_xlpm.daily,RecurringFactorBased($B21,"Daily",M$4,M$104),
_xlpm.weekdays,RecurringFactorBased($B21,"Weekdays",M$4,M$103),
_xlpm.paydays,RecurringFactorBased($B21,"Paydays",M$4,M$102),
_xlpm.monthly,SUMIFS(Recurring!$D:$D,Recurring!$B:$B,$B21,Recurring!$E:$E,"Monthly")+SUMIFS(Changes!$F:$F,Changes!$B:$B,$B21,Changes!$D:$D,"&lt;="&amp;M$4,Changes!$E:$E,"Monthly"),
_xlpm.annual,SUMIFS(Recurring!$D:$D,Recurring!$B:$B,$B21,Recurring!$E:$E,"Annual",Recurring!$G:$G,"&gt;="&amp;M$4,Recurring!$G:$G,"&lt;="&amp;EOMONTH(M$4,0))+SUMIFS(Changes!$F:$F,Changes!$B:$B,$B21,Changes!$D:$D,"&lt;="&amp;M$4,Changes!$E:$E,"Annual"),
_xlpm.planned,SUMIFS(Planned!$F:$F,Planned!$B:$B,$B21,Planned!$E:$E,"&gt;="&amp;M$4,Planned!$E:$E,"&lt;="&amp;EOMONTH(M$4,0)),
_xlpm.daily+_xlpm.weekdays+_xlpm.paydays+_xlpm.monthly+_xlpm.annual+_xlpm.planned)</f>
        <v>50</v>
      </c>
      <c r="N21" s="144" cm="1">
        <f t="array" aca="1" ref="N21" ca="1">_xlfn.LET(
_xlpm.daily,RecurringFactorBased($B21,"Daily",N$4,N$104),
_xlpm.weekdays,RecurringFactorBased($B21,"Weekdays",N$4,N$103),
_xlpm.paydays,RecurringFactorBased($B21,"Paydays",N$4,N$102),
_xlpm.monthly,SUMIFS(Recurring!$D:$D,Recurring!$B:$B,$B21,Recurring!$E:$E,"Monthly")+SUMIFS(Changes!$F:$F,Changes!$B:$B,$B21,Changes!$D:$D,"&lt;="&amp;N$4,Changes!$E:$E,"Monthly"),
_xlpm.annual,SUMIFS(Recurring!$D:$D,Recurring!$B:$B,$B21,Recurring!$E:$E,"Annual",Recurring!$G:$G,"&gt;="&amp;N$4,Recurring!$G:$G,"&lt;="&amp;EOMONTH(N$4,0))+SUMIFS(Changes!$F:$F,Changes!$B:$B,$B21,Changes!$D:$D,"&lt;="&amp;N$4,Changes!$E:$E,"Annual"),
_xlpm.planned,SUMIFS(Planned!$F:$F,Planned!$B:$B,$B21,Planned!$E:$E,"&gt;="&amp;N$4,Planned!$E:$E,"&lt;="&amp;EOMONTH(N$4,0)),
_xlpm.daily+_xlpm.weekdays+_xlpm.paydays+_xlpm.monthly+_xlpm.annual+_xlpm.planned)</f>
        <v>50</v>
      </c>
      <c r="O21" s="134"/>
      <c r="P21" s="145">
        <f t="shared" ref="P21:P23" ca="1" si="7">SUM(C21:N21)</f>
        <v>600</v>
      </c>
      <c r="Q21" s="80"/>
      <c r="R21" s="206"/>
      <c r="W21" s="18"/>
    </row>
    <row r="22" spans="1:23" s="52" customFormat="1" ht="5.0999999999999996" customHeight="1" x14ac:dyDescent="0.2">
      <c r="A22" s="65"/>
      <c r="B22" s="103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45"/>
      <c r="Q22" s="83"/>
      <c r="R22" s="206"/>
      <c r="V22" s="53"/>
      <c r="W22" s="54"/>
    </row>
    <row r="23" spans="1:23" ht="12.75" customHeight="1" x14ac:dyDescent="0.2">
      <c r="A23" s="62"/>
      <c r="B23" s="105" t="s">
        <v>46</v>
      </c>
      <c r="C23" s="146">
        <f t="shared" ref="C23:N23" ca="1" si="8">SUM(C19:C22)</f>
        <v>50</v>
      </c>
      <c r="D23" s="146">
        <f t="shared" ca="1" si="8"/>
        <v>8050</v>
      </c>
      <c r="E23" s="146">
        <f t="shared" ca="1" si="8"/>
        <v>8050</v>
      </c>
      <c r="F23" s="146">
        <f t="shared" ca="1" si="8"/>
        <v>8250</v>
      </c>
      <c r="G23" s="146">
        <f t="shared" ca="1" si="8"/>
        <v>18250</v>
      </c>
      <c r="H23" s="146">
        <f t="shared" ca="1" si="8"/>
        <v>12350</v>
      </c>
      <c r="I23" s="146">
        <f t="shared" ca="1" si="8"/>
        <v>8250</v>
      </c>
      <c r="J23" s="146">
        <f t="shared" ca="1" si="8"/>
        <v>8250</v>
      </c>
      <c r="K23" s="146">
        <f t="shared" ca="1" si="8"/>
        <v>8250</v>
      </c>
      <c r="L23" s="146">
        <f t="shared" ca="1" si="8"/>
        <v>8250</v>
      </c>
      <c r="M23" s="146">
        <f t="shared" ca="1" si="8"/>
        <v>12350</v>
      </c>
      <c r="N23" s="146">
        <f t="shared" ca="1" si="8"/>
        <v>8250</v>
      </c>
      <c r="O23" s="146"/>
      <c r="P23" s="147">
        <f t="shared" ca="1" si="7"/>
        <v>108600</v>
      </c>
      <c r="Q23" s="80"/>
      <c r="R23" s="206"/>
      <c r="W23" s="18"/>
    </row>
    <row r="24" spans="1:23" s="52" customFormat="1" ht="5.0999999999999996" customHeight="1" x14ac:dyDescent="0.2">
      <c r="A24" s="65"/>
      <c r="B24" s="103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45"/>
      <c r="Q24" s="83"/>
      <c r="R24" s="206"/>
      <c r="V24" s="53"/>
      <c r="W24" s="54"/>
    </row>
    <row r="25" spans="1:23" s="52" customFormat="1" x14ac:dyDescent="0.2">
      <c r="A25" s="65"/>
      <c r="B25" s="106" t="s">
        <v>137</v>
      </c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45"/>
      <c r="Q25" s="83"/>
      <c r="R25" s="206"/>
      <c r="V25" s="53"/>
      <c r="W25" s="54"/>
    </row>
    <row r="26" spans="1:23" ht="12.75" customHeight="1" x14ac:dyDescent="0.2">
      <c r="A26" s="62"/>
      <c r="B26" s="103" t="s">
        <v>50</v>
      </c>
      <c r="C26" s="144">
        <f ca="1">C$19*SUMIFS(Precedents!$E:$E,Precedents!$D:$D,$B$19,Precedents!$B:$B,$B26)+C$20*SUMIFS(Precedents!$E:$E,Precedents!$D:$D,$B$20,Precedents!$B:$B,$B26)</f>
        <v>0</v>
      </c>
      <c r="D26" s="144">
        <f ca="1">D$19*SUMIFS(Precedents!$E:$E,Precedents!$D:$D,$B$19,Precedents!$B:$B,$B26)+D$20*SUMIFS(Precedents!$E:$E,Precedents!$D:$D,$B$20)</f>
        <v>2160</v>
      </c>
      <c r="E26" s="144">
        <f ca="1">E$19*SUMIFS(Precedents!$E:$E,Precedents!$D:$D,$B$19,Precedents!$B:$B,$B26)+E$20*SUMIFS(Precedents!$E:$E,Precedents!$D:$D,$B$20)</f>
        <v>2160</v>
      </c>
      <c r="F26" s="144">
        <f ca="1">F$19*SUMIFS(Precedents!$E:$E,Precedents!$D:$D,$B$19,Precedents!$B:$B,$B26)+F$20*SUMIFS(Precedents!$E:$E,Precedents!$D:$D,$B$20)</f>
        <v>2214</v>
      </c>
      <c r="G26" s="144">
        <f ca="1">G$19*SUMIFS(Precedents!$E:$E,Precedents!$D:$D,$B$19,Precedents!$B:$B,$B26)+G$20*SUMIFS(Precedents!$E:$E,Precedents!$D:$D,$B$20)</f>
        <v>7214</v>
      </c>
      <c r="H26" s="144">
        <f ca="1">H$19*SUMIFS(Precedents!$E:$E,Precedents!$D:$D,$B$19,Precedents!$B:$B,$B26)+H$20*SUMIFS(Precedents!$E:$E,Precedents!$D:$D,$B$20)</f>
        <v>3321</v>
      </c>
      <c r="I26" s="144">
        <f ca="1">I$19*SUMIFS(Precedents!$E:$E,Precedents!$D:$D,$B$19,Precedents!$B:$B,$B26)+I$20*SUMIFS(Precedents!$E:$E,Precedents!$D:$D,$B$20)</f>
        <v>2214</v>
      </c>
      <c r="J26" s="144">
        <f ca="1">J$19*SUMIFS(Precedents!$E:$E,Precedents!$D:$D,$B$19,Precedents!$B:$B,$B26)+J$20*SUMIFS(Precedents!$E:$E,Precedents!$D:$D,$B$20)</f>
        <v>2214</v>
      </c>
      <c r="K26" s="144">
        <f ca="1">K$19*SUMIFS(Precedents!$E:$E,Precedents!$D:$D,$B$19,Precedents!$B:$B,$B26)+K$20*SUMIFS(Precedents!$E:$E,Precedents!$D:$D,$B$20)</f>
        <v>2214</v>
      </c>
      <c r="L26" s="144">
        <f ca="1">L$19*SUMIFS(Precedents!$E:$E,Precedents!$D:$D,$B$19,Precedents!$B:$B,$B26)+L$20*SUMIFS(Precedents!$E:$E,Precedents!$D:$D,$B$20)</f>
        <v>2214</v>
      </c>
      <c r="M26" s="144">
        <f ca="1">M$19*SUMIFS(Precedents!$E:$E,Precedents!$D:$D,$B$19,Precedents!$B:$B,$B26)+M$20*SUMIFS(Precedents!$E:$E,Precedents!$D:$D,$B$20)</f>
        <v>3321</v>
      </c>
      <c r="N26" s="144">
        <f ca="1">N$19*SUMIFS(Precedents!$E:$E,Precedents!$D:$D,$B$19,Precedents!$B:$B,$B26)+N$20*SUMIFS(Precedents!$E:$E,Precedents!$D:$D,$B$20)</f>
        <v>2214</v>
      </c>
      <c r="O26" s="134"/>
      <c r="P26" s="145">
        <f ca="1">SUM(C26:N26)</f>
        <v>31460</v>
      </c>
      <c r="Q26" s="80"/>
      <c r="R26" s="206"/>
    </row>
    <row r="27" spans="1:23" ht="12.75" customHeight="1" x14ac:dyDescent="0.2">
      <c r="A27" s="62"/>
      <c r="B27" s="103" t="s">
        <v>140</v>
      </c>
      <c r="C27" s="144">
        <f ca="1">C$19*SUMIFS(Precedents!$E:$E,Precedents!$D:$D,$B$19,Precedents!$B:$B,$B27)+C$20*SUMIFS(Precedents!$E:$E,Precedents!$D:$D,$B$20,Precedents!$B:$B,$B27)+SUMIFS(Recurring!$D:$D,Recurring!$B:$B,$B27)</f>
        <v>0</v>
      </c>
      <c r="D27" s="144">
        <f ca="1">D$19*SUMIFS(Precedents!$E:$E,Precedents!$D:$D,$B$19,Precedents!$B:$B,$B27)+D$20*SUMIFS(Precedents!$E:$E,Precedents!$D:$D,$B$20,Precedents!$B:$B,$B27)+SUMIFS(Recurring!$D:$D,Recurring!$B:$B,$B27)</f>
        <v>0</v>
      </c>
      <c r="E27" s="144">
        <f ca="1">E$19*SUMIFS(Precedents!$E:$E,Precedents!$D:$D,$B$19,Precedents!$B:$B,$B27)+E$20*SUMIFS(Precedents!$E:$E,Precedents!$D:$D,$B$20,Precedents!$B:$B,$B27)+SUMIFS(Recurring!$D:$D,Recurring!$B:$B,$B27)</f>
        <v>0</v>
      </c>
      <c r="F27" s="144">
        <f ca="1">F$19*SUMIFS(Precedents!$E:$E,Precedents!$D:$D,$B$19,Precedents!$B:$B,$B27)+F$20*SUMIFS(Precedents!$E:$E,Precedents!$D:$D,$B$20,Precedents!$B:$B,$B27)+SUMIFS(Recurring!$D:$D,Recurring!$B:$B,$B27)</f>
        <v>0</v>
      </c>
      <c r="G27" s="144">
        <f ca="1">G$19*SUMIFS(Precedents!$E:$E,Precedents!$D:$D,$B$19,Precedents!$B:$B,$B27)+G$20*SUMIFS(Precedents!$E:$E,Precedents!$D:$D,$B$20,Precedents!$B:$B,$B27)+SUMIFS(Recurring!$D:$D,Recurring!$B:$B,$B27)</f>
        <v>0</v>
      </c>
      <c r="H27" s="144">
        <f ca="1">H$19*SUMIFS(Precedents!$E:$E,Precedents!$D:$D,$B$19,Precedents!$B:$B,$B27)+H$20*SUMIFS(Precedents!$E:$E,Precedents!$D:$D,$B$20,Precedents!$B:$B,$B27)+SUMIFS(Recurring!$D:$D,Recurring!$B:$B,$B27)</f>
        <v>0</v>
      </c>
      <c r="I27" s="144">
        <f ca="1">I$19*SUMIFS(Precedents!$E:$E,Precedents!$D:$D,$B$19,Precedents!$B:$B,$B27)+I$20*SUMIFS(Precedents!$E:$E,Precedents!$D:$D,$B$20,Precedents!$B:$B,$B27)+SUMIFS(Recurring!$D:$D,Recurring!$B:$B,$B27)</f>
        <v>0</v>
      </c>
      <c r="J27" s="144">
        <f ca="1">J$19*SUMIFS(Precedents!$E:$E,Precedents!$D:$D,$B$19,Precedents!$B:$B,$B27)+J$20*SUMIFS(Precedents!$E:$E,Precedents!$D:$D,$B$20,Precedents!$B:$B,$B27)+SUMIFS(Recurring!$D:$D,Recurring!$B:$B,$B27)</f>
        <v>0</v>
      </c>
      <c r="K27" s="144">
        <f ca="1">K$19*SUMIFS(Precedents!$E:$E,Precedents!$D:$D,$B$19,Precedents!$B:$B,$B27)+K$20*SUMIFS(Precedents!$E:$E,Precedents!$D:$D,$B$20,Precedents!$B:$B,$B27)+SUMIFS(Recurring!$D:$D,Recurring!$B:$B,$B27)</f>
        <v>0</v>
      </c>
      <c r="L27" s="144">
        <f ca="1">L$19*SUMIFS(Precedents!$E:$E,Precedents!$D:$D,$B$19,Precedents!$B:$B,$B27)+L$20*SUMIFS(Precedents!$E:$E,Precedents!$D:$D,$B$20,Precedents!$B:$B,$B27)+SUMIFS(Recurring!$D:$D,Recurring!$B:$B,$B27)</f>
        <v>0</v>
      </c>
      <c r="M27" s="144">
        <f ca="1">M$19*SUMIFS(Precedents!$E:$E,Precedents!$D:$D,$B$19,Precedents!$B:$B,$B27)+M$20*SUMIFS(Precedents!$E:$E,Precedents!$D:$D,$B$20,Precedents!$B:$B,$B27)+SUMIFS(Recurring!$D:$D,Recurring!$B:$B,$B27)</f>
        <v>0</v>
      </c>
      <c r="N27" s="144">
        <f ca="1">N$19*SUMIFS(Precedents!$E:$E,Precedents!$D:$D,$B$19,Precedents!$B:$B,$B27)+N$20*SUMIFS(Precedents!$E:$E,Precedents!$D:$D,$B$20,Precedents!$B:$B,$B27)+SUMIFS(Recurring!$D:$D,Recurring!$B:$B,$B27)</f>
        <v>0</v>
      </c>
      <c r="O27" s="134"/>
      <c r="P27" s="145">
        <f t="shared" ref="P27:P29" ca="1" si="9">SUM(C27:N27)</f>
        <v>0</v>
      </c>
      <c r="Q27" s="80"/>
      <c r="R27" s="206"/>
    </row>
    <row r="28" spans="1:23" ht="12.75" customHeight="1" x14ac:dyDescent="0.2">
      <c r="A28" s="62"/>
      <c r="B28" s="103" t="s">
        <v>139</v>
      </c>
      <c r="C28" s="144">
        <f ca="1">C$19*SUMIFS(Precedents!$E:$E,Precedents!$D:$D,$B$19,Precedents!$B:$B,$B28)+C$20*SUMIFS(Precedents!$E:$E,Precedents!$D:$D,$B$20,Precedents!$B:$B,$B28)+SUMIFS(Recurring!$D:$D,Recurring!$B:$B,$B28)</f>
        <v>0</v>
      </c>
      <c r="D28" s="144">
        <f ca="1">D$19*SUMIFS(Precedents!$E:$E,Precedents!$D:$D,$B$19,Precedents!$B:$B,$B28)+D$20*SUMIFS(Precedents!$E:$E,Precedents!$D:$D,$B$20,Precedents!$B:$B,$B28)+SUMIFS(Recurring!$D:$D,Recurring!$B:$B,$B28)</f>
        <v>400</v>
      </c>
      <c r="E28" s="144">
        <f ca="1">E$19*SUMIFS(Precedents!$E:$E,Precedents!$D:$D,$B$19,Precedents!$B:$B,$B28)+E$20*SUMIFS(Precedents!$E:$E,Precedents!$D:$D,$B$20,Precedents!$B:$B,$B28)+SUMIFS(Recurring!$D:$D,Recurring!$B:$B,$B28)</f>
        <v>400</v>
      </c>
      <c r="F28" s="144">
        <f ca="1">F$19*SUMIFS(Precedents!$E:$E,Precedents!$D:$D,$B$19,Precedents!$B:$B,$B28)+F$20*SUMIFS(Precedents!$E:$E,Precedents!$D:$D,$B$20,Precedents!$B:$B,$B28)+SUMIFS(Recurring!$D:$D,Recurring!$B:$B,$B28)</f>
        <v>410</v>
      </c>
      <c r="G28" s="144">
        <f ca="1">G$19*SUMIFS(Precedents!$E:$E,Precedents!$D:$D,$B$19,Precedents!$B:$B,$B28)+G$20*SUMIFS(Precedents!$E:$E,Precedents!$D:$D,$B$20,Precedents!$B:$B,$B28)+SUMIFS(Recurring!$D:$D,Recurring!$B:$B,$B28)</f>
        <v>910</v>
      </c>
      <c r="H28" s="144">
        <f ca="1">H$19*SUMIFS(Precedents!$E:$E,Precedents!$D:$D,$B$19,Precedents!$B:$B,$B28)+H$20*SUMIFS(Precedents!$E:$E,Precedents!$D:$D,$B$20,Precedents!$B:$B,$B28)+SUMIFS(Recurring!$D:$D,Recurring!$B:$B,$B28)</f>
        <v>615</v>
      </c>
      <c r="I28" s="144">
        <f ca="1">I$19*SUMIFS(Precedents!$E:$E,Precedents!$D:$D,$B$19,Precedents!$B:$B,$B28)+I$20*SUMIFS(Precedents!$E:$E,Precedents!$D:$D,$B$20,Precedents!$B:$B,$B28)+SUMIFS(Recurring!$D:$D,Recurring!$B:$B,$B28)</f>
        <v>410</v>
      </c>
      <c r="J28" s="144">
        <f ca="1">J$19*SUMIFS(Precedents!$E:$E,Precedents!$D:$D,$B$19,Precedents!$B:$B,$B28)+J$20*SUMIFS(Precedents!$E:$E,Precedents!$D:$D,$B$20,Precedents!$B:$B,$B28)+SUMIFS(Recurring!$D:$D,Recurring!$B:$B,$B28)</f>
        <v>410</v>
      </c>
      <c r="K28" s="144">
        <f ca="1">K$19*SUMIFS(Precedents!$E:$E,Precedents!$D:$D,$B$19,Precedents!$B:$B,$B28)+K$20*SUMIFS(Precedents!$E:$E,Precedents!$D:$D,$B$20,Precedents!$B:$B,$B28)+SUMIFS(Recurring!$D:$D,Recurring!$B:$B,$B28)</f>
        <v>410</v>
      </c>
      <c r="L28" s="144">
        <f ca="1">L$19*SUMIFS(Precedents!$E:$E,Precedents!$D:$D,$B$19,Precedents!$B:$B,$B28)+L$20*SUMIFS(Precedents!$E:$E,Precedents!$D:$D,$B$20,Precedents!$B:$B,$B28)+SUMIFS(Recurring!$D:$D,Recurring!$B:$B,$B28)</f>
        <v>410</v>
      </c>
      <c r="M28" s="144">
        <f ca="1">M$19*SUMIFS(Precedents!$E:$E,Precedents!$D:$D,$B$19,Precedents!$B:$B,$B28)+M$20*SUMIFS(Precedents!$E:$E,Precedents!$D:$D,$B$20,Precedents!$B:$B,$B28)+SUMIFS(Recurring!$D:$D,Recurring!$B:$B,$B28)</f>
        <v>615</v>
      </c>
      <c r="N28" s="144">
        <f ca="1">N$19*SUMIFS(Precedents!$E:$E,Precedents!$D:$D,$B$19,Precedents!$B:$B,$B28)+N$20*SUMIFS(Precedents!$E:$E,Precedents!$D:$D,$B$20,Precedents!$B:$B,$B28)+SUMIFS(Recurring!$D:$D,Recurring!$B:$B,$B28)</f>
        <v>410</v>
      </c>
      <c r="O28" s="134"/>
      <c r="P28" s="145">
        <f t="shared" ca="1" si="9"/>
        <v>5400</v>
      </c>
      <c r="Q28" s="80"/>
      <c r="R28" s="206"/>
    </row>
    <row r="29" spans="1:23" ht="12.75" customHeight="1" x14ac:dyDescent="0.2">
      <c r="A29" s="64"/>
      <c r="B29" s="103" t="s">
        <v>156</v>
      </c>
      <c r="C29" s="144" cm="1">
        <f t="array" aca="1" ref="C29" ca="1">_xlfn.LET(
_xlpm.daily,RecurringFactorBased($B29,"Daily",C$4,C$104),
_xlpm.weekdays,RecurringFactorBased($B29,"Weekdays",C$4,C$103),
_xlpm.paydays,RecurringFactorBased($B29,"Paydays",C$4,C$102),
_xlpm.monthly,SUMIFS(Recurring!$D:$D,Recurring!$B:$B,$B29,Recurring!$E:$E,"Monthly",Recurring!$G:$G,"&gt;="&amp;C$4)+SUMIFS(Changes!$F:$F,Changes!$B:$B,$B29,Changes!$D:$D,"&lt;="&amp;C$4,Changes!$E:$E,"Monthly"),
_xlpm.annual,SUMIFS(Recurring!$D:$D,Recurring!$B:$B,$B29,Recurring!$E:$E,"Annual",Recurring!$G:$G,"&gt;="&amp;C$4,Recurring!$G:$G,"&lt;="&amp;EOMONTH(C$4,0))+SUMIFS(Changes!$F:$F,Changes!$B:$B,$B29,Changes!$D:$D,"&lt;="&amp;C$4,Changes!$E:$E,"Annual"),
_xlpm.planned,SUMIFS(Planned!$F:$F,Planned!$B:$B,$B29,Planned!$E:$E,"&gt;="&amp;C$4,Planned!$E:$E,"&lt;="&amp;EOMONTH(C$4,0)),
_xlpm.daily+_xlpm.weekdays+_xlpm.paydays+_xlpm.monthly+_xlpm.annual+_xlpm.planned)</f>
        <v>0</v>
      </c>
      <c r="D29" s="144" cm="1">
        <f t="array" aca="1" ref="D29" ca="1">_xlfn.LET(
_xlpm.daily,RecurringFactorBased($B29,"Daily",D$4,D$104),
_xlpm.weekdays,RecurringFactorBased($B29,"Weekdays",D$4,D$103),
_xlpm.paydays,RecurringFactorBased($B29,"Paydays",D$4,D$102),
_xlpm.monthly,SUMIFS(Recurring!$D:$D,Recurring!$B:$B,$B29,Recurring!$E:$E,"Monthly")+SUMIFS(Changes!$F:$F,Changes!$B:$B,$B29,Changes!$D:$D,"&lt;="&amp;D$4,Changes!$E:$E,"Monthly"),
_xlpm.annual,SUMIFS(Recurring!$D:$D,Recurring!$B:$B,$B29,Recurring!$E:$E,"Annual",Recurring!$G:$G,"&gt;="&amp;D$4,Recurring!$G:$G,"&lt;="&amp;EOMONTH(D$4,0))+SUMIFS(Changes!$F:$F,Changes!$B:$B,$B29,Changes!$D:$D,"&lt;="&amp;D$4,Changes!$E:$E,"Annual"),
_xlpm.planned,SUMIFS(Planned!$F:$F,Planned!$B:$B,$B29,Planned!$E:$E,"&gt;="&amp;D$4,Planned!$E:$E,"&lt;="&amp;EOMONTH(D$4,0)),
_xlpm.daily+_xlpm.weekdays+_xlpm.paydays+_xlpm.monthly+_xlpm.annual+_xlpm.planned)</f>
        <v>622</v>
      </c>
      <c r="E29" s="144" cm="1">
        <f t="array" aca="1" ref="E29" ca="1">_xlfn.LET(
_xlpm.daily,RecurringFactorBased($B29,"Daily",E$4,E$104),
_xlpm.weekdays,RecurringFactorBased($B29,"Weekdays",E$4,E$103),
_xlpm.paydays,RecurringFactorBased($B29,"Paydays",E$4,E$102),
_xlpm.monthly,SUMIFS(Recurring!$D:$D,Recurring!$B:$B,$B29,Recurring!$E:$E,"Monthly")+SUMIFS(Changes!$F:$F,Changes!$B:$B,$B29,Changes!$D:$D,"&lt;="&amp;E$4,Changes!$E:$E,"Monthly"),
_xlpm.annual,SUMIFS(Recurring!$D:$D,Recurring!$B:$B,$B29,Recurring!$E:$E,"Annual",Recurring!$G:$G,"&gt;="&amp;E$4,Recurring!$G:$G,"&lt;="&amp;EOMONTH(E$4,0))+SUMIFS(Changes!$F:$F,Changes!$B:$B,$B29,Changes!$D:$D,"&lt;="&amp;E$4,Changes!$E:$E,"Annual"),
_xlpm.planned,SUMIFS(Planned!$F:$F,Planned!$B:$B,$B29,Planned!$E:$E,"&gt;="&amp;E$4,Planned!$E:$E,"&lt;="&amp;EOMONTH(E$4,0)),
_xlpm.daily+_xlpm.weekdays+_xlpm.paydays+_xlpm.monthly+_xlpm.annual+_xlpm.planned)</f>
        <v>622</v>
      </c>
      <c r="F29" s="144" cm="1">
        <f t="array" aca="1" ref="F29" ca="1">_xlfn.LET(
_xlpm.daily,RecurringFactorBased($B29,"Daily",F$4,F$104),
_xlpm.weekdays,RecurringFactorBased($B29,"Weekdays",F$4,F$103),
_xlpm.paydays,RecurringFactorBased($B29,"Paydays",F$4,F$102),
_xlpm.monthly,SUMIFS(Recurring!$D:$D,Recurring!$B:$B,$B29,Recurring!$E:$E,"Monthly")+SUMIFS(Changes!$F:$F,Changes!$B:$B,$B29,Changes!$D:$D,"&lt;="&amp;F$4,Changes!$E:$E,"Monthly"),
_xlpm.annual,SUMIFS(Recurring!$D:$D,Recurring!$B:$B,$B29,Recurring!$E:$E,"Annual",Recurring!$G:$G,"&gt;="&amp;F$4,Recurring!$G:$G,"&lt;="&amp;EOMONTH(F$4,0))+SUMIFS(Changes!$F:$F,Changes!$B:$B,$B29,Changes!$D:$D,"&lt;="&amp;F$4,Changes!$E:$E,"Annual"),
_xlpm.planned,SUMIFS(Planned!$F:$F,Planned!$B:$B,$B29,Planned!$E:$E,"&gt;="&amp;F$4,Planned!$E:$E,"&lt;="&amp;EOMONTH(F$4,0)),
_xlpm.daily+_xlpm.weekdays+_xlpm.paydays+_xlpm.monthly+_xlpm.annual+_xlpm.planned)</f>
        <v>622</v>
      </c>
      <c r="G29" s="144" cm="1">
        <f t="array" aca="1" ref="G29" ca="1">_xlfn.LET(
_xlpm.daily,RecurringFactorBased($B29,"Daily",G$4,G$104),
_xlpm.weekdays,RecurringFactorBased($B29,"Weekdays",G$4,G$103),
_xlpm.paydays,RecurringFactorBased($B29,"Paydays",G$4,G$102),
_xlpm.monthly,SUMIFS(Recurring!$D:$D,Recurring!$B:$B,$B29,Recurring!$E:$E,"Monthly")+SUMIFS(Changes!$F:$F,Changes!$B:$B,$B29,Changes!$D:$D,"&lt;="&amp;G$4,Changes!$E:$E,"Monthly"),
_xlpm.annual,SUMIFS(Recurring!$D:$D,Recurring!$B:$B,$B29,Recurring!$E:$E,"Annual",Recurring!$G:$G,"&gt;="&amp;G$4,Recurring!$G:$G,"&lt;="&amp;EOMONTH(G$4,0))+SUMIFS(Changes!$F:$F,Changes!$B:$B,$B29,Changes!$D:$D,"&lt;="&amp;G$4,Changes!$E:$E,"Annual"),
_xlpm.planned,SUMIFS(Planned!$F:$F,Planned!$B:$B,$B29,Planned!$E:$E,"&gt;="&amp;G$4,Planned!$E:$E,"&lt;="&amp;EOMONTH(G$4,0)),
_xlpm.daily+_xlpm.weekdays+_xlpm.paydays+_xlpm.monthly+_xlpm.annual+_xlpm.planned)</f>
        <v>622</v>
      </c>
      <c r="H29" s="144" cm="1">
        <f t="array" aca="1" ref="H29" ca="1">_xlfn.LET(
_xlpm.daily,RecurringFactorBased($B29,"Daily",H$4,H$104),
_xlpm.weekdays,RecurringFactorBased($B29,"Weekdays",H$4,H$103),
_xlpm.paydays,RecurringFactorBased($B29,"Paydays",H$4,H$102),
_xlpm.monthly,SUMIFS(Recurring!$D:$D,Recurring!$B:$B,$B29,Recurring!$E:$E,"Monthly")+SUMIFS(Changes!$F:$F,Changes!$B:$B,$B29,Changes!$D:$D,"&lt;="&amp;H$4,Changes!$E:$E,"Monthly"),
_xlpm.annual,SUMIFS(Recurring!$D:$D,Recurring!$B:$B,$B29,Recurring!$E:$E,"Annual",Recurring!$G:$G,"&gt;="&amp;H$4,Recurring!$G:$G,"&lt;="&amp;EOMONTH(H$4,0))+SUMIFS(Changes!$F:$F,Changes!$B:$B,$B29,Changes!$D:$D,"&lt;="&amp;H$4,Changes!$E:$E,"Annual"),
_xlpm.planned,SUMIFS(Planned!$F:$F,Planned!$B:$B,$B29,Planned!$E:$E,"&gt;="&amp;H$4,Planned!$E:$E,"&lt;="&amp;EOMONTH(H$4,0)),
_xlpm.daily+_xlpm.weekdays+_xlpm.paydays+_xlpm.monthly+_xlpm.annual+_xlpm.planned)</f>
        <v>933</v>
      </c>
      <c r="I29" s="144" cm="1">
        <f t="array" aca="1" ref="I29" ca="1">_xlfn.LET(
_xlpm.daily,RecurringFactorBased($B29,"Daily",I$4,I$104),
_xlpm.weekdays,RecurringFactorBased($B29,"Weekdays",I$4,I$103),
_xlpm.paydays,RecurringFactorBased($B29,"Paydays",I$4,I$102),
_xlpm.monthly,SUMIFS(Recurring!$D:$D,Recurring!$B:$B,$B29,Recurring!$E:$E,"Monthly")+SUMIFS(Changes!$F:$F,Changes!$B:$B,$B29,Changes!$D:$D,"&lt;="&amp;I$4,Changes!$E:$E,"Monthly"),
_xlpm.annual,SUMIFS(Recurring!$D:$D,Recurring!$B:$B,$B29,Recurring!$E:$E,"Annual",Recurring!$G:$G,"&gt;="&amp;I$4,Recurring!$G:$G,"&lt;="&amp;EOMONTH(I$4,0))+SUMIFS(Changes!$F:$F,Changes!$B:$B,$B29,Changes!$D:$D,"&lt;="&amp;I$4,Changes!$E:$E,"Annual"),
_xlpm.planned,SUMIFS(Planned!$F:$F,Planned!$B:$B,$B29,Planned!$E:$E,"&gt;="&amp;I$4,Planned!$E:$E,"&lt;="&amp;EOMONTH(I$4,0)),
_xlpm.daily+_xlpm.weekdays+_xlpm.paydays+_xlpm.monthly+_xlpm.annual+_xlpm.planned)</f>
        <v>622</v>
      </c>
      <c r="J29" s="144" cm="1">
        <f t="array" aca="1" ref="J29" ca="1">_xlfn.LET(
_xlpm.daily,RecurringFactorBased($B29,"Daily",J$4,J$104),
_xlpm.weekdays,RecurringFactorBased($B29,"Weekdays",J$4,J$103),
_xlpm.paydays,RecurringFactorBased($B29,"Paydays",J$4,J$102),
_xlpm.monthly,SUMIFS(Recurring!$D:$D,Recurring!$B:$B,$B29,Recurring!$E:$E,"Monthly")+SUMIFS(Changes!$F:$F,Changes!$B:$B,$B29,Changes!$D:$D,"&lt;="&amp;J$4,Changes!$E:$E,"Monthly"),
_xlpm.annual,SUMIFS(Recurring!$D:$D,Recurring!$B:$B,$B29,Recurring!$E:$E,"Annual",Recurring!$G:$G,"&gt;="&amp;J$4,Recurring!$G:$G,"&lt;="&amp;EOMONTH(J$4,0))+SUMIFS(Changes!$F:$F,Changes!$B:$B,$B29,Changes!$D:$D,"&lt;="&amp;J$4,Changes!$E:$E,"Annual"),
_xlpm.planned,SUMIFS(Planned!$F:$F,Planned!$B:$B,$B29,Planned!$E:$E,"&gt;="&amp;J$4,Planned!$E:$E,"&lt;="&amp;EOMONTH(J$4,0)),
_xlpm.daily+_xlpm.weekdays+_xlpm.paydays+_xlpm.monthly+_xlpm.annual+_xlpm.planned)</f>
        <v>622</v>
      </c>
      <c r="K29" s="144" cm="1">
        <f t="array" aca="1" ref="K29" ca="1">_xlfn.LET(
_xlpm.daily,RecurringFactorBased($B29,"Daily",K$4,K$104),
_xlpm.weekdays,RecurringFactorBased($B29,"Weekdays",K$4,K$103),
_xlpm.paydays,RecurringFactorBased($B29,"Paydays",K$4,K$102),
_xlpm.monthly,SUMIFS(Recurring!$D:$D,Recurring!$B:$B,$B29,Recurring!$E:$E,"Monthly")+SUMIFS(Changes!$F:$F,Changes!$B:$B,$B29,Changes!$D:$D,"&lt;="&amp;K$4,Changes!$E:$E,"Monthly"),
_xlpm.annual,SUMIFS(Recurring!$D:$D,Recurring!$B:$B,$B29,Recurring!$E:$E,"Annual",Recurring!$G:$G,"&gt;="&amp;K$4,Recurring!$G:$G,"&lt;="&amp;EOMONTH(K$4,0))+SUMIFS(Changes!$F:$F,Changes!$B:$B,$B29,Changes!$D:$D,"&lt;="&amp;K$4,Changes!$E:$E,"Annual"),
_xlpm.planned,SUMIFS(Planned!$F:$F,Planned!$B:$B,$B29,Planned!$E:$E,"&gt;="&amp;K$4,Planned!$E:$E,"&lt;="&amp;EOMONTH(K$4,0)),
_xlpm.daily+_xlpm.weekdays+_xlpm.paydays+_xlpm.monthly+_xlpm.annual+_xlpm.planned)</f>
        <v>622</v>
      </c>
      <c r="L29" s="144" cm="1">
        <f t="array" aca="1" ref="L29" ca="1">_xlfn.LET(
_xlpm.daily,RecurringFactorBased($B29,"Daily",L$4,L$104),
_xlpm.weekdays,RecurringFactorBased($B29,"Weekdays",L$4,L$103),
_xlpm.paydays,RecurringFactorBased($B29,"Paydays",L$4,L$102),
_xlpm.monthly,SUMIFS(Recurring!$D:$D,Recurring!$B:$B,$B29,Recurring!$E:$E,"Monthly")+SUMIFS(Changes!$F:$F,Changes!$B:$B,$B29,Changes!$D:$D,"&lt;="&amp;L$4,Changes!$E:$E,"Monthly"),
_xlpm.annual,SUMIFS(Recurring!$D:$D,Recurring!$B:$B,$B29,Recurring!$E:$E,"Annual",Recurring!$G:$G,"&gt;="&amp;L$4,Recurring!$G:$G,"&lt;="&amp;EOMONTH(L$4,0))+SUMIFS(Changes!$F:$F,Changes!$B:$B,$B29,Changes!$D:$D,"&lt;="&amp;L$4,Changes!$E:$E,"Annual"),
_xlpm.planned,SUMIFS(Planned!$F:$F,Planned!$B:$B,$B29,Planned!$E:$E,"&gt;="&amp;L$4,Planned!$E:$E,"&lt;="&amp;EOMONTH(L$4,0)),
_xlpm.daily+_xlpm.weekdays+_xlpm.paydays+_xlpm.monthly+_xlpm.annual+_xlpm.planned)</f>
        <v>622</v>
      </c>
      <c r="M29" s="144" cm="1">
        <f t="array" aca="1" ref="M29" ca="1">_xlfn.LET(
_xlpm.daily,RecurringFactorBased($B29,"Daily",M$4,M$104),
_xlpm.weekdays,RecurringFactorBased($B29,"Weekdays",M$4,M$103),
_xlpm.paydays,RecurringFactorBased($B29,"Paydays",M$4,M$102),
_xlpm.monthly,SUMIFS(Recurring!$D:$D,Recurring!$B:$B,$B29,Recurring!$E:$E,"Monthly")+SUMIFS(Changes!$F:$F,Changes!$B:$B,$B29,Changes!$D:$D,"&lt;="&amp;M$4,Changes!$E:$E,"Monthly"),
_xlpm.annual,SUMIFS(Recurring!$D:$D,Recurring!$B:$B,$B29,Recurring!$E:$E,"Annual",Recurring!$G:$G,"&gt;="&amp;M$4,Recurring!$G:$G,"&lt;="&amp;EOMONTH(M$4,0))+SUMIFS(Changes!$F:$F,Changes!$B:$B,$B29,Changes!$D:$D,"&lt;="&amp;M$4,Changes!$E:$E,"Annual"),
_xlpm.planned,SUMIFS(Planned!$F:$F,Planned!$B:$B,$B29,Planned!$E:$E,"&gt;="&amp;M$4,Planned!$E:$E,"&lt;="&amp;EOMONTH(M$4,0)),
_xlpm.daily+_xlpm.weekdays+_xlpm.paydays+_xlpm.monthly+_xlpm.annual+_xlpm.planned)</f>
        <v>933</v>
      </c>
      <c r="N29" s="144" cm="1">
        <f t="array" aca="1" ref="N29" ca="1">_xlfn.LET(
_xlpm.daily,RecurringFactorBased($B29,"Daily",N$4,N$104),
_xlpm.weekdays,RecurringFactorBased($B29,"Weekdays",N$4,N$103),
_xlpm.paydays,RecurringFactorBased($B29,"Paydays",N$4,N$102),
_xlpm.monthly,SUMIFS(Recurring!$D:$D,Recurring!$B:$B,$B29,Recurring!$E:$E,"Monthly")+SUMIFS(Changes!$F:$F,Changes!$B:$B,$B29,Changes!$D:$D,"&lt;="&amp;N$4,Changes!$E:$E,"Monthly"),
_xlpm.annual,SUMIFS(Recurring!$D:$D,Recurring!$B:$B,$B29,Recurring!$E:$E,"Annual",Recurring!$G:$G,"&gt;="&amp;N$4,Recurring!$G:$G,"&lt;="&amp;EOMONTH(N$4,0))+SUMIFS(Changes!$F:$F,Changes!$B:$B,$B29,Changes!$D:$D,"&lt;="&amp;N$4,Changes!$E:$E,"Annual"),
_xlpm.planned,SUMIFS(Planned!$F:$F,Planned!$B:$B,$B29,Planned!$E:$E,"&gt;="&amp;N$4,Planned!$E:$E,"&lt;="&amp;EOMONTH(N$4,0)),
_xlpm.daily+_xlpm.weekdays+_xlpm.paydays+_xlpm.monthly+_xlpm.annual+_xlpm.planned)</f>
        <v>622</v>
      </c>
      <c r="O29" s="134"/>
      <c r="P29" s="145">
        <f t="shared" ca="1" si="9"/>
        <v>7464</v>
      </c>
      <c r="Q29" s="81"/>
      <c r="R29" s="206"/>
    </row>
    <row r="30" spans="1:23" s="52" customFormat="1" ht="5.0999999999999996" customHeight="1" x14ac:dyDescent="0.2">
      <c r="A30" s="65"/>
      <c r="B30" s="103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45"/>
      <c r="Q30" s="83"/>
      <c r="R30" s="206"/>
      <c r="V30" s="53"/>
      <c r="W30" s="54"/>
    </row>
    <row r="31" spans="1:23" ht="12.75" customHeight="1" x14ac:dyDescent="0.2">
      <c r="A31" s="62"/>
      <c r="B31" s="105" t="s">
        <v>54</v>
      </c>
      <c r="C31" s="146">
        <f t="shared" ref="C31:N31" ca="1" si="10">SUM(C26:C30)</f>
        <v>0</v>
      </c>
      <c r="D31" s="146">
        <f t="shared" ca="1" si="10"/>
        <v>3182</v>
      </c>
      <c r="E31" s="146">
        <f t="shared" ca="1" si="10"/>
        <v>3182</v>
      </c>
      <c r="F31" s="146">
        <f t="shared" ca="1" si="10"/>
        <v>3246</v>
      </c>
      <c r="G31" s="146">
        <f t="shared" ca="1" si="10"/>
        <v>8746</v>
      </c>
      <c r="H31" s="146">
        <f t="shared" ca="1" si="10"/>
        <v>4869</v>
      </c>
      <c r="I31" s="146">
        <f t="shared" ca="1" si="10"/>
        <v>3246</v>
      </c>
      <c r="J31" s="146">
        <f t="shared" ca="1" si="10"/>
        <v>3246</v>
      </c>
      <c r="K31" s="146">
        <f t="shared" ca="1" si="10"/>
        <v>3246</v>
      </c>
      <c r="L31" s="146">
        <f t="shared" ca="1" si="10"/>
        <v>3246</v>
      </c>
      <c r="M31" s="146">
        <f t="shared" ca="1" si="10"/>
        <v>4869</v>
      </c>
      <c r="N31" s="146">
        <f t="shared" ca="1" si="10"/>
        <v>3246</v>
      </c>
      <c r="O31" s="146"/>
      <c r="P31" s="147">
        <f ca="1">SUM(C31:N31)</f>
        <v>44324</v>
      </c>
      <c r="Q31" s="80"/>
      <c r="R31" s="206"/>
      <c r="U31" s="19"/>
      <c r="V31" s="20"/>
      <c r="W31" s="19"/>
    </row>
    <row r="32" spans="1:23" s="52" customFormat="1" ht="5.0999999999999996" customHeight="1" x14ac:dyDescent="0.2">
      <c r="A32" s="65"/>
      <c r="B32" s="103"/>
      <c r="C32" s="134"/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45"/>
      <c r="Q32" s="83"/>
      <c r="R32" s="206"/>
      <c r="V32" s="53"/>
      <c r="W32" s="54"/>
    </row>
    <row r="33" spans="1:23" ht="12.75" customHeight="1" x14ac:dyDescent="0.2">
      <c r="A33" s="62"/>
      <c r="B33" s="107" t="s">
        <v>55</v>
      </c>
      <c r="C33" s="148">
        <f t="shared" ref="C33:N33" ca="1" si="11">C23-C31</f>
        <v>50</v>
      </c>
      <c r="D33" s="148">
        <f t="shared" ca="1" si="11"/>
        <v>4868</v>
      </c>
      <c r="E33" s="148">
        <f t="shared" ca="1" si="11"/>
        <v>4868</v>
      </c>
      <c r="F33" s="148">
        <f t="shared" ca="1" si="11"/>
        <v>5004</v>
      </c>
      <c r="G33" s="148">
        <f t="shared" ca="1" si="11"/>
        <v>9504</v>
      </c>
      <c r="H33" s="148">
        <f t="shared" ca="1" si="11"/>
        <v>7481</v>
      </c>
      <c r="I33" s="148">
        <f t="shared" ca="1" si="11"/>
        <v>5004</v>
      </c>
      <c r="J33" s="148">
        <f t="shared" ca="1" si="11"/>
        <v>5004</v>
      </c>
      <c r="K33" s="148">
        <f t="shared" ca="1" si="11"/>
        <v>5004</v>
      </c>
      <c r="L33" s="148">
        <f t="shared" ca="1" si="11"/>
        <v>5004</v>
      </c>
      <c r="M33" s="148">
        <f t="shared" ca="1" si="11"/>
        <v>7481</v>
      </c>
      <c r="N33" s="148">
        <f t="shared" ca="1" si="11"/>
        <v>5004</v>
      </c>
      <c r="O33" s="148"/>
      <c r="P33" s="149">
        <f ca="1">SUM(C33:N33)</f>
        <v>64276</v>
      </c>
      <c r="Q33" s="80"/>
      <c r="R33" s="206"/>
      <c r="U33" s="21"/>
      <c r="W33" s="21"/>
    </row>
    <row r="34" spans="1:23" ht="5.0999999999999996" customHeight="1" x14ac:dyDescent="0.2">
      <c r="A34" s="62"/>
      <c r="B34" s="10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80"/>
      <c r="R34" s="206"/>
    </row>
    <row r="35" spans="1:23" ht="12.75" customHeight="1" x14ac:dyDescent="0.2">
      <c r="A35" s="62"/>
      <c r="B35" s="108" t="s">
        <v>52</v>
      </c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3"/>
      <c r="Q35" s="80"/>
      <c r="R35" s="206" t="s">
        <v>319</v>
      </c>
    </row>
    <row r="36" spans="1:23" ht="12.75" customHeight="1" x14ac:dyDescent="0.2">
      <c r="A36" s="64"/>
      <c r="B36" s="236" t="s">
        <v>326</v>
      </c>
      <c r="C36" s="144" cm="1">
        <f t="array" aca="1" ref="C36" ca="1">_xlfn.LET(
_xlpm.daily,RecurringFactorBased($B36,"Daily",C$4,C$104),
_xlpm.weekdays,RecurringFactorBased($B36,"Weekdays",C$4,C$103),
_xlpm.paydays,RecurringFactorBased($B36,"Paydays",C$4,C$102),
_xlpm.monthly,SUMIFS(Recurring!$D:$D,Recurring!$B:$B,$B36,Recurring!$E:$E,"Monthly",Recurring!$G:$G,"&gt;="&amp;C$4)+SUMIFS(Changes!$F:$F,Changes!$B:$B,$B36,Changes!$D:$D,"&lt;="&amp;C$4,Changes!$E:$E,"Monthly"),
_xlpm.annual,SUMIFS(Recurring!$D:$D,Recurring!$B:$B,$B36,Recurring!$E:$E,"Annual",Recurring!$G:$G,"&gt;="&amp;C$4,Recurring!$G:$G,"&lt;="&amp;EOMONTH(C$4,0))+SUMIFS(Changes!$F:$F,Changes!$B:$B,$B36,Changes!$D:$D,"&lt;="&amp;C$4,Changes!$E:$E,"Annual"),
_xlpm.planned,SUMIFS(Planned!$F:$F,Planned!$B:$B,$B36,Planned!$E:$E,"&gt;="&amp;C$4,Planned!$E:$E,"&lt;="&amp;EOMONTH(C$4,0)),
_xlpm.daily+_xlpm.weekdays+_xlpm.paydays+_xlpm.monthly+_xlpm.annual+_xlpm.planned)</f>
        <v>0</v>
      </c>
      <c r="D36" s="144" cm="1">
        <f t="array" aca="1" ref="D36" ca="1">_xlfn.LET(
_xlpm.daily,RecurringFactorBased($B36,"Daily",D$4,D$104),
_xlpm.weekdays,RecurringFactorBased($B36,"Weekdays",D$4,D$103),
_xlpm.paydays,RecurringFactorBased($B36,"Paydays",D$4,D$102),
_xlpm.monthly,SUMIFS(Recurring!$D:$D,Recurring!$B:$B,$B36,Recurring!$E:$E,"Monthly")+SUMIFS(Changes!$F:$F,Changes!$B:$B,$B36,Changes!$D:$D,"&lt;="&amp;D$4,Changes!$E:$E,"Monthly"),
_xlpm.annual,SUMIFS(Recurring!$D:$D,Recurring!$B:$B,$B36,Recurring!$E:$E,"Annual",Recurring!$G:$G,"&gt;="&amp;D$4,Recurring!$G:$G,"&lt;="&amp;EOMONTH(D$4,0))+SUMIFS(Changes!$F:$F,Changes!$B:$B,$B36,Changes!$D:$D,"&lt;="&amp;D$4,Changes!$E:$E,"Annual"),
_xlpm.planned,SUMIFS(Planned!$F:$F,Planned!$B:$B,$B36,Planned!$E:$E,"&gt;="&amp;D$4,Planned!$E:$E,"&lt;="&amp;EOMONTH(D$4,0)),
_xlpm.daily+_xlpm.weekdays+_xlpm.paydays+_xlpm.monthly+_xlpm.annual+_xlpm.planned)</f>
        <v>100</v>
      </c>
      <c r="E36" s="144" cm="1">
        <f t="array" aca="1" ref="E36" ca="1">_xlfn.LET(
_xlpm.daily,RecurringFactorBased($B36,"Daily",E$4,E$104),
_xlpm.weekdays,RecurringFactorBased($B36,"Weekdays",E$4,E$103),
_xlpm.paydays,RecurringFactorBased($B36,"Paydays",E$4,E$102),
_xlpm.monthly,SUMIFS(Recurring!$D:$D,Recurring!$B:$B,$B36,Recurring!$E:$E,"Monthly")+SUMIFS(Changes!$F:$F,Changes!$B:$B,$B36,Changes!$D:$D,"&lt;="&amp;E$4,Changes!$E:$E,"Monthly"),
_xlpm.annual,SUMIFS(Recurring!$D:$D,Recurring!$B:$B,$B36,Recurring!$E:$E,"Annual",Recurring!$G:$G,"&gt;="&amp;E$4,Recurring!$G:$G,"&lt;="&amp;EOMONTH(E$4,0))+SUMIFS(Changes!$F:$F,Changes!$B:$B,$B36,Changes!$D:$D,"&lt;="&amp;E$4,Changes!$E:$E,"Annual"),
_xlpm.planned,SUMIFS(Planned!$F:$F,Planned!$B:$B,$B36,Planned!$E:$E,"&gt;="&amp;E$4,Planned!$E:$E,"&lt;="&amp;EOMONTH(E$4,0)),
_xlpm.daily+_xlpm.weekdays+_xlpm.paydays+_xlpm.monthly+_xlpm.annual+_xlpm.planned)</f>
        <v>0</v>
      </c>
      <c r="F36" s="144" cm="1">
        <f t="array" aca="1" ref="F36" ca="1">_xlfn.LET(
_xlpm.daily,RecurringFactorBased($B36,"Daily",F$4,F$104),
_xlpm.weekdays,RecurringFactorBased($B36,"Weekdays",F$4,F$103),
_xlpm.paydays,RecurringFactorBased($B36,"Paydays",F$4,F$102),
_xlpm.monthly,SUMIFS(Recurring!$D:$D,Recurring!$B:$B,$B36,Recurring!$E:$E,"Monthly")+SUMIFS(Changes!$F:$F,Changes!$B:$B,$B36,Changes!$D:$D,"&lt;="&amp;F$4,Changes!$E:$E,"Monthly"),
_xlpm.annual,SUMIFS(Recurring!$D:$D,Recurring!$B:$B,$B36,Recurring!$E:$E,"Annual",Recurring!$G:$G,"&gt;="&amp;F$4,Recurring!$G:$G,"&lt;="&amp;EOMONTH(F$4,0))+SUMIFS(Changes!$F:$F,Changes!$B:$B,$B36,Changes!$D:$D,"&lt;="&amp;F$4,Changes!$E:$E,"Annual"),
_xlpm.planned,SUMIFS(Planned!$F:$F,Planned!$B:$B,$B36,Planned!$E:$E,"&gt;="&amp;F$4,Planned!$E:$E,"&lt;="&amp;EOMONTH(F$4,0)),
_xlpm.daily+_xlpm.weekdays+_xlpm.paydays+_xlpm.monthly+_xlpm.annual+_xlpm.planned)</f>
        <v>0</v>
      </c>
      <c r="G36" s="144" cm="1">
        <f t="array" aca="1" ref="G36" ca="1">_xlfn.LET(
_xlpm.daily,RecurringFactorBased($B36,"Daily",G$4,G$104),
_xlpm.weekdays,RecurringFactorBased($B36,"Weekdays",G$4,G$103),
_xlpm.paydays,RecurringFactorBased($B36,"Paydays",G$4,G$102),
_xlpm.monthly,SUMIFS(Recurring!$D:$D,Recurring!$B:$B,$B36,Recurring!$E:$E,"Monthly")+SUMIFS(Changes!$F:$F,Changes!$B:$B,$B36,Changes!$D:$D,"&lt;="&amp;G$4,Changes!$E:$E,"Monthly"),
_xlpm.annual,SUMIFS(Recurring!$D:$D,Recurring!$B:$B,$B36,Recurring!$E:$E,"Annual",Recurring!$G:$G,"&gt;="&amp;G$4,Recurring!$G:$G,"&lt;="&amp;EOMONTH(G$4,0))+SUMIFS(Changes!$F:$F,Changes!$B:$B,$B36,Changes!$D:$D,"&lt;="&amp;G$4,Changes!$E:$E,"Annual"),
_xlpm.planned,SUMIFS(Planned!$F:$F,Planned!$B:$B,$B36,Planned!$E:$E,"&gt;="&amp;G$4,Planned!$E:$E,"&lt;="&amp;EOMONTH(G$4,0)),
_xlpm.daily+_xlpm.weekdays+_xlpm.paydays+_xlpm.monthly+_xlpm.annual+_xlpm.planned)</f>
        <v>0</v>
      </c>
      <c r="H36" s="144" cm="1">
        <f t="array" aca="1" ref="H36" ca="1">_xlfn.LET(
_xlpm.daily,RecurringFactorBased($B36,"Daily",H$4,H$104),
_xlpm.weekdays,RecurringFactorBased($B36,"Weekdays",H$4,H$103),
_xlpm.paydays,RecurringFactorBased($B36,"Paydays",H$4,H$102),
_xlpm.monthly,SUMIFS(Recurring!$D:$D,Recurring!$B:$B,$B36,Recurring!$E:$E,"Monthly")+SUMIFS(Changes!$F:$F,Changes!$B:$B,$B36,Changes!$D:$D,"&lt;="&amp;H$4,Changes!$E:$E,"Monthly"),
_xlpm.annual,SUMIFS(Recurring!$D:$D,Recurring!$B:$B,$B36,Recurring!$E:$E,"Annual",Recurring!$G:$G,"&gt;="&amp;H$4,Recurring!$G:$G,"&lt;="&amp;EOMONTH(H$4,0))+SUMIFS(Changes!$F:$F,Changes!$B:$B,$B36,Changes!$D:$D,"&lt;="&amp;H$4,Changes!$E:$E,"Annual"),
_xlpm.planned,SUMIFS(Planned!$F:$F,Planned!$B:$B,$B36,Planned!$E:$E,"&gt;="&amp;H$4,Planned!$E:$E,"&lt;="&amp;EOMONTH(H$4,0)),
_xlpm.daily+_xlpm.weekdays+_xlpm.paydays+_xlpm.monthly+_xlpm.annual+_xlpm.planned)</f>
        <v>0</v>
      </c>
      <c r="I36" s="144" cm="1">
        <f t="array" aca="1" ref="I36" ca="1">_xlfn.LET(
_xlpm.daily,RecurringFactorBased($B36,"Daily",I$4,I$104),
_xlpm.weekdays,RecurringFactorBased($B36,"Weekdays",I$4,I$103),
_xlpm.paydays,RecurringFactorBased($B36,"Paydays",I$4,I$102),
_xlpm.monthly,SUMIFS(Recurring!$D:$D,Recurring!$B:$B,$B36,Recurring!$E:$E,"Monthly")+SUMIFS(Changes!$F:$F,Changes!$B:$B,$B36,Changes!$D:$D,"&lt;="&amp;I$4,Changes!$E:$E,"Monthly"),
_xlpm.annual,SUMIFS(Recurring!$D:$D,Recurring!$B:$B,$B36,Recurring!$E:$E,"Annual",Recurring!$G:$G,"&gt;="&amp;I$4,Recurring!$G:$G,"&lt;="&amp;EOMONTH(I$4,0))+SUMIFS(Changes!$F:$F,Changes!$B:$B,$B36,Changes!$D:$D,"&lt;="&amp;I$4,Changes!$E:$E,"Annual"),
_xlpm.planned,SUMIFS(Planned!$F:$F,Planned!$B:$B,$B36,Planned!$E:$E,"&gt;="&amp;I$4,Planned!$E:$E,"&lt;="&amp;EOMONTH(I$4,0)),
_xlpm.daily+_xlpm.weekdays+_xlpm.paydays+_xlpm.monthly+_xlpm.annual+_xlpm.planned)</f>
        <v>0</v>
      </c>
      <c r="J36" s="144" cm="1">
        <f t="array" aca="1" ref="J36" ca="1">_xlfn.LET(
_xlpm.daily,RecurringFactorBased($B36,"Daily",J$4,J$104),
_xlpm.weekdays,RecurringFactorBased($B36,"Weekdays",J$4,J$103),
_xlpm.paydays,RecurringFactorBased($B36,"Paydays",J$4,J$102),
_xlpm.monthly,SUMIFS(Recurring!$D:$D,Recurring!$B:$B,$B36,Recurring!$E:$E,"Monthly")+SUMIFS(Changes!$F:$F,Changes!$B:$B,$B36,Changes!$D:$D,"&lt;="&amp;J$4,Changes!$E:$E,"Monthly"),
_xlpm.annual,SUMIFS(Recurring!$D:$D,Recurring!$B:$B,$B36,Recurring!$E:$E,"Annual",Recurring!$G:$G,"&gt;="&amp;J$4,Recurring!$G:$G,"&lt;="&amp;EOMONTH(J$4,0))+SUMIFS(Changes!$F:$F,Changes!$B:$B,$B36,Changes!$D:$D,"&lt;="&amp;J$4,Changes!$E:$E,"Annual"),
_xlpm.planned,SUMIFS(Planned!$F:$F,Planned!$B:$B,$B36,Planned!$E:$E,"&gt;="&amp;J$4,Planned!$E:$E,"&lt;="&amp;EOMONTH(J$4,0)),
_xlpm.daily+_xlpm.weekdays+_xlpm.paydays+_xlpm.monthly+_xlpm.annual+_xlpm.planned)</f>
        <v>0</v>
      </c>
      <c r="K36" s="144" cm="1">
        <f t="array" aca="1" ref="K36" ca="1">_xlfn.LET(
_xlpm.daily,RecurringFactorBased($B36,"Daily",K$4,K$104),
_xlpm.weekdays,RecurringFactorBased($B36,"Weekdays",K$4,K$103),
_xlpm.paydays,RecurringFactorBased($B36,"Paydays",K$4,K$102),
_xlpm.monthly,SUMIFS(Recurring!$D:$D,Recurring!$B:$B,$B36,Recurring!$E:$E,"Monthly")+SUMIFS(Changes!$F:$F,Changes!$B:$B,$B36,Changes!$D:$D,"&lt;="&amp;K$4,Changes!$E:$E,"Monthly"),
_xlpm.annual,SUMIFS(Recurring!$D:$D,Recurring!$B:$B,$B36,Recurring!$E:$E,"Annual",Recurring!$G:$G,"&gt;="&amp;K$4,Recurring!$G:$G,"&lt;="&amp;EOMONTH(K$4,0))+SUMIFS(Changes!$F:$F,Changes!$B:$B,$B36,Changes!$D:$D,"&lt;="&amp;K$4,Changes!$E:$E,"Annual"),
_xlpm.planned,SUMIFS(Planned!$F:$F,Planned!$B:$B,$B36,Planned!$E:$E,"&gt;="&amp;K$4,Planned!$E:$E,"&lt;="&amp;EOMONTH(K$4,0)),
_xlpm.daily+_xlpm.weekdays+_xlpm.paydays+_xlpm.monthly+_xlpm.annual+_xlpm.planned)</f>
        <v>0</v>
      </c>
      <c r="L36" s="144" cm="1">
        <f t="array" aca="1" ref="L36" ca="1">_xlfn.LET(
_xlpm.daily,RecurringFactorBased($B36,"Daily",L$4,L$104),
_xlpm.weekdays,RecurringFactorBased($B36,"Weekdays",L$4,L$103),
_xlpm.paydays,RecurringFactorBased($B36,"Paydays",L$4,L$102),
_xlpm.monthly,SUMIFS(Recurring!$D:$D,Recurring!$B:$B,$B36,Recurring!$E:$E,"Monthly")+SUMIFS(Changes!$F:$F,Changes!$B:$B,$B36,Changes!$D:$D,"&lt;="&amp;L$4,Changes!$E:$E,"Monthly"),
_xlpm.annual,SUMIFS(Recurring!$D:$D,Recurring!$B:$B,$B36,Recurring!$E:$E,"Annual",Recurring!$G:$G,"&gt;="&amp;L$4,Recurring!$G:$G,"&lt;="&amp;EOMONTH(L$4,0))+SUMIFS(Changes!$F:$F,Changes!$B:$B,$B36,Changes!$D:$D,"&lt;="&amp;L$4,Changes!$E:$E,"Annual"),
_xlpm.planned,SUMIFS(Planned!$F:$F,Planned!$B:$B,$B36,Planned!$E:$E,"&gt;="&amp;L$4,Planned!$E:$E,"&lt;="&amp;EOMONTH(L$4,0)),
_xlpm.daily+_xlpm.weekdays+_xlpm.paydays+_xlpm.monthly+_xlpm.annual+_xlpm.planned)</f>
        <v>0</v>
      </c>
      <c r="M36" s="144" cm="1">
        <f t="array" aca="1" ref="M36" ca="1">_xlfn.LET(
_xlpm.daily,RecurringFactorBased($B36,"Daily",M$4,M$104),
_xlpm.weekdays,RecurringFactorBased($B36,"Weekdays",M$4,M$103),
_xlpm.paydays,RecurringFactorBased($B36,"Paydays",M$4,M$102),
_xlpm.monthly,SUMIFS(Recurring!$D:$D,Recurring!$B:$B,$B36,Recurring!$E:$E,"Monthly")+SUMIFS(Changes!$F:$F,Changes!$B:$B,$B36,Changes!$D:$D,"&lt;="&amp;M$4,Changes!$E:$E,"Monthly"),
_xlpm.annual,SUMIFS(Recurring!$D:$D,Recurring!$B:$B,$B36,Recurring!$E:$E,"Annual",Recurring!$G:$G,"&gt;="&amp;M$4,Recurring!$G:$G,"&lt;="&amp;EOMONTH(M$4,0))+SUMIFS(Changes!$F:$F,Changes!$B:$B,$B36,Changes!$D:$D,"&lt;="&amp;M$4,Changes!$E:$E,"Annual"),
_xlpm.planned,SUMIFS(Planned!$F:$F,Planned!$B:$B,$B36,Planned!$E:$E,"&gt;="&amp;M$4,Planned!$E:$E,"&lt;="&amp;EOMONTH(M$4,0)),
_xlpm.daily+_xlpm.weekdays+_xlpm.paydays+_xlpm.monthly+_xlpm.annual+_xlpm.planned)</f>
        <v>0</v>
      </c>
      <c r="N36" s="144" cm="1">
        <f t="array" aca="1" ref="N36" ca="1">_xlfn.LET(
_xlpm.daily,RecurringFactorBased($B36,"Daily",N$4,N$104),
_xlpm.weekdays,RecurringFactorBased($B36,"Weekdays",N$4,N$103),
_xlpm.paydays,RecurringFactorBased($B36,"Paydays",N$4,N$102),
_xlpm.monthly,SUMIFS(Recurring!$D:$D,Recurring!$B:$B,$B36,Recurring!$E:$E,"Monthly")+SUMIFS(Changes!$F:$F,Changes!$B:$B,$B36,Changes!$D:$D,"&lt;="&amp;N$4,Changes!$E:$E,"Monthly"),
_xlpm.annual,SUMIFS(Recurring!$D:$D,Recurring!$B:$B,$B36,Recurring!$E:$E,"Annual",Recurring!$G:$G,"&gt;="&amp;N$4,Recurring!$G:$G,"&lt;="&amp;EOMONTH(N$4,0))+SUMIFS(Changes!$F:$F,Changes!$B:$B,$B36,Changes!$D:$D,"&lt;="&amp;N$4,Changes!$E:$E,"Annual"),
_xlpm.planned,SUMIFS(Planned!$F:$F,Planned!$B:$B,$B36,Planned!$E:$E,"&gt;="&amp;N$4,Planned!$E:$E,"&lt;="&amp;EOMONTH(N$4,0)),
_xlpm.daily+_xlpm.weekdays+_xlpm.paydays+_xlpm.monthly+_xlpm.annual+_xlpm.planned)</f>
        <v>0</v>
      </c>
      <c r="O36" s="134"/>
      <c r="P36" s="145">
        <f ca="1">SUM(C36:N36)</f>
        <v>100</v>
      </c>
      <c r="Q36" s="81"/>
      <c r="R36" s="206" t="s">
        <v>320</v>
      </c>
    </row>
    <row r="37" spans="1:23" ht="12.75" customHeight="1" x14ac:dyDescent="0.2">
      <c r="A37" s="64"/>
      <c r="B37" s="103" t="s">
        <v>18</v>
      </c>
      <c r="C37" s="144" cm="1">
        <f t="array" aca="1" ref="C37" ca="1">_xlfn.LET(
_xlpm.daily,RecurringFactorBased($B37,"Daily",C$4,C$104),
_xlpm.weekdays,RecurringFactorBased($B37,"Weekdays",C$4,C$103),
_xlpm.paydays,RecurringFactorBased($B37,"Paydays",C$4,C$102),
_xlpm.monthly,SUMIFS(Recurring!$D:$D,Recurring!$B:$B,$B37,Recurring!$E:$E,"Monthly",Recurring!$G:$G,"&gt;="&amp;C$4)+SUMIFS(Changes!$F:$F,Changes!$B:$B,$B37,Changes!$D:$D,"&lt;="&amp;C$4,Changes!$E:$E,"Monthly"),
_xlpm.annual,SUMIFS(Recurring!$D:$D,Recurring!$B:$B,$B37,Recurring!$E:$E,"Annual",Recurring!$G:$G,"&gt;="&amp;C$4,Recurring!$G:$G,"&lt;="&amp;EOMONTH(C$4,0))+SUMIFS(Changes!$F:$F,Changes!$B:$B,$B37,Changes!$D:$D,"&lt;="&amp;C$4,Changes!$E:$E,"Annual"),
_xlpm.planned,SUMIFS(Planned!$F:$F,Planned!$B:$B,$B37,Planned!$E:$E,"&gt;="&amp;C$4,Planned!$E:$E,"&lt;="&amp;EOMONTH(C$4,0)),
_xlpm.daily+_xlpm.weekdays+_xlpm.paydays+_xlpm.monthly+_xlpm.annual+_xlpm.planned)</f>
        <v>0</v>
      </c>
      <c r="D37" s="144" cm="1">
        <f t="array" aca="1" ref="D37" ca="1">_xlfn.LET(
_xlpm.daily,RecurringFactorBased($B37,"Daily",D$4,D$104),
_xlpm.weekdays,RecurringFactorBased($B37,"Weekdays",D$4,D$103),
_xlpm.paydays,RecurringFactorBased($B37,"Paydays",D$4,D$102),
_xlpm.monthly,SUMIFS(Recurring!$D:$D,Recurring!$B:$B,$B37,Recurring!$E:$E,"Monthly")+SUMIFS(Changes!$F:$F,Changes!$B:$B,$B37,Changes!$D:$D,"&lt;="&amp;D$4,Changes!$E:$E,"Monthly"),
_xlpm.annual,SUMIFS(Recurring!$D:$D,Recurring!$B:$B,$B37,Recurring!$E:$E,"Annual",Recurring!$G:$G,"&gt;="&amp;D$4,Recurring!$G:$G,"&lt;="&amp;EOMONTH(D$4,0))+SUMIFS(Changes!$F:$F,Changes!$B:$B,$B37,Changes!$D:$D,"&lt;="&amp;D$4,Changes!$E:$E,"Annual"),
_xlpm.planned,SUMIFS(Planned!$F:$F,Planned!$B:$B,$B37,Planned!$E:$E,"&gt;="&amp;D$4,Planned!$E:$E,"&lt;="&amp;EOMONTH(D$4,0)),
_xlpm.daily+_xlpm.weekdays+_xlpm.paydays+_xlpm.monthly+_xlpm.annual+_xlpm.planned)</f>
        <v>0</v>
      </c>
      <c r="E37" s="144" cm="1">
        <f t="array" aca="1" ref="E37" ca="1">_xlfn.LET(
_xlpm.daily,RecurringFactorBased($B37,"Daily",E$4,E$104),
_xlpm.weekdays,RecurringFactorBased($B37,"Weekdays",E$4,E$103),
_xlpm.paydays,RecurringFactorBased($B37,"Paydays",E$4,E$102),
_xlpm.monthly,SUMIFS(Recurring!$D:$D,Recurring!$B:$B,$B37,Recurring!$E:$E,"Monthly")+SUMIFS(Changes!$F:$F,Changes!$B:$B,$B37,Changes!$D:$D,"&lt;="&amp;E$4,Changes!$E:$E,"Monthly"),
_xlpm.annual,SUMIFS(Recurring!$D:$D,Recurring!$B:$B,$B37,Recurring!$E:$E,"Annual",Recurring!$G:$G,"&gt;="&amp;E$4,Recurring!$G:$G,"&lt;="&amp;EOMONTH(E$4,0))+SUMIFS(Changes!$F:$F,Changes!$B:$B,$B37,Changes!$D:$D,"&lt;="&amp;E$4,Changes!$E:$E,"Annual"),
_xlpm.planned,SUMIFS(Planned!$F:$F,Planned!$B:$B,$B37,Planned!$E:$E,"&gt;="&amp;E$4,Planned!$E:$E,"&lt;="&amp;EOMONTH(E$4,0)),
_xlpm.daily+_xlpm.weekdays+_xlpm.paydays+_xlpm.monthly+_xlpm.annual+_xlpm.planned)</f>
        <v>200</v>
      </c>
      <c r="F37" s="144" cm="1">
        <f t="array" aca="1" ref="F37" ca="1">_xlfn.LET(
_xlpm.daily,RecurringFactorBased($B37,"Daily",F$4,F$104),
_xlpm.weekdays,RecurringFactorBased($B37,"Weekdays",F$4,F$103),
_xlpm.paydays,RecurringFactorBased($B37,"Paydays",F$4,F$102),
_xlpm.monthly,SUMIFS(Recurring!$D:$D,Recurring!$B:$B,$B37,Recurring!$E:$E,"Monthly")+SUMIFS(Changes!$F:$F,Changes!$B:$B,$B37,Changes!$D:$D,"&lt;="&amp;F$4,Changes!$E:$E,"Monthly"),
_xlpm.annual,SUMIFS(Recurring!$D:$D,Recurring!$B:$B,$B37,Recurring!$E:$E,"Annual",Recurring!$G:$G,"&gt;="&amp;F$4,Recurring!$G:$G,"&lt;="&amp;EOMONTH(F$4,0))+SUMIFS(Changes!$F:$F,Changes!$B:$B,$B37,Changes!$D:$D,"&lt;="&amp;F$4,Changes!$E:$E,"Annual"),
_xlpm.planned,SUMIFS(Planned!$F:$F,Planned!$B:$B,$B37,Planned!$E:$E,"&gt;="&amp;F$4,Planned!$E:$E,"&lt;="&amp;EOMONTH(F$4,0)),
_xlpm.daily+_xlpm.weekdays+_xlpm.paydays+_xlpm.monthly+_xlpm.annual+_xlpm.planned)</f>
        <v>0</v>
      </c>
      <c r="G37" s="144" cm="1">
        <f t="array" aca="1" ref="G37" ca="1">_xlfn.LET(
_xlpm.daily,RecurringFactorBased($B37,"Daily",G$4,G$104),
_xlpm.weekdays,RecurringFactorBased($B37,"Weekdays",G$4,G$103),
_xlpm.paydays,RecurringFactorBased($B37,"Paydays",G$4,G$102),
_xlpm.monthly,SUMIFS(Recurring!$D:$D,Recurring!$B:$B,$B37,Recurring!$E:$E,"Monthly")+SUMIFS(Changes!$F:$F,Changes!$B:$B,$B37,Changes!$D:$D,"&lt;="&amp;G$4,Changes!$E:$E,"Monthly"),
_xlpm.annual,SUMIFS(Recurring!$D:$D,Recurring!$B:$B,$B37,Recurring!$E:$E,"Annual",Recurring!$G:$G,"&gt;="&amp;G$4,Recurring!$G:$G,"&lt;="&amp;EOMONTH(G$4,0))+SUMIFS(Changes!$F:$F,Changes!$B:$B,$B37,Changes!$D:$D,"&lt;="&amp;G$4,Changes!$E:$E,"Annual"),
_xlpm.planned,SUMIFS(Planned!$F:$F,Planned!$B:$B,$B37,Planned!$E:$E,"&gt;="&amp;G$4,Planned!$E:$E,"&lt;="&amp;EOMONTH(G$4,0)),
_xlpm.daily+_xlpm.weekdays+_xlpm.paydays+_xlpm.monthly+_xlpm.annual+_xlpm.planned)</f>
        <v>0</v>
      </c>
      <c r="H37" s="144" cm="1">
        <f t="array" aca="1" ref="H37" ca="1">_xlfn.LET(
_xlpm.daily,RecurringFactorBased($B37,"Daily",H$4,H$104),
_xlpm.weekdays,RecurringFactorBased($B37,"Weekdays",H$4,H$103),
_xlpm.paydays,RecurringFactorBased($B37,"Paydays",H$4,H$102),
_xlpm.monthly,SUMIFS(Recurring!$D:$D,Recurring!$B:$B,$B37,Recurring!$E:$E,"Monthly")+SUMIFS(Changes!$F:$F,Changes!$B:$B,$B37,Changes!$D:$D,"&lt;="&amp;H$4,Changes!$E:$E,"Monthly"),
_xlpm.annual,SUMIFS(Recurring!$D:$D,Recurring!$B:$B,$B37,Recurring!$E:$E,"Annual",Recurring!$G:$G,"&gt;="&amp;H$4,Recurring!$G:$G,"&lt;="&amp;EOMONTH(H$4,0))+SUMIFS(Changes!$F:$F,Changes!$B:$B,$B37,Changes!$D:$D,"&lt;="&amp;H$4,Changes!$E:$E,"Annual"),
_xlpm.planned,SUMIFS(Planned!$F:$F,Planned!$B:$B,$B37,Planned!$E:$E,"&gt;="&amp;H$4,Planned!$E:$E,"&lt;="&amp;EOMONTH(H$4,0)),
_xlpm.daily+_xlpm.weekdays+_xlpm.paydays+_xlpm.monthly+_xlpm.annual+_xlpm.planned)</f>
        <v>0</v>
      </c>
      <c r="I37" s="144" cm="1">
        <f t="array" aca="1" ref="I37" ca="1">_xlfn.LET(
_xlpm.daily,RecurringFactorBased($B37,"Daily",I$4,I$104),
_xlpm.weekdays,RecurringFactorBased($B37,"Weekdays",I$4,I$103),
_xlpm.paydays,RecurringFactorBased($B37,"Paydays",I$4,I$102),
_xlpm.monthly,SUMIFS(Recurring!$D:$D,Recurring!$B:$B,$B37,Recurring!$E:$E,"Monthly")+SUMIFS(Changes!$F:$F,Changes!$B:$B,$B37,Changes!$D:$D,"&lt;="&amp;I$4,Changes!$E:$E,"Monthly"),
_xlpm.annual,SUMIFS(Recurring!$D:$D,Recurring!$B:$B,$B37,Recurring!$E:$E,"Annual",Recurring!$G:$G,"&gt;="&amp;I$4,Recurring!$G:$G,"&lt;="&amp;EOMONTH(I$4,0))+SUMIFS(Changes!$F:$F,Changes!$B:$B,$B37,Changes!$D:$D,"&lt;="&amp;I$4,Changes!$E:$E,"Annual"),
_xlpm.planned,SUMIFS(Planned!$F:$F,Planned!$B:$B,$B37,Planned!$E:$E,"&gt;="&amp;I$4,Planned!$E:$E,"&lt;="&amp;EOMONTH(I$4,0)),
_xlpm.daily+_xlpm.weekdays+_xlpm.paydays+_xlpm.monthly+_xlpm.annual+_xlpm.planned)</f>
        <v>0</v>
      </c>
      <c r="J37" s="144" cm="1">
        <f t="array" aca="1" ref="J37" ca="1">_xlfn.LET(
_xlpm.daily,RecurringFactorBased($B37,"Daily",J$4,J$104),
_xlpm.weekdays,RecurringFactorBased($B37,"Weekdays",J$4,J$103),
_xlpm.paydays,RecurringFactorBased($B37,"Paydays",J$4,J$102),
_xlpm.monthly,SUMIFS(Recurring!$D:$D,Recurring!$B:$B,$B37,Recurring!$E:$E,"Monthly")+SUMIFS(Changes!$F:$F,Changes!$B:$B,$B37,Changes!$D:$D,"&lt;="&amp;J$4,Changes!$E:$E,"Monthly"),
_xlpm.annual,SUMIFS(Recurring!$D:$D,Recurring!$B:$B,$B37,Recurring!$E:$E,"Annual",Recurring!$G:$G,"&gt;="&amp;J$4,Recurring!$G:$G,"&lt;="&amp;EOMONTH(J$4,0))+SUMIFS(Changes!$F:$F,Changes!$B:$B,$B37,Changes!$D:$D,"&lt;="&amp;J$4,Changes!$E:$E,"Annual"),
_xlpm.planned,SUMIFS(Planned!$F:$F,Planned!$B:$B,$B37,Planned!$E:$E,"&gt;="&amp;J$4,Planned!$E:$E,"&lt;="&amp;EOMONTH(J$4,0)),
_xlpm.daily+_xlpm.weekdays+_xlpm.paydays+_xlpm.monthly+_xlpm.annual+_xlpm.planned)</f>
        <v>0</v>
      </c>
      <c r="K37" s="144" cm="1">
        <f t="array" aca="1" ref="K37" ca="1">_xlfn.LET(
_xlpm.daily,RecurringFactorBased($B37,"Daily",K$4,K$104),
_xlpm.weekdays,RecurringFactorBased($B37,"Weekdays",K$4,K$103),
_xlpm.paydays,RecurringFactorBased($B37,"Paydays",K$4,K$102),
_xlpm.monthly,SUMIFS(Recurring!$D:$D,Recurring!$B:$B,$B37,Recurring!$E:$E,"Monthly")+SUMIFS(Changes!$F:$F,Changes!$B:$B,$B37,Changes!$D:$D,"&lt;="&amp;K$4,Changes!$E:$E,"Monthly"),
_xlpm.annual,SUMIFS(Recurring!$D:$D,Recurring!$B:$B,$B37,Recurring!$E:$E,"Annual",Recurring!$G:$G,"&gt;="&amp;K$4,Recurring!$G:$G,"&lt;="&amp;EOMONTH(K$4,0))+SUMIFS(Changes!$F:$F,Changes!$B:$B,$B37,Changes!$D:$D,"&lt;="&amp;K$4,Changes!$E:$E,"Annual"),
_xlpm.planned,SUMIFS(Planned!$F:$F,Planned!$B:$B,$B37,Planned!$E:$E,"&gt;="&amp;K$4,Planned!$E:$E,"&lt;="&amp;EOMONTH(K$4,0)),
_xlpm.daily+_xlpm.weekdays+_xlpm.paydays+_xlpm.monthly+_xlpm.annual+_xlpm.planned)</f>
        <v>0</v>
      </c>
      <c r="L37" s="144" cm="1">
        <f t="array" aca="1" ref="L37" ca="1">_xlfn.LET(
_xlpm.daily,RecurringFactorBased($B37,"Daily",L$4,L$104),
_xlpm.weekdays,RecurringFactorBased($B37,"Weekdays",L$4,L$103),
_xlpm.paydays,RecurringFactorBased($B37,"Paydays",L$4,L$102),
_xlpm.monthly,SUMIFS(Recurring!$D:$D,Recurring!$B:$B,$B37,Recurring!$E:$E,"Monthly")+SUMIFS(Changes!$F:$F,Changes!$B:$B,$B37,Changes!$D:$D,"&lt;="&amp;L$4,Changes!$E:$E,"Monthly"),
_xlpm.annual,SUMIFS(Recurring!$D:$D,Recurring!$B:$B,$B37,Recurring!$E:$E,"Annual",Recurring!$G:$G,"&gt;="&amp;L$4,Recurring!$G:$G,"&lt;="&amp;EOMONTH(L$4,0))+SUMIFS(Changes!$F:$F,Changes!$B:$B,$B37,Changes!$D:$D,"&lt;="&amp;L$4,Changes!$E:$E,"Annual"),
_xlpm.planned,SUMIFS(Planned!$F:$F,Planned!$B:$B,$B37,Planned!$E:$E,"&gt;="&amp;L$4,Planned!$E:$E,"&lt;="&amp;EOMONTH(L$4,0)),
_xlpm.daily+_xlpm.weekdays+_xlpm.paydays+_xlpm.monthly+_xlpm.annual+_xlpm.planned)</f>
        <v>0</v>
      </c>
      <c r="M37" s="144" cm="1">
        <f t="array" aca="1" ref="M37" ca="1">_xlfn.LET(
_xlpm.daily,RecurringFactorBased($B37,"Daily",M$4,M$104),
_xlpm.weekdays,RecurringFactorBased($B37,"Weekdays",M$4,M$103),
_xlpm.paydays,RecurringFactorBased($B37,"Paydays",M$4,M$102),
_xlpm.monthly,SUMIFS(Recurring!$D:$D,Recurring!$B:$B,$B37,Recurring!$E:$E,"Monthly")+SUMIFS(Changes!$F:$F,Changes!$B:$B,$B37,Changes!$D:$D,"&lt;="&amp;M$4,Changes!$E:$E,"Monthly"),
_xlpm.annual,SUMIFS(Recurring!$D:$D,Recurring!$B:$B,$B37,Recurring!$E:$E,"Annual",Recurring!$G:$G,"&gt;="&amp;M$4,Recurring!$G:$G,"&lt;="&amp;EOMONTH(M$4,0))+SUMIFS(Changes!$F:$F,Changes!$B:$B,$B37,Changes!$D:$D,"&lt;="&amp;M$4,Changes!$E:$E,"Annual"),
_xlpm.planned,SUMIFS(Planned!$F:$F,Planned!$B:$B,$B37,Planned!$E:$E,"&gt;="&amp;M$4,Planned!$E:$E,"&lt;="&amp;EOMONTH(M$4,0)),
_xlpm.daily+_xlpm.weekdays+_xlpm.paydays+_xlpm.monthly+_xlpm.annual+_xlpm.planned)</f>
        <v>0</v>
      </c>
      <c r="N37" s="144" cm="1">
        <f t="array" aca="1" ref="N37" ca="1">_xlfn.LET(
_xlpm.daily,RecurringFactorBased($B37,"Daily",N$4,N$104),
_xlpm.weekdays,RecurringFactorBased($B37,"Weekdays",N$4,N$103),
_xlpm.paydays,RecurringFactorBased($B37,"Paydays",N$4,N$102),
_xlpm.monthly,SUMIFS(Recurring!$D:$D,Recurring!$B:$B,$B37,Recurring!$E:$E,"Monthly")+SUMIFS(Changes!$F:$F,Changes!$B:$B,$B37,Changes!$D:$D,"&lt;="&amp;N$4,Changes!$E:$E,"Monthly"),
_xlpm.annual,SUMIFS(Recurring!$D:$D,Recurring!$B:$B,$B37,Recurring!$E:$E,"Annual",Recurring!$G:$G,"&gt;="&amp;N$4,Recurring!$G:$G,"&lt;="&amp;EOMONTH(N$4,0))+SUMIFS(Changes!$F:$F,Changes!$B:$B,$B37,Changes!$D:$D,"&lt;="&amp;N$4,Changes!$E:$E,"Annual"),
_xlpm.planned,SUMIFS(Planned!$F:$F,Planned!$B:$B,$B37,Planned!$E:$E,"&gt;="&amp;N$4,Planned!$E:$E,"&lt;="&amp;EOMONTH(N$4,0)),
_xlpm.daily+_xlpm.weekdays+_xlpm.paydays+_xlpm.monthly+_xlpm.annual+_xlpm.planned)</f>
        <v>0</v>
      </c>
      <c r="O37" s="134"/>
      <c r="P37" s="145">
        <f ca="1">SUM(C37:N37)</f>
        <v>200</v>
      </c>
      <c r="Q37" s="81"/>
      <c r="R37" s="206" t="s">
        <v>321</v>
      </c>
    </row>
    <row r="38" spans="1:23" ht="12.75" customHeight="1" x14ac:dyDescent="0.2">
      <c r="A38" s="64"/>
      <c r="B38" s="103" t="s">
        <v>19</v>
      </c>
      <c r="C38" s="144" cm="1">
        <f t="array" aca="1" ref="C38" ca="1">_xlfn.LET(
_xlpm.daily,RecurringFactorBased($B38,"Daily",C$4,C$104),
_xlpm.weekdays,RecurringFactorBased($B38,"Weekdays",C$4,C$103),
_xlpm.paydays,RecurringFactorBased($B38,"Paydays",C$4,C$102),
_xlpm.monthly,SUMIFS(Recurring!$D:$D,Recurring!$B:$B,$B38,Recurring!$E:$E,"Monthly",Recurring!$G:$G,"&gt;="&amp;C$4)+SUMIFS(Changes!$F:$F,Changes!$B:$B,$B38,Changes!$D:$D,"&lt;="&amp;C$4,Changes!$E:$E,"Monthly"),
_xlpm.annual,SUMIFS(Recurring!$D:$D,Recurring!$B:$B,$B38,Recurring!$E:$E,"Annual",Recurring!$G:$G,"&gt;="&amp;C$4,Recurring!$G:$G,"&lt;="&amp;EOMONTH(C$4,0))+SUMIFS(Changes!$F:$F,Changes!$B:$B,$B38,Changes!$D:$D,"&lt;="&amp;C$4,Changes!$E:$E,"Annual"),
_xlpm.planned,SUMIFS(Planned!$F:$F,Planned!$B:$B,$B38,Planned!$E:$E,"&gt;="&amp;C$4,Planned!$E:$E,"&lt;="&amp;EOMONTH(C$4,0)),
_xlpm.daily+_xlpm.weekdays+_xlpm.paydays+_xlpm.monthly+_xlpm.annual+_xlpm.planned)</f>
        <v>10000</v>
      </c>
      <c r="D38" s="144" cm="1">
        <f t="array" aca="1" ref="D38" ca="1">_xlfn.LET(
_xlpm.daily,RecurringFactorBased($B38,"Daily",D$4,D$104),
_xlpm.weekdays,RecurringFactorBased($B38,"Weekdays",D$4,D$103),
_xlpm.paydays,RecurringFactorBased($B38,"Paydays",D$4,D$102),
_xlpm.monthly,SUMIFS(Recurring!$D:$D,Recurring!$B:$B,$B38,Recurring!$E:$E,"Monthly")+SUMIFS(Changes!$F:$F,Changes!$B:$B,$B38,Changes!$D:$D,"&lt;="&amp;D$4,Changes!$E:$E,"Monthly"),
_xlpm.annual,SUMIFS(Recurring!$D:$D,Recurring!$B:$B,$B38,Recurring!$E:$E,"Annual",Recurring!$G:$G,"&gt;="&amp;D$4,Recurring!$G:$G,"&lt;="&amp;EOMONTH(D$4,0))+SUMIFS(Changes!$F:$F,Changes!$B:$B,$B38,Changes!$D:$D,"&lt;="&amp;D$4,Changes!$E:$E,"Annual"),
_xlpm.planned,SUMIFS(Planned!$F:$F,Planned!$B:$B,$B38,Planned!$E:$E,"&gt;="&amp;D$4,Planned!$E:$E,"&lt;="&amp;EOMONTH(D$4,0)),
_xlpm.daily+_xlpm.weekdays+_xlpm.paydays+_xlpm.monthly+_xlpm.annual+_xlpm.planned)</f>
        <v>0</v>
      </c>
      <c r="E38" s="144" cm="1">
        <f t="array" aca="1" ref="E38" ca="1">_xlfn.LET(
_xlpm.daily,RecurringFactorBased($B38,"Daily",E$4,E$104),
_xlpm.weekdays,RecurringFactorBased($B38,"Weekdays",E$4,E$103),
_xlpm.paydays,RecurringFactorBased($B38,"Paydays",E$4,E$102),
_xlpm.monthly,SUMIFS(Recurring!$D:$D,Recurring!$B:$B,$B38,Recurring!$E:$E,"Monthly")+SUMIFS(Changes!$F:$F,Changes!$B:$B,$B38,Changes!$D:$D,"&lt;="&amp;E$4,Changes!$E:$E,"Monthly"),
_xlpm.annual,SUMIFS(Recurring!$D:$D,Recurring!$B:$B,$B38,Recurring!$E:$E,"Annual",Recurring!$G:$G,"&gt;="&amp;E$4,Recurring!$G:$G,"&lt;="&amp;EOMONTH(E$4,0))+SUMIFS(Changes!$F:$F,Changes!$B:$B,$B38,Changes!$D:$D,"&lt;="&amp;E$4,Changes!$E:$E,"Annual"),
_xlpm.planned,SUMIFS(Planned!$F:$F,Planned!$B:$B,$B38,Planned!$E:$E,"&gt;="&amp;E$4,Planned!$E:$E,"&lt;="&amp;EOMONTH(E$4,0)),
_xlpm.daily+_xlpm.weekdays+_xlpm.paydays+_xlpm.monthly+_xlpm.annual+_xlpm.planned)</f>
        <v>0</v>
      </c>
      <c r="F38" s="144" cm="1">
        <f t="array" aca="1" ref="F38" ca="1">_xlfn.LET(
_xlpm.daily,RecurringFactorBased($B38,"Daily",F$4,F$104),
_xlpm.weekdays,RecurringFactorBased($B38,"Weekdays",F$4,F$103),
_xlpm.paydays,RecurringFactorBased($B38,"Paydays",F$4,F$102),
_xlpm.monthly,SUMIFS(Recurring!$D:$D,Recurring!$B:$B,$B38,Recurring!$E:$E,"Monthly")+SUMIFS(Changes!$F:$F,Changes!$B:$B,$B38,Changes!$D:$D,"&lt;="&amp;F$4,Changes!$E:$E,"Monthly"),
_xlpm.annual,SUMIFS(Recurring!$D:$D,Recurring!$B:$B,$B38,Recurring!$E:$E,"Annual",Recurring!$G:$G,"&gt;="&amp;F$4,Recurring!$G:$G,"&lt;="&amp;EOMONTH(F$4,0))+SUMIFS(Changes!$F:$F,Changes!$B:$B,$B38,Changes!$D:$D,"&lt;="&amp;F$4,Changes!$E:$E,"Annual"),
_xlpm.planned,SUMIFS(Planned!$F:$F,Planned!$B:$B,$B38,Planned!$E:$E,"&gt;="&amp;F$4,Planned!$E:$E,"&lt;="&amp;EOMONTH(F$4,0)),
_xlpm.daily+_xlpm.weekdays+_xlpm.paydays+_xlpm.monthly+_xlpm.annual+_xlpm.planned)</f>
        <v>0</v>
      </c>
      <c r="G38" s="144" cm="1">
        <f t="array" aca="1" ref="G38" ca="1">_xlfn.LET(
_xlpm.daily,RecurringFactorBased($B38,"Daily",G$4,G$104),
_xlpm.weekdays,RecurringFactorBased($B38,"Weekdays",G$4,G$103),
_xlpm.paydays,RecurringFactorBased($B38,"Paydays",G$4,G$102),
_xlpm.monthly,SUMIFS(Recurring!$D:$D,Recurring!$B:$B,$B38,Recurring!$E:$E,"Monthly")+SUMIFS(Changes!$F:$F,Changes!$B:$B,$B38,Changes!$D:$D,"&lt;="&amp;G$4,Changes!$E:$E,"Monthly"),
_xlpm.annual,SUMIFS(Recurring!$D:$D,Recurring!$B:$B,$B38,Recurring!$E:$E,"Annual",Recurring!$G:$G,"&gt;="&amp;G$4,Recurring!$G:$G,"&lt;="&amp;EOMONTH(G$4,0))+SUMIFS(Changes!$F:$F,Changes!$B:$B,$B38,Changes!$D:$D,"&lt;="&amp;G$4,Changes!$E:$E,"Annual"),
_xlpm.planned,SUMIFS(Planned!$F:$F,Planned!$B:$B,$B38,Planned!$E:$E,"&gt;="&amp;G$4,Planned!$E:$E,"&lt;="&amp;EOMONTH(G$4,0)),
_xlpm.daily+_xlpm.weekdays+_xlpm.paydays+_xlpm.monthly+_xlpm.annual+_xlpm.planned)</f>
        <v>0</v>
      </c>
      <c r="H38" s="144" cm="1">
        <f t="array" aca="1" ref="H38" ca="1">_xlfn.LET(
_xlpm.daily,RecurringFactorBased($B38,"Daily",H$4,H$104),
_xlpm.weekdays,RecurringFactorBased($B38,"Weekdays",H$4,H$103),
_xlpm.paydays,RecurringFactorBased($B38,"Paydays",H$4,H$102),
_xlpm.monthly,SUMIFS(Recurring!$D:$D,Recurring!$B:$B,$B38,Recurring!$E:$E,"Monthly")+SUMIFS(Changes!$F:$F,Changes!$B:$B,$B38,Changes!$D:$D,"&lt;="&amp;H$4,Changes!$E:$E,"Monthly"),
_xlpm.annual,SUMIFS(Recurring!$D:$D,Recurring!$B:$B,$B38,Recurring!$E:$E,"Annual",Recurring!$G:$G,"&gt;="&amp;H$4,Recurring!$G:$G,"&lt;="&amp;EOMONTH(H$4,0))+SUMIFS(Changes!$F:$F,Changes!$B:$B,$B38,Changes!$D:$D,"&lt;="&amp;H$4,Changes!$E:$E,"Annual"),
_xlpm.planned,SUMIFS(Planned!$F:$F,Planned!$B:$B,$B38,Planned!$E:$E,"&gt;="&amp;H$4,Planned!$E:$E,"&lt;="&amp;EOMONTH(H$4,0)),
_xlpm.daily+_xlpm.weekdays+_xlpm.paydays+_xlpm.monthly+_xlpm.annual+_xlpm.planned)</f>
        <v>0</v>
      </c>
      <c r="I38" s="144" cm="1">
        <f t="array" aca="1" ref="I38" ca="1">_xlfn.LET(
_xlpm.daily,RecurringFactorBased($B38,"Daily",I$4,I$104),
_xlpm.weekdays,RecurringFactorBased($B38,"Weekdays",I$4,I$103),
_xlpm.paydays,RecurringFactorBased($B38,"Paydays",I$4,I$102),
_xlpm.monthly,SUMIFS(Recurring!$D:$D,Recurring!$B:$B,$B38,Recurring!$E:$E,"Monthly")+SUMIFS(Changes!$F:$F,Changes!$B:$B,$B38,Changes!$D:$D,"&lt;="&amp;I$4,Changes!$E:$E,"Monthly"),
_xlpm.annual,SUMIFS(Recurring!$D:$D,Recurring!$B:$B,$B38,Recurring!$E:$E,"Annual",Recurring!$G:$G,"&gt;="&amp;I$4,Recurring!$G:$G,"&lt;="&amp;EOMONTH(I$4,0))+SUMIFS(Changes!$F:$F,Changes!$B:$B,$B38,Changes!$D:$D,"&lt;="&amp;I$4,Changes!$E:$E,"Annual"),
_xlpm.planned,SUMIFS(Planned!$F:$F,Planned!$B:$B,$B38,Planned!$E:$E,"&gt;="&amp;I$4,Planned!$E:$E,"&lt;="&amp;EOMONTH(I$4,0)),
_xlpm.daily+_xlpm.weekdays+_xlpm.paydays+_xlpm.monthly+_xlpm.annual+_xlpm.planned)</f>
        <v>0</v>
      </c>
      <c r="J38" s="144" cm="1">
        <f t="array" aca="1" ref="J38" ca="1">_xlfn.LET(
_xlpm.daily,RecurringFactorBased($B38,"Daily",J$4,J$104),
_xlpm.weekdays,RecurringFactorBased($B38,"Weekdays",J$4,J$103),
_xlpm.paydays,RecurringFactorBased($B38,"Paydays",J$4,J$102),
_xlpm.monthly,SUMIFS(Recurring!$D:$D,Recurring!$B:$B,$B38,Recurring!$E:$E,"Monthly")+SUMIFS(Changes!$F:$F,Changes!$B:$B,$B38,Changes!$D:$D,"&lt;="&amp;J$4,Changes!$E:$E,"Monthly"),
_xlpm.annual,SUMIFS(Recurring!$D:$D,Recurring!$B:$B,$B38,Recurring!$E:$E,"Annual",Recurring!$G:$G,"&gt;="&amp;J$4,Recurring!$G:$G,"&lt;="&amp;EOMONTH(J$4,0))+SUMIFS(Changes!$F:$F,Changes!$B:$B,$B38,Changes!$D:$D,"&lt;="&amp;J$4,Changes!$E:$E,"Annual"),
_xlpm.planned,SUMIFS(Planned!$F:$F,Planned!$B:$B,$B38,Planned!$E:$E,"&gt;="&amp;J$4,Planned!$E:$E,"&lt;="&amp;EOMONTH(J$4,0)),
_xlpm.daily+_xlpm.weekdays+_xlpm.paydays+_xlpm.monthly+_xlpm.annual+_xlpm.planned)</f>
        <v>0</v>
      </c>
      <c r="K38" s="144" cm="1">
        <f t="array" aca="1" ref="K38" ca="1">_xlfn.LET(
_xlpm.daily,RecurringFactorBased($B38,"Daily",K$4,K$104),
_xlpm.weekdays,RecurringFactorBased($B38,"Weekdays",K$4,K$103),
_xlpm.paydays,RecurringFactorBased($B38,"Paydays",K$4,K$102),
_xlpm.monthly,SUMIFS(Recurring!$D:$D,Recurring!$B:$B,$B38,Recurring!$E:$E,"Monthly")+SUMIFS(Changes!$F:$F,Changes!$B:$B,$B38,Changes!$D:$D,"&lt;="&amp;K$4,Changes!$E:$E,"Monthly"),
_xlpm.annual,SUMIFS(Recurring!$D:$D,Recurring!$B:$B,$B38,Recurring!$E:$E,"Annual",Recurring!$G:$G,"&gt;="&amp;K$4,Recurring!$G:$G,"&lt;="&amp;EOMONTH(K$4,0))+SUMIFS(Changes!$F:$F,Changes!$B:$B,$B38,Changes!$D:$D,"&lt;="&amp;K$4,Changes!$E:$E,"Annual"),
_xlpm.planned,SUMIFS(Planned!$F:$F,Planned!$B:$B,$B38,Planned!$E:$E,"&gt;="&amp;K$4,Planned!$E:$E,"&lt;="&amp;EOMONTH(K$4,0)),
_xlpm.daily+_xlpm.weekdays+_xlpm.paydays+_xlpm.monthly+_xlpm.annual+_xlpm.planned)</f>
        <v>0</v>
      </c>
      <c r="L38" s="144" cm="1">
        <f t="array" aca="1" ref="L38" ca="1">_xlfn.LET(
_xlpm.daily,RecurringFactorBased($B38,"Daily",L$4,L$104),
_xlpm.weekdays,RecurringFactorBased($B38,"Weekdays",L$4,L$103),
_xlpm.paydays,RecurringFactorBased($B38,"Paydays",L$4,L$102),
_xlpm.monthly,SUMIFS(Recurring!$D:$D,Recurring!$B:$B,$B38,Recurring!$E:$E,"Monthly")+SUMIFS(Changes!$F:$F,Changes!$B:$B,$B38,Changes!$D:$D,"&lt;="&amp;L$4,Changes!$E:$E,"Monthly"),
_xlpm.annual,SUMIFS(Recurring!$D:$D,Recurring!$B:$B,$B38,Recurring!$E:$E,"Annual",Recurring!$G:$G,"&gt;="&amp;L$4,Recurring!$G:$G,"&lt;="&amp;EOMONTH(L$4,0))+SUMIFS(Changes!$F:$F,Changes!$B:$B,$B38,Changes!$D:$D,"&lt;="&amp;L$4,Changes!$E:$E,"Annual"),
_xlpm.planned,SUMIFS(Planned!$F:$F,Planned!$B:$B,$B38,Planned!$E:$E,"&gt;="&amp;L$4,Planned!$E:$E,"&lt;="&amp;EOMONTH(L$4,0)),
_xlpm.daily+_xlpm.weekdays+_xlpm.paydays+_xlpm.monthly+_xlpm.annual+_xlpm.planned)</f>
        <v>0</v>
      </c>
      <c r="M38" s="144" cm="1">
        <f t="array" aca="1" ref="M38" ca="1">_xlfn.LET(
_xlpm.daily,RecurringFactorBased($B38,"Daily",M$4,M$104),
_xlpm.weekdays,RecurringFactorBased($B38,"Weekdays",M$4,M$103),
_xlpm.paydays,RecurringFactorBased($B38,"Paydays",M$4,M$102),
_xlpm.monthly,SUMIFS(Recurring!$D:$D,Recurring!$B:$B,$B38,Recurring!$E:$E,"Monthly")+SUMIFS(Changes!$F:$F,Changes!$B:$B,$B38,Changes!$D:$D,"&lt;="&amp;M$4,Changes!$E:$E,"Monthly"),
_xlpm.annual,SUMIFS(Recurring!$D:$D,Recurring!$B:$B,$B38,Recurring!$E:$E,"Annual",Recurring!$G:$G,"&gt;="&amp;M$4,Recurring!$G:$G,"&lt;="&amp;EOMONTH(M$4,0))+SUMIFS(Changes!$F:$F,Changes!$B:$B,$B38,Changes!$D:$D,"&lt;="&amp;M$4,Changes!$E:$E,"Annual"),
_xlpm.planned,SUMIFS(Planned!$F:$F,Planned!$B:$B,$B38,Planned!$E:$E,"&gt;="&amp;M$4,Planned!$E:$E,"&lt;="&amp;EOMONTH(M$4,0)),
_xlpm.daily+_xlpm.weekdays+_xlpm.paydays+_xlpm.monthly+_xlpm.annual+_xlpm.planned)</f>
        <v>0</v>
      </c>
      <c r="N38" s="144" cm="1">
        <f t="array" aca="1" ref="N38" ca="1">_xlfn.LET(
_xlpm.daily,RecurringFactorBased($B38,"Daily",N$4,N$104),
_xlpm.weekdays,RecurringFactorBased($B38,"Weekdays",N$4,N$103),
_xlpm.paydays,RecurringFactorBased($B38,"Paydays",N$4,N$102),
_xlpm.monthly,SUMIFS(Recurring!$D:$D,Recurring!$B:$B,$B38,Recurring!$E:$E,"Monthly")+SUMIFS(Changes!$F:$F,Changes!$B:$B,$B38,Changes!$D:$D,"&lt;="&amp;N$4,Changes!$E:$E,"Monthly"),
_xlpm.annual,SUMIFS(Recurring!$D:$D,Recurring!$B:$B,$B38,Recurring!$E:$E,"Annual",Recurring!$G:$G,"&gt;="&amp;N$4,Recurring!$G:$G,"&lt;="&amp;EOMONTH(N$4,0))+SUMIFS(Changes!$F:$F,Changes!$B:$B,$B38,Changes!$D:$D,"&lt;="&amp;N$4,Changes!$E:$E,"Annual"),
_xlpm.planned,SUMIFS(Planned!$F:$F,Planned!$B:$B,$B38,Planned!$E:$E,"&gt;="&amp;N$4,Planned!$E:$E,"&lt;="&amp;EOMONTH(N$4,0)),
_xlpm.daily+_xlpm.weekdays+_xlpm.paydays+_xlpm.monthly+_xlpm.annual+_xlpm.planned)</f>
        <v>0</v>
      </c>
      <c r="O38" s="134"/>
      <c r="P38" s="145">
        <f ca="1">SUM(C38:N38)</f>
        <v>10000</v>
      </c>
      <c r="Q38" s="81"/>
      <c r="R38" s="206" t="s">
        <v>322</v>
      </c>
      <c r="U38" s="22"/>
    </row>
    <row r="39" spans="1:23" ht="12.75" customHeight="1" x14ac:dyDescent="0.2">
      <c r="A39" s="64"/>
      <c r="B39" s="103" t="s">
        <v>57</v>
      </c>
      <c r="C39" s="144" cm="1">
        <f t="array" aca="1" ref="C39" ca="1">_xlfn.LET(
_xlpm.daily,RecurringFactorBased($B39,"Daily",C$4,C$104),
_xlpm.weekdays,RecurringFactorBased($B39,"Weekdays",C$4,C$103),
_xlpm.paydays,RecurringFactorBased($B39,"Paydays",C$4,C$102),
_xlpm.monthly,SUMIFS(Recurring!$D:$D,Recurring!$B:$B,$B39,Recurring!$E:$E,"Monthly",Recurring!$G:$G,"&gt;="&amp;C$4)+SUMIFS(Changes!$F:$F,Changes!$B:$B,$B39,Changes!$D:$D,"&lt;="&amp;C$4,Changes!$E:$E,"Monthly"),
_xlpm.annual,SUMIFS(Recurring!$D:$D,Recurring!$B:$B,$B39,Recurring!$E:$E,"Annual",Recurring!$G:$G,"&gt;="&amp;C$4,Recurring!$G:$G,"&lt;="&amp;EOMONTH(C$4,0))+SUMIFS(Changes!$F:$F,Changes!$B:$B,$B39,Changes!$D:$D,"&lt;="&amp;C$4,Changes!$E:$E,"Annual"),
_xlpm.planned,SUMIFS(Planned!$F:$F,Planned!$B:$B,$B39,Planned!$E:$E,"&gt;="&amp;C$4,Planned!$E:$E,"&lt;="&amp;EOMONTH(C$4,0)),
_xlpm.daily+_xlpm.weekdays+_xlpm.paydays+_xlpm.monthly+_xlpm.annual+_xlpm.planned)</f>
        <v>0</v>
      </c>
      <c r="D39" s="144" cm="1">
        <f t="array" aca="1" ref="D39" ca="1">_xlfn.LET(
_xlpm.daily,RecurringFactorBased($B39,"Daily",D$4,D$104),
_xlpm.weekdays,RecurringFactorBased($B39,"Weekdays",D$4,D$103),
_xlpm.paydays,RecurringFactorBased($B39,"Paydays",D$4,D$102),
_xlpm.monthly,SUMIFS(Recurring!$D:$D,Recurring!$B:$B,$B39,Recurring!$E:$E,"Monthly")+SUMIFS(Changes!$F:$F,Changes!$B:$B,$B39,Changes!$D:$D,"&lt;="&amp;D$4,Changes!$E:$E,"Monthly"),
_xlpm.annual,SUMIFS(Recurring!$D:$D,Recurring!$B:$B,$B39,Recurring!$E:$E,"Annual",Recurring!$G:$G,"&gt;="&amp;D$4,Recurring!$G:$G,"&lt;="&amp;EOMONTH(D$4,0))+SUMIFS(Changes!$F:$F,Changes!$B:$B,$B39,Changes!$D:$D,"&lt;="&amp;D$4,Changes!$E:$E,"Annual"),
_xlpm.planned,SUMIFS(Planned!$F:$F,Planned!$B:$B,$B39,Planned!$E:$E,"&gt;="&amp;D$4,Planned!$E:$E,"&lt;="&amp;EOMONTH(D$4,0)),
_xlpm.daily+_xlpm.weekdays+_xlpm.paydays+_xlpm.monthly+_xlpm.annual+_xlpm.planned)</f>
        <v>0</v>
      </c>
      <c r="E39" s="144" cm="1">
        <f t="array" aca="1" ref="E39" ca="1">_xlfn.LET(
_xlpm.daily,RecurringFactorBased($B39,"Daily",E$4,E$104),
_xlpm.weekdays,RecurringFactorBased($B39,"Weekdays",E$4,E$103),
_xlpm.paydays,RecurringFactorBased($B39,"Paydays",E$4,E$102),
_xlpm.monthly,SUMIFS(Recurring!$D:$D,Recurring!$B:$B,$B39,Recurring!$E:$E,"Monthly")+SUMIFS(Changes!$F:$F,Changes!$B:$B,$B39,Changes!$D:$D,"&lt;="&amp;E$4,Changes!$E:$E,"Monthly"),
_xlpm.annual,SUMIFS(Recurring!$D:$D,Recurring!$B:$B,$B39,Recurring!$E:$E,"Annual",Recurring!$G:$G,"&gt;="&amp;E$4,Recurring!$G:$G,"&lt;="&amp;EOMONTH(E$4,0))+SUMIFS(Changes!$F:$F,Changes!$B:$B,$B39,Changes!$D:$D,"&lt;="&amp;E$4,Changes!$E:$E,"Annual"),
_xlpm.planned,SUMIFS(Planned!$F:$F,Planned!$B:$B,$B39,Planned!$E:$E,"&gt;="&amp;E$4,Planned!$E:$E,"&lt;="&amp;EOMONTH(E$4,0)),
_xlpm.daily+_xlpm.weekdays+_xlpm.paydays+_xlpm.monthly+_xlpm.annual+_xlpm.planned)</f>
        <v>0</v>
      </c>
      <c r="F39" s="144" cm="1">
        <f t="array" aca="1" ref="F39" ca="1">_xlfn.LET(
_xlpm.daily,RecurringFactorBased($B39,"Daily",F$4,F$104),
_xlpm.weekdays,RecurringFactorBased($B39,"Weekdays",F$4,F$103),
_xlpm.paydays,RecurringFactorBased($B39,"Paydays",F$4,F$102),
_xlpm.monthly,SUMIFS(Recurring!$D:$D,Recurring!$B:$B,$B39,Recurring!$E:$E,"Monthly")+SUMIFS(Changes!$F:$F,Changes!$B:$B,$B39,Changes!$D:$D,"&lt;="&amp;F$4,Changes!$E:$E,"Monthly"),
_xlpm.annual,SUMIFS(Recurring!$D:$D,Recurring!$B:$B,$B39,Recurring!$E:$E,"Annual",Recurring!$G:$G,"&gt;="&amp;F$4,Recurring!$G:$G,"&lt;="&amp;EOMONTH(F$4,0))+SUMIFS(Changes!$F:$F,Changes!$B:$B,$B39,Changes!$D:$D,"&lt;="&amp;F$4,Changes!$E:$E,"Annual"),
_xlpm.planned,SUMIFS(Planned!$F:$F,Planned!$B:$B,$B39,Planned!$E:$E,"&gt;="&amp;F$4,Planned!$E:$E,"&lt;="&amp;EOMONTH(F$4,0)),
_xlpm.daily+_xlpm.weekdays+_xlpm.paydays+_xlpm.monthly+_xlpm.annual+_xlpm.planned)</f>
        <v>500</v>
      </c>
      <c r="G39" s="144" cm="1">
        <f t="array" aca="1" ref="G39" ca="1">_xlfn.LET(
_xlpm.daily,RecurringFactorBased($B39,"Daily",G$4,G$104),
_xlpm.weekdays,RecurringFactorBased($B39,"Weekdays",G$4,G$103),
_xlpm.paydays,RecurringFactorBased($B39,"Paydays",G$4,G$102),
_xlpm.monthly,SUMIFS(Recurring!$D:$D,Recurring!$B:$B,$B39,Recurring!$E:$E,"Monthly")+SUMIFS(Changes!$F:$F,Changes!$B:$B,$B39,Changes!$D:$D,"&lt;="&amp;G$4,Changes!$E:$E,"Monthly"),
_xlpm.annual,SUMIFS(Recurring!$D:$D,Recurring!$B:$B,$B39,Recurring!$E:$E,"Annual",Recurring!$G:$G,"&gt;="&amp;G$4,Recurring!$G:$G,"&lt;="&amp;EOMONTH(G$4,0))+SUMIFS(Changes!$F:$F,Changes!$B:$B,$B39,Changes!$D:$D,"&lt;="&amp;G$4,Changes!$E:$E,"Annual"),
_xlpm.planned,SUMIFS(Planned!$F:$F,Planned!$B:$B,$B39,Planned!$E:$E,"&gt;="&amp;G$4,Planned!$E:$E,"&lt;="&amp;EOMONTH(G$4,0)),
_xlpm.daily+_xlpm.weekdays+_xlpm.paydays+_xlpm.monthly+_xlpm.annual+_xlpm.planned)</f>
        <v>0</v>
      </c>
      <c r="H39" s="144" cm="1">
        <f t="array" aca="1" ref="H39" ca="1">_xlfn.LET(
_xlpm.daily,RecurringFactorBased($B39,"Daily",H$4,H$104),
_xlpm.weekdays,RecurringFactorBased($B39,"Weekdays",H$4,H$103),
_xlpm.paydays,RecurringFactorBased($B39,"Paydays",H$4,H$102),
_xlpm.monthly,SUMIFS(Recurring!$D:$D,Recurring!$B:$B,$B39,Recurring!$E:$E,"Monthly")+SUMIFS(Changes!$F:$F,Changes!$B:$B,$B39,Changes!$D:$D,"&lt;="&amp;H$4,Changes!$E:$E,"Monthly"),
_xlpm.annual,SUMIFS(Recurring!$D:$D,Recurring!$B:$B,$B39,Recurring!$E:$E,"Annual",Recurring!$G:$G,"&gt;="&amp;H$4,Recurring!$G:$G,"&lt;="&amp;EOMONTH(H$4,0))+SUMIFS(Changes!$F:$F,Changes!$B:$B,$B39,Changes!$D:$D,"&lt;="&amp;H$4,Changes!$E:$E,"Annual"),
_xlpm.planned,SUMIFS(Planned!$F:$F,Planned!$B:$B,$B39,Planned!$E:$E,"&gt;="&amp;H$4,Planned!$E:$E,"&lt;="&amp;EOMONTH(H$4,0)),
_xlpm.daily+_xlpm.weekdays+_xlpm.paydays+_xlpm.monthly+_xlpm.annual+_xlpm.planned)</f>
        <v>0</v>
      </c>
      <c r="I39" s="144" cm="1">
        <f t="array" aca="1" ref="I39" ca="1">_xlfn.LET(
_xlpm.daily,RecurringFactorBased($B39,"Daily",I$4,I$104),
_xlpm.weekdays,RecurringFactorBased($B39,"Weekdays",I$4,I$103),
_xlpm.paydays,RecurringFactorBased($B39,"Paydays",I$4,I$102),
_xlpm.monthly,SUMIFS(Recurring!$D:$D,Recurring!$B:$B,$B39,Recurring!$E:$E,"Monthly")+SUMIFS(Changes!$F:$F,Changes!$B:$B,$B39,Changes!$D:$D,"&lt;="&amp;I$4,Changes!$E:$E,"Monthly"),
_xlpm.annual,SUMIFS(Recurring!$D:$D,Recurring!$B:$B,$B39,Recurring!$E:$E,"Annual",Recurring!$G:$G,"&gt;="&amp;I$4,Recurring!$G:$G,"&lt;="&amp;EOMONTH(I$4,0))+SUMIFS(Changes!$F:$F,Changes!$B:$B,$B39,Changes!$D:$D,"&lt;="&amp;I$4,Changes!$E:$E,"Annual"),
_xlpm.planned,SUMIFS(Planned!$F:$F,Planned!$B:$B,$B39,Planned!$E:$E,"&gt;="&amp;I$4,Planned!$E:$E,"&lt;="&amp;EOMONTH(I$4,0)),
_xlpm.daily+_xlpm.weekdays+_xlpm.paydays+_xlpm.monthly+_xlpm.annual+_xlpm.planned)</f>
        <v>0</v>
      </c>
      <c r="J39" s="144" cm="1">
        <f t="array" aca="1" ref="J39" ca="1">_xlfn.LET(
_xlpm.daily,RecurringFactorBased($B39,"Daily",J$4,J$104),
_xlpm.weekdays,RecurringFactorBased($B39,"Weekdays",J$4,J$103),
_xlpm.paydays,RecurringFactorBased($B39,"Paydays",J$4,J$102),
_xlpm.monthly,SUMIFS(Recurring!$D:$D,Recurring!$B:$B,$B39,Recurring!$E:$E,"Monthly")+SUMIFS(Changes!$F:$F,Changes!$B:$B,$B39,Changes!$D:$D,"&lt;="&amp;J$4,Changes!$E:$E,"Monthly"),
_xlpm.annual,SUMIFS(Recurring!$D:$D,Recurring!$B:$B,$B39,Recurring!$E:$E,"Annual",Recurring!$G:$G,"&gt;="&amp;J$4,Recurring!$G:$G,"&lt;="&amp;EOMONTH(J$4,0))+SUMIFS(Changes!$F:$F,Changes!$B:$B,$B39,Changes!$D:$D,"&lt;="&amp;J$4,Changes!$E:$E,"Annual"),
_xlpm.planned,SUMIFS(Planned!$F:$F,Planned!$B:$B,$B39,Planned!$E:$E,"&gt;="&amp;J$4,Planned!$E:$E,"&lt;="&amp;EOMONTH(J$4,0)),
_xlpm.daily+_xlpm.weekdays+_xlpm.paydays+_xlpm.monthly+_xlpm.annual+_xlpm.planned)</f>
        <v>0</v>
      </c>
      <c r="K39" s="144" cm="1">
        <f t="array" aca="1" ref="K39" ca="1">_xlfn.LET(
_xlpm.daily,RecurringFactorBased($B39,"Daily",K$4,K$104),
_xlpm.weekdays,RecurringFactorBased($B39,"Weekdays",K$4,K$103),
_xlpm.paydays,RecurringFactorBased($B39,"Paydays",K$4,K$102),
_xlpm.monthly,SUMIFS(Recurring!$D:$D,Recurring!$B:$B,$B39,Recurring!$E:$E,"Monthly")+SUMIFS(Changes!$F:$F,Changes!$B:$B,$B39,Changes!$D:$D,"&lt;="&amp;K$4,Changes!$E:$E,"Monthly"),
_xlpm.annual,SUMIFS(Recurring!$D:$D,Recurring!$B:$B,$B39,Recurring!$E:$E,"Annual",Recurring!$G:$G,"&gt;="&amp;K$4,Recurring!$G:$G,"&lt;="&amp;EOMONTH(K$4,0))+SUMIFS(Changes!$F:$F,Changes!$B:$B,$B39,Changes!$D:$D,"&lt;="&amp;K$4,Changes!$E:$E,"Annual"),
_xlpm.planned,SUMIFS(Planned!$F:$F,Planned!$B:$B,$B39,Planned!$E:$E,"&gt;="&amp;K$4,Planned!$E:$E,"&lt;="&amp;EOMONTH(K$4,0)),
_xlpm.daily+_xlpm.weekdays+_xlpm.paydays+_xlpm.monthly+_xlpm.annual+_xlpm.planned)</f>
        <v>0</v>
      </c>
      <c r="L39" s="144" cm="1">
        <f t="array" aca="1" ref="L39" ca="1">_xlfn.LET(
_xlpm.daily,RecurringFactorBased($B39,"Daily",L$4,L$104),
_xlpm.weekdays,RecurringFactorBased($B39,"Weekdays",L$4,L$103),
_xlpm.paydays,RecurringFactorBased($B39,"Paydays",L$4,L$102),
_xlpm.monthly,SUMIFS(Recurring!$D:$D,Recurring!$B:$B,$B39,Recurring!$E:$E,"Monthly")+SUMIFS(Changes!$F:$F,Changes!$B:$B,$B39,Changes!$D:$D,"&lt;="&amp;L$4,Changes!$E:$E,"Monthly"),
_xlpm.annual,SUMIFS(Recurring!$D:$D,Recurring!$B:$B,$B39,Recurring!$E:$E,"Annual",Recurring!$G:$G,"&gt;="&amp;L$4,Recurring!$G:$G,"&lt;="&amp;EOMONTH(L$4,0))+SUMIFS(Changes!$F:$F,Changes!$B:$B,$B39,Changes!$D:$D,"&lt;="&amp;L$4,Changes!$E:$E,"Annual"),
_xlpm.planned,SUMIFS(Planned!$F:$F,Planned!$B:$B,$B39,Planned!$E:$E,"&gt;="&amp;L$4,Planned!$E:$E,"&lt;="&amp;EOMONTH(L$4,0)),
_xlpm.daily+_xlpm.weekdays+_xlpm.paydays+_xlpm.monthly+_xlpm.annual+_xlpm.planned)</f>
        <v>0</v>
      </c>
      <c r="M39" s="144" cm="1">
        <f t="array" aca="1" ref="M39" ca="1">_xlfn.LET(
_xlpm.daily,RecurringFactorBased($B39,"Daily",M$4,M$104),
_xlpm.weekdays,RecurringFactorBased($B39,"Weekdays",M$4,M$103),
_xlpm.paydays,RecurringFactorBased($B39,"Paydays",M$4,M$102),
_xlpm.monthly,SUMIFS(Recurring!$D:$D,Recurring!$B:$B,$B39,Recurring!$E:$E,"Monthly")+SUMIFS(Changes!$F:$F,Changes!$B:$B,$B39,Changes!$D:$D,"&lt;="&amp;M$4,Changes!$E:$E,"Monthly"),
_xlpm.annual,SUMIFS(Recurring!$D:$D,Recurring!$B:$B,$B39,Recurring!$E:$E,"Annual",Recurring!$G:$G,"&gt;="&amp;M$4,Recurring!$G:$G,"&lt;="&amp;EOMONTH(M$4,0))+SUMIFS(Changes!$F:$F,Changes!$B:$B,$B39,Changes!$D:$D,"&lt;="&amp;M$4,Changes!$E:$E,"Annual"),
_xlpm.planned,SUMIFS(Planned!$F:$F,Planned!$B:$B,$B39,Planned!$E:$E,"&gt;="&amp;M$4,Planned!$E:$E,"&lt;="&amp;EOMONTH(M$4,0)),
_xlpm.daily+_xlpm.weekdays+_xlpm.paydays+_xlpm.monthly+_xlpm.annual+_xlpm.planned)</f>
        <v>0</v>
      </c>
      <c r="N39" s="144" cm="1">
        <f t="array" aca="1" ref="N39" ca="1">_xlfn.LET(
_xlpm.daily,RecurringFactorBased($B39,"Daily",N$4,N$104),
_xlpm.weekdays,RecurringFactorBased($B39,"Weekdays",N$4,N$103),
_xlpm.paydays,RecurringFactorBased($B39,"Paydays",N$4,N$102),
_xlpm.monthly,SUMIFS(Recurring!$D:$D,Recurring!$B:$B,$B39,Recurring!$E:$E,"Monthly")+SUMIFS(Changes!$F:$F,Changes!$B:$B,$B39,Changes!$D:$D,"&lt;="&amp;N$4,Changes!$E:$E,"Monthly"),
_xlpm.annual,SUMIFS(Recurring!$D:$D,Recurring!$B:$B,$B39,Recurring!$E:$E,"Annual",Recurring!$G:$G,"&gt;="&amp;N$4,Recurring!$G:$G,"&lt;="&amp;EOMONTH(N$4,0))+SUMIFS(Changes!$F:$F,Changes!$B:$B,$B39,Changes!$D:$D,"&lt;="&amp;N$4,Changes!$E:$E,"Annual"),
_xlpm.planned,SUMIFS(Planned!$F:$F,Planned!$B:$B,$B39,Planned!$E:$E,"&gt;="&amp;N$4,Planned!$E:$E,"&lt;="&amp;EOMONTH(N$4,0)),
_xlpm.daily+_xlpm.weekdays+_xlpm.paydays+_xlpm.monthly+_xlpm.annual+_xlpm.planned)</f>
        <v>0</v>
      </c>
      <c r="O39" s="134"/>
      <c r="P39" s="145">
        <f ca="1">SUM(C39:N39)</f>
        <v>500</v>
      </c>
      <c r="Q39" s="81"/>
      <c r="R39" s="206" t="s">
        <v>319</v>
      </c>
      <c r="U39" s="22"/>
    </row>
    <row r="40" spans="1:23" s="52" customFormat="1" ht="5.0999999999999996" customHeight="1" x14ac:dyDescent="0.2">
      <c r="A40" s="65"/>
      <c r="B40" s="103"/>
      <c r="C40" s="134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45"/>
      <c r="Q40" s="83"/>
      <c r="R40" s="206"/>
      <c r="V40" s="53"/>
      <c r="W40" s="54"/>
    </row>
    <row r="41" spans="1:23" ht="12.75" customHeight="1" x14ac:dyDescent="0.2">
      <c r="A41" s="62"/>
      <c r="B41" s="107" t="str">
        <f>"Total "&amp;B35</f>
        <v>Total OTHER INFLOWS</v>
      </c>
      <c r="C41" s="148">
        <f ca="1">SUM(C36:C39)</f>
        <v>10000</v>
      </c>
      <c r="D41" s="148">
        <f t="shared" ref="D41:N41" ca="1" si="12">SUM(D36:D38)</f>
        <v>100</v>
      </c>
      <c r="E41" s="148">
        <f t="shared" ca="1" si="12"/>
        <v>200</v>
      </c>
      <c r="F41" s="148">
        <f t="shared" ca="1" si="12"/>
        <v>0</v>
      </c>
      <c r="G41" s="148">
        <f t="shared" ca="1" si="12"/>
        <v>0</v>
      </c>
      <c r="H41" s="148">
        <f t="shared" ca="1" si="12"/>
        <v>0</v>
      </c>
      <c r="I41" s="148">
        <f t="shared" ca="1" si="12"/>
        <v>0</v>
      </c>
      <c r="J41" s="148">
        <f t="shared" ca="1" si="12"/>
        <v>0</v>
      </c>
      <c r="K41" s="148">
        <f t="shared" ca="1" si="12"/>
        <v>0</v>
      </c>
      <c r="L41" s="148">
        <f t="shared" ca="1" si="12"/>
        <v>0</v>
      </c>
      <c r="M41" s="148">
        <f t="shared" ca="1" si="12"/>
        <v>0</v>
      </c>
      <c r="N41" s="148">
        <f t="shared" ca="1" si="12"/>
        <v>0</v>
      </c>
      <c r="O41" s="148"/>
      <c r="P41" s="149">
        <f ca="1">SUM(P36:P38)</f>
        <v>10300</v>
      </c>
      <c r="Q41" s="80"/>
      <c r="R41" s="206"/>
      <c r="U41" s="22"/>
    </row>
    <row r="42" spans="1:23" ht="5.0999999999999996" customHeight="1" x14ac:dyDescent="0.2">
      <c r="A42" s="62"/>
      <c r="B42" s="10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80"/>
      <c r="R42" s="206"/>
    </row>
    <row r="43" spans="1:23" ht="12.75" customHeight="1" x14ac:dyDescent="0.2">
      <c r="A43" s="66"/>
      <c r="B43" s="109" t="s">
        <v>53</v>
      </c>
      <c r="C43" s="151">
        <f t="shared" ref="C43:N43" ca="1" si="13">SUM(C41,C33)</f>
        <v>10050</v>
      </c>
      <c r="D43" s="151">
        <f t="shared" ca="1" si="13"/>
        <v>4968</v>
      </c>
      <c r="E43" s="151">
        <f t="shared" ca="1" si="13"/>
        <v>5068</v>
      </c>
      <c r="F43" s="151">
        <f t="shared" ca="1" si="13"/>
        <v>5004</v>
      </c>
      <c r="G43" s="151">
        <f t="shared" ca="1" si="13"/>
        <v>9504</v>
      </c>
      <c r="H43" s="151">
        <f t="shared" ca="1" si="13"/>
        <v>7481</v>
      </c>
      <c r="I43" s="151">
        <f t="shared" ca="1" si="13"/>
        <v>5004</v>
      </c>
      <c r="J43" s="151">
        <f t="shared" ca="1" si="13"/>
        <v>5004</v>
      </c>
      <c r="K43" s="151">
        <f t="shared" ca="1" si="13"/>
        <v>5004</v>
      </c>
      <c r="L43" s="151">
        <f t="shared" ca="1" si="13"/>
        <v>5004</v>
      </c>
      <c r="M43" s="151">
        <f t="shared" ca="1" si="13"/>
        <v>7481</v>
      </c>
      <c r="N43" s="151">
        <f t="shared" ca="1" si="13"/>
        <v>5004</v>
      </c>
      <c r="O43" s="151"/>
      <c r="P43" s="152">
        <f ca="1">SUM(P41,P33)</f>
        <v>74576</v>
      </c>
      <c r="Q43" s="84"/>
      <c r="R43" s="206"/>
      <c r="U43" s="22"/>
    </row>
    <row r="44" spans="1:23" ht="12.75" customHeight="1" x14ac:dyDescent="0.2">
      <c r="A44" s="66"/>
      <c r="B44" s="110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84"/>
      <c r="R44" s="206"/>
      <c r="U44" s="22"/>
    </row>
    <row r="45" spans="1:23" ht="12.75" customHeight="1" x14ac:dyDescent="0.2">
      <c r="A45" s="62"/>
      <c r="B45" s="111" t="s">
        <v>112</v>
      </c>
      <c r="C45" s="234"/>
      <c r="D45" s="234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5"/>
      <c r="Q45" s="80"/>
      <c r="R45" s="206"/>
      <c r="U45" s="22"/>
    </row>
    <row r="46" spans="1:23" ht="12.75" customHeight="1" x14ac:dyDescent="0.2">
      <c r="A46" s="62"/>
      <c r="B46" s="103" t="s">
        <v>61</v>
      </c>
      <c r="C46" s="144" cm="1">
        <f t="array" aca="1" ref="C46" ca="1">_xlfn.LET(
_xlpm.daily,RecurringFactorBased($B46,"Daily",C$4,C$104),
_xlpm.weekdays,RecurringFactorBased($B46,"Weekdays",C$4,C$103),
_xlpm.paydays,RecurringFactorBased($B46,"Paydays",C$4,C$102),
_xlpm.monthly,SUMIFS(Recurring!$D:$D,Recurring!$B:$B,$B46,Recurring!$E:$E,"Monthly",Recurring!$G:$G,"&gt;="&amp;C$4)+SUMIFS(Changes!$F:$F,Changes!$B:$B,$B46,Changes!$D:$D,"&lt;="&amp;C$4,Changes!$E:$E,"Monthly"),
_xlpm.annual,SUMIFS(Recurring!$D:$D,Recurring!$B:$B,$B46,Recurring!$E:$E,"Annual",Recurring!$G:$G,"&gt;="&amp;C$4,Recurring!$G:$G,"&lt;="&amp;EOMONTH(C$4,0))+SUMIFS(Changes!$F:$F,Changes!$B:$B,$B46,Changes!$D:$D,"&lt;="&amp;C$4,Changes!$E:$E,"Annual"),
_xlpm.planned,SUMIFS(Planned!$F:$F,Planned!$B:$B,$B46,Planned!$E:$E,"&gt;="&amp;C$4,Planned!$E:$E,"&lt;="&amp;EOMONTH(C$4,0)),
_xlpm.daily+_xlpm.weekdays+_xlpm.paydays+_xlpm.monthly+_xlpm.annual+_xlpm.planned)</f>
        <v>125</v>
      </c>
      <c r="D46" s="144" cm="1">
        <f t="array" aca="1" ref="D46" ca="1">_xlfn.LET(
_xlpm.daily,RecurringFactorBased($B46,"Daily",D$4,D$104),
_xlpm.weekdays,RecurringFactorBased($B46,"Weekdays",D$4,D$103),
_xlpm.paydays,RecurringFactorBased($B46,"Paydays",D$4,D$102),
_xlpm.monthly,SUMIFS(Recurring!$D:$D,Recurring!$B:$B,$B46,Recurring!$E:$E,"Monthly")+SUMIFS(Changes!$F:$F,Changes!$B:$B,$B46,Changes!$D:$D,"&lt;="&amp;D$4,Changes!$E:$E,"Monthly"),
_xlpm.annual,SUMIFS(Recurring!$D:$D,Recurring!$B:$B,$B46,Recurring!$E:$E,"Annual",Recurring!$G:$G,"&gt;="&amp;D$4,Recurring!$G:$G,"&lt;="&amp;EOMONTH(D$4,0))+SUMIFS(Changes!$F:$F,Changes!$B:$B,$B46,Changes!$D:$D,"&lt;="&amp;D$4,Changes!$E:$E,"Annual"),
_xlpm.planned,SUMIFS(Planned!$F:$F,Planned!$B:$B,$B46,Planned!$E:$E,"&gt;="&amp;D$4,Planned!$E:$E,"&lt;="&amp;EOMONTH(D$4,0)),
_xlpm.daily+_xlpm.weekdays+_xlpm.paydays+_xlpm.monthly+_xlpm.annual+_xlpm.planned)</f>
        <v>1175</v>
      </c>
      <c r="E46" s="144" cm="1">
        <f t="array" aca="1" ref="E46" ca="1">_xlfn.LET(
_xlpm.daily,RecurringFactorBased($B46,"Daily",E$4,E$104),
_xlpm.weekdays,RecurringFactorBased($B46,"Weekdays",E$4,E$103),
_xlpm.paydays,RecurringFactorBased($B46,"Paydays",E$4,E$102),
_xlpm.monthly,SUMIFS(Recurring!$D:$D,Recurring!$B:$B,$B46,Recurring!$E:$E,"Monthly")+SUMIFS(Changes!$F:$F,Changes!$B:$B,$B46,Changes!$D:$D,"&lt;="&amp;E$4,Changes!$E:$E,"Monthly"),
_xlpm.annual,SUMIFS(Recurring!$D:$D,Recurring!$B:$B,$B46,Recurring!$E:$E,"Annual",Recurring!$G:$G,"&gt;="&amp;E$4,Recurring!$G:$G,"&lt;="&amp;EOMONTH(E$4,0))+SUMIFS(Changes!$F:$F,Changes!$B:$B,$B46,Changes!$D:$D,"&lt;="&amp;E$4,Changes!$E:$E,"Annual"),
_xlpm.planned,SUMIFS(Planned!$F:$F,Planned!$B:$B,$B46,Planned!$E:$E,"&gt;="&amp;E$4,Planned!$E:$E,"&lt;="&amp;EOMONTH(E$4,0)),
_xlpm.daily+_xlpm.weekdays+_xlpm.paydays+_xlpm.monthly+_xlpm.annual+_xlpm.planned)</f>
        <v>1175</v>
      </c>
      <c r="F46" s="144" cm="1">
        <f t="array" aca="1" ref="F46" ca="1">_xlfn.LET(
_xlpm.daily,RecurringFactorBased($B46,"Daily",F$4,F$104),
_xlpm.weekdays,RecurringFactorBased($B46,"Weekdays",F$4,F$103),
_xlpm.paydays,RecurringFactorBased($B46,"Paydays",F$4,F$102),
_xlpm.monthly,SUMIFS(Recurring!$D:$D,Recurring!$B:$B,$B46,Recurring!$E:$E,"Monthly")+SUMIFS(Changes!$F:$F,Changes!$B:$B,$B46,Changes!$D:$D,"&lt;="&amp;F$4,Changes!$E:$E,"Monthly"),
_xlpm.annual,SUMIFS(Recurring!$D:$D,Recurring!$B:$B,$B46,Recurring!$E:$E,"Annual",Recurring!$G:$G,"&gt;="&amp;F$4,Recurring!$G:$G,"&lt;="&amp;EOMONTH(F$4,0))+SUMIFS(Changes!$F:$F,Changes!$B:$B,$B46,Changes!$D:$D,"&lt;="&amp;F$4,Changes!$E:$E,"Annual"),
_xlpm.planned,SUMIFS(Planned!$F:$F,Planned!$B:$B,$B46,Planned!$E:$E,"&gt;="&amp;F$4,Planned!$E:$E,"&lt;="&amp;EOMONTH(F$4,0)),
_xlpm.daily+_xlpm.weekdays+_xlpm.paydays+_xlpm.monthly+_xlpm.annual+_xlpm.planned)</f>
        <v>1175</v>
      </c>
      <c r="G46" s="144" cm="1">
        <f t="array" aca="1" ref="G46" ca="1">_xlfn.LET(
_xlpm.daily,RecurringFactorBased($B46,"Daily",G$4,G$104),
_xlpm.weekdays,RecurringFactorBased($B46,"Weekdays",G$4,G$103),
_xlpm.paydays,RecurringFactorBased($B46,"Paydays",G$4,G$102),
_xlpm.monthly,SUMIFS(Recurring!$D:$D,Recurring!$B:$B,$B46,Recurring!$E:$E,"Monthly")+SUMIFS(Changes!$F:$F,Changes!$B:$B,$B46,Changes!$D:$D,"&lt;="&amp;G$4,Changes!$E:$E,"Monthly"),
_xlpm.annual,SUMIFS(Recurring!$D:$D,Recurring!$B:$B,$B46,Recurring!$E:$E,"Annual",Recurring!$G:$G,"&gt;="&amp;G$4,Recurring!$G:$G,"&lt;="&amp;EOMONTH(G$4,0))+SUMIFS(Changes!$F:$F,Changes!$B:$B,$B46,Changes!$D:$D,"&lt;="&amp;G$4,Changes!$E:$E,"Annual"),
_xlpm.planned,SUMIFS(Planned!$F:$F,Planned!$B:$B,$B46,Planned!$E:$E,"&gt;="&amp;G$4,Planned!$E:$E,"&lt;="&amp;EOMONTH(G$4,0)),
_xlpm.daily+_xlpm.weekdays+_xlpm.paydays+_xlpm.monthly+_xlpm.annual+_xlpm.planned)</f>
        <v>1225</v>
      </c>
      <c r="H46" s="144" cm="1">
        <f t="array" aca="1" ref="H46" ca="1">_xlfn.LET(
_xlpm.daily,RecurringFactorBased($B46,"Daily",H$4,H$104),
_xlpm.weekdays,RecurringFactorBased($B46,"Weekdays",H$4,H$103),
_xlpm.paydays,RecurringFactorBased($B46,"Paydays",H$4,H$102),
_xlpm.monthly,SUMIFS(Recurring!$D:$D,Recurring!$B:$B,$B46,Recurring!$E:$E,"Monthly")+SUMIFS(Changes!$F:$F,Changes!$B:$B,$B46,Changes!$D:$D,"&lt;="&amp;H$4,Changes!$E:$E,"Monthly"),
_xlpm.annual,SUMIFS(Recurring!$D:$D,Recurring!$B:$B,$B46,Recurring!$E:$E,"Annual",Recurring!$G:$G,"&gt;="&amp;H$4,Recurring!$G:$G,"&lt;="&amp;EOMONTH(H$4,0))+SUMIFS(Changes!$F:$F,Changes!$B:$B,$B46,Changes!$D:$D,"&lt;="&amp;H$4,Changes!$E:$E,"Annual"),
_xlpm.planned,SUMIFS(Planned!$F:$F,Planned!$B:$B,$B46,Planned!$E:$E,"&gt;="&amp;H$4,Planned!$E:$E,"&lt;="&amp;EOMONTH(H$4,0)),
_xlpm.daily+_xlpm.weekdays+_xlpm.paydays+_xlpm.monthly+_xlpm.annual+_xlpm.planned)</f>
        <v>1225</v>
      </c>
      <c r="I46" s="144" cm="1">
        <f t="array" aca="1" ref="I46" ca="1">_xlfn.LET(
_xlpm.daily,RecurringFactorBased($B46,"Daily",I$4,I$104),
_xlpm.weekdays,RecurringFactorBased($B46,"Weekdays",I$4,I$103),
_xlpm.paydays,RecurringFactorBased($B46,"Paydays",I$4,I$102),
_xlpm.monthly,SUMIFS(Recurring!$D:$D,Recurring!$B:$B,$B46,Recurring!$E:$E,"Monthly")+SUMIFS(Changes!$F:$F,Changes!$B:$B,$B46,Changes!$D:$D,"&lt;="&amp;I$4,Changes!$E:$E,"Monthly"),
_xlpm.annual,SUMIFS(Recurring!$D:$D,Recurring!$B:$B,$B46,Recurring!$E:$E,"Annual",Recurring!$G:$G,"&gt;="&amp;I$4,Recurring!$G:$G,"&lt;="&amp;EOMONTH(I$4,0))+SUMIFS(Changes!$F:$F,Changes!$B:$B,$B46,Changes!$D:$D,"&lt;="&amp;I$4,Changes!$E:$E,"Annual"),
_xlpm.planned,SUMIFS(Planned!$F:$F,Planned!$B:$B,$B46,Planned!$E:$E,"&gt;="&amp;I$4,Planned!$E:$E,"&lt;="&amp;EOMONTH(I$4,0)),
_xlpm.daily+_xlpm.weekdays+_xlpm.paydays+_xlpm.monthly+_xlpm.annual+_xlpm.planned)</f>
        <v>1225</v>
      </c>
      <c r="J46" s="144" cm="1">
        <f t="array" aca="1" ref="J46" ca="1">_xlfn.LET(
_xlpm.daily,RecurringFactorBased($B46,"Daily",J$4,J$104),
_xlpm.weekdays,RecurringFactorBased($B46,"Weekdays",J$4,J$103),
_xlpm.paydays,RecurringFactorBased($B46,"Paydays",J$4,J$102),
_xlpm.monthly,SUMIFS(Recurring!$D:$D,Recurring!$B:$B,$B46,Recurring!$E:$E,"Monthly")+SUMIFS(Changes!$F:$F,Changes!$B:$B,$B46,Changes!$D:$D,"&lt;="&amp;J$4,Changes!$E:$E,"Monthly"),
_xlpm.annual,SUMIFS(Recurring!$D:$D,Recurring!$B:$B,$B46,Recurring!$E:$E,"Annual",Recurring!$G:$G,"&gt;="&amp;J$4,Recurring!$G:$G,"&lt;="&amp;EOMONTH(J$4,0))+SUMIFS(Changes!$F:$F,Changes!$B:$B,$B46,Changes!$D:$D,"&lt;="&amp;J$4,Changes!$E:$E,"Annual"),
_xlpm.planned,SUMIFS(Planned!$F:$F,Planned!$B:$B,$B46,Planned!$E:$E,"&gt;="&amp;J$4,Planned!$E:$E,"&lt;="&amp;EOMONTH(J$4,0)),
_xlpm.daily+_xlpm.weekdays+_xlpm.paydays+_xlpm.monthly+_xlpm.annual+_xlpm.planned)</f>
        <v>1225</v>
      </c>
      <c r="K46" s="144" cm="1">
        <f t="array" aca="1" ref="K46" ca="1">_xlfn.LET(
_xlpm.daily,RecurringFactorBased($B46,"Daily",K$4,K$104),
_xlpm.weekdays,RecurringFactorBased($B46,"Weekdays",K$4,K$103),
_xlpm.paydays,RecurringFactorBased($B46,"Paydays",K$4,K$102),
_xlpm.monthly,SUMIFS(Recurring!$D:$D,Recurring!$B:$B,$B46,Recurring!$E:$E,"Monthly")+SUMIFS(Changes!$F:$F,Changes!$B:$B,$B46,Changes!$D:$D,"&lt;="&amp;K$4,Changes!$E:$E,"Monthly"),
_xlpm.annual,SUMIFS(Recurring!$D:$D,Recurring!$B:$B,$B46,Recurring!$E:$E,"Annual",Recurring!$G:$G,"&gt;="&amp;K$4,Recurring!$G:$G,"&lt;="&amp;EOMONTH(K$4,0))+SUMIFS(Changes!$F:$F,Changes!$B:$B,$B46,Changes!$D:$D,"&lt;="&amp;K$4,Changes!$E:$E,"Annual"),
_xlpm.planned,SUMIFS(Planned!$F:$F,Planned!$B:$B,$B46,Planned!$E:$E,"&gt;="&amp;K$4,Planned!$E:$E,"&lt;="&amp;EOMONTH(K$4,0)),
_xlpm.daily+_xlpm.weekdays+_xlpm.paydays+_xlpm.monthly+_xlpm.annual+_xlpm.planned)</f>
        <v>1225</v>
      </c>
      <c r="L46" s="144" cm="1">
        <f t="array" aca="1" ref="L46" ca="1">_xlfn.LET(
_xlpm.daily,RecurringFactorBased($B46,"Daily",L$4,L$104),
_xlpm.weekdays,RecurringFactorBased($B46,"Weekdays",L$4,L$103),
_xlpm.paydays,RecurringFactorBased($B46,"Paydays",L$4,L$102),
_xlpm.monthly,SUMIFS(Recurring!$D:$D,Recurring!$B:$B,$B46,Recurring!$E:$E,"Monthly")+SUMIFS(Changes!$F:$F,Changes!$B:$B,$B46,Changes!$D:$D,"&lt;="&amp;L$4,Changes!$E:$E,"Monthly"),
_xlpm.annual,SUMIFS(Recurring!$D:$D,Recurring!$B:$B,$B46,Recurring!$E:$E,"Annual",Recurring!$G:$G,"&gt;="&amp;L$4,Recurring!$G:$G,"&lt;="&amp;EOMONTH(L$4,0))+SUMIFS(Changes!$F:$F,Changes!$B:$B,$B46,Changes!$D:$D,"&lt;="&amp;L$4,Changes!$E:$E,"Annual"),
_xlpm.planned,SUMIFS(Planned!$F:$F,Planned!$B:$B,$B46,Planned!$E:$E,"&gt;="&amp;L$4,Planned!$E:$E,"&lt;="&amp;EOMONTH(L$4,0)),
_xlpm.daily+_xlpm.weekdays+_xlpm.paydays+_xlpm.monthly+_xlpm.annual+_xlpm.planned)</f>
        <v>1225</v>
      </c>
      <c r="M46" s="144" cm="1">
        <f t="array" aca="1" ref="M46" ca="1">_xlfn.LET(
_xlpm.daily,RecurringFactorBased($B46,"Daily",M$4,M$104),
_xlpm.weekdays,RecurringFactorBased($B46,"Weekdays",M$4,M$103),
_xlpm.paydays,RecurringFactorBased($B46,"Paydays",M$4,M$102),
_xlpm.monthly,SUMIFS(Recurring!$D:$D,Recurring!$B:$B,$B46,Recurring!$E:$E,"Monthly")+SUMIFS(Changes!$F:$F,Changes!$B:$B,$B46,Changes!$D:$D,"&lt;="&amp;M$4,Changes!$E:$E,"Monthly"),
_xlpm.annual,SUMIFS(Recurring!$D:$D,Recurring!$B:$B,$B46,Recurring!$E:$E,"Annual",Recurring!$G:$G,"&gt;="&amp;M$4,Recurring!$G:$G,"&lt;="&amp;EOMONTH(M$4,0))+SUMIFS(Changes!$F:$F,Changes!$B:$B,$B46,Changes!$D:$D,"&lt;="&amp;M$4,Changes!$E:$E,"Annual"),
_xlpm.planned,SUMIFS(Planned!$F:$F,Planned!$B:$B,$B46,Planned!$E:$E,"&gt;="&amp;M$4,Planned!$E:$E,"&lt;="&amp;EOMONTH(M$4,0)),
_xlpm.daily+_xlpm.weekdays+_xlpm.paydays+_xlpm.monthly+_xlpm.annual+_xlpm.planned)</f>
        <v>1225</v>
      </c>
      <c r="N46" s="144" cm="1">
        <f t="array" aca="1" ref="N46" ca="1">_xlfn.LET(
_xlpm.daily,RecurringFactorBased($B46,"Daily",N$4,N$104),
_xlpm.weekdays,RecurringFactorBased($B46,"Weekdays",N$4,N$103),
_xlpm.paydays,RecurringFactorBased($B46,"Paydays",N$4,N$102),
_xlpm.monthly,SUMIFS(Recurring!$D:$D,Recurring!$B:$B,$B46,Recurring!$E:$E,"Monthly")+SUMIFS(Changes!$F:$F,Changes!$B:$B,$B46,Changes!$D:$D,"&lt;="&amp;N$4,Changes!$E:$E,"Monthly"),
_xlpm.annual,SUMIFS(Recurring!$D:$D,Recurring!$B:$B,$B46,Recurring!$E:$E,"Annual",Recurring!$G:$G,"&gt;="&amp;N$4,Recurring!$G:$G,"&lt;="&amp;EOMONTH(N$4,0))+SUMIFS(Changes!$F:$F,Changes!$B:$B,$B46,Changes!$D:$D,"&lt;="&amp;N$4,Changes!$E:$E,"Annual"),
_xlpm.planned,SUMIFS(Planned!$F:$F,Planned!$B:$B,$B46,Planned!$E:$E,"&gt;="&amp;N$4,Planned!$E:$E,"&lt;="&amp;EOMONTH(N$4,0)),
_xlpm.daily+_xlpm.weekdays+_xlpm.paydays+_xlpm.monthly+_xlpm.annual+_xlpm.planned)</f>
        <v>1225</v>
      </c>
      <c r="O46" s="134"/>
      <c r="P46" s="145">
        <f ca="1">SUM(C46:N46)</f>
        <v>13450</v>
      </c>
      <c r="Q46" s="80"/>
      <c r="R46" s="206"/>
      <c r="U46" s="22"/>
    </row>
    <row r="47" spans="1:23" ht="12.75" customHeight="1" x14ac:dyDescent="0.2">
      <c r="A47" s="64"/>
      <c r="B47" s="103" t="s">
        <v>47</v>
      </c>
      <c r="C47" s="144" cm="1">
        <f t="array" aca="1" ref="C47" ca="1">_xlfn.LET(
_xlpm.daily,RecurringFactorBased($B47,"Daily",C$4,C$104),
_xlpm.weekdays,RecurringFactorBased($B47,"Weekdays",C$4,C$103),
_xlpm.paydays,RecurringFactorBased($B47,"Paydays",C$4,C$102),
_xlpm.monthly,SUMIFS(Recurring!$D:$D,Recurring!$B:$B,$B47,Recurring!$E:$E,"Monthly",Recurring!$G:$G,"&gt;="&amp;C$4)+SUMIFS(Changes!$F:$F,Changes!$B:$B,$B47,Changes!$D:$D,"&lt;="&amp;C$4,Changes!$E:$E,"Monthly"),
_xlpm.annual,SUMIFS(Recurring!$D:$D,Recurring!$B:$B,$B47,Recurring!$E:$E,"Annual",Recurring!$G:$G,"&gt;="&amp;C$4,Recurring!$G:$G,"&lt;="&amp;EOMONTH(C$4,0))+SUMIFS(Changes!$F:$F,Changes!$B:$B,$B47,Changes!$D:$D,"&lt;="&amp;C$4,Changes!$E:$E,"Annual"),
_xlpm.planned,SUMIFS(Planned!$F:$F,Planned!$B:$B,$B47,Planned!$E:$E,"&gt;="&amp;C$4,Planned!$E:$E,"&lt;="&amp;EOMONTH(C$4,0)),
_xlpm.daily+_xlpm.weekdays+_xlpm.paydays+_xlpm.monthly+_xlpm.annual+_xlpm.planned)</f>
        <v>20</v>
      </c>
      <c r="D47" s="144" cm="1">
        <f t="array" aca="1" ref="D47" ca="1">_xlfn.LET(
_xlpm.daily,RecurringFactorBased($B47,"Daily",D$4,D$104),
_xlpm.weekdays,RecurringFactorBased($B47,"Weekdays",D$4,D$103),
_xlpm.paydays,RecurringFactorBased($B47,"Paydays",D$4,D$102),
_xlpm.monthly,SUMIFS(Recurring!$D:$D,Recurring!$B:$B,$B47,Recurring!$E:$E,"Monthly")+SUMIFS(Changes!$F:$F,Changes!$B:$B,$B47,Changes!$D:$D,"&lt;="&amp;D$4,Changes!$E:$E,"Monthly"),
_xlpm.annual,SUMIFS(Recurring!$D:$D,Recurring!$B:$B,$B47,Recurring!$E:$E,"Annual",Recurring!$G:$G,"&gt;="&amp;D$4,Recurring!$G:$G,"&lt;="&amp;EOMONTH(D$4,0))+SUMIFS(Changes!$F:$F,Changes!$B:$B,$B47,Changes!$D:$D,"&lt;="&amp;D$4,Changes!$E:$E,"Annual"),
_xlpm.planned,SUMIFS(Planned!$F:$F,Planned!$B:$B,$B47,Planned!$E:$E,"&gt;="&amp;D$4,Planned!$E:$E,"&lt;="&amp;EOMONTH(D$4,0)),
_xlpm.daily+_xlpm.weekdays+_xlpm.paydays+_xlpm.monthly+_xlpm.annual+_xlpm.planned)</f>
        <v>150</v>
      </c>
      <c r="E47" s="144" cm="1">
        <f t="array" aca="1" ref="E47" ca="1">_xlfn.LET(
_xlpm.daily,RecurringFactorBased($B47,"Daily",E$4,E$104),
_xlpm.weekdays,RecurringFactorBased($B47,"Weekdays",E$4,E$103),
_xlpm.paydays,RecurringFactorBased($B47,"Paydays",E$4,E$102),
_xlpm.monthly,SUMIFS(Recurring!$D:$D,Recurring!$B:$B,$B47,Recurring!$E:$E,"Monthly")+SUMIFS(Changes!$F:$F,Changes!$B:$B,$B47,Changes!$D:$D,"&lt;="&amp;E$4,Changes!$E:$E,"Monthly"),
_xlpm.annual,SUMIFS(Recurring!$D:$D,Recurring!$B:$B,$B47,Recurring!$E:$E,"Annual",Recurring!$G:$G,"&gt;="&amp;E$4,Recurring!$G:$G,"&lt;="&amp;EOMONTH(E$4,0))+SUMIFS(Changes!$F:$F,Changes!$B:$B,$B47,Changes!$D:$D,"&lt;="&amp;E$4,Changes!$E:$E,"Annual"),
_xlpm.planned,SUMIFS(Planned!$F:$F,Planned!$B:$B,$B47,Planned!$E:$E,"&gt;="&amp;E$4,Planned!$E:$E,"&lt;="&amp;EOMONTH(E$4,0)),
_xlpm.daily+_xlpm.weekdays+_xlpm.paydays+_xlpm.monthly+_xlpm.annual+_xlpm.planned)</f>
        <v>135</v>
      </c>
      <c r="F47" s="144" cm="1">
        <f t="array" aca="1" ref="F47" ca="1">_xlfn.LET(
_xlpm.daily,RecurringFactorBased($B47,"Daily",F$4,F$104),
_xlpm.weekdays,RecurringFactorBased($B47,"Weekdays",F$4,F$103),
_xlpm.paydays,RecurringFactorBased($B47,"Paydays",F$4,F$102),
_xlpm.monthly,SUMIFS(Recurring!$D:$D,Recurring!$B:$B,$B47,Recurring!$E:$E,"Monthly")+SUMIFS(Changes!$F:$F,Changes!$B:$B,$B47,Changes!$D:$D,"&lt;="&amp;F$4,Changes!$E:$E,"Monthly"),
_xlpm.annual,SUMIFS(Recurring!$D:$D,Recurring!$B:$B,$B47,Recurring!$E:$E,"Annual",Recurring!$G:$G,"&gt;="&amp;F$4,Recurring!$G:$G,"&lt;="&amp;EOMONTH(F$4,0))+SUMIFS(Changes!$F:$F,Changes!$B:$B,$B47,Changes!$D:$D,"&lt;="&amp;F$4,Changes!$E:$E,"Annual"),
_xlpm.planned,SUMIFS(Planned!$F:$F,Planned!$B:$B,$B47,Planned!$E:$E,"&gt;="&amp;F$4,Planned!$E:$E,"&lt;="&amp;EOMONTH(F$4,0)),
_xlpm.daily+_xlpm.weekdays+_xlpm.paydays+_xlpm.monthly+_xlpm.annual+_xlpm.planned)</f>
        <v>150</v>
      </c>
      <c r="G47" s="144" cm="1">
        <f t="array" aca="1" ref="G47" ca="1">_xlfn.LET(
_xlpm.daily,RecurringFactorBased($B47,"Daily",G$4,G$104),
_xlpm.weekdays,RecurringFactorBased($B47,"Weekdays",G$4,G$103),
_xlpm.paydays,RecurringFactorBased($B47,"Paydays",G$4,G$102),
_xlpm.monthly,SUMIFS(Recurring!$D:$D,Recurring!$B:$B,$B47,Recurring!$E:$E,"Monthly")+SUMIFS(Changes!$F:$F,Changes!$B:$B,$B47,Changes!$D:$D,"&lt;="&amp;G$4,Changes!$E:$E,"Monthly"),
_xlpm.annual,SUMIFS(Recurring!$D:$D,Recurring!$B:$B,$B47,Recurring!$E:$E,"Annual",Recurring!$G:$G,"&gt;="&amp;G$4,Recurring!$G:$G,"&lt;="&amp;EOMONTH(G$4,0))+SUMIFS(Changes!$F:$F,Changes!$B:$B,$B47,Changes!$D:$D,"&lt;="&amp;G$4,Changes!$E:$E,"Annual"),
_xlpm.planned,SUMIFS(Planned!$F:$F,Planned!$B:$B,$B47,Planned!$E:$E,"&gt;="&amp;G$4,Planned!$E:$E,"&lt;="&amp;EOMONTH(G$4,0)),
_xlpm.daily+_xlpm.weekdays+_xlpm.paydays+_xlpm.monthly+_xlpm.annual+_xlpm.planned)</f>
        <v>145</v>
      </c>
      <c r="H47" s="144" cm="1">
        <f t="array" aca="1" ref="H47" ca="1">_xlfn.LET(
_xlpm.daily,RecurringFactorBased($B47,"Daily",H$4,H$104),
_xlpm.weekdays,RecurringFactorBased($B47,"Weekdays",H$4,H$103),
_xlpm.paydays,RecurringFactorBased($B47,"Paydays",H$4,H$102),
_xlpm.monthly,SUMIFS(Recurring!$D:$D,Recurring!$B:$B,$B47,Recurring!$E:$E,"Monthly")+SUMIFS(Changes!$F:$F,Changes!$B:$B,$B47,Changes!$D:$D,"&lt;="&amp;H$4,Changes!$E:$E,"Monthly"),
_xlpm.annual,SUMIFS(Recurring!$D:$D,Recurring!$B:$B,$B47,Recurring!$E:$E,"Annual",Recurring!$G:$G,"&gt;="&amp;H$4,Recurring!$G:$G,"&lt;="&amp;EOMONTH(H$4,0))+SUMIFS(Changes!$F:$F,Changes!$B:$B,$B47,Changes!$D:$D,"&lt;="&amp;H$4,Changes!$E:$E,"Annual"),
_xlpm.planned,SUMIFS(Planned!$F:$F,Planned!$B:$B,$B47,Planned!$E:$E,"&gt;="&amp;H$4,Planned!$E:$E,"&lt;="&amp;EOMONTH(H$4,0)),
_xlpm.daily+_xlpm.weekdays+_xlpm.paydays+_xlpm.monthly+_xlpm.annual+_xlpm.planned)</f>
        <v>150</v>
      </c>
      <c r="I47" s="144" cm="1">
        <f t="array" aca="1" ref="I47" ca="1">_xlfn.LET(
_xlpm.daily,RecurringFactorBased($B47,"Daily",I$4,I$104),
_xlpm.weekdays,RecurringFactorBased($B47,"Weekdays",I$4,I$103),
_xlpm.paydays,RecurringFactorBased($B47,"Paydays",I$4,I$102),
_xlpm.monthly,SUMIFS(Recurring!$D:$D,Recurring!$B:$B,$B47,Recurring!$E:$E,"Monthly")+SUMIFS(Changes!$F:$F,Changes!$B:$B,$B47,Changes!$D:$D,"&lt;="&amp;I$4,Changes!$E:$E,"Monthly"),
_xlpm.annual,SUMIFS(Recurring!$D:$D,Recurring!$B:$B,$B47,Recurring!$E:$E,"Annual",Recurring!$G:$G,"&gt;="&amp;I$4,Recurring!$G:$G,"&lt;="&amp;EOMONTH(I$4,0))+SUMIFS(Changes!$F:$F,Changes!$B:$B,$B47,Changes!$D:$D,"&lt;="&amp;I$4,Changes!$E:$E,"Annual"),
_xlpm.planned,SUMIFS(Planned!$F:$F,Planned!$B:$B,$B47,Planned!$E:$E,"&gt;="&amp;I$4,Planned!$E:$E,"&lt;="&amp;EOMONTH(I$4,0)),
_xlpm.daily+_xlpm.weekdays+_xlpm.paydays+_xlpm.monthly+_xlpm.annual+_xlpm.planned)</f>
        <v>145</v>
      </c>
      <c r="J47" s="144" cm="1">
        <f t="array" aca="1" ref="J47" ca="1">_xlfn.LET(
_xlpm.daily,RecurringFactorBased($B47,"Daily",J$4,J$104),
_xlpm.weekdays,RecurringFactorBased($B47,"Weekdays",J$4,J$103),
_xlpm.paydays,RecurringFactorBased($B47,"Paydays",J$4,J$102),
_xlpm.monthly,SUMIFS(Recurring!$D:$D,Recurring!$B:$B,$B47,Recurring!$E:$E,"Monthly")+SUMIFS(Changes!$F:$F,Changes!$B:$B,$B47,Changes!$D:$D,"&lt;="&amp;J$4,Changes!$E:$E,"Monthly"),
_xlpm.annual,SUMIFS(Recurring!$D:$D,Recurring!$B:$B,$B47,Recurring!$E:$E,"Annual",Recurring!$G:$G,"&gt;="&amp;J$4,Recurring!$G:$G,"&lt;="&amp;EOMONTH(J$4,0))+SUMIFS(Changes!$F:$F,Changes!$B:$B,$B47,Changes!$D:$D,"&lt;="&amp;J$4,Changes!$E:$E,"Annual"),
_xlpm.planned,SUMIFS(Planned!$F:$F,Planned!$B:$B,$B47,Planned!$E:$E,"&gt;="&amp;J$4,Planned!$E:$E,"&lt;="&amp;EOMONTH(J$4,0)),
_xlpm.daily+_xlpm.weekdays+_xlpm.paydays+_xlpm.monthly+_xlpm.annual+_xlpm.planned)</f>
        <v>150</v>
      </c>
      <c r="K47" s="144" cm="1">
        <f t="array" aca="1" ref="K47" ca="1">_xlfn.LET(
_xlpm.daily,RecurringFactorBased($B47,"Daily",K$4,K$104),
_xlpm.weekdays,RecurringFactorBased($B47,"Weekdays",K$4,K$103),
_xlpm.paydays,RecurringFactorBased($B47,"Paydays",K$4,K$102),
_xlpm.monthly,SUMIFS(Recurring!$D:$D,Recurring!$B:$B,$B47,Recurring!$E:$E,"Monthly")+SUMIFS(Changes!$F:$F,Changes!$B:$B,$B47,Changes!$D:$D,"&lt;="&amp;K$4,Changes!$E:$E,"Monthly"),
_xlpm.annual,SUMIFS(Recurring!$D:$D,Recurring!$B:$B,$B47,Recurring!$E:$E,"Annual",Recurring!$G:$G,"&gt;="&amp;K$4,Recurring!$G:$G,"&lt;="&amp;EOMONTH(K$4,0))+SUMIFS(Changes!$F:$F,Changes!$B:$B,$B47,Changes!$D:$D,"&lt;="&amp;K$4,Changes!$E:$E,"Annual"),
_xlpm.planned,SUMIFS(Planned!$F:$F,Planned!$B:$B,$B47,Planned!$E:$E,"&gt;="&amp;K$4,Planned!$E:$E,"&lt;="&amp;EOMONTH(K$4,0)),
_xlpm.daily+_xlpm.weekdays+_xlpm.paydays+_xlpm.monthly+_xlpm.annual+_xlpm.planned)</f>
        <v>150</v>
      </c>
      <c r="L47" s="144" cm="1">
        <f t="array" aca="1" ref="L47" ca="1">_xlfn.LET(
_xlpm.daily,RecurringFactorBased($B47,"Daily",L$4,L$104),
_xlpm.weekdays,RecurringFactorBased($B47,"Weekdays",L$4,L$103),
_xlpm.paydays,RecurringFactorBased($B47,"Paydays",L$4,L$102),
_xlpm.monthly,SUMIFS(Recurring!$D:$D,Recurring!$B:$B,$B47,Recurring!$E:$E,"Monthly")+SUMIFS(Changes!$F:$F,Changes!$B:$B,$B47,Changes!$D:$D,"&lt;="&amp;L$4,Changes!$E:$E,"Monthly"),
_xlpm.annual,SUMIFS(Recurring!$D:$D,Recurring!$B:$B,$B47,Recurring!$E:$E,"Annual",Recurring!$G:$G,"&gt;="&amp;L$4,Recurring!$G:$G,"&lt;="&amp;EOMONTH(L$4,0))+SUMIFS(Changes!$F:$F,Changes!$B:$B,$B47,Changes!$D:$D,"&lt;="&amp;L$4,Changes!$E:$E,"Annual"),
_xlpm.planned,SUMIFS(Planned!$F:$F,Planned!$B:$B,$B47,Planned!$E:$E,"&gt;="&amp;L$4,Planned!$E:$E,"&lt;="&amp;EOMONTH(L$4,0)),
_xlpm.daily+_xlpm.weekdays+_xlpm.paydays+_xlpm.monthly+_xlpm.annual+_xlpm.planned)</f>
        <v>145</v>
      </c>
      <c r="M47" s="144" cm="1">
        <f t="array" aca="1" ref="M47" ca="1">_xlfn.LET(
_xlpm.daily,RecurringFactorBased($B47,"Daily",M$4,M$104),
_xlpm.weekdays,RecurringFactorBased($B47,"Weekdays",M$4,M$103),
_xlpm.paydays,RecurringFactorBased($B47,"Paydays",M$4,M$102),
_xlpm.monthly,SUMIFS(Recurring!$D:$D,Recurring!$B:$B,$B47,Recurring!$E:$E,"Monthly")+SUMIFS(Changes!$F:$F,Changes!$B:$B,$B47,Changes!$D:$D,"&lt;="&amp;M$4,Changes!$E:$E,"Monthly"),
_xlpm.annual,SUMIFS(Recurring!$D:$D,Recurring!$B:$B,$B47,Recurring!$E:$E,"Annual",Recurring!$G:$G,"&gt;="&amp;M$4,Recurring!$G:$G,"&lt;="&amp;EOMONTH(M$4,0))+SUMIFS(Changes!$F:$F,Changes!$B:$B,$B47,Changes!$D:$D,"&lt;="&amp;M$4,Changes!$E:$E,"Annual"),
_xlpm.planned,SUMIFS(Planned!$F:$F,Planned!$B:$B,$B47,Planned!$E:$E,"&gt;="&amp;M$4,Planned!$E:$E,"&lt;="&amp;EOMONTH(M$4,0)),
_xlpm.daily+_xlpm.weekdays+_xlpm.paydays+_xlpm.monthly+_xlpm.annual+_xlpm.planned)</f>
        <v>150</v>
      </c>
      <c r="N47" s="144" cm="1">
        <f t="array" aca="1" ref="N47" ca="1">_xlfn.LET(
_xlpm.daily,RecurringFactorBased($B47,"Daily",N$4,N$104),
_xlpm.weekdays,RecurringFactorBased($B47,"Weekdays",N$4,N$103),
_xlpm.paydays,RecurringFactorBased($B47,"Paydays",N$4,N$102),
_xlpm.monthly,SUMIFS(Recurring!$D:$D,Recurring!$B:$B,$B47,Recurring!$E:$E,"Monthly")+SUMIFS(Changes!$F:$F,Changes!$B:$B,$B47,Changes!$D:$D,"&lt;="&amp;N$4,Changes!$E:$E,"Monthly"),
_xlpm.annual,SUMIFS(Recurring!$D:$D,Recurring!$B:$B,$B47,Recurring!$E:$E,"Annual",Recurring!$G:$G,"&gt;="&amp;N$4,Recurring!$G:$G,"&lt;="&amp;EOMONTH(N$4,0))+SUMIFS(Changes!$F:$F,Changes!$B:$B,$B47,Changes!$D:$D,"&lt;="&amp;N$4,Changes!$E:$E,"Annual"),
_xlpm.planned,SUMIFS(Planned!$F:$F,Planned!$B:$B,$B47,Planned!$E:$E,"&gt;="&amp;N$4,Planned!$E:$E,"&lt;="&amp;EOMONTH(N$4,0)),
_xlpm.daily+_xlpm.weekdays+_xlpm.paydays+_xlpm.monthly+_xlpm.annual+_xlpm.planned)</f>
        <v>145</v>
      </c>
      <c r="O47" s="134"/>
      <c r="P47" s="145">
        <f ca="1">SUM(C47:N47)</f>
        <v>1635</v>
      </c>
      <c r="Q47" s="81"/>
      <c r="R47" s="206"/>
      <c r="U47" s="22"/>
    </row>
    <row r="48" spans="1:23" ht="12.75" customHeight="1" x14ac:dyDescent="0.2">
      <c r="A48" s="62"/>
      <c r="B48" s="112" t="s">
        <v>21</v>
      </c>
      <c r="C48" s="144" cm="1">
        <f t="array" aca="1" ref="C48" ca="1">_xlfn.LET(
_xlpm.daily,RecurringFactorBased($B48,"Daily",C$4,C$104),
_xlpm.weekdays,RecurringFactorBased($B48,"Weekdays",C$4,C$103),
_xlpm.paydays,RecurringFactorBased($B48,"Paydays",C$4,C$102),
_xlpm.monthly,SUMIFS(Recurring!$D:$D,Recurring!$B:$B,$B48,Recurring!$E:$E,"Monthly",Recurring!$G:$G,"&gt;="&amp;C$4)+SUMIFS(Changes!$F:$F,Changes!$B:$B,$B48,Changes!$D:$D,"&lt;="&amp;C$4,Changes!$E:$E,"Monthly"),
_xlpm.annual,SUMIFS(Recurring!$D:$D,Recurring!$B:$B,$B48,Recurring!$E:$E,"Annual",Recurring!$G:$G,"&gt;="&amp;C$4,Recurring!$G:$G,"&lt;="&amp;EOMONTH(C$4,0))+SUMIFS(Changes!$F:$F,Changes!$B:$B,$B48,Changes!$D:$D,"&lt;="&amp;C$4,Changes!$E:$E,"Annual"),
_xlpm.planned,SUMIFS(Planned!$F:$F,Planned!$B:$B,$B48,Planned!$E:$E,"&gt;="&amp;C$4,Planned!$E:$E,"&lt;="&amp;EOMONTH(C$4,0)),
_xlpm.daily+_xlpm.weekdays+_xlpm.paydays+_xlpm.monthly+_xlpm.annual+_xlpm.planned)</f>
        <v>0</v>
      </c>
      <c r="D48" s="144" cm="1">
        <f t="array" aca="1" ref="D48" ca="1">_xlfn.LET(
_xlpm.daily,RecurringFactorBased($B48,"Daily",D$4,D$104),
_xlpm.weekdays,RecurringFactorBased($B48,"Weekdays",D$4,D$103),
_xlpm.paydays,RecurringFactorBased($B48,"Paydays",D$4,D$102),
_xlpm.monthly,SUMIFS(Recurring!$D:$D,Recurring!$B:$B,$B48,Recurring!$E:$E,"Monthly")+SUMIFS(Changes!$F:$F,Changes!$B:$B,$B48,Changes!$D:$D,"&lt;="&amp;D$4,Changes!$E:$E,"Monthly"),
_xlpm.annual,SUMIFS(Recurring!$D:$D,Recurring!$B:$B,$B48,Recurring!$E:$E,"Annual",Recurring!$G:$G,"&gt;="&amp;D$4,Recurring!$G:$G,"&lt;="&amp;EOMONTH(D$4,0))+SUMIFS(Changes!$F:$F,Changes!$B:$B,$B48,Changes!$D:$D,"&lt;="&amp;D$4,Changes!$E:$E,"Annual"),
_xlpm.planned,SUMIFS(Planned!$F:$F,Planned!$B:$B,$B48,Planned!$E:$E,"&gt;="&amp;D$4,Planned!$E:$E,"&lt;="&amp;EOMONTH(D$4,0)),
_xlpm.daily+_xlpm.weekdays+_xlpm.paydays+_xlpm.monthly+_xlpm.annual+_xlpm.planned)</f>
        <v>50</v>
      </c>
      <c r="E48" s="144" cm="1">
        <f t="array" aca="1" ref="E48" ca="1">_xlfn.LET(
_xlpm.daily,RecurringFactorBased($B48,"Daily",E$4,E$104),
_xlpm.weekdays,RecurringFactorBased($B48,"Weekdays",E$4,E$103),
_xlpm.paydays,RecurringFactorBased($B48,"Paydays",E$4,E$102),
_xlpm.monthly,SUMIFS(Recurring!$D:$D,Recurring!$B:$B,$B48,Recurring!$E:$E,"Monthly")+SUMIFS(Changes!$F:$F,Changes!$B:$B,$B48,Changes!$D:$D,"&lt;="&amp;E$4,Changes!$E:$E,"Monthly"),
_xlpm.annual,SUMIFS(Recurring!$D:$D,Recurring!$B:$B,$B48,Recurring!$E:$E,"Annual",Recurring!$G:$G,"&gt;="&amp;E$4,Recurring!$G:$G,"&lt;="&amp;EOMONTH(E$4,0))+SUMIFS(Changes!$F:$F,Changes!$B:$B,$B48,Changes!$D:$D,"&lt;="&amp;E$4,Changes!$E:$E,"Annual"),
_xlpm.planned,SUMIFS(Planned!$F:$F,Planned!$B:$B,$B48,Planned!$E:$E,"&gt;="&amp;E$4,Planned!$E:$E,"&lt;="&amp;EOMONTH(E$4,0)),
_xlpm.daily+_xlpm.weekdays+_xlpm.paydays+_xlpm.monthly+_xlpm.annual+_xlpm.planned)</f>
        <v>50</v>
      </c>
      <c r="F48" s="144" cm="1">
        <f t="array" aca="1" ref="F48" ca="1">_xlfn.LET(
_xlpm.daily,RecurringFactorBased($B48,"Daily",F$4,F$104),
_xlpm.weekdays,RecurringFactorBased($B48,"Weekdays",F$4,F$103),
_xlpm.paydays,RecurringFactorBased($B48,"Paydays",F$4,F$102),
_xlpm.monthly,SUMIFS(Recurring!$D:$D,Recurring!$B:$B,$B48,Recurring!$E:$E,"Monthly")+SUMIFS(Changes!$F:$F,Changes!$B:$B,$B48,Changes!$D:$D,"&lt;="&amp;F$4,Changes!$E:$E,"Monthly"),
_xlpm.annual,SUMIFS(Recurring!$D:$D,Recurring!$B:$B,$B48,Recurring!$E:$E,"Annual",Recurring!$G:$G,"&gt;="&amp;F$4,Recurring!$G:$G,"&lt;="&amp;EOMONTH(F$4,0))+SUMIFS(Changes!$F:$F,Changes!$B:$B,$B48,Changes!$D:$D,"&lt;="&amp;F$4,Changes!$E:$E,"Annual"),
_xlpm.planned,SUMIFS(Planned!$F:$F,Planned!$B:$B,$B48,Planned!$E:$E,"&gt;="&amp;F$4,Planned!$E:$E,"&lt;="&amp;EOMONTH(F$4,0)),
_xlpm.daily+_xlpm.weekdays+_xlpm.paydays+_xlpm.monthly+_xlpm.annual+_xlpm.planned)</f>
        <v>50</v>
      </c>
      <c r="G48" s="144" cm="1">
        <f t="array" aca="1" ref="G48" ca="1">_xlfn.LET(
_xlpm.daily,RecurringFactorBased($B48,"Daily",G$4,G$104),
_xlpm.weekdays,RecurringFactorBased($B48,"Weekdays",G$4,G$103),
_xlpm.paydays,RecurringFactorBased($B48,"Paydays",G$4,G$102),
_xlpm.monthly,SUMIFS(Recurring!$D:$D,Recurring!$B:$B,$B48,Recurring!$E:$E,"Monthly")+SUMIFS(Changes!$F:$F,Changes!$B:$B,$B48,Changes!$D:$D,"&lt;="&amp;G$4,Changes!$E:$E,"Monthly"),
_xlpm.annual,SUMIFS(Recurring!$D:$D,Recurring!$B:$B,$B48,Recurring!$E:$E,"Annual",Recurring!$G:$G,"&gt;="&amp;G$4,Recurring!$G:$G,"&lt;="&amp;EOMONTH(G$4,0))+SUMIFS(Changes!$F:$F,Changes!$B:$B,$B48,Changes!$D:$D,"&lt;="&amp;G$4,Changes!$E:$E,"Annual"),
_xlpm.planned,SUMIFS(Planned!$F:$F,Planned!$B:$B,$B48,Planned!$E:$E,"&gt;="&amp;G$4,Planned!$E:$E,"&lt;="&amp;EOMONTH(G$4,0)),
_xlpm.daily+_xlpm.weekdays+_xlpm.paydays+_xlpm.monthly+_xlpm.annual+_xlpm.planned)</f>
        <v>50</v>
      </c>
      <c r="H48" s="144" cm="1">
        <f t="array" aca="1" ref="H48" ca="1">_xlfn.LET(
_xlpm.daily,RecurringFactorBased($B48,"Daily",H$4,H$104),
_xlpm.weekdays,RecurringFactorBased($B48,"Weekdays",H$4,H$103),
_xlpm.paydays,RecurringFactorBased($B48,"Paydays",H$4,H$102),
_xlpm.monthly,SUMIFS(Recurring!$D:$D,Recurring!$B:$B,$B48,Recurring!$E:$E,"Monthly")+SUMIFS(Changes!$F:$F,Changes!$B:$B,$B48,Changes!$D:$D,"&lt;="&amp;H$4,Changes!$E:$E,"Monthly"),
_xlpm.annual,SUMIFS(Recurring!$D:$D,Recurring!$B:$B,$B48,Recurring!$E:$E,"Annual",Recurring!$G:$G,"&gt;="&amp;H$4,Recurring!$G:$G,"&lt;="&amp;EOMONTH(H$4,0))+SUMIFS(Changes!$F:$F,Changes!$B:$B,$B48,Changes!$D:$D,"&lt;="&amp;H$4,Changes!$E:$E,"Annual"),
_xlpm.planned,SUMIFS(Planned!$F:$F,Planned!$B:$B,$B48,Planned!$E:$E,"&gt;="&amp;H$4,Planned!$E:$E,"&lt;="&amp;EOMONTH(H$4,0)),
_xlpm.daily+_xlpm.weekdays+_xlpm.paydays+_xlpm.monthly+_xlpm.annual+_xlpm.planned)</f>
        <v>50</v>
      </c>
      <c r="I48" s="144" cm="1">
        <f t="array" aca="1" ref="I48" ca="1">_xlfn.LET(
_xlpm.daily,RecurringFactorBased($B48,"Daily",I$4,I$104),
_xlpm.weekdays,RecurringFactorBased($B48,"Weekdays",I$4,I$103),
_xlpm.paydays,RecurringFactorBased($B48,"Paydays",I$4,I$102),
_xlpm.monthly,SUMIFS(Recurring!$D:$D,Recurring!$B:$B,$B48,Recurring!$E:$E,"Monthly")+SUMIFS(Changes!$F:$F,Changes!$B:$B,$B48,Changes!$D:$D,"&lt;="&amp;I$4,Changes!$E:$E,"Monthly"),
_xlpm.annual,SUMIFS(Recurring!$D:$D,Recurring!$B:$B,$B48,Recurring!$E:$E,"Annual",Recurring!$G:$G,"&gt;="&amp;I$4,Recurring!$G:$G,"&lt;="&amp;EOMONTH(I$4,0))+SUMIFS(Changes!$F:$F,Changes!$B:$B,$B48,Changes!$D:$D,"&lt;="&amp;I$4,Changes!$E:$E,"Annual"),
_xlpm.planned,SUMIFS(Planned!$F:$F,Planned!$B:$B,$B48,Planned!$E:$E,"&gt;="&amp;I$4,Planned!$E:$E,"&lt;="&amp;EOMONTH(I$4,0)),
_xlpm.daily+_xlpm.weekdays+_xlpm.paydays+_xlpm.monthly+_xlpm.annual+_xlpm.planned)</f>
        <v>50</v>
      </c>
      <c r="J48" s="144" cm="1">
        <f t="array" aca="1" ref="J48" ca="1">_xlfn.LET(
_xlpm.daily,RecurringFactorBased($B48,"Daily",J$4,J$104),
_xlpm.weekdays,RecurringFactorBased($B48,"Weekdays",J$4,J$103),
_xlpm.paydays,RecurringFactorBased($B48,"Paydays",J$4,J$102),
_xlpm.monthly,SUMIFS(Recurring!$D:$D,Recurring!$B:$B,$B48,Recurring!$E:$E,"Monthly")+SUMIFS(Changes!$F:$F,Changes!$B:$B,$B48,Changes!$D:$D,"&lt;="&amp;J$4,Changes!$E:$E,"Monthly"),
_xlpm.annual,SUMIFS(Recurring!$D:$D,Recurring!$B:$B,$B48,Recurring!$E:$E,"Annual",Recurring!$G:$G,"&gt;="&amp;J$4,Recurring!$G:$G,"&lt;="&amp;EOMONTH(J$4,0))+SUMIFS(Changes!$F:$F,Changes!$B:$B,$B48,Changes!$D:$D,"&lt;="&amp;J$4,Changes!$E:$E,"Annual"),
_xlpm.planned,SUMIFS(Planned!$F:$F,Planned!$B:$B,$B48,Planned!$E:$E,"&gt;="&amp;J$4,Planned!$E:$E,"&lt;="&amp;EOMONTH(J$4,0)),
_xlpm.daily+_xlpm.weekdays+_xlpm.paydays+_xlpm.monthly+_xlpm.annual+_xlpm.planned)</f>
        <v>50</v>
      </c>
      <c r="K48" s="144" cm="1">
        <f t="array" aca="1" ref="K48" ca="1">_xlfn.LET(
_xlpm.daily,RecurringFactorBased($B48,"Daily",K$4,K$104),
_xlpm.weekdays,RecurringFactorBased($B48,"Weekdays",K$4,K$103),
_xlpm.paydays,RecurringFactorBased($B48,"Paydays",K$4,K$102),
_xlpm.monthly,SUMIFS(Recurring!$D:$D,Recurring!$B:$B,$B48,Recurring!$E:$E,"Monthly")+SUMIFS(Changes!$F:$F,Changes!$B:$B,$B48,Changes!$D:$D,"&lt;="&amp;K$4,Changes!$E:$E,"Monthly"),
_xlpm.annual,SUMIFS(Recurring!$D:$D,Recurring!$B:$B,$B48,Recurring!$E:$E,"Annual",Recurring!$G:$G,"&gt;="&amp;K$4,Recurring!$G:$G,"&lt;="&amp;EOMONTH(K$4,0))+SUMIFS(Changes!$F:$F,Changes!$B:$B,$B48,Changes!$D:$D,"&lt;="&amp;K$4,Changes!$E:$E,"Annual"),
_xlpm.planned,SUMIFS(Planned!$F:$F,Planned!$B:$B,$B48,Planned!$E:$E,"&gt;="&amp;K$4,Planned!$E:$E,"&lt;="&amp;EOMONTH(K$4,0)),
_xlpm.daily+_xlpm.weekdays+_xlpm.paydays+_xlpm.monthly+_xlpm.annual+_xlpm.planned)</f>
        <v>50</v>
      </c>
      <c r="L48" s="144" cm="1">
        <f t="array" aca="1" ref="L48" ca="1">_xlfn.LET(
_xlpm.daily,RecurringFactorBased($B48,"Daily",L$4,L$104),
_xlpm.weekdays,RecurringFactorBased($B48,"Weekdays",L$4,L$103),
_xlpm.paydays,RecurringFactorBased($B48,"Paydays",L$4,L$102),
_xlpm.monthly,SUMIFS(Recurring!$D:$D,Recurring!$B:$B,$B48,Recurring!$E:$E,"Monthly")+SUMIFS(Changes!$F:$F,Changes!$B:$B,$B48,Changes!$D:$D,"&lt;="&amp;L$4,Changes!$E:$E,"Monthly"),
_xlpm.annual,SUMIFS(Recurring!$D:$D,Recurring!$B:$B,$B48,Recurring!$E:$E,"Annual",Recurring!$G:$G,"&gt;="&amp;L$4,Recurring!$G:$G,"&lt;="&amp;EOMONTH(L$4,0))+SUMIFS(Changes!$F:$F,Changes!$B:$B,$B48,Changes!$D:$D,"&lt;="&amp;L$4,Changes!$E:$E,"Annual"),
_xlpm.planned,SUMIFS(Planned!$F:$F,Planned!$B:$B,$B48,Planned!$E:$E,"&gt;="&amp;L$4,Planned!$E:$E,"&lt;="&amp;EOMONTH(L$4,0)),
_xlpm.daily+_xlpm.weekdays+_xlpm.paydays+_xlpm.monthly+_xlpm.annual+_xlpm.planned)</f>
        <v>50</v>
      </c>
      <c r="M48" s="144" cm="1">
        <f t="array" aca="1" ref="M48" ca="1">_xlfn.LET(
_xlpm.daily,RecurringFactorBased($B48,"Daily",M$4,M$104),
_xlpm.weekdays,RecurringFactorBased($B48,"Weekdays",M$4,M$103),
_xlpm.paydays,RecurringFactorBased($B48,"Paydays",M$4,M$102),
_xlpm.monthly,SUMIFS(Recurring!$D:$D,Recurring!$B:$B,$B48,Recurring!$E:$E,"Monthly")+SUMIFS(Changes!$F:$F,Changes!$B:$B,$B48,Changes!$D:$D,"&lt;="&amp;M$4,Changes!$E:$E,"Monthly"),
_xlpm.annual,SUMIFS(Recurring!$D:$D,Recurring!$B:$B,$B48,Recurring!$E:$E,"Annual",Recurring!$G:$G,"&gt;="&amp;M$4,Recurring!$G:$G,"&lt;="&amp;EOMONTH(M$4,0))+SUMIFS(Changes!$F:$F,Changes!$B:$B,$B48,Changes!$D:$D,"&lt;="&amp;M$4,Changes!$E:$E,"Annual"),
_xlpm.planned,SUMIFS(Planned!$F:$F,Planned!$B:$B,$B48,Planned!$E:$E,"&gt;="&amp;M$4,Planned!$E:$E,"&lt;="&amp;EOMONTH(M$4,0)),
_xlpm.daily+_xlpm.weekdays+_xlpm.paydays+_xlpm.monthly+_xlpm.annual+_xlpm.planned)</f>
        <v>50</v>
      </c>
      <c r="N48" s="144" cm="1">
        <f t="array" aca="1" ref="N48" ca="1">_xlfn.LET(
_xlpm.daily,RecurringFactorBased($B48,"Daily",N$4,N$104),
_xlpm.weekdays,RecurringFactorBased($B48,"Weekdays",N$4,N$103),
_xlpm.paydays,RecurringFactorBased($B48,"Paydays",N$4,N$102),
_xlpm.monthly,SUMIFS(Recurring!$D:$D,Recurring!$B:$B,$B48,Recurring!$E:$E,"Monthly")+SUMIFS(Changes!$F:$F,Changes!$B:$B,$B48,Changes!$D:$D,"&lt;="&amp;N$4,Changes!$E:$E,"Monthly"),
_xlpm.annual,SUMIFS(Recurring!$D:$D,Recurring!$B:$B,$B48,Recurring!$E:$E,"Annual",Recurring!$G:$G,"&gt;="&amp;N$4,Recurring!$G:$G,"&lt;="&amp;EOMONTH(N$4,0))+SUMIFS(Changes!$F:$F,Changes!$B:$B,$B48,Changes!$D:$D,"&lt;="&amp;N$4,Changes!$E:$E,"Annual"),
_xlpm.planned,SUMIFS(Planned!$F:$F,Planned!$B:$B,$B48,Planned!$E:$E,"&gt;="&amp;N$4,Planned!$E:$E,"&lt;="&amp;EOMONTH(N$4,0)),
_xlpm.daily+_xlpm.weekdays+_xlpm.paydays+_xlpm.monthly+_xlpm.annual+_xlpm.planned)</f>
        <v>50</v>
      </c>
      <c r="O48" s="134"/>
      <c r="P48" s="145">
        <f ca="1">SUM(C48:N48)</f>
        <v>550</v>
      </c>
      <c r="Q48" s="80"/>
      <c r="R48" s="206"/>
      <c r="U48" s="22"/>
    </row>
    <row r="49" spans="1:23" ht="12.75" customHeight="1" x14ac:dyDescent="0.2">
      <c r="A49" s="62"/>
      <c r="B49" s="103" t="s">
        <v>63</v>
      </c>
      <c r="C49" s="144" cm="1">
        <f t="array" aca="1" ref="C49" ca="1">_xlfn.LET(
_xlpm.daily,RecurringFactorBased($B49,"Daily",C$4,C$104),
_xlpm.weekdays,RecurringFactorBased($B49,"Weekdays",C$4,C$103),
_xlpm.paydays,RecurringFactorBased($B49,"Paydays",C$4,C$102),
_xlpm.monthly,SUMIFS(Recurring!$D:$D,Recurring!$B:$B,$B49,Recurring!$E:$E,"Monthly",Recurring!$G:$G,"&gt;="&amp;C$4)+SUMIFS(Changes!$F:$F,Changes!$B:$B,$B49,Changes!$D:$D,"&lt;="&amp;C$4,Changes!$E:$E,"Monthly"),
_xlpm.annual,SUMIFS(Recurring!$D:$D,Recurring!$B:$B,$B49,Recurring!$E:$E,"Annual",Recurring!$G:$G,"&gt;="&amp;C$4,Recurring!$G:$G,"&lt;="&amp;EOMONTH(C$4,0))+SUMIFS(Changes!$F:$F,Changes!$B:$B,$B49,Changes!$D:$D,"&lt;="&amp;C$4,Changes!$E:$E,"Annual"),
_xlpm.planned,SUMIFS(Planned!$F:$F,Planned!$B:$B,$B49,Planned!$E:$E,"&gt;="&amp;C$4,Planned!$E:$E,"&lt;="&amp;EOMONTH(C$4,0)),
_xlpm.daily+_xlpm.weekdays+_xlpm.paydays+_xlpm.monthly+_xlpm.annual+_xlpm.planned)</f>
        <v>0</v>
      </c>
      <c r="D49" s="144" cm="1">
        <f t="array" aca="1" ref="D49" ca="1">_xlfn.LET(
_xlpm.daily,RecurringFactorBased($B49,"Daily",D$4,D$104),
_xlpm.weekdays,RecurringFactorBased($B49,"Weekdays",D$4,D$103),
_xlpm.paydays,RecurringFactorBased($B49,"Paydays",D$4,D$102),
_xlpm.monthly,SUMIFS(Recurring!$D:$D,Recurring!$B:$B,$B49,Recurring!$E:$E,"Monthly")+SUMIFS(Changes!$F:$F,Changes!$B:$B,$B49,Changes!$D:$D,"&lt;="&amp;D$4,Changes!$E:$E,"Monthly"),
_xlpm.annual,SUMIFS(Recurring!$D:$D,Recurring!$B:$B,$B49,Recurring!$E:$E,"Annual",Recurring!$G:$G,"&gt;="&amp;D$4,Recurring!$G:$G,"&lt;="&amp;EOMONTH(D$4,0))+SUMIFS(Changes!$F:$F,Changes!$B:$B,$B49,Changes!$D:$D,"&lt;="&amp;D$4,Changes!$E:$E,"Annual"),
_xlpm.planned,SUMIFS(Planned!$F:$F,Planned!$B:$B,$B49,Planned!$E:$E,"&gt;="&amp;D$4,Planned!$E:$E,"&lt;="&amp;EOMONTH(D$4,0)),
_xlpm.daily+_xlpm.weekdays+_xlpm.paydays+_xlpm.monthly+_xlpm.annual+_xlpm.planned)</f>
        <v>100</v>
      </c>
      <c r="E49" s="144" cm="1">
        <f t="array" aca="1" ref="E49" ca="1">_xlfn.LET(
_xlpm.daily,RecurringFactorBased($B49,"Daily",E$4,E$104),
_xlpm.weekdays,RecurringFactorBased($B49,"Weekdays",E$4,E$103),
_xlpm.paydays,RecurringFactorBased($B49,"Paydays",E$4,E$102),
_xlpm.monthly,SUMIFS(Recurring!$D:$D,Recurring!$B:$B,$B49,Recurring!$E:$E,"Monthly")+SUMIFS(Changes!$F:$F,Changes!$B:$B,$B49,Changes!$D:$D,"&lt;="&amp;E$4,Changes!$E:$E,"Monthly"),
_xlpm.annual,SUMIFS(Recurring!$D:$D,Recurring!$B:$B,$B49,Recurring!$E:$E,"Annual",Recurring!$G:$G,"&gt;="&amp;E$4,Recurring!$G:$G,"&lt;="&amp;EOMONTH(E$4,0))+SUMIFS(Changes!$F:$F,Changes!$B:$B,$B49,Changes!$D:$D,"&lt;="&amp;E$4,Changes!$E:$E,"Annual"),
_xlpm.planned,SUMIFS(Planned!$F:$F,Planned!$B:$B,$B49,Planned!$E:$E,"&gt;="&amp;E$4,Planned!$E:$E,"&lt;="&amp;EOMONTH(E$4,0)),
_xlpm.daily+_xlpm.weekdays+_xlpm.paydays+_xlpm.monthly+_xlpm.annual+_xlpm.planned)</f>
        <v>100</v>
      </c>
      <c r="F49" s="144" cm="1">
        <f t="array" aca="1" ref="F49" ca="1">_xlfn.LET(
_xlpm.daily,RecurringFactorBased($B49,"Daily",F$4,F$104),
_xlpm.weekdays,RecurringFactorBased($B49,"Weekdays",F$4,F$103),
_xlpm.paydays,RecurringFactorBased($B49,"Paydays",F$4,F$102),
_xlpm.monthly,SUMIFS(Recurring!$D:$D,Recurring!$B:$B,$B49,Recurring!$E:$E,"Monthly")+SUMIFS(Changes!$F:$F,Changes!$B:$B,$B49,Changes!$D:$D,"&lt;="&amp;F$4,Changes!$E:$E,"Monthly"),
_xlpm.annual,SUMIFS(Recurring!$D:$D,Recurring!$B:$B,$B49,Recurring!$E:$E,"Annual",Recurring!$G:$G,"&gt;="&amp;F$4,Recurring!$G:$G,"&lt;="&amp;EOMONTH(F$4,0))+SUMIFS(Changes!$F:$F,Changes!$B:$B,$B49,Changes!$D:$D,"&lt;="&amp;F$4,Changes!$E:$E,"Annual"),
_xlpm.planned,SUMIFS(Planned!$F:$F,Planned!$B:$B,$B49,Planned!$E:$E,"&gt;="&amp;F$4,Planned!$E:$E,"&lt;="&amp;EOMONTH(F$4,0)),
_xlpm.daily+_xlpm.weekdays+_xlpm.paydays+_xlpm.monthly+_xlpm.annual+_xlpm.planned)</f>
        <v>100</v>
      </c>
      <c r="G49" s="144" cm="1">
        <f t="array" aca="1" ref="G49" ca="1">_xlfn.LET(
_xlpm.daily,RecurringFactorBased($B49,"Daily",G$4,G$104),
_xlpm.weekdays,RecurringFactorBased($B49,"Weekdays",G$4,G$103),
_xlpm.paydays,RecurringFactorBased($B49,"Paydays",G$4,G$102),
_xlpm.monthly,SUMIFS(Recurring!$D:$D,Recurring!$B:$B,$B49,Recurring!$E:$E,"Monthly")+SUMIFS(Changes!$F:$F,Changes!$B:$B,$B49,Changes!$D:$D,"&lt;="&amp;G$4,Changes!$E:$E,"Monthly"),
_xlpm.annual,SUMIFS(Recurring!$D:$D,Recurring!$B:$B,$B49,Recurring!$E:$E,"Annual",Recurring!$G:$G,"&gt;="&amp;G$4,Recurring!$G:$G,"&lt;="&amp;EOMONTH(G$4,0))+SUMIFS(Changes!$F:$F,Changes!$B:$B,$B49,Changes!$D:$D,"&lt;="&amp;G$4,Changes!$E:$E,"Annual"),
_xlpm.planned,SUMIFS(Planned!$F:$F,Planned!$B:$B,$B49,Planned!$E:$E,"&gt;="&amp;G$4,Planned!$E:$E,"&lt;="&amp;EOMONTH(G$4,0)),
_xlpm.daily+_xlpm.weekdays+_xlpm.paydays+_xlpm.monthly+_xlpm.annual+_xlpm.planned)</f>
        <v>100</v>
      </c>
      <c r="H49" s="144" cm="1">
        <f t="array" aca="1" ref="H49" ca="1">_xlfn.LET(
_xlpm.daily,RecurringFactorBased($B49,"Daily",H$4,H$104),
_xlpm.weekdays,RecurringFactorBased($B49,"Weekdays",H$4,H$103),
_xlpm.paydays,RecurringFactorBased($B49,"Paydays",H$4,H$102),
_xlpm.monthly,SUMIFS(Recurring!$D:$D,Recurring!$B:$B,$B49,Recurring!$E:$E,"Monthly")+SUMIFS(Changes!$F:$F,Changes!$B:$B,$B49,Changes!$D:$D,"&lt;="&amp;H$4,Changes!$E:$E,"Monthly"),
_xlpm.annual,SUMIFS(Recurring!$D:$D,Recurring!$B:$B,$B49,Recurring!$E:$E,"Annual",Recurring!$G:$G,"&gt;="&amp;H$4,Recurring!$G:$G,"&lt;="&amp;EOMONTH(H$4,0))+SUMIFS(Changes!$F:$F,Changes!$B:$B,$B49,Changes!$D:$D,"&lt;="&amp;H$4,Changes!$E:$E,"Annual"),
_xlpm.planned,SUMIFS(Planned!$F:$F,Planned!$B:$B,$B49,Planned!$E:$E,"&gt;="&amp;H$4,Planned!$E:$E,"&lt;="&amp;EOMONTH(H$4,0)),
_xlpm.daily+_xlpm.weekdays+_xlpm.paydays+_xlpm.monthly+_xlpm.annual+_xlpm.planned)</f>
        <v>150</v>
      </c>
      <c r="I49" s="144" cm="1">
        <f t="array" aca="1" ref="I49" ca="1">_xlfn.LET(
_xlpm.daily,RecurringFactorBased($B49,"Daily",I$4,I$104),
_xlpm.weekdays,RecurringFactorBased($B49,"Weekdays",I$4,I$103),
_xlpm.paydays,RecurringFactorBased($B49,"Paydays",I$4,I$102),
_xlpm.monthly,SUMIFS(Recurring!$D:$D,Recurring!$B:$B,$B49,Recurring!$E:$E,"Monthly")+SUMIFS(Changes!$F:$F,Changes!$B:$B,$B49,Changes!$D:$D,"&lt;="&amp;I$4,Changes!$E:$E,"Monthly"),
_xlpm.annual,SUMIFS(Recurring!$D:$D,Recurring!$B:$B,$B49,Recurring!$E:$E,"Annual",Recurring!$G:$G,"&gt;="&amp;I$4,Recurring!$G:$G,"&lt;="&amp;EOMONTH(I$4,0))+SUMIFS(Changes!$F:$F,Changes!$B:$B,$B49,Changes!$D:$D,"&lt;="&amp;I$4,Changes!$E:$E,"Annual"),
_xlpm.planned,SUMIFS(Planned!$F:$F,Planned!$B:$B,$B49,Planned!$E:$E,"&gt;="&amp;I$4,Planned!$E:$E,"&lt;="&amp;EOMONTH(I$4,0)),
_xlpm.daily+_xlpm.weekdays+_xlpm.paydays+_xlpm.monthly+_xlpm.annual+_xlpm.planned)</f>
        <v>100</v>
      </c>
      <c r="J49" s="144" cm="1">
        <f t="array" aca="1" ref="J49" ca="1">_xlfn.LET(
_xlpm.daily,RecurringFactorBased($B49,"Daily",J$4,J$104),
_xlpm.weekdays,RecurringFactorBased($B49,"Weekdays",J$4,J$103),
_xlpm.paydays,RecurringFactorBased($B49,"Paydays",J$4,J$102),
_xlpm.monthly,SUMIFS(Recurring!$D:$D,Recurring!$B:$B,$B49,Recurring!$E:$E,"Monthly")+SUMIFS(Changes!$F:$F,Changes!$B:$B,$B49,Changes!$D:$D,"&lt;="&amp;J$4,Changes!$E:$E,"Monthly"),
_xlpm.annual,SUMIFS(Recurring!$D:$D,Recurring!$B:$B,$B49,Recurring!$E:$E,"Annual",Recurring!$G:$G,"&gt;="&amp;J$4,Recurring!$G:$G,"&lt;="&amp;EOMONTH(J$4,0))+SUMIFS(Changes!$F:$F,Changes!$B:$B,$B49,Changes!$D:$D,"&lt;="&amp;J$4,Changes!$E:$E,"Annual"),
_xlpm.planned,SUMIFS(Planned!$F:$F,Planned!$B:$B,$B49,Planned!$E:$E,"&gt;="&amp;J$4,Planned!$E:$E,"&lt;="&amp;EOMONTH(J$4,0)),
_xlpm.daily+_xlpm.weekdays+_xlpm.paydays+_xlpm.monthly+_xlpm.annual+_xlpm.planned)</f>
        <v>100</v>
      </c>
      <c r="K49" s="144" cm="1">
        <f t="array" aca="1" ref="K49" ca="1">_xlfn.LET(
_xlpm.daily,RecurringFactorBased($B49,"Daily",K$4,K$104),
_xlpm.weekdays,RecurringFactorBased($B49,"Weekdays",K$4,K$103),
_xlpm.paydays,RecurringFactorBased($B49,"Paydays",K$4,K$102),
_xlpm.monthly,SUMIFS(Recurring!$D:$D,Recurring!$B:$B,$B49,Recurring!$E:$E,"Monthly")+SUMIFS(Changes!$F:$F,Changes!$B:$B,$B49,Changes!$D:$D,"&lt;="&amp;K$4,Changes!$E:$E,"Monthly"),
_xlpm.annual,SUMIFS(Recurring!$D:$D,Recurring!$B:$B,$B49,Recurring!$E:$E,"Annual",Recurring!$G:$G,"&gt;="&amp;K$4,Recurring!$G:$G,"&lt;="&amp;EOMONTH(K$4,0))+SUMIFS(Changes!$F:$F,Changes!$B:$B,$B49,Changes!$D:$D,"&lt;="&amp;K$4,Changes!$E:$E,"Annual"),
_xlpm.planned,SUMIFS(Planned!$F:$F,Planned!$B:$B,$B49,Planned!$E:$E,"&gt;="&amp;K$4,Planned!$E:$E,"&lt;="&amp;EOMONTH(K$4,0)),
_xlpm.daily+_xlpm.weekdays+_xlpm.paydays+_xlpm.monthly+_xlpm.annual+_xlpm.planned)</f>
        <v>100</v>
      </c>
      <c r="L49" s="144" cm="1">
        <f t="array" aca="1" ref="L49" ca="1">_xlfn.LET(
_xlpm.daily,RecurringFactorBased($B49,"Daily",L$4,L$104),
_xlpm.weekdays,RecurringFactorBased($B49,"Weekdays",L$4,L$103),
_xlpm.paydays,RecurringFactorBased($B49,"Paydays",L$4,L$102),
_xlpm.monthly,SUMIFS(Recurring!$D:$D,Recurring!$B:$B,$B49,Recurring!$E:$E,"Monthly")+SUMIFS(Changes!$F:$F,Changes!$B:$B,$B49,Changes!$D:$D,"&lt;="&amp;L$4,Changes!$E:$E,"Monthly"),
_xlpm.annual,SUMIFS(Recurring!$D:$D,Recurring!$B:$B,$B49,Recurring!$E:$E,"Annual",Recurring!$G:$G,"&gt;="&amp;L$4,Recurring!$G:$G,"&lt;="&amp;EOMONTH(L$4,0))+SUMIFS(Changes!$F:$F,Changes!$B:$B,$B49,Changes!$D:$D,"&lt;="&amp;L$4,Changes!$E:$E,"Annual"),
_xlpm.planned,SUMIFS(Planned!$F:$F,Planned!$B:$B,$B49,Planned!$E:$E,"&gt;="&amp;L$4,Planned!$E:$E,"&lt;="&amp;EOMONTH(L$4,0)),
_xlpm.daily+_xlpm.weekdays+_xlpm.paydays+_xlpm.monthly+_xlpm.annual+_xlpm.planned)</f>
        <v>100</v>
      </c>
      <c r="M49" s="144" cm="1">
        <f t="array" aca="1" ref="M49" ca="1">_xlfn.LET(
_xlpm.daily,RecurringFactorBased($B49,"Daily",M$4,M$104),
_xlpm.weekdays,RecurringFactorBased($B49,"Weekdays",M$4,M$103),
_xlpm.paydays,RecurringFactorBased($B49,"Paydays",M$4,M$102),
_xlpm.monthly,SUMIFS(Recurring!$D:$D,Recurring!$B:$B,$B49,Recurring!$E:$E,"Monthly")+SUMIFS(Changes!$F:$F,Changes!$B:$B,$B49,Changes!$D:$D,"&lt;="&amp;M$4,Changes!$E:$E,"Monthly"),
_xlpm.annual,SUMIFS(Recurring!$D:$D,Recurring!$B:$B,$B49,Recurring!$E:$E,"Annual",Recurring!$G:$G,"&gt;="&amp;M$4,Recurring!$G:$G,"&lt;="&amp;EOMONTH(M$4,0))+SUMIFS(Changes!$F:$F,Changes!$B:$B,$B49,Changes!$D:$D,"&lt;="&amp;M$4,Changes!$E:$E,"Annual"),
_xlpm.planned,SUMIFS(Planned!$F:$F,Planned!$B:$B,$B49,Planned!$E:$E,"&gt;="&amp;M$4,Planned!$E:$E,"&lt;="&amp;EOMONTH(M$4,0)),
_xlpm.daily+_xlpm.weekdays+_xlpm.paydays+_xlpm.monthly+_xlpm.annual+_xlpm.planned)</f>
        <v>150</v>
      </c>
      <c r="N49" s="144" cm="1">
        <f t="array" aca="1" ref="N49" ca="1">_xlfn.LET(
_xlpm.daily,RecurringFactorBased($B49,"Daily",N$4,N$104),
_xlpm.weekdays,RecurringFactorBased($B49,"Weekdays",N$4,N$103),
_xlpm.paydays,RecurringFactorBased($B49,"Paydays",N$4,N$102),
_xlpm.monthly,SUMIFS(Recurring!$D:$D,Recurring!$B:$B,$B49,Recurring!$E:$E,"Monthly")+SUMIFS(Changes!$F:$F,Changes!$B:$B,$B49,Changes!$D:$D,"&lt;="&amp;N$4,Changes!$E:$E,"Monthly"),
_xlpm.annual,SUMIFS(Recurring!$D:$D,Recurring!$B:$B,$B49,Recurring!$E:$E,"Annual",Recurring!$G:$G,"&gt;="&amp;N$4,Recurring!$G:$G,"&lt;="&amp;EOMONTH(N$4,0))+SUMIFS(Changes!$F:$F,Changes!$B:$B,$B49,Changes!$D:$D,"&lt;="&amp;N$4,Changes!$E:$E,"Annual"),
_xlpm.planned,SUMIFS(Planned!$F:$F,Planned!$B:$B,$B49,Planned!$E:$E,"&gt;="&amp;N$4,Planned!$E:$E,"&lt;="&amp;EOMONTH(N$4,0)),
_xlpm.daily+_xlpm.weekdays+_xlpm.paydays+_xlpm.monthly+_xlpm.annual+_xlpm.planned)</f>
        <v>100</v>
      </c>
      <c r="O49" s="134"/>
      <c r="P49" s="145">
        <f ca="1">SUM(C49:N49)</f>
        <v>1200</v>
      </c>
      <c r="Q49" s="80"/>
      <c r="R49" s="206"/>
      <c r="U49" s="22"/>
    </row>
    <row r="50" spans="1:23" ht="12.75" customHeight="1" x14ac:dyDescent="0.2">
      <c r="A50" s="62"/>
      <c r="B50" s="236" t="s">
        <v>325</v>
      </c>
      <c r="C50" s="144" cm="1">
        <f t="array" aca="1" ref="C50" ca="1">_xlfn.LET(
_xlpm.daily,RecurringFactorBased($B50,"Daily",C$4,C$104),
_xlpm.weekdays,RecurringFactorBased($B50,"Weekdays",C$4,C$103),
_xlpm.paydays,RecurringFactorBased($B50,"Paydays",C$4,C$102),
_xlpm.monthly,SUMIFS(Recurring!$D:$D,Recurring!$B:$B,$B50,Recurring!$E:$E,"Monthly",Recurring!$G:$G,"&gt;="&amp;C$4)+SUMIFS(Changes!$F:$F,Changes!$B:$B,$B50,Changes!$D:$D,"&lt;="&amp;C$4,Changes!$E:$E,"Monthly"),
_xlpm.annual,SUMIFS(Recurring!$D:$D,Recurring!$B:$B,$B50,Recurring!$E:$E,"Annual",Recurring!$G:$G,"&gt;="&amp;C$4,Recurring!$G:$G,"&lt;="&amp;EOMONTH(C$4,0))+SUMIFS(Changes!$F:$F,Changes!$B:$B,$B50,Changes!$D:$D,"&lt;="&amp;C$4,Changes!$E:$E,"Annual"),
_xlpm.planned,SUMIFS(Planned!$F:$F,Planned!$B:$B,$B50,Planned!$E:$E,"&gt;="&amp;C$4,Planned!$E:$E,"&lt;="&amp;EOMONTH(C$4,0)),
_xlpm.daily+_xlpm.weekdays+_xlpm.paydays+_xlpm.monthly+_xlpm.annual+_xlpm.planned)</f>
        <v>0</v>
      </c>
      <c r="D50" s="144" cm="1">
        <f t="array" aca="1" ref="D50" ca="1">_xlfn.LET(
_xlpm.daily,RecurringFactorBased($B50,"Daily",D$4,D$104),
_xlpm.weekdays,RecurringFactorBased($B50,"Weekdays",D$4,D$103),
_xlpm.paydays,RecurringFactorBased($B50,"Paydays",D$4,D$102),
_xlpm.monthly,SUMIFS(Recurring!$D:$D,Recurring!$B:$B,$B50,Recurring!$E:$E,"Monthly")+SUMIFS(Changes!$F:$F,Changes!$B:$B,$B50,Changes!$D:$D,"&lt;="&amp;D$4,Changes!$E:$E,"Monthly"),
_xlpm.annual,SUMIFS(Recurring!$D:$D,Recurring!$B:$B,$B50,Recurring!$E:$E,"Annual",Recurring!$G:$G,"&gt;="&amp;D$4,Recurring!$G:$G,"&lt;="&amp;EOMONTH(D$4,0))+SUMIFS(Changes!$F:$F,Changes!$B:$B,$B50,Changes!$D:$D,"&lt;="&amp;D$4,Changes!$E:$E,"Annual"),
_xlpm.planned,SUMIFS(Planned!$F:$F,Planned!$B:$B,$B50,Planned!$E:$E,"&gt;="&amp;D$4,Planned!$E:$E,"&lt;="&amp;EOMONTH(D$4,0)),
_xlpm.daily+_xlpm.weekdays+_xlpm.paydays+_xlpm.monthly+_xlpm.annual+_xlpm.planned)</f>
        <v>50</v>
      </c>
      <c r="E50" s="144" cm="1">
        <f t="array" aca="1" ref="E50" ca="1">_xlfn.LET(
_xlpm.daily,RecurringFactorBased($B50,"Daily",E$4,E$104),
_xlpm.weekdays,RecurringFactorBased($B50,"Weekdays",E$4,E$103),
_xlpm.paydays,RecurringFactorBased($B50,"Paydays",E$4,E$102),
_xlpm.monthly,SUMIFS(Recurring!$D:$D,Recurring!$B:$B,$B50,Recurring!$E:$E,"Monthly")+SUMIFS(Changes!$F:$F,Changes!$B:$B,$B50,Changes!$D:$D,"&lt;="&amp;E$4,Changes!$E:$E,"Monthly"),
_xlpm.annual,SUMIFS(Recurring!$D:$D,Recurring!$B:$B,$B50,Recurring!$E:$E,"Annual",Recurring!$G:$G,"&gt;="&amp;E$4,Recurring!$G:$G,"&lt;="&amp;EOMONTH(E$4,0))+SUMIFS(Changes!$F:$F,Changes!$B:$B,$B50,Changes!$D:$D,"&lt;="&amp;E$4,Changes!$E:$E,"Annual"),
_xlpm.planned,SUMIFS(Planned!$F:$F,Planned!$B:$B,$B50,Planned!$E:$E,"&gt;="&amp;E$4,Planned!$E:$E,"&lt;="&amp;EOMONTH(E$4,0)),
_xlpm.daily+_xlpm.weekdays+_xlpm.paydays+_xlpm.monthly+_xlpm.annual+_xlpm.planned)</f>
        <v>0</v>
      </c>
      <c r="F50" s="144" cm="1">
        <f t="array" aca="1" ref="F50" ca="1">_xlfn.LET(
_xlpm.daily,RecurringFactorBased($B50,"Daily",F$4,F$104),
_xlpm.weekdays,RecurringFactorBased($B50,"Weekdays",F$4,F$103),
_xlpm.paydays,RecurringFactorBased($B50,"Paydays",F$4,F$102),
_xlpm.monthly,SUMIFS(Recurring!$D:$D,Recurring!$B:$B,$B50,Recurring!$E:$E,"Monthly")+SUMIFS(Changes!$F:$F,Changes!$B:$B,$B50,Changes!$D:$D,"&lt;="&amp;F$4,Changes!$E:$E,"Monthly"),
_xlpm.annual,SUMIFS(Recurring!$D:$D,Recurring!$B:$B,$B50,Recurring!$E:$E,"Annual",Recurring!$G:$G,"&gt;="&amp;F$4,Recurring!$G:$G,"&lt;="&amp;EOMONTH(F$4,0))+SUMIFS(Changes!$F:$F,Changes!$B:$B,$B50,Changes!$D:$D,"&lt;="&amp;F$4,Changes!$E:$E,"Annual"),
_xlpm.planned,SUMIFS(Planned!$F:$F,Planned!$B:$B,$B50,Planned!$E:$E,"&gt;="&amp;F$4,Planned!$E:$E,"&lt;="&amp;EOMONTH(F$4,0)),
_xlpm.daily+_xlpm.weekdays+_xlpm.paydays+_xlpm.monthly+_xlpm.annual+_xlpm.planned)</f>
        <v>0</v>
      </c>
      <c r="G50" s="144" cm="1">
        <f t="array" aca="1" ref="G50" ca="1">_xlfn.LET(
_xlpm.daily,RecurringFactorBased($B50,"Daily",G$4,G$104),
_xlpm.weekdays,RecurringFactorBased($B50,"Weekdays",G$4,G$103),
_xlpm.paydays,RecurringFactorBased($B50,"Paydays",G$4,G$102),
_xlpm.monthly,SUMIFS(Recurring!$D:$D,Recurring!$B:$B,$B50,Recurring!$E:$E,"Monthly")+SUMIFS(Changes!$F:$F,Changes!$B:$B,$B50,Changes!$D:$D,"&lt;="&amp;G$4,Changes!$E:$E,"Monthly"),
_xlpm.annual,SUMIFS(Recurring!$D:$D,Recurring!$B:$B,$B50,Recurring!$E:$E,"Annual",Recurring!$G:$G,"&gt;="&amp;G$4,Recurring!$G:$G,"&lt;="&amp;EOMONTH(G$4,0))+SUMIFS(Changes!$F:$F,Changes!$B:$B,$B50,Changes!$D:$D,"&lt;="&amp;G$4,Changes!$E:$E,"Annual"),
_xlpm.planned,SUMIFS(Planned!$F:$F,Planned!$B:$B,$B50,Planned!$E:$E,"&gt;="&amp;G$4,Planned!$E:$E,"&lt;="&amp;EOMONTH(G$4,0)),
_xlpm.daily+_xlpm.weekdays+_xlpm.paydays+_xlpm.monthly+_xlpm.annual+_xlpm.planned)</f>
        <v>0</v>
      </c>
      <c r="H50" s="144" cm="1">
        <f t="array" aca="1" ref="H50" ca="1">_xlfn.LET(
_xlpm.daily,RecurringFactorBased($B50,"Daily",H$4,H$104),
_xlpm.weekdays,RecurringFactorBased($B50,"Weekdays",H$4,H$103),
_xlpm.paydays,RecurringFactorBased($B50,"Paydays",H$4,H$102),
_xlpm.monthly,SUMIFS(Recurring!$D:$D,Recurring!$B:$B,$B50,Recurring!$E:$E,"Monthly")+SUMIFS(Changes!$F:$F,Changes!$B:$B,$B50,Changes!$D:$D,"&lt;="&amp;H$4,Changes!$E:$E,"Monthly"),
_xlpm.annual,SUMIFS(Recurring!$D:$D,Recurring!$B:$B,$B50,Recurring!$E:$E,"Annual",Recurring!$G:$G,"&gt;="&amp;H$4,Recurring!$G:$G,"&lt;="&amp;EOMONTH(H$4,0))+SUMIFS(Changes!$F:$F,Changes!$B:$B,$B50,Changes!$D:$D,"&lt;="&amp;H$4,Changes!$E:$E,"Annual"),
_xlpm.planned,SUMIFS(Planned!$F:$F,Planned!$B:$B,$B50,Planned!$E:$E,"&gt;="&amp;H$4,Planned!$E:$E,"&lt;="&amp;EOMONTH(H$4,0)),
_xlpm.daily+_xlpm.weekdays+_xlpm.paydays+_xlpm.monthly+_xlpm.annual+_xlpm.planned)</f>
        <v>0</v>
      </c>
      <c r="I50" s="144" cm="1">
        <f t="array" aca="1" ref="I50" ca="1">_xlfn.LET(
_xlpm.daily,RecurringFactorBased($B50,"Daily",I$4,I$104),
_xlpm.weekdays,RecurringFactorBased($B50,"Weekdays",I$4,I$103),
_xlpm.paydays,RecurringFactorBased($B50,"Paydays",I$4,I$102),
_xlpm.monthly,SUMIFS(Recurring!$D:$D,Recurring!$B:$B,$B50,Recurring!$E:$E,"Monthly")+SUMIFS(Changes!$F:$F,Changes!$B:$B,$B50,Changes!$D:$D,"&lt;="&amp;I$4,Changes!$E:$E,"Monthly"),
_xlpm.annual,SUMIFS(Recurring!$D:$D,Recurring!$B:$B,$B50,Recurring!$E:$E,"Annual",Recurring!$G:$G,"&gt;="&amp;I$4,Recurring!$G:$G,"&lt;="&amp;EOMONTH(I$4,0))+SUMIFS(Changes!$F:$F,Changes!$B:$B,$B50,Changes!$D:$D,"&lt;="&amp;I$4,Changes!$E:$E,"Annual"),
_xlpm.planned,SUMIFS(Planned!$F:$F,Planned!$B:$B,$B50,Planned!$E:$E,"&gt;="&amp;I$4,Planned!$E:$E,"&lt;="&amp;EOMONTH(I$4,0)),
_xlpm.daily+_xlpm.weekdays+_xlpm.paydays+_xlpm.monthly+_xlpm.annual+_xlpm.planned)</f>
        <v>0</v>
      </c>
      <c r="J50" s="144" cm="1">
        <f t="array" aca="1" ref="J50" ca="1">_xlfn.LET(
_xlpm.daily,RecurringFactorBased($B50,"Daily",J$4,J$104),
_xlpm.weekdays,RecurringFactorBased($B50,"Weekdays",J$4,J$103),
_xlpm.paydays,RecurringFactorBased($B50,"Paydays",J$4,J$102),
_xlpm.monthly,SUMIFS(Recurring!$D:$D,Recurring!$B:$B,$B50,Recurring!$E:$E,"Monthly")+SUMIFS(Changes!$F:$F,Changes!$B:$B,$B50,Changes!$D:$D,"&lt;="&amp;J$4,Changes!$E:$E,"Monthly"),
_xlpm.annual,SUMIFS(Recurring!$D:$D,Recurring!$B:$B,$B50,Recurring!$E:$E,"Annual",Recurring!$G:$G,"&gt;="&amp;J$4,Recurring!$G:$G,"&lt;="&amp;EOMONTH(J$4,0))+SUMIFS(Changes!$F:$F,Changes!$B:$B,$B50,Changes!$D:$D,"&lt;="&amp;J$4,Changes!$E:$E,"Annual"),
_xlpm.planned,SUMIFS(Planned!$F:$F,Planned!$B:$B,$B50,Planned!$E:$E,"&gt;="&amp;J$4,Planned!$E:$E,"&lt;="&amp;EOMONTH(J$4,0)),
_xlpm.daily+_xlpm.weekdays+_xlpm.paydays+_xlpm.monthly+_xlpm.annual+_xlpm.planned)</f>
        <v>0</v>
      </c>
      <c r="K50" s="144" cm="1">
        <f t="array" aca="1" ref="K50" ca="1">_xlfn.LET(
_xlpm.daily,RecurringFactorBased($B50,"Daily",K$4,K$104),
_xlpm.weekdays,RecurringFactorBased($B50,"Weekdays",K$4,K$103),
_xlpm.paydays,RecurringFactorBased($B50,"Paydays",K$4,K$102),
_xlpm.monthly,SUMIFS(Recurring!$D:$D,Recurring!$B:$B,$B50,Recurring!$E:$E,"Monthly")+SUMIFS(Changes!$F:$F,Changes!$B:$B,$B50,Changes!$D:$D,"&lt;="&amp;K$4,Changes!$E:$E,"Monthly"),
_xlpm.annual,SUMIFS(Recurring!$D:$D,Recurring!$B:$B,$B50,Recurring!$E:$E,"Annual",Recurring!$G:$G,"&gt;="&amp;K$4,Recurring!$G:$G,"&lt;="&amp;EOMONTH(K$4,0))+SUMIFS(Changes!$F:$F,Changes!$B:$B,$B50,Changes!$D:$D,"&lt;="&amp;K$4,Changes!$E:$E,"Annual"),
_xlpm.planned,SUMIFS(Planned!$F:$F,Planned!$B:$B,$B50,Planned!$E:$E,"&gt;="&amp;K$4,Planned!$E:$E,"&lt;="&amp;EOMONTH(K$4,0)),
_xlpm.daily+_xlpm.weekdays+_xlpm.paydays+_xlpm.monthly+_xlpm.annual+_xlpm.planned)</f>
        <v>0</v>
      </c>
      <c r="L50" s="144" cm="1">
        <f t="array" aca="1" ref="L50" ca="1">_xlfn.LET(
_xlpm.daily,RecurringFactorBased($B50,"Daily",L$4,L$104),
_xlpm.weekdays,RecurringFactorBased($B50,"Weekdays",L$4,L$103),
_xlpm.paydays,RecurringFactorBased($B50,"Paydays",L$4,L$102),
_xlpm.monthly,SUMIFS(Recurring!$D:$D,Recurring!$B:$B,$B50,Recurring!$E:$E,"Monthly")+SUMIFS(Changes!$F:$F,Changes!$B:$B,$B50,Changes!$D:$D,"&lt;="&amp;L$4,Changes!$E:$E,"Monthly"),
_xlpm.annual,SUMIFS(Recurring!$D:$D,Recurring!$B:$B,$B50,Recurring!$E:$E,"Annual",Recurring!$G:$G,"&gt;="&amp;L$4,Recurring!$G:$G,"&lt;="&amp;EOMONTH(L$4,0))+SUMIFS(Changes!$F:$F,Changes!$B:$B,$B50,Changes!$D:$D,"&lt;="&amp;L$4,Changes!$E:$E,"Annual"),
_xlpm.planned,SUMIFS(Planned!$F:$F,Planned!$B:$B,$B50,Planned!$E:$E,"&gt;="&amp;L$4,Planned!$E:$E,"&lt;="&amp;EOMONTH(L$4,0)),
_xlpm.daily+_xlpm.weekdays+_xlpm.paydays+_xlpm.monthly+_xlpm.annual+_xlpm.planned)</f>
        <v>0</v>
      </c>
      <c r="M50" s="144" cm="1">
        <f t="array" aca="1" ref="M50" ca="1">_xlfn.LET(
_xlpm.daily,RecurringFactorBased($B50,"Daily",M$4,M$104),
_xlpm.weekdays,RecurringFactorBased($B50,"Weekdays",M$4,M$103),
_xlpm.paydays,RecurringFactorBased($B50,"Paydays",M$4,M$102),
_xlpm.monthly,SUMIFS(Recurring!$D:$D,Recurring!$B:$B,$B50,Recurring!$E:$E,"Monthly")+SUMIFS(Changes!$F:$F,Changes!$B:$B,$B50,Changes!$D:$D,"&lt;="&amp;M$4,Changes!$E:$E,"Monthly"),
_xlpm.annual,SUMIFS(Recurring!$D:$D,Recurring!$B:$B,$B50,Recurring!$E:$E,"Annual",Recurring!$G:$G,"&gt;="&amp;M$4,Recurring!$G:$G,"&lt;="&amp;EOMONTH(M$4,0))+SUMIFS(Changes!$F:$F,Changes!$B:$B,$B50,Changes!$D:$D,"&lt;="&amp;M$4,Changes!$E:$E,"Annual"),
_xlpm.planned,SUMIFS(Planned!$F:$F,Planned!$B:$B,$B50,Planned!$E:$E,"&gt;="&amp;M$4,Planned!$E:$E,"&lt;="&amp;EOMONTH(M$4,0)),
_xlpm.daily+_xlpm.weekdays+_xlpm.paydays+_xlpm.monthly+_xlpm.annual+_xlpm.planned)</f>
        <v>0</v>
      </c>
      <c r="N50" s="144" cm="1">
        <f t="array" aca="1" ref="N50" ca="1">_xlfn.LET(
_xlpm.daily,RecurringFactorBased($B50,"Daily",N$4,N$104),
_xlpm.weekdays,RecurringFactorBased($B50,"Weekdays",N$4,N$103),
_xlpm.paydays,RecurringFactorBased($B50,"Paydays",N$4,N$102),
_xlpm.monthly,SUMIFS(Recurring!$D:$D,Recurring!$B:$B,$B50,Recurring!$E:$E,"Monthly")+SUMIFS(Changes!$F:$F,Changes!$B:$B,$B50,Changes!$D:$D,"&lt;="&amp;N$4,Changes!$E:$E,"Monthly"),
_xlpm.annual,SUMIFS(Recurring!$D:$D,Recurring!$B:$B,$B50,Recurring!$E:$E,"Annual",Recurring!$G:$G,"&gt;="&amp;N$4,Recurring!$G:$G,"&lt;="&amp;EOMONTH(N$4,0))+SUMIFS(Changes!$F:$F,Changes!$B:$B,$B50,Changes!$D:$D,"&lt;="&amp;N$4,Changes!$E:$E,"Annual"),
_xlpm.planned,SUMIFS(Planned!$F:$F,Planned!$B:$B,$B50,Planned!$E:$E,"&gt;="&amp;N$4,Planned!$E:$E,"&lt;="&amp;EOMONTH(N$4,0)),
_xlpm.daily+_xlpm.weekdays+_xlpm.paydays+_xlpm.monthly+_xlpm.annual+_xlpm.planned)</f>
        <v>0</v>
      </c>
      <c r="O50" s="134"/>
      <c r="P50" s="145">
        <f ca="1">SUM(C50:N50)</f>
        <v>50</v>
      </c>
      <c r="Q50" s="80"/>
      <c r="R50" s="206" t="s">
        <v>320</v>
      </c>
      <c r="U50" s="22"/>
    </row>
    <row r="51" spans="1:23" s="52" customFormat="1" ht="5.0999999999999996" customHeight="1" x14ac:dyDescent="0.2">
      <c r="A51" s="65"/>
      <c r="B51" s="103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45"/>
      <c r="Q51" s="83"/>
      <c r="R51" s="206"/>
      <c r="V51" s="53"/>
      <c r="W51" s="54"/>
    </row>
    <row r="52" spans="1:23" ht="12.75" customHeight="1" x14ac:dyDescent="0.2">
      <c r="A52" s="62"/>
      <c r="B52" s="114" t="s">
        <v>66</v>
      </c>
      <c r="C52" s="154">
        <f ca="1">SUM(C46:C51)</f>
        <v>145</v>
      </c>
      <c r="D52" s="154">
        <f t="shared" ref="D52:N52" ca="1" si="14">SUM(D46:D51)</f>
        <v>1525</v>
      </c>
      <c r="E52" s="154">
        <f t="shared" ca="1" si="14"/>
        <v>1460</v>
      </c>
      <c r="F52" s="154">
        <f t="shared" ca="1" si="14"/>
        <v>1475</v>
      </c>
      <c r="G52" s="154">
        <f t="shared" ca="1" si="14"/>
        <v>1520</v>
      </c>
      <c r="H52" s="154">
        <f t="shared" ca="1" si="14"/>
        <v>1575</v>
      </c>
      <c r="I52" s="154">
        <f t="shared" ca="1" si="14"/>
        <v>1520</v>
      </c>
      <c r="J52" s="154">
        <f t="shared" ca="1" si="14"/>
        <v>1525</v>
      </c>
      <c r="K52" s="154">
        <f t="shared" ca="1" si="14"/>
        <v>1525</v>
      </c>
      <c r="L52" s="154">
        <f t="shared" ca="1" si="14"/>
        <v>1520</v>
      </c>
      <c r="M52" s="154">
        <f t="shared" ca="1" si="14"/>
        <v>1575</v>
      </c>
      <c r="N52" s="155">
        <f t="shared" ca="1" si="14"/>
        <v>1520</v>
      </c>
      <c r="O52" s="154"/>
      <c r="P52" s="156">
        <f ca="1">SUM(P50:P50)</f>
        <v>50</v>
      </c>
      <c r="Q52" s="80"/>
      <c r="R52" s="206"/>
      <c r="U52" s="22"/>
    </row>
    <row r="53" spans="1:23" ht="5.0999999999999996" customHeight="1" x14ac:dyDescent="0.2">
      <c r="A53" s="62"/>
      <c r="B53" s="10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80"/>
      <c r="R53" s="206"/>
    </row>
    <row r="54" spans="1:23" ht="12.75" customHeight="1" x14ac:dyDescent="0.2">
      <c r="A54" s="62"/>
      <c r="B54" s="111" t="s">
        <v>62</v>
      </c>
      <c r="C54" s="234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4"/>
      <c r="O54" s="234"/>
      <c r="P54" s="235"/>
      <c r="Q54" s="80"/>
      <c r="R54" s="206"/>
      <c r="U54" s="22"/>
    </row>
    <row r="55" spans="1:23" ht="12.75" customHeight="1" x14ac:dyDescent="0.2">
      <c r="A55" s="67"/>
      <c r="B55" s="103" t="s">
        <v>4</v>
      </c>
      <c r="C55" s="144" cm="1">
        <f t="array" aca="1" ref="C55" ca="1">_xlfn.LET(
_xlpm.daily,RecurringFactorBased($B55,"Daily",C$4,C$104),
_xlpm.weekdays,RecurringFactorBased($B55,"Weekdays",C$4,C$103),
_xlpm.paydays,RecurringFactorBased($B55,"Paydays",C$4,C$102),
_xlpm.monthly,SUMIFS(Recurring!$D:$D,Recurring!$B:$B,$B55,Recurring!$E:$E,"Monthly",Recurring!$G:$G,"&gt;="&amp;C$4)+SUMIFS(Changes!$F:$F,Changes!$B:$B,$B55,Changes!$D:$D,"&lt;="&amp;C$4,Changes!$E:$E,"Monthly"),
_xlpm.annual,SUMIFS(Recurring!$D:$D,Recurring!$B:$B,$B55,Recurring!$E:$E,"Annual",Recurring!$G:$G,"&gt;="&amp;C$4,Recurring!$G:$G,"&lt;="&amp;EOMONTH(C$4,0))+SUMIFS(Changes!$F:$F,Changes!$B:$B,$B55,Changes!$D:$D,"&lt;="&amp;C$4,Changes!$E:$E,"Annual"),
_xlpm.planned,SUMIFS(Planned!$F:$F,Planned!$B:$B,$B55,Planned!$E:$E,"&gt;="&amp;C$4,Planned!$E:$E,"&lt;="&amp;EOMONTH(C$4,0)),
_xlpm.daily+_xlpm.weekdays+_xlpm.paydays+_xlpm.monthly+_xlpm.annual+_xlpm.planned)</f>
        <v>40</v>
      </c>
      <c r="D55" s="144" cm="1">
        <f t="array" aca="1" ref="D55" ca="1">_xlfn.LET(
_xlpm.daily,RecurringFactorBased($B55,"Daily",D$4,D$104),
_xlpm.weekdays,RecurringFactorBased($B55,"Weekdays",D$4,D$103),
_xlpm.paydays,RecurringFactorBased($B55,"Paydays",D$4,D$102),
_xlpm.monthly,SUMIFS(Recurring!$D:$D,Recurring!$B:$B,$B55,Recurring!$E:$E,"Monthly")+SUMIFS(Changes!$F:$F,Changes!$B:$B,$B55,Changes!$D:$D,"&lt;="&amp;D$4,Changes!$E:$E,"Monthly"),
_xlpm.annual,SUMIFS(Recurring!$D:$D,Recurring!$B:$B,$B55,Recurring!$E:$E,"Annual",Recurring!$G:$G,"&gt;="&amp;D$4,Recurring!$G:$G,"&lt;="&amp;EOMONTH(D$4,0))+SUMIFS(Changes!$F:$F,Changes!$B:$B,$B55,Changes!$D:$D,"&lt;="&amp;D$4,Changes!$E:$E,"Annual"),
_xlpm.planned,SUMIFS(Planned!$F:$F,Planned!$B:$B,$B55,Planned!$E:$E,"&gt;="&amp;D$4,Planned!$E:$E,"&lt;="&amp;EOMONTH(D$4,0)),
_xlpm.daily+_xlpm.weekdays+_xlpm.paydays+_xlpm.monthly+_xlpm.annual+_xlpm.planned)</f>
        <v>300</v>
      </c>
      <c r="E55" s="144" cm="1">
        <f t="array" aca="1" ref="E55" ca="1">_xlfn.LET(
_xlpm.daily,RecurringFactorBased($B55,"Daily",E$4,E$104),
_xlpm.weekdays,RecurringFactorBased($B55,"Weekdays",E$4,E$103),
_xlpm.paydays,RecurringFactorBased($B55,"Paydays",E$4,E$102),
_xlpm.monthly,SUMIFS(Recurring!$D:$D,Recurring!$B:$B,$B55,Recurring!$E:$E,"Monthly")+SUMIFS(Changes!$F:$F,Changes!$B:$B,$B55,Changes!$D:$D,"&lt;="&amp;E$4,Changes!$E:$E,"Monthly"),
_xlpm.annual,SUMIFS(Recurring!$D:$D,Recurring!$B:$B,$B55,Recurring!$E:$E,"Annual",Recurring!$G:$G,"&gt;="&amp;E$4,Recurring!$G:$G,"&lt;="&amp;EOMONTH(E$4,0))+SUMIFS(Changes!$F:$F,Changes!$B:$B,$B55,Changes!$D:$D,"&lt;="&amp;E$4,Changes!$E:$E,"Annual"),
_xlpm.planned,SUMIFS(Planned!$F:$F,Planned!$B:$B,$B55,Planned!$E:$E,"&gt;="&amp;E$4,Planned!$E:$E,"&lt;="&amp;EOMONTH(E$4,0)),
_xlpm.daily+_xlpm.weekdays+_xlpm.paydays+_xlpm.monthly+_xlpm.annual+_xlpm.planned)</f>
        <v>270</v>
      </c>
      <c r="F55" s="144" cm="1">
        <f t="array" aca="1" ref="F55" ca="1">_xlfn.LET(
_xlpm.daily,RecurringFactorBased($B55,"Daily",F$4,F$104),
_xlpm.weekdays,RecurringFactorBased($B55,"Weekdays",F$4,F$103),
_xlpm.paydays,RecurringFactorBased($B55,"Paydays",F$4,F$102),
_xlpm.monthly,SUMIFS(Recurring!$D:$D,Recurring!$B:$B,$B55,Recurring!$E:$E,"Monthly")+SUMIFS(Changes!$F:$F,Changes!$B:$B,$B55,Changes!$D:$D,"&lt;="&amp;F$4,Changes!$E:$E,"Monthly"),
_xlpm.annual,SUMIFS(Recurring!$D:$D,Recurring!$B:$B,$B55,Recurring!$E:$E,"Annual",Recurring!$G:$G,"&gt;="&amp;F$4,Recurring!$G:$G,"&lt;="&amp;EOMONTH(F$4,0))+SUMIFS(Changes!$F:$F,Changes!$B:$B,$B55,Changes!$D:$D,"&lt;="&amp;F$4,Changes!$E:$E,"Annual"),
_xlpm.planned,SUMIFS(Planned!$F:$F,Planned!$B:$B,$B55,Planned!$E:$E,"&gt;="&amp;F$4,Planned!$E:$E,"&lt;="&amp;EOMONTH(F$4,0)),
_xlpm.daily+_xlpm.weekdays+_xlpm.paydays+_xlpm.monthly+_xlpm.annual+_xlpm.planned)</f>
        <v>300</v>
      </c>
      <c r="G55" s="144" cm="1">
        <f t="array" aca="1" ref="G55" ca="1">_xlfn.LET(
_xlpm.daily,RecurringFactorBased($B55,"Daily",G$4,G$104),
_xlpm.weekdays,RecurringFactorBased($B55,"Weekdays",G$4,G$103),
_xlpm.paydays,RecurringFactorBased($B55,"Paydays",G$4,G$102),
_xlpm.monthly,SUMIFS(Recurring!$D:$D,Recurring!$B:$B,$B55,Recurring!$E:$E,"Monthly")+SUMIFS(Changes!$F:$F,Changes!$B:$B,$B55,Changes!$D:$D,"&lt;="&amp;G$4,Changes!$E:$E,"Monthly"),
_xlpm.annual,SUMIFS(Recurring!$D:$D,Recurring!$B:$B,$B55,Recurring!$E:$E,"Annual",Recurring!$G:$G,"&gt;="&amp;G$4,Recurring!$G:$G,"&lt;="&amp;EOMONTH(G$4,0))+SUMIFS(Changes!$F:$F,Changes!$B:$B,$B55,Changes!$D:$D,"&lt;="&amp;G$4,Changes!$E:$E,"Annual"),
_xlpm.planned,SUMIFS(Planned!$F:$F,Planned!$B:$B,$B55,Planned!$E:$E,"&gt;="&amp;G$4,Planned!$E:$E,"&lt;="&amp;EOMONTH(G$4,0)),
_xlpm.daily+_xlpm.weekdays+_xlpm.paydays+_xlpm.monthly+_xlpm.annual+_xlpm.planned)</f>
        <v>290</v>
      </c>
      <c r="H55" s="144" cm="1">
        <f t="array" aca="1" ref="H55" ca="1">_xlfn.LET(
_xlpm.daily,RecurringFactorBased($B55,"Daily",H$4,H$104),
_xlpm.weekdays,RecurringFactorBased($B55,"Weekdays",H$4,H$103),
_xlpm.paydays,RecurringFactorBased($B55,"Paydays",H$4,H$102),
_xlpm.monthly,SUMIFS(Recurring!$D:$D,Recurring!$B:$B,$B55,Recurring!$E:$E,"Monthly")+SUMIFS(Changes!$F:$F,Changes!$B:$B,$B55,Changes!$D:$D,"&lt;="&amp;H$4,Changes!$E:$E,"Monthly"),
_xlpm.annual,SUMIFS(Recurring!$D:$D,Recurring!$B:$B,$B55,Recurring!$E:$E,"Annual",Recurring!$G:$G,"&gt;="&amp;H$4,Recurring!$G:$G,"&lt;="&amp;EOMONTH(H$4,0))+SUMIFS(Changes!$F:$F,Changes!$B:$B,$B55,Changes!$D:$D,"&lt;="&amp;H$4,Changes!$E:$E,"Annual"),
_xlpm.planned,SUMIFS(Planned!$F:$F,Planned!$B:$B,$B55,Planned!$E:$E,"&gt;="&amp;H$4,Planned!$E:$E,"&lt;="&amp;EOMONTH(H$4,0)),
_xlpm.daily+_xlpm.weekdays+_xlpm.paydays+_xlpm.monthly+_xlpm.annual+_xlpm.planned)</f>
        <v>300</v>
      </c>
      <c r="I55" s="144" cm="1">
        <f t="array" aca="1" ref="I55" ca="1">_xlfn.LET(
_xlpm.daily,RecurringFactorBased($B55,"Daily",I$4,I$104),
_xlpm.weekdays,RecurringFactorBased($B55,"Weekdays",I$4,I$103),
_xlpm.paydays,RecurringFactorBased($B55,"Paydays",I$4,I$102),
_xlpm.monthly,SUMIFS(Recurring!$D:$D,Recurring!$B:$B,$B55,Recurring!$E:$E,"Monthly")+SUMIFS(Changes!$F:$F,Changes!$B:$B,$B55,Changes!$D:$D,"&lt;="&amp;I$4,Changes!$E:$E,"Monthly"),
_xlpm.annual,SUMIFS(Recurring!$D:$D,Recurring!$B:$B,$B55,Recurring!$E:$E,"Annual",Recurring!$G:$G,"&gt;="&amp;I$4,Recurring!$G:$G,"&lt;="&amp;EOMONTH(I$4,0))+SUMIFS(Changes!$F:$F,Changes!$B:$B,$B55,Changes!$D:$D,"&lt;="&amp;I$4,Changes!$E:$E,"Annual"),
_xlpm.planned,SUMIFS(Planned!$F:$F,Planned!$B:$B,$B55,Planned!$E:$E,"&gt;="&amp;I$4,Planned!$E:$E,"&lt;="&amp;EOMONTH(I$4,0)),
_xlpm.daily+_xlpm.weekdays+_xlpm.paydays+_xlpm.monthly+_xlpm.annual+_xlpm.planned)</f>
        <v>290</v>
      </c>
      <c r="J55" s="144" cm="1">
        <f t="array" aca="1" ref="J55" ca="1">_xlfn.LET(
_xlpm.daily,RecurringFactorBased($B55,"Daily",J$4,J$104),
_xlpm.weekdays,RecurringFactorBased($B55,"Weekdays",J$4,J$103),
_xlpm.paydays,RecurringFactorBased($B55,"Paydays",J$4,J$102),
_xlpm.monthly,SUMIFS(Recurring!$D:$D,Recurring!$B:$B,$B55,Recurring!$E:$E,"Monthly")+SUMIFS(Changes!$F:$F,Changes!$B:$B,$B55,Changes!$D:$D,"&lt;="&amp;J$4,Changes!$E:$E,"Monthly"),
_xlpm.annual,SUMIFS(Recurring!$D:$D,Recurring!$B:$B,$B55,Recurring!$E:$E,"Annual",Recurring!$G:$G,"&gt;="&amp;J$4,Recurring!$G:$G,"&lt;="&amp;EOMONTH(J$4,0))+SUMIFS(Changes!$F:$F,Changes!$B:$B,$B55,Changes!$D:$D,"&lt;="&amp;J$4,Changes!$E:$E,"Annual"),
_xlpm.planned,SUMIFS(Planned!$F:$F,Planned!$B:$B,$B55,Planned!$E:$E,"&gt;="&amp;J$4,Planned!$E:$E,"&lt;="&amp;EOMONTH(J$4,0)),
_xlpm.daily+_xlpm.weekdays+_xlpm.paydays+_xlpm.monthly+_xlpm.annual+_xlpm.planned)</f>
        <v>300</v>
      </c>
      <c r="K55" s="144" cm="1">
        <f t="array" aca="1" ref="K55" ca="1">_xlfn.LET(
_xlpm.daily,RecurringFactorBased($B55,"Daily",K$4,K$104),
_xlpm.weekdays,RecurringFactorBased($B55,"Weekdays",K$4,K$103),
_xlpm.paydays,RecurringFactorBased($B55,"Paydays",K$4,K$102),
_xlpm.monthly,SUMIFS(Recurring!$D:$D,Recurring!$B:$B,$B55,Recurring!$E:$E,"Monthly")+SUMIFS(Changes!$F:$F,Changes!$B:$B,$B55,Changes!$D:$D,"&lt;="&amp;K$4,Changes!$E:$E,"Monthly"),
_xlpm.annual,SUMIFS(Recurring!$D:$D,Recurring!$B:$B,$B55,Recurring!$E:$E,"Annual",Recurring!$G:$G,"&gt;="&amp;K$4,Recurring!$G:$G,"&lt;="&amp;EOMONTH(K$4,0))+SUMIFS(Changes!$F:$F,Changes!$B:$B,$B55,Changes!$D:$D,"&lt;="&amp;K$4,Changes!$E:$E,"Annual"),
_xlpm.planned,SUMIFS(Planned!$F:$F,Planned!$B:$B,$B55,Planned!$E:$E,"&gt;="&amp;K$4,Planned!$E:$E,"&lt;="&amp;EOMONTH(K$4,0)),
_xlpm.daily+_xlpm.weekdays+_xlpm.paydays+_xlpm.monthly+_xlpm.annual+_xlpm.planned)</f>
        <v>300</v>
      </c>
      <c r="L55" s="144" cm="1">
        <f t="array" aca="1" ref="L55" ca="1">_xlfn.LET(
_xlpm.daily,RecurringFactorBased($B55,"Daily",L$4,L$104),
_xlpm.weekdays,RecurringFactorBased($B55,"Weekdays",L$4,L$103),
_xlpm.paydays,RecurringFactorBased($B55,"Paydays",L$4,L$102),
_xlpm.monthly,SUMIFS(Recurring!$D:$D,Recurring!$B:$B,$B55,Recurring!$E:$E,"Monthly")+SUMIFS(Changes!$F:$F,Changes!$B:$B,$B55,Changes!$D:$D,"&lt;="&amp;L$4,Changes!$E:$E,"Monthly"),
_xlpm.annual,SUMIFS(Recurring!$D:$D,Recurring!$B:$B,$B55,Recurring!$E:$E,"Annual",Recurring!$G:$G,"&gt;="&amp;L$4,Recurring!$G:$G,"&lt;="&amp;EOMONTH(L$4,0))+SUMIFS(Changes!$F:$F,Changes!$B:$B,$B55,Changes!$D:$D,"&lt;="&amp;L$4,Changes!$E:$E,"Annual"),
_xlpm.planned,SUMIFS(Planned!$F:$F,Planned!$B:$B,$B55,Planned!$E:$E,"&gt;="&amp;L$4,Planned!$E:$E,"&lt;="&amp;EOMONTH(L$4,0)),
_xlpm.daily+_xlpm.weekdays+_xlpm.paydays+_xlpm.monthly+_xlpm.annual+_xlpm.planned)</f>
        <v>290</v>
      </c>
      <c r="M55" s="144" cm="1">
        <f t="array" aca="1" ref="M55" ca="1">_xlfn.LET(
_xlpm.daily,RecurringFactorBased($B55,"Daily",M$4,M$104),
_xlpm.weekdays,RecurringFactorBased($B55,"Weekdays",M$4,M$103),
_xlpm.paydays,RecurringFactorBased($B55,"Paydays",M$4,M$102),
_xlpm.monthly,SUMIFS(Recurring!$D:$D,Recurring!$B:$B,$B55,Recurring!$E:$E,"Monthly")+SUMIFS(Changes!$F:$F,Changes!$B:$B,$B55,Changes!$D:$D,"&lt;="&amp;M$4,Changes!$E:$E,"Monthly"),
_xlpm.annual,SUMIFS(Recurring!$D:$D,Recurring!$B:$B,$B55,Recurring!$E:$E,"Annual",Recurring!$G:$G,"&gt;="&amp;M$4,Recurring!$G:$G,"&lt;="&amp;EOMONTH(M$4,0))+SUMIFS(Changes!$F:$F,Changes!$B:$B,$B55,Changes!$D:$D,"&lt;="&amp;M$4,Changes!$E:$E,"Annual"),
_xlpm.planned,SUMIFS(Planned!$F:$F,Planned!$B:$B,$B55,Planned!$E:$E,"&gt;="&amp;M$4,Planned!$E:$E,"&lt;="&amp;EOMONTH(M$4,0)),
_xlpm.daily+_xlpm.weekdays+_xlpm.paydays+_xlpm.monthly+_xlpm.annual+_xlpm.planned)</f>
        <v>300</v>
      </c>
      <c r="N55" s="144" cm="1">
        <f t="array" aca="1" ref="N55" ca="1">_xlfn.LET(
_xlpm.daily,RecurringFactorBased($B55,"Daily",N$4,N$104),
_xlpm.weekdays,RecurringFactorBased($B55,"Weekdays",N$4,N$103),
_xlpm.paydays,RecurringFactorBased($B55,"Paydays",N$4,N$102),
_xlpm.monthly,SUMIFS(Recurring!$D:$D,Recurring!$B:$B,$B55,Recurring!$E:$E,"Monthly")+SUMIFS(Changes!$F:$F,Changes!$B:$B,$B55,Changes!$D:$D,"&lt;="&amp;N$4,Changes!$E:$E,"Monthly"),
_xlpm.annual,SUMIFS(Recurring!$D:$D,Recurring!$B:$B,$B55,Recurring!$E:$E,"Annual",Recurring!$G:$G,"&gt;="&amp;N$4,Recurring!$G:$G,"&lt;="&amp;EOMONTH(N$4,0))+SUMIFS(Changes!$F:$F,Changes!$B:$B,$B55,Changes!$D:$D,"&lt;="&amp;N$4,Changes!$E:$E,"Annual"),
_xlpm.planned,SUMIFS(Planned!$F:$F,Planned!$B:$B,$B55,Planned!$E:$E,"&gt;="&amp;N$4,Planned!$E:$E,"&lt;="&amp;EOMONTH(N$4,0)),
_xlpm.daily+_xlpm.weekdays+_xlpm.paydays+_xlpm.monthly+_xlpm.annual+_xlpm.planned)</f>
        <v>290</v>
      </c>
      <c r="O55" s="134"/>
      <c r="P55" s="145">
        <f t="shared" ref="P55:P58" ca="1" si="15">SUM(C55:N55)</f>
        <v>3270</v>
      </c>
      <c r="Q55" s="81"/>
      <c r="R55" s="206"/>
      <c r="U55" s="22"/>
    </row>
    <row r="56" spans="1:23" ht="12.75" customHeight="1" x14ac:dyDescent="0.2">
      <c r="A56" s="67"/>
      <c r="B56" s="103" t="s">
        <v>5</v>
      </c>
      <c r="C56" s="144" cm="1">
        <f t="array" aca="1" ref="C56" ca="1">_xlfn.LET(
_xlpm.daily,RecurringFactorBased($B56,"Daily",C$4,C$104),
_xlpm.weekdays,RecurringFactorBased($B56,"Weekdays",C$4,C$103),
_xlpm.paydays,RecurringFactorBased($B56,"Paydays",C$4,C$102),
_xlpm.monthly,SUMIFS(Recurring!$D:$D,Recurring!$B:$B,$B56,Recurring!$E:$E,"Monthly",Recurring!$G:$G,"&gt;="&amp;C$4)+SUMIFS(Changes!$F:$F,Changes!$B:$B,$B56,Changes!$D:$D,"&lt;="&amp;C$4,Changes!$E:$E,"Monthly"),
_xlpm.annual,SUMIFS(Recurring!$D:$D,Recurring!$B:$B,$B56,Recurring!$E:$E,"Annual",Recurring!$G:$G,"&gt;="&amp;C$4,Recurring!$G:$G,"&lt;="&amp;EOMONTH(C$4,0))+SUMIFS(Changes!$F:$F,Changes!$B:$B,$B56,Changes!$D:$D,"&lt;="&amp;C$4,Changes!$E:$E,"Annual"),
_xlpm.planned,SUMIFS(Planned!$F:$F,Planned!$B:$B,$B56,Planned!$E:$E,"&gt;="&amp;C$4,Planned!$E:$E,"&lt;="&amp;EOMONTH(C$4,0)),
_xlpm.daily+_xlpm.weekdays+_xlpm.paydays+_xlpm.monthly+_xlpm.annual+_xlpm.planned)</f>
        <v>40</v>
      </c>
      <c r="D56" s="144" cm="1">
        <f t="array" aca="1" ref="D56" ca="1">_xlfn.LET(
_xlpm.daily,RecurringFactorBased($B56,"Daily",D$4,D$104),
_xlpm.weekdays,RecurringFactorBased($B56,"Weekdays",D$4,D$103),
_xlpm.paydays,RecurringFactorBased($B56,"Paydays",D$4,D$102),
_xlpm.monthly,SUMIFS(Recurring!$D:$D,Recurring!$B:$B,$B56,Recurring!$E:$E,"Monthly")+SUMIFS(Changes!$F:$F,Changes!$B:$B,$B56,Changes!$D:$D,"&lt;="&amp;D$4,Changes!$E:$E,"Monthly"),
_xlpm.annual,SUMIFS(Recurring!$D:$D,Recurring!$B:$B,$B56,Recurring!$E:$E,"Annual",Recurring!$G:$G,"&gt;="&amp;D$4,Recurring!$G:$G,"&lt;="&amp;EOMONTH(D$4,0))+SUMIFS(Changes!$F:$F,Changes!$B:$B,$B56,Changes!$D:$D,"&lt;="&amp;D$4,Changes!$E:$E,"Annual"),
_xlpm.planned,SUMIFS(Planned!$F:$F,Planned!$B:$B,$B56,Planned!$E:$E,"&gt;="&amp;D$4,Planned!$E:$E,"&lt;="&amp;EOMONTH(D$4,0)),
_xlpm.daily+_xlpm.weekdays+_xlpm.paydays+_xlpm.monthly+_xlpm.annual+_xlpm.planned)</f>
        <v>300</v>
      </c>
      <c r="E56" s="144" cm="1">
        <f t="array" aca="1" ref="E56" ca="1">_xlfn.LET(
_xlpm.daily,RecurringFactorBased($B56,"Daily",E$4,E$104),
_xlpm.weekdays,RecurringFactorBased($B56,"Weekdays",E$4,E$103),
_xlpm.paydays,RecurringFactorBased($B56,"Paydays",E$4,E$102),
_xlpm.monthly,SUMIFS(Recurring!$D:$D,Recurring!$B:$B,$B56,Recurring!$E:$E,"Monthly")+SUMIFS(Changes!$F:$F,Changes!$B:$B,$B56,Changes!$D:$D,"&lt;="&amp;E$4,Changes!$E:$E,"Monthly"),
_xlpm.annual,SUMIFS(Recurring!$D:$D,Recurring!$B:$B,$B56,Recurring!$E:$E,"Annual",Recurring!$G:$G,"&gt;="&amp;E$4,Recurring!$G:$G,"&lt;="&amp;EOMONTH(E$4,0))+SUMIFS(Changes!$F:$F,Changes!$B:$B,$B56,Changes!$D:$D,"&lt;="&amp;E$4,Changes!$E:$E,"Annual"),
_xlpm.planned,SUMIFS(Planned!$F:$F,Planned!$B:$B,$B56,Planned!$E:$E,"&gt;="&amp;E$4,Planned!$E:$E,"&lt;="&amp;EOMONTH(E$4,0)),
_xlpm.daily+_xlpm.weekdays+_xlpm.paydays+_xlpm.monthly+_xlpm.annual+_xlpm.planned)</f>
        <v>270</v>
      </c>
      <c r="F56" s="144" cm="1">
        <f t="array" aca="1" ref="F56" ca="1">_xlfn.LET(
_xlpm.daily,RecurringFactorBased($B56,"Daily",F$4,F$104),
_xlpm.weekdays,RecurringFactorBased($B56,"Weekdays",F$4,F$103),
_xlpm.paydays,RecurringFactorBased($B56,"Paydays",F$4,F$102),
_xlpm.monthly,SUMIFS(Recurring!$D:$D,Recurring!$B:$B,$B56,Recurring!$E:$E,"Monthly")+SUMIFS(Changes!$F:$F,Changes!$B:$B,$B56,Changes!$D:$D,"&lt;="&amp;F$4,Changes!$E:$E,"Monthly"),
_xlpm.annual,SUMIFS(Recurring!$D:$D,Recurring!$B:$B,$B56,Recurring!$E:$E,"Annual",Recurring!$G:$G,"&gt;="&amp;F$4,Recurring!$G:$G,"&lt;="&amp;EOMONTH(F$4,0))+SUMIFS(Changes!$F:$F,Changes!$B:$B,$B56,Changes!$D:$D,"&lt;="&amp;F$4,Changes!$E:$E,"Annual"),
_xlpm.planned,SUMIFS(Planned!$F:$F,Planned!$B:$B,$B56,Planned!$E:$E,"&gt;="&amp;F$4,Planned!$E:$E,"&lt;="&amp;EOMONTH(F$4,0)),
_xlpm.daily+_xlpm.weekdays+_xlpm.paydays+_xlpm.monthly+_xlpm.annual+_xlpm.planned)</f>
        <v>300</v>
      </c>
      <c r="G56" s="144" cm="1">
        <f t="array" aca="1" ref="G56" ca="1">_xlfn.LET(
_xlpm.daily,RecurringFactorBased($B56,"Daily",G$4,G$104),
_xlpm.weekdays,RecurringFactorBased($B56,"Weekdays",G$4,G$103),
_xlpm.paydays,RecurringFactorBased($B56,"Paydays",G$4,G$102),
_xlpm.monthly,SUMIFS(Recurring!$D:$D,Recurring!$B:$B,$B56,Recurring!$E:$E,"Monthly")+SUMIFS(Changes!$F:$F,Changes!$B:$B,$B56,Changes!$D:$D,"&lt;="&amp;G$4,Changes!$E:$E,"Monthly"),
_xlpm.annual,SUMIFS(Recurring!$D:$D,Recurring!$B:$B,$B56,Recurring!$E:$E,"Annual",Recurring!$G:$G,"&gt;="&amp;G$4,Recurring!$G:$G,"&lt;="&amp;EOMONTH(G$4,0))+SUMIFS(Changes!$F:$F,Changes!$B:$B,$B56,Changes!$D:$D,"&lt;="&amp;G$4,Changes!$E:$E,"Annual"),
_xlpm.planned,SUMIFS(Planned!$F:$F,Planned!$B:$B,$B56,Planned!$E:$E,"&gt;="&amp;G$4,Planned!$E:$E,"&lt;="&amp;EOMONTH(G$4,0)),
_xlpm.daily+_xlpm.weekdays+_xlpm.paydays+_xlpm.monthly+_xlpm.annual+_xlpm.planned)</f>
        <v>290</v>
      </c>
      <c r="H56" s="144" cm="1">
        <f t="array" aca="1" ref="H56" ca="1">_xlfn.LET(
_xlpm.daily,RecurringFactorBased($B56,"Daily",H$4,H$104),
_xlpm.weekdays,RecurringFactorBased($B56,"Weekdays",H$4,H$103),
_xlpm.paydays,RecurringFactorBased($B56,"Paydays",H$4,H$102),
_xlpm.monthly,SUMIFS(Recurring!$D:$D,Recurring!$B:$B,$B56,Recurring!$E:$E,"Monthly")+SUMIFS(Changes!$F:$F,Changes!$B:$B,$B56,Changes!$D:$D,"&lt;="&amp;H$4,Changes!$E:$E,"Monthly"),
_xlpm.annual,SUMIFS(Recurring!$D:$D,Recurring!$B:$B,$B56,Recurring!$E:$E,"Annual",Recurring!$G:$G,"&gt;="&amp;H$4,Recurring!$G:$G,"&lt;="&amp;EOMONTH(H$4,0))+SUMIFS(Changes!$F:$F,Changes!$B:$B,$B56,Changes!$D:$D,"&lt;="&amp;H$4,Changes!$E:$E,"Annual"),
_xlpm.planned,SUMIFS(Planned!$F:$F,Planned!$B:$B,$B56,Planned!$E:$E,"&gt;="&amp;H$4,Planned!$E:$E,"&lt;="&amp;EOMONTH(H$4,0)),
_xlpm.daily+_xlpm.weekdays+_xlpm.paydays+_xlpm.monthly+_xlpm.annual+_xlpm.planned)</f>
        <v>300</v>
      </c>
      <c r="I56" s="144" cm="1">
        <f t="array" aca="1" ref="I56" ca="1">_xlfn.LET(
_xlpm.daily,RecurringFactorBased($B56,"Daily",I$4,I$104),
_xlpm.weekdays,RecurringFactorBased($B56,"Weekdays",I$4,I$103),
_xlpm.paydays,RecurringFactorBased($B56,"Paydays",I$4,I$102),
_xlpm.monthly,SUMIFS(Recurring!$D:$D,Recurring!$B:$B,$B56,Recurring!$E:$E,"Monthly")+SUMIFS(Changes!$F:$F,Changes!$B:$B,$B56,Changes!$D:$D,"&lt;="&amp;I$4,Changes!$E:$E,"Monthly"),
_xlpm.annual,SUMIFS(Recurring!$D:$D,Recurring!$B:$B,$B56,Recurring!$E:$E,"Annual",Recurring!$G:$G,"&gt;="&amp;I$4,Recurring!$G:$G,"&lt;="&amp;EOMONTH(I$4,0))+SUMIFS(Changes!$F:$F,Changes!$B:$B,$B56,Changes!$D:$D,"&lt;="&amp;I$4,Changes!$E:$E,"Annual"),
_xlpm.planned,SUMIFS(Planned!$F:$F,Planned!$B:$B,$B56,Planned!$E:$E,"&gt;="&amp;I$4,Planned!$E:$E,"&lt;="&amp;EOMONTH(I$4,0)),
_xlpm.daily+_xlpm.weekdays+_xlpm.paydays+_xlpm.monthly+_xlpm.annual+_xlpm.planned)</f>
        <v>290</v>
      </c>
      <c r="J56" s="144" cm="1">
        <f t="array" aca="1" ref="J56" ca="1">_xlfn.LET(
_xlpm.daily,RecurringFactorBased($B56,"Daily",J$4,J$104),
_xlpm.weekdays,RecurringFactorBased($B56,"Weekdays",J$4,J$103),
_xlpm.paydays,RecurringFactorBased($B56,"Paydays",J$4,J$102),
_xlpm.monthly,SUMIFS(Recurring!$D:$D,Recurring!$B:$B,$B56,Recurring!$E:$E,"Monthly")+SUMIFS(Changes!$F:$F,Changes!$B:$B,$B56,Changes!$D:$D,"&lt;="&amp;J$4,Changes!$E:$E,"Monthly"),
_xlpm.annual,SUMIFS(Recurring!$D:$D,Recurring!$B:$B,$B56,Recurring!$E:$E,"Annual",Recurring!$G:$G,"&gt;="&amp;J$4,Recurring!$G:$G,"&lt;="&amp;EOMONTH(J$4,0))+SUMIFS(Changes!$F:$F,Changes!$B:$B,$B56,Changes!$D:$D,"&lt;="&amp;J$4,Changes!$E:$E,"Annual"),
_xlpm.planned,SUMIFS(Planned!$F:$F,Planned!$B:$B,$B56,Planned!$E:$E,"&gt;="&amp;J$4,Planned!$E:$E,"&lt;="&amp;EOMONTH(J$4,0)),
_xlpm.daily+_xlpm.weekdays+_xlpm.paydays+_xlpm.monthly+_xlpm.annual+_xlpm.planned)</f>
        <v>300</v>
      </c>
      <c r="K56" s="144" cm="1">
        <f t="array" aca="1" ref="K56" ca="1">_xlfn.LET(
_xlpm.daily,RecurringFactorBased($B56,"Daily",K$4,K$104),
_xlpm.weekdays,RecurringFactorBased($B56,"Weekdays",K$4,K$103),
_xlpm.paydays,RecurringFactorBased($B56,"Paydays",K$4,K$102),
_xlpm.monthly,SUMIFS(Recurring!$D:$D,Recurring!$B:$B,$B56,Recurring!$E:$E,"Monthly")+SUMIFS(Changes!$F:$F,Changes!$B:$B,$B56,Changes!$D:$D,"&lt;="&amp;K$4,Changes!$E:$E,"Monthly"),
_xlpm.annual,SUMIFS(Recurring!$D:$D,Recurring!$B:$B,$B56,Recurring!$E:$E,"Annual",Recurring!$G:$G,"&gt;="&amp;K$4,Recurring!$G:$G,"&lt;="&amp;EOMONTH(K$4,0))+SUMIFS(Changes!$F:$F,Changes!$B:$B,$B56,Changes!$D:$D,"&lt;="&amp;K$4,Changes!$E:$E,"Annual"),
_xlpm.planned,SUMIFS(Planned!$F:$F,Planned!$B:$B,$B56,Planned!$E:$E,"&gt;="&amp;K$4,Planned!$E:$E,"&lt;="&amp;EOMONTH(K$4,0)),
_xlpm.daily+_xlpm.weekdays+_xlpm.paydays+_xlpm.monthly+_xlpm.annual+_xlpm.planned)</f>
        <v>300</v>
      </c>
      <c r="L56" s="144" cm="1">
        <f t="array" aca="1" ref="L56" ca="1">_xlfn.LET(
_xlpm.daily,RecurringFactorBased($B56,"Daily",L$4,L$104),
_xlpm.weekdays,RecurringFactorBased($B56,"Weekdays",L$4,L$103),
_xlpm.paydays,RecurringFactorBased($B56,"Paydays",L$4,L$102),
_xlpm.monthly,SUMIFS(Recurring!$D:$D,Recurring!$B:$B,$B56,Recurring!$E:$E,"Monthly")+SUMIFS(Changes!$F:$F,Changes!$B:$B,$B56,Changes!$D:$D,"&lt;="&amp;L$4,Changes!$E:$E,"Monthly"),
_xlpm.annual,SUMIFS(Recurring!$D:$D,Recurring!$B:$B,$B56,Recurring!$E:$E,"Annual",Recurring!$G:$G,"&gt;="&amp;L$4,Recurring!$G:$G,"&lt;="&amp;EOMONTH(L$4,0))+SUMIFS(Changes!$F:$F,Changes!$B:$B,$B56,Changes!$D:$D,"&lt;="&amp;L$4,Changes!$E:$E,"Annual"),
_xlpm.planned,SUMIFS(Planned!$F:$F,Planned!$B:$B,$B56,Planned!$E:$E,"&gt;="&amp;L$4,Planned!$E:$E,"&lt;="&amp;EOMONTH(L$4,0)),
_xlpm.daily+_xlpm.weekdays+_xlpm.paydays+_xlpm.monthly+_xlpm.annual+_xlpm.planned)</f>
        <v>290</v>
      </c>
      <c r="M56" s="144" cm="1">
        <f t="array" aca="1" ref="M56" ca="1">_xlfn.LET(
_xlpm.daily,RecurringFactorBased($B56,"Daily",M$4,M$104),
_xlpm.weekdays,RecurringFactorBased($B56,"Weekdays",M$4,M$103),
_xlpm.paydays,RecurringFactorBased($B56,"Paydays",M$4,M$102),
_xlpm.monthly,SUMIFS(Recurring!$D:$D,Recurring!$B:$B,$B56,Recurring!$E:$E,"Monthly")+SUMIFS(Changes!$F:$F,Changes!$B:$B,$B56,Changes!$D:$D,"&lt;="&amp;M$4,Changes!$E:$E,"Monthly"),
_xlpm.annual,SUMIFS(Recurring!$D:$D,Recurring!$B:$B,$B56,Recurring!$E:$E,"Annual",Recurring!$G:$G,"&gt;="&amp;M$4,Recurring!$G:$G,"&lt;="&amp;EOMONTH(M$4,0))+SUMIFS(Changes!$F:$F,Changes!$B:$B,$B56,Changes!$D:$D,"&lt;="&amp;M$4,Changes!$E:$E,"Annual"),
_xlpm.planned,SUMIFS(Planned!$F:$F,Planned!$B:$B,$B56,Planned!$E:$E,"&gt;="&amp;M$4,Planned!$E:$E,"&lt;="&amp;EOMONTH(M$4,0)),
_xlpm.daily+_xlpm.weekdays+_xlpm.paydays+_xlpm.monthly+_xlpm.annual+_xlpm.planned)</f>
        <v>300</v>
      </c>
      <c r="N56" s="144" cm="1">
        <f t="array" aca="1" ref="N56" ca="1">_xlfn.LET(
_xlpm.daily,RecurringFactorBased($B56,"Daily",N$4,N$104),
_xlpm.weekdays,RecurringFactorBased($B56,"Weekdays",N$4,N$103),
_xlpm.paydays,RecurringFactorBased($B56,"Paydays",N$4,N$102),
_xlpm.monthly,SUMIFS(Recurring!$D:$D,Recurring!$B:$B,$B56,Recurring!$E:$E,"Monthly")+SUMIFS(Changes!$F:$F,Changes!$B:$B,$B56,Changes!$D:$D,"&lt;="&amp;N$4,Changes!$E:$E,"Monthly"),
_xlpm.annual,SUMIFS(Recurring!$D:$D,Recurring!$B:$B,$B56,Recurring!$E:$E,"Annual",Recurring!$G:$G,"&gt;="&amp;N$4,Recurring!$G:$G,"&lt;="&amp;EOMONTH(N$4,0))+SUMIFS(Changes!$F:$F,Changes!$B:$B,$B56,Changes!$D:$D,"&lt;="&amp;N$4,Changes!$E:$E,"Annual"),
_xlpm.planned,SUMIFS(Planned!$F:$F,Planned!$B:$B,$B56,Planned!$E:$E,"&gt;="&amp;N$4,Planned!$E:$E,"&lt;="&amp;EOMONTH(N$4,0)),
_xlpm.daily+_xlpm.weekdays+_xlpm.paydays+_xlpm.monthly+_xlpm.annual+_xlpm.planned)</f>
        <v>290</v>
      </c>
      <c r="O56" s="134"/>
      <c r="P56" s="145">
        <f t="shared" ca="1" si="15"/>
        <v>3270</v>
      </c>
      <c r="Q56" s="81"/>
      <c r="R56" s="206"/>
      <c r="U56" s="22"/>
    </row>
    <row r="57" spans="1:23" ht="12.75" customHeight="1" x14ac:dyDescent="0.2">
      <c r="A57" s="62"/>
      <c r="B57" s="103" t="s">
        <v>64</v>
      </c>
      <c r="C57" s="144" cm="1">
        <f t="array" aca="1" ref="C57" ca="1">_xlfn.LET(
_xlpm.daily,RecurringFactorBased($B57,"Daily",C$4,C$104),
_xlpm.weekdays,RecurringFactorBased($B57,"Weekdays",C$4,C$103),
_xlpm.paydays,RecurringFactorBased($B57,"Paydays",C$4,C$102),
_xlpm.monthly,SUMIFS(Recurring!$D:$D,Recurring!$B:$B,$B57,Recurring!$E:$E,"Monthly",Recurring!$G:$G,"&gt;="&amp;C$4)+SUMIFS(Changes!$F:$F,Changes!$B:$B,$B57,Changes!$D:$D,"&lt;="&amp;C$4,Changes!$E:$E,"Monthly"),
_xlpm.annual,SUMIFS(Recurring!$D:$D,Recurring!$B:$B,$B57,Recurring!$E:$E,"Annual",Recurring!$G:$G,"&gt;="&amp;C$4,Recurring!$G:$G,"&lt;="&amp;EOMONTH(C$4,0))+SUMIFS(Changes!$F:$F,Changes!$B:$B,$B57,Changes!$D:$D,"&lt;="&amp;C$4,Changes!$E:$E,"Annual"),
_xlpm.planned,SUMIFS(Planned!$F:$F,Planned!$B:$B,$B57,Planned!$E:$E,"&gt;="&amp;C$4,Planned!$E:$E,"&lt;="&amp;EOMONTH(C$4,0)),
_xlpm.daily+_xlpm.weekdays+_xlpm.paydays+_xlpm.monthly+_xlpm.annual+_xlpm.planned)</f>
        <v>500</v>
      </c>
      <c r="D57" s="144" cm="1">
        <f t="array" aca="1" ref="D57" ca="1">_xlfn.LET(
_xlpm.daily,RecurringFactorBased($B57,"Daily",D$4,D$104),
_xlpm.weekdays,RecurringFactorBased($B57,"Weekdays",D$4,D$103),
_xlpm.paydays,RecurringFactorBased($B57,"Paydays",D$4,D$102),
_xlpm.monthly,SUMIFS(Recurring!$D:$D,Recurring!$B:$B,$B57,Recurring!$E:$E,"Monthly")+SUMIFS(Changes!$F:$F,Changes!$B:$B,$B57,Changes!$D:$D,"&lt;="&amp;D$4,Changes!$E:$E,"Monthly"),
_xlpm.annual,SUMIFS(Recurring!$D:$D,Recurring!$B:$B,$B57,Recurring!$E:$E,"Annual",Recurring!$G:$G,"&gt;="&amp;D$4,Recurring!$G:$G,"&lt;="&amp;EOMONTH(D$4,0))+SUMIFS(Changes!$F:$F,Changes!$B:$B,$B57,Changes!$D:$D,"&lt;="&amp;D$4,Changes!$E:$E,"Annual"),
_xlpm.planned,SUMIFS(Planned!$F:$F,Planned!$B:$B,$B57,Planned!$E:$E,"&gt;="&amp;D$4,Planned!$E:$E,"&lt;="&amp;EOMONTH(D$4,0)),
_xlpm.daily+_xlpm.weekdays+_xlpm.paydays+_xlpm.monthly+_xlpm.annual+_xlpm.planned)</f>
        <v>0</v>
      </c>
      <c r="E57" s="144" cm="1">
        <f t="array" aca="1" ref="E57" ca="1">_xlfn.LET(
_xlpm.daily,RecurringFactorBased($B57,"Daily",E$4,E$104),
_xlpm.weekdays,RecurringFactorBased($B57,"Weekdays",E$4,E$103),
_xlpm.paydays,RecurringFactorBased($B57,"Paydays",E$4,E$102),
_xlpm.monthly,SUMIFS(Recurring!$D:$D,Recurring!$B:$B,$B57,Recurring!$E:$E,"Monthly")+SUMIFS(Changes!$F:$F,Changes!$B:$B,$B57,Changes!$D:$D,"&lt;="&amp;E$4,Changes!$E:$E,"Monthly"),
_xlpm.annual,SUMIFS(Recurring!$D:$D,Recurring!$B:$B,$B57,Recurring!$E:$E,"Annual",Recurring!$G:$G,"&gt;="&amp;E$4,Recurring!$G:$G,"&lt;="&amp;EOMONTH(E$4,0))+SUMIFS(Changes!$F:$F,Changes!$B:$B,$B57,Changes!$D:$D,"&lt;="&amp;E$4,Changes!$E:$E,"Annual"),
_xlpm.planned,SUMIFS(Planned!$F:$F,Planned!$B:$B,$B57,Planned!$E:$E,"&gt;="&amp;E$4,Planned!$E:$E,"&lt;="&amp;EOMONTH(E$4,0)),
_xlpm.daily+_xlpm.weekdays+_xlpm.paydays+_xlpm.monthly+_xlpm.annual+_xlpm.planned)</f>
        <v>0</v>
      </c>
      <c r="F57" s="144" cm="1">
        <f t="array" aca="1" ref="F57" ca="1">_xlfn.LET(
_xlpm.daily,RecurringFactorBased($B57,"Daily",F$4,F$104),
_xlpm.weekdays,RecurringFactorBased($B57,"Weekdays",F$4,F$103),
_xlpm.paydays,RecurringFactorBased($B57,"Paydays",F$4,F$102),
_xlpm.monthly,SUMIFS(Recurring!$D:$D,Recurring!$B:$B,$B57,Recurring!$E:$E,"Monthly")+SUMIFS(Changes!$F:$F,Changes!$B:$B,$B57,Changes!$D:$D,"&lt;="&amp;F$4,Changes!$E:$E,"Monthly"),
_xlpm.annual,SUMIFS(Recurring!$D:$D,Recurring!$B:$B,$B57,Recurring!$E:$E,"Annual",Recurring!$G:$G,"&gt;="&amp;F$4,Recurring!$G:$G,"&lt;="&amp;EOMONTH(F$4,0))+SUMIFS(Changes!$F:$F,Changes!$B:$B,$B57,Changes!$D:$D,"&lt;="&amp;F$4,Changes!$E:$E,"Annual"),
_xlpm.planned,SUMIFS(Planned!$F:$F,Planned!$B:$B,$B57,Planned!$E:$E,"&gt;="&amp;F$4,Planned!$E:$E,"&lt;="&amp;EOMONTH(F$4,0)),
_xlpm.daily+_xlpm.weekdays+_xlpm.paydays+_xlpm.monthly+_xlpm.annual+_xlpm.planned)</f>
        <v>0</v>
      </c>
      <c r="G57" s="144" cm="1">
        <f t="array" aca="1" ref="G57" ca="1">_xlfn.LET(
_xlpm.daily,RecurringFactorBased($B57,"Daily",G$4,G$104),
_xlpm.weekdays,RecurringFactorBased($B57,"Weekdays",G$4,G$103),
_xlpm.paydays,RecurringFactorBased($B57,"Paydays",G$4,G$102),
_xlpm.monthly,SUMIFS(Recurring!$D:$D,Recurring!$B:$B,$B57,Recurring!$E:$E,"Monthly")+SUMIFS(Changes!$F:$F,Changes!$B:$B,$B57,Changes!$D:$D,"&lt;="&amp;G$4,Changes!$E:$E,"Monthly"),
_xlpm.annual,SUMIFS(Recurring!$D:$D,Recurring!$B:$B,$B57,Recurring!$E:$E,"Annual",Recurring!$G:$G,"&gt;="&amp;G$4,Recurring!$G:$G,"&lt;="&amp;EOMONTH(G$4,0))+SUMIFS(Changes!$F:$F,Changes!$B:$B,$B57,Changes!$D:$D,"&lt;="&amp;G$4,Changes!$E:$E,"Annual"),
_xlpm.planned,SUMIFS(Planned!$F:$F,Planned!$B:$B,$B57,Planned!$E:$E,"&gt;="&amp;G$4,Planned!$E:$E,"&lt;="&amp;EOMONTH(G$4,0)),
_xlpm.daily+_xlpm.weekdays+_xlpm.paydays+_xlpm.monthly+_xlpm.annual+_xlpm.planned)</f>
        <v>0</v>
      </c>
      <c r="H57" s="144" cm="1">
        <f t="array" aca="1" ref="H57" ca="1">_xlfn.LET(
_xlpm.daily,RecurringFactorBased($B57,"Daily",H$4,H$104),
_xlpm.weekdays,RecurringFactorBased($B57,"Weekdays",H$4,H$103),
_xlpm.paydays,RecurringFactorBased($B57,"Paydays",H$4,H$102),
_xlpm.monthly,SUMIFS(Recurring!$D:$D,Recurring!$B:$B,$B57,Recurring!$E:$E,"Monthly")+SUMIFS(Changes!$F:$F,Changes!$B:$B,$B57,Changes!$D:$D,"&lt;="&amp;H$4,Changes!$E:$E,"Monthly"),
_xlpm.annual,SUMIFS(Recurring!$D:$D,Recurring!$B:$B,$B57,Recurring!$E:$E,"Annual",Recurring!$G:$G,"&gt;="&amp;H$4,Recurring!$G:$G,"&lt;="&amp;EOMONTH(H$4,0))+SUMIFS(Changes!$F:$F,Changes!$B:$B,$B57,Changes!$D:$D,"&lt;="&amp;H$4,Changes!$E:$E,"Annual"),
_xlpm.planned,SUMIFS(Planned!$F:$F,Planned!$B:$B,$B57,Planned!$E:$E,"&gt;="&amp;H$4,Planned!$E:$E,"&lt;="&amp;EOMONTH(H$4,0)),
_xlpm.daily+_xlpm.weekdays+_xlpm.paydays+_xlpm.monthly+_xlpm.annual+_xlpm.planned)</f>
        <v>0</v>
      </c>
      <c r="I57" s="144" cm="1">
        <f t="array" aca="1" ref="I57" ca="1">_xlfn.LET(
_xlpm.daily,RecurringFactorBased($B57,"Daily",I$4,I$104),
_xlpm.weekdays,RecurringFactorBased($B57,"Weekdays",I$4,I$103),
_xlpm.paydays,RecurringFactorBased($B57,"Paydays",I$4,I$102),
_xlpm.monthly,SUMIFS(Recurring!$D:$D,Recurring!$B:$B,$B57,Recurring!$E:$E,"Monthly")+SUMIFS(Changes!$F:$F,Changes!$B:$B,$B57,Changes!$D:$D,"&lt;="&amp;I$4,Changes!$E:$E,"Monthly"),
_xlpm.annual,SUMIFS(Recurring!$D:$D,Recurring!$B:$B,$B57,Recurring!$E:$E,"Annual",Recurring!$G:$G,"&gt;="&amp;I$4,Recurring!$G:$G,"&lt;="&amp;EOMONTH(I$4,0))+SUMIFS(Changes!$F:$F,Changes!$B:$B,$B57,Changes!$D:$D,"&lt;="&amp;I$4,Changes!$E:$E,"Annual"),
_xlpm.planned,SUMIFS(Planned!$F:$F,Planned!$B:$B,$B57,Planned!$E:$E,"&gt;="&amp;I$4,Planned!$E:$E,"&lt;="&amp;EOMONTH(I$4,0)),
_xlpm.daily+_xlpm.weekdays+_xlpm.paydays+_xlpm.monthly+_xlpm.annual+_xlpm.planned)</f>
        <v>0</v>
      </c>
      <c r="J57" s="144" cm="1">
        <f t="array" aca="1" ref="J57" ca="1">_xlfn.LET(
_xlpm.daily,RecurringFactorBased($B57,"Daily",J$4,J$104),
_xlpm.weekdays,RecurringFactorBased($B57,"Weekdays",J$4,J$103),
_xlpm.paydays,RecurringFactorBased($B57,"Paydays",J$4,J$102),
_xlpm.monthly,SUMIFS(Recurring!$D:$D,Recurring!$B:$B,$B57,Recurring!$E:$E,"Monthly")+SUMIFS(Changes!$F:$F,Changes!$B:$B,$B57,Changes!$D:$D,"&lt;="&amp;J$4,Changes!$E:$E,"Monthly"),
_xlpm.annual,SUMIFS(Recurring!$D:$D,Recurring!$B:$B,$B57,Recurring!$E:$E,"Annual",Recurring!$G:$G,"&gt;="&amp;J$4,Recurring!$G:$G,"&lt;="&amp;EOMONTH(J$4,0))+SUMIFS(Changes!$F:$F,Changes!$B:$B,$B57,Changes!$D:$D,"&lt;="&amp;J$4,Changes!$E:$E,"Annual"),
_xlpm.planned,SUMIFS(Planned!$F:$F,Planned!$B:$B,$B57,Planned!$E:$E,"&gt;="&amp;J$4,Planned!$E:$E,"&lt;="&amp;EOMONTH(J$4,0)),
_xlpm.daily+_xlpm.weekdays+_xlpm.paydays+_xlpm.monthly+_xlpm.annual+_xlpm.planned)</f>
        <v>0</v>
      </c>
      <c r="K57" s="144" cm="1">
        <f t="array" aca="1" ref="K57" ca="1">_xlfn.LET(
_xlpm.daily,RecurringFactorBased($B57,"Daily",K$4,K$104),
_xlpm.weekdays,RecurringFactorBased($B57,"Weekdays",K$4,K$103),
_xlpm.paydays,RecurringFactorBased($B57,"Paydays",K$4,K$102),
_xlpm.monthly,SUMIFS(Recurring!$D:$D,Recurring!$B:$B,$B57,Recurring!$E:$E,"Monthly")+SUMIFS(Changes!$F:$F,Changes!$B:$B,$B57,Changes!$D:$D,"&lt;="&amp;K$4,Changes!$E:$E,"Monthly"),
_xlpm.annual,SUMIFS(Recurring!$D:$D,Recurring!$B:$B,$B57,Recurring!$E:$E,"Annual",Recurring!$G:$G,"&gt;="&amp;K$4,Recurring!$G:$G,"&lt;="&amp;EOMONTH(K$4,0))+SUMIFS(Changes!$F:$F,Changes!$B:$B,$B57,Changes!$D:$D,"&lt;="&amp;K$4,Changes!$E:$E,"Annual"),
_xlpm.planned,SUMIFS(Planned!$F:$F,Planned!$B:$B,$B57,Planned!$E:$E,"&gt;="&amp;K$4,Planned!$E:$E,"&lt;="&amp;EOMONTH(K$4,0)),
_xlpm.daily+_xlpm.weekdays+_xlpm.paydays+_xlpm.monthly+_xlpm.annual+_xlpm.planned)</f>
        <v>0</v>
      </c>
      <c r="L57" s="144" cm="1">
        <f t="array" aca="1" ref="L57" ca="1">_xlfn.LET(
_xlpm.daily,RecurringFactorBased($B57,"Daily",L$4,L$104),
_xlpm.weekdays,RecurringFactorBased($B57,"Weekdays",L$4,L$103),
_xlpm.paydays,RecurringFactorBased($B57,"Paydays",L$4,L$102),
_xlpm.monthly,SUMIFS(Recurring!$D:$D,Recurring!$B:$B,$B57,Recurring!$E:$E,"Monthly")+SUMIFS(Changes!$F:$F,Changes!$B:$B,$B57,Changes!$D:$D,"&lt;="&amp;L$4,Changes!$E:$E,"Monthly"),
_xlpm.annual,SUMIFS(Recurring!$D:$D,Recurring!$B:$B,$B57,Recurring!$E:$E,"Annual",Recurring!$G:$G,"&gt;="&amp;L$4,Recurring!$G:$G,"&lt;="&amp;EOMONTH(L$4,0))+SUMIFS(Changes!$F:$F,Changes!$B:$B,$B57,Changes!$D:$D,"&lt;="&amp;L$4,Changes!$E:$E,"Annual"),
_xlpm.planned,SUMIFS(Planned!$F:$F,Planned!$B:$B,$B57,Planned!$E:$E,"&gt;="&amp;L$4,Planned!$E:$E,"&lt;="&amp;EOMONTH(L$4,0)),
_xlpm.daily+_xlpm.weekdays+_xlpm.paydays+_xlpm.monthly+_xlpm.annual+_xlpm.planned)</f>
        <v>0</v>
      </c>
      <c r="M57" s="144" cm="1">
        <f t="array" aca="1" ref="M57" ca="1">_xlfn.LET(
_xlpm.daily,RecurringFactorBased($B57,"Daily",M$4,M$104),
_xlpm.weekdays,RecurringFactorBased($B57,"Weekdays",M$4,M$103),
_xlpm.paydays,RecurringFactorBased($B57,"Paydays",M$4,M$102),
_xlpm.monthly,SUMIFS(Recurring!$D:$D,Recurring!$B:$B,$B57,Recurring!$E:$E,"Monthly")+SUMIFS(Changes!$F:$F,Changes!$B:$B,$B57,Changes!$D:$D,"&lt;="&amp;M$4,Changes!$E:$E,"Monthly"),
_xlpm.annual,SUMIFS(Recurring!$D:$D,Recurring!$B:$B,$B57,Recurring!$E:$E,"Annual",Recurring!$G:$G,"&gt;="&amp;M$4,Recurring!$G:$G,"&lt;="&amp;EOMONTH(M$4,0))+SUMIFS(Changes!$F:$F,Changes!$B:$B,$B57,Changes!$D:$D,"&lt;="&amp;M$4,Changes!$E:$E,"Annual"),
_xlpm.planned,SUMIFS(Planned!$F:$F,Planned!$B:$B,$B57,Planned!$E:$E,"&gt;="&amp;M$4,Planned!$E:$E,"&lt;="&amp;EOMONTH(M$4,0)),
_xlpm.daily+_xlpm.weekdays+_xlpm.paydays+_xlpm.monthly+_xlpm.annual+_xlpm.planned)</f>
        <v>0</v>
      </c>
      <c r="N57" s="144" cm="1">
        <f t="array" aca="1" ref="N57" ca="1">_xlfn.LET(
_xlpm.daily,RecurringFactorBased($B57,"Daily",N$4,N$104),
_xlpm.weekdays,RecurringFactorBased($B57,"Weekdays",N$4,N$103),
_xlpm.paydays,RecurringFactorBased($B57,"Paydays",N$4,N$102),
_xlpm.monthly,SUMIFS(Recurring!$D:$D,Recurring!$B:$B,$B57,Recurring!$E:$E,"Monthly")+SUMIFS(Changes!$F:$F,Changes!$B:$B,$B57,Changes!$D:$D,"&lt;="&amp;N$4,Changes!$E:$E,"Monthly"),
_xlpm.annual,SUMIFS(Recurring!$D:$D,Recurring!$B:$B,$B57,Recurring!$E:$E,"Annual",Recurring!$G:$G,"&gt;="&amp;N$4,Recurring!$G:$G,"&lt;="&amp;EOMONTH(N$4,0))+SUMIFS(Changes!$F:$F,Changes!$B:$B,$B57,Changes!$D:$D,"&lt;="&amp;N$4,Changes!$E:$E,"Annual"),
_xlpm.planned,SUMIFS(Planned!$F:$F,Planned!$B:$B,$B57,Planned!$E:$E,"&gt;="&amp;N$4,Planned!$E:$E,"&lt;="&amp;EOMONTH(N$4,0)),
_xlpm.daily+_xlpm.weekdays+_xlpm.paydays+_xlpm.monthly+_xlpm.annual+_xlpm.planned)</f>
        <v>0</v>
      </c>
      <c r="O57" s="134"/>
      <c r="P57" s="145">
        <f t="shared" ca="1" si="15"/>
        <v>500</v>
      </c>
      <c r="Q57" s="80"/>
      <c r="R57" s="206" t="s">
        <v>323</v>
      </c>
      <c r="U57" s="22"/>
    </row>
    <row r="58" spans="1:23" ht="12.75" customHeight="1" x14ac:dyDescent="0.2">
      <c r="A58" s="67"/>
      <c r="B58" s="103" t="s">
        <v>7</v>
      </c>
      <c r="C58" s="144" cm="1">
        <f t="array" aca="1" ref="C58" ca="1">_xlfn.LET(
_xlpm.daily,RecurringFactorBased($B58,"Daily",C$4,C$104),
_xlpm.weekdays,RecurringFactorBased($B58,"Weekdays",C$4,C$103),
_xlpm.paydays,RecurringFactorBased($B58,"Paydays",C$4,C$102),
_xlpm.monthly,SUMIFS(Recurring!$D:$D,Recurring!$B:$B,$B58,Recurring!$E:$E,"Monthly",Recurring!$G:$G,"&gt;="&amp;C$4)+SUMIFS(Changes!$F:$F,Changes!$B:$B,$B58,Changes!$D:$D,"&lt;="&amp;C$4,Changes!$E:$E,"Monthly"),
_xlpm.annual,SUMIFS(Recurring!$D:$D,Recurring!$B:$B,$B58,Recurring!$E:$E,"Annual",Recurring!$G:$G,"&gt;="&amp;C$4,Recurring!$G:$G,"&lt;="&amp;EOMONTH(C$4,0))+SUMIFS(Changes!$F:$F,Changes!$B:$B,$B58,Changes!$D:$D,"&lt;="&amp;C$4,Changes!$E:$E,"Annual"),
_xlpm.planned,SUMIFS(Planned!$F:$F,Planned!$B:$B,$B58,Planned!$E:$E,"&gt;="&amp;C$4,Planned!$E:$E,"&lt;="&amp;EOMONTH(C$4,0)),
_xlpm.daily+_xlpm.weekdays+_xlpm.paydays+_xlpm.monthly+_xlpm.annual+_xlpm.planned)</f>
        <v>2.99</v>
      </c>
      <c r="D58" s="144" cm="1">
        <f t="array" aca="1" ref="D58" ca="1">_xlfn.LET(
_xlpm.daily,RecurringFactorBased($B58,"Daily",D$4,D$104),
_xlpm.weekdays,RecurringFactorBased($B58,"Weekdays",D$4,D$103),
_xlpm.paydays,RecurringFactorBased($B58,"Paydays",D$4,D$102),
_xlpm.monthly,SUMIFS(Recurring!$D:$D,Recurring!$B:$B,$B58,Recurring!$E:$E,"Monthly")+SUMIFS(Changes!$F:$F,Changes!$B:$B,$B58,Changes!$D:$D,"&lt;="&amp;D$4,Changes!$E:$E,"Monthly"),
_xlpm.annual,SUMIFS(Recurring!$D:$D,Recurring!$B:$B,$B58,Recurring!$E:$E,"Annual",Recurring!$G:$G,"&gt;="&amp;D$4,Recurring!$G:$G,"&lt;="&amp;EOMONTH(D$4,0))+SUMIFS(Changes!$F:$F,Changes!$B:$B,$B58,Changes!$D:$D,"&lt;="&amp;D$4,Changes!$E:$E,"Annual"),
_xlpm.planned,SUMIFS(Planned!$F:$F,Planned!$B:$B,$B58,Planned!$E:$E,"&gt;="&amp;D$4,Planned!$E:$E,"&lt;="&amp;EOMONTH(D$4,0)),
_xlpm.daily+_xlpm.weekdays+_xlpm.paydays+_xlpm.monthly+_xlpm.annual+_xlpm.planned)</f>
        <v>43.970000000000006</v>
      </c>
      <c r="E58" s="144" cm="1">
        <f t="array" aca="1" ref="E58" ca="1">_xlfn.LET(
_xlpm.daily,RecurringFactorBased($B58,"Daily",E$4,E$104),
_xlpm.weekdays,RecurringFactorBased($B58,"Weekdays",E$4,E$103),
_xlpm.paydays,RecurringFactorBased($B58,"Paydays",E$4,E$102),
_xlpm.monthly,SUMIFS(Recurring!$D:$D,Recurring!$B:$B,$B58,Recurring!$E:$E,"Monthly")+SUMIFS(Changes!$F:$F,Changes!$B:$B,$B58,Changes!$D:$D,"&lt;="&amp;E$4,Changes!$E:$E,"Monthly"),
_xlpm.annual,SUMIFS(Recurring!$D:$D,Recurring!$B:$B,$B58,Recurring!$E:$E,"Annual",Recurring!$G:$G,"&gt;="&amp;E$4,Recurring!$G:$G,"&lt;="&amp;EOMONTH(E$4,0))+SUMIFS(Changes!$F:$F,Changes!$B:$B,$B58,Changes!$D:$D,"&lt;="&amp;E$4,Changes!$E:$E,"Annual"),
_xlpm.planned,SUMIFS(Planned!$F:$F,Planned!$B:$B,$B58,Planned!$E:$E,"&gt;="&amp;E$4,Planned!$E:$E,"&lt;="&amp;EOMONTH(E$4,0)),
_xlpm.daily+_xlpm.weekdays+_xlpm.paydays+_xlpm.monthly+_xlpm.annual+_xlpm.planned)</f>
        <v>43.970000000000006</v>
      </c>
      <c r="F58" s="144" cm="1">
        <f t="array" aca="1" ref="F58" ca="1">_xlfn.LET(
_xlpm.daily,RecurringFactorBased($B58,"Daily",F$4,F$104),
_xlpm.weekdays,RecurringFactorBased($B58,"Weekdays",F$4,F$103),
_xlpm.paydays,RecurringFactorBased($B58,"Paydays",F$4,F$102),
_xlpm.monthly,SUMIFS(Recurring!$D:$D,Recurring!$B:$B,$B58,Recurring!$E:$E,"Monthly")+SUMIFS(Changes!$F:$F,Changes!$B:$B,$B58,Changes!$D:$D,"&lt;="&amp;F$4,Changes!$E:$E,"Monthly"),
_xlpm.annual,SUMIFS(Recurring!$D:$D,Recurring!$B:$B,$B58,Recurring!$E:$E,"Annual",Recurring!$G:$G,"&gt;="&amp;F$4,Recurring!$G:$G,"&lt;="&amp;EOMONTH(F$4,0))+SUMIFS(Changes!$F:$F,Changes!$B:$B,$B58,Changes!$D:$D,"&lt;="&amp;F$4,Changes!$E:$E,"Annual"),
_xlpm.planned,SUMIFS(Planned!$F:$F,Planned!$B:$B,$B58,Planned!$E:$E,"&gt;="&amp;F$4,Planned!$E:$E,"&lt;="&amp;EOMONTH(F$4,0)),
_xlpm.daily+_xlpm.weekdays+_xlpm.paydays+_xlpm.monthly+_xlpm.annual+_xlpm.planned)</f>
        <v>43.970000000000006</v>
      </c>
      <c r="G58" s="144" cm="1">
        <f t="array" aca="1" ref="G58" ca="1">_xlfn.LET(
_xlpm.daily,RecurringFactorBased($B58,"Daily",G$4,G$104),
_xlpm.weekdays,RecurringFactorBased($B58,"Weekdays",G$4,G$103),
_xlpm.paydays,RecurringFactorBased($B58,"Paydays",G$4,G$102),
_xlpm.monthly,SUMIFS(Recurring!$D:$D,Recurring!$B:$B,$B58,Recurring!$E:$E,"Monthly")+SUMIFS(Changes!$F:$F,Changes!$B:$B,$B58,Changes!$D:$D,"&lt;="&amp;G$4,Changes!$E:$E,"Monthly"),
_xlpm.annual,SUMIFS(Recurring!$D:$D,Recurring!$B:$B,$B58,Recurring!$E:$E,"Annual",Recurring!$G:$G,"&gt;="&amp;G$4,Recurring!$G:$G,"&lt;="&amp;EOMONTH(G$4,0))+SUMIFS(Changes!$F:$F,Changes!$B:$B,$B58,Changes!$D:$D,"&lt;="&amp;G$4,Changes!$E:$E,"Annual"),
_xlpm.planned,SUMIFS(Planned!$F:$F,Planned!$B:$B,$B58,Planned!$E:$E,"&gt;="&amp;G$4,Planned!$E:$E,"&lt;="&amp;EOMONTH(G$4,0)),
_xlpm.daily+_xlpm.weekdays+_xlpm.paydays+_xlpm.monthly+_xlpm.annual+_xlpm.planned)</f>
        <v>43.970000000000006</v>
      </c>
      <c r="H58" s="144" cm="1">
        <f t="array" aca="1" ref="H58" ca="1">_xlfn.LET(
_xlpm.daily,RecurringFactorBased($B58,"Daily",H$4,H$104),
_xlpm.weekdays,RecurringFactorBased($B58,"Weekdays",H$4,H$103),
_xlpm.paydays,RecurringFactorBased($B58,"Paydays",H$4,H$102),
_xlpm.monthly,SUMIFS(Recurring!$D:$D,Recurring!$B:$B,$B58,Recurring!$E:$E,"Monthly")+SUMIFS(Changes!$F:$F,Changes!$B:$B,$B58,Changes!$D:$D,"&lt;="&amp;H$4,Changes!$E:$E,"Monthly"),
_xlpm.annual,SUMIFS(Recurring!$D:$D,Recurring!$B:$B,$B58,Recurring!$E:$E,"Annual",Recurring!$G:$G,"&gt;="&amp;H$4,Recurring!$G:$G,"&lt;="&amp;EOMONTH(H$4,0))+SUMIFS(Changes!$F:$F,Changes!$B:$B,$B58,Changes!$D:$D,"&lt;="&amp;H$4,Changes!$E:$E,"Annual"),
_xlpm.planned,SUMIFS(Planned!$F:$F,Planned!$B:$B,$B58,Planned!$E:$E,"&gt;="&amp;H$4,Planned!$E:$E,"&lt;="&amp;EOMONTH(H$4,0)),
_xlpm.daily+_xlpm.weekdays+_xlpm.paydays+_xlpm.monthly+_xlpm.annual+_xlpm.planned)</f>
        <v>43.970000000000006</v>
      </c>
      <c r="I58" s="144" cm="1">
        <f t="array" aca="1" ref="I58" ca="1">_xlfn.LET(
_xlpm.daily,RecurringFactorBased($B58,"Daily",I$4,I$104),
_xlpm.weekdays,RecurringFactorBased($B58,"Weekdays",I$4,I$103),
_xlpm.paydays,RecurringFactorBased($B58,"Paydays",I$4,I$102),
_xlpm.monthly,SUMIFS(Recurring!$D:$D,Recurring!$B:$B,$B58,Recurring!$E:$E,"Monthly")+SUMIFS(Changes!$F:$F,Changes!$B:$B,$B58,Changes!$D:$D,"&lt;="&amp;I$4,Changes!$E:$E,"Monthly"),
_xlpm.annual,SUMIFS(Recurring!$D:$D,Recurring!$B:$B,$B58,Recurring!$E:$E,"Annual",Recurring!$G:$G,"&gt;="&amp;I$4,Recurring!$G:$G,"&lt;="&amp;EOMONTH(I$4,0))+SUMIFS(Changes!$F:$F,Changes!$B:$B,$B58,Changes!$D:$D,"&lt;="&amp;I$4,Changes!$E:$E,"Annual"),
_xlpm.planned,SUMIFS(Planned!$F:$F,Planned!$B:$B,$B58,Planned!$E:$E,"&gt;="&amp;I$4,Planned!$E:$E,"&lt;="&amp;EOMONTH(I$4,0)),
_xlpm.daily+_xlpm.weekdays+_xlpm.paydays+_xlpm.monthly+_xlpm.annual+_xlpm.planned)</f>
        <v>43.970000000000006</v>
      </c>
      <c r="J58" s="144" cm="1">
        <f t="array" aca="1" ref="J58" ca="1">_xlfn.LET(
_xlpm.daily,RecurringFactorBased($B58,"Daily",J$4,J$104),
_xlpm.weekdays,RecurringFactorBased($B58,"Weekdays",J$4,J$103),
_xlpm.paydays,RecurringFactorBased($B58,"Paydays",J$4,J$102),
_xlpm.monthly,SUMIFS(Recurring!$D:$D,Recurring!$B:$B,$B58,Recurring!$E:$E,"Monthly")+SUMIFS(Changes!$F:$F,Changes!$B:$B,$B58,Changes!$D:$D,"&lt;="&amp;J$4,Changes!$E:$E,"Monthly"),
_xlpm.annual,SUMIFS(Recurring!$D:$D,Recurring!$B:$B,$B58,Recurring!$E:$E,"Annual",Recurring!$G:$G,"&gt;="&amp;J$4,Recurring!$G:$G,"&lt;="&amp;EOMONTH(J$4,0))+SUMIFS(Changes!$F:$F,Changes!$B:$B,$B58,Changes!$D:$D,"&lt;="&amp;J$4,Changes!$E:$E,"Annual"),
_xlpm.planned,SUMIFS(Planned!$F:$F,Planned!$B:$B,$B58,Planned!$E:$E,"&gt;="&amp;J$4,Planned!$E:$E,"&lt;="&amp;EOMONTH(J$4,0)),
_xlpm.daily+_xlpm.weekdays+_xlpm.paydays+_xlpm.monthly+_xlpm.annual+_xlpm.planned)</f>
        <v>43.970000000000006</v>
      </c>
      <c r="K58" s="144" cm="1">
        <f t="array" aca="1" ref="K58" ca="1">_xlfn.LET(
_xlpm.daily,RecurringFactorBased($B58,"Daily",K$4,K$104),
_xlpm.weekdays,RecurringFactorBased($B58,"Weekdays",K$4,K$103),
_xlpm.paydays,RecurringFactorBased($B58,"Paydays",K$4,K$102),
_xlpm.monthly,SUMIFS(Recurring!$D:$D,Recurring!$B:$B,$B58,Recurring!$E:$E,"Monthly")+SUMIFS(Changes!$F:$F,Changes!$B:$B,$B58,Changes!$D:$D,"&lt;="&amp;K$4,Changes!$E:$E,"Monthly"),
_xlpm.annual,SUMIFS(Recurring!$D:$D,Recurring!$B:$B,$B58,Recurring!$E:$E,"Annual",Recurring!$G:$G,"&gt;="&amp;K$4,Recurring!$G:$G,"&lt;="&amp;EOMONTH(K$4,0))+SUMIFS(Changes!$F:$F,Changes!$B:$B,$B58,Changes!$D:$D,"&lt;="&amp;K$4,Changes!$E:$E,"Annual"),
_xlpm.planned,SUMIFS(Planned!$F:$F,Planned!$B:$B,$B58,Planned!$E:$E,"&gt;="&amp;K$4,Planned!$E:$E,"&lt;="&amp;EOMONTH(K$4,0)),
_xlpm.daily+_xlpm.weekdays+_xlpm.paydays+_xlpm.monthly+_xlpm.annual+_xlpm.planned)</f>
        <v>43.970000000000006</v>
      </c>
      <c r="L58" s="144" cm="1">
        <f t="array" aca="1" ref="L58" ca="1">_xlfn.LET(
_xlpm.daily,RecurringFactorBased($B58,"Daily",L$4,L$104),
_xlpm.weekdays,RecurringFactorBased($B58,"Weekdays",L$4,L$103),
_xlpm.paydays,RecurringFactorBased($B58,"Paydays",L$4,L$102),
_xlpm.monthly,SUMIFS(Recurring!$D:$D,Recurring!$B:$B,$B58,Recurring!$E:$E,"Monthly")+SUMIFS(Changes!$F:$F,Changes!$B:$B,$B58,Changes!$D:$D,"&lt;="&amp;L$4,Changes!$E:$E,"Monthly"),
_xlpm.annual,SUMIFS(Recurring!$D:$D,Recurring!$B:$B,$B58,Recurring!$E:$E,"Annual",Recurring!$G:$G,"&gt;="&amp;L$4,Recurring!$G:$G,"&lt;="&amp;EOMONTH(L$4,0))+SUMIFS(Changes!$F:$F,Changes!$B:$B,$B58,Changes!$D:$D,"&lt;="&amp;L$4,Changes!$E:$E,"Annual"),
_xlpm.planned,SUMIFS(Planned!$F:$F,Planned!$B:$B,$B58,Planned!$E:$E,"&gt;="&amp;L$4,Planned!$E:$E,"&lt;="&amp;EOMONTH(L$4,0)),
_xlpm.daily+_xlpm.weekdays+_xlpm.paydays+_xlpm.monthly+_xlpm.annual+_xlpm.planned)</f>
        <v>43.970000000000006</v>
      </c>
      <c r="M58" s="144" cm="1">
        <f t="array" aca="1" ref="M58" ca="1">_xlfn.LET(
_xlpm.daily,RecurringFactorBased($B58,"Daily",M$4,M$104),
_xlpm.weekdays,RecurringFactorBased($B58,"Weekdays",M$4,M$103),
_xlpm.paydays,RecurringFactorBased($B58,"Paydays",M$4,M$102),
_xlpm.monthly,SUMIFS(Recurring!$D:$D,Recurring!$B:$B,$B58,Recurring!$E:$E,"Monthly")+SUMIFS(Changes!$F:$F,Changes!$B:$B,$B58,Changes!$D:$D,"&lt;="&amp;M$4,Changes!$E:$E,"Monthly"),
_xlpm.annual,SUMIFS(Recurring!$D:$D,Recurring!$B:$B,$B58,Recurring!$E:$E,"Annual",Recurring!$G:$G,"&gt;="&amp;M$4,Recurring!$G:$G,"&lt;="&amp;EOMONTH(M$4,0))+SUMIFS(Changes!$F:$F,Changes!$B:$B,$B58,Changes!$D:$D,"&lt;="&amp;M$4,Changes!$E:$E,"Annual"),
_xlpm.planned,SUMIFS(Planned!$F:$F,Planned!$B:$B,$B58,Planned!$E:$E,"&gt;="&amp;M$4,Planned!$E:$E,"&lt;="&amp;EOMONTH(M$4,0)),
_xlpm.daily+_xlpm.weekdays+_xlpm.paydays+_xlpm.monthly+_xlpm.annual+_xlpm.planned)</f>
        <v>43.970000000000006</v>
      </c>
      <c r="N58" s="144" cm="1">
        <f t="array" aca="1" ref="N58" ca="1">_xlfn.LET(
_xlpm.daily,RecurringFactorBased($B58,"Daily",N$4,N$104),
_xlpm.weekdays,RecurringFactorBased($B58,"Weekdays",N$4,N$103),
_xlpm.paydays,RecurringFactorBased($B58,"Paydays",N$4,N$102),
_xlpm.monthly,SUMIFS(Recurring!$D:$D,Recurring!$B:$B,$B58,Recurring!$E:$E,"Monthly")+SUMIFS(Changes!$F:$F,Changes!$B:$B,$B58,Changes!$D:$D,"&lt;="&amp;N$4,Changes!$E:$E,"Monthly"),
_xlpm.annual,SUMIFS(Recurring!$D:$D,Recurring!$B:$B,$B58,Recurring!$E:$E,"Annual",Recurring!$G:$G,"&gt;="&amp;N$4,Recurring!$G:$G,"&lt;="&amp;EOMONTH(N$4,0))+SUMIFS(Changes!$F:$F,Changes!$B:$B,$B58,Changes!$D:$D,"&lt;="&amp;N$4,Changes!$E:$E,"Annual"),
_xlpm.planned,SUMIFS(Planned!$F:$F,Planned!$B:$B,$B58,Planned!$E:$E,"&gt;="&amp;N$4,Planned!$E:$E,"&lt;="&amp;EOMONTH(N$4,0)),
_xlpm.daily+_xlpm.weekdays+_xlpm.paydays+_xlpm.monthly+_xlpm.annual+_xlpm.planned)</f>
        <v>43.970000000000006</v>
      </c>
      <c r="O58" s="134"/>
      <c r="P58" s="145">
        <f t="shared" ca="1" si="15"/>
        <v>486.66000000000014</v>
      </c>
      <c r="Q58" s="81"/>
      <c r="R58" s="206"/>
      <c r="U58" s="22"/>
    </row>
    <row r="59" spans="1:23" ht="12.75" customHeight="1" x14ac:dyDescent="0.2">
      <c r="A59" s="62"/>
      <c r="B59" s="113" t="s">
        <v>20</v>
      </c>
      <c r="C59" s="144" cm="1">
        <f t="array" aca="1" ref="C59" ca="1">_xlfn.LET(
_xlpm.daily,RecurringFactorBased($B59,"Daily",C$4,C$104),
_xlpm.weekdays,RecurringFactorBased($B59,"Weekdays",C$4,C$103),
_xlpm.paydays,RecurringFactorBased($B59,"Paydays",C$4,C$102),
_xlpm.monthly,SUMIFS(Recurring!$D:$D,Recurring!$B:$B,$B59,Recurring!$E:$E,"Monthly",Recurring!$G:$G,"&gt;="&amp;C$4)+SUMIFS(Changes!$F:$F,Changes!$B:$B,$B59,Changes!$D:$D,"&lt;="&amp;C$4,Changes!$E:$E,"Monthly"),
_xlpm.annual,SUMIFS(Recurring!$D:$D,Recurring!$B:$B,$B59,Recurring!$E:$E,"Annual",Recurring!$G:$G,"&gt;="&amp;C$4,Recurring!$G:$G,"&lt;="&amp;EOMONTH(C$4,0))+SUMIFS(Changes!$F:$F,Changes!$B:$B,$B59,Changes!$D:$D,"&lt;="&amp;C$4,Changes!$E:$E,"Annual"),
_xlpm.planned,SUMIFS(Planned!$F:$F,Planned!$B:$B,$B59,Planned!$E:$E,"&gt;="&amp;C$4,Planned!$E:$E,"&lt;="&amp;EOMONTH(C$4,0)),
_xlpm.daily+_xlpm.weekdays+_xlpm.paydays+_xlpm.monthly+_xlpm.annual+_xlpm.planned)</f>
        <v>400</v>
      </c>
      <c r="D59" s="144" cm="1">
        <f t="array" aca="1" ref="D59" ca="1">_xlfn.LET(
_xlpm.daily,RecurringFactorBased($B59,"Daily",D$4,D$104),
_xlpm.weekdays,RecurringFactorBased($B59,"Weekdays",D$4,D$103),
_xlpm.paydays,RecurringFactorBased($B59,"Paydays",D$4,D$102),
_xlpm.monthly,SUMIFS(Recurring!$D:$D,Recurring!$B:$B,$B59,Recurring!$E:$E,"Monthly")+SUMIFS(Changes!$F:$F,Changes!$B:$B,$B59,Changes!$D:$D,"&lt;="&amp;D$4,Changes!$E:$E,"Monthly"),
_xlpm.annual,SUMIFS(Recurring!$D:$D,Recurring!$B:$B,$B59,Recurring!$E:$E,"Annual",Recurring!$G:$G,"&gt;="&amp;D$4,Recurring!$G:$G,"&lt;="&amp;EOMONTH(D$4,0))+SUMIFS(Changes!$F:$F,Changes!$B:$B,$B59,Changes!$D:$D,"&lt;="&amp;D$4,Changes!$E:$E,"Annual"),
_xlpm.planned,SUMIFS(Planned!$F:$F,Planned!$B:$B,$B59,Planned!$E:$E,"&gt;="&amp;D$4,Planned!$E:$E,"&lt;="&amp;EOMONTH(D$4,0)),
_xlpm.daily+_xlpm.weekdays+_xlpm.paydays+_xlpm.monthly+_xlpm.annual+_xlpm.planned)</f>
        <v>0</v>
      </c>
      <c r="E59" s="144" cm="1">
        <f t="array" aca="1" ref="E59" ca="1">_xlfn.LET(
_xlpm.daily,RecurringFactorBased($B59,"Daily",E$4,E$104),
_xlpm.weekdays,RecurringFactorBased($B59,"Weekdays",E$4,E$103),
_xlpm.paydays,RecurringFactorBased($B59,"Paydays",E$4,E$102),
_xlpm.monthly,SUMIFS(Recurring!$D:$D,Recurring!$B:$B,$B59,Recurring!$E:$E,"Monthly")+SUMIFS(Changes!$F:$F,Changes!$B:$B,$B59,Changes!$D:$D,"&lt;="&amp;E$4,Changes!$E:$E,"Monthly"),
_xlpm.annual,SUMIFS(Recurring!$D:$D,Recurring!$B:$B,$B59,Recurring!$E:$E,"Annual",Recurring!$G:$G,"&gt;="&amp;E$4,Recurring!$G:$G,"&lt;="&amp;EOMONTH(E$4,0))+SUMIFS(Changes!$F:$F,Changes!$B:$B,$B59,Changes!$D:$D,"&lt;="&amp;E$4,Changes!$E:$E,"Annual"),
_xlpm.planned,SUMIFS(Planned!$F:$F,Planned!$B:$B,$B59,Planned!$E:$E,"&gt;="&amp;E$4,Planned!$E:$E,"&lt;="&amp;EOMONTH(E$4,0)),
_xlpm.daily+_xlpm.weekdays+_xlpm.paydays+_xlpm.monthly+_xlpm.annual+_xlpm.planned)</f>
        <v>0</v>
      </c>
      <c r="F59" s="144" cm="1">
        <f t="array" aca="1" ref="F59" ca="1">_xlfn.LET(
_xlpm.daily,RecurringFactorBased($B59,"Daily",F$4,F$104),
_xlpm.weekdays,RecurringFactorBased($B59,"Weekdays",F$4,F$103),
_xlpm.paydays,RecurringFactorBased($B59,"Paydays",F$4,F$102),
_xlpm.monthly,SUMIFS(Recurring!$D:$D,Recurring!$B:$B,$B59,Recurring!$E:$E,"Monthly")+SUMIFS(Changes!$F:$F,Changes!$B:$B,$B59,Changes!$D:$D,"&lt;="&amp;F$4,Changes!$E:$E,"Monthly"),
_xlpm.annual,SUMIFS(Recurring!$D:$D,Recurring!$B:$B,$B59,Recurring!$E:$E,"Annual",Recurring!$G:$G,"&gt;="&amp;F$4,Recurring!$G:$G,"&lt;="&amp;EOMONTH(F$4,0))+SUMIFS(Changes!$F:$F,Changes!$B:$B,$B59,Changes!$D:$D,"&lt;="&amp;F$4,Changes!$E:$E,"Annual"),
_xlpm.planned,SUMIFS(Planned!$F:$F,Planned!$B:$B,$B59,Planned!$E:$E,"&gt;="&amp;F$4,Planned!$E:$E,"&lt;="&amp;EOMONTH(F$4,0)),
_xlpm.daily+_xlpm.weekdays+_xlpm.paydays+_xlpm.monthly+_xlpm.annual+_xlpm.planned)</f>
        <v>0</v>
      </c>
      <c r="G59" s="144" cm="1">
        <f t="array" aca="1" ref="G59" ca="1">_xlfn.LET(
_xlpm.daily,RecurringFactorBased($B59,"Daily",G$4,G$104),
_xlpm.weekdays,RecurringFactorBased($B59,"Weekdays",G$4,G$103),
_xlpm.paydays,RecurringFactorBased($B59,"Paydays",G$4,G$102),
_xlpm.monthly,SUMIFS(Recurring!$D:$D,Recurring!$B:$B,$B59,Recurring!$E:$E,"Monthly")+SUMIFS(Changes!$F:$F,Changes!$B:$B,$B59,Changes!$D:$D,"&lt;="&amp;G$4,Changes!$E:$E,"Monthly"),
_xlpm.annual,SUMIFS(Recurring!$D:$D,Recurring!$B:$B,$B59,Recurring!$E:$E,"Annual",Recurring!$G:$G,"&gt;="&amp;G$4,Recurring!$G:$G,"&lt;="&amp;EOMONTH(G$4,0))+SUMIFS(Changes!$F:$F,Changes!$B:$B,$B59,Changes!$D:$D,"&lt;="&amp;G$4,Changes!$E:$E,"Annual"),
_xlpm.planned,SUMIFS(Planned!$F:$F,Planned!$B:$B,$B59,Planned!$E:$E,"&gt;="&amp;G$4,Planned!$E:$E,"&lt;="&amp;EOMONTH(G$4,0)),
_xlpm.daily+_xlpm.weekdays+_xlpm.paydays+_xlpm.monthly+_xlpm.annual+_xlpm.planned)</f>
        <v>0</v>
      </c>
      <c r="H59" s="144" cm="1">
        <f t="array" aca="1" ref="H59" ca="1">_xlfn.LET(
_xlpm.daily,RecurringFactorBased($B59,"Daily",H$4,H$104),
_xlpm.weekdays,RecurringFactorBased($B59,"Weekdays",H$4,H$103),
_xlpm.paydays,RecurringFactorBased($B59,"Paydays",H$4,H$102),
_xlpm.monthly,SUMIFS(Recurring!$D:$D,Recurring!$B:$B,$B59,Recurring!$E:$E,"Monthly")+SUMIFS(Changes!$F:$F,Changes!$B:$B,$B59,Changes!$D:$D,"&lt;="&amp;H$4,Changes!$E:$E,"Monthly"),
_xlpm.annual,SUMIFS(Recurring!$D:$D,Recurring!$B:$B,$B59,Recurring!$E:$E,"Annual",Recurring!$G:$G,"&gt;="&amp;H$4,Recurring!$G:$G,"&lt;="&amp;EOMONTH(H$4,0))+SUMIFS(Changes!$F:$F,Changes!$B:$B,$B59,Changes!$D:$D,"&lt;="&amp;H$4,Changes!$E:$E,"Annual"),
_xlpm.planned,SUMIFS(Planned!$F:$F,Planned!$B:$B,$B59,Planned!$E:$E,"&gt;="&amp;H$4,Planned!$E:$E,"&lt;="&amp;EOMONTH(H$4,0)),
_xlpm.daily+_xlpm.weekdays+_xlpm.paydays+_xlpm.monthly+_xlpm.annual+_xlpm.planned)</f>
        <v>0</v>
      </c>
      <c r="I59" s="144" cm="1">
        <f t="array" aca="1" ref="I59" ca="1">_xlfn.LET(
_xlpm.daily,RecurringFactorBased($B59,"Daily",I$4,I$104),
_xlpm.weekdays,RecurringFactorBased($B59,"Weekdays",I$4,I$103),
_xlpm.paydays,RecurringFactorBased($B59,"Paydays",I$4,I$102),
_xlpm.monthly,SUMIFS(Recurring!$D:$D,Recurring!$B:$B,$B59,Recurring!$E:$E,"Monthly")+SUMIFS(Changes!$F:$F,Changes!$B:$B,$B59,Changes!$D:$D,"&lt;="&amp;I$4,Changes!$E:$E,"Monthly"),
_xlpm.annual,SUMIFS(Recurring!$D:$D,Recurring!$B:$B,$B59,Recurring!$E:$E,"Annual",Recurring!$G:$G,"&gt;="&amp;I$4,Recurring!$G:$G,"&lt;="&amp;EOMONTH(I$4,0))+SUMIFS(Changes!$F:$F,Changes!$B:$B,$B59,Changes!$D:$D,"&lt;="&amp;I$4,Changes!$E:$E,"Annual"),
_xlpm.planned,SUMIFS(Planned!$F:$F,Planned!$B:$B,$B59,Planned!$E:$E,"&gt;="&amp;I$4,Planned!$E:$E,"&lt;="&amp;EOMONTH(I$4,0)),
_xlpm.daily+_xlpm.weekdays+_xlpm.paydays+_xlpm.monthly+_xlpm.annual+_xlpm.planned)</f>
        <v>0</v>
      </c>
      <c r="J59" s="144" cm="1">
        <f t="array" aca="1" ref="J59" ca="1">_xlfn.LET(
_xlpm.daily,RecurringFactorBased($B59,"Daily",J$4,J$104),
_xlpm.weekdays,RecurringFactorBased($B59,"Weekdays",J$4,J$103),
_xlpm.paydays,RecurringFactorBased($B59,"Paydays",J$4,J$102),
_xlpm.monthly,SUMIFS(Recurring!$D:$D,Recurring!$B:$B,$B59,Recurring!$E:$E,"Monthly")+SUMIFS(Changes!$F:$F,Changes!$B:$B,$B59,Changes!$D:$D,"&lt;="&amp;J$4,Changes!$E:$E,"Monthly"),
_xlpm.annual,SUMIFS(Recurring!$D:$D,Recurring!$B:$B,$B59,Recurring!$E:$E,"Annual",Recurring!$G:$G,"&gt;="&amp;J$4,Recurring!$G:$G,"&lt;="&amp;EOMONTH(J$4,0))+SUMIFS(Changes!$F:$F,Changes!$B:$B,$B59,Changes!$D:$D,"&lt;="&amp;J$4,Changes!$E:$E,"Annual"),
_xlpm.planned,SUMIFS(Planned!$F:$F,Planned!$B:$B,$B59,Planned!$E:$E,"&gt;="&amp;J$4,Planned!$E:$E,"&lt;="&amp;EOMONTH(J$4,0)),
_xlpm.daily+_xlpm.weekdays+_xlpm.paydays+_xlpm.monthly+_xlpm.annual+_xlpm.planned)</f>
        <v>0</v>
      </c>
      <c r="K59" s="144" cm="1">
        <f t="array" aca="1" ref="K59" ca="1">_xlfn.LET(
_xlpm.daily,RecurringFactorBased($B59,"Daily",K$4,K$104),
_xlpm.weekdays,RecurringFactorBased($B59,"Weekdays",K$4,K$103),
_xlpm.paydays,RecurringFactorBased($B59,"Paydays",K$4,K$102),
_xlpm.monthly,SUMIFS(Recurring!$D:$D,Recurring!$B:$B,$B59,Recurring!$E:$E,"Monthly")+SUMIFS(Changes!$F:$F,Changes!$B:$B,$B59,Changes!$D:$D,"&lt;="&amp;K$4,Changes!$E:$E,"Monthly"),
_xlpm.annual,SUMIFS(Recurring!$D:$D,Recurring!$B:$B,$B59,Recurring!$E:$E,"Annual",Recurring!$G:$G,"&gt;="&amp;K$4,Recurring!$G:$G,"&lt;="&amp;EOMONTH(K$4,0))+SUMIFS(Changes!$F:$F,Changes!$B:$B,$B59,Changes!$D:$D,"&lt;="&amp;K$4,Changes!$E:$E,"Annual"),
_xlpm.planned,SUMIFS(Planned!$F:$F,Planned!$B:$B,$B59,Planned!$E:$E,"&gt;="&amp;K$4,Planned!$E:$E,"&lt;="&amp;EOMONTH(K$4,0)),
_xlpm.daily+_xlpm.weekdays+_xlpm.paydays+_xlpm.monthly+_xlpm.annual+_xlpm.planned)</f>
        <v>0</v>
      </c>
      <c r="L59" s="144" cm="1">
        <f t="array" aca="1" ref="L59" ca="1">_xlfn.LET(
_xlpm.daily,RecurringFactorBased($B59,"Daily",L$4,L$104),
_xlpm.weekdays,RecurringFactorBased($B59,"Weekdays",L$4,L$103),
_xlpm.paydays,RecurringFactorBased($B59,"Paydays",L$4,L$102),
_xlpm.monthly,SUMIFS(Recurring!$D:$D,Recurring!$B:$B,$B59,Recurring!$E:$E,"Monthly")+SUMIFS(Changes!$F:$F,Changes!$B:$B,$B59,Changes!$D:$D,"&lt;="&amp;L$4,Changes!$E:$E,"Monthly"),
_xlpm.annual,SUMIFS(Recurring!$D:$D,Recurring!$B:$B,$B59,Recurring!$E:$E,"Annual",Recurring!$G:$G,"&gt;="&amp;L$4,Recurring!$G:$G,"&lt;="&amp;EOMONTH(L$4,0))+SUMIFS(Changes!$F:$F,Changes!$B:$B,$B59,Changes!$D:$D,"&lt;="&amp;L$4,Changes!$E:$E,"Annual"),
_xlpm.planned,SUMIFS(Planned!$F:$F,Planned!$B:$B,$B59,Planned!$E:$E,"&gt;="&amp;L$4,Planned!$E:$E,"&lt;="&amp;EOMONTH(L$4,0)),
_xlpm.daily+_xlpm.weekdays+_xlpm.paydays+_xlpm.monthly+_xlpm.annual+_xlpm.planned)</f>
        <v>0</v>
      </c>
      <c r="M59" s="144" cm="1">
        <f t="array" aca="1" ref="M59" ca="1">_xlfn.LET(
_xlpm.daily,RecurringFactorBased($B59,"Daily",M$4,M$104),
_xlpm.weekdays,RecurringFactorBased($B59,"Weekdays",M$4,M$103),
_xlpm.paydays,RecurringFactorBased($B59,"Paydays",M$4,M$102),
_xlpm.monthly,SUMIFS(Recurring!$D:$D,Recurring!$B:$B,$B59,Recurring!$E:$E,"Monthly")+SUMIFS(Changes!$F:$F,Changes!$B:$B,$B59,Changes!$D:$D,"&lt;="&amp;M$4,Changes!$E:$E,"Monthly"),
_xlpm.annual,SUMIFS(Recurring!$D:$D,Recurring!$B:$B,$B59,Recurring!$E:$E,"Annual",Recurring!$G:$G,"&gt;="&amp;M$4,Recurring!$G:$G,"&lt;="&amp;EOMONTH(M$4,0))+SUMIFS(Changes!$F:$F,Changes!$B:$B,$B59,Changes!$D:$D,"&lt;="&amp;M$4,Changes!$E:$E,"Annual"),
_xlpm.planned,SUMIFS(Planned!$F:$F,Planned!$B:$B,$B59,Planned!$E:$E,"&gt;="&amp;M$4,Planned!$E:$E,"&lt;="&amp;EOMONTH(M$4,0)),
_xlpm.daily+_xlpm.weekdays+_xlpm.paydays+_xlpm.monthly+_xlpm.annual+_xlpm.planned)</f>
        <v>0</v>
      </c>
      <c r="N59" s="144" cm="1">
        <f t="array" aca="1" ref="N59" ca="1">_xlfn.LET(
_xlpm.daily,RecurringFactorBased($B59,"Daily",N$4,N$104),
_xlpm.weekdays,RecurringFactorBased($B59,"Weekdays",N$4,N$103),
_xlpm.paydays,RecurringFactorBased($B59,"Paydays",N$4,N$102),
_xlpm.monthly,SUMIFS(Recurring!$D:$D,Recurring!$B:$B,$B59,Recurring!$E:$E,"Monthly")+SUMIFS(Changes!$F:$F,Changes!$B:$B,$B59,Changes!$D:$D,"&lt;="&amp;N$4,Changes!$E:$E,"Monthly"),
_xlpm.annual,SUMIFS(Recurring!$D:$D,Recurring!$B:$B,$B59,Recurring!$E:$E,"Annual",Recurring!$G:$G,"&gt;="&amp;N$4,Recurring!$G:$G,"&lt;="&amp;EOMONTH(N$4,0))+SUMIFS(Changes!$F:$F,Changes!$B:$B,$B59,Changes!$D:$D,"&lt;="&amp;N$4,Changes!$E:$E,"Annual"),
_xlpm.planned,SUMIFS(Planned!$F:$F,Planned!$B:$B,$B59,Planned!$E:$E,"&gt;="&amp;N$4,Planned!$E:$E,"&lt;="&amp;EOMONTH(N$4,0)),
_xlpm.daily+_xlpm.weekdays+_xlpm.paydays+_xlpm.monthly+_xlpm.annual+_xlpm.planned)</f>
        <v>0</v>
      </c>
      <c r="O59" s="134"/>
      <c r="P59" s="145">
        <f ca="1">SUM(C59:N59)</f>
        <v>400</v>
      </c>
      <c r="Q59" s="80"/>
      <c r="R59" s="206" t="s">
        <v>307</v>
      </c>
      <c r="U59" s="22"/>
    </row>
    <row r="60" spans="1:23" s="52" customFormat="1" ht="5.0999999999999996" customHeight="1" x14ac:dyDescent="0.2">
      <c r="A60" s="65"/>
      <c r="B60" s="103"/>
      <c r="C60" s="134"/>
      <c r="D60" s="134"/>
      <c r="E60" s="134"/>
      <c r="F60" s="134"/>
      <c r="G60" s="134"/>
      <c r="H60" s="134"/>
      <c r="I60" s="134"/>
      <c r="J60" s="134"/>
      <c r="K60" s="134"/>
      <c r="L60" s="134"/>
      <c r="M60" s="134"/>
      <c r="N60" s="134"/>
      <c r="O60" s="134"/>
      <c r="P60" s="145"/>
      <c r="Q60" s="83"/>
      <c r="R60" s="206"/>
      <c r="V60" s="53"/>
      <c r="W60" s="54"/>
    </row>
    <row r="61" spans="1:23" ht="12.75" customHeight="1" x14ac:dyDescent="0.2">
      <c r="A61" s="62"/>
      <c r="B61" s="114" t="str">
        <f>"Total "&amp;B54</f>
        <v>Total FLEXIBLE OUTFLOWS</v>
      </c>
      <c r="C61" s="154">
        <f t="shared" ref="C61:N61" ca="1" si="16">SUM(C54:C60)</f>
        <v>982.99</v>
      </c>
      <c r="D61" s="154">
        <f t="shared" ca="1" si="16"/>
        <v>643.97</v>
      </c>
      <c r="E61" s="154">
        <f t="shared" ca="1" si="16"/>
        <v>583.97</v>
      </c>
      <c r="F61" s="154">
        <f t="shared" ca="1" si="16"/>
        <v>643.97</v>
      </c>
      <c r="G61" s="154">
        <f t="shared" ca="1" si="16"/>
        <v>623.97</v>
      </c>
      <c r="H61" s="154">
        <f t="shared" ca="1" si="16"/>
        <v>643.97</v>
      </c>
      <c r="I61" s="154">
        <f t="shared" ca="1" si="16"/>
        <v>623.97</v>
      </c>
      <c r="J61" s="154">
        <f t="shared" ca="1" si="16"/>
        <v>643.97</v>
      </c>
      <c r="K61" s="154">
        <f t="shared" ca="1" si="16"/>
        <v>643.97</v>
      </c>
      <c r="L61" s="154">
        <f t="shared" ca="1" si="16"/>
        <v>623.97</v>
      </c>
      <c r="M61" s="154">
        <f t="shared" ca="1" si="16"/>
        <v>643.97</v>
      </c>
      <c r="N61" s="155">
        <f t="shared" ca="1" si="16"/>
        <v>623.97</v>
      </c>
      <c r="O61" s="154"/>
      <c r="P61" s="156">
        <f ca="1">SUM(P46:P54)</f>
        <v>16935</v>
      </c>
      <c r="Q61" s="80"/>
      <c r="R61" s="206"/>
      <c r="U61" s="22"/>
    </row>
    <row r="62" spans="1:23" ht="5.0999999999999996" customHeight="1" x14ac:dyDescent="0.2">
      <c r="A62" s="62"/>
      <c r="B62" s="101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80"/>
      <c r="R62" s="206"/>
    </row>
    <row r="63" spans="1:23" ht="12.75" customHeight="1" x14ac:dyDescent="0.2">
      <c r="A63" s="62"/>
      <c r="B63" s="111" t="s">
        <v>22</v>
      </c>
      <c r="C63" s="234"/>
      <c r="D63" s="234"/>
      <c r="E63" s="234"/>
      <c r="F63" s="234"/>
      <c r="G63" s="234"/>
      <c r="H63" s="234"/>
      <c r="I63" s="234"/>
      <c r="J63" s="234"/>
      <c r="K63" s="234"/>
      <c r="L63" s="234"/>
      <c r="M63" s="234"/>
      <c r="N63" s="234"/>
      <c r="O63" s="234"/>
      <c r="P63" s="235"/>
      <c r="Q63" s="80"/>
      <c r="R63" s="206"/>
    </row>
    <row r="64" spans="1:23" ht="12.75" customHeight="1" x14ac:dyDescent="0.2">
      <c r="A64" s="67"/>
      <c r="B64" s="103" t="s">
        <v>141</v>
      </c>
      <c r="C64" s="144" cm="1">
        <f t="array" aca="1" ref="C64" ca="1">_xlfn.LET(
_xlpm.daily,RecurringFactorBased($B64,"Daily",C$4,C$104),
_xlpm.weekdays,RecurringFactorBased($B64,"Weekdays",C$4,C$103),
_xlpm.paydays,RecurringFactorBased($B64,"Paydays",C$4,C$102),
_xlpm.monthly,SUMIFS(Recurring!$D:$D,Recurring!$B:$B,$B64,Recurring!$E:$E,"Monthly",Recurring!$G:$G,"&gt;="&amp;C$4)+SUMIFS(Changes!$F:$F,Changes!$B:$B,$B64,Changes!$D:$D,"&lt;="&amp;C$4,Changes!$E:$E,"Monthly"),
_xlpm.annual,SUMIFS(Recurring!$D:$D,Recurring!$B:$B,$B64,Recurring!$E:$E,"Annual",Recurring!$G:$G,"&gt;="&amp;C$4,Recurring!$G:$G,"&lt;="&amp;EOMONTH(C$4,0))+SUMIFS(Changes!$F:$F,Changes!$B:$B,$B64,Changes!$D:$D,"&lt;="&amp;C$4,Changes!$E:$E,"Annual"),
_xlpm.planned,SUMIFS(Planned!$F:$F,Planned!$B:$B,$B64,Planned!$E:$E,"&gt;="&amp;C$4,Planned!$E:$E,"&lt;="&amp;EOMONTH(C$4,0)),
_xlpm.daily+_xlpm.weekdays+_xlpm.paydays+_xlpm.monthly+_xlpm.annual+_xlpm.planned)</f>
        <v>0</v>
      </c>
      <c r="D64" s="144" cm="1">
        <f t="array" aca="1" ref="D64" ca="1">_xlfn.LET(
_xlpm.daily,RecurringFactorBased($B64,"Daily",D$4,D$104),
_xlpm.weekdays,RecurringFactorBased($B64,"Weekdays",D$4,D$103),
_xlpm.paydays,RecurringFactorBased($B64,"Paydays",D$4,D$102),
_xlpm.monthly,SUMIFS(Recurring!$D:$D,Recurring!$B:$B,$B64,Recurring!$E:$E,"Monthly")+SUMIFS(Changes!$F:$F,Changes!$B:$B,$B64,Changes!$D:$D,"&lt;="&amp;D$4,Changes!$E:$E,"Monthly"),
_xlpm.annual,SUMIFS(Recurring!$D:$D,Recurring!$B:$B,$B64,Recurring!$E:$E,"Annual",Recurring!$G:$G,"&gt;="&amp;D$4,Recurring!$G:$G,"&lt;="&amp;EOMONTH(D$4,0))+SUMIFS(Changes!$F:$F,Changes!$B:$B,$B64,Changes!$D:$D,"&lt;="&amp;D$4,Changes!$E:$E,"Annual"),
_xlpm.planned,SUMIFS(Planned!$F:$F,Planned!$B:$B,$B64,Planned!$E:$E,"&gt;="&amp;D$4,Planned!$E:$E,"&lt;="&amp;EOMONTH(D$4,0)),
_xlpm.daily+_xlpm.weekdays+_xlpm.paydays+_xlpm.monthly+_xlpm.annual+_xlpm.planned)</f>
        <v>50</v>
      </c>
      <c r="E64" s="144" cm="1">
        <f t="array" aca="1" ref="E64" ca="1">_xlfn.LET(
_xlpm.daily,RecurringFactorBased($B64,"Daily",E$4,E$104),
_xlpm.weekdays,RecurringFactorBased($B64,"Weekdays",E$4,E$103),
_xlpm.paydays,RecurringFactorBased($B64,"Paydays",E$4,E$102),
_xlpm.monthly,SUMIFS(Recurring!$D:$D,Recurring!$B:$B,$B64,Recurring!$E:$E,"Monthly")+SUMIFS(Changes!$F:$F,Changes!$B:$B,$B64,Changes!$D:$D,"&lt;="&amp;E$4,Changes!$E:$E,"Monthly"),
_xlpm.annual,SUMIFS(Recurring!$D:$D,Recurring!$B:$B,$B64,Recurring!$E:$E,"Annual",Recurring!$G:$G,"&gt;="&amp;E$4,Recurring!$G:$G,"&lt;="&amp;EOMONTH(E$4,0))+SUMIFS(Changes!$F:$F,Changes!$B:$B,$B64,Changes!$D:$D,"&lt;="&amp;E$4,Changes!$E:$E,"Annual"),
_xlpm.planned,SUMIFS(Planned!$F:$F,Planned!$B:$B,$B64,Planned!$E:$E,"&gt;="&amp;E$4,Planned!$E:$E,"&lt;="&amp;EOMONTH(E$4,0)),
_xlpm.daily+_xlpm.weekdays+_xlpm.paydays+_xlpm.monthly+_xlpm.annual+_xlpm.planned)</f>
        <v>50</v>
      </c>
      <c r="F64" s="144" cm="1">
        <f t="array" aca="1" ref="F64" ca="1">_xlfn.LET(
_xlpm.daily,RecurringFactorBased($B64,"Daily",F$4,F$104),
_xlpm.weekdays,RecurringFactorBased($B64,"Weekdays",F$4,F$103),
_xlpm.paydays,RecurringFactorBased($B64,"Paydays",F$4,F$102),
_xlpm.monthly,SUMIFS(Recurring!$D:$D,Recurring!$B:$B,$B64,Recurring!$E:$E,"Monthly")+SUMIFS(Changes!$F:$F,Changes!$B:$B,$B64,Changes!$D:$D,"&lt;="&amp;F$4,Changes!$E:$E,"Monthly"),
_xlpm.annual,SUMIFS(Recurring!$D:$D,Recurring!$B:$B,$B64,Recurring!$E:$E,"Annual",Recurring!$G:$G,"&gt;="&amp;F$4,Recurring!$G:$G,"&lt;="&amp;EOMONTH(F$4,0))+SUMIFS(Changes!$F:$F,Changes!$B:$B,$B64,Changes!$D:$D,"&lt;="&amp;F$4,Changes!$E:$E,"Annual"),
_xlpm.planned,SUMIFS(Planned!$F:$F,Planned!$B:$B,$B64,Planned!$E:$E,"&gt;="&amp;F$4,Planned!$E:$E,"&lt;="&amp;EOMONTH(F$4,0)),
_xlpm.daily+_xlpm.weekdays+_xlpm.paydays+_xlpm.monthly+_xlpm.annual+_xlpm.planned)</f>
        <v>50</v>
      </c>
      <c r="G64" s="144" cm="1">
        <f t="array" aca="1" ref="G64" ca="1">_xlfn.LET(
_xlpm.daily,RecurringFactorBased($B64,"Daily",G$4,G$104),
_xlpm.weekdays,RecurringFactorBased($B64,"Weekdays",G$4,G$103),
_xlpm.paydays,RecurringFactorBased($B64,"Paydays",G$4,G$102),
_xlpm.monthly,SUMIFS(Recurring!$D:$D,Recurring!$B:$B,$B64,Recurring!$E:$E,"Monthly")+SUMIFS(Changes!$F:$F,Changes!$B:$B,$B64,Changes!$D:$D,"&lt;="&amp;G$4,Changes!$E:$E,"Monthly"),
_xlpm.annual,SUMIFS(Recurring!$D:$D,Recurring!$B:$B,$B64,Recurring!$E:$E,"Annual",Recurring!$G:$G,"&gt;="&amp;G$4,Recurring!$G:$G,"&lt;="&amp;EOMONTH(G$4,0))+SUMIFS(Changes!$F:$F,Changes!$B:$B,$B64,Changes!$D:$D,"&lt;="&amp;G$4,Changes!$E:$E,"Annual"),
_xlpm.planned,SUMIFS(Planned!$F:$F,Planned!$B:$B,$B64,Planned!$E:$E,"&gt;="&amp;G$4,Planned!$E:$E,"&lt;="&amp;EOMONTH(G$4,0)),
_xlpm.daily+_xlpm.weekdays+_xlpm.paydays+_xlpm.monthly+_xlpm.annual+_xlpm.planned)</f>
        <v>50</v>
      </c>
      <c r="H64" s="144" cm="1">
        <f t="array" aca="1" ref="H64" ca="1">_xlfn.LET(
_xlpm.daily,RecurringFactorBased($B64,"Daily",H$4,H$104),
_xlpm.weekdays,RecurringFactorBased($B64,"Weekdays",H$4,H$103),
_xlpm.paydays,RecurringFactorBased($B64,"Paydays",H$4,H$102),
_xlpm.monthly,SUMIFS(Recurring!$D:$D,Recurring!$B:$B,$B64,Recurring!$E:$E,"Monthly")+SUMIFS(Changes!$F:$F,Changes!$B:$B,$B64,Changes!$D:$D,"&lt;="&amp;H$4,Changes!$E:$E,"Monthly"),
_xlpm.annual,SUMIFS(Recurring!$D:$D,Recurring!$B:$B,$B64,Recurring!$E:$E,"Annual",Recurring!$G:$G,"&gt;="&amp;H$4,Recurring!$G:$G,"&lt;="&amp;EOMONTH(H$4,0))+SUMIFS(Changes!$F:$F,Changes!$B:$B,$B64,Changes!$D:$D,"&lt;="&amp;H$4,Changes!$E:$E,"Annual"),
_xlpm.planned,SUMIFS(Planned!$F:$F,Planned!$B:$B,$B64,Planned!$E:$E,"&gt;="&amp;H$4,Planned!$E:$E,"&lt;="&amp;EOMONTH(H$4,0)),
_xlpm.daily+_xlpm.weekdays+_xlpm.paydays+_xlpm.monthly+_xlpm.annual+_xlpm.planned)</f>
        <v>50</v>
      </c>
      <c r="I64" s="144" cm="1">
        <f t="array" aca="1" ref="I64" ca="1">_xlfn.LET(
_xlpm.daily,RecurringFactorBased($B64,"Daily",I$4,I$104),
_xlpm.weekdays,RecurringFactorBased($B64,"Weekdays",I$4,I$103),
_xlpm.paydays,RecurringFactorBased($B64,"Paydays",I$4,I$102),
_xlpm.monthly,SUMIFS(Recurring!$D:$D,Recurring!$B:$B,$B64,Recurring!$E:$E,"Monthly")+SUMIFS(Changes!$F:$F,Changes!$B:$B,$B64,Changes!$D:$D,"&lt;="&amp;I$4,Changes!$E:$E,"Monthly"),
_xlpm.annual,SUMIFS(Recurring!$D:$D,Recurring!$B:$B,$B64,Recurring!$E:$E,"Annual",Recurring!$G:$G,"&gt;="&amp;I$4,Recurring!$G:$G,"&lt;="&amp;EOMONTH(I$4,0))+SUMIFS(Changes!$F:$F,Changes!$B:$B,$B64,Changes!$D:$D,"&lt;="&amp;I$4,Changes!$E:$E,"Annual"),
_xlpm.planned,SUMIFS(Planned!$F:$F,Planned!$B:$B,$B64,Planned!$E:$E,"&gt;="&amp;I$4,Planned!$E:$E,"&lt;="&amp;EOMONTH(I$4,0)),
_xlpm.daily+_xlpm.weekdays+_xlpm.paydays+_xlpm.monthly+_xlpm.annual+_xlpm.planned)</f>
        <v>50</v>
      </c>
      <c r="J64" s="144" cm="1">
        <f t="array" aca="1" ref="J64" ca="1">_xlfn.LET(
_xlpm.daily,RecurringFactorBased($B64,"Daily",J$4,J$104),
_xlpm.weekdays,RecurringFactorBased($B64,"Weekdays",J$4,J$103),
_xlpm.paydays,RecurringFactorBased($B64,"Paydays",J$4,J$102),
_xlpm.monthly,SUMIFS(Recurring!$D:$D,Recurring!$B:$B,$B64,Recurring!$E:$E,"Monthly")+SUMIFS(Changes!$F:$F,Changes!$B:$B,$B64,Changes!$D:$D,"&lt;="&amp;J$4,Changes!$E:$E,"Monthly"),
_xlpm.annual,SUMIFS(Recurring!$D:$D,Recurring!$B:$B,$B64,Recurring!$E:$E,"Annual",Recurring!$G:$G,"&gt;="&amp;J$4,Recurring!$G:$G,"&lt;="&amp;EOMONTH(J$4,0))+SUMIFS(Changes!$F:$F,Changes!$B:$B,$B64,Changes!$D:$D,"&lt;="&amp;J$4,Changes!$E:$E,"Annual"),
_xlpm.planned,SUMIFS(Planned!$F:$F,Planned!$B:$B,$B64,Planned!$E:$E,"&gt;="&amp;J$4,Planned!$E:$E,"&lt;="&amp;EOMONTH(J$4,0)),
_xlpm.daily+_xlpm.weekdays+_xlpm.paydays+_xlpm.monthly+_xlpm.annual+_xlpm.planned)</f>
        <v>50</v>
      </c>
      <c r="K64" s="144" cm="1">
        <f t="array" aca="1" ref="K64" ca="1">_xlfn.LET(
_xlpm.daily,RecurringFactorBased($B64,"Daily",K$4,K$104),
_xlpm.weekdays,RecurringFactorBased($B64,"Weekdays",K$4,K$103),
_xlpm.paydays,RecurringFactorBased($B64,"Paydays",K$4,K$102),
_xlpm.monthly,SUMIFS(Recurring!$D:$D,Recurring!$B:$B,$B64,Recurring!$E:$E,"Monthly")+SUMIFS(Changes!$F:$F,Changes!$B:$B,$B64,Changes!$D:$D,"&lt;="&amp;K$4,Changes!$E:$E,"Monthly"),
_xlpm.annual,SUMIFS(Recurring!$D:$D,Recurring!$B:$B,$B64,Recurring!$E:$E,"Annual",Recurring!$G:$G,"&gt;="&amp;K$4,Recurring!$G:$G,"&lt;="&amp;EOMONTH(K$4,0))+SUMIFS(Changes!$F:$F,Changes!$B:$B,$B64,Changes!$D:$D,"&lt;="&amp;K$4,Changes!$E:$E,"Annual"),
_xlpm.planned,SUMIFS(Planned!$F:$F,Planned!$B:$B,$B64,Planned!$E:$E,"&gt;="&amp;K$4,Planned!$E:$E,"&lt;="&amp;EOMONTH(K$4,0)),
_xlpm.daily+_xlpm.weekdays+_xlpm.paydays+_xlpm.monthly+_xlpm.annual+_xlpm.planned)</f>
        <v>50</v>
      </c>
      <c r="L64" s="144" cm="1">
        <f t="array" aca="1" ref="L64" ca="1">_xlfn.LET(
_xlpm.daily,RecurringFactorBased($B64,"Daily",L$4,L$104),
_xlpm.weekdays,RecurringFactorBased($B64,"Weekdays",L$4,L$103),
_xlpm.paydays,RecurringFactorBased($B64,"Paydays",L$4,L$102),
_xlpm.monthly,SUMIFS(Recurring!$D:$D,Recurring!$B:$B,$B64,Recurring!$E:$E,"Monthly")+SUMIFS(Changes!$F:$F,Changes!$B:$B,$B64,Changes!$D:$D,"&lt;="&amp;L$4,Changes!$E:$E,"Monthly"),
_xlpm.annual,SUMIFS(Recurring!$D:$D,Recurring!$B:$B,$B64,Recurring!$E:$E,"Annual",Recurring!$G:$G,"&gt;="&amp;L$4,Recurring!$G:$G,"&lt;="&amp;EOMONTH(L$4,0))+SUMIFS(Changes!$F:$F,Changes!$B:$B,$B64,Changes!$D:$D,"&lt;="&amp;L$4,Changes!$E:$E,"Annual"),
_xlpm.planned,SUMIFS(Planned!$F:$F,Planned!$B:$B,$B64,Planned!$E:$E,"&gt;="&amp;L$4,Planned!$E:$E,"&lt;="&amp;EOMONTH(L$4,0)),
_xlpm.daily+_xlpm.weekdays+_xlpm.paydays+_xlpm.monthly+_xlpm.annual+_xlpm.planned)</f>
        <v>50</v>
      </c>
      <c r="M64" s="144" cm="1">
        <f t="array" aca="1" ref="M64" ca="1">_xlfn.LET(
_xlpm.daily,RecurringFactorBased($B64,"Daily",M$4,M$104),
_xlpm.weekdays,RecurringFactorBased($B64,"Weekdays",M$4,M$103),
_xlpm.paydays,RecurringFactorBased($B64,"Paydays",M$4,M$102),
_xlpm.monthly,SUMIFS(Recurring!$D:$D,Recurring!$B:$B,$B64,Recurring!$E:$E,"Monthly")+SUMIFS(Changes!$F:$F,Changes!$B:$B,$B64,Changes!$D:$D,"&lt;="&amp;M$4,Changes!$E:$E,"Monthly"),
_xlpm.annual,SUMIFS(Recurring!$D:$D,Recurring!$B:$B,$B64,Recurring!$E:$E,"Annual",Recurring!$G:$G,"&gt;="&amp;M$4,Recurring!$G:$G,"&lt;="&amp;EOMONTH(M$4,0))+SUMIFS(Changes!$F:$F,Changes!$B:$B,$B64,Changes!$D:$D,"&lt;="&amp;M$4,Changes!$E:$E,"Annual"),
_xlpm.planned,SUMIFS(Planned!$F:$F,Planned!$B:$B,$B64,Planned!$E:$E,"&gt;="&amp;M$4,Planned!$E:$E,"&lt;="&amp;EOMONTH(M$4,0)),
_xlpm.daily+_xlpm.weekdays+_xlpm.paydays+_xlpm.monthly+_xlpm.annual+_xlpm.planned)</f>
        <v>50</v>
      </c>
      <c r="N64" s="144" cm="1">
        <f t="array" aca="1" ref="N64" ca="1">_xlfn.LET(
_xlpm.daily,RecurringFactorBased($B64,"Daily",N$4,N$104),
_xlpm.weekdays,RecurringFactorBased($B64,"Weekdays",N$4,N$103),
_xlpm.paydays,RecurringFactorBased($B64,"Paydays",N$4,N$102),
_xlpm.monthly,SUMIFS(Recurring!$D:$D,Recurring!$B:$B,$B64,Recurring!$E:$E,"Monthly")+SUMIFS(Changes!$F:$F,Changes!$B:$B,$B64,Changes!$D:$D,"&lt;="&amp;N$4,Changes!$E:$E,"Monthly"),
_xlpm.annual,SUMIFS(Recurring!$D:$D,Recurring!$B:$B,$B64,Recurring!$E:$E,"Annual",Recurring!$G:$G,"&gt;="&amp;N$4,Recurring!$G:$G,"&lt;="&amp;EOMONTH(N$4,0))+SUMIFS(Changes!$F:$F,Changes!$B:$B,$B64,Changes!$D:$D,"&lt;="&amp;N$4,Changes!$E:$E,"Annual"),
_xlpm.planned,SUMIFS(Planned!$F:$F,Planned!$B:$B,$B64,Planned!$E:$E,"&gt;="&amp;N$4,Planned!$E:$E,"&lt;="&amp;EOMONTH(N$4,0)),
_xlpm.daily+_xlpm.weekdays+_xlpm.paydays+_xlpm.monthly+_xlpm.annual+_xlpm.planned)</f>
        <v>50</v>
      </c>
      <c r="O64" s="134"/>
      <c r="P64" s="145">
        <f ca="1">SUM(C64:N64)</f>
        <v>550</v>
      </c>
      <c r="Q64" s="81"/>
      <c r="R64" s="206"/>
    </row>
    <row r="65" spans="1:23" ht="12.75" customHeight="1" x14ac:dyDescent="0.2">
      <c r="A65" s="67"/>
      <c r="B65" s="103" t="s">
        <v>142</v>
      </c>
      <c r="C65" s="144" cm="1">
        <f t="array" aca="1" ref="C65" ca="1">_xlfn.LET(
_xlpm.daily,RecurringFactorBased($B65,"Daily",C$4,C$104),
_xlpm.weekdays,RecurringFactorBased($B65,"Weekdays",C$4,C$103),
_xlpm.paydays,RecurringFactorBased($B65,"Paydays",C$4,C$102),
_xlpm.monthly,SUMIFS(Recurring!$D:$D,Recurring!$B:$B,$B65,Recurring!$E:$E,"Monthly",Recurring!$G:$G,"&gt;="&amp;C$4)+SUMIFS(Changes!$F:$F,Changes!$B:$B,$B65,Changes!$D:$D,"&lt;="&amp;C$4,Changes!$E:$E,"Monthly"),
_xlpm.annual,SUMIFS(Recurring!$D:$D,Recurring!$B:$B,$B65,Recurring!$E:$E,"Annual",Recurring!$G:$G,"&gt;="&amp;C$4,Recurring!$G:$G,"&lt;="&amp;EOMONTH(C$4,0))+SUMIFS(Changes!$F:$F,Changes!$B:$B,$B65,Changes!$D:$D,"&lt;="&amp;C$4,Changes!$E:$E,"Annual"),
_xlpm.planned,SUMIFS(Planned!$F:$F,Planned!$B:$B,$B65,Planned!$E:$E,"&gt;="&amp;C$4,Planned!$E:$E,"&lt;="&amp;EOMONTH(C$4,0)),
_xlpm.daily+_xlpm.weekdays+_xlpm.paydays+_xlpm.monthly+_xlpm.annual+_xlpm.planned)</f>
        <v>0</v>
      </c>
      <c r="D65" s="144" cm="1">
        <f t="array" aca="1" ref="D65" ca="1">_xlfn.LET(
_xlpm.daily,RecurringFactorBased($B65,"Daily",D$4,D$104),
_xlpm.weekdays,RecurringFactorBased($B65,"Weekdays",D$4,D$103),
_xlpm.paydays,RecurringFactorBased($B65,"Paydays",D$4,D$102),
_xlpm.monthly,SUMIFS(Recurring!$D:$D,Recurring!$B:$B,$B65,Recurring!$E:$E,"Monthly")+SUMIFS(Changes!$F:$F,Changes!$B:$B,$B65,Changes!$D:$D,"&lt;="&amp;D$4,Changes!$E:$E,"Monthly"),
_xlpm.annual,SUMIFS(Recurring!$D:$D,Recurring!$B:$B,$B65,Recurring!$E:$E,"Annual",Recurring!$G:$G,"&gt;="&amp;D$4,Recurring!$G:$G,"&lt;="&amp;EOMONTH(D$4,0))+SUMIFS(Changes!$F:$F,Changes!$B:$B,$B65,Changes!$D:$D,"&lt;="&amp;D$4,Changes!$E:$E,"Annual"),
_xlpm.planned,SUMIFS(Planned!$F:$F,Planned!$B:$B,$B65,Planned!$E:$E,"&gt;="&amp;D$4,Planned!$E:$E,"&lt;="&amp;EOMONTH(D$4,0)),
_xlpm.daily+_xlpm.weekdays+_xlpm.paydays+_xlpm.monthly+_xlpm.annual+_xlpm.planned)</f>
        <v>400</v>
      </c>
      <c r="E65" s="144" cm="1">
        <f t="array" aca="1" ref="E65" ca="1">_xlfn.LET(
_xlpm.daily,RecurringFactorBased($B65,"Daily",E$4,E$104),
_xlpm.weekdays,RecurringFactorBased($B65,"Weekdays",E$4,E$103),
_xlpm.paydays,RecurringFactorBased($B65,"Paydays",E$4,E$102),
_xlpm.monthly,SUMIFS(Recurring!$D:$D,Recurring!$B:$B,$B65,Recurring!$E:$E,"Monthly")+SUMIFS(Changes!$F:$F,Changes!$B:$B,$B65,Changes!$D:$D,"&lt;="&amp;E$4,Changes!$E:$E,"Monthly"),
_xlpm.annual,SUMIFS(Recurring!$D:$D,Recurring!$B:$B,$B65,Recurring!$E:$E,"Annual",Recurring!$G:$G,"&gt;="&amp;E$4,Recurring!$G:$G,"&lt;="&amp;EOMONTH(E$4,0))+SUMIFS(Changes!$F:$F,Changes!$B:$B,$B65,Changes!$D:$D,"&lt;="&amp;E$4,Changes!$E:$E,"Annual"),
_xlpm.planned,SUMIFS(Planned!$F:$F,Planned!$B:$B,$B65,Planned!$E:$E,"&gt;="&amp;E$4,Planned!$E:$E,"&lt;="&amp;EOMONTH(E$4,0)),
_xlpm.daily+_xlpm.weekdays+_xlpm.paydays+_xlpm.monthly+_xlpm.annual+_xlpm.planned)</f>
        <v>400</v>
      </c>
      <c r="F65" s="144" cm="1">
        <f t="array" aca="1" ref="F65" ca="1">_xlfn.LET(
_xlpm.daily,RecurringFactorBased($B65,"Daily",F$4,F$104),
_xlpm.weekdays,RecurringFactorBased($B65,"Weekdays",F$4,F$103),
_xlpm.paydays,RecurringFactorBased($B65,"Paydays",F$4,F$102),
_xlpm.monthly,SUMIFS(Recurring!$D:$D,Recurring!$B:$B,$B65,Recurring!$E:$E,"Monthly")+SUMIFS(Changes!$F:$F,Changes!$B:$B,$B65,Changes!$D:$D,"&lt;="&amp;F$4,Changes!$E:$E,"Monthly"),
_xlpm.annual,SUMIFS(Recurring!$D:$D,Recurring!$B:$B,$B65,Recurring!$E:$E,"Annual",Recurring!$G:$G,"&gt;="&amp;F$4,Recurring!$G:$G,"&lt;="&amp;EOMONTH(F$4,0))+SUMIFS(Changes!$F:$F,Changes!$B:$B,$B65,Changes!$D:$D,"&lt;="&amp;F$4,Changes!$E:$E,"Annual"),
_xlpm.planned,SUMIFS(Planned!$F:$F,Planned!$B:$B,$B65,Planned!$E:$E,"&gt;="&amp;F$4,Planned!$E:$E,"&lt;="&amp;EOMONTH(F$4,0)),
_xlpm.daily+_xlpm.weekdays+_xlpm.paydays+_xlpm.monthly+_xlpm.annual+_xlpm.planned)</f>
        <v>400</v>
      </c>
      <c r="G65" s="144" cm="1">
        <f t="array" aca="1" ref="G65" ca="1">_xlfn.LET(
_xlpm.daily,RecurringFactorBased($B65,"Daily",G$4,G$104),
_xlpm.weekdays,RecurringFactorBased($B65,"Weekdays",G$4,G$103),
_xlpm.paydays,RecurringFactorBased($B65,"Paydays",G$4,G$102),
_xlpm.monthly,SUMIFS(Recurring!$D:$D,Recurring!$B:$B,$B65,Recurring!$E:$E,"Monthly")+SUMIFS(Changes!$F:$F,Changes!$B:$B,$B65,Changes!$D:$D,"&lt;="&amp;G$4,Changes!$E:$E,"Monthly"),
_xlpm.annual,SUMIFS(Recurring!$D:$D,Recurring!$B:$B,$B65,Recurring!$E:$E,"Annual",Recurring!$G:$G,"&gt;="&amp;G$4,Recurring!$G:$G,"&lt;="&amp;EOMONTH(G$4,0))+SUMIFS(Changes!$F:$F,Changes!$B:$B,$B65,Changes!$D:$D,"&lt;="&amp;G$4,Changes!$E:$E,"Annual"),
_xlpm.planned,SUMIFS(Planned!$F:$F,Planned!$B:$B,$B65,Planned!$E:$E,"&gt;="&amp;G$4,Planned!$E:$E,"&lt;="&amp;EOMONTH(G$4,0)),
_xlpm.daily+_xlpm.weekdays+_xlpm.paydays+_xlpm.monthly+_xlpm.annual+_xlpm.planned)</f>
        <v>400</v>
      </c>
      <c r="H65" s="144" cm="1">
        <f t="array" aca="1" ref="H65" ca="1">_xlfn.LET(
_xlpm.daily,RecurringFactorBased($B65,"Daily",H$4,H$104),
_xlpm.weekdays,RecurringFactorBased($B65,"Weekdays",H$4,H$103),
_xlpm.paydays,RecurringFactorBased($B65,"Paydays",H$4,H$102),
_xlpm.monthly,SUMIFS(Recurring!$D:$D,Recurring!$B:$B,$B65,Recurring!$E:$E,"Monthly")+SUMIFS(Changes!$F:$F,Changes!$B:$B,$B65,Changes!$D:$D,"&lt;="&amp;H$4,Changes!$E:$E,"Monthly"),
_xlpm.annual,SUMIFS(Recurring!$D:$D,Recurring!$B:$B,$B65,Recurring!$E:$E,"Annual",Recurring!$G:$G,"&gt;="&amp;H$4,Recurring!$G:$G,"&lt;="&amp;EOMONTH(H$4,0))+SUMIFS(Changes!$F:$F,Changes!$B:$B,$B65,Changes!$D:$D,"&lt;="&amp;H$4,Changes!$E:$E,"Annual"),
_xlpm.planned,SUMIFS(Planned!$F:$F,Planned!$B:$B,$B65,Planned!$E:$E,"&gt;="&amp;H$4,Planned!$E:$E,"&lt;="&amp;EOMONTH(H$4,0)),
_xlpm.daily+_xlpm.weekdays+_xlpm.paydays+_xlpm.monthly+_xlpm.annual+_xlpm.planned)</f>
        <v>600</v>
      </c>
      <c r="I65" s="144" cm="1">
        <f t="array" aca="1" ref="I65" ca="1">_xlfn.LET(
_xlpm.daily,RecurringFactorBased($B65,"Daily",I$4,I$104),
_xlpm.weekdays,RecurringFactorBased($B65,"Weekdays",I$4,I$103),
_xlpm.paydays,RecurringFactorBased($B65,"Paydays",I$4,I$102),
_xlpm.monthly,SUMIFS(Recurring!$D:$D,Recurring!$B:$B,$B65,Recurring!$E:$E,"Monthly")+SUMIFS(Changes!$F:$F,Changes!$B:$B,$B65,Changes!$D:$D,"&lt;="&amp;I$4,Changes!$E:$E,"Monthly"),
_xlpm.annual,SUMIFS(Recurring!$D:$D,Recurring!$B:$B,$B65,Recurring!$E:$E,"Annual",Recurring!$G:$G,"&gt;="&amp;I$4,Recurring!$G:$G,"&lt;="&amp;EOMONTH(I$4,0))+SUMIFS(Changes!$F:$F,Changes!$B:$B,$B65,Changes!$D:$D,"&lt;="&amp;I$4,Changes!$E:$E,"Annual"),
_xlpm.planned,SUMIFS(Planned!$F:$F,Planned!$B:$B,$B65,Planned!$E:$E,"&gt;="&amp;I$4,Planned!$E:$E,"&lt;="&amp;EOMONTH(I$4,0)),
_xlpm.daily+_xlpm.weekdays+_xlpm.paydays+_xlpm.monthly+_xlpm.annual+_xlpm.planned)</f>
        <v>400</v>
      </c>
      <c r="J65" s="144" cm="1">
        <f t="array" aca="1" ref="J65" ca="1">_xlfn.LET(
_xlpm.daily,RecurringFactorBased($B65,"Daily",J$4,J$104),
_xlpm.weekdays,RecurringFactorBased($B65,"Weekdays",J$4,J$103),
_xlpm.paydays,RecurringFactorBased($B65,"Paydays",J$4,J$102),
_xlpm.monthly,SUMIFS(Recurring!$D:$D,Recurring!$B:$B,$B65,Recurring!$E:$E,"Monthly")+SUMIFS(Changes!$F:$F,Changes!$B:$B,$B65,Changes!$D:$D,"&lt;="&amp;J$4,Changes!$E:$E,"Monthly"),
_xlpm.annual,SUMIFS(Recurring!$D:$D,Recurring!$B:$B,$B65,Recurring!$E:$E,"Annual",Recurring!$G:$G,"&gt;="&amp;J$4,Recurring!$G:$G,"&lt;="&amp;EOMONTH(J$4,0))+SUMIFS(Changes!$F:$F,Changes!$B:$B,$B65,Changes!$D:$D,"&lt;="&amp;J$4,Changes!$E:$E,"Annual"),
_xlpm.planned,SUMIFS(Planned!$F:$F,Planned!$B:$B,$B65,Planned!$E:$E,"&gt;="&amp;J$4,Planned!$E:$E,"&lt;="&amp;EOMONTH(J$4,0)),
_xlpm.daily+_xlpm.weekdays+_xlpm.paydays+_xlpm.monthly+_xlpm.annual+_xlpm.planned)</f>
        <v>400</v>
      </c>
      <c r="K65" s="144" cm="1">
        <f t="array" aca="1" ref="K65" ca="1">_xlfn.LET(
_xlpm.daily,RecurringFactorBased($B65,"Daily",K$4,K$104),
_xlpm.weekdays,RecurringFactorBased($B65,"Weekdays",K$4,K$103),
_xlpm.paydays,RecurringFactorBased($B65,"Paydays",K$4,K$102),
_xlpm.monthly,SUMIFS(Recurring!$D:$D,Recurring!$B:$B,$B65,Recurring!$E:$E,"Monthly")+SUMIFS(Changes!$F:$F,Changes!$B:$B,$B65,Changes!$D:$D,"&lt;="&amp;K$4,Changes!$E:$E,"Monthly"),
_xlpm.annual,SUMIFS(Recurring!$D:$D,Recurring!$B:$B,$B65,Recurring!$E:$E,"Annual",Recurring!$G:$G,"&gt;="&amp;K$4,Recurring!$G:$G,"&lt;="&amp;EOMONTH(K$4,0))+SUMIFS(Changes!$F:$F,Changes!$B:$B,$B65,Changes!$D:$D,"&lt;="&amp;K$4,Changes!$E:$E,"Annual"),
_xlpm.planned,SUMIFS(Planned!$F:$F,Planned!$B:$B,$B65,Planned!$E:$E,"&gt;="&amp;K$4,Planned!$E:$E,"&lt;="&amp;EOMONTH(K$4,0)),
_xlpm.daily+_xlpm.weekdays+_xlpm.paydays+_xlpm.monthly+_xlpm.annual+_xlpm.planned)</f>
        <v>400</v>
      </c>
      <c r="L65" s="144" cm="1">
        <f t="array" aca="1" ref="L65" ca="1">_xlfn.LET(
_xlpm.daily,RecurringFactorBased($B65,"Daily",L$4,L$104),
_xlpm.weekdays,RecurringFactorBased($B65,"Weekdays",L$4,L$103),
_xlpm.paydays,RecurringFactorBased($B65,"Paydays",L$4,L$102),
_xlpm.monthly,SUMIFS(Recurring!$D:$D,Recurring!$B:$B,$B65,Recurring!$E:$E,"Monthly")+SUMIFS(Changes!$F:$F,Changes!$B:$B,$B65,Changes!$D:$D,"&lt;="&amp;L$4,Changes!$E:$E,"Monthly"),
_xlpm.annual,SUMIFS(Recurring!$D:$D,Recurring!$B:$B,$B65,Recurring!$E:$E,"Annual",Recurring!$G:$G,"&gt;="&amp;L$4,Recurring!$G:$G,"&lt;="&amp;EOMONTH(L$4,0))+SUMIFS(Changes!$F:$F,Changes!$B:$B,$B65,Changes!$D:$D,"&lt;="&amp;L$4,Changes!$E:$E,"Annual"),
_xlpm.planned,SUMIFS(Planned!$F:$F,Planned!$B:$B,$B65,Planned!$E:$E,"&gt;="&amp;L$4,Planned!$E:$E,"&lt;="&amp;EOMONTH(L$4,0)),
_xlpm.daily+_xlpm.weekdays+_xlpm.paydays+_xlpm.monthly+_xlpm.annual+_xlpm.planned)</f>
        <v>400</v>
      </c>
      <c r="M65" s="144" cm="1">
        <f t="array" aca="1" ref="M65" ca="1">_xlfn.LET(
_xlpm.daily,RecurringFactorBased($B65,"Daily",M$4,M$104),
_xlpm.weekdays,RecurringFactorBased($B65,"Weekdays",M$4,M$103),
_xlpm.paydays,RecurringFactorBased($B65,"Paydays",M$4,M$102),
_xlpm.monthly,SUMIFS(Recurring!$D:$D,Recurring!$B:$B,$B65,Recurring!$E:$E,"Monthly")+SUMIFS(Changes!$F:$F,Changes!$B:$B,$B65,Changes!$D:$D,"&lt;="&amp;M$4,Changes!$E:$E,"Monthly"),
_xlpm.annual,SUMIFS(Recurring!$D:$D,Recurring!$B:$B,$B65,Recurring!$E:$E,"Annual",Recurring!$G:$G,"&gt;="&amp;M$4,Recurring!$G:$G,"&lt;="&amp;EOMONTH(M$4,0))+SUMIFS(Changes!$F:$F,Changes!$B:$B,$B65,Changes!$D:$D,"&lt;="&amp;M$4,Changes!$E:$E,"Annual"),
_xlpm.planned,SUMIFS(Planned!$F:$F,Planned!$B:$B,$B65,Planned!$E:$E,"&gt;="&amp;M$4,Planned!$E:$E,"&lt;="&amp;EOMONTH(M$4,0)),
_xlpm.daily+_xlpm.weekdays+_xlpm.paydays+_xlpm.monthly+_xlpm.annual+_xlpm.planned)</f>
        <v>600</v>
      </c>
      <c r="N65" s="144" cm="1">
        <f t="array" aca="1" ref="N65" ca="1">_xlfn.LET(
_xlpm.daily,RecurringFactorBased($B65,"Daily",N$4,N$104),
_xlpm.weekdays,RecurringFactorBased($B65,"Weekdays",N$4,N$103),
_xlpm.paydays,RecurringFactorBased($B65,"Paydays",N$4,N$102),
_xlpm.monthly,SUMIFS(Recurring!$D:$D,Recurring!$B:$B,$B65,Recurring!$E:$E,"Monthly")+SUMIFS(Changes!$F:$F,Changes!$B:$B,$B65,Changes!$D:$D,"&lt;="&amp;N$4,Changes!$E:$E,"Monthly"),
_xlpm.annual,SUMIFS(Recurring!$D:$D,Recurring!$B:$B,$B65,Recurring!$E:$E,"Annual",Recurring!$G:$G,"&gt;="&amp;N$4,Recurring!$G:$G,"&lt;="&amp;EOMONTH(N$4,0))+SUMIFS(Changes!$F:$F,Changes!$B:$B,$B65,Changes!$D:$D,"&lt;="&amp;N$4,Changes!$E:$E,"Annual"),
_xlpm.planned,SUMIFS(Planned!$F:$F,Planned!$B:$B,$B65,Planned!$E:$E,"&gt;="&amp;N$4,Planned!$E:$E,"&lt;="&amp;EOMONTH(N$4,0)),
_xlpm.daily+_xlpm.weekdays+_xlpm.paydays+_xlpm.monthly+_xlpm.annual+_xlpm.planned)</f>
        <v>400</v>
      </c>
      <c r="O65" s="134"/>
      <c r="P65" s="145">
        <f ca="1">SUM(C65:N65)</f>
        <v>4800</v>
      </c>
      <c r="Q65" s="81"/>
      <c r="R65" s="206"/>
      <c r="W65" s="6"/>
    </row>
    <row r="66" spans="1:23" s="52" customFormat="1" ht="5.0999999999999996" customHeight="1" x14ac:dyDescent="0.2">
      <c r="A66" s="65"/>
      <c r="B66" s="103"/>
      <c r="C66" s="134"/>
      <c r="D66" s="134"/>
      <c r="E66" s="134"/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45"/>
      <c r="Q66" s="83"/>
      <c r="R66" s="206"/>
      <c r="V66" s="53"/>
      <c r="W66" s="54"/>
    </row>
    <row r="67" spans="1:23" ht="12.75" customHeight="1" x14ac:dyDescent="0.2">
      <c r="A67" s="62"/>
      <c r="B67" s="114" t="str">
        <f>"Total "&amp;B63</f>
        <v>Total INVESTMENTS</v>
      </c>
      <c r="C67" s="154">
        <f ca="1">SUM(C64:C66)</f>
        <v>0</v>
      </c>
      <c r="D67" s="154">
        <f t="shared" ref="D67:N67" ca="1" si="17">SUM(D64:D66)</f>
        <v>450</v>
      </c>
      <c r="E67" s="154">
        <f t="shared" ca="1" si="17"/>
        <v>450</v>
      </c>
      <c r="F67" s="154">
        <f t="shared" ca="1" si="17"/>
        <v>450</v>
      </c>
      <c r="G67" s="154">
        <f t="shared" ca="1" si="17"/>
        <v>450</v>
      </c>
      <c r="H67" s="154">
        <f t="shared" ca="1" si="17"/>
        <v>650</v>
      </c>
      <c r="I67" s="154">
        <f t="shared" ca="1" si="17"/>
        <v>450</v>
      </c>
      <c r="J67" s="154">
        <f t="shared" ca="1" si="17"/>
        <v>450</v>
      </c>
      <c r="K67" s="154">
        <f t="shared" ca="1" si="17"/>
        <v>450</v>
      </c>
      <c r="L67" s="154">
        <f t="shared" ca="1" si="17"/>
        <v>450</v>
      </c>
      <c r="M67" s="154">
        <f t="shared" ca="1" si="17"/>
        <v>650</v>
      </c>
      <c r="N67" s="155">
        <f t="shared" ca="1" si="17"/>
        <v>450</v>
      </c>
      <c r="O67" s="154"/>
      <c r="P67" s="156">
        <f t="shared" ref="P67" ca="1" si="18">SUM(P64:P65)</f>
        <v>5350</v>
      </c>
      <c r="Q67" s="80"/>
      <c r="R67" s="206"/>
    </row>
    <row r="68" spans="1:23" ht="5.0999999999999996" customHeight="1" x14ac:dyDescent="0.2">
      <c r="A68" s="62"/>
      <c r="B68" s="101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80"/>
      <c r="R68" s="206"/>
    </row>
    <row r="69" spans="1:23" s="6" customFormat="1" ht="12.75" customHeight="1" x14ac:dyDescent="0.2">
      <c r="A69" s="62"/>
      <c r="B69" s="111" t="s">
        <v>23</v>
      </c>
      <c r="C69" s="234"/>
      <c r="D69" s="234"/>
      <c r="E69" s="234"/>
      <c r="F69" s="234"/>
      <c r="G69" s="234"/>
      <c r="H69" s="234"/>
      <c r="I69" s="234"/>
      <c r="J69" s="234"/>
      <c r="K69" s="234"/>
      <c r="L69" s="234"/>
      <c r="M69" s="234"/>
      <c r="N69" s="234"/>
      <c r="O69" s="234"/>
      <c r="P69" s="235"/>
      <c r="Q69" s="80"/>
      <c r="R69" s="206"/>
      <c r="S69" s="5"/>
      <c r="T69" s="5"/>
      <c r="U69" s="5"/>
      <c r="W69" s="5"/>
    </row>
    <row r="70" spans="1:23" ht="12.75" customHeight="1" x14ac:dyDescent="0.2">
      <c r="A70" s="67"/>
      <c r="B70" s="103" t="s">
        <v>11</v>
      </c>
      <c r="C70" s="144">
        <f ca="1">_xlfn.LET(
_xlpm.monthly,SUMIFS(Loans!$E:$E,Loans!$G:$G,"&gt;="&amp;C$4),
_xlpm.planned,SUMIFS(Planned!$F:$F,Planned!$B:$B,$B70,Planned!$E:$E,"&gt;="&amp;C$4,Planned!$E:$E,"&lt;="&amp;EOMONTH(C$4,0)),
_xlpm.monthly+_xlpm.planned)</f>
        <v>50</v>
      </c>
      <c r="D70" s="144">
        <f ca="1">_xlfn.LET(
_xlpm.monthly,SUM(Loans!$E:$E),
_xlpm.planned,SUMIFS(Planned!$F:$F,Planned!$B:$B,$B70,Planned!$E:$E,"&gt;="&amp;D$4,Planned!$E:$E,"&lt;="&amp;EOMONTH(D$4,0)),
_xlpm.monthly+_xlpm.planned)</f>
        <v>200</v>
      </c>
      <c r="E70" s="144">
        <f ca="1">_xlfn.LET(
_xlpm.monthly,SUM(Loans!$E:$E),
_xlpm.planned,SUMIFS(Planned!$F:$F,Planned!$B:$B,$B70,Planned!$E:$E,"&gt;="&amp;E$4,Planned!$E:$E,"&lt;="&amp;EOMONTH(E$4,0)),
_xlpm.monthly+_xlpm.planned)</f>
        <v>200</v>
      </c>
      <c r="F70" s="144">
        <f ca="1">_xlfn.LET(
_xlpm.monthly,SUM(Loans!$E:$E),
_xlpm.planned,SUMIFS(Planned!$F:$F,Planned!$B:$B,$B70,Planned!$E:$E,"&gt;="&amp;F$4,Planned!$E:$E,"&lt;="&amp;EOMONTH(F$4,0)),
_xlpm.monthly+_xlpm.planned)</f>
        <v>200</v>
      </c>
      <c r="G70" s="144">
        <f ca="1">_xlfn.LET(
_xlpm.monthly,SUM(Loans!$E:$E),
_xlpm.planned,SUMIFS(Planned!$F:$F,Planned!$B:$B,$B70,Planned!$E:$E,"&gt;="&amp;G$4,Planned!$E:$E,"&lt;="&amp;EOMONTH(G$4,0)),
_xlpm.monthly+_xlpm.planned)</f>
        <v>200</v>
      </c>
      <c r="H70" s="144">
        <f ca="1">_xlfn.LET(
_xlpm.monthly,SUM(Loans!$E:$E),
_xlpm.planned,SUMIFS(Planned!$F:$F,Planned!$B:$B,$B70,Planned!$E:$E,"&gt;="&amp;H$4,Planned!$E:$E,"&lt;="&amp;EOMONTH(H$4,0)),
_xlpm.monthly+_xlpm.planned)</f>
        <v>200</v>
      </c>
      <c r="I70" s="144">
        <f ca="1">_xlfn.LET(
_xlpm.monthly,SUM(Loans!$E:$E),
_xlpm.planned,SUMIFS(Planned!$F:$F,Planned!$B:$B,$B70,Planned!$E:$E,"&gt;="&amp;I$4,Planned!$E:$E,"&lt;="&amp;EOMONTH(I$4,0)),
_xlpm.monthly+_xlpm.planned)</f>
        <v>200</v>
      </c>
      <c r="J70" s="144">
        <f ca="1">_xlfn.LET(
_xlpm.monthly,SUM(Loans!$E:$E),
_xlpm.planned,SUMIFS(Planned!$F:$F,Planned!$B:$B,$B70,Planned!$E:$E,"&gt;="&amp;J$4,Planned!$E:$E,"&lt;="&amp;EOMONTH(J$4,0)),
_xlpm.monthly+_xlpm.planned)</f>
        <v>200</v>
      </c>
      <c r="K70" s="144">
        <f ca="1">_xlfn.LET(
_xlpm.monthly,SUM(Loans!$E:$E),
_xlpm.planned,SUMIFS(Planned!$F:$F,Planned!$B:$B,$B70,Planned!$E:$E,"&gt;="&amp;K$4,Planned!$E:$E,"&lt;="&amp;EOMONTH(K$4,0)),
_xlpm.monthly+_xlpm.planned)</f>
        <v>200</v>
      </c>
      <c r="L70" s="144">
        <f ca="1">_xlfn.LET(
_xlpm.monthly,SUM(Loans!$E:$E),
_xlpm.planned,SUMIFS(Planned!$F:$F,Planned!$B:$B,$B70,Planned!$E:$E,"&gt;="&amp;L$4,Planned!$E:$E,"&lt;="&amp;EOMONTH(L$4,0)),
_xlpm.monthly+_xlpm.planned)</f>
        <v>200</v>
      </c>
      <c r="M70" s="144">
        <f ca="1">_xlfn.LET(
_xlpm.monthly,SUM(Loans!$E:$E),
_xlpm.planned,SUMIFS(Planned!$F:$F,Planned!$B:$B,$B70,Planned!$E:$E,"&gt;="&amp;M$4,Planned!$E:$E,"&lt;="&amp;EOMONTH(M$4,0)),
_xlpm.monthly+_xlpm.planned)</f>
        <v>200</v>
      </c>
      <c r="N70" s="144">
        <f ca="1">_xlfn.LET(
_xlpm.monthly,SUM(Loans!$E:$E),
_xlpm.planned,SUMIFS(Planned!$F:$F,Planned!$B:$B,$B70,Planned!$E:$E,"&gt;="&amp;N$4,Planned!$E:$E,"&lt;="&amp;EOMONTH(N$4,0)),
_xlpm.monthly+_xlpm.planned)</f>
        <v>200</v>
      </c>
      <c r="O70" s="134"/>
      <c r="P70" s="145">
        <f ca="1">SUM(C70:N70)</f>
        <v>2250</v>
      </c>
      <c r="Q70" s="81"/>
      <c r="R70" s="206"/>
    </row>
    <row r="71" spans="1:23" ht="12.75" customHeight="1" x14ac:dyDescent="0.2">
      <c r="A71" s="67"/>
      <c r="B71" s="103" t="s">
        <v>42</v>
      </c>
      <c r="C71" s="144">
        <f ca="1">_xlfn.LET(
_xlpm.daily,SUMIFS(Recurring!$D:$D,Recurring!$B:$B,$B71,Recurring!$E:$E,"Daily")*C$104,
_xlpm.weekdays,SUMIFS(Recurring!$D:$D,Recurring!$B:$B,$B71,Recurring!$E:$E,"Weekdays")*C$103,
_xlpm.paydays,SUMIFS(Recurring!$D:$D,Recurring!$B:$B,$B71,Recurring!$E:$E,"Paydays")*C$102,
_xlpm.monthly,SUMIFS(Recurring!$D:$D,Recurring!$B:$B,$B71,Recurring!$E:$E,"Monthly",Recurring!$G:$G,"&gt;="&amp;C$4),
_xlpm.annual,SUMIFS(Recurring!$D:$D,Recurring!$B:$B,$B71,Recurring!$E:$E,"Annual",Recurring!$G:$G,"&gt;="&amp;C$4,Recurring!$G:$G,"&lt;="&amp;EOMONTH(C$4,0)),
_xlpm.planned,SUMIFS(Planned!$F:$F,Planned!$B:$B,$B71,Planned!$E:$E,"&gt;="&amp;C$4,Planned!$E:$E,"&lt;="&amp;EOMONTH(C$4,0)),
_xlpm.monthly_card_payment,SUMIFS('Credit Cards'!$E:$E,'Credit Cards'!$H:$H,"&gt;="&amp;C$4,'Credit Cards'!$H:$H,"&lt;="&amp;EOMONTH(C$4,0)),
_xlpm.daily+_xlpm.weekdays+_xlpm.paydays+_xlpm.monthly+_xlpm.monthly_card_payment+_xlpm.planned+_xlpm.annual)</f>
        <v>50</v>
      </c>
      <c r="D71" s="144">
        <f ca="1">_xlfn.LET(
_xlpm.daily,SUMIFS(Recurring!$D:$D,Recurring!$B:$B,$B71,Recurring!$E:$E,"Daily")*D$104,
_xlpm.weekdays,SUMIFS(Recurring!$D:$D,Recurring!$B:$B,$B71,Recurring!$E:$E,"Weekdays")*D$103,
_xlpm.paydays,SUMIFS(Recurring!$D:$D,Recurring!$B:$B,$B71,Recurring!$E:$E,"Paydays")*D$102,
_xlpm.monthly,SUMIFS(Recurring!$D:$D,Recurring!$B:$B,$B71,Recurring!$E:$E,"Monthly",Recurring!$G:$G,"&gt;="&amp;D$4),
_xlpm.annual,SUMIFS(Recurring!$D:$D,Recurring!$B:$B,$B71,Recurring!$E:$E,"Annual",Recurring!$G:$G,"&gt;="&amp;D$4,Recurring!$G:$G,"&lt;="&amp;EOMONTH(D$4,0)),
_xlpm.planned,SUMIFS(Planned!$F:$F,Planned!$B:$B,$B71,Planned!$E:$E,"&gt;="&amp;D$4,Planned!$E:$E,"&lt;="&amp;EOMONTH(D$4,0)),
_xlpm.current_card_payment,SUMIFS('Credit Cards'!$E:$E,'Credit Cards'!$H:$H,"&gt;="&amp;D$4,'Credit Cards'!$H:$H,"&lt;="&amp;EOMONTH(D$4,0)),
_xlpm.next_card_payment,SUMIFS('Credit Cards'!$F:$F,'Credit Cards'!$I:$I,"&gt;="&amp;D$4,'Credit Cards'!$I:$I,"&lt;="&amp;EOMONTH(D$4,0)),
_xlpm.daily+_xlpm.weekdays+_xlpm.paydays+_xlpm.monthly+_xlpm.current_card_payment+_xlpm.next_card_payment+_xlpm.planned+_xlpm.annual)</f>
        <v>3650</v>
      </c>
      <c r="E71" s="144">
        <f ca="1">SUM('Credit Cards'!$C:$C)-SUM(C71:D71)</f>
        <v>3500</v>
      </c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45">
        <f ca="1">SUM(C71:N71)</f>
        <v>7200</v>
      </c>
      <c r="Q71" s="81"/>
      <c r="R71" s="206"/>
    </row>
    <row r="72" spans="1:23" s="52" customFormat="1" ht="5.0999999999999996" customHeight="1" x14ac:dyDescent="0.2">
      <c r="A72" s="65"/>
      <c r="B72" s="103"/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45"/>
      <c r="Q72" s="83"/>
      <c r="R72" s="206"/>
      <c r="V72" s="53"/>
      <c r="W72" s="54"/>
    </row>
    <row r="73" spans="1:23" ht="12.75" customHeight="1" x14ac:dyDescent="0.2">
      <c r="A73" s="62"/>
      <c r="B73" s="114" t="str">
        <f>"Total "&amp;B69</f>
        <v>Total DEBT PAYMENTS</v>
      </c>
      <c r="C73" s="154">
        <f ca="1">SUM(C70:C72)</f>
        <v>100</v>
      </c>
      <c r="D73" s="154">
        <f t="shared" ref="D73:N73" ca="1" si="19">SUM(D70:D72)</f>
        <v>3850</v>
      </c>
      <c r="E73" s="154">
        <f t="shared" ca="1" si="19"/>
        <v>3700</v>
      </c>
      <c r="F73" s="154">
        <f t="shared" ca="1" si="19"/>
        <v>200</v>
      </c>
      <c r="G73" s="154">
        <f t="shared" ca="1" si="19"/>
        <v>200</v>
      </c>
      <c r="H73" s="154">
        <f t="shared" ca="1" si="19"/>
        <v>200</v>
      </c>
      <c r="I73" s="154">
        <f t="shared" ca="1" si="19"/>
        <v>200</v>
      </c>
      <c r="J73" s="154">
        <f t="shared" ca="1" si="19"/>
        <v>200</v>
      </c>
      <c r="K73" s="154">
        <f t="shared" ca="1" si="19"/>
        <v>200</v>
      </c>
      <c r="L73" s="154">
        <f t="shared" ca="1" si="19"/>
        <v>200</v>
      </c>
      <c r="M73" s="154">
        <f t="shared" ca="1" si="19"/>
        <v>200</v>
      </c>
      <c r="N73" s="155">
        <f t="shared" ca="1" si="19"/>
        <v>200</v>
      </c>
      <c r="O73" s="154"/>
      <c r="P73" s="156">
        <f ca="1">SUM(P70:P71)</f>
        <v>9450</v>
      </c>
      <c r="Q73" s="80"/>
      <c r="R73" s="206"/>
    </row>
    <row r="74" spans="1:23" ht="5.0999999999999996" customHeight="1" x14ac:dyDescent="0.2">
      <c r="A74" s="62"/>
      <c r="B74" s="110"/>
      <c r="C74" s="141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80"/>
      <c r="R74" s="206"/>
    </row>
    <row r="75" spans="1:23" ht="12.75" customHeight="1" x14ac:dyDescent="0.2">
      <c r="A75" s="62"/>
      <c r="B75" s="115" t="s">
        <v>65</v>
      </c>
      <c r="C75" s="158">
        <f t="shared" ref="C75:N75" ca="1" si="20">SUM(C73,C67,C61,C52)</f>
        <v>1227.99</v>
      </c>
      <c r="D75" s="158">
        <f t="shared" ca="1" si="20"/>
        <v>6468.97</v>
      </c>
      <c r="E75" s="158">
        <f t="shared" ca="1" si="20"/>
        <v>6193.97</v>
      </c>
      <c r="F75" s="158">
        <f t="shared" ca="1" si="20"/>
        <v>2768.9700000000003</v>
      </c>
      <c r="G75" s="158">
        <f t="shared" ca="1" si="20"/>
        <v>2793.9700000000003</v>
      </c>
      <c r="H75" s="158">
        <f t="shared" ca="1" si="20"/>
        <v>3068.9700000000003</v>
      </c>
      <c r="I75" s="158">
        <f t="shared" ca="1" si="20"/>
        <v>2793.9700000000003</v>
      </c>
      <c r="J75" s="158">
        <f t="shared" ca="1" si="20"/>
        <v>2818.9700000000003</v>
      </c>
      <c r="K75" s="158">
        <f t="shared" ca="1" si="20"/>
        <v>2818.9700000000003</v>
      </c>
      <c r="L75" s="158">
        <f t="shared" ca="1" si="20"/>
        <v>2793.9700000000003</v>
      </c>
      <c r="M75" s="158">
        <f t="shared" ca="1" si="20"/>
        <v>3068.9700000000003</v>
      </c>
      <c r="N75" s="158">
        <f t="shared" ca="1" si="20"/>
        <v>2793.9700000000003</v>
      </c>
      <c r="O75" s="157"/>
      <c r="P75" s="159">
        <f ca="1">SUM(P73,P67,P61,P52)</f>
        <v>31785</v>
      </c>
      <c r="Q75" s="80"/>
      <c r="R75" s="206"/>
    </row>
    <row r="76" spans="1:23" ht="12.75" customHeight="1" x14ac:dyDescent="0.2">
      <c r="A76" s="62"/>
      <c r="B76" s="110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80"/>
      <c r="R76" s="206"/>
    </row>
    <row r="77" spans="1:23" ht="12.75" customHeight="1" x14ac:dyDescent="0.2">
      <c r="A77" s="62"/>
      <c r="B77" s="102" t="s">
        <v>138</v>
      </c>
      <c r="C77" s="142"/>
      <c r="D77" s="142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3"/>
      <c r="Q77" s="80"/>
      <c r="R77" s="206"/>
    </row>
    <row r="78" spans="1:23" ht="12.75" customHeight="1" x14ac:dyDescent="0.2">
      <c r="A78" s="62"/>
      <c r="B78" s="103" t="s">
        <v>143</v>
      </c>
      <c r="C78" s="144">
        <f ca="1">C$19*SUMIFS(Precedents!$E:$E,Precedents!$D:$D,$B$19,Precedents!$B:$B,$B78)+C$20*SUMIFS(Precedents!$E:$E,Precedents!$D:$D,$B$20,Precedents!$B:$B,$B78)</f>
        <v>0</v>
      </c>
      <c r="D78" s="144">
        <f ca="1">D$19*SUMIFS(Precedents!$E:$E,Precedents!$D:$D,$B$19,Precedents!$B:$B,$B78)+D$20*SUMIFS(Precedents!$E:$E,Precedents!$D:$D,$B$20,Precedents!$B:$B,$B78)</f>
        <v>400</v>
      </c>
      <c r="E78" s="144">
        <f ca="1">E$19*SUMIFS(Precedents!$E:$E,Precedents!$D:$D,$B$19,Precedents!$B:$B,$B78)+E$20*SUMIFS(Precedents!$E:$E,Precedents!$D:$D,$B$20,Precedents!$B:$B,$B78)</f>
        <v>400</v>
      </c>
      <c r="F78" s="144">
        <f ca="1">F$19*SUMIFS(Precedents!$E:$E,Precedents!$D:$D,$B$19,Precedents!$B:$B,$B78)+F$20*SUMIFS(Precedents!$E:$E,Precedents!$D:$D,$B$20,Precedents!$B:$B,$B78)</f>
        <v>410</v>
      </c>
      <c r="G78" s="144">
        <f ca="1">G$19*SUMIFS(Precedents!$E:$E,Precedents!$D:$D,$B$19,Precedents!$B:$B,$B78)+G$20*SUMIFS(Precedents!$E:$E,Precedents!$D:$D,$B$20,Precedents!$B:$B,$B78)</f>
        <v>910</v>
      </c>
      <c r="H78" s="144">
        <f ca="1">H$19*SUMIFS(Precedents!$E:$E,Precedents!$D:$D,$B$19,Precedents!$B:$B,$B78)+H$20*SUMIFS(Precedents!$E:$E,Precedents!$D:$D,$B$20,Precedents!$B:$B,$B78)</f>
        <v>615</v>
      </c>
      <c r="I78" s="144">
        <f ca="1">I$19*SUMIFS(Precedents!$E:$E,Precedents!$D:$D,$B$19,Precedents!$B:$B,$B78)+I$20*SUMIFS(Precedents!$E:$E,Precedents!$D:$D,$B$20,Precedents!$B:$B,$B78)</f>
        <v>410</v>
      </c>
      <c r="J78" s="144">
        <f ca="1">J$19*SUMIFS(Precedents!$E:$E,Precedents!$D:$D,$B$19,Precedents!$B:$B,$B78)+J$20*SUMIFS(Precedents!$E:$E,Precedents!$D:$D,$B$20,Precedents!$B:$B,$B78)</f>
        <v>410</v>
      </c>
      <c r="K78" s="144">
        <f ca="1">K$19*SUMIFS(Precedents!$E:$E,Precedents!$D:$D,$B$19,Precedents!$B:$B,$B78)+K$20*SUMIFS(Precedents!$E:$E,Precedents!$D:$D,$B$20,Precedents!$B:$B,$B78)</f>
        <v>410</v>
      </c>
      <c r="L78" s="144">
        <f ca="1">L$19*SUMIFS(Precedents!$E:$E,Precedents!$D:$D,$B$19,Precedents!$B:$B,$B78)+L$20*SUMIFS(Precedents!$E:$E,Precedents!$D:$D,$B$20,Precedents!$B:$B,$B78)</f>
        <v>410</v>
      </c>
      <c r="M78" s="144">
        <f ca="1">M$19*SUMIFS(Precedents!$E:$E,Precedents!$D:$D,$B$19,Precedents!$B:$B,$B78)+M$20*SUMIFS(Precedents!$E:$E,Precedents!$D:$D,$B$20,Precedents!$B:$B,$B78)</f>
        <v>615</v>
      </c>
      <c r="N78" s="144">
        <f ca="1">N$19*SUMIFS(Precedents!$E:$E,Precedents!$D:$D,$B$19,Precedents!$B:$B,$B78)+N$20*SUMIFS(Precedents!$E:$E,Precedents!$D:$D,$B$20,Precedents!$B:$B,$B78)</f>
        <v>410</v>
      </c>
      <c r="O78" s="134"/>
      <c r="P78" s="145">
        <f ca="1">SUM(C78:N78)</f>
        <v>5400</v>
      </c>
      <c r="Q78" s="80"/>
      <c r="R78" s="206"/>
    </row>
    <row r="79" spans="1:23" ht="5.0999999999999996" customHeight="1" x14ac:dyDescent="0.2">
      <c r="A79" s="62"/>
      <c r="B79" s="103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45"/>
      <c r="Q79" s="80"/>
      <c r="R79" s="206"/>
    </row>
    <row r="80" spans="1:23" ht="12.75" customHeight="1" x14ac:dyDescent="0.2">
      <c r="A80" s="62"/>
      <c r="B80" s="107" t="str">
        <f>"Total "&amp;B77</f>
        <v>Total NON CASH</v>
      </c>
      <c r="C80" s="148">
        <f t="shared" ref="C80:N80" ca="1" si="21">SUM(C78:C79)</f>
        <v>0</v>
      </c>
      <c r="D80" s="148">
        <f t="shared" ca="1" si="21"/>
        <v>400</v>
      </c>
      <c r="E80" s="148">
        <f t="shared" ca="1" si="21"/>
        <v>400</v>
      </c>
      <c r="F80" s="148">
        <f t="shared" ca="1" si="21"/>
        <v>410</v>
      </c>
      <c r="G80" s="148">
        <f t="shared" ca="1" si="21"/>
        <v>910</v>
      </c>
      <c r="H80" s="148">
        <f t="shared" ca="1" si="21"/>
        <v>615</v>
      </c>
      <c r="I80" s="148">
        <f t="shared" ca="1" si="21"/>
        <v>410</v>
      </c>
      <c r="J80" s="148">
        <f t="shared" ca="1" si="21"/>
        <v>410</v>
      </c>
      <c r="K80" s="148">
        <f t="shared" ca="1" si="21"/>
        <v>410</v>
      </c>
      <c r="L80" s="148">
        <f t="shared" ca="1" si="21"/>
        <v>410</v>
      </c>
      <c r="M80" s="148">
        <f t="shared" ca="1" si="21"/>
        <v>615</v>
      </c>
      <c r="N80" s="160">
        <f t="shared" ca="1" si="21"/>
        <v>410</v>
      </c>
      <c r="O80" s="148"/>
      <c r="P80" s="149">
        <f ca="1">SUM(P78:P78)</f>
        <v>5400</v>
      </c>
      <c r="Q80" s="80"/>
      <c r="R80" s="206"/>
    </row>
    <row r="81" spans="1:23" ht="5.0999999999999996" customHeight="1" x14ac:dyDescent="0.2">
      <c r="A81" s="62"/>
      <c r="B81" s="110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80"/>
      <c r="R81" s="206"/>
    </row>
    <row r="82" spans="1:23" ht="12.75" customHeight="1" x14ac:dyDescent="0.2">
      <c r="A82" s="62"/>
      <c r="B82" s="116" t="s">
        <v>74</v>
      </c>
      <c r="C82" s="161"/>
      <c r="D82" s="161"/>
      <c r="E82" s="161"/>
      <c r="F82" s="161"/>
      <c r="G82" s="161"/>
      <c r="H82" s="161"/>
      <c r="I82" s="161"/>
      <c r="J82" s="161"/>
      <c r="K82" s="161"/>
      <c r="L82" s="161"/>
      <c r="M82" s="161"/>
      <c r="N82" s="193"/>
      <c r="O82" s="141"/>
      <c r="P82" s="141"/>
      <c r="Q82" s="80"/>
      <c r="R82" s="206"/>
    </row>
    <row r="83" spans="1:23" ht="12.75" customHeight="1" x14ac:dyDescent="0.2">
      <c r="A83" s="62"/>
      <c r="B83" s="103" t="s">
        <v>12</v>
      </c>
      <c r="C83" s="144">
        <f t="shared" ref="C83:N83" ca="1" si="22">C15</f>
        <v>46212.01</v>
      </c>
      <c r="D83" s="144">
        <f t="shared" ca="1" si="22"/>
        <v>44711.040000000001</v>
      </c>
      <c r="E83" s="144">
        <f t="shared" ca="1" si="22"/>
        <v>43585.07</v>
      </c>
      <c r="F83" s="144">
        <f t="shared" ca="1" si="22"/>
        <v>45820.1</v>
      </c>
      <c r="G83" s="144">
        <f t="shared" ca="1" si="22"/>
        <v>52530.13</v>
      </c>
      <c r="H83" s="144">
        <f t="shared" ca="1" si="22"/>
        <v>56942.159999999996</v>
      </c>
      <c r="I83" s="144">
        <f t="shared" ca="1" si="22"/>
        <v>59152.189999999995</v>
      </c>
      <c r="J83" s="144">
        <f t="shared" ca="1" si="22"/>
        <v>61337.219999999994</v>
      </c>
      <c r="K83" s="144">
        <f t="shared" ca="1" si="22"/>
        <v>63522.249999999993</v>
      </c>
      <c r="L83" s="144">
        <f t="shared" ca="1" si="22"/>
        <v>65732.28</v>
      </c>
      <c r="M83" s="144">
        <f t="shared" ca="1" si="22"/>
        <v>70144.31</v>
      </c>
      <c r="N83" s="190">
        <f t="shared" ca="1" si="22"/>
        <v>72354.34</v>
      </c>
      <c r="O83" s="141"/>
      <c r="P83" s="141"/>
      <c r="Q83" s="80"/>
      <c r="R83" s="206"/>
    </row>
    <row r="84" spans="1:23" ht="12.75" customHeight="1" x14ac:dyDescent="0.2">
      <c r="A84" s="62"/>
      <c r="B84" s="103" t="s">
        <v>278</v>
      </c>
      <c r="C84" s="144">
        <f>Balances!C7</f>
        <v>137</v>
      </c>
      <c r="D84" s="144">
        <f>C84</f>
        <v>137</v>
      </c>
      <c r="E84" s="144">
        <f t="shared" ref="E84:N84" si="23">D84</f>
        <v>137</v>
      </c>
      <c r="F84" s="144">
        <f t="shared" si="23"/>
        <v>137</v>
      </c>
      <c r="G84" s="144">
        <f t="shared" si="23"/>
        <v>137</v>
      </c>
      <c r="H84" s="144">
        <f t="shared" si="23"/>
        <v>137</v>
      </c>
      <c r="I84" s="144">
        <f t="shared" si="23"/>
        <v>137</v>
      </c>
      <c r="J84" s="144">
        <f t="shared" si="23"/>
        <v>137</v>
      </c>
      <c r="K84" s="144">
        <f t="shared" si="23"/>
        <v>137</v>
      </c>
      <c r="L84" s="144">
        <f t="shared" si="23"/>
        <v>137</v>
      </c>
      <c r="M84" s="144">
        <f t="shared" si="23"/>
        <v>137</v>
      </c>
      <c r="N84" s="190">
        <f t="shared" si="23"/>
        <v>137</v>
      </c>
      <c r="O84" s="141"/>
      <c r="P84" s="141"/>
      <c r="Q84" s="80"/>
      <c r="R84" s="206"/>
    </row>
    <row r="85" spans="1:23" s="52" customFormat="1" ht="5.0999999999999996" customHeight="1" x14ac:dyDescent="0.2">
      <c r="A85" s="65"/>
      <c r="B85" s="103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45"/>
      <c r="O85" s="141"/>
      <c r="P85" s="141"/>
      <c r="Q85" s="83"/>
      <c r="R85" s="206"/>
      <c r="V85" s="53"/>
      <c r="W85" s="54"/>
    </row>
    <row r="86" spans="1:23" ht="12.75" customHeight="1" x14ac:dyDescent="0.2">
      <c r="A86" s="62"/>
      <c r="B86" s="103" t="s">
        <v>60</v>
      </c>
      <c r="C86" s="144">
        <f ca="1">Balances!C9+C64</f>
        <v>13000</v>
      </c>
      <c r="D86" s="144">
        <f ca="1">C86+D64</f>
        <v>13050</v>
      </c>
      <c r="E86" s="144">
        <f t="shared" ref="E86:N86" ca="1" si="24">D86+E64</f>
        <v>13100</v>
      </c>
      <c r="F86" s="144">
        <f t="shared" ca="1" si="24"/>
        <v>13150</v>
      </c>
      <c r="G86" s="144">
        <f t="shared" ca="1" si="24"/>
        <v>13200</v>
      </c>
      <c r="H86" s="144">
        <f t="shared" ca="1" si="24"/>
        <v>13250</v>
      </c>
      <c r="I86" s="144">
        <f t="shared" ca="1" si="24"/>
        <v>13300</v>
      </c>
      <c r="J86" s="144">
        <f t="shared" ca="1" si="24"/>
        <v>13350</v>
      </c>
      <c r="K86" s="144">
        <f t="shared" ca="1" si="24"/>
        <v>13400</v>
      </c>
      <c r="L86" s="144">
        <f t="shared" ca="1" si="24"/>
        <v>13450</v>
      </c>
      <c r="M86" s="144">
        <f t="shared" ca="1" si="24"/>
        <v>13500</v>
      </c>
      <c r="N86" s="190">
        <f t="shared" ca="1" si="24"/>
        <v>13550</v>
      </c>
      <c r="O86" s="141"/>
      <c r="P86" s="141"/>
      <c r="Q86" s="80"/>
      <c r="R86" s="206"/>
    </row>
    <row r="87" spans="1:23" ht="12.75" customHeight="1" x14ac:dyDescent="0.2">
      <c r="A87" s="62"/>
      <c r="B87" s="103" t="s">
        <v>59</v>
      </c>
      <c r="C87" s="144">
        <f ca="1">Balances!C10+SUM(C65,C28,C78)</f>
        <v>100000</v>
      </c>
      <c r="D87" s="144">
        <f ca="1">C87*(1+Blanket!$C$3/12)+SUM(D65,D28,D78)</f>
        <v>102033.33333333333</v>
      </c>
      <c r="E87" s="144">
        <f ca="1">D87*(1+Blanket!$C$3/12)+SUM(E65,E28,E78)</f>
        <v>104083.61111111111</v>
      </c>
      <c r="F87" s="144">
        <f ca="1">E87*(1+Blanket!$C$3/12)+SUM(F65,F28,F78)</f>
        <v>106170.97453703704</v>
      </c>
      <c r="G87" s="144">
        <f ca="1">F87*(1+Blanket!$C$3/12)+SUM(G65,G28,G78)</f>
        <v>109275.73265817901</v>
      </c>
      <c r="H87" s="144">
        <f ca="1">G87*(1+Blanket!$C$3/12)+SUM(H65,H28,H78)</f>
        <v>112016.36376366383</v>
      </c>
      <c r="I87" s="144">
        <f ca="1">H87*(1+Blanket!$C$3/12)+SUM(I65,I28,I78)</f>
        <v>114169.83346169436</v>
      </c>
      <c r="J87" s="144">
        <f ca="1">I87*(1+Blanket!$C$3/12)+SUM(J65,J28,J78)</f>
        <v>116341.24874054181</v>
      </c>
      <c r="K87" s="144">
        <f ca="1">J87*(1+Blanket!$C$3/12)+SUM(K65,K28,K78)</f>
        <v>118530.75914671298</v>
      </c>
      <c r="L87" s="144">
        <f ca="1">K87*(1+Blanket!$C$3/12)+SUM(L65,L28,L78)</f>
        <v>120738.51547293559</v>
      </c>
      <c r="M87" s="144">
        <f ca="1">L87*(1+Blanket!$C$3/12)+SUM(M65,M28,M78)</f>
        <v>123574.66976854338</v>
      </c>
      <c r="N87" s="190">
        <f ca="1">M87*(1+Blanket!$C$3/12)+SUM(N65,N28,N78)</f>
        <v>125824.45868328123</v>
      </c>
      <c r="O87" s="141"/>
      <c r="P87" s="141"/>
      <c r="Q87" s="80"/>
      <c r="R87" s="206"/>
    </row>
    <row r="88" spans="1:23" s="52" customFormat="1" ht="5.0999999999999996" customHeight="1" x14ac:dyDescent="0.2">
      <c r="A88" s="65"/>
      <c r="B88" s="103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45"/>
      <c r="O88" s="141"/>
      <c r="P88" s="141"/>
      <c r="Q88" s="83"/>
      <c r="R88" s="206"/>
      <c r="V88" s="53"/>
      <c r="W88" s="54"/>
    </row>
    <row r="89" spans="1:23" ht="12.75" customHeight="1" x14ac:dyDescent="0.2">
      <c r="A89" s="62"/>
      <c r="B89" s="117" t="s">
        <v>161</v>
      </c>
      <c r="C89" s="162">
        <f t="shared" ref="C89:N89" ca="1" si="25">SUM(C83:C88)</f>
        <v>159349.01</v>
      </c>
      <c r="D89" s="162">
        <f t="shared" ca="1" si="25"/>
        <v>159931.37333333332</v>
      </c>
      <c r="E89" s="162">
        <f t="shared" ca="1" si="25"/>
        <v>160905.6811111111</v>
      </c>
      <c r="F89" s="162">
        <f t="shared" ca="1" si="25"/>
        <v>165278.07453703703</v>
      </c>
      <c r="G89" s="162">
        <f t="shared" ca="1" si="25"/>
        <v>175142.86265817902</v>
      </c>
      <c r="H89" s="162">
        <f t="shared" ca="1" si="25"/>
        <v>182345.52376366383</v>
      </c>
      <c r="I89" s="162">
        <f t="shared" ca="1" si="25"/>
        <v>186759.02346169436</v>
      </c>
      <c r="J89" s="162">
        <f t="shared" ca="1" si="25"/>
        <v>191165.46874054181</v>
      </c>
      <c r="K89" s="162">
        <f t="shared" ca="1" si="25"/>
        <v>195590.00914671298</v>
      </c>
      <c r="L89" s="162">
        <f t="shared" ca="1" si="25"/>
        <v>200057.7954729356</v>
      </c>
      <c r="M89" s="162">
        <f t="shared" ca="1" si="25"/>
        <v>207355.97976854339</v>
      </c>
      <c r="N89" s="191">
        <f t="shared" ca="1" si="25"/>
        <v>211865.79868328123</v>
      </c>
      <c r="O89" s="141"/>
      <c r="P89" s="141"/>
      <c r="Q89" s="83"/>
      <c r="R89" s="206"/>
    </row>
    <row r="90" spans="1:23" s="52" customFormat="1" ht="5.0999999999999996" customHeight="1" x14ac:dyDescent="0.2">
      <c r="A90" s="65"/>
      <c r="B90" s="103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45"/>
      <c r="O90" s="141"/>
      <c r="P90" s="141"/>
      <c r="Q90" s="83"/>
      <c r="R90" s="206"/>
      <c r="V90" s="53"/>
      <c r="W90" s="54"/>
    </row>
    <row r="91" spans="1:23" ht="12.75" customHeight="1" x14ac:dyDescent="0.2">
      <c r="A91" s="62"/>
      <c r="B91" s="103" t="s">
        <v>11</v>
      </c>
      <c r="C91" s="144">
        <f ca="1">Balances!C14-C70</f>
        <v>20350</v>
      </c>
      <c r="D91" s="144">
        <f t="shared" ref="D91:N91" ca="1" si="26">C91-D70</f>
        <v>20150</v>
      </c>
      <c r="E91" s="144">
        <f t="shared" ca="1" si="26"/>
        <v>19950</v>
      </c>
      <c r="F91" s="144">
        <f t="shared" ca="1" si="26"/>
        <v>19750</v>
      </c>
      <c r="G91" s="144">
        <f t="shared" ca="1" si="26"/>
        <v>19550</v>
      </c>
      <c r="H91" s="144">
        <f t="shared" ca="1" si="26"/>
        <v>19350</v>
      </c>
      <c r="I91" s="144">
        <f t="shared" ca="1" si="26"/>
        <v>19150</v>
      </c>
      <c r="J91" s="144">
        <f t="shared" ca="1" si="26"/>
        <v>18950</v>
      </c>
      <c r="K91" s="144">
        <f t="shared" ca="1" si="26"/>
        <v>18750</v>
      </c>
      <c r="L91" s="144">
        <f t="shared" ca="1" si="26"/>
        <v>18550</v>
      </c>
      <c r="M91" s="144">
        <f t="shared" ca="1" si="26"/>
        <v>18350</v>
      </c>
      <c r="N91" s="190">
        <f t="shared" ca="1" si="26"/>
        <v>18150</v>
      </c>
      <c r="O91" s="141"/>
      <c r="P91" s="141"/>
      <c r="Q91" s="83"/>
      <c r="R91" s="206"/>
    </row>
    <row r="92" spans="1:23" ht="12.75" customHeight="1" x14ac:dyDescent="0.2">
      <c r="A92" s="62"/>
      <c r="B92" s="103" t="s">
        <v>42</v>
      </c>
      <c r="C92" s="144">
        <f ca="1">Balances!C15-C71</f>
        <v>7150</v>
      </c>
      <c r="D92" s="144">
        <f t="shared" ref="D92:N92" ca="1" si="27">C92-D71</f>
        <v>3500</v>
      </c>
      <c r="E92" s="144">
        <f t="shared" ca="1" si="27"/>
        <v>0</v>
      </c>
      <c r="F92" s="144">
        <f t="shared" ca="1" si="27"/>
        <v>0</v>
      </c>
      <c r="G92" s="144">
        <f t="shared" ca="1" si="27"/>
        <v>0</v>
      </c>
      <c r="H92" s="144">
        <f t="shared" ca="1" si="27"/>
        <v>0</v>
      </c>
      <c r="I92" s="144">
        <f t="shared" ca="1" si="27"/>
        <v>0</v>
      </c>
      <c r="J92" s="144">
        <f t="shared" ca="1" si="27"/>
        <v>0</v>
      </c>
      <c r="K92" s="144">
        <f t="shared" ca="1" si="27"/>
        <v>0</v>
      </c>
      <c r="L92" s="144">
        <f t="shared" ca="1" si="27"/>
        <v>0</v>
      </c>
      <c r="M92" s="144">
        <f t="shared" ca="1" si="27"/>
        <v>0</v>
      </c>
      <c r="N92" s="190">
        <f t="shared" ca="1" si="27"/>
        <v>0</v>
      </c>
      <c r="O92" s="141"/>
      <c r="P92" s="141"/>
      <c r="Q92" s="80"/>
      <c r="R92" s="206"/>
    </row>
    <row r="93" spans="1:23" s="52" customFormat="1" ht="5.0999999999999996" customHeight="1" x14ac:dyDescent="0.2">
      <c r="A93" s="65"/>
      <c r="B93" s="103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45"/>
      <c r="O93" s="141"/>
      <c r="P93" s="141"/>
      <c r="Q93" s="83"/>
      <c r="R93" s="206"/>
      <c r="V93" s="53"/>
      <c r="W93" s="54"/>
    </row>
    <row r="94" spans="1:23" ht="12.75" customHeight="1" x14ac:dyDescent="0.2">
      <c r="A94" s="62"/>
      <c r="B94" s="117" t="s">
        <v>162</v>
      </c>
      <c r="C94" s="162">
        <f ca="1">SUM(C90:C93)</f>
        <v>27500</v>
      </c>
      <c r="D94" s="162">
        <f t="shared" ref="D94:N94" ca="1" si="28">SUM(D90:D93)</f>
        <v>23650</v>
      </c>
      <c r="E94" s="162">
        <f t="shared" ca="1" si="28"/>
        <v>19950</v>
      </c>
      <c r="F94" s="162">
        <f t="shared" ca="1" si="28"/>
        <v>19750</v>
      </c>
      <c r="G94" s="162">
        <f t="shared" ca="1" si="28"/>
        <v>19550</v>
      </c>
      <c r="H94" s="162">
        <f t="shared" ca="1" si="28"/>
        <v>19350</v>
      </c>
      <c r="I94" s="162">
        <f t="shared" ca="1" si="28"/>
        <v>19150</v>
      </c>
      <c r="J94" s="162">
        <f t="shared" ca="1" si="28"/>
        <v>18950</v>
      </c>
      <c r="K94" s="162">
        <f t="shared" ca="1" si="28"/>
        <v>18750</v>
      </c>
      <c r="L94" s="162">
        <f t="shared" ca="1" si="28"/>
        <v>18550</v>
      </c>
      <c r="M94" s="162">
        <f t="shared" ca="1" si="28"/>
        <v>18350</v>
      </c>
      <c r="N94" s="191">
        <f t="shared" ca="1" si="28"/>
        <v>18150</v>
      </c>
      <c r="O94" s="141"/>
      <c r="P94" s="141"/>
      <c r="Q94" s="83"/>
      <c r="R94" s="206"/>
    </row>
    <row r="95" spans="1:23" s="52" customFormat="1" ht="5.0999999999999996" customHeight="1" x14ac:dyDescent="0.2">
      <c r="A95" s="65"/>
      <c r="B95" s="103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45"/>
      <c r="O95" s="141"/>
      <c r="P95" s="141"/>
      <c r="Q95" s="83"/>
      <c r="R95" s="206"/>
      <c r="V95" s="53"/>
      <c r="W95" s="54"/>
    </row>
    <row r="96" spans="1:23" ht="12.75" customHeight="1" x14ac:dyDescent="0.2">
      <c r="A96" s="62"/>
      <c r="B96" s="118" t="s">
        <v>72</v>
      </c>
      <c r="C96" s="163">
        <f ca="1">C89-C94</f>
        <v>131849.01</v>
      </c>
      <c r="D96" s="163">
        <f t="shared" ref="D96:N96" ca="1" si="29">D89-D94</f>
        <v>136281.37333333332</v>
      </c>
      <c r="E96" s="163">
        <f t="shared" ca="1" si="29"/>
        <v>140955.6811111111</v>
      </c>
      <c r="F96" s="163">
        <f t="shared" ca="1" si="29"/>
        <v>145528.07453703703</v>
      </c>
      <c r="G96" s="163">
        <f t="shared" ca="1" si="29"/>
        <v>155592.86265817902</v>
      </c>
      <c r="H96" s="163">
        <f t="shared" ca="1" si="29"/>
        <v>162995.52376366383</v>
      </c>
      <c r="I96" s="163">
        <f t="shared" ca="1" si="29"/>
        <v>167609.02346169436</v>
      </c>
      <c r="J96" s="163">
        <f t="shared" ca="1" si="29"/>
        <v>172215.46874054181</v>
      </c>
      <c r="K96" s="163">
        <f t="shared" ca="1" si="29"/>
        <v>176840.00914671298</v>
      </c>
      <c r="L96" s="163">
        <f t="shared" ca="1" si="29"/>
        <v>181507.7954729356</v>
      </c>
      <c r="M96" s="163">
        <f t="shared" ca="1" si="29"/>
        <v>189005.97976854339</v>
      </c>
      <c r="N96" s="192">
        <f t="shared" ca="1" si="29"/>
        <v>193715.79868328123</v>
      </c>
      <c r="O96" s="141"/>
      <c r="P96" s="141"/>
      <c r="Q96" s="80"/>
      <c r="R96" s="206"/>
    </row>
    <row r="97" spans="1:23" s="45" customFormat="1" ht="5.0999999999999996" customHeight="1" x14ac:dyDescent="0.2">
      <c r="A97" s="75" t="s">
        <v>73</v>
      </c>
      <c r="B97" s="95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141"/>
      <c r="P97" s="141"/>
      <c r="Q97" s="75" t="s">
        <v>73</v>
      </c>
      <c r="R97" s="206"/>
      <c r="U97" s="46"/>
      <c r="V97" s="46"/>
      <c r="W97" s="15"/>
    </row>
    <row r="98" spans="1:23" s="52" customFormat="1" x14ac:dyDescent="0.2">
      <c r="A98" s="65"/>
      <c r="B98" s="98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  <c r="P98" s="204"/>
      <c r="Q98" s="204"/>
      <c r="R98" s="206"/>
      <c r="V98" s="53"/>
    </row>
    <row r="99" spans="1:23" s="52" customFormat="1" x14ac:dyDescent="0.2">
      <c r="A99" s="65"/>
      <c r="B99" s="215" t="s">
        <v>199</v>
      </c>
      <c r="C99" s="204"/>
      <c r="D99" s="204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  <c r="P99" s="204"/>
      <c r="Q99" s="65"/>
      <c r="R99" s="206"/>
      <c r="V99" s="53"/>
    </row>
    <row r="100" spans="1:23" s="220" customFormat="1" x14ac:dyDescent="0.2">
      <c r="A100" s="65"/>
      <c r="B100" s="216" t="s">
        <v>148</v>
      </c>
      <c r="C100" s="217">
        <f ca="1">(N19/N102)*COUNTIFS('Paydays list'!$C:$C,MONTH(C$4),'Paydays list'!$D:$D,YEAR(C$4)+1)+C20</f>
        <v>8200</v>
      </c>
      <c r="D100" s="218">
        <f t="shared" ref="D100:N100" ca="1" si="30">SUM(D19:D20)</f>
        <v>8000</v>
      </c>
      <c r="E100" s="218">
        <f t="shared" ca="1" si="30"/>
        <v>8000</v>
      </c>
      <c r="F100" s="218">
        <f t="shared" ca="1" si="30"/>
        <v>8200</v>
      </c>
      <c r="G100" s="218">
        <f t="shared" ca="1" si="30"/>
        <v>18200</v>
      </c>
      <c r="H100" s="218">
        <f t="shared" ca="1" si="30"/>
        <v>12300</v>
      </c>
      <c r="I100" s="218">
        <f t="shared" ca="1" si="30"/>
        <v>8200</v>
      </c>
      <c r="J100" s="218">
        <f t="shared" ca="1" si="30"/>
        <v>8200</v>
      </c>
      <c r="K100" s="218">
        <f t="shared" ca="1" si="30"/>
        <v>8200</v>
      </c>
      <c r="L100" s="218">
        <f t="shared" ca="1" si="30"/>
        <v>8200</v>
      </c>
      <c r="M100" s="218">
        <f t="shared" ca="1" si="30"/>
        <v>12300</v>
      </c>
      <c r="N100" s="218">
        <f t="shared" ca="1" si="30"/>
        <v>8200</v>
      </c>
      <c r="O100" s="218"/>
      <c r="P100" s="219"/>
      <c r="Q100" s="65"/>
      <c r="R100" s="206"/>
      <c r="U100" s="221"/>
      <c r="V100" s="221"/>
      <c r="W100" s="15"/>
    </row>
    <row r="101" spans="1:23" s="220" customFormat="1" x14ac:dyDescent="0.2">
      <c r="A101" s="65"/>
      <c r="B101" s="216" t="s">
        <v>327</v>
      </c>
      <c r="C101" s="217">
        <v>1</v>
      </c>
      <c r="D101" s="218">
        <f>C101+1</f>
        <v>2</v>
      </c>
      <c r="E101" s="218">
        <f t="shared" ref="E101:N101" si="31">D101+1</f>
        <v>3</v>
      </c>
      <c r="F101" s="218">
        <f t="shared" si="31"/>
        <v>4</v>
      </c>
      <c r="G101" s="218">
        <f t="shared" si="31"/>
        <v>5</v>
      </c>
      <c r="H101" s="218">
        <f t="shared" si="31"/>
        <v>6</v>
      </c>
      <c r="I101" s="218">
        <f t="shared" si="31"/>
        <v>7</v>
      </c>
      <c r="J101" s="218">
        <f t="shared" si="31"/>
        <v>8</v>
      </c>
      <c r="K101" s="218">
        <f t="shared" si="31"/>
        <v>9</v>
      </c>
      <c r="L101" s="218">
        <f t="shared" si="31"/>
        <v>10</v>
      </c>
      <c r="M101" s="218">
        <f t="shared" si="31"/>
        <v>11</v>
      </c>
      <c r="N101" s="218">
        <f t="shared" si="31"/>
        <v>12</v>
      </c>
      <c r="O101" s="218"/>
      <c r="P101" s="219"/>
      <c r="Q101" s="65"/>
      <c r="R101" s="206"/>
      <c r="U101" s="221"/>
      <c r="V101" s="221"/>
      <c r="W101" s="15"/>
    </row>
    <row r="102" spans="1:23" s="220" customFormat="1" x14ac:dyDescent="0.2">
      <c r="A102" s="65"/>
      <c r="B102" s="222" t="s">
        <v>149</v>
      </c>
      <c r="C102" s="223">
        <f ca="1">COUNTIFS('Paydays list'!$C:$C,MONTH(C$4),'Paydays list'!$D:$D,YEAR(C$4),'Paydays list'!$B:$B,"&gt;"&amp;TODAY())</f>
        <v>0</v>
      </c>
      <c r="D102" s="223">
        <f ca="1">COUNTIFS('Paydays list'!$C:$C,MONTH(D$4),'Paydays list'!$D:$D,YEAR(D$4),'Paydays list'!$B:$B,"&gt;"&amp;TODAY())</f>
        <v>2</v>
      </c>
      <c r="E102" s="223">
        <f ca="1">COUNTIFS('Paydays list'!$C:$C,MONTH(E$4),'Paydays list'!$D:$D,YEAR(E$4),'Paydays list'!$B:$B,"&gt;"&amp;TODAY())</f>
        <v>2</v>
      </c>
      <c r="F102" s="223">
        <f ca="1">COUNTIFS('Paydays list'!$C:$C,MONTH(F$4),'Paydays list'!$D:$D,YEAR(F$4),'Paydays list'!$B:$B,"&gt;"&amp;TODAY())</f>
        <v>2</v>
      </c>
      <c r="G102" s="223">
        <f ca="1">COUNTIFS('Paydays list'!$C:$C,MONTH(G$4),'Paydays list'!$D:$D,YEAR(G$4),'Paydays list'!$B:$B,"&gt;"&amp;TODAY())</f>
        <v>2</v>
      </c>
      <c r="H102" s="223">
        <f ca="1">COUNTIFS('Paydays list'!$C:$C,MONTH(H$4),'Paydays list'!$D:$D,YEAR(H$4),'Paydays list'!$B:$B,"&gt;"&amp;TODAY())</f>
        <v>3</v>
      </c>
      <c r="I102" s="223">
        <f ca="1">COUNTIFS('Paydays list'!$C:$C,MONTH(I$4),'Paydays list'!$D:$D,YEAR(I$4),'Paydays list'!$B:$B,"&gt;"&amp;TODAY())</f>
        <v>2</v>
      </c>
      <c r="J102" s="223">
        <f ca="1">COUNTIFS('Paydays list'!$C:$C,MONTH(J$4),'Paydays list'!$D:$D,YEAR(J$4),'Paydays list'!$B:$B,"&gt;"&amp;TODAY())</f>
        <v>2</v>
      </c>
      <c r="K102" s="223">
        <f ca="1">COUNTIFS('Paydays list'!$C:$C,MONTH(K$4),'Paydays list'!$D:$D,YEAR(K$4),'Paydays list'!$B:$B,"&gt;"&amp;TODAY())</f>
        <v>2</v>
      </c>
      <c r="L102" s="223">
        <f ca="1">COUNTIFS('Paydays list'!$C:$C,MONTH(L$4),'Paydays list'!$D:$D,YEAR(L$4),'Paydays list'!$B:$B,"&gt;"&amp;TODAY())</f>
        <v>2</v>
      </c>
      <c r="M102" s="223">
        <f ca="1">COUNTIFS('Paydays list'!$C:$C,MONTH(M$4),'Paydays list'!$D:$D,YEAR(M$4),'Paydays list'!$B:$B,"&gt;"&amp;TODAY())</f>
        <v>3</v>
      </c>
      <c r="N102" s="223">
        <f ca="1">COUNTIFS('Paydays list'!$C:$C,MONTH(N$4),'Paydays list'!$D:$D,YEAR(N$4),'Paydays list'!$B:$B,"&gt;"&amp;TODAY())</f>
        <v>2</v>
      </c>
      <c r="O102" s="223"/>
      <c r="P102" s="223">
        <f ca="1">SUM(C102:N102)</f>
        <v>24</v>
      </c>
      <c r="Q102" s="65"/>
      <c r="R102" s="206"/>
      <c r="U102" s="221"/>
      <c r="V102" s="221"/>
      <c r="W102" s="15"/>
    </row>
    <row r="103" spans="1:23" s="220" customFormat="1" x14ac:dyDescent="0.2">
      <c r="A103" s="65"/>
      <c r="B103" s="222" t="s">
        <v>147</v>
      </c>
      <c r="C103" s="223">
        <f t="shared" ref="C103:N103" ca="1" si="32">NETWORKDAYS(C4,EOMONTH(C4,0))</f>
        <v>3</v>
      </c>
      <c r="D103" s="223">
        <f t="shared" ca="1" si="32"/>
        <v>23</v>
      </c>
      <c r="E103" s="223">
        <f t="shared" ca="1" si="32"/>
        <v>20</v>
      </c>
      <c r="F103" s="223">
        <f t="shared" ca="1" si="32"/>
        <v>21</v>
      </c>
      <c r="G103" s="223">
        <f t="shared" ca="1" si="32"/>
        <v>22</v>
      </c>
      <c r="H103" s="223">
        <f t="shared" ca="1" si="32"/>
        <v>22</v>
      </c>
      <c r="I103" s="223">
        <f t="shared" ca="1" si="32"/>
        <v>21</v>
      </c>
      <c r="J103" s="223">
        <f t="shared" ca="1" si="32"/>
        <v>23</v>
      </c>
      <c r="K103" s="223">
        <f t="shared" ca="1" si="32"/>
        <v>21</v>
      </c>
      <c r="L103" s="223">
        <f t="shared" ca="1" si="32"/>
        <v>22</v>
      </c>
      <c r="M103" s="223">
        <f t="shared" ca="1" si="32"/>
        <v>23</v>
      </c>
      <c r="N103" s="223">
        <f t="shared" ca="1" si="32"/>
        <v>20</v>
      </c>
      <c r="O103" s="223"/>
      <c r="P103" s="223"/>
      <c r="Q103" s="65"/>
      <c r="R103" s="206"/>
      <c r="U103" s="221"/>
      <c r="V103" s="221"/>
      <c r="W103" s="15"/>
    </row>
    <row r="104" spans="1:23" s="220" customFormat="1" x14ac:dyDescent="0.2">
      <c r="A104" s="65"/>
      <c r="B104" s="222" t="s">
        <v>150</v>
      </c>
      <c r="C104" s="223">
        <f t="shared" ref="C104:N104" ca="1" si="33">EOMONTH(C4,0)-C4</f>
        <v>4</v>
      </c>
      <c r="D104" s="223">
        <f t="shared" ca="1" si="33"/>
        <v>30</v>
      </c>
      <c r="E104" s="223">
        <f t="shared" ca="1" si="33"/>
        <v>27</v>
      </c>
      <c r="F104" s="223">
        <f t="shared" ca="1" si="33"/>
        <v>30</v>
      </c>
      <c r="G104" s="223">
        <f t="shared" ca="1" si="33"/>
        <v>29</v>
      </c>
      <c r="H104" s="223">
        <f t="shared" ca="1" si="33"/>
        <v>30</v>
      </c>
      <c r="I104" s="223">
        <f t="shared" ca="1" si="33"/>
        <v>29</v>
      </c>
      <c r="J104" s="223">
        <f t="shared" ca="1" si="33"/>
        <v>30</v>
      </c>
      <c r="K104" s="223">
        <f t="shared" ca="1" si="33"/>
        <v>30</v>
      </c>
      <c r="L104" s="223">
        <f t="shared" ca="1" si="33"/>
        <v>29</v>
      </c>
      <c r="M104" s="223">
        <f t="shared" ca="1" si="33"/>
        <v>30</v>
      </c>
      <c r="N104" s="223">
        <f t="shared" ca="1" si="33"/>
        <v>29</v>
      </c>
      <c r="O104" s="223"/>
      <c r="P104" s="223">
        <f ca="1">SUM(C104:N104)</f>
        <v>327</v>
      </c>
      <c r="Q104" s="65"/>
      <c r="R104" s="206"/>
      <c r="U104" s="221"/>
      <c r="V104" s="221"/>
      <c r="W104" s="15"/>
    </row>
    <row r="105" spans="1:23" s="52" customFormat="1" x14ac:dyDescent="0.2">
      <c r="A105" s="224"/>
      <c r="B105" s="225"/>
      <c r="Q105" s="224"/>
      <c r="V105" s="53"/>
    </row>
    <row r="106" spans="1:23" s="52" customFormat="1" x14ac:dyDescent="0.2">
      <c r="A106" s="224"/>
      <c r="B106" s="225"/>
      <c r="Q106" s="224"/>
      <c r="V106" s="53"/>
    </row>
    <row r="107" spans="1:23" ht="12.75" customHeight="1" x14ac:dyDescent="0.2"/>
    <row r="108" spans="1:23" ht="12.75" customHeight="1" x14ac:dyDescent="0.2"/>
    <row r="109" spans="1:23" ht="12.75" customHeight="1" x14ac:dyDescent="0.2"/>
    <row r="110" spans="1:23" ht="12.75" customHeight="1" x14ac:dyDescent="0.2"/>
    <row r="111" spans="1:23" ht="12.75" customHeight="1" x14ac:dyDescent="0.2"/>
    <row r="112" spans="1:23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</sheetData>
  <conditionalFormatting sqref="C14:O16 C12:O12">
    <cfRule type="cellIs" dxfId="1" priority="3" operator="lessThan">
      <formula>0</formula>
    </cfRule>
  </conditionalFormatting>
  <conditionalFormatting sqref="P12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3" r:id="rId4" name="Button 9">
              <controlPr defaultSize="0" print="0" autoFill="0" autoPict="0" macro="[0]!ChangeNotes">
                <anchor mov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35B35-C8A2-48BA-AAB4-31AC32581EB8}">
  <sheetPr codeName="Sheet38">
    <tabColor theme="7"/>
  </sheetPr>
  <dimension ref="A1:K27"/>
  <sheetViews>
    <sheetView workbookViewId="0">
      <selection activeCell="C9" sqref="C9"/>
    </sheetView>
  </sheetViews>
  <sheetFormatPr defaultRowHeight="12.75" x14ac:dyDescent="0.2"/>
  <cols>
    <col min="1" max="1" width="1" style="51" customWidth="1"/>
    <col min="2" max="2" width="20" bestFit="1" customWidth="1"/>
    <col min="3" max="4" width="12" customWidth="1"/>
    <col min="5" max="5" width="1" style="51" customWidth="1"/>
  </cols>
  <sheetData>
    <row r="1" spans="1:11" s="45" customFormat="1" ht="5.0999999999999996" customHeight="1" x14ac:dyDescent="0.2">
      <c r="A1" s="75" t="s">
        <v>73</v>
      </c>
      <c r="B1" s="95"/>
      <c r="C1" s="16"/>
      <c r="D1" s="16"/>
      <c r="E1" s="75" t="s">
        <v>73</v>
      </c>
      <c r="I1" s="46"/>
      <c r="J1" s="46"/>
      <c r="K1" s="15"/>
    </row>
    <row r="2" spans="1:11" x14ac:dyDescent="0.2">
      <c r="A2" s="62"/>
      <c r="B2" s="96" t="s">
        <v>153</v>
      </c>
      <c r="C2" s="3"/>
      <c r="D2" s="3"/>
      <c r="E2" s="62"/>
    </row>
    <row r="3" spans="1:11" ht="5.0999999999999996" customHeight="1" thickBot="1" x14ac:dyDescent="0.25">
      <c r="A3" s="75"/>
      <c r="B3" s="95"/>
      <c r="C3" s="16"/>
      <c r="D3" s="16"/>
      <c r="E3" s="75"/>
    </row>
    <row r="4" spans="1:11" ht="13.5" thickBot="1" x14ac:dyDescent="0.25">
      <c r="A4" s="63"/>
      <c r="B4" s="97"/>
      <c r="C4" s="185" t="s">
        <v>259</v>
      </c>
      <c r="D4" s="186" t="s">
        <v>260</v>
      </c>
      <c r="E4" s="63"/>
    </row>
    <row r="5" spans="1:11" ht="5.0999999999999996" customHeight="1" x14ac:dyDescent="0.2">
      <c r="A5" s="68"/>
      <c r="B5" s="95"/>
      <c r="C5" s="16"/>
      <c r="D5" s="16"/>
      <c r="E5" s="68"/>
    </row>
    <row r="6" spans="1:11" x14ac:dyDescent="0.2">
      <c r="A6" s="68"/>
      <c r="B6" s="187" t="s">
        <v>12</v>
      </c>
      <c r="C6" s="188">
        <f>SUMIFS(Assets!$G:$G,Assets!$C:$C,$B6)+SUM('Loyalty Points &amp; Miles'!$F:$F)</f>
        <v>37390</v>
      </c>
      <c r="D6" s="189">
        <f ca="1">NTM!N83</f>
        <v>72354.34</v>
      </c>
      <c r="E6" s="68"/>
    </row>
    <row r="7" spans="1:11" x14ac:dyDescent="0.2">
      <c r="A7" s="62"/>
      <c r="B7" s="103" t="s">
        <v>278</v>
      </c>
      <c r="C7" s="144">
        <f>SUM('Loyalty Points &amp; Miles'!$G:$G)</f>
        <v>137</v>
      </c>
      <c r="D7" s="190">
        <f>NTM!N84</f>
        <v>137</v>
      </c>
      <c r="E7" s="62"/>
    </row>
    <row r="8" spans="1:11" ht="5.0999999999999996" customHeight="1" x14ac:dyDescent="0.2">
      <c r="A8" s="65"/>
      <c r="B8" s="103"/>
      <c r="C8" s="134"/>
      <c r="D8" s="145"/>
      <c r="E8" s="65"/>
    </row>
    <row r="9" spans="1:11" x14ac:dyDescent="0.2">
      <c r="A9" s="62"/>
      <c r="B9" s="103" t="s">
        <v>60</v>
      </c>
      <c r="C9" s="144">
        <f>SUMIFS(Assets!$G:$G,Assets!$C:$C,$B9)</f>
        <v>13000</v>
      </c>
      <c r="D9" s="190">
        <f ca="1">NTM!N86</f>
        <v>13550</v>
      </c>
      <c r="E9" s="62"/>
    </row>
    <row r="10" spans="1:11" x14ac:dyDescent="0.2">
      <c r="A10" s="62"/>
      <c r="B10" s="103" t="s">
        <v>59</v>
      </c>
      <c r="C10" s="144">
        <f>SUMIFS(Assets!$G:$G,Assets!$C:$C,$B10)</f>
        <v>100000</v>
      </c>
      <c r="D10" s="190">
        <f ca="1">NTM!N87</f>
        <v>125824.45868328123</v>
      </c>
      <c r="E10" s="62"/>
    </row>
    <row r="11" spans="1:11" ht="5.0999999999999996" customHeight="1" x14ac:dyDescent="0.2">
      <c r="A11" s="62"/>
      <c r="B11" s="103"/>
      <c r="C11" s="134"/>
      <c r="D11" s="145"/>
      <c r="E11" s="62"/>
    </row>
    <row r="12" spans="1:11" x14ac:dyDescent="0.2">
      <c r="A12" s="62"/>
      <c r="B12" s="117" t="s">
        <v>161</v>
      </c>
      <c r="C12" s="162">
        <f>SUM(C6:C11)</f>
        <v>150527</v>
      </c>
      <c r="D12" s="191">
        <f ca="1">NTM!N89</f>
        <v>211865.79868328123</v>
      </c>
      <c r="E12" s="62"/>
    </row>
    <row r="13" spans="1:11" ht="5.0999999999999996" customHeight="1" x14ac:dyDescent="0.2">
      <c r="A13" s="65"/>
      <c r="B13" s="103"/>
      <c r="C13" s="134"/>
      <c r="D13" s="145"/>
      <c r="E13" s="65"/>
    </row>
    <row r="14" spans="1:11" x14ac:dyDescent="0.2">
      <c r="A14" s="64"/>
      <c r="B14" s="103" t="s">
        <v>11</v>
      </c>
      <c r="C14" s="144">
        <f>SUM(Loans!D:D)</f>
        <v>20400</v>
      </c>
      <c r="D14" s="190">
        <f ca="1">NTM!N91</f>
        <v>18150</v>
      </c>
      <c r="E14" s="64"/>
    </row>
    <row r="15" spans="1:11" x14ac:dyDescent="0.2">
      <c r="A15" s="64"/>
      <c r="B15" s="103" t="s">
        <v>42</v>
      </c>
      <c r="C15" s="144">
        <f>SUM('Credit Cards'!C:C)</f>
        <v>7200</v>
      </c>
      <c r="D15" s="190">
        <f ca="1">NTM!N92</f>
        <v>0</v>
      </c>
      <c r="E15" s="64"/>
    </row>
    <row r="16" spans="1:11" ht="5.0999999999999996" customHeight="1" x14ac:dyDescent="0.2">
      <c r="A16" s="64"/>
      <c r="B16" s="103"/>
      <c r="C16" s="134"/>
      <c r="D16" s="145"/>
      <c r="E16" s="64"/>
    </row>
    <row r="17" spans="1:11" x14ac:dyDescent="0.2">
      <c r="A17" s="62"/>
      <c r="B17" s="117" t="s">
        <v>162</v>
      </c>
      <c r="C17" s="162">
        <f>SUM(C13:C16)</f>
        <v>27600</v>
      </c>
      <c r="D17" s="191">
        <f ca="1">NTM!N94</f>
        <v>18150</v>
      </c>
      <c r="E17" s="62"/>
    </row>
    <row r="18" spans="1:11" ht="5.0999999999999996" customHeight="1" x14ac:dyDescent="0.2">
      <c r="A18" s="62"/>
      <c r="B18" s="103"/>
      <c r="C18" s="134"/>
      <c r="D18" s="145"/>
      <c r="E18" s="62"/>
    </row>
    <row r="19" spans="1:11" x14ac:dyDescent="0.2">
      <c r="A19" s="62"/>
      <c r="B19" s="118" t="s">
        <v>72</v>
      </c>
      <c r="C19" s="163">
        <f>C12-C17</f>
        <v>122927</v>
      </c>
      <c r="D19" s="192">
        <f ca="1">NTM!N96</f>
        <v>193715.79868328123</v>
      </c>
      <c r="E19" s="62"/>
    </row>
    <row r="20" spans="1:11" s="45" customFormat="1" ht="5.0999999999999996" customHeight="1" x14ac:dyDescent="0.2">
      <c r="A20" s="75" t="s">
        <v>73</v>
      </c>
      <c r="B20" s="95"/>
      <c r="C20" s="16"/>
      <c r="D20" s="16"/>
      <c r="E20" s="75" t="s">
        <v>73</v>
      </c>
      <c r="I20" s="46"/>
      <c r="J20" s="46"/>
      <c r="K20" s="15"/>
    </row>
    <row r="23" spans="1:11" x14ac:dyDescent="0.2">
      <c r="A23" s="50"/>
      <c r="E23" s="50"/>
    </row>
    <row r="24" spans="1:11" x14ac:dyDescent="0.2">
      <c r="A24" s="50"/>
      <c r="E24" s="50"/>
    </row>
    <row r="25" spans="1:11" x14ac:dyDescent="0.2">
      <c r="A25" s="50"/>
      <c r="E25" s="50"/>
    </row>
    <row r="26" spans="1:11" x14ac:dyDescent="0.2">
      <c r="A26" s="50"/>
      <c r="E26" s="50"/>
    </row>
    <row r="27" spans="1:11" x14ac:dyDescent="0.2">
      <c r="A27" s="50"/>
      <c r="E27" s="5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28F64-B0F0-4F44-809F-E08F8C2497AC}">
  <sheetPr codeName="Sheet34">
    <tabColor theme="7"/>
  </sheetPr>
  <dimension ref="B2:M65"/>
  <sheetViews>
    <sheetView workbookViewId="0">
      <selection activeCell="K4" sqref="K4"/>
    </sheetView>
  </sheetViews>
  <sheetFormatPr defaultColWidth="8" defaultRowHeight="12.75" x14ac:dyDescent="0.2"/>
  <cols>
    <col min="1" max="1" width="3.5703125" style="175" customWidth="1"/>
    <col min="2" max="2" width="9.7109375" style="175" bestFit="1" customWidth="1"/>
    <col min="3" max="3" width="10.140625" style="182" bestFit="1" customWidth="1"/>
    <col min="4" max="12" width="16.5703125" style="183" customWidth="1"/>
    <col min="13" max="13" width="3" style="175" customWidth="1"/>
    <col min="14" max="16384" width="8" style="175"/>
  </cols>
  <sheetData>
    <row r="2" spans="2:13" s="172" customFormat="1" ht="30" x14ac:dyDescent="0.35">
      <c r="C2" s="173" t="s">
        <v>235</v>
      </c>
      <c r="D2" s="174" t="s">
        <v>12</v>
      </c>
      <c r="E2" s="174" t="s">
        <v>247</v>
      </c>
      <c r="F2" s="174" t="s">
        <v>248</v>
      </c>
      <c r="G2" s="174" t="s">
        <v>249</v>
      </c>
      <c r="H2" s="174" t="s">
        <v>250</v>
      </c>
      <c r="I2" s="174" t="s">
        <v>251</v>
      </c>
      <c r="J2" s="174" t="s">
        <v>252</v>
      </c>
      <c r="K2" s="174" t="s">
        <v>15</v>
      </c>
      <c r="L2" s="174" t="s">
        <v>253</v>
      </c>
      <c r="M2" s="175"/>
    </row>
    <row r="3" spans="2:13" s="172" customFormat="1" x14ac:dyDescent="0.2">
      <c r="C3" s="176"/>
      <c r="D3" s="177"/>
      <c r="E3" s="177"/>
      <c r="F3" s="177"/>
      <c r="G3" s="177"/>
      <c r="H3" s="177"/>
      <c r="I3" s="177"/>
      <c r="J3" s="177"/>
      <c r="K3" s="177"/>
      <c r="L3" s="177"/>
      <c r="M3" s="175"/>
    </row>
    <row r="4" spans="2:13" x14ac:dyDescent="0.2">
      <c r="B4" s="178" t="s">
        <v>246</v>
      </c>
      <c r="C4" s="179">
        <f ca="1">TODAY()</f>
        <v>45653</v>
      </c>
      <c r="D4" s="180">
        <f>Balances!$C$6</f>
        <v>37390</v>
      </c>
      <c r="E4" s="180">
        <f>SUM(Balances!C9:C10)</f>
        <v>113000</v>
      </c>
      <c r="F4" s="180">
        <f>SUM(D4:E4)</f>
        <v>150390</v>
      </c>
      <c r="G4" s="180">
        <f>Balances!$C$19</f>
        <v>122927</v>
      </c>
      <c r="H4" s="180">
        <f ca="1">NTM!$P$15</f>
        <v>72354.34</v>
      </c>
      <c r="I4" s="180">
        <f ca="1">NTM!$N$83</f>
        <v>72354.34</v>
      </c>
      <c r="J4" s="180">
        <f ca="1">NTM!$N$89</f>
        <v>211865.79868328123</v>
      </c>
      <c r="K4" s="180">
        <f>'Cash Flows'!$G$7</f>
        <v>104000</v>
      </c>
      <c r="L4" s="181">
        <f ca="1">SUM(NTM!100:100)</f>
        <v>116200</v>
      </c>
    </row>
    <row r="6" spans="2:13" x14ac:dyDescent="0.2">
      <c r="B6"/>
    </row>
    <row r="7" spans="2:13" x14ac:dyDescent="0.2">
      <c r="B7"/>
    </row>
    <row r="8" spans="2:13" x14ac:dyDescent="0.2">
      <c r="B8" s="184"/>
    </row>
    <row r="9" spans="2:13" x14ac:dyDescent="0.2">
      <c r="B9" s="184"/>
    </row>
    <row r="10" spans="2:13" x14ac:dyDescent="0.2">
      <c r="B10" s="184"/>
    </row>
    <row r="11" spans="2:13" x14ac:dyDescent="0.2">
      <c r="B11" s="184"/>
    </row>
    <row r="12" spans="2:13" x14ac:dyDescent="0.2">
      <c r="B12" s="184"/>
    </row>
    <row r="13" spans="2:13" x14ac:dyDescent="0.2">
      <c r="B13" s="184"/>
    </row>
    <row r="14" spans="2:13" x14ac:dyDescent="0.2">
      <c r="B14" s="184"/>
    </row>
    <row r="15" spans="2:13" x14ac:dyDescent="0.2">
      <c r="B15" s="184"/>
    </row>
    <row r="16" spans="2:13" x14ac:dyDescent="0.2">
      <c r="B16" s="184"/>
    </row>
    <row r="17" spans="2:2" x14ac:dyDescent="0.2">
      <c r="B17" s="184"/>
    </row>
    <row r="18" spans="2:2" x14ac:dyDescent="0.2">
      <c r="B18" s="184"/>
    </row>
    <row r="19" spans="2:2" x14ac:dyDescent="0.2">
      <c r="B19" s="184"/>
    </row>
    <row r="20" spans="2:2" x14ac:dyDescent="0.2">
      <c r="B20" s="184"/>
    </row>
    <row r="21" spans="2:2" x14ac:dyDescent="0.2">
      <c r="B21" s="184"/>
    </row>
    <row r="22" spans="2:2" x14ac:dyDescent="0.2">
      <c r="B22" s="184"/>
    </row>
    <row r="23" spans="2:2" x14ac:dyDescent="0.2">
      <c r="B23" s="184"/>
    </row>
    <row r="24" spans="2:2" x14ac:dyDescent="0.2">
      <c r="B24" s="184"/>
    </row>
    <row r="25" spans="2:2" x14ac:dyDescent="0.2">
      <c r="B25" s="184"/>
    </row>
    <row r="26" spans="2:2" x14ac:dyDescent="0.2">
      <c r="B26" s="184"/>
    </row>
    <row r="27" spans="2:2" x14ac:dyDescent="0.2">
      <c r="B27" s="184"/>
    </row>
    <row r="28" spans="2:2" x14ac:dyDescent="0.2">
      <c r="B28" s="184"/>
    </row>
    <row r="29" spans="2:2" x14ac:dyDescent="0.2">
      <c r="B29" s="184"/>
    </row>
    <row r="30" spans="2:2" x14ac:dyDescent="0.2">
      <c r="B30" s="184"/>
    </row>
    <row r="32" spans="2:2" x14ac:dyDescent="0.2">
      <c r="B32" s="184"/>
    </row>
    <row r="33" spans="2:2" x14ac:dyDescent="0.2">
      <c r="B33" s="184"/>
    </row>
    <row r="34" spans="2:2" x14ac:dyDescent="0.2">
      <c r="B34" s="184"/>
    </row>
    <row r="35" spans="2:2" x14ac:dyDescent="0.2">
      <c r="B35" s="184"/>
    </row>
    <row r="36" spans="2:2" x14ac:dyDescent="0.2">
      <c r="B36" s="184"/>
    </row>
    <row r="37" spans="2:2" x14ac:dyDescent="0.2">
      <c r="B37" s="184"/>
    </row>
    <row r="38" spans="2:2" x14ac:dyDescent="0.2">
      <c r="B38" s="184"/>
    </row>
    <row r="39" spans="2:2" x14ac:dyDescent="0.2">
      <c r="B39" s="184"/>
    </row>
    <row r="40" spans="2:2" x14ac:dyDescent="0.2">
      <c r="B40" s="184"/>
    </row>
    <row r="41" spans="2:2" x14ac:dyDescent="0.2">
      <c r="B41" s="184"/>
    </row>
    <row r="42" spans="2:2" x14ac:dyDescent="0.2">
      <c r="B42" s="184"/>
    </row>
    <row r="43" spans="2:2" x14ac:dyDescent="0.2">
      <c r="B43" s="184"/>
    </row>
    <row r="44" spans="2:2" x14ac:dyDescent="0.2">
      <c r="B44" s="184"/>
    </row>
    <row r="45" spans="2:2" x14ac:dyDescent="0.2">
      <c r="B45" s="184"/>
    </row>
    <row r="46" spans="2:2" x14ac:dyDescent="0.2">
      <c r="B46" s="184"/>
    </row>
    <row r="47" spans="2:2" x14ac:dyDescent="0.2">
      <c r="B47" s="184"/>
    </row>
    <row r="48" spans="2:2" x14ac:dyDescent="0.2">
      <c r="B48" s="184"/>
    </row>
    <row r="49" spans="2:2" x14ac:dyDescent="0.2">
      <c r="B49" s="184"/>
    </row>
    <row r="50" spans="2:2" x14ac:dyDescent="0.2">
      <c r="B50" s="184"/>
    </row>
    <row r="51" spans="2:2" x14ac:dyDescent="0.2">
      <c r="B51" s="184"/>
    </row>
    <row r="52" spans="2:2" x14ac:dyDescent="0.2">
      <c r="B52" s="184"/>
    </row>
    <row r="53" spans="2:2" x14ac:dyDescent="0.2">
      <c r="B53" s="184"/>
    </row>
    <row r="54" spans="2:2" x14ac:dyDescent="0.2">
      <c r="B54" s="184"/>
    </row>
    <row r="55" spans="2:2" x14ac:dyDescent="0.2">
      <c r="B55" s="184"/>
    </row>
    <row r="56" spans="2:2" x14ac:dyDescent="0.2">
      <c r="B56" s="184"/>
    </row>
    <row r="57" spans="2:2" x14ac:dyDescent="0.2">
      <c r="B57" s="184"/>
    </row>
    <row r="58" spans="2:2" x14ac:dyDescent="0.2">
      <c r="B58" s="184"/>
    </row>
    <row r="59" spans="2:2" x14ac:dyDescent="0.2">
      <c r="B59" s="184"/>
    </row>
    <row r="60" spans="2:2" x14ac:dyDescent="0.2">
      <c r="B60" s="184"/>
    </row>
    <row r="61" spans="2:2" x14ac:dyDescent="0.2">
      <c r="B61" s="184"/>
    </row>
    <row r="62" spans="2:2" x14ac:dyDescent="0.2">
      <c r="B62" s="184"/>
    </row>
    <row r="63" spans="2:2" x14ac:dyDescent="0.2">
      <c r="B63" s="184"/>
    </row>
    <row r="64" spans="2:2" x14ac:dyDescent="0.2">
      <c r="B64" s="184"/>
    </row>
    <row r="65" spans="2:2" x14ac:dyDescent="0.2">
      <c r="B65" s="184"/>
    </row>
  </sheetData>
  <conditionalFormatting sqref="D5:D70">
    <cfRule type="colorScale" priority="9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E5:E70">
    <cfRule type="colorScale" priority="11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F5:F70">
    <cfRule type="colorScale" priority="13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G5:G70">
    <cfRule type="colorScale" priority="15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H5:H70">
    <cfRule type="colorScale" priority="17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I5:I70">
    <cfRule type="colorScale" priority="19">
      <colorScale>
        <cfvo type="min"/>
        <cfvo type="percentile" val="50"/>
        <cfvo type="max"/>
        <color rgb="FFFDCFD0"/>
        <color rgb="FFFFF7CD"/>
        <color rgb="FFDCF0E1"/>
      </colorScale>
    </cfRule>
  </conditionalFormatting>
  <conditionalFormatting sqref="J5:J70">
    <cfRule type="colorScale" priority="21">
      <colorScale>
        <cfvo type="min"/>
        <cfvo type="percentile" val="50"/>
        <cfvo type="max"/>
        <color rgb="FFFDCFD0"/>
        <color rgb="FFFFF7CD"/>
        <color rgb="FFDCF0E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Archive">
                <anchor moveWithCells="1">
                  <from>
                    <xdr:col>0</xdr:col>
                    <xdr:colOff>104775</xdr:colOff>
                    <xdr:row>1</xdr:row>
                    <xdr:rowOff>57150</xdr:rowOff>
                  </from>
                  <to>
                    <xdr:col>1</xdr:col>
                    <xdr:colOff>581025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5226B-B534-40C3-BD6D-78D5CDFA724A}">
  <sheetPr codeName="Sheet10"/>
  <dimension ref="A1"/>
  <sheetViews>
    <sheetView workbookViewId="0"/>
  </sheetViews>
  <sheetFormatPr defaultRowHeight="12.75" x14ac:dyDescent="0.2"/>
  <cols>
    <col min="1" max="16384" width="9.140625" style="37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25454-6767-4ABA-99C6-F62C66F166FD}">
  <sheetPr codeName="Sheet12">
    <tabColor rgb="FF0000FF"/>
  </sheetPr>
  <dimension ref="B1:G17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9" sqref="F19"/>
    </sheetView>
  </sheetViews>
  <sheetFormatPr defaultRowHeight="12.75" x14ac:dyDescent="0.2"/>
  <cols>
    <col min="1" max="1" width="2.140625" customWidth="1"/>
    <col min="2" max="2" width="39.28515625" bestFit="1" customWidth="1"/>
    <col min="3" max="3" width="14" bestFit="1" customWidth="1"/>
    <col min="4" max="4" width="14" customWidth="1"/>
    <col min="5" max="5" width="20.42578125" bestFit="1" customWidth="1"/>
    <col min="6" max="6" width="24" bestFit="1" customWidth="1"/>
    <col min="7" max="7" width="17.28515625" style="2" bestFit="1" customWidth="1"/>
  </cols>
  <sheetData>
    <row r="1" spans="2:7" x14ac:dyDescent="0.2">
      <c r="B1" s="94" t="s">
        <v>157</v>
      </c>
      <c r="C1" s="123" t="s">
        <v>169</v>
      </c>
      <c r="D1" s="123" t="s">
        <v>169</v>
      </c>
      <c r="E1" s="123" t="s">
        <v>169</v>
      </c>
      <c r="F1" s="123" t="s">
        <v>169</v>
      </c>
      <c r="G1" s="39" t="s">
        <v>170</v>
      </c>
    </row>
    <row r="3" spans="2:7" s="25" customFormat="1" ht="15" x14ac:dyDescent="0.35">
      <c r="B3" s="25" t="s">
        <v>230</v>
      </c>
      <c r="C3" s="25" t="s">
        <v>48</v>
      </c>
      <c r="D3" s="25" t="s">
        <v>286</v>
      </c>
      <c r="E3" s="25" t="s">
        <v>186</v>
      </c>
      <c r="F3" s="25" t="s">
        <v>8</v>
      </c>
      <c r="G3" s="36" t="s">
        <v>9</v>
      </c>
    </row>
    <row r="4" spans="2:7" x14ac:dyDescent="0.2">
      <c r="B4" t="str">
        <f t="shared" ref="B4:B17" si="0">_xlfn.TEXTJOIN("_",TRUE,C4:F4)</f>
        <v>Cash_Venmo_Cash</v>
      </c>
      <c r="C4" s="38" t="s">
        <v>12</v>
      </c>
      <c r="D4" s="38"/>
      <c r="E4" s="38" t="s">
        <v>39</v>
      </c>
      <c r="F4" s="165" t="s">
        <v>12</v>
      </c>
      <c r="G4" s="2">
        <v>100</v>
      </c>
    </row>
    <row r="5" spans="2:7" x14ac:dyDescent="0.2">
      <c r="B5" t="str">
        <f t="shared" si="0"/>
        <v>Cash_Barstool Sportsbook</v>
      </c>
      <c r="C5" s="38" t="s">
        <v>12</v>
      </c>
      <c r="D5" s="38"/>
      <c r="E5" t="s">
        <v>214</v>
      </c>
      <c r="G5" s="40">
        <v>50</v>
      </c>
    </row>
    <row r="6" spans="2:7" x14ac:dyDescent="0.2">
      <c r="B6" t="str">
        <f t="shared" si="0"/>
        <v>Cash_Employer_HSA</v>
      </c>
      <c r="C6" s="38" t="s">
        <v>12</v>
      </c>
      <c r="D6" s="38"/>
      <c r="E6" s="38" t="s">
        <v>205</v>
      </c>
      <c r="F6" s="165" t="s">
        <v>206</v>
      </c>
      <c r="G6" s="2">
        <v>2000</v>
      </c>
    </row>
    <row r="7" spans="2:7" x14ac:dyDescent="0.2">
      <c r="B7" t="str">
        <f t="shared" si="0"/>
        <v>Brokerage_Liquid_Employer_HSA</v>
      </c>
      <c r="C7" s="38" t="s">
        <v>60</v>
      </c>
      <c r="D7" s="38" t="s">
        <v>239</v>
      </c>
      <c r="E7" s="38" t="s">
        <v>205</v>
      </c>
      <c r="F7" s="165" t="s">
        <v>206</v>
      </c>
      <c r="G7" s="2">
        <v>500</v>
      </c>
    </row>
    <row r="8" spans="2:7" x14ac:dyDescent="0.2">
      <c r="B8" t="str">
        <f t="shared" si="0"/>
        <v>Retirement_Employer_401k</v>
      </c>
      <c r="C8" s="38" t="s">
        <v>59</v>
      </c>
      <c r="D8" s="38"/>
      <c r="E8" s="38" t="s">
        <v>205</v>
      </c>
      <c r="F8" s="165" t="s">
        <v>13</v>
      </c>
      <c r="G8" s="2">
        <v>50000</v>
      </c>
    </row>
    <row r="9" spans="2:7" x14ac:dyDescent="0.2">
      <c r="B9" t="str">
        <f t="shared" si="0"/>
        <v>Brokerage_Liquid_Fidelilty_Brokerage account</v>
      </c>
      <c r="C9" s="38" t="s">
        <v>60</v>
      </c>
      <c r="D9" s="38" t="s">
        <v>239</v>
      </c>
      <c r="E9" s="38" t="s">
        <v>208</v>
      </c>
      <c r="F9" s="165" t="s">
        <v>204</v>
      </c>
      <c r="G9" s="2">
        <v>10000</v>
      </c>
    </row>
    <row r="10" spans="2:7" x14ac:dyDescent="0.2">
      <c r="B10" t="str">
        <f t="shared" si="0"/>
        <v>Brokerage_Illiquid_Fidelilty_ESPP</v>
      </c>
      <c r="C10" s="38" t="s">
        <v>60</v>
      </c>
      <c r="D10" s="38" t="s">
        <v>240</v>
      </c>
      <c r="E10" s="38" t="s">
        <v>208</v>
      </c>
      <c r="F10" s="165" t="s">
        <v>209</v>
      </c>
      <c r="G10" s="2">
        <v>500</v>
      </c>
    </row>
    <row r="11" spans="2:7" x14ac:dyDescent="0.2">
      <c r="B11" t="str">
        <f t="shared" si="0"/>
        <v>Brokerage_Liquid_Robinhood</v>
      </c>
      <c r="C11" s="38" t="s">
        <v>60</v>
      </c>
      <c r="D11" s="38" t="s">
        <v>239</v>
      </c>
      <c r="E11" s="38" t="s">
        <v>207</v>
      </c>
      <c r="G11" s="2">
        <v>2000</v>
      </c>
    </row>
    <row r="12" spans="2:7" x14ac:dyDescent="0.2">
      <c r="B12" t="str">
        <f t="shared" si="0"/>
        <v>Cash_N/A_Physical cash</v>
      </c>
      <c r="C12" s="38" t="s">
        <v>12</v>
      </c>
      <c r="D12" s="38"/>
      <c r="E12" s="38" t="s">
        <v>188</v>
      </c>
      <c r="F12" s="38" t="s">
        <v>163</v>
      </c>
      <c r="G12" s="2">
        <v>100</v>
      </c>
    </row>
    <row r="13" spans="2:7" x14ac:dyDescent="0.2">
      <c r="B13" t="str">
        <f t="shared" si="0"/>
        <v>Cash_PNC_Spend</v>
      </c>
      <c r="C13" s="38" t="s">
        <v>12</v>
      </c>
      <c r="D13" s="38"/>
      <c r="E13" s="38" t="s">
        <v>200</v>
      </c>
      <c r="F13" s="164" t="s">
        <v>296</v>
      </c>
      <c r="G13" s="2">
        <v>5000</v>
      </c>
    </row>
    <row r="14" spans="2:7" x14ac:dyDescent="0.2">
      <c r="B14" t="str">
        <f t="shared" si="0"/>
        <v>Cash_PNC_Reserve</v>
      </c>
      <c r="C14" s="38" t="s">
        <v>12</v>
      </c>
      <c r="D14" s="38"/>
      <c r="E14" s="38" t="s">
        <v>200</v>
      </c>
      <c r="F14" s="164" t="s">
        <v>297</v>
      </c>
      <c r="G14" s="2">
        <v>10000</v>
      </c>
    </row>
    <row r="15" spans="2:7" x14ac:dyDescent="0.2">
      <c r="B15" t="str">
        <f t="shared" si="0"/>
        <v>Cash_PNC_Growth</v>
      </c>
      <c r="C15" s="38" t="s">
        <v>12</v>
      </c>
      <c r="D15" s="38"/>
      <c r="E15" s="38" t="s">
        <v>200</v>
      </c>
      <c r="F15" s="164" t="s">
        <v>298</v>
      </c>
      <c r="G15" s="2">
        <v>20000</v>
      </c>
    </row>
    <row r="16" spans="2:7" x14ac:dyDescent="0.2">
      <c r="B16" t="str">
        <f t="shared" si="0"/>
        <v>Retirement_Schwab_Roth IRA</v>
      </c>
      <c r="C16" s="38" t="s">
        <v>59</v>
      </c>
      <c r="D16" s="38"/>
      <c r="E16" s="38" t="s">
        <v>203</v>
      </c>
      <c r="F16" s="165" t="s">
        <v>187</v>
      </c>
      <c r="G16" s="2">
        <v>50000</v>
      </c>
    </row>
    <row r="17" spans="2:7" x14ac:dyDescent="0.2">
      <c r="B17" t="str">
        <f t="shared" si="0"/>
        <v>Cash_Starbucks</v>
      </c>
      <c r="C17" s="38" t="s">
        <v>12</v>
      </c>
      <c r="D17" s="38"/>
      <c r="E17" s="38" t="s">
        <v>202</v>
      </c>
      <c r="F17" s="165"/>
      <c r="G17" s="2">
        <v>20</v>
      </c>
    </row>
  </sheetData>
  <autoFilter ref="B3:G17" xr:uid="{22E25454-6767-4ABA-99C6-F62C66F166FD}"/>
  <sortState xmlns:xlrd2="http://schemas.microsoft.com/office/spreadsheetml/2017/richdata2" ref="B4:G17">
    <sortCondition ref="E3:E17"/>
  </sortState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201EAF-5AA3-46A6-8991-9DAEC0F6F343}">
          <x14:formula1>
            <xm:f>'Data Validation'!$A:$A</xm:f>
          </x14:formula1>
          <xm:sqref>C4:C1048576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7E42D-8A38-44D8-B035-BDB07D6DC655}">
  <sheetPr codeName="Sheet13">
    <tabColor rgb="FF0000FF"/>
  </sheetPr>
  <dimension ref="B1:I9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24" sqref="H24"/>
    </sheetView>
  </sheetViews>
  <sheetFormatPr defaultRowHeight="12.75" x14ac:dyDescent="0.2"/>
  <cols>
    <col min="1" max="1" width="1.85546875" customWidth="1"/>
    <col min="2" max="2" width="42.7109375" bestFit="1" customWidth="1"/>
    <col min="3" max="4" width="15.42578125" style="2" customWidth="1"/>
    <col min="5" max="6" width="16.85546875" style="2" customWidth="1"/>
    <col min="7" max="7" width="15.42578125" style="1" customWidth="1"/>
    <col min="8" max="8" width="16.7109375" style="47" bestFit="1" customWidth="1"/>
    <col min="9" max="9" width="15.42578125" style="47" customWidth="1"/>
  </cols>
  <sheetData>
    <row r="1" spans="2:9" x14ac:dyDescent="0.2">
      <c r="B1" s="123" t="s">
        <v>169</v>
      </c>
      <c r="C1" s="39" t="s">
        <v>170</v>
      </c>
      <c r="D1" s="39" t="s">
        <v>170</v>
      </c>
      <c r="E1" s="39" t="s">
        <v>170</v>
      </c>
      <c r="F1" s="122" t="s">
        <v>157</v>
      </c>
      <c r="G1" s="123" t="s">
        <v>169</v>
      </c>
      <c r="H1" s="122" t="s">
        <v>157</v>
      </c>
      <c r="I1" s="122" t="s">
        <v>157</v>
      </c>
    </row>
    <row r="2" spans="2:9" x14ac:dyDescent="0.2">
      <c r="B2" s="38"/>
    </row>
    <row r="3" spans="2:9" s="25" customFormat="1" ht="15" x14ac:dyDescent="0.35">
      <c r="B3" s="25" t="s">
        <v>8</v>
      </c>
      <c r="C3" s="36" t="s">
        <v>9</v>
      </c>
      <c r="D3" s="36" t="s">
        <v>10</v>
      </c>
      <c r="E3" s="36" t="s">
        <v>198</v>
      </c>
      <c r="F3" s="36" t="s">
        <v>311</v>
      </c>
      <c r="G3" s="26" t="s">
        <v>67</v>
      </c>
      <c r="H3" s="56" t="s">
        <v>293</v>
      </c>
      <c r="I3" s="56" t="s">
        <v>68</v>
      </c>
    </row>
    <row r="4" spans="2:9" x14ac:dyDescent="0.2">
      <c r="B4" t="s">
        <v>210</v>
      </c>
      <c r="C4" s="2">
        <v>5000</v>
      </c>
      <c r="D4" s="2">
        <v>3000</v>
      </c>
      <c r="E4" s="2">
        <v>3000</v>
      </c>
      <c r="F4" s="2">
        <f>(C4-E4)</f>
        <v>2000</v>
      </c>
      <c r="G4" s="61">
        <v>10</v>
      </c>
      <c r="H4" s="57">
        <f ca="1">IF(DATEVALUE(YEAR(TODAY())&amp;"-"&amp;MONTH(TODAY())&amp;"-"&amp;G4)&gt;=TODAY(),DATEVALUE(YEAR(TODAY())&amp;"-"&amp;MONTH(TODAY())&amp;"-"&amp;G4),DATEVALUE(YEAR(EOMONTH(TODAY(),1))&amp;"-"&amp;MONTH(EOMONTH(TODAY(),1))&amp;"-"&amp;G4))</f>
        <v>45667</v>
      </c>
      <c r="I4" s="57">
        <f ca="1">EDATE(H4,1)</f>
        <v>45698</v>
      </c>
    </row>
    <row r="5" spans="2:9" x14ac:dyDescent="0.2">
      <c r="B5" s="38" t="s">
        <v>201</v>
      </c>
      <c r="C5" s="2">
        <v>200</v>
      </c>
      <c r="D5" s="2">
        <v>100</v>
      </c>
      <c r="E5" s="2">
        <v>50</v>
      </c>
      <c r="F5" s="2">
        <f t="shared" ref="F5:F6" si="0">(C5-E5)</f>
        <v>150</v>
      </c>
      <c r="G5" s="61">
        <f ca="1">DAY(EOMONTH(TODAY(),0))</f>
        <v>31</v>
      </c>
      <c r="H5" s="57">
        <f ca="1">IF(DATEVALUE(YEAR(TODAY())&amp;"-"&amp;MONTH(TODAY())&amp;"-"&amp;G5)&gt;=TODAY(),DATEVALUE(YEAR(TODAY())&amp;"-"&amp;MONTH(TODAY())&amp;"-"&amp;G5),DATEVALUE(YEAR(EOMONTH(TODAY(),1))&amp;"-"&amp;MONTH(EOMONTH(TODAY(),1))&amp;"-"&amp;G5))</f>
        <v>45657</v>
      </c>
      <c r="I5" s="57">
        <f ca="1">EDATE(H5,1)</f>
        <v>45688</v>
      </c>
    </row>
    <row r="6" spans="2:9" x14ac:dyDescent="0.2">
      <c r="B6" t="s">
        <v>211</v>
      </c>
      <c r="C6" s="2">
        <v>2000</v>
      </c>
      <c r="D6" s="2">
        <v>1000</v>
      </c>
      <c r="E6" s="2">
        <v>500</v>
      </c>
      <c r="F6" s="2">
        <f t="shared" si="0"/>
        <v>1500</v>
      </c>
      <c r="G6" s="61">
        <v>4</v>
      </c>
      <c r="H6" s="57">
        <f ca="1">IF(DATEVALUE(YEAR(TODAY())&amp;"-"&amp;MONTH(TODAY())&amp;"-"&amp;G6)&gt;=TODAY(),DATEVALUE(YEAR(TODAY())&amp;"-"&amp;MONTH(TODAY())&amp;"-"&amp;G6),DATEVALUE(YEAR(EOMONTH(TODAY(),1))&amp;"-"&amp;MONTH(EOMONTH(TODAY(),1))&amp;"-"&amp;G6))</f>
        <v>45661</v>
      </c>
      <c r="I6" s="57">
        <f ca="1">EDATE(H6,1)</f>
        <v>45692</v>
      </c>
    </row>
    <row r="7" spans="2:9" x14ac:dyDescent="0.2">
      <c r="G7" s="61"/>
    </row>
    <row r="8" spans="2:9" x14ac:dyDescent="0.2">
      <c r="G8" s="61"/>
    </row>
    <row r="9" spans="2:9" x14ac:dyDescent="0.2">
      <c r="G9" s="61"/>
    </row>
  </sheetData>
  <autoFilter ref="B3:I6" xr:uid="{B267E42D-8A38-44D8-B035-BDB07D6DC655}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D886F-EC50-4885-A26B-FECB62B6DE05}">
  <sheetPr codeName="Sheet14">
    <tabColor rgb="FF0000FF"/>
  </sheetPr>
  <dimension ref="B1:G5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43" sqref="H43"/>
    </sheetView>
  </sheetViews>
  <sheetFormatPr defaultRowHeight="12.75" x14ac:dyDescent="0.2"/>
  <cols>
    <col min="1" max="1" width="2.140625" customWidth="1"/>
    <col min="2" max="2" width="21.7109375" customWidth="1"/>
    <col min="3" max="3" width="42.7109375" bestFit="1" customWidth="1"/>
    <col min="4" max="4" width="15.42578125" style="2" customWidth="1"/>
    <col min="5" max="5" width="16.85546875" style="2" customWidth="1"/>
    <col min="6" max="6" width="9.140625" style="1"/>
    <col min="7" max="7" width="23.140625" style="47" bestFit="1" customWidth="1"/>
  </cols>
  <sheetData>
    <row r="1" spans="2:7" x14ac:dyDescent="0.2">
      <c r="B1" s="123" t="s">
        <v>169</v>
      </c>
      <c r="C1" s="123" t="s">
        <v>169</v>
      </c>
      <c r="D1" s="39" t="s">
        <v>170</v>
      </c>
      <c r="E1" s="168" t="s">
        <v>169</v>
      </c>
      <c r="F1" s="167" t="s">
        <v>169</v>
      </c>
      <c r="G1" s="122" t="s">
        <v>157</v>
      </c>
    </row>
    <row r="3" spans="2:7" s="25" customFormat="1" ht="15" x14ac:dyDescent="0.35">
      <c r="B3" s="25" t="s">
        <v>75</v>
      </c>
      <c r="C3" s="25" t="s">
        <v>8</v>
      </c>
      <c r="D3" s="166" t="s">
        <v>9</v>
      </c>
      <c r="E3" s="36" t="s">
        <v>134</v>
      </c>
      <c r="F3" s="26" t="s">
        <v>67</v>
      </c>
      <c r="G3" s="56" t="s">
        <v>82</v>
      </c>
    </row>
    <row r="4" spans="2:7" x14ac:dyDescent="0.2">
      <c r="B4" s="38" t="s">
        <v>171</v>
      </c>
      <c r="C4" s="38" t="s">
        <v>212</v>
      </c>
      <c r="D4" s="86">
        <v>20000</v>
      </c>
      <c r="E4" s="86">
        <v>150</v>
      </c>
      <c r="F4" s="61">
        <v>17</v>
      </c>
      <c r="G4" s="47">
        <f ca="1">DATEVALUE(YEAR(TODAY())&amp;"-"&amp;MONTH(TODAY())&amp;"-"&amp;F4)</f>
        <v>45643</v>
      </c>
    </row>
    <row r="5" spans="2:7" x14ac:dyDescent="0.2">
      <c r="B5" s="38" t="s">
        <v>215</v>
      </c>
      <c r="C5" s="38" t="s">
        <v>201</v>
      </c>
      <c r="D5" s="86">
        <v>400</v>
      </c>
      <c r="E5" s="2">
        <v>50</v>
      </c>
      <c r="F5" s="61">
        <f ca="1">DAY(EOMONTH(TODAY(),0))</f>
        <v>31</v>
      </c>
      <c r="G5" s="47">
        <f ca="1">DATEVALUE(YEAR(TODAY())&amp;"-"&amp;MONTH(TODAY())&amp;"-"&amp;F5)</f>
        <v>45657</v>
      </c>
    </row>
  </sheetData>
  <autoFilter ref="B3:G5" xr:uid="{097D886F-EC50-4885-A26B-FECB62B6DE05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F7C3-12C6-4848-B376-9685294E2411}">
  <sheetPr codeName="Sheet15">
    <tabColor rgb="FF0000FF"/>
  </sheetPr>
  <dimension ref="B1:G7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2.75" x14ac:dyDescent="0.2"/>
  <cols>
    <col min="1" max="1" width="2.140625" customWidth="1"/>
    <col min="2" max="2" width="18.140625" bestFit="1" customWidth="1"/>
    <col min="3" max="3" width="35" bestFit="1" customWidth="1"/>
    <col min="4" max="4" width="19" bestFit="1" customWidth="1"/>
    <col min="5" max="5" width="14.7109375" style="2" bestFit="1" customWidth="1"/>
    <col min="6" max="6" width="12" style="2" bestFit="1" customWidth="1"/>
    <col min="7" max="7" width="14.7109375" style="2" bestFit="1" customWidth="1"/>
  </cols>
  <sheetData>
    <row r="1" spans="2:7" x14ac:dyDescent="0.2">
      <c r="B1" s="123" t="s">
        <v>169</v>
      </c>
      <c r="C1" s="123" t="s">
        <v>169</v>
      </c>
      <c r="D1" s="123" t="s">
        <v>169</v>
      </c>
      <c r="E1" s="39" t="s">
        <v>170</v>
      </c>
      <c r="F1" s="122" t="s">
        <v>157</v>
      </c>
      <c r="G1" s="122" t="s">
        <v>157</v>
      </c>
    </row>
    <row r="3" spans="2:7" s="25" customFormat="1" ht="15" x14ac:dyDescent="0.35">
      <c r="B3" s="25" t="s">
        <v>75</v>
      </c>
      <c r="C3" s="25" t="s">
        <v>8</v>
      </c>
      <c r="D3" s="25" t="s">
        <v>166</v>
      </c>
      <c r="E3" s="36" t="s">
        <v>9</v>
      </c>
      <c r="F3" s="36" t="s">
        <v>168</v>
      </c>
      <c r="G3" s="36" t="s">
        <v>167</v>
      </c>
    </row>
    <row r="4" spans="2:7" x14ac:dyDescent="0.2">
      <c r="B4" s="38" t="s">
        <v>42</v>
      </c>
      <c r="C4" t="s">
        <v>210</v>
      </c>
      <c r="D4" t="s">
        <v>32</v>
      </c>
      <c r="E4" s="2">
        <v>10000</v>
      </c>
      <c r="F4" s="2">
        <f>(VLOOKUP(D4,'Points Values'!$A:$C,2,0)/100)*E4</f>
        <v>100</v>
      </c>
      <c r="G4" s="2">
        <f>(VLOOKUP(D4,'Points Values'!$A:$C,3,0)/100)*E4-F4</f>
        <v>100</v>
      </c>
    </row>
    <row r="5" spans="2:7" x14ac:dyDescent="0.2">
      <c r="B5" s="38" t="s">
        <v>42</v>
      </c>
      <c r="C5" t="s">
        <v>211</v>
      </c>
      <c r="D5" t="s">
        <v>32</v>
      </c>
      <c r="E5" s="2">
        <v>2000</v>
      </c>
      <c r="F5" s="2">
        <f>(VLOOKUP(D5,'Points Values'!$A:$C,2,0)/100)*E5</f>
        <v>20</v>
      </c>
      <c r="G5" s="2">
        <f>(VLOOKUP(D5,'Points Values'!$A:$C,3,0)/100)*E5-F5</f>
        <v>20</v>
      </c>
    </row>
    <row r="6" spans="2:7" x14ac:dyDescent="0.2">
      <c r="B6" s="38" t="s">
        <v>172</v>
      </c>
      <c r="C6" s="164" t="s">
        <v>29</v>
      </c>
      <c r="D6" s="31" t="s">
        <v>29</v>
      </c>
      <c r="E6" s="2">
        <v>1000</v>
      </c>
      <c r="F6" s="2">
        <f>(VLOOKUP(D6,'Points Values'!$A:$C,2,0)/100)*E6</f>
        <v>0</v>
      </c>
      <c r="G6" s="2">
        <f>(VLOOKUP(D6,'Points Values'!$A:$C,3,0)/100)*E6-F6</f>
        <v>12</v>
      </c>
    </row>
    <row r="7" spans="2:7" x14ac:dyDescent="0.2">
      <c r="B7" s="38" t="s">
        <v>213</v>
      </c>
      <c r="C7" s="164" t="s">
        <v>35</v>
      </c>
      <c r="D7" s="164" t="s">
        <v>35</v>
      </c>
      <c r="E7" s="2">
        <v>1000</v>
      </c>
      <c r="F7" s="2">
        <f>(VLOOKUP(D7,'Points Values'!$A:$C,2,0)/100)*E7</f>
        <v>0</v>
      </c>
      <c r="G7" s="2">
        <f>(VLOOKUP(D7,'Points Values'!$A:$C,3,0)/100)*E7-F7</f>
        <v>5</v>
      </c>
    </row>
  </sheetData>
  <autoFilter ref="B3:G7" xr:uid="{1A4CF7C3-12C6-4848-B376-9685294E2411}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55F6-D3CB-4342-AF80-F445B78F2F4C}">
  <sheetPr codeName="Sheet16">
    <tabColor rgb="FF0000FF"/>
  </sheetPr>
  <dimension ref="B1:I28"/>
  <sheetViews>
    <sheetView workbookViewId="0">
      <pane xSplit="3" ySplit="3" topLeftCell="D13" activePane="bottomRight" state="frozen"/>
      <selection pane="topRight" activeCell="D1" sqref="D1"/>
      <selection pane="bottomLeft" activeCell="A4" sqref="A4"/>
      <selection pane="bottomRight" activeCell="E13" sqref="E13"/>
    </sheetView>
  </sheetViews>
  <sheetFormatPr defaultRowHeight="12.75" x14ac:dyDescent="0.2"/>
  <cols>
    <col min="1" max="1" width="2.42578125" customWidth="1"/>
    <col min="2" max="3" width="32.140625" customWidth="1"/>
    <col min="4" max="4" width="15.7109375" style="2" customWidth="1"/>
    <col min="5" max="5" width="14" customWidth="1"/>
    <col min="6" max="6" width="13.140625" style="199" customWidth="1"/>
    <col min="7" max="7" width="23.140625" style="199" bestFit="1" customWidth="1"/>
    <col min="9" max="9" width="10.140625" bestFit="1" customWidth="1"/>
  </cols>
  <sheetData>
    <row r="1" spans="2:9" x14ac:dyDescent="0.2">
      <c r="B1" s="123" t="s">
        <v>169</v>
      </c>
      <c r="C1" s="123" t="s">
        <v>169</v>
      </c>
      <c r="D1" s="123" t="s">
        <v>169</v>
      </c>
      <c r="E1" s="123" t="s">
        <v>169</v>
      </c>
      <c r="F1" s="203" t="s">
        <v>169</v>
      </c>
      <c r="G1" s="208" t="s">
        <v>157</v>
      </c>
    </row>
    <row r="2" spans="2:9" x14ac:dyDescent="0.2">
      <c r="G2" s="209"/>
    </row>
    <row r="3" spans="2:9" s="25" customFormat="1" ht="15" x14ac:dyDescent="0.35">
      <c r="B3" s="25" t="s">
        <v>48</v>
      </c>
      <c r="C3" s="58" t="s">
        <v>76</v>
      </c>
      <c r="D3" s="166" t="s">
        <v>77</v>
      </c>
      <c r="E3" s="58" t="s">
        <v>78</v>
      </c>
      <c r="F3" s="202" t="s">
        <v>67</v>
      </c>
      <c r="G3" s="210" t="s">
        <v>293</v>
      </c>
    </row>
    <row r="4" spans="2:9" x14ac:dyDescent="0.2">
      <c r="B4" t="s">
        <v>7</v>
      </c>
      <c r="C4" s="60" t="s">
        <v>216</v>
      </c>
      <c r="D4" s="86">
        <v>69</v>
      </c>
      <c r="E4" s="60" t="s">
        <v>1</v>
      </c>
      <c r="F4" s="197" t="s">
        <v>280</v>
      </c>
      <c r="G4" s="207">
        <f t="shared" ref="G4:G15" ca="1" si="0">IFERROR(_xlfn.LET(
_xlpm.annually,IF(DATEVALUE(YEAR(TODAY())&amp;"-"&amp;LEFT(F4,2)&amp;"-"&amp;RIGHT(F4,2))&lt;TODAY(),DATEVALUE(YEAR(TODAY())+1&amp;"-"&amp;LEFT(F4,2)&amp;"-"&amp;RIGHT(F4,2)),DATEVALUE(YEAR(TODAY())&amp;"-"&amp;LEFT(F4,2)&amp;"-"&amp;RIGHT(F4,2))),
_xlpm.monthly,DATEVALUE(YEAR(TODAY())&amp;"-"&amp;MONTH(TODAY())&amp;"-"&amp;F4),
IF(E4="Annually",_xlpm.annually,_xlpm.monthly)),"N/A")</f>
        <v>45819</v>
      </c>
      <c r="I4" s="57"/>
    </row>
    <row r="5" spans="2:9" x14ac:dyDescent="0.2">
      <c r="B5" t="s">
        <v>7</v>
      </c>
      <c r="C5" s="60" t="s">
        <v>217</v>
      </c>
      <c r="D5" s="86">
        <v>14.5</v>
      </c>
      <c r="E5" s="60" t="s">
        <v>2</v>
      </c>
      <c r="F5" s="198">
        <v>4</v>
      </c>
      <c r="G5" s="207">
        <f t="shared" ca="1" si="0"/>
        <v>45630</v>
      </c>
    </row>
    <row r="6" spans="2:9" x14ac:dyDescent="0.2">
      <c r="B6" t="s">
        <v>7</v>
      </c>
      <c r="C6" s="28" t="s">
        <v>218</v>
      </c>
      <c r="D6" s="86">
        <v>15.49</v>
      </c>
      <c r="E6" t="s">
        <v>2</v>
      </c>
      <c r="F6" s="199">
        <v>17</v>
      </c>
      <c r="G6" s="207">
        <f t="shared" ca="1" si="0"/>
        <v>45643</v>
      </c>
    </row>
    <row r="7" spans="2:9" x14ac:dyDescent="0.2">
      <c r="B7" t="s">
        <v>7</v>
      </c>
      <c r="C7" s="38" t="s">
        <v>219</v>
      </c>
      <c r="D7" s="2">
        <v>10.99</v>
      </c>
      <c r="E7" t="s">
        <v>2</v>
      </c>
      <c r="F7" s="199">
        <v>18</v>
      </c>
      <c r="G7" s="207">
        <f t="shared" ca="1" si="0"/>
        <v>45644</v>
      </c>
    </row>
    <row r="8" spans="2:9" x14ac:dyDescent="0.2">
      <c r="B8" t="s">
        <v>7</v>
      </c>
      <c r="C8" s="38" t="s">
        <v>220</v>
      </c>
      <c r="D8" s="2">
        <v>2.99</v>
      </c>
      <c r="E8" t="s">
        <v>2</v>
      </c>
      <c r="F8" s="199">
        <v>27</v>
      </c>
      <c r="G8" s="207">
        <f t="shared" ca="1" si="0"/>
        <v>45653</v>
      </c>
    </row>
    <row r="9" spans="2:9" x14ac:dyDescent="0.2">
      <c r="B9" s="38" t="s">
        <v>61</v>
      </c>
      <c r="C9" s="38" t="s">
        <v>221</v>
      </c>
      <c r="D9" s="86">
        <v>65</v>
      </c>
      <c r="E9" s="38" t="s">
        <v>2</v>
      </c>
      <c r="F9" s="199">
        <v>27</v>
      </c>
      <c r="G9" s="207">
        <f t="shared" ca="1" si="0"/>
        <v>45653</v>
      </c>
    </row>
    <row r="10" spans="2:9" x14ac:dyDescent="0.2">
      <c r="B10" s="38" t="s">
        <v>61</v>
      </c>
      <c r="C10" s="38" t="s">
        <v>222</v>
      </c>
      <c r="D10" s="2">
        <v>60</v>
      </c>
      <c r="E10" s="38" t="s">
        <v>2</v>
      </c>
      <c r="F10" s="199">
        <v>27</v>
      </c>
      <c r="G10" s="207">
        <f t="shared" ca="1" si="0"/>
        <v>45653</v>
      </c>
    </row>
    <row r="11" spans="2:9" x14ac:dyDescent="0.2">
      <c r="B11" s="38" t="s">
        <v>61</v>
      </c>
      <c r="C11" t="s">
        <v>223</v>
      </c>
      <c r="D11" s="86">
        <v>50</v>
      </c>
      <c r="E11" s="38" t="s">
        <v>2</v>
      </c>
      <c r="F11" s="199">
        <v>8</v>
      </c>
      <c r="G11" s="207">
        <f t="shared" ca="1" si="0"/>
        <v>45634</v>
      </c>
    </row>
    <row r="12" spans="2:9" x14ac:dyDescent="0.2">
      <c r="B12" t="s">
        <v>156</v>
      </c>
      <c r="C12" s="38" t="s">
        <v>47</v>
      </c>
      <c r="D12" s="2">
        <v>10</v>
      </c>
      <c r="E12" s="38" t="s">
        <v>136</v>
      </c>
      <c r="F12" s="200"/>
      <c r="G12" s="207" t="str">
        <f t="shared" ca="1" si="0"/>
        <v>N/A</v>
      </c>
    </row>
    <row r="13" spans="2:9" x14ac:dyDescent="0.2">
      <c r="B13" s="38" t="s">
        <v>15</v>
      </c>
      <c r="C13" s="38" t="s">
        <v>299</v>
      </c>
      <c r="D13" s="2">
        <v>4000</v>
      </c>
      <c r="E13" s="38" t="s">
        <v>136</v>
      </c>
      <c r="G13" s="207" t="str">
        <f t="shared" ca="1" si="0"/>
        <v>N/A</v>
      </c>
    </row>
    <row r="14" spans="2:9" x14ac:dyDescent="0.2">
      <c r="B14" t="s">
        <v>156</v>
      </c>
      <c r="C14" t="s">
        <v>224</v>
      </c>
      <c r="D14" s="2">
        <v>1</v>
      </c>
      <c r="E14" s="38" t="s">
        <v>136</v>
      </c>
      <c r="G14" s="207" t="str">
        <f t="shared" ca="1" si="0"/>
        <v>N/A</v>
      </c>
    </row>
    <row r="15" spans="2:9" x14ac:dyDescent="0.2">
      <c r="B15" t="s">
        <v>156</v>
      </c>
      <c r="C15" t="s">
        <v>225</v>
      </c>
      <c r="D15" s="2">
        <v>40</v>
      </c>
      <c r="E15" s="38" t="s">
        <v>136</v>
      </c>
      <c r="G15" s="207" t="str">
        <f t="shared" ca="1" si="0"/>
        <v>N/A</v>
      </c>
    </row>
    <row r="16" spans="2:9" x14ac:dyDescent="0.2">
      <c r="B16" t="s">
        <v>156</v>
      </c>
      <c r="C16" t="s">
        <v>226</v>
      </c>
      <c r="D16" s="2">
        <v>45</v>
      </c>
      <c r="E16" s="38" t="s">
        <v>136</v>
      </c>
      <c r="G16" s="207" t="str">
        <f t="shared" ref="G16:G28" ca="1" si="1">IFERROR(_xlfn.LET(
_xlpm.annually,IF(DATEVALUE(YEAR(TODAY())&amp;"-"&amp;LEFT(F16,2)&amp;"-"&amp;RIGHT(F16,2))&lt;TODAY(),DATEVALUE(YEAR(TODAY())+1&amp;"-"&amp;LEFT(F16,2)&amp;"-"&amp;RIGHT(F16,2)),DATEVALUE(YEAR(TODAY())&amp;"-"&amp;LEFT(F16,2)&amp;"-"&amp;RIGHT(F16,2))),
_xlpm.monthly,DATEVALUE(YEAR(TODAY())&amp;"-"&amp;MONTH(TODAY())&amp;"-"&amp;F16),
IF(E16="Annually",_xlpm.annually,_xlpm.monthly)),"N/A")</f>
        <v>N/A</v>
      </c>
    </row>
    <row r="17" spans="2:7" x14ac:dyDescent="0.2">
      <c r="B17" t="s">
        <v>156</v>
      </c>
      <c r="C17" t="s">
        <v>228</v>
      </c>
      <c r="D17" s="2">
        <v>5</v>
      </c>
      <c r="E17" s="38" t="s">
        <v>136</v>
      </c>
      <c r="G17" s="207" t="str">
        <f t="shared" ca="1" si="1"/>
        <v>N/A</v>
      </c>
    </row>
    <row r="18" spans="2:7" x14ac:dyDescent="0.2">
      <c r="B18" t="s">
        <v>156</v>
      </c>
      <c r="C18" t="s">
        <v>209</v>
      </c>
      <c r="D18" s="2">
        <v>10</v>
      </c>
      <c r="E18" s="38" t="s">
        <v>136</v>
      </c>
      <c r="G18" s="207" t="str">
        <f t="shared" ca="1" si="1"/>
        <v>N/A</v>
      </c>
    </row>
    <row r="19" spans="2:7" x14ac:dyDescent="0.2">
      <c r="B19" t="s">
        <v>156</v>
      </c>
      <c r="C19" s="38" t="s">
        <v>229</v>
      </c>
      <c r="D19" s="2">
        <v>200</v>
      </c>
      <c r="E19" s="38" t="s">
        <v>136</v>
      </c>
      <c r="G19" s="207" t="str">
        <f t="shared" ca="1" si="1"/>
        <v>N/A</v>
      </c>
    </row>
    <row r="20" spans="2:7" x14ac:dyDescent="0.2">
      <c r="B20" s="38" t="s">
        <v>61</v>
      </c>
      <c r="C20" s="38" t="s">
        <v>234</v>
      </c>
      <c r="D20" s="2">
        <v>1000</v>
      </c>
      <c r="E20" s="38" t="s">
        <v>2</v>
      </c>
      <c r="F20" s="201">
        <v>1</v>
      </c>
      <c r="G20" s="207">
        <f t="shared" ca="1" si="1"/>
        <v>45627</v>
      </c>
    </row>
    <row r="21" spans="2:7" x14ac:dyDescent="0.2">
      <c r="B21" t="s">
        <v>5</v>
      </c>
      <c r="D21" s="2">
        <v>10</v>
      </c>
      <c r="E21" s="38" t="s">
        <v>236</v>
      </c>
      <c r="G21" s="207" t="str">
        <f t="shared" ca="1" si="1"/>
        <v>N/A</v>
      </c>
    </row>
    <row r="22" spans="2:7" x14ac:dyDescent="0.2">
      <c r="B22" t="s">
        <v>4</v>
      </c>
      <c r="D22" s="2">
        <v>10</v>
      </c>
      <c r="E22" s="38" t="s">
        <v>236</v>
      </c>
      <c r="G22" s="207" t="str">
        <f t="shared" ca="1" si="1"/>
        <v>N/A</v>
      </c>
    </row>
    <row r="23" spans="2:7" x14ac:dyDescent="0.2">
      <c r="B23" t="s">
        <v>63</v>
      </c>
      <c r="C23" s="38" t="s">
        <v>6</v>
      </c>
      <c r="D23" s="2">
        <v>50</v>
      </c>
      <c r="E23" s="38" t="s">
        <v>136</v>
      </c>
      <c r="G23" s="207" t="str">
        <f t="shared" ca="1" si="1"/>
        <v>N/A</v>
      </c>
    </row>
    <row r="24" spans="2:7" x14ac:dyDescent="0.2">
      <c r="B24" t="s">
        <v>142</v>
      </c>
      <c r="C24" t="s">
        <v>3</v>
      </c>
      <c r="D24" s="2">
        <v>200</v>
      </c>
      <c r="E24" s="38" t="s">
        <v>136</v>
      </c>
      <c r="G24" s="207" t="str">
        <f t="shared" ca="1" si="1"/>
        <v>N/A</v>
      </c>
    </row>
    <row r="25" spans="2:7" x14ac:dyDescent="0.2">
      <c r="B25" t="s">
        <v>47</v>
      </c>
      <c r="C25" s="38" t="s">
        <v>305</v>
      </c>
      <c r="D25" s="2">
        <v>5</v>
      </c>
      <c r="E25" s="38" t="s">
        <v>236</v>
      </c>
      <c r="G25" s="207" t="str">
        <f t="shared" ca="1" si="1"/>
        <v>N/A</v>
      </c>
    </row>
    <row r="26" spans="2:7" x14ac:dyDescent="0.2">
      <c r="B26" t="s">
        <v>21</v>
      </c>
      <c r="C26" s="38" t="s">
        <v>237</v>
      </c>
      <c r="D26" s="2">
        <v>50</v>
      </c>
      <c r="E26" s="38" t="s">
        <v>2</v>
      </c>
      <c r="F26" s="199">
        <v>1</v>
      </c>
      <c r="G26" s="207">
        <f t="shared" ca="1" si="1"/>
        <v>45627</v>
      </c>
    </row>
    <row r="27" spans="2:7" x14ac:dyDescent="0.2">
      <c r="B27" t="s">
        <v>141</v>
      </c>
      <c r="C27" s="38" t="s">
        <v>306</v>
      </c>
      <c r="D27" s="2">
        <v>50</v>
      </c>
      <c r="E27" s="38" t="s">
        <v>2</v>
      </c>
      <c r="F27" s="199">
        <v>1</v>
      </c>
      <c r="G27" s="207">
        <f t="shared" ca="1" si="1"/>
        <v>45627</v>
      </c>
    </row>
    <row r="28" spans="2:7" x14ac:dyDescent="0.2">
      <c r="B28" t="s">
        <v>56</v>
      </c>
      <c r="C28" s="38" t="s">
        <v>314</v>
      </c>
      <c r="D28" s="2">
        <v>50</v>
      </c>
      <c r="E28" s="38" t="s">
        <v>2</v>
      </c>
      <c r="F28" s="199">
        <v>30</v>
      </c>
      <c r="G28" s="207">
        <f t="shared" ca="1" si="1"/>
        <v>45656</v>
      </c>
    </row>
  </sheetData>
  <autoFilter ref="B3:G24" xr:uid="{85FE55F6-D3CB-4342-AF80-F445B78F2F4C}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1605DEC-20EC-4870-AF22-CBBEA3AD2D6B}">
          <x14:formula1>
            <xm:f>'Data Validation'!$B:$B</xm:f>
          </x14:formula1>
          <xm:sqref>B4:B1048576</xm:sqref>
        </x14:dataValidation>
        <x14:dataValidation type="list" allowBlank="1" showInputMessage="1" showErrorMessage="1" xr:uid="{C2C10AC7-48E8-41B3-BF23-6A1E249C3095}">
          <x14:formula1>
            <xm:f>'Data Validation'!$C:$C</xm:f>
          </x14:formula1>
          <xm:sqref>E4:E1048576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F666B-B883-454C-B506-3E9C2D4F2687}">
  <sheetPr codeName="Sheet17">
    <tabColor rgb="FF0000FF"/>
  </sheetPr>
  <dimension ref="B1:F15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3" sqref="D3"/>
    </sheetView>
  </sheetViews>
  <sheetFormatPr defaultRowHeight="12.75" x14ac:dyDescent="0.2"/>
  <cols>
    <col min="1" max="1" width="2" customWidth="1"/>
    <col min="2" max="2" width="20.5703125" bestFit="1" customWidth="1"/>
    <col min="3" max="3" width="24.140625" bestFit="1" customWidth="1"/>
    <col min="4" max="4" width="14" bestFit="1" customWidth="1"/>
    <col min="5" max="5" width="11.42578125" style="35" bestFit="1" customWidth="1"/>
  </cols>
  <sheetData>
    <row r="1" spans="2:6" x14ac:dyDescent="0.2">
      <c r="B1" s="123" t="s">
        <v>169</v>
      </c>
      <c r="C1" s="123" t="s">
        <v>169</v>
      </c>
      <c r="D1" s="123" t="s">
        <v>169</v>
      </c>
      <c r="E1" s="125" t="s">
        <v>169</v>
      </c>
    </row>
    <row r="3" spans="2:6" s="25" customFormat="1" ht="15" x14ac:dyDescent="0.35">
      <c r="B3" s="25" t="s">
        <v>48</v>
      </c>
      <c r="C3" s="25" t="s">
        <v>76</v>
      </c>
      <c r="D3" s="25" t="s">
        <v>295</v>
      </c>
      <c r="E3" s="42" t="s">
        <v>83</v>
      </c>
    </row>
    <row r="4" spans="2:6" x14ac:dyDescent="0.2">
      <c r="B4" s="38" t="s">
        <v>50</v>
      </c>
      <c r="C4" s="38" t="s">
        <v>44</v>
      </c>
      <c r="D4" t="s">
        <v>15</v>
      </c>
      <c r="E4" s="92">
        <v>0.02</v>
      </c>
    </row>
    <row r="5" spans="2:6" x14ac:dyDescent="0.2">
      <c r="B5" s="38" t="s">
        <v>50</v>
      </c>
      <c r="C5" s="38" t="s">
        <v>227</v>
      </c>
      <c r="D5" t="s">
        <v>15</v>
      </c>
      <c r="E5" s="92">
        <v>0.05</v>
      </c>
    </row>
    <row r="6" spans="2:6" x14ac:dyDescent="0.2">
      <c r="B6" s="38" t="s">
        <v>50</v>
      </c>
      <c r="C6" s="38" t="s">
        <v>85</v>
      </c>
      <c r="D6" t="s">
        <v>15</v>
      </c>
      <c r="E6" s="92">
        <v>0.2</v>
      </c>
    </row>
    <row r="7" spans="2:6" x14ac:dyDescent="0.2">
      <c r="B7" s="38" t="s">
        <v>50</v>
      </c>
      <c r="C7" s="38" t="s">
        <v>85</v>
      </c>
      <c r="D7" t="s">
        <v>16</v>
      </c>
      <c r="E7" s="92">
        <v>0.25</v>
      </c>
      <c r="F7" s="169"/>
    </row>
    <row r="8" spans="2:6" x14ac:dyDescent="0.2">
      <c r="B8" s="38" t="s">
        <v>50</v>
      </c>
      <c r="C8" s="38" t="s">
        <v>45</v>
      </c>
      <c r="D8" t="s">
        <v>16</v>
      </c>
      <c r="E8" s="92">
        <v>0.02</v>
      </c>
      <c r="F8" s="169"/>
    </row>
    <row r="9" spans="2:6" x14ac:dyDescent="0.2">
      <c r="B9" s="38" t="s">
        <v>50</v>
      </c>
      <c r="C9" s="38" t="s">
        <v>44</v>
      </c>
      <c r="D9" t="s">
        <v>16</v>
      </c>
      <c r="E9" s="92">
        <v>0.05</v>
      </c>
      <c r="F9" s="169"/>
    </row>
    <row r="10" spans="2:6" x14ac:dyDescent="0.2">
      <c r="B10" s="38" t="s">
        <v>50</v>
      </c>
      <c r="C10" s="38" t="s">
        <v>84</v>
      </c>
      <c r="D10" t="s">
        <v>16</v>
      </c>
      <c r="E10" s="92">
        <v>0.08</v>
      </c>
      <c r="F10" s="169"/>
    </row>
    <row r="11" spans="2:6" x14ac:dyDescent="0.2">
      <c r="B11" s="38" t="s">
        <v>139</v>
      </c>
      <c r="C11" s="38" t="s">
        <v>135</v>
      </c>
      <c r="D11" s="38" t="s">
        <v>15</v>
      </c>
      <c r="E11" s="92">
        <v>0.05</v>
      </c>
    </row>
    <row r="12" spans="2:6" x14ac:dyDescent="0.2">
      <c r="B12" s="43" t="s">
        <v>139</v>
      </c>
      <c r="C12" s="38" t="s">
        <v>135</v>
      </c>
      <c r="D12" s="38" t="s">
        <v>16</v>
      </c>
      <c r="E12" s="92">
        <v>0.05</v>
      </c>
    </row>
    <row r="13" spans="2:6" x14ac:dyDescent="0.2">
      <c r="B13" s="93" t="s">
        <v>143</v>
      </c>
      <c r="C13" s="38" t="s">
        <v>43</v>
      </c>
      <c r="D13" s="38" t="s">
        <v>15</v>
      </c>
      <c r="E13" s="92">
        <v>0.05</v>
      </c>
    </row>
    <row r="14" spans="2:6" x14ac:dyDescent="0.2">
      <c r="B14" s="93" t="s">
        <v>143</v>
      </c>
      <c r="C14" s="38" t="s">
        <v>43</v>
      </c>
      <c r="D14" s="38" t="s">
        <v>16</v>
      </c>
      <c r="E14" s="92">
        <v>0.05</v>
      </c>
    </row>
    <row r="15" spans="2:6" x14ac:dyDescent="0.2">
      <c r="B15" s="24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E0F38C-18EB-43A9-A16F-F530FFBEAA9F}">
          <x14:formula1>
            <xm:f>'Data Validation'!$E:$E</xm:f>
          </x14:formula1>
          <xm:sqref>D4:D1048576</xm:sqref>
        </x14:dataValidation>
        <x14:dataValidation type="list" allowBlank="1" showInputMessage="1" showErrorMessage="1" xr:uid="{7C70984A-F693-4C4E-A2F4-DEC6810F435C}">
          <x14:formula1>
            <xm:f>'Data Validation'!$D:$D</xm:f>
          </x14:formula1>
          <xm:sqref>D4:D1048576 B4:B1048576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A14B2-1527-4A93-9B9E-D57A0533804D}">
  <sheetPr codeName="Sheet20">
    <tabColor rgb="FF0000FF"/>
  </sheetPr>
  <dimension ref="B1:H7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F4" sqref="F4"/>
    </sheetView>
  </sheetViews>
  <sheetFormatPr defaultRowHeight="12.75" x14ac:dyDescent="0.2"/>
  <cols>
    <col min="1" max="1" width="2.42578125" style="60" customWidth="1"/>
    <col min="2" max="2" width="20" style="60" bestFit="1" customWidth="1"/>
    <col min="3" max="3" width="20" style="60" customWidth="1"/>
    <col min="4" max="5" width="17" style="60" customWidth="1"/>
    <col min="6" max="6" width="21.42578125" style="61" bestFit="1" customWidth="1"/>
    <col min="7" max="7" width="17" style="61" customWidth="1"/>
    <col min="8" max="8" width="9.140625" style="90"/>
    <col min="9" max="16384" width="9.140625" style="60"/>
  </cols>
  <sheetData>
    <row r="1" spans="2:8" x14ac:dyDescent="0.2">
      <c r="B1" s="123" t="s">
        <v>169</v>
      </c>
      <c r="C1" s="123" t="s">
        <v>169</v>
      </c>
      <c r="D1" s="123" t="s">
        <v>169</v>
      </c>
      <c r="E1" s="123" t="s">
        <v>169</v>
      </c>
      <c r="F1" s="123" t="s">
        <v>169</v>
      </c>
      <c r="G1" s="94" t="s">
        <v>157</v>
      </c>
    </row>
    <row r="2" spans="2:8" ht="15" x14ac:dyDescent="0.35">
      <c r="E2" s="89"/>
      <c r="F2" s="89"/>
    </row>
    <row r="3" spans="2:8" ht="15" x14ac:dyDescent="0.35">
      <c r="E3" s="89"/>
      <c r="F3" s="89"/>
    </row>
    <row r="4" spans="2:8" s="58" customFormat="1" ht="15" x14ac:dyDescent="0.35">
      <c r="B4" s="58" t="s">
        <v>48</v>
      </c>
      <c r="C4" s="58" t="s">
        <v>76</v>
      </c>
      <c r="D4" s="58" t="s">
        <v>49</v>
      </c>
      <c r="E4" s="58" t="s">
        <v>24</v>
      </c>
      <c r="F4" s="59" t="s">
        <v>313</v>
      </c>
      <c r="G4" s="59" t="s">
        <v>144</v>
      </c>
      <c r="H4" s="91"/>
    </row>
    <row r="5" spans="2:8" x14ac:dyDescent="0.2">
      <c r="B5" s="60" t="s">
        <v>15</v>
      </c>
      <c r="C5" s="60" t="s">
        <v>145</v>
      </c>
      <c r="D5" s="170">
        <v>45714</v>
      </c>
      <c r="E5" s="55" t="s">
        <v>136</v>
      </c>
      <c r="F5" s="61">
        <v>100</v>
      </c>
      <c r="G5" s="61" t="str">
        <f>TEXT(D5,"mmm")&amp;" "&amp;C5</f>
        <v>Feb Salary bump</v>
      </c>
    </row>
    <row r="6" spans="2:8" x14ac:dyDescent="0.2">
      <c r="B6" s="60" t="s">
        <v>61</v>
      </c>
      <c r="C6" s="60" t="s">
        <v>146</v>
      </c>
      <c r="D6" s="55">
        <v>45747</v>
      </c>
      <c r="E6" s="55" t="s">
        <v>2</v>
      </c>
      <c r="F6" s="61">
        <v>50</v>
      </c>
      <c r="G6" s="61" t="str">
        <f t="shared" ref="G6" si="0">TEXT(D6,"mmm")&amp;" "&amp;C6</f>
        <v>Mar Rent bump</v>
      </c>
    </row>
    <row r="7" spans="2:8" x14ac:dyDescent="0.2">
      <c r="D7" s="55"/>
    </row>
  </sheetData>
  <conditionalFormatting sqref="D1:E1048576">
    <cfRule type="cellIs" priority="1" operator="greaterThan">
      <formula>TODAY()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B25B16-69A2-44E9-AD0D-DCF385211284}">
          <x14:formula1>
            <xm:f>'Data Validation'!$F:$F</xm:f>
          </x14:formula1>
          <xm:sqref>B5:B1048576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DD182-16A1-43FC-91B8-3BB7D2013D2B}">
  <sheetPr codeName="Sheet21">
    <tabColor rgb="FF0000FF"/>
  </sheetPr>
  <dimension ref="B1:G1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3" sqref="B3"/>
    </sheetView>
  </sheetViews>
  <sheetFormatPr defaultRowHeight="12.75" x14ac:dyDescent="0.2"/>
  <cols>
    <col min="1" max="1" width="2.5703125" customWidth="1"/>
    <col min="2" max="2" width="17" bestFit="1" customWidth="1"/>
    <col min="3" max="3" width="23.140625" customWidth="1"/>
    <col min="4" max="4" width="40.28515625" bestFit="1" customWidth="1"/>
    <col min="5" max="5" width="13.7109375" bestFit="1" customWidth="1"/>
    <col min="6" max="6" width="15.5703125" style="1" customWidth="1"/>
    <col min="7" max="7" width="24.28515625" bestFit="1" customWidth="1"/>
  </cols>
  <sheetData>
    <row r="1" spans="2:7" x14ac:dyDescent="0.2">
      <c r="B1" s="123" t="s">
        <v>169</v>
      </c>
      <c r="C1" s="123" t="s">
        <v>169</v>
      </c>
      <c r="D1" s="123" t="s">
        <v>169</v>
      </c>
      <c r="E1" s="123" t="s">
        <v>169</v>
      </c>
      <c r="F1" s="123" t="s">
        <v>169</v>
      </c>
      <c r="G1" s="94" t="s">
        <v>157</v>
      </c>
    </row>
    <row r="3" spans="2:7" s="25" customFormat="1" ht="15" x14ac:dyDescent="0.35">
      <c r="B3" s="58" t="s">
        <v>48</v>
      </c>
      <c r="C3" s="58" t="s">
        <v>76</v>
      </c>
      <c r="D3" s="58" t="s">
        <v>231</v>
      </c>
      <c r="E3" s="58" t="s">
        <v>49</v>
      </c>
      <c r="F3" s="59" t="s">
        <v>14</v>
      </c>
      <c r="G3" s="58" t="s">
        <v>144</v>
      </c>
    </row>
    <row r="4" spans="2:7" x14ac:dyDescent="0.2">
      <c r="B4" s="60" t="s">
        <v>16</v>
      </c>
      <c r="C4" s="60" t="s">
        <v>16</v>
      </c>
      <c r="D4" s="60"/>
      <c r="E4" s="55">
        <f ca="1">TODAY()+120</f>
        <v>45773</v>
      </c>
      <c r="F4" s="212">
        <v>10000</v>
      </c>
      <c r="G4" s="27" t="str">
        <f ca="1">TEXT(E4,"mmm")&amp;" "&amp;C4</f>
        <v>Apr Bonus</v>
      </c>
    </row>
    <row r="5" spans="2:7" x14ac:dyDescent="0.2">
      <c r="B5" s="60" t="s">
        <v>64</v>
      </c>
      <c r="C5" s="60" t="s">
        <v>300</v>
      </c>
      <c r="D5" s="60"/>
      <c r="E5" s="55">
        <f ca="1">TODAY()</f>
        <v>45653</v>
      </c>
      <c r="F5" s="61">
        <v>500</v>
      </c>
      <c r="G5" s="60" t="str">
        <f ca="1">TEXT(E5,"mmm")&amp;" "&amp;C5</f>
        <v>Dec Trip</v>
      </c>
    </row>
    <row r="6" spans="2:7" x14ac:dyDescent="0.2">
      <c r="B6" s="60" t="s">
        <v>19</v>
      </c>
      <c r="C6" s="60" t="s">
        <v>301</v>
      </c>
      <c r="D6" s="60" t="s">
        <v>245</v>
      </c>
      <c r="E6" s="55">
        <f ca="1">TODAY()</f>
        <v>45653</v>
      </c>
      <c r="F6" s="171">
        <f>VLOOKUP(D6,Assets!B:G,6,0)</f>
        <v>10000</v>
      </c>
      <c r="G6" s="60" t="str">
        <f ca="1">TEXT(E6,"mmm")&amp;" "&amp;C6</f>
        <v>Dec Sell stock</v>
      </c>
    </row>
    <row r="7" spans="2:7" x14ac:dyDescent="0.2">
      <c r="B7" t="s">
        <v>20</v>
      </c>
      <c r="C7" s="60" t="s">
        <v>304</v>
      </c>
      <c r="E7" s="57">
        <f ca="1">TODAY()</f>
        <v>45653</v>
      </c>
      <c r="F7" s="1">
        <v>400</v>
      </c>
      <c r="G7" s="60" t="str">
        <f t="shared" ref="G7:G11" ca="1" si="0">TEXT(E7,"mmm")&amp;" "&amp;C7</f>
        <v>Dec Bike</v>
      </c>
    </row>
    <row r="8" spans="2:7" x14ac:dyDescent="0.2">
      <c r="B8" t="s">
        <v>326</v>
      </c>
      <c r="C8" s="60" t="s">
        <v>315</v>
      </c>
      <c r="E8" s="47">
        <f ca="1">TODAY()+30</f>
        <v>45683</v>
      </c>
      <c r="F8" s="1">
        <v>100</v>
      </c>
      <c r="G8" s="60" t="str">
        <f t="shared" ca="1" si="0"/>
        <v>Jan Lunch</v>
      </c>
    </row>
    <row r="9" spans="2:7" x14ac:dyDescent="0.2">
      <c r="B9" t="s">
        <v>325</v>
      </c>
      <c r="C9" s="60" t="s">
        <v>315</v>
      </c>
      <c r="E9" s="47">
        <f ca="1">TODAY()+30</f>
        <v>45683</v>
      </c>
      <c r="F9" s="1">
        <v>50</v>
      </c>
      <c r="G9" s="60" t="str">
        <f t="shared" ref="G9" ca="1" si="1">TEXT(E9,"mmm")&amp;" "&amp;C9</f>
        <v>Jan Lunch</v>
      </c>
    </row>
    <row r="10" spans="2:7" x14ac:dyDescent="0.2">
      <c r="B10" t="s">
        <v>18</v>
      </c>
      <c r="C10" s="60" t="s">
        <v>316</v>
      </c>
      <c r="E10" s="47">
        <f ca="1">TODAY()+60</f>
        <v>45713</v>
      </c>
      <c r="F10" s="1">
        <v>200</v>
      </c>
      <c r="G10" s="60" t="str">
        <f t="shared" ca="1" si="0"/>
        <v>Feb Amazon return</v>
      </c>
    </row>
    <row r="11" spans="2:7" x14ac:dyDescent="0.2">
      <c r="B11" t="s">
        <v>57</v>
      </c>
      <c r="C11" s="60" t="s">
        <v>317</v>
      </c>
      <c r="E11" s="47">
        <f ca="1">TODAY()+90</f>
        <v>45743</v>
      </c>
      <c r="F11" s="1">
        <v>500</v>
      </c>
      <c r="G11" s="60" t="str">
        <f t="shared" ca="1" si="0"/>
        <v>Mar Insurance payout</v>
      </c>
    </row>
  </sheetData>
  <autoFilter ref="B3:F5" xr:uid="{42BDD182-16A1-43FC-91B8-3BB7D2013D2B}"/>
  <conditionalFormatting sqref="E3">
    <cfRule type="cellIs" priority="1" operator="greaterThan">
      <formula>TODAY()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D0D16-55FD-44DC-98BF-49A03DED6509}">
          <x14:formula1>
            <xm:f>'Data Validation'!$G:$G</xm:f>
          </x14:formula1>
          <xm:sqref>B4:B1048576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79487-D0F6-4DEB-84E5-CD9AF42CC274}">
  <sheetPr codeName="Sheet22">
    <tabColor rgb="FF0000FF"/>
  </sheetPr>
  <dimension ref="B1:D19"/>
  <sheetViews>
    <sheetView workbookViewId="0">
      <selection activeCell="B42" sqref="B42"/>
    </sheetView>
  </sheetViews>
  <sheetFormatPr defaultRowHeight="12.75" x14ac:dyDescent="0.2"/>
  <cols>
    <col min="1" max="1" width="1.28515625" customWidth="1"/>
    <col min="2" max="2" width="37.42578125" bestFit="1" customWidth="1"/>
    <col min="3" max="3" width="24" style="33" bestFit="1" customWidth="1"/>
  </cols>
  <sheetData>
    <row r="1" spans="2:4" x14ac:dyDescent="0.2">
      <c r="C1" s="123" t="s">
        <v>169</v>
      </c>
    </row>
    <row r="3" spans="2:4" x14ac:dyDescent="0.2">
      <c r="B3" s="38" t="s">
        <v>152</v>
      </c>
      <c r="C3" s="41">
        <v>0.1</v>
      </c>
    </row>
    <row r="4" spans="2:4" x14ac:dyDescent="0.2">
      <c r="B4" s="38" t="s">
        <v>151</v>
      </c>
      <c r="C4" s="41">
        <v>0.1</v>
      </c>
    </row>
    <row r="5" spans="2:4" x14ac:dyDescent="0.2">
      <c r="B5" s="38" t="s">
        <v>81</v>
      </c>
      <c r="C5" s="41">
        <v>0.03</v>
      </c>
    </row>
    <row r="7" spans="2:4" x14ac:dyDescent="0.2">
      <c r="B7" s="38" t="s">
        <v>164</v>
      </c>
      <c r="C7" s="164" t="s">
        <v>296</v>
      </c>
    </row>
    <row r="8" spans="2:4" x14ac:dyDescent="0.2">
      <c r="B8" s="38" t="s">
        <v>184</v>
      </c>
      <c r="C8" s="126" t="s">
        <v>200</v>
      </c>
    </row>
    <row r="10" spans="2:4" x14ac:dyDescent="0.2">
      <c r="B10" s="38" t="s">
        <v>183</v>
      </c>
    </row>
    <row r="11" spans="2:4" x14ac:dyDescent="0.2">
      <c r="B11" s="38" t="s">
        <v>173</v>
      </c>
      <c r="C11" s="33">
        <v>1</v>
      </c>
      <c r="D11" s="38"/>
    </row>
    <row r="12" spans="2:4" x14ac:dyDescent="0.2">
      <c r="B12" s="124" t="s">
        <v>192</v>
      </c>
      <c r="C12" s="33">
        <v>1</v>
      </c>
    </row>
    <row r="13" spans="2:4" x14ac:dyDescent="0.2">
      <c r="B13" s="124" t="s">
        <v>193</v>
      </c>
      <c r="C13" s="33">
        <v>4</v>
      </c>
    </row>
    <row r="15" spans="2:4" x14ac:dyDescent="0.2">
      <c r="B15" s="38" t="s">
        <v>194</v>
      </c>
    </row>
    <row r="16" spans="2:4" x14ac:dyDescent="0.2">
      <c r="B16" s="38" t="s">
        <v>195</v>
      </c>
      <c r="C16" s="213">
        <f>SUM($C$11:C12)</f>
        <v>2</v>
      </c>
    </row>
    <row r="17" spans="2:3" x14ac:dyDescent="0.2">
      <c r="B17" s="38" t="s">
        <v>196</v>
      </c>
      <c r="C17" s="213">
        <f>SUM($C$11:C13)</f>
        <v>6</v>
      </c>
    </row>
    <row r="19" spans="2:3" x14ac:dyDescent="0.2">
      <c r="B19" s="38" t="s">
        <v>302</v>
      </c>
      <c r="C19" s="214">
        <v>45513</v>
      </c>
    </row>
  </sheetData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5814F-4FA7-4FFF-A9E0-68C44DE08E21}">
  <sheetPr codeName="Sheet23"/>
  <dimension ref="A1"/>
  <sheetViews>
    <sheetView workbookViewId="0"/>
  </sheetViews>
  <sheetFormatPr defaultRowHeight="12.75" x14ac:dyDescent="0.2"/>
  <cols>
    <col min="1" max="16384" width="9.140625" style="37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FE363-6E06-445A-A33D-5E17F3BDB645}">
  <sheetPr codeName="Sheet28"/>
  <dimension ref="A1"/>
  <sheetViews>
    <sheetView workbookViewId="0"/>
  </sheetViews>
  <sheetFormatPr defaultRowHeight="12.75" x14ac:dyDescent="0.2"/>
  <cols>
    <col min="1" max="16384" width="9.140625" style="37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71E00-08A8-4C29-AC9B-000C205672BD}">
  <sheetPr codeName="Sheet18">
    <tabColor theme="9"/>
  </sheetPr>
  <dimension ref="B2:D91"/>
  <sheetViews>
    <sheetView workbookViewId="0"/>
  </sheetViews>
  <sheetFormatPr defaultColWidth="8" defaultRowHeight="12.75" x14ac:dyDescent="0.2"/>
  <cols>
    <col min="1" max="1" width="8" style="49"/>
    <col min="2" max="2" width="10.140625" style="49" bestFit="1" customWidth="1"/>
    <col min="3" max="16384" width="8" style="49"/>
  </cols>
  <sheetData>
    <row r="2" spans="2:4" x14ac:dyDescent="0.2">
      <c r="B2" s="48">
        <f>B3-14</f>
        <v>45499</v>
      </c>
      <c r="C2" s="49">
        <f t="shared" ref="C2:C66" si="0">MONTH(B2)</f>
        <v>7</v>
      </c>
      <c r="D2" s="49">
        <f t="shared" ref="D2:D66" si="1">YEAR(B2)</f>
        <v>2024</v>
      </c>
    </row>
    <row r="3" spans="2:4" x14ac:dyDescent="0.2">
      <c r="B3" s="214">
        <f>Blanket!$C$19</f>
        <v>45513</v>
      </c>
      <c r="C3" s="49">
        <f t="shared" si="0"/>
        <v>8</v>
      </c>
      <c r="D3" s="49">
        <f t="shared" si="1"/>
        <v>2024</v>
      </c>
    </row>
    <row r="4" spans="2:4" x14ac:dyDescent="0.2">
      <c r="B4" s="48">
        <f>B3+14</f>
        <v>45527</v>
      </c>
      <c r="C4" s="49">
        <f t="shared" si="0"/>
        <v>8</v>
      </c>
      <c r="D4" s="49">
        <f t="shared" si="1"/>
        <v>2024</v>
      </c>
    </row>
    <row r="5" spans="2:4" x14ac:dyDescent="0.2">
      <c r="B5" s="48">
        <f t="shared" ref="B5:B68" si="2">B4+14</f>
        <v>45541</v>
      </c>
      <c r="C5" s="49">
        <f t="shared" si="0"/>
        <v>9</v>
      </c>
      <c r="D5" s="49">
        <f t="shared" si="1"/>
        <v>2024</v>
      </c>
    </row>
    <row r="6" spans="2:4" x14ac:dyDescent="0.2">
      <c r="B6" s="48">
        <f t="shared" si="2"/>
        <v>45555</v>
      </c>
      <c r="C6" s="49">
        <f t="shared" si="0"/>
        <v>9</v>
      </c>
      <c r="D6" s="49">
        <f t="shared" si="1"/>
        <v>2024</v>
      </c>
    </row>
    <row r="7" spans="2:4" x14ac:dyDescent="0.2">
      <c r="B7" s="48">
        <f t="shared" si="2"/>
        <v>45569</v>
      </c>
      <c r="C7" s="49">
        <f t="shared" si="0"/>
        <v>10</v>
      </c>
      <c r="D7" s="49">
        <f t="shared" si="1"/>
        <v>2024</v>
      </c>
    </row>
    <row r="8" spans="2:4" x14ac:dyDescent="0.2">
      <c r="B8" s="48">
        <f t="shared" si="2"/>
        <v>45583</v>
      </c>
      <c r="C8" s="49">
        <f t="shared" si="0"/>
        <v>10</v>
      </c>
      <c r="D8" s="49">
        <f t="shared" si="1"/>
        <v>2024</v>
      </c>
    </row>
    <row r="9" spans="2:4" x14ac:dyDescent="0.2">
      <c r="B9" s="48">
        <f t="shared" si="2"/>
        <v>45597</v>
      </c>
      <c r="C9" s="49">
        <f t="shared" si="0"/>
        <v>11</v>
      </c>
      <c r="D9" s="49">
        <f t="shared" si="1"/>
        <v>2024</v>
      </c>
    </row>
    <row r="10" spans="2:4" x14ac:dyDescent="0.2">
      <c r="B10" s="48">
        <f t="shared" si="2"/>
        <v>45611</v>
      </c>
      <c r="C10" s="49">
        <f t="shared" si="0"/>
        <v>11</v>
      </c>
      <c r="D10" s="49">
        <f t="shared" si="1"/>
        <v>2024</v>
      </c>
    </row>
    <row r="11" spans="2:4" x14ac:dyDescent="0.2">
      <c r="B11" s="48">
        <f t="shared" si="2"/>
        <v>45625</v>
      </c>
      <c r="C11" s="49">
        <f t="shared" si="0"/>
        <v>11</v>
      </c>
      <c r="D11" s="49">
        <f t="shared" si="1"/>
        <v>2024</v>
      </c>
    </row>
    <row r="12" spans="2:4" x14ac:dyDescent="0.2">
      <c r="B12" s="48">
        <f t="shared" si="2"/>
        <v>45639</v>
      </c>
      <c r="C12" s="49">
        <f t="shared" si="0"/>
        <v>12</v>
      </c>
      <c r="D12" s="49">
        <f t="shared" si="1"/>
        <v>2024</v>
      </c>
    </row>
    <row r="13" spans="2:4" x14ac:dyDescent="0.2">
      <c r="B13" s="48">
        <f t="shared" si="2"/>
        <v>45653</v>
      </c>
      <c r="C13" s="49">
        <f t="shared" si="0"/>
        <v>12</v>
      </c>
      <c r="D13" s="49">
        <f t="shared" si="1"/>
        <v>2024</v>
      </c>
    </row>
    <row r="14" spans="2:4" x14ac:dyDescent="0.2">
      <c r="B14" s="48">
        <f t="shared" si="2"/>
        <v>45667</v>
      </c>
      <c r="C14" s="49">
        <f t="shared" si="0"/>
        <v>1</v>
      </c>
      <c r="D14" s="49">
        <f t="shared" si="1"/>
        <v>2025</v>
      </c>
    </row>
    <row r="15" spans="2:4" x14ac:dyDescent="0.2">
      <c r="B15" s="48">
        <f t="shared" si="2"/>
        <v>45681</v>
      </c>
      <c r="C15" s="49">
        <f t="shared" si="0"/>
        <v>1</v>
      </c>
      <c r="D15" s="49">
        <f t="shared" si="1"/>
        <v>2025</v>
      </c>
    </row>
    <row r="16" spans="2:4" x14ac:dyDescent="0.2">
      <c r="B16" s="48">
        <f t="shared" si="2"/>
        <v>45695</v>
      </c>
      <c r="C16" s="49">
        <f t="shared" si="0"/>
        <v>2</v>
      </c>
      <c r="D16" s="49">
        <f t="shared" si="1"/>
        <v>2025</v>
      </c>
    </row>
    <row r="17" spans="2:4" x14ac:dyDescent="0.2">
      <c r="B17" s="48">
        <f t="shared" si="2"/>
        <v>45709</v>
      </c>
      <c r="C17" s="49">
        <f t="shared" si="0"/>
        <v>2</v>
      </c>
      <c r="D17" s="49">
        <f t="shared" si="1"/>
        <v>2025</v>
      </c>
    </row>
    <row r="18" spans="2:4" x14ac:dyDescent="0.2">
      <c r="B18" s="48">
        <f t="shared" si="2"/>
        <v>45723</v>
      </c>
      <c r="C18" s="49">
        <f t="shared" si="0"/>
        <v>3</v>
      </c>
      <c r="D18" s="49">
        <f t="shared" si="1"/>
        <v>2025</v>
      </c>
    </row>
    <row r="19" spans="2:4" x14ac:dyDescent="0.2">
      <c r="B19" s="48">
        <f t="shared" si="2"/>
        <v>45737</v>
      </c>
      <c r="C19" s="49">
        <f t="shared" si="0"/>
        <v>3</v>
      </c>
      <c r="D19" s="49">
        <f t="shared" si="1"/>
        <v>2025</v>
      </c>
    </row>
    <row r="20" spans="2:4" x14ac:dyDescent="0.2">
      <c r="B20" s="48">
        <f t="shared" si="2"/>
        <v>45751</v>
      </c>
      <c r="C20" s="49">
        <f t="shared" si="0"/>
        <v>4</v>
      </c>
      <c r="D20" s="49">
        <f t="shared" si="1"/>
        <v>2025</v>
      </c>
    </row>
    <row r="21" spans="2:4" x14ac:dyDescent="0.2">
      <c r="B21" s="48">
        <f t="shared" si="2"/>
        <v>45765</v>
      </c>
      <c r="C21" s="49">
        <f t="shared" si="0"/>
        <v>4</v>
      </c>
      <c r="D21" s="49">
        <f t="shared" si="1"/>
        <v>2025</v>
      </c>
    </row>
    <row r="22" spans="2:4" x14ac:dyDescent="0.2">
      <c r="B22" s="48">
        <f t="shared" si="2"/>
        <v>45779</v>
      </c>
      <c r="C22" s="49">
        <f t="shared" si="0"/>
        <v>5</v>
      </c>
      <c r="D22" s="49">
        <f t="shared" si="1"/>
        <v>2025</v>
      </c>
    </row>
    <row r="23" spans="2:4" x14ac:dyDescent="0.2">
      <c r="B23" s="48">
        <f t="shared" si="2"/>
        <v>45793</v>
      </c>
      <c r="C23" s="49">
        <f t="shared" si="0"/>
        <v>5</v>
      </c>
      <c r="D23" s="49">
        <f t="shared" si="1"/>
        <v>2025</v>
      </c>
    </row>
    <row r="24" spans="2:4" x14ac:dyDescent="0.2">
      <c r="B24" s="48">
        <f t="shared" si="2"/>
        <v>45807</v>
      </c>
      <c r="C24" s="49">
        <f t="shared" si="0"/>
        <v>5</v>
      </c>
      <c r="D24" s="49">
        <f t="shared" si="1"/>
        <v>2025</v>
      </c>
    </row>
    <row r="25" spans="2:4" x14ac:dyDescent="0.2">
      <c r="B25" s="48">
        <f t="shared" si="2"/>
        <v>45821</v>
      </c>
      <c r="C25" s="49">
        <f t="shared" si="0"/>
        <v>6</v>
      </c>
      <c r="D25" s="49">
        <f t="shared" si="1"/>
        <v>2025</v>
      </c>
    </row>
    <row r="26" spans="2:4" x14ac:dyDescent="0.2">
      <c r="B26" s="48">
        <f t="shared" si="2"/>
        <v>45835</v>
      </c>
      <c r="C26" s="49">
        <f t="shared" si="0"/>
        <v>6</v>
      </c>
      <c r="D26" s="49">
        <f t="shared" si="1"/>
        <v>2025</v>
      </c>
    </row>
    <row r="27" spans="2:4" x14ac:dyDescent="0.2">
      <c r="B27" s="48">
        <f t="shared" si="2"/>
        <v>45849</v>
      </c>
      <c r="C27" s="49">
        <f t="shared" si="0"/>
        <v>7</v>
      </c>
      <c r="D27" s="49">
        <f t="shared" si="1"/>
        <v>2025</v>
      </c>
    </row>
    <row r="28" spans="2:4" x14ac:dyDescent="0.2">
      <c r="B28" s="48">
        <f t="shared" si="2"/>
        <v>45863</v>
      </c>
      <c r="C28" s="49">
        <f t="shared" si="0"/>
        <v>7</v>
      </c>
      <c r="D28" s="49">
        <f t="shared" si="1"/>
        <v>2025</v>
      </c>
    </row>
    <row r="29" spans="2:4" x14ac:dyDescent="0.2">
      <c r="B29" s="48">
        <f t="shared" si="2"/>
        <v>45877</v>
      </c>
      <c r="C29" s="49">
        <f t="shared" si="0"/>
        <v>8</v>
      </c>
      <c r="D29" s="49">
        <f t="shared" si="1"/>
        <v>2025</v>
      </c>
    </row>
    <row r="30" spans="2:4" x14ac:dyDescent="0.2">
      <c r="B30" s="48">
        <f t="shared" si="2"/>
        <v>45891</v>
      </c>
      <c r="C30" s="49">
        <f t="shared" si="0"/>
        <v>8</v>
      </c>
      <c r="D30" s="49">
        <f t="shared" si="1"/>
        <v>2025</v>
      </c>
    </row>
    <row r="31" spans="2:4" x14ac:dyDescent="0.2">
      <c r="B31" s="48">
        <f t="shared" si="2"/>
        <v>45905</v>
      </c>
      <c r="C31" s="49">
        <f t="shared" si="0"/>
        <v>9</v>
      </c>
      <c r="D31" s="49">
        <f t="shared" si="1"/>
        <v>2025</v>
      </c>
    </row>
    <row r="32" spans="2:4" x14ac:dyDescent="0.2">
      <c r="B32" s="48">
        <f t="shared" si="2"/>
        <v>45919</v>
      </c>
      <c r="C32" s="49">
        <f t="shared" si="0"/>
        <v>9</v>
      </c>
      <c r="D32" s="49">
        <f t="shared" si="1"/>
        <v>2025</v>
      </c>
    </row>
    <row r="33" spans="2:4" x14ac:dyDescent="0.2">
      <c r="B33" s="48">
        <f t="shared" si="2"/>
        <v>45933</v>
      </c>
      <c r="C33" s="49">
        <f t="shared" si="0"/>
        <v>10</v>
      </c>
      <c r="D33" s="49">
        <f t="shared" si="1"/>
        <v>2025</v>
      </c>
    </row>
    <row r="34" spans="2:4" x14ac:dyDescent="0.2">
      <c r="B34" s="48">
        <f t="shared" si="2"/>
        <v>45947</v>
      </c>
      <c r="C34" s="49">
        <f t="shared" si="0"/>
        <v>10</v>
      </c>
      <c r="D34" s="49">
        <f t="shared" si="1"/>
        <v>2025</v>
      </c>
    </row>
    <row r="35" spans="2:4" x14ac:dyDescent="0.2">
      <c r="B35" s="48">
        <f t="shared" si="2"/>
        <v>45961</v>
      </c>
      <c r="C35" s="49">
        <f t="shared" si="0"/>
        <v>10</v>
      </c>
      <c r="D35" s="49">
        <f t="shared" si="1"/>
        <v>2025</v>
      </c>
    </row>
    <row r="36" spans="2:4" x14ac:dyDescent="0.2">
      <c r="B36" s="48">
        <f t="shared" si="2"/>
        <v>45975</v>
      </c>
      <c r="C36" s="49">
        <f t="shared" si="0"/>
        <v>11</v>
      </c>
      <c r="D36" s="49">
        <f t="shared" si="1"/>
        <v>2025</v>
      </c>
    </row>
    <row r="37" spans="2:4" x14ac:dyDescent="0.2">
      <c r="B37" s="48">
        <f t="shared" si="2"/>
        <v>45989</v>
      </c>
      <c r="C37" s="49">
        <f t="shared" si="0"/>
        <v>11</v>
      </c>
      <c r="D37" s="49">
        <f t="shared" si="1"/>
        <v>2025</v>
      </c>
    </row>
    <row r="38" spans="2:4" x14ac:dyDescent="0.2">
      <c r="B38" s="48">
        <f t="shared" si="2"/>
        <v>46003</v>
      </c>
      <c r="C38" s="49">
        <f t="shared" si="0"/>
        <v>12</v>
      </c>
      <c r="D38" s="49">
        <f t="shared" si="1"/>
        <v>2025</v>
      </c>
    </row>
    <row r="39" spans="2:4" x14ac:dyDescent="0.2">
      <c r="B39" s="48">
        <f t="shared" si="2"/>
        <v>46017</v>
      </c>
      <c r="C39" s="49">
        <f t="shared" si="0"/>
        <v>12</v>
      </c>
      <c r="D39" s="49">
        <f t="shared" si="1"/>
        <v>2025</v>
      </c>
    </row>
    <row r="40" spans="2:4" x14ac:dyDescent="0.2">
      <c r="B40" s="48">
        <f t="shared" si="2"/>
        <v>46031</v>
      </c>
      <c r="C40" s="49">
        <f t="shared" si="0"/>
        <v>1</v>
      </c>
      <c r="D40" s="49">
        <f t="shared" si="1"/>
        <v>2026</v>
      </c>
    </row>
    <row r="41" spans="2:4" x14ac:dyDescent="0.2">
      <c r="B41" s="48">
        <f t="shared" si="2"/>
        <v>46045</v>
      </c>
      <c r="C41" s="49">
        <f t="shared" si="0"/>
        <v>1</v>
      </c>
      <c r="D41" s="49">
        <f t="shared" si="1"/>
        <v>2026</v>
      </c>
    </row>
    <row r="42" spans="2:4" x14ac:dyDescent="0.2">
      <c r="B42" s="48">
        <f t="shared" si="2"/>
        <v>46059</v>
      </c>
      <c r="C42" s="49">
        <f t="shared" si="0"/>
        <v>2</v>
      </c>
      <c r="D42" s="49">
        <f t="shared" si="1"/>
        <v>2026</v>
      </c>
    </row>
    <row r="43" spans="2:4" x14ac:dyDescent="0.2">
      <c r="B43" s="48">
        <f t="shared" si="2"/>
        <v>46073</v>
      </c>
      <c r="C43" s="49">
        <f t="shared" si="0"/>
        <v>2</v>
      </c>
      <c r="D43" s="49">
        <f t="shared" si="1"/>
        <v>2026</v>
      </c>
    </row>
    <row r="44" spans="2:4" x14ac:dyDescent="0.2">
      <c r="B44" s="48">
        <f t="shared" si="2"/>
        <v>46087</v>
      </c>
      <c r="C44" s="49">
        <f t="shared" si="0"/>
        <v>3</v>
      </c>
      <c r="D44" s="49">
        <f t="shared" si="1"/>
        <v>2026</v>
      </c>
    </row>
    <row r="45" spans="2:4" x14ac:dyDescent="0.2">
      <c r="B45" s="48">
        <f t="shared" si="2"/>
        <v>46101</v>
      </c>
      <c r="C45" s="49">
        <f t="shared" si="0"/>
        <v>3</v>
      </c>
      <c r="D45" s="49">
        <f t="shared" si="1"/>
        <v>2026</v>
      </c>
    </row>
    <row r="46" spans="2:4" x14ac:dyDescent="0.2">
      <c r="B46" s="48">
        <f t="shared" si="2"/>
        <v>46115</v>
      </c>
      <c r="C46" s="49">
        <f t="shared" si="0"/>
        <v>4</v>
      </c>
      <c r="D46" s="49">
        <f t="shared" si="1"/>
        <v>2026</v>
      </c>
    </row>
    <row r="47" spans="2:4" x14ac:dyDescent="0.2">
      <c r="B47" s="48">
        <f t="shared" si="2"/>
        <v>46129</v>
      </c>
      <c r="C47" s="49">
        <f t="shared" si="0"/>
        <v>4</v>
      </c>
      <c r="D47" s="49">
        <f t="shared" si="1"/>
        <v>2026</v>
      </c>
    </row>
    <row r="48" spans="2:4" x14ac:dyDescent="0.2">
      <c r="B48" s="48">
        <f t="shared" si="2"/>
        <v>46143</v>
      </c>
      <c r="C48" s="49">
        <f t="shared" si="0"/>
        <v>5</v>
      </c>
      <c r="D48" s="49">
        <f t="shared" si="1"/>
        <v>2026</v>
      </c>
    </row>
    <row r="49" spans="2:4" x14ac:dyDescent="0.2">
      <c r="B49" s="48">
        <f t="shared" si="2"/>
        <v>46157</v>
      </c>
      <c r="C49" s="49">
        <f t="shared" si="0"/>
        <v>5</v>
      </c>
      <c r="D49" s="49">
        <f t="shared" si="1"/>
        <v>2026</v>
      </c>
    </row>
    <row r="50" spans="2:4" x14ac:dyDescent="0.2">
      <c r="B50" s="48">
        <f t="shared" si="2"/>
        <v>46171</v>
      </c>
      <c r="C50" s="49">
        <f t="shared" si="0"/>
        <v>5</v>
      </c>
      <c r="D50" s="49">
        <f t="shared" si="1"/>
        <v>2026</v>
      </c>
    </row>
    <row r="51" spans="2:4" x14ac:dyDescent="0.2">
      <c r="B51" s="48">
        <f t="shared" si="2"/>
        <v>46185</v>
      </c>
      <c r="C51" s="49">
        <f t="shared" si="0"/>
        <v>6</v>
      </c>
      <c r="D51" s="49">
        <f t="shared" si="1"/>
        <v>2026</v>
      </c>
    </row>
    <row r="52" spans="2:4" x14ac:dyDescent="0.2">
      <c r="B52" s="48">
        <f t="shared" si="2"/>
        <v>46199</v>
      </c>
      <c r="C52" s="49">
        <f t="shared" si="0"/>
        <v>6</v>
      </c>
      <c r="D52" s="49">
        <f t="shared" si="1"/>
        <v>2026</v>
      </c>
    </row>
    <row r="53" spans="2:4" x14ac:dyDescent="0.2">
      <c r="B53" s="48">
        <f t="shared" si="2"/>
        <v>46213</v>
      </c>
      <c r="C53" s="49">
        <f t="shared" si="0"/>
        <v>7</v>
      </c>
      <c r="D53" s="49">
        <f t="shared" si="1"/>
        <v>2026</v>
      </c>
    </row>
    <row r="54" spans="2:4" x14ac:dyDescent="0.2">
      <c r="B54" s="48">
        <f t="shared" si="2"/>
        <v>46227</v>
      </c>
      <c r="C54" s="49">
        <f t="shared" si="0"/>
        <v>7</v>
      </c>
      <c r="D54" s="49">
        <f t="shared" si="1"/>
        <v>2026</v>
      </c>
    </row>
    <row r="55" spans="2:4" x14ac:dyDescent="0.2">
      <c r="B55" s="48">
        <f t="shared" si="2"/>
        <v>46241</v>
      </c>
      <c r="C55" s="49">
        <f t="shared" si="0"/>
        <v>8</v>
      </c>
      <c r="D55" s="49">
        <f t="shared" si="1"/>
        <v>2026</v>
      </c>
    </row>
    <row r="56" spans="2:4" x14ac:dyDescent="0.2">
      <c r="B56" s="48">
        <f t="shared" si="2"/>
        <v>46255</v>
      </c>
      <c r="C56" s="49">
        <f t="shared" si="0"/>
        <v>8</v>
      </c>
      <c r="D56" s="49">
        <f t="shared" si="1"/>
        <v>2026</v>
      </c>
    </row>
    <row r="57" spans="2:4" x14ac:dyDescent="0.2">
      <c r="B57" s="48">
        <f t="shared" si="2"/>
        <v>46269</v>
      </c>
      <c r="C57" s="49">
        <f t="shared" si="0"/>
        <v>9</v>
      </c>
      <c r="D57" s="49">
        <f t="shared" si="1"/>
        <v>2026</v>
      </c>
    </row>
    <row r="58" spans="2:4" x14ac:dyDescent="0.2">
      <c r="B58" s="48">
        <f t="shared" si="2"/>
        <v>46283</v>
      </c>
      <c r="C58" s="49">
        <f t="shared" si="0"/>
        <v>9</v>
      </c>
      <c r="D58" s="49">
        <f t="shared" si="1"/>
        <v>2026</v>
      </c>
    </row>
    <row r="59" spans="2:4" x14ac:dyDescent="0.2">
      <c r="B59" s="48">
        <f t="shared" si="2"/>
        <v>46297</v>
      </c>
      <c r="C59" s="49">
        <f t="shared" si="0"/>
        <v>10</v>
      </c>
      <c r="D59" s="49">
        <f t="shared" si="1"/>
        <v>2026</v>
      </c>
    </row>
    <row r="60" spans="2:4" x14ac:dyDescent="0.2">
      <c r="B60" s="48">
        <f t="shared" si="2"/>
        <v>46311</v>
      </c>
      <c r="C60" s="49">
        <f t="shared" si="0"/>
        <v>10</v>
      </c>
      <c r="D60" s="49">
        <f t="shared" si="1"/>
        <v>2026</v>
      </c>
    </row>
    <row r="61" spans="2:4" x14ac:dyDescent="0.2">
      <c r="B61" s="48">
        <f t="shared" si="2"/>
        <v>46325</v>
      </c>
      <c r="C61" s="49">
        <f t="shared" si="0"/>
        <v>10</v>
      </c>
      <c r="D61" s="49">
        <f t="shared" si="1"/>
        <v>2026</v>
      </c>
    </row>
    <row r="62" spans="2:4" x14ac:dyDescent="0.2">
      <c r="B62" s="48">
        <f t="shared" si="2"/>
        <v>46339</v>
      </c>
      <c r="C62" s="49">
        <f t="shared" si="0"/>
        <v>11</v>
      </c>
      <c r="D62" s="49">
        <f t="shared" si="1"/>
        <v>2026</v>
      </c>
    </row>
    <row r="63" spans="2:4" x14ac:dyDescent="0.2">
      <c r="B63" s="48">
        <f t="shared" si="2"/>
        <v>46353</v>
      </c>
      <c r="C63" s="49">
        <f t="shared" si="0"/>
        <v>11</v>
      </c>
      <c r="D63" s="49">
        <f t="shared" si="1"/>
        <v>2026</v>
      </c>
    </row>
    <row r="64" spans="2:4" x14ac:dyDescent="0.2">
      <c r="B64" s="48">
        <f t="shared" si="2"/>
        <v>46367</v>
      </c>
      <c r="C64" s="49">
        <f t="shared" si="0"/>
        <v>12</v>
      </c>
      <c r="D64" s="49">
        <f t="shared" si="1"/>
        <v>2026</v>
      </c>
    </row>
    <row r="65" spans="2:4" x14ac:dyDescent="0.2">
      <c r="B65" s="48">
        <f t="shared" si="2"/>
        <v>46381</v>
      </c>
      <c r="C65" s="49">
        <f t="shared" si="0"/>
        <v>12</v>
      </c>
      <c r="D65" s="49">
        <f t="shared" si="1"/>
        <v>2026</v>
      </c>
    </row>
    <row r="66" spans="2:4" x14ac:dyDescent="0.2">
      <c r="B66" s="48">
        <f t="shared" si="2"/>
        <v>46395</v>
      </c>
      <c r="C66" s="49">
        <f t="shared" si="0"/>
        <v>1</v>
      </c>
      <c r="D66" s="49">
        <f t="shared" si="1"/>
        <v>2027</v>
      </c>
    </row>
    <row r="67" spans="2:4" x14ac:dyDescent="0.2">
      <c r="B67" s="48">
        <f t="shared" si="2"/>
        <v>46409</v>
      </c>
      <c r="C67" s="49">
        <f t="shared" ref="C67:C91" si="3">MONTH(B67)</f>
        <v>1</v>
      </c>
      <c r="D67" s="49">
        <f t="shared" ref="D67:D91" si="4">YEAR(B67)</f>
        <v>2027</v>
      </c>
    </row>
    <row r="68" spans="2:4" x14ac:dyDescent="0.2">
      <c r="B68" s="48">
        <f t="shared" si="2"/>
        <v>46423</v>
      </c>
      <c r="C68" s="49">
        <f t="shared" si="3"/>
        <v>2</v>
      </c>
      <c r="D68" s="49">
        <f t="shared" si="4"/>
        <v>2027</v>
      </c>
    </row>
    <row r="69" spans="2:4" x14ac:dyDescent="0.2">
      <c r="B69" s="48">
        <f t="shared" ref="B69:B91" si="5">B68+14</f>
        <v>46437</v>
      </c>
      <c r="C69" s="49">
        <f t="shared" si="3"/>
        <v>2</v>
      </c>
      <c r="D69" s="49">
        <f t="shared" si="4"/>
        <v>2027</v>
      </c>
    </row>
    <row r="70" spans="2:4" x14ac:dyDescent="0.2">
      <c r="B70" s="48">
        <f t="shared" si="5"/>
        <v>46451</v>
      </c>
      <c r="C70" s="49">
        <f t="shared" si="3"/>
        <v>3</v>
      </c>
      <c r="D70" s="49">
        <f t="shared" si="4"/>
        <v>2027</v>
      </c>
    </row>
    <row r="71" spans="2:4" x14ac:dyDescent="0.2">
      <c r="B71" s="48">
        <f t="shared" si="5"/>
        <v>46465</v>
      </c>
      <c r="C71" s="49">
        <f t="shared" si="3"/>
        <v>3</v>
      </c>
      <c r="D71" s="49">
        <f t="shared" si="4"/>
        <v>2027</v>
      </c>
    </row>
    <row r="72" spans="2:4" x14ac:dyDescent="0.2">
      <c r="B72" s="48">
        <f t="shared" si="5"/>
        <v>46479</v>
      </c>
      <c r="C72" s="49">
        <f t="shared" si="3"/>
        <v>4</v>
      </c>
      <c r="D72" s="49">
        <f t="shared" si="4"/>
        <v>2027</v>
      </c>
    </row>
    <row r="73" spans="2:4" x14ac:dyDescent="0.2">
      <c r="B73" s="48">
        <f t="shared" si="5"/>
        <v>46493</v>
      </c>
      <c r="C73" s="49">
        <f t="shared" si="3"/>
        <v>4</v>
      </c>
      <c r="D73" s="49">
        <f t="shared" si="4"/>
        <v>2027</v>
      </c>
    </row>
    <row r="74" spans="2:4" x14ac:dyDescent="0.2">
      <c r="B74" s="48">
        <f t="shared" si="5"/>
        <v>46507</v>
      </c>
      <c r="C74" s="49">
        <f t="shared" si="3"/>
        <v>4</v>
      </c>
      <c r="D74" s="49">
        <f t="shared" si="4"/>
        <v>2027</v>
      </c>
    </row>
    <row r="75" spans="2:4" x14ac:dyDescent="0.2">
      <c r="B75" s="48">
        <f t="shared" si="5"/>
        <v>46521</v>
      </c>
      <c r="C75" s="49">
        <f t="shared" si="3"/>
        <v>5</v>
      </c>
      <c r="D75" s="49">
        <f t="shared" si="4"/>
        <v>2027</v>
      </c>
    </row>
    <row r="76" spans="2:4" x14ac:dyDescent="0.2">
      <c r="B76" s="48">
        <f t="shared" si="5"/>
        <v>46535</v>
      </c>
      <c r="C76" s="49">
        <f t="shared" si="3"/>
        <v>5</v>
      </c>
      <c r="D76" s="49">
        <f t="shared" si="4"/>
        <v>2027</v>
      </c>
    </row>
    <row r="77" spans="2:4" x14ac:dyDescent="0.2">
      <c r="B77" s="48">
        <f t="shared" si="5"/>
        <v>46549</v>
      </c>
      <c r="C77" s="49">
        <f t="shared" si="3"/>
        <v>6</v>
      </c>
      <c r="D77" s="49">
        <f t="shared" si="4"/>
        <v>2027</v>
      </c>
    </row>
    <row r="78" spans="2:4" x14ac:dyDescent="0.2">
      <c r="B78" s="48">
        <f t="shared" si="5"/>
        <v>46563</v>
      </c>
      <c r="C78" s="49">
        <f t="shared" si="3"/>
        <v>6</v>
      </c>
      <c r="D78" s="49">
        <f t="shared" si="4"/>
        <v>2027</v>
      </c>
    </row>
    <row r="79" spans="2:4" x14ac:dyDescent="0.2">
      <c r="B79" s="48">
        <f t="shared" si="5"/>
        <v>46577</v>
      </c>
      <c r="C79" s="49">
        <f t="shared" si="3"/>
        <v>7</v>
      </c>
      <c r="D79" s="49">
        <f t="shared" si="4"/>
        <v>2027</v>
      </c>
    </row>
    <row r="80" spans="2:4" x14ac:dyDescent="0.2">
      <c r="B80" s="48">
        <f t="shared" si="5"/>
        <v>46591</v>
      </c>
      <c r="C80" s="49">
        <f t="shared" si="3"/>
        <v>7</v>
      </c>
      <c r="D80" s="49">
        <f t="shared" si="4"/>
        <v>2027</v>
      </c>
    </row>
    <row r="81" spans="2:4" x14ac:dyDescent="0.2">
      <c r="B81" s="48">
        <f t="shared" si="5"/>
        <v>46605</v>
      </c>
      <c r="C81" s="49">
        <f t="shared" si="3"/>
        <v>8</v>
      </c>
      <c r="D81" s="49">
        <f t="shared" si="4"/>
        <v>2027</v>
      </c>
    </row>
    <row r="82" spans="2:4" x14ac:dyDescent="0.2">
      <c r="B82" s="48">
        <f t="shared" si="5"/>
        <v>46619</v>
      </c>
      <c r="C82" s="49">
        <f t="shared" si="3"/>
        <v>8</v>
      </c>
      <c r="D82" s="49">
        <f t="shared" si="4"/>
        <v>2027</v>
      </c>
    </row>
    <row r="83" spans="2:4" x14ac:dyDescent="0.2">
      <c r="B83" s="48">
        <f t="shared" si="5"/>
        <v>46633</v>
      </c>
      <c r="C83" s="49">
        <f t="shared" si="3"/>
        <v>9</v>
      </c>
      <c r="D83" s="49">
        <f t="shared" si="4"/>
        <v>2027</v>
      </c>
    </row>
    <row r="84" spans="2:4" x14ac:dyDescent="0.2">
      <c r="B84" s="48">
        <f t="shared" si="5"/>
        <v>46647</v>
      </c>
      <c r="C84" s="49">
        <f t="shared" si="3"/>
        <v>9</v>
      </c>
      <c r="D84" s="49">
        <f t="shared" si="4"/>
        <v>2027</v>
      </c>
    </row>
    <row r="85" spans="2:4" x14ac:dyDescent="0.2">
      <c r="B85" s="48">
        <f t="shared" si="5"/>
        <v>46661</v>
      </c>
      <c r="C85" s="49">
        <f t="shared" si="3"/>
        <v>10</v>
      </c>
      <c r="D85" s="49">
        <f t="shared" si="4"/>
        <v>2027</v>
      </c>
    </row>
    <row r="86" spans="2:4" x14ac:dyDescent="0.2">
      <c r="B86" s="48">
        <f t="shared" si="5"/>
        <v>46675</v>
      </c>
      <c r="C86" s="49">
        <f t="shared" si="3"/>
        <v>10</v>
      </c>
      <c r="D86" s="49">
        <f t="shared" si="4"/>
        <v>2027</v>
      </c>
    </row>
    <row r="87" spans="2:4" x14ac:dyDescent="0.2">
      <c r="B87" s="48">
        <f t="shared" si="5"/>
        <v>46689</v>
      </c>
      <c r="C87" s="49">
        <f t="shared" si="3"/>
        <v>10</v>
      </c>
      <c r="D87" s="49">
        <f t="shared" si="4"/>
        <v>2027</v>
      </c>
    </row>
    <row r="88" spans="2:4" x14ac:dyDescent="0.2">
      <c r="B88" s="48">
        <f t="shared" si="5"/>
        <v>46703</v>
      </c>
      <c r="C88" s="49">
        <f t="shared" si="3"/>
        <v>11</v>
      </c>
      <c r="D88" s="49">
        <f t="shared" si="4"/>
        <v>2027</v>
      </c>
    </row>
    <row r="89" spans="2:4" x14ac:dyDescent="0.2">
      <c r="B89" s="48">
        <f t="shared" si="5"/>
        <v>46717</v>
      </c>
      <c r="C89" s="49">
        <f t="shared" si="3"/>
        <v>11</v>
      </c>
      <c r="D89" s="49">
        <f t="shared" si="4"/>
        <v>2027</v>
      </c>
    </row>
    <row r="90" spans="2:4" x14ac:dyDescent="0.2">
      <c r="B90" s="48">
        <f t="shared" si="5"/>
        <v>46731</v>
      </c>
      <c r="C90" s="49">
        <f t="shared" si="3"/>
        <v>12</v>
      </c>
      <c r="D90" s="49">
        <f t="shared" si="4"/>
        <v>2027</v>
      </c>
    </row>
    <row r="91" spans="2:4" x14ac:dyDescent="0.2">
      <c r="B91" s="48">
        <f t="shared" si="5"/>
        <v>46745</v>
      </c>
      <c r="C91" s="49">
        <f t="shared" si="3"/>
        <v>12</v>
      </c>
      <c r="D91" s="49">
        <f t="shared" si="4"/>
        <v>2027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35FD1-DE75-40D6-A3C6-D1E52E783CDC}">
  <sheetPr codeName="Sheet29">
    <tabColor theme="9"/>
  </sheetPr>
  <dimension ref="A1:C13"/>
  <sheetViews>
    <sheetView workbookViewId="0"/>
  </sheetViews>
  <sheetFormatPr defaultRowHeight="12.75" x14ac:dyDescent="0.2"/>
  <cols>
    <col min="1" max="1" width="19" bestFit="1" customWidth="1"/>
    <col min="2" max="2" width="23.7109375" style="34" bestFit="1" customWidth="1"/>
    <col min="3" max="3" width="13.7109375" bestFit="1" customWidth="1"/>
  </cols>
  <sheetData>
    <row r="1" spans="1:3" ht="15" x14ac:dyDescent="0.35">
      <c r="A1" s="29" t="s">
        <v>25</v>
      </c>
      <c r="B1" s="30" t="s">
        <v>40</v>
      </c>
      <c r="C1" s="30" t="s">
        <v>26</v>
      </c>
    </row>
    <row r="2" spans="1:3" x14ac:dyDescent="0.2">
      <c r="A2" s="31" t="s">
        <v>27</v>
      </c>
      <c r="B2" s="32">
        <v>0</v>
      </c>
      <c r="C2" s="32">
        <v>0.7</v>
      </c>
    </row>
    <row r="3" spans="1:3" x14ac:dyDescent="0.2">
      <c r="A3" s="31" t="s">
        <v>28</v>
      </c>
      <c r="B3" s="32">
        <v>0</v>
      </c>
      <c r="C3" s="32">
        <v>1.1599999999999999</v>
      </c>
    </row>
    <row r="4" spans="1:3" x14ac:dyDescent="0.2">
      <c r="A4" s="31" t="s">
        <v>29</v>
      </c>
      <c r="B4" s="32">
        <v>0</v>
      </c>
      <c r="C4" s="32">
        <v>1.2</v>
      </c>
    </row>
    <row r="5" spans="1:3" x14ac:dyDescent="0.2">
      <c r="A5" s="31" t="s">
        <v>30</v>
      </c>
      <c r="B5" s="32">
        <v>0</v>
      </c>
      <c r="C5" s="32">
        <v>1.5</v>
      </c>
    </row>
    <row r="6" spans="1:3" x14ac:dyDescent="0.2">
      <c r="A6" s="31" t="s">
        <v>31</v>
      </c>
      <c r="B6" s="32">
        <v>1</v>
      </c>
      <c r="C6" s="32">
        <v>170</v>
      </c>
    </row>
    <row r="7" spans="1:3" x14ac:dyDescent="0.2">
      <c r="A7" s="31" t="s">
        <v>32</v>
      </c>
      <c r="B7" s="32">
        <v>1</v>
      </c>
      <c r="C7" s="32">
        <v>2</v>
      </c>
    </row>
    <row r="8" spans="1:3" x14ac:dyDescent="0.2">
      <c r="A8" s="31" t="s">
        <v>33</v>
      </c>
      <c r="B8" s="32">
        <v>0</v>
      </c>
      <c r="C8" s="32"/>
    </row>
    <row r="9" spans="1:3" x14ac:dyDescent="0.2">
      <c r="A9" s="31" t="s">
        <v>34</v>
      </c>
      <c r="B9" s="32">
        <v>0</v>
      </c>
      <c r="C9" s="32"/>
    </row>
    <row r="10" spans="1:3" x14ac:dyDescent="0.2">
      <c r="A10" s="31" t="s">
        <v>35</v>
      </c>
      <c r="B10" s="32">
        <v>0</v>
      </c>
      <c r="C10" s="32">
        <v>0.5</v>
      </c>
    </row>
    <row r="11" spans="1:3" x14ac:dyDescent="0.2">
      <c r="A11" s="31" t="s">
        <v>36</v>
      </c>
      <c r="B11" s="32">
        <v>0</v>
      </c>
      <c r="C11" s="32">
        <v>2.8</v>
      </c>
    </row>
    <row r="12" spans="1:3" x14ac:dyDescent="0.2">
      <c r="A12" s="31" t="s">
        <v>37</v>
      </c>
      <c r="B12" s="32">
        <v>0</v>
      </c>
      <c r="C12" s="32">
        <v>1</v>
      </c>
    </row>
    <row r="13" spans="1:3" x14ac:dyDescent="0.2">
      <c r="A13" t="s">
        <v>41</v>
      </c>
      <c r="B13" s="34">
        <v>100</v>
      </c>
      <c r="C13" s="34">
        <v>150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965A1-ACD1-4985-8533-6D3D83D236D4}">
  <sheetPr codeName="Sheet30">
    <tabColor theme="9"/>
  </sheetPr>
  <dimension ref="B3:F72"/>
  <sheetViews>
    <sheetView topLeftCell="A2" workbookViewId="0">
      <selection activeCell="E2" sqref="E1:E1048576"/>
    </sheetView>
  </sheetViews>
  <sheetFormatPr defaultRowHeight="12.75" x14ac:dyDescent="0.2"/>
  <cols>
    <col min="1" max="1" width="2" customWidth="1"/>
    <col min="3" max="3" width="11.7109375" bestFit="1" customWidth="1"/>
    <col min="4" max="4" width="11.7109375" customWidth="1"/>
    <col min="5" max="5" width="21.85546875" bestFit="1" customWidth="1"/>
    <col min="6" max="6" width="30.85546875" bestFit="1" customWidth="1"/>
  </cols>
  <sheetData>
    <row r="3" spans="2:6" x14ac:dyDescent="0.2">
      <c r="B3" t="s">
        <v>114</v>
      </c>
      <c r="C3" t="s">
        <v>113</v>
      </c>
      <c r="D3" t="s">
        <v>154</v>
      </c>
      <c r="E3" t="s">
        <v>61</v>
      </c>
      <c r="F3" t="s">
        <v>0</v>
      </c>
    </row>
    <row r="4" spans="2:6" x14ac:dyDescent="0.2">
      <c r="B4" t="s">
        <v>114</v>
      </c>
      <c r="C4" t="s">
        <v>113</v>
      </c>
      <c r="D4" t="s">
        <v>154</v>
      </c>
      <c r="E4" t="s">
        <v>61</v>
      </c>
      <c r="F4" t="s">
        <v>86</v>
      </c>
    </row>
    <row r="5" spans="2:6" x14ac:dyDescent="0.2">
      <c r="B5" t="s">
        <v>114</v>
      </c>
      <c r="C5" t="s">
        <v>113</v>
      </c>
      <c r="D5" t="s">
        <v>154</v>
      </c>
      <c r="E5" t="s">
        <v>61</v>
      </c>
      <c r="F5" t="s">
        <v>87</v>
      </c>
    </row>
    <row r="6" spans="2:6" x14ac:dyDescent="0.2">
      <c r="B6" t="s">
        <v>114</v>
      </c>
      <c r="C6" t="s">
        <v>113</v>
      </c>
      <c r="D6" t="s">
        <v>154</v>
      </c>
      <c r="E6" t="s">
        <v>61</v>
      </c>
      <c r="F6" t="s">
        <v>88</v>
      </c>
    </row>
    <row r="7" spans="2:6" x14ac:dyDescent="0.2">
      <c r="B7" t="s">
        <v>114</v>
      </c>
      <c r="C7" t="s">
        <v>113</v>
      </c>
      <c r="D7" t="s">
        <v>154</v>
      </c>
      <c r="E7" t="s">
        <v>61</v>
      </c>
      <c r="F7" t="s">
        <v>89</v>
      </c>
    </row>
    <row r="8" spans="2:6" x14ac:dyDescent="0.2">
      <c r="B8" t="s">
        <v>114</v>
      </c>
      <c r="C8" t="s">
        <v>113</v>
      </c>
      <c r="D8" t="s">
        <v>154</v>
      </c>
      <c r="E8" t="s">
        <v>7</v>
      </c>
      <c r="F8" t="s">
        <v>287</v>
      </c>
    </row>
    <row r="9" spans="2:6" x14ac:dyDescent="0.2">
      <c r="B9" t="s">
        <v>114</v>
      </c>
      <c r="C9" t="s">
        <v>113</v>
      </c>
      <c r="D9" t="s">
        <v>154</v>
      </c>
      <c r="E9" t="s">
        <v>7</v>
      </c>
      <c r="F9" t="s">
        <v>90</v>
      </c>
    </row>
    <row r="10" spans="2:6" x14ac:dyDescent="0.2">
      <c r="B10" t="s">
        <v>114</v>
      </c>
      <c r="C10" t="s">
        <v>113</v>
      </c>
      <c r="D10" t="s">
        <v>154</v>
      </c>
      <c r="E10" t="s">
        <v>7</v>
      </c>
      <c r="F10" t="s">
        <v>91</v>
      </c>
    </row>
    <row r="11" spans="2:6" x14ac:dyDescent="0.2">
      <c r="B11" t="s">
        <v>114</v>
      </c>
      <c r="C11" t="s">
        <v>113</v>
      </c>
      <c r="D11" t="s">
        <v>154</v>
      </c>
      <c r="E11" t="s">
        <v>47</v>
      </c>
      <c r="F11" t="s">
        <v>92</v>
      </c>
    </row>
    <row r="12" spans="2:6" x14ac:dyDescent="0.2">
      <c r="B12" t="s">
        <v>114</v>
      </c>
      <c r="C12" t="s">
        <v>113</v>
      </c>
      <c r="D12" t="s">
        <v>154</v>
      </c>
      <c r="E12" t="s">
        <v>47</v>
      </c>
      <c r="F12" t="s">
        <v>288</v>
      </c>
    </row>
    <row r="13" spans="2:6" x14ac:dyDescent="0.2">
      <c r="B13" t="s">
        <v>114</v>
      </c>
      <c r="C13" t="s">
        <v>113</v>
      </c>
      <c r="D13" t="s">
        <v>154</v>
      </c>
      <c r="E13" t="s">
        <v>47</v>
      </c>
      <c r="F13" t="s">
        <v>93</v>
      </c>
    </row>
    <row r="14" spans="2:6" x14ac:dyDescent="0.2">
      <c r="B14" t="s">
        <v>114</v>
      </c>
      <c r="C14" t="s">
        <v>113</v>
      </c>
      <c r="D14" t="s">
        <v>154</v>
      </c>
      <c r="E14" t="s">
        <v>47</v>
      </c>
      <c r="F14" t="s">
        <v>94</v>
      </c>
    </row>
    <row r="15" spans="2:6" x14ac:dyDescent="0.2">
      <c r="B15" t="s">
        <v>114</v>
      </c>
      <c r="C15" t="s">
        <v>113</v>
      </c>
      <c r="D15" t="s">
        <v>154</v>
      </c>
      <c r="E15" t="s">
        <v>63</v>
      </c>
      <c r="F15" t="s">
        <v>95</v>
      </c>
    </row>
    <row r="16" spans="2:6" x14ac:dyDescent="0.2">
      <c r="B16" t="s">
        <v>114</v>
      </c>
      <c r="C16" t="s">
        <v>113</v>
      </c>
      <c r="D16" t="s">
        <v>154</v>
      </c>
      <c r="E16" t="s">
        <v>63</v>
      </c>
      <c r="F16" t="s">
        <v>96</v>
      </c>
    </row>
    <row r="17" spans="2:6" x14ac:dyDescent="0.2">
      <c r="B17" t="s">
        <v>114</v>
      </c>
      <c r="C17" t="s">
        <v>113</v>
      </c>
      <c r="D17" t="s">
        <v>154</v>
      </c>
      <c r="E17" t="s">
        <v>4</v>
      </c>
      <c r="F17" t="s">
        <v>97</v>
      </c>
    </row>
    <row r="18" spans="2:6" x14ac:dyDescent="0.2">
      <c r="B18" t="s">
        <v>114</v>
      </c>
      <c r="C18" t="s">
        <v>113</v>
      </c>
      <c r="D18" t="s">
        <v>154</v>
      </c>
      <c r="E18" t="s">
        <v>4</v>
      </c>
      <c r="F18" t="s">
        <v>98</v>
      </c>
    </row>
    <row r="19" spans="2:6" x14ac:dyDescent="0.2">
      <c r="B19" t="s">
        <v>114</v>
      </c>
      <c r="C19" t="s">
        <v>113</v>
      </c>
      <c r="D19" t="s">
        <v>154</v>
      </c>
      <c r="E19" t="s">
        <v>7</v>
      </c>
      <c r="F19" t="s">
        <v>99</v>
      </c>
    </row>
    <row r="20" spans="2:6" x14ac:dyDescent="0.2">
      <c r="B20" t="s">
        <v>114</v>
      </c>
      <c r="C20" t="s">
        <v>113</v>
      </c>
      <c r="D20" t="s">
        <v>154</v>
      </c>
      <c r="E20" t="s">
        <v>7</v>
      </c>
      <c r="F20" t="s">
        <v>100</v>
      </c>
    </row>
    <row r="21" spans="2:6" x14ac:dyDescent="0.2">
      <c r="B21" t="s">
        <v>114</v>
      </c>
      <c r="C21" t="s">
        <v>113</v>
      </c>
      <c r="D21" t="s">
        <v>154</v>
      </c>
      <c r="E21" t="s">
        <v>7</v>
      </c>
      <c r="F21" t="s">
        <v>101</v>
      </c>
    </row>
    <row r="22" spans="2:6" x14ac:dyDescent="0.2">
      <c r="B22" t="s">
        <v>114</v>
      </c>
      <c r="C22" t="s">
        <v>113</v>
      </c>
      <c r="D22" t="s">
        <v>154</v>
      </c>
      <c r="E22" t="s">
        <v>7</v>
      </c>
      <c r="F22" t="s">
        <v>102</v>
      </c>
    </row>
    <row r="23" spans="2:6" x14ac:dyDescent="0.2">
      <c r="B23" t="s">
        <v>114</v>
      </c>
      <c r="C23" t="s">
        <v>113</v>
      </c>
      <c r="D23" t="s">
        <v>154</v>
      </c>
      <c r="E23" t="s">
        <v>7</v>
      </c>
      <c r="F23" t="s">
        <v>103</v>
      </c>
    </row>
    <row r="24" spans="2:6" x14ac:dyDescent="0.2">
      <c r="B24" t="s">
        <v>114</v>
      </c>
      <c r="C24" t="s">
        <v>113</v>
      </c>
      <c r="D24" t="s">
        <v>154</v>
      </c>
      <c r="E24" t="s">
        <v>63</v>
      </c>
      <c r="F24" t="s">
        <v>104</v>
      </c>
    </row>
    <row r="25" spans="2:6" x14ac:dyDescent="0.2">
      <c r="B25" t="s">
        <v>114</v>
      </c>
      <c r="C25" t="s">
        <v>113</v>
      </c>
      <c r="D25" t="s">
        <v>154</v>
      </c>
      <c r="E25" t="s">
        <v>7</v>
      </c>
      <c r="F25" t="s">
        <v>105</v>
      </c>
    </row>
    <row r="26" spans="2:6" x14ac:dyDescent="0.2">
      <c r="B26" t="s">
        <v>114</v>
      </c>
      <c r="C26" t="s">
        <v>113</v>
      </c>
      <c r="D26" t="s">
        <v>154</v>
      </c>
      <c r="E26" t="s">
        <v>7</v>
      </c>
      <c r="F26" t="s">
        <v>106</v>
      </c>
    </row>
    <row r="27" spans="2:6" x14ac:dyDescent="0.2">
      <c r="B27" t="s">
        <v>114</v>
      </c>
      <c r="C27" t="s">
        <v>113</v>
      </c>
      <c r="D27" t="s">
        <v>154</v>
      </c>
      <c r="E27" t="s">
        <v>7</v>
      </c>
      <c r="F27" t="s">
        <v>107</v>
      </c>
    </row>
    <row r="28" spans="2:6" x14ac:dyDescent="0.2">
      <c r="B28" t="s">
        <v>114</v>
      </c>
      <c r="C28" t="s">
        <v>113</v>
      </c>
      <c r="D28" t="s">
        <v>154</v>
      </c>
      <c r="E28" t="s">
        <v>7</v>
      </c>
      <c r="F28" t="s">
        <v>108</v>
      </c>
    </row>
    <row r="29" spans="2:6" x14ac:dyDescent="0.2">
      <c r="B29" t="s">
        <v>114</v>
      </c>
      <c r="C29" t="s">
        <v>113</v>
      </c>
      <c r="D29" t="s">
        <v>154</v>
      </c>
      <c r="E29" t="s">
        <v>7</v>
      </c>
      <c r="F29" t="s">
        <v>109</v>
      </c>
    </row>
    <row r="30" spans="2:6" x14ac:dyDescent="0.2">
      <c r="B30" t="s">
        <v>114</v>
      </c>
      <c r="C30" t="s">
        <v>113</v>
      </c>
      <c r="D30" t="s">
        <v>154</v>
      </c>
      <c r="E30" t="s">
        <v>7</v>
      </c>
      <c r="F30" t="s">
        <v>110</v>
      </c>
    </row>
    <row r="31" spans="2:6" x14ac:dyDescent="0.2">
      <c r="B31" t="s">
        <v>114</v>
      </c>
      <c r="C31" t="s">
        <v>113</v>
      </c>
      <c r="D31" t="s">
        <v>154</v>
      </c>
      <c r="E31" t="s">
        <v>7</v>
      </c>
      <c r="F31" t="s">
        <v>111</v>
      </c>
    </row>
    <row r="32" spans="2:6" x14ac:dyDescent="0.2">
      <c r="B32" t="s">
        <v>114</v>
      </c>
      <c r="C32" t="s">
        <v>125</v>
      </c>
      <c r="D32" t="s">
        <v>154</v>
      </c>
      <c r="E32" t="s">
        <v>5</v>
      </c>
      <c r="F32" t="s">
        <v>115</v>
      </c>
    </row>
    <row r="33" spans="2:6" x14ac:dyDescent="0.2">
      <c r="B33" t="s">
        <v>114</v>
      </c>
      <c r="C33" t="s">
        <v>125</v>
      </c>
      <c r="D33" t="s">
        <v>154</v>
      </c>
      <c r="E33" t="s">
        <v>7</v>
      </c>
      <c r="F33" t="s">
        <v>118</v>
      </c>
    </row>
    <row r="34" spans="2:6" x14ac:dyDescent="0.2">
      <c r="B34" t="s">
        <v>114</v>
      </c>
      <c r="C34" t="s">
        <v>125</v>
      </c>
      <c r="D34" t="s">
        <v>154</v>
      </c>
      <c r="E34" t="s">
        <v>7</v>
      </c>
      <c r="F34" t="s">
        <v>120</v>
      </c>
    </row>
    <row r="35" spans="2:6" x14ac:dyDescent="0.2">
      <c r="B35" t="s">
        <v>114</v>
      </c>
      <c r="C35" t="s">
        <v>125</v>
      </c>
      <c r="D35" t="s">
        <v>154</v>
      </c>
      <c r="E35" t="s">
        <v>7</v>
      </c>
      <c r="F35" t="s">
        <v>121</v>
      </c>
    </row>
    <row r="36" spans="2:6" x14ac:dyDescent="0.2">
      <c r="B36" t="s">
        <v>114</v>
      </c>
      <c r="C36" t="s">
        <v>125</v>
      </c>
      <c r="D36" t="s">
        <v>154</v>
      </c>
      <c r="E36" t="s">
        <v>7</v>
      </c>
      <c r="F36" t="s">
        <v>122</v>
      </c>
    </row>
    <row r="37" spans="2:6" x14ac:dyDescent="0.2">
      <c r="B37" t="s">
        <v>114</v>
      </c>
      <c r="C37" t="s">
        <v>125</v>
      </c>
      <c r="D37" t="s">
        <v>154</v>
      </c>
      <c r="E37" t="s">
        <v>5</v>
      </c>
      <c r="F37" t="s">
        <v>123</v>
      </c>
    </row>
    <row r="38" spans="2:6" x14ac:dyDescent="0.2">
      <c r="B38" t="s">
        <v>114</v>
      </c>
      <c r="C38" t="s">
        <v>38</v>
      </c>
      <c r="D38" t="s">
        <v>154</v>
      </c>
      <c r="E38" t="s">
        <v>141</v>
      </c>
      <c r="F38" t="s">
        <v>126</v>
      </c>
    </row>
    <row r="39" spans="2:6" x14ac:dyDescent="0.2">
      <c r="B39" t="s">
        <v>114</v>
      </c>
      <c r="C39" t="s">
        <v>38</v>
      </c>
      <c r="D39" t="s">
        <v>154</v>
      </c>
      <c r="E39" t="s">
        <v>142</v>
      </c>
      <c r="F39" t="s">
        <v>127</v>
      </c>
    </row>
    <row r="40" spans="2:6" x14ac:dyDescent="0.2">
      <c r="B40" t="s">
        <v>114</v>
      </c>
      <c r="C40" t="s">
        <v>38</v>
      </c>
      <c r="D40" t="s">
        <v>154</v>
      </c>
      <c r="E40" t="s">
        <v>142</v>
      </c>
      <c r="F40" t="s">
        <v>128</v>
      </c>
    </row>
    <row r="41" spans="2:6" x14ac:dyDescent="0.2">
      <c r="B41" t="s">
        <v>114</v>
      </c>
      <c r="C41" s="38" t="s">
        <v>113</v>
      </c>
      <c r="D41" s="38" t="s">
        <v>294</v>
      </c>
      <c r="E41" s="38" t="s">
        <v>50</v>
      </c>
    </row>
    <row r="42" spans="2:6" x14ac:dyDescent="0.2">
      <c r="B42" t="s">
        <v>114</v>
      </c>
      <c r="C42" t="s">
        <v>125</v>
      </c>
      <c r="D42" s="38" t="s">
        <v>294</v>
      </c>
      <c r="E42" s="38" t="s">
        <v>139</v>
      </c>
    </row>
    <row r="43" spans="2:6" x14ac:dyDescent="0.2">
      <c r="B43" t="s">
        <v>114</v>
      </c>
      <c r="C43" s="38" t="s">
        <v>113</v>
      </c>
      <c r="D43" s="38" t="s">
        <v>294</v>
      </c>
      <c r="E43" t="s">
        <v>156</v>
      </c>
      <c r="F43" t="s">
        <v>100</v>
      </c>
    </row>
    <row r="44" spans="2:6" x14ac:dyDescent="0.2">
      <c r="B44" t="s">
        <v>114</v>
      </c>
      <c r="C44" s="38" t="s">
        <v>113</v>
      </c>
      <c r="D44" s="38" t="s">
        <v>294</v>
      </c>
      <c r="E44" t="s">
        <v>156</v>
      </c>
      <c r="F44" t="s">
        <v>101</v>
      </c>
    </row>
    <row r="45" spans="2:6" x14ac:dyDescent="0.2">
      <c r="B45" t="s">
        <v>114</v>
      </c>
      <c r="C45" s="38" t="s">
        <v>113</v>
      </c>
      <c r="D45" s="38" t="s">
        <v>294</v>
      </c>
      <c r="E45" t="s">
        <v>156</v>
      </c>
      <c r="F45" t="s">
        <v>102</v>
      </c>
    </row>
    <row r="46" spans="2:6" x14ac:dyDescent="0.2">
      <c r="B46" t="s">
        <v>114</v>
      </c>
      <c r="C46" s="38" t="s">
        <v>113</v>
      </c>
      <c r="D46" s="38" t="s">
        <v>294</v>
      </c>
      <c r="E46" t="s">
        <v>156</v>
      </c>
      <c r="F46" t="s">
        <v>103</v>
      </c>
    </row>
    <row r="47" spans="2:6" x14ac:dyDescent="0.2">
      <c r="B47" t="s">
        <v>114</v>
      </c>
      <c r="C47" t="s">
        <v>125</v>
      </c>
      <c r="D47" s="38" t="s">
        <v>294</v>
      </c>
      <c r="E47" t="s">
        <v>143</v>
      </c>
    </row>
    <row r="48" spans="2:6" x14ac:dyDescent="0.2">
      <c r="B48" t="s">
        <v>132</v>
      </c>
      <c r="C48" t="s">
        <v>133</v>
      </c>
      <c r="D48" t="s">
        <v>154</v>
      </c>
      <c r="E48" t="s">
        <v>15</v>
      </c>
      <c r="F48" t="s">
        <v>292</v>
      </c>
    </row>
    <row r="49" spans="2:6" x14ac:dyDescent="0.2">
      <c r="B49" t="s">
        <v>132</v>
      </c>
      <c r="C49" t="s">
        <v>133</v>
      </c>
      <c r="D49" t="s">
        <v>154</v>
      </c>
      <c r="E49" t="s">
        <v>15</v>
      </c>
      <c r="F49" t="s">
        <v>129</v>
      </c>
    </row>
    <row r="50" spans="2:6" x14ac:dyDescent="0.2">
      <c r="B50" t="s">
        <v>132</v>
      </c>
      <c r="C50" t="s">
        <v>133</v>
      </c>
      <c r="D50" t="s">
        <v>154</v>
      </c>
      <c r="E50" t="s">
        <v>15</v>
      </c>
      <c r="F50" t="s">
        <v>45</v>
      </c>
    </row>
    <row r="51" spans="2:6" x14ac:dyDescent="0.2">
      <c r="B51" t="s">
        <v>132</v>
      </c>
      <c r="C51" t="s">
        <v>133</v>
      </c>
      <c r="D51" t="s">
        <v>154</v>
      </c>
      <c r="E51" t="s">
        <v>15</v>
      </c>
      <c r="F51" t="s">
        <v>130</v>
      </c>
    </row>
    <row r="52" spans="2:6" x14ac:dyDescent="0.2">
      <c r="B52" t="s">
        <v>132</v>
      </c>
      <c r="C52" t="s">
        <v>16</v>
      </c>
      <c r="D52" t="s">
        <v>155</v>
      </c>
      <c r="E52" t="s">
        <v>16</v>
      </c>
      <c r="F52" t="s">
        <v>16</v>
      </c>
    </row>
    <row r="53" spans="2:6" x14ac:dyDescent="0.2">
      <c r="B53" t="s">
        <v>132</v>
      </c>
      <c r="C53" t="s">
        <v>131</v>
      </c>
      <c r="D53" t="s">
        <v>155</v>
      </c>
      <c r="E53" s="38" t="s">
        <v>326</v>
      </c>
      <c r="F53" t="s">
        <v>17</v>
      </c>
    </row>
    <row r="54" spans="2:6" x14ac:dyDescent="0.2">
      <c r="B54" t="s">
        <v>132</v>
      </c>
      <c r="C54" t="s">
        <v>131</v>
      </c>
      <c r="D54" t="s">
        <v>155</v>
      </c>
      <c r="E54" t="s">
        <v>18</v>
      </c>
      <c r="F54" t="s">
        <v>18</v>
      </c>
    </row>
    <row r="55" spans="2:6" x14ac:dyDescent="0.2">
      <c r="B55" t="s">
        <v>132</v>
      </c>
      <c r="C55" t="s">
        <v>131</v>
      </c>
      <c r="D55" t="s">
        <v>155</v>
      </c>
      <c r="E55" t="s">
        <v>19</v>
      </c>
      <c r="F55" t="s">
        <v>19</v>
      </c>
    </row>
    <row r="56" spans="2:6" x14ac:dyDescent="0.2">
      <c r="B56" t="s">
        <v>132</v>
      </c>
      <c r="C56" t="s">
        <v>131</v>
      </c>
      <c r="D56" t="s">
        <v>155</v>
      </c>
      <c r="E56" t="s">
        <v>131</v>
      </c>
      <c r="F56" t="s">
        <v>131</v>
      </c>
    </row>
    <row r="57" spans="2:6" x14ac:dyDescent="0.2">
      <c r="C57" t="s">
        <v>282</v>
      </c>
      <c r="E57" t="s">
        <v>12</v>
      </c>
    </row>
    <row r="58" spans="2:6" x14ac:dyDescent="0.2">
      <c r="C58" t="s">
        <v>282</v>
      </c>
      <c r="E58" t="s">
        <v>60</v>
      </c>
    </row>
    <row r="59" spans="2:6" x14ac:dyDescent="0.2">
      <c r="C59" t="s">
        <v>282</v>
      </c>
      <c r="E59" t="s">
        <v>59</v>
      </c>
    </row>
    <row r="60" spans="2:6" x14ac:dyDescent="0.2">
      <c r="C60" t="s">
        <v>282</v>
      </c>
      <c r="E60" t="s">
        <v>283</v>
      </c>
      <c r="F60" t="s">
        <v>284</v>
      </c>
    </row>
    <row r="61" spans="2:6" x14ac:dyDescent="0.2">
      <c r="C61" t="s">
        <v>282</v>
      </c>
      <c r="E61" t="s">
        <v>283</v>
      </c>
      <c r="F61" t="s">
        <v>285</v>
      </c>
    </row>
    <row r="62" spans="2:6" x14ac:dyDescent="0.2">
      <c r="B62" t="s">
        <v>114</v>
      </c>
      <c r="D62" t="s">
        <v>155</v>
      </c>
      <c r="E62" t="s">
        <v>61</v>
      </c>
      <c r="F62" t="s">
        <v>289</v>
      </c>
    </row>
    <row r="63" spans="2:6" x14ac:dyDescent="0.2">
      <c r="B63" t="s">
        <v>114</v>
      </c>
      <c r="D63" t="s">
        <v>155</v>
      </c>
      <c r="E63" t="s">
        <v>47</v>
      </c>
      <c r="F63" t="s">
        <v>290</v>
      </c>
    </row>
    <row r="64" spans="2:6" x14ac:dyDescent="0.2">
      <c r="B64" t="s">
        <v>114</v>
      </c>
      <c r="D64" t="s">
        <v>155</v>
      </c>
      <c r="E64" t="s">
        <v>20</v>
      </c>
      <c r="F64" t="s">
        <v>291</v>
      </c>
    </row>
    <row r="65" spans="2:6" x14ac:dyDescent="0.2">
      <c r="B65" t="s">
        <v>114</v>
      </c>
      <c r="D65" t="s">
        <v>155</v>
      </c>
      <c r="E65" t="s">
        <v>64</v>
      </c>
      <c r="F65" t="s">
        <v>116</v>
      </c>
    </row>
    <row r="66" spans="2:6" x14ac:dyDescent="0.2">
      <c r="B66" t="s">
        <v>114</v>
      </c>
      <c r="D66" t="s">
        <v>155</v>
      </c>
      <c r="E66" t="s">
        <v>64</v>
      </c>
      <c r="F66" t="s">
        <v>117</v>
      </c>
    </row>
    <row r="67" spans="2:6" x14ac:dyDescent="0.2">
      <c r="B67" t="s">
        <v>114</v>
      </c>
      <c r="D67" t="s">
        <v>155</v>
      </c>
      <c r="E67" t="s">
        <v>61</v>
      </c>
      <c r="F67" t="s">
        <v>119</v>
      </c>
    </row>
    <row r="68" spans="2:6" x14ac:dyDescent="0.2">
      <c r="B68" t="s">
        <v>114</v>
      </c>
      <c r="D68" t="s">
        <v>155</v>
      </c>
      <c r="E68" t="s">
        <v>64</v>
      </c>
      <c r="F68" t="s">
        <v>124</v>
      </c>
    </row>
    <row r="69" spans="2:6" x14ac:dyDescent="0.2">
      <c r="B69" t="s">
        <v>114</v>
      </c>
      <c r="D69" s="38" t="s">
        <v>154</v>
      </c>
      <c r="E69" s="38" t="s">
        <v>21</v>
      </c>
    </row>
    <row r="70" spans="2:6" x14ac:dyDescent="0.2">
      <c r="B70" t="s">
        <v>114</v>
      </c>
      <c r="D70" s="38" t="s">
        <v>154</v>
      </c>
      <c r="E70" s="38" t="s">
        <v>56</v>
      </c>
    </row>
    <row r="71" spans="2:6" x14ac:dyDescent="0.2">
      <c r="B71" t="s">
        <v>114</v>
      </c>
      <c r="D71" t="s">
        <v>155</v>
      </c>
      <c r="E71" s="38" t="s">
        <v>57</v>
      </c>
    </row>
    <row r="72" spans="2:6" x14ac:dyDescent="0.2">
      <c r="B72" t="s">
        <v>114</v>
      </c>
      <c r="D72" t="s">
        <v>155</v>
      </c>
      <c r="E72" s="38" t="s">
        <v>325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384-6C29-4B16-B77E-1BC8023952CE}">
  <sheetPr>
    <tabColor theme="9"/>
  </sheetPr>
  <dimension ref="A1:G13"/>
  <sheetViews>
    <sheetView workbookViewId="0">
      <selection activeCell="B1" sqref="B1"/>
    </sheetView>
  </sheetViews>
  <sheetFormatPr defaultRowHeight="12.75" x14ac:dyDescent="0.2"/>
  <cols>
    <col min="1" max="1" width="10.140625" bestFit="1" customWidth="1"/>
    <col min="2" max="2" width="21.85546875" bestFit="1" customWidth="1"/>
    <col min="3" max="3" width="13.28515625" bestFit="1" customWidth="1"/>
    <col min="4" max="4" width="30.5703125" bestFit="1" customWidth="1"/>
    <col min="6" max="6" width="21.85546875" bestFit="1" customWidth="1"/>
    <col min="7" max="7" width="17" customWidth="1"/>
  </cols>
  <sheetData>
    <row r="1" spans="1:7" x14ac:dyDescent="0.2">
      <c r="A1" t="str" cm="1">
        <f t="array" ref="A1:A4">_xlfn.UNIQUE(_xlfn._xlws.FILTER('Categorized Inputs'!$E:$E,'Categorized Inputs'!$C:$C="Asset"))</f>
        <v>Cash</v>
      </c>
      <c r="B1" t="str" cm="1">
        <f t="array" ref="B1:B11">_xlfn.UNIQUE(_xlfn._xlws.FILTER('Categorized Inputs'!$E:$E,'Categorized Inputs'!$D:$D="Recurring"))</f>
        <v>Housing</v>
      </c>
      <c r="C1" s="211" t="s">
        <v>1</v>
      </c>
      <c r="D1" t="str" cm="1">
        <f t="array" ref="D1:D4">_xlfn.UNIQUE(_xlfn._xlws.FILTER('Categorized Inputs'!$E:$E,'Categorized Inputs'!$D:$D="Dependant"))</f>
        <v>Taxes</v>
      </c>
      <c r="E1" s="211" t="s">
        <v>15</v>
      </c>
      <c r="F1" t="str" cm="1">
        <f t="array" ref="F1:F13">_xlfn.UNIQUE(Recurring!B4:B991)</f>
        <v>Dues &amp; Memberships</v>
      </c>
      <c r="G1" t="str" cm="1">
        <f t="array" ref="G1:G11">_xlfn.UNIQUE(_xlfn._xlws.FILTER('Categorized Inputs'!$E:$E,'Categorized Inputs'!$D:$D="Planned"))</f>
        <v>Bonus</v>
      </c>
    </row>
    <row r="2" spans="1:7" x14ac:dyDescent="0.2">
      <c r="A2" t="str">
        <v>Brokerage</v>
      </c>
      <c r="B2" t="str">
        <v>Dues &amp; Memberships</v>
      </c>
      <c r="C2" s="211" t="s">
        <v>2</v>
      </c>
      <c r="D2" t="str">
        <v>Retirement Deductions</v>
      </c>
      <c r="E2" s="211" t="s">
        <v>16</v>
      </c>
      <c r="F2" t="str">
        <v>Housing</v>
      </c>
      <c r="G2" t="str">
        <v>Friend Receivable</v>
      </c>
    </row>
    <row r="3" spans="1:7" x14ac:dyDescent="0.2">
      <c r="A3" t="str">
        <v>Retirement</v>
      </c>
      <c r="B3" t="str">
        <v>Transportation</v>
      </c>
      <c r="C3" s="211" t="s">
        <v>136</v>
      </c>
      <c r="D3" t="str">
        <v>Other Deductions</v>
      </c>
      <c r="F3" t="str">
        <v>Other Deductions</v>
      </c>
      <c r="G3" t="str">
        <v>Selling &amp; Refunds</v>
      </c>
    </row>
    <row r="4" spans="1:7" x14ac:dyDescent="0.2">
      <c r="A4" t="str">
        <v>Real Asset</v>
      </c>
      <c r="B4" t="str">
        <v>Health</v>
      </c>
      <c r="C4" s="211" t="s">
        <v>236</v>
      </c>
      <c r="D4" t="str">
        <v>Employer Retirement Contributions</v>
      </c>
      <c r="F4" t="str">
        <v>Salary</v>
      </c>
      <c r="G4" t="str">
        <v>Brokerage Cashout</v>
      </c>
    </row>
    <row r="5" spans="1:7" x14ac:dyDescent="0.2">
      <c r="B5" t="str">
        <v>Groceries</v>
      </c>
      <c r="F5" t="str">
        <v>Food &amp; Drinks</v>
      </c>
      <c r="G5" t="str">
        <v>Other</v>
      </c>
    </row>
    <row r="6" spans="1:7" x14ac:dyDescent="0.2">
      <c r="B6" t="str">
        <v>Food &amp; Drinks</v>
      </c>
      <c r="F6" t="str">
        <v>Groceries</v>
      </c>
      <c r="G6" t="str">
        <v>Housing</v>
      </c>
    </row>
    <row r="7" spans="1:7" x14ac:dyDescent="0.2">
      <c r="B7" t="str">
        <v>Brokerage Contributions</v>
      </c>
      <c r="F7" t="str">
        <v>Health</v>
      </c>
      <c r="G7" t="str">
        <v>Transportation</v>
      </c>
    </row>
    <row r="8" spans="1:7" x14ac:dyDescent="0.2">
      <c r="B8" t="str">
        <v>Retirement Contributions</v>
      </c>
      <c r="F8" t="str">
        <v>Retirement Contributions</v>
      </c>
      <c r="G8" t="str">
        <v>Wishlist</v>
      </c>
    </row>
    <row r="9" spans="1:7" x14ac:dyDescent="0.2">
      <c r="B9" t="str">
        <v>Salary</v>
      </c>
      <c r="F9" t="str">
        <v>Transportation</v>
      </c>
      <c r="G9" t="str">
        <v>Travel &amp; Events</v>
      </c>
    </row>
    <row r="10" spans="1:7" x14ac:dyDescent="0.2">
      <c r="B10" t="str">
        <v>Medication</v>
      </c>
      <c r="F10" t="str">
        <v>Medication</v>
      </c>
      <c r="G10" t="str">
        <v>Other Inflows</v>
      </c>
    </row>
    <row r="11" spans="1:7" x14ac:dyDescent="0.2">
      <c r="B11" t="str">
        <v>Other Earnings</v>
      </c>
      <c r="F11" t="str">
        <v>Brokerage Contributions</v>
      </c>
      <c r="G11" t="str">
        <v>Friend Payment</v>
      </c>
    </row>
    <row r="12" spans="1:7" x14ac:dyDescent="0.2">
      <c r="F12" t="str">
        <v>Other Earnings</v>
      </c>
    </row>
    <row r="13" spans="1:7" x14ac:dyDescent="0.2">
      <c r="F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Definitions</vt:lpstr>
      <vt:lpstr>Footnotes</vt:lpstr>
      <vt:lpstr>SUMMARIES→</vt:lpstr>
      <vt:lpstr>Actions</vt:lpstr>
      <vt:lpstr>Cash Flows</vt:lpstr>
      <vt:lpstr>NTM</vt:lpstr>
      <vt:lpstr>Balances</vt:lpstr>
      <vt:lpstr>Archive</vt:lpstr>
      <vt:lpstr>WORKING→</vt:lpstr>
      <vt:lpstr>Assets</vt:lpstr>
      <vt:lpstr>Credit Cards</vt:lpstr>
      <vt:lpstr>Loans</vt:lpstr>
      <vt:lpstr>Loyalty Points &amp; Miles</vt:lpstr>
      <vt:lpstr>Recurring</vt:lpstr>
      <vt:lpstr>Precedents</vt:lpstr>
      <vt:lpstr>Changes</vt:lpstr>
      <vt:lpstr>Planned</vt:lpstr>
      <vt:lpstr>Blanket</vt:lpstr>
      <vt:lpstr>AD HOC→</vt:lpstr>
      <vt:lpstr>HELPERS→</vt:lpstr>
      <vt:lpstr>Paydays list</vt:lpstr>
      <vt:lpstr>Points Values</vt:lpstr>
      <vt:lpstr>Categorized Inputs</vt:lpstr>
      <vt:lpstr>Data 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Renner</dc:creator>
  <cp:lastModifiedBy>Renner, Joseph</cp:lastModifiedBy>
  <dcterms:created xsi:type="dcterms:W3CDTF">2024-07-21T15:21:17Z</dcterms:created>
  <dcterms:modified xsi:type="dcterms:W3CDTF">2024-12-27T20:00:22Z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ea8ce42-0a38-4038-af78-0463c9adb574_Enabled">
    <vt:lpwstr>true</vt:lpwstr>
  </property>
  <property fmtid="{D5CDD505-2E9C-101B-9397-08002B2CF9AE}" pid="3" name="MSIP_Label_cea8ce42-0a38-4038-af78-0463c9adb574_SetDate">
    <vt:lpwstr>2024-07-21T15:21:07Z</vt:lpwstr>
  </property>
  <property fmtid="{D5CDD505-2E9C-101B-9397-08002B2CF9AE}" pid="4" name="MSIP_Label_cea8ce42-0a38-4038-af78-0463c9adb574_Method">
    <vt:lpwstr>Standard</vt:lpwstr>
  </property>
  <property fmtid="{D5CDD505-2E9C-101B-9397-08002B2CF9AE}" pid="5" name="MSIP_Label_cea8ce42-0a38-4038-af78-0463c9adb574_Name">
    <vt:lpwstr>cea8ce42-0a38-4038-af78-0463c9adb574</vt:lpwstr>
  </property>
  <property fmtid="{D5CDD505-2E9C-101B-9397-08002B2CF9AE}" pid="6" name="MSIP_Label_cea8ce42-0a38-4038-af78-0463c9adb574_SiteId">
    <vt:lpwstr>5d25c963-07db-4627-9db3-720b2ff89865</vt:lpwstr>
  </property>
  <property fmtid="{D5CDD505-2E9C-101B-9397-08002B2CF9AE}" pid="7" name="MSIP_Label_cea8ce42-0a38-4038-af78-0463c9adb574_ActionId">
    <vt:lpwstr>c1bbcd58-cf55-4c99-949e-87db68e7c7ff</vt:lpwstr>
  </property>
  <property fmtid="{D5CDD505-2E9C-101B-9397-08002B2CF9AE}" pid="8" name="MSIP_Label_cea8ce42-0a38-4038-af78-0463c9adb574_ContentBits">
    <vt:lpwstr>0</vt:lpwstr>
  </property>
  <property fmtid="{D5CDD505-2E9C-101B-9397-08002B2CF9AE}" pid="9" name="{A44787D4-0540-4523-9961-78E4036D8C6D}">
    <vt:lpwstr>{BD615B06-A48D-4D0C-973D-A2E12A3B67B8}</vt:lpwstr>
  </property>
</Properties>
</file>