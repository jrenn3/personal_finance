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83147fcbfea20da/FUNds project/2)dist/"/>
    </mc:Choice>
  </mc:AlternateContent>
  <xr:revisionPtr revIDLastSave="27" documentId="8_{0D2576E5-9742-440E-BDD2-FE4B8A81DA48}" xr6:coauthVersionLast="47" xr6:coauthVersionMax="47" xr10:uidLastSave="{7BF17FED-C0B9-4C55-8386-F2DA87C0BDC3}"/>
  <bookViews>
    <workbookView xWindow="-120" yWindow="-120" windowWidth="29040" windowHeight="15720" firstSheet="11" activeTab="11" xr2:uid="{576F0DE2-3040-4272-8BDC-E1B8158EB8E8}"/>
  </bookViews>
  <sheets>
    <sheet name="DEV STEPS FOR PROD" sheetId="56" state="veryHidden" r:id="rId1"/>
    <sheet name="INTERMEDIATES→" sheetId="41" state="veryHidden" r:id="rId2"/>
    <sheet name="recurring1_based on steps" sheetId="24" state="veryHidden" r:id="rId3"/>
    <sheet name="recurring2_based on steps" sheetId="63" state="veryHidden" r:id="rId4"/>
    <sheet name="changes1_based on steps" sheetId="80" state="veryHidden" r:id="rId5"/>
    <sheet name="changes2_based on steps" sheetId="81" state="veryHidden" r:id="rId6"/>
    <sheet name="recurring_master" sheetId="65" state="veryHidden" r:id="rId7"/>
    <sheet name="HELPERS→" sheetId="82" state="veryHidden" r:id="rId8"/>
    <sheet name="Categorized Inputs" sheetId="32" state="veryHidden" r:id="rId9"/>
    <sheet name="Data Validation" sheetId="55" state="veryHidden" r:id="rId10"/>
    <sheet name="←DEV HIDE ALL FOR PROD" sheetId="59" state="veryHidden" r:id="rId11"/>
    <sheet name="README" sheetId="14" r:id="rId12"/>
    <sheet name="SUMMARIES→" sheetId="19" r:id="rId13"/>
    <sheet name="NTM" sheetId="5" r:id="rId14"/>
    <sheet name="Balances &amp; Actions" sheetId="50" r:id="rId15"/>
    <sheet name="Visuals" sheetId="83" r:id="rId16"/>
    <sheet name="Archive" sheetId="46" r:id="rId17"/>
    <sheet name="WORKING→" sheetId="18" r:id="rId18"/>
    <sheet name="Assets" sheetId="34" r:id="rId19"/>
    <sheet name="Credit Cards" sheetId="20" r:id="rId20"/>
    <sheet name="Loans" sheetId="15" r:id="rId21"/>
    <sheet name="Loyalty Points &amp; Miles" sheetId="38" r:id="rId22"/>
    <sheet name="Recurring" sheetId="8" r:id="rId23"/>
    <sheet name="Precedents" sheetId="31" r:id="rId24"/>
    <sheet name="Changes" sheetId="23" r:id="rId25"/>
    <sheet name="Planned" sheetId="4" r:id="rId26"/>
    <sheet name="Blanket" sheetId="30" r:id="rId27"/>
    <sheet name="AD HOC→" sheetId="17" r:id="rId28"/>
    <sheet name="FOOTNOTES→" sheetId="58" r:id="rId29"/>
    <sheet name="Version Change Notes" sheetId="57" r:id="rId30"/>
  </sheets>
  <definedNames>
    <definedName name="_xlnm._FilterDatabase" localSheetId="18" hidden="1">Assets!$B$3:$E$14</definedName>
    <definedName name="_xlnm._FilterDatabase" localSheetId="19" hidden="1">'Credit Cards'!$B$3:$I$6</definedName>
    <definedName name="_xlnm._FilterDatabase" localSheetId="20" hidden="1">Loans!$B$3:$C$5</definedName>
    <definedName name="_xlnm._FilterDatabase" localSheetId="21" hidden="1">'Loyalty Points &amp; Miles'!$B$3:$H$7</definedName>
    <definedName name="_xlnm._FilterDatabase" localSheetId="25" hidden="1">Planned!$B$3:$F$5</definedName>
    <definedName name="_xlnm._FilterDatabase" localSheetId="22" hidden="1">Recurring!$B$3:$I$25</definedName>
    <definedName name="_xlpm.a" hidden="1" xlm="1">#NAME?</definedName>
    <definedName name="_xlpm.account" hidden="1" xlm="1">#NAME?</definedName>
    <definedName name="_xlpm.amt" hidden="1" xlm="1">#NAME?</definedName>
    <definedName name="_xlpm.an" hidden="1" xlm="1">#NAME?</definedName>
    <definedName name="_xlpm.ann" hidden="1" xlm="1">#NAME?</definedName>
    <definedName name="_xlpm.annu" hidden="1" xlm="1">#NAME?</definedName>
    <definedName name="_xlpm.annua" hidden="1" xlm="1">#NAME?</definedName>
    <definedName name="_xlpm.annual" hidden="1" xlm="1">#NAME?</definedName>
    <definedName name="_xlpm.annuall" hidden="1" xlm="1">#NAME?</definedName>
    <definedName name="_xlpm.annually" hidden="1" xlm="1">#NAME?</definedName>
    <definedName name="_xlpm.b" hidden="1" xlm="1">#NAME?</definedName>
    <definedName name="_xlpm.base_mult" hidden="1" xlm="1">#NAME?</definedName>
    <definedName name="_xlpm.bi" hidden="1" xlm="1">#NAME?</definedName>
    <definedName name="_xlpm.biw" hidden="1" xlm="1">#NAME?</definedName>
    <definedName name="_xlpm.biwe" hidden="1" xlm="1">#NAME?</definedName>
    <definedName name="_xlpm.biwee" hidden="1" xlm="1">#NAME?</definedName>
    <definedName name="_xlpm.biweek" hidden="1" xlm="1">#NAME?</definedName>
    <definedName name="_xlpm.biweekl" hidden="1" xlm="1">#NAME?</definedName>
    <definedName name="_xlpm.biweekly" hidden="1" xlm="1">#NAME?</definedName>
    <definedName name="_xlpm.change" hidden="1" xlm="1">#NAME?</definedName>
    <definedName name="_xlpm.changes" hidden="1" xlm="1">#NAME?</definedName>
    <definedName name="_xlpm.cmonthly_card_payment" hidden="1" xlm="1">#NAME?</definedName>
    <definedName name="_xlpm.columns" hidden="1" xlm="1">#NAME?</definedName>
    <definedName name="_xlpm.cumonthly_card_payment" hidden="1" xlm="1">#NAME?</definedName>
    <definedName name="_xlpm.curmonthly_card_payment" hidden="1" xlm="1">#NAME?</definedName>
    <definedName name="_xlpm.curremonthly_card_payment" hidden="1" xlm="1">#NAME?</definedName>
    <definedName name="_xlpm.currenmonthly_card_payment" hidden="1" xlm="1">#NAME?</definedName>
    <definedName name="_xlpm.current" hidden="1" xlm="1">#NAME?</definedName>
    <definedName name="_xlpm.current__card_payment" hidden="1" xlm="1">#NAME?</definedName>
    <definedName name="_xlpm.current_card_payment" hidden="1" xlm="1">#NAME?</definedName>
    <definedName name="_xlpm.current_h_card_payment" hidden="1" xlm="1">#NAME?</definedName>
    <definedName name="_xlpm.current_month_card_payment" hidden="1" xlm="1">#NAME?</definedName>
    <definedName name="_xlpm.current_monthly_card_payment" hidden="1" xlm="1">#NAME?</definedName>
    <definedName name="_xlpm.current_monthy_card_payment" hidden="1" xlm="1">#NAME?</definedName>
    <definedName name="_xlpm.current_nth_card_payment" hidden="1" xlm="1">#NAME?</definedName>
    <definedName name="_xlpm.current_onth_card_payment" hidden="1" xlm="1">#NAME?</definedName>
    <definedName name="_xlpm.current_th_card_payment" hidden="1" xlm="1">#NAME?</definedName>
    <definedName name="_xlpm.currentmonthly_card_payment" hidden="1" xlm="1">#NAME?</definedName>
    <definedName name="_xlpm.currmonthly_card_payment" hidden="1" xlm="1">#NAME?</definedName>
    <definedName name="_xlpm.daily" hidden="1" xlm="1">#NAME?</definedName>
    <definedName name="_xlpm.Date" hidden="1" xlm="1">#NAME?</definedName>
    <definedName name="_xlpm.dates" hidden="1" xlm="1">#NAME?</definedName>
    <definedName name="_xlpm.day" hidden="1" xlm="1">#NAME?</definedName>
    <definedName name="_xlpm.day_number" hidden="1" xlm="1">#NAME?</definedName>
    <definedName name="_xlpm.day_steps" hidden="1" xlm="1">#NAME?</definedName>
    <definedName name="_xlpm.days" hidden="1" xlm="1">#NAME?</definedName>
    <definedName name="_xlpm.f" hidden="1" xlm="1">#NAME?</definedName>
    <definedName name="_xlpm.Factor" hidden="1" xlm="1">#NAME?</definedName>
    <definedName name="_xlpm.first_day" hidden="1" xlm="1">#NAME?</definedName>
    <definedName name="_xlpm.first_o" hidden="1" xlm="1">#NAME?</definedName>
    <definedName name="_xlpm.first_oc" hidden="1" xlm="1">#NAME?</definedName>
    <definedName name="_xlpm.first_occ" hidden="1" xlm="1">#NAME?</definedName>
    <definedName name="_xlpm.first_occu" hidden="1" xlm="1">#NAME?</definedName>
    <definedName name="_xlpm.first_occur" hidden="1" xlm="1">#NAME?</definedName>
    <definedName name="_xlpm.first_occura" hidden="1" xlm="1">#NAME?</definedName>
    <definedName name="_xlpm.first_occuran" hidden="1" xlm="1">#NAME?</definedName>
    <definedName name="_xlpm.first_occuranc" hidden="1" xlm="1">#NAME?</definedName>
    <definedName name="_xlpm.first_occurance" hidden="1" xlm="1">#NAME?</definedName>
    <definedName name="_xlpm.first_of_month" hidden="1" xlm="1">#NAME?</definedName>
    <definedName name="_xlpm.first_target_day" hidden="1" xlm="1">#NAME?</definedName>
    <definedName name="_xlpm.fr" hidden="1" xlm="1">#NAME?</definedName>
    <definedName name="_xlpm.frequency_type" hidden="1" xlm="1">#NAME?</definedName>
    <definedName name="_xlpm.frequency_value" hidden="1" xlm="1">#NAME?</definedName>
    <definedName name="_xlpm.fri" hidden="1" xlm="1">#NAME?</definedName>
    <definedName name="_xlpm.frid" hidden="1" xlm="1">#NAME?</definedName>
    <definedName name="_xlpm.frida" hidden="1" xlm="1">#NAME?</definedName>
    <definedName name="_xlpm.friday" hidden="1" xlm="1">#NAME?</definedName>
    <definedName name="_xlpm.fridays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e" hidden="1" xlm="1">#NAME?</definedName>
    <definedName name="_xlpm.inter" hidden="1" xlm="1">#NAME?</definedName>
    <definedName name="_xlpm.interv" hidden="1" xlm="1">#NAME?</definedName>
    <definedName name="_xlpm.interva" hidden="1" xlm="1">#NAME?</definedName>
    <definedName name="_xlpm.interval" hidden="1" xlm="1">#NAME?</definedName>
    <definedName name="_xlpm.l" hidden="1" xlm="1">#NAME?</definedName>
    <definedName name="_xlpm.last_of_month" hidden="1" xlm="1">#NAME?</definedName>
    <definedName name="_xlpm.LineItem" hidden="1" xlm="1">#NAME?</definedName>
    <definedName name="_xlpm.LineItemType" hidden="1" xlm="1">#NAME?</definedName>
    <definedName name="_xlpm.lo" hidden="1" xlm="1">#NAME?</definedName>
    <definedName name="_xlpm.loa" hidden="1" xlm="1">#NAME?</definedName>
    <definedName name="_xlpm.loan" hidden="1" xlm="1">#NAME?</definedName>
    <definedName name="_xlpm.m" hidden="1" xlm="1">#NAME?</definedName>
    <definedName name="_xlpm.mo" hidden="1" xlm="1">#NAME?</definedName>
    <definedName name="_xlpm.mon" hidden="1" xlm="1">#NAME?</definedName>
    <definedName name="_xlpm.mond" hidden="1" xlm="1">#NAME?</definedName>
    <definedName name="_xlpm.monda" hidden="1" xlm="1">#NAME?</definedName>
    <definedName name="_xlpm.monday" hidden="1" xlm="1">#NAME?</definedName>
    <definedName name="_xlpm.mondays" hidden="1" xlm="1">#NAME?</definedName>
    <definedName name="_xlpm.mont" hidden="1" xlm="1">#NAME?</definedName>
    <definedName name="_xlpm.month" hidden="1" xlm="1">#NAME?</definedName>
    <definedName name="_xlpm.month_offset" hidden="1" xlm="1">#NAME?</definedName>
    <definedName name="_xlpm.monthl" hidden="1" xlm="1">#NAME?</definedName>
    <definedName name="_xlpm.monthly" hidden="1" xlm="1">#NAME?</definedName>
    <definedName name="_xlpm.monthly_card_payment" hidden="1" xlm="1">#NAME?</definedName>
    <definedName name="_xlpm.months" hidden="1" xlm="1">#NAME?</definedName>
    <definedName name="_xlpm.n" hidden="1" xlm="1">#NAME?</definedName>
    <definedName name="_xlpm.n_card_payment" hidden="1" xlm="1">#NAME?</definedName>
    <definedName name="_xlpm.nb" hidden="1" xlm="1">#NAME?</definedName>
    <definedName name="_xlpm.nbr" hidden="1" xlm="1">#NAME?</definedName>
    <definedName name="_xlpm.nbr_" hidden="1" xlm="1">#NAME?</definedName>
    <definedName name="_xlpm.nbr_o" hidden="1" xlm="1">#NAME?</definedName>
    <definedName name="_xlpm.nbr_of" hidden="1" xlm="1">#NAME?</definedName>
    <definedName name="_xlpm.nbr_of_" hidden="1" xlm="1">#NAME?</definedName>
    <definedName name="_xlpm.nbr_of_s" hidden="1" xlm="1">#NAME?</definedName>
    <definedName name="_xlpm.nbr_of_st" hidden="1" xlm="1">#NAME?</definedName>
    <definedName name="_xlpm.nbr_of_ste" hidden="1" xlm="1">#NAME?</definedName>
    <definedName name="_xlpm.nbr_of_step" hidden="1" xlm="1">#NAME?</definedName>
    <definedName name="_xlpm.nbr_of_steps" hidden="1" xlm="1">#NAME?</definedName>
    <definedName name="_xlpm.ne_card_payment" hidden="1" xlm="1">#NAME?</definedName>
    <definedName name="_xlpm.nex_card_payment" hidden="1" xlm="1">#NAME?</definedName>
    <definedName name="_xlpm.next_card_payment" hidden="1" xlm="1">#NAME?</definedName>
    <definedName name="_xlpm.nth" hidden="1" xlm="1">#NAME?</definedName>
    <definedName name="_xlpm.nth_day" hidden="1" xlm="1">#NAME?</definedName>
    <definedName name="_xlpm.nth_occurance" hidden="1" xlm="1">#NAME?</definedName>
    <definedName name="_xlpm.nth_occurrence" hidden="1" xlm="1">#NAME?</definedName>
    <definedName name="_xlpm.nth_target_day" hidden="1" xlm="1">#NAME?</definedName>
    <definedName name="_xlpm.nu" hidden="1" xlm="1">#NAME?</definedName>
    <definedName name="_xlpm.num" hidden="1" xlm="1">#NAME?</definedName>
    <definedName name="_xlpm.numb" hidden="1" xlm="1">#NAME?</definedName>
    <definedName name="_xlpm.numbe" hidden="1" xlm="1">#NAME?</definedName>
    <definedName name="_xlpm.number" hidden="1" xlm="1">#NAME?</definedName>
    <definedName name="_xlpm.occurance" hidden="1" xlm="1">#NAME?</definedName>
    <definedName name="_xlpm.p" hidden="1" xlm="1">#NAME?</definedName>
    <definedName name="_xlpm.paydays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lanned" hidden="1" xlm="1">#NAME?</definedName>
    <definedName name="_xlpm.precedents" hidden="1" xlm="1">#NAME?</definedName>
    <definedName name="_xlpm.r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" hidden="1" xlm="1">#NAME?</definedName>
    <definedName name="_xlpm.recurr" hidden="1" xlm="1">#NAME?</definedName>
    <definedName name="_xlpm.recurrance" hidden="1" xlm="1">#NAME?</definedName>
    <definedName name="_xlpm.recurri" hidden="1" xlm="1">#NAME?</definedName>
    <definedName name="_xlpm.recurrin" hidden="1" xlm="1">#NAME?</definedName>
    <definedName name="_xlpm.recurring" hidden="1" xlm="1">#NAME?</definedName>
    <definedName name="_xlpm.result_sequence" hidden="1" xlm="1">#NAME?</definedName>
    <definedName name="_xlpm.s" hidden="1" xlm="1">#NAME?</definedName>
    <definedName name="_xlpm.saturdays" hidden="1" xlm="1">#NAME?</definedName>
    <definedName name="_xlpm.start_date" hidden="1" xlm="1">#NAME?</definedName>
    <definedName name="_xlpm.step_days" hidden="1" xlm="1">#NAME?</definedName>
    <definedName name="_xlpm.step_value" hidden="1" xlm="1">#NAME?</definedName>
    <definedName name="_xlpm.step_weeks" hidden="1" xlm="1">#NAME?</definedName>
    <definedName name="_xlpm.step_y" hidden="1" xlm="1">#NAME?</definedName>
    <definedName name="_xlpm.step_ye" hidden="1" xlm="1">#NAME?</definedName>
    <definedName name="_xlpm.step_yea" hidden="1" xlm="1">#NAME?</definedName>
    <definedName name="_xlpm.step_year" hidden="1" xlm="1">#NAME?</definedName>
    <definedName name="_xlpm.step_years" hidden="1" xlm="1">#NAME?</definedName>
    <definedName name="_xlpm.su" hidden="1" xlm="1">#NAME?</definedName>
    <definedName name="_xlpm.sun" hidden="1" xlm="1">#NAME?</definedName>
    <definedName name="_xlpm.sund" hidden="1" xlm="1">#NAME?</definedName>
    <definedName name="_xlpm.sunda" hidden="1" xlm="1">#NAME?</definedName>
    <definedName name="_xlpm.sunday" hidden="1" xlm="1">#NAME?</definedName>
    <definedName name="_xlpm.sundays" hidden="1" xlm="1">#NAME?</definedName>
    <definedName name="_xlpm.T" hidden="1" xlm="1">#NAME?</definedName>
    <definedName name="_xlpm.target_day" hidden="1" xlm="1">#NAME?</definedName>
    <definedName name="_xlpm.th" hidden="1" xlm="1">#NAME?</definedName>
    <definedName name="_xlpm.thu" hidden="1" xlm="1">#NAME?</definedName>
    <definedName name="_xlpm.thur" hidden="1" xlm="1">#NAME?</definedName>
    <definedName name="_xlpm.thurs" hidden="1" xlm="1">#NAME?</definedName>
    <definedName name="_xlpm.thursd" hidden="1" xlm="1">#NAME?</definedName>
    <definedName name="_xlpm.thursda" hidden="1" xlm="1">#NAME?</definedName>
    <definedName name="_xlpm.thursday" hidden="1" xlm="1">#NAME?</definedName>
    <definedName name="_xlpm.thursdays" hidden="1" xlm="1">#NAME?</definedName>
    <definedName name="_xlpm.total_periods" hidden="1" xlm="1">#NAME?</definedName>
    <definedName name="_xlpm.tu" hidden="1" xlm="1">#NAME?</definedName>
    <definedName name="_xlpm.tue" hidden="1" xlm="1">#NAME?</definedName>
    <definedName name="_xlpm.tues" hidden="1" xlm="1">#NAME?</definedName>
    <definedName name="_xlpm.tuesd" hidden="1" xlm="1">#NAME?</definedName>
    <definedName name="_xlpm.tuesda" hidden="1" xlm="1">#NAME?</definedName>
    <definedName name="_xlpm.tuesday" hidden="1" xlm="1">#NAME?</definedName>
    <definedName name="_xlpm.tuesdays" hidden="1" xlm="1">#NAME?</definedName>
    <definedName name="_xlpm.Type" hidden="1" xlm="1">#NAME?</definedName>
    <definedName name="_xlpm.w" hidden="1" xlm="1">#NAME?</definedName>
    <definedName name="_xlpm.w_steps" hidden="1" xlm="1">#NAME?</definedName>
    <definedName name="_xlpm.we" hidden="1" xlm="1">#NAME?</definedName>
    <definedName name="_xlpm.we_steps" hidden="1" xlm="1">#NAME?</definedName>
    <definedName name="_xlpm.wed" hidden="1" xlm="1">#NAME?</definedName>
    <definedName name="_xlpm.wedn" hidden="1" xlm="1">#NAME?</definedName>
    <definedName name="_xlpm.wedne" hidden="1" xlm="1">#NAME?</definedName>
    <definedName name="_xlpm.wednes" hidden="1" xlm="1">#NAME?</definedName>
    <definedName name="_xlpm.wednesd" hidden="1" xlm="1">#NAME?</definedName>
    <definedName name="_xlpm.wednesda" hidden="1" xlm="1">#NAME?</definedName>
    <definedName name="_xlpm.wednesday" hidden="1" xlm="1">#NAME?</definedName>
    <definedName name="_xlpm.wednesdays" hidden="1" xlm="1">#NAME?</definedName>
    <definedName name="_xlpm.wee" hidden="1" xlm="1">#NAME?</definedName>
    <definedName name="_xlpm.wee_steps" hidden="1" xlm="1">#NAME?</definedName>
    <definedName name="_xlpm.week" hidden="1" xlm="1">#NAME?</definedName>
    <definedName name="_xlpm.week_base" hidden="1" xlm="1">#NAME?</definedName>
    <definedName name="_xlpm.week_steps" hidden="1" xlm="1">#NAME?</definedName>
    <definedName name="_xlpm.weekdays" hidden="1" xlm="1">#NAME?</definedName>
    <definedName name="_xlpm.weekl" hidden="1" xlm="1">#NAME?</definedName>
    <definedName name="_xlpm.weekly" hidden="1" xlm="1">#NAME?</definedName>
    <definedName name="_xlpm.weeks_per_year" hidden="1" xlm="1">#NAME?</definedName>
    <definedName name="_xlpm.y" hidden="1" xlm="1">#NAME?</definedName>
    <definedName name="_xlpm.ye" hidden="1" xlm="1">#NAME?</definedName>
    <definedName name="_xlpm.yea" hidden="1" xlm="1">#NAME?</definedName>
    <definedName name="_xlpm.year" hidden="1" xlm="1">#NAME?</definedName>
    <definedName name="_xlpm.year_" hidden="1" xlm="1">#NAME?</definedName>
    <definedName name="_xlpm.year_i" hidden="1" xlm="1">#NAME?</definedName>
    <definedName name="_xlpm.year_in" hidden="1" xlm="1">#NAME?</definedName>
    <definedName name="_xlpm.year_in_" hidden="1" xlm="1">#NAME?</definedName>
    <definedName name="_xlpm.year_in_d" hidden="1" xlm="1">#NAME?</definedName>
    <definedName name="_xlpm.year_in_da" hidden="1" xlm="1">#NAME?</definedName>
    <definedName name="_xlpm.year_in_day" hidden="1" xlm="1">#NAME?</definedName>
    <definedName name="_xlpm.year_in_days" hidden="1" xlm="1">#NAME?</definedName>
    <definedName name="_xlpm.year_in_w" hidden="1" xlm="1">#NAME?</definedName>
    <definedName name="_xlpm.year_in_wk" hidden="1" xlm="1">#NAME?</definedName>
    <definedName name="_xlpm.year_in_wks" hidden="1" xlm="1">#NAME?</definedName>
    <definedName name="_xlpm.year_s" hidden="1" xlm="1">#NAME?</definedName>
    <definedName name="_xlpm.year_st" hidden="1" xlm="1">#NAME?</definedName>
    <definedName name="_xlpm.year_ste" hidden="1" xlm="1">#NAME?</definedName>
    <definedName name="_xlpm.year_step" hidden="1" xlm="1">#NAME?</definedName>
    <definedName name="_xlpm.year_steps" hidden="1" xlm="1">#NAME?</definedName>
    <definedName name="_xlpm.year_steps_" hidden="1" xlm="1">#NAME?</definedName>
    <definedName name="_xlpm.year_steps_f" hidden="1" xlm="1">#NAME?</definedName>
    <definedName name="_xlpm.year_steps_fo" hidden="1" xlm="1">#NAME?</definedName>
    <definedName name="_xlpm.year_steps_for" hidden="1" xlm="1">#NAME?</definedName>
    <definedName name="_xlpm.year_steps_for_" hidden="1" xlm="1">#NAME?</definedName>
    <definedName name="_xlpm.year_steps_for_w" hidden="1" xlm="1">#NAME?</definedName>
    <definedName name="_xlpm.year_steps_for_we" hidden="1" xlm="1">#NAME?</definedName>
    <definedName name="_xlpm.year_steps_for_wee" hidden="1" xlm="1">#NAME?</definedName>
    <definedName name="_xlpm.year_steps_for_week" hidden="1" xlm="1">#NAME?</definedName>
    <definedName name="_xlpm.year_steps_for_weeks" hidden="1" xlm="1">#NAME?</definedName>
    <definedName name="CurrentDueDate">_xlfn.LAMBDA(_xlpm.account,VLOOKUP(_xlpm.account,'Credit Cards'!$B:$I,MATCH("Current (T) Due Date",'Credit Cards'!$B$3:$I$3,0),0))</definedName>
    <definedName name="CurrentPayment">_xlfn.LAMBDA(_xlpm.account,VLOOKUP(_xlpm.account,'Credit Cards'!$B:$I,MATCH("Current (T) Payment",'Credit Cards'!$B$3:$I$3,0),0))</definedName>
    <definedName name="EndDayOfCurrentMonth">DAY(EOMONTH(TODAY(),0))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NextDueDate">_xlfn.LAMBDA(_xlpm.account,VLOOKUP(_xlpm.account,'Credit Cards'!$B:$I,MATCH("T+1 Due Date",'Credit Cards'!$B$3:$I$3,0),0))</definedName>
    <definedName name="NextPayment">_xlfn.LAMBDA(_xlpm.account,VLOOKUP(_xlpm.account,'Credit Cards'!$B:$I,MATCH("T+1 Payment",'Credit Cards'!$B$3:$I$3,0),0))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65" l="1"/>
  <c r="D4" i="65"/>
  <c r="E4" i="65"/>
  <c r="F4" i="65"/>
  <c r="G4" i="65"/>
  <c r="I4" i="65"/>
  <c r="J4" i="65"/>
  <c r="K4" i="65"/>
  <c r="L4" i="65"/>
  <c r="Q4" i="65"/>
  <c r="T4" i="65"/>
  <c r="V4" i="65"/>
  <c r="Z4" i="65"/>
  <c r="AA4" i="65"/>
  <c r="C5" i="65"/>
  <c r="D5" i="65"/>
  <c r="E5" i="65"/>
  <c r="F5" i="65"/>
  <c r="G5" i="65"/>
  <c r="I5" i="65"/>
  <c r="J5" i="65"/>
  <c r="K5" i="65"/>
  <c r="L5" i="65"/>
  <c r="Q5" i="65"/>
  <c r="T5" i="65"/>
  <c r="V5" i="65"/>
  <c r="Z5" i="65"/>
  <c r="AA5" i="65"/>
  <c r="C6" i="65"/>
  <c r="D6" i="65"/>
  <c r="E6" i="65"/>
  <c r="F6" i="65"/>
  <c r="G6" i="65"/>
  <c r="I6" i="65"/>
  <c r="J6" i="65"/>
  <c r="K6" i="65"/>
  <c r="L6" i="65"/>
  <c r="Q6" i="65"/>
  <c r="T6" i="65"/>
  <c r="V6" i="65"/>
  <c r="Z6" i="65"/>
  <c r="AA6" i="65"/>
  <c r="C7" i="65"/>
  <c r="D7" i="65"/>
  <c r="E7" i="65"/>
  <c r="F7" i="65"/>
  <c r="G7" i="65"/>
  <c r="I7" i="65"/>
  <c r="J7" i="65"/>
  <c r="K7" i="65"/>
  <c r="L7" i="65"/>
  <c r="Q7" i="65"/>
  <c r="T7" i="65"/>
  <c r="V7" i="65"/>
  <c r="Z7" i="65"/>
  <c r="AA7" i="65"/>
  <c r="C8" i="65"/>
  <c r="D8" i="65"/>
  <c r="E8" i="65"/>
  <c r="F8" i="65"/>
  <c r="G8" i="65"/>
  <c r="I8" i="65"/>
  <c r="J8" i="65"/>
  <c r="K8" i="65"/>
  <c r="L8" i="65"/>
  <c r="Q8" i="65"/>
  <c r="T8" i="65"/>
  <c r="V8" i="65"/>
  <c r="Z8" i="65"/>
  <c r="AA8" i="65"/>
  <c r="C9" i="65"/>
  <c r="D9" i="65"/>
  <c r="E9" i="65"/>
  <c r="F9" i="65"/>
  <c r="G9" i="65"/>
  <c r="I9" i="65"/>
  <c r="J9" i="65"/>
  <c r="K9" i="65"/>
  <c r="L9" i="65"/>
  <c r="Q9" i="65"/>
  <c r="T9" i="65"/>
  <c r="V9" i="65"/>
  <c r="Z9" i="65"/>
  <c r="AA9" i="65"/>
  <c r="C10" i="65"/>
  <c r="D10" i="65"/>
  <c r="E10" i="65"/>
  <c r="F10" i="65"/>
  <c r="G10" i="65"/>
  <c r="I10" i="65"/>
  <c r="J10" i="65"/>
  <c r="K10" i="65"/>
  <c r="L10" i="65"/>
  <c r="Q10" i="65"/>
  <c r="T10" i="65"/>
  <c r="V10" i="65"/>
  <c r="Z10" i="65"/>
  <c r="AA10" i="65"/>
  <c r="C11" i="65"/>
  <c r="D11" i="65"/>
  <c r="E11" i="65"/>
  <c r="F11" i="65"/>
  <c r="G11" i="65"/>
  <c r="I11" i="65"/>
  <c r="J11" i="65"/>
  <c r="K11" i="65"/>
  <c r="L11" i="65"/>
  <c r="Q11" i="65"/>
  <c r="T11" i="65"/>
  <c r="V11" i="65"/>
  <c r="Z11" i="65"/>
  <c r="AA11" i="65"/>
  <c r="C12" i="65"/>
  <c r="D12" i="65"/>
  <c r="E12" i="65"/>
  <c r="F12" i="65"/>
  <c r="G12" i="65"/>
  <c r="I12" i="65"/>
  <c r="J12" i="65"/>
  <c r="K12" i="65"/>
  <c r="L12" i="65"/>
  <c r="Q12" i="65"/>
  <c r="T12" i="65"/>
  <c r="V12" i="65"/>
  <c r="Z12" i="65"/>
  <c r="AA12" i="65"/>
  <c r="C13" i="65"/>
  <c r="D13" i="65"/>
  <c r="E13" i="65"/>
  <c r="F13" i="65"/>
  <c r="G13" i="65"/>
  <c r="I13" i="65"/>
  <c r="J13" i="65"/>
  <c r="K13" i="65"/>
  <c r="L13" i="65"/>
  <c r="Q13" i="65"/>
  <c r="T13" i="65"/>
  <c r="V13" i="65"/>
  <c r="Z13" i="65"/>
  <c r="AA13" i="65"/>
  <c r="C14" i="65"/>
  <c r="D14" i="65"/>
  <c r="E14" i="65"/>
  <c r="F14" i="65"/>
  <c r="G14" i="65"/>
  <c r="I14" i="65"/>
  <c r="J14" i="65"/>
  <c r="K14" i="65"/>
  <c r="L14" i="65"/>
  <c r="Q14" i="65"/>
  <c r="T14" i="65"/>
  <c r="V14" i="65"/>
  <c r="Z14" i="65"/>
  <c r="AA14" i="65"/>
  <c r="C15" i="65"/>
  <c r="D15" i="65"/>
  <c r="E15" i="65"/>
  <c r="F15" i="65"/>
  <c r="G15" i="65"/>
  <c r="I15" i="65"/>
  <c r="J15" i="65"/>
  <c r="K15" i="65"/>
  <c r="L15" i="65"/>
  <c r="Q15" i="65"/>
  <c r="T15" i="65"/>
  <c r="V15" i="65"/>
  <c r="Z15" i="65"/>
  <c r="AA15" i="65"/>
  <c r="C16" i="65"/>
  <c r="D16" i="65"/>
  <c r="E16" i="65"/>
  <c r="F16" i="65"/>
  <c r="G16" i="65"/>
  <c r="I16" i="65"/>
  <c r="J16" i="65"/>
  <c r="K16" i="65"/>
  <c r="L16" i="65"/>
  <c r="Q16" i="65"/>
  <c r="T16" i="65"/>
  <c r="V16" i="65"/>
  <c r="Z16" i="65"/>
  <c r="AA16" i="65"/>
  <c r="C17" i="65"/>
  <c r="D17" i="65"/>
  <c r="E17" i="65"/>
  <c r="F17" i="65"/>
  <c r="G17" i="65"/>
  <c r="I17" i="65"/>
  <c r="J17" i="65"/>
  <c r="K17" i="65"/>
  <c r="L17" i="65"/>
  <c r="Q17" i="65"/>
  <c r="T17" i="65"/>
  <c r="V17" i="65"/>
  <c r="Z17" i="65"/>
  <c r="AA17" i="65"/>
  <c r="C18" i="65"/>
  <c r="D18" i="65"/>
  <c r="E18" i="65"/>
  <c r="F18" i="65"/>
  <c r="G18" i="65"/>
  <c r="I18" i="65"/>
  <c r="J18" i="65"/>
  <c r="K18" i="65"/>
  <c r="L18" i="65"/>
  <c r="Q18" i="65"/>
  <c r="T18" i="65"/>
  <c r="V18" i="65"/>
  <c r="Z18" i="65"/>
  <c r="AA18" i="65"/>
  <c r="C19" i="65"/>
  <c r="D19" i="65"/>
  <c r="E19" i="65"/>
  <c r="F19" i="65"/>
  <c r="G19" i="65"/>
  <c r="I19" i="65"/>
  <c r="J19" i="65"/>
  <c r="K19" i="65"/>
  <c r="L19" i="65"/>
  <c r="Q19" i="65"/>
  <c r="T19" i="65"/>
  <c r="V19" i="65"/>
  <c r="Z19" i="65"/>
  <c r="AA19" i="65"/>
  <c r="C20" i="65"/>
  <c r="D20" i="65"/>
  <c r="E20" i="65"/>
  <c r="F20" i="65"/>
  <c r="G20" i="65"/>
  <c r="I20" i="65"/>
  <c r="J20" i="65"/>
  <c r="K20" i="65"/>
  <c r="L20" i="65"/>
  <c r="Q20" i="65"/>
  <c r="T20" i="65"/>
  <c r="V20" i="65"/>
  <c r="Z20" i="65"/>
  <c r="AA20" i="65"/>
  <c r="C21" i="65"/>
  <c r="D21" i="65"/>
  <c r="E21" i="65"/>
  <c r="F21" i="65"/>
  <c r="G21" i="65"/>
  <c r="I21" i="65"/>
  <c r="J21" i="65"/>
  <c r="K21" i="65"/>
  <c r="L21" i="65"/>
  <c r="Q21" i="65"/>
  <c r="T21" i="65"/>
  <c r="V21" i="65"/>
  <c r="Z21" i="65"/>
  <c r="AA21" i="65"/>
  <c r="C22" i="65"/>
  <c r="D22" i="65"/>
  <c r="E22" i="65"/>
  <c r="F22" i="65"/>
  <c r="G22" i="65"/>
  <c r="I22" i="65"/>
  <c r="J22" i="65"/>
  <c r="K22" i="65"/>
  <c r="L22" i="65"/>
  <c r="Q22" i="65"/>
  <c r="T22" i="65"/>
  <c r="V22" i="65"/>
  <c r="Z22" i="65"/>
  <c r="AA22" i="65"/>
  <c r="C23" i="65"/>
  <c r="D23" i="65"/>
  <c r="E23" i="65"/>
  <c r="F23" i="65"/>
  <c r="G23" i="65"/>
  <c r="I23" i="65"/>
  <c r="J23" i="65"/>
  <c r="K23" i="65"/>
  <c r="L23" i="65"/>
  <c r="Q23" i="65"/>
  <c r="T23" i="65"/>
  <c r="V23" i="65"/>
  <c r="Z23" i="65"/>
  <c r="AA23" i="65"/>
  <c r="C24" i="65"/>
  <c r="D24" i="65"/>
  <c r="E24" i="65"/>
  <c r="F24" i="65"/>
  <c r="G24" i="65"/>
  <c r="I24" i="65"/>
  <c r="J24" i="65"/>
  <c r="K24" i="65"/>
  <c r="L24" i="65"/>
  <c r="Q24" i="65"/>
  <c r="T24" i="65"/>
  <c r="V24" i="65"/>
  <c r="Z24" i="65"/>
  <c r="AA24" i="65"/>
  <c r="C25" i="65"/>
  <c r="D25" i="65"/>
  <c r="E25" i="65"/>
  <c r="F25" i="65"/>
  <c r="G25" i="65"/>
  <c r="I25" i="65"/>
  <c r="J25" i="65"/>
  <c r="K25" i="65"/>
  <c r="L25" i="65"/>
  <c r="Q25" i="65"/>
  <c r="T25" i="65"/>
  <c r="V25" i="65"/>
  <c r="Z25" i="65"/>
  <c r="AA25" i="65"/>
  <c r="C26" i="65"/>
  <c r="D26" i="65"/>
  <c r="E26" i="65"/>
  <c r="F26" i="65"/>
  <c r="G26" i="65"/>
  <c r="I26" i="65"/>
  <c r="J26" i="65"/>
  <c r="K26" i="65"/>
  <c r="L26" i="65"/>
  <c r="Q26" i="65"/>
  <c r="T26" i="65"/>
  <c r="V26" i="65"/>
  <c r="Z26" i="65"/>
  <c r="AA26" i="65"/>
  <c r="C27" i="65"/>
  <c r="D27" i="65"/>
  <c r="E27" i="65"/>
  <c r="F27" i="65"/>
  <c r="G27" i="65"/>
  <c r="I27" i="65"/>
  <c r="J27" i="65"/>
  <c r="K27" i="65"/>
  <c r="L27" i="65"/>
  <c r="Q27" i="65"/>
  <c r="T27" i="65"/>
  <c r="V27" i="65"/>
  <c r="Z27" i="65"/>
  <c r="AA27" i="65"/>
  <c r="C28" i="65"/>
  <c r="D28" i="65"/>
  <c r="E28" i="65"/>
  <c r="F28" i="65"/>
  <c r="G28" i="65"/>
  <c r="I28" i="65"/>
  <c r="J28" i="65"/>
  <c r="K28" i="65"/>
  <c r="L28" i="65"/>
  <c r="Q28" i="65"/>
  <c r="T28" i="65"/>
  <c r="V28" i="65"/>
  <c r="Z28" i="65"/>
  <c r="AA28" i="65"/>
  <c r="C29" i="65"/>
  <c r="D29" i="65"/>
  <c r="E29" i="65"/>
  <c r="F29" i="65"/>
  <c r="G29" i="65"/>
  <c r="I29" i="65"/>
  <c r="J29" i="65"/>
  <c r="K29" i="65"/>
  <c r="L29" i="65"/>
  <c r="Q29" i="65"/>
  <c r="T29" i="65"/>
  <c r="V29" i="65"/>
  <c r="Z29" i="65"/>
  <c r="AA29" i="65"/>
  <c r="C30" i="65"/>
  <c r="D30" i="65"/>
  <c r="E30" i="65"/>
  <c r="F30" i="65"/>
  <c r="G30" i="65"/>
  <c r="I30" i="65"/>
  <c r="J30" i="65"/>
  <c r="K30" i="65"/>
  <c r="L30" i="65"/>
  <c r="Q30" i="65"/>
  <c r="T30" i="65"/>
  <c r="V30" i="65"/>
  <c r="Z30" i="65"/>
  <c r="AA30" i="65"/>
  <c r="C31" i="65"/>
  <c r="D31" i="65"/>
  <c r="E31" i="65"/>
  <c r="F31" i="65"/>
  <c r="G31" i="65"/>
  <c r="I31" i="65"/>
  <c r="J31" i="65"/>
  <c r="K31" i="65"/>
  <c r="L31" i="65"/>
  <c r="Q31" i="65"/>
  <c r="T31" i="65"/>
  <c r="V31" i="65"/>
  <c r="Z31" i="65"/>
  <c r="AA31" i="65"/>
  <c r="C32" i="65"/>
  <c r="D32" i="65"/>
  <c r="E32" i="65"/>
  <c r="F32" i="65"/>
  <c r="G32" i="65"/>
  <c r="I32" i="65"/>
  <c r="J32" i="65"/>
  <c r="K32" i="65"/>
  <c r="L32" i="65"/>
  <c r="Q32" i="65"/>
  <c r="T32" i="65"/>
  <c r="V32" i="65"/>
  <c r="Z32" i="65"/>
  <c r="AA32" i="65"/>
  <c r="C33" i="65"/>
  <c r="D33" i="65"/>
  <c r="E33" i="65"/>
  <c r="F33" i="65"/>
  <c r="G33" i="65"/>
  <c r="I33" i="65"/>
  <c r="J33" i="65"/>
  <c r="K33" i="65"/>
  <c r="L33" i="65"/>
  <c r="Q33" i="65"/>
  <c r="T33" i="65"/>
  <c r="V33" i="65"/>
  <c r="Z33" i="65"/>
  <c r="AA33" i="65"/>
  <c r="C34" i="65"/>
  <c r="D34" i="65"/>
  <c r="E34" i="65"/>
  <c r="F34" i="65"/>
  <c r="G34" i="65"/>
  <c r="I34" i="65"/>
  <c r="J34" i="65"/>
  <c r="K34" i="65"/>
  <c r="L34" i="65"/>
  <c r="Q34" i="65"/>
  <c r="T34" i="65"/>
  <c r="V34" i="65"/>
  <c r="Z34" i="65"/>
  <c r="AA34" i="65"/>
  <c r="C35" i="65"/>
  <c r="D35" i="65"/>
  <c r="E35" i="65"/>
  <c r="F35" i="65"/>
  <c r="G35" i="65"/>
  <c r="I35" i="65"/>
  <c r="J35" i="65"/>
  <c r="K35" i="65"/>
  <c r="L35" i="65"/>
  <c r="Q35" i="65"/>
  <c r="T35" i="65"/>
  <c r="V35" i="65"/>
  <c r="Z35" i="65"/>
  <c r="AA35" i="65"/>
  <c r="C36" i="65"/>
  <c r="D36" i="65"/>
  <c r="E36" i="65"/>
  <c r="F36" i="65"/>
  <c r="G36" i="65"/>
  <c r="I36" i="65"/>
  <c r="J36" i="65"/>
  <c r="K36" i="65"/>
  <c r="L36" i="65"/>
  <c r="Q36" i="65"/>
  <c r="T36" i="65"/>
  <c r="V36" i="65"/>
  <c r="Z36" i="65"/>
  <c r="AA36" i="65"/>
  <c r="C37" i="65"/>
  <c r="D37" i="65"/>
  <c r="E37" i="65"/>
  <c r="F37" i="65"/>
  <c r="G37" i="65"/>
  <c r="I37" i="65"/>
  <c r="J37" i="65"/>
  <c r="K37" i="65"/>
  <c r="L37" i="65"/>
  <c r="Q37" i="65"/>
  <c r="T37" i="65"/>
  <c r="V37" i="65"/>
  <c r="Z37" i="65"/>
  <c r="AA37" i="65"/>
  <c r="C38" i="65"/>
  <c r="D38" i="65"/>
  <c r="E38" i="65"/>
  <c r="F38" i="65"/>
  <c r="G38" i="65"/>
  <c r="I38" i="65"/>
  <c r="J38" i="65"/>
  <c r="K38" i="65"/>
  <c r="L38" i="65"/>
  <c r="Q38" i="65"/>
  <c r="T38" i="65"/>
  <c r="V38" i="65"/>
  <c r="Z38" i="65"/>
  <c r="AA38" i="65"/>
  <c r="C39" i="65"/>
  <c r="D39" i="65"/>
  <c r="E39" i="65"/>
  <c r="F39" i="65"/>
  <c r="G39" i="65"/>
  <c r="I39" i="65"/>
  <c r="J39" i="65"/>
  <c r="K39" i="65"/>
  <c r="L39" i="65"/>
  <c r="Q39" i="65"/>
  <c r="T39" i="65"/>
  <c r="V39" i="65"/>
  <c r="Z39" i="65"/>
  <c r="AA39" i="65"/>
  <c r="C40" i="65"/>
  <c r="D40" i="65"/>
  <c r="E40" i="65"/>
  <c r="F40" i="65"/>
  <c r="G40" i="65"/>
  <c r="I40" i="65"/>
  <c r="J40" i="65"/>
  <c r="K40" i="65"/>
  <c r="L40" i="65"/>
  <c r="Q40" i="65"/>
  <c r="T40" i="65"/>
  <c r="V40" i="65"/>
  <c r="Z40" i="65"/>
  <c r="AA40" i="65"/>
  <c r="C41" i="65"/>
  <c r="D41" i="65"/>
  <c r="E41" i="65"/>
  <c r="F41" i="65"/>
  <c r="G41" i="65"/>
  <c r="I41" i="65"/>
  <c r="J41" i="65"/>
  <c r="K41" i="65"/>
  <c r="L41" i="65"/>
  <c r="Q41" i="65"/>
  <c r="T41" i="65"/>
  <c r="V41" i="65"/>
  <c r="Z41" i="65"/>
  <c r="AA41" i="65"/>
  <c r="C42" i="65"/>
  <c r="D42" i="65"/>
  <c r="E42" i="65"/>
  <c r="F42" i="65"/>
  <c r="G42" i="65"/>
  <c r="I42" i="65"/>
  <c r="J42" i="65"/>
  <c r="K42" i="65"/>
  <c r="L42" i="65"/>
  <c r="Q42" i="65"/>
  <c r="T42" i="65"/>
  <c r="V42" i="65"/>
  <c r="Z42" i="65"/>
  <c r="AA42" i="65"/>
  <c r="C43" i="65"/>
  <c r="D43" i="65"/>
  <c r="E43" i="65"/>
  <c r="F43" i="65"/>
  <c r="G43" i="65"/>
  <c r="I43" i="65"/>
  <c r="J43" i="65"/>
  <c r="K43" i="65"/>
  <c r="L43" i="65"/>
  <c r="Q43" i="65"/>
  <c r="T43" i="65"/>
  <c r="V43" i="65"/>
  <c r="Z43" i="65"/>
  <c r="AA43" i="65"/>
  <c r="C44" i="65"/>
  <c r="D44" i="65"/>
  <c r="E44" i="65"/>
  <c r="F44" i="65"/>
  <c r="G44" i="65"/>
  <c r="I44" i="65"/>
  <c r="J44" i="65"/>
  <c r="K44" i="65"/>
  <c r="L44" i="65"/>
  <c r="Q44" i="65"/>
  <c r="T44" i="65"/>
  <c r="V44" i="65"/>
  <c r="Z44" i="65"/>
  <c r="AA44" i="65"/>
  <c r="C45" i="65"/>
  <c r="D45" i="65"/>
  <c r="E45" i="65"/>
  <c r="F45" i="65"/>
  <c r="G45" i="65"/>
  <c r="I45" i="65"/>
  <c r="J45" i="65"/>
  <c r="K45" i="65"/>
  <c r="L45" i="65"/>
  <c r="Q45" i="65"/>
  <c r="T45" i="65"/>
  <c r="V45" i="65"/>
  <c r="Z45" i="65"/>
  <c r="AA45" i="65"/>
  <c r="C46" i="65"/>
  <c r="D46" i="65"/>
  <c r="E46" i="65"/>
  <c r="F46" i="65"/>
  <c r="G46" i="65"/>
  <c r="I46" i="65"/>
  <c r="J46" i="65"/>
  <c r="K46" i="65"/>
  <c r="L46" i="65"/>
  <c r="Q46" i="65"/>
  <c r="T46" i="65"/>
  <c r="V46" i="65"/>
  <c r="Z46" i="65"/>
  <c r="AA46" i="65"/>
  <c r="C47" i="65"/>
  <c r="D47" i="65"/>
  <c r="E47" i="65"/>
  <c r="F47" i="65"/>
  <c r="G47" i="65"/>
  <c r="I47" i="65"/>
  <c r="J47" i="65"/>
  <c r="K47" i="65"/>
  <c r="L47" i="65"/>
  <c r="Q47" i="65"/>
  <c r="T47" i="65"/>
  <c r="V47" i="65"/>
  <c r="Z47" i="65"/>
  <c r="AA47" i="65"/>
  <c r="C48" i="65"/>
  <c r="D48" i="65"/>
  <c r="E48" i="65"/>
  <c r="F48" i="65"/>
  <c r="G48" i="65"/>
  <c r="I48" i="65"/>
  <c r="J48" i="65"/>
  <c r="K48" i="65"/>
  <c r="L48" i="65"/>
  <c r="Q48" i="65"/>
  <c r="T48" i="65"/>
  <c r="V48" i="65"/>
  <c r="Z48" i="65"/>
  <c r="AA48" i="65"/>
  <c r="C49" i="65"/>
  <c r="D49" i="65"/>
  <c r="E49" i="65"/>
  <c r="F49" i="65"/>
  <c r="G49" i="65"/>
  <c r="I49" i="65"/>
  <c r="J49" i="65"/>
  <c r="K49" i="65"/>
  <c r="L49" i="65"/>
  <c r="Q49" i="65"/>
  <c r="T49" i="65"/>
  <c r="V49" i="65"/>
  <c r="Z49" i="65"/>
  <c r="AA49" i="65"/>
  <c r="C50" i="65"/>
  <c r="D50" i="65"/>
  <c r="E50" i="65"/>
  <c r="F50" i="65"/>
  <c r="G50" i="65"/>
  <c r="I50" i="65"/>
  <c r="J50" i="65"/>
  <c r="K50" i="65"/>
  <c r="L50" i="65"/>
  <c r="Q50" i="65"/>
  <c r="T50" i="65"/>
  <c r="V50" i="65"/>
  <c r="Z50" i="65"/>
  <c r="AA50" i="65"/>
  <c r="C51" i="65"/>
  <c r="D51" i="65"/>
  <c r="E51" i="65"/>
  <c r="F51" i="65"/>
  <c r="G51" i="65"/>
  <c r="I51" i="65"/>
  <c r="J51" i="65"/>
  <c r="K51" i="65"/>
  <c r="L51" i="65"/>
  <c r="Q51" i="65"/>
  <c r="T51" i="65"/>
  <c r="V51" i="65"/>
  <c r="Z51" i="65"/>
  <c r="AA51" i="65"/>
  <c r="C52" i="65"/>
  <c r="D52" i="65"/>
  <c r="E52" i="65"/>
  <c r="F52" i="65"/>
  <c r="G52" i="65"/>
  <c r="I52" i="65"/>
  <c r="J52" i="65"/>
  <c r="K52" i="65"/>
  <c r="L52" i="65"/>
  <c r="Q52" i="65"/>
  <c r="T52" i="65"/>
  <c r="V52" i="65"/>
  <c r="Z52" i="65"/>
  <c r="AA52" i="65"/>
  <c r="C53" i="65"/>
  <c r="D53" i="65"/>
  <c r="E53" i="65"/>
  <c r="F53" i="65"/>
  <c r="G53" i="65"/>
  <c r="I53" i="65"/>
  <c r="J53" i="65"/>
  <c r="K53" i="65"/>
  <c r="L53" i="65"/>
  <c r="Q53" i="65"/>
  <c r="T53" i="65"/>
  <c r="V53" i="65"/>
  <c r="Z53" i="65"/>
  <c r="AA53" i="65"/>
  <c r="C54" i="65"/>
  <c r="D54" i="65"/>
  <c r="E54" i="65"/>
  <c r="F54" i="65"/>
  <c r="G54" i="65"/>
  <c r="I54" i="65"/>
  <c r="J54" i="65"/>
  <c r="K54" i="65"/>
  <c r="L54" i="65"/>
  <c r="Q54" i="65"/>
  <c r="T54" i="65"/>
  <c r="V54" i="65"/>
  <c r="Z54" i="65"/>
  <c r="AA54" i="65"/>
  <c r="C55" i="65"/>
  <c r="D55" i="65"/>
  <c r="E55" i="65"/>
  <c r="F55" i="65"/>
  <c r="G55" i="65"/>
  <c r="I55" i="65"/>
  <c r="J55" i="65"/>
  <c r="K55" i="65"/>
  <c r="L55" i="65"/>
  <c r="Q55" i="65"/>
  <c r="T55" i="65"/>
  <c r="V55" i="65"/>
  <c r="Z55" i="65"/>
  <c r="AA55" i="65"/>
  <c r="C56" i="65"/>
  <c r="D56" i="65"/>
  <c r="E56" i="65"/>
  <c r="F56" i="65"/>
  <c r="G56" i="65"/>
  <c r="I56" i="65"/>
  <c r="J56" i="65"/>
  <c r="K56" i="65"/>
  <c r="L56" i="65"/>
  <c r="Q56" i="65"/>
  <c r="T56" i="65"/>
  <c r="V56" i="65"/>
  <c r="Z56" i="65"/>
  <c r="AA56" i="65"/>
  <c r="C57" i="65"/>
  <c r="D57" i="65"/>
  <c r="E57" i="65"/>
  <c r="F57" i="65"/>
  <c r="G57" i="65"/>
  <c r="I57" i="65"/>
  <c r="J57" i="65"/>
  <c r="K57" i="65"/>
  <c r="L57" i="65"/>
  <c r="Q57" i="65"/>
  <c r="T57" i="65"/>
  <c r="V57" i="65"/>
  <c r="Z57" i="65"/>
  <c r="AA57" i="65"/>
  <c r="C58" i="65"/>
  <c r="D58" i="65"/>
  <c r="E58" i="65"/>
  <c r="F58" i="65"/>
  <c r="G58" i="65"/>
  <c r="I58" i="65"/>
  <c r="J58" i="65"/>
  <c r="K58" i="65"/>
  <c r="L58" i="65"/>
  <c r="Q58" i="65"/>
  <c r="T58" i="65"/>
  <c r="V58" i="65"/>
  <c r="Z58" i="65"/>
  <c r="AA58" i="65"/>
  <c r="C59" i="65"/>
  <c r="D59" i="65"/>
  <c r="E59" i="65"/>
  <c r="F59" i="65"/>
  <c r="G59" i="65"/>
  <c r="I59" i="65"/>
  <c r="J59" i="65"/>
  <c r="K59" i="65"/>
  <c r="L59" i="65"/>
  <c r="Q59" i="65"/>
  <c r="T59" i="65"/>
  <c r="V59" i="65"/>
  <c r="Z59" i="65"/>
  <c r="AA59" i="65"/>
  <c r="C60" i="65"/>
  <c r="D60" i="65"/>
  <c r="E60" i="65"/>
  <c r="F60" i="65"/>
  <c r="G60" i="65"/>
  <c r="I60" i="65"/>
  <c r="J60" i="65"/>
  <c r="K60" i="65"/>
  <c r="L60" i="65"/>
  <c r="Q60" i="65"/>
  <c r="T60" i="65"/>
  <c r="V60" i="65"/>
  <c r="Z60" i="65"/>
  <c r="AA60" i="65"/>
  <c r="C61" i="65"/>
  <c r="D61" i="65"/>
  <c r="E61" i="65"/>
  <c r="F61" i="65"/>
  <c r="G61" i="65"/>
  <c r="I61" i="65"/>
  <c r="J61" i="65"/>
  <c r="K61" i="65"/>
  <c r="L61" i="65"/>
  <c r="Q61" i="65"/>
  <c r="T61" i="65"/>
  <c r="V61" i="65"/>
  <c r="Z61" i="65"/>
  <c r="AA61" i="65"/>
  <c r="C62" i="65"/>
  <c r="D62" i="65"/>
  <c r="E62" i="65"/>
  <c r="F62" i="65"/>
  <c r="G62" i="65"/>
  <c r="I62" i="65"/>
  <c r="J62" i="65"/>
  <c r="K62" i="65"/>
  <c r="L62" i="65"/>
  <c r="Q62" i="65"/>
  <c r="T62" i="65"/>
  <c r="V62" i="65"/>
  <c r="Z62" i="65"/>
  <c r="AA62" i="65"/>
  <c r="C63" i="65"/>
  <c r="D63" i="65"/>
  <c r="E63" i="65"/>
  <c r="F63" i="65"/>
  <c r="G63" i="65"/>
  <c r="I63" i="65"/>
  <c r="J63" i="65"/>
  <c r="K63" i="65"/>
  <c r="L63" i="65"/>
  <c r="Q63" i="65"/>
  <c r="T63" i="65"/>
  <c r="V63" i="65"/>
  <c r="Z63" i="65"/>
  <c r="AA63" i="65"/>
  <c r="C64" i="65"/>
  <c r="D64" i="65"/>
  <c r="E64" i="65"/>
  <c r="F64" i="65"/>
  <c r="G64" i="65"/>
  <c r="I64" i="65"/>
  <c r="J64" i="65"/>
  <c r="K64" i="65"/>
  <c r="L64" i="65"/>
  <c r="Q64" i="65"/>
  <c r="T64" i="65"/>
  <c r="V64" i="65"/>
  <c r="Z64" i="65"/>
  <c r="AA64" i="65"/>
  <c r="C65" i="65"/>
  <c r="D65" i="65"/>
  <c r="E65" i="65"/>
  <c r="F65" i="65"/>
  <c r="G65" i="65"/>
  <c r="I65" i="65"/>
  <c r="J65" i="65"/>
  <c r="K65" i="65"/>
  <c r="L65" i="65"/>
  <c r="Q65" i="65"/>
  <c r="T65" i="65"/>
  <c r="V65" i="65"/>
  <c r="Z65" i="65"/>
  <c r="AA65" i="65"/>
  <c r="C66" i="65"/>
  <c r="D66" i="65"/>
  <c r="E66" i="65"/>
  <c r="F66" i="65"/>
  <c r="G66" i="65"/>
  <c r="I66" i="65"/>
  <c r="J66" i="65"/>
  <c r="K66" i="65"/>
  <c r="L66" i="65"/>
  <c r="Q66" i="65"/>
  <c r="T66" i="65"/>
  <c r="V66" i="65"/>
  <c r="Z66" i="65"/>
  <c r="AA66" i="65"/>
  <c r="C67" i="65"/>
  <c r="D67" i="65"/>
  <c r="E67" i="65"/>
  <c r="F67" i="65"/>
  <c r="G67" i="65"/>
  <c r="I67" i="65"/>
  <c r="J67" i="65"/>
  <c r="K67" i="65"/>
  <c r="L67" i="65"/>
  <c r="Q67" i="65"/>
  <c r="T67" i="65"/>
  <c r="V67" i="65"/>
  <c r="Z67" i="65"/>
  <c r="AA67" i="65"/>
  <c r="C68" i="65"/>
  <c r="D68" i="65"/>
  <c r="E68" i="65"/>
  <c r="F68" i="65"/>
  <c r="G68" i="65"/>
  <c r="I68" i="65"/>
  <c r="J68" i="65"/>
  <c r="K68" i="65"/>
  <c r="L68" i="65"/>
  <c r="Q68" i="65"/>
  <c r="T68" i="65"/>
  <c r="V68" i="65"/>
  <c r="Z68" i="65"/>
  <c r="AA68" i="65"/>
  <c r="C69" i="65"/>
  <c r="D69" i="65"/>
  <c r="E69" i="65"/>
  <c r="F69" i="65"/>
  <c r="G69" i="65"/>
  <c r="I69" i="65"/>
  <c r="J69" i="65"/>
  <c r="K69" i="65"/>
  <c r="L69" i="65"/>
  <c r="Q69" i="65"/>
  <c r="T69" i="65"/>
  <c r="V69" i="65"/>
  <c r="Z69" i="65"/>
  <c r="AA69" i="65"/>
  <c r="C70" i="65"/>
  <c r="D70" i="65"/>
  <c r="E70" i="65"/>
  <c r="F70" i="65"/>
  <c r="G70" i="65"/>
  <c r="I70" i="65"/>
  <c r="J70" i="65"/>
  <c r="K70" i="65"/>
  <c r="L70" i="65"/>
  <c r="Q70" i="65"/>
  <c r="T70" i="65"/>
  <c r="V70" i="65"/>
  <c r="Z70" i="65"/>
  <c r="AA70" i="65"/>
  <c r="C71" i="65"/>
  <c r="D71" i="65"/>
  <c r="E71" i="65"/>
  <c r="F71" i="65"/>
  <c r="G71" i="65"/>
  <c r="I71" i="65"/>
  <c r="J71" i="65"/>
  <c r="K71" i="65"/>
  <c r="L71" i="65"/>
  <c r="Q71" i="65"/>
  <c r="T71" i="65"/>
  <c r="V71" i="65"/>
  <c r="Z71" i="65"/>
  <c r="AA71" i="65"/>
  <c r="C72" i="65"/>
  <c r="D72" i="65"/>
  <c r="E72" i="65"/>
  <c r="F72" i="65"/>
  <c r="G72" i="65"/>
  <c r="I72" i="65"/>
  <c r="J72" i="65"/>
  <c r="K72" i="65"/>
  <c r="L72" i="65"/>
  <c r="Q72" i="65"/>
  <c r="T72" i="65"/>
  <c r="V72" i="65"/>
  <c r="Z72" i="65"/>
  <c r="AA72" i="65"/>
  <c r="C73" i="65"/>
  <c r="D73" i="65"/>
  <c r="E73" i="65"/>
  <c r="F73" i="65"/>
  <c r="G73" i="65"/>
  <c r="I73" i="65"/>
  <c r="J73" i="65"/>
  <c r="K73" i="65"/>
  <c r="L73" i="65"/>
  <c r="Q73" i="65"/>
  <c r="T73" i="65"/>
  <c r="V73" i="65"/>
  <c r="Z73" i="65"/>
  <c r="AA73" i="65"/>
  <c r="C74" i="65"/>
  <c r="D74" i="65"/>
  <c r="E74" i="65"/>
  <c r="F74" i="65"/>
  <c r="G74" i="65"/>
  <c r="I74" i="65"/>
  <c r="J74" i="65"/>
  <c r="K74" i="65"/>
  <c r="L74" i="65"/>
  <c r="Q74" i="65"/>
  <c r="T74" i="65"/>
  <c r="V74" i="65"/>
  <c r="Z74" i="65"/>
  <c r="AA74" i="65"/>
  <c r="C75" i="65"/>
  <c r="D75" i="65"/>
  <c r="E75" i="65"/>
  <c r="F75" i="65"/>
  <c r="G75" i="65"/>
  <c r="I75" i="65"/>
  <c r="J75" i="65"/>
  <c r="K75" i="65"/>
  <c r="L75" i="65"/>
  <c r="Q75" i="65"/>
  <c r="T75" i="65"/>
  <c r="V75" i="65"/>
  <c r="Z75" i="65"/>
  <c r="AA75" i="65"/>
  <c r="C76" i="65"/>
  <c r="D76" i="65"/>
  <c r="E76" i="65"/>
  <c r="F76" i="65"/>
  <c r="G76" i="65"/>
  <c r="I76" i="65"/>
  <c r="J76" i="65"/>
  <c r="K76" i="65"/>
  <c r="L76" i="65"/>
  <c r="Q76" i="65"/>
  <c r="T76" i="65"/>
  <c r="V76" i="65"/>
  <c r="Z76" i="65"/>
  <c r="AA76" i="65"/>
  <c r="C77" i="65"/>
  <c r="D77" i="65"/>
  <c r="E77" i="65"/>
  <c r="F77" i="65"/>
  <c r="G77" i="65"/>
  <c r="I77" i="65"/>
  <c r="J77" i="65"/>
  <c r="K77" i="65"/>
  <c r="L77" i="65"/>
  <c r="Q77" i="65"/>
  <c r="T77" i="65"/>
  <c r="V77" i="65"/>
  <c r="Z77" i="65"/>
  <c r="AA77" i="65"/>
  <c r="C78" i="65"/>
  <c r="D78" i="65"/>
  <c r="E78" i="65"/>
  <c r="F78" i="65"/>
  <c r="G78" i="65"/>
  <c r="I78" i="65"/>
  <c r="J78" i="65"/>
  <c r="K78" i="65"/>
  <c r="L78" i="65"/>
  <c r="Q78" i="65"/>
  <c r="T78" i="65"/>
  <c r="V78" i="65"/>
  <c r="Z78" i="65"/>
  <c r="AA78" i="65"/>
  <c r="C79" i="65"/>
  <c r="D79" i="65"/>
  <c r="E79" i="65"/>
  <c r="F79" i="65"/>
  <c r="G79" i="65"/>
  <c r="I79" i="65"/>
  <c r="J79" i="65"/>
  <c r="K79" i="65"/>
  <c r="L79" i="65"/>
  <c r="Q79" i="65"/>
  <c r="T79" i="65"/>
  <c r="V79" i="65"/>
  <c r="Z79" i="65"/>
  <c r="AA79" i="65"/>
  <c r="C80" i="65"/>
  <c r="D80" i="65"/>
  <c r="E80" i="65"/>
  <c r="F80" i="65"/>
  <c r="G80" i="65"/>
  <c r="I80" i="65"/>
  <c r="J80" i="65"/>
  <c r="K80" i="65"/>
  <c r="L80" i="65"/>
  <c r="Q80" i="65"/>
  <c r="T80" i="65"/>
  <c r="V80" i="65"/>
  <c r="Z80" i="65"/>
  <c r="AA80" i="65"/>
  <c r="C81" i="65"/>
  <c r="D81" i="65"/>
  <c r="E81" i="65"/>
  <c r="F81" i="65"/>
  <c r="G81" i="65"/>
  <c r="I81" i="65"/>
  <c r="J81" i="65"/>
  <c r="K81" i="65"/>
  <c r="L81" i="65"/>
  <c r="Q81" i="65"/>
  <c r="T81" i="65"/>
  <c r="V81" i="65"/>
  <c r="Z81" i="65"/>
  <c r="AA81" i="65"/>
  <c r="C82" i="65"/>
  <c r="D82" i="65"/>
  <c r="E82" i="65"/>
  <c r="F82" i="65"/>
  <c r="G82" i="65"/>
  <c r="I82" i="65"/>
  <c r="J82" i="65"/>
  <c r="K82" i="65"/>
  <c r="L82" i="65"/>
  <c r="Q82" i="65"/>
  <c r="T82" i="65"/>
  <c r="V82" i="65"/>
  <c r="Z82" i="65"/>
  <c r="AA82" i="65"/>
  <c r="C83" i="65"/>
  <c r="D83" i="65"/>
  <c r="E83" i="65"/>
  <c r="F83" i="65"/>
  <c r="G83" i="65"/>
  <c r="I83" i="65"/>
  <c r="J83" i="65"/>
  <c r="K83" i="65"/>
  <c r="L83" i="65"/>
  <c r="Q83" i="65"/>
  <c r="T83" i="65"/>
  <c r="V83" i="65"/>
  <c r="Z83" i="65"/>
  <c r="AA83" i="65"/>
  <c r="C84" i="65"/>
  <c r="D84" i="65"/>
  <c r="E84" i="65"/>
  <c r="F84" i="65"/>
  <c r="G84" i="65"/>
  <c r="I84" i="65"/>
  <c r="J84" i="65"/>
  <c r="K84" i="65"/>
  <c r="L84" i="65"/>
  <c r="Q84" i="65"/>
  <c r="T84" i="65"/>
  <c r="V84" i="65"/>
  <c r="Z84" i="65"/>
  <c r="AA84" i="65"/>
  <c r="C85" i="65"/>
  <c r="D85" i="65"/>
  <c r="E85" i="65"/>
  <c r="F85" i="65"/>
  <c r="G85" i="65"/>
  <c r="I85" i="65"/>
  <c r="J85" i="65"/>
  <c r="K85" i="65"/>
  <c r="L85" i="65"/>
  <c r="Q85" i="65"/>
  <c r="T85" i="65"/>
  <c r="V85" i="65"/>
  <c r="Z85" i="65"/>
  <c r="AA85" i="65"/>
  <c r="C86" i="65"/>
  <c r="D86" i="65"/>
  <c r="E86" i="65"/>
  <c r="F86" i="65"/>
  <c r="G86" i="65"/>
  <c r="I86" i="65"/>
  <c r="J86" i="65"/>
  <c r="K86" i="65"/>
  <c r="L86" i="65"/>
  <c r="Q86" i="65"/>
  <c r="T86" i="65"/>
  <c r="V86" i="65"/>
  <c r="Z86" i="65"/>
  <c r="AA86" i="65"/>
  <c r="C87" i="65"/>
  <c r="D87" i="65"/>
  <c r="E87" i="65"/>
  <c r="F87" i="65"/>
  <c r="G87" i="65"/>
  <c r="I87" i="65"/>
  <c r="J87" i="65"/>
  <c r="K87" i="65"/>
  <c r="L87" i="65"/>
  <c r="Q87" i="65"/>
  <c r="T87" i="65"/>
  <c r="V87" i="65"/>
  <c r="Z87" i="65"/>
  <c r="AA87" i="65"/>
  <c r="C88" i="65"/>
  <c r="D88" i="65"/>
  <c r="E88" i="65"/>
  <c r="F88" i="65"/>
  <c r="G88" i="65"/>
  <c r="I88" i="65"/>
  <c r="J88" i="65"/>
  <c r="K88" i="65"/>
  <c r="L88" i="65"/>
  <c r="Q88" i="65"/>
  <c r="T88" i="65"/>
  <c r="V88" i="65"/>
  <c r="Z88" i="65"/>
  <c r="AA88" i="65"/>
  <c r="C89" i="65"/>
  <c r="D89" i="65"/>
  <c r="E89" i="65"/>
  <c r="F89" i="65"/>
  <c r="G89" i="65"/>
  <c r="I89" i="65"/>
  <c r="J89" i="65"/>
  <c r="K89" i="65"/>
  <c r="L89" i="65"/>
  <c r="Q89" i="65"/>
  <c r="T89" i="65"/>
  <c r="V89" i="65"/>
  <c r="Z89" i="65"/>
  <c r="AA89" i="65"/>
  <c r="C90" i="65"/>
  <c r="D90" i="65"/>
  <c r="E90" i="65"/>
  <c r="F90" i="65"/>
  <c r="G90" i="65"/>
  <c r="I90" i="65"/>
  <c r="J90" i="65"/>
  <c r="K90" i="65"/>
  <c r="L90" i="65"/>
  <c r="Q90" i="65"/>
  <c r="T90" i="65"/>
  <c r="V90" i="65"/>
  <c r="Z90" i="65"/>
  <c r="AA90" i="65"/>
  <c r="C91" i="65"/>
  <c r="D91" i="65"/>
  <c r="E91" i="65"/>
  <c r="F91" i="65"/>
  <c r="G91" i="65"/>
  <c r="I91" i="65"/>
  <c r="J91" i="65"/>
  <c r="K91" i="65"/>
  <c r="L91" i="65"/>
  <c r="Q91" i="65"/>
  <c r="T91" i="65"/>
  <c r="V91" i="65"/>
  <c r="Z91" i="65"/>
  <c r="AA91" i="65"/>
  <c r="C92" i="65"/>
  <c r="D92" i="65"/>
  <c r="E92" i="65"/>
  <c r="F92" i="65"/>
  <c r="G92" i="65"/>
  <c r="I92" i="65"/>
  <c r="J92" i="65"/>
  <c r="K92" i="65"/>
  <c r="L92" i="65"/>
  <c r="Q92" i="65"/>
  <c r="T92" i="65"/>
  <c r="V92" i="65"/>
  <c r="Z92" i="65"/>
  <c r="AA92" i="65"/>
  <c r="C93" i="65"/>
  <c r="D93" i="65"/>
  <c r="E93" i="65"/>
  <c r="F93" i="65"/>
  <c r="G93" i="65"/>
  <c r="I93" i="65"/>
  <c r="J93" i="65"/>
  <c r="K93" i="65"/>
  <c r="L93" i="65"/>
  <c r="Q93" i="65"/>
  <c r="T93" i="65"/>
  <c r="V93" i="65"/>
  <c r="Z93" i="65"/>
  <c r="AA93" i="65"/>
  <c r="C94" i="65"/>
  <c r="D94" i="65"/>
  <c r="E94" i="65"/>
  <c r="F94" i="65"/>
  <c r="G94" i="65"/>
  <c r="I94" i="65"/>
  <c r="J94" i="65"/>
  <c r="K94" i="65"/>
  <c r="L94" i="65"/>
  <c r="Q94" i="65"/>
  <c r="T94" i="65"/>
  <c r="V94" i="65"/>
  <c r="Z94" i="65"/>
  <c r="AA94" i="65"/>
  <c r="C95" i="65"/>
  <c r="D95" i="65"/>
  <c r="E95" i="65"/>
  <c r="F95" i="65"/>
  <c r="G95" i="65"/>
  <c r="I95" i="65"/>
  <c r="J95" i="65"/>
  <c r="K95" i="65"/>
  <c r="L95" i="65"/>
  <c r="Q95" i="65"/>
  <c r="T95" i="65"/>
  <c r="V95" i="65"/>
  <c r="Z95" i="65"/>
  <c r="AA95" i="65"/>
  <c r="C96" i="65"/>
  <c r="D96" i="65"/>
  <c r="E96" i="65"/>
  <c r="F96" i="65"/>
  <c r="G96" i="65"/>
  <c r="I96" i="65"/>
  <c r="J96" i="65"/>
  <c r="K96" i="65"/>
  <c r="L96" i="65"/>
  <c r="Q96" i="65"/>
  <c r="T96" i="65"/>
  <c r="V96" i="65"/>
  <c r="Z96" i="65"/>
  <c r="AA96" i="65"/>
  <c r="C97" i="65"/>
  <c r="D97" i="65"/>
  <c r="E97" i="65"/>
  <c r="F97" i="65"/>
  <c r="G97" i="65"/>
  <c r="I97" i="65"/>
  <c r="J97" i="65"/>
  <c r="K97" i="65"/>
  <c r="L97" i="65"/>
  <c r="Q97" i="65"/>
  <c r="T97" i="65"/>
  <c r="V97" i="65"/>
  <c r="Z97" i="65"/>
  <c r="AA97" i="65"/>
  <c r="C98" i="65"/>
  <c r="D98" i="65"/>
  <c r="E98" i="65"/>
  <c r="F98" i="65"/>
  <c r="G98" i="65"/>
  <c r="I98" i="65"/>
  <c r="J98" i="65"/>
  <c r="K98" i="65"/>
  <c r="L98" i="65"/>
  <c r="Q98" i="65"/>
  <c r="T98" i="65"/>
  <c r="V98" i="65"/>
  <c r="Z98" i="65"/>
  <c r="AA98" i="65"/>
  <c r="C99" i="65"/>
  <c r="D99" i="65"/>
  <c r="E99" i="65"/>
  <c r="F99" i="65"/>
  <c r="G99" i="65"/>
  <c r="I99" i="65"/>
  <c r="J99" i="65"/>
  <c r="K99" i="65"/>
  <c r="L99" i="65"/>
  <c r="Q99" i="65"/>
  <c r="T99" i="65"/>
  <c r="V99" i="65"/>
  <c r="Z99" i="65"/>
  <c r="AA99" i="65"/>
  <c r="C100" i="65"/>
  <c r="D100" i="65"/>
  <c r="E100" i="65"/>
  <c r="F100" i="65"/>
  <c r="G100" i="65"/>
  <c r="I100" i="65"/>
  <c r="J100" i="65"/>
  <c r="K100" i="65"/>
  <c r="L100" i="65"/>
  <c r="Q100" i="65"/>
  <c r="T100" i="65"/>
  <c r="V100" i="65"/>
  <c r="Z100" i="65"/>
  <c r="AA100" i="65"/>
  <c r="C101" i="65"/>
  <c r="D101" i="65"/>
  <c r="E101" i="65"/>
  <c r="F101" i="65"/>
  <c r="G101" i="65"/>
  <c r="I101" i="65"/>
  <c r="J101" i="65"/>
  <c r="K101" i="65"/>
  <c r="L101" i="65"/>
  <c r="Q101" i="65"/>
  <c r="T101" i="65"/>
  <c r="V101" i="65"/>
  <c r="Z101" i="65"/>
  <c r="AA101" i="65"/>
  <c r="C102" i="65"/>
  <c r="D102" i="65"/>
  <c r="E102" i="65"/>
  <c r="F102" i="65"/>
  <c r="G102" i="65"/>
  <c r="I102" i="65"/>
  <c r="J102" i="65"/>
  <c r="K102" i="65"/>
  <c r="L102" i="65"/>
  <c r="Q102" i="65"/>
  <c r="T102" i="65"/>
  <c r="V102" i="65"/>
  <c r="Z102" i="65"/>
  <c r="AA102" i="65"/>
  <c r="C103" i="65"/>
  <c r="D103" i="65"/>
  <c r="E103" i="65"/>
  <c r="F103" i="65"/>
  <c r="G103" i="65"/>
  <c r="I103" i="65"/>
  <c r="J103" i="65"/>
  <c r="K103" i="65"/>
  <c r="L103" i="65"/>
  <c r="Q103" i="65"/>
  <c r="T103" i="65"/>
  <c r="V103" i="65"/>
  <c r="Z103" i="65"/>
  <c r="AA103" i="65"/>
  <c r="C104" i="65"/>
  <c r="D104" i="65"/>
  <c r="E104" i="65"/>
  <c r="F104" i="65"/>
  <c r="G104" i="65"/>
  <c r="I104" i="65"/>
  <c r="J104" i="65"/>
  <c r="K104" i="65"/>
  <c r="L104" i="65"/>
  <c r="Q104" i="65"/>
  <c r="T104" i="65"/>
  <c r="V104" i="65"/>
  <c r="Z104" i="65"/>
  <c r="AA104" i="65"/>
  <c r="C105" i="65"/>
  <c r="D105" i="65"/>
  <c r="E105" i="65"/>
  <c r="F105" i="65"/>
  <c r="G105" i="65"/>
  <c r="I105" i="65"/>
  <c r="J105" i="65"/>
  <c r="K105" i="65"/>
  <c r="L105" i="65"/>
  <c r="Q105" i="65"/>
  <c r="T105" i="65"/>
  <c r="V105" i="65"/>
  <c r="Z105" i="65"/>
  <c r="AA105" i="65"/>
  <c r="C106" i="65"/>
  <c r="D106" i="65"/>
  <c r="E106" i="65"/>
  <c r="F106" i="65"/>
  <c r="G106" i="65"/>
  <c r="I106" i="65"/>
  <c r="J106" i="65"/>
  <c r="K106" i="65"/>
  <c r="L106" i="65"/>
  <c r="Q106" i="65"/>
  <c r="T106" i="65"/>
  <c r="V106" i="65"/>
  <c r="Z106" i="65"/>
  <c r="AA106" i="65"/>
  <c r="C107" i="65"/>
  <c r="D107" i="65"/>
  <c r="E107" i="65"/>
  <c r="F107" i="65"/>
  <c r="G107" i="65"/>
  <c r="I107" i="65"/>
  <c r="J107" i="65"/>
  <c r="K107" i="65"/>
  <c r="L107" i="65"/>
  <c r="Q107" i="65"/>
  <c r="T107" i="65"/>
  <c r="V107" i="65"/>
  <c r="Z107" i="65"/>
  <c r="AA107" i="65"/>
  <c r="C108" i="65"/>
  <c r="D108" i="65"/>
  <c r="E108" i="65"/>
  <c r="F108" i="65"/>
  <c r="G108" i="65"/>
  <c r="I108" i="65"/>
  <c r="J108" i="65"/>
  <c r="K108" i="65"/>
  <c r="L108" i="65"/>
  <c r="Q108" i="65"/>
  <c r="T108" i="65"/>
  <c r="V108" i="65"/>
  <c r="Z108" i="65"/>
  <c r="AA108" i="65"/>
  <c r="C109" i="65"/>
  <c r="D109" i="65"/>
  <c r="E109" i="65"/>
  <c r="F109" i="65"/>
  <c r="G109" i="65"/>
  <c r="I109" i="65"/>
  <c r="J109" i="65"/>
  <c r="K109" i="65"/>
  <c r="L109" i="65"/>
  <c r="Q109" i="65"/>
  <c r="T109" i="65"/>
  <c r="V109" i="65"/>
  <c r="Z109" i="65"/>
  <c r="AA109" i="65"/>
  <c r="C110" i="65"/>
  <c r="D110" i="65"/>
  <c r="E110" i="65"/>
  <c r="F110" i="65"/>
  <c r="G110" i="65"/>
  <c r="I110" i="65"/>
  <c r="J110" i="65"/>
  <c r="K110" i="65"/>
  <c r="L110" i="65"/>
  <c r="Q110" i="65"/>
  <c r="T110" i="65"/>
  <c r="V110" i="65"/>
  <c r="Z110" i="65"/>
  <c r="AA110" i="65"/>
  <c r="C111" i="65"/>
  <c r="D111" i="65"/>
  <c r="E111" i="65"/>
  <c r="F111" i="65"/>
  <c r="G111" i="65"/>
  <c r="I111" i="65"/>
  <c r="J111" i="65"/>
  <c r="K111" i="65"/>
  <c r="L111" i="65"/>
  <c r="Q111" i="65"/>
  <c r="T111" i="65"/>
  <c r="V111" i="65"/>
  <c r="Z111" i="65"/>
  <c r="AA111" i="65"/>
  <c r="C112" i="65"/>
  <c r="D112" i="65"/>
  <c r="E112" i="65"/>
  <c r="F112" i="65"/>
  <c r="G112" i="65"/>
  <c r="I112" i="65"/>
  <c r="J112" i="65"/>
  <c r="K112" i="65"/>
  <c r="L112" i="65"/>
  <c r="Q112" i="65"/>
  <c r="T112" i="65"/>
  <c r="V112" i="65"/>
  <c r="Z112" i="65"/>
  <c r="AA112" i="65"/>
  <c r="C113" i="65"/>
  <c r="D113" i="65"/>
  <c r="E113" i="65"/>
  <c r="F113" i="65"/>
  <c r="G113" i="65"/>
  <c r="I113" i="65"/>
  <c r="J113" i="65"/>
  <c r="K113" i="65"/>
  <c r="L113" i="65"/>
  <c r="Q113" i="65"/>
  <c r="T113" i="65"/>
  <c r="V113" i="65"/>
  <c r="Z113" i="65"/>
  <c r="AA113" i="65"/>
  <c r="C114" i="65"/>
  <c r="D114" i="65"/>
  <c r="E114" i="65"/>
  <c r="F114" i="65"/>
  <c r="G114" i="65"/>
  <c r="I114" i="65"/>
  <c r="J114" i="65"/>
  <c r="K114" i="65"/>
  <c r="L114" i="65"/>
  <c r="Q114" i="65"/>
  <c r="T114" i="65"/>
  <c r="V114" i="65"/>
  <c r="Z114" i="65"/>
  <c r="AA114" i="65"/>
  <c r="C115" i="65"/>
  <c r="D115" i="65"/>
  <c r="E115" i="65"/>
  <c r="F115" i="65"/>
  <c r="G115" i="65"/>
  <c r="I115" i="65"/>
  <c r="J115" i="65"/>
  <c r="K115" i="65"/>
  <c r="L115" i="65"/>
  <c r="Q115" i="65"/>
  <c r="T115" i="65"/>
  <c r="V115" i="65"/>
  <c r="Z115" i="65"/>
  <c r="AA115" i="65"/>
  <c r="C116" i="65"/>
  <c r="D116" i="65"/>
  <c r="E116" i="65"/>
  <c r="F116" i="65"/>
  <c r="G116" i="65"/>
  <c r="I116" i="65"/>
  <c r="J116" i="65"/>
  <c r="K116" i="65"/>
  <c r="L116" i="65"/>
  <c r="Q116" i="65"/>
  <c r="T116" i="65"/>
  <c r="V116" i="65"/>
  <c r="Z116" i="65"/>
  <c r="AA116" i="65"/>
  <c r="C117" i="65"/>
  <c r="D117" i="65"/>
  <c r="E117" i="65"/>
  <c r="F117" i="65"/>
  <c r="G117" i="65"/>
  <c r="I117" i="65"/>
  <c r="J117" i="65"/>
  <c r="K117" i="65"/>
  <c r="L117" i="65"/>
  <c r="Q117" i="65"/>
  <c r="T117" i="65"/>
  <c r="V117" i="65"/>
  <c r="Z117" i="65"/>
  <c r="AA117" i="65"/>
  <c r="C118" i="65"/>
  <c r="D118" i="65"/>
  <c r="E118" i="65"/>
  <c r="F118" i="65"/>
  <c r="G118" i="65"/>
  <c r="I118" i="65"/>
  <c r="J118" i="65"/>
  <c r="K118" i="65"/>
  <c r="L118" i="65"/>
  <c r="Q118" i="65"/>
  <c r="T118" i="65"/>
  <c r="V118" i="65"/>
  <c r="Z118" i="65"/>
  <c r="AA118" i="65"/>
  <c r="C119" i="65"/>
  <c r="D119" i="65"/>
  <c r="E119" i="65"/>
  <c r="F119" i="65"/>
  <c r="G119" i="65"/>
  <c r="I119" i="65"/>
  <c r="J119" i="65"/>
  <c r="K119" i="65"/>
  <c r="L119" i="65"/>
  <c r="Q119" i="65"/>
  <c r="T119" i="65"/>
  <c r="V119" i="65"/>
  <c r="Z119" i="65"/>
  <c r="AA119" i="65"/>
  <c r="C120" i="65"/>
  <c r="D120" i="65"/>
  <c r="E120" i="65"/>
  <c r="F120" i="65"/>
  <c r="G120" i="65"/>
  <c r="I120" i="65"/>
  <c r="J120" i="65"/>
  <c r="K120" i="65"/>
  <c r="L120" i="65"/>
  <c r="Q120" i="65"/>
  <c r="T120" i="65"/>
  <c r="V120" i="65"/>
  <c r="Z120" i="65"/>
  <c r="AA120" i="65"/>
  <c r="C121" i="65"/>
  <c r="D121" i="65"/>
  <c r="E121" i="65"/>
  <c r="F121" i="65"/>
  <c r="G121" i="65"/>
  <c r="I121" i="65"/>
  <c r="J121" i="65"/>
  <c r="K121" i="65"/>
  <c r="L121" i="65"/>
  <c r="Q121" i="65"/>
  <c r="T121" i="65"/>
  <c r="V121" i="65"/>
  <c r="Z121" i="65"/>
  <c r="AA121" i="65"/>
  <c r="C122" i="65"/>
  <c r="D122" i="65"/>
  <c r="E122" i="65"/>
  <c r="F122" i="65"/>
  <c r="G122" i="65"/>
  <c r="I122" i="65"/>
  <c r="J122" i="65"/>
  <c r="K122" i="65"/>
  <c r="L122" i="65"/>
  <c r="Q122" i="65"/>
  <c r="T122" i="65"/>
  <c r="V122" i="65"/>
  <c r="Z122" i="65"/>
  <c r="AA122" i="65"/>
  <c r="C123" i="65"/>
  <c r="D123" i="65"/>
  <c r="E123" i="65"/>
  <c r="F123" i="65"/>
  <c r="G123" i="65"/>
  <c r="I123" i="65"/>
  <c r="J123" i="65"/>
  <c r="K123" i="65"/>
  <c r="L123" i="65"/>
  <c r="Q123" i="65"/>
  <c r="T123" i="65"/>
  <c r="V123" i="65"/>
  <c r="Z123" i="65"/>
  <c r="AA123" i="65"/>
  <c r="C124" i="65"/>
  <c r="D124" i="65"/>
  <c r="E124" i="65"/>
  <c r="F124" i="65"/>
  <c r="G124" i="65"/>
  <c r="I124" i="65"/>
  <c r="J124" i="65"/>
  <c r="K124" i="65"/>
  <c r="L124" i="65"/>
  <c r="Q124" i="65"/>
  <c r="T124" i="65"/>
  <c r="V124" i="65"/>
  <c r="Z124" i="65"/>
  <c r="AA124" i="65"/>
  <c r="C125" i="65"/>
  <c r="D125" i="65"/>
  <c r="E125" i="65"/>
  <c r="F125" i="65"/>
  <c r="G125" i="65"/>
  <c r="I125" i="65"/>
  <c r="J125" i="65"/>
  <c r="K125" i="65"/>
  <c r="L125" i="65"/>
  <c r="Q125" i="65"/>
  <c r="T125" i="65"/>
  <c r="V125" i="65"/>
  <c r="Z125" i="65"/>
  <c r="AA125" i="65"/>
  <c r="C126" i="65"/>
  <c r="D126" i="65"/>
  <c r="E126" i="65"/>
  <c r="F126" i="65"/>
  <c r="G126" i="65"/>
  <c r="I126" i="65"/>
  <c r="J126" i="65"/>
  <c r="K126" i="65"/>
  <c r="L126" i="65"/>
  <c r="Q126" i="65"/>
  <c r="T126" i="65"/>
  <c r="V126" i="65"/>
  <c r="Z126" i="65"/>
  <c r="AA126" i="65"/>
  <c r="C127" i="65"/>
  <c r="D127" i="65"/>
  <c r="E127" i="65"/>
  <c r="F127" i="65"/>
  <c r="G127" i="65"/>
  <c r="I127" i="65"/>
  <c r="J127" i="65"/>
  <c r="K127" i="65"/>
  <c r="L127" i="65"/>
  <c r="Q127" i="65"/>
  <c r="T127" i="65"/>
  <c r="V127" i="65"/>
  <c r="Z127" i="65"/>
  <c r="AA127" i="65"/>
  <c r="C128" i="65"/>
  <c r="D128" i="65"/>
  <c r="E128" i="65"/>
  <c r="F128" i="65"/>
  <c r="G128" i="65"/>
  <c r="I128" i="65"/>
  <c r="J128" i="65"/>
  <c r="K128" i="65"/>
  <c r="L128" i="65"/>
  <c r="Q128" i="65"/>
  <c r="T128" i="65"/>
  <c r="V128" i="65"/>
  <c r="Z128" i="65"/>
  <c r="AA128" i="65"/>
  <c r="C129" i="65"/>
  <c r="D129" i="65"/>
  <c r="E129" i="65"/>
  <c r="F129" i="65"/>
  <c r="G129" i="65"/>
  <c r="I129" i="65"/>
  <c r="J129" i="65"/>
  <c r="K129" i="65"/>
  <c r="L129" i="65"/>
  <c r="Q129" i="65"/>
  <c r="T129" i="65"/>
  <c r="V129" i="65"/>
  <c r="Z129" i="65"/>
  <c r="AA129" i="65"/>
  <c r="C130" i="65"/>
  <c r="D130" i="65"/>
  <c r="E130" i="65"/>
  <c r="F130" i="65"/>
  <c r="G130" i="65"/>
  <c r="I130" i="65"/>
  <c r="J130" i="65"/>
  <c r="K130" i="65"/>
  <c r="L130" i="65"/>
  <c r="Q130" i="65"/>
  <c r="T130" i="65"/>
  <c r="V130" i="65"/>
  <c r="Z130" i="65"/>
  <c r="AA130" i="65"/>
  <c r="C131" i="65"/>
  <c r="D131" i="65"/>
  <c r="E131" i="65"/>
  <c r="F131" i="65"/>
  <c r="G131" i="65"/>
  <c r="I131" i="65"/>
  <c r="J131" i="65"/>
  <c r="K131" i="65"/>
  <c r="L131" i="65"/>
  <c r="Q131" i="65"/>
  <c r="T131" i="65"/>
  <c r="V131" i="65"/>
  <c r="Z131" i="65"/>
  <c r="AA131" i="65"/>
  <c r="C132" i="65"/>
  <c r="D132" i="65"/>
  <c r="E132" i="65"/>
  <c r="F132" i="65"/>
  <c r="G132" i="65"/>
  <c r="I132" i="65"/>
  <c r="J132" i="65"/>
  <c r="K132" i="65"/>
  <c r="L132" i="65"/>
  <c r="Q132" i="65"/>
  <c r="T132" i="65"/>
  <c r="V132" i="65"/>
  <c r="Z132" i="65"/>
  <c r="AA132" i="65"/>
  <c r="C133" i="65"/>
  <c r="D133" i="65"/>
  <c r="E133" i="65"/>
  <c r="F133" i="65"/>
  <c r="G133" i="65"/>
  <c r="I133" i="65"/>
  <c r="J133" i="65"/>
  <c r="K133" i="65"/>
  <c r="L133" i="65"/>
  <c r="Q133" i="65"/>
  <c r="T133" i="65"/>
  <c r="V133" i="65"/>
  <c r="Z133" i="65"/>
  <c r="AA133" i="65"/>
  <c r="C134" i="65"/>
  <c r="D134" i="65"/>
  <c r="E134" i="65"/>
  <c r="F134" i="65"/>
  <c r="G134" i="65"/>
  <c r="I134" i="65"/>
  <c r="J134" i="65"/>
  <c r="K134" i="65"/>
  <c r="L134" i="65"/>
  <c r="Q134" i="65"/>
  <c r="T134" i="65"/>
  <c r="V134" i="65"/>
  <c r="Z134" i="65"/>
  <c r="AA134" i="65"/>
  <c r="C135" i="65"/>
  <c r="D135" i="65"/>
  <c r="E135" i="65"/>
  <c r="F135" i="65"/>
  <c r="G135" i="65"/>
  <c r="I135" i="65"/>
  <c r="J135" i="65"/>
  <c r="K135" i="65"/>
  <c r="L135" i="65"/>
  <c r="Q135" i="65"/>
  <c r="T135" i="65"/>
  <c r="V135" i="65"/>
  <c r="Z135" i="65"/>
  <c r="AA135" i="65"/>
  <c r="C136" i="65"/>
  <c r="D136" i="65"/>
  <c r="E136" i="65"/>
  <c r="F136" i="65"/>
  <c r="G136" i="65"/>
  <c r="I136" i="65"/>
  <c r="J136" i="65"/>
  <c r="K136" i="65"/>
  <c r="L136" i="65"/>
  <c r="Q136" i="65"/>
  <c r="T136" i="65"/>
  <c r="V136" i="65"/>
  <c r="Z136" i="65"/>
  <c r="AA136" i="65"/>
  <c r="C137" i="65"/>
  <c r="D137" i="65"/>
  <c r="E137" i="65"/>
  <c r="F137" i="65"/>
  <c r="G137" i="65"/>
  <c r="I137" i="65"/>
  <c r="J137" i="65"/>
  <c r="K137" i="65"/>
  <c r="L137" i="65"/>
  <c r="Q137" i="65"/>
  <c r="T137" i="65"/>
  <c r="V137" i="65"/>
  <c r="Z137" i="65"/>
  <c r="AA137" i="65"/>
  <c r="C138" i="65"/>
  <c r="D138" i="65"/>
  <c r="E138" i="65"/>
  <c r="F138" i="65"/>
  <c r="G138" i="65"/>
  <c r="I138" i="65"/>
  <c r="J138" i="65"/>
  <c r="K138" i="65"/>
  <c r="L138" i="65"/>
  <c r="Q138" i="65"/>
  <c r="T138" i="65"/>
  <c r="V138" i="65"/>
  <c r="Z138" i="65"/>
  <c r="AA138" i="65"/>
  <c r="C139" i="65"/>
  <c r="D139" i="65"/>
  <c r="E139" i="65"/>
  <c r="F139" i="65"/>
  <c r="G139" i="65"/>
  <c r="I139" i="65"/>
  <c r="J139" i="65"/>
  <c r="K139" i="65"/>
  <c r="L139" i="65"/>
  <c r="Q139" i="65"/>
  <c r="T139" i="65"/>
  <c r="V139" i="65"/>
  <c r="Z139" i="65"/>
  <c r="AA139" i="65"/>
  <c r="C140" i="65"/>
  <c r="D140" i="65"/>
  <c r="E140" i="65"/>
  <c r="F140" i="65"/>
  <c r="G140" i="65"/>
  <c r="I140" i="65"/>
  <c r="J140" i="65"/>
  <c r="K140" i="65"/>
  <c r="L140" i="65"/>
  <c r="Q140" i="65"/>
  <c r="T140" i="65"/>
  <c r="V140" i="65"/>
  <c r="Z140" i="65"/>
  <c r="AA140" i="65"/>
  <c r="C141" i="65"/>
  <c r="D141" i="65"/>
  <c r="E141" i="65"/>
  <c r="F141" i="65"/>
  <c r="G141" i="65"/>
  <c r="I141" i="65"/>
  <c r="J141" i="65"/>
  <c r="K141" i="65"/>
  <c r="L141" i="65"/>
  <c r="Q141" i="65"/>
  <c r="T141" i="65"/>
  <c r="V141" i="65"/>
  <c r="Z141" i="65"/>
  <c r="AA141" i="65"/>
  <c r="C142" i="65"/>
  <c r="D142" i="65"/>
  <c r="E142" i="65"/>
  <c r="F142" i="65"/>
  <c r="G142" i="65"/>
  <c r="I142" i="65"/>
  <c r="J142" i="65"/>
  <c r="K142" i="65"/>
  <c r="L142" i="65"/>
  <c r="Q142" i="65"/>
  <c r="T142" i="65"/>
  <c r="V142" i="65"/>
  <c r="Z142" i="65"/>
  <c r="AA142" i="65"/>
  <c r="C143" i="65"/>
  <c r="D143" i="65"/>
  <c r="E143" i="65"/>
  <c r="F143" i="65"/>
  <c r="G143" i="65"/>
  <c r="I143" i="65"/>
  <c r="J143" i="65"/>
  <c r="K143" i="65"/>
  <c r="L143" i="65"/>
  <c r="Q143" i="65"/>
  <c r="T143" i="65"/>
  <c r="V143" i="65"/>
  <c r="Z143" i="65"/>
  <c r="AA143" i="65"/>
  <c r="C144" i="65"/>
  <c r="D144" i="65"/>
  <c r="E144" i="65"/>
  <c r="F144" i="65"/>
  <c r="G144" i="65"/>
  <c r="I144" i="65"/>
  <c r="J144" i="65"/>
  <c r="K144" i="65"/>
  <c r="L144" i="65"/>
  <c r="Q144" i="65"/>
  <c r="T144" i="65"/>
  <c r="V144" i="65"/>
  <c r="Z144" i="65"/>
  <c r="AA144" i="65"/>
  <c r="C145" i="65"/>
  <c r="D145" i="65"/>
  <c r="E145" i="65"/>
  <c r="F145" i="65"/>
  <c r="G145" i="65"/>
  <c r="I145" i="65"/>
  <c r="J145" i="65"/>
  <c r="K145" i="65"/>
  <c r="L145" i="65"/>
  <c r="Q145" i="65"/>
  <c r="T145" i="65"/>
  <c r="V145" i="65"/>
  <c r="Z145" i="65"/>
  <c r="AA145" i="65"/>
  <c r="C146" i="65"/>
  <c r="D146" i="65"/>
  <c r="E146" i="65"/>
  <c r="F146" i="65"/>
  <c r="G146" i="65"/>
  <c r="I146" i="65"/>
  <c r="J146" i="65"/>
  <c r="K146" i="65"/>
  <c r="L146" i="65"/>
  <c r="Q146" i="65"/>
  <c r="T146" i="65"/>
  <c r="V146" i="65"/>
  <c r="Z146" i="65"/>
  <c r="AA146" i="65"/>
  <c r="C147" i="65"/>
  <c r="D147" i="65"/>
  <c r="E147" i="65"/>
  <c r="F147" i="65"/>
  <c r="G147" i="65"/>
  <c r="I147" i="65"/>
  <c r="J147" i="65"/>
  <c r="K147" i="65"/>
  <c r="L147" i="65"/>
  <c r="Q147" i="65"/>
  <c r="T147" i="65"/>
  <c r="V147" i="65"/>
  <c r="Z147" i="65"/>
  <c r="AA147" i="65"/>
  <c r="C148" i="65"/>
  <c r="D148" i="65"/>
  <c r="E148" i="65"/>
  <c r="F148" i="65"/>
  <c r="G148" i="65"/>
  <c r="I148" i="65"/>
  <c r="J148" i="65"/>
  <c r="K148" i="65"/>
  <c r="L148" i="65"/>
  <c r="Q148" i="65"/>
  <c r="T148" i="65"/>
  <c r="V148" i="65"/>
  <c r="Z148" i="65"/>
  <c r="AA148" i="65"/>
  <c r="C149" i="65"/>
  <c r="D149" i="65"/>
  <c r="E149" i="65"/>
  <c r="F149" i="65"/>
  <c r="G149" i="65"/>
  <c r="I149" i="65"/>
  <c r="J149" i="65"/>
  <c r="K149" i="65"/>
  <c r="L149" i="65"/>
  <c r="Q149" i="65"/>
  <c r="T149" i="65"/>
  <c r="V149" i="65"/>
  <c r="Z149" i="65"/>
  <c r="AA149" i="65"/>
  <c r="C150" i="65"/>
  <c r="D150" i="65"/>
  <c r="E150" i="65"/>
  <c r="F150" i="65"/>
  <c r="G150" i="65"/>
  <c r="I150" i="65"/>
  <c r="J150" i="65"/>
  <c r="K150" i="65"/>
  <c r="L150" i="65"/>
  <c r="Q150" i="65"/>
  <c r="T150" i="65"/>
  <c r="V150" i="65"/>
  <c r="Z150" i="65"/>
  <c r="AA150" i="65"/>
  <c r="C151" i="65"/>
  <c r="D151" i="65"/>
  <c r="E151" i="65"/>
  <c r="F151" i="65"/>
  <c r="G151" i="65"/>
  <c r="I151" i="65"/>
  <c r="J151" i="65"/>
  <c r="K151" i="65"/>
  <c r="L151" i="65"/>
  <c r="Q151" i="65"/>
  <c r="T151" i="65"/>
  <c r="V151" i="65"/>
  <c r="Z151" i="65"/>
  <c r="AA151" i="65"/>
  <c r="C152" i="65"/>
  <c r="D152" i="65"/>
  <c r="E152" i="65"/>
  <c r="F152" i="65"/>
  <c r="G152" i="65"/>
  <c r="I152" i="65"/>
  <c r="J152" i="65"/>
  <c r="K152" i="65"/>
  <c r="L152" i="65"/>
  <c r="Q152" i="65"/>
  <c r="T152" i="65"/>
  <c r="V152" i="65"/>
  <c r="Z152" i="65"/>
  <c r="AA152" i="65"/>
  <c r="C153" i="65"/>
  <c r="D153" i="65"/>
  <c r="E153" i="65"/>
  <c r="F153" i="65"/>
  <c r="G153" i="65"/>
  <c r="I153" i="65"/>
  <c r="J153" i="65"/>
  <c r="K153" i="65"/>
  <c r="L153" i="65"/>
  <c r="Q153" i="65"/>
  <c r="T153" i="65"/>
  <c r="V153" i="65"/>
  <c r="Z153" i="65"/>
  <c r="AA153" i="65"/>
  <c r="C154" i="65"/>
  <c r="D154" i="65"/>
  <c r="E154" i="65"/>
  <c r="F154" i="65"/>
  <c r="G154" i="65"/>
  <c r="I154" i="65"/>
  <c r="J154" i="65"/>
  <c r="K154" i="65"/>
  <c r="L154" i="65"/>
  <c r="Q154" i="65"/>
  <c r="T154" i="65"/>
  <c r="V154" i="65"/>
  <c r="Z154" i="65"/>
  <c r="AA154" i="65"/>
  <c r="C155" i="65"/>
  <c r="D155" i="65"/>
  <c r="E155" i="65"/>
  <c r="F155" i="65"/>
  <c r="G155" i="65"/>
  <c r="I155" i="65"/>
  <c r="J155" i="65"/>
  <c r="K155" i="65"/>
  <c r="L155" i="65"/>
  <c r="Q155" i="65"/>
  <c r="T155" i="65"/>
  <c r="V155" i="65"/>
  <c r="Z155" i="65"/>
  <c r="AA155" i="65"/>
  <c r="C156" i="65"/>
  <c r="D156" i="65"/>
  <c r="E156" i="65"/>
  <c r="F156" i="65"/>
  <c r="G156" i="65"/>
  <c r="I156" i="65"/>
  <c r="J156" i="65"/>
  <c r="K156" i="65"/>
  <c r="L156" i="65"/>
  <c r="Q156" i="65"/>
  <c r="T156" i="65"/>
  <c r="V156" i="65"/>
  <c r="Z156" i="65"/>
  <c r="AA156" i="65"/>
  <c r="C157" i="65"/>
  <c r="D157" i="65"/>
  <c r="E157" i="65"/>
  <c r="F157" i="65"/>
  <c r="G157" i="65"/>
  <c r="I157" i="65"/>
  <c r="J157" i="65"/>
  <c r="K157" i="65"/>
  <c r="L157" i="65"/>
  <c r="Q157" i="65"/>
  <c r="T157" i="65"/>
  <c r="V157" i="65"/>
  <c r="Z157" i="65"/>
  <c r="AA157" i="65"/>
  <c r="C158" i="65"/>
  <c r="D158" i="65"/>
  <c r="E158" i="65"/>
  <c r="F158" i="65"/>
  <c r="G158" i="65"/>
  <c r="I158" i="65"/>
  <c r="J158" i="65"/>
  <c r="K158" i="65"/>
  <c r="L158" i="65"/>
  <c r="Q158" i="65"/>
  <c r="T158" i="65"/>
  <c r="V158" i="65"/>
  <c r="Z158" i="65"/>
  <c r="AA158" i="65"/>
  <c r="C159" i="65"/>
  <c r="D159" i="65"/>
  <c r="E159" i="65"/>
  <c r="F159" i="65"/>
  <c r="G159" i="65"/>
  <c r="I159" i="65"/>
  <c r="J159" i="65"/>
  <c r="K159" i="65"/>
  <c r="L159" i="65"/>
  <c r="Q159" i="65"/>
  <c r="T159" i="65"/>
  <c r="V159" i="65"/>
  <c r="Z159" i="65"/>
  <c r="AA159" i="65"/>
  <c r="C160" i="65"/>
  <c r="D160" i="65"/>
  <c r="E160" i="65"/>
  <c r="F160" i="65"/>
  <c r="G160" i="65"/>
  <c r="I160" i="65"/>
  <c r="J160" i="65"/>
  <c r="K160" i="65"/>
  <c r="L160" i="65"/>
  <c r="Q160" i="65"/>
  <c r="T160" i="65"/>
  <c r="V160" i="65"/>
  <c r="Z160" i="65"/>
  <c r="AA160" i="65"/>
  <c r="C161" i="65"/>
  <c r="D161" i="65"/>
  <c r="E161" i="65"/>
  <c r="F161" i="65"/>
  <c r="G161" i="65"/>
  <c r="I161" i="65"/>
  <c r="J161" i="65"/>
  <c r="K161" i="65"/>
  <c r="L161" i="65"/>
  <c r="Q161" i="65"/>
  <c r="T161" i="65"/>
  <c r="V161" i="65"/>
  <c r="Z161" i="65"/>
  <c r="AA161" i="65"/>
  <c r="C162" i="65"/>
  <c r="D162" i="65"/>
  <c r="E162" i="65"/>
  <c r="F162" i="65"/>
  <c r="G162" i="65"/>
  <c r="I162" i="65"/>
  <c r="J162" i="65"/>
  <c r="K162" i="65"/>
  <c r="L162" i="65"/>
  <c r="Q162" i="65"/>
  <c r="T162" i="65"/>
  <c r="V162" i="65"/>
  <c r="Z162" i="65"/>
  <c r="AA162" i="65"/>
  <c r="C163" i="65"/>
  <c r="D163" i="65"/>
  <c r="E163" i="65"/>
  <c r="F163" i="65"/>
  <c r="G163" i="65"/>
  <c r="I163" i="65"/>
  <c r="J163" i="65"/>
  <c r="K163" i="65"/>
  <c r="L163" i="65"/>
  <c r="Q163" i="65"/>
  <c r="T163" i="65"/>
  <c r="V163" i="65"/>
  <c r="Z163" i="65"/>
  <c r="AA163" i="65"/>
  <c r="C164" i="65"/>
  <c r="D164" i="65"/>
  <c r="E164" i="65"/>
  <c r="F164" i="65"/>
  <c r="G164" i="65"/>
  <c r="I164" i="65"/>
  <c r="J164" i="65"/>
  <c r="K164" i="65"/>
  <c r="L164" i="65"/>
  <c r="Q164" i="65"/>
  <c r="T164" i="65"/>
  <c r="V164" i="65"/>
  <c r="Z164" i="65"/>
  <c r="AA164" i="65"/>
  <c r="C165" i="65"/>
  <c r="D165" i="65"/>
  <c r="E165" i="65"/>
  <c r="F165" i="65"/>
  <c r="G165" i="65"/>
  <c r="I165" i="65"/>
  <c r="J165" i="65"/>
  <c r="K165" i="65"/>
  <c r="L165" i="65"/>
  <c r="Q165" i="65"/>
  <c r="T165" i="65"/>
  <c r="V165" i="65"/>
  <c r="Z165" i="65"/>
  <c r="AA165" i="65"/>
  <c r="C166" i="65"/>
  <c r="D166" i="65"/>
  <c r="E166" i="65"/>
  <c r="F166" i="65"/>
  <c r="G166" i="65"/>
  <c r="I166" i="65"/>
  <c r="J166" i="65"/>
  <c r="K166" i="65"/>
  <c r="L166" i="65"/>
  <c r="Q166" i="65"/>
  <c r="T166" i="65"/>
  <c r="V166" i="65"/>
  <c r="Z166" i="65"/>
  <c r="AA166" i="65"/>
  <c r="C167" i="65"/>
  <c r="D167" i="65"/>
  <c r="E167" i="65"/>
  <c r="F167" i="65"/>
  <c r="G167" i="65"/>
  <c r="I167" i="65"/>
  <c r="J167" i="65"/>
  <c r="K167" i="65"/>
  <c r="L167" i="65"/>
  <c r="Q167" i="65"/>
  <c r="T167" i="65"/>
  <c r="V167" i="65"/>
  <c r="Z167" i="65"/>
  <c r="AA167" i="65"/>
  <c r="C168" i="65"/>
  <c r="D168" i="65"/>
  <c r="E168" i="65"/>
  <c r="F168" i="65"/>
  <c r="G168" i="65"/>
  <c r="I168" i="65"/>
  <c r="J168" i="65"/>
  <c r="K168" i="65"/>
  <c r="L168" i="65"/>
  <c r="Q168" i="65"/>
  <c r="T168" i="65"/>
  <c r="V168" i="65"/>
  <c r="Z168" i="65"/>
  <c r="AA168" i="65"/>
  <c r="C169" i="65"/>
  <c r="D169" i="65"/>
  <c r="E169" i="65"/>
  <c r="F169" i="65"/>
  <c r="G169" i="65"/>
  <c r="I169" i="65"/>
  <c r="J169" i="65"/>
  <c r="K169" i="65"/>
  <c r="L169" i="65"/>
  <c r="Q169" i="65"/>
  <c r="T169" i="65"/>
  <c r="V169" i="65"/>
  <c r="Z169" i="65"/>
  <c r="AA169" i="65"/>
  <c r="C170" i="65"/>
  <c r="D170" i="65"/>
  <c r="E170" i="65"/>
  <c r="F170" i="65"/>
  <c r="G170" i="65"/>
  <c r="I170" i="65"/>
  <c r="J170" i="65"/>
  <c r="K170" i="65"/>
  <c r="L170" i="65"/>
  <c r="Q170" i="65"/>
  <c r="T170" i="65"/>
  <c r="V170" i="65"/>
  <c r="Z170" i="65"/>
  <c r="AA170" i="65"/>
  <c r="C171" i="65"/>
  <c r="D171" i="65"/>
  <c r="E171" i="65"/>
  <c r="F171" i="65"/>
  <c r="G171" i="65"/>
  <c r="I171" i="65"/>
  <c r="J171" i="65"/>
  <c r="K171" i="65"/>
  <c r="L171" i="65"/>
  <c r="Q171" i="65"/>
  <c r="T171" i="65"/>
  <c r="V171" i="65"/>
  <c r="Z171" i="65"/>
  <c r="AA171" i="65"/>
  <c r="C172" i="65"/>
  <c r="D172" i="65"/>
  <c r="E172" i="65"/>
  <c r="F172" i="65"/>
  <c r="G172" i="65"/>
  <c r="I172" i="65"/>
  <c r="J172" i="65"/>
  <c r="K172" i="65"/>
  <c r="L172" i="65"/>
  <c r="Q172" i="65"/>
  <c r="T172" i="65"/>
  <c r="V172" i="65"/>
  <c r="Z172" i="65"/>
  <c r="AA172" i="65"/>
  <c r="C173" i="65"/>
  <c r="D173" i="65"/>
  <c r="E173" i="65"/>
  <c r="F173" i="65"/>
  <c r="G173" i="65"/>
  <c r="I173" i="65"/>
  <c r="J173" i="65"/>
  <c r="K173" i="65"/>
  <c r="L173" i="65"/>
  <c r="Q173" i="65"/>
  <c r="T173" i="65"/>
  <c r="V173" i="65"/>
  <c r="Z173" i="65"/>
  <c r="AA173" i="65"/>
  <c r="C174" i="65"/>
  <c r="D174" i="65"/>
  <c r="E174" i="65"/>
  <c r="F174" i="65"/>
  <c r="G174" i="65"/>
  <c r="I174" i="65"/>
  <c r="J174" i="65"/>
  <c r="K174" i="65"/>
  <c r="L174" i="65"/>
  <c r="Q174" i="65"/>
  <c r="T174" i="65"/>
  <c r="V174" i="65"/>
  <c r="Z174" i="65"/>
  <c r="AA174" i="65"/>
  <c r="C175" i="65"/>
  <c r="D175" i="65"/>
  <c r="E175" i="65"/>
  <c r="F175" i="65"/>
  <c r="G175" i="65"/>
  <c r="I175" i="65"/>
  <c r="J175" i="65"/>
  <c r="K175" i="65"/>
  <c r="L175" i="65"/>
  <c r="Q175" i="65"/>
  <c r="T175" i="65"/>
  <c r="V175" i="65"/>
  <c r="Z175" i="65"/>
  <c r="AA175" i="65"/>
  <c r="C176" i="65"/>
  <c r="D176" i="65"/>
  <c r="E176" i="65"/>
  <c r="F176" i="65"/>
  <c r="G176" i="65"/>
  <c r="I176" i="65"/>
  <c r="J176" i="65"/>
  <c r="K176" i="65"/>
  <c r="L176" i="65"/>
  <c r="Q176" i="65"/>
  <c r="T176" i="65"/>
  <c r="V176" i="65"/>
  <c r="Z176" i="65"/>
  <c r="AA176" i="65"/>
  <c r="C177" i="65"/>
  <c r="D177" i="65"/>
  <c r="E177" i="65"/>
  <c r="F177" i="65"/>
  <c r="G177" i="65"/>
  <c r="I177" i="65"/>
  <c r="J177" i="65"/>
  <c r="K177" i="65"/>
  <c r="L177" i="65"/>
  <c r="Q177" i="65"/>
  <c r="T177" i="65"/>
  <c r="V177" i="65"/>
  <c r="Z177" i="65"/>
  <c r="AA177" i="65"/>
  <c r="C178" i="65"/>
  <c r="D178" i="65"/>
  <c r="E178" i="65"/>
  <c r="F178" i="65"/>
  <c r="G178" i="65"/>
  <c r="I178" i="65"/>
  <c r="J178" i="65"/>
  <c r="K178" i="65"/>
  <c r="L178" i="65"/>
  <c r="Q178" i="65"/>
  <c r="T178" i="65"/>
  <c r="V178" i="65"/>
  <c r="Z178" i="65"/>
  <c r="AA178" i="65"/>
  <c r="C179" i="65"/>
  <c r="D179" i="65"/>
  <c r="E179" i="65"/>
  <c r="F179" i="65"/>
  <c r="G179" i="65"/>
  <c r="I179" i="65"/>
  <c r="J179" i="65"/>
  <c r="K179" i="65"/>
  <c r="L179" i="65"/>
  <c r="Q179" i="65"/>
  <c r="T179" i="65"/>
  <c r="V179" i="65"/>
  <c r="Z179" i="65"/>
  <c r="AA179" i="65"/>
  <c r="C180" i="65"/>
  <c r="D180" i="65"/>
  <c r="E180" i="65"/>
  <c r="F180" i="65"/>
  <c r="G180" i="65"/>
  <c r="I180" i="65"/>
  <c r="J180" i="65"/>
  <c r="K180" i="65"/>
  <c r="L180" i="65"/>
  <c r="Q180" i="65"/>
  <c r="T180" i="65"/>
  <c r="V180" i="65"/>
  <c r="Z180" i="65"/>
  <c r="AA180" i="65"/>
  <c r="C181" i="65"/>
  <c r="D181" i="65"/>
  <c r="E181" i="65"/>
  <c r="F181" i="65"/>
  <c r="G181" i="65"/>
  <c r="I181" i="65"/>
  <c r="J181" i="65"/>
  <c r="K181" i="65"/>
  <c r="L181" i="65"/>
  <c r="Q181" i="65"/>
  <c r="T181" i="65"/>
  <c r="V181" i="65"/>
  <c r="Z181" i="65"/>
  <c r="AA181" i="65"/>
  <c r="C182" i="65"/>
  <c r="D182" i="65"/>
  <c r="E182" i="65"/>
  <c r="F182" i="65"/>
  <c r="G182" i="65"/>
  <c r="I182" i="65"/>
  <c r="J182" i="65"/>
  <c r="K182" i="65"/>
  <c r="L182" i="65"/>
  <c r="Q182" i="65"/>
  <c r="T182" i="65"/>
  <c r="V182" i="65"/>
  <c r="Z182" i="65"/>
  <c r="AA182" i="65"/>
  <c r="C183" i="65"/>
  <c r="D183" i="65"/>
  <c r="E183" i="65"/>
  <c r="F183" i="65"/>
  <c r="G183" i="65"/>
  <c r="I183" i="65"/>
  <c r="J183" i="65"/>
  <c r="K183" i="65"/>
  <c r="L183" i="65"/>
  <c r="Q183" i="65"/>
  <c r="T183" i="65"/>
  <c r="V183" i="65"/>
  <c r="Z183" i="65"/>
  <c r="AA183" i="65"/>
  <c r="C184" i="65"/>
  <c r="D184" i="65"/>
  <c r="E184" i="65"/>
  <c r="F184" i="65"/>
  <c r="G184" i="65"/>
  <c r="I184" i="65"/>
  <c r="J184" i="65"/>
  <c r="K184" i="65"/>
  <c r="L184" i="65"/>
  <c r="Q184" i="65"/>
  <c r="T184" i="65"/>
  <c r="V184" i="65"/>
  <c r="Z184" i="65"/>
  <c r="AA184" i="65"/>
  <c r="C185" i="65"/>
  <c r="D185" i="65"/>
  <c r="E185" i="65"/>
  <c r="F185" i="65"/>
  <c r="G185" i="65"/>
  <c r="I185" i="65"/>
  <c r="J185" i="65"/>
  <c r="K185" i="65"/>
  <c r="L185" i="65"/>
  <c r="Q185" i="65"/>
  <c r="T185" i="65"/>
  <c r="V185" i="65"/>
  <c r="Z185" i="65"/>
  <c r="AA185" i="65"/>
  <c r="C186" i="65"/>
  <c r="D186" i="65"/>
  <c r="E186" i="65"/>
  <c r="F186" i="65"/>
  <c r="G186" i="65"/>
  <c r="I186" i="65"/>
  <c r="J186" i="65"/>
  <c r="K186" i="65"/>
  <c r="L186" i="65"/>
  <c r="Q186" i="65"/>
  <c r="T186" i="65"/>
  <c r="V186" i="65"/>
  <c r="Z186" i="65"/>
  <c r="AA186" i="65"/>
  <c r="C187" i="65"/>
  <c r="D187" i="65"/>
  <c r="E187" i="65"/>
  <c r="F187" i="65"/>
  <c r="G187" i="65"/>
  <c r="I187" i="65"/>
  <c r="J187" i="65"/>
  <c r="K187" i="65"/>
  <c r="L187" i="65"/>
  <c r="Q187" i="65"/>
  <c r="T187" i="65"/>
  <c r="V187" i="65"/>
  <c r="Z187" i="65"/>
  <c r="AA187" i="65"/>
  <c r="C188" i="65"/>
  <c r="D188" i="65"/>
  <c r="E188" i="65"/>
  <c r="F188" i="65"/>
  <c r="G188" i="65"/>
  <c r="I188" i="65"/>
  <c r="J188" i="65"/>
  <c r="K188" i="65"/>
  <c r="L188" i="65"/>
  <c r="Q188" i="65"/>
  <c r="T188" i="65"/>
  <c r="V188" i="65"/>
  <c r="Z188" i="65"/>
  <c r="AA188" i="65"/>
  <c r="C189" i="65"/>
  <c r="D189" i="65"/>
  <c r="E189" i="65"/>
  <c r="F189" i="65"/>
  <c r="G189" i="65"/>
  <c r="I189" i="65"/>
  <c r="J189" i="65"/>
  <c r="K189" i="65"/>
  <c r="L189" i="65"/>
  <c r="Q189" i="65"/>
  <c r="T189" i="65"/>
  <c r="V189" i="65"/>
  <c r="Z189" i="65"/>
  <c r="AA189" i="65"/>
  <c r="C190" i="65"/>
  <c r="D190" i="65"/>
  <c r="E190" i="65"/>
  <c r="F190" i="65"/>
  <c r="G190" i="65"/>
  <c r="I190" i="65"/>
  <c r="J190" i="65"/>
  <c r="K190" i="65"/>
  <c r="L190" i="65"/>
  <c r="Q190" i="65"/>
  <c r="T190" i="65"/>
  <c r="V190" i="65"/>
  <c r="Z190" i="65"/>
  <c r="AA190" i="65"/>
  <c r="C191" i="65"/>
  <c r="D191" i="65"/>
  <c r="E191" i="65"/>
  <c r="F191" i="65"/>
  <c r="G191" i="65"/>
  <c r="I191" i="65"/>
  <c r="J191" i="65"/>
  <c r="K191" i="65"/>
  <c r="L191" i="65"/>
  <c r="Q191" i="65"/>
  <c r="T191" i="65"/>
  <c r="V191" i="65"/>
  <c r="Z191" i="65"/>
  <c r="AA191" i="65"/>
  <c r="C192" i="65"/>
  <c r="D192" i="65"/>
  <c r="E192" i="65"/>
  <c r="F192" i="65"/>
  <c r="G192" i="65"/>
  <c r="I192" i="65"/>
  <c r="J192" i="65"/>
  <c r="K192" i="65"/>
  <c r="L192" i="65"/>
  <c r="Q192" i="65"/>
  <c r="T192" i="65"/>
  <c r="V192" i="65"/>
  <c r="Z192" i="65"/>
  <c r="AA192" i="65"/>
  <c r="C193" i="65"/>
  <c r="D193" i="65"/>
  <c r="E193" i="65"/>
  <c r="F193" i="65"/>
  <c r="G193" i="65"/>
  <c r="I193" i="65"/>
  <c r="J193" i="65"/>
  <c r="K193" i="65"/>
  <c r="L193" i="65"/>
  <c r="Q193" i="65"/>
  <c r="T193" i="65"/>
  <c r="V193" i="65"/>
  <c r="Z193" i="65"/>
  <c r="AA193" i="65"/>
  <c r="C194" i="65"/>
  <c r="D194" i="65"/>
  <c r="E194" i="65"/>
  <c r="F194" i="65"/>
  <c r="G194" i="65"/>
  <c r="I194" i="65"/>
  <c r="J194" i="65"/>
  <c r="K194" i="65"/>
  <c r="L194" i="65"/>
  <c r="Q194" i="65"/>
  <c r="T194" i="65"/>
  <c r="V194" i="65"/>
  <c r="Z194" i="65"/>
  <c r="AA194" i="65"/>
  <c r="C195" i="65"/>
  <c r="D195" i="65"/>
  <c r="E195" i="65"/>
  <c r="F195" i="65"/>
  <c r="G195" i="65"/>
  <c r="I195" i="65"/>
  <c r="J195" i="65"/>
  <c r="K195" i="65"/>
  <c r="L195" i="65"/>
  <c r="Q195" i="65"/>
  <c r="T195" i="65"/>
  <c r="V195" i="65"/>
  <c r="Z195" i="65"/>
  <c r="AA195" i="65"/>
  <c r="C196" i="65"/>
  <c r="D196" i="65"/>
  <c r="E196" i="65"/>
  <c r="F196" i="65"/>
  <c r="G196" i="65"/>
  <c r="I196" i="65"/>
  <c r="J196" i="65"/>
  <c r="K196" i="65"/>
  <c r="L196" i="65"/>
  <c r="Q196" i="65"/>
  <c r="T196" i="65"/>
  <c r="V196" i="65"/>
  <c r="Z196" i="65"/>
  <c r="AA196" i="65"/>
  <c r="C197" i="65"/>
  <c r="D197" i="65"/>
  <c r="E197" i="65"/>
  <c r="F197" i="65"/>
  <c r="G197" i="65"/>
  <c r="I197" i="65"/>
  <c r="J197" i="65"/>
  <c r="K197" i="65"/>
  <c r="L197" i="65"/>
  <c r="Q197" i="65"/>
  <c r="T197" i="65"/>
  <c r="V197" i="65"/>
  <c r="Z197" i="65"/>
  <c r="AA197" i="65"/>
  <c r="C198" i="65"/>
  <c r="D198" i="65"/>
  <c r="E198" i="65"/>
  <c r="F198" i="65"/>
  <c r="G198" i="65"/>
  <c r="I198" i="65"/>
  <c r="J198" i="65"/>
  <c r="K198" i="65"/>
  <c r="L198" i="65"/>
  <c r="Q198" i="65"/>
  <c r="T198" i="65"/>
  <c r="V198" i="65"/>
  <c r="Z198" i="65"/>
  <c r="AA198" i="65"/>
  <c r="C199" i="65"/>
  <c r="D199" i="65"/>
  <c r="E199" i="65"/>
  <c r="F199" i="65"/>
  <c r="G199" i="65"/>
  <c r="I199" i="65"/>
  <c r="J199" i="65"/>
  <c r="K199" i="65"/>
  <c r="L199" i="65"/>
  <c r="Q199" i="65"/>
  <c r="T199" i="65"/>
  <c r="V199" i="65"/>
  <c r="Z199" i="65"/>
  <c r="AA199" i="65"/>
  <c r="C200" i="65"/>
  <c r="D200" i="65"/>
  <c r="E200" i="65"/>
  <c r="F200" i="65"/>
  <c r="G200" i="65"/>
  <c r="I200" i="65"/>
  <c r="J200" i="65"/>
  <c r="K200" i="65"/>
  <c r="L200" i="65"/>
  <c r="Q200" i="65"/>
  <c r="T200" i="65"/>
  <c r="V200" i="65"/>
  <c r="Z200" i="65"/>
  <c r="AA200" i="65"/>
  <c r="C201" i="65"/>
  <c r="D201" i="65"/>
  <c r="E201" i="65"/>
  <c r="F201" i="65"/>
  <c r="G201" i="65"/>
  <c r="I201" i="65"/>
  <c r="J201" i="65"/>
  <c r="K201" i="65"/>
  <c r="L201" i="65"/>
  <c r="Q201" i="65"/>
  <c r="T201" i="65"/>
  <c r="V201" i="65"/>
  <c r="Z201" i="65"/>
  <c r="AA201" i="65"/>
  <c r="C202" i="65"/>
  <c r="D202" i="65"/>
  <c r="E202" i="65"/>
  <c r="F202" i="65"/>
  <c r="G202" i="65"/>
  <c r="I202" i="65"/>
  <c r="J202" i="65"/>
  <c r="K202" i="65"/>
  <c r="L202" i="65"/>
  <c r="Q202" i="65"/>
  <c r="T202" i="65"/>
  <c r="V202" i="65"/>
  <c r="Z202" i="65"/>
  <c r="AA202" i="65"/>
  <c r="C203" i="65"/>
  <c r="D203" i="65"/>
  <c r="E203" i="65"/>
  <c r="F203" i="65"/>
  <c r="G203" i="65"/>
  <c r="I203" i="65"/>
  <c r="J203" i="65"/>
  <c r="K203" i="65"/>
  <c r="L203" i="65"/>
  <c r="Q203" i="65"/>
  <c r="T203" i="65"/>
  <c r="V203" i="65"/>
  <c r="Z203" i="65"/>
  <c r="AA203" i="65"/>
  <c r="C204" i="65"/>
  <c r="D204" i="65"/>
  <c r="E204" i="65"/>
  <c r="F204" i="65"/>
  <c r="G204" i="65"/>
  <c r="I204" i="65"/>
  <c r="J204" i="65"/>
  <c r="K204" i="65"/>
  <c r="L204" i="65"/>
  <c r="Q204" i="65"/>
  <c r="T204" i="65"/>
  <c r="V204" i="65"/>
  <c r="Z204" i="65"/>
  <c r="AA204" i="65"/>
  <c r="C205" i="65"/>
  <c r="D205" i="65"/>
  <c r="E205" i="65"/>
  <c r="F205" i="65"/>
  <c r="G205" i="65"/>
  <c r="I205" i="65"/>
  <c r="J205" i="65"/>
  <c r="K205" i="65"/>
  <c r="L205" i="65"/>
  <c r="Q205" i="65"/>
  <c r="T205" i="65"/>
  <c r="V205" i="65"/>
  <c r="Z205" i="65"/>
  <c r="AA205" i="65"/>
  <c r="C206" i="65"/>
  <c r="D206" i="65"/>
  <c r="E206" i="65"/>
  <c r="F206" i="65"/>
  <c r="G206" i="65"/>
  <c r="I206" i="65"/>
  <c r="J206" i="65"/>
  <c r="K206" i="65"/>
  <c r="L206" i="65"/>
  <c r="Q206" i="65"/>
  <c r="T206" i="65"/>
  <c r="V206" i="65"/>
  <c r="Z206" i="65"/>
  <c r="AA206" i="65"/>
  <c r="C207" i="65"/>
  <c r="D207" i="65"/>
  <c r="E207" i="65"/>
  <c r="F207" i="65"/>
  <c r="G207" i="65"/>
  <c r="I207" i="65"/>
  <c r="J207" i="65"/>
  <c r="K207" i="65"/>
  <c r="L207" i="65"/>
  <c r="Q207" i="65"/>
  <c r="T207" i="65"/>
  <c r="V207" i="65"/>
  <c r="Z207" i="65"/>
  <c r="AA207" i="65"/>
  <c r="C208" i="65"/>
  <c r="D208" i="65"/>
  <c r="E208" i="65"/>
  <c r="F208" i="65"/>
  <c r="G208" i="65"/>
  <c r="I208" i="65"/>
  <c r="J208" i="65"/>
  <c r="K208" i="65"/>
  <c r="L208" i="65"/>
  <c r="Q208" i="65"/>
  <c r="T208" i="65"/>
  <c r="V208" i="65"/>
  <c r="Z208" i="65"/>
  <c r="AA208" i="65"/>
  <c r="C209" i="65"/>
  <c r="D209" i="65"/>
  <c r="E209" i="65"/>
  <c r="F209" i="65"/>
  <c r="G209" i="65"/>
  <c r="I209" i="65"/>
  <c r="J209" i="65"/>
  <c r="K209" i="65"/>
  <c r="L209" i="65"/>
  <c r="Q209" i="65"/>
  <c r="T209" i="65"/>
  <c r="V209" i="65"/>
  <c r="Z209" i="65"/>
  <c r="AA209" i="65"/>
  <c r="C210" i="65"/>
  <c r="D210" i="65"/>
  <c r="E210" i="65"/>
  <c r="F210" i="65"/>
  <c r="G210" i="65"/>
  <c r="I210" i="65"/>
  <c r="J210" i="65"/>
  <c r="K210" i="65"/>
  <c r="L210" i="65"/>
  <c r="Q210" i="65"/>
  <c r="T210" i="65"/>
  <c r="V210" i="65"/>
  <c r="Z210" i="65"/>
  <c r="AA210" i="65"/>
  <c r="C211" i="65"/>
  <c r="D211" i="65"/>
  <c r="E211" i="65"/>
  <c r="F211" i="65"/>
  <c r="G211" i="65"/>
  <c r="I211" i="65"/>
  <c r="J211" i="65"/>
  <c r="K211" i="65"/>
  <c r="L211" i="65"/>
  <c r="Q211" i="65"/>
  <c r="T211" i="65"/>
  <c r="V211" i="65"/>
  <c r="Z211" i="65"/>
  <c r="AA211" i="65"/>
  <c r="C212" i="65"/>
  <c r="D212" i="65"/>
  <c r="E212" i="65"/>
  <c r="F212" i="65"/>
  <c r="G212" i="65"/>
  <c r="I212" i="65"/>
  <c r="J212" i="65"/>
  <c r="K212" i="65"/>
  <c r="L212" i="65"/>
  <c r="Q212" i="65"/>
  <c r="T212" i="65"/>
  <c r="V212" i="65"/>
  <c r="Z212" i="65"/>
  <c r="AA212" i="65"/>
  <c r="C213" i="65"/>
  <c r="D213" i="65"/>
  <c r="E213" i="65"/>
  <c r="F213" i="65"/>
  <c r="G213" i="65"/>
  <c r="I213" i="65"/>
  <c r="J213" i="65"/>
  <c r="K213" i="65"/>
  <c r="L213" i="65"/>
  <c r="Q213" i="65"/>
  <c r="T213" i="65"/>
  <c r="V213" i="65"/>
  <c r="Z213" i="65"/>
  <c r="AA213" i="65"/>
  <c r="C214" i="65"/>
  <c r="D214" i="65"/>
  <c r="E214" i="65"/>
  <c r="F214" i="65"/>
  <c r="G214" i="65"/>
  <c r="I214" i="65"/>
  <c r="J214" i="65"/>
  <c r="K214" i="65"/>
  <c r="L214" i="65"/>
  <c r="Q214" i="65"/>
  <c r="T214" i="65"/>
  <c r="V214" i="65"/>
  <c r="Z214" i="65"/>
  <c r="AA214" i="65"/>
  <c r="C215" i="65"/>
  <c r="D215" i="65"/>
  <c r="E215" i="65"/>
  <c r="F215" i="65"/>
  <c r="G215" i="65"/>
  <c r="I215" i="65"/>
  <c r="J215" i="65"/>
  <c r="K215" i="65"/>
  <c r="L215" i="65"/>
  <c r="Q215" i="65"/>
  <c r="T215" i="65"/>
  <c r="V215" i="65"/>
  <c r="Z215" i="65"/>
  <c r="AA215" i="65"/>
  <c r="C216" i="65"/>
  <c r="D216" i="65"/>
  <c r="E216" i="65"/>
  <c r="F216" i="65"/>
  <c r="G216" i="65"/>
  <c r="I216" i="65"/>
  <c r="J216" i="65"/>
  <c r="K216" i="65"/>
  <c r="L216" i="65"/>
  <c r="Q216" i="65"/>
  <c r="T216" i="65"/>
  <c r="V216" i="65"/>
  <c r="Z216" i="65"/>
  <c r="AA216" i="65"/>
  <c r="C217" i="65"/>
  <c r="D217" i="65"/>
  <c r="E217" i="65"/>
  <c r="F217" i="65"/>
  <c r="G217" i="65"/>
  <c r="I217" i="65"/>
  <c r="J217" i="65"/>
  <c r="K217" i="65"/>
  <c r="L217" i="65"/>
  <c r="Q217" i="65"/>
  <c r="T217" i="65"/>
  <c r="V217" i="65"/>
  <c r="Z217" i="65"/>
  <c r="AA217" i="65"/>
  <c r="C218" i="65"/>
  <c r="D218" i="65"/>
  <c r="E218" i="65"/>
  <c r="F218" i="65"/>
  <c r="G218" i="65"/>
  <c r="I218" i="65"/>
  <c r="J218" i="65"/>
  <c r="K218" i="65"/>
  <c r="L218" i="65"/>
  <c r="Q218" i="65"/>
  <c r="T218" i="65"/>
  <c r="V218" i="65"/>
  <c r="Z218" i="65"/>
  <c r="AA218" i="65"/>
  <c r="C219" i="65"/>
  <c r="D219" i="65"/>
  <c r="E219" i="65"/>
  <c r="F219" i="65"/>
  <c r="G219" i="65"/>
  <c r="I219" i="65"/>
  <c r="J219" i="65"/>
  <c r="K219" i="65"/>
  <c r="L219" i="65"/>
  <c r="Q219" i="65"/>
  <c r="T219" i="65"/>
  <c r="V219" i="65"/>
  <c r="Z219" i="65"/>
  <c r="AA219" i="65"/>
  <c r="C220" i="65"/>
  <c r="D220" i="65"/>
  <c r="E220" i="65"/>
  <c r="F220" i="65"/>
  <c r="G220" i="65"/>
  <c r="I220" i="65"/>
  <c r="J220" i="65"/>
  <c r="K220" i="65"/>
  <c r="L220" i="65"/>
  <c r="Q220" i="65"/>
  <c r="T220" i="65"/>
  <c r="V220" i="65"/>
  <c r="Z220" i="65"/>
  <c r="AA220" i="65"/>
  <c r="C221" i="65"/>
  <c r="D221" i="65"/>
  <c r="E221" i="65"/>
  <c r="F221" i="65"/>
  <c r="G221" i="65"/>
  <c r="I221" i="65"/>
  <c r="J221" i="65"/>
  <c r="K221" i="65"/>
  <c r="L221" i="65"/>
  <c r="Q221" i="65"/>
  <c r="T221" i="65"/>
  <c r="V221" i="65"/>
  <c r="Z221" i="65"/>
  <c r="AA221" i="65"/>
  <c r="C222" i="65"/>
  <c r="D222" i="65"/>
  <c r="E222" i="65"/>
  <c r="F222" i="65"/>
  <c r="G222" i="65"/>
  <c r="I222" i="65"/>
  <c r="J222" i="65"/>
  <c r="K222" i="65"/>
  <c r="L222" i="65"/>
  <c r="Q222" i="65"/>
  <c r="T222" i="65"/>
  <c r="V222" i="65"/>
  <c r="Z222" i="65"/>
  <c r="AA222" i="65"/>
  <c r="C223" i="65"/>
  <c r="D223" i="65"/>
  <c r="E223" i="65"/>
  <c r="F223" i="65"/>
  <c r="G223" i="65"/>
  <c r="I223" i="65"/>
  <c r="J223" i="65"/>
  <c r="K223" i="65"/>
  <c r="L223" i="65"/>
  <c r="Q223" i="65"/>
  <c r="T223" i="65"/>
  <c r="V223" i="65"/>
  <c r="Z223" i="65"/>
  <c r="AA223" i="65"/>
  <c r="C224" i="65"/>
  <c r="D224" i="65"/>
  <c r="E224" i="65"/>
  <c r="F224" i="65"/>
  <c r="G224" i="65"/>
  <c r="I224" i="65"/>
  <c r="J224" i="65"/>
  <c r="K224" i="65"/>
  <c r="L224" i="65"/>
  <c r="Q224" i="65"/>
  <c r="T224" i="65"/>
  <c r="V224" i="65"/>
  <c r="Z224" i="65"/>
  <c r="AA224" i="65"/>
  <c r="C225" i="65"/>
  <c r="D225" i="65"/>
  <c r="E225" i="65"/>
  <c r="F225" i="65"/>
  <c r="G225" i="65"/>
  <c r="I225" i="65"/>
  <c r="J225" i="65"/>
  <c r="K225" i="65"/>
  <c r="L225" i="65"/>
  <c r="Q225" i="65"/>
  <c r="T225" i="65"/>
  <c r="V225" i="65"/>
  <c r="Z225" i="65"/>
  <c r="AA225" i="65"/>
  <c r="C226" i="65"/>
  <c r="D226" i="65"/>
  <c r="E226" i="65"/>
  <c r="F226" i="65"/>
  <c r="G226" i="65"/>
  <c r="I226" i="65"/>
  <c r="J226" i="65"/>
  <c r="K226" i="65"/>
  <c r="L226" i="65"/>
  <c r="Q226" i="65"/>
  <c r="T226" i="65"/>
  <c r="V226" i="65"/>
  <c r="Z226" i="65"/>
  <c r="AA226" i="65"/>
  <c r="C227" i="65"/>
  <c r="D227" i="65"/>
  <c r="E227" i="65"/>
  <c r="F227" i="65"/>
  <c r="G227" i="65"/>
  <c r="I227" i="65"/>
  <c r="J227" i="65"/>
  <c r="K227" i="65"/>
  <c r="L227" i="65"/>
  <c r="Q227" i="65"/>
  <c r="T227" i="65"/>
  <c r="V227" i="65"/>
  <c r="Z227" i="65"/>
  <c r="AA227" i="65"/>
  <c r="C228" i="65"/>
  <c r="D228" i="65"/>
  <c r="E228" i="65"/>
  <c r="F228" i="65"/>
  <c r="G228" i="65"/>
  <c r="I228" i="65"/>
  <c r="J228" i="65"/>
  <c r="K228" i="65"/>
  <c r="L228" i="65"/>
  <c r="Q228" i="65"/>
  <c r="T228" i="65"/>
  <c r="V228" i="65"/>
  <c r="Z228" i="65"/>
  <c r="AA228" i="65"/>
  <c r="C229" i="65"/>
  <c r="D229" i="65"/>
  <c r="E229" i="65"/>
  <c r="F229" i="65"/>
  <c r="G229" i="65"/>
  <c r="I229" i="65"/>
  <c r="J229" i="65"/>
  <c r="K229" i="65"/>
  <c r="L229" i="65"/>
  <c r="Q229" i="65"/>
  <c r="T229" i="65"/>
  <c r="V229" i="65"/>
  <c r="Z229" i="65"/>
  <c r="AA229" i="65"/>
  <c r="C230" i="65"/>
  <c r="D230" i="65"/>
  <c r="E230" i="65"/>
  <c r="F230" i="65"/>
  <c r="G230" i="65"/>
  <c r="I230" i="65"/>
  <c r="J230" i="65"/>
  <c r="K230" i="65"/>
  <c r="L230" i="65"/>
  <c r="Q230" i="65"/>
  <c r="T230" i="65"/>
  <c r="V230" i="65"/>
  <c r="Z230" i="65"/>
  <c r="AA230" i="65"/>
  <c r="C231" i="65"/>
  <c r="D231" i="65"/>
  <c r="E231" i="65"/>
  <c r="F231" i="65"/>
  <c r="G231" i="65"/>
  <c r="I231" i="65"/>
  <c r="J231" i="65"/>
  <c r="K231" i="65"/>
  <c r="L231" i="65"/>
  <c r="Q231" i="65"/>
  <c r="T231" i="65"/>
  <c r="V231" i="65"/>
  <c r="Z231" i="65"/>
  <c r="AA231" i="65"/>
  <c r="C232" i="65"/>
  <c r="D232" i="65"/>
  <c r="E232" i="65"/>
  <c r="F232" i="65"/>
  <c r="G232" i="65"/>
  <c r="I232" i="65"/>
  <c r="J232" i="65"/>
  <c r="K232" i="65"/>
  <c r="L232" i="65"/>
  <c r="Q232" i="65"/>
  <c r="T232" i="65"/>
  <c r="V232" i="65"/>
  <c r="Z232" i="65"/>
  <c r="AA232" i="65"/>
  <c r="C233" i="65"/>
  <c r="D233" i="65"/>
  <c r="E233" i="65"/>
  <c r="F233" i="65"/>
  <c r="G233" i="65"/>
  <c r="I233" i="65"/>
  <c r="J233" i="65"/>
  <c r="K233" i="65"/>
  <c r="L233" i="65"/>
  <c r="Q233" i="65"/>
  <c r="T233" i="65"/>
  <c r="V233" i="65"/>
  <c r="Z233" i="65"/>
  <c r="AA233" i="65"/>
  <c r="C234" i="65"/>
  <c r="D234" i="65"/>
  <c r="E234" i="65"/>
  <c r="F234" i="65"/>
  <c r="G234" i="65"/>
  <c r="I234" i="65"/>
  <c r="J234" i="65"/>
  <c r="K234" i="65"/>
  <c r="L234" i="65"/>
  <c r="Q234" i="65"/>
  <c r="T234" i="65"/>
  <c r="V234" i="65"/>
  <c r="Z234" i="65"/>
  <c r="AA234" i="65"/>
  <c r="C235" i="65"/>
  <c r="D235" i="65"/>
  <c r="E235" i="65"/>
  <c r="F235" i="65"/>
  <c r="G235" i="65"/>
  <c r="I235" i="65"/>
  <c r="J235" i="65"/>
  <c r="K235" i="65"/>
  <c r="L235" i="65"/>
  <c r="Q235" i="65"/>
  <c r="T235" i="65"/>
  <c r="V235" i="65"/>
  <c r="Z235" i="65"/>
  <c r="AA235" i="65"/>
  <c r="C236" i="65"/>
  <c r="D236" i="65"/>
  <c r="E236" i="65"/>
  <c r="F236" i="65"/>
  <c r="G236" i="65"/>
  <c r="I236" i="65"/>
  <c r="J236" i="65"/>
  <c r="K236" i="65"/>
  <c r="L236" i="65"/>
  <c r="Q236" i="65"/>
  <c r="T236" i="65"/>
  <c r="V236" i="65"/>
  <c r="Z236" i="65"/>
  <c r="AA236" i="65"/>
  <c r="C237" i="65"/>
  <c r="D237" i="65"/>
  <c r="E237" i="65"/>
  <c r="F237" i="65"/>
  <c r="G237" i="65"/>
  <c r="I237" i="65"/>
  <c r="J237" i="65"/>
  <c r="K237" i="65"/>
  <c r="L237" i="65"/>
  <c r="Q237" i="65"/>
  <c r="T237" i="65"/>
  <c r="V237" i="65"/>
  <c r="Z237" i="65"/>
  <c r="AA237" i="65"/>
  <c r="C238" i="65"/>
  <c r="D238" i="65"/>
  <c r="E238" i="65"/>
  <c r="F238" i="65"/>
  <c r="G238" i="65"/>
  <c r="I238" i="65"/>
  <c r="J238" i="65"/>
  <c r="K238" i="65"/>
  <c r="L238" i="65"/>
  <c r="Q238" i="65"/>
  <c r="T238" i="65"/>
  <c r="V238" i="65"/>
  <c r="Z238" i="65"/>
  <c r="AA238" i="65"/>
  <c r="C239" i="65"/>
  <c r="D239" i="65"/>
  <c r="E239" i="65"/>
  <c r="F239" i="65"/>
  <c r="G239" i="65"/>
  <c r="I239" i="65"/>
  <c r="J239" i="65"/>
  <c r="K239" i="65"/>
  <c r="L239" i="65"/>
  <c r="Q239" i="65"/>
  <c r="T239" i="65"/>
  <c r="V239" i="65"/>
  <c r="Z239" i="65"/>
  <c r="AA239" i="65"/>
  <c r="C240" i="65"/>
  <c r="D240" i="65"/>
  <c r="E240" i="65"/>
  <c r="F240" i="65"/>
  <c r="G240" i="65"/>
  <c r="I240" i="65"/>
  <c r="J240" i="65"/>
  <c r="K240" i="65"/>
  <c r="L240" i="65"/>
  <c r="Q240" i="65"/>
  <c r="T240" i="65"/>
  <c r="V240" i="65"/>
  <c r="Z240" i="65"/>
  <c r="AA240" i="65"/>
  <c r="C241" i="65"/>
  <c r="D241" i="65"/>
  <c r="E241" i="65"/>
  <c r="F241" i="65"/>
  <c r="G241" i="65"/>
  <c r="I241" i="65"/>
  <c r="J241" i="65"/>
  <c r="K241" i="65"/>
  <c r="L241" i="65"/>
  <c r="Q241" i="65"/>
  <c r="T241" i="65"/>
  <c r="V241" i="65"/>
  <c r="Z241" i="65"/>
  <c r="AA241" i="65"/>
  <c r="C242" i="65"/>
  <c r="D242" i="65"/>
  <c r="E242" i="65"/>
  <c r="F242" i="65"/>
  <c r="G242" i="65"/>
  <c r="I242" i="65"/>
  <c r="J242" i="65"/>
  <c r="K242" i="65"/>
  <c r="L242" i="65"/>
  <c r="Q242" i="65"/>
  <c r="T242" i="65"/>
  <c r="V242" i="65"/>
  <c r="Z242" i="65"/>
  <c r="AA242" i="65"/>
  <c r="C243" i="65"/>
  <c r="D243" i="65"/>
  <c r="E243" i="65"/>
  <c r="F243" i="65"/>
  <c r="G243" i="65"/>
  <c r="I243" i="65"/>
  <c r="J243" i="65"/>
  <c r="K243" i="65"/>
  <c r="L243" i="65"/>
  <c r="Q243" i="65"/>
  <c r="T243" i="65"/>
  <c r="V243" i="65"/>
  <c r="Z243" i="65"/>
  <c r="AA243" i="65"/>
  <c r="C244" i="65"/>
  <c r="D244" i="65"/>
  <c r="E244" i="65"/>
  <c r="F244" i="65"/>
  <c r="G244" i="65"/>
  <c r="I244" i="65"/>
  <c r="J244" i="65"/>
  <c r="K244" i="65"/>
  <c r="L244" i="65"/>
  <c r="Q244" i="65"/>
  <c r="T244" i="65"/>
  <c r="V244" i="65"/>
  <c r="Z244" i="65"/>
  <c r="AA244" i="65"/>
  <c r="C245" i="65"/>
  <c r="D245" i="65"/>
  <c r="E245" i="65"/>
  <c r="F245" i="65"/>
  <c r="G245" i="65"/>
  <c r="I245" i="65"/>
  <c r="J245" i="65"/>
  <c r="K245" i="65"/>
  <c r="L245" i="65"/>
  <c r="Q245" i="65"/>
  <c r="T245" i="65"/>
  <c r="V245" i="65"/>
  <c r="Z245" i="65"/>
  <c r="AA245" i="65"/>
  <c r="C246" i="65"/>
  <c r="D246" i="65"/>
  <c r="E246" i="65"/>
  <c r="F246" i="65"/>
  <c r="G246" i="65"/>
  <c r="I246" i="65"/>
  <c r="J246" i="65"/>
  <c r="K246" i="65"/>
  <c r="L246" i="65"/>
  <c r="Q246" i="65"/>
  <c r="T246" i="65"/>
  <c r="V246" i="65"/>
  <c r="Z246" i="65"/>
  <c r="AA246" i="65"/>
  <c r="C247" i="65"/>
  <c r="D247" i="65"/>
  <c r="E247" i="65"/>
  <c r="F247" i="65"/>
  <c r="G247" i="65"/>
  <c r="I247" i="65"/>
  <c r="J247" i="65"/>
  <c r="K247" i="65"/>
  <c r="L247" i="65"/>
  <c r="Q247" i="65"/>
  <c r="T247" i="65"/>
  <c r="V247" i="65"/>
  <c r="Z247" i="65"/>
  <c r="AA247" i="65"/>
  <c r="C248" i="65"/>
  <c r="D248" i="65"/>
  <c r="E248" i="65"/>
  <c r="F248" i="65"/>
  <c r="G248" i="65"/>
  <c r="I248" i="65"/>
  <c r="J248" i="65"/>
  <c r="K248" i="65"/>
  <c r="L248" i="65"/>
  <c r="Q248" i="65"/>
  <c r="T248" i="65"/>
  <c r="V248" i="65"/>
  <c r="Z248" i="65"/>
  <c r="AA248" i="65"/>
  <c r="C249" i="65"/>
  <c r="D249" i="65"/>
  <c r="E249" i="65"/>
  <c r="F249" i="65"/>
  <c r="G249" i="65"/>
  <c r="I249" i="65"/>
  <c r="J249" i="65"/>
  <c r="K249" i="65"/>
  <c r="L249" i="65"/>
  <c r="Q249" i="65"/>
  <c r="T249" i="65"/>
  <c r="V249" i="65"/>
  <c r="Z249" i="65"/>
  <c r="AA249" i="65"/>
  <c r="C250" i="65"/>
  <c r="D250" i="65"/>
  <c r="E250" i="65"/>
  <c r="F250" i="65"/>
  <c r="G250" i="65"/>
  <c r="I250" i="65"/>
  <c r="J250" i="65"/>
  <c r="K250" i="65"/>
  <c r="L250" i="65"/>
  <c r="Q250" i="65"/>
  <c r="T250" i="65"/>
  <c r="V250" i="65"/>
  <c r="Z250" i="65"/>
  <c r="AA250" i="65"/>
  <c r="C251" i="65"/>
  <c r="D251" i="65"/>
  <c r="E251" i="65"/>
  <c r="F251" i="65"/>
  <c r="G251" i="65"/>
  <c r="I251" i="65"/>
  <c r="J251" i="65"/>
  <c r="K251" i="65"/>
  <c r="L251" i="65"/>
  <c r="Q251" i="65"/>
  <c r="T251" i="65"/>
  <c r="V251" i="65"/>
  <c r="Z251" i="65"/>
  <c r="AA251" i="65"/>
  <c r="C252" i="65"/>
  <c r="D252" i="65"/>
  <c r="E252" i="65"/>
  <c r="F252" i="65"/>
  <c r="G252" i="65"/>
  <c r="I252" i="65"/>
  <c r="J252" i="65"/>
  <c r="K252" i="65"/>
  <c r="L252" i="65"/>
  <c r="Q252" i="65"/>
  <c r="T252" i="65"/>
  <c r="V252" i="65"/>
  <c r="Z252" i="65"/>
  <c r="AA252" i="65"/>
  <c r="C253" i="65"/>
  <c r="D253" i="65"/>
  <c r="E253" i="65"/>
  <c r="F253" i="65"/>
  <c r="G253" i="65"/>
  <c r="I253" i="65"/>
  <c r="J253" i="65"/>
  <c r="K253" i="65"/>
  <c r="L253" i="65"/>
  <c r="Q253" i="65"/>
  <c r="T253" i="65"/>
  <c r="V253" i="65"/>
  <c r="Z253" i="65"/>
  <c r="AA253" i="65"/>
  <c r="C254" i="65"/>
  <c r="D254" i="65"/>
  <c r="E254" i="65"/>
  <c r="F254" i="65"/>
  <c r="G254" i="65"/>
  <c r="I254" i="65"/>
  <c r="J254" i="65"/>
  <c r="K254" i="65"/>
  <c r="L254" i="65"/>
  <c r="Q254" i="65"/>
  <c r="T254" i="65"/>
  <c r="V254" i="65"/>
  <c r="Z254" i="65"/>
  <c r="AA254" i="65"/>
  <c r="C255" i="65"/>
  <c r="D255" i="65"/>
  <c r="E255" i="65"/>
  <c r="F255" i="65"/>
  <c r="G255" i="65"/>
  <c r="I255" i="65"/>
  <c r="J255" i="65"/>
  <c r="K255" i="65"/>
  <c r="L255" i="65"/>
  <c r="Q255" i="65"/>
  <c r="T255" i="65"/>
  <c r="V255" i="65"/>
  <c r="Z255" i="65"/>
  <c r="AA255" i="65"/>
  <c r="C256" i="65"/>
  <c r="D256" i="65"/>
  <c r="E256" i="65"/>
  <c r="F256" i="65"/>
  <c r="G256" i="65"/>
  <c r="I256" i="65"/>
  <c r="J256" i="65"/>
  <c r="K256" i="65"/>
  <c r="L256" i="65"/>
  <c r="Q256" i="65"/>
  <c r="T256" i="65"/>
  <c r="V256" i="65"/>
  <c r="Z256" i="65"/>
  <c r="AA256" i="65"/>
  <c r="C257" i="65"/>
  <c r="D257" i="65"/>
  <c r="E257" i="65"/>
  <c r="F257" i="65"/>
  <c r="G257" i="65"/>
  <c r="I257" i="65"/>
  <c r="J257" i="65"/>
  <c r="K257" i="65"/>
  <c r="L257" i="65"/>
  <c r="Q257" i="65"/>
  <c r="T257" i="65"/>
  <c r="V257" i="65"/>
  <c r="Z257" i="65"/>
  <c r="AA257" i="65"/>
  <c r="C258" i="65"/>
  <c r="D258" i="65"/>
  <c r="E258" i="65"/>
  <c r="F258" i="65"/>
  <c r="G258" i="65"/>
  <c r="I258" i="65"/>
  <c r="J258" i="65"/>
  <c r="K258" i="65"/>
  <c r="L258" i="65"/>
  <c r="Q258" i="65"/>
  <c r="T258" i="65"/>
  <c r="V258" i="65"/>
  <c r="Z258" i="65"/>
  <c r="AA258" i="65"/>
  <c r="C259" i="65"/>
  <c r="D259" i="65"/>
  <c r="E259" i="65"/>
  <c r="F259" i="65"/>
  <c r="G259" i="65"/>
  <c r="I259" i="65"/>
  <c r="J259" i="65"/>
  <c r="K259" i="65"/>
  <c r="L259" i="65"/>
  <c r="Q259" i="65"/>
  <c r="T259" i="65"/>
  <c r="V259" i="65"/>
  <c r="Z259" i="65"/>
  <c r="AA259" i="65"/>
  <c r="C260" i="65"/>
  <c r="D260" i="65"/>
  <c r="E260" i="65"/>
  <c r="F260" i="65"/>
  <c r="G260" i="65"/>
  <c r="I260" i="65"/>
  <c r="J260" i="65"/>
  <c r="K260" i="65"/>
  <c r="L260" i="65"/>
  <c r="Q260" i="65"/>
  <c r="T260" i="65"/>
  <c r="V260" i="65"/>
  <c r="Z260" i="65"/>
  <c r="AA260" i="65"/>
  <c r="C261" i="65"/>
  <c r="D261" i="65"/>
  <c r="E261" i="65"/>
  <c r="F261" i="65"/>
  <c r="G261" i="65"/>
  <c r="I261" i="65"/>
  <c r="J261" i="65"/>
  <c r="K261" i="65"/>
  <c r="L261" i="65"/>
  <c r="Q261" i="65"/>
  <c r="T261" i="65"/>
  <c r="V261" i="65"/>
  <c r="Z261" i="65"/>
  <c r="AA261" i="65"/>
  <c r="C262" i="65"/>
  <c r="D262" i="65"/>
  <c r="E262" i="65"/>
  <c r="F262" i="65"/>
  <c r="G262" i="65"/>
  <c r="I262" i="65"/>
  <c r="J262" i="65"/>
  <c r="K262" i="65"/>
  <c r="L262" i="65"/>
  <c r="Q262" i="65"/>
  <c r="T262" i="65"/>
  <c r="V262" i="65"/>
  <c r="Z262" i="65"/>
  <c r="AA262" i="65"/>
  <c r="C263" i="65"/>
  <c r="D263" i="65"/>
  <c r="E263" i="65"/>
  <c r="F263" i="65"/>
  <c r="G263" i="65"/>
  <c r="I263" i="65"/>
  <c r="J263" i="65"/>
  <c r="K263" i="65"/>
  <c r="L263" i="65"/>
  <c r="Q263" i="65"/>
  <c r="T263" i="65"/>
  <c r="V263" i="65"/>
  <c r="Z263" i="65"/>
  <c r="AA263" i="65"/>
  <c r="C264" i="65"/>
  <c r="D264" i="65"/>
  <c r="E264" i="65"/>
  <c r="F264" i="65"/>
  <c r="G264" i="65"/>
  <c r="I264" i="65"/>
  <c r="J264" i="65"/>
  <c r="K264" i="65"/>
  <c r="L264" i="65"/>
  <c r="Q264" i="65"/>
  <c r="T264" i="65"/>
  <c r="V264" i="65"/>
  <c r="Z264" i="65"/>
  <c r="AA264" i="65"/>
  <c r="C265" i="65"/>
  <c r="D265" i="65"/>
  <c r="E265" i="65"/>
  <c r="F265" i="65"/>
  <c r="G265" i="65"/>
  <c r="I265" i="65"/>
  <c r="J265" i="65"/>
  <c r="K265" i="65"/>
  <c r="L265" i="65"/>
  <c r="Q265" i="65"/>
  <c r="T265" i="65"/>
  <c r="V265" i="65"/>
  <c r="Z265" i="65"/>
  <c r="AA265" i="65"/>
  <c r="C266" i="65"/>
  <c r="D266" i="65"/>
  <c r="E266" i="65"/>
  <c r="F266" i="65"/>
  <c r="G266" i="65"/>
  <c r="I266" i="65"/>
  <c r="J266" i="65"/>
  <c r="K266" i="65"/>
  <c r="L266" i="65"/>
  <c r="Q266" i="65"/>
  <c r="T266" i="65"/>
  <c r="V266" i="65"/>
  <c r="Z266" i="65"/>
  <c r="AA266" i="65"/>
  <c r="C267" i="65"/>
  <c r="D267" i="65"/>
  <c r="E267" i="65"/>
  <c r="F267" i="65"/>
  <c r="G267" i="65"/>
  <c r="I267" i="65"/>
  <c r="J267" i="65"/>
  <c r="K267" i="65"/>
  <c r="L267" i="65"/>
  <c r="Q267" i="65"/>
  <c r="T267" i="65"/>
  <c r="V267" i="65"/>
  <c r="Z267" i="65"/>
  <c r="AA267" i="65"/>
  <c r="C268" i="65"/>
  <c r="D268" i="65"/>
  <c r="E268" i="65"/>
  <c r="F268" i="65"/>
  <c r="G268" i="65"/>
  <c r="I268" i="65"/>
  <c r="J268" i="65"/>
  <c r="K268" i="65"/>
  <c r="L268" i="65"/>
  <c r="Q268" i="65"/>
  <c r="T268" i="65"/>
  <c r="V268" i="65"/>
  <c r="Z268" i="65"/>
  <c r="AA268" i="65"/>
  <c r="C269" i="65"/>
  <c r="D269" i="65"/>
  <c r="E269" i="65"/>
  <c r="F269" i="65"/>
  <c r="G269" i="65"/>
  <c r="I269" i="65"/>
  <c r="J269" i="65"/>
  <c r="K269" i="65"/>
  <c r="L269" i="65"/>
  <c r="Q269" i="65"/>
  <c r="T269" i="65"/>
  <c r="V269" i="65"/>
  <c r="Z269" i="65"/>
  <c r="AA269" i="65"/>
  <c r="C270" i="65"/>
  <c r="D270" i="65"/>
  <c r="E270" i="65"/>
  <c r="F270" i="65"/>
  <c r="G270" i="65"/>
  <c r="I270" i="65"/>
  <c r="J270" i="65"/>
  <c r="K270" i="65"/>
  <c r="L270" i="65"/>
  <c r="Q270" i="65"/>
  <c r="T270" i="65"/>
  <c r="V270" i="65"/>
  <c r="Z270" i="65"/>
  <c r="AA270" i="65"/>
  <c r="C271" i="65"/>
  <c r="D271" i="65"/>
  <c r="E271" i="65"/>
  <c r="F271" i="65"/>
  <c r="G271" i="65"/>
  <c r="I271" i="65"/>
  <c r="J271" i="65"/>
  <c r="K271" i="65"/>
  <c r="L271" i="65"/>
  <c r="Q271" i="65"/>
  <c r="T271" i="65"/>
  <c r="V271" i="65"/>
  <c r="Z271" i="65"/>
  <c r="AA271" i="65"/>
  <c r="C272" i="65"/>
  <c r="D272" i="65"/>
  <c r="E272" i="65"/>
  <c r="F272" i="65"/>
  <c r="G272" i="65"/>
  <c r="I272" i="65"/>
  <c r="J272" i="65"/>
  <c r="K272" i="65"/>
  <c r="L272" i="65"/>
  <c r="Q272" i="65"/>
  <c r="T272" i="65"/>
  <c r="V272" i="65"/>
  <c r="Z272" i="65"/>
  <c r="AA272" i="65"/>
  <c r="C273" i="65"/>
  <c r="D273" i="65"/>
  <c r="E273" i="65"/>
  <c r="F273" i="65"/>
  <c r="G273" i="65"/>
  <c r="I273" i="65"/>
  <c r="J273" i="65"/>
  <c r="K273" i="65"/>
  <c r="L273" i="65"/>
  <c r="Q273" i="65"/>
  <c r="T273" i="65"/>
  <c r="V273" i="65"/>
  <c r="Z273" i="65"/>
  <c r="AA273" i="65"/>
  <c r="C274" i="65"/>
  <c r="D274" i="65"/>
  <c r="E274" i="65"/>
  <c r="F274" i="65"/>
  <c r="G274" i="65"/>
  <c r="I274" i="65"/>
  <c r="J274" i="65"/>
  <c r="K274" i="65"/>
  <c r="L274" i="65"/>
  <c r="Q274" i="65"/>
  <c r="T274" i="65"/>
  <c r="V274" i="65"/>
  <c r="Z274" i="65"/>
  <c r="AA274" i="65"/>
  <c r="C275" i="65"/>
  <c r="D275" i="65"/>
  <c r="E275" i="65"/>
  <c r="F275" i="65"/>
  <c r="G275" i="65"/>
  <c r="I275" i="65"/>
  <c r="J275" i="65"/>
  <c r="K275" i="65"/>
  <c r="L275" i="65"/>
  <c r="Q275" i="65"/>
  <c r="T275" i="65"/>
  <c r="V275" i="65"/>
  <c r="Z275" i="65"/>
  <c r="AA275" i="65"/>
  <c r="C276" i="65"/>
  <c r="D276" i="65"/>
  <c r="E276" i="65"/>
  <c r="F276" i="65"/>
  <c r="G276" i="65"/>
  <c r="I276" i="65"/>
  <c r="J276" i="65"/>
  <c r="K276" i="65"/>
  <c r="L276" i="65"/>
  <c r="Q276" i="65"/>
  <c r="T276" i="65"/>
  <c r="V276" i="65"/>
  <c r="Z276" i="65"/>
  <c r="AA276" i="65"/>
  <c r="C277" i="65"/>
  <c r="D277" i="65"/>
  <c r="E277" i="65"/>
  <c r="F277" i="65"/>
  <c r="G277" i="65"/>
  <c r="I277" i="65"/>
  <c r="J277" i="65"/>
  <c r="K277" i="65"/>
  <c r="L277" i="65"/>
  <c r="Q277" i="65"/>
  <c r="T277" i="65"/>
  <c r="V277" i="65"/>
  <c r="Z277" i="65"/>
  <c r="AA277" i="65"/>
  <c r="C278" i="65"/>
  <c r="D278" i="65"/>
  <c r="E278" i="65"/>
  <c r="F278" i="65"/>
  <c r="G278" i="65"/>
  <c r="I278" i="65"/>
  <c r="J278" i="65"/>
  <c r="K278" i="65"/>
  <c r="L278" i="65"/>
  <c r="Q278" i="65"/>
  <c r="T278" i="65"/>
  <c r="V278" i="65"/>
  <c r="Z278" i="65"/>
  <c r="AA278" i="65"/>
  <c r="C279" i="65"/>
  <c r="D279" i="65"/>
  <c r="E279" i="65"/>
  <c r="F279" i="65"/>
  <c r="G279" i="65"/>
  <c r="I279" i="65"/>
  <c r="J279" i="65"/>
  <c r="K279" i="65"/>
  <c r="L279" i="65"/>
  <c r="Q279" i="65"/>
  <c r="T279" i="65"/>
  <c r="V279" i="65"/>
  <c r="Z279" i="65"/>
  <c r="AA279" i="65"/>
  <c r="C280" i="65"/>
  <c r="D280" i="65"/>
  <c r="E280" i="65"/>
  <c r="F280" i="65"/>
  <c r="G280" i="65"/>
  <c r="I280" i="65"/>
  <c r="J280" i="65"/>
  <c r="K280" i="65"/>
  <c r="L280" i="65"/>
  <c r="Q280" i="65"/>
  <c r="T280" i="65"/>
  <c r="V280" i="65"/>
  <c r="Z280" i="65"/>
  <c r="AA280" i="65"/>
  <c r="C281" i="65"/>
  <c r="D281" i="65"/>
  <c r="E281" i="65"/>
  <c r="F281" i="65"/>
  <c r="G281" i="65"/>
  <c r="I281" i="65"/>
  <c r="J281" i="65"/>
  <c r="K281" i="65"/>
  <c r="L281" i="65"/>
  <c r="Q281" i="65"/>
  <c r="T281" i="65"/>
  <c r="V281" i="65"/>
  <c r="Z281" i="65"/>
  <c r="AA281" i="65"/>
  <c r="C282" i="65"/>
  <c r="D282" i="65"/>
  <c r="E282" i="65"/>
  <c r="F282" i="65"/>
  <c r="G282" i="65"/>
  <c r="I282" i="65"/>
  <c r="J282" i="65"/>
  <c r="K282" i="65"/>
  <c r="L282" i="65"/>
  <c r="Q282" i="65"/>
  <c r="T282" i="65"/>
  <c r="V282" i="65"/>
  <c r="Z282" i="65"/>
  <c r="AA282" i="65"/>
  <c r="C283" i="65"/>
  <c r="D283" i="65"/>
  <c r="E283" i="65"/>
  <c r="F283" i="65"/>
  <c r="G283" i="65"/>
  <c r="I283" i="65"/>
  <c r="J283" i="65"/>
  <c r="K283" i="65"/>
  <c r="L283" i="65"/>
  <c r="Q283" i="65"/>
  <c r="T283" i="65"/>
  <c r="V283" i="65"/>
  <c r="Z283" i="65"/>
  <c r="AA283" i="65"/>
  <c r="C284" i="65"/>
  <c r="D284" i="65"/>
  <c r="E284" i="65"/>
  <c r="F284" i="65"/>
  <c r="G284" i="65"/>
  <c r="I284" i="65"/>
  <c r="J284" i="65"/>
  <c r="K284" i="65"/>
  <c r="L284" i="65"/>
  <c r="Q284" i="65"/>
  <c r="T284" i="65"/>
  <c r="V284" i="65"/>
  <c r="Z284" i="65"/>
  <c r="AA284" i="65"/>
  <c r="C285" i="65"/>
  <c r="D285" i="65"/>
  <c r="E285" i="65"/>
  <c r="F285" i="65"/>
  <c r="G285" i="65"/>
  <c r="I285" i="65"/>
  <c r="J285" i="65"/>
  <c r="K285" i="65"/>
  <c r="L285" i="65"/>
  <c r="Q285" i="65"/>
  <c r="T285" i="65"/>
  <c r="V285" i="65"/>
  <c r="Z285" i="65"/>
  <c r="AA285" i="65"/>
  <c r="C286" i="65"/>
  <c r="D286" i="65"/>
  <c r="E286" i="65"/>
  <c r="F286" i="65"/>
  <c r="G286" i="65"/>
  <c r="I286" i="65"/>
  <c r="J286" i="65"/>
  <c r="K286" i="65"/>
  <c r="L286" i="65"/>
  <c r="Q286" i="65"/>
  <c r="T286" i="65"/>
  <c r="V286" i="65"/>
  <c r="Z286" i="65"/>
  <c r="AA286" i="65"/>
  <c r="C287" i="65"/>
  <c r="D287" i="65"/>
  <c r="E287" i="65"/>
  <c r="F287" i="65"/>
  <c r="G287" i="65"/>
  <c r="I287" i="65"/>
  <c r="J287" i="65"/>
  <c r="K287" i="65"/>
  <c r="L287" i="65"/>
  <c r="Q287" i="65"/>
  <c r="T287" i="65"/>
  <c r="V287" i="65"/>
  <c r="Z287" i="65"/>
  <c r="AA287" i="65"/>
  <c r="C288" i="65"/>
  <c r="D288" i="65"/>
  <c r="E288" i="65"/>
  <c r="F288" i="65"/>
  <c r="G288" i="65"/>
  <c r="I288" i="65"/>
  <c r="J288" i="65"/>
  <c r="K288" i="65"/>
  <c r="L288" i="65"/>
  <c r="Q288" i="65"/>
  <c r="T288" i="65"/>
  <c r="V288" i="65"/>
  <c r="Z288" i="65"/>
  <c r="AA288" i="65"/>
  <c r="C289" i="65"/>
  <c r="D289" i="65"/>
  <c r="E289" i="65"/>
  <c r="F289" i="65"/>
  <c r="G289" i="65"/>
  <c r="I289" i="65"/>
  <c r="J289" i="65"/>
  <c r="K289" i="65"/>
  <c r="L289" i="65"/>
  <c r="Q289" i="65"/>
  <c r="T289" i="65"/>
  <c r="V289" i="65"/>
  <c r="Z289" i="65"/>
  <c r="AA289" i="65"/>
  <c r="C290" i="65"/>
  <c r="D290" i="65"/>
  <c r="E290" i="65"/>
  <c r="F290" i="65"/>
  <c r="G290" i="65"/>
  <c r="I290" i="65"/>
  <c r="J290" i="65"/>
  <c r="K290" i="65"/>
  <c r="L290" i="65"/>
  <c r="Q290" i="65"/>
  <c r="T290" i="65"/>
  <c r="V290" i="65"/>
  <c r="Z290" i="65"/>
  <c r="AA290" i="65"/>
  <c r="C291" i="65"/>
  <c r="D291" i="65"/>
  <c r="E291" i="65"/>
  <c r="F291" i="65"/>
  <c r="G291" i="65"/>
  <c r="I291" i="65"/>
  <c r="J291" i="65"/>
  <c r="K291" i="65"/>
  <c r="L291" i="65"/>
  <c r="Q291" i="65"/>
  <c r="T291" i="65"/>
  <c r="V291" i="65"/>
  <c r="Z291" i="65"/>
  <c r="AA291" i="65"/>
  <c r="C292" i="65"/>
  <c r="D292" i="65"/>
  <c r="E292" i="65"/>
  <c r="F292" i="65"/>
  <c r="G292" i="65"/>
  <c r="I292" i="65"/>
  <c r="J292" i="65"/>
  <c r="K292" i="65"/>
  <c r="L292" i="65"/>
  <c r="Q292" i="65"/>
  <c r="T292" i="65"/>
  <c r="V292" i="65"/>
  <c r="Z292" i="65"/>
  <c r="AA292" i="65"/>
  <c r="C293" i="65"/>
  <c r="D293" i="65"/>
  <c r="E293" i="65"/>
  <c r="F293" i="65"/>
  <c r="G293" i="65"/>
  <c r="I293" i="65"/>
  <c r="J293" i="65"/>
  <c r="K293" i="65"/>
  <c r="L293" i="65"/>
  <c r="Q293" i="65"/>
  <c r="T293" i="65"/>
  <c r="V293" i="65"/>
  <c r="Z293" i="65"/>
  <c r="AA293" i="65"/>
  <c r="C294" i="65"/>
  <c r="D294" i="65"/>
  <c r="E294" i="65"/>
  <c r="F294" i="65"/>
  <c r="G294" i="65"/>
  <c r="I294" i="65"/>
  <c r="J294" i="65"/>
  <c r="K294" i="65"/>
  <c r="L294" i="65"/>
  <c r="Q294" i="65"/>
  <c r="T294" i="65"/>
  <c r="V294" i="65"/>
  <c r="Z294" i="65"/>
  <c r="AA294" i="65"/>
  <c r="C295" i="65"/>
  <c r="D295" i="65"/>
  <c r="E295" i="65"/>
  <c r="F295" i="65"/>
  <c r="G295" i="65"/>
  <c r="I295" i="65"/>
  <c r="J295" i="65"/>
  <c r="K295" i="65"/>
  <c r="L295" i="65"/>
  <c r="Q295" i="65"/>
  <c r="T295" i="65"/>
  <c r="V295" i="65"/>
  <c r="Z295" i="65"/>
  <c r="AA295" i="65"/>
  <c r="C296" i="65"/>
  <c r="D296" i="65"/>
  <c r="E296" i="65"/>
  <c r="F296" i="65"/>
  <c r="G296" i="65"/>
  <c r="I296" i="65"/>
  <c r="J296" i="65"/>
  <c r="K296" i="65"/>
  <c r="L296" i="65"/>
  <c r="Q296" i="65"/>
  <c r="T296" i="65"/>
  <c r="V296" i="65"/>
  <c r="Z296" i="65"/>
  <c r="AA296" i="65"/>
  <c r="C297" i="65"/>
  <c r="D297" i="65"/>
  <c r="E297" i="65"/>
  <c r="F297" i="65"/>
  <c r="G297" i="65"/>
  <c r="I297" i="65"/>
  <c r="J297" i="65"/>
  <c r="K297" i="65"/>
  <c r="L297" i="65"/>
  <c r="Q297" i="65"/>
  <c r="T297" i="65"/>
  <c r="V297" i="65"/>
  <c r="Z297" i="65"/>
  <c r="AA297" i="65"/>
  <c r="C298" i="65"/>
  <c r="D298" i="65"/>
  <c r="E298" i="65"/>
  <c r="F298" i="65"/>
  <c r="G298" i="65"/>
  <c r="I298" i="65"/>
  <c r="J298" i="65"/>
  <c r="K298" i="65"/>
  <c r="L298" i="65"/>
  <c r="Q298" i="65"/>
  <c r="T298" i="65"/>
  <c r="V298" i="65"/>
  <c r="Z298" i="65"/>
  <c r="AA298" i="65"/>
  <c r="C299" i="65"/>
  <c r="D299" i="65"/>
  <c r="E299" i="65"/>
  <c r="F299" i="65"/>
  <c r="G299" i="65"/>
  <c r="I299" i="65"/>
  <c r="J299" i="65"/>
  <c r="K299" i="65"/>
  <c r="L299" i="65"/>
  <c r="Q299" i="65"/>
  <c r="T299" i="65"/>
  <c r="V299" i="65"/>
  <c r="Z299" i="65"/>
  <c r="AA299" i="65"/>
  <c r="C300" i="65"/>
  <c r="D300" i="65"/>
  <c r="E300" i="65"/>
  <c r="F300" i="65"/>
  <c r="G300" i="65"/>
  <c r="I300" i="65"/>
  <c r="J300" i="65"/>
  <c r="K300" i="65"/>
  <c r="L300" i="65"/>
  <c r="Q300" i="65"/>
  <c r="T300" i="65"/>
  <c r="V300" i="65"/>
  <c r="Z300" i="65"/>
  <c r="AA300" i="65"/>
  <c r="C301" i="65"/>
  <c r="D301" i="65"/>
  <c r="E301" i="65"/>
  <c r="F301" i="65"/>
  <c r="G301" i="65"/>
  <c r="I301" i="65"/>
  <c r="J301" i="65"/>
  <c r="K301" i="65"/>
  <c r="L301" i="65"/>
  <c r="Q301" i="65"/>
  <c r="T301" i="65"/>
  <c r="V301" i="65"/>
  <c r="Z301" i="65"/>
  <c r="AA301" i="65"/>
  <c r="C302" i="65"/>
  <c r="D302" i="65"/>
  <c r="E302" i="65"/>
  <c r="F302" i="65"/>
  <c r="G302" i="65"/>
  <c r="I302" i="65"/>
  <c r="J302" i="65"/>
  <c r="K302" i="65"/>
  <c r="L302" i="65"/>
  <c r="Q302" i="65"/>
  <c r="T302" i="65"/>
  <c r="V302" i="65"/>
  <c r="Z302" i="65"/>
  <c r="AA302" i="65"/>
  <c r="C303" i="65"/>
  <c r="D303" i="65"/>
  <c r="E303" i="65"/>
  <c r="F303" i="65"/>
  <c r="G303" i="65"/>
  <c r="I303" i="65"/>
  <c r="J303" i="65"/>
  <c r="K303" i="65"/>
  <c r="L303" i="65"/>
  <c r="Q303" i="65"/>
  <c r="T303" i="65"/>
  <c r="V303" i="65"/>
  <c r="Z303" i="65"/>
  <c r="AA303" i="65"/>
  <c r="C304" i="65"/>
  <c r="D304" i="65"/>
  <c r="E304" i="65"/>
  <c r="F304" i="65"/>
  <c r="G304" i="65"/>
  <c r="I304" i="65"/>
  <c r="J304" i="65"/>
  <c r="K304" i="65"/>
  <c r="L304" i="65"/>
  <c r="Q304" i="65"/>
  <c r="T304" i="65"/>
  <c r="V304" i="65"/>
  <c r="Z304" i="65"/>
  <c r="AA304" i="65"/>
  <c r="C305" i="65"/>
  <c r="D305" i="65"/>
  <c r="E305" i="65"/>
  <c r="F305" i="65"/>
  <c r="G305" i="65"/>
  <c r="I305" i="65"/>
  <c r="J305" i="65"/>
  <c r="K305" i="65"/>
  <c r="L305" i="65"/>
  <c r="Q305" i="65"/>
  <c r="T305" i="65"/>
  <c r="V305" i="65"/>
  <c r="Z305" i="65"/>
  <c r="AA305" i="65"/>
  <c r="C306" i="65"/>
  <c r="D306" i="65"/>
  <c r="E306" i="65"/>
  <c r="F306" i="65"/>
  <c r="G306" i="65"/>
  <c r="I306" i="65"/>
  <c r="J306" i="65"/>
  <c r="K306" i="65"/>
  <c r="L306" i="65"/>
  <c r="Q306" i="65"/>
  <c r="T306" i="65"/>
  <c r="V306" i="65"/>
  <c r="Z306" i="65"/>
  <c r="AA306" i="65"/>
  <c r="C307" i="65"/>
  <c r="D307" i="65"/>
  <c r="E307" i="65"/>
  <c r="F307" i="65"/>
  <c r="G307" i="65"/>
  <c r="I307" i="65"/>
  <c r="J307" i="65"/>
  <c r="K307" i="65"/>
  <c r="L307" i="65"/>
  <c r="Q307" i="65"/>
  <c r="T307" i="65"/>
  <c r="V307" i="65"/>
  <c r="Z307" i="65"/>
  <c r="AA307" i="65"/>
  <c r="C308" i="65"/>
  <c r="D308" i="65"/>
  <c r="E308" i="65"/>
  <c r="F308" i="65"/>
  <c r="G308" i="65"/>
  <c r="I308" i="65"/>
  <c r="J308" i="65"/>
  <c r="K308" i="65"/>
  <c r="L308" i="65"/>
  <c r="Q308" i="65"/>
  <c r="T308" i="65"/>
  <c r="V308" i="65"/>
  <c r="Z308" i="65"/>
  <c r="AA308" i="65"/>
  <c r="C309" i="65"/>
  <c r="D309" i="65"/>
  <c r="E309" i="65"/>
  <c r="F309" i="65"/>
  <c r="G309" i="65"/>
  <c r="I309" i="65"/>
  <c r="J309" i="65"/>
  <c r="K309" i="65"/>
  <c r="L309" i="65"/>
  <c r="Q309" i="65"/>
  <c r="T309" i="65"/>
  <c r="V309" i="65"/>
  <c r="Z309" i="65"/>
  <c r="AA309" i="65"/>
  <c r="C310" i="65"/>
  <c r="D310" i="65"/>
  <c r="E310" i="65"/>
  <c r="F310" i="65"/>
  <c r="G310" i="65"/>
  <c r="I310" i="65"/>
  <c r="J310" i="65"/>
  <c r="K310" i="65"/>
  <c r="L310" i="65"/>
  <c r="Q310" i="65"/>
  <c r="T310" i="65"/>
  <c r="V310" i="65"/>
  <c r="Z310" i="65"/>
  <c r="AA310" i="65"/>
  <c r="C311" i="65"/>
  <c r="D311" i="65"/>
  <c r="E311" i="65"/>
  <c r="F311" i="65"/>
  <c r="G311" i="65"/>
  <c r="I311" i="65"/>
  <c r="J311" i="65"/>
  <c r="K311" i="65"/>
  <c r="L311" i="65"/>
  <c r="Q311" i="65"/>
  <c r="T311" i="65"/>
  <c r="V311" i="65"/>
  <c r="Z311" i="65"/>
  <c r="AA311" i="65"/>
  <c r="C312" i="65"/>
  <c r="D312" i="65"/>
  <c r="E312" i="65"/>
  <c r="F312" i="65"/>
  <c r="G312" i="65"/>
  <c r="I312" i="65"/>
  <c r="J312" i="65"/>
  <c r="K312" i="65"/>
  <c r="L312" i="65"/>
  <c r="Q312" i="65"/>
  <c r="T312" i="65"/>
  <c r="V312" i="65"/>
  <c r="Z312" i="65"/>
  <c r="AA312" i="65"/>
  <c r="C313" i="65"/>
  <c r="D313" i="65"/>
  <c r="E313" i="65"/>
  <c r="F313" i="65"/>
  <c r="G313" i="65"/>
  <c r="I313" i="65"/>
  <c r="J313" i="65"/>
  <c r="K313" i="65"/>
  <c r="L313" i="65"/>
  <c r="Q313" i="65"/>
  <c r="T313" i="65"/>
  <c r="V313" i="65"/>
  <c r="Z313" i="65"/>
  <c r="AA313" i="65"/>
  <c r="C314" i="65"/>
  <c r="D314" i="65"/>
  <c r="E314" i="65"/>
  <c r="F314" i="65"/>
  <c r="G314" i="65"/>
  <c r="I314" i="65"/>
  <c r="J314" i="65"/>
  <c r="K314" i="65"/>
  <c r="L314" i="65"/>
  <c r="Q314" i="65"/>
  <c r="T314" i="65"/>
  <c r="V314" i="65"/>
  <c r="Z314" i="65"/>
  <c r="AA314" i="65"/>
  <c r="C315" i="65"/>
  <c r="D315" i="65"/>
  <c r="E315" i="65"/>
  <c r="F315" i="65"/>
  <c r="G315" i="65"/>
  <c r="I315" i="65"/>
  <c r="J315" i="65"/>
  <c r="K315" i="65"/>
  <c r="L315" i="65"/>
  <c r="Q315" i="65"/>
  <c r="T315" i="65"/>
  <c r="V315" i="65"/>
  <c r="Z315" i="65"/>
  <c r="AA315" i="65"/>
  <c r="C316" i="65"/>
  <c r="D316" i="65"/>
  <c r="E316" i="65"/>
  <c r="F316" i="65"/>
  <c r="G316" i="65"/>
  <c r="I316" i="65"/>
  <c r="J316" i="65"/>
  <c r="K316" i="65"/>
  <c r="L316" i="65"/>
  <c r="Q316" i="65"/>
  <c r="T316" i="65"/>
  <c r="V316" i="65"/>
  <c r="Z316" i="65"/>
  <c r="AA316" i="65"/>
  <c r="C317" i="65"/>
  <c r="D317" i="65"/>
  <c r="E317" i="65"/>
  <c r="F317" i="65"/>
  <c r="G317" i="65"/>
  <c r="I317" i="65"/>
  <c r="J317" i="65"/>
  <c r="K317" i="65"/>
  <c r="L317" i="65"/>
  <c r="Q317" i="65"/>
  <c r="T317" i="65"/>
  <c r="V317" i="65"/>
  <c r="Z317" i="65"/>
  <c r="AA317" i="65"/>
  <c r="C318" i="65"/>
  <c r="D318" i="65"/>
  <c r="E318" i="65"/>
  <c r="F318" i="65"/>
  <c r="G318" i="65"/>
  <c r="I318" i="65"/>
  <c r="J318" i="65"/>
  <c r="K318" i="65"/>
  <c r="L318" i="65"/>
  <c r="Q318" i="65"/>
  <c r="T318" i="65"/>
  <c r="V318" i="65"/>
  <c r="Z318" i="65"/>
  <c r="AA318" i="65"/>
  <c r="C319" i="65"/>
  <c r="D319" i="65"/>
  <c r="E319" i="65"/>
  <c r="F319" i="65"/>
  <c r="G319" i="65"/>
  <c r="I319" i="65"/>
  <c r="J319" i="65"/>
  <c r="K319" i="65"/>
  <c r="L319" i="65"/>
  <c r="Q319" i="65"/>
  <c r="T319" i="65"/>
  <c r="V319" i="65"/>
  <c r="Z319" i="65"/>
  <c r="AA319" i="65"/>
  <c r="C320" i="65"/>
  <c r="D320" i="65"/>
  <c r="E320" i="65"/>
  <c r="F320" i="65"/>
  <c r="G320" i="65"/>
  <c r="I320" i="65"/>
  <c r="J320" i="65"/>
  <c r="K320" i="65"/>
  <c r="L320" i="65"/>
  <c r="Q320" i="65"/>
  <c r="T320" i="65"/>
  <c r="V320" i="65"/>
  <c r="Z320" i="65"/>
  <c r="AA320" i="65"/>
  <c r="C321" i="65"/>
  <c r="D321" i="65"/>
  <c r="E321" i="65"/>
  <c r="F321" i="65"/>
  <c r="G321" i="65"/>
  <c r="I321" i="65"/>
  <c r="J321" i="65"/>
  <c r="K321" i="65"/>
  <c r="L321" i="65"/>
  <c r="Q321" i="65"/>
  <c r="T321" i="65"/>
  <c r="V321" i="65"/>
  <c r="Z321" i="65"/>
  <c r="AA321" i="65"/>
  <c r="C322" i="65"/>
  <c r="D322" i="65"/>
  <c r="E322" i="65"/>
  <c r="F322" i="65"/>
  <c r="G322" i="65"/>
  <c r="I322" i="65"/>
  <c r="J322" i="65"/>
  <c r="K322" i="65"/>
  <c r="L322" i="65"/>
  <c r="Q322" i="65"/>
  <c r="T322" i="65"/>
  <c r="V322" i="65"/>
  <c r="Z322" i="65"/>
  <c r="AA322" i="65"/>
  <c r="C323" i="65"/>
  <c r="D323" i="65"/>
  <c r="E323" i="65"/>
  <c r="F323" i="65"/>
  <c r="G323" i="65"/>
  <c r="I323" i="65"/>
  <c r="J323" i="65"/>
  <c r="K323" i="65"/>
  <c r="L323" i="65"/>
  <c r="Q323" i="65"/>
  <c r="T323" i="65"/>
  <c r="V323" i="65"/>
  <c r="Z323" i="65"/>
  <c r="AA323" i="65"/>
  <c r="C324" i="65"/>
  <c r="D324" i="65"/>
  <c r="E324" i="65"/>
  <c r="F324" i="65"/>
  <c r="G324" i="65"/>
  <c r="I324" i="65"/>
  <c r="J324" i="65"/>
  <c r="K324" i="65"/>
  <c r="L324" i="65"/>
  <c r="Q324" i="65"/>
  <c r="T324" i="65"/>
  <c r="V324" i="65"/>
  <c r="Z324" i="65"/>
  <c r="AA324" i="65"/>
  <c r="C325" i="65"/>
  <c r="D325" i="65"/>
  <c r="E325" i="65"/>
  <c r="F325" i="65"/>
  <c r="G325" i="65"/>
  <c r="I325" i="65"/>
  <c r="J325" i="65"/>
  <c r="K325" i="65"/>
  <c r="L325" i="65"/>
  <c r="Q325" i="65"/>
  <c r="T325" i="65"/>
  <c r="V325" i="65"/>
  <c r="Z325" i="65"/>
  <c r="AA325" i="65"/>
  <c r="C326" i="65"/>
  <c r="D326" i="65"/>
  <c r="E326" i="65"/>
  <c r="F326" i="65"/>
  <c r="G326" i="65"/>
  <c r="I326" i="65"/>
  <c r="J326" i="65"/>
  <c r="K326" i="65"/>
  <c r="L326" i="65"/>
  <c r="Q326" i="65"/>
  <c r="T326" i="65"/>
  <c r="V326" i="65"/>
  <c r="Z326" i="65"/>
  <c r="AA326" i="65"/>
  <c r="C327" i="65"/>
  <c r="D327" i="65"/>
  <c r="E327" i="65"/>
  <c r="F327" i="65"/>
  <c r="G327" i="65"/>
  <c r="I327" i="65"/>
  <c r="J327" i="65"/>
  <c r="K327" i="65"/>
  <c r="L327" i="65"/>
  <c r="Q327" i="65"/>
  <c r="T327" i="65"/>
  <c r="V327" i="65"/>
  <c r="Z327" i="65"/>
  <c r="AA327" i="65"/>
  <c r="C328" i="65"/>
  <c r="D328" i="65"/>
  <c r="E328" i="65"/>
  <c r="F328" i="65"/>
  <c r="G328" i="65"/>
  <c r="I328" i="65"/>
  <c r="J328" i="65"/>
  <c r="K328" i="65"/>
  <c r="L328" i="65"/>
  <c r="Q328" i="65"/>
  <c r="T328" i="65"/>
  <c r="V328" i="65"/>
  <c r="Z328" i="65"/>
  <c r="AA328" i="65"/>
  <c r="C329" i="65"/>
  <c r="D329" i="65"/>
  <c r="E329" i="65"/>
  <c r="F329" i="65"/>
  <c r="G329" i="65"/>
  <c r="I329" i="65"/>
  <c r="J329" i="65"/>
  <c r="K329" i="65"/>
  <c r="L329" i="65"/>
  <c r="Q329" i="65"/>
  <c r="T329" i="65"/>
  <c r="V329" i="65"/>
  <c r="Z329" i="65"/>
  <c r="AA329" i="65"/>
  <c r="C330" i="65"/>
  <c r="D330" i="65"/>
  <c r="E330" i="65"/>
  <c r="F330" i="65"/>
  <c r="G330" i="65"/>
  <c r="I330" i="65"/>
  <c r="J330" i="65"/>
  <c r="K330" i="65"/>
  <c r="L330" i="65"/>
  <c r="Q330" i="65"/>
  <c r="T330" i="65"/>
  <c r="V330" i="65"/>
  <c r="Z330" i="65"/>
  <c r="AA330" i="65"/>
  <c r="C331" i="65"/>
  <c r="D331" i="65"/>
  <c r="E331" i="65"/>
  <c r="F331" i="65"/>
  <c r="G331" i="65"/>
  <c r="I331" i="65"/>
  <c r="J331" i="65"/>
  <c r="K331" i="65"/>
  <c r="L331" i="65"/>
  <c r="Q331" i="65"/>
  <c r="T331" i="65"/>
  <c r="V331" i="65"/>
  <c r="Z331" i="65"/>
  <c r="AA331" i="65"/>
  <c r="C332" i="65"/>
  <c r="D332" i="65"/>
  <c r="E332" i="65"/>
  <c r="F332" i="65"/>
  <c r="G332" i="65"/>
  <c r="I332" i="65"/>
  <c r="J332" i="65"/>
  <c r="K332" i="65"/>
  <c r="L332" i="65"/>
  <c r="Q332" i="65"/>
  <c r="T332" i="65"/>
  <c r="V332" i="65"/>
  <c r="Z332" i="65"/>
  <c r="AA332" i="65"/>
  <c r="C333" i="65"/>
  <c r="D333" i="65"/>
  <c r="E333" i="65"/>
  <c r="F333" i="65"/>
  <c r="G333" i="65"/>
  <c r="I333" i="65"/>
  <c r="J333" i="65"/>
  <c r="K333" i="65"/>
  <c r="L333" i="65"/>
  <c r="Q333" i="65"/>
  <c r="T333" i="65"/>
  <c r="V333" i="65"/>
  <c r="Z333" i="65"/>
  <c r="AA333" i="65"/>
  <c r="C334" i="65"/>
  <c r="D334" i="65"/>
  <c r="E334" i="65"/>
  <c r="F334" i="65"/>
  <c r="G334" i="65"/>
  <c r="I334" i="65"/>
  <c r="J334" i="65"/>
  <c r="K334" i="65"/>
  <c r="L334" i="65"/>
  <c r="Q334" i="65"/>
  <c r="T334" i="65"/>
  <c r="V334" i="65"/>
  <c r="Z334" i="65"/>
  <c r="AA334" i="65"/>
  <c r="C335" i="65"/>
  <c r="D335" i="65"/>
  <c r="E335" i="65"/>
  <c r="F335" i="65"/>
  <c r="G335" i="65"/>
  <c r="I335" i="65"/>
  <c r="J335" i="65"/>
  <c r="K335" i="65"/>
  <c r="L335" i="65"/>
  <c r="Q335" i="65"/>
  <c r="T335" i="65"/>
  <c r="V335" i="65"/>
  <c r="Z335" i="65"/>
  <c r="AA335" i="65"/>
  <c r="C336" i="65"/>
  <c r="D336" i="65"/>
  <c r="E336" i="65"/>
  <c r="F336" i="65"/>
  <c r="G336" i="65"/>
  <c r="I336" i="65"/>
  <c r="J336" i="65"/>
  <c r="K336" i="65"/>
  <c r="L336" i="65"/>
  <c r="Q336" i="65"/>
  <c r="T336" i="65"/>
  <c r="V336" i="65"/>
  <c r="Z336" i="65"/>
  <c r="AA336" i="65"/>
  <c r="C337" i="65"/>
  <c r="D337" i="65"/>
  <c r="E337" i="65"/>
  <c r="F337" i="65"/>
  <c r="G337" i="65"/>
  <c r="I337" i="65"/>
  <c r="J337" i="65"/>
  <c r="K337" i="65"/>
  <c r="L337" i="65"/>
  <c r="Q337" i="65"/>
  <c r="T337" i="65"/>
  <c r="V337" i="65"/>
  <c r="Z337" i="65"/>
  <c r="AA337" i="65"/>
  <c r="C338" i="65"/>
  <c r="D338" i="65"/>
  <c r="E338" i="65"/>
  <c r="F338" i="65"/>
  <c r="G338" i="65"/>
  <c r="I338" i="65"/>
  <c r="J338" i="65"/>
  <c r="K338" i="65"/>
  <c r="L338" i="65"/>
  <c r="Q338" i="65"/>
  <c r="T338" i="65"/>
  <c r="V338" i="65"/>
  <c r="Z338" i="65"/>
  <c r="AA338" i="65"/>
  <c r="C339" i="65"/>
  <c r="D339" i="65"/>
  <c r="E339" i="65"/>
  <c r="F339" i="65"/>
  <c r="G339" i="65"/>
  <c r="I339" i="65"/>
  <c r="J339" i="65"/>
  <c r="K339" i="65"/>
  <c r="L339" i="65"/>
  <c r="Q339" i="65"/>
  <c r="T339" i="65"/>
  <c r="V339" i="65"/>
  <c r="Z339" i="65"/>
  <c r="AA339" i="65"/>
  <c r="C340" i="65"/>
  <c r="D340" i="65"/>
  <c r="E340" i="65"/>
  <c r="F340" i="65"/>
  <c r="G340" i="65"/>
  <c r="I340" i="65"/>
  <c r="J340" i="65"/>
  <c r="K340" i="65"/>
  <c r="L340" i="65"/>
  <c r="Q340" i="65"/>
  <c r="T340" i="65"/>
  <c r="V340" i="65"/>
  <c r="Z340" i="65"/>
  <c r="AA340" i="65"/>
  <c r="C341" i="65"/>
  <c r="D341" i="65"/>
  <c r="E341" i="65"/>
  <c r="F341" i="65"/>
  <c r="G341" i="65"/>
  <c r="I341" i="65"/>
  <c r="J341" i="65"/>
  <c r="K341" i="65"/>
  <c r="L341" i="65"/>
  <c r="Q341" i="65"/>
  <c r="T341" i="65"/>
  <c r="V341" i="65"/>
  <c r="Z341" i="65"/>
  <c r="AA341" i="65"/>
  <c r="C342" i="65"/>
  <c r="D342" i="65"/>
  <c r="E342" i="65"/>
  <c r="F342" i="65"/>
  <c r="G342" i="65"/>
  <c r="I342" i="65"/>
  <c r="J342" i="65"/>
  <c r="K342" i="65"/>
  <c r="L342" i="65"/>
  <c r="Q342" i="65"/>
  <c r="T342" i="65"/>
  <c r="V342" i="65"/>
  <c r="Z342" i="65"/>
  <c r="AA342" i="65"/>
  <c r="C343" i="65"/>
  <c r="D343" i="65"/>
  <c r="E343" i="65"/>
  <c r="F343" i="65"/>
  <c r="G343" i="65"/>
  <c r="I343" i="65"/>
  <c r="J343" i="65"/>
  <c r="K343" i="65"/>
  <c r="L343" i="65"/>
  <c r="Q343" i="65"/>
  <c r="T343" i="65"/>
  <c r="V343" i="65"/>
  <c r="Z343" i="65"/>
  <c r="AA343" i="65"/>
  <c r="C344" i="65"/>
  <c r="D344" i="65"/>
  <c r="E344" i="65"/>
  <c r="F344" i="65"/>
  <c r="G344" i="65"/>
  <c r="I344" i="65"/>
  <c r="J344" i="65"/>
  <c r="K344" i="65"/>
  <c r="L344" i="65"/>
  <c r="Q344" i="65"/>
  <c r="T344" i="65"/>
  <c r="V344" i="65"/>
  <c r="Z344" i="65"/>
  <c r="AA344" i="65"/>
  <c r="C345" i="65"/>
  <c r="D345" i="65"/>
  <c r="E345" i="65"/>
  <c r="F345" i="65"/>
  <c r="G345" i="65"/>
  <c r="I345" i="65"/>
  <c r="J345" i="65"/>
  <c r="K345" i="65"/>
  <c r="L345" i="65"/>
  <c r="Q345" i="65"/>
  <c r="T345" i="65"/>
  <c r="V345" i="65"/>
  <c r="Z345" i="65"/>
  <c r="AA345" i="65"/>
  <c r="C346" i="65"/>
  <c r="D346" i="65"/>
  <c r="E346" i="65"/>
  <c r="F346" i="65"/>
  <c r="G346" i="65"/>
  <c r="I346" i="65"/>
  <c r="J346" i="65"/>
  <c r="K346" i="65"/>
  <c r="L346" i="65"/>
  <c r="Q346" i="65"/>
  <c r="T346" i="65"/>
  <c r="V346" i="65"/>
  <c r="Z346" i="65"/>
  <c r="AA346" i="65"/>
  <c r="C347" i="65"/>
  <c r="D347" i="65"/>
  <c r="E347" i="65"/>
  <c r="F347" i="65"/>
  <c r="G347" i="65"/>
  <c r="I347" i="65"/>
  <c r="J347" i="65"/>
  <c r="K347" i="65"/>
  <c r="L347" i="65"/>
  <c r="Q347" i="65"/>
  <c r="T347" i="65"/>
  <c r="V347" i="65"/>
  <c r="Z347" i="65"/>
  <c r="AA347" i="65"/>
  <c r="C348" i="65"/>
  <c r="D348" i="65"/>
  <c r="E348" i="65"/>
  <c r="F348" i="65"/>
  <c r="G348" i="65"/>
  <c r="I348" i="65"/>
  <c r="J348" i="65"/>
  <c r="K348" i="65"/>
  <c r="L348" i="65"/>
  <c r="Q348" i="65"/>
  <c r="T348" i="65"/>
  <c r="V348" i="65"/>
  <c r="Z348" i="65"/>
  <c r="AA348" i="65"/>
  <c r="C349" i="65"/>
  <c r="D349" i="65"/>
  <c r="E349" i="65"/>
  <c r="F349" i="65"/>
  <c r="G349" i="65"/>
  <c r="I349" i="65"/>
  <c r="J349" i="65"/>
  <c r="K349" i="65"/>
  <c r="L349" i="65"/>
  <c r="Q349" i="65"/>
  <c r="T349" i="65"/>
  <c r="V349" i="65"/>
  <c r="Z349" i="65"/>
  <c r="AA349" i="65"/>
  <c r="C350" i="65"/>
  <c r="D350" i="65"/>
  <c r="E350" i="65"/>
  <c r="F350" i="65"/>
  <c r="G350" i="65"/>
  <c r="I350" i="65"/>
  <c r="J350" i="65"/>
  <c r="K350" i="65"/>
  <c r="L350" i="65"/>
  <c r="Q350" i="65"/>
  <c r="T350" i="65"/>
  <c r="V350" i="65"/>
  <c r="Z350" i="65"/>
  <c r="AA350" i="65"/>
  <c r="C351" i="65"/>
  <c r="D351" i="65"/>
  <c r="E351" i="65"/>
  <c r="F351" i="65"/>
  <c r="G351" i="65"/>
  <c r="I351" i="65"/>
  <c r="J351" i="65"/>
  <c r="K351" i="65"/>
  <c r="L351" i="65"/>
  <c r="Q351" i="65"/>
  <c r="T351" i="65"/>
  <c r="V351" i="65"/>
  <c r="Z351" i="65"/>
  <c r="AA351" i="65"/>
  <c r="C352" i="65"/>
  <c r="D352" i="65"/>
  <c r="E352" i="65"/>
  <c r="F352" i="65"/>
  <c r="G352" i="65"/>
  <c r="I352" i="65"/>
  <c r="J352" i="65"/>
  <c r="K352" i="65"/>
  <c r="L352" i="65"/>
  <c r="Q352" i="65"/>
  <c r="T352" i="65"/>
  <c r="V352" i="65"/>
  <c r="Z352" i="65"/>
  <c r="AA352" i="65"/>
  <c r="C353" i="65"/>
  <c r="D353" i="65"/>
  <c r="E353" i="65"/>
  <c r="F353" i="65"/>
  <c r="G353" i="65"/>
  <c r="I353" i="65"/>
  <c r="J353" i="65"/>
  <c r="K353" i="65"/>
  <c r="L353" i="65"/>
  <c r="Q353" i="65"/>
  <c r="T353" i="65"/>
  <c r="V353" i="65"/>
  <c r="Z353" i="65"/>
  <c r="AA353" i="65"/>
  <c r="C354" i="65"/>
  <c r="D354" i="65"/>
  <c r="E354" i="65"/>
  <c r="F354" i="65"/>
  <c r="G354" i="65"/>
  <c r="I354" i="65"/>
  <c r="J354" i="65"/>
  <c r="K354" i="65"/>
  <c r="L354" i="65"/>
  <c r="Q354" i="65"/>
  <c r="T354" i="65"/>
  <c r="V354" i="65"/>
  <c r="Z354" i="65"/>
  <c r="AA354" i="65"/>
  <c r="C355" i="65"/>
  <c r="D355" i="65"/>
  <c r="E355" i="65"/>
  <c r="F355" i="65"/>
  <c r="G355" i="65"/>
  <c r="I355" i="65"/>
  <c r="J355" i="65"/>
  <c r="K355" i="65"/>
  <c r="L355" i="65"/>
  <c r="Q355" i="65"/>
  <c r="T355" i="65"/>
  <c r="V355" i="65"/>
  <c r="Z355" i="65"/>
  <c r="AA355" i="65"/>
  <c r="C356" i="65"/>
  <c r="D356" i="65"/>
  <c r="E356" i="65"/>
  <c r="F356" i="65"/>
  <c r="G356" i="65"/>
  <c r="I356" i="65"/>
  <c r="J356" i="65"/>
  <c r="K356" i="65"/>
  <c r="L356" i="65"/>
  <c r="Q356" i="65"/>
  <c r="T356" i="65"/>
  <c r="V356" i="65"/>
  <c r="Z356" i="65"/>
  <c r="AA356" i="65"/>
  <c r="C357" i="65"/>
  <c r="D357" i="65"/>
  <c r="E357" i="65"/>
  <c r="F357" i="65"/>
  <c r="G357" i="65"/>
  <c r="I357" i="65"/>
  <c r="J357" i="65"/>
  <c r="K357" i="65"/>
  <c r="L357" i="65"/>
  <c r="Q357" i="65"/>
  <c r="T357" i="65"/>
  <c r="V357" i="65"/>
  <c r="Z357" i="65"/>
  <c r="AA357" i="65"/>
  <c r="C358" i="65"/>
  <c r="D358" i="65"/>
  <c r="E358" i="65"/>
  <c r="F358" i="65"/>
  <c r="G358" i="65"/>
  <c r="I358" i="65"/>
  <c r="J358" i="65"/>
  <c r="K358" i="65"/>
  <c r="L358" i="65"/>
  <c r="Q358" i="65"/>
  <c r="T358" i="65"/>
  <c r="V358" i="65"/>
  <c r="Z358" i="65"/>
  <c r="AA358" i="65"/>
  <c r="C359" i="65"/>
  <c r="D359" i="65"/>
  <c r="E359" i="65"/>
  <c r="F359" i="65"/>
  <c r="G359" i="65"/>
  <c r="I359" i="65"/>
  <c r="J359" i="65"/>
  <c r="K359" i="65"/>
  <c r="L359" i="65"/>
  <c r="Q359" i="65"/>
  <c r="T359" i="65"/>
  <c r="V359" i="65"/>
  <c r="Z359" i="65"/>
  <c r="AA359" i="65"/>
  <c r="C360" i="65"/>
  <c r="D360" i="65"/>
  <c r="E360" i="65"/>
  <c r="F360" i="65"/>
  <c r="G360" i="65"/>
  <c r="I360" i="65"/>
  <c r="J360" i="65"/>
  <c r="K360" i="65"/>
  <c r="L360" i="65"/>
  <c r="Q360" i="65"/>
  <c r="T360" i="65"/>
  <c r="V360" i="65"/>
  <c r="Z360" i="65"/>
  <c r="AA360" i="65"/>
  <c r="C361" i="65"/>
  <c r="D361" i="65"/>
  <c r="E361" i="65"/>
  <c r="F361" i="65"/>
  <c r="G361" i="65"/>
  <c r="I361" i="65"/>
  <c r="J361" i="65"/>
  <c r="K361" i="65"/>
  <c r="L361" i="65"/>
  <c r="Q361" i="65"/>
  <c r="T361" i="65"/>
  <c r="V361" i="65"/>
  <c r="Z361" i="65"/>
  <c r="AA361" i="65"/>
  <c r="C362" i="65"/>
  <c r="D362" i="65"/>
  <c r="E362" i="65"/>
  <c r="F362" i="65"/>
  <c r="G362" i="65"/>
  <c r="I362" i="65"/>
  <c r="J362" i="65"/>
  <c r="K362" i="65"/>
  <c r="L362" i="65"/>
  <c r="Q362" i="65"/>
  <c r="T362" i="65"/>
  <c r="V362" i="65"/>
  <c r="Z362" i="65"/>
  <c r="AA362" i="65"/>
  <c r="C363" i="65"/>
  <c r="D363" i="65"/>
  <c r="E363" i="65"/>
  <c r="F363" i="65"/>
  <c r="G363" i="65"/>
  <c r="I363" i="65"/>
  <c r="J363" i="65"/>
  <c r="K363" i="65"/>
  <c r="L363" i="65"/>
  <c r="Q363" i="65"/>
  <c r="T363" i="65"/>
  <c r="V363" i="65"/>
  <c r="Z363" i="65"/>
  <c r="AA363" i="65"/>
  <c r="C364" i="65"/>
  <c r="D364" i="65"/>
  <c r="E364" i="65"/>
  <c r="F364" i="65"/>
  <c r="G364" i="65"/>
  <c r="I364" i="65"/>
  <c r="J364" i="65"/>
  <c r="K364" i="65"/>
  <c r="L364" i="65"/>
  <c r="Q364" i="65"/>
  <c r="T364" i="65"/>
  <c r="V364" i="65"/>
  <c r="Z364" i="65"/>
  <c r="AA364" i="65"/>
  <c r="C365" i="65"/>
  <c r="D365" i="65"/>
  <c r="E365" i="65"/>
  <c r="F365" i="65"/>
  <c r="G365" i="65"/>
  <c r="I365" i="65"/>
  <c r="J365" i="65"/>
  <c r="K365" i="65"/>
  <c r="L365" i="65"/>
  <c r="Q365" i="65"/>
  <c r="T365" i="65"/>
  <c r="V365" i="65"/>
  <c r="Z365" i="65"/>
  <c r="AA365" i="65"/>
  <c r="C366" i="65"/>
  <c r="D366" i="65"/>
  <c r="E366" i="65"/>
  <c r="F366" i="65"/>
  <c r="G366" i="65"/>
  <c r="I366" i="65"/>
  <c r="J366" i="65"/>
  <c r="K366" i="65"/>
  <c r="L366" i="65"/>
  <c r="Q366" i="65"/>
  <c r="T366" i="65"/>
  <c r="V366" i="65"/>
  <c r="Z366" i="65"/>
  <c r="AA366" i="65"/>
  <c r="C367" i="65"/>
  <c r="D367" i="65"/>
  <c r="E367" i="65"/>
  <c r="F367" i="65"/>
  <c r="G367" i="65"/>
  <c r="I367" i="65"/>
  <c r="J367" i="65"/>
  <c r="K367" i="65"/>
  <c r="L367" i="65"/>
  <c r="Q367" i="65"/>
  <c r="T367" i="65"/>
  <c r="V367" i="65"/>
  <c r="Z367" i="65"/>
  <c r="AA367" i="65"/>
  <c r="C368" i="65"/>
  <c r="D368" i="65"/>
  <c r="E368" i="65"/>
  <c r="F368" i="65"/>
  <c r="G368" i="65"/>
  <c r="I368" i="65"/>
  <c r="J368" i="65"/>
  <c r="K368" i="65"/>
  <c r="L368" i="65"/>
  <c r="Q368" i="65"/>
  <c r="T368" i="65"/>
  <c r="V368" i="65"/>
  <c r="Z368" i="65"/>
  <c r="AA368" i="65"/>
  <c r="C369" i="65"/>
  <c r="D369" i="65"/>
  <c r="E369" i="65"/>
  <c r="F369" i="65"/>
  <c r="G369" i="65"/>
  <c r="I369" i="65"/>
  <c r="J369" i="65"/>
  <c r="K369" i="65"/>
  <c r="L369" i="65"/>
  <c r="Q369" i="65"/>
  <c r="T369" i="65"/>
  <c r="V369" i="65"/>
  <c r="Z369" i="65"/>
  <c r="AA369" i="65"/>
  <c r="C3" i="65"/>
  <c r="D3" i="65"/>
  <c r="E3" i="65"/>
  <c r="F3" i="65"/>
  <c r="G3" i="65"/>
  <c r="I3" i="65"/>
  <c r="J3" i="65"/>
  <c r="K3" i="65"/>
  <c r="L3" i="65"/>
  <c r="Q3" i="65"/>
  <c r="T3" i="65"/>
  <c r="V3" i="65"/>
  <c r="Z3" i="65"/>
  <c r="AA3" i="65"/>
  <c r="B2" i="81" a="1"/>
  <c r="B2" i="81"/>
  <c r="B1" i="81" a="1"/>
  <c r="B1" i="81"/>
  <c r="B4" i="80" a="1"/>
  <c r="B4" i="80"/>
  <c r="B3" i="80" a="1"/>
  <c r="B3" i="80"/>
  <c r="B2" i="80" a="1"/>
  <c r="B2" i="80"/>
  <c r="B1" i="63" a="1"/>
  <c r="B1" i="63"/>
  <c r="B2" i="63" a="1"/>
  <c r="B2" i="63"/>
  <c r="B4" i="24" a="1"/>
  <c r="B4" i="24"/>
  <c r="B3" i="24" a="1"/>
  <c r="B3" i="24"/>
  <c r="B2" i="24" a="1"/>
  <c r="B2" i="24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I38" i="8" a="1"/>
  <c r="I38" i="8" s="1"/>
  <c r="I39" i="8" a="1"/>
  <c r="I39" i="8" s="1"/>
  <c r="I40" i="8" a="1"/>
  <c r="I40" i="8" s="1"/>
  <c r="I41" i="8" a="1"/>
  <c r="I41" i="8" s="1"/>
  <c r="I42" i="8" a="1"/>
  <c r="I42" i="8" s="1"/>
  <c r="I43" i="8" a="1"/>
  <c r="I43" i="8" s="1"/>
  <c r="I44" i="8" a="1"/>
  <c r="I44" i="8" s="1"/>
  <c r="I45" i="8" a="1"/>
  <c r="I45" i="8" s="1"/>
  <c r="I46" i="8" a="1"/>
  <c r="I46" i="8" s="1"/>
  <c r="I47" i="8" a="1"/>
  <c r="I47" i="8" s="1"/>
  <c r="I48" i="8" a="1"/>
  <c r="I48" i="8" s="1"/>
  <c r="I49" i="8" a="1"/>
  <c r="I49" i="8" s="1"/>
  <c r="I50" i="8" a="1"/>
  <c r="I50" i="8" s="1"/>
  <c r="I51" i="8" a="1"/>
  <c r="I51" i="8" s="1"/>
  <c r="I52" i="8" a="1"/>
  <c r="I52" i="8" s="1"/>
  <c r="I53" i="8" a="1"/>
  <c r="I53" i="8" s="1"/>
  <c r="G4" i="20" a="1"/>
  <c r="G4" i="20"/>
  <c r="B2" i="55" a="1"/>
  <c r="B2" i="55"/>
  <c r="C12" i="50"/>
  <c r="C88" i="5"/>
  <c r="D88" i="5"/>
  <c r="E88" i="5"/>
  <c r="F88" i="5"/>
  <c r="G88" i="5"/>
  <c r="H88" i="5"/>
  <c r="I88" i="5"/>
  <c r="J88" i="5"/>
  <c r="K88" i="5"/>
  <c r="L88" i="5"/>
  <c r="M88" i="5"/>
  <c r="N88" i="5"/>
  <c r="D12" i="50"/>
  <c r="E16" i="4"/>
  <c r="E15" i="4"/>
  <c r="E14" i="4"/>
  <c r="E13" i="4"/>
  <c r="E12" i="4"/>
  <c r="E11" i="4"/>
  <c r="F6" i="23"/>
  <c r="H4" i="23" s="1" a="1"/>
  <c r="H4" i="23" s="1"/>
  <c r="C1" i="80"/>
  <c r="D1" i="80"/>
  <c r="E1" i="80"/>
  <c r="F1" i="80"/>
  <c r="G1" i="80"/>
  <c r="H1" i="80"/>
  <c r="I1" i="80"/>
  <c r="J1" i="80"/>
  <c r="K1" i="80"/>
  <c r="L1" i="80"/>
  <c r="M1" i="80"/>
  <c r="N1" i="80"/>
  <c r="O1" i="80"/>
  <c r="P1" i="80"/>
  <c r="Q1" i="80"/>
  <c r="R1" i="80"/>
  <c r="S1" i="80"/>
  <c r="T1" i="80"/>
  <c r="U1" i="80"/>
  <c r="F8" i="4" a="1"/>
  <c r="F8" i="4" s="1"/>
  <c r="F7" i="4" a="1"/>
  <c r="F7" i="4" s="1"/>
  <c r="F9" i="4" a="1"/>
  <c r="F9" i="4"/>
  <c r="F10" i="4" a="1"/>
  <c r="F10" i="4"/>
  <c r="C7" i="20" a="1"/>
  <c r="C7" i="20" s="1"/>
  <c r="H4" i="20" s="1" a="1"/>
  <c r="G4" i="38" a="1"/>
  <c r="G4" i="38"/>
  <c r="H4" i="38" a="1"/>
  <c r="H4" i="38"/>
  <c r="C26" i="50"/>
  <c r="C23" i="50"/>
  <c r="C1" i="24"/>
  <c r="D1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C24" i="50"/>
  <c r="A3" i="81"/>
  <c r="G3" i="81" s="1"/>
  <c r="F10" i="8"/>
  <c r="I10" i="8" s="1" a="1"/>
  <c r="I10" i="8" s="1"/>
  <c r="E4" i="34"/>
  <c r="C25" i="50"/>
  <c r="C27" i="50"/>
  <c r="K7" i="80" a="1"/>
  <c r="K7" i="80"/>
  <c r="S7" i="80" a="1"/>
  <c r="S7" i="80"/>
  <c r="L7" i="80" a="1"/>
  <c r="L7" i="80"/>
  <c r="T7" i="80" a="1"/>
  <c r="T7" i="80"/>
  <c r="U7" i="80" a="1"/>
  <c r="U7" i="80"/>
  <c r="E7" i="80" a="1"/>
  <c r="E7" i="80"/>
  <c r="M7" i="80" a="1"/>
  <c r="M7" i="80"/>
  <c r="F7" i="80" a="1"/>
  <c r="F7" i="80"/>
  <c r="N7" i="80" a="1"/>
  <c r="N7" i="80"/>
  <c r="G7" i="80" a="1"/>
  <c r="G7" i="80"/>
  <c r="O7" i="80" a="1"/>
  <c r="O7" i="80"/>
  <c r="H7" i="80" a="1"/>
  <c r="H7" i="80"/>
  <c r="P7" i="80" a="1"/>
  <c r="P7" i="80"/>
  <c r="I7" i="80" a="1"/>
  <c r="I7" i="80"/>
  <c r="Q7" i="80" a="1"/>
  <c r="Q7" i="80"/>
  <c r="J7" i="80" a="1"/>
  <c r="J7" i="80"/>
  <c r="R7" i="80" a="1"/>
  <c r="R7" i="80"/>
  <c r="A3" i="65"/>
  <c r="A4" i="65" s="1"/>
  <c r="A5" i="65" s="1"/>
  <c r="A6" i="65" s="1"/>
  <c r="A7" i="65" s="1"/>
  <c r="A8" i="65" s="1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3" i="63"/>
  <c r="Z3" i="63" s="1"/>
  <c r="AK7" i="24" a="1"/>
  <c r="AK7" i="24"/>
  <c r="AI7" i="24" a="1"/>
  <c r="AI7" i="24"/>
  <c r="AY7" i="24" a="1"/>
  <c r="AY7" i="24"/>
  <c r="AU7" i="24" a="1"/>
  <c r="AU7" i="24"/>
  <c r="AX7" i="24" a="1"/>
  <c r="AX7" i="24"/>
  <c r="AL7" i="24" a="1"/>
  <c r="AL7" i="24"/>
  <c r="AM7" i="24" a="1"/>
  <c r="AM7" i="24"/>
  <c r="AN7" i="24" a="1"/>
  <c r="AN7" i="24"/>
  <c r="AO7" i="24" a="1"/>
  <c r="AO7" i="24"/>
  <c r="AP7" i="24" a="1"/>
  <c r="AP7" i="24"/>
  <c r="AQ7" i="24" a="1"/>
  <c r="AQ7" i="24"/>
  <c r="AR7" i="24" a="1"/>
  <c r="AR7" i="24"/>
  <c r="AS7" i="24" a="1"/>
  <c r="AS7" i="24"/>
  <c r="AT7" i="24" a="1"/>
  <c r="AT7" i="24"/>
  <c r="AW7" i="24" a="1"/>
  <c r="AW7" i="24"/>
  <c r="AV7" i="24" a="1"/>
  <c r="AV7" i="24"/>
  <c r="AJ7" i="24" a="1"/>
  <c r="AJ7" i="24"/>
  <c r="AG7" i="24" a="1"/>
  <c r="AG7" i="24"/>
  <c r="AH7" i="24" a="1"/>
  <c r="AH7" i="24"/>
  <c r="AF7" i="24" a="1"/>
  <c r="AF7" i="24"/>
  <c r="AA7" i="24" a="1"/>
  <c r="AA7" i="24"/>
  <c r="AE7" i="24" a="1"/>
  <c r="AE7" i="24"/>
  <c r="AD7" i="24" a="1"/>
  <c r="AD7" i="24"/>
  <c r="AB7" i="24" a="1"/>
  <c r="AB7" i="24"/>
  <c r="Y7" i="24" a="1"/>
  <c r="Y7" i="24"/>
  <c r="Z7" i="24" a="1"/>
  <c r="Z7" i="24"/>
  <c r="AC7" i="24" a="1"/>
  <c r="AC7" i="24"/>
  <c r="A2" i="55" a="1"/>
  <c r="A2" i="55"/>
  <c r="C9" i="50"/>
  <c r="C17" i="50"/>
  <c r="C16" i="50"/>
  <c r="C10" i="50"/>
  <c r="C4" i="46"/>
  <c r="C19" i="50"/>
  <c r="E4" i="46"/>
  <c r="C13" i="30"/>
  <c r="C12" i="30"/>
  <c r="D100" i="5"/>
  <c r="E100" i="5"/>
  <c r="F100" i="5"/>
  <c r="G100" i="5"/>
  <c r="H100" i="5"/>
  <c r="I100" i="5"/>
  <c r="J100" i="5"/>
  <c r="K100" i="5"/>
  <c r="L100" i="5"/>
  <c r="M100" i="5"/>
  <c r="N100" i="5"/>
  <c r="B79" i="5"/>
  <c r="C7" i="50"/>
  <c r="C83" i="5"/>
  <c r="D83" i="5"/>
  <c r="E83" i="5"/>
  <c r="F83" i="5"/>
  <c r="G83" i="5"/>
  <c r="H83" i="5"/>
  <c r="I83" i="5"/>
  <c r="J83" i="5"/>
  <c r="K83" i="5"/>
  <c r="L83" i="5"/>
  <c r="M83" i="5"/>
  <c r="N83" i="5"/>
  <c r="D7" i="50"/>
  <c r="C6" i="50"/>
  <c r="C14" i="50"/>
  <c r="C21" i="50"/>
  <c r="G4" i="46"/>
  <c r="D4" i="46"/>
  <c r="F4" i="46" s="1"/>
  <c r="B72" i="5"/>
  <c r="B66" i="5"/>
  <c r="B60" i="5"/>
  <c r="B40" i="5"/>
  <c r="C4" i="5"/>
  <c r="B2" i="83" s="1"/>
  <c r="C37" i="5" l="1"/>
  <c r="B5" i="80" a="1"/>
  <c r="D7" i="80" s="1" a="1"/>
  <c r="D7" i="80" s="1"/>
  <c r="D3" i="81" s="1"/>
  <c r="AU3" i="63"/>
  <c r="P3" i="81"/>
  <c r="O3" i="81"/>
  <c r="AF3" i="63"/>
  <c r="F3" i="81"/>
  <c r="M3" i="81"/>
  <c r="AR3" i="63"/>
  <c r="T3" i="81"/>
  <c r="AN3" i="63"/>
  <c r="AM3" i="63"/>
  <c r="AE3" i="63"/>
  <c r="A4" i="81"/>
  <c r="T4" i="81" s="1"/>
  <c r="E8" i="4" a="1"/>
  <c r="E8" i="4" s="1"/>
  <c r="H4" i="20"/>
  <c r="A42" i="65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8" i="65" s="1"/>
  <c r="A89" i="65" s="1"/>
  <c r="A90" i="65" s="1"/>
  <c r="A91" i="65" s="1"/>
  <c r="A92" i="65" s="1"/>
  <c r="A93" i="65" s="1"/>
  <c r="A94" i="65" s="1"/>
  <c r="A95" i="65" s="1"/>
  <c r="A96" i="65" s="1"/>
  <c r="A97" i="65" s="1"/>
  <c r="A98" i="65" s="1"/>
  <c r="A99" i="65" s="1"/>
  <c r="A100" i="65" s="1"/>
  <c r="A101" i="65" s="1"/>
  <c r="A102" i="65" s="1"/>
  <c r="A103" i="65" s="1"/>
  <c r="A104" i="65" s="1"/>
  <c r="A105" i="65" s="1"/>
  <c r="A106" i="65" s="1"/>
  <c r="A107" i="65" s="1"/>
  <c r="A108" i="65" s="1"/>
  <c r="A109" i="65" s="1"/>
  <c r="A110" i="65" s="1"/>
  <c r="A111" i="65" s="1"/>
  <c r="A112" i="65" s="1"/>
  <c r="A113" i="65" s="1"/>
  <c r="A114" i="65" s="1"/>
  <c r="A115" i="65" s="1"/>
  <c r="A116" i="65" s="1"/>
  <c r="A117" i="65" s="1"/>
  <c r="A118" i="65" s="1"/>
  <c r="A119" i="65" s="1"/>
  <c r="A120" i="65" s="1"/>
  <c r="A121" i="65" s="1"/>
  <c r="A122" i="65" s="1"/>
  <c r="A123" i="65" s="1"/>
  <c r="A124" i="65" s="1"/>
  <c r="A125" i="65" s="1"/>
  <c r="A126" i="65" s="1"/>
  <c r="A127" i="65" s="1"/>
  <c r="A128" i="65" s="1"/>
  <c r="A129" i="65" s="1"/>
  <c r="A130" i="65" s="1"/>
  <c r="A131" i="65" s="1"/>
  <c r="A132" i="65" s="1"/>
  <c r="A133" i="65" s="1"/>
  <c r="A134" i="65" s="1"/>
  <c r="A135" i="65" s="1"/>
  <c r="A136" i="65" s="1"/>
  <c r="A137" i="65" s="1"/>
  <c r="A138" i="65" s="1"/>
  <c r="A139" i="65" s="1"/>
  <c r="A140" i="65" s="1"/>
  <c r="A141" i="65" s="1"/>
  <c r="A142" i="65" s="1"/>
  <c r="A143" i="65" s="1"/>
  <c r="A144" i="65" s="1"/>
  <c r="A145" i="65" s="1"/>
  <c r="A146" i="65" s="1"/>
  <c r="A147" i="65" s="1"/>
  <c r="A148" i="65" s="1"/>
  <c r="A149" i="65" s="1"/>
  <c r="A150" i="65" s="1"/>
  <c r="A151" i="65" s="1"/>
  <c r="A152" i="65" s="1"/>
  <c r="A153" i="65" s="1"/>
  <c r="A154" i="65" s="1"/>
  <c r="A155" i="65" s="1"/>
  <c r="A156" i="65" s="1"/>
  <c r="A157" i="65" s="1"/>
  <c r="A158" i="65" s="1"/>
  <c r="A159" i="65" s="1"/>
  <c r="A160" i="65" s="1"/>
  <c r="A161" i="65" s="1"/>
  <c r="A162" i="65" s="1"/>
  <c r="A163" i="65" s="1"/>
  <c r="A164" i="65" s="1"/>
  <c r="A165" i="65" s="1"/>
  <c r="A166" i="65" s="1"/>
  <c r="A167" i="65" s="1"/>
  <c r="A168" i="65" s="1"/>
  <c r="A169" i="65" s="1"/>
  <c r="A170" i="65" s="1"/>
  <c r="A171" i="65" s="1"/>
  <c r="A172" i="65" s="1"/>
  <c r="A173" i="65" s="1"/>
  <c r="A174" i="65" s="1"/>
  <c r="A175" i="65" s="1"/>
  <c r="A176" i="65" s="1"/>
  <c r="A177" i="65" s="1"/>
  <c r="A178" i="65" s="1"/>
  <c r="A179" i="65" s="1"/>
  <c r="A180" i="65" s="1"/>
  <c r="A181" i="65" s="1"/>
  <c r="A182" i="65" s="1"/>
  <c r="A183" i="65" s="1"/>
  <c r="A184" i="65" s="1"/>
  <c r="A185" i="65" s="1"/>
  <c r="A186" i="65" s="1"/>
  <c r="A187" i="65" s="1"/>
  <c r="A188" i="65" s="1"/>
  <c r="A189" i="65" s="1"/>
  <c r="A190" i="65" s="1"/>
  <c r="A191" i="65" s="1"/>
  <c r="A192" i="65" s="1"/>
  <c r="A193" i="65" s="1"/>
  <c r="A194" i="65" s="1"/>
  <c r="A195" i="65" s="1"/>
  <c r="A196" i="65" s="1"/>
  <c r="A197" i="65" s="1"/>
  <c r="A198" i="65" s="1"/>
  <c r="A199" i="65" s="1"/>
  <c r="A200" i="65" s="1"/>
  <c r="A201" i="65" s="1"/>
  <c r="A202" i="65" s="1"/>
  <c r="A203" i="65" s="1"/>
  <c r="A204" i="65" s="1"/>
  <c r="A205" i="65" s="1"/>
  <c r="A206" i="65" s="1"/>
  <c r="A207" i="65" s="1"/>
  <c r="A208" i="65" s="1"/>
  <c r="A209" i="65" s="1"/>
  <c r="A210" i="65" s="1"/>
  <c r="A211" i="65" s="1"/>
  <c r="A212" i="65" s="1"/>
  <c r="A213" i="65" s="1"/>
  <c r="A214" i="65" s="1"/>
  <c r="A215" i="65" s="1"/>
  <c r="A216" i="65" s="1"/>
  <c r="A217" i="65" s="1"/>
  <c r="A218" i="65" s="1"/>
  <c r="A219" i="65" s="1"/>
  <c r="A220" i="65" s="1"/>
  <c r="A221" i="65" s="1"/>
  <c r="A222" i="65" s="1"/>
  <c r="A223" i="65" s="1"/>
  <c r="A224" i="65" s="1"/>
  <c r="A225" i="65" s="1"/>
  <c r="A226" i="65" s="1"/>
  <c r="A227" i="65" s="1"/>
  <c r="A228" i="65" s="1"/>
  <c r="A229" i="65" s="1"/>
  <c r="A230" i="65" s="1"/>
  <c r="A231" i="65" s="1"/>
  <c r="A232" i="65" s="1"/>
  <c r="A233" i="65" s="1"/>
  <c r="A234" i="65" s="1"/>
  <c r="A235" i="65" s="1"/>
  <c r="A236" i="65" s="1"/>
  <c r="A237" i="65" s="1"/>
  <c r="A238" i="65" s="1"/>
  <c r="A239" i="65" s="1"/>
  <c r="A240" i="65" s="1"/>
  <c r="A241" i="65" s="1"/>
  <c r="A242" i="65" s="1"/>
  <c r="A243" i="65" s="1"/>
  <c r="A244" i="65" s="1"/>
  <c r="A245" i="65" s="1"/>
  <c r="A246" i="65" s="1"/>
  <c r="A247" i="65" s="1"/>
  <c r="A248" i="65" s="1"/>
  <c r="A249" i="65" s="1"/>
  <c r="A250" i="65" s="1"/>
  <c r="A251" i="65" s="1"/>
  <c r="A252" i="65" s="1"/>
  <c r="A253" i="65" s="1"/>
  <c r="A254" i="65" s="1"/>
  <c r="A255" i="65" s="1"/>
  <c r="A256" i="65" s="1"/>
  <c r="A257" i="65" s="1"/>
  <c r="A258" i="65" s="1"/>
  <c r="A259" i="65" s="1"/>
  <c r="A260" i="65" s="1"/>
  <c r="A261" i="65" s="1"/>
  <c r="A262" i="65" s="1"/>
  <c r="A263" i="65" s="1"/>
  <c r="A264" i="65" s="1"/>
  <c r="A265" i="65" s="1"/>
  <c r="A266" i="65" s="1"/>
  <c r="A267" i="65" s="1"/>
  <c r="A268" i="65" s="1"/>
  <c r="A269" i="65" s="1"/>
  <c r="A270" i="65" s="1"/>
  <c r="A271" i="65" s="1"/>
  <c r="A272" i="65" s="1"/>
  <c r="A273" i="65" s="1"/>
  <c r="A274" i="65" s="1"/>
  <c r="A275" i="65" s="1"/>
  <c r="A276" i="65" s="1"/>
  <c r="A277" i="65" s="1"/>
  <c r="A278" i="65" s="1"/>
  <c r="A279" i="65" s="1"/>
  <c r="A280" i="65" s="1"/>
  <c r="A281" i="65" s="1"/>
  <c r="A282" i="65" s="1"/>
  <c r="A283" i="65" s="1"/>
  <c r="A284" i="65" s="1"/>
  <c r="A285" i="65" s="1"/>
  <c r="A286" i="65" s="1"/>
  <c r="A287" i="65" s="1"/>
  <c r="A288" i="65" s="1"/>
  <c r="A289" i="65" s="1"/>
  <c r="A290" i="65" s="1"/>
  <c r="A291" i="65" s="1"/>
  <c r="A292" i="65" s="1"/>
  <c r="A293" i="65" s="1"/>
  <c r="A294" i="65" s="1"/>
  <c r="A295" i="65" s="1"/>
  <c r="A296" i="65" s="1"/>
  <c r="A297" i="65" s="1"/>
  <c r="A298" i="65" s="1"/>
  <c r="A299" i="65" s="1"/>
  <c r="A300" i="65" s="1"/>
  <c r="A301" i="65" s="1"/>
  <c r="A302" i="65" s="1"/>
  <c r="A303" i="65" s="1"/>
  <c r="A304" i="65" s="1"/>
  <c r="A305" i="65" s="1"/>
  <c r="A306" i="65" s="1"/>
  <c r="A307" i="65" s="1"/>
  <c r="A308" i="65" s="1"/>
  <c r="A309" i="65" s="1"/>
  <c r="A310" i="65" s="1"/>
  <c r="A311" i="65" s="1"/>
  <c r="A312" i="65" s="1"/>
  <c r="A313" i="65" s="1"/>
  <c r="A314" i="65" s="1"/>
  <c r="A315" i="65" s="1"/>
  <c r="A316" i="65" s="1"/>
  <c r="A317" i="65" s="1"/>
  <c r="A318" i="65" s="1"/>
  <c r="A319" i="65" s="1"/>
  <c r="A320" i="65" s="1"/>
  <c r="A321" i="65" s="1"/>
  <c r="A322" i="65" s="1"/>
  <c r="A323" i="65" s="1"/>
  <c r="A324" i="65" s="1"/>
  <c r="A325" i="65" s="1"/>
  <c r="A326" i="65" s="1"/>
  <c r="A327" i="65" s="1"/>
  <c r="A328" i="65" s="1"/>
  <c r="A329" i="65" s="1"/>
  <c r="A330" i="65" s="1"/>
  <c r="A331" i="65" s="1"/>
  <c r="A332" i="65" s="1"/>
  <c r="A333" i="65" s="1"/>
  <c r="A334" i="65" s="1"/>
  <c r="A335" i="65" s="1"/>
  <c r="A336" i="65" s="1"/>
  <c r="A337" i="65" s="1"/>
  <c r="A338" i="65" s="1"/>
  <c r="A339" i="65" s="1"/>
  <c r="A340" i="65" s="1"/>
  <c r="A341" i="65" s="1"/>
  <c r="A342" i="65" s="1"/>
  <c r="A343" i="65" s="1"/>
  <c r="A344" i="65" s="1"/>
  <c r="A345" i="65" s="1"/>
  <c r="A346" i="65" s="1"/>
  <c r="A347" i="65" s="1"/>
  <c r="A348" i="65" s="1"/>
  <c r="A349" i="65" s="1"/>
  <c r="A350" i="65" s="1"/>
  <c r="A351" i="65" s="1"/>
  <c r="A352" i="65" s="1"/>
  <c r="A353" i="65" s="1"/>
  <c r="A354" i="65" s="1"/>
  <c r="A355" i="65" s="1"/>
  <c r="A356" i="65" s="1"/>
  <c r="A357" i="65" s="1"/>
  <c r="A358" i="65" s="1"/>
  <c r="A359" i="65" s="1"/>
  <c r="A360" i="65" s="1"/>
  <c r="A361" i="65" s="1"/>
  <c r="A362" i="65" s="1"/>
  <c r="A363" i="65" s="1"/>
  <c r="A364" i="65" s="1"/>
  <c r="A365" i="65" s="1"/>
  <c r="A366" i="65" s="1"/>
  <c r="A367" i="65" s="1"/>
  <c r="A368" i="65" s="1"/>
  <c r="A369" i="65" s="1"/>
  <c r="D4" i="5"/>
  <c r="E4" i="5" s="1"/>
  <c r="AX3" i="63"/>
  <c r="AH3" i="63"/>
  <c r="R3" i="81"/>
  <c r="AT3" i="63"/>
  <c r="N3" i="81"/>
  <c r="AB3" i="63"/>
  <c r="I3" i="81"/>
  <c r="AQ3" i="63"/>
  <c r="U3" i="81"/>
  <c r="AP3" i="63"/>
  <c r="AO3" i="63"/>
  <c r="S3" i="81"/>
  <c r="Y3" i="63"/>
  <c r="AY3" i="63"/>
  <c r="AG3" i="63"/>
  <c r="AI3" i="63"/>
  <c r="Q3" i="81"/>
  <c r="B5" i="24" a="1"/>
  <c r="AD3" i="63"/>
  <c r="AL3" i="63"/>
  <c r="AS3" i="63"/>
  <c r="AK3" i="63"/>
  <c r="AC3" i="63"/>
  <c r="AJ3" i="63"/>
  <c r="A4" i="63"/>
  <c r="AA3" i="63"/>
  <c r="AW3" i="63"/>
  <c r="AV3" i="63"/>
  <c r="E3" i="81"/>
  <c r="J3" i="81"/>
  <c r="L3" i="81"/>
  <c r="K3" i="81"/>
  <c r="H3" i="81"/>
  <c r="B5" i="80" l="1"/>
  <c r="B7" i="80" s="1" a="1"/>
  <c r="B7" i="80" s="1"/>
  <c r="B3" i="81" s="1"/>
  <c r="C7" i="80" a="1"/>
  <c r="C7" i="80" s="1"/>
  <c r="C4" i="81" s="1"/>
  <c r="O4" i="81"/>
  <c r="M4" i="81"/>
  <c r="F4" i="81"/>
  <c r="U4" i="81"/>
  <c r="D4" i="81"/>
  <c r="S4" i="81"/>
  <c r="C58" i="5"/>
  <c r="C20" i="5"/>
  <c r="C49" i="5"/>
  <c r="D58" i="5"/>
  <c r="D56" i="5"/>
  <c r="G4" i="81"/>
  <c r="C21" i="5"/>
  <c r="E4" i="81"/>
  <c r="K4" i="81"/>
  <c r="J4" i="81"/>
  <c r="N4" i="81"/>
  <c r="Q4" i="81"/>
  <c r="R4" i="81"/>
  <c r="I4" i="81"/>
  <c r="L4" i="81"/>
  <c r="H4" i="81"/>
  <c r="A5" i="81"/>
  <c r="S5" i="81" s="1"/>
  <c r="C36" i="5"/>
  <c r="P4" i="81"/>
  <c r="C56" i="5"/>
  <c r="C38" i="5"/>
  <c r="D36" i="5"/>
  <c r="C2" i="83"/>
  <c r="D21" i="5"/>
  <c r="D20" i="5"/>
  <c r="D37" i="5"/>
  <c r="D38" i="5"/>
  <c r="D49" i="5"/>
  <c r="C35" i="5"/>
  <c r="D35" i="5"/>
  <c r="I4" i="20" a="1"/>
  <c r="E7" i="4" a="1"/>
  <c r="E7" i="4" s="1"/>
  <c r="AK4" i="63"/>
  <c r="AW4" i="63"/>
  <c r="AL4" i="63"/>
  <c r="AE4" i="63"/>
  <c r="AO4" i="63"/>
  <c r="AU4" i="63"/>
  <c r="Z4" i="63"/>
  <c r="AV4" i="63"/>
  <c r="A5" i="63"/>
  <c r="AP4" i="63"/>
  <c r="AI4" i="63"/>
  <c r="AB4" i="63"/>
  <c r="AY4" i="63"/>
  <c r="AR4" i="63"/>
  <c r="AC4" i="63"/>
  <c r="AJ4" i="63"/>
  <c r="AG4" i="63"/>
  <c r="AH4" i="63"/>
  <c r="AX4" i="63"/>
  <c r="AM4" i="63"/>
  <c r="Y4" i="63"/>
  <c r="AS4" i="63"/>
  <c r="AD4" i="63"/>
  <c r="AT4" i="63"/>
  <c r="AF4" i="63"/>
  <c r="AA4" i="63"/>
  <c r="AQ4" i="63"/>
  <c r="AN4" i="63"/>
  <c r="E58" i="5"/>
  <c r="F4" i="5"/>
  <c r="E20" i="5"/>
  <c r="E37" i="5"/>
  <c r="E38" i="5"/>
  <c r="E56" i="5"/>
  <c r="E35" i="5"/>
  <c r="D2" i="83"/>
  <c r="E21" i="5"/>
  <c r="E49" i="5"/>
  <c r="E36" i="5"/>
  <c r="D7" i="24" a="1"/>
  <c r="D7" i="24" s="1"/>
  <c r="D3" i="63" s="1"/>
  <c r="B5" i="24"/>
  <c r="H7" i="24" a="1"/>
  <c r="H7" i="24" s="1"/>
  <c r="H4" i="63" s="1"/>
  <c r="G7" i="24" a="1"/>
  <c r="G7" i="24" s="1"/>
  <c r="G4" i="63" s="1"/>
  <c r="Q7" i="24" a="1"/>
  <c r="Q7" i="24" s="1"/>
  <c r="Q4" i="63" s="1"/>
  <c r="R4" i="65" s="1"/>
  <c r="E7" i="24" a="1"/>
  <c r="E7" i="24" s="1"/>
  <c r="E3" i="63" s="1"/>
  <c r="J7" i="24" a="1"/>
  <c r="J7" i="24" s="1"/>
  <c r="J4" i="63" s="1"/>
  <c r="O7" i="24" a="1"/>
  <c r="O7" i="24" s="1"/>
  <c r="O4" i="63" s="1"/>
  <c r="P7" i="24" a="1"/>
  <c r="P7" i="24" s="1"/>
  <c r="P4" i="63" s="1"/>
  <c r="W7" i="24" a="1"/>
  <c r="W7" i="24" s="1"/>
  <c r="W4" i="63" s="1"/>
  <c r="F7" i="24" a="1"/>
  <c r="F7" i="24" s="1"/>
  <c r="F3" i="63" s="1"/>
  <c r="M7" i="24" a="1"/>
  <c r="M7" i="24" s="1"/>
  <c r="M4" i="63" s="1"/>
  <c r="U7" i="24" a="1"/>
  <c r="U7" i="24" s="1"/>
  <c r="U4" i="63" s="1"/>
  <c r="O4" i="65" s="1"/>
  <c r="V7" i="24" a="1"/>
  <c r="V7" i="24" s="1"/>
  <c r="V4" i="63" s="1"/>
  <c r="L7" i="24" a="1"/>
  <c r="L7" i="24" s="1"/>
  <c r="L3" i="63" s="1"/>
  <c r="T7" i="24" a="1"/>
  <c r="T7" i="24" s="1"/>
  <c r="T3" i="63" s="1"/>
  <c r="P3" i="65" s="1"/>
  <c r="K7" i="24" a="1"/>
  <c r="K7" i="24" s="1"/>
  <c r="K3" i="63" s="1"/>
  <c r="C7" i="24" a="1"/>
  <c r="C7" i="24" s="1"/>
  <c r="C4" i="63" s="1"/>
  <c r="X4" i="65" s="1"/>
  <c r="X7" i="24" a="1"/>
  <c r="X7" i="24" s="1"/>
  <c r="X4" i="63" s="1"/>
  <c r="W4" i="65" s="1"/>
  <c r="S7" i="24" a="1"/>
  <c r="S7" i="24" s="1"/>
  <c r="S3" i="63" s="1"/>
  <c r="N7" i="24" a="1"/>
  <c r="N7" i="24" s="1"/>
  <c r="N4" i="63" s="1"/>
  <c r="I7" i="24" a="1"/>
  <c r="I7" i="24" s="1"/>
  <c r="I3" i="63" s="1"/>
  <c r="R7" i="24" a="1"/>
  <c r="R7" i="24" s="1"/>
  <c r="R3" i="63" s="1"/>
  <c r="C3" i="81" l="1"/>
  <c r="B4" i="81"/>
  <c r="P5" i="81"/>
  <c r="Q5" i="81"/>
  <c r="H5" i="81"/>
  <c r="G5" i="81"/>
  <c r="A6" i="81"/>
  <c r="I6" i="81" s="1"/>
  <c r="K5" i="81"/>
  <c r="E5" i="81"/>
  <c r="F5" i="81"/>
  <c r="C5" i="81"/>
  <c r="D5" i="81"/>
  <c r="L5" i="81"/>
  <c r="T5" i="81"/>
  <c r="O5" i="81"/>
  <c r="U5" i="81"/>
  <c r="R5" i="81"/>
  <c r="N5" i="81"/>
  <c r="J5" i="81"/>
  <c r="B5" i="81"/>
  <c r="I5" i="81"/>
  <c r="M5" i="81"/>
  <c r="S3" i="65"/>
  <c r="D40" i="5"/>
  <c r="C40" i="5"/>
  <c r="P3" i="63"/>
  <c r="M3" i="63"/>
  <c r="G3" i="63"/>
  <c r="H3" i="65" s="1"/>
  <c r="F4" i="63"/>
  <c r="Y4" i="65"/>
  <c r="I4" i="20"/>
  <c r="E9" i="4" s="1" a="1"/>
  <c r="E9" i="4" s="1"/>
  <c r="E10" i="4" a="1"/>
  <c r="E10" i="4" s="1"/>
  <c r="W3" i="63"/>
  <c r="N3" i="63"/>
  <c r="X3" i="63"/>
  <c r="W3" i="65" s="1"/>
  <c r="U3" i="63"/>
  <c r="O3" i="65" s="1"/>
  <c r="S4" i="63"/>
  <c r="D4" i="63"/>
  <c r="K4" i="63"/>
  <c r="N4" i="65" s="1"/>
  <c r="S5" i="63"/>
  <c r="I5" i="63"/>
  <c r="AT5" i="63"/>
  <c r="AI5" i="63"/>
  <c r="Y5" i="63"/>
  <c r="F5" i="63"/>
  <c r="T5" i="63"/>
  <c r="P5" i="65" s="1"/>
  <c r="Z5" i="63"/>
  <c r="V5" i="63"/>
  <c r="A6" i="63"/>
  <c r="P5" i="63"/>
  <c r="AP5" i="63"/>
  <c r="AF5" i="63"/>
  <c r="AJ5" i="63"/>
  <c r="K5" i="63"/>
  <c r="AC5" i="63"/>
  <c r="AG5" i="63"/>
  <c r="AK5" i="63"/>
  <c r="L5" i="63"/>
  <c r="AW5" i="63"/>
  <c r="G5" i="63"/>
  <c r="AB5" i="63"/>
  <c r="C5" i="63"/>
  <c r="X5" i="65" s="1"/>
  <c r="AN5" i="63"/>
  <c r="AS5" i="63"/>
  <c r="AM5" i="63"/>
  <c r="H5" i="63"/>
  <c r="X5" i="63"/>
  <c r="W5" i="65" s="1"/>
  <c r="J5" i="63"/>
  <c r="AV5" i="63"/>
  <c r="AA5" i="63"/>
  <c r="Q5" i="63"/>
  <c r="R5" i="65" s="1"/>
  <c r="AQ5" i="63"/>
  <c r="AH5" i="63"/>
  <c r="AE5" i="63"/>
  <c r="AX5" i="63"/>
  <c r="AU5" i="63"/>
  <c r="AY5" i="63"/>
  <c r="M5" i="63"/>
  <c r="D5" i="63"/>
  <c r="N5" i="63"/>
  <c r="AD5" i="63"/>
  <c r="AL5" i="63"/>
  <c r="R5" i="63"/>
  <c r="E5" i="63"/>
  <c r="U5" i="63"/>
  <c r="O5" i="65" s="1"/>
  <c r="W5" i="63"/>
  <c r="AO5" i="63"/>
  <c r="AR5" i="63"/>
  <c r="O5" i="63"/>
  <c r="F21" i="5"/>
  <c r="F36" i="5"/>
  <c r="F20" i="5"/>
  <c r="F37" i="5"/>
  <c r="F38" i="5"/>
  <c r="F58" i="5"/>
  <c r="G4" i="5"/>
  <c r="F56" i="5"/>
  <c r="F49" i="5"/>
  <c r="F35" i="5"/>
  <c r="E2" i="83"/>
  <c r="R4" i="63"/>
  <c r="H3" i="63"/>
  <c r="M3" i="65" s="1"/>
  <c r="Q3" i="63"/>
  <c r="R3" i="65" s="1"/>
  <c r="B7" i="24" a="1"/>
  <c r="B7" i="24" s="1"/>
  <c r="B4" i="63" s="1"/>
  <c r="B4" i="65" s="1"/>
  <c r="E4" i="63"/>
  <c r="I4" i="63"/>
  <c r="M4" i="65" s="1"/>
  <c r="C3" i="63"/>
  <c r="X3" i="65" s="1"/>
  <c r="O3" i="63"/>
  <c r="J3" i="63"/>
  <c r="N3" i="65" s="1"/>
  <c r="E40" i="5"/>
  <c r="T4" i="63"/>
  <c r="P4" i="65" s="1"/>
  <c r="V3" i="63"/>
  <c r="L4" i="63"/>
  <c r="U4" i="65" s="1"/>
  <c r="C70" i="5" l="1"/>
  <c r="C93" i="5" s="1"/>
  <c r="O6" i="81"/>
  <c r="N6" i="81"/>
  <c r="D6" i="81"/>
  <c r="S6" i="81"/>
  <c r="L6" i="81"/>
  <c r="R6" i="81"/>
  <c r="U6" i="81"/>
  <c r="J6" i="81"/>
  <c r="Q6" i="81"/>
  <c r="G6" i="81"/>
  <c r="A7" i="81"/>
  <c r="U7" i="81" s="1"/>
  <c r="E6" i="81"/>
  <c r="H6" i="81"/>
  <c r="F6" i="81"/>
  <c r="K6" i="81"/>
  <c r="B6" i="81"/>
  <c r="M6" i="81"/>
  <c r="T6" i="81"/>
  <c r="C6" i="81"/>
  <c r="P6" i="81"/>
  <c r="Y3" i="65"/>
  <c r="B5" i="63"/>
  <c r="B5" i="65" s="1"/>
  <c r="D70" i="5"/>
  <c r="D93" i="5" s="1"/>
  <c r="M5" i="65"/>
  <c r="F70" i="5"/>
  <c r="S5" i="65"/>
  <c r="U3" i="65"/>
  <c r="S4" i="65"/>
  <c r="E70" i="5"/>
  <c r="H5" i="65"/>
  <c r="G4" i="4" a="1"/>
  <c r="G4" i="4" s="1"/>
  <c r="H4" i="65"/>
  <c r="F40" i="5"/>
  <c r="N5" i="65"/>
  <c r="AW6" i="63"/>
  <c r="G6" i="63"/>
  <c r="D6" i="63"/>
  <c r="B6" i="63"/>
  <c r="W6" i="63"/>
  <c r="K6" i="63"/>
  <c r="AX6" i="63"/>
  <c r="X6" i="63"/>
  <c r="W6" i="65" s="1"/>
  <c r="N6" i="63"/>
  <c r="C6" i="63"/>
  <c r="X6" i="65" s="1"/>
  <c r="AA6" i="63"/>
  <c r="AD6" i="63"/>
  <c r="S6" i="63"/>
  <c r="AN6" i="63"/>
  <c r="AB6" i="63"/>
  <c r="AE6" i="63"/>
  <c r="E6" i="63"/>
  <c r="AO6" i="63"/>
  <c r="AR6" i="63"/>
  <c r="AU6" i="63"/>
  <c r="U6" i="63"/>
  <c r="O6" i="65" s="1"/>
  <c r="J6" i="63"/>
  <c r="AJ6" i="63"/>
  <c r="AK6" i="63"/>
  <c r="AQ6" i="63"/>
  <c r="F6" i="63"/>
  <c r="AL6" i="63"/>
  <c r="AT6" i="63"/>
  <c r="AM6" i="63"/>
  <c r="O6" i="63"/>
  <c r="H6" i="63"/>
  <c r="AV6" i="63"/>
  <c r="Z6" i="63"/>
  <c r="Q6" i="63"/>
  <c r="R6" i="65" s="1"/>
  <c r="AP6" i="63"/>
  <c r="AG6" i="63"/>
  <c r="M6" i="63"/>
  <c r="R6" i="63"/>
  <c r="AC6" i="63"/>
  <c r="P6" i="63"/>
  <c r="AF6" i="63"/>
  <c r="AH6" i="63"/>
  <c r="V6" i="63"/>
  <c r="I6" i="63"/>
  <c r="Y6" i="63"/>
  <c r="AS6" i="63"/>
  <c r="AI6" i="63"/>
  <c r="AY6" i="63"/>
  <c r="L6" i="63"/>
  <c r="T6" i="63"/>
  <c r="P6" i="65" s="1"/>
  <c r="A7" i="63"/>
  <c r="Y5" i="65"/>
  <c r="B3" i="63"/>
  <c r="B3" i="65" s="1"/>
  <c r="U5" i="65"/>
  <c r="F7" i="81"/>
  <c r="N7" i="81"/>
  <c r="D7" i="81"/>
  <c r="F2" i="83"/>
  <c r="G37" i="5"/>
  <c r="G35" i="5"/>
  <c r="G70" i="5"/>
  <c r="G36" i="5"/>
  <c r="G56" i="5"/>
  <c r="G49" i="5"/>
  <c r="G38" i="5"/>
  <c r="G21" i="5"/>
  <c r="G58" i="5"/>
  <c r="H4" i="5"/>
  <c r="G20" i="5"/>
  <c r="M7" i="81" l="1"/>
  <c r="J7" i="81"/>
  <c r="B7" i="81"/>
  <c r="Q7" i="81"/>
  <c r="L7" i="81"/>
  <c r="K7" i="81"/>
  <c r="T7" i="81"/>
  <c r="H7" i="81"/>
  <c r="G7" i="81"/>
  <c r="S7" i="81"/>
  <c r="O7" i="81"/>
  <c r="B6" i="65"/>
  <c r="R7" i="81"/>
  <c r="I7" i="81"/>
  <c r="P7" i="81"/>
  <c r="A8" i="81"/>
  <c r="J8" i="81" s="1"/>
  <c r="C7" i="81"/>
  <c r="E7" i="81"/>
  <c r="N6" i="65"/>
  <c r="E93" i="5"/>
  <c r="F93" i="5" s="1"/>
  <c r="G93" i="5" s="1"/>
  <c r="Y6" i="65"/>
  <c r="S6" i="65"/>
  <c r="C8" i="81"/>
  <c r="M8" i="81"/>
  <c r="O8" i="81"/>
  <c r="R8" i="81"/>
  <c r="A9" i="81"/>
  <c r="F8" i="81"/>
  <c r="Q8" i="81"/>
  <c r="U8" i="81"/>
  <c r="E8" i="81"/>
  <c r="P8" i="81"/>
  <c r="G40" i="5"/>
  <c r="M7" i="63"/>
  <c r="S7" i="63"/>
  <c r="G7" i="63"/>
  <c r="J7" i="63"/>
  <c r="AC7" i="63"/>
  <c r="AI7" i="63"/>
  <c r="AM7" i="63"/>
  <c r="R7" i="63"/>
  <c r="AD7" i="63"/>
  <c r="T7" i="63"/>
  <c r="P7" i="65" s="1"/>
  <c r="A8" i="63"/>
  <c r="AT7" i="63"/>
  <c r="AN7" i="63"/>
  <c r="O7" i="63"/>
  <c r="AJ7" i="63"/>
  <c r="K7" i="63"/>
  <c r="P7" i="63"/>
  <c r="Z7" i="63"/>
  <c r="AF7" i="63"/>
  <c r="AK7" i="63"/>
  <c r="AH7" i="63"/>
  <c r="AY7" i="63"/>
  <c r="B7" i="63"/>
  <c r="D7" i="63"/>
  <c r="I7" i="63"/>
  <c r="E7" i="63"/>
  <c r="Y7" i="63"/>
  <c r="L7" i="63"/>
  <c r="F7" i="63"/>
  <c r="AB7" i="63"/>
  <c r="V7" i="63"/>
  <c r="AR7" i="63"/>
  <c r="W7" i="63"/>
  <c r="AE7" i="63"/>
  <c r="H7" i="63"/>
  <c r="M7" i="65" s="1"/>
  <c r="AU7" i="63"/>
  <c r="X7" i="63"/>
  <c r="W7" i="65" s="1"/>
  <c r="AV7" i="63"/>
  <c r="AA7" i="63"/>
  <c r="Q7" i="63"/>
  <c r="R7" i="65" s="1"/>
  <c r="AQ7" i="63"/>
  <c r="AS7" i="63"/>
  <c r="N7" i="63"/>
  <c r="AG7" i="63"/>
  <c r="C7" i="63"/>
  <c r="X7" i="65" s="1"/>
  <c r="U7" i="63"/>
  <c r="O7" i="65" s="1"/>
  <c r="AP7" i="63"/>
  <c r="AX7" i="63"/>
  <c r="AL7" i="63"/>
  <c r="AO7" i="63"/>
  <c r="AW7" i="63"/>
  <c r="H6" i="65"/>
  <c r="U6" i="65"/>
  <c r="I4" i="5"/>
  <c r="H20" i="5"/>
  <c r="H37" i="5"/>
  <c r="H38" i="5"/>
  <c r="H36" i="5"/>
  <c r="H58" i="5"/>
  <c r="H56" i="5"/>
  <c r="H49" i="5"/>
  <c r="G2" i="83"/>
  <c r="H21" i="5"/>
  <c r="H70" i="5"/>
  <c r="H35" i="5"/>
  <c r="M6" i="65"/>
  <c r="B7" i="65" l="1"/>
  <c r="K8" i="81"/>
  <c r="B8" i="81"/>
  <c r="I8" i="81"/>
  <c r="H8" i="81"/>
  <c r="L8" i="81"/>
  <c r="T8" i="81"/>
  <c r="S8" i="81"/>
  <c r="N8" i="81"/>
  <c r="D8" i="81"/>
  <c r="G8" i="81"/>
  <c r="H93" i="5"/>
  <c r="N7" i="65"/>
  <c r="Y7" i="65"/>
  <c r="U7" i="65"/>
  <c r="S7" i="65"/>
  <c r="H7" i="65"/>
  <c r="I37" i="5"/>
  <c r="J4" i="5"/>
  <c r="I21" i="5"/>
  <c r="I35" i="5"/>
  <c r="I36" i="5"/>
  <c r="I70" i="5"/>
  <c r="I93" i="5" s="1"/>
  <c r="H2" i="83"/>
  <c r="I20" i="5"/>
  <c r="I58" i="5"/>
  <c r="I56" i="5"/>
  <c r="I49" i="5"/>
  <c r="I38" i="5"/>
  <c r="N9" i="81"/>
  <c r="M9" i="81"/>
  <c r="J9" i="81"/>
  <c r="D9" i="81"/>
  <c r="Q9" i="81"/>
  <c r="L9" i="81"/>
  <c r="O9" i="81"/>
  <c r="P9" i="81"/>
  <c r="E9" i="81"/>
  <c r="U9" i="81"/>
  <c r="B9" i="81"/>
  <c r="R9" i="81"/>
  <c r="T9" i="81"/>
  <c r="F9" i="81"/>
  <c r="I9" i="81"/>
  <c r="A10" i="81"/>
  <c r="C9" i="81"/>
  <c r="G9" i="81"/>
  <c r="K9" i="81"/>
  <c r="H9" i="81"/>
  <c r="S9" i="81"/>
  <c r="AS8" i="63"/>
  <c r="AI8" i="63"/>
  <c r="G8" i="63"/>
  <c r="N8" i="63"/>
  <c r="AY8" i="63"/>
  <c r="H8" i="63"/>
  <c r="O8" i="63"/>
  <c r="X8" i="63"/>
  <c r="W8" i="65" s="1"/>
  <c r="J8" i="63"/>
  <c r="AE8" i="63"/>
  <c r="AJ8" i="63"/>
  <c r="Z8" i="63"/>
  <c r="AU8" i="63"/>
  <c r="E8" i="63"/>
  <c r="AF8" i="63"/>
  <c r="AA8" i="63"/>
  <c r="AW8" i="63"/>
  <c r="AK8" i="63"/>
  <c r="AV8" i="63"/>
  <c r="AQ8" i="63"/>
  <c r="B8" i="63"/>
  <c r="B8" i="65" s="1"/>
  <c r="F8" i="63"/>
  <c r="A9" i="63"/>
  <c r="AH8" i="63"/>
  <c r="AN8" i="63"/>
  <c r="AX8" i="63"/>
  <c r="C8" i="63"/>
  <c r="X8" i="65" s="1"/>
  <c r="AP8" i="63"/>
  <c r="D8" i="63"/>
  <c r="K8" i="63"/>
  <c r="T8" i="63"/>
  <c r="P8" i="65" s="1"/>
  <c r="L8" i="63"/>
  <c r="U8" i="63"/>
  <c r="O8" i="65" s="1"/>
  <c r="M8" i="63"/>
  <c r="AL8" i="63"/>
  <c r="AC8" i="63"/>
  <c r="I8" i="63"/>
  <c r="AD8" i="63"/>
  <c r="Y8" i="63"/>
  <c r="AT8" i="63"/>
  <c r="AO8" i="63"/>
  <c r="R8" i="63"/>
  <c r="S8" i="63"/>
  <c r="P8" i="63"/>
  <c r="W8" i="63"/>
  <c r="AM8" i="63"/>
  <c r="AB8" i="63"/>
  <c r="AR8" i="63"/>
  <c r="AG8" i="63"/>
  <c r="V8" i="63"/>
  <c r="Q8" i="63"/>
  <c r="R8" i="65" s="1"/>
  <c r="H40" i="5"/>
  <c r="N8" i="65" l="1"/>
  <c r="I40" i="5"/>
  <c r="U8" i="65"/>
  <c r="J49" i="5"/>
  <c r="J56" i="5"/>
  <c r="I2" i="83"/>
  <c r="J37" i="5"/>
  <c r="K4" i="5"/>
  <c r="J70" i="5"/>
  <c r="J93" i="5" s="1"/>
  <c r="J58" i="5"/>
  <c r="J38" i="5"/>
  <c r="J20" i="5"/>
  <c r="J21" i="5"/>
  <c r="J36" i="5"/>
  <c r="J35" i="5"/>
  <c r="Y8" i="65"/>
  <c r="H8" i="65"/>
  <c r="S10" i="81"/>
  <c r="D10" i="81"/>
  <c r="N10" i="81"/>
  <c r="K10" i="81"/>
  <c r="A11" i="81"/>
  <c r="H10" i="81"/>
  <c r="J10" i="81"/>
  <c r="L10" i="81"/>
  <c r="R10" i="81"/>
  <c r="C10" i="81"/>
  <c r="B10" i="81"/>
  <c r="T10" i="81"/>
  <c r="F10" i="81"/>
  <c r="G10" i="81"/>
  <c r="U10" i="81"/>
  <c r="M10" i="81"/>
  <c r="O10" i="81"/>
  <c r="Q10" i="81"/>
  <c r="P10" i="81"/>
  <c r="I10" i="81"/>
  <c r="E10" i="81"/>
  <c r="S8" i="65"/>
  <c r="Y9" i="63"/>
  <c r="AU9" i="63"/>
  <c r="T9" i="63"/>
  <c r="P9" i="65" s="1"/>
  <c r="AO9" i="63"/>
  <c r="P9" i="63"/>
  <c r="A10" i="63"/>
  <c r="AP9" i="63"/>
  <c r="Q9" i="63"/>
  <c r="R9" i="65" s="1"/>
  <c r="W9" i="63"/>
  <c r="K9" i="63"/>
  <c r="AG9" i="63"/>
  <c r="AA9" i="63"/>
  <c r="AW9" i="63"/>
  <c r="N9" i="63"/>
  <c r="AB9" i="63"/>
  <c r="AH9" i="63"/>
  <c r="V9" i="63"/>
  <c r="AR9" i="63"/>
  <c r="AX9" i="63"/>
  <c r="AD9" i="63"/>
  <c r="AV9" i="63"/>
  <c r="E9" i="63"/>
  <c r="H9" i="63"/>
  <c r="B9" i="63"/>
  <c r="B9" i="65" s="1"/>
  <c r="F9" i="63"/>
  <c r="X9" i="63"/>
  <c r="W9" i="65" s="1"/>
  <c r="R9" i="63"/>
  <c r="AN9" i="63"/>
  <c r="S9" i="63"/>
  <c r="I9" i="63"/>
  <c r="AI9" i="63"/>
  <c r="J9" i="63"/>
  <c r="AY9" i="63"/>
  <c r="L9" i="63"/>
  <c r="G9" i="63"/>
  <c r="M9" i="63"/>
  <c r="AM9" i="63"/>
  <c r="AC9" i="63"/>
  <c r="U9" i="63"/>
  <c r="O9" i="65" s="1"/>
  <c r="AS9" i="63"/>
  <c r="AK9" i="63"/>
  <c r="AL9" i="63"/>
  <c r="AT9" i="63"/>
  <c r="AQ9" i="63"/>
  <c r="O9" i="63"/>
  <c r="AE9" i="63"/>
  <c r="AF9" i="63"/>
  <c r="Z9" i="63"/>
  <c r="C9" i="63"/>
  <c r="X9" i="65" s="1"/>
  <c r="D9" i="63"/>
  <c r="AJ9" i="63"/>
  <c r="M8" i="65"/>
  <c r="M9" i="65" l="1"/>
  <c r="J40" i="5"/>
  <c r="N9" i="65"/>
  <c r="S9" i="65"/>
  <c r="Y9" i="65"/>
  <c r="L4" i="5"/>
  <c r="K70" i="5"/>
  <c r="K93" i="5" s="1"/>
  <c r="K56" i="5"/>
  <c r="K38" i="5"/>
  <c r="J2" i="83"/>
  <c r="K49" i="5"/>
  <c r="K37" i="5"/>
  <c r="K58" i="5"/>
  <c r="K35" i="5"/>
  <c r="K20" i="5"/>
  <c r="K21" i="5"/>
  <c r="K36" i="5"/>
  <c r="Z10" i="63"/>
  <c r="AV10" i="63"/>
  <c r="S10" i="63"/>
  <c r="AP10" i="63"/>
  <c r="Q10" i="63"/>
  <c r="R10" i="65" s="1"/>
  <c r="T10" i="63"/>
  <c r="P10" i="65" s="1"/>
  <c r="AL10" i="63"/>
  <c r="AQ10" i="63"/>
  <c r="B10" i="63"/>
  <c r="B10" i="65" s="1"/>
  <c r="W10" i="63"/>
  <c r="AC10" i="63"/>
  <c r="AH10" i="63"/>
  <c r="AR10" i="63"/>
  <c r="X10" i="63"/>
  <c r="W10" i="65" s="1"/>
  <c r="AD10" i="63"/>
  <c r="U10" i="63"/>
  <c r="O10" i="65" s="1"/>
  <c r="AT10" i="63"/>
  <c r="N10" i="63"/>
  <c r="O10" i="63"/>
  <c r="AB10" i="63"/>
  <c r="F10" i="63"/>
  <c r="AE10" i="63"/>
  <c r="AI10" i="63"/>
  <c r="G10" i="63"/>
  <c r="P10" i="63"/>
  <c r="AM10" i="63"/>
  <c r="AF10" i="63"/>
  <c r="A11" i="63"/>
  <c r="H10" i="63"/>
  <c r="AG10" i="63"/>
  <c r="Y10" i="63"/>
  <c r="AX10" i="63"/>
  <c r="AO10" i="63"/>
  <c r="E10" i="63"/>
  <c r="J10" i="63"/>
  <c r="AK10" i="63"/>
  <c r="K10" i="63"/>
  <c r="AY10" i="63"/>
  <c r="AN10" i="63"/>
  <c r="I10" i="63"/>
  <c r="AA10" i="63"/>
  <c r="AU10" i="63"/>
  <c r="AW10" i="63"/>
  <c r="R10" i="63"/>
  <c r="C10" i="63"/>
  <c r="X10" i="65" s="1"/>
  <c r="AJ10" i="63"/>
  <c r="V10" i="63"/>
  <c r="M10" i="63"/>
  <c r="AS10" i="63"/>
  <c r="D10" i="63"/>
  <c r="L10" i="63"/>
  <c r="L11" i="81"/>
  <c r="N11" i="81"/>
  <c r="F11" i="81"/>
  <c r="Q11" i="81"/>
  <c r="S11" i="81"/>
  <c r="T11" i="81"/>
  <c r="G11" i="81"/>
  <c r="H11" i="81"/>
  <c r="P11" i="81"/>
  <c r="B11" i="81"/>
  <c r="D11" i="81"/>
  <c r="A12" i="81"/>
  <c r="K11" i="81"/>
  <c r="O11" i="81"/>
  <c r="R11" i="81"/>
  <c r="M11" i="81"/>
  <c r="E11" i="81"/>
  <c r="U11" i="81"/>
  <c r="J11" i="81"/>
  <c r="I11" i="81"/>
  <c r="C11" i="81"/>
  <c r="U9" i="65"/>
  <c r="H9" i="65"/>
  <c r="S10" i="65" l="1"/>
  <c r="M10" i="65"/>
  <c r="Y10" i="65"/>
  <c r="H10" i="65"/>
  <c r="K40" i="5"/>
  <c r="AK11" i="63"/>
  <c r="AQ11" i="63"/>
  <c r="C11" i="63"/>
  <c r="X11" i="65" s="1"/>
  <c r="F11" i="63"/>
  <c r="L11" i="63"/>
  <c r="S11" i="63"/>
  <c r="AM11" i="63"/>
  <c r="AS11" i="63"/>
  <c r="Q11" i="63"/>
  <c r="R11" i="65" s="1"/>
  <c r="D11" i="63"/>
  <c r="AT11" i="63"/>
  <c r="AG11" i="63"/>
  <c r="T11" i="63"/>
  <c r="P11" i="65" s="1"/>
  <c r="AN11" i="63"/>
  <c r="O11" i="63"/>
  <c r="AH11" i="63"/>
  <c r="X11" i="63"/>
  <c r="W11" i="65" s="1"/>
  <c r="AV11" i="63"/>
  <c r="I11" i="63"/>
  <c r="AI11" i="63"/>
  <c r="Y11" i="63"/>
  <c r="AY11" i="63"/>
  <c r="K11" i="63"/>
  <c r="J11" i="63"/>
  <c r="AA11" i="63"/>
  <c r="R11" i="63"/>
  <c r="AB11" i="63"/>
  <c r="Z11" i="63"/>
  <c r="U11" i="63"/>
  <c r="O11" i="65" s="1"/>
  <c r="AC11" i="63"/>
  <c r="AX11" i="63"/>
  <c r="N11" i="63"/>
  <c r="V11" i="63"/>
  <c r="Y11" i="65" s="1"/>
  <c r="AD11" i="63"/>
  <c r="A12" i="63"/>
  <c r="AL11" i="63"/>
  <c r="AE11" i="63"/>
  <c r="AJ11" i="63"/>
  <c r="E11" i="63"/>
  <c r="G11" i="63"/>
  <c r="H11" i="63"/>
  <c r="AO11" i="63"/>
  <c r="AR11" i="63"/>
  <c r="P11" i="63"/>
  <c r="AF11" i="63"/>
  <c r="B11" i="63"/>
  <c r="B11" i="65" s="1"/>
  <c r="AP11" i="63"/>
  <c r="W11" i="63"/>
  <c r="M11" i="63"/>
  <c r="AW11" i="63"/>
  <c r="AU11" i="63"/>
  <c r="R12" i="81"/>
  <c r="P12" i="81"/>
  <c r="D12" i="81"/>
  <c r="K12" i="81"/>
  <c r="M12" i="81"/>
  <c r="O12" i="81"/>
  <c r="B12" i="81"/>
  <c r="C12" i="81"/>
  <c r="G12" i="81"/>
  <c r="H12" i="81"/>
  <c r="S12" i="81"/>
  <c r="U12" i="81"/>
  <c r="F12" i="81"/>
  <c r="L12" i="81"/>
  <c r="Q12" i="81"/>
  <c r="A13" i="81"/>
  <c r="T12" i="81"/>
  <c r="I12" i="81"/>
  <c r="J12" i="81"/>
  <c r="N12" i="81"/>
  <c r="E12" i="81"/>
  <c r="L56" i="5"/>
  <c r="L58" i="5"/>
  <c r="L49" i="5"/>
  <c r="L38" i="5"/>
  <c r="K2" i="83"/>
  <c r="M4" i="5"/>
  <c r="L37" i="5"/>
  <c r="L70" i="5"/>
  <c r="L93" i="5" s="1"/>
  <c r="L20" i="5"/>
  <c r="L35" i="5"/>
  <c r="L21" i="5"/>
  <c r="L36" i="5"/>
  <c r="U10" i="65"/>
  <c r="N10" i="65"/>
  <c r="S11" i="65" l="1"/>
  <c r="M11" i="65"/>
  <c r="N11" i="65"/>
  <c r="M58" i="5"/>
  <c r="M56" i="5"/>
  <c r="M70" i="5"/>
  <c r="M93" i="5" s="1"/>
  <c r="M49" i="5"/>
  <c r="M38" i="5"/>
  <c r="M37" i="5"/>
  <c r="N4" i="5"/>
  <c r="L2" i="83"/>
  <c r="M20" i="5"/>
  <c r="M35" i="5"/>
  <c r="M21" i="5"/>
  <c r="M36" i="5"/>
  <c r="H11" i="65"/>
  <c r="L40" i="5"/>
  <c r="U11" i="65"/>
  <c r="F13" i="81"/>
  <c r="N13" i="81"/>
  <c r="I13" i="81"/>
  <c r="T13" i="81"/>
  <c r="M13" i="81"/>
  <c r="L13" i="81"/>
  <c r="O13" i="81"/>
  <c r="P13" i="81"/>
  <c r="D13" i="81"/>
  <c r="E13" i="81"/>
  <c r="C13" i="81"/>
  <c r="S13" i="81"/>
  <c r="U13" i="81"/>
  <c r="J13" i="81"/>
  <c r="K13" i="81"/>
  <c r="Q13" i="81"/>
  <c r="R13" i="81"/>
  <c r="B13" i="81"/>
  <c r="H13" i="81"/>
  <c r="A14" i="81"/>
  <c r="G13" i="81"/>
  <c r="B12" i="63"/>
  <c r="B12" i="65" s="1"/>
  <c r="F12" i="63"/>
  <c r="AB12" i="63"/>
  <c r="O12" i="63"/>
  <c r="R12" i="63"/>
  <c r="V12" i="63"/>
  <c r="AR12" i="63"/>
  <c r="P12" i="63"/>
  <c r="AI12" i="63"/>
  <c r="I12" i="63"/>
  <c r="AD12" i="63"/>
  <c r="A13" i="63"/>
  <c r="T12" i="63"/>
  <c r="P12" i="65" s="1"/>
  <c r="J12" i="63"/>
  <c r="AG12" i="63"/>
  <c r="Z12" i="63"/>
  <c r="AY12" i="63"/>
  <c r="AQ12" i="63"/>
  <c r="AE12" i="63"/>
  <c r="D12" i="63"/>
  <c r="L12" i="63"/>
  <c r="AJ12" i="63"/>
  <c r="M12" i="63"/>
  <c r="U12" i="63"/>
  <c r="O12" i="65" s="1"/>
  <c r="AS12" i="63"/>
  <c r="N12" i="63"/>
  <c r="AK12" i="63"/>
  <c r="AT12" i="63"/>
  <c r="W12" i="63"/>
  <c r="AF12" i="63"/>
  <c r="AM12" i="63"/>
  <c r="AN12" i="63"/>
  <c r="Y12" i="63"/>
  <c r="AU12" i="63"/>
  <c r="AH12" i="63"/>
  <c r="AO12" i="63"/>
  <c r="AV12" i="63"/>
  <c r="S12" i="63"/>
  <c r="E12" i="63"/>
  <c r="AL12" i="63"/>
  <c r="AP12" i="63"/>
  <c r="K12" i="63"/>
  <c r="AA12" i="63"/>
  <c r="AW12" i="63"/>
  <c r="H12" i="63"/>
  <c r="X12" i="63"/>
  <c r="W12" i="65" s="1"/>
  <c r="AX12" i="63"/>
  <c r="C12" i="63"/>
  <c r="X12" i="65" s="1"/>
  <c r="G12" i="63"/>
  <c r="AC12" i="63"/>
  <c r="Q12" i="63"/>
  <c r="R12" i="65" s="1"/>
  <c r="Y12" i="65" l="1"/>
  <c r="M40" i="5"/>
  <c r="N12" i="65"/>
  <c r="U12" i="65"/>
  <c r="AX13" i="63"/>
  <c r="X13" i="63"/>
  <c r="W13" i="65" s="1"/>
  <c r="AE13" i="63"/>
  <c r="C13" i="63"/>
  <c r="X13" i="65" s="1"/>
  <c r="T13" i="63"/>
  <c r="P13" i="65" s="1"/>
  <c r="J13" i="63"/>
  <c r="AC13" i="63"/>
  <c r="AV13" i="63"/>
  <c r="E13" i="63"/>
  <c r="K13" i="63"/>
  <c r="AS13" i="63"/>
  <c r="U13" i="63"/>
  <c r="O13" i="65" s="1"/>
  <c r="AR13" i="63"/>
  <c r="AK13" i="63"/>
  <c r="O13" i="63"/>
  <c r="P13" i="63"/>
  <c r="G13" i="63"/>
  <c r="AU13" i="63"/>
  <c r="Q13" i="63"/>
  <c r="R13" i="65" s="1"/>
  <c r="AM13" i="63"/>
  <c r="M13" i="63"/>
  <c r="AG13" i="63"/>
  <c r="H13" i="63"/>
  <c r="N13" i="63"/>
  <c r="AW13" i="63"/>
  <c r="AN13" i="63"/>
  <c r="V13" i="63"/>
  <c r="AH13" i="63"/>
  <c r="AO13" i="63"/>
  <c r="AT13" i="63"/>
  <c r="S13" i="63"/>
  <c r="Z13" i="63"/>
  <c r="AI13" i="63"/>
  <c r="AP13" i="63"/>
  <c r="AY13" i="63"/>
  <c r="AA13" i="63"/>
  <c r="A14" i="63"/>
  <c r="D13" i="63"/>
  <c r="AJ13" i="63"/>
  <c r="I13" i="63"/>
  <c r="Y13" i="63"/>
  <c r="AQ13" i="63"/>
  <c r="F13" i="63"/>
  <c r="AD13" i="63"/>
  <c r="AL13" i="63"/>
  <c r="AF13" i="63"/>
  <c r="B13" i="63"/>
  <c r="B13" i="65" s="1"/>
  <c r="R13" i="63"/>
  <c r="W13" i="63"/>
  <c r="L13" i="63"/>
  <c r="AB13" i="63"/>
  <c r="S12" i="65"/>
  <c r="H12" i="65"/>
  <c r="M2" i="83"/>
  <c r="N38" i="5"/>
  <c r="P38" i="5" s="1"/>
  <c r="N70" i="5"/>
  <c r="P70" i="5" s="1"/>
  <c r="N58" i="5"/>
  <c r="P58" i="5" s="1"/>
  <c r="N56" i="5"/>
  <c r="P56" i="5" s="1"/>
  <c r="N49" i="5"/>
  <c r="P49" i="5" s="1"/>
  <c r="P51" i="5" s="1"/>
  <c r="N37" i="5"/>
  <c r="P37" i="5" s="1"/>
  <c r="N36" i="5"/>
  <c r="P36" i="5" s="1"/>
  <c r="N35" i="5"/>
  <c r="N20" i="5"/>
  <c r="P20" i="5" s="1"/>
  <c r="N21" i="5"/>
  <c r="P21" i="5" s="1"/>
  <c r="Q14" i="81"/>
  <c r="T14" i="81"/>
  <c r="O14" i="81"/>
  <c r="I14" i="81"/>
  <c r="H14" i="81"/>
  <c r="J14" i="81"/>
  <c r="A15" i="81"/>
  <c r="K14" i="81"/>
  <c r="R14" i="81"/>
  <c r="C14" i="81"/>
  <c r="E14" i="81"/>
  <c r="G14" i="81"/>
  <c r="U14" i="81"/>
  <c r="M14" i="81"/>
  <c r="P14" i="81"/>
  <c r="B14" i="81"/>
  <c r="N14" i="81"/>
  <c r="S14" i="81"/>
  <c r="D14" i="81"/>
  <c r="L14" i="81"/>
  <c r="F14" i="81"/>
  <c r="M12" i="65"/>
  <c r="Y13" i="65" l="1"/>
  <c r="S13" i="65"/>
  <c r="M13" i="65"/>
  <c r="N13" i="65"/>
  <c r="H13" i="65"/>
  <c r="AT14" i="63"/>
  <c r="AI14" i="63"/>
  <c r="I14" i="63"/>
  <c r="K14" i="63"/>
  <c r="AV14" i="63"/>
  <c r="F14" i="63"/>
  <c r="M14" i="63"/>
  <c r="AW14" i="63"/>
  <c r="G14" i="63"/>
  <c r="T14" i="63"/>
  <c r="P14" i="65" s="1"/>
  <c r="AE14" i="63"/>
  <c r="AK14" i="63"/>
  <c r="AU14" i="63"/>
  <c r="V14" i="63"/>
  <c r="AA14" i="63"/>
  <c r="P14" i="63"/>
  <c r="AL14" i="63"/>
  <c r="AB14" i="63"/>
  <c r="Q14" i="63"/>
  <c r="R14" i="65" s="1"/>
  <c r="AM14" i="63"/>
  <c r="AQ14" i="63"/>
  <c r="AG14" i="63"/>
  <c r="H14" i="63"/>
  <c r="AR14" i="63"/>
  <c r="B14" i="63"/>
  <c r="B14" i="65" s="1"/>
  <c r="X14" i="63"/>
  <c r="W14" i="65" s="1"/>
  <c r="L14" i="63"/>
  <c r="AX14" i="63"/>
  <c r="Y14" i="63"/>
  <c r="A15" i="63"/>
  <c r="C14" i="63"/>
  <c r="X14" i="65" s="1"/>
  <c r="AO14" i="63"/>
  <c r="S14" i="63"/>
  <c r="J14" i="63"/>
  <c r="AY14" i="63"/>
  <c r="Z14" i="63"/>
  <c r="R14" i="63"/>
  <c r="AH14" i="63"/>
  <c r="E14" i="63"/>
  <c r="W14" i="63"/>
  <c r="AC14" i="63"/>
  <c r="AS14" i="63"/>
  <c r="AJ14" i="63"/>
  <c r="N14" i="63"/>
  <c r="D14" i="63"/>
  <c r="AD14" i="63"/>
  <c r="O14" i="63"/>
  <c r="AF14" i="63"/>
  <c r="AN14" i="63"/>
  <c r="AP14" i="63"/>
  <c r="U14" i="63"/>
  <c r="O14" i="65" s="1"/>
  <c r="N40" i="5"/>
  <c r="P35" i="5"/>
  <c r="P40" i="5" s="1"/>
  <c r="U13" i="65"/>
  <c r="H15" i="81"/>
  <c r="S15" i="81"/>
  <c r="O15" i="81"/>
  <c r="G15" i="81"/>
  <c r="T15" i="81"/>
  <c r="E15" i="81"/>
  <c r="Q15" i="81"/>
  <c r="F15" i="81"/>
  <c r="N15" i="81"/>
  <c r="P15" i="81"/>
  <c r="K15" i="81"/>
  <c r="L15" i="81"/>
  <c r="R15" i="81"/>
  <c r="C15" i="81"/>
  <c r="D15" i="81"/>
  <c r="I15" i="81"/>
  <c r="M15" i="81"/>
  <c r="A16" i="81"/>
  <c r="U15" i="81"/>
  <c r="J15" i="81"/>
  <c r="B15" i="81"/>
  <c r="N93" i="5"/>
  <c r="D17" i="50" s="1"/>
  <c r="S14" i="65" l="1"/>
  <c r="M14" i="65"/>
  <c r="N14" i="65"/>
  <c r="K16" i="81"/>
  <c r="T16" i="81"/>
  <c r="N16" i="81"/>
  <c r="I16" i="81"/>
  <c r="O16" i="81"/>
  <c r="B16" i="81"/>
  <c r="A17" i="81"/>
  <c r="R16" i="81"/>
  <c r="F16" i="81"/>
  <c r="G16" i="81"/>
  <c r="D16" i="81"/>
  <c r="E16" i="81"/>
  <c r="U16" i="81"/>
  <c r="L16" i="81"/>
  <c r="Q16" i="81"/>
  <c r="S16" i="81"/>
  <c r="P16" i="81"/>
  <c r="C16" i="81"/>
  <c r="H16" i="81"/>
  <c r="J16" i="81"/>
  <c r="M16" i="81"/>
  <c r="Y14" i="65"/>
  <c r="U14" i="65"/>
  <c r="AE15" i="63"/>
  <c r="E15" i="63"/>
  <c r="AX15" i="63"/>
  <c r="L15" i="63"/>
  <c r="N15" i="63"/>
  <c r="T15" i="63"/>
  <c r="P15" i="65" s="1"/>
  <c r="K15" i="63"/>
  <c r="AD15" i="63"/>
  <c r="AQ15" i="63"/>
  <c r="AT15" i="63"/>
  <c r="AJ15" i="63"/>
  <c r="B15" i="63"/>
  <c r="B15" i="65" s="1"/>
  <c r="AU15" i="63"/>
  <c r="J15" i="63"/>
  <c r="P15" i="63"/>
  <c r="AK15" i="63"/>
  <c r="R15" i="63"/>
  <c r="AF15" i="63"/>
  <c r="F15" i="63"/>
  <c r="Y15" i="63"/>
  <c r="AG15" i="63"/>
  <c r="G15" i="63"/>
  <c r="AH15" i="63"/>
  <c r="AW15" i="63"/>
  <c r="W15" i="63"/>
  <c r="AO15" i="63"/>
  <c r="AB15" i="63"/>
  <c r="C15" i="63"/>
  <c r="X15" i="65" s="1"/>
  <c r="AM15" i="63"/>
  <c r="AP15" i="63"/>
  <c r="AR15" i="63"/>
  <c r="S15" i="63"/>
  <c r="H15" i="63"/>
  <c r="A16" i="63"/>
  <c r="AS15" i="63"/>
  <c r="O15" i="63"/>
  <c r="AV15" i="63"/>
  <c r="AI15" i="63"/>
  <c r="AY15" i="63"/>
  <c r="D15" i="63"/>
  <c r="AL15" i="63"/>
  <c r="X15" i="63"/>
  <c r="W15" i="65" s="1"/>
  <c r="AN15" i="63"/>
  <c r="M15" i="63"/>
  <c r="AC15" i="63"/>
  <c r="Q15" i="63"/>
  <c r="R15" i="65" s="1"/>
  <c r="U15" i="63"/>
  <c r="O15" i="65" s="1"/>
  <c r="V15" i="63"/>
  <c r="I15" i="63"/>
  <c r="Z15" i="63"/>
  <c r="AA15" i="63"/>
  <c r="H14" i="65"/>
  <c r="S15" i="65" l="1"/>
  <c r="Y15" i="65"/>
  <c r="M15" i="65"/>
  <c r="N15" i="65"/>
  <c r="AA16" i="63"/>
  <c r="AW16" i="63"/>
  <c r="AK16" i="63"/>
  <c r="AV16" i="63"/>
  <c r="K16" i="63"/>
  <c r="B16" i="63"/>
  <c r="B16" i="65" s="1"/>
  <c r="V16" i="63"/>
  <c r="AQ16" i="63"/>
  <c r="R16" i="63"/>
  <c r="AL16" i="63"/>
  <c r="L16" i="63"/>
  <c r="AH16" i="63"/>
  <c r="G16" i="63"/>
  <c r="AR16" i="63"/>
  <c r="C16" i="63"/>
  <c r="X16" i="65" s="1"/>
  <c r="I16" i="63"/>
  <c r="M16" i="63"/>
  <c r="S16" i="63"/>
  <c r="P16" i="63"/>
  <c r="AC16" i="63"/>
  <c r="AI16" i="63"/>
  <c r="W16" i="63"/>
  <c r="AD16" i="63"/>
  <c r="T16" i="63"/>
  <c r="P16" i="65" s="1"/>
  <c r="Y16" i="63"/>
  <c r="AT16" i="63"/>
  <c r="AF16" i="63"/>
  <c r="O16" i="63"/>
  <c r="AJ16" i="63"/>
  <c r="AM16" i="63"/>
  <c r="AE16" i="63"/>
  <c r="E16" i="63"/>
  <c r="AN16" i="63"/>
  <c r="J16" i="63"/>
  <c r="X16" i="63"/>
  <c r="W16" i="65" s="1"/>
  <c r="Z16" i="63"/>
  <c r="AP16" i="63"/>
  <c r="AO16" i="63"/>
  <c r="AS16" i="63"/>
  <c r="A17" i="63"/>
  <c r="N16" i="63"/>
  <c r="AU16" i="63"/>
  <c r="AX16" i="63"/>
  <c r="AY16" i="63"/>
  <c r="D16" i="63"/>
  <c r="U16" i="63"/>
  <c r="O16" i="65" s="1"/>
  <c r="Q16" i="63"/>
  <c r="R16" i="65" s="1"/>
  <c r="AG16" i="63"/>
  <c r="H16" i="63"/>
  <c r="AB16" i="63"/>
  <c r="F16" i="63"/>
  <c r="D17" i="81"/>
  <c r="O17" i="81"/>
  <c r="L17" i="81"/>
  <c r="U17" i="81"/>
  <c r="E17" i="81"/>
  <c r="K17" i="81"/>
  <c r="A18" i="81"/>
  <c r="N17" i="81"/>
  <c r="S17" i="81"/>
  <c r="T17" i="81"/>
  <c r="H17" i="81"/>
  <c r="J17" i="81"/>
  <c r="M17" i="81"/>
  <c r="B17" i="81"/>
  <c r="R17" i="81"/>
  <c r="P17" i="81"/>
  <c r="Q17" i="81"/>
  <c r="C17" i="81"/>
  <c r="G17" i="81"/>
  <c r="I17" i="81"/>
  <c r="F17" i="81"/>
  <c r="H15" i="65"/>
  <c r="U15" i="65"/>
  <c r="S16" i="65" l="1"/>
  <c r="U16" i="65"/>
  <c r="Y16" i="65"/>
  <c r="N16" i="65"/>
  <c r="AB17" i="63"/>
  <c r="AH17" i="63"/>
  <c r="AJ17" i="63"/>
  <c r="H17" i="63"/>
  <c r="AS17" i="63"/>
  <c r="AY17" i="63"/>
  <c r="D17" i="63"/>
  <c r="X17" i="63"/>
  <c r="W17" i="65" s="1"/>
  <c r="O17" i="63"/>
  <c r="F17" i="63"/>
  <c r="AN17" i="63"/>
  <c r="AE17" i="63"/>
  <c r="G17" i="63"/>
  <c r="Y17" i="63"/>
  <c r="P17" i="63"/>
  <c r="T17" i="63"/>
  <c r="P17" i="65" s="1"/>
  <c r="AO17" i="63"/>
  <c r="AF17" i="63"/>
  <c r="J17" i="63"/>
  <c r="AV17" i="63"/>
  <c r="U17" i="63"/>
  <c r="O17" i="65" s="1"/>
  <c r="K17" i="63"/>
  <c r="AW17" i="63"/>
  <c r="W17" i="63"/>
  <c r="AA17" i="63"/>
  <c r="B17" i="63"/>
  <c r="B17" i="65" s="1"/>
  <c r="AD17" i="63"/>
  <c r="AQ17" i="63"/>
  <c r="R17" i="63"/>
  <c r="AK17" i="63"/>
  <c r="L17" i="63"/>
  <c r="AX17" i="63"/>
  <c r="AL17" i="63"/>
  <c r="AI17" i="63"/>
  <c r="N17" i="63"/>
  <c r="AM17" i="63"/>
  <c r="I17" i="63"/>
  <c r="AT17" i="63"/>
  <c r="Z17" i="63"/>
  <c r="E17" i="63"/>
  <c r="M17" i="63"/>
  <c r="AC17" i="63"/>
  <c r="AU17" i="63"/>
  <c r="Q17" i="63"/>
  <c r="R17" i="65" s="1"/>
  <c r="AP17" i="63"/>
  <c r="AR17" i="63"/>
  <c r="AG17" i="63"/>
  <c r="C17" i="63"/>
  <c r="X17" i="65" s="1"/>
  <c r="S17" i="63"/>
  <c r="V17" i="63"/>
  <c r="A18" i="63"/>
  <c r="M16" i="65"/>
  <c r="M18" i="81"/>
  <c r="U18" i="81"/>
  <c r="F18" i="81"/>
  <c r="Q18" i="81"/>
  <c r="R18" i="81"/>
  <c r="G18" i="81"/>
  <c r="A19" i="81"/>
  <c r="J18" i="81"/>
  <c r="B18" i="81"/>
  <c r="C18" i="81"/>
  <c r="L18" i="81"/>
  <c r="N18" i="81"/>
  <c r="T18" i="81"/>
  <c r="I18" i="81"/>
  <c r="K18" i="81"/>
  <c r="S18" i="81"/>
  <c r="E18" i="81"/>
  <c r="O18" i="81"/>
  <c r="P18" i="81"/>
  <c r="D18" i="81"/>
  <c r="H18" i="81"/>
  <c r="H16" i="65"/>
  <c r="S17" i="65" l="1"/>
  <c r="N17" i="65"/>
  <c r="U19" i="81"/>
  <c r="P19" i="81"/>
  <c r="I19" i="81"/>
  <c r="A20" i="81"/>
  <c r="M19" i="81"/>
  <c r="Q19" i="81"/>
  <c r="S19" i="81"/>
  <c r="F19" i="81"/>
  <c r="N19" i="81"/>
  <c r="O19" i="81"/>
  <c r="H19" i="81"/>
  <c r="J19" i="81"/>
  <c r="K19" i="81"/>
  <c r="R19" i="81"/>
  <c r="E19" i="81"/>
  <c r="C19" i="81"/>
  <c r="D19" i="81"/>
  <c r="T19" i="81"/>
  <c r="B19" i="81"/>
  <c r="G19" i="81"/>
  <c r="L19" i="81"/>
  <c r="H17" i="65"/>
  <c r="M17" i="65"/>
  <c r="Y18" i="63"/>
  <c r="AU18" i="63"/>
  <c r="AH18" i="63"/>
  <c r="AO18" i="63"/>
  <c r="P18" i="63"/>
  <c r="AI18" i="63"/>
  <c r="J18" i="63"/>
  <c r="AF18" i="63"/>
  <c r="AJ18" i="63"/>
  <c r="AP18" i="63"/>
  <c r="Q18" i="63"/>
  <c r="R18" i="65" s="1"/>
  <c r="AR18" i="63"/>
  <c r="F18" i="63"/>
  <c r="K18" i="63"/>
  <c r="AG18" i="63"/>
  <c r="AX18" i="63"/>
  <c r="V18" i="63"/>
  <c r="AA18" i="63"/>
  <c r="AW18" i="63"/>
  <c r="B18" i="63"/>
  <c r="B18" i="65" s="1"/>
  <c r="W18" i="63"/>
  <c r="AC18" i="63"/>
  <c r="R18" i="63"/>
  <c r="AY18" i="63"/>
  <c r="AM18" i="63"/>
  <c r="AS18" i="63"/>
  <c r="S18" i="63"/>
  <c r="A19" i="63"/>
  <c r="H18" i="63"/>
  <c r="N18" i="63"/>
  <c r="T18" i="63"/>
  <c r="P18" i="65" s="1"/>
  <c r="X18" i="63"/>
  <c r="W18" i="65" s="1"/>
  <c r="AD18" i="63"/>
  <c r="AT18" i="63"/>
  <c r="O18" i="63"/>
  <c r="AE18" i="63"/>
  <c r="E18" i="63"/>
  <c r="L18" i="63"/>
  <c r="U18" i="63"/>
  <c r="O18" i="65" s="1"/>
  <c r="G18" i="63"/>
  <c r="AK18" i="63"/>
  <c r="C18" i="63"/>
  <c r="X18" i="65" s="1"/>
  <c r="AN18" i="63"/>
  <c r="D18" i="63"/>
  <c r="I18" i="63"/>
  <c r="M18" i="63"/>
  <c r="AV18" i="63"/>
  <c r="AL18" i="63"/>
  <c r="Z18" i="63"/>
  <c r="AQ18" i="63"/>
  <c r="AB18" i="63"/>
  <c r="Y17" i="65"/>
  <c r="U17" i="65"/>
  <c r="S18" i="65" l="1"/>
  <c r="N18" i="65"/>
  <c r="U18" i="65"/>
  <c r="M18" i="65"/>
  <c r="Y18" i="65"/>
  <c r="AA19" i="63"/>
  <c r="R19" i="63"/>
  <c r="A20" i="63"/>
  <c r="AK19" i="63"/>
  <c r="AQ19" i="63"/>
  <c r="S19" i="63"/>
  <c r="F19" i="63"/>
  <c r="L19" i="63"/>
  <c r="Z19" i="63"/>
  <c r="AL19" i="63"/>
  <c r="AR19" i="63"/>
  <c r="AG19" i="63"/>
  <c r="G19" i="63"/>
  <c r="M19" i="63"/>
  <c r="AH19" i="63"/>
  <c r="W19" i="63"/>
  <c r="AC19" i="63"/>
  <c r="AI19" i="63"/>
  <c r="X19" i="63"/>
  <c r="W19" i="65" s="1"/>
  <c r="AD19" i="63"/>
  <c r="AV19" i="63"/>
  <c r="AT19" i="63"/>
  <c r="AY19" i="63"/>
  <c r="D19" i="63"/>
  <c r="AN19" i="63"/>
  <c r="O19" i="63"/>
  <c r="B19" i="63"/>
  <c r="B19" i="65" s="1"/>
  <c r="T19" i="63"/>
  <c r="P19" i="65" s="1"/>
  <c r="I19" i="63"/>
  <c r="AE19" i="63"/>
  <c r="C19" i="63"/>
  <c r="X19" i="65" s="1"/>
  <c r="AM19" i="63"/>
  <c r="H19" i="63"/>
  <c r="Y19" i="63"/>
  <c r="K19" i="63"/>
  <c r="AB19" i="63"/>
  <c r="AS19" i="63"/>
  <c r="P19" i="63"/>
  <c r="Q19" i="63"/>
  <c r="R19" i="65" s="1"/>
  <c r="AF19" i="63"/>
  <c r="AJ19" i="63"/>
  <c r="AP19" i="63"/>
  <c r="E19" i="63"/>
  <c r="U19" i="63"/>
  <c r="O19" i="65" s="1"/>
  <c r="V19" i="63"/>
  <c r="AO19" i="63"/>
  <c r="N19" i="63"/>
  <c r="J19" i="63"/>
  <c r="AU19" i="63"/>
  <c r="AW19" i="63"/>
  <c r="AX19" i="63"/>
  <c r="G20" i="81"/>
  <c r="E20" i="81"/>
  <c r="Q20" i="81"/>
  <c r="T20" i="81"/>
  <c r="O20" i="81"/>
  <c r="M20" i="81"/>
  <c r="B20" i="81"/>
  <c r="A21" i="81"/>
  <c r="F20" i="81"/>
  <c r="H20" i="81"/>
  <c r="J20" i="81"/>
  <c r="K20" i="81"/>
  <c r="L20" i="81"/>
  <c r="C20" i="81"/>
  <c r="S20" i="81"/>
  <c r="D20" i="81"/>
  <c r="I20" i="81"/>
  <c r="R20" i="81"/>
  <c r="P20" i="81"/>
  <c r="U20" i="81"/>
  <c r="N20" i="81"/>
  <c r="H18" i="65"/>
  <c r="M19" i="65" l="1"/>
  <c r="N19" i="65"/>
  <c r="Y19" i="65"/>
  <c r="B21" i="81"/>
  <c r="A22" i="81"/>
  <c r="P21" i="81"/>
  <c r="I21" i="81"/>
  <c r="F21" i="81"/>
  <c r="R21" i="81"/>
  <c r="M21" i="81"/>
  <c r="K21" i="81"/>
  <c r="D21" i="81"/>
  <c r="T21" i="81"/>
  <c r="N21" i="81"/>
  <c r="O21" i="81"/>
  <c r="U21" i="81"/>
  <c r="G21" i="81"/>
  <c r="Q21" i="81"/>
  <c r="S21" i="81"/>
  <c r="L21" i="81"/>
  <c r="E21" i="81"/>
  <c r="H21" i="81"/>
  <c r="C21" i="81"/>
  <c r="J21" i="81"/>
  <c r="U19" i="65"/>
  <c r="AK20" i="63"/>
  <c r="L20" i="63"/>
  <c r="AF20" i="63"/>
  <c r="B20" i="63"/>
  <c r="B20" i="65" s="1"/>
  <c r="F20" i="63"/>
  <c r="AB20" i="63"/>
  <c r="AG20" i="63"/>
  <c r="R20" i="63"/>
  <c r="V20" i="63"/>
  <c r="AR20" i="63"/>
  <c r="AN20" i="63"/>
  <c r="AX20" i="63"/>
  <c r="G20" i="63"/>
  <c r="AV20" i="63"/>
  <c r="AT20" i="63"/>
  <c r="C20" i="63"/>
  <c r="X20" i="65" s="1"/>
  <c r="W20" i="63"/>
  <c r="M20" i="63"/>
  <c r="AU20" i="63"/>
  <c r="S20" i="63"/>
  <c r="AM20" i="63"/>
  <c r="AW20" i="63"/>
  <c r="D20" i="63"/>
  <c r="AO20" i="63"/>
  <c r="P20" i="63"/>
  <c r="T20" i="63"/>
  <c r="P20" i="65" s="1"/>
  <c r="J20" i="63"/>
  <c r="Q20" i="63"/>
  <c r="R20" i="65" s="1"/>
  <c r="Z20" i="63"/>
  <c r="X20" i="63"/>
  <c r="W20" i="65" s="1"/>
  <c r="AJ20" i="63"/>
  <c r="AP20" i="63"/>
  <c r="AC20" i="63"/>
  <c r="AH20" i="63"/>
  <c r="AD20" i="63"/>
  <c r="AI20" i="63"/>
  <c r="AE20" i="63"/>
  <c r="E20" i="63"/>
  <c r="A21" i="63"/>
  <c r="U20" i="63"/>
  <c r="O20" i="65" s="1"/>
  <c r="Y20" i="63"/>
  <c r="K20" i="63"/>
  <c r="AA20" i="63"/>
  <c r="AQ20" i="63"/>
  <c r="H20" i="63"/>
  <c r="N20" i="63"/>
  <c r="O20" i="63"/>
  <c r="AY20" i="63"/>
  <c r="AL20" i="63"/>
  <c r="I20" i="63"/>
  <c r="AS20" i="63"/>
  <c r="H19" i="65"/>
  <c r="S19" i="65"/>
  <c r="H20" i="65" l="1"/>
  <c r="Y20" i="65"/>
  <c r="S20" i="65"/>
  <c r="U20" i="65"/>
  <c r="M20" i="65"/>
  <c r="E22" i="81"/>
  <c r="G22" i="81"/>
  <c r="B22" i="81"/>
  <c r="M22" i="81"/>
  <c r="H22" i="81"/>
  <c r="U22" i="81"/>
  <c r="J22" i="81"/>
  <c r="A23" i="81"/>
  <c r="Q22" i="81"/>
  <c r="R22" i="81"/>
  <c r="K22" i="81"/>
  <c r="L22" i="81"/>
  <c r="N22" i="81"/>
  <c r="D22" i="81"/>
  <c r="T22" i="81"/>
  <c r="O22" i="81"/>
  <c r="P22" i="81"/>
  <c r="F22" i="81"/>
  <c r="C22" i="81"/>
  <c r="S22" i="81"/>
  <c r="I22" i="81"/>
  <c r="AH21" i="63"/>
  <c r="H21" i="63"/>
  <c r="L21" i="63"/>
  <c r="AX21" i="63"/>
  <c r="X21" i="63"/>
  <c r="W21" i="65" s="1"/>
  <c r="M21" i="63"/>
  <c r="C21" i="63"/>
  <c r="X21" i="65" s="1"/>
  <c r="N21" i="63"/>
  <c r="AI21" i="63"/>
  <c r="I21" i="63"/>
  <c r="V21" i="63"/>
  <c r="AY21" i="63"/>
  <c r="Y21" i="63"/>
  <c r="AA21" i="63"/>
  <c r="D21" i="63"/>
  <c r="AO21" i="63"/>
  <c r="AB21" i="63"/>
  <c r="AF21" i="63"/>
  <c r="AJ21" i="63"/>
  <c r="AP21" i="63"/>
  <c r="AE21" i="63"/>
  <c r="AV21" i="63"/>
  <c r="E21" i="63"/>
  <c r="AR21" i="63"/>
  <c r="AL21" i="63"/>
  <c r="Q21" i="63"/>
  <c r="R21" i="65" s="1"/>
  <c r="U21" i="63"/>
  <c r="O21" i="65" s="1"/>
  <c r="AS21" i="63"/>
  <c r="AQ21" i="63"/>
  <c r="AG21" i="63"/>
  <c r="AK21" i="63"/>
  <c r="F21" i="63"/>
  <c r="J21" i="63"/>
  <c r="Z21" i="63"/>
  <c r="AT21" i="63"/>
  <c r="AU21" i="63"/>
  <c r="P21" i="63"/>
  <c r="O21" i="63"/>
  <c r="AW21" i="63"/>
  <c r="AC21" i="63"/>
  <c r="S21" i="63"/>
  <c r="A22" i="63"/>
  <c r="T21" i="63"/>
  <c r="P21" i="65" s="1"/>
  <c r="G21" i="63"/>
  <c r="B21" i="63"/>
  <c r="B21" i="65" s="1"/>
  <c r="R21" i="63"/>
  <c r="W21" i="63"/>
  <c r="AM21" i="63"/>
  <c r="AN21" i="63"/>
  <c r="K21" i="63"/>
  <c r="AD21" i="63"/>
  <c r="N20" i="65"/>
  <c r="U21" i="65" l="1"/>
  <c r="B23" i="81"/>
  <c r="E23" i="81"/>
  <c r="J23" i="81"/>
  <c r="G23" i="81"/>
  <c r="A24" i="81"/>
  <c r="Q23" i="81"/>
  <c r="T23" i="81"/>
  <c r="O23" i="81"/>
  <c r="M23" i="81"/>
  <c r="N23" i="81"/>
  <c r="P23" i="81"/>
  <c r="R23" i="81"/>
  <c r="U23" i="81"/>
  <c r="S23" i="81"/>
  <c r="F23" i="81"/>
  <c r="H23" i="81"/>
  <c r="I23" i="81"/>
  <c r="C23" i="81"/>
  <c r="K23" i="81"/>
  <c r="L23" i="81"/>
  <c r="D23" i="81"/>
  <c r="M21" i="65"/>
  <c r="AD22" i="63"/>
  <c r="S22" i="63"/>
  <c r="AN22" i="63"/>
  <c r="Y22" i="63"/>
  <c r="AT22" i="63"/>
  <c r="AI22" i="63"/>
  <c r="D22" i="63"/>
  <c r="Z22" i="63"/>
  <c r="O22" i="63"/>
  <c r="AY22" i="63"/>
  <c r="AO22" i="63"/>
  <c r="AA22" i="63"/>
  <c r="AU22" i="63"/>
  <c r="U22" i="63"/>
  <c r="O22" i="65" s="1"/>
  <c r="AP22" i="63"/>
  <c r="P22" i="63"/>
  <c r="J22" i="63"/>
  <c r="A23" i="63"/>
  <c r="AF22" i="63"/>
  <c r="AK22" i="63"/>
  <c r="AQ22" i="63"/>
  <c r="AG22" i="63"/>
  <c r="AL22" i="63"/>
  <c r="L22" i="63"/>
  <c r="AW22" i="63"/>
  <c r="G22" i="63"/>
  <c r="AS22" i="63"/>
  <c r="B22" i="63"/>
  <c r="B22" i="65" s="1"/>
  <c r="W22" i="63"/>
  <c r="M22" i="63"/>
  <c r="R22" i="63"/>
  <c r="H22" i="63"/>
  <c r="T22" i="63"/>
  <c r="P22" i="65" s="1"/>
  <c r="C22" i="63"/>
  <c r="X22" i="65" s="1"/>
  <c r="E22" i="63"/>
  <c r="F22" i="63"/>
  <c r="AC22" i="63"/>
  <c r="AJ22" i="63"/>
  <c r="AM22" i="63"/>
  <c r="AR22" i="63"/>
  <c r="N22" i="63"/>
  <c r="AE22" i="63"/>
  <c r="X22" i="63"/>
  <c r="W22" i="65" s="1"/>
  <c r="AV22" i="63"/>
  <c r="I22" i="63"/>
  <c r="K22" i="63"/>
  <c r="AB22" i="63"/>
  <c r="Q22" i="63"/>
  <c r="R22" i="65" s="1"/>
  <c r="AH22" i="63"/>
  <c r="AX22" i="63"/>
  <c r="V22" i="63"/>
  <c r="N21" i="65"/>
  <c r="S21" i="65"/>
  <c r="H21" i="65"/>
  <c r="Y21" i="65"/>
  <c r="M22" i="65" l="1"/>
  <c r="Y22" i="65"/>
  <c r="U22" i="65"/>
  <c r="S22" i="65"/>
  <c r="N22" i="65"/>
  <c r="H22" i="65"/>
  <c r="AE23" i="63"/>
  <c r="K23" i="63"/>
  <c r="AK23" i="63"/>
  <c r="AU23" i="63"/>
  <c r="AQ23" i="63"/>
  <c r="F23" i="63"/>
  <c r="P23" i="63"/>
  <c r="R23" i="63"/>
  <c r="AL23" i="63"/>
  <c r="AV23" i="63"/>
  <c r="U23" i="63"/>
  <c r="O23" i="65" s="1"/>
  <c r="AM23" i="63"/>
  <c r="Q23" i="63"/>
  <c r="R23" i="65" s="1"/>
  <c r="H23" i="63"/>
  <c r="L23" i="63"/>
  <c r="AG23" i="63"/>
  <c r="V23" i="63"/>
  <c r="I23" i="63"/>
  <c r="M23" i="63"/>
  <c r="S23" i="63"/>
  <c r="AO23" i="63"/>
  <c r="AC23" i="63"/>
  <c r="AI23" i="63"/>
  <c r="Y23" i="63"/>
  <c r="AP23" i="63"/>
  <c r="AS23" i="63"/>
  <c r="AY23" i="63"/>
  <c r="Z23" i="63"/>
  <c r="N23" i="63"/>
  <c r="D23" i="63"/>
  <c r="AA23" i="63"/>
  <c r="A24" i="63"/>
  <c r="AD23" i="63"/>
  <c r="J23" i="63"/>
  <c r="AT23" i="63"/>
  <c r="AN23" i="63"/>
  <c r="O23" i="63"/>
  <c r="AW23" i="63"/>
  <c r="C23" i="63"/>
  <c r="X23" i="65" s="1"/>
  <c r="T23" i="63"/>
  <c r="P23" i="65" s="1"/>
  <c r="AX23" i="63"/>
  <c r="W23" i="63"/>
  <c r="X23" i="63"/>
  <c r="W23" i="65" s="1"/>
  <c r="B23" i="63"/>
  <c r="B23" i="65" s="1"/>
  <c r="AR23" i="63"/>
  <c r="AF23" i="63"/>
  <c r="AJ23" i="63"/>
  <c r="E23" i="63"/>
  <c r="G23" i="63"/>
  <c r="AH23" i="63"/>
  <c r="AB23" i="63"/>
  <c r="T24" i="81"/>
  <c r="G24" i="81"/>
  <c r="B24" i="81"/>
  <c r="M24" i="81"/>
  <c r="K24" i="81"/>
  <c r="O24" i="81"/>
  <c r="F24" i="81"/>
  <c r="A25" i="81"/>
  <c r="U24" i="81"/>
  <c r="H24" i="81"/>
  <c r="P24" i="81"/>
  <c r="R24" i="81"/>
  <c r="I24" i="81"/>
  <c r="J24" i="81"/>
  <c r="N24" i="81"/>
  <c r="Q24" i="81"/>
  <c r="C24" i="81"/>
  <c r="L24" i="81"/>
  <c r="D24" i="81"/>
  <c r="E24" i="81"/>
  <c r="S24" i="81"/>
  <c r="N23" i="65" l="1"/>
  <c r="S23" i="65"/>
  <c r="U23" i="65"/>
  <c r="M23" i="65"/>
  <c r="N25" i="81"/>
  <c r="I25" i="81"/>
  <c r="C25" i="81"/>
  <c r="M25" i="81"/>
  <c r="L25" i="81"/>
  <c r="G25" i="81"/>
  <c r="R25" i="81"/>
  <c r="A26" i="81"/>
  <c r="T25" i="81"/>
  <c r="E25" i="81"/>
  <c r="O25" i="81"/>
  <c r="P25" i="81"/>
  <c r="D25" i="81"/>
  <c r="U25" i="81"/>
  <c r="K25" i="81"/>
  <c r="Q25" i="81"/>
  <c r="F25" i="81"/>
  <c r="J25" i="81"/>
  <c r="S25" i="81"/>
  <c r="H25" i="81"/>
  <c r="B25" i="81"/>
  <c r="H23" i="65"/>
  <c r="K24" i="63"/>
  <c r="AG24" i="63"/>
  <c r="G24" i="63"/>
  <c r="AA24" i="63"/>
  <c r="AW24" i="63"/>
  <c r="AM24" i="63"/>
  <c r="X24" i="63"/>
  <c r="W24" i="65" s="1"/>
  <c r="AQ24" i="63"/>
  <c r="B24" i="63"/>
  <c r="B24" i="65" s="1"/>
  <c r="H24" i="63"/>
  <c r="AB24" i="63"/>
  <c r="AH24" i="63"/>
  <c r="I24" i="63"/>
  <c r="A25" i="63"/>
  <c r="AR24" i="63"/>
  <c r="AX24" i="63"/>
  <c r="AO24" i="63"/>
  <c r="M24" i="63"/>
  <c r="Y24" i="63"/>
  <c r="P24" i="63"/>
  <c r="N24" i="63"/>
  <c r="AI24" i="63"/>
  <c r="AY24" i="63"/>
  <c r="AD24" i="63"/>
  <c r="D24" i="63"/>
  <c r="T24" i="63"/>
  <c r="P24" i="65" s="1"/>
  <c r="AT24" i="63"/>
  <c r="AJ24" i="63"/>
  <c r="O24" i="63"/>
  <c r="E24" i="63"/>
  <c r="U24" i="63"/>
  <c r="O24" i="65" s="1"/>
  <c r="AL24" i="63"/>
  <c r="AN24" i="63"/>
  <c r="J24" i="63"/>
  <c r="AV24" i="63"/>
  <c r="AP24" i="63"/>
  <c r="L24" i="63"/>
  <c r="V24" i="63"/>
  <c r="AC24" i="63"/>
  <c r="W24" i="63"/>
  <c r="AU24" i="63"/>
  <c r="Q24" i="63"/>
  <c r="R24" i="65" s="1"/>
  <c r="R24" i="63"/>
  <c r="AF24" i="63"/>
  <c r="F24" i="63"/>
  <c r="S24" i="63"/>
  <c r="Z24" i="63"/>
  <c r="AS24" i="63"/>
  <c r="AE24" i="63"/>
  <c r="C24" i="63"/>
  <c r="X24" i="65" s="1"/>
  <c r="AK24" i="63"/>
  <c r="Y23" i="65"/>
  <c r="N24" i="65" l="1"/>
  <c r="M24" i="65"/>
  <c r="S24" i="65"/>
  <c r="H24" i="65"/>
  <c r="Y24" i="65"/>
  <c r="F26" i="81"/>
  <c r="J26" i="81"/>
  <c r="S26" i="81"/>
  <c r="D26" i="81"/>
  <c r="G26" i="81"/>
  <c r="E26" i="81"/>
  <c r="N26" i="81"/>
  <c r="A27" i="81"/>
  <c r="Q26" i="81"/>
  <c r="B26" i="81"/>
  <c r="P26" i="81"/>
  <c r="R26" i="81"/>
  <c r="T26" i="81"/>
  <c r="U26" i="81"/>
  <c r="H26" i="81"/>
  <c r="K26" i="81"/>
  <c r="M26" i="81"/>
  <c r="I26" i="81"/>
  <c r="L26" i="81"/>
  <c r="C26" i="81"/>
  <c r="O26" i="81"/>
  <c r="U24" i="65"/>
  <c r="AQ25" i="63"/>
  <c r="AT25" i="63"/>
  <c r="AI25" i="63"/>
  <c r="L25" i="63"/>
  <c r="Q25" i="63"/>
  <c r="R25" i="65" s="1"/>
  <c r="D25" i="63"/>
  <c r="M25" i="63"/>
  <c r="AX25" i="63"/>
  <c r="AK25" i="63"/>
  <c r="H25" i="63"/>
  <c r="AC25" i="63"/>
  <c r="S25" i="63"/>
  <c r="AL25" i="63"/>
  <c r="X25" i="63"/>
  <c r="W25" i="65" s="1"/>
  <c r="AS25" i="63"/>
  <c r="AY25" i="63"/>
  <c r="AJ25" i="63"/>
  <c r="Y25" i="63"/>
  <c r="AU25" i="63"/>
  <c r="V25" i="63"/>
  <c r="AO25" i="63"/>
  <c r="P25" i="63"/>
  <c r="W25" i="63"/>
  <c r="A26" i="63"/>
  <c r="J25" i="63"/>
  <c r="AF25" i="63"/>
  <c r="AD25" i="63"/>
  <c r="Z25" i="63"/>
  <c r="AV25" i="63"/>
  <c r="AG25" i="63"/>
  <c r="AE25" i="63"/>
  <c r="G25" i="63"/>
  <c r="AM25" i="63"/>
  <c r="AW25" i="63"/>
  <c r="R25" i="63"/>
  <c r="T25" i="63"/>
  <c r="P25" i="65" s="1"/>
  <c r="I25" i="63"/>
  <c r="AH25" i="63"/>
  <c r="AP25" i="63"/>
  <c r="C25" i="63"/>
  <c r="X25" i="65" s="1"/>
  <c r="K25" i="63"/>
  <c r="E25" i="63"/>
  <c r="AA25" i="63"/>
  <c r="F25" i="63"/>
  <c r="AB25" i="63"/>
  <c r="AR25" i="63"/>
  <c r="O25" i="63"/>
  <c r="N25" i="63"/>
  <c r="B25" i="63"/>
  <c r="B25" i="65" s="1"/>
  <c r="AN25" i="63"/>
  <c r="U25" i="63"/>
  <c r="O25" i="65" s="1"/>
  <c r="S25" i="65" l="1"/>
  <c r="U25" i="65"/>
  <c r="M25" i="65"/>
  <c r="N25" i="65"/>
  <c r="AM26" i="63"/>
  <c r="AS26" i="63"/>
  <c r="E26" i="63"/>
  <c r="H26" i="63"/>
  <c r="N26" i="63"/>
  <c r="AK26" i="63"/>
  <c r="A27" i="63"/>
  <c r="AN26" i="63"/>
  <c r="U26" i="63"/>
  <c r="O26" i="65" s="1"/>
  <c r="O26" i="63"/>
  <c r="I26" i="63"/>
  <c r="AU26" i="63"/>
  <c r="Y26" i="63"/>
  <c r="AB26" i="63"/>
  <c r="P26" i="63"/>
  <c r="Z26" i="63"/>
  <c r="AG26" i="63"/>
  <c r="AW26" i="63"/>
  <c r="AP26" i="63"/>
  <c r="B26" i="63"/>
  <c r="B26" i="65" s="1"/>
  <c r="R26" i="63"/>
  <c r="F26" i="63"/>
  <c r="K26" i="63"/>
  <c r="AH26" i="63"/>
  <c r="S26" i="63"/>
  <c r="V26" i="63"/>
  <c r="AA26" i="63"/>
  <c r="C26" i="63"/>
  <c r="X26" i="65" s="1"/>
  <c r="T26" i="63"/>
  <c r="P26" i="65" s="1"/>
  <c r="G26" i="63"/>
  <c r="L26" i="63"/>
  <c r="W26" i="63"/>
  <c r="AR26" i="63"/>
  <c r="X26" i="63"/>
  <c r="W26" i="65" s="1"/>
  <c r="AV26" i="63"/>
  <c r="AO26" i="63"/>
  <c r="J26" i="63"/>
  <c r="AX26" i="63"/>
  <c r="AQ26" i="63"/>
  <c r="AY26" i="63"/>
  <c r="AD26" i="63"/>
  <c r="AT26" i="63"/>
  <c r="AE26" i="63"/>
  <c r="AF26" i="63"/>
  <c r="AI26" i="63"/>
  <c r="D26" i="63"/>
  <c r="AJ26" i="63"/>
  <c r="AL26" i="63"/>
  <c r="M26" i="63"/>
  <c r="AC26" i="63"/>
  <c r="Q26" i="63"/>
  <c r="R26" i="65" s="1"/>
  <c r="Y25" i="65"/>
  <c r="H25" i="65"/>
  <c r="M27" i="81"/>
  <c r="D27" i="81"/>
  <c r="L27" i="81"/>
  <c r="O27" i="81"/>
  <c r="Q27" i="81"/>
  <c r="T27" i="81"/>
  <c r="C27" i="81"/>
  <c r="N27" i="81"/>
  <c r="P27" i="81"/>
  <c r="J27" i="81"/>
  <c r="S27" i="81"/>
  <c r="A28" i="81"/>
  <c r="K27" i="81"/>
  <c r="B27" i="81"/>
  <c r="I27" i="81"/>
  <c r="R27" i="81"/>
  <c r="E27" i="81"/>
  <c r="H27" i="81"/>
  <c r="F27" i="81"/>
  <c r="G27" i="81"/>
  <c r="U27" i="81"/>
  <c r="U26" i="65" l="1"/>
  <c r="H26" i="65"/>
  <c r="Y26" i="65"/>
  <c r="Y27" i="63"/>
  <c r="N27" i="63"/>
  <c r="AY27" i="63"/>
  <c r="AO27" i="63"/>
  <c r="AP27" i="63"/>
  <c r="AC27" i="63"/>
  <c r="AJ27" i="63"/>
  <c r="AQ27" i="63"/>
  <c r="P27" i="63"/>
  <c r="B27" i="63"/>
  <c r="B27" i="65" s="1"/>
  <c r="F27" i="63"/>
  <c r="L27" i="63"/>
  <c r="AT27" i="63"/>
  <c r="AD27" i="63"/>
  <c r="V27" i="63"/>
  <c r="AB27" i="63"/>
  <c r="Q27" i="63"/>
  <c r="R27" i="65" s="1"/>
  <c r="W27" i="63"/>
  <c r="AG27" i="63"/>
  <c r="AV27" i="63"/>
  <c r="AM27" i="63"/>
  <c r="E27" i="63"/>
  <c r="S27" i="63"/>
  <c r="H27" i="63"/>
  <c r="AH27" i="63"/>
  <c r="AW27" i="63"/>
  <c r="X27" i="63"/>
  <c r="W27" i="65" s="1"/>
  <c r="J27" i="63"/>
  <c r="U27" i="63"/>
  <c r="O27" i="65" s="1"/>
  <c r="AR27" i="63"/>
  <c r="C27" i="63"/>
  <c r="X27" i="65" s="1"/>
  <c r="AI27" i="63"/>
  <c r="AK27" i="63"/>
  <c r="O27" i="63"/>
  <c r="AS27" i="63"/>
  <c r="AL27" i="63"/>
  <c r="G27" i="63"/>
  <c r="AX27" i="63"/>
  <c r="Z27" i="63"/>
  <c r="AN27" i="63"/>
  <c r="AE27" i="63"/>
  <c r="D27" i="63"/>
  <c r="T27" i="63"/>
  <c r="P27" i="65" s="1"/>
  <c r="I27" i="63"/>
  <c r="K27" i="63"/>
  <c r="M27" i="63"/>
  <c r="AU27" i="63"/>
  <c r="R27" i="63"/>
  <c r="AF27" i="63"/>
  <c r="AA27" i="63"/>
  <c r="A28" i="63"/>
  <c r="N26" i="65"/>
  <c r="S26" i="65"/>
  <c r="M26" i="65"/>
  <c r="R28" i="81"/>
  <c r="P28" i="81"/>
  <c r="J28" i="81"/>
  <c r="C28" i="81"/>
  <c r="M28" i="81"/>
  <c r="E28" i="81"/>
  <c r="K28" i="81"/>
  <c r="U28" i="81"/>
  <c r="A29" i="81"/>
  <c r="G28" i="81"/>
  <c r="H28" i="81"/>
  <c r="D28" i="81"/>
  <c r="T28" i="81"/>
  <c r="F28" i="81"/>
  <c r="O28" i="81"/>
  <c r="B28" i="81"/>
  <c r="I28" i="81"/>
  <c r="Q28" i="81"/>
  <c r="L28" i="81"/>
  <c r="N28" i="81"/>
  <c r="S28" i="81"/>
  <c r="N27" i="65" l="1"/>
  <c r="H27" i="65"/>
  <c r="Y27" i="65"/>
  <c r="S27" i="65"/>
  <c r="U27" i="65"/>
  <c r="M29" i="81"/>
  <c r="D29" i="81"/>
  <c r="Q29" i="81"/>
  <c r="J29" i="81"/>
  <c r="R29" i="81"/>
  <c r="G29" i="81"/>
  <c r="B29" i="81"/>
  <c r="T29" i="81"/>
  <c r="E29" i="81"/>
  <c r="C29" i="81"/>
  <c r="S29" i="81"/>
  <c r="U29" i="81"/>
  <c r="K29" i="81"/>
  <c r="L29" i="81"/>
  <c r="A30" i="81"/>
  <c r="O29" i="81"/>
  <c r="I29" i="81"/>
  <c r="N29" i="81"/>
  <c r="F29" i="81"/>
  <c r="H29" i="81"/>
  <c r="P29" i="81"/>
  <c r="M27" i="65"/>
  <c r="AJ28" i="63"/>
  <c r="AP28" i="63"/>
  <c r="AY28" i="63"/>
  <c r="E28" i="63"/>
  <c r="M28" i="63"/>
  <c r="AB28" i="63"/>
  <c r="AK28" i="63"/>
  <c r="AR28" i="63"/>
  <c r="AE28" i="63"/>
  <c r="F28" i="63"/>
  <c r="O28" i="63"/>
  <c r="C28" i="63"/>
  <c r="X28" i="65" s="1"/>
  <c r="V28" i="63"/>
  <c r="AS28" i="63"/>
  <c r="AF28" i="63"/>
  <c r="B28" i="63"/>
  <c r="B28" i="65" s="1"/>
  <c r="W28" i="63"/>
  <c r="Q28" i="63"/>
  <c r="R28" i="65" s="1"/>
  <c r="L28" i="63"/>
  <c r="R28" i="63"/>
  <c r="AM28" i="63"/>
  <c r="AU28" i="63"/>
  <c r="AG28" i="63"/>
  <c r="AH28" i="63"/>
  <c r="I28" i="63"/>
  <c r="S28" i="63"/>
  <c r="AN28" i="63"/>
  <c r="AX28" i="63"/>
  <c r="Y28" i="63"/>
  <c r="AV28" i="63"/>
  <c r="AI28" i="63"/>
  <c r="D28" i="63"/>
  <c r="AA28" i="63"/>
  <c r="T28" i="63"/>
  <c r="P28" i="65" s="1"/>
  <c r="AC28" i="63"/>
  <c r="AD28" i="63"/>
  <c r="K28" i="63"/>
  <c r="AL28" i="63"/>
  <c r="G28" i="63"/>
  <c r="Z28" i="63"/>
  <c r="AQ28" i="63"/>
  <c r="N28" i="63"/>
  <c r="P28" i="63"/>
  <c r="AO28" i="63"/>
  <c r="J28" i="63"/>
  <c r="AT28" i="63"/>
  <c r="AW28" i="63"/>
  <c r="H28" i="63"/>
  <c r="A29" i="63"/>
  <c r="U28" i="63"/>
  <c r="O28" i="65" s="1"/>
  <c r="X28" i="63"/>
  <c r="W28" i="65" s="1"/>
  <c r="R30" i="81" l="1"/>
  <c r="K30" i="81"/>
  <c r="S30" i="81"/>
  <c r="I30" i="81"/>
  <c r="F30" i="81"/>
  <c r="H30" i="81"/>
  <c r="N30" i="81"/>
  <c r="U30" i="81"/>
  <c r="Q30" i="81"/>
  <c r="B30" i="81"/>
  <c r="E30" i="81"/>
  <c r="G30" i="81"/>
  <c r="M30" i="81"/>
  <c r="O30" i="81"/>
  <c r="P30" i="81"/>
  <c r="J30" i="81"/>
  <c r="L30" i="81"/>
  <c r="T30" i="81"/>
  <c r="A31" i="81"/>
  <c r="D30" i="81"/>
  <c r="C30" i="81"/>
  <c r="S28" i="65"/>
  <c r="U28" i="65"/>
  <c r="P29" i="63"/>
  <c r="U29" i="63"/>
  <c r="O29" i="65" s="1"/>
  <c r="Z29" i="63"/>
  <c r="N29" i="63"/>
  <c r="AF29" i="63"/>
  <c r="AA29" i="63"/>
  <c r="O29" i="63"/>
  <c r="R29" i="63"/>
  <c r="W29" i="63"/>
  <c r="AD29" i="63"/>
  <c r="AS29" i="63"/>
  <c r="AH29" i="63"/>
  <c r="AM29" i="63"/>
  <c r="F29" i="63"/>
  <c r="AX29" i="63"/>
  <c r="H29" i="63"/>
  <c r="AE29" i="63"/>
  <c r="A30" i="63"/>
  <c r="AI29" i="63"/>
  <c r="AN29" i="63"/>
  <c r="J29" i="63"/>
  <c r="AY29" i="63"/>
  <c r="Q29" i="63"/>
  <c r="R29" i="65" s="1"/>
  <c r="AL29" i="63"/>
  <c r="D29" i="63"/>
  <c r="AT29" i="63"/>
  <c r="K29" i="63"/>
  <c r="T29" i="63"/>
  <c r="P29" i="65" s="1"/>
  <c r="V29" i="63"/>
  <c r="AO29" i="63"/>
  <c r="G29" i="63"/>
  <c r="X29" i="63"/>
  <c r="W29" i="65" s="1"/>
  <c r="Y29" i="63"/>
  <c r="AW29" i="63"/>
  <c r="AB29" i="63"/>
  <c r="B29" i="63"/>
  <c r="B29" i="65" s="1"/>
  <c r="AG29" i="63"/>
  <c r="C29" i="63"/>
  <c r="X29" i="65" s="1"/>
  <c r="L29" i="63"/>
  <c r="S29" i="63"/>
  <c r="AP29" i="63"/>
  <c r="M29" i="63"/>
  <c r="AV29" i="63"/>
  <c r="E29" i="63"/>
  <c r="AK29" i="63"/>
  <c r="AU29" i="63"/>
  <c r="AC29" i="63"/>
  <c r="I29" i="63"/>
  <c r="AQ29" i="63"/>
  <c r="AR29" i="63"/>
  <c r="AJ29" i="63"/>
  <c r="Y28" i="65"/>
  <c r="H28" i="65"/>
  <c r="M28" i="65"/>
  <c r="N28" i="65"/>
  <c r="S29" i="65" l="1"/>
  <c r="M29" i="65"/>
  <c r="H29" i="65"/>
  <c r="N29" i="65"/>
  <c r="U29" i="65"/>
  <c r="B30" i="63"/>
  <c r="B30" i="65" s="1"/>
  <c r="AB30" i="63"/>
  <c r="AQ30" i="63"/>
  <c r="R30" i="63"/>
  <c r="D30" i="63"/>
  <c r="O30" i="63"/>
  <c r="C30" i="63"/>
  <c r="X30" i="65" s="1"/>
  <c r="AE30" i="63"/>
  <c r="S30" i="63"/>
  <c r="H30" i="63"/>
  <c r="AS30" i="63"/>
  <c r="AI30" i="63"/>
  <c r="AJ30" i="63"/>
  <c r="Y30" i="63"/>
  <c r="AT30" i="63"/>
  <c r="U30" i="63"/>
  <c r="O30" i="65" s="1"/>
  <c r="J30" i="63"/>
  <c r="X30" i="63"/>
  <c r="W30" i="65" s="1"/>
  <c r="P30" i="63"/>
  <c r="AK30" i="63"/>
  <c r="AN30" i="63"/>
  <c r="AF30" i="63"/>
  <c r="F30" i="63"/>
  <c r="K30" i="63"/>
  <c r="AV30" i="63"/>
  <c r="V30" i="63"/>
  <c r="AO30" i="63"/>
  <c r="AD30" i="63"/>
  <c r="AP30" i="63"/>
  <c r="Q30" i="63"/>
  <c r="R30" i="65" s="1"/>
  <c r="M30" i="63"/>
  <c r="AG30" i="63"/>
  <c r="AR30" i="63"/>
  <c r="AH30" i="63"/>
  <c r="AU30" i="63"/>
  <c r="AX30" i="63"/>
  <c r="W30" i="63"/>
  <c r="AY30" i="63"/>
  <c r="A31" i="63"/>
  <c r="Z30" i="63"/>
  <c r="AA30" i="63"/>
  <c r="AC30" i="63"/>
  <c r="G30" i="63"/>
  <c r="N30" i="63"/>
  <c r="AW30" i="63"/>
  <c r="E30" i="63"/>
  <c r="I30" i="63"/>
  <c r="AM30" i="63"/>
  <c r="L30" i="63"/>
  <c r="T30" i="63"/>
  <c r="P30" i="65" s="1"/>
  <c r="AL30" i="63"/>
  <c r="Y29" i="65"/>
  <c r="H31" i="81"/>
  <c r="I31" i="81"/>
  <c r="S31" i="81"/>
  <c r="P31" i="81"/>
  <c r="R31" i="81"/>
  <c r="T31" i="81"/>
  <c r="D31" i="81"/>
  <c r="J31" i="81"/>
  <c r="M31" i="81"/>
  <c r="N31" i="81"/>
  <c r="G31" i="81"/>
  <c r="K31" i="81"/>
  <c r="O31" i="81"/>
  <c r="Q31" i="81"/>
  <c r="B31" i="81"/>
  <c r="U31" i="81"/>
  <c r="L31" i="81"/>
  <c r="C31" i="81"/>
  <c r="A32" i="81"/>
  <c r="F31" i="81"/>
  <c r="E31" i="81"/>
  <c r="Y30" i="65" l="1"/>
  <c r="M30" i="65"/>
  <c r="F31" i="63"/>
  <c r="K31" i="63"/>
  <c r="AF31" i="63"/>
  <c r="AY31" i="63"/>
  <c r="V31" i="63"/>
  <c r="AA31" i="63"/>
  <c r="AV31" i="63"/>
  <c r="U31" i="63"/>
  <c r="O31" i="65" s="1"/>
  <c r="W31" i="63"/>
  <c r="AB31" i="63"/>
  <c r="AW31" i="63"/>
  <c r="A32" i="63"/>
  <c r="AM31" i="63"/>
  <c r="AR31" i="63"/>
  <c r="R31" i="63"/>
  <c r="H31" i="63"/>
  <c r="M31" i="63"/>
  <c r="AH31" i="63"/>
  <c r="AN31" i="63"/>
  <c r="N31" i="63"/>
  <c r="E31" i="63"/>
  <c r="I31" i="63"/>
  <c r="AD31" i="63"/>
  <c r="S31" i="63"/>
  <c r="Y31" i="63"/>
  <c r="AT31" i="63"/>
  <c r="T31" i="63"/>
  <c r="P31" i="65" s="1"/>
  <c r="AO31" i="63"/>
  <c r="O31" i="63"/>
  <c r="AQ31" i="63"/>
  <c r="L31" i="63"/>
  <c r="AC31" i="63"/>
  <c r="AE31" i="63"/>
  <c r="AU31" i="63"/>
  <c r="P31" i="63"/>
  <c r="AL31" i="63"/>
  <c r="AX31" i="63"/>
  <c r="G31" i="63"/>
  <c r="B31" i="63"/>
  <c r="B31" i="65" s="1"/>
  <c r="X31" i="63"/>
  <c r="W31" i="65" s="1"/>
  <c r="AI31" i="63"/>
  <c r="AJ31" i="63"/>
  <c r="AK31" i="63"/>
  <c r="D31" i="63"/>
  <c r="J31" i="63"/>
  <c r="Z31" i="63"/>
  <c r="AP31" i="63"/>
  <c r="C31" i="63"/>
  <c r="X31" i="65" s="1"/>
  <c r="AS31" i="63"/>
  <c r="Q31" i="63"/>
  <c r="R31" i="65" s="1"/>
  <c r="AG31" i="63"/>
  <c r="H30" i="65"/>
  <c r="S30" i="65"/>
  <c r="E32" i="81"/>
  <c r="L32" i="81"/>
  <c r="S32" i="81"/>
  <c r="A33" i="81"/>
  <c r="H32" i="81"/>
  <c r="K32" i="81"/>
  <c r="O32" i="81"/>
  <c r="U32" i="81"/>
  <c r="T32" i="81"/>
  <c r="G32" i="81"/>
  <c r="R32" i="81"/>
  <c r="C32" i="81"/>
  <c r="D32" i="81"/>
  <c r="N32" i="81"/>
  <c r="Q32" i="81"/>
  <c r="J32" i="81"/>
  <c r="F32" i="81"/>
  <c r="M32" i="81"/>
  <c r="I32" i="81"/>
  <c r="B32" i="81"/>
  <c r="P32" i="81"/>
  <c r="U30" i="65"/>
  <c r="N30" i="65"/>
  <c r="S31" i="65" l="1"/>
  <c r="H31" i="65"/>
  <c r="U31" i="65"/>
  <c r="N31" i="65"/>
  <c r="W32" i="63"/>
  <c r="AB32" i="63"/>
  <c r="AI32" i="63"/>
  <c r="AM32" i="63"/>
  <c r="AR32" i="63"/>
  <c r="AW32" i="63"/>
  <c r="AS32" i="63"/>
  <c r="B32" i="63"/>
  <c r="B32" i="65" s="1"/>
  <c r="D32" i="63"/>
  <c r="AN32" i="63"/>
  <c r="N32" i="63"/>
  <c r="C32" i="63"/>
  <c r="X32" i="65" s="1"/>
  <c r="T32" i="63"/>
  <c r="P32" i="65" s="1"/>
  <c r="I32" i="63"/>
  <c r="AD32" i="63"/>
  <c r="Q32" i="63"/>
  <c r="R32" i="65" s="1"/>
  <c r="U32" i="63"/>
  <c r="O32" i="65" s="1"/>
  <c r="J32" i="63"/>
  <c r="AE32" i="63"/>
  <c r="Z32" i="63"/>
  <c r="AU32" i="63"/>
  <c r="AK32" i="63"/>
  <c r="AP32" i="63"/>
  <c r="P32" i="63"/>
  <c r="A33" i="63"/>
  <c r="F32" i="63"/>
  <c r="K32" i="63"/>
  <c r="AF32" i="63"/>
  <c r="AJ32" i="63"/>
  <c r="AV32" i="63"/>
  <c r="E32" i="63"/>
  <c r="AG32" i="63"/>
  <c r="V32" i="63"/>
  <c r="AH32" i="63"/>
  <c r="G32" i="63"/>
  <c r="AY32" i="63"/>
  <c r="H32" i="63"/>
  <c r="R32" i="63"/>
  <c r="X32" i="63"/>
  <c r="W32" i="65" s="1"/>
  <c r="S32" i="63"/>
  <c r="AA32" i="63"/>
  <c r="AQ32" i="63"/>
  <c r="L32" i="63"/>
  <c r="M32" i="63"/>
  <c r="Y32" i="63"/>
  <c r="AO32" i="63"/>
  <c r="AC32" i="63"/>
  <c r="AT32" i="63"/>
  <c r="AX32" i="63"/>
  <c r="AL32" i="63"/>
  <c r="O32" i="63"/>
  <c r="Y31" i="65"/>
  <c r="U33" i="81"/>
  <c r="T33" i="81"/>
  <c r="I33" i="81"/>
  <c r="D33" i="81"/>
  <c r="R33" i="81"/>
  <c r="K33" i="81"/>
  <c r="L33" i="81"/>
  <c r="S33" i="81"/>
  <c r="E33" i="81"/>
  <c r="J33" i="81"/>
  <c r="M33" i="81"/>
  <c r="Q33" i="81"/>
  <c r="A34" i="81"/>
  <c r="O33" i="81"/>
  <c r="P33" i="81"/>
  <c r="N33" i="81"/>
  <c r="F33" i="81"/>
  <c r="G33" i="81"/>
  <c r="H33" i="81"/>
  <c r="B33" i="81"/>
  <c r="C33" i="81"/>
  <c r="M31" i="65"/>
  <c r="Y32" i="65" l="1"/>
  <c r="U32" i="65"/>
  <c r="S32" i="65"/>
  <c r="H32" i="65"/>
  <c r="M32" i="65"/>
  <c r="AX33" i="63"/>
  <c r="G33" i="63"/>
  <c r="L33" i="63"/>
  <c r="AW33" i="63"/>
  <c r="C33" i="63"/>
  <c r="X33" i="65" s="1"/>
  <c r="W33" i="63"/>
  <c r="AB33" i="63"/>
  <c r="O33" i="63"/>
  <c r="AY33" i="63"/>
  <c r="X33" i="63"/>
  <c r="W33" i="65" s="1"/>
  <c r="AC33" i="63"/>
  <c r="D33" i="63"/>
  <c r="AS33" i="63"/>
  <c r="T33" i="63"/>
  <c r="P33" i="65" s="1"/>
  <c r="AN33" i="63"/>
  <c r="N33" i="63"/>
  <c r="E33" i="63"/>
  <c r="AO33" i="63"/>
  <c r="P33" i="63"/>
  <c r="Z33" i="63"/>
  <c r="AE33" i="63"/>
  <c r="AK33" i="63"/>
  <c r="AP33" i="63"/>
  <c r="AF33" i="63"/>
  <c r="V33" i="63"/>
  <c r="AU33" i="63"/>
  <c r="AL33" i="63"/>
  <c r="AV33" i="63"/>
  <c r="AM33" i="63"/>
  <c r="A34" i="63"/>
  <c r="I33" i="63"/>
  <c r="Y33" i="63"/>
  <c r="J33" i="63"/>
  <c r="AH33" i="63"/>
  <c r="AQ33" i="63"/>
  <c r="S33" i="63"/>
  <c r="AR33" i="63"/>
  <c r="AI33" i="63"/>
  <c r="M33" i="63"/>
  <c r="AD33" i="63"/>
  <c r="K33" i="63"/>
  <c r="AA33" i="63"/>
  <c r="AT33" i="63"/>
  <c r="AG33" i="63"/>
  <c r="B33" i="63"/>
  <c r="B33" i="65" s="1"/>
  <c r="R33" i="63"/>
  <c r="AJ33" i="63"/>
  <c r="U33" i="63"/>
  <c r="O33" i="65" s="1"/>
  <c r="F33" i="63"/>
  <c r="H33" i="63"/>
  <c r="Q33" i="63"/>
  <c r="R33" i="65" s="1"/>
  <c r="N32" i="65"/>
  <c r="O34" i="81"/>
  <c r="U34" i="81"/>
  <c r="L34" i="81"/>
  <c r="A35" i="81"/>
  <c r="C34" i="81"/>
  <c r="Q34" i="81"/>
  <c r="G34" i="81"/>
  <c r="M34" i="81"/>
  <c r="N34" i="81"/>
  <c r="B34" i="81"/>
  <c r="R34" i="81"/>
  <c r="J34" i="81"/>
  <c r="F34" i="81"/>
  <c r="I34" i="81"/>
  <c r="S34" i="81"/>
  <c r="P34" i="81"/>
  <c r="H34" i="81"/>
  <c r="K34" i="81"/>
  <c r="T34" i="81"/>
  <c r="E34" i="81"/>
  <c r="D34" i="81"/>
  <c r="Y33" i="65" l="1"/>
  <c r="H33" i="65"/>
  <c r="M33" i="65"/>
  <c r="S33" i="65"/>
  <c r="C35" i="81"/>
  <c r="I35" i="81"/>
  <c r="B35" i="81"/>
  <c r="K35" i="81"/>
  <c r="T35" i="81"/>
  <c r="J35" i="81"/>
  <c r="O35" i="81"/>
  <c r="M35" i="81"/>
  <c r="N35" i="81"/>
  <c r="F35" i="81"/>
  <c r="G35" i="81"/>
  <c r="H35" i="81"/>
  <c r="R35" i="81"/>
  <c r="E35" i="81"/>
  <c r="A36" i="81"/>
  <c r="L35" i="81"/>
  <c r="P35" i="81"/>
  <c r="S35" i="81"/>
  <c r="Q35" i="81"/>
  <c r="U35" i="81"/>
  <c r="D35" i="81"/>
  <c r="U33" i="65"/>
  <c r="AY34" i="63"/>
  <c r="I34" i="63"/>
  <c r="AC34" i="63"/>
  <c r="D34" i="63"/>
  <c r="Y34" i="63"/>
  <c r="AD34" i="63"/>
  <c r="AF34" i="63"/>
  <c r="AJ34" i="63"/>
  <c r="Z34" i="63"/>
  <c r="AT34" i="63"/>
  <c r="AV34" i="63"/>
  <c r="E34" i="63"/>
  <c r="AP34" i="63"/>
  <c r="AU34" i="63"/>
  <c r="Q34" i="63"/>
  <c r="R34" i="65" s="1"/>
  <c r="U34" i="63"/>
  <c r="O34" i="65" s="1"/>
  <c r="K34" i="63"/>
  <c r="M34" i="63"/>
  <c r="B34" i="63"/>
  <c r="B34" i="65" s="1"/>
  <c r="G34" i="63"/>
  <c r="L34" i="63"/>
  <c r="AH34" i="63"/>
  <c r="AM34" i="63"/>
  <c r="AR34" i="63"/>
  <c r="AX34" i="63"/>
  <c r="H34" i="63"/>
  <c r="N34" i="63"/>
  <c r="AN34" i="63"/>
  <c r="AO34" i="63"/>
  <c r="AG34" i="63"/>
  <c r="AA34" i="63"/>
  <c r="AW34" i="63"/>
  <c r="AQ34" i="63"/>
  <c r="R34" i="63"/>
  <c r="AB34" i="63"/>
  <c r="AI34" i="63"/>
  <c r="T34" i="63"/>
  <c r="P34" i="65" s="1"/>
  <c r="AE34" i="63"/>
  <c r="AS34" i="63"/>
  <c r="AK34" i="63"/>
  <c r="AL34" i="63"/>
  <c r="P34" i="63"/>
  <c r="C34" i="63"/>
  <c r="X34" i="65" s="1"/>
  <c r="S34" i="63"/>
  <c r="W34" i="63"/>
  <c r="X34" i="63"/>
  <c r="W34" i="65" s="1"/>
  <c r="J34" i="63"/>
  <c r="O34" i="63"/>
  <c r="A35" i="63"/>
  <c r="V34" i="63"/>
  <c r="F34" i="63"/>
  <c r="N33" i="65"/>
  <c r="Y34" i="65" l="1"/>
  <c r="S34" i="65"/>
  <c r="H34" i="65"/>
  <c r="M34" i="65"/>
  <c r="N34" i="65"/>
  <c r="J36" i="81"/>
  <c r="D36" i="81"/>
  <c r="R36" i="81"/>
  <c r="U36" i="81"/>
  <c r="K36" i="81"/>
  <c r="N36" i="81"/>
  <c r="O36" i="81"/>
  <c r="T36" i="81"/>
  <c r="G36" i="81"/>
  <c r="I36" i="81"/>
  <c r="L36" i="81"/>
  <c r="E36" i="81"/>
  <c r="P36" i="81"/>
  <c r="Q36" i="81"/>
  <c r="B36" i="81"/>
  <c r="H36" i="81"/>
  <c r="M36" i="81"/>
  <c r="S36" i="81"/>
  <c r="A37" i="81"/>
  <c r="C36" i="81"/>
  <c r="F36" i="81"/>
  <c r="AU35" i="63"/>
  <c r="U35" i="63"/>
  <c r="O35" i="65" s="1"/>
  <c r="J35" i="63"/>
  <c r="A36" i="63"/>
  <c r="P35" i="63"/>
  <c r="Z35" i="63"/>
  <c r="Q35" i="63"/>
  <c r="R35" i="65" s="1"/>
  <c r="V35" i="63"/>
  <c r="AC35" i="63"/>
  <c r="AG35" i="63"/>
  <c r="AL35" i="63"/>
  <c r="AJ35" i="63"/>
  <c r="AW35" i="63"/>
  <c r="G35" i="63"/>
  <c r="AQ35" i="63"/>
  <c r="AH35" i="63"/>
  <c r="H35" i="63"/>
  <c r="D35" i="63"/>
  <c r="N35" i="63"/>
  <c r="C35" i="63"/>
  <c r="X35" i="65" s="1"/>
  <c r="L35" i="63"/>
  <c r="AD35" i="63"/>
  <c r="S35" i="63"/>
  <c r="AN35" i="63"/>
  <c r="M35" i="63"/>
  <c r="O35" i="63"/>
  <c r="Y35" i="63"/>
  <c r="AE35" i="63"/>
  <c r="AO35" i="63"/>
  <c r="AF35" i="63"/>
  <c r="AP35" i="63"/>
  <c r="B35" i="63"/>
  <c r="B35" i="65" s="1"/>
  <c r="AR35" i="63"/>
  <c r="R35" i="63"/>
  <c r="AS35" i="63"/>
  <c r="AX35" i="63"/>
  <c r="K35" i="63"/>
  <c r="E35" i="63"/>
  <c r="AA35" i="63"/>
  <c r="AK35" i="63"/>
  <c r="F35" i="63"/>
  <c r="W35" i="63"/>
  <c r="AT35" i="63"/>
  <c r="AV35" i="63"/>
  <c r="AI35" i="63"/>
  <c r="AM35" i="63"/>
  <c r="X35" i="63"/>
  <c r="W35" i="65" s="1"/>
  <c r="I35" i="63"/>
  <c r="AB35" i="63"/>
  <c r="AY35" i="63"/>
  <c r="T35" i="63"/>
  <c r="P35" i="65" s="1"/>
  <c r="U34" i="65"/>
  <c r="M35" i="65" l="1"/>
  <c r="Y35" i="65"/>
  <c r="U35" i="65"/>
  <c r="Q36" i="63"/>
  <c r="R36" i="65" s="1"/>
  <c r="V36" i="63"/>
  <c r="R36" i="63"/>
  <c r="L36" i="63"/>
  <c r="AG36" i="63"/>
  <c r="W36" i="63"/>
  <c r="Y36" i="63"/>
  <c r="M36" i="63"/>
  <c r="S36" i="63"/>
  <c r="G36" i="63"/>
  <c r="AA36" i="63"/>
  <c r="AC36" i="63"/>
  <c r="AI36" i="63"/>
  <c r="AM36" i="63"/>
  <c r="AH36" i="63"/>
  <c r="AS36" i="63"/>
  <c r="AY36" i="63"/>
  <c r="H36" i="63"/>
  <c r="AO36" i="63"/>
  <c r="AT36" i="63"/>
  <c r="AN36" i="63"/>
  <c r="AE36" i="63"/>
  <c r="E36" i="63"/>
  <c r="AQ36" i="63"/>
  <c r="AU36" i="63"/>
  <c r="U36" i="63"/>
  <c r="O36" i="65" s="1"/>
  <c r="AX36" i="63"/>
  <c r="AF36" i="63"/>
  <c r="J36" i="63"/>
  <c r="AV36" i="63"/>
  <c r="K36" i="63"/>
  <c r="AW36" i="63"/>
  <c r="Z36" i="63"/>
  <c r="D36" i="63"/>
  <c r="T36" i="63"/>
  <c r="P36" i="65" s="1"/>
  <c r="A37" i="63"/>
  <c r="AJ36" i="63"/>
  <c r="F36" i="63"/>
  <c r="AB36" i="63"/>
  <c r="AR36" i="63"/>
  <c r="AL36" i="63"/>
  <c r="N36" i="63"/>
  <c r="X36" i="63"/>
  <c r="W36" i="65" s="1"/>
  <c r="AP36" i="63"/>
  <c r="I36" i="63"/>
  <c r="AD36" i="63"/>
  <c r="O36" i="63"/>
  <c r="P36" i="63"/>
  <c r="C36" i="63"/>
  <c r="X36" i="65" s="1"/>
  <c r="AK36" i="63"/>
  <c r="B36" i="63"/>
  <c r="B36" i="65" s="1"/>
  <c r="N35" i="65"/>
  <c r="H35" i="65"/>
  <c r="S35" i="65"/>
  <c r="S37" i="81"/>
  <c r="A38" i="81"/>
  <c r="N37" i="81"/>
  <c r="G37" i="81"/>
  <c r="K37" i="81"/>
  <c r="L37" i="81"/>
  <c r="Q37" i="81"/>
  <c r="R37" i="81"/>
  <c r="C37" i="81"/>
  <c r="D37" i="81"/>
  <c r="I37" i="81"/>
  <c r="B37" i="81"/>
  <c r="J37" i="81"/>
  <c r="E37" i="81"/>
  <c r="U37" i="81"/>
  <c r="F37" i="81"/>
  <c r="H37" i="81"/>
  <c r="M37" i="81"/>
  <c r="T37" i="81"/>
  <c r="O37" i="81"/>
  <c r="P37" i="81"/>
  <c r="N36" i="65" l="1"/>
  <c r="I38" i="81"/>
  <c r="G38" i="81"/>
  <c r="H38" i="81"/>
  <c r="T38" i="81"/>
  <c r="E38" i="81"/>
  <c r="F38" i="81"/>
  <c r="L38" i="81"/>
  <c r="O38" i="81"/>
  <c r="P38" i="81"/>
  <c r="Q38" i="81"/>
  <c r="M38" i="81"/>
  <c r="S38" i="81"/>
  <c r="K38" i="81"/>
  <c r="R38" i="81"/>
  <c r="U38" i="81"/>
  <c r="A39" i="81"/>
  <c r="D38" i="81"/>
  <c r="C38" i="81"/>
  <c r="N38" i="81"/>
  <c r="J38" i="81"/>
  <c r="B38" i="81"/>
  <c r="AB37" i="63"/>
  <c r="AH37" i="63"/>
  <c r="G37" i="63"/>
  <c r="AR37" i="63"/>
  <c r="AX37" i="63"/>
  <c r="H37" i="63"/>
  <c r="AS37" i="63"/>
  <c r="AI37" i="63"/>
  <c r="N37" i="63"/>
  <c r="AY37" i="63"/>
  <c r="X37" i="63"/>
  <c r="W37" i="65" s="1"/>
  <c r="AD37" i="63"/>
  <c r="D37" i="63"/>
  <c r="J37" i="63"/>
  <c r="AE37" i="63"/>
  <c r="AJ37" i="63"/>
  <c r="AM37" i="63"/>
  <c r="AP37" i="63"/>
  <c r="Q37" i="63"/>
  <c r="R37" i="65" s="1"/>
  <c r="U37" i="63"/>
  <c r="O37" i="65" s="1"/>
  <c r="P37" i="63"/>
  <c r="K37" i="63"/>
  <c r="AG37" i="63"/>
  <c r="AK37" i="63"/>
  <c r="AO37" i="63"/>
  <c r="B37" i="63"/>
  <c r="B37" i="65" s="1"/>
  <c r="R37" i="63"/>
  <c r="A38" i="63"/>
  <c r="C37" i="63"/>
  <c r="X37" i="65" s="1"/>
  <c r="T37" i="63"/>
  <c r="P37" i="65" s="1"/>
  <c r="Z37" i="63"/>
  <c r="E37" i="63"/>
  <c r="L37" i="63"/>
  <c r="AL37" i="63"/>
  <c r="M37" i="63"/>
  <c r="I37" i="63"/>
  <c r="AC37" i="63"/>
  <c r="W37" i="63"/>
  <c r="AT37" i="63"/>
  <c r="Y37" i="63"/>
  <c r="AA37" i="63"/>
  <c r="AQ37" i="63"/>
  <c r="O37" i="63"/>
  <c r="AU37" i="63"/>
  <c r="S37" i="63"/>
  <c r="F37" i="63"/>
  <c r="V37" i="63"/>
  <c r="AF37" i="63"/>
  <c r="AW37" i="63"/>
  <c r="AN37" i="63"/>
  <c r="AV37" i="63"/>
  <c r="U36" i="65"/>
  <c r="S36" i="65"/>
  <c r="H36" i="65"/>
  <c r="M36" i="65"/>
  <c r="Y36" i="65"/>
  <c r="S37" i="65" l="1"/>
  <c r="M37" i="65"/>
  <c r="I39" i="81"/>
  <c r="E39" i="81"/>
  <c r="O39" i="81"/>
  <c r="P39" i="81"/>
  <c r="J39" i="81"/>
  <c r="Q39" i="81"/>
  <c r="F39" i="81"/>
  <c r="U39" i="81"/>
  <c r="G39" i="81"/>
  <c r="A40" i="81"/>
  <c r="H39" i="81"/>
  <c r="K39" i="81"/>
  <c r="L39" i="81"/>
  <c r="D39" i="81"/>
  <c r="R39" i="81"/>
  <c r="B39" i="81"/>
  <c r="C39" i="81"/>
  <c r="T39" i="81"/>
  <c r="N39" i="81"/>
  <c r="S39" i="81"/>
  <c r="M39" i="81"/>
  <c r="Y37" i="65"/>
  <c r="N37" i="65"/>
  <c r="H37" i="65"/>
  <c r="U37" i="65"/>
  <c r="H38" i="63"/>
  <c r="AC38" i="63"/>
  <c r="S38" i="63"/>
  <c r="AT38" i="63"/>
  <c r="X38" i="63"/>
  <c r="W38" i="65" s="1"/>
  <c r="AS38" i="63"/>
  <c r="AI38" i="63"/>
  <c r="AY38" i="63"/>
  <c r="Y38" i="63"/>
  <c r="AU38" i="63"/>
  <c r="AO38" i="63"/>
  <c r="P38" i="63"/>
  <c r="AJ38" i="63"/>
  <c r="A39" i="63"/>
  <c r="J38" i="63"/>
  <c r="AF38" i="63"/>
  <c r="F38" i="63"/>
  <c r="K38" i="63"/>
  <c r="AG38" i="63"/>
  <c r="U38" i="63"/>
  <c r="O38" i="65" s="1"/>
  <c r="AQ38" i="63"/>
  <c r="B38" i="63"/>
  <c r="B38" i="65" s="1"/>
  <c r="V38" i="63"/>
  <c r="L38" i="63"/>
  <c r="R38" i="63"/>
  <c r="W38" i="63"/>
  <c r="AX38" i="63"/>
  <c r="C38" i="63"/>
  <c r="X38" i="65" s="1"/>
  <c r="AN38" i="63"/>
  <c r="D38" i="63"/>
  <c r="Z38" i="63"/>
  <c r="G38" i="63"/>
  <c r="AP38" i="63"/>
  <c r="N38" i="63"/>
  <c r="AA38" i="63"/>
  <c r="M38" i="63"/>
  <c r="AM38" i="63"/>
  <c r="O38" i="63"/>
  <c r="E38" i="63"/>
  <c r="AE38" i="63"/>
  <c r="AD38" i="63"/>
  <c r="AV38" i="63"/>
  <c r="AB38" i="63"/>
  <c r="AR38" i="63"/>
  <c r="Q38" i="63"/>
  <c r="R38" i="65" s="1"/>
  <c r="AH38" i="63"/>
  <c r="T38" i="63"/>
  <c r="P38" i="65" s="1"/>
  <c r="AK38" i="63"/>
  <c r="AL38" i="63"/>
  <c r="I38" i="63"/>
  <c r="AW38" i="63"/>
  <c r="Y38" i="65" l="1"/>
  <c r="T40" i="81"/>
  <c r="G40" i="81"/>
  <c r="J40" i="81"/>
  <c r="H40" i="81"/>
  <c r="L40" i="81"/>
  <c r="P40" i="81"/>
  <c r="N40" i="81"/>
  <c r="K40" i="81"/>
  <c r="I40" i="81"/>
  <c r="Q40" i="81"/>
  <c r="U40" i="81"/>
  <c r="F40" i="81"/>
  <c r="M40" i="81"/>
  <c r="B40" i="81"/>
  <c r="R40" i="81"/>
  <c r="C40" i="81"/>
  <c r="D40" i="81"/>
  <c r="E40" i="81"/>
  <c r="S40" i="81"/>
  <c r="A41" i="81"/>
  <c r="O40" i="81"/>
  <c r="M38" i="65"/>
  <c r="AT39" i="63"/>
  <c r="AH39" i="63"/>
  <c r="AN39" i="63"/>
  <c r="O39" i="63"/>
  <c r="AI39" i="63"/>
  <c r="AO39" i="63"/>
  <c r="P39" i="63"/>
  <c r="B39" i="63"/>
  <c r="B39" i="65" s="1"/>
  <c r="J39" i="63"/>
  <c r="AF39" i="63"/>
  <c r="AR39" i="63"/>
  <c r="Z39" i="63"/>
  <c r="AV39" i="63"/>
  <c r="C39" i="63"/>
  <c r="X39" i="65" s="1"/>
  <c r="AL39" i="63"/>
  <c r="AA39" i="63"/>
  <c r="R39" i="63"/>
  <c r="AB39" i="63"/>
  <c r="W39" i="63"/>
  <c r="M39" i="63"/>
  <c r="T39" i="63"/>
  <c r="P39" i="65" s="1"/>
  <c r="AX39" i="63"/>
  <c r="H39" i="63"/>
  <c r="X39" i="63"/>
  <c r="W39" i="65" s="1"/>
  <c r="U39" i="63"/>
  <c r="O39" i="65" s="1"/>
  <c r="I39" i="63"/>
  <c r="AP39" i="63"/>
  <c r="AJ39" i="63"/>
  <c r="K39" i="63"/>
  <c r="AK39" i="63"/>
  <c r="AQ39" i="63"/>
  <c r="D39" i="63"/>
  <c r="N39" i="63"/>
  <c r="AY39" i="63"/>
  <c r="AD39" i="63"/>
  <c r="A40" i="63"/>
  <c r="AE39" i="63"/>
  <c r="F39" i="63"/>
  <c r="AU39" i="63"/>
  <c r="S39" i="63"/>
  <c r="AG39" i="63"/>
  <c r="E39" i="63"/>
  <c r="G39" i="63"/>
  <c r="AM39" i="63"/>
  <c r="Y39" i="63"/>
  <c r="AC39" i="63"/>
  <c r="Q39" i="63"/>
  <c r="R39" i="65" s="1"/>
  <c r="AW39" i="63"/>
  <c r="V39" i="63"/>
  <c r="L39" i="63"/>
  <c r="AS39" i="63"/>
  <c r="N38" i="65"/>
  <c r="S38" i="65"/>
  <c r="H38" i="65"/>
  <c r="U38" i="65"/>
  <c r="N39" i="65" l="1"/>
  <c r="U39" i="65"/>
  <c r="AJ40" i="63"/>
  <c r="Y40" i="63"/>
  <c r="C40" i="63"/>
  <c r="X40" i="65" s="1"/>
  <c r="AP40" i="63"/>
  <c r="E40" i="63"/>
  <c r="AO40" i="63"/>
  <c r="AW40" i="63"/>
  <c r="AU40" i="63"/>
  <c r="AK40" i="63"/>
  <c r="AQ40" i="63"/>
  <c r="O40" i="63"/>
  <c r="F40" i="63"/>
  <c r="L40" i="63"/>
  <c r="AY40" i="63"/>
  <c r="V40" i="63"/>
  <c r="Y40" i="65" s="1"/>
  <c r="AB40" i="63"/>
  <c r="P40" i="63"/>
  <c r="W40" i="63"/>
  <c r="AC40" i="63"/>
  <c r="Z40" i="63"/>
  <c r="H40" i="63"/>
  <c r="N40" i="63"/>
  <c r="AF40" i="63"/>
  <c r="G40" i="63"/>
  <c r="AX40" i="63"/>
  <c r="AM40" i="63"/>
  <c r="Q40" i="63"/>
  <c r="R40" i="65" s="1"/>
  <c r="X40" i="63"/>
  <c r="W40" i="65" s="1"/>
  <c r="S40" i="63"/>
  <c r="AN40" i="63"/>
  <c r="AG40" i="63"/>
  <c r="I40" i="63"/>
  <c r="AH40" i="63"/>
  <c r="K40" i="63"/>
  <c r="R40" i="63"/>
  <c r="M40" i="63"/>
  <c r="A41" i="63"/>
  <c r="AS40" i="63"/>
  <c r="D40" i="63"/>
  <c r="AD40" i="63"/>
  <c r="T40" i="63"/>
  <c r="P40" i="65" s="1"/>
  <c r="AT40" i="63"/>
  <c r="U40" i="63"/>
  <c r="O40" i="65" s="1"/>
  <c r="AL40" i="63"/>
  <c r="AR40" i="63"/>
  <c r="B40" i="63"/>
  <c r="B40" i="65" s="1"/>
  <c r="AV40" i="63"/>
  <c r="J40" i="63"/>
  <c r="AA40" i="63"/>
  <c r="AE40" i="63"/>
  <c r="AI40" i="63"/>
  <c r="M39" i="65"/>
  <c r="S39" i="65"/>
  <c r="H39" i="65"/>
  <c r="Y39" i="65"/>
  <c r="N41" i="81"/>
  <c r="L41" i="81"/>
  <c r="P41" i="81"/>
  <c r="M41" i="81"/>
  <c r="T41" i="81"/>
  <c r="D41" i="81"/>
  <c r="U41" i="81"/>
  <c r="F41" i="81"/>
  <c r="K41" i="81"/>
  <c r="Q41" i="81"/>
  <c r="J41" i="81"/>
  <c r="R41" i="81"/>
  <c r="A42" i="81"/>
  <c r="E41" i="81"/>
  <c r="H41" i="81"/>
  <c r="C41" i="81"/>
  <c r="B41" i="81"/>
  <c r="O41" i="81"/>
  <c r="G41" i="81"/>
  <c r="I41" i="81"/>
  <c r="S41" i="81"/>
  <c r="U40" i="65" l="1"/>
  <c r="N40" i="65"/>
  <c r="H40" i="65"/>
  <c r="AJ41" i="63"/>
  <c r="AP41" i="63"/>
  <c r="P41" i="63"/>
  <c r="E41" i="63"/>
  <c r="K41" i="63"/>
  <c r="Q41" i="63"/>
  <c r="R41" i="65" s="1"/>
  <c r="AK41" i="63"/>
  <c r="L41" i="63"/>
  <c r="AC41" i="63"/>
  <c r="B41" i="63"/>
  <c r="B41" i="65" s="1"/>
  <c r="F41" i="63"/>
  <c r="AB41" i="63"/>
  <c r="AD41" i="63"/>
  <c r="R41" i="63"/>
  <c r="V41" i="63"/>
  <c r="AR41" i="63"/>
  <c r="N41" i="63"/>
  <c r="C41" i="63"/>
  <c r="X41" i="65" s="1"/>
  <c r="W41" i="63"/>
  <c r="AT41" i="63"/>
  <c r="AG41" i="63"/>
  <c r="AI41" i="63"/>
  <c r="I41" i="63"/>
  <c r="H41" i="63"/>
  <c r="M41" i="65" s="1"/>
  <c r="M41" i="63"/>
  <c r="U41" i="63"/>
  <c r="O41" i="65" s="1"/>
  <c r="AW41" i="63"/>
  <c r="O41" i="63"/>
  <c r="G41" i="63"/>
  <c r="AM41" i="63"/>
  <c r="AE41" i="63"/>
  <c r="Y41" i="63"/>
  <c r="AF41" i="63"/>
  <c r="Z41" i="63"/>
  <c r="AH41" i="63"/>
  <c r="AA41" i="63"/>
  <c r="AX41" i="63"/>
  <c r="AQ41" i="63"/>
  <c r="S41" i="63"/>
  <c r="AN41" i="63"/>
  <c r="AY41" i="63"/>
  <c r="D41" i="63"/>
  <c r="T41" i="63"/>
  <c r="P41" i="65" s="1"/>
  <c r="AO41" i="63"/>
  <c r="J41" i="63"/>
  <c r="N41" i="65" s="1"/>
  <c r="AS41" i="63"/>
  <c r="AU41" i="63"/>
  <c r="X41" i="63"/>
  <c r="W41" i="65" s="1"/>
  <c r="A42" i="63"/>
  <c r="AL41" i="63"/>
  <c r="AV41" i="63"/>
  <c r="M40" i="65"/>
  <c r="M42" i="81"/>
  <c r="U42" i="81"/>
  <c r="O42" i="81"/>
  <c r="P42" i="81"/>
  <c r="B42" i="81"/>
  <c r="R42" i="81"/>
  <c r="T42" i="81"/>
  <c r="C42" i="81"/>
  <c r="L42" i="81"/>
  <c r="Q42" i="81"/>
  <c r="S42" i="81"/>
  <c r="F42" i="81"/>
  <c r="D42" i="81"/>
  <c r="H42" i="81"/>
  <c r="I42" i="81"/>
  <c r="G42" i="81"/>
  <c r="A43" i="81"/>
  <c r="K42" i="81"/>
  <c r="J42" i="81"/>
  <c r="N42" i="81"/>
  <c r="E42" i="81"/>
  <c r="S40" i="65"/>
  <c r="S41" i="65" l="1"/>
  <c r="Y41" i="65"/>
  <c r="H41" i="65"/>
  <c r="U41" i="65"/>
  <c r="N43" i="81"/>
  <c r="B43" i="81"/>
  <c r="F43" i="81"/>
  <c r="P43" i="81"/>
  <c r="H43" i="81"/>
  <c r="L43" i="81"/>
  <c r="M43" i="81"/>
  <c r="D43" i="81"/>
  <c r="E43" i="81"/>
  <c r="G43" i="81"/>
  <c r="K43" i="81"/>
  <c r="R43" i="81"/>
  <c r="U43" i="81"/>
  <c r="C43" i="81"/>
  <c r="A44" i="81"/>
  <c r="I43" i="81"/>
  <c r="O43" i="81"/>
  <c r="S43" i="81"/>
  <c r="T43" i="81"/>
  <c r="J43" i="81"/>
  <c r="Q43" i="81"/>
  <c r="AW42" i="63"/>
  <c r="G42" i="63"/>
  <c r="K42" i="63"/>
  <c r="B42" i="63"/>
  <c r="B42" i="65" s="1"/>
  <c r="W42" i="63"/>
  <c r="AR42" i="63"/>
  <c r="A43" i="63"/>
  <c r="AX42" i="63"/>
  <c r="X42" i="63"/>
  <c r="W42" i="65" s="1"/>
  <c r="M42" i="63"/>
  <c r="C42" i="63"/>
  <c r="X42" i="65" s="1"/>
  <c r="AT42" i="63"/>
  <c r="S42" i="63"/>
  <c r="AN42" i="63"/>
  <c r="N42" i="63"/>
  <c r="D42" i="63"/>
  <c r="Z42" i="63"/>
  <c r="V42" i="63"/>
  <c r="P42" i="63"/>
  <c r="AD42" i="63"/>
  <c r="T42" i="63"/>
  <c r="P42" i="65" s="1"/>
  <c r="AU42" i="63"/>
  <c r="AJ42" i="63"/>
  <c r="O42" i="63"/>
  <c r="E42" i="63"/>
  <c r="Y42" i="63"/>
  <c r="AK42" i="63"/>
  <c r="AB42" i="63"/>
  <c r="AM42" i="63"/>
  <c r="AQ42" i="63"/>
  <c r="H42" i="63"/>
  <c r="F42" i="63"/>
  <c r="AV42" i="63"/>
  <c r="AC42" i="63"/>
  <c r="Q42" i="63"/>
  <c r="R42" i="65" s="1"/>
  <c r="AE42" i="63"/>
  <c r="AG42" i="63"/>
  <c r="AL42" i="63"/>
  <c r="R42" i="63"/>
  <c r="AO42" i="63"/>
  <c r="I42" i="63"/>
  <c r="J42" i="63"/>
  <c r="AP42" i="63"/>
  <c r="AS42" i="63"/>
  <c r="AA42" i="63"/>
  <c r="AF42" i="63"/>
  <c r="AH42" i="63"/>
  <c r="AI42" i="63"/>
  <c r="AY42" i="63"/>
  <c r="U42" i="63"/>
  <c r="O42" i="65" s="1"/>
  <c r="L42" i="63"/>
  <c r="Y42" i="65" l="1"/>
  <c r="H42" i="65"/>
  <c r="N42" i="65"/>
  <c r="M42" i="65"/>
  <c r="R44" i="81"/>
  <c r="U44" i="81"/>
  <c r="H44" i="81"/>
  <c r="O44" i="81"/>
  <c r="B44" i="81"/>
  <c r="A45" i="81"/>
  <c r="S44" i="81"/>
  <c r="D44" i="81"/>
  <c r="F44" i="81"/>
  <c r="K44" i="81"/>
  <c r="J44" i="81"/>
  <c r="E44" i="81"/>
  <c r="L44" i="81"/>
  <c r="N44" i="81"/>
  <c r="P44" i="81"/>
  <c r="C44" i="81"/>
  <c r="M44" i="81"/>
  <c r="Q44" i="81"/>
  <c r="I44" i="81"/>
  <c r="T44" i="81"/>
  <c r="G44" i="81"/>
  <c r="AH43" i="63"/>
  <c r="AR43" i="63"/>
  <c r="AN43" i="63"/>
  <c r="AX43" i="63"/>
  <c r="M43" i="63"/>
  <c r="AO43" i="63"/>
  <c r="AT43" i="63"/>
  <c r="AI43" i="63"/>
  <c r="I43" i="63"/>
  <c r="O43" i="63"/>
  <c r="AE43" i="63"/>
  <c r="E43" i="63"/>
  <c r="X43" i="63"/>
  <c r="W43" i="65" s="1"/>
  <c r="AF43" i="63"/>
  <c r="AK43" i="63"/>
  <c r="AB43" i="63"/>
  <c r="B43" i="63"/>
  <c r="B43" i="65" s="1"/>
  <c r="Z43" i="63"/>
  <c r="R43" i="63"/>
  <c r="AA43" i="63"/>
  <c r="C43" i="63"/>
  <c r="X43" i="65" s="1"/>
  <c r="AC43" i="63"/>
  <c r="AY43" i="63"/>
  <c r="AJ43" i="63"/>
  <c r="U43" i="63"/>
  <c r="O43" i="65" s="1"/>
  <c r="G43" i="63"/>
  <c r="AM43" i="63"/>
  <c r="AD43" i="63"/>
  <c r="AL43" i="63"/>
  <c r="H43" i="63"/>
  <c r="AU43" i="63"/>
  <c r="K43" i="63"/>
  <c r="J43" i="63"/>
  <c r="N43" i="65" s="1"/>
  <c r="P43" i="63"/>
  <c r="AQ43" i="63"/>
  <c r="AV43" i="63"/>
  <c r="L43" i="63"/>
  <c r="A44" i="63"/>
  <c r="W43" i="63"/>
  <c r="D43" i="63"/>
  <c r="Y43" i="63"/>
  <c r="N43" i="63"/>
  <c r="AG43" i="63"/>
  <c r="AW43" i="63"/>
  <c r="S43" i="63"/>
  <c r="F43" i="63"/>
  <c r="AP43" i="63"/>
  <c r="Q43" i="63"/>
  <c r="R43" i="65" s="1"/>
  <c r="V43" i="63"/>
  <c r="AS43" i="63"/>
  <c r="T43" i="63"/>
  <c r="P43" i="65" s="1"/>
  <c r="S42" i="65"/>
  <c r="U42" i="65"/>
  <c r="S43" i="65" l="1"/>
  <c r="M43" i="65"/>
  <c r="U43" i="65"/>
  <c r="Y43" i="65"/>
  <c r="J45" i="81"/>
  <c r="C45" i="81"/>
  <c r="A46" i="81"/>
  <c r="K45" i="81"/>
  <c r="B45" i="81"/>
  <c r="O45" i="81"/>
  <c r="P45" i="81"/>
  <c r="F45" i="81"/>
  <c r="H45" i="81"/>
  <c r="Q45" i="81"/>
  <c r="R45" i="81"/>
  <c r="G45" i="81"/>
  <c r="E45" i="81"/>
  <c r="U45" i="81"/>
  <c r="N45" i="81"/>
  <c r="D45" i="81"/>
  <c r="I45" i="81"/>
  <c r="S45" i="81"/>
  <c r="M45" i="81"/>
  <c r="L45" i="81"/>
  <c r="T45" i="81"/>
  <c r="H43" i="65"/>
  <c r="AD44" i="63"/>
  <c r="T44" i="63"/>
  <c r="P44" i="65" s="1"/>
  <c r="J44" i="63"/>
  <c r="AT44" i="63"/>
  <c r="AP44" i="63"/>
  <c r="AU44" i="63"/>
  <c r="Z44" i="63"/>
  <c r="R44" i="63"/>
  <c r="AF44" i="63"/>
  <c r="B44" i="63"/>
  <c r="B44" i="65" s="1"/>
  <c r="U44" i="63"/>
  <c r="O44" i="65" s="1"/>
  <c r="L44" i="63"/>
  <c r="AG44" i="63"/>
  <c r="AK44" i="63"/>
  <c r="V44" i="63"/>
  <c r="AC44" i="63"/>
  <c r="AA44" i="63"/>
  <c r="AM44" i="63"/>
  <c r="AS44" i="63"/>
  <c r="AH44" i="63"/>
  <c r="N44" i="63"/>
  <c r="E44" i="63"/>
  <c r="AE44" i="63"/>
  <c r="AL44" i="63"/>
  <c r="P44" i="63"/>
  <c r="H44" i="63"/>
  <c r="AV44" i="63"/>
  <c r="AN44" i="63"/>
  <c r="C44" i="63"/>
  <c r="X44" i="65" s="1"/>
  <c r="K44" i="63"/>
  <c r="S44" i="63"/>
  <c r="AQ44" i="63"/>
  <c r="AI44" i="63"/>
  <c r="AX44" i="63"/>
  <c r="AY44" i="63"/>
  <c r="G44" i="63"/>
  <c r="W44" i="63"/>
  <c r="X44" i="63"/>
  <c r="W44" i="65" s="1"/>
  <c r="AB44" i="63"/>
  <c r="AR44" i="63"/>
  <c r="M44" i="63"/>
  <c r="O44" i="63"/>
  <c r="AW44" i="63"/>
  <c r="D44" i="63"/>
  <c r="AJ44" i="63"/>
  <c r="Y44" i="63"/>
  <c r="Q44" i="63"/>
  <c r="R44" i="65" s="1"/>
  <c r="F44" i="63"/>
  <c r="I44" i="63"/>
  <c r="AO44" i="63"/>
  <c r="A45" i="63"/>
  <c r="N44" i="65" l="1"/>
  <c r="Y44" i="65"/>
  <c r="U44" i="65"/>
  <c r="R46" i="81"/>
  <c r="G46" i="81"/>
  <c r="T46" i="81"/>
  <c r="H46" i="81"/>
  <c r="J46" i="81"/>
  <c r="M46" i="81"/>
  <c r="K46" i="81"/>
  <c r="A47" i="81"/>
  <c r="N46" i="81"/>
  <c r="S46" i="81"/>
  <c r="P46" i="81"/>
  <c r="E46" i="81"/>
  <c r="F46" i="81"/>
  <c r="I46" i="81"/>
  <c r="L46" i="81"/>
  <c r="Q46" i="81"/>
  <c r="D46" i="81"/>
  <c r="B46" i="81"/>
  <c r="U46" i="81"/>
  <c r="O46" i="81"/>
  <c r="C46" i="81"/>
  <c r="H44" i="65"/>
  <c r="O45" i="63"/>
  <c r="P45" i="63"/>
  <c r="E45" i="63"/>
  <c r="J45" i="63"/>
  <c r="AE45" i="63"/>
  <c r="AV45" i="63"/>
  <c r="F45" i="63"/>
  <c r="K45" i="63"/>
  <c r="AG45" i="63"/>
  <c r="T45" i="63"/>
  <c r="P45" i="65" s="1"/>
  <c r="AJ45" i="63"/>
  <c r="AQ45" i="63"/>
  <c r="B45" i="63"/>
  <c r="B45" i="65" s="1"/>
  <c r="V45" i="63"/>
  <c r="AL45" i="63"/>
  <c r="AR45" i="63"/>
  <c r="AX45" i="63"/>
  <c r="X45" i="63"/>
  <c r="W45" i="65" s="1"/>
  <c r="Q45" i="63"/>
  <c r="R45" i="65" s="1"/>
  <c r="Y45" i="63"/>
  <c r="AW45" i="63"/>
  <c r="AF45" i="63"/>
  <c r="R45" i="63"/>
  <c r="C45" i="63"/>
  <c r="X45" i="65" s="1"/>
  <c r="Z45" i="63"/>
  <c r="G45" i="63"/>
  <c r="D45" i="63"/>
  <c r="AP45" i="63"/>
  <c r="AM45" i="63"/>
  <c r="U45" i="63"/>
  <c r="O45" i="65" s="1"/>
  <c r="AA45" i="63"/>
  <c r="H45" i="63"/>
  <c r="M45" i="63"/>
  <c r="AO45" i="63"/>
  <c r="AC45" i="63"/>
  <c r="S45" i="63"/>
  <c r="AS45" i="63"/>
  <c r="AY45" i="63"/>
  <c r="N45" i="63"/>
  <c r="AK45" i="63"/>
  <c r="A46" i="63"/>
  <c r="L45" i="63"/>
  <c r="AB45" i="63"/>
  <c r="AD45" i="63"/>
  <c r="AT45" i="63"/>
  <c r="AH45" i="63"/>
  <c r="AN45" i="63"/>
  <c r="I45" i="63"/>
  <c r="W45" i="63"/>
  <c r="AU45" i="63"/>
  <c r="AI45" i="63"/>
  <c r="M44" i="65"/>
  <c r="S44" i="65"/>
  <c r="M45" i="65" l="1"/>
  <c r="S45" i="65"/>
  <c r="N45" i="65"/>
  <c r="H47" i="81"/>
  <c r="O47" i="81"/>
  <c r="I47" i="81"/>
  <c r="U47" i="81"/>
  <c r="T47" i="81"/>
  <c r="J47" i="81"/>
  <c r="R47" i="81"/>
  <c r="N47" i="81"/>
  <c r="B47" i="81"/>
  <c r="K47" i="81"/>
  <c r="L47" i="81"/>
  <c r="M47" i="81"/>
  <c r="E47" i="81"/>
  <c r="F47" i="81"/>
  <c r="G47" i="81"/>
  <c r="D47" i="81"/>
  <c r="S47" i="81"/>
  <c r="P47" i="81"/>
  <c r="A48" i="81"/>
  <c r="C47" i="81"/>
  <c r="Q47" i="81"/>
  <c r="Y45" i="65"/>
  <c r="H45" i="65"/>
  <c r="U45" i="65"/>
  <c r="AP46" i="63"/>
  <c r="U46" i="63"/>
  <c r="O46" i="65" s="1"/>
  <c r="N46" i="63"/>
  <c r="K46" i="63"/>
  <c r="AT46" i="63"/>
  <c r="L46" i="63"/>
  <c r="AD46" i="63"/>
  <c r="C46" i="63"/>
  <c r="X46" i="65" s="1"/>
  <c r="AR46" i="63"/>
  <c r="B46" i="63"/>
  <c r="B46" i="65" s="1"/>
  <c r="S46" i="63"/>
  <c r="X46" i="63"/>
  <c r="W46" i="65" s="1"/>
  <c r="AS46" i="63"/>
  <c r="AJ46" i="63"/>
  <c r="AI46" i="63"/>
  <c r="AA46" i="63"/>
  <c r="E46" i="63"/>
  <c r="AQ46" i="63"/>
  <c r="AK46" i="63"/>
  <c r="AB46" i="63"/>
  <c r="F46" i="63"/>
  <c r="AC46" i="63"/>
  <c r="G46" i="63"/>
  <c r="O46" i="63"/>
  <c r="AM46" i="63"/>
  <c r="AE46" i="63"/>
  <c r="Q46" i="63"/>
  <c r="R46" i="65" s="1"/>
  <c r="H46" i="63"/>
  <c r="AF46" i="63"/>
  <c r="T46" i="63"/>
  <c r="P46" i="65" s="1"/>
  <c r="AN46" i="63"/>
  <c r="AV46" i="63"/>
  <c r="I46" i="63"/>
  <c r="V46" i="63"/>
  <c r="AX46" i="63"/>
  <c r="Y46" i="63"/>
  <c r="W46" i="63"/>
  <c r="AY46" i="63"/>
  <c r="AO46" i="63"/>
  <c r="Z46" i="63"/>
  <c r="M46" i="63"/>
  <c r="AU46" i="63"/>
  <c r="P46" i="63"/>
  <c r="AH46" i="63"/>
  <c r="D46" i="63"/>
  <c r="AL46" i="63"/>
  <c r="AW46" i="63"/>
  <c r="J46" i="63"/>
  <c r="AG46" i="63"/>
  <c r="R46" i="63"/>
  <c r="A47" i="63"/>
  <c r="S46" i="65" l="1"/>
  <c r="U46" i="65"/>
  <c r="Y46" i="65"/>
  <c r="N46" i="65"/>
  <c r="V47" i="63"/>
  <c r="K47" i="63"/>
  <c r="AR47" i="63"/>
  <c r="AF47" i="63"/>
  <c r="AL47" i="63"/>
  <c r="AA47" i="63"/>
  <c r="O47" i="63"/>
  <c r="AG47" i="63"/>
  <c r="AC47" i="63"/>
  <c r="AV47" i="63"/>
  <c r="Q47" i="63"/>
  <c r="R47" i="65" s="1"/>
  <c r="H47" i="63"/>
  <c r="N47" i="63"/>
  <c r="AX47" i="63"/>
  <c r="AN47" i="63"/>
  <c r="C47" i="63"/>
  <c r="X47" i="65" s="1"/>
  <c r="T47" i="63"/>
  <c r="P47" i="65" s="1"/>
  <c r="F47" i="63"/>
  <c r="AT47" i="63"/>
  <c r="AE47" i="63"/>
  <c r="G47" i="63"/>
  <c r="AI47" i="63"/>
  <c r="B47" i="63"/>
  <c r="B47" i="65" s="1"/>
  <c r="W47" i="63"/>
  <c r="D47" i="63"/>
  <c r="AH47" i="63"/>
  <c r="X47" i="63"/>
  <c r="W47" i="65" s="1"/>
  <c r="E47" i="63"/>
  <c r="A48" i="63"/>
  <c r="AK47" i="63"/>
  <c r="I47" i="63"/>
  <c r="L47" i="63"/>
  <c r="J47" i="63"/>
  <c r="R47" i="63"/>
  <c r="Z47" i="63"/>
  <c r="S47" i="63"/>
  <c r="AP47" i="63"/>
  <c r="AY47" i="63"/>
  <c r="AQ47" i="63"/>
  <c r="AM47" i="63"/>
  <c r="Y47" i="63"/>
  <c r="M47" i="63"/>
  <c r="AS47" i="63"/>
  <c r="AD47" i="63"/>
  <c r="AJ47" i="63"/>
  <c r="P47" i="63"/>
  <c r="U47" i="63"/>
  <c r="O47" i="65" s="1"/>
  <c r="AB47" i="63"/>
  <c r="AU47" i="63"/>
  <c r="AW47" i="63"/>
  <c r="AO47" i="63"/>
  <c r="H46" i="65"/>
  <c r="L48" i="81"/>
  <c r="I48" i="81"/>
  <c r="D48" i="81"/>
  <c r="M48" i="81"/>
  <c r="O48" i="81"/>
  <c r="P48" i="81"/>
  <c r="T48" i="81"/>
  <c r="G48" i="81"/>
  <c r="E48" i="81"/>
  <c r="F48" i="81"/>
  <c r="K48" i="81"/>
  <c r="Q48" i="81"/>
  <c r="R48" i="81"/>
  <c r="C48" i="81"/>
  <c r="B48" i="81"/>
  <c r="H48" i="81"/>
  <c r="A49" i="81"/>
  <c r="S48" i="81"/>
  <c r="N48" i="81"/>
  <c r="U48" i="81"/>
  <c r="J48" i="81"/>
  <c r="M46" i="65"/>
  <c r="N47" i="65" l="1"/>
  <c r="U47" i="65"/>
  <c r="M47" i="65"/>
  <c r="G48" i="63"/>
  <c r="Q48" i="63"/>
  <c r="R48" i="65" s="1"/>
  <c r="AP48" i="63"/>
  <c r="W48" i="63"/>
  <c r="AW48" i="63"/>
  <c r="M48" i="63"/>
  <c r="X48" i="63"/>
  <c r="W48" i="65" s="1"/>
  <c r="S48" i="63"/>
  <c r="AT48" i="63"/>
  <c r="D48" i="63"/>
  <c r="AN48" i="63"/>
  <c r="Z48" i="63"/>
  <c r="AV48" i="63"/>
  <c r="E48" i="63"/>
  <c r="AO48" i="63"/>
  <c r="AF48" i="63"/>
  <c r="P48" i="63"/>
  <c r="I48" i="63"/>
  <c r="C48" i="63"/>
  <c r="X48" i="65" s="1"/>
  <c r="Y48" i="63"/>
  <c r="AI48" i="63"/>
  <c r="K48" i="63"/>
  <c r="J48" i="63"/>
  <c r="AQ48" i="63"/>
  <c r="AE48" i="63"/>
  <c r="T48" i="63"/>
  <c r="P48" i="65" s="1"/>
  <c r="L48" i="63"/>
  <c r="AU48" i="63"/>
  <c r="AJ48" i="63"/>
  <c r="AB48" i="63"/>
  <c r="N48" i="63"/>
  <c r="AK48" i="63"/>
  <c r="AX48" i="63"/>
  <c r="A49" i="63"/>
  <c r="F48" i="63"/>
  <c r="AY48" i="63"/>
  <c r="V48" i="63"/>
  <c r="AC48" i="63"/>
  <c r="AL48" i="63"/>
  <c r="AD48" i="63"/>
  <c r="AM48" i="63"/>
  <c r="H48" i="63"/>
  <c r="M48" i="65" s="1"/>
  <c r="AR48" i="63"/>
  <c r="R48" i="63"/>
  <c r="S48" i="65" s="1"/>
  <c r="AG48" i="63"/>
  <c r="B48" i="63"/>
  <c r="B48" i="65" s="1"/>
  <c r="AS48" i="63"/>
  <c r="O48" i="63"/>
  <c r="U48" i="63"/>
  <c r="O48" i="65" s="1"/>
  <c r="AA48" i="63"/>
  <c r="AH48" i="63"/>
  <c r="H47" i="65"/>
  <c r="U49" i="81"/>
  <c r="S49" i="81"/>
  <c r="O49" i="81"/>
  <c r="J49" i="81"/>
  <c r="M49" i="81"/>
  <c r="R49" i="81"/>
  <c r="B49" i="81"/>
  <c r="C49" i="81"/>
  <c r="D49" i="81"/>
  <c r="H49" i="81"/>
  <c r="I49" i="81"/>
  <c r="A50" i="81"/>
  <c r="F49" i="81"/>
  <c r="K49" i="81"/>
  <c r="N49" i="81"/>
  <c r="P49" i="81"/>
  <c r="T49" i="81"/>
  <c r="L49" i="81"/>
  <c r="G49" i="81"/>
  <c r="E49" i="81"/>
  <c r="Q49" i="81"/>
  <c r="S47" i="65"/>
  <c r="Y47" i="65"/>
  <c r="Y48" i="65" l="1"/>
  <c r="N48" i="65"/>
  <c r="H48" i="65"/>
  <c r="U48" i="65"/>
  <c r="C49" i="63"/>
  <c r="X49" i="65" s="1"/>
  <c r="AD49" i="63"/>
  <c r="P49" i="63"/>
  <c r="AK49" i="63"/>
  <c r="D49" i="63"/>
  <c r="AV49" i="63"/>
  <c r="AO49" i="63"/>
  <c r="E49" i="63"/>
  <c r="AF49" i="63"/>
  <c r="S49" i="63"/>
  <c r="H49" i="63"/>
  <c r="X49" i="63"/>
  <c r="W49" i="65" s="1"/>
  <c r="G49" i="63"/>
  <c r="AI49" i="63"/>
  <c r="M49" i="63"/>
  <c r="U49" i="63"/>
  <c r="O49" i="65" s="1"/>
  <c r="N49" i="63"/>
  <c r="F49" i="63"/>
  <c r="AL49" i="63"/>
  <c r="V49" i="63"/>
  <c r="O49" i="63"/>
  <c r="AM49" i="63"/>
  <c r="Q49" i="63"/>
  <c r="R49" i="65" s="1"/>
  <c r="I49" i="63"/>
  <c r="AP49" i="63"/>
  <c r="Y49" i="63"/>
  <c r="AQ49" i="63"/>
  <c r="AE49" i="63"/>
  <c r="AA49" i="63"/>
  <c r="B49" i="63"/>
  <c r="B49" i="65" s="1"/>
  <c r="AW49" i="63"/>
  <c r="AB49" i="63"/>
  <c r="R49" i="63"/>
  <c r="AY49" i="63"/>
  <c r="AC49" i="63"/>
  <c r="AH49" i="63"/>
  <c r="AG49" i="63"/>
  <c r="AS49" i="63"/>
  <c r="J49" i="63"/>
  <c r="Z49" i="63"/>
  <c r="K49" i="63"/>
  <c r="AJ49" i="63"/>
  <c r="AN49" i="63"/>
  <c r="AR49" i="63"/>
  <c r="AU49" i="63"/>
  <c r="A50" i="63"/>
  <c r="AX49" i="63"/>
  <c r="T49" i="63"/>
  <c r="P49" i="65" s="1"/>
  <c r="W49" i="63"/>
  <c r="L49" i="63"/>
  <c r="AT49" i="63"/>
  <c r="O50" i="81"/>
  <c r="H50" i="81"/>
  <c r="J50" i="81"/>
  <c r="N50" i="81"/>
  <c r="I50" i="81"/>
  <c r="D50" i="81"/>
  <c r="M50" i="81"/>
  <c r="S50" i="81"/>
  <c r="L50" i="81"/>
  <c r="P50" i="81"/>
  <c r="B50" i="81"/>
  <c r="F50" i="81"/>
  <c r="G50" i="81"/>
  <c r="R50" i="81"/>
  <c r="C50" i="81"/>
  <c r="Q50" i="81"/>
  <c r="E50" i="81"/>
  <c r="T50" i="81"/>
  <c r="K50" i="81"/>
  <c r="U50" i="81"/>
  <c r="A51" i="81"/>
  <c r="M49" i="65" l="1"/>
  <c r="N49" i="65"/>
  <c r="H49" i="65"/>
  <c r="Y49" i="65"/>
  <c r="S50" i="63"/>
  <c r="H50" i="63"/>
  <c r="AE50" i="63"/>
  <c r="AJ50" i="63"/>
  <c r="Y50" i="63"/>
  <c r="AM50" i="63"/>
  <c r="P50" i="63"/>
  <c r="Z50" i="63"/>
  <c r="AW50" i="63"/>
  <c r="AV50" i="63"/>
  <c r="D50" i="63"/>
  <c r="J50" i="63"/>
  <c r="L50" i="63"/>
  <c r="AX50" i="63"/>
  <c r="F50" i="63"/>
  <c r="K50" i="63"/>
  <c r="AN50" i="63"/>
  <c r="AT50" i="63"/>
  <c r="AF50" i="63"/>
  <c r="G50" i="63"/>
  <c r="AU50" i="63"/>
  <c r="O50" i="63"/>
  <c r="X50" i="63"/>
  <c r="W50" i="65" s="1"/>
  <c r="E50" i="63"/>
  <c r="Q50" i="63"/>
  <c r="R50" i="65" s="1"/>
  <c r="AO50" i="63"/>
  <c r="N50" i="63"/>
  <c r="AH50" i="63"/>
  <c r="AP50" i="63"/>
  <c r="A51" i="63"/>
  <c r="AY50" i="63"/>
  <c r="I50" i="63"/>
  <c r="B50" i="63"/>
  <c r="B50" i="65" s="1"/>
  <c r="AR50" i="63"/>
  <c r="C50" i="63"/>
  <c r="X50" i="65" s="1"/>
  <c r="AB50" i="63"/>
  <c r="T50" i="63"/>
  <c r="P50" i="65" s="1"/>
  <c r="AS50" i="63"/>
  <c r="AK50" i="63"/>
  <c r="V50" i="63"/>
  <c r="W50" i="63"/>
  <c r="AQ50" i="63"/>
  <c r="AC50" i="63"/>
  <c r="AD50" i="63"/>
  <c r="M50" i="63"/>
  <c r="AG50" i="63"/>
  <c r="R50" i="63"/>
  <c r="AI50" i="63"/>
  <c r="U50" i="63"/>
  <c r="O50" i="65" s="1"/>
  <c r="AL50" i="63"/>
  <c r="AA50" i="63"/>
  <c r="U49" i="65"/>
  <c r="S49" i="65"/>
  <c r="Q51" i="81"/>
  <c r="O51" i="81"/>
  <c r="R51" i="81"/>
  <c r="C51" i="81"/>
  <c r="E51" i="81"/>
  <c r="I51" i="81"/>
  <c r="G51" i="81"/>
  <c r="A52" i="81"/>
  <c r="H51" i="81"/>
  <c r="L51" i="81"/>
  <c r="M51" i="81"/>
  <c r="N51" i="81"/>
  <c r="J51" i="81"/>
  <c r="K51" i="81"/>
  <c r="B51" i="81"/>
  <c r="D51" i="81"/>
  <c r="T51" i="81"/>
  <c r="P51" i="81"/>
  <c r="F51" i="81"/>
  <c r="S51" i="81"/>
  <c r="U51" i="81"/>
  <c r="S50" i="65" l="1"/>
  <c r="N50" i="65"/>
  <c r="H50" i="65"/>
  <c r="U50" i="65"/>
  <c r="M50" i="65"/>
  <c r="Y50" i="65"/>
  <c r="H52" i="81"/>
  <c r="K52" i="81"/>
  <c r="M52" i="81"/>
  <c r="G52" i="81"/>
  <c r="J52" i="81"/>
  <c r="L52" i="81"/>
  <c r="Q52" i="81"/>
  <c r="B52" i="81"/>
  <c r="U52" i="81"/>
  <c r="N52" i="81"/>
  <c r="O52" i="81"/>
  <c r="P52" i="81"/>
  <c r="A53" i="81"/>
  <c r="C52" i="81"/>
  <c r="S52" i="81"/>
  <c r="T52" i="81"/>
  <c r="E52" i="81"/>
  <c r="R52" i="81"/>
  <c r="D52" i="81"/>
  <c r="I52" i="81"/>
  <c r="F52" i="81"/>
  <c r="AY51" i="63"/>
  <c r="AM51" i="63"/>
  <c r="AS51" i="63"/>
  <c r="A52" i="63"/>
  <c r="R51" i="63"/>
  <c r="G51" i="63"/>
  <c r="L51" i="63"/>
  <c r="S51" i="63"/>
  <c r="AO51" i="63"/>
  <c r="C51" i="63"/>
  <c r="X51" i="65" s="1"/>
  <c r="Y51" i="63"/>
  <c r="AW51" i="63"/>
  <c r="AK51" i="63"/>
  <c r="Z51" i="63"/>
  <c r="O51" i="63"/>
  <c r="D51" i="63"/>
  <c r="AB51" i="63"/>
  <c r="U51" i="63"/>
  <c r="O51" i="65" s="1"/>
  <c r="AC51" i="63"/>
  <c r="AU51" i="63"/>
  <c r="E51" i="63"/>
  <c r="AV51" i="63"/>
  <c r="V51" i="63"/>
  <c r="AX51" i="63"/>
  <c r="N51" i="63"/>
  <c r="X51" i="63"/>
  <c r="W51" i="65" s="1"/>
  <c r="M51" i="63"/>
  <c r="Q51" i="63"/>
  <c r="R51" i="65" s="1"/>
  <c r="AP51" i="63"/>
  <c r="F51" i="63"/>
  <c r="AH51" i="63"/>
  <c r="I51" i="63"/>
  <c r="AE51" i="63"/>
  <c r="AI51" i="63"/>
  <c r="AQ51" i="63"/>
  <c r="AF51" i="63"/>
  <c r="B51" i="63"/>
  <c r="B51" i="65" s="1"/>
  <c r="J51" i="63"/>
  <c r="AG51" i="63"/>
  <c r="AA51" i="63"/>
  <c r="AR51" i="63"/>
  <c r="K51" i="63"/>
  <c r="P51" i="63"/>
  <c r="W51" i="63"/>
  <c r="AT51" i="63"/>
  <c r="AJ51" i="63"/>
  <c r="T51" i="63"/>
  <c r="P51" i="65" s="1"/>
  <c r="AL51" i="63"/>
  <c r="H51" i="63"/>
  <c r="AN51" i="63"/>
  <c r="AD51" i="63"/>
  <c r="M51" i="65" l="1"/>
  <c r="Y51" i="65"/>
  <c r="U51" i="65"/>
  <c r="S51" i="65"/>
  <c r="S53" i="81"/>
  <c r="A54" i="81"/>
  <c r="U53" i="81"/>
  <c r="M53" i="81"/>
  <c r="E53" i="81"/>
  <c r="L53" i="81"/>
  <c r="Q53" i="81"/>
  <c r="J53" i="81"/>
  <c r="B53" i="81"/>
  <c r="K53" i="81"/>
  <c r="G53" i="81"/>
  <c r="R53" i="81"/>
  <c r="T53" i="81"/>
  <c r="C53" i="81"/>
  <c r="F53" i="81"/>
  <c r="D53" i="81"/>
  <c r="I53" i="81"/>
  <c r="P53" i="81"/>
  <c r="N53" i="81"/>
  <c r="O53" i="81"/>
  <c r="H53" i="81"/>
  <c r="E52" i="63"/>
  <c r="AP52" i="63"/>
  <c r="AF52" i="63"/>
  <c r="Q52" i="63"/>
  <c r="R52" i="65" s="1"/>
  <c r="U52" i="63"/>
  <c r="O52" i="65" s="1"/>
  <c r="K52" i="63"/>
  <c r="AM52" i="63"/>
  <c r="AH52" i="63"/>
  <c r="AL52" i="63"/>
  <c r="AR52" i="63"/>
  <c r="S52" i="63"/>
  <c r="AS52" i="63"/>
  <c r="R52" i="63"/>
  <c r="I52" i="63"/>
  <c r="AE52" i="63"/>
  <c r="AX52" i="63"/>
  <c r="Y52" i="63"/>
  <c r="W52" i="63"/>
  <c r="C52" i="63"/>
  <c r="X52" i="65" s="1"/>
  <c r="AO52" i="63"/>
  <c r="AT52" i="63"/>
  <c r="AY52" i="63"/>
  <c r="Z52" i="63"/>
  <c r="AV52" i="63"/>
  <c r="D52" i="63"/>
  <c r="AA52" i="63"/>
  <c r="A53" i="63"/>
  <c r="T52" i="63"/>
  <c r="P52" i="65" s="1"/>
  <c r="AQ52" i="63"/>
  <c r="M52" i="63"/>
  <c r="AK52" i="63"/>
  <c r="AC52" i="63"/>
  <c r="F52" i="63"/>
  <c r="G52" i="63"/>
  <c r="V52" i="63"/>
  <c r="N52" i="63"/>
  <c r="L52" i="63"/>
  <c r="AB52" i="63"/>
  <c r="O52" i="63"/>
  <c r="AD52" i="63"/>
  <c r="AU52" i="63"/>
  <c r="AG52" i="63"/>
  <c r="AW52" i="63"/>
  <c r="AI52" i="63"/>
  <c r="AJ52" i="63"/>
  <c r="H52" i="63"/>
  <c r="B52" i="63"/>
  <c r="B52" i="65" s="1"/>
  <c r="X52" i="63"/>
  <c r="W52" i="65" s="1"/>
  <c r="AN52" i="63"/>
  <c r="J52" i="63"/>
  <c r="P52" i="63"/>
  <c r="N51" i="65"/>
  <c r="H51" i="65"/>
  <c r="M52" i="65" l="1"/>
  <c r="Y52" i="65"/>
  <c r="H52" i="65"/>
  <c r="S52" i="65"/>
  <c r="U52" i="65"/>
  <c r="N52" i="65"/>
  <c r="I54" i="81"/>
  <c r="L54" i="81"/>
  <c r="S54" i="81"/>
  <c r="R54" i="81"/>
  <c r="Q54" i="81"/>
  <c r="T54" i="81"/>
  <c r="U54" i="81"/>
  <c r="H54" i="81"/>
  <c r="M54" i="81"/>
  <c r="J54" i="81"/>
  <c r="B54" i="81"/>
  <c r="P54" i="81"/>
  <c r="O54" i="81"/>
  <c r="E54" i="81"/>
  <c r="G54" i="81"/>
  <c r="D54" i="81"/>
  <c r="N54" i="81"/>
  <c r="A55" i="81"/>
  <c r="C54" i="81"/>
  <c r="F54" i="81"/>
  <c r="K54" i="81"/>
  <c r="AW53" i="63"/>
  <c r="W53" i="63"/>
  <c r="L53" i="63"/>
  <c r="B53" i="63"/>
  <c r="B53" i="65" s="1"/>
  <c r="AM53" i="63"/>
  <c r="M53" i="63"/>
  <c r="S53" i="63"/>
  <c r="I53" i="63"/>
  <c r="AC53" i="63"/>
  <c r="AX53" i="63"/>
  <c r="AO53" i="63"/>
  <c r="AK53" i="63"/>
  <c r="C53" i="63"/>
  <c r="X53" i="65" s="1"/>
  <c r="J53" i="63"/>
  <c r="AI53" i="63"/>
  <c r="Z53" i="63"/>
  <c r="D53" i="63"/>
  <c r="K53" i="63"/>
  <c r="T53" i="63"/>
  <c r="P53" i="65" s="1"/>
  <c r="AA53" i="63"/>
  <c r="O53" i="63"/>
  <c r="AJ53" i="63"/>
  <c r="AQ53" i="63"/>
  <c r="P53" i="63"/>
  <c r="AL53" i="63"/>
  <c r="U53" i="63"/>
  <c r="O53" i="65" s="1"/>
  <c r="AF53" i="63"/>
  <c r="G53" i="63"/>
  <c r="AV53" i="63"/>
  <c r="H53" i="63"/>
  <c r="AB53" i="63"/>
  <c r="Q53" i="63"/>
  <c r="R53" i="65" s="1"/>
  <c r="X53" i="63"/>
  <c r="W53" i="65" s="1"/>
  <c r="AD53" i="63"/>
  <c r="Y53" i="63"/>
  <c r="AP53" i="63"/>
  <c r="E53" i="63"/>
  <c r="AR53" i="63"/>
  <c r="AS53" i="63"/>
  <c r="AE53" i="63"/>
  <c r="AT53" i="63"/>
  <c r="AU53" i="63"/>
  <c r="A54" i="63"/>
  <c r="R53" i="63"/>
  <c r="AH53" i="63"/>
  <c r="AY53" i="63"/>
  <c r="F53" i="63"/>
  <c r="AG53" i="63"/>
  <c r="V53" i="63"/>
  <c r="AN53" i="63"/>
  <c r="N53" i="63"/>
  <c r="Y53" i="65" l="1"/>
  <c r="H53" i="65"/>
  <c r="U53" i="65"/>
  <c r="N53" i="65"/>
  <c r="I55" i="81"/>
  <c r="T55" i="81"/>
  <c r="K55" i="81"/>
  <c r="H55" i="81"/>
  <c r="N55" i="81"/>
  <c r="B55" i="81"/>
  <c r="Q55" i="81"/>
  <c r="R55" i="81"/>
  <c r="M55" i="81"/>
  <c r="C55" i="81"/>
  <c r="D55" i="81"/>
  <c r="P55" i="81"/>
  <c r="E55" i="81"/>
  <c r="L55" i="81"/>
  <c r="U55" i="81"/>
  <c r="O55" i="81"/>
  <c r="A56" i="81"/>
  <c r="G55" i="81"/>
  <c r="J55" i="81"/>
  <c r="S55" i="81"/>
  <c r="F55" i="81"/>
  <c r="M53" i="65"/>
  <c r="S53" i="65"/>
  <c r="AC54" i="63"/>
  <c r="AH54" i="63"/>
  <c r="H54" i="63"/>
  <c r="J54" i="63"/>
  <c r="AS54" i="63"/>
  <c r="AX54" i="63"/>
  <c r="X54" i="63"/>
  <c r="W54" i="65" s="1"/>
  <c r="K54" i="63"/>
  <c r="AE54" i="63"/>
  <c r="E54" i="63"/>
  <c r="AO54" i="63"/>
  <c r="B54" i="63"/>
  <c r="B54" i="65" s="1"/>
  <c r="AN54" i="63"/>
  <c r="R54" i="63"/>
  <c r="I54" i="63"/>
  <c r="D54" i="63"/>
  <c r="Y54" i="63"/>
  <c r="M54" i="63"/>
  <c r="Z54" i="63"/>
  <c r="N54" i="63"/>
  <c r="AJ54" i="63"/>
  <c r="AA54" i="63"/>
  <c r="AD54" i="63"/>
  <c r="U54" i="63"/>
  <c r="O54" i="65" s="1"/>
  <c r="AB54" i="63"/>
  <c r="AU54" i="63"/>
  <c r="F54" i="63"/>
  <c r="AQ54" i="63"/>
  <c r="P54" i="63"/>
  <c r="V54" i="63"/>
  <c r="AR54" i="63"/>
  <c r="AF54" i="63"/>
  <c r="AL54" i="63"/>
  <c r="C54" i="63"/>
  <c r="X54" i="65" s="1"/>
  <c r="AV54" i="63"/>
  <c r="G54" i="63"/>
  <c r="L54" i="63"/>
  <c r="W54" i="63"/>
  <c r="AM54" i="63"/>
  <c r="AI54" i="63"/>
  <c r="AP54" i="63"/>
  <c r="AY54" i="63"/>
  <c r="O54" i="63"/>
  <c r="Q54" i="63"/>
  <c r="R54" i="65" s="1"/>
  <c r="AG54" i="63"/>
  <c r="AW54" i="63"/>
  <c r="AK54" i="63"/>
  <c r="S54" i="63"/>
  <c r="A55" i="63"/>
  <c r="T54" i="63"/>
  <c r="P54" i="65" s="1"/>
  <c r="AT54" i="63"/>
  <c r="N54" i="65" l="1"/>
  <c r="M54" i="65"/>
  <c r="U54" i="65"/>
  <c r="S54" i="65"/>
  <c r="AD55" i="63"/>
  <c r="D55" i="63"/>
  <c r="AO55" i="63"/>
  <c r="AT55" i="63"/>
  <c r="T55" i="63"/>
  <c r="P55" i="65" s="1"/>
  <c r="AP55" i="63"/>
  <c r="K55" i="63"/>
  <c r="AF55" i="63"/>
  <c r="Q55" i="63"/>
  <c r="R55" i="65" s="1"/>
  <c r="AA55" i="63"/>
  <c r="AH55" i="63"/>
  <c r="AM55" i="63"/>
  <c r="AQ55" i="63"/>
  <c r="AX55" i="63"/>
  <c r="AG55" i="63"/>
  <c r="L55" i="63"/>
  <c r="C55" i="63"/>
  <c r="X55" i="65" s="1"/>
  <c r="AN55" i="63"/>
  <c r="AR55" i="63"/>
  <c r="AI55" i="63"/>
  <c r="H55" i="63"/>
  <c r="M55" i="63"/>
  <c r="AY55" i="63"/>
  <c r="I55" i="63"/>
  <c r="AC55" i="63"/>
  <c r="J55" i="63"/>
  <c r="O55" i="63"/>
  <c r="U55" i="63"/>
  <c r="O55" i="65" s="1"/>
  <c r="Y55" i="63"/>
  <c r="AE55" i="63"/>
  <c r="AK55" i="63"/>
  <c r="Z55" i="63"/>
  <c r="AU55" i="63"/>
  <c r="F55" i="63"/>
  <c r="P55" i="63"/>
  <c r="V55" i="63"/>
  <c r="A56" i="63"/>
  <c r="AJ55" i="63"/>
  <c r="E55" i="63"/>
  <c r="AL55" i="63"/>
  <c r="W55" i="63"/>
  <c r="AW55" i="63"/>
  <c r="X55" i="63"/>
  <c r="W55" i="65" s="1"/>
  <c r="AB55" i="63"/>
  <c r="AS55" i="63"/>
  <c r="N55" i="63"/>
  <c r="AV55" i="63"/>
  <c r="B55" i="63"/>
  <c r="B55" i="65" s="1"/>
  <c r="R55" i="63"/>
  <c r="S55" i="63"/>
  <c r="G55" i="63"/>
  <c r="Y54" i="65"/>
  <c r="H54" i="65"/>
  <c r="I56" i="81"/>
  <c r="K56" i="81"/>
  <c r="B56" i="81"/>
  <c r="S56" i="81"/>
  <c r="R56" i="81"/>
  <c r="A57" i="81"/>
  <c r="T56" i="81"/>
  <c r="L56" i="81"/>
  <c r="M56" i="81"/>
  <c r="F56" i="81"/>
  <c r="H56" i="81"/>
  <c r="N56" i="81"/>
  <c r="Q56" i="81"/>
  <c r="G56" i="81"/>
  <c r="C56" i="81"/>
  <c r="O56" i="81"/>
  <c r="D56" i="81"/>
  <c r="J56" i="81"/>
  <c r="E56" i="81"/>
  <c r="U56" i="81"/>
  <c r="P56" i="81"/>
  <c r="S55" i="65" l="1"/>
  <c r="N55" i="65"/>
  <c r="N57" i="81"/>
  <c r="T57" i="81"/>
  <c r="H57" i="81"/>
  <c r="R57" i="81"/>
  <c r="Q57" i="81"/>
  <c r="C57" i="81"/>
  <c r="K57" i="81"/>
  <c r="L57" i="81"/>
  <c r="G57" i="81"/>
  <c r="D57" i="81"/>
  <c r="B57" i="81"/>
  <c r="I57" i="81"/>
  <c r="E57" i="81"/>
  <c r="U57" i="81"/>
  <c r="F57" i="81"/>
  <c r="M57" i="81"/>
  <c r="A58" i="81"/>
  <c r="S57" i="81"/>
  <c r="P57" i="81"/>
  <c r="J57" i="81"/>
  <c r="O57" i="81"/>
  <c r="J56" i="63"/>
  <c r="AF56" i="63"/>
  <c r="E56" i="63"/>
  <c r="AN56" i="63"/>
  <c r="Z56" i="63"/>
  <c r="AV56" i="63"/>
  <c r="U56" i="63"/>
  <c r="O56" i="65" s="1"/>
  <c r="L56" i="63"/>
  <c r="R56" i="63"/>
  <c r="G56" i="63"/>
  <c r="AP56" i="63"/>
  <c r="B56" i="63"/>
  <c r="B56" i="65" s="1"/>
  <c r="W56" i="63"/>
  <c r="K56" i="63"/>
  <c r="AH56" i="63"/>
  <c r="X56" i="63"/>
  <c r="W56" i="65" s="1"/>
  <c r="AA56" i="63"/>
  <c r="AX56" i="63"/>
  <c r="AB56" i="63"/>
  <c r="S56" i="63"/>
  <c r="O56" i="63"/>
  <c r="AR56" i="63"/>
  <c r="AI56" i="63"/>
  <c r="AL56" i="63"/>
  <c r="M56" i="63"/>
  <c r="AY56" i="63"/>
  <c r="AM56" i="63"/>
  <c r="N56" i="63"/>
  <c r="AJ56" i="63"/>
  <c r="AD56" i="63"/>
  <c r="AT56" i="63"/>
  <c r="AK56" i="63"/>
  <c r="P56" i="63"/>
  <c r="AU56" i="63"/>
  <c r="AW56" i="63"/>
  <c r="C56" i="63"/>
  <c r="X56" i="65" s="1"/>
  <c r="D56" i="63"/>
  <c r="F56" i="63"/>
  <c r="H56" i="63"/>
  <c r="V56" i="63"/>
  <c r="AE56" i="63"/>
  <c r="Y56" i="63"/>
  <c r="A57" i="63"/>
  <c r="AO56" i="63"/>
  <c r="AQ56" i="63"/>
  <c r="AC56" i="63"/>
  <c r="I56" i="63"/>
  <c r="AS56" i="63"/>
  <c r="Q56" i="63"/>
  <c r="R56" i="65" s="1"/>
  <c r="AG56" i="63"/>
  <c r="T56" i="63"/>
  <c r="P56" i="65" s="1"/>
  <c r="Y55" i="65"/>
  <c r="M55" i="65"/>
  <c r="H55" i="65"/>
  <c r="U55" i="65"/>
  <c r="M56" i="65" l="1"/>
  <c r="N56" i="65"/>
  <c r="S56" i="65"/>
  <c r="Y56" i="65"/>
  <c r="U56" i="65"/>
  <c r="H56" i="65"/>
  <c r="AP57" i="63"/>
  <c r="Q57" i="63"/>
  <c r="R57" i="65" s="1"/>
  <c r="I57" i="63"/>
  <c r="AU57" i="63"/>
  <c r="F57" i="63"/>
  <c r="Y57" i="63"/>
  <c r="P57" i="63"/>
  <c r="M57" i="63"/>
  <c r="AO57" i="63"/>
  <c r="AF57" i="63"/>
  <c r="T57" i="63"/>
  <c r="P57" i="65" s="1"/>
  <c r="Z57" i="63"/>
  <c r="AG57" i="63"/>
  <c r="K57" i="63"/>
  <c r="AW57" i="63"/>
  <c r="V57" i="63"/>
  <c r="AA57" i="63"/>
  <c r="B57" i="63"/>
  <c r="B57" i="65" s="1"/>
  <c r="AJ57" i="63"/>
  <c r="G57" i="63"/>
  <c r="AB57" i="63"/>
  <c r="AX57" i="63"/>
  <c r="AS57" i="63"/>
  <c r="W57" i="63"/>
  <c r="AR57" i="63"/>
  <c r="C57" i="63"/>
  <c r="X57" i="65" s="1"/>
  <c r="AC57" i="63"/>
  <c r="AM57" i="63"/>
  <c r="N57" i="63"/>
  <c r="S57" i="63"/>
  <c r="H57" i="63"/>
  <c r="AD57" i="63"/>
  <c r="AI57" i="63"/>
  <c r="A58" i="63"/>
  <c r="AT57" i="63"/>
  <c r="O57" i="63"/>
  <c r="AE57" i="63"/>
  <c r="R57" i="63"/>
  <c r="AH57" i="63"/>
  <c r="AY57" i="63"/>
  <c r="D57" i="63"/>
  <c r="U57" i="63"/>
  <c r="O57" i="65" s="1"/>
  <c r="X57" i="63"/>
  <c r="W57" i="65" s="1"/>
  <c r="AK57" i="63"/>
  <c r="AL57" i="63"/>
  <c r="AN57" i="63"/>
  <c r="L57" i="63"/>
  <c r="AV57" i="63"/>
  <c r="E57" i="63"/>
  <c r="J57" i="63"/>
  <c r="AQ57" i="63"/>
  <c r="S58" i="81"/>
  <c r="Q58" i="81"/>
  <c r="A59" i="81"/>
  <c r="C58" i="81"/>
  <c r="H58" i="81"/>
  <c r="J58" i="81"/>
  <c r="D58" i="81"/>
  <c r="M58" i="81"/>
  <c r="N58" i="81"/>
  <c r="O58" i="81"/>
  <c r="E58" i="81"/>
  <c r="U58" i="81"/>
  <c r="R58" i="81"/>
  <c r="K58" i="81"/>
  <c r="G58" i="81"/>
  <c r="B58" i="81"/>
  <c r="P58" i="81"/>
  <c r="T58" i="81"/>
  <c r="L58" i="81"/>
  <c r="I58" i="81"/>
  <c r="F58" i="81"/>
  <c r="H57" i="65" l="1"/>
  <c r="U57" i="65"/>
  <c r="M57" i="65"/>
  <c r="S57" i="65"/>
  <c r="P59" i="81"/>
  <c r="C59" i="81"/>
  <c r="T59" i="81"/>
  <c r="G59" i="81"/>
  <c r="E59" i="81"/>
  <c r="Q59" i="81"/>
  <c r="R59" i="81"/>
  <c r="F59" i="81"/>
  <c r="H59" i="81"/>
  <c r="K59" i="81"/>
  <c r="O59" i="81"/>
  <c r="J59" i="81"/>
  <c r="M59" i="81"/>
  <c r="N59" i="81"/>
  <c r="U59" i="81"/>
  <c r="L59" i="81"/>
  <c r="A60" i="81"/>
  <c r="B59" i="81"/>
  <c r="D59" i="81"/>
  <c r="S59" i="81"/>
  <c r="I59" i="81"/>
  <c r="N57" i="65"/>
  <c r="F58" i="63"/>
  <c r="L58" i="63"/>
  <c r="AG58" i="63"/>
  <c r="AQ58" i="63"/>
  <c r="V58" i="63"/>
  <c r="AB58" i="63"/>
  <c r="AW58" i="63"/>
  <c r="AL58" i="63"/>
  <c r="AR58" i="63"/>
  <c r="K58" i="63"/>
  <c r="W58" i="63"/>
  <c r="AC58" i="63"/>
  <c r="S58" i="63"/>
  <c r="AM58" i="63"/>
  <c r="AS58" i="63"/>
  <c r="T58" i="63"/>
  <c r="P58" i="65" s="1"/>
  <c r="H58" i="63"/>
  <c r="N58" i="63"/>
  <c r="AN58" i="63"/>
  <c r="O58" i="63"/>
  <c r="AI58" i="63"/>
  <c r="I58" i="63"/>
  <c r="AE58" i="63"/>
  <c r="AJ58" i="63"/>
  <c r="Y58" i="63"/>
  <c r="AU58" i="63"/>
  <c r="AX58" i="63"/>
  <c r="AO58" i="63"/>
  <c r="P58" i="63"/>
  <c r="AY58" i="63"/>
  <c r="X58" i="63"/>
  <c r="W58" i="65" s="1"/>
  <c r="D58" i="63"/>
  <c r="A59" i="63"/>
  <c r="J58" i="63"/>
  <c r="N58" i="65" s="1"/>
  <c r="AP58" i="63"/>
  <c r="M58" i="63"/>
  <c r="AD58" i="63"/>
  <c r="AT58" i="63"/>
  <c r="AV58" i="63"/>
  <c r="Q58" i="63"/>
  <c r="R58" i="65" s="1"/>
  <c r="R58" i="63"/>
  <c r="S58" i="65" s="1"/>
  <c r="E58" i="63"/>
  <c r="AA58" i="63"/>
  <c r="U58" i="63"/>
  <c r="O58" i="65" s="1"/>
  <c r="AK58" i="63"/>
  <c r="G58" i="63"/>
  <c r="Z58" i="63"/>
  <c r="AF58" i="63"/>
  <c r="AH58" i="63"/>
  <c r="B58" i="63"/>
  <c r="B58" i="65" s="1"/>
  <c r="C58" i="63"/>
  <c r="X58" i="65" s="1"/>
  <c r="Y57" i="65"/>
  <c r="Y58" i="65" l="1"/>
  <c r="H58" i="65"/>
  <c r="U58" i="65"/>
  <c r="F59" i="63"/>
  <c r="L59" i="63"/>
  <c r="AO59" i="63"/>
  <c r="V59" i="63"/>
  <c r="AB59" i="63"/>
  <c r="AV59" i="63"/>
  <c r="AL59" i="63"/>
  <c r="AR59" i="63"/>
  <c r="AW59" i="63"/>
  <c r="C59" i="63"/>
  <c r="X59" i="65" s="1"/>
  <c r="W59" i="63"/>
  <c r="AC59" i="63"/>
  <c r="B59" i="63"/>
  <c r="B59" i="65" s="1"/>
  <c r="S59" i="63"/>
  <c r="AM59" i="63"/>
  <c r="AS59" i="63"/>
  <c r="I59" i="63"/>
  <c r="T59" i="63"/>
  <c r="P59" i="65" s="1"/>
  <c r="AN59" i="63"/>
  <c r="O59" i="63"/>
  <c r="J59" i="63"/>
  <c r="AE59" i="63"/>
  <c r="A60" i="63"/>
  <c r="AJ59" i="63"/>
  <c r="Z59" i="63"/>
  <c r="AU59" i="63"/>
  <c r="E59" i="63"/>
  <c r="AP59" i="63"/>
  <c r="Y59" i="63"/>
  <c r="N59" i="63"/>
  <c r="AD59" i="63"/>
  <c r="AI59" i="63"/>
  <c r="AT59" i="63"/>
  <c r="D59" i="63"/>
  <c r="AG59" i="63"/>
  <c r="U59" i="63"/>
  <c r="O59" i="65" s="1"/>
  <c r="AX59" i="63"/>
  <c r="AK59" i="63"/>
  <c r="P59" i="63"/>
  <c r="H59" i="63"/>
  <c r="R59" i="63"/>
  <c r="X59" i="63"/>
  <c r="W59" i="65" s="1"/>
  <c r="K59" i="63"/>
  <c r="AF59" i="63"/>
  <c r="AH59" i="63"/>
  <c r="Q59" i="63"/>
  <c r="R59" i="65" s="1"/>
  <c r="AY59" i="63"/>
  <c r="G59" i="63"/>
  <c r="AA59" i="63"/>
  <c r="AQ59" i="63"/>
  <c r="M59" i="63"/>
  <c r="R60" i="81"/>
  <c r="N60" i="81"/>
  <c r="E60" i="81"/>
  <c r="P60" i="81"/>
  <c r="K60" i="81"/>
  <c r="M60" i="81"/>
  <c r="I60" i="81"/>
  <c r="J60" i="81"/>
  <c r="T60" i="81"/>
  <c r="G60" i="81"/>
  <c r="Q60" i="81"/>
  <c r="C60" i="81"/>
  <c r="O60" i="81"/>
  <c r="F60" i="81"/>
  <c r="A61" i="81"/>
  <c r="D60" i="81"/>
  <c r="L60" i="81"/>
  <c r="B60" i="81"/>
  <c r="U60" i="81"/>
  <c r="H60" i="81"/>
  <c r="S60" i="81"/>
  <c r="M58" i="65"/>
  <c r="M59" i="65" l="1"/>
  <c r="S59" i="65"/>
  <c r="AH60" i="63"/>
  <c r="AL60" i="63"/>
  <c r="AR60" i="63"/>
  <c r="AX60" i="63"/>
  <c r="H60" i="63"/>
  <c r="M60" i="63"/>
  <c r="A61" i="63"/>
  <c r="C60" i="63"/>
  <c r="X60" i="65" s="1"/>
  <c r="X60" i="63"/>
  <c r="W60" i="65" s="1"/>
  <c r="AC60" i="63"/>
  <c r="AI60" i="63"/>
  <c r="AN60" i="63"/>
  <c r="AM60" i="63"/>
  <c r="AY60" i="63"/>
  <c r="I60" i="63"/>
  <c r="AT60" i="63"/>
  <c r="AJ60" i="63"/>
  <c r="Z60" i="63"/>
  <c r="O60" i="63"/>
  <c r="E60" i="63"/>
  <c r="AP60" i="63"/>
  <c r="P60" i="63"/>
  <c r="Q60" i="63"/>
  <c r="R60" i="65" s="1"/>
  <c r="U60" i="63"/>
  <c r="O60" i="65" s="1"/>
  <c r="K60" i="63"/>
  <c r="W60" i="63"/>
  <c r="AG60" i="63"/>
  <c r="AA60" i="63"/>
  <c r="AD60" i="63"/>
  <c r="AF60" i="63"/>
  <c r="AK60" i="63"/>
  <c r="G60" i="63"/>
  <c r="F60" i="63"/>
  <c r="AO60" i="63"/>
  <c r="J60" i="63"/>
  <c r="L60" i="63"/>
  <c r="AW60" i="63"/>
  <c r="AB60" i="63"/>
  <c r="B60" i="63"/>
  <c r="B60" i="65" s="1"/>
  <c r="AS60" i="63"/>
  <c r="R60" i="63"/>
  <c r="AU60" i="63"/>
  <c r="S60" i="63"/>
  <c r="D60" i="63"/>
  <c r="T60" i="63"/>
  <c r="P60" i="65" s="1"/>
  <c r="V60" i="63"/>
  <c r="Y60" i="65" s="1"/>
  <c r="Y60" i="63"/>
  <c r="AQ60" i="63"/>
  <c r="AV60" i="63"/>
  <c r="N60" i="63"/>
  <c r="AE60" i="63"/>
  <c r="N59" i="65"/>
  <c r="Y59" i="65"/>
  <c r="U59" i="65"/>
  <c r="B61" i="81"/>
  <c r="E61" i="81"/>
  <c r="O61" i="81"/>
  <c r="R61" i="81"/>
  <c r="S61" i="81"/>
  <c r="U61" i="81"/>
  <c r="D61" i="81"/>
  <c r="G61" i="81"/>
  <c r="L61" i="81"/>
  <c r="I61" i="81"/>
  <c r="P61" i="81"/>
  <c r="C61" i="81"/>
  <c r="T61" i="81"/>
  <c r="J61" i="81"/>
  <c r="M61" i="81"/>
  <c r="N61" i="81"/>
  <c r="H61" i="81"/>
  <c r="A62" i="81"/>
  <c r="F61" i="81"/>
  <c r="Q61" i="81"/>
  <c r="K61" i="81"/>
  <c r="H59" i="65"/>
  <c r="H60" i="65" l="1"/>
  <c r="S60" i="65"/>
  <c r="AI61" i="63"/>
  <c r="Y61" i="63"/>
  <c r="U61" i="63"/>
  <c r="O61" i="65" s="1"/>
  <c r="O61" i="63"/>
  <c r="AY61" i="63"/>
  <c r="AO61" i="63"/>
  <c r="AU61" i="63"/>
  <c r="T61" i="63"/>
  <c r="P61" i="65" s="1"/>
  <c r="Z61" i="63"/>
  <c r="AS61" i="63"/>
  <c r="P61" i="63"/>
  <c r="AJ61" i="63"/>
  <c r="AP61" i="63"/>
  <c r="AT61" i="63"/>
  <c r="AG61" i="63"/>
  <c r="G61" i="63"/>
  <c r="E61" i="63"/>
  <c r="AW61" i="63"/>
  <c r="W61" i="63"/>
  <c r="L61" i="63"/>
  <c r="B61" i="63"/>
  <c r="B61" i="65" s="1"/>
  <c r="AM61" i="63"/>
  <c r="M61" i="63"/>
  <c r="R61" i="63"/>
  <c r="H61" i="63"/>
  <c r="N61" i="63"/>
  <c r="AN61" i="63"/>
  <c r="I61" i="63"/>
  <c r="AE61" i="63"/>
  <c r="J61" i="63"/>
  <c r="AV61" i="63"/>
  <c r="AA61" i="63"/>
  <c r="AH61" i="63"/>
  <c r="AB61" i="63"/>
  <c r="AX61" i="63"/>
  <c r="AC61" i="63"/>
  <c r="S61" i="63"/>
  <c r="AK61" i="63"/>
  <c r="D61" i="63"/>
  <c r="AR61" i="63"/>
  <c r="F61" i="63"/>
  <c r="V61" i="63"/>
  <c r="X61" i="63"/>
  <c r="W61" i="65" s="1"/>
  <c r="K61" i="63"/>
  <c r="AQ61" i="63"/>
  <c r="AD61" i="63"/>
  <c r="A62" i="63"/>
  <c r="AF61" i="63"/>
  <c r="Q61" i="63"/>
  <c r="R61" i="65" s="1"/>
  <c r="C61" i="63"/>
  <c r="X61" i="65" s="1"/>
  <c r="AL61" i="63"/>
  <c r="M60" i="65"/>
  <c r="U60" i="65"/>
  <c r="Q62" i="81"/>
  <c r="U62" i="81"/>
  <c r="J62" i="81"/>
  <c r="T62" i="81"/>
  <c r="F62" i="81"/>
  <c r="H62" i="81"/>
  <c r="L62" i="81"/>
  <c r="A63" i="81"/>
  <c r="O62" i="81"/>
  <c r="K62" i="81"/>
  <c r="M62" i="81"/>
  <c r="N62" i="81"/>
  <c r="I62" i="81"/>
  <c r="C62" i="81"/>
  <c r="E62" i="81"/>
  <c r="G62" i="81"/>
  <c r="P62" i="81"/>
  <c r="D62" i="81"/>
  <c r="B62" i="81"/>
  <c r="R62" i="81"/>
  <c r="S62" i="81"/>
  <c r="N60" i="65"/>
  <c r="S61" i="65" l="1"/>
  <c r="Y61" i="65"/>
  <c r="N61" i="65"/>
  <c r="H61" i="65"/>
  <c r="M61" i="65"/>
  <c r="T63" i="81"/>
  <c r="S63" i="81"/>
  <c r="D63" i="81"/>
  <c r="G63" i="81"/>
  <c r="B63" i="81"/>
  <c r="F63" i="81"/>
  <c r="O63" i="81"/>
  <c r="U63" i="81"/>
  <c r="R63" i="81"/>
  <c r="P63" i="81"/>
  <c r="I63" i="81"/>
  <c r="H63" i="81"/>
  <c r="M63" i="81"/>
  <c r="E63" i="81"/>
  <c r="L63" i="81"/>
  <c r="N63" i="81"/>
  <c r="C63" i="81"/>
  <c r="J63" i="81"/>
  <c r="A64" i="81"/>
  <c r="Q63" i="81"/>
  <c r="K63" i="81"/>
  <c r="AU62" i="63"/>
  <c r="U62" i="63"/>
  <c r="O62" i="65" s="1"/>
  <c r="C62" i="63"/>
  <c r="X62" i="65" s="1"/>
  <c r="P62" i="63"/>
  <c r="AV62" i="63"/>
  <c r="F62" i="63"/>
  <c r="L62" i="63"/>
  <c r="Q62" i="63"/>
  <c r="R62" i="65" s="1"/>
  <c r="V62" i="63"/>
  <c r="S62" i="63"/>
  <c r="M62" i="63"/>
  <c r="R62" i="63"/>
  <c r="AM62" i="63"/>
  <c r="AP62" i="63"/>
  <c r="AC62" i="63"/>
  <c r="AH62" i="63"/>
  <c r="H62" i="63"/>
  <c r="AQ62" i="63"/>
  <c r="AS62" i="63"/>
  <c r="AX62" i="63"/>
  <c r="X62" i="63"/>
  <c r="W62" i="65" s="1"/>
  <c r="AR62" i="63"/>
  <c r="N62" i="63"/>
  <c r="D62" i="63"/>
  <c r="AY62" i="63"/>
  <c r="O62" i="63"/>
  <c r="Y62" i="63"/>
  <c r="AE62" i="63"/>
  <c r="AO62" i="63"/>
  <c r="AF62" i="63"/>
  <c r="J62" i="63"/>
  <c r="AW62" i="63"/>
  <c r="Z62" i="63"/>
  <c r="T62" i="63"/>
  <c r="P62" i="65" s="1"/>
  <c r="AB62" i="63"/>
  <c r="AI62" i="63"/>
  <c r="E62" i="63"/>
  <c r="A63" i="63"/>
  <c r="AK62" i="63"/>
  <c r="AL62" i="63"/>
  <c r="G62" i="63"/>
  <c r="AD62" i="63"/>
  <c r="AT62" i="63"/>
  <c r="AG62" i="63"/>
  <c r="B62" i="63"/>
  <c r="B62" i="65" s="1"/>
  <c r="AJ62" i="63"/>
  <c r="W62" i="63"/>
  <c r="AN62" i="63"/>
  <c r="I62" i="63"/>
  <c r="AA62" i="63"/>
  <c r="K62" i="63"/>
  <c r="U61" i="65"/>
  <c r="Y62" i="65" l="1"/>
  <c r="H62" i="65"/>
  <c r="M62" i="65"/>
  <c r="U62" i="65"/>
  <c r="K63" i="63"/>
  <c r="AF63" i="63"/>
  <c r="AP63" i="63"/>
  <c r="L63" i="63"/>
  <c r="R63" i="63"/>
  <c r="V63" i="63"/>
  <c r="J63" i="63"/>
  <c r="N63" i="65" s="1"/>
  <c r="AB63" i="63"/>
  <c r="AH63" i="63"/>
  <c r="AL63" i="63"/>
  <c r="AW63" i="63"/>
  <c r="AS63" i="63"/>
  <c r="AI63" i="63"/>
  <c r="Q63" i="63"/>
  <c r="R63" i="65" s="1"/>
  <c r="N63" i="63"/>
  <c r="AY63" i="63"/>
  <c r="X63" i="63"/>
  <c r="W63" i="65" s="1"/>
  <c r="AD63" i="63"/>
  <c r="D63" i="63"/>
  <c r="AT63" i="63"/>
  <c r="F63" i="63"/>
  <c r="O63" i="63"/>
  <c r="G63" i="63"/>
  <c r="AE63" i="63"/>
  <c r="W63" i="63"/>
  <c r="P63" i="63"/>
  <c r="Y63" i="63"/>
  <c r="B63" i="63"/>
  <c r="B63" i="65" s="1"/>
  <c r="AG63" i="63"/>
  <c r="AX63" i="63"/>
  <c r="AN63" i="63"/>
  <c r="S63" i="63"/>
  <c r="H63" i="63"/>
  <c r="T63" i="63"/>
  <c r="P63" i="65" s="1"/>
  <c r="I63" i="63"/>
  <c r="AA63" i="63"/>
  <c r="A64" i="63"/>
  <c r="AQ63" i="63"/>
  <c r="AR63" i="63"/>
  <c r="M63" i="63"/>
  <c r="AC63" i="63"/>
  <c r="AU63" i="63"/>
  <c r="AV63" i="63"/>
  <c r="C63" i="63"/>
  <c r="X63" i="65" s="1"/>
  <c r="AJ63" i="63"/>
  <c r="E63" i="63"/>
  <c r="U63" i="63"/>
  <c r="O63" i="65" s="1"/>
  <c r="AK63" i="63"/>
  <c r="AM63" i="63"/>
  <c r="Z63" i="63"/>
  <c r="AO63" i="63"/>
  <c r="N62" i="65"/>
  <c r="K64" i="81"/>
  <c r="L64" i="81"/>
  <c r="T64" i="81"/>
  <c r="I64" i="81"/>
  <c r="E64" i="81"/>
  <c r="P64" i="81"/>
  <c r="U64" i="81"/>
  <c r="C64" i="81"/>
  <c r="A65" i="81"/>
  <c r="R64" i="81"/>
  <c r="N64" i="81"/>
  <c r="G64" i="81"/>
  <c r="J64" i="81"/>
  <c r="F64" i="81"/>
  <c r="M64" i="81"/>
  <c r="Q64" i="81"/>
  <c r="D64" i="81"/>
  <c r="B64" i="81"/>
  <c r="H64" i="81"/>
  <c r="O64" i="81"/>
  <c r="S64" i="81"/>
  <c r="S62" i="65"/>
  <c r="Y63" i="65" l="1"/>
  <c r="S63" i="65"/>
  <c r="U63" i="65"/>
  <c r="H63" i="65"/>
  <c r="E65" i="81"/>
  <c r="A66" i="81"/>
  <c r="F65" i="81"/>
  <c r="N65" i="81"/>
  <c r="H65" i="81"/>
  <c r="C65" i="81"/>
  <c r="O65" i="81"/>
  <c r="Q65" i="81"/>
  <c r="U65" i="81"/>
  <c r="B65" i="81"/>
  <c r="D65" i="81"/>
  <c r="G65" i="81"/>
  <c r="I65" i="81"/>
  <c r="S65" i="81"/>
  <c r="K65" i="81"/>
  <c r="P65" i="81"/>
  <c r="L65" i="81"/>
  <c r="M65" i="81"/>
  <c r="R65" i="81"/>
  <c r="T65" i="81"/>
  <c r="J65" i="81"/>
  <c r="AB64" i="63"/>
  <c r="AH64" i="63"/>
  <c r="AU64" i="63"/>
  <c r="AC64" i="63"/>
  <c r="S64" i="63"/>
  <c r="H64" i="63"/>
  <c r="AS64" i="63"/>
  <c r="AI64" i="63"/>
  <c r="O64" i="63"/>
  <c r="AO64" i="63"/>
  <c r="P64" i="63"/>
  <c r="AJ64" i="63"/>
  <c r="J64" i="63"/>
  <c r="AF64" i="63"/>
  <c r="E64" i="63"/>
  <c r="Z64" i="63"/>
  <c r="AV64" i="63"/>
  <c r="U64" i="63"/>
  <c r="O64" i="65" s="1"/>
  <c r="AA64" i="63"/>
  <c r="D64" i="63"/>
  <c r="AQ64" i="63"/>
  <c r="T64" i="63"/>
  <c r="P64" i="65" s="1"/>
  <c r="L64" i="63"/>
  <c r="AK64" i="63"/>
  <c r="M64" i="63"/>
  <c r="AL64" i="63"/>
  <c r="AD64" i="63"/>
  <c r="AN64" i="63"/>
  <c r="AT64" i="63"/>
  <c r="F64" i="63"/>
  <c r="AG64" i="63"/>
  <c r="V64" i="63"/>
  <c r="AW64" i="63"/>
  <c r="W64" i="63"/>
  <c r="B64" i="63"/>
  <c r="B64" i="65" s="1"/>
  <c r="X64" i="63"/>
  <c r="W64" i="65" s="1"/>
  <c r="Y64" i="63"/>
  <c r="AP64" i="63"/>
  <c r="K64" i="63"/>
  <c r="AR64" i="63"/>
  <c r="N64" i="63"/>
  <c r="Q64" i="63"/>
  <c r="R64" i="65" s="1"/>
  <c r="R64" i="63"/>
  <c r="AX64" i="63"/>
  <c r="C64" i="63"/>
  <c r="X64" i="65" s="1"/>
  <c r="AY64" i="63"/>
  <c r="AE64" i="63"/>
  <c r="AM64" i="63"/>
  <c r="G64" i="63"/>
  <c r="A65" i="63"/>
  <c r="I64" i="63"/>
  <c r="M63" i="65"/>
  <c r="U64" i="65" l="1"/>
  <c r="H64" i="65"/>
  <c r="M64" i="65"/>
  <c r="Y64" i="65"/>
  <c r="H66" i="81"/>
  <c r="O66" i="81"/>
  <c r="G66" i="81"/>
  <c r="I66" i="81"/>
  <c r="J66" i="81"/>
  <c r="C66" i="81"/>
  <c r="P66" i="81"/>
  <c r="S66" i="81"/>
  <c r="L66" i="81"/>
  <c r="Q66" i="81"/>
  <c r="B66" i="81"/>
  <c r="N66" i="81"/>
  <c r="A67" i="81"/>
  <c r="M66" i="81"/>
  <c r="U66" i="81"/>
  <c r="F66" i="81"/>
  <c r="T66" i="81"/>
  <c r="D66" i="81"/>
  <c r="E66" i="81"/>
  <c r="R66" i="81"/>
  <c r="K66" i="81"/>
  <c r="H65" i="63"/>
  <c r="N65" i="63"/>
  <c r="C65" i="63"/>
  <c r="X65" i="65" s="1"/>
  <c r="AL65" i="63"/>
  <c r="AN65" i="63"/>
  <c r="O65" i="63"/>
  <c r="AY65" i="63"/>
  <c r="A66" i="63"/>
  <c r="I65" i="63"/>
  <c r="AE65" i="63"/>
  <c r="AS65" i="63"/>
  <c r="Z65" i="63"/>
  <c r="AV65" i="63"/>
  <c r="T65" i="63"/>
  <c r="P65" i="65" s="1"/>
  <c r="AP65" i="63"/>
  <c r="Q65" i="63"/>
  <c r="R65" i="65" s="1"/>
  <c r="K65" i="63"/>
  <c r="AG65" i="63"/>
  <c r="U65" i="63"/>
  <c r="O65" i="65" s="1"/>
  <c r="AM65" i="63"/>
  <c r="AW65" i="63"/>
  <c r="X65" i="63"/>
  <c r="W65" i="65" s="1"/>
  <c r="B65" i="63"/>
  <c r="B65" i="65" s="1"/>
  <c r="R65" i="63"/>
  <c r="AO65" i="63"/>
  <c r="AX65" i="63"/>
  <c r="AA65" i="63"/>
  <c r="AI65" i="63"/>
  <c r="AQ65" i="63"/>
  <c r="D65" i="63"/>
  <c r="AB65" i="63"/>
  <c r="F65" i="63"/>
  <c r="AR65" i="63"/>
  <c r="AD65" i="63"/>
  <c r="V65" i="63"/>
  <c r="W65" i="63"/>
  <c r="Y65" i="63"/>
  <c r="J65" i="63"/>
  <c r="N65" i="65" s="1"/>
  <c r="L65" i="63"/>
  <c r="AT65" i="63"/>
  <c r="AU65" i="63"/>
  <c r="P65" i="63"/>
  <c r="AF65" i="63"/>
  <c r="AH65" i="63"/>
  <c r="S65" i="63"/>
  <c r="E65" i="63"/>
  <c r="AC65" i="63"/>
  <c r="G65" i="63"/>
  <c r="AJ65" i="63"/>
  <c r="M65" i="63"/>
  <c r="AK65" i="63"/>
  <c r="N64" i="65"/>
  <c r="S64" i="65"/>
  <c r="S65" i="65" l="1"/>
  <c r="Y65" i="65"/>
  <c r="B67" i="81"/>
  <c r="G67" i="81"/>
  <c r="D67" i="81"/>
  <c r="I67" i="81"/>
  <c r="Q67" i="81"/>
  <c r="R67" i="81"/>
  <c r="M67" i="81"/>
  <c r="S67" i="81"/>
  <c r="O67" i="81"/>
  <c r="U67" i="81"/>
  <c r="C67" i="81"/>
  <c r="E67" i="81"/>
  <c r="L67" i="81"/>
  <c r="A68" i="81"/>
  <c r="F67" i="81"/>
  <c r="H67" i="81"/>
  <c r="K67" i="81"/>
  <c r="N67" i="81"/>
  <c r="P67" i="81"/>
  <c r="J67" i="81"/>
  <c r="T67" i="81"/>
  <c r="U65" i="65"/>
  <c r="M65" i="65"/>
  <c r="AT66" i="63"/>
  <c r="T66" i="63"/>
  <c r="P66" i="65" s="1"/>
  <c r="Y66" i="63"/>
  <c r="AU66" i="63"/>
  <c r="AI66" i="63"/>
  <c r="E66" i="63"/>
  <c r="AO66" i="63"/>
  <c r="P66" i="63"/>
  <c r="AJ66" i="63"/>
  <c r="V66" i="63"/>
  <c r="L66" i="63"/>
  <c r="AG66" i="63"/>
  <c r="AY66" i="63"/>
  <c r="AL66" i="63"/>
  <c r="AB66" i="63"/>
  <c r="AW66" i="63"/>
  <c r="G66" i="63"/>
  <c r="AR66" i="63"/>
  <c r="B66" i="63"/>
  <c r="B66" i="65" s="1"/>
  <c r="AS66" i="63"/>
  <c r="AA66" i="63"/>
  <c r="U66" i="63"/>
  <c r="O66" i="65" s="1"/>
  <c r="N66" i="63"/>
  <c r="AX66" i="63"/>
  <c r="AK66" i="63"/>
  <c r="AD66" i="63"/>
  <c r="A67" i="63"/>
  <c r="W66" i="63"/>
  <c r="AE66" i="63"/>
  <c r="AM66" i="63"/>
  <c r="AV66" i="63"/>
  <c r="H66" i="63"/>
  <c r="Q66" i="63"/>
  <c r="R66" i="65" s="1"/>
  <c r="AN66" i="63"/>
  <c r="D66" i="63"/>
  <c r="I66" i="63"/>
  <c r="K66" i="63"/>
  <c r="J66" i="63"/>
  <c r="R66" i="63"/>
  <c r="X66" i="63"/>
  <c r="W66" i="65" s="1"/>
  <c r="Z66" i="63"/>
  <c r="AP66" i="63"/>
  <c r="M66" i="63"/>
  <c r="AC66" i="63"/>
  <c r="O66" i="63"/>
  <c r="AF66" i="63"/>
  <c r="C66" i="63"/>
  <c r="X66" i="65" s="1"/>
  <c r="S66" i="63"/>
  <c r="AH66" i="63"/>
  <c r="AQ66" i="63"/>
  <c r="F66" i="63"/>
  <c r="H65" i="65"/>
  <c r="N66" i="65" l="1"/>
  <c r="S66" i="65"/>
  <c r="J68" i="81"/>
  <c r="F68" i="81"/>
  <c r="E68" i="81"/>
  <c r="H68" i="81"/>
  <c r="D68" i="81"/>
  <c r="A69" i="81"/>
  <c r="T68" i="81"/>
  <c r="S68" i="81"/>
  <c r="C68" i="81"/>
  <c r="M68" i="81"/>
  <c r="B68" i="81"/>
  <c r="K68" i="81"/>
  <c r="Q68" i="81"/>
  <c r="G68" i="81"/>
  <c r="P68" i="81"/>
  <c r="I68" i="81"/>
  <c r="U68" i="81"/>
  <c r="R68" i="81"/>
  <c r="L68" i="81"/>
  <c r="N68" i="81"/>
  <c r="O68" i="81"/>
  <c r="H66" i="65"/>
  <c r="M66" i="65"/>
  <c r="U66" i="65"/>
  <c r="D67" i="63"/>
  <c r="AN67" i="63"/>
  <c r="O67" i="63"/>
  <c r="AJ67" i="63"/>
  <c r="AP67" i="63"/>
  <c r="I67" i="63"/>
  <c r="E67" i="63"/>
  <c r="K67" i="63"/>
  <c r="P67" i="63"/>
  <c r="F67" i="63"/>
  <c r="AB67" i="63"/>
  <c r="AF67" i="63"/>
  <c r="V67" i="63"/>
  <c r="AR67" i="63"/>
  <c r="AG67" i="63"/>
  <c r="AL67" i="63"/>
  <c r="M67" i="63"/>
  <c r="X67" i="63"/>
  <c r="W67" i="65" s="1"/>
  <c r="AH67" i="63"/>
  <c r="J67" i="63"/>
  <c r="AV67" i="63"/>
  <c r="Z67" i="63"/>
  <c r="AW67" i="63"/>
  <c r="S67" i="63"/>
  <c r="AQ67" i="63"/>
  <c r="AO67" i="63"/>
  <c r="AY67" i="63"/>
  <c r="AC67" i="63"/>
  <c r="A68" i="63"/>
  <c r="T67" i="63"/>
  <c r="P67" i="65" s="1"/>
  <c r="AS67" i="63"/>
  <c r="U67" i="63"/>
  <c r="O67" i="65" s="1"/>
  <c r="AD67" i="63"/>
  <c r="AT67" i="63"/>
  <c r="AK67" i="63"/>
  <c r="AE67" i="63"/>
  <c r="G67" i="63"/>
  <c r="W67" i="63"/>
  <c r="AM67" i="63"/>
  <c r="H67" i="63"/>
  <c r="AA67" i="63"/>
  <c r="L67" i="63"/>
  <c r="N67" i="63"/>
  <c r="AU67" i="63"/>
  <c r="Q67" i="63"/>
  <c r="R67" i="65" s="1"/>
  <c r="R67" i="63"/>
  <c r="Y67" i="63"/>
  <c r="AX67" i="63"/>
  <c r="C67" i="63"/>
  <c r="X67" i="65" s="1"/>
  <c r="B67" i="63"/>
  <c r="B67" i="65" s="1"/>
  <c r="AI67" i="63"/>
  <c r="Y66" i="65"/>
  <c r="M67" i="65" l="1"/>
  <c r="N67" i="65"/>
  <c r="H67" i="65"/>
  <c r="N69" i="81"/>
  <c r="O69" i="81"/>
  <c r="B69" i="81"/>
  <c r="C69" i="81"/>
  <c r="G69" i="81"/>
  <c r="J69" i="81"/>
  <c r="P69" i="81"/>
  <c r="K69" i="81"/>
  <c r="M69" i="81"/>
  <c r="R69" i="81"/>
  <c r="I69" i="81"/>
  <c r="S69" i="81"/>
  <c r="E69" i="81"/>
  <c r="F69" i="81"/>
  <c r="U69" i="81"/>
  <c r="Q69" i="81"/>
  <c r="A70" i="81"/>
  <c r="T69" i="81"/>
  <c r="D69" i="81"/>
  <c r="L69" i="81"/>
  <c r="H69" i="81"/>
  <c r="Y67" i="65"/>
  <c r="S67" i="65"/>
  <c r="AJ68" i="63"/>
  <c r="Z68" i="63"/>
  <c r="AU68" i="63"/>
  <c r="AG68" i="63"/>
  <c r="L68" i="63"/>
  <c r="N68" i="63"/>
  <c r="AW68" i="63"/>
  <c r="AK68" i="63"/>
  <c r="AB68" i="63"/>
  <c r="O68" i="63"/>
  <c r="AX68" i="63"/>
  <c r="H68" i="63"/>
  <c r="AD68" i="63"/>
  <c r="A69" i="63"/>
  <c r="C68" i="63"/>
  <c r="X68" i="65" s="1"/>
  <c r="X68" i="63"/>
  <c r="W68" i="65" s="1"/>
  <c r="AE68" i="63"/>
  <c r="W68" i="63"/>
  <c r="E68" i="63"/>
  <c r="AF68" i="63"/>
  <c r="U68" i="63"/>
  <c r="O68" i="65" s="1"/>
  <c r="AM68" i="63"/>
  <c r="V68" i="63"/>
  <c r="AQ68" i="63"/>
  <c r="Q68" i="63"/>
  <c r="R68" i="65" s="1"/>
  <c r="AN68" i="63"/>
  <c r="AV68" i="63"/>
  <c r="R68" i="63"/>
  <c r="Y68" i="63"/>
  <c r="P68" i="63"/>
  <c r="AH68" i="63"/>
  <c r="AO68" i="63"/>
  <c r="AS68" i="63"/>
  <c r="S68" i="63"/>
  <c r="J68" i="63"/>
  <c r="D68" i="63"/>
  <c r="T68" i="63"/>
  <c r="P68" i="65" s="1"/>
  <c r="F68" i="63"/>
  <c r="AL68" i="63"/>
  <c r="I68" i="63"/>
  <c r="K68" i="63"/>
  <c r="AA68" i="63"/>
  <c r="M68" i="63"/>
  <c r="AC68" i="63"/>
  <c r="AP68" i="63"/>
  <c r="AR68" i="63"/>
  <c r="AT68" i="63"/>
  <c r="B68" i="63"/>
  <c r="B68" i="65" s="1"/>
  <c r="AI68" i="63"/>
  <c r="G68" i="63"/>
  <c r="AY68" i="63"/>
  <c r="U67" i="65"/>
  <c r="N68" i="65" l="1"/>
  <c r="Y68" i="65"/>
  <c r="M68" i="65"/>
  <c r="U68" i="65"/>
  <c r="H68" i="65"/>
  <c r="AG69" i="63"/>
  <c r="J69" i="63"/>
  <c r="Z69" i="63"/>
  <c r="R69" i="63"/>
  <c r="AO69" i="63"/>
  <c r="D69" i="63"/>
  <c r="AH69" i="63"/>
  <c r="L69" i="63"/>
  <c r="AC69" i="63"/>
  <c r="AI69" i="63"/>
  <c r="N69" i="63"/>
  <c r="AD69" i="63"/>
  <c r="O69" i="63"/>
  <c r="AY69" i="63"/>
  <c r="AR69" i="63"/>
  <c r="AJ69" i="63"/>
  <c r="AV69" i="63"/>
  <c r="M69" i="63"/>
  <c r="Q69" i="63"/>
  <c r="R69" i="65" s="1"/>
  <c r="AQ69" i="63"/>
  <c r="AW69" i="63"/>
  <c r="T69" i="63"/>
  <c r="P69" i="65" s="1"/>
  <c r="A70" i="63"/>
  <c r="AX69" i="63"/>
  <c r="U69" i="63"/>
  <c r="O69" i="65" s="1"/>
  <c r="F69" i="63"/>
  <c r="AL69" i="63"/>
  <c r="AB69" i="63"/>
  <c r="G69" i="63"/>
  <c r="E69" i="63"/>
  <c r="W69" i="63"/>
  <c r="H69" i="63"/>
  <c r="AF69" i="63"/>
  <c r="B69" i="63"/>
  <c r="B69" i="65" s="1"/>
  <c r="C69" i="63"/>
  <c r="X69" i="65" s="1"/>
  <c r="S69" i="63"/>
  <c r="V69" i="63"/>
  <c r="AM69" i="63"/>
  <c r="AN69" i="63"/>
  <c r="K69" i="63"/>
  <c r="AP69" i="63"/>
  <c r="AS69" i="63"/>
  <c r="AT69" i="63"/>
  <c r="X69" i="63"/>
  <c r="W69" i="65" s="1"/>
  <c r="AE69" i="63"/>
  <c r="AU69" i="63"/>
  <c r="P69" i="63"/>
  <c r="AA69" i="63"/>
  <c r="I69" i="63"/>
  <c r="AK69" i="63"/>
  <c r="Y69" i="63"/>
  <c r="S68" i="65"/>
  <c r="G70" i="81"/>
  <c r="R70" i="81"/>
  <c r="A71" i="81"/>
  <c r="T70" i="81"/>
  <c r="C70" i="81"/>
  <c r="N70" i="81"/>
  <c r="O70" i="81"/>
  <c r="K70" i="81"/>
  <c r="P70" i="81"/>
  <c r="D70" i="81"/>
  <c r="F70" i="81"/>
  <c r="I70" i="81"/>
  <c r="M70" i="81"/>
  <c r="Q70" i="81"/>
  <c r="L70" i="81"/>
  <c r="J70" i="81"/>
  <c r="B70" i="81"/>
  <c r="E70" i="81"/>
  <c r="U70" i="81"/>
  <c r="H70" i="81"/>
  <c r="S70" i="81"/>
  <c r="M69" i="65" l="1"/>
  <c r="U69" i="65"/>
  <c r="M70" i="63"/>
  <c r="T70" i="63"/>
  <c r="P70" i="65" s="1"/>
  <c r="Y70" i="63"/>
  <c r="C70" i="63"/>
  <c r="X70" i="65" s="1"/>
  <c r="N70" i="63"/>
  <c r="E70" i="63"/>
  <c r="AA70" i="63"/>
  <c r="L70" i="63"/>
  <c r="AD70" i="63"/>
  <c r="U70" i="63"/>
  <c r="O70" i="65" s="1"/>
  <c r="F70" i="63"/>
  <c r="AU70" i="63"/>
  <c r="S70" i="63"/>
  <c r="H70" i="63"/>
  <c r="P70" i="63"/>
  <c r="AR70" i="63"/>
  <c r="AL70" i="63"/>
  <c r="AK70" i="63"/>
  <c r="AB70" i="63"/>
  <c r="R70" i="63"/>
  <c r="AN70" i="63"/>
  <c r="AQ70" i="63"/>
  <c r="AO70" i="63"/>
  <c r="AS70" i="63"/>
  <c r="AX70" i="63"/>
  <c r="J70" i="63"/>
  <c r="AE70" i="63"/>
  <c r="X70" i="63"/>
  <c r="W70" i="65" s="1"/>
  <c r="A71" i="63"/>
  <c r="AV70" i="63"/>
  <c r="Z70" i="63"/>
  <c r="Q70" i="63"/>
  <c r="R70" i="65" s="1"/>
  <c r="B70" i="63"/>
  <c r="B70" i="65" s="1"/>
  <c r="AG70" i="63"/>
  <c r="AH70" i="63"/>
  <c r="AM70" i="63"/>
  <c r="AC70" i="63"/>
  <c r="AP70" i="63"/>
  <c r="AT70" i="63"/>
  <c r="K70" i="63"/>
  <c r="O70" i="63"/>
  <c r="AF70" i="63"/>
  <c r="AW70" i="63"/>
  <c r="D70" i="63"/>
  <c r="H70" i="65" s="1"/>
  <c r="AJ70" i="63"/>
  <c r="V70" i="63"/>
  <c r="W70" i="63"/>
  <c r="AY70" i="63"/>
  <c r="G70" i="63"/>
  <c r="I70" i="63"/>
  <c r="AI70" i="63"/>
  <c r="H69" i="65"/>
  <c r="Y69" i="65"/>
  <c r="S69" i="65"/>
  <c r="I71" i="81"/>
  <c r="N71" i="81"/>
  <c r="G71" i="81"/>
  <c r="S71" i="81"/>
  <c r="K71" i="81"/>
  <c r="M71" i="81"/>
  <c r="J71" i="81"/>
  <c r="Q71" i="81"/>
  <c r="F71" i="81"/>
  <c r="D71" i="81"/>
  <c r="R71" i="81"/>
  <c r="U71" i="81"/>
  <c r="E71" i="81"/>
  <c r="P71" i="81"/>
  <c r="L71" i="81"/>
  <c r="A72" i="81"/>
  <c r="H71" i="81"/>
  <c r="T71" i="81"/>
  <c r="B71" i="81"/>
  <c r="O71" i="81"/>
  <c r="C71" i="81"/>
  <c r="N69" i="65"/>
  <c r="N70" i="65" l="1"/>
  <c r="M70" i="65"/>
  <c r="Y70" i="65"/>
  <c r="U70" i="65"/>
  <c r="N71" i="63"/>
  <c r="AO71" i="63"/>
  <c r="O71" i="63"/>
  <c r="D71" i="63"/>
  <c r="H71" i="63"/>
  <c r="AE71" i="63"/>
  <c r="AF71" i="63"/>
  <c r="T71" i="63"/>
  <c r="P71" i="65" s="1"/>
  <c r="AA71" i="63"/>
  <c r="AH71" i="63"/>
  <c r="AJ71" i="63"/>
  <c r="V71" i="63"/>
  <c r="AQ71" i="63"/>
  <c r="AX71" i="63"/>
  <c r="G71" i="63"/>
  <c r="AV71" i="63"/>
  <c r="AT71" i="63"/>
  <c r="I71" i="63"/>
  <c r="AU71" i="63"/>
  <c r="AM71" i="63"/>
  <c r="B71" i="63"/>
  <c r="B71" i="65" s="1"/>
  <c r="J71" i="63"/>
  <c r="C71" i="63"/>
  <c r="X71" i="65" s="1"/>
  <c r="P71" i="63"/>
  <c r="AY71" i="63"/>
  <c r="L71" i="63"/>
  <c r="X71" i="63"/>
  <c r="W71" i="65" s="1"/>
  <c r="AR71" i="63"/>
  <c r="Z71" i="63"/>
  <c r="AL71" i="63"/>
  <c r="AG71" i="63"/>
  <c r="F71" i="63"/>
  <c r="AK71" i="63"/>
  <c r="AN71" i="63"/>
  <c r="K71" i="63"/>
  <c r="Q71" i="63"/>
  <c r="R71" i="65" s="1"/>
  <c r="AB71" i="63"/>
  <c r="AP71" i="63"/>
  <c r="M71" i="63"/>
  <c r="U71" i="63"/>
  <c r="O71" i="65" s="1"/>
  <c r="AC71" i="63"/>
  <c r="AW71" i="63"/>
  <c r="AS71" i="63"/>
  <c r="AD71" i="63"/>
  <c r="A72" i="63"/>
  <c r="R71" i="63"/>
  <c r="S71" i="63"/>
  <c r="AI71" i="63"/>
  <c r="W71" i="63"/>
  <c r="Y71" i="63"/>
  <c r="E71" i="63"/>
  <c r="S70" i="65"/>
  <c r="E72" i="81"/>
  <c r="J72" i="81"/>
  <c r="N72" i="81"/>
  <c r="L72" i="81"/>
  <c r="S72" i="81"/>
  <c r="D72" i="81"/>
  <c r="M72" i="81"/>
  <c r="A73" i="81"/>
  <c r="P72" i="81"/>
  <c r="O72" i="81"/>
  <c r="Q72" i="81"/>
  <c r="B72" i="81"/>
  <c r="C72" i="81"/>
  <c r="F72" i="81"/>
  <c r="I72" i="81"/>
  <c r="U72" i="81"/>
  <c r="T72" i="81"/>
  <c r="G72" i="81"/>
  <c r="H72" i="81"/>
  <c r="R72" i="81"/>
  <c r="K72" i="81"/>
  <c r="M71" i="65" l="1"/>
  <c r="Y71" i="65"/>
  <c r="N71" i="65"/>
  <c r="U71" i="65"/>
  <c r="S71" i="65"/>
  <c r="O73" i="81"/>
  <c r="H73" i="81"/>
  <c r="Q73" i="81"/>
  <c r="M73" i="81"/>
  <c r="A74" i="81"/>
  <c r="N73" i="81"/>
  <c r="C73" i="81"/>
  <c r="L73" i="81"/>
  <c r="D73" i="81"/>
  <c r="E73" i="81"/>
  <c r="F73" i="81"/>
  <c r="R73" i="81"/>
  <c r="T73" i="81"/>
  <c r="K73" i="81"/>
  <c r="B73" i="81"/>
  <c r="I73" i="81"/>
  <c r="S73" i="81"/>
  <c r="U73" i="81"/>
  <c r="J73" i="81"/>
  <c r="P73" i="81"/>
  <c r="G73" i="81"/>
  <c r="H71" i="65"/>
  <c r="AO72" i="63"/>
  <c r="Q72" i="63"/>
  <c r="R72" i="65" s="1"/>
  <c r="AM72" i="63"/>
  <c r="X72" i="63"/>
  <c r="W72" i="65" s="1"/>
  <c r="AP72" i="63"/>
  <c r="C72" i="63"/>
  <c r="X72" i="65" s="1"/>
  <c r="S72" i="63"/>
  <c r="K72" i="63"/>
  <c r="AE72" i="63"/>
  <c r="AU72" i="63"/>
  <c r="A73" i="63"/>
  <c r="AB72" i="63"/>
  <c r="AI72" i="63"/>
  <c r="U72" i="63"/>
  <c r="O72" i="65" s="1"/>
  <c r="AR72" i="63"/>
  <c r="F72" i="63"/>
  <c r="J72" i="63"/>
  <c r="AJ72" i="63"/>
  <c r="W72" i="63"/>
  <c r="Z72" i="63"/>
  <c r="G72" i="63"/>
  <c r="AD72" i="63"/>
  <c r="AA72" i="63"/>
  <c r="AK72" i="63"/>
  <c r="L72" i="63"/>
  <c r="AL72" i="63"/>
  <c r="AS72" i="63"/>
  <c r="AN72" i="63"/>
  <c r="AF72" i="63"/>
  <c r="AG72" i="63"/>
  <c r="AY72" i="63"/>
  <c r="AV72" i="63"/>
  <c r="AW72" i="63"/>
  <c r="D72" i="63"/>
  <c r="AH72" i="63"/>
  <c r="E72" i="63"/>
  <c r="H72" i="63"/>
  <c r="N72" i="63"/>
  <c r="O72" i="63"/>
  <c r="T72" i="63"/>
  <c r="P72" i="65" s="1"/>
  <c r="AX72" i="63"/>
  <c r="I72" i="63"/>
  <c r="V72" i="63"/>
  <c r="Y72" i="63"/>
  <c r="AT72" i="63"/>
  <c r="AQ72" i="63"/>
  <c r="M72" i="63"/>
  <c r="AC72" i="63"/>
  <c r="P72" i="63"/>
  <c r="B72" i="63"/>
  <c r="B72" i="65" s="1"/>
  <c r="R72" i="63"/>
  <c r="M72" i="65" l="1"/>
  <c r="U72" i="65"/>
  <c r="H72" i="65"/>
  <c r="N72" i="65"/>
  <c r="F74" i="81"/>
  <c r="C74" i="81"/>
  <c r="E74" i="81"/>
  <c r="O74" i="81"/>
  <c r="D74" i="81"/>
  <c r="G74" i="81"/>
  <c r="M74" i="81"/>
  <c r="H74" i="81"/>
  <c r="K74" i="81"/>
  <c r="T74" i="81"/>
  <c r="U74" i="81"/>
  <c r="B74" i="81"/>
  <c r="I74" i="81"/>
  <c r="L74" i="81"/>
  <c r="J74" i="81"/>
  <c r="N74" i="81"/>
  <c r="P74" i="81"/>
  <c r="S74" i="81"/>
  <c r="Q74" i="81"/>
  <c r="A75" i="81"/>
  <c r="R74" i="81"/>
  <c r="S72" i="65"/>
  <c r="Y72" i="65"/>
  <c r="Z73" i="63"/>
  <c r="AL73" i="63"/>
  <c r="AF73" i="63"/>
  <c r="AA73" i="63"/>
  <c r="Q73" i="63"/>
  <c r="R73" i="65" s="1"/>
  <c r="E73" i="63"/>
  <c r="AQ73" i="63"/>
  <c r="AS73" i="63"/>
  <c r="U73" i="63"/>
  <c r="O73" i="65" s="1"/>
  <c r="H73" i="63"/>
  <c r="O73" i="63"/>
  <c r="AW73" i="63"/>
  <c r="AI73" i="63"/>
  <c r="X73" i="63"/>
  <c r="W73" i="65" s="1"/>
  <c r="AE73" i="63"/>
  <c r="T73" i="63"/>
  <c r="P73" i="65" s="1"/>
  <c r="AY73" i="63"/>
  <c r="AT73" i="63"/>
  <c r="AC73" i="63"/>
  <c r="AU73" i="63"/>
  <c r="B73" i="63"/>
  <c r="B73" i="65" s="1"/>
  <c r="F73" i="63"/>
  <c r="C73" i="63"/>
  <c r="X73" i="65" s="1"/>
  <c r="W73" i="63"/>
  <c r="L73" i="63"/>
  <c r="AN73" i="63"/>
  <c r="P73" i="63"/>
  <c r="Y73" i="63"/>
  <c r="R73" i="63"/>
  <c r="J73" i="63"/>
  <c r="S73" i="63"/>
  <c r="D73" i="63"/>
  <c r="I73" i="63"/>
  <c r="AG73" i="63"/>
  <c r="AO73" i="63"/>
  <c r="AH73" i="63"/>
  <c r="AP73" i="63"/>
  <c r="A74" i="63"/>
  <c r="K73" i="63"/>
  <c r="N73" i="63"/>
  <c r="AD73" i="63"/>
  <c r="AJ73" i="63"/>
  <c r="AK73" i="63"/>
  <c r="M73" i="63"/>
  <c r="AR73" i="63"/>
  <c r="AV73" i="63"/>
  <c r="AX73" i="63"/>
  <c r="AB73" i="63"/>
  <c r="G73" i="63"/>
  <c r="AM73" i="63"/>
  <c r="V73" i="63"/>
  <c r="Y73" i="65" l="1"/>
  <c r="H73" i="65"/>
  <c r="M73" i="65"/>
  <c r="N73" i="65"/>
  <c r="O75" i="81"/>
  <c r="S75" i="81"/>
  <c r="A76" i="81"/>
  <c r="T75" i="81"/>
  <c r="I75" i="81"/>
  <c r="J75" i="81"/>
  <c r="B75" i="81"/>
  <c r="C75" i="81"/>
  <c r="U75" i="81"/>
  <c r="P75" i="81"/>
  <c r="D75" i="81"/>
  <c r="G75" i="81"/>
  <c r="Q75" i="81"/>
  <c r="F75" i="81"/>
  <c r="K75" i="81"/>
  <c r="L75" i="81"/>
  <c r="M75" i="81"/>
  <c r="N75" i="81"/>
  <c r="H75" i="81"/>
  <c r="E75" i="81"/>
  <c r="R75" i="81"/>
  <c r="S73" i="65"/>
  <c r="U73" i="65"/>
  <c r="V74" i="63"/>
  <c r="AC74" i="63"/>
  <c r="AD74" i="63"/>
  <c r="W74" i="63"/>
  <c r="AT74" i="63"/>
  <c r="C74" i="63"/>
  <c r="X74" i="65" s="1"/>
  <c r="AM74" i="63"/>
  <c r="Q74" i="63"/>
  <c r="R74" i="65" s="1"/>
  <c r="AG74" i="63"/>
  <c r="AN74" i="63"/>
  <c r="S74" i="63"/>
  <c r="AI74" i="63"/>
  <c r="I74" i="63"/>
  <c r="AW74" i="63"/>
  <c r="K74" i="63"/>
  <c r="X74" i="63"/>
  <c r="W74" i="65" s="1"/>
  <c r="Z74" i="63"/>
  <c r="AY74" i="63"/>
  <c r="Y74" i="63"/>
  <c r="AA74" i="63"/>
  <c r="L74" i="63"/>
  <c r="AF74" i="63"/>
  <c r="M74" i="63"/>
  <c r="J74" i="63"/>
  <c r="E74" i="63"/>
  <c r="P74" i="63"/>
  <c r="O74" i="63"/>
  <c r="AK74" i="63"/>
  <c r="R74" i="63"/>
  <c r="AJ74" i="63"/>
  <c r="AX74" i="63"/>
  <c r="B74" i="63"/>
  <c r="B74" i="65" s="1"/>
  <c r="D74" i="63"/>
  <c r="U74" i="63"/>
  <c r="O74" i="65" s="1"/>
  <c r="AH74" i="63"/>
  <c r="F74" i="63"/>
  <c r="N74" i="63"/>
  <c r="AL74" i="63"/>
  <c r="AE74" i="63"/>
  <c r="G74" i="63"/>
  <c r="AP74" i="63"/>
  <c r="H74" i="63"/>
  <c r="AQ74" i="63"/>
  <c r="AO74" i="63"/>
  <c r="AB74" i="63"/>
  <c r="A75" i="63"/>
  <c r="AR74" i="63"/>
  <c r="AS74" i="63"/>
  <c r="AU74" i="63"/>
  <c r="AV74" i="63"/>
  <c r="T74" i="63"/>
  <c r="P74" i="65" s="1"/>
  <c r="S74" i="65" l="1"/>
  <c r="U74" i="65"/>
  <c r="N74" i="65"/>
  <c r="C76" i="81"/>
  <c r="L76" i="81"/>
  <c r="O76" i="81"/>
  <c r="G76" i="81"/>
  <c r="T76" i="81"/>
  <c r="E76" i="81"/>
  <c r="P76" i="81"/>
  <c r="B76" i="81"/>
  <c r="D76" i="81"/>
  <c r="N76" i="81"/>
  <c r="Q76" i="81"/>
  <c r="H76" i="81"/>
  <c r="K76" i="81"/>
  <c r="U76" i="81"/>
  <c r="S76" i="81"/>
  <c r="F76" i="81"/>
  <c r="I76" i="81"/>
  <c r="M76" i="81"/>
  <c r="A77" i="81"/>
  <c r="R76" i="81"/>
  <c r="J76" i="81"/>
  <c r="M74" i="65"/>
  <c r="V75" i="63"/>
  <c r="AB75" i="63"/>
  <c r="I75" i="63"/>
  <c r="C75" i="63"/>
  <c r="X75" i="65" s="1"/>
  <c r="W75" i="63"/>
  <c r="AE75" i="63"/>
  <c r="R75" i="63"/>
  <c r="S75" i="63"/>
  <c r="AM75" i="63"/>
  <c r="B75" i="63"/>
  <c r="B75" i="65" s="1"/>
  <c r="AH75" i="63"/>
  <c r="T75" i="63"/>
  <c r="P75" i="65" s="1"/>
  <c r="K75" i="63"/>
  <c r="L75" i="63"/>
  <c r="AA75" i="63"/>
  <c r="AN75" i="63"/>
  <c r="AI75" i="63"/>
  <c r="Q75" i="63"/>
  <c r="R75" i="65" s="1"/>
  <c r="AY75" i="63"/>
  <c r="AW75" i="63"/>
  <c r="AT75" i="63"/>
  <c r="D75" i="63"/>
  <c r="Y75" i="63"/>
  <c r="AU75" i="63"/>
  <c r="E75" i="63"/>
  <c r="AC75" i="63"/>
  <c r="A76" i="63"/>
  <c r="AK75" i="63"/>
  <c r="H75" i="63"/>
  <c r="AL75" i="63"/>
  <c r="M75" i="63"/>
  <c r="J75" i="63"/>
  <c r="N75" i="63"/>
  <c r="Z75" i="63"/>
  <c r="AP75" i="63"/>
  <c r="AQ75" i="63"/>
  <c r="X75" i="63"/>
  <c r="W75" i="65" s="1"/>
  <c r="AX75" i="63"/>
  <c r="AD75" i="63"/>
  <c r="AF75" i="63"/>
  <c r="AG75" i="63"/>
  <c r="AO75" i="63"/>
  <c r="O75" i="63"/>
  <c r="AJ75" i="63"/>
  <c r="AS75" i="63"/>
  <c r="U75" i="63"/>
  <c r="O75" i="65" s="1"/>
  <c r="F75" i="63"/>
  <c r="G75" i="63"/>
  <c r="AR75" i="63"/>
  <c r="P75" i="63"/>
  <c r="AV75" i="63"/>
  <c r="H74" i="65"/>
  <c r="Y74" i="65"/>
  <c r="N75" i="65" l="1"/>
  <c r="S75" i="65"/>
  <c r="Y75" i="65"/>
  <c r="U75" i="65"/>
  <c r="M75" i="65"/>
  <c r="R77" i="81"/>
  <c r="T77" i="81"/>
  <c r="N77" i="81"/>
  <c r="A78" i="81"/>
  <c r="O77" i="81"/>
  <c r="L77" i="81"/>
  <c r="P77" i="81"/>
  <c r="H77" i="81"/>
  <c r="E77" i="81"/>
  <c r="G77" i="81"/>
  <c r="I77" i="81"/>
  <c r="B77" i="81"/>
  <c r="F77" i="81"/>
  <c r="J77" i="81"/>
  <c r="S77" i="81"/>
  <c r="Q77" i="81"/>
  <c r="C77" i="81"/>
  <c r="K77" i="81"/>
  <c r="M77" i="81"/>
  <c r="U77" i="81"/>
  <c r="D77" i="81"/>
  <c r="AX76" i="63"/>
  <c r="I76" i="63"/>
  <c r="AQ76" i="63"/>
  <c r="A77" i="63"/>
  <c r="AI76" i="63"/>
  <c r="AC76" i="63"/>
  <c r="P76" i="63"/>
  <c r="AY76" i="63"/>
  <c r="AD76" i="63"/>
  <c r="AT76" i="63"/>
  <c r="AJ76" i="63"/>
  <c r="AF76" i="63"/>
  <c r="AV76" i="63"/>
  <c r="E76" i="63"/>
  <c r="L76" i="63"/>
  <c r="U76" i="63"/>
  <c r="O76" i="65" s="1"/>
  <c r="AP76" i="63"/>
  <c r="M76" i="63"/>
  <c r="H76" i="63"/>
  <c r="M76" i="65" s="1"/>
  <c r="AS76" i="63"/>
  <c r="AW76" i="63"/>
  <c r="Y76" i="63"/>
  <c r="W76" i="63"/>
  <c r="R76" i="63"/>
  <c r="F76" i="63"/>
  <c r="AA76" i="63"/>
  <c r="C76" i="63"/>
  <c r="X76" i="65" s="1"/>
  <c r="G76" i="63"/>
  <c r="AR76" i="63"/>
  <c r="B76" i="63"/>
  <c r="B76" i="65" s="1"/>
  <c r="V76" i="63"/>
  <c r="AH76" i="63"/>
  <c r="AU76" i="63"/>
  <c r="S76" i="63"/>
  <c r="Z76" i="63"/>
  <c r="D76" i="63"/>
  <c r="AB76" i="63"/>
  <c r="T76" i="63"/>
  <c r="P76" i="65" s="1"/>
  <c r="N76" i="63"/>
  <c r="AK76" i="63"/>
  <c r="X76" i="63"/>
  <c r="W76" i="65" s="1"/>
  <c r="AN76" i="63"/>
  <c r="AE76" i="63"/>
  <c r="J76" i="63"/>
  <c r="AG76" i="63"/>
  <c r="AO76" i="63"/>
  <c r="K76" i="63"/>
  <c r="AM76" i="63"/>
  <c r="O76" i="63"/>
  <c r="Q76" i="63"/>
  <c r="R76" i="65" s="1"/>
  <c r="AL76" i="63"/>
  <c r="H75" i="65"/>
  <c r="H76" i="65" l="1"/>
  <c r="Y76" i="65"/>
  <c r="AI77" i="63"/>
  <c r="M77" i="63"/>
  <c r="AC77" i="63"/>
  <c r="AU77" i="63"/>
  <c r="V77" i="63"/>
  <c r="AR77" i="63"/>
  <c r="D77" i="63"/>
  <c r="P77" i="63"/>
  <c r="AL77" i="63"/>
  <c r="T77" i="63"/>
  <c r="P77" i="65" s="1"/>
  <c r="E77" i="63"/>
  <c r="AG77" i="63"/>
  <c r="I77" i="63"/>
  <c r="AE77" i="63"/>
  <c r="AK77" i="63"/>
  <c r="AB77" i="63"/>
  <c r="AF77" i="63"/>
  <c r="J77" i="63"/>
  <c r="X77" i="63"/>
  <c r="W77" i="65" s="1"/>
  <c r="AV77" i="63"/>
  <c r="AN77" i="63"/>
  <c r="AW77" i="63"/>
  <c r="AO77" i="63"/>
  <c r="AJ77" i="63"/>
  <c r="AH77" i="63"/>
  <c r="AQ77" i="63"/>
  <c r="A78" i="63"/>
  <c r="C77" i="63"/>
  <c r="X77" i="65" s="1"/>
  <c r="AY77" i="63"/>
  <c r="U77" i="63"/>
  <c r="O77" i="65" s="1"/>
  <c r="AM77" i="63"/>
  <c r="K77" i="63"/>
  <c r="L77" i="63"/>
  <c r="AP77" i="63"/>
  <c r="N77" i="63"/>
  <c r="AS77" i="63"/>
  <c r="AT77" i="63"/>
  <c r="O77" i="63"/>
  <c r="Y77" i="63"/>
  <c r="Q77" i="63"/>
  <c r="R77" i="65" s="1"/>
  <c r="Z77" i="63"/>
  <c r="R77" i="63"/>
  <c r="AD77" i="63"/>
  <c r="AX77" i="63"/>
  <c r="H77" i="63"/>
  <c r="M77" i="65" s="1"/>
  <c r="B77" i="63"/>
  <c r="B77" i="65" s="1"/>
  <c r="F77" i="63"/>
  <c r="G77" i="63"/>
  <c r="W77" i="63"/>
  <c r="AA77" i="63"/>
  <c r="S77" i="63"/>
  <c r="U76" i="65"/>
  <c r="L78" i="81"/>
  <c r="Q78" i="81"/>
  <c r="F78" i="81"/>
  <c r="N78" i="81"/>
  <c r="I78" i="81"/>
  <c r="K78" i="81"/>
  <c r="S78" i="81"/>
  <c r="B78" i="81"/>
  <c r="C78" i="81"/>
  <c r="D78" i="81"/>
  <c r="M78" i="81"/>
  <c r="H78" i="81"/>
  <c r="O78" i="81"/>
  <c r="R78" i="81"/>
  <c r="U78" i="81"/>
  <c r="P78" i="81"/>
  <c r="T78" i="81"/>
  <c r="A79" i="81"/>
  <c r="J78" i="81"/>
  <c r="E78" i="81"/>
  <c r="G78" i="81"/>
  <c r="N76" i="65"/>
  <c r="S76" i="65"/>
  <c r="S77" i="65" l="1"/>
  <c r="Y77" i="65"/>
  <c r="D78" i="63"/>
  <c r="AP78" i="63"/>
  <c r="AX78" i="63"/>
  <c r="AJ78" i="63"/>
  <c r="AQ78" i="63"/>
  <c r="AY78" i="63"/>
  <c r="E78" i="63"/>
  <c r="Y78" i="63"/>
  <c r="B78" i="63"/>
  <c r="B78" i="65" s="1"/>
  <c r="T78" i="63"/>
  <c r="P78" i="65" s="1"/>
  <c r="Z78" i="63"/>
  <c r="AI78" i="63"/>
  <c r="AT78" i="63"/>
  <c r="AK78" i="63"/>
  <c r="U78" i="63"/>
  <c r="O78" i="65" s="1"/>
  <c r="C78" i="63"/>
  <c r="X78" i="65" s="1"/>
  <c r="AU78" i="63"/>
  <c r="L78" i="63"/>
  <c r="AV78" i="63"/>
  <c r="AM78" i="63"/>
  <c r="AC78" i="63"/>
  <c r="AN78" i="63"/>
  <c r="AE78" i="63"/>
  <c r="N78" i="63"/>
  <c r="AO78" i="63"/>
  <c r="AF78" i="63"/>
  <c r="P78" i="63"/>
  <c r="G78" i="63"/>
  <c r="Q78" i="63"/>
  <c r="R78" i="65" s="1"/>
  <c r="H78" i="63"/>
  <c r="AG78" i="63"/>
  <c r="I78" i="63"/>
  <c r="J78" i="63"/>
  <c r="AL78" i="63"/>
  <c r="K78" i="63"/>
  <c r="R78" i="63"/>
  <c r="AH78" i="63"/>
  <c r="S78" i="63"/>
  <c r="AA78" i="63"/>
  <c r="V78" i="63"/>
  <c r="A79" i="63"/>
  <c r="W78" i="63"/>
  <c r="AR78" i="63"/>
  <c r="X78" i="63"/>
  <c r="W78" i="65" s="1"/>
  <c r="AB78" i="63"/>
  <c r="AD78" i="63"/>
  <c r="AW78" i="63"/>
  <c r="M78" i="63"/>
  <c r="AS78" i="63"/>
  <c r="O78" i="63"/>
  <c r="F78" i="63"/>
  <c r="H77" i="65"/>
  <c r="S79" i="81"/>
  <c r="Q79" i="81"/>
  <c r="I79" i="81"/>
  <c r="R79" i="81"/>
  <c r="A80" i="81"/>
  <c r="D79" i="81"/>
  <c r="U79" i="81"/>
  <c r="K79" i="81"/>
  <c r="L79" i="81"/>
  <c r="M79" i="81"/>
  <c r="C79" i="81"/>
  <c r="E79" i="81"/>
  <c r="F79" i="81"/>
  <c r="H79" i="81"/>
  <c r="J79" i="81"/>
  <c r="P79" i="81"/>
  <c r="O79" i="81"/>
  <c r="T79" i="81"/>
  <c r="G79" i="81"/>
  <c r="N79" i="81"/>
  <c r="B79" i="81"/>
  <c r="N77" i="65"/>
  <c r="U77" i="65"/>
  <c r="M78" i="65" l="1"/>
  <c r="S78" i="65"/>
  <c r="Y78" i="65"/>
  <c r="K80" i="81"/>
  <c r="C80" i="81"/>
  <c r="U80" i="81"/>
  <c r="O80" i="81"/>
  <c r="J80" i="81"/>
  <c r="B80" i="81"/>
  <c r="I80" i="81"/>
  <c r="L80" i="81"/>
  <c r="M80" i="81"/>
  <c r="N80" i="81"/>
  <c r="R80" i="81"/>
  <c r="D80" i="81"/>
  <c r="P80" i="81"/>
  <c r="Q80" i="81"/>
  <c r="S80" i="81"/>
  <c r="E80" i="81"/>
  <c r="G80" i="81"/>
  <c r="H80" i="81"/>
  <c r="T80" i="81"/>
  <c r="F80" i="81"/>
  <c r="A81" i="81"/>
  <c r="U78" i="65"/>
  <c r="K79" i="63"/>
  <c r="AP79" i="63"/>
  <c r="P79" i="63"/>
  <c r="AK79" i="63"/>
  <c r="E79" i="63"/>
  <c r="AR79" i="63"/>
  <c r="Q79" i="63"/>
  <c r="R79" i="65" s="1"/>
  <c r="C79" i="63"/>
  <c r="X79" i="65" s="1"/>
  <c r="V79" i="63"/>
  <c r="J79" i="63"/>
  <c r="AH79" i="63"/>
  <c r="D79" i="63"/>
  <c r="AW79" i="63"/>
  <c r="AV79" i="63"/>
  <c r="AO79" i="63"/>
  <c r="AG79" i="63"/>
  <c r="A80" i="63"/>
  <c r="H79" i="63"/>
  <c r="AX79" i="63"/>
  <c r="I79" i="63"/>
  <c r="R79" i="63"/>
  <c r="AM79" i="63"/>
  <c r="AC79" i="63"/>
  <c r="W79" i="63"/>
  <c r="M79" i="63"/>
  <c r="Y79" i="63"/>
  <c r="AE79" i="63"/>
  <c r="Z79" i="63"/>
  <c r="AJ79" i="63"/>
  <c r="AB79" i="63"/>
  <c r="AL79" i="63"/>
  <c r="AS79" i="63"/>
  <c r="B79" i="63"/>
  <c r="B79" i="65" s="1"/>
  <c r="L79" i="63"/>
  <c r="AT79" i="63"/>
  <c r="AD79" i="63"/>
  <c r="AU79" i="63"/>
  <c r="O79" i="63"/>
  <c r="AQ79" i="63"/>
  <c r="F79" i="63"/>
  <c r="AI79" i="63"/>
  <c r="AA79" i="63"/>
  <c r="G79" i="63"/>
  <c r="X79" i="63"/>
  <c r="W79" i="65" s="1"/>
  <c r="AF79" i="63"/>
  <c r="AY79" i="63"/>
  <c r="N79" i="63"/>
  <c r="AN79" i="63"/>
  <c r="S79" i="63"/>
  <c r="T79" i="63"/>
  <c r="P79" i="65" s="1"/>
  <c r="U79" i="63"/>
  <c r="O79" i="65" s="1"/>
  <c r="N78" i="65"/>
  <c r="H78" i="65"/>
  <c r="S79" i="65" l="1"/>
  <c r="N79" i="65"/>
  <c r="Y79" i="65"/>
  <c r="AP80" i="63"/>
  <c r="N80" i="63"/>
  <c r="AL80" i="63"/>
  <c r="AQ80" i="63"/>
  <c r="P80" i="63"/>
  <c r="C80" i="63"/>
  <c r="X80" i="65" s="1"/>
  <c r="J80" i="63"/>
  <c r="AG80" i="63"/>
  <c r="D80" i="63"/>
  <c r="AB80" i="63"/>
  <c r="B80" i="63"/>
  <c r="B80" i="65" s="1"/>
  <c r="AS80" i="63"/>
  <c r="S80" i="63"/>
  <c r="I80" i="63"/>
  <c r="L80" i="63"/>
  <c r="AJ80" i="63"/>
  <c r="AO80" i="63"/>
  <c r="AT80" i="63"/>
  <c r="AK80" i="63"/>
  <c r="X80" i="63"/>
  <c r="W80" i="65" s="1"/>
  <c r="AV80" i="63"/>
  <c r="T80" i="63"/>
  <c r="P80" i="65" s="1"/>
  <c r="H80" i="63"/>
  <c r="Q80" i="63"/>
  <c r="R80" i="65" s="1"/>
  <c r="U80" i="63"/>
  <c r="O80" i="65" s="1"/>
  <c r="AD80" i="63"/>
  <c r="A81" i="63"/>
  <c r="AU80" i="63"/>
  <c r="AE80" i="63"/>
  <c r="AX80" i="63"/>
  <c r="Y80" i="63"/>
  <c r="AH80" i="63"/>
  <c r="F80" i="63"/>
  <c r="AY80" i="63"/>
  <c r="W80" i="63"/>
  <c r="R80" i="63"/>
  <c r="AN80" i="63"/>
  <c r="AI80" i="63"/>
  <c r="G80" i="63"/>
  <c r="AF80" i="63"/>
  <c r="AA80" i="63"/>
  <c r="E80" i="63"/>
  <c r="Z80" i="63"/>
  <c r="K80" i="63"/>
  <c r="AC80" i="63"/>
  <c r="M80" i="63"/>
  <c r="AM80" i="63"/>
  <c r="O80" i="63"/>
  <c r="V80" i="63"/>
  <c r="AR80" i="63"/>
  <c r="AW80" i="63"/>
  <c r="R81" i="81"/>
  <c r="K81" i="81"/>
  <c r="T81" i="81"/>
  <c r="E81" i="81"/>
  <c r="G81" i="81"/>
  <c r="L81" i="81"/>
  <c r="A82" i="81"/>
  <c r="F81" i="81"/>
  <c r="I81" i="81"/>
  <c r="C81" i="81"/>
  <c r="M81" i="81"/>
  <c r="P81" i="81"/>
  <c r="Q81" i="81"/>
  <c r="D81" i="81"/>
  <c r="J81" i="81"/>
  <c r="O81" i="81"/>
  <c r="H81" i="81"/>
  <c r="N81" i="81"/>
  <c r="S81" i="81"/>
  <c r="U81" i="81"/>
  <c r="B81" i="81"/>
  <c r="U79" i="65"/>
  <c r="H79" i="65"/>
  <c r="M79" i="65"/>
  <c r="H80" i="65" l="1"/>
  <c r="Y80" i="65"/>
  <c r="M80" i="65"/>
  <c r="U80" i="65"/>
  <c r="H81" i="63"/>
  <c r="AD81" i="63"/>
  <c r="C81" i="63"/>
  <c r="X81" i="65" s="1"/>
  <c r="AN81" i="63"/>
  <c r="I81" i="63"/>
  <c r="AE81" i="63"/>
  <c r="AK81" i="63"/>
  <c r="A82" i="63"/>
  <c r="Z81" i="63"/>
  <c r="AV81" i="63"/>
  <c r="AX81" i="63"/>
  <c r="W81" i="63"/>
  <c r="N81" i="63"/>
  <c r="F81" i="63"/>
  <c r="AM81" i="63"/>
  <c r="O81" i="63"/>
  <c r="U81" i="63"/>
  <c r="O81" i="65" s="1"/>
  <c r="Y81" i="63"/>
  <c r="AF81" i="63"/>
  <c r="AQ81" i="63"/>
  <c r="Q81" i="63"/>
  <c r="R81" i="65" s="1"/>
  <c r="X81" i="63"/>
  <c r="W81" i="65" s="1"/>
  <c r="L81" i="63"/>
  <c r="AJ81" i="63"/>
  <c r="R81" i="63"/>
  <c r="G81" i="63"/>
  <c r="AI81" i="63"/>
  <c r="AP81" i="63"/>
  <c r="B81" i="63"/>
  <c r="B81" i="65" s="1"/>
  <c r="J81" i="63"/>
  <c r="S81" i="63"/>
  <c r="AA81" i="63"/>
  <c r="T81" i="63"/>
  <c r="P81" i="65" s="1"/>
  <c r="AR81" i="63"/>
  <c r="K81" i="63"/>
  <c r="D81" i="63"/>
  <c r="AB81" i="63"/>
  <c r="E81" i="63"/>
  <c r="AS81" i="63"/>
  <c r="V81" i="63"/>
  <c r="M81" i="63"/>
  <c r="P81" i="63"/>
  <c r="AH81" i="63"/>
  <c r="AY81" i="63"/>
  <c r="AG81" i="63"/>
  <c r="AL81" i="63"/>
  <c r="AO81" i="63"/>
  <c r="AC81" i="63"/>
  <c r="AT81" i="63"/>
  <c r="AU81" i="63"/>
  <c r="AW81" i="63"/>
  <c r="B82" i="81"/>
  <c r="D82" i="81"/>
  <c r="N82" i="81"/>
  <c r="O82" i="81"/>
  <c r="P82" i="81"/>
  <c r="Q82" i="81"/>
  <c r="I82" i="81"/>
  <c r="L82" i="81"/>
  <c r="T82" i="81"/>
  <c r="F82" i="81"/>
  <c r="G82" i="81"/>
  <c r="J82" i="81"/>
  <c r="K82" i="81"/>
  <c r="R82" i="81"/>
  <c r="E82" i="81"/>
  <c r="S82" i="81"/>
  <c r="A83" i="81"/>
  <c r="U82" i="81"/>
  <c r="C82" i="81"/>
  <c r="H82" i="81"/>
  <c r="M82" i="81"/>
  <c r="N80" i="65"/>
  <c r="S80" i="65"/>
  <c r="Y81" i="65" l="1"/>
  <c r="N81" i="65"/>
  <c r="S81" i="65"/>
  <c r="L82" i="63"/>
  <c r="AI82" i="63"/>
  <c r="M82" i="63"/>
  <c r="AJ82" i="63"/>
  <c r="AO82" i="63"/>
  <c r="E82" i="63"/>
  <c r="AD82" i="63"/>
  <c r="C82" i="63"/>
  <c r="X82" i="65" s="1"/>
  <c r="AP82" i="63"/>
  <c r="J82" i="63"/>
  <c r="AG82" i="63"/>
  <c r="Y82" i="63"/>
  <c r="AA82" i="63"/>
  <c r="AX82" i="63"/>
  <c r="AN82" i="63"/>
  <c r="AR82" i="63"/>
  <c r="R82" i="63"/>
  <c r="AY82" i="63"/>
  <c r="AB82" i="63"/>
  <c r="S82" i="63"/>
  <c r="U82" i="63"/>
  <c r="O82" i="65" s="1"/>
  <c r="AV82" i="63"/>
  <c r="G82" i="63"/>
  <c r="I82" i="63"/>
  <c r="AL82" i="63"/>
  <c r="Z82" i="63"/>
  <c r="D82" i="63"/>
  <c r="AQ82" i="63"/>
  <c r="V82" i="63"/>
  <c r="K82" i="63"/>
  <c r="AM82" i="63"/>
  <c r="AS82" i="63"/>
  <c r="F82" i="63"/>
  <c r="AC82" i="63"/>
  <c r="H82" i="63"/>
  <c r="AT82" i="63"/>
  <c r="Q82" i="63"/>
  <c r="R82" i="65" s="1"/>
  <c r="AU82" i="63"/>
  <c r="W82" i="63"/>
  <c r="N82" i="63"/>
  <c r="X82" i="63"/>
  <c r="W82" i="65" s="1"/>
  <c r="AF82" i="63"/>
  <c r="A83" i="63"/>
  <c r="AE82" i="63"/>
  <c r="AW82" i="63"/>
  <c r="P82" i="63"/>
  <c r="B82" i="63"/>
  <c r="B82" i="65" s="1"/>
  <c r="O82" i="63"/>
  <c r="T82" i="63"/>
  <c r="P82" i="65" s="1"/>
  <c r="AH82" i="63"/>
  <c r="AK82" i="63"/>
  <c r="U81" i="65"/>
  <c r="H81" i="65"/>
  <c r="T83" i="81"/>
  <c r="H83" i="81"/>
  <c r="J83" i="81"/>
  <c r="Q83" i="81"/>
  <c r="U83" i="81"/>
  <c r="F83" i="81"/>
  <c r="R83" i="81"/>
  <c r="A84" i="81"/>
  <c r="D83" i="81"/>
  <c r="E83" i="81"/>
  <c r="G83" i="81"/>
  <c r="I83" i="81"/>
  <c r="K83" i="81"/>
  <c r="M83" i="81"/>
  <c r="N83" i="81"/>
  <c r="O83" i="81"/>
  <c r="P83" i="81"/>
  <c r="L83" i="81"/>
  <c r="B83" i="81"/>
  <c r="C83" i="81"/>
  <c r="S83" i="81"/>
  <c r="M81" i="65"/>
  <c r="Y82" i="65" l="1"/>
  <c r="H82" i="65"/>
  <c r="AB83" i="63"/>
  <c r="AX83" i="63"/>
  <c r="AN83" i="63"/>
  <c r="AS83" i="63"/>
  <c r="Q83" i="63"/>
  <c r="R83" i="65" s="1"/>
  <c r="R83" i="63"/>
  <c r="L83" i="63"/>
  <c r="T83" i="63"/>
  <c r="P83" i="65" s="1"/>
  <c r="AJ83" i="63"/>
  <c r="AC83" i="63"/>
  <c r="AO83" i="63"/>
  <c r="AT83" i="63"/>
  <c r="AK83" i="63"/>
  <c r="AP83" i="63"/>
  <c r="AD83" i="63"/>
  <c r="U83" i="63"/>
  <c r="O83" i="65" s="1"/>
  <c r="G83" i="63"/>
  <c r="AY83" i="63"/>
  <c r="AW83" i="63"/>
  <c r="W83" i="63"/>
  <c r="J83" i="63"/>
  <c r="AA83" i="63"/>
  <c r="AL83" i="63"/>
  <c r="AR83" i="63"/>
  <c r="E83" i="63"/>
  <c r="K83" i="63"/>
  <c r="V83" i="63"/>
  <c r="M83" i="63"/>
  <c r="AM83" i="63"/>
  <c r="AU83" i="63"/>
  <c r="F83" i="63"/>
  <c r="N83" i="63"/>
  <c r="X83" i="63"/>
  <c r="W83" i="65" s="1"/>
  <c r="AE83" i="63"/>
  <c r="AV83" i="63"/>
  <c r="Y83" i="63"/>
  <c r="P83" i="63"/>
  <c r="H83" i="63"/>
  <c r="C83" i="63"/>
  <c r="X83" i="65" s="1"/>
  <c r="AI83" i="63"/>
  <c r="O83" i="63"/>
  <c r="AF83" i="63"/>
  <c r="AG83" i="63"/>
  <c r="B83" i="63"/>
  <c r="B83" i="65" s="1"/>
  <c r="Z83" i="63"/>
  <c r="AQ83" i="63"/>
  <c r="I83" i="63"/>
  <c r="S83" i="63"/>
  <c r="AH83" i="63"/>
  <c r="D83" i="63"/>
  <c r="A84" i="63"/>
  <c r="N82" i="65"/>
  <c r="M82" i="65"/>
  <c r="N84" i="81"/>
  <c r="E84" i="81"/>
  <c r="P84" i="81"/>
  <c r="U84" i="81"/>
  <c r="D84" i="81"/>
  <c r="K84" i="81"/>
  <c r="L84" i="81"/>
  <c r="M84" i="81"/>
  <c r="A85" i="81"/>
  <c r="S84" i="81"/>
  <c r="B84" i="81"/>
  <c r="I84" i="81"/>
  <c r="R84" i="81"/>
  <c r="C84" i="81"/>
  <c r="F84" i="81"/>
  <c r="G84" i="81"/>
  <c r="O84" i="81"/>
  <c r="T84" i="81"/>
  <c r="J84" i="81"/>
  <c r="Q84" i="81"/>
  <c r="H84" i="81"/>
  <c r="S82" i="65"/>
  <c r="U82" i="65"/>
  <c r="Y83" i="65" l="1"/>
  <c r="R85" i="81"/>
  <c r="B85" i="81"/>
  <c r="J85" i="81"/>
  <c r="F85" i="81"/>
  <c r="Q85" i="81"/>
  <c r="S85" i="81"/>
  <c r="C85" i="81"/>
  <c r="U85" i="81"/>
  <c r="O85" i="81"/>
  <c r="E85" i="81"/>
  <c r="K85" i="81"/>
  <c r="P85" i="81"/>
  <c r="G85" i="81"/>
  <c r="H85" i="81"/>
  <c r="D85" i="81"/>
  <c r="T85" i="81"/>
  <c r="A86" i="81"/>
  <c r="L85" i="81"/>
  <c r="M85" i="81"/>
  <c r="N85" i="81"/>
  <c r="I85" i="81"/>
  <c r="U83" i="65"/>
  <c r="S83" i="65"/>
  <c r="N83" i="65"/>
  <c r="M83" i="65"/>
  <c r="AG84" i="63"/>
  <c r="AX84" i="63"/>
  <c r="F84" i="63"/>
  <c r="C84" i="63"/>
  <c r="X84" i="65" s="1"/>
  <c r="AW84" i="63"/>
  <c r="P84" i="63"/>
  <c r="W84" i="63"/>
  <c r="Y84" i="63"/>
  <c r="M84" i="63"/>
  <c r="U84" i="63"/>
  <c r="O84" i="65" s="1"/>
  <c r="I84" i="63"/>
  <c r="AD84" i="63"/>
  <c r="J84" i="63"/>
  <c r="AU84" i="63"/>
  <c r="AL84" i="63"/>
  <c r="T84" i="63"/>
  <c r="P84" i="65" s="1"/>
  <c r="AE84" i="63"/>
  <c r="V84" i="63"/>
  <c r="Z84" i="63"/>
  <c r="AB84" i="63"/>
  <c r="AI84" i="63"/>
  <c r="AK84" i="63"/>
  <c r="AS84" i="63"/>
  <c r="AM84" i="63"/>
  <c r="L84" i="63"/>
  <c r="AN84" i="63"/>
  <c r="AC84" i="63"/>
  <c r="G84" i="63"/>
  <c r="AT84" i="63"/>
  <c r="X84" i="63"/>
  <c r="W84" i="65" s="1"/>
  <c r="N84" i="63"/>
  <c r="AV84" i="63"/>
  <c r="AO84" i="63"/>
  <c r="O84" i="63"/>
  <c r="AP84" i="63"/>
  <c r="AF84" i="63"/>
  <c r="AQ84" i="63"/>
  <c r="R84" i="63"/>
  <c r="K84" i="63"/>
  <c r="AH84" i="63"/>
  <c r="B84" i="63"/>
  <c r="B84" i="65" s="1"/>
  <c r="S84" i="63"/>
  <c r="AJ84" i="63"/>
  <c r="D84" i="63"/>
  <c r="AR84" i="63"/>
  <c r="AA84" i="63"/>
  <c r="A85" i="63"/>
  <c r="Q84" i="63"/>
  <c r="R84" i="65" s="1"/>
  <c r="AY84" i="63"/>
  <c r="E84" i="63"/>
  <c r="H84" i="63"/>
  <c r="H83" i="65"/>
  <c r="M84" i="65" l="1"/>
  <c r="S84" i="65"/>
  <c r="Y84" i="65"/>
  <c r="AF85" i="63"/>
  <c r="AK85" i="63"/>
  <c r="K85" i="63"/>
  <c r="AW85" i="63"/>
  <c r="E85" i="63"/>
  <c r="Z85" i="63"/>
  <c r="AV85" i="63"/>
  <c r="V85" i="63"/>
  <c r="AL85" i="63"/>
  <c r="N85" i="63"/>
  <c r="AM85" i="63"/>
  <c r="AQ85" i="63"/>
  <c r="P85" i="63"/>
  <c r="F85" i="63"/>
  <c r="AR85" i="63"/>
  <c r="AX85" i="63"/>
  <c r="AN85" i="63"/>
  <c r="U85" i="63"/>
  <c r="O85" i="65" s="1"/>
  <c r="L85" i="63"/>
  <c r="S85" i="63"/>
  <c r="D85" i="63"/>
  <c r="AU85" i="63"/>
  <c r="W85" i="63"/>
  <c r="AC85" i="63"/>
  <c r="G85" i="63"/>
  <c r="AT85" i="63"/>
  <c r="X85" i="63"/>
  <c r="W85" i="65" s="1"/>
  <c r="M85" i="63"/>
  <c r="AO85" i="63"/>
  <c r="AD85" i="63"/>
  <c r="H85" i="63"/>
  <c r="AG85" i="63"/>
  <c r="Y85" i="63"/>
  <c r="Q85" i="63"/>
  <c r="R85" i="65" s="1"/>
  <c r="AP85" i="63"/>
  <c r="AH85" i="63"/>
  <c r="I85" i="63"/>
  <c r="AI85" i="63"/>
  <c r="AB85" i="63"/>
  <c r="R85" i="63"/>
  <c r="B85" i="63"/>
  <c r="B85" i="65" s="1"/>
  <c r="C85" i="63"/>
  <c r="X85" i="65" s="1"/>
  <c r="T85" i="63"/>
  <c r="P85" i="65" s="1"/>
  <c r="J85" i="63"/>
  <c r="N85" i="65" s="1"/>
  <c r="AS85" i="63"/>
  <c r="A86" i="63"/>
  <c r="AJ85" i="63"/>
  <c r="AA85" i="63"/>
  <c r="O85" i="63"/>
  <c r="AE85" i="63"/>
  <c r="AY85" i="63"/>
  <c r="N84" i="65"/>
  <c r="H84" i="65"/>
  <c r="U84" i="65"/>
  <c r="M86" i="81"/>
  <c r="O86" i="81"/>
  <c r="S86" i="81"/>
  <c r="R86" i="81"/>
  <c r="T86" i="81"/>
  <c r="E86" i="81"/>
  <c r="D86" i="81"/>
  <c r="G86" i="81"/>
  <c r="A87" i="81"/>
  <c r="K86" i="81"/>
  <c r="I86" i="81"/>
  <c r="N86" i="81"/>
  <c r="Q86" i="81"/>
  <c r="P86" i="81"/>
  <c r="U86" i="81"/>
  <c r="B86" i="81"/>
  <c r="F86" i="81"/>
  <c r="H86" i="81"/>
  <c r="L86" i="81"/>
  <c r="C86" i="81"/>
  <c r="J86" i="81"/>
  <c r="Y85" i="65" l="1"/>
  <c r="M85" i="65"/>
  <c r="S85" i="65"/>
  <c r="N86" i="63"/>
  <c r="C86" i="63"/>
  <c r="X86" i="65" s="1"/>
  <c r="AR86" i="63"/>
  <c r="AD86" i="63"/>
  <c r="S86" i="63"/>
  <c r="AN86" i="63"/>
  <c r="AK86" i="63"/>
  <c r="P86" i="63"/>
  <c r="F86" i="63"/>
  <c r="AF86" i="63"/>
  <c r="V86" i="63"/>
  <c r="Z86" i="63"/>
  <c r="AV86" i="63"/>
  <c r="AL86" i="63"/>
  <c r="AA86" i="63"/>
  <c r="AG86" i="63"/>
  <c r="W86" i="63"/>
  <c r="AP86" i="63"/>
  <c r="AS86" i="63"/>
  <c r="AY86" i="63"/>
  <c r="E86" i="63"/>
  <c r="M86" i="63"/>
  <c r="AJ86" i="63"/>
  <c r="AC86" i="63"/>
  <c r="G86" i="63"/>
  <c r="AT86" i="63"/>
  <c r="AM86" i="63"/>
  <c r="O86" i="63"/>
  <c r="H86" i="63"/>
  <c r="AE86" i="63"/>
  <c r="X86" i="63"/>
  <c r="W86" i="65" s="1"/>
  <c r="AU86" i="63"/>
  <c r="I86" i="63"/>
  <c r="Q86" i="63"/>
  <c r="R86" i="65" s="1"/>
  <c r="Y86" i="63"/>
  <c r="AW86" i="63"/>
  <c r="AO86" i="63"/>
  <c r="AH86" i="63"/>
  <c r="L86" i="63"/>
  <c r="AI86" i="63"/>
  <c r="D86" i="63"/>
  <c r="J86" i="63"/>
  <c r="K86" i="63"/>
  <c r="U86" i="63"/>
  <c r="O86" i="65" s="1"/>
  <c r="AQ86" i="63"/>
  <c r="A87" i="63"/>
  <c r="B86" i="63"/>
  <c r="B86" i="65" s="1"/>
  <c r="R86" i="63"/>
  <c r="S86" i="65" s="1"/>
  <c r="AX86" i="63"/>
  <c r="T86" i="63"/>
  <c r="P86" i="65" s="1"/>
  <c r="AB86" i="63"/>
  <c r="R87" i="81"/>
  <c r="E87" i="81"/>
  <c r="S87" i="81"/>
  <c r="Q87" i="81"/>
  <c r="H87" i="81"/>
  <c r="O87" i="81"/>
  <c r="P87" i="81"/>
  <c r="T87" i="81"/>
  <c r="J87" i="81"/>
  <c r="A88" i="81"/>
  <c r="C87" i="81"/>
  <c r="K87" i="81"/>
  <c r="M87" i="81"/>
  <c r="D87" i="81"/>
  <c r="L87" i="81"/>
  <c r="N87" i="81"/>
  <c r="G87" i="81"/>
  <c r="U87" i="81"/>
  <c r="F87" i="81"/>
  <c r="B87" i="81"/>
  <c r="I87" i="81"/>
  <c r="H85" i="65"/>
  <c r="U85" i="65"/>
  <c r="H86" i="65" l="1"/>
  <c r="M86" i="65"/>
  <c r="Y86" i="65"/>
  <c r="N86" i="65"/>
  <c r="K88" i="81"/>
  <c r="T88" i="81"/>
  <c r="O88" i="81"/>
  <c r="H88" i="81"/>
  <c r="Q88" i="81"/>
  <c r="R88" i="81"/>
  <c r="U88" i="81"/>
  <c r="F88" i="81"/>
  <c r="J88" i="81"/>
  <c r="C88" i="81"/>
  <c r="N88" i="81"/>
  <c r="D88" i="81"/>
  <c r="L88" i="81"/>
  <c r="P88" i="81"/>
  <c r="M88" i="81"/>
  <c r="I88" i="81"/>
  <c r="A89" i="81"/>
  <c r="S88" i="81"/>
  <c r="B88" i="81"/>
  <c r="E88" i="81"/>
  <c r="G88" i="81"/>
  <c r="AE87" i="63"/>
  <c r="E87" i="63"/>
  <c r="AN87" i="63"/>
  <c r="AS87" i="63"/>
  <c r="D87" i="63"/>
  <c r="Y87" i="63"/>
  <c r="N87" i="63"/>
  <c r="T87" i="63"/>
  <c r="P87" i="65" s="1"/>
  <c r="Z87" i="63"/>
  <c r="AD87" i="63"/>
  <c r="AI87" i="63"/>
  <c r="O87" i="63"/>
  <c r="U87" i="63"/>
  <c r="O87" i="65" s="1"/>
  <c r="AP87" i="63"/>
  <c r="L87" i="63"/>
  <c r="AW87" i="63"/>
  <c r="W87" i="63"/>
  <c r="A88" i="63"/>
  <c r="K87" i="63"/>
  <c r="AH87" i="63"/>
  <c r="H87" i="63"/>
  <c r="AA87" i="63"/>
  <c r="AX87" i="63"/>
  <c r="I87" i="63"/>
  <c r="AQ87" i="63"/>
  <c r="AJ87" i="63"/>
  <c r="J87" i="63"/>
  <c r="AB87" i="63"/>
  <c r="AR87" i="63"/>
  <c r="AK87" i="63"/>
  <c r="M87" i="63"/>
  <c r="F87" i="63"/>
  <c r="AC87" i="63"/>
  <c r="V87" i="63"/>
  <c r="Y87" i="65" s="1"/>
  <c r="AT87" i="63"/>
  <c r="AL87" i="63"/>
  <c r="AF87" i="63"/>
  <c r="S87" i="63"/>
  <c r="B87" i="63"/>
  <c r="B87" i="65" s="1"/>
  <c r="R87" i="63"/>
  <c r="AM87" i="63"/>
  <c r="X87" i="63"/>
  <c r="W87" i="65" s="1"/>
  <c r="AO87" i="63"/>
  <c r="AY87" i="63"/>
  <c r="AU87" i="63"/>
  <c r="P87" i="63"/>
  <c r="AV87" i="63"/>
  <c r="Q87" i="63"/>
  <c r="R87" i="65" s="1"/>
  <c r="AG87" i="63"/>
  <c r="G87" i="63"/>
  <c r="C87" i="63"/>
  <c r="X87" i="65" s="1"/>
  <c r="U86" i="65"/>
  <c r="H87" i="65" l="1"/>
  <c r="S87" i="65"/>
  <c r="N87" i="65"/>
  <c r="AP88" i="63"/>
  <c r="P88" i="63"/>
  <c r="U88" i="63"/>
  <c r="O88" i="65" s="1"/>
  <c r="A89" i="63"/>
  <c r="J88" i="63"/>
  <c r="AU88" i="63"/>
  <c r="Z88" i="63"/>
  <c r="AF88" i="63"/>
  <c r="AK88" i="63"/>
  <c r="K88" i="63"/>
  <c r="AV88" i="63"/>
  <c r="AG88" i="63"/>
  <c r="AQ88" i="63"/>
  <c r="R88" i="63"/>
  <c r="AM88" i="63"/>
  <c r="N88" i="63"/>
  <c r="D88" i="63"/>
  <c r="V88" i="63"/>
  <c r="AT88" i="63"/>
  <c r="AW88" i="63"/>
  <c r="O88" i="63"/>
  <c r="F88" i="63"/>
  <c r="AE88" i="63"/>
  <c r="G88" i="63"/>
  <c r="B88" i="63"/>
  <c r="B88" i="65" s="1"/>
  <c r="H88" i="63"/>
  <c r="AH88" i="63"/>
  <c r="Q88" i="63"/>
  <c r="R88" i="65" s="1"/>
  <c r="I88" i="63"/>
  <c r="AX88" i="63"/>
  <c r="W88" i="63"/>
  <c r="Y88" i="63"/>
  <c r="C88" i="63"/>
  <c r="X88" i="65" s="1"/>
  <c r="X88" i="63"/>
  <c r="W88" i="65" s="1"/>
  <c r="AO88" i="63"/>
  <c r="S88" i="63"/>
  <c r="AB88" i="63"/>
  <c r="T88" i="63"/>
  <c r="P88" i="65" s="1"/>
  <c r="AI88" i="63"/>
  <c r="AY88" i="63"/>
  <c r="AJ88" i="63"/>
  <c r="E88" i="63"/>
  <c r="AL88" i="63"/>
  <c r="AN88" i="63"/>
  <c r="L88" i="63"/>
  <c r="AR88" i="63"/>
  <c r="M88" i="63"/>
  <c r="AS88" i="63"/>
  <c r="AD88" i="63"/>
  <c r="AA88" i="63"/>
  <c r="AC88" i="63"/>
  <c r="M87" i="65"/>
  <c r="U87" i="65"/>
  <c r="T89" i="81"/>
  <c r="U89" i="81"/>
  <c r="E89" i="81"/>
  <c r="Q89" i="81"/>
  <c r="R89" i="81"/>
  <c r="B89" i="81"/>
  <c r="H89" i="81"/>
  <c r="F89" i="81"/>
  <c r="J89" i="81"/>
  <c r="S89" i="81"/>
  <c r="P89" i="81"/>
  <c r="C89" i="81"/>
  <c r="D89" i="81"/>
  <c r="I89" i="81"/>
  <c r="L89" i="81"/>
  <c r="N89" i="81"/>
  <c r="O89" i="81"/>
  <c r="M89" i="81"/>
  <c r="A90" i="81"/>
  <c r="G89" i="81"/>
  <c r="K89" i="81"/>
  <c r="S88" i="65" l="1"/>
  <c r="U88" i="65"/>
  <c r="M88" i="65"/>
  <c r="K90" i="81"/>
  <c r="H90" i="81"/>
  <c r="O90" i="81"/>
  <c r="A91" i="81"/>
  <c r="S90" i="81"/>
  <c r="P90" i="81"/>
  <c r="Q90" i="81"/>
  <c r="T90" i="81"/>
  <c r="L90" i="81"/>
  <c r="J90" i="81"/>
  <c r="E90" i="81"/>
  <c r="D90" i="81"/>
  <c r="I90" i="81"/>
  <c r="G90" i="81"/>
  <c r="U90" i="81"/>
  <c r="C90" i="81"/>
  <c r="N90" i="81"/>
  <c r="R90" i="81"/>
  <c r="B90" i="81"/>
  <c r="F90" i="81"/>
  <c r="M90" i="81"/>
  <c r="N88" i="65"/>
  <c r="AQ89" i="63"/>
  <c r="B89" i="63"/>
  <c r="B89" i="65" s="1"/>
  <c r="V89" i="63"/>
  <c r="W89" i="63"/>
  <c r="AR89" i="63"/>
  <c r="C89" i="63"/>
  <c r="X89" i="65" s="1"/>
  <c r="AL89" i="63"/>
  <c r="AM89" i="63"/>
  <c r="M89" i="63"/>
  <c r="S89" i="63"/>
  <c r="H89" i="63"/>
  <c r="AC89" i="63"/>
  <c r="AI89" i="63"/>
  <c r="A90" i="63"/>
  <c r="N89" i="63"/>
  <c r="AU89" i="63"/>
  <c r="AP89" i="63"/>
  <c r="AG89" i="63"/>
  <c r="K89" i="63"/>
  <c r="D89" i="63"/>
  <c r="AA89" i="63"/>
  <c r="E89" i="63"/>
  <c r="L89" i="63"/>
  <c r="F89" i="63"/>
  <c r="AB89" i="63"/>
  <c r="T89" i="63"/>
  <c r="P89" i="65" s="1"/>
  <c r="AS89" i="63"/>
  <c r="AD89" i="63"/>
  <c r="U89" i="63"/>
  <c r="O89" i="65" s="1"/>
  <c r="AT89" i="63"/>
  <c r="AE89" i="63"/>
  <c r="P89" i="63"/>
  <c r="O89" i="63"/>
  <c r="AN89" i="63"/>
  <c r="Q89" i="63"/>
  <c r="R89" i="65" s="1"/>
  <c r="AW89" i="63"/>
  <c r="R89" i="63"/>
  <c r="AX89" i="63"/>
  <c r="AY89" i="63"/>
  <c r="AJ89" i="63"/>
  <c r="AK89" i="63"/>
  <c r="X89" i="63"/>
  <c r="W89" i="65" s="1"/>
  <c r="Y89" i="63"/>
  <c r="AO89" i="63"/>
  <c r="J89" i="63"/>
  <c r="G89" i="63"/>
  <c r="I89" i="63"/>
  <c r="Z89" i="63"/>
  <c r="AF89" i="63"/>
  <c r="AV89" i="63"/>
  <c r="AH89" i="63"/>
  <c r="Y88" i="65"/>
  <c r="H88" i="65"/>
  <c r="Y89" i="65" l="1"/>
  <c r="S89" i="65"/>
  <c r="U89" i="65"/>
  <c r="H89" i="65"/>
  <c r="AM90" i="63"/>
  <c r="AR90" i="63"/>
  <c r="M90" i="63"/>
  <c r="Y90" i="63"/>
  <c r="P90" i="63"/>
  <c r="AS90" i="63"/>
  <c r="AO90" i="63"/>
  <c r="AF90" i="63"/>
  <c r="AX90" i="63"/>
  <c r="J90" i="63"/>
  <c r="AV90" i="63"/>
  <c r="AY90" i="63"/>
  <c r="U90" i="63"/>
  <c r="O90" i="65" s="1"/>
  <c r="AP90" i="63"/>
  <c r="AG90" i="63"/>
  <c r="H90" i="63"/>
  <c r="AD90" i="63"/>
  <c r="T90" i="63"/>
  <c r="P90" i="65" s="1"/>
  <c r="W90" i="63"/>
  <c r="Q90" i="63"/>
  <c r="R90" i="65" s="1"/>
  <c r="X90" i="63"/>
  <c r="W90" i="65" s="1"/>
  <c r="AW90" i="63"/>
  <c r="B90" i="63"/>
  <c r="B90" i="65" s="1"/>
  <c r="AN90" i="63"/>
  <c r="C90" i="63"/>
  <c r="X90" i="65" s="1"/>
  <c r="I90" i="63"/>
  <c r="D90" i="63"/>
  <c r="Z90" i="63"/>
  <c r="R90" i="63"/>
  <c r="K90" i="63"/>
  <c r="S90" i="63"/>
  <c r="AA90" i="63"/>
  <c r="E90" i="63"/>
  <c r="AB90" i="63"/>
  <c r="AJ90" i="63"/>
  <c r="O90" i="63"/>
  <c r="AE90" i="63"/>
  <c r="AH90" i="63"/>
  <c r="AI90" i="63"/>
  <c r="AC90" i="63"/>
  <c r="F90" i="63"/>
  <c r="AL90" i="63"/>
  <c r="G90" i="63"/>
  <c r="AQ90" i="63"/>
  <c r="AK90" i="63"/>
  <c r="V90" i="63"/>
  <c r="L90" i="63"/>
  <c r="N90" i="63"/>
  <c r="AT90" i="63"/>
  <c r="AU90" i="63"/>
  <c r="A91" i="63"/>
  <c r="H91" i="81"/>
  <c r="J91" i="81"/>
  <c r="G91" i="81"/>
  <c r="L91" i="81"/>
  <c r="N91" i="81"/>
  <c r="T91" i="81"/>
  <c r="E91" i="81"/>
  <c r="K91" i="81"/>
  <c r="B91" i="81"/>
  <c r="C91" i="81"/>
  <c r="O91" i="81"/>
  <c r="P91" i="81"/>
  <c r="D91" i="81"/>
  <c r="M91" i="81"/>
  <c r="S91" i="81"/>
  <c r="U91" i="81"/>
  <c r="I91" i="81"/>
  <c r="A92" i="81"/>
  <c r="R91" i="81"/>
  <c r="Q91" i="81"/>
  <c r="F91" i="81"/>
  <c r="N89" i="65"/>
  <c r="M89" i="65"/>
  <c r="S90" i="65" l="1"/>
  <c r="Y90" i="65"/>
  <c r="H90" i="65"/>
  <c r="N90" i="65"/>
  <c r="R92" i="81"/>
  <c r="B92" i="81"/>
  <c r="N92" i="81"/>
  <c r="G92" i="81"/>
  <c r="C92" i="81"/>
  <c r="H92" i="81"/>
  <c r="S92" i="81"/>
  <c r="A93" i="81"/>
  <c r="O92" i="81"/>
  <c r="U92" i="81"/>
  <c r="K92" i="81"/>
  <c r="L92" i="81"/>
  <c r="M92" i="81"/>
  <c r="Q92" i="81"/>
  <c r="I92" i="81"/>
  <c r="P92" i="81"/>
  <c r="D92" i="81"/>
  <c r="J92" i="81"/>
  <c r="E92" i="81"/>
  <c r="F92" i="81"/>
  <c r="T92" i="81"/>
  <c r="S91" i="63"/>
  <c r="AM91" i="63"/>
  <c r="N91" i="63"/>
  <c r="AX91" i="63"/>
  <c r="L91" i="63"/>
  <c r="AF91" i="63"/>
  <c r="AK91" i="63"/>
  <c r="AB91" i="63"/>
  <c r="AG91" i="63"/>
  <c r="F91" i="63"/>
  <c r="AR91" i="63"/>
  <c r="AH91" i="63"/>
  <c r="AL91" i="63"/>
  <c r="AC91" i="63"/>
  <c r="AW91" i="63"/>
  <c r="T91" i="63"/>
  <c r="P91" i="65" s="1"/>
  <c r="Y91" i="63"/>
  <c r="K91" i="63"/>
  <c r="AY91" i="63"/>
  <c r="AP91" i="63"/>
  <c r="D91" i="63"/>
  <c r="M91" i="63"/>
  <c r="A92" i="63"/>
  <c r="AS91" i="63"/>
  <c r="AJ91" i="63"/>
  <c r="AD91" i="63"/>
  <c r="E91" i="63"/>
  <c r="AT91" i="63"/>
  <c r="U91" i="63"/>
  <c r="O91" i="65" s="1"/>
  <c r="O91" i="63"/>
  <c r="V91" i="63"/>
  <c r="AE91" i="63"/>
  <c r="G91" i="63"/>
  <c r="AU91" i="63"/>
  <c r="X91" i="63"/>
  <c r="W91" i="65" s="1"/>
  <c r="R91" i="63"/>
  <c r="Z91" i="63"/>
  <c r="P91" i="63"/>
  <c r="AA91" i="63"/>
  <c r="AV91" i="63"/>
  <c r="B91" i="63"/>
  <c r="B91" i="65" s="1"/>
  <c r="AQ91" i="63"/>
  <c r="C91" i="63"/>
  <c r="X91" i="65" s="1"/>
  <c r="W91" i="63"/>
  <c r="H91" i="63"/>
  <c r="AI91" i="63"/>
  <c r="AN91" i="63"/>
  <c r="I91" i="63"/>
  <c r="AO91" i="63"/>
  <c r="J91" i="63"/>
  <c r="Q91" i="63"/>
  <c r="R91" i="65" s="1"/>
  <c r="M90" i="65"/>
  <c r="U90" i="65"/>
  <c r="N91" i="65" l="1"/>
  <c r="S91" i="65"/>
  <c r="Y91" i="65"/>
  <c r="AY92" i="63"/>
  <c r="X92" i="63"/>
  <c r="W92" i="65" s="1"/>
  <c r="AD92" i="63"/>
  <c r="AX92" i="63"/>
  <c r="W92" i="63"/>
  <c r="AS92" i="63"/>
  <c r="C92" i="63"/>
  <c r="X92" i="65" s="1"/>
  <c r="AM92" i="63"/>
  <c r="Y92" i="63"/>
  <c r="S92" i="63"/>
  <c r="H92" i="63"/>
  <c r="AE92" i="63"/>
  <c r="D92" i="63"/>
  <c r="AN92" i="63"/>
  <c r="AO92" i="63"/>
  <c r="AG92" i="63"/>
  <c r="AK92" i="63"/>
  <c r="L92" i="63"/>
  <c r="P92" i="63"/>
  <c r="AL92" i="63"/>
  <c r="AV92" i="63"/>
  <c r="G92" i="63"/>
  <c r="I92" i="63"/>
  <c r="Q92" i="63"/>
  <c r="R92" i="65" s="1"/>
  <c r="N92" i="63"/>
  <c r="AW92" i="63"/>
  <c r="J92" i="63"/>
  <c r="O92" i="63"/>
  <c r="B92" i="63"/>
  <c r="B92" i="65" s="1"/>
  <c r="Z92" i="63"/>
  <c r="R92" i="63"/>
  <c r="AP92" i="63"/>
  <c r="A93" i="63"/>
  <c r="AH92" i="63"/>
  <c r="K92" i="63"/>
  <c r="AI92" i="63"/>
  <c r="AA92" i="63"/>
  <c r="AJ92" i="63"/>
  <c r="AR92" i="63"/>
  <c r="AB92" i="63"/>
  <c r="M92" i="63"/>
  <c r="AF92" i="63"/>
  <c r="AT92" i="63"/>
  <c r="AU92" i="63"/>
  <c r="T92" i="63"/>
  <c r="P92" i="65" s="1"/>
  <c r="E92" i="63"/>
  <c r="U92" i="63"/>
  <c r="O92" i="65" s="1"/>
  <c r="F92" i="63"/>
  <c r="V92" i="63"/>
  <c r="Y92" i="65" s="1"/>
  <c r="AQ92" i="63"/>
  <c r="AC92" i="63"/>
  <c r="U91" i="65"/>
  <c r="K93" i="81"/>
  <c r="U93" i="81"/>
  <c r="M93" i="81"/>
  <c r="C93" i="81"/>
  <c r="I93" i="81"/>
  <c r="L93" i="81"/>
  <c r="R93" i="81"/>
  <c r="B93" i="81"/>
  <c r="E93" i="81"/>
  <c r="F93" i="81"/>
  <c r="G93" i="81"/>
  <c r="T93" i="81"/>
  <c r="A94" i="81"/>
  <c r="P93" i="81"/>
  <c r="H93" i="81"/>
  <c r="Q93" i="81"/>
  <c r="S93" i="81"/>
  <c r="N93" i="81"/>
  <c r="O93" i="81"/>
  <c r="J93" i="81"/>
  <c r="D93" i="81"/>
  <c r="M91" i="65"/>
  <c r="H91" i="65"/>
  <c r="M92" i="65" l="1"/>
  <c r="S92" i="65"/>
  <c r="N92" i="65"/>
  <c r="H92" i="65"/>
  <c r="U92" i="65"/>
  <c r="T94" i="81"/>
  <c r="F94" i="81"/>
  <c r="S94" i="81"/>
  <c r="M94" i="81"/>
  <c r="R94" i="81"/>
  <c r="G94" i="81"/>
  <c r="A95" i="81"/>
  <c r="L94" i="81"/>
  <c r="O94" i="81"/>
  <c r="B94" i="81"/>
  <c r="C94" i="81"/>
  <c r="K94" i="81"/>
  <c r="E94" i="81"/>
  <c r="I94" i="81"/>
  <c r="J94" i="81"/>
  <c r="Q94" i="81"/>
  <c r="H94" i="81"/>
  <c r="N94" i="81"/>
  <c r="P94" i="81"/>
  <c r="U94" i="81"/>
  <c r="D94" i="81"/>
  <c r="P93" i="63"/>
  <c r="AJ93" i="63"/>
  <c r="Z93" i="63"/>
  <c r="AD93" i="63"/>
  <c r="AU93" i="63"/>
  <c r="E93" i="63"/>
  <c r="K93" i="63"/>
  <c r="A94" i="63"/>
  <c r="AF93" i="63"/>
  <c r="U93" i="63"/>
  <c r="O93" i="65" s="1"/>
  <c r="AA93" i="63"/>
  <c r="AV93" i="63"/>
  <c r="AQ93" i="63"/>
  <c r="AG93" i="63"/>
  <c r="F93" i="63"/>
  <c r="AR93" i="63"/>
  <c r="S93" i="63"/>
  <c r="I93" i="63"/>
  <c r="G93" i="63"/>
  <c r="AY93" i="63"/>
  <c r="AT93" i="63"/>
  <c r="D93" i="63"/>
  <c r="L93" i="63"/>
  <c r="T93" i="63"/>
  <c r="P93" i="65" s="1"/>
  <c r="M93" i="63"/>
  <c r="AK93" i="63"/>
  <c r="N93" i="63"/>
  <c r="V93" i="63"/>
  <c r="W93" i="63"/>
  <c r="AL93" i="63"/>
  <c r="AB93" i="63"/>
  <c r="O93" i="63"/>
  <c r="H93" i="63"/>
  <c r="AC93" i="63"/>
  <c r="AE93" i="63"/>
  <c r="X93" i="63"/>
  <c r="W93" i="65" s="1"/>
  <c r="B93" i="63"/>
  <c r="B93" i="65" s="1"/>
  <c r="Y93" i="63"/>
  <c r="J93" i="63"/>
  <c r="AP93" i="63"/>
  <c r="AS93" i="63"/>
  <c r="R93" i="63"/>
  <c r="AX93" i="63"/>
  <c r="C93" i="63"/>
  <c r="X93" i="65" s="1"/>
  <c r="AI93" i="63"/>
  <c r="AN93" i="63"/>
  <c r="AO93" i="63"/>
  <c r="AM93" i="63"/>
  <c r="Q93" i="63"/>
  <c r="R93" i="65" s="1"/>
  <c r="AW93" i="63"/>
  <c r="AH93" i="63"/>
  <c r="H93" i="65" l="1"/>
  <c r="M93" i="65"/>
  <c r="N93" i="65"/>
  <c r="S93" i="65"/>
  <c r="Q94" i="63"/>
  <c r="R94" i="65" s="1"/>
  <c r="AM94" i="63"/>
  <c r="S94" i="63"/>
  <c r="R94" i="63"/>
  <c r="I94" i="63"/>
  <c r="AB94" i="63"/>
  <c r="M94" i="63"/>
  <c r="AH94" i="63"/>
  <c r="Y94" i="63"/>
  <c r="AI94" i="63"/>
  <c r="AC94" i="63"/>
  <c r="AX94" i="63"/>
  <c r="AO94" i="63"/>
  <c r="AK94" i="63"/>
  <c r="N94" i="63"/>
  <c r="T94" i="63"/>
  <c r="P94" i="65" s="1"/>
  <c r="AQ94" i="63"/>
  <c r="A95" i="63"/>
  <c r="AF94" i="63"/>
  <c r="W94" i="63"/>
  <c r="U94" i="63"/>
  <c r="O94" i="65" s="1"/>
  <c r="AV94" i="63"/>
  <c r="AR94" i="63"/>
  <c r="AG94" i="63"/>
  <c r="AY94" i="63"/>
  <c r="AW94" i="63"/>
  <c r="C94" i="63"/>
  <c r="X94" i="65" s="1"/>
  <c r="B94" i="63"/>
  <c r="B94" i="65" s="1"/>
  <c r="E94" i="63"/>
  <c r="D94" i="63"/>
  <c r="J94" i="63"/>
  <c r="K94" i="63"/>
  <c r="AJ94" i="63"/>
  <c r="F94" i="63"/>
  <c r="Z94" i="63"/>
  <c r="AD94" i="63"/>
  <c r="G94" i="63"/>
  <c r="AN94" i="63"/>
  <c r="AP94" i="63"/>
  <c r="L94" i="63"/>
  <c r="AS94" i="63"/>
  <c r="AE94" i="63"/>
  <c r="P94" i="63"/>
  <c r="V94" i="63"/>
  <c r="Y94" i="65" s="1"/>
  <c r="AT94" i="63"/>
  <c r="O94" i="63"/>
  <c r="AU94" i="63"/>
  <c r="AL94" i="63"/>
  <c r="H94" i="63"/>
  <c r="X94" i="63"/>
  <c r="W94" i="65" s="1"/>
  <c r="AA94" i="63"/>
  <c r="N95" i="81"/>
  <c r="C95" i="81"/>
  <c r="O95" i="81"/>
  <c r="D95" i="81"/>
  <c r="S95" i="81"/>
  <c r="G95" i="81"/>
  <c r="A96" i="81"/>
  <c r="H95" i="81"/>
  <c r="B95" i="81"/>
  <c r="E95" i="81"/>
  <c r="I95" i="81"/>
  <c r="J95" i="81"/>
  <c r="Q95" i="81"/>
  <c r="F95" i="81"/>
  <c r="K95" i="81"/>
  <c r="P95" i="81"/>
  <c r="U95" i="81"/>
  <c r="M95" i="81"/>
  <c r="L95" i="81"/>
  <c r="T95" i="81"/>
  <c r="R95" i="81"/>
  <c r="U93" i="65"/>
  <c r="Y93" i="65"/>
  <c r="S94" i="65" l="1"/>
  <c r="H94" i="65"/>
  <c r="M94" i="65"/>
  <c r="N94" i="65"/>
  <c r="U94" i="65"/>
  <c r="F96" i="81"/>
  <c r="A97" i="81"/>
  <c r="H96" i="81"/>
  <c r="K96" i="81"/>
  <c r="L96" i="81"/>
  <c r="O96" i="81"/>
  <c r="T96" i="81"/>
  <c r="C96" i="81"/>
  <c r="S96" i="81"/>
  <c r="D96" i="81"/>
  <c r="J96" i="81"/>
  <c r="M96" i="81"/>
  <c r="B96" i="81"/>
  <c r="P96" i="81"/>
  <c r="N96" i="81"/>
  <c r="G96" i="81"/>
  <c r="Q96" i="81"/>
  <c r="R96" i="81"/>
  <c r="E96" i="81"/>
  <c r="I96" i="81"/>
  <c r="U96" i="81"/>
  <c r="AB95" i="63"/>
  <c r="AH95" i="63"/>
  <c r="AO95" i="63"/>
  <c r="Q95" i="63"/>
  <c r="R95" i="65" s="1"/>
  <c r="AT95" i="63"/>
  <c r="X95" i="63"/>
  <c r="W95" i="65" s="1"/>
  <c r="O95" i="63"/>
  <c r="AK95" i="63"/>
  <c r="AE95" i="63"/>
  <c r="F95" i="63"/>
  <c r="Y95" i="63"/>
  <c r="P95" i="63"/>
  <c r="AL95" i="63"/>
  <c r="AG95" i="63"/>
  <c r="M95" i="63"/>
  <c r="T95" i="63"/>
  <c r="P95" i="65" s="1"/>
  <c r="C95" i="63"/>
  <c r="X95" i="65" s="1"/>
  <c r="AR95" i="63"/>
  <c r="V95" i="63"/>
  <c r="AC95" i="63"/>
  <c r="G95" i="63"/>
  <c r="AS95" i="63"/>
  <c r="W95" i="63"/>
  <c r="N95" i="63"/>
  <c r="AM95" i="63"/>
  <c r="AD95" i="63"/>
  <c r="AP95" i="63"/>
  <c r="AU95" i="63"/>
  <c r="AW95" i="63"/>
  <c r="AF95" i="63"/>
  <c r="AY95" i="63"/>
  <c r="AV95" i="63"/>
  <c r="H95" i="63"/>
  <c r="AX95" i="63"/>
  <c r="S95" i="63"/>
  <c r="I95" i="63"/>
  <c r="J95" i="63"/>
  <c r="AI95" i="63"/>
  <c r="AN95" i="63"/>
  <c r="K95" i="63"/>
  <c r="A96" i="63"/>
  <c r="L95" i="63"/>
  <c r="R95" i="63"/>
  <c r="D95" i="63"/>
  <c r="AJ95" i="63"/>
  <c r="E95" i="63"/>
  <c r="U95" i="63"/>
  <c r="O95" i="65" s="1"/>
  <c r="Z95" i="63"/>
  <c r="AA95" i="63"/>
  <c r="AQ95" i="63"/>
  <c r="B95" i="63"/>
  <c r="B95" i="65" s="1"/>
  <c r="U95" i="65" l="1"/>
  <c r="N95" i="65"/>
  <c r="AS96" i="63"/>
  <c r="X96" i="63"/>
  <c r="W96" i="65" s="1"/>
  <c r="AQ96" i="63"/>
  <c r="S96" i="63"/>
  <c r="H96" i="63"/>
  <c r="AB96" i="63"/>
  <c r="AY96" i="63"/>
  <c r="V96" i="63"/>
  <c r="M96" i="63"/>
  <c r="T96" i="63"/>
  <c r="P96" i="65" s="1"/>
  <c r="J96" i="63"/>
  <c r="AV96" i="63"/>
  <c r="AU96" i="63"/>
  <c r="A97" i="63"/>
  <c r="Y96" i="63"/>
  <c r="AH96" i="63"/>
  <c r="AE96" i="63"/>
  <c r="AO96" i="63"/>
  <c r="C96" i="63"/>
  <c r="X96" i="65" s="1"/>
  <c r="Q96" i="63"/>
  <c r="R96" i="65" s="1"/>
  <c r="Z96" i="63"/>
  <c r="AI96" i="63"/>
  <c r="AG96" i="63"/>
  <c r="AP96" i="63"/>
  <c r="D96" i="63"/>
  <c r="AL96" i="63"/>
  <c r="K96" i="63"/>
  <c r="AJ96" i="63"/>
  <c r="AM96" i="63"/>
  <c r="AA96" i="63"/>
  <c r="E96" i="63"/>
  <c r="L96" i="63"/>
  <c r="U96" i="63"/>
  <c r="O96" i="65" s="1"/>
  <c r="AR96" i="63"/>
  <c r="AD96" i="63"/>
  <c r="AW96" i="63"/>
  <c r="AX96" i="63"/>
  <c r="F96" i="63"/>
  <c r="O96" i="63"/>
  <c r="W96" i="63"/>
  <c r="N96" i="63"/>
  <c r="P96" i="63"/>
  <c r="AF96" i="63"/>
  <c r="I96" i="63"/>
  <c r="AC96" i="63"/>
  <c r="AT96" i="63"/>
  <c r="B96" i="63"/>
  <c r="B96" i="65" s="1"/>
  <c r="R96" i="63"/>
  <c r="AK96" i="63"/>
  <c r="AN96" i="63"/>
  <c r="G96" i="63"/>
  <c r="Y95" i="65"/>
  <c r="R97" i="81"/>
  <c r="O97" i="81"/>
  <c r="N97" i="81"/>
  <c r="E97" i="81"/>
  <c r="F97" i="81"/>
  <c r="S97" i="81"/>
  <c r="G97" i="81"/>
  <c r="D97" i="81"/>
  <c r="H97" i="81"/>
  <c r="I97" i="81"/>
  <c r="L97" i="81"/>
  <c r="U97" i="81"/>
  <c r="C97" i="81"/>
  <c r="M97" i="81"/>
  <c r="P97" i="81"/>
  <c r="Q97" i="81"/>
  <c r="K97" i="81"/>
  <c r="T97" i="81"/>
  <c r="A98" i="81"/>
  <c r="J97" i="81"/>
  <c r="B97" i="81"/>
  <c r="M95" i="65"/>
  <c r="H95" i="65"/>
  <c r="S95" i="65"/>
  <c r="S96" i="65" l="1"/>
  <c r="U96" i="65"/>
  <c r="I97" i="63"/>
  <c r="AG97" i="63"/>
  <c r="AV97" i="63"/>
  <c r="X97" i="63"/>
  <c r="W97" i="65" s="1"/>
  <c r="AT97" i="63"/>
  <c r="E97" i="63"/>
  <c r="AN97" i="63"/>
  <c r="B97" i="63"/>
  <c r="B97" i="65" s="1"/>
  <c r="AW97" i="63"/>
  <c r="AO97" i="63"/>
  <c r="AH97" i="63"/>
  <c r="P97" i="63"/>
  <c r="L97" i="63"/>
  <c r="AK97" i="63"/>
  <c r="AC97" i="63"/>
  <c r="AA97" i="63"/>
  <c r="D97" i="63"/>
  <c r="AQ97" i="63"/>
  <c r="AU97" i="63"/>
  <c r="AB97" i="63"/>
  <c r="F97" i="63"/>
  <c r="AR97" i="63"/>
  <c r="M97" i="63"/>
  <c r="N97" i="63"/>
  <c r="T97" i="63"/>
  <c r="P97" i="65" s="1"/>
  <c r="AD97" i="63"/>
  <c r="G97" i="63"/>
  <c r="Q97" i="63"/>
  <c r="R97" i="65" s="1"/>
  <c r="U97" i="63"/>
  <c r="O97" i="65" s="1"/>
  <c r="W97" i="63"/>
  <c r="R97" i="63"/>
  <c r="S97" i="63"/>
  <c r="AE97" i="63"/>
  <c r="AJ97" i="63"/>
  <c r="AL97" i="63"/>
  <c r="V97" i="63"/>
  <c r="O97" i="63"/>
  <c r="AM97" i="63"/>
  <c r="AF97" i="63"/>
  <c r="J97" i="63"/>
  <c r="AP97" i="63"/>
  <c r="K97" i="63"/>
  <c r="AX97" i="63"/>
  <c r="C97" i="63"/>
  <c r="X97" i="65" s="1"/>
  <c r="AI97" i="63"/>
  <c r="AY97" i="63"/>
  <c r="AS97" i="63"/>
  <c r="A98" i="63"/>
  <c r="Y97" i="63"/>
  <c r="Z97" i="63"/>
  <c r="H97" i="63"/>
  <c r="M97" i="65" s="1"/>
  <c r="N96" i="65"/>
  <c r="H96" i="65"/>
  <c r="Y96" i="65"/>
  <c r="M96" i="65"/>
  <c r="I98" i="81"/>
  <c r="E98" i="81"/>
  <c r="R98" i="81"/>
  <c r="A99" i="81"/>
  <c r="B98" i="81"/>
  <c r="G98" i="81"/>
  <c r="L98" i="81"/>
  <c r="D98" i="81"/>
  <c r="H98" i="81"/>
  <c r="J98" i="81"/>
  <c r="O98" i="81"/>
  <c r="P98" i="81"/>
  <c r="Q98" i="81"/>
  <c r="K98" i="81"/>
  <c r="F98" i="81"/>
  <c r="T98" i="81"/>
  <c r="C98" i="81"/>
  <c r="M98" i="81"/>
  <c r="S98" i="81"/>
  <c r="U98" i="81"/>
  <c r="N98" i="81"/>
  <c r="S97" i="65" l="1"/>
  <c r="N97" i="65"/>
  <c r="U97" i="65"/>
  <c r="T99" i="81"/>
  <c r="U99" i="81"/>
  <c r="L99" i="81"/>
  <c r="B99" i="81"/>
  <c r="M99" i="81"/>
  <c r="C99" i="81"/>
  <c r="H99" i="81"/>
  <c r="O99" i="81"/>
  <c r="Q99" i="81"/>
  <c r="D99" i="81"/>
  <c r="K99" i="81"/>
  <c r="N99" i="81"/>
  <c r="A100" i="81"/>
  <c r="S99" i="81"/>
  <c r="I99" i="81"/>
  <c r="J99" i="81"/>
  <c r="F99" i="81"/>
  <c r="R99" i="81"/>
  <c r="G99" i="81"/>
  <c r="P99" i="81"/>
  <c r="E99" i="81"/>
  <c r="Y97" i="65"/>
  <c r="H97" i="65"/>
  <c r="E98" i="63"/>
  <c r="J98" i="63"/>
  <c r="AD98" i="63"/>
  <c r="R98" i="63"/>
  <c r="U98" i="63"/>
  <c r="O98" i="65" s="1"/>
  <c r="AP98" i="63"/>
  <c r="AI98" i="63"/>
  <c r="F98" i="63"/>
  <c r="AB98" i="63"/>
  <c r="AJ98" i="63"/>
  <c r="A99" i="63"/>
  <c r="AL98" i="63"/>
  <c r="P98" i="63"/>
  <c r="AS98" i="63"/>
  <c r="AN98" i="63"/>
  <c r="C98" i="63"/>
  <c r="X98" i="65" s="1"/>
  <c r="G98" i="63"/>
  <c r="AW98" i="63"/>
  <c r="AY98" i="63"/>
  <c r="W98" i="63"/>
  <c r="T98" i="63"/>
  <c r="P98" i="65" s="1"/>
  <c r="AQ98" i="63"/>
  <c r="AM98" i="63"/>
  <c r="AA98" i="63"/>
  <c r="H98" i="63"/>
  <c r="AC98" i="63"/>
  <c r="X98" i="63"/>
  <c r="W98" i="65" s="1"/>
  <c r="AE98" i="63"/>
  <c r="AH98" i="63"/>
  <c r="I98" i="63"/>
  <c r="B98" i="63"/>
  <c r="B98" i="65" s="1"/>
  <c r="L98" i="63"/>
  <c r="M98" i="63"/>
  <c r="Q98" i="63"/>
  <c r="R98" i="65" s="1"/>
  <c r="AG98" i="63"/>
  <c r="K98" i="63"/>
  <c r="AT98" i="63"/>
  <c r="AU98" i="63"/>
  <c r="AK98" i="63"/>
  <c r="O98" i="63"/>
  <c r="Y98" i="63"/>
  <c r="AO98" i="63"/>
  <c r="V98" i="63"/>
  <c r="Z98" i="63"/>
  <c r="AR98" i="63"/>
  <c r="AF98" i="63"/>
  <c r="AV98" i="63"/>
  <c r="D98" i="63"/>
  <c r="N98" i="63"/>
  <c r="AX98" i="63"/>
  <c r="S98" i="63"/>
  <c r="S98" i="65" l="1"/>
  <c r="N98" i="65"/>
  <c r="N100" i="81"/>
  <c r="S100" i="81"/>
  <c r="K100" i="81"/>
  <c r="L100" i="81"/>
  <c r="Q100" i="81"/>
  <c r="A101" i="81"/>
  <c r="D100" i="81"/>
  <c r="J100" i="81"/>
  <c r="I100" i="81"/>
  <c r="M100" i="81"/>
  <c r="U100" i="81"/>
  <c r="F100" i="81"/>
  <c r="C100" i="81"/>
  <c r="R100" i="81"/>
  <c r="T100" i="81"/>
  <c r="E100" i="81"/>
  <c r="H100" i="81"/>
  <c r="P100" i="81"/>
  <c r="G100" i="81"/>
  <c r="B100" i="81"/>
  <c r="O100" i="81"/>
  <c r="U98" i="65"/>
  <c r="Y98" i="65"/>
  <c r="U99" i="63"/>
  <c r="O99" i="65" s="1"/>
  <c r="N99" i="63"/>
  <c r="AL99" i="63"/>
  <c r="AS99" i="63"/>
  <c r="B99" i="63"/>
  <c r="B99" i="65" s="1"/>
  <c r="W99" i="63"/>
  <c r="AT99" i="63"/>
  <c r="AB99" i="63"/>
  <c r="S99" i="63"/>
  <c r="H99" i="63"/>
  <c r="AU99" i="63"/>
  <c r="AO99" i="63"/>
  <c r="E99" i="63"/>
  <c r="O99" i="63"/>
  <c r="AA99" i="63"/>
  <c r="X99" i="63"/>
  <c r="W99" i="65" s="1"/>
  <c r="Y99" i="63"/>
  <c r="AX99" i="63"/>
  <c r="AN99" i="63"/>
  <c r="AC99" i="63"/>
  <c r="C99" i="63"/>
  <c r="X99" i="65" s="1"/>
  <c r="J99" i="63"/>
  <c r="AD99" i="63"/>
  <c r="AI99" i="63"/>
  <c r="Z99" i="63"/>
  <c r="AF99" i="63"/>
  <c r="AY99" i="63"/>
  <c r="D99" i="63"/>
  <c r="AE99" i="63"/>
  <c r="I99" i="63"/>
  <c r="M99" i="63"/>
  <c r="A100" i="63"/>
  <c r="G99" i="63"/>
  <c r="AM99" i="63"/>
  <c r="K99" i="63"/>
  <c r="AR99" i="63"/>
  <c r="L99" i="63"/>
  <c r="AV99" i="63"/>
  <c r="T99" i="63"/>
  <c r="P99" i="65" s="1"/>
  <c r="AW99" i="63"/>
  <c r="AJ99" i="63"/>
  <c r="AK99" i="63"/>
  <c r="F99" i="63"/>
  <c r="V99" i="63"/>
  <c r="AP99" i="63"/>
  <c r="P99" i="63"/>
  <c r="Q99" i="63"/>
  <c r="R99" i="65" s="1"/>
  <c r="R99" i="63"/>
  <c r="AG99" i="63"/>
  <c r="AH99" i="63"/>
  <c r="AQ99" i="63"/>
  <c r="H98" i="65"/>
  <c r="M98" i="65"/>
  <c r="N99" i="65" l="1"/>
  <c r="U99" i="65"/>
  <c r="U101" i="81"/>
  <c r="D101" i="81"/>
  <c r="K101" i="81"/>
  <c r="M101" i="81"/>
  <c r="G101" i="81"/>
  <c r="S101" i="81"/>
  <c r="I101" i="81"/>
  <c r="F101" i="81"/>
  <c r="A102" i="81"/>
  <c r="J101" i="81"/>
  <c r="O101" i="81"/>
  <c r="C101" i="81"/>
  <c r="E101" i="81"/>
  <c r="L101" i="81"/>
  <c r="N101" i="81"/>
  <c r="T101" i="81"/>
  <c r="P101" i="81"/>
  <c r="Q101" i="81"/>
  <c r="R101" i="81"/>
  <c r="B101" i="81"/>
  <c r="H101" i="81"/>
  <c r="S100" i="63"/>
  <c r="K100" i="63"/>
  <c r="AY100" i="63"/>
  <c r="W100" i="63"/>
  <c r="L100" i="63"/>
  <c r="T100" i="63"/>
  <c r="P100" i="65" s="1"/>
  <c r="AU100" i="63"/>
  <c r="M100" i="63"/>
  <c r="B100" i="63"/>
  <c r="B100" i="65" s="1"/>
  <c r="F100" i="63"/>
  <c r="AD100" i="63"/>
  <c r="AR100" i="63"/>
  <c r="AX100" i="63"/>
  <c r="Y100" i="63"/>
  <c r="P100" i="63"/>
  <c r="C100" i="63"/>
  <c r="X100" i="65" s="1"/>
  <c r="AV100" i="63"/>
  <c r="AF100" i="63"/>
  <c r="AI100" i="63"/>
  <c r="Z100" i="63"/>
  <c r="AS100" i="63"/>
  <c r="D100" i="63"/>
  <c r="AA100" i="63"/>
  <c r="AT100" i="63"/>
  <c r="AB100" i="63"/>
  <c r="E100" i="63"/>
  <c r="G100" i="63"/>
  <c r="V100" i="63"/>
  <c r="AO100" i="63"/>
  <c r="AG100" i="63"/>
  <c r="AM100" i="63"/>
  <c r="AW100" i="63"/>
  <c r="AP100" i="63"/>
  <c r="AH100" i="63"/>
  <c r="I100" i="63"/>
  <c r="AJ100" i="63"/>
  <c r="N100" i="63"/>
  <c r="U100" i="63"/>
  <c r="O100" i="65" s="1"/>
  <c r="O100" i="63"/>
  <c r="AL100" i="63"/>
  <c r="X100" i="63"/>
  <c r="W100" i="65" s="1"/>
  <c r="H100" i="63"/>
  <c r="AN100" i="63"/>
  <c r="AC100" i="63"/>
  <c r="AE100" i="63"/>
  <c r="J100" i="63"/>
  <c r="AQ100" i="63"/>
  <c r="A101" i="63"/>
  <c r="Q100" i="63"/>
  <c r="R100" i="65" s="1"/>
  <c r="R100" i="63"/>
  <c r="AK100" i="63"/>
  <c r="Y99" i="65"/>
  <c r="S99" i="65"/>
  <c r="H99" i="65"/>
  <c r="M99" i="65"/>
  <c r="M100" i="65" l="1"/>
  <c r="S100" i="65"/>
  <c r="O102" i="81"/>
  <c r="A103" i="81"/>
  <c r="P102" i="81"/>
  <c r="C102" i="81"/>
  <c r="G102" i="81"/>
  <c r="I102" i="81"/>
  <c r="E102" i="81"/>
  <c r="J102" i="81"/>
  <c r="Q102" i="81"/>
  <c r="F102" i="81"/>
  <c r="K102" i="81"/>
  <c r="T102" i="81"/>
  <c r="L102" i="81"/>
  <c r="N102" i="81"/>
  <c r="R102" i="81"/>
  <c r="U102" i="81"/>
  <c r="D102" i="81"/>
  <c r="S102" i="81"/>
  <c r="B102" i="81"/>
  <c r="H102" i="81"/>
  <c r="M102" i="81"/>
  <c r="U100" i="65"/>
  <c r="O101" i="63"/>
  <c r="AY101" i="63"/>
  <c r="AM101" i="63"/>
  <c r="Y101" i="63"/>
  <c r="AU101" i="63"/>
  <c r="T101" i="63"/>
  <c r="P101" i="65" s="1"/>
  <c r="AN101" i="63"/>
  <c r="AP101" i="63"/>
  <c r="AF101" i="63"/>
  <c r="F101" i="63"/>
  <c r="AO101" i="63"/>
  <c r="AH101" i="63"/>
  <c r="G101" i="63"/>
  <c r="AS101" i="63"/>
  <c r="S101" i="63"/>
  <c r="M101" i="63"/>
  <c r="AI101" i="63"/>
  <c r="AQ101" i="63"/>
  <c r="D101" i="63"/>
  <c r="N101" i="63"/>
  <c r="AJ101" i="63"/>
  <c r="AR101" i="63"/>
  <c r="V101" i="63"/>
  <c r="AE101" i="63"/>
  <c r="AA101" i="63"/>
  <c r="W101" i="63"/>
  <c r="AG101" i="63"/>
  <c r="AD101" i="63"/>
  <c r="Z101" i="63"/>
  <c r="AB101" i="63"/>
  <c r="E101" i="63"/>
  <c r="H101" i="63"/>
  <c r="AK101" i="63"/>
  <c r="I101" i="63"/>
  <c r="AV101" i="63"/>
  <c r="U101" i="63"/>
  <c r="O101" i="65" s="1"/>
  <c r="AW101" i="63"/>
  <c r="AT101" i="63"/>
  <c r="J101" i="63"/>
  <c r="K101" i="63"/>
  <c r="X101" i="63"/>
  <c r="W101" i="65" s="1"/>
  <c r="L101" i="63"/>
  <c r="A102" i="63"/>
  <c r="P101" i="63"/>
  <c r="Q101" i="63"/>
  <c r="R101" i="65" s="1"/>
  <c r="B101" i="63"/>
  <c r="B101" i="65" s="1"/>
  <c r="R101" i="63"/>
  <c r="AC101" i="63"/>
  <c r="AX101" i="63"/>
  <c r="C101" i="63"/>
  <c r="X101" i="65" s="1"/>
  <c r="AL101" i="63"/>
  <c r="H100" i="65"/>
  <c r="N100" i="65"/>
  <c r="Y100" i="65"/>
  <c r="U101" i="65" l="1"/>
  <c r="S101" i="65"/>
  <c r="Y101" i="65"/>
  <c r="N101" i="65"/>
  <c r="H101" i="65"/>
  <c r="M101" i="65"/>
  <c r="C103" i="81"/>
  <c r="B103" i="81"/>
  <c r="D103" i="81"/>
  <c r="M103" i="81"/>
  <c r="Q103" i="81"/>
  <c r="U103" i="81"/>
  <c r="E103" i="81"/>
  <c r="F103" i="81"/>
  <c r="A104" i="81"/>
  <c r="R103" i="81"/>
  <c r="G103" i="81"/>
  <c r="P103" i="81"/>
  <c r="S103" i="81"/>
  <c r="T103" i="81"/>
  <c r="K103" i="81"/>
  <c r="O103" i="81"/>
  <c r="H103" i="81"/>
  <c r="N103" i="81"/>
  <c r="J103" i="81"/>
  <c r="L103" i="81"/>
  <c r="I103" i="81"/>
  <c r="AF102" i="63"/>
  <c r="AM102" i="63"/>
  <c r="Y102" i="63"/>
  <c r="Q102" i="63"/>
  <c r="R102" i="65" s="1"/>
  <c r="AN102" i="63"/>
  <c r="V102" i="63"/>
  <c r="AW102" i="63"/>
  <c r="AO102" i="63"/>
  <c r="AB102" i="63"/>
  <c r="AT102" i="63"/>
  <c r="G102" i="63"/>
  <c r="N102" i="63"/>
  <c r="AL102" i="63"/>
  <c r="AA102" i="63"/>
  <c r="AD102" i="63"/>
  <c r="I102" i="63"/>
  <c r="AI102" i="63"/>
  <c r="O102" i="63"/>
  <c r="AE102" i="63"/>
  <c r="K102" i="63"/>
  <c r="C102" i="63"/>
  <c r="X102" i="65" s="1"/>
  <c r="AV102" i="63"/>
  <c r="S102" i="63"/>
  <c r="AH102" i="63"/>
  <c r="AR102" i="63"/>
  <c r="AC102" i="63"/>
  <c r="U102" i="63"/>
  <c r="O102" i="65" s="1"/>
  <c r="AS102" i="63"/>
  <c r="P102" i="63"/>
  <c r="AY102" i="63"/>
  <c r="AG102" i="63"/>
  <c r="X102" i="63"/>
  <c r="W102" i="65" s="1"/>
  <c r="B102" i="63"/>
  <c r="B102" i="65" s="1"/>
  <c r="T102" i="63"/>
  <c r="P102" i="65" s="1"/>
  <c r="E102" i="63"/>
  <c r="AK102" i="63"/>
  <c r="AQ102" i="63"/>
  <c r="W102" i="63"/>
  <c r="Z102" i="63"/>
  <c r="AX102" i="63"/>
  <c r="F102" i="63"/>
  <c r="A103" i="63"/>
  <c r="M102" i="63"/>
  <c r="AU102" i="63"/>
  <c r="R102" i="63"/>
  <c r="D102" i="63"/>
  <c r="AJ102" i="63"/>
  <c r="L102" i="63"/>
  <c r="AP102" i="63"/>
  <c r="H102" i="63"/>
  <c r="J102" i="63"/>
  <c r="Y102" i="65" l="1"/>
  <c r="M102" i="65"/>
  <c r="R104" i="81"/>
  <c r="D104" i="81"/>
  <c r="N104" i="81"/>
  <c r="G104" i="81"/>
  <c r="H104" i="81"/>
  <c r="T104" i="81"/>
  <c r="U104" i="81"/>
  <c r="I104" i="81"/>
  <c r="M104" i="81"/>
  <c r="C104" i="81"/>
  <c r="S104" i="81"/>
  <c r="A105" i="81"/>
  <c r="L104" i="81"/>
  <c r="O104" i="81"/>
  <c r="B104" i="81"/>
  <c r="P104" i="81"/>
  <c r="Q104" i="81"/>
  <c r="E104" i="81"/>
  <c r="F104" i="81"/>
  <c r="K104" i="81"/>
  <c r="J104" i="81"/>
  <c r="L103" i="63"/>
  <c r="I103" i="63"/>
  <c r="V103" i="63"/>
  <c r="AY103" i="63"/>
  <c r="AR103" i="63"/>
  <c r="J103" i="63"/>
  <c r="X103" i="63"/>
  <c r="W103" i="65" s="1"/>
  <c r="AC103" i="63"/>
  <c r="P103" i="63"/>
  <c r="C103" i="63"/>
  <c r="X103" i="65" s="1"/>
  <c r="AD103" i="63"/>
  <c r="T103" i="63"/>
  <c r="P103" i="65" s="1"/>
  <c r="AG103" i="63"/>
  <c r="AT103" i="63"/>
  <c r="AI103" i="63"/>
  <c r="R103" i="63"/>
  <c r="AW103" i="63"/>
  <c r="M103" i="63"/>
  <c r="AP103" i="63"/>
  <c r="AS103" i="63"/>
  <c r="U103" i="63"/>
  <c r="O103" i="65" s="1"/>
  <c r="O103" i="63"/>
  <c r="AV103" i="63"/>
  <c r="AE103" i="63"/>
  <c r="AU103" i="63"/>
  <c r="AX103" i="63"/>
  <c r="E103" i="63"/>
  <c r="Q103" i="63"/>
  <c r="R103" i="65" s="1"/>
  <c r="AN103" i="63"/>
  <c r="S103" i="63"/>
  <c r="AO103" i="63"/>
  <c r="Y103" i="63"/>
  <c r="K103" i="63"/>
  <c r="D103" i="63"/>
  <c r="AA103" i="63"/>
  <c r="Z103" i="63"/>
  <c r="AQ103" i="63"/>
  <c r="AF103" i="63"/>
  <c r="AB103" i="63"/>
  <c r="F103" i="63"/>
  <c r="N103" i="63"/>
  <c r="G103" i="63"/>
  <c r="B103" i="63"/>
  <c r="B103" i="65" s="1"/>
  <c r="H103" i="63"/>
  <c r="AH103" i="63"/>
  <c r="AK103" i="63"/>
  <c r="AL103" i="63"/>
  <c r="AM103" i="63"/>
  <c r="AJ103" i="63"/>
  <c r="W103" i="63"/>
  <c r="A104" i="63"/>
  <c r="U102" i="65"/>
  <c r="N102" i="65"/>
  <c r="S102" i="65"/>
  <c r="H102" i="65"/>
  <c r="M103" i="65" l="1"/>
  <c r="N103" i="65"/>
  <c r="S103" i="65"/>
  <c r="H103" i="65"/>
  <c r="K105" i="81"/>
  <c r="M105" i="81"/>
  <c r="G105" i="81"/>
  <c r="T105" i="81"/>
  <c r="B105" i="81"/>
  <c r="C105" i="81"/>
  <c r="D105" i="81"/>
  <c r="J105" i="81"/>
  <c r="A106" i="81"/>
  <c r="O105" i="81"/>
  <c r="F105" i="81"/>
  <c r="H105" i="81"/>
  <c r="I105" i="81"/>
  <c r="P105" i="81"/>
  <c r="Q105" i="81"/>
  <c r="E105" i="81"/>
  <c r="U105" i="81"/>
  <c r="S105" i="81"/>
  <c r="N105" i="81"/>
  <c r="L105" i="81"/>
  <c r="R105" i="81"/>
  <c r="Y103" i="65"/>
  <c r="U103" i="65"/>
  <c r="M104" i="63"/>
  <c r="T104" i="63"/>
  <c r="P104" i="65" s="1"/>
  <c r="AG104" i="63"/>
  <c r="I104" i="63"/>
  <c r="AF104" i="63"/>
  <c r="AJ104" i="63"/>
  <c r="AC104" i="63"/>
  <c r="U104" i="63"/>
  <c r="O104" i="65" s="1"/>
  <c r="F104" i="63"/>
  <c r="AS104" i="63"/>
  <c r="AW104" i="63"/>
  <c r="G104" i="63"/>
  <c r="AO104" i="63"/>
  <c r="O104" i="63"/>
  <c r="Y104" i="63"/>
  <c r="AM104" i="63"/>
  <c r="W104" i="63"/>
  <c r="J104" i="63"/>
  <c r="R104" i="63"/>
  <c r="AH104" i="63"/>
  <c r="AP104" i="63"/>
  <c r="S104" i="63"/>
  <c r="AY104" i="63"/>
  <c r="K104" i="63"/>
  <c r="AT104" i="63"/>
  <c r="H104" i="63"/>
  <c r="AB104" i="63"/>
  <c r="AX104" i="63"/>
  <c r="AA104" i="63"/>
  <c r="C104" i="63"/>
  <c r="X104" i="65" s="1"/>
  <c r="AQ104" i="63"/>
  <c r="AD104" i="63"/>
  <c r="L104" i="63"/>
  <c r="D104" i="63"/>
  <c r="AR104" i="63"/>
  <c r="AE104" i="63"/>
  <c r="P104" i="63"/>
  <c r="E104" i="63"/>
  <c r="AV104" i="63"/>
  <c r="AI104" i="63"/>
  <c r="N104" i="63"/>
  <c r="AK104" i="63"/>
  <c r="A105" i="63"/>
  <c r="AL104" i="63"/>
  <c r="Q104" i="63"/>
  <c r="R104" i="65" s="1"/>
  <c r="AN104" i="63"/>
  <c r="Z104" i="63"/>
  <c r="AU104" i="63"/>
  <c r="V104" i="63"/>
  <c r="B104" i="63"/>
  <c r="B104" i="65" s="1"/>
  <c r="X104" i="63"/>
  <c r="W104" i="65" s="1"/>
  <c r="Y104" i="65" l="1"/>
  <c r="N104" i="65"/>
  <c r="S104" i="65"/>
  <c r="F106" i="81"/>
  <c r="Q106" i="81"/>
  <c r="K106" i="81"/>
  <c r="R106" i="81"/>
  <c r="L106" i="81"/>
  <c r="O106" i="81"/>
  <c r="P106" i="81"/>
  <c r="S106" i="81"/>
  <c r="T106" i="81"/>
  <c r="D106" i="81"/>
  <c r="G106" i="81"/>
  <c r="B106" i="81"/>
  <c r="C106" i="81"/>
  <c r="E106" i="81"/>
  <c r="A107" i="81"/>
  <c r="U106" i="81"/>
  <c r="H106" i="81"/>
  <c r="I106" i="81"/>
  <c r="M106" i="81"/>
  <c r="J106" i="81"/>
  <c r="N106" i="81"/>
  <c r="H104" i="65"/>
  <c r="J105" i="63"/>
  <c r="AS105" i="63"/>
  <c r="AF105" i="63"/>
  <c r="Z105" i="63"/>
  <c r="S105" i="63"/>
  <c r="E105" i="63"/>
  <c r="Y105" i="63"/>
  <c r="AU105" i="63"/>
  <c r="L105" i="63"/>
  <c r="AO105" i="63"/>
  <c r="T105" i="63"/>
  <c r="P105" i="65" s="1"/>
  <c r="M105" i="63"/>
  <c r="K105" i="63"/>
  <c r="AV105" i="63"/>
  <c r="AI105" i="63"/>
  <c r="AA105" i="63"/>
  <c r="U105" i="63"/>
  <c r="O105" i="65" s="1"/>
  <c r="AJ105" i="63"/>
  <c r="G105" i="63"/>
  <c r="AT105" i="63"/>
  <c r="AX105" i="63"/>
  <c r="AP105" i="63"/>
  <c r="AC105" i="63"/>
  <c r="AQ105" i="63"/>
  <c r="C105" i="63"/>
  <c r="X105" i="65" s="1"/>
  <c r="N105" i="63"/>
  <c r="AE105" i="63"/>
  <c r="AD105" i="63"/>
  <c r="D105" i="63"/>
  <c r="O105" i="63"/>
  <c r="AG105" i="63"/>
  <c r="AK105" i="63"/>
  <c r="F105" i="63"/>
  <c r="P105" i="63"/>
  <c r="AH105" i="63"/>
  <c r="AL105" i="63"/>
  <c r="AY105" i="63"/>
  <c r="Q105" i="63"/>
  <c r="R105" i="65" s="1"/>
  <c r="AB105" i="63"/>
  <c r="W105" i="63"/>
  <c r="AR105" i="63"/>
  <c r="A106" i="63"/>
  <c r="AM105" i="63"/>
  <c r="R105" i="63"/>
  <c r="H105" i="63"/>
  <c r="AN105" i="63"/>
  <c r="I105" i="63"/>
  <c r="AW105" i="63"/>
  <c r="V105" i="63"/>
  <c r="B105" i="63"/>
  <c r="B105" i="65" s="1"/>
  <c r="X105" i="63"/>
  <c r="W105" i="65" s="1"/>
  <c r="U104" i="65"/>
  <c r="M104" i="65"/>
  <c r="N105" i="65" l="1"/>
  <c r="Y105" i="65"/>
  <c r="M105" i="65"/>
  <c r="M107" i="81"/>
  <c r="D107" i="81"/>
  <c r="R107" i="81"/>
  <c r="S107" i="81"/>
  <c r="U107" i="81"/>
  <c r="A108" i="81"/>
  <c r="Q107" i="81"/>
  <c r="O107" i="81"/>
  <c r="T107" i="81"/>
  <c r="B107" i="81"/>
  <c r="G107" i="81"/>
  <c r="C107" i="81"/>
  <c r="E107" i="81"/>
  <c r="F107" i="81"/>
  <c r="K107" i="81"/>
  <c r="L107" i="81"/>
  <c r="H107" i="81"/>
  <c r="J107" i="81"/>
  <c r="P107" i="81"/>
  <c r="I107" i="81"/>
  <c r="N107" i="81"/>
  <c r="S105" i="65"/>
  <c r="U105" i="65"/>
  <c r="H105" i="65"/>
  <c r="G106" i="63"/>
  <c r="AL106" i="63"/>
  <c r="AX106" i="63"/>
  <c r="W106" i="63"/>
  <c r="Q106" i="63"/>
  <c r="R106" i="65" s="1"/>
  <c r="C106" i="63"/>
  <c r="X106" i="65" s="1"/>
  <c r="AN106" i="63"/>
  <c r="AH106" i="63"/>
  <c r="I106" i="63"/>
  <c r="AT106" i="63"/>
  <c r="AI106" i="63"/>
  <c r="AO106" i="63"/>
  <c r="AU106" i="63"/>
  <c r="K106" i="63"/>
  <c r="L106" i="63"/>
  <c r="Z106" i="63"/>
  <c r="M106" i="63"/>
  <c r="E106" i="63"/>
  <c r="AJ106" i="63"/>
  <c r="AD106" i="63"/>
  <c r="AY106" i="63"/>
  <c r="Y106" i="63"/>
  <c r="D106" i="63"/>
  <c r="AB106" i="63"/>
  <c r="AE106" i="63"/>
  <c r="AR106" i="63"/>
  <c r="J106" i="63"/>
  <c r="O106" i="63"/>
  <c r="AF106" i="63"/>
  <c r="P106" i="63"/>
  <c r="AA106" i="63"/>
  <c r="AP106" i="63"/>
  <c r="AG106" i="63"/>
  <c r="R106" i="63"/>
  <c r="AW106" i="63"/>
  <c r="AQ106" i="63"/>
  <c r="N106" i="63"/>
  <c r="S106" i="63"/>
  <c r="A107" i="63"/>
  <c r="U106" i="63"/>
  <c r="O106" i="65" s="1"/>
  <c r="AS106" i="63"/>
  <c r="AK106" i="63"/>
  <c r="T106" i="63"/>
  <c r="P106" i="65" s="1"/>
  <c r="F106" i="63"/>
  <c r="AM106" i="63"/>
  <c r="H106" i="63"/>
  <c r="X106" i="63"/>
  <c r="W106" i="65" s="1"/>
  <c r="V106" i="63"/>
  <c r="AV106" i="63"/>
  <c r="B106" i="63"/>
  <c r="B106" i="65" s="1"/>
  <c r="AC106" i="63"/>
  <c r="M106" i="65" l="1"/>
  <c r="Y106" i="65"/>
  <c r="S106" i="65"/>
  <c r="F108" i="81"/>
  <c r="H108" i="81"/>
  <c r="U108" i="81"/>
  <c r="O108" i="81"/>
  <c r="Q108" i="81"/>
  <c r="G108" i="81"/>
  <c r="B108" i="81"/>
  <c r="C108" i="81"/>
  <c r="S108" i="81"/>
  <c r="T108" i="81"/>
  <c r="E108" i="81"/>
  <c r="I108" i="81"/>
  <c r="J108" i="81"/>
  <c r="R108" i="81"/>
  <c r="L108" i="81"/>
  <c r="M108" i="81"/>
  <c r="D108" i="81"/>
  <c r="N108" i="81"/>
  <c r="K108" i="81"/>
  <c r="P108" i="81"/>
  <c r="A109" i="81"/>
  <c r="N106" i="65"/>
  <c r="U106" i="65"/>
  <c r="M107" i="63"/>
  <c r="AD107" i="63"/>
  <c r="Z107" i="63"/>
  <c r="AS107" i="63"/>
  <c r="R107" i="63"/>
  <c r="J107" i="63"/>
  <c r="L107" i="63"/>
  <c r="AJ107" i="63"/>
  <c r="Y107" i="63"/>
  <c r="AT107" i="63"/>
  <c r="AL107" i="63"/>
  <c r="AK107" i="63"/>
  <c r="AU107" i="63"/>
  <c r="V107" i="63"/>
  <c r="AP107" i="63"/>
  <c r="S107" i="63"/>
  <c r="O107" i="63"/>
  <c r="B107" i="63"/>
  <c r="B107" i="65" s="1"/>
  <c r="K107" i="63"/>
  <c r="AM107" i="63"/>
  <c r="AB107" i="63"/>
  <c r="AN107" i="63"/>
  <c r="AC107" i="63"/>
  <c r="D107" i="63"/>
  <c r="N107" i="63"/>
  <c r="X107" i="63"/>
  <c r="W107" i="65" s="1"/>
  <c r="AE107" i="63"/>
  <c r="AV107" i="63"/>
  <c r="AO107" i="63"/>
  <c r="AF107" i="63"/>
  <c r="H107" i="63"/>
  <c r="AW107" i="63"/>
  <c r="I107" i="63"/>
  <c r="P107" i="63"/>
  <c r="AA107" i="63"/>
  <c r="AG107" i="63"/>
  <c r="AQ107" i="63"/>
  <c r="C107" i="63"/>
  <c r="X107" i="65" s="1"/>
  <c r="AX107" i="63"/>
  <c r="AR107" i="63"/>
  <c r="AI107" i="63"/>
  <c r="Q107" i="63"/>
  <c r="R107" i="65" s="1"/>
  <c r="T107" i="63"/>
  <c r="P107" i="65" s="1"/>
  <c r="F107" i="63"/>
  <c r="G107" i="63"/>
  <c r="AH107" i="63"/>
  <c r="U107" i="63"/>
  <c r="O107" i="65" s="1"/>
  <c r="W107" i="63"/>
  <c r="A108" i="63"/>
  <c r="AY107" i="63"/>
  <c r="E107" i="63"/>
  <c r="H106" i="65"/>
  <c r="S107" i="65" l="1"/>
  <c r="U107" i="65"/>
  <c r="N107" i="65"/>
  <c r="Q109" i="81"/>
  <c r="O109" i="81"/>
  <c r="B109" i="81"/>
  <c r="P109" i="81"/>
  <c r="U109" i="81"/>
  <c r="H109" i="81"/>
  <c r="K109" i="81"/>
  <c r="R109" i="81"/>
  <c r="A110" i="81"/>
  <c r="J109" i="81"/>
  <c r="S109" i="81"/>
  <c r="C109" i="81"/>
  <c r="M109" i="81"/>
  <c r="N109" i="81"/>
  <c r="T109" i="81"/>
  <c r="D109" i="81"/>
  <c r="L109" i="81"/>
  <c r="E109" i="81"/>
  <c r="I109" i="81"/>
  <c r="G109" i="81"/>
  <c r="F109" i="81"/>
  <c r="Y107" i="65"/>
  <c r="M108" i="63"/>
  <c r="AJ108" i="63"/>
  <c r="AP108" i="63"/>
  <c r="AT108" i="63"/>
  <c r="C108" i="63"/>
  <c r="X108" i="65" s="1"/>
  <c r="I108" i="63"/>
  <c r="AD108" i="63"/>
  <c r="T108" i="63"/>
  <c r="P108" i="65" s="1"/>
  <c r="J108" i="63"/>
  <c r="N108" i="63"/>
  <c r="AK108" i="63"/>
  <c r="U108" i="63"/>
  <c r="O108" i="65" s="1"/>
  <c r="AE108" i="63"/>
  <c r="E108" i="63"/>
  <c r="AX108" i="63"/>
  <c r="W108" i="63"/>
  <c r="AQ108" i="63"/>
  <c r="AW108" i="63"/>
  <c r="AM108" i="63"/>
  <c r="L108" i="63"/>
  <c r="F108" i="63"/>
  <c r="A109" i="63"/>
  <c r="AC108" i="63"/>
  <c r="AN108" i="63"/>
  <c r="AU108" i="63"/>
  <c r="G108" i="63"/>
  <c r="AV108" i="63"/>
  <c r="X108" i="63"/>
  <c r="W108" i="65" s="1"/>
  <c r="O108" i="63"/>
  <c r="AO108" i="63"/>
  <c r="AF108" i="63"/>
  <c r="H108" i="63"/>
  <c r="P108" i="63"/>
  <c r="Y108" i="63"/>
  <c r="AH108" i="63"/>
  <c r="D108" i="63"/>
  <c r="AY108" i="63"/>
  <c r="K108" i="63"/>
  <c r="R108" i="63"/>
  <c r="Z108" i="63"/>
  <c r="AI108" i="63"/>
  <c r="AA108" i="63"/>
  <c r="AS108" i="63"/>
  <c r="AL108" i="63"/>
  <c r="Q108" i="63"/>
  <c r="R108" i="65" s="1"/>
  <c r="AG108" i="63"/>
  <c r="V108" i="63"/>
  <c r="AB108" i="63"/>
  <c r="AR108" i="63"/>
  <c r="S108" i="63"/>
  <c r="B108" i="63"/>
  <c r="B108" i="65" s="1"/>
  <c r="M107" i="65"/>
  <c r="H107" i="65"/>
  <c r="S108" i="65" l="1"/>
  <c r="U108" i="65"/>
  <c r="H108" i="65"/>
  <c r="Y108" i="65"/>
  <c r="N108" i="65"/>
  <c r="M110" i="81"/>
  <c r="O110" i="81"/>
  <c r="P110" i="81"/>
  <c r="J110" i="81"/>
  <c r="C110" i="81"/>
  <c r="I110" i="81"/>
  <c r="S110" i="81"/>
  <c r="A111" i="81"/>
  <c r="N110" i="81"/>
  <c r="Q110" i="81"/>
  <c r="R110" i="81"/>
  <c r="F110" i="81"/>
  <c r="D110" i="81"/>
  <c r="U110" i="81"/>
  <c r="E110" i="81"/>
  <c r="B110" i="81"/>
  <c r="G110" i="81"/>
  <c r="T110" i="81"/>
  <c r="L110" i="81"/>
  <c r="H110" i="81"/>
  <c r="K110" i="81"/>
  <c r="M108" i="65"/>
  <c r="R109" i="63"/>
  <c r="G109" i="63"/>
  <c r="AS109" i="63"/>
  <c r="AU109" i="63"/>
  <c r="AJ109" i="63"/>
  <c r="Y109" i="63"/>
  <c r="A110" i="63"/>
  <c r="M109" i="63"/>
  <c r="C109" i="63"/>
  <c r="X109" i="65" s="1"/>
  <c r="AP109" i="63"/>
  <c r="AV109" i="63"/>
  <c r="Z109" i="63"/>
  <c r="N109" i="63"/>
  <c r="AK109" i="63"/>
  <c r="AQ109" i="63"/>
  <c r="AG109" i="63"/>
  <c r="AL109" i="63"/>
  <c r="AC109" i="63"/>
  <c r="D109" i="63"/>
  <c r="AT109" i="63"/>
  <c r="U109" i="63"/>
  <c r="O109" i="65" s="1"/>
  <c r="E109" i="63"/>
  <c r="O109" i="63"/>
  <c r="J109" i="63"/>
  <c r="AE109" i="63"/>
  <c r="F109" i="63"/>
  <c r="K109" i="63"/>
  <c r="AD109" i="63"/>
  <c r="W109" i="63"/>
  <c r="L109" i="63"/>
  <c r="AF109" i="63"/>
  <c r="AN109" i="63"/>
  <c r="AW109" i="63"/>
  <c r="X109" i="63"/>
  <c r="W109" i="65" s="1"/>
  <c r="P109" i="63"/>
  <c r="AX109" i="63"/>
  <c r="AO109" i="63"/>
  <c r="Q109" i="63"/>
  <c r="R109" i="65" s="1"/>
  <c r="H109" i="63"/>
  <c r="AH109" i="63"/>
  <c r="I109" i="63"/>
  <c r="AY109" i="63"/>
  <c r="V109" i="63"/>
  <c r="AI109" i="63"/>
  <c r="B109" i="63"/>
  <c r="B109" i="65" s="1"/>
  <c r="S109" i="63"/>
  <c r="T109" i="63"/>
  <c r="P109" i="65" s="1"/>
  <c r="AA109" i="63"/>
  <c r="AB109" i="63"/>
  <c r="AM109" i="63"/>
  <c r="AR109" i="63"/>
  <c r="S109" i="65" l="1"/>
  <c r="N109" i="65"/>
  <c r="Y109" i="65"/>
  <c r="S111" i="81"/>
  <c r="C111" i="81"/>
  <c r="H111" i="81"/>
  <c r="B111" i="81"/>
  <c r="L111" i="81"/>
  <c r="U111" i="81"/>
  <c r="F111" i="81"/>
  <c r="A112" i="81"/>
  <c r="K111" i="81"/>
  <c r="M111" i="81"/>
  <c r="N111" i="81"/>
  <c r="D111" i="81"/>
  <c r="E111" i="81"/>
  <c r="G111" i="81"/>
  <c r="J111" i="81"/>
  <c r="P111" i="81"/>
  <c r="T111" i="81"/>
  <c r="R111" i="81"/>
  <c r="I111" i="81"/>
  <c r="Q111" i="81"/>
  <c r="O111" i="81"/>
  <c r="M109" i="65"/>
  <c r="Q110" i="63"/>
  <c r="R110" i="65" s="1"/>
  <c r="V110" i="63"/>
  <c r="AT110" i="63"/>
  <c r="AJ110" i="63"/>
  <c r="AP110" i="63"/>
  <c r="AD110" i="63"/>
  <c r="M110" i="63"/>
  <c r="C110" i="63"/>
  <c r="X110" i="65" s="1"/>
  <c r="I110" i="63"/>
  <c r="AE110" i="63"/>
  <c r="AS110" i="63"/>
  <c r="AK110" i="63"/>
  <c r="AQ110" i="63"/>
  <c r="O110" i="63"/>
  <c r="D110" i="63"/>
  <c r="J110" i="63"/>
  <c r="A111" i="63"/>
  <c r="AG110" i="63"/>
  <c r="E110" i="63"/>
  <c r="AU110" i="63"/>
  <c r="T110" i="63"/>
  <c r="P110" i="65" s="1"/>
  <c r="K110" i="63"/>
  <c r="U110" i="63"/>
  <c r="O110" i="65" s="1"/>
  <c r="L110" i="63"/>
  <c r="N110" i="63"/>
  <c r="AL110" i="63"/>
  <c r="W110" i="63"/>
  <c r="AM110" i="63"/>
  <c r="F110" i="63"/>
  <c r="AC110" i="63"/>
  <c r="G110" i="63"/>
  <c r="AB110" i="63"/>
  <c r="AF110" i="63"/>
  <c r="X110" i="63"/>
  <c r="W110" i="65" s="1"/>
  <c r="AW110" i="63"/>
  <c r="P110" i="63"/>
  <c r="AO110" i="63"/>
  <c r="AX110" i="63"/>
  <c r="H110" i="63"/>
  <c r="AH110" i="63"/>
  <c r="Y110" i="63"/>
  <c r="AY110" i="63"/>
  <c r="Z110" i="63"/>
  <c r="AN110" i="63"/>
  <c r="AV110" i="63"/>
  <c r="R110" i="63"/>
  <c r="AI110" i="63"/>
  <c r="B110" i="63"/>
  <c r="B110" i="65" s="1"/>
  <c r="S110" i="63"/>
  <c r="AA110" i="63"/>
  <c r="AR110" i="63"/>
  <c r="U109" i="65"/>
  <c r="H109" i="65"/>
  <c r="Y110" i="65" l="1"/>
  <c r="U110" i="65"/>
  <c r="M110" i="65"/>
  <c r="J112" i="81"/>
  <c r="T112" i="81"/>
  <c r="K112" i="81"/>
  <c r="U112" i="81"/>
  <c r="C112" i="81"/>
  <c r="F112" i="81"/>
  <c r="S112" i="81"/>
  <c r="A113" i="81"/>
  <c r="H112" i="81"/>
  <c r="L112" i="81"/>
  <c r="O112" i="81"/>
  <c r="N112" i="81"/>
  <c r="D112" i="81"/>
  <c r="E112" i="81"/>
  <c r="R112" i="81"/>
  <c r="P112" i="81"/>
  <c r="Q112" i="81"/>
  <c r="I112" i="81"/>
  <c r="B112" i="81"/>
  <c r="M112" i="81"/>
  <c r="G112" i="81"/>
  <c r="AQ111" i="63"/>
  <c r="D111" i="63"/>
  <c r="J111" i="63"/>
  <c r="AU111" i="63"/>
  <c r="S111" i="63"/>
  <c r="Y111" i="63"/>
  <c r="AF111" i="63"/>
  <c r="AJ111" i="63"/>
  <c r="AP111" i="63"/>
  <c r="AO111" i="63"/>
  <c r="T111" i="63"/>
  <c r="P111" i="65" s="1"/>
  <c r="AR111" i="63"/>
  <c r="AV111" i="63"/>
  <c r="AG111" i="63"/>
  <c r="E111" i="63"/>
  <c r="AC111" i="63"/>
  <c r="A112" i="63"/>
  <c r="B111" i="63"/>
  <c r="B111" i="65" s="1"/>
  <c r="L111" i="63"/>
  <c r="C111" i="63"/>
  <c r="X111" i="65" s="1"/>
  <c r="AT111" i="63"/>
  <c r="AK111" i="63"/>
  <c r="G111" i="63"/>
  <c r="U111" i="63"/>
  <c r="O111" i="65" s="1"/>
  <c r="M111" i="63"/>
  <c r="AL111" i="63"/>
  <c r="N111" i="63"/>
  <c r="V111" i="63"/>
  <c r="O111" i="63"/>
  <c r="AM111" i="63"/>
  <c r="AD111" i="63"/>
  <c r="K111" i="63"/>
  <c r="F111" i="63"/>
  <c r="AE111" i="63"/>
  <c r="AA111" i="63"/>
  <c r="W111" i="63"/>
  <c r="X111" i="63"/>
  <c r="W111" i="65" s="1"/>
  <c r="P111" i="63"/>
  <c r="AX111" i="63"/>
  <c r="AN111" i="63"/>
  <c r="AW111" i="63"/>
  <c r="Q111" i="63"/>
  <c r="R111" i="65" s="1"/>
  <c r="H111" i="63"/>
  <c r="AH111" i="63"/>
  <c r="AY111" i="63"/>
  <c r="R111" i="63"/>
  <c r="AI111" i="63"/>
  <c r="I111" i="63"/>
  <c r="Z111" i="63"/>
  <c r="AB111" i="63"/>
  <c r="AS111" i="63"/>
  <c r="H110" i="65"/>
  <c r="S110" i="65"/>
  <c r="N110" i="65"/>
  <c r="N111" i="65" l="1"/>
  <c r="M111" i="65"/>
  <c r="U113" i="81"/>
  <c r="F113" i="81"/>
  <c r="H113" i="81"/>
  <c r="C113" i="81"/>
  <c r="M113" i="81"/>
  <c r="B113" i="81"/>
  <c r="A114" i="81"/>
  <c r="J113" i="81"/>
  <c r="G113" i="81"/>
  <c r="I113" i="81"/>
  <c r="L113" i="81"/>
  <c r="E113" i="81"/>
  <c r="N113" i="81"/>
  <c r="O113" i="81"/>
  <c r="Q113" i="81"/>
  <c r="R113" i="81"/>
  <c r="T113" i="81"/>
  <c r="D113" i="81"/>
  <c r="P113" i="81"/>
  <c r="K113" i="81"/>
  <c r="S113" i="81"/>
  <c r="H111" i="65"/>
  <c r="AJ112" i="63"/>
  <c r="X112" i="63"/>
  <c r="W112" i="65" s="1"/>
  <c r="N112" i="63"/>
  <c r="AI112" i="63"/>
  <c r="AN112" i="63"/>
  <c r="H112" i="63"/>
  <c r="B112" i="63"/>
  <c r="B112" i="65" s="1"/>
  <c r="G112" i="63"/>
  <c r="O112" i="63"/>
  <c r="T112" i="63"/>
  <c r="P112" i="65" s="1"/>
  <c r="J112" i="63"/>
  <c r="AE112" i="63"/>
  <c r="U112" i="63"/>
  <c r="O112" i="65" s="1"/>
  <c r="AB112" i="63"/>
  <c r="AW112" i="63"/>
  <c r="Q112" i="63"/>
  <c r="R112" i="65" s="1"/>
  <c r="AV112" i="63"/>
  <c r="AH112" i="63"/>
  <c r="AP112" i="63"/>
  <c r="AX112" i="63"/>
  <c r="AY112" i="63"/>
  <c r="AA112" i="63"/>
  <c r="AQ112" i="63"/>
  <c r="R112" i="63"/>
  <c r="S112" i="65" s="1"/>
  <c r="AR112" i="63"/>
  <c r="A113" i="63"/>
  <c r="S112" i="63"/>
  <c r="K112" i="63"/>
  <c r="C112" i="63"/>
  <c r="X112" i="65" s="1"/>
  <c r="AS112" i="63"/>
  <c r="L112" i="63"/>
  <c r="AK112" i="63"/>
  <c r="AC112" i="63"/>
  <c r="D112" i="63"/>
  <c r="AT112" i="63"/>
  <c r="M112" i="63"/>
  <c r="AL112" i="63"/>
  <c r="AD112" i="63"/>
  <c r="E112" i="63"/>
  <c r="AU112" i="63"/>
  <c r="F112" i="63"/>
  <c r="W112" i="63"/>
  <c r="P112" i="63"/>
  <c r="Z112" i="63"/>
  <c r="AF112" i="63"/>
  <c r="AG112" i="63"/>
  <c r="AM112" i="63"/>
  <c r="I112" i="63"/>
  <c r="Y112" i="63"/>
  <c r="AO112" i="63"/>
  <c r="V112" i="63"/>
  <c r="S111" i="65"/>
  <c r="U111" i="65"/>
  <c r="Y111" i="65"/>
  <c r="M112" i="65" l="1"/>
  <c r="N112" i="65"/>
  <c r="AI113" i="63"/>
  <c r="X113" i="63"/>
  <c r="W113" i="65" s="1"/>
  <c r="AU113" i="63"/>
  <c r="B113" i="63"/>
  <c r="B113" i="65" s="1"/>
  <c r="H113" i="63"/>
  <c r="AV113" i="63"/>
  <c r="S113" i="63"/>
  <c r="Y113" i="63"/>
  <c r="AA113" i="63"/>
  <c r="T113" i="63"/>
  <c r="P113" i="65" s="1"/>
  <c r="Z113" i="63"/>
  <c r="AH113" i="63"/>
  <c r="U113" i="63"/>
  <c r="O113" i="65" s="1"/>
  <c r="AS113" i="63"/>
  <c r="AY113" i="63"/>
  <c r="V113" i="63"/>
  <c r="AF113" i="63"/>
  <c r="AN113" i="63"/>
  <c r="AG113" i="63"/>
  <c r="F113" i="63"/>
  <c r="AR113" i="63"/>
  <c r="AO113" i="63"/>
  <c r="AW113" i="63"/>
  <c r="G113" i="63"/>
  <c r="AP113" i="63"/>
  <c r="AX113" i="63"/>
  <c r="W113" i="63"/>
  <c r="I113" i="63"/>
  <c r="J113" i="63"/>
  <c r="AM113" i="63"/>
  <c r="AQ113" i="63"/>
  <c r="O113" i="63"/>
  <c r="R113" i="63"/>
  <c r="K113" i="63"/>
  <c r="P113" i="63"/>
  <c r="AJ113" i="63"/>
  <c r="AB113" i="63"/>
  <c r="Q113" i="63"/>
  <c r="R113" i="65" s="1"/>
  <c r="C113" i="63"/>
  <c r="X113" i="65" s="1"/>
  <c r="L113" i="63"/>
  <c r="AC113" i="63"/>
  <c r="A114" i="63"/>
  <c r="AK113" i="63"/>
  <c r="AT113" i="63"/>
  <c r="D113" i="63"/>
  <c r="AL113" i="63"/>
  <c r="E113" i="63"/>
  <c r="M113" i="63"/>
  <c r="AD113" i="63"/>
  <c r="N113" i="63"/>
  <c r="AE113" i="63"/>
  <c r="H112" i="65"/>
  <c r="J114" i="81"/>
  <c r="K114" i="81"/>
  <c r="M114" i="81"/>
  <c r="B114" i="81"/>
  <c r="P114" i="81"/>
  <c r="R114" i="81"/>
  <c r="A115" i="81"/>
  <c r="F114" i="81"/>
  <c r="D114" i="81"/>
  <c r="U114" i="81"/>
  <c r="E114" i="81"/>
  <c r="L114" i="81"/>
  <c r="N114" i="81"/>
  <c r="O114" i="81"/>
  <c r="S114" i="81"/>
  <c r="H114" i="81"/>
  <c r="I114" i="81"/>
  <c r="T114" i="81"/>
  <c r="C114" i="81"/>
  <c r="G114" i="81"/>
  <c r="Q114" i="81"/>
  <c r="Y112" i="65"/>
  <c r="U112" i="65"/>
  <c r="N113" i="65" l="1"/>
  <c r="Y113" i="65"/>
  <c r="H113" i="65"/>
  <c r="U113" i="65"/>
  <c r="S115" i="81"/>
  <c r="O115" i="81"/>
  <c r="C115" i="81"/>
  <c r="A116" i="81"/>
  <c r="G115" i="81"/>
  <c r="I115" i="81"/>
  <c r="N115" i="81"/>
  <c r="B115" i="81"/>
  <c r="P115" i="81"/>
  <c r="T115" i="81"/>
  <c r="D115" i="81"/>
  <c r="R115" i="81"/>
  <c r="U115" i="81"/>
  <c r="F115" i="81"/>
  <c r="J115" i="81"/>
  <c r="L115" i="81"/>
  <c r="E115" i="81"/>
  <c r="M115" i="81"/>
  <c r="Q115" i="81"/>
  <c r="K115" i="81"/>
  <c r="H115" i="81"/>
  <c r="M113" i="65"/>
  <c r="U114" i="63"/>
  <c r="O114" i="65" s="1"/>
  <c r="X114" i="63"/>
  <c r="W114" i="65" s="1"/>
  <c r="AU114" i="63"/>
  <c r="AH114" i="63"/>
  <c r="AK114" i="63"/>
  <c r="AO114" i="63"/>
  <c r="N114" i="63"/>
  <c r="AI114" i="63"/>
  <c r="AJ114" i="63"/>
  <c r="AP114" i="63"/>
  <c r="O114" i="63"/>
  <c r="AL114" i="63"/>
  <c r="J114" i="63"/>
  <c r="AX114" i="63"/>
  <c r="AC114" i="63"/>
  <c r="D114" i="63"/>
  <c r="AT114" i="63"/>
  <c r="V114" i="63"/>
  <c r="M114" i="63"/>
  <c r="A115" i="63"/>
  <c r="AM114" i="63"/>
  <c r="AD114" i="63"/>
  <c r="F114" i="63"/>
  <c r="AE114" i="63"/>
  <c r="W114" i="63"/>
  <c r="AV114" i="63"/>
  <c r="AN114" i="63"/>
  <c r="AF114" i="63"/>
  <c r="G114" i="63"/>
  <c r="AW114" i="63"/>
  <c r="H114" i="63"/>
  <c r="AS114" i="63"/>
  <c r="Y114" i="63"/>
  <c r="AY114" i="63"/>
  <c r="I114" i="63"/>
  <c r="P114" i="63"/>
  <c r="E114" i="63"/>
  <c r="Z114" i="63"/>
  <c r="Q114" i="63"/>
  <c r="R114" i="65" s="1"/>
  <c r="C114" i="63"/>
  <c r="X114" i="65" s="1"/>
  <c r="T114" i="63"/>
  <c r="P114" i="65" s="1"/>
  <c r="AQ114" i="63"/>
  <c r="AA114" i="63"/>
  <c r="AR114" i="63"/>
  <c r="L114" i="63"/>
  <c r="R114" i="63"/>
  <c r="AB114" i="63"/>
  <c r="K114" i="63"/>
  <c r="AG114" i="63"/>
  <c r="B114" i="63"/>
  <c r="B114" i="65" s="1"/>
  <c r="S114" i="63"/>
  <c r="S113" i="65"/>
  <c r="Y114" i="65" l="1"/>
  <c r="M114" i="65"/>
  <c r="AM115" i="63"/>
  <c r="AR115" i="63"/>
  <c r="B115" i="63"/>
  <c r="B115" i="65" s="1"/>
  <c r="F115" i="63"/>
  <c r="K115" i="63"/>
  <c r="L115" i="63"/>
  <c r="G115" i="63"/>
  <c r="AI115" i="63"/>
  <c r="H115" i="63"/>
  <c r="M115" i="65" s="1"/>
  <c r="AE115" i="63"/>
  <c r="AK115" i="63"/>
  <c r="AO115" i="63"/>
  <c r="AF115" i="63"/>
  <c r="Y115" i="63"/>
  <c r="AW115" i="63"/>
  <c r="AP115" i="63"/>
  <c r="P115" i="63"/>
  <c r="C115" i="63"/>
  <c r="X115" i="65" s="1"/>
  <c r="I115" i="63"/>
  <c r="AG115" i="63"/>
  <c r="S115" i="63"/>
  <c r="Z115" i="63"/>
  <c r="AX115" i="63"/>
  <c r="AY115" i="63"/>
  <c r="AQ115" i="63"/>
  <c r="Q115" i="63"/>
  <c r="R115" i="65" s="1"/>
  <c r="D115" i="63"/>
  <c r="J115" i="63"/>
  <c r="R115" i="63"/>
  <c r="U115" i="63"/>
  <c r="O115" i="65" s="1"/>
  <c r="AA115" i="63"/>
  <c r="T115" i="63"/>
  <c r="P115" i="65" s="1"/>
  <c r="AB115" i="63"/>
  <c r="AL115" i="63"/>
  <c r="AS115" i="63"/>
  <c r="AH115" i="63"/>
  <c r="E115" i="63"/>
  <c r="M115" i="63"/>
  <c r="AJ115" i="63"/>
  <c r="V115" i="63"/>
  <c r="AD115" i="63"/>
  <c r="AT115" i="63"/>
  <c r="AV115" i="63"/>
  <c r="O115" i="63"/>
  <c r="AC115" i="63"/>
  <c r="A116" i="63"/>
  <c r="W115" i="63"/>
  <c r="AN115" i="63"/>
  <c r="X115" i="63"/>
  <c r="W115" i="65" s="1"/>
  <c r="AU115" i="63"/>
  <c r="N115" i="63"/>
  <c r="F116" i="81"/>
  <c r="G116" i="81"/>
  <c r="C116" i="81"/>
  <c r="A117" i="81"/>
  <c r="U116" i="81"/>
  <c r="S116" i="81"/>
  <c r="N116" i="81"/>
  <c r="M116" i="81"/>
  <c r="Q116" i="81"/>
  <c r="T116" i="81"/>
  <c r="D116" i="81"/>
  <c r="K116" i="81"/>
  <c r="L116" i="81"/>
  <c r="O116" i="81"/>
  <c r="B116" i="81"/>
  <c r="H116" i="81"/>
  <c r="I116" i="81"/>
  <c r="E116" i="81"/>
  <c r="J116" i="81"/>
  <c r="P116" i="81"/>
  <c r="R116" i="81"/>
  <c r="N114" i="65"/>
  <c r="S114" i="65"/>
  <c r="U114" i="65"/>
  <c r="H114" i="65"/>
  <c r="N115" i="65" l="1"/>
  <c r="H115" i="65"/>
  <c r="S115" i="65"/>
  <c r="V116" i="63"/>
  <c r="AA116" i="63"/>
  <c r="AX116" i="63"/>
  <c r="D116" i="63"/>
  <c r="AM116" i="63"/>
  <c r="AR116" i="63"/>
  <c r="R116" i="63"/>
  <c r="AU116" i="63"/>
  <c r="AO116" i="63"/>
  <c r="N116" i="63"/>
  <c r="U116" i="63"/>
  <c r="O116" i="65" s="1"/>
  <c r="AG116" i="63"/>
  <c r="AB116" i="63"/>
  <c r="T116" i="63"/>
  <c r="P116" i="65" s="1"/>
  <c r="E116" i="63"/>
  <c r="AS116" i="63"/>
  <c r="F116" i="63"/>
  <c r="L116" i="63"/>
  <c r="W116" i="63"/>
  <c r="AC116" i="63"/>
  <c r="AD116" i="63"/>
  <c r="AN116" i="63"/>
  <c r="AT116" i="63"/>
  <c r="AJ116" i="63"/>
  <c r="G116" i="63"/>
  <c r="AE116" i="63"/>
  <c r="AK116" i="63"/>
  <c r="X116" i="63"/>
  <c r="W116" i="65" s="1"/>
  <c r="AV116" i="63"/>
  <c r="AL116" i="63"/>
  <c r="O116" i="63"/>
  <c r="B116" i="63"/>
  <c r="B116" i="65" s="1"/>
  <c r="H116" i="63"/>
  <c r="AF116" i="63"/>
  <c r="C116" i="63"/>
  <c r="X116" i="65" s="1"/>
  <c r="Y116" i="63"/>
  <c r="AW116" i="63"/>
  <c r="AP116" i="63"/>
  <c r="P116" i="63"/>
  <c r="A117" i="63"/>
  <c r="I116" i="63"/>
  <c r="AH116" i="63"/>
  <c r="Q116" i="63"/>
  <c r="R116" i="65" s="1"/>
  <c r="Z116" i="63"/>
  <c r="AQ116" i="63"/>
  <c r="J116" i="63"/>
  <c r="K116" i="63"/>
  <c r="S116" i="63"/>
  <c r="AI116" i="63"/>
  <c r="AY116" i="63"/>
  <c r="M116" i="63"/>
  <c r="Y115" i="65"/>
  <c r="B117" i="81"/>
  <c r="C117" i="81"/>
  <c r="O117" i="81"/>
  <c r="L117" i="81"/>
  <c r="J117" i="81"/>
  <c r="N117" i="81"/>
  <c r="K117" i="81"/>
  <c r="Q117" i="81"/>
  <c r="R117" i="81"/>
  <c r="P117" i="81"/>
  <c r="H117" i="81"/>
  <c r="I117" i="81"/>
  <c r="A118" i="81"/>
  <c r="S117" i="81"/>
  <c r="T117" i="81"/>
  <c r="G117" i="81"/>
  <c r="M117" i="81"/>
  <c r="U117" i="81"/>
  <c r="D117" i="81"/>
  <c r="F117" i="81"/>
  <c r="E117" i="81"/>
  <c r="U115" i="65"/>
  <c r="N116" i="65" l="1"/>
  <c r="AN117" i="63"/>
  <c r="O117" i="63"/>
  <c r="B117" i="63"/>
  <c r="B117" i="65" s="1"/>
  <c r="I117" i="63"/>
  <c r="AE117" i="63"/>
  <c r="C117" i="63"/>
  <c r="X117" i="65" s="1"/>
  <c r="V117" i="63"/>
  <c r="AA117" i="63"/>
  <c r="AW117" i="63"/>
  <c r="G117" i="63"/>
  <c r="N117" i="63"/>
  <c r="D117" i="63"/>
  <c r="W117" i="63"/>
  <c r="AD117" i="63"/>
  <c r="M117" i="63"/>
  <c r="AM117" i="63"/>
  <c r="AT117" i="63"/>
  <c r="R117" i="63"/>
  <c r="H117" i="63"/>
  <c r="M117" i="65" s="1"/>
  <c r="AU117" i="63"/>
  <c r="S117" i="63"/>
  <c r="X117" i="63"/>
  <c r="W117" i="65" s="1"/>
  <c r="P117" i="63"/>
  <c r="T117" i="63"/>
  <c r="P117" i="65" s="1"/>
  <c r="AF117" i="63"/>
  <c r="Y117" i="63"/>
  <c r="AV117" i="63"/>
  <c r="AO117" i="63"/>
  <c r="Q117" i="63"/>
  <c r="R117" i="65" s="1"/>
  <c r="A118" i="63"/>
  <c r="J117" i="63"/>
  <c r="N117" i="65" s="1"/>
  <c r="AG117" i="63"/>
  <c r="Z117" i="63"/>
  <c r="AC117" i="63"/>
  <c r="AP117" i="63"/>
  <c r="AH117" i="63"/>
  <c r="E117" i="63"/>
  <c r="K117" i="63"/>
  <c r="AI117" i="63"/>
  <c r="F117" i="63"/>
  <c r="AL117" i="63"/>
  <c r="AQ117" i="63"/>
  <c r="L117" i="63"/>
  <c r="AB117" i="63"/>
  <c r="AR117" i="63"/>
  <c r="AJ117" i="63"/>
  <c r="AS117" i="63"/>
  <c r="AX117" i="63"/>
  <c r="AY117" i="63"/>
  <c r="U117" i="63"/>
  <c r="O117" i="65" s="1"/>
  <c r="AK117" i="63"/>
  <c r="S116" i="65"/>
  <c r="H116" i="65"/>
  <c r="U116" i="65"/>
  <c r="O118" i="81"/>
  <c r="A119" i="81"/>
  <c r="S118" i="81"/>
  <c r="B118" i="81"/>
  <c r="M118" i="81"/>
  <c r="P118" i="81"/>
  <c r="J118" i="81"/>
  <c r="R118" i="81"/>
  <c r="H118" i="81"/>
  <c r="N118" i="81"/>
  <c r="T118" i="81"/>
  <c r="D118" i="81"/>
  <c r="E118" i="81"/>
  <c r="Q118" i="81"/>
  <c r="F118" i="81"/>
  <c r="U118" i="81"/>
  <c r="I118" i="81"/>
  <c r="K118" i="81"/>
  <c r="L118" i="81"/>
  <c r="C118" i="81"/>
  <c r="G118" i="81"/>
  <c r="M116" i="65"/>
  <c r="Y116" i="65"/>
  <c r="H117" i="65" l="1"/>
  <c r="U117" i="65"/>
  <c r="T118" i="63"/>
  <c r="P118" i="65" s="1"/>
  <c r="I118" i="63"/>
  <c r="AE118" i="63"/>
  <c r="Y118" i="63"/>
  <c r="AU118" i="63"/>
  <c r="A119" i="63"/>
  <c r="V118" i="63"/>
  <c r="AR118" i="63"/>
  <c r="Q118" i="63"/>
  <c r="R118" i="65" s="1"/>
  <c r="M118" i="63"/>
  <c r="AG118" i="63"/>
  <c r="AK118" i="63"/>
  <c r="AC118" i="63"/>
  <c r="AH118" i="63"/>
  <c r="F118" i="63"/>
  <c r="AS118" i="63"/>
  <c r="K118" i="63"/>
  <c r="AL118" i="63"/>
  <c r="N118" i="63"/>
  <c r="G118" i="63"/>
  <c r="AD118" i="63"/>
  <c r="W118" i="63"/>
  <c r="AT118" i="63"/>
  <c r="AM118" i="63"/>
  <c r="O118" i="63"/>
  <c r="H118" i="63"/>
  <c r="M118" i="65" s="1"/>
  <c r="AQ118" i="63"/>
  <c r="C118" i="63"/>
  <c r="X118" i="65" s="1"/>
  <c r="X118" i="63"/>
  <c r="W118" i="65" s="1"/>
  <c r="AV118" i="63"/>
  <c r="S118" i="63"/>
  <c r="AN118" i="63"/>
  <c r="AW118" i="63"/>
  <c r="AI118" i="63"/>
  <c r="AO118" i="63"/>
  <c r="AX118" i="63"/>
  <c r="AY118" i="63"/>
  <c r="J118" i="63"/>
  <c r="B118" i="63"/>
  <c r="B118" i="65" s="1"/>
  <c r="L118" i="63"/>
  <c r="AB118" i="63"/>
  <c r="P118" i="63"/>
  <c r="R118" i="63"/>
  <c r="AA118" i="63"/>
  <c r="AF118" i="63"/>
  <c r="D118" i="63"/>
  <c r="AJ118" i="63"/>
  <c r="E118" i="63"/>
  <c r="U118" i="63"/>
  <c r="O118" i="65" s="1"/>
  <c r="Z118" i="63"/>
  <c r="AP118" i="63"/>
  <c r="Y117" i="65"/>
  <c r="S117" i="65"/>
  <c r="O119" i="81"/>
  <c r="B119" i="81"/>
  <c r="I119" i="81"/>
  <c r="L119" i="81"/>
  <c r="D119" i="81"/>
  <c r="J119" i="81"/>
  <c r="E119" i="81"/>
  <c r="R119" i="81"/>
  <c r="G119" i="81"/>
  <c r="U119" i="81"/>
  <c r="C119" i="81"/>
  <c r="F119" i="81"/>
  <c r="Q119" i="81"/>
  <c r="S119" i="81"/>
  <c r="M119" i="81"/>
  <c r="N119" i="81"/>
  <c r="A120" i="81"/>
  <c r="K119" i="81"/>
  <c r="H119" i="81"/>
  <c r="P119" i="81"/>
  <c r="T119" i="81"/>
  <c r="N118" i="65" l="1"/>
  <c r="S118" i="65"/>
  <c r="U118" i="65"/>
  <c r="Y118" i="65"/>
  <c r="E119" i="63"/>
  <c r="AP119" i="63"/>
  <c r="AF119" i="63"/>
  <c r="AX119" i="63"/>
  <c r="G119" i="63"/>
  <c r="K119" i="63"/>
  <c r="Y119" i="63"/>
  <c r="AJ119" i="63"/>
  <c r="AA119" i="63"/>
  <c r="AT119" i="63"/>
  <c r="U119" i="63"/>
  <c r="O119" i="65" s="1"/>
  <c r="AQ119" i="63"/>
  <c r="AU119" i="63"/>
  <c r="L119" i="63"/>
  <c r="AV119" i="63"/>
  <c r="Q119" i="63"/>
  <c r="R119" i="65" s="1"/>
  <c r="AK119" i="63"/>
  <c r="AB119" i="63"/>
  <c r="AG119" i="63"/>
  <c r="F119" i="63"/>
  <c r="AR119" i="63"/>
  <c r="A120" i="63"/>
  <c r="AW119" i="63"/>
  <c r="V119" i="63"/>
  <c r="M119" i="63"/>
  <c r="B119" i="63"/>
  <c r="B119" i="65" s="1"/>
  <c r="AL119" i="63"/>
  <c r="AC119" i="63"/>
  <c r="R119" i="63"/>
  <c r="W119" i="63"/>
  <c r="AS119" i="63"/>
  <c r="AH119" i="63"/>
  <c r="AM119" i="63"/>
  <c r="I119" i="63"/>
  <c r="C119" i="63"/>
  <c r="X119" i="65" s="1"/>
  <c r="H119" i="63"/>
  <c r="N119" i="63"/>
  <c r="S119" i="63"/>
  <c r="X119" i="63"/>
  <c r="W119" i="65" s="1"/>
  <c r="O119" i="63"/>
  <c r="AE119" i="63"/>
  <c r="AO119" i="63"/>
  <c r="AI119" i="63"/>
  <c r="AY119" i="63"/>
  <c r="D119" i="63"/>
  <c r="T119" i="63"/>
  <c r="P119" i="65" s="1"/>
  <c r="AN119" i="63"/>
  <c r="J119" i="63"/>
  <c r="P119" i="63"/>
  <c r="AD119" i="63"/>
  <c r="Z119" i="63"/>
  <c r="J120" i="81"/>
  <c r="K120" i="81"/>
  <c r="N120" i="81"/>
  <c r="M120" i="81"/>
  <c r="O120" i="81"/>
  <c r="B120" i="81"/>
  <c r="T120" i="81"/>
  <c r="D120" i="81"/>
  <c r="U120" i="81"/>
  <c r="H120" i="81"/>
  <c r="C120" i="81"/>
  <c r="E120" i="81"/>
  <c r="F120" i="81"/>
  <c r="P120" i="81"/>
  <c r="Q120" i="81"/>
  <c r="S120" i="81"/>
  <c r="G120" i="81"/>
  <c r="L120" i="81"/>
  <c r="R120" i="81"/>
  <c r="I120" i="81"/>
  <c r="A121" i="81"/>
  <c r="H118" i="65"/>
  <c r="M119" i="65" l="1"/>
  <c r="Y119" i="65"/>
  <c r="S119" i="65"/>
  <c r="H119" i="65"/>
  <c r="AW120" i="63"/>
  <c r="F120" i="63"/>
  <c r="G120" i="63"/>
  <c r="AH120" i="63"/>
  <c r="X120" i="63"/>
  <c r="W120" i="65" s="1"/>
  <c r="AB120" i="63"/>
  <c r="AX120" i="63"/>
  <c r="AC120" i="63"/>
  <c r="C120" i="63"/>
  <c r="X120" i="65" s="1"/>
  <c r="AN120" i="63"/>
  <c r="AD120" i="63"/>
  <c r="S120" i="63"/>
  <c r="I120" i="63"/>
  <c r="AR120" i="63"/>
  <c r="AI120" i="63"/>
  <c r="Y120" i="63"/>
  <c r="AS120" i="63"/>
  <c r="AY120" i="63"/>
  <c r="AO120" i="63"/>
  <c r="AT120" i="63"/>
  <c r="O120" i="63"/>
  <c r="D120" i="63"/>
  <c r="J120" i="63"/>
  <c r="AM120" i="63"/>
  <c r="AE120" i="63"/>
  <c r="T120" i="63"/>
  <c r="P120" i="65" s="1"/>
  <c r="Z120" i="63"/>
  <c r="AU120" i="63"/>
  <c r="AJ120" i="63"/>
  <c r="AP120" i="63"/>
  <c r="P120" i="63"/>
  <c r="E120" i="63"/>
  <c r="K120" i="63"/>
  <c r="A121" i="63"/>
  <c r="AF120" i="63"/>
  <c r="U120" i="63"/>
  <c r="O120" i="65" s="1"/>
  <c r="AA120" i="63"/>
  <c r="AV120" i="63"/>
  <c r="AQ120" i="63"/>
  <c r="Q120" i="63"/>
  <c r="R120" i="65" s="1"/>
  <c r="AG120" i="63"/>
  <c r="B120" i="63"/>
  <c r="B120" i="65" s="1"/>
  <c r="R120" i="63"/>
  <c r="AK120" i="63"/>
  <c r="V120" i="63"/>
  <c r="Y120" i="65" s="1"/>
  <c r="AL120" i="63"/>
  <c r="H120" i="63"/>
  <c r="N120" i="63"/>
  <c r="W120" i="63"/>
  <c r="M120" i="63"/>
  <c r="L120" i="63"/>
  <c r="N119" i="65"/>
  <c r="D121" i="81"/>
  <c r="G121" i="81"/>
  <c r="O121" i="81"/>
  <c r="Q121" i="81"/>
  <c r="N121" i="81"/>
  <c r="E121" i="81"/>
  <c r="F121" i="81"/>
  <c r="H121" i="81"/>
  <c r="L121" i="81"/>
  <c r="M121" i="81"/>
  <c r="S121" i="81"/>
  <c r="B121" i="81"/>
  <c r="C121" i="81"/>
  <c r="R121" i="81"/>
  <c r="P121" i="81"/>
  <c r="I121" i="81"/>
  <c r="T121" i="81"/>
  <c r="U121" i="81"/>
  <c r="J121" i="81"/>
  <c r="A122" i="81"/>
  <c r="K121" i="81"/>
  <c r="U119" i="65"/>
  <c r="N120" i="65" l="1"/>
  <c r="M120" i="65"/>
  <c r="S120" i="65"/>
  <c r="H120" i="65"/>
  <c r="U120" i="65"/>
  <c r="O121" i="63"/>
  <c r="AY121" i="63"/>
  <c r="Y121" i="63"/>
  <c r="A122" i="63"/>
  <c r="AE121" i="63"/>
  <c r="D121" i="63"/>
  <c r="AO121" i="63"/>
  <c r="AU121" i="63"/>
  <c r="T121" i="63"/>
  <c r="P121" i="65" s="1"/>
  <c r="U121" i="63"/>
  <c r="O121" i="65" s="1"/>
  <c r="P121" i="63"/>
  <c r="AF121" i="63"/>
  <c r="AJ121" i="63"/>
  <c r="Z121" i="63"/>
  <c r="AV121" i="63"/>
  <c r="F121" i="63"/>
  <c r="AA121" i="63"/>
  <c r="Q121" i="63"/>
  <c r="R121" i="65" s="1"/>
  <c r="V121" i="63"/>
  <c r="AB121" i="63"/>
  <c r="AG121" i="63"/>
  <c r="AL121" i="63"/>
  <c r="AK121" i="63"/>
  <c r="AW121" i="63"/>
  <c r="G121" i="63"/>
  <c r="AP121" i="63"/>
  <c r="B121" i="63"/>
  <c r="B121" i="65" s="1"/>
  <c r="W121" i="63"/>
  <c r="AQ121" i="63"/>
  <c r="M121" i="63"/>
  <c r="R121" i="63"/>
  <c r="AM121" i="63"/>
  <c r="AR121" i="63"/>
  <c r="AC121" i="63"/>
  <c r="AH121" i="63"/>
  <c r="H121" i="63"/>
  <c r="E121" i="63"/>
  <c r="AD121" i="63"/>
  <c r="AT121" i="63"/>
  <c r="AX121" i="63"/>
  <c r="C121" i="63"/>
  <c r="X121" i="65" s="1"/>
  <c r="S121" i="63"/>
  <c r="AI121" i="63"/>
  <c r="X121" i="63"/>
  <c r="W121" i="65" s="1"/>
  <c r="AN121" i="63"/>
  <c r="I121" i="63"/>
  <c r="AS121" i="63"/>
  <c r="N121" i="63"/>
  <c r="J121" i="63"/>
  <c r="K121" i="63"/>
  <c r="L121" i="63"/>
  <c r="F122" i="81"/>
  <c r="L122" i="81"/>
  <c r="M122" i="81"/>
  <c r="Q122" i="81"/>
  <c r="I122" i="81"/>
  <c r="J122" i="81"/>
  <c r="D122" i="81"/>
  <c r="C122" i="81"/>
  <c r="T122" i="81"/>
  <c r="H122" i="81"/>
  <c r="N122" i="81"/>
  <c r="P122" i="81"/>
  <c r="E122" i="81"/>
  <c r="U122" i="81"/>
  <c r="A123" i="81"/>
  <c r="B122" i="81"/>
  <c r="S122" i="81"/>
  <c r="K122" i="81"/>
  <c r="R122" i="81"/>
  <c r="O122" i="81"/>
  <c r="G122" i="81"/>
  <c r="U121" i="65" l="1"/>
  <c r="H121" i="65"/>
  <c r="P122" i="63"/>
  <c r="S122" i="63"/>
  <c r="K122" i="63"/>
  <c r="AF122" i="63"/>
  <c r="AK122" i="63"/>
  <c r="C122" i="63"/>
  <c r="X122" i="65" s="1"/>
  <c r="AA122" i="63"/>
  <c r="AV122" i="63"/>
  <c r="F122" i="63"/>
  <c r="X122" i="63"/>
  <c r="W122" i="65" s="1"/>
  <c r="L122" i="63"/>
  <c r="AG122" i="63"/>
  <c r="AL122" i="63"/>
  <c r="Y122" i="63"/>
  <c r="AB122" i="63"/>
  <c r="AW122" i="63"/>
  <c r="G122" i="63"/>
  <c r="Z122" i="63"/>
  <c r="AR122" i="63"/>
  <c r="B122" i="63"/>
  <c r="B122" i="65" s="1"/>
  <c r="W122" i="63"/>
  <c r="M122" i="63"/>
  <c r="R122" i="63"/>
  <c r="AM122" i="63"/>
  <c r="A123" i="63"/>
  <c r="AC122" i="63"/>
  <c r="AH122" i="63"/>
  <c r="AI122" i="63"/>
  <c r="AS122" i="63"/>
  <c r="AX122" i="63"/>
  <c r="AN122" i="63"/>
  <c r="N122" i="63"/>
  <c r="D122" i="63"/>
  <c r="AO122" i="63"/>
  <c r="AD122" i="63"/>
  <c r="T122" i="63"/>
  <c r="P122" i="65" s="1"/>
  <c r="AP122" i="63"/>
  <c r="AT122" i="63"/>
  <c r="O122" i="63"/>
  <c r="AE122" i="63"/>
  <c r="AU122" i="63"/>
  <c r="Q122" i="63"/>
  <c r="R122" i="65" s="1"/>
  <c r="AJ122" i="63"/>
  <c r="E122" i="63"/>
  <c r="U122" i="63"/>
  <c r="O122" i="65" s="1"/>
  <c r="V122" i="63"/>
  <c r="Y122" i="65" s="1"/>
  <c r="AQ122" i="63"/>
  <c r="AY122" i="63"/>
  <c r="H122" i="63"/>
  <c r="I122" i="63"/>
  <c r="J122" i="63"/>
  <c r="N122" i="65" s="1"/>
  <c r="Y121" i="65"/>
  <c r="N121" i="65"/>
  <c r="T123" i="81"/>
  <c r="G123" i="81"/>
  <c r="Q123" i="81"/>
  <c r="I123" i="81"/>
  <c r="S123" i="81"/>
  <c r="K123" i="81"/>
  <c r="M123" i="81"/>
  <c r="N123" i="81"/>
  <c r="O123" i="81"/>
  <c r="U123" i="81"/>
  <c r="F123" i="81"/>
  <c r="E123" i="81"/>
  <c r="A124" i="81"/>
  <c r="B123" i="81"/>
  <c r="R123" i="81"/>
  <c r="P123" i="81"/>
  <c r="H123" i="81"/>
  <c r="C123" i="81"/>
  <c r="D123" i="81"/>
  <c r="J123" i="81"/>
  <c r="L123" i="81"/>
  <c r="M121" i="65"/>
  <c r="S121" i="65"/>
  <c r="S122" i="65" l="1"/>
  <c r="U122" i="65"/>
  <c r="M122" i="65"/>
  <c r="AQ123" i="63"/>
  <c r="B123" i="63"/>
  <c r="B123" i="65" s="1"/>
  <c r="F123" i="63"/>
  <c r="L123" i="63"/>
  <c r="R123" i="63"/>
  <c r="G123" i="63"/>
  <c r="AB123" i="63"/>
  <c r="AH123" i="63"/>
  <c r="H123" i="63"/>
  <c r="M123" i="63"/>
  <c r="C123" i="63"/>
  <c r="X123" i="65" s="1"/>
  <c r="W123" i="63"/>
  <c r="AC123" i="63"/>
  <c r="S123" i="63"/>
  <c r="X123" i="63"/>
  <c r="W123" i="65" s="1"/>
  <c r="AS123" i="63"/>
  <c r="AI123" i="63"/>
  <c r="N123" i="63"/>
  <c r="AY123" i="63"/>
  <c r="AG123" i="63"/>
  <c r="I123" i="63"/>
  <c r="AD123" i="63"/>
  <c r="D123" i="63"/>
  <c r="AL123" i="63"/>
  <c r="Y123" i="63"/>
  <c r="AT123" i="63"/>
  <c r="T123" i="63"/>
  <c r="P123" i="65" s="1"/>
  <c r="AM123" i="63"/>
  <c r="AO123" i="63"/>
  <c r="O123" i="63"/>
  <c r="AJ123" i="63"/>
  <c r="AN123" i="63"/>
  <c r="J123" i="63"/>
  <c r="AE123" i="63"/>
  <c r="E123" i="63"/>
  <c r="Q123" i="63"/>
  <c r="R123" i="65" s="1"/>
  <c r="AP123" i="63"/>
  <c r="A124" i="63"/>
  <c r="K123" i="63"/>
  <c r="AA123" i="63"/>
  <c r="AR123" i="63"/>
  <c r="AU123" i="63"/>
  <c r="P123" i="63"/>
  <c r="AF123" i="63"/>
  <c r="AV123" i="63"/>
  <c r="AX123" i="63"/>
  <c r="U123" i="63"/>
  <c r="O123" i="65" s="1"/>
  <c r="AK123" i="63"/>
  <c r="AW123" i="63"/>
  <c r="V123" i="63"/>
  <c r="Z123" i="63"/>
  <c r="P124" i="81"/>
  <c r="Q124" i="81"/>
  <c r="I124" i="81"/>
  <c r="A125" i="81"/>
  <c r="M124" i="81"/>
  <c r="T124" i="81"/>
  <c r="U124" i="81"/>
  <c r="B124" i="81"/>
  <c r="C124" i="81"/>
  <c r="E124" i="81"/>
  <c r="F124" i="81"/>
  <c r="H124" i="81"/>
  <c r="S124" i="81"/>
  <c r="L124" i="81"/>
  <c r="R124" i="81"/>
  <c r="D124" i="81"/>
  <c r="K124" i="81"/>
  <c r="N124" i="81"/>
  <c r="G124" i="81"/>
  <c r="O124" i="81"/>
  <c r="J124" i="81"/>
  <c r="H122" i="65"/>
  <c r="M123" i="65" l="1"/>
  <c r="H123" i="65"/>
  <c r="W124" i="63"/>
  <c r="AB124" i="63"/>
  <c r="AH124" i="63"/>
  <c r="AJ124" i="63"/>
  <c r="AM124" i="63"/>
  <c r="AR124" i="63"/>
  <c r="AX124" i="63"/>
  <c r="AK124" i="63"/>
  <c r="H124" i="63"/>
  <c r="M124" i="63"/>
  <c r="C124" i="63"/>
  <c r="X124" i="65" s="1"/>
  <c r="AL124" i="63"/>
  <c r="AS124" i="63"/>
  <c r="AI124" i="63"/>
  <c r="AE124" i="63"/>
  <c r="AN124" i="63"/>
  <c r="N124" i="63"/>
  <c r="AY124" i="63"/>
  <c r="I124" i="63"/>
  <c r="AD124" i="63"/>
  <c r="D124" i="63"/>
  <c r="A125" i="63"/>
  <c r="Y124" i="63"/>
  <c r="AT124" i="63"/>
  <c r="E124" i="63"/>
  <c r="AO124" i="63"/>
  <c r="P124" i="63"/>
  <c r="F124" i="63"/>
  <c r="J124" i="63"/>
  <c r="AF124" i="63"/>
  <c r="O124" i="63"/>
  <c r="Z124" i="63"/>
  <c r="AV124" i="63"/>
  <c r="T124" i="63"/>
  <c r="P124" i="65" s="1"/>
  <c r="AP124" i="63"/>
  <c r="Q124" i="63"/>
  <c r="R124" i="65" s="1"/>
  <c r="G124" i="63"/>
  <c r="AU124" i="63"/>
  <c r="X124" i="63"/>
  <c r="W124" i="65" s="1"/>
  <c r="K124" i="63"/>
  <c r="AA124" i="63"/>
  <c r="AQ124" i="63"/>
  <c r="L124" i="63"/>
  <c r="AC124" i="63"/>
  <c r="AG124" i="63"/>
  <c r="AW124" i="63"/>
  <c r="B124" i="63"/>
  <c r="B124" i="65" s="1"/>
  <c r="R124" i="63"/>
  <c r="S124" i="65" s="1"/>
  <c r="S124" i="63"/>
  <c r="U124" i="63"/>
  <c r="O124" i="65" s="1"/>
  <c r="V124" i="63"/>
  <c r="Y124" i="65" s="1"/>
  <c r="S123" i="65"/>
  <c r="D125" i="81"/>
  <c r="E125" i="81"/>
  <c r="U125" i="81"/>
  <c r="B125" i="81"/>
  <c r="C125" i="81"/>
  <c r="J125" i="81"/>
  <c r="A126" i="81"/>
  <c r="P125" i="81"/>
  <c r="G125" i="81"/>
  <c r="H125" i="81"/>
  <c r="I125" i="81"/>
  <c r="N125" i="81"/>
  <c r="O125" i="81"/>
  <c r="T125" i="81"/>
  <c r="F125" i="81"/>
  <c r="K125" i="81"/>
  <c r="L125" i="81"/>
  <c r="S125" i="81"/>
  <c r="M125" i="81"/>
  <c r="Q125" i="81"/>
  <c r="R125" i="81"/>
  <c r="U123" i="65"/>
  <c r="Y123" i="65"/>
  <c r="N123" i="65"/>
  <c r="M124" i="65" l="1"/>
  <c r="N124" i="65"/>
  <c r="U124" i="65"/>
  <c r="G126" i="81"/>
  <c r="J126" i="81"/>
  <c r="L126" i="81"/>
  <c r="M126" i="81"/>
  <c r="T126" i="81"/>
  <c r="D126" i="81"/>
  <c r="E126" i="81"/>
  <c r="K126" i="81"/>
  <c r="N126" i="81"/>
  <c r="O126" i="81"/>
  <c r="A127" i="81"/>
  <c r="C126" i="81"/>
  <c r="H126" i="81"/>
  <c r="U126" i="81"/>
  <c r="B126" i="81"/>
  <c r="P126" i="81"/>
  <c r="F126" i="81"/>
  <c r="R126" i="81"/>
  <c r="Q126" i="81"/>
  <c r="S126" i="81"/>
  <c r="I126" i="81"/>
  <c r="H125" i="63"/>
  <c r="N125" i="63"/>
  <c r="X125" i="63"/>
  <c r="W125" i="65" s="1"/>
  <c r="AD125" i="63"/>
  <c r="AC125" i="63"/>
  <c r="AT125" i="63"/>
  <c r="AH125" i="63"/>
  <c r="I125" i="63"/>
  <c r="AE125" i="63"/>
  <c r="AJ125" i="63"/>
  <c r="Y125" i="63"/>
  <c r="AU125" i="63"/>
  <c r="AX125" i="63"/>
  <c r="AO125" i="63"/>
  <c r="P125" i="63"/>
  <c r="AY125" i="63"/>
  <c r="E125" i="63"/>
  <c r="J125" i="63"/>
  <c r="AF125" i="63"/>
  <c r="AS125" i="63"/>
  <c r="U125" i="63"/>
  <c r="O125" i="65" s="1"/>
  <c r="Z125" i="63"/>
  <c r="AV125" i="63"/>
  <c r="B125" i="63"/>
  <c r="B125" i="65" s="1"/>
  <c r="AK125" i="63"/>
  <c r="AP125" i="63"/>
  <c r="Q125" i="63"/>
  <c r="R125" i="65" s="1"/>
  <c r="C125" i="63"/>
  <c r="X125" i="65" s="1"/>
  <c r="F125" i="63"/>
  <c r="K125" i="63"/>
  <c r="AG125" i="63"/>
  <c r="D125" i="63"/>
  <c r="V125" i="63"/>
  <c r="AA125" i="63"/>
  <c r="AW125" i="63"/>
  <c r="AI125" i="63"/>
  <c r="A126" i="63"/>
  <c r="AL125" i="63"/>
  <c r="G125" i="63"/>
  <c r="W125" i="63"/>
  <c r="AM125" i="63"/>
  <c r="AN125" i="63"/>
  <c r="AQ125" i="63"/>
  <c r="L125" i="63"/>
  <c r="AB125" i="63"/>
  <c r="S125" i="63"/>
  <c r="T125" i="63"/>
  <c r="P125" i="65" s="1"/>
  <c r="R125" i="63"/>
  <c r="S125" i="65" s="1"/>
  <c r="AR125" i="63"/>
  <c r="O125" i="63"/>
  <c r="M125" i="63"/>
  <c r="H124" i="65"/>
  <c r="N125" i="65" l="1"/>
  <c r="Y125" i="65"/>
  <c r="C127" i="81"/>
  <c r="G127" i="81"/>
  <c r="K127" i="81"/>
  <c r="L127" i="81"/>
  <c r="B127" i="81"/>
  <c r="S127" i="81"/>
  <c r="J127" i="81"/>
  <c r="M127" i="81"/>
  <c r="N127" i="81"/>
  <c r="T127" i="81"/>
  <c r="A128" i="81"/>
  <c r="Q127" i="81"/>
  <c r="E127" i="81"/>
  <c r="O127" i="81"/>
  <c r="F127" i="81"/>
  <c r="U127" i="81"/>
  <c r="I127" i="81"/>
  <c r="P127" i="81"/>
  <c r="R127" i="81"/>
  <c r="D127" i="81"/>
  <c r="H127" i="81"/>
  <c r="H125" i="65"/>
  <c r="AY126" i="63"/>
  <c r="X126" i="63"/>
  <c r="W126" i="65" s="1"/>
  <c r="AT126" i="63"/>
  <c r="R126" i="63"/>
  <c r="D126" i="63"/>
  <c r="AN126" i="63"/>
  <c r="O126" i="63"/>
  <c r="T126" i="63"/>
  <c r="P126" i="65" s="1"/>
  <c r="I126" i="63"/>
  <c r="AE126" i="63"/>
  <c r="AJ126" i="63"/>
  <c r="AO126" i="63"/>
  <c r="AA126" i="63"/>
  <c r="E126" i="63"/>
  <c r="J126" i="63"/>
  <c r="AF126" i="63"/>
  <c r="U126" i="63"/>
  <c r="O126" i="65" s="1"/>
  <c r="Z126" i="63"/>
  <c r="AG126" i="63"/>
  <c r="AP126" i="63"/>
  <c r="AH126" i="63"/>
  <c r="AK126" i="63"/>
  <c r="L126" i="63"/>
  <c r="AQ126" i="63"/>
  <c r="F126" i="63"/>
  <c r="AB126" i="63"/>
  <c r="AV126" i="63"/>
  <c r="V126" i="63"/>
  <c r="AR126" i="63"/>
  <c r="AW126" i="63"/>
  <c r="AL126" i="63"/>
  <c r="M126" i="63"/>
  <c r="AX126" i="63"/>
  <c r="B126" i="63"/>
  <c r="B126" i="65" s="1"/>
  <c r="K126" i="63"/>
  <c r="C126" i="63"/>
  <c r="X126" i="65" s="1"/>
  <c r="P126" i="63"/>
  <c r="S126" i="63"/>
  <c r="Q126" i="63"/>
  <c r="R126" i="65" s="1"/>
  <c r="AI126" i="63"/>
  <c r="A127" i="63"/>
  <c r="G126" i="63"/>
  <c r="W126" i="63"/>
  <c r="AM126" i="63"/>
  <c r="H126" i="63"/>
  <c r="Y126" i="63"/>
  <c r="AC126" i="63"/>
  <c r="AS126" i="63"/>
  <c r="N126" i="63"/>
  <c r="AD126" i="63"/>
  <c r="AU126" i="63"/>
  <c r="M125" i="65"/>
  <c r="U125" i="65"/>
  <c r="Y126" i="65" l="1"/>
  <c r="S126" i="65"/>
  <c r="O128" i="81"/>
  <c r="M128" i="81"/>
  <c r="B128" i="81"/>
  <c r="P128" i="81"/>
  <c r="H128" i="81"/>
  <c r="I128" i="81"/>
  <c r="Q128" i="81"/>
  <c r="G128" i="81"/>
  <c r="J128" i="81"/>
  <c r="K128" i="81"/>
  <c r="N128" i="81"/>
  <c r="C128" i="81"/>
  <c r="T128" i="81"/>
  <c r="R128" i="81"/>
  <c r="U128" i="81"/>
  <c r="A129" i="81"/>
  <c r="L128" i="81"/>
  <c r="S128" i="81"/>
  <c r="D128" i="81"/>
  <c r="F128" i="81"/>
  <c r="E128" i="81"/>
  <c r="U126" i="65"/>
  <c r="N126" i="65"/>
  <c r="T127" i="63"/>
  <c r="P127" i="65" s="1"/>
  <c r="AN127" i="63"/>
  <c r="AV127" i="63"/>
  <c r="J127" i="63"/>
  <c r="N127" i="63"/>
  <c r="Q127" i="63"/>
  <c r="R127" i="65" s="1"/>
  <c r="U127" i="63"/>
  <c r="O127" i="65" s="1"/>
  <c r="K127" i="63"/>
  <c r="Y127" i="63"/>
  <c r="AG127" i="63"/>
  <c r="AA127" i="63"/>
  <c r="I127" i="63"/>
  <c r="AW127" i="63"/>
  <c r="AK127" i="63"/>
  <c r="AQ127" i="63"/>
  <c r="AD127" i="63"/>
  <c r="B127" i="63"/>
  <c r="B127" i="65" s="1"/>
  <c r="F127" i="63"/>
  <c r="L127" i="63"/>
  <c r="AE127" i="63"/>
  <c r="R127" i="63"/>
  <c r="V127" i="63"/>
  <c r="AB127" i="63"/>
  <c r="AF127" i="63"/>
  <c r="AH127" i="63"/>
  <c r="AL127" i="63"/>
  <c r="AR127" i="63"/>
  <c r="AX127" i="63"/>
  <c r="G127" i="63"/>
  <c r="M127" i="63"/>
  <c r="A128" i="63"/>
  <c r="C127" i="63"/>
  <c r="X127" i="65" s="1"/>
  <c r="W127" i="63"/>
  <c r="AC127" i="63"/>
  <c r="AP127" i="63"/>
  <c r="AS127" i="63"/>
  <c r="AO127" i="63"/>
  <c r="AT127" i="63"/>
  <c r="AU127" i="63"/>
  <c r="S127" i="63"/>
  <c r="O127" i="63"/>
  <c r="AI127" i="63"/>
  <c r="P127" i="63"/>
  <c r="AY127" i="63"/>
  <c r="D127" i="63"/>
  <c r="AJ127" i="63"/>
  <c r="E127" i="63"/>
  <c r="AM127" i="63"/>
  <c r="H127" i="63"/>
  <c r="M127" i="65" s="1"/>
  <c r="X127" i="63"/>
  <c r="W127" i="65" s="1"/>
  <c r="Z127" i="63"/>
  <c r="M126" i="65"/>
  <c r="H126" i="65"/>
  <c r="Y127" i="65" l="1"/>
  <c r="H129" i="81"/>
  <c r="N129" i="81"/>
  <c r="F129" i="81"/>
  <c r="G129" i="81"/>
  <c r="C129" i="81"/>
  <c r="S129" i="81"/>
  <c r="T129" i="81"/>
  <c r="U129" i="81"/>
  <c r="J129" i="81"/>
  <c r="I129" i="81"/>
  <c r="L129" i="81"/>
  <c r="D129" i="81"/>
  <c r="E129" i="81"/>
  <c r="Q129" i="81"/>
  <c r="K129" i="81"/>
  <c r="M129" i="81"/>
  <c r="R129" i="81"/>
  <c r="A130" i="81"/>
  <c r="B129" i="81"/>
  <c r="O129" i="81"/>
  <c r="P129" i="81"/>
  <c r="N127" i="65"/>
  <c r="U127" i="65"/>
  <c r="AV128" i="63"/>
  <c r="U128" i="63"/>
  <c r="O128" i="65" s="1"/>
  <c r="Z128" i="63"/>
  <c r="Q128" i="63"/>
  <c r="R128" i="65" s="1"/>
  <c r="AP128" i="63"/>
  <c r="B128" i="63"/>
  <c r="B128" i="65" s="1"/>
  <c r="V128" i="63"/>
  <c r="AQ128" i="63"/>
  <c r="R128" i="63"/>
  <c r="W128" i="63"/>
  <c r="G128" i="63"/>
  <c r="AH128" i="63"/>
  <c r="L128" i="63"/>
  <c r="AX128" i="63"/>
  <c r="AL128" i="63"/>
  <c r="M128" i="63"/>
  <c r="C128" i="63"/>
  <c r="X128" i="65" s="1"/>
  <c r="H128" i="63"/>
  <c r="M128" i="65" s="1"/>
  <c r="N128" i="63"/>
  <c r="S128" i="63"/>
  <c r="X128" i="63"/>
  <c r="W128" i="65" s="1"/>
  <c r="AB128" i="63"/>
  <c r="AI128" i="63"/>
  <c r="AC128" i="63"/>
  <c r="O128" i="63"/>
  <c r="AY128" i="63"/>
  <c r="AN128" i="63"/>
  <c r="AD128" i="63"/>
  <c r="E128" i="63"/>
  <c r="AK128" i="63"/>
  <c r="F128" i="63"/>
  <c r="I128" i="63"/>
  <c r="Y128" i="63"/>
  <c r="AO128" i="63"/>
  <c r="J128" i="63"/>
  <c r="AE128" i="63"/>
  <c r="K128" i="63"/>
  <c r="AU128" i="63"/>
  <c r="AA128" i="63"/>
  <c r="P128" i="63"/>
  <c r="AM128" i="63"/>
  <c r="AW128" i="63"/>
  <c r="D128" i="63"/>
  <c r="T128" i="63"/>
  <c r="P128" i="65" s="1"/>
  <c r="AJ128" i="63"/>
  <c r="AR128" i="63"/>
  <c r="AS128" i="63"/>
  <c r="AT128" i="63"/>
  <c r="A129" i="63"/>
  <c r="AG128" i="63"/>
  <c r="AF128" i="63"/>
  <c r="H127" i="65"/>
  <c r="S127" i="65"/>
  <c r="Y128" i="65" l="1"/>
  <c r="S128" i="65"/>
  <c r="U128" i="65"/>
  <c r="AG129" i="63"/>
  <c r="AL129" i="63"/>
  <c r="Z129" i="63"/>
  <c r="AW129" i="63"/>
  <c r="G129" i="63"/>
  <c r="AA129" i="63"/>
  <c r="AC129" i="63"/>
  <c r="AH129" i="63"/>
  <c r="H129" i="63"/>
  <c r="AQ129" i="63"/>
  <c r="AS129" i="63"/>
  <c r="AX129" i="63"/>
  <c r="X129" i="63"/>
  <c r="W129" i="65" s="1"/>
  <c r="AR129" i="63"/>
  <c r="N129" i="63"/>
  <c r="C129" i="63"/>
  <c r="X129" i="65" s="1"/>
  <c r="AN129" i="63"/>
  <c r="AK129" i="63"/>
  <c r="AD129" i="63"/>
  <c r="S129" i="63"/>
  <c r="I129" i="63"/>
  <c r="AT129" i="63"/>
  <c r="AI129" i="63"/>
  <c r="Y129" i="63"/>
  <c r="A130" i="63"/>
  <c r="O129" i="63"/>
  <c r="AY129" i="63"/>
  <c r="AO129" i="63"/>
  <c r="AE129" i="63"/>
  <c r="D129" i="63"/>
  <c r="E129" i="63"/>
  <c r="AU129" i="63"/>
  <c r="T129" i="63"/>
  <c r="P129" i="65" s="1"/>
  <c r="J129" i="63"/>
  <c r="AF129" i="63"/>
  <c r="AP129" i="63"/>
  <c r="AV129" i="63"/>
  <c r="Q129" i="63"/>
  <c r="R129" i="65" s="1"/>
  <c r="B129" i="63"/>
  <c r="B129" i="65" s="1"/>
  <c r="R129" i="63"/>
  <c r="AJ129" i="63"/>
  <c r="F129" i="63"/>
  <c r="V129" i="63"/>
  <c r="W129" i="63"/>
  <c r="M129" i="63"/>
  <c r="P129" i="63"/>
  <c r="AM129" i="63"/>
  <c r="AB129" i="63"/>
  <c r="L129" i="63"/>
  <c r="U129" i="63"/>
  <c r="O129" i="65" s="1"/>
  <c r="K129" i="63"/>
  <c r="N128" i="65"/>
  <c r="H128" i="65"/>
  <c r="K130" i="81"/>
  <c r="O130" i="81"/>
  <c r="N130" i="81"/>
  <c r="E130" i="81"/>
  <c r="R130" i="81"/>
  <c r="C130" i="81"/>
  <c r="D130" i="81"/>
  <c r="L130" i="81"/>
  <c r="F130" i="81"/>
  <c r="G130" i="81"/>
  <c r="I130" i="81"/>
  <c r="J130" i="81"/>
  <c r="P130" i="81"/>
  <c r="Q130" i="81"/>
  <c r="B130" i="81"/>
  <c r="A131" i="81"/>
  <c r="M130" i="81"/>
  <c r="H130" i="81"/>
  <c r="S130" i="81"/>
  <c r="U130" i="81"/>
  <c r="T130" i="81"/>
  <c r="S129" i="65" l="1"/>
  <c r="M129" i="65"/>
  <c r="H129" i="65"/>
  <c r="Y129" i="65"/>
  <c r="AC130" i="63"/>
  <c r="AH130" i="63"/>
  <c r="S130" i="63"/>
  <c r="A131" i="63"/>
  <c r="AS130" i="63"/>
  <c r="AX130" i="63"/>
  <c r="X130" i="63"/>
  <c r="W130" i="65" s="1"/>
  <c r="AT130" i="63"/>
  <c r="Z130" i="63"/>
  <c r="O130" i="63"/>
  <c r="AJ130" i="63"/>
  <c r="AI130" i="63"/>
  <c r="AE130" i="63"/>
  <c r="E130" i="63"/>
  <c r="AN130" i="63"/>
  <c r="AU130" i="63"/>
  <c r="U130" i="63"/>
  <c r="O130" i="65" s="1"/>
  <c r="AO130" i="63"/>
  <c r="P130" i="63"/>
  <c r="AP130" i="63"/>
  <c r="K130" i="63"/>
  <c r="AF130" i="63"/>
  <c r="AK130" i="63"/>
  <c r="C130" i="63"/>
  <c r="X130" i="65" s="1"/>
  <c r="AA130" i="63"/>
  <c r="AV130" i="63"/>
  <c r="F130" i="63"/>
  <c r="AY130" i="63"/>
  <c r="AQ130" i="63"/>
  <c r="Q130" i="63"/>
  <c r="R130" i="65" s="1"/>
  <c r="V130" i="63"/>
  <c r="H130" i="63"/>
  <c r="AM130" i="63"/>
  <c r="L130" i="63"/>
  <c r="AB130" i="63"/>
  <c r="Y130" i="63"/>
  <c r="AR130" i="63"/>
  <c r="I130" i="63"/>
  <c r="M130" i="63"/>
  <c r="J130" i="63"/>
  <c r="N130" i="63"/>
  <c r="AD130" i="63"/>
  <c r="AG130" i="63"/>
  <c r="AW130" i="63"/>
  <c r="B130" i="63"/>
  <c r="B130" i="65" s="1"/>
  <c r="R130" i="63"/>
  <c r="D130" i="63"/>
  <c r="T130" i="63"/>
  <c r="P130" i="65" s="1"/>
  <c r="AL130" i="63"/>
  <c r="G130" i="63"/>
  <c r="W130" i="63"/>
  <c r="F131" i="81"/>
  <c r="U131" i="81"/>
  <c r="J131" i="81"/>
  <c r="A132" i="81"/>
  <c r="D131" i="81"/>
  <c r="T131" i="81"/>
  <c r="O131" i="81"/>
  <c r="R131" i="81"/>
  <c r="S131" i="81"/>
  <c r="B131" i="81"/>
  <c r="I131" i="81"/>
  <c r="K131" i="81"/>
  <c r="E131" i="81"/>
  <c r="G131" i="81"/>
  <c r="C131" i="81"/>
  <c r="H131" i="81"/>
  <c r="M131" i="81"/>
  <c r="Q131" i="81"/>
  <c r="L131" i="81"/>
  <c r="N131" i="81"/>
  <c r="P131" i="81"/>
  <c r="N129" i="65"/>
  <c r="U129" i="65"/>
  <c r="S130" i="65" l="1"/>
  <c r="N130" i="65"/>
  <c r="H130" i="65"/>
  <c r="Y130" i="65"/>
  <c r="N131" i="63"/>
  <c r="T131" i="63"/>
  <c r="P131" i="65" s="1"/>
  <c r="Q131" i="63"/>
  <c r="R131" i="65" s="1"/>
  <c r="I131" i="63"/>
  <c r="AD131" i="63"/>
  <c r="V131" i="63"/>
  <c r="J131" i="63"/>
  <c r="AE131" i="63"/>
  <c r="U131" i="63"/>
  <c r="O131" i="65" s="1"/>
  <c r="X131" i="63"/>
  <c r="W131" i="65" s="1"/>
  <c r="Z131" i="63"/>
  <c r="P131" i="63"/>
  <c r="AK131" i="63"/>
  <c r="AP131" i="63"/>
  <c r="AF131" i="63"/>
  <c r="AG131" i="63"/>
  <c r="K131" i="63"/>
  <c r="AV131" i="63"/>
  <c r="AL131" i="63"/>
  <c r="A132" i="63"/>
  <c r="AA131" i="63"/>
  <c r="B131" i="63"/>
  <c r="B131" i="65" s="1"/>
  <c r="AM131" i="63"/>
  <c r="AQ131" i="63"/>
  <c r="R131" i="63"/>
  <c r="AN131" i="63"/>
  <c r="L131" i="63"/>
  <c r="AH131" i="63"/>
  <c r="AU131" i="63"/>
  <c r="AB131" i="63"/>
  <c r="AX131" i="63"/>
  <c r="AW131" i="63"/>
  <c r="S131" i="63"/>
  <c r="AI131" i="63"/>
  <c r="D131" i="63"/>
  <c r="AJ131" i="63"/>
  <c r="E131" i="63"/>
  <c r="AY131" i="63"/>
  <c r="F131" i="63"/>
  <c r="Y131" i="63"/>
  <c r="G131" i="63"/>
  <c r="AO131" i="63"/>
  <c r="H131" i="63"/>
  <c r="M131" i="65" s="1"/>
  <c r="AR131" i="63"/>
  <c r="W131" i="63"/>
  <c r="M131" i="63"/>
  <c r="AC131" i="63"/>
  <c r="AS131" i="63"/>
  <c r="AT131" i="63"/>
  <c r="O131" i="63"/>
  <c r="C131" i="63"/>
  <c r="X131" i="65" s="1"/>
  <c r="U130" i="65"/>
  <c r="O132" i="81"/>
  <c r="Q132" i="81"/>
  <c r="P132" i="81"/>
  <c r="C132" i="81"/>
  <c r="B132" i="81"/>
  <c r="U132" i="81"/>
  <c r="J132" i="81"/>
  <c r="R132" i="81"/>
  <c r="I132" i="81"/>
  <c r="N132" i="81"/>
  <c r="D132" i="81"/>
  <c r="H132" i="81"/>
  <c r="K132" i="81"/>
  <c r="T132" i="81"/>
  <c r="A133" i="81"/>
  <c r="F132" i="81"/>
  <c r="E132" i="81"/>
  <c r="G132" i="81"/>
  <c r="M132" i="81"/>
  <c r="L132" i="81"/>
  <c r="S132" i="81"/>
  <c r="M130" i="65"/>
  <c r="N131" i="65" l="1"/>
  <c r="S131" i="65"/>
  <c r="U131" i="65"/>
  <c r="Y131" i="65"/>
  <c r="Y132" i="63"/>
  <c r="AV132" i="63"/>
  <c r="AS132" i="63"/>
  <c r="AO132" i="63"/>
  <c r="B132" i="63"/>
  <c r="B132" i="65" s="1"/>
  <c r="F132" i="63"/>
  <c r="AP132" i="63"/>
  <c r="AX132" i="63"/>
  <c r="AW132" i="63"/>
  <c r="K132" i="63"/>
  <c r="U132" i="63"/>
  <c r="O132" i="65" s="1"/>
  <c r="O132" i="63"/>
  <c r="AA132" i="63"/>
  <c r="AY132" i="63"/>
  <c r="AQ132" i="63"/>
  <c r="V132" i="63"/>
  <c r="D132" i="63"/>
  <c r="G132" i="63"/>
  <c r="L132" i="63"/>
  <c r="AC132" i="63"/>
  <c r="Q132" i="63"/>
  <c r="R132" i="65" s="1"/>
  <c r="W132" i="63"/>
  <c r="AB132" i="63"/>
  <c r="AE132" i="63"/>
  <c r="S132" i="63"/>
  <c r="AM132" i="63"/>
  <c r="AR132" i="63"/>
  <c r="AG132" i="63"/>
  <c r="T132" i="63"/>
  <c r="P132" i="65" s="1"/>
  <c r="H132" i="63"/>
  <c r="N132" i="63"/>
  <c r="AI132" i="63"/>
  <c r="AL132" i="63"/>
  <c r="Z132" i="63"/>
  <c r="AD132" i="63"/>
  <c r="AT132" i="63"/>
  <c r="P132" i="63"/>
  <c r="AF132" i="63"/>
  <c r="R132" i="63"/>
  <c r="AH132" i="63"/>
  <c r="AJ132" i="63"/>
  <c r="C132" i="63"/>
  <c r="X132" i="65" s="1"/>
  <c r="AK132" i="63"/>
  <c r="I132" i="63"/>
  <c r="J132" i="63"/>
  <c r="E132" i="63"/>
  <c r="AU132" i="63"/>
  <c r="M132" i="63"/>
  <c r="A133" i="63"/>
  <c r="AN132" i="63"/>
  <c r="X132" i="63"/>
  <c r="W132" i="65" s="1"/>
  <c r="H131" i="65"/>
  <c r="K133" i="81"/>
  <c r="M133" i="81"/>
  <c r="U133" i="81"/>
  <c r="F133" i="81"/>
  <c r="B133" i="81"/>
  <c r="A134" i="81"/>
  <c r="L133" i="81"/>
  <c r="N133" i="81"/>
  <c r="R133" i="81"/>
  <c r="I133" i="81"/>
  <c r="O133" i="81"/>
  <c r="G133" i="81"/>
  <c r="Q133" i="81"/>
  <c r="S133" i="81"/>
  <c r="H133" i="81"/>
  <c r="P133" i="81"/>
  <c r="T133" i="81"/>
  <c r="E133" i="81"/>
  <c r="J133" i="81"/>
  <c r="C133" i="81"/>
  <c r="D133" i="81"/>
  <c r="N132" i="65" l="1"/>
  <c r="S132" i="65"/>
  <c r="M132" i="65"/>
  <c r="I134" i="81"/>
  <c r="A135" i="81"/>
  <c r="O134" i="81"/>
  <c r="U134" i="81"/>
  <c r="B134" i="81"/>
  <c r="E134" i="81"/>
  <c r="J134" i="81"/>
  <c r="N134" i="81"/>
  <c r="G134" i="81"/>
  <c r="P134" i="81"/>
  <c r="Q134" i="81"/>
  <c r="R134" i="81"/>
  <c r="C134" i="81"/>
  <c r="L134" i="81"/>
  <c r="H134" i="81"/>
  <c r="M134" i="81"/>
  <c r="S134" i="81"/>
  <c r="T134" i="81"/>
  <c r="K134" i="81"/>
  <c r="D134" i="81"/>
  <c r="F134" i="81"/>
  <c r="U132" i="65"/>
  <c r="AK133" i="63"/>
  <c r="AP133" i="63"/>
  <c r="Q133" i="63"/>
  <c r="R133" i="65" s="1"/>
  <c r="AQ133" i="63"/>
  <c r="F133" i="63"/>
  <c r="L133" i="63"/>
  <c r="AY133" i="63"/>
  <c r="AS133" i="63"/>
  <c r="G133" i="63"/>
  <c r="N133" i="63"/>
  <c r="T133" i="63"/>
  <c r="P133" i="65" s="1"/>
  <c r="A134" i="63"/>
  <c r="W133" i="63"/>
  <c r="AD133" i="63"/>
  <c r="AM133" i="63"/>
  <c r="AT133" i="63"/>
  <c r="AA133" i="63"/>
  <c r="H133" i="63"/>
  <c r="P133" i="63"/>
  <c r="AE133" i="63"/>
  <c r="X133" i="63"/>
  <c r="W133" i="65" s="1"/>
  <c r="AF133" i="63"/>
  <c r="AG133" i="63"/>
  <c r="AV133" i="63"/>
  <c r="AH133" i="63"/>
  <c r="AN133" i="63"/>
  <c r="K133" i="63"/>
  <c r="AI133" i="63"/>
  <c r="I133" i="63"/>
  <c r="AU133" i="63"/>
  <c r="B133" i="63"/>
  <c r="B133" i="65" s="1"/>
  <c r="U133" i="63"/>
  <c r="O133" i="65" s="1"/>
  <c r="D133" i="63"/>
  <c r="V133" i="63"/>
  <c r="Y133" i="65" s="1"/>
  <c r="AC133" i="63"/>
  <c r="AL133" i="63"/>
  <c r="AJ133" i="63"/>
  <c r="Y133" i="63"/>
  <c r="AO133" i="63"/>
  <c r="J133" i="63"/>
  <c r="Z133" i="63"/>
  <c r="AB133" i="63"/>
  <c r="AR133" i="63"/>
  <c r="M133" i="63"/>
  <c r="E133" i="63"/>
  <c r="AW133" i="63"/>
  <c r="O133" i="63"/>
  <c r="AX133" i="63"/>
  <c r="R133" i="63"/>
  <c r="S133" i="63"/>
  <c r="C133" i="63"/>
  <c r="X133" i="65" s="1"/>
  <c r="H132" i="65"/>
  <c r="Y132" i="65"/>
  <c r="M133" i="65" l="1"/>
  <c r="N133" i="65"/>
  <c r="U133" i="65"/>
  <c r="S133" i="65"/>
  <c r="H133" i="65"/>
  <c r="AK134" i="63"/>
  <c r="AB134" i="63"/>
  <c r="AV134" i="63"/>
  <c r="F134" i="63"/>
  <c r="AR134" i="63"/>
  <c r="P134" i="63"/>
  <c r="G134" i="63"/>
  <c r="AT134" i="63"/>
  <c r="R134" i="63"/>
  <c r="C134" i="63"/>
  <c r="X134" i="65" s="1"/>
  <c r="W134" i="63"/>
  <c r="AF134" i="63"/>
  <c r="Y134" i="63"/>
  <c r="S134" i="63"/>
  <c r="AG134" i="63"/>
  <c r="O134" i="63"/>
  <c r="AI134" i="63"/>
  <c r="AM134" i="63"/>
  <c r="AH134" i="63"/>
  <c r="AA134" i="63"/>
  <c r="AY134" i="63"/>
  <c r="H134" i="63"/>
  <c r="AO134" i="63"/>
  <c r="AC134" i="63"/>
  <c r="D134" i="63"/>
  <c r="X134" i="63"/>
  <c r="W134" i="65" s="1"/>
  <c r="B134" i="63"/>
  <c r="B134" i="65" s="1"/>
  <c r="AE134" i="63"/>
  <c r="T134" i="63"/>
  <c r="P134" i="65" s="1"/>
  <c r="AQ134" i="63"/>
  <c r="AW134" i="63"/>
  <c r="AN134" i="63"/>
  <c r="I134" i="63"/>
  <c r="AD134" i="63"/>
  <c r="AS134" i="63"/>
  <c r="K134" i="63"/>
  <c r="AU134" i="63"/>
  <c r="M134" i="63"/>
  <c r="AJ134" i="63"/>
  <c r="AX134" i="63"/>
  <c r="E134" i="63"/>
  <c r="Q134" i="63"/>
  <c r="R134" i="65" s="1"/>
  <c r="U134" i="63"/>
  <c r="O134" i="65" s="1"/>
  <c r="A135" i="63"/>
  <c r="V134" i="63"/>
  <c r="Z134" i="63"/>
  <c r="AP134" i="63"/>
  <c r="L134" i="63"/>
  <c r="N134" i="63"/>
  <c r="J134" i="63"/>
  <c r="AL134" i="63"/>
  <c r="P135" i="81"/>
  <c r="D135" i="81"/>
  <c r="K135" i="81"/>
  <c r="S135" i="81"/>
  <c r="U135" i="81"/>
  <c r="G135" i="81"/>
  <c r="J135" i="81"/>
  <c r="H135" i="81"/>
  <c r="I135" i="81"/>
  <c r="Q135" i="81"/>
  <c r="R135" i="81"/>
  <c r="B135" i="81"/>
  <c r="L135" i="81"/>
  <c r="M135" i="81"/>
  <c r="T135" i="81"/>
  <c r="F135" i="81"/>
  <c r="N135" i="81"/>
  <c r="E135" i="81"/>
  <c r="O135" i="81"/>
  <c r="A136" i="81"/>
  <c r="C135" i="81"/>
  <c r="Y134" i="65" l="1"/>
  <c r="U134" i="65"/>
  <c r="N134" i="65"/>
  <c r="B135" i="63"/>
  <c r="B135" i="65" s="1"/>
  <c r="F135" i="63"/>
  <c r="Z135" i="63"/>
  <c r="AT135" i="63"/>
  <c r="R135" i="63"/>
  <c r="V135" i="63"/>
  <c r="AA135" i="63"/>
  <c r="AE135" i="63"/>
  <c r="C135" i="63"/>
  <c r="X135" i="65" s="1"/>
  <c r="X135" i="63"/>
  <c r="W135" i="65" s="1"/>
  <c r="AF135" i="63"/>
  <c r="S135" i="63"/>
  <c r="G135" i="63"/>
  <c r="AI135" i="63"/>
  <c r="AN135" i="63"/>
  <c r="AM135" i="63"/>
  <c r="AY135" i="63"/>
  <c r="L135" i="63"/>
  <c r="I135" i="63"/>
  <c r="D135" i="63"/>
  <c r="AB135" i="63"/>
  <c r="AO135" i="63"/>
  <c r="T135" i="63"/>
  <c r="P135" i="65" s="1"/>
  <c r="AR135" i="63"/>
  <c r="J135" i="63"/>
  <c r="O135" i="63"/>
  <c r="AP135" i="63"/>
  <c r="AJ135" i="63"/>
  <c r="AU135" i="63"/>
  <c r="K135" i="63"/>
  <c r="AK135" i="63"/>
  <c r="AL135" i="63"/>
  <c r="H135" i="63"/>
  <c r="P135" i="63"/>
  <c r="AV135" i="63"/>
  <c r="W135" i="63"/>
  <c r="Y135" i="63"/>
  <c r="AC135" i="63"/>
  <c r="Q135" i="63"/>
  <c r="R135" i="65" s="1"/>
  <c r="AD135" i="63"/>
  <c r="AG135" i="63"/>
  <c r="M135" i="63"/>
  <c r="AW135" i="63"/>
  <c r="AH135" i="63"/>
  <c r="AX135" i="63"/>
  <c r="E135" i="63"/>
  <c r="U135" i="63"/>
  <c r="O135" i="65" s="1"/>
  <c r="N135" i="63"/>
  <c r="AQ135" i="63"/>
  <c r="AS135" i="63"/>
  <c r="A136" i="63"/>
  <c r="H134" i="65"/>
  <c r="S134" i="65"/>
  <c r="E136" i="81"/>
  <c r="F136" i="81"/>
  <c r="T136" i="81"/>
  <c r="U136" i="81"/>
  <c r="J136" i="81"/>
  <c r="G136" i="81"/>
  <c r="H136" i="81"/>
  <c r="L136" i="81"/>
  <c r="D136" i="81"/>
  <c r="I136" i="81"/>
  <c r="K136" i="81"/>
  <c r="N136" i="81"/>
  <c r="O136" i="81"/>
  <c r="R136" i="81"/>
  <c r="C136" i="81"/>
  <c r="S136" i="81"/>
  <c r="M136" i="81"/>
  <c r="P136" i="81"/>
  <c r="Q136" i="81"/>
  <c r="A137" i="81"/>
  <c r="B136" i="81"/>
  <c r="M134" i="65"/>
  <c r="M135" i="65" l="1"/>
  <c r="Y135" i="65"/>
  <c r="N135" i="65"/>
  <c r="S135" i="65"/>
  <c r="H135" i="65"/>
  <c r="C136" i="63"/>
  <c r="X136" i="65" s="1"/>
  <c r="G136" i="63"/>
  <c r="X136" i="63"/>
  <c r="W136" i="65" s="1"/>
  <c r="S136" i="63"/>
  <c r="AM136" i="63"/>
  <c r="AE136" i="63"/>
  <c r="D136" i="63"/>
  <c r="I136" i="63"/>
  <c r="Y136" i="63"/>
  <c r="AU136" i="63"/>
  <c r="T136" i="63"/>
  <c r="P136" i="65" s="1"/>
  <c r="AO136" i="63"/>
  <c r="AA136" i="63"/>
  <c r="P136" i="63"/>
  <c r="AJ136" i="63"/>
  <c r="K136" i="63"/>
  <c r="AB136" i="63"/>
  <c r="AF136" i="63"/>
  <c r="F136" i="63"/>
  <c r="AP136" i="63"/>
  <c r="AV136" i="63"/>
  <c r="V136" i="63"/>
  <c r="L136" i="63"/>
  <c r="Q136" i="63"/>
  <c r="R136" i="65" s="1"/>
  <c r="AL136" i="63"/>
  <c r="AQ136" i="63"/>
  <c r="A137" i="63"/>
  <c r="AG136" i="63"/>
  <c r="J136" i="63"/>
  <c r="N136" i="63"/>
  <c r="AW136" i="63"/>
  <c r="Z136" i="63"/>
  <c r="AS136" i="63"/>
  <c r="R136" i="63"/>
  <c r="M136" i="63"/>
  <c r="AH136" i="63"/>
  <c r="AX136" i="63"/>
  <c r="AI136" i="63"/>
  <c r="AY136" i="63"/>
  <c r="AC136" i="63"/>
  <c r="AD136" i="63"/>
  <c r="E136" i="63"/>
  <c r="AK136" i="63"/>
  <c r="H136" i="63"/>
  <c r="M136" i="65" s="1"/>
  <c r="AN136" i="63"/>
  <c r="U136" i="63"/>
  <c r="O136" i="65" s="1"/>
  <c r="AT136" i="63"/>
  <c r="W136" i="63"/>
  <c r="AR136" i="63"/>
  <c r="B136" i="63"/>
  <c r="B136" i="65" s="1"/>
  <c r="O136" i="63"/>
  <c r="U137" i="81"/>
  <c r="B137" i="81"/>
  <c r="F137" i="81"/>
  <c r="T137" i="81"/>
  <c r="H137" i="81"/>
  <c r="C137" i="81"/>
  <c r="D137" i="81"/>
  <c r="G137" i="81"/>
  <c r="J137" i="81"/>
  <c r="K137" i="81"/>
  <c r="M137" i="81"/>
  <c r="P137" i="81"/>
  <c r="Q137" i="81"/>
  <c r="N137" i="81"/>
  <c r="E137" i="81"/>
  <c r="I137" i="81"/>
  <c r="O137" i="81"/>
  <c r="R137" i="81"/>
  <c r="A138" i="81"/>
  <c r="S137" i="81"/>
  <c r="L137" i="81"/>
  <c r="U135" i="65"/>
  <c r="Y136" i="65" l="1"/>
  <c r="U136" i="65"/>
  <c r="N136" i="65"/>
  <c r="H136" i="65"/>
  <c r="O137" i="63"/>
  <c r="AJ137" i="63"/>
  <c r="Y137" i="63"/>
  <c r="A138" i="63"/>
  <c r="AE137" i="63"/>
  <c r="I137" i="63"/>
  <c r="Z137" i="63"/>
  <c r="AF137" i="63"/>
  <c r="AN137" i="63"/>
  <c r="E137" i="63"/>
  <c r="AV137" i="63"/>
  <c r="K137" i="63"/>
  <c r="AB137" i="63"/>
  <c r="Q137" i="63"/>
  <c r="R137" i="65" s="1"/>
  <c r="AO137" i="63"/>
  <c r="F137" i="63"/>
  <c r="AG137" i="63"/>
  <c r="L137" i="63"/>
  <c r="G137" i="63"/>
  <c r="AW137" i="63"/>
  <c r="AP137" i="63"/>
  <c r="H137" i="63"/>
  <c r="B137" i="63"/>
  <c r="B137" i="65" s="1"/>
  <c r="S137" i="63"/>
  <c r="X137" i="63"/>
  <c r="W137" i="65" s="1"/>
  <c r="M137" i="63"/>
  <c r="R137" i="63"/>
  <c r="AQ137" i="63"/>
  <c r="AC137" i="63"/>
  <c r="AH137" i="63"/>
  <c r="U137" i="63"/>
  <c r="O137" i="65" s="1"/>
  <c r="AI137" i="63"/>
  <c r="W137" i="63"/>
  <c r="AS137" i="63"/>
  <c r="C137" i="63"/>
  <c r="X137" i="65" s="1"/>
  <c r="N137" i="63"/>
  <c r="AA137" i="63"/>
  <c r="AD137" i="63"/>
  <c r="AK137" i="63"/>
  <c r="AT137" i="63"/>
  <c r="AL137" i="63"/>
  <c r="AU137" i="63"/>
  <c r="P137" i="63"/>
  <c r="AX137" i="63"/>
  <c r="D137" i="63"/>
  <c r="T137" i="63"/>
  <c r="P137" i="65" s="1"/>
  <c r="AM137" i="63"/>
  <c r="J137" i="63"/>
  <c r="AR137" i="63"/>
  <c r="V137" i="63"/>
  <c r="Y137" i="65" s="1"/>
  <c r="AY137" i="63"/>
  <c r="S136" i="65"/>
  <c r="H138" i="81"/>
  <c r="O138" i="81"/>
  <c r="J138" i="81"/>
  <c r="P138" i="81"/>
  <c r="C138" i="81"/>
  <c r="A139" i="81"/>
  <c r="U138" i="81"/>
  <c r="E138" i="81"/>
  <c r="F138" i="81"/>
  <c r="G138" i="81"/>
  <c r="I138" i="81"/>
  <c r="L138" i="81"/>
  <c r="M138" i="81"/>
  <c r="N138" i="81"/>
  <c r="R138" i="81"/>
  <c r="B138" i="81"/>
  <c r="K138" i="81"/>
  <c r="S138" i="81"/>
  <c r="Q138" i="81"/>
  <c r="T138" i="81"/>
  <c r="D138" i="81"/>
  <c r="H137" i="65" l="1"/>
  <c r="S137" i="65"/>
  <c r="M137" i="65"/>
  <c r="J139" i="81"/>
  <c r="K139" i="81"/>
  <c r="P139" i="81"/>
  <c r="D139" i="81"/>
  <c r="Q139" i="81"/>
  <c r="B139" i="81"/>
  <c r="G139" i="81"/>
  <c r="H139" i="81"/>
  <c r="I139" i="81"/>
  <c r="M139" i="81"/>
  <c r="N139" i="81"/>
  <c r="O139" i="81"/>
  <c r="T139" i="81"/>
  <c r="C139" i="81"/>
  <c r="E139" i="81"/>
  <c r="L139" i="81"/>
  <c r="A140" i="81"/>
  <c r="S139" i="81"/>
  <c r="U139" i="81"/>
  <c r="F139" i="81"/>
  <c r="R139" i="81"/>
  <c r="P138" i="63"/>
  <c r="W138" i="63"/>
  <c r="Q138" i="63"/>
  <c r="R138" i="65" s="1"/>
  <c r="K138" i="63"/>
  <c r="AF138" i="63"/>
  <c r="X138" i="63"/>
  <c r="W138" i="65" s="1"/>
  <c r="AG138" i="63"/>
  <c r="L138" i="63"/>
  <c r="R138" i="63"/>
  <c r="C138" i="63"/>
  <c r="X138" i="65" s="1"/>
  <c r="AN138" i="63"/>
  <c r="AB138" i="63"/>
  <c r="AH138" i="63"/>
  <c r="Z138" i="63"/>
  <c r="AO138" i="63"/>
  <c r="AR138" i="63"/>
  <c r="AX138" i="63"/>
  <c r="E138" i="63"/>
  <c r="M138" i="63"/>
  <c r="S138" i="63"/>
  <c r="AI138" i="63"/>
  <c r="A139" i="63"/>
  <c r="AC138" i="63"/>
  <c r="AP138" i="63"/>
  <c r="F138" i="63"/>
  <c r="AS138" i="63"/>
  <c r="T138" i="63"/>
  <c r="P138" i="65" s="1"/>
  <c r="AJ138" i="63"/>
  <c r="N138" i="63"/>
  <c r="G138" i="63"/>
  <c r="AD138" i="63"/>
  <c r="AW138" i="63"/>
  <c r="AK138" i="63"/>
  <c r="AY138" i="63"/>
  <c r="V138" i="63"/>
  <c r="Y138" i="65" s="1"/>
  <c r="Y138" i="63"/>
  <c r="H138" i="63"/>
  <c r="AL138" i="63"/>
  <c r="AA138" i="63"/>
  <c r="I138" i="63"/>
  <c r="AQ138" i="63"/>
  <c r="J138" i="63"/>
  <c r="AT138" i="63"/>
  <c r="D138" i="63"/>
  <c r="B138" i="63"/>
  <c r="B138" i="65" s="1"/>
  <c r="U138" i="63"/>
  <c r="O138" i="65" s="1"/>
  <c r="AM138" i="63"/>
  <c r="AV138" i="63"/>
  <c r="O138" i="63"/>
  <c r="AE138" i="63"/>
  <c r="AU138" i="63"/>
  <c r="U137" i="65"/>
  <c r="N137" i="65"/>
  <c r="U138" i="65" l="1"/>
  <c r="S138" i="65"/>
  <c r="N138" i="65"/>
  <c r="M138" i="65"/>
  <c r="AA139" i="63"/>
  <c r="X139" i="63"/>
  <c r="W139" i="65" s="1"/>
  <c r="Q139" i="63"/>
  <c r="R139" i="65" s="1"/>
  <c r="AQ139" i="63"/>
  <c r="AN139" i="63"/>
  <c r="AR139" i="63"/>
  <c r="C139" i="63"/>
  <c r="X139" i="65" s="1"/>
  <c r="G139" i="63"/>
  <c r="M139" i="63"/>
  <c r="AG139" i="63"/>
  <c r="S139" i="63"/>
  <c r="AC139" i="63"/>
  <c r="D139" i="63"/>
  <c r="T139" i="63"/>
  <c r="P139" i="65" s="1"/>
  <c r="AS139" i="63"/>
  <c r="AH139" i="63"/>
  <c r="N139" i="63"/>
  <c r="E139" i="63"/>
  <c r="U139" i="63"/>
  <c r="O139" i="65" s="1"/>
  <c r="I139" i="63"/>
  <c r="AD139" i="63"/>
  <c r="AI139" i="63"/>
  <c r="Y139" i="63"/>
  <c r="AT139" i="63"/>
  <c r="F139" i="63"/>
  <c r="AK139" i="63"/>
  <c r="AO139" i="63"/>
  <c r="P139" i="63"/>
  <c r="AJ139" i="63"/>
  <c r="AW139" i="63"/>
  <c r="AB139" i="63"/>
  <c r="AF139" i="63"/>
  <c r="AV139" i="63"/>
  <c r="V139" i="63"/>
  <c r="W139" i="63"/>
  <c r="B139" i="63"/>
  <c r="B139" i="65" s="1"/>
  <c r="AE139" i="63"/>
  <c r="H139" i="63"/>
  <c r="AL139" i="63"/>
  <c r="O139" i="63"/>
  <c r="J139" i="63"/>
  <c r="Z139" i="63"/>
  <c r="AP139" i="63"/>
  <c r="K139" i="63"/>
  <c r="L139" i="63"/>
  <c r="AM139" i="63"/>
  <c r="R139" i="63"/>
  <c r="AU139" i="63"/>
  <c r="AX139" i="63"/>
  <c r="AY139" i="63"/>
  <c r="A140" i="63"/>
  <c r="H138" i="65"/>
  <c r="E140" i="81"/>
  <c r="F140" i="81"/>
  <c r="M140" i="81"/>
  <c r="N140" i="81"/>
  <c r="B140" i="81"/>
  <c r="U140" i="81"/>
  <c r="I140" i="81"/>
  <c r="J140" i="81"/>
  <c r="K140" i="81"/>
  <c r="C140" i="81"/>
  <c r="O140" i="81"/>
  <c r="Q140" i="81"/>
  <c r="P140" i="81"/>
  <c r="R140" i="81"/>
  <c r="S140" i="81"/>
  <c r="T140" i="81"/>
  <c r="H140" i="81"/>
  <c r="L140" i="81"/>
  <c r="A141" i="81"/>
  <c r="D140" i="81"/>
  <c r="G140" i="81"/>
  <c r="M139" i="65" l="1"/>
  <c r="H139" i="65"/>
  <c r="U139" i="65"/>
  <c r="N139" i="65"/>
  <c r="Y139" i="65"/>
  <c r="S139" i="65"/>
  <c r="W140" i="63"/>
  <c r="N140" i="63"/>
  <c r="AL140" i="63"/>
  <c r="AR140" i="63"/>
  <c r="AM140" i="63"/>
  <c r="AD140" i="63"/>
  <c r="P140" i="63"/>
  <c r="Q140" i="63"/>
  <c r="R140" i="65" s="1"/>
  <c r="AF140" i="63"/>
  <c r="AS140" i="63"/>
  <c r="AN140" i="63"/>
  <c r="C140" i="63"/>
  <c r="X140" i="65" s="1"/>
  <c r="S140" i="63"/>
  <c r="A141" i="63"/>
  <c r="I140" i="63"/>
  <c r="AG140" i="63"/>
  <c r="AU140" i="63"/>
  <c r="Y140" i="63"/>
  <c r="D140" i="63"/>
  <c r="T140" i="63"/>
  <c r="P140" i="65" s="1"/>
  <c r="AO140" i="63"/>
  <c r="AH140" i="63"/>
  <c r="J140" i="63"/>
  <c r="E140" i="63"/>
  <c r="AV140" i="63"/>
  <c r="Z140" i="63"/>
  <c r="AI140" i="63"/>
  <c r="U140" i="63"/>
  <c r="O140" i="65" s="1"/>
  <c r="K140" i="63"/>
  <c r="F140" i="63"/>
  <c r="G140" i="63"/>
  <c r="V140" i="63"/>
  <c r="H140" i="63"/>
  <c r="AC140" i="63"/>
  <c r="X140" i="63"/>
  <c r="W140" i="65" s="1"/>
  <c r="AE140" i="63"/>
  <c r="AA140" i="63"/>
  <c r="AX140" i="63"/>
  <c r="AQ140" i="63"/>
  <c r="AY140" i="63"/>
  <c r="L140" i="63"/>
  <c r="AB140" i="63"/>
  <c r="AT140" i="63"/>
  <c r="B140" i="63"/>
  <c r="B140" i="65" s="1"/>
  <c r="AJ140" i="63"/>
  <c r="O140" i="63"/>
  <c r="AP140" i="63"/>
  <c r="R140" i="63"/>
  <c r="AW140" i="63"/>
  <c r="AK140" i="63"/>
  <c r="M140" i="63"/>
  <c r="N141" i="81"/>
  <c r="S141" i="81"/>
  <c r="Q141" i="81"/>
  <c r="T141" i="81"/>
  <c r="K141" i="81"/>
  <c r="M141" i="81"/>
  <c r="B141" i="81"/>
  <c r="J141" i="81"/>
  <c r="O141" i="81"/>
  <c r="P141" i="81"/>
  <c r="U141" i="81"/>
  <c r="A142" i="81"/>
  <c r="R141" i="81"/>
  <c r="D141" i="81"/>
  <c r="H141" i="81"/>
  <c r="I141" i="81"/>
  <c r="C141" i="81"/>
  <c r="L141" i="81"/>
  <c r="E141" i="81"/>
  <c r="F141" i="81"/>
  <c r="G141" i="81"/>
  <c r="Y140" i="65" l="1"/>
  <c r="U140" i="65"/>
  <c r="I141" i="63"/>
  <c r="K141" i="63"/>
  <c r="AR141" i="63"/>
  <c r="Y141" i="63"/>
  <c r="AF141" i="63"/>
  <c r="P141" i="63"/>
  <c r="C141" i="63"/>
  <c r="X141" i="65" s="1"/>
  <c r="N141" i="63"/>
  <c r="Z141" i="63"/>
  <c r="AB141" i="63"/>
  <c r="AH141" i="63"/>
  <c r="AA141" i="63"/>
  <c r="E141" i="63"/>
  <c r="AV141" i="63"/>
  <c r="O141" i="63"/>
  <c r="AJ141" i="63"/>
  <c r="U141" i="63"/>
  <c r="O141" i="65" s="1"/>
  <c r="D141" i="63"/>
  <c r="AI141" i="63"/>
  <c r="AS141" i="63"/>
  <c r="AK141" i="63"/>
  <c r="AC141" i="63"/>
  <c r="Q141" i="63"/>
  <c r="R141" i="65" s="1"/>
  <c r="AT141" i="63"/>
  <c r="F141" i="63"/>
  <c r="AW141" i="63"/>
  <c r="AN141" i="63"/>
  <c r="AU141" i="63"/>
  <c r="V141" i="63"/>
  <c r="H141" i="63"/>
  <c r="M141" i="65" s="1"/>
  <c r="R141" i="63"/>
  <c r="S141" i="65" s="1"/>
  <c r="B141" i="63"/>
  <c r="B141" i="65" s="1"/>
  <c r="AL141" i="63"/>
  <c r="AD141" i="63"/>
  <c r="AP141" i="63"/>
  <c r="AG141" i="63"/>
  <c r="S141" i="63"/>
  <c r="AQ141" i="63"/>
  <c r="T141" i="63"/>
  <c r="P141" i="65" s="1"/>
  <c r="G141" i="63"/>
  <c r="X141" i="63"/>
  <c r="W141" i="65" s="1"/>
  <c r="W141" i="63"/>
  <c r="AM141" i="63"/>
  <c r="A142" i="63"/>
  <c r="AO141" i="63"/>
  <c r="L141" i="63"/>
  <c r="AX141" i="63"/>
  <c r="J141" i="63"/>
  <c r="AE141" i="63"/>
  <c r="AY141" i="63"/>
  <c r="M141" i="63"/>
  <c r="N140" i="65"/>
  <c r="N142" i="81"/>
  <c r="Q142" i="81"/>
  <c r="I142" i="81"/>
  <c r="K142" i="81"/>
  <c r="C142" i="81"/>
  <c r="R142" i="81"/>
  <c r="S142" i="81"/>
  <c r="T142" i="81"/>
  <c r="B142" i="81"/>
  <c r="A143" i="81"/>
  <c r="H142" i="81"/>
  <c r="P142" i="81"/>
  <c r="D142" i="81"/>
  <c r="O142" i="81"/>
  <c r="E142" i="81"/>
  <c r="F142" i="81"/>
  <c r="M142" i="81"/>
  <c r="U142" i="81"/>
  <c r="G142" i="81"/>
  <c r="L142" i="81"/>
  <c r="J142" i="81"/>
  <c r="H140" i="65"/>
  <c r="S140" i="65"/>
  <c r="M140" i="65"/>
  <c r="Y141" i="65" l="1"/>
  <c r="N141" i="65"/>
  <c r="U141" i="65"/>
  <c r="H143" i="81"/>
  <c r="I143" i="81"/>
  <c r="E143" i="81"/>
  <c r="G143" i="81"/>
  <c r="O143" i="81"/>
  <c r="R143" i="81"/>
  <c r="C143" i="81"/>
  <c r="B143" i="81"/>
  <c r="U143" i="81"/>
  <c r="A144" i="81"/>
  <c r="D143" i="81"/>
  <c r="M143" i="81"/>
  <c r="N143" i="81"/>
  <c r="P143" i="81"/>
  <c r="Q143" i="81"/>
  <c r="S143" i="81"/>
  <c r="T143" i="81"/>
  <c r="F143" i="81"/>
  <c r="J143" i="81"/>
  <c r="K143" i="81"/>
  <c r="L143" i="81"/>
  <c r="AI142" i="63"/>
  <c r="AC142" i="63"/>
  <c r="AL142" i="63"/>
  <c r="AY142" i="63"/>
  <c r="AQ142" i="63"/>
  <c r="AW142" i="63"/>
  <c r="AN142" i="63"/>
  <c r="Y142" i="63"/>
  <c r="L142" i="63"/>
  <c r="A143" i="63"/>
  <c r="AJ142" i="63"/>
  <c r="AS142" i="63"/>
  <c r="AF142" i="63"/>
  <c r="E142" i="63"/>
  <c r="B142" i="63"/>
  <c r="B142" i="65" s="1"/>
  <c r="M142" i="63"/>
  <c r="U142" i="63"/>
  <c r="O142" i="65" s="1"/>
  <c r="Z142" i="63"/>
  <c r="AG142" i="63"/>
  <c r="AT142" i="63"/>
  <c r="N142" i="63"/>
  <c r="AK142" i="63"/>
  <c r="F142" i="63"/>
  <c r="AH142" i="63"/>
  <c r="G142" i="63"/>
  <c r="AA142" i="63"/>
  <c r="AX142" i="63"/>
  <c r="W142" i="63"/>
  <c r="V142" i="63"/>
  <c r="X142" i="63"/>
  <c r="W142" i="65" s="1"/>
  <c r="AR142" i="63"/>
  <c r="AU142" i="63"/>
  <c r="H142" i="63"/>
  <c r="AB142" i="63"/>
  <c r="AV142" i="63"/>
  <c r="I142" i="63"/>
  <c r="K142" i="63"/>
  <c r="C142" i="63"/>
  <c r="X142" i="65" s="1"/>
  <c r="AE142" i="63"/>
  <c r="O142" i="63"/>
  <c r="P142" i="63"/>
  <c r="Q142" i="63"/>
  <c r="R142" i="65" s="1"/>
  <c r="AD142" i="63"/>
  <c r="J142" i="63"/>
  <c r="AO142" i="63"/>
  <c r="S142" i="63"/>
  <c r="AP142" i="63"/>
  <c r="D142" i="63"/>
  <c r="T142" i="63"/>
  <c r="P142" i="65" s="1"/>
  <c r="AM142" i="63"/>
  <c r="R142" i="63"/>
  <c r="H141" i="65"/>
  <c r="S142" i="65" l="1"/>
  <c r="Y142" i="65"/>
  <c r="U142" i="65"/>
  <c r="R144" i="81"/>
  <c r="D144" i="81"/>
  <c r="K144" i="81"/>
  <c r="U144" i="81"/>
  <c r="L144" i="81"/>
  <c r="F144" i="81"/>
  <c r="J144" i="81"/>
  <c r="T144" i="81"/>
  <c r="E144" i="81"/>
  <c r="C144" i="81"/>
  <c r="P144" i="81"/>
  <c r="H144" i="81"/>
  <c r="I144" i="81"/>
  <c r="G144" i="81"/>
  <c r="M144" i="81"/>
  <c r="N144" i="81"/>
  <c r="S144" i="81"/>
  <c r="A145" i="81"/>
  <c r="B144" i="81"/>
  <c r="Q144" i="81"/>
  <c r="O144" i="81"/>
  <c r="H142" i="65"/>
  <c r="E143" i="63"/>
  <c r="AO143" i="63"/>
  <c r="AV143" i="63"/>
  <c r="U143" i="63"/>
  <c r="O143" i="65" s="1"/>
  <c r="V143" i="63"/>
  <c r="I143" i="63"/>
  <c r="L143" i="63"/>
  <c r="AQ143" i="63"/>
  <c r="X143" i="63"/>
  <c r="W143" i="65" s="1"/>
  <c r="Q143" i="63"/>
  <c r="R143" i="65" s="1"/>
  <c r="AF143" i="63"/>
  <c r="D143" i="63"/>
  <c r="AG143" i="63"/>
  <c r="M143" i="63"/>
  <c r="Y143" i="63"/>
  <c r="AC143" i="63"/>
  <c r="AW143" i="63"/>
  <c r="AJ143" i="63"/>
  <c r="AS143" i="63"/>
  <c r="AD143" i="63"/>
  <c r="B143" i="63"/>
  <c r="B143" i="65" s="1"/>
  <c r="N143" i="63"/>
  <c r="F143" i="63"/>
  <c r="AE143" i="63"/>
  <c r="R143" i="63"/>
  <c r="AL143" i="63"/>
  <c r="Z143" i="63"/>
  <c r="AR143" i="63"/>
  <c r="AH143" i="63"/>
  <c r="O143" i="63"/>
  <c r="AT143" i="63"/>
  <c r="A144" i="63"/>
  <c r="AA143" i="63"/>
  <c r="AX143" i="63"/>
  <c r="AU143" i="63"/>
  <c r="C143" i="63"/>
  <c r="X143" i="65" s="1"/>
  <c r="H143" i="63"/>
  <c r="S143" i="63"/>
  <c r="AB143" i="63"/>
  <c r="AI143" i="63"/>
  <c r="J143" i="63"/>
  <c r="AY143" i="63"/>
  <c r="K143" i="63"/>
  <c r="AK143" i="63"/>
  <c r="AM143" i="63"/>
  <c r="P143" i="63"/>
  <c r="AN143" i="63"/>
  <c r="T143" i="63"/>
  <c r="P143" i="65" s="1"/>
  <c r="AP143" i="63"/>
  <c r="W143" i="63"/>
  <c r="G143" i="63"/>
  <c r="M142" i="65"/>
  <c r="N142" i="65"/>
  <c r="N143" i="65" l="1"/>
  <c r="U143" i="65"/>
  <c r="Y143" i="65"/>
  <c r="S143" i="65"/>
  <c r="M143" i="65"/>
  <c r="H143" i="65"/>
  <c r="T145" i="81"/>
  <c r="E145" i="81"/>
  <c r="N145" i="81"/>
  <c r="C145" i="81"/>
  <c r="I145" i="81"/>
  <c r="A146" i="81"/>
  <c r="H145" i="81"/>
  <c r="D145" i="81"/>
  <c r="B145" i="81"/>
  <c r="L145" i="81"/>
  <c r="J145" i="81"/>
  <c r="F145" i="81"/>
  <c r="M145" i="81"/>
  <c r="P145" i="81"/>
  <c r="O145" i="81"/>
  <c r="U145" i="81"/>
  <c r="G145" i="81"/>
  <c r="K145" i="81"/>
  <c r="Q145" i="81"/>
  <c r="R145" i="81"/>
  <c r="S145" i="81"/>
  <c r="AV144" i="63"/>
  <c r="I144" i="63"/>
  <c r="V144" i="63"/>
  <c r="Q144" i="63"/>
  <c r="R144" i="65" s="1"/>
  <c r="AC144" i="63"/>
  <c r="AP144" i="63"/>
  <c r="A145" i="63"/>
  <c r="C144" i="63"/>
  <c r="X144" i="65" s="1"/>
  <c r="K144" i="63"/>
  <c r="AR144" i="63"/>
  <c r="AI144" i="63"/>
  <c r="L144" i="63"/>
  <c r="B144" i="63"/>
  <c r="B144" i="65" s="1"/>
  <c r="AY144" i="63"/>
  <c r="AJ144" i="63"/>
  <c r="D144" i="63"/>
  <c r="F144" i="63"/>
  <c r="M144" i="63"/>
  <c r="E144" i="63"/>
  <c r="Z144" i="63"/>
  <c r="AK144" i="63"/>
  <c r="N144" i="63"/>
  <c r="AT144" i="63"/>
  <c r="R144" i="63"/>
  <c r="W144" i="63"/>
  <c r="AX144" i="63"/>
  <c r="H144" i="63"/>
  <c r="AB144" i="63"/>
  <c r="J144" i="63"/>
  <c r="AD144" i="63"/>
  <c r="AH144" i="63"/>
  <c r="O144" i="63"/>
  <c r="AM144" i="63"/>
  <c r="AE144" i="63"/>
  <c r="T144" i="63"/>
  <c r="P144" i="65" s="1"/>
  <c r="AU144" i="63"/>
  <c r="AN144" i="63"/>
  <c r="P144" i="63"/>
  <c r="U144" i="63"/>
  <c r="O144" i="65" s="1"/>
  <c r="G144" i="63"/>
  <c r="AA144" i="63"/>
  <c r="AO144" i="63"/>
  <c r="AL144" i="63"/>
  <c r="AQ144" i="63"/>
  <c r="AS144" i="63"/>
  <c r="X144" i="63"/>
  <c r="W144" i="65" s="1"/>
  <c r="Y144" i="63"/>
  <c r="S144" i="63"/>
  <c r="AF144" i="63"/>
  <c r="AG144" i="63"/>
  <c r="AW144" i="63"/>
  <c r="S144" i="65" l="1"/>
  <c r="AN145" i="63"/>
  <c r="AV145" i="63"/>
  <c r="P145" i="63"/>
  <c r="U145" i="63"/>
  <c r="O145" i="65" s="1"/>
  <c r="F145" i="63"/>
  <c r="R145" i="63"/>
  <c r="AS145" i="63"/>
  <c r="B145" i="63"/>
  <c r="B145" i="65" s="1"/>
  <c r="G145" i="63"/>
  <c r="AL145" i="63"/>
  <c r="AD145" i="63"/>
  <c r="AP145" i="63"/>
  <c r="AY145" i="63"/>
  <c r="AB145" i="63"/>
  <c r="AT145" i="63"/>
  <c r="C145" i="63"/>
  <c r="X145" i="65" s="1"/>
  <c r="I145" i="63"/>
  <c r="O145" i="63"/>
  <c r="W145" i="63"/>
  <c r="AF145" i="63"/>
  <c r="A146" i="63"/>
  <c r="AE145" i="63"/>
  <c r="AQ145" i="63"/>
  <c r="J145" i="63"/>
  <c r="AU145" i="63"/>
  <c r="D145" i="63"/>
  <c r="AH145" i="63"/>
  <c r="AR145" i="63"/>
  <c r="E145" i="63"/>
  <c r="Y145" i="63"/>
  <c r="M145" i="63"/>
  <c r="Z145" i="63"/>
  <c r="AC145" i="63"/>
  <c r="AX145" i="63"/>
  <c r="N145" i="63"/>
  <c r="AA145" i="63"/>
  <c r="Q145" i="63"/>
  <c r="R145" i="65" s="1"/>
  <c r="K145" i="63"/>
  <c r="AG145" i="63"/>
  <c r="AI145" i="63"/>
  <c r="AW145" i="63"/>
  <c r="L145" i="63"/>
  <c r="T145" i="63"/>
  <c r="P145" i="65" s="1"/>
  <c r="AJ145" i="63"/>
  <c r="AK145" i="63"/>
  <c r="AM145" i="63"/>
  <c r="AO145" i="63"/>
  <c r="S145" i="63"/>
  <c r="X145" i="63"/>
  <c r="W145" i="65" s="1"/>
  <c r="H145" i="63"/>
  <c r="M145" i="65" s="1"/>
  <c r="V145" i="63"/>
  <c r="Y145" i="65" s="1"/>
  <c r="N146" i="81"/>
  <c r="P146" i="81"/>
  <c r="O146" i="81"/>
  <c r="U146" i="81"/>
  <c r="I146" i="81"/>
  <c r="C146" i="81"/>
  <c r="A147" i="81"/>
  <c r="H146" i="81"/>
  <c r="G146" i="81"/>
  <c r="F146" i="81"/>
  <c r="K146" i="81"/>
  <c r="Q146" i="81"/>
  <c r="R146" i="81"/>
  <c r="J146" i="81"/>
  <c r="M146" i="81"/>
  <c r="S146" i="81"/>
  <c r="T146" i="81"/>
  <c r="B146" i="81"/>
  <c r="E146" i="81"/>
  <c r="D146" i="81"/>
  <c r="L146" i="81"/>
  <c r="H144" i="65"/>
  <c r="Y144" i="65"/>
  <c r="N144" i="65"/>
  <c r="U144" i="65"/>
  <c r="M144" i="65"/>
  <c r="N145" i="65" l="1"/>
  <c r="H145" i="65"/>
  <c r="U145" i="65"/>
  <c r="S145" i="65"/>
  <c r="G147" i="81"/>
  <c r="O147" i="81"/>
  <c r="H147" i="81"/>
  <c r="A148" i="81"/>
  <c r="S147" i="81"/>
  <c r="U147" i="81"/>
  <c r="D147" i="81"/>
  <c r="T147" i="81"/>
  <c r="J147" i="81"/>
  <c r="K147" i="81"/>
  <c r="L147" i="81"/>
  <c r="P147" i="81"/>
  <c r="Q147" i="81"/>
  <c r="C147" i="81"/>
  <c r="E147" i="81"/>
  <c r="F147" i="81"/>
  <c r="M147" i="81"/>
  <c r="N147" i="81"/>
  <c r="R147" i="81"/>
  <c r="B147" i="81"/>
  <c r="I147" i="81"/>
  <c r="AC146" i="63"/>
  <c r="T146" i="63"/>
  <c r="P146" i="65" s="1"/>
  <c r="Y146" i="63"/>
  <c r="A147" i="63"/>
  <c r="AS146" i="63"/>
  <c r="AV146" i="63"/>
  <c r="J146" i="63"/>
  <c r="AW146" i="63"/>
  <c r="N146" i="63"/>
  <c r="C146" i="63"/>
  <c r="X146" i="65" s="1"/>
  <c r="AF146" i="63"/>
  <c r="AI146" i="63"/>
  <c r="W146" i="63"/>
  <c r="AG146" i="63"/>
  <c r="P146" i="63"/>
  <c r="V146" i="63"/>
  <c r="Y146" i="65" s="1"/>
  <c r="AP146" i="63"/>
  <c r="K146" i="63"/>
  <c r="AJ146" i="63"/>
  <c r="AX146" i="63"/>
  <c r="AA146" i="63"/>
  <c r="Q146" i="63"/>
  <c r="R146" i="65" s="1"/>
  <c r="AT146" i="63"/>
  <c r="AY146" i="63"/>
  <c r="AB146" i="63"/>
  <c r="AR146" i="63"/>
  <c r="AU146" i="63"/>
  <c r="M146" i="63"/>
  <c r="E146" i="63"/>
  <c r="O146" i="63"/>
  <c r="F146" i="63"/>
  <c r="AE146" i="63"/>
  <c r="Z146" i="63"/>
  <c r="AH146" i="63"/>
  <c r="AD146" i="63"/>
  <c r="AK146" i="63"/>
  <c r="B146" i="63"/>
  <c r="B146" i="65" s="1"/>
  <c r="R146" i="63"/>
  <c r="G146" i="63"/>
  <c r="AL146" i="63"/>
  <c r="H146" i="63"/>
  <c r="S146" i="63"/>
  <c r="I146" i="63"/>
  <c r="AQ146" i="63"/>
  <c r="L146" i="63"/>
  <c r="AM146" i="63"/>
  <c r="AN146" i="63"/>
  <c r="U146" i="63"/>
  <c r="O146" i="65" s="1"/>
  <c r="AO146" i="63"/>
  <c r="D146" i="63"/>
  <c r="X146" i="63"/>
  <c r="W146" i="65" s="1"/>
  <c r="N146" i="65" l="1"/>
  <c r="S146" i="65"/>
  <c r="M146" i="65"/>
  <c r="U146" i="65"/>
  <c r="I148" i="81"/>
  <c r="C148" i="81"/>
  <c r="Q148" i="81"/>
  <c r="S148" i="81"/>
  <c r="P148" i="81"/>
  <c r="A149" i="81"/>
  <c r="B148" i="81"/>
  <c r="R148" i="81"/>
  <c r="F148" i="81"/>
  <c r="J148" i="81"/>
  <c r="K148" i="81"/>
  <c r="N148" i="81"/>
  <c r="T148" i="81"/>
  <c r="E148" i="81"/>
  <c r="M148" i="81"/>
  <c r="U148" i="81"/>
  <c r="D148" i="81"/>
  <c r="O148" i="81"/>
  <c r="L148" i="81"/>
  <c r="H148" i="81"/>
  <c r="G148" i="81"/>
  <c r="E147" i="63"/>
  <c r="AF147" i="63"/>
  <c r="AG147" i="63"/>
  <c r="I147" i="63"/>
  <c r="X147" i="63"/>
  <c r="W147" i="65" s="1"/>
  <c r="AY147" i="63"/>
  <c r="N147" i="63"/>
  <c r="J147" i="63"/>
  <c r="AB147" i="63"/>
  <c r="P147" i="63"/>
  <c r="AN147" i="63"/>
  <c r="AP147" i="63"/>
  <c r="G147" i="63"/>
  <c r="Q147" i="63"/>
  <c r="R147" i="65" s="1"/>
  <c r="A148" i="63"/>
  <c r="K147" i="63"/>
  <c r="AC147" i="63"/>
  <c r="AJ147" i="63"/>
  <c r="AA147" i="63"/>
  <c r="AV147" i="63"/>
  <c r="R147" i="63"/>
  <c r="AQ147" i="63"/>
  <c r="H147" i="63"/>
  <c r="AK147" i="63"/>
  <c r="C147" i="63"/>
  <c r="X147" i="65" s="1"/>
  <c r="AD147" i="63"/>
  <c r="B147" i="63"/>
  <c r="B147" i="65" s="1"/>
  <c r="D147" i="63"/>
  <c r="W147" i="63"/>
  <c r="U147" i="63"/>
  <c r="O147" i="65" s="1"/>
  <c r="AS147" i="63"/>
  <c r="AT147" i="63"/>
  <c r="AL147" i="63"/>
  <c r="F147" i="63"/>
  <c r="AM147" i="63"/>
  <c r="AU147" i="63"/>
  <c r="AW147" i="63"/>
  <c r="L147" i="63"/>
  <c r="AE147" i="63"/>
  <c r="AX147" i="63"/>
  <c r="M147" i="63"/>
  <c r="O147" i="63"/>
  <c r="AH147" i="63"/>
  <c r="AI147" i="63"/>
  <c r="S147" i="63"/>
  <c r="T147" i="63"/>
  <c r="P147" i="65" s="1"/>
  <c r="AR147" i="63"/>
  <c r="Y147" i="63"/>
  <c r="AO147" i="63"/>
  <c r="Z147" i="63"/>
  <c r="V147" i="63"/>
  <c r="H146" i="65"/>
  <c r="M147" i="65" l="1"/>
  <c r="S147" i="65"/>
  <c r="N147" i="65"/>
  <c r="Y147" i="65"/>
  <c r="U147" i="65"/>
  <c r="S149" i="81"/>
  <c r="O149" i="81"/>
  <c r="P149" i="81"/>
  <c r="G149" i="81"/>
  <c r="L149" i="81"/>
  <c r="H149" i="81"/>
  <c r="N149" i="81"/>
  <c r="A150" i="81"/>
  <c r="U149" i="81"/>
  <c r="D149" i="81"/>
  <c r="K149" i="81"/>
  <c r="T149" i="81"/>
  <c r="B149" i="81"/>
  <c r="E149" i="81"/>
  <c r="F149" i="81"/>
  <c r="C149" i="81"/>
  <c r="M149" i="81"/>
  <c r="R149" i="81"/>
  <c r="J149" i="81"/>
  <c r="I149" i="81"/>
  <c r="Q149" i="81"/>
  <c r="N148" i="63"/>
  <c r="K148" i="63"/>
  <c r="AG148" i="63"/>
  <c r="AM148" i="63"/>
  <c r="L148" i="63"/>
  <c r="AH148" i="63"/>
  <c r="AO148" i="63"/>
  <c r="AC148" i="63"/>
  <c r="P148" i="63"/>
  <c r="Z148" i="63"/>
  <c r="AE148" i="63"/>
  <c r="G148" i="63"/>
  <c r="AI148" i="63"/>
  <c r="AP148" i="63"/>
  <c r="AS148" i="63"/>
  <c r="W148" i="63"/>
  <c r="AY148" i="63"/>
  <c r="E148" i="63"/>
  <c r="AT148" i="63"/>
  <c r="H148" i="63"/>
  <c r="Q148" i="63"/>
  <c r="R148" i="65" s="1"/>
  <c r="AA148" i="63"/>
  <c r="AU148" i="63"/>
  <c r="X148" i="63"/>
  <c r="W148" i="65" s="1"/>
  <c r="AJ148" i="63"/>
  <c r="AQ148" i="63"/>
  <c r="AN148" i="63"/>
  <c r="S148" i="63"/>
  <c r="A149" i="63"/>
  <c r="AL148" i="63"/>
  <c r="T148" i="63"/>
  <c r="P148" i="65" s="1"/>
  <c r="C148" i="63"/>
  <c r="X148" i="65" s="1"/>
  <c r="V148" i="63"/>
  <c r="Y148" i="65" s="1"/>
  <c r="D148" i="63"/>
  <c r="I148" i="63"/>
  <c r="F148" i="63"/>
  <c r="Y148" i="63"/>
  <c r="AB148" i="63"/>
  <c r="M148" i="63"/>
  <c r="AR148" i="63"/>
  <c r="AF148" i="63"/>
  <c r="B148" i="63"/>
  <c r="B148" i="65" s="1"/>
  <c r="AV148" i="63"/>
  <c r="AW148" i="63"/>
  <c r="O148" i="63"/>
  <c r="AX148" i="63"/>
  <c r="R148" i="63"/>
  <c r="AD148" i="63"/>
  <c r="AK148" i="63"/>
  <c r="J148" i="63"/>
  <c r="N148" i="65" s="1"/>
  <c r="U148" i="63"/>
  <c r="O148" i="65" s="1"/>
  <c r="H147" i="65"/>
  <c r="M148" i="65" l="1"/>
  <c r="S148" i="65"/>
  <c r="H148" i="65"/>
  <c r="U148" i="65"/>
  <c r="B150" i="81"/>
  <c r="Q150" i="81"/>
  <c r="T150" i="81"/>
  <c r="A151" i="81"/>
  <c r="F150" i="81"/>
  <c r="G150" i="81"/>
  <c r="I150" i="81"/>
  <c r="J150" i="81"/>
  <c r="S150" i="81"/>
  <c r="M150" i="81"/>
  <c r="P150" i="81"/>
  <c r="R150" i="81"/>
  <c r="H150" i="81"/>
  <c r="O150" i="81"/>
  <c r="U150" i="81"/>
  <c r="C150" i="81"/>
  <c r="E150" i="81"/>
  <c r="L150" i="81"/>
  <c r="N150" i="81"/>
  <c r="D150" i="81"/>
  <c r="K150" i="81"/>
  <c r="AT149" i="63"/>
  <c r="AI149" i="63"/>
  <c r="AN149" i="63"/>
  <c r="K149" i="63"/>
  <c r="O149" i="63"/>
  <c r="AY149" i="63"/>
  <c r="I149" i="63"/>
  <c r="L149" i="63"/>
  <c r="P149" i="63"/>
  <c r="J149" i="63"/>
  <c r="A150" i="63"/>
  <c r="AV149" i="63"/>
  <c r="E149" i="63"/>
  <c r="AP149" i="63"/>
  <c r="Q149" i="63"/>
  <c r="R149" i="65" s="1"/>
  <c r="U149" i="63"/>
  <c r="O149" i="65" s="1"/>
  <c r="V149" i="63"/>
  <c r="AG149" i="63"/>
  <c r="AA149" i="63"/>
  <c r="AW149" i="63"/>
  <c r="AK149" i="63"/>
  <c r="AB149" i="63"/>
  <c r="B149" i="63"/>
  <c r="B149" i="65" s="1"/>
  <c r="G149" i="63"/>
  <c r="AC149" i="63"/>
  <c r="H149" i="63"/>
  <c r="N149" i="63"/>
  <c r="X149" i="63"/>
  <c r="W149" i="65" s="1"/>
  <c r="AD149" i="63"/>
  <c r="AE149" i="63"/>
  <c r="Y149" i="63"/>
  <c r="AU149" i="63"/>
  <c r="AO149" i="63"/>
  <c r="AF149" i="63"/>
  <c r="Z149" i="63"/>
  <c r="R149" i="63"/>
  <c r="AL149" i="63"/>
  <c r="AH149" i="63"/>
  <c r="AQ149" i="63"/>
  <c r="AX149" i="63"/>
  <c r="AR149" i="63"/>
  <c r="C149" i="63"/>
  <c r="X149" i="65" s="1"/>
  <c r="AS149" i="63"/>
  <c r="S149" i="63"/>
  <c r="D149" i="63"/>
  <c r="T149" i="63"/>
  <c r="P149" i="65" s="1"/>
  <c r="AJ149" i="63"/>
  <c r="W149" i="63"/>
  <c r="AM149" i="63"/>
  <c r="F149" i="63"/>
  <c r="M149" i="63"/>
  <c r="S149" i="65" l="1"/>
  <c r="U149" i="65"/>
  <c r="Y149" i="65"/>
  <c r="M149" i="65"/>
  <c r="N149" i="65"/>
  <c r="G151" i="81"/>
  <c r="H151" i="81"/>
  <c r="E151" i="81"/>
  <c r="K151" i="81"/>
  <c r="S151" i="81"/>
  <c r="D151" i="81"/>
  <c r="J151" i="81"/>
  <c r="T151" i="81"/>
  <c r="L151" i="81"/>
  <c r="F151" i="81"/>
  <c r="A152" i="81"/>
  <c r="M151" i="81"/>
  <c r="N151" i="81"/>
  <c r="B151" i="81"/>
  <c r="C151" i="81"/>
  <c r="I151" i="81"/>
  <c r="Q151" i="81"/>
  <c r="R151" i="81"/>
  <c r="U151" i="81"/>
  <c r="O151" i="81"/>
  <c r="P151" i="81"/>
  <c r="H149" i="65"/>
  <c r="AU150" i="63"/>
  <c r="U150" i="63"/>
  <c r="O150" i="65" s="1"/>
  <c r="AQ150" i="63"/>
  <c r="P150" i="63"/>
  <c r="I150" i="63"/>
  <c r="Q150" i="63"/>
  <c r="R150" i="65" s="1"/>
  <c r="V150" i="63"/>
  <c r="T150" i="63"/>
  <c r="P150" i="65" s="1"/>
  <c r="AB150" i="63"/>
  <c r="AW150" i="63"/>
  <c r="G150" i="63"/>
  <c r="D150" i="63"/>
  <c r="AR150" i="63"/>
  <c r="B150" i="63"/>
  <c r="B150" i="65" s="1"/>
  <c r="W150" i="63"/>
  <c r="Y150" i="63"/>
  <c r="M150" i="63"/>
  <c r="R150" i="63"/>
  <c r="AM150" i="63"/>
  <c r="Z150" i="63"/>
  <c r="AC150" i="63"/>
  <c r="AH150" i="63"/>
  <c r="H150" i="63"/>
  <c r="AA150" i="63"/>
  <c r="AS150" i="63"/>
  <c r="AX150" i="63"/>
  <c r="X150" i="63"/>
  <c r="W150" i="65" s="1"/>
  <c r="AT150" i="63"/>
  <c r="AJ150" i="63"/>
  <c r="O150" i="63"/>
  <c r="AO150" i="63"/>
  <c r="AE150" i="63"/>
  <c r="AP150" i="63"/>
  <c r="AF150" i="63"/>
  <c r="J150" i="63"/>
  <c r="AV150" i="63"/>
  <c r="K150" i="63"/>
  <c r="AG150" i="63"/>
  <c r="C150" i="63"/>
  <c r="X150" i="65" s="1"/>
  <c r="A151" i="63"/>
  <c r="S150" i="63"/>
  <c r="AI150" i="63"/>
  <c r="AY150" i="63"/>
  <c r="F150" i="63"/>
  <c r="AL150" i="63"/>
  <c r="AN150" i="63"/>
  <c r="L150" i="63"/>
  <c r="N150" i="63"/>
  <c r="AD150" i="63"/>
  <c r="E150" i="63"/>
  <c r="AK150" i="63"/>
  <c r="Y150" i="65" l="1"/>
  <c r="M150" i="65"/>
  <c r="C152" i="81"/>
  <c r="D152" i="81"/>
  <c r="E152" i="81"/>
  <c r="F152" i="81"/>
  <c r="K152" i="81"/>
  <c r="J152" i="81"/>
  <c r="L152" i="81"/>
  <c r="U152" i="81"/>
  <c r="R152" i="81"/>
  <c r="A153" i="81"/>
  <c r="O152" i="81"/>
  <c r="B152" i="81"/>
  <c r="Q152" i="81"/>
  <c r="M152" i="81"/>
  <c r="T152" i="81"/>
  <c r="I152" i="81"/>
  <c r="G152" i="81"/>
  <c r="H152" i="81"/>
  <c r="P152" i="81"/>
  <c r="N152" i="81"/>
  <c r="S152" i="81"/>
  <c r="N150" i="65"/>
  <c r="U150" i="65"/>
  <c r="AA151" i="63"/>
  <c r="AV151" i="63"/>
  <c r="V151" i="63"/>
  <c r="AQ151" i="63"/>
  <c r="Q151" i="63"/>
  <c r="R151" i="65" s="1"/>
  <c r="AL151" i="63"/>
  <c r="AR151" i="63"/>
  <c r="C151" i="63"/>
  <c r="X151" i="65" s="1"/>
  <c r="G151" i="63"/>
  <c r="AC151" i="63"/>
  <c r="AI151" i="63"/>
  <c r="I151" i="63"/>
  <c r="AS151" i="63"/>
  <c r="AY151" i="63"/>
  <c r="W151" i="63"/>
  <c r="N151" i="63"/>
  <c r="D151" i="63"/>
  <c r="X151" i="63"/>
  <c r="W151" i="65" s="1"/>
  <c r="AD151" i="63"/>
  <c r="T151" i="63"/>
  <c r="P151" i="65" s="1"/>
  <c r="AT151" i="63"/>
  <c r="Y151" i="63"/>
  <c r="AU151" i="63"/>
  <c r="AM151" i="63"/>
  <c r="P151" i="63"/>
  <c r="AN151" i="63"/>
  <c r="AF151" i="63"/>
  <c r="AO151" i="63"/>
  <c r="AG151" i="63"/>
  <c r="A152" i="63"/>
  <c r="AW151" i="63"/>
  <c r="S151" i="63"/>
  <c r="AJ151" i="63"/>
  <c r="J151" i="63"/>
  <c r="E151" i="63"/>
  <c r="Z151" i="63"/>
  <c r="U151" i="63"/>
  <c r="O151" i="65" s="1"/>
  <c r="AP151" i="63"/>
  <c r="AK151" i="63"/>
  <c r="K151" i="63"/>
  <c r="L151" i="63"/>
  <c r="AB151" i="63"/>
  <c r="M151" i="63"/>
  <c r="O151" i="63"/>
  <c r="AE151" i="63"/>
  <c r="F151" i="63"/>
  <c r="AX151" i="63"/>
  <c r="B151" i="63"/>
  <c r="B151" i="65" s="1"/>
  <c r="H151" i="63"/>
  <c r="M151" i="65" s="1"/>
  <c r="AH151" i="63"/>
  <c r="R151" i="63"/>
  <c r="H150" i="65"/>
  <c r="S150" i="65"/>
  <c r="Y151" i="65" l="1"/>
  <c r="S151" i="65"/>
  <c r="Q153" i="81"/>
  <c r="R153" i="81"/>
  <c r="B153" i="81"/>
  <c r="C153" i="81"/>
  <c r="D153" i="81"/>
  <c r="F153" i="81"/>
  <c r="K153" i="81"/>
  <c r="G153" i="81"/>
  <c r="M153" i="81"/>
  <c r="L153" i="81"/>
  <c r="H153" i="81"/>
  <c r="S153" i="81"/>
  <c r="T153" i="81"/>
  <c r="E153" i="81"/>
  <c r="J153" i="81"/>
  <c r="U153" i="81"/>
  <c r="A154" i="81"/>
  <c r="N153" i="81"/>
  <c r="O153" i="81"/>
  <c r="P153" i="81"/>
  <c r="I153" i="81"/>
  <c r="N151" i="65"/>
  <c r="U151" i="65"/>
  <c r="H151" i="65"/>
  <c r="AB152" i="63"/>
  <c r="AH152" i="63"/>
  <c r="V152" i="63"/>
  <c r="X152" i="63"/>
  <c r="W152" i="65" s="1"/>
  <c r="AS152" i="63"/>
  <c r="AI152" i="63"/>
  <c r="AM152" i="63"/>
  <c r="I152" i="63"/>
  <c r="AD152" i="63"/>
  <c r="D152" i="63"/>
  <c r="AF152" i="63"/>
  <c r="Y152" i="63"/>
  <c r="AT152" i="63"/>
  <c r="T152" i="63"/>
  <c r="P152" i="65" s="1"/>
  <c r="AO152" i="63"/>
  <c r="O152" i="63"/>
  <c r="Z152" i="63"/>
  <c r="AU152" i="63"/>
  <c r="E152" i="63"/>
  <c r="AE152" i="63"/>
  <c r="W152" i="63"/>
  <c r="Q152" i="63"/>
  <c r="R152" i="65" s="1"/>
  <c r="AK152" i="63"/>
  <c r="AG152" i="63"/>
  <c r="AL152" i="63"/>
  <c r="AW152" i="63"/>
  <c r="AV152" i="63"/>
  <c r="H152" i="63"/>
  <c r="B152" i="63"/>
  <c r="B152" i="65" s="1"/>
  <c r="A153" i="63"/>
  <c r="AN152" i="63"/>
  <c r="R152" i="63"/>
  <c r="J152" i="63"/>
  <c r="AX152" i="63"/>
  <c r="AP152" i="63"/>
  <c r="C152" i="63"/>
  <c r="X152" i="65" s="1"/>
  <c r="K152" i="63"/>
  <c r="S152" i="63"/>
  <c r="AA152" i="63"/>
  <c r="AY152" i="63"/>
  <c r="AQ152" i="63"/>
  <c r="L152" i="63"/>
  <c r="AR152" i="63"/>
  <c r="M152" i="63"/>
  <c r="AC152" i="63"/>
  <c r="N152" i="63"/>
  <c r="AJ152" i="63"/>
  <c r="F152" i="63"/>
  <c r="G152" i="63"/>
  <c r="P152" i="63"/>
  <c r="U152" i="63"/>
  <c r="O152" i="65" s="1"/>
  <c r="S152" i="65" l="1"/>
  <c r="Y152" i="65"/>
  <c r="H153" i="63"/>
  <c r="M153" i="63"/>
  <c r="N153" i="63"/>
  <c r="A154" i="63"/>
  <c r="I153" i="63"/>
  <c r="AE153" i="63"/>
  <c r="U153" i="63"/>
  <c r="O153" i="65" s="1"/>
  <c r="AO153" i="63"/>
  <c r="P153" i="63"/>
  <c r="AD153" i="63"/>
  <c r="J153" i="63"/>
  <c r="AF153" i="63"/>
  <c r="AI153" i="63"/>
  <c r="Z153" i="63"/>
  <c r="F153" i="63"/>
  <c r="K153" i="63"/>
  <c r="AG153" i="63"/>
  <c r="AY153" i="63"/>
  <c r="AQ153" i="63"/>
  <c r="T153" i="63"/>
  <c r="P153" i="65" s="1"/>
  <c r="L153" i="63"/>
  <c r="AB153" i="63"/>
  <c r="AR153" i="63"/>
  <c r="AJ153" i="63"/>
  <c r="AC153" i="63"/>
  <c r="AK153" i="63"/>
  <c r="V153" i="63"/>
  <c r="Y153" i="65" s="1"/>
  <c r="AS153" i="63"/>
  <c r="C153" i="63"/>
  <c r="X153" i="65" s="1"/>
  <c r="AL153" i="63"/>
  <c r="O153" i="63"/>
  <c r="D153" i="63"/>
  <c r="G153" i="63"/>
  <c r="AU153" i="63"/>
  <c r="E153" i="63"/>
  <c r="W153" i="63"/>
  <c r="AV153" i="63"/>
  <c r="AT153" i="63"/>
  <c r="AM153" i="63"/>
  <c r="Q153" i="63"/>
  <c r="R153" i="65" s="1"/>
  <c r="AP153" i="63"/>
  <c r="AA153" i="63"/>
  <c r="AW153" i="63"/>
  <c r="B153" i="63"/>
  <c r="B153" i="65" s="1"/>
  <c r="R153" i="63"/>
  <c r="S153" i="65" s="1"/>
  <c r="AH153" i="63"/>
  <c r="AX153" i="63"/>
  <c r="S153" i="63"/>
  <c r="X153" i="63"/>
  <c r="W153" i="65" s="1"/>
  <c r="AN153" i="63"/>
  <c r="Y153" i="63"/>
  <c r="N152" i="65"/>
  <c r="M152" i="65"/>
  <c r="H152" i="65"/>
  <c r="U152" i="65"/>
  <c r="N154" i="81"/>
  <c r="U154" i="81"/>
  <c r="Q154" i="81"/>
  <c r="A155" i="81"/>
  <c r="R154" i="81"/>
  <c r="T154" i="81"/>
  <c r="B154" i="81"/>
  <c r="C154" i="81"/>
  <c r="F154" i="81"/>
  <c r="O154" i="81"/>
  <c r="L154" i="81"/>
  <c r="P154" i="81"/>
  <c r="M154" i="81"/>
  <c r="S154" i="81"/>
  <c r="D154" i="81"/>
  <c r="E154" i="81"/>
  <c r="J154" i="81"/>
  <c r="I154" i="81"/>
  <c r="K154" i="81"/>
  <c r="H154" i="81"/>
  <c r="G154" i="81"/>
  <c r="N153" i="65" l="1"/>
  <c r="H153" i="65"/>
  <c r="O155" i="81"/>
  <c r="I155" i="81"/>
  <c r="D155" i="81"/>
  <c r="J155" i="81"/>
  <c r="F155" i="81"/>
  <c r="N155" i="81"/>
  <c r="K155" i="81"/>
  <c r="P155" i="81"/>
  <c r="L155" i="81"/>
  <c r="A156" i="81"/>
  <c r="S155" i="81"/>
  <c r="U155" i="81"/>
  <c r="T155" i="81"/>
  <c r="R155" i="81"/>
  <c r="B155" i="81"/>
  <c r="C155" i="81"/>
  <c r="H155" i="81"/>
  <c r="M155" i="81"/>
  <c r="Q155" i="81"/>
  <c r="E155" i="81"/>
  <c r="G155" i="81"/>
  <c r="U153" i="65"/>
  <c r="AT154" i="63"/>
  <c r="C154" i="63"/>
  <c r="X154" i="65" s="1"/>
  <c r="E154" i="63"/>
  <c r="Z154" i="63"/>
  <c r="AV154" i="63"/>
  <c r="AL154" i="63"/>
  <c r="AQ154" i="63"/>
  <c r="AI154" i="63"/>
  <c r="V154" i="63"/>
  <c r="AS154" i="63"/>
  <c r="L154" i="63"/>
  <c r="G154" i="63"/>
  <c r="N154" i="63"/>
  <c r="Q154" i="63"/>
  <c r="R154" i="65" s="1"/>
  <c r="W154" i="63"/>
  <c r="AD154" i="63"/>
  <c r="R154" i="63"/>
  <c r="AM154" i="63"/>
  <c r="O154" i="63"/>
  <c r="S154" i="63"/>
  <c r="H154" i="63"/>
  <c r="AE154" i="63"/>
  <c r="X154" i="63"/>
  <c r="W154" i="65" s="1"/>
  <c r="AU154" i="63"/>
  <c r="A155" i="63"/>
  <c r="AN154" i="63"/>
  <c r="P154" i="63"/>
  <c r="I154" i="63"/>
  <c r="AF154" i="63"/>
  <c r="Y154" i="63"/>
  <c r="AB154" i="63"/>
  <c r="AO154" i="63"/>
  <c r="AG154" i="63"/>
  <c r="K154" i="63"/>
  <c r="AA154" i="63"/>
  <c r="M154" i="63"/>
  <c r="AC154" i="63"/>
  <c r="AH154" i="63"/>
  <c r="AR154" i="63"/>
  <c r="AW154" i="63"/>
  <c r="AX154" i="63"/>
  <c r="D154" i="63"/>
  <c r="AY154" i="63"/>
  <c r="T154" i="63"/>
  <c r="P154" i="65" s="1"/>
  <c r="B154" i="63"/>
  <c r="B154" i="65" s="1"/>
  <c r="AJ154" i="63"/>
  <c r="U154" i="63"/>
  <c r="O154" i="65" s="1"/>
  <c r="AK154" i="63"/>
  <c r="F154" i="63"/>
  <c r="J154" i="63"/>
  <c r="AP154" i="63"/>
  <c r="M153" i="65"/>
  <c r="N154" i="65" l="1"/>
  <c r="M154" i="65"/>
  <c r="Y154" i="65"/>
  <c r="D155" i="63"/>
  <c r="AT155" i="63"/>
  <c r="AH155" i="63"/>
  <c r="AL155" i="63"/>
  <c r="AR155" i="63"/>
  <c r="AE155" i="63"/>
  <c r="E155" i="63"/>
  <c r="AQ155" i="63"/>
  <c r="J155" i="63"/>
  <c r="U155" i="63"/>
  <c r="O155" i="65" s="1"/>
  <c r="L155" i="63"/>
  <c r="AF155" i="63"/>
  <c r="AK155" i="63"/>
  <c r="AB155" i="63"/>
  <c r="AG155" i="63"/>
  <c r="F155" i="63"/>
  <c r="M155" i="63"/>
  <c r="V155" i="63"/>
  <c r="AC155" i="63"/>
  <c r="A156" i="63"/>
  <c r="G155" i="63"/>
  <c r="AS155" i="63"/>
  <c r="B155" i="63"/>
  <c r="B155" i="65" s="1"/>
  <c r="W155" i="63"/>
  <c r="N155" i="63"/>
  <c r="R155" i="63"/>
  <c r="AM155" i="63"/>
  <c r="AD155" i="63"/>
  <c r="AX155" i="63"/>
  <c r="H155" i="63"/>
  <c r="AP155" i="63"/>
  <c r="C155" i="63"/>
  <c r="X155" i="65" s="1"/>
  <c r="X155" i="63"/>
  <c r="W155" i="65" s="1"/>
  <c r="AU155" i="63"/>
  <c r="AN155" i="63"/>
  <c r="I155" i="63"/>
  <c r="Y155" i="63"/>
  <c r="AO155" i="63"/>
  <c r="K155" i="63"/>
  <c r="AA155" i="63"/>
  <c r="AV155" i="63"/>
  <c r="AW155" i="63"/>
  <c r="O155" i="63"/>
  <c r="P155" i="63"/>
  <c r="S155" i="63"/>
  <c r="Q155" i="63"/>
  <c r="R155" i="65" s="1"/>
  <c r="AY155" i="63"/>
  <c r="T155" i="63"/>
  <c r="P155" i="65" s="1"/>
  <c r="AJ155" i="63"/>
  <c r="Z155" i="63"/>
  <c r="AI155" i="63"/>
  <c r="F156" i="81"/>
  <c r="G156" i="81"/>
  <c r="H156" i="81"/>
  <c r="K156" i="81"/>
  <c r="L156" i="81"/>
  <c r="M156" i="81"/>
  <c r="R156" i="81"/>
  <c r="Q156" i="81"/>
  <c r="I156" i="81"/>
  <c r="U156" i="81"/>
  <c r="D156" i="81"/>
  <c r="E156" i="81"/>
  <c r="O156" i="81"/>
  <c r="N156" i="81"/>
  <c r="A157" i="81"/>
  <c r="P156" i="81"/>
  <c r="B156" i="81"/>
  <c r="J156" i="81"/>
  <c r="S156" i="81"/>
  <c r="T156" i="81"/>
  <c r="C156" i="81"/>
  <c r="S154" i="65"/>
  <c r="U154" i="65"/>
  <c r="H154" i="65"/>
  <c r="N155" i="65" l="1"/>
  <c r="M155" i="65"/>
  <c r="U155" i="65"/>
  <c r="S156" i="63"/>
  <c r="AM156" i="63"/>
  <c r="O156" i="63"/>
  <c r="AI156" i="63"/>
  <c r="Y156" i="63"/>
  <c r="AE156" i="63"/>
  <c r="AY156" i="63"/>
  <c r="AO156" i="63"/>
  <c r="AN156" i="63"/>
  <c r="D156" i="63"/>
  <c r="J156" i="63"/>
  <c r="X156" i="63"/>
  <c r="W156" i="65" s="1"/>
  <c r="T156" i="63"/>
  <c r="P156" i="65" s="1"/>
  <c r="Z156" i="63"/>
  <c r="AP156" i="63"/>
  <c r="AS156" i="63"/>
  <c r="P156" i="63"/>
  <c r="AJ156" i="63"/>
  <c r="K156" i="63"/>
  <c r="AT156" i="63"/>
  <c r="AF156" i="63"/>
  <c r="E156" i="63"/>
  <c r="AA156" i="63"/>
  <c r="AU156" i="63"/>
  <c r="AV156" i="63"/>
  <c r="U156" i="63"/>
  <c r="O156" i="65" s="1"/>
  <c r="AQ156" i="63"/>
  <c r="Q156" i="63"/>
  <c r="R156" i="65" s="1"/>
  <c r="AK156" i="63"/>
  <c r="L156" i="63"/>
  <c r="AG156" i="63"/>
  <c r="F156" i="63"/>
  <c r="AB156" i="63"/>
  <c r="A157" i="63"/>
  <c r="AX156" i="63"/>
  <c r="C156" i="63"/>
  <c r="X156" i="65" s="1"/>
  <c r="V156" i="63"/>
  <c r="AL156" i="63"/>
  <c r="G156" i="63"/>
  <c r="W156" i="63"/>
  <c r="I156" i="63"/>
  <c r="AR156" i="63"/>
  <c r="H156" i="63"/>
  <c r="M156" i="63"/>
  <c r="AW156" i="63"/>
  <c r="B156" i="63"/>
  <c r="B156" i="65" s="1"/>
  <c r="R156" i="63"/>
  <c r="S156" i="65" s="1"/>
  <c r="AH156" i="63"/>
  <c r="N156" i="63"/>
  <c r="AC156" i="63"/>
  <c r="AD156" i="63"/>
  <c r="S155" i="65"/>
  <c r="S157" i="81"/>
  <c r="A158" i="81"/>
  <c r="T157" i="81"/>
  <c r="B157" i="81"/>
  <c r="E157" i="81"/>
  <c r="F157" i="81"/>
  <c r="I157" i="81"/>
  <c r="P157" i="81"/>
  <c r="R157" i="81"/>
  <c r="K157" i="81"/>
  <c r="C157" i="81"/>
  <c r="L157" i="81"/>
  <c r="H157" i="81"/>
  <c r="D157" i="81"/>
  <c r="J157" i="81"/>
  <c r="Q157" i="81"/>
  <c r="N157" i="81"/>
  <c r="G157" i="81"/>
  <c r="M157" i="81"/>
  <c r="O157" i="81"/>
  <c r="U157" i="81"/>
  <c r="Y155" i="65"/>
  <c r="H155" i="65"/>
  <c r="N156" i="65" l="1"/>
  <c r="H156" i="65"/>
  <c r="M156" i="65"/>
  <c r="U156" i="65"/>
  <c r="Y156" i="65"/>
  <c r="O158" i="81"/>
  <c r="H158" i="81"/>
  <c r="P158" i="81"/>
  <c r="J158" i="81"/>
  <c r="M158" i="81"/>
  <c r="F158" i="81"/>
  <c r="U158" i="81"/>
  <c r="S158" i="81"/>
  <c r="A159" i="81"/>
  <c r="T158" i="81"/>
  <c r="G158" i="81"/>
  <c r="I158" i="81"/>
  <c r="E158" i="81"/>
  <c r="D158" i="81"/>
  <c r="K158" i="81"/>
  <c r="Q158" i="81"/>
  <c r="N158" i="81"/>
  <c r="R158" i="81"/>
  <c r="B158" i="81"/>
  <c r="L158" i="81"/>
  <c r="C158" i="81"/>
  <c r="O157" i="63"/>
  <c r="AY157" i="63"/>
  <c r="I157" i="63"/>
  <c r="AS157" i="63"/>
  <c r="AF157" i="63"/>
  <c r="E157" i="63"/>
  <c r="F157" i="63"/>
  <c r="AV157" i="63"/>
  <c r="U157" i="63"/>
  <c r="O157" i="65" s="1"/>
  <c r="K157" i="63"/>
  <c r="Q157" i="63"/>
  <c r="R157" i="65" s="1"/>
  <c r="L157" i="63"/>
  <c r="AG157" i="63"/>
  <c r="AK157" i="63"/>
  <c r="M157" i="63"/>
  <c r="AW157" i="63"/>
  <c r="G157" i="63"/>
  <c r="V157" i="63"/>
  <c r="B157" i="63"/>
  <c r="B157" i="65" s="1"/>
  <c r="W157" i="63"/>
  <c r="AA157" i="63"/>
  <c r="R157" i="63"/>
  <c r="AM157" i="63"/>
  <c r="AB157" i="63"/>
  <c r="AH157" i="63"/>
  <c r="H157" i="63"/>
  <c r="AC157" i="63"/>
  <c r="AX157" i="63"/>
  <c r="X157" i="63"/>
  <c r="W157" i="65" s="1"/>
  <c r="AQ157" i="63"/>
  <c r="C157" i="63"/>
  <c r="X157" i="65" s="1"/>
  <c r="AR157" i="63"/>
  <c r="AT157" i="63"/>
  <c r="AL157" i="63"/>
  <c r="AE157" i="63"/>
  <c r="A158" i="63"/>
  <c r="AU157" i="63"/>
  <c r="P157" i="63"/>
  <c r="S157" i="63"/>
  <c r="AI157" i="63"/>
  <c r="D157" i="63"/>
  <c r="T157" i="63"/>
  <c r="P157" i="65" s="1"/>
  <c r="AJ157" i="63"/>
  <c r="AN157" i="63"/>
  <c r="J157" i="63"/>
  <c r="Z157" i="63"/>
  <c r="AP157" i="63"/>
  <c r="AD157" i="63"/>
  <c r="Y157" i="63"/>
  <c r="AO157" i="63"/>
  <c r="N157" i="63"/>
  <c r="H157" i="65" l="1"/>
  <c r="M157" i="65"/>
  <c r="S157" i="65"/>
  <c r="J159" i="81"/>
  <c r="K159" i="81"/>
  <c r="P159" i="81"/>
  <c r="R159" i="81"/>
  <c r="G159" i="81"/>
  <c r="D159" i="81"/>
  <c r="L159" i="81"/>
  <c r="C159" i="81"/>
  <c r="O159" i="81"/>
  <c r="E159" i="81"/>
  <c r="A160" i="81"/>
  <c r="H159" i="81"/>
  <c r="I159" i="81"/>
  <c r="Q159" i="81"/>
  <c r="N159" i="81"/>
  <c r="T159" i="81"/>
  <c r="F159" i="81"/>
  <c r="S159" i="81"/>
  <c r="U159" i="81"/>
  <c r="B159" i="81"/>
  <c r="M159" i="81"/>
  <c r="Y157" i="65"/>
  <c r="P158" i="63"/>
  <c r="Z158" i="63"/>
  <c r="M158" i="63"/>
  <c r="AH158" i="63"/>
  <c r="H158" i="63"/>
  <c r="A159" i="63"/>
  <c r="AC158" i="63"/>
  <c r="AX158" i="63"/>
  <c r="X158" i="63"/>
  <c r="W158" i="65" s="1"/>
  <c r="AS158" i="63"/>
  <c r="C158" i="63"/>
  <c r="X158" i="65" s="1"/>
  <c r="N158" i="63"/>
  <c r="S158" i="63"/>
  <c r="AN158" i="63"/>
  <c r="AD158" i="63"/>
  <c r="AI158" i="63"/>
  <c r="T158" i="63"/>
  <c r="P158" i="65" s="1"/>
  <c r="AT158" i="63"/>
  <c r="AY158" i="63"/>
  <c r="O158" i="63"/>
  <c r="E158" i="63"/>
  <c r="Y158" i="63"/>
  <c r="AE158" i="63"/>
  <c r="U158" i="63"/>
  <c r="O158" i="65" s="1"/>
  <c r="AA158" i="63"/>
  <c r="AU158" i="63"/>
  <c r="AK158" i="63"/>
  <c r="AJ158" i="63"/>
  <c r="AF158" i="63"/>
  <c r="F158" i="63"/>
  <c r="AO158" i="63"/>
  <c r="G158" i="63"/>
  <c r="AM158" i="63"/>
  <c r="AP158" i="63"/>
  <c r="L158" i="63"/>
  <c r="AQ158" i="63"/>
  <c r="AB158" i="63"/>
  <c r="D158" i="63"/>
  <c r="AR158" i="63"/>
  <c r="I158" i="63"/>
  <c r="AV158" i="63"/>
  <c r="J158" i="63"/>
  <c r="Q158" i="63"/>
  <c r="R158" i="65" s="1"/>
  <c r="K158" i="63"/>
  <c r="AG158" i="63"/>
  <c r="AW158" i="63"/>
  <c r="B158" i="63"/>
  <c r="B158" i="65" s="1"/>
  <c r="R158" i="63"/>
  <c r="V158" i="63"/>
  <c r="W158" i="63"/>
  <c r="AL158" i="63"/>
  <c r="N157" i="65"/>
  <c r="U157" i="65"/>
  <c r="S158" i="65" l="1"/>
  <c r="H158" i="65"/>
  <c r="N158" i="65"/>
  <c r="U158" i="65"/>
  <c r="Y158" i="65"/>
  <c r="D160" i="81"/>
  <c r="F160" i="81"/>
  <c r="H160" i="81"/>
  <c r="J160" i="81"/>
  <c r="K160" i="81"/>
  <c r="E160" i="81"/>
  <c r="N160" i="81"/>
  <c r="O160" i="81"/>
  <c r="S160" i="81"/>
  <c r="A161" i="81"/>
  <c r="P160" i="81"/>
  <c r="B160" i="81"/>
  <c r="U160" i="81"/>
  <c r="I160" i="81"/>
  <c r="G160" i="81"/>
  <c r="M160" i="81"/>
  <c r="R160" i="81"/>
  <c r="C160" i="81"/>
  <c r="L160" i="81"/>
  <c r="T160" i="81"/>
  <c r="Q160" i="81"/>
  <c r="M158" i="65"/>
  <c r="O159" i="63"/>
  <c r="AJ159" i="63"/>
  <c r="R159" i="63"/>
  <c r="J159" i="63"/>
  <c r="AE159" i="63"/>
  <c r="E159" i="63"/>
  <c r="B159" i="63"/>
  <c r="B159" i="65" s="1"/>
  <c r="Z159" i="63"/>
  <c r="AU159" i="63"/>
  <c r="U159" i="63"/>
  <c r="O159" i="65" s="1"/>
  <c r="X159" i="63"/>
  <c r="W159" i="65" s="1"/>
  <c r="AP159" i="63"/>
  <c r="P159" i="63"/>
  <c r="K159" i="63"/>
  <c r="AF159" i="63"/>
  <c r="AK159" i="63"/>
  <c r="Y159" i="63"/>
  <c r="AA159" i="63"/>
  <c r="AV159" i="63"/>
  <c r="F159" i="63"/>
  <c r="W159" i="63"/>
  <c r="AQ159" i="63"/>
  <c r="Q159" i="63"/>
  <c r="R159" i="65" s="1"/>
  <c r="V159" i="63"/>
  <c r="A160" i="63"/>
  <c r="L159" i="63"/>
  <c r="AG159" i="63"/>
  <c r="AL159" i="63"/>
  <c r="AB159" i="63"/>
  <c r="AW159" i="63"/>
  <c r="AH159" i="63"/>
  <c r="AR159" i="63"/>
  <c r="C159" i="63"/>
  <c r="X159" i="65" s="1"/>
  <c r="AM159" i="63"/>
  <c r="AY159" i="63"/>
  <c r="D159" i="63"/>
  <c r="T159" i="63"/>
  <c r="P159" i="65" s="1"/>
  <c r="AN159" i="63"/>
  <c r="AO159" i="63"/>
  <c r="AX159" i="63"/>
  <c r="G159" i="63"/>
  <c r="M159" i="63"/>
  <c r="H159" i="63"/>
  <c r="AC159" i="63"/>
  <c r="I159" i="63"/>
  <c r="AS159" i="63"/>
  <c r="N159" i="63"/>
  <c r="AD159" i="63"/>
  <c r="AT159" i="63"/>
  <c r="S159" i="63"/>
  <c r="AI159" i="63"/>
  <c r="M159" i="65" l="1"/>
  <c r="S159" i="65"/>
  <c r="N159" i="65"/>
  <c r="Y159" i="65"/>
  <c r="U159" i="65"/>
  <c r="Z160" i="63"/>
  <c r="AU160" i="63"/>
  <c r="AV160" i="63"/>
  <c r="AP160" i="63"/>
  <c r="Q160" i="63"/>
  <c r="R160" i="65" s="1"/>
  <c r="E160" i="63"/>
  <c r="K160" i="63"/>
  <c r="AG160" i="63"/>
  <c r="F160" i="63"/>
  <c r="AA160" i="63"/>
  <c r="AW160" i="63"/>
  <c r="G160" i="63"/>
  <c r="AQ160" i="63"/>
  <c r="B160" i="63"/>
  <c r="B160" i="65" s="1"/>
  <c r="U160" i="63"/>
  <c r="O160" i="65" s="1"/>
  <c r="L160" i="63"/>
  <c r="R160" i="63"/>
  <c r="AB160" i="63"/>
  <c r="AH160" i="63"/>
  <c r="V160" i="63"/>
  <c r="AR160" i="63"/>
  <c r="AX160" i="63"/>
  <c r="W160" i="63"/>
  <c r="H160" i="63"/>
  <c r="M160" i="63"/>
  <c r="C160" i="63"/>
  <c r="X160" i="65" s="1"/>
  <c r="AF160" i="63"/>
  <c r="X160" i="63"/>
  <c r="W160" i="65" s="1"/>
  <c r="AC160" i="63"/>
  <c r="S160" i="63"/>
  <c r="P160" i="63"/>
  <c r="AS160" i="63"/>
  <c r="N160" i="63"/>
  <c r="AD160" i="63"/>
  <c r="AT160" i="63"/>
  <c r="O160" i="63"/>
  <c r="AE160" i="63"/>
  <c r="AI160" i="63"/>
  <c r="AY160" i="63"/>
  <c r="D160" i="63"/>
  <c r="T160" i="63"/>
  <c r="P160" i="65" s="1"/>
  <c r="AO160" i="63"/>
  <c r="J160" i="63"/>
  <c r="N160" i="65" s="1"/>
  <c r="AJ160" i="63"/>
  <c r="AK160" i="63"/>
  <c r="AL160" i="63"/>
  <c r="AM160" i="63"/>
  <c r="A161" i="63"/>
  <c r="AN160" i="63"/>
  <c r="I160" i="63"/>
  <c r="Y160" i="63"/>
  <c r="L161" i="81"/>
  <c r="M161" i="81"/>
  <c r="N161" i="81"/>
  <c r="O161" i="81"/>
  <c r="S161" i="81"/>
  <c r="G161" i="81"/>
  <c r="T161" i="81"/>
  <c r="A162" i="81"/>
  <c r="C161" i="81"/>
  <c r="D161" i="81"/>
  <c r="I161" i="81"/>
  <c r="J161" i="81"/>
  <c r="B161" i="81"/>
  <c r="H161" i="81"/>
  <c r="K161" i="81"/>
  <c r="P161" i="81"/>
  <c r="U161" i="81"/>
  <c r="E161" i="81"/>
  <c r="F161" i="81"/>
  <c r="Q161" i="81"/>
  <c r="R161" i="81"/>
  <c r="H159" i="65"/>
  <c r="M160" i="65" l="1"/>
  <c r="H160" i="65"/>
  <c r="U160" i="65"/>
  <c r="B162" i="81"/>
  <c r="G162" i="81"/>
  <c r="N162" i="81"/>
  <c r="E162" i="81"/>
  <c r="H162" i="81"/>
  <c r="P162" i="81"/>
  <c r="J162" i="81"/>
  <c r="S162" i="81"/>
  <c r="C162" i="81"/>
  <c r="A163" i="81"/>
  <c r="D162" i="81"/>
  <c r="L162" i="81"/>
  <c r="M162" i="81"/>
  <c r="O162" i="81"/>
  <c r="U162" i="81"/>
  <c r="Q162" i="81"/>
  <c r="R162" i="81"/>
  <c r="I162" i="81"/>
  <c r="T162" i="81"/>
  <c r="F162" i="81"/>
  <c r="K162" i="81"/>
  <c r="AL161" i="63"/>
  <c r="AQ161" i="63"/>
  <c r="B161" i="63"/>
  <c r="B161" i="65" s="1"/>
  <c r="AT161" i="63"/>
  <c r="G161" i="63"/>
  <c r="L161" i="63"/>
  <c r="R161" i="63"/>
  <c r="AD161" i="63"/>
  <c r="W161" i="63"/>
  <c r="AB161" i="63"/>
  <c r="AH161" i="63"/>
  <c r="AY161" i="63"/>
  <c r="AM161" i="63"/>
  <c r="AR161" i="63"/>
  <c r="AX161" i="63"/>
  <c r="H161" i="63"/>
  <c r="M161" i="63"/>
  <c r="C161" i="63"/>
  <c r="X161" i="65" s="1"/>
  <c r="A162" i="63"/>
  <c r="X161" i="63"/>
  <c r="W161" i="65" s="1"/>
  <c r="AC161" i="63"/>
  <c r="D161" i="63"/>
  <c r="AS161" i="63"/>
  <c r="E161" i="63"/>
  <c r="AN161" i="63"/>
  <c r="O161" i="63"/>
  <c r="N161" i="63"/>
  <c r="I161" i="63"/>
  <c r="AE161" i="63"/>
  <c r="S161" i="63"/>
  <c r="Y161" i="63"/>
  <c r="AU161" i="63"/>
  <c r="T161" i="63"/>
  <c r="P161" i="65" s="1"/>
  <c r="F161" i="63"/>
  <c r="V161" i="63"/>
  <c r="AI161" i="63"/>
  <c r="AO161" i="63"/>
  <c r="AJ161" i="63"/>
  <c r="J161" i="63"/>
  <c r="AK161" i="63"/>
  <c r="Z161" i="63"/>
  <c r="AP161" i="63"/>
  <c r="K161" i="63"/>
  <c r="AA161" i="63"/>
  <c r="P161" i="63"/>
  <c r="AF161" i="63"/>
  <c r="AV161" i="63"/>
  <c r="Q161" i="63"/>
  <c r="R161" i="65" s="1"/>
  <c r="AG161" i="63"/>
  <c r="AW161" i="63"/>
  <c r="U161" i="63"/>
  <c r="O161" i="65" s="1"/>
  <c r="Y160" i="65"/>
  <c r="S160" i="65"/>
  <c r="U161" i="65" l="1"/>
  <c r="M161" i="65"/>
  <c r="S161" i="65"/>
  <c r="N161" i="65"/>
  <c r="H161" i="65"/>
  <c r="E163" i="81"/>
  <c r="H163" i="81"/>
  <c r="J163" i="81"/>
  <c r="L163" i="81"/>
  <c r="M163" i="81"/>
  <c r="N163" i="81"/>
  <c r="S163" i="81"/>
  <c r="G163" i="81"/>
  <c r="I163" i="81"/>
  <c r="A164" i="81"/>
  <c r="D163" i="81"/>
  <c r="T163" i="81"/>
  <c r="P163" i="81"/>
  <c r="C163" i="81"/>
  <c r="K163" i="81"/>
  <c r="Q163" i="81"/>
  <c r="B163" i="81"/>
  <c r="F163" i="81"/>
  <c r="O163" i="81"/>
  <c r="R163" i="81"/>
  <c r="U163" i="81"/>
  <c r="G162" i="63"/>
  <c r="M162" i="63"/>
  <c r="AB162" i="63"/>
  <c r="W162" i="63"/>
  <c r="AC162" i="63"/>
  <c r="AG162" i="63"/>
  <c r="AM162" i="63"/>
  <c r="AS162" i="63"/>
  <c r="AH162" i="63"/>
  <c r="X162" i="63"/>
  <c r="W162" i="65" s="1"/>
  <c r="AD162" i="63"/>
  <c r="AW162" i="63"/>
  <c r="D162" i="63"/>
  <c r="AT162" i="63"/>
  <c r="AX162" i="63"/>
  <c r="T162" i="63"/>
  <c r="P162" i="65" s="1"/>
  <c r="AN162" i="63"/>
  <c r="O162" i="63"/>
  <c r="AY162" i="63"/>
  <c r="I162" i="63"/>
  <c r="AE162" i="63"/>
  <c r="B162" i="63"/>
  <c r="B162" i="65" s="1"/>
  <c r="AJ162" i="63"/>
  <c r="Y162" i="63"/>
  <c r="AU162" i="63"/>
  <c r="C162" i="63"/>
  <c r="X162" i="65" s="1"/>
  <c r="E162" i="63"/>
  <c r="AO162" i="63"/>
  <c r="P162" i="63"/>
  <c r="AR162" i="63"/>
  <c r="AQ162" i="63"/>
  <c r="N162" i="63"/>
  <c r="AF162" i="63"/>
  <c r="AV162" i="63"/>
  <c r="U162" i="63"/>
  <c r="O162" i="65" s="1"/>
  <c r="L162" i="63"/>
  <c r="Q162" i="63"/>
  <c r="R162" i="65" s="1"/>
  <c r="AK162" i="63"/>
  <c r="R162" i="63"/>
  <c r="F162" i="63"/>
  <c r="S162" i="63"/>
  <c r="V162" i="63"/>
  <c r="Y162" i="65" s="1"/>
  <c r="AI162" i="63"/>
  <c r="AL162" i="63"/>
  <c r="H162" i="63"/>
  <c r="A163" i="63"/>
  <c r="AA162" i="63"/>
  <c r="J162" i="63"/>
  <c r="Z162" i="63"/>
  <c r="AP162" i="63"/>
  <c r="K162" i="63"/>
  <c r="Y161" i="65"/>
  <c r="U162" i="65" l="1"/>
  <c r="S162" i="65"/>
  <c r="B164" i="81"/>
  <c r="S164" i="81"/>
  <c r="R164" i="81"/>
  <c r="T164" i="81"/>
  <c r="M164" i="81"/>
  <c r="U164" i="81"/>
  <c r="E164" i="81"/>
  <c r="F164" i="81"/>
  <c r="H164" i="81"/>
  <c r="L164" i="81"/>
  <c r="N164" i="81"/>
  <c r="J164" i="81"/>
  <c r="K164" i="81"/>
  <c r="G164" i="81"/>
  <c r="I164" i="81"/>
  <c r="C164" i="81"/>
  <c r="Q164" i="81"/>
  <c r="P164" i="81"/>
  <c r="O164" i="81"/>
  <c r="A165" i="81"/>
  <c r="D164" i="81"/>
  <c r="N162" i="65"/>
  <c r="AX163" i="63"/>
  <c r="G163" i="63"/>
  <c r="M163" i="63"/>
  <c r="P163" i="63"/>
  <c r="C163" i="63"/>
  <c r="X163" i="65" s="1"/>
  <c r="W163" i="63"/>
  <c r="AC163" i="63"/>
  <c r="Q163" i="63"/>
  <c r="R163" i="65" s="1"/>
  <c r="S163" i="63"/>
  <c r="AM163" i="63"/>
  <c r="AS163" i="63"/>
  <c r="A164" i="63"/>
  <c r="AY163" i="63"/>
  <c r="X163" i="63"/>
  <c r="W163" i="65" s="1"/>
  <c r="AD163" i="63"/>
  <c r="D163" i="63"/>
  <c r="AT163" i="63"/>
  <c r="T163" i="63"/>
  <c r="P163" i="65" s="1"/>
  <c r="AN163" i="63"/>
  <c r="Z163" i="63"/>
  <c r="I163" i="63"/>
  <c r="AE163" i="63"/>
  <c r="AJ163" i="63"/>
  <c r="Y163" i="63"/>
  <c r="AF163" i="63"/>
  <c r="E163" i="63"/>
  <c r="AO163" i="63"/>
  <c r="AG163" i="63"/>
  <c r="U163" i="63"/>
  <c r="O163" i="65" s="1"/>
  <c r="AV163" i="63"/>
  <c r="AW163" i="63"/>
  <c r="AK163" i="63"/>
  <c r="J163" i="63"/>
  <c r="F163" i="63"/>
  <c r="O163" i="63"/>
  <c r="V163" i="63"/>
  <c r="AL163" i="63"/>
  <c r="H163" i="63"/>
  <c r="K163" i="63"/>
  <c r="AA163" i="63"/>
  <c r="AQ163" i="63"/>
  <c r="L163" i="63"/>
  <c r="B163" i="63"/>
  <c r="B163" i="65" s="1"/>
  <c r="R163" i="63"/>
  <c r="AH163" i="63"/>
  <c r="AI163" i="63"/>
  <c r="AB163" i="63"/>
  <c r="AR163" i="63"/>
  <c r="N163" i="63"/>
  <c r="AP163" i="63"/>
  <c r="AU163" i="63"/>
  <c r="M162" i="65"/>
  <c r="H162" i="65"/>
  <c r="M163" i="65" l="1"/>
  <c r="Y163" i="65"/>
  <c r="U163" i="65"/>
  <c r="N163" i="65"/>
  <c r="H163" i="65"/>
  <c r="I165" i="81"/>
  <c r="R165" i="81"/>
  <c r="S165" i="81"/>
  <c r="L165" i="81"/>
  <c r="C165" i="81"/>
  <c r="N165" i="81"/>
  <c r="D165" i="81"/>
  <c r="K165" i="81"/>
  <c r="U165" i="81"/>
  <c r="F165" i="81"/>
  <c r="H165" i="81"/>
  <c r="J165" i="81"/>
  <c r="O165" i="81"/>
  <c r="Q165" i="81"/>
  <c r="G165" i="81"/>
  <c r="T165" i="81"/>
  <c r="M165" i="81"/>
  <c r="A166" i="81"/>
  <c r="P165" i="81"/>
  <c r="B165" i="81"/>
  <c r="E165" i="81"/>
  <c r="S163" i="65"/>
  <c r="AY164" i="63"/>
  <c r="AO164" i="63"/>
  <c r="O164" i="63"/>
  <c r="D164" i="63"/>
  <c r="J164" i="63"/>
  <c r="X164" i="63"/>
  <c r="W164" i="65" s="1"/>
  <c r="T164" i="63"/>
  <c r="P164" i="65" s="1"/>
  <c r="Z164" i="63"/>
  <c r="AF164" i="63"/>
  <c r="AJ164" i="63"/>
  <c r="K164" i="63"/>
  <c r="AC164" i="63"/>
  <c r="AV164" i="63"/>
  <c r="E164" i="63"/>
  <c r="Q164" i="63"/>
  <c r="R164" i="65" s="1"/>
  <c r="U164" i="63"/>
  <c r="O164" i="65" s="1"/>
  <c r="AQ164" i="63"/>
  <c r="AE164" i="63"/>
  <c r="AG164" i="63"/>
  <c r="AK164" i="63"/>
  <c r="L164" i="63"/>
  <c r="AW164" i="63"/>
  <c r="F164" i="63"/>
  <c r="AB164" i="63"/>
  <c r="B164" i="63"/>
  <c r="B164" i="65" s="1"/>
  <c r="V164" i="63"/>
  <c r="AR164" i="63"/>
  <c r="A165" i="63"/>
  <c r="I164" i="63"/>
  <c r="Y164" i="63"/>
  <c r="AP164" i="63"/>
  <c r="AA164" i="63"/>
  <c r="P164" i="63"/>
  <c r="AN164" i="63"/>
  <c r="R164" i="63"/>
  <c r="AS164" i="63"/>
  <c r="AH164" i="63"/>
  <c r="AT164" i="63"/>
  <c r="AX164" i="63"/>
  <c r="AU164" i="63"/>
  <c r="C164" i="63"/>
  <c r="X164" i="65" s="1"/>
  <c r="M164" i="63"/>
  <c r="S164" i="63"/>
  <c r="N164" i="63"/>
  <c r="AI164" i="63"/>
  <c r="H164" i="63"/>
  <c r="AD164" i="63"/>
  <c r="W164" i="63"/>
  <c r="AM164" i="63"/>
  <c r="AL164" i="63"/>
  <c r="G164" i="63"/>
  <c r="N164" i="65" l="1"/>
  <c r="M164" i="65"/>
  <c r="U164" i="65"/>
  <c r="Y164" i="65"/>
  <c r="P165" i="63"/>
  <c r="U165" i="63"/>
  <c r="O165" i="65" s="1"/>
  <c r="F165" i="63"/>
  <c r="A166" i="63"/>
  <c r="AF165" i="63"/>
  <c r="AS165" i="63"/>
  <c r="AV165" i="63"/>
  <c r="AK165" i="63"/>
  <c r="K165" i="63"/>
  <c r="AG165" i="63"/>
  <c r="W165" i="63"/>
  <c r="M165" i="63"/>
  <c r="B165" i="63"/>
  <c r="B165" i="65" s="1"/>
  <c r="H165" i="63"/>
  <c r="X165" i="63"/>
  <c r="W165" i="65" s="1"/>
  <c r="R165" i="63"/>
  <c r="I165" i="63"/>
  <c r="AH165" i="63"/>
  <c r="Y165" i="63"/>
  <c r="AA165" i="63"/>
  <c r="AX165" i="63"/>
  <c r="AO165" i="63"/>
  <c r="AB165" i="63"/>
  <c r="AE165" i="63"/>
  <c r="AQ165" i="63"/>
  <c r="AU165" i="63"/>
  <c r="AR165" i="63"/>
  <c r="Q165" i="63"/>
  <c r="R165" i="65" s="1"/>
  <c r="L165" i="63"/>
  <c r="AW165" i="63"/>
  <c r="V165" i="63"/>
  <c r="C165" i="63"/>
  <c r="X165" i="65" s="1"/>
  <c r="T165" i="63"/>
  <c r="P165" i="65" s="1"/>
  <c r="S165" i="63"/>
  <c r="AI165" i="63"/>
  <c r="AC165" i="63"/>
  <c r="AY165" i="63"/>
  <c r="AJ165" i="63"/>
  <c r="D165" i="63"/>
  <c r="AL165" i="63"/>
  <c r="E165" i="63"/>
  <c r="G165" i="63"/>
  <c r="N165" i="63"/>
  <c r="AD165" i="63"/>
  <c r="AT165" i="63"/>
  <c r="O165" i="63"/>
  <c r="AM165" i="63"/>
  <c r="J165" i="63"/>
  <c r="Z165" i="63"/>
  <c r="AN165" i="63"/>
  <c r="AP165" i="63"/>
  <c r="N166" i="81"/>
  <c r="O166" i="81"/>
  <c r="P166" i="81"/>
  <c r="B166" i="81"/>
  <c r="C166" i="81"/>
  <c r="D166" i="81"/>
  <c r="H166" i="81"/>
  <c r="R166" i="81"/>
  <c r="G166" i="81"/>
  <c r="M166" i="81"/>
  <c r="S166" i="81"/>
  <c r="U166" i="81"/>
  <c r="A167" i="81"/>
  <c r="J166" i="81"/>
  <c r="K166" i="81"/>
  <c r="L166" i="81"/>
  <c r="E166" i="81"/>
  <c r="I166" i="81"/>
  <c r="Q166" i="81"/>
  <c r="F166" i="81"/>
  <c r="T166" i="81"/>
  <c r="H164" i="65"/>
  <c r="S164" i="65"/>
  <c r="Y165" i="65" l="1"/>
  <c r="M165" i="65"/>
  <c r="H165" i="65"/>
  <c r="N165" i="65"/>
  <c r="Q166" i="63"/>
  <c r="R166" i="65" s="1"/>
  <c r="AA166" i="63"/>
  <c r="T166" i="63"/>
  <c r="P166" i="65" s="1"/>
  <c r="L166" i="63"/>
  <c r="AG166" i="63"/>
  <c r="AH166" i="63"/>
  <c r="AB166" i="63"/>
  <c r="AW166" i="63"/>
  <c r="AJ166" i="63"/>
  <c r="V166" i="63"/>
  <c r="M166" i="63"/>
  <c r="S166" i="63"/>
  <c r="AL166" i="63"/>
  <c r="AS166" i="63"/>
  <c r="AY166" i="63"/>
  <c r="AN166" i="63"/>
  <c r="N166" i="63"/>
  <c r="E166" i="63"/>
  <c r="F166" i="63"/>
  <c r="A167" i="63"/>
  <c r="AD166" i="63"/>
  <c r="U166" i="63"/>
  <c r="O166" i="65" s="1"/>
  <c r="AO166" i="63"/>
  <c r="AT166" i="63"/>
  <c r="I166" i="63"/>
  <c r="AF166" i="63"/>
  <c r="R166" i="63"/>
  <c r="AV166" i="63"/>
  <c r="H166" i="63"/>
  <c r="C166" i="63"/>
  <c r="X166" i="65" s="1"/>
  <c r="X166" i="63"/>
  <c r="W166" i="65" s="1"/>
  <c r="AI166" i="63"/>
  <c r="AP166" i="63"/>
  <c r="AK166" i="63"/>
  <c r="G166" i="63"/>
  <c r="W166" i="63"/>
  <c r="AM166" i="63"/>
  <c r="Y166" i="63"/>
  <c r="Z166" i="63"/>
  <c r="AR166" i="63"/>
  <c r="B166" i="63"/>
  <c r="B166" i="65" s="1"/>
  <c r="AQ166" i="63"/>
  <c r="J166" i="63"/>
  <c r="AX166" i="63"/>
  <c r="K166" i="63"/>
  <c r="AC166" i="63"/>
  <c r="O166" i="63"/>
  <c r="AE166" i="63"/>
  <c r="AU166" i="63"/>
  <c r="P166" i="63"/>
  <c r="D166" i="63"/>
  <c r="S165" i="65"/>
  <c r="U165" i="65"/>
  <c r="F167" i="81"/>
  <c r="B167" i="81"/>
  <c r="I167" i="81"/>
  <c r="S167" i="81"/>
  <c r="J167" i="81"/>
  <c r="A168" i="81"/>
  <c r="H167" i="81"/>
  <c r="L167" i="81"/>
  <c r="N167" i="81"/>
  <c r="Q167" i="81"/>
  <c r="U167" i="81"/>
  <c r="D167" i="81"/>
  <c r="O167" i="81"/>
  <c r="P167" i="81"/>
  <c r="C167" i="81"/>
  <c r="E167" i="81"/>
  <c r="K167" i="81"/>
  <c r="M167" i="81"/>
  <c r="R167" i="81"/>
  <c r="T167" i="81"/>
  <c r="G167" i="81"/>
  <c r="Y166" i="65" l="1"/>
  <c r="M166" i="65"/>
  <c r="S166" i="65"/>
  <c r="H166" i="65"/>
  <c r="N166" i="65"/>
  <c r="AR167" i="63"/>
  <c r="AY167" i="63"/>
  <c r="AH167" i="63"/>
  <c r="M167" i="63"/>
  <c r="E167" i="63"/>
  <c r="AJ167" i="63"/>
  <c r="AC167" i="63"/>
  <c r="U167" i="63"/>
  <c r="O167" i="65" s="1"/>
  <c r="B167" i="63"/>
  <c r="B167" i="65" s="1"/>
  <c r="N167" i="63"/>
  <c r="AK167" i="63"/>
  <c r="D167" i="63"/>
  <c r="AT167" i="63"/>
  <c r="AX167" i="63"/>
  <c r="F167" i="63"/>
  <c r="O167" i="63"/>
  <c r="P167" i="63"/>
  <c r="G167" i="63"/>
  <c r="J167" i="63"/>
  <c r="AE167" i="63"/>
  <c r="R167" i="63"/>
  <c r="H167" i="63"/>
  <c r="Z167" i="63"/>
  <c r="AU167" i="63"/>
  <c r="T167" i="63"/>
  <c r="P167" i="65" s="1"/>
  <c r="AF167" i="63"/>
  <c r="S167" i="63"/>
  <c r="A168" i="63"/>
  <c r="AI167" i="63"/>
  <c r="I167" i="63"/>
  <c r="AP167" i="63"/>
  <c r="K167" i="63"/>
  <c r="V167" i="63"/>
  <c r="AA167" i="63"/>
  <c r="W167" i="63"/>
  <c r="AQ167" i="63"/>
  <c r="X167" i="63"/>
  <c r="W167" i="65" s="1"/>
  <c r="L167" i="63"/>
  <c r="AB167" i="63"/>
  <c r="Y167" i="63"/>
  <c r="AS167" i="63"/>
  <c r="AL167" i="63"/>
  <c r="AD167" i="63"/>
  <c r="Q167" i="63"/>
  <c r="R167" i="65" s="1"/>
  <c r="AG167" i="63"/>
  <c r="AW167" i="63"/>
  <c r="C167" i="63"/>
  <c r="X167" i="65" s="1"/>
  <c r="AM167" i="63"/>
  <c r="AN167" i="63"/>
  <c r="AO167" i="63"/>
  <c r="AV167" i="63"/>
  <c r="U166" i="65"/>
  <c r="D168" i="81"/>
  <c r="U168" i="81"/>
  <c r="E168" i="81"/>
  <c r="B168" i="81"/>
  <c r="F168" i="81"/>
  <c r="R168" i="81"/>
  <c r="K168" i="81"/>
  <c r="G168" i="81"/>
  <c r="M168" i="81"/>
  <c r="J168" i="81"/>
  <c r="P168" i="81"/>
  <c r="H168" i="81"/>
  <c r="L168" i="81"/>
  <c r="N168" i="81"/>
  <c r="O168" i="81"/>
  <c r="C168" i="81"/>
  <c r="T168" i="81"/>
  <c r="A169" i="81"/>
  <c r="Q168" i="81"/>
  <c r="S168" i="81"/>
  <c r="I168" i="81"/>
  <c r="N167" i="65" l="1"/>
  <c r="U167" i="65"/>
  <c r="H167" i="65"/>
  <c r="X168" i="63"/>
  <c r="W168" i="65" s="1"/>
  <c r="AS168" i="63"/>
  <c r="E168" i="63"/>
  <c r="AD168" i="63"/>
  <c r="AN168" i="63"/>
  <c r="O168" i="63"/>
  <c r="AM168" i="63"/>
  <c r="AF168" i="63"/>
  <c r="I168" i="63"/>
  <c r="AE168" i="63"/>
  <c r="F168" i="63"/>
  <c r="AH168" i="63"/>
  <c r="AO168" i="63"/>
  <c r="Q168" i="63"/>
  <c r="R168" i="65" s="1"/>
  <c r="G168" i="63"/>
  <c r="Z168" i="63"/>
  <c r="AW168" i="63"/>
  <c r="N168" i="63"/>
  <c r="AP168" i="63"/>
  <c r="C168" i="63"/>
  <c r="X168" i="65" s="1"/>
  <c r="AX168" i="63"/>
  <c r="K168" i="63"/>
  <c r="S168" i="63"/>
  <c r="P168" i="63"/>
  <c r="AA168" i="63"/>
  <c r="AI168" i="63"/>
  <c r="T168" i="63"/>
  <c r="P168" i="65" s="1"/>
  <c r="D168" i="63"/>
  <c r="H168" i="63"/>
  <c r="AL168" i="63"/>
  <c r="Y168" i="63"/>
  <c r="AT168" i="63"/>
  <c r="J168" i="63"/>
  <c r="AV168" i="63"/>
  <c r="AQ168" i="63"/>
  <c r="L168" i="63"/>
  <c r="U168" i="63"/>
  <c r="O168" i="65" s="1"/>
  <c r="AB168" i="63"/>
  <c r="AR168" i="63"/>
  <c r="V168" i="63"/>
  <c r="M168" i="63"/>
  <c r="W168" i="63"/>
  <c r="AC168" i="63"/>
  <c r="R168" i="63"/>
  <c r="S168" i="65" s="1"/>
  <c r="AU168" i="63"/>
  <c r="AJ168" i="63"/>
  <c r="B168" i="63"/>
  <c r="B168" i="65" s="1"/>
  <c r="AK168" i="63"/>
  <c r="A169" i="63"/>
  <c r="AG168" i="63"/>
  <c r="AY168" i="63"/>
  <c r="M167" i="65"/>
  <c r="R169" i="81"/>
  <c r="S169" i="81"/>
  <c r="C169" i="81"/>
  <c r="G169" i="81"/>
  <c r="H169" i="81"/>
  <c r="K169" i="81"/>
  <c r="N169" i="81"/>
  <c r="U169" i="81"/>
  <c r="J169" i="81"/>
  <c r="P169" i="81"/>
  <c r="Q169" i="81"/>
  <c r="O169" i="81"/>
  <c r="T169" i="81"/>
  <c r="B169" i="81"/>
  <c r="L169" i="81"/>
  <c r="D169" i="81"/>
  <c r="A170" i="81"/>
  <c r="E169" i="81"/>
  <c r="F169" i="81"/>
  <c r="I169" i="81"/>
  <c r="M169" i="81"/>
  <c r="S167" i="65"/>
  <c r="Y167" i="65"/>
  <c r="M168" i="65" l="1"/>
  <c r="H168" i="65"/>
  <c r="Y168" i="65"/>
  <c r="U170" i="81"/>
  <c r="N170" i="81"/>
  <c r="D170" i="81"/>
  <c r="A171" i="81"/>
  <c r="K170" i="81"/>
  <c r="P170" i="81"/>
  <c r="Q170" i="81"/>
  <c r="R170" i="81"/>
  <c r="T170" i="81"/>
  <c r="E170" i="81"/>
  <c r="F170" i="81"/>
  <c r="G170" i="81"/>
  <c r="M170" i="81"/>
  <c r="H170" i="81"/>
  <c r="J170" i="81"/>
  <c r="C170" i="81"/>
  <c r="L170" i="81"/>
  <c r="S170" i="81"/>
  <c r="O170" i="81"/>
  <c r="B170" i="81"/>
  <c r="I170" i="81"/>
  <c r="U168" i="65"/>
  <c r="I169" i="63"/>
  <c r="AG169" i="63"/>
  <c r="AT169" i="63"/>
  <c r="Y169" i="63"/>
  <c r="AW169" i="63"/>
  <c r="L169" i="63"/>
  <c r="AO169" i="63"/>
  <c r="T169" i="63"/>
  <c r="P169" i="65" s="1"/>
  <c r="AV169" i="63"/>
  <c r="Z169" i="63"/>
  <c r="U169" i="63"/>
  <c r="O169" i="65" s="1"/>
  <c r="AX169" i="63"/>
  <c r="F169" i="63"/>
  <c r="K169" i="63"/>
  <c r="AB169" i="63"/>
  <c r="P169" i="63"/>
  <c r="V169" i="63"/>
  <c r="AA169" i="63"/>
  <c r="AD169" i="63"/>
  <c r="R169" i="63"/>
  <c r="AL169" i="63"/>
  <c r="AQ169" i="63"/>
  <c r="AF169" i="63"/>
  <c r="S169" i="63"/>
  <c r="G169" i="63"/>
  <c r="M169" i="63"/>
  <c r="AH169" i="63"/>
  <c r="AK169" i="63"/>
  <c r="AR169" i="63"/>
  <c r="AN169" i="63"/>
  <c r="E169" i="63"/>
  <c r="J169" i="63"/>
  <c r="N169" i="65" s="1"/>
  <c r="N169" i="63"/>
  <c r="AP169" i="63"/>
  <c r="C169" i="63"/>
  <c r="X169" i="65" s="1"/>
  <c r="AC169" i="63"/>
  <c r="AY169" i="63"/>
  <c r="AS169" i="63"/>
  <c r="O169" i="63"/>
  <c r="A170" i="63"/>
  <c r="AE169" i="63"/>
  <c r="AU169" i="63"/>
  <c r="Q169" i="63"/>
  <c r="R169" i="65" s="1"/>
  <c r="W169" i="63"/>
  <c r="AM169" i="63"/>
  <c r="H169" i="63"/>
  <c r="X169" i="63"/>
  <c r="W169" i="65" s="1"/>
  <c r="AI169" i="63"/>
  <c r="B169" i="63"/>
  <c r="B169" i="65" s="1"/>
  <c r="AJ169" i="63"/>
  <c r="D169" i="63"/>
  <c r="N168" i="65"/>
  <c r="Y169" i="65" l="1"/>
  <c r="H169" i="65"/>
  <c r="S169" i="65"/>
  <c r="U169" i="65"/>
  <c r="E170" i="63"/>
  <c r="Y170" i="63"/>
  <c r="AW170" i="63"/>
  <c r="AP170" i="63"/>
  <c r="U170" i="63"/>
  <c r="O170" i="65" s="1"/>
  <c r="AO170" i="63"/>
  <c r="P170" i="63"/>
  <c r="AR170" i="63"/>
  <c r="K170" i="63"/>
  <c r="AX170" i="63"/>
  <c r="F170" i="63"/>
  <c r="AQ170" i="63"/>
  <c r="AY170" i="63"/>
  <c r="A171" i="63"/>
  <c r="AL170" i="63"/>
  <c r="AC170" i="63"/>
  <c r="S170" i="63"/>
  <c r="G170" i="63"/>
  <c r="AS170" i="63"/>
  <c r="Z170" i="63"/>
  <c r="W170" i="63"/>
  <c r="O170" i="63"/>
  <c r="AD170" i="63"/>
  <c r="AE170" i="63"/>
  <c r="AF170" i="63"/>
  <c r="AN170" i="63"/>
  <c r="AB170" i="63"/>
  <c r="I170" i="63"/>
  <c r="AI170" i="63"/>
  <c r="AA170" i="63"/>
  <c r="M170" i="63"/>
  <c r="AU170" i="63"/>
  <c r="J170" i="63"/>
  <c r="AT170" i="63"/>
  <c r="D170" i="63"/>
  <c r="L170" i="63"/>
  <c r="T170" i="63"/>
  <c r="P170" i="65" s="1"/>
  <c r="AV170" i="63"/>
  <c r="AJ170" i="63"/>
  <c r="N170" i="63"/>
  <c r="AK170" i="63"/>
  <c r="Q170" i="63"/>
  <c r="R170" i="65" s="1"/>
  <c r="X170" i="63"/>
  <c r="W170" i="65" s="1"/>
  <c r="R170" i="63"/>
  <c r="AG170" i="63"/>
  <c r="AH170" i="63"/>
  <c r="B170" i="63"/>
  <c r="B170" i="65" s="1"/>
  <c r="C170" i="63"/>
  <c r="X170" i="65" s="1"/>
  <c r="H170" i="63"/>
  <c r="V170" i="63"/>
  <c r="AM170" i="63"/>
  <c r="I171" i="81"/>
  <c r="J171" i="81"/>
  <c r="D171" i="81"/>
  <c r="M171" i="81"/>
  <c r="F171" i="81"/>
  <c r="N171" i="81"/>
  <c r="S171" i="81"/>
  <c r="O171" i="81"/>
  <c r="B171" i="81"/>
  <c r="A172" i="81"/>
  <c r="L171" i="81"/>
  <c r="T171" i="81"/>
  <c r="U171" i="81"/>
  <c r="Q171" i="81"/>
  <c r="R171" i="81"/>
  <c r="C171" i="81"/>
  <c r="E171" i="81"/>
  <c r="K171" i="81"/>
  <c r="P171" i="81"/>
  <c r="G171" i="81"/>
  <c r="H171" i="81"/>
  <c r="M169" i="65"/>
  <c r="S170" i="65" l="1"/>
  <c r="AJ171" i="63"/>
  <c r="AC171" i="63"/>
  <c r="AV171" i="63"/>
  <c r="E171" i="63"/>
  <c r="AS171" i="63"/>
  <c r="Q171" i="63"/>
  <c r="R171" i="65" s="1"/>
  <c r="U171" i="63"/>
  <c r="O171" i="65" s="1"/>
  <c r="AD171" i="63"/>
  <c r="AW171" i="63"/>
  <c r="AK171" i="63"/>
  <c r="AF171" i="63"/>
  <c r="R171" i="63"/>
  <c r="V171" i="63"/>
  <c r="AN171" i="63"/>
  <c r="Z171" i="63"/>
  <c r="AH171" i="63"/>
  <c r="AL171" i="63"/>
  <c r="H171" i="63"/>
  <c r="AA171" i="63"/>
  <c r="AX171" i="63"/>
  <c r="G171" i="63"/>
  <c r="AP171" i="63"/>
  <c r="AB171" i="63"/>
  <c r="C171" i="63"/>
  <c r="X171" i="65" s="1"/>
  <c r="W171" i="63"/>
  <c r="J171" i="63"/>
  <c r="AT171" i="63"/>
  <c r="K171" i="63"/>
  <c r="M171" i="63"/>
  <c r="AE171" i="63"/>
  <c r="B171" i="63"/>
  <c r="B171" i="65" s="1"/>
  <c r="AG171" i="63"/>
  <c r="S171" i="63"/>
  <c r="AQ171" i="63"/>
  <c r="AI171" i="63"/>
  <c r="L171" i="63"/>
  <c r="AY171" i="63"/>
  <c r="AR171" i="63"/>
  <c r="D171" i="63"/>
  <c r="O171" i="63"/>
  <c r="T171" i="63"/>
  <c r="P171" i="65" s="1"/>
  <c r="AU171" i="63"/>
  <c r="P171" i="63"/>
  <c r="X171" i="63"/>
  <c r="W171" i="65" s="1"/>
  <c r="F171" i="63"/>
  <c r="AM171" i="63"/>
  <c r="I171" i="63"/>
  <c r="Y171" i="63"/>
  <c r="AO171" i="63"/>
  <c r="N171" i="63"/>
  <c r="A172" i="63"/>
  <c r="C172" i="81"/>
  <c r="I172" i="81"/>
  <c r="J172" i="81"/>
  <c r="N172" i="81"/>
  <c r="O172" i="81"/>
  <c r="F172" i="81"/>
  <c r="R172" i="81"/>
  <c r="B172" i="81"/>
  <c r="T172" i="81"/>
  <c r="K172" i="81"/>
  <c r="Q172" i="81"/>
  <c r="S172" i="81"/>
  <c r="U172" i="81"/>
  <c r="H172" i="81"/>
  <c r="E172" i="81"/>
  <c r="D172" i="81"/>
  <c r="A173" i="81"/>
  <c r="P172" i="81"/>
  <c r="L172" i="81"/>
  <c r="G172" i="81"/>
  <c r="M172" i="81"/>
  <c r="U170" i="65"/>
  <c r="H170" i="65"/>
  <c r="Y170" i="65"/>
  <c r="M170" i="65"/>
  <c r="N170" i="65"/>
  <c r="S171" i="65" l="1"/>
  <c r="Y171" i="65"/>
  <c r="H171" i="65"/>
  <c r="N171" i="65"/>
  <c r="U171" i="65"/>
  <c r="K173" i="81"/>
  <c r="A174" i="81"/>
  <c r="Q173" i="81"/>
  <c r="S173" i="81"/>
  <c r="B173" i="81"/>
  <c r="U173" i="81"/>
  <c r="D173" i="81"/>
  <c r="J173" i="81"/>
  <c r="T173" i="81"/>
  <c r="E173" i="81"/>
  <c r="F173" i="81"/>
  <c r="G173" i="81"/>
  <c r="H173" i="81"/>
  <c r="O173" i="81"/>
  <c r="P173" i="81"/>
  <c r="N173" i="81"/>
  <c r="C173" i="81"/>
  <c r="I173" i="81"/>
  <c r="L173" i="81"/>
  <c r="R173" i="81"/>
  <c r="M173" i="81"/>
  <c r="AW172" i="63"/>
  <c r="G172" i="63"/>
  <c r="X172" i="63"/>
  <c r="W172" i="65" s="1"/>
  <c r="B172" i="63"/>
  <c r="B172" i="65" s="1"/>
  <c r="W172" i="63"/>
  <c r="Y172" i="63"/>
  <c r="R172" i="63"/>
  <c r="V172" i="63"/>
  <c r="Z172" i="63"/>
  <c r="A173" i="63"/>
  <c r="AX172" i="63"/>
  <c r="AM172" i="63"/>
  <c r="AD172" i="63"/>
  <c r="S172" i="63"/>
  <c r="AA172" i="63"/>
  <c r="F172" i="63"/>
  <c r="AI172" i="63"/>
  <c r="L172" i="63"/>
  <c r="AL172" i="63"/>
  <c r="AY172" i="63"/>
  <c r="AQ172" i="63"/>
  <c r="H172" i="63"/>
  <c r="D172" i="63"/>
  <c r="M172" i="63"/>
  <c r="I172" i="63"/>
  <c r="Q172" i="63"/>
  <c r="R172" i="65" s="1"/>
  <c r="AT172" i="63"/>
  <c r="AG172" i="63"/>
  <c r="AU172" i="63"/>
  <c r="AH172" i="63"/>
  <c r="AC172" i="63"/>
  <c r="C172" i="63"/>
  <c r="X172" i="65" s="1"/>
  <c r="AE172" i="63"/>
  <c r="T172" i="63"/>
  <c r="P172" i="65" s="1"/>
  <c r="J172" i="63"/>
  <c r="AB172" i="63"/>
  <c r="AJ172" i="63"/>
  <c r="AN172" i="63"/>
  <c r="E172" i="63"/>
  <c r="AO172" i="63"/>
  <c r="U172" i="63"/>
  <c r="O172" i="65" s="1"/>
  <c r="AP172" i="63"/>
  <c r="AK172" i="63"/>
  <c r="AV172" i="63"/>
  <c r="K172" i="63"/>
  <c r="AR172" i="63"/>
  <c r="N172" i="63"/>
  <c r="AS172" i="63"/>
  <c r="O172" i="63"/>
  <c r="P172" i="63"/>
  <c r="AF172" i="63"/>
  <c r="M171" i="65"/>
  <c r="S172" i="65" l="1"/>
  <c r="Y172" i="65"/>
  <c r="N172" i="65"/>
  <c r="H172" i="65"/>
  <c r="M172" i="65"/>
  <c r="U172" i="65"/>
  <c r="N174" i="81"/>
  <c r="H174" i="81"/>
  <c r="B174" i="81"/>
  <c r="J174" i="81"/>
  <c r="U174" i="81"/>
  <c r="K174" i="81"/>
  <c r="I174" i="81"/>
  <c r="L174" i="81"/>
  <c r="A175" i="81"/>
  <c r="Q174" i="81"/>
  <c r="D174" i="81"/>
  <c r="E174" i="81"/>
  <c r="F174" i="81"/>
  <c r="M174" i="81"/>
  <c r="O174" i="81"/>
  <c r="P174" i="81"/>
  <c r="R174" i="81"/>
  <c r="C174" i="81"/>
  <c r="G174" i="81"/>
  <c r="T174" i="81"/>
  <c r="S174" i="81"/>
  <c r="AH173" i="63"/>
  <c r="Z173" i="63"/>
  <c r="AL173" i="63"/>
  <c r="AX173" i="63"/>
  <c r="AA173" i="63"/>
  <c r="AQ173" i="63"/>
  <c r="AD173" i="63"/>
  <c r="S173" i="63"/>
  <c r="AB173" i="63"/>
  <c r="AS173" i="63"/>
  <c r="O173" i="63"/>
  <c r="AY173" i="63"/>
  <c r="AC173" i="63"/>
  <c r="M173" i="63"/>
  <c r="AE173" i="63"/>
  <c r="E173" i="63"/>
  <c r="G173" i="63"/>
  <c r="T173" i="63"/>
  <c r="P173" i="65" s="1"/>
  <c r="AU173" i="63"/>
  <c r="U173" i="63"/>
  <c r="O173" i="65" s="1"/>
  <c r="AJ173" i="63"/>
  <c r="P173" i="63"/>
  <c r="I173" i="63"/>
  <c r="A174" i="63"/>
  <c r="AW173" i="63"/>
  <c r="AN173" i="63"/>
  <c r="B173" i="63"/>
  <c r="B173" i="65" s="1"/>
  <c r="K173" i="63"/>
  <c r="R173" i="63"/>
  <c r="AO173" i="63"/>
  <c r="C173" i="63"/>
  <c r="X173" i="65" s="1"/>
  <c r="L173" i="63"/>
  <c r="AI173" i="63"/>
  <c r="AP173" i="63"/>
  <c r="AK173" i="63"/>
  <c r="AR173" i="63"/>
  <c r="W173" i="63"/>
  <c r="H173" i="63"/>
  <c r="V173" i="63"/>
  <c r="Y173" i="65" s="1"/>
  <c r="X173" i="63"/>
  <c r="W173" i="65" s="1"/>
  <c r="N173" i="63"/>
  <c r="AT173" i="63"/>
  <c r="AF173" i="63"/>
  <c r="AV173" i="63"/>
  <c r="Q173" i="63"/>
  <c r="R173" i="65" s="1"/>
  <c r="AG173" i="63"/>
  <c r="Y173" i="63"/>
  <c r="D173" i="63"/>
  <c r="F173" i="63"/>
  <c r="AM173" i="63"/>
  <c r="J173" i="63"/>
  <c r="M173" i="65" l="1"/>
  <c r="N173" i="65"/>
  <c r="H173" i="65"/>
  <c r="R175" i="81"/>
  <c r="S175" i="81"/>
  <c r="U175" i="81"/>
  <c r="D175" i="81"/>
  <c r="E175" i="81"/>
  <c r="L175" i="81"/>
  <c r="F175" i="81"/>
  <c r="G175" i="81"/>
  <c r="T175" i="81"/>
  <c r="A176" i="81"/>
  <c r="H175" i="81"/>
  <c r="O175" i="81"/>
  <c r="P175" i="81"/>
  <c r="Q175" i="81"/>
  <c r="J175" i="81"/>
  <c r="I175" i="81"/>
  <c r="K175" i="81"/>
  <c r="M175" i="81"/>
  <c r="C175" i="81"/>
  <c r="B175" i="81"/>
  <c r="N175" i="81"/>
  <c r="AD174" i="63"/>
  <c r="Z174" i="63"/>
  <c r="AP174" i="63"/>
  <c r="AT174" i="63"/>
  <c r="D174" i="63"/>
  <c r="T174" i="63"/>
  <c r="P174" i="65" s="1"/>
  <c r="AE174" i="63"/>
  <c r="E174" i="63"/>
  <c r="AQ174" i="63"/>
  <c r="P174" i="63"/>
  <c r="F174" i="63"/>
  <c r="AF174" i="63"/>
  <c r="AJ174" i="63"/>
  <c r="AX174" i="63"/>
  <c r="AV174" i="63"/>
  <c r="G174" i="63"/>
  <c r="V174" i="63"/>
  <c r="Q174" i="63"/>
  <c r="R174" i="65" s="1"/>
  <c r="AK174" i="63"/>
  <c r="K174" i="63"/>
  <c r="AG174" i="63"/>
  <c r="AW174" i="63"/>
  <c r="U174" i="63"/>
  <c r="O174" i="65" s="1"/>
  <c r="C174" i="63"/>
  <c r="X174" i="65" s="1"/>
  <c r="W174" i="63"/>
  <c r="S174" i="63"/>
  <c r="X174" i="63"/>
  <c r="W174" i="65" s="1"/>
  <c r="AI174" i="63"/>
  <c r="AY174" i="63"/>
  <c r="Y174" i="63"/>
  <c r="B174" i="63"/>
  <c r="B174" i="65" s="1"/>
  <c r="AO174" i="63"/>
  <c r="L174" i="63"/>
  <c r="AA174" i="63"/>
  <c r="A175" i="63"/>
  <c r="AB174" i="63"/>
  <c r="AH174" i="63"/>
  <c r="AR174" i="63"/>
  <c r="H174" i="63"/>
  <c r="M174" i="63"/>
  <c r="AL174" i="63"/>
  <c r="AC174" i="63"/>
  <c r="AS174" i="63"/>
  <c r="N174" i="63"/>
  <c r="O174" i="63"/>
  <c r="AU174" i="63"/>
  <c r="I174" i="63"/>
  <c r="AM174" i="63"/>
  <c r="J174" i="63"/>
  <c r="AN174" i="63"/>
  <c r="R174" i="63"/>
  <c r="S173" i="65"/>
  <c r="U173" i="65"/>
  <c r="M174" i="65" l="1"/>
  <c r="L176" i="81"/>
  <c r="M176" i="81"/>
  <c r="Q176" i="81"/>
  <c r="S176" i="81"/>
  <c r="T176" i="81"/>
  <c r="N176" i="81"/>
  <c r="I176" i="81"/>
  <c r="O176" i="81"/>
  <c r="A177" i="81"/>
  <c r="E176" i="81"/>
  <c r="U176" i="81"/>
  <c r="K176" i="81"/>
  <c r="R176" i="81"/>
  <c r="B176" i="81"/>
  <c r="C176" i="81"/>
  <c r="J176" i="81"/>
  <c r="G176" i="81"/>
  <c r="H176" i="81"/>
  <c r="F176" i="81"/>
  <c r="P176" i="81"/>
  <c r="D176" i="81"/>
  <c r="S174" i="65"/>
  <c r="N174" i="65"/>
  <c r="Z175" i="63"/>
  <c r="AU175" i="63"/>
  <c r="S175" i="63"/>
  <c r="U175" i="63"/>
  <c r="O175" i="65" s="1"/>
  <c r="AP175" i="63"/>
  <c r="Q175" i="63"/>
  <c r="R175" i="65" s="1"/>
  <c r="AV175" i="63"/>
  <c r="AA175" i="63"/>
  <c r="AW175" i="63"/>
  <c r="AF175" i="63"/>
  <c r="L175" i="63"/>
  <c r="AJ175" i="63"/>
  <c r="V175" i="63"/>
  <c r="AB175" i="63"/>
  <c r="G175" i="63"/>
  <c r="W175" i="63"/>
  <c r="A176" i="63"/>
  <c r="AR175" i="63"/>
  <c r="AK175" i="63"/>
  <c r="M175" i="63"/>
  <c r="H175" i="63"/>
  <c r="X175" i="63"/>
  <c r="W175" i="65" s="1"/>
  <c r="O175" i="63"/>
  <c r="AY175" i="63"/>
  <c r="AE175" i="63"/>
  <c r="C175" i="63"/>
  <c r="X175" i="65" s="1"/>
  <c r="AG175" i="63"/>
  <c r="D175" i="63"/>
  <c r="F175" i="63"/>
  <c r="E175" i="63"/>
  <c r="AL175" i="63"/>
  <c r="AI175" i="63"/>
  <c r="I175" i="63"/>
  <c r="AH175" i="63"/>
  <c r="AM175" i="63"/>
  <c r="P175" i="63"/>
  <c r="J175" i="63"/>
  <c r="AN175" i="63"/>
  <c r="K175" i="63"/>
  <c r="R175" i="63"/>
  <c r="S175" i="65" s="1"/>
  <c r="AQ175" i="63"/>
  <c r="AO175" i="63"/>
  <c r="AX175" i="63"/>
  <c r="B175" i="63"/>
  <c r="B175" i="65" s="1"/>
  <c r="Y175" i="63"/>
  <c r="AC175" i="63"/>
  <c r="AS175" i="63"/>
  <c r="N175" i="63"/>
  <c r="AT175" i="63"/>
  <c r="T175" i="63"/>
  <c r="P175" i="65" s="1"/>
  <c r="AD175" i="63"/>
  <c r="Y174" i="65"/>
  <c r="H174" i="65"/>
  <c r="U174" i="65"/>
  <c r="M175" i="65" l="1"/>
  <c r="Q177" i="81"/>
  <c r="S177" i="81"/>
  <c r="B177" i="81"/>
  <c r="T177" i="81"/>
  <c r="R177" i="81"/>
  <c r="K177" i="81"/>
  <c r="G177" i="81"/>
  <c r="A178" i="81"/>
  <c r="H177" i="81"/>
  <c r="D177" i="81"/>
  <c r="F177" i="81"/>
  <c r="I177" i="81"/>
  <c r="E177" i="81"/>
  <c r="J177" i="81"/>
  <c r="L177" i="81"/>
  <c r="M177" i="81"/>
  <c r="N177" i="81"/>
  <c r="O177" i="81"/>
  <c r="P177" i="81"/>
  <c r="U177" i="81"/>
  <c r="C177" i="81"/>
  <c r="N175" i="65"/>
  <c r="Y175" i="65"/>
  <c r="H175" i="65"/>
  <c r="K176" i="63"/>
  <c r="R176" i="63"/>
  <c r="D176" i="63"/>
  <c r="AA176" i="63"/>
  <c r="AV176" i="63"/>
  <c r="AH176" i="63"/>
  <c r="L176" i="63"/>
  <c r="AW176" i="63"/>
  <c r="AI176" i="63"/>
  <c r="M176" i="63"/>
  <c r="AX176" i="63"/>
  <c r="N176" i="63"/>
  <c r="X176" i="63"/>
  <c r="W176" i="65" s="1"/>
  <c r="AS176" i="63"/>
  <c r="AJ176" i="63"/>
  <c r="AR176" i="63"/>
  <c r="B176" i="63"/>
  <c r="B176" i="65" s="1"/>
  <c r="AC176" i="63"/>
  <c r="AF176" i="63"/>
  <c r="O176" i="63"/>
  <c r="C176" i="63"/>
  <c r="X176" i="65" s="1"/>
  <c r="AE176" i="63"/>
  <c r="AG176" i="63"/>
  <c r="AU176" i="63"/>
  <c r="E176" i="63"/>
  <c r="P176" i="63"/>
  <c r="F176" i="63"/>
  <c r="H176" i="63"/>
  <c r="AM176" i="63"/>
  <c r="G176" i="63"/>
  <c r="AN176" i="63"/>
  <c r="Q176" i="63"/>
  <c r="R176" i="65" s="1"/>
  <c r="AD176" i="63"/>
  <c r="I176" i="63"/>
  <c r="AT176" i="63"/>
  <c r="AK176" i="63"/>
  <c r="Y176" i="63"/>
  <c r="S176" i="63"/>
  <c r="AL176" i="63"/>
  <c r="AO176" i="63"/>
  <c r="T176" i="63"/>
  <c r="P176" i="65" s="1"/>
  <c r="J176" i="63"/>
  <c r="Z176" i="63"/>
  <c r="AP176" i="63"/>
  <c r="AQ176" i="63"/>
  <c r="AB176" i="63"/>
  <c r="U176" i="63"/>
  <c r="O176" i="65" s="1"/>
  <c r="AY176" i="63"/>
  <c r="V176" i="63"/>
  <c r="W176" i="63"/>
  <c r="A177" i="63"/>
  <c r="U175" i="65"/>
  <c r="U176" i="65" l="1"/>
  <c r="H176" i="65"/>
  <c r="Y176" i="65"/>
  <c r="G178" i="81"/>
  <c r="H178" i="81"/>
  <c r="I178" i="81"/>
  <c r="L178" i="81"/>
  <c r="M178" i="81"/>
  <c r="J178" i="81"/>
  <c r="N178" i="81"/>
  <c r="B178" i="81"/>
  <c r="C178" i="81"/>
  <c r="S178" i="81"/>
  <c r="D178" i="81"/>
  <c r="U178" i="81"/>
  <c r="F178" i="81"/>
  <c r="K178" i="81"/>
  <c r="O178" i="81"/>
  <c r="T178" i="81"/>
  <c r="E178" i="81"/>
  <c r="Q178" i="81"/>
  <c r="A179" i="81"/>
  <c r="R178" i="81"/>
  <c r="P178" i="81"/>
  <c r="S176" i="65"/>
  <c r="M176" i="65"/>
  <c r="N176" i="65"/>
  <c r="G177" i="63"/>
  <c r="S177" i="63"/>
  <c r="AD177" i="63"/>
  <c r="AK177" i="63"/>
  <c r="W177" i="63"/>
  <c r="AS177" i="63"/>
  <c r="AY177" i="63"/>
  <c r="AP177" i="63"/>
  <c r="H177" i="63"/>
  <c r="AF177" i="63"/>
  <c r="A178" i="63"/>
  <c r="AN177" i="63"/>
  <c r="L177" i="63"/>
  <c r="Y177" i="63"/>
  <c r="Z177" i="63"/>
  <c r="N177" i="63"/>
  <c r="X177" i="63"/>
  <c r="W177" i="65" s="1"/>
  <c r="AW177" i="63"/>
  <c r="B177" i="63"/>
  <c r="B177" i="65" s="1"/>
  <c r="I177" i="63"/>
  <c r="AC177" i="63"/>
  <c r="AO177" i="63"/>
  <c r="AX177" i="63"/>
  <c r="K177" i="63"/>
  <c r="C177" i="63"/>
  <c r="X177" i="65" s="1"/>
  <c r="AA177" i="63"/>
  <c r="E177" i="63"/>
  <c r="AQ177" i="63"/>
  <c r="J177" i="63"/>
  <c r="M177" i="63"/>
  <c r="AG177" i="63"/>
  <c r="R177" i="63"/>
  <c r="S177" i="65" s="1"/>
  <c r="AH177" i="63"/>
  <c r="AR177" i="63"/>
  <c r="AI177" i="63"/>
  <c r="T177" i="63"/>
  <c r="P177" i="65" s="1"/>
  <c r="D177" i="63"/>
  <c r="V177" i="63"/>
  <c r="Y177" i="65" s="1"/>
  <c r="AL177" i="63"/>
  <c r="AM177" i="63"/>
  <c r="AT177" i="63"/>
  <c r="U177" i="63"/>
  <c r="O177" i="65" s="1"/>
  <c r="AU177" i="63"/>
  <c r="AV177" i="63"/>
  <c r="AB177" i="63"/>
  <c r="O177" i="63"/>
  <c r="P177" i="63"/>
  <c r="Q177" i="63"/>
  <c r="R177" i="65" s="1"/>
  <c r="F177" i="63"/>
  <c r="AE177" i="63"/>
  <c r="AJ177" i="63"/>
  <c r="H177" i="65" l="1"/>
  <c r="U177" i="65"/>
  <c r="N177" i="65"/>
  <c r="AM178" i="63"/>
  <c r="AT178" i="63"/>
  <c r="L178" i="63"/>
  <c r="I178" i="63"/>
  <c r="Z178" i="63"/>
  <c r="M178" i="63"/>
  <c r="AO178" i="63"/>
  <c r="AA178" i="63"/>
  <c r="AB178" i="63"/>
  <c r="AJ178" i="63"/>
  <c r="P178" i="63"/>
  <c r="AC178" i="63"/>
  <c r="AI178" i="63"/>
  <c r="U178" i="63"/>
  <c r="O178" i="65" s="1"/>
  <c r="Q178" i="63"/>
  <c r="R178" i="65" s="1"/>
  <c r="H178" i="63"/>
  <c r="R178" i="63"/>
  <c r="B178" i="63"/>
  <c r="B178" i="65" s="1"/>
  <c r="D178" i="63"/>
  <c r="AR178" i="63"/>
  <c r="N178" i="63"/>
  <c r="T178" i="63"/>
  <c r="P178" i="65" s="1"/>
  <c r="S178" i="63"/>
  <c r="AG178" i="63"/>
  <c r="E178" i="63"/>
  <c r="AS178" i="63"/>
  <c r="AH178" i="63"/>
  <c r="X178" i="63"/>
  <c r="W178" i="65" s="1"/>
  <c r="AW178" i="63"/>
  <c r="AK178" i="63"/>
  <c r="F178" i="63"/>
  <c r="AU178" i="63"/>
  <c r="A179" i="63"/>
  <c r="V178" i="63"/>
  <c r="AV178" i="63"/>
  <c r="AL178" i="63"/>
  <c r="C178" i="63"/>
  <c r="X178" i="65" s="1"/>
  <c r="G178" i="63"/>
  <c r="AX178" i="63"/>
  <c r="W178" i="63"/>
  <c r="AD178" i="63"/>
  <c r="AP178" i="63"/>
  <c r="AQ178" i="63"/>
  <c r="AY178" i="63"/>
  <c r="J178" i="63"/>
  <c r="N178" i="65" s="1"/>
  <c r="AE178" i="63"/>
  <c r="K178" i="63"/>
  <c r="AF178" i="63"/>
  <c r="Y178" i="63"/>
  <c r="O178" i="63"/>
  <c r="AN178" i="63"/>
  <c r="H179" i="81"/>
  <c r="K179" i="81"/>
  <c r="L179" i="81"/>
  <c r="R179" i="81"/>
  <c r="S179" i="81"/>
  <c r="I179" i="81"/>
  <c r="J179" i="81"/>
  <c r="N179" i="81"/>
  <c r="P179" i="81"/>
  <c r="G179" i="81"/>
  <c r="M179" i="81"/>
  <c r="U179" i="81"/>
  <c r="B179" i="81"/>
  <c r="F179" i="81"/>
  <c r="C179" i="81"/>
  <c r="O179" i="81"/>
  <c r="T179" i="81"/>
  <c r="D179" i="81"/>
  <c r="Q179" i="81"/>
  <c r="E179" i="81"/>
  <c r="A180" i="81"/>
  <c r="M177" i="65"/>
  <c r="U180" i="81" l="1"/>
  <c r="H180" i="81"/>
  <c r="F180" i="81"/>
  <c r="I180" i="81"/>
  <c r="J180" i="81"/>
  <c r="R180" i="81"/>
  <c r="L180" i="81"/>
  <c r="M180" i="81"/>
  <c r="E180" i="81"/>
  <c r="K180" i="81"/>
  <c r="N180" i="81"/>
  <c r="P180" i="81"/>
  <c r="Q180" i="81"/>
  <c r="S180" i="81"/>
  <c r="C180" i="81"/>
  <c r="D180" i="81"/>
  <c r="G180" i="81"/>
  <c r="A181" i="81"/>
  <c r="T180" i="81"/>
  <c r="B180" i="81"/>
  <c r="O180" i="81"/>
  <c r="H178" i="65"/>
  <c r="U178" i="65"/>
  <c r="Y178" i="65"/>
  <c r="C179" i="63"/>
  <c r="X179" i="65" s="1"/>
  <c r="AG179" i="63"/>
  <c r="Z179" i="63"/>
  <c r="AF179" i="63"/>
  <c r="S179" i="63"/>
  <c r="M179" i="63"/>
  <c r="AU179" i="63"/>
  <c r="A180" i="63"/>
  <c r="AY179" i="63"/>
  <c r="N179" i="63"/>
  <c r="AV179" i="63"/>
  <c r="E179" i="63"/>
  <c r="AP179" i="63"/>
  <c r="AC179" i="63"/>
  <c r="U179" i="63"/>
  <c r="O179" i="65" s="1"/>
  <c r="X179" i="63"/>
  <c r="W179" i="65" s="1"/>
  <c r="AK179" i="63"/>
  <c r="AS179" i="63"/>
  <c r="G179" i="63"/>
  <c r="AA179" i="63"/>
  <c r="W179" i="63"/>
  <c r="F179" i="63"/>
  <c r="AM179" i="63"/>
  <c r="AB179" i="63"/>
  <c r="L179" i="63"/>
  <c r="AW179" i="63"/>
  <c r="AL179" i="63"/>
  <c r="H179" i="63"/>
  <c r="B179" i="63"/>
  <c r="B179" i="65" s="1"/>
  <c r="AN179" i="63"/>
  <c r="AT179" i="63"/>
  <c r="R179" i="63"/>
  <c r="O179" i="63"/>
  <c r="I179" i="63"/>
  <c r="AH179" i="63"/>
  <c r="AO179" i="63"/>
  <c r="J179" i="63"/>
  <c r="AR179" i="63"/>
  <c r="K179" i="63"/>
  <c r="Y179" i="63"/>
  <c r="AD179" i="63"/>
  <c r="AE179" i="63"/>
  <c r="AX179" i="63"/>
  <c r="AI179" i="63"/>
  <c r="D179" i="63"/>
  <c r="T179" i="63"/>
  <c r="P179" i="65" s="1"/>
  <c r="AJ179" i="63"/>
  <c r="P179" i="63"/>
  <c r="Q179" i="63"/>
  <c r="R179" i="65" s="1"/>
  <c r="V179" i="63"/>
  <c r="AQ179" i="63"/>
  <c r="S178" i="65"/>
  <c r="M178" i="65"/>
  <c r="N179" i="65" l="1"/>
  <c r="Y179" i="65"/>
  <c r="E180" i="63"/>
  <c r="O180" i="63"/>
  <c r="H180" i="63"/>
  <c r="U180" i="63"/>
  <c r="O180" i="65" s="1"/>
  <c r="AO180" i="63"/>
  <c r="V180" i="63"/>
  <c r="AF180" i="63"/>
  <c r="AK180" i="63"/>
  <c r="B180" i="63"/>
  <c r="B180" i="65" s="1"/>
  <c r="K180" i="63"/>
  <c r="AS180" i="63"/>
  <c r="AV180" i="63"/>
  <c r="AJ180" i="63"/>
  <c r="AU180" i="63"/>
  <c r="Q180" i="63"/>
  <c r="R180" i="65" s="1"/>
  <c r="L180" i="63"/>
  <c r="F180" i="63"/>
  <c r="AG180" i="63"/>
  <c r="AL180" i="63"/>
  <c r="G180" i="63"/>
  <c r="AW180" i="63"/>
  <c r="M180" i="63"/>
  <c r="AA180" i="63"/>
  <c r="R180" i="63"/>
  <c r="S180" i="65" s="1"/>
  <c r="AM180" i="63"/>
  <c r="AB180" i="63"/>
  <c r="AH180" i="63"/>
  <c r="N180" i="63"/>
  <c r="AC180" i="63"/>
  <c r="AX180" i="63"/>
  <c r="AN180" i="63"/>
  <c r="AQ180" i="63"/>
  <c r="C180" i="63"/>
  <c r="X180" i="65" s="1"/>
  <c r="T180" i="63"/>
  <c r="P180" i="65" s="1"/>
  <c r="S180" i="63"/>
  <c r="AP180" i="63"/>
  <c r="AI180" i="63"/>
  <c r="W180" i="63"/>
  <c r="A181" i="63"/>
  <c r="AY180" i="63"/>
  <c r="AR180" i="63"/>
  <c r="P180" i="63"/>
  <c r="I180" i="63"/>
  <c r="AD180" i="63"/>
  <c r="J180" i="63"/>
  <c r="AE180" i="63"/>
  <c r="Y180" i="63"/>
  <c r="AT180" i="63"/>
  <c r="D180" i="63"/>
  <c r="Z180" i="63"/>
  <c r="X180" i="63"/>
  <c r="W180" i="65" s="1"/>
  <c r="S179" i="65"/>
  <c r="M179" i="65"/>
  <c r="M181" i="81"/>
  <c r="U181" i="81"/>
  <c r="D181" i="81"/>
  <c r="Q181" i="81"/>
  <c r="C181" i="81"/>
  <c r="B181" i="81"/>
  <c r="E181" i="81"/>
  <c r="H181" i="81"/>
  <c r="N181" i="81"/>
  <c r="O181" i="81"/>
  <c r="S181" i="81"/>
  <c r="T181" i="81"/>
  <c r="L181" i="81"/>
  <c r="J181" i="81"/>
  <c r="A182" i="81"/>
  <c r="R181" i="81"/>
  <c r="G181" i="81"/>
  <c r="P181" i="81"/>
  <c r="K181" i="81"/>
  <c r="I181" i="81"/>
  <c r="F181" i="81"/>
  <c r="H179" i="65"/>
  <c r="U179" i="65"/>
  <c r="N180" i="65" l="1"/>
  <c r="U180" i="65"/>
  <c r="AF181" i="63"/>
  <c r="AH181" i="63"/>
  <c r="AR181" i="63"/>
  <c r="AV181" i="63"/>
  <c r="J181" i="63"/>
  <c r="AN181" i="63"/>
  <c r="P181" i="63"/>
  <c r="K181" i="63"/>
  <c r="D181" i="63"/>
  <c r="Q181" i="63"/>
  <c r="R181" i="65" s="1"/>
  <c r="AK181" i="63"/>
  <c r="E181" i="63"/>
  <c r="AG181" i="63"/>
  <c r="L181" i="63"/>
  <c r="R181" i="63"/>
  <c r="AW181" i="63"/>
  <c r="AL181" i="63"/>
  <c r="X181" i="63"/>
  <c r="W181" i="65" s="1"/>
  <c r="C181" i="63"/>
  <c r="X181" i="65" s="1"/>
  <c r="M181" i="63"/>
  <c r="S181" i="63"/>
  <c r="AM181" i="63"/>
  <c r="Y181" i="63"/>
  <c r="AI181" i="63"/>
  <c r="T181" i="63"/>
  <c r="P181" i="65" s="1"/>
  <c r="Z181" i="63"/>
  <c r="AY181" i="63"/>
  <c r="AO181" i="63"/>
  <c r="F181" i="63"/>
  <c r="U181" i="63"/>
  <c r="O181" i="65" s="1"/>
  <c r="AA181" i="63"/>
  <c r="AP181" i="63"/>
  <c r="N181" i="63"/>
  <c r="G181" i="63"/>
  <c r="V181" i="63"/>
  <c r="A182" i="63"/>
  <c r="AD181" i="63"/>
  <c r="AT181" i="63"/>
  <c r="O181" i="63"/>
  <c r="AE181" i="63"/>
  <c r="AU181" i="63"/>
  <c r="AB181" i="63"/>
  <c r="H181" i="63"/>
  <c r="AC181" i="63"/>
  <c r="I181" i="63"/>
  <c r="AJ181" i="63"/>
  <c r="AQ181" i="63"/>
  <c r="W181" i="63"/>
  <c r="AS181" i="63"/>
  <c r="AX181" i="63"/>
  <c r="B181" i="63"/>
  <c r="B181" i="65" s="1"/>
  <c r="Y180" i="65"/>
  <c r="T182" i="81"/>
  <c r="Q182" i="81"/>
  <c r="U182" i="81"/>
  <c r="F182" i="81"/>
  <c r="G182" i="81"/>
  <c r="S182" i="81"/>
  <c r="D182" i="81"/>
  <c r="E182" i="81"/>
  <c r="I182" i="81"/>
  <c r="J182" i="81"/>
  <c r="K182" i="81"/>
  <c r="P182" i="81"/>
  <c r="A183" i="81"/>
  <c r="M182" i="81"/>
  <c r="N182" i="81"/>
  <c r="R182" i="81"/>
  <c r="H182" i="81"/>
  <c r="L182" i="81"/>
  <c r="B182" i="81"/>
  <c r="O182" i="81"/>
  <c r="C182" i="81"/>
  <c r="M180" i="65"/>
  <c r="H180" i="65"/>
  <c r="S181" i="65" l="1"/>
  <c r="U181" i="65"/>
  <c r="M181" i="65"/>
  <c r="H181" i="65"/>
  <c r="N181" i="65"/>
  <c r="L182" i="63"/>
  <c r="X182" i="63"/>
  <c r="W182" i="65" s="1"/>
  <c r="AH182" i="63"/>
  <c r="AI182" i="63"/>
  <c r="AB182" i="63"/>
  <c r="AV182" i="63"/>
  <c r="P182" i="63"/>
  <c r="AN182" i="63"/>
  <c r="AD182" i="63"/>
  <c r="AA182" i="63"/>
  <c r="T182" i="63"/>
  <c r="P182" i="65" s="1"/>
  <c r="AT182" i="63"/>
  <c r="AY182" i="63"/>
  <c r="O182" i="63"/>
  <c r="H182" i="63"/>
  <c r="U182" i="63"/>
  <c r="O182" i="65" s="1"/>
  <c r="AE182" i="63"/>
  <c r="AF182" i="63"/>
  <c r="AU182" i="63"/>
  <c r="I182" i="63"/>
  <c r="V182" i="63"/>
  <c r="C182" i="63"/>
  <c r="X182" i="65" s="1"/>
  <c r="AG182" i="63"/>
  <c r="AO182" i="63"/>
  <c r="W182" i="63"/>
  <c r="J182" i="63"/>
  <c r="AP182" i="63"/>
  <c r="AQ182" i="63"/>
  <c r="AJ182" i="63"/>
  <c r="D182" i="63"/>
  <c r="Q182" i="63"/>
  <c r="R182" i="65" s="1"/>
  <c r="E182" i="63"/>
  <c r="AK182" i="63"/>
  <c r="A183" i="63"/>
  <c r="Y182" i="63"/>
  <c r="R182" i="63"/>
  <c r="M182" i="63"/>
  <c r="AC182" i="63"/>
  <c r="AS182" i="63"/>
  <c r="N182" i="63"/>
  <c r="AW182" i="63"/>
  <c r="F182" i="63"/>
  <c r="Z182" i="63"/>
  <c r="AX182" i="63"/>
  <c r="G182" i="63"/>
  <c r="AL182" i="63"/>
  <c r="S182" i="63"/>
  <c r="AR182" i="63"/>
  <c r="AM182" i="63"/>
  <c r="B182" i="63"/>
  <c r="B182" i="65" s="1"/>
  <c r="K182" i="63"/>
  <c r="Y181" i="65"/>
  <c r="N183" i="81"/>
  <c r="K183" i="81"/>
  <c r="O183" i="81"/>
  <c r="H183" i="81"/>
  <c r="P183" i="81"/>
  <c r="A184" i="81"/>
  <c r="B183" i="81"/>
  <c r="C183" i="81"/>
  <c r="G183" i="81"/>
  <c r="Q183" i="81"/>
  <c r="R183" i="81"/>
  <c r="T183" i="81"/>
  <c r="E183" i="81"/>
  <c r="M183" i="81"/>
  <c r="I183" i="81"/>
  <c r="J183" i="81"/>
  <c r="F183" i="81"/>
  <c r="S183" i="81"/>
  <c r="L183" i="81"/>
  <c r="U183" i="81"/>
  <c r="D183" i="81"/>
  <c r="N182" i="65" l="1"/>
  <c r="H182" i="65"/>
  <c r="U184" i="81"/>
  <c r="F184" i="81"/>
  <c r="L184" i="81"/>
  <c r="H184" i="81"/>
  <c r="M184" i="81"/>
  <c r="O184" i="81"/>
  <c r="P184" i="81"/>
  <c r="Q184" i="81"/>
  <c r="J184" i="81"/>
  <c r="T184" i="81"/>
  <c r="K184" i="81"/>
  <c r="A185" i="81"/>
  <c r="B184" i="81"/>
  <c r="C184" i="81"/>
  <c r="D184" i="81"/>
  <c r="G184" i="81"/>
  <c r="R184" i="81"/>
  <c r="N184" i="81"/>
  <c r="S184" i="81"/>
  <c r="E184" i="81"/>
  <c r="I184" i="81"/>
  <c r="Y182" i="65"/>
  <c r="S182" i="65"/>
  <c r="AG183" i="63"/>
  <c r="V183" i="63"/>
  <c r="AB183" i="63"/>
  <c r="AW183" i="63"/>
  <c r="AL183" i="63"/>
  <c r="AC183" i="63"/>
  <c r="AF183" i="63"/>
  <c r="D183" i="63"/>
  <c r="AM183" i="63"/>
  <c r="AV183" i="63"/>
  <c r="F183" i="63"/>
  <c r="AR183" i="63"/>
  <c r="Q183" i="63"/>
  <c r="R183" i="65" s="1"/>
  <c r="X183" i="63"/>
  <c r="W183" i="65" s="1"/>
  <c r="AS183" i="63"/>
  <c r="R183" i="63"/>
  <c r="AT183" i="63"/>
  <c r="AH183" i="63"/>
  <c r="AN183" i="63"/>
  <c r="E183" i="63"/>
  <c r="AX183" i="63"/>
  <c r="G183" i="63"/>
  <c r="K183" i="63"/>
  <c r="S183" i="63"/>
  <c r="Y183" i="63"/>
  <c r="M183" i="63"/>
  <c r="AI183" i="63"/>
  <c r="AO183" i="63"/>
  <c r="N183" i="63"/>
  <c r="AY183" i="63"/>
  <c r="H183" i="63"/>
  <c r="B183" i="63"/>
  <c r="B183" i="65" s="1"/>
  <c r="Z183" i="63"/>
  <c r="J183" i="63"/>
  <c r="T183" i="63"/>
  <c r="P183" i="65" s="1"/>
  <c r="AP183" i="63"/>
  <c r="A184" i="63"/>
  <c r="AE183" i="63"/>
  <c r="AU183" i="63"/>
  <c r="P183" i="63"/>
  <c r="AJ183" i="63"/>
  <c r="C183" i="63"/>
  <c r="X183" i="65" s="1"/>
  <c r="U183" i="63"/>
  <c r="O183" i="65" s="1"/>
  <c r="AK183" i="63"/>
  <c r="I183" i="63"/>
  <c r="AA183" i="63"/>
  <c r="AQ183" i="63"/>
  <c r="L183" i="63"/>
  <c r="W183" i="63"/>
  <c r="AD183" i="63"/>
  <c r="O183" i="63"/>
  <c r="U182" i="65"/>
  <c r="M182" i="65"/>
  <c r="M183" i="65" l="1"/>
  <c r="S183" i="65"/>
  <c r="H183" i="65"/>
  <c r="C185" i="81"/>
  <c r="D185" i="81"/>
  <c r="E185" i="81"/>
  <c r="I185" i="81"/>
  <c r="K185" i="81"/>
  <c r="L185" i="81"/>
  <c r="S185" i="81"/>
  <c r="T185" i="81"/>
  <c r="Q185" i="81"/>
  <c r="U185" i="81"/>
  <c r="B185" i="81"/>
  <c r="N185" i="81"/>
  <c r="J185" i="81"/>
  <c r="M185" i="81"/>
  <c r="A186" i="81"/>
  <c r="F185" i="81"/>
  <c r="G185" i="81"/>
  <c r="R185" i="81"/>
  <c r="O185" i="81"/>
  <c r="P185" i="81"/>
  <c r="H185" i="81"/>
  <c r="Y183" i="65"/>
  <c r="N183" i="65"/>
  <c r="AS184" i="63"/>
  <c r="AX184" i="63"/>
  <c r="X184" i="63"/>
  <c r="W184" i="65" s="1"/>
  <c r="AB184" i="63"/>
  <c r="N184" i="63"/>
  <c r="C184" i="63"/>
  <c r="X184" i="65" s="1"/>
  <c r="AN184" i="63"/>
  <c r="Z184" i="63"/>
  <c r="AE184" i="63"/>
  <c r="E184" i="63"/>
  <c r="AU184" i="63"/>
  <c r="AJ184" i="63"/>
  <c r="J184" i="63"/>
  <c r="P184" i="63"/>
  <c r="F184" i="63"/>
  <c r="K184" i="63"/>
  <c r="AF184" i="63"/>
  <c r="V184" i="63"/>
  <c r="Y184" i="65" s="1"/>
  <c r="L184" i="63"/>
  <c r="AV184" i="63"/>
  <c r="AL184" i="63"/>
  <c r="U184" i="63"/>
  <c r="O184" i="65" s="1"/>
  <c r="Q184" i="63"/>
  <c r="R184" i="65" s="1"/>
  <c r="G184" i="63"/>
  <c r="AG184" i="63"/>
  <c r="W184" i="63"/>
  <c r="AA184" i="63"/>
  <c r="AW184" i="63"/>
  <c r="AM184" i="63"/>
  <c r="B184" i="63"/>
  <c r="B184" i="65" s="1"/>
  <c r="H184" i="63"/>
  <c r="R184" i="63"/>
  <c r="I184" i="63"/>
  <c r="A185" i="63"/>
  <c r="AH184" i="63"/>
  <c r="Y184" i="63"/>
  <c r="AT184" i="63"/>
  <c r="O184" i="63"/>
  <c r="S184" i="63"/>
  <c r="AI184" i="63"/>
  <c r="AY184" i="63"/>
  <c r="D184" i="63"/>
  <c r="T184" i="63"/>
  <c r="P184" i="65" s="1"/>
  <c r="AO184" i="63"/>
  <c r="AK184" i="63"/>
  <c r="AP184" i="63"/>
  <c r="AQ184" i="63"/>
  <c r="M184" i="63"/>
  <c r="AC184" i="63"/>
  <c r="AD184" i="63"/>
  <c r="AR184" i="63"/>
  <c r="U183" i="65"/>
  <c r="M186" i="81" l="1"/>
  <c r="P186" i="81"/>
  <c r="N186" i="81"/>
  <c r="Q186" i="81"/>
  <c r="B186" i="81"/>
  <c r="U186" i="81"/>
  <c r="C186" i="81"/>
  <c r="A187" i="81"/>
  <c r="S186" i="81"/>
  <c r="E186" i="81"/>
  <c r="H186" i="81"/>
  <c r="I186" i="81"/>
  <c r="K186" i="81"/>
  <c r="L186" i="81"/>
  <c r="F186" i="81"/>
  <c r="G186" i="81"/>
  <c r="T186" i="81"/>
  <c r="D186" i="81"/>
  <c r="J186" i="81"/>
  <c r="O186" i="81"/>
  <c r="R186" i="81"/>
  <c r="S184" i="65"/>
  <c r="N184" i="65"/>
  <c r="AT185" i="63"/>
  <c r="O185" i="63"/>
  <c r="AJ185" i="63"/>
  <c r="J185" i="63"/>
  <c r="M185" i="63"/>
  <c r="AX185" i="63"/>
  <c r="H185" i="63"/>
  <c r="AC185" i="63"/>
  <c r="D185" i="63"/>
  <c r="I185" i="63"/>
  <c r="AS185" i="63"/>
  <c r="T185" i="63"/>
  <c r="P185" i="65" s="1"/>
  <c r="S185" i="63"/>
  <c r="N185" i="63"/>
  <c r="E185" i="63"/>
  <c r="X185" i="63"/>
  <c r="W185" i="65" s="1"/>
  <c r="AD185" i="63"/>
  <c r="U185" i="63"/>
  <c r="O185" i="65" s="1"/>
  <c r="AE185" i="63"/>
  <c r="Y185" i="63"/>
  <c r="AU185" i="63"/>
  <c r="AK185" i="63"/>
  <c r="Z185" i="63"/>
  <c r="P185" i="63"/>
  <c r="F185" i="63"/>
  <c r="AI185" i="63"/>
  <c r="AF185" i="63"/>
  <c r="V185" i="63"/>
  <c r="AN185" i="63"/>
  <c r="AV185" i="63"/>
  <c r="AL185" i="63"/>
  <c r="AO185" i="63"/>
  <c r="K185" i="63"/>
  <c r="Q185" i="63"/>
  <c r="R185" i="65" s="1"/>
  <c r="G185" i="63"/>
  <c r="AP185" i="63"/>
  <c r="AR185" i="63"/>
  <c r="AG185" i="63"/>
  <c r="AW185" i="63"/>
  <c r="B185" i="63"/>
  <c r="B185" i="65" s="1"/>
  <c r="R185" i="63"/>
  <c r="AH185" i="63"/>
  <c r="W185" i="63"/>
  <c r="AM185" i="63"/>
  <c r="AY185" i="63"/>
  <c r="C185" i="63"/>
  <c r="X185" i="65" s="1"/>
  <c r="AA185" i="63"/>
  <c r="AQ185" i="63"/>
  <c r="L185" i="63"/>
  <c r="AB185" i="63"/>
  <c r="A186" i="63"/>
  <c r="M184" i="65"/>
  <c r="U184" i="65"/>
  <c r="H184" i="65"/>
  <c r="S185" i="65" l="1"/>
  <c r="Y185" i="65"/>
  <c r="N185" i="65"/>
  <c r="M185" i="65"/>
  <c r="Z186" i="63"/>
  <c r="J186" i="63"/>
  <c r="AU186" i="63"/>
  <c r="U186" i="63"/>
  <c r="O186" i="65" s="1"/>
  <c r="AP186" i="63"/>
  <c r="P186" i="63"/>
  <c r="A187" i="63"/>
  <c r="K186" i="63"/>
  <c r="AF186" i="63"/>
  <c r="AK186" i="63"/>
  <c r="AA186" i="63"/>
  <c r="AV186" i="63"/>
  <c r="F186" i="63"/>
  <c r="AQ186" i="63"/>
  <c r="B186" i="63"/>
  <c r="B186" i="65" s="1"/>
  <c r="G186" i="63"/>
  <c r="L186" i="63"/>
  <c r="R186" i="63"/>
  <c r="H186" i="63"/>
  <c r="AB186" i="63"/>
  <c r="AH186" i="63"/>
  <c r="Q186" i="63"/>
  <c r="R186" i="65" s="1"/>
  <c r="AR186" i="63"/>
  <c r="AX186" i="63"/>
  <c r="V186" i="63"/>
  <c r="M186" i="63"/>
  <c r="C186" i="63"/>
  <c r="X186" i="65" s="1"/>
  <c r="W186" i="63"/>
  <c r="AC186" i="63"/>
  <c r="S186" i="63"/>
  <c r="X186" i="63"/>
  <c r="W186" i="65" s="1"/>
  <c r="AS186" i="63"/>
  <c r="AI186" i="63"/>
  <c r="N186" i="63"/>
  <c r="AD186" i="63"/>
  <c r="AT186" i="63"/>
  <c r="O186" i="63"/>
  <c r="AE186" i="63"/>
  <c r="AY186" i="63"/>
  <c r="D186" i="63"/>
  <c r="T186" i="63"/>
  <c r="P186" i="65" s="1"/>
  <c r="AJ186" i="63"/>
  <c r="E186" i="63"/>
  <c r="AG186" i="63"/>
  <c r="AW186" i="63"/>
  <c r="I186" i="63"/>
  <c r="Y186" i="63"/>
  <c r="AO186" i="63"/>
  <c r="AM186" i="63"/>
  <c r="AN186" i="63"/>
  <c r="AL186" i="63"/>
  <c r="Q187" i="81"/>
  <c r="R187" i="81"/>
  <c r="S187" i="81"/>
  <c r="U187" i="81"/>
  <c r="I187" i="81"/>
  <c r="L187" i="81"/>
  <c r="J187" i="81"/>
  <c r="B187" i="81"/>
  <c r="E187" i="81"/>
  <c r="A188" i="81"/>
  <c r="F187" i="81"/>
  <c r="G187" i="81"/>
  <c r="H187" i="81"/>
  <c r="C187" i="81"/>
  <c r="D187" i="81"/>
  <c r="O187" i="81"/>
  <c r="K187" i="81"/>
  <c r="M187" i="81"/>
  <c r="P187" i="81"/>
  <c r="T187" i="81"/>
  <c r="N187" i="81"/>
  <c r="H185" i="65"/>
  <c r="U185" i="65"/>
  <c r="Y186" i="65" l="1"/>
  <c r="H186" i="65"/>
  <c r="AA187" i="63"/>
  <c r="AW187" i="63"/>
  <c r="AJ187" i="63"/>
  <c r="AQ187" i="63"/>
  <c r="B187" i="63"/>
  <c r="B187" i="65" s="1"/>
  <c r="AK187" i="63"/>
  <c r="G187" i="63"/>
  <c r="L187" i="63"/>
  <c r="R187" i="63"/>
  <c r="AL187" i="63"/>
  <c r="W187" i="63"/>
  <c r="AB187" i="63"/>
  <c r="AH187" i="63"/>
  <c r="AU187" i="63"/>
  <c r="AM187" i="63"/>
  <c r="AR187" i="63"/>
  <c r="AX187" i="63"/>
  <c r="D187" i="63"/>
  <c r="H187" i="63"/>
  <c r="M187" i="63"/>
  <c r="C187" i="63"/>
  <c r="X187" i="65" s="1"/>
  <c r="E187" i="63"/>
  <c r="X187" i="63"/>
  <c r="W187" i="65" s="1"/>
  <c r="AC187" i="63"/>
  <c r="S187" i="63"/>
  <c r="F187" i="63"/>
  <c r="AS187" i="63"/>
  <c r="AI187" i="63"/>
  <c r="AN187" i="63"/>
  <c r="N187" i="63"/>
  <c r="AY187" i="63"/>
  <c r="A188" i="63"/>
  <c r="I187" i="63"/>
  <c r="AD187" i="63"/>
  <c r="O187" i="63"/>
  <c r="Y187" i="63"/>
  <c r="AT187" i="63"/>
  <c r="T187" i="63"/>
  <c r="P187" i="65" s="1"/>
  <c r="J187" i="63"/>
  <c r="Z187" i="63"/>
  <c r="AP187" i="63"/>
  <c r="K187" i="63"/>
  <c r="P187" i="63"/>
  <c r="AF187" i="63"/>
  <c r="AV187" i="63"/>
  <c r="Q187" i="63"/>
  <c r="R187" i="65" s="1"/>
  <c r="AG187" i="63"/>
  <c r="U187" i="63"/>
  <c r="O187" i="65" s="1"/>
  <c r="AO187" i="63"/>
  <c r="V187" i="63"/>
  <c r="AE187" i="63"/>
  <c r="H188" i="81"/>
  <c r="I188" i="81"/>
  <c r="L188" i="81"/>
  <c r="O188" i="81"/>
  <c r="P188" i="81"/>
  <c r="B188" i="81"/>
  <c r="N188" i="81"/>
  <c r="E188" i="81"/>
  <c r="Q188" i="81"/>
  <c r="U188" i="81"/>
  <c r="J188" i="81"/>
  <c r="K188" i="81"/>
  <c r="D188" i="81"/>
  <c r="R188" i="81"/>
  <c r="T188" i="81"/>
  <c r="M188" i="81"/>
  <c r="C188" i="81"/>
  <c r="S188" i="81"/>
  <c r="F188" i="81"/>
  <c r="G188" i="81"/>
  <c r="A189" i="81"/>
  <c r="M186" i="65"/>
  <c r="S186" i="65"/>
  <c r="N186" i="65"/>
  <c r="U186" i="65"/>
  <c r="M187" i="65" l="1"/>
  <c r="Y187" i="65"/>
  <c r="S187" i="65"/>
  <c r="U187" i="65"/>
  <c r="N187" i="65"/>
  <c r="B189" i="81"/>
  <c r="E189" i="81"/>
  <c r="R189" i="81"/>
  <c r="D189" i="81"/>
  <c r="F189" i="81"/>
  <c r="C189" i="81"/>
  <c r="I189" i="81"/>
  <c r="J189" i="81"/>
  <c r="K189" i="81"/>
  <c r="O189" i="81"/>
  <c r="P189" i="81"/>
  <c r="L189" i="81"/>
  <c r="M189" i="81"/>
  <c r="H189" i="81"/>
  <c r="S189" i="81"/>
  <c r="T189" i="81"/>
  <c r="U189" i="81"/>
  <c r="A190" i="81"/>
  <c r="N189" i="81"/>
  <c r="G189" i="81"/>
  <c r="Q189" i="81"/>
  <c r="H187" i="65"/>
  <c r="W188" i="63"/>
  <c r="L188" i="63"/>
  <c r="AH188" i="63"/>
  <c r="A189" i="63"/>
  <c r="AB188" i="63"/>
  <c r="AI188" i="63"/>
  <c r="AM188" i="63"/>
  <c r="AR188" i="63"/>
  <c r="AJ188" i="63"/>
  <c r="H188" i="63"/>
  <c r="N188" i="63"/>
  <c r="AS188" i="63"/>
  <c r="X188" i="63"/>
  <c r="W188" i="65" s="1"/>
  <c r="AD188" i="63"/>
  <c r="AX188" i="63"/>
  <c r="AT188" i="63"/>
  <c r="AY188" i="63"/>
  <c r="AN188" i="63"/>
  <c r="O188" i="63"/>
  <c r="B188" i="63"/>
  <c r="B188" i="65" s="1"/>
  <c r="I188" i="63"/>
  <c r="AE188" i="63"/>
  <c r="C188" i="63"/>
  <c r="X188" i="65" s="1"/>
  <c r="Y188" i="63"/>
  <c r="AU188" i="63"/>
  <c r="D188" i="63"/>
  <c r="E188" i="63"/>
  <c r="AO188" i="63"/>
  <c r="P188" i="63"/>
  <c r="M188" i="63"/>
  <c r="U188" i="63"/>
  <c r="O188" i="65" s="1"/>
  <c r="J188" i="63"/>
  <c r="AF188" i="63"/>
  <c r="R188" i="63"/>
  <c r="V188" i="63"/>
  <c r="AL188" i="63"/>
  <c r="G188" i="63"/>
  <c r="Z188" i="63"/>
  <c r="AP188" i="63"/>
  <c r="K188" i="63"/>
  <c r="AA188" i="63"/>
  <c r="AQ188" i="63"/>
  <c r="AV188" i="63"/>
  <c r="Q188" i="63"/>
  <c r="R188" i="65" s="1"/>
  <c r="AG188" i="63"/>
  <c r="AK188" i="63"/>
  <c r="F188" i="63"/>
  <c r="AW188" i="63"/>
  <c r="AC188" i="63"/>
  <c r="S188" i="63"/>
  <c r="T188" i="63"/>
  <c r="P188" i="65" s="1"/>
  <c r="Y188" i="65" l="1"/>
  <c r="N188" i="65"/>
  <c r="S188" i="65"/>
  <c r="U188" i="65"/>
  <c r="T190" i="81"/>
  <c r="D190" i="81"/>
  <c r="E190" i="81"/>
  <c r="M190" i="81"/>
  <c r="G190" i="81"/>
  <c r="N190" i="81"/>
  <c r="H190" i="81"/>
  <c r="B190" i="81"/>
  <c r="U190" i="81"/>
  <c r="S190" i="81"/>
  <c r="I190" i="81"/>
  <c r="P190" i="81"/>
  <c r="A191" i="81"/>
  <c r="C190" i="81"/>
  <c r="K190" i="81"/>
  <c r="L190" i="81"/>
  <c r="R190" i="81"/>
  <c r="O190" i="81"/>
  <c r="Q190" i="81"/>
  <c r="F190" i="81"/>
  <c r="J190" i="81"/>
  <c r="M188" i="65"/>
  <c r="H188" i="65"/>
  <c r="G189" i="63"/>
  <c r="AC189" i="63"/>
  <c r="R189" i="63"/>
  <c r="C189" i="63"/>
  <c r="X189" i="65" s="1"/>
  <c r="W189" i="63"/>
  <c r="AS189" i="63"/>
  <c r="AA189" i="63"/>
  <c r="S189" i="63"/>
  <c r="AM189" i="63"/>
  <c r="N189" i="63"/>
  <c r="AF189" i="63"/>
  <c r="AI189" i="63"/>
  <c r="H189" i="63"/>
  <c r="AD189" i="63"/>
  <c r="AG189" i="63"/>
  <c r="AY189" i="63"/>
  <c r="X189" i="63"/>
  <c r="W189" i="65" s="1"/>
  <c r="AT189" i="63"/>
  <c r="AH189" i="63"/>
  <c r="D189" i="63"/>
  <c r="AN189" i="63"/>
  <c r="O189" i="63"/>
  <c r="T189" i="63"/>
  <c r="P189" i="65" s="1"/>
  <c r="I189" i="63"/>
  <c r="AE189" i="63"/>
  <c r="A190" i="63"/>
  <c r="Y189" i="63"/>
  <c r="AU189" i="63"/>
  <c r="AJ189" i="63"/>
  <c r="AO189" i="63"/>
  <c r="AQ189" i="63"/>
  <c r="E189" i="63"/>
  <c r="J189" i="63"/>
  <c r="AV189" i="63"/>
  <c r="U189" i="63"/>
  <c r="O189" i="65" s="1"/>
  <c r="Z189" i="63"/>
  <c r="AW189" i="63"/>
  <c r="Q189" i="63"/>
  <c r="R189" i="65" s="1"/>
  <c r="AK189" i="63"/>
  <c r="F189" i="63"/>
  <c r="V189" i="63"/>
  <c r="AL189" i="63"/>
  <c r="AP189" i="63"/>
  <c r="L189" i="63"/>
  <c r="AB189" i="63"/>
  <c r="AR189" i="63"/>
  <c r="P189" i="63"/>
  <c r="M189" i="63"/>
  <c r="B189" i="63"/>
  <c r="B189" i="65" s="1"/>
  <c r="K189" i="63"/>
  <c r="AX189" i="63"/>
  <c r="Y189" i="65" l="1"/>
  <c r="P191" i="81"/>
  <c r="Q191" i="81"/>
  <c r="S191" i="81"/>
  <c r="F191" i="81"/>
  <c r="G191" i="81"/>
  <c r="H191" i="81"/>
  <c r="I191" i="81"/>
  <c r="E191" i="81"/>
  <c r="J191" i="81"/>
  <c r="D191" i="81"/>
  <c r="N191" i="81"/>
  <c r="K191" i="81"/>
  <c r="L191" i="81"/>
  <c r="U191" i="81"/>
  <c r="B191" i="81"/>
  <c r="A192" i="81"/>
  <c r="T191" i="81"/>
  <c r="R191" i="81"/>
  <c r="C191" i="81"/>
  <c r="O191" i="81"/>
  <c r="M191" i="81"/>
  <c r="H189" i="65"/>
  <c r="N189" i="65"/>
  <c r="M189" i="65"/>
  <c r="U189" i="65"/>
  <c r="S189" i="65"/>
  <c r="AI190" i="63"/>
  <c r="H190" i="63"/>
  <c r="I190" i="63"/>
  <c r="AY190" i="63"/>
  <c r="X190" i="63"/>
  <c r="W190" i="65" s="1"/>
  <c r="N190" i="63"/>
  <c r="D190" i="63"/>
  <c r="O190" i="63"/>
  <c r="T190" i="63"/>
  <c r="P190" i="65" s="1"/>
  <c r="AN190" i="63"/>
  <c r="P190" i="63"/>
  <c r="J190" i="63"/>
  <c r="Y190" i="63"/>
  <c r="AJ190" i="63"/>
  <c r="Z190" i="63"/>
  <c r="AD190" i="63"/>
  <c r="E190" i="63"/>
  <c r="AP190" i="63"/>
  <c r="AE190" i="63"/>
  <c r="Q190" i="63"/>
  <c r="R190" i="65" s="1"/>
  <c r="U190" i="63"/>
  <c r="O190" i="65" s="1"/>
  <c r="K190" i="63"/>
  <c r="AF190" i="63"/>
  <c r="AG190" i="63"/>
  <c r="AA190" i="63"/>
  <c r="AO190" i="63"/>
  <c r="AW190" i="63"/>
  <c r="AK190" i="63"/>
  <c r="AQ190" i="63"/>
  <c r="AT190" i="63"/>
  <c r="B190" i="63"/>
  <c r="B190" i="65" s="1"/>
  <c r="F190" i="63"/>
  <c r="L190" i="63"/>
  <c r="AU190" i="63"/>
  <c r="AV190" i="63"/>
  <c r="R190" i="63"/>
  <c r="AH190" i="63"/>
  <c r="A191" i="63"/>
  <c r="AX190" i="63"/>
  <c r="C190" i="63"/>
  <c r="X190" i="65" s="1"/>
  <c r="S190" i="63"/>
  <c r="V190" i="63"/>
  <c r="AL190" i="63"/>
  <c r="G190" i="63"/>
  <c r="W190" i="63"/>
  <c r="AM190" i="63"/>
  <c r="AB190" i="63"/>
  <c r="AR190" i="63"/>
  <c r="M190" i="63"/>
  <c r="AC190" i="63"/>
  <c r="AS190" i="63"/>
  <c r="S190" i="65" l="1"/>
  <c r="M190" i="65"/>
  <c r="Y190" i="65"/>
  <c r="F192" i="81"/>
  <c r="S192" i="81"/>
  <c r="J192" i="81"/>
  <c r="T192" i="81"/>
  <c r="L192" i="81"/>
  <c r="A193" i="81"/>
  <c r="N192" i="81"/>
  <c r="O192" i="81"/>
  <c r="P192" i="81"/>
  <c r="C192" i="81"/>
  <c r="D192" i="81"/>
  <c r="R192" i="81"/>
  <c r="B192" i="81"/>
  <c r="G192" i="81"/>
  <c r="K192" i="81"/>
  <c r="I192" i="81"/>
  <c r="Q192" i="81"/>
  <c r="H192" i="81"/>
  <c r="E192" i="81"/>
  <c r="U192" i="81"/>
  <c r="M192" i="81"/>
  <c r="N190" i="65"/>
  <c r="AU191" i="63"/>
  <c r="T191" i="63"/>
  <c r="P191" i="65" s="1"/>
  <c r="J191" i="63"/>
  <c r="AS191" i="63"/>
  <c r="P191" i="63"/>
  <c r="AJ191" i="63"/>
  <c r="Z191" i="63"/>
  <c r="AT191" i="63"/>
  <c r="AF191" i="63"/>
  <c r="E191" i="63"/>
  <c r="AP191" i="63"/>
  <c r="AV191" i="63"/>
  <c r="U191" i="63"/>
  <c r="O191" i="65" s="1"/>
  <c r="K191" i="63"/>
  <c r="Q191" i="63"/>
  <c r="R191" i="65" s="1"/>
  <c r="AA191" i="63"/>
  <c r="A192" i="63"/>
  <c r="AG191" i="63"/>
  <c r="AK191" i="63"/>
  <c r="AQ191" i="63"/>
  <c r="AW191" i="63"/>
  <c r="F191" i="63"/>
  <c r="G191" i="63"/>
  <c r="B191" i="63"/>
  <c r="B191" i="65" s="1"/>
  <c r="V191" i="63"/>
  <c r="L191" i="63"/>
  <c r="R191" i="63"/>
  <c r="AL191" i="63"/>
  <c r="M191" i="63"/>
  <c r="AH191" i="63"/>
  <c r="H191" i="63"/>
  <c r="N191" i="63"/>
  <c r="AX191" i="63"/>
  <c r="X191" i="63"/>
  <c r="W191" i="65" s="1"/>
  <c r="W191" i="63"/>
  <c r="AC191" i="63"/>
  <c r="AD191" i="63"/>
  <c r="AM191" i="63"/>
  <c r="O191" i="63"/>
  <c r="AR191" i="63"/>
  <c r="AE191" i="63"/>
  <c r="C191" i="63"/>
  <c r="X191" i="65" s="1"/>
  <c r="S191" i="63"/>
  <c r="AI191" i="63"/>
  <c r="AY191" i="63"/>
  <c r="D191" i="63"/>
  <c r="AN191" i="63"/>
  <c r="I191" i="63"/>
  <c r="Y191" i="63"/>
  <c r="AO191" i="63"/>
  <c r="AB191" i="63"/>
  <c r="U190" i="65"/>
  <c r="H190" i="65"/>
  <c r="N191" i="65" l="1"/>
  <c r="U191" i="65"/>
  <c r="Y191" i="65"/>
  <c r="AF192" i="63"/>
  <c r="AJ192" i="63"/>
  <c r="Z192" i="63"/>
  <c r="AV192" i="63"/>
  <c r="F192" i="63"/>
  <c r="AA192" i="63"/>
  <c r="Q192" i="63"/>
  <c r="R192" i="65" s="1"/>
  <c r="V192" i="63"/>
  <c r="AB192" i="63"/>
  <c r="AG192" i="63"/>
  <c r="AL192" i="63"/>
  <c r="AK192" i="63"/>
  <c r="AW192" i="63"/>
  <c r="G192" i="63"/>
  <c r="AP192" i="63"/>
  <c r="B192" i="63"/>
  <c r="B192" i="65" s="1"/>
  <c r="W192" i="63"/>
  <c r="AQ192" i="63"/>
  <c r="M192" i="63"/>
  <c r="R192" i="63"/>
  <c r="AR192" i="63"/>
  <c r="AC192" i="63"/>
  <c r="AH192" i="63"/>
  <c r="AM192" i="63"/>
  <c r="E192" i="63"/>
  <c r="AS192" i="63"/>
  <c r="AX192" i="63"/>
  <c r="H192" i="63"/>
  <c r="M192" i="65" s="1"/>
  <c r="K192" i="63"/>
  <c r="N192" i="63"/>
  <c r="C192" i="63"/>
  <c r="X192" i="65" s="1"/>
  <c r="X192" i="63"/>
  <c r="W192" i="65" s="1"/>
  <c r="L192" i="63"/>
  <c r="AD192" i="63"/>
  <c r="S192" i="63"/>
  <c r="AN192" i="63"/>
  <c r="J192" i="63"/>
  <c r="AO192" i="63"/>
  <c r="U192" i="63"/>
  <c r="O192" i="65" s="1"/>
  <c r="AT192" i="63"/>
  <c r="A193" i="63"/>
  <c r="O192" i="63"/>
  <c r="AE192" i="63"/>
  <c r="AU192" i="63"/>
  <c r="P192" i="63"/>
  <c r="AI192" i="63"/>
  <c r="AY192" i="63"/>
  <c r="D192" i="63"/>
  <c r="T192" i="63"/>
  <c r="P192" i="65" s="1"/>
  <c r="I192" i="63"/>
  <c r="Y192" i="63"/>
  <c r="I193" i="81"/>
  <c r="J193" i="81"/>
  <c r="N193" i="81"/>
  <c r="B193" i="81"/>
  <c r="T193" i="81"/>
  <c r="R193" i="81"/>
  <c r="U193" i="81"/>
  <c r="F193" i="81"/>
  <c r="C193" i="81"/>
  <c r="M193" i="81"/>
  <c r="O193" i="81"/>
  <c r="A194" i="81"/>
  <c r="L193" i="81"/>
  <c r="D193" i="81"/>
  <c r="E193" i="81"/>
  <c r="Q193" i="81"/>
  <c r="K193" i="81"/>
  <c r="G193" i="81"/>
  <c r="H193" i="81"/>
  <c r="P193" i="81"/>
  <c r="S193" i="81"/>
  <c r="H191" i="65"/>
  <c r="M191" i="65"/>
  <c r="S191" i="65"/>
  <c r="S192" i="65" l="1"/>
  <c r="Y192" i="65"/>
  <c r="H192" i="65"/>
  <c r="S194" i="81"/>
  <c r="I194" i="81"/>
  <c r="O194" i="81"/>
  <c r="T194" i="81"/>
  <c r="U194" i="81"/>
  <c r="D194" i="81"/>
  <c r="N194" i="81"/>
  <c r="E194" i="81"/>
  <c r="B194" i="81"/>
  <c r="F194" i="81"/>
  <c r="M194" i="81"/>
  <c r="R194" i="81"/>
  <c r="K194" i="81"/>
  <c r="L194" i="81"/>
  <c r="C194" i="81"/>
  <c r="A195" i="81"/>
  <c r="Q194" i="81"/>
  <c r="H194" i="81"/>
  <c r="G194" i="81"/>
  <c r="P194" i="81"/>
  <c r="J194" i="81"/>
  <c r="L193" i="63"/>
  <c r="AG193" i="63"/>
  <c r="AL193" i="63"/>
  <c r="Y193" i="63"/>
  <c r="AB193" i="63"/>
  <c r="AW193" i="63"/>
  <c r="G193" i="63"/>
  <c r="Z193" i="63"/>
  <c r="AR193" i="63"/>
  <c r="B193" i="63"/>
  <c r="B193" i="65" s="1"/>
  <c r="W193" i="63"/>
  <c r="A194" i="63"/>
  <c r="M193" i="63"/>
  <c r="R193" i="63"/>
  <c r="AM193" i="63"/>
  <c r="AC193" i="63"/>
  <c r="AH193" i="63"/>
  <c r="AI193" i="63"/>
  <c r="AS193" i="63"/>
  <c r="AX193" i="63"/>
  <c r="AN193" i="63"/>
  <c r="N193" i="63"/>
  <c r="D193" i="63"/>
  <c r="AO193" i="63"/>
  <c r="AD193" i="63"/>
  <c r="T193" i="63"/>
  <c r="P193" i="65" s="1"/>
  <c r="AP193" i="63"/>
  <c r="AT193" i="63"/>
  <c r="AY193" i="63"/>
  <c r="O193" i="63"/>
  <c r="AJ193" i="63"/>
  <c r="C193" i="63"/>
  <c r="X193" i="65" s="1"/>
  <c r="AE193" i="63"/>
  <c r="E193" i="63"/>
  <c r="H193" i="63"/>
  <c r="F193" i="63"/>
  <c r="V193" i="63"/>
  <c r="I193" i="63"/>
  <c r="J193" i="63"/>
  <c r="S193" i="63"/>
  <c r="K193" i="63"/>
  <c r="X193" i="63"/>
  <c r="W193" i="65" s="1"/>
  <c r="AA193" i="63"/>
  <c r="AQ193" i="63"/>
  <c r="AU193" i="63"/>
  <c r="P193" i="63"/>
  <c r="AF193" i="63"/>
  <c r="AV193" i="63"/>
  <c r="Q193" i="63"/>
  <c r="R193" i="65" s="1"/>
  <c r="U193" i="63"/>
  <c r="O193" i="65" s="1"/>
  <c r="AK193" i="63"/>
  <c r="N192" i="65"/>
  <c r="U192" i="65"/>
  <c r="Y193" i="65" l="1"/>
  <c r="H193" i="65"/>
  <c r="M193" i="65"/>
  <c r="N193" i="65"/>
  <c r="K195" i="81"/>
  <c r="S195" i="81"/>
  <c r="L195" i="81"/>
  <c r="A196" i="81"/>
  <c r="M195" i="81"/>
  <c r="R195" i="81"/>
  <c r="U195" i="81"/>
  <c r="B195" i="81"/>
  <c r="E195" i="81"/>
  <c r="F195" i="81"/>
  <c r="C195" i="81"/>
  <c r="D195" i="81"/>
  <c r="H195" i="81"/>
  <c r="G195" i="81"/>
  <c r="O195" i="81"/>
  <c r="I195" i="81"/>
  <c r="Q195" i="81"/>
  <c r="T195" i="81"/>
  <c r="J195" i="81"/>
  <c r="N195" i="81"/>
  <c r="P195" i="81"/>
  <c r="U193" i="65"/>
  <c r="S193" i="65"/>
  <c r="M194" i="63"/>
  <c r="C194" i="63"/>
  <c r="X194" i="65" s="1"/>
  <c r="V194" i="63"/>
  <c r="AC194" i="63"/>
  <c r="S194" i="63"/>
  <c r="W194" i="63"/>
  <c r="AS194" i="63"/>
  <c r="AI194" i="63"/>
  <c r="X194" i="63"/>
  <c r="W194" i="65" s="1"/>
  <c r="N194" i="63"/>
  <c r="AY194" i="63"/>
  <c r="I194" i="63"/>
  <c r="AD194" i="63"/>
  <c r="D194" i="63"/>
  <c r="AG194" i="63"/>
  <c r="Y194" i="63"/>
  <c r="AT194" i="63"/>
  <c r="T194" i="63"/>
  <c r="P194" i="65" s="1"/>
  <c r="AL194" i="63"/>
  <c r="AO194" i="63"/>
  <c r="O194" i="63"/>
  <c r="AJ194" i="63"/>
  <c r="AM194" i="63"/>
  <c r="J194" i="63"/>
  <c r="AE194" i="63"/>
  <c r="E194" i="63"/>
  <c r="AN194" i="63"/>
  <c r="Z194" i="63"/>
  <c r="AU194" i="63"/>
  <c r="U194" i="63"/>
  <c r="O194" i="65" s="1"/>
  <c r="AP194" i="63"/>
  <c r="P194" i="63"/>
  <c r="A195" i="63"/>
  <c r="K194" i="63"/>
  <c r="AF194" i="63"/>
  <c r="AK194" i="63"/>
  <c r="AX194" i="63"/>
  <c r="AW194" i="63"/>
  <c r="F194" i="63"/>
  <c r="G194" i="63"/>
  <c r="H194" i="63"/>
  <c r="M194" i="65" s="1"/>
  <c r="Q194" i="63"/>
  <c r="R194" i="65" s="1"/>
  <c r="AA194" i="63"/>
  <c r="AQ194" i="63"/>
  <c r="L194" i="63"/>
  <c r="AB194" i="63"/>
  <c r="AR194" i="63"/>
  <c r="AV194" i="63"/>
  <c r="B194" i="63"/>
  <c r="B194" i="65" s="1"/>
  <c r="R194" i="63"/>
  <c r="AH194" i="63"/>
  <c r="N194" i="65" l="1"/>
  <c r="Y194" i="65"/>
  <c r="H194" i="65"/>
  <c r="S194" i="65"/>
  <c r="U194" i="65"/>
  <c r="I196" i="81"/>
  <c r="N196" i="81"/>
  <c r="E196" i="81"/>
  <c r="P196" i="81"/>
  <c r="F196" i="81"/>
  <c r="T196" i="81"/>
  <c r="J196" i="81"/>
  <c r="S196" i="81"/>
  <c r="K196" i="81"/>
  <c r="A197" i="81"/>
  <c r="O196" i="81"/>
  <c r="Q196" i="81"/>
  <c r="M196" i="81"/>
  <c r="C196" i="81"/>
  <c r="D196" i="81"/>
  <c r="U196" i="81"/>
  <c r="L196" i="81"/>
  <c r="G196" i="81"/>
  <c r="H196" i="81"/>
  <c r="R196" i="81"/>
  <c r="B196" i="81"/>
  <c r="AN195" i="63"/>
  <c r="N195" i="63"/>
  <c r="AY195" i="63"/>
  <c r="A196" i="63"/>
  <c r="I195" i="63"/>
  <c r="AD195" i="63"/>
  <c r="D195" i="63"/>
  <c r="Y195" i="63"/>
  <c r="AT195" i="63"/>
  <c r="E195" i="63"/>
  <c r="AO195" i="63"/>
  <c r="P195" i="63"/>
  <c r="F195" i="63"/>
  <c r="J195" i="63"/>
  <c r="AF195" i="63"/>
  <c r="O195" i="63"/>
  <c r="Z195" i="63"/>
  <c r="AV195" i="63"/>
  <c r="T195" i="63"/>
  <c r="P195" i="65" s="1"/>
  <c r="AP195" i="63"/>
  <c r="Q195" i="63"/>
  <c r="R195" i="65" s="1"/>
  <c r="K195" i="63"/>
  <c r="AG195" i="63"/>
  <c r="U195" i="63"/>
  <c r="O195" i="65" s="1"/>
  <c r="AA195" i="63"/>
  <c r="AW195" i="63"/>
  <c r="AQ195" i="63"/>
  <c r="B195" i="63"/>
  <c r="B195" i="65" s="1"/>
  <c r="V195" i="63"/>
  <c r="G195" i="63"/>
  <c r="L195" i="63"/>
  <c r="R195" i="63"/>
  <c r="AE195" i="63"/>
  <c r="AH195" i="63"/>
  <c r="AX195" i="63"/>
  <c r="C195" i="63"/>
  <c r="X195" i="65" s="1"/>
  <c r="S195" i="63"/>
  <c r="AI195" i="63"/>
  <c r="AJ195" i="63"/>
  <c r="W195" i="63"/>
  <c r="AK195" i="63"/>
  <c r="AM195" i="63"/>
  <c r="AL195" i="63"/>
  <c r="H195" i="63"/>
  <c r="AU195" i="63"/>
  <c r="X195" i="63"/>
  <c r="W195" i="65" s="1"/>
  <c r="AB195" i="63"/>
  <c r="AR195" i="63"/>
  <c r="M195" i="63"/>
  <c r="AS195" i="63"/>
  <c r="AC195" i="63"/>
  <c r="Y195" i="65" l="1"/>
  <c r="U195" i="65"/>
  <c r="N195" i="65"/>
  <c r="S195" i="65"/>
  <c r="M195" i="65"/>
  <c r="H195" i="65"/>
  <c r="AO196" i="63"/>
  <c r="P196" i="63"/>
  <c r="AX196" i="63"/>
  <c r="E196" i="63"/>
  <c r="J196" i="63"/>
  <c r="AF196" i="63"/>
  <c r="AY196" i="63"/>
  <c r="U196" i="63"/>
  <c r="O196" i="65" s="1"/>
  <c r="Z196" i="63"/>
  <c r="AV196" i="63"/>
  <c r="B196" i="63"/>
  <c r="B196" i="65" s="1"/>
  <c r="AK196" i="63"/>
  <c r="AP196" i="63"/>
  <c r="Q196" i="63"/>
  <c r="R196" i="65" s="1"/>
  <c r="C196" i="63"/>
  <c r="X196" i="65" s="1"/>
  <c r="F196" i="63"/>
  <c r="K196" i="63"/>
  <c r="AG196" i="63"/>
  <c r="D196" i="63"/>
  <c r="V196" i="63"/>
  <c r="AA196" i="63"/>
  <c r="AW196" i="63"/>
  <c r="AL196" i="63"/>
  <c r="AQ196" i="63"/>
  <c r="M196" i="63"/>
  <c r="G196" i="63"/>
  <c r="L196" i="63"/>
  <c r="R196" i="63"/>
  <c r="A197" i="63"/>
  <c r="W196" i="63"/>
  <c r="AB196" i="63"/>
  <c r="S196" i="63"/>
  <c r="AM196" i="63"/>
  <c r="AR196" i="63"/>
  <c r="T196" i="63"/>
  <c r="P196" i="65" s="1"/>
  <c r="H196" i="63"/>
  <c r="N196" i="63"/>
  <c r="AT196" i="63"/>
  <c r="O196" i="63"/>
  <c r="AE196" i="63"/>
  <c r="AU196" i="63"/>
  <c r="AC196" i="63"/>
  <c r="AH196" i="63"/>
  <c r="AI196" i="63"/>
  <c r="AJ196" i="63"/>
  <c r="AS196" i="63"/>
  <c r="X196" i="63"/>
  <c r="W196" i="65" s="1"/>
  <c r="AN196" i="63"/>
  <c r="I196" i="63"/>
  <c r="Y196" i="63"/>
  <c r="AD196" i="63"/>
  <c r="H197" i="81"/>
  <c r="I197" i="81"/>
  <c r="M197" i="81"/>
  <c r="S197" i="81"/>
  <c r="T197" i="81"/>
  <c r="U197" i="81"/>
  <c r="R197" i="81"/>
  <c r="D197" i="81"/>
  <c r="F197" i="81"/>
  <c r="C197" i="81"/>
  <c r="Q197" i="81"/>
  <c r="B197" i="81"/>
  <c r="J197" i="81"/>
  <c r="L197" i="81"/>
  <c r="N197" i="81"/>
  <c r="E197" i="81"/>
  <c r="O197" i="81"/>
  <c r="G197" i="81"/>
  <c r="A198" i="81"/>
  <c r="P197" i="81"/>
  <c r="K197" i="81"/>
  <c r="M196" i="65" l="1"/>
  <c r="N196" i="65"/>
  <c r="Y196" i="65"/>
  <c r="H196" i="65"/>
  <c r="S196" i="65"/>
  <c r="I198" i="81"/>
  <c r="A199" i="81"/>
  <c r="J198" i="81"/>
  <c r="K198" i="81"/>
  <c r="Q198" i="81"/>
  <c r="T198" i="81"/>
  <c r="U198" i="81"/>
  <c r="E198" i="81"/>
  <c r="G198" i="81"/>
  <c r="C198" i="81"/>
  <c r="D198" i="81"/>
  <c r="S198" i="81"/>
  <c r="H198" i="81"/>
  <c r="L198" i="81"/>
  <c r="M198" i="81"/>
  <c r="N198" i="81"/>
  <c r="P198" i="81"/>
  <c r="F198" i="81"/>
  <c r="B198" i="81"/>
  <c r="R198" i="81"/>
  <c r="O198" i="81"/>
  <c r="E197" i="63"/>
  <c r="J197" i="63"/>
  <c r="AF197" i="63"/>
  <c r="U197" i="63"/>
  <c r="O197" i="65" s="1"/>
  <c r="Z197" i="63"/>
  <c r="AG197" i="63"/>
  <c r="AP197" i="63"/>
  <c r="AH197" i="63"/>
  <c r="AK197" i="63"/>
  <c r="L197" i="63"/>
  <c r="AQ197" i="63"/>
  <c r="F197" i="63"/>
  <c r="AB197" i="63"/>
  <c r="AV197" i="63"/>
  <c r="V197" i="63"/>
  <c r="AR197" i="63"/>
  <c r="AW197" i="63"/>
  <c r="AL197" i="63"/>
  <c r="M197" i="63"/>
  <c r="AX197" i="63"/>
  <c r="G197" i="63"/>
  <c r="AC197" i="63"/>
  <c r="B197" i="63"/>
  <c r="B197" i="65" s="1"/>
  <c r="C197" i="63"/>
  <c r="X197" i="65" s="1"/>
  <c r="W197" i="63"/>
  <c r="AS197" i="63"/>
  <c r="K197" i="63"/>
  <c r="S197" i="63"/>
  <c r="AM197" i="63"/>
  <c r="N197" i="63"/>
  <c r="P197" i="63"/>
  <c r="AI197" i="63"/>
  <c r="H197" i="63"/>
  <c r="AD197" i="63"/>
  <c r="Q197" i="63"/>
  <c r="R197" i="65" s="1"/>
  <c r="I197" i="63"/>
  <c r="Y197" i="63"/>
  <c r="AO197" i="63"/>
  <c r="AT197" i="63"/>
  <c r="O197" i="63"/>
  <c r="AE197" i="63"/>
  <c r="AU197" i="63"/>
  <c r="AA197" i="63"/>
  <c r="R197" i="63"/>
  <c r="AY197" i="63"/>
  <c r="D197" i="63"/>
  <c r="T197" i="63"/>
  <c r="P197" i="65" s="1"/>
  <c r="AJ197" i="63"/>
  <c r="X197" i="63"/>
  <c r="W197" i="65" s="1"/>
  <c r="AN197" i="63"/>
  <c r="A198" i="63"/>
  <c r="U196" i="65"/>
  <c r="S197" i="65" l="1"/>
  <c r="N197" i="65"/>
  <c r="Y197" i="65"/>
  <c r="M197" i="65"/>
  <c r="Q198" i="63"/>
  <c r="R198" i="65" s="1"/>
  <c r="U198" i="63"/>
  <c r="O198" i="65" s="1"/>
  <c r="K198" i="63"/>
  <c r="P198" i="63"/>
  <c r="AG198" i="63"/>
  <c r="AA198" i="63"/>
  <c r="Y198" i="63"/>
  <c r="AW198" i="63"/>
  <c r="AK198" i="63"/>
  <c r="AQ198" i="63"/>
  <c r="AF198" i="63"/>
  <c r="B198" i="63"/>
  <c r="B198" i="65" s="1"/>
  <c r="F198" i="63"/>
  <c r="L198" i="63"/>
  <c r="AD198" i="63"/>
  <c r="R198" i="63"/>
  <c r="V198" i="63"/>
  <c r="AB198" i="63"/>
  <c r="AE198" i="63"/>
  <c r="AH198" i="63"/>
  <c r="AL198" i="63"/>
  <c r="AR198" i="63"/>
  <c r="A199" i="63"/>
  <c r="AX198" i="63"/>
  <c r="G198" i="63"/>
  <c r="M198" i="63"/>
  <c r="C198" i="63"/>
  <c r="X198" i="65" s="1"/>
  <c r="W198" i="63"/>
  <c r="AC198" i="63"/>
  <c r="S198" i="63"/>
  <c r="AM198" i="63"/>
  <c r="AS198" i="63"/>
  <c r="AI198" i="63"/>
  <c r="H198" i="63"/>
  <c r="AO198" i="63"/>
  <c r="AY198" i="63"/>
  <c r="X198" i="63"/>
  <c r="W198" i="65" s="1"/>
  <c r="AT198" i="63"/>
  <c r="AJ198" i="63"/>
  <c r="E198" i="63"/>
  <c r="AN198" i="63"/>
  <c r="J198" i="63"/>
  <c r="Z198" i="63"/>
  <c r="AP198" i="63"/>
  <c r="AU198" i="63"/>
  <c r="AV198" i="63"/>
  <c r="I198" i="63"/>
  <c r="N198" i="63"/>
  <c r="D198" i="63"/>
  <c r="T198" i="63"/>
  <c r="P198" i="65" s="1"/>
  <c r="O198" i="63"/>
  <c r="H197" i="65"/>
  <c r="P199" i="81"/>
  <c r="I199" i="81"/>
  <c r="S199" i="81"/>
  <c r="J199" i="81"/>
  <c r="R199" i="81"/>
  <c r="H199" i="81"/>
  <c r="U199" i="81"/>
  <c r="K199" i="81"/>
  <c r="A200" i="81"/>
  <c r="L199" i="81"/>
  <c r="B199" i="81"/>
  <c r="C199" i="81"/>
  <c r="Q199" i="81"/>
  <c r="E199" i="81"/>
  <c r="F199" i="81"/>
  <c r="N199" i="81"/>
  <c r="O199" i="81"/>
  <c r="G199" i="81"/>
  <c r="M199" i="81"/>
  <c r="T199" i="81"/>
  <c r="D199" i="81"/>
  <c r="U197" i="65"/>
  <c r="N198" i="65" l="1"/>
  <c r="M198" i="65"/>
  <c r="H200" i="81"/>
  <c r="L200" i="81"/>
  <c r="M200" i="81"/>
  <c r="Q200" i="81"/>
  <c r="R200" i="81"/>
  <c r="E200" i="81"/>
  <c r="S200" i="81"/>
  <c r="J200" i="81"/>
  <c r="B200" i="81"/>
  <c r="I200" i="81"/>
  <c r="A201" i="81"/>
  <c r="U200" i="81"/>
  <c r="F200" i="81"/>
  <c r="K200" i="81"/>
  <c r="P200" i="81"/>
  <c r="D200" i="81"/>
  <c r="C200" i="81"/>
  <c r="O200" i="81"/>
  <c r="T200" i="81"/>
  <c r="N200" i="81"/>
  <c r="G200" i="81"/>
  <c r="AW199" i="63"/>
  <c r="AA199" i="63"/>
  <c r="B199" i="63"/>
  <c r="B199" i="65" s="1"/>
  <c r="AK199" i="63"/>
  <c r="AQ199" i="63"/>
  <c r="R199" i="63"/>
  <c r="F199" i="63"/>
  <c r="G199" i="63"/>
  <c r="AH199" i="63"/>
  <c r="V199" i="63"/>
  <c r="L199" i="63"/>
  <c r="AX199" i="63"/>
  <c r="AL199" i="63"/>
  <c r="M199" i="63"/>
  <c r="C199" i="63"/>
  <c r="X199" i="65" s="1"/>
  <c r="H199" i="63"/>
  <c r="N199" i="63"/>
  <c r="X199" i="63"/>
  <c r="W199" i="65" s="1"/>
  <c r="W199" i="63"/>
  <c r="S199" i="63"/>
  <c r="AB199" i="63"/>
  <c r="O199" i="63"/>
  <c r="AI199" i="63"/>
  <c r="AN199" i="63"/>
  <c r="AC199" i="63"/>
  <c r="AE199" i="63"/>
  <c r="AY199" i="63"/>
  <c r="I199" i="63"/>
  <c r="AD199" i="63"/>
  <c r="AU199" i="63"/>
  <c r="D199" i="63"/>
  <c r="Y199" i="63"/>
  <c r="AM199" i="63"/>
  <c r="AV199" i="63"/>
  <c r="Q199" i="63"/>
  <c r="R199" i="65" s="1"/>
  <c r="A200" i="63"/>
  <c r="AG199" i="63"/>
  <c r="T199" i="63"/>
  <c r="P199" i="65" s="1"/>
  <c r="AJ199" i="63"/>
  <c r="E199" i="63"/>
  <c r="U199" i="63"/>
  <c r="O199" i="65" s="1"/>
  <c r="AO199" i="63"/>
  <c r="J199" i="63"/>
  <c r="Z199" i="63"/>
  <c r="P199" i="63"/>
  <c r="AF199" i="63"/>
  <c r="AP199" i="63"/>
  <c r="K199" i="63"/>
  <c r="AR199" i="63"/>
  <c r="AS199" i="63"/>
  <c r="AT199" i="63"/>
  <c r="H198" i="65"/>
  <c r="Y198" i="65"/>
  <c r="S198" i="65"/>
  <c r="U198" i="65"/>
  <c r="M199" i="65" l="1"/>
  <c r="Y199" i="65"/>
  <c r="N199" i="65"/>
  <c r="S199" i="65"/>
  <c r="U199" i="65"/>
  <c r="J201" i="81"/>
  <c r="M201" i="81"/>
  <c r="O201" i="81"/>
  <c r="N201" i="81"/>
  <c r="P201" i="81"/>
  <c r="S201" i="81"/>
  <c r="D201" i="81"/>
  <c r="K201" i="81"/>
  <c r="T201" i="81"/>
  <c r="U201" i="81"/>
  <c r="C201" i="81"/>
  <c r="G201" i="81"/>
  <c r="H201" i="81"/>
  <c r="B201" i="81"/>
  <c r="R201" i="81"/>
  <c r="A202" i="81"/>
  <c r="Q201" i="81"/>
  <c r="E201" i="81"/>
  <c r="F201" i="81"/>
  <c r="I201" i="81"/>
  <c r="L201" i="81"/>
  <c r="AG200" i="63"/>
  <c r="V200" i="63"/>
  <c r="AW200" i="63"/>
  <c r="AL200" i="63"/>
  <c r="Z200" i="63"/>
  <c r="M200" i="63"/>
  <c r="B200" i="63"/>
  <c r="B200" i="65" s="1"/>
  <c r="G200" i="63"/>
  <c r="AA200" i="63"/>
  <c r="AC200" i="63"/>
  <c r="W200" i="63"/>
  <c r="AB200" i="63"/>
  <c r="AS200" i="63"/>
  <c r="R200" i="63"/>
  <c r="AM200" i="63"/>
  <c r="AK200" i="63"/>
  <c r="N200" i="63"/>
  <c r="AH200" i="63"/>
  <c r="H200" i="63"/>
  <c r="AP200" i="63"/>
  <c r="AD200" i="63"/>
  <c r="AX200" i="63"/>
  <c r="X200" i="63"/>
  <c r="W200" i="65" s="1"/>
  <c r="AQ200" i="63"/>
  <c r="AT200" i="63"/>
  <c r="C200" i="63"/>
  <c r="X200" i="65" s="1"/>
  <c r="AN200" i="63"/>
  <c r="AR200" i="63"/>
  <c r="O200" i="63"/>
  <c r="S200" i="63"/>
  <c r="I200" i="63"/>
  <c r="AE200" i="63"/>
  <c r="AI200" i="63"/>
  <c r="Y200" i="63"/>
  <c r="AU200" i="63"/>
  <c r="AY200" i="63"/>
  <c r="AO200" i="63"/>
  <c r="F200" i="63"/>
  <c r="E200" i="63"/>
  <c r="J200" i="63"/>
  <c r="K200" i="63"/>
  <c r="L200" i="63"/>
  <c r="U200" i="63"/>
  <c r="O200" i="65" s="1"/>
  <c r="P200" i="63"/>
  <c r="AF200" i="63"/>
  <c r="AV200" i="63"/>
  <c r="Q200" i="63"/>
  <c r="R200" i="65" s="1"/>
  <c r="D200" i="63"/>
  <c r="T200" i="63"/>
  <c r="P200" i="65" s="1"/>
  <c r="AJ200" i="63"/>
  <c r="A201" i="63"/>
  <c r="H199" i="65"/>
  <c r="U200" i="65" l="1"/>
  <c r="M200" i="65"/>
  <c r="N200" i="65"/>
  <c r="S200" i="65"/>
  <c r="M202" i="81"/>
  <c r="P202" i="81"/>
  <c r="N202" i="81"/>
  <c r="O202" i="81"/>
  <c r="B202" i="81"/>
  <c r="G202" i="81"/>
  <c r="H202" i="81"/>
  <c r="A203" i="81"/>
  <c r="I202" i="81"/>
  <c r="L202" i="81"/>
  <c r="U202" i="81"/>
  <c r="C202" i="81"/>
  <c r="T202" i="81"/>
  <c r="E202" i="81"/>
  <c r="F202" i="81"/>
  <c r="R202" i="81"/>
  <c r="S202" i="81"/>
  <c r="J202" i="81"/>
  <c r="Q202" i="81"/>
  <c r="K202" i="81"/>
  <c r="D202" i="81"/>
  <c r="Y200" i="65"/>
  <c r="H200" i="65"/>
  <c r="AA201" i="63"/>
  <c r="AV201" i="63"/>
  <c r="F201" i="63"/>
  <c r="AQ201" i="63"/>
  <c r="Q201" i="63"/>
  <c r="R201" i="65" s="1"/>
  <c r="V201" i="63"/>
  <c r="Y201" i="65" s="1"/>
  <c r="H201" i="63"/>
  <c r="AB201" i="63"/>
  <c r="AW201" i="63"/>
  <c r="G201" i="63"/>
  <c r="J201" i="63"/>
  <c r="AR201" i="63"/>
  <c r="B201" i="63"/>
  <c r="B201" i="65" s="1"/>
  <c r="W201" i="63"/>
  <c r="M201" i="63"/>
  <c r="R201" i="63"/>
  <c r="AM201" i="63"/>
  <c r="AC201" i="63"/>
  <c r="AH201" i="63"/>
  <c r="S201" i="63"/>
  <c r="D201" i="63"/>
  <c r="AY201" i="63"/>
  <c r="T201" i="63"/>
  <c r="P201" i="65" s="1"/>
  <c r="C201" i="63"/>
  <c r="X201" i="65" s="1"/>
  <c r="I201" i="63"/>
  <c r="K201" i="63"/>
  <c r="AJ201" i="63"/>
  <c r="L201" i="63"/>
  <c r="E201" i="63"/>
  <c r="AS201" i="63"/>
  <c r="U201" i="63"/>
  <c r="O201" i="65" s="1"/>
  <c r="N201" i="63"/>
  <c r="A202" i="63"/>
  <c r="AD201" i="63"/>
  <c r="AK201" i="63"/>
  <c r="AT201" i="63"/>
  <c r="AL201" i="63"/>
  <c r="O201" i="63"/>
  <c r="X201" i="63"/>
  <c r="W201" i="65" s="1"/>
  <c r="AE201" i="63"/>
  <c r="Y201" i="63"/>
  <c r="P201" i="63"/>
  <c r="AF201" i="63"/>
  <c r="AG201" i="63"/>
  <c r="AX201" i="63"/>
  <c r="Z201" i="63"/>
  <c r="AI201" i="63"/>
  <c r="AN201" i="63"/>
  <c r="AO201" i="63"/>
  <c r="AP201" i="63"/>
  <c r="AU201" i="63"/>
  <c r="N201" i="65" l="1"/>
  <c r="M201" i="65"/>
  <c r="H201" i="65"/>
  <c r="AQ202" i="63"/>
  <c r="B202" i="63"/>
  <c r="B202" i="65" s="1"/>
  <c r="AK202" i="63"/>
  <c r="L202" i="63"/>
  <c r="AG202" i="63"/>
  <c r="AB202" i="63"/>
  <c r="R202" i="63"/>
  <c r="AL202" i="63"/>
  <c r="AR202" i="63"/>
  <c r="AH202" i="63"/>
  <c r="AM202" i="63"/>
  <c r="M202" i="63"/>
  <c r="AX202" i="63"/>
  <c r="AN202" i="63"/>
  <c r="AC202" i="63"/>
  <c r="C202" i="63"/>
  <c r="X202" i="65" s="1"/>
  <c r="AW202" i="63"/>
  <c r="A203" i="63"/>
  <c r="AS202" i="63"/>
  <c r="F202" i="63"/>
  <c r="N202" i="63"/>
  <c r="S202" i="63"/>
  <c r="G202" i="63"/>
  <c r="I202" i="63"/>
  <c r="AD202" i="63"/>
  <c r="AI202" i="63"/>
  <c r="H202" i="63"/>
  <c r="Y202" i="63"/>
  <c r="AT202" i="63"/>
  <c r="AY202" i="63"/>
  <c r="Q202" i="63"/>
  <c r="R202" i="65" s="1"/>
  <c r="AO202" i="63"/>
  <c r="O202" i="63"/>
  <c r="D202" i="63"/>
  <c r="AE202" i="63"/>
  <c r="AU202" i="63"/>
  <c r="P202" i="63"/>
  <c r="AF202" i="63"/>
  <c r="AV202" i="63"/>
  <c r="T202" i="63"/>
  <c r="P202" i="65" s="1"/>
  <c r="AJ202" i="63"/>
  <c r="E202" i="63"/>
  <c r="U202" i="63"/>
  <c r="O202" i="65" s="1"/>
  <c r="V202" i="63"/>
  <c r="J202" i="63"/>
  <c r="N202" i="65" s="1"/>
  <c r="W202" i="63"/>
  <c r="Z202" i="63"/>
  <c r="X202" i="63"/>
  <c r="W202" i="65" s="1"/>
  <c r="K202" i="63"/>
  <c r="AA202" i="63"/>
  <c r="AP202" i="63"/>
  <c r="F203" i="81"/>
  <c r="K203" i="81"/>
  <c r="L203" i="81"/>
  <c r="T203" i="81"/>
  <c r="I203" i="81"/>
  <c r="O203" i="81"/>
  <c r="J203" i="81"/>
  <c r="Q203" i="81"/>
  <c r="H203" i="81"/>
  <c r="A204" i="81"/>
  <c r="M203" i="81"/>
  <c r="N203" i="81"/>
  <c r="G203" i="81"/>
  <c r="U203" i="81"/>
  <c r="C203" i="81"/>
  <c r="D203" i="81"/>
  <c r="S203" i="81"/>
  <c r="P203" i="81"/>
  <c r="R203" i="81"/>
  <c r="B203" i="81"/>
  <c r="E203" i="81"/>
  <c r="S201" i="65"/>
  <c r="U201" i="65"/>
  <c r="M202" i="65" l="1"/>
  <c r="S202" i="65"/>
  <c r="Y202" i="65"/>
  <c r="B204" i="81"/>
  <c r="C204" i="81"/>
  <c r="D204" i="81"/>
  <c r="J204" i="81"/>
  <c r="K204" i="81"/>
  <c r="M204" i="81"/>
  <c r="Q204" i="81"/>
  <c r="E204" i="81"/>
  <c r="P204" i="81"/>
  <c r="N204" i="81"/>
  <c r="O204" i="81"/>
  <c r="R204" i="81"/>
  <c r="T204" i="81"/>
  <c r="A205" i="81"/>
  <c r="F204" i="81"/>
  <c r="H204" i="81"/>
  <c r="U204" i="81"/>
  <c r="S204" i="81"/>
  <c r="I204" i="81"/>
  <c r="L204" i="81"/>
  <c r="G204" i="81"/>
  <c r="U202" i="65"/>
  <c r="AO203" i="63"/>
  <c r="P203" i="63"/>
  <c r="AY203" i="63"/>
  <c r="J203" i="63"/>
  <c r="N203" i="65" s="1"/>
  <c r="AF203" i="63"/>
  <c r="AU203" i="63"/>
  <c r="Z203" i="63"/>
  <c r="AV203" i="63"/>
  <c r="D203" i="63"/>
  <c r="AP203" i="63"/>
  <c r="Q203" i="63"/>
  <c r="R203" i="65" s="1"/>
  <c r="E203" i="63"/>
  <c r="K203" i="63"/>
  <c r="F203" i="63"/>
  <c r="A204" i="63"/>
  <c r="AA203" i="63"/>
  <c r="AG203" i="63"/>
  <c r="O203" i="63"/>
  <c r="AQ203" i="63"/>
  <c r="AW203" i="63"/>
  <c r="T203" i="63"/>
  <c r="P203" i="65" s="1"/>
  <c r="G203" i="63"/>
  <c r="L203" i="63"/>
  <c r="B203" i="63"/>
  <c r="B203" i="65" s="1"/>
  <c r="W203" i="63"/>
  <c r="AB203" i="63"/>
  <c r="U203" i="63"/>
  <c r="O203" i="65" s="1"/>
  <c r="AM203" i="63"/>
  <c r="AR203" i="63"/>
  <c r="R203" i="63"/>
  <c r="H203" i="63"/>
  <c r="M203" i="63"/>
  <c r="AH203" i="63"/>
  <c r="V203" i="63"/>
  <c r="AK203" i="63"/>
  <c r="AN203" i="63"/>
  <c r="AL203" i="63"/>
  <c r="I203" i="63"/>
  <c r="Y203" i="63"/>
  <c r="AC203" i="63"/>
  <c r="AS203" i="63"/>
  <c r="N203" i="63"/>
  <c r="AD203" i="63"/>
  <c r="AT203" i="63"/>
  <c r="AX203" i="63"/>
  <c r="C203" i="63"/>
  <c r="X203" i="65" s="1"/>
  <c r="S203" i="63"/>
  <c r="AE203" i="63"/>
  <c r="X203" i="63"/>
  <c r="W203" i="65" s="1"/>
  <c r="AJ203" i="63"/>
  <c r="AI203" i="63"/>
  <c r="H202" i="65"/>
  <c r="H203" i="65" l="1"/>
  <c r="B205" i="81"/>
  <c r="C205" i="81"/>
  <c r="R205" i="81"/>
  <c r="S205" i="81"/>
  <c r="F205" i="81"/>
  <c r="U205" i="81"/>
  <c r="J205" i="81"/>
  <c r="D205" i="81"/>
  <c r="E205" i="81"/>
  <c r="K205" i="81"/>
  <c r="L205" i="81"/>
  <c r="I205" i="81"/>
  <c r="N205" i="81"/>
  <c r="O205" i="81"/>
  <c r="Q205" i="81"/>
  <c r="G205" i="81"/>
  <c r="H205" i="81"/>
  <c r="P205" i="81"/>
  <c r="T205" i="81"/>
  <c r="A206" i="81"/>
  <c r="M205" i="81"/>
  <c r="Y203" i="65"/>
  <c r="X204" i="63"/>
  <c r="W204" i="65" s="1"/>
  <c r="AF204" i="63"/>
  <c r="AY204" i="63"/>
  <c r="AV204" i="63"/>
  <c r="R204" i="63"/>
  <c r="AN204" i="63"/>
  <c r="Q204" i="63"/>
  <c r="R204" i="65" s="1"/>
  <c r="S204" i="63"/>
  <c r="I204" i="63"/>
  <c r="T204" i="63"/>
  <c r="P204" i="65" s="1"/>
  <c r="A205" i="63"/>
  <c r="Y204" i="63"/>
  <c r="AG204" i="63"/>
  <c r="E204" i="63"/>
  <c r="AO204" i="63"/>
  <c r="AW204" i="63"/>
  <c r="AA204" i="63"/>
  <c r="U204" i="63"/>
  <c r="O204" i="65" s="1"/>
  <c r="J204" i="63"/>
  <c r="N204" i="65" s="1"/>
  <c r="AS204" i="63"/>
  <c r="AC204" i="63"/>
  <c r="Z204" i="63"/>
  <c r="B204" i="63"/>
  <c r="B204" i="65" s="1"/>
  <c r="AD204" i="63"/>
  <c r="AK204" i="63"/>
  <c r="AP204" i="63"/>
  <c r="AE204" i="63"/>
  <c r="F204" i="63"/>
  <c r="K204" i="63"/>
  <c r="AT204" i="63"/>
  <c r="AH204" i="63"/>
  <c r="V204" i="63"/>
  <c r="L204" i="63"/>
  <c r="C204" i="63"/>
  <c r="X204" i="65" s="1"/>
  <c r="AJ204" i="63"/>
  <c r="AX204" i="63"/>
  <c r="M204" i="63"/>
  <c r="AQ204" i="63"/>
  <c r="AL204" i="63"/>
  <c r="AI204" i="63"/>
  <c r="G204" i="63"/>
  <c r="W204" i="63"/>
  <c r="AM204" i="63"/>
  <c r="H204" i="63"/>
  <c r="AB204" i="63"/>
  <c r="AR204" i="63"/>
  <c r="N204" i="63"/>
  <c r="O204" i="63"/>
  <c r="P204" i="63"/>
  <c r="AU204" i="63"/>
  <c r="D204" i="63"/>
  <c r="U203" i="65"/>
  <c r="S203" i="65"/>
  <c r="M203" i="65"/>
  <c r="S204" i="65" l="1"/>
  <c r="Q206" i="81"/>
  <c r="R206" i="81"/>
  <c r="S206" i="81"/>
  <c r="M206" i="81"/>
  <c r="F206" i="81"/>
  <c r="N206" i="81"/>
  <c r="B206" i="81"/>
  <c r="D206" i="81"/>
  <c r="C206" i="81"/>
  <c r="G206" i="81"/>
  <c r="I206" i="81"/>
  <c r="E206" i="81"/>
  <c r="H206" i="81"/>
  <c r="J206" i="81"/>
  <c r="L206" i="81"/>
  <c r="O206" i="81"/>
  <c r="A207" i="81"/>
  <c r="U206" i="81"/>
  <c r="T206" i="81"/>
  <c r="K206" i="81"/>
  <c r="P206" i="81"/>
  <c r="U204" i="65"/>
  <c r="H204" i="65"/>
  <c r="Y204" i="65"/>
  <c r="M204" i="65"/>
  <c r="V205" i="63"/>
  <c r="AC205" i="63"/>
  <c r="P205" i="63"/>
  <c r="A206" i="63"/>
  <c r="AL205" i="63"/>
  <c r="AF205" i="63"/>
  <c r="AV205" i="63"/>
  <c r="G205" i="63"/>
  <c r="AG205" i="63"/>
  <c r="Q205" i="63"/>
  <c r="R205" i="65" s="1"/>
  <c r="C205" i="63"/>
  <c r="X205" i="65" s="1"/>
  <c r="W205" i="63"/>
  <c r="B205" i="63"/>
  <c r="B205" i="65" s="1"/>
  <c r="AM205" i="63"/>
  <c r="AW205" i="63"/>
  <c r="S205" i="63"/>
  <c r="H205" i="63"/>
  <c r="AH205" i="63"/>
  <c r="R205" i="63"/>
  <c r="AI205" i="63"/>
  <c r="X205" i="63"/>
  <c r="W205" i="65" s="1"/>
  <c r="I205" i="63"/>
  <c r="Y205" i="63"/>
  <c r="AY205" i="63"/>
  <c r="AN205" i="63"/>
  <c r="AO205" i="63"/>
  <c r="Z205" i="63"/>
  <c r="D205" i="63"/>
  <c r="N205" i="63"/>
  <c r="J205" i="63"/>
  <c r="AX205" i="63"/>
  <c r="T205" i="63"/>
  <c r="P205" i="65" s="1"/>
  <c r="AD205" i="63"/>
  <c r="AP205" i="63"/>
  <c r="AJ205" i="63"/>
  <c r="AT205" i="63"/>
  <c r="K205" i="63"/>
  <c r="L205" i="63"/>
  <c r="AR205" i="63"/>
  <c r="M205" i="63"/>
  <c r="AS205" i="63"/>
  <c r="E205" i="63"/>
  <c r="U205" i="63"/>
  <c r="O205" i="65" s="1"/>
  <c r="AK205" i="63"/>
  <c r="F205" i="63"/>
  <c r="O205" i="63"/>
  <c r="AE205" i="63"/>
  <c r="AU205" i="63"/>
  <c r="AB205" i="63"/>
  <c r="AQ205" i="63"/>
  <c r="AA205" i="63"/>
  <c r="Y205" i="65" l="1"/>
  <c r="S205" i="65"/>
  <c r="U205" i="65"/>
  <c r="H205" i="65"/>
  <c r="Q206" i="63"/>
  <c r="R206" i="65" s="1"/>
  <c r="AO206" i="63"/>
  <c r="AA206" i="63"/>
  <c r="AJ206" i="63"/>
  <c r="J206" i="63"/>
  <c r="AD206" i="63"/>
  <c r="AG206" i="63"/>
  <c r="E206" i="63"/>
  <c r="AP206" i="63"/>
  <c r="AE206" i="63"/>
  <c r="AW206" i="63"/>
  <c r="U206" i="63"/>
  <c r="O206" i="65" s="1"/>
  <c r="K206" i="63"/>
  <c r="G206" i="63"/>
  <c r="B206" i="63"/>
  <c r="B206" i="65" s="1"/>
  <c r="AQ206" i="63"/>
  <c r="H206" i="63"/>
  <c r="R206" i="63"/>
  <c r="AK206" i="63"/>
  <c r="N206" i="63"/>
  <c r="AF206" i="63"/>
  <c r="AH206" i="63"/>
  <c r="F206" i="63"/>
  <c r="AT206" i="63"/>
  <c r="AM206" i="63"/>
  <c r="AX206" i="63"/>
  <c r="V206" i="63"/>
  <c r="Y206" i="65" s="1"/>
  <c r="O206" i="63"/>
  <c r="AN206" i="63"/>
  <c r="C206" i="63"/>
  <c r="X206" i="65" s="1"/>
  <c r="AL206" i="63"/>
  <c r="AU206" i="63"/>
  <c r="L206" i="63"/>
  <c r="P206" i="63"/>
  <c r="S206" i="63"/>
  <c r="AB206" i="63"/>
  <c r="AV206" i="63"/>
  <c r="AS206" i="63"/>
  <c r="I206" i="63"/>
  <c r="W206" i="63"/>
  <c r="X206" i="63"/>
  <c r="W206" i="65" s="1"/>
  <c r="Y206" i="63"/>
  <c r="Z206" i="63"/>
  <c r="AI206" i="63"/>
  <c r="AY206" i="63"/>
  <c r="A207" i="63"/>
  <c r="D206" i="63"/>
  <c r="T206" i="63"/>
  <c r="P206" i="65" s="1"/>
  <c r="M206" i="63"/>
  <c r="AC206" i="63"/>
  <c r="AR206" i="63"/>
  <c r="N205" i="65"/>
  <c r="M205" i="65"/>
  <c r="K207" i="81"/>
  <c r="L207" i="81"/>
  <c r="M207" i="81"/>
  <c r="O207" i="81"/>
  <c r="P207" i="81"/>
  <c r="Q207" i="81"/>
  <c r="I207" i="81"/>
  <c r="H207" i="81"/>
  <c r="J207" i="81"/>
  <c r="G207" i="81"/>
  <c r="R207" i="81"/>
  <c r="S207" i="81"/>
  <c r="E207" i="81"/>
  <c r="A208" i="81"/>
  <c r="T207" i="81"/>
  <c r="C207" i="81"/>
  <c r="B207" i="81"/>
  <c r="D207" i="81"/>
  <c r="U207" i="81"/>
  <c r="N207" i="81"/>
  <c r="F207" i="81"/>
  <c r="H206" i="65" l="1"/>
  <c r="R207" i="63"/>
  <c r="AQ207" i="63"/>
  <c r="I207" i="63"/>
  <c r="AH207" i="63"/>
  <c r="W207" i="63"/>
  <c r="AO207" i="63"/>
  <c r="AX207" i="63"/>
  <c r="X207" i="63"/>
  <c r="W207" i="65" s="1"/>
  <c r="L207" i="63"/>
  <c r="A208" i="63"/>
  <c r="C207" i="63"/>
  <c r="X207" i="65" s="1"/>
  <c r="AR207" i="63"/>
  <c r="Y207" i="63"/>
  <c r="M207" i="63"/>
  <c r="O207" i="63"/>
  <c r="S207" i="63"/>
  <c r="AB207" i="63"/>
  <c r="AS207" i="63"/>
  <c r="AE207" i="63"/>
  <c r="AI207" i="63"/>
  <c r="AC207" i="63"/>
  <c r="N207" i="63"/>
  <c r="AU207" i="63"/>
  <c r="AY207" i="63"/>
  <c r="AD207" i="63"/>
  <c r="U207" i="63"/>
  <c r="O207" i="65" s="1"/>
  <c r="P207" i="63"/>
  <c r="D207" i="63"/>
  <c r="E207" i="63"/>
  <c r="AF207" i="63"/>
  <c r="T207" i="63"/>
  <c r="P207" i="65" s="1"/>
  <c r="AK207" i="63"/>
  <c r="V207" i="63"/>
  <c r="AV207" i="63"/>
  <c r="AJ207" i="63"/>
  <c r="F207" i="63"/>
  <c r="AT207" i="63"/>
  <c r="Q207" i="63"/>
  <c r="R207" i="65" s="1"/>
  <c r="AG207" i="63"/>
  <c r="AW207" i="63"/>
  <c r="B207" i="63"/>
  <c r="B207" i="65" s="1"/>
  <c r="Z207" i="63"/>
  <c r="AP207" i="63"/>
  <c r="K207" i="63"/>
  <c r="AA207" i="63"/>
  <c r="AL207" i="63"/>
  <c r="G207" i="63"/>
  <c r="H207" i="63"/>
  <c r="AN207" i="63"/>
  <c r="J207" i="63"/>
  <c r="AM207" i="63"/>
  <c r="N206" i="65"/>
  <c r="F208" i="81"/>
  <c r="I208" i="81"/>
  <c r="R208" i="81"/>
  <c r="J208" i="81"/>
  <c r="S208" i="81"/>
  <c r="A209" i="81"/>
  <c r="L208" i="81"/>
  <c r="M208" i="81"/>
  <c r="N208" i="81"/>
  <c r="Q208" i="81"/>
  <c r="T208" i="81"/>
  <c r="E208" i="81"/>
  <c r="P208" i="81"/>
  <c r="K208" i="81"/>
  <c r="C208" i="81"/>
  <c r="U208" i="81"/>
  <c r="D208" i="81"/>
  <c r="O208" i="81"/>
  <c r="G208" i="81"/>
  <c r="H208" i="81"/>
  <c r="B208" i="81"/>
  <c r="S206" i="65"/>
  <c r="U206" i="65"/>
  <c r="M206" i="65"/>
  <c r="M207" i="65" l="1"/>
  <c r="AE208" i="63"/>
  <c r="AN208" i="63"/>
  <c r="S208" i="63"/>
  <c r="AU208" i="63"/>
  <c r="I208" i="63"/>
  <c r="AY208" i="63"/>
  <c r="P208" i="63"/>
  <c r="Y208" i="63"/>
  <c r="T208" i="63"/>
  <c r="P208" i="65" s="1"/>
  <c r="AF208" i="63"/>
  <c r="AO208" i="63"/>
  <c r="U208" i="63"/>
  <c r="O208" i="65" s="1"/>
  <c r="AV208" i="63"/>
  <c r="E208" i="63"/>
  <c r="V208" i="63"/>
  <c r="Q208" i="63"/>
  <c r="R208" i="65" s="1"/>
  <c r="AK208" i="63"/>
  <c r="W208" i="63"/>
  <c r="F208" i="63"/>
  <c r="Z208" i="63"/>
  <c r="AG208" i="63"/>
  <c r="AL208" i="63"/>
  <c r="AA208" i="63"/>
  <c r="AW208" i="63"/>
  <c r="G208" i="63"/>
  <c r="AI208" i="63"/>
  <c r="M208" i="63"/>
  <c r="B208" i="63"/>
  <c r="B208" i="65" s="1"/>
  <c r="AM208" i="63"/>
  <c r="AJ208" i="63"/>
  <c r="AC208" i="63"/>
  <c r="J208" i="63"/>
  <c r="C208" i="63"/>
  <c r="X208" i="65" s="1"/>
  <c r="R208" i="63"/>
  <c r="S208" i="65" s="1"/>
  <c r="AH208" i="63"/>
  <c r="AX208" i="63"/>
  <c r="H208" i="63"/>
  <c r="M208" i="65" s="1"/>
  <c r="AP208" i="63"/>
  <c r="AQ208" i="63"/>
  <c r="L208" i="63"/>
  <c r="AR208" i="63"/>
  <c r="A209" i="63"/>
  <c r="AS208" i="63"/>
  <c r="D208" i="63"/>
  <c r="N208" i="63"/>
  <c r="AB208" i="63"/>
  <c r="AT208" i="63"/>
  <c r="O208" i="63"/>
  <c r="AD208" i="63"/>
  <c r="X208" i="63"/>
  <c r="W208" i="65" s="1"/>
  <c r="K208" i="63"/>
  <c r="U207" i="65"/>
  <c r="L209" i="81"/>
  <c r="G209" i="81"/>
  <c r="H209" i="81"/>
  <c r="P209" i="81"/>
  <c r="J209" i="81"/>
  <c r="Q209" i="81"/>
  <c r="K209" i="81"/>
  <c r="D209" i="81"/>
  <c r="U209" i="81"/>
  <c r="N209" i="81"/>
  <c r="O209" i="81"/>
  <c r="T209" i="81"/>
  <c r="M209" i="81"/>
  <c r="R209" i="81"/>
  <c r="C209" i="81"/>
  <c r="E209" i="81"/>
  <c r="B209" i="81"/>
  <c r="I209" i="81"/>
  <c r="A210" i="81"/>
  <c r="S209" i="81"/>
  <c r="F209" i="81"/>
  <c r="H207" i="65"/>
  <c r="N207" i="65"/>
  <c r="Y207" i="65"/>
  <c r="S207" i="65"/>
  <c r="N208" i="65" l="1"/>
  <c r="Y208" i="65"/>
  <c r="H208" i="65"/>
  <c r="U208" i="65"/>
  <c r="AA209" i="63"/>
  <c r="AV209" i="63"/>
  <c r="AG209" i="63"/>
  <c r="R209" i="63"/>
  <c r="AQ209" i="63"/>
  <c r="F209" i="63"/>
  <c r="B209" i="63"/>
  <c r="B209" i="65" s="1"/>
  <c r="AP209" i="63"/>
  <c r="L209" i="63"/>
  <c r="V209" i="63"/>
  <c r="AH209" i="63"/>
  <c r="AW209" i="63"/>
  <c r="AB209" i="63"/>
  <c r="AL209" i="63"/>
  <c r="C209" i="63"/>
  <c r="X209" i="65" s="1"/>
  <c r="AX209" i="63"/>
  <c r="A210" i="63"/>
  <c r="M209" i="63"/>
  <c r="W209" i="63"/>
  <c r="D209" i="63"/>
  <c r="AS209" i="63"/>
  <c r="S209" i="63"/>
  <c r="E209" i="63"/>
  <c r="AD209" i="63"/>
  <c r="T209" i="63"/>
  <c r="P209" i="65" s="1"/>
  <c r="H209" i="63"/>
  <c r="AT209" i="63"/>
  <c r="AN209" i="63"/>
  <c r="N209" i="63"/>
  <c r="AK209" i="63"/>
  <c r="O209" i="63"/>
  <c r="I209" i="63"/>
  <c r="AE209" i="63"/>
  <c r="AO209" i="63"/>
  <c r="AU209" i="63"/>
  <c r="J209" i="63"/>
  <c r="AF209" i="63"/>
  <c r="AM209" i="63"/>
  <c r="AY209" i="63"/>
  <c r="U209" i="63"/>
  <c r="O209" i="65" s="1"/>
  <c r="X209" i="63"/>
  <c r="W209" i="65" s="1"/>
  <c r="Y209" i="63"/>
  <c r="AR209" i="63"/>
  <c r="AI209" i="63"/>
  <c r="AC209" i="63"/>
  <c r="AJ209" i="63"/>
  <c r="K209" i="63"/>
  <c r="P209" i="63"/>
  <c r="G209" i="63"/>
  <c r="Z209" i="63"/>
  <c r="Q209" i="63"/>
  <c r="R209" i="65" s="1"/>
  <c r="B210" i="81"/>
  <c r="U210" i="81"/>
  <c r="C210" i="81"/>
  <c r="E210" i="81"/>
  <c r="K210" i="81"/>
  <c r="J210" i="81"/>
  <c r="M210" i="81"/>
  <c r="F210" i="81"/>
  <c r="D210" i="81"/>
  <c r="T210" i="81"/>
  <c r="I210" i="81"/>
  <c r="H210" i="81"/>
  <c r="A211" i="81"/>
  <c r="L210" i="81"/>
  <c r="N210" i="81"/>
  <c r="O210" i="81"/>
  <c r="P210" i="81"/>
  <c r="G210" i="81"/>
  <c r="R210" i="81"/>
  <c r="S210" i="81"/>
  <c r="Q210" i="81"/>
  <c r="M209" i="65" l="1"/>
  <c r="Y209" i="65"/>
  <c r="U209" i="65"/>
  <c r="H209" i="65"/>
  <c r="S209" i="65"/>
  <c r="N209" i="65"/>
  <c r="AA210" i="63"/>
  <c r="AK210" i="63"/>
  <c r="P210" i="63"/>
  <c r="AQ210" i="63"/>
  <c r="AG210" i="63"/>
  <c r="AV210" i="63"/>
  <c r="L210" i="63"/>
  <c r="B210" i="63"/>
  <c r="B210" i="65" s="1"/>
  <c r="Q210" i="63"/>
  <c r="R210" i="65" s="1"/>
  <c r="AB210" i="63"/>
  <c r="M210" i="63"/>
  <c r="C210" i="63"/>
  <c r="X210" i="65" s="1"/>
  <c r="R210" i="63"/>
  <c r="I210" i="63"/>
  <c r="AD210" i="63"/>
  <c r="AL210" i="63"/>
  <c r="V210" i="63"/>
  <c r="Y210" i="63"/>
  <c r="AT210" i="63"/>
  <c r="G210" i="63"/>
  <c r="W210" i="63"/>
  <c r="AC210" i="63"/>
  <c r="AU210" i="63"/>
  <c r="AS210" i="63"/>
  <c r="AW210" i="63"/>
  <c r="N210" i="63"/>
  <c r="AX210" i="63"/>
  <c r="D210" i="63"/>
  <c r="S210" i="63"/>
  <c r="AJ210" i="63"/>
  <c r="X210" i="63"/>
  <c r="W210" i="65" s="1"/>
  <c r="U210" i="63"/>
  <c r="O210" i="65" s="1"/>
  <c r="AE210" i="63"/>
  <c r="AH210" i="63"/>
  <c r="AF210" i="63"/>
  <c r="J210" i="63"/>
  <c r="F210" i="63"/>
  <c r="A211" i="63"/>
  <c r="Z210" i="63"/>
  <c r="AM210" i="63"/>
  <c r="K210" i="63"/>
  <c r="AN210" i="63"/>
  <c r="AR210" i="63"/>
  <c r="O210" i="63"/>
  <c r="AO210" i="63"/>
  <c r="AP210" i="63"/>
  <c r="T210" i="63"/>
  <c r="P210" i="65" s="1"/>
  <c r="E210" i="63"/>
  <c r="AI210" i="63"/>
  <c r="H210" i="63"/>
  <c r="M210" i="65" s="1"/>
  <c r="AY210" i="63"/>
  <c r="N211" i="81"/>
  <c r="S211" i="81"/>
  <c r="O211" i="81"/>
  <c r="A212" i="81"/>
  <c r="P211" i="81"/>
  <c r="R211" i="81"/>
  <c r="T211" i="81"/>
  <c r="B211" i="81"/>
  <c r="D211" i="81"/>
  <c r="J211" i="81"/>
  <c r="K211" i="81"/>
  <c r="Q211" i="81"/>
  <c r="C211" i="81"/>
  <c r="M211" i="81"/>
  <c r="H211" i="81"/>
  <c r="I211" i="81"/>
  <c r="L211" i="81"/>
  <c r="E211" i="81"/>
  <c r="F211" i="81"/>
  <c r="G211" i="81"/>
  <c r="U211" i="81"/>
  <c r="H210" i="65" l="1"/>
  <c r="U210" i="65"/>
  <c r="N210" i="65"/>
  <c r="Y210" i="65"/>
  <c r="Z211" i="63"/>
  <c r="AY211" i="63"/>
  <c r="D211" i="63"/>
  <c r="AP211" i="63"/>
  <c r="O211" i="63"/>
  <c r="AJ211" i="63"/>
  <c r="K211" i="63"/>
  <c r="AU211" i="63"/>
  <c r="E211" i="63"/>
  <c r="AA211" i="63"/>
  <c r="P211" i="63"/>
  <c r="AK211" i="63"/>
  <c r="L211" i="63"/>
  <c r="Q211" i="63"/>
  <c r="R211" i="65" s="1"/>
  <c r="F211" i="63"/>
  <c r="H211" i="63"/>
  <c r="R211" i="63"/>
  <c r="U211" i="63"/>
  <c r="O211" i="65" s="1"/>
  <c r="AL211" i="63"/>
  <c r="X211" i="63"/>
  <c r="W211" i="65" s="1"/>
  <c r="AH211" i="63"/>
  <c r="V211" i="63"/>
  <c r="AN211" i="63"/>
  <c r="AW211" i="63"/>
  <c r="I211" i="63"/>
  <c r="T211" i="63"/>
  <c r="P211" i="65" s="1"/>
  <c r="Y211" i="63"/>
  <c r="AC211" i="63"/>
  <c r="AO211" i="63"/>
  <c r="AD211" i="63"/>
  <c r="AQ211" i="63"/>
  <c r="AF211" i="63"/>
  <c r="AR211" i="63"/>
  <c r="AT211" i="63"/>
  <c r="B211" i="63"/>
  <c r="B211" i="65" s="1"/>
  <c r="M211" i="63"/>
  <c r="AX211" i="63"/>
  <c r="N211" i="63"/>
  <c r="S211" i="63"/>
  <c r="A212" i="63"/>
  <c r="W211" i="63"/>
  <c r="AV211" i="63"/>
  <c r="J211" i="63"/>
  <c r="AB211" i="63"/>
  <c r="C211" i="63"/>
  <c r="X211" i="65" s="1"/>
  <c r="AI211" i="63"/>
  <c r="AE211" i="63"/>
  <c r="AG211" i="63"/>
  <c r="AS211" i="63"/>
  <c r="G211" i="63"/>
  <c r="AM211" i="63"/>
  <c r="F212" i="81"/>
  <c r="G212" i="81"/>
  <c r="D212" i="81"/>
  <c r="I212" i="81"/>
  <c r="E212" i="81"/>
  <c r="K212" i="81"/>
  <c r="U212" i="81"/>
  <c r="R212" i="81"/>
  <c r="H212" i="81"/>
  <c r="A213" i="81"/>
  <c r="T212" i="81"/>
  <c r="N212" i="81"/>
  <c r="O212" i="81"/>
  <c r="B212" i="81"/>
  <c r="L212" i="81"/>
  <c r="J212" i="81"/>
  <c r="Q212" i="81"/>
  <c r="S212" i="81"/>
  <c r="C212" i="81"/>
  <c r="M212" i="81"/>
  <c r="P212" i="81"/>
  <c r="S210" i="65"/>
  <c r="N211" i="65" l="1"/>
  <c r="U211" i="65"/>
  <c r="U213" i="81"/>
  <c r="B213" i="81"/>
  <c r="C213" i="81"/>
  <c r="K213" i="81"/>
  <c r="H213" i="81"/>
  <c r="I213" i="81"/>
  <c r="T213" i="81"/>
  <c r="L213" i="81"/>
  <c r="M213" i="81"/>
  <c r="O213" i="81"/>
  <c r="R213" i="81"/>
  <c r="G213" i="81"/>
  <c r="A214" i="81"/>
  <c r="E213" i="81"/>
  <c r="J213" i="81"/>
  <c r="S213" i="81"/>
  <c r="N213" i="81"/>
  <c r="D213" i="81"/>
  <c r="F213" i="81"/>
  <c r="Q213" i="81"/>
  <c r="P213" i="81"/>
  <c r="AO212" i="63"/>
  <c r="C212" i="63"/>
  <c r="X212" i="65" s="1"/>
  <c r="AX212" i="63"/>
  <c r="E212" i="63"/>
  <c r="U212" i="63"/>
  <c r="O212" i="65" s="1"/>
  <c r="Z212" i="63"/>
  <c r="AI212" i="63"/>
  <c r="AY212" i="63"/>
  <c r="AK212" i="63"/>
  <c r="AP212" i="63"/>
  <c r="D212" i="63"/>
  <c r="T212" i="63"/>
  <c r="P212" i="65" s="1"/>
  <c r="V212" i="63"/>
  <c r="AF212" i="63"/>
  <c r="K212" i="63"/>
  <c r="AA212" i="63"/>
  <c r="AM212" i="63"/>
  <c r="AW212" i="63"/>
  <c r="H212" i="63"/>
  <c r="AC212" i="63"/>
  <c r="AS212" i="63"/>
  <c r="AD212" i="63"/>
  <c r="S212" i="63"/>
  <c r="AE212" i="63"/>
  <c r="F212" i="63"/>
  <c r="B212" i="63"/>
  <c r="B212" i="65" s="1"/>
  <c r="AB212" i="63"/>
  <c r="AL212" i="63"/>
  <c r="W212" i="63"/>
  <c r="AQ212" i="63"/>
  <c r="AN212" i="63"/>
  <c r="L212" i="63"/>
  <c r="I212" i="63"/>
  <c r="AR212" i="63"/>
  <c r="A213" i="63"/>
  <c r="J212" i="63"/>
  <c r="N212" i="65" s="1"/>
  <c r="N212" i="63"/>
  <c r="P212" i="63"/>
  <c r="AT212" i="63"/>
  <c r="Q212" i="63"/>
  <c r="R212" i="65" s="1"/>
  <c r="AU212" i="63"/>
  <c r="X212" i="63"/>
  <c r="W212" i="65" s="1"/>
  <c r="Y212" i="63"/>
  <c r="AV212" i="63"/>
  <c r="AG212" i="63"/>
  <c r="AH212" i="63"/>
  <c r="AJ212" i="63"/>
  <c r="M212" i="63"/>
  <c r="O212" i="63"/>
  <c r="R212" i="63"/>
  <c r="G212" i="63"/>
  <c r="Y211" i="65"/>
  <c r="H211" i="65"/>
  <c r="S211" i="65"/>
  <c r="M211" i="65"/>
  <c r="M212" i="65" l="1"/>
  <c r="H212" i="65"/>
  <c r="N214" i="81"/>
  <c r="A215" i="81"/>
  <c r="O214" i="81"/>
  <c r="Q214" i="81"/>
  <c r="T214" i="81"/>
  <c r="B214" i="81"/>
  <c r="U214" i="81"/>
  <c r="R214" i="81"/>
  <c r="C214" i="81"/>
  <c r="D214" i="81"/>
  <c r="E214" i="81"/>
  <c r="F214" i="81"/>
  <c r="S214" i="81"/>
  <c r="L214" i="81"/>
  <c r="M214" i="81"/>
  <c r="P214" i="81"/>
  <c r="K214" i="81"/>
  <c r="H214" i="81"/>
  <c r="I214" i="81"/>
  <c r="J214" i="81"/>
  <c r="G214" i="81"/>
  <c r="U212" i="65"/>
  <c r="AY213" i="63"/>
  <c r="T213" i="63"/>
  <c r="P213" i="65" s="1"/>
  <c r="AD213" i="63"/>
  <c r="AX213" i="63"/>
  <c r="AJ213" i="63"/>
  <c r="AT213" i="63"/>
  <c r="Y213" i="63"/>
  <c r="U213" i="63"/>
  <c r="O213" i="65" s="1"/>
  <c r="AE213" i="63"/>
  <c r="AA213" i="63"/>
  <c r="N213" i="63"/>
  <c r="AC213" i="63"/>
  <c r="S213" i="63"/>
  <c r="O213" i="63"/>
  <c r="AF213" i="63"/>
  <c r="D213" i="63"/>
  <c r="K213" i="63"/>
  <c r="B213" i="63"/>
  <c r="B213" i="65" s="1"/>
  <c r="L213" i="63"/>
  <c r="I213" i="63"/>
  <c r="F213" i="63"/>
  <c r="M213" i="63"/>
  <c r="AH213" i="63"/>
  <c r="A214" i="63"/>
  <c r="V213" i="63"/>
  <c r="AS213" i="63"/>
  <c r="AO213" i="63"/>
  <c r="AL213" i="63"/>
  <c r="P213" i="63"/>
  <c r="AP213" i="63"/>
  <c r="W213" i="63"/>
  <c r="Q213" i="63"/>
  <c r="R213" i="65" s="1"/>
  <c r="AM213" i="63"/>
  <c r="AW213" i="63"/>
  <c r="X213" i="63"/>
  <c r="W213" i="65" s="1"/>
  <c r="Z213" i="63"/>
  <c r="J213" i="63"/>
  <c r="C213" i="63"/>
  <c r="X213" i="65" s="1"/>
  <c r="AI213" i="63"/>
  <c r="E213" i="63"/>
  <c r="AK213" i="63"/>
  <c r="G213" i="63"/>
  <c r="H213" i="63"/>
  <c r="AN213" i="63"/>
  <c r="AQ213" i="63"/>
  <c r="AR213" i="63"/>
  <c r="AV213" i="63"/>
  <c r="AU213" i="63"/>
  <c r="R213" i="63"/>
  <c r="S213" i="65" s="1"/>
  <c r="AB213" i="63"/>
  <c r="AG213" i="63"/>
  <c r="S212" i="65"/>
  <c r="Y212" i="65"/>
  <c r="N213" i="65" l="1"/>
  <c r="Y213" i="65"/>
  <c r="AJ214" i="63"/>
  <c r="AA214" i="63"/>
  <c r="O214" i="63"/>
  <c r="R214" i="63"/>
  <c r="AL214" i="63"/>
  <c r="I214" i="63"/>
  <c r="AH214" i="63"/>
  <c r="L214" i="63"/>
  <c r="AO214" i="63"/>
  <c r="C214" i="63"/>
  <c r="X214" i="65" s="1"/>
  <c r="AR214" i="63"/>
  <c r="AP214" i="63"/>
  <c r="AI214" i="63"/>
  <c r="AC214" i="63"/>
  <c r="AQ214" i="63"/>
  <c r="D214" i="63"/>
  <c r="Y214" i="63"/>
  <c r="AT214" i="63"/>
  <c r="T214" i="63"/>
  <c r="P214" i="65" s="1"/>
  <c r="Z214" i="63"/>
  <c r="AU214" i="63"/>
  <c r="AD214" i="63"/>
  <c r="P214" i="63"/>
  <c r="U214" i="63"/>
  <c r="O214" i="65" s="1"/>
  <c r="AF214" i="63"/>
  <c r="X214" i="63"/>
  <c r="W214" i="65" s="1"/>
  <c r="A215" i="63"/>
  <c r="Q214" i="63"/>
  <c r="R214" i="65" s="1"/>
  <c r="G214" i="63"/>
  <c r="AW214" i="63"/>
  <c r="F214" i="63"/>
  <c r="H214" i="63"/>
  <c r="B214" i="63"/>
  <c r="B214" i="65" s="1"/>
  <c r="W214" i="63"/>
  <c r="AX214" i="63"/>
  <c r="AV214" i="63"/>
  <c r="S214" i="63"/>
  <c r="AY214" i="63"/>
  <c r="E214" i="63"/>
  <c r="AK214" i="63"/>
  <c r="V214" i="63"/>
  <c r="AB214" i="63"/>
  <c r="M214" i="63"/>
  <c r="AE214" i="63"/>
  <c r="AN214" i="63"/>
  <c r="K214" i="63"/>
  <c r="N214" i="63"/>
  <c r="J214" i="63"/>
  <c r="AG214" i="63"/>
  <c r="AS214" i="63"/>
  <c r="AM214" i="63"/>
  <c r="U213" i="65"/>
  <c r="H213" i="65"/>
  <c r="R215" i="81"/>
  <c r="H215" i="81"/>
  <c r="E215" i="81"/>
  <c r="I215" i="81"/>
  <c r="F215" i="81"/>
  <c r="M215" i="81"/>
  <c r="J215" i="81"/>
  <c r="N215" i="81"/>
  <c r="A216" i="81"/>
  <c r="O215" i="81"/>
  <c r="U215" i="81"/>
  <c r="C215" i="81"/>
  <c r="K215" i="81"/>
  <c r="G215" i="81"/>
  <c r="P215" i="81"/>
  <c r="Q215" i="81"/>
  <c r="L215" i="81"/>
  <c r="D215" i="81"/>
  <c r="S215" i="81"/>
  <c r="T215" i="81"/>
  <c r="B215" i="81"/>
  <c r="M213" i="65"/>
  <c r="Y214" i="65" l="1"/>
  <c r="M214" i="65"/>
  <c r="N214" i="65"/>
  <c r="H214" i="65"/>
  <c r="R216" i="81"/>
  <c r="S216" i="81"/>
  <c r="B216" i="81"/>
  <c r="C216" i="81"/>
  <c r="F216" i="81"/>
  <c r="D216" i="81"/>
  <c r="G216" i="81"/>
  <c r="J216" i="81"/>
  <c r="Q216" i="81"/>
  <c r="A217" i="81"/>
  <c r="T216" i="81"/>
  <c r="L216" i="81"/>
  <c r="N216" i="81"/>
  <c r="O216" i="81"/>
  <c r="E216" i="81"/>
  <c r="U216" i="81"/>
  <c r="H216" i="81"/>
  <c r="P216" i="81"/>
  <c r="K216" i="81"/>
  <c r="I216" i="81"/>
  <c r="M216" i="81"/>
  <c r="P215" i="63"/>
  <c r="AY215" i="63"/>
  <c r="AO215" i="63"/>
  <c r="AD215" i="63"/>
  <c r="C215" i="63"/>
  <c r="X215" i="65" s="1"/>
  <c r="H215" i="63"/>
  <c r="AB215" i="63"/>
  <c r="AN215" i="63"/>
  <c r="AC215" i="63"/>
  <c r="AE215" i="63"/>
  <c r="AI215" i="63"/>
  <c r="L215" i="63"/>
  <c r="AL215" i="63"/>
  <c r="A216" i="63"/>
  <c r="AF215" i="63"/>
  <c r="T215" i="63"/>
  <c r="P215" i="65" s="1"/>
  <c r="M215" i="63"/>
  <c r="F215" i="63"/>
  <c r="Q215" i="63"/>
  <c r="R215" i="65" s="1"/>
  <c r="AJ215" i="63"/>
  <c r="N215" i="63"/>
  <c r="J215" i="63"/>
  <c r="AT215" i="63"/>
  <c r="AG215" i="63"/>
  <c r="Z215" i="63"/>
  <c r="U215" i="63"/>
  <c r="O215" i="65" s="1"/>
  <c r="B215" i="63"/>
  <c r="B215" i="65" s="1"/>
  <c r="K215" i="63"/>
  <c r="V215" i="63"/>
  <c r="AA215" i="63"/>
  <c r="W215" i="63"/>
  <c r="AH215" i="63"/>
  <c r="G215" i="63"/>
  <c r="AU215" i="63"/>
  <c r="Y215" i="63"/>
  <c r="AV215" i="63"/>
  <c r="AK215" i="63"/>
  <c r="AW215" i="63"/>
  <c r="E215" i="63"/>
  <c r="R215" i="63"/>
  <c r="AX215" i="63"/>
  <c r="S215" i="63"/>
  <c r="D215" i="63"/>
  <c r="AP215" i="63"/>
  <c r="AM215" i="63"/>
  <c r="AR215" i="63"/>
  <c r="O215" i="63"/>
  <c r="AQ215" i="63"/>
  <c r="I215" i="63"/>
  <c r="AS215" i="63"/>
  <c r="X215" i="63"/>
  <c r="W215" i="65" s="1"/>
  <c r="U214" i="65"/>
  <c r="S214" i="65"/>
  <c r="M215" i="65" l="1"/>
  <c r="N215" i="65"/>
  <c r="S215" i="65"/>
  <c r="H215" i="65"/>
  <c r="L217" i="81"/>
  <c r="M217" i="81"/>
  <c r="N217" i="81"/>
  <c r="S217" i="81"/>
  <c r="U217" i="81"/>
  <c r="B217" i="81"/>
  <c r="R217" i="81"/>
  <c r="A218" i="81"/>
  <c r="Q217" i="81"/>
  <c r="D217" i="81"/>
  <c r="C217" i="81"/>
  <c r="E217" i="81"/>
  <c r="F217" i="81"/>
  <c r="K217" i="81"/>
  <c r="O217" i="81"/>
  <c r="J217" i="81"/>
  <c r="T217" i="81"/>
  <c r="G217" i="81"/>
  <c r="H217" i="81"/>
  <c r="P217" i="81"/>
  <c r="I217" i="81"/>
  <c r="AE216" i="63"/>
  <c r="U216" i="63"/>
  <c r="O216" i="65" s="1"/>
  <c r="AB216" i="63"/>
  <c r="P216" i="63"/>
  <c r="V216" i="63"/>
  <c r="G216" i="63"/>
  <c r="AF216" i="63"/>
  <c r="AR216" i="63"/>
  <c r="AJ216" i="63"/>
  <c r="Q216" i="63"/>
  <c r="R216" i="65" s="1"/>
  <c r="AU216" i="63"/>
  <c r="AK216" i="63"/>
  <c r="AG216" i="63"/>
  <c r="AL216" i="63"/>
  <c r="B216" i="63"/>
  <c r="B216" i="65" s="1"/>
  <c r="Y216" i="63"/>
  <c r="L216" i="63"/>
  <c r="C216" i="63"/>
  <c r="X216" i="65" s="1"/>
  <c r="S216" i="63"/>
  <c r="M216" i="63"/>
  <c r="R216" i="63"/>
  <c r="AM216" i="63"/>
  <c r="A217" i="63"/>
  <c r="AS216" i="63"/>
  <c r="AX216" i="63"/>
  <c r="D216" i="63"/>
  <c r="AO216" i="63"/>
  <c r="N216" i="63"/>
  <c r="I216" i="63"/>
  <c r="AA216" i="63"/>
  <c r="AT216" i="63"/>
  <c r="AP216" i="63"/>
  <c r="F216" i="63"/>
  <c r="AH216" i="63"/>
  <c r="T216" i="63"/>
  <c r="P216" i="65" s="1"/>
  <c r="AQ216" i="63"/>
  <c r="W216" i="63"/>
  <c r="X216" i="63"/>
  <c r="W216" i="65" s="1"/>
  <c r="AY216" i="63"/>
  <c r="Z216" i="63"/>
  <c r="E216" i="63"/>
  <c r="AI216" i="63"/>
  <c r="AC216" i="63"/>
  <c r="J216" i="63"/>
  <c r="O216" i="63"/>
  <c r="AN216" i="63"/>
  <c r="AW216" i="63"/>
  <c r="H216" i="63"/>
  <c r="K216" i="63"/>
  <c r="AD216" i="63"/>
  <c r="AV216" i="63"/>
  <c r="Y215" i="65"/>
  <c r="U215" i="65"/>
  <c r="M216" i="65" l="1"/>
  <c r="S216" i="65"/>
  <c r="Y216" i="65"/>
  <c r="H216" i="65"/>
  <c r="Q217" i="63"/>
  <c r="R217" i="65" s="1"/>
  <c r="H217" i="63"/>
  <c r="AA217" i="63"/>
  <c r="AM217" i="63"/>
  <c r="E217" i="63"/>
  <c r="AI217" i="63"/>
  <c r="AQ217" i="63"/>
  <c r="T217" i="63"/>
  <c r="P217" i="65" s="1"/>
  <c r="Y217" i="63"/>
  <c r="AJ217" i="63"/>
  <c r="AB217" i="63"/>
  <c r="U217" i="63"/>
  <c r="O217" i="65" s="1"/>
  <c r="F217" i="63"/>
  <c r="N217" i="63"/>
  <c r="B217" i="63"/>
  <c r="B217" i="65" s="1"/>
  <c r="AX217" i="63"/>
  <c r="AT217" i="63"/>
  <c r="V217" i="63"/>
  <c r="AC217" i="63"/>
  <c r="P217" i="63"/>
  <c r="AP217" i="63"/>
  <c r="AY217" i="63"/>
  <c r="AF217" i="63"/>
  <c r="C217" i="63"/>
  <c r="X217" i="65" s="1"/>
  <c r="AE217" i="63"/>
  <c r="AS217" i="63"/>
  <c r="AG217" i="63"/>
  <c r="AK217" i="63"/>
  <c r="D217" i="63"/>
  <c r="J217" i="63"/>
  <c r="AL217" i="63"/>
  <c r="O217" i="63"/>
  <c r="AU217" i="63"/>
  <c r="AW217" i="63"/>
  <c r="Z217" i="63"/>
  <c r="G217" i="63"/>
  <c r="K217" i="63"/>
  <c r="I217" i="63"/>
  <c r="L217" i="63"/>
  <c r="M217" i="63"/>
  <c r="AR217" i="63"/>
  <c r="AH217" i="63"/>
  <c r="AD217" i="63"/>
  <c r="AV217" i="63"/>
  <c r="S217" i="63"/>
  <c r="AO217" i="63"/>
  <c r="R217" i="63"/>
  <c r="AN217" i="63"/>
  <c r="W217" i="63"/>
  <c r="X217" i="63"/>
  <c r="W217" i="65" s="1"/>
  <c r="A218" i="63"/>
  <c r="L218" i="81"/>
  <c r="G218" i="81"/>
  <c r="M218" i="81"/>
  <c r="D218" i="81"/>
  <c r="P218" i="81"/>
  <c r="E218" i="81"/>
  <c r="K218" i="81"/>
  <c r="A219" i="81"/>
  <c r="N218" i="81"/>
  <c r="J218" i="81"/>
  <c r="Q218" i="81"/>
  <c r="S218" i="81"/>
  <c r="C218" i="81"/>
  <c r="H218" i="81"/>
  <c r="R218" i="81"/>
  <c r="T218" i="81"/>
  <c r="B218" i="81"/>
  <c r="U218" i="81"/>
  <c r="F218" i="81"/>
  <c r="O218" i="81"/>
  <c r="I218" i="81"/>
  <c r="U216" i="65"/>
  <c r="N216" i="65"/>
  <c r="N217" i="65" l="1"/>
  <c r="H217" i="65"/>
  <c r="S217" i="65"/>
  <c r="B219" i="81"/>
  <c r="U219" i="81"/>
  <c r="J219" i="81"/>
  <c r="D219" i="81"/>
  <c r="H219" i="81"/>
  <c r="E219" i="81"/>
  <c r="K219" i="81"/>
  <c r="M219" i="81"/>
  <c r="N219" i="81"/>
  <c r="P219" i="81"/>
  <c r="R219" i="81"/>
  <c r="F219" i="81"/>
  <c r="Q219" i="81"/>
  <c r="A220" i="81"/>
  <c r="I219" i="81"/>
  <c r="L219" i="81"/>
  <c r="T219" i="81"/>
  <c r="C219" i="81"/>
  <c r="G219" i="81"/>
  <c r="S219" i="81"/>
  <c r="O219" i="81"/>
  <c r="U217" i="65"/>
  <c r="AB218" i="63"/>
  <c r="AH218" i="63"/>
  <c r="AN218" i="63"/>
  <c r="AR218" i="63"/>
  <c r="AF218" i="63"/>
  <c r="AL218" i="63"/>
  <c r="AV218" i="63"/>
  <c r="T218" i="63"/>
  <c r="P218" i="65" s="1"/>
  <c r="AA218" i="63"/>
  <c r="A219" i="63"/>
  <c r="Y218" i="63"/>
  <c r="AG218" i="63"/>
  <c r="AM218" i="63"/>
  <c r="AQ218" i="63"/>
  <c r="Z218" i="63"/>
  <c r="O218" i="63"/>
  <c r="B218" i="63"/>
  <c r="B218" i="65" s="1"/>
  <c r="D218" i="63"/>
  <c r="N218" i="63"/>
  <c r="P218" i="63"/>
  <c r="V218" i="63"/>
  <c r="G218" i="63"/>
  <c r="AI218" i="63"/>
  <c r="AO218" i="63"/>
  <c r="AD218" i="63"/>
  <c r="AY218" i="63"/>
  <c r="C218" i="63"/>
  <c r="X218" i="65" s="1"/>
  <c r="H218" i="63"/>
  <c r="W218" i="63"/>
  <c r="AE218" i="63"/>
  <c r="AJ218" i="63"/>
  <c r="AP218" i="63"/>
  <c r="K218" i="63"/>
  <c r="AK218" i="63"/>
  <c r="AT218" i="63"/>
  <c r="AC218" i="63"/>
  <c r="AU218" i="63"/>
  <c r="AS218" i="63"/>
  <c r="M218" i="63"/>
  <c r="AW218" i="63"/>
  <c r="AX218" i="63"/>
  <c r="Q218" i="63"/>
  <c r="R218" i="65" s="1"/>
  <c r="R218" i="63"/>
  <c r="S218" i="63"/>
  <c r="U218" i="63"/>
  <c r="O218" i="65" s="1"/>
  <c r="E218" i="63"/>
  <c r="F218" i="63"/>
  <c r="X218" i="63"/>
  <c r="W218" i="65" s="1"/>
  <c r="I218" i="63"/>
  <c r="J218" i="63"/>
  <c r="L218" i="63"/>
  <c r="Y217" i="65"/>
  <c r="M217" i="65"/>
  <c r="N218" i="65" l="1"/>
  <c r="Y218" i="65"/>
  <c r="U218" i="65"/>
  <c r="H218" i="65"/>
  <c r="S218" i="65"/>
  <c r="L220" i="81"/>
  <c r="M220" i="81"/>
  <c r="N220" i="81"/>
  <c r="Q220" i="81"/>
  <c r="R220" i="81"/>
  <c r="U220" i="81"/>
  <c r="H220" i="81"/>
  <c r="K220" i="81"/>
  <c r="S220" i="81"/>
  <c r="J220" i="81"/>
  <c r="I220" i="81"/>
  <c r="P220" i="81"/>
  <c r="A221" i="81"/>
  <c r="B220" i="81"/>
  <c r="C220" i="81"/>
  <c r="F220" i="81"/>
  <c r="O220" i="81"/>
  <c r="D220" i="81"/>
  <c r="T220" i="81"/>
  <c r="E220" i="81"/>
  <c r="G220" i="81"/>
  <c r="Q219" i="63"/>
  <c r="R219" i="65" s="1"/>
  <c r="AJ219" i="63"/>
  <c r="J219" i="63"/>
  <c r="AF219" i="63"/>
  <c r="K219" i="63"/>
  <c r="AV219" i="63"/>
  <c r="E219" i="63"/>
  <c r="Y219" i="63"/>
  <c r="L219" i="63"/>
  <c r="AG219" i="63"/>
  <c r="AP219" i="63"/>
  <c r="AR219" i="63"/>
  <c r="B219" i="63"/>
  <c r="B219" i="65" s="1"/>
  <c r="F219" i="63"/>
  <c r="AA219" i="63"/>
  <c r="AC219" i="63"/>
  <c r="AH219" i="63"/>
  <c r="AL219" i="63"/>
  <c r="AS219" i="63"/>
  <c r="AX219" i="63"/>
  <c r="G219" i="63"/>
  <c r="A220" i="63"/>
  <c r="N219" i="63"/>
  <c r="C219" i="63"/>
  <c r="X219" i="65" s="1"/>
  <c r="W219" i="63"/>
  <c r="AT219" i="63"/>
  <c r="S219" i="63"/>
  <c r="H219" i="63"/>
  <c r="O219" i="63"/>
  <c r="AI219" i="63"/>
  <c r="X219" i="63"/>
  <c r="W219" i="65" s="1"/>
  <c r="R219" i="63"/>
  <c r="AY219" i="63"/>
  <c r="D219" i="63"/>
  <c r="T219" i="63"/>
  <c r="P219" i="65" s="1"/>
  <c r="U219" i="63"/>
  <c r="O219" i="65" s="1"/>
  <c r="AK219" i="63"/>
  <c r="V219" i="63"/>
  <c r="AB219" i="63"/>
  <c r="AM219" i="63"/>
  <c r="AU219" i="63"/>
  <c r="Z219" i="63"/>
  <c r="M219" i="63"/>
  <c r="AD219" i="63"/>
  <c r="AE219" i="63"/>
  <c r="P219" i="63"/>
  <c r="AW219" i="63"/>
  <c r="AN219" i="63"/>
  <c r="AQ219" i="63"/>
  <c r="I219" i="63"/>
  <c r="AO219" i="63"/>
  <c r="M218" i="65"/>
  <c r="U219" i="65" l="1"/>
  <c r="H219" i="65"/>
  <c r="Q221" i="81"/>
  <c r="O221" i="81"/>
  <c r="D221" i="81"/>
  <c r="E221" i="81"/>
  <c r="T221" i="81"/>
  <c r="C221" i="81"/>
  <c r="K221" i="81"/>
  <c r="L221" i="81"/>
  <c r="N221" i="81"/>
  <c r="R221" i="81"/>
  <c r="S221" i="81"/>
  <c r="B221" i="81"/>
  <c r="I221" i="81"/>
  <c r="A222" i="81"/>
  <c r="P221" i="81"/>
  <c r="J221" i="81"/>
  <c r="M221" i="81"/>
  <c r="G221" i="81"/>
  <c r="H221" i="81"/>
  <c r="U221" i="81"/>
  <c r="F221" i="81"/>
  <c r="Y219" i="65"/>
  <c r="N219" i="65"/>
  <c r="K220" i="63"/>
  <c r="AF220" i="63"/>
  <c r="T220" i="63"/>
  <c r="P220" i="65" s="1"/>
  <c r="AN220" i="63"/>
  <c r="L220" i="63"/>
  <c r="AW220" i="63"/>
  <c r="F220" i="63"/>
  <c r="AB220" i="63"/>
  <c r="B220" i="63"/>
  <c r="B220" i="65" s="1"/>
  <c r="V220" i="63"/>
  <c r="M220" i="63"/>
  <c r="R220" i="63"/>
  <c r="G220" i="63"/>
  <c r="AS220" i="63"/>
  <c r="AX220" i="63"/>
  <c r="I220" i="63"/>
  <c r="A221" i="63"/>
  <c r="AD220" i="63"/>
  <c r="X220" i="63"/>
  <c r="W220" i="65" s="1"/>
  <c r="AT220" i="63"/>
  <c r="S220" i="63"/>
  <c r="J220" i="63"/>
  <c r="N220" i="65" s="1"/>
  <c r="AU220" i="63"/>
  <c r="D220" i="63"/>
  <c r="AO220" i="63"/>
  <c r="Z220" i="63"/>
  <c r="P220" i="63"/>
  <c r="AJ220" i="63"/>
  <c r="AV220" i="63"/>
  <c r="Q220" i="63"/>
  <c r="R220" i="65" s="1"/>
  <c r="AG220" i="63"/>
  <c r="AH220" i="63"/>
  <c r="C220" i="63"/>
  <c r="X220" i="65" s="1"/>
  <c r="AI220" i="63"/>
  <c r="AY220" i="63"/>
  <c r="AP220" i="63"/>
  <c r="E220" i="63"/>
  <c r="AC220" i="63"/>
  <c r="H220" i="63"/>
  <c r="M220" i="65" s="1"/>
  <c r="AA220" i="63"/>
  <c r="AQ220" i="63"/>
  <c r="AR220" i="63"/>
  <c r="N220" i="63"/>
  <c r="O220" i="63"/>
  <c r="AE220" i="63"/>
  <c r="U220" i="63"/>
  <c r="O220" i="65" s="1"/>
  <c r="AK220" i="63"/>
  <c r="AL220" i="63"/>
  <c r="W220" i="63"/>
  <c r="Y220" i="63"/>
  <c r="AM220" i="63"/>
  <c r="S219" i="65"/>
  <c r="M219" i="65"/>
  <c r="U220" i="65" l="1"/>
  <c r="H220" i="65"/>
  <c r="U222" i="81"/>
  <c r="H222" i="81"/>
  <c r="C222" i="81"/>
  <c r="L222" i="81"/>
  <c r="E222" i="81"/>
  <c r="M222" i="81"/>
  <c r="F222" i="81"/>
  <c r="R222" i="81"/>
  <c r="S222" i="81"/>
  <c r="T222" i="81"/>
  <c r="D222" i="81"/>
  <c r="G222" i="81"/>
  <c r="I222" i="81"/>
  <c r="J222" i="81"/>
  <c r="Q222" i="81"/>
  <c r="A223" i="81"/>
  <c r="P222" i="81"/>
  <c r="B222" i="81"/>
  <c r="K222" i="81"/>
  <c r="N222" i="81"/>
  <c r="O222" i="81"/>
  <c r="S220" i="65"/>
  <c r="Y221" i="63"/>
  <c r="AD221" i="63"/>
  <c r="AX221" i="63"/>
  <c r="AA221" i="63"/>
  <c r="Q221" i="63"/>
  <c r="R221" i="65" s="1"/>
  <c r="AK221" i="63"/>
  <c r="A222" i="63"/>
  <c r="AQ221" i="63"/>
  <c r="AL221" i="63"/>
  <c r="AB221" i="63"/>
  <c r="AW221" i="63"/>
  <c r="E221" i="63"/>
  <c r="M221" i="63"/>
  <c r="G221" i="63"/>
  <c r="X221" i="63"/>
  <c r="W221" i="65" s="1"/>
  <c r="AS221" i="63"/>
  <c r="AH221" i="63"/>
  <c r="V221" i="63"/>
  <c r="AN221" i="63"/>
  <c r="N221" i="63"/>
  <c r="C221" i="63"/>
  <c r="X221" i="65" s="1"/>
  <c r="W221" i="63"/>
  <c r="J221" i="63"/>
  <c r="AE221" i="63"/>
  <c r="AY221" i="63"/>
  <c r="Z221" i="63"/>
  <c r="AU221" i="63"/>
  <c r="D221" i="63"/>
  <c r="P221" i="63"/>
  <c r="AF221" i="63"/>
  <c r="AV221" i="63"/>
  <c r="AG221" i="63"/>
  <c r="B221" i="63"/>
  <c r="B221" i="65" s="1"/>
  <c r="H221" i="63"/>
  <c r="R221" i="63"/>
  <c r="I221" i="63"/>
  <c r="S221" i="63"/>
  <c r="AO221" i="63"/>
  <c r="AI221" i="63"/>
  <c r="AP221" i="63"/>
  <c r="T221" i="63"/>
  <c r="P221" i="65" s="1"/>
  <c r="AR221" i="63"/>
  <c r="F221" i="63"/>
  <c r="AC221" i="63"/>
  <c r="AT221" i="63"/>
  <c r="O221" i="63"/>
  <c r="AJ221" i="63"/>
  <c r="AM221" i="63"/>
  <c r="U221" i="63"/>
  <c r="O221" i="65" s="1"/>
  <c r="L221" i="63"/>
  <c r="K221" i="63"/>
  <c r="Y220" i="65"/>
  <c r="U221" i="65" l="1"/>
  <c r="N221" i="65"/>
  <c r="H221" i="65"/>
  <c r="M221" i="65"/>
  <c r="O223" i="81"/>
  <c r="Q223" i="81"/>
  <c r="R223" i="81"/>
  <c r="T223" i="81"/>
  <c r="G223" i="81"/>
  <c r="U223" i="81"/>
  <c r="B223" i="81"/>
  <c r="P223" i="81"/>
  <c r="D223" i="81"/>
  <c r="E223" i="81"/>
  <c r="I223" i="81"/>
  <c r="J223" i="81"/>
  <c r="H223" i="81"/>
  <c r="K223" i="81"/>
  <c r="M223" i="81"/>
  <c r="N223" i="81"/>
  <c r="F223" i="81"/>
  <c r="A224" i="81"/>
  <c r="L223" i="81"/>
  <c r="S223" i="81"/>
  <c r="C223" i="81"/>
  <c r="Z222" i="63"/>
  <c r="AU222" i="63"/>
  <c r="I222" i="63"/>
  <c r="AD222" i="63"/>
  <c r="D222" i="63"/>
  <c r="AT222" i="63"/>
  <c r="E222" i="63"/>
  <c r="A223" i="63"/>
  <c r="AO222" i="63"/>
  <c r="AP222" i="63"/>
  <c r="AF222" i="63"/>
  <c r="U222" i="63"/>
  <c r="O222" i="65" s="1"/>
  <c r="V222" i="63"/>
  <c r="AA222" i="63"/>
  <c r="Q222" i="63"/>
  <c r="R222" i="65" s="1"/>
  <c r="AI222" i="63"/>
  <c r="AL222" i="63"/>
  <c r="AQ222" i="63"/>
  <c r="AG222" i="63"/>
  <c r="AJ222" i="63"/>
  <c r="AM222" i="63"/>
  <c r="AR222" i="63"/>
  <c r="R222" i="63"/>
  <c r="H222" i="63"/>
  <c r="M222" i="63"/>
  <c r="AH222" i="63"/>
  <c r="AC222" i="63"/>
  <c r="AK222" i="63"/>
  <c r="AS222" i="63"/>
  <c r="AY222" i="63"/>
  <c r="N222" i="63"/>
  <c r="O222" i="63"/>
  <c r="AE222" i="63"/>
  <c r="F222" i="63"/>
  <c r="P222" i="63"/>
  <c r="G222" i="63"/>
  <c r="AV222" i="63"/>
  <c r="W222" i="63"/>
  <c r="AW222" i="63"/>
  <c r="X222" i="63"/>
  <c r="W222" i="65" s="1"/>
  <c r="B222" i="63"/>
  <c r="B222" i="65" s="1"/>
  <c r="J222" i="63"/>
  <c r="S222" i="63"/>
  <c r="C222" i="63"/>
  <c r="X222" i="65" s="1"/>
  <c r="T222" i="63"/>
  <c r="P222" i="65" s="1"/>
  <c r="AN222" i="63"/>
  <c r="Y222" i="63"/>
  <c r="K222" i="63"/>
  <c r="L222" i="63"/>
  <c r="AB222" i="63"/>
  <c r="AX222" i="63"/>
  <c r="S221" i="65"/>
  <c r="Y221" i="65"/>
  <c r="M222" i="65" l="1"/>
  <c r="H222" i="65"/>
  <c r="N222" i="65"/>
  <c r="X223" i="63"/>
  <c r="W223" i="65" s="1"/>
  <c r="AC223" i="63"/>
  <c r="AW223" i="63"/>
  <c r="AS223" i="63"/>
  <c r="AX223" i="63"/>
  <c r="AJ223" i="63"/>
  <c r="AO223" i="63"/>
  <c r="O223" i="63"/>
  <c r="C223" i="63"/>
  <c r="X223" i="65" s="1"/>
  <c r="U223" i="63"/>
  <c r="O223" i="65" s="1"/>
  <c r="Z223" i="63"/>
  <c r="AU223" i="63"/>
  <c r="Q223" i="63"/>
  <c r="R223" i="65" s="1"/>
  <c r="AK223" i="63"/>
  <c r="AP223" i="63"/>
  <c r="P223" i="63"/>
  <c r="AL223" i="63"/>
  <c r="AQ223" i="63"/>
  <c r="R223" i="63"/>
  <c r="G223" i="63"/>
  <c r="L223" i="63"/>
  <c r="S223" i="63"/>
  <c r="Y223" i="63"/>
  <c r="AY223" i="63"/>
  <c r="J223" i="63"/>
  <c r="B223" i="63"/>
  <c r="B223" i="65" s="1"/>
  <c r="K223" i="63"/>
  <c r="AA223" i="63"/>
  <c r="AB223" i="63"/>
  <c r="AR223" i="63"/>
  <c r="D223" i="63"/>
  <c r="M223" i="63"/>
  <c r="T223" i="63"/>
  <c r="P223" i="65" s="1"/>
  <c r="N223" i="63"/>
  <c r="A224" i="63"/>
  <c r="E223" i="63"/>
  <c r="AD223" i="63"/>
  <c r="AM223" i="63"/>
  <c r="AV223" i="63"/>
  <c r="AI223" i="63"/>
  <c r="F223" i="63"/>
  <c r="V223" i="63"/>
  <c r="W223" i="63"/>
  <c r="H223" i="63"/>
  <c r="AN223" i="63"/>
  <c r="I223" i="63"/>
  <c r="AT223" i="63"/>
  <c r="AE223" i="63"/>
  <c r="AF223" i="63"/>
  <c r="AG223" i="63"/>
  <c r="AH223" i="63"/>
  <c r="U222" i="65"/>
  <c r="S222" i="65"/>
  <c r="Y222" i="65"/>
  <c r="E224" i="81"/>
  <c r="G224" i="81"/>
  <c r="U224" i="81"/>
  <c r="O224" i="81"/>
  <c r="H224" i="81"/>
  <c r="A225" i="81"/>
  <c r="K224" i="81"/>
  <c r="L224" i="81"/>
  <c r="S224" i="81"/>
  <c r="I224" i="81"/>
  <c r="B224" i="81"/>
  <c r="F224" i="81"/>
  <c r="T224" i="81"/>
  <c r="M224" i="81"/>
  <c r="R224" i="81"/>
  <c r="C224" i="81"/>
  <c r="D224" i="81"/>
  <c r="Q224" i="81"/>
  <c r="J224" i="81"/>
  <c r="P224" i="81"/>
  <c r="N224" i="81"/>
  <c r="H223" i="65" l="1"/>
  <c r="M223" i="65"/>
  <c r="N223" i="65"/>
  <c r="Q225" i="81"/>
  <c r="U225" i="81"/>
  <c r="H225" i="81"/>
  <c r="B225" i="81"/>
  <c r="E225" i="81"/>
  <c r="P225" i="81"/>
  <c r="F225" i="81"/>
  <c r="J225" i="81"/>
  <c r="L225" i="81"/>
  <c r="D225" i="81"/>
  <c r="I225" i="81"/>
  <c r="K225" i="81"/>
  <c r="M225" i="81"/>
  <c r="S225" i="81"/>
  <c r="C225" i="81"/>
  <c r="G225" i="81"/>
  <c r="O225" i="81"/>
  <c r="R225" i="81"/>
  <c r="N225" i="81"/>
  <c r="T225" i="81"/>
  <c r="A226" i="81"/>
  <c r="Y223" i="65"/>
  <c r="U223" i="65"/>
  <c r="AK224" i="63"/>
  <c r="K224" i="63"/>
  <c r="R224" i="63"/>
  <c r="F224" i="63"/>
  <c r="AA224" i="63"/>
  <c r="AE224" i="63"/>
  <c r="W224" i="63"/>
  <c r="AR224" i="63"/>
  <c r="AV224" i="63"/>
  <c r="AI224" i="63"/>
  <c r="H224" i="63"/>
  <c r="AC224" i="63"/>
  <c r="AY224" i="63"/>
  <c r="X224" i="63"/>
  <c r="W224" i="65" s="1"/>
  <c r="AS224" i="63"/>
  <c r="Y224" i="63"/>
  <c r="AT224" i="63"/>
  <c r="AJ224" i="63"/>
  <c r="AO224" i="63"/>
  <c r="AW224" i="63"/>
  <c r="U224" i="63"/>
  <c r="O224" i="65" s="1"/>
  <c r="AD224" i="63"/>
  <c r="O224" i="63"/>
  <c r="V224" i="63"/>
  <c r="P224" i="63"/>
  <c r="AL224" i="63"/>
  <c r="Q224" i="63"/>
  <c r="R224" i="65" s="1"/>
  <c r="G224" i="63"/>
  <c r="AF224" i="63"/>
  <c r="AM224" i="63"/>
  <c r="AG224" i="63"/>
  <c r="AN224" i="63"/>
  <c r="AU224" i="63"/>
  <c r="I224" i="63"/>
  <c r="B224" i="63"/>
  <c r="B224" i="65" s="1"/>
  <c r="J224" i="63"/>
  <c r="N224" i="65" s="1"/>
  <c r="S224" i="63"/>
  <c r="L224" i="63"/>
  <c r="U224" i="65" s="1"/>
  <c r="AH224" i="63"/>
  <c r="AX224" i="63"/>
  <c r="C224" i="63"/>
  <c r="X224" i="65" s="1"/>
  <c r="D224" i="63"/>
  <c r="T224" i="63"/>
  <c r="P224" i="65" s="1"/>
  <c r="E224" i="63"/>
  <c r="Z224" i="63"/>
  <c r="AP224" i="63"/>
  <c r="AQ224" i="63"/>
  <c r="AB224" i="63"/>
  <c r="M224" i="63"/>
  <c r="N224" i="63"/>
  <c r="A225" i="63"/>
  <c r="S223" i="65"/>
  <c r="Y224" i="65" l="1"/>
  <c r="S224" i="65"/>
  <c r="AF225" i="63"/>
  <c r="Y225" i="63"/>
  <c r="AE225" i="63"/>
  <c r="AV225" i="63"/>
  <c r="AJ225" i="63"/>
  <c r="AO225" i="63"/>
  <c r="AS225" i="63"/>
  <c r="B225" i="63"/>
  <c r="B225" i="65" s="1"/>
  <c r="F225" i="63"/>
  <c r="K225" i="63"/>
  <c r="AH225" i="63"/>
  <c r="AL225" i="63"/>
  <c r="AQ225" i="63"/>
  <c r="AX225" i="63"/>
  <c r="G225" i="63"/>
  <c r="L225" i="63"/>
  <c r="S225" i="63"/>
  <c r="H225" i="63"/>
  <c r="M225" i="63"/>
  <c r="A226" i="63"/>
  <c r="AI225" i="63"/>
  <c r="X225" i="63"/>
  <c r="W225" i="65" s="1"/>
  <c r="N225" i="63"/>
  <c r="R225" i="63"/>
  <c r="Z225" i="63"/>
  <c r="C225" i="63"/>
  <c r="X225" i="65" s="1"/>
  <c r="AP225" i="63"/>
  <c r="AA225" i="63"/>
  <c r="AY225" i="63"/>
  <c r="AB225" i="63"/>
  <c r="D225" i="63"/>
  <c r="AR225" i="63"/>
  <c r="T225" i="63"/>
  <c r="P225" i="65" s="1"/>
  <c r="O225" i="63"/>
  <c r="E225" i="63"/>
  <c r="AC225" i="63"/>
  <c r="U225" i="63"/>
  <c r="O225" i="65" s="1"/>
  <c r="AD225" i="63"/>
  <c r="AK225" i="63"/>
  <c r="AT225" i="63"/>
  <c r="P225" i="63"/>
  <c r="Q225" i="63"/>
  <c r="R225" i="65" s="1"/>
  <c r="AG225" i="63"/>
  <c r="AW225" i="63"/>
  <c r="V225" i="63"/>
  <c r="W225" i="63"/>
  <c r="AM225" i="63"/>
  <c r="AN225" i="63"/>
  <c r="I225" i="63"/>
  <c r="J225" i="63"/>
  <c r="AU225" i="63"/>
  <c r="N226" i="81"/>
  <c r="Q226" i="81"/>
  <c r="R226" i="81"/>
  <c r="T226" i="81"/>
  <c r="G226" i="81"/>
  <c r="L226" i="81"/>
  <c r="E226" i="81"/>
  <c r="P226" i="81"/>
  <c r="C226" i="81"/>
  <c r="I226" i="81"/>
  <c r="J226" i="81"/>
  <c r="K226" i="81"/>
  <c r="F226" i="81"/>
  <c r="O226" i="81"/>
  <c r="U226" i="81"/>
  <c r="A227" i="81"/>
  <c r="H226" i="81"/>
  <c r="M226" i="81"/>
  <c r="S226" i="81"/>
  <c r="B226" i="81"/>
  <c r="D226" i="81"/>
  <c r="M224" i="65"/>
  <c r="H224" i="65"/>
  <c r="S225" i="65" l="1"/>
  <c r="H225" i="65"/>
  <c r="Y225" i="65"/>
  <c r="O226" i="63"/>
  <c r="S226" i="63"/>
  <c r="AM226" i="63"/>
  <c r="AA226" i="63"/>
  <c r="AE226" i="63"/>
  <c r="AI226" i="63"/>
  <c r="H226" i="63"/>
  <c r="AB226" i="63"/>
  <c r="AV226" i="63"/>
  <c r="AJ226" i="63"/>
  <c r="Y226" i="63"/>
  <c r="U226" i="63"/>
  <c r="O226" i="65" s="1"/>
  <c r="J226" i="63"/>
  <c r="AG226" i="63"/>
  <c r="Z226" i="63"/>
  <c r="V226" i="63"/>
  <c r="R226" i="63"/>
  <c r="S226" i="65" s="1"/>
  <c r="AT226" i="63"/>
  <c r="AL226" i="63"/>
  <c r="AU226" i="63"/>
  <c r="G226" i="63"/>
  <c r="P226" i="63"/>
  <c r="AF226" i="63"/>
  <c r="W226" i="63"/>
  <c r="Q226" i="63"/>
  <c r="R226" i="65" s="1"/>
  <c r="X226" i="63"/>
  <c r="W226" i="65" s="1"/>
  <c r="AW226" i="63"/>
  <c r="AN226" i="63"/>
  <c r="B226" i="63"/>
  <c r="B226" i="65" s="1"/>
  <c r="I226" i="63"/>
  <c r="A227" i="63"/>
  <c r="AH226" i="63"/>
  <c r="AO226" i="63"/>
  <c r="AX226" i="63"/>
  <c r="AP226" i="63"/>
  <c r="T226" i="63"/>
  <c r="P226" i="65" s="1"/>
  <c r="K226" i="63"/>
  <c r="AY226" i="63"/>
  <c r="D226" i="63"/>
  <c r="E226" i="63"/>
  <c r="AK226" i="63"/>
  <c r="F226" i="63"/>
  <c r="AQ226" i="63"/>
  <c r="AR226" i="63"/>
  <c r="AS226" i="63"/>
  <c r="L226" i="63"/>
  <c r="M226" i="63"/>
  <c r="AC226" i="63"/>
  <c r="C226" i="63"/>
  <c r="X226" i="65" s="1"/>
  <c r="N226" i="63"/>
  <c r="AD226" i="63"/>
  <c r="L227" i="81"/>
  <c r="T227" i="81"/>
  <c r="G227" i="81"/>
  <c r="U227" i="81"/>
  <c r="J227" i="81"/>
  <c r="A228" i="81"/>
  <c r="M227" i="81"/>
  <c r="N227" i="81"/>
  <c r="S227" i="81"/>
  <c r="B227" i="81"/>
  <c r="F227" i="81"/>
  <c r="C227" i="81"/>
  <c r="D227" i="81"/>
  <c r="O227" i="81"/>
  <c r="H227" i="81"/>
  <c r="I227" i="81"/>
  <c r="R227" i="81"/>
  <c r="P227" i="81"/>
  <c r="Q227" i="81"/>
  <c r="E227" i="81"/>
  <c r="K227" i="81"/>
  <c r="N225" i="65"/>
  <c r="M225" i="65"/>
  <c r="U225" i="65"/>
  <c r="H226" i="65" l="1"/>
  <c r="M226" i="65"/>
  <c r="Y226" i="65"/>
  <c r="R228" i="81"/>
  <c r="G228" i="81"/>
  <c r="B228" i="81"/>
  <c r="T228" i="81"/>
  <c r="F228" i="81"/>
  <c r="E228" i="81"/>
  <c r="N228" i="81"/>
  <c r="J228" i="81"/>
  <c r="L228" i="81"/>
  <c r="A229" i="81"/>
  <c r="D228" i="81"/>
  <c r="U228" i="81"/>
  <c r="K228" i="81"/>
  <c r="M228" i="81"/>
  <c r="O228" i="81"/>
  <c r="S228" i="81"/>
  <c r="C228" i="81"/>
  <c r="Q228" i="81"/>
  <c r="I228" i="81"/>
  <c r="P228" i="81"/>
  <c r="H228" i="81"/>
  <c r="M227" i="63"/>
  <c r="B227" i="63"/>
  <c r="B227" i="65" s="1"/>
  <c r="AK227" i="63"/>
  <c r="AA227" i="63"/>
  <c r="AC227" i="63"/>
  <c r="R227" i="63"/>
  <c r="F227" i="63"/>
  <c r="AO227" i="63"/>
  <c r="AT227" i="63"/>
  <c r="W227" i="63"/>
  <c r="AE227" i="63"/>
  <c r="AI227" i="63"/>
  <c r="H227" i="63"/>
  <c r="AU227" i="63"/>
  <c r="AY227" i="63"/>
  <c r="X227" i="63"/>
  <c r="W227" i="65" s="1"/>
  <c r="AV227" i="63"/>
  <c r="V227" i="63"/>
  <c r="Y227" i="65" s="1"/>
  <c r="A228" i="63"/>
  <c r="Q227" i="63"/>
  <c r="R227" i="65" s="1"/>
  <c r="AL227" i="63"/>
  <c r="G227" i="63"/>
  <c r="AG227" i="63"/>
  <c r="AM227" i="63"/>
  <c r="AW227" i="63"/>
  <c r="AH227" i="63"/>
  <c r="AN227" i="63"/>
  <c r="AX227" i="63"/>
  <c r="I227" i="63"/>
  <c r="L227" i="63"/>
  <c r="C227" i="63"/>
  <c r="X227" i="65" s="1"/>
  <c r="J227" i="63"/>
  <c r="AB227" i="63"/>
  <c r="S227" i="63"/>
  <c r="K227" i="63"/>
  <c r="AD227" i="63"/>
  <c r="AJ227" i="63"/>
  <c r="AQ227" i="63"/>
  <c r="AF227" i="63"/>
  <c r="D227" i="63"/>
  <c r="T227" i="63"/>
  <c r="P227" i="65" s="1"/>
  <c r="E227" i="63"/>
  <c r="U227" i="63"/>
  <c r="O227" i="65" s="1"/>
  <c r="Y227" i="63"/>
  <c r="Z227" i="63"/>
  <c r="AP227" i="63"/>
  <c r="AR227" i="63"/>
  <c r="AS227" i="63"/>
  <c r="N227" i="63"/>
  <c r="O227" i="63"/>
  <c r="P227" i="63"/>
  <c r="U226" i="65"/>
  <c r="N226" i="65"/>
  <c r="S227" i="65" l="1"/>
  <c r="M227" i="65"/>
  <c r="L229" i="81"/>
  <c r="N229" i="81"/>
  <c r="O229" i="81"/>
  <c r="S229" i="81"/>
  <c r="G229" i="81"/>
  <c r="Q229" i="81"/>
  <c r="M229" i="81"/>
  <c r="T229" i="81"/>
  <c r="B229" i="81"/>
  <c r="P229" i="81"/>
  <c r="D229" i="81"/>
  <c r="I229" i="81"/>
  <c r="J229" i="81"/>
  <c r="K229" i="81"/>
  <c r="E229" i="81"/>
  <c r="F229" i="81"/>
  <c r="U229" i="81"/>
  <c r="H229" i="81"/>
  <c r="R229" i="81"/>
  <c r="A230" i="81"/>
  <c r="C229" i="81"/>
  <c r="U227" i="65"/>
  <c r="N227" i="65"/>
  <c r="AQ228" i="63"/>
  <c r="Q228" i="63"/>
  <c r="R228" i="65" s="1"/>
  <c r="E228" i="63"/>
  <c r="L228" i="63"/>
  <c r="AG228" i="63"/>
  <c r="U228" i="63"/>
  <c r="O228" i="65" s="1"/>
  <c r="N228" i="63"/>
  <c r="AX228" i="63"/>
  <c r="AD228" i="63"/>
  <c r="C228" i="63"/>
  <c r="X228" i="65" s="1"/>
  <c r="Y228" i="63"/>
  <c r="P228" i="63"/>
  <c r="F228" i="63"/>
  <c r="AF228" i="63"/>
  <c r="V228" i="63"/>
  <c r="A229" i="63"/>
  <c r="J228" i="63"/>
  <c r="AV228" i="63"/>
  <c r="AL228" i="63"/>
  <c r="Z228" i="63"/>
  <c r="AW228" i="63"/>
  <c r="X228" i="63"/>
  <c r="W228" i="65" s="1"/>
  <c r="AP228" i="63"/>
  <c r="B228" i="63"/>
  <c r="B228" i="65" s="1"/>
  <c r="AM228" i="63"/>
  <c r="K228" i="63"/>
  <c r="AN228" i="63"/>
  <c r="AA228" i="63"/>
  <c r="R228" i="63"/>
  <c r="AO228" i="63"/>
  <c r="AB228" i="63"/>
  <c r="AH228" i="63"/>
  <c r="G228" i="63"/>
  <c r="AR228" i="63"/>
  <c r="W228" i="63"/>
  <c r="AT228" i="63"/>
  <c r="D228" i="63"/>
  <c r="O228" i="63"/>
  <c r="AE228" i="63"/>
  <c r="AU228" i="63"/>
  <c r="S228" i="63"/>
  <c r="AI228" i="63"/>
  <c r="AY228" i="63"/>
  <c r="T228" i="63"/>
  <c r="P228" i="65" s="1"/>
  <c r="AJ228" i="63"/>
  <c r="AK228" i="63"/>
  <c r="H228" i="63"/>
  <c r="I228" i="63"/>
  <c r="M228" i="63"/>
  <c r="AC228" i="63"/>
  <c r="AS228" i="63"/>
  <c r="H227" i="65"/>
  <c r="N228" i="65" l="1"/>
  <c r="H228" i="65"/>
  <c r="S228" i="65"/>
  <c r="U228" i="65"/>
  <c r="M228" i="65"/>
  <c r="G230" i="81"/>
  <c r="U230" i="81"/>
  <c r="H230" i="81"/>
  <c r="A231" i="81"/>
  <c r="I230" i="81"/>
  <c r="K230" i="81"/>
  <c r="O230" i="81"/>
  <c r="F230" i="81"/>
  <c r="C230" i="81"/>
  <c r="J230" i="81"/>
  <c r="Q230" i="81"/>
  <c r="R230" i="81"/>
  <c r="B230" i="81"/>
  <c r="D230" i="81"/>
  <c r="E230" i="81"/>
  <c r="P230" i="81"/>
  <c r="L230" i="81"/>
  <c r="M230" i="81"/>
  <c r="T230" i="81"/>
  <c r="S230" i="81"/>
  <c r="N230" i="81"/>
  <c r="Y229" i="63"/>
  <c r="AT229" i="63"/>
  <c r="C229" i="63"/>
  <c r="X229" i="65" s="1"/>
  <c r="AL229" i="63"/>
  <c r="AO229" i="63"/>
  <c r="O229" i="63"/>
  <c r="S229" i="63"/>
  <c r="AM229" i="63"/>
  <c r="AQ229" i="63"/>
  <c r="Q229" i="63"/>
  <c r="R229" i="65" s="1"/>
  <c r="AJ229" i="63"/>
  <c r="L229" i="63"/>
  <c r="E229" i="63"/>
  <c r="A230" i="63"/>
  <c r="AS229" i="63"/>
  <c r="AY229" i="63"/>
  <c r="N229" i="63"/>
  <c r="D229" i="63"/>
  <c r="AD229" i="63"/>
  <c r="T229" i="63"/>
  <c r="P229" i="65" s="1"/>
  <c r="H229" i="63"/>
  <c r="AE229" i="63"/>
  <c r="X229" i="63"/>
  <c r="W229" i="65" s="1"/>
  <c r="AU229" i="63"/>
  <c r="F229" i="63"/>
  <c r="AN229" i="63"/>
  <c r="P229" i="63"/>
  <c r="G229" i="63"/>
  <c r="I229" i="63"/>
  <c r="AF229" i="63"/>
  <c r="U229" i="63"/>
  <c r="O229" i="65" s="1"/>
  <c r="J229" i="63"/>
  <c r="AV229" i="63"/>
  <c r="Z229" i="63"/>
  <c r="AG229" i="63"/>
  <c r="V229" i="63"/>
  <c r="AB229" i="63"/>
  <c r="R229" i="63"/>
  <c r="K229" i="63"/>
  <c r="AA229" i="63"/>
  <c r="AR229" i="63"/>
  <c r="M229" i="63"/>
  <c r="AC229" i="63"/>
  <c r="AW229" i="63"/>
  <c r="B229" i="63"/>
  <c r="B229" i="65" s="1"/>
  <c r="AH229" i="63"/>
  <c r="AX229" i="63"/>
  <c r="AI229" i="63"/>
  <c r="W229" i="63"/>
  <c r="AP229" i="63"/>
  <c r="AK229" i="63"/>
  <c r="Y228" i="65"/>
  <c r="H229" i="65" l="1"/>
  <c r="M229" i="65"/>
  <c r="Y229" i="65"/>
  <c r="S229" i="65"/>
  <c r="N229" i="65"/>
  <c r="T231" i="81"/>
  <c r="U231" i="81"/>
  <c r="H231" i="81"/>
  <c r="N231" i="81"/>
  <c r="L231" i="81"/>
  <c r="C231" i="81"/>
  <c r="F231" i="81"/>
  <c r="D231" i="81"/>
  <c r="M231" i="81"/>
  <c r="P231" i="81"/>
  <c r="E231" i="81"/>
  <c r="S231" i="81"/>
  <c r="B231" i="81"/>
  <c r="I231" i="81"/>
  <c r="G231" i="81"/>
  <c r="J231" i="81"/>
  <c r="R231" i="81"/>
  <c r="K231" i="81"/>
  <c r="O231" i="81"/>
  <c r="Q231" i="81"/>
  <c r="A232" i="81"/>
  <c r="H230" i="63"/>
  <c r="M230" i="63"/>
  <c r="R230" i="63"/>
  <c r="X230" i="63"/>
  <c r="W230" i="65" s="1"/>
  <c r="AC230" i="63"/>
  <c r="AH230" i="63"/>
  <c r="J230" i="63"/>
  <c r="AE230" i="63"/>
  <c r="U230" i="63"/>
  <c r="O230" i="65" s="1"/>
  <c r="A231" i="63"/>
  <c r="Z230" i="63"/>
  <c r="AU230" i="63"/>
  <c r="L230" i="63"/>
  <c r="E230" i="63"/>
  <c r="F230" i="63"/>
  <c r="AB230" i="63"/>
  <c r="S230" i="63"/>
  <c r="V230" i="63"/>
  <c r="AR230" i="63"/>
  <c r="T230" i="63"/>
  <c r="P230" i="65" s="1"/>
  <c r="AL230" i="63"/>
  <c r="AS230" i="63"/>
  <c r="G230" i="63"/>
  <c r="N230" i="63"/>
  <c r="AI230" i="63"/>
  <c r="W230" i="63"/>
  <c r="AD230" i="63"/>
  <c r="AJ230" i="63"/>
  <c r="AM230" i="63"/>
  <c r="AT230" i="63"/>
  <c r="AK230" i="63"/>
  <c r="O230" i="63"/>
  <c r="AY230" i="63"/>
  <c r="AN230" i="63"/>
  <c r="P230" i="63"/>
  <c r="C230" i="63"/>
  <c r="X230" i="65" s="1"/>
  <c r="AP230" i="63"/>
  <c r="AG230" i="63"/>
  <c r="I230" i="63"/>
  <c r="Y230" i="63"/>
  <c r="AO230" i="63"/>
  <c r="K230" i="63"/>
  <c r="AA230" i="63"/>
  <c r="AQ230" i="63"/>
  <c r="AF230" i="63"/>
  <c r="AV230" i="63"/>
  <c r="Q230" i="63"/>
  <c r="R230" i="65" s="1"/>
  <c r="AW230" i="63"/>
  <c r="B230" i="63"/>
  <c r="B230" i="65" s="1"/>
  <c r="AX230" i="63"/>
  <c r="D230" i="63"/>
  <c r="U229" i="65"/>
  <c r="S230" i="65" l="1"/>
  <c r="H230" i="65"/>
  <c r="V231" i="63"/>
  <c r="AA231" i="63"/>
  <c r="AV231" i="63"/>
  <c r="AL231" i="63"/>
  <c r="AQ231" i="63"/>
  <c r="AW231" i="63"/>
  <c r="AS231" i="63"/>
  <c r="AN231" i="63"/>
  <c r="N231" i="63"/>
  <c r="Q231" i="63"/>
  <c r="R231" i="65" s="1"/>
  <c r="D231" i="63"/>
  <c r="Z231" i="63"/>
  <c r="AY231" i="63"/>
  <c r="A232" i="63"/>
  <c r="T231" i="63"/>
  <c r="P231" i="65" s="1"/>
  <c r="AP231" i="63"/>
  <c r="B231" i="63"/>
  <c r="B231" i="65" s="1"/>
  <c r="AJ231" i="63"/>
  <c r="K231" i="63"/>
  <c r="E231" i="63"/>
  <c r="L231" i="63"/>
  <c r="C231" i="63"/>
  <c r="X231" i="65" s="1"/>
  <c r="U231" i="63"/>
  <c r="O231" i="65" s="1"/>
  <c r="AB231" i="63"/>
  <c r="AK231" i="63"/>
  <c r="AR231" i="63"/>
  <c r="F231" i="63"/>
  <c r="M231" i="63"/>
  <c r="R231" i="63"/>
  <c r="S231" i="65" s="1"/>
  <c r="G231" i="63"/>
  <c r="AC231" i="63"/>
  <c r="S231" i="63"/>
  <c r="W231" i="63"/>
  <c r="AD231" i="63"/>
  <c r="AG231" i="63"/>
  <c r="I231" i="63"/>
  <c r="AU231" i="63"/>
  <c r="AI231" i="63"/>
  <c r="AM231" i="63"/>
  <c r="H231" i="63"/>
  <c r="M231" i="65" s="1"/>
  <c r="X231" i="63"/>
  <c r="W231" i="65" s="1"/>
  <c r="Y231" i="63"/>
  <c r="AO231" i="63"/>
  <c r="J231" i="63"/>
  <c r="AT231" i="63"/>
  <c r="O231" i="63"/>
  <c r="AE231" i="63"/>
  <c r="P231" i="63"/>
  <c r="AF231" i="63"/>
  <c r="AX231" i="63"/>
  <c r="AH231" i="63"/>
  <c r="M230" i="65"/>
  <c r="L232" i="81"/>
  <c r="N232" i="81"/>
  <c r="O232" i="81"/>
  <c r="Q232" i="81"/>
  <c r="B232" i="81"/>
  <c r="E232" i="81"/>
  <c r="R232" i="81"/>
  <c r="H232" i="81"/>
  <c r="A233" i="81"/>
  <c r="D232" i="81"/>
  <c r="T232" i="81"/>
  <c r="U232" i="81"/>
  <c r="J232" i="81"/>
  <c r="K232" i="81"/>
  <c r="P232" i="81"/>
  <c r="S232" i="81"/>
  <c r="C232" i="81"/>
  <c r="F232" i="81"/>
  <c r="M232" i="81"/>
  <c r="I232" i="81"/>
  <c r="G232" i="81"/>
  <c r="N230" i="65"/>
  <c r="Y230" i="65"/>
  <c r="U230" i="65"/>
  <c r="N231" i="65" l="1"/>
  <c r="H231" i="65"/>
  <c r="AI232" i="63"/>
  <c r="H232" i="63"/>
  <c r="M232" i="63"/>
  <c r="AY232" i="63"/>
  <c r="X232" i="63"/>
  <c r="W232" i="65" s="1"/>
  <c r="AC232" i="63"/>
  <c r="Z232" i="63"/>
  <c r="Q232" i="63"/>
  <c r="R232" i="65" s="1"/>
  <c r="F232" i="63"/>
  <c r="L232" i="63"/>
  <c r="V232" i="63"/>
  <c r="AB232" i="63"/>
  <c r="B232" i="63"/>
  <c r="B232" i="65" s="1"/>
  <c r="AL232" i="63"/>
  <c r="AR232" i="63"/>
  <c r="A233" i="63"/>
  <c r="R232" i="63"/>
  <c r="G232" i="63"/>
  <c r="AS232" i="63"/>
  <c r="AX232" i="63"/>
  <c r="AM232" i="63"/>
  <c r="AD232" i="63"/>
  <c r="C232" i="63"/>
  <c r="X232" i="65" s="1"/>
  <c r="AT232" i="63"/>
  <c r="AN232" i="63"/>
  <c r="O232" i="63"/>
  <c r="S232" i="63"/>
  <c r="I232" i="63"/>
  <c r="P232" i="63"/>
  <c r="AJ232" i="63"/>
  <c r="AP232" i="63"/>
  <c r="AG232" i="63"/>
  <c r="K232" i="63"/>
  <c r="AA232" i="63"/>
  <c r="AQ232" i="63"/>
  <c r="N232" i="63"/>
  <c r="AH232" i="63"/>
  <c r="AE232" i="63"/>
  <c r="D232" i="63"/>
  <c r="AF232" i="63"/>
  <c r="T232" i="63"/>
  <c r="P232" i="65" s="1"/>
  <c r="AU232" i="63"/>
  <c r="AV232" i="63"/>
  <c r="E232" i="63"/>
  <c r="AW232" i="63"/>
  <c r="U232" i="63"/>
  <c r="O232" i="65" s="1"/>
  <c r="AK232" i="63"/>
  <c r="W232" i="63"/>
  <c r="Y232" i="63"/>
  <c r="AO232" i="63"/>
  <c r="J232" i="63"/>
  <c r="I233" i="81"/>
  <c r="A234" i="81"/>
  <c r="J233" i="81"/>
  <c r="L233" i="81"/>
  <c r="N233" i="81"/>
  <c r="O233" i="81"/>
  <c r="B233" i="81"/>
  <c r="R233" i="81"/>
  <c r="P233" i="81"/>
  <c r="F233" i="81"/>
  <c r="G233" i="81"/>
  <c r="M233" i="81"/>
  <c r="S233" i="81"/>
  <c r="T233" i="81"/>
  <c r="D233" i="81"/>
  <c r="E233" i="81"/>
  <c r="K233" i="81"/>
  <c r="U233" i="81"/>
  <c r="C233" i="81"/>
  <c r="Q233" i="81"/>
  <c r="H233" i="81"/>
  <c r="U231" i="65"/>
  <c r="Y231" i="65"/>
  <c r="N232" i="65" l="1"/>
  <c r="C233" i="63"/>
  <c r="X233" i="65" s="1"/>
  <c r="W233" i="63"/>
  <c r="AB233" i="63"/>
  <c r="AM233" i="63"/>
  <c r="AR233" i="63"/>
  <c r="AV233" i="63"/>
  <c r="AJ233" i="63"/>
  <c r="AO233" i="63"/>
  <c r="O233" i="63"/>
  <c r="D233" i="63"/>
  <c r="J233" i="63"/>
  <c r="T233" i="63"/>
  <c r="P233" i="65" s="1"/>
  <c r="Z233" i="63"/>
  <c r="AP233" i="63"/>
  <c r="E233" i="63"/>
  <c r="K233" i="63"/>
  <c r="AF233" i="63"/>
  <c r="AK233" i="63"/>
  <c r="AQ233" i="63"/>
  <c r="A234" i="63"/>
  <c r="Q233" i="63"/>
  <c r="R233" i="65" s="1"/>
  <c r="F233" i="63"/>
  <c r="L233" i="63"/>
  <c r="AG233" i="63"/>
  <c r="V233" i="63"/>
  <c r="AD233" i="63"/>
  <c r="AW233" i="63"/>
  <c r="AL233" i="63"/>
  <c r="AE233" i="63"/>
  <c r="AX233" i="63"/>
  <c r="M233" i="63"/>
  <c r="AY233" i="63"/>
  <c r="U233" i="63"/>
  <c r="O233" i="65" s="1"/>
  <c r="G233" i="63"/>
  <c r="H233" i="63"/>
  <c r="X233" i="63"/>
  <c r="W233" i="65" s="1"/>
  <c r="AN233" i="63"/>
  <c r="I233" i="63"/>
  <c r="Y233" i="63"/>
  <c r="AA233" i="63"/>
  <c r="AS233" i="63"/>
  <c r="P233" i="63"/>
  <c r="AT233" i="63"/>
  <c r="B233" i="63"/>
  <c r="B233" i="65" s="1"/>
  <c r="AU233" i="63"/>
  <c r="AI233" i="63"/>
  <c r="AC233" i="63"/>
  <c r="N233" i="63"/>
  <c r="R233" i="63"/>
  <c r="AH233" i="63"/>
  <c r="S233" i="63"/>
  <c r="Y232" i="65"/>
  <c r="U232" i="65"/>
  <c r="H232" i="65"/>
  <c r="O234" i="81"/>
  <c r="L234" i="81"/>
  <c r="P234" i="81"/>
  <c r="C234" i="81"/>
  <c r="Q234" i="81"/>
  <c r="D234" i="81"/>
  <c r="S234" i="81"/>
  <c r="U234" i="81"/>
  <c r="A235" i="81"/>
  <c r="I234" i="81"/>
  <c r="K234" i="81"/>
  <c r="G234" i="81"/>
  <c r="J234" i="81"/>
  <c r="M234" i="81"/>
  <c r="H234" i="81"/>
  <c r="N234" i="81"/>
  <c r="R234" i="81"/>
  <c r="F234" i="81"/>
  <c r="B234" i="81"/>
  <c r="T234" i="81"/>
  <c r="E234" i="81"/>
  <c r="M232" i="65"/>
  <c r="S232" i="65"/>
  <c r="S233" i="65" l="1"/>
  <c r="Y233" i="65"/>
  <c r="N233" i="65"/>
  <c r="H233" i="65"/>
  <c r="G235" i="81"/>
  <c r="I235" i="81"/>
  <c r="J235" i="81"/>
  <c r="P235" i="81"/>
  <c r="N235" i="81"/>
  <c r="B235" i="81"/>
  <c r="M235" i="81"/>
  <c r="C235" i="81"/>
  <c r="E235" i="81"/>
  <c r="K235" i="81"/>
  <c r="L235" i="81"/>
  <c r="R235" i="81"/>
  <c r="S235" i="81"/>
  <c r="T235" i="81"/>
  <c r="O235" i="81"/>
  <c r="H235" i="81"/>
  <c r="Q235" i="81"/>
  <c r="A236" i="81"/>
  <c r="D235" i="81"/>
  <c r="U235" i="81"/>
  <c r="F235" i="81"/>
  <c r="U233" i="65"/>
  <c r="AG234" i="63"/>
  <c r="E234" i="63"/>
  <c r="J234" i="63"/>
  <c r="AW234" i="63"/>
  <c r="U234" i="63"/>
  <c r="O234" i="65" s="1"/>
  <c r="Z234" i="63"/>
  <c r="O234" i="63"/>
  <c r="AX234" i="63"/>
  <c r="W234" i="63"/>
  <c r="AC234" i="63"/>
  <c r="F234" i="63"/>
  <c r="AB234" i="63"/>
  <c r="B234" i="63"/>
  <c r="B234" i="65" s="1"/>
  <c r="V234" i="63"/>
  <c r="AQ234" i="63"/>
  <c r="AL234" i="63"/>
  <c r="AR234" i="63"/>
  <c r="R234" i="63"/>
  <c r="G234" i="63"/>
  <c r="AS234" i="63"/>
  <c r="H234" i="63"/>
  <c r="AH234" i="63"/>
  <c r="X234" i="63"/>
  <c r="W234" i="65" s="1"/>
  <c r="N234" i="63"/>
  <c r="C234" i="63"/>
  <c r="X234" i="65" s="1"/>
  <c r="AN234" i="63"/>
  <c r="AD234" i="63"/>
  <c r="I234" i="63"/>
  <c r="P234" i="63"/>
  <c r="T234" i="63"/>
  <c r="P234" i="65" s="1"/>
  <c r="K234" i="63"/>
  <c r="AT234" i="63"/>
  <c r="AP234" i="63"/>
  <c r="AE234" i="63"/>
  <c r="L234" i="63"/>
  <c r="AU234" i="63"/>
  <c r="M234" i="63"/>
  <c r="AF234" i="63"/>
  <c r="AA234" i="63"/>
  <c r="AV234" i="63"/>
  <c r="Q234" i="63"/>
  <c r="R234" i="65" s="1"/>
  <c r="S234" i="63"/>
  <c r="A235" i="63"/>
  <c r="AI234" i="63"/>
  <c r="AY234" i="63"/>
  <c r="D234" i="63"/>
  <c r="AJ234" i="63"/>
  <c r="AK234" i="63"/>
  <c r="AM234" i="63"/>
  <c r="Y234" i="63"/>
  <c r="AO234" i="63"/>
  <c r="M233" i="65"/>
  <c r="M234" i="65" l="1"/>
  <c r="N234" i="65"/>
  <c r="S234" i="65"/>
  <c r="U234" i="65"/>
  <c r="Y234" i="65"/>
  <c r="Q236" i="81"/>
  <c r="R236" i="81"/>
  <c r="C236" i="81"/>
  <c r="E236" i="81"/>
  <c r="F236" i="81"/>
  <c r="I236" i="81"/>
  <c r="D236" i="81"/>
  <c r="K236" i="81"/>
  <c r="A237" i="81"/>
  <c r="T236" i="81"/>
  <c r="N236" i="81"/>
  <c r="O236" i="81"/>
  <c r="G236" i="81"/>
  <c r="B236" i="81"/>
  <c r="H236" i="81"/>
  <c r="S236" i="81"/>
  <c r="P236" i="81"/>
  <c r="U236" i="81"/>
  <c r="J236" i="81"/>
  <c r="M236" i="81"/>
  <c r="L236" i="81"/>
  <c r="AT235" i="63"/>
  <c r="W235" i="63"/>
  <c r="O235" i="63"/>
  <c r="S235" i="63"/>
  <c r="AM235" i="63"/>
  <c r="L235" i="63"/>
  <c r="M235" i="63"/>
  <c r="AX235" i="63"/>
  <c r="H235" i="63"/>
  <c r="AC235" i="63"/>
  <c r="C235" i="63"/>
  <c r="X235" i="65" s="1"/>
  <c r="X235" i="63"/>
  <c r="W235" i="65" s="1"/>
  <c r="AS235" i="63"/>
  <c r="AI235" i="63"/>
  <c r="N235" i="63"/>
  <c r="AY235" i="63"/>
  <c r="AN235" i="63"/>
  <c r="AE235" i="63"/>
  <c r="T235" i="63"/>
  <c r="P235" i="65" s="1"/>
  <c r="J235" i="63"/>
  <c r="AU235" i="63"/>
  <c r="P235" i="63"/>
  <c r="AJ235" i="63"/>
  <c r="Y235" i="63"/>
  <c r="AF235" i="63"/>
  <c r="E235" i="63"/>
  <c r="Z235" i="63"/>
  <c r="AW235" i="63"/>
  <c r="F235" i="63"/>
  <c r="AQ235" i="63"/>
  <c r="R235" i="63"/>
  <c r="AH235" i="63"/>
  <c r="D235" i="63"/>
  <c r="U235" i="63"/>
  <c r="O235" i="65" s="1"/>
  <c r="AK235" i="63"/>
  <c r="V235" i="63"/>
  <c r="AL235" i="63"/>
  <c r="G235" i="63"/>
  <c r="AB235" i="63"/>
  <c r="K235" i="63"/>
  <c r="AR235" i="63"/>
  <c r="AA235" i="63"/>
  <c r="AD235" i="63"/>
  <c r="AO235" i="63"/>
  <c r="A236" i="63"/>
  <c r="AV235" i="63"/>
  <c r="Q235" i="63"/>
  <c r="R235" i="65" s="1"/>
  <c r="AG235" i="63"/>
  <c r="B235" i="63"/>
  <c r="B235" i="65" s="1"/>
  <c r="AP235" i="63"/>
  <c r="I235" i="63"/>
  <c r="H234" i="65"/>
  <c r="Y235" i="65" l="1"/>
  <c r="M235" i="65"/>
  <c r="U235" i="65"/>
  <c r="P237" i="81"/>
  <c r="F237" i="81"/>
  <c r="K237" i="81"/>
  <c r="G237" i="81"/>
  <c r="L237" i="81"/>
  <c r="H237" i="81"/>
  <c r="N237" i="81"/>
  <c r="A238" i="81"/>
  <c r="O237" i="81"/>
  <c r="C237" i="81"/>
  <c r="D237" i="81"/>
  <c r="M237" i="81"/>
  <c r="R237" i="81"/>
  <c r="S237" i="81"/>
  <c r="T237" i="81"/>
  <c r="U237" i="81"/>
  <c r="J237" i="81"/>
  <c r="I237" i="81"/>
  <c r="B237" i="81"/>
  <c r="Q237" i="81"/>
  <c r="E237" i="81"/>
  <c r="H235" i="65"/>
  <c r="S235" i="65"/>
  <c r="N235" i="65"/>
  <c r="AR236" i="63"/>
  <c r="B236" i="63"/>
  <c r="B236" i="65" s="1"/>
  <c r="F236" i="63"/>
  <c r="AD236" i="63"/>
  <c r="X236" i="63"/>
  <c r="W236" i="65" s="1"/>
  <c r="AT236" i="63"/>
  <c r="S236" i="63"/>
  <c r="O236" i="63"/>
  <c r="AI236" i="63"/>
  <c r="Y236" i="63"/>
  <c r="AE236" i="63"/>
  <c r="AY236" i="63"/>
  <c r="AM236" i="63"/>
  <c r="Z236" i="63"/>
  <c r="P236" i="63"/>
  <c r="T236" i="63"/>
  <c r="P236" i="65" s="1"/>
  <c r="AO236" i="63"/>
  <c r="AP236" i="63"/>
  <c r="AF236" i="63"/>
  <c r="AJ236" i="63"/>
  <c r="K236" i="63"/>
  <c r="AV236" i="63"/>
  <c r="E236" i="63"/>
  <c r="AA236" i="63"/>
  <c r="Q236" i="63"/>
  <c r="R236" i="65" s="1"/>
  <c r="U236" i="63"/>
  <c r="O236" i="65" s="1"/>
  <c r="M236" i="63"/>
  <c r="R236" i="63"/>
  <c r="G236" i="63"/>
  <c r="A237" i="63"/>
  <c r="J236" i="63"/>
  <c r="V236" i="63"/>
  <c r="AQ236" i="63"/>
  <c r="AL236" i="63"/>
  <c r="L236" i="63"/>
  <c r="H236" i="63"/>
  <c r="AB236" i="63"/>
  <c r="I236" i="63"/>
  <c r="AC236" i="63"/>
  <c r="W236" i="63"/>
  <c r="AS236" i="63"/>
  <c r="AN236" i="63"/>
  <c r="N236" i="63"/>
  <c r="AU236" i="63"/>
  <c r="AG236" i="63"/>
  <c r="AW236" i="63"/>
  <c r="AH236" i="63"/>
  <c r="AX236" i="63"/>
  <c r="C236" i="63"/>
  <c r="X236" i="65" s="1"/>
  <c r="D236" i="63"/>
  <c r="AK236" i="63"/>
  <c r="U236" i="65" l="1"/>
  <c r="M236" i="65"/>
  <c r="C238" i="81"/>
  <c r="D238" i="81"/>
  <c r="E238" i="81"/>
  <c r="G238" i="81"/>
  <c r="L238" i="81"/>
  <c r="K238" i="81"/>
  <c r="A239" i="81"/>
  <c r="O238" i="81"/>
  <c r="Q238" i="81"/>
  <c r="R238" i="81"/>
  <c r="B238" i="81"/>
  <c r="N238" i="81"/>
  <c r="S238" i="81"/>
  <c r="T238" i="81"/>
  <c r="H238" i="81"/>
  <c r="P238" i="81"/>
  <c r="J238" i="81"/>
  <c r="M238" i="81"/>
  <c r="F238" i="81"/>
  <c r="I238" i="81"/>
  <c r="U238" i="81"/>
  <c r="H236" i="65"/>
  <c r="AA237" i="63"/>
  <c r="AV237" i="63"/>
  <c r="T237" i="63"/>
  <c r="P237" i="65" s="1"/>
  <c r="AN237" i="63"/>
  <c r="AD237" i="63"/>
  <c r="C237" i="63"/>
  <c r="X237" i="65" s="1"/>
  <c r="AL237" i="63"/>
  <c r="I237" i="63"/>
  <c r="AT237" i="63"/>
  <c r="AM237" i="63"/>
  <c r="Y237" i="63"/>
  <c r="O237" i="63"/>
  <c r="S237" i="63"/>
  <c r="AO237" i="63"/>
  <c r="AE237" i="63"/>
  <c r="AI237" i="63"/>
  <c r="Z237" i="63"/>
  <c r="P237" i="63"/>
  <c r="D237" i="63"/>
  <c r="AP237" i="63"/>
  <c r="AF237" i="63"/>
  <c r="K237" i="63"/>
  <c r="Q237" i="63"/>
  <c r="R237" i="65" s="1"/>
  <c r="AJ237" i="63"/>
  <c r="AQ237" i="63"/>
  <c r="E237" i="63"/>
  <c r="A238" i="63"/>
  <c r="M237" i="63"/>
  <c r="AC237" i="63"/>
  <c r="AK237" i="63"/>
  <c r="AS237" i="63"/>
  <c r="N237" i="63"/>
  <c r="AU237" i="63"/>
  <c r="AG237" i="63"/>
  <c r="AW237" i="63"/>
  <c r="B237" i="63"/>
  <c r="B237" i="65" s="1"/>
  <c r="R237" i="63"/>
  <c r="S237" i="65" s="1"/>
  <c r="AH237" i="63"/>
  <c r="AX237" i="63"/>
  <c r="H237" i="63"/>
  <c r="AY237" i="63"/>
  <c r="X237" i="63"/>
  <c r="W237" i="65" s="1"/>
  <c r="F237" i="63"/>
  <c r="J237" i="63"/>
  <c r="L237" i="63"/>
  <c r="AB237" i="63"/>
  <c r="AR237" i="63"/>
  <c r="G237" i="63"/>
  <c r="U237" i="63"/>
  <c r="O237" i="65" s="1"/>
  <c r="V237" i="63"/>
  <c r="W237" i="63"/>
  <c r="Y236" i="65"/>
  <c r="N236" i="65"/>
  <c r="S236" i="65"/>
  <c r="M237" i="65" l="1"/>
  <c r="Y237" i="65"/>
  <c r="L239" i="81"/>
  <c r="M239" i="81"/>
  <c r="N239" i="81"/>
  <c r="Q239" i="81"/>
  <c r="P239" i="81"/>
  <c r="E239" i="81"/>
  <c r="B239" i="81"/>
  <c r="T239" i="81"/>
  <c r="U239" i="81"/>
  <c r="C239" i="81"/>
  <c r="K239" i="81"/>
  <c r="A240" i="81"/>
  <c r="F239" i="81"/>
  <c r="G239" i="81"/>
  <c r="I239" i="81"/>
  <c r="S239" i="81"/>
  <c r="R239" i="81"/>
  <c r="D239" i="81"/>
  <c r="O239" i="81"/>
  <c r="H239" i="81"/>
  <c r="J239" i="81"/>
  <c r="H237" i="65"/>
  <c r="N237" i="65"/>
  <c r="U237" i="65"/>
  <c r="AN238" i="63"/>
  <c r="N238" i="63"/>
  <c r="AJ238" i="63"/>
  <c r="AM238" i="63"/>
  <c r="M238" i="63"/>
  <c r="AH238" i="63"/>
  <c r="H238" i="63"/>
  <c r="AC238" i="63"/>
  <c r="AX238" i="63"/>
  <c r="X238" i="63"/>
  <c r="W238" i="65" s="1"/>
  <c r="AS238" i="63"/>
  <c r="AK238" i="63"/>
  <c r="AD238" i="63"/>
  <c r="AY238" i="63"/>
  <c r="Y238" i="63"/>
  <c r="O238" i="63"/>
  <c r="AO238" i="63"/>
  <c r="AE238" i="63"/>
  <c r="D238" i="63"/>
  <c r="J238" i="63"/>
  <c r="AU238" i="63"/>
  <c r="E238" i="63"/>
  <c r="Z238" i="63"/>
  <c r="P238" i="63"/>
  <c r="S238" i="63"/>
  <c r="V238" i="63"/>
  <c r="AQ238" i="63"/>
  <c r="AG238" i="63"/>
  <c r="T238" i="63"/>
  <c r="P238" i="65" s="1"/>
  <c r="AF238" i="63"/>
  <c r="AV238" i="63"/>
  <c r="Q238" i="63"/>
  <c r="R238" i="65" s="1"/>
  <c r="AW238" i="63"/>
  <c r="F238" i="63"/>
  <c r="B238" i="63"/>
  <c r="B238" i="65" s="1"/>
  <c r="AL238" i="63"/>
  <c r="R238" i="63"/>
  <c r="S238" i="65" s="1"/>
  <c r="G238" i="63"/>
  <c r="C238" i="63"/>
  <c r="X238" i="65" s="1"/>
  <c r="W238" i="63"/>
  <c r="U238" i="63"/>
  <c r="O238" i="65" s="1"/>
  <c r="I238" i="63"/>
  <c r="AP238" i="63"/>
  <c r="AI238" i="63"/>
  <c r="K238" i="63"/>
  <c r="AA238" i="63"/>
  <c r="AT238" i="63"/>
  <c r="A239" i="63"/>
  <c r="L238" i="63"/>
  <c r="AB238" i="63"/>
  <c r="AR238" i="63"/>
  <c r="N238" i="65" l="1"/>
  <c r="M238" i="65"/>
  <c r="U238" i="65"/>
  <c r="B240" i="81"/>
  <c r="P240" i="81"/>
  <c r="S240" i="81"/>
  <c r="Q240" i="81"/>
  <c r="C240" i="81"/>
  <c r="R240" i="81"/>
  <c r="E240" i="81"/>
  <c r="J240" i="81"/>
  <c r="L240" i="81"/>
  <c r="O240" i="81"/>
  <c r="A241" i="81"/>
  <c r="D240" i="81"/>
  <c r="F240" i="81"/>
  <c r="G240" i="81"/>
  <c r="I240" i="81"/>
  <c r="N240" i="81"/>
  <c r="T240" i="81"/>
  <c r="K240" i="81"/>
  <c r="H240" i="81"/>
  <c r="M240" i="81"/>
  <c r="U240" i="81"/>
  <c r="H238" i="65"/>
  <c r="AL239" i="63"/>
  <c r="AQ239" i="63"/>
  <c r="B239" i="63"/>
  <c r="B239" i="65" s="1"/>
  <c r="G239" i="63"/>
  <c r="AB239" i="63"/>
  <c r="Q239" i="63"/>
  <c r="R239" i="65" s="1"/>
  <c r="W239" i="63"/>
  <c r="AR239" i="63"/>
  <c r="A240" i="63"/>
  <c r="AM239" i="63"/>
  <c r="M239" i="63"/>
  <c r="R239" i="63"/>
  <c r="H239" i="63"/>
  <c r="AC239" i="63"/>
  <c r="S239" i="63"/>
  <c r="N239" i="63"/>
  <c r="AH239" i="63"/>
  <c r="AN239" i="63"/>
  <c r="AD239" i="63"/>
  <c r="AI239" i="63"/>
  <c r="I239" i="63"/>
  <c r="AT239" i="63"/>
  <c r="AW239" i="63"/>
  <c r="D239" i="63"/>
  <c r="Y239" i="63"/>
  <c r="O239" i="63"/>
  <c r="AX239" i="63"/>
  <c r="U239" i="63"/>
  <c r="O239" i="65" s="1"/>
  <c r="AP239" i="63"/>
  <c r="AF239" i="63"/>
  <c r="E239" i="63"/>
  <c r="C239" i="63"/>
  <c r="X239" i="65" s="1"/>
  <c r="AK239" i="63"/>
  <c r="F239" i="63"/>
  <c r="AG239" i="63"/>
  <c r="V239" i="63"/>
  <c r="AY239" i="63"/>
  <c r="X239" i="63"/>
  <c r="W239" i="65" s="1"/>
  <c r="AO239" i="63"/>
  <c r="J239" i="63"/>
  <c r="Z239" i="63"/>
  <c r="K239" i="63"/>
  <c r="AA239" i="63"/>
  <c r="L239" i="63"/>
  <c r="AS239" i="63"/>
  <c r="T239" i="63"/>
  <c r="P239" i="65" s="1"/>
  <c r="AJ239" i="63"/>
  <c r="AE239" i="63"/>
  <c r="AU239" i="63"/>
  <c r="P239" i="63"/>
  <c r="AV239" i="63"/>
  <c r="Y238" i="65"/>
  <c r="H239" i="65" l="1"/>
  <c r="Y239" i="65"/>
  <c r="L241" i="81"/>
  <c r="M241" i="81"/>
  <c r="N241" i="81"/>
  <c r="O241" i="81"/>
  <c r="K241" i="81"/>
  <c r="C241" i="81"/>
  <c r="E241" i="81"/>
  <c r="P241" i="81"/>
  <c r="B241" i="81"/>
  <c r="R241" i="81"/>
  <c r="S241" i="81"/>
  <c r="G241" i="81"/>
  <c r="H241" i="81"/>
  <c r="T241" i="81"/>
  <c r="A242" i="81"/>
  <c r="F241" i="81"/>
  <c r="D241" i="81"/>
  <c r="I241" i="81"/>
  <c r="J241" i="81"/>
  <c r="Q241" i="81"/>
  <c r="U241" i="81"/>
  <c r="N239" i="65"/>
  <c r="AY240" i="63"/>
  <c r="X240" i="63"/>
  <c r="W240" i="65" s="1"/>
  <c r="AS240" i="63"/>
  <c r="E240" i="63"/>
  <c r="Z240" i="63"/>
  <c r="AF240" i="63"/>
  <c r="U240" i="63"/>
  <c r="O240" i="65" s="1"/>
  <c r="AP240" i="63"/>
  <c r="AG240" i="63"/>
  <c r="A241" i="63"/>
  <c r="K240" i="63"/>
  <c r="AU240" i="63"/>
  <c r="AK240" i="63"/>
  <c r="AA240" i="63"/>
  <c r="AV240" i="63"/>
  <c r="B240" i="63"/>
  <c r="B240" i="65" s="1"/>
  <c r="V240" i="63"/>
  <c r="Y240" i="65" s="1"/>
  <c r="L240" i="63"/>
  <c r="O240" i="63"/>
  <c r="R240" i="63"/>
  <c r="AL240" i="63"/>
  <c r="AB240" i="63"/>
  <c r="P240" i="63"/>
  <c r="AH240" i="63"/>
  <c r="G240" i="63"/>
  <c r="AR240" i="63"/>
  <c r="AX240" i="63"/>
  <c r="W240" i="63"/>
  <c r="M240" i="63"/>
  <c r="D240" i="63"/>
  <c r="I240" i="63"/>
  <c r="AT240" i="63"/>
  <c r="F240" i="63"/>
  <c r="AM240" i="63"/>
  <c r="H240" i="63"/>
  <c r="AN240" i="63"/>
  <c r="Y240" i="63"/>
  <c r="AO240" i="63"/>
  <c r="J240" i="63"/>
  <c r="AQ240" i="63"/>
  <c r="AC240" i="63"/>
  <c r="N240" i="63"/>
  <c r="C240" i="63"/>
  <c r="X240" i="65" s="1"/>
  <c r="AD240" i="63"/>
  <c r="S240" i="63"/>
  <c r="Q240" i="63"/>
  <c r="R240" i="65" s="1"/>
  <c r="AI240" i="63"/>
  <c r="T240" i="63"/>
  <c r="P240" i="65" s="1"/>
  <c r="AJ240" i="63"/>
  <c r="AE240" i="63"/>
  <c r="AW240" i="63"/>
  <c r="M239" i="65"/>
  <c r="U239" i="65"/>
  <c r="S239" i="65"/>
  <c r="S240" i="65" l="1"/>
  <c r="N240" i="65"/>
  <c r="M240" i="65"/>
  <c r="R242" i="81"/>
  <c r="C242" i="81"/>
  <c r="S242" i="81"/>
  <c r="T242" i="81"/>
  <c r="K242" i="81"/>
  <c r="I242" i="81"/>
  <c r="M242" i="81"/>
  <c r="P242" i="81"/>
  <c r="L242" i="81"/>
  <c r="N242" i="81"/>
  <c r="O242" i="81"/>
  <c r="B242" i="81"/>
  <c r="D242" i="81"/>
  <c r="E242" i="81"/>
  <c r="H242" i="81"/>
  <c r="J242" i="81"/>
  <c r="U242" i="81"/>
  <c r="A243" i="81"/>
  <c r="G242" i="81"/>
  <c r="Q242" i="81"/>
  <c r="F242" i="81"/>
  <c r="H240" i="65"/>
  <c r="U240" i="65"/>
  <c r="Q241" i="63"/>
  <c r="R241" i="65" s="1"/>
  <c r="AJ241" i="63"/>
  <c r="AO241" i="63"/>
  <c r="AS241" i="63"/>
  <c r="H241" i="63"/>
  <c r="N241" i="63"/>
  <c r="S241" i="63"/>
  <c r="X241" i="63"/>
  <c r="W241" i="65" s="1"/>
  <c r="O241" i="63"/>
  <c r="AI241" i="63"/>
  <c r="AC241" i="63"/>
  <c r="A242" i="63"/>
  <c r="AY241" i="63"/>
  <c r="AN241" i="63"/>
  <c r="AD241" i="63"/>
  <c r="P241" i="63"/>
  <c r="T241" i="63"/>
  <c r="P241" i="65" s="1"/>
  <c r="Y241" i="63"/>
  <c r="AU241" i="63"/>
  <c r="AF241" i="63"/>
  <c r="J241" i="63"/>
  <c r="AT241" i="63"/>
  <c r="AV241" i="63"/>
  <c r="E241" i="63"/>
  <c r="Z241" i="63"/>
  <c r="AG241" i="63"/>
  <c r="U241" i="63"/>
  <c r="O241" i="65" s="1"/>
  <c r="AP241" i="63"/>
  <c r="R241" i="63"/>
  <c r="AL241" i="63"/>
  <c r="L241" i="63"/>
  <c r="G241" i="63"/>
  <c r="W241" i="63"/>
  <c r="AM241" i="63"/>
  <c r="I241" i="63"/>
  <c r="K241" i="63"/>
  <c r="AA241" i="63"/>
  <c r="AW241" i="63"/>
  <c r="AQ241" i="63"/>
  <c r="B241" i="63"/>
  <c r="B241" i="65" s="1"/>
  <c r="AB241" i="63"/>
  <c r="AR241" i="63"/>
  <c r="AH241" i="63"/>
  <c r="M241" i="63"/>
  <c r="AX241" i="63"/>
  <c r="AE241" i="63"/>
  <c r="C241" i="63"/>
  <c r="X241" i="65" s="1"/>
  <c r="D241" i="63"/>
  <c r="AK241" i="63"/>
  <c r="F241" i="63"/>
  <c r="V241" i="63"/>
  <c r="Y241" i="65" l="1"/>
  <c r="N241" i="65"/>
  <c r="M241" i="65"/>
  <c r="H241" i="65"/>
  <c r="S241" i="65"/>
  <c r="N242" i="63"/>
  <c r="AH242" i="63"/>
  <c r="AL242" i="63"/>
  <c r="AA242" i="63"/>
  <c r="A243" i="63"/>
  <c r="B242" i="63"/>
  <c r="B242" i="65" s="1"/>
  <c r="F242" i="63"/>
  <c r="M242" i="63"/>
  <c r="V242" i="63"/>
  <c r="AB242" i="63"/>
  <c r="R242" i="63"/>
  <c r="G242" i="63"/>
  <c r="AC242" i="63"/>
  <c r="AX242" i="63"/>
  <c r="W242" i="63"/>
  <c r="AQ242" i="63"/>
  <c r="AT242" i="63"/>
  <c r="S242" i="63"/>
  <c r="H242" i="63"/>
  <c r="AS242" i="63"/>
  <c r="O242" i="63"/>
  <c r="AI242" i="63"/>
  <c r="X242" i="63"/>
  <c r="W242" i="65" s="1"/>
  <c r="AE242" i="63"/>
  <c r="AY242" i="63"/>
  <c r="AN242" i="63"/>
  <c r="AU242" i="63"/>
  <c r="D242" i="63"/>
  <c r="I242" i="63"/>
  <c r="Q242" i="63"/>
  <c r="R242" i="65" s="1"/>
  <c r="E242" i="63"/>
  <c r="Z242" i="63"/>
  <c r="Y242" i="63"/>
  <c r="AD242" i="63"/>
  <c r="AO242" i="63"/>
  <c r="P242" i="63"/>
  <c r="J242" i="63"/>
  <c r="AF242" i="63"/>
  <c r="AP242" i="63"/>
  <c r="AV242" i="63"/>
  <c r="K242" i="63"/>
  <c r="L242" i="63"/>
  <c r="AG242" i="63"/>
  <c r="AR242" i="63"/>
  <c r="AW242" i="63"/>
  <c r="C242" i="63"/>
  <c r="X242" i="65" s="1"/>
  <c r="T242" i="63"/>
  <c r="P242" i="65" s="1"/>
  <c r="AJ242" i="63"/>
  <c r="U242" i="63"/>
  <c r="O242" i="65" s="1"/>
  <c r="AK242" i="63"/>
  <c r="AM242" i="63"/>
  <c r="U241" i="65"/>
  <c r="I243" i="81"/>
  <c r="C243" i="81"/>
  <c r="J243" i="81"/>
  <c r="D243" i="81"/>
  <c r="K243" i="81"/>
  <c r="A244" i="81"/>
  <c r="N243" i="81"/>
  <c r="Q243" i="81"/>
  <c r="S243" i="81"/>
  <c r="O243" i="81"/>
  <c r="P243" i="81"/>
  <c r="F243" i="81"/>
  <c r="R243" i="81"/>
  <c r="T243" i="81"/>
  <c r="U243" i="81"/>
  <c r="M243" i="81"/>
  <c r="G243" i="81"/>
  <c r="H243" i="81"/>
  <c r="E243" i="81"/>
  <c r="B243" i="81"/>
  <c r="L243" i="81"/>
  <c r="S242" i="65" l="1"/>
  <c r="Y242" i="65"/>
  <c r="U242" i="65"/>
  <c r="H242" i="65"/>
  <c r="H244" i="81"/>
  <c r="M244" i="81"/>
  <c r="N244" i="81"/>
  <c r="S244" i="81"/>
  <c r="P244" i="81"/>
  <c r="F244" i="81"/>
  <c r="I244" i="81"/>
  <c r="K244" i="81"/>
  <c r="L244" i="81"/>
  <c r="B244" i="81"/>
  <c r="Q244" i="81"/>
  <c r="R244" i="81"/>
  <c r="A245" i="81"/>
  <c r="C244" i="81"/>
  <c r="D244" i="81"/>
  <c r="T244" i="81"/>
  <c r="J244" i="81"/>
  <c r="E244" i="81"/>
  <c r="O244" i="81"/>
  <c r="U244" i="81"/>
  <c r="G244" i="81"/>
  <c r="AF243" i="63"/>
  <c r="AN243" i="63"/>
  <c r="Q243" i="63"/>
  <c r="R243" i="65" s="1"/>
  <c r="U243" i="63"/>
  <c r="O243" i="65" s="1"/>
  <c r="J243" i="63"/>
  <c r="L243" i="63"/>
  <c r="AG243" i="63"/>
  <c r="AK243" i="63"/>
  <c r="K243" i="63"/>
  <c r="AB243" i="63"/>
  <c r="AW243" i="63"/>
  <c r="F243" i="63"/>
  <c r="Y243" i="63"/>
  <c r="M243" i="63"/>
  <c r="R243" i="63"/>
  <c r="AL243" i="63"/>
  <c r="AA243" i="63"/>
  <c r="AC243" i="63"/>
  <c r="AH243" i="63"/>
  <c r="G243" i="63"/>
  <c r="AO243" i="63"/>
  <c r="AS243" i="63"/>
  <c r="AX243" i="63"/>
  <c r="W243" i="63"/>
  <c r="N243" i="63"/>
  <c r="C243" i="63"/>
  <c r="X243" i="65" s="1"/>
  <c r="AE243" i="63"/>
  <c r="D243" i="63"/>
  <c r="A244" i="63"/>
  <c r="O243" i="63"/>
  <c r="AQ243" i="63"/>
  <c r="AU243" i="63"/>
  <c r="I243" i="63"/>
  <c r="P243" i="63"/>
  <c r="Z243" i="63"/>
  <c r="AV243" i="63"/>
  <c r="B243" i="63"/>
  <c r="B243" i="65" s="1"/>
  <c r="S243" i="63"/>
  <c r="AI243" i="63"/>
  <c r="AY243" i="63"/>
  <c r="T243" i="63"/>
  <c r="P243" i="65" s="1"/>
  <c r="AJ243" i="63"/>
  <c r="E243" i="63"/>
  <c r="V243" i="63"/>
  <c r="AT243" i="63"/>
  <c r="AM243" i="63"/>
  <c r="H243" i="63"/>
  <c r="M243" i="65" s="1"/>
  <c r="X243" i="63"/>
  <c r="W243" i="65" s="1"/>
  <c r="AP243" i="63"/>
  <c r="AR243" i="63"/>
  <c r="AD243" i="63"/>
  <c r="M242" i="65"/>
  <c r="N242" i="65"/>
  <c r="N243" i="65" l="1"/>
  <c r="U245" i="81"/>
  <c r="F245" i="81"/>
  <c r="G245" i="81"/>
  <c r="I245" i="81"/>
  <c r="P245" i="81"/>
  <c r="N245" i="81"/>
  <c r="B245" i="81"/>
  <c r="D245" i="81"/>
  <c r="L245" i="81"/>
  <c r="M245" i="81"/>
  <c r="T245" i="81"/>
  <c r="R245" i="81"/>
  <c r="C245" i="81"/>
  <c r="S245" i="81"/>
  <c r="K245" i="81"/>
  <c r="O245" i="81"/>
  <c r="Q245" i="81"/>
  <c r="A246" i="81"/>
  <c r="E245" i="81"/>
  <c r="H245" i="81"/>
  <c r="J245" i="81"/>
  <c r="S243" i="65"/>
  <c r="AR244" i="63"/>
  <c r="B244" i="63"/>
  <c r="B244" i="65" s="1"/>
  <c r="F244" i="63"/>
  <c r="AT244" i="63"/>
  <c r="S244" i="63"/>
  <c r="O244" i="63"/>
  <c r="AI244" i="63"/>
  <c r="Y244" i="63"/>
  <c r="AE244" i="63"/>
  <c r="AY244" i="63"/>
  <c r="AM244" i="63"/>
  <c r="J244" i="63"/>
  <c r="AU244" i="63"/>
  <c r="D244" i="63"/>
  <c r="AN244" i="63"/>
  <c r="AP244" i="63"/>
  <c r="AF244" i="63"/>
  <c r="AJ244" i="63"/>
  <c r="K244" i="63"/>
  <c r="AV244" i="63"/>
  <c r="E244" i="63"/>
  <c r="AA244" i="63"/>
  <c r="Q244" i="63"/>
  <c r="R244" i="65" s="1"/>
  <c r="U244" i="63"/>
  <c r="O244" i="65" s="1"/>
  <c r="AQ244" i="63"/>
  <c r="AG244" i="63"/>
  <c r="AK244" i="63"/>
  <c r="AC244" i="63"/>
  <c r="AH244" i="63"/>
  <c r="H244" i="63"/>
  <c r="P244" i="63"/>
  <c r="AW244" i="63"/>
  <c r="A245" i="63"/>
  <c r="R244" i="63"/>
  <c r="AX244" i="63"/>
  <c r="C244" i="63"/>
  <c r="X244" i="65" s="1"/>
  <c r="T244" i="63"/>
  <c r="P244" i="65" s="1"/>
  <c r="V244" i="63"/>
  <c r="Z244" i="63"/>
  <c r="AL244" i="63"/>
  <c r="L244" i="63"/>
  <c r="G244" i="63"/>
  <c r="AB244" i="63"/>
  <c r="I244" i="63"/>
  <c r="M244" i="63"/>
  <c r="AS244" i="63"/>
  <c r="N244" i="63"/>
  <c r="AD244" i="63"/>
  <c r="W244" i="63"/>
  <c r="X244" i="63"/>
  <c r="W244" i="65" s="1"/>
  <c r="AO244" i="63"/>
  <c r="U243" i="65"/>
  <c r="Y243" i="65"/>
  <c r="H243" i="65"/>
  <c r="U244" i="65" l="1"/>
  <c r="Y244" i="65"/>
  <c r="M244" i="65"/>
  <c r="S244" i="65"/>
  <c r="Z245" i="63"/>
  <c r="AU245" i="63"/>
  <c r="AY245" i="63"/>
  <c r="X245" i="63"/>
  <c r="W245" i="65" s="1"/>
  <c r="AS245" i="63"/>
  <c r="AH245" i="63"/>
  <c r="U245" i="63"/>
  <c r="O245" i="65" s="1"/>
  <c r="N245" i="63"/>
  <c r="AX245" i="63"/>
  <c r="V245" i="63"/>
  <c r="AN245" i="63"/>
  <c r="AD245" i="63"/>
  <c r="C245" i="63"/>
  <c r="X245" i="65" s="1"/>
  <c r="I245" i="63"/>
  <c r="AT245" i="63"/>
  <c r="S245" i="63"/>
  <c r="AO245" i="63"/>
  <c r="AE245" i="63"/>
  <c r="D245" i="63"/>
  <c r="J245" i="63"/>
  <c r="P245" i="63"/>
  <c r="T245" i="63"/>
  <c r="P245" i="65" s="1"/>
  <c r="AP245" i="63"/>
  <c r="AF245" i="63"/>
  <c r="K245" i="63"/>
  <c r="AV245" i="63"/>
  <c r="AJ245" i="63"/>
  <c r="AB245" i="63"/>
  <c r="AW245" i="63"/>
  <c r="AM245" i="63"/>
  <c r="B245" i="63"/>
  <c r="B245" i="65" s="1"/>
  <c r="R245" i="63"/>
  <c r="AI245" i="63"/>
  <c r="H245" i="63"/>
  <c r="W245" i="63"/>
  <c r="Y245" i="63"/>
  <c r="AK245" i="63"/>
  <c r="AA245" i="63"/>
  <c r="AL245" i="63"/>
  <c r="AQ245" i="63"/>
  <c r="E245" i="63"/>
  <c r="L245" i="63"/>
  <c r="F245" i="63"/>
  <c r="AR245" i="63"/>
  <c r="G245" i="63"/>
  <c r="M245" i="63"/>
  <c r="AC245" i="63"/>
  <c r="A246" i="63"/>
  <c r="AG245" i="63"/>
  <c r="O245" i="63"/>
  <c r="Q245" i="63"/>
  <c r="R245" i="65" s="1"/>
  <c r="H244" i="65"/>
  <c r="N244" i="65"/>
  <c r="N246" i="81"/>
  <c r="U246" i="81"/>
  <c r="O246" i="81"/>
  <c r="A247" i="81"/>
  <c r="Q246" i="81"/>
  <c r="R246" i="81"/>
  <c r="E246" i="81"/>
  <c r="G246" i="81"/>
  <c r="P246" i="81"/>
  <c r="K246" i="81"/>
  <c r="L246" i="81"/>
  <c r="M246" i="81"/>
  <c r="S246" i="81"/>
  <c r="D246" i="81"/>
  <c r="T246" i="81"/>
  <c r="I246" i="81"/>
  <c r="B246" i="81"/>
  <c r="C246" i="81"/>
  <c r="F246" i="81"/>
  <c r="J246" i="81"/>
  <c r="H246" i="81"/>
  <c r="Y245" i="65" l="1"/>
  <c r="S245" i="65"/>
  <c r="U245" i="65"/>
  <c r="X246" i="63"/>
  <c r="W246" i="65" s="1"/>
  <c r="M246" i="63"/>
  <c r="W246" i="63"/>
  <c r="AB246" i="63"/>
  <c r="B246" i="63"/>
  <c r="B246" i="65" s="1"/>
  <c r="AK246" i="63"/>
  <c r="AM246" i="63"/>
  <c r="AR246" i="63"/>
  <c r="R246" i="63"/>
  <c r="AY246" i="63"/>
  <c r="H246" i="63"/>
  <c r="AC246" i="63"/>
  <c r="AH246" i="63"/>
  <c r="AS246" i="63"/>
  <c r="AX246" i="63"/>
  <c r="I246" i="63"/>
  <c r="AD246" i="63"/>
  <c r="AT246" i="63"/>
  <c r="D246" i="63"/>
  <c r="Y246" i="63"/>
  <c r="O246" i="63"/>
  <c r="E246" i="63"/>
  <c r="AO246" i="63"/>
  <c r="AE246" i="63"/>
  <c r="S246" i="63"/>
  <c r="F246" i="63"/>
  <c r="K246" i="63"/>
  <c r="AV246" i="63"/>
  <c r="U246" i="63"/>
  <c r="O246" i="65" s="1"/>
  <c r="G246" i="63"/>
  <c r="AN246" i="63"/>
  <c r="T246" i="63"/>
  <c r="P246" i="65" s="1"/>
  <c r="J246" i="63"/>
  <c r="Z246" i="63"/>
  <c r="AP246" i="63"/>
  <c r="AI246" i="63"/>
  <c r="AA246" i="63"/>
  <c r="AJ246" i="63"/>
  <c r="AQ246" i="63"/>
  <c r="L246" i="63"/>
  <c r="N246" i="63"/>
  <c r="A247" i="63"/>
  <c r="AU246" i="63"/>
  <c r="P246" i="63"/>
  <c r="AF246" i="63"/>
  <c r="V246" i="63"/>
  <c r="AL246" i="63"/>
  <c r="Q246" i="63"/>
  <c r="R246" i="65" s="1"/>
  <c r="AG246" i="63"/>
  <c r="AW246" i="63"/>
  <c r="C246" i="63"/>
  <c r="X246" i="65" s="1"/>
  <c r="Q247" i="81"/>
  <c r="R247" i="81"/>
  <c r="G247" i="81"/>
  <c r="S247" i="81"/>
  <c r="I247" i="81"/>
  <c r="U247" i="81"/>
  <c r="O247" i="81"/>
  <c r="C247" i="81"/>
  <c r="H247" i="81"/>
  <c r="J247" i="81"/>
  <c r="M247" i="81"/>
  <c r="N247" i="81"/>
  <c r="P247" i="81"/>
  <c r="F247" i="81"/>
  <c r="L247" i="81"/>
  <c r="T247" i="81"/>
  <c r="K247" i="81"/>
  <c r="D247" i="81"/>
  <c r="A248" i="81"/>
  <c r="E247" i="81"/>
  <c r="B247" i="81"/>
  <c r="N245" i="65"/>
  <c r="H245" i="65"/>
  <c r="M245" i="65"/>
  <c r="M246" i="65" l="1"/>
  <c r="Y246" i="65"/>
  <c r="AK247" i="63"/>
  <c r="Z247" i="63"/>
  <c r="AU247" i="63"/>
  <c r="B247" i="63"/>
  <c r="B247" i="65" s="1"/>
  <c r="F247" i="63"/>
  <c r="AP247" i="63"/>
  <c r="P247" i="63"/>
  <c r="V247" i="63"/>
  <c r="K247" i="63"/>
  <c r="AF247" i="63"/>
  <c r="AL247" i="63"/>
  <c r="AA247" i="63"/>
  <c r="AV247" i="63"/>
  <c r="W247" i="63"/>
  <c r="L247" i="63"/>
  <c r="AB247" i="63"/>
  <c r="R247" i="63"/>
  <c r="AM247" i="63"/>
  <c r="AR247" i="63"/>
  <c r="S247" i="63"/>
  <c r="A248" i="63"/>
  <c r="H247" i="63"/>
  <c r="M247" i="63"/>
  <c r="AG247" i="63"/>
  <c r="T247" i="63"/>
  <c r="P247" i="65" s="1"/>
  <c r="I247" i="63"/>
  <c r="AD247" i="63"/>
  <c r="AX247" i="63"/>
  <c r="AN247" i="63"/>
  <c r="C247" i="63"/>
  <c r="X247" i="65" s="1"/>
  <c r="Y247" i="63"/>
  <c r="AO247" i="63"/>
  <c r="J247" i="63"/>
  <c r="AQ247" i="63"/>
  <c r="AC247" i="63"/>
  <c r="AS247" i="63"/>
  <c r="N247" i="63"/>
  <c r="AT247" i="63"/>
  <c r="D247" i="63"/>
  <c r="O247" i="63"/>
  <c r="AJ247" i="63"/>
  <c r="AE247" i="63"/>
  <c r="E247" i="63"/>
  <c r="Q247" i="63"/>
  <c r="R247" i="65" s="1"/>
  <c r="AY247" i="63"/>
  <c r="U247" i="63"/>
  <c r="O247" i="65" s="1"/>
  <c r="G247" i="63"/>
  <c r="X247" i="63"/>
  <c r="W247" i="65" s="1"/>
  <c r="AH247" i="63"/>
  <c r="AI247" i="63"/>
  <c r="AW247" i="63"/>
  <c r="S246" i="65"/>
  <c r="U246" i="65"/>
  <c r="J248" i="81"/>
  <c r="K248" i="81"/>
  <c r="L248" i="81"/>
  <c r="R248" i="81"/>
  <c r="D248" i="81"/>
  <c r="N248" i="81"/>
  <c r="E248" i="81"/>
  <c r="A249" i="81"/>
  <c r="T248" i="81"/>
  <c r="U248" i="81"/>
  <c r="F248" i="81"/>
  <c r="I248" i="81"/>
  <c r="Q248" i="81"/>
  <c r="B248" i="81"/>
  <c r="M248" i="81"/>
  <c r="O248" i="81"/>
  <c r="S248" i="81"/>
  <c r="C248" i="81"/>
  <c r="G248" i="81"/>
  <c r="P248" i="81"/>
  <c r="H248" i="81"/>
  <c r="H246" i="65"/>
  <c r="N246" i="65"/>
  <c r="U247" i="65" l="1"/>
  <c r="R249" i="81"/>
  <c r="A250" i="81"/>
  <c r="C249" i="81"/>
  <c r="S249" i="81"/>
  <c r="U249" i="81"/>
  <c r="I249" i="81"/>
  <c r="K249" i="81"/>
  <c r="F249" i="81"/>
  <c r="G249" i="81"/>
  <c r="H249" i="81"/>
  <c r="J249" i="81"/>
  <c r="L249" i="81"/>
  <c r="M249" i="81"/>
  <c r="O249" i="81"/>
  <c r="E249" i="81"/>
  <c r="B249" i="81"/>
  <c r="D249" i="81"/>
  <c r="N249" i="81"/>
  <c r="Q249" i="81"/>
  <c r="P249" i="81"/>
  <c r="T249" i="81"/>
  <c r="Y247" i="65"/>
  <c r="H247" i="65"/>
  <c r="M247" i="65"/>
  <c r="AH248" i="63"/>
  <c r="V248" i="63"/>
  <c r="AA248" i="63"/>
  <c r="AX248" i="63"/>
  <c r="AL248" i="63"/>
  <c r="AQ248" i="63"/>
  <c r="AE248" i="63"/>
  <c r="C248" i="63"/>
  <c r="X248" i="65" s="1"/>
  <c r="G248" i="63"/>
  <c r="L248" i="63"/>
  <c r="AF248" i="63"/>
  <c r="W248" i="63"/>
  <c r="AB248" i="63"/>
  <c r="AG248" i="63"/>
  <c r="AI248" i="63"/>
  <c r="H248" i="63"/>
  <c r="M248" i="63"/>
  <c r="AY248" i="63"/>
  <c r="X248" i="63"/>
  <c r="W248" i="65" s="1"/>
  <c r="AC248" i="63"/>
  <c r="D248" i="63"/>
  <c r="AS248" i="63"/>
  <c r="T248" i="63"/>
  <c r="P248" i="65" s="1"/>
  <c r="AN248" i="63"/>
  <c r="N248" i="63"/>
  <c r="A249" i="63"/>
  <c r="U248" i="63"/>
  <c r="O248" i="65" s="1"/>
  <c r="J248" i="63"/>
  <c r="AW248" i="63"/>
  <c r="S248" i="63"/>
  <c r="AT248" i="63"/>
  <c r="AV248" i="63"/>
  <c r="AJ248" i="63"/>
  <c r="O248" i="63"/>
  <c r="E248" i="63"/>
  <c r="P248" i="63"/>
  <c r="Q248" i="63"/>
  <c r="R248" i="65" s="1"/>
  <c r="AK248" i="63"/>
  <c r="AU248" i="63"/>
  <c r="F248" i="63"/>
  <c r="AM248" i="63"/>
  <c r="I248" i="63"/>
  <c r="Y248" i="63"/>
  <c r="AO248" i="63"/>
  <c r="Z248" i="63"/>
  <c r="B248" i="63"/>
  <c r="B248" i="65" s="1"/>
  <c r="R248" i="63"/>
  <c r="AP248" i="63"/>
  <c r="K248" i="63"/>
  <c r="AR248" i="63"/>
  <c r="AD248" i="63"/>
  <c r="N247" i="65"/>
  <c r="S247" i="65"/>
  <c r="Y248" i="65" l="1"/>
  <c r="S248" i="65"/>
  <c r="M248" i="65"/>
  <c r="H248" i="65"/>
  <c r="N248" i="65"/>
  <c r="U248" i="65"/>
  <c r="J250" i="81"/>
  <c r="K250" i="81"/>
  <c r="F250" i="81"/>
  <c r="L250" i="81"/>
  <c r="G250" i="81"/>
  <c r="N250" i="81"/>
  <c r="I250" i="81"/>
  <c r="C250" i="81"/>
  <c r="D250" i="81"/>
  <c r="P250" i="81"/>
  <c r="U250" i="81"/>
  <c r="E250" i="81"/>
  <c r="A251" i="81"/>
  <c r="M250" i="81"/>
  <c r="O250" i="81"/>
  <c r="Q250" i="81"/>
  <c r="T250" i="81"/>
  <c r="B250" i="81"/>
  <c r="R250" i="81"/>
  <c r="S250" i="81"/>
  <c r="H250" i="81"/>
  <c r="AY249" i="63"/>
  <c r="O249" i="63"/>
  <c r="P249" i="63"/>
  <c r="D249" i="63"/>
  <c r="AN249" i="63"/>
  <c r="AC249" i="63"/>
  <c r="AF249" i="63"/>
  <c r="T249" i="63"/>
  <c r="P249" i="65" s="1"/>
  <c r="I249" i="63"/>
  <c r="AD249" i="63"/>
  <c r="AV249" i="63"/>
  <c r="Y249" i="63"/>
  <c r="AE249" i="63"/>
  <c r="AG249" i="63"/>
  <c r="E249" i="63"/>
  <c r="J249" i="63"/>
  <c r="AT249" i="63"/>
  <c r="AW249" i="63"/>
  <c r="U249" i="63"/>
  <c r="O249" i="65" s="1"/>
  <c r="Z249" i="63"/>
  <c r="AU249" i="63"/>
  <c r="B249" i="63"/>
  <c r="B249" i="65" s="1"/>
  <c r="AK249" i="63"/>
  <c r="AP249" i="63"/>
  <c r="F249" i="63"/>
  <c r="K249" i="63"/>
  <c r="C249" i="63"/>
  <c r="X249" i="65" s="1"/>
  <c r="W249" i="63"/>
  <c r="AB249" i="63"/>
  <c r="N249" i="63"/>
  <c r="S249" i="63"/>
  <c r="AS249" i="63"/>
  <c r="AI249" i="63"/>
  <c r="AJ249" i="63"/>
  <c r="V249" i="63"/>
  <c r="AL249" i="63"/>
  <c r="G249" i="63"/>
  <c r="A250" i="63"/>
  <c r="AM249" i="63"/>
  <c r="H249" i="63"/>
  <c r="X249" i="63"/>
  <c r="W249" i="65" s="1"/>
  <c r="AO249" i="63"/>
  <c r="AA249" i="63"/>
  <c r="M249" i="63"/>
  <c r="Q249" i="63"/>
  <c r="R249" i="65" s="1"/>
  <c r="R249" i="63"/>
  <c r="AH249" i="63"/>
  <c r="AX249" i="63"/>
  <c r="AQ249" i="63"/>
  <c r="L249" i="63"/>
  <c r="AR249" i="63"/>
  <c r="S249" i="65" l="1"/>
  <c r="M249" i="65"/>
  <c r="N249" i="65"/>
  <c r="U249" i="65"/>
  <c r="Y249" i="65"/>
  <c r="H249" i="65"/>
  <c r="D251" i="81"/>
  <c r="E251" i="81"/>
  <c r="F251" i="81"/>
  <c r="L251" i="81"/>
  <c r="K251" i="81"/>
  <c r="U251" i="81"/>
  <c r="N251" i="81"/>
  <c r="S251" i="81"/>
  <c r="T251" i="81"/>
  <c r="A252" i="81"/>
  <c r="G251" i="81"/>
  <c r="H251" i="81"/>
  <c r="O251" i="81"/>
  <c r="P251" i="81"/>
  <c r="B251" i="81"/>
  <c r="R251" i="81"/>
  <c r="M251" i="81"/>
  <c r="C251" i="81"/>
  <c r="J251" i="81"/>
  <c r="I251" i="81"/>
  <c r="Q251" i="81"/>
  <c r="R250" i="63"/>
  <c r="AL250" i="63"/>
  <c r="AS250" i="63"/>
  <c r="N250" i="63"/>
  <c r="AH250" i="63"/>
  <c r="G250" i="63"/>
  <c r="K250" i="63"/>
  <c r="AD250" i="63"/>
  <c r="AX250" i="63"/>
  <c r="W250" i="63"/>
  <c r="L250" i="63"/>
  <c r="AT250" i="63"/>
  <c r="C250" i="63"/>
  <c r="X250" i="65" s="1"/>
  <c r="AM250" i="63"/>
  <c r="M250" i="63"/>
  <c r="AE250" i="63"/>
  <c r="AI250" i="63"/>
  <c r="X250" i="63"/>
  <c r="W250" i="65" s="1"/>
  <c r="AB250" i="63"/>
  <c r="AU250" i="63"/>
  <c r="AY250" i="63"/>
  <c r="AN250" i="63"/>
  <c r="P250" i="63"/>
  <c r="D250" i="63"/>
  <c r="I250" i="63"/>
  <c r="AF250" i="63"/>
  <c r="T250" i="63"/>
  <c r="P250" i="65" s="1"/>
  <c r="Y250" i="63"/>
  <c r="AG250" i="63"/>
  <c r="AP250" i="63"/>
  <c r="AJ250" i="63"/>
  <c r="E250" i="63"/>
  <c r="U250" i="63"/>
  <c r="O250" i="65" s="1"/>
  <c r="AK250" i="63"/>
  <c r="A251" i="63"/>
  <c r="F250" i="63"/>
  <c r="V250" i="63"/>
  <c r="H250" i="63"/>
  <c r="AO250" i="63"/>
  <c r="O250" i="63"/>
  <c r="J250" i="63"/>
  <c r="AV250" i="63"/>
  <c r="Z250" i="63"/>
  <c r="Q250" i="63"/>
  <c r="R250" i="65" s="1"/>
  <c r="AC250" i="63"/>
  <c r="AQ250" i="63"/>
  <c r="AW250" i="63"/>
  <c r="B250" i="63"/>
  <c r="B250" i="65" s="1"/>
  <c r="S250" i="63"/>
  <c r="AR250" i="63"/>
  <c r="AA250" i="63"/>
  <c r="N250" i="65" l="1"/>
  <c r="H250" i="65"/>
  <c r="U250" i="65"/>
  <c r="S250" i="65"/>
  <c r="U252" i="81"/>
  <c r="G252" i="81"/>
  <c r="I252" i="81"/>
  <c r="K252" i="81"/>
  <c r="O252" i="81"/>
  <c r="C252" i="81"/>
  <c r="Q252" i="81"/>
  <c r="A253" i="81"/>
  <c r="D252" i="81"/>
  <c r="T252" i="81"/>
  <c r="E252" i="81"/>
  <c r="H252" i="81"/>
  <c r="M252" i="81"/>
  <c r="N252" i="81"/>
  <c r="B252" i="81"/>
  <c r="P252" i="81"/>
  <c r="R252" i="81"/>
  <c r="F252" i="81"/>
  <c r="L252" i="81"/>
  <c r="J252" i="81"/>
  <c r="S252" i="81"/>
  <c r="Y250" i="65"/>
  <c r="L251" i="63"/>
  <c r="Z251" i="63"/>
  <c r="AB251" i="63"/>
  <c r="AG251" i="63"/>
  <c r="AK251" i="63"/>
  <c r="AA251" i="63"/>
  <c r="AR251" i="63"/>
  <c r="AW251" i="63"/>
  <c r="F251" i="63"/>
  <c r="AO251" i="63"/>
  <c r="M251" i="63"/>
  <c r="B251" i="63"/>
  <c r="B251" i="65" s="1"/>
  <c r="V251" i="63"/>
  <c r="AP251" i="63"/>
  <c r="AS251" i="63"/>
  <c r="AH251" i="63"/>
  <c r="G251" i="63"/>
  <c r="AX251" i="63"/>
  <c r="N251" i="63"/>
  <c r="C251" i="63"/>
  <c r="X251" i="65" s="1"/>
  <c r="W251" i="63"/>
  <c r="AD251" i="63"/>
  <c r="S251" i="63"/>
  <c r="AM251" i="63"/>
  <c r="AT251" i="63"/>
  <c r="AI251" i="63"/>
  <c r="H251" i="63"/>
  <c r="P251" i="63"/>
  <c r="E251" i="63"/>
  <c r="U251" i="63"/>
  <c r="O251" i="65" s="1"/>
  <c r="AL251" i="63"/>
  <c r="X251" i="63"/>
  <c r="W251" i="65" s="1"/>
  <c r="AC251" i="63"/>
  <c r="AN251" i="63"/>
  <c r="O251" i="63"/>
  <c r="I251" i="63"/>
  <c r="AE251" i="63"/>
  <c r="J251" i="63"/>
  <c r="AU251" i="63"/>
  <c r="K251" i="63"/>
  <c r="AF251" i="63"/>
  <c r="Y251" i="63"/>
  <c r="AV251" i="63"/>
  <c r="AQ251" i="63"/>
  <c r="Q251" i="63"/>
  <c r="R251" i="65" s="1"/>
  <c r="R251" i="63"/>
  <c r="AY251" i="63"/>
  <c r="D251" i="63"/>
  <c r="T251" i="63"/>
  <c r="P251" i="65" s="1"/>
  <c r="AJ251" i="63"/>
  <c r="A252" i="63"/>
  <c r="M250" i="65"/>
  <c r="N251" i="65" l="1"/>
  <c r="O253" i="81"/>
  <c r="L253" i="81"/>
  <c r="P253" i="81"/>
  <c r="K253" i="81"/>
  <c r="Q253" i="81"/>
  <c r="M253" i="81"/>
  <c r="S253" i="81"/>
  <c r="A254" i="81"/>
  <c r="H253" i="81"/>
  <c r="B253" i="81"/>
  <c r="C253" i="81"/>
  <c r="E253" i="81"/>
  <c r="F253" i="81"/>
  <c r="G253" i="81"/>
  <c r="T253" i="81"/>
  <c r="J253" i="81"/>
  <c r="R253" i="81"/>
  <c r="N253" i="81"/>
  <c r="D253" i="81"/>
  <c r="I253" i="81"/>
  <c r="U253" i="81"/>
  <c r="J252" i="63"/>
  <c r="AE252" i="63"/>
  <c r="V252" i="63"/>
  <c r="G252" i="63"/>
  <c r="Z252" i="63"/>
  <c r="AU252" i="63"/>
  <c r="AL252" i="63"/>
  <c r="H252" i="63"/>
  <c r="AP252" i="63"/>
  <c r="Q252" i="63"/>
  <c r="R252" i="65" s="1"/>
  <c r="I252" i="63"/>
  <c r="AV252" i="63"/>
  <c r="K252" i="63"/>
  <c r="AG252" i="63"/>
  <c r="P252" i="63"/>
  <c r="AX252" i="63"/>
  <c r="AQ252" i="63"/>
  <c r="B252" i="63"/>
  <c r="B252" i="65" s="1"/>
  <c r="T252" i="63"/>
  <c r="P252" i="65" s="1"/>
  <c r="L252" i="63"/>
  <c r="C252" i="63"/>
  <c r="X252" i="65" s="1"/>
  <c r="W252" i="63"/>
  <c r="AB252" i="63"/>
  <c r="S252" i="63"/>
  <c r="X252" i="63"/>
  <c r="W252" i="65" s="1"/>
  <c r="AR252" i="63"/>
  <c r="AI252" i="63"/>
  <c r="N252" i="63"/>
  <c r="U252" i="63"/>
  <c r="O252" i="65" s="1"/>
  <c r="AJ252" i="63"/>
  <c r="A253" i="63"/>
  <c r="AA252" i="63"/>
  <c r="AF252" i="63"/>
  <c r="M252" i="63"/>
  <c r="AH252" i="63"/>
  <c r="AC252" i="63"/>
  <c r="AM252" i="63"/>
  <c r="AS252" i="63"/>
  <c r="AN252" i="63"/>
  <c r="AD252" i="63"/>
  <c r="AO252" i="63"/>
  <c r="AT252" i="63"/>
  <c r="O252" i="63"/>
  <c r="AW252" i="63"/>
  <c r="AY252" i="63"/>
  <c r="D252" i="63"/>
  <c r="E252" i="63"/>
  <c r="AK252" i="63"/>
  <c r="F252" i="63"/>
  <c r="R252" i="63"/>
  <c r="Y252" i="63"/>
  <c r="U251" i="65"/>
  <c r="H251" i="65"/>
  <c r="Y251" i="65"/>
  <c r="S251" i="65"/>
  <c r="M251" i="65"/>
  <c r="N252" i="65" l="1"/>
  <c r="M252" i="65"/>
  <c r="U252" i="65"/>
  <c r="Y252" i="65"/>
  <c r="E254" i="81"/>
  <c r="F254" i="81"/>
  <c r="G254" i="81"/>
  <c r="I254" i="81"/>
  <c r="Q254" i="81"/>
  <c r="A255" i="81"/>
  <c r="R254" i="81"/>
  <c r="B254" i="81"/>
  <c r="C254" i="81"/>
  <c r="S254" i="81"/>
  <c r="T254" i="81"/>
  <c r="H254" i="81"/>
  <c r="J254" i="81"/>
  <c r="U254" i="81"/>
  <c r="O254" i="81"/>
  <c r="K254" i="81"/>
  <c r="D254" i="81"/>
  <c r="N254" i="81"/>
  <c r="P254" i="81"/>
  <c r="L254" i="81"/>
  <c r="M254" i="81"/>
  <c r="S252" i="65"/>
  <c r="X253" i="63"/>
  <c r="W253" i="65" s="1"/>
  <c r="AS253" i="63"/>
  <c r="E253" i="63"/>
  <c r="B253" i="63"/>
  <c r="B253" i="65" s="1"/>
  <c r="AN253" i="63"/>
  <c r="O253" i="63"/>
  <c r="AV253" i="63"/>
  <c r="I253" i="63"/>
  <c r="AE253" i="63"/>
  <c r="F253" i="63"/>
  <c r="AT253" i="63"/>
  <c r="Y253" i="63"/>
  <c r="AU253" i="63"/>
  <c r="AX253" i="63"/>
  <c r="AL253" i="63"/>
  <c r="J253" i="63"/>
  <c r="AG253" i="63"/>
  <c r="N253" i="63"/>
  <c r="Z253" i="63"/>
  <c r="AW253" i="63"/>
  <c r="P253" i="63"/>
  <c r="AP253" i="63"/>
  <c r="C253" i="63"/>
  <c r="X253" i="65" s="1"/>
  <c r="R253" i="63"/>
  <c r="K253" i="63"/>
  <c r="U253" i="63"/>
  <c r="O253" i="65" s="1"/>
  <c r="AB253" i="63"/>
  <c r="D253" i="63"/>
  <c r="AD253" i="63"/>
  <c r="A254" i="63"/>
  <c r="AR253" i="63"/>
  <c r="AK253" i="63"/>
  <c r="M253" i="63"/>
  <c r="AM253" i="63"/>
  <c r="AC253" i="63"/>
  <c r="Q253" i="63"/>
  <c r="R253" i="65" s="1"/>
  <c r="S253" i="63"/>
  <c r="AI253" i="63"/>
  <c r="AY253" i="63"/>
  <c r="T253" i="63"/>
  <c r="P253" i="65" s="1"/>
  <c r="AJ253" i="63"/>
  <c r="G253" i="63"/>
  <c r="H253" i="63"/>
  <c r="AO253" i="63"/>
  <c r="AA253" i="63"/>
  <c r="AQ253" i="63"/>
  <c r="L253" i="63"/>
  <c r="V253" i="63"/>
  <c r="W253" i="63"/>
  <c r="AF253" i="63"/>
  <c r="AH253" i="63"/>
  <c r="H252" i="65"/>
  <c r="Y253" i="65" l="1"/>
  <c r="S253" i="65"/>
  <c r="N253" i="65"/>
  <c r="O255" i="81"/>
  <c r="P255" i="81"/>
  <c r="L255" i="81"/>
  <c r="R255" i="81"/>
  <c r="J255" i="81"/>
  <c r="H255" i="81"/>
  <c r="D255" i="81"/>
  <c r="S255" i="81"/>
  <c r="T255" i="81"/>
  <c r="U255" i="81"/>
  <c r="C255" i="81"/>
  <c r="E255" i="81"/>
  <c r="F255" i="81"/>
  <c r="G255" i="81"/>
  <c r="I255" i="81"/>
  <c r="Q255" i="81"/>
  <c r="A256" i="81"/>
  <c r="B255" i="81"/>
  <c r="M255" i="81"/>
  <c r="N255" i="81"/>
  <c r="K255" i="81"/>
  <c r="U253" i="65"/>
  <c r="G254" i="63"/>
  <c r="M254" i="63"/>
  <c r="AR254" i="63"/>
  <c r="AD254" i="63"/>
  <c r="W254" i="63"/>
  <c r="AC254" i="63"/>
  <c r="C254" i="63"/>
  <c r="X254" i="65" s="1"/>
  <c r="AF254" i="63"/>
  <c r="AM254" i="63"/>
  <c r="AS254" i="63"/>
  <c r="AT254" i="63"/>
  <c r="AI254" i="63"/>
  <c r="H254" i="63"/>
  <c r="O254" i="63"/>
  <c r="D254" i="63"/>
  <c r="AJ254" i="63"/>
  <c r="AU254" i="63"/>
  <c r="E254" i="63"/>
  <c r="AN254" i="63"/>
  <c r="Q254" i="63"/>
  <c r="R254" i="65" s="1"/>
  <c r="AY254" i="63"/>
  <c r="I254" i="63"/>
  <c r="Y254" i="63"/>
  <c r="AG254" i="63"/>
  <c r="N254" i="63"/>
  <c r="AP254" i="63"/>
  <c r="R254" i="63"/>
  <c r="AW254" i="63"/>
  <c r="B254" i="63"/>
  <c r="B254" i="65" s="1"/>
  <c r="A255" i="63"/>
  <c r="AH254" i="63"/>
  <c r="AX254" i="63"/>
  <c r="F254" i="63"/>
  <c r="AK254" i="63"/>
  <c r="V254" i="63"/>
  <c r="AV254" i="63"/>
  <c r="AL254" i="63"/>
  <c r="L254" i="63"/>
  <c r="X254" i="63"/>
  <c r="W254" i="65" s="1"/>
  <c r="P254" i="63"/>
  <c r="AO254" i="63"/>
  <c r="S254" i="63"/>
  <c r="J254" i="63"/>
  <c r="T254" i="63"/>
  <c r="P254" i="65" s="1"/>
  <c r="Z254" i="63"/>
  <c r="U254" i="63"/>
  <c r="O254" i="65" s="1"/>
  <c r="AE254" i="63"/>
  <c r="AB254" i="63"/>
  <c r="K254" i="63"/>
  <c r="AA254" i="63"/>
  <c r="AQ254" i="63"/>
  <c r="H253" i="65"/>
  <c r="M253" i="65"/>
  <c r="Y254" i="65" l="1"/>
  <c r="S254" i="65"/>
  <c r="U254" i="65"/>
  <c r="H254" i="65"/>
  <c r="U255" i="63"/>
  <c r="O255" i="65" s="1"/>
  <c r="AC255" i="63"/>
  <c r="L255" i="63"/>
  <c r="AR255" i="63"/>
  <c r="F255" i="63"/>
  <c r="AV255" i="63"/>
  <c r="AK255" i="63"/>
  <c r="V255" i="63"/>
  <c r="AD255" i="63"/>
  <c r="N255" i="63"/>
  <c r="G255" i="63"/>
  <c r="AW255" i="63"/>
  <c r="AL255" i="63"/>
  <c r="AM255" i="63"/>
  <c r="AX255" i="63"/>
  <c r="AN255" i="63"/>
  <c r="H255" i="63"/>
  <c r="AF255" i="63"/>
  <c r="R255" i="63"/>
  <c r="Y255" i="63"/>
  <c r="B255" i="63"/>
  <c r="B255" i="65" s="1"/>
  <c r="S255" i="63"/>
  <c r="D255" i="63"/>
  <c r="O255" i="63"/>
  <c r="Z255" i="63"/>
  <c r="AG255" i="63"/>
  <c r="A256" i="63"/>
  <c r="C255" i="63"/>
  <c r="X255" i="65" s="1"/>
  <c r="T255" i="63"/>
  <c r="P255" i="65" s="1"/>
  <c r="AH255" i="63"/>
  <c r="AJ255" i="63"/>
  <c r="J255" i="63"/>
  <c r="E255" i="63"/>
  <c r="AI255" i="63"/>
  <c r="W255" i="63"/>
  <c r="Q255" i="63"/>
  <c r="R255" i="65" s="1"/>
  <c r="I255" i="63"/>
  <c r="AP255" i="63"/>
  <c r="AO255" i="63"/>
  <c r="AQ255" i="63"/>
  <c r="K255" i="63"/>
  <c r="X255" i="63"/>
  <c r="W255" i="65" s="1"/>
  <c r="M255" i="63"/>
  <c r="P255" i="63"/>
  <c r="AA255" i="63"/>
  <c r="AB255" i="63"/>
  <c r="AU255" i="63"/>
  <c r="AE255" i="63"/>
  <c r="AY255" i="63"/>
  <c r="AS255" i="63"/>
  <c r="AT255" i="63"/>
  <c r="M254" i="65"/>
  <c r="S256" i="81"/>
  <c r="P256" i="81"/>
  <c r="D256" i="81"/>
  <c r="Q256" i="81"/>
  <c r="T256" i="81"/>
  <c r="R256" i="81"/>
  <c r="U256" i="81"/>
  <c r="L256" i="81"/>
  <c r="F256" i="81"/>
  <c r="M256" i="81"/>
  <c r="N256" i="81"/>
  <c r="O256" i="81"/>
  <c r="E256" i="81"/>
  <c r="G256" i="81"/>
  <c r="I256" i="81"/>
  <c r="H256" i="81"/>
  <c r="C256" i="81"/>
  <c r="J256" i="81"/>
  <c r="B256" i="81"/>
  <c r="A257" i="81"/>
  <c r="K256" i="81"/>
  <c r="N254" i="65"/>
  <c r="Y255" i="65" l="1"/>
  <c r="S255" i="65"/>
  <c r="E256" i="63"/>
  <c r="V256" i="63"/>
  <c r="AU256" i="63"/>
  <c r="U256" i="63"/>
  <c r="O256" i="65" s="1"/>
  <c r="AP256" i="63"/>
  <c r="J256" i="63"/>
  <c r="AK256" i="63"/>
  <c r="C256" i="63"/>
  <c r="X256" i="65" s="1"/>
  <c r="AC256" i="63"/>
  <c r="G256" i="63"/>
  <c r="X256" i="63"/>
  <c r="W256" i="65" s="1"/>
  <c r="AV256" i="63"/>
  <c r="AM256" i="63"/>
  <c r="P256" i="63"/>
  <c r="Y256" i="63"/>
  <c r="AW256" i="63"/>
  <c r="Q256" i="63"/>
  <c r="R256" i="65" s="1"/>
  <c r="F256" i="63"/>
  <c r="AE256" i="63"/>
  <c r="AN256" i="63"/>
  <c r="AA256" i="63"/>
  <c r="O256" i="63"/>
  <c r="AR256" i="63"/>
  <c r="Z256" i="63"/>
  <c r="B256" i="63"/>
  <c r="B256" i="65" s="1"/>
  <c r="AS256" i="63"/>
  <c r="R256" i="63"/>
  <c r="H256" i="63"/>
  <c r="A257" i="63"/>
  <c r="AH256" i="63"/>
  <c r="AT256" i="63"/>
  <c r="AX256" i="63"/>
  <c r="I256" i="63"/>
  <c r="W256" i="63"/>
  <c r="AB256" i="63"/>
  <c r="AJ256" i="63"/>
  <c r="K256" i="63"/>
  <c r="AD256" i="63"/>
  <c r="AL256" i="63"/>
  <c r="L256" i="63"/>
  <c r="S256" i="63"/>
  <c r="AY256" i="63"/>
  <c r="T256" i="63"/>
  <c r="P256" i="65" s="1"/>
  <c r="M256" i="63"/>
  <c r="D256" i="63"/>
  <c r="N256" i="63"/>
  <c r="AF256" i="63"/>
  <c r="AG256" i="63"/>
  <c r="AI256" i="63"/>
  <c r="AO256" i="63"/>
  <c r="AQ256" i="63"/>
  <c r="H255" i="65"/>
  <c r="U255" i="65"/>
  <c r="J257" i="81"/>
  <c r="K257" i="81"/>
  <c r="L257" i="81"/>
  <c r="O257" i="81"/>
  <c r="N257" i="81"/>
  <c r="E257" i="81"/>
  <c r="F257" i="81"/>
  <c r="B257" i="81"/>
  <c r="A258" i="81"/>
  <c r="P257" i="81"/>
  <c r="Q257" i="81"/>
  <c r="C257" i="81"/>
  <c r="G257" i="81"/>
  <c r="D257" i="81"/>
  <c r="H257" i="81"/>
  <c r="T257" i="81"/>
  <c r="S257" i="81"/>
  <c r="M257" i="81"/>
  <c r="R257" i="81"/>
  <c r="U257" i="81"/>
  <c r="I257" i="81"/>
  <c r="N255" i="65"/>
  <c r="M255" i="65"/>
  <c r="H256" i="65" l="1"/>
  <c r="M256" i="65"/>
  <c r="S256" i="65"/>
  <c r="AY257" i="63"/>
  <c r="E257" i="63"/>
  <c r="K257" i="63"/>
  <c r="AN257" i="63"/>
  <c r="AX257" i="63"/>
  <c r="AO257" i="63"/>
  <c r="Z257" i="63"/>
  <c r="M257" i="63"/>
  <c r="W257" i="63"/>
  <c r="H257" i="63"/>
  <c r="N257" i="63"/>
  <c r="AV257" i="63"/>
  <c r="AB257" i="63"/>
  <c r="Q257" i="63"/>
  <c r="R257" i="65" s="1"/>
  <c r="B257" i="63"/>
  <c r="B257" i="65" s="1"/>
  <c r="AU257" i="63"/>
  <c r="D257" i="63"/>
  <c r="J257" i="63"/>
  <c r="F257" i="63"/>
  <c r="AC257" i="63"/>
  <c r="X257" i="63"/>
  <c r="W257" i="65" s="1"/>
  <c r="AW257" i="63"/>
  <c r="Y257" i="63"/>
  <c r="P257" i="63"/>
  <c r="AD257" i="63"/>
  <c r="AP257" i="63"/>
  <c r="AF257" i="63"/>
  <c r="L257" i="63"/>
  <c r="AR257" i="63"/>
  <c r="C257" i="63"/>
  <c r="X257" i="65" s="1"/>
  <c r="AE257" i="63"/>
  <c r="AQ257" i="63"/>
  <c r="S257" i="63"/>
  <c r="AG257" i="63"/>
  <c r="AI257" i="63"/>
  <c r="AH257" i="63"/>
  <c r="U257" i="63"/>
  <c r="O257" i="65" s="1"/>
  <c r="O257" i="63"/>
  <c r="AK257" i="63"/>
  <c r="AJ257" i="63"/>
  <c r="G257" i="63"/>
  <c r="AL257" i="63"/>
  <c r="AS257" i="63"/>
  <c r="AA257" i="63"/>
  <c r="AT257" i="63"/>
  <c r="I257" i="63"/>
  <c r="R257" i="63"/>
  <c r="AM257" i="63"/>
  <c r="T257" i="63"/>
  <c r="P257" i="65" s="1"/>
  <c r="V257" i="63"/>
  <c r="A258" i="63"/>
  <c r="U256" i="65"/>
  <c r="N256" i="65"/>
  <c r="S258" i="81"/>
  <c r="J258" i="81"/>
  <c r="N258" i="81"/>
  <c r="P258" i="81"/>
  <c r="K258" i="81"/>
  <c r="E258" i="81"/>
  <c r="M258" i="81"/>
  <c r="G258" i="81"/>
  <c r="L258" i="81"/>
  <c r="B258" i="81"/>
  <c r="R258" i="81"/>
  <c r="C258" i="81"/>
  <c r="U258" i="81"/>
  <c r="D258" i="81"/>
  <c r="I258" i="81"/>
  <c r="A259" i="81"/>
  <c r="Q258" i="81"/>
  <c r="H258" i="81"/>
  <c r="F258" i="81"/>
  <c r="O258" i="81"/>
  <c r="T258" i="81"/>
  <c r="Y256" i="65"/>
  <c r="N257" i="65" l="1"/>
  <c r="U257" i="65"/>
  <c r="S257" i="65"/>
  <c r="M257" i="65"/>
  <c r="Y257" i="65"/>
  <c r="I259" i="81"/>
  <c r="L259" i="81"/>
  <c r="M259" i="81"/>
  <c r="P259" i="81"/>
  <c r="N259" i="81"/>
  <c r="A260" i="81"/>
  <c r="R259" i="81"/>
  <c r="C259" i="81"/>
  <c r="E259" i="81"/>
  <c r="H259" i="81"/>
  <c r="O259" i="81"/>
  <c r="S259" i="81"/>
  <c r="U259" i="81"/>
  <c r="B259" i="81"/>
  <c r="D259" i="81"/>
  <c r="K259" i="81"/>
  <c r="J259" i="81"/>
  <c r="G259" i="81"/>
  <c r="T259" i="81"/>
  <c r="F259" i="81"/>
  <c r="Q259" i="81"/>
  <c r="S258" i="63"/>
  <c r="V258" i="63"/>
  <c r="AA258" i="63"/>
  <c r="P258" i="63"/>
  <c r="E258" i="63"/>
  <c r="J258" i="63"/>
  <c r="R258" i="63"/>
  <c r="AX258" i="63"/>
  <c r="A259" i="63"/>
  <c r="Q258" i="63"/>
  <c r="R258" i="65" s="1"/>
  <c r="AM258" i="63"/>
  <c r="AR258" i="63"/>
  <c r="AE258" i="63"/>
  <c r="AT258" i="63"/>
  <c r="AV258" i="63"/>
  <c r="AO258" i="63"/>
  <c r="AC258" i="63"/>
  <c r="AG258" i="63"/>
  <c r="D258" i="63"/>
  <c r="K258" i="63"/>
  <c r="AW258" i="63"/>
  <c r="W258" i="63"/>
  <c r="L258" i="63"/>
  <c r="C258" i="63"/>
  <c r="X258" i="65" s="1"/>
  <c r="AP258" i="63"/>
  <c r="M258" i="63"/>
  <c r="AI258" i="63"/>
  <c r="X258" i="63"/>
  <c r="W258" i="65" s="1"/>
  <c r="AF258" i="63"/>
  <c r="AY258" i="63"/>
  <c r="AQ258" i="63"/>
  <c r="AH258" i="63"/>
  <c r="O258" i="63"/>
  <c r="F258" i="63"/>
  <c r="AJ258" i="63"/>
  <c r="Y258" i="63"/>
  <c r="AK258" i="63"/>
  <c r="G258" i="63"/>
  <c r="Z258" i="63"/>
  <c r="AL258" i="63"/>
  <c r="AS258" i="63"/>
  <c r="AD258" i="63"/>
  <c r="T258" i="63"/>
  <c r="P258" i="65" s="1"/>
  <c r="U258" i="63"/>
  <c r="O258" i="65" s="1"/>
  <c r="AN258" i="63"/>
  <c r="B258" i="63"/>
  <c r="B258" i="65" s="1"/>
  <c r="H258" i="63"/>
  <c r="AU258" i="63"/>
  <c r="I258" i="63"/>
  <c r="AB258" i="63"/>
  <c r="N258" i="63"/>
  <c r="H257" i="65"/>
  <c r="U258" i="65" l="1"/>
  <c r="N258" i="65"/>
  <c r="S258" i="65"/>
  <c r="Y258" i="65"/>
  <c r="L260" i="81"/>
  <c r="M260" i="81"/>
  <c r="N260" i="81"/>
  <c r="S260" i="81"/>
  <c r="P260" i="81"/>
  <c r="I260" i="81"/>
  <c r="K260" i="81"/>
  <c r="J260" i="81"/>
  <c r="B260" i="81"/>
  <c r="F260" i="81"/>
  <c r="H260" i="81"/>
  <c r="O260" i="81"/>
  <c r="Q260" i="81"/>
  <c r="C260" i="81"/>
  <c r="U260" i="81"/>
  <c r="D260" i="81"/>
  <c r="T260" i="81"/>
  <c r="E260" i="81"/>
  <c r="A261" i="81"/>
  <c r="G260" i="81"/>
  <c r="R260" i="81"/>
  <c r="H258" i="65"/>
  <c r="M258" i="65"/>
  <c r="I259" i="63"/>
  <c r="AY259" i="63"/>
  <c r="D259" i="63"/>
  <c r="A260" i="63"/>
  <c r="F259" i="63"/>
  <c r="AF259" i="63"/>
  <c r="AR259" i="63"/>
  <c r="Z259" i="63"/>
  <c r="AI259" i="63"/>
  <c r="AO259" i="63"/>
  <c r="AB259" i="63"/>
  <c r="AV259" i="63"/>
  <c r="O259" i="63"/>
  <c r="AC259" i="63"/>
  <c r="AM259" i="63"/>
  <c r="AE259" i="63"/>
  <c r="AX259" i="63"/>
  <c r="U259" i="63"/>
  <c r="O259" i="65" s="1"/>
  <c r="AU259" i="63"/>
  <c r="J259" i="63"/>
  <c r="N259" i="65" s="1"/>
  <c r="V259" i="63"/>
  <c r="Q259" i="63"/>
  <c r="R259" i="65" s="1"/>
  <c r="AD259" i="63"/>
  <c r="W259" i="63"/>
  <c r="AG259" i="63"/>
  <c r="K259" i="63"/>
  <c r="AN259" i="63"/>
  <c r="AW259" i="63"/>
  <c r="M259" i="63"/>
  <c r="C259" i="63"/>
  <c r="X259" i="65" s="1"/>
  <c r="E259" i="63"/>
  <c r="AH259" i="63"/>
  <c r="X259" i="63"/>
  <c r="W259" i="65" s="1"/>
  <c r="N259" i="63"/>
  <c r="B259" i="63"/>
  <c r="B259" i="65" s="1"/>
  <c r="AQ259" i="63"/>
  <c r="Y259" i="63"/>
  <c r="AJ259" i="63"/>
  <c r="AP259" i="63"/>
  <c r="AS259" i="63"/>
  <c r="R259" i="63"/>
  <c r="AA259" i="63"/>
  <c r="P259" i="63"/>
  <c r="AK259" i="63"/>
  <c r="S259" i="63"/>
  <c r="AL259" i="63"/>
  <c r="T259" i="63"/>
  <c r="P259" i="65" s="1"/>
  <c r="L259" i="63"/>
  <c r="G259" i="63"/>
  <c r="AT259" i="63"/>
  <c r="H259" i="63"/>
  <c r="M259" i="65" l="1"/>
  <c r="Y259" i="65"/>
  <c r="U259" i="65"/>
  <c r="H259" i="65"/>
  <c r="D260" i="63"/>
  <c r="I260" i="63"/>
  <c r="J260" i="63"/>
  <c r="R260" i="63"/>
  <c r="AQ260" i="63"/>
  <c r="L260" i="63"/>
  <c r="AC260" i="63"/>
  <c r="T260" i="63"/>
  <c r="P260" i="65" s="1"/>
  <c r="AR260" i="63"/>
  <c r="AX260" i="63"/>
  <c r="Z260" i="63"/>
  <c r="AM260" i="63"/>
  <c r="G260" i="63"/>
  <c r="AP260" i="63"/>
  <c r="B260" i="63"/>
  <c r="B260" i="65" s="1"/>
  <c r="AA260" i="63"/>
  <c r="M260" i="63"/>
  <c r="AV260" i="63"/>
  <c r="A261" i="63"/>
  <c r="AS260" i="63"/>
  <c r="U260" i="63"/>
  <c r="O260" i="65" s="1"/>
  <c r="H260" i="63"/>
  <c r="O260" i="63"/>
  <c r="AN260" i="63"/>
  <c r="AB260" i="63"/>
  <c r="AE260" i="63"/>
  <c r="C260" i="63"/>
  <c r="X260" i="65" s="1"/>
  <c r="AW260" i="63"/>
  <c r="AU260" i="63"/>
  <c r="K260" i="63"/>
  <c r="N260" i="63"/>
  <c r="V260" i="63"/>
  <c r="AD260" i="63"/>
  <c r="AH260" i="63"/>
  <c r="AO260" i="63"/>
  <c r="AF260" i="63"/>
  <c r="AI260" i="63"/>
  <c r="E260" i="63"/>
  <c r="AY260" i="63"/>
  <c r="Q260" i="63"/>
  <c r="R260" i="65" s="1"/>
  <c r="X260" i="63"/>
  <c r="W260" i="65" s="1"/>
  <c r="W260" i="63"/>
  <c r="F260" i="63"/>
  <c r="Y260" i="63"/>
  <c r="AT260" i="63"/>
  <c r="AG260" i="63"/>
  <c r="P260" i="63"/>
  <c r="AJ260" i="63"/>
  <c r="AK260" i="63"/>
  <c r="S260" i="63"/>
  <c r="AL260" i="63"/>
  <c r="D261" i="81"/>
  <c r="H261" i="81"/>
  <c r="I261" i="81"/>
  <c r="K261" i="81"/>
  <c r="P261" i="81"/>
  <c r="S261" i="81"/>
  <c r="E261" i="81"/>
  <c r="T261" i="81"/>
  <c r="L261" i="81"/>
  <c r="M261" i="81"/>
  <c r="N261" i="81"/>
  <c r="B261" i="81"/>
  <c r="A262" i="81"/>
  <c r="O261" i="81"/>
  <c r="Q261" i="81"/>
  <c r="U261" i="81"/>
  <c r="J261" i="81"/>
  <c r="F261" i="81"/>
  <c r="G261" i="81"/>
  <c r="C261" i="81"/>
  <c r="R261" i="81"/>
  <c r="S259" i="65"/>
  <c r="S260" i="65" l="1"/>
  <c r="M260" i="65"/>
  <c r="U260" i="65"/>
  <c r="AR261" i="63"/>
  <c r="L261" i="63"/>
  <c r="X261" i="63"/>
  <c r="W261" i="65" s="1"/>
  <c r="Y261" i="63"/>
  <c r="AY261" i="63"/>
  <c r="AQ261" i="63"/>
  <c r="AU261" i="63"/>
  <c r="AH261" i="63"/>
  <c r="B261" i="63"/>
  <c r="B261" i="65" s="1"/>
  <c r="E261" i="63"/>
  <c r="O261" i="63"/>
  <c r="AT261" i="63"/>
  <c r="P261" i="63"/>
  <c r="F261" i="63"/>
  <c r="AI261" i="63"/>
  <c r="H261" i="63"/>
  <c r="Z261" i="63"/>
  <c r="Q261" i="63"/>
  <c r="R261" i="65" s="1"/>
  <c r="AN261" i="63"/>
  <c r="G261" i="63"/>
  <c r="A262" i="63"/>
  <c r="K261" i="63"/>
  <c r="AB261" i="63"/>
  <c r="AJ261" i="63"/>
  <c r="AA261" i="63"/>
  <c r="AV261" i="63"/>
  <c r="R261" i="63"/>
  <c r="M261" i="63"/>
  <c r="I261" i="63"/>
  <c r="AK261" i="63"/>
  <c r="AC261" i="63"/>
  <c r="AD261" i="63"/>
  <c r="S261" i="63"/>
  <c r="C261" i="63"/>
  <c r="X261" i="65" s="1"/>
  <c r="J261" i="63"/>
  <c r="U261" i="63"/>
  <c r="O261" i="65" s="1"/>
  <c r="AE261" i="63"/>
  <c r="AL261" i="63"/>
  <c r="AX261" i="63"/>
  <c r="AF261" i="63"/>
  <c r="N261" i="63"/>
  <c r="AG261" i="63"/>
  <c r="T261" i="63"/>
  <c r="P261" i="65" s="1"/>
  <c r="AM261" i="63"/>
  <c r="AO261" i="63"/>
  <c r="AS261" i="63"/>
  <c r="V261" i="63"/>
  <c r="AP261" i="63"/>
  <c r="D261" i="63"/>
  <c r="W261" i="63"/>
  <c r="AW261" i="63"/>
  <c r="N260" i="65"/>
  <c r="H260" i="65"/>
  <c r="Q262" i="81"/>
  <c r="P262" i="81"/>
  <c r="B262" i="81"/>
  <c r="A263" i="81"/>
  <c r="R262" i="81"/>
  <c r="S262" i="81"/>
  <c r="O262" i="81"/>
  <c r="U262" i="81"/>
  <c r="D262" i="81"/>
  <c r="E262" i="81"/>
  <c r="F262" i="81"/>
  <c r="K262" i="81"/>
  <c r="C262" i="81"/>
  <c r="H262" i="81"/>
  <c r="I262" i="81"/>
  <c r="G262" i="81"/>
  <c r="J262" i="81"/>
  <c r="N262" i="81"/>
  <c r="T262" i="81"/>
  <c r="M262" i="81"/>
  <c r="L262" i="81"/>
  <c r="Y260" i="65"/>
  <c r="S261" i="65" l="1"/>
  <c r="Y261" i="65"/>
  <c r="N261" i="65"/>
  <c r="L263" i="81"/>
  <c r="E263" i="81"/>
  <c r="G263" i="81"/>
  <c r="F263" i="81"/>
  <c r="I263" i="81"/>
  <c r="J263" i="81"/>
  <c r="Q263" i="81"/>
  <c r="S263" i="81"/>
  <c r="M263" i="81"/>
  <c r="N263" i="81"/>
  <c r="O263" i="81"/>
  <c r="U263" i="81"/>
  <c r="B263" i="81"/>
  <c r="C263" i="81"/>
  <c r="A264" i="81"/>
  <c r="P263" i="81"/>
  <c r="R263" i="81"/>
  <c r="D263" i="81"/>
  <c r="K263" i="81"/>
  <c r="H263" i="81"/>
  <c r="T263" i="81"/>
  <c r="V262" i="63"/>
  <c r="AI262" i="63"/>
  <c r="AD262" i="63"/>
  <c r="I262" i="63"/>
  <c r="AJ262" i="63"/>
  <c r="AV262" i="63"/>
  <c r="AA262" i="63"/>
  <c r="AM262" i="63"/>
  <c r="AS262" i="63"/>
  <c r="AG262" i="63"/>
  <c r="C262" i="63"/>
  <c r="X262" i="65" s="1"/>
  <c r="AW262" i="63"/>
  <c r="O262" i="63"/>
  <c r="W262" i="63"/>
  <c r="AX262" i="63"/>
  <c r="AH262" i="63"/>
  <c r="AR262" i="63"/>
  <c r="P262" i="63"/>
  <c r="D262" i="63"/>
  <c r="Q262" i="63"/>
  <c r="R262" i="65" s="1"/>
  <c r="X262" i="63"/>
  <c r="W262" i="65" s="1"/>
  <c r="R262" i="63"/>
  <c r="E262" i="63"/>
  <c r="F262" i="63"/>
  <c r="AK262" i="63"/>
  <c r="Z262" i="63"/>
  <c r="AL262" i="63"/>
  <c r="S262" i="63"/>
  <c r="AT262" i="63"/>
  <c r="Y262" i="63"/>
  <c r="T262" i="63"/>
  <c r="P262" i="65" s="1"/>
  <c r="G262" i="63"/>
  <c r="K262" i="63"/>
  <c r="AN262" i="63"/>
  <c r="AU262" i="63"/>
  <c r="AQ262" i="63"/>
  <c r="B262" i="63"/>
  <c r="B262" i="65" s="1"/>
  <c r="J262" i="63"/>
  <c r="U262" i="63"/>
  <c r="O262" i="65" s="1"/>
  <c r="AP262" i="63"/>
  <c r="AB262" i="63"/>
  <c r="L262" i="63"/>
  <c r="AC262" i="63"/>
  <c r="AE262" i="63"/>
  <c r="H262" i="63"/>
  <c r="A263" i="63"/>
  <c r="AO262" i="63"/>
  <c r="M262" i="63"/>
  <c r="AF262" i="63"/>
  <c r="AY262" i="63"/>
  <c r="N262" i="63"/>
  <c r="U261" i="65"/>
  <c r="H261" i="65"/>
  <c r="M261" i="65"/>
  <c r="U262" i="65" l="1"/>
  <c r="N262" i="65"/>
  <c r="Y262" i="65"/>
  <c r="S262" i="65"/>
  <c r="Q264" i="81"/>
  <c r="R264" i="81"/>
  <c r="B264" i="81"/>
  <c r="G264" i="81"/>
  <c r="D264" i="81"/>
  <c r="K264" i="81"/>
  <c r="E264" i="81"/>
  <c r="A265" i="81"/>
  <c r="C264" i="81"/>
  <c r="S264" i="81"/>
  <c r="T264" i="81"/>
  <c r="I264" i="81"/>
  <c r="J264" i="81"/>
  <c r="P264" i="81"/>
  <c r="O264" i="81"/>
  <c r="M264" i="81"/>
  <c r="N264" i="81"/>
  <c r="U264" i="81"/>
  <c r="F264" i="81"/>
  <c r="H264" i="81"/>
  <c r="L264" i="81"/>
  <c r="H262" i="65"/>
  <c r="M262" i="65"/>
  <c r="Y263" i="63"/>
  <c r="I263" i="63"/>
  <c r="AS263" i="63"/>
  <c r="M263" i="63"/>
  <c r="AO263" i="63"/>
  <c r="F263" i="63"/>
  <c r="AF263" i="63"/>
  <c r="U263" i="63"/>
  <c r="O263" i="65" s="1"/>
  <c r="AA263" i="63"/>
  <c r="AY263" i="63"/>
  <c r="AT263" i="63"/>
  <c r="N263" i="63"/>
  <c r="AP263" i="63"/>
  <c r="H263" i="63"/>
  <c r="AG263" i="63"/>
  <c r="B263" i="63"/>
  <c r="B263" i="65" s="1"/>
  <c r="AB263" i="63"/>
  <c r="O263" i="63"/>
  <c r="AU263" i="63"/>
  <c r="AH263" i="63"/>
  <c r="A264" i="63"/>
  <c r="V263" i="63"/>
  <c r="J263" i="63"/>
  <c r="P263" i="63"/>
  <c r="AQ263" i="63"/>
  <c r="AC263" i="63"/>
  <c r="AI263" i="63"/>
  <c r="D263" i="63"/>
  <c r="K263" i="63"/>
  <c r="S263" i="63"/>
  <c r="T263" i="63"/>
  <c r="P263" i="65" s="1"/>
  <c r="X263" i="63"/>
  <c r="W263" i="65" s="1"/>
  <c r="AD263" i="63"/>
  <c r="AK263" i="63"/>
  <c r="E263" i="63"/>
  <c r="Z263" i="63"/>
  <c r="AV263" i="63"/>
  <c r="AW263" i="63"/>
  <c r="L263" i="63"/>
  <c r="AE263" i="63"/>
  <c r="AX263" i="63"/>
  <c r="R263" i="63"/>
  <c r="AL263" i="63"/>
  <c r="AJ263" i="63"/>
  <c r="AN263" i="63"/>
  <c r="G263" i="63"/>
  <c r="Q263" i="63"/>
  <c r="R263" i="65" s="1"/>
  <c r="W263" i="63"/>
  <c r="AM263" i="63"/>
  <c r="C263" i="63"/>
  <c r="X263" i="65" s="1"/>
  <c r="AR263" i="63"/>
  <c r="N263" i="65" l="1"/>
  <c r="Y263" i="65"/>
  <c r="U263" i="65"/>
  <c r="U265" i="81"/>
  <c r="A266" i="81"/>
  <c r="F265" i="81"/>
  <c r="T265" i="81"/>
  <c r="C265" i="81"/>
  <c r="K265" i="81"/>
  <c r="D265" i="81"/>
  <c r="E265" i="81"/>
  <c r="B265" i="81"/>
  <c r="G265" i="81"/>
  <c r="I265" i="81"/>
  <c r="J265" i="81"/>
  <c r="S265" i="81"/>
  <c r="N265" i="81"/>
  <c r="R265" i="81"/>
  <c r="Q265" i="81"/>
  <c r="L265" i="81"/>
  <c r="M265" i="81"/>
  <c r="H265" i="81"/>
  <c r="O265" i="81"/>
  <c r="P265" i="81"/>
  <c r="G264" i="63"/>
  <c r="AJ264" i="63"/>
  <c r="D264" i="63"/>
  <c r="W264" i="63"/>
  <c r="Q264" i="63"/>
  <c r="R264" i="65" s="1"/>
  <c r="Y264" i="63"/>
  <c r="AM264" i="63"/>
  <c r="AR264" i="63"/>
  <c r="K264" i="63"/>
  <c r="AL264" i="63"/>
  <c r="F264" i="63"/>
  <c r="AD264" i="63"/>
  <c r="S264" i="63"/>
  <c r="Z264" i="63"/>
  <c r="AW264" i="63"/>
  <c r="AS264" i="63"/>
  <c r="L264" i="63"/>
  <c r="AN264" i="63"/>
  <c r="H264" i="63"/>
  <c r="A265" i="63"/>
  <c r="AE264" i="63"/>
  <c r="T264" i="63"/>
  <c r="P264" i="65" s="1"/>
  <c r="J264" i="63"/>
  <c r="B264" i="63"/>
  <c r="B264" i="65" s="1"/>
  <c r="AY264" i="63"/>
  <c r="AA264" i="63"/>
  <c r="AH264" i="63"/>
  <c r="AF264" i="63"/>
  <c r="V264" i="63"/>
  <c r="AC264" i="63"/>
  <c r="AX264" i="63"/>
  <c r="N264" i="63"/>
  <c r="AT264" i="63"/>
  <c r="AK264" i="63"/>
  <c r="M264" i="63"/>
  <c r="AG264" i="63"/>
  <c r="O264" i="63"/>
  <c r="AI264" i="63"/>
  <c r="P264" i="63"/>
  <c r="AO264" i="63"/>
  <c r="AP264" i="63"/>
  <c r="C264" i="63"/>
  <c r="X264" i="65" s="1"/>
  <c r="X264" i="63"/>
  <c r="W264" i="65" s="1"/>
  <c r="AQ264" i="63"/>
  <c r="AB264" i="63"/>
  <c r="R264" i="63"/>
  <c r="AU264" i="63"/>
  <c r="E264" i="63"/>
  <c r="I264" i="63"/>
  <c r="U264" i="63"/>
  <c r="O264" i="65" s="1"/>
  <c r="AV264" i="63"/>
  <c r="M263" i="65"/>
  <c r="H263" i="65"/>
  <c r="S263" i="65"/>
  <c r="S264" i="65" l="1"/>
  <c r="M264" i="65"/>
  <c r="N264" i="65"/>
  <c r="H264" i="65"/>
  <c r="AR265" i="63"/>
  <c r="AE265" i="63"/>
  <c r="AK265" i="63"/>
  <c r="G265" i="63"/>
  <c r="AY265" i="63"/>
  <c r="T265" i="63"/>
  <c r="P265" i="65" s="1"/>
  <c r="Z265" i="63"/>
  <c r="M265" i="63"/>
  <c r="AS265" i="63"/>
  <c r="AG265" i="63"/>
  <c r="AN265" i="63"/>
  <c r="H265" i="63"/>
  <c r="N265" i="63"/>
  <c r="V265" i="63"/>
  <c r="AA265" i="63"/>
  <c r="AH265" i="63"/>
  <c r="A266" i="63"/>
  <c r="AO265" i="63"/>
  <c r="AT265" i="63"/>
  <c r="R265" i="63"/>
  <c r="B265" i="63"/>
  <c r="B265" i="65" s="1"/>
  <c r="I265" i="63"/>
  <c r="P265" i="63"/>
  <c r="AB265" i="63"/>
  <c r="AJ265" i="63"/>
  <c r="AV265" i="63"/>
  <c r="AP265" i="63"/>
  <c r="J265" i="63"/>
  <c r="AM265" i="63"/>
  <c r="C265" i="63"/>
  <c r="X265" i="65" s="1"/>
  <c r="D265" i="63"/>
  <c r="AC265" i="63"/>
  <c r="AW265" i="63"/>
  <c r="AF265" i="63"/>
  <c r="Q265" i="63"/>
  <c r="R265" i="65" s="1"/>
  <c r="S265" i="63"/>
  <c r="AI265" i="63"/>
  <c r="O265" i="63"/>
  <c r="E265" i="63"/>
  <c r="U265" i="63"/>
  <c r="O265" i="65" s="1"/>
  <c r="W265" i="63"/>
  <c r="X265" i="63"/>
  <c r="W265" i="65" s="1"/>
  <c r="AQ265" i="63"/>
  <c r="F265" i="63"/>
  <c r="Y265" i="63"/>
  <c r="AU265" i="63"/>
  <c r="K265" i="63"/>
  <c r="AD265" i="63"/>
  <c r="AX265" i="63"/>
  <c r="L265" i="63"/>
  <c r="AL265" i="63"/>
  <c r="Y264" i="65"/>
  <c r="G266" i="81"/>
  <c r="K266" i="81"/>
  <c r="P266" i="81"/>
  <c r="L266" i="81"/>
  <c r="S266" i="81"/>
  <c r="Q266" i="81"/>
  <c r="U266" i="81"/>
  <c r="E266" i="81"/>
  <c r="H266" i="81"/>
  <c r="F266" i="81"/>
  <c r="I266" i="81"/>
  <c r="J266" i="81"/>
  <c r="O266" i="81"/>
  <c r="T266" i="81"/>
  <c r="A267" i="81"/>
  <c r="M266" i="81"/>
  <c r="D266" i="81"/>
  <c r="B266" i="81"/>
  <c r="C266" i="81"/>
  <c r="N266" i="81"/>
  <c r="R266" i="81"/>
  <c r="U264" i="65"/>
  <c r="M265" i="65" l="1"/>
  <c r="Y265" i="65"/>
  <c r="S265" i="65"/>
  <c r="H265" i="65"/>
  <c r="N265" i="65"/>
  <c r="L267" i="81"/>
  <c r="O267" i="81"/>
  <c r="P267" i="81"/>
  <c r="R267" i="81"/>
  <c r="M267" i="81"/>
  <c r="U267" i="81"/>
  <c r="C267" i="81"/>
  <c r="B267" i="81"/>
  <c r="S267" i="81"/>
  <c r="K267" i="81"/>
  <c r="A268" i="81"/>
  <c r="I267" i="81"/>
  <c r="N267" i="81"/>
  <c r="D267" i="81"/>
  <c r="Q267" i="81"/>
  <c r="G267" i="81"/>
  <c r="F267" i="81"/>
  <c r="J267" i="81"/>
  <c r="T267" i="81"/>
  <c r="H267" i="81"/>
  <c r="E267" i="81"/>
  <c r="U265" i="65"/>
  <c r="Z266" i="63"/>
  <c r="AW266" i="63"/>
  <c r="F266" i="63"/>
  <c r="AQ266" i="63"/>
  <c r="Q266" i="63"/>
  <c r="R266" i="65" s="1"/>
  <c r="P266" i="63"/>
  <c r="J266" i="63"/>
  <c r="U266" i="63"/>
  <c r="O266" i="65" s="1"/>
  <c r="AA266" i="63"/>
  <c r="AH266" i="63"/>
  <c r="A267" i="63"/>
  <c r="AR266" i="63"/>
  <c r="AY266" i="63"/>
  <c r="V266" i="63"/>
  <c r="K266" i="63"/>
  <c r="R266" i="63"/>
  <c r="W266" i="63"/>
  <c r="N266" i="63"/>
  <c r="AB266" i="63"/>
  <c r="AI266" i="63"/>
  <c r="AG266" i="63"/>
  <c r="AT266" i="63"/>
  <c r="L266" i="63"/>
  <c r="E266" i="63"/>
  <c r="X266" i="63"/>
  <c r="W266" i="65" s="1"/>
  <c r="AU266" i="63"/>
  <c r="AJ266" i="63"/>
  <c r="AM266" i="63"/>
  <c r="AO266" i="63"/>
  <c r="M266" i="63"/>
  <c r="C266" i="63"/>
  <c r="X266" i="65" s="1"/>
  <c r="B266" i="63"/>
  <c r="B266" i="65" s="1"/>
  <c r="S266" i="63"/>
  <c r="T266" i="63"/>
  <c r="P266" i="65" s="1"/>
  <c r="AK266" i="63"/>
  <c r="AD266" i="63"/>
  <c r="AX266" i="63"/>
  <c r="G266" i="63"/>
  <c r="D266" i="63"/>
  <c r="H266" i="63"/>
  <c r="AN266" i="63"/>
  <c r="Y266" i="63"/>
  <c r="AL266" i="63"/>
  <c r="AP266" i="63"/>
  <c r="I266" i="63"/>
  <c r="AS266" i="63"/>
  <c r="AC266" i="63"/>
  <c r="AE266" i="63"/>
  <c r="AV266" i="63"/>
  <c r="O266" i="63"/>
  <c r="AF266" i="63"/>
  <c r="S266" i="65" l="1"/>
  <c r="M266" i="65"/>
  <c r="U266" i="65"/>
  <c r="N266" i="65"/>
  <c r="U268" i="81"/>
  <c r="I268" i="81"/>
  <c r="J268" i="81"/>
  <c r="H268" i="81"/>
  <c r="P268" i="81"/>
  <c r="C268" i="81"/>
  <c r="R268" i="81"/>
  <c r="B268" i="81"/>
  <c r="N268" i="81"/>
  <c r="S268" i="81"/>
  <c r="D268" i="81"/>
  <c r="G268" i="81"/>
  <c r="K268" i="81"/>
  <c r="L268" i="81"/>
  <c r="F268" i="81"/>
  <c r="Q268" i="81"/>
  <c r="A269" i="81"/>
  <c r="O268" i="81"/>
  <c r="T268" i="81"/>
  <c r="E268" i="81"/>
  <c r="M268" i="81"/>
  <c r="H266" i="65"/>
  <c r="Y266" i="65"/>
  <c r="K267" i="63"/>
  <c r="AI267" i="63"/>
  <c r="V267" i="63"/>
  <c r="AC267" i="63"/>
  <c r="B267" i="63"/>
  <c r="B267" i="65" s="1"/>
  <c r="W267" i="63"/>
  <c r="AT267" i="63"/>
  <c r="M267" i="63"/>
  <c r="S267" i="63"/>
  <c r="X267" i="63"/>
  <c r="W267" i="65" s="1"/>
  <c r="A268" i="63"/>
  <c r="L267" i="63"/>
  <c r="AD267" i="63"/>
  <c r="AJ267" i="63"/>
  <c r="AB267" i="63"/>
  <c r="AU267" i="63"/>
  <c r="C267" i="63"/>
  <c r="X267" i="65" s="1"/>
  <c r="AH267" i="63"/>
  <c r="AR267" i="63"/>
  <c r="N267" i="63"/>
  <c r="T267" i="63"/>
  <c r="P267" i="65" s="1"/>
  <c r="AM267" i="63"/>
  <c r="Y267" i="63"/>
  <c r="AV267" i="63"/>
  <c r="D267" i="63"/>
  <c r="AO267" i="63"/>
  <c r="I267" i="63"/>
  <c r="AF267" i="63"/>
  <c r="AL267" i="63"/>
  <c r="Z267" i="63"/>
  <c r="AW267" i="63"/>
  <c r="E267" i="63"/>
  <c r="AA267" i="63"/>
  <c r="AS267" i="63"/>
  <c r="AE267" i="63"/>
  <c r="O267" i="63"/>
  <c r="P267" i="63"/>
  <c r="AG267" i="63"/>
  <c r="AX267" i="63"/>
  <c r="R267" i="63"/>
  <c r="AK267" i="63"/>
  <c r="U267" i="63"/>
  <c r="O267" i="65" s="1"/>
  <c r="F267" i="63"/>
  <c r="G267" i="63"/>
  <c r="H267" i="63"/>
  <c r="M267" i="65" s="1"/>
  <c r="Q267" i="63"/>
  <c r="R267" i="65" s="1"/>
  <c r="AP267" i="63"/>
  <c r="AQ267" i="63"/>
  <c r="AN267" i="63"/>
  <c r="J267" i="63"/>
  <c r="AY267" i="63"/>
  <c r="N267" i="65" l="1"/>
  <c r="H267" i="65"/>
  <c r="Y267" i="65"/>
  <c r="U267" i="65"/>
  <c r="S267" i="65"/>
  <c r="M268" i="63"/>
  <c r="B268" i="63"/>
  <c r="B268" i="65" s="1"/>
  <c r="W268" i="63"/>
  <c r="AD268" i="63"/>
  <c r="X268" i="63"/>
  <c r="W268" i="65" s="1"/>
  <c r="A269" i="63"/>
  <c r="AU268" i="63"/>
  <c r="S268" i="63"/>
  <c r="N268" i="63"/>
  <c r="AJ268" i="63"/>
  <c r="Y268" i="63"/>
  <c r="J268" i="63"/>
  <c r="AE268" i="63"/>
  <c r="C268" i="63"/>
  <c r="X268" i="65" s="1"/>
  <c r="AI268" i="63"/>
  <c r="Z268" i="63"/>
  <c r="AV268" i="63"/>
  <c r="AN268" i="63"/>
  <c r="AP268" i="63"/>
  <c r="O268" i="63"/>
  <c r="T268" i="63"/>
  <c r="P268" i="65" s="1"/>
  <c r="AQ268" i="63"/>
  <c r="AA268" i="63"/>
  <c r="AW268" i="63"/>
  <c r="AK268" i="63"/>
  <c r="F268" i="63"/>
  <c r="K268" i="63"/>
  <c r="AG268" i="63"/>
  <c r="U268" i="63"/>
  <c r="O268" i="65" s="1"/>
  <c r="AO268" i="63"/>
  <c r="AB268" i="63"/>
  <c r="AX268" i="63"/>
  <c r="AL268" i="63"/>
  <c r="D268" i="63"/>
  <c r="E268" i="63"/>
  <c r="V268" i="63"/>
  <c r="I268" i="63"/>
  <c r="AM268" i="63"/>
  <c r="AR268" i="63"/>
  <c r="R268" i="63"/>
  <c r="AS268" i="63"/>
  <c r="H268" i="63"/>
  <c r="M268" i="65" s="1"/>
  <c r="L268" i="63"/>
  <c r="G268" i="63"/>
  <c r="AC268" i="63"/>
  <c r="AT268" i="63"/>
  <c r="AF268" i="63"/>
  <c r="P268" i="63"/>
  <c r="Q268" i="63"/>
  <c r="R268" i="65" s="1"/>
  <c r="AH268" i="63"/>
  <c r="AY268" i="63"/>
  <c r="O269" i="81"/>
  <c r="D269" i="81"/>
  <c r="P269" i="81"/>
  <c r="G269" i="81"/>
  <c r="Q269" i="81"/>
  <c r="H269" i="81"/>
  <c r="U269" i="81"/>
  <c r="A270" i="81"/>
  <c r="M269" i="81"/>
  <c r="S269" i="81"/>
  <c r="F269" i="81"/>
  <c r="J269" i="81"/>
  <c r="K269" i="81"/>
  <c r="T269" i="81"/>
  <c r="B269" i="81"/>
  <c r="I269" i="81"/>
  <c r="E269" i="81"/>
  <c r="N269" i="81"/>
  <c r="C269" i="81"/>
  <c r="R269" i="81"/>
  <c r="L269" i="81"/>
  <c r="Y268" i="65" l="1"/>
  <c r="U268" i="65"/>
  <c r="S268" i="65"/>
  <c r="AV269" i="63"/>
  <c r="AK269" i="63"/>
  <c r="A270" i="63"/>
  <c r="O269" i="63"/>
  <c r="D269" i="63"/>
  <c r="G269" i="63"/>
  <c r="H269" i="63"/>
  <c r="AF269" i="63"/>
  <c r="U269" i="63"/>
  <c r="O269" i="65" s="1"/>
  <c r="I269" i="63"/>
  <c r="X269" i="63"/>
  <c r="W269" i="65" s="1"/>
  <c r="AW269" i="63"/>
  <c r="J269" i="63"/>
  <c r="AN269" i="63"/>
  <c r="P269" i="63"/>
  <c r="AL269" i="63"/>
  <c r="S269" i="63"/>
  <c r="K269" i="63"/>
  <c r="AG269" i="63"/>
  <c r="E269" i="63"/>
  <c r="AA269" i="63"/>
  <c r="AB269" i="63"/>
  <c r="AX269" i="63"/>
  <c r="V269" i="63"/>
  <c r="Y269" i="63"/>
  <c r="L269" i="63"/>
  <c r="AH269" i="63"/>
  <c r="F269" i="63"/>
  <c r="AT269" i="63"/>
  <c r="R269" i="63"/>
  <c r="AO269" i="63"/>
  <c r="M269" i="63"/>
  <c r="AI269" i="63"/>
  <c r="AJ269" i="63"/>
  <c r="N269" i="63"/>
  <c r="AE269" i="63"/>
  <c r="Q269" i="63"/>
  <c r="R269" i="65" s="1"/>
  <c r="AY269" i="63"/>
  <c r="C269" i="63"/>
  <c r="X269" i="65" s="1"/>
  <c r="T269" i="63"/>
  <c r="P269" i="65" s="1"/>
  <c r="AM269" i="63"/>
  <c r="W269" i="63"/>
  <c r="AP269" i="63"/>
  <c r="AQ269" i="63"/>
  <c r="AS269" i="63"/>
  <c r="AR269" i="63"/>
  <c r="AC269" i="63"/>
  <c r="B269" i="63"/>
  <c r="B269" i="65" s="1"/>
  <c r="AD269" i="63"/>
  <c r="Z269" i="63"/>
  <c r="AU269" i="63"/>
  <c r="N268" i="65"/>
  <c r="H268" i="65"/>
  <c r="C270" i="81"/>
  <c r="D270" i="81"/>
  <c r="E270" i="81"/>
  <c r="F270" i="81"/>
  <c r="B270" i="81"/>
  <c r="A271" i="81"/>
  <c r="N270" i="81"/>
  <c r="M270" i="81"/>
  <c r="Q270" i="81"/>
  <c r="P270" i="81"/>
  <c r="S270" i="81"/>
  <c r="T270" i="81"/>
  <c r="H270" i="81"/>
  <c r="I270" i="81"/>
  <c r="U270" i="81"/>
  <c r="L270" i="81"/>
  <c r="O270" i="81"/>
  <c r="J270" i="81"/>
  <c r="G270" i="81"/>
  <c r="K270" i="81"/>
  <c r="R270" i="81"/>
  <c r="S269" i="65" l="1"/>
  <c r="N269" i="65"/>
  <c r="Y269" i="65"/>
  <c r="U269" i="65"/>
  <c r="M269" i="65"/>
  <c r="H269" i="65"/>
  <c r="R271" i="81"/>
  <c r="S271" i="81"/>
  <c r="T271" i="81"/>
  <c r="B271" i="81"/>
  <c r="P271" i="81"/>
  <c r="H271" i="81"/>
  <c r="J271" i="81"/>
  <c r="Q271" i="81"/>
  <c r="U271" i="81"/>
  <c r="E271" i="81"/>
  <c r="F271" i="81"/>
  <c r="K271" i="81"/>
  <c r="A272" i="81"/>
  <c r="N271" i="81"/>
  <c r="D271" i="81"/>
  <c r="L271" i="81"/>
  <c r="O271" i="81"/>
  <c r="C271" i="81"/>
  <c r="G271" i="81"/>
  <c r="I271" i="81"/>
  <c r="M271" i="81"/>
  <c r="P270" i="63"/>
  <c r="AM270" i="63"/>
  <c r="Z270" i="63"/>
  <c r="F270" i="63"/>
  <c r="AG270" i="63"/>
  <c r="E270" i="63"/>
  <c r="AA270" i="63"/>
  <c r="A271" i="63"/>
  <c r="V270" i="63"/>
  <c r="AX270" i="63"/>
  <c r="W270" i="63"/>
  <c r="AB270" i="63"/>
  <c r="AL270" i="63"/>
  <c r="Q270" i="63"/>
  <c r="R270" i="65" s="1"/>
  <c r="AN270" i="63"/>
  <c r="AK270" i="63"/>
  <c r="L270" i="63"/>
  <c r="AH270" i="63"/>
  <c r="G270" i="63"/>
  <c r="AS270" i="63"/>
  <c r="AC270" i="63"/>
  <c r="AY270" i="63"/>
  <c r="X270" i="63"/>
  <c r="W270" i="65" s="1"/>
  <c r="J270" i="63"/>
  <c r="AT270" i="63"/>
  <c r="R270" i="63"/>
  <c r="AO270" i="63"/>
  <c r="AQ270" i="63"/>
  <c r="AD270" i="63"/>
  <c r="B270" i="63"/>
  <c r="B270" i="65" s="1"/>
  <c r="Y270" i="63"/>
  <c r="N270" i="63"/>
  <c r="S270" i="63"/>
  <c r="C270" i="63"/>
  <c r="X270" i="65" s="1"/>
  <c r="AE270" i="63"/>
  <c r="I270" i="63"/>
  <c r="H270" i="63"/>
  <c r="AP270" i="63"/>
  <c r="K270" i="63"/>
  <c r="M270" i="63"/>
  <c r="T270" i="63"/>
  <c r="P270" i="65" s="1"/>
  <c r="AU270" i="63"/>
  <c r="AV270" i="63"/>
  <c r="AR270" i="63"/>
  <c r="O270" i="63"/>
  <c r="AF270" i="63"/>
  <c r="AW270" i="63"/>
  <c r="AI270" i="63"/>
  <c r="AJ270" i="63"/>
  <c r="D270" i="63"/>
  <c r="U270" i="63"/>
  <c r="O270" i="65" s="1"/>
  <c r="M270" i="65" l="1"/>
  <c r="H270" i="65"/>
  <c r="N270" i="65"/>
  <c r="S272" i="81"/>
  <c r="N272" i="81"/>
  <c r="D272" i="81"/>
  <c r="O272" i="81"/>
  <c r="T272" i="81"/>
  <c r="P272" i="81"/>
  <c r="U272" i="81"/>
  <c r="G272" i="81"/>
  <c r="K272" i="81"/>
  <c r="H272" i="81"/>
  <c r="L272" i="81"/>
  <c r="M272" i="81"/>
  <c r="A273" i="81"/>
  <c r="C272" i="81"/>
  <c r="E272" i="81"/>
  <c r="F272" i="81"/>
  <c r="J272" i="81"/>
  <c r="R272" i="81"/>
  <c r="Q272" i="81"/>
  <c r="I272" i="81"/>
  <c r="B272" i="81"/>
  <c r="AG271" i="63"/>
  <c r="F271" i="63"/>
  <c r="L271" i="63"/>
  <c r="AX271" i="63"/>
  <c r="W271" i="63"/>
  <c r="V271" i="63"/>
  <c r="Q271" i="63"/>
  <c r="R271" i="65" s="1"/>
  <c r="AN271" i="63"/>
  <c r="AA271" i="63"/>
  <c r="D271" i="63"/>
  <c r="G271" i="63"/>
  <c r="AC271" i="63"/>
  <c r="T271" i="63"/>
  <c r="P271" i="65" s="1"/>
  <c r="AH271" i="63"/>
  <c r="X271" i="63"/>
  <c r="W271" i="65" s="1"/>
  <c r="AM271" i="63"/>
  <c r="AJ271" i="63"/>
  <c r="AY271" i="63"/>
  <c r="AR271" i="63"/>
  <c r="M271" i="63"/>
  <c r="R271" i="63"/>
  <c r="AO271" i="63"/>
  <c r="AS271" i="63"/>
  <c r="AU271" i="63"/>
  <c r="B271" i="63"/>
  <c r="B271" i="65" s="1"/>
  <c r="Y271" i="63"/>
  <c r="AB271" i="63"/>
  <c r="AE271" i="63"/>
  <c r="AK271" i="63"/>
  <c r="I271" i="63"/>
  <c r="AV271" i="63"/>
  <c r="C271" i="63"/>
  <c r="X271" i="65" s="1"/>
  <c r="Z271" i="63"/>
  <c r="AW271" i="63"/>
  <c r="P271" i="63"/>
  <c r="A272" i="63"/>
  <c r="AI271" i="63"/>
  <c r="S271" i="63"/>
  <c r="U271" i="63"/>
  <c r="O271" i="65" s="1"/>
  <c r="AL271" i="63"/>
  <c r="H271" i="63"/>
  <c r="AP271" i="63"/>
  <c r="AQ271" i="63"/>
  <c r="E271" i="63"/>
  <c r="AD271" i="63"/>
  <c r="J271" i="63"/>
  <c r="N271" i="63"/>
  <c r="K271" i="63"/>
  <c r="O271" i="63"/>
  <c r="AT271" i="63"/>
  <c r="AF271" i="63"/>
  <c r="S270" i="65"/>
  <c r="U270" i="65"/>
  <c r="Y270" i="65"/>
  <c r="Y271" i="65" l="1"/>
  <c r="M271" i="65"/>
  <c r="U271" i="65"/>
  <c r="N271" i="65"/>
  <c r="K273" i="81"/>
  <c r="L273" i="81"/>
  <c r="M273" i="81"/>
  <c r="F273" i="81"/>
  <c r="C273" i="81"/>
  <c r="H273" i="81"/>
  <c r="N273" i="81"/>
  <c r="T273" i="81"/>
  <c r="A274" i="81"/>
  <c r="O273" i="81"/>
  <c r="E273" i="81"/>
  <c r="U273" i="81"/>
  <c r="B273" i="81"/>
  <c r="J273" i="81"/>
  <c r="Q273" i="81"/>
  <c r="D273" i="81"/>
  <c r="G273" i="81"/>
  <c r="P273" i="81"/>
  <c r="I273" i="81"/>
  <c r="R273" i="81"/>
  <c r="S273" i="81"/>
  <c r="R272" i="63"/>
  <c r="AJ272" i="63"/>
  <c r="Y272" i="63"/>
  <c r="M272" i="63"/>
  <c r="AH272" i="63"/>
  <c r="C272" i="63"/>
  <c r="X272" i="65" s="1"/>
  <c r="AP272" i="63"/>
  <c r="AT272" i="63"/>
  <c r="AX272" i="63"/>
  <c r="T272" i="63"/>
  <c r="P272" i="65" s="1"/>
  <c r="I272" i="63"/>
  <c r="K272" i="63"/>
  <c r="N272" i="63"/>
  <c r="AK272" i="63"/>
  <c r="Z272" i="63"/>
  <c r="L272" i="63"/>
  <c r="AE272" i="63"/>
  <c r="D272" i="63"/>
  <c r="AQ272" i="63"/>
  <c r="AV272" i="63"/>
  <c r="U272" i="63"/>
  <c r="O272" i="65" s="1"/>
  <c r="J272" i="63"/>
  <c r="O272" i="63"/>
  <c r="AA272" i="63"/>
  <c r="AW272" i="63"/>
  <c r="E272" i="63"/>
  <c r="W272" i="63"/>
  <c r="AG272" i="63"/>
  <c r="AM272" i="63"/>
  <c r="AC272" i="63"/>
  <c r="AY272" i="63"/>
  <c r="G272" i="63"/>
  <c r="AD272" i="63"/>
  <c r="AR272" i="63"/>
  <c r="AB272" i="63"/>
  <c r="AN272" i="63"/>
  <c r="B272" i="63"/>
  <c r="B272" i="65" s="1"/>
  <c r="AS272" i="63"/>
  <c r="AF272" i="63"/>
  <c r="AU272" i="63"/>
  <c r="P272" i="63"/>
  <c r="F272" i="63"/>
  <c r="Q272" i="63"/>
  <c r="R272" i="65" s="1"/>
  <c r="AI272" i="63"/>
  <c r="A273" i="63"/>
  <c r="S272" i="63"/>
  <c r="AL272" i="63"/>
  <c r="V272" i="63"/>
  <c r="X272" i="63"/>
  <c r="W272" i="65" s="1"/>
  <c r="AO272" i="63"/>
  <c r="H272" i="63"/>
  <c r="S271" i="65"/>
  <c r="H271" i="65"/>
  <c r="N272" i="65" l="1"/>
  <c r="S272" i="65"/>
  <c r="E274" i="81"/>
  <c r="F274" i="81"/>
  <c r="G274" i="81"/>
  <c r="K274" i="81"/>
  <c r="C274" i="81"/>
  <c r="M274" i="81"/>
  <c r="T274" i="81"/>
  <c r="S274" i="81"/>
  <c r="I274" i="81"/>
  <c r="L274" i="81"/>
  <c r="R274" i="81"/>
  <c r="D274" i="81"/>
  <c r="H274" i="81"/>
  <c r="P274" i="81"/>
  <c r="B274" i="81"/>
  <c r="J274" i="81"/>
  <c r="N274" i="81"/>
  <c r="U274" i="81"/>
  <c r="A275" i="81"/>
  <c r="Q274" i="81"/>
  <c r="O274" i="81"/>
  <c r="M272" i="65"/>
  <c r="U272" i="65"/>
  <c r="H272" i="65"/>
  <c r="Y272" i="65"/>
  <c r="AV273" i="63"/>
  <c r="T273" i="63"/>
  <c r="P273" i="65" s="1"/>
  <c r="Z273" i="63"/>
  <c r="X273" i="63"/>
  <c r="W273" i="65" s="1"/>
  <c r="O273" i="63"/>
  <c r="AQ273" i="63"/>
  <c r="AG273" i="63"/>
  <c r="AK273" i="63"/>
  <c r="J273" i="63"/>
  <c r="AE273" i="63"/>
  <c r="AX273" i="63"/>
  <c r="D273" i="63"/>
  <c r="AA273" i="63"/>
  <c r="AC273" i="63"/>
  <c r="Q273" i="63"/>
  <c r="R273" i="65" s="1"/>
  <c r="U273" i="63"/>
  <c r="O273" i="65" s="1"/>
  <c r="AR273" i="63"/>
  <c r="AD273" i="63"/>
  <c r="AL273" i="63"/>
  <c r="K273" i="63"/>
  <c r="AH273" i="63"/>
  <c r="E273" i="63"/>
  <c r="AB273" i="63"/>
  <c r="R273" i="63"/>
  <c r="AM273" i="63"/>
  <c r="AO273" i="63"/>
  <c r="B273" i="63"/>
  <c r="B273" i="65" s="1"/>
  <c r="W273" i="63"/>
  <c r="AU273" i="63"/>
  <c r="AN273" i="63"/>
  <c r="AW273" i="63"/>
  <c r="C273" i="63"/>
  <c r="X273" i="65" s="1"/>
  <c r="A274" i="63"/>
  <c r="V273" i="63"/>
  <c r="F273" i="63"/>
  <c r="H273" i="63"/>
  <c r="Y273" i="63"/>
  <c r="I273" i="63"/>
  <c r="AS273" i="63"/>
  <c r="AT273" i="63"/>
  <c r="P273" i="63"/>
  <c r="G273" i="63"/>
  <c r="AF273" i="63"/>
  <c r="L273" i="63"/>
  <c r="AY273" i="63"/>
  <c r="M273" i="63"/>
  <c r="AI273" i="63"/>
  <c r="N273" i="63"/>
  <c r="S273" i="63"/>
  <c r="AJ273" i="63"/>
  <c r="AP273" i="63"/>
  <c r="Y273" i="65" l="1"/>
  <c r="M273" i="65"/>
  <c r="H273" i="65"/>
  <c r="Q274" i="63"/>
  <c r="R274" i="65" s="1"/>
  <c r="AL274" i="63"/>
  <c r="AR274" i="63"/>
  <c r="O274" i="63"/>
  <c r="AH274" i="63"/>
  <c r="E274" i="63"/>
  <c r="K274" i="63"/>
  <c r="AV274" i="63"/>
  <c r="AY274" i="63"/>
  <c r="V274" i="63"/>
  <c r="AB274" i="63"/>
  <c r="AW274" i="63"/>
  <c r="R274" i="63"/>
  <c r="S274" i="65" s="1"/>
  <c r="AM274" i="63"/>
  <c r="AS274" i="63"/>
  <c r="AI274" i="63"/>
  <c r="F274" i="63"/>
  <c r="L274" i="63"/>
  <c r="B274" i="63"/>
  <c r="B274" i="65" s="1"/>
  <c r="W274" i="63"/>
  <c r="AC274" i="63"/>
  <c r="S274" i="63"/>
  <c r="AN274" i="63"/>
  <c r="AU274" i="63"/>
  <c r="C274" i="63"/>
  <c r="X274" i="65" s="1"/>
  <c r="X274" i="63"/>
  <c r="W274" i="65" s="1"/>
  <c r="M274" i="63"/>
  <c r="T274" i="63"/>
  <c r="P274" i="65" s="1"/>
  <c r="AO274" i="63"/>
  <c r="Y274" i="63"/>
  <c r="I274" i="63"/>
  <c r="AE274" i="63"/>
  <c r="A275" i="63"/>
  <c r="H274" i="63"/>
  <c r="N274" i="63"/>
  <c r="P274" i="63"/>
  <c r="AD274" i="63"/>
  <c r="AF274" i="63"/>
  <c r="AT274" i="63"/>
  <c r="AG274" i="63"/>
  <c r="AJ274" i="63"/>
  <c r="AP274" i="63"/>
  <c r="AX274" i="63"/>
  <c r="D274" i="63"/>
  <c r="U274" i="63"/>
  <c r="O274" i="65" s="1"/>
  <c r="G274" i="63"/>
  <c r="Z274" i="63"/>
  <c r="AQ274" i="63"/>
  <c r="J274" i="63"/>
  <c r="AA274" i="63"/>
  <c r="AK274" i="63"/>
  <c r="I275" i="81"/>
  <c r="C275" i="81"/>
  <c r="M275" i="81"/>
  <c r="O275" i="81"/>
  <c r="N275" i="81"/>
  <c r="A276" i="81"/>
  <c r="Q275" i="81"/>
  <c r="S275" i="81"/>
  <c r="B275" i="81"/>
  <c r="G275" i="81"/>
  <c r="H275" i="81"/>
  <c r="E275" i="81"/>
  <c r="K275" i="81"/>
  <c r="L275" i="81"/>
  <c r="P275" i="81"/>
  <c r="U275" i="81"/>
  <c r="F275" i="81"/>
  <c r="T275" i="81"/>
  <c r="D275" i="81"/>
  <c r="J275" i="81"/>
  <c r="R275" i="81"/>
  <c r="U273" i="65"/>
  <c r="N273" i="65"/>
  <c r="S273" i="65"/>
  <c r="Y274" i="65" l="1"/>
  <c r="H274" i="65"/>
  <c r="Q276" i="81"/>
  <c r="R276" i="81"/>
  <c r="H276" i="81"/>
  <c r="I276" i="81"/>
  <c r="K276" i="81"/>
  <c r="A277" i="81"/>
  <c r="C276" i="81"/>
  <c r="T276" i="81"/>
  <c r="E276" i="81"/>
  <c r="U276" i="81"/>
  <c r="M276" i="81"/>
  <c r="N276" i="81"/>
  <c r="O276" i="81"/>
  <c r="P276" i="81"/>
  <c r="F276" i="81"/>
  <c r="G276" i="81"/>
  <c r="S276" i="81"/>
  <c r="B276" i="81"/>
  <c r="D276" i="81"/>
  <c r="L276" i="81"/>
  <c r="J276" i="81"/>
  <c r="M274" i="65"/>
  <c r="U274" i="65"/>
  <c r="AI275" i="63"/>
  <c r="AM275" i="63"/>
  <c r="M275" i="63"/>
  <c r="AW275" i="63"/>
  <c r="AY275" i="63"/>
  <c r="F275" i="63"/>
  <c r="AD275" i="63"/>
  <c r="AX275" i="63"/>
  <c r="B275" i="63"/>
  <c r="B275" i="65" s="1"/>
  <c r="W275" i="63"/>
  <c r="AT275" i="63"/>
  <c r="AG275" i="63"/>
  <c r="S275" i="63"/>
  <c r="AN275" i="63"/>
  <c r="N275" i="63"/>
  <c r="AJ275" i="63"/>
  <c r="G275" i="63"/>
  <c r="AE275" i="63"/>
  <c r="C275" i="63"/>
  <c r="X275" i="65" s="1"/>
  <c r="X275" i="63"/>
  <c r="W275" i="65" s="1"/>
  <c r="AU275" i="63"/>
  <c r="AO275" i="63"/>
  <c r="I275" i="63"/>
  <c r="Y275" i="63"/>
  <c r="P275" i="63"/>
  <c r="D275" i="63"/>
  <c r="J275" i="63"/>
  <c r="U275" i="63"/>
  <c r="O275" i="65" s="1"/>
  <c r="AA275" i="63"/>
  <c r="Z275" i="63"/>
  <c r="E275" i="63"/>
  <c r="V275" i="63"/>
  <c r="H275" i="63"/>
  <c r="AP275" i="63"/>
  <c r="AR275" i="63"/>
  <c r="K275" i="63"/>
  <c r="AS275" i="63"/>
  <c r="O275" i="63"/>
  <c r="L275" i="63"/>
  <c r="Q275" i="63"/>
  <c r="R275" i="65" s="1"/>
  <c r="AB275" i="63"/>
  <c r="AF275" i="63"/>
  <c r="R275" i="63"/>
  <c r="AH275" i="63"/>
  <c r="T275" i="63"/>
  <c r="P275" i="65" s="1"/>
  <c r="AQ275" i="63"/>
  <c r="AK275" i="63"/>
  <c r="AV275" i="63"/>
  <c r="AL275" i="63"/>
  <c r="A276" i="63"/>
  <c r="AC275" i="63"/>
  <c r="N274" i="65"/>
  <c r="U275" i="65" l="1"/>
  <c r="Y275" i="65"/>
  <c r="S275" i="65"/>
  <c r="R276" i="63"/>
  <c r="F276" i="63"/>
  <c r="AQ276" i="63"/>
  <c r="N276" i="63"/>
  <c r="AH276" i="63"/>
  <c r="V276" i="63"/>
  <c r="L276" i="63"/>
  <c r="O276" i="63"/>
  <c r="AX276" i="63"/>
  <c r="AL276" i="63"/>
  <c r="AB276" i="63"/>
  <c r="AU276" i="63"/>
  <c r="C276" i="63"/>
  <c r="X276" i="65" s="1"/>
  <c r="G276" i="63"/>
  <c r="AR276" i="63"/>
  <c r="W276" i="63"/>
  <c r="M276" i="63"/>
  <c r="S276" i="63"/>
  <c r="AM276" i="63"/>
  <c r="AC276" i="63"/>
  <c r="AI276" i="63"/>
  <c r="H276" i="63"/>
  <c r="AS276" i="63"/>
  <c r="D276" i="63"/>
  <c r="AD276" i="63"/>
  <c r="J276" i="63"/>
  <c r="AF276" i="63"/>
  <c r="AJ276" i="63"/>
  <c r="Z276" i="63"/>
  <c r="AO276" i="63"/>
  <c r="Q276" i="63"/>
  <c r="R276" i="65" s="1"/>
  <c r="Y276" i="63"/>
  <c r="AG276" i="63"/>
  <c r="AE276" i="63"/>
  <c r="AW276" i="63"/>
  <c r="AT276" i="63"/>
  <c r="B276" i="63"/>
  <c r="B276" i="65" s="1"/>
  <c r="AV276" i="63"/>
  <c r="AY276" i="63"/>
  <c r="I276" i="63"/>
  <c r="T276" i="63"/>
  <c r="P276" i="65" s="1"/>
  <c r="P276" i="63"/>
  <c r="U276" i="63"/>
  <c r="O276" i="65" s="1"/>
  <c r="A277" i="63"/>
  <c r="AK276" i="63"/>
  <c r="X276" i="63"/>
  <c r="W276" i="65" s="1"/>
  <c r="AN276" i="63"/>
  <c r="AP276" i="63"/>
  <c r="K276" i="63"/>
  <c r="AA276" i="63"/>
  <c r="E276" i="63"/>
  <c r="M275" i="65"/>
  <c r="N277" i="81"/>
  <c r="R277" i="81"/>
  <c r="T277" i="81"/>
  <c r="P277" i="81"/>
  <c r="H277" i="81"/>
  <c r="A278" i="81"/>
  <c r="O277" i="81"/>
  <c r="U277" i="81"/>
  <c r="K277" i="81"/>
  <c r="L277" i="81"/>
  <c r="C277" i="81"/>
  <c r="D277" i="81"/>
  <c r="J277" i="81"/>
  <c r="S277" i="81"/>
  <c r="Q277" i="81"/>
  <c r="M277" i="81"/>
  <c r="B277" i="81"/>
  <c r="F277" i="81"/>
  <c r="E277" i="81"/>
  <c r="G277" i="81"/>
  <c r="I277" i="81"/>
  <c r="N275" i="65"/>
  <c r="H275" i="65"/>
  <c r="N276" i="65" l="1"/>
  <c r="AV277" i="63"/>
  <c r="T277" i="63"/>
  <c r="P277" i="65" s="1"/>
  <c r="Z277" i="63"/>
  <c r="AC277" i="63"/>
  <c r="Q277" i="63"/>
  <c r="R277" i="65" s="1"/>
  <c r="AJ277" i="63"/>
  <c r="AP277" i="63"/>
  <c r="E277" i="63"/>
  <c r="K277" i="63"/>
  <c r="AG277" i="63"/>
  <c r="U277" i="63"/>
  <c r="O277" i="65" s="1"/>
  <c r="AA277" i="63"/>
  <c r="AW277" i="63"/>
  <c r="AK277" i="63"/>
  <c r="AQ277" i="63"/>
  <c r="B277" i="63"/>
  <c r="B277" i="65" s="1"/>
  <c r="F277" i="63"/>
  <c r="AM277" i="63"/>
  <c r="V277" i="63"/>
  <c r="AR277" i="63"/>
  <c r="AH277" i="63"/>
  <c r="H277" i="63"/>
  <c r="AT277" i="63"/>
  <c r="A278" i="63"/>
  <c r="C277" i="63"/>
  <c r="X277" i="65" s="1"/>
  <c r="L277" i="63"/>
  <c r="O277" i="63"/>
  <c r="AN277" i="63"/>
  <c r="M277" i="63"/>
  <c r="AY277" i="63"/>
  <c r="D277" i="63"/>
  <c r="AL277" i="63"/>
  <c r="X277" i="63"/>
  <c r="W277" i="65" s="1"/>
  <c r="I277" i="63"/>
  <c r="Y277" i="63"/>
  <c r="J277" i="63"/>
  <c r="AE277" i="63"/>
  <c r="AS277" i="63"/>
  <c r="AU277" i="63"/>
  <c r="G277" i="63"/>
  <c r="P277" i="63"/>
  <c r="N277" i="63"/>
  <c r="AF277" i="63"/>
  <c r="W277" i="63"/>
  <c r="R277" i="63"/>
  <c r="AD277" i="63"/>
  <c r="AX277" i="63"/>
  <c r="AB277" i="63"/>
  <c r="S277" i="63"/>
  <c r="AI277" i="63"/>
  <c r="AO277" i="63"/>
  <c r="H276" i="65"/>
  <c r="U276" i="65"/>
  <c r="Y276" i="65"/>
  <c r="Q278" i="81"/>
  <c r="T278" i="81"/>
  <c r="N278" i="81"/>
  <c r="A279" i="81"/>
  <c r="O278" i="81"/>
  <c r="D278" i="81"/>
  <c r="K278" i="81"/>
  <c r="P278" i="81"/>
  <c r="R278" i="81"/>
  <c r="S278" i="81"/>
  <c r="C278" i="81"/>
  <c r="E278" i="81"/>
  <c r="J278" i="81"/>
  <c r="H278" i="81"/>
  <c r="L278" i="81"/>
  <c r="M278" i="81"/>
  <c r="U278" i="81"/>
  <c r="G278" i="81"/>
  <c r="F278" i="81"/>
  <c r="I278" i="81"/>
  <c r="B278" i="81"/>
  <c r="M276" i="65"/>
  <c r="S276" i="65"/>
  <c r="S277" i="65" l="1"/>
  <c r="H277" i="65"/>
  <c r="M277" i="65"/>
  <c r="U277" i="65"/>
  <c r="O278" i="63"/>
  <c r="S278" i="63"/>
  <c r="I278" i="63"/>
  <c r="AE278" i="63"/>
  <c r="AI278" i="63"/>
  <c r="Y278" i="63"/>
  <c r="AU278" i="63"/>
  <c r="AY278" i="63"/>
  <c r="AO278" i="63"/>
  <c r="P278" i="63"/>
  <c r="D278" i="63"/>
  <c r="E278" i="63"/>
  <c r="AF278" i="63"/>
  <c r="T278" i="63"/>
  <c r="P278" i="65" s="1"/>
  <c r="J278" i="63"/>
  <c r="AV278" i="63"/>
  <c r="L278" i="63"/>
  <c r="Q278" i="63"/>
  <c r="R278" i="65" s="1"/>
  <c r="AJ278" i="63"/>
  <c r="U278" i="63"/>
  <c r="O278" i="65" s="1"/>
  <c r="AG278" i="63"/>
  <c r="V278" i="63"/>
  <c r="Z278" i="63"/>
  <c r="M278" i="63"/>
  <c r="B278" i="63"/>
  <c r="B278" i="65" s="1"/>
  <c r="G278" i="63"/>
  <c r="AB278" i="63"/>
  <c r="AC278" i="63"/>
  <c r="W278" i="63"/>
  <c r="AK278" i="63"/>
  <c r="AS278" i="63"/>
  <c r="N278" i="63"/>
  <c r="AA278" i="63"/>
  <c r="AD278" i="63"/>
  <c r="AR278" i="63"/>
  <c r="AT278" i="63"/>
  <c r="K278" i="63"/>
  <c r="AP278" i="63"/>
  <c r="AW278" i="63"/>
  <c r="AQ278" i="63"/>
  <c r="AH278" i="63"/>
  <c r="AX278" i="63"/>
  <c r="C278" i="63"/>
  <c r="X278" i="65" s="1"/>
  <c r="F278" i="63"/>
  <c r="AL278" i="63"/>
  <c r="AM278" i="63"/>
  <c r="H278" i="63"/>
  <c r="X278" i="63"/>
  <c r="W278" i="65" s="1"/>
  <c r="AN278" i="63"/>
  <c r="A279" i="63"/>
  <c r="R278" i="63"/>
  <c r="S278" i="65" s="1"/>
  <c r="N279" i="81"/>
  <c r="J279" i="81"/>
  <c r="G279" i="81"/>
  <c r="K279" i="81"/>
  <c r="R279" i="81"/>
  <c r="H279" i="81"/>
  <c r="I279" i="81"/>
  <c r="P279" i="81"/>
  <c r="Q279" i="81"/>
  <c r="S279" i="81"/>
  <c r="C279" i="81"/>
  <c r="D279" i="81"/>
  <c r="E279" i="81"/>
  <c r="A280" i="81"/>
  <c r="M279" i="81"/>
  <c r="O279" i="81"/>
  <c r="U279" i="81"/>
  <c r="L279" i="81"/>
  <c r="T279" i="81"/>
  <c r="F279" i="81"/>
  <c r="B279" i="81"/>
  <c r="N277" i="65"/>
  <c r="Y277" i="65"/>
  <c r="M278" i="65" l="1"/>
  <c r="H278" i="65"/>
  <c r="N278" i="65"/>
  <c r="Y278" i="65"/>
  <c r="AS279" i="63"/>
  <c r="AX279" i="63"/>
  <c r="H279" i="63"/>
  <c r="N279" i="63"/>
  <c r="D279" i="63"/>
  <c r="I279" i="63"/>
  <c r="AD279" i="63"/>
  <c r="T279" i="63"/>
  <c r="P279" i="65" s="1"/>
  <c r="J279" i="63"/>
  <c r="AT279" i="63"/>
  <c r="S279" i="63"/>
  <c r="O279" i="63"/>
  <c r="AJ279" i="63"/>
  <c r="X279" i="63"/>
  <c r="W279" i="65" s="1"/>
  <c r="AE279" i="63"/>
  <c r="E279" i="63"/>
  <c r="A280" i="63"/>
  <c r="AU279" i="63"/>
  <c r="U279" i="63"/>
  <c r="O279" i="65" s="1"/>
  <c r="Z279" i="63"/>
  <c r="K279" i="63"/>
  <c r="AF279" i="63"/>
  <c r="AK279" i="63"/>
  <c r="AN279" i="63"/>
  <c r="AQ279" i="63"/>
  <c r="Q279" i="63"/>
  <c r="R279" i="65" s="1"/>
  <c r="V279" i="63"/>
  <c r="AP279" i="63"/>
  <c r="L279" i="63"/>
  <c r="AG279" i="63"/>
  <c r="AL279" i="63"/>
  <c r="AY279" i="63"/>
  <c r="R279" i="63"/>
  <c r="AH279" i="63"/>
  <c r="F279" i="63"/>
  <c r="G279" i="63"/>
  <c r="W279" i="63"/>
  <c r="AA279" i="63"/>
  <c r="C279" i="63"/>
  <c r="X279" i="65" s="1"/>
  <c r="AB279" i="63"/>
  <c r="AI279" i="63"/>
  <c r="AR279" i="63"/>
  <c r="AO279" i="63"/>
  <c r="M279" i="63"/>
  <c r="Y279" i="63"/>
  <c r="AC279" i="63"/>
  <c r="P279" i="63"/>
  <c r="AV279" i="63"/>
  <c r="AW279" i="63"/>
  <c r="B279" i="63"/>
  <c r="B279" i="65" s="1"/>
  <c r="AM279" i="63"/>
  <c r="Q280" i="81"/>
  <c r="R280" i="81"/>
  <c r="B280" i="81"/>
  <c r="D280" i="81"/>
  <c r="L280" i="81"/>
  <c r="C280" i="81"/>
  <c r="S280" i="81"/>
  <c r="U280" i="81"/>
  <c r="I280" i="81"/>
  <c r="O280" i="81"/>
  <c r="G280" i="81"/>
  <c r="H280" i="81"/>
  <c r="N280" i="81"/>
  <c r="A281" i="81"/>
  <c r="P280" i="81"/>
  <c r="F280" i="81"/>
  <c r="J280" i="81"/>
  <c r="T280" i="81"/>
  <c r="K280" i="81"/>
  <c r="M280" i="81"/>
  <c r="E280" i="81"/>
  <c r="U278" i="65"/>
  <c r="Y279" i="65" l="1"/>
  <c r="N279" i="65"/>
  <c r="H279" i="65"/>
  <c r="M279" i="65"/>
  <c r="U279" i="65"/>
  <c r="S279" i="65"/>
  <c r="L280" i="63"/>
  <c r="R280" i="63"/>
  <c r="W280" i="63"/>
  <c r="AB280" i="63"/>
  <c r="AH280" i="63"/>
  <c r="AR280" i="63"/>
  <c r="AX280" i="63"/>
  <c r="X280" i="63"/>
  <c r="W280" i="65" s="1"/>
  <c r="M280" i="63"/>
  <c r="C280" i="63"/>
  <c r="X280" i="65" s="1"/>
  <c r="AC280" i="63"/>
  <c r="AG280" i="63"/>
  <c r="AS280" i="63"/>
  <c r="S280" i="63"/>
  <c r="AL280" i="63"/>
  <c r="A281" i="63"/>
  <c r="N280" i="63"/>
  <c r="AI280" i="63"/>
  <c r="AN280" i="63"/>
  <c r="Y280" i="63"/>
  <c r="AT280" i="63"/>
  <c r="D280" i="63"/>
  <c r="H280" i="63"/>
  <c r="J280" i="63"/>
  <c r="AE280" i="63"/>
  <c r="AJ280" i="63"/>
  <c r="G280" i="63"/>
  <c r="Z280" i="63"/>
  <c r="AU280" i="63"/>
  <c r="E280" i="63"/>
  <c r="AM280" i="63"/>
  <c r="AP280" i="63"/>
  <c r="AW280" i="63"/>
  <c r="K280" i="63"/>
  <c r="F280" i="63"/>
  <c r="AA280" i="63"/>
  <c r="AQ280" i="63"/>
  <c r="AD280" i="63"/>
  <c r="O280" i="63"/>
  <c r="AF280" i="63"/>
  <c r="AV280" i="63"/>
  <c r="B280" i="63"/>
  <c r="B280" i="65" s="1"/>
  <c r="AY280" i="63"/>
  <c r="T280" i="63"/>
  <c r="P280" i="65" s="1"/>
  <c r="U280" i="63"/>
  <c r="O280" i="65" s="1"/>
  <c r="AK280" i="63"/>
  <c r="I280" i="63"/>
  <c r="Q280" i="63"/>
  <c r="R280" i="65" s="1"/>
  <c r="AO280" i="63"/>
  <c r="V280" i="63"/>
  <c r="P280" i="63"/>
  <c r="U281" i="81"/>
  <c r="A282" i="81"/>
  <c r="R281" i="81"/>
  <c r="S281" i="81"/>
  <c r="I281" i="81"/>
  <c r="O281" i="81"/>
  <c r="P281" i="81"/>
  <c r="T281" i="81"/>
  <c r="B281" i="81"/>
  <c r="D281" i="81"/>
  <c r="H281" i="81"/>
  <c r="N281" i="81"/>
  <c r="C281" i="81"/>
  <c r="M281" i="81"/>
  <c r="F281" i="81"/>
  <c r="G281" i="81"/>
  <c r="J281" i="81"/>
  <c r="L281" i="81"/>
  <c r="E281" i="81"/>
  <c r="Q281" i="81"/>
  <c r="K281" i="81"/>
  <c r="Y280" i="65" l="1"/>
  <c r="S280" i="65"/>
  <c r="N280" i="65"/>
  <c r="M280" i="65"/>
  <c r="H280" i="65"/>
  <c r="O282" i="81"/>
  <c r="K282" i="81"/>
  <c r="P282" i="81"/>
  <c r="L282" i="81"/>
  <c r="D282" i="81"/>
  <c r="C282" i="81"/>
  <c r="M282" i="81"/>
  <c r="Q282" i="81"/>
  <c r="U282" i="81"/>
  <c r="B282" i="81"/>
  <c r="E282" i="81"/>
  <c r="H282" i="81"/>
  <c r="I282" i="81"/>
  <c r="R282" i="81"/>
  <c r="S282" i="81"/>
  <c r="T282" i="81"/>
  <c r="J282" i="81"/>
  <c r="N282" i="81"/>
  <c r="A283" i="81"/>
  <c r="F282" i="81"/>
  <c r="G282" i="81"/>
  <c r="U280" i="65"/>
  <c r="J281" i="63"/>
  <c r="N281" i="65" s="1"/>
  <c r="AF281" i="63"/>
  <c r="AJ281" i="63"/>
  <c r="Z281" i="63"/>
  <c r="AV281" i="63"/>
  <c r="AK281" i="63"/>
  <c r="AP281" i="63"/>
  <c r="Q281" i="63"/>
  <c r="R281" i="65" s="1"/>
  <c r="AL281" i="63"/>
  <c r="K281" i="63"/>
  <c r="AU281" i="63"/>
  <c r="AA281" i="63"/>
  <c r="AG281" i="63"/>
  <c r="D281" i="63"/>
  <c r="A282" i="63"/>
  <c r="AQ281" i="63"/>
  <c r="AW281" i="63"/>
  <c r="E281" i="63"/>
  <c r="L281" i="63"/>
  <c r="B281" i="63"/>
  <c r="B281" i="65" s="1"/>
  <c r="F281" i="63"/>
  <c r="W281" i="63"/>
  <c r="AR281" i="63"/>
  <c r="R281" i="63"/>
  <c r="V281" i="63"/>
  <c r="Y281" i="65" s="1"/>
  <c r="H281" i="63"/>
  <c r="AC281" i="63"/>
  <c r="AX281" i="63"/>
  <c r="U281" i="63"/>
  <c r="O281" i="65" s="1"/>
  <c r="X281" i="63"/>
  <c r="W281" i="65" s="1"/>
  <c r="AS281" i="63"/>
  <c r="C281" i="63"/>
  <c r="X281" i="65" s="1"/>
  <c r="AT281" i="63"/>
  <c r="P281" i="63"/>
  <c r="AH281" i="63"/>
  <c r="S281" i="63"/>
  <c r="AI281" i="63"/>
  <c r="AM281" i="63"/>
  <c r="AE281" i="63"/>
  <c r="AN281" i="63"/>
  <c r="O281" i="63"/>
  <c r="I281" i="63"/>
  <c r="T281" i="63"/>
  <c r="P281" i="65" s="1"/>
  <c r="Y281" i="63"/>
  <c r="AO281" i="63"/>
  <c r="AB281" i="63"/>
  <c r="M281" i="63"/>
  <c r="N281" i="63"/>
  <c r="AD281" i="63"/>
  <c r="G281" i="63"/>
  <c r="AY281" i="63"/>
  <c r="S281" i="65" l="1"/>
  <c r="U281" i="65"/>
  <c r="AT282" i="63"/>
  <c r="AN282" i="63"/>
  <c r="O282" i="63"/>
  <c r="S282" i="63"/>
  <c r="I282" i="63"/>
  <c r="AE282" i="63"/>
  <c r="T282" i="63"/>
  <c r="P282" i="65" s="1"/>
  <c r="A283" i="63"/>
  <c r="Y282" i="63"/>
  <c r="AU282" i="63"/>
  <c r="AO282" i="63"/>
  <c r="P282" i="63"/>
  <c r="AC282" i="63"/>
  <c r="E282" i="63"/>
  <c r="J282" i="63"/>
  <c r="AF282" i="63"/>
  <c r="AJ282" i="63"/>
  <c r="U282" i="63"/>
  <c r="O282" i="65" s="1"/>
  <c r="Z282" i="63"/>
  <c r="AV282" i="63"/>
  <c r="C282" i="63"/>
  <c r="X282" i="65" s="1"/>
  <c r="F282" i="63"/>
  <c r="K282" i="63"/>
  <c r="AG282" i="63"/>
  <c r="AH282" i="63"/>
  <c r="AL282" i="63"/>
  <c r="AQ282" i="63"/>
  <c r="AS282" i="63"/>
  <c r="G282" i="63"/>
  <c r="L282" i="63"/>
  <c r="AX282" i="63"/>
  <c r="W282" i="63"/>
  <c r="R282" i="63"/>
  <c r="AM282" i="63"/>
  <c r="H282" i="63"/>
  <c r="AI282" i="63"/>
  <c r="X282" i="63"/>
  <c r="W282" i="65" s="1"/>
  <c r="AP282" i="63"/>
  <c r="AA282" i="63"/>
  <c r="AR282" i="63"/>
  <c r="N282" i="63"/>
  <c r="AD282" i="63"/>
  <c r="Q282" i="63"/>
  <c r="R282" i="65" s="1"/>
  <c r="AW282" i="63"/>
  <c r="AY282" i="63"/>
  <c r="B282" i="63"/>
  <c r="B282" i="65" s="1"/>
  <c r="AK282" i="63"/>
  <c r="D282" i="63"/>
  <c r="V282" i="63"/>
  <c r="M282" i="63"/>
  <c r="AB282" i="63"/>
  <c r="H281" i="65"/>
  <c r="F283" i="81"/>
  <c r="J283" i="81"/>
  <c r="K283" i="81"/>
  <c r="M283" i="81"/>
  <c r="Q283" i="81"/>
  <c r="H283" i="81"/>
  <c r="I283" i="81"/>
  <c r="U283" i="81"/>
  <c r="B283" i="81"/>
  <c r="C283" i="81"/>
  <c r="R283" i="81"/>
  <c r="D283" i="81"/>
  <c r="N283" i="81"/>
  <c r="G283" i="81"/>
  <c r="O283" i="81"/>
  <c r="P283" i="81"/>
  <c r="A284" i="81"/>
  <c r="L283" i="81"/>
  <c r="S283" i="81"/>
  <c r="T283" i="81"/>
  <c r="E283" i="81"/>
  <c r="M281" i="65"/>
  <c r="U282" i="65" l="1"/>
  <c r="N282" i="65"/>
  <c r="Y282" i="65"/>
  <c r="M282" i="65"/>
  <c r="V283" i="63"/>
  <c r="AR283" i="63"/>
  <c r="AG283" i="63"/>
  <c r="A284" i="63"/>
  <c r="AL283" i="63"/>
  <c r="M283" i="63"/>
  <c r="AH283" i="63"/>
  <c r="G283" i="63"/>
  <c r="AC283" i="63"/>
  <c r="AQ283" i="63"/>
  <c r="W283" i="63"/>
  <c r="AS283" i="63"/>
  <c r="AX283" i="63"/>
  <c r="C283" i="63"/>
  <c r="X283" i="65" s="1"/>
  <c r="AM283" i="63"/>
  <c r="N283" i="63"/>
  <c r="Q283" i="63"/>
  <c r="R283" i="65" s="1"/>
  <c r="S283" i="63"/>
  <c r="H283" i="63"/>
  <c r="AD283" i="63"/>
  <c r="AY283" i="63"/>
  <c r="AN283" i="63"/>
  <c r="O283" i="63"/>
  <c r="AW283" i="63"/>
  <c r="T283" i="63"/>
  <c r="P283" i="65" s="1"/>
  <c r="Y283" i="63"/>
  <c r="AU283" i="63"/>
  <c r="AJ283" i="63"/>
  <c r="AO283" i="63"/>
  <c r="B283" i="63"/>
  <c r="B283" i="65" s="1"/>
  <c r="I283" i="63"/>
  <c r="J283" i="63"/>
  <c r="Z283" i="63"/>
  <c r="AP283" i="63"/>
  <c r="L283" i="63"/>
  <c r="AB283" i="63"/>
  <c r="AE283" i="63"/>
  <c r="AI283" i="63"/>
  <c r="K283" i="63"/>
  <c r="D283" i="63"/>
  <c r="P283" i="63"/>
  <c r="E283" i="63"/>
  <c r="R283" i="63"/>
  <c r="U283" i="63"/>
  <c r="O283" i="65" s="1"/>
  <c r="AA283" i="63"/>
  <c r="AF283" i="63"/>
  <c r="AK283" i="63"/>
  <c r="AV283" i="63"/>
  <c r="F283" i="63"/>
  <c r="X283" i="63"/>
  <c r="W283" i="65" s="1"/>
  <c r="AT283" i="63"/>
  <c r="U284" i="81"/>
  <c r="I284" i="81"/>
  <c r="B284" i="81"/>
  <c r="R284" i="81"/>
  <c r="S284" i="81"/>
  <c r="D284" i="81"/>
  <c r="F284" i="81"/>
  <c r="H284" i="81"/>
  <c r="J284" i="81"/>
  <c r="M284" i="81"/>
  <c r="G284" i="81"/>
  <c r="N284" i="81"/>
  <c r="C284" i="81"/>
  <c r="A285" i="81"/>
  <c r="E284" i="81"/>
  <c r="K284" i="81"/>
  <c r="L284" i="81"/>
  <c r="Q284" i="81"/>
  <c r="P284" i="81"/>
  <c r="T284" i="81"/>
  <c r="O284" i="81"/>
  <c r="S282" i="65"/>
  <c r="H282" i="65"/>
  <c r="S283" i="65" l="1"/>
  <c r="N283" i="65"/>
  <c r="H283" i="65"/>
  <c r="T284" i="63"/>
  <c r="P284" i="65" s="1"/>
  <c r="AN284" i="63"/>
  <c r="P284" i="63"/>
  <c r="J284" i="63"/>
  <c r="Y284" i="63"/>
  <c r="AJ284" i="63"/>
  <c r="Z284" i="63"/>
  <c r="AD284" i="63"/>
  <c r="Q284" i="63"/>
  <c r="R284" i="65" s="1"/>
  <c r="E284" i="63"/>
  <c r="AP284" i="63"/>
  <c r="AF284" i="63"/>
  <c r="AG284" i="63"/>
  <c r="U284" i="63"/>
  <c r="O284" i="65" s="1"/>
  <c r="K284" i="63"/>
  <c r="AO284" i="63"/>
  <c r="AW284" i="63"/>
  <c r="AA284" i="63"/>
  <c r="AT284" i="63"/>
  <c r="R284" i="63"/>
  <c r="F284" i="63"/>
  <c r="L284" i="63"/>
  <c r="AV284" i="63"/>
  <c r="C284" i="63"/>
  <c r="X284" i="65" s="1"/>
  <c r="G284" i="63"/>
  <c r="M284" i="63"/>
  <c r="AM284" i="63"/>
  <c r="H284" i="63"/>
  <c r="X284" i="63"/>
  <c r="W284" i="65" s="1"/>
  <c r="A285" i="63"/>
  <c r="B284" i="63"/>
  <c r="B284" i="65" s="1"/>
  <c r="AQ284" i="63"/>
  <c r="AH284" i="63"/>
  <c r="AB284" i="63"/>
  <c r="AC284" i="63"/>
  <c r="S284" i="63"/>
  <c r="AS284" i="63"/>
  <c r="AI284" i="63"/>
  <c r="I284" i="63"/>
  <c r="AY284" i="63"/>
  <c r="N284" i="63"/>
  <c r="D284" i="63"/>
  <c r="O284" i="63"/>
  <c r="AK284" i="63"/>
  <c r="AU284" i="63"/>
  <c r="V284" i="63"/>
  <c r="AE284" i="63"/>
  <c r="AL284" i="63"/>
  <c r="W284" i="63"/>
  <c r="AX284" i="63"/>
  <c r="AR284" i="63"/>
  <c r="M283" i="65"/>
  <c r="U283" i="65"/>
  <c r="O285" i="81"/>
  <c r="N285" i="81"/>
  <c r="P285" i="81"/>
  <c r="H285" i="81"/>
  <c r="Q285" i="81"/>
  <c r="R285" i="81"/>
  <c r="G285" i="81"/>
  <c r="E285" i="81"/>
  <c r="U285" i="81"/>
  <c r="D285" i="81"/>
  <c r="F285" i="81"/>
  <c r="I285" i="81"/>
  <c r="L285" i="81"/>
  <c r="M285" i="81"/>
  <c r="T285" i="81"/>
  <c r="B285" i="81"/>
  <c r="C285" i="81"/>
  <c r="A286" i="81"/>
  <c r="J285" i="81"/>
  <c r="K285" i="81"/>
  <c r="S285" i="81"/>
  <c r="Y283" i="65"/>
  <c r="M284" i="65" l="1"/>
  <c r="Y284" i="65"/>
  <c r="H284" i="65"/>
  <c r="S284" i="65"/>
  <c r="N286" i="81"/>
  <c r="O286" i="81"/>
  <c r="P286" i="81"/>
  <c r="C286" i="81"/>
  <c r="A287" i="81"/>
  <c r="M286" i="81"/>
  <c r="Q286" i="81"/>
  <c r="F286" i="81"/>
  <c r="G286" i="81"/>
  <c r="I286" i="81"/>
  <c r="H286" i="81"/>
  <c r="R286" i="81"/>
  <c r="S286" i="81"/>
  <c r="L286" i="81"/>
  <c r="K286" i="81"/>
  <c r="D286" i="81"/>
  <c r="E286" i="81"/>
  <c r="B286" i="81"/>
  <c r="T286" i="81"/>
  <c r="U286" i="81"/>
  <c r="J286" i="81"/>
  <c r="U284" i="65"/>
  <c r="N284" i="65"/>
  <c r="AR285" i="63"/>
  <c r="A286" i="63"/>
  <c r="O285" i="63"/>
  <c r="S285" i="63"/>
  <c r="AN285" i="63"/>
  <c r="AT285" i="63"/>
  <c r="AE285" i="63"/>
  <c r="I285" i="63"/>
  <c r="G285" i="63"/>
  <c r="AU285" i="63"/>
  <c r="AI285" i="63"/>
  <c r="Y285" i="63"/>
  <c r="N285" i="63"/>
  <c r="P285" i="63"/>
  <c r="AY285" i="63"/>
  <c r="AO285" i="63"/>
  <c r="L285" i="63"/>
  <c r="AF285" i="63"/>
  <c r="D285" i="63"/>
  <c r="J285" i="63"/>
  <c r="M285" i="63"/>
  <c r="Q285" i="63"/>
  <c r="R285" i="65" s="1"/>
  <c r="AJ285" i="63"/>
  <c r="AP285" i="63"/>
  <c r="B285" i="63"/>
  <c r="B285" i="65" s="1"/>
  <c r="AK285" i="63"/>
  <c r="AQ285" i="63"/>
  <c r="V285" i="63"/>
  <c r="AL285" i="63"/>
  <c r="H285" i="63"/>
  <c r="X285" i="63"/>
  <c r="W285" i="65" s="1"/>
  <c r="AV285" i="63"/>
  <c r="Z285" i="63"/>
  <c r="AG285" i="63"/>
  <c r="K285" i="63"/>
  <c r="W285" i="63"/>
  <c r="R285" i="63"/>
  <c r="S285" i="65" s="1"/>
  <c r="AB285" i="63"/>
  <c r="AH285" i="63"/>
  <c r="AC285" i="63"/>
  <c r="AX285" i="63"/>
  <c r="AD285" i="63"/>
  <c r="C285" i="63"/>
  <c r="X285" i="65" s="1"/>
  <c r="AM285" i="63"/>
  <c r="T285" i="63"/>
  <c r="P285" i="65" s="1"/>
  <c r="AS285" i="63"/>
  <c r="E285" i="63"/>
  <c r="U285" i="63"/>
  <c r="O285" i="65" s="1"/>
  <c r="F285" i="63"/>
  <c r="AW285" i="63"/>
  <c r="AA285" i="63"/>
  <c r="N285" i="65" l="1"/>
  <c r="AW286" i="63"/>
  <c r="H286" i="63"/>
  <c r="K286" i="63"/>
  <c r="M286" i="63"/>
  <c r="B286" i="63"/>
  <c r="B286" i="65" s="1"/>
  <c r="X286" i="63"/>
  <c r="W286" i="65" s="1"/>
  <c r="L286" i="63"/>
  <c r="AC286" i="63"/>
  <c r="Z286" i="63"/>
  <c r="AS286" i="63"/>
  <c r="R286" i="63"/>
  <c r="AN286" i="63"/>
  <c r="U286" i="63"/>
  <c r="O286" i="65" s="1"/>
  <c r="N286" i="63"/>
  <c r="AH286" i="63"/>
  <c r="I286" i="63"/>
  <c r="AD286" i="63"/>
  <c r="AX286" i="63"/>
  <c r="Y286" i="63"/>
  <c r="AR286" i="63"/>
  <c r="O286" i="63"/>
  <c r="S286" i="63"/>
  <c r="AA286" i="63"/>
  <c r="AY286" i="63"/>
  <c r="T286" i="63"/>
  <c r="P286" i="65" s="1"/>
  <c r="F286" i="63"/>
  <c r="V286" i="63"/>
  <c r="AL286" i="63"/>
  <c r="G286" i="63"/>
  <c r="AT286" i="63"/>
  <c r="W286" i="63"/>
  <c r="AU286" i="63"/>
  <c r="AO286" i="63"/>
  <c r="A287" i="63"/>
  <c r="P286" i="63"/>
  <c r="AB286" i="63"/>
  <c r="AF286" i="63"/>
  <c r="AJ286" i="63"/>
  <c r="AV286" i="63"/>
  <c r="AK286" i="63"/>
  <c r="Q286" i="63"/>
  <c r="R286" i="65" s="1"/>
  <c r="AP286" i="63"/>
  <c r="AQ286" i="63"/>
  <c r="AG286" i="63"/>
  <c r="D286" i="63"/>
  <c r="C286" i="63"/>
  <c r="X286" i="65" s="1"/>
  <c r="E286" i="63"/>
  <c r="AI286" i="63"/>
  <c r="J286" i="63"/>
  <c r="N286" i="65" s="1"/>
  <c r="AE286" i="63"/>
  <c r="AM286" i="63"/>
  <c r="U285" i="65"/>
  <c r="E287" i="81"/>
  <c r="F287" i="81"/>
  <c r="J287" i="81"/>
  <c r="K287" i="81"/>
  <c r="I287" i="81"/>
  <c r="M287" i="81"/>
  <c r="L287" i="81"/>
  <c r="N287" i="81"/>
  <c r="O287" i="81"/>
  <c r="B287" i="81"/>
  <c r="R287" i="81"/>
  <c r="S287" i="81"/>
  <c r="H287" i="81"/>
  <c r="D287" i="81"/>
  <c r="P287" i="81"/>
  <c r="Q287" i="81"/>
  <c r="T287" i="81"/>
  <c r="U287" i="81"/>
  <c r="A288" i="81"/>
  <c r="C287" i="81"/>
  <c r="G287" i="81"/>
  <c r="M285" i="65"/>
  <c r="H285" i="65"/>
  <c r="Y285" i="65"/>
  <c r="S286" i="65" l="1"/>
  <c r="Y286" i="65"/>
  <c r="S288" i="81"/>
  <c r="B288" i="81"/>
  <c r="D288" i="81"/>
  <c r="L288" i="81"/>
  <c r="T288" i="81"/>
  <c r="R288" i="81"/>
  <c r="J288" i="81"/>
  <c r="E288" i="81"/>
  <c r="U288" i="81"/>
  <c r="G288" i="81"/>
  <c r="H288" i="81"/>
  <c r="K288" i="81"/>
  <c r="O288" i="81"/>
  <c r="P288" i="81"/>
  <c r="Q288" i="81"/>
  <c r="C288" i="81"/>
  <c r="F288" i="81"/>
  <c r="M288" i="81"/>
  <c r="N288" i="81"/>
  <c r="I288" i="81"/>
  <c r="A289" i="81"/>
  <c r="U286" i="65"/>
  <c r="H286" i="65"/>
  <c r="K287" i="63"/>
  <c r="AF287" i="63"/>
  <c r="G287" i="63"/>
  <c r="J287" i="63"/>
  <c r="AA287" i="63"/>
  <c r="AV287" i="63"/>
  <c r="W287" i="63"/>
  <c r="R287" i="63"/>
  <c r="AQ287" i="63"/>
  <c r="Q287" i="63"/>
  <c r="R287" i="65" s="1"/>
  <c r="AM287" i="63"/>
  <c r="Y287" i="63"/>
  <c r="L287" i="63"/>
  <c r="AG287" i="63"/>
  <c r="Z287" i="63"/>
  <c r="S287" i="63"/>
  <c r="AB287" i="63"/>
  <c r="AW287" i="63"/>
  <c r="AH287" i="63"/>
  <c r="X287" i="63"/>
  <c r="W287" i="65" s="1"/>
  <c r="AR287" i="63"/>
  <c r="D287" i="63"/>
  <c r="AI287" i="63"/>
  <c r="AX287" i="63"/>
  <c r="AC287" i="63"/>
  <c r="AO287" i="63"/>
  <c r="AU287" i="63"/>
  <c r="C287" i="63"/>
  <c r="X287" i="65" s="1"/>
  <c r="P287" i="63"/>
  <c r="T287" i="63"/>
  <c r="P287" i="65" s="1"/>
  <c r="H287" i="63"/>
  <c r="AJ287" i="63"/>
  <c r="I287" i="63"/>
  <c r="E287" i="63"/>
  <c r="U287" i="63"/>
  <c r="O287" i="65" s="1"/>
  <c r="AK287" i="63"/>
  <c r="F287" i="63"/>
  <c r="M287" i="63"/>
  <c r="V287" i="63"/>
  <c r="AS287" i="63"/>
  <c r="AL287" i="63"/>
  <c r="A288" i="63"/>
  <c r="N287" i="63"/>
  <c r="AN287" i="63"/>
  <c r="AD287" i="63"/>
  <c r="AP287" i="63"/>
  <c r="AT287" i="63"/>
  <c r="B287" i="63"/>
  <c r="B287" i="65" s="1"/>
  <c r="O287" i="63"/>
  <c r="AE287" i="63"/>
  <c r="AY287" i="63"/>
  <c r="M286" i="65"/>
  <c r="Y287" i="65" l="1"/>
  <c r="H287" i="65"/>
  <c r="M287" i="65"/>
  <c r="S289" i="81"/>
  <c r="E289" i="81"/>
  <c r="K289" i="81"/>
  <c r="H289" i="81"/>
  <c r="F289" i="81"/>
  <c r="G289" i="81"/>
  <c r="L289" i="81"/>
  <c r="M289" i="81"/>
  <c r="N289" i="81"/>
  <c r="U289" i="81"/>
  <c r="B289" i="81"/>
  <c r="C289" i="81"/>
  <c r="Q289" i="81"/>
  <c r="O289" i="81"/>
  <c r="P289" i="81"/>
  <c r="I289" i="81"/>
  <c r="T289" i="81"/>
  <c r="D289" i="81"/>
  <c r="A290" i="81"/>
  <c r="J289" i="81"/>
  <c r="R289" i="81"/>
  <c r="U287" i="65"/>
  <c r="AO288" i="63"/>
  <c r="O288" i="63"/>
  <c r="E288" i="63"/>
  <c r="J288" i="63"/>
  <c r="AE288" i="63"/>
  <c r="U288" i="63"/>
  <c r="O288" i="65" s="1"/>
  <c r="V288" i="63"/>
  <c r="Z288" i="63"/>
  <c r="AU288" i="63"/>
  <c r="AK288" i="63"/>
  <c r="W288" i="63"/>
  <c r="AP288" i="63"/>
  <c r="B288" i="63"/>
  <c r="B288" i="65" s="1"/>
  <c r="AF288" i="63"/>
  <c r="AW288" i="63"/>
  <c r="K288" i="63"/>
  <c r="R288" i="63"/>
  <c r="AG288" i="63"/>
  <c r="AA288" i="63"/>
  <c r="AH288" i="63"/>
  <c r="AL288" i="63"/>
  <c r="L288" i="63"/>
  <c r="C288" i="63"/>
  <c r="X288" i="65" s="1"/>
  <c r="AN288" i="63"/>
  <c r="M288" i="63"/>
  <c r="AV288" i="63"/>
  <c r="AC288" i="63"/>
  <c r="F288" i="63"/>
  <c r="AS288" i="63"/>
  <c r="G288" i="63"/>
  <c r="N288" i="63"/>
  <c r="H288" i="63"/>
  <c r="AD288" i="63"/>
  <c r="P288" i="63"/>
  <c r="AT288" i="63"/>
  <c r="Q288" i="63"/>
  <c r="R288" i="65" s="1"/>
  <c r="X288" i="63"/>
  <c r="W288" i="65" s="1"/>
  <c r="S288" i="63"/>
  <c r="AI288" i="63"/>
  <c r="AY288" i="63"/>
  <c r="I288" i="63"/>
  <c r="D288" i="63"/>
  <c r="Y288" i="63"/>
  <c r="T288" i="63"/>
  <c r="P288" i="65" s="1"/>
  <c r="A289" i="63"/>
  <c r="AQ288" i="63"/>
  <c r="AB288" i="63"/>
  <c r="AJ288" i="63"/>
  <c r="AR288" i="63"/>
  <c r="AM288" i="63"/>
  <c r="AX288" i="63"/>
  <c r="S287" i="65"/>
  <c r="N287" i="65"/>
  <c r="Y288" i="65" l="1"/>
  <c r="N288" i="65"/>
  <c r="U288" i="65"/>
  <c r="M288" i="65"/>
  <c r="I290" i="81"/>
  <c r="N290" i="81"/>
  <c r="O290" i="81"/>
  <c r="K290" i="81"/>
  <c r="J290" i="81"/>
  <c r="E290" i="81"/>
  <c r="F290" i="81"/>
  <c r="P290" i="81"/>
  <c r="Q290" i="81"/>
  <c r="R290" i="81"/>
  <c r="C290" i="81"/>
  <c r="S290" i="81"/>
  <c r="T290" i="81"/>
  <c r="M290" i="81"/>
  <c r="B290" i="81"/>
  <c r="U290" i="81"/>
  <c r="A291" i="81"/>
  <c r="D290" i="81"/>
  <c r="L290" i="81"/>
  <c r="G290" i="81"/>
  <c r="H290" i="81"/>
  <c r="H289" i="63"/>
  <c r="AC289" i="63"/>
  <c r="S289" i="63"/>
  <c r="AD289" i="63"/>
  <c r="X289" i="63"/>
  <c r="W289" i="65" s="1"/>
  <c r="AS289" i="63"/>
  <c r="AI289" i="63"/>
  <c r="U289" i="63"/>
  <c r="O289" i="65" s="1"/>
  <c r="AN289" i="63"/>
  <c r="P289" i="63"/>
  <c r="AY289" i="63"/>
  <c r="V289" i="63"/>
  <c r="I289" i="63"/>
  <c r="AF289" i="63"/>
  <c r="AE289" i="63"/>
  <c r="Y289" i="63"/>
  <c r="AV289" i="63"/>
  <c r="AJ289" i="63"/>
  <c r="AO289" i="63"/>
  <c r="Q289" i="63"/>
  <c r="R289" i="65" s="1"/>
  <c r="AK289" i="63"/>
  <c r="Z289" i="63"/>
  <c r="AG289" i="63"/>
  <c r="AT289" i="63"/>
  <c r="AM289" i="63"/>
  <c r="AX289" i="63"/>
  <c r="A290" i="63"/>
  <c r="J289" i="63"/>
  <c r="C289" i="63"/>
  <c r="X289" i="65" s="1"/>
  <c r="AP289" i="63"/>
  <c r="K289" i="63"/>
  <c r="AL289" i="63"/>
  <c r="AA289" i="63"/>
  <c r="AU289" i="63"/>
  <c r="AQ289" i="63"/>
  <c r="D289" i="63"/>
  <c r="AB289" i="63"/>
  <c r="F289" i="63"/>
  <c r="AR289" i="63"/>
  <c r="N289" i="63"/>
  <c r="M289" i="63"/>
  <c r="O289" i="63"/>
  <c r="T289" i="63"/>
  <c r="P289" i="65" s="1"/>
  <c r="AW289" i="63"/>
  <c r="B289" i="63"/>
  <c r="B289" i="65" s="1"/>
  <c r="G289" i="63"/>
  <c r="R289" i="63"/>
  <c r="W289" i="63"/>
  <c r="AH289" i="63"/>
  <c r="L289" i="63"/>
  <c r="E289" i="63"/>
  <c r="S288" i="65"/>
  <c r="H288" i="65"/>
  <c r="M289" i="65" l="1"/>
  <c r="S289" i="65"/>
  <c r="N289" i="65"/>
  <c r="H289" i="65"/>
  <c r="U289" i="65"/>
  <c r="Y289" i="65"/>
  <c r="I291" i="81"/>
  <c r="S291" i="81"/>
  <c r="D291" i="81"/>
  <c r="U291" i="81"/>
  <c r="E291" i="81"/>
  <c r="P291" i="81"/>
  <c r="F291" i="81"/>
  <c r="J291" i="81"/>
  <c r="N291" i="81"/>
  <c r="O291" i="81"/>
  <c r="Q291" i="81"/>
  <c r="L291" i="81"/>
  <c r="T291" i="81"/>
  <c r="R291" i="81"/>
  <c r="H291" i="81"/>
  <c r="K291" i="81"/>
  <c r="M291" i="81"/>
  <c r="C291" i="81"/>
  <c r="G291" i="81"/>
  <c r="B291" i="81"/>
  <c r="A292" i="81"/>
  <c r="V290" i="63"/>
  <c r="K290" i="63"/>
  <c r="AH290" i="63"/>
  <c r="T290" i="63"/>
  <c r="P290" i="65" s="1"/>
  <c r="AL290" i="63"/>
  <c r="AA290" i="63"/>
  <c r="AI290" i="63"/>
  <c r="G290" i="63"/>
  <c r="AQ290" i="63"/>
  <c r="AJ290" i="63"/>
  <c r="AB290" i="63"/>
  <c r="W290" i="63"/>
  <c r="N290" i="63"/>
  <c r="AR290" i="63"/>
  <c r="AY290" i="63"/>
  <c r="AD290" i="63"/>
  <c r="AS290" i="63"/>
  <c r="AM290" i="63"/>
  <c r="AT290" i="63"/>
  <c r="AX290" i="63"/>
  <c r="X290" i="63"/>
  <c r="W290" i="65" s="1"/>
  <c r="AU290" i="63"/>
  <c r="B290" i="63"/>
  <c r="B290" i="65" s="1"/>
  <c r="E290" i="63"/>
  <c r="P290" i="63"/>
  <c r="U290" i="63"/>
  <c r="O290" i="65" s="1"/>
  <c r="AF290" i="63"/>
  <c r="AK290" i="63"/>
  <c r="AV290" i="63"/>
  <c r="F290" i="63"/>
  <c r="Q290" i="63"/>
  <c r="R290" i="65" s="1"/>
  <c r="H290" i="63"/>
  <c r="AN290" i="63"/>
  <c r="AW290" i="63"/>
  <c r="A291" i="63"/>
  <c r="I290" i="63"/>
  <c r="C290" i="63"/>
  <c r="X290" i="65" s="1"/>
  <c r="Y290" i="63"/>
  <c r="AO290" i="63"/>
  <c r="D290" i="63"/>
  <c r="J290" i="63"/>
  <c r="L290" i="63"/>
  <c r="Z290" i="63"/>
  <c r="M290" i="63"/>
  <c r="AP290" i="63"/>
  <c r="R290" i="63"/>
  <c r="O290" i="63"/>
  <c r="S290" i="63"/>
  <c r="AE290" i="63"/>
  <c r="AC290" i="63"/>
  <c r="AG290" i="63"/>
  <c r="Y290" i="65" l="1"/>
  <c r="N292" i="81"/>
  <c r="O292" i="81"/>
  <c r="F292" i="81"/>
  <c r="T292" i="81"/>
  <c r="E292" i="81"/>
  <c r="H292" i="81"/>
  <c r="I292" i="81"/>
  <c r="J292" i="81"/>
  <c r="P292" i="81"/>
  <c r="B292" i="81"/>
  <c r="Q292" i="81"/>
  <c r="D292" i="81"/>
  <c r="K292" i="81"/>
  <c r="A293" i="81"/>
  <c r="C292" i="81"/>
  <c r="S292" i="81"/>
  <c r="U292" i="81"/>
  <c r="R292" i="81"/>
  <c r="G292" i="81"/>
  <c r="L292" i="81"/>
  <c r="M292" i="81"/>
  <c r="M290" i="65"/>
  <c r="D291" i="63"/>
  <c r="I291" i="63"/>
  <c r="AH291" i="63"/>
  <c r="AA291" i="63"/>
  <c r="T291" i="63"/>
  <c r="P291" i="65" s="1"/>
  <c r="Y291" i="63"/>
  <c r="AP291" i="63"/>
  <c r="AJ291" i="63"/>
  <c r="AO291" i="63"/>
  <c r="AQ291" i="63"/>
  <c r="E291" i="63"/>
  <c r="L291" i="63"/>
  <c r="AV291" i="63"/>
  <c r="U291" i="63"/>
  <c r="O291" i="65" s="1"/>
  <c r="AB291" i="63"/>
  <c r="AW291" i="63"/>
  <c r="AR291" i="63"/>
  <c r="B291" i="63"/>
  <c r="B291" i="65" s="1"/>
  <c r="G291" i="63"/>
  <c r="W291" i="63"/>
  <c r="J291" i="63"/>
  <c r="AM291" i="63"/>
  <c r="K291" i="63"/>
  <c r="H291" i="63"/>
  <c r="M291" i="65" s="1"/>
  <c r="P291" i="63"/>
  <c r="X291" i="63"/>
  <c r="W291" i="65" s="1"/>
  <c r="Q291" i="63"/>
  <c r="R291" i="65" s="1"/>
  <c r="AN291" i="63"/>
  <c r="AC291" i="63"/>
  <c r="AF291" i="63"/>
  <c r="C291" i="63"/>
  <c r="X291" i="65" s="1"/>
  <c r="AS291" i="63"/>
  <c r="AX291" i="63"/>
  <c r="S291" i="63"/>
  <c r="N291" i="63"/>
  <c r="Z291" i="63"/>
  <c r="AI291" i="63"/>
  <c r="AD291" i="63"/>
  <c r="AY291" i="63"/>
  <c r="AT291" i="63"/>
  <c r="AK291" i="63"/>
  <c r="O291" i="63"/>
  <c r="F291" i="63"/>
  <c r="AE291" i="63"/>
  <c r="A292" i="63"/>
  <c r="V291" i="63"/>
  <c r="AU291" i="63"/>
  <c r="AL291" i="63"/>
  <c r="AG291" i="63"/>
  <c r="M291" i="63"/>
  <c r="R291" i="63"/>
  <c r="S290" i="65"/>
  <c r="N290" i="65"/>
  <c r="U290" i="65"/>
  <c r="H290" i="65"/>
  <c r="S291" i="65" l="1"/>
  <c r="N291" i="65"/>
  <c r="K293" i="81"/>
  <c r="L293" i="81"/>
  <c r="P293" i="81"/>
  <c r="Q293" i="81"/>
  <c r="A294" i="81"/>
  <c r="E293" i="81"/>
  <c r="H293" i="81"/>
  <c r="I293" i="81"/>
  <c r="M293" i="81"/>
  <c r="D293" i="81"/>
  <c r="B293" i="81"/>
  <c r="C293" i="81"/>
  <c r="O293" i="81"/>
  <c r="U293" i="81"/>
  <c r="F293" i="81"/>
  <c r="N293" i="81"/>
  <c r="R293" i="81"/>
  <c r="J293" i="81"/>
  <c r="S293" i="81"/>
  <c r="T293" i="81"/>
  <c r="G293" i="81"/>
  <c r="H291" i="65"/>
  <c r="Y291" i="65"/>
  <c r="AX292" i="63"/>
  <c r="AL292" i="63"/>
  <c r="AF292" i="63"/>
  <c r="C292" i="63"/>
  <c r="X292" i="65" s="1"/>
  <c r="G292" i="63"/>
  <c r="AN292" i="63"/>
  <c r="S292" i="63"/>
  <c r="AM292" i="63"/>
  <c r="AT292" i="63"/>
  <c r="AI292" i="63"/>
  <c r="J292" i="63"/>
  <c r="AU292" i="63"/>
  <c r="AY292" i="63"/>
  <c r="AW292" i="63"/>
  <c r="Z292" i="63"/>
  <c r="O292" i="63"/>
  <c r="B292" i="63"/>
  <c r="B292" i="65" s="1"/>
  <c r="AP292" i="63"/>
  <c r="P292" i="63"/>
  <c r="R292" i="63"/>
  <c r="K292" i="63"/>
  <c r="X292" i="63"/>
  <c r="W292" i="65" s="1"/>
  <c r="AH292" i="63"/>
  <c r="AA292" i="63"/>
  <c r="AQ292" i="63"/>
  <c r="AE292" i="63"/>
  <c r="D292" i="63"/>
  <c r="L292" i="63"/>
  <c r="Y292" i="63"/>
  <c r="AR292" i="63"/>
  <c r="AJ292" i="63"/>
  <c r="M292" i="63"/>
  <c r="E292" i="63"/>
  <c r="AC292" i="63"/>
  <c r="U292" i="63"/>
  <c r="O292" i="65" s="1"/>
  <c r="AS292" i="63"/>
  <c r="A293" i="63"/>
  <c r="AO292" i="63"/>
  <c r="AK292" i="63"/>
  <c r="AV292" i="63"/>
  <c r="F292" i="63"/>
  <c r="H292" i="63"/>
  <c r="Q292" i="63"/>
  <c r="R292" i="65" s="1"/>
  <c r="V292" i="63"/>
  <c r="I292" i="63"/>
  <c r="AG292" i="63"/>
  <c r="W292" i="63"/>
  <c r="N292" i="63"/>
  <c r="T292" i="63"/>
  <c r="P292" i="65" s="1"/>
  <c r="AB292" i="63"/>
  <c r="AD292" i="63"/>
  <c r="U291" i="65"/>
  <c r="S292" i="65" l="1"/>
  <c r="Q293" i="63"/>
  <c r="R293" i="65" s="1"/>
  <c r="E293" i="63"/>
  <c r="AL293" i="63"/>
  <c r="AG293" i="63"/>
  <c r="U293" i="63"/>
  <c r="O293" i="65" s="1"/>
  <c r="AM293" i="63"/>
  <c r="B293" i="63"/>
  <c r="B293" i="65" s="1"/>
  <c r="H293" i="63"/>
  <c r="AS293" i="63"/>
  <c r="X293" i="63"/>
  <c r="W293" i="65" s="1"/>
  <c r="AT293" i="63"/>
  <c r="P293" i="63"/>
  <c r="V293" i="63"/>
  <c r="Y293" i="65" s="1"/>
  <c r="AF293" i="63"/>
  <c r="AN293" i="63"/>
  <c r="W293" i="63"/>
  <c r="AV293" i="63"/>
  <c r="I293" i="63"/>
  <c r="AD293" i="63"/>
  <c r="AW293" i="63"/>
  <c r="Y293" i="63"/>
  <c r="F293" i="63"/>
  <c r="R293" i="63"/>
  <c r="AO293" i="63"/>
  <c r="AB293" i="63"/>
  <c r="AH293" i="63"/>
  <c r="J293" i="63"/>
  <c r="AC293" i="63"/>
  <c r="C293" i="63"/>
  <c r="X293" i="65" s="1"/>
  <c r="AP293" i="63"/>
  <c r="K293" i="63"/>
  <c r="S293" i="63"/>
  <c r="AA293" i="63"/>
  <c r="AI293" i="63"/>
  <c r="AQ293" i="63"/>
  <c r="A294" i="63"/>
  <c r="AY293" i="63"/>
  <c r="AR293" i="63"/>
  <c r="D293" i="63"/>
  <c r="G293" i="63"/>
  <c r="O293" i="63"/>
  <c r="T293" i="63"/>
  <c r="P293" i="65" s="1"/>
  <c r="L293" i="63"/>
  <c r="AE293" i="63"/>
  <c r="AJ293" i="63"/>
  <c r="M293" i="63"/>
  <c r="AU293" i="63"/>
  <c r="AK293" i="63"/>
  <c r="N293" i="63"/>
  <c r="AX293" i="63"/>
  <c r="Z293" i="63"/>
  <c r="D294" i="81"/>
  <c r="T294" i="81"/>
  <c r="E294" i="81"/>
  <c r="U294" i="81"/>
  <c r="K294" i="81"/>
  <c r="S294" i="81"/>
  <c r="F294" i="81"/>
  <c r="G294" i="81"/>
  <c r="H294" i="81"/>
  <c r="O294" i="81"/>
  <c r="P294" i="81"/>
  <c r="Q294" i="81"/>
  <c r="R294" i="81"/>
  <c r="A295" i="81"/>
  <c r="L294" i="81"/>
  <c r="M294" i="81"/>
  <c r="J294" i="81"/>
  <c r="I294" i="81"/>
  <c r="N294" i="81"/>
  <c r="B294" i="81"/>
  <c r="C294" i="81"/>
  <c r="U292" i="65"/>
  <c r="N292" i="65"/>
  <c r="Y292" i="65"/>
  <c r="M292" i="65"/>
  <c r="H292" i="65"/>
  <c r="M293" i="65" l="1"/>
  <c r="U293" i="65"/>
  <c r="N293" i="65"/>
  <c r="H293" i="65"/>
  <c r="AU294" i="63"/>
  <c r="AY294" i="63"/>
  <c r="AQ294" i="63"/>
  <c r="P294" i="63"/>
  <c r="F294" i="63"/>
  <c r="AR294" i="63"/>
  <c r="AV294" i="63"/>
  <c r="AL294" i="63"/>
  <c r="J294" i="63"/>
  <c r="AT294" i="63"/>
  <c r="V294" i="63"/>
  <c r="T294" i="63"/>
  <c r="P294" i="65" s="1"/>
  <c r="O294" i="63"/>
  <c r="G294" i="63"/>
  <c r="AE294" i="63"/>
  <c r="W294" i="63"/>
  <c r="U294" i="63"/>
  <c r="O294" i="65" s="1"/>
  <c r="AF294" i="63"/>
  <c r="AM294" i="63"/>
  <c r="Q294" i="63"/>
  <c r="R294" i="65" s="1"/>
  <c r="H294" i="63"/>
  <c r="Z294" i="63"/>
  <c r="X294" i="63"/>
  <c r="W294" i="65" s="1"/>
  <c r="AJ294" i="63"/>
  <c r="AW294" i="63"/>
  <c r="AN294" i="63"/>
  <c r="AA294" i="63"/>
  <c r="B294" i="63"/>
  <c r="B294" i="65" s="1"/>
  <c r="I294" i="63"/>
  <c r="AB294" i="63"/>
  <c r="Y294" i="63"/>
  <c r="R294" i="63"/>
  <c r="AO294" i="63"/>
  <c r="M294" i="63"/>
  <c r="AH294" i="63"/>
  <c r="AK294" i="63"/>
  <c r="AC294" i="63"/>
  <c r="AX294" i="63"/>
  <c r="AP294" i="63"/>
  <c r="AS294" i="63"/>
  <c r="C294" i="63"/>
  <c r="X294" i="65" s="1"/>
  <c r="D294" i="63"/>
  <c r="A295" i="63"/>
  <c r="N294" i="63"/>
  <c r="S294" i="63"/>
  <c r="K294" i="63"/>
  <c r="AD294" i="63"/>
  <c r="AI294" i="63"/>
  <c r="L294" i="63"/>
  <c r="AG294" i="63"/>
  <c r="E294" i="63"/>
  <c r="S293" i="65"/>
  <c r="U295" i="81"/>
  <c r="B295" i="81"/>
  <c r="R295" i="81"/>
  <c r="H295" i="81"/>
  <c r="K295" i="81"/>
  <c r="I295" i="81"/>
  <c r="Q295" i="81"/>
  <c r="C295" i="81"/>
  <c r="A296" i="81"/>
  <c r="F295" i="81"/>
  <c r="J295" i="81"/>
  <c r="L295" i="81"/>
  <c r="P295" i="81"/>
  <c r="G295" i="81"/>
  <c r="D295" i="81"/>
  <c r="M295" i="81"/>
  <c r="N295" i="81"/>
  <c r="O295" i="81"/>
  <c r="E295" i="81"/>
  <c r="S295" i="81"/>
  <c r="T295" i="81"/>
  <c r="H294" i="65" l="1"/>
  <c r="Y294" i="65"/>
  <c r="AS295" i="63"/>
  <c r="AJ295" i="63"/>
  <c r="AY295" i="63"/>
  <c r="N295" i="63"/>
  <c r="E295" i="63"/>
  <c r="C295" i="63"/>
  <c r="X295" i="65" s="1"/>
  <c r="AT295" i="63"/>
  <c r="I295" i="63"/>
  <c r="AA295" i="63"/>
  <c r="AW295" i="63"/>
  <c r="B295" i="63"/>
  <c r="B295" i="65" s="1"/>
  <c r="AQ295" i="63"/>
  <c r="D295" i="63"/>
  <c r="L295" i="63"/>
  <c r="T295" i="63"/>
  <c r="P295" i="65" s="1"/>
  <c r="J295" i="63"/>
  <c r="AB295" i="63"/>
  <c r="R295" i="63"/>
  <c r="AR295" i="63"/>
  <c r="U295" i="63"/>
  <c r="O295" i="65" s="1"/>
  <c r="S295" i="63"/>
  <c r="M295" i="63"/>
  <c r="AK295" i="63"/>
  <c r="X295" i="63"/>
  <c r="W295" i="65" s="1"/>
  <c r="AD295" i="63"/>
  <c r="V295" i="63"/>
  <c r="Y295" i="63"/>
  <c r="O295" i="63"/>
  <c r="AL295" i="63"/>
  <c r="AI295" i="63"/>
  <c r="AE295" i="63"/>
  <c r="G295" i="63"/>
  <c r="H295" i="63"/>
  <c r="AU295" i="63"/>
  <c r="W295" i="63"/>
  <c r="Z295" i="63"/>
  <c r="P295" i="63"/>
  <c r="AM295" i="63"/>
  <c r="AH295" i="63"/>
  <c r="AF295" i="63"/>
  <c r="AN295" i="63"/>
  <c r="AV295" i="63"/>
  <c r="AO295" i="63"/>
  <c r="Q295" i="63"/>
  <c r="R295" i="65" s="1"/>
  <c r="AP295" i="63"/>
  <c r="K295" i="63"/>
  <c r="AG295" i="63"/>
  <c r="AX295" i="63"/>
  <c r="A296" i="63"/>
  <c r="AC295" i="63"/>
  <c r="F295" i="63"/>
  <c r="N294" i="65"/>
  <c r="H296" i="81"/>
  <c r="I296" i="81"/>
  <c r="K296" i="81"/>
  <c r="N296" i="81"/>
  <c r="O296" i="81"/>
  <c r="J296" i="81"/>
  <c r="D296" i="81"/>
  <c r="R296" i="81"/>
  <c r="T296" i="81"/>
  <c r="A297" i="81"/>
  <c r="E296" i="81"/>
  <c r="G296" i="81"/>
  <c r="P296" i="81"/>
  <c r="Q296" i="81"/>
  <c r="C296" i="81"/>
  <c r="S296" i="81"/>
  <c r="U296" i="81"/>
  <c r="M296" i="81"/>
  <c r="F296" i="81"/>
  <c r="L296" i="81"/>
  <c r="B296" i="81"/>
  <c r="M294" i="65"/>
  <c r="U294" i="65"/>
  <c r="S294" i="65"/>
  <c r="Y295" i="65" l="1"/>
  <c r="U295" i="65"/>
  <c r="H295" i="65"/>
  <c r="N295" i="65"/>
  <c r="E297" i="81"/>
  <c r="A298" i="81"/>
  <c r="G297" i="81"/>
  <c r="H297" i="81"/>
  <c r="L297" i="81"/>
  <c r="M297" i="81"/>
  <c r="N297" i="81"/>
  <c r="I297" i="81"/>
  <c r="R297" i="81"/>
  <c r="O297" i="81"/>
  <c r="S297" i="81"/>
  <c r="F297" i="81"/>
  <c r="P297" i="81"/>
  <c r="D297" i="81"/>
  <c r="J297" i="81"/>
  <c r="K297" i="81"/>
  <c r="T297" i="81"/>
  <c r="U297" i="81"/>
  <c r="Q297" i="81"/>
  <c r="C297" i="81"/>
  <c r="B297" i="81"/>
  <c r="S295" i="65"/>
  <c r="AQ296" i="63"/>
  <c r="AX296" i="63"/>
  <c r="AW296" i="63"/>
  <c r="AR296" i="63"/>
  <c r="S296" i="63"/>
  <c r="N296" i="63"/>
  <c r="AJ296" i="63"/>
  <c r="W296" i="63"/>
  <c r="AD296" i="63"/>
  <c r="AK296" i="63"/>
  <c r="X296" i="63"/>
  <c r="W296" i="65" s="1"/>
  <c r="I296" i="63"/>
  <c r="AT296" i="63"/>
  <c r="AL296" i="63"/>
  <c r="AV296" i="63"/>
  <c r="Y296" i="63"/>
  <c r="O296" i="63"/>
  <c r="AM296" i="63"/>
  <c r="AO296" i="63"/>
  <c r="AE296" i="63"/>
  <c r="F296" i="63"/>
  <c r="J296" i="63"/>
  <c r="AU296" i="63"/>
  <c r="AN296" i="63"/>
  <c r="AP296" i="63"/>
  <c r="R296" i="63"/>
  <c r="P296" i="63"/>
  <c r="A297" i="63"/>
  <c r="K296" i="63"/>
  <c r="AH296" i="63"/>
  <c r="Q296" i="63"/>
  <c r="R296" i="65" s="1"/>
  <c r="C296" i="63"/>
  <c r="X296" i="65" s="1"/>
  <c r="T296" i="63"/>
  <c r="P296" i="65" s="1"/>
  <c r="AA296" i="63"/>
  <c r="L296" i="63"/>
  <c r="AI296" i="63"/>
  <c r="U296" i="63"/>
  <c r="O296" i="65" s="1"/>
  <c r="AB296" i="63"/>
  <c r="AY296" i="63"/>
  <c r="M296" i="63"/>
  <c r="D296" i="63"/>
  <c r="V296" i="63"/>
  <c r="AC296" i="63"/>
  <c r="E296" i="63"/>
  <c r="AF296" i="63"/>
  <c r="AS296" i="63"/>
  <c r="AG296" i="63"/>
  <c r="G296" i="63"/>
  <c r="Z296" i="63"/>
  <c r="B296" i="63"/>
  <c r="B296" i="65" s="1"/>
  <c r="H296" i="63"/>
  <c r="M296" i="65" s="1"/>
  <c r="M295" i="65"/>
  <c r="N296" i="65" l="1"/>
  <c r="U296" i="65"/>
  <c r="H296" i="65"/>
  <c r="Z297" i="63"/>
  <c r="AG297" i="63"/>
  <c r="AL297" i="63"/>
  <c r="AA297" i="63"/>
  <c r="T297" i="63"/>
  <c r="P297" i="65" s="1"/>
  <c r="F297" i="63"/>
  <c r="Y297" i="63"/>
  <c r="AT297" i="63"/>
  <c r="AO297" i="63"/>
  <c r="AW297" i="63"/>
  <c r="AU297" i="63"/>
  <c r="J297" i="63"/>
  <c r="S297" i="63"/>
  <c r="R297" i="63"/>
  <c r="AP297" i="63"/>
  <c r="N297" i="63"/>
  <c r="K297" i="63"/>
  <c r="U297" i="63"/>
  <c r="O297" i="65" s="1"/>
  <c r="O297" i="63"/>
  <c r="AQ297" i="63"/>
  <c r="AH297" i="63"/>
  <c r="AB297" i="63"/>
  <c r="AD297" i="63"/>
  <c r="AY297" i="63"/>
  <c r="AR297" i="63"/>
  <c r="AE297" i="63"/>
  <c r="G297" i="63"/>
  <c r="M297" i="63"/>
  <c r="AI297" i="63"/>
  <c r="W297" i="63"/>
  <c r="AC297" i="63"/>
  <c r="B297" i="63"/>
  <c r="B297" i="65" s="1"/>
  <c r="AM297" i="63"/>
  <c r="AS297" i="63"/>
  <c r="AJ297" i="63"/>
  <c r="H297" i="63"/>
  <c r="P297" i="63"/>
  <c r="C297" i="63"/>
  <c r="X297" i="65" s="1"/>
  <c r="AN297" i="63"/>
  <c r="AV297" i="63"/>
  <c r="D297" i="63"/>
  <c r="A298" i="63"/>
  <c r="I297" i="63"/>
  <c r="Q297" i="63"/>
  <c r="R297" i="65" s="1"/>
  <c r="E297" i="63"/>
  <c r="X297" i="63"/>
  <c r="W297" i="65" s="1"/>
  <c r="L297" i="63"/>
  <c r="AF297" i="63"/>
  <c r="V297" i="63"/>
  <c r="AK297" i="63"/>
  <c r="AX297" i="63"/>
  <c r="S298" i="81"/>
  <c r="M298" i="81"/>
  <c r="R298" i="81"/>
  <c r="C298" i="81"/>
  <c r="A299" i="81"/>
  <c r="F298" i="81"/>
  <c r="G298" i="81"/>
  <c r="I298" i="81"/>
  <c r="O298" i="81"/>
  <c r="P298" i="81"/>
  <c r="B298" i="81"/>
  <c r="L298" i="81"/>
  <c r="Q298" i="81"/>
  <c r="U298" i="81"/>
  <c r="T298" i="81"/>
  <c r="H298" i="81"/>
  <c r="K298" i="81"/>
  <c r="N298" i="81"/>
  <c r="J298" i="81"/>
  <c r="D298" i="81"/>
  <c r="E298" i="81"/>
  <c r="Y296" i="65"/>
  <c r="S296" i="65"/>
  <c r="N297" i="65" l="1"/>
  <c r="S297" i="65"/>
  <c r="U297" i="65"/>
  <c r="AN298" i="63"/>
  <c r="C298" i="63"/>
  <c r="X298" i="65" s="1"/>
  <c r="AB298" i="63"/>
  <c r="AO298" i="63"/>
  <c r="D298" i="63"/>
  <c r="AG298" i="63"/>
  <c r="U298" i="63"/>
  <c r="O298" i="65" s="1"/>
  <c r="K298" i="63"/>
  <c r="P298" i="63"/>
  <c r="AK298" i="63"/>
  <c r="AA298" i="63"/>
  <c r="AX298" i="63"/>
  <c r="F298" i="63"/>
  <c r="AQ298" i="63"/>
  <c r="Q298" i="63"/>
  <c r="R298" i="65" s="1"/>
  <c r="V298" i="63"/>
  <c r="N298" i="63"/>
  <c r="AY298" i="63"/>
  <c r="AL298" i="63"/>
  <c r="AD298" i="63"/>
  <c r="S298" i="63"/>
  <c r="G298" i="63"/>
  <c r="AT298" i="63"/>
  <c r="T298" i="63"/>
  <c r="P298" i="65" s="1"/>
  <c r="AM298" i="63"/>
  <c r="AE298" i="63"/>
  <c r="AC298" i="63"/>
  <c r="H298" i="63"/>
  <c r="M298" i="65" s="1"/>
  <c r="AU298" i="63"/>
  <c r="AF298" i="63"/>
  <c r="X298" i="63"/>
  <c r="W298" i="65" s="1"/>
  <c r="B298" i="63"/>
  <c r="B298" i="65" s="1"/>
  <c r="AR298" i="63"/>
  <c r="I298" i="63"/>
  <c r="AS298" i="63"/>
  <c r="AJ298" i="63"/>
  <c r="Y298" i="63"/>
  <c r="L298" i="63"/>
  <c r="R298" i="63"/>
  <c r="Z298" i="63"/>
  <c r="M298" i="63"/>
  <c r="AI298" i="63"/>
  <c r="E298" i="63"/>
  <c r="AP298" i="63"/>
  <c r="AW298" i="63"/>
  <c r="W298" i="63"/>
  <c r="J298" i="63"/>
  <c r="O298" i="63"/>
  <c r="AV298" i="63"/>
  <c r="AH298" i="63"/>
  <c r="A299" i="63"/>
  <c r="M297" i="65"/>
  <c r="L299" i="81"/>
  <c r="J299" i="81"/>
  <c r="P299" i="81"/>
  <c r="I299" i="81"/>
  <c r="S299" i="81"/>
  <c r="B299" i="81"/>
  <c r="A300" i="81"/>
  <c r="U299" i="81"/>
  <c r="E299" i="81"/>
  <c r="F299" i="81"/>
  <c r="K299" i="81"/>
  <c r="T299" i="81"/>
  <c r="H299" i="81"/>
  <c r="C299" i="81"/>
  <c r="D299" i="81"/>
  <c r="O299" i="81"/>
  <c r="Q299" i="81"/>
  <c r="R299" i="81"/>
  <c r="G299" i="81"/>
  <c r="M299" i="81"/>
  <c r="N299" i="81"/>
  <c r="H297" i="65"/>
  <c r="Y297" i="65"/>
  <c r="S298" i="65" l="1"/>
  <c r="N298" i="65"/>
  <c r="Y298" i="65"/>
  <c r="U298" i="65"/>
  <c r="H298" i="65"/>
  <c r="U300" i="81"/>
  <c r="K300" i="81"/>
  <c r="L300" i="81"/>
  <c r="I300" i="81"/>
  <c r="O300" i="81"/>
  <c r="C300" i="81"/>
  <c r="P300" i="81"/>
  <c r="T300" i="81"/>
  <c r="A301" i="81"/>
  <c r="E300" i="81"/>
  <c r="B300" i="81"/>
  <c r="J300" i="81"/>
  <c r="H300" i="81"/>
  <c r="M300" i="81"/>
  <c r="N300" i="81"/>
  <c r="R300" i="81"/>
  <c r="G300" i="81"/>
  <c r="S300" i="81"/>
  <c r="D300" i="81"/>
  <c r="F300" i="81"/>
  <c r="Q300" i="81"/>
  <c r="AL299" i="63"/>
  <c r="AD299" i="63"/>
  <c r="Q299" i="63"/>
  <c r="R299" i="65" s="1"/>
  <c r="C299" i="63"/>
  <c r="X299" i="65" s="1"/>
  <c r="AM299" i="63"/>
  <c r="AG299" i="63"/>
  <c r="B299" i="63"/>
  <c r="B299" i="65" s="1"/>
  <c r="AK299" i="63"/>
  <c r="AS299" i="63"/>
  <c r="AA299" i="63"/>
  <c r="F299" i="63"/>
  <c r="AE299" i="63"/>
  <c r="V299" i="63"/>
  <c r="AF299" i="63"/>
  <c r="R299" i="63"/>
  <c r="G299" i="63"/>
  <c r="AH299" i="63"/>
  <c r="Z299" i="63"/>
  <c r="W299" i="63"/>
  <c r="AP299" i="63"/>
  <c r="AQ299" i="63"/>
  <c r="H299" i="63"/>
  <c r="J299" i="63"/>
  <c r="S299" i="63"/>
  <c r="AN299" i="63"/>
  <c r="K299" i="63"/>
  <c r="AI299" i="63"/>
  <c r="I299" i="63"/>
  <c r="AU299" i="63"/>
  <c r="AY299" i="63"/>
  <c r="Y299" i="63"/>
  <c r="N299" i="63"/>
  <c r="D299" i="63"/>
  <c r="AO299" i="63"/>
  <c r="AV299" i="63"/>
  <c r="T299" i="63"/>
  <c r="P299" i="65" s="1"/>
  <c r="L299" i="63"/>
  <c r="O299" i="63"/>
  <c r="AJ299" i="63"/>
  <c r="AB299" i="63"/>
  <c r="AW299" i="63"/>
  <c r="U299" i="63"/>
  <c r="O299" i="65" s="1"/>
  <c r="M299" i="63"/>
  <c r="AX299" i="63"/>
  <c r="A300" i="63"/>
  <c r="E299" i="63"/>
  <c r="X299" i="63"/>
  <c r="W299" i="65" s="1"/>
  <c r="AR299" i="63"/>
  <c r="AC299" i="63"/>
  <c r="AT299" i="63"/>
  <c r="P299" i="63"/>
  <c r="N299" i="65" l="1"/>
  <c r="M299" i="65"/>
  <c r="H299" i="65"/>
  <c r="U299" i="65"/>
  <c r="O301" i="81"/>
  <c r="H301" i="81"/>
  <c r="I301" i="81"/>
  <c r="J301" i="81"/>
  <c r="M301" i="81"/>
  <c r="B301" i="81"/>
  <c r="U301" i="81"/>
  <c r="F301" i="81"/>
  <c r="P301" i="81"/>
  <c r="N301" i="81"/>
  <c r="Q301" i="81"/>
  <c r="R301" i="81"/>
  <c r="G301" i="81"/>
  <c r="C301" i="81"/>
  <c r="D301" i="81"/>
  <c r="L301" i="81"/>
  <c r="S301" i="81"/>
  <c r="T301" i="81"/>
  <c r="K301" i="81"/>
  <c r="A302" i="81"/>
  <c r="E301" i="81"/>
  <c r="S299" i="65"/>
  <c r="Y299" i="65"/>
  <c r="N300" i="63"/>
  <c r="M300" i="63"/>
  <c r="AG300" i="63"/>
  <c r="U300" i="63"/>
  <c r="O300" i="65" s="1"/>
  <c r="AU300" i="63"/>
  <c r="I300" i="63"/>
  <c r="B300" i="63"/>
  <c r="B300" i="65" s="1"/>
  <c r="V300" i="63"/>
  <c r="AC300" i="63"/>
  <c r="R300" i="63"/>
  <c r="AL300" i="63"/>
  <c r="AD300" i="63"/>
  <c r="AH300" i="63"/>
  <c r="G300" i="63"/>
  <c r="AE300" i="63"/>
  <c r="AX300" i="63"/>
  <c r="J300" i="63"/>
  <c r="AF300" i="63"/>
  <c r="C300" i="63"/>
  <c r="X300" i="65" s="1"/>
  <c r="Z300" i="63"/>
  <c r="AM300" i="63"/>
  <c r="A301" i="63"/>
  <c r="AP300" i="63"/>
  <c r="H300" i="63"/>
  <c r="AI300" i="63"/>
  <c r="AA300" i="63"/>
  <c r="AS300" i="63"/>
  <c r="AY300" i="63"/>
  <c r="AQ300" i="63"/>
  <c r="AR300" i="63"/>
  <c r="D300" i="63"/>
  <c r="AT300" i="63"/>
  <c r="L300" i="63"/>
  <c r="T300" i="63"/>
  <c r="P300" i="65" s="1"/>
  <c r="O300" i="63"/>
  <c r="AB300" i="63"/>
  <c r="AJ300" i="63"/>
  <c r="P300" i="63"/>
  <c r="AO300" i="63"/>
  <c r="E300" i="63"/>
  <c r="AV300" i="63"/>
  <c r="Q300" i="63"/>
  <c r="R300" i="65" s="1"/>
  <c r="AK300" i="63"/>
  <c r="X300" i="63"/>
  <c r="W300" i="65" s="1"/>
  <c r="AW300" i="63"/>
  <c r="S300" i="63"/>
  <c r="F300" i="63"/>
  <c r="K300" i="63"/>
  <c r="W300" i="63"/>
  <c r="Y300" i="63"/>
  <c r="AN300" i="63"/>
  <c r="M300" i="65" l="1"/>
  <c r="Y300" i="65"/>
  <c r="N300" i="65"/>
  <c r="H300" i="65"/>
  <c r="AK301" i="63"/>
  <c r="Z301" i="63"/>
  <c r="AU301" i="63"/>
  <c r="AY301" i="63"/>
  <c r="K301" i="63"/>
  <c r="X301" i="63"/>
  <c r="W301" i="65" s="1"/>
  <c r="AH301" i="63"/>
  <c r="F301" i="63"/>
  <c r="W301" i="63"/>
  <c r="AX301" i="63"/>
  <c r="G301" i="63"/>
  <c r="C301" i="63"/>
  <c r="X301" i="65" s="1"/>
  <c r="AL301" i="63"/>
  <c r="AM301" i="63"/>
  <c r="S301" i="63"/>
  <c r="AN301" i="63"/>
  <c r="AT301" i="63"/>
  <c r="AI301" i="63"/>
  <c r="L301" i="63"/>
  <c r="O301" i="63"/>
  <c r="D301" i="63"/>
  <c r="AO301" i="63"/>
  <c r="P301" i="63"/>
  <c r="AJ301" i="63"/>
  <c r="AP301" i="63"/>
  <c r="AF301" i="63"/>
  <c r="H301" i="63"/>
  <c r="N301" i="63"/>
  <c r="AV301" i="63"/>
  <c r="I301" i="63"/>
  <c r="AQ301" i="63"/>
  <c r="Q301" i="63"/>
  <c r="R301" i="65" s="1"/>
  <c r="Y301" i="63"/>
  <c r="U301" i="63"/>
  <c r="O301" i="65" s="1"/>
  <c r="AG301" i="63"/>
  <c r="AA301" i="63"/>
  <c r="AW301" i="63"/>
  <c r="AB301" i="63"/>
  <c r="AR301" i="63"/>
  <c r="A302" i="63"/>
  <c r="E301" i="63"/>
  <c r="AS301" i="63"/>
  <c r="AC301" i="63"/>
  <c r="AD301" i="63"/>
  <c r="M301" i="63"/>
  <c r="V301" i="63"/>
  <c r="J301" i="63"/>
  <c r="AE301" i="63"/>
  <c r="B301" i="63"/>
  <c r="B301" i="65" s="1"/>
  <c r="R301" i="63"/>
  <c r="T301" i="63"/>
  <c r="P301" i="65" s="1"/>
  <c r="O302" i="81"/>
  <c r="B302" i="81"/>
  <c r="A303" i="81"/>
  <c r="U302" i="81"/>
  <c r="H302" i="81"/>
  <c r="I302" i="81"/>
  <c r="J302" i="81"/>
  <c r="E302" i="81"/>
  <c r="F302" i="81"/>
  <c r="G302" i="81"/>
  <c r="M302" i="81"/>
  <c r="S302" i="81"/>
  <c r="D302" i="81"/>
  <c r="N302" i="81"/>
  <c r="T302" i="81"/>
  <c r="Q302" i="81"/>
  <c r="R302" i="81"/>
  <c r="C302" i="81"/>
  <c r="K302" i="81"/>
  <c r="L302" i="81"/>
  <c r="P302" i="81"/>
  <c r="U300" i="65"/>
  <c r="S300" i="65"/>
  <c r="Y301" i="65" l="1"/>
  <c r="M301" i="65"/>
  <c r="N301" i="65"/>
  <c r="M302" i="63"/>
  <c r="B302" i="63"/>
  <c r="B302" i="65" s="1"/>
  <c r="AL302" i="63"/>
  <c r="C302" i="63"/>
  <c r="X302" i="65" s="1"/>
  <c r="N302" i="63"/>
  <c r="AH302" i="63"/>
  <c r="AN302" i="63"/>
  <c r="X302" i="63"/>
  <c r="W302" i="65" s="1"/>
  <c r="AT302" i="63"/>
  <c r="F302" i="63"/>
  <c r="AQ302" i="63"/>
  <c r="O302" i="63"/>
  <c r="AB302" i="63"/>
  <c r="V302" i="63"/>
  <c r="AE302" i="63"/>
  <c r="G302" i="63"/>
  <c r="AR302" i="63"/>
  <c r="AU302" i="63"/>
  <c r="AI302" i="63"/>
  <c r="W302" i="63"/>
  <c r="P302" i="63"/>
  <c r="H302" i="63"/>
  <c r="AY302" i="63"/>
  <c r="A303" i="63"/>
  <c r="AF302" i="63"/>
  <c r="AJ302" i="63"/>
  <c r="D302" i="63"/>
  <c r="Q302" i="63"/>
  <c r="R302" i="65" s="1"/>
  <c r="AK302" i="63"/>
  <c r="J302" i="63"/>
  <c r="K302" i="63"/>
  <c r="AG302" i="63"/>
  <c r="L302" i="63"/>
  <c r="AW302" i="63"/>
  <c r="Y302" i="63"/>
  <c r="S302" i="63"/>
  <c r="AM302" i="63"/>
  <c r="R302" i="63"/>
  <c r="S302" i="65" s="1"/>
  <c r="AO302" i="63"/>
  <c r="AS302" i="63"/>
  <c r="E302" i="63"/>
  <c r="AP302" i="63"/>
  <c r="AC302" i="63"/>
  <c r="AD302" i="63"/>
  <c r="AV302" i="63"/>
  <c r="AX302" i="63"/>
  <c r="AA302" i="63"/>
  <c r="I302" i="63"/>
  <c r="T302" i="63"/>
  <c r="P302" i="65" s="1"/>
  <c r="U302" i="63"/>
  <c r="O302" i="65" s="1"/>
  <c r="Z302" i="63"/>
  <c r="H301" i="65"/>
  <c r="U301" i="65"/>
  <c r="C303" i="81"/>
  <c r="F303" i="81"/>
  <c r="G303" i="81"/>
  <c r="O303" i="81"/>
  <c r="T303" i="81"/>
  <c r="A304" i="81"/>
  <c r="B303" i="81"/>
  <c r="U303" i="81"/>
  <c r="L303" i="81"/>
  <c r="M303" i="81"/>
  <c r="N303" i="81"/>
  <c r="P303" i="81"/>
  <c r="H303" i="81"/>
  <c r="K303" i="81"/>
  <c r="S303" i="81"/>
  <c r="D303" i="81"/>
  <c r="E303" i="81"/>
  <c r="Q303" i="81"/>
  <c r="R303" i="81"/>
  <c r="I303" i="81"/>
  <c r="J303" i="81"/>
  <c r="S301" i="65"/>
  <c r="Y302" i="65" l="1"/>
  <c r="H302" i="65"/>
  <c r="N302" i="65"/>
  <c r="M302" i="65"/>
  <c r="S304" i="81"/>
  <c r="O304" i="81"/>
  <c r="F304" i="81"/>
  <c r="G304" i="81"/>
  <c r="N304" i="81"/>
  <c r="C304" i="81"/>
  <c r="P304" i="81"/>
  <c r="D304" i="81"/>
  <c r="Q304" i="81"/>
  <c r="U304" i="81"/>
  <c r="B304" i="81"/>
  <c r="I304" i="81"/>
  <c r="R304" i="81"/>
  <c r="E304" i="81"/>
  <c r="J304" i="81"/>
  <c r="K304" i="81"/>
  <c r="H304" i="81"/>
  <c r="M304" i="81"/>
  <c r="A305" i="81"/>
  <c r="T304" i="81"/>
  <c r="L304" i="81"/>
  <c r="P303" i="63"/>
  <c r="AN303" i="63"/>
  <c r="AQ303" i="63"/>
  <c r="E303" i="63"/>
  <c r="T303" i="63"/>
  <c r="P303" i="65" s="1"/>
  <c r="Q303" i="63"/>
  <c r="R303" i="65" s="1"/>
  <c r="O303" i="63"/>
  <c r="R303" i="63"/>
  <c r="AE303" i="63"/>
  <c r="S303" i="63"/>
  <c r="AU303" i="63"/>
  <c r="AO303" i="63"/>
  <c r="X303" i="63"/>
  <c r="W303" i="65" s="1"/>
  <c r="AF303" i="63"/>
  <c r="AP303" i="63"/>
  <c r="Y303" i="63"/>
  <c r="AV303" i="63"/>
  <c r="U303" i="63"/>
  <c r="O303" i="65" s="1"/>
  <c r="K303" i="63"/>
  <c r="AG303" i="63"/>
  <c r="AW303" i="63"/>
  <c r="L303" i="63"/>
  <c r="AH303" i="63"/>
  <c r="AX303" i="63"/>
  <c r="AB303" i="63"/>
  <c r="G303" i="63"/>
  <c r="W303" i="63"/>
  <c r="AR303" i="63"/>
  <c r="AI303" i="63"/>
  <c r="M303" i="63"/>
  <c r="H303" i="63"/>
  <c r="AY303" i="63"/>
  <c r="AC303" i="63"/>
  <c r="AJ303" i="63"/>
  <c r="D303" i="63"/>
  <c r="A304" i="63"/>
  <c r="AS303" i="63"/>
  <c r="I303" i="63"/>
  <c r="Z303" i="63"/>
  <c r="AD303" i="63"/>
  <c r="J303" i="63"/>
  <c r="B303" i="63"/>
  <c r="B303" i="65" s="1"/>
  <c r="AA303" i="63"/>
  <c r="N303" i="63"/>
  <c r="AT303" i="63"/>
  <c r="F303" i="63"/>
  <c r="AK303" i="63"/>
  <c r="AL303" i="63"/>
  <c r="V303" i="63"/>
  <c r="AM303" i="63"/>
  <c r="C303" i="63"/>
  <c r="X303" i="65" s="1"/>
  <c r="U302" i="65"/>
  <c r="S303" i="65" l="1"/>
  <c r="Y303" i="65"/>
  <c r="H303" i="65"/>
  <c r="U303" i="65"/>
  <c r="I304" i="63"/>
  <c r="AD304" i="63"/>
  <c r="AN304" i="63"/>
  <c r="J304" i="63"/>
  <c r="AG304" i="63"/>
  <c r="T304" i="63"/>
  <c r="P304" i="65" s="1"/>
  <c r="X304" i="63"/>
  <c r="W304" i="65" s="1"/>
  <c r="AP304" i="63"/>
  <c r="AI304" i="63"/>
  <c r="W304" i="63"/>
  <c r="K304" i="63"/>
  <c r="H304" i="63"/>
  <c r="M304" i="65" s="1"/>
  <c r="AY304" i="63"/>
  <c r="AA304" i="63"/>
  <c r="D304" i="63"/>
  <c r="A305" i="63"/>
  <c r="AQ304" i="63"/>
  <c r="AJ304" i="63"/>
  <c r="AF304" i="63"/>
  <c r="L304" i="63"/>
  <c r="O304" i="63"/>
  <c r="B304" i="63"/>
  <c r="B304" i="65" s="1"/>
  <c r="AB304" i="63"/>
  <c r="AK304" i="63"/>
  <c r="M304" i="63"/>
  <c r="AL304" i="63"/>
  <c r="Q304" i="63"/>
  <c r="R304" i="65" s="1"/>
  <c r="AC304" i="63"/>
  <c r="R304" i="63"/>
  <c r="AS304" i="63"/>
  <c r="S304" i="63"/>
  <c r="N304" i="63"/>
  <c r="AU304" i="63"/>
  <c r="AE304" i="63"/>
  <c r="AT304" i="63"/>
  <c r="AV304" i="63"/>
  <c r="AM304" i="63"/>
  <c r="E304" i="63"/>
  <c r="U304" i="63"/>
  <c r="O304" i="65" s="1"/>
  <c r="AO304" i="63"/>
  <c r="AH304" i="63"/>
  <c r="V304" i="63"/>
  <c r="P304" i="63"/>
  <c r="AW304" i="63"/>
  <c r="AX304" i="63"/>
  <c r="C304" i="63"/>
  <c r="X304" i="65" s="1"/>
  <c r="Y304" i="63"/>
  <c r="Z304" i="63"/>
  <c r="AR304" i="63"/>
  <c r="F304" i="63"/>
  <c r="G304" i="63"/>
  <c r="E305" i="81"/>
  <c r="I305" i="81"/>
  <c r="J305" i="81"/>
  <c r="F305" i="81"/>
  <c r="G305" i="81"/>
  <c r="N305" i="81"/>
  <c r="P305" i="81"/>
  <c r="R305" i="81"/>
  <c r="Q305" i="81"/>
  <c r="S305" i="81"/>
  <c r="B305" i="81"/>
  <c r="A306" i="81"/>
  <c r="H305" i="81"/>
  <c r="C305" i="81"/>
  <c r="D305" i="81"/>
  <c r="K305" i="81"/>
  <c r="O305" i="81"/>
  <c r="U305" i="81"/>
  <c r="T305" i="81"/>
  <c r="L305" i="81"/>
  <c r="M305" i="81"/>
  <c r="M303" i="65"/>
  <c r="N303" i="65"/>
  <c r="Y304" i="65" l="1"/>
  <c r="H304" i="65"/>
  <c r="AM305" i="63"/>
  <c r="AX305" i="63"/>
  <c r="S305" i="63"/>
  <c r="V305" i="63"/>
  <c r="AY305" i="63"/>
  <c r="AP305" i="63"/>
  <c r="AT305" i="63"/>
  <c r="AW305" i="63"/>
  <c r="R305" i="63"/>
  <c r="AI305" i="63"/>
  <c r="F305" i="63"/>
  <c r="AU305" i="63"/>
  <c r="AD305" i="63"/>
  <c r="AL305" i="63"/>
  <c r="G305" i="63"/>
  <c r="J305" i="63"/>
  <c r="T305" i="63"/>
  <c r="P305" i="65" s="1"/>
  <c r="W305" i="63"/>
  <c r="AE305" i="63"/>
  <c r="AR305" i="63"/>
  <c r="H305" i="63"/>
  <c r="L305" i="63"/>
  <c r="U305" i="63"/>
  <c r="O305" i="65" s="1"/>
  <c r="AN305" i="63"/>
  <c r="M305" i="63"/>
  <c r="D305" i="63"/>
  <c r="I305" i="63"/>
  <c r="AG305" i="63"/>
  <c r="AB305" i="63"/>
  <c r="Y305" i="63"/>
  <c r="N305" i="63"/>
  <c r="AV305" i="63"/>
  <c r="A306" i="63"/>
  <c r="AO305" i="63"/>
  <c r="AH305" i="63"/>
  <c r="B305" i="63"/>
  <c r="B305" i="65" s="1"/>
  <c r="K305" i="63"/>
  <c r="P305" i="63"/>
  <c r="AA305" i="63"/>
  <c r="AJ305" i="63"/>
  <c r="C305" i="63"/>
  <c r="X305" i="65" s="1"/>
  <c r="E305" i="63"/>
  <c r="O305" i="63"/>
  <c r="X305" i="63"/>
  <c r="W305" i="65" s="1"/>
  <c r="AQ305" i="63"/>
  <c r="AC305" i="63"/>
  <c r="AF305" i="63"/>
  <c r="Q305" i="63"/>
  <c r="R305" i="65" s="1"/>
  <c r="AK305" i="63"/>
  <c r="AS305" i="63"/>
  <c r="Z305" i="63"/>
  <c r="S304" i="65"/>
  <c r="G306" i="81"/>
  <c r="B306" i="81"/>
  <c r="U306" i="81"/>
  <c r="I306" i="81"/>
  <c r="J306" i="81"/>
  <c r="S306" i="81"/>
  <c r="F306" i="81"/>
  <c r="N306" i="81"/>
  <c r="O306" i="81"/>
  <c r="T306" i="81"/>
  <c r="A307" i="81"/>
  <c r="L306" i="81"/>
  <c r="M306" i="81"/>
  <c r="C306" i="81"/>
  <c r="D306" i="81"/>
  <c r="E306" i="81"/>
  <c r="P306" i="81"/>
  <c r="K306" i="81"/>
  <c r="H306" i="81"/>
  <c r="Q306" i="81"/>
  <c r="R306" i="81"/>
  <c r="N304" i="65"/>
  <c r="U304" i="65"/>
  <c r="S305" i="65" l="1"/>
  <c r="Y305" i="65"/>
  <c r="N305" i="65"/>
  <c r="I307" i="81"/>
  <c r="P307" i="81"/>
  <c r="G307" i="81"/>
  <c r="N307" i="81"/>
  <c r="H307" i="81"/>
  <c r="Q307" i="81"/>
  <c r="B307" i="81"/>
  <c r="U307" i="81"/>
  <c r="F307" i="81"/>
  <c r="L307" i="81"/>
  <c r="R307" i="81"/>
  <c r="C307" i="81"/>
  <c r="M307" i="81"/>
  <c r="A308" i="81"/>
  <c r="S307" i="81"/>
  <c r="T307" i="81"/>
  <c r="J307" i="81"/>
  <c r="O307" i="81"/>
  <c r="K307" i="81"/>
  <c r="D307" i="81"/>
  <c r="E307" i="81"/>
  <c r="U305" i="65"/>
  <c r="M305" i="65"/>
  <c r="H305" i="65"/>
  <c r="F306" i="63"/>
  <c r="AS306" i="63"/>
  <c r="L306" i="63"/>
  <c r="AW306" i="63"/>
  <c r="G306" i="63"/>
  <c r="AM306" i="63"/>
  <c r="AU306" i="63"/>
  <c r="AI306" i="63"/>
  <c r="I306" i="63"/>
  <c r="D306" i="63"/>
  <c r="R306" i="63"/>
  <c r="A307" i="63"/>
  <c r="Y306" i="63"/>
  <c r="AB306" i="63"/>
  <c r="AP306" i="63"/>
  <c r="S306" i="63"/>
  <c r="J306" i="63"/>
  <c r="Q306" i="63"/>
  <c r="R306" i="65" s="1"/>
  <c r="AQ306" i="63"/>
  <c r="AD306" i="63"/>
  <c r="K306" i="63"/>
  <c r="AJ306" i="63"/>
  <c r="AR306" i="63"/>
  <c r="AE306" i="63"/>
  <c r="AN306" i="63"/>
  <c r="X306" i="63"/>
  <c r="W306" i="65" s="1"/>
  <c r="AY306" i="63"/>
  <c r="H306" i="63"/>
  <c r="E306" i="63"/>
  <c r="U306" i="63"/>
  <c r="O306" i="65" s="1"/>
  <c r="B306" i="63"/>
  <c r="B306" i="65" s="1"/>
  <c r="M306" i="63"/>
  <c r="AK306" i="63"/>
  <c r="Z306" i="63"/>
  <c r="AG306" i="63"/>
  <c r="AL306" i="63"/>
  <c r="C306" i="63"/>
  <c r="X306" i="65" s="1"/>
  <c r="AH306" i="63"/>
  <c r="V306" i="63"/>
  <c r="W306" i="63"/>
  <c r="AO306" i="63"/>
  <c r="T306" i="63"/>
  <c r="P306" i="65" s="1"/>
  <c r="AT306" i="63"/>
  <c r="AA306" i="63"/>
  <c r="AV306" i="63"/>
  <c r="AX306" i="63"/>
  <c r="AF306" i="63"/>
  <c r="N306" i="63"/>
  <c r="O306" i="63"/>
  <c r="P306" i="63"/>
  <c r="AC306" i="63"/>
  <c r="M306" i="65" l="1"/>
  <c r="U306" i="65"/>
  <c r="Y306" i="65"/>
  <c r="F308" i="81"/>
  <c r="G308" i="81"/>
  <c r="L308" i="81"/>
  <c r="S308" i="81"/>
  <c r="O308" i="81"/>
  <c r="D308" i="81"/>
  <c r="P308" i="81"/>
  <c r="T308" i="81"/>
  <c r="A309" i="81"/>
  <c r="R308" i="81"/>
  <c r="H308" i="81"/>
  <c r="I308" i="81"/>
  <c r="B308" i="81"/>
  <c r="C308" i="81"/>
  <c r="E308" i="81"/>
  <c r="J308" i="81"/>
  <c r="K308" i="81"/>
  <c r="Q308" i="81"/>
  <c r="M308" i="81"/>
  <c r="N308" i="81"/>
  <c r="U308" i="81"/>
  <c r="N306" i="65"/>
  <c r="D307" i="63"/>
  <c r="P307" i="63"/>
  <c r="AT307" i="63"/>
  <c r="AE307" i="63"/>
  <c r="AM307" i="63"/>
  <c r="AR307" i="63"/>
  <c r="AF307" i="63"/>
  <c r="M307" i="63"/>
  <c r="Y307" i="63"/>
  <c r="J307" i="63"/>
  <c r="AG307" i="63"/>
  <c r="AS307" i="63"/>
  <c r="K307" i="63"/>
  <c r="C307" i="63"/>
  <c r="X307" i="65" s="1"/>
  <c r="AH307" i="63"/>
  <c r="AD307" i="63"/>
  <c r="S307" i="63"/>
  <c r="O307" i="63"/>
  <c r="Z307" i="63"/>
  <c r="AQ307" i="63"/>
  <c r="AY307" i="63"/>
  <c r="AN307" i="63"/>
  <c r="AA307" i="63"/>
  <c r="T307" i="63"/>
  <c r="P307" i="65" s="1"/>
  <c r="Q307" i="63"/>
  <c r="R307" i="65" s="1"/>
  <c r="AU307" i="63"/>
  <c r="AJ307" i="63"/>
  <c r="H307" i="63"/>
  <c r="U307" i="63"/>
  <c r="O307" i="65" s="1"/>
  <c r="R307" i="63"/>
  <c r="AV307" i="63"/>
  <c r="I307" i="63"/>
  <c r="G307" i="63"/>
  <c r="X307" i="63"/>
  <c r="W307" i="65" s="1"/>
  <c r="AW307" i="63"/>
  <c r="A308" i="63"/>
  <c r="AX307" i="63"/>
  <c r="AI307" i="63"/>
  <c r="E307" i="63"/>
  <c r="AK307" i="63"/>
  <c r="W307" i="63"/>
  <c r="N307" i="63"/>
  <c r="AL307" i="63"/>
  <c r="AO307" i="63"/>
  <c r="AP307" i="63"/>
  <c r="B307" i="63"/>
  <c r="B307" i="65" s="1"/>
  <c r="F307" i="63"/>
  <c r="AB307" i="63"/>
  <c r="AC307" i="63"/>
  <c r="L307" i="63"/>
  <c r="V307" i="63"/>
  <c r="S306" i="65"/>
  <c r="H306" i="65"/>
  <c r="N307" i="65" l="1"/>
  <c r="Y307" i="65"/>
  <c r="H309" i="81"/>
  <c r="J309" i="81"/>
  <c r="R309" i="81"/>
  <c r="F309" i="81"/>
  <c r="M309" i="81"/>
  <c r="K309" i="81"/>
  <c r="S309" i="81"/>
  <c r="Q309" i="81"/>
  <c r="B309" i="81"/>
  <c r="A310" i="81"/>
  <c r="T309" i="81"/>
  <c r="E309" i="81"/>
  <c r="L309" i="81"/>
  <c r="N309" i="81"/>
  <c r="O309" i="81"/>
  <c r="P309" i="81"/>
  <c r="C309" i="81"/>
  <c r="D309" i="81"/>
  <c r="U309" i="81"/>
  <c r="I309" i="81"/>
  <c r="G309" i="81"/>
  <c r="AH308" i="63"/>
  <c r="I308" i="63"/>
  <c r="V308" i="63"/>
  <c r="AG308" i="63"/>
  <c r="H308" i="63"/>
  <c r="T308" i="63"/>
  <c r="P308" i="65" s="1"/>
  <c r="AW308" i="63"/>
  <c r="AB308" i="63"/>
  <c r="AO308" i="63"/>
  <c r="B308" i="63"/>
  <c r="B308" i="65" s="1"/>
  <c r="AV308" i="63"/>
  <c r="AP308" i="63"/>
  <c r="AX308" i="63"/>
  <c r="J308" i="63"/>
  <c r="AQ308" i="63"/>
  <c r="C308" i="63"/>
  <c r="X308" i="65" s="1"/>
  <c r="AD308" i="63"/>
  <c r="F308" i="63"/>
  <c r="AI308" i="63"/>
  <c r="AE308" i="63"/>
  <c r="AT308" i="63"/>
  <c r="A309" i="63"/>
  <c r="AY308" i="63"/>
  <c r="L308" i="63"/>
  <c r="Y308" i="63"/>
  <c r="E308" i="63"/>
  <c r="AF308" i="63"/>
  <c r="AJ308" i="63"/>
  <c r="AL308" i="63"/>
  <c r="AS308" i="63"/>
  <c r="AK308" i="63"/>
  <c r="AA308" i="63"/>
  <c r="P308" i="63"/>
  <c r="X308" i="63"/>
  <c r="W308" i="65" s="1"/>
  <c r="Z308" i="63"/>
  <c r="AR308" i="63"/>
  <c r="D308" i="63"/>
  <c r="Q308" i="63"/>
  <c r="R308" i="65" s="1"/>
  <c r="M308" i="63"/>
  <c r="R308" i="63"/>
  <c r="S308" i="63"/>
  <c r="U308" i="63"/>
  <c r="O308" i="65" s="1"/>
  <c r="G308" i="63"/>
  <c r="AU308" i="63"/>
  <c r="AC308" i="63"/>
  <c r="K308" i="63"/>
  <c r="N308" i="63"/>
  <c r="O308" i="63"/>
  <c r="AM308" i="63"/>
  <c r="AN308" i="63"/>
  <c r="W308" i="63"/>
  <c r="H307" i="65"/>
  <c r="S307" i="65"/>
  <c r="U307" i="65"/>
  <c r="M307" i="65"/>
  <c r="M308" i="65" l="1"/>
  <c r="Y308" i="65"/>
  <c r="S308" i="65"/>
  <c r="N308" i="65"/>
  <c r="C309" i="63"/>
  <c r="X309" i="65" s="1"/>
  <c r="E309" i="63"/>
  <c r="L309" i="63"/>
  <c r="S309" i="63"/>
  <c r="AS309" i="63"/>
  <c r="AK309" i="63"/>
  <c r="AI309" i="63"/>
  <c r="F309" i="63"/>
  <c r="T309" i="63"/>
  <c r="P309" i="65" s="1"/>
  <c r="AY309" i="63"/>
  <c r="Z309" i="63"/>
  <c r="H309" i="63"/>
  <c r="G309" i="63"/>
  <c r="AO309" i="63"/>
  <c r="AB309" i="63"/>
  <c r="N309" i="63"/>
  <c r="AP309" i="63"/>
  <c r="I309" i="63"/>
  <c r="AA309" i="63"/>
  <c r="B309" i="63"/>
  <c r="B309" i="65" s="1"/>
  <c r="AC309" i="63"/>
  <c r="AL309" i="63"/>
  <c r="O309" i="63"/>
  <c r="AX309" i="63"/>
  <c r="AM309" i="63"/>
  <c r="AU309" i="63"/>
  <c r="AQ309" i="63"/>
  <c r="AD309" i="63"/>
  <c r="Q309" i="63"/>
  <c r="R309" i="65" s="1"/>
  <c r="AR309" i="63"/>
  <c r="AJ309" i="63"/>
  <c r="Y309" i="63"/>
  <c r="AT309" i="63"/>
  <c r="AW309" i="63"/>
  <c r="J309" i="63"/>
  <c r="K309" i="63"/>
  <c r="AH309" i="63"/>
  <c r="M309" i="63"/>
  <c r="AE309" i="63"/>
  <c r="AN309" i="63"/>
  <c r="P309" i="63"/>
  <c r="R309" i="63"/>
  <c r="S309" i="65" s="1"/>
  <c r="AF309" i="63"/>
  <c r="AV309" i="63"/>
  <c r="AG309" i="63"/>
  <c r="U309" i="63"/>
  <c r="O309" i="65" s="1"/>
  <c r="V309" i="63"/>
  <c r="W309" i="63"/>
  <c r="A310" i="63"/>
  <c r="D309" i="63"/>
  <c r="X309" i="63"/>
  <c r="W309" i="65" s="1"/>
  <c r="E310" i="81"/>
  <c r="T310" i="81"/>
  <c r="G310" i="81"/>
  <c r="H310" i="81"/>
  <c r="C310" i="81"/>
  <c r="D310" i="81"/>
  <c r="I310" i="81"/>
  <c r="L310" i="81"/>
  <c r="O310" i="81"/>
  <c r="R310" i="81"/>
  <c r="Q310" i="81"/>
  <c r="U310" i="81"/>
  <c r="F310" i="81"/>
  <c r="J310" i="81"/>
  <c r="K310" i="81"/>
  <c r="M310" i="81"/>
  <c r="P310" i="81"/>
  <c r="N310" i="81"/>
  <c r="A311" i="81"/>
  <c r="B310" i="81"/>
  <c r="S310" i="81"/>
  <c r="H308" i="65"/>
  <c r="U308" i="65"/>
  <c r="M309" i="65" l="1"/>
  <c r="U311" i="81"/>
  <c r="M311" i="81"/>
  <c r="I311" i="81"/>
  <c r="Q311" i="81"/>
  <c r="A312" i="81"/>
  <c r="C311" i="81"/>
  <c r="S311" i="81"/>
  <c r="D311" i="81"/>
  <c r="N311" i="81"/>
  <c r="P311" i="81"/>
  <c r="B311" i="81"/>
  <c r="R311" i="81"/>
  <c r="T311" i="81"/>
  <c r="O311" i="81"/>
  <c r="G311" i="81"/>
  <c r="E311" i="81"/>
  <c r="L311" i="81"/>
  <c r="K311" i="81"/>
  <c r="J311" i="81"/>
  <c r="F311" i="81"/>
  <c r="H311" i="81"/>
  <c r="Y309" i="65"/>
  <c r="N309" i="65"/>
  <c r="U309" i="65"/>
  <c r="H309" i="65"/>
  <c r="AT310" i="63"/>
  <c r="AJ310" i="63"/>
  <c r="AN310" i="63"/>
  <c r="AD310" i="63"/>
  <c r="T310" i="63"/>
  <c r="P310" i="65" s="1"/>
  <c r="AI310" i="63"/>
  <c r="AV310" i="63"/>
  <c r="AP310" i="63"/>
  <c r="L310" i="63"/>
  <c r="AL310" i="63"/>
  <c r="AQ310" i="63"/>
  <c r="M310" i="63"/>
  <c r="AX310" i="63"/>
  <c r="G310" i="63"/>
  <c r="AC310" i="63"/>
  <c r="N310" i="63"/>
  <c r="U310" i="63"/>
  <c r="O310" i="65" s="1"/>
  <c r="P310" i="63"/>
  <c r="Q310" i="63"/>
  <c r="R310" i="65" s="1"/>
  <c r="AY310" i="63"/>
  <c r="AM310" i="63"/>
  <c r="AG310" i="63"/>
  <c r="O310" i="63"/>
  <c r="D310" i="63"/>
  <c r="Y310" i="63"/>
  <c r="AW310" i="63"/>
  <c r="AH310" i="63"/>
  <c r="V310" i="63"/>
  <c r="AA310" i="63"/>
  <c r="S310" i="63"/>
  <c r="W310" i="63"/>
  <c r="AU310" i="63"/>
  <c r="B310" i="63"/>
  <c r="B310" i="65" s="1"/>
  <c r="Z310" i="63"/>
  <c r="J310" i="63"/>
  <c r="X310" i="63"/>
  <c r="W310" i="65" s="1"/>
  <c r="AB310" i="63"/>
  <c r="K310" i="63"/>
  <c r="AE310" i="63"/>
  <c r="AF310" i="63"/>
  <c r="A311" i="63"/>
  <c r="R310" i="63"/>
  <c r="AK310" i="63"/>
  <c r="C310" i="63"/>
  <c r="X310" i="65" s="1"/>
  <c r="E310" i="63"/>
  <c r="AO310" i="63"/>
  <c r="H310" i="63"/>
  <c r="AS310" i="63"/>
  <c r="AR310" i="63"/>
  <c r="I310" i="63"/>
  <c r="F310" i="63"/>
  <c r="N310" i="65" l="1"/>
  <c r="AY311" i="63"/>
  <c r="E311" i="63"/>
  <c r="M311" i="63"/>
  <c r="K311" i="63"/>
  <c r="AK311" i="63"/>
  <c r="H311" i="63"/>
  <c r="AM311" i="63"/>
  <c r="AA311" i="63"/>
  <c r="B311" i="63"/>
  <c r="B311" i="65" s="1"/>
  <c r="Z311" i="63"/>
  <c r="AV311" i="63"/>
  <c r="AQ311" i="63"/>
  <c r="T311" i="63"/>
  <c r="P311" i="65" s="1"/>
  <c r="AS311" i="63"/>
  <c r="AW311" i="63"/>
  <c r="AE311" i="63"/>
  <c r="D311" i="63"/>
  <c r="AB311" i="63"/>
  <c r="AU311" i="63"/>
  <c r="V311" i="63"/>
  <c r="AT311" i="63"/>
  <c r="AG311" i="63"/>
  <c r="W311" i="63"/>
  <c r="AX311" i="63"/>
  <c r="P311" i="63"/>
  <c r="AO311" i="63"/>
  <c r="C311" i="63"/>
  <c r="X311" i="65" s="1"/>
  <c r="A312" i="63"/>
  <c r="AH311" i="63"/>
  <c r="F311" i="63"/>
  <c r="L311" i="63"/>
  <c r="AJ311" i="63"/>
  <c r="Y311" i="63"/>
  <c r="AC311" i="63"/>
  <c r="AR311" i="63"/>
  <c r="I311" i="63"/>
  <c r="AF311" i="63"/>
  <c r="J311" i="63"/>
  <c r="N311" i="65" s="1"/>
  <c r="U311" i="63"/>
  <c r="O311" i="65" s="1"/>
  <c r="O311" i="63"/>
  <c r="N311" i="63"/>
  <c r="AD311" i="63"/>
  <c r="Q311" i="63"/>
  <c r="R311" i="65" s="1"/>
  <c r="AI311" i="63"/>
  <c r="R311" i="63"/>
  <c r="S311" i="63"/>
  <c r="AL311" i="63"/>
  <c r="AN311" i="63"/>
  <c r="X311" i="63"/>
  <c r="W311" i="65" s="1"/>
  <c r="AP311" i="63"/>
  <c r="G311" i="63"/>
  <c r="M310" i="65"/>
  <c r="Y310" i="65"/>
  <c r="C312" i="81"/>
  <c r="S312" i="81"/>
  <c r="Q312" i="81"/>
  <c r="I312" i="81"/>
  <c r="U312" i="81"/>
  <c r="M312" i="81"/>
  <c r="A313" i="81"/>
  <c r="N312" i="81"/>
  <c r="F312" i="81"/>
  <c r="D312" i="81"/>
  <c r="K312" i="81"/>
  <c r="L312" i="81"/>
  <c r="R312" i="81"/>
  <c r="G312" i="81"/>
  <c r="H312" i="81"/>
  <c r="O312" i="81"/>
  <c r="J312" i="81"/>
  <c r="E312" i="81"/>
  <c r="T312" i="81"/>
  <c r="P312" i="81"/>
  <c r="B312" i="81"/>
  <c r="S310" i="65"/>
  <c r="U310" i="65"/>
  <c r="H310" i="65"/>
  <c r="U311" i="65" l="1"/>
  <c r="S311" i="65"/>
  <c r="T312" i="63"/>
  <c r="P312" i="65" s="1"/>
  <c r="AQ312" i="63"/>
  <c r="O312" i="63"/>
  <c r="S312" i="63"/>
  <c r="AP312" i="63"/>
  <c r="AF312" i="63"/>
  <c r="AK312" i="63"/>
  <c r="F312" i="63"/>
  <c r="AX312" i="63"/>
  <c r="B312" i="63"/>
  <c r="B312" i="65" s="1"/>
  <c r="X312" i="63"/>
  <c r="W312" i="65" s="1"/>
  <c r="AG312" i="63"/>
  <c r="AA312" i="63"/>
  <c r="R312" i="63"/>
  <c r="A313" i="63"/>
  <c r="AL312" i="63"/>
  <c r="AT312" i="63"/>
  <c r="AJ312" i="63"/>
  <c r="AB312" i="63"/>
  <c r="AI312" i="63"/>
  <c r="U312" i="63"/>
  <c r="O312" i="65" s="1"/>
  <c r="AU312" i="63"/>
  <c r="AR312" i="63"/>
  <c r="K312" i="63"/>
  <c r="G312" i="63"/>
  <c r="Y312" i="63"/>
  <c r="D312" i="63"/>
  <c r="AV312" i="63"/>
  <c r="Q312" i="63"/>
  <c r="R312" i="65" s="1"/>
  <c r="AC312" i="63"/>
  <c r="E312" i="63"/>
  <c r="AW312" i="63"/>
  <c r="V312" i="63"/>
  <c r="AN312" i="63"/>
  <c r="W312" i="63"/>
  <c r="H312" i="63"/>
  <c r="J312" i="63"/>
  <c r="AD312" i="63"/>
  <c r="L312" i="63"/>
  <c r="AE312" i="63"/>
  <c r="N312" i="63"/>
  <c r="I312" i="63"/>
  <c r="AY312" i="63"/>
  <c r="AO312" i="63"/>
  <c r="AH312" i="63"/>
  <c r="M312" i="63"/>
  <c r="P312" i="63"/>
  <c r="AS312" i="63"/>
  <c r="Z312" i="63"/>
  <c r="C312" i="63"/>
  <c r="X312" i="65" s="1"/>
  <c r="AM312" i="63"/>
  <c r="M311" i="65"/>
  <c r="E313" i="81"/>
  <c r="A314" i="81"/>
  <c r="R313" i="81"/>
  <c r="F313" i="81"/>
  <c r="M313" i="81"/>
  <c r="N313" i="81"/>
  <c r="C313" i="81"/>
  <c r="O313" i="81"/>
  <c r="T313" i="81"/>
  <c r="I313" i="81"/>
  <c r="S313" i="81"/>
  <c r="D313" i="81"/>
  <c r="U313" i="81"/>
  <c r="L313" i="81"/>
  <c r="B313" i="81"/>
  <c r="G313" i="81"/>
  <c r="J313" i="81"/>
  <c r="H313" i="81"/>
  <c r="P313" i="81"/>
  <c r="Q313" i="81"/>
  <c r="K313" i="81"/>
  <c r="Y311" i="65"/>
  <c r="H311" i="65"/>
  <c r="Y312" i="65" l="1"/>
  <c r="S312" i="65"/>
  <c r="N312" i="65"/>
  <c r="H312" i="65"/>
  <c r="Z313" i="63"/>
  <c r="AW313" i="63"/>
  <c r="AQ313" i="63"/>
  <c r="AG313" i="63"/>
  <c r="M313" i="63"/>
  <c r="I313" i="63"/>
  <c r="AX313" i="63"/>
  <c r="T313" i="63"/>
  <c r="P313" i="65" s="1"/>
  <c r="AA313" i="63"/>
  <c r="Q313" i="63"/>
  <c r="R313" i="65" s="1"/>
  <c r="J313" i="63"/>
  <c r="AH313" i="63"/>
  <c r="G313" i="63"/>
  <c r="AB313" i="63"/>
  <c r="AY313" i="63"/>
  <c r="AD313" i="63"/>
  <c r="AM313" i="63"/>
  <c r="L313" i="63"/>
  <c r="AI313" i="63"/>
  <c r="AL313" i="63"/>
  <c r="K313" i="63"/>
  <c r="AC313" i="63"/>
  <c r="S313" i="63"/>
  <c r="AU313" i="63"/>
  <c r="E313" i="63"/>
  <c r="AT313" i="63"/>
  <c r="AJ313" i="63"/>
  <c r="AO313" i="63"/>
  <c r="AE313" i="63"/>
  <c r="V313" i="63"/>
  <c r="AP313" i="63"/>
  <c r="W313" i="63"/>
  <c r="B313" i="63"/>
  <c r="B313" i="65" s="1"/>
  <c r="X313" i="63"/>
  <c r="W313" i="65" s="1"/>
  <c r="C313" i="63"/>
  <c r="X313" i="65" s="1"/>
  <c r="F313" i="63"/>
  <c r="Y313" i="63"/>
  <c r="U313" i="63"/>
  <c r="O313" i="65" s="1"/>
  <c r="H313" i="63"/>
  <c r="AK313" i="63"/>
  <c r="AR313" i="63"/>
  <c r="AS313" i="63"/>
  <c r="N313" i="63"/>
  <c r="AV313" i="63"/>
  <c r="O313" i="63"/>
  <c r="A314" i="63"/>
  <c r="AF313" i="63"/>
  <c r="R313" i="63"/>
  <c r="P313" i="63"/>
  <c r="D313" i="63"/>
  <c r="AN313" i="63"/>
  <c r="U312" i="65"/>
  <c r="K314" i="81"/>
  <c r="N314" i="81"/>
  <c r="O314" i="81"/>
  <c r="T314" i="81"/>
  <c r="B314" i="81"/>
  <c r="C314" i="81"/>
  <c r="P314" i="81"/>
  <c r="J314" i="81"/>
  <c r="E314" i="81"/>
  <c r="M314" i="81"/>
  <c r="U314" i="81"/>
  <c r="F314" i="81"/>
  <c r="G314" i="81"/>
  <c r="R314" i="81"/>
  <c r="S314" i="81"/>
  <c r="D314" i="81"/>
  <c r="A315" i="81"/>
  <c r="Q314" i="81"/>
  <c r="L314" i="81"/>
  <c r="H314" i="81"/>
  <c r="I314" i="81"/>
  <c r="M312" i="65"/>
  <c r="Y313" i="65" l="1"/>
  <c r="M313" i="65"/>
  <c r="N313" i="65"/>
  <c r="AQ314" i="63"/>
  <c r="AW314" i="63"/>
  <c r="V314" i="63"/>
  <c r="E314" i="63"/>
  <c r="AC314" i="63"/>
  <c r="B314" i="63"/>
  <c r="B314" i="65" s="1"/>
  <c r="N314" i="63"/>
  <c r="H314" i="63"/>
  <c r="AS314" i="63"/>
  <c r="U314" i="63"/>
  <c r="O314" i="65" s="1"/>
  <c r="X314" i="63"/>
  <c r="W314" i="65" s="1"/>
  <c r="O314" i="63"/>
  <c r="AI314" i="63"/>
  <c r="I314" i="63"/>
  <c r="AU314" i="63"/>
  <c r="C314" i="63"/>
  <c r="X314" i="65" s="1"/>
  <c r="Y314" i="63"/>
  <c r="P314" i="63"/>
  <c r="T314" i="63"/>
  <c r="P314" i="65" s="1"/>
  <c r="J314" i="63"/>
  <c r="AV314" i="63"/>
  <c r="G314" i="63"/>
  <c r="Z314" i="63"/>
  <c r="Q314" i="63"/>
  <c r="R314" i="65" s="1"/>
  <c r="W314" i="63"/>
  <c r="AP314" i="63"/>
  <c r="AM314" i="63"/>
  <c r="AA314" i="63"/>
  <c r="R314" i="63"/>
  <c r="AK314" i="63"/>
  <c r="A315" i="63"/>
  <c r="M314" i="63"/>
  <c r="AE314" i="63"/>
  <c r="AF314" i="63"/>
  <c r="AG314" i="63"/>
  <c r="L314" i="63"/>
  <c r="S314" i="63"/>
  <c r="D314" i="63"/>
  <c r="AH314" i="63"/>
  <c r="AX314" i="63"/>
  <c r="AY314" i="63"/>
  <c r="AJ314" i="63"/>
  <c r="AN314" i="63"/>
  <c r="AD314" i="63"/>
  <c r="AO314" i="63"/>
  <c r="AL314" i="63"/>
  <c r="K314" i="63"/>
  <c r="AT314" i="63"/>
  <c r="AB314" i="63"/>
  <c r="F314" i="63"/>
  <c r="AR314" i="63"/>
  <c r="F315" i="81"/>
  <c r="B315" i="81"/>
  <c r="A316" i="81"/>
  <c r="R315" i="81"/>
  <c r="D315" i="81"/>
  <c r="T315" i="81"/>
  <c r="E315" i="81"/>
  <c r="I315" i="81"/>
  <c r="K315" i="81"/>
  <c r="H315" i="81"/>
  <c r="J315" i="81"/>
  <c r="P315" i="81"/>
  <c r="O315" i="81"/>
  <c r="U315" i="81"/>
  <c r="L315" i="81"/>
  <c r="M315" i="81"/>
  <c r="G315" i="81"/>
  <c r="Q315" i="81"/>
  <c r="C315" i="81"/>
  <c r="S315" i="81"/>
  <c r="N315" i="81"/>
  <c r="H313" i="65"/>
  <c r="U313" i="65"/>
  <c r="S313" i="65"/>
  <c r="S314" i="65" l="1"/>
  <c r="H314" i="65"/>
  <c r="AO315" i="63"/>
  <c r="P315" i="63"/>
  <c r="W315" i="63"/>
  <c r="AS315" i="63"/>
  <c r="AX315" i="63"/>
  <c r="AM315" i="63"/>
  <c r="N315" i="63"/>
  <c r="E315" i="63"/>
  <c r="H315" i="63"/>
  <c r="AD315" i="63"/>
  <c r="U315" i="63"/>
  <c r="O315" i="65" s="1"/>
  <c r="O315" i="63"/>
  <c r="AK315" i="63"/>
  <c r="AN315" i="63"/>
  <c r="AE315" i="63"/>
  <c r="C315" i="63"/>
  <c r="X315" i="65" s="1"/>
  <c r="A316" i="63"/>
  <c r="Y315" i="63"/>
  <c r="AF315" i="63"/>
  <c r="L315" i="63"/>
  <c r="J315" i="63"/>
  <c r="AV315" i="63"/>
  <c r="S315" i="63"/>
  <c r="Z315" i="63"/>
  <c r="Q315" i="63"/>
  <c r="R315" i="65" s="1"/>
  <c r="T315" i="63"/>
  <c r="P315" i="65" s="1"/>
  <c r="K315" i="63"/>
  <c r="AG315" i="63"/>
  <c r="AB315" i="63"/>
  <c r="AW315" i="63"/>
  <c r="B315" i="63"/>
  <c r="B315" i="65" s="1"/>
  <c r="F315" i="63"/>
  <c r="R315" i="63"/>
  <c r="V315" i="63"/>
  <c r="Y315" i="65" s="1"/>
  <c r="AH315" i="63"/>
  <c r="AL315" i="63"/>
  <c r="G315" i="63"/>
  <c r="D315" i="63"/>
  <c r="X315" i="63"/>
  <c r="W315" i="65" s="1"/>
  <c r="AT315" i="63"/>
  <c r="I315" i="63"/>
  <c r="AI315" i="63"/>
  <c r="AP315" i="63"/>
  <c r="AJ315" i="63"/>
  <c r="AA315" i="63"/>
  <c r="AR315" i="63"/>
  <c r="AQ315" i="63"/>
  <c r="AY315" i="63"/>
  <c r="M315" i="63"/>
  <c r="AC315" i="63"/>
  <c r="AU315" i="63"/>
  <c r="M314" i="65"/>
  <c r="P316" i="81"/>
  <c r="S316" i="81"/>
  <c r="H316" i="81"/>
  <c r="T316" i="81"/>
  <c r="N316" i="81"/>
  <c r="A317" i="81"/>
  <c r="O316" i="81"/>
  <c r="C316" i="81"/>
  <c r="F316" i="81"/>
  <c r="J316" i="81"/>
  <c r="B316" i="81"/>
  <c r="I316" i="81"/>
  <c r="E316" i="81"/>
  <c r="G316" i="81"/>
  <c r="K316" i="81"/>
  <c r="U316" i="81"/>
  <c r="L316" i="81"/>
  <c r="Q316" i="81"/>
  <c r="R316" i="81"/>
  <c r="D316" i="81"/>
  <c r="M316" i="81"/>
  <c r="N314" i="65"/>
  <c r="Y314" i="65"/>
  <c r="U314" i="65"/>
  <c r="M315" i="65" l="1"/>
  <c r="H315" i="65"/>
  <c r="N315" i="65"/>
  <c r="U315" i="65"/>
  <c r="D317" i="81"/>
  <c r="O317" i="81"/>
  <c r="P317" i="81"/>
  <c r="S317" i="81"/>
  <c r="T317" i="81"/>
  <c r="B317" i="81"/>
  <c r="E317" i="81"/>
  <c r="C317" i="81"/>
  <c r="J317" i="81"/>
  <c r="L317" i="81"/>
  <c r="U317" i="81"/>
  <c r="I317" i="81"/>
  <c r="G317" i="81"/>
  <c r="H317" i="81"/>
  <c r="M317" i="81"/>
  <c r="R317" i="81"/>
  <c r="F317" i="81"/>
  <c r="A318" i="81"/>
  <c r="N317" i="81"/>
  <c r="Q317" i="81"/>
  <c r="K317" i="81"/>
  <c r="S315" i="65"/>
  <c r="G316" i="63"/>
  <c r="AR316" i="63"/>
  <c r="AY316" i="63"/>
  <c r="W316" i="63"/>
  <c r="M316" i="63"/>
  <c r="J316" i="63"/>
  <c r="AC316" i="63"/>
  <c r="Q316" i="63"/>
  <c r="R316" i="65" s="1"/>
  <c r="H316" i="63"/>
  <c r="N316" i="63"/>
  <c r="R316" i="63"/>
  <c r="X316" i="63"/>
  <c r="W316" i="65" s="1"/>
  <c r="AD316" i="63"/>
  <c r="Z316" i="63"/>
  <c r="A317" i="63"/>
  <c r="D316" i="63"/>
  <c r="AN316" i="63"/>
  <c r="O316" i="63"/>
  <c r="AH316" i="63"/>
  <c r="T316" i="63"/>
  <c r="P316" i="65" s="1"/>
  <c r="I316" i="63"/>
  <c r="AE316" i="63"/>
  <c r="AP316" i="63"/>
  <c r="AJ316" i="63"/>
  <c r="Y316" i="63"/>
  <c r="AU316" i="63"/>
  <c r="AW316" i="63"/>
  <c r="U316" i="63"/>
  <c r="O316" i="65" s="1"/>
  <c r="K316" i="63"/>
  <c r="AF316" i="63"/>
  <c r="B316" i="63"/>
  <c r="B316" i="65" s="1"/>
  <c r="V316" i="63"/>
  <c r="E316" i="63"/>
  <c r="AL316" i="63"/>
  <c r="AG316" i="63"/>
  <c r="AM316" i="63"/>
  <c r="AX316" i="63"/>
  <c r="C316" i="63"/>
  <c r="X316" i="65" s="1"/>
  <c r="AO316" i="63"/>
  <c r="AA316" i="63"/>
  <c r="AQ316" i="63"/>
  <c r="L316" i="63"/>
  <c r="AB316" i="63"/>
  <c r="AS316" i="63"/>
  <c r="AT316" i="63"/>
  <c r="P316" i="63"/>
  <c r="AV316" i="63"/>
  <c r="AK316" i="63"/>
  <c r="S316" i="63"/>
  <c r="F316" i="63"/>
  <c r="AI316" i="63"/>
  <c r="N316" i="65" l="1"/>
  <c r="D317" i="63"/>
  <c r="AO317" i="63"/>
  <c r="AT317" i="63"/>
  <c r="T317" i="63"/>
  <c r="P317" i="65" s="1"/>
  <c r="J317" i="63"/>
  <c r="Q317" i="63"/>
  <c r="R317" i="65" s="1"/>
  <c r="Z317" i="63"/>
  <c r="E317" i="63"/>
  <c r="K317" i="63"/>
  <c r="AU317" i="63"/>
  <c r="U317" i="63"/>
  <c r="O317" i="65" s="1"/>
  <c r="AV317" i="63"/>
  <c r="A318" i="63"/>
  <c r="B317" i="63"/>
  <c r="B317" i="65" s="1"/>
  <c r="AK317" i="63"/>
  <c r="AQ317" i="63"/>
  <c r="H317" i="63"/>
  <c r="F317" i="63"/>
  <c r="L317" i="63"/>
  <c r="O317" i="63"/>
  <c r="R317" i="63"/>
  <c r="V317" i="63"/>
  <c r="AB317" i="63"/>
  <c r="P317" i="63"/>
  <c r="AX317" i="63"/>
  <c r="G317" i="63"/>
  <c r="M317" i="63"/>
  <c r="AL317" i="63"/>
  <c r="AF317" i="63"/>
  <c r="W317" i="63"/>
  <c r="AN317" i="63"/>
  <c r="AM317" i="63"/>
  <c r="I317" i="63"/>
  <c r="Y317" i="63"/>
  <c r="AY317" i="63"/>
  <c r="AP317" i="63"/>
  <c r="AA317" i="63"/>
  <c r="AR317" i="63"/>
  <c r="AC317" i="63"/>
  <c r="AH317" i="63"/>
  <c r="AS317" i="63"/>
  <c r="C317" i="63"/>
  <c r="X317" i="65" s="1"/>
  <c r="N317" i="63"/>
  <c r="S317" i="63"/>
  <c r="AD317" i="63"/>
  <c r="AI317" i="63"/>
  <c r="AG317" i="63"/>
  <c r="AW317" i="63"/>
  <c r="AJ317" i="63"/>
  <c r="X317" i="63"/>
  <c r="W317" i="65" s="1"/>
  <c r="AE317" i="63"/>
  <c r="H316" i="65"/>
  <c r="M318" i="81"/>
  <c r="N318" i="81"/>
  <c r="S318" i="81"/>
  <c r="T318" i="81"/>
  <c r="B318" i="81"/>
  <c r="P318" i="81"/>
  <c r="D318" i="81"/>
  <c r="E318" i="81"/>
  <c r="K318" i="81"/>
  <c r="H318" i="81"/>
  <c r="O318" i="81"/>
  <c r="R318" i="81"/>
  <c r="J318" i="81"/>
  <c r="I318" i="81"/>
  <c r="L318" i="81"/>
  <c r="G318" i="81"/>
  <c r="Q318" i="81"/>
  <c r="C318" i="81"/>
  <c r="A319" i="81"/>
  <c r="U318" i="81"/>
  <c r="F318" i="81"/>
  <c r="S316" i="65"/>
  <c r="M316" i="65"/>
  <c r="Y316" i="65"/>
  <c r="U316" i="65"/>
  <c r="Q319" i="81" l="1"/>
  <c r="O319" i="81"/>
  <c r="B319" i="81"/>
  <c r="P319" i="81"/>
  <c r="S319" i="81"/>
  <c r="D319" i="81"/>
  <c r="T319" i="81"/>
  <c r="H319" i="81"/>
  <c r="I319" i="81"/>
  <c r="N319" i="81"/>
  <c r="J319" i="81"/>
  <c r="A320" i="81"/>
  <c r="M319" i="81"/>
  <c r="R319" i="81"/>
  <c r="C319" i="81"/>
  <c r="G319" i="81"/>
  <c r="L319" i="81"/>
  <c r="U319" i="81"/>
  <c r="F319" i="81"/>
  <c r="K319" i="81"/>
  <c r="E319" i="81"/>
  <c r="Y317" i="65"/>
  <c r="S317" i="65"/>
  <c r="N317" i="65"/>
  <c r="U317" i="65"/>
  <c r="C318" i="63"/>
  <c r="X318" i="65" s="1"/>
  <c r="X318" i="63"/>
  <c r="W318" i="65" s="1"/>
  <c r="M318" i="63"/>
  <c r="N318" i="63"/>
  <c r="S318" i="63"/>
  <c r="AN318" i="63"/>
  <c r="O318" i="63"/>
  <c r="A319" i="63"/>
  <c r="AY318" i="63"/>
  <c r="Y318" i="63"/>
  <c r="AC318" i="63"/>
  <c r="D318" i="63"/>
  <c r="AO318" i="63"/>
  <c r="AD318" i="63"/>
  <c r="AF318" i="63"/>
  <c r="AV318" i="63"/>
  <c r="AJ318" i="63"/>
  <c r="AP318" i="63"/>
  <c r="AS318" i="63"/>
  <c r="Q318" i="63"/>
  <c r="R318" i="65" s="1"/>
  <c r="E318" i="63"/>
  <c r="K318" i="63"/>
  <c r="AT318" i="63"/>
  <c r="AW318" i="63"/>
  <c r="AK318" i="63"/>
  <c r="AQ318" i="63"/>
  <c r="H318" i="63"/>
  <c r="I318" i="63"/>
  <c r="J318" i="63"/>
  <c r="Z318" i="63"/>
  <c r="P318" i="63"/>
  <c r="AA318" i="63"/>
  <c r="AG318" i="63"/>
  <c r="L318" i="63"/>
  <c r="B318" i="63"/>
  <c r="B318" i="65" s="1"/>
  <c r="AB318" i="63"/>
  <c r="R318" i="63"/>
  <c r="AR318" i="63"/>
  <c r="AH318" i="63"/>
  <c r="F318" i="63"/>
  <c r="AX318" i="63"/>
  <c r="V318" i="63"/>
  <c r="AI318" i="63"/>
  <c r="AE318" i="63"/>
  <c r="T318" i="63"/>
  <c r="P318" i="65" s="1"/>
  <c r="AL318" i="63"/>
  <c r="U318" i="63"/>
  <c r="O318" i="65" s="1"/>
  <c r="AU318" i="63"/>
  <c r="G318" i="63"/>
  <c r="W318" i="63"/>
  <c r="AM318" i="63"/>
  <c r="M317" i="65"/>
  <c r="H317" i="65"/>
  <c r="S318" i="65" l="1"/>
  <c r="M318" i="65"/>
  <c r="K320" i="81"/>
  <c r="L320" i="81"/>
  <c r="I320" i="81"/>
  <c r="R320" i="81"/>
  <c r="M320" i="81"/>
  <c r="S320" i="81"/>
  <c r="N320" i="81"/>
  <c r="U320" i="81"/>
  <c r="T320" i="81"/>
  <c r="A321" i="81"/>
  <c r="H320" i="81"/>
  <c r="O320" i="81"/>
  <c r="C320" i="81"/>
  <c r="D320" i="81"/>
  <c r="E320" i="81"/>
  <c r="Q320" i="81"/>
  <c r="P320" i="81"/>
  <c r="B320" i="81"/>
  <c r="F320" i="81"/>
  <c r="J320" i="81"/>
  <c r="G320" i="81"/>
  <c r="H318" i="65"/>
  <c r="N318" i="65"/>
  <c r="Y318" i="65"/>
  <c r="AW319" i="63"/>
  <c r="G319" i="63"/>
  <c r="B319" i="63"/>
  <c r="B319" i="65" s="1"/>
  <c r="W319" i="63"/>
  <c r="AA319" i="63"/>
  <c r="AM319" i="63"/>
  <c r="AB319" i="63"/>
  <c r="N319" i="63"/>
  <c r="AH319" i="63"/>
  <c r="X319" i="63"/>
  <c r="W319" i="65" s="1"/>
  <c r="AJ319" i="63"/>
  <c r="AD319" i="63"/>
  <c r="AX319" i="63"/>
  <c r="AP319" i="63"/>
  <c r="AE319" i="63"/>
  <c r="AI319" i="63"/>
  <c r="Y319" i="63"/>
  <c r="AS319" i="63"/>
  <c r="AU319" i="63"/>
  <c r="AY319" i="63"/>
  <c r="AO319" i="63"/>
  <c r="D319" i="63"/>
  <c r="AF319" i="63"/>
  <c r="U319" i="63"/>
  <c r="O319" i="65" s="1"/>
  <c r="Z319" i="63"/>
  <c r="AL319" i="63"/>
  <c r="H319" i="63"/>
  <c r="A320" i="63"/>
  <c r="AT319" i="63"/>
  <c r="AN319" i="63"/>
  <c r="O319" i="63"/>
  <c r="I319" i="63"/>
  <c r="P319" i="63"/>
  <c r="J319" i="63"/>
  <c r="AV319" i="63"/>
  <c r="K319" i="63"/>
  <c r="Q319" i="63"/>
  <c r="R319" i="65" s="1"/>
  <c r="L319" i="63"/>
  <c r="M319" i="63"/>
  <c r="AG319" i="63"/>
  <c r="T319" i="63"/>
  <c r="P319" i="65" s="1"/>
  <c r="R319" i="63"/>
  <c r="AC319" i="63"/>
  <c r="C319" i="63"/>
  <c r="X319" i="65" s="1"/>
  <c r="AQ319" i="63"/>
  <c r="S319" i="63"/>
  <c r="AR319" i="63"/>
  <c r="E319" i="63"/>
  <c r="AK319" i="63"/>
  <c r="F319" i="63"/>
  <c r="V319" i="63"/>
  <c r="U318" i="65"/>
  <c r="Y319" i="65" l="1"/>
  <c r="N319" i="65"/>
  <c r="M319" i="65"/>
  <c r="C321" i="81"/>
  <c r="F321" i="81"/>
  <c r="M321" i="81"/>
  <c r="N321" i="81"/>
  <c r="O321" i="81"/>
  <c r="B321" i="81"/>
  <c r="A322" i="81"/>
  <c r="D321" i="81"/>
  <c r="E321" i="81"/>
  <c r="U321" i="81"/>
  <c r="I321" i="81"/>
  <c r="L321" i="81"/>
  <c r="G321" i="81"/>
  <c r="H321" i="81"/>
  <c r="S321" i="81"/>
  <c r="T321" i="81"/>
  <c r="J321" i="81"/>
  <c r="Q321" i="81"/>
  <c r="R321" i="81"/>
  <c r="K321" i="81"/>
  <c r="P321" i="81"/>
  <c r="U319" i="65"/>
  <c r="H319" i="65"/>
  <c r="S319" i="65"/>
  <c r="Q320" i="63"/>
  <c r="R320" i="65" s="1"/>
  <c r="AL320" i="63"/>
  <c r="B320" i="63"/>
  <c r="B320" i="65" s="1"/>
  <c r="G320" i="63"/>
  <c r="A321" i="63"/>
  <c r="AG320" i="63"/>
  <c r="W320" i="63"/>
  <c r="AQ320" i="63"/>
  <c r="L320" i="63"/>
  <c r="C320" i="63"/>
  <c r="X320" i="65" s="1"/>
  <c r="AX320" i="63"/>
  <c r="AS320" i="63"/>
  <c r="AB320" i="63"/>
  <c r="R320" i="63"/>
  <c r="I320" i="63"/>
  <c r="AC320" i="63"/>
  <c r="AY320" i="63"/>
  <c r="Z320" i="63"/>
  <c r="AV320" i="63"/>
  <c r="N320" i="63"/>
  <c r="D320" i="63"/>
  <c r="AA320" i="63"/>
  <c r="AT320" i="63"/>
  <c r="E320" i="63"/>
  <c r="AJ320" i="63"/>
  <c r="V320" i="63"/>
  <c r="K320" i="63"/>
  <c r="AR320" i="63"/>
  <c r="X320" i="63"/>
  <c r="W320" i="65" s="1"/>
  <c r="M320" i="63"/>
  <c r="Y320" i="63"/>
  <c r="AD320" i="63"/>
  <c r="AH320" i="63"/>
  <c r="O320" i="63"/>
  <c r="AM320" i="63"/>
  <c r="AE320" i="63"/>
  <c r="AN320" i="63"/>
  <c r="P320" i="63"/>
  <c r="AO320" i="63"/>
  <c r="AF320" i="63"/>
  <c r="AP320" i="63"/>
  <c r="AW320" i="63"/>
  <c r="H320" i="63"/>
  <c r="S320" i="63"/>
  <c r="J320" i="63"/>
  <c r="AI320" i="63"/>
  <c r="AU320" i="63"/>
  <c r="T320" i="63"/>
  <c r="P320" i="65" s="1"/>
  <c r="U320" i="63"/>
  <c r="O320" i="65" s="1"/>
  <c r="AK320" i="63"/>
  <c r="F320" i="63"/>
  <c r="N320" i="65" l="1"/>
  <c r="S320" i="65"/>
  <c r="H320" i="65"/>
  <c r="G321" i="63"/>
  <c r="T321" i="63"/>
  <c r="P321" i="65" s="1"/>
  <c r="S321" i="63"/>
  <c r="AD321" i="63"/>
  <c r="J321" i="63"/>
  <c r="AI321" i="63"/>
  <c r="H321" i="63"/>
  <c r="AO321" i="63"/>
  <c r="AP321" i="63"/>
  <c r="W321" i="63"/>
  <c r="I321" i="63"/>
  <c r="L321" i="63"/>
  <c r="AT321" i="63"/>
  <c r="AH321" i="63"/>
  <c r="V321" i="63"/>
  <c r="O321" i="63"/>
  <c r="AV321" i="63"/>
  <c r="M321" i="63"/>
  <c r="AE321" i="63"/>
  <c r="D321" i="63"/>
  <c r="AK321" i="63"/>
  <c r="Q321" i="63"/>
  <c r="R321" i="65" s="1"/>
  <c r="AX321" i="63"/>
  <c r="AL321" i="63"/>
  <c r="AC321" i="63"/>
  <c r="A322" i="63"/>
  <c r="Z321" i="63"/>
  <c r="AF321" i="63"/>
  <c r="AB321" i="63"/>
  <c r="K321" i="63"/>
  <c r="AR321" i="63"/>
  <c r="AJ321" i="63"/>
  <c r="AU321" i="63"/>
  <c r="N321" i="63"/>
  <c r="P321" i="63"/>
  <c r="AG321" i="63"/>
  <c r="AM321" i="63"/>
  <c r="AW321" i="63"/>
  <c r="R321" i="63"/>
  <c r="S321" i="65" s="1"/>
  <c r="C321" i="63"/>
  <c r="X321" i="65" s="1"/>
  <c r="AN321" i="63"/>
  <c r="AY321" i="63"/>
  <c r="U321" i="63"/>
  <c r="O321" i="65" s="1"/>
  <c r="B321" i="63"/>
  <c r="B321" i="65" s="1"/>
  <c r="AQ321" i="63"/>
  <c r="X321" i="63"/>
  <c r="W321" i="65" s="1"/>
  <c r="AS321" i="63"/>
  <c r="Y321" i="63"/>
  <c r="E321" i="63"/>
  <c r="AA321" i="63"/>
  <c r="F321" i="63"/>
  <c r="U322" i="81"/>
  <c r="I322" i="81"/>
  <c r="G322" i="81"/>
  <c r="A323" i="81"/>
  <c r="K322" i="81"/>
  <c r="L322" i="81"/>
  <c r="M322" i="81"/>
  <c r="P322" i="81"/>
  <c r="E322" i="81"/>
  <c r="H322" i="81"/>
  <c r="J322" i="81"/>
  <c r="R322" i="81"/>
  <c r="S322" i="81"/>
  <c r="T322" i="81"/>
  <c r="F322" i="81"/>
  <c r="C322" i="81"/>
  <c r="Q322" i="81"/>
  <c r="N322" i="81"/>
  <c r="B322" i="81"/>
  <c r="O322" i="81"/>
  <c r="D322" i="81"/>
  <c r="Y320" i="65"/>
  <c r="U320" i="65"/>
  <c r="M320" i="65"/>
  <c r="Y321" i="65" l="1"/>
  <c r="U321" i="65"/>
  <c r="H321" i="65"/>
  <c r="E322" i="63"/>
  <c r="AJ322" i="63"/>
  <c r="AO322" i="63"/>
  <c r="AB322" i="63"/>
  <c r="P322" i="63"/>
  <c r="H322" i="63"/>
  <c r="U322" i="63"/>
  <c r="O322" i="65" s="1"/>
  <c r="AW322" i="63"/>
  <c r="AK322" i="63"/>
  <c r="AN322" i="63"/>
  <c r="AQ322" i="63"/>
  <c r="AD322" i="63"/>
  <c r="R322" i="63"/>
  <c r="J322" i="63"/>
  <c r="V322" i="63"/>
  <c r="AX322" i="63"/>
  <c r="S322" i="63"/>
  <c r="M322" i="63"/>
  <c r="W322" i="63"/>
  <c r="AY322" i="63"/>
  <c r="AC322" i="63"/>
  <c r="AT322" i="63"/>
  <c r="I322" i="63"/>
  <c r="O322" i="63"/>
  <c r="Y322" i="63"/>
  <c r="K322" i="63"/>
  <c r="AV322" i="63"/>
  <c r="X322" i="63"/>
  <c r="W322" i="65" s="1"/>
  <c r="F322" i="63"/>
  <c r="Z322" i="63"/>
  <c r="G322" i="63"/>
  <c r="AP322" i="63"/>
  <c r="AE322" i="63"/>
  <c r="AS322" i="63"/>
  <c r="AF322" i="63"/>
  <c r="Q322" i="63"/>
  <c r="R322" i="65" s="1"/>
  <c r="AH322" i="63"/>
  <c r="L322" i="63"/>
  <c r="AG322" i="63"/>
  <c r="AI322" i="63"/>
  <c r="T322" i="63"/>
  <c r="P322" i="65" s="1"/>
  <c r="N322" i="63"/>
  <c r="AM322" i="63"/>
  <c r="AR322" i="63"/>
  <c r="AL322" i="63"/>
  <c r="B322" i="63"/>
  <c r="B322" i="65" s="1"/>
  <c r="C322" i="63"/>
  <c r="X322" i="65" s="1"/>
  <c r="AU322" i="63"/>
  <c r="D322" i="63"/>
  <c r="AA322" i="63"/>
  <c r="A323" i="63"/>
  <c r="M321" i="65"/>
  <c r="N321" i="65"/>
  <c r="C323" i="81"/>
  <c r="F323" i="81"/>
  <c r="Q323" i="81"/>
  <c r="G323" i="81"/>
  <c r="I323" i="81"/>
  <c r="J323" i="81"/>
  <c r="A324" i="81"/>
  <c r="L323" i="81"/>
  <c r="M323" i="81"/>
  <c r="K323" i="81"/>
  <c r="O323" i="81"/>
  <c r="P323" i="81"/>
  <c r="R323" i="81"/>
  <c r="B323" i="81"/>
  <c r="U323" i="81"/>
  <c r="D323" i="81"/>
  <c r="N323" i="81"/>
  <c r="S323" i="81"/>
  <c r="E323" i="81"/>
  <c r="H323" i="81"/>
  <c r="T323" i="81"/>
  <c r="N322" i="65" l="1"/>
  <c r="S322" i="65"/>
  <c r="Y322" i="65"/>
  <c r="Q324" i="81"/>
  <c r="R324" i="81"/>
  <c r="B324" i="81"/>
  <c r="E324" i="81"/>
  <c r="M324" i="81"/>
  <c r="J324" i="81"/>
  <c r="K324" i="81"/>
  <c r="N324" i="81"/>
  <c r="O324" i="81"/>
  <c r="P324" i="81"/>
  <c r="U324" i="81"/>
  <c r="C324" i="81"/>
  <c r="D324" i="81"/>
  <c r="I324" i="81"/>
  <c r="H324" i="81"/>
  <c r="T324" i="81"/>
  <c r="F324" i="81"/>
  <c r="G324" i="81"/>
  <c r="A325" i="81"/>
  <c r="L324" i="81"/>
  <c r="S324" i="81"/>
  <c r="M322" i="65"/>
  <c r="F323" i="63"/>
  <c r="AG323" i="63"/>
  <c r="U323" i="63"/>
  <c r="O323" i="65" s="1"/>
  <c r="AD323" i="63"/>
  <c r="V323" i="63"/>
  <c r="Y323" i="65" s="1"/>
  <c r="O323" i="63"/>
  <c r="AV323" i="63"/>
  <c r="AL323" i="63"/>
  <c r="AH323" i="63"/>
  <c r="AP323" i="63"/>
  <c r="AW323" i="63"/>
  <c r="X323" i="63"/>
  <c r="W323" i="65" s="1"/>
  <c r="AI323" i="63"/>
  <c r="W323" i="63"/>
  <c r="J323" i="63"/>
  <c r="AN323" i="63"/>
  <c r="Q323" i="63"/>
  <c r="R323" i="65" s="1"/>
  <c r="AR323" i="63"/>
  <c r="AQ323" i="63"/>
  <c r="AK323" i="63"/>
  <c r="AS323" i="63"/>
  <c r="L323" i="63"/>
  <c r="S323" i="63"/>
  <c r="E323" i="63"/>
  <c r="AX323" i="63"/>
  <c r="T323" i="63"/>
  <c r="P323" i="65" s="1"/>
  <c r="AT323" i="63"/>
  <c r="H323" i="63"/>
  <c r="C323" i="63"/>
  <c r="X323" i="65" s="1"/>
  <c r="K323" i="63"/>
  <c r="D323" i="63"/>
  <c r="AA323" i="63"/>
  <c r="Y323" i="63"/>
  <c r="AE323" i="63"/>
  <c r="Z323" i="63"/>
  <c r="M323" i="63"/>
  <c r="G323" i="63"/>
  <c r="AF323" i="63"/>
  <c r="AB323" i="63"/>
  <c r="AY323" i="63"/>
  <c r="AU323" i="63"/>
  <c r="N323" i="63"/>
  <c r="AC323" i="63"/>
  <c r="P323" i="63"/>
  <c r="I323" i="63"/>
  <c r="AJ323" i="63"/>
  <c r="R323" i="63"/>
  <c r="AM323" i="63"/>
  <c r="AO323" i="63"/>
  <c r="B323" i="63"/>
  <c r="B323" i="65" s="1"/>
  <c r="A324" i="63"/>
  <c r="U322" i="65"/>
  <c r="H322" i="65"/>
  <c r="N323" i="65" l="1"/>
  <c r="U323" i="65"/>
  <c r="H323" i="65"/>
  <c r="I325" i="81"/>
  <c r="A326" i="81"/>
  <c r="J325" i="81"/>
  <c r="M325" i="81"/>
  <c r="O325" i="81"/>
  <c r="T325" i="81"/>
  <c r="E325" i="81"/>
  <c r="U325" i="81"/>
  <c r="L325" i="81"/>
  <c r="N325" i="81"/>
  <c r="P325" i="81"/>
  <c r="S325" i="81"/>
  <c r="F325" i="81"/>
  <c r="C325" i="81"/>
  <c r="D325" i="81"/>
  <c r="G325" i="81"/>
  <c r="H325" i="81"/>
  <c r="B325" i="81"/>
  <c r="K325" i="81"/>
  <c r="Q325" i="81"/>
  <c r="R325" i="81"/>
  <c r="T324" i="63"/>
  <c r="P324" i="65" s="1"/>
  <c r="E324" i="63"/>
  <c r="AB324" i="63"/>
  <c r="AJ324" i="63"/>
  <c r="W324" i="63"/>
  <c r="AS324" i="63"/>
  <c r="AG324" i="63"/>
  <c r="F324" i="63"/>
  <c r="AN324" i="63"/>
  <c r="L324" i="63"/>
  <c r="AH324" i="63"/>
  <c r="AI324" i="63"/>
  <c r="X324" i="63"/>
  <c r="W324" i="65" s="1"/>
  <c r="AT324" i="63"/>
  <c r="AY324" i="63"/>
  <c r="S324" i="63"/>
  <c r="AO324" i="63"/>
  <c r="M324" i="63"/>
  <c r="AP324" i="63"/>
  <c r="N324" i="63"/>
  <c r="U324" i="63"/>
  <c r="O324" i="65" s="1"/>
  <c r="I324" i="63"/>
  <c r="AE324" i="63"/>
  <c r="AL324" i="63"/>
  <c r="AQ324" i="63"/>
  <c r="O324" i="63"/>
  <c r="D324" i="63"/>
  <c r="K324" i="63"/>
  <c r="R324" i="63"/>
  <c r="AC324" i="63"/>
  <c r="AK324" i="63"/>
  <c r="AD324" i="63"/>
  <c r="B324" i="63"/>
  <c r="B324" i="65" s="1"/>
  <c r="AU324" i="63"/>
  <c r="AV324" i="63"/>
  <c r="J324" i="63"/>
  <c r="C324" i="63"/>
  <c r="X324" i="65" s="1"/>
  <c r="AF324" i="63"/>
  <c r="AW324" i="63"/>
  <c r="V324" i="63"/>
  <c r="P324" i="63"/>
  <c r="AM324" i="63"/>
  <c r="Q324" i="63"/>
  <c r="R324" i="65" s="1"/>
  <c r="G324" i="63"/>
  <c r="AX324" i="63"/>
  <c r="H324" i="63"/>
  <c r="Y324" i="63"/>
  <c r="Z324" i="63"/>
  <c r="AA324" i="63"/>
  <c r="AR324" i="63"/>
  <c r="A325" i="63"/>
  <c r="S323" i="65"/>
  <c r="M323" i="65"/>
  <c r="Y324" i="65" l="1"/>
  <c r="N324" i="65"/>
  <c r="S324" i="65"/>
  <c r="R325" i="63"/>
  <c r="G325" i="63"/>
  <c r="L325" i="63"/>
  <c r="AH325" i="63"/>
  <c r="X325" i="63"/>
  <c r="W325" i="65" s="1"/>
  <c r="AC325" i="63"/>
  <c r="S325" i="63"/>
  <c r="AX325" i="63"/>
  <c r="AO325" i="63"/>
  <c r="AT325" i="63"/>
  <c r="AI325" i="63"/>
  <c r="T325" i="63"/>
  <c r="P325" i="65" s="1"/>
  <c r="Y325" i="63"/>
  <c r="AD325" i="63"/>
  <c r="AQ325" i="63"/>
  <c r="AV325" i="63"/>
  <c r="AL325" i="63"/>
  <c r="J325" i="63"/>
  <c r="O325" i="63"/>
  <c r="V325" i="63"/>
  <c r="AR325" i="63"/>
  <c r="AW325" i="63"/>
  <c r="B325" i="63"/>
  <c r="B325" i="65" s="1"/>
  <c r="Z325" i="63"/>
  <c r="C325" i="63"/>
  <c r="X325" i="65" s="1"/>
  <c r="AB325" i="63"/>
  <c r="A326" i="63"/>
  <c r="AK325" i="63"/>
  <c r="AS325" i="63"/>
  <c r="D325" i="63"/>
  <c r="H325" i="65" s="1"/>
  <c r="M325" i="63"/>
  <c r="U325" i="63"/>
  <c r="O325" i="65" s="1"/>
  <c r="AU325" i="63"/>
  <c r="E325" i="63"/>
  <c r="N325" i="63"/>
  <c r="AM325" i="63"/>
  <c r="AE325" i="63"/>
  <c r="F325" i="63"/>
  <c r="AF325" i="63"/>
  <c r="W325" i="63"/>
  <c r="P325" i="63"/>
  <c r="AN325" i="63"/>
  <c r="AG325" i="63"/>
  <c r="H325" i="63"/>
  <c r="AY325" i="63"/>
  <c r="AP325" i="63"/>
  <c r="Q325" i="63"/>
  <c r="R325" i="65" s="1"/>
  <c r="I325" i="63"/>
  <c r="AJ325" i="63"/>
  <c r="AA325" i="63"/>
  <c r="K325" i="63"/>
  <c r="M324" i="65"/>
  <c r="F326" i="81"/>
  <c r="P326" i="81"/>
  <c r="C326" i="81"/>
  <c r="U326" i="81"/>
  <c r="H326" i="81"/>
  <c r="J326" i="81"/>
  <c r="E326" i="81"/>
  <c r="I326" i="81"/>
  <c r="K326" i="81"/>
  <c r="M326" i="81"/>
  <c r="N326" i="81"/>
  <c r="O326" i="81"/>
  <c r="T326" i="81"/>
  <c r="B326" i="81"/>
  <c r="D326" i="81"/>
  <c r="Q326" i="81"/>
  <c r="R326" i="81"/>
  <c r="S326" i="81"/>
  <c r="G326" i="81"/>
  <c r="L326" i="81"/>
  <c r="A327" i="81"/>
  <c r="H324" i="65"/>
  <c r="U324" i="65"/>
  <c r="M325" i="65" l="1"/>
  <c r="AV326" i="63"/>
  <c r="AP326" i="63"/>
  <c r="N326" i="63"/>
  <c r="AJ326" i="63"/>
  <c r="D326" i="63"/>
  <c r="I326" i="63"/>
  <c r="AE326" i="63"/>
  <c r="AK326" i="63"/>
  <c r="U326" i="63"/>
  <c r="O326" i="65" s="1"/>
  <c r="Z326" i="63"/>
  <c r="AW326" i="63"/>
  <c r="B326" i="63"/>
  <c r="B326" i="65" s="1"/>
  <c r="E326" i="63"/>
  <c r="J326" i="63"/>
  <c r="AG326" i="63"/>
  <c r="W326" i="63"/>
  <c r="AB326" i="63"/>
  <c r="AH326" i="63"/>
  <c r="AN326" i="63"/>
  <c r="AS326" i="63"/>
  <c r="AY326" i="63"/>
  <c r="X326" i="63"/>
  <c r="W326" i="65" s="1"/>
  <c r="AC326" i="63"/>
  <c r="AI326" i="63"/>
  <c r="A327" i="63"/>
  <c r="AR326" i="63"/>
  <c r="C326" i="63"/>
  <c r="X326" i="65" s="1"/>
  <c r="K326" i="63"/>
  <c r="L326" i="63"/>
  <c r="P326" i="63"/>
  <c r="AT326" i="63"/>
  <c r="AF326" i="63"/>
  <c r="M326" i="63"/>
  <c r="AL326" i="63"/>
  <c r="AD326" i="63"/>
  <c r="V326" i="63"/>
  <c r="AU326" i="63"/>
  <c r="AM326" i="63"/>
  <c r="O326" i="63"/>
  <c r="F326" i="63"/>
  <c r="AX326" i="63"/>
  <c r="G326" i="63"/>
  <c r="Q326" i="63"/>
  <c r="R326" i="65" s="1"/>
  <c r="AO326" i="63"/>
  <c r="R326" i="63"/>
  <c r="H326" i="63"/>
  <c r="M326" i="65" s="1"/>
  <c r="S326" i="63"/>
  <c r="Y326" i="63"/>
  <c r="AQ326" i="63"/>
  <c r="T326" i="63"/>
  <c r="P326" i="65" s="1"/>
  <c r="AA326" i="63"/>
  <c r="Y325" i="65"/>
  <c r="U325" i="65"/>
  <c r="N325" i="65"/>
  <c r="R327" i="81"/>
  <c r="S327" i="81"/>
  <c r="U327" i="81"/>
  <c r="L327" i="81"/>
  <c r="C327" i="81"/>
  <c r="H327" i="81"/>
  <c r="I327" i="81"/>
  <c r="J327" i="81"/>
  <c r="N327" i="81"/>
  <c r="O327" i="81"/>
  <c r="P327" i="81"/>
  <c r="E327" i="81"/>
  <c r="D327" i="81"/>
  <c r="F327" i="81"/>
  <c r="Q327" i="81"/>
  <c r="K327" i="81"/>
  <c r="T327" i="81"/>
  <c r="B327" i="81"/>
  <c r="G327" i="81"/>
  <c r="M327" i="81"/>
  <c r="A328" i="81"/>
  <c r="S325" i="65"/>
  <c r="N326" i="65" l="1"/>
  <c r="S326" i="65"/>
  <c r="U326" i="65"/>
  <c r="K328" i="81"/>
  <c r="L328" i="81"/>
  <c r="P328" i="81"/>
  <c r="R328" i="81"/>
  <c r="M328" i="81"/>
  <c r="G328" i="81"/>
  <c r="J328" i="81"/>
  <c r="O328" i="81"/>
  <c r="Q328" i="81"/>
  <c r="S328" i="81"/>
  <c r="U328" i="81"/>
  <c r="B328" i="81"/>
  <c r="C328" i="81"/>
  <c r="I328" i="81"/>
  <c r="T328" i="81"/>
  <c r="D328" i="81"/>
  <c r="E328" i="81"/>
  <c r="A329" i="81"/>
  <c r="H328" i="81"/>
  <c r="N328" i="81"/>
  <c r="F328" i="81"/>
  <c r="AT327" i="63"/>
  <c r="AQ327" i="63"/>
  <c r="P327" i="63"/>
  <c r="E327" i="63"/>
  <c r="J327" i="63"/>
  <c r="AG327" i="63"/>
  <c r="U327" i="63"/>
  <c r="O327" i="65" s="1"/>
  <c r="V327" i="63"/>
  <c r="AA327" i="63"/>
  <c r="AX327" i="63"/>
  <c r="F327" i="63"/>
  <c r="K327" i="63"/>
  <c r="AH327" i="63"/>
  <c r="AL327" i="63"/>
  <c r="X327" i="63"/>
  <c r="W327" i="65" s="1"/>
  <c r="AC327" i="63"/>
  <c r="B327" i="63"/>
  <c r="B327" i="65" s="1"/>
  <c r="AU327" i="63"/>
  <c r="H327" i="63"/>
  <c r="AE327" i="63"/>
  <c r="AJ327" i="63"/>
  <c r="I327" i="63"/>
  <c r="S327" i="63"/>
  <c r="R327" i="63"/>
  <c r="Z327" i="63"/>
  <c r="C327" i="63"/>
  <c r="X327" i="65" s="1"/>
  <c r="AR327" i="63"/>
  <c r="AB327" i="63"/>
  <c r="D327" i="63"/>
  <c r="AS327" i="63"/>
  <c r="T327" i="63"/>
  <c r="P327" i="65" s="1"/>
  <c r="L327" i="63"/>
  <c r="AK327" i="63"/>
  <c r="M327" i="63"/>
  <c r="N327" i="63"/>
  <c r="AV327" i="63"/>
  <c r="AD327" i="63"/>
  <c r="O327" i="63"/>
  <c r="AM327" i="63"/>
  <c r="AF327" i="63"/>
  <c r="W327" i="63"/>
  <c r="AW327" i="63"/>
  <c r="A328" i="63"/>
  <c r="AN327" i="63"/>
  <c r="Q327" i="63"/>
  <c r="R327" i="65" s="1"/>
  <c r="AO327" i="63"/>
  <c r="G327" i="63"/>
  <c r="AY327" i="63"/>
  <c r="Y327" i="63"/>
  <c r="AI327" i="63"/>
  <c r="AP327" i="63"/>
  <c r="H326" i="65"/>
  <c r="Y326" i="65"/>
  <c r="N327" i="65" l="1"/>
  <c r="S327" i="65"/>
  <c r="Y327" i="65"/>
  <c r="AN328" i="63"/>
  <c r="AT328" i="63"/>
  <c r="R328" i="63"/>
  <c r="AM328" i="63"/>
  <c r="G328" i="63"/>
  <c r="M328" i="63"/>
  <c r="AI328" i="63"/>
  <c r="X328" i="63"/>
  <c r="W328" i="65" s="1"/>
  <c r="AD328" i="63"/>
  <c r="B328" i="63"/>
  <c r="B328" i="65" s="1"/>
  <c r="AO328" i="63"/>
  <c r="N328" i="63"/>
  <c r="AJ328" i="63"/>
  <c r="I328" i="63"/>
  <c r="AF328" i="63"/>
  <c r="A329" i="63"/>
  <c r="L328" i="63"/>
  <c r="J328" i="63"/>
  <c r="AG328" i="63"/>
  <c r="D328" i="63"/>
  <c r="H328" i="63"/>
  <c r="Q328" i="63"/>
  <c r="R328" i="65" s="1"/>
  <c r="AW328" i="63"/>
  <c r="Y328" i="63"/>
  <c r="AH328" i="63"/>
  <c r="AP328" i="63"/>
  <c r="AY328" i="63"/>
  <c r="Z328" i="63"/>
  <c r="S328" i="63"/>
  <c r="AQ328" i="63"/>
  <c r="C328" i="63"/>
  <c r="X328" i="65" s="1"/>
  <c r="AA328" i="63"/>
  <c r="AS328" i="63"/>
  <c r="T328" i="63"/>
  <c r="P328" i="65" s="1"/>
  <c r="K328" i="63"/>
  <c r="AK328" i="63"/>
  <c r="AC328" i="63"/>
  <c r="AL328" i="63"/>
  <c r="AU328" i="63"/>
  <c r="E328" i="63"/>
  <c r="AE328" i="63"/>
  <c r="U328" i="63"/>
  <c r="O328" i="65" s="1"/>
  <c r="F328" i="63"/>
  <c r="AB328" i="63"/>
  <c r="AV328" i="63"/>
  <c r="AR328" i="63"/>
  <c r="O328" i="63"/>
  <c r="V328" i="63"/>
  <c r="W328" i="63"/>
  <c r="P328" i="63"/>
  <c r="AX328" i="63"/>
  <c r="M327" i="65"/>
  <c r="U327" i="65"/>
  <c r="H327" i="65"/>
  <c r="D329" i="81"/>
  <c r="C329" i="81"/>
  <c r="T329" i="81"/>
  <c r="B329" i="81"/>
  <c r="I329" i="81"/>
  <c r="A330" i="81"/>
  <c r="J329" i="81"/>
  <c r="U329" i="81"/>
  <c r="H329" i="81"/>
  <c r="K329" i="81"/>
  <c r="M329" i="81"/>
  <c r="N329" i="81"/>
  <c r="O329" i="81"/>
  <c r="R329" i="81"/>
  <c r="S329" i="81"/>
  <c r="F329" i="81"/>
  <c r="E329" i="81"/>
  <c r="L329" i="81"/>
  <c r="P329" i="81"/>
  <c r="Q329" i="81"/>
  <c r="G329" i="81"/>
  <c r="Y328" i="65" l="1"/>
  <c r="R330" i="81"/>
  <c r="S330" i="81"/>
  <c r="C330" i="81"/>
  <c r="Q330" i="81"/>
  <c r="F330" i="81"/>
  <c r="I330" i="81"/>
  <c r="J330" i="81"/>
  <c r="K330" i="81"/>
  <c r="M330" i="81"/>
  <c r="N330" i="81"/>
  <c r="O330" i="81"/>
  <c r="E330" i="81"/>
  <c r="T330" i="81"/>
  <c r="U330" i="81"/>
  <c r="H330" i="81"/>
  <c r="P330" i="81"/>
  <c r="G330" i="81"/>
  <c r="L330" i="81"/>
  <c r="D330" i="81"/>
  <c r="B330" i="81"/>
  <c r="A331" i="81"/>
  <c r="M328" i="65"/>
  <c r="H328" i="65"/>
  <c r="S328" i="65"/>
  <c r="N328" i="65"/>
  <c r="U328" i="65"/>
  <c r="H329" i="63"/>
  <c r="AE329" i="63"/>
  <c r="AJ329" i="63"/>
  <c r="Y329" i="63"/>
  <c r="AV329" i="63"/>
  <c r="C329" i="63"/>
  <c r="X329" i="65" s="1"/>
  <c r="AQ329" i="63"/>
  <c r="O329" i="63"/>
  <c r="T329" i="63"/>
  <c r="P329" i="65" s="1"/>
  <c r="AS329" i="63"/>
  <c r="Q329" i="63"/>
  <c r="R329" i="65" s="1"/>
  <c r="AL329" i="63"/>
  <c r="Z329" i="63"/>
  <c r="AT329" i="63"/>
  <c r="AY329" i="63"/>
  <c r="V329" i="63"/>
  <c r="AU329" i="63"/>
  <c r="U329" i="63"/>
  <c r="O329" i="65" s="1"/>
  <c r="N329" i="63"/>
  <c r="J329" i="63"/>
  <c r="AF329" i="63"/>
  <c r="E329" i="63"/>
  <c r="AP329" i="63"/>
  <c r="AW329" i="63"/>
  <c r="F329" i="63"/>
  <c r="G329" i="63"/>
  <c r="P329" i="63"/>
  <c r="W329" i="63"/>
  <c r="X329" i="63"/>
  <c r="W329" i="65" s="1"/>
  <c r="AG329" i="63"/>
  <c r="AM329" i="63"/>
  <c r="AO329" i="63"/>
  <c r="AX329" i="63"/>
  <c r="AN329" i="63"/>
  <c r="I329" i="63"/>
  <c r="AA329" i="63"/>
  <c r="AH329" i="63"/>
  <c r="AR329" i="63"/>
  <c r="R329" i="63"/>
  <c r="K329" i="63"/>
  <c r="AI329" i="63"/>
  <c r="AC329" i="63"/>
  <c r="AB329" i="63"/>
  <c r="B329" i="63"/>
  <c r="B329" i="65" s="1"/>
  <c r="L329" i="63"/>
  <c r="S329" i="63"/>
  <c r="A330" i="63"/>
  <c r="M329" i="63"/>
  <c r="AK329" i="63"/>
  <c r="AD329" i="63"/>
  <c r="D329" i="63"/>
  <c r="N329" i="65" l="1"/>
  <c r="Y329" i="65"/>
  <c r="M329" i="65"/>
  <c r="H329" i="65"/>
  <c r="AA330" i="63"/>
  <c r="AW330" i="63"/>
  <c r="AK330" i="63"/>
  <c r="AR330" i="63"/>
  <c r="P330" i="63"/>
  <c r="D330" i="63"/>
  <c r="K330" i="63"/>
  <c r="AG330" i="63"/>
  <c r="U330" i="63"/>
  <c r="O330" i="65" s="1"/>
  <c r="M330" i="63"/>
  <c r="R330" i="63"/>
  <c r="G330" i="63"/>
  <c r="AN330" i="63"/>
  <c r="N330" i="63"/>
  <c r="AO330" i="63"/>
  <c r="Z330" i="63"/>
  <c r="AP330" i="63"/>
  <c r="AQ330" i="63"/>
  <c r="AH330" i="63"/>
  <c r="J330" i="63"/>
  <c r="AY330" i="63"/>
  <c r="AB330" i="63"/>
  <c r="AI330" i="63"/>
  <c r="AS330" i="63"/>
  <c r="B330" i="63"/>
  <c r="B330" i="65" s="1"/>
  <c r="L330" i="63"/>
  <c r="S330" i="63"/>
  <c r="AC330" i="63"/>
  <c r="AJ330" i="63"/>
  <c r="AT330" i="63"/>
  <c r="C330" i="63"/>
  <c r="X330" i="65" s="1"/>
  <c r="AD330" i="63"/>
  <c r="T330" i="63"/>
  <c r="P330" i="65" s="1"/>
  <c r="A331" i="63"/>
  <c r="AU330" i="63"/>
  <c r="AL330" i="63"/>
  <c r="AE330" i="63"/>
  <c r="E330" i="63"/>
  <c r="AV330" i="63"/>
  <c r="V330" i="63"/>
  <c r="O330" i="63"/>
  <c r="AM330" i="63"/>
  <c r="H330" i="63"/>
  <c r="AF330" i="63"/>
  <c r="F330" i="63"/>
  <c r="X330" i="63"/>
  <c r="W330" i="65" s="1"/>
  <c r="AX330" i="63"/>
  <c r="W330" i="63"/>
  <c r="I330" i="63"/>
  <c r="Q330" i="63"/>
  <c r="R330" i="65" s="1"/>
  <c r="Y330" i="63"/>
  <c r="I331" i="81"/>
  <c r="J331" i="81"/>
  <c r="O331" i="81"/>
  <c r="Q331" i="81"/>
  <c r="F331" i="81"/>
  <c r="G331" i="81"/>
  <c r="H331" i="81"/>
  <c r="N331" i="81"/>
  <c r="P331" i="81"/>
  <c r="B331" i="81"/>
  <c r="D331" i="81"/>
  <c r="R331" i="81"/>
  <c r="S331" i="81"/>
  <c r="E331" i="81"/>
  <c r="M331" i="81"/>
  <c r="K331" i="81"/>
  <c r="T331" i="81"/>
  <c r="U331" i="81"/>
  <c r="A332" i="81"/>
  <c r="L331" i="81"/>
  <c r="C331" i="81"/>
  <c r="U329" i="65"/>
  <c r="S329" i="65"/>
  <c r="Y330" i="65" l="1"/>
  <c r="M330" i="65"/>
  <c r="S330" i="65"/>
  <c r="H330" i="65"/>
  <c r="U330" i="65"/>
  <c r="N330" i="65"/>
  <c r="I332" i="81"/>
  <c r="Q332" i="81"/>
  <c r="C332" i="81"/>
  <c r="S332" i="81"/>
  <c r="E332" i="81"/>
  <c r="G332" i="81"/>
  <c r="D332" i="81"/>
  <c r="F332" i="81"/>
  <c r="J332" i="81"/>
  <c r="L332" i="81"/>
  <c r="M332" i="81"/>
  <c r="N332" i="81"/>
  <c r="P332" i="81"/>
  <c r="B332" i="81"/>
  <c r="T332" i="81"/>
  <c r="U332" i="81"/>
  <c r="H332" i="81"/>
  <c r="R332" i="81"/>
  <c r="A333" i="81"/>
  <c r="K332" i="81"/>
  <c r="O332" i="81"/>
  <c r="AB331" i="63"/>
  <c r="AX331" i="63"/>
  <c r="U331" i="63"/>
  <c r="O331" i="65" s="1"/>
  <c r="AS331" i="63"/>
  <c r="Q331" i="63"/>
  <c r="R331" i="65" s="1"/>
  <c r="AM331" i="63"/>
  <c r="L331" i="63"/>
  <c r="E331" i="63"/>
  <c r="N331" i="63"/>
  <c r="AO331" i="63"/>
  <c r="AC331" i="63"/>
  <c r="B331" i="63"/>
  <c r="B331" i="65" s="1"/>
  <c r="H331" i="63"/>
  <c r="AT331" i="63"/>
  <c r="S331" i="63"/>
  <c r="I331" i="63"/>
  <c r="M331" i="63"/>
  <c r="AJ331" i="63"/>
  <c r="Z331" i="63"/>
  <c r="AD331" i="63"/>
  <c r="C331" i="63"/>
  <c r="X331" i="65" s="1"/>
  <c r="AU331" i="63"/>
  <c r="AE331" i="63"/>
  <c r="T331" i="63"/>
  <c r="P331" i="65" s="1"/>
  <c r="AV331" i="63"/>
  <c r="AK331" i="63"/>
  <c r="O331" i="63"/>
  <c r="D331" i="63"/>
  <c r="A332" i="63"/>
  <c r="AA331" i="63"/>
  <c r="AF331" i="63"/>
  <c r="W331" i="63"/>
  <c r="F331" i="63"/>
  <c r="AW331" i="63"/>
  <c r="AN331" i="63"/>
  <c r="V331" i="63"/>
  <c r="P331" i="63"/>
  <c r="G331" i="63"/>
  <c r="AL331" i="63"/>
  <c r="AG331" i="63"/>
  <c r="X331" i="63"/>
  <c r="W331" i="65" s="1"/>
  <c r="J331" i="63"/>
  <c r="AH331" i="63"/>
  <c r="AY331" i="63"/>
  <c r="AP331" i="63"/>
  <c r="AR331" i="63"/>
  <c r="R331" i="63"/>
  <c r="AQ331" i="63"/>
  <c r="K331" i="63"/>
  <c r="AI331" i="63"/>
  <c r="Y331" i="63"/>
  <c r="S331" i="65" l="1"/>
  <c r="Y331" i="65"/>
  <c r="U331" i="65"/>
  <c r="K333" i="81"/>
  <c r="L333" i="81"/>
  <c r="D333" i="81"/>
  <c r="O333" i="81"/>
  <c r="E333" i="81"/>
  <c r="Q333" i="81"/>
  <c r="B333" i="81"/>
  <c r="C333" i="81"/>
  <c r="F333" i="81"/>
  <c r="H333" i="81"/>
  <c r="I333" i="81"/>
  <c r="J333" i="81"/>
  <c r="P333" i="81"/>
  <c r="R333" i="81"/>
  <c r="A334" i="81"/>
  <c r="S333" i="81"/>
  <c r="T333" i="81"/>
  <c r="U333" i="81"/>
  <c r="G333" i="81"/>
  <c r="M333" i="81"/>
  <c r="N333" i="81"/>
  <c r="M332" i="63"/>
  <c r="AI332" i="63"/>
  <c r="G332" i="63"/>
  <c r="AD332" i="63"/>
  <c r="B332" i="63"/>
  <c r="B332" i="65" s="1"/>
  <c r="X332" i="63"/>
  <c r="W332" i="65" s="1"/>
  <c r="AU332" i="63"/>
  <c r="AO332" i="63"/>
  <c r="T332" i="63"/>
  <c r="P332" i="65" s="1"/>
  <c r="AW332" i="63"/>
  <c r="J332" i="63"/>
  <c r="N332" i="63"/>
  <c r="U332" i="63"/>
  <c r="O332" i="65" s="1"/>
  <c r="AR332" i="63"/>
  <c r="AE332" i="63"/>
  <c r="AL332" i="63"/>
  <c r="AV332" i="63"/>
  <c r="E332" i="63"/>
  <c r="O332" i="63"/>
  <c r="V332" i="63"/>
  <c r="AF332" i="63"/>
  <c r="AM332" i="63"/>
  <c r="P332" i="63"/>
  <c r="F332" i="63"/>
  <c r="AG332" i="63"/>
  <c r="W332" i="63"/>
  <c r="AX332" i="63"/>
  <c r="AN332" i="63"/>
  <c r="A333" i="63"/>
  <c r="D332" i="63"/>
  <c r="Q332" i="63"/>
  <c r="R332" i="65" s="1"/>
  <c r="H332" i="63"/>
  <c r="AJ332" i="63"/>
  <c r="AH332" i="63"/>
  <c r="Y332" i="63"/>
  <c r="K332" i="63"/>
  <c r="AY332" i="63"/>
  <c r="AP332" i="63"/>
  <c r="AB332" i="63"/>
  <c r="R332" i="63"/>
  <c r="I332" i="63"/>
  <c r="AS332" i="63"/>
  <c r="S332" i="63"/>
  <c r="L332" i="63"/>
  <c r="AK332" i="63"/>
  <c r="Z332" i="63"/>
  <c r="AC332" i="63"/>
  <c r="C332" i="63"/>
  <c r="X332" i="65" s="1"/>
  <c r="AA332" i="63"/>
  <c r="AT332" i="63"/>
  <c r="AQ332" i="63"/>
  <c r="M331" i="65"/>
  <c r="H331" i="65"/>
  <c r="N331" i="65"/>
  <c r="N332" i="65" l="1"/>
  <c r="S332" i="65"/>
  <c r="D334" i="81"/>
  <c r="E334" i="81"/>
  <c r="H334" i="81"/>
  <c r="J334" i="81"/>
  <c r="T334" i="81"/>
  <c r="C334" i="81"/>
  <c r="U334" i="81"/>
  <c r="G334" i="81"/>
  <c r="I334" i="81"/>
  <c r="K334" i="81"/>
  <c r="N334" i="81"/>
  <c r="O334" i="81"/>
  <c r="R334" i="81"/>
  <c r="B334" i="81"/>
  <c r="P334" i="81"/>
  <c r="Q334" i="81"/>
  <c r="S334" i="81"/>
  <c r="L334" i="81"/>
  <c r="M334" i="81"/>
  <c r="A335" i="81"/>
  <c r="F334" i="81"/>
  <c r="M332" i="65"/>
  <c r="Y332" i="65"/>
  <c r="H332" i="65"/>
  <c r="AD333" i="63"/>
  <c r="AO333" i="63"/>
  <c r="AU333" i="63"/>
  <c r="T333" i="63"/>
  <c r="P333" i="65" s="1"/>
  <c r="H333" i="63"/>
  <c r="M333" i="65" s="1"/>
  <c r="N333" i="63"/>
  <c r="Y333" i="63"/>
  <c r="P333" i="63"/>
  <c r="E333" i="63"/>
  <c r="K333" i="63"/>
  <c r="AE333" i="63"/>
  <c r="AL333" i="63"/>
  <c r="AS333" i="63"/>
  <c r="AV333" i="63"/>
  <c r="V333" i="63"/>
  <c r="O333" i="63"/>
  <c r="AM333" i="63"/>
  <c r="AF333" i="63"/>
  <c r="F333" i="63"/>
  <c r="AA333" i="63"/>
  <c r="AW333" i="63"/>
  <c r="W333" i="63"/>
  <c r="AG333" i="63"/>
  <c r="AN333" i="63"/>
  <c r="A334" i="63"/>
  <c r="AY333" i="63"/>
  <c r="G333" i="63"/>
  <c r="Q333" i="63"/>
  <c r="R333" i="65" s="1"/>
  <c r="X333" i="63"/>
  <c r="W333" i="65" s="1"/>
  <c r="B333" i="63"/>
  <c r="B333" i="65" s="1"/>
  <c r="AI333" i="63"/>
  <c r="AP333" i="63"/>
  <c r="R333" i="63"/>
  <c r="S333" i="63"/>
  <c r="I333" i="63"/>
  <c r="AH333" i="63"/>
  <c r="AJ333" i="63"/>
  <c r="Z333" i="63"/>
  <c r="AX333" i="63"/>
  <c r="C333" i="63"/>
  <c r="X333" i="65" s="1"/>
  <c r="AQ333" i="63"/>
  <c r="L333" i="63"/>
  <c r="AK333" i="63"/>
  <c r="J333" i="63"/>
  <c r="N333" i="65" s="1"/>
  <c r="AC333" i="63"/>
  <c r="D333" i="63"/>
  <c r="AT333" i="63"/>
  <c r="U333" i="63"/>
  <c r="O333" i="65" s="1"/>
  <c r="AB333" i="63"/>
  <c r="M333" i="63"/>
  <c r="AR333" i="63"/>
  <c r="U332" i="65"/>
  <c r="S333" i="65" l="1"/>
  <c r="H333" i="65"/>
  <c r="Q335" i="81"/>
  <c r="O335" i="81"/>
  <c r="R335" i="81"/>
  <c r="P335" i="81"/>
  <c r="T335" i="81"/>
  <c r="U335" i="81"/>
  <c r="B335" i="81"/>
  <c r="C335" i="81"/>
  <c r="D335" i="81"/>
  <c r="F335" i="81"/>
  <c r="G335" i="81"/>
  <c r="H335" i="81"/>
  <c r="J335" i="81"/>
  <c r="K335" i="81"/>
  <c r="A336" i="81"/>
  <c r="S335" i="81"/>
  <c r="E335" i="81"/>
  <c r="I335" i="81"/>
  <c r="N335" i="81"/>
  <c r="L335" i="81"/>
  <c r="M335" i="81"/>
  <c r="Y333" i="65"/>
  <c r="U333" i="65"/>
  <c r="AX334" i="63"/>
  <c r="AL334" i="63"/>
  <c r="J334" i="63"/>
  <c r="Q334" i="63"/>
  <c r="R334" i="65" s="1"/>
  <c r="E334" i="63"/>
  <c r="AA334" i="63"/>
  <c r="V334" i="63"/>
  <c r="AR334" i="63"/>
  <c r="A335" i="63"/>
  <c r="M334" i="63"/>
  <c r="S334" i="63"/>
  <c r="X334" i="63"/>
  <c r="W334" i="65" s="1"/>
  <c r="L334" i="63"/>
  <c r="AH334" i="63"/>
  <c r="G334" i="63"/>
  <c r="AY334" i="63"/>
  <c r="AO334" i="63"/>
  <c r="R334" i="63"/>
  <c r="H334" i="63"/>
  <c r="AI334" i="63"/>
  <c r="Y334" i="63"/>
  <c r="B334" i="63"/>
  <c r="B334" i="65" s="1"/>
  <c r="AP334" i="63"/>
  <c r="AJ334" i="63"/>
  <c r="I334" i="63"/>
  <c r="P334" i="63"/>
  <c r="C334" i="63"/>
  <c r="X334" i="65" s="1"/>
  <c r="Z334" i="63"/>
  <c r="AF334" i="63"/>
  <c r="T334" i="63"/>
  <c r="P334" i="65" s="1"/>
  <c r="AQ334" i="63"/>
  <c r="AV334" i="63"/>
  <c r="AK334" i="63"/>
  <c r="AB334" i="63"/>
  <c r="AD334" i="63"/>
  <c r="D334" i="63"/>
  <c r="AC334" i="63"/>
  <c r="AU334" i="63"/>
  <c r="U334" i="63"/>
  <c r="O334" i="65" s="1"/>
  <c r="AS334" i="63"/>
  <c r="N334" i="63"/>
  <c r="AT334" i="63"/>
  <c r="AE334" i="63"/>
  <c r="AM334" i="63"/>
  <c r="K334" i="63"/>
  <c r="AW334" i="63"/>
  <c r="F334" i="63"/>
  <c r="O334" i="63"/>
  <c r="W334" i="63"/>
  <c r="AG334" i="63"/>
  <c r="AN334" i="63"/>
  <c r="Y334" i="65" l="1"/>
  <c r="S334" i="65"/>
  <c r="N334" i="65"/>
  <c r="H334" i="65"/>
  <c r="M334" i="65"/>
  <c r="F336" i="81"/>
  <c r="G336" i="81"/>
  <c r="I336" i="81"/>
  <c r="M336" i="81"/>
  <c r="P336" i="81"/>
  <c r="J336" i="81"/>
  <c r="S336" i="81"/>
  <c r="B336" i="81"/>
  <c r="T336" i="81"/>
  <c r="U336" i="81"/>
  <c r="D336" i="81"/>
  <c r="E336" i="81"/>
  <c r="N336" i="81"/>
  <c r="A337" i="81"/>
  <c r="R336" i="81"/>
  <c r="K336" i="81"/>
  <c r="L336" i="81"/>
  <c r="H336" i="81"/>
  <c r="O336" i="81"/>
  <c r="Q336" i="81"/>
  <c r="C336" i="81"/>
  <c r="U334" i="65"/>
  <c r="AY335" i="63"/>
  <c r="F335" i="63"/>
  <c r="K335" i="63"/>
  <c r="R335" i="63"/>
  <c r="W335" i="63"/>
  <c r="AB335" i="63"/>
  <c r="AI335" i="63"/>
  <c r="AN335" i="63"/>
  <c r="AS335" i="63"/>
  <c r="A336" i="63"/>
  <c r="AF335" i="63"/>
  <c r="T335" i="63"/>
  <c r="P335" i="65" s="1"/>
  <c r="Y335" i="63"/>
  <c r="AV335" i="63"/>
  <c r="B335" i="63"/>
  <c r="B335" i="65" s="1"/>
  <c r="H335" i="63"/>
  <c r="AP335" i="63"/>
  <c r="S335" i="63"/>
  <c r="I335" i="63"/>
  <c r="AJ335" i="63"/>
  <c r="Z335" i="63"/>
  <c r="C335" i="63"/>
  <c r="X335" i="65" s="1"/>
  <c r="AQ335" i="63"/>
  <c r="X335" i="63"/>
  <c r="W335" i="65" s="1"/>
  <c r="N335" i="63"/>
  <c r="AK335" i="63"/>
  <c r="J335" i="63"/>
  <c r="Q335" i="63"/>
  <c r="R335" i="65" s="1"/>
  <c r="AD335" i="63"/>
  <c r="D335" i="63"/>
  <c r="AA335" i="63"/>
  <c r="AO335" i="63"/>
  <c r="AT335" i="63"/>
  <c r="U335" i="63"/>
  <c r="O335" i="65" s="1"/>
  <c r="AR335" i="63"/>
  <c r="O335" i="63"/>
  <c r="AL335" i="63"/>
  <c r="L335" i="63"/>
  <c r="AW335" i="63"/>
  <c r="E335" i="63"/>
  <c r="M335" i="63"/>
  <c r="P335" i="63"/>
  <c r="V335" i="63"/>
  <c r="AC335" i="63"/>
  <c r="AG335" i="63"/>
  <c r="AM335" i="63"/>
  <c r="AE335" i="63"/>
  <c r="AX335" i="63"/>
  <c r="G335" i="63"/>
  <c r="AU335" i="63"/>
  <c r="AH335" i="63"/>
  <c r="S335" i="65" l="1"/>
  <c r="S336" i="63"/>
  <c r="AN336" i="63"/>
  <c r="AT336" i="63"/>
  <c r="G336" i="63"/>
  <c r="M336" i="63"/>
  <c r="AJ336" i="63"/>
  <c r="X336" i="63"/>
  <c r="W336" i="65" s="1"/>
  <c r="AD336" i="63"/>
  <c r="A337" i="63"/>
  <c r="AX336" i="63"/>
  <c r="D336" i="63"/>
  <c r="I336" i="63"/>
  <c r="AF336" i="63"/>
  <c r="C336" i="63"/>
  <c r="X336" i="65" s="1"/>
  <c r="AP336" i="63"/>
  <c r="Z336" i="63"/>
  <c r="T336" i="63"/>
  <c r="P336" i="65" s="1"/>
  <c r="AQ336" i="63"/>
  <c r="AO336" i="63"/>
  <c r="J336" i="63"/>
  <c r="Y336" i="63"/>
  <c r="L336" i="63"/>
  <c r="AK336" i="63"/>
  <c r="AA336" i="63"/>
  <c r="AB336" i="63"/>
  <c r="U336" i="63"/>
  <c r="O336" i="65" s="1"/>
  <c r="AS336" i="63"/>
  <c r="AR336" i="63"/>
  <c r="AL336" i="63"/>
  <c r="K336" i="63"/>
  <c r="AW336" i="63"/>
  <c r="P336" i="63"/>
  <c r="E336" i="63"/>
  <c r="AC336" i="63"/>
  <c r="AG336" i="63"/>
  <c r="V336" i="63"/>
  <c r="AU336" i="63"/>
  <c r="Q336" i="63"/>
  <c r="R336" i="65" s="1"/>
  <c r="AM336" i="63"/>
  <c r="AV336" i="63"/>
  <c r="AH336" i="63"/>
  <c r="F336" i="63"/>
  <c r="N336" i="63"/>
  <c r="AI336" i="63"/>
  <c r="AY336" i="63"/>
  <c r="W336" i="63"/>
  <c r="O336" i="63"/>
  <c r="R336" i="63"/>
  <c r="AE336" i="63"/>
  <c r="B336" i="63"/>
  <c r="B336" i="65" s="1"/>
  <c r="H336" i="63"/>
  <c r="U335" i="65"/>
  <c r="M335" i="65"/>
  <c r="Q337" i="81"/>
  <c r="R337" i="81"/>
  <c r="C337" i="81"/>
  <c r="G337" i="81"/>
  <c r="N337" i="81"/>
  <c r="O337" i="81"/>
  <c r="P337" i="81"/>
  <c r="B337" i="81"/>
  <c r="F337" i="81"/>
  <c r="H337" i="81"/>
  <c r="K337" i="81"/>
  <c r="L337" i="81"/>
  <c r="D337" i="81"/>
  <c r="A338" i="81"/>
  <c r="M337" i="81"/>
  <c r="T337" i="81"/>
  <c r="U337" i="81"/>
  <c r="S337" i="81"/>
  <c r="I337" i="81"/>
  <c r="J337" i="81"/>
  <c r="E337" i="81"/>
  <c r="H335" i="65"/>
  <c r="Y335" i="65"/>
  <c r="N335" i="65"/>
  <c r="S336" i="65" l="1"/>
  <c r="H336" i="65"/>
  <c r="AD337" i="63"/>
  <c r="T337" i="63"/>
  <c r="P337" i="65" s="1"/>
  <c r="AO337" i="63"/>
  <c r="AU337" i="63"/>
  <c r="A338" i="63"/>
  <c r="H337" i="63"/>
  <c r="AY337" i="63"/>
  <c r="E337" i="63"/>
  <c r="AR337" i="63"/>
  <c r="AG337" i="63"/>
  <c r="AK337" i="63"/>
  <c r="AA337" i="63"/>
  <c r="AF337" i="63"/>
  <c r="D337" i="63"/>
  <c r="K337" i="63"/>
  <c r="U337" i="63"/>
  <c r="O337" i="65" s="1"/>
  <c r="AB337" i="63"/>
  <c r="C337" i="63"/>
  <c r="X337" i="65" s="1"/>
  <c r="AS337" i="63"/>
  <c r="S337" i="63"/>
  <c r="J337" i="63"/>
  <c r="AL337" i="63"/>
  <c r="L337" i="63"/>
  <c r="I337" i="63"/>
  <c r="Z337" i="63"/>
  <c r="V337" i="63"/>
  <c r="Y337" i="65" s="1"/>
  <c r="AC337" i="63"/>
  <c r="AX337" i="63"/>
  <c r="AP337" i="63"/>
  <c r="AM337" i="63"/>
  <c r="AT337" i="63"/>
  <c r="AW337" i="63"/>
  <c r="Q337" i="63"/>
  <c r="R337" i="65" s="1"/>
  <c r="F337" i="63"/>
  <c r="M337" i="63"/>
  <c r="AH337" i="63"/>
  <c r="W337" i="63"/>
  <c r="N337" i="63"/>
  <c r="R337" i="63"/>
  <c r="AN337" i="63"/>
  <c r="AE337" i="63"/>
  <c r="AI337" i="63"/>
  <c r="G337" i="63"/>
  <c r="AV337" i="63"/>
  <c r="B337" i="63"/>
  <c r="B337" i="65" s="1"/>
  <c r="X337" i="63"/>
  <c r="W337" i="65" s="1"/>
  <c r="O337" i="63"/>
  <c r="AJ337" i="63"/>
  <c r="Y337" i="63"/>
  <c r="P337" i="63"/>
  <c r="AQ337" i="63"/>
  <c r="U336" i="65"/>
  <c r="N336" i="65"/>
  <c r="L338" i="81"/>
  <c r="R338" i="81"/>
  <c r="M338" i="81"/>
  <c r="A339" i="81"/>
  <c r="S338" i="81"/>
  <c r="T338" i="81"/>
  <c r="O338" i="81"/>
  <c r="B338" i="81"/>
  <c r="C338" i="81"/>
  <c r="E338" i="81"/>
  <c r="H338" i="81"/>
  <c r="D338" i="81"/>
  <c r="I338" i="81"/>
  <c r="J338" i="81"/>
  <c r="N338" i="81"/>
  <c r="Q338" i="81"/>
  <c r="K338" i="81"/>
  <c r="U338" i="81"/>
  <c r="F338" i="81"/>
  <c r="P338" i="81"/>
  <c r="G338" i="81"/>
  <c r="M336" i="65"/>
  <c r="Y336" i="65"/>
  <c r="S337" i="65" l="1"/>
  <c r="H337" i="65"/>
  <c r="U337" i="65"/>
  <c r="M337" i="65"/>
  <c r="N337" i="65"/>
  <c r="U338" i="63"/>
  <c r="O338" i="65" s="1"/>
  <c r="AA338" i="63"/>
  <c r="AW338" i="63"/>
  <c r="AR338" i="63"/>
  <c r="P338" i="63"/>
  <c r="S338" i="63"/>
  <c r="AO338" i="63"/>
  <c r="M338" i="63"/>
  <c r="AK338" i="63"/>
  <c r="AB338" i="63"/>
  <c r="AX338" i="63"/>
  <c r="T338" i="63"/>
  <c r="P338" i="65" s="1"/>
  <c r="AH338" i="63"/>
  <c r="D338" i="63"/>
  <c r="AS338" i="63"/>
  <c r="AY338" i="63"/>
  <c r="AL338" i="63"/>
  <c r="L338" i="63"/>
  <c r="AQ338" i="63"/>
  <c r="E338" i="63"/>
  <c r="AC338" i="63"/>
  <c r="V338" i="63"/>
  <c r="AT338" i="63"/>
  <c r="H338" i="63"/>
  <c r="AM338" i="63"/>
  <c r="AD338" i="63"/>
  <c r="J338" i="63"/>
  <c r="X338" i="63"/>
  <c r="W338" i="65" s="1"/>
  <c r="F338" i="63"/>
  <c r="AU338" i="63"/>
  <c r="AN338" i="63"/>
  <c r="W338" i="63"/>
  <c r="N338" i="63"/>
  <c r="A339" i="63"/>
  <c r="R338" i="63"/>
  <c r="G338" i="63"/>
  <c r="AE338" i="63"/>
  <c r="AI338" i="63"/>
  <c r="Y338" i="63"/>
  <c r="AV338" i="63"/>
  <c r="B338" i="63"/>
  <c r="B338" i="65" s="1"/>
  <c r="AP338" i="63"/>
  <c r="O338" i="63"/>
  <c r="AJ338" i="63"/>
  <c r="I338" i="63"/>
  <c r="AF338" i="63"/>
  <c r="C338" i="63"/>
  <c r="X338" i="65" s="1"/>
  <c r="Z338" i="63"/>
  <c r="Q338" i="63"/>
  <c r="R338" i="65" s="1"/>
  <c r="AG338" i="63"/>
  <c r="K338" i="63"/>
  <c r="F339" i="81"/>
  <c r="G339" i="81"/>
  <c r="J339" i="81"/>
  <c r="S339" i="81"/>
  <c r="L339" i="81"/>
  <c r="A340" i="81"/>
  <c r="Q339" i="81"/>
  <c r="R339" i="81"/>
  <c r="C339" i="81"/>
  <c r="B339" i="81"/>
  <c r="D339" i="81"/>
  <c r="E339" i="81"/>
  <c r="U339" i="81"/>
  <c r="M339" i="81"/>
  <c r="P339" i="81"/>
  <c r="N339" i="81"/>
  <c r="T339" i="81"/>
  <c r="H339" i="81"/>
  <c r="K339" i="81"/>
  <c r="O339" i="81"/>
  <c r="I339" i="81"/>
  <c r="Y338" i="65" l="1"/>
  <c r="N338" i="65"/>
  <c r="M338" i="65"/>
  <c r="S338" i="65"/>
  <c r="E339" i="63"/>
  <c r="AB339" i="63"/>
  <c r="AX339" i="63"/>
  <c r="F339" i="63"/>
  <c r="W339" i="63"/>
  <c r="AS339" i="63"/>
  <c r="AY339" i="63"/>
  <c r="AP339" i="63"/>
  <c r="N339" i="63"/>
  <c r="AA339" i="63"/>
  <c r="Q339" i="63"/>
  <c r="R339" i="65" s="1"/>
  <c r="AK339" i="63"/>
  <c r="AR339" i="63"/>
  <c r="D339" i="63"/>
  <c r="K339" i="63"/>
  <c r="R339" i="63"/>
  <c r="AJ339" i="63"/>
  <c r="Z339" i="63"/>
  <c r="AW339" i="63"/>
  <c r="C339" i="63"/>
  <c r="X339" i="65" s="1"/>
  <c r="U339" i="63"/>
  <c r="O339" i="65" s="1"/>
  <c r="L339" i="63"/>
  <c r="AH339" i="63"/>
  <c r="P339" i="63"/>
  <c r="T339" i="63"/>
  <c r="P339" i="65" s="1"/>
  <c r="AG339" i="63"/>
  <c r="AC339" i="63"/>
  <c r="AI339" i="63"/>
  <c r="AM339" i="63"/>
  <c r="AT339" i="63"/>
  <c r="M339" i="63"/>
  <c r="AN339" i="63"/>
  <c r="G339" i="63"/>
  <c r="AD339" i="63"/>
  <c r="AQ339" i="63"/>
  <c r="X339" i="63"/>
  <c r="W339" i="65" s="1"/>
  <c r="AU339" i="63"/>
  <c r="V339" i="63"/>
  <c r="Y339" i="65" s="1"/>
  <c r="AO339" i="63"/>
  <c r="AE339" i="63"/>
  <c r="AL339" i="63"/>
  <c r="H339" i="63"/>
  <c r="AV339" i="63"/>
  <c r="B339" i="63"/>
  <c r="B339" i="65" s="1"/>
  <c r="Y339" i="63"/>
  <c r="O339" i="63"/>
  <c r="A340" i="63"/>
  <c r="AF339" i="63"/>
  <c r="S339" i="63"/>
  <c r="I339" i="63"/>
  <c r="J339" i="63"/>
  <c r="N339" i="65" s="1"/>
  <c r="U338" i="65"/>
  <c r="Q340" i="81"/>
  <c r="S340" i="81"/>
  <c r="E340" i="81"/>
  <c r="C340" i="81"/>
  <c r="M340" i="81"/>
  <c r="N340" i="81"/>
  <c r="O340" i="81"/>
  <c r="U340" i="81"/>
  <c r="B340" i="81"/>
  <c r="D340" i="81"/>
  <c r="R340" i="81"/>
  <c r="I340" i="81"/>
  <c r="A341" i="81"/>
  <c r="F340" i="81"/>
  <c r="K340" i="81"/>
  <c r="G340" i="81"/>
  <c r="H340" i="81"/>
  <c r="J340" i="81"/>
  <c r="P340" i="81"/>
  <c r="T340" i="81"/>
  <c r="L340" i="81"/>
  <c r="H338" i="65"/>
  <c r="M339" i="65" l="1"/>
  <c r="H339" i="65"/>
  <c r="U339" i="65"/>
  <c r="D341" i="81"/>
  <c r="A342" i="81"/>
  <c r="F341" i="81"/>
  <c r="J341" i="81"/>
  <c r="L341" i="81"/>
  <c r="H341" i="81"/>
  <c r="K341" i="81"/>
  <c r="N341" i="81"/>
  <c r="I341" i="81"/>
  <c r="M341" i="81"/>
  <c r="O341" i="81"/>
  <c r="R341" i="81"/>
  <c r="S341" i="81"/>
  <c r="E341" i="81"/>
  <c r="G341" i="81"/>
  <c r="U341" i="81"/>
  <c r="C341" i="81"/>
  <c r="T341" i="81"/>
  <c r="P341" i="81"/>
  <c r="Q341" i="81"/>
  <c r="B341" i="81"/>
  <c r="S339" i="65"/>
  <c r="D340" i="63"/>
  <c r="H340" i="63"/>
  <c r="AD340" i="63"/>
  <c r="T340" i="63"/>
  <c r="P340" i="65" s="1"/>
  <c r="Y340" i="63"/>
  <c r="AU340" i="63"/>
  <c r="R340" i="63"/>
  <c r="AM340" i="63"/>
  <c r="AR340" i="63"/>
  <c r="P340" i="63"/>
  <c r="AL340" i="63"/>
  <c r="K340" i="63"/>
  <c r="E340" i="63"/>
  <c r="AB340" i="63"/>
  <c r="AH340" i="63"/>
  <c r="V340" i="63"/>
  <c r="Y340" i="65" s="1"/>
  <c r="AS340" i="63"/>
  <c r="AY340" i="63"/>
  <c r="AJ340" i="63"/>
  <c r="AQ340" i="63"/>
  <c r="AG340" i="63"/>
  <c r="F340" i="63"/>
  <c r="L340" i="63"/>
  <c r="B340" i="63"/>
  <c r="B340" i="65" s="1"/>
  <c r="Q340" i="63"/>
  <c r="R340" i="65" s="1"/>
  <c r="W340" i="63"/>
  <c r="AC340" i="63"/>
  <c r="S340" i="63"/>
  <c r="AN340" i="63"/>
  <c r="AT340" i="63"/>
  <c r="AI340" i="63"/>
  <c r="G340" i="63"/>
  <c r="M340" i="63"/>
  <c r="AK340" i="63"/>
  <c r="U340" i="63"/>
  <c r="O340" i="65" s="1"/>
  <c r="X340" i="63"/>
  <c r="W340" i="65" s="1"/>
  <c r="N340" i="63"/>
  <c r="AE340" i="63"/>
  <c r="AO340" i="63"/>
  <c r="AV340" i="63"/>
  <c r="AP340" i="63"/>
  <c r="O340" i="63"/>
  <c r="I340" i="63"/>
  <c r="AF340" i="63"/>
  <c r="Z340" i="63"/>
  <c r="AW340" i="63"/>
  <c r="C340" i="63"/>
  <c r="X340" i="65" s="1"/>
  <c r="J340" i="63"/>
  <c r="N340" i="65" s="1"/>
  <c r="AX340" i="63"/>
  <c r="A341" i="63"/>
  <c r="AA340" i="63"/>
  <c r="S340" i="65" l="1"/>
  <c r="M340" i="65"/>
  <c r="U340" i="65"/>
  <c r="H340" i="65"/>
  <c r="R341" i="63"/>
  <c r="I341" i="63"/>
  <c r="AE341" i="63"/>
  <c r="AH341" i="63"/>
  <c r="Z341" i="63"/>
  <c r="AV341" i="63"/>
  <c r="T341" i="63"/>
  <c r="P341" i="65" s="1"/>
  <c r="AN341" i="63"/>
  <c r="AS341" i="63"/>
  <c r="Q341" i="63"/>
  <c r="R341" i="65" s="1"/>
  <c r="B341" i="63"/>
  <c r="B341" i="65" s="1"/>
  <c r="AA341" i="63"/>
  <c r="AY341" i="63"/>
  <c r="AP341" i="63"/>
  <c r="AX341" i="63"/>
  <c r="AR341" i="63"/>
  <c r="A342" i="63"/>
  <c r="E341" i="63"/>
  <c r="K341" i="63"/>
  <c r="AI341" i="63"/>
  <c r="V341" i="63"/>
  <c r="AB341" i="63"/>
  <c r="S341" i="63"/>
  <c r="AW341" i="63"/>
  <c r="J341" i="63"/>
  <c r="AM341" i="63"/>
  <c r="L341" i="63"/>
  <c r="AJ341" i="63"/>
  <c r="F341" i="63"/>
  <c r="AC341" i="63"/>
  <c r="C341" i="63"/>
  <c r="X341" i="65" s="1"/>
  <c r="W341" i="63"/>
  <c r="AT341" i="63"/>
  <c r="G341" i="63"/>
  <c r="M341" i="63"/>
  <c r="D341" i="63"/>
  <c r="X341" i="63"/>
  <c r="W341" i="65" s="1"/>
  <c r="AD341" i="63"/>
  <c r="AU341" i="63"/>
  <c r="U341" i="63"/>
  <c r="O341" i="65" s="1"/>
  <c r="AO341" i="63"/>
  <c r="N341" i="63"/>
  <c r="H341" i="63"/>
  <c r="M341" i="65" s="1"/>
  <c r="O341" i="63"/>
  <c r="AK341" i="63"/>
  <c r="Y341" i="63"/>
  <c r="AF341" i="63"/>
  <c r="AL341" i="63"/>
  <c r="AQ341" i="63"/>
  <c r="P341" i="63"/>
  <c r="AG341" i="63"/>
  <c r="J342" i="81"/>
  <c r="Q342" i="81"/>
  <c r="F342" i="81"/>
  <c r="S342" i="81"/>
  <c r="N342" i="81"/>
  <c r="U342" i="81"/>
  <c r="E342" i="81"/>
  <c r="G342" i="81"/>
  <c r="I342" i="81"/>
  <c r="K342" i="81"/>
  <c r="O342" i="81"/>
  <c r="M342" i="81"/>
  <c r="A343" i="81"/>
  <c r="R342" i="81"/>
  <c r="D342" i="81"/>
  <c r="B342" i="81"/>
  <c r="C342" i="81"/>
  <c r="T342" i="81"/>
  <c r="P342" i="81"/>
  <c r="L342" i="81"/>
  <c r="H342" i="81"/>
  <c r="N341" i="65" l="1"/>
  <c r="Y341" i="65"/>
  <c r="U341" i="65"/>
  <c r="H341" i="65"/>
  <c r="AV342" i="63"/>
  <c r="AR342" i="63"/>
  <c r="Q342" i="63"/>
  <c r="R342" i="65" s="1"/>
  <c r="F342" i="63"/>
  <c r="K342" i="63"/>
  <c r="AH342" i="63"/>
  <c r="D342" i="63"/>
  <c r="H342" i="63"/>
  <c r="AD342" i="63"/>
  <c r="C342" i="63"/>
  <c r="X342" i="65" s="1"/>
  <c r="J342" i="63"/>
  <c r="R342" i="63"/>
  <c r="AA342" i="63"/>
  <c r="AI342" i="63"/>
  <c r="AB342" i="63"/>
  <c r="B342" i="63"/>
  <c r="B342" i="65" s="1"/>
  <c r="V342" i="63"/>
  <c r="P342" i="63"/>
  <c r="AS342" i="63"/>
  <c r="S342" i="63"/>
  <c r="A343" i="63"/>
  <c r="AF342" i="63"/>
  <c r="L342" i="63"/>
  <c r="AJ342" i="63"/>
  <c r="I342" i="63"/>
  <c r="AG342" i="63"/>
  <c r="W342" i="63"/>
  <c r="AC342" i="63"/>
  <c r="AN342" i="63"/>
  <c r="AT342" i="63"/>
  <c r="T342" i="63"/>
  <c r="P342" i="65" s="1"/>
  <c r="AQ342" i="63"/>
  <c r="G342" i="63"/>
  <c r="M342" i="63"/>
  <c r="X342" i="63"/>
  <c r="W342" i="65" s="1"/>
  <c r="AU342" i="63"/>
  <c r="AK342" i="63"/>
  <c r="N342" i="63"/>
  <c r="AL342" i="63"/>
  <c r="AO342" i="63"/>
  <c r="AE342" i="63"/>
  <c r="AM342" i="63"/>
  <c r="Y342" i="63"/>
  <c r="AW342" i="63"/>
  <c r="U342" i="63"/>
  <c r="O342" i="65" s="1"/>
  <c r="AP342" i="63"/>
  <c r="O342" i="63"/>
  <c r="E342" i="63"/>
  <c r="Z342" i="63"/>
  <c r="AX342" i="63"/>
  <c r="AY342" i="63"/>
  <c r="S341" i="65"/>
  <c r="F343" i="81"/>
  <c r="H343" i="81"/>
  <c r="I343" i="81"/>
  <c r="B343" i="81"/>
  <c r="S343" i="81"/>
  <c r="D343" i="81"/>
  <c r="E343" i="81"/>
  <c r="C343" i="81"/>
  <c r="G343" i="81"/>
  <c r="L343" i="81"/>
  <c r="N343" i="81"/>
  <c r="M343" i="81"/>
  <c r="T343" i="81"/>
  <c r="R343" i="81"/>
  <c r="O343" i="81"/>
  <c r="U343" i="81"/>
  <c r="J343" i="81"/>
  <c r="K343" i="81"/>
  <c r="A344" i="81"/>
  <c r="P343" i="81"/>
  <c r="Q343" i="81"/>
  <c r="S342" i="65" l="1"/>
  <c r="N342" i="65"/>
  <c r="M342" i="65"/>
  <c r="H342" i="65"/>
  <c r="P344" i="81"/>
  <c r="R344" i="81"/>
  <c r="C344" i="81"/>
  <c r="N344" i="81"/>
  <c r="O344" i="81"/>
  <c r="B344" i="81"/>
  <c r="T344" i="81"/>
  <c r="E344" i="81"/>
  <c r="Q344" i="81"/>
  <c r="D344" i="81"/>
  <c r="F344" i="81"/>
  <c r="H344" i="81"/>
  <c r="M344" i="81"/>
  <c r="U344" i="81"/>
  <c r="G344" i="81"/>
  <c r="J344" i="81"/>
  <c r="A345" i="81"/>
  <c r="S344" i="81"/>
  <c r="K344" i="81"/>
  <c r="I344" i="81"/>
  <c r="L344" i="81"/>
  <c r="X343" i="63"/>
  <c r="W343" i="65" s="1"/>
  <c r="AU343" i="63"/>
  <c r="B343" i="63"/>
  <c r="B343" i="65" s="1"/>
  <c r="AM343" i="63"/>
  <c r="AO343" i="63"/>
  <c r="M343" i="63"/>
  <c r="S343" i="63"/>
  <c r="AN343" i="63"/>
  <c r="J343" i="63"/>
  <c r="AG343" i="63"/>
  <c r="D343" i="63"/>
  <c r="AR343" i="63"/>
  <c r="AY343" i="63"/>
  <c r="K343" i="63"/>
  <c r="R343" i="63"/>
  <c r="AB343" i="63"/>
  <c r="AI343" i="63"/>
  <c r="AS343" i="63"/>
  <c r="AJ343" i="63"/>
  <c r="L343" i="63"/>
  <c r="C343" i="63"/>
  <c r="X343" i="65" s="1"/>
  <c r="Z343" i="63"/>
  <c r="Q343" i="63"/>
  <c r="R343" i="65" s="1"/>
  <c r="F343" i="63"/>
  <c r="N343" i="63"/>
  <c r="AC343" i="63"/>
  <c r="AQ343" i="63"/>
  <c r="AD343" i="63"/>
  <c r="AE343" i="63"/>
  <c r="T343" i="63"/>
  <c r="P343" i="65" s="1"/>
  <c r="A344" i="63"/>
  <c r="AA343" i="63"/>
  <c r="AH343" i="63"/>
  <c r="W343" i="63"/>
  <c r="AT343" i="63"/>
  <c r="AV343" i="63"/>
  <c r="G343" i="63"/>
  <c r="O343" i="63"/>
  <c r="AK343" i="63"/>
  <c r="H343" i="63"/>
  <c r="AF343" i="63"/>
  <c r="U343" i="63"/>
  <c r="O343" i="65" s="1"/>
  <c r="Y343" i="63"/>
  <c r="AW343" i="63"/>
  <c r="AP343" i="63"/>
  <c r="P343" i="63"/>
  <c r="AL343" i="63"/>
  <c r="V343" i="63"/>
  <c r="I343" i="63"/>
  <c r="AX343" i="63"/>
  <c r="E343" i="63"/>
  <c r="U342" i="65"/>
  <c r="Y342" i="65"/>
  <c r="N343" i="65" l="1"/>
  <c r="M343" i="65"/>
  <c r="H343" i="65"/>
  <c r="S343" i="65"/>
  <c r="U343" i="65"/>
  <c r="AP344" i="63"/>
  <c r="O344" i="63"/>
  <c r="C344" i="63"/>
  <c r="X344" i="65" s="1"/>
  <c r="AO344" i="63"/>
  <c r="I344" i="63"/>
  <c r="AF344" i="63"/>
  <c r="T344" i="63"/>
  <c r="P344" i="65" s="1"/>
  <c r="AC344" i="63"/>
  <c r="AH344" i="63"/>
  <c r="F344" i="63"/>
  <c r="AA344" i="63"/>
  <c r="AY344" i="63"/>
  <c r="W344" i="63"/>
  <c r="Q344" i="63"/>
  <c r="R344" i="65" s="1"/>
  <c r="AS344" i="63"/>
  <c r="R344" i="63"/>
  <c r="X344" i="63"/>
  <c r="W344" i="65" s="1"/>
  <c r="K344" i="63"/>
  <c r="AI344" i="63"/>
  <c r="AT344" i="63"/>
  <c r="B344" i="63"/>
  <c r="B344" i="65" s="1"/>
  <c r="AM344" i="63"/>
  <c r="M344" i="63"/>
  <c r="Z344" i="63"/>
  <c r="AX344" i="63"/>
  <c r="AD344" i="63"/>
  <c r="S344" i="63"/>
  <c r="G344" i="63"/>
  <c r="AQ344" i="63"/>
  <c r="AN344" i="63"/>
  <c r="AU344" i="63"/>
  <c r="AJ344" i="63"/>
  <c r="J344" i="63"/>
  <c r="N344" i="63"/>
  <c r="AK344" i="63"/>
  <c r="L344" i="63"/>
  <c r="AE344" i="63"/>
  <c r="D344" i="63"/>
  <c r="AB344" i="63"/>
  <c r="AV344" i="63"/>
  <c r="U344" i="63"/>
  <c r="O344" i="65" s="1"/>
  <c r="AR344" i="63"/>
  <c r="AW344" i="63"/>
  <c r="A345" i="63"/>
  <c r="H344" i="63"/>
  <c r="P344" i="63"/>
  <c r="AL344" i="63"/>
  <c r="Y344" i="63"/>
  <c r="AG344" i="63"/>
  <c r="E344" i="63"/>
  <c r="V344" i="63"/>
  <c r="Y343" i="65"/>
  <c r="E345" i="81"/>
  <c r="N345" i="81"/>
  <c r="U345" i="81"/>
  <c r="R345" i="81"/>
  <c r="K345" i="81"/>
  <c r="A346" i="81"/>
  <c r="J345" i="81"/>
  <c r="L345" i="81"/>
  <c r="M345" i="81"/>
  <c r="P345" i="81"/>
  <c r="Q345" i="81"/>
  <c r="B345" i="81"/>
  <c r="F345" i="81"/>
  <c r="G345" i="81"/>
  <c r="H345" i="81"/>
  <c r="I345" i="81"/>
  <c r="O345" i="81"/>
  <c r="C345" i="81"/>
  <c r="T345" i="81"/>
  <c r="D345" i="81"/>
  <c r="S345" i="81"/>
  <c r="M344" i="65" l="1"/>
  <c r="N344" i="65"/>
  <c r="K345" i="63"/>
  <c r="AG345" i="63"/>
  <c r="U345" i="63"/>
  <c r="O345" i="65" s="1"/>
  <c r="AB345" i="63"/>
  <c r="AX345" i="63"/>
  <c r="AL345" i="63"/>
  <c r="AU345" i="63"/>
  <c r="W345" i="63"/>
  <c r="A346" i="63"/>
  <c r="AR345" i="63"/>
  <c r="AY345" i="63"/>
  <c r="H345" i="63"/>
  <c r="AS345" i="63"/>
  <c r="R345" i="63"/>
  <c r="X345" i="63"/>
  <c r="W345" i="65" s="1"/>
  <c r="L345" i="63"/>
  <c r="AI345" i="63"/>
  <c r="AP345" i="63"/>
  <c r="AM345" i="63"/>
  <c r="AC345" i="63"/>
  <c r="B345" i="63"/>
  <c r="B345" i="65" s="1"/>
  <c r="Y345" i="63"/>
  <c r="AT345" i="63"/>
  <c r="S345" i="63"/>
  <c r="AN345" i="63"/>
  <c r="P345" i="63"/>
  <c r="G345" i="63"/>
  <c r="M345" i="63"/>
  <c r="AJ345" i="63"/>
  <c r="AO345" i="63"/>
  <c r="AD345" i="63"/>
  <c r="I345" i="63"/>
  <c r="Q345" i="63"/>
  <c r="R345" i="65" s="1"/>
  <c r="AA345" i="63"/>
  <c r="C345" i="63"/>
  <c r="X345" i="65" s="1"/>
  <c r="AQ345" i="63"/>
  <c r="N345" i="63"/>
  <c r="AE345" i="63"/>
  <c r="T345" i="63"/>
  <c r="P345" i="65" s="1"/>
  <c r="AV345" i="63"/>
  <c r="AK345" i="63"/>
  <c r="O345" i="63"/>
  <c r="D345" i="63"/>
  <c r="J345" i="63"/>
  <c r="AF345" i="63"/>
  <c r="E345" i="63"/>
  <c r="F345" i="63"/>
  <c r="Z345" i="63"/>
  <c r="AW345" i="63"/>
  <c r="V345" i="63"/>
  <c r="AH345" i="63"/>
  <c r="H344" i="65"/>
  <c r="P346" i="81"/>
  <c r="R346" i="81"/>
  <c r="T346" i="81"/>
  <c r="G346" i="81"/>
  <c r="H346" i="81"/>
  <c r="I346" i="81"/>
  <c r="L346" i="81"/>
  <c r="M346" i="81"/>
  <c r="N346" i="81"/>
  <c r="S346" i="81"/>
  <c r="B346" i="81"/>
  <c r="U346" i="81"/>
  <c r="F346" i="81"/>
  <c r="A347" i="81"/>
  <c r="E346" i="81"/>
  <c r="Q346" i="81"/>
  <c r="J346" i="81"/>
  <c r="K346" i="81"/>
  <c r="O346" i="81"/>
  <c r="C346" i="81"/>
  <c r="D346" i="81"/>
  <c r="U344" i="65"/>
  <c r="Y344" i="65"/>
  <c r="S344" i="65"/>
  <c r="N345" i="65" l="1"/>
  <c r="U345" i="65"/>
  <c r="S345" i="65"/>
  <c r="M345" i="65"/>
  <c r="H345" i="65"/>
  <c r="AC346" i="63"/>
  <c r="AY346" i="63"/>
  <c r="V346" i="63"/>
  <c r="AT346" i="63"/>
  <c r="R346" i="63"/>
  <c r="AM346" i="63"/>
  <c r="O346" i="63"/>
  <c r="I346" i="63"/>
  <c r="AN346" i="63"/>
  <c r="Q346" i="63"/>
  <c r="R346" i="65" s="1"/>
  <c r="W346" i="63"/>
  <c r="AG346" i="63"/>
  <c r="K346" i="63"/>
  <c r="AH346" i="63"/>
  <c r="AO346" i="63"/>
  <c r="A347" i="63"/>
  <c r="AB346" i="63"/>
  <c r="AI346" i="63"/>
  <c r="AQ346" i="63"/>
  <c r="P346" i="63"/>
  <c r="AL346" i="63"/>
  <c r="AS346" i="63"/>
  <c r="B346" i="63"/>
  <c r="B346" i="65" s="1"/>
  <c r="AR346" i="63"/>
  <c r="E346" i="63"/>
  <c r="L346" i="63"/>
  <c r="G346" i="63"/>
  <c r="M346" i="63"/>
  <c r="S346" i="63"/>
  <c r="J346" i="63"/>
  <c r="AJ346" i="63"/>
  <c r="H346" i="63"/>
  <c r="X346" i="63"/>
  <c r="W346" i="65" s="1"/>
  <c r="F346" i="63"/>
  <c r="AD346" i="63"/>
  <c r="Y346" i="63"/>
  <c r="AU346" i="63"/>
  <c r="C346" i="63"/>
  <c r="X346" i="65" s="1"/>
  <c r="Z346" i="63"/>
  <c r="N346" i="63"/>
  <c r="T346" i="63"/>
  <c r="P346" i="65" s="1"/>
  <c r="AA346" i="63"/>
  <c r="AE346" i="63"/>
  <c r="AP346" i="63"/>
  <c r="AW346" i="63"/>
  <c r="AV346" i="63"/>
  <c r="AK346" i="63"/>
  <c r="AF346" i="63"/>
  <c r="D346" i="63"/>
  <c r="U346" i="63"/>
  <c r="O346" i="65" s="1"/>
  <c r="AX346" i="63"/>
  <c r="F347" i="81"/>
  <c r="G347" i="81"/>
  <c r="S347" i="81"/>
  <c r="M347" i="81"/>
  <c r="R347" i="81"/>
  <c r="C347" i="81"/>
  <c r="A348" i="81"/>
  <c r="T347" i="81"/>
  <c r="U347" i="81"/>
  <c r="E347" i="81"/>
  <c r="I347" i="81"/>
  <c r="H347" i="81"/>
  <c r="K347" i="81"/>
  <c r="L347" i="81"/>
  <c r="Q347" i="81"/>
  <c r="D347" i="81"/>
  <c r="J347" i="81"/>
  <c r="N347" i="81"/>
  <c r="O347" i="81"/>
  <c r="P347" i="81"/>
  <c r="B347" i="81"/>
  <c r="Y345" i="65"/>
  <c r="N346" i="65" l="1"/>
  <c r="U346" i="65"/>
  <c r="S346" i="65"/>
  <c r="Q348" i="81"/>
  <c r="N348" i="81"/>
  <c r="R348" i="81"/>
  <c r="O348" i="81"/>
  <c r="C348" i="81"/>
  <c r="P348" i="81"/>
  <c r="A349" i="81"/>
  <c r="I348" i="81"/>
  <c r="S348" i="81"/>
  <c r="T348" i="81"/>
  <c r="D348" i="81"/>
  <c r="G348" i="81"/>
  <c r="E348" i="81"/>
  <c r="H348" i="81"/>
  <c r="M348" i="81"/>
  <c r="F348" i="81"/>
  <c r="J348" i="81"/>
  <c r="K348" i="81"/>
  <c r="L348" i="81"/>
  <c r="U348" i="81"/>
  <c r="B348" i="81"/>
  <c r="Y346" i="65"/>
  <c r="H346" i="65"/>
  <c r="M346" i="65"/>
  <c r="AU347" i="63"/>
  <c r="S347" i="63"/>
  <c r="AO347" i="63"/>
  <c r="N347" i="63"/>
  <c r="AJ347" i="63"/>
  <c r="H347" i="63"/>
  <c r="AG347" i="63"/>
  <c r="AM347" i="63"/>
  <c r="AS347" i="63"/>
  <c r="AQ347" i="63"/>
  <c r="P347" i="63"/>
  <c r="AX347" i="63"/>
  <c r="E347" i="63"/>
  <c r="F347" i="63"/>
  <c r="Q347" i="63"/>
  <c r="R347" i="65" s="1"/>
  <c r="W347" i="63"/>
  <c r="AF347" i="63"/>
  <c r="D347" i="63"/>
  <c r="AB347" i="63"/>
  <c r="V347" i="63"/>
  <c r="AH347" i="63"/>
  <c r="AN347" i="63"/>
  <c r="AR347" i="63"/>
  <c r="AL347" i="63"/>
  <c r="AY347" i="63"/>
  <c r="G347" i="63"/>
  <c r="L347" i="63"/>
  <c r="R347" i="63"/>
  <c r="X347" i="63"/>
  <c r="W347" i="65" s="1"/>
  <c r="AC347" i="63"/>
  <c r="Y347" i="63"/>
  <c r="AI347" i="63"/>
  <c r="AT347" i="63"/>
  <c r="B347" i="63"/>
  <c r="B347" i="65" s="1"/>
  <c r="AP347" i="63"/>
  <c r="A348" i="63"/>
  <c r="M347" i="63"/>
  <c r="C347" i="63"/>
  <c r="X347" i="65" s="1"/>
  <c r="I347" i="63"/>
  <c r="J347" i="63"/>
  <c r="AD347" i="63"/>
  <c r="AE347" i="63"/>
  <c r="T347" i="63"/>
  <c r="P347" i="65" s="1"/>
  <c r="K347" i="63"/>
  <c r="AV347" i="63"/>
  <c r="Z347" i="63"/>
  <c r="U347" i="63"/>
  <c r="O347" i="65" s="1"/>
  <c r="O347" i="63"/>
  <c r="AK347" i="63"/>
  <c r="AA347" i="63"/>
  <c r="AW347" i="63"/>
  <c r="H347" i="65" l="1"/>
  <c r="Y347" i="65"/>
  <c r="N347" i="65"/>
  <c r="M349" i="81"/>
  <c r="S349" i="81"/>
  <c r="E349" i="81"/>
  <c r="F349" i="81"/>
  <c r="I349" i="81"/>
  <c r="J349" i="81"/>
  <c r="N349" i="81"/>
  <c r="A350" i="81"/>
  <c r="P349" i="81"/>
  <c r="Q349" i="81"/>
  <c r="R349" i="81"/>
  <c r="D349" i="81"/>
  <c r="U349" i="81"/>
  <c r="K349" i="81"/>
  <c r="H349" i="81"/>
  <c r="L349" i="81"/>
  <c r="G349" i="81"/>
  <c r="B349" i="81"/>
  <c r="O349" i="81"/>
  <c r="C349" i="81"/>
  <c r="T349" i="81"/>
  <c r="S347" i="65"/>
  <c r="U347" i="65"/>
  <c r="AU348" i="63"/>
  <c r="AN348" i="63"/>
  <c r="P348" i="63"/>
  <c r="T348" i="63"/>
  <c r="P348" i="65" s="1"/>
  <c r="I348" i="63"/>
  <c r="O348" i="63"/>
  <c r="AB348" i="63"/>
  <c r="AD348" i="63"/>
  <c r="A349" i="63"/>
  <c r="AE348" i="63"/>
  <c r="AJ348" i="63"/>
  <c r="AP348" i="63"/>
  <c r="AF348" i="63"/>
  <c r="E348" i="63"/>
  <c r="AQ348" i="63"/>
  <c r="N348" i="63"/>
  <c r="AI348" i="63"/>
  <c r="X348" i="63"/>
  <c r="W348" i="65" s="1"/>
  <c r="AO348" i="63"/>
  <c r="AV348" i="63"/>
  <c r="U348" i="63"/>
  <c r="O348" i="65" s="1"/>
  <c r="AR348" i="63"/>
  <c r="Q348" i="63"/>
  <c r="R348" i="65" s="1"/>
  <c r="Z348" i="63"/>
  <c r="AK348" i="63"/>
  <c r="J348" i="63"/>
  <c r="AG348" i="63"/>
  <c r="F348" i="63"/>
  <c r="K348" i="63"/>
  <c r="AT348" i="63"/>
  <c r="AW348" i="63"/>
  <c r="V348" i="63"/>
  <c r="L348" i="63"/>
  <c r="Y348" i="63"/>
  <c r="R348" i="63"/>
  <c r="AL348" i="63"/>
  <c r="AA348" i="63"/>
  <c r="D348" i="63"/>
  <c r="AH348" i="63"/>
  <c r="G348" i="63"/>
  <c r="M348" i="63"/>
  <c r="AX348" i="63"/>
  <c r="W348" i="63"/>
  <c r="AC348" i="63"/>
  <c r="B348" i="63"/>
  <c r="B348" i="65" s="1"/>
  <c r="AM348" i="63"/>
  <c r="AY348" i="63"/>
  <c r="AS348" i="63"/>
  <c r="S348" i="63"/>
  <c r="H348" i="63"/>
  <c r="C348" i="63"/>
  <c r="X348" i="65" s="1"/>
  <c r="M347" i="65"/>
  <c r="Y348" i="65" l="1"/>
  <c r="S348" i="65"/>
  <c r="H348" i="65"/>
  <c r="M348" i="65"/>
  <c r="U350" i="81"/>
  <c r="B350" i="81"/>
  <c r="D350" i="81"/>
  <c r="I350" i="81"/>
  <c r="R350" i="81"/>
  <c r="S350" i="81"/>
  <c r="K350" i="81"/>
  <c r="A351" i="81"/>
  <c r="L350" i="81"/>
  <c r="M350" i="81"/>
  <c r="Q350" i="81"/>
  <c r="O350" i="81"/>
  <c r="C350" i="81"/>
  <c r="H350" i="81"/>
  <c r="N350" i="81"/>
  <c r="P350" i="81"/>
  <c r="E350" i="81"/>
  <c r="T350" i="81"/>
  <c r="G350" i="81"/>
  <c r="J350" i="81"/>
  <c r="F350" i="81"/>
  <c r="N349" i="63"/>
  <c r="C349" i="63"/>
  <c r="X349" i="65" s="1"/>
  <c r="W349" i="63"/>
  <c r="AD349" i="63"/>
  <c r="AM349" i="63"/>
  <c r="AV349" i="63"/>
  <c r="U349" i="63"/>
  <c r="O349" i="65" s="1"/>
  <c r="AO349" i="63"/>
  <c r="K349" i="63"/>
  <c r="Q349" i="63"/>
  <c r="R349" i="65" s="1"/>
  <c r="AK349" i="63"/>
  <c r="AA349" i="63"/>
  <c r="AG349" i="63"/>
  <c r="F349" i="63"/>
  <c r="AU349" i="63"/>
  <c r="AQ349" i="63"/>
  <c r="AW349" i="63"/>
  <c r="V349" i="63"/>
  <c r="Z349" i="63"/>
  <c r="AJ349" i="63"/>
  <c r="L349" i="63"/>
  <c r="B349" i="63"/>
  <c r="B349" i="65" s="1"/>
  <c r="AL349" i="63"/>
  <c r="T349" i="63"/>
  <c r="P349" i="65" s="1"/>
  <c r="AP349" i="63"/>
  <c r="AB349" i="63"/>
  <c r="R349" i="63"/>
  <c r="G349" i="63"/>
  <c r="A350" i="63"/>
  <c r="AR349" i="63"/>
  <c r="AH349" i="63"/>
  <c r="H349" i="63"/>
  <c r="AN349" i="63"/>
  <c r="AF349" i="63"/>
  <c r="M349" i="63"/>
  <c r="AX349" i="63"/>
  <c r="I349" i="63"/>
  <c r="AC349" i="63"/>
  <c r="S349" i="63"/>
  <c r="J349" i="63"/>
  <c r="AI349" i="63"/>
  <c r="X349" i="63"/>
  <c r="W349" i="65" s="1"/>
  <c r="AS349" i="63"/>
  <c r="AT349" i="63"/>
  <c r="AY349" i="63"/>
  <c r="O349" i="63"/>
  <c r="D349" i="63"/>
  <c r="Y349" i="63"/>
  <c r="P349" i="63"/>
  <c r="AE349" i="63"/>
  <c r="E349" i="63"/>
  <c r="U348" i="65"/>
  <c r="N348" i="65"/>
  <c r="U349" i="65" l="1"/>
  <c r="N349" i="65"/>
  <c r="H351" i="81"/>
  <c r="S351" i="81"/>
  <c r="I351" i="81"/>
  <c r="U351" i="81"/>
  <c r="M351" i="81"/>
  <c r="O351" i="81"/>
  <c r="P351" i="81"/>
  <c r="Q351" i="81"/>
  <c r="A352" i="81"/>
  <c r="F351" i="81"/>
  <c r="G351" i="81"/>
  <c r="B351" i="81"/>
  <c r="C351" i="81"/>
  <c r="D351" i="81"/>
  <c r="N351" i="81"/>
  <c r="J351" i="81"/>
  <c r="L351" i="81"/>
  <c r="E351" i="81"/>
  <c r="T351" i="81"/>
  <c r="K351" i="81"/>
  <c r="R351" i="81"/>
  <c r="M349" i="65"/>
  <c r="H349" i="65"/>
  <c r="AB350" i="63"/>
  <c r="AG350" i="63"/>
  <c r="U350" i="63"/>
  <c r="O350" i="65" s="1"/>
  <c r="AQ350" i="63"/>
  <c r="AP350" i="63"/>
  <c r="AV350" i="63"/>
  <c r="AJ350" i="63"/>
  <c r="E350" i="63"/>
  <c r="L350" i="63"/>
  <c r="AW350" i="63"/>
  <c r="AK350" i="63"/>
  <c r="A351" i="63"/>
  <c r="AR350" i="63"/>
  <c r="B350" i="63"/>
  <c r="B350" i="65" s="1"/>
  <c r="V350" i="63"/>
  <c r="Z350" i="63"/>
  <c r="M350" i="63"/>
  <c r="W350" i="63"/>
  <c r="AC350" i="63"/>
  <c r="R350" i="63"/>
  <c r="X350" i="63"/>
  <c r="W350" i="65" s="1"/>
  <c r="P350" i="63"/>
  <c r="D350" i="63"/>
  <c r="T350" i="63"/>
  <c r="P350" i="65" s="1"/>
  <c r="AS350" i="63"/>
  <c r="AH350" i="63"/>
  <c r="Q350" i="63"/>
  <c r="R350" i="65" s="1"/>
  <c r="N350" i="63"/>
  <c r="AX350" i="63"/>
  <c r="AL350" i="63"/>
  <c r="AD350" i="63"/>
  <c r="C350" i="63"/>
  <c r="X350" i="65" s="1"/>
  <c r="AM350" i="63"/>
  <c r="AF350" i="63"/>
  <c r="I350" i="63"/>
  <c r="AT350" i="63"/>
  <c r="AN350" i="63"/>
  <c r="Y350" i="63"/>
  <c r="O350" i="63"/>
  <c r="S350" i="63"/>
  <c r="G350" i="63"/>
  <c r="AO350" i="63"/>
  <c r="AE350" i="63"/>
  <c r="AI350" i="63"/>
  <c r="F350" i="63"/>
  <c r="AA350" i="63"/>
  <c r="J350" i="63"/>
  <c r="AU350" i="63"/>
  <c r="AY350" i="63"/>
  <c r="H350" i="63"/>
  <c r="K350" i="63"/>
  <c r="Y349" i="65"/>
  <c r="S349" i="65"/>
  <c r="M350" i="65" l="1"/>
  <c r="U350" i="65"/>
  <c r="H350" i="65"/>
  <c r="M352" i="81"/>
  <c r="N352" i="81"/>
  <c r="R352" i="81"/>
  <c r="Q352" i="81"/>
  <c r="L352" i="81"/>
  <c r="O352" i="81"/>
  <c r="P352" i="81"/>
  <c r="J352" i="81"/>
  <c r="B352" i="81"/>
  <c r="A353" i="81"/>
  <c r="C352" i="81"/>
  <c r="T352" i="81"/>
  <c r="E352" i="81"/>
  <c r="U352" i="81"/>
  <c r="K352" i="81"/>
  <c r="S352" i="81"/>
  <c r="D352" i="81"/>
  <c r="F352" i="81"/>
  <c r="I352" i="81"/>
  <c r="G352" i="81"/>
  <c r="H352" i="81"/>
  <c r="S350" i="65"/>
  <c r="N350" i="65"/>
  <c r="Y350" i="65"/>
  <c r="K351" i="63"/>
  <c r="L351" i="63"/>
  <c r="U351" i="63"/>
  <c r="O351" i="65" s="1"/>
  <c r="AV351" i="63"/>
  <c r="AB351" i="63"/>
  <c r="AG351" i="63"/>
  <c r="G351" i="63"/>
  <c r="AR351" i="63"/>
  <c r="AW351" i="63"/>
  <c r="V351" i="63"/>
  <c r="Z351" i="63"/>
  <c r="P351" i="63"/>
  <c r="E351" i="63"/>
  <c r="F351" i="63"/>
  <c r="W351" i="63"/>
  <c r="M351" i="63"/>
  <c r="B351" i="63"/>
  <c r="B351" i="65" s="1"/>
  <c r="AJ351" i="63"/>
  <c r="T351" i="63"/>
  <c r="P351" i="65" s="1"/>
  <c r="AM351" i="63"/>
  <c r="AC351" i="63"/>
  <c r="R351" i="63"/>
  <c r="AK351" i="63"/>
  <c r="H351" i="63"/>
  <c r="AS351" i="63"/>
  <c r="AH351" i="63"/>
  <c r="AL351" i="63"/>
  <c r="AP351" i="63"/>
  <c r="AF351" i="63"/>
  <c r="Q351" i="63"/>
  <c r="R351" i="65" s="1"/>
  <c r="X351" i="63"/>
  <c r="W351" i="65" s="1"/>
  <c r="N351" i="63"/>
  <c r="AX351" i="63"/>
  <c r="AN351" i="63"/>
  <c r="AD351" i="63"/>
  <c r="C351" i="63"/>
  <c r="X351" i="65" s="1"/>
  <c r="AQ351" i="63"/>
  <c r="I351" i="63"/>
  <c r="AT351" i="63"/>
  <c r="S351" i="63"/>
  <c r="Y351" i="63"/>
  <c r="O351" i="63"/>
  <c r="AI351" i="63"/>
  <c r="AO351" i="63"/>
  <c r="AE351" i="63"/>
  <c r="AY351" i="63"/>
  <c r="J351" i="63"/>
  <c r="AU351" i="63"/>
  <c r="D351" i="63"/>
  <c r="AA351" i="63"/>
  <c r="A352" i="63"/>
  <c r="S351" i="65" l="1"/>
  <c r="U351" i="65"/>
  <c r="M353" i="81"/>
  <c r="S353" i="81"/>
  <c r="E353" i="81"/>
  <c r="F353" i="81"/>
  <c r="G353" i="81"/>
  <c r="H353" i="81"/>
  <c r="J353" i="81"/>
  <c r="K353" i="81"/>
  <c r="N353" i="81"/>
  <c r="L353" i="81"/>
  <c r="Q353" i="81"/>
  <c r="B353" i="81"/>
  <c r="R353" i="81"/>
  <c r="C353" i="81"/>
  <c r="O353" i="81"/>
  <c r="T353" i="81"/>
  <c r="U353" i="81"/>
  <c r="I353" i="81"/>
  <c r="A354" i="81"/>
  <c r="P353" i="81"/>
  <c r="D353" i="81"/>
  <c r="AO352" i="63"/>
  <c r="O352" i="63"/>
  <c r="AH352" i="63"/>
  <c r="I352" i="63"/>
  <c r="Y352" i="63"/>
  <c r="E352" i="63"/>
  <c r="J352" i="63"/>
  <c r="AE352" i="63"/>
  <c r="AI352" i="63"/>
  <c r="U352" i="63"/>
  <c r="O352" i="65" s="1"/>
  <c r="Z352" i="63"/>
  <c r="AU352" i="63"/>
  <c r="AJ352" i="63"/>
  <c r="AK352" i="63"/>
  <c r="AP352" i="63"/>
  <c r="P352" i="63"/>
  <c r="AX352" i="63"/>
  <c r="R352" i="63"/>
  <c r="A353" i="63"/>
  <c r="AT352" i="63"/>
  <c r="F352" i="63"/>
  <c r="K352" i="63"/>
  <c r="AF352" i="63"/>
  <c r="AY352" i="63"/>
  <c r="AN352" i="63"/>
  <c r="N352" i="63"/>
  <c r="S352" i="63"/>
  <c r="V352" i="63"/>
  <c r="AA352" i="63"/>
  <c r="AV352" i="63"/>
  <c r="B352" i="63"/>
  <c r="B352" i="65" s="1"/>
  <c r="AQ352" i="63"/>
  <c r="AL352" i="63"/>
  <c r="Q352" i="63"/>
  <c r="R352" i="65" s="1"/>
  <c r="G352" i="63"/>
  <c r="L352" i="63"/>
  <c r="AG352" i="63"/>
  <c r="AR352" i="63"/>
  <c r="T352" i="63"/>
  <c r="P352" i="65" s="1"/>
  <c r="W352" i="63"/>
  <c r="AB352" i="63"/>
  <c r="AW352" i="63"/>
  <c r="AM352" i="63"/>
  <c r="C352" i="63"/>
  <c r="X352" i="65" s="1"/>
  <c r="H352" i="63"/>
  <c r="M352" i="63"/>
  <c r="X352" i="63"/>
  <c r="W352" i="65" s="1"/>
  <c r="AC352" i="63"/>
  <c r="D352" i="63"/>
  <c r="AD352" i="63"/>
  <c r="AS352" i="63"/>
  <c r="Y351" i="65"/>
  <c r="H351" i="65"/>
  <c r="N351" i="65"/>
  <c r="M351" i="65"/>
  <c r="N352" i="65" l="1"/>
  <c r="U352" i="65"/>
  <c r="C353" i="63"/>
  <c r="X353" i="65" s="1"/>
  <c r="AM353" i="63"/>
  <c r="M353" i="63"/>
  <c r="P353" i="63"/>
  <c r="S353" i="63"/>
  <c r="H353" i="63"/>
  <c r="AC353" i="63"/>
  <c r="Q353" i="63"/>
  <c r="R353" i="65" s="1"/>
  <c r="AJ353" i="63"/>
  <c r="AI353" i="63"/>
  <c r="X353" i="63"/>
  <c r="W353" i="65" s="1"/>
  <c r="AS353" i="63"/>
  <c r="AO353" i="63"/>
  <c r="AY353" i="63"/>
  <c r="AN353" i="63"/>
  <c r="N353" i="63"/>
  <c r="R353" i="63"/>
  <c r="V353" i="63"/>
  <c r="AQ353" i="63"/>
  <c r="AX353" i="63"/>
  <c r="G353" i="63"/>
  <c r="D353" i="63"/>
  <c r="I353" i="63"/>
  <c r="AD353" i="63"/>
  <c r="AG353" i="63"/>
  <c r="O353" i="63"/>
  <c r="AL353" i="63"/>
  <c r="L353" i="63"/>
  <c r="U353" i="65" s="1"/>
  <c r="AF353" i="63"/>
  <c r="A354" i="63"/>
  <c r="T353" i="63"/>
  <c r="P353" i="65" s="1"/>
  <c r="Y353" i="63"/>
  <c r="AT353" i="63"/>
  <c r="B353" i="63"/>
  <c r="B353" i="65" s="1"/>
  <c r="E353" i="63"/>
  <c r="J353" i="63"/>
  <c r="AE353" i="63"/>
  <c r="U353" i="63"/>
  <c r="O353" i="65" s="1"/>
  <c r="Z353" i="63"/>
  <c r="AU353" i="63"/>
  <c r="AP353" i="63"/>
  <c r="AH353" i="63"/>
  <c r="AK353" i="63"/>
  <c r="K353" i="63"/>
  <c r="AV353" i="63"/>
  <c r="F353" i="63"/>
  <c r="AA353" i="63"/>
  <c r="AW353" i="63"/>
  <c r="AB353" i="63"/>
  <c r="AR353" i="63"/>
  <c r="W353" i="63"/>
  <c r="H352" i="65"/>
  <c r="M354" i="81"/>
  <c r="T354" i="81"/>
  <c r="N354" i="81"/>
  <c r="A355" i="81"/>
  <c r="B354" i="81"/>
  <c r="E354" i="81"/>
  <c r="F354" i="81"/>
  <c r="G354" i="81"/>
  <c r="I354" i="81"/>
  <c r="O354" i="81"/>
  <c r="R354" i="81"/>
  <c r="K354" i="81"/>
  <c r="L354" i="81"/>
  <c r="P354" i="81"/>
  <c r="D354" i="81"/>
  <c r="Q354" i="81"/>
  <c r="H354" i="81"/>
  <c r="S354" i="81"/>
  <c r="J354" i="81"/>
  <c r="U354" i="81"/>
  <c r="C354" i="81"/>
  <c r="M352" i="65"/>
  <c r="S352" i="65"/>
  <c r="Y352" i="65"/>
  <c r="S353" i="65" l="1"/>
  <c r="P355" i="81"/>
  <c r="Q355" i="81"/>
  <c r="H355" i="81"/>
  <c r="T355" i="81"/>
  <c r="E355" i="81"/>
  <c r="K355" i="81"/>
  <c r="M355" i="81"/>
  <c r="O355" i="81"/>
  <c r="R355" i="81"/>
  <c r="S355" i="81"/>
  <c r="G355" i="81"/>
  <c r="I355" i="81"/>
  <c r="J355" i="81"/>
  <c r="D355" i="81"/>
  <c r="L355" i="81"/>
  <c r="B355" i="81"/>
  <c r="C355" i="81"/>
  <c r="A356" i="81"/>
  <c r="F355" i="81"/>
  <c r="N355" i="81"/>
  <c r="U355" i="81"/>
  <c r="AG354" i="63"/>
  <c r="U354" i="63"/>
  <c r="O354" i="65" s="1"/>
  <c r="J354" i="63"/>
  <c r="AE354" i="63"/>
  <c r="I354" i="63"/>
  <c r="O354" i="63"/>
  <c r="AW354" i="63"/>
  <c r="Z354" i="63"/>
  <c r="AF354" i="63"/>
  <c r="B354" i="63"/>
  <c r="B354" i="65" s="1"/>
  <c r="AK354" i="63"/>
  <c r="AP354" i="63"/>
  <c r="AT354" i="63"/>
  <c r="T354" i="63"/>
  <c r="P354" i="65" s="1"/>
  <c r="R354" i="63"/>
  <c r="F354" i="63"/>
  <c r="K354" i="63"/>
  <c r="AU354" i="63"/>
  <c r="AH354" i="63"/>
  <c r="V354" i="63"/>
  <c r="AA354" i="63"/>
  <c r="AV354" i="63"/>
  <c r="AX354" i="63"/>
  <c r="AL354" i="63"/>
  <c r="AQ354" i="63"/>
  <c r="G354" i="63"/>
  <c r="L354" i="63"/>
  <c r="AN354" i="63"/>
  <c r="Q354" i="63"/>
  <c r="R354" i="65" s="1"/>
  <c r="C354" i="63"/>
  <c r="X354" i="65" s="1"/>
  <c r="E354" i="63"/>
  <c r="W354" i="63"/>
  <c r="AB354" i="63"/>
  <c r="S354" i="63"/>
  <c r="AM354" i="63"/>
  <c r="AR354" i="63"/>
  <c r="AI354" i="63"/>
  <c r="H354" i="63"/>
  <c r="M354" i="65" s="1"/>
  <c r="M354" i="63"/>
  <c r="AY354" i="63"/>
  <c r="X354" i="63"/>
  <c r="W354" i="65" s="1"/>
  <c r="AC354" i="63"/>
  <c r="AD354" i="63"/>
  <c r="D354" i="63"/>
  <c r="AS354" i="63"/>
  <c r="A355" i="63"/>
  <c r="N354" i="63"/>
  <c r="AJ354" i="63"/>
  <c r="Y354" i="63"/>
  <c r="P354" i="63"/>
  <c r="AO354" i="63"/>
  <c r="H353" i="65"/>
  <c r="M353" i="65"/>
  <c r="N353" i="65"/>
  <c r="Y353" i="65"/>
  <c r="Y354" i="65" l="1"/>
  <c r="N354" i="65"/>
  <c r="U354" i="65"/>
  <c r="S354" i="65"/>
  <c r="H356" i="81"/>
  <c r="I356" i="81"/>
  <c r="L356" i="81"/>
  <c r="U356" i="81"/>
  <c r="F356" i="81"/>
  <c r="J356" i="81"/>
  <c r="M356" i="81"/>
  <c r="N356" i="81"/>
  <c r="O356" i="81"/>
  <c r="B356" i="81"/>
  <c r="G356" i="81"/>
  <c r="R356" i="81"/>
  <c r="A357" i="81"/>
  <c r="C356" i="81"/>
  <c r="E356" i="81"/>
  <c r="S356" i="81"/>
  <c r="D356" i="81"/>
  <c r="T356" i="81"/>
  <c r="K356" i="81"/>
  <c r="P356" i="81"/>
  <c r="Q356" i="81"/>
  <c r="P355" i="63"/>
  <c r="T355" i="63"/>
  <c r="P355" i="65" s="1"/>
  <c r="Y355" i="63"/>
  <c r="N355" i="63"/>
  <c r="B355" i="63"/>
  <c r="B355" i="65" s="1"/>
  <c r="O355" i="63"/>
  <c r="AI355" i="63"/>
  <c r="AF355" i="63"/>
  <c r="AJ355" i="63"/>
  <c r="AO355" i="63"/>
  <c r="AV355" i="63"/>
  <c r="E355" i="63"/>
  <c r="J355" i="63"/>
  <c r="X355" i="63"/>
  <c r="W355" i="65" s="1"/>
  <c r="Q355" i="63"/>
  <c r="R355" i="65" s="1"/>
  <c r="U355" i="63"/>
  <c r="O355" i="65" s="1"/>
  <c r="Z355" i="63"/>
  <c r="V355" i="63"/>
  <c r="AG355" i="63"/>
  <c r="AK355" i="63"/>
  <c r="AP355" i="63"/>
  <c r="S355" i="63"/>
  <c r="AU355" i="63"/>
  <c r="AW355" i="63"/>
  <c r="F355" i="63"/>
  <c r="K355" i="63"/>
  <c r="AT355" i="63"/>
  <c r="L355" i="63"/>
  <c r="AA355" i="63"/>
  <c r="AS355" i="63"/>
  <c r="R355" i="63"/>
  <c r="AL355" i="63"/>
  <c r="AQ355" i="63"/>
  <c r="AY355" i="63"/>
  <c r="AH355" i="63"/>
  <c r="G355" i="63"/>
  <c r="AB355" i="63"/>
  <c r="AX355" i="63"/>
  <c r="W355" i="63"/>
  <c r="AC355" i="63"/>
  <c r="C355" i="63"/>
  <c r="X355" i="65" s="1"/>
  <c r="AM355" i="63"/>
  <c r="AD355" i="63"/>
  <c r="A356" i="63"/>
  <c r="I355" i="63"/>
  <c r="H355" i="63"/>
  <c r="AR355" i="63"/>
  <c r="AE355" i="63"/>
  <c r="AN355" i="63"/>
  <c r="M355" i="63"/>
  <c r="D355" i="63"/>
  <c r="H354" i="65"/>
  <c r="M355" i="65" l="1"/>
  <c r="Y355" i="65"/>
  <c r="B357" i="81"/>
  <c r="A358" i="81"/>
  <c r="R357" i="81"/>
  <c r="K357" i="81"/>
  <c r="T357" i="81"/>
  <c r="L357" i="81"/>
  <c r="M357" i="81"/>
  <c r="U357" i="81"/>
  <c r="G357" i="81"/>
  <c r="C357" i="81"/>
  <c r="H357" i="81"/>
  <c r="I357" i="81"/>
  <c r="N357" i="81"/>
  <c r="J357" i="81"/>
  <c r="D357" i="81"/>
  <c r="O357" i="81"/>
  <c r="P357" i="81"/>
  <c r="Q357" i="81"/>
  <c r="E357" i="81"/>
  <c r="F357" i="81"/>
  <c r="S357" i="81"/>
  <c r="H355" i="65"/>
  <c r="N355" i="65"/>
  <c r="S355" i="65"/>
  <c r="U355" i="65"/>
  <c r="AD356" i="63"/>
  <c r="AX356" i="63"/>
  <c r="G356" i="63"/>
  <c r="AQ356" i="63"/>
  <c r="AF356" i="63"/>
  <c r="T356" i="63"/>
  <c r="P356" i="65" s="1"/>
  <c r="I356" i="63"/>
  <c r="AB356" i="63"/>
  <c r="AT356" i="63"/>
  <c r="C356" i="63"/>
  <c r="X356" i="65" s="1"/>
  <c r="W356" i="63"/>
  <c r="AR356" i="63"/>
  <c r="O356" i="63"/>
  <c r="S356" i="63"/>
  <c r="AM356" i="63"/>
  <c r="B356" i="63"/>
  <c r="B356" i="65" s="1"/>
  <c r="AK356" i="63"/>
  <c r="Z356" i="63"/>
  <c r="AE356" i="63"/>
  <c r="AI356" i="63"/>
  <c r="H356" i="63"/>
  <c r="AU356" i="63"/>
  <c r="AY356" i="63"/>
  <c r="X356" i="63"/>
  <c r="W356" i="65" s="1"/>
  <c r="AC356" i="63"/>
  <c r="AA356" i="63"/>
  <c r="R356" i="63"/>
  <c r="P356" i="63"/>
  <c r="D356" i="63"/>
  <c r="AN356" i="63"/>
  <c r="AV356" i="63"/>
  <c r="Y356" i="63"/>
  <c r="Q356" i="63"/>
  <c r="R356" i="65" s="1"/>
  <c r="AJ356" i="63"/>
  <c r="AO356" i="63"/>
  <c r="E356" i="63"/>
  <c r="J356" i="63"/>
  <c r="AG356" i="63"/>
  <c r="U356" i="63"/>
  <c r="O356" i="65" s="1"/>
  <c r="K356" i="63"/>
  <c r="A357" i="63"/>
  <c r="N356" i="63"/>
  <c r="AL356" i="63"/>
  <c r="AP356" i="63"/>
  <c r="AW356" i="63"/>
  <c r="L356" i="63"/>
  <c r="AS356" i="63"/>
  <c r="V356" i="63"/>
  <c r="Y356" i="65" s="1"/>
  <c r="M356" i="63"/>
  <c r="F356" i="63"/>
  <c r="AH356" i="63"/>
  <c r="N356" i="65" l="1"/>
  <c r="M356" i="65"/>
  <c r="U356" i="65"/>
  <c r="S356" i="65"/>
  <c r="H356" i="65"/>
  <c r="H358" i="81"/>
  <c r="J358" i="81"/>
  <c r="I358" i="81"/>
  <c r="M358" i="81"/>
  <c r="R358" i="81"/>
  <c r="S358" i="81"/>
  <c r="T358" i="81"/>
  <c r="U358" i="81"/>
  <c r="C358" i="81"/>
  <c r="D358" i="81"/>
  <c r="E358" i="81"/>
  <c r="O358" i="81"/>
  <c r="Q358" i="81"/>
  <c r="A359" i="81"/>
  <c r="P358" i="81"/>
  <c r="K358" i="81"/>
  <c r="B358" i="81"/>
  <c r="F358" i="81"/>
  <c r="G358" i="81"/>
  <c r="L358" i="81"/>
  <c r="N358" i="81"/>
  <c r="AR357" i="63"/>
  <c r="B357" i="63"/>
  <c r="B357" i="65" s="1"/>
  <c r="F357" i="63"/>
  <c r="M357" i="63"/>
  <c r="R357" i="63"/>
  <c r="V357" i="63"/>
  <c r="AC357" i="63"/>
  <c r="AH357" i="63"/>
  <c r="AL357" i="63"/>
  <c r="AA357" i="63"/>
  <c r="AJ357" i="63"/>
  <c r="AS357" i="63"/>
  <c r="AX357" i="63"/>
  <c r="G357" i="63"/>
  <c r="S357" i="63"/>
  <c r="I357" i="63"/>
  <c r="AV357" i="63"/>
  <c r="N357" i="63"/>
  <c r="C357" i="63"/>
  <c r="X357" i="65" s="1"/>
  <c r="W357" i="63"/>
  <c r="AQ357" i="63"/>
  <c r="Q357" i="63"/>
  <c r="R357" i="65" s="1"/>
  <c r="AO357" i="63"/>
  <c r="AD357" i="63"/>
  <c r="AM357" i="63"/>
  <c r="AB357" i="63"/>
  <c r="AT357" i="63"/>
  <c r="E357" i="63"/>
  <c r="O357" i="63"/>
  <c r="AI357" i="63"/>
  <c r="J357" i="63"/>
  <c r="AU357" i="63"/>
  <c r="L357" i="63"/>
  <c r="AE357" i="63"/>
  <c r="AY357" i="63"/>
  <c r="X357" i="63"/>
  <c r="W357" i="65" s="1"/>
  <c r="A358" i="63"/>
  <c r="D357" i="63"/>
  <c r="P357" i="63"/>
  <c r="T357" i="63"/>
  <c r="P357" i="65" s="1"/>
  <c r="Y357" i="63"/>
  <c r="AK357" i="63"/>
  <c r="K357" i="63"/>
  <c r="AF357" i="63"/>
  <c r="Z357" i="63"/>
  <c r="AN357" i="63"/>
  <c r="AG357" i="63"/>
  <c r="AP357" i="63"/>
  <c r="AW357" i="63"/>
  <c r="U357" i="63"/>
  <c r="O357" i="65" s="1"/>
  <c r="H357" i="63"/>
  <c r="M357" i="65" s="1"/>
  <c r="H357" i="65" l="1"/>
  <c r="S357" i="65"/>
  <c r="N357" i="65"/>
  <c r="Y357" i="65"/>
  <c r="D359" i="81"/>
  <c r="E359" i="81"/>
  <c r="N359" i="81"/>
  <c r="J359" i="81"/>
  <c r="L359" i="81"/>
  <c r="U359" i="81"/>
  <c r="C359" i="81"/>
  <c r="Q359" i="81"/>
  <c r="K359" i="81"/>
  <c r="P359" i="81"/>
  <c r="R359" i="81"/>
  <c r="S359" i="81"/>
  <c r="I359" i="81"/>
  <c r="M359" i="81"/>
  <c r="O359" i="81"/>
  <c r="T359" i="81"/>
  <c r="F359" i="81"/>
  <c r="G359" i="81"/>
  <c r="B359" i="81"/>
  <c r="A360" i="81"/>
  <c r="H359" i="81"/>
  <c r="K358" i="63"/>
  <c r="AF358" i="63"/>
  <c r="D358" i="63"/>
  <c r="M358" i="63"/>
  <c r="AP358" i="63"/>
  <c r="AA358" i="63"/>
  <c r="AV358" i="63"/>
  <c r="T358" i="63"/>
  <c r="P358" i="65" s="1"/>
  <c r="AQ358" i="63"/>
  <c r="Q358" i="63"/>
  <c r="R358" i="65" s="1"/>
  <c r="AJ358" i="63"/>
  <c r="AO358" i="63"/>
  <c r="L358" i="63"/>
  <c r="E358" i="63"/>
  <c r="AB358" i="63"/>
  <c r="AG358" i="63"/>
  <c r="U358" i="63"/>
  <c r="O358" i="65" s="1"/>
  <c r="B358" i="63"/>
  <c r="B358" i="65" s="1"/>
  <c r="J358" i="63"/>
  <c r="N358" i="65" s="1"/>
  <c r="AE358" i="63"/>
  <c r="S358" i="63"/>
  <c r="AR358" i="63"/>
  <c r="AW358" i="63"/>
  <c r="AK358" i="63"/>
  <c r="Z358" i="63"/>
  <c r="AY358" i="63"/>
  <c r="AN358" i="63"/>
  <c r="O358" i="63"/>
  <c r="AC358" i="63"/>
  <c r="F358" i="63"/>
  <c r="AU358" i="63"/>
  <c r="AS358" i="63"/>
  <c r="R358" i="63"/>
  <c r="G358" i="63"/>
  <c r="A359" i="63"/>
  <c r="N358" i="63"/>
  <c r="AH358" i="63"/>
  <c r="AL358" i="63"/>
  <c r="I358" i="63"/>
  <c r="AD358" i="63"/>
  <c r="AX358" i="63"/>
  <c r="H358" i="63"/>
  <c r="M358" i="65" s="1"/>
  <c r="P358" i="63"/>
  <c r="Y358" i="63"/>
  <c r="AT358" i="63"/>
  <c r="C358" i="63"/>
  <c r="X358" i="65" s="1"/>
  <c r="V358" i="63"/>
  <c r="W358" i="63"/>
  <c r="X358" i="63"/>
  <c r="W358" i="65" s="1"/>
  <c r="AI358" i="63"/>
  <c r="AM358" i="63"/>
  <c r="U357" i="65"/>
  <c r="Y358" i="65" l="1"/>
  <c r="H358" i="65"/>
  <c r="I359" i="63"/>
  <c r="AD359" i="63"/>
  <c r="C359" i="63"/>
  <c r="X359" i="65" s="1"/>
  <c r="M359" i="63"/>
  <c r="Y359" i="63"/>
  <c r="AT359" i="63"/>
  <c r="S359" i="63"/>
  <c r="AO359" i="63"/>
  <c r="O359" i="63"/>
  <c r="AI359" i="63"/>
  <c r="J359" i="63"/>
  <c r="AE359" i="63"/>
  <c r="AY359" i="63"/>
  <c r="Z359" i="63"/>
  <c r="AU359" i="63"/>
  <c r="D359" i="63"/>
  <c r="K359" i="63"/>
  <c r="AF359" i="63"/>
  <c r="F359" i="63"/>
  <c r="A360" i="63"/>
  <c r="B359" i="63"/>
  <c r="B359" i="65" s="1"/>
  <c r="H359" i="63"/>
  <c r="M359" i="65" s="1"/>
  <c r="AC359" i="63"/>
  <c r="AK359" i="63"/>
  <c r="AP359" i="63"/>
  <c r="P359" i="63"/>
  <c r="E359" i="63"/>
  <c r="R359" i="63"/>
  <c r="S359" i="65" s="1"/>
  <c r="AX359" i="63"/>
  <c r="AM359" i="63"/>
  <c r="X359" i="63"/>
  <c r="W359" i="65" s="1"/>
  <c r="N359" i="63"/>
  <c r="AA359" i="63"/>
  <c r="AV359" i="63"/>
  <c r="T359" i="63"/>
  <c r="P359" i="65" s="1"/>
  <c r="L359" i="63"/>
  <c r="AS359" i="63"/>
  <c r="AQ359" i="63"/>
  <c r="Q359" i="63"/>
  <c r="R359" i="65" s="1"/>
  <c r="U359" i="63"/>
  <c r="O359" i="65" s="1"/>
  <c r="G359" i="63"/>
  <c r="AB359" i="63"/>
  <c r="AG359" i="63"/>
  <c r="AN359" i="63"/>
  <c r="W359" i="63"/>
  <c r="AR359" i="63"/>
  <c r="AW359" i="63"/>
  <c r="V359" i="63"/>
  <c r="AJ359" i="63"/>
  <c r="AL359" i="63"/>
  <c r="AH359" i="63"/>
  <c r="S358" i="65"/>
  <c r="T360" i="81"/>
  <c r="E360" i="81"/>
  <c r="H360" i="81"/>
  <c r="C360" i="81"/>
  <c r="S360" i="81"/>
  <c r="D360" i="81"/>
  <c r="F360" i="81"/>
  <c r="G360" i="81"/>
  <c r="I360" i="81"/>
  <c r="L360" i="81"/>
  <c r="M360" i="81"/>
  <c r="N360" i="81"/>
  <c r="R360" i="81"/>
  <c r="A361" i="81"/>
  <c r="B360" i="81"/>
  <c r="U360" i="81"/>
  <c r="J360" i="81"/>
  <c r="P360" i="81"/>
  <c r="Q360" i="81"/>
  <c r="K360" i="81"/>
  <c r="O360" i="81"/>
  <c r="U358" i="65"/>
  <c r="N359" i="65" l="1"/>
  <c r="Y359" i="65"/>
  <c r="H359" i="65"/>
  <c r="U359" i="65"/>
  <c r="AM360" i="63"/>
  <c r="AB360" i="63"/>
  <c r="AW360" i="63"/>
  <c r="B360" i="63"/>
  <c r="B360" i="65" s="1"/>
  <c r="AA360" i="63"/>
  <c r="Q360" i="63"/>
  <c r="R360" i="65" s="1"/>
  <c r="H360" i="63"/>
  <c r="AR360" i="63"/>
  <c r="AH360" i="63"/>
  <c r="X360" i="63"/>
  <c r="W360" i="65" s="1"/>
  <c r="M360" i="63"/>
  <c r="AI360" i="63"/>
  <c r="G360" i="63"/>
  <c r="AC360" i="63"/>
  <c r="AJ360" i="63"/>
  <c r="AD360" i="63"/>
  <c r="AQ360" i="63"/>
  <c r="AN360" i="63"/>
  <c r="AS360" i="63"/>
  <c r="AX360" i="63"/>
  <c r="AL360" i="63"/>
  <c r="T360" i="63"/>
  <c r="P360" i="65" s="1"/>
  <c r="I360" i="63"/>
  <c r="N360" i="63"/>
  <c r="AY360" i="63"/>
  <c r="AG360" i="63"/>
  <c r="V360" i="63"/>
  <c r="AF360" i="63"/>
  <c r="Y360" i="63"/>
  <c r="AT360" i="63"/>
  <c r="A361" i="63"/>
  <c r="U360" i="63"/>
  <c r="O360" i="65" s="1"/>
  <c r="J360" i="63"/>
  <c r="AE360" i="63"/>
  <c r="E360" i="63"/>
  <c r="AO360" i="63"/>
  <c r="O360" i="63"/>
  <c r="C360" i="63"/>
  <c r="X360" i="65" s="1"/>
  <c r="AK360" i="63"/>
  <c r="Z360" i="63"/>
  <c r="AU360" i="63"/>
  <c r="D360" i="63"/>
  <c r="F360" i="63"/>
  <c r="AP360" i="63"/>
  <c r="P360" i="63"/>
  <c r="R360" i="63"/>
  <c r="K360" i="63"/>
  <c r="S360" i="63"/>
  <c r="AV360" i="63"/>
  <c r="W360" i="63"/>
  <c r="L360" i="63"/>
  <c r="N361" i="81"/>
  <c r="E361" i="81"/>
  <c r="O361" i="81"/>
  <c r="B361" i="81"/>
  <c r="P361" i="81"/>
  <c r="A362" i="81"/>
  <c r="Q361" i="81"/>
  <c r="R361" i="81"/>
  <c r="T361" i="81"/>
  <c r="I361" i="81"/>
  <c r="J361" i="81"/>
  <c r="M361" i="81"/>
  <c r="S361" i="81"/>
  <c r="U361" i="81"/>
  <c r="H361" i="81"/>
  <c r="G361" i="81"/>
  <c r="D361" i="81"/>
  <c r="K361" i="81"/>
  <c r="C361" i="81"/>
  <c r="F361" i="81"/>
  <c r="L361" i="81"/>
  <c r="Y360" i="65" l="1"/>
  <c r="H360" i="65"/>
  <c r="S360" i="65"/>
  <c r="E362" i="81"/>
  <c r="J362" i="81"/>
  <c r="F362" i="81"/>
  <c r="K362" i="81"/>
  <c r="H362" i="81"/>
  <c r="M362" i="81"/>
  <c r="O362" i="81"/>
  <c r="N362" i="81"/>
  <c r="A363" i="81"/>
  <c r="P362" i="81"/>
  <c r="S362" i="81"/>
  <c r="T362" i="81"/>
  <c r="U362" i="81"/>
  <c r="D362" i="81"/>
  <c r="L362" i="81"/>
  <c r="Q362" i="81"/>
  <c r="G362" i="81"/>
  <c r="B362" i="81"/>
  <c r="C362" i="81"/>
  <c r="R362" i="81"/>
  <c r="I362" i="81"/>
  <c r="M360" i="65"/>
  <c r="U360" i="65"/>
  <c r="N360" i="65"/>
  <c r="U361" i="63"/>
  <c r="O361" i="65" s="1"/>
  <c r="Z361" i="63"/>
  <c r="AU361" i="63"/>
  <c r="AP361" i="63"/>
  <c r="B361" i="63"/>
  <c r="B361" i="65" s="1"/>
  <c r="AK361" i="63"/>
  <c r="K361" i="63"/>
  <c r="F361" i="63"/>
  <c r="AA361" i="63"/>
  <c r="P361" i="63"/>
  <c r="D361" i="63"/>
  <c r="V361" i="63"/>
  <c r="AQ361" i="63"/>
  <c r="Q361" i="63"/>
  <c r="R361" i="65" s="1"/>
  <c r="AB361" i="63"/>
  <c r="AW361" i="63"/>
  <c r="T361" i="63"/>
  <c r="P361" i="65" s="1"/>
  <c r="Y361" i="63"/>
  <c r="AT361" i="63"/>
  <c r="AL361" i="63"/>
  <c r="L361" i="63"/>
  <c r="A362" i="63"/>
  <c r="G361" i="63"/>
  <c r="R361" i="63"/>
  <c r="AD361" i="63"/>
  <c r="J361" i="63"/>
  <c r="W361" i="63"/>
  <c r="AR361" i="63"/>
  <c r="AF361" i="63"/>
  <c r="C361" i="63"/>
  <c r="X361" i="65" s="1"/>
  <c r="AM361" i="63"/>
  <c r="M361" i="63"/>
  <c r="AX361" i="63"/>
  <c r="S361" i="63"/>
  <c r="H361" i="63"/>
  <c r="AC361" i="63"/>
  <c r="AG361" i="63"/>
  <c r="AH361" i="63"/>
  <c r="AI361" i="63"/>
  <c r="X361" i="63"/>
  <c r="W361" i="65" s="1"/>
  <c r="AS361" i="63"/>
  <c r="AY361" i="63"/>
  <c r="AN361" i="63"/>
  <c r="N361" i="63"/>
  <c r="AV361" i="63"/>
  <c r="I361" i="63"/>
  <c r="AJ361" i="63"/>
  <c r="O361" i="63"/>
  <c r="AO361" i="63"/>
  <c r="E361" i="63"/>
  <c r="AE361" i="63"/>
  <c r="Y361" i="65" l="1"/>
  <c r="S361" i="65"/>
  <c r="M361" i="65"/>
  <c r="U361" i="65"/>
  <c r="C363" i="81"/>
  <c r="D363" i="81"/>
  <c r="E363" i="81"/>
  <c r="K363" i="81"/>
  <c r="M363" i="81"/>
  <c r="F363" i="81"/>
  <c r="N363" i="81"/>
  <c r="I363" i="81"/>
  <c r="Q363" i="81"/>
  <c r="L363" i="81"/>
  <c r="A364" i="81"/>
  <c r="R363" i="81"/>
  <c r="B363" i="81"/>
  <c r="H363" i="81"/>
  <c r="S363" i="81"/>
  <c r="T363" i="81"/>
  <c r="U363" i="81"/>
  <c r="P363" i="81"/>
  <c r="G363" i="81"/>
  <c r="J363" i="81"/>
  <c r="O363" i="81"/>
  <c r="AI362" i="63"/>
  <c r="H362" i="63"/>
  <c r="AR362" i="63"/>
  <c r="T362" i="63"/>
  <c r="P362" i="65" s="1"/>
  <c r="AN362" i="63"/>
  <c r="AS362" i="63"/>
  <c r="AD362" i="63"/>
  <c r="W362" i="63"/>
  <c r="AY362" i="63"/>
  <c r="X362" i="63"/>
  <c r="W362" i="65" s="1"/>
  <c r="M362" i="63"/>
  <c r="D362" i="63"/>
  <c r="AC362" i="63"/>
  <c r="Q362" i="63"/>
  <c r="R362" i="65" s="1"/>
  <c r="Y362" i="63"/>
  <c r="AQ362" i="63"/>
  <c r="I362" i="63"/>
  <c r="O362" i="63"/>
  <c r="A363" i="63"/>
  <c r="AJ362" i="63"/>
  <c r="P362" i="63"/>
  <c r="E362" i="63"/>
  <c r="C362" i="63"/>
  <c r="X362" i="65" s="1"/>
  <c r="AL362" i="63"/>
  <c r="AB362" i="63"/>
  <c r="AG362" i="63"/>
  <c r="U362" i="63"/>
  <c r="O362" i="65" s="1"/>
  <c r="AO362" i="63"/>
  <c r="AE362" i="63"/>
  <c r="AW362" i="63"/>
  <c r="J362" i="63"/>
  <c r="AF362" i="63"/>
  <c r="F362" i="63"/>
  <c r="B362" i="63"/>
  <c r="B362" i="65" s="1"/>
  <c r="AK362" i="63"/>
  <c r="Z362" i="63"/>
  <c r="AT362" i="63"/>
  <c r="R362" i="63"/>
  <c r="AP362" i="63"/>
  <c r="AU362" i="63"/>
  <c r="AH362" i="63"/>
  <c r="V362" i="63"/>
  <c r="K362" i="63"/>
  <c r="AV362" i="63"/>
  <c r="AX362" i="63"/>
  <c r="AA362" i="63"/>
  <c r="N362" i="63"/>
  <c r="G362" i="63"/>
  <c r="L362" i="63"/>
  <c r="S362" i="63"/>
  <c r="AM362" i="63"/>
  <c r="H361" i="65"/>
  <c r="N361" i="65"/>
  <c r="S362" i="65" l="1"/>
  <c r="M362" i="65"/>
  <c r="Y362" i="65"/>
  <c r="T364" i="81"/>
  <c r="E364" i="81"/>
  <c r="U364" i="81"/>
  <c r="N364" i="81"/>
  <c r="G364" i="81"/>
  <c r="H364" i="81"/>
  <c r="K364" i="81"/>
  <c r="L364" i="81"/>
  <c r="B364" i="81"/>
  <c r="M364" i="81"/>
  <c r="D364" i="81"/>
  <c r="A365" i="81"/>
  <c r="R364" i="81"/>
  <c r="C364" i="81"/>
  <c r="S364" i="81"/>
  <c r="I364" i="81"/>
  <c r="J364" i="81"/>
  <c r="O364" i="81"/>
  <c r="F364" i="81"/>
  <c r="P364" i="81"/>
  <c r="Q364" i="81"/>
  <c r="N362" i="65"/>
  <c r="R363" i="63"/>
  <c r="AL363" i="63"/>
  <c r="AA363" i="63"/>
  <c r="L363" i="63"/>
  <c r="AK363" i="63"/>
  <c r="F363" i="63"/>
  <c r="AP363" i="63"/>
  <c r="AH363" i="63"/>
  <c r="G363" i="63"/>
  <c r="AQ363" i="63"/>
  <c r="W363" i="63"/>
  <c r="AT363" i="63"/>
  <c r="AX363" i="63"/>
  <c r="C363" i="63"/>
  <c r="X363" i="65" s="1"/>
  <c r="O363" i="63"/>
  <c r="AB363" i="63"/>
  <c r="U363" i="63"/>
  <c r="O363" i="65" s="1"/>
  <c r="AM363" i="63"/>
  <c r="M363" i="63"/>
  <c r="A364" i="63"/>
  <c r="AI363" i="63"/>
  <c r="Q363" i="63"/>
  <c r="R363" i="65" s="1"/>
  <c r="AW363" i="63"/>
  <c r="S363" i="63"/>
  <c r="H363" i="63"/>
  <c r="N363" i="63"/>
  <c r="X363" i="63"/>
  <c r="W363" i="65" s="1"/>
  <c r="J363" i="63"/>
  <c r="V363" i="63"/>
  <c r="AE363" i="63"/>
  <c r="AY363" i="63"/>
  <c r="AC363" i="63"/>
  <c r="AU363" i="63"/>
  <c r="D363" i="63"/>
  <c r="AN363" i="63"/>
  <c r="AD363" i="63"/>
  <c r="P363" i="63"/>
  <c r="T363" i="63"/>
  <c r="P363" i="65" s="1"/>
  <c r="I363" i="63"/>
  <c r="AR363" i="63"/>
  <c r="AF363" i="63"/>
  <c r="AJ363" i="63"/>
  <c r="Y363" i="63"/>
  <c r="AS363" i="63"/>
  <c r="AV363" i="63"/>
  <c r="E363" i="63"/>
  <c r="AO363" i="63"/>
  <c r="AG363" i="63"/>
  <c r="Z363" i="63"/>
  <c r="K363" i="63"/>
  <c r="B363" i="63"/>
  <c r="B363" i="65" s="1"/>
  <c r="U362" i="65"/>
  <c r="H362" i="65"/>
  <c r="M363" i="65" l="1"/>
  <c r="Y363" i="65"/>
  <c r="N365" i="81"/>
  <c r="M365" i="81"/>
  <c r="O365" i="81"/>
  <c r="S365" i="81"/>
  <c r="P365" i="81"/>
  <c r="T365" i="81"/>
  <c r="B365" i="81"/>
  <c r="A366" i="81"/>
  <c r="C365" i="81"/>
  <c r="D365" i="81"/>
  <c r="R365" i="81"/>
  <c r="G365" i="81"/>
  <c r="H365" i="81"/>
  <c r="L365" i="81"/>
  <c r="Q365" i="81"/>
  <c r="E365" i="81"/>
  <c r="F365" i="81"/>
  <c r="I365" i="81"/>
  <c r="J365" i="81"/>
  <c r="K365" i="81"/>
  <c r="U365" i="81"/>
  <c r="U363" i="65"/>
  <c r="S363" i="65"/>
  <c r="AF364" i="63"/>
  <c r="T364" i="63"/>
  <c r="P364" i="65" s="1"/>
  <c r="AN364" i="63"/>
  <c r="AI364" i="63"/>
  <c r="AV364" i="63"/>
  <c r="I364" i="63"/>
  <c r="Q364" i="63"/>
  <c r="R364" i="65" s="1"/>
  <c r="AJ364" i="63"/>
  <c r="Y364" i="63"/>
  <c r="A365" i="63"/>
  <c r="E364" i="63"/>
  <c r="AO364" i="63"/>
  <c r="B364" i="63"/>
  <c r="B364" i="65" s="1"/>
  <c r="S364" i="63"/>
  <c r="X364" i="63"/>
  <c r="W364" i="65" s="1"/>
  <c r="AG364" i="63"/>
  <c r="U364" i="63"/>
  <c r="O364" i="65" s="1"/>
  <c r="J364" i="63"/>
  <c r="AK364" i="63"/>
  <c r="O364" i="63"/>
  <c r="AR364" i="63"/>
  <c r="AY364" i="63"/>
  <c r="AW364" i="63"/>
  <c r="K364" i="63"/>
  <c r="M364" i="63"/>
  <c r="L364" i="63"/>
  <c r="AM364" i="63"/>
  <c r="P364" i="63"/>
  <c r="AC364" i="63"/>
  <c r="F364" i="63"/>
  <c r="Z364" i="63"/>
  <c r="AS364" i="63"/>
  <c r="R364" i="63"/>
  <c r="V364" i="63"/>
  <c r="AA364" i="63"/>
  <c r="N364" i="63"/>
  <c r="AH364" i="63"/>
  <c r="AL364" i="63"/>
  <c r="AB364" i="63"/>
  <c r="AD364" i="63"/>
  <c r="AX364" i="63"/>
  <c r="G364" i="63"/>
  <c r="AP364" i="63"/>
  <c r="D364" i="63"/>
  <c r="AT364" i="63"/>
  <c r="C364" i="63"/>
  <c r="X364" i="65" s="1"/>
  <c r="W364" i="63"/>
  <c r="AQ364" i="63"/>
  <c r="AU364" i="63"/>
  <c r="AE364" i="63"/>
  <c r="H364" i="63"/>
  <c r="H363" i="65"/>
  <c r="N363" i="65"/>
  <c r="Y364" i="65" l="1"/>
  <c r="S364" i="65"/>
  <c r="M364" i="65"/>
  <c r="N364" i="65"/>
  <c r="I366" i="81"/>
  <c r="N366" i="81"/>
  <c r="O366" i="81"/>
  <c r="Q366" i="81"/>
  <c r="J366" i="81"/>
  <c r="R366" i="81"/>
  <c r="K366" i="81"/>
  <c r="S366" i="81"/>
  <c r="B366" i="81"/>
  <c r="A367" i="81"/>
  <c r="C366" i="81"/>
  <c r="D366" i="81"/>
  <c r="H366" i="81"/>
  <c r="L366" i="81"/>
  <c r="M366" i="81"/>
  <c r="E366" i="81"/>
  <c r="G366" i="81"/>
  <c r="P366" i="81"/>
  <c r="T366" i="81"/>
  <c r="F366" i="81"/>
  <c r="U366" i="81"/>
  <c r="H364" i="65"/>
  <c r="U364" i="65"/>
  <c r="O365" i="63"/>
  <c r="AI365" i="63"/>
  <c r="AO365" i="63"/>
  <c r="A366" i="63"/>
  <c r="E365" i="63"/>
  <c r="C365" i="63"/>
  <c r="X365" i="65" s="1"/>
  <c r="AE365" i="63"/>
  <c r="AY365" i="63"/>
  <c r="AP365" i="63"/>
  <c r="AU365" i="63"/>
  <c r="D365" i="63"/>
  <c r="H365" i="63"/>
  <c r="P365" i="63"/>
  <c r="T365" i="63"/>
  <c r="P365" i="65" s="1"/>
  <c r="I365" i="63"/>
  <c r="J365" i="63"/>
  <c r="G365" i="63"/>
  <c r="AM365" i="63"/>
  <c r="AQ365" i="63"/>
  <c r="AX365" i="63"/>
  <c r="K365" i="63"/>
  <c r="AF365" i="63"/>
  <c r="Q365" i="63"/>
  <c r="R365" i="65" s="1"/>
  <c r="AA365" i="63"/>
  <c r="AV365" i="63"/>
  <c r="AJ365" i="63"/>
  <c r="X365" i="63"/>
  <c r="W365" i="65" s="1"/>
  <c r="AS365" i="63"/>
  <c r="L365" i="63"/>
  <c r="AG365" i="63"/>
  <c r="U365" i="63"/>
  <c r="O365" i="65" s="1"/>
  <c r="Y365" i="63"/>
  <c r="AR365" i="63"/>
  <c r="AD365" i="63"/>
  <c r="AB365" i="63"/>
  <c r="AW365" i="63"/>
  <c r="AK365" i="63"/>
  <c r="Z365" i="63"/>
  <c r="B365" i="63"/>
  <c r="B365" i="65" s="1"/>
  <c r="F365" i="63"/>
  <c r="M365" i="63"/>
  <c r="R365" i="63"/>
  <c r="V365" i="63"/>
  <c r="S365" i="63"/>
  <c r="AC365" i="63"/>
  <c r="AH365" i="63"/>
  <c r="AL365" i="63"/>
  <c r="N365" i="63"/>
  <c r="W365" i="63"/>
  <c r="AN365" i="63"/>
  <c r="AT365" i="63"/>
  <c r="D367" i="81" l="1"/>
  <c r="E367" i="81"/>
  <c r="I367" i="81"/>
  <c r="J367" i="81"/>
  <c r="K367" i="81"/>
  <c r="L367" i="81"/>
  <c r="O367" i="81"/>
  <c r="F367" i="81"/>
  <c r="P367" i="81"/>
  <c r="G367" i="81"/>
  <c r="R367" i="81"/>
  <c r="C367" i="81"/>
  <c r="A368" i="81"/>
  <c r="B367" i="81"/>
  <c r="U367" i="81"/>
  <c r="Q367" i="81"/>
  <c r="M367" i="81"/>
  <c r="H367" i="81"/>
  <c r="N367" i="81"/>
  <c r="S367" i="81"/>
  <c r="T367" i="81"/>
  <c r="AS366" i="63"/>
  <c r="R366" i="63"/>
  <c r="G366" i="63"/>
  <c r="AO366" i="63"/>
  <c r="N366" i="63"/>
  <c r="AH366" i="63"/>
  <c r="H366" i="63"/>
  <c r="A367" i="63"/>
  <c r="I366" i="63"/>
  <c r="AD366" i="63"/>
  <c r="AX366" i="63"/>
  <c r="V366" i="63"/>
  <c r="Y366" i="63"/>
  <c r="AT366" i="63"/>
  <c r="C366" i="63"/>
  <c r="X366" i="65" s="1"/>
  <c r="W366" i="63"/>
  <c r="B366" i="63"/>
  <c r="B366" i="65" s="1"/>
  <c r="AK366" i="63"/>
  <c r="Z366" i="63"/>
  <c r="AI366" i="63"/>
  <c r="AB366" i="63"/>
  <c r="U366" i="63"/>
  <c r="O366" i="65" s="1"/>
  <c r="O366" i="63"/>
  <c r="X366" i="63"/>
  <c r="W366" i="65" s="1"/>
  <c r="AU366" i="63"/>
  <c r="AL366" i="63"/>
  <c r="AG366" i="63"/>
  <c r="J366" i="63"/>
  <c r="AE366" i="63"/>
  <c r="S366" i="63"/>
  <c r="M366" i="63"/>
  <c r="AP366" i="63"/>
  <c r="P366" i="63"/>
  <c r="AY366" i="63"/>
  <c r="AM366" i="63"/>
  <c r="K366" i="63"/>
  <c r="AF366" i="63"/>
  <c r="D366" i="63"/>
  <c r="AN366" i="63"/>
  <c r="AA366" i="63"/>
  <c r="AQ366" i="63"/>
  <c r="AJ366" i="63"/>
  <c r="AV366" i="63"/>
  <c r="T366" i="63"/>
  <c r="P366" i="65" s="1"/>
  <c r="Q366" i="63"/>
  <c r="R366" i="65" s="1"/>
  <c r="AC366" i="63"/>
  <c r="F366" i="63"/>
  <c r="L366" i="63"/>
  <c r="E366" i="63"/>
  <c r="AR366" i="63"/>
  <c r="AW366" i="63"/>
  <c r="N365" i="65"/>
  <c r="M365" i="65"/>
  <c r="Y365" i="65"/>
  <c r="H365" i="65"/>
  <c r="S365" i="65"/>
  <c r="U365" i="65"/>
  <c r="H366" i="65" l="1"/>
  <c r="S366" i="65"/>
  <c r="R368" i="81"/>
  <c r="O368" i="81"/>
  <c r="B368" i="81"/>
  <c r="P368" i="81"/>
  <c r="S368" i="81"/>
  <c r="Q368" i="81"/>
  <c r="T368" i="81"/>
  <c r="E368" i="81"/>
  <c r="U368" i="81"/>
  <c r="H368" i="81"/>
  <c r="I368" i="81"/>
  <c r="J368" i="81"/>
  <c r="D368" i="81"/>
  <c r="N368" i="81"/>
  <c r="C368" i="81"/>
  <c r="F368" i="81"/>
  <c r="K368" i="81"/>
  <c r="L368" i="81"/>
  <c r="M368" i="81"/>
  <c r="G368" i="81"/>
  <c r="A369" i="81"/>
  <c r="M366" i="65"/>
  <c r="U366" i="65"/>
  <c r="AQ367" i="63"/>
  <c r="Q367" i="63"/>
  <c r="R367" i="65" s="1"/>
  <c r="AK367" i="63"/>
  <c r="AR367" i="63"/>
  <c r="X367" i="63"/>
  <c r="W367" i="65" s="1"/>
  <c r="L367" i="63"/>
  <c r="AL367" i="63"/>
  <c r="G367" i="63"/>
  <c r="AB367" i="63"/>
  <c r="AG367" i="63"/>
  <c r="F367" i="63"/>
  <c r="W367" i="63"/>
  <c r="AW367" i="63"/>
  <c r="D367" i="63"/>
  <c r="AM367" i="63"/>
  <c r="B367" i="63"/>
  <c r="B367" i="65" s="1"/>
  <c r="AS367" i="63"/>
  <c r="M367" i="63"/>
  <c r="E367" i="63"/>
  <c r="AH367" i="63"/>
  <c r="Z367" i="63"/>
  <c r="U367" i="63"/>
  <c r="O367" i="65" s="1"/>
  <c r="K367" i="63"/>
  <c r="H367" i="63"/>
  <c r="AC367" i="63"/>
  <c r="R367" i="63"/>
  <c r="T367" i="63"/>
  <c r="P367" i="65" s="1"/>
  <c r="P367" i="63"/>
  <c r="AF367" i="63"/>
  <c r="V367" i="63"/>
  <c r="A368" i="63"/>
  <c r="AN367" i="63"/>
  <c r="N367" i="63"/>
  <c r="AX367" i="63"/>
  <c r="Y367" i="63"/>
  <c r="AT367" i="63"/>
  <c r="S367" i="63"/>
  <c r="I367" i="63"/>
  <c r="AD367" i="63"/>
  <c r="C367" i="63"/>
  <c r="X367" i="65" s="1"/>
  <c r="AO367" i="63"/>
  <c r="O367" i="63"/>
  <c r="AI367" i="63"/>
  <c r="AU367" i="63"/>
  <c r="AV367" i="63"/>
  <c r="AJ367" i="63"/>
  <c r="J367" i="63"/>
  <c r="AE367" i="63"/>
  <c r="AY367" i="63"/>
  <c r="AP367" i="63"/>
  <c r="AA367" i="63"/>
  <c r="N366" i="65"/>
  <c r="Y366" i="65"/>
  <c r="Y367" i="65" l="1"/>
  <c r="U367" i="65"/>
  <c r="M367" i="65"/>
  <c r="N367" i="65"/>
  <c r="U369" i="81"/>
  <c r="F369" i="81"/>
  <c r="G369" i="81"/>
  <c r="N369" i="81"/>
  <c r="I369" i="81"/>
  <c r="O369" i="81"/>
  <c r="K369" i="81"/>
  <c r="P369" i="81"/>
  <c r="L369" i="81"/>
  <c r="R369" i="81"/>
  <c r="J369" i="81"/>
  <c r="C369" i="81"/>
  <c r="E369" i="81"/>
  <c r="B369" i="81"/>
  <c r="S369" i="81"/>
  <c r="D369" i="81"/>
  <c r="T369" i="81"/>
  <c r="H369" i="81"/>
  <c r="M369" i="81"/>
  <c r="A370" i="81"/>
  <c r="Q369" i="81"/>
  <c r="E368" i="63"/>
  <c r="J368" i="63"/>
  <c r="AE368" i="63"/>
  <c r="AH368" i="63"/>
  <c r="G368" i="63"/>
  <c r="S368" i="63"/>
  <c r="U368" i="63"/>
  <c r="O368" i="65" s="1"/>
  <c r="Z368" i="63"/>
  <c r="AU368" i="63"/>
  <c r="AI368" i="63"/>
  <c r="AK368" i="63"/>
  <c r="AP368" i="63"/>
  <c r="P368" i="63"/>
  <c r="AJ368" i="63"/>
  <c r="F368" i="63"/>
  <c r="K368" i="63"/>
  <c r="AF368" i="63"/>
  <c r="AX368" i="63"/>
  <c r="V368" i="63"/>
  <c r="AA368" i="63"/>
  <c r="AY368" i="63"/>
  <c r="Y368" i="63"/>
  <c r="R368" i="63"/>
  <c r="AV368" i="63"/>
  <c r="L368" i="63"/>
  <c r="A369" i="63"/>
  <c r="AL368" i="63"/>
  <c r="AQ368" i="63"/>
  <c r="Q368" i="63"/>
  <c r="R368" i="65" s="1"/>
  <c r="N368" i="63"/>
  <c r="O368" i="63"/>
  <c r="AG368" i="63"/>
  <c r="AT368" i="63"/>
  <c r="T368" i="63"/>
  <c r="P368" i="65" s="1"/>
  <c r="W368" i="63"/>
  <c r="AB368" i="63"/>
  <c r="AW368" i="63"/>
  <c r="AN368" i="63"/>
  <c r="AD368" i="63"/>
  <c r="AM368" i="63"/>
  <c r="AR368" i="63"/>
  <c r="B368" i="63"/>
  <c r="B368" i="65" s="1"/>
  <c r="H368" i="63"/>
  <c r="M368" i="63"/>
  <c r="C368" i="63"/>
  <c r="X368" i="65" s="1"/>
  <c r="X368" i="63"/>
  <c r="W368" i="65" s="1"/>
  <c r="AC368" i="63"/>
  <c r="AS368" i="63"/>
  <c r="D368" i="63"/>
  <c r="I368" i="63"/>
  <c r="AO368" i="63"/>
  <c r="H367" i="65"/>
  <c r="S367" i="65"/>
  <c r="N368" i="65" l="1"/>
  <c r="U368" i="65"/>
  <c r="Y368" i="65"/>
  <c r="S368" i="65"/>
  <c r="S369" i="63"/>
  <c r="AM369" i="63"/>
  <c r="AR369" i="63"/>
  <c r="AC369" i="63"/>
  <c r="AS369" i="63"/>
  <c r="AV369" i="63"/>
  <c r="AA369" i="63"/>
  <c r="L369" i="63"/>
  <c r="AI369" i="63"/>
  <c r="H369" i="63"/>
  <c r="M369" i="63"/>
  <c r="AF369" i="63"/>
  <c r="AY369" i="63"/>
  <c r="X369" i="63"/>
  <c r="W369" i="65" s="1"/>
  <c r="AG369" i="63"/>
  <c r="D369" i="63"/>
  <c r="AN369" i="63"/>
  <c r="AH369" i="63"/>
  <c r="T369" i="63"/>
  <c r="P369" i="65" s="1"/>
  <c r="N369" i="63"/>
  <c r="AL369" i="63"/>
  <c r="Q369" i="63"/>
  <c r="R369" i="65" s="1"/>
  <c r="W369" i="63"/>
  <c r="I369" i="63"/>
  <c r="AJ369" i="63"/>
  <c r="AO369" i="63"/>
  <c r="AT369" i="63"/>
  <c r="AX369" i="63"/>
  <c r="V369" i="63"/>
  <c r="Y369" i="63"/>
  <c r="AD369" i="63"/>
  <c r="AW369" i="63"/>
  <c r="E369" i="63"/>
  <c r="J369" i="63"/>
  <c r="O369" i="63"/>
  <c r="AU369" i="63"/>
  <c r="AK369" i="63"/>
  <c r="G369" i="63"/>
  <c r="U369" i="63"/>
  <c r="O369" i="65" s="1"/>
  <c r="Z369" i="63"/>
  <c r="AE369" i="63"/>
  <c r="AP369" i="63"/>
  <c r="B369" i="63"/>
  <c r="B369" i="65" s="1"/>
  <c r="K369" i="63"/>
  <c r="F369" i="63"/>
  <c r="P369" i="63"/>
  <c r="AQ369" i="63"/>
  <c r="C369" i="63"/>
  <c r="X369" i="65" s="1"/>
  <c r="AB369" i="63"/>
  <c r="R369" i="63"/>
  <c r="H368" i="65"/>
  <c r="Q370" i="81"/>
  <c r="B370" i="81"/>
  <c r="R370" i="81"/>
  <c r="S370" i="81"/>
  <c r="D370" i="81"/>
  <c r="T370" i="81"/>
  <c r="J370" i="81"/>
  <c r="F370" i="81"/>
  <c r="K370" i="81"/>
  <c r="G370" i="81"/>
  <c r="L370" i="81"/>
  <c r="H370" i="81"/>
  <c r="P370" i="81"/>
  <c r="M370" i="81"/>
  <c r="N370" i="81"/>
  <c r="O370" i="81"/>
  <c r="E370" i="81"/>
  <c r="U370" i="81"/>
  <c r="I370" i="81"/>
  <c r="A371" i="81"/>
  <c r="C370" i="81"/>
  <c r="M368" i="65"/>
  <c r="Y369" i="65" l="1"/>
  <c r="S369" i="65"/>
  <c r="H369" i="65"/>
  <c r="C63" i="5"/>
  <c r="D63" i="5"/>
  <c r="E63" i="5"/>
  <c r="F63" i="5"/>
  <c r="G63" i="5"/>
  <c r="H63" i="5"/>
  <c r="I63" i="5"/>
  <c r="J63" i="5"/>
  <c r="K63" i="5"/>
  <c r="L63" i="5"/>
  <c r="M63" i="5"/>
  <c r="N63" i="5"/>
  <c r="C19" i="5"/>
  <c r="D19" i="5"/>
  <c r="E19" i="5"/>
  <c r="F19" i="5"/>
  <c r="G19" i="5"/>
  <c r="H19" i="5"/>
  <c r="I19" i="5"/>
  <c r="J19" i="5"/>
  <c r="K19" i="5"/>
  <c r="L19" i="5"/>
  <c r="M19" i="5"/>
  <c r="N19" i="5"/>
  <c r="M369" i="65"/>
  <c r="C69" i="5"/>
  <c r="D69" i="5"/>
  <c r="D72" i="5" s="1"/>
  <c r="E69" i="5"/>
  <c r="E72" i="5" s="1"/>
  <c r="F69" i="5"/>
  <c r="F72" i="5" s="1"/>
  <c r="G69" i="5"/>
  <c r="G72" i="5" s="1"/>
  <c r="H69" i="5"/>
  <c r="H72" i="5" s="1"/>
  <c r="I69" i="5"/>
  <c r="I72" i="5" s="1"/>
  <c r="J69" i="5"/>
  <c r="J72" i="5" s="1"/>
  <c r="K69" i="5"/>
  <c r="K72" i="5" s="1"/>
  <c r="L69" i="5"/>
  <c r="L72" i="5" s="1"/>
  <c r="M69" i="5"/>
  <c r="M72" i="5" s="1"/>
  <c r="N69" i="5"/>
  <c r="N72" i="5" s="1"/>
  <c r="U369" i="65"/>
  <c r="C47" i="5"/>
  <c r="D47" i="5"/>
  <c r="E47" i="5"/>
  <c r="F47" i="5"/>
  <c r="G47" i="5"/>
  <c r="H47" i="5"/>
  <c r="I47" i="5"/>
  <c r="J47" i="5"/>
  <c r="K47" i="5"/>
  <c r="L47" i="5"/>
  <c r="M47" i="5"/>
  <c r="N47" i="5"/>
  <c r="C54" i="5"/>
  <c r="D54" i="5"/>
  <c r="E54" i="5"/>
  <c r="F54" i="5"/>
  <c r="G54" i="5"/>
  <c r="H54" i="5"/>
  <c r="I54" i="5"/>
  <c r="J54" i="5"/>
  <c r="K54" i="5"/>
  <c r="L54" i="5"/>
  <c r="M54" i="5"/>
  <c r="N54" i="5"/>
  <c r="H371" i="81"/>
  <c r="E371" i="81"/>
  <c r="I371" i="81"/>
  <c r="U371" i="81"/>
  <c r="J371" i="81"/>
  <c r="K371" i="81"/>
  <c r="L371" i="81"/>
  <c r="M371" i="81"/>
  <c r="P371" i="81"/>
  <c r="Q371" i="81"/>
  <c r="R371" i="81"/>
  <c r="G371" i="81"/>
  <c r="T371" i="81"/>
  <c r="B371" i="81"/>
  <c r="N371" i="81"/>
  <c r="O371" i="81"/>
  <c r="C371" i="81"/>
  <c r="F371" i="81"/>
  <c r="S371" i="81"/>
  <c r="D371" i="81"/>
  <c r="C48" i="5"/>
  <c r="D48" i="5"/>
  <c r="E48" i="5"/>
  <c r="F48" i="5"/>
  <c r="G48" i="5"/>
  <c r="H48" i="5"/>
  <c r="I48" i="5"/>
  <c r="J48" i="5"/>
  <c r="K48" i="5"/>
  <c r="L48" i="5"/>
  <c r="M48" i="5"/>
  <c r="N48" i="5"/>
  <c r="C55" i="5"/>
  <c r="D55" i="5"/>
  <c r="E55" i="5"/>
  <c r="F55" i="5"/>
  <c r="G55" i="5"/>
  <c r="H55" i="5"/>
  <c r="I55" i="5"/>
  <c r="J55" i="5"/>
  <c r="K55" i="5"/>
  <c r="L55" i="5"/>
  <c r="M55" i="5"/>
  <c r="N55" i="5"/>
  <c r="N369" i="65"/>
  <c r="C64" i="5"/>
  <c r="D64" i="5"/>
  <c r="E64" i="5"/>
  <c r="F64" i="5"/>
  <c r="G64" i="5"/>
  <c r="H64" i="5"/>
  <c r="I64" i="5"/>
  <c r="J64" i="5"/>
  <c r="K64" i="5"/>
  <c r="L64" i="5"/>
  <c r="M64" i="5"/>
  <c r="N64" i="5"/>
  <c r="P64" i="5" l="1"/>
  <c r="P55" i="5"/>
  <c r="E23" i="5"/>
  <c r="E28" i="5"/>
  <c r="E27" i="5"/>
  <c r="E26" i="5"/>
  <c r="E77" i="5"/>
  <c r="E79" i="5" s="1"/>
  <c r="N66" i="5"/>
  <c r="C77" i="5"/>
  <c r="C23" i="5"/>
  <c r="P19" i="5"/>
  <c r="C28" i="5"/>
  <c r="C26" i="5"/>
  <c r="C27" i="5"/>
  <c r="C46" i="5"/>
  <c r="D46" i="5"/>
  <c r="E46" i="5"/>
  <c r="F46" i="5"/>
  <c r="G46" i="5"/>
  <c r="H46" i="5"/>
  <c r="I46" i="5"/>
  <c r="J46" i="5"/>
  <c r="K46" i="5"/>
  <c r="L46" i="5"/>
  <c r="M46" i="5"/>
  <c r="N46" i="5"/>
  <c r="M66" i="5"/>
  <c r="C92" i="5"/>
  <c r="C72" i="5"/>
  <c r="P69" i="5"/>
  <c r="P72" i="5" s="1"/>
  <c r="L66" i="5"/>
  <c r="C45" i="5"/>
  <c r="D45" i="5"/>
  <c r="E45" i="5"/>
  <c r="F45" i="5"/>
  <c r="G45" i="5"/>
  <c r="H45" i="5"/>
  <c r="H51" i="5" s="1"/>
  <c r="I45" i="5"/>
  <c r="J45" i="5"/>
  <c r="K45" i="5"/>
  <c r="L45" i="5"/>
  <c r="M45" i="5"/>
  <c r="N45" i="5"/>
  <c r="K66" i="5"/>
  <c r="N23" i="5"/>
  <c r="N28" i="5"/>
  <c r="N77" i="5"/>
  <c r="N79" i="5" s="1"/>
  <c r="N26" i="5"/>
  <c r="N27" i="5"/>
  <c r="J66" i="5"/>
  <c r="P47" i="5"/>
  <c r="M23" i="5"/>
  <c r="M27" i="5"/>
  <c r="M77" i="5"/>
  <c r="M79" i="5" s="1"/>
  <c r="M26" i="5"/>
  <c r="M28" i="5"/>
  <c r="I66" i="5"/>
  <c r="C57" i="5"/>
  <c r="D57" i="5"/>
  <c r="D60" i="5" s="1"/>
  <c r="E57" i="5"/>
  <c r="E60" i="5" s="1"/>
  <c r="F57" i="5"/>
  <c r="F60" i="5" s="1"/>
  <c r="G57" i="5"/>
  <c r="G60" i="5" s="1"/>
  <c r="H57" i="5"/>
  <c r="H60" i="5" s="1"/>
  <c r="I57" i="5"/>
  <c r="I60" i="5" s="1"/>
  <c r="J57" i="5"/>
  <c r="J60" i="5" s="1"/>
  <c r="K57" i="5"/>
  <c r="K60" i="5" s="1"/>
  <c r="L57" i="5"/>
  <c r="L60" i="5" s="1"/>
  <c r="M57" i="5"/>
  <c r="M60" i="5" s="1"/>
  <c r="N57" i="5"/>
  <c r="N60" i="5" s="1"/>
  <c r="L23" i="5"/>
  <c r="L27" i="5"/>
  <c r="L28" i="5"/>
  <c r="L77" i="5"/>
  <c r="L79" i="5" s="1"/>
  <c r="L26" i="5"/>
  <c r="H66" i="5"/>
  <c r="K23" i="5"/>
  <c r="K28" i="5"/>
  <c r="K26" i="5"/>
  <c r="K27" i="5"/>
  <c r="K77" i="5"/>
  <c r="K79" i="5" s="1"/>
  <c r="G66" i="5"/>
  <c r="J23" i="5"/>
  <c r="J28" i="5"/>
  <c r="J27" i="5"/>
  <c r="J26" i="5"/>
  <c r="J77" i="5"/>
  <c r="J79" i="5" s="1"/>
  <c r="F66" i="5"/>
  <c r="P48" i="5"/>
  <c r="C60" i="5"/>
  <c r="P54" i="5"/>
  <c r="I23" i="5"/>
  <c r="I26" i="5"/>
  <c r="I27" i="5"/>
  <c r="I28" i="5"/>
  <c r="I77" i="5"/>
  <c r="I79" i="5" s="1"/>
  <c r="E66" i="5"/>
  <c r="H23" i="5"/>
  <c r="H27" i="5"/>
  <c r="H77" i="5"/>
  <c r="H79" i="5" s="1"/>
  <c r="H26" i="5"/>
  <c r="H28" i="5"/>
  <c r="D66" i="5"/>
  <c r="D77" i="5"/>
  <c r="D79" i="5" s="1"/>
  <c r="D27" i="5"/>
  <c r="D23" i="5"/>
  <c r="D28" i="5"/>
  <c r="D26" i="5"/>
  <c r="G23" i="5"/>
  <c r="G77" i="5"/>
  <c r="G79" i="5" s="1"/>
  <c r="G27" i="5"/>
  <c r="G28" i="5"/>
  <c r="G26" i="5"/>
  <c r="C85" i="5"/>
  <c r="D85" i="5" s="1"/>
  <c r="E85" i="5" s="1"/>
  <c r="F85" i="5" s="1"/>
  <c r="G85" i="5" s="1"/>
  <c r="H85" i="5" s="1"/>
  <c r="I85" i="5" s="1"/>
  <c r="J85" i="5" s="1"/>
  <c r="K85" i="5" s="1"/>
  <c r="L85" i="5" s="1"/>
  <c r="M85" i="5" s="1"/>
  <c r="N85" i="5" s="1"/>
  <c r="D9" i="50" s="1"/>
  <c r="C66" i="5"/>
  <c r="P63" i="5"/>
  <c r="P66" i="5" s="1"/>
  <c r="F23" i="5"/>
  <c r="F77" i="5"/>
  <c r="F79" i="5" s="1"/>
  <c r="F26" i="5"/>
  <c r="F27" i="5"/>
  <c r="F28" i="5"/>
  <c r="J51" i="5" l="1"/>
  <c r="L51" i="5"/>
  <c r="F51" i="5"/>
  <c r="F74" i="5" s="1"/>
  <c r="F10" i="5" s="1"/>
  <c r="I51" i="5"/>
  <c r="I74" i="5" s="1"/>
  <c r="I10" i="5" s="1"/>
  <c r="G51" i="5"/>
  <c r="E51" i="5"/>
  <c r="J30" i="5"/>
  <c r="J32" i="5" s="1"/>
  <c r="J42" i="5" s="1"/>
  <c r="J9" i="5" s="1"/>
  <c r="N30" i="5"/>
  <c r="N32" i="5" s="1"/>
  <c r="N42" i="5" s="1"/>
  <c r="N9" i="5" s="1"/>
  <c r="K51" i="5"/>
  <c r="K74" i="5" s="1"/>
  <c r="K10" i="5" s="1"/>
  <c r="J74" i="5"/>
  <c r="J10" i="5" s="1"/>
  <c r="I30" i="5"/>
  <c r="I32" i="5" s="1"/>
  <c r="I42" i="5" s="1"/>
  <c r="I9" i="5" s="1"/>
  <c r="L30" i="5"/>
  <c r="L32" i="5" s="1"/>
  <c r="L42" i="5" s="1"/>
  <c r="L9" i="5" s="1"/>
  <c r="E30" i="5"/>
  <c r="E32" i="5" s="1"/>
  <c r="E42" i="5" s="1"/>
  <c r="E9" i="5" s="1"/>
  <c r="L74" i="5"/>
  <c r="L10" i="5" s="1"/>
  <c r="H30" i="5"/>
  <c r="H32" i="5" s="1"/>
  <c r="H42" i="5" s="1"/>
  <c r="H9" i="5" s="1"/>
  <c r="G30" i="5"/>
  <c r="G32" i="5" s="1"/>
  <c r="G42" i="5" s="1"/>
  <c r="G9" i="5" s="1"/>
  <c r="D51" i="5"/>
  <c r="D74" i="5" s="1"/>
  <c r="D10" i="5" s="1"/>
  <c r="H74" i="5"/>
  <c r="H10" i="5" s="1"/>
  <c r="E74" i="5"/>
  <c r="E10" i="5" s="1"/>
  <c r="G74" i="5"/>
  <c r="G10" i="5" s="1"/>
  <c r="D30" i="5"/>
  <c r="D32" i="5" s="1"/>
  <c r="D42" i="5" s="1"/>
  <c r="D9" i="5" s="1"/>
  <c r="P28" i="5"/>
  <c r="F30" i="5"/>
  <c r="F32" i="5" s="1"/>
  <c r="F42" i="5" s="1"/>
  <c r="F9" i="5" s="1"/>
  <c r="C79" i="5"/>
  <c r="P77" i="5"/>
  <c r="P79" i="5" s="1"/>
  <c r="K30" i="5"/>
  <c r="K32" i="5" s="1"/>
  <c r="K42" i="5" s="1"/>
  <c r="K9" i="5" s="1"/>
  <c r="C51" i="5"/>
  <c r="C74" i="5" s="1"/>
  <c r="C10" i="5" s="1"/>
  <c r="P45" i="5"/>
  <c r="P57" i="5"/>
  <c r="N51" i="5"/>
  <c r="N74" i="5" s="1"/>
  <c r="N10" i="5" s="1"/>
  <c r="D92" i="5"/>
  <c r="C95" i="5"/>
  <c r="P46" i="5"/>
  <c r="P23" i="5"/>
  <c r="M51" i="5"/>
  <c r="M74" i="5" s="1"/>
  <c r="M10" i="5" s="1"/>
  <c r="P27" i="5"/>
  <c r="M30" i="5"/>
  <c r="M32" i="5" s="1"/>
  <c r="M42" i="5" s="1"/>
  <c r="M9" i="5" s="1"/>
  <c r="P26" i="5"/>
  <c r="C30" i="5"/>
  <c r="C32" i="5" s="1"/>
  <c r="C86" i="5"/>
  <c r="D86" i="5" s="1"/>
  <c r="E86" i="5" s="1"/>
  <c r="F86" i="5" s="1"/>
  <c r="G86" i="5" s="1"/>
  <c r="H86" i="5" s="1"/>
  <c r="I86" i="5" s="1"/>
  <c r="J86" i="5" s="1"/>
  <c r="K86" i="5" s="1"/>
  <c r="L86" i="5" s="1"/>
  <c r="M86" i="5" s="1"/>
  <c r="N86" i="5" s="1"/>
  <c r="D10" i="50" s="1"/>
  <c r="I12" i="5" l="1"/>
  <c r="I11" i="5"/>
  <c r="D11" i="5"/>
  <c r="D12" i="5"/>
  <c r="M12" i="5"/>
  <c r="M11" i="5"/>
  <c r="C31" i="50"/>
  <c r="P10" i="5"/>
  <c r="P32" i="5"/>
  <c r="P42" i="5" s="1"/>
  <c r="C42" i="5"/>
  <c r="C9" i="5" s="1"/>
  <c r="F12" i="5"/>
  <c r="F11" i="5"/>
  <c r="J11" i="5"/>
  <c r="J12" i="5"/>
  <c r="K12" i="5"/>
  <c r="K11" i="5"/>
  <c r="P30" i="5"/>
  <c r="E12" i="5"/>
  <c r="E11" i="5"/>
  <c r="N12" i="5"/>
  <c r="N11" i="5"/>
  <c r="L11" i="5"/>
  <c r="L12" i="5"/>
  <c r="E92" i="5"/>
  <c r="D95" i="5"/>
  <c r="H12" i="5"/>
  <c r="H11" i="5"/>
  <c r="P60" i="5"/>
  <c r="P74" i="5" s="1"/>
  <c r="G12" i="5"/>
  <c r="G11" i="5"/>
  <c r="C12" i="5" l="1"/>
  <c r="C11" i="5"/>
  <c r="P9" i="5"/>
  <c r="P12" i="5" s="1"/>
  <c r="F92" i="5"/>
  <c r="E95" i="5"/>
  <c r="C37" i="50"/>
  <c r="C32" i="50"/>
  <c r="G92" i="5" l="1"/>
  <c r="F95" i="5"/>
  <c r="P11" i="5"/>
  <c r="C15" i="5"/>
  <c r="C38" i="50"/>
  <c r="C39" i="50" s="1"/>
  <c r="C33" i="50"/>
  <c r="C40" i="50" s="1"/>
  <c r="D15" i="5" l="1"/>
  <c r="C82" i="5"/>
  <c r="C90" i="5" s="1"/>
  <c r="C97" i="5" s="1"/>
  <c r="C16" i="5" s="1"/>
  <c r="H92" i="5"/>
  <c r="G95" i="5"/>
  <c r="I92" i="5" l="1"/>
  <c r="H95" i="5"/>
  <c r="E15" i="5"/>
  <c r="D82" i="5"/>
  <c r="D90" i="5" s="1"/>
  <c r="D97" i="5" s="1"/>
  <c r="D16" i="5" s="1"/>
  <c r="F15" i="5" l="1"/>
  <c r="E82" i="5"/>
  <c r="E90" i="5" s="1"/>
  <c r="E97" i="5" s="1"/>
  <c r="E16" i="5" s="1"/>
  <c r="I95" i="5"/>
  <c r="J92" i="5"/>
  <c r="K92" i="5" l="1"/>
  <c r="J95" i="5"/>
  <c r="G15" i="5"/>
  <c r="F82" i="5"/>
  <c r="F90" i="5" s="1"/>
  <c r="F97" i="5" s="1"/>
  <c r="F16" i="5" s="1"/>
  <c r="H15" i="5" l="1"/>
  <c r="G82" i="5"/>
  <c r="G90" i="5" s="1"/>
  <c r="G97" i="5" s="1"/>
  <c r="G16" i="5" s="1"/>
  <c r="L92" i="5"/>
  <c r="K95" i="5"/>
  <c r="M92" i="5" l="1"/>
  <c r="L95" i="5"/>
  <c r="I15" i="5"/>
  <c r="H82" i="5"/>
  <c r="H90" i="5" s="1"/>
  <c r="H97" i="5" s="1"/>
  <c r="H16" i="5" s="1"/>
  <c r="I82" i="5" l="1"/>
  <c r="I90" i="5" s="1"/>
  <c r="I97" i="5" s="1"/>
  <c r="I16" i="5" s="1"/>
  <c r="J15" i="5"/>
  <c r="N92" i="5"/>
  <c r="M95" i="5"/>
  <c r="D16" i="50" l="1"/>
  <c r="N95" i="5"/>
  <c r="D19" i="50" s="1"/>
  <c r="K15" i="5"/>
  <c r="J82" i="5"/>
  <c r="J90" i="5" s="1"/>
  <c r="J97" i="5" s="1"/>
  <c r="J16" i="5" s="1"/>
  <c r="K82" i="5" l="1"/>
  <c r="K90" i="5" s="1"/>
  <c r="K97" i="5" s="1"/>
  <c r="K16" i="5" s="1"/>
  <c r="L15" i="5"/>
  <c r="L82" i="5" l="1"/>
  <c r="L90" i="5" s="1"/>
  <c r="L97" i="5" s="1"/>
  <c r="L16" i="5" s="1"/>
  <c r="M15" i="5"/>
  <c r="M82" i="5" l="1"/>
  <c r="M90" i="5" s="1"/>
  <c r="M97" i="5" s="1"/>
  <c r="M16" i="5" s="1"/>
  <c r="N15" i="5"/>
  <c r="P15" i="5" l="1"/>
  <c r="H4" i="46" s="1"/>
  <c r="N82" i="5"/>
  <c r="N90" i="5" l="1"/>
  <c r="D6" i="50"/>
  <c r="N97" i="5" l="1"/>
  <c r="I4" i="46"/>
  <c r="D14" i="50"/>
  <c r="D21" i="50" l="1"/>
  <c r="N16" i="5"/>
  <c r="P16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<sst xmlns="http://schemas.openxmlformats.org/spreadsheetml/2006/main" count="972" uniqueCount="350">
  <si>
    <t>Rent</t>
  </si>
  <si>
    <t>Groceries</t>
  </si>
  <si>
    <t>Food &amp; Drinks</t>
  </si>
  <si>
    <t>Dues &amp; Memberships</t>
  </si>
  <si>
    <t>Account</t>
  </si>
  <si>
    <t>Balance</t>
  </si>
  <si>
    <t>Statement</t>
  </si>
  <si>
    <t>Loans</t>
  </si>
  <si>
    <t>Cash</t>
  </si>
  <si>
    <t>401k</t>
  </si>
  <si>
    <t>Amount</t>
  </si>
  <si>
    <t>Salary</t>
  </si>
  <si>
    <t>Bonus</t>
  </si>
  <si>
    <t>Friend Fees</t>
  </si>
  <si>
    <t>Selling &amp; Refunds</t>
  </si>
  <si>
    <t>Brokerage Cashout</t>
  </si>
  <si>
    <t>Wishlist</t>
  </si>
  <si>
    <t>INVESTMENTS</t>
  </si>
  <si>
    <t>DEBT PAYMENTS</t>
  </si>
  <si>
    <t>Avg. Value (¢)</t>
  </si>
  <si>
    <t>United</t>
  </si>
  <si>
    <t>Ultimate Rewards</t>
  </si>
  <si>
    <t>Hilton</t>
  </si>
  <si>
    <t>Investments</t>
  </si>
  <si>
    <t>Venmo</t>
  </si>
  <si>
    <t>Credit Cards</t>
  </si>
  <si>
    <t>401k Match</t>
  </si>
  <si>
    <t>Medicare</t>
  </si>
  <si>
    <t>Social Security</t>
  </si>
  <si>
    <t>Gross Earnings</t>
  </si>
  <si>
    <t>Transportation</t>
  </si>
  <si>
    <t>Line Item</t>
  </si>
  <si>
    <t>Effective Date</t>
  </si>
  <si>
    <t>Taxes</t>
  </si>
  <si>
    <t>EARNINGS</t>
  </si>
  <si>
    <t>Total INFLOWS</t>
  </si>
  <si>
    <t>Net from Gross Earnings</t>
  </si>
  <si>
    <t>Other Earnings</t>
  </si>
  <si>
    <t>Other Inflows</t>
  </si>
  <si>
    <t>Next Twelve Months (NTM)</t>
  </si>
  <si>
    <t>Retirement</t>
  </si>
  <si>
    <t>Brokerage</t>
  </si>
  <si>
    <t>Housing</t>
  </si>
  <si>
    <t>FLEXIBLE OUTFLOWS</t>
  </si>
  <si>
    <t>Health</t>
  </si>
  <si>
    <t>Travel &amp; Events</t>
  </si>
  <si>
    <t>Total OUTFLOWS</t>
  </si>
  <si>
    <t>Total FIXED OUTFLOWS</t>
  </si>
  <si>
    <t>Due Day</t>
  </si>
  <si>
    <t>SUMMARY</t>
  </si>
  <si>
    <t>Inflows</t>
  </si>
  <si>
    <t>Outflows</t>
  </si>
  <si>
    <t>NET WORTH</t>
  </si>
  <si>
    <t>x</t>
  </si>
  <si>
    <t>ENDING BALANCES</t>
  </si>
  <si>
    <t>Item</t>
  </si>
  <si>
    <t>Amt</t>
  </si>
  <si>
    <t>Move to/(from) Master</t>
  </si>
  <si>
    <t>Master balance</t>
  </si>
  <si>
    <t>Percentage</t>
  </si>
  <si>
    <t>State</t>
  </si>
  <si>
    <t>Federal</t>
  </si>
  <si>
    <t>Electricity</t>
  </si>
  <si>
    <t>Gas / Oil</t>
  </si>
  <si>
    <t>Water / Sewer</t>
  </si>
  <si>
    <t>Trash</t>
  </si>
  <si>
    <t>Internet</t>
  </si>
  <si>
    <t>Auto Fuel</t>
  </si>
  <si>
    <t>Parking / Tolls</t>
  </si>
  <si>
    <t>Dry Cleaning</t>
  </si>
  <si>
    <t>Laundry</t>
  </si>
  <si>
    <t>Groceries / Food</t>
  </si>
  <si>
    <t>Home Supplies</t>
  </si>
  <si>
    <t>Outside Childcare (daycare, etc.)</t>
  </si>
  <si>
    <t>Healthcare / Insurance</t>
  </si>
  <si>
    <t>Dental Care / Insurance</t>
  </si>
  <si>
    <t>Vision Care / Insurance</t>
  </si>
  <si>
    <t>Life Insurance</t>
  </si>
  <si>
    <t>Medicine / Prescriptions</t>
  </si>
  <si>
    <t>Veterinarian</t>
  </si>
  <si>
    <t>Auto Insurance</t>
  </si>
  <si>
    <t>Auto Registration / License</t>
  </si>
  <si>
    <t>Home / Rental Insurance</t>
  </si>
  <si>
    <t>Home Owners' Assoc. Fees</t>
  </si>
  <si>
    <t>Property Taxes</t>
  </si>
  <si>
    <t>School Taxes</t>
  </si>
  <si>
    <t>REQUIRED OUTFLOWS</t>
  </si>
  <si>
    <t>Required</t>
  </si>
  <si>
    <t>Outflow</t>
  </si>
  <si>
    <t>Dining Out</t>
  </si>
  <si>
    <t>Concerts / Plays</t>
  </si>
  <si>
    <t>Sports</t>
  </si>
  <si>
    <t>Gym Membership</t>
  </si>
  <si>
    <t>Home Improvement</t>
  </si>
  <si>
    <t>Home Security</t>
  </si>
  <si>
    <t>Lawn / Garden</t>
  </si>
  <si>
    <t>Pet Boarding</t>
  </si>
  <si>
    <t>Beer / Alcohol</t>
  </si>
  <si>
    <t>Travel / Vacation</t>
  </si>
  <si>
    <t>Flexible</t>
  </si>
  <si>
    <t>Pension</t>
  </si>
  <si>
    <t>Severance</t>
  </si>
  <si>
    <t>Other</t>
  </si>
  <si>
    <t>Inflow</t>
  </si>
  <si>
    <t>Earnings</t>
  </si>
  <si>
    <t>Pretax 401k Contribution</t>
  </si>
  <si>
    <t>NON CASH</t>
  </si>
  <si>
    <t>Retirement Deductions</t>
  </si>
  <si>
    <t>Brokerage Deductions</t>
  </si>
  <si>
    <t>Brokerage Contributions</t>
  </si>
  <si>
    <t>Retirement Contributions</t>
  </si>
  <si>
    <t>Employer Retirement Contributions</t>
  </si>
  <si>
    <t>Note</t>
  </si>
  <si>
    <t>Salary bump</t>
  </si>
  <si>
    <t>Rent bump</t>
  </si>
  <si>
    <t>Balances</t>
  </si>
  <si>
    <t>Recurring</t>
  </si>
  <si>
    <t>Planned</t>
  </si>
  <si>
    <t>Other Deductions</t>
  </si>
  <si>
    <t>FORMULA</t>
  </si>
  <si>
    <t>=</t>
  </si>
  <si>
    <t>Cash flows</t>
  </si>
  <si>
    <t>Net CASH FLOW</t>
  </si>
  <si>
    <t>ASSETS</t>
  </si>
  <si>
    <t>LIABILITIES</t>
  </si>
  <si>
    <t>Physical cash</t>
  </si>
  <si>
    <t>Master cash account</t>
  </si>
  <si>
    <t>Other savings balance</t>
  </si>
  <si>
    <t>System</t>
  </si>
  <si>
    <t>Upside Value</t>
  </si>
  <si>
    <t>Cash Value</t>
  </si>
  <si>
    <t>STATIC INPUT</t>
  </si>
  <si>
    <t>FREQUENT INPUT</t>
  </si>
  <si>
    <t>Master</t>
  </si>
  <si>
    <t>All other banking/cash accounts that you don't have spend out of (typically higher interest rates)</t>
  </si>
  <si>
    <t>Savings</t>
  </si>
  <si>
    <t>NT</t>
  </si>
  <si>
    <t>Move to/(from) same-bank savings</t>
  </si>
  <si>
    <t>Number of month's outflows per account</t>
  </si>
  <si>
    <t>Master bank</t>
  </si>
  <si>
    <t>Move to/(from) best yield savings</t>
  </si>
  <si>
    <t>Institution</t>
  </si>
  <si>
    <t>Roth IRA</t>
  </si>
  <si>
    <t>N/A</t>
  </si>
  <si>
    <t>Same-bank balance (excludes Master)</t>
  </si>
  <si>
    <t>Flow of funds actions</t>
  </si>
  <si>
    <t>+additional in Master bank</t>
  </si>
  <si>
    <t>+additional in Savings</t>
  </si>
  <si>
    <t>Total outflow preparedness</t>
  </si>
  <si>
    <t>Master bank accounts</t>
  </si>
  <si>
    <t>All savings</t>
  </si>
  <si>
    <t>Current total cash account balance</t>
  </si>
  <si>
    <t>PNC</t>
  </si>
  <si>
    <t>Apple</t>
  </si>
  <si>
    <t>Starbucks</t>
  </si>
  <si>
    <t>Schwab</t>
  </si>
  <si>
    <t>Employer</t>
  </si>
  <si>
    <t>HSA</t>
  </si>
  <si>
    <t>ESPP</t>
  </si>
  <si>
    <t>Chase Sapphire Reserve</t>
  </si>
  <si>
    <t>Capital One Quicksilver</t>
  </si>
  <si>
    <t>Amazon Prime</t>
  </si>
  <si>
    <t>Renters insurance</t>
  </si>
  <si>
    <t>Netflix</t>
  </si>
  <si>
    <t>Spotify</t>
  </si>
  <si>
    <t>iCloud</t>
  </si>
  <si>
    <t>State Tax</t>
  </si>
  <si>
    <t>Date</t>
  </si>
  <si>
    <t>Account minimums</t>
  </si>
  <si>
    <t>Same-bank savings balance</t>
  </si>
  <si>
    <t>CURRENT</t>
  </si>
  <si>
    <t>Total Securities</t>
  </si>
  <si>
    <t>Cash + Securities</t>
  </si>
  <si>
    <t>Net Worth</t>
  </si>
  <si>
    <t>NTM End Cash</t>
  </si>
  <si>
    <t>NTM End Cash + Securities</t>
  </si>
  <si>
    <t>Current</t>
  </si>
  <si>
    <t>NTM</t>
  </si>
  <si>
    <t>TOTAL</t>
  </si>
  <si>
    <t>Account rebalancing</t>
  </si>
  <si>
    <t>Manual inputs each time you open up the budget (mainly balances)</t>
  </si>
  <si>
    <t>Manual inputs that are input once and/or re-input infrequently (like the list of accounts you have)</t>
  </si>
  <si>
    <t>SUMMARY tabs</t>
  </si>
  <si>
    <t>Where you will add inputs</t>
  </si>
  <si>
    <t>WORKING tabs</t>
  </si>
  <si>
    <t>AD HOC tabs</t>
  </si>
  <si>
    <t>HELPER tabs</t>
  </si>
  <si>
    <t>Inform calculations in other tabs</t>
  </si>
  <si>
    <t>Flexible to create your own tabs for calculations or tracking. There may be cases where you feed the result into a WORKING TAB</t>
  </si>
  <si>
    <t>Terms</t>
  </si>
  <si>
    <t>Color coding</t>
  </si>
  <si>
    <t>Rewards Upside Value</t>
  </si>
  <si>
    <t>FUTURE CASH FLOW CHANGES</t>
  </si>
  <si>
    <t>Asset</t>
  </si>
  <si>
    <t>Real Asset</t>
  </si>
  <si>
    <t>Car</t>
  </si>
  <si>
    <t>House</t>
  </si>
  <si>
    <t>Phone</t>
  </si>
  <si>
    <t>Auto Maintenance</t>
  </si>
  <si>
    <t>Home Maintenance</t>
  </si>
  <si>
    <t>Car Maintenance</t>
  </si>
  <si>
    <t>Clothes</t>
  </si>
  <si>
    <t>Salary/Wages</t>
  </si>
  <si>
    <t>Current Due Date</t>
  </si>
  <si>
    <t>Spend</t>
  </si>
  <si>
    <t>Require no inputs. These are output tabs that auto populate as changes are made in WORKING tabs</t>
  </si>
  <si>
    <t>Don’t forget accounts like Venmo, Apple Cash, Starbucks, physical cash or sportsbooks</t>
  </si>
  <si>
    <t>Move to/(from) Master bank</t>
  </si>
  <si>
    <t>Net Change (+/-)</t>
  </si>
  <si>
    <t>Excl. Financing/Investing Activities</t>
  </si>
  <si>
    <t>Friend Payment</t>
  </si>
  <si>
    <t>Friend Receivable</t>
  </si>
  <si>
    <t>Outflow safety helper</t>
  </si>
  <si>
    <t>Not financial advice</t>
  </si>
  <si>
    <t>Projected asset balances doesn’t account for yield</t>
  </si>
  <si>
    <t>DEFINITIONS</t>
  </si>
  <si>
    <t>INFLOWS</t>
  </si>
  <si>
    <t>Total EARNINGS</t>
  </si>
  <si>
    <t>Line Items</t>
  </si>
  <si>
    <t>Hide the Helper and DEV tabs</t>
  </si>
  <si>
    <t>Compare vs prior version to log upgrades</t>
  </si>
  <si>
    <t>Recurrance Base</t>
  </si>
  <si>
    <t>Day</t>
  </si>
  <si>
    <t>Week</t>
  </si>
  <si>
    <t>Month</t>
  </si>
  <si>
    <t>Year</t>
  </si>
  <si>
    <t>Line Item →</t>
  </si>
  <si>
    <t>Start date →</t>
  </si>
  <si>
    <t>Dates →</t>
  </si>
  <si>
    <t>FanDuel</t>
  </si>
  <si>
    <t>Marriott Bonvoy Bold</t>
  </si>
  <si>
    <t>Chase Freedom Unlimited</t>
  </si>
  <si>
    <t>Marriott Bonvoy</t>
  </si>
  <si>
    <t>Capital One</t>
  </si>
  <si>
    <t>Delta</t>
  </si>
  <si>
    <t>American</t>
  </si>
  <si>
    <t>Hyatt</t>
  </si>
  <si>
    <t>Dental</t>
  </si>
  <si>
    <t>Health Savings Contribution</t>
  </si>
  <si>
    <t>Medical</t>
  </si>
  <si>
    <t>Vision</t>
  </si>
  <si>
    <t>Barber</t>
  </si>
  <si>
    <t>IRA</t>
  </si>
  <si>
    <t>OASDI</t>
  </si>
  <si>
    <t>Federal Withholding</t>
  </si>
  <si>
    <t>ComEd + Lemonade</t>
  </si>
  <si>
    <t>Data validation</t>
  </si>
  <si>
    <t>Same amount of formula columns in each intermediate tab</t>
  </si>
  <si>
    <t>Add column here</t>
  </si>
  <si>
    <t>Mar Bonus</t>
  </si>
  <si>
    <t>Aggregated Student loans</t>
  </si>
  <si>
    <t>Less Precedents &amp; Deductions</t>
  </si>
  <si>
    <t>T+1 Payment</t>
  </si>
  <si>
    <t>Current (T) Due Date</t>
  </si>
  <si>
    <t>Current (T) Payment</t>
  </si>
  <si>
    <t>T+1 Due Date</t>
  </si>
  <si>
    <t>Brokerage Withdrawal</t>
  </si>
  <si>
    <t>Assets</t>
  </si>
  <si>
    <t>Main investment account</t>
  </si>
  <si>
    <t>Reserve</t>
  </si>
  <si>
    <t>Growth</t>
  </si>
  <si>
    <t>Current payment</t>
  </si>
  <si>
    <t>Next payment</t>
  </si>
  <si>
    <t>Car insurance</t>
  </si>
  <si>
    <t>Gas</t>
  </si>
  <si>
    <t>Medication &amp; Supplements</t>
  </si>
  <si>
    <t>Protein powder</t>
  </si>
  <si>
    <t>Ski trip</t>
  </si>
  <si>
    <t>Sell stock</t>
  </si>
  <si>
    <t>Hide Helper rows in NTM</t>
  </si>
  <si>
    <t>–</t>
  </si>
  <si>
    <t>Split into TEMPLATE and EXAMPLE files</t>
  </si>
  <si>
    <t>v5 changes vs v4</t>
  </si>
  <si>
    <t>Support more recurrences, like every 3 months or every 90 days</t>
  </si>
  <si>
    <t>Going out</t>
  </si>
  <si>
    <t>Trader Joes</t>
  </si>
  <si>
    <t>Allow user inputs of cash redemption and average value of loyalty points inputs</t>
  </si>
  <si>
    <t>Simplified loan and credit card payments into Recurring tab</t>
  </si>
  <si>
    <t>Separated graphics into their own tab</t>
  </si>
  <si>
    <t>Bolstered guidance throughout</t>
  </si>
  <si>
    <t>Removed some un-used inputs/columns</t>
  </si>
  <si>
    <t>Added custom formulas to simplify some inputs</t>
  </si>
  <si>
    <t>Loan paid off</t>
  </si>
  <si>
    <t>Dog sitting</t>
  </si>
  <si>
    <t>Dinner</t>
  </si>
  <si>
    <t>Amazon return</t>
  </si>
  <si>
    <t>Insurance payout</t>
  </si>
  <si>
    <t>Hockey game</t>
  </si>
  <si>
    <t>New laptop</t>
  </si>
  <si>
    <t>Robinhood</t>
  </si>
  <si>
    <t>Feb Dog sitting</t>
  </si>
  <si>
    <t>Jan Dinner</t>
  </si>
  <si>
    <t>Jan Amazon return</t>
  </si>
  <si>
    <t>Jun Sell stock</t>
  </si>
  <si>
    <t>Jan Insurance payout</t>
  </si>
  <si>
    <t>Jan Hockey game</t>
  </si>
  <si>
    <t>Mar Ski trip</t>
  </si>
  <si>
    <t>Apr New laptop</t>
  </si>
  <si>
    <t>Feb Current payment, Jan Current payment, Mar Next payment, Feb Next payment</t>
  </si>
  <si>
    <t xml:space="preserve">Credit Cards </t>
  </si>
  <si>
    <t xml:space="preserve">Loans </t>
  </si>
  <si>
    <t xml:space="preserve">Retirement </t>
  </si>
  <si>
    <t xml:space="preserve">Brokerage </t>
  </si>
  <si>
    <t xml:space="preserve">Cash </t>
  </si>
  <si>
    <t xml:space="preserve">Rewards Upside Value </t>
  </si>
  <si>
    <t>Aggregated student loans</t>
  </si>
  <si>
    <t>Apple 0% financing</t>
  </si>
  <si>
    <t>Cash Flow</t>
  </si>
  <si>
    <t>Balance Sheet</t>
  </si>
  <si>
    <t>Payment</t>
  </si>
  <si>
    <t>Other cash balances</t>
  </si>
  <si>
    <t>Loyalty Points &amp; Miles cash value</t>
  </si>
  <si>
    <t>OUTFLOWS</t>
  </si>
  <si>
    <t>Row limits</t>
  </si>
  <si>
    <t>None</t>
  </si>
  <si>
    <t>Loyalty Points &amp; Miles</t>
  </si>
  <si>
    <t>Precedents</t>
  </si>
  <si>
    <t>Changes</t>
  </si>
  <si>
    <t>Tabs sections</t>
  </si>
  <si>
    <t>DISCLAIMERS</t>
  </si>
  <si>
    <t>Where to start</t>
  </si>
  <si>
    <t>1)</t>
  </si>
  <si>
    <t>Start inputting your data into rows, starting with the Assets tab and moving right through all the blue tabs</t>
  </si>
  <si>
    <t>2)</t>
  </si>
  <si>
    <t>In the Blanket tab, be sure to designate one checking account as Master. That account is designated to have all deposits and spending flow out of it</t>
  </si>
  <si>
    <t>3)</t>
  </si>
  <si>
    <t>4)</t>
  </si>
  <si>
    <t>Update regularly and use the recommended actions to rebalance accounts each time</t>
  </si>
  <si>
    <t>Any Due Date</t>
  </si>
  <si>
    <t>Every nth time</t>
  </si>
  <si>
    <t>Recurrence →</t>
  </si>
  <si>
    <t>Occurrence base →</t>
  </si>
  <si>
    <t>Cable / Satellite</t>
  </si>
  <si>
    <t>Public Transpiration</t>
  </si>
  <si>
    <t>Brokerage Deposits</t>
  </si>
  <si>
    <t>401K Deposits</t>
  </si>
  <si>
    <t>IRA Deposit</t>
  </si>
  <si>
    <t>Dependent</t>
  </si>
  <si>
    <t>Projected loan balances doesn’t account for interest accruals</t>
  </si>
  <si>
    <t>Review the NTM tab as your input details and watch how the next twelve months change</t>
  </si>
  <si>
    <t>Checking account that all outflow/spending will flow out of</t>
  </si>
  <si>
    <t>Investment accounts that don't have pre-retirement withdrawal penalties (more liquid but don't really want to sell if you don’t have to)</t>
  </si>
  <si>
    <t>Investment accounts that have pre-retirement withdrawal penalties (long term lock-ups)</t>
  </si>
  <si>
    <t>Next twelve (i.e. NTM = next twelve months)</t>
  </si>
  <si>
    <t>Cash Redemption Value (¢)</t>
  </si>
  <si>
    <t>Recurrence Base</t>
  </si>
  <si>
    <t>Dependent On</t>
  </si>
  <si>
    <t>Create TEMPLATE version and delete inputs and blue text boxes</t>
  </si>
  <si>
    <t>Spell check and freeze frames in each tab</t>
  </si>
  <si>
    <t>Automatic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</si>
</sst>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#,##0_);\(#,##0\)"/>
    <numFmt numFmtId="165" formatCode="_(#,##0.00_);\(#,##0.00\)"/>
    <numFmt numFmtId="166" formatCode="mmm"/>
    <numFmt numFmtId="167" formatCode="_(* #,##0_);_(* \(#,##0\);_(* &quot;-&quot;??_);_(@_)"/>
    <numFmt numFmtId="168" formatCode="_(#,##0.00_)%;\(#,##0.00\)%"/>
    <numFmt numFmtId="169" formatCode="_(#,##0_);\(#,##0\);_(* &quot;–&quot;_);_(@_)"/>
    <numFmt numFmtId="170" formatCode="_(#,##0_);\(#,##0\);_(* &quot;– &quot;_);_(@_)"/>
    <numFmt numFmtId="171" formatCode="ddd\ yyyy/mm/dd"/>
  </numFmts>
  <fonts count="47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indexed="8"/>
      <name val="Arial"/>
      <family val="2"/>
      <scheme val="major"/>
    </font>
    <font>
      <b/>
      <sz val="10"/>
      <name val="Arial"/>
      <family val="2"/>
      <scheme val="major"/>
    </font>
    <font>
      <sz val="10"/>
      <color indexed="8"/>
      <name val="Arial"/>
      <family val="2"/>
      <scheme val="major"/>
    </font>
    <font>
      <sz val="10"/>
      <name val="Arial"/>
      <family val="2"/>
      <scheme val="major"/>
    </font>
    <font>
      <i/>
      <sz val="10"/>
      <name val="Arial"/>
      <family val="2"/>
      <scheme val="major"/>
    </font>
    <font>
      <i/>
      <sz val="10"/>
      <color indexed="8"/>
      <name val="Arial"/>
      <family val="2"/>
      <scheme val="major"/>
    </font>
    <font>
      <b/>
      <sz val="10"/>
      <color theme="0"/>
      <name val="Arial"/>
      <family val="2"/>
      <scheme val="major"/>
    </font>
    <font>
      <sz val="10"/>
      <color theme="0"/>
      <name val="Arial"/>
      <family val="2"/>
      <scheme val="major"/>
    </font>
    <font>
      <i/>
      <sz val="10"/>
      <color theme="0" tint="-0.499984740745262"/>
      <name val="Arial"/>
      <family val="2"/>
      <scheme val="major"/>
    </font>
    <font>
      <sz val="10"/>
      <color rgb="FF0000FF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u val="singleAccounting"/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u val="singleAccounting"/>
      <sz val="1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0"/>
      <color theme="0"/>
      <name val="Arial"/>
      <family val="2"/>
      <scheme val="minor"/>
    </font>
    <font>
      <i/>
      <sz val="10"/>
      <color rgb="FFFF0000"/>
      <name val="Arial"/>
      <family val="2"/>
      <scheme val="major"/>
    </font>
    <font>
      <i/>
      <sz val="10"/>
      <color theme="0"/>
      <name val="Arial"/>
      <family val="2"/>
      <scheme val="major"/>
    </font>
    <font>
      <i/>
      <sz val="8"/>
      <name val="Arial"/>
      <family val="2"/>
      <scheme val="minor"/>
    </font>
    <font>
      <i/>
      <u/>
      <sz val="10"/>
      <name val="Arial"/>
      <family val="2"/>
      <scheme val="major"/>
    </font>
    <font>
      <i/>
      <u/>
      <sz val="10"/>
      <color indexed="8"/>
      <name val="Arial"/>
      <family val="2"/>
      <scheme val="major"/>
    </font>
    <font>
      <i/>
      <u/>
      <sz val="10"/>
      <color rgb="FF000000"/>
      <name val="Arial"/>
      <family val="2"/>
      <scheme val="minor"/>
    </font>
    <font>
      <sz val="10"/>
      <color indexed="8"/>
      <name val="Arial"/>
      <family val="2"/>
    </font>
    <font>
      <b/>
      <u val="singleAccounting"/>
      <sz val="10"/>
      <color indexed="8"/>
      <name val="Arial"/>
      <family val="2"/>
      <scheme val="major"/>
    </font>
    <font>
      <sz val="10"/>
      <color theme="7" tint="-0.249977111117893"/>
      <name val="Arial"/>
      <family val="2"/>
      <scheme val="minor"/>
    </font>
    <font>
      <b/>
      <u/>
      <sz val="10"/>
      <color indexed="8"/>
      <name val="Arial"/>
      <family val="2"/>
      <scheme val="major"/>
    </font>
    <font>
      <b/>
      <u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i/>
      <sz val="10"/>
      <color rgb="FF000000"/>
      <name val="Arial"/>
      <family val="2"/>
      <scheme val="minor"/>
    </font>
    <font>
      <sz val="8"/>
      <color indexed="8"/>
      <name val="Arial"/>
      <family val="2"/>
      <scheme val="major"/>
    </font>
    <font>
      <b/>
      <sz val="8"/>
      <color indexed="8"/>
      <name val="Arial"/>
      <family val="2"/>
      <scheme val="major"/>
    </font>
    <font>
      <b/>
      <sz val="8"/>
      <name val="Arial"/>
      <family val="2"/>
      <scheme val="major"/>
    </font>
    <font>
      <sz val="8"/>
      <name val="Arial"/>
      <family val="2"/>
      <scheme val="major"/>
    </font>
    <font>
      <sz val="10"/>
      <name val="Arial"/>
      <family val="2"/>
    </font>
    <font>
      <u/>
      <sz val="10"/>
      <color rgb="FF000000"/>
      <name val="Arial"/>
      <family val="2"/>
      <scheme val="minor"/>
    </font>
    <font>
      <b/>
      <u val="singleAccounting"/>
      <sz val="1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9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2" fillId="0" borderId="0"/>
  </cellStyleXfs>
  <cellXfs count="201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9" fillId="2" borderId="0" xfId="0" applyFont="1" applyFill="1"/>
    <xf numFmtId="14" fontId="9" fillId="2" borderId="0" xfId="0" applyNumberFormat="1" applyFont="1" applyFill="1"/>
    <xf numFmtId="0" fontId="10" fillId="0" borderId="0" xfId="0" applyFont="1"/>
    <xf numFmtId="164" fontId="10" fillId="0" borderId="0" xfId="0" applyNumberFormat="1" applyFont="1"/>
    <xf numFmtId="166" fontId="9" fillId="3" borderId="2" xfId="0" applyNumberFormat="1" applyFont="1" applyFill="1" applyBorder="1" applyAlignment="1">
      <alignment horizontal="center" vertical="center"/>
    </xf>
    <xf numFmtId="164" fontId="13" fillId="3" borderId="0" xfId="0" applyNumberFormat="1" applyFont="1" applyFill="1"/>
    <xf numFmtId="0" fontId="19" fillId="0" borderId="0" xfId="0" applyFont="1"/>
    <xf numFmtId="164" fontId="19" fillId="0" borderId="0" xfId="0" applyNumberFormat="1" applyFont="1"/>
    <xf numFmtId="168" fontId="0" fillId="0" borderId="0" xfId="0" applyNumberFormat="1"/>
    <xf numFmtId="165" fontId="19" fillId="0" borderId="0" xfId="0" applyNumberFormat="1" applyFont="1"/>
    <xf numFmtId="0" fontId="0" fillId="11" borderId="0" xfId="0" applyFill="1"/>
    <xf numFmtId="0" fontId="6" fillId="0" borderId="0" xfId="0" applyFont="1"/>
    <xf numFmtId="165" fontId="24" fillId="12" borderId="0" xfId="0" applyNumberFormat="1" applyFont="1" applyFill="1"/>
    <xf numFmtId="168" fontId="19" fillId="0" borderId="0" xfId="0" applyNumberFormat="1" applyFont="1"/>
    <xf numFmtId="14" fontId="0" fillId="0" borderId="0" xfId="0" applyNumberFormat="1"/>
    <xf numFmtId="14" fontId="10" fillId="0" borderId="0" xfId="2" applyNumberFormat="1" applyFont="1"/>
    <xf numFmtId="0" fontId="10" fillId="0" borderId="0" xfId="2" applyFont="1"/>
    <xf numFmtId="0" fontId="13" fillId="0" borderId="0" xfId="0" applyFont="1"/>
    <xf numFmtId="14" fontId="20" fillId="0" borderId="0" xfId="0" applyNumberFormat="1" applyFont="1"/>
    <xf numFmtId="14" fontId="19" fillId="0" borderId="0" xfId="0" applyNumberFormat="1" applyFont="1"/>
    <xf numFmtId="14" fontId="6" fillId="0" borderId="0" xfId="0" applyNumberFormat="1" applyFont="1"/>
    <xf numFmtId="0" fontId="22" fillId="0" borderId="0" xfId="0" applyFont="1"/>
    <xf numFmtId="164" fontId="22" fillId="0" borderId="0" xfId="0" applyNumberFormat="1" applyFont="1"/>
    <xf numFmtId="0" fontId="20" fillId="0" borderId="0" xfId="0" applyFont="1"/>
    <xf numFmtId="164" fontId="20" fillId="0" borderId="0" xfId="0" applyNumberFormat="1" applyFont="1"/>
    <xf numFmtId="0" fontId="13" fillId="3" borderId="0" xfId="0" applyFont="1" applyFill="1"/>
    <xf numFmtId="0" fontId="13" fillId="3" borderId="0" xfId="0" applyFont="1" applyFill="1" applyAlignment="1">
      <alignment vertical="center"/>
    </xf>
    <xf numFmtId="0" fontId="25" fillId="3" borderId="0" xfId="0" applyFont="1" applyFill="1"/>
    <xf numFmtId="164" fontId="10" fillId="3" borderId="0" xfId="0" applyNumberFormat="1" applyFont="1" applyFill="1"/>
    <xf numFmtId="0" fontId="26" fillId="3" borderId="0" xfId="0" applyFont="1" applyFill="1"/>
    <xf numFmtId="169" fontId="9" fillId="3" borderId="0" xfId="0" applyNumberFormat="1" applyFont="1" applyFill="1" applyAlignment="1">
      <alignment horizontal="center" vertical="center"/>
    </xf>
    <xf numFmtId="169" fontId="13" fillId="3" borderId="0" xfId="0" applyNumberFormat="1" applyFont="1" applyFill="1" applyAlignment="1">
      <alignment vertical="center"/>
    </xf>
    <xf numFmtId="169" fontId="14" fillId="4" borderId="0" xfId="0" applyNumberFormat="1" applyFont="1" applyFill="1" applyAlignment="1">
      <alignment horizontal="center" vertical="center"/>
    </xf>
    <xf numFmtId="169" fontId="10" fillId="3" borderId="0" xfId="0" applyNumberFormat="1" applyFont="1" applyFill="1" applyAlignment="1">
      <alignment horizontal="right" vertical="center"/>
    </xf>
    <xf numFmtId="169" fontId="13" fillId="3" borderId="0" xfId="0" applyNumberFormat="1" applyFont="1" applyFill="1"/>
    <xf numFmtId="169" fontId="25" fillId="3" borderId="0" xfId="0" applyNumberFormat="1" applyFont="1" applyFill="1"/>
    <xf numFmtId="169" fontId="11" fillId="3" borderId="0" xfId="0" applyNumberFormat="1" applyFont="1" applyFill="1"/>
    <xf numFmtId="169" fontId="16" fillId="3" borderId="0" xfId="0" applyNumberFormat="1" applyFont="1" applyFill="1"/>
    <xf numFmtId="169" fontId="10" fillId="3" borderId="0" xfId="0" applyNumberFormat="1" applyFont="1" applyFill="1"/>
    <xf numFmtId="0" fontId="24" fillId="7" borderId="0" xfId="0" applyFont="1" applyFill="1"/>
    <xf numFmtId="164" fontId="24" fillId="7" borderId="0" xfId="0" applyNumberFormat="1" applyFont="1" applyFill="1"/>
    <xf numFmtId="164" fontId="22" fillId="0" borderId="0" xfId="0" applyNumberFormat="1" applyFont="1" applyAlignment="1">
      <alignment horizontal="centerContinuous"/>
    </xf>
    <xf numFmtId="0" fontId="27" fillId="0" borderId="0" xfId="0" applyFont="1"/>
    <xf numFmtId="0" fontId="21" fillId="2" borderId="0" xfId="0" applyFont="1" applyFill="1"/>
    <xf numFmtId="0" fontId="13" fillId="3" borderId="0" xfId="0" applyFont="1" applyFill="1" applyAlignment="1">
      <alignment horizontal="right"/>
    </xf>
    <xf numFmtId="0" fontId="9" fillId="2" borderId="0" xfId="1" applyNumberFormat="1" applyFont="1" applyFill="1" applyBorder="1"/>
    <xf numFmtId="0" fontId="10" fillId="3" borderId="0" xfId="0" applyFont="1" applyFill="1"/>
    <xf numFmtId="0" fontId="14" fillId="4" borderId="0" xfId="0" applyFont="1" applyFill="1"/>
    <xf numFmtId="0" fontId="8" fillId="13" borderId="4" xfId="0" applyFont="1" applyFill="1" applyBorder="1" applyAlignment="1">
      <alignment horizontal="right" vertical="center"/>
    </xf>
    <xf numFmtId="0" fontId="11" fillId="3" borderId="0" xfId="0" applyFont="1" applyFill="1" applyAlignment="1">
      <alignment horizontal="right"/>
    </xf>
    <xf numFmtId="0" fontId="14" fillId="5" borderId="7" xfId="0" applyFont="1" applyFill="1" applyBorder="1"/>
    <xf numFmtId="0" fontId="11" fillId="3" borderId="10" xfId="0" applyFont="1" applyFill="1" applyBorder="1"/>
    <xf numFmtId="0" fontId="11" fillId="3" borderId="0" xfId="0" applyFont="1" applyFill="1"/>
    <xf numFmtId="0" fontId="11" fillId="13" borderId="10" xfId="0" applyFont="1" applyFill="1" applyBorder="1" applyAlignment="1">
      <alignment horizontal="right"/>
    </xf>
    <xf numFmtId="0" fontId="28" fillId="3" borderId="10" xfId="0" applyFont="1" applyFill="1" applyBorder="1"/>
    <xf numFmtId="0" fontId="11" fillId="6" borderId="13" xfId="0" applyFont="1" applyFill="1" applyBorder="1" applyAlignment="1">
      <alignment horizontal="right"/>
    </xf>
    <xf numFmtId="0" fontId="14" fillId="5" borderId="7" xfId="0" applyFont="1" applyFill="1" applyBorder="1" applyAlignment="1">
      <alignment horizontal="left"/>
    </xf>
    <xf numFmtId="0" fontId="9" fillId="10" borderId="4" xfId="0" applyFont="1" applyFill="1" applyBorder="1"/>
    <xf numFmtId="0" fontId="14" fillId="7" borderId="7" xfId="0" applyFont="1" applyFill="1" applyBorder="1"/>
    <xf numFmtId="0" fontId="11" fillId="3" borderId="10" xfId="0" applyFont="1" applyFill="1" applyBorder="1" applyAlignment="1">
      <alignment horizontal="left"/>
    </xf>
    <xf numFmtId="0" fontId="0" fillId="3" borderId="10" xfId="0" applyFill="1" applyBorder="1"/>
    <xf numFmtId="0" fontId="11" fillId="8" borderId="13" xfId="0" applyFont="1" applyFill="1" applyBorder="1" applyAlignment="1">
      <alignment horizontal="right"/>
    </xf>
    <xf numFmtId="0" fontId="9" fillId="14" borderId="4" xfId="0" applyFont="1" applyFill="1" applyBorder="1"/>
    <xf numFmtId="0" fontId="14" fillId="9" borderId="7" xfId="0" applyFont="1" applyFill="1" applyBorder="1"/>
    <xf numFmtId="0" fontId="9" fillId="13" borderId="10" xfId="0" applyFont="1" applyFill="1" applyBorder="1" applyAlignment="1">
      <alignment horizontal="right"/>
    </xf>
    <xf numFmtId="0" fontId="9" fillId="15" borderId="13" xfId="0" applyFont="1" applyFill="1" applyBorder="1" applyAlignment="1">
      <alignment horizontal="right"/>
    </xf>
    <xf numFmtId="0" fontId="10" fillId="13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165" fontId="21" fillId="2" borderId="0" xfId="0" applyNumberFormat="1" applyFont="1" applyFill="1"/>
    <xf numFmtId="0" fontId="24" fillId="16" borderId="0" xfId="0" applyFont="1" applyFill="1"/>
    <xf numFmtId="0" fontId="6" fillId="0" borderId="0" xfId="0" quotePrefix="1" applyFont="1"/>
    <xf numFmtId="168" fontId="24" fillId="16" borderId="0" xfId="0" applyNumberFormat="1" applyFont="1" applyFill="1"/>
    <xf numFmtId="0" fontId="18" fillId="17" borderId="0" xfId="0" applyFont="1" applyFill="1"/>
    <xf numFmtId="164" fontId="18" fillId="17" borderId="0" xfId="0" applyNumberFormat="1" applyFont="1" applyFill="1"/>
    <xf numFmtId="0" fontId="6" fillId="3" borderId="0" xfId="0" applyFont="1" applyFill="1"/>
    <xf numFmtId="164" fontId="0" fillId="3" borderId="0" xfId="0" applyNumberFormat="1" applyFill="1"/>
    <xf numFmtId="0" fontId="30" fillId="3" borderId="0" xfId="0" applyFont="1" applyFill="1"/>
    <xf numFmtId="0" fontId="9" fillId="3" borderId="3" xfId="0" applyFont="1" applyFill="1" applyBorder="1" applyAlignment="1">
      <alignment horizontal="center" vertical="center" wrapText="1"/>
    </xf>
    <xf numFmtId="170" fontId="11" fillId="3" borderId="0" xfId="0" applyNumberFormat="1" applyFont="1" applyFill="1"/>
    <xf numFmtId="170" fontId="10" fillId="3" borderId="0" xfId="0" applyNumberFormat="1" applyFont="1" applyFill="1" applyAlignment="1">
      <alignment horizontal="right" vertical="center"/>
    </xf>
    <xf numFmtId="170" fontId="10" fillId="13" borderId="0" xfId="0" applyNumberFormat="1" applyFont="1" applyFill="1" applyAlignment="1">
      <alignment horizontal="right" vertical="center"/>
    </xf>
    <xf numFmtId="170" fontId="10" fillId="13" borderId="0" xfId="0" applyNumberFormat="1" applyFont="1" applyFill="1"/>
    <xf numFmtId="170" fontId="8" fillId="13" borderId="5" xfId="0" applyNumberFormat="1" applyFont="1" applyFill="1" applyBorder="1" applyAlignment="1">
      <alignment horizontal="right" vertical="center"/>
    </xf>
    <xf numFmtId="170" fontId="8" fillId="13" borderId="6" xfId="0" applyNumberFormat="1" applyFont="1" applyFill="1" applyBorder="1"/>
    <xf numFmtId="170" fontId="8" fillId="3" borderId="0" xfId="0" applyNumberFormat="1" applyFont="1" applyFill="1"/>
    <xf numFmtId="170" fontId="15" fillId="5" borderId="8" xfId="0" applyNumberFormat="1" applyFont="1" applyFill="1" applyBorder="1" applyAlignment="1">
      <alignment horizontal="center"/>
    </xf>
    <xf numFmtId="170" fontId="15" fillId="5" borderId="9" xfId="0" applyNumberFormat="1" applyFont="1" applyFill="1" applyBorder="1" applyAlignment="1">
      <alignment horizontal="center"/>
    </xf>
    <xf numFmtId="170" fontId="11" fillId="3" borderId="11" xfId="0" applyNumberFormat="1" applyFont="1" applyFill="1" applyBorder="1"/>
    <xf numFmtId="170" fontId="11" fillId="3" borderId="12" xfId="0" applyNumberFormat="1" applyFont="1" applyFill="1" applyBorder="1"/>
    <xf numFmtId="170" fontId="11" fillId="13" borderId="0" xfId="0" applyNumberFormat="1" applyFont="1" applyFill="1"/>
    <xf numFmtId="170" fontId="11" fillId="13" borderId="12" xfId="0" applyNumberFormat="1" applyFont="1" applyFill="1" applyBorder="1"/>
    <xf numFmtId="170" fontId="11" fillId="6" borderId="14" xfId="0" applyNumberFormat="1" applyFont="1" applyFill="1" applyBorder="1"/>
    <xf numFmtId="170" fontId="11" fillId="6" borderId="15" xfId="0" applyNumberFormat="1" applyFont="1" applyFill="1" applyBorder="1"/>
    <xf numFmtId="170" fontId="9" fillId="10" borderId="5" xfId="0" applyNumberFormat="1" applyFont="1" applyFill="1" applyBorder="1"/>
    <xf numFmtId="170" fontId="9" fillId="10" borderId="6" xfId="0" applyNumberFormat="1" applyFont="1" applyFill="1" applyBorder="1"/>
    <xf numFmtId="170" fontId="11" fillId="8" borderId="14" xfId="0" applyNumberFormat="1" applyFont="1" applyFill="1" applyBorder="1"/>
    <xf numFmtId="170" fontId="11" fillId="8" borderId="16" xfId="0" applyNumberFormat="1" applyFont="1" applyFill="1" applyBorder="1"/>
    <xf numFmtId="170" fontId="11" fillId="8" borderId="15" xfId="0" applyNumberFormat="1" applyFont="1" applyFill="1" applyBorder="1"/>
    <xf numFmtId="170" fontId="11" fillId="14" borderId="5" xfId="0" applyNumberFormat="1" applyFont="1" applyFill="1" applyBorder="1"/>
    <xf numFmtId="170" fontId="9" fillId="14" borderId="5" xfId="0" applyNumberFormat="1" applyFont="1" applyFill="1" applyBorder="1"/>
    <xf numFmtId="170" fontId="9" fillId="14" borderId="6" xfId="0" applyNumberFormat="1" applyFont="1" applyFill="1" applyBorder="1"/>
    <xf numFmtId="170" fontId="11" fillId="6" borderId="16" xfId="0" applyNumberFormat="1" applyFont="1" applyFill="1" applyBorder="1"/>
    <xf numFmtId="170" fontId="15" fillId="9" borderId="8" xfId="0" applyNumberFormat="1" applyFont="1" applyFill="1" applyBorder="1" applyAlignment="1">
      <alignment horizontal="center"/>
    </xf>
    <xf numFmtId="170" fontId="9" fillId="13" borderId="0" xfId="0" applyNumberFormat="1" applyFont="1" applyFill="1"/>
    <xf numFmtId="170" fontId="9" fillId="15" borderId="14" xfId="0" applyNumberFormat="1" applyFont="1" applyFill="1" applyBorder="1"/>
    <xf numFmtId="0" fontId="31" fillId="0" borderId="0" xfId="0" applyFont="1"/>
    <xf numFmtId="165" fontId="22" fillId="0" borderId="0" xfId="0" applyNumberFormat="1" applyFont="1"/>
    <xf numFmtId="165" fontId="24" fillId="16" borderId="0" xfId="0" applyNumberFormat="1" applyFont="1" applyFill="1"/>
    <xf numFmtId="0" fontId="23" fillId="0" borderId="0" xfId="0" applyFont="1"/>
    <xf numFmtId="14" fontId="11" fillId="0" borderId="0" xfId="0" applyNumberFormat="1" applyFont="1" applyAlignment="1">
      <alignment horizontal="right"/>
    </xf>
    <xf numFmtId="164" fontId="33" fillId="0" borderId="0" xfId="0" applyNumberFormat="1" applyFont="1"/>
    <xf numFmtId="0" fontId="10" fillId="0" borderId="0" xfId="4" applyFont="1" applyAlignment="1">
      <alignment horizontal="center" wrapText="1"/>
    </xf>
    <xf numFmtId="14" fontId="32" fillId="0" borderId="0" xfId="4" applyNumberFormat="1" applyFont="1" applyAlignment="1">
      <alignment horizontal="left" wrapText="1"/>
    </xf>
    <xf numFmtId="164" fontId="32" fillId="0" borderId="0" xfId="4" applyNumberFormat="1" applyFont="1" applyAlignment="1">
      <alignment horizontal="center" wrapText="1"/>
    </xf>
    <xf numFmtId="0" fontId="10" fillId="0" borderId="0" xfId="4" applyFont="1"/>
    <xf numFmtId="14" fontId="34" fillId="0" borderId="0" xfId="4" applyNumberFormat="1" applyFont="1" applyAlignment="1">
      <alignment horizontal="center" wrapText="1"/>
    </xf>
    <xf numFmtId="164" fontId="34" fillId="0" borderId="0" xfId="4" applyNumberFormat="1" applyFont="1" applyAlignment="1">
      <alignment horizontal="center" wrapText="1"/>
    </xf>
    <xf numFmtId="0" fontId="8" fillId="18" borderId="4" xfId="4" applyFont="1" applyFill="1" applyBorder="1"/>
    <xf numFmtId="14" fontId="8" fillId="18" borderId="5" xfId="4" applyNumberFormat="1" applyFont="1" applyFill="1" applyBorder="1" applyAlignment="1">
      <alignment horizontal="left"/>
    </xf>
    <xf numFmtId="164" fontId="8" fillId="18" borderId="5" xfId="4" applyNumberFormat="1" applyFont="1" applyFill="1" applyBorder="1"/>
    <xf numFmtId="164" fontId="8" fillId="18" borderId="6" xfId="4" applyNumberFormat="1" applyFont="1" applyFill="1" applyBorder="1"/>
    <xf numFmtId="14" fontId="10" fillId="0" borderId="0" xfId="4" applyNumberFormat="1" applyFont="1" applyAlignment="1">
      <alignment horizontal="left"/>
    </xf>
    <xf numFmtId="164" fontId="10" fillId="0" borderId="0" xfId="4" applyNumberFormat="1" applyFont="1"/>
    <xf numFmtId="166" fontId="9" fillId="3" borderId="1" xfId="0" applyNumberFormat="1" applyFont="1" applyFill="1" applyBorder="1" applyAlignment="1">
      <alignment horizontal="center" vertical="center"/>
    </xf>
    <xf numFmtId="166" fontId="9" fillId="3" borderId="3" xfId="0" applyNumberFormat="1" applyFont="1" applyFill="1" applyBorder="1" applyAlignment="1">
      <alignment horizontal="center" vertical="center"/>
    </xf>
    <xf numFmtId="0" fontId="11" fillId="3" borderId="7" xfId="0" applyFont="1" applyFill="1" applyBorder="1"/>
    <xf numFmtId="170" fontId="11" fillId="3" borderId="17" xfId="0" applyNumberFormat="1" applyFont="1" applyFill="1" applyBorder="1"/>
    <xf numFmtId="170" fontId="11" fillId="3" borderId="18" xfId="0" applyNumberFormat="1" applyFont="1" applyFill="1" applyBorder="1"/>
    <xf numFmtId="170" fontId="11" fillId="3" borderId="19" xfId="0" applyNumberFormat="1" applyFont="1" applyFill="1" applyBorder="1"/>
    <xf numFmtId="170" fontId="9" fillId="13" borderId="12" xfId="0" applyNumberFormat="1" applyFont="1" applyFill="1" applyBorder="1"/>
    <xf numFmtId="170" fontId="9" fillId="15" borderId="15" xfId="0" applyNumberFormat="1" applyFont="1" applyFill="1" applyBorder="1"/>
    <xf numFmtId="170" fontId="15" fillId="9" borderId="9" xfId="0" applyNumberFormat="1" applyFont="1" applyFill="1" applyBorder="1" applyAlignment="1">
      <alignment horizontal="center"/>
    </xf>
    <xf numFmtId="0" fontId="35" fillId="0" borderId="0" xfId="0" applyFont="1"/>
    <xf numFmtId="0" fontId="35" fillId="0" borderId="0" xfId="0" quotePrefix="1" applyFont="1"/>
    <xf numFmtId="0" fontId="33" fillId="0" borderId="0" xfId="0" applyFont="1"/>
    <xf numFmtId="170" fontId="11" fillId="5" borderId="8" xfId="0" applyNumberFormat="1" applyFont="1" applyFill="1" applyBorder="1" applyAlignment="1">
      <alignment horizontal="center"/>
    </xf>
    <xf numFmtId="170" fontId="11" fillId="5" borderId="9" xfId="0" applyNumberFormat="1" applyFont="1" applyFill="1" applyBorder="1" applyAlignment="1">
      <alignment horizontal="center"/>
    </xf>
    <xf numFmtId="170" fontId="11" fillId="5" borderId="8" xfId="0" applyNumberFormat="1" applyFont="1" applyFill="1" applyBorder="1" applyAlignment="1">
      <alignment horizontal="left"/>
    </xf>
    <xf numFmtId="170" fontId="11" fillId="5" borderId="9" xfId="0" applyNumberFormat="1" applyFont="1" applyFill="1" applyBorder="1" applyAlignment="1">
      <alignment horizontal="left"/>
    </xf>
    <xf numFmtId="170" fontId="11" fillId="7" borderId="8" xfId="0" applyNumberFormat="1" applyFont="1" applyFill="1" applyBorder="1" applyAlignment="1">
      <alignment horizontal="center"/>
    </xf>
    <xf numFmtId="170" fontId="11" fillId="7" borderId="9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10" fillId="3" borderId="0" xfId="0" applyFont="1" applyFill="1" applyAlignment="1">
      <alignment horizontal="right" vertical="center"/>
    </xf>
    <xf numFmtId="0" fontId="36" fillId="7" borderId="0" xfId="0" applyFont="1" applyFill="1"/>
    <xf numFmtId="0" fontId="24" fillId="1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/>
    </xf>
    <xf numFmtId="16" fontId="20" fillId="0" borderId="0" xfId="0" quotePrefix="1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20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4" fontId="37" fillId="0" borderId="0" xfId="0" applyNumberFormat="1" applyFont="1" applyAlignment="1">
      <alignment horizontal="left"/>
    </xf>
    <xf numFmtId="164" fontId="10" fillId="0" borderId="0" xfId="2" applyNumberFormat="1" applyFont="1"/>
    <xf numFmtId="171" fontId="0" fillId="0" borderId="0" xfId="0" applyNumberFormat="1"/>
    <xf numFmtId="0" fontId="38" fillId="0" borderId="0" xfId="2" applyFont="1"/>
    <xf numFmtId="0" fontId="39" fillId="18" borderId="0" xfId="2" applyFont="1" applyFill="1"/>
    <xf numFmtId="164" fontId="38" fillId="0" borderId="0" xfId="2" applyNumberFormat="1" applyFont="1"/>
    <xf numFmtId="164" fontId="39" fillId="18" borderId="0" xfId="2" applyNumberFormat="1" applyFont="1" applyFill="1"/>
    <xf numFmtId="14" fontId="38" fillId="0" borderId="0" xfId="2" applyNumberFormat="1" applyFont="1"/>
    <xf numFmtId="14" fontId="39" fillId="18" borderId="0" xfId="2" applyNumberFormat="1" applyFont="1" applyFill="1"/>
    <xf numFmtId="14" fontId="40" fillId="2" borderId="0" xfId="2" quotePrefix="1" applyNumberFormat="1" applyFont="1" applyFill="1"/>
    <xf numFmtId="14" fontId="41" fillId="0" borderId="0" xfId="2" quotePrefix="1" applyNumberFormat="1" applyFont="1" applyAlignment="1">
      <alignment wrapText="1"/>
    </xf>
    <xf numFmtId="14" fontId="38" fillId="0" borderId="0" xfId="2" quotePrefix="1" applyNumberFormat="1" applyFont="1" applyAlignment="1">
      <alignment wrapText="1"/>
    </xf>
    <xf numFmtId="171" fontId="24" fillId="16" borderId="0" xfId="0" applyNumberFormat="1" applyFont="1" applyFill="1" applyAlignment="1">
      <alignment horizontal="left"/>
    </xf>
    <xf numFmtId="171" fontId="37" fillId="0" borderId="0" xfId="0" applyNumberFormat="1" applyFont="1"/>
    <xf numFmtId="171" fontId="22" fillId="0" borderId="0" xfId="0" applyNumberFormat="1" applyFont="1"/>
    <xf numFmtId="171" fontId="6" fillId="0" borderId="0" xfId="0" applyNumberFormat="1" applyFont="1"/>
    <xf numFmtId="171" fontId="20" fillId="0" borderId="0" xfId="0" applyNumberFormat="1" applyFont="1"/>
    <xf numFmtId="0" fontId="2" fillId="0" borderId="0" xfId="0" applyFont="1"/>
    <xf numFmtId="165" fontId="6" fillId="0" borderId="0" xfId="0" applyNumberFormat="1" applyFont="1"/>
    <xf numFmtId="165" fontId="20" fillId="0" borderId="0" xfId="0" applyNumberFormat="1" applyFont="1"/>
    <xf numFmtId="0" fontId="2" fillId="0" borderId="0" xfId="3" applyFont="1"/>
    <xf numFmtId="168" fontId="17" fillId="0" borderId="0" xfId="0" applyNumberFormat="1" applyFont="1"/>
    <xf numFmtId="167" fontId="11" fillId="0" borderId="0" xfId="0" applyNumberFormat="1" applyFont="1" applyAlignment="1">
      <alignment horizontal="center"/>
    </xf>
    <xf numFmtId="0" fontId="39" fillId="18" borderId="0" xfId="2" quotePrefix="1" applyFont="1" applyFill="1"/>
    <xf numFmtId="170" fontId="11" fillId="3" borderId="11" xfId="0" quotePrefix="1" applyNumberFormat="1" applyFont="1" applyFill="1" applyBorder="1" applyAlignment="1">
      <alignment wrapText="1"/>
    </xf>
    <xf numFmtId="0" fontId="11" fillId="0" borderId="0" xfId="0" applyFont="1"/>
    <xf numFmtId="0" fontId="11" fillId="0" borderId="0" xfId="0" applyFont="1" applyAlignment="1">
      <alignment horizontal="left"/>
    </xf>
    <xf numFmtId="0" fontId="25" fillId="0" borderId="0" xfId="2" applyFont="1"/>
    <xf numFmtId="165" fontId="42" fillId="0" borderId="0" xfId="3" applyNumberFormat="1" applyFont="1"/>
    <xf numFmtId="164" fontId="37" fillId="0" borderId="0" xfId="0" applyNumberFormat="1" applyFont="1"/>
    <xf numFmtId="164" fontId="6" fillId="0" borderId="0" xfId="0" applyNumberFormat="1" applyFont="1"/>
    <xf numFmtId="164" fontId="42" fillId="0" borderId="0" xfId="3" applyNumberFormat="1" applyFont="1"/>
    <xf numFmtId="0" fontId="6" fillId="0" borderId="0" xfId="0" applyFont="1" applyAlignment="1">
      <alignment horizontal="left"/>
    </xf>
    <xf numFmtId="0" fontId="0" fillId="3" borderId="0" xfId="0" applyFill="1"/>
    <xf numFmtId="165" fontId="44" fillId="0" borderId="0" xfId="0" applyNumberFormat="1" applyFont="1"/>
    <xf numFmtId="165" fontId="42" fillId="0" borderId="0" xfId="0" applyNumberFormat="1" applyFont="1"/>
    <xf numFmtId="0" fontId="1" fillId="0" borderId="0" xfId="0" applyFont="1"/>
    <xf numFmtId="0" fontId="1" fillId="0" borderId="0" xfId="3" applyFont="1"/>
    <xf numFmtId="0" fontId="43" fillId="0" borderId="0" xfId="0" applyFont="1"/>
    <xf numFmtId="0" fontId="13" fillId="0" borderId="0" xfId="0" applyFont="1" applyAlignment="1">
      <alignment horizontal="right" vertical="center"/>
    </xf>
    <xf numFmtId="164" fontId="12" fillId="0" borderId="0" xfId="0" applyNumberFormat="1" applyFont="1" applyAlignment="1">
      <alignment horizontal="right" vertical="center"/>
    </xf>
    <xf numFmtId="164" fontId="13" fillId="0" borderId="0" xfId="0" applyNumberFormat="1" applyFont="1" applyAlignment="1">
      <alignment horizontal="right" vertical="center"/>
    </xf>
    <xf numFmtId="164" fontId="8" fillId="0" borderId="0" xfId="0" applyNumberFormat="1" applyFont="1"/>
    <xf numFmtId="0" fontId="14" fillId="5" borderId="0" xfId="0" applyFont="1" applyFill="1"/>
    <xf numFmtId="0" fontId="14" fillId="7" borderId="0" xfId="0" applyFont="1" applyFill="1"/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</cellXfs>
  <cellStyles count="9">
    <cellStyle name="Hyperlink" xfId="1" builtinId="8"/>
    <cellStyle name="Normal" xfId="0" builtinId="0"/>
    <cellStyle name="Normal 2" xfId="2" xr:uid="{CEC3D16E-4166-4668-9BC3-C144B47C870F}"/>
    <cellStyle name="Normal 2 2" xfId="8" xr:uid="{4CDF68D9-8FD3-4CD9-AE0E-9FB4370069D7}"/>
    <cellStyle name="Normal 3" xfId="3" xr:uid="{6CA16E74-4B7B-4598-9E11-AB00B459EAD6}"/>
    <cellStyle name="Normal 3 2" xfId="6" xr:uid="{2132DAE0-3AEB-4268-86F5-6EA33EACCB52}"/>
    <cellStyle name="Normal 4" xfId="4" xr:uid="{28C9050D-52DD-4991-AD73-BA46E072E313}"/>
    <cellStyle name="Normal 5" xfId="5" xr:uid="{95D77AE4-61FA-4D24-8238-2B6A554365FC}"/>
    <cellStyle name="Normal 5 2" xfId="7" xr:uid="{7E69B8E1-40C1-493D-9721-80C65467E93B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EEBF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rgbClr val="00B050"/>
            </a:solidFill>
            <a:ln w="12700">
              <a:noFill/>
              <a:miter lim="800000"/>
            </a:ln>
            <a:effectLst/>
          </c:spPr>
          <c:invertIfNegative val="1"/>
          <c:val>
            <c:numRef>
              <c:f>NTM!$C$11:$N$11</c:f>
              <c:numCache>
                <c:formatCode>_(#,##0_);\(#,##0\);_(* "– "_);_(@_)</c:formatCode>
                <c:ptCount val="12"/>
                <c:pt idx="0">
                  <c:v>-2660.6389290212601</c:v>
                </c:pt>
                <c:pt idx="1">
                  <c:v>2524.0393199769223</c:v>
                </c:pt>
                <c:pt idx="2">
                  <c:v>329.80342987971198</c:v>
                </c:pt>
                <c:pt idx="3">
                  <c:v>1351.4977859185956</c:v>
                </c:pt>
                <c:pt idx="4">
                  <c:v>160.80342987971198</c:v>
                </c:pt>
                <c:pt idx="5">
                  <c:v>540.24578878068405</c:v>
                </c:pt>
                <c:pt idx="6">
                  <c:v>129.80342987971198</c:v>
                </c:pt>
                <c:pt idx="7">
                  <c:v>379.80342987971198</c:v>
                </c:pt>
                <c:pt idx="8">
                  <c:v>2551.4977859185956</c:v>
                </c:pt>
                <c:pt idx="9">
                  <c:v>79.803429879711985</c:v>
                </c:pt>
                <c:pt idx="10">
                  <c:v>-9.7542112193159483</c:v>
                </c:pt>
                <c:pt idx="11">
                  <c:v>429.80342987971198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 w="12700">
                    <a:noFill/>
                    <a:miter lim="800000"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426-45DF-870F-5D183D2D9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5741238227574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NTM!$B$42</c:f>
              <c:strCache>
                <c:ptCount val="1"/>
                <c:pt idx="0">
                  <c:v>Total INFLOWS</c:v>
                </c:pt>
              </c:strCache>
            </c:strRef>
          </c:tx>
          <c:spPr>
            <a:solidFill>
              <a:schemeClr val="accent3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NTM!$C$42:$N$42</c:f>
              <c:numCache>
                <c:formatCode>_(#,##0_);\(#,##0\);_(* "– "_);_(@_)</c:formatCode>
                <c:ptCount val="12"/>
                <c:pt idx="0">
                  <c:v>5023.8310709787402</c:v>
                </c:pt>
                <c:pt idx="1">
                  <c:v>10908.509319976922</c:v>
                </c:pt>
                <c:pt idx="2">
                  <c:v>4764.2734298797122</c:v>
                </c:pt>
                <c:pt idx="3">
                  <c:v>7085.9677859185958</c:v>
                </c:pt>
                <c:pt idx="4">
                  <c:v>5264.2734298797122</c:v>
                </c:pt>
                <c:pt idx="5">
                  <c:v>4824.7157887806843</c:v>
                </c:pt>
                <c:pt idx="6">
                  <c:v>4764.2734298797122</c:v>
                </c:pt>
                <c:pt idx="7">
                  <c:v>4764.2734298797122</c:v>
                </c:pt>
                <c:pt idx="8">
                  <c:v>7085.9677859185958</c:v>
                </c:pt>
                <c:pt idx="9">
                  <c:v>4764.2734298797122</c:v>
                </c:pt>
                <c:pt idx="10">
                  <c:v>4824.7157887806843</c:v>
                </c:pt>
                <c:pt idx="11">
                  <c:v>4764.2734298797122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C-49F8-82CB-88DE7CEF8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chemeClr val="tx2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NTM!$C$74:$N$74</c:f>
              <c:numCache>
                <c:formatCode>_(#,##0_);\(#,##0\);_(* "– "_);_(@_)</c:formatCode>
                <c:ptCount val="12"/>
                <c:pt idx="0">
                  <c:v>7684.47</c:v>
                </c:pt>
                <c:pt idx="1">
                  <c:v>8384.4699999999993</c:v>
                </c:pt>
                <c:pt idx="2">
                  <c:v>4434.47</c:v>
                </c:pt>
                <c:pt idx="3">
                  <c:v>5734.47</c:v>
                </c:pt>
                <c:pt idx="4">
                  <c:v>5103.47</c:v>
                </c:pt>
                <c:pt idx="5">
                  <c:v>4284.47</c:v>
                </c:pt>
                <c:pt idx="6">
                  <c:v>4634.47</c:v>
                </c:pt>
                <c:pt idx="7">
                  <c:v>4384.47</c:v>
                </c:pt>
                <c:pt idx="8">
                  <c:v>4534.47</c:v>
                </c:pt>
                <c:pt idx="9">
                  <c:v>4684.47</c:v>
                </c:pt>
                <c:pt idx="10">
                  <c:v>4834.47</c:v>
                </c:pt>
                <c:pt idx="11">
                  <c:v>4334.47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5-4399-B8EB-6AF3978D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28</xdr:row>
      <xdr:rowOff>0</xdr:rowOff>
    </xdr:from>
    <xdr:ext cx="5156668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185404-B67F-429F-BF6C-01743B248AED}"/>
            </a:ext>
          </a:extLst>
        </xdr:cNvPr>
        <xdr:cNvSpPr txBox="1"/>
      </xdr:nvSpPr>
      <xdr:spPr>
        <a:xfrm>
          <a:off x="190500" y="4857750"/>
          <a:ext cx="5156668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provide direction for what to do/input in its respective tab</a:t>
          </a:r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10378932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A451287-A001-28B6-4FC0-A40F23570857}"/>
            </a:ext>
          </a:extLst>
        </xdr:cNvPr>
        <xdr:cNvSpPr txBox="1"/>
      </xdr:nvSpPr>
      <xdr:spPr>
        <a:xfrm>
          <a:off x="190500" y="8743950"/>
          <a:ext cx="10378932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point to items to provide guidance or insight (only exists in the EXAMPLE workbook). Feel free to move them out of the way to see details.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9525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change notes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421298</xdr:colOff>
      <xdr:row>75</xdr:row>
      <xdr:rowOff>142875</xdr:rowOff>
    </xdr:from>
    <xdr:ext cx="3588727" cy="416781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7867354-CDA0-150F-9BF9-BF0A5BDC302F}"/>
            </a:ext>
          </a:extLst>
        </xdr:cNvPr>
        <xdr:cNvSpPr txBox="1"/>
      </xdr:nvSpPr>
      <xdr:spPr>
        <a:xfrm>
          <a:off x="12537098" y="10201275"/>
          <a:ext cx="3588727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These are contributions to retirement plans directly from your employer (i.e. employer 401k matching)</a:t>
          </a:r>
        </a:p>
      </xdr:txBody>
    </xdr:sp>
    <xdr:clientData/>
  </xdr:oneCellAnchor>
  <xdr:twoCellAnchor>
    <xdr:from>
      <xdr:col>17</xdr:col>
      <xdr:colOff>38100</xdr:colOff>
      <xdr:row>76</xdr:row>
      <xdr:rowOff>85725</xdr:rowOff>
    </xdr:from>
    <xdr:to>
      <xdr:col>17</xdr:col>
      <xdr:colOff>352425</xdr:colOff>
      <xdr:row>76</xdr:row>
      <xdr:rowOff>85725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FA809B2-4936-8523-18C1-45BDCD9BA19A}"/>
            </a:ext>
          </a:extLst>
        </xdr:cNvPr>
        <xdr:cNvCxnSpPr/>
      </xdr:nvCxnSpPr>
      <xdr:spPr>
        <a:xfrm flipH="1">
          <a:off x="12153900" y="10306050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402249</xdr:colOff>
      <xdr:row>21</xdr:row>
      <xdr:rowOff>47625</xdr:rowOff>
    </xdr:from>
    <xdr:ext cx="3064852" cy="41678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F4461E1-8DE0-4F1E-A371-5EEB9EB6ECAA}"/>
            </a:ext>
          </a:extLst>
        </xdr:cNvPr>
        <xdr:cNvSpPr txBox="1"/>
      </xdr:nvSpPr>
      <xdr:spPr>
        <a:xfrm>
          <a:off x="3488349" y="2514600"/>
          <a:ext cx="306485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Only the account that cash flows in and out of, designated in the Blanket tab</a:t>
          </a:r>
        </a:p>
      </xdr:txBody>
    </xdr:sp>
    <xdr:clientData/>
  </xdr:oneCellAnchor>
  <xdr:twoCellAnchor>
    <xdr:from>
      <xdr:col>3</xdr:col>
      <xdr:colOff>19050</xdr:colOff>
      <xdr:row>22</xdr:row>
      <xdr:rowOff>95250</xdr:rowOff>
    </xdr:from>
    <xdr:to>
      <xdr:col>3</xdr:col>
      <xdr:colOff>333375</xdr:colOff>
      <xdr:row>22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980CDB4-5907-4AFA-A757-FA9E78FB2757}"/>
            </a:ext>
          </a:extLst>
        </xdr:cNvPr>
        <xdr:cNvCxnSpPr/>
      </xdr:nvCxnSpPr>
      <xdr:spPr>
        <a:xfrm flipH="1">
          <a:off x="3105150" y="261937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230799</xdr:colOff>
      <xdr:row>30</xdr:row>
      <xdr:rowOff>126023</xdr:rowOff>
    </xdr:from>
    <xdr:ext cx="6820200" cy="25455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F8671B9-748D-415C-8E3E-24CB224E5D6F}"/>
            </a:ext>
          </a:extLst>
        </xdr:cNvPr>
        <xdr:cNvSpPr txBox="1"/>
      </xdr:nvSpPr>
      <xdr:spPr>
        <a:xfrm>
          <a:off x="3278799" y="449873"/>
          <a:ext cx="6820200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Recommended balances to keep in your accounts, based on the account balance safety in the Blanket tab</a:t>
          </a:r>
        </a:p>
      </xdr:txBody>
    </xdr:sp>
    <xdr:clientData/>
  </xdr:oneCellAnchor>
  <xdr:twoCellAnchor>
    <xdr:from>
      <xdr:col>3</xdr:col>
      <xdr:colOff>47625</xdr:colOff>
      <xdr:row>30</xdr:row>
      <xdr:rowOff>0</xdr:rowOff>
    </xdr:from>
    <xdr:to>
      <xdr:col>3</xdr:col>
      <xdr:colOff>142875</xdr:colOff>
      <xdr:row>33</xdr:row>
      <xdr:rowOff>0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98806F79-86A1-4388-927D-1466F645835E}"/>
            </a:ext>
          </a:extLst>
        </xdr:cNvPr>
        <xdr:cNvSpPr/>
      </xdr:nvSpPr>
      <xdr:spPr>
        <a:xfrm>
          <a:off x="3095625" y="323850"/>
          <a:ext cx="95250" cy="485775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230799</xdr:colOff>
      <xdr:row>37</xdr:row>
      <xdr:rowOff>47918</xdr:rowOff>
    </xdr:from>
    <xdr:ext cx="4074833" cy="25455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D44F991-614B-4B5D-B70D-9E09C1F4A92E}"/>
            </a:ext>
          </a:extLst>
        </xdr:cNvPr>
        <xdr:cNvSpPr txBox="1"/>
      </xdr:nvSpPr>
      <xdr:spPr>
        <a:xfrm>
          <a:off x="3278799" y="1505243"/>
          <a:ext cx="4074833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Recommended cash balance moves based on account safety</a:t>
          </a:r>
        </a:p>
      </xdr:txBody>
    </xdr:sp>
    <xdr:clientData/>
  </xdr:oneCellAnchor>
  <xdr:twoCellAnchor>
    <xdr:from>
      <xdr:col>3</xdr:col>
      <xdr:colOff>47625</xdr:colOff>
      <xdr:row>36</xdr:row>
      <xdr:rowOff>9524</xdr:rowOff>
    </xdr:from>
    <xdr:to>
      <xdr:col>3</xdr:col>
      <xdr:colOff>142875</xdr:colOff>
      <xdr:row>39</xdr:row>
      <xdr:rowOff>163829</xdr:rowOff>
    </xdr:to>
    <xdr:sp macro="" textlink="">
      <xdr:nvSpPr>
        <xdr:cNvPr id="11" name="Right Brace 10">
          <a:extLst>
            <a:ext uri="{FF2B5EF4-FFF2-40B4-BE49-F238E27FC236}">
              <a16:creationId xmlns:a16="http://schemas.microsoft.com/office/drawing/2014/main" id="{51308AB5-2DB3-458C-A41B-615CB0AC0D8C}"/>
            </a:ext>
          </a:extLst>
        </xdr:cNvPr>
        <xdr:cNvSpPr/>
      </xdr:nvSpPr>
      <xdr:spPr>
        <a:xfrm>
          <a:off x="3095625" y="1304924"/>
          <a:ext cx="95250" cy="64008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13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5E529-B47D-4D8C-BB42-86AEFD923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11</xdr:row>
      <xdr:rowOff>0</xdr:rowOff>
    </xdr:from>
    <xdr:to>
      <xdr:col>13</xdr:col>
      <xdr:colOff>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1D5434-3C30-44CA-90D4-C9E09F7A5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18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FB5-75FE-4AFB-924F-0DFC06319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1</xdr:col>
          <xdr:colOff>581025</xdr:colOff>
          <xdr:row>2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Balances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76200</xdr:colOff>
      <xdr:row>16</xdr:row>
      <xdr:rowOff>114300</xdr:rowOff>
    </xdr:from>
    <xdr:ext cx="5572125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9504783-E125-4689-9115-E787BE7B79C1}"/>
            </a:ext>
          </a:extLst>
        </xdr:cNvPr>
        <xdr:cNvSpPr txBox="1"/>
      </xdr:nvSpPr>
      <xdr:spPr>
        <a:xfrm>
          <a:off x="76200" y="2762250"/>
          <a:ext cx="5572125" cy="41678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Press this button when everything has been updated for your current session. It will populate in the rows below to show you a historical snapshot of finances over time.</a:t>
          </a:r>
        </a:p>
      </xdr:txBody>
    </xdr:sp>
    <xdr:clientData/>
  </xdr:oneCellAnchor>
  <xdr:twoCellAnchor>
    <xdr:from>
      <xdr:col>0</xdr:col>
      <xdr:colOff>171450</xdr:colOff>
      <xdr:row>3</xdr:row>
      <xdr:rowOff>19050</xdr:rowOff>
    </xdr:from>
    <xdr:to>
      <xdr:col>0</xdr:col>
      <xdr:colOff>171450</xdr:colOff>
      <xdr:row>16</xdr:row>
      <xdr:rowOff>19050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903C17A-78EA-9C78-219C-7FEE3B262B8B}"/>
            </a:ext>
          </a:extLst>
        </xdr:cNvPr>
        <xdr:cNvCxnSpPr/>
      </xdr:nvCxnSpPr>
      <xdr:spPr>
        <a:xfrm flipV="1">
          <a:off x="171450" y="723900"/>
          <a:ext cx="0" cy="1943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87924</xdr:colOff>
      <xdr:row>9</xdr:row>
      <xdr:rowOff>19344</xdr:rowOff>
    </xdr:from>
    <xdr:ext cx="5431167" cy="25455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5F6D957-812C-475A-B98C-C8779BD1B0B8}"/>
            </a:ext>
          </a:extLst>
        </xdr:cNvPr>
        <xdr:cNvSpPr txBox="1"/>
      </xdr:nvSpPr>
      <xdr:spPr>
        <a:xfrm>
          <a:off x="9584349" y="1533819"/>
          <a:ext cx="5431167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If you archive regularly, you will be able to track the trend in your balances over time</a:t>
          </a:r>
        </a:p>
      </xdr:txBody>
    </xdr:sp>
    <xdr:clientData/>
  </xdr:oneCellAnchor>
  <xdr:twoCellAnchor>
    <xdr:from>
      <xdr:col>9</xdr:col>
      <xdr:colOff>104775</xdr:colOff>
      <xdr:row>6</xdr:row>
      <xdr:rowOff>0</xdr:rowOff>
    </xdr:from>
    <xdr:to>
      <xdr:col>10</xdr:col>
      <xdr:colOff>0</xdr:colOff>
      <xdr:row>14</xdr:row>
      <xdr:rowOff>11430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F538F92B-6C52-48C3-A283-B9A5854110B6}"/>
            </a:ext>
          </a:extLst>
        </xdr:cNvPr>
        <xdr:cNvSpPr/>
      </xdr:nvSpPr>
      <xdr:spPr>
        <a:xfrm>
          <a:off x="9404985" y="1036320"/>
          <a:ext cx="97155" cy="132207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57149</xdr:colOff>
      <xdr:row>24</xdr:row>
      <xdr:rowOff>28503</xdr:rowOff>
    </xdr:from>
    <xdr:ext cx="6286501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200024" y="3943278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Cash, Brokerage, Retirement, or Real Asset (like car or house).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Institution: Where the account is held.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Brokerage, separate securities balances from cash balances. Column can be N/A or blank for physical cash or Real Assets.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Free-form description to remember what account the values relate to.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Balance: Balance of the associated account.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en-US" sz="1100" b="1" u="sng"/>
            <a:t>Tips</a:t>
          </a:r>
          <a:r>
            <a:rPr lang="en-US" sz="1100" b="1" u="sng" baseline="0"/>
            <a:t> for inputting</a:t>
          </a:r>
          <a:endParaRPr lang="en-US" sz="1100" b="1" u="sng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Sort by Institution</a:t>
          </a:r>
          <a:r>
            <a:rPr lang="en-US" sz="1100" baseline="0"/>
            <a:t> to ease input process each time</a:t>
          </a:r>
        </a:p>
      </xdr:txBody>
    </xdr:sp>
    <xdr:clientData/>
  </xdr:oneCellAnchor>
  <xdr:oneCellAnchor>
    <xdr:from>
      <xdr:col>5</xdr:col>
      <xdr:colOff>240324</xdr:colOff>
      <xdr:row>12</xdr:row>
      <xdr:rowOff>0</xdr:rowOff>
    </xdr:from>
    <xdr:ext cx="449360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6011BCC-9070-4C91-92A3-BCD9B152BD7B}"/>
            </a:ext>
          </a:extLst>
        </xdr:cNvPr>
        <xdr:cNvSpPr txBox="1"/>
      </xdr:nvSpPr>
      <xdr:spPr>
        <a:xfrm>
          <a:off x="5431449" y="1647825"/>
          <a:ext cx="4493601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Separate the Cash from balances invested in securities (Brokerage)</a:t>
          </a:r>
        </a:p>
      </xdr:txBody>
    </xdr:sp>
    <xdr:clientData/>
  </xdr:oneCellAnchor>
  <xdr:twoCellAnchor>
    <xdr:from>
      <xdr:col>5</xdr:col>
      <xdr:colOff>57150</xdr:colOff>
      <xdr:row>11</xdr:row>
      <xdr:rowOff>159727</xdr:rowOff>
    </xdr:from>
    <xdr:to>
      <xdr:col>5</xdr:col>
      <xdr:colOff>152400</xdr:colOff>
      <xdr:row>14</xdr:row>
      <xdr:rowOff>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B4475E50-306A-49CF-BCF2-CB4632F6EA57}"/>
            </a:ext>
          </a:extLst>
        </xdr:cNvPr>
        <xdr:cNvSpPr/>
      </xdr:nvSpPr>
      <xdr:spPr>
        <a:xfrm>
          <a:off x="5248275" y="997927"/>
          <a:ext cx="95250" cy="326048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4</xdr:row>
      <xdr:rowOff>126023</xdr:rowOff>
    </xdr:from>
    <xdr:ext cx="3392404" cy="25455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7250E8C-3244-9312-A752-2264046DF24F}"/>
            </a:ext>
          </a:extLst>
        </xdr:cNvPr>
        <xdr:cNvSpPr txBox="1"/>
      </xdr:nvSpPr>
      <xdr:spPr>
        <a:xfrm>
          <a:off x="5431449" y="802298"/>
          <a:ext cx="3392404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Break out each account that is within one institution</a:t>
          </a:r>
        </a:p>
      </xdr:txBody>
    </xdr:sp>
    <xdr:clientData/>
  </xdr:oneCellAnchor>
  <xdr:twoCellAnchor>
    <xdr:from>
      <xdr:col>5</xdr:col>
      <xdr:colOff>57150</xdr:colOff>
      <xdr:row>4</xdr:row>
      <xdr:rowOff>0</xdr:rowOff>
    </xdr:from>
    <xdr:to>
      <xdr:col>5</xdr:col>
      <xdr:colOff>152400</xdr:colOff>
      <xdr:row>7</xdr:row>
      <xdr:rowOff>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6FA9B7C9-7DC9-9DE7-1CA8-51DC228611B8}"/>
            </a:ext>
          </a:extLst>
        </xdr:cNvPr>
        <xdr:cNvSpPr/>
      </xdr:nvSpPr>
      <xdr:spPr>
        <a:xfrm>
          <a:off x="5253990" y="681990"/>
          <a:ext cx="95250" cy="49149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57150</xdr:colOff>
      <xdr:row>14</xdr:row>
      <xdr:rowOff>0</xdr:rowOff>
    </xdr:from>
    <xdr:to>
      <xdr:col>5</xdr:col>
      <xdr:colOff>152400</xdr:colOff>
      <xdr:row>18</xdr:row>
      <xdr:rowOff>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F860E901-BFB4-6034-BA2B-9A9F77FDBE6D}"/>
            </a:ext>
          </a:extLst>
        </xdr:cNvPr>
        <xdr:cNvSpPr/>
      </xdr:nvSpPr>
      <xdr:spPr>
        <a:xfrm>
          <a:off x="5253990" y="2316187"/>
          <a:ext cx="95250" cy="659423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15</xdr:row>
      <xdr:rowOff>47625</xdr:rowOff>
    </xdr:from>
    <xdr:ext cx="2736775" cy="25455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F533739-B94F-08A9-D236-88BE81BC9F75}"/>
            </a:ext>
          </a:extLst>
        </xdr:cNvPr>
        <xdr:cNvSpPr txBox="1"/>
      </xdr:nvSpPr>
      <xdr:spPr>
        <a:xfrm>
          <a:off x="5431449" y="2505075"/>
          <a:ext cx="2736775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Don't forget accounts with your employer</a:t>
          </a:r>
        </a:p>
      </xdr:txBody>
    </xdr:sp>
    <xdr:clientData/>
  </xdr:oneCellAnchor>
  <xdr:twoCellAnchor>
    <xdr:from>
      <xdr:col>5</xdr:col>
      <xdr:colOff>57150</xdr:colOff>
      <xdr:row>18</xdr:row>
      <xdr:rowOff>1</xdr:rowOff>
    </xdr:from>
    <xdr:to>
      <xdr:col>5</xdr:col>
      <xdr:colOff>152400</xdr:colOff>
      <xdr:row>20</xdr:row>
      <xdr:rowOff>0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BA128DB7-59FF-560C-AF14-C150F4FF5A44}"/>
            </a:ext>
          </a:extLst>
        </xdr:cNvPr>
        <xdr:cNvSpPr/>
      </xdr:nvSpPr>
      <xdr:spPr>
        <a:xfrm>
          <a:off x="5244873" y="2803072"/>
          <a:ext cx="95250" cy="326572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18</xdr:row>
      <xdr:rowOff>23813</xdr:rowOff>
    </xdr:from>
    <xdr:ext cx="3485634" cy="25455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8621848-2E81-7ABE-7025-C2871D1770DA}"/>
            </a:ext>
          </a:extLst>
        </xdr:cNvPr>
        <xdr:cNvSpPr txBox="1"/>
      </xdr:nvSpPr>
      <xdr:spPr>
        <a:xfrm>
          <a:off x="5431449" y="2805113"/>
          <a:ext cx="3485634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Best estimate of current market price for Real Assets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419100</xdr:colOff>
      <xdr:row>26</xdr:row>
      <xdr:rowOff>85725</xdr:rowOff>
    </xdr:from>
    <xdr:ext cx="3962399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542925" y="4324350"/>
          <a:ext cx="3962399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Account: Freeform field to reference each account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/>
            <a:t>Due Day: Just the day of the month that payments are due.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end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month due dates input "=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EndDayOfCurrentMonth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 in the Due Day column</a:t>
          </a:r>
          <a:endParaRPr lang="en-US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Balance:</a:t>
          </a:r>
          <a:r>
            <a:rPr lang="en-US" sz="1100" baseline="0"/>
            <a:t> Total drawn on the account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Statement: Posted balance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Current (T) Payment: What you intend to pay next time (typically you want it to be the total statement balance)</a:t>
          </a:r>
        </a:p>
      </xdr:txBody>
    </xdr:sp>
    <xdr:clientData/>
  </xdr:oneCellAnchor>
  <xdr:oneCellAnchor>
    <xdr:from>
      <xdr:col>1</xdr:col>
      <xdr:colOff>1714500</xdr:colOff>
      <xdr:row>9</xdr:row>
      <xdr:rowOff>57150</xdr:rowOff>
    </xdr:from>
    <xdr:ext cx="2028825" cy="74122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FDAF72C-D189-4EEF-856D-48043B8CF42A}"/>
            </a:ext>
          </a:extLst>
        </xdr:cNvPr>
        <xdr:cNvSpPr txBox="1"/>
      </xdr:nvSpPr>
      <xdr:spPr>
        <a:xfrm>
          <a:off x="1838325" y="1543050"/>
          <a:ext cx="2028825" cy="741229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When the payment is due at the end of a month, input the custom built formula "=EndDayOfCurrentMonth"</a:t>
          </a:r>
        </a:p>
      </xdr:txBody>
    </xdr:sp>
    <xdr:clientData/>
  </xdr:oneCellAnchor>
  <xdr:oneCellAnchor>
    <xdr:from>
      <xdr:col>9</xdr:col>
      <xdr:colOff>600076</xdr:colOff>
      <xdr:row>3</xdr:row>
      <xdr:rowOff>28575</xdr:rowOff>
    </xdr:from>
    <xdr:ext cx="2929778" cy="41678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DD7CB12-B90B-CEDD-36F1-3D3C2F73383E}"/>
            </a:ext>
          </a:extLst>
        </xdr:cNvPr>
        <xdr:cNvSpPr txBox="1"/>
      </xdr:nvSpPr>
      <xdr:spPr>
        <a:xfrm>
          <a:off x="12657605" y="532840"/>
          <a:ext cx="2929778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The first row typically houses formulas that populate down for each row</a:t>
          </a:r>
        </a:p>
      </xdr:txBody>
    </xdr:sp>
    <xdr:clientData/>
  </xdr:oneCellAnchor>
  <xdr:twoCellAnchor>
    <xdr:from>
      <xdr:col>9</xdr:col>
      <xdr:colOff>104775</xdr:colOff>
      <xdr:row>3</xdr:row>
      <xdr:rowOff>95250</xdr:rowOff>
    </xdr:from>
    <xdr:to>
      <xdr:col>9</xdr:col>
      <xdr:colOff>514350</xdr:colOff>
      <xdr:row>3</xdr:row>
      <xdr:rowOff>95250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2D9CB28-3559-888C-1FFA-FF053657965A}"/>
            </a:ext>
          </a:extLst>
        </xdr:cNvPr>
        <xdr:cNvCxnSpPr/>
      </xdr:nvCxnSpPr>
      <xdr:spPr>
        <a:xfrm flipH="1">
          <a:off x="12172950" y="609600"/>
          <a:ext cx="4095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2728913</xdr:colOff>
      <xdr:row>6</xdr:row>
      <xdr:rowOff>104775</xdr:rowOff>
    </xdr:from>
    <xdr:to>
      <xdr:col>2</xdr:col>
      <xdr:colOff>752464</xdr:colOff>
      <xdr:row>9</xdr:row>
      <xdr:rowOff>57150</xdr:rowOff>
    </xdr:to>
    <xdr:cxnSp macro="">
      <xdr:nvCxnSpPr>
        <xdr:cNvPr id="10" name="Connector: Elbow 9">
          <a:extLst>
            <a:ext uri="{FF2B5EF4-FFF2-40B4-BE49-F238E27FC236}">
              <a16:creationId xmlns:a16="http://schemas.microsoft.com/office/drawing/2014/main" id="{E4F3806E-B419-38FD-5A09-BAE12D7B4081}"/>
            </a:ext>
          </a:extLst>
        </xdr:cNvPr>
        <xdr:cNvCxnSpPr>
          <a:stCxn id="3" idx="0"/>
        </xdr:cNvCxnSpPr>
      </xdr:nvCxnSpPr>
      <xdr:spPr>
        <a:xfrm rot="5400000" flipH="1" flipV="1">
          <a:off x="3069426" y="888212"/>
          <a:ext cx="438150" cy="871526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</xdr:row>
      <xdr:rowOff>123825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1ED5A9-4FC0-4C22-8680-40C4291474F7}"/>
            </a:ext>
          </a:extLst>
        </xdr:cNvPr>
        <xdr:cNvSpPr txBox="1"/>
      </xdr:nvSpPr>
      <xdr:spPr>
        <a:xfrm>
          <a:off x="581025" y="3067050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any </a:t>
          </a:r>
          <a:r>
            <a:rPr lang="en-US" sz="1100" baseline="0"/>
            <a:t>loans including for a car, house, large purchases etc.</a:t>
          </a:r>
        </a:p>
      </xdr:txBody>
    </xdr:sp>
    <xdr:clientData/>
  </xdr:oneCellAnchor>
  <xdr:oneCellAnchor>
    <xdr:from>
      <xdr:col>2</xdr:col>
      <xdr:colOff>723900</xdr:colOff>
      <xdr:row>7</xdr:row>
      <xdr:rowOff>85725</xdr:rowOff>
    </xdr:from>
    <xdr:ext cx="2590800" cy="5790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56D526-0C02-4D36-BE79-3F88F90FC6EE}"/>
            </a:ext>
          </a:extLst>
        </xdr:cNvPr>
        <xdr:cNvSpPr txBox="1"/>
      </xdr:nvSpPr>
      <xdr:spPr>
        <a:xfrm>
          <a:off x="2400300" y="1247775"/>
          <a:ext cx="2590800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Input aggregated loan balances if appropriate, or break them out if you'd like</a:t>
          </a:r>
        </a:p>
      </xdr:txBody>
    </xdr:sp>
    <xdr:clientData/>
  </xdr:oneCellAnchor>
  <xdr:twoCellAnchor>
    <xdr:from>
      <xdr:col>3</xdr:col>
      <xdr:colOff>123827</xdr:colOff>
      <xdr:row>3</xdr:row>
      <xdr:rowOff>95249</xdr:rowOff>
    </xdr:from>
    <xdr:to>
      <xdr:col>4</xdr:col>
      <xdr:colOff>381001</xdr:colOff>
      <xdr:row>7</xdr:row>
      <xdr:rowOff>85725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C2A4F7A1-B9E4-4DFA-81BE-E11D81E68F31}"/>
            </a:ext>
          </a:extLst>
        </xdr:cNvPr>
        <xdr:cNvCxnSpPr>
          <a:stCxn id="3" idx="0"/>
        </xdr:cNvCxnSpPr>
      </xdr:nvCxnSpPr>
      <xdr:spPr>
        <a:xfrm rot="16200000" flipV="1">
          <a:off x="2943226" y="495300"/>
          <a:ext cx="638176" cy="86677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29</xdr:row>
      <xdr:rowOff>9525</xdr:rowOff>
    </xdr:from>
    <xdr:ext cx="6286501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5B63D-9098-4746-8428-7D784C83B95E}"/>
            </a:ext>
          </a:extLst>
        </xdr:cNvPr>
        <xdr:cNvSpPr txBox="1"/>
      </xdr:nvSpPr>
      <xdr:spPr>
        <a:xfrm>
          <a:off x="142875" y="4733925"/>
          <a:ext cx="6286501" cy="4167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all credit card, airline,</a:t>
          </a:r>
          <a:r>
            <a:rPr lang="en-US" sz="1100" baseline="0"/>
            <a:t> hotel or other rewards balances. Do your own research to find cash redemption value and average value.</a:t>
          </a:r>
        </a:p>
      </xdr:txBody>
    </xdr:sp>
    <xdr:clientData/>
  </xdr:oneCellAnchor>
  <xdr:oneCellAnchor>
    <xdr:from>
      <xdr:col>2</xdr:col>
      <xdr:colOff>114300</xdr:colOff>
      <xdr:row>14</xdr:row>
      <xdr:rowOff>142875</xdr:rowOff>
    </xdr:from>
    <xdr:ext cx="2590800" cy="5790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2541148-FEA1-465D-A97E-54DF5AF49D5A}"/>
            </a:ext>
          </a:extLst>
        </xdr:cNvPr>
        <xdr:cNvSpPr txBox="1"/>
      </xdr:nvSpPr>
      <xdr:spPr>
        <a:xfrm>
          <a:off x="3800475" y="2600325"/>
          <a:ext cx="2590800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Represents the value that you would get to redeem the points against your credit card balances. Typically 1:1</a:t>
          </a:r>
        </a:p>
      </xdr:txBody>
    </xdr:sp>
    <xdr:clientData/>
  </xdr:oneCellAnchor>
  <xdr:oneCellAnchor>
    <xdr:from>
      <xdr:col>2</xdr:col>
      <xdr:colOff>628650</xdr:colOff>
      <xdr:row>21</xdr:row>
      <xdr:rowOff>152400</xdr:rowOff>
    </xdr:from>
    <xdr:ext cx="4029075" cy="579005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491DEDE-9062-EB8F-36A1-4B18DBB23837}"/>
            </a:ext>
          </a:extLst>
        </xdr:cNvPr>
        <xdr:cNvSpPr txBox="1"/>
      </xdr:nvSpPr>
      <xdr:spPr>
        <a:xfrm>
          <a:off x="4314825" y="3743325"/>
          <a:ext cx="4029075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Represents the average value, or your hurdle value, that you expect to get redeeming points on travel, lodging, transferring to partners, or via other means</a:t>
          </a:r>
        </a:p>
      </xdr:txBody>
    </xdr:sp>
    <xdr:clientData/>
  </xdr:oneCellAnchor>
  <xdr:twoCellAnchor>
    <xdr:from>
      <xdr:col>3</xdr:col>
      <xdr:colOff>847725</xdr:colOff>
      <xdr:row>3</xdr:row>
      <xdr:rowOff>133350</xdr:rowOff>
    </xdr:from>
    <xdr:to>
      <xdr:col>3</xdr:col>
      <xdr:colOff>847725</xdr:colOff>
      <xdr:row>14</xdr:row>
      <xdr:rowOff>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B4E6A10-A940-BDC1-5593-85F1C05DE29C}"/>
            </a:ext>
          </a:extLst>
        </xdr:cNvPr>
        <xdr:cNvCxnSpPr/>
      </xdr:nvCxnSpPr>
      <xdr:spPr>
        <a:xfrm flipV="1">
          <a:off x="5800725" y="647700"/>
          <a:ext cx="0" cy="1809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3</xdr:row>
      <xdr:rowOff>142875</xdr:rowOff>
    </xdr:from>
    <xdr:to>
      <xdr:col>4</xdr:col>
      <xdr:colOff>495300</xdr:colOff>
      <xdr:row>21</xdr:row>
      <xdr:rowOff>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A347062-3923-A94D-44F5-21A3B303E0B0}"/>
            </a:ext>
          </a:extLst>
        </xdr:cNvPr>
        <xdr:cNvCxnSpPr/>
      </xdr:nvCxnSpPr>
      <xdr:spPr>
        <a:xfrm flipV="1">
          <a:off x="7181850" y="657225"/>
          <a:ext cx="0" cy="2933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161925</xdr:colOff>
      <xdr:row>1</xdr:row>
      <xdr:rowOff>76200</xdr:rowOff>
    </xdr:from>
    <xdr:ext cx="2447925" cy="5790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F80DBB4-DF09-EF13-CA7A-D9491AA98E87}"/>
            </a:ext>
          </a:extLst>
        </xdr:cNvPr>
        <xdr:cNvSpPr txBox="1"/>
      </xdr:nvSpPr>
      <xdr:spPr>
        <a:xfrm>
          <a:off x="10277475" y="238125"/>
          <a:ext cx="2447925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Cash value and upside value are taken into account in aggregated balance and net worth calculations</a:t>
          </a:r>
        </a:p>
      </xdr:txBody>
    </xdr:sp>
    <xdr:clientData/>
  </xdr:oneCellAnchor>
  <xdr:twoCellAnchor>
    <xdr:from>
      <xdr:col>8</xdr:col>
      <xdr:colOff>85725</xdr:colOff>
      <xdr:row>2</xdr:row>
      <xdr:rowOff>85725</xdr:rowOff>
    </xdr:from>
    <xdr:to>
      <xdr:col>9</xdr:col>
      <xdr:colOff>76200</xdr:colOff>
      <xdr:row>2</xdr:row>
      <xdr:rowOff>85725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BD0F624-58EC-41F5-9623-B25977EE14FC}"/>
            </a:ext>
          </a:extLst>
        </xdr:cNvPr>
        <xdr:cNvCxnSpPr/>
      </xdr:nvCxnSpPr>
      <xdr:spPr>
        <a:xfrm flipH="1">
          <a:off x="9591675" y="4095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228599</xdr:colOff>
      <xdr:row>27</xdr:row>
      <xdr:rowOff>9525</xdr:rowOff>
    </xdr:from>
    <xdr:ext cx="6286501" cy="155234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160E4-4B7B-4913-82AD-BAD47B8F5881}"/>
            </a:ext>
          </a:extLst>
        </xdr:cNvPr>
        <xdr:cNvSpPr txBox="1"/>
      </xdr:nvSpPr>
      <xdr:spPr>
        <a:xfrm>
          <a:off x="10620374" y="4410075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Dues &amp; Memberships,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Health,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Groceries,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Food &amp; Drinks,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Retirement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 Deductions,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Salary</a:t>
          </a:r>
          <a:r>
            <a:rPr lang="en-US"/>
            <a:t> 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en-US" sz="1100" baseline="0"/>
            <a:t>Salary should be pre-everything (tax, medicare, social security, savings deductions, etc). Deductions like taxes can be calculated based on the Precedents inputs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Any Due Date: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Day in which the recurring payment has or will occur. This ensures the formula calculates the correct coming due dates. Input the following formula for end-of month due dates "=EndDayOfCurrentMonth".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  <xdr:oneCellAnchor>
    <xdr:from>
      <xdr:col>9</xdr:col>
      <xdr:colOff>440349</xdr:colOff>
      <xdr:row>10</xdr:row>
      <xdr:rowOff>152400</xdr:rowOff>
    </xdr:from>
    <xdr:ext cx="2245702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BB5BAE3-A36E-4E3D-A860-9F75FF2543BE}"/>
            </a:ext>
          </a:extLst>
        </xdr:cNvPr>
        <xdr:cNvSpPr txBox="1"/>
      </xdr:nvSpPr>
      <xdr:spPr>
        <a:xfrm>
          <a:off x="10470174" y="1800225"/>
          <a:ext cx="2245702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a bi-annual payment</a:t>
          </a:r>
        </a:p>
      </xdr:txBody>
    </xdr:sp>
    <xdr:clientData/>
  </xdr:oneCellAnchor>
  <xdr:twoCellAnchor>
    <xdr:from>
      <xdr:col>9</xdr:col>
      <xdr:colOff>57150</xdr:colOff>
      <xdr:row>11</xdr:row>
      <xdr:rowOff>95250</xdr:rowOff>
    </xdr:from>
    <xdr:to>
      <xdr:col>9</xdr:col>
      <xdr:colOff>371475</xdr:colOff>
      <xdr:row>11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25DB2CBD-9F9B-45D7-8425-AD6CA0C33206}"/>
            </a:ext>
          </a:extLst>
        </xdr:cNvPr>
        <xdr:cNvCxnSpPr/>
      </xdr:nvCxnSpPr>
      <xdr:spPr>
        <a:xfrm flipH="1">
          <a:off x="10086975" y="1905000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440349</xdr:colOff>
      <xdr:row>19</xdr:row>
      <xdr:rowOff>0</xdr:rowOff>
    </xdr:from>
    <xdr:ext cx="2245702" cy="41678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8596775-3DEC-841D-2826-8B04FE328292}"/>
            </a:ext>
          </a:extLst>
        </xdr:cNvPr>
        <xdr:cNvSpPr txBox="1"/>
      </xdr:nvSpPr>
      <xdr:spPr>
        <a:xfrm>
          <a:off x="10476978" y="3129643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a weekend only payment</a:t>
          </a:r>
        </a:p>
      </xdr:txBody>
    </xdr:sp>
    <xdr:clientData/>
  </xdr:oneCellAnchor>
  <xdr:twoCellAnchor>
    <xdr:from>
      <xdr:col>9</xdr:col>
      <xdr:colOff>95250</xdr:colOff>
      <xdr:row>19</xdr:row>
      <xdr:rowOff>1</xdr:rowOff>
    </xdr:from>
    <xdr:to>
      <xdr:col>9</xdr:col>
      <xdr:colOff>190500</xdr:colOff>
      <xdr:row>21</xdr:row>
      <xdr:rowOff>1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F24209A-37EB-4057-A814-A092D5E51024}"/>
            </a:ext>
          </a:extLst>
        </xdr:cNvPr>
        <xdr:cNvSpPr/>
      </xdr:nvSpPr>
      <xdr:spPr>
        <a:xfrm>
          <a:off x="10134600" y="3139441"/>
          <a:ext cx="95250" cy="32766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219074</xdr:colOff>
      <xdr:row>18</xdr:row>
      <xdr:rowOff>0</xdr:rowOff>
    </xdr:from>
    <xdr:ext cx="6286501" cy="17145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767F45-B75F-4CF8-A72A-BFCDD042214B}"/>
            </a:ext>
          </a:extLst>
        </xdr:cNvPr>
        <xdr:cNvSpPr txBox="1"/>
      </xdr:nvSpPr>
      <xdr:spPr>
        <a:xfrm>
          <a:off x="352424" y="2943225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items that are</a:t>
          </a:r>
          <a:r>
            <a:rPr lang="en-US" sz="1100" b="0" u="none" baseline="0"/>
            <a:t> variable based on Salary or Bonus. Reference your pay stub and make calculations.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Taxes, Retirement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Deductions, Other Deductions, Employer Retirement Contributions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Federal and State Taxes or 401k contribution (and employer match)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Dependent On: What the Item is based on. For example, you might have Federal tax of 20% of Salary and 25% of Bonus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Percentage: Calculate based on your paystub</a:t>
          </a:r>
          <a:endParaRPr lang="en-US" sz="1100" baseline="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533400</xdr:colOff>
      <xdr:row>16</xdr:row>
      <xdr:rowOff>114527</xdr:rowOff>
    </xdr:from>
    <xdr:ext cx="6286501" cy="1227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DD86FE-0FA9-4613-9788-62BD61807C3B}"/>
            </a:ext>
          </a:extLst>
        </xdr:cNvPr>
        <xdr:cNvSpPr txBox="1"/>
      </xdr:nvSpPr>
      <xdr:spPr>
        <a:xfrm>
          <a:off x="695325" y="2762477"/>
          <a:ext cx="6286501" cy="12279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changes to recurring cash flows that you know of or expect. </a:t>
          </a:r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Net Change: What is the dollar amount higher or lower that the recurring item is going to change (per recurrence)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the change is expected to take effect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  <xdr:oneCellAnchor>
    <xdr:from>
      <xdr:col>8</xdr:col>
      <xdr:colOff>497499</xdr:colOff>
      <xdr:row>4</xdr:row>
      <xdr:rowOff>114300</xdr:rowOff>
    </xdr:from>
    <xdr:ext cx="2245702" cy="41678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2A35DF-AF28-4B70-8504-ED1F3196E02A}"/>
            </a:ext>
          </a:extLst>
        </xdr:cNvPr>
        <xdr:cNvSpPr txBox="1"/>
      </xdr:nvSpPr>
      <xdr:spPr>
        <a:xfrm>
          <a:off x="8688999" y="819150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netting out a loan payment after the loan is paid off</a:t>
          </a:r>
        </a:p>
      </xdr:txBody>
    </xdr:sp>
    <xdr:clientData/>
  </xdr:oneCellAnchor>
  <xdr:twoCellAnchor>
    <xdr:from>
      <xdr:col>8</xdr:col>
      <xdr:colOff>114300</xdr:colOff>
      <xdr:row>5</xdr:row>
      <xdr:rowOff>57150</xdr:rowOff>
    </xdr:from>
    <xdr:to>
      <xdr:col>8</xdr:col>
      <xdr:colOff>428625</xdr:colOff>
      <xdr:row>5</xdr:row>
      <xdr:rowOff>57150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E40FA12E-B945-4876-8630-E5BF6E4AC5C8}"/>
            </a:ext>
          </a:extLst>
        </xdr:cNvPr>
        <xdr:cNvCxnSpPr/>
      </xdr:nvCxnSpPr>
      <xdr:spPr>
        <a:xfrm flipH="1">
          <a:off x="8305800" y="92392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219074</xdr:colOff>
      <xdr:row>20</xdr:row>
      <xdr:rowOff>142875</xdr:rowOff>
    </xdr:from>
    <xdr:ext cx="6286501" cy="236346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B7F66D-F9B1-4FF9-BC17-419AAD4C5661}"/>
            </a:ext>
          </a:extLst>
        </xdr:cNvPr>
        <xdr:cNvSpPr txBox="1"/>
      </xdr:nvSpPr>
      <xdr:spPr>
        <a:xfrm>
          <a:off x="390524" y="3733800"/>
          <a:ext cx="6286501" cy="236346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one-time planned purchases or inflows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Bonus,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Friend Fees,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Selling &amp; Refunds,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Cashout,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Wishlist,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Travel &amp; Events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an expected bonus, travel costs, brokerage account cashouts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you expect the inflow or outflow to occur.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en-US" sz="11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Credit Card specific guidance: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If Credit Card payment, ensure the input matches the same name in the Credit Cards tab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If a Credit Card payment, use the function CurrentDueDate or NextDueDate and reference the Account column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7</xdr:col>
      <xdr:colOff>215559</xdr:colOff>
      <xdr:row>6</xdr:row>
      <xdr:rowOff>144780</xdr:rowOff>
    </xdr:from>
    <xdr:ext cx="2245702" cy="41678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4B81D1-F3F7-4D35-B903-877968B6DA93}"/>
            </a:ext>
          </a:extLst>
        </xdr:cNvPr>
        <xdr:cNvSpPr txBox="1"/>
      </xdr:nvSpPr>
      <xdr:spPr>
        <a:xfrm>
          <a:off x="9607209" y="1144905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Custom formulas used for credit card payments</a:t>
          </a:r>
        </a:p>
      </xdr:txBody>
    </xdr:sp>
    <xdr:clientData/>
  </xdr:oneCellAnchor>
  <xdr:twoCellAnchor>
    <xdr:from>
      <xdr:col>7</xdr:col>
      <xdr:colOff>49530</xdr:colOff>
      <xdr:row>6</xdr:row>
      <xdr:rowOff>0</xdr:rowOff>
    </xdr:from>
    <xdr:to>
      <xdr:col>7</xdr:col>
      <xdr:colOff>144780</xdr:colOff>
      <xdr:row>10</xdr:row>
      <xdr:rowOff>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98CB5A01-FF68-4469-A6E6-34CD09ED9A05}"/>
            </a:ext>
          </a:extLst>
        </xdr:cNvPr>
        <xdr:cNvSpPr/>
      </xdr:nvSpPr>
      <xdr:spPr>
        <a:xfrm>
          <a:off x="9444990" y="1009650"/>
          <a:ext cx="95250" cy="65532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4876799" cy="3238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52BB99-5B32-4DEF-B976-DC8DEBDA85B2}"/>
            </a:ext>
          </a:extLst>
        </xdr:cNvPr>
        <xdr:cNvSpPr txBox="1"/>
      </xdr:nvSpPr>
      <xdr:spPr>
        <a:xfrm>
          <a:off x="4181475" y="1457325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Elect which account you are going to have all your cash flow in and out of</a:t>
          </a:r>
          <a:endParaRPr lang="en-US" sz="1100">
            <a:effectLst/>
          </a:endParaRPr>
        </a:p>
      </xdr:txBody>
    </xdr:sp>
    <xdr:clientData/>
  </xdr:oneCellAnchor>
  <xdr:oneCellAnchor>
    <xdr:from>
      <xdr:col>3</xdr:col>
      <xdr:colOff>0</xdr:colOff>
      <xdr:row>5</xdr:row>
      <xdr:rowOff>0</xdr:rowOff>
    </xdr:from>
    <xdr:ext cx="4876799" cy="6477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859425-3763-6596-C363-6B79BCB2B839}"/>
            </a:ext>
          </a:extLst>
        </xdr:cNvPr>
        <xdr:cNvSpPr txBox="1"/>
      </xdr:nvSpPr>
      <xdr:spPr>
        <a:xfrm>
          <a:off x="4181475" y="1943100"/>
          <a:ext cx="4876799" cy="647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How much of</a:t>
          </a:r>
          <a:r>
            <a:rPr lang="en-US" sz="1100" b="0" u="none" baseline="0"/>
            <a:t> a balance you want to hold in each account. Based on the number of months of outflows that you want to make sure you have in the accounts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PNC">
      <a:dk1>
        <a:srgbClr val="000000"/>
      </a:dk1>
      <a:lt1>
        <a:srgbClr val="FFFFFF"/>
      </a:lt1>
      <a:dk2>
        <a:srgbClr val="005288"/>
      </a:dk2>
      <a:lt2>
        <a:srgbClr val="DCF1F7"/>
      </a:lt2>
      <a:accent1>
        <a:srgbClr val="5B9BD5"/>
      </a:accent1>
      <a:accent2>
        <a:srgbClr val="ED9131"/>
      </a:accent2>
      <a:accent3>
        <a:srgbClr val="70AD47"/>
      </a:accent3>
      <a:accent4>
        <a:srgbClr val="FCC000"/>
      </a:accent4>
      <a:accent5>
        <a:srgbClr val="4472C4"/>
      </a:accent5>
      <a:accent6>
        <a:srgbClr val="A5A5A5"/>
      </a:accent6>
      <a:hlink>
        <a:srgbClr val="7F7F7F"/>
      </a:hlink>
      <a:folHlink>
        <a:srgbClr val="ABB0B4"/>
      </a:folHlink>
    </a:clrScheme>
    <a:fontScheme name="PNC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5CA-0AF3-461D-AB50-28AABC488268}">
  <sheetPr codeName="Sheet1">
    <tabColor rgb="FFFF0000"/>
  </sheetPr>
  <dimension ref="B2:C19"/>
  <sheetViews>
    <sheetView workbookViewId="0">
      <selection activeCell="L16" sqref="L16"/>
    </sheetView>
  </sheetViews>
  <sheetFormatPr defaultRowHeight="12.75" x14ac:dyDescent="0.2"/>
  <cols>
    <col min="1" max="1" width="2.7109375" customWidth="1"/>
    <col min="2" max="2" width="20" bestFit="1" customWidth="1"/>
    <col min="3" max="3" width="9.140625" style="199"/>
  </cols>
  <sheetData>
    <row r="2" spans="2:3" x14ac:dyDescent="0.2">
      <c r="B2" s="14" t="s">
        <v>246</v>
      </c>
    </row>
    <row r="3" spans="2:3" x14ac:dyDescent="0.2">
      <c r="B3" s="14" t="s">
        <v>220</v>
      </c>
    </row>
    <row r="4" spans="2:3" x14ac:dyDescent="0.2">
      <c r="B4" s="14" t="s">
        <v>247</v>
      </c>
    </row>
    <row r="5" spans="2:3" x14ac:dyDescent="0.2">
      <c r="B5" s="14" t="s">
        <v>348</v>
      </c>
    </row>
    <row r="6" spans="2:3" x14ac:dyDescent="0.2">
      <c r="B6" s="14" t="s">
        <v>219</v>
      </c>
    </row>
    <row r="7" spans="2:3" x14ac:dyDescent="0.2">
      <c r="B7" s="14" t="s">
        <v>269</v>
      </c>
    </row>
    <row r="8" spans="2:3" x14ac:dyDescent="0.2">
      <c r="B8" s="14" t="s">
        <v>347</v>
      </c>
    </row>
    <row r="11" spans="2:3" x14ac:dyDescent="0.2">
      <c r="B11" s="135" t="s">
        <v>313</v>
      </c>
    </row>
    <row r="12" spans="2:3" x14ac:dyDescent="0.2">
      <c r="B12" s="14" t="s">
        <v>257</v>
      </c>
      <c r="C12" s="200" t="s">
        <v>314</v>
      </c>
    </row>
    <row r="13" spans="2:3" x14ac:dyDescent="0.2">
      <c r="B13" s="14" t="s">
        <v>25</v>
      </c>
      <c r="C13" s="199">
        <v>20</v>
      </c>
    </row>
    <row r="14" spans="2:3" x14ac:dyDescent="0.2">
      <c r="B14" s="14" t="s">
        <v>7</v>
      </c>
      <c r="C14" s="200" t="s">
        <v>314</v>
      </c>
    </row>
    <row r="15" spans="2:3" x14ac:dyDescent="0.2">
      <c r="B15" s="14" t="s">
        <v>315</v>
      </c>
      <c r="C15" s="199">
        <v>50</v>
      </c>
    </row>
    <row r="16" spans="2:3" x14ac:dyDescent="0.2">
      <c r="B16" s="14" t="s">
        <v>116</v>
      </c>
      <c r="C16" s="199">
        <v>50</v>
      </c>
    </row>
    <row r="17" spans="2:3" x14ac:dyDescent="0.2">
      <c r="B17" s="14" t="s">
        <v>316</v>
      </c>
      <c r="C17" s="200" t="s">
        <v>314</v>
      </c>
    </row>
    <row r="18" spans="2:3" x14ac:dyDescent="0.2">
      <c r="B18" s="14" t="s">
        <v>317</v>
      </c>
      <c r="C18" s="199">
        <v>20</v>
      </c>
    </row>
    <row r="19" spans="2:3" x14ac:dyDescent="0.2">
      <c r="B19" s="14" t="s">
        <v>117</v>
      </c>
      <c r="C19" s="199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E363-6E06-445A-A33D-5E17F3BDB645}">
  <sheetPr codeName="Sheet28"/>
  <dimension ref="A1"/>
  <sheetViews>
    <sheetView workbookViewId="0"/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1E00-08A8-4C29-AC9B-000C205672BD}">
  <sheetPr codeName="Sheet18">
    <tabColor theme="9"/>
  </sheetPr>
  <dimension ref="A1:AY58"/>
  <sheetViews>
    <sheetView workbookViewId="0"/>
  </sheetViews>
  <sheetFormatPr defaultColWidth="8" defaultRowHeight="11.25" x14ac:dyDescent="0.2"/>
  <cols>
    <col min="1" max="1" width="17.28515625" style="157" bestFit="1" customWidth="1"/>
    <col min="2" max="51" width="15.5703125" style="157" customWidth="1"/>
    <col min="52" max="16384" width="8" style="157"/>
  </cols>
  <sheetData>
    <row r="1" spans="1:51" x14ac:dyDescent="0.2">
      <c r="B1" s="157">
        <v>1</v>
      </c>
      <c r="C1" s="157">
        <f>B1+1</f>
        <v>2</v>
      </c>
      <c r="D1" s="157">
        <f t="shared" ref="D1:AY1" si="0">C1+1</f>
        <v>3</v>
      </c>
      <c r="E1" s="157">
        <f t="shared" si="0"/>
        <v>4</v>
      </c>
      <c r="F1" s="157">
        <f t="shared" si="0"/>
        <v>5</v>
      </c>
      <c r="G1" s="157">
        <f t="shared" si="0"/>
        <v>6</v>
      </c>
      <c r="H1" s="157">
        <f t="shared" si="0"/>
        <v>7</v>
      </c>
      <c r="I1" s="157">
        <f t="shared" si="0"/>
        <v>8</v>
      </c>
      <c r="J1" s="157">
        <f t="shared" si="0"/>
        <v>9</v>
      </c>
      <c r="K1" s="157">
        <f t="shared" si="0"/>
        <v>10</v>
      </c>
      <c r="L1" s="157">
        <f t="shared" si="0"/>
        <v>11</v>
      </c>
      <c r="M1" s="157">
        <f t="shared" si="0"/>
        <v>12</v>
      </c>
      <c r="N1" s="157">
        <f t="shared" si="0"/>
        <v>13</v>
      </c>
      <c r="O1" s="157">
        <f t="shared" si="0"/>
        <v>14</v>
      </c>
      <c r="P1" s="157">
        <f t="shared" si="0"/>
        <v>15</v>
      </c>
      <c r="Q1" s="157">
        <f t="shared" si="0"/>
        <v>16</v>
      </c>
      <c r="R1" s="157">
        <f t="shared" si="0"/>
        <v>17</v>
      </c>
      <c r="S1" s="157">
        <f t="shared" si="0"/>
        <v>18</v>
      </c>
      <c r="T1" s="157">
        <f t="shared" si="0"/>
        <v>19</v>
      </c>
      <c r="U1" s="157">
        <f t="shared" si="0"/>
        <v>20</v>
      </c>
      <c r="V1" s="157">
        <f t="shared" si="0"/>
        <v>21</v>
      </c>
      <c r="W1" s="157">
        <f t="shared" si="0"/>
        <v>22</v>
      </c>
      <c r="X1" s="157">
        <f t="shared" si="0"/>
        <v>23</v>
      </c>
      <c r="Y1" s="157">
        <f t="shared" si="0"/>
        <v>24</v>
      </c>
      <c r="Z1" s="157">
        <f t="shared" si="0"/>
        <v>25</v>
      </c>
      <c r="AA1" s="157">
        <f t="shared" si="0"/>
        <v>26</v>
      </c>
      <c r="AB1" s="157">
        <f t="shared" si="0"/>
        <v>27</v>
      </c>
      <c r="AC1" s="157">
        <f t="shared" si="0"/>
        <v>28</v>
      </c>
      <c r="AD1" s="157">
        <f t="shared" si="0"/>
        <v>29</v>
      </c>
      <c r="AE1" s="157">
        <f t="shared" si="0"/>
        <v>30</v>
      </c>
      <c r="AF1" s="157">
        <f t="shared" si="0"/>
        <v>31</v>
      </c>
      <c r="AG1" s="157">
        <f t="shared" si="0"/>
        <v>32</v>
      </c>
      <c r="AH1" s="157">
        <f t="shared" si="0"/>
        <v>33</v>
      </c>
      <c r="AI1" s="157">
        <f t="shared" si="0"/>
        <v>34</v>
      </c>
      <c r="AJ1" s="157">
        <f t="shared" si="0"/>
        <v>35</v>
      </c>
      <c r="AK1" s="157">
        <f t="shared" si="0"/>
        <v>36</v>
      </c>
      <c r="AL1" s="157">
        <f t="shared" si="0"/>
        <v>37</v>
      </c>
      <c r="AM1" s="157">
        <f t="shared" si="0"/>
        <v>38</v>
      </c>
      <c r="AN1" s="157">
        <f t="shared" si="0"/>
        <v>39</v>
      </c>
      <c r="AO1" s="157">
        <f t="shared" si="0"/>
        <v>40</v>
      </c>
      <c r="AP1" s="157">
        <f t="shared" si="0"/>
        <v>41</v>
      </c>
      <c r="AQ1" s="157">
        <f t="shared" si="0"/>
        <v>42</v>
      </c>
      <c r="AR1" s="157">
        <f t="shared" si="0"/>
        <v>43</v>
      </c>
      <c r="AS1" s="157">
        <f t="shared" si="0"/>
        <v>44</v>
      </c>
      <c r="AT1" s="157">
        <f t="shared" si="0"/>
        <v>45</v>
      </c>
      <c r="AU1" s="157">
        <f t="shared" si="0"/>
        <v>46</v>
      </c>
      <c r="AV1" s="157">
        <f t="shared" si="0"/>
        <v>47</v>
      </c>
      <c r="AW1" s="157">
        <f t="shared" si="0"/>
        <v>48</v>
      </c>
      <c r="AX1" s="157">
        <f t="shared" si="0"/>
        <v>49</v>
      </c>
      <c r="AY1" s="157">
        <f t="shared" si="0"/>
        <v>50</v>
      </c>
    </row>
    <row r="2" spans="1:51" x14ac:dyDescent="0.2">
      <c r="A2" s="157" t="s">
        <v>226</v>
      </c>
      <c r="B2" s="177" t="str" cm="1">
        <f t="array" ref="B2:X2">TRANSPOSE(_xlfn._xlws.FILTER(Recurring!$B$4:$B$53,ISNUMBER(Recurring!$G$4:$G$53)))</f>
        <v>Salary</v>
      </c>
      <c r="C2" s="157" t="str">
        <v>Retirement Contributions</v>
      </c>
      <c r="D2" s="157" t="str">
        <v>Other Deductions</v>
      </c>
      <c r="E2" s="157" t="str">
        <v>Other Deductions</v>
      </c>
      <c r="F2" s="157" t="str">
        <v>Other Deductions</v>
      </c>
      <c r="G2" s="157" t="str">
        <v>Other Deductions</v>
      </c>
      <c r="H2" s="157" t="str">
        <v>Housing</v>
      </c>
      <c r="I2" s="157" t="str">
        <v>Housing</v>
      </c>
      <c r="J2" s="157" t="str">
        <v>Transportation</v>
      </c>
      <c r="K2" s="157" t="str">
        <v>Transportation</v>
      </c>
      <c r="L2" s="157" t="str">
        <v>Dues &amp; Memberships</v>
      </c>
      <c r="M2" s="157" t="str">
        <v>Dues &amp; Memberships</v>
      </c>
      <c r="N2" s="157" t="str">
        <v>Dues &amp; Memberships</v>
      </c>
      <c r="O2" s="157" t="str">
        <v>Dues &amp; Memberships</v>
      </c>
      <c r="P2" s="157" t="str">
        <v>Dues &amp; Memberships</v>
      </c>
      <c r="Q2" s="157" t="str">
        <v>Groceries</v>
      </c>
      <c r="R2" s="157" t="str">
        <v>Food &amp; Drinks</v>
      </c>
      <c r="S2" s="157" t="str">
        <v>Food &amp; Drinks</v>
      </c>
      <c r="T2" s="157" t="str">
        <v>Health</v>
      </c>
      <c r="U2" s="157" t="str">
        <v>Medication &amp; Supplements</v>
      </c>
      <c r="V2" s="157" t="str">
        <v>Loans</v>
      </c>
      <c r="W2" s="157" t="str">
        <v>Loans</v>
      </c>
      <c r="X2" s="157" t="str">
        <v>Brokerage Contributions</v>
      </c>
    </row>
    <row r="3" spans="1:51" x14ac:dyDescent="0.2">
      <c r="A3" s="157" t="s">
        <v>330</v>
      </c>
      <c r="B3" s="158" t="str" cm="1">
        <f t="array" ref="B3:X3">TRANSPOSE(_xlfn._xlws.FILTER(Recurring!$E$4:$E$53,ISNUMBER(Recurring!$G$4:$G$53)))</f>
        <v>Week</v>
      </c>
      <c r="C3" s="157" t="str">
        <v>Week</v>
      </c>
      <c r="D3" s="157" t="str">
        <v>Week</v>
      </c>
      <c r="E3" s="157" t="str">
        <v>Week</v>
      </c>
      <c r="F3" s="157" t="str">
        <v>Week</v>
      </c>
      <c r="G3" s="157" t="str">
        <v>Week</v>
      </c>
      <c r="H3" s="157" t="str">
        <v>Month</v>
      </c>
      <c r="I3" s="157" t="str">
        <v>Month</v>
      </c>
      <c r="J3" s="157" t="str">
        <v>Month</v>
      </c>
      <c r="K3" s="157" t="str">
        <v>Week</v>
      </c>
      <c r="L3" s="157" t="str">
        <v>Year</v>
      </c>
      <c r="M3" s="157" t="str">
        <v>Month</v>
      </c>
      <c r="N3" s="157" t="str">
        <v>Month</v>
      </c>
      <c r="O3" s="157" t="str">
        <v>Month</v>
      </c>
      <c r="P3" s="157" t="str">
        <v>Month</v>
      </c>
      <c r="Q3" s="157" t="str">
        <v>Week</v>
      </c>
      <c r="R3" s="157" t="str">
        <v>Week</v>
      </c>
      <c r="S3" s="157" t="str">
        <v>Week</v>
      </c>
      <c r="T3" s="157" t="str">
        <v>Week</v>
      </c>
      <c r="U3" s="157" t="str">
        <v>Day</v>
      </c>
      <c r="V3" s="157" t="str">
        <v>Month</v>
      </c>
      <c r="W3" s="157" t="str">
        <v>Month</v>
      </c>
      <c r="X3" s="157" t="str">
        <v>Week</v>
      </c>
    </row>
    <row r="4" spans="1:51" s="159" customFormat="1" x14ac:dyDescent="0.2">
      <c r="A4" s="159" t="s">
        <v>331</v>
      </c>
      <c r="B4" s="160" cm="1">
        <f t="array" ref="B4:X4">TRANSPOSE(_xlfn._xlws.FILTER(Recurring!$G$4:$G$53,ISNUMBER(Recurring!$G$4:$G$53)))</f>
        <v>2</v>
      </c>
      <c r="C4" s="159">
        <v>2</v>
      </c>
      <c r="D4" s="159">
        <v>2</v>
      </c>
      <c r="E4" s="159">
        <v>2</v>
      </c>
      <c r="F4" s="159">
        <v>2</v>
      </c>
      <c r="G4" s="159">
        <v>2</v>
      </c>
      <c r="H4" s="159">
        <v>1</v>
      </c>
      <c r="I4" s="159">
        <v>1</v>
      </c>
      <c r="J4" s="159">
        <v>6</v>
      </c>
      <c r="K4" s="159">
        <v>1</v>
      </c>
      <c r="L4" s="159">
        <v>1</v>
      </c>
      <c r="M4" s="159">
        <v>1</v>
      </c>
      <c r="N4" s="159">
        <v>1</v>
      </c>
      <c r="O4" s="159">
        <v>1</v>
      </c>
      <c r="P4" s="159">
        <v>1</v>
      </c>
      <c r="Q4" s="159">
        <v>1</v>
      </c>
      <c r="R4" s="159">
        <v>1</v>
      </c>
      <c r="S4" s="159">
        <v>1</v>
      </c>
      <c r="T4" s="159">
        <v>3</v>
      </c>
      <c r="U4" s="159">
        <v>90</v>
      </c>
      <c r="V4" s="159">
        <v>1</v>
      </c>
      <c r="W4" s="159">
        <v>1</v>
      </c>
      <c r="X4" s="159">
        <v>2</v>
      </c>
    </row>
    <row r="5" spans="1:51" s="161" customFormat="1" x14ac:dyDescent="0.2">
      <c r="A5" s="161" t="s">
        <v>227</v>
      </c>
      <c r="B5" s="162" cm="1">
        <f t="array" aca="1" ref="B5:X5" ca="1">TRANSPOSE(_xlfn._xlws.FILTER(Recurring!$I$4:$I$53,ISNUMBER(Recurring!$G$4:$G$53)))</f>
        <v>45695</v>
      </c>
      <c r="C5" s="161">
        <f ca="1"/>
        <v>45695</v>
      </c>
      <c r="D5" s="161">
        <f ca="1"/>
        <v>45695</v>
      </c>
      <c r="E5" s="161">
        <f ca="1"/>
        <v>45695</v>
      </c>
      <c r="F5" s="161">
        <f ca="1"/>
        <v>45695</v>
      </c>
      <c r="G5" s="161">
        <f ca="1"/>
        <v>45695</v>
      </c>
      <c r="H5" s="161">
        <f ca="1"/>
        <v>45716</v>
      </c>
      <c r="I5" s="161">
        <f ca="1"/>
        <v>45689</v>
      </c>
      <c r="J5" s="161">
        <f ca="1"/>
        <v>45819</v>
      </c>
      <c r="K5" s="161">
        <f ca="1"/>
        <v>45690</v>
      </c>
      <c r="L5" s="161">
        <f ca="1"/>
        <v>45819</v>
      </c>
      <c r="M5" s="161">
        <f ca="1"/>
        <v>45692</v>
      </c>
      <c r="N5" s="161">
        <f ca="1"/>
        <v>45705</v>
      </c>
      <c r="O5" s="161">
        <f ca="1"/>
        <v>45706</v>
      </c>
      <c r="P5" s="161">
        <f ca="1"/>
        <v>45715</v>
      </c>
      <c r="Q5" s="161">
        <f ca="1"/>
        <v>45689</v>
      </c>
      <c r="R5" s="161">
        <f ca="1"/>
        <v>45689</v>
      </c>
      <c r="S5" s="161">
        <f ca="1"/>
        <v>45690</v>
      </c>
      <c r="T5" s="161">
        <f ca="1"/>
        <v>45691</v>
      </c>
      <c r="U5" s="161">
        <f ca="1"/>
        <v>45745</v>
      </c>
      <c r="V5" s="161">
        <f ca="1"/>
        <v>45705</v>
      </c>
      <c r="W5" s="161">
        <f ca="1"/>
        <v>45716</v>
      </c>
      <c r="X5" s="161">
        <f ca="1"/>
        <v>45695</v>
      </c>
    </row>
    <row r="6" spans="1:51" s="161" customFormat="1" x14ac:dyDescent="0.2"/>
    <row r="7" spans="1:51" s="161" customFormat="1" x14ac:dyDescent="0.2">
      <c r="A7" s="161" t="s">
        <v>228</v>
      </c>
      <c r="B7" s="163" cm="1">
        <f t="array" aca="1" ref="B7:B32" ca="1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C7" s="163" cm="1">
        <f t="array" aca="1" ref="C7:C32" ca="1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D7" s="163" cm="1">
        <f t="array" aca="1" ref="D7:D32" ca="1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E7" s="163" cm="1">
        <f t="array" aca="1" ref="E7:E32" ca="1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F7" s="163" cm="1">
        <f t="array" aca="1" ref="F7:F32" ca="1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G7" s="163" cm="1">
        <f t="array" aca="1" ref="G7:G32" ca="1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H7" s="163" cm="1">
        <f t="array" aca="1" ref="H7:H18" ca="1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45716</v>
      </c>
      <c r="I7" s="163" cm="1">
        <f t="array" aca="1" ref="I7:I18" ca="1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45689</v>
      </c>
      <c r="J7" s="163" cm="1">
        <f t="array" aca="1" ref="J7:J8" ca="1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45819</v>
      </c>
      <c r="K7" s="163" cm="1">
        <f t="array" aca="1" ref="K7:K58" ca="1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45690</v>
      </c>
      <c r="L7" s="163" cm="1">
        <f t="array" aca="1" ref="L7:L8" ca="1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45819</v>
      </c>
      <c r="M7" s="163" cm="1">
        <f t="array" aca="1" ref="M7:M18" ca="1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45692</v>
      </c>
      <c r="N7" s="163" cm="1">
        <f t="array" aca="1" ref="N7:N18" ca="1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45705</v>
      </c>
      <c r="O7" s="163" cm="1">
        <f t="array" aca="1" ref="O7:O18" ca="1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45706</v>
      </c>
      <c r="P7" s="163" cm="1">
        <f t="array" aca="1" ref="P7:P18" ca="1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45715</v>
      </c>
      <c r="Q7" s="163" cm="1">
        <f t="array" aca="1" ref="Q7:Q58" ca="1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45689</v>
      </c>
      <c r="R7" s="163" cm="1">
        <f t="array" aca="1" ref="R7:R58" ca="1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45689</v>
      </c>
      <c r="S7" s="163" cm="1">
        <f t="array" aca="1" ref="S7:S58" ca="1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45690</v>
      </c>
      <c r="T7" s="163" cm="1">
        <f t="array" aca="1" ref="T7:T24" ca="1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45691</v>
      </c>
      <c r="U7" s="163" cm="1">
        <f t="array" aca="1" ref="U7:U11" ca="1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45745</v>
      </c>
      <c r="V7" s="163" cm="1">
        <f t="array" aca="1" ref="V7:V18" ca="1">_xlfn.LET(
    _xlpm.frequency_type, V$3,
    _xlpm.frequency_value, V$4,
    _xlpm.start_date, 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45705</v>
      </c>
      <c r="W7" s="163" cm="1">
        <f t="array" aca="1" ref="W7:W18" ca="1">_xlfn.LET(
    _xlpm.frequency_type, W$3,
    _xlpm.frequency_value, W$4,
    _xlpm.start_date, 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45716</v>
      </c>
      <c r="X7" s="163" cm="1">
        <f t="array" aca="1" ref="X7:X32" ca="1">_xlfn.LET(
    _xlpm.frequency_type, X$3,
    _xlpm.frequency_value, X$4,
    _xlpm.start_date, 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45695</v>
      </c>
      <c r="Y7" s="163" t="str" cm="1">
        <f t="array" ref="Y7">_xlfn.LET(
    _xlpm.frequency_type, Y$3,
    _xlpm.frequency_value, Y$4,
    _xlpm.start_date, 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Z7" s="163" t="str" cm="1">
        <f t="array" ref="Z7">_xlfn.LET(
    _xlpm.frequency_type, Z$3,
    _xlpm.frequency_value, Z$4,
    _xlpm.start_date, Z$5,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A7" s="163" t="str" cm="1">
        <f t="array" ref="AA7">_xlfn.LET(
    _xlpm.frequency_type, AA$3,
    _xlpm.frequency_value, AA$4,
    _xlpm.start_date, AA$5,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B7" s="163" t="str" cm="1">
        <f t="array" ref="AB7">_xlfn.LET(
    _xlpm.frequency_type, AB$3,
    _xlpm.frequency_value, AB$4,
    _xlpm.start_date, AB$5,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C7" s="163" t="str" cm="1">
        <f t="array" ref="AC7">_xlfn.LET(
    _xlpm.frequency_type, AC$3,
    _xlpm.frequency_value, AC$4,
    _xlpm.start_date, AC$5,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D7" s="163" t="str" cm="1">
        <f t="array" ref="AD7">_xlfn.LET(
    _xlpm.frequency_type, AD$3,
    _xlpm.frequency_value, AD$4,
    _xlpm.start_date, AD$5,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E7" s="163" t="str" cm="1">
        <f t="array" ref="AE7">_xlfn.LET(
    _xlpm.frequency_type, AE$3,
    _xlpm.frequency_value, AE$4,
    _xlpm.start_date, AE$5,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F7" s="163" t="str" cm="1">
        <f t="array" ref="AF7">_xlfn.LET(
    _xlpm.frequency_type, AF$3,
    _xlpm.frequency_value, AF$4,
    _xlpm.start_date, AF$5,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G7" s="163" t="str" cm="1">
        <f t="array" ref="AG7">_xlfn.LET(
    _xlpm.frequency_type, AG$3,
    _xlpm.frequency_value, AG$4,
    _xlpm.start_date, AG$5,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H7" s="163" t="str" cm="1">
        <f t="array" ref="AH7">_xlfn.LET(
    _xlpm.frequency_type, AH$3,
    _xlpm.frequency_value, AH$4,
    _xlpm.start_date, AH$5,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I7" s="163" t="str" cm="1">
        <f t="array" ref="AI7">_xlfn.LET(
    _xlpm.frequency_type, AI$3,
    _xlpm.frequency_value, AI$4,
    _xlpm.start_date, AI$5,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J7" s="163" t="str" cm="1">
        <f t="array" ref="AJ7">_xlfn.LET(
    _xlpm.frequency_type, AJ$3,
    _xlpm.frequency_value, AJ$4,
    _xlpm.start_date, AJ$5,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K7" s="163" t="str" cm="1">
        <f t="array" ref="AK7">_xlfn.LET(
    _xlpm.frequency_type, AK$3,
    _xlpm.frequency_value, AK$4,
    _xlpm.start_date, AK$5,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L7" s="163" t="str" cm="1">
        <f t="array" ref="AL7">_xlfn.LET(
    _xlpm.frequency_type, AL$3,
    _xlpm.frequency_value, AL$4,
    _xlpm.start_date, AL$5,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M7" s="163" t="str" cm="1">
        <f t="array" ref="AM7">_xlfn.LET(
    _xlpm.frequency_type, AM$3,
    _xlpm.frequency_value, AM$4,
    _xlpm.start_date, AM$5,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N7" s="163" t="str" cm="1">
        <f t="array" ref="AN7">_xlfn.LET(
    _xlpm.frequency_type, AN$3,
    _xlpm.frequency_value, AN$4,
    _xlpm.start_date, AN$5,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O7" s="163" t="str" cm="1">
        <f t="array" ref="AO7">_xlfn.LET(
    _xlpm.frequency_type, AO$3,
    _xlpm.frequency_value, AO$4,
    _xlpm.start_date, AO$5,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P7" s="163" t="str" cm="1">
        <f t="array" ref="AP7">_xlfn.LET(
    _xlpm.frequency_type, AP$3,
    _xlpm.frequency_value, AP$4,
    _xlpm.start_date, AP$5,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Q7" s="163" t="str" cm="1">
        <f t="array" ref="AQ7">_xlfn.LET(
    _xlpm.frequency_type, AQ$3,
    _xlpm.frequency_value, AQ$4,
    _xlpm.start_date, AQ$5,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R7" s="163" t="str" cm="1">
        <f t="array" ref="AR7">_xlfn.LET(
    _xlpm.frequency_type, AR$3,
    _xlpm.frequency_value, AR$4,
    _xlpm.start_date, AR$5,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S7" s="163" t="str" cm="1">
        <f t="array" ref="AS7">_xlfn.LET(
    _xlpm.frequency_type, AS$3,
    _xlpm.frequency_value, AS$4,
    _xlpm.start_date, AS$5,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T7" s="163" t="str" cm="1">
        <f t="array" ref="AT7">_xlfn.LET(
    _xlpm.frequency_type, AT$3,
    _xlpm.frequency_value, AT$4,
    _xlpm.start_date, AT$5,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U7" s="163" t="str" cm="1">
        <f t="array" ref="AU7">_xlfn.LET(
    _xlpm.frequency_type, AU$3,
    _xlpm.frequency_value, AU$4,
    _xlpm.start_date, AU$5,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V7" s="163" t="str" cm="1">
        <f t="array" ref="AV7">_xlfn.LET(
    _xlpm.frequency_type, AV$3,
    _xlpm.frequency_value, AV$4,
    _xlpm.start_date, AV$5,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W7" s="163" t="str" cm="1">
        <f t="array" ref="AW7">_xlfn.LET(
    _xlpm.frequency_type, AW$3,
    _xlpm.frequency_value, AW$4,
    _xlpm.start_date, AW$5,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X7" s="163" t="str" cm="1">
        <f t="array" ref="AX7">_xlfn.LET(
    _xlpm.frequency_type, AX$3,
    _xlpm.frequency_value, AX$4,
    _xlpm.start_date, AX$5,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Y7" s="163" t="str" cm="1">
        <f t="array" ref="AY7">_xlfn.LET(
    _xlpm.frequency_type, AY$3,
    _xlpm.frequency_value, AY$4,
    _xlpm.start_date, AY$5,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51" s="161" customFormat="1" x14ac:dyDescent="0.2">
      <c r="B8" s="164">
        <f ca="1"/>
        <v>45709</v>
      </c>
      <c r="C8" s="164">
        <f ca="1"/>
        <v>45709</v>
      </c>
      <c r="D8" s="164">
        <f ca="1"/>
        <v>45709</v>
      </c>
      <c r="E8" s="164">
        <f ca="1"/>
        <v>45709</v>
      </c>
      <c r="F8" s="164">
        <f ca="1"/>
        <v>45709</v>
      </c>
      <c r="G8" s="164">
        <f ca="1"/>
        <v>45709</v>
      </c>
      <c r="H8" s="161">
        <f ca="1"/>
        <v>45744</v>
      </c>
      <c r="I8" s="161">
        <f ca="1"/>
        <v>45717</v>
      </c>
      <c r="J8" s="161">
        <f ca="1"/>
        <v>46002</v>
      </c>
      <c r="K8" s="161">
        <f ca="1"/>
        <v>45697</v>
      </c>
      <c r="L8" s="161">
        <f ca="1"/>
        <v>46184</v>
      </c>
      <c r="M8" s="161">
        <f ca="1"/>
        <v>45720</v>
      </c>
      <c r="N8" s="161">
        <f ca="1"/>
        <v>45733</v>
      </c>
      <c r="O8" s="161">
        <f ca="1"/>
        <v>45734</v>
      </c>
      <c r="P8" s="161">
        <f ca="1"/>
        <v>45743</v>
      </c>
      <c r="Q8" s="161">
        <f ca="1"/>
        <v>45696</v>
      </c>
      <c r="R8" s="161">
        <f ca="1"/>
        <v>45696</v>
      </c>
      <c r="S8" s="161">
        <f ca="1"/>
        <v>45697</v>
      </c>
      <c r="T8" s="161">
        <f ca="1"/>
        <v>45712</v>
      </c>
      <c r="U8" s="161">
        <f ca="1"/>
        <v>45835</v>
      </c>
      <c r="V8" s="161">
        <f ca="1"/>
        <v>45733</v>
      </c>
      <c r="W8" s="161">
        <f ca="1"/>
        <v>45744</v>
      </c>
      <c r="X8" s="161">
        <f ca="1"/>
        <v>45709</v>
      </c>
    </row>
    <row r="9" spans="1:51" s="161" customFormat="1" x14ac:dyDescent="0.2">
      <c r="B9" s="161">
        <f ca="1"/>
        <v>45723</v>
      </c>
      <c r="C9" s="161">
        <f ca="1"/>
        <v>45723</v>
      </c>
      <c r="D9" s="161">
        <f ca="1"/>
        <v>45723</v>
      </c>
      <c r="E9" s="161">
        <f ca="1"/>
        <v>45723</v>
      </c>
      <c r="F9" s="161">
        <f ca="1"/>
        <v>45723</v>
      </c>
      <c r="G9" s="161">
        <f ca="1"/>
        <v>45723</v>
      </c>
      <c r="H9" s="161">
        <f ca="1"/>
        <v>45775</v>
      </c>
      <c r="I9" s="161">
        <f ca="1"/>
        <v>45748</v>
      </c>
      <c r="K9" s="161">
        <f ca="1"/>
        <v>45704</v>
      </c>
      <c r="M9" s="161">
        <f ca="1"/>
        <v>45751</v>
      </c>
      <c r="N9" s="161">
        <f ca="1"/>
        <v>45764</v>
      </c>
      <c r="O9" s="161">
        <f ca="1"/>
        <v>45765</v>
      </c>
      <c r="P9" s="161">
        <f ca="1"/>
        <v>45774</v>
      </c>
      <c r="Q9" s="161">
        <f ca="1"/>
        <v>45703</v>
      </c>
      <c r="R9" s="161">
        <f ca="1"/>
        <v>45703</v>
      </c>
      <c r="S9" s="161">
        <f ca="1"/>
        <v>45704</v>
      </c>
      <c r="T9" s="161">
        <f ca="1"/>
        <v>45733</v>
      </c>
      <c r="U9" s="161">
        <f ca="1"/>
        <v>45925</v>
      </c>
      <c r="V9" s="161">
        <f ca="1"/>
        <v>45764</v>
      </c>
      <c r="W9" s="161">
        <f ca="1"/>
        <v>45775</v>
      </c>
      <c r="X9" s="161">
        <f ca="1"/>
        <v>45723</v>
      </c>
    </row>
    <row r="10" spans="1:51" s="161" customFormat="1" x14ac:dyDescent="0.2">
      <c r="B10" s="161">
        <f ca="1"/>
        <v>45737</v>
      </c>
      <c r="C10" s="161">
        <f ca="1"/>
        <v>45737</v>
      </c>
      <c r="D10" s="161">
        <f ca="1"/>
        <v>45737</v>
      </c>
      <c r="E10" s="161">
        <f ca="1"/>
        <v>45737</v>
      </c>
      <c r="F10" s="161">
        <f ca="1"/>
        <v>45737</v>
      </c>
      <c r="G10" s="161">
        <f ca="1"/>
        <v>45737</v>
      </c>
      <c r="H10" s="161">
        <f ca="1"/>
        <v>45805</v>
      </c>
      <c r="I10" s="161">
        <f ca="1"/>
        <v>45778</v>
      </c>
      <c r="K10" s="161">
        <f ca="1"/>
        <v>45711</v>
      </c>
      <c r="M10" s="161">
        <f ca="1"/>
        <v>45781</v>
      </c>
      <c r="N10" s="161">
        <f ca="1"/>
        <v>45794</v>
      </c>
      <c r="O10" s="161">
        <f ca="1"/>
        <v>45795</v>
      </c>
      <c r="P10" s="161">
        <f ca="1"/>
        <v>45804</v>
      </c>
      <c r="Q10" s="161">
        <f ca="1"/>
        <v>45710</v>
      </c>
      <c r="R10" s="161">
        <f ca="1"/>
        <v>45710</v>
      </c>
      <c r="S10" s="161">
        <f ca="1"/>
        <v>45711</v>
      </c>
      <c r="T10" s="161">
        <f ca="1"/>
        <v>45754</v>
      </c>
      <c r="U10" s="161">
        <f ca="1"/>
        <v>46015</v>
      </c>
      <c r="V10" s="161">
        <f ca="1"/>
        <v>45794</v>
      </c>
      <c r="W10" s="161">
        <f ca="1"/>
        <v>45805</v>
      </c>
      <c r="X10" s="161">
        <f ca="1"/>
        <v>45737</v>
      </c>
    </row>
    <row r="11" spans="1:51" s="161" customFormat="1" x14ac:dyDescent="0.2">
      <c r="B11" s="161">
        <f ca="1"/>
        <v>45751</v>
      </c>
      <c r="C11" s="161">
        <f ca="1"/>
        <v>45751</v>
      </c>
      <c r="D11" s="161">
        <f ca="1"/>
        <v>45751</v>
      </c>
      <c r="E11" s="161">
        <f ca="1"/>
        <v>45751</v>
      </c>
      <c r="F11" s="161">
        <f ca="1"/>
        <v>45751</v>
      </c>
      <c r="G11" s="161">
        <f ca="1"/>
        <v>45751</v>
      </c>
      <c r="H11" s="161">
        <f ca="1"/>
        <v>45836</v>
      </c>
      <c r="I11" s="161">
        <f ca="1"/>
        <v>45809</v>
      </c>
      <c r="K11" s="161">
        <f ca="1"/>
        <v>45718</v>
      </c>
      <c r="M11" s="161">
        <f ca="1"/>
        <v>45812</v>
      </c>
      <c r="N11" s="161">
        <f ca="1"/>
        <v>45825</v>
      </c>
      <c r="O11" s="161">
        <f ca="1"/>
        <v>45826</v>
      </c>
      <c r="P11" s="161">
        <f ca="1"/>
        <v>45835</v>
      </c>
      <c r="Q11" s="161">
        <f ca="1"/>
        <v>45717</v>
      </c>
      <c r="R11" s="161">
        <f ca="1"/>
        <v>45717</v>
      </c>
      <c r="S11" s="161">
        <f ca="1"/>
        <v>45718</v>
      </c>
      <c r="T11" s="161">
        <f ca="1"/>
        <v>45775</v>
      </c>
      <c r="U11" s="161">
        <f ca="1"/>
        <v>46105</v>
      </c>
      <c r="V11" s="161">
        <f ca="1"/>
        <v>45825</v>
      </c>
      <c r="W11" s="161">
        <f ca="1"/>
        <v>45836</v>
      </c>
      <c r="X11" s="161">
        <f ca="1"/>
        <v>45751</v>
      </c>
    </row>
    <row r="12" spans="1:51" s="161" customFormat="1" x14ac:dyDescent="0.2">
      <c r="B12" s="161">
        <f ca="1"/>
        <v>45765</v>
      </c>
      <c r="C12" s="161">
        <f ca="1"/>
        <v>45765</v>
      </c>
      <c r="D12" s="161">
        <f ca="1"/>
        <v>45765</v>
      </c>
      <c r="E12" s="161">
        <f ca="1"/>
        <v>45765</v>
      </c>
      <c r="F12" s="161">
        <f ca="1"/>
        <v>45765</v>
      </c>
      <c r="G12" s="165">
        <f ca="1"/>
        <v>45765</v>
      </c>
      <c r="H12" s="161">
        <f ca="1"/>
        <v>45866</v>
      </c>
      <c r="I12" s="161">
        <f ca="1"/>
        <v>45839</v>
      </c>
      <c r="K12" s="161">
        <f ca="1"/>
        <v>45725</v>
      </c>
      <c r="M12" s="161">
        <f ca="1"/>
        <v>45842</v>
      </c>
      <c r="N12" s="161">
        <f ca="1"/>
        <v>45855</v>
      </c>
      <c r="O12" s="161">
        <f ca="1"/>
        <v>45856</v>
      </c>
      <c r="P12" s="161">
        <f ca="1"/>
        <v>45865</v>
      </c>
      <c r="Q12" s="161">
        <f ca="1"/>
        <v>45724</v>
      </c>
      <c r="R12" s="161">
        <f ca="1"/>
        <v>45724</v>
      </c>
      <c r="S12" s="161">
        <f ca="1"/>
        <v>45725</v>
      </c>
      <c r="T12" s="161">
        <f ca="1"/>
        <v>45796</v>
      </c>
      <c r="V12" s="161">
        <f ca="1"/>
        <v>45855</v>
      </c>
      <c r="W12" s="161">
        <f ca="1"/>
        <v>45866</v>
      </c>
      <c r="X12" s="161">
        <f ca="1"/>
        <v>45765</v>
      </c>
    </row>
    <row r="13" spans="1:51" s="161" customFormat="1" x14ac:dyDescent="0.2">
      <c r="B13" s="161">
        <f ca="1"/>
        <v>45779</v>
      </c>
      <c r="C13" s="161">
        <f ca="1"/>
        <v>45779</v>
      </c>
      <c r="D13" s="161">
        <f ca="1"/>
        <v>45779</v>
      </c>
      <c r="E13" s="161">
        <f ca="1"/>
        <v>45779</v>
      </c>
      <c r="F13" s="161">
        <f ca="1"/>
        <v>45779</v>
      </c>
      <c r="G13" s="161">
        <f ca="1"/>
        <v>45779</v>
      </c>
      <c r="H13" s="161">
        <f ca="1"/>
        <v>45897</v>
      </c>
      <c r="I13" s="161">
        <f ca="1"/>
        <v>45870</v>
      </c>
      <c r="K13" s="161">
        <f ca="1"/>
        <v>45732</v>
      </c>
      <c r="M13" s="161">
        <f ca="1"/>
        <v>45873</v>
      </c>
      <c r="N13" s="161">
        <f ca="1"/>
        <v>45886</v>
      </c>
      <c r="O13" s="161">
        <f ca="1"/>
        <v>45887</v>
      </c>
      <c r="P13" s="161">
        <f ca="1"/>
        <v>45896</v>
      </c>
      <c r="Q13" s="161">
        <f ca="1"/>
        <v>45731</v>
      </c>
      <c r="R13" s="161">
        <f ca="1"/>
        <v>45731</v>
      </c>
      <c r="S13" s="161">
        <f ca="1"/>
        <v>45732</v>
      </c>
      <c r="T13" s="161">
        <f ca="1"/>
        <v>45817</v>
      </c>
      <c r="V13" s="161">
        <f ca="1"/>
        <v>45886</v>
      </c>
      <c r="W13" s="161">
        <f ca="1"/>
        <v>45897</v>
      </c>
      <c r="X13" s="161">
        <f ca="1"/>
        <v>45779</v>
      </c>
    </row>
    <row r="14" spans="1:51" s="161" customFormat="1" x14ac:dyDescent="0.2">
      <c r="B14" s="161">
        <f ca="1"/>
        <v>45793</v>
      </c>
      <c r="C14" s="161">
        <f ca="1"/>
        <v>45793</v>
      </c>
      <c r="D14" s="161">
        <f ca="1"/>
        <v>45793</v>
      </c>
      <c r="E14" s="161">
        <f ca="1"/>
        <v>45793</v>
      </c>
      <c r="F14" s="161">
        <f ca="1"/>
        <v>45793</v>
      </c>
      <c r="G14" s="161">
        <f ca="1"/>
        <v>45793</v>
      </c>
      <c r="H14" s="161">
        <f ca="1"/>
        <v>45928</v>
      </c>
      <c r="I14" s="161">
        <f ca="1"/>
        <v>45901</v>
      </c>
      <c r="K14" s="161">
        <f ca="1"/>
        <v>45739</v>
      </c>
      <c r="M14" s="161">
        <f ca="1"/>
        <v>45904</v>
      </c>
      <c r="N14" s="161">
        <f ca="1"/>
        <v>45917</v>
      </c>
      <c r="O14" s="161">
        <f ca="1"/>
        <v>45918</v>
      </c>
      <c r="P14" s="161">
        <f ca="1"/>
        <v>45927</v>
      </c>
      <c r="Q14" s="161">
        <f ca="1"/>
        <v>45738</v>
      </c>
      <c r="R14" s="161">
        <f ca="1"/>
        <v>45738</v>
      </c>
      <c r="S14" s="161">
        <f ca="1"/>
        <v>45739</v>
      </c>
      <c r="T14" s="161">
        <f ca="1"/>
        <v>45838</v>
      </c>
      <c r="V14" s="161">
        <f ca="1"/>
        <v>45917</v>
      </c>
      <c r="W14" s="161">
        <f ca="1"/>
        <v>45928</v>
      </c>
      <c r="X14" s="161">
        <f ca="1"/>
        <v>45793</v>
      </c>
    </row>
    <row r="15" spans="1:51" s="161" customFormat="1" x14ac:dyDescent="0.2">
      <c r="B15" s="161">
        <f ca="1"/>
        <v>45807</v>
      </c>
      <c r="C15" s="161">
        <f ca="1"/>
        <v>45807</v>
      </c>
      <c r="D15" s="161">
        <f ca="1"/>
        <v>45807</v>
      </c>
      <c r="E15" s="161">
        <f ca="1"/>
        <v>45807</v>
      </c>
      <c r="F15" s="161">
        <f ca="1"/>
        <v>45807</v>
      </c>
      <c r="G15" s="161">
        <f ca="1"/>
        <v>45807</v>
      </c>
      <c r="H15" s="161">
        <f ca="1"/>
        <v>45958</v>
      </c>
      <c r="I15" s="161">
        <f ca="1"/>
        <v>45931</v>
      </c>
      <c r="K15" s="161">
        <f ca="1"/>
        <v>45746</v>
      </c>
      <c r="M15" s="161">
        <f ca="1"/>
        <v>45934</v>
      </c>
      <c r="N15" s="161">
        <f ca="1"/>
        <v>45947</v>
      </c>
      <c r="O15" s="161">
        <f ca="1"/>
        <v>45948</v>
      </c>
      <c r="P15" s="161">
        <f ca="1"/>
        <v>45957</v>
      </c>
      <c r="Q15" s="161">
        <f ca="1"/>
        <v>45745</v>
      </c>
      <c r="R15" s="161">
        <f ca="1"/>
        <v>45745</v>
      </c>
      <c r="S15" s="161">
        <f ca="1"/>
        <v>45746</v>
      </c>
      <c r="T15" s="161">
        <f ca="1"/>
        <v>45859</v>
      </c>
      <c r="V15" s="161">
        <f ca="1"/>
        <v>45947</v>
      </c>
      <c r="W15" s="161">
        <f ca="1"/>
        <v>45958</v>
      </c>
      <c r="X15" s="161">
        <f ca="1"/>
        <v>45807</v>
      </c>
    </row>
    <row r="16" spans="1:51" s="161" customFormat="1" x14ac:dyDescent="0.2">
      <c r="B16" s="161">
        <f ca="1"/>
        <v>45821</v>
      </c>
      <c r="C16" s="161">
        <f ca="1"/>
        <v>45821</v>
      </c>
      <c r="D16" s="161">
        <f ca="1"/>
        <v>45821</v>
      </c>
      <c r="E16" s="161">
        <f ca="1"/>
        <v>45821</v>
      </c>
      <c r="F16" s="161">
        <f ca="1"/>
        <v>45821</v>
      </c>
      <c r="G16" s="161">
        <f ca="1"/>
        <v>45821</v>
      </c>
      <c r="H16" s="161">
        <f ca="1"/>
        <v>45989</v>
      </c>
      <c r="I16" s="161">
        <f ca="1"/>
        <v>45962</v>
      </c>
      <c r="K16" s="161">
        <f ca="1"/>
        <v>45753</v>
      </c>
      <c r="M16" s="161">
        <f ca="1"/>
        <v>45965</v>
      </c>
      <c r="N16" s="161">
        <f ca="1"/>
        <v>45978</v>
      </c>
      <c r="O16" s="161">
        <f ca="1"/>
        <v>45979</v>
      </c>
      <c r="P16" s="161">
        <f ca="1"/>
        <v>45988</v>
      </c>
      <c r="Q16" s="161">
        <f ca="1"/>
        <v>45752</v>
      </c>
      <c r="R16" s="161">
        <f ca="1"/>
        <v>45752</v>
      </c>
      <c r="S16" s="161">
        <f ca="1"/>
        <v>45753</v>
      </c>
      <c r="T16" s="161">
        <f ca="1"/>
        <v>45880</v>
      </c>
      <c r="V16" s="161">
        <f ca="1"/>
        <v>45978</v>
      </c>
      <c r="W16" s="161">
        <f ca="1"/>
        <v>45989</v>
      </c>
      <c r="X16" s="161">
        <f ca="1"/>
        <v>45821</v>
      </c>
    </row>
    <row r="17" spans="2:24" s="161" customFormat="1" x14ac:dyDescent="0.2">
      <c r="B17" s="161">
        <f ca="1"/>
        <v>45835</v>
      </c>
      <c r="C17" s="161">
        <f ca="1"/>
        <v>45835</v>
      </c>
      <c r="D17" s="161">
        <f ca="1"/>
        <v>45835</v>
      </c>
      <c r="E17" s="161">
        <f ca="1"/>
        <v>45835</v>
      </c>
      <c r="F17" s="161">
        <f ca="1"/>
        <v>45835</v>
      </c>
      <c r="G17" s="161">
        <f ca="1"/>
        <v>45835</v>
      </c>
      <c r="H17" s="161">
        <f ca="1"/>
        <v>46019</v>
      </c>
      <c r="I17" s="161">
        <f ca="1"/>
        <v>45992</v>
      </c>
      <c r="K17" s="161">
        <f ca="1"/>
        <v>45760</v>
      </c>
      <c r="M17" s="161">
        <f ca="1"/>
        <v>45995</v>
      </c>
      <c r="N17" s="161">
        <f ca="1"/>
        <v>46008</v>
      </c>
      <c r="O17" s="161">
        <f ca="1"/>
        <v>46009</v>
      </c>
      <c r="P17" s="161">
        <f ca="1"/>
        <v>46018</v>
      </c>
      <c r="Q17" s="161">
        <f ca="1"/>
        <v>45759</v>
      </c>
      <c r="R17" s="161">
        <f ca="1"/>
        <v>45759</v>
      </c>
      <c r="S17" s="161">
        <f ca="1"/>
        <v>45760</v>
      </c>
      <c r="T17" s="161">
        <f ca="1"/>
        <v>45901</v>
      </c>
      <c r="V17" s="161">
        <f ca="1"/>
        <v>46008</v>
      </c>
      <c r="W17" s="161">
        <f ca="1"/>
        <v>46019</v>
      </c>
      <c r="X17" s="161">
        <f ca="1"/>
        <v>45835</v>
      </c>
    </row>
    <row r="18" spans="2:24" s="161" customFormat="1" x14ac:dyDescent="0.2">
      <c r="B18" s="161">
        <f ca="1"/>
        <v>45849</v>
      </c>
      <c r="C18" s="161">
        <f ca="1"/>
        <v>45849</v>
      </c>
      <c r="D18" s="161">
        <f ca="1"/>
        <v>45849</v>
      </c>
      <c r="E18" s="161">
        <f ca="1"/>
        <v>45849</v>
      </c>
      <c r="F18" s="161">
        <f ca="1"/>
        <v>45849</v>
      </c>
      <c r="G18" s="161">
        <f ca="1"/>
        <v>45849</v>
      </c>
      <c r="H18" s="161">
        <f ca="1"/>
        <v>46050</v>
      </c>
      <c r="I18" s="161">
        <f ca="1"/>
        <v>46023</v>
      </c>
      <c r="K18" s="161">
        <f ca="1"/>
        <v>45767</v>
      </c>
      <c r="M18" s="161">
        <f ca="1"/>
        <v>46026</v>
      </c>
      <c r="N18" s="161">
        <f ca="1"/>
        <v>46039</v>
      </c>
      <c r="O18" s="161">
        <f ca="1"/>
        <v>46040</v>
      </c>
      <c r="P18" s="161">
        <f ca="1"/>
        <v>46049</v>
      </c>
      <c r="Q18" s="161">
        <f ca="1"/>
        <v>45766</v>
      </c>
      <c r="R18" s="161">
        <f ca="1"/>
        <v>45766</v>
      </c>
      <c r="S18" s="161">
        <f ca="1"/>
        <v>45767</v>
      </c>
      <c r="T18" s="161">
        <f ca="1"/>
        <v>45922</v>
      </c>
      <c r="V18" s="161">
        <f ca="1"/>
        <v>46039</v>
      </c>
      <c r="W18" s="161">
        <f ca="1"/>
        <v>46050</v>
      </c>
      <c r="X18" s="161">
        <f ca="1"/>
        <v>45849</v>
      </c>
    </row>
    <row r="19" spans="2:24" s="161" customFormat="1" x14ac:dyDescent="0.2">
      <c r="B19" s="161">
        <f ca="1"/>
        <v>45863</v>
      </c>
      <c r="C19" s="161">
        <f ca="1"/>
        <v>45863</v>
      </c>
      <c r="D19" s="161">
        <f ca="1"/>
        <v>45863</v>
      </c>
      <c r="E19" s="161">
        <f ca="1"/>
        <v>45863</v>
      </c>
      <c r="F19" s="161">
        <f ca="1"/>
        <v>45863</v>
      </c>
      <c r="G19" s="161">
        <f ca="1"/>
        <v>45863</v>
      </c>
      <c r="K19" s="161">
        <f ca="1"/>
        <v>45774</v>
      </c>
      <c r="Q19" s="161">
        <f ca="1"/>
        <v>45773</v>
      </c>
      <c r="R19" s="161">
        <f ca="1"/>
        <v>45773</v>
      </c>
      <c r="S19" s="161">
        <f ca="1"/>
        <v>45774</v>
      </c>
      <c r="T19" s="161">
        <f ca="1"/>
        <v>45943</v>
      </c>
      <c r="X19" s="161">
        <f ca="1"/>
        <v>45863</v>
      </c>
    </row>
    <row r="20" spans="2:24" s="161" customFormat="1" x14ac:dyDescent="0.2">
      <c r="B20" s="161">
        <f ca="1"/>
        <v>45877</v>
      </c>
      <c r="C20" s="161">
        <f ca="1"/>
        <v>45877</v>
      </c>
      <c r="D20" s="161">
        <f ca="1"/>
        <v>45877</v>
      </c>
      <c r="E20" s="161">
        <f ca="1"/>
        <v>45877</v>
      </c>
      <c r="F20" s="161">
        <f ca="1"/>
        <v>45877</v>
      </c>
      <c r="G20" s="161">
        <f ca="1"/>
        <v>45877</v>
      </c>
      <c r="K20" s="161">
        <f ca="1"/>
        <v>45781</v>
      </c>
      <c r="Q20" s="161">
        <f ca="1"/>
        <v>45780</v>
      </c>
      <c r="R20" s="161">
        <f ca="1"/>
        <v>45780</v>
      </c>
      <c r="S20" s="161">
        <f ca="1"/>
        <v>45781</v>
      </c>
      <c r="T20" s="161">
        <f ca="1"/>
        <v>45964</v>
      </c>
      <c r="X20" s="161">
        <f ca="1"/>
        <v>45877</v>
      </c>
    </row>
    <row r="21" spans="2:24" s="161" customFormat="1" x14ac:dyDescent="0.2">
      <c r="B21" s="161">
        <f ca="1"/>
        <v>45891</v>
      </c>
      <c r="C21" s="161">
        <f ca="1"/>
        <v>45891</v>
      </c>
      <c r="D21" s="161">
        <f ca="1"/>
        <v>45891</v>
      </c>
      <c r="E21" s="161">
        <f ca="1"/>
        <v>45891</v>
      </c>
      <c r="F21" s="161">
        <f ca="1"/>
        <v>45891</v>
      </c>
      <c r="G21" s="161">
        <f ca="1"/>
        <v>45891</v>
      </c>
      <c r="K21" s="161">
        <f ca="1"/>
        <v>45788</v>
      </c>
      <c r="Q21" s="161">
        <f ca="1"/>
        <v>45787</v>
      </c>
      <c r="R21" s="161">
        <f ca="1"/>
        <v>45787</v>
      </c>
      <c r="S21" s="161">
        <f ca="1"/>
        <v>45788</v>
      </c>
      <c r="T21" s="161">
        <f ca="1"/>
        <v>45985</v>
      </c>
      <c r="X21" s="161">
        <f ca="1"/>
        <v>45891</v>
      </c>
    </row>
    <row r="22" spans="2:24" s="161" customFormat="1" x14ac:dyDescent="0.2">
      <c r="B22" s="161">
        <f ca="1"/>
        <v>45905</v>
      </c>
      <c r="C22" s="161">
        <f ca="1"/>
        <v>45905</v>
      </c>
      <c r="D22" s="161">
        <f ca="1"/>
        <v>45905</v>
      </c>
      <c r="E22" s="161">
        <f ca="1"/>
        <v>45905</v>
      </c>
      <c r="F22" s="161">
        <f ca="1"/>
        <v>45905</v>
      </c>
      <c r="G22" s="161">
        <f ca="1"/>
        <v>45905</v>
      </c>
      <c r="K22" s="161">
        <f ca="1"/>
        <v>45795</v>
      </c>
      <c r="Q22" s="161">
        <f ca="1"/>
        <v>45794</v>
      </c>
      <c r="R22" s="161">
        <f ca="1"/>
        <v>45794</v>
      </c>
      <c r="S22" s="161">
        <f ca="1"/>
        <v>45795</v>
      </c>
      <c r="T22" s="161">
        <f ca="1"/>
        <v>46006</v>
      </c>
      <c r="X22" s="161">
        <f ca="1"/>
        <v>45905</v>
      </c>
    </row>
    <row r="23" spans="2:24" s="161" customFormat="1" x14ac:dyDescent="0.2">
      <c r="B23" s="161">
        <f ca="1"/>
        <v>45919</v>
      </c>
      <c r="C23" s="161">
        <f ca="1"/>
        <v>45919</v>
      </c>
      <c r="D23" s="161">
        <f ca="1"/>
        <v>45919</v>
      </c>
      <c r="E23" s="161">
        <f ca="1"/>
        <v>45919</v>
      </c>
      <c r="F23" s="161">
        <f ca="1"/>
        <v>45919</v>
      </c>
      <c r="G23" s="161">
        <f ca="1"/>
        <v>45919</v>
      </c>
      <c r="K23" s="161">
        <f ca="1"/>
        <v>45802</v>
      </c>
      <c r="Q23" s="161">
        <f ca="1"/>
        <v>45801</v>
      </c>
      <c r="R23" s="161">
        <f ca="1"/>
        <v>45801</v>
      </c>
      <c r="S23" s="161">
        <f ca="1"/>
        <v>45802</v>
      </c>
      <c r="T23" s="161">
        <f ca="1"/>
        <v>46027</v>
      </c>
      <c r="X23" s="161">
        <f ca="1"/>
        <v>45919</v>
      </c>
    </row>
    <row r="24" spans="2:24" s="161" customFormat="1" x14ac:dyDescent="0.2">
      <c r="B24" s="161">
        <f ca="1"/>
        <v>45933</v>
      </c>
      <c r="C24" s="161">
        <f ca="1"/>
        <v>45933</v>
      </c>
      <c r="D24" s="161">
        <f ca="1"/>
        <v>45933</v>
      </c>
      <c r="E24" s="161">
        <f ca="1"/>
        <v>45933</v>
      </c>
      <c r="F24" s="161">
        <f ca="1"/>
        <v>45933</v>
      </c>
      <c r="G24" s="161">
        <f ca="1"/>
        <v>45933</v>
      </c>
      <c r="K24" s="161">
        <f ca="1"/>
        <v>45809</v>
      </c>
      <c r="Q24" s="161">
        <f ca="1"/>
        <v>45808</v>
      </c>
      <c r="R24" s="161">
        <f ca="1"/>
        <v>45808</v>
      </c>
      <c r="S24" s="161">
        <f ca="1"/>
        <v>45809</v>
      </c>
      <c r="T24" s="161">
        <f ca="1"/>
        <v>46048</v>
      </c>
      <c r="X24" s="161">
        <f ca="1"/>
        <v>45933</v>
      </c>
    </row>
    <row r="25" spans="2:24" s="161" customFormat="1" x14ac:dyDescent="0.2">
      <c r="B25" s="161">
        <f ca="1"/>
        <v>45947</v>
      </c>
      <c r="C25" s="161">
        <f ca="1"/>
        <v>45947</v>
      </c>
      <c r="D25" s="161">
        <f ca="1"/>
        <v>45947</v>
      </c>
      <c r="E25" s="161">
        <f ca="1"/>
        <v>45947</v>
      </c>
      <c r="F25" s="161">
        <f ca="1"/>
        <v>45947</v>
      </c>
      <c r="G25" s="161">
        <f ca="1"/>
        <v>45947</v>
      </c>
      <c r="K25" s="161">
        <f ca="1"/>
        <v>45816</v>
      </c>
      <c r="Q25" s="161">
        <f ca="1"/>
        <v>45815</v>
      </c>
      <c r="R25" s="161">
        <f ca="1"/>
        <v>45815</v>
      </c>
      <c r="S25" s="161">
        <f ca="1"/>
        <v>45816</v>
      </c>
      <c r="X25" s="161">
        <f ca="1"/>
        <v>45947</v>
      </c>
    </row>
    <row r="26" spans="2:24" s="161" customFormat="1" x14ac:dyDescent="0.2">
      <c r="B26" s="161">
        <f ca="1"/>
        <v>45961</v>
      </c>
      <c r="C26" s="161">
        <f ca="1"/>
        <v>45961</v>
      </c>
      <c r="D26" s="161">
        <f ca="1"/>
        <v>45961</v>
      </c>
      <c r="E26" s="161">
        <f ca="1"/>
        <v>45961</v>
      </c>
      <c r="F26" s="161">
        <f ca="1"/>
        <v>45961</v>
      </c>
      <c r="G26" s="161">
        <f ca="1"/>
        <v>45961</v>
      </c>
      <c r="K26" s="161">
        <f ca="1"/>
        <v>45823</v>
      </c>
      <c r="Q26" s="161">
        <f ca="1"/>
        <v>45822</v>
      </c>
      <c r="R26" s="161">
        <f ca="1"/>
        <v>45822</v>
      </c>
      <c r="S26" s="161">
        <f ca="1"/>
        <v>45823</v>
      </c>
      <c r="X26" s="161">
        <f ca="1"/>
        <v>45961</v>
      </c>
    </row>
    <row r="27" spans="2:24" s="161" customFormat="1" x14ac:dyDescent="0.2">
      <c r="B27" s="161">
        <f ca="1"/>
        <v>45975</v>
      </c>
      <c r="C27" s="161">
        <f ca="1"/>
        <v>45975</v>
      </c>
      <c r="D27" s="161">
        <f ca="1"/>
        <v>45975</v>
      </c>
      <c r="E27" s="161">
        <f ca="1"/>
        <v>45975</v>
      </c>
      <c r="F27" s="161">
        <f ca="1"/>
        <v>45975</v>
      </c>
      <c r="G27" s="161">
        <f ca="1"/>
        <v>45975</v>
      </c>
      <c r="K27" s="161">
        <f ca="1"/>
        <v>45830</v>
      </c>
      <c r="Q27" s="161">
        <f ca="1"/>
        <v>45829</v>
      </c>
      <c r="R27" s="161">
        <f ca="1"/>
        <v>45829</v>
      </c>
      <c r="S27" s="161">
        <f ca="1"/>
        <v>45830</v>
      </c>
      <c r="X27" s="161">
        <f ca="1"/>
        <v>45975</v>
      </c>
    </row>
    <row r="28" spans="2:24" s="161" customFormat="1" x14ac:dyDescent="0.2">
      <c r="B28" s="161">
        <f ca="1"/>
        <v>45989</v>
      </c>
      <c r="C28" s="161">
        <f ca="1"/>
        <v>45989</v>
      </c>
      <c r="D28" s="161">
        <f ca="1"/>
        <v>45989</v>
      </c>
      <c r="E28" s="161">
        <f ca="1"/>
        <v>45989</v>
      </c>
      <c r="F28" s="161">
        <f ca="1"/>
        <v>45989</v>
      </c>
      <c r="G28" s="161">
        <f ca="1"/>
        <v>45989</v>
      </c>
      <c r="K28" s="161">
        <f ca="1"/>
        <v>45837</v>
      </c>
      <c r="Q28" s="161">
        <f ca="1"/>
        <v>45836</v>
      </c>
      <c r="R28" s="161">
        <f ca="1"/>
        <v>45836</v>
      </c>
      <c r="S28" s="161">
        <f ca="1"/>
        <v>45837</v>
      </c>
      <c r="X28" s="161">
        <f ca="1"/>
        <v>45989</v>
      </c>
    </row>
    <row r="29" spans="2:24" s="161" customFormat="1" x14ac:dyDescent="0.2">
      <c r="B29" s="161">
        <f ca="1"/>
        <v>46003</v>
      </c>
      <c r="C29" s="161">
        <f ca="1"/>
        <v>46003</v>
      </c>
      <c r="D29" s="161">
        <f ca="1"/>
        <v>46003</v>
      </c>
      <c r="E29" s="161">
        <f ca="1"/>
        <v>46003</v>
      </c>
      <c r="F29" s="161">
        <f ca="1"/>
        <v>46003</v>
      </c>
      <c r="G29" s="161">
        <f ca="1"/>
        <v>46003</v>
      </c>
      <c r="K29" s="161">
        <f ca="1"/>
        <v>45844</v>
      </c>
      <c r="Q29" s="161">
        <f ca="1"/>
        <v>45843</v>
      </c>
      <c r="R29" s="161">
        <f ca="1"/>
        <v>45843</v>
      </c>
      <c r="S29" s="161">
        <f ca="1"/>
        <v>45844</v>
      </c>
      <c r="X29" s="161">
        <f ca="1"/>
        <v>46003</v>
      </c>
    </row>
    <row r="30" spans="2:24" s="161" customFormat="1" x14ac:dyDescent="0.2">
      <c r="B30" s="161">
        <f ca="1"/>
        <v>46017</v>
      </c>
      <c r="C30" s="161">
        <f ca="1"/>
        <v>46017</v>
      </c>
      <c r="D30" s="161">
        <f ca="1"/>
        <v>46017</v>
      </c>
      <c r="E30" s="161">
        <f ca="1"/>
        <v>46017</v>
      </c>
      <c r="F30" s="161">
        <f ca="1"/>
        <v>46017</v>
      </c>
      <c r="G30" s="161">
        <f ca="1"/>
        <v>46017</v>
      </c>
      <c r="K30" s="161">
        <f ca="1"/>
        <v>45851</v>
      </c>
      <c r="Q30" s="161">
        <f ca="1"/>
        <v>45850</v>
      </c>
      <c r="R30" s="161">
        <f ca="1"/>
        <v>45850</v>
      </c>
      <c r="S30" s="161">
        <f ca="1"/>
        <v>45851</v>
      </c>
      <c r="X30" s="161">
        <f ca="1"/>
        <v>46017</v>
      </c>
    </row>
    <row r="31" spans="2:24" s="161" customFormat="1" x14ac:dyDescent="0.2">
      <c r="B31" s="161">
        <f ca="1"/>
        <v>46031</v>
      </c>
      <c r="C31" s="161">
        <f ca="1"/>
        <v>46031</v>
      </c>
      <c r="D31" s="161">
        <f ca="1"/>
        <v>46031</v>
      </c>
      <c r="E31" s="161">
        <f ca="1"/>
        <v>46031</v>
      </c>
      <c r="F31" s="161">
        <f ca="1"/>
        <v>46031</v>
      </c>
      <c r="G31" s="161">
        <f ca="1"/>
        <v>46031</v>
      </c>
      <c r="K31" s="161">
        <f ca="1"/>
        <v>45858</v>
      </c>
      <c r="Q31" s="161">
        <f ca="1"/>
        <v>45857</v>
      </c>
      <c r="R31" s="161">
        <f ca="1"/>
        <v>45857</v>
      </c>
      <c r="S31" s="161">
        <f ca="1"/>
        <v>45858</v>
      </c>
      <c r="X31" s="161">
        <f ca="1"/>
        <v>46031</v>
      </c>
    </row>
    <row r="32" spans="2:24" s="161" customFormat="1" x14ac:dyDescent="0.2">
      <c r="B32" s="161">
        <f ca="1"/>
        <v>46045</v>
      </c>
      <c r="C32" s="161">
        <f ca="1"/>
        <v>46045</v>
      </c>
      <c r="D32" s="161">
        <f ca="1"/>
        <v>46045</v>
      </c>
      <c r="E32" s="161">
        <f ca="1"/>
        <v>46045</v>
      </c>
      <c r="F32" s="161">
        <f ca="1"/>
        <v>46045</v>
      </c>
      <c r="G32" s="161">
        <f ca="1"/>
        <v>46045</v>
      </c>
      <c r="K32" s="161">
        <f ca="1"/>
        <v>45865</v>
      </c>
      <c r="Q32" s="161">
        <f ca="1"/>
        <v>45864</v>
      </c>
      <c r="R32" s="161">
        <f ca="1"/>
        <v>45864</v>
      </c>
      <c r="S32" s="161">
        <f ca="1"/>
        <v>45865</v>
      </c>
      <c r="X32" s="161">
        <f ca="1"/>
        <v>46045</v>
      </c>
    </row>
    <row r="33" spans="11:19" s="161" customFormat="1" x14ac:dyDescent="0.2">
      <c r="K33" s="161">
        <f ca="1"/>
        <v>45872</v>
      </c>
      <c r="Q33" s="161">
        <f ca="1"/>
        <v>45871</v>
      </c>
      <c r="R33" s="161">
        <f ca="1"/>
        <v>45871</v>
      </c>
      <c r="S33" s="161">
        <f ca="1"/>
        <v>45872</v>
      </c>
    </row>
    <row r="34" spans="11:19" s="161" customFormat="1" x14ac:dyDescent="0.2">
      <c r="K34" s="161">
        <f ca="1"/>
        <v>45879</v>
      </c>
      <c r="Q34" s="161">
        <f ca="1"/>
        <v>45878</v>
      </c>
      <c r="R34" s="161">
        <f ca="1"/>
        <v>45878</v>
      </c>
      <c r="S34" s="161">
        <f ca="1"/>
        <v>45879</v>
      </c>
    </row>
    <row r="35" spans="11:19" s="161" customFormat="1" x14ac:dyDescent="0.2">
      <c r="K35" s="161">
        <f ca="1"/>
        <v>45886</v>
      </c>
      <c r="Q35" s="161">
        <f ca="1"/>
        <v>45885</v>
      </c>
      <c r="R35" s="161">
        <f ca="1"/>
        <v>45885</v>
      </c>
      <c r="S35" s="161">
        <f ca="1"/>
        <v>45886</v>
      </c>
    </row>
    <row r="36" spans="11:19" s="161" customFormat="1" x14ac:dyDescent="0.2">
      <c r="K36" s="161">
        <f ca="1"/>
        <v>45893</v>
      </c>
      <c r="Q36" s="161">
        <f ca="1"/>
        <v>45892</v>
      </c>
      <c r="R36" s="161">
        <f ca="1"/>
        <v>45892</v>
      </c>
      <c r="S36" s="161">
        <f ca="1"/>
        <v>45893</v>
      </c>
    </row>
    <row r="37" spans="11:19" s="161" customFormat="1" x14ac:dyDescent="0.2">
      <c r="K37" s="161">
        <f ca="1"/>
        <v>45900</v>
      </c>
      <c r="Q37" s="161">
        <f ca="1"/>
        <v>45899</v>
      </c>
      <c r="R37" s="161">
        <f ca="1"/>
        <v>45899</v>
      </c>
      <c r="S37" s="161">
        <f ca="1"/>
        <v>45900</v>
      </c>
    </row>
    <row r="38" spans="11:19" s="161" customFormat="1" x14ac:dyDescent="0.2">
      <c r="K38" s="161">
        <f ca="1"/>
        <v>45907</v>
      </c>
      <c r="Q38" s="161">
        <f ca="1"/>
        <v>45906</v>
      </c>
      <c r="R38" s="161">
        <f ca="1"/>
        <v>45906</v>
      </c>
      <c r="S38" s="161">
        <f ca="1"/>
        <v>45907</v>
      </c>
    </row>
    <row r="39" spans="11:19" s="161" customFormat="1" x14ac:dyDescent="0.2">
      <c r="K39" s="161">
        <f ca="1"/>
        <v>45914</v>
      </c>
      <c r="Q39" s="161">
        <f ca="1"/>
        <v>45913</v>
      </c>
      <c r="R39" s="161">
        <f ca="1"/>
        <v>45913</v>
      </c>
      <c r="S39" s="161">
        <f ca="1"/>
        <v>45914</v>
      </c>
    </row>
    <row r="40" spans="11:19" s="161" customFormat="1" x14ac:dyDescent="0.2">
      <c r="K40" s="161">
        <f ca="1"/>
        <v>45921</v>
      </c>
      <c r="Q40" s="161">
        <f ca="1"/>
        <v>45920</v>
      </c>
      <c r="R40" s="161">
        <f ca="1"/>
        <v>45920</v>
      </c>
      <c r="S40" s="161">
        <f ca="1"/>
        <v>45921</v>
      </c>
    </row>
    <row r="41" spans="11:19" s="161" customFormat="1" x14ac:dyDescent="0.2">
      <c r="K41" s="161">
        <f ca="1"/>
        <v>45928</v>
      </c>
      <c r="Q41" s="161">
        <f ca="1"/>
        <v>45927</v>
      </c>
      <c r="R41" s="161">
        <f ca="1"/>
        <v>45927</v>
      </c>
      <c r="S41" s="161">
        <f ca="1"/>
        <v>45928</v>
      </c>
    </row>
    <row r="42" spans="11:19" s="161" customFormat="1" x14ac:dyDescent="0.2">
      <c r="K42" s="161">
        <f ca="1"/>
        <v>45935</v>
      </c>
      <c r="Q42" s="161">
        <f ca="1"/>
        <v>45934</v>
      </c>
      <c r="R42" s="161">
        <f ca="1"/>
        <v>45934</v>
      </c>
      <c r="S42" s="161">
        <f ca="1"/>
        <v>45935</v>
      </c>
    </row>
    <row r="43" spans="11:19" s="161" customFormat="1" x14ac:dyDescent="0.2">
      <c r="K43" s="161">
        <f ca="1"/>
        <v>45942</v>
      </c>
      <c r="Q43" s="161">
        <f ca="1"/>
        <v>45941</v>
      </c>
      <c r="R43" s="161">
        <f ca="1"/>
        <v>45941</v>
      </c>
      <c r="S43" s="161">
        <f ca="1"/>
        <v>45942</v>
      </c>
    </row>
    <row r="44" spans="11:19" s="161" customFormat="1" x14ac:dyDescent="0.2">
      <c r="K44" s="161">
        <f ca="1"/>
        <v>45949</v>
      </c>
      <c r="Q44" s="161">
        <f ca="1"/>
        <v>45948</v>
      </c>
      <c r="R44" s="161">
        <f ca="1"/>
        <v>45948</v>
      </c>
      <c r="S44" s="161">
        <f ca="1"/>
        <v>45949</v>
      </c>
    </row>
    <row r="45" spans="11:19" s="161" customFormat="1" x14ac:dyDescent="0.2">
      <c r="K45" s="161">
        <f ca="1"/>
        <v>45956</v>
      </c>
      <c r="Q45" s="161">
        <f ca="1"/>
        <v>45955</v>
      </c>
      <c r="R45" s="161">
        <f ca="1"/>
        <v>45955</v>
      </c>
      <c r="S45" s="161">
        <f ca="1"/>
        <v>45956</v>
      </c>
    </row>
    <row r="46" spans="11:19" s="161" customFormat="1" x14ac:dyDescent="0.2">
      <c r="K46" s="161">
        <f ca="1"/>
        <v>45963</v>
      </c>
      <c r="Q46" s="161">
        <f ca="1"/>
        <v>45962</v>
      </c>
      <c r="R46" s="161">
        <f ca="1"/>
        <v>45962</v>
      </c>
      <c r="S46" s="161">
        <f ca="1"/>
        <v>45963</v>
      </c>
    </row>
    <row r="47" spans="11:19" s="161" customFormat="1" x14ac:dyDescent="0.2">
      <c r="K47" s="161">
        <f ca="1"/>
        <v>45970</v>
      </c>
      <c r="Q47" s="161">
        <f ca="1"/>
        <v>45969</v>
      </c>
      <c r="R47" s="161">
        <f ca="1"/>
        <v>45969</v>
      </c>
      <c r="S47" s="161">
        <f ca="1"/>
        <v>45970</v>
      </c>
    </row>
    <row r="48" spans="11:19" s="161" customFormat="1" x14ac:dyDescent="0.2">
      <c r="K48" s="161">
        <f ca="1"/>
        <v>45977</v>
      </c>
      <c r="Q48" s="161">
        <f ca="1"/>
        <v>45976</v>
      </c>
      <c r="R48" s="161">
        <f ca="1"/>
        <v>45976</v>
      </c>
      <c r="S48" s="161">
        <f ca="1"/>
        <v>45977</v>
      </c>
    </row>
    <row r="49" spans="11:19" s="161" customFormat="1" x14ac:dyDescent="0.2">
      <c r="K49" s="161">
        <f ca="1"/>
        <v>45984</v>
      </c>
      <c r="Q49" s="161">
        <f ca="1"/>
        <v>45983</v>
      </c>
      <c r="R49" s="161">
        <f ca="1"/>
        <v>45983</v>
      </c>
      <c r="S49" s="161">
        <f ca="1"/>
        <v>45984</v>
      </c>
    </row>
    <row r="50" spans="11:19" s="161" customFormat="1" x14ac:dyDescent="0.2">
      <c r="K50" s="161">
        <f ca="1"/>
        <v>45991</v>
      </c>
      <c r="Q50" s="161">
        <f ca="1"/>
        <v>45990</v>
      </c>
      <c r="R50" s="161">
        <f ca="1"/>
        <v>45990</v>
      </c>
      <c r="S50" s="161">
        <f ca="1"/>
        <v>45991</v>
      </c>
    </row>
    <row r="51" spans="11:19" s="161" customFormat="1" x14ac:dyDescent="0.2">
      <c r="K51" s="161">
        <f ca="1"/>
        <v>45998</v>
      </c>
      <c r="Q51" s="161">
        <f ca="1"/>
        <v>45997</v>
      </c>
      <c r="R51" s="161">
        <f ca="1"/>
        <v>45997</v>
      </c>
      <c r="S51" s="161">
        <f ca="1"/>
        <v>45998</v>
      </c>
    </row>
    <row r="52" spans="11:19" s="161" customFormat="1" x14ac:dyDescent="0.2">
      <c r="K52" s="161">
        <f ca="1"/>
        <v>46005</v>
      </c>
      <c r="Q52" s="161">
        <f ca="1"/>
        <v>46004</v>
      </c>
      <c r="R52" s="161">
        <f ca="1"/>
        <v>46004</v>
      </c>
      <c r="S52" s="161">
        <f ca="1"/>
        <v>46005</v>
      </c>
    </row>
    <row r="53" spans="11:19" s="161" customFormat="1" x14ac:dyDescent="0.2">
      <c r="K53" s="161">
        <f ca="1"/>
        <v>46012</v>
      </c>
      <c r="Q53" s="161">
        <f ca="1"/>
        <v>46011</v>
      </c>
      <c r="R53" s="161">
        <f ca="1"/>
        <v>46011</v>
      </c>
      <c r="S53" s="161">
        <f ca="1"/>
        <v>46012</v>
      </c>
    </row>
    <row r="54" spans="11:19" s="161" customFormat="1" x14ac:dyDescent="0.2">
      <c r="K54" s="161">
        <f ca="1"/>
        <v>46019</v>
      </c>
      <c r="Q54" s="161">
        <f ca="1"/>
        <v>46018</v>
      </c>
      <c r="R54" s="161">
        <f ca="1"/>
        <v>46018</v>
      </c>
      <c r="S54" s="161">
        <f ca="1"/>
        <v>46019</v>
      </c>
    </row>
    <row r="55" spans="11:19" s="161" customFormat="1" x14ac:dyDescent="0.2">
      <c r="K55" s="161">
        <f ca="1"/>
        <v>46026</v>
      </c>
      <c r="Q55" s="161">
        <f ca="1"/>
        <v>46025</v>
      </c>
      <c r="R55" s="161">
        <f ca="1"/>
        <v>46025</v>
      </c>
      <c r="S55" s="161">
        <f ca="1"/>
        <v>46026</v>
      </c>
    </row>
    <row r="56" spans="11:19" s="161" customFormat="1" x14ac:dyDescent="0.2">
      <c r="K56" s="161">
        <f ca="1"/>
        <v>46033</v>
      </c>
      <c r="Q56" s="161">
        <f ca="1"/>
        <v>46032</v>
      </c>
      <c r="R56" s="161">
        <f ca="1"/>
        <v>46032</v>
      </c>
      <c r="S56" s="161">
        <f ca="1"/>
        <v>46033</v>
      </c>
    </row>
    <row r="57" spans="11:19" s="161" customFormat="1" x14ac:dyDescent="0.2">
      <c r="K57" s="161">
        <f ca="1"/>
        <v>46040</v>
      </c>
      <c r="Q57" s="161">
        <f ca="1"/>
        <v>46039</v>
      </c>
      <c r="R57" s="161">
        <f ca="1"/>
        <v>46039</v>
      </c>
      <c r="S57" s="161">
        <f ca="1"/>
        <v>46040</v>
      </c>
    </row>
    <row r="58" spans="11:19" s="161" customFormat="1" x14ac:dyDescent="0.2">
      <c r="K58" s="161">
        <f ca="1"/>
        <v>46047</v>
      </c>
      <c r="Q58" s="161">
        <f ca="1"/>
        <v>46046</v>
      </c>
      <c r="R58" s="161">
        <f ca="1"/>
        <v>46046</v>
      </c>
      <c r="S58" s="161">
        <f ca="1"/>
        <v>46047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BCFA-B061-48F7-80DD-A569B911F15F}">
  <sheetPr codeName="Sheet19">
    <tabColor theme="9"/>
  </sheetPr>
  <dimension ref="A1:AY369"/>
  <sheetViews>
    <sheetView workbookViewId="0"/>
  </sheetViews>
  <sheetFormatPr defaultColWidth="8" defaultRowHeight="12.75" x14ac:dyDescent="0.2"/>
  <cols>
    <col min="1" max="26" width="10.140625" style="19" bestFit="1" customWidth="1"/>
    <col min="27" max="16384" width="8" style="19"/>
  </cols>
  <sheetData>
    <row r="1" spans="1:51" x14ac:dyDescent="0.2">
      <c r="B1" s="19" t="str" cm="1">
        <f t="array" ref="B1:X1">TRANSPOSE(_xlfn._xlws.FILTER(Recurring!$B$4:$B$53,ISNUMBER(Recurring!$G$4:$G$53)))</f>
        <v>Salary</v>
      </c>
      <c r="C1" s="19" t="str">
        <v>Retirement Contributions</v>
      </c>
      <c r="D1" s="19" t="str">
        <v>Other Deductions</v>
      </c>
      <c r="E1" s="19" t="str">
        <v>Other Deductions</v>
      </c>
      <c r="F1" s="19" t="str">
        <v>Other Deductions</v>
      </c>
      <c r="G1" s="19" t="str">
        <v>Other Deductions</v>
      </c>
      <c r="H1" s="19" t="str">
        <v>Housing</v>
      </c>
      <c r="I1" s="19" t="str">
        <v>Housing</v>
      </c>
      <c r="J1" s="19" t="str">
        <v>Transportation</v>
      </c>
      <c r="K1" s="19" t="str">
        <v>Transportation</v>
      </c>
      <c r="L1" s="19" t="str">
        <v>Dues &amp; Memberships</v>
      </c>
      <c r="M1" s="19" t="str">
        <v>Dues &amp; Memberships</v>
      </c>
      <c r="N1" s="19" t="str">
        <v>Dues &amp; Memberships</v>
      </c>
      <c r="O1" s="19" t="str">
        <v>Dues &amp; Memberships</v>
      </c>
      <c r="P1" s="19" t="str">
        <v>Dues &amp; Memberships</v>
      </c>
      <c r="Q1" s="19" t="str">
        <v>Groceries</v>
      </c>
      <c r="R1" s="19" t="str">
        <v>Food &amp; Drinks</v>
      </c>
      <c r="S1" s="19" t="str">
        <v>Food &amp; Drinks</v>
      </c>
      <c r="T1" s="19" t="str">
        <v>Health</v>
      </c>
      <c r="U1" s="19" t="str">
        <v>Medication &amp; Supplements</v>
      </c>
      <c r="V1" s="19" t="str">
        <v>Loans</v>
      </c>
      <c r="W1" s="19" t="str">
        <v>Loans</v>
      </c>
      <c r="X1" s="19" t="str">
        <v>Brokerage Contributions</v>
      </c>
    </row>
    <row r="2" spans="1:51" s="155" customFormat="1" x14ac:dyDescent="0.2">
      <c r="B2" s="155" cm="1">
        <f t="array" ref="B2:X2">TRANSPOSE(_xlfn._xlws.FILTER(Recurring!$D$4:$D$53,ISNUMBER(Recurring!$G$4:$G$53)))</f>
        <v>4000</v>
      </c>
      <c r="C2" s="155">
        <v>200</v>
      </c>
      <c r="D2" s="155">
        <v>2</v>
      </c>
      <c r="E2" s="155">
        <v>40</v>
      </c>
      <c r="F2" s="155">
        <v>50</v>
      </c>
      <c r="G2" s="155">
        <v>4</v>
      </c>
      <c r="H2" s="155">
        <v>40</v>
      </c>
      <c r="I2" s="155">
        <v>2000</v>
      </c>
      <c r="J2" s="155">
        <v>500</v>
      </c>
      <c r="K2" s="155">
        <v>50</v>
      </c>
      <c r="L2" s="155">
        <v>69</v>
      </c>
      <c r="M2" s="155">
        <v>15</v>
      </c>
      <c r="N2" s="155">
        <v>15.49</v>
      </c>
      <c r="O2" s="155">
        <v>10.99</v>
      </c>
      <c r="P2" s="155">
        <v>2.99</v>
      </c>
      <c r="Q2" s="155">
        <v>100</v>
      </c>
      <c r="R2" s="155">
        <v>100</v>
      </c>
      <c r="S2" s="155">
        <v>100</v>
      </c>
      <c r="T2" s="155">
        <v>50</v>
      </c>
      <c r="U2" s="155">
        <v>50</v>
      </c>
      <c r="V2" s="155">
        <v>200</v>
      </c>
      <c r="W2" s="155">
        <v>100</v>
      </c>
      <c r="X2" s="155">
        <v>50</v>
      </c>
    </row>
    <row r="3" spans="1:51" x14ac:dyDescent="0.2">
      <c r="A3" s="18" t="str">
        <f ca="1">TEXT(TODAY(),"yyyy-mm-dd")</f>
        <v>2025-02-01</v>
      </c>
      <c r="B3" s="155">
        <f ca="1">IF(ISNUMBER(MATCH(DATEVALUE($A3),'recurring1_based on steps'!B$1:B$400,0)),B$2,)</f>
        <v>0</v>
      </c>
      <c r="C3" s="155">
        <f ca="1">IF(ISNUMBER(MATCH(DATEVALUE($A3),'recurring1_based on steps'!C$1:C$400,0)),C$2,)</f>
        <v>0</v>
      </c>
      <c r="D3" s="155">
        <f ca="1">IF(ISNUMBER(MATCH(DATEVALUE($A3),'recurring1_based on steps'!D$1:D$400,0)),D$2,)</f>
        <v>0</v>
      </c>
      <c r="E3" s="155">
        <f ca="1">IF(ISNUMBER(MATCH(DATEVALUE($A3),'recurring1_based on steps'!E$1:E$400,0)),E$2,)</f>
        <v>0</v>
      </c>
      <c r="F3" s="155">
        <f ca="1">IF(ISNUMBER(MATCH(DATEVALUE($A3),'recurring1_based on steps'!F$1:F$400,0)),F$2,)</f>
        <v>0</v>
      </c>
      <c r="G3" s="155">
        <f ca="1">IF(ISNUMBER(MATCH(DATEVALUE($A3),'recurring1_based on steps'!G$1:G$400,0)),G$2,)</f>
        <v>0</v>
      </c>
      <c r="H3" s="155">
        <f ca="1">IF(ISNUMBER(MATCH(DATEVALUE($A3),'recurring1_based on steps'!H$1:H$400,0)),H$2,)</f>
        <v>0</v>
      </c>
      <c r="I3" s="155">
        <f ca="1">IF(ISNUMBER(MATCH(DATEVALUE($A3),'recurring1_based on steps'!I$1:I$400,0)),I$2,)</f>
        <v>2000</v>
      </c>
      <c r="J3" s="155">
        <f ca="1">IF(ISNUMBER(MATCH(DATEVALUE($A3),'recurring1_based on steps'!J$1:J$400,0)),J$2,)</f>
        <v>0</v>
      </c>
      <c r="K3" s="155">
        <f ca="1">IF(ISNUMBER(MATCH(DATEVALUE($A3),'recurring1_based on steps'!K$1:K$400,0)),K$2,)</f>
        <v>0</v>
      </c>
      <c r="L3" s="155">
        <f ca="1">IF(ISNUMBER(MATCH(DATEVALUE($A3),'recurring1_based on steps'!L$1:L$400,0)),L$2,)</f>
        <v>0</v>
      </c>
      <c r="M3" s="155">
        <f ca="1">IF(ISNUMBER(MATCH(DATEVALUE($A3),'recurring1_based on steps'!M$1:M$400,0)),M$2,)</f>
        <v>0</v>
      </c>
      <c r="N3" s="155">
        <f ca="1">IF(ISNUMBER(MATCH(DATEVALUE($A3),'recurring1_based on steps'!N$1:N$400,0)),N$2,)</f>
        <v>0</v>
      </c>
      <c r="O3" s="155">
        <f ca="1">IF(ISNUMBER(MATCH(DATEVALUE($A3),'recurring1_based on steps'!O$1:O$400,0)),O$2,)</f>
        <v>0</v>
      </c>
      <c r="P3" s="155">
        <f ca="1">IF(ISNUMBER(MATCH(DATEVALUE($A3),'recurring1_based on steps'!P$1:P$400,0)),P$2,)</f>
        <v>0</v>
      </c>
      <c r="Q3" s="155">
        <f ca="1">IF(ISNUMBER(MATCH(DATEVALUE($A3),'recurring1_based on steps'!Q$1:Q$400,0)),Q$2,)</f>
        <v>100</v>
      </c>
      <c r="R3" s="155">
        <f ca="1">IF(ISNUMBER(MATCH(DATEVALUE($A3),'recurring1_based on steps'!R$1:R$400,0)),R$2,)</f>
        <v>100</v>
      </c>
      <c r="S3" s="155">
        <f ca="1">IF(ISNUMBER(MATCH(DATEVALUE($A3),'recurring1_based on steps'!S$1:S$400,0)),S$2,)</f>
        <v>0</v>
      </c>
      <c r="T3" s="155">
        <f ca="1">IF(ISNUMBER(MATCH(DATEVALUE($A3),'recurring1_based on steps'!T$1:T$400,0)),T$2,)</f>
        <v>0</v>
      </c>
      <c r="U3" s="155">
        <f ca="1">IF(ISNUMBER(MATCH(DATEVALUE($A3),'recurring1_based on steps'!U$1:U$400,0)),U$2,)</f>
        <v>0</v>
      </c>
      <c r="V3" s="155">
        <f ca="1">IF(ISNUMBER(MATCH(DATEVALUE($A3),'recurring1_based on steps'!V$1:V$400,0)),V$2,)</f>
        <v>0</v>
      </c>
      <c r="W3" s="155">
        <f ca="1">IF(ISNUMBER(MATCH(DATEVALUE($A3),'recurring1_based on steps'!W$1:W$400,0)),W$2,)</f>
        <v>0</v>
      </c>
      <c r="X3" s="155">
        <f ca="1">IF(ISNUMBER(MATCH(DATEVALUE($A3),'recurring1_based on steps'!X$1:X$400,0)),X$2,)</f>
        <v>0</v>
      </c>
      <c r="Y3" s="155">
        <f ca="1">IF(ISNUMBER(MATCH(DATEVALUE($A3),'recurring1_based on steps'!Y$1:Y$400,0)),Y$2,)</f>
        <v>0</v>
      </c>
      <c r="Z3" s="155">
        <f ca="1">IF(ISNUMBER(MATCH(DATEVALUE($A3),'recurring1_based on steps'!Z$1:Z$400,0)),Z$2,)</f>
        <v>0</v>
      </c>
      <c r="AA3" s="155">
        <f ca="1">IF(ISNUMBER(MATCH(DATEVALUE($A3),'recurring1_based on steps'!AA$1:AA$400,0)),AA$2,)</f>
        <v>0</v>
      </c>
      <c r="AB3" s="155">
        <f ca="1">IF(ISNUMBER(MATCH(DATEVALUE($A3),'recurring1_based on steps'!AB$1:AB$400,0)),AB$2,)</f>
        <v>0</v>
      </c>
      <c r="AC3" s="155">
        <f ca="1">IF(ISNUMBER(MATCH(DATEVALUE($A3),'recurring1_based on steps'!AC$1:AC$400,0)),AC$2,)</f>
        <v>0</v>
      </c>
      <c r="AD3" s="155">
        <f ca="1">IF(ISNUMBER(MATCH(DATEVALUE($A3),'recurring1_based on steps'!AD$1:AD$400,0)),AD$2,)</f>
        <v>0</v>
      </c>
      <c r="AE3" s="155">
        <f ca="1">IF(ISNUMBER(MATCH(DATEVALUE($A3),'recurring1_based on steps'!AE$1:AE$400,0)),AE$2,)</f>
        <v>0</v>
      </c>
      <c r="AF3" s="155">
        <f ca="1">IF(ISNUMBER(MATCH(DATEVALUE($A3),'recurring1_based on steps'!AF$1:AF$400,0)),AF$2,)</f>
        <v>0</v>
      </c>
      <c r="AG3" s="155">
        <f ca="1">IF(ISNUMBER(MATCH(DATEVALUE($A3),'recurring1_based on steps'!AG$1:AG$400,0)),AG$2,)</f>
        <v>0</v>
      </c>
      <c r="AH3" s="155">
        <f ca="1">IF(ISNUMBER(MATCH(DATEVALUE($A3),'recurring1_based on steps'!AH$1:AH$400,0)),AH$2,)</f>
        <v>0</v>
      </c>
      <c r="AI3" s="155">
        <f ca="1">IF(ISNUMBER(MATCH(DATEVALUE($A3),'recurring1_based on steps'!AI$1:AI$400,0)),AI$2,)</f>
        <v>0</v>
      </c>
      <c r="AJ3" s="155">
        <f ca="1">IF(ISNUMBER(MATCH(DATEVALUE($A3),'recurring1_based on steps'!AJ$1:AJ$400,0)),AJ$2,)</f>
        <v>0</v>
      </c>
      <c r="AK3" s="155">
        <f ca="1">IF(ISNUMBER(MATCH(DATEVALUE($A3),'recurring1_based on steps'!AK$1:AK$400,0)),AK$2,)</f>
        <v>0</v>
      </c>
      <c r="AL3" s="155">
        <f ca="1">IF(ISNUMBER(MATCH(DATEVALUE($A3),'recurring1_based on steps'!AL$1:AL$400,0)),AL$2,)</f>
        <v>0</v>
      </c>
      <c r="AM3" s="155">
        <f ca="1">IF(ISNUMBER(MATCH(DATEVALUE($A3),'recurring1_based on steps'!AM$1:AM$400,0)),AM$2,)</f>
        <v>0</v>
      </c>
      <c r="AN3" s="155">
        <f ca="1">IF(ISNUMBER(MATCH(DATEVALUE($A3),'recurring1_based on steps'!AN$1:AN$400,0)),AN$2,)</f>
        <v>0</v>
      </c>
      <c r="AO3" s="155">
        <f ca="1">IF(ISNUMBER(MATCH(DATEVALUE($A3),'recurring1_based on steps'!AO$1:AO$400,0)),AO$2,)</f>
        <v>0</v>
      </c>
      <c r="AP3" s="155">
        <f ca="1">IF(ISNUMBER(MATCH(DATEVALUE($A3),'recurring1_based on steps'!AP$1:AP$400,0)),AP$2,)</f>
        <v>0</v>
      </c>
      <c r="AQ3" s="155">
        <f ca="1">IF(ISNUMBER(MATCH(DATEVALUE($A3),'recurring1_based on steps'!AQ$1:AQ$400,0)),AQ$2,)</f>
        <v>0</v>
      </c>
      <c r="AR3" s="155">
        <f ca="1">IF(ISNUMBER(MATCH(DATEVALUE($A3),'recurring1_based on steps'!AR$1:AR$400,0)),AR$2,)</f>
        <v>0</v>
      </c>
      <c r="AS3" s="155">
        <f ca="1">IF(ISNUMBER(MATCH(DATEVALUE($A3),'recurring1_based on steps'!AS$1:AS$400,0)),AS$2,)</f>
        <v>0</v>
      </c>
      <c r="AT3" s="155">
        <f ca="1">IF(ISNUMBER(MATCH(DATEVALUE($A3),'recurring1_based on steps'!AT$1:AT$400,0)),AT$2,)</f>
        <v>0</v>
      </c>
      <c r="AU3" s="155">
        <f ca="1">IF(ISNUMBER(MATCH(DATEVALUE($A3),'recurring1_based on steps'!AU$1:AU$400,0)),AU$2,)</f>
        <v>0</v>
      </c>
      <c r="AV3" s="155">
        <f ca="1">IF(ISNUMBER(MATCH(DATEVALUE($A3),'recurring1_based on steps'!AV$1:AV$400,0)),AV$2,)</f>
        <v>0</v>
      </c>
      <c r="AW3" s="155">
        <f ca="1">IF(ISNUMBER(MATCH(DATEVALUE($A3),'recurring1_based on steps'!AW$1:AW$400,0)),AW$2,)</f>
        <v>0</v>
      </c>
      <c r="AX3" s="155">
        <f ca="1">IF(ISNUMBER(MATCH(DATEVALUE($A3),'recurring1_based on steps'!AX$1:AX$400,0)),AX$2,)</f>
        <v>0</v>
      </c>
      <c r="AY3" s="155">
        <f ca="1">IF(ISNUMBER(MATCH(DATEVALUE($A3),'recurring1_based on steps'!AY$1:AY$400,0)),AY$2,)</f>
        <v>0</v>
      </c>
    </row>
    <row r="4" spans="1:51" x14ac:dyDescent="0.2">
      <c r="A4" s="18" t="str">
        <f ca="1">TEXT(DATEVALUE(A3)+1,"yyyy-mm-dd")</f>
        <v>2025-02-02</v>
      </c>
      <c r="B4" s="155">
        <f ca="1">IF(ISNUMBER(MATCH(DATEVALUE($A4),'recurring1_based on steps'!B$1:B$400,0)),B$2,)</f>
        <v>0</v>
      </c>
      <c r="C4" s="155">
        <f ca="1">IF(ISNUMBER(MATCH(DATEVALUE($A4),'recurring1_based on steps'!C$1:C$400,0)),C$2,)</f>
        <v>0</v>
      </c>
      <c r="D4" s="155">
        <f ca="1">IF(ISNUMBER(MATCH(DATEVALUE($A4),'recurring1_based on steps'!D$1:D$400,0)),D$2,)</f>
        <v>0</v>
      </c>
      <c r="E4" s="155">
        <f ca="1">IF(ISNUMBER(MATCH(DATEVALUE($A4),'recurring1_based on steps'!E$1:E$400,0)),E$2,)</f>
        <v>0</v>
      </c>
      <c r="F4" s="155">
        <f ca="1">IF(ISNUMBER(MATCH(DATEVALUE($A4),'recurring1_based on steps'!F$1:F$400,0)),F$2,)</f>
        <v>0</v>
      </c>
      <c r="G4" s="155">
        <f ca="1">IF(ISNUMBER(MATCH(DATEVALUE($A4),'recurring1_based on steps'!G$1:G$400,0)),G$2,)</f>
        <v>0</v>
      </c>
      <c r="H4" s="155">
        <f ca="1">IF(ISNUMBER(MATCH(DATEVALUE($A4),'recurring1_based on steps'!H$1:H$400,0)),H$2,)</f>
        <v>0</v>
      </c>
      <c r="I4" s="155">
        <f ca="1">IF(ISNUMBER(MATCH(DATEVALUE($A4),'recurring1_based on steps'!I$1:I$400,0)),I$2,)</f>
        <v>0</v>
      </c>
      <c r="J4" s="155">
        <f ca="1">IF(ISNUMBER(MATCH(DATEVALUE($A4),'recurring1_based on steps'!J$1:J$400,0)),J$2,)</f>
        <v>0</v>
      </c>
      <c r="K4" s="155">
        <f ca="1">IF(ISNUMBER(MATCH(DATEVALUE($A4),'recurring1_based on steps'!K$1:K$400,0)),K$2,)</f>
        <v>50</v>
      </c>
      <c r="L4" s="155">
        <f ca="1">IF(ISNUMBER(MATCH(DATEVALUE($A4),'recurring1_based on steps'!L$1:L$400,0)),L$2,)</f>
        <v>0</v>
      </c>
      <c r="M4" s="155">
        <f ca="1">IF(ISNUMBER(MATCH(DATEVALUE($A4),'recurring1_based on steps'!M$1:M$400,0)),M$2,)</f>
        <v>0</v>
      </c>
      <c r="N4" s="155">
        <f ca="1">IF(ISNUMBER(MATCH(DATEVALUE($A4),'recurring1_based on steps'!N$1:N$400,0)),N$2,)</f>
        <v>0</v>
      </c>
      <c r="O4" s="155">
        <f ca="1">IF(ISNUMBER(MATCH(DATEVALUE($A4),'recurring1_based on steps'!O$1:O$400,0)),O$2,)</f>
        <v>0</v>
      </c>
      <c r="P4" s="155">
        <f ca="1">IF(ISNUMBER(MATCH(DATEVALUE($A4),'recurring1_based on steps'!P$1:P$400,0)),P$2,)</f>
        <v>0</v>
      </c>
      <c r="Q4" s="155">
        <f ca="1">IF(ISNUMBER(MATCH(DATEVALUE($A4),'recurring1_based on steps'!Q$1:Q$400,0)),Q$2,)</f>
        <v>0</v>
      </c>
      <c r="R4" s="155">
        <f ca="1">IF(ISNUMBER(MATCH(DATEVALUE($A4),'recurring1_based on steps'!R$1:R$400,0)),R$2,)</f>
        <v>0</v>
      </c>
      <c r="S4" s="155">
        <f ca="1">IF(ISNUMBER(MATCH(DATEVALUE($A4),'recurring1_based on steps'!S$1:S$400,0)),S$2,)</f>
        <v>100</v>
      </c>
      <c r="T4" s="155">
        <f ca="1">IF(ISNUMBER(MATCH(DATEVALUE($A4),'recurring1_based on steps'!T$1:T$400,0)),T$2,)</f>
        <v>0</v>
      </c>
      <c r="U4" s="155">
        <f ca="1">IF(ISNUMBER(MATCH(DATEVALUE($A4),'recurring1_based on steps'!U$1:U$400,0)),U$2,)</f>
        <v>0</v>
      </c>
      <c r="V4" s="155">
        <f ca="1">IF(ISNUMBER(MATCH(DATEVALUE($A4),'recurring1_based on steps'!V$1:V$400,0)),V$2,)</f>
        <v>0</v>
      </c>
      <c r="W4" s="155">
        <f ca="1">IF(ISNUMBER(MATCH(DATEVALUE($A4),'recurring1_based on steps'!W$1:W$400,0)),W$2,)</f>
        <v>0</v>
      </c>
      <c r="X4" s="155">
        <f ca="1">IF(ISNUMBER(MATCH(DATEVALUE($A4),'recurring1_based on steps'!X$1:X$400,0)),X$2,)</f>
        <v>0</v>
      </c>
      <c r="Y4" s="155">
        <f ca="1">IF(ISNUMBER(MATCH(DATEVALUE($A4),'recurring1_based on steps'!Y$1:Y$400,0)),Y$2,)</f>
        <v>0</v>
      </c>
      <c r="Z4" s="155">
        <f ca="1">IF(ISNUMBER(MATCH(DATEVALUE($A4),'recurring1_based on steps'!Z$1:Z$400,0)),Z$2,)</f>
        <v>0</v>
      </c>
      <c r="AA4" s="155">
        <f ca="1">IF(ISNUMBER(MATCH(DATEVALUE($A4),'recurring1_based on steps'!AA$1:AA$400,0)),AA$2,)</f>
        <v>0</v>
      </c>
      <c r="AB4" s="155">
        <f ca="1">IF(ISNUMBER(MATCH(DATEVALUE($A4),'recurring1_based on steps'!AB$1:AB$400,0)),AB$2,)</f>
        <v>0</v>
      </c>
      <c r="AC4" s="155">
        <f ca="1">IF(ISNUMBER(MATCH(DATEVALUE($A4),'recurring1_based on steps'!AC$1:AC$400,0)),AC$2,)</f>
        <v>0</v>
      </c>
      <c r="AD4" s="155">
        <f ca="1">IF(ISNUMBER(MATCH(DATEVALUE($A4),'recurring1_based on steps'!AD$1:AD$400,0)),AD$2,)</f>
        <v>0</v>
      </c>
      <c r="AE4" s="155">
        <f ca="1">IF(ISNUMBER(MATCH(DATEVALUE($A4),'recurring1_based on steps'!AE$1:AE$400,0)),AE$2,)</f>
        <v>0</v>
      </c>
      <c r="AF4" s="155">
        <f ca="1">IF(ISNUMBER(MATCH(DATEVALUE($A4),'recurring1_based on steps'!AF$1:AF$400,0)),AF$2,)</f>
        <v>0</v>
      </c>
      <c r="AG4" s="155">
        <f ca="1">IF(ISNUMBER(MATCH(DATEVALUE($A4),'recurring1_based on steps'!AG$1:AG$400,0)),AG$2,)</f>
        <v>0</v>
      </c>
      <c r="AH4" s="155">
        <f ca="1">IF(ISNUMBER(MATCH(DATEVALUE($A4),'recurring1_based on steps'!AH$1:AH$400,0)),AH$2,)</f>
        <v>0</v>
      </c>
      <c r="AI4" s="155">
        <f ca="1">IF(ISNUMBER(MATCH(DATEVALUE($A4),'recurring1_based on steps'!AI$1:AI$400,0)),AI$2,)</f>
        <v>0</v>
      </c>
      <c r="AJ4" s="155">
        <f ca="1">IF(ISNUMBER(MATCH(DATEVALUE($A4),'recurring1_based on steps'!AJ$1:AJ$400,0)),AJ$2,)</f>
        <v>0</v>
      </c>
      <c r="AK4" s="155">
        <f ca="1">IF(ISNUMBER(MATCH(DATEVALUE($A4),'recurring1_based on steps'!AK$1:AK$400,0)),AK$2,)</f>
        <v>0</v>
      </c>
      <c r="AL4" s="155">
        <f ca="1">IF(ISNUMBER(MATCH(DATEVALUE($A4),'recurring1_based on steps'!AL$1:AL$400,0)),AL$2,)</f>
        <v>0</v>
      </c>
      <c r="AM4" s="155">
        <f ca="1">IF(ISNUMBER(MATCH(DATEVALUE($A4),'recurring1_based on steps'!AM$1:AM$400,0)),AM$2,)</f>
        <v>0</v>
      </c>
      <c r="AN4" s="155">
        <f ca="1">IF(ISNUMBER(MATCH(DATEVALUE($A4),'recurring1_based on steps'!AN$1:AN$400,0)),AN$2,)</f>
        <v>0</v>
      </c>
      <c r="AO4" s="155">
        <f ca="1">IF(ISNUMBER(MATCH(DATEVALUE($A4),'recurring1_based on steps'!AO$1:AO$400,0)),AO$2,)</f>
        <v>0</v>
      </c>
      <c r="AP4" s="155">
        <f ca="1">IF(ISNUMBER(MATCH(DATEVALUE($A4),'recurring1_based on steps'!AP$1:AP$400,0)),AP$2,)</f>
        <v>0</v>
      </c>
      <c r="AQ4" s="155">
        <f ca="1">IF(ISNUMBER(MATCH(DATEVALUE($A4),'recurring1_based on steps'!AQ$1:AQ$400,0)),AQ$2,)</f>
        <v>0</v>
      </c>
      <c r="AR4" s="155">
        <f ca="1">IF(ISNUMBER(MATCH(DATEVALUE($A4),'recurring1_based on steps'!AR$1:AR$400,0)),AR$2,)</f>
        <v>0</v>
      </c>
      <c r="AS4" s="155">
        <f ca="1">IF(ISNUMBER(MATCH(DATEVALUE($A4),'recurring1_based on steps'!AS$1:AS$400,0)),AS$2,)</f>
        <v>0</v>
      </c>
      <c r="AT4" s="155">
        <f ca="1">IF(ISNUMBER(MATCH(DATEVALUE($A4),'recurring1_based on steps'!AT$1:AT$400,0)),AT$2,)</f>
        <v>0</v>
      </c>
      <c r="AU4" s="155">
        <f ca="1">IF(ISNUMBER(MATCH(DATEVALUE($A4),'recurring1_based on steps'!AU$1:AU$400,0)),AU$2,)</f>
        <v>0</v>
      </c>
      <c r="AV4" s="155">
        <f ca="1">IF(ISNUMBER(MATCH(DATEVALUE($A4),'recurring1_based on steps'!AV$1:AV$400,0)),AV$2,)</f>
        <v>0</v>
      </c>
      <c r="AW4" s="155">
        <f ca="1">IF(ISNUMBER(MATCH(DATEVALUE($A4),'recurring1_based on steps'!AW$1:AW$400,0)),AW$2,)</f>
        <v>0</v>
      </c>
      <c r="AX4" s="155">
        <f ca="1">IF(ISNUMBER(MATCH(DATEVALUE($A4),'recurring1_based on steps'!AX$1:AX$400,0)),AX$2,)</f>
        <v>0</v>
      </c>
      <c r="AY4" s="155">
        <f ca="1">IF(ISNUMBER(MATCH(DATEVALUE($A4),'recurring1_based on steps'!AY$1:AY$400,0)),AY$2,)</f>
        <v>0</v>
      </c>
    </row>
    <row r="5" spans="1:51" x14ac:dyDescent="0.2">
      <c r="A5" s="18" t="str">
        <f t="shared" ref="A5:A68" ca="1" si="0">TEXT(DATEVALUE(A4)+1,"yyyy-mm-dd")</f>
        <v>2025-02-03</v>
      </c>
      <c r="B5" s="155">
        <f ca="1">IF(ISNUMBER(MATCH(DATEVALUE($A5),'recurring1_based on steps'!B$1:B$400,0)),B$2,)</f>
        <v>0</v>
      </c>
      <c r="C5" s="155">
        <f ca="1">IF(ISNUMBER(MATCH(DATEVALUE($A5),'recurring1_based on steps'!C$1:C$400,0)),C$2,)</f>
        <v>0</v>
      </c>
      <c r="D5" s="155">
        <f ca="1">IF(ISNUMBER(MATCH(DATEVALUE($A5),'recurring1_based on steps'!D$1:D$400,0)),D$2,)</f>
        <v>0</v>
      </c>
      <c r="E5" s="155">
        <f ca="1">IF(ISNUMBER(MATCH(DATEVALUE($A5),'recurring1_based on steps'!E$1:E$400,0)),E$2,)</f>
        <v>0</v>
      </c>
      <c r="F5" s="155">
        <f ca="1">IF(ISNUMBER(MATCH(DATEVALUE($A5),'recurring1_based on steps'!F$1:F$400,0)),F$2,)</f>
        <v>0</v>
      </c>
      <c r="G5" s="155">
        <f ca="1">IF(ISNUMBER(MATCH(DATEVALUE($A5),'recurring1_based on steps'!G$1:G$400,0)),G$2,)</f>
        <v>0</v>
      </c>
      <c r="H5" s="155">
        <f ca="1">IF(ISNUMBER(MATCH(DATEVALUE($A5),'recurring1_based on steps'!H$1:H$400,0)),H$2,)</f>
        <v>0</v>
      </c>
      <c r="I5" s="155">
        <f ca="1">IF(ISNUMBER(MATCH(DATEVALUE($A5),'recurring1_based on steps'!I$1:I$400,0)),I$2,)</f>
        <v>0</v>
      </c>
      <c r="J5" s="155">
        <f ca="1">IF(ISNUMBER(MATCH(DATEVALUE($A5),'recurring1_based on steps'!J$1:J$400,0)),J$2,)</f>
        <v>0</v>
      </c>
      <c r="K5" s="155">
        <f ca="1">IF(ISNUMBER(MATCH(DATEVALUE($A5),'recurring1_based on steps'!K$1:K$400,0)),K$2,)</f>
        <v>0</v>
      </c>
      <c r="L5" s="155">
        <f ca="1">IF(ISNUMBER(MATCH(DATEVALUE($A5),'recurring1_based on steps'!L$1:L$400,0)),L$2,)</f>
        <v>0</v>
      </c>
      <c r="M5" s="155">
        <f ca="1">IF(ISNUMBER(MATCH(DATEVALUE($A5),'recurring1_based on steps'!M$1:M$400,0)),M$2,)</f>
        <v>0</v>
      </c>
      <c r="N5" s="155">
        <f ca="1">IF(ISNUMBER(MATCH(DATEVALUE($A5),'recurring1_based on steps'!N$1:N$400,0)),N$2,)</f>
        <v>0</v>
      </c>
      <c r="O5" s="155">
        <f ca="1">IF(ISNUMBER(MATCH(DATEVALUE($A5),'recurring1_based on steps'!O$1:O$400,0)),O$2,)</f>
        <v>0</v>
      </c>
      <c r="P5" s="155">
        <f ca="1">IF(ISNUMBER(MATCH(DATEVALUE($A5),'recurring1_based on steps'!P$1:P$400,0)),P$2,)</f>
        <v>0</v>
      </c>
      <c r="Q5" s="155">
        <f ca="1">IF(ISNUMBER(MATCH(DATEVALUE($A5),'recurring1_based on steps'!Q$1:Q$400,0)),Q$2,)</f>
        <v>0</v>
      </c>
      <c r="R5" s="155">
        <f ca="1">IF(ISNUMBER(MATCH(DATEVALUE($A5),'recurring1_based on steps'!R$1:R$400,0)),R$2,)</f>
        <v>0</v>
      </c>
      <c r="S5" s="155">
        <f ca="1">IF(ISNUMBER(MATCH(DATEVALUE($A5),'recurring1_based on steps'!S$1:S$400,0)),S$2,)</f>
        <v>0</v>
      </c>
      <c r="T5" s="155">
        <f ca="1">IF(ISNUMBER(MATCH(DATEVALUE($A5),'recurring1_based on steps'!T$1:T$400,0)),T$2,)</f>
        <v>50</v>
      </c>
      <c r="U5" s="155">
        <f ca="1">IF(ISNUMBER(MATCH(DATEVALUE($A5),'recurring1_based on steps'!U$1:U$400,0)),U$2,)</f>
        <v>0</v>
      </c>
      <c r="V5" s="155">
        <f ca="1">IF(ISNUMBER(MATCH(DATEVALUE($A5),'recurring1_based on steps'!V$1:V$400,0)),V$2,)</f>
        <v>0</v>
      </c>
      <c r="W5" s="155">
        <f ca="1">IF(ISNUMBER(MATCH(DATEVALUE($A5),'recurring1_based on steps'!W$1:W$400,0)),W$2,)</f>
        <v>0</v>
      </c>
      <c r="X5" s="155">
        <f ca="1">IF(ISNUMBER(MATCH(DATEVALUE($A5),'recurring1_based on steps'!X$1:X$400,0)),X$2,)</f>
        <v>0</v>
      </c>
      <c r="Y5" s="155">
        <f ca="1">IF(ISNUMBER(MATCH(DATEVALUE($A5),'recurring1_based on steps'!Y$1:Y$400,0)),Y$2,)</f>
        <v>0</v>
      </c>
      <c r="Z5" s="155">
        <f ca="1">IF(ISNUMBER(MATCH(DATEVALUE($A5),'recurring1_based on steps'!Z$1:Z$400,0)),Z$2,)</f>
        <v>0</v>
      </c>
      <c r="AA5" s="155">
        <f ca="1">IF(ISNUMBER(MATCH(DATEVALUE($A5),'recurring1_based on steps'!AA$1:AA$400,0)),AA$2,)</f>
        <v>0</v>
      </c>
      <c r="AB5" s="155">
        <f ca="1">IF(ISNUMBER(MATCH(DATEVALUE($A5),'recurring1_based on steps'!AB$1:AB$400,0)),AB$2,)</f>
        <v>0</v>
      </c>
      <c r="AC5" s="155">
        <f ca="1">IF(ISNUMBER(MATCH(DATEVALUE($A5),'recurring1_based on steps'!AC$1:AC$400,0)),AC$2,)</f>
        <v>0</v>
      </c>
      <c r="AD5" s="155">
        <f ca="1">IF(ISNUMBER(MATCH(DATEVALUE($A5),'recurring1_based on steps'!AD$1:AD$400,0)),AD$2,)</f>
        <v>0</v>
      </c>
      <c r="AE5" s="155">
        <f ca="1">IF(ISNUMBER(MATCH(DATEVALUE($A5),'recurring1_based on steps'!AE$1:AE$400,0)),AE$2,)</f>
        <v>0</v>
      </c>
      <c r="AF5" s="155">
        <f ca="1">IF(ISNUMBER(MATCH(DATEVALUE($A5),'recurring1_based on steps'!AF$1:AF$400,0)),AF$2,)</f>
        <v>0</v>
      </c>
      <c r="AG5" s="155">
        <f ca="1">IF(ISNUMBER(MATCH(DATEVALUE($A5),'recurring1_based on steps'!AG$1:AG$400,0)),AG$2,)</f>
        <v>0</v>
      </c>
      <c r="AH5" s="155">
        <f ca="1">IF(ISNUMBER(MATCH(DATEVALUE($A5),'recurring1_based on steps'!AH$1:AH$400,0)),AH$2,)</f>
        <v>0</v>
      </c>
      <c r="AI5" s="155">
        <f ca="1">IF(ISNUMBER(MATCH(DATEVALUE($A5),'recurring1_based on steps'!AI$1:AI$400,0)),AI$2,)</f>
        <v>0</v>
      </c>
      <c r="AJ5" s="155">
        <f ca="1">IF(ISNUMBER(MATCH(DATEVALUE($A5),'recurring1_based on steps'!AJ$1:AJ$400,0)),AJ$2,)</f>
        <v>0</v>
      </c>
      <c r="AK5" s="155">
        <f ca="1">IF(ISNUMBER(MATCH(DATEVALUE($A5),'recurring1_based on steps'!AK$1:AK$400,0)),AK$2,)</f>
        <v>0</v>
      </c>
      <c r="AL5" s="155">
        <f ca="1">IF(ISNUMBER(MATCH(DATEVALUE($A5),'recurring1_based on steps'!AL$1:AL$400,0)),AL$2,)</f>
        <v>0</v>
      </c>
      <c r="AM5" s="155">
        <f ca="1">IF(ISNUMBER(MATCH(DATEVALUE($A5),'recurring1_based on steps'!AM$1:AM$400,0)),AM$2,)</f>
        <v>0</v>
      </c>
      <c r="AN5" s="155">
        <f ca="1">IF(ISNUMBER(MATCH(DATEVALUE($A5),'recurring1_based on steps'!AN$1:AN$400,0)),AN$2,)</f>
        <v>0</v>
      </c>
      <c r="AO5" s="155">
        <f ca="1">IF(ISNUMBER(MATCH(DATEVALUE($A5),'recurring1_based on steps'!AO$1:AO$400,0)),AO$2,)</f>
        <v>0</v>
      </c>
      <c r="AP5" s="155">
        <f ca="1">IF(ISNUMBER(MATCH(DATEVALUE($A5),'recurring1_based on steps'!AP$1:AP$400,0)),AP$2,)</f>
        <v>0</v>
      </c>
      <c r="AQ5" s="155">
        <f ca="1">IF(ISNUMBER(MATCH(DATEVALUE($A5),'recurring1_based on steps'!AQ$1:AQ$400,0)),AQ$2,)</f>
        <v>0</v>
      </c>
      <c r="AR5" s="155">
        <f ca="1">IF(ISNUMBER(MATCH(DATEVALUE($A5),'recurring1_based on steps'!AR$1:AR$400,0)),AR$2,)</f>
        <v>0</v>
      </c>
      <c r="AS5" s="155">
        <f ca="1">IF(ISNUMBER(MATCH(DATEVALUE($A5),'recurring1_based on steps'!AS$1:AS$400,0)),AS$2,)</f>
        <v>0</v>
      </c>
      <c r="AT5" s="155">
        <f ca="1">IF(ISNUMBER(MATCH(DATEVALUE($A5),'recurring1_based on steps'!AT$1:AT$400,0)),AT$2,)</f>
        <v>0</v>
      </c>
      <c r="AU5" s="155">
        <f ca="1">IF(ISNUMBER(MATCH(DATEVALUE($A5),'recurring1_based on steps'!AU$1:AU$400,0)),AU$2,)</f>
        <v>0</v>
      </c>
      <c r="AV5" s="155">
        <f ca="1">IF(ISNUMBER(MATCH(DATEVALUE($A5),'recurring1_based on steps'!AV$1:AV$400,0)),AV$2,)</f>
        <v>0</v>
      </c>
      <c r="AW5" s="155">
        <f ca="1">IF(ISNUMBER(MATCH(DATEVALUE($A5),'recurring1_based on steps'!AW$1:AW$400,0)),AW$2,)</f>
        <v>0</v>
      </c>
      <c r="AX5" s="155">
        <f ca="1">IF(ISNUMBER(MATCH(DATEVALUE($A5),'recurring1_based on steps'!AX$1:AX$400,0)),AX$2,)</f>
        <v>0</v>
      </c>
      <c r="AY5" s="155">
        <f ca="1">IF(ISNUMBER(MATCH(DATEVALUE($A5),'recurring1_based on steps'!AY$1:AY$400,0)),AY$2,)</f>
        <v>0</v>
      </c>
    </row>
    <row r="6" spans="1:51" x14ac:dyDescent="0.2">
      <c r="A6" s="18" t="str">
        <f t="shared" ca="1" si="0"/>
        <v>2025-02-04</v>
      </c>
      <c r="B6" s="155">
        <f ca="1">IF(ISNUMBER(MATCH(DATEVALUE($A6),'recurring1_based on steps'!B$1:B$400,0)),B$2,)</f>
        <v>0</v>
      </c>
      <c r="C6" s="155">
        <f ca="1">IF(ISNUMBER(MATCH(DATEVALUE($A6),'recurring1_based on steps'!C$1:C$400,0)),C$2,)</f>
        <v>0</v>
      </c>
      <c r="D6" s="155">
        <f ca="1">IF(ISNUMBER(MATCH(DATEVALUE($A6),'recurring1_based on steps'!D$1:D$400,0)),D$2,)</f>
        <v>0</v>
      </c>
      <c r="E6" s="155">
        <f ca="1">IF(ISNUMBER(MATCH(DATEVALUE($A6),'recurring1_based on steps'!E$1:E$400,0)),E$2,)</f>
        <v>0</v>
      </c>
      <c r="F6" s="155">
        <f ca="1">IF(ISNUMBER(MATCH(DATEVALUE($A6),'recurring1_based on steps'!F$1:F$400,0)),F$2,)</f>
        <v>0</v>
      </c>
      <c r="G6" s="155">
        <f ca="1">IF(ISNUMBER(MATCH(DATEVALUE($A6),'recurring1_based on steps'!G$1:G$400,0)),G$2,)</f>
        <v>0</v>
      </c>
      <c r="H6" s="155">
        <f ca="1">IF(ISNUMBER(MATCH(DATEVALUE($A6),'recurring1_based on steps'!H$1:H$400,0)),H$2,)</f>
        <v>0</v>
      </c>
      <c r="I6" s="155">
        <f ca="1">IF(ISNUMBER(MATCH(DATEVALUE($A6),'recurring1_based on steps'!I$1:I$400,0)),I$2,)</f>
        <v>0</v>
      </c>
      <c r="J6" s="155">
        <f ca="1">IF(ISNUMBER(MATCH(DATEVALUE($A6),'recurring1_based on steps'!J$1:J$400,0)),J$2,)</f>
        <v>0</v>
      </c>
      <c r="K6" s="155">
        <f ca="1">IF(ISNUMBER(MATCH(DATEVALUE($A6),'recurring1_based on steps'!K$1:K$400,0)),K$2,)</f>
        <v>0</v>
      </c>
      <c r="L6" s="155">
        <f ca="1">IF(ISNUMBER(MATCH(DATEVALUE($A6),'recurring1_based on steps'!L$1:L$400,0)),L$2,)</f>
        <v>0</v>
      </c>
      <c r="M6" s="155">
        <f ca="1">IF(ISNUMBER(MATCH(DATEVALUE($A6),'recurring1_based on steps'!M$1:M$400,0)),M$2,)</f>
        <v>15</v>
      </c>
      <c r="N6" s="155">
        <f ca="1">IF(ISNUMBER(MATCH(DATEVALUE($A6),'recurring1_based on steps'!N$1:N$400,0)),N$2,)</f>
        <v>0</v>
      </c>
      <c r="O6" s="155">
        <f ca="1">IF(ISNUMBER(MATCH(DATEVALUE($A6),'recurring1_based on steps'!O$1:O$400,0)),O$2,)</f>
        <v>0</v>
      </c>
      <c r="P6" s="155">
        <f ca="1">IF(ISNUMBER(MATCH(DATEVALUE($A6),'recurring1_based on steps'!P$1:P$400,0)),P$2,)</f>
        <v>0</v>
      </c>
      <c r="Q6" s="155">
        <f ca="1">IF(ISNUMBER(MATCH(DATEVALUE($A6),'recurring1_based on steps'!Q$1:Q$400,0)),Q$2,)</f>
        <v>0</v>
      </c>
      <c r="R6" s="155">
        <f ca="1">IF(ISNUMBER(MATCH(DATEVALUE($A6),'recurring1_based on steps'!R$1:R$400,0)),R$2,)</f>
        <v>0</v>
      </c>
      <c r="S6" s="155">
        <f ca="1">IF(ISNUMBER(MATCH(DATEVALUE($A6),'recurring1_based on steps'!S$1:S$400,0)),S$2,)</f>
        <v>0</v>
      </c>
      <c r="T6" s="155">
        <f ca="1">IF(ISNUMBER(MATCH(DATEVALUE($A6),'recurring1_based on steps'!T$1:T$400,0)),T$2,)</f>
        <v>0</v>
      </c>
      <c r="U6" s="155">
        <f ca="1">IF(ISNUMBER(MATCH(DATEVALUE($A6),'recurring1_based on steps'!U$1:U$400,0)),U$2,)</f>
        <v>0</v>
      </c>
      <c r="V6" s="155">
        <f ca="1">IF(ISNUMBER(MATCH(DATEVALUE($A6),'recurring1_based on steps'!V$1:V$400,0)),V$2,)</f>
        <v>0</v>
      </c>
      <c r="W6" s="155">
        <f ca="1">IF(ISNUMBER(MATCH(DATEVALUE($A6),'recurring1_based on steps'!W$1:W$400,0)),W$2,)</f>
        <v>0</v>
      </c>
      <c r="X6" s="155">
        <f ca="1">IF(ISNUMBER(MATCH(DATEVALUE($A6),'recurring1_based on steps'!X$1:X$400,0)),X$2,)</f>
        <v>0</v>
      </c>
      <c r="Y6" s="155">
        <f ca="1">IF(ISNUMBER(MATCH(DATEVALUE($A6),'recurring1_based on steps'!Y$1:Y$400,0)),Y$2,)</f>
        <v>0</v>
      </c>
      <c r="Z6" s="155">
        <f ca="1">IF(ISNUMBER(MATCH(DATEVALUE($A6),'recurring1_based on steps'!Z$1:Z$400,0)),Z$2,)</f>
        <v>0</v>
      </c>
      <c r="AA6" s="155">
        <f ca="1">IF(ISNUMBER(MATCH(DATEVALUE($A6),'recurring1_based on steps'!AA$1:AA$400,0)),AA$2,)</f>
        <v>0</v>
      </c>
      <c r="AB6" s="155">
        <f ca="1">IF(ISNUMBER(MATCH(DATEVALUE($A6),'recurring1_based on steps'!AB$1:AB$400,0)),AB$2,)</f>
        <v>0</v>
      </c>
      <c r="AC6" s="155">
        <f ca="1">IF(ISNUMBER(MATCH(DATEVALUE($A6),'recurring1_based on steps'!AC$1:AC$400,0)),AC$2,)</f>
        <v>0</v>
      </c>
      <c r="AD6" s="155">
        <f ca="1">IF(ISNUMBER(MATCH(DATEVALUE($A6),'recurring1_based on steps'!AD$1:AD$400,0)),AD$2,)</f>
        <v>0</v>
      </c>
      <c r="AE6" s="155">
        <f ca="1">IF(ISNUMBER(MATCH(DATEVALUE($A6),'recurring1_based on steps'!AE$1:AE$400,0)),AE$2,)</f>
        <v>0</v>
      </c>
      <c r="AF6" s="155">
        <f ca="1">IF(ISNUMBER(MATCH(DATEVALUE($A6),'recurring1_based on steps'!AF$1:AF$400,0)),AF$2,)</f>
        <v>0</v>
      </c>
      <c r="AG6" s="155">
        <f ca="1">IF(ISNUMBER(MATCH(DATEVALUE($A6),'recurring1_based on steps'!AG$1:AG$400,0)),AG$2,)</f>
        <v>0</v>
      </c>
      <c r="AH6" s="155">
        <f ca="1">IF(ISNUMBER(MATCH(DATEVALUE($A6),'recurring1_based on steps'!AH$1:AH$400,0)),AH$2,)</f>
        <v>0</v>
      </c>
      <c r="AI6" s="155">
        <f ca="1">IF(ISNUMBER(MATCH(DATEVALUE($A6),'recurring1_based on steps'!AI$1:AI$400,0)),AI$2,)</f>
        <v>0</v>
      </c>
      <c r="AJ6" s="155">
        <f ca="1">IF(ISNUMBER(MATCH(DATEVALUE($A6),'recurring1_based on steps'!AJ$1:AJ$400,0)),AJ$2,)</f>
        <v>0</v>
      </c>
      <c r="AK6" s="155">
        <f ca="1">IF(ISNUMBER(MATCH(DATEVALUE($A6),'recurring1_based on steps'!AK$1:AK$400,0)),AK$2,)</f>
        <v>0</v>
      </c>
      <c r="AL6" s="155">
        <f ca="1">IF(ISNUMBER(MATCH(DATEVALUE($A6),'recurring1_based on steps'!AL$1:AL$400,0)),AL$2,)</f>
        <v>0</v>
      </c>
      <c r="AM6" s="155">
        <f ca="1">IF(ISNUMBER(MATCH(DATEVALUE($A6),'recurring1_based on steps'!AM$1:AM$400,0)),AM$2,)</f>
        <v>0</v>
      </c>
      <c r="AN6" s="155">
        <f ca="1">IF(ISNUMBER(MATCH(DATEVALUE($A6),'recurring1_based on steps'!AN$1:AN$400,0)),AN$2,)</f>
        <v>0</v>
      </c>
      <c r="AO6" s="155">
        <f ca="1">IF(ISNUMBER(MATCH(DATEVALUE($A6),'recurring1_based on steps'!AO$1:AO$400,0)),AO$2,)</f>
        <v>0</v>
      </c>
      <c r="AP6" s="155">
        <f ca="1">IF(ISNUMBER(MATCH(DATEVALUE($A6),'recurring1_based on steps'!AP$1:AP$400,0)),AP$2,)</f>
        <v>0</v>
      </c>
      <c r="AQ6" s="155">
        <f ca="1">IF(ISNUMBER(MATCH(DATEVALUE($A6),'recurring1_based on steps'!AQ$1:AQ$400,0)),AQ$2,)</f>
        <v>0</v>
      </c>
      <c r="AR6" s="155">
        <f ca="1">IF(ISNUMBER(MATCH(DATEVALUE($A6),'recurring1_based on steps'!AR$1:AR$400,0)),AR$2,)</f>
        <v>0</v>
      </c>
      <c r="AS6" s="155">
        <f ca="1">IF(ISNUMBER(MATCH(DATEVALUE($A6),'recurring1_based on steps'!AS$1:AS$400,0)),AS$2,)</f>
        <v>0</v>
      </c>
      <c r="AT6" s="155">
        <f ca="1">IF(ISNUMBER(MATCH(DATEVALUE($A6),'recurring1_based on steps'!AT$1:AT$400,0)),AT$2,)</f>
        <v>0</v>
      </c>
      <c r="AU6" s="155">
        <f ca="1">IF(ISNUMBER(MATCH(DATEVALUE($A6),'recurring1_based on steps'!AU$1:AU$400,0)),AU$2,)</f>
        <v>0</v>
      </c>
      <c r="AV6" s="155">
        <f ca="1">IF(ISNUMBER(MATCH(DATEVALUE($A6),'recurring1_based on steps'!AV$1:AV$400,0)),AV$2,)</f>
        <v>0</v>
      </c>
      <c r="AW6" s="155">
        <f ca="1">IF(ISNUMBER(MATCH(DATEVALUE($A6),'recurring1_based on steps'!AW$1:AW$400,0)),AW$2,)</f>
        <v>0</v>
      </c>
      <c r="AX6" s="155">
        <f ca="1">IF(ISNUMBER(MATCH(DATEVALUE($A6),'recurring1_based on steps'!AX$1:AX$400,0)),AX$2,)</f>
        <v>0</v>
      </c>
      <c r="AY6" s="155">
        <f ca="1">IF(ISNUMBER(MATCH(DATEVALUE($A6),'recurring1_based on steps'!AY$1:AY$400,0)),AY$2,)</f>
        <v>0</v>
      </c>
    </row>
    <row r="7" spans="1:51" x14ac:dyDescent="0.2">
      <c r="A7" s="18" t="str">
        <f t="shared" ca="1" si="0"/>
        <v>2025-02-05</v>
      </c>
      <c r="B7" s="155">
        <f ca="1">IF(ISNUMBER(MATCH(DATEVALUE($A7),'recurring1_based on steps'!B$1:B$400,0)),B$2,)</f>
        <v>0</v>
      </c>
      <c r="C7" s="155">
        <f ca="1">IF(ISNUMBER(MATCH(DATEVALUE($A7),'recurring1_based on steps'!C$1:C$400,0)),C$2,)</f>
        <v>0</v>
      </c>
      <c r="D7" s="155">
        <f ca="1">IF(ISNUMBER(MATCH(DATEVALUE($A7),'recurring1_based on steps'!D$1:D$400,0)),D$2,)</f>
        <v>0</v>
      </c>
      <c r="E7" s="155">
        <f ca="1">IF(ISNUMBER(MATCH(DATEVALUE($A7),'recurring1_based on steps'!E$1:E$400,0)),E$2,)</f>
        <v>0</v>
      </c>
      <c r="F7" s="155">
        <f ca="1">IF(ISNUMBER(MATCH(DATEVALUE($A7),'recurring1_based on steps'!F$1:F$400,0)),F$2,)</f>
        <v>0</v>
      </c>
      <c r="G7" s="155">
        <f ca="1">IF(ISNUMBER(MATCH(DATEVALUE($A7),'recurring1_based on steps'!G$1:G$400,0)),G$2,)</f>
        <v>0</v>
      </c>
      <c r="H7" s="155">
        <f ca="1">IF(ISNUMBER(MATCH(DATEVALUE($A7),'recurring1_based on steps'!H$1:H$400,0)),H$2,)</f>
        <v>0</v>
      </c>
      <c r="I7" s="155">
        <f ca="1">IF(ISNUMBER(MATCH(DATEVALUE($A7),'recurring1_based on steps'!I$1:I$400,0)),I$2,)</f>
        <v>0</v>
      </c>
      <c r="J7" s="155">
        <f ca="1">IF(ISNUMBER(MATCH(DATEVALUE($A7),'recurring1_based on steps'!J$1:J$400,0)),J$2,)</f>
        <v>0</v>
      </c>
      <c r="K7" s="155">
        <f ca="1">IF(ISNUMBER(MATCH(DATEVALUE($A7),'recurring1_based on steps'!K$1:K$400,0)),K$2,)</f>
        <v>0</v>
      </c>
      <c r="L7" s="155">
        <f ca="1">IF(ISNUMBER(MATCH(DATEVALUE($A7),'recurring1_based on steps'!L$1:L$400,0)),L$2,)</f>
        <v>0</v>
      </c>
      <c r="M7" s="155">
        <f ca="1">IF(ISNUMBER(MATCH(DATEVALUE($A7),'recurring1_based on steps'!M$1:M$400,0)),M$2,)</f>
        <v>0</v>
      </c>
      <c r="N7" s="155">
        <f ca="1">IF(ISNUMBER(MATCH(DATEVALUE($A7),'recurring1_based on steps'!N$1:N$400,0)),N$2,)</f>
        <v>0</v>
      </c>
      <c r="O7" s="155">
        <f ca="1">IF(ISNUMBER(MATCH(DATEVALUE($A7),'recurring1_based on steps'!O$1:O$400,0)),O$2,)</f>
        <v>0</v>
      </c>
      <c r="P7" s="155">
        <f ca="1">IF(ISNUMBER(MATCH(DATEVALUE($A7),'recurring1_based on steps'!P$1:P$400,0)),P$2,)</f>
        <v>0</v>
      </c>
      <c r="Q7" s="155">
        <f ca="1">IF(ISNUMBER(MATCH(DATEVALUE($A7),'recurring1_based on steps'!Q$1:Q$400,0)),Q$2,)</f>
        <v>0</v>
      </c>
      <c r="R7" s="155">
        <f ca="1">IF(ISNUMBER(MATCH(DATEVALUE($A7),'recurring1_based on steps'!R$1:R$400,0)),R$2,)</f>
        <v>0</v>
      </c>
      <c r="S7" s="155">
        <f ca="1">IF(ISNUMBER(MATCH(DATEVALUE($A7),'recurring1_based on steps'!S$1:S$400,0)),S$2,)</f>
        <v>0</v>
      </c>
      <c r="T7" s="155">
        <f ca="1">IF(ISNUMBER(MATCH(DATEVALUE($A7),'recurring1_based on steps'!T$1:T$400,0)),T$2,)</f>
        <v>0</v>
      </c>
      <c r="U7" s="155">
        <f ca="1">IF(ISNUMBER(MATCH(DATEVALUE($A7),'recurring1_based on steps'!U$1:U$400,0)),U$2,)</f>
        <v>0</v>
      </c>
      <c r="V7" s="155">
        <f ca="1">IF(ISNUMBER(MATCH(DATEVALUE($A7),'recurring1_based on steps'!V$1:V$400,0)),V$2,)</f>
        <v>0</v>
      </c>
      <c r="W7" s="155">
        <f ca="1">IF(ISNUMBER(MATCH(DATEVALUE($A7),'recurring1_based on steps'!W$1:W$400,0)),W$2,)</f>
        <v>0</v>
      </c>
      <c r="X7" s="155">
        <f ca="1">IF(ISNUMBER(MATCH(DATEVALUE($A7),'recurring1_based on steps'!X$1:X$400,0)),X$2,)</f>
        <v>0</v>
      </c>
      <c r="Y7" s="155">
        <f ca="1">IF(ISNUMBER(MATCH(DATEVALUE($A7),'recurring1_based on steps'!Y$1:Y$400,0)),Y$2,)</f>
        <v>0</v>
      </c>
      <c r="Z7" s="155">
        <f ca="1">IF(ISNUMBER(MATCH(DATEVALUE($A7),'recurring1_based on steps'!Z$1:Z$400,0)),Z$2,)</f>
        <v>0</v>
      </c>
      <c r="AA7" s="155">
        <f ca="1">IF(ISNUMBER(MATCH(DATEVALUE($A7),'recurring1_based on steps'!AA$1:AA$400,0)),AA$2,)</f>
        <v>0</v>
      </c>
      <c r="AB7" s="155">
        <f ca="1">IF(ISNUMBER(MATCH(DATEVALUE($A7),'recurring1_based on steps'!AB$1:AB$400,0)),AB$2,)</f>
        <v>0</v>
      </c>
      <c r="AC7" s="155">
        <f ca="1">IF(ISNUMBER(MATCH(DATEVALUE($A7),'recurring1_based on steps'!AC$1:AC$400,0)),AC$2,)</f>
        <v>0</v>
      </c>
      <c r="AD7" s="155">
        <f ca="1">IF(ISNUMBER(MATCH(DATEVALUE($A7),'recurring1_based on steps'!AD$1:AD$400,0)),AD$2,)</f>
        <v>0</v>
      </c>
      <c r="AE7" s="155">
        <f ca="1">IF(ISNUMBER(MATCH(DATEVALUE($A7),'recurring1_based on steps'!AE$1:AE$400,0)),AE$2,)</f>
        <v>0</v>
      </c>
      <c r="AF7" s="155">
        <f ca="1">IF(ISNUMBER(MATCH(DATEVALUE($A7),'recurring1_based on steps'!AF$1:AF$400,0)),AF$2,)</f>
        <v>0</v>
      </c>
      <c r="AG7" s="155">
        <f ca="1">IF(ISNUMBER(MATCH(DATEVALUE($A7),'recurring1_based on steps'!AG$1:AG$400,0)),AG$2,)</f>
        <v>0</v>
      </c>
      <c r="AH7" s="155">
        <f ca="1">IF(ISNUMBER(MATCH(DATEVALUE($A7),'recurring1_based on steps'!AH$1:AH$400,0)),AH$2,)</f>
        <v>0</v>
      </c>
      <c r="AI7" s="155">
        <f ca="1">IF(ISNUMBER(MATCH(DATEVALUE($A7),'recurring1_based on steps'!AI$1:AI$400,0)),AI$2,)</f>
        <v>0</v>
      </c>
      <c r="AJ7" s="155">
        <f ca="1">IF(ISNUMBER(MATCH(DATEVALUE($A7),'recurring1_based on steps'!AJ$1:AJ$400,0)),AJ$2,)</f>
        <v>0</v>
      </c>
      <c r="AK7" s="155">
        <f ca="1">IF(ISNUMBER(MATCH(DATEVALUE($A7),'recurring1_based on steps'!AK$1:AK$400,0)),AK$2,)</f>
        <v>0</v>
      </c>
      <c r="AL7" s="155">
        <f ca="1">IF(ISNUMBER(MATCH(DATEVALUE($A7),'recurring1_based on steps'!AL$1:AL$400,0)),AL$2,)</f>
        <v>0</v>
      </c>
      <c r="AM7" s="155">
        <f ca="1">IF(ISNUMBER(MATCH(DATEVALUE($A7),'recurring1_based on steps'!AM$1:AM$400,0)),AM$2,)</f>
        <v>0</v>
      </c>
      <c r="AN7" s="155">
        <f ca="1">IF(ISNUMBER(MATCH(DATEVALUE($A7),'recurring1_based on steps'!AN$1:AN$400,0)),AN$2,)</f>
        <v>0</v>
      </c>
      <c r="AO7" s="155">
        <f ca="1">IF(ISNUMBER(MATCH(DATEVALUE($A7),'recurring1_based on steps'!AO$1:AO$400,0)),AO$2,)</f>
        <v>0</v>
      </c>
      <c r="AP7" s="155">
        <f ca="1">IF(ISNUMBER(MATCH(DATEVALUE($A7),'recurring1_based on steps'!AP$1:AP$400,0)),AP$2,)</f>
        <v>0</v>
      </c>
      <c r="AQ7" s="155">
        <f ca="1">IF(ISNUMBER(MATCH(DATEVALUE($A7),'recurring1_based on steps'!AQ$1:AQ$400,0)),AQ$2,)</f>
        <v>0</v>
      </c>
      <c r="AR7" s="155">
        <f ca="1">IF(ISNUMBER(MATCH(DATEVALUE($A7),'recurring1_based on steps'!AR$1:AR$400,0)),AR$2,)</f>
        <v>0</v>
      </c>
      <c r="AS7" s="155">
        <f ca="1">IF(ISNUMBER(MATCH(DATEVALUE($A7),'recurring1_based on steps'!AS$1:AS$400,0)),AS$2,)</f>
        <v>0</v>
      </c>
      <c r="AT7" s="155">
        <f ca="1">IF(ISNUMBER(MATCH(DATEVALUE($A7),'recurring1_based on steps'!AT$1:AT$400,0)),AT$2,)</f>
        <v>0</v>
      </c>
      <c r="AU7" s="155">
        <f ca="1">IF(ISNUMBER(MATCH(DATEVALUE($A7),'recurring1_based on steps'!AU$1:AU$400,0)),AU$2,)</f>
        <v>0</v>
      </c>
      <c r="AV7" s="155">
        <f ca="1">IF(ISNUMBER(MATCH(DATEVALUE($A7),'recurring1_based on steps'!AV$1:AV$400,0)),AV$2,)</f>
        <v>0</v>
      </c>
      <c r="AW7" s="155">
        <f ca="1">IF(ISNUMBER(MATCH(DATEVALUE($A7),'recurring1_based on steps'!AW$1:AW$400,0)),AW$2,)</f>
        <v>0</v>
      </c>
      <c r="AX7" s="155">
        <f ca="1">IF(ISNUMBER(MATCH(DATEVALUE($A7),'recurring1_based on steps'!AX$1:AX$400,0)),AX$2,)</f>
        <v>0</v>
      </c>
      <c r="AY7" s="155">
        <f ca="1">IF(ISNUMBER(MATCH(DATEVALUE($A7),'recurring1_based on steps'!AY$1:AY$400,0)),AY$2,)</f>
        <v>0</v>
      </c>
    </row>
    <row r="8" spans="1:51" x14ac:dyDescent="0.2">
      <c r="A8" s="18" t="str">
        <f t="shared" ca="1" si="0"/>
        <v>2025-02-06</v>
      </c>
      <c r="B8" s="155">
        <f ca="1">IF(ISNUMBER(MATCH(DATEVALUE($A8),'recurring1_based on steps'!B$1:B$400,0)),B$2,)</f>
        <v>0</v>
      </c>
      <c r="C8" s="155">
        <f ca="1">IF(ISNUMBER(MATCH(DATEVALUE($A8),'recurring1_based on steps'!C$1:C$400,0)),C$2,)</f>
        <v>0</v>
      </c>
      <c r="D8" s="155">
        <f ca="1">IF(ISNUMBER(MATCH(DATEVALUE($A8),'recurring1_based on steps'!D$1:D$400,0)),D$2,)</f>
        <v>0</v>
      </c>
      <c r="E8" s="155">
        <f ca="1">IF(ISNUMBER(MATCH(DATEVALUE($A8),'recurring1_based on steps'!E$1:E$400,0)),E$2,)</f>
        <v>0</v>
      </c>
      <c r="F8" s="155">
        <f ca="1">IF(ISNUMBER(MATCH(DATEVALUE($A8),'recurring1_based on steps'!F$1:F$400,0)),F$2,)</f>
        <v>0</v>
      </c>
      <c r="G8" s="155">
        <f ca="1">IF(ISNUMBER(MATCH(DATEVALUE($A8),'recurring1_based on steps'!G$1:G$400,0)),G$2,)</f>
        <v>0</v>
      </c>
      <c r="H8" s="155">
        <f ca="1">IF(ISNUMBER(MATCH(DATEVALUE($A8),'recurring1_based on steps'!H$1:H$400,0)),H$2,)</f>
        <v>0</v>
      </c>
      <c r="I8" s="155">
        <f ca="1">IF(ISNUMBER(MATCH(DATEVALUE($A8),'recurring1_based on steps'!I$1:I$400,0)),I$2,)</f>
        <v>0</v>
      </c>
      <c r="J8" s="155">
        <f ca="1">IF(ISNUMBER(MATCH(DATEVALUE($A8),'recurring1_based on steps'!J$1:J$400,0)),J$2,)</f>
        <v>0</v>
      </c>
      <c r="K8" s="155">
        <f ca="1">IF(ISNUMBER(MATCH(DATEVALUE($A8),'recurring1_based on steps'!K$1:K$400,0)),K$2,)</f>
        <v>0</v>
      </c>
      <c r="L8" s="155">
        <f ca="1">IF(ISNUMBER(MATCH(DATEVALUE($A8),'recurring1_based on steps'!L$1:L$400,0)),L$2,)</f>
        <v>0</v>
      </c>
      <c r="M8" s="155">
        <f ca="1">IF(ISNUMBER(MATCH(DATEVALUE($A8),'recurring1_based on steps'!M$1:M$400,0)),M$2,)</f>
        <v>0</v>
      </c>
      <c r="N8" s="155">
        <f ca="1">IF(ISNUMBER(MATCH(DATEVALUE($A8),'recurring1_based on steps'!N$1:N$400,0)),N$2,)</f>
        <v>0</v>
      </c>
      <c r="O8" s="155">
        <f ca="1">IF(ISNUMBER(MATCH(DATEVALUE($A8),'recurring1_based on steps'!O$1:O$400,0)),O$2,)</f>
        <v>0</v>
      </c>
      <c r="P8" s="155">
        <f ca="1">IF(ISNUMBER(MATCH(DATEVALUE($A8),'recurring1_based on steps'!P$1:P$400,0)),P$2,)</f>
        <v>0</v>
      </c>
      <c r="Q8" s="155">
        <f ca="1">IF(ISNUMBER(MATCH(DATEVALUE($A8),'recurring1_based on steps'!Q$1:Q$400,0)),Q$2,)</f>
        <v>0</v>
      </c>
      <c r="R8" s="155">
        <f ca="1">IF(ISNUMBER(MATCH(DATEVALUE($A8),'recurring1_based on steps'!R$1:R$400,0)),R$2,)</f>
        <v>0</v>
      </c>
      <c r="S8" s="155">
        <f ca="1">IF(ISNUMBER(MATCH(DATEVALUE($A8),'recurring1_based on steps'!S$1:S$400,0)),S$2,)</f>
        <v>0</v>
      </c>
      <c r="T8" s="155">
        <f ca="1">IF(ISNUMBER(MATCH(DATEVALUE($A8),'recurring1_based on steps'!T$1:T$400,0)),T$2,)</f>
        <v>0</v>
      </c>
      <c r="U8" s="155">
        <f ca="1">IF(ISNUMBER(MATCH(DATEVALUE($A8),'recurring1_based on steps'!U$1:U$400,0)),U$2,)</f>
        <v>0</v>
      </c>
      <c r="V8" s="155">
        <f ca="1">IF(ISNUMBER(MATCH(DATEVALUE($A8),'recurring1_based on steps'!V$1:V$400,0)),V$2,)</f>
        <v>0</v>
      </c>
      <c r="W8" s="155">
        <f ca="1">IF(ISNUMBER(MATCH(DATEVALUE($A8),'recurring1_based on steps'!W$1:W$400,0)),W$2,)</f>
        <v>0</v>
      </c>
      <c r="X8" s="155">
        <f ca="1">IF(ISNUMBER(MATCH(DATEVALUE($A8),'recurring1_based on steps'!X$1:X$400,0)),X$2,)</f>
        <v>0</v>
      </c>
      <c r="Y8" s="155">
        <f ca="1">IF(ISNUMBER(MATCH(DATEVALUE($A8),'recurring1_based on steps'!Y$1:Y$400,0)),Y$2,)</f>
        <v>0</v>
      </c>
      <c r="Z8" s="155">
        <f ca="1">IF(ISNUMBER(MATCH(DATEVALUE($A8),'recurring1_based on steps'!Z$1:Z$400,0)),Z$2,)</f>
        <v>0</v>
      </c>
      <c r="AA8" s="155">
        <f ca="1">IF(ISNUMBER(MATCH(DATEVALUE($A8),'recurring1_based on steps'!AA$1:AA$400,0)),AA$2,)</f>
        <v>0</v>
      </c>
      <c r="AB8" s="155">
        <f ca="1">IF(ISNUMBER(MATCH(DATEVALUE($A8),'recurring1_based on steps'!AB$1:AB$400,0)),AB$2,)</f>
        <v>0</v>
      </c>
      <c r="AC8" s="155">
        <f ca="1">IF(ISNUMBER(MATCH(DATEVALUE($A8),'recurring1_based on steps'!AC$1:AC$400,0)),AC$2,)</f>
        <v>0</v>
      </c>
      <c r="AD8" s="155">
        <f ca="1">IF(ISNUMBER(MATCH(DATEVALUE($A8),'recurring1_based on steps'!AD$1:AD$400,0)),AD$2,)</f>
        <v>0</v>
      </c>
      <c r="AE8" s="155">
        <f ca="1">IF(ISNUMBER(MATCH(DATEVALUE($A8),'recurring1_based on steps'!AE$1:AE$400,0)),AE$2,)</f>
        <v>0</v>
      </c>
      <c r="AF8" s="155">
        <f ca="1">IF(ISNUMBER(MATCH(DATEVALUE($A8),'recurring1_based on steps'!AF$1:AF$400,0)),AF$2,)</f>
        <v>0</v>
      </c>
      <c r="AG8" s="155">
        <f ca="1">IF(ISNUMBER(MATCH(DATEVALUE($A8),'recurring1_based on steps'!AG$1:AG$400,0)),AG$2,)</f>
        <v>0</v>
      </c>
      <c r="AH8" s="155">
        <f ca="1">IF(ISNUMBER(MATCH(DATEVALUE($A8),'recurring1_based on steps'!AH$1:AH$400,0)),AH$2,)</f>
        <v>0</v>
      </c>
      <c r="AI8" s="155">
        <f ca="1">IF(ISNUMBER(MATCH(DATEVALUE($A8),'recurring1_based on steps'!AI$1:AI$400,0)),AI$2,)</f>
        <v>0</v>
      </c>
      <c r="AJ8" s="155">
        <f ca="1">IF(ISNUMBER(MATCH(DATEVALUE($A8),'recurring1_based on steps'!AJ$1:AJ$400,0)),AJ$2,)</f>
        <v>0</v>
      </c>
      <c r="AK8" s="155">
        <f ca="1">IF(ISNUMBER(MATCH(DATEVALUE($A8),'recurring1_based on steps'!AK$1:AK$400,0)),AK$2,)</f>
        <v>0</v>
      </c>
      <c r="AL8" s="155">
        <f ca="1">IF(ISNUMBER(MATCH(DATEVALUE($A8),'recurring1_based on steps'!AL$1:AL$400,0)),AL$2,)</f>
        <v>0</v>
      </c>
      <c r="AM8" s="155">
        <f ca="1">IF(ISNUMBER(MATCH(DATEVALUE($A8),'recurring1_based on steps'!AM$1:AM$400,0)),AM$2,)</f>
        <v>0</v>
      </c>
      <c r="AN8" s="155">
        <f ca="1">IF(ISNUMBER(MATCH(DATEVALUE($A8),'recurring1_based on steps'!AN$1:AN$400,0)),AN$2,)</f>
        <v>0</v>
      </c>
      <c r="AO8" s="155">
        <f ca="1">IF(ISNUMBER(MATCH(DATEVALUE($A8),'recurring1_based on steps'!AO$1:AO$400,0)),AO$2,)</f>
        <v>0</v>
      </c>
      <c r="AP8" s="155">
        <f ca="1">IF(ISNUMBER(MATCH(DATEVALUE($A8),'recurring1_based on steps'!AP$1:AP$400,0)),AP$2,)</f>
        <v>0</v>
      </c>
      <c r="AQ8" s="155">
        <f ca="1">IF(ISNUMBER(MATCH(DATEVALUE($A8),'recurring1_based on steps'!AQ$1:AQ$400,0)),AQ$2,)</f>
        <v>0</v>
      </c>
      <c r="AR8" s="155">
        <f ca="1">IF(ISNUMBER(MATCH(DATEVALUE($A8),'recurring1_based on steps'!AR$1:AR$400,0)),AR$2,)</f>
        <v>0</v>
      </c>
      <c r="AS8" s="155">
        <f ca="1">IF(ISNUMBER(MATCH(DATEVALUE($A8),'recurring1_based on steps'!AS$1:AS$400,0)),AS$2,)</f>
        <v>0</v>
      </c>
      <c r="AT8" s="155">
        <f ca="1">IF(ISNUMBER(MATCH(DATEVALUE($A8),'recurring1_based on steps'!AT$1:AT$400,0)),AT$2,)</f>
        <v>0</v>
      </c>
      <c r="AU8" s="155">
        <f ca="1">IF(ISNUMBER(MATCH(DATEVALUE($A8),'recurring1_based on steps'!AU$1:AU$400,0)),AU$2,)</f>
        <v>0</v>
      </c>
      <c r="AV8" s="155">
        <f ca="1">IF(ISNUMBER(MATCH(DATEVALUE($A8),'recurring1_based on steps'!AV$1:AV$400,0)),AV$2,)</f>
        <v>0</v>
      </c>
      <c r="AW8" s="155">
        <f ca="1">IF(ISNUMBER(MATCH(DATEVALUE($A8),'recurring1_based on steps'!AW$1:AW$400,0)),AW$2,)</f>
        <v>0</v>
      </c>
      <c r="AX8" s="155">
        <f ca="1">IF(ISNUMBER(MATCH(DATEVALUE($A8),'recurring1_based on steps'!AX$1:AX$400,0)),AX$2,)</f>
        <v>0</v>
      </c>
      <c r="AY8" s="155">
        <f ca="1">IF(ISNUMBER(MATCH(DATEVALUE($A8),'recurring1_based on steps'!AY$1:AY$400,0)),AY$2,)</f>
        <v>0</v>
      </c>
    </row>
    <row r="9" spans="1:51" x14ac:dyDescent="0.2">
      <c r="A9" s="18" t="str">
        <f t="shared" ca="1" si="0"/>
        <v>2025-02-07</v>
      </c>
      <c r="B9" s="155">
        <f ca="1">IF(ISNUMBER(MATCH(DATEVALUE($A9),'recurring1_based on steps'!B$1:B$400,0)),B$2,)</f>
        <v>4000</v>
      </c>
      <c r="C9" s="155">
        <f ca="1">IF(ISNUMBER(MATCH(DATEVALUE($A9),'recurring1_based on steps'!C$1:C$400,0)),C$2,)</f>
        <v>200</v>
      </c>
      <c r="D9" s="155">
        <f ca="1">IF(ISNUMBER(MATCH(DATEVALUE($A9),'recurring1_based on steps'!D$1:D$400,0)),D$2,)</f>
        <v>2</v>
      </c>
      <c r="E9" s="155">
        <f ca="1">IF(ISNUMBER(MATCH(DATEVALUE($A9),'recurring1_based on steps'!E$1:E$400,0)),E$2,)</f>
        <v>40</v>
      </c>
      <c r="F9" s="155">
        <f ca="1">IF(ISNUMBER(MATCH(DATEVALUE($A9),'recurring1_based on steps'!F$1:F$400,0)),F$2,)</f>
        <v>50</v>
      </c>
      <c r="G9" s="155">
        <f ca="1">IF(ISNUMBER(MATCH(DATEVALUE($A9),'recurring1_based on steps'!G$1:G$400,0)),G$2,)</f>
        <v>4</v>
      </c>
      <c r="H9" s="155">
        <f ca="1">IF(ISNUMBER(MATCH(DATEVALUE($A9),'recurring1_based on steps'!H$1:H$400,0)),H$2,)</f>
        <v>0</v>
      </c>
      <c r="I9" s="155">
        <f ca="1">IF(ISNUMBER(MATCH(DATEVALUE($A9),'recurring1_based on steps'!I$1:I$400,0)),I$2,)</f>
        <v>0</v>
      </c>
      <c r="J9" s="155">
        <f ca="1">IF(ISNUMBER(MATCH(DATEVALUE($A9),'recurring1_based on steps'!J$1:J$400,0)),J$2,)</f>
        <v>0</v>
      </c>
      <c r="K9" s="155">
        <f ca="1">IF(ISNUMBER(MATCH(DATEVALUE($A9),'recurring1_based on steps'!K$1:K$400,0)),K$2,)</f>
        <v>0</v>
      </c>
      <c r="L9" s="155">
        <f ca="1">IF(ISNUMBER(MATCH(DATEVALUE($A9),'recurring1_based on steps'!L$1:L$400,0)),L$2,)</f>
        <v>0</v>
      </c>
      <c r="M9" s="155">
        <f ca="1">IF(ISNUMBER(MATCH(DATEVALUE($A9),'recurring1_based on steps'!M$1:M$400,0)),M$2,)</f>
        <v>0</v>
      </c>
      <c r="N9" s="155">
        <f ca="1">IF(ISNUMBER(MATCH(DATEVALUE($A9),'recurring1_based on steps'!N$1:N$400,0)),N$2,)</f>
        <v>0</v>
      </c>
      <c r="O9" s="155">
        <f ca="1">IF(ISNUMBER(MATCH(DATEVALUE($A9),'recurring1_based on steps'!O$1:O$400,0)),O$2,)</f>
        <v>0</v>
      </c>
      <c r="P9" s="155">
        <f ca="1">IF(ISNUMBER(MATCH(DATEVALUE($A9),'recurring1_based on steps'!P$1:P$400,0)),P$2,)</f>
        <v>0</v>
      </c>
      <c r="Q9" s="155">
        <f ca="1">IF(ISNUMBER(MATCH(DATEVALUE($A9),'recurring1_based on steps'!Q$1:Q$400,0)),Q$2,)</f>
        <v>0</v>
      </c>
      <c r="R9" s="155">
        <f ca="1">IF(ISNUMBER(MATCH(DATEVALUE($A9),'recurring1_based on steps'!R$1:R$400,0)),R$2,)</f>
        <v>0</v>
      </c>
      <c r="S9" s="155">
        <f ca="1">IF(ISNUMBER(MATCH(DATEVALUE($A9),'recurring1_based on steps'!S$1:S$400,0)),S$2,)</f>
        <v>0</v>
      </c>
      <c r="T9" s="155">
        <f ca="1">IF(ISNUMBER(MATCH(DATEVALUE($A9),'recurring1_based on steps'!T$1:T$400,0)),T$2,)</f>
        <v>0</v>
      </c>
      <c r="U9" s="155">
        <f ca="1">IF(ISNUMBER(MATCH(DATEVALUE($A9),'recurring1_based on steps'!U$1:U$400,0)),U$2,)</f>
        <v>0</v>
      </c>
      <c r="V9" s="155">
        <f ca="1">IF(ISNUMBER(MATCH(DATEVALUE($A9),'recurring1_based on steps'!V$1:V$400,0)),V$2,)</f>
        <v>0</v>
      </c>
      <c r="W9" s="155">
        <f ca="1">IF(ISNUMBER(MATCH(DATEVALUE($A9),'recurring1_based on steps'!W$1:W$400,0)),W$2,)</f>
        <v>0</v>
      </c>
      <c r="X9" s="155">
        <f ca="1">IF(ISNUMBER(MATCH(DATEVALUE($A9),'recurring1_based on steps'!X$1:X$400,0)),X$2,)</f>
        <v>50</v>
      </c>
      <c r="Y9" s="155">
        <f ca="1">IF(ISNUMBER(MATCH(DATEVALUE($A9),'recurring1_based on steps'!Y$1:Y$400,0)),Y$2,)</f>
        <v>0</v>
      </c>
      <c r="Z9" s="155">
        <f ca="1">IF(ISNUMBER(MATCH(DATEVALUE($A9),'recurring1_based on steps'!Z$1:Z$400,0)),Z$2,)</f>
        <v>0</v>
      </c>
      <c r="AA9" s="155">
        <f ca="1">IF(ISNUMBER(MATCH(DATEVALUE($A9),'recurring1_based on steps'!AA$1:AA$400,0)),AA$2,)</f>
        <v>0</v>
      </c>
      <c r="AB9" s="155">
        <f ca="1">IF(ISNUMBER(MATCH(DATEVALUE($A9),'recurring1_based on steps'!AB$1:AB$400,0)),AB$2,)</f>
        <v>0</v>
      </c>
      <c r="AC9" s="155">
        <f ca="1">IF(ISNUMBER(MATCH(DATEVALUE($A9),'recurring1_based on steps'!AC$1:AC$400,0)),AC$2,)</f>
        <v>0</v>
      </c>
      <c r="AD9" s="155">
        <f ca="1">IF(ISNUMBER(MATCH(DATEVALUE($A9),'recurring1_based on steps'!AD$1:AD$400,0)),AD$2,)</f>
        <v>0</v>
      </c>
      <c r="AE9" s="155">
        <f ca="1">IF(ISNUMBER(MATCH(DATEVALUE($A9),'recurring1_based on steps'!AE$1:AE$400,0)),AE$2,)</f>
        <v>0</v>
      </c>
      <c r="AF9" s="155">
        <f ca="1">IF(ISNUMBER(MATCH(DATEVALUE($A9),'recurring1_based on steps'!AF$1:AF$400,0)),AF$2,)</f>
        <v>0</v>
      </c>
      <c r="AG9" s="155">
        <f ca="1">IF(ISNUMBER(MATCH(DATEVALUE($A9),'recurring1_based on steps'!AG$1:AG$400,0)),AG$2,)</f>
        <v>0</v>
      </c>
      <c r="AH9" s="155">
        <f ca="1">IF(ISNUMBER(MATCH(DATEVALUE($A9),'recurring1_based on steps'!AH$1:AH$400,0)),AH$2,)</f>
        <v>0</v>
      </c>
      <c r="AI9" s="155">
        <f ca="1">IF(ISNUMBER(MATCH(DATEVALUE($A9),'recurring1_based on steps'!AI$1:AI$400,0)),AI$2,)</f>
        <v>0</v>
      </c>
      <c r="AJ9" s="155">
        <f ca="1">IF(ISNUMBER(MATCH(DATEVALUE($A9),'recurring1_based on steps'!AJ$1:AJ$400,0)),AJ$2,)</f>
        <v>0</v>
      </c>
      <c r="AK9" s="155">
        <f ca="1">IF(ISNUMBER(MATCH(DATEVALUE($A9),'recurring1_based on steps'!AK$1:AK$400,0)),AK$2,)</f>
        <v>0</v>
      </c>
      <c r="AL9" s="155">
        <f ca="1">IF(ISNUMBER(MATCH(DATEVALUE($A9),'recurring1_based on steps'!AL$1:AL$400,0)),AL$2,)</f>
        <v>0</v>
      </c>
      <c r="AM9" s="155">
        <f ca="1">IF(ISNUMBER(MATCH(DATEVALUE($A9),'recurring1_based on steps'!AM$1:AM$400,0)),AM$2,)</f>
        <v>0</v>
      </c>
      <c r="AN9" s="155">
        <f ca="1">IF(ISNUMBER(MATCH(DATEVALUE($A9),'recurring1_based on steps'!AN$1:AN$400,0)),AN$2,)</f>
        <v>0</v>
      </c>
      <c r="AO9" s="155">
        <f ca="1">IF(ISNUMBER(MATCH(DATEVALUE($A9),'recurring1_based on steps'!AO$1:AO$400,0)),AO$2,)</f>
        <v>0</v>
      </c>
      <c r="AP9" s="155">
        <f ca="1">IF(ISNUMBER(MATCH(DATEVALUE($A9),'recurring1_based on steps'!AP$1:AP$400,0)),AP$2,)</f>
        <v>0</v>
      </c>
      <c r="AQ9" s="155">
        <f ca="1">IF(ISNUMBER(MATCH(DATEVALUE($A9),'recurring1_based on steps'!AQ$1:AQ$400,0)),AQ$2,)</f>
        <v>0</v>
      </c>
      <c r="AR9" s="155">
        <f ca="1">IF(ISNUMBER(MATCH(DATEVALUE($A9),'recurring1_based on steps'!AR$1:AR$400,0)),AR$2,)</f>
        <v>0</v>
      </c>
      <c r="AS9" s="155">
        <f ca="1">IF(ISNUMBER(MATCH(DATEVALUE($A9),'recurring1_based on steps'!AS$1:AS$400,0)),AS$2,)</f>
        <v>0</v>
      </c>
      <c r="AT9" s="155">
        <f ca="1">IF(ISNUMBER(MATCH(DATEVALUE($A9),'recurring1_based on steps'!AT$1:AT$400,0)),AT$2,)</f>
        <v>0</v>
      </c>
      <c r="AU9" s="155">
        <f ca="1">IF(ISNUMBER(MATCH(DATEVALUE($A9),'recurring1_based on steps'!AU$1:AU$400,0)),AU$2,)</f>
        <v>0</v>
      </c>
      <c r="AV9" s="155">
        <f ca="1">IF(ISNUMBER(MATCH(DATEVALUE($A9),'recurring1_based on steps'!AV$1:AV$400,0)),AV$2,)</f>
        <v>0</v>
      </c>
      <c r="AW9" s="155">
        <f ca="1">IF(ISNUMBER(MATCH(DATEVALUE($A9),'recurring1_based on steps'!AW$1:AW$400,0)),AW$2,)</f>
        <v>0</v>
      </c>
      <c r="AX9" s="155">
        <f ca="1">IF(ISNUMBER(MATCH(DATEVALUE($A9),'recurring1_based on steps'!AX$1:AX$400,0)),AX$2,)</f>
        <v>0</v>
      </c>
      <c r="AY9" s="155">
        <f ca="1">IF(ISNUMBER(MATCH(DATEVALUE($A9),'recurring1_based on steps'!AY$1:AY$400,0)),AY$2,)</f>
        <v>0</v>
      </c>
    </row>
    <row r="10" spans="1:51" x14ac:dyDescent="0.2">
      <c r="A10" s="18" t="str">
        <f t="shared" ca="1" si="0"/>
        <v>2025-02-08</v>
      </c>
      <c r="B10" s="155">
        <f ca="1">IF(ISNUMBER(MATCH(DATEVALUE($A10),'recurring1_based on steps'!B$1:B$400,0)),B$2,)</f>
        <v>0</v>
      </c>
      <c r="C10" s="155">
        <f ca="1">IF(ISNUMBER(MATCH(DATEVALUE($A10),'recurring1_based on steps'!C$1:C$400,0)),C$2,)</f>
        <v>0</v>
      </c>
      <c r="D10" s="155">
        <f ca="1">IF(ISNUMBER(MATCH(DATEVALUE($A10),'recurring1_based on steps'!D$1:D$400,0)),D$2,)</f>
        <v>0</v>
      </c>
      <c r="E10" s="155">
        <f ca="1">IF(ISNUMBER(MATCH(DATEVALUE($A10),'recurring1_based on steps'!E$1:E$400,0)),E$2,)</f>
        <v>0</v>
      </c>
      <c r="F10" s="155">
        <f ca="1">IF(ISNUMBER(MATCH(DATEVALUE($A10),'recurring1_based on steps'!F$1:F$400,0)),F$2,)</f>
        <v>0</v>
      </c>
      <c r="G10" s="155">
        <f ca="1">IF(ISNUMBER(MATCH(DATEVALUE($A10),'recurring1_based on steps'!G$1:G$400,0)),G$2,)</f>
        <v>0</v>
      </c>
      <c r="H10" s="155">
        <f ca="1">IF(ISNUMBER(MATCH(DATEVALUE($A10),'recurring1_based on steps'!H$1:H$400,0)),H$2,)</f>
        <v>0</v>
      </c>
      <c r="I10" s="155">
        <f ca="1">IF(ISNUMBER(MATCH(DATEVALUE($A10),'recurring1_based on steps'!I$1:I$400,0)),I$2,)</f>
        <v>0</v>
      </c>
      <c r="J10" s="155">
        <f ca="1">IF(ISNUMBER(MATCH(DATEVALUE($A10),'recurring1_based on steps'!J$1:J$400,0)),J$2,)</f>
        <v>0</v>
      </c>
      <c r="K10" s="155">
        <f ca="1">IF(ISNUMBER(MATCH(DATEVALUE($A10),'recurring1_based on steps'!K$1:K$400,0)),K$2,)</f>
        <v>0</v>
      </c>
      <c r="L10" s="155">
        <f ca="1">IF(ISNUMBER(MATCH(DATEVALUE($A10),'recurring1_based on steps'!L$1:L$400,0)),L$2,)</f>
        <v>0</v>
      </c>
      <c r="M10" s="155">
        <f ca="1">IF(ISNUMBER(MATCH(DATEVALUE($A10),'recurring1_based on steps'!M$1:M$400,0)),M$2,)</f>
        <v>0</v>
      </c>
      <c r="N10" s="155">
        <f ca="1">IF(ISNUMBER(MATCH(DATEVALUE($A10),'recurring1_based on steps'!N$1:N$400,0)),N$2,)</f>
        <v>0</v>
      </c>
      <c r="O10" s="155">
        <f ca="1">IF(ISNUMBER(MATCH(DATEVALUE($A10),'recurring1_based on steps'!O$1:O$400,0)),O$2,)</f>
        <v>0</v>
      </c>
      <c r="P10" s="155">
        <f ca="1">IF(ISNUMBER(MATCH(DATEVALUE($A10),'recurring1_based on steps'!P$1:P$400,0)),P$2,)</f>
        <v>0</v>
      </c>
      <c r="Q10" s="155">
        <f ca="1">IF(ISNUMBER(MATCH(DATEVALUE($A10),'recurring1_based on steps'!Q$1:Q$400,0)),Q$2,)</f>
        <v>100</v>
      </c>
      <c r="R10" s="155">
        <f ca="1">IF(ISNUMBER(MATCH(DATEVALUE($A10),'recurring1_based on steps'!R$1:R$400,0)),R$2,)</f>
        <v>100</v>
      </c>
      <c r="S10" s="155">
        <f ca="1">IF(ISNUMBER(MATCH(DATEVALUE($A10),'recurring1_based on steps'!S$1:S$400,0)),S$2,)</f>
        <v>0</v>
      </c>
      <c r="T10" s="155">
        <f ca="1">IF(ISNUMBER(MATCH(DATEVALUE($A10),'recurring1_based on steps'!T$1:T$400,0)),T$2,)</f>
        <v>0</v>
      </c>
      <c r="U10" s="155">
        <f ca="1">IF(ISNUMBER(MATCH(DATEVALUE($A10),'recurring1_based on steps'!U$1:U$400,0)),U$2,)</f>
        <v>0</v>
      </c>
      <c r="V10" s="155">
        <f ca="1">IF(ISNUMBER(MATCH(DATEVALUE($A10),'recurring1_based on steps'!V$1:V$400,0)),V$2,)</f>
        <v>0</v>
      </c>
      <c r="W10" s="155">
        <f ca="1">IF(ISNUMBER(MATCH(DATEVALUE($A10),'recurring1_based on steps'!W$1:W$400,0)),W$2,)</f>
        <v>0</v>
      </c>
      <c r="X10" s="155">
        <f ca="1">IF(ISNUMBER(MATCH(DATEVALUE($A10),'recurring1_based on steps'!X$1:X$400,0)),X$2,)</f>
        <v>0</v>
      </c>
      <c r="Y10" s="155">
        <f ca="1">IF(ISNUMBER(MATCH(DATEVALUE($A10),'recurring1_based on steps'!Y$1:Y$400,0)),Y$2,)</f>
        <v>0</v>
      </c>
      <c r="Z10" s="155">
        <f ca="1">IF(ISNUMBER(MATCH(DATEVALUE($A10),'recurring1_based on steps'!Z$1:Z$400,0)),Z$2,)</f>
        <v>0</v>
      </c>
      <c r="AA10" s="155">
        <f ca="1">IF(ISNUMBER(MATCH(DATEVALUE($A10),'recurring1_based on steps'!AA$1:AA$400,0)),AA$2,)</f>
        <v>0</v>
      </c>
      <c r="AB10" s="155">
        <f ca="1">IF(ISNUMBER(MATCH(DATEVALUE($A10),'recurring1_based on steps'!AB$1:AB$400,0)),AB$2,)</f>
        <v>0</v>
      </c>
      <c r="AC10" s="155">
        <f ca="1">IF(ISNUMBER(MATCH(DATEVALUE($A10),'recurring1_based on steps'!AC$1:AC$400,0)),AC$2,)</f>
        <v>0</v>
      </c>
      <c r="AD10" s="155">
        <f ca="1">IF(ISNUMBER(MATCH(DATEVALUE($A10),'recurring1_based on steps'!AD$1:AD$400,0)),AD$2,)</f>
        <v>0</v>
      </c>
      <c r="AE10" s="155">
        <f ca="1">IF(ISNUMBER(MATCH(DATEVALUE($A10),'recurring1_based on steps'!AE$1:AE$400,0)),AE$2,)</f>
        <v>0</v>
      </c>
      <c r="AF10" s="155">
        <f ca="1">IF(ISNUMBER(MATCH(DATEVALUE($A10),'recurring1_based on steps'!AF$1:AF$400,0)),AF$2,)</f>
        <v>0</v>
      </c>
      <c r="AG10" s="155">
        <f ca="1">IF(ISNUMBER(MATCH(DATEVALUE($A10),'recurring1_based on steps'!AG$1:AG$400,0)),AG$2,)</f>
        <v>0</v>
      </c>
      <c r="AH10" s="155">
        <f ca="1">IF(ISNUMBER(MATCH(DATEVALUE($A10),'recurring1_based on steps'!AH$1:AH$400,0)),AH$2,)</f>
        <v>0</v>
      </c>
      <c r="AI10" s="155">
        <f ca="1">IF(ISNUMBER(MATCH(DATEVALUE($A10),'recurring1_based on steps'!AI$1:AI$400,0)),AI$2,)</f>
        <v>0</v>
      </c>
      <c r="AJ10" s="155">
        <f ca="1">IF(ISNUMBER(MATCH(DATEVALUE($A10),'recurring1_based on steps'!AJ$1:AJ$400,0)),AJ$2,)</f>
        <v>0</v>
      </c>
      <c r="AK10" s="155">
        <f ca="1">IF(ISNUMBER(MATCH(DATEVALUE($A10),'recurring1_based on steps'!AK$1:AK$400,0)),AK$2,)</f>
        <v>0</v>
      </c>
      <c r="AL10" s="155">
        <f ca="1">IF(ISNUMBER(MATCH(DATEVALUE($A10),'recurring1_based on steps'!AL$1:AL$400,0)),AL$2,)</f>
        <v>0</v>
      </c>
      <c r="AM10" s="155">
        <f ca="1">IF(ISNUMBER(MATCH(DATEVALUE($A10),'recurring1_based on steps'!AM$1:AM$400,0)),AM$2,)</f>
        <v>0</v>
      </c>
      <c r="AN10" s="155">
        <f ca="1">IF(ISNUMBER(MATCH(DATEVALUE($A10),'recurring1_based on steps'!AN$1:AN$400,0)),AN$2,)</f>
        <v>0</v>
      </c>
      <c r="AO10" s="155">
        <f ca="1">IF(ISNUMBER(MATCH(DATEVALUE($A10),'recurring1_based on steps'!AO$1:AO$400,0)),AO$2,)</f>
        <v>0</v>
      </c>
      <c r="AP10" s="155">
        <f ca="1">IF(ISNUMBER(MATCH(DATEVALUE($A10),'recurring1_based on steps'!AP$1:AP$400,0)),AP$2,)</f>
        <v>0</v>
      </c>
      <c r="AQ10" s="155">
        <f ca="1">IF(ISNUMBER(MATCH(DATEVALUE($A10),'recurring1_based on steps'!AQ$1:AQ$400,0)),AQ$2,)</f>
        <v>0</v>
      </c>
      <c r="AR10" s="155">
        <f ca="1">IF(ISNUMBER(MATCH(DATEVALUE($A10),'recurring1_based on steps'!AR$1:AR$400,0)),AR$2,)</f>
        <v>0</v>
      </c>
      <c r="AS10" s="155">
        <f ca="1">IF(ISNUMBER(MATCH(DATEVALUE($A10),'recurring1_based on steps'!AS$1:AS$400,0)),AS$2,)</f>
        <v>0</v>
      </c>
      <c r="AT10" s="155">
        <f ca="1">IF(ISNUMBER(MATCH(DATEVALUE($A10),'recurring1_based on steps'!AT$1:AT$400,0)),AT$2,)</f>
        <v>0</v>
      </c>
      <c r="AU10" s="155">
        <f ca="1">IF(ISNUMBER(MATCH(DATEVALUE($A10),'recurring1_based on steps'!AU$1:AU$400,0)),AU$2,)</f>
        <v>0</v>
      </c>
      <c r="AV10" s="155">
        <f ca="1">IF(ISNUMBER(MATCH(DATEVALUE($A10),'recurring1_based on steps'!AV$1:AV$400,0)),AV$2,)</f>
        <v>0</v>
      </c>
      <c r="AW10" s="155">
        <f ca="1">IF(ISNUMBER(MATCH(DATEVALUE($A10),'recurring1_based on steps'!AW$1:AW$400,0)),AW$2,)</f>
        <v>0</v>
      </c>
      <c r="AX10" s="155">
        <f ca="1">IF(ISNUMBER(MATCH(DATEVALUE($A10),'recurring1_based on steps'!AX$1:AX$400,0)),AX$2,)</f>
        <v>0</v>
      </c>
      <c r="AY10" s="155">
        <f ca="1">IF(ISNUMBER(MATCH(DATEVALUE($A10),'recurring1_based on steps'!AY$1:AY$400,0)),AY$2,)</f>
        <v>0</v>
      </c>
    </row>
    <row r="11" spans="1:51" x14ac:dyDescent="0.2">
      <c r="A11" s="18" t="str">
        <f t="shared" ca="1" si="0"/>
        <v>2025-02-09</v>
      </c>
      <c r="B11" s="155">
        <f ca="1">IF(ISNUMBER(MATCH(DATEVALUE($A11),'recurring1_based on steps'!B$1:B$400,0)),B$2,)</f>
        <v>0</v>
      </c>
      <c r="C11" s="155">
        <f ca="1">IF(ISNUMBER(MATCH(DATEVALUE($A11),'recurring1_based on steps'!C$1:C$400,0)),C$2,)</f>
        <v>0</v>
      </c>
      <c r="D11" s="155">
        <f ca="1">IF(ISNUMBER(MATCH(DATEVALUE($A11),'recurring1_based on steps'!D$1:D$400,0)),D$2,)</f>
        <v>0</v>
      </c>
      <c r="E11" s="155">
        <f ca="1">IF(ISNUMBER(MATCH(DATEVALUE($A11),'recurring1_based on steps'!E$1:E$400,0)),E$2,)</f>
        <v>0</v>
      </c>
      <c r="F11" s="155">
        <f ca="1">IF(ISNUMBER(MATCH(DATEVALUE($A11),'recurring1_based on steps'!F$1:F$400,0)),F$2,)</f>
        <v>0</v>
      </c>
      <c r="G11" s="155">
        <f ca="1">IF(ISNUMBER(MATCH(DATEVALUE($A11),'recurring1_based on steps'!G$1:G$400,0)),G$2,)</f>
        <v>0</v>
      </c>
      <c r="H11" s="155">
        <f ca="1">IF(ISNUMBER(MATCH(DATEVALUE($A11),'recurring1_based on steps'!H$1:H$400,0)),H$2,)</f>
        <v>0</v>
      </c>
      <c r="I11" s="155">
        <f ca="1">IF(ISNUMBER(MATCH(DATEVALUE($A11),'recurring1_based on steps'!I$1:I$400,0)),I$2,)</f>
        <v>0</v>
      </c>
      <c r="J11" s="155">
        <f ca="1">IF(ISNUMBER(MATCH(DATEVALUE($A11),'recurring1_based on steps'!J$1:J$400,0)),J$2,)</f>
        <v>0</v>
      </c>
      <c r="K11" s="155">
        <f ca="1">IF(ISNUMBER(MATCH(DATEVALUE($A11),'recurring1_based on steps'!K$1:K$400,0)),K$2,)</f>
        <v>50</v>
      </c>
      <c r="L11" s="155">
        <f ca="1">IF(ISNUMBER(MATCH(DATEVALUE($A11),'recurring1_based on steps'!L$1:L$400,0)),L$2,)</f>
        <v>0</v>
      </c>
      <c r="M11" s="155">
        <f ca="1">IF(ISNUMBER(MATCH(DATEVALUE($A11),'recurring1_based on steps'!M$1:M$400,0)),M$2,)</f>
        <v>0</v>
      </c>
      <c r="N11" s="155">
        <f ca="1">IF(ISNUMBER(MATCH(DATEVALUE($A11),'recurring1_based on steps'!N$1:N$400,0)),N$2,)</f>
        <v>0</v>
      </c>
      <c r="O11" s="155">
        <f ca="1">IF(ISNUMBER(MATCH(DATEVALUE($A11),'recurring1_based on steps'!O$1:O$400,0)),O$2,)</f>
        <v>0</v>
      </c>
      <c r="P11" s="155">
        <f ca="1">IF(ISNUMBER(MATCH(DATEVALUE($A11),'recurring1_based on steps'!P$1:P$400,0)),P$2,)</f>
        <v>0</v>
      </c>
      <c r="Q11" s="155">
        <f ca="1">IF(ISNUMBER(MATCH(DATEVALUE($A11),'recurring1_based on steps'!Q$1:Q$400,0)),Q$2,)</f>
        <v>0</v>
      </c>
      <c r="R11" s="155">
        <f ca="1">IF(ISNUMBER(MATCH(DATEVALUE($A11),'recurring1_based on steps'!R$1:R$400,0)),R$2,)</f>
        <v>0</v>
      </c>
      <c r="S11" s="155">
        <f ca="1">IF(ISNUMBER(MATCH(DATEVALUE($A11),'recurring1_based on steps'!S$1:S$400,0)),S$2,)</f>
        <v>100</v>
      </c>
      <c r="T11" s="155">
        <f ca="1">IF(ISNUMBER(MATCH(DATEVALUE($A11),'recurring1_based on steps'!T$1:T$400,0)),T$2,)</f>
        <v>0</v>
      </c>
      <c r="U11" s="155">
        <f ca="1">IF(ISNUMBER(MATCH(DATEVALUE($A11),'recurring1_based on steps'!U$1:U$400,0)),U$2,)</f>
        <v>0</v>
      </c>
      <c r="V11" s="155">
        <f ca="1">IF(ISNUMBER(MATCH(DATEVALUE($A11),'recurring1_based on steps'!V$1:V$400,0)),V$2,)</f>
        <v>0</v>
      </c>
      <c r="W11" s="155">
        <f ca="1">IF(ISNUMBER(MATCH(DATEVALUE($A11),'recurring1_based on steps'!W$1:W$400,0)),W$2,)</f>
        <v>0</v>
      </c>
      <c r="X11" s="155">
        <f ca="1">IF(ISNUMBER(MATCH(DATEVALUE($A11),'recurring1_based on steps'!X$1:X$400,0)),X$2,)</f>
        <v>0</v>
      </c>
      <c r="Y11" s="155">
        <f ca="1">IF(ISNUMBER(MATCH(DATEVALUE($A11),'recurring1_based on steps'!Y$1:Y$400,0)),Y$2,)</f>
        <v>0</v>
      </c>
      <c r="Z11" s="155">
        <f ca="1">IF(ISNUMBER(MATCH(DATEVALUE($A11),'recurring1_based on steps'!Z$1:Z$400,0)),Z$2,)</f>
        <v>0</v>
      </c>
      <c r="AA11" s="155">
        <f ca="1">IF(ISNUMBER(MATCH(DATEVALUE($A11),'recurring1_based on steps'!AA$1:AA$400,0)),AA$2,)</f>
        <v>0</v>
      </c>
      <c r="AB11" s="155">
        <f ca="1">IF(ISNUMBER(MATCH(DATEVALUE($A11),'recurring1_based on steps'!AB$1:AB$400,0)),AB$2,)</f>
        <v>0</v>
      </c>
      <c r="AC11" s="155">
        <f ca="1">IF(ISNUMBER(MATCH(DATEVALUE($A11),'recurring1_based on steps'!AC$1:AC$400,0)),AC$2,)</f>
        <v>0</v>
      </c>
      <c r="AD11" s="155">
        <f ca="1">IF(ISNUMBER(MATCH(DATEVALUE($A11),'recurring1_based on steps'!AD$1:AD$400,0)),AD$2,)</f>
        <v>0</v>
      </c>
      <c r="AE11" s="155">
        <f ca="1">IF(ISNUMBER(MATCH(DATEVALUE($A11),'recurring1_based on steps'!AE$1:AE$400,0)),AE$2,)</f>
        <v>0</v>
      </c>
      <c r="AF11" s="155">
        <f ca="1">IF(ISNUMBER(MATCH(DATEVALUE($A11),'recurring1_based on steps'!AF$1:AF$400,0)),AF$2,)</f>
        <v>0</v>
      </c>
      <c r="AG11" s="155">
        <f ca="1">IF(ISNUMBER(MATCH(DATEVALUE($A11),'recurring1_based on steps'!AG$1:AG$400,0)),AG$2,)</f>
        <v>0</v>
      </c>
      <c r="AH11" s="155">
        <f ca="1">IF(ISNUMBER(MATCH(DATEVALUE($A11),'recurring1_based on steps'!AH$1:AH$400,0)),AH$2,)</f>
        <v>0</v>
      </c>
      <c r="AI11" s="155">
        <f ca="1">IF(ISNUMBER(MATCH(DATEVALUE($A11),'recurring1_based on steps'!AI$1:AI$400,0)),AI$2,)</f>
        <v>0</v>
      </c>
      <c r="AJ11" s="155">
        <f ca="1">IF(ISNUMBER(MATCH(DATEVALUE($A11),'recurring1_based on steps'!AJ$1:AJ$400,0)),AJ$2,)</f>
        <v>0</v>
      </c>
      <c r="AK11" s="155">
        <f ca="1">IF(ISNUMBER(MATCH(DATEVALUE($A11),'recurring1_based on steps'!AK$1:AK$400,0)),AK$2,)</f>
        <v>0</v>
      </c>
      <c r="AL11" s="155">
        <f ca="1">IF(ISNUMBER(MATCH(DATEVALUE($A11),'recurring1_based on steps'!AL$1:AL$400,0)),AL$2,)</f>
        <v>0</v>
      </c>
      <c r="AM11" s="155">
        <f ca="1">IF(ISNUMBER(MATCH(DATEVALUE($A11),'recurring1_based on steps'!AM$1:AM$400,0)),AM$2,)</f>
        <v>0</v>
      </c>
      <c r="AN11" s="155">
        <f ca="1">IF(ISNUMBER(MATCH(DATEVALUE($A11),'recurring1_based on steps'!AN$1:AN$400,0)),AN$2,)</f>
        <v>0</v>
      </c>
      <c r="AO11" s="155">
        <f ca="1">IF(ISNUMBER(MATCH(DATEVALUE($A11),'recurring1_based on steps'!AO$1:AO$400,0)),AO$2,)</f>
        <v>0</v>
      </c>
      <c r="AP11" s="155">
        <f ca="1">IF(ISNUMBER(MATCH(DATEVALUE($A11),'recurring1_based on steps'!AP$1:AP$400,0)),AP$2,)</f>
        <v>0</v>
      </c>
      <c r="AQ11" s="155">
        <f ca="1">IF(ISNUMBER(MATCH(DATEVALUE($A11),'recurring1_based on steps'!AQ$1:AQ$400,0)),AQ$2,)</f>
        <v>0</v>
      </c>
      <c r="AR11" s="155">
        <f ca="1">IF(ISNUMBER(MATCH(DATEVALUE($A11),'recurring1_based on steps'!AR$1:AR$400,0)),AR$2,)</f>
        <v>0</v>
      </c>
      <c r="AS11" s="155">
        <f ca="1">IF(ISNUMBER(MATCH(DATEVALUE($A11),'recurring1_based on steps'!AS$1:AS$400,0)),AS$2,)</f>
        <v>0</v>
      </c>
      <c r="AT11" s="155">
        <f ca="1">IF(ISNUMBER(MATCH(DATEVALUE($A11),'recurring1_based on steps'!AT$1:AT$400,0)),AT$2,)</f>
        <v>0</v>
      </c>
      <c r="AU11" s="155">
        <f ca="1">IF(ISNUMBER(MATCH(DATEVALUE($A11),'recurring1_based on steps'!AU$1:AU$400,0)),AU$2,)</f>
        <v>0</v>
      </c>
      <c r="AV11" s="155">
        <f ca="1">IF(ISNUMBER(MATCH(DATEVALUE($A11),'recurring1_based on steps'!AV$1:AV$400,0)),AV$2,)</f>
        <v>0</v>
      </c>
      <c r="AW11" s="155">
        <f ca="1">IF(ISNUMBER(MATCH(DATEVALUE($A11),'recurring1_based on steps'!AW$1:AW$400,0)),AW$2,)</f>
        <v>0</v>
      </c>
      <c r="AX11" s="155">
        <f ca="1">IF(ISNUMBER(MATCH(DATEVALUE($A11),'recurring1_based on steps'!AX$1:AX$400,0)),AX$2,)</f>
        <v>0</v>
      </c>
      <c r="AY11" s="155">
        <f ca="1">IF(ISNUMBER(MATCH(DATEVALUE($A11),'recurring1_based on steps'!AY$1:AY$400,0)),AY$2,)</f>
        <v>0</v>
      </c>
    </row>
    <row r="12" spans="1:51" x14ac:dyDescent="0.2">
      <c r="A12" s="18" t="str">
        <f t="shared" ca="1" si="0"/>
        <v>2025-02-10</v>
      </c>
      <c r="B12" s="155">
        <f ca="1">IF(ISNUMBER(MATCH(DATEVALUE($A12),'recurring1_based on steps'!B$1:B$400,0)),B$2,)</f>
        <v>0</v>
      </c>
      <c r="C12" s="155">
        <f ca="1">IF(ISNUMBER(MATCH(DATEVALUE($A12),'recurring1_based on steps'!C$1:C$400,0)),C$2,)</f>
        <v>0</v>
      </c>
      <c r="D12" s="155">
        <f ca="1">IF(ISNUMBER(MATCH(DATEVALUE($A12),'recurring1_based on steps'!D$1:D$400,0)),D$2,)</f>
        <v>0</v>
      </c>
      <c r="E12" s="155">
        <f ca="1">IF(ISNUMBER(MATCH(DATEVALUE($A12),'recurring1_based on steps'!E$1:E$400,0)),E$2,)</f>
        <v>0</v>
      </c>
      <c r="F12" s="155">
        <f ca="1">IF(ISNUMBER(MATCH(DATEVALUE($A12),'recurring1_based on steps'!F$1:F$400,0)),F$2,)</f>
        <v>0</v>
      </c>
      <c r="G12" s="155">
        <f ca="1">IF(ISNUMBER(MATCH(DATEVALUE($A12),'recurring1_based on steps'!G$1:G$400,0)),G$2,)</f>
        <v>0</v>
      </c>
      <c r="H12" s="155">
        <f ca="1">IF(ISNUMBER(MATCH(DATEVALUE($A12),'recurring1_based on steps'!H$1:H$400,0)),H$2,)</f>
        <v>0</v>
      </c>
      <c r="I12" s="155">
        <f ca="1">IF(ISNUMBER(MATCH(DATEVALUE($A12),'recurring1_based on steps'!I$1:I$400,0)),I$2,)</f>
        <v>0</v>
      </c>
      <c r="J12" s="155">
        <f ca="1">IF(ISNUMBER(MATCH(DATEVALUE($A12),'recurring1_based on steps'!J$1:J$400,0)),J$2,)</f>
        <v>0</v>
      </c>
      <c r="K12" s="155">
        <f ca="1">IF(ISNUMBER(MATCH(DATEVALUE($A12),'recurring1_based on steps'!K$1:K$400,0)),K$2,)</f>
        <v>0</v>
      </c>
      <c r="L12" s="155">
        <f ca="1">IF(ISNUMBER(MATCH(DATEVALUE($A12),'recurring1_based on steps'!L$1:L$400,0)),L$2,)</f>
        <v>0</v>
      </c>
      <c r="M12" s="155">
        <f ca="1">IF(ISNUMBER(MATCH(DATEVALUE($A12),'recurring1_based on steps'!M$1:M$400,0)),M$2,)</f>
        <v>0</v>
      </c>
      <c r="N12" s="155">
        <f ca="1">IF(ISNUMBER(MATCH(DATEVALUE($A12),'recurring1_based on steps'!N$1:N$400,0)),N$2,)</f>
        <v>0</v>
      </c>
      <c r="O12" s="155">
        <f ca="1">IF(ISNUMBER(MATCH(DATEVALUE($A12),'recurring1_based on steps'!O$1:O$400,0)),O$2,)</f>
        <v>0</v>
      </c>
      <c r="P12" s="155">
        <f ca="1">IF(ISNUMBER(MATCH(DATEVALUE($A12),'recurring1_based on steps'!P$1:P$400,0)),P$2,)</f>
        <v>0</v>
      </c>
      <c r="Q12" s="155">
        <f ca="1">IF(ISNUMBER(MATCH(DATEVALUE($A12),'recurring1_based on steps'!Q$1:Q$400,0)),Q$2,)</f>
        <v>0</v>
      </c>
      <c r="R12" s="155">
        <f ca="1">IF(ISNUMBER(MATCH(DATEVALUE($A12),'recurring1_based on steps'!R$1:R$400,0)),R$2,)</f>
        <v>0</v>
      </c>
      <c r="S12" s="155">
        <f ca="1">IF(ISNUMBER(MATCH(DATEVALUE($A12),'recurring1_based on steps'!S$1:S$400,0)),S$2,)</f>
        <v>0</v>
      </c>
      <c r="T12" s="155">
        <f ca="1">IF(ISNUMBER(MATCH(DATEVALUE($A12),'recurring1_based on steps'!T$1:T$400,0)),T$2,)</f>
        <v>0</v>
      </c>
      <c r="U12" s="155">
        <f ca="1">IF(ISNUMBER(MATCH(DATEVALUE($A12),'recurring1_based on steps'!U$1:U$400,0)),U$2,)</f>
        <v>0</v>
      </c>
      <c r="V12" s="155">
        <f ca="1">IF(ISNUMBER(MATCH(DATEVALUE($A12),'recurring1_based on steps'!V$1:V$400,0)),V$2,)</f>
        <v>0</v>
      </c>
      <c r="W12" s="155">
        <f ca="1">IF(ISNUMBER(MATCH(DATEVALUE($A12),'recurring1_based on steps'!W$1:W$400,0)),W$2,)</f>
        <v>0</v>
      </c>
      <c r="X12" s="155">
        <f ca="1">IF(ISNUMBER(MATCH(DATEVALUE($A12),'recurring1_based on steps'!X$1:X$400,0)),X$2,)</f>
        <v>0</v>
      </c>
      <c r="Y12" s="155">
        <f ca="1">IF(ISNUMBER(MATCH(DATEVALUE($A12),'recurring1_based on steps'!Y$1:Y$400,0)),Y$2,)</f>
        <v>0</v>
      </c>
      <c r="Z12" s="155">
        <f ca="1">IF(ISNUMBER(MATCH(DATEVALUE($A12),'recurring1_based on steps'!Z$1:Z$400,0)),Z$2,)</f>
        <v>0</v>
      </c>
      <c r="AA12" s="155">
        <f ca="1">IF(ISNUMBER(MATCH(DATEVALUE($A12),'recurring1_based on steps'!AA$1:AA$400,0)),AA$2,)</f>
        <v>0</v>
      </c>
      <c r="AB12" s="155">
        <f ca="1">IF(ISNUMBER(MATCH(DATEVALUE($A12),'recurring1_based on steps'!AB$1:AB$400,0)),AB$2,)</f>
        <v>0</v>
      </c>
      <c r="AC12" s="155">
        <f ca="1">IF(ISNUMBER(MATCH(DATEVALUE($A12),'recurring1_based on steps'!AC$1:AC$400,0)),AC$2,)</f>
        <v>0</v>
      </c>
      <c r="AD12" s="155">
        <f ca="1">IF(ISNUMBER(MATCH(DATEVALUE($A12),'recurring1_based on steps'!AD$1:AD$400,0)),AD$2,)</f>
        <v>0</v>
      </c>
      <c r="AE12" s="155">
        <f ca="1">IF(ISNUMBER(MATCH(DATEVALUE($A12),'recurring1_based on steps'!AE$1:AE$400,0)),AE$2,)</f>
        <v>0</v>
      </c>
      <c r="AF12" s="155">
        <f ca="1">IF(ISNUMBER(MATCH(DATEVALUE($A12),'recurring1_based on steps'!AF$1:AF$400,0)),AF$2,)</f>
        <v>0</v>
      </c>
      <c r="AG12" s="155">
        <f ca="1">IF(ISNUMBER(MATCH(DATEVALUE($A12),'recurring1_based on steps'!AG$1:AG$400,0)),AG$2,)</f>
        <v>0</v>
      </c>
      <c r="AH12" s="155">
        <f ca="1">IF(ISNUMBER(MATCH(DATEVALUE($A12),'recurring1_based on steps'!AH$1:AH$400,0)),AH$2,)</f>
        <v>0</v>
      </c>
      <c r="AI12" s="155">
        <f ca="1">IF(ISNUMBER(MATCH(DATEVALUE($A12),'recurring1_based on steps'!AI$1:AI$400,0)),AI$2,)</f>
        <v>0</v>
      </c>
      <c r="AJ12" s="155">
        <f ca="1">IF(ISNUMBER(MATCH(DATEVALUE($A12),'recurring1_based on steps'!AJ$1:AJ$400,0)),AJ$2,)</f>
        <v>0</v>
      </c>
      <c r="AK12" s="155">
        <f ca="1">IF(ISNUMBER(MATCH(DATEVALUE($A12),'recurring1_based on steps'!AK$1:AK$400,0)),AK$2,)</f>
        <v>0</v>
      </c>
      <c r="AL12" s="155">
        <f ca="1">IF(ISNUMBER(MATCH(DATEVALUE($A12),'recurring1_based on steps'!AL$1:AL$400,0)),AL$2,)</f>
        <v>0</v>
      </c>
      <c r="AM12" s="155">
        <f ca="1">IF(ISNUMBER(MATCH(DATEVALUE($A12),'recurring1_based on steps'!AM$1:AM$400,0)),AM$2,)</f>
        <v>0</v>
      </c>
      <c r="AN12" s="155">
        <f ca="1">IF(ISNUMBER(MATCH(DATEVALUE($A12),'recurring1_based on steps'!AN$1:AN$400,0)),AN$2,)</f>
        <v>0</v>
      </c>
      <c r="AO12" s="155">
        <f ca="1">IF(ISNUMBER(MATCH(DATEVALUE($A12),'recurring1_based on steps'!AO$1:AO$400,0)),AO$2,)</f>
        <v>0</v>
      </c>
      <c r="AP12" s="155">
        <f ca="1">IF(ISNUMBER(MATCH(DATEVALUE($A12),'recurring1_based on steps'!AP$1:AP$400,0)),AP$2,)</f>
        <v>0</v>
      </c>
      <c r="AQ12" s="155">
        <f ca="1">IF(ISNUMBER(MATCH(DATEVALUE($A12),'recurring1_based on steps'!AQ$1:AQ$400,0)),AQ$2,)</f>
        <v>0</v>
      </c>
      <c r="AR12" s="155">
        <f ca="1">IF(ISNUMBER(MATCH(DATEVALUE($A12),'recurring1_based on steps'!AR$1:AR$400,0)),AR$2,)</f>
        <v>0</v>
      </c>
      <c r="AS12" s="155">
        <f ca="1">IF(ISNUMBER(MATCH(DATEVALUE($A12),'recurring1_based on steps'!AS$1:AS$400,0)),AS$2,)</f>
        <v>0</v>
      </c>
      <c r="AT12" s="155">
        <f ca="1">IF(ISNUMBER(MATCH(DATEVALUE($A12),'recurring1_based on steps'!AT$1:AT$400,0)),AT$2,)</f>
        <v>0</v>
      </c>
      <c r="AU12" s="155">
        <f ca="1">IF(ISNUMBER(MATCH(DATEVALUE($A12),'recurring1_based on steps'!AU$1:AU$400,0)),AU$2,)</f>
        <v>0</v>
      </c>
      <c r="AV12" s="155">
        <f ca="1">IF(ISNUMBER(MATCH(DATEVALUE($A12),'recurring1_based on steps'!AV$1:AV$400,0)),AV$2,)</f>
        <v>0</v>
      </c>
      <c r="AW12" s="155">
        <f ca="1">IF(ISNUMBER(MATCH(DATEVALUE($A12),'recurring1_based on steps'!AW$1:AW$400,0)),AW$2,)</f>
        <v>0</v>
      </c>
      <c r="AX12" s="155">
        <f ca="1">IF(ISNUMBER(MATCH(DATEVALUE($A12),'recurring1_based on steps'!AX$1:AX$400,0)),AX$2,)</f>
        <v>0</v>
      </c>
      <c r="AY12" s="155">
        <f ca="1">IF(ISNUMBER(MATCH(DATEVALUE($A12),'recurring1_based on steps'!AY$1:AY$400,0)),AY$2,)</f>
        <v>0</v>
      </c>
    </row>
    <row r="13" spans="1:51" x14ac:dyDescent="0.2">
      <c r="A13" s="18" t="str">
        <f t="shared" ca="1" si="0"/>
        <v>2025-02-11</v>
      </c>
      <c r="B13" s="155">
        <f ca="1">IF(ISNUMBER(MATCH(DATEVALUE($A13),'recurring1_based on steps'!B$1:B$400,0)),B$2,)</f>
        <v>0</v>
      </c>
      <c r="C13" s="155">
        <f ca="1">IF(ISNUMBER(MATCH(DATEVALUE($A13),'recurring1_based on steps'!C$1:C$400,0)),C$2,)</f>
        <v>0</v>
      </c>
      <c r="D13" s="155">
        <f ca="1">IF(ISNUMBER(MATCH(DATEVALUE($A13),'recurring1_based on steps'!D$1:D$400,0)),D$2,)</f>
        <v>0</v>
      </c>
      <c r="E13" s="155">
        <f ca="1">IF(ISNUMBER(MATCH(DATEVALUE($A13),'recurring1_based on steps'!E$1:E$400,0)),E$2,)</f>
        <v>0</v>
      </c>
      <c r="F13" s="155">
        <f ca="1">IF(ISNUMBER(MATCH(DATEVALUE($A13),'recurring1_based on steps'!F$1:F$400,0)),F$2,)</f>
        <v>0</v>
      </c>
      <c r="G13" s="155">
        <f ca="1">IF(ISNUMBER(MATCH(DATEVALUE($A13),'recurring1_based on steps'!G$1:G$400,0)),G$2,)</f>
        <v>0</v>
      </c>
      <c r="H13" s="155">
        <f ca="1">IF(ISNUMBER(MATCH(DATEVALUE($A13),'recurring1_based on steps'!H$1:H$400,0)),H$2,)</f>
        <v>0</v>
      </c>
      <c r="I13" s="155">
        <f ca="1">IF(ISNUMBER(MATCH(DATEVALUE($A13),'recurring1_based on steps'!I$1:I$400,0)),I$2,)</f>
        <v>0</v>
      </c>
      <c r="J13" s="155">
        <f ca="1">IF(ISNUMBER(MATCH(DATEVALUE($A13),'recurring1_based on steps'!J$1:J$400,0)),J$2,)</f>
        <v>0</v>
      </c>
      <c r="K13" s="155">
        <f ca="1">IF(ISNUMBER(MATCH(DATEVALUE($A13),'recurring1_based on steps'!K$1:K$400,0)),K$2,)</f>
        <v>0</v>
      </c>
      <c r="L13" s="155">
        <f ca="1">IF(ISNUMBER(MATCH(DATEVALUE($A13),'recurring1_based on steps'!L$1:L$400,0)),L$2,)</f>
        <v>0</v>
      </c>
      <c r="M13" s="155">
        <f ca="1">IF(ISNUMBER(MATCH(DATEVALUE($A13),'recurring1_based on steps'!M$1:M$400,0)),M$2,)</f>
        <v>0</v>
      </c>
      <c r="N13" s="155">
        <f ca="1">IF(ISNUMBER(MATCH(DATEVALUE($A13),'recurring1_based on steps'!N$1:N$400,0)),N$2,)</f>
        <v>0</v>
      </c>
      <c r="O13" s="155">
        <f ca="1">IF(ISNUMBER(MATCH(DATEVALUE($A13),'recurring1_based on steps'!O$1:O$400,0)),O$2,)</f>
        <v>0</v>
      </c>
      <c r="P13" s="155">
        <f ca="1">IF(ISNUMBER(MATCH(DATEVALUE($A13),'recurring1_based on steps'!P$1:P$400,0)),P$2,)</f>
        <v>0</v>
      </c>
      <c r="Q13" s="155">
        <f ca="1">IF(ISNUMBER(MATCH(DATEVALUE($A13),'recurring1_based on steps'!Q$1:Q$400,0)),Q$2,)</f>
        <v>0</v>
      </c>
      <c r="R13" s="155">
        <f ca="1">IF(ISNUMBER(MATCH(DATEVALUE($A13),'recurring1_based on steps'!R$1:R$400,0)),R$2,)</f>
        <v>0</v>
      </c>
      <c r="S13" s="155">
        <f ca="1">IF(ISNUMBER(MATCH(DATEVALUE($A13),'recurring1_based on steps'!S$1:S$400,0)),S$2,)</f>
        <v>0</v>
      </c>
      <c r="T13" s="155">
        <f ca="1">IF(ISNUMBER(MATCH(DATEVALUE($A13),'recurring1_based on steps'!T$1:T$400,0)),T$2,)</f>
        <v>0</v>
      </c>
      <c r="U13" s="155">
        <f ca="1">IF(ISNUMBER(MATCH(DATEVALUE($A13),'recurring1_based on steps'!U$1:U$400,0)),U$2,)</f>
        <v>0</v>
      </c>
      <c r="V13" s="155">
        <f ca="1">IF(ISNUMBER(MATCH(DATEVALUE($A13),'recurring1_based on steps'!V$1:V$400,0)),V$2,)</f>
        <v>0</v>
      </c>
      <c r="W13" s="155">
        <f ca="1">IF(ISNUMBER(MATCH(DATEVALUE($A13),'recurring1_based on steps'!W$1:W$400,0)),W$2,)</f>
        <v>0</v>
      </c>
      <c r="X13" s="155">
        <f ca="1">IF(ISNUMBER(MATCH(DATEVALUE($A13),'recurring1_based on steps'!X$1:X$400,0)),X$2,)</f>
        <v>0</v>
      </c>
      <c r="Y13" s="155">
        <f ca="1">IF(ISNUMBER(MATCH(DATEVALUE($A13),'recurring1_based on steps'!Y$1:Y$400,0)),Y$2,)</f>
        <v>0</v>
      </c>
      <c r="Z13" s="155">
        <f ca="1">IF(ISNUMBER(MATCH(DATEVALUE($A13),'recurring1_based on steps'!Z$1:Z$400,0)),Z$2,)</f>
        <v>0</v>
      </c>
      <c r="AA13" s="155">
        <f ca="1">IF(ISNUMBER(MATCH(DATEVALUE($A13),'recurring1_based on steps'!AA$1:AA$400,0)),AA$2,)</f>
        <v>0</v>
      </c>
      <c r="AB13" s="155">
        <f ca="1">IF(ISNUMBER(MATCH(DATEVALUE($A13),'recurring1_based on steps'!AB$1:AB$400,0)),AB$2,)</f>
        <v>0</v>
      </c>
      <c r="AC13" s="155">
        <f ca="1">IF(ISNUMBER(MATCH(DATEVALUE($A13),'recurring1_based on steps'!AC$1:AC$400,0)),AC$2,)</f>
        <v>0</v>
      </c>
      <c r="AD13" s="155">
        <f ca="1">IF(ISNUMBER(MATCH(DATEVALUE($A13),'recurring1_based on steps'!AD$1:AD$400,0)),AD$2,)</f>
        <v>0</v>
      </c>
      <c r="AE13" s="155">
        <f ca="1">IF(ISNUMBER(MATCH(DATEVALUE($A13),'recurring1_based on steps'!AE$1:AE$400,0)),AE$2,)</f>
        <v>0</v>
      </c>
      <c r="AF13" s="155">
        <f ca="1">IF(ISNUMBER(MATCH(DATEVALUE($A13),'recurring1_based on steps'!AF$1:AF$400,0)),AF$2,)</f>
        <v>0</v>
      </c>
      <c r="AG13" s="155">
        <f ca="1">IF(ISNUMBER(MATCH(DATEVALUE($A13),'recurring1_based on steps'!AG$1:AG$400,0)),AG$2,)</f>
        <v>0</v>
      </c>
      <c r="AH13" s="155">
        <f ca="1">IF(ISNUMBER(MATCH(DATEVALUE($A13),'recurring1_based on steps'!AH$1:AH$400,0)),AH$2,)</f>
        <v>0</v>
      </c>
      <c r="AI13" s="155">
        <f ca="1">IF(ISNUMBER(MATCH(DATEVALUE($A13),'recurring1_based on steps'!AI$1:AI$400,0)),AI$2,)</f>
        <v>0</v>
      </c>
      <c r="AJ13" s="155">
        <f ca="1">IF(ISNUMBER(MATCH(DATEVALUE($A13),'recurring1_based on steps'!AJ$1:AJ$400,0)),AJ$2,)</f>
        <v>0</v>
      </c>
      <c r="AK13" s="155">
        <f ca="1">IF(ISNUMBER(MATCH(DATEVALUE($A13),'recurring1_based on steps'!AK$1:AK$400,0)),AK$2,)</f>
        <v>0</v>
      </c>
      <c r="AL13" s="155">
        <f ca="1">IF(ISNUMBER(MATCH(DATEVALUE($A13),'recurring1_based on steps'!AL$1:AL$400,0)),AL$2,)</f>
        <v>0</v>
      </c>
      <c r="AM13" s="155">
        <f ca="1">IF(ISNUMBER(MATCH(DATEVALUE($A13),'recurring1_based on steps'!AM$1:AM$400,0)),AM$2,)</f>
        <v>0</v>
      </c>
      <c r="AN13" s="155">
        <f ca="1">IF(ISNUMBER(MATCH(DATEVALUE($A13),'recurring1_based on steps'!AN$1:AN$400,0)),AN$2,)</f>
        <v>0</v>
      </c>
      <c r="AO13" s="155">
        <f ca="1">IF(ISNUMBER(MATCH(DATEVALUE($A13),'recurring1_based on steps'!AO$1:AO$400,0)),AO$2,)</f>
        <v>0</v>
      </c>
      <c r="AP13" s="155">
        <f ca="1">IF(ISNUMBER(MATCH(DATEVALUE($A13),'recurring1_based on steps'!AP$1:AP$400,0)),AP$2,)</f>
        <v>0</v>
      </c>
      <c r="AQ13" s="155">
        <f ca="1">IF(ISNUMBER(MATCH(DATEVALUE($A13),'recurring1_based on steps'!AQ$1:AQ$400,0)),AQ$2,)</f>
        <v>0</v>
      </c>
      <c r="AR13" s="155">
        <f ca="1">IF(ISNUMBER(MATCH(DATEVALUE($A13),'recurring1_based on steps'!AR$1:AR$400,0)),AR$2,)</f>
        <v>0</v>
      </c>
      <c r="AS13" s="155">
        <f ca="1">IF(ISNUMBER(MATCH(DATEVALUE($A13),'recurring1_based on steps'!AS$1:AS$400,0)),AS$2,)</f>
        <v>0</v>
      </c>
      <c r="AT13" s="155">
        <f ca="1">IF(ISNUMBER(MATCH(DATEVALUE($A13),'recurring1_based on steps'!AT$1:AT$400,0)),AT$2,)</f>
        <v>0</v>
      </c>
      <c r="AU13" s="155">
        <f ca="1">IF(ISNUMBER(MATCH(DATEVALUE($A13),'recurring1_based on steps'!AU$1:AU$400,0)),AU$2,)</f>
        <v>0</v>
      </c>
      <c r="AV13" s="155">
        <f ca="1">IF(ISNUMBER(MATCH(DATEVALUE($A13),'recurring1_based on steps'!AV$1:AV$400,0)),AV$2,)</f>
        <v>0</v>
      </c>
      <c r="AW13" s="155">
        <f ca="1">IF(ISNUMBER(MATCH(DATEVALUE($A13),'recurring1_based on steps'!AW$1:AW$400,0)),AW$2,)</f>
        <v>0</v>
      </c>
      <c r="AX13" s="155">
        <f ca="1">IF(ISNUMBER(MATCH(DATEVALUE($A13),'recurring1_based on steps'!AX$1:AX$400,0)),AX$2,)</f>
        <v>0</v>
      </c>
      <c r="AY13" s="155">
        <f ca="1">IF(ISNUMBER(MATCH(DATEVALUE($A13),'recurring1_based on steps'!AY$1:AY$400,0)),AY$2,)</f>
        <v>0</v>
      </c>
    </row>
    <row r="14" spans="1:51" x14ac:dyDescent="0.2">
      <c r="A14" s="18" t="str">
        <f t="shared" ca="1" si="0"/>
        <v>2025-02-12</v>
      </c>
      <c r="B14" s="155">
        <f ca="1">IF(ISNUMBER(MATCH(DATEVALUE($A14),'recurring1_based on steps'!B$1:B$400,0)),B$2,)</f>
        <v>0</v>
      </c>
      <c r="C14" s="155">
        <f ca="1">IF(ISNUMBER(MATCH(DATEVALUE($A14),'recurring1_based on steps'!C$1:C$400,0)),C$2,)</f>
        <v>0</v>
      </c>
      <c r="D14" s="155">
        <f ca="1">IF(ISNUMBER(MATCH(DATEVALUE($A14),'recurring1_based on steps'!D$1:D$400,0)),D$2,)</f>
        <v>0</v>
      </c>
      <c r="E14" s="155">
        <f ca="1">IF(ISNUMBER(MATCH(DATEVALUE($A14),'recurring1_based on steps'!E$1:E$400,0)),E$2,)</f>
        <v>0</v>
      </c>
      <c r="F14" s="155">
        <f ca="1">IF(ISNUMBER(MATCH(DATEVALUE($A14),'recurring1_based on steps'!F$1:F$400,0)),F$2,)</f>
        <v>0</v>
      </c>
      <c r="G14" s="155">
        <f ca="1">IF(ISNUMBER(MATCH(DATEVALUE($A14),'recurring1_based on steps'!G$1:G$400,0)),G$2,)</f>
        <v>0</v>
      </c>
      <c r="H14" s="155">
        <f ca="1">IF(ISNUMBER(MATCH(DATEVALUE($A14),'recurring1_based on steps'!H$1:H$400,0)),H$2,)</f>
        <v>0</v>
      </c>
      <c r="I14" s="155">
        <f ca="1">IF(ISNUMBER(MATCH(DATEVALUE($A14),'recurring1_based on steps'!I$1:I$400,0)),I$2,)</f>
        <v>0</v>
      </c>
      <c r="J14" s="155">
        <f ca="1">IF(ISNUMBER(MATCH(DATEVALUE($A14),'recurring1_based on steps'!J$1:J$400,0)),J$2,)</f>
        <v>0</v>
      </c>
      <c r="K14" s="155">
        <f ca="1">IF(ISNUMBER(MATCH(DATEVALUE($A14),'recurring1_based on steps'!K$1:K$400,0)),K$2,)</f>
        <v>0</v>
      </c>
      <c r="L14" s="155">
        <f ca="1">IF(ISNUMBER(MATCH(DATEVALUE($A14),'recurring1_based on steps'!L$1:L$400,0)),L$2,)</f>
        <v>0</v>
      </c>
      <c r="M14" s="155">
        <f ca="1">IF(ISNUMBER(MATCH(DATEVALUE($A14),'recurring1_based on steps'!M$1:M$400,0)),M$2,)</f>
        <v>0</v>
      </c>
      <c r="N14" s="155">
        <f ca="1">IF(ISNUMBER(MATCH(DATEVALUE($A14),'recurring1_based on steps'!N$1:N$400,0)),N$2,)</f>
        <v>0</v>
      </c>
      <c r="O14" s="155">
        <f ca="1">IF(ISNUMBER(MATCH(DATEVALUE($A14),'recurring1_based on steps'!O$1:O$400,0)),O$2,)</f>
        <v>0</v>
      </c>
      <c r="P14" s="155">
        <f ca="1">IF(ISNUMBER(MATCH(DATEVALUE($A14),'recurring1_based on steps'!P$1:P$400,0)),P$2,)</f>
        <v>0</v>
      </c>
      <c r="Q14" s="155">
        <f ca="1">IF(ISNUMBER(MATCH(DATEVALUE($A14),'recurring1_based on steps'!Q$1:Q$400,0)),Q$2,)</f>
        <v>0</v>
      </c>
      <c r="R14" s="155">
        <f ca="1">IF(ISNUMBER(MATCH(DATEVALUE($A14),'recurring1_based on steps'!R$1:R$400,0)),R$2,)</f>
        <v>0</v>
      </c>
      <c r="S14" s="155">
        <f ca="1">IF(ISNUMBER(MATCH(DATEVALUE($A14),'recurring1_based on steps'!S$1:S$400,0)),S$2,)</f>
        <v>0</v>
      </c>
      <c r="T14" s="155">
        <f ca="1">IF(ISNUMBER(MATCH(DATEVALUE($A14),'recurring1_based on steps'!T$1:T$400,0)),T$2,)</f>
        <v>0</v>
      </c>
      <c r="U14" s="155">
        <f ca="1">IF(ISNUMBER(MATCH(DATEVALUE($A14),'recurring1_based on steps'!U$1:U$400,0)),U$2,)</f>
        <v>0</v>
      </c>
      <c r="V14" s="155">
        <f ca="1">IF(ISNUMBER(MATCH(DATEVALUE($A14),'recurring1_based on steps'!V$1:V$400,0)),V$2,)</f>
        <v>0</v>
      </c>
      <c r="W14" s="155">
        <f ca="1">IF(ISNUMBER(MATCH(DATEVALUE($A14),'recurring1_based on steps'!W$1:W$400,0)),W$2,)</f>
        <v>0</v>
      </c>
      <c r="X14" s="155">
        <f ca="1">IF(ISNUMBER(MATCH(DATEVALUE($A14),'recurring1_based on steps'!X$1:X$400,0)),X$2,)</f>
        <v>0</v>
      </c>
      <c r="Y14" s="155">
        <f ca="1">IF(ISNUMBER(MATCH(DATEVALUE($A14),'recurring1_based on steps'!Y$1:Y$400,0)),Y$2,)</f>
        <v>0</v>
      </c>
      <c r="Z14" s="155">
        <f ca="1">IF(ISNUMBER(MATCH(DATEVALUE($A14),'recurring1_based on steps'!Z$1:Z$400,0)),Z$2,)</f>
        <v>0</v>
      </c>
      <c r="AA14" s="155">
        <f ca="1">IF(ISNUMBER(MATCH(DATEVALUE($A14),'recurring1_based on steps'!AA$1:AA$400,0)),AA$2,)</f>
        <v>0</v>
      </c>
      <c r="AB14" s="155">
        <f ca="1">IF(ISNUMBER(MATCH(DATEVALUE($A14),'recurring1_based on steps'!AB$1:AB$400,0)),AB$2,)</f>
        <v>0</v>
      </c>
      <c r="AC14" s="155">
        <f ca="1">IF(ISNUMBER(MATCH(DATEVALUE($A14),'recurring1_based on steps'!AC$1:AC$400,0)),AC$2,)</f>
        <v>0</v>
      </c>
      <c r="AD14" s="155">
        <f ca="1">IF(ISNUMBER(MATCH(DATEVALUE($A14),'recurring1_based on steps'!AD$1:AD$400,0)),AD$2,)</f>
        <v>0</v>
      </c>
      <c r="AE14" s="155">
        <f ca="1">IF(ISNUMBER(MATCH(DATEVALUE($A14),'recurring1_based on steps'!AE$1:AE$400,0)),AE$2,)</f>
        <v>0</v>
      </c>
      <c r="AF14" s="155">
        <f ca="1">IF(ISNUMBER(MATCH(DATEVALUE($A14),'recurring1_based on steps'!AF$1:AF$400,0)),AF$2,)</f>
        <v>0</v>
      </c>
      <c r="AG14" s="155">
        <f ca="1">IF(ISNUMBER(MATCH(DATEVALUE($A14),'recurring1_based on steps'!AG$1:AG$400,0)),AG$2,)</f>
        <v>0</v>
      </c>
      <c r="AH14" s="155">
        <f ca="1">IF(ISNUMBER(MATCH(DATEVALUE($A14),'recurring1_based on steps'!AH$1:AH$400,0)),AH$2,)</f>
        <v>0</v>
      </c>
      <c r="AI14" s="155">
        <f ca="1">IF(ISNUMBER(MATCH(DATEVALUE($A14),'recurring1_based on steps'!AI$1:AI$400,0)),AI$2,)</f>
        <v>0</v>
      </c>
      <c r="AJ14" s="155">
        <f ca="1">IF(ISNUMBER(MATCH(DATEVALUE($A14),'recurring1_based on steps'!AJ$1:AJ$400,0)),AJ$2,)</f>
        <v>0</v>
      </c>
      <c r="AK14" s="155">
        <f ca="1">IF(ISNUMBER(MATCH(DATEVALUE($A14),'recurring1_based on steps'!AK$1:AK$400,0)),AK$2,)</f>
        <v>0</v>
      </c>
      <c r="AL14" s="155">
        <f ca="1">IF(ISNUMBER(MATCH(DATEVALUE($A14),'recurring1_based on steps'!AL$1:AL$400,0)),AL$2,)</f>
        <v>0</v>
      </c>
      <c r="AM14" s="155">
        <f ca="1">IF(ISNUMBER(MATCH(DATEVALUE($A14),'recurring1_based on steps'!AM$1:AM$400,0)),AM$2,)</f>
        <v>0</v>
      </c>
      <c r="AN14" s="155">
        <f ca="1">IF(ISNUMBER(MATCH(DATEVALUE($A14),'recurring1_based on steps'!AN$1:AN$400,0)),AN$2,)</f>
        <v>0</v>
      </c>
      <c r="AO14" s="155">
        <f ca="1">IF(ISNUMBER(MATCH(DATEVALUE($A14),'recurring1_based on steps'!AO$1:AO$400,0)),AO$2,)</f>
        <v>0</v>
      </c>
      <c r="AP14" s="155">
        <f ca="1">IF(ISNUMBER(MATCH(DATEVALUE($A14),'recurring1_based on steps'!AP$1:AP$400,0)),AP$2,)</f>
        <v>0</v>
      </c>
      <c r="AQ14" s="155">
        <f ca="1">IF(ISNUMBER(MATCH(DATEVALUE($A14),'recurring1_based on steps'!AQ$1:AQ$400,0)),AQ$2,)</f>
        <v>0</v>
      </c>
      <c r="AR14" s="155">
        <f ca="1">IF(ISNUMBER(MATCH(DATEVALUE($A14),'recurring1_based on steps'!AR$1:AR$400,0)),AR$2,)</f>
        <v>0</v>
      </c>
      <c r="AS14" s="155">
        <f ca="1">IF(ISNUMBER(MATCH(DATEVALUE($A14),'recurring1_based on steps'!AS$1:AS$400,0)),AS$2,)</f>
        <v>0</v>
      </c>
      <c r="AT14" s="155">
        <f ca="1">IF(ISNUMBER(MATCH(DATEVALUE($A14),'recurring1_based on steps'!AT$1:AT$400,0)),AT$2,)</f>
        <v>0</v>
      </c>
      <c r="AU14" s="155">
        <f ca="1">IF(ISNUMBER(MATCH(DATEVALUE($A14),'recurring1_based on steps'!AU$1:AU$400,0)),AU$2,)</f>
        <v>0</v>
      </c>
      <c r="AV14" s="155">
        <f ca="1">IF(ISNUMBER(MATCH(DATEVALUE($A14),'recurring1_based on steps'!AV$1:AV$400,0)),AV$2,)</f>
        <v>0</v>
      </c>
      <c r="AW14" s="155">
        <f ca="1">IF(ISNUMBER(MATCH(DATEVALUE($A14),'recurring1_based on steps'!AW$1:AW$400,0)),AW$2,)</f>
        <v>0</v>
      </c>
      <c r="AX14" s="155">
        <f ca="1">IF(ISNUMBER(MATCH(DATEVALUE($A14),'recurring1_based on steps'!AX$1:AX$400,0)),AX$2,)</f>
        <v>0</v>
      </c>
      <c r="AY14" s="155">
        <f ca="1">IF(ISNUMBER(MATCH(DATEVALUE($A14),'recurring1_based on steps'!AY$1:AY$400,0)),AY$2,)</f>
        <v>0</v>
      </c>
    </row>
    <row r="15" spans="1:51" x14ac:dyDescent="0.2">
      <c r="A15" s="18" t="str">
        <f t="shared" ca="1" si="0"/>
        <v>2025-02-13</v>
      </c>
      <c r="B15" s="155">
        <f ca="1">IF(ISNUMBER(MATCH(DATEVALUE($A15),'recurring1_based on steps'!B$1:B$400,0)),B$2,)</f>
        <v>0</v>
      </c>
      <c r="C15" s="155">
        <f ca="1">IF(ISNUMBER(MATCH(DATEVALUE($A15),'recurring1_based on steps'!C$1:C$400,0)),C$2,)</f>
        <v>0</v>
      </c>
      <c r="D15" s="155">
        <f ca="1">IF(ISNUMBER(MATCH(DATEVALUE($A15),'recurring1_based on steps'!D$1:D$400,0)),D$2,)</f>
        <v>0</v>
      </c>
      <c r="E15" s="155">
        <f ca="1">IF(ISNUMBER(MATCH(DATEVALUE($A15),'recurring1_based on steps'!E$1:E$400,0)),E$2,)</f>
        <v>0</v>
      </c>
      <c r="F15" s="155">
        <f ca="1">IF(ISNUMBER(MATCH(DATEVALUE($A15),'recurring1_based on steps'!F$1:F$400,0)),F$2,)</f>
        <v>0</v>
      </c>
      <c r="G15" s="155">
        <f ca="1">IF(ISNUMBER(MATCH(DATEVALUE($A15),'recurring1_based on steps'!G$1:G$400,0)),G$2,)</f>
        <v>0</v>
      </c>
      <c r="H15" s="155">
        <f ca="1">IF(ISNUMBER(MATCH(DATEVALUE($A15),'recurring1_based on steps'!H$1:H$400,0)),H$2,)</f>
        <v>0</v>
      </c>
      <c r="I15" s="155">
        <f ca="1">IF(ISNUMBER(MATCH(DATEVALUE($A15),'recurring1_based on steps'!I$1:I$400,0)),I$2,)</f>
        <v>0</v>
      </c>
      <c r="J15" s="155">
        <f ca="1">IF(ISNUMBER(MATCH(DATEVALUE($A15),'recurring1_based on steps'!J$1:J$400,0)),J$2,)</f>
        <v>0</v>
      </c>
      <c r="K15" s="155">
        <f ca="1">IF(ISNUMBER(MATCH(DATEVALUE($A15),'recurring1_based on steps'!K$1:K$400,0)),K$2,)</f>
        <v>0</v>
      </c>
      <c r="L15" s="155">
        <f ca="1">IF(ISNUMBER(MATCH(DATEVALUE($A15),'recurring1_based on steps'!L$1:L$400,0)),L$2,)</f>
        <v>0</v>
      </c>
      <c r="M15" s="155">
        <f ca="1">IF(ISNUMBER(MATCH(DATEVALUE($A15),'recurring1_based on steps'!M$1:M$400,0)),M$2,)</f>
        <v>0</v>
      </c>
      <c r="N15" s="155">
        <f ca="1">IF(ISNUMBER(MATCH(DATEVALUE($A15),'recurring1_based on steps'!N$1:N$400,0)),N$2,)</f>
        <v>0</v>
      </c>
      <c r="O15" s="155">
        <f ca="1">IF(ISNUMBER(MATCH(DATEVALUE($A15),'recurring1_based on steps'!O$1:O$400,0)),O$2,)</f>
        <v>0</v>
      </c>
      <c r="P15" s="155">
        <f ca="1">IF(ISNUMBER(MATCH(DATEVALUE($A15),'recurring1_based on steps'!P$1:P$400,0)),P$2,)</f>
        <v>0</v>
      </c>
      <c r="Q15" s="155">
        <f ca="1">IF(ISNUMBER(MATCH(DATEVALUE($A15),'recurring1_based on steps'!Q$1:Q$400,0)),Q$2,)</f>
        <v>0</v>
      </c>
      <c r="R15" s="155">
        <f ca="1">IF(ISNUMBER(MATCH(DATEVALUE($A15),'recurring1_based on steps'!R$1:R$400,0)),R$2,)</f>
        <v>0</v>
      </c>
      <c r="S15" s="155">
        <f ca="1">IF(ISNUMBER(MATCH(DATEVALUE($A15),'recurring1_based on steps'!S$1:S$400,0)),S$2,)</f>
        <v>0</v>
      </c>
      <c r="T15" s="155">
        <f ca="1">IF(ISNUMBER(MATCH(DATEVALUE($A15),'recurring1_based on steps'!T$1:T$400,0)),T$2,)</f>
        <v>0</v>
      </c>
      <c r="U15" s="155">
        <f ca="1">IF(ISNUMBER(MATCH(DATEVALUE($A15),'recurring1_based on steps'!U$1:U$400,0)),U$2,)</f>
        <v>0</v>
      </c>
      <c r="V15" s="155">
        <f ca="1">IF(ISNUMBER(MATCH(DATEVALUE($A15),'recurring1_based on steps'!V$1:V$400,0)),V$2,)</f>
        <v>0</v>
      </c>
      <c r="W15" s="155">
        <f ca="1">IF(ISNUMBER(MATCH(DATEVALUE($A15),'recurring1_based on steps'!W$1:W$400,0)),W$2,)</f>
        <v>0</v>
      </c>
      <c r="X15" s="155">
        <f ca="1">IF(ISNUMBER(MATCH(DATEVALUE($A15),'recurring1_based on steps'!X$1:X$400,0)),X$2,)</f>
        <v>0</v>
      </c>
      <c r="Y15" s="155">
        <f ca="1">IF(ISNUMBER(MATCH(DATEVALUE($A15),'recurring1_based on steps'!Y$1:Y$400,0)),Y$2,)</f>
        <v>0</v>
      </c>
      <c r="Z15" s="155">
        <f ca="1">IF(ISNUMBER(MATCH(DATEVALUE($A15),'recurring1_based on steps'!Z$1:Z$400,0)),Z$2,)</f>
        <v>0</v>
      </c>
      <c r="AA15" s="155">
        <f ca="1">IF(ISNUMBER(MATCH(DATEVALUE($A15),'recurring1_based on steps'!AA$1:AA$400,0)),AA$2,)</f>
        <v>0</v>
      </c>
      <c r="AB15" s="155">
        <f ca="1">IF(ISNUMBER(MATCH(DATEVALUE($A15),'recurring1_based on steps'!AB$1:AB$400,0)),AB$2,)</f>
        <v>0</v>
      </c>
      <c r="AC15" s="155">
        <f ca="1">IF(ISNUMBER(MATCH(DATEVALUE($A15),'recurring1_based on steps'!AC$1:AC$400,0)),AC$2,)</f>
        <v>0</v>
      </c>
      <c r="AD15" s="155">
        <f ca="1">IF(ISNUMBER(MATCH(DATEVALUE($A15),'recurring1_based on steps'!AD$1:AD$400,0)),AD$2,)</f>
        <v>0</v>
      </c>
      <c r="AE15" s="155">
        <f ca="1">IF(ISNUMBER(MATCH(DATEVALUE($A15),'recurring1_based on steps'!AE$1:AE$400,0)),AE$2,)</f>
        <v>0</v>
      </c>
      <c r="AF15" s="155">
        <f ca="1">IF(ISNUMBER(MATCH(DATEVALUE($A15),'recurring1_based on steps'!AF$1:AF$400,0)),AF$2,)</f>
        <v>0</v>
      </c>
      <c r="AG15" s="155">
        <f ca="1">IF(ISNUMBER(MATCH(DATEVALUE($A15),'recurring1_based on steps'!AG$1:AG$400,0)),AG$2,)</f>
        <v>0</v>
      </c>
      <c r="AH15" s="155">
        <f ca="1">IF(ISNUMBER(MATCH(DATEVALUE($A15),'recurring1_based on steps'!AH$1:AH$400,0)),AH$2,)</f>
        <v>0</v>
      </c>
      <c r="AI15" s="155">
        <f ca="1">IF(ISNUMBER(MATCH(DATEVALUE($A15),'recurring1_based on steps'!AI$1:AI$400,0)),AI$2,)</f>
        <v>0</v>
      </c>
      <c r="AJ15" s="155">
        <f ca="1">IF(ISNUMBER(MATCH(DATEVALUE($A15),'recurring1_based on steps'!AJ$1:AJ$400,0)),AJ$2,)</f>
        <v>0</v>
      </c>
      <c r="AK15" s="155">
        <f ca="1">IF(ISNUMBER(MATCH(DATEVALUE($A15),'recurring1_based on steps'!AK$1:AK$400,0)),AK$2,)</f>
        <v>0</v>
      </c>
      <c r="AL15" s="155">
        <f ca="1">IF(ISNUMBER(MATCH(DATEVALUE($A15),'recurring1_based on steps'!AL$1:AL$400,0)),AL$2,)</f>
        <v>0</v>
      </c>
      <c r="AM15" s="155">
        <f ca="1">IF(ISNUMBER(MATCH(DATEVALUE($A15),'recurring1_based on steps'!AM$1:AM$400,0)),AM$2,)</f>
        <v>0</v>
      </c>
      <c r="AN15" s="155">
        <f ca="1">IF(ISNUMBER(MATCH(DATEVALUE($A15),'recurring1_based on steps'!AN$1:AN$400,0)),AN$2,)</f>
        <v>0</v>
      </c>
      <c r="AO15" s="155">
        <f ca="1">IF(ISNUMBER(MATCH(DATEVALUE($A15),'recurring1_based on steps'!AO$1:AO$400,0)),AO$2,)</f>
        <v>0</v>
      </c>
      <c r="AP15" s="155">
        <f ca="1">IF(ISNUMBER(MATCH(DATEVALUE($A15),'recurring1_based on steps'!AP$1:AP$400,0)),AP$2,)</f>
        <v>0</v>
      </c>
      <c r="AQ15" s="155">
        <f ca="1">IF(ISNUMBER(MATCH(DATEVALUE($A15),'recurring1_based on steps'!AQ$1:AQ$400,0)),AQ$2,)</f>
        <v>0</v>
      </c>
      <c r="AR15" s="155">
        <f ca="1">IF(ISNUMBER(MATCH(DATEVALUE($A15),'recurring1_based on steps'!AR$1:AR$400,0)),AR$2,)</f>
        <v>0</v>
      </c>
      <c r="AS15" s="155">
        <f ca="1">IF(ISNUMBER(MATCH(DATEVALUE($A15),'recurring1_based on steps'!AS$1:AS$400,0)),AS$2,)</f>
        <v>0</v>
      </c>
      <c r="AT15" s="155">
        <f ca="1">IF(ISNUMBER(MATCH(DATEVALUE($A15),'recurring1_based on steps'!AT$1:AT$400,0)),AT$2,)</f>
        <v>0</v>
      </c>
      <c r="AU15" s="155">
        <f ca="1">IF(ISNUMBER(MATCH(DATEVALUE($A15),'recurring1_based on steps'!AU$1:AU$400,0)),AU$2,)</f>
        <v>0</v>
      </c>
      <c r="AV15" s="155">
        <f ca="1">IF(ISNUMBER(MATCH(DATEVALUE($A15),'recurring1_based on steps'!AV$1:AV$400,0)),AV$2,)</f>
        <v>0</v>
      </c>
      <c r="AW15" s="155">
        <f ca="1">IF(ISNUMBER(MATCH(DATEVALUE($A15),'recurring1_based on steps'!AW$1:AW$400,0)),AW$2,)</f>
        <v>0</v>
      </c>
      <c r="AX15" s="155">
        <f ca="1">IF(ISNUMBER(MATCH(DATEVALUE($A15),'recurring1_based on steps'!AX$1:AX$400,0)),AX$2,)</f>
        <v>0</v>
      </c>
      <c r="AY15" s="155">
        <f ca="1">IF(ISNUMBER(MATCH(DATEVALUE($A15),'recurring1_based on steps'!AY$1:AY$400,0)),AY$2,)</f>
        <v>0</v>
      </c>
    </row>
    <row r="16" spans="1:51" x14ac:dyDescent="0.2">
      <c r="A16" s="18" t="str">
        <f t="shared" ca="1" si="0"/>
        <v>2025-02-14</v>
      </c>
      <c r="B16" s="155">
        <f ca="1">IF(ISNUMBER(MATCH(DATEVALUE($A16),'recurring1_based on steps'!B$1:B$400,0)),B$2,)</f>
        <v>0</v>
      </c>
      <c r="C16" s="155">
        <f ca="1">IF(ISNUMBER(MATCH(DATEVALUE($A16),'recurring1_based on steps'!C$1:C$400,0)),C$2,)</f>
        <v>0</v>
      </c>
      <c r="D16" s="155">
        <f ca="1">IF(ISNUMBER(MATCH(DATEVALUE($A16),'recurring1_based on steps'!D$1:D$400,0)),D$2,)</f>
        <v>0</v>
      </c>
      <c r="E16" s="155">
        <f ca="1">IF(ISNUMBER(MATCH(DATEVALUE($A16),'recurring1_based on steps'!E$1:E$400,0)),E$2,)</f>
        <v>0</v>
      </c>
      <c r="F16" s="155">
        <f ca="1">IF(ISNUMBER(MATCH(DATEVALUE($A16),'recurring1_based on steps'!F$1:F$400,0)),F$2,)</f>
        <v>0</v>
      </c>
      <c r="G16" s="155">
        <f ca="1">IF(ISNUMBER(MATCH(DATEVALUE($A16),'recurring1_based on steps'!G$1:G$400,0)),G$2,)</f>
        <v>0</v>
      </c>
      <c r="H16" s="155">
        <f ca="1">IF(ISNUMBER(MATCH(DATEVALUE($A16),'recurring1_based on steps'!H$1:H$400,0)),H$2,)</f>
        <v>0</v>
      </c>
      <c r="I16" s="155">
        <f ca="1">IF(ISNUMBER(MATCH(DATEVALUE($A16),'recurring1_based on steps'!I$1:I$400,0)),I$2,)</f>
        <v>0</v>
      </c>
      <c r="J16" s="155">
        <f ca="1">IF(ISNUMBER(MATCH(DATEVALUE($A16),'recurring1_based on steps'!J$1:J$400,0)),J$2,)</f>
        <v>0</v>
      </c>
      <c r="K16" s="155">
        <f ca="1">IF(ISNUMBER(MATCH(DATEVALUE($A16),'recurring1_based on steps'!K$1:K$400,0)),K$2,)</f>
        <v>0</v>
      </c>
      <c r="L16" s="155">
        <f ca="1">IF(ISNUMBER(MATCH(DATEVALUE($A16),'recurring1_based on steps'!L$1:L$400,0)),L$2,)</f>
        <v>0</v>
      </c>
      <c r="M16" s="155">
        <f ca="1">IF(ISNUMBER(MATCH(DATEVALUE($A16),'recurring1_based on steps'!M$1:M$400,0)),M$2,)</f>
        <v>0</v>
      </c>
      <c r="N16" s="155">
        <f ca="1">IF(ISNUMBER(MATCH(DATEVALUE($A16),'recurring1_based on steps'!N$1:N$400,0)),N$2,)</f>
        <v>0</v>
      </c>
      <c r="O16" s="155">
        <f ca="1">IF(ISNUMBER(MATCH(DATEVALUE($A16),'recurring1_based on steps'!O$1:O$400,0)),O$2,)</f>
        <v>0</v>
      </c>
      <c r="P16" s="155">
        <f ca="1">IF(ISNUMBER(MATCH(DATEVALUE($A16),'recurring1_based on steps'!P$1:P$400,0)),P$2,)</f>
        <v>0</v>
      </c>
      <c r="Q16" s="155">
        <f ca="1">IF(ISNUMBER(MATCH(DATEVALUE($A16),'recurring1_based on steps'!Q$1:Q$400,0)),Q$2,)</f>
        <v>0</v>
      </c>
      <c r="R16" s="155">
        <f ca="1">IF(ISNUMBER(MATCH(DATEVALUE($A16),'recurring1_based on steps'!R$1:R$400,0)),R$2,)</f>
        <v>0</v>
      </c>
      <c r="S16" s="155">
        <f ca="1">IF(ISNUMBER(MATCH(DATEVALUE($A16),'recurring1_based on steps'!S$1:S$400,0)),S$2,)</f>
        <v>0</v>
      </c>
      <c r="T16" s="155">
        <f ca="1">IF(ISNUMBER(MATCH(DATEVALUE($A16),'recurring1_based on steps'!T$1:T$400,0)),T$2,)</f>
        <v>0</v>
      </c>
      <c r="U16" s="155">
        <f ca="1">IF(ISNUMBER(MATCH(DATEVALUE($A16),'recurring1_based on steps'!U$1:U$400,0)),U$2,)</f>
        <v>0</v>
      </c>
      <c r="V16" s="155">
        <f ca="1">IF(ISNUMBER(MATCH(DATEVALUE($A16),'recurring1_based on steps'!V$1:V$400,0)),V$2,)</f>
        <v>0</v>
      </c>
      <c r="W16" s="155">
        <f ca="1">IF(ISNUMBER(MATCH(DATEVALUE($A16),'recurring1_based on steps'!W$1:W$400,0)),W$2,)</f>
        <v>0</v>
      </c>
      <c r="X16" s="155">
        <f ca="1">IF(ISNUMBER(MATCH(DATEVALUE($A16),'recurring1_based on steps'!X$1:X$400,0)),X$2,)</f>
        <v>0</v>
      </c>
      <c r="Y16" s="155">
        <f ca="1">IF(ISNUMBER(MATCH(DATEVALUE($A16),'recurring1_based on steps'!Y$1:Y$400,0)),Y$2,)</f>
        <v>0</v>
      </c>
      <c r="Z16" s="155">
        <f ca="1">IF(ISNUMBER(MATCH(DATEVALUE($A16),'recurring1_based on steps'!Z$1:Z$400,0)),Z$2,)</f>
        <v>0</v>
      </c>
      <c r="AA16" s="155">
        <f ca="1">IF(ISNUMBER(MATCH(DATEVALUE($A16),'recurring1_based on steps'!AA$1:AA$400,0)),AA$2,)</f>
        <v>0</v>
      </c>
      <c r="AB16" s="155">
        <f ca="1">IF(ISNUMBER(MATCH(DATEVALUE($A16),'recurring1_based on steps'!AB$1:AB$400,0)),AB$2,)</f>
        <v>0</v>
      </c>
      <c r="AC16" s="155">
        <f ca="1">IF(ISNUMBER(MATCH(DATEVALUE($A16),'recurring1_based on steps'!AC$1:AC$400,0)),AC$2,)</f>
        <v>0</v>
      </c>
      <c r="AD16" s="155">
        <f ca="1">IF(ISNUMBER(MATCH(DATEVALUE($A16),'recurring1_based on steps'!AD$1:AD$400,0)),AD$2,)</f>
        <v>0</v>
      </c>
      <c r="AE16" s="155">
        <f ca="1">IF(ISNUMBER(MATCH(DATEVALUE($A16),'recurring1_based on steps'!AE$1:AE$400,0)),AE$2,)</f>
        <v>0</v>
      </c>
      <c r="AF16" s="155">
        <f ca="1">IF(ISNUMBER(MATCH(DATEVALUE($A16),'recurring1_based on steps'!AF$1:AF$400,0)),AF$2,)</f>
        <v>0</v>
      </c>
      <c r="AG16" s="155">
        <f ca="1">IF(ISNUMBER(MATCH(DATEVALUE($A16),'recurring1_based on steps'!AG$1:AG$400,0)),AG$2,)</f>
        <v>0</v>
      </c>
      <c r="AH16" s="155">
        <f ca="1">IF(ISNUMBER(MATCH(DATEVALUE($A16),'recurring1_based on steps'!AH$1:AH$400,0)),AH$2,)</f>
        <v>0</v>
      </c>
      <c r="AI16" s="155">
        <f ca="1">IF(ISNUMBER(MATCH(DATEVALUE($A16),'recurring1_based on steps'!AI$1:AI$400,0)),AI$2,)</f>
        <v>0</v>
      </c>
      <c r="AJ16" s="155">
        <f ca="1">IF(ISNUMBER(MATCH(DATEVALUE($A16),'recurring1_based on steps'!AJ$1:AJ$400,0)),AJ$2,)</f>
        <v>0</v>
      </c>
      <c r="AK16" s="155">
        <f ca="1">IF(ISNUMBER(MATCH(DATEVALUE($A16),'recurring1_based on steps'!AK$1:AK$400,0)),AK$2,)</f>
        <v>0</v>
      </c>
      <c r="AL16" s="155">
        <f ca="1">IF(ISNUMBER(MATCH(DATEVALUE($A16),'recurring1_based on steps'!AL$1:AL$400,0)),AL$2,)</f>
        <v>0</v>
      </c>
      <c r="AM16" s="155">
        <f ca="1">IF(ISNUMBER(MATCH(DATEVALUE($A16),'recurring1_based on steps'!AM$1:AM$400,0)),AM$2,)</f>
        <v>0</v>
      </c>
      <c r="AN16" s="155">
        <f ca="1">IF(ISNUMBER(MATCH(DATEVALUE($A16),'recurring1_based on steps'!AN$1:AN$400,0)),AN$2,)</f>
        <v>0</v>
      </c>
      <c r="AO16" s="155">
        <f ca="1">IF(ISNUMBER(MATCH(DATEVALUE($A16),'recurring1_based on steps'!AO$1:AO$400,0)),AO$2,)</f>
        <v>0</v>
      </c>
      <c r="AP16" s="155">
        <f ca="1">IF(ISNUMBER(MATCH(DATEVALUE($A16),'recurring1_based on steps'!AP$1:AP$400,0)),AP$2,)</f>
        <v>0</v>
      </c>
      <c r="AQ16" s="155">
        <f ca="1">IF(ISNUMBER(MATCH(DATEVALUE($A16),'recurring1_based on steps'!AQ$1:AQ$400,0)),AQ$2,)</f>
        <v>0</v>
      </c>
      <c r="AR16" s="155">
        <f ca="1">IF(ISNUMBER(MATCH(DATEVALUE($A16),'recurring1_based on steps'!AR$1:AR$400,0)),AR$2,)</f>
        <v>0</v>
      </c>
      <c r="AS16" s="155">
        <f ca="1">IF(ISNUMBER(MATCH(DATEVALUE($A16),'recurring1_based on steps'!AS$1:AS$400,0)),AS$2,)</f>
        <v>0</v>
      </c>
      <c r="AT16" s="155">
        <f ca="1">IF(ISNUMBER(MATCH(DATEVALUE($A16),'recurring1_based on steps'!AT$1:AT$400,0)),AT$2,)</f>
        <v>0</v>
      </c>
      <c r="AU16" s="155">
        <f ca="1">IF(ISNUMBER(MATCH(DATEVALUE($A16),'recurring1_based on steps'!AU$1:AU$400,0)),AU$2,)</f>
        <v>0</v>
      </c>
      <c r="AV16" s="155">
        <f ca="1">IF(ISNUMBER(MATCH(DATEVALUE($A16),'recurring1_based on steps'!AV$1:AV$400,0)),AV$2,)</f>
        <v>0</v>
      </c>
      <c r="AW16" s="155">
        <f ca="1">IF(ISNUMBER(MATCH(DATEVALUE($A16),'recurring1_based on steps'!AW$1:AW$400,0)),AW$2,)</f>
        <v>0</v>
      </c>
      <c r="AX16" s="155">
        <f ca="1">IF(ISNUMBER(MATCH(DATEVALUE($A16),'recurring1_based on steps'!AX$1:AX$400,0)),AX$2,)</f>
        <v>0</v>
      </c>
      <c r="AY16" s="155">
        <f ca="1">IF(ISNUMBER(MATCH(DATEVALUE($A16),'recurring1_based on steps'!AY$1:AY$400,0)),AY$2,)</f>
        <v>0</v>
      </c>
    </row>
    <row r="17" spans="1:51" x14ac:dyDescent="0.2">
      <c r="A17" s="18" t="str">
        <f t="shared" ca="1" si="0"/>
        <v>2025-02-15</v>
      </c>
      <c r="B17" s="155">
        <f ca="1">IF(ISNUMBER(MATCH(DATEVALUE($A17),'recurring1_based on steps'!B$1:B$400,0)),B$2,)</f>
        <v>0</v>
      </c>
      <c r="C17" s="155">
        <f ca="1">IF(ISNUMBER(MATCH(DATEVALUE($A17),'recurring1_based on steps'!C$1:C$400,0)),C$2,)</f>
        <v>0</v>
      </c>
      <c r="D17" s="155">
        <f ca="1">IF(ISNUMBER(MATCH(DATEVALUE($A17),'recurring1_based on steps'!D$1:D$400,0)),D$2,)</f>
        <v>0</v>
      </c>
      <c r="E17" s="155">
        <f ca="1">IF(ISNUMBER(MATCH(DATEVALUE($A17),'recurring1_based on steps'!E$1:E$400,0)),E$2,)</f>
        <v>0</v>
      </c>
      <c r="F17" s="155">
        <f ca="1">IF(ISNUMBER(MATCH(DATEVALUE($A17),'recurring1_based on steps'!F$1:F$400,0)),F$2,)</f>
        <v>0</v>
      </c>
      <c r="G17" s="155">
        <f ca="1">IF(ISNUMBER(MATCH(DATEVALUE($A17),'recurring1_based on steps'!G$1:G$400,0)),G$2,)</f>
        <v>0</v>
      </c>
      <c r="H17" s="155">
        <f ca="1">IF(ISNUMBER(MATCH(DATEVALUE($A17),'recurring1_based on steps'!H$1:H$400,0)),H$2,)</f>
        <v>0</v>
      </c>
      <c r="I17" s="155">
        <f ca="1">IF(ISNUMBER(MATCH(DATEVALUE($A17),'recurring1_based on steps'!I$1:I$400,0)),I$2,)</f>
        <v>0</v>
      </c>
      <c r="J17" s="155">
        <f ca="1">IF(ISNUMBER(MATCH(DATEVALUE($A17),'recurring1_based on steps'!J$1:J$400,0)),J$2,)</f>
        <v>0</v>
      </c>
      <c r="K17" s="155">
        <f ca="1">IF(ISNUMBER(MATCH(DATEVALUE($A17),'recurring1_based on steps'!K$1:K$400,0)),K$2,)</f>
        <v>0</v>
      </c>
      <c r="L17" s="155">
        <f ca="1">IF(ISNUMBER(MATCH(DATEVALUE($A17),'recurring1_based on steps'!L$1:L$400,0)),L$2,)</f>
        <v>0</v>
      </c>
      <c r="M17" s="155">
        <f ca="1">IF(ISNUMBER(MATCH(DATEVALUE($A17),'recurring1_based on steps'!M$1:M$400,0)),M$2,)</f>
        <v>0</v>
      </c>
      <c r="N17" s="155">
        <f ca="1">IF(ISNUMBER(MATCH(DATEVALUE($A17),'recurring1_based on steps'!N$1:N$400,0)),N$2,)</f>
        <v>0</v>
      </c>
      <c r="O17" s="155">
        <f ca="1">IF(ISNUMBER(MATCH(DATEVALUE($A17),'recurring1_based on steps'!O$1:O$400,0)),O$2,)</f>
        <v>0</v>
      </c>
      <c r="P17" s="155">
        <f ca="1">IF(ISNUMBER(MATCH(DATEVALUE($A17),'recurring1_based on steps'!P$1:P$400,0)),P$2,)</f>
        <v>0</v>
      </c>
      <c r="Q17" s="155">
        <f ca="1">IF(ISNUMBER(MATCH(DATEVALUE($A17),'recurring1_based on steps'!Q$1:Q$400,0)),Q$2,)</f>
        <v>100</v>
      </c>
      <c r="R17" s="155">
        <f ca="1">IF(ISNUMBER(MATCH(DATEVALUE($A17),'recurring1_based on steps'!R$1:R$400,0)),R$2,)</f>
        <v>100</v>
      </c>
      <c r="S17" s="155">
        <f ca="1">IF(ISNUMBER(MATCH(DATEVALUE($A17),'recurring1_based on steps'!S$1:S$400,0)),S$2,)</f>
        <v>0</v>
      </c>
      <c r="T17" s="155">
        <f ca="1">IF(ISNUMBER(MATCH(DATEVALUE($A17),'recurring1_based on steps'!T$1:T$400,0)),T$2,)</f>
        <v>0</v>
      </c>
      <c r="U17" s="155">
        <f ca="1">IF(ISNUMBER(MATCH(DATEVALUE($A17),'recurring1_based on steps'!U$1:U$400,0)),U$2,)</f>
        <v>0</v>
      </c>
      <c r="V17" s="155">
        <f ca="1">IF(ISNUMBER(MATCH(DATEVALUE($A17),'recurring1_based on steps'!V$1:V$400,0)),V$2,)</f>
        <v>0</v>
      </c>
      <c r="W17" s="155">
        <f ca="1">IF(ISNUMBER(MATCH(DATEVALUE($A17),'recurring1_based on steps'!W$1:W$400,0)),W$2,)</f>
        <v>0</v>
      </c>
      <c r="X17" s="155">
        <f ca="1">IF(ISNUMBER(MATCH(DATEVALUE($A17),'recurring1_based on steps'!X$1:X$400,0)),X$2,)</f>
        <v>0</v>
      </c>
      <c r="Y17" s="155">
        <f ca="1">IF(ISNUMBER(MATCH(DATEVALUE($A17),'recurring1_based on steps'!Y$1:Y$400,0)),Y$2,)</f>
        <v>0</v>
      </c>
      <c r="Z17" s="155">
        <f ca="1">IF(ISNUMBER(MATCH(DATEVALUE($A17),'recurring1_based on steps'!Z$1:Z$400,0)),Z$2,)</f>
        <v>0</v>
      </c>
      <c r="AA17" s="155">
        <f ca="1">IF(ISNUMBER(MATCH(DATEVALUE($A17),'recurring1_based on steps'!AA$1:AA$400,0)),AA$2,)</f>
        <v>0</v>
      </c>
      <c r="AB17" s="155">
        <f ca="1">IF(ISNUMBER(MATCH(DATEVALUE($A17),'recurring1_based on steps'!AB$1:AB$400,0)),AB$2,)</f>
        <v>0</v>
      </c>
      <c r="AC17" s="155">
        <f ca="1">IF(ISNUMBER(MATCH(DATEVALUE($A17),'recurring1_based on steps'!AC$1:AC$400,0)),AC$2,)</f>
        <v>0</v>
      </c>
      <c r="AD17" s="155">
        <f ca="1">IF(ISNUMBER(MATCH(DATEVALUE($A17),'recurring1_based on steps'!AD$1:AD$400,0)),AD$2,)</f>
        <v>0</v>
      </c>
      <c r="AE17" s="155">
        <f ca="1">IF(ISNUMBER(MATCH(DATEVALUE($A17),'recurring1_based on steps'!AE$1:AE$400,0)),AE$2,)</f>
        <v>0</v>
      </c>
      <c r="AF17" s="155">
        <f ca="1">IF(ISNUMBER(MATCH(DATEVALUE($A17),'recurring1_based on steps'!AF$1:AF$400,0)),AF$2,)</f>
        <v>0</v>
      </c>
      <c r="AG17" s="155">
        <f ca="1">IF(ISNUMBER(MATCH(DATEVALUE($A17),'recurring1_based on steps'!AG$1:AG$400,0)),AG$2,)</f>
        <v>0</v>
      </c>
      <c r="AH17" s="155">
        <f ca="1">IF(ISNUMBER(MATCH(DATEVALUE($A17),'recurring1_based on steps'!AH$1:AH$400,0)),AH$2,)</f>
        <v>0</v>
      </c>
      <c r="AI17" s="155">
        <f ca="1">IF(ISNUMBER(MATCH(DATEVALUE($A17),'recurring1_based on steps'!AI$1:AI$400,0)),AI$2,)</f>
        <v>0</v>
      </c>
      <c r="AJ17" s="155">
        <f ca="1">IF(ISNUMBER(MATCH(DATEVALUE($A17),'recurring1_based on steps'!AJ$1:AJ$400,0)),AJ$2,)</f>
        <v>0</v>
      </c>
      <c r="AK17" s="155">
        <f ca="1">IF(ISNUMBER(MATCH(DATEVALUE($A17),'recurring1_based on steps'!AK$1:AK$400,0)),AK$2,)</f>
        <v>0</v>
      </c>
      <c r="AL17" s="155">
        <f ca="1">IF(ISNUMBER(MATCH(DATEVALUE($A17),'recurring1_based on steps'!AL$1:AL$400,0)),AL$2,)</f>
        <v>0</v>
      </c>
      <c r="AM17" s="155">
        <f ca="1">IF(ISNUMBER(MATCH(DATEVALUE($A17),'recurring1_based on steps'!AM$1:AM$400,0)),AM$2,)</f>
        <v>0</v>
      </c>
      <c r="AN17" s="155">
        <f ca="1">IF(ISNUMBER(MATCH(DATEVALUE($A17),'recurring1_based on steps'!AN$1:AN$400,0)),AN$2,)</f>
        <v>0</v>
      </c>
      <c r="AO17" s="155">
        <f ca="1">IF(ISNUMBER(MATCH(DATEVALUE($A17),'recurring1_based on steps'!AO$1:AO$400,0)),AO$2,)</f>
        <v>0</v>
      </c>
      <c r="AP17" s="155">
        <f ca="1">IF(ISNUMBER(MATCH(DATEVALUE($A17),'recurring1_based on steps'!AP$1:AP$400,0)),AP$2,)</f>
        <v>0</v>
      </c>
      <c r="AQ17" s="155">
        <f ca="1">IF(ISNUMBER(MATCH(DATEVALUE($A17),'recurring1_based on steps'!AQ$1:AQ$400,0)),AQ$2,)</f>
        <v>0</v>
      </c>
      <c r="AR17" s="155">
        <f ca="1">IF(ISNUMBER(MATCH(DATEVALUE($A17),'recurring1_based on steps'!AR$1:AR$400,0)),AR$2,)</f>
        <v>0</v>
      </c>
      <c r="AS17" s="155">
        <f ca="1">IF(ISNUMBER(MATCH(DATEVALUE($A17),'recurring1_based on steps'!AS$1:AS$400,0)),AS$2,)</f>
        <v>0</v>
      </c>
      <c r="AT17" s="155">
        <f ca="1">IF(ISNUMBER(MATCH(DATEVALUE($A17),'recurring1_based on steps'!AT$1:AT$400,0)),AT$2,)</f>
        <v>0</v>
      </c>
      <c r="AU17" s="155">
        <f ca="1">IF(ISNUMBER(MATCH(DATEVALUE($A17),'recurring1_based on steps'!AU$1:AU$400,0)),AU$2,)</f>
        <v>0</v>
      </c>
      <c r="AV17" s="155">
        <f ca="1">IF(ISNUMBER(MATCH(DATEVALUE($A17),'recurring1_based on steps'!AV$1:AV$400,0)),AV$2,)</f>
        <v>0</v>
      </c>
      <c r="AW17" s="155">
        <f ca="1">IF(ISNUMBER(MATCH(DATEVALUE($A17),'recurring1_based on steps'!AW$1:AW$400,0)),AW$2,)</f>
        <v>0</v>
      </c>
      <c r="AX17" s="155">
        <f ca="1">IF(ISNUMBER(MATCH(DATEVALUE($A17),'recurring1_based on steps'!AX$1:AX$400,0)),AX$2,)</f>
        <v>0</v>
      </c>
      <c r="AY17" s="155">
        <f ca="1">IF(ISNUMBER(MATCH(DATEVALUE($A17),'recurring1_based on steps'!AY$1:AY$400,0)),AY$2,)</f>
        <v>0</v>
      </c>
    </row>
    <row r="18" spans="1:51" x14ac:dyDescent="0.2">
      <c r="A18" s="18" t="str">
        <f t="shared" ca="1" si="0"/>
        <v>2025-02-16</v>
      </c>
      <c r="B18" s="155">
        <f ca="1">IF(ISNUMBER(MATCH(DATEVALUE($A18),'recurring1_based on steps'!B$1:B$400,0)),B$2,)</f>
        <v>0</v>
      </c>
      <c r="C18" s="155">
        <f ca="1">IF(ISNUMBER(MATCH(DATEVALUE($A18),'recurring1_based on steps'!C$1:C$400,0)),C$2,)</f>
        <v>0</v>
      </c>
      <c r="D18" s="155">
        <f ca="1">IF(ISNUMBER(MATCH(DATEVALUE($A18),'recurring1_based on steps'!D$1:D$400,0)),D$2,)</f>
        <v>0</v>
      </c>
      <c r="E18" s="155">
        <f ca="1">IF(ISNUMBER(MATCH(DATEVALUE($A18),'recurring1_based on steps'!E$1:E$400,0)),E$2,)</f>
        <v>0</v>
      </c>
      <c r="F18" s="155">
        <f ca="1">IF(ISNUMBER(MATCH(DATEVALUE($A18),'recurring1_based on steps'!F$1:F$400,0)),F$2,)</f>
        <v>0</v>
      </c>
      <c r="G18" s="155">
        <f ca="1">IF(ISNUMBER(MATCH(DATEVALUE($A18),'recurring1_based on steps'!G$1:G$400,0)),G$2,)</f>
        <v>0</v>
      </c>
      <c r="H18" s="155">
        <f ca="1">IF(ISNUMBER(MATCH(DATEVALUE($A18),'recurring1_based on steps'!H$1:H$400,0)),H$2,)</f>
        <v>0</v>
      </c>
      <c r="I18" s="155">
        <f ca="1">IF(ISNUMBER(MATCH(DATEVALUE($A18),'recurring1_based on steps'!I$1:I$400,0)),I$2,)</f>
        <v>0</v>
      </c>
      <c r="J18" s="155">
        <f ca="1">IF(ISNUMBER(MATCH(DATEVALUE($A18),'recurring1_based on steps'!J$1:J$400,0)),J$2,)</f>
        <v>0</v>
      </c>
      <c r="K18" s="155">
        <f ca="1">IF(ISNUMBER(MATCH(DATEVALUE($A18),'recurring1_based on steps'!K$1:K$400,0)),K$2,)</f>
        <v>50</v>
      </c>
      <c r="L18" s="155">
        <f ca="1">IF(ISNUMBER(MATCH(DATEVALUE($A18),'recurring1_based on steps'!L$1:L$400,0)),L$2,)</f>
        <v>0</v>
      </c>
      <c r="M18" s="155">
        <f ca="1">IF(ISNUMBER(MATCH(DATEVALUE($A18),'recurring1_based on steps'!M$1:M$400,0)),M$2,)</f>
        <v>0</v>
      </c>
      <c r="N18" s="155">
        <f ca="1">IF(ISNUMBER(MATCH(DATEVALUE($A18),'recurring1_based on steps'!N$1:N$400,0)),N$2,)</f>
        <v>0</v>
      </c>
      <c r="O18" s="155">
        <f ca="1">IF(ISNUMBER(MATCH(DATEVALUE($A18),'recurring1_based on steps'!O$1:O$400,0)),O$2,)</f>
        <v>0</v>
      </c>
      <c r="P18" s="155">
        <f ca="1">IF(ISNUMBER(MATCH(DATEVALUE($A18),'recurring1_based on steps'!P$1:P$400,0)),P$2,)</f>
        <v>0</v>
      </c>
      <c r="Q18" s="155">
        <f ca="1">IF(ISNUMBER(MATCH(DATEVALUE($A18),'recurring1_based on steps'!Q$1:Q$400,0)),Q$2,)</f>
        <v>0</v>
      </c>
      <c r="R18" s="155">
        <f ca="1">IF(ISNUMBER(MATCH(DATEVALUE($A18),'recurring1_based on steps'!R$1:R$400,0)),R$2,)</f>
        <v>0</v>
      </c>
      <c r="S18" s="155">
        <f ca="1">IF(ISNUMBER(MATCH(DATEVALUE($A18),'recurring1_based on steps'!S$1:S$400,0)),S$2,)</f>
        <v>100</v>
      </c>
      <c r="T18" s="155">
        <f ca="1">IF(ISNUMBER(MATCH(DATEVALUE($A18),'recurring1_based on steps'!T$1:T$400,0)),T$2,)</f>
        <v>0</v>
      </c>
      <c r="U18" s="155">
        <f ca="1">IF(ISNUMBER(MATCH(DATEVALUE($A18),'recurring1_based on steps'!U$1:U$400,0)),U$2,)</f>
        <v>0</v>
      </c>
      <c r="V18" s="155">
        <f ca="1">IF(ISNUMBER(MATCH(DATEVALUE($A18),'recurring1_based on steps'!V$1:V$400,0)),V$2,)</f>
        <v>0</v>
      </c>
      <c r="W18" s="155">
        <f ca="1">IF(ISNUMBER(MATCH(DATEVALUE($A18),'recurring1_based on steps'!W$1:W$400,0)),W$2,)</f>
        <v>0</v>
      </c>
      <c r="X18" s="155">
        <f ca="1">IF(ISNUMBER(MATCH(DATEVALUE($A18),'recurring1_based on steps'!X$1:X$400,0)),X$2,)</f>
        <v>0</v>
      </c>
      <c r="Y18" s="155">
        <f ca="1">IF(ISNUMBER(MATCH(DATEVALUE($A18),'recurring1_based on steps'!Y$1:Y$400,0)),Y$2,)</f>
        <v>0</v>
      </c>
      <c r="Z18" s="155">
        <f ca="1">IF(ISNUMBER(MATCH(DATEVALUE($A18),'recurring1_based on steps'!Z$1:Z$400,0)),Z$2,)</f>
        <v>0</v>
      </c>
      <c r="AA18" s="155">
        <f ca="1">IF(ISNUMBER(MATCH(DATEVALUE($A18),'recurring1_based on steps'!AA$1:AA$400,0)),AA$2,)</f>
        <v>0</v>
      </c>
      <c r="AB18" s="155">
        <f ca="1">IF(ISNUMBER(MATCH(DATEVALUE($A18),'recurring1_based on steps'!AB$1:AB$400,0)),AB$2,)</f>
        <v>0</v>
      </c>
      <c r="AC18" s="155">
        <f ca="1">IF(ISNUMBER(MATCH(DATEVALUE($A18),'recurring1_based on steps'!AC$1:AC$400,0)),AC$2,)</f>
        <v>0</v>
      </c>
      <c r="AD18" s="155">
        <f ca="1">IF(ISNUMBER(MATCH(DATEVALUE($A18),'recurring1_based on steps'!AD$1:AD$400,0)),AD$2,)</f>
        <v>0</v>
      </c>
      <c r="AE18" s="155">
        <f ca="1">IF(ISNUMBER(MATCH(DATEVALUE($A18),'recurring1_based on steps'!AE$1:AE$400,0)),AE$2,)</f>
        <v>0</v>
      </c>
      <c r="AF18" s="155">
        <f ca="1">IF(ISNUMBER(MATCH(DATEVALUE($A18),'recurring1_based on steps'!AF$1:AF$400,0)),AF$2,)</f>
        <v>0</v>
      </c>
      <c r="AG18" s="155">
        <f ca="1">IF(ISNUMBER(MATCH(DATEVALUE($A18),'recurring1_based on steps'!AG$1:AG$400,0)),AG$2,)</f>
        <v>0</v>
      </c>
      <c r="AH18" s="155">
        <f ca="1">IF(ISNUMBER(MATCH(DATEVALUE($A18),'recurring1_based on steps'!AH$1:AH$400,0)),AH$2,)</f>
        <v>0</v>
      </c>
      <c r="AI18" s="155">
        <f ca="1">IF(ISNUMBER(MATCH(DATEVALUE($A18),'recurring1_based on steps'!AI$1:AI$400,0)),AI$2,)</f>
        <v>0</v>
      </c>
      <c r="AJ18" s="155">
        <f ca="1">IF(ISNUMBER(MATCH(DATEVALUE($A18),'recurring1_based on steps'!AJ$1:AJ$400,0)),AJ$2,)</f>
        <v>0</v>
      </c>
      <c r="AK18" s="155">
        <f ca="1">IF(ISNUMBER(MATCH(DATEVALUE($A18),'recurring1_based on steps'!AK$1:AK$400,0)),AK$2,)</f>
        <v>0</v>
      </c>
      <c r="AL18" s="155">
        <f ca="1">IF(ISNUMBER(MATCH(DATEVALUE($A18),'recurring1_based on steps'!AL$1:AL$400,0)),AL$2,)</f>
        <v>0</v>
      </c>
      <c r="AM18" s="155">
        <f ca="1">IF(ISNUMBER(MATCH(DATEVALUE($A18),'recurring1_based on steps'!AM$1:AM$400,0)),AM$2,)</f>
        <v>0</v>
      </c>
      <c r="AN18" s="155">
        <f ca="1">IF(ISNUMBER(MATCH(DATEVALUE($A18),'recurring1_based on steps'!AN$1:AN$400,0)),AN$2,)</f>
        <v>0</v>
      </c>
      <c r="AO18" s="155">
        <f ca="1">IF(ISNUMBER(MATCH(DATEVALUE($A18),'recurring1_based on steps'!AO$1:AO$400,0)),AO$2,)</f>
        <v>0</v>
      </c>
      <c r="AP18" s="155">
        <f ca="1">IF(ISNUMBER(MATCH(DATEVALUE($A18),'recurring1_based on steps'!AP$1:AP$400,0)),AP$2,)</f>
        <v>0</v>
      </c>
      <c r="AQ18" s="155">
        <f ca="1">IF(ISNUMBER(MATCH(DATEVALUE($A18),'recurring1_based on steps'!AQ$1:AQ$400,0)),AQ$2,)</f>
        <v>0</v>
      </c>
      <c r="AR18" s="155">
        <f ca="1">IF(ISNUMBER(MATCH(DATEVALUE($A18),'recurring1_based on steps'!AR$1:AR$400,0)),AR$2,)</f>
        <v>0</v>
      </c>
      <c r="AS18" s="155">
        <f ca="1">IF(ISNUMBER(MATCH(DATEVALUE($A18),'recurring1_based on steps'!AS$1:AS$400,0)),AS$2,)</f>
        <v>0</v>
      </c>
      <c r="AT18" s="155">
        <f ca="1">IF(ISNUMBER(MATCH(DATEVALUE($A18),'recurring1_based on steps'!AT$1:AT$400,0)),AT$2,)</f>
        <v>0</v>
      </c>
      <c r="AU18" s="155">
        <f ca="1">IF(ISNUMBER(MATCH(DATEVALUE($A18),'recurring1_based on steps'!AU$1:AU$400,0)),AU$2,)</f>
        <v>0</v>
      </c>
      <c r="AV18" s="155">
        <f ca="1">IF(ISNUMBER(MATCH(DATEVALUE($A18),'recurring1_based on steps'!AV$1:AV$400,0)),AV$2,)</f>
        <v>0</v>
      </c>
      <c r="AW18" s="155">
        <f ca="1">IF(ISNUMBER(MATCH(DATEVALUE($A18),'recurring1_based on steps'!AW$1:AW$400,0)),AW$2,)</f>
        <v>0</v>
      </c>
      <c r="AX18" s="155">
        <f ca="1">IF(ISNUMBER(MATCH(DATEVALUE($A18),'recurring1_based on steps'!AX$1:AX$400,0)),AX$2,)</f>
        <v>0</v>
      </c>
      <c r="AY18" s="155">
        <f ca="1">IF(ISNUMBER(MATCH(DATEVALUE($A18),'recurring1_based on steps'!AY$1:AY$400,0)),AY$2,)</f>
        <v>0</v>
      </c>
    </row>
    <row r="19" spans="1:51" x14ac:dyDescent="0.2">
      <c r="A19" s="18" t="str">
        <f t="shared" ca="1" si="0"/>
        <v>2025-02-17</v>
      </c>
      <c r="B19" s="155">
        <f ca="1">IF(ISNUMBER(MATCH(DATEVALUE($A19),'recurring1_based on steps'!B$1:B$400,0)),B$2,)</f>
        <v>0</v>
      </c>
      <c r="C19" s="155">
        <f ca="1">IF(ISNUMBER(MATCH(DATEVALUE($A19),'recurring1_based on steps'!C$1:C$400,0)),C$2,)</f>
        <v>0</v>
      </c>
      <c r="D19" s="155">
        <f ca="1">IF(ISNUMBER(MATCH(DATEVALUE($A19),'recurring1_based on steps'!D$1:D$400,0)),D$2,)</f>
        <v>0</v>
      </c>
      <c r="E19" s="155">
        <f ca="1">IF(ISNUMBER(MATCH(DATEVALUE($A19),'recurring1_based on steps'!E$1:E$400,0)),E$2,)</f>
        <v>0</v>
      </c>
      <c r="F19" s="155">
        <f ca="1">IF(ISNUMBER(MATCH(DATEVALUE($A19),'recurring1_based on steps'!F$1:F$400,0)),F$2,)</f>
        <v>0</v>
      </c>
      <c r="G19" s="155">
        <f ca="1">IF(ISNUMBER(MATCH(DATEVALUE($A19),'recurring1_based on steps'!G$1:G$400,0)),G$2,)</f>
        <v>0</v>
      </c>
      <c r="H19" s="155">
        <f ca="1">IF(ISNUMBER(MATCH(DATEVALUE($A19),'recurring1_based on steps'!H$1:H$400,0)),H$2,)</f>
        <v>0</v>
      </c>
      <c r="I19" s="155">
        <f ca="1">IF(ISNUMBER(MATCH(DATEVALUE($A19),'recurring1_based on steps'!I$1:I$400,0)),I$2,)</f>
        <v>0</v>
      </c>
      <c r="J19" s="155">
        <f ca="1">IF(ISNUMBER(MATCH(DATEVALUE($A19),'recurring1_based on steps'!J$1:J$400,0)),J$2,)</f>
        <v>0</v>
      </c>
      <c r="K19" s="155">
        <f ca="1">IF(ISNUMBER(MATCH(DATEVALUE($A19),'recurring1_based on steps'!K$1:K$400,0)),K$2,)</f>
        <v>0</v>
      </c>
      <c r="L19" s="155">
        <f ca="1">IF(ISNUMBER(MATCH(DATEVALUE($A19),'recurring1_based on steps'!L$1:L$400,0)),L$2,)</f>
        <v>0</v>
      </c>
      <c r="M19" s="155">
        <f ca="1">IF(ISNUMBER(MATCH(DATEVALUE($A19),'recurring1_based on steps'!M$1:M$400,0)),M$2,)</f>
        <v>0</v>
      </c>
      <c r="N19" s="155">
        <f ca="1">IF(ISNUMBER(MATCH(DATEVALUE($A19),'recurring1_based on steps'!N$1:N$400,0)),N$2,)</f>
        <v>15.49</v>
      </c>
      <c r="O19" s="155">
        <f ca="1">IF(ISNUMBER(MATCH(DATEVALUE($A19),'recurring1_based on steps'!O$1:O$400,0)),O$2,)</f>
        <v>0</v>
      </c>
      <c r="P19" s="155">
        <f ca="1">IF(ISNUMBER(MATCH(DATEVALUE($A19),'recurring1_based on steps'!P$1:P$400,0)),P$2,)</f>
        <v>0</v>
      </c>
      <c r="Q19" s="155">
        <f ca="1">IF(ISNUMBER(MATCH(DATEVALUE($A19),'recurring1_based on steps'!Q$1:Q$400,0)),Q$2,)</f>
        <v>0</v>
      </c>
      <c r="R19" s="155">
        <f ca="1">IF(ISNUMBER(MATCH(DATEVALUE($A19),'recurring1_based on steps'!R$1:R$400,0)),R$2,)</f>
        <v>0</v>
      </c>
      <c r="S19" s="155">
        <f ca="1">IF(ISNUMBER(MATCH(DATEVALUE($A19),'recurring1_based on steps'!S$1:S$400,0)),S$2,)</f>
        <v>0</v>
      </c>
      <c r="T19" s="155">
        <f ca="1">IF(ISNUMBER(MATCH(DATEVALUE($A19),'recurring1_based on steps'!T$1:T$400,0)),T$2,)</f>
        <v>0</v>
      </c>
      <c r="U19" s="155">
        <f ca="1">IF(ISNUMBER(MATCH(DATEVALUE($A19),'recurring1_based on steps'!U$1:U$400,0)),U$2,)</f>
        <v>0</v>
      </c>
      <c r="V19" s="155">
        <f ca="1">IF(ISNUMBER(MATCH(DATEVALUE($A19),'recurring1_based on steps'!V$1:V$400,0)),V$2,)</f>
        <v>200</v>
      </c>
      <c r="W19" s="155">
        <f ca="1">IF(ISNUMBER(MATCH(DATEVALUE($A19),'recurring1_based on steps'!W$1:W$400,0)),W$2,)</f>
        <v>0</v>
      </c>
      <c r="X19" s="155">
        <f ca="1">IF(ISNUMBER(MATCH(DATEVALUE($A19),'recurring1_based on steps'!X$1:X$400,0)),X$2,)</f>
        <v>0</v>
      </c>
      <c r="Y19" s="155">
        <f ca="1">IF(ISNUMBER(MATCH(DATEVALUE($A19),'recurring1_based on steps'!Y$1:Y$400,0)),Y$2,)</f>
        <v>0</v>
      </c>
      <c r="Z19" s="155">
        <f ca="1">IF(ISNUMBER(MATCH(DATEVALUE($A19),'recurring1_based on steps'!Z$1:Z$400,0)),Z$2,)</f>
        <v>0</v>
      </c>
      <c r="AA19" s="155">
        <f ca="1">IF(ISNUMBER(MATCH(DATEVALUE($A19),'recurring1_based on steps'!AA$1:AA$400,0)),AA$2,)</f>
        <v>0</v>
      </c>
      <c r="AB19" s="155">
        <f ca="1">IF(ISNUMBER(MATCH(DATEVALUE($A19),'recurring1_based on steps'!AB$1:AB$400,0)),AB$2,)</f>
        <v>0</v>
      </c>
      <c r="AC19" s="155">
        <f ca="1">IF(ISNUMBER(MATCH(DATEVALUE($A19),'recurring1_based on steps'!AC$1:AC$400,0)),AC$2,)</f>
        <v>0</v>
      </c>
      <c r="AD19" s="155">
        <f ca="1">IF(ISNUMBER(MATCH(DATEVALUE($A19),'recurring1_based on steps'!AD$1:AD$400,0)),AD$2,)</f>
        <v>0</v>
      </c>
      <c r="AE19" s="155">
        <f ca="1">IF(ISNUMBER(MATCH(DATEVALUE($A19),'recurring1_based on steps'!AE$1:AE$400,0)),AE$2,)</f>
        <v>0</v>
      </c>
      <c r="AF19" s="155">
        <f ca="1">IF(ISNUMBER(MATCH(DATEVALUE($A19),'recurring1_based on steps'!AF$1:AF$400,0)),AF$2,)</f>
        <v>0</v>
      </c>
      <c r="AG19" s="155">
        <f ca="1">IF(ISNUMBER(MATCH(DATEVALUE($A19),'recurring1_based on steps'!AG$1:AG$400,0)),AG$2,)</f>
        <v>0</v>
      </c>
      <c r="AH19" s="155">
        <f ca="1">IF(ISNUMBER(MATCH(DATEVALUE($A19),'recurring1_based on steps'!AH$1:AH$400,0)),AH$2,)</f>
        <v>0</v>
      </c>
      <c r="AI19" s="155">
        <f ca="1">IF(ISNUMBER(MATCH(DATEVALUE($A19),'recurring1_based on steps'!AI$1:AI$400,0)),AI$2,)</f>
        <v>0</v>
      </c>
      <c r="AJ19" s="155">
        <f ca="1">IF(ISNUMBER(MATCH(DATEVALUE($A19),'recurring1_based on steps'!AJ$1:AJ$400,0)),AJ$2,)</f>
        <v>0</v>
      </c>
      <c r="AK19" s="155">
        <f ca="1">IF(ISNUMBER(MATCH(DATEVALUE($A19),'recurring1_based on steps'!AK$1:AK$400,0)),AK$2,)</f>
        <v>0</v>
      </c>
      <c r="AL19" s="155">
        <f ca="1">IF(ISNUMBER(MATCH(DATEVALUE($A19),'recurring1_based on steps'!AL$1:AL$400,0)),AL$2,)</f>
        <v>0</v>
      </c>
      <c r="AM19" s="155">
        <f ca="1">IF(ISNUMBER(MATCH(DATEVALUE($A19),'recurring1_based on steps'!AM$1:AM$400,0)),AM$2,)</f>
        <v>0</v>
      </c>
      <c r="AN19" s="155">
        <f ca="1">IF(ISNUMBER(MATCH(DATEVALUE($A19),'recurring1_based on steps'!AN$1:AN$400,0)),AN$2,)</f>
        <v>0</v>
      </c>
      <c r="AO19" s="155">
        <f ca="1">IF(ISNUMBER(MATCH(DATEVALUE($A19),'recurring1_based on steps'!AO$1:AO$400,0)),AO$2,)</f>
        <v>0</v>
      </c>
      <c r="AP19" s="155">
        <f ca="1">IF(ISNUMBER(MATCH(DATEVALUE($A19),'recurring1_based on steps'!AP$1:AP$400,0)),AP$2,)</f>
        <v>0</v>
      </c>
      <c r="AQ19" s="155">
        <f ca="1">IF(ISNUMBER(MATCH(DATEVALUE($A19),'recurring1_based on steps'!AQ$1:AQ$400,0)),AQ$2,)</f>
        <v>0</v>
      </c>
      <c r="AR19" s="155">
        <f ca="1">IF(ISNUMBER(MATCH(DATEVALUE($A19),'recurring1_based on steps'!AR$1:AR$400,0)),AR$2,)</f>
        <v>0</v>
      </c>
      <c r="AS19" s="155">
        <f ca="1">IF(ISNUMBER(MATCH(DATEVALUE($A19),'recurring1_based on steps'!AS$1:AS$400,0)),AS$2,)</f>
        <v>0</v>
      </c>
      <c r="AT19" s="155">
        <f ca="1">IF(ISNUMBER(MATCH(DATEVALUE($A19),'recurring1_based on steps'!AT$1:AT$400,0)),AT$2,)</f>
        <v>0</v>
      </c>
      <c r="AU19" s="155">
        <f ca="1">IF(ISNUMBER(MATCH(DATEVALUE($A19),'recurring1_based on steps'!AU$1:AU$400,0)),AU$2,)</f>
        <v>0</v>
      </c>
      <c r="AV19" s="155">
        <f ca="1">IF(ISNUMBER(MATCH(DATEVALUE($A19),'recurring1_based on steps'!AV$1:AV$400,0)),AV$2,)</f>
        <v>0</v>
      </c>
      <c r="AW19" s="155">
        <f ca="1">IF(ISNUMBER(MATCH(DATEVALUE($A19),'recurring1_based on steps'!AW$1:AW$400,0)),AW$2,)</f>
        <v>0</v>
      </c>
      <c r="AX19" s="155">
        <f ca="1">IF(ISNUMBER(MATCH(DATEVALUE($A19),'recurring1_based on steps'!AX$1:AX$400,0)),AX$2,)</f>
        <v>0</v>
      </c>
      <c r="AY19" s="155">
        <f ca="1">IF(ISNUMBER(MATCH(DATEVALUE($A19),'recurring1_based on steps'!AY$1:AY$400,0)),AY$2,)</f>
        <v>0</v>
      </c>
    </row>
    <row r="20" spans="1:51" x14ac:dyDescent="0.2">
      <c r="A20" s="18" t="str">
        <f t="shared" ca="1" si="0"/>
        <v>2025-02-18</v>
      </c>
      <c r="B20" s="155">
        <f ca="1">IF(ISNUMBER(MATCH(DATEVALUE($A20),'recurring1_based on steps'!B$1:B$400,0)),B$2,)</f>
        <v>0</v>
      </c>
      <c r="C20" s="155">
        <f ca="1">IF(ISNUMBER(MATCH(DATEVALUE($A20),'recurring1_based on steps'!C$1:C$400,0)),C$2,)</f>
        <v>0</v>
      </c>
      <c r="D20" s="155">
        <f ca="1">IF(ISNUMBER(MATCH(DATEVALUE($A20),'recurring1_based on steps'!D$1:D$400,0)),D$2,)</f>
        <v>0</v>
      </c>
      <c r="E20" s="155">
        <f ca="1">IF(ISNUMBER(MATCH(DATEVALUE($A20),'recurring1_based on steps'!E$1:E$400,0)),E$2,)</f>
        <v>0</v>
      </c>
      <c r="F20" s="155">
        <f ca="1">IF(ISNUMBER(MATCH(DATEVALUE($A20),'recurring1_based on steps'!F$1:F$400,0)),F$2,)</f>
        <v>0</v>
      </c>
      <c r="G20" s="155">
        <f ca="1">IF(ISNUMBER(MATCH(DATEVALUE($A20),'recurring1_based on steps'!G$1:G$400,0)),G$2,)</f>
        <v>0</v>
      </c>
      <c r="H20" s="155">
        <f ca="1">IF(ISNUMBER(MATCH(DATEVALUE($A20),'recurring1_based on steps'!H$1:H$400,0)),H$2,)</f>
        <v>0</v>
      </c>
      <c r="I20" s="155">
        <f ca="1">IF(ISNUMBER(MATCH(DATEVALUE($A20),'recurring1_based on steps'!I$1:I$400,0)),I$2,)</f>
        <v>0</v>
      </c>
      <c r="J20" s="155">
        <f ca="1">IF(ISNUMBER(MATCH(DATEVALUE($A20),'recurring1_based on steps'!J$1:J$400,0)),J$2,)</f>
        <v>0</v>
      </c>
      <c r="K20" s="155">
        <f ca="1">IF(ISNUMBER(MATCH(DATEVALUE($A20),'recurring1_based on steps'!K$1:K$400,0)),K$2,)</f>
        <v>0</v>
      </c>
      <c r="L20" s="155">
        <f ca="1">IF(ISNUMBER(MATCH(DATEVALUE($A20),'recurring1_based on steps'!L$1:L$400,0)),L$2,)</f>
        <v>0</v>
      </c>
      <c r="M20" s="155">
        <f ca="1">IF(ISNUMBER(MATCH(DATEVALUE($A20),'recurring1_based on steps'!M$1:M$400,0)),M$2,)</f>
        <v>0</v>
      </c>
      <c r="N20" s="155">
        <f ca="1">IF(ISNUMBER(MATCH(DATEVALUE($A20),'recurring1_based on steps'!N$1:N$400,0)),N$2,)</f>
        <v>0</v>
      </c>
      <c r="O20" s="155">
        <f ca="1">IF(ISNUMBER(MATCH(DATEVALUE($A20),'recurring1_based on steps'!O$1:O$400,0)),O$2,)</f>
        <v>10.99</v>
      </c>
      <c r="P20" s="155">
        <f ca="1">IF(ISNUMBER(MATCH(DATEVALUE($A20),'recurring1_based on steps'!P$1:P$400,0)),P$2,)</f>
        <v>0</v>
      </c>
      <c r="Q20" s="155">
        <f ca="1">IF(ISNUMBER(MATCH(DATEVALUE($A20),'recurring1_based on steps'!Q$1:Q$400,0)),Q$2,)</f>
        <v>0</v>
      </c>
      <c r="R20" s="155">
        <f ca="1">IF(ISNUMBER(MATCH(DATEVALUE($A20),'recurring1_based on steps'!R$1:R$400,0)),R$2,)</f>
        <v>0</v>
      </c>
      <c r="S20" s="155">
        <f ca="1">IF(ISNUMBER(MATCH(DATEVALUE($A20),'recurring1_based on steps'!S$1:S$400,0)),S$2,)</f>
        <v>0</v>
      </c>
      <c r="T20" s="155">
        <f ca="1">IF(ISNUMBER(MATCH(DATEVALUE($A20),'recurring1_based on steps'!T$1:T$400,0)),T$2,)</f>
        <v>0</v>
      </c>
      <c r="U20" s="155">
        <f ca="1">IF(ISNUMBER(MATCH(DATEVALUE($A20),'recurring1_based on steps'!U$1:U$400,0)),U$2,)</f>
        <v>0</v>
      </c>
      <c r="V20" s="155">
        <f ca="1">IF(ISNUMBER(MATCH(DATEVALUE($A20),'recurring1_based on steps'!V$1:V$400,0)),V$2,)</f>
        <v>0</v>
      </c>
      <c r="W20" s="155">
        <f ca="1">IF(ISNUMBER(MATCH(DATEVALUE($A20),'recurring1_based on steps'!W$1:W$400,0)),W$2,)</f>
        <v>0</v>
      </c>
      <c r="X20" s="155">
        <f ca="1">IF(ISNUMBER(MATCH(DATEVALUE($A20),'recurring1_based on steps'!X$1:X$400,0)),X$2,)</f>
        <v>0</v>
      </c>
      <c r="Y20" s="155">
        <f ca="1">IF(ISNUMBER(MATCH(DATEVALUE($A20),'recurring1_based on steps'!Y$1:Y$400,0)),Y$2,)</f>
        <v>0</v>
      </c>
      <c r="Z20" s="155">
        <f ca="1">IF(ISNUMBER(MATCH(DATEVALUE($A20),'recurring1_based on steps'!Z$1:Z$400,0)),Z$2,)</f>
        <v>0</v>
      </c>
      <c r="AA20" s="155">
        <f ca="1">IF(ISNUMBER(MATCH(DATEVALUE($A20),'recurring1_based on steps'!AA$1:AA$400,0)),AA$2,)</f>
        <v>0</v>
      </c>
      <c r="AB20" s="155">
        <f ca="1">IF(ISNUMBER(MATCH(DATEVALUE($A20),'recurring1_based on steps'!AB$1:AB$400,0)),AB$2,)</f>
        <v>0</v>
      </c>
      <c r="AC20" s="155">
        <f ca="1">IF(ISNUMBER(MATCH(DATEVALUE($A20),'recurring1_based on steps'!AC$1:AC$400,0)),AC$2,)</f>
        <v>0</v>
      </c>
      <c r="AD20" s="155">
        <f ca="1">IF(ISNUMBER(MATCH(DATEVALUE($A20),'recurring1_based on steps'!AD$1:AD$400,0)),AD$2,)</f>
        <v>0</v>
      </c>
      <c r="AE20" s="155">
        <f ca="1">IF(ISNUMBER(MATCH(DATEVALUE($A20),'recurring1_based on steps'!AE$1:AE$400,0)),AE$2,)</f>
        <v>0</v>
      </c>
      <c r="AF20" s="155">
        <f ca="1">IF(ISNUMBER(MATCH(DATEVALUE($A20),'recurring1_based on steps'!AF$1:AF$400,0)),AF$2,)</f>
        <v>0</v>
      </c>
      <c r="AG20" s="155">
        <f ca="1">IF(ISNUMBER(MATCH(DATEVALUE($A20),'recurring1_based on steps'!AG$1:AG$400,0)),AG$2,)</f>
        <v>0</v>
      </c>
      <c r="AH20" s="155">
        <f ca="1">IF(ISNUMBER(MATCH(DATEVALUE($A20),'recurring1_based on steps'!AH$1:AH$400,0)),AH$2,)</f>
        <v>0</v>
      </c>
      <c r="AI20" s="155">
        <f ca="1">IF(ISNUMBER(MATCH(DATEVALUE($A20),'recurring1_based on steps'!AI$1:AI$400,0)),AI$2,)</f>
        <v>0</v>
      </c>
      <c r="AJ20" s="155">
        <f ca="1">IF(ISNUMBER(MATCH(DATEVALUE($A20),'recurring1_based on steps'!AJ$1:AJ$400,0)),AJ$2,)</f>
        <v>0</v>
      </c>
      <c r="AK20" s="155">
        <f ca="1">IF(ISNUMBER(MATCH(DATEVALUE($A20),'recurring1_based on steps'!AK$1:AK$400,0)),AK$2,)</f>
        <v>0</v>
      </c>
      <c r="AL20" s="155">
        <f ca="1">IF(ISNUMBER(MATCH(DATEVALUE($A20),'recurring1_based on steps'!AL$1:AL$400,0)),AL$2,)</f>
        <v>0</v>
      </c>
      <c r="AM20" s="155">
        <f ca="1">IF(ISNUMBER(MATCH(DATEVALUE($A20),'recurring1_based on steps'!AM$1:AM$400,0)),AM$2,)</f>
        <v>0</v>
      </c>
      <c r="AN20" s="155">
        <f ca="1">IF(ISNUMBER(MATCH(DATEVALUE($A20),'recurring1_based on steps'!AN$1:AN$400,0)),AN$2,)</f>
        <v>0</v>
      </c>
      <c r="AO20" s="155">
        <f ca="1">IF(ISNUMBER(MATCH(DATEVALUE($A20),'recurring1_based on steps'!AO$1:AO$400,0)),AO$2,)</f>
        <v>0</v>
      </c>
      <c r="AP20" s="155">
        <f ca="1">IF(ISNUMBER(MATCH(DATEVALUE($A20),'recurring1_based on steps'!AP$1:AP$400,0)),AP$2,)</f>
        <v>0</v>
      </c>
      <c r="AQ20" s="155">
        <f ca="1">IF(ISNUMBER(MATCH(DATEVALUE($A20),'recurring1_based on steps'!AQ$1:AQ$400,0)),AQ$2,)</f>
        <v>0</v>
      </c>
      <c r="AR20" s="155">
        <f ca="1">IF(ISNUMBER(MATCH(DATEVALUE($A20),'recurring1_based on steps'!AR$1:AR$400,0)),AR$2,)</f>
        <v>0</v>
      </c>
      <c r="AS20" s="155">
        <f ca="1">IF(ISNUMBER(MATCH(DATEVALUE($A20),'recurring1_based on steps'!AS$1:AS$400,0)),AS$2,)</f>
        <v>0</v>
      </c>
      <c r="AT20" s="155">
        <f ca="1">IF(ISNUMBER(MATCH(DATEVALUE($A20),'recurring1_based on steps'!AT$1:AT$400,0)),AT$2,)</f>
        <v>0</v>
      </c>
      <c r="AU20" s="155">
        <f ca="1">IF(ISNUMBER(MATCH(DATEVALUE($A20),'recurring1_based on steps'!AU$1:AU$400,0)),AU$2,)</f>
        <v>0</v>
      </c>
      <c r="AV20" s="155">
        <f ca="1">IF(ISNUMBER(MATCH(DATEVALUE($A20),'recurring1_based on steps'!AV$1:AV$400,0)),AV$2,)</f>
        <v>0</v>
      </c>
      <c r="AW20" s="155">
        <f ca="1">IF(ISNUMBER(MATCH(DATEVALUE($A20),'recurring1_based on steps'!AW$1:AW$400,0)),AW$2,)</f>
        <v>0</v>
      </c>
      <c r="AX20" s="155">
        <f ca="1">IF(ISNUMBER(MATCH(DATEVALUE($A20),'recurring1_based on steps'!AX$1:AX$400,0)),AX$2,)</f>
        <v>0</v>
      </c>
      <c r="AY20" s="155">
        <f ca="1">IF(ISNUMBER(MATCH(DATEVALUE($A20),'recurring1_based on steps'!AY$1:AY$400,0)),AY$2,)</f>
        <v>0</v>
      </c>
    </row>
    <row r="21" spans="1:51" x14ac:dyDescent="0.2">
      <c r="A21" s="18" t="str">
        <f t="shared" ca="1" si="0"/>
        <v>2025-02-19</v>
      </c>
      <c r="B21" s="155">
        <f ca="1">IF(ISNUMBER(MATCH(DATEVALUE($A21),'recurring1_based on steps'!B$1:B$400,0)),B$2,)</f>
        <v>0</v>
      </c>
      <c r="C21" s="155">
        <f ca="1">IF(ISNUMBER(MATCH(DATEVALUE($A21),'recurring1_based on steps'!C$1:C$400,0)),C$2,)</f>
        <v>0</v>
      </c>
      <c r="D21" s="155">
        <f ca="1">IF(ISNUMBER(MATCH(DATEVALUE($A21),'recurring1_based on steps'!D$1:D$400,0)),D$2,)</f>
        <v>0</v>
      </c>
      <c r="E21" s="155">
        <f ca="1">IF(ISNUMBER(MATCH(DATEVALUE($A21),'recurring1_based on steps'!E$1:E$400,0)),E$2,)</f>
        <v>0</v>
      </c>
      <c r="F21" s="155">
        <f ca="1">IF(ISNUMBER(MATCH(DATEVALUE($A21),'recurring1_based on steps'!F$1:F$400,0)),F$2,)</f>
        <v>0</v>
      </c>
      <c r="G21" s="155">
        <f ca="1">IF(ISNUMBER(MATCH(DATEVALUE($A21),'recurring1_based on steps'!G$1:G$400,0)),G$2,)</f>
        <v>0</v>
      </c>
      <c r="H21" s="155">
        <f ca="1">IF(ISNUMBER(MATCH(DATEVALUE($A21),'recurring1_based on steps'!H$1:H$400,0)),H$2,)</f>
        <v>0</v>
      </c>
      <c r="I21" s="155">
        <f ca="1">IF(ISNUMBER(MATCH(DATEVALUE($A21),'recurring1_based on steps'!I$1:I$400,0)),I$2,)</f>
        <v>0</v>
      </c>
      <c r="J21" s="155">
        <f ca="1">IF(ISNUMBER(MATCH(DATEVALUE($A21),'recurring1_based on steps'!J$1:J$400,0)),J$2,)</f>
        <v>0</v>
      </c>
      <c r="K21" s="155">
        <f ca="1">IF(ISNUMBER(MATCH(DATEVALUE($A21),'recurring1_based on steps'!K$1:K$400,0)),K$2,)</f>
        <v>0</v>
      </c>
      <c r="L21" s="155">
        <f ca="1">IF(ISNUMBER(MATCH(DATEVALUE($A21),'recurring1_based on steps'!L$1:L$400,0)),L$2,)</f>
        <v>0</v>
      </c>
      <c r="M21" s="155">
        <f ca="1">IF(ISNUMBER(MATCH(DATEVALUE($A21),'recurring1_based on steps'!M$1:M$400,0)),M$2,)</f>
        <v>0</v>
      </c>
      <c r="N21" s="155">
        <f ca="1">IF(ISNUMBER(MATCH(DATEVALUE($A21),'recurring1_based on steps'!N$1:N$400,0)),N$2,)</f>
        <v>0</v>
      </c>
      <c r="O21" s="155">
        <f ca="1">IF(ISNUMBER(MATCH(DATEVALUE($A21),'recurring1_based on steps'!O$1:O$400,0)),O$2,)</f>
        <v>0</v>
      </c>
      <c r="P21" s="155">
        <f ca="1">IF(ISNUMBER(MATCH(DATEVALUE($A21),'recurring1_based on steps'!P$1:P$400,0)),P$2,)</f>
        <v>0</v>
      </c>
      <c r="Q21" s="155">
        <f ca="1">IF(ISNUMBER(MATCH(DATEVALUE($A21),'recurring1_based on steps'!Q$1:Q$400,0)),Q$2,)</f>
        <v>0</v>
      </c>
      <c r="R21" s="155">
        <f ca="1">IF(ISNUMBER(MATCH(DATEVALUE($A21),'recurring1_based on steps'!R$1:R$400,0)),R$2,)</f>
        <v>0</v>
      </c>
      <c r="S21" s="155">
        <f ca="1">IF(ISNUMBER(MATCH(DATEVALUE($A21),'recurring1_based on steps'!S$1:S$400,0)),S$2,)</f>
        <v>0</v>
      </c>
      <c r="T21" s="155">
        <f ca="1">IF(ISNUMBER(MATCH(DATEVALUE($A21),'recurring1_based on steps'!T$1:T$400,0)),T$2,)</f>
        <v>0</v>
      </c>
      <c r="U21" s="155">
        <f ca="1">IF(ISNUMBER(MATCH(DATEVALUE($A21),'recurring1_based on steps'!U$1:U$400,0)),U$2,)</f>
        <v>0</v>
      </c>
      <c r="V21" s="155">
        <f ca="1">IF(ISNUMBER(MATCH(DATEVALUE($A21),'recurring1_based on steps'!V$1:V$400,0)),V$2,)</f>
        <v>0</v>
      </c>
      <c r="W21" s="155">
        <f ca="1">IF(ISNUMBER(MATCH(DATEVALUE($A21),'recurring1_based on steps'!W$1:W$400,0)),W$2,)</f>
        <v>0</v>
      </c>
      <c r="X21" s="155">
        <f ca="1">IF(ISNUMBER(MATCH(DATEVALUE($A21),'recurring1_based on steps'!X$1:X$400,0)),X$2,)</f>
        <v>0</v>
      </c>
      <c r="Y21" s="155">
        <f ca="1">IF(ISNUMBER(MATCH(DATEVALUE($A21),'recurring1_based on steps'!Y$1:Y$400,0)),Y$2,)</f>
        <v>0</v>
      </c>
      <c r="Z21" s="155">
        <f ca="1">IF(ISNUMBER(MATCH(DATEVALUE($A21),'recurring1_based on steps'!Z$1:Z$400,0)),Z$2,)</f>
        <v>0</v>
      </c>
      <c r="AA21" s="155">
        <f ca="1">IF(ISNUMBER(MATCH(DATEVALUE($A21),'recurring1_based on steps'!AA$1:AA$400,0)),AA$2,)</f>
        <v>0</v>
      </c>
      <c r="AB21" s="155">
        <f ca="1">IF(ISNUMBER(MATCH(DATEVALUE($A21),'recurring1_based on steps'!AB$1:AB$400,0)),AB$2,)</f>
        <v>0</v>
      </c>
      <c r="AC21" s="155">
        <f ca="1">IF(ISNUMBER(MATCH(DATEVALUE($A21),'recurring1_based on steps'!AC$1:AC$400,0)),AC$2,)</f>
        <v>0</v>
      </c>
      <c r="AD21" s="155">
        <f ca="1">IF(ISNUMBER(MATCH(DATEVALUE($A21),'recurring1_based on steps'!AD$1:AD$400,0)),AD$2,)</f>
        <v>0</v>
      </c>
      <c r="AE21" s="155">
        <f ca="1">IF(ISNUMBER(MATCH(DATEVALUE($A21),'recurring1_based on steps'!AE$1:AE$400,0)),AE$2,)</f>
        <v>0</v>
      </c>
      <c r="AF21" s="155">
        <f ca="1">IF(ISNUMBER(MATCH(DATEVALUE($A21),'recurring1_based on steps'!AF$1:AF$400,0)),AF$2,)</f>
        <v>0</v>
      </c>
      <c r="AG21" s="155">
        <f ca="1">IF(ISNUMBER(MATCH(DATEVALUE($A21),'recurring1_based on steps'!AG$1:AG$400,0)),AG$2,)</f>
        <v>0</v>
      </c>
      <c r="AH21" s="155">
        <f ca="1">IF(ISNUMBER(MATCH(DATEVALUE($A21),'recurring1_based on steps'!AH$1:AH$400,0)),AH$2,)</f>
        <v>0</v>
      </c>
      <c r="AI21" s="155">
        <f ca="1">IF(ISNUMBER(MATCH(DATEVALUE($A21),'recurring1_based on steps'!AI$1:AI$400,0)),AI$2,)</f>
        <v>0</v>
      </c>
      <c r="AJ21" s="155">
        <f ca="1">IF(ISNUMBER(MATCH(DATEVALUE($A21),'recurring1_based on steps'!AJ$1:AJ$400,0)),AJ$2,)</f>
        <v>0</v>
      </c>
      <c r="AK21" s="155">
        <f ca="1">IF(ISNUMBER(MATCH(DATEVALUE($A21),'recurring1_based on steps'!AK$1:AK$400,0)),AK$2,)</f>
        <v>0</v>
      </c>
      <c r="AL21" s="155">
        <f ca="1">IF(ISNUMBER(MATCH(DATEVALUE($A21),'recurring1_based on steps'!AL$1:AL$400,0)),AL$2,)</f>
        <v>0</v>
      </c>
      <c r="AM21" s="155">
        <f ca="1">IF(ISNUMBER(MATCH(DATEVALUE($A21),'recurring1_based on steps'!AM$1:AM$400,0)),AM$2,)</f>
        <v>0</v>
      </c>
      <c r="AN21" s="155">
        <f ca="1">IF(ISNUMBER(MATCH(DATEVALUE($A21),'recurring1_based on steps'!AN$1:AN$400,0)),AN$2,)</f>
        <v>0</v>
      </c>
      <c r="AO21" s="155">
        <f ca="1">IF(ISNUMBER(MATCH(DATEVALUE($A21),'recurring1_based on steps'!AO$1:AO$400,0)),AO$2,)</f>
        <v>0</v>
      </c>
      <c r="AP21" s="155">
        <f ca="1">IF(ISNUMBER(MATCH(DATEVALUE($A21),'recurring1_based on steps'!AP$1:AP$400,0)),AP$2,)</f>
        <v>0</v>
      </c>
      <c r="AQ21" s="155">
        <f ca="1">IF(ISNUMBER(MATCH(DATEVALUE($A21),'recurring1_based on steps'!AQ$1:AQ$400,0)),AQ$2,)</f>
        <v>0</v>
      </c>
      <c r="AR21" s="155">
        <f ca="1">IF(ISNUMBER(MATCH(DATEVALUE($A21),'recurring1_based on steps'!AR$1:AR$400,0)),AR$2,)</f>
        <v>0</v>
      </c>
      <c r="AS21" s="155">
        <f ca="1">IF(ISNUMBER(MATCH(DATEVALUE($A21),'recurring1_based on steps'!AS$1:AS$400,0)),AS$2,)</f>
        <v>0</v>
      </c>
      <c r="AT21" s="155">
        <f ca="1">IF(ISNUMBER(MATCH(DATEVALUE($A21),'recurring1_based on steps'!AT$1:AT$400,0)),AT$2,)</f>
        <v>0</v>
      </c>
      <c r="AU21" s="155">
        <f ca="1">IF(ISNUMBER(MATCH(DATEVALUE($A21),'recurring1_based on steps'!AU$1:AU$400,0)),AU$2,)</f>
        <v>0</v>
      </c>
      <c r="AV21" s="155">
        <f ca="1">IF(ISNUMBER(MATCH(DATEVALUE($A21),'recurring1_based on steps'!AV$1:AV$400,0)),AV$2,)</f>
        <v>0</v>
      </c>
      <c r="AW21" s="155">
        <f ca="1">IF(ISNUMBER(MATCH(DATEVALUE($A21),'recurring1_based on steps'!AW$1:AW$400,0)),AW$2,)</f>
        <v>0</v>
      </c>
      <c r="AX21" s="155">
        <f ca="1">IF(ISNUMBER(MATCH(DATEVALUE($A21),'recurring1_based on steps'!AX$1:AX$400,0)),AX$2,)</f>
        <v>0</v>
      </c>
      <c r="AY21" s="155">
        <f ca="1">IF(ISNUMBER(MATCH(DATEVALUE($A21),'recurring1_based on steps'!AY$1:AY$400,0)),AY$2,)</f>
        <v>0</v>
      </c>
    </row>
    <row r="22" spans="1:51" x14ac:dyDescent="0.2">
      <c r="A22" s="18" t="str">
        <f t="shared" ca="1" si="0"/>
        <v>2025-02-20</v>
      </c>
      <c r="B22" s="155">
        <f ca="1">IF(ISNUMBER(MATCH(DATEVALUE($A22),'recurring1_based on steps'!B$1:B$400,0)),B$2,)</f>
        <v>0</v>
      </c>
      <c r="C22" s="155">
        <f ca="1">IF(ISNUMBER(MATCH(DATEVALUE($A22),'recurring1_based on steps'!C$1:C$400,0)),C$2,)</f>
        <v>0</v>
      </c>
      <c r="D22" s="155">
        <f ca="1">IF(ISNUMBER(MATCH(DATEVALUE($A22),'recurring1_based on steps'!D$1:D$400,0)),D$2,)</f>
        <v>0</v>
      </c>
      <c r="E22" s="155">
        <f ca="1">IF(ISNUMBER(MATCH(DATEVALUE($A22),'recurring1_based on steps'!E$1:E$400,0)),E$2,)</f>
        <v>0</v>
      </c>
      <c r="F22" s="155">
        <f ca="1">IF(ISNUMBER(MATCH(DATEVALUE($A22),'recurring1_based on steps'!F$1:F$400,0)),F$2,)</f>
        <v>0</v>
      </c>
      <c r="G22" s="155">
        <f ca="1">IF(ISNUMBER(MATCH(DATEVALUE($A22),'recurring1_based on steps'!G$1:G$400,0)),G$2,)</f>
        <v>0</v>
      </c>
      <c r="H22" s="155">
        <f ca="1">IF(ISNUMBER(MATCH(DATEVALUE($A22),'recurring1_based on steps'!H$1:H$400,0)),H$2,)</f>
        <v>0</v>
      </c>
      <c r="I22" s="155">
        <f ca="1">IF(ISNUMBER(MATCH(DATEVALUE($A22),'recurring1_based on steps'!I$1:I$400,0)),I$2,)</f>
        <v>0</v>
      </c>
      <c r="J22" s="155">
        <f ca="1">IF(ISNUMBER(MATCH(DATEVALUE($A22),'recurring1_based on steps'!J$1:J$400,0)),J$2,)</f>
        <v>0</v>
      </c>
      <c r="K22" s="155">
        <f ca="1">IF(ISNUMBER(MATCH(DATEVALUE($A22),'recurring1_based on steps'!K$1:K$400,0)),K$2,)</f>
        <v>0</v>
      </c>
      <c r="L22" s="155">
        <f ca="1">IF(ISNUMBER(MATCH(DATEVALUE($A22),'recurring1_based on steps'!L$1:L$400,0)),L$2,)</f>
        <v>0</v>
      </c>
      <c r="M22" s="155">
        <f ca="1">IF(ISNUMBER(MATCH(DATEVALUE($A22),'recurring1_based on steps'!M$1:M$400,0)),M$2,)</f>
        <v>0</v>
      </c>
      <c r="N22" s="155">
        <f ca="1">IF(ISNUMBER(MATCH(DATEVALUE($A22),'recurring1_based on steps'!N$1:N$400,0)),N$2,)</f>
        <v>0</v>
      </c>
      <c r="O22" s="155">
        <f ca="1">IF(ISNUMBER(MATCH(DATEVALUE($A22),'recurring1_based on steps'!O$1:O$400,0)),O$2,)</f>
        <v>0</v>
      </c>
      <c r="P22" s="155">
        <f ca="1">IF(ISNUMBER(MATCH(DATEVALUE($A22),'recurring1_based on steps'!P$1:P$400,0)),P$2,)</f>
        <v>0</v>
      </c>
      <c r="Q22" s="155">
        <f ca="1">IF(ISNUMBER(MATCH(DATEVALUE($A22),'recurring1_based on steps'!Q$1:Q$400,0)),Q$2,)</f>
        <v>0</v>
      </c>
      <c r="R22" s="155">
        <f ca="1">IF(ISNUMBER(MATCH(DATEVALUE($A22),'recurring1_based on steps'!R$1:R$400,0)),R$2,)</f>
        <v>0</v>
      </c>
      <c r="S22" s="155">
        <f ca="1">IF(ISNUMBER(MATCH(DATEVALUE($A22),'recurring1_based on steps'!S$1:S$400,0)),S$2,)</f>
        <v>0</v>
      </c>
      <c r="T22" s="155">
        <f ca="1">IF(ISNUMBER(MATCH(DATEVALUE($A22),'recurring1_based on steps'!T$1:T$400,0)),T$2,)</f>
        <v>0</v>
      </c>
      <c r="U22" s="155">
        <f ca="1">IF(ISNUMBER(MATCH(DATEVALUE($A22),'recurring1_based on steps'!U$1:U$400,0)),U$2,)</f>
        <v>0</v>
      </c>
      <c r="V22" s="155">
        <f ca="1">IF(ISNUMBER(MATCH(DATEVALUE($A22),'recurring1_based on steps'!V$1:V$400,0)),V$2,)</f>
        <v>0</v>
      </c>
      <c r="W22" s="155">
        <f ca="1">IF(ISNUMBER(MATCH(DATEVALUE($A22),'recurring1_based on steps'!W$1:W$400,0)),W$2,)</f>
        <v>0</v>
      </c>
      <c r="X22" s="155">
        <f ca="1">IF(ISNUMBER(MATCH(DATEVALUE($A22),'recurring1_based on steps'!X$1:X$400,0)),X$2,)</f>
        <v>0</v>
      </c>
      <c r="Y22" s="155">
        <f ca="1">IF(ISNUMBER(MATCH(DATEVALUE($A22),'recurring1_based on steps'!Y$1:Y$400,0)),Y$2,)</f>
        <v>0</v>
      </c>
      <c r="Z22" s="155">
        <f ca="1">IF(ISNUMBER(MATCH(DATEVALUE($A22),'recurring1_based on steps'!Z$1:Z$400,0)),Z$2,)</f>
        <v>0</v>
      </c>
      <c r="AA22" s="155">
        <f ca="1">IF(ISNUMBER(MATCH(DATEVALUE($A22),'recurring1_based on steps'!AA$1:AA$400,0)),AA$2,)</f>
        <v>0</v>
      </c>
      <c r="AB22" s="155">
        <f ca="1">IF(ISNUMBER(MATCH(DATEVALUE($A22),'recurring1_based on steps'!AB$1:AB$400,0)),AB$2,)</f>
        <v>0</v>
      </c>
      <c r="AC22" s="155">
        <f ca="1">IF(ISNUMBER(MATCH(DATEVALUE($A22),'recurring1_based on steps'!AC$1:AC$400,0)),AC$2,)</f>
        <v>0</v>
      </c>
      <c r="AD22" s="155">
        <f ca="1">IF(ISNUMBER(MATCH(DATEVALUE($A22),'recurring1_based on steps'!AD$1:AD$400,0)),AD$2,)</f>
        <v>0</v>
      </c>
      <c r="AE22" s="155">
        <f ca="1">IF(ISNUMBER(MATCH(DATEVALUE($A22),'recurring1_based on steps'!AE$1:AE$400,0)),AE$2,)</f>
        <v>0</v>
      </c>
      <c r="AF22" s="155">
        <f ca="1">IF(ISNUMBER(MATCH(DATEVALUE($A22),'recurring1_based on steps'!AF$1:AF$400,0)),AF$2,)</f>
        <v>0</v>
      </c>
      <c r="AG22" s="155">
        <f ca="1">IF(ISNUMBER(MATCH(DATEVALUE($A22),'recurring1_based on steps'!AG$1:AG$400,0)),AG$2,)</f>
        <v>0</v>
      </c>
      <c r="AH22" s="155">
        <f ca="1">IF(ISNUMBER(MATCH(DATEVALUE($A22),'recurring1_based on steps'!AH$1:AH$400,0)),AH$2,)</f>
        <v>0</v>
      </c>
      <c r="AI22" s="155">
        <f ca="1">IF(ISNUMBER(MATCH(DATEVALUE($A22),'recurring1_based on steps'!AI$1:AI$400,0)),AI$2,)</f>
        <v>0</v>
      </c>
      <c r="AJ22" s="155">
        <f ca="1">IF(ISNUMBER(MATCH(DATEVALUE($A22),'recurring1_based on steps'!AJ$1:AJ$400,0)),AJ$2,)</f>
        <v>0</v>
      </c>
      <c r="AK22" s="155">
        <f ca="1">IF(ISNUMBER(MATCH(DATEVALUE($A22),'recurring1_based on steps'!AK$1:AK$400,0)),AK$2,)</f>
        <v>0</v>
      </c>
      <c r="AL22" s="155">
        <f ca="1">IF(ISNUMBER(MATCH(DATEVALUE($A22),'recurring1_based on steps'!AL$1:AL$400,0)),AL$2,)</f>
        <v>0</v>
      </c>
      <c r="AM22" s="155">
        <f ca="1">IF(ISNUMBER(MATCH(DATEVALUE($A22),'recurring1_based on steps'!AM$1:AM$400,0)),AM$2,)</f>
        <v>0</v>
      </c>
      <c r="AN22" s="155">
        <f ca="1">IF(ISNUMBER(MATCH(DATEVALUE($A22),'recurring1_based on steps'!AN$1:AN$400,0)),AN$2,)</f>
        <v>0</v>
      </c>
      <c r="AO22" s="155">
        <f ca="1">IF(ISNUMBER(MATCH(DATEVALUE($A22),'recurring1_based on steps'!AO$1:AO$400,0)),AO$2,)</f>
        <v>0</v>
      </c>
      <c r="AP22" s="155">
        <f ca="1">IF(ISNUMBER(MATCH(DATEVALUE($A22),'recurring1_based on steps'!AP$1:AP$400,0)),AP$2,)</f>
        <v>0</v>
      </c>
      <c r="AQ22" s="155">
        <f ca="1">IF(ISNUMBER(MATCH(DATEVALUE($A22),'recurring1_based on steps'!AQ$1:AQ$400,0)),AQ$2,)</f>
        <v>0</v>
      </c>
      <c r="AR22" s="155">
        <f ca="1">IF(ISNUMBER(MATCH(DATEVALUE($A22),'recurring1_based on steps'!AR$1:AR$400,0)),AR$2,)</f>
        <v>0</v>
      </c>
      <c r="AS22" s="155">
        <f ca="1">IF(ISNUMBER(MATCH(DATEVALUE($A22),'recurring1_based on steps'!AS$1:AS$400,0)),AS$2,)</f>
        <v>0</v>
      </c>
      <c r="AT22" s="155">
        <f ca="1">IF(ISNUMBER(MATCH(DATEVALUE($A22),'recurring1_based on steps'!AT$1:AT$400,0)),AT$2,)</f>
        <v>0</v>
      </c>
      <c r="AU22" s="155">
        <f ca="1">IF(ISNUMBER(MATCH(DATEVALUE($A22),'recurring1_based on steps'!AU$1:AU$400,0)),AU$2,)</f>
        <v>0</v>
      </c>
      <c r="AV22" s="155">
        <f ca="1">IF(ISNUMBER(MATCH(DATEVALUE($A22),'recurring1_based on steps'!AV$1:AV$400,0)),AV$2,)</f>
        <v>0</v>
      </c>
      <c r="AW22" s="155">
        <f ca="1">IF(ISNUMBER(MATCH(DATEVALUE($A22),'recurring1_based on steps'!AW$1:AW$400,0)),AW$2,)</f>
        <v>0</v>
      </c>
      <c r="AX22" s="155">
        <f ca="1">IF(ISNUMBER(MATCH(DATEVALUE($A22),'recurring1_based on steps'!AX$1:AX$400,0)),AX$2,)</f>
        <v>0</v>
      </c>
      <c r="AY22" s="155">
        <f ca="1">IF(ISNUMBER(MATCH(DATEVALUE($A22),'recurring1_based on steps'!AY$1:AY$400,0)),AY$2,)</f>
        <v>0</v>
      </c>
    </row>
    <row r="23" spans="1:51" x14ac:dyDescent="0.2">
      <c r="A23" s="18" t="str">
        <f t="shared" ca="1" si="0"/>
        <v>2025-02-21</v>
      </c>
      <c r="B23" s="155">
        <f ca="1">IF(ISNUMBER(MATCH(DATEVALUE($A23),'recurring1_based on steps'!B$1:B$400,0)),B$2,)</f>
        <v>4000</v>
      </c>
      <c r="C23" s="155">
        <f ca="1">IF(ISNUMBER(MATCH(DATEVALUE($A23),'recurring1_based on steps'!C$1:C$400,0)),C$2,)</f>
        <v>200</v>
      </c>
      <c r="D23" s="155">
        <f ca="1">IF(ISNUMBER(MATCH(DATEVALUE($A23),'recurring1_based on steps'!D$1:D$400,0)),D$2,)</f>
        <v>2</v>
      </c>
      <c r="E23" s="155">
        <f ca="1">IF(ISNUMBER(MATCH(DATEVALUE($A23),'recurring1_based on steps'!E$1:E$400,0)),E$2,)</f>
        <v>40</v>
      </c>
      <c r="F23" s="155">
        <f ca="1">IF(ISNUMBER(MATCH(DATEVALUE($A23),'recurring1_based on steps'!F$1:F$400,0)),F$2,)</f>
        <v>50</v>
      </c>
      <c r="G23" s="155">
        <f ca="1">IF(ISNUMBER(MATCH(DATEVALUE($A23),'recurring1_based on steps'!G$1:G$400,0)),G$2,)</f>
        <v>4</v>
      </c>
      <c r="H23" s="155">
        <f ca="1">IF(ISNUMBER(MATCH(DATEVALUE($A23),'recurring1_based on steps'!H$1:H$400,0)),H$2,)</f>
        <v>0</v>
      </c>
      <c r="I23" s="155">
        <f ca="1">IF(ISNUMBER(MATCH(DATEVALUE($A23),'recurring1_based on steps'!I$1:I$400,0)),I$2,)</f>
        <v>0</v>
      </c>
      <c r="J23" s="155">
        <f ca="1">IF(ISNUMBER(MATCH(DATEVALUE($A23),'recurring1_based on steps'!J$1:J$400,0)),J$2,)</f>
        <v>0</v>
      </c>
      <c r="K23" s="155">
        <f ca="1">IF(ISNUMBER(MATCH(DATEVALUE($A23),'recurring1_based on steps'!K$1:K$400,0)),K$2,)</f>
        <v>0</v>
      </c>
      <c r="L23" s="155">
        <f ca="1">IF(ISNUMBER(MATCH(DATEVALUE($A23),'recurring1_based on steps'!L$1:L$400,0)),L$2,)</f>
        <v>0</v>
      </c>
      <c r="M23" s="155">
        <f ca="1">IF(ISNUMBER(MATCH(DATEVALUE($A23),'recurring1_based on steps'!M$1:M$400,0)),M$2,)</f>
        <v>0</v>
      </c>
      <c r="N23" s="155">
        <f ca="1">IF(ISNUMBER(MATCH(DATEVALUE($A23),'recurring1_based on steps'!N$1:N$400,0)),N$2,)</f>
        <v>0</v>
      </c>
      <c r="O23" s="155">
        <f ca="1">IF(ISNUMBER(MATCH(DATEVALUE($A23),'recurring1_based on steps'!O$1:O$400,0)),O$2,)</f>
        <v>0</v>
      </c>
      <c r="P23" s="155">
        <f ca="1">IF(ISNUMBER(MATCH(DATEVALUE($A23),'recurring1_based on steps'!P$1:P$400,0)),P$2,)</f>
        <v>0</v>
      </c>
      <c r="Q23" s="155">
        <f ca="1">IF(ISNUMBER(MATCH(DATEVALUE($A23),'recurring1_based on steps'!Q$1:Q$400,0)),Q$2,)</f>
        <v>0</v>
      </c>
      <c r="R23" s="155">
        <f ca="1">IF(ISNUMBER(MATCH(DATEVALUE($A23),'recurring1_based on steps'!R$1:R$400,0)),R$2,)</f>
        <v>0</v>
      </c>
      <c r="S23" s="155">
        <f ca="1">IF(ISNUMBER(MATCH(DATEVALUE($A23),'recurring1_based on steps'!S$1:S$400,0)),S$2,)</f>
        <v>0</v>
      </c>
      <c r="T23" s="155">
        <f ca="1">IF(ISNUMBER(MATCH(DATEVALUE($A23),'recurring1_based on steps'!T$1:T$400,0)),T$2,)</f>
        <v>0</v>
      </c>
      <c r="U23" s="155">
        <f ca="1">IF(ISNUMBER(MATCH(DATEVALUE($A23),'recurring1_based on steps'!U$1:U$400,0)),U$2,)</f>
        <v>0</v>
      </c>
      <c r="V23" s="155">
        <f ca="1">IF(ISNUMBER(MATCH(DATEVALUE($A23),'recurring1_based on steps'!V$1:V$400,0)),V$2,)</f>
        <v>0</v>
      </c>
      <c r="W23" s="155">
        <f ca="1">IF(ISNUMBER(MATCH(DATEVALUE($A23),'recurring1_based on steps'!W$1:W$400,0)),W$2,)</f>
        <v>0</v>
      </c>
      <c r="X23" s="155">
        <f ca="1">IF(ISNUMBER(MATCH(DATEVALUE($A23),'recurring1_based on steps'!X$1:X$400,0)),X$2,)</f>
        <v>50</v>
      </c>
      <c r="Y23" s="155">
        <f ca="1">IF(ISNUMBER(MATCH(DATEVALUE($A23),'recurring1_based on steps'!Y$1:Y$400,0)),Y$2,)</f>
        <v>0</v>
      </c>
      <c r="Z23" s="155">
        <f ca="1">IF(ISNUMBER(MATCH(DATEVALUE($A23),'recurring1_based on steps'!Z$1:Z$400,0)),Z$2,)</f>
        <v>0</v>
      </c>
      <c r="AA23" s="155">
        <f ca="1">IF(ISNUMBER(MATCH(DATEVALUE($A23),'recurring1_based on steps'!AA$1:AA$400,0)),AA$2,)</f>
        <v>0</v>
      </c>
      <c r="AB23" s="155">
        <f ca="1">IF(ISNUMBER(MATCH(DATEVALUE($A23),'recurring1_based on steps'!AB$1:AB$400,0)),AB$2,)</f>
        <v>0</v>
      </c>
      <c r="AC23" s="155">
        <f ca="1">IF(ISNUMBER(MATCH(DATEVALUE($A23),'recurring1_based on steps'!AC$1:AC$400,0)),AC$2,)</f>
        <v>0</v>
      </c>
      <c r="AD23" s="155">
        <f ca="1">IF(ISNUMBER(MATCH(DATEVALUE($A23),'recurring1_based on steps'!AD$1:AD$400,0)),AD$2,)</f>
        <v>0</v>
      </c>
      <c r="AE23" s="155">
        <f ca="1">IF(ISNUMBER(MATCH(DATEVALUE($A23),'recurring1_based on steps'!AE$1:AE$400,0)),AE$2,)</f>
        <v>0</v>
      </c>
      <c r="AF23" s="155">
        <f ca="1">IF(ISNUMBER(MATCH(DATEVALUE($A23),'recurring1_based on steps'!AF$1:AF$400,0)),AF$2,)</f>
        <v>0</v>
      </c>
      <c r="AG23" s="155">
        <f ca="1">IF(ISNUMBER(MATCH(DATEVALUE($A23),'recurring1_based on steps'!AG$1:AG$400,0)),AG$2,)</f>
        <v>0</v>
      </c>
      <c r="AH23" s="155">
        <f ca="1">IF(ISNUMBER(MATCH(DATEVALUE($A23),'recurring1_based on steps'!AH$1:AH$400,0)),AH$2,)</f>
        <v>0</v>
      </c>
      <c r="AI23" s="155">
        <f ca="1">IF(ISNUMBER(MATCH(DATEVALUE($A23),'recurring1_based on steps'!AI$1:AI$400,0)),AI$2,)</f>
        <v>0</v>
      </c>
      <c r="AJ23" s="155">
        <f ca="1">IF(ISNUMBER(MATCH(DATEVALUE($A23),'recurring1_based on steps'!AJ$1:AJ$400,0)),AJ$2,)</f>
        <v>0</v>
      </c>
      <c r="AK23" s="155">
        <f ca="1">IF(ISNUMBER(MATCH(DATEVALUE($A23),'recurring1_based on steps'!AK$1:AK$400,0)),AK$2,)</f>
        <v>0</v>
      </c>
      <c r="AL23" s="155">
        <f ca="1">IF(ISNUMBER(MATCH(DATEVALUE($A23),'recurring1_based on steps'!AL$1:AL$400,0)),AL$2,)</f>
        <v>0</v>
      </c>
      <c r="AM23" s="155">
        <f ca="1">IF(ISNUMBER(MATCH(DATEVALUE($A23),'recurring1_based on steps'!AM$1:AM$400,0)),AM$2,)</f>
        <v>0</v>
      </c>
      <c r="AN23" s="155">
        <f ca="1">IF(ISNUMBER(MATCH(DATEVALUE($A23),'recurring1_based on steps'!AN$1:AN$400,0)),AN$2,)</f>
        <v>0</v>
      </c>
      <c r="AO23" s="155">
        <f ca="1">IF(ISNUMBER(MATCH(DATEVALUE($A23),'recurring1_based on steps'!AO$1:AO$400,0)),AO$2,)</f>
        <v>0</v>
      </c>
      <c r="AP23" s="155">
        <f ca="1">IF(ISNUMBER(MATCH(DATEVALUE($A23),'recurring1_based on steps'!AP$1:AP$400,0)),AP$2,)</f>
        <v>0</v>
      </c>
      <c r="AQ23" s="155">
        <f ca="1">IF(ISNUMBER(MATCH(DATEVALUE($A23),'recurring1_based on steps'!AQ$1:AQ$400,0)),AQ$2,)</f>
        <v>0</v>
      </c>
      <c r="AR23" s="155">
        <f ca="1">IF(ISNUMBER(MATCH(DATEVALUE($A23),'recurring1_based on steps'!AR$1:AR$400,0)),AR$2,)</f>
        <v>0</v>
      </c>
      <c r="AS23" s="155">
        <f ca="1">IF(ISNUMBER(MATCH(DATEVALUE($A23),'recurring1_based on steps'!AS$1:AS$400,0)),AS$2,)</f>
        <v>0</v>
      </c>
      <c r="AT23" s="155">
        <f ca="1">IF(ISNUMBER(MATCH(DATEVALUE($A23),'recurring1_based on steps'!AT$1:AT$400,0)),AT$2,)</f>
        <v>0</v>
      </c>
      <c r="AU23" s="155">
        <f ca="1">IF(ISNUMBER(MATCH(DATEVALUE($A23),'recurring1_based on steps'!AU$1:AU$400,0)),AU$2,)</f>
        <v>0</v>
      </c>
      <c r="AV23" s="155">
        <f ca="1">IF(ISNUMBER(MATCH(DATEVALUE($A23),'recurring1_based on steps'!AV$1:AV$400,0)),AV$2,)</f>
        <v>0</v>
      </c>
      <c r="AW23" s="155">
        <f ca="1">IF(ISNUMBER(MATCH(DATEVALUE($A23),'recurring1_based on steps'!AW$1:AW$400,0)),AW$2,)</f>
        <v>0</v>
      </c>
      <c r="AX23" s="155">
        <f ca="1">IF(ISNUMBER(MATCH(DATEVALUE($A23),'recurring1_based on steps'!AX$1:AX$400,0)),AX$2,)</f>
        <v>0</v>
      </c>
      <c r="AY23" s="155">
        <f ca="1">IF(ISNUMBER(MATCH(DATEVALUE($A23),'recurring1_based on steps'!AY$1:AY$400,0)),AY$2,)</f>
        <v>0</v>
      </c>
    </row>
    <row r="24" spans="1:51" x14ac:dyDescent="0.2">
      <c r="A24" s="18" t="str">
        <f t="shared" ca="1" si="0"/>
        <v>2025-02-22</v>
      </c>
      <c r="B24" s="155">
        <f ca="1">IF(ISNUMBER(MATCH(DATEVALUE($A24),'recurring1_based on steps'!B$1:B$400,0)),B$2,)</f>
        <v>0</v>
      </c>
      <c r="C24" s="155">
        <f ca="1">IF(ISNUMBER(MATCH(DATEVALUE($A24),'recurring1_based on steps'!C$1:C$400,0)),C$2,)</f>
        <v>0</v>
      </c>
      <c r="D24" s="155">
        <f ca="1">IF(ISNUMBER(MATCH(DATEVALUE($A24),'recurring1_based on steps'!D$1:D$400,0)),D$2,)</f>
        <v>0</v>
      </c>
      <c r="E24" s="155">
        <f ca="1">IF(ISNUMBER(MATCH(DATEVALUE($A24),'recurring1_based on steps'!E$1:E$400,0)),E$2,)</f>
        <v>0</v>
      </c>
      <c r="F24" s="155">
        <f ca="1">IF(ISNUMBER(MATCH(DATEVALUE($A24),'recurring1_based on steps'!F$1:F$400,0)),F$2,)</f>
        <v>0</v>
      </c>
      <c r="G24" s="155">
        <f ca="1">IF(ISNUMBER(MATCH(DATEVALUE($A24),'recurring1_based on steps'!G$1:G$400,0)),G$2,)</f>
        <v>0</v>
      </c>
      <c r="H24" s="155">
        <f ca="1">IF(ISNUMBER(MATCH(DATEVALUE($A24),'recurring1_based on steps'!H$1:H$400,0)),H$2,)</f>
        <v>0</v>
      </c>
      <c r="I24" s="155">
        <f ca="1">IF(ISNUMBER(MATCH(DATEVALUE($A24),'recurring1_based on steps'!I$1:I$400,0)),I$2,)</f>
        <v>0</v>
      </c>
      <c r="J24" s="155">
        <f ca="1">IF(ISNUMBER(MATCH(DATEVALUE($A24),'recurring1_based on steps'!J$1:J$400,0)),J$2,)</f>
        <v>0</v>
      </c>
      <c r="K24" s="155">
        <f ca="1">IF(ISNUMBER(MATCH(DATEVALUE($A24),'recurring1_based on steps'!K$1:K$400,0)),K$2,)</f>
        <v>0</v>
      </c>
      <c r="L24" s="155">
        <f ca="1">IF(ISNUMBER(MATCH(DATEVALUE($A24),'recurring1_based on steps'!L$1:L$400,0)),L$2,)</f>
        <v>0</v>
      </c>
      <c r="M24" s="155">
        <f ca="1">IF(ISNUMBER(MATCH(DATEVALUE($A24),'recurring1_based on steps'!M$1:M$400,0)),M$2,)</f>
        <v>0</v>
      </c>
      <c r="N24" s="155">
        <f ca="1">IF(ISNUMBER(MATCH(DATEVALUE($A24),'recurring1_based on steps'!N$1:N$400,0)),N$2,)</f>
        <v>0</v>
      </c>
      <c r="O24" s="155">
        <f ca="1">IF(ISNUMBER(MATCH(DATEVALUE($A24),'recurring1_based on steps'!O$1:O$400,0)),O$2,)</f>
        <v>0</v>
      </c>
      <c r="P24" s="155">
        <f ca="1">IF(ISNUMBER(MATCH(DATEVALUE($A24),'recurring1_based on steps'!P$1:P$400,0)),P$2,)</f>
        <v>0</v>
      </c>
      <c r="Q24" s="155">
        <f ca="1">IF(ISNUMBER(MATCH(DATEVALUE($A24),'recurring1_based on steps'!Q$1:Q$400,0)),Q$2,)</f>
        <v>100</v>
      </c>
      <c r="R24" s="155">
        <f ca="1">IF(ISNUMBER(MATCH(DATEVALUE($A24),'recurring1_based on steps'!R$1:R$400,0)),R$2,)</f>
        <v>100</v>
      </c>
      <c r="S24" s="155">
        <f ca="1">IF(ISNUMBER(MATCH(DATEVALUE($A24),'recurring1_based on steps'!S$1:S$400,0)),S$2,)</f>
        <v>0</v>
      </c>
      <c r="T24" s="155">
        <f ca="1">IF(ISNUMBER(MATCH(DATEVALUE($A24),'recurring1_based on steps'!T$1:T$400,0)),T$2,)</f>
        <v>0</v>
      </c>
      <c r="U24" s="155">
        <f ca="1">IF(ISNUMBER(MATCH(DATEVALUE($A24),'recurring1_based on steps'!U$1:U$400,0)),U$2,)</f>
        <v>0</v>
      </c>
      <c r="V24" s="155">
        <f ca="1">IF(ISNUMBER(MATCH(DATEVALUE($A24),'recurring1_based on steps'!V$1:V$400,0)),V$2,)</f>
        <v>0</v>
      </c>
      <c r="W24" s="155">
        <f ca="1">IF(ISNUMBER(MATCH(DATEVALUE($A24),'recurring1_based on steps'!W$1:W$400,0)),W$2,)</f>
        <v>0</v>
      </c>
      <c r="X24" s="155">
        <f ca="1">IF(ISNUMBER(MATCH(DATEVALUE($A24),'recurring1_based on steps'!X$1:X$400,0)),X$2,)</f>
        <v>0</v>
      </c>
      <c r="Y24" s="155">
        <f ca="1">IF(ISNUMBER(MATCH(DATEVALUE($A24),'recurring1_based on steps'!Y$1:Y$400,0)),Y$2,)</f>
        <v>0</v>
      </c>
      <c r="Z24" s="155">
        <f ca="1">IF(ISNUMBER(MATCH(DATEVALUE($A24),'recurring1_based on steps'!Z$1:Z$400,0)),Z$2,)</f>
        <v>0</v>
      </c>
      <c r="AA24" s="155">
        <f ca="1">IF(ISNUMBER(MATCH(DATEVALUE($A24),'recurring1_based on steps'!AA$1:AA$400,0)),AA$2,)</f>
        <v>0</v>
      </c>
      <c r="AB24" s="155">
        <f ca="1">IF(ISNUMBER(MATCH(DATEVALUE($A24),'recurring1_based on steps'!AB$1:AB$400,0)),AB$2,)</f>
        <v>0</v>
      </c>
      <c r="AC24" s="155">
        <f ca="1">IF(ISNUMBER(MATCH(DATEVALUE($A24),'recurring1_based on steps'!AC$1:AC$400,0)),AC$2,)</f>
        <v>0</v>
      </c>
      <c r="AD24" s="155">
        <f ca="1">IF(ISNUMBER(MATCH(DATEVALUE($A24),'recurring1_based on steps'!AD$1:AD$400,0)),AD$2,)</f>
        <v>0</v>
      </c>
      <c r="AE24" s="155">
        <f ca="1">IF(ISNUMBER(MATCH(DATEVALUE($A24),'recurring1_based on steps'!AE$1:AE$400,0)),AE$2,)</f>
        <v>0</v>
      </c>
      <c r="AF24" s="155">
        <f ca="1">IF(ISNUMBER(MATCH(DATEVALUE($A24),'recurring1_based on steps'!AF$1:AF$400,0)),AF$2,)</f>
        <v>0</v>
      </c>
      <c r="AG24" s="155">
        <f ca="1">IF(ISNUMBER(MATCH(DATEVALUE($A24),'recurring1_based on steps'!AG$1:AG$400,0)),AG$2,)</f>
        <v>0</v>
      </c>
      <c r="AH24" s="155">
        <f ca="1">IF(ISNUMBER(MATCH(DATEVALUE($A24),'recurring1_based on steps'!AH$1:AH$400,0)),AH$2,)</f>
        <v>0</v>
      </c>
      <c r="AI24" s="155">
        <f ca="1">IF(ISNUMBER(MATCH(DATEVALUE($A24),'recurring1_based on steps'!AI$1:AI$400,0)),AI$2,)</f>
        <v>0</v>
      </c>
      <c r="AJ24" s="155">
        <f ca="1">IF(ISNUMBER(MATCH(DATEVALUE($A24),'recurring1_based on steps'!AJ$1:AJ$400,0)),AJ$2,)</f>
        <v>0</v>
      </c>
      <c r="AK24" s="155">
        <f ca="1">IF(ISNUMBER(MATCH(DATEVALUE($A24),'recurring1_based on steps'!AK$1:AK$400,0)),AK$2,)</f>
        <v>0</v>
      </c>
      <c r="AL24" s="155">
        <f ca="1">IF(ISNUMBER(MATCH(DATEVALUE($A24),'recurring1_based on steps'!AL$1:AL$400,0)),AL$2,)</f>
        <v>0</v>
      </c>
      <c r="AM24" s="155">
        <f ca="1">IF(ISNUMBER(MATCH(DATEVALUE($A24),'recurring1_based on steps'!AM$1:AM$400,0)),AM$2,)</f>
        <v>0</v>
      </c>
      <c r="AN24" s="155">
        <f ca="1">IF(ISNUMBER(MATCH(DATEVALUE($A24),'recurring1_based on steps'!AN$1:AN$400,0)),AN$2,)</f>
        <v>0</v>
      </c>
      <c r="AO24" s="155">
        <f ca="1">IF(ISNUMBER(MATCH(DATEVALUE($A24),'recurring1_based on steps'!AO$1:AO$400,0)),AO$2,)</f>
        <v>0</v>
      </c>
      <c r="AP24" s="155">
        <f ca="1">IF(ISNUMBER(MATCH(DATEVALUE($A24),'recurring1_based on steps'!AP$1:AP$400,0)),AP$2,)</f>
        <v>0</v>
      </c>
      <c r="AQ24" s="155">
        <f ca="1">IF(ISNUMBER(MATCH(DATEVALUE($A24),'recurring1_based on steps'!AQ$1:AQ$400,0)),AQ$2,)</f>
        <v>0</v>
      </c>
      <c r="AR24" s="155">
        <f ca="1">IF(ISNUMBER(MATCH(DATEVALUE($A24),'recurring1_based on steps'!AR$1:AR$400,0)),AR$2,)</f>
        <v>0</v>
      </c>
      <c r="AS24" s="155">
        <f ca="1">IF(ISNUMBER(MATCH(DATEVALUE($A24),'recurring1_based on steps'!AS$1:AS$400,0)),AS$2,)</f>
        <v>0</v>
      </c>
      <c r="AT24" s="155">
        <f ca="1">IF(ISNUMBER(MATCH(DATEVALUE($A24),'recurring1_based on steps'!AT$1:AT$400,0)),AT$2,)</f>
        <v>0</v>
      </c>
      <c r="AU24" s="155">
        <f ca="1">IF(ISNUMBER(MATCH(DATEVALUE($A24),'recurring1_based on steps'!AU$1:AU$400,0)),AU$2,)</f>
        <v>0</v>
      </c>
      <c r="AV24" s="155">
        <f ca="1">IF(ISNUMBER(MATCH(DATEVALUE($A24),'recurring1_based on steps'!AV$1:AV$400,0)),AV$2,)</f>
        <v>0</v>
      </c>
      <c r="AW24" s="155">
        <f ca="1">IF(ISNUMBER(MATCH(DATEVALUE($A24),'recurring1_based on steps'!AW$1:AW$400,0)),AW$2,)</f>
        <v>0</v>
      </c>
      <c r="AX24" s="155">
        <f ca="1">IF(ISNUMBER(MATCH(DATEVALUE($A24),'recurring1_based on steps'!AX$1:AX$400,0)),AX$2,)</f>
        <v>0</v>
      </c>
      <c r="AY24" s="155">
        <f ca="1">IF(ISNUMBER(MATCH(DATEVALUE($A24),'recurring1_based on steps'!AY$1:AY$400,0)),AY$2,)</f>
        <v>0</v>
      </c>
    </row>
    <row r="25" spans="1:51" x14ac:dyDescent="0.2">
      <c r="A25" s="18" t="str">
        <f t="shared" ca="1" si="0"/>
        <v>2025-02-23</v>
      </c>
      <c r="B25" s="155">
        <f ca="1">IF(ISNUMBER(MATCH(DATEVALUE($A25),'recurring1_based on steps'!B$1:B$400,0)),B$2,)</f>
        <v>0</v>
      </c>
      <c r="C25" s="155">
        <f ca="1">IF(ISNUMBER(MATCH(DATEVALUE($A25),'recurring1_based on steps'!C$1:C$400,0)),C$2,)</f>
        <v>0</v>
      </c>
      <c r="D25" s="155">
        <f ca="1">IF(ISNUMBER(MATCH(DATEVALUE($A25),'recurring1_based on steps'!D$1:D$400,0)),D$2,)</f>
        <v>0</v>
      </c>
      <c r="E25" s="155">
        <f ca="1">IF(ISNUMBER(MATCH(DATEVALUE($A25),'recurring1_based on steps'!E$1:E$400,0)),E$2,)</f>
        <v>0</v>
      </c>
      <c r="F25" s="155">
        <f ca="1">IF(ISNUMBER(MATCH(DATEVALUE($A25),'recurring1_based on steps'!F$1:F$400,0)),F$2,)</f>
        <v>0</v>
      </c>
      <c r="G25" s="155">
        <f ca="1">IF(ISNUMBER(MATCH(DATEVALUE($A25),'recurring1_based on steps'!G$1:G$400,0)),G$2,)</f>
        <v>0</v>
      </c>
      <c r="H25" s="155">
        <f ca="1">IF(ISNUMBER(MATCH(DATEVALUE($A25),'recurring1_based on steps'!H$1:H$400,0)),H$2,)</f>
        <v>0</v>
      </c>
      <c r="I25" s="155">
        <f ca="1">IF(ISNUMBER(MATCH(DATEVALUE($A25),'recurring1_based on steps'!I$1:I$400,0)),I$2,)</f>
        <v>0</v>
      </c>
      <c r="J25" s="155">
        <f ca="1">IF(ISNUMBER(MATCH(DATEVALUE($A25),'recurring1_based on steps'!J$1:J$400,0)),J$2,)</f>
        <v>0</v>
      </c>
      <c r="K25" s="155">
        <f ca="1">IF(ISNUMBER(MATCH(DATEVALUE($A25),'recurring1_based on steps'!K$1:K$400,0)),K$2,)</f>
        <v>50</v>
      </c>
      <c r="L25" s="155">
        <f ca="1">IF(ISNUMBER(MATCH(DATEVALUE($A25),'recurring1_based on steps'!L$1:L$400,0)),L$2,)</f>
        <v>0</v>
      </c>
      <c r="M25" s="155">
        <f ca="1">IF(ISNUMBER(MATCH(DATEVALUE($A25),'recurring1_based on steps'!M$1:M$400,0)),M$2,)</f>
        <v>0</v>
      </c>
      <c r="N25" s="155">
        <f ca="1">IF(ISNUMBER(MATCH(DATEVALUE($A25),'recurring1_based on steps'!N$1:N$400,0)),N$2,)</f>
        <v>0</v>
      </c>
      <c r="O25" s="155">
        <f ca="1">IF(ISNUMBER(MATCH(DATEVALUE($A25),'recurring1_based on steps'!O$1:O$400,0)),O$2,)</f>
        <v>0</v>
      </c>
      <c r="P25" s="155">
        <f ca="1">IF(ISNUMBER(MATCH(DATEVALUE($A25),'recurring1_based on steps'!P$1:P$400,0)),P$2,)</f>
        <v>0</v>
      </c>
      <c r="Q25" s="155">
        <f ca="1">IF(ISNUMBER(MATCH(DATEVALUE($A25),'recurring1_based on steps'!Q$1:Q$400,0)),Q$2,)</f>
        <v>0</v>
      </c>
      <c r="R25" s="155">
        <f ca="1">IF(ISNUMBER(MATCH(DATEVALUE($A25),'recurring1_based on steps'!R$1:R$400,0)),R$2,)</f>
        <v>0</v>
      </c>
      <c r="S25" s="155">
        <f ca="1">IF(ISNUMBER(MATCH(DATEVALUE($A25),'recurring1_based on steps'!S$1:S$400,0)),S$2,)</f>
        <v>100</v>
      </c>
      <c r="T25" s="155">
        <f ca="1">IF(ISNUMBER(MATCH(DATEVALUE($A25),'recurring1_based on steps'!T$1:T$400,0)),T$2,)</f>
        <v>0</v>
      </c>
      <c r="U25" s="155">
        <f ca="1">IF(ISNUMBER(MATCH(DATEVALUE($A25),'recurring1_based on steps'!U$1:U$400,0)),U$2,)</f>
        <v>0</v>
      </c>
      <c r="V25" s="155">
        <f ca="1">IF(ISNUMBER(MATCH(DATEVALUE($A25),'recurring1_based on steps'!V$1:V$400,0)),V$2,)</f>
        <v>0</v>
      </c>
      <c r="W25" s="155">
        <f ca="1">IF(ISNUMBER(MATCH(DATEVALUE($A25),'recurring1_based on steps'!W$1:W$400,0)),W$2,)</f>
        <v>0</v>
      </c>
      <c r="X25" s="155">
        <f ca="1">IF(ISNUMBER(MATCH(DATEVALUE($A25),'recurring1_based on steps'!X$1:X$400,0)),X$2,)</f>
        <v>0</v>
      </c>
      <c r="Y25" s="155">
        <f ca="1">IF(ISNUMBER(MATCH(DATEVALUE($A25),'recurring1_based on steps'!Y$1:Y$400,0)),Y$2,)</f>
        <v>0</v>
      </c>
      <c r="Z25" s="155">
        <f ca="1">IF(ISNUMBER(MATCH(DATEVALUE($A25),'recurring1_based on steps'!Z$1:Z$400,0)),Z$2,)</f>
        <v>0</v>
      </c>
      <c r="AA25" s="155">
        <f ca="1">IF(ISNUMBER(MATCH(DATEVALUE($A25),'recurring1_based on steps'!AA$1:AA$400,0)),AA$2,)</f>
        <v>0</v>
      </c>
      <c r="AB25" s="155">
        <f ca="1">IF(ISNUMBER(MATCH(DATEVALUE($A25),'recurring1_based on steps'!AB$1:AB$400,0)),AB$2,)</f>
        <v>0</v>
      </c>
      <c r="AC25" s="155">
        <f ca="1">IF(ISNUMBER(MATCH(DATEVALUE($A25),'recurring1_based on steps'!AC$1:AC$400,0)),AC$2,)</f>
        <v>0</v>
      </c>
      <c r="AD25" s="155">
        <f ca="1">IF(ISNUMBER(MATCH(DATEVALUE($A25),'recurring1_based on steps'!AD$1:AD$400,0)),AD$2,)</f>
        <v>0</v>
      </c>
      <c r="AE25" s="155">
        <f ca="1">IF(ISNUMBER(MATCH(DATEVALUE($A25),'recurring1_based on steps'!AE$1:AE$400,0)),AE$2,)</f>
        <v>0</v>
      </c>
      <c r="AF25" s="155">
        <f ca="1">IF(ISNUMBER(MATCH(DATEVALUE($A25),'recurring1_based on steps'!AF$1:AF$400,0)),AF$2,)</f>
        <v>0</v>
      </c>
      <c r="AG25" s="155">
        <f ca="1">IF(ISNUMBER(MATCH(DATEVALUE($A25),'recurring1_based on steps'!AG$1:AG$400,0)),AG$2,)</f>
        <v>0</v>
      </c>
      <c r="AH25" s="155">
        <f ca="1">IF(ISNUMBER(MATCH(DATEVALUE($A25),'recurring1_based on steps'!AH$1:AH$400,0)),AH$2,)</f>
        <v>0</v>
      </c>
      <c r="AI25" s="155">
        <f ca="1">IF(ISNUMBER(MATCH(DATEVALUE($A25),'recurring1_based on steps'!AI$1:AI$400,0)),AI$2,)</f>
        <v>0</v>
      </c>
      <c r="AJ25" s="155">
        <f ca="1">IF(ISNUMBER(MATCH(DATEVALUE($A25),'recurring1_based on steps'!AJ$1:AJ$400,0)),AJ$2,)</f>
        <v>0</v>
      </c>
      <c r="AK25" s="155">
        <f ca="1">IF(ISNUMBER(MATCH(DATEVALUE($A25),'recurring1_based on steps'!AK$1:AK$400,0)),AK$2,)</f>
        <v>0</v>
      </c>
      <c r="AL25" s="155">
        <f ca="1">IF(ISNUMBER(MATCH(DATEVALUE($A25),'recurring1_based on steps'!AL$1:AL$400,0)),AL$2,)</f>
        <v>0</v>
      </c>
      <c r="AM25" s="155">
        <f ca="1">IF(ISNUMBER(MATCH(DATEVALUE($A25),'recurring1_based on steps'!AM$1:AM$400,0)),AM$2,)</f>
        <v>0</v>
      </c>
      <c r="AN25" s="155">
        <f ca="1">IF(ISNUMBER(MATCH(DATEVALUE($A25),'recurring1_based on steps'!AN$1:AN$400,0)),AN$2,)</f>
        <v>0</v>
      </c>
      <c r="AO25" s="155">
        <f ca="1">IF(ISNUMBER(MATCH(DATEVALUE($A25),'recurring1_based on steps'!AO$1:AO$400,0)),AO$2,)</f>
        <v>0</v>
      </c>
      <c r="AP25" s="155">
        <f ca="1">IF(ISNUMBER(MATCH(DATEVALUE($A25),'recurring1_based on steps'!AP$1:AP$400,0)),AP$2,)</f>
        <v>0</v>
      </c>
      <c r="AQ25" s="155">
        <f ca="1">IF(ISNUMBER(MATCH(DATEVALUE($A25),'recurring1_based on steps'!AQ$1:AQ$400,0)),AQ$2,)</f>
        <v>0</v>
      </c>
      <c r="AR25" s="155">
        <f ca="1">IF(ISNUMBER(MATCH(DATEVALUE($A25),'recurring1_based on steps'!AR$1:AR$400,0)),AR$2,)</f>
        <v>0</v>
      </c>
      <c r="AS25" s="155">
        <f ca="1">IF(ISNUMBER(MATCH(DATEVALUE($A25),'recurring1_based on steps'!AS$1:AS$400,0)),AS$2,)</f>
        <v>0</v>
      </c>
      <c r="AT25" s="155">
        <f ca="1">IF(ISNUMBER(MATCH(DATEVALUE($A25),'recurring1_based on steps'!AT$1:AT$400,0)),AT$2,)</f>
        <v>0</v>
      </c>
      <c r="AU25" s="155">
        <f ca="1">IF(ISNUMBER(MATCH(DATEVALUE($A25),'recurring1_based on steps'!AU$1:AU$400,0)),AU$2,)</f>
        <v>0</v>
      </c>
      <c r="AV25" s="155">
        <f ca="1">IF(ISNUMBER(MATCH(DATEVALUE($A25),'recurring1_based on steps'!AV$1:AV$400,0)),AV$2,)</f>
        <v>0</v>
      </c>
      <c r="AW25" s="155">
        <f ca="1">IF(ISNUMBER(MATCH(DATEVALUE($A25),'recurring1_based on steps'!AW$1:AW$400,0)),AW$2,)</f>
        <v>0</v>
      </c>
      <c r="AX25" s="155">
        <f ca="1">IF(ISNUMBER(MATCH(DATEVALUE($A25),'recurring1_based on steps'!AX$1:AX$400,0)),AX$2,)</f>
        <v>0</v>
      </c>
      <c r="AY25" s="155">
        <f ca="1">IF(ISNUMBER(MATCH(DATEVALUE($A25),'recurring1_based on steps'!AY$1:AY$400,0)),AY$2,)</f>
        <v>0</v>
      </c>
    </row>
    <row r="26" spans="1:51" x14ac:dyDescent="0.2">
      <c r="A26" s="18" t="str">
        <f t="shared" ca="1" si="0"/>
        <v>2025-02-24</v>
      </c>
      <c r="B26" s="155">
        <f ca="1">IF(ISNUMBER(MATCH(DATEVALUE($A26),'recurring1_based on steps'!B$1:B$400,0)),B$2,)</f>
        <v>0</v>
      </c>
      <c r="C26" s="155">
        <f ca="1">IF(ISNUMBER(MATCH(DATEVALUE($A26),'recurring1_based on steps'!C$1:C$400,0)),C$2,)</f>
        <v>0</v>
      </c>
      <c r="D26" s="155">
        <f ca="1">IF(ISNUMBER(MATCH(DATEVALUE($A26),'recurring1_based on steps'!D$1:D$400,0)),D$2,)</f>
        <v>0</v>
      </c>
      <c r="E26" s="155">
        <f ca="1">IF(ISNUMBER(MATCH(DATEVALUE($A26),'recurring1_based on steps'!E$1:E$400,0)),E$2,)</f>
        <v>0</v>
      </c>
      <c r="F26" s="155">
        <f ca="1">IF(ISNUMBER(MATCH(DATEVALUE($A26),'recurring1_based on steps'!F$1:F$400,0)),F$2,)</f>
        <v>0</v>
      </c>
      <c r="G26" s="155">
        <f ca="1">IF(ISNUMBER(MATCH(DATEVALUE($A26),'recurring1_based on steps'!G$1:G$400,0)),G$2,)</f>
        <v>0</v>
      </c>
      <c r="H26" s="155">
        <f ca="1">IF(ISNUMBER(MATCH(DATEVALUE($A26),'recurring1_based on steps'!H$1:H$400,0)),H$2,)</f>
        <v>0</v>
      </c>
      <c r="I26" s="155">
        <f ca="1">IF(ISNUMBER(MATCH(DATEVALUE($A26),'recurring1_based on steps'!I$1:I$400,0)),I$2,)</f>
        <v>0</v>
      </c>
      <c r="J26" s="155">
        <f ca="1">IF(ISNUMBER(MATCH(DATEVALUE($A26),'recurring1_based on steps'!J$1:J$400,0)),J$2,)</f>
        <v>0</v>
      </c>
      <c r="K26" s="155">
        <f ca="1">IF(ISNUMBER(MATCH(DATEVALUE($A26),'recurring1_based on steps'!K$1:K$400,0)),K$2,)</f>
        <v>0</v>
      </c>
      <c r="L26" s="155">
        <f ca="1">IF(ISNUMBER(MATCH(DATEVALUE($A26),'recurring1_based on steps'!L$1:L$400,0)),L$2,)</f>
        <v>0</v>
      </c>
      <c r="M26" s="155">
        <f ca="1">IF(ISNUMBER(MATCH(DATEVALUE($A26),'recurring1_based on steps'!M$1:M$400,0)),M$2,)</f>
        <v>0</v>
      </c>
      <c r="N26" s="155">
        <f ca="1">IF(ISNUMBER(MATCH(DATEVALUE($A26),'recurring1_based on steps'!N$1:N$400,0)),N$2,)</f>
        <v>0</v>
      </c>
      <c r="O26" s="155">
        <f ca="1">IF(ISNUMBER(MATCH(DATEVALUE($A26),'recurring1_based on steps'!O$1:O$400,0)),O$2,)</f>
        <v>0</v>
      </c>
      <c r="P26" s="155">
        <f ca="1">IF(ISNUMBER(MATCH(DATEVALUE($A26),'recurring1_based on steps'!P$1:P$400,0)),P$2,)</f>
        <v>0</v>
      </c>
      <c r="Q26" s="155">
        <f ca="1">IF(ISNUMBER(MATCH(DATEVALUE($A26),'recurring1_based on steps'!Q$1:Q$400,0)),Q$2,)</f>
        <v>0</v>
      </c>
      <c r="R26" s="155">
        <f ca="1">IF(ISNUMBER(MATCH(DATEVALUE($A26),'recurring1_based on steps'!R$1:R$400,0)),R$2,)</f>
        <v>0</v>
      </c>
      <c r="S26" s="155">
        <f ca="1">IF(ISNUMBER(MATCH(DATEVALUE($A26),'recurring1_based on steps'!S$1:S$400,0)),S$2,)</f>
        <v>0</v>
      </c>
      <c r="T26" s="155">
        <f ca="1">IF(ISNUMBER(MATCH(DATEVALUE($A26),'recurring1_based on steps'!T$1:T$400,0)),T$2,)</f>
        <v>50</v>
      </c>
      <c r="U26" s="155">
        <f ca="1">IF(ISNUMBER(MATCH(DATEVALUE($A26),'recurring1_based on steps'!U$1:U$400,0)),U$2,)</f>
        <v>0</v>
      </c>
      <c r="V26" s="155">
        <f ca="1">IF(ISNUMBER(MATCH(DATEVALUE($A26),'recurring1_based on steps'!V$1:V$400,0)),V$2,)</f>
        <v>0</v>
      </c>
      <c r="W26" s="155">
        <f ca="1">IF(ISNUMBER(MATCH(DATEVALUE($A26),'recurring1_based on steps'!W$1:W$400,0)),W$2,)</f>
        <v>0</v>
      </c>
      <c r="X26" s="155">
        <f ca="1">IF(ISNUMBER(MATCH(DATEVALUE($A26),'recurring1_based on steps'!X$1:X$400,0)),X$2,)</f>
        <v>0</v>
      </c>
      <c r="Y26" s="155">
        <f ca="1">IF(ISNUMBER(MATCH(DATEVALUE($A26),'recurring1_based on steps'!Y$1:Y$400,0)),Y$2,)</f>
        <v>0</v>
      </c>
      <c r="Z26" s="155">
        <f ca="1">IF(ISNUMBER(MATCH(DATEVALUE($A26),'recurring1_based on steps'!Z$1:Z$400,0)),Z$2,)</f>
        <v>0</v>
      </c>
      <c r="AA26" s="155">
        <f ca="1">IF(ISNUMBER(MATCH(DATEVALUE($A26),'recurring1_based on steps'!AA$1:AA$400,0)),AA$2,)</f>
        <v>0</v>
      </c>
      <c r="AB26" s="155">
        <f ca="1">IF(ISNUMBER(MATCH(DATEVALUE($A26),'recurring1_based on steps'!AB$1:AB$400,0)),AB$2,)</f>
        <v>0</v>
      </c>
      <c r="AC26" s="155">
        <f ca="1">IF(ISNUMBER(MATCH(DATEVALUE($A26),'recurring1_based on steps'!AC$1:AC$400,0)),AC$2,)</f>
        <v>0</v>
      </c>
      <c r="AD26" s="155">
        <f ca="1">IF(ISNUMBER(MATCH(DATEVALUE($A26),'recurring1_based on steps'!AD$1:AD$400,0)),AD$2,)</f>
        <v>0</v>
      </c>
      <c r="AE26" s="155">
        <f ca="1">IF(ISNUMBER(MATCH(DATEVALUE($A26),'recurring1_based on steps'!AE$1:AE$400,0)),AE$2,)</f>
        <v>0</v>
      </c>
      <c r="AF26" s="155">
        <f ca="1">IF(ISNUMBER(MATCH(DATEVALUE($A26),'recurring1_based on steps'!AF$1:AF$400,0)),AF$2,)</f>
        <v>0</v>
      </c>
      <c r="AG26" s="155">
        <f ca="1">IF(ISNUMBER(MATCH(DATEVALUE($A26),'recurring1_based on steps'!AG$1:AG$400,0)),AG$2,)</f>
        <v>0</v>
      </c>
      <c r="AH26" s="155">
        <f ca="1">IF(ISNUMBER(MATCH(DATEVALUE($A26),'recurring1_based on steps'!AH$1:AH$400,0)),AH$2,)</f>
        <v>0</v>
      </c>
      <c r="AI26" s="155">
        <f ca="1">IF(ISNUMBER(MATCH(DATEVALUE($A26),'recurring1_based on steps'!AI$1:AI$400,0)),AI$2,)</f>
        <v>0</v>
      </c>
      <c r="AJ26" s="155">
        <f ca="1">IF(ISNUMBER(MATCH(DATEVALUE($A26),'recurring1_based on steps'!AJ$1:AJ$400,0)),AJ$2,)</f>
        <v>0</v>
      </c>
      <c r="AK26" s="155">
        <f ca="1">IF(ISNUMBER(MATCH(DATEVALUE($A26),'recurring1_based on steps'!AK$1:AK$400,0)),AK$2,)</f>
        <v>0</v>
      </c>
      <c r="AL26" s="155">
        <f ca="1">IF(ISNUMBER(MATCH(DATEVALUE($A26),'recurring1_based on steps'!AL$1:AL$400,0)),AL$2,)</f>
        <v>0</v>
      </c>
      <c r="AM26" s="155">
        <f ca="1">IF(ISNUMBER(MATCH(DATEVALUE($A26),'recurring1_based on steps'!AM$1:AM$400,0)),AM$2,)</f>
        <v>0</v>
      </c>
      <c r="AN26" s="155">
        <f ca="1">IF(ISNUMBER(MATCH(DATEVALUE($A26),'recurring1_based on steps'!AN$1:AN$400,0)),AN$2,)</f>
        <v>0</v>
      </c>
      <c r="AO26" s="155">
        <f ca="1">IF(ISNUMBER(MATCH(DATEVALUE($A26),'recurring1_based on steps'!AO$1:AO$400,0)),AO$2,)</f>
        <v>0</v>
      </c>
      <c r="AP26" s="155">
        <f ca="1">IF(ISNUMBER(MATCH(DATEVALUE($A26),'recurring1_based on steps'!AP$1:AP$400,0)),AP$2,)</f>
        <v>0</v>
      </c>
      <c r="AQ26" s="155">
        <f ca="1">IF(ISNUMBER(MATCH(DATEVALUE($A26),'recurring1_based on steps'!AQ$1:AQ$400,0)),AQ$2,)</f>
        <v>0</v>
      </c>
      <c r="AR26" s="155">
        <f ca="1">IF(ISNUMBER(MATCH(DATEVALUE($A26),'recurring1_based on steps'!AR$1:AR$400,0)),AR$2,)</f>
        <v>0</v>
      </c>
      <c r="AS26" s="155">
        <f ca="1">IF(ISNUMBER(MATCH(DATEVALUE($A26),'recurring1_based on steps'!AS$1:AS$400,0)),AS$2,)</f>
        <v>0</v>
      </c>
      <c r="AT26" s="155">
        <f ca="1">IF(ISNUMBER(MATCH(DATEVALUE($A26),'recurring1_based on steps'!AT$1:AT$400,0)),AT$2,)</f>
        <v>0</v>
      </c>
      <c r="AU26" s="155">
        <f ca="1">IF(ISNUMBER(MATCH(DATEVALUE($A26),'recurring1_based on steps'!AU$1:AU$400,0)),AU$2,)</f>
        <v>0</v>
      </c>
      <c r="AV26" s="155">
        <f ca="1">IF(ISNUMBER(MATCH(DATEVALUE($A26),'recurring1_based on steps'!AV$1:AV$400,0)),AV$2,)</f>
        <v>0</v>
      </c>
      <c r="AW26" s="155">
        <f ca="1">IF(ISNUMBER(MATCH(DATEVALUE($A26),'recurring1_based on steps'!AW$1:AW$400,0)),AW$2,)</f>
        <v>0</v>
      </c>
      <c r="AX26" s="155">
        <f ca="1">IF(ISNUMBER(MATCH(DATEVALUE($A26),'recurring1_based on steps'!AX$1:AX$400,0)),AX$2,)</f>
        <v>0</v>
      </c>
      <c r="AY26" s="155">
        <f ca="1">IF(ISNUMBER(MATCH(DATEVALUE($A26),'recurring1_based on steps'!AY$1:AY$400,0)),AY$2,)</f>
        <v>0</v>
      </c>
    </row>
    <row r="27" spans="1:51" x14ac:dyDescent="0.2">
      <c r="A27" s="18" t="str">
        <f t="shared" ca="1" si="0"/>
        <v>2025-02-25</v>
      </c>
      <c r="B27" s="155">
        <f ca="1">IF(ISNUMBER(MATCH(DATEVALUE($A27),'recurring1_based on steps'!B$1:B$400,0)),B$2,)</f>
        <v>0</v>
      </c>
      <c r="C27" s="155">
        <f ca="1">IF(ISNUMBER(MATCH(DATEVALUE($A27),'recurring1_based on steps'!C$1:C$400,0)),C$2,)</f>
        <v>0</v>
      </c>
      <c r="D27" s="155">
        <f ca="1">IF(ISNUMBER(MATCH(DATEVALUE($A27),'recurring1_based on steps'!D$1:D$400,0)),D$2,)</f>
        <v>0</v>
      </c>
      <c r="E27" s="155">
        <f ca="1">IF(ISNUMBER(MATCH(DATEVALUE($A27),'recurring1_based on steps'!E$1:E$400,0)),E$2,)</f>
        <v>0</v>
      </c>
      <c r="F27" s="155">
        <f ca="1">IF(ISNUMBER(MATCH(DATEVALUE($A27),'recurring1_based on steps'!F$1:F$400,0)),F$2,)</f>
        <v>0</v>
      </c>
      <c r="G27" s="155">
        <f ca="1">IF(ISNUMBER(MATCH(DATEVALUE($A27),'recurring1_based on steps'!G$1:G$400,0)),G$2,)</f>
        <v>0</v>
      </c>
      <c r="H27" s="155">
        <f ca="1">IF(ISNUMBER(MATCH(DATEVALUE($A27),'recurring1_based on steps'!H$1:H$400,0)),H$2,)</f>
        <v>0</v>
      </c>
      <c r="I27" s="155">
        <f ca="1">IF(ISNUMBER(MATCH(DATEVALUE($A27),'recurring1_based on steps'!I$1:I$400,0)),I$2,)</f>
        <v>0</v>
      </c>
      <c r="J27" s="155">
        <f ca="1">IF(ISNUMBER(MATCH(DATEVALUE($A27),'recurring1_based on steps'!J$1:J$400,0)),J$2,)</f>
        <v>0</v>
      </c>
      <c r="K27" s="155">
        <f ca="1">IF(ISNUMBER(MATCH(DATEVALUE($A27),'recurring1_based on steps'!K$1:K$400,0)),K$2,)</f>
        <v>0</v>
      </c>
      <c r="L27" s="155">
        <f ca="1">IF(ISNUMBER(MATCH(DATEVALUE($A27),'recurring1_based on steps'!L$1:L$400,0)),L$2,)</f>
        <v>0</v>
      </c>
      <c r="M27" s="155">
        <f ca="1">IF(ISNUMBER(MATCH(DATEVALUE($A27),'recurring1_based on steps'!M$1:M$400,0)),M$2,)</f>
        <v>0</v>
      </c>
      <c r="N27" s="155">
        <f ca="1">IF(ISNUMBER(MATCH(DATEVALUE($A27),'recurring1_based on steps'!N$1:N$400,0)),N$2,)</f>
        <v>0</v>
      </c>
      <c r="O27" s="155">
        <f ca="1">IF(ISNUMBER(MATCH(DATEVALUE($A27),'recurring1_based on steps'!O$1:O$400,0)),O$2,)</f>
        <v>0</v>
      </c>
      <c r="P27" s="155">
        <f ca="1">IF(ISNUMBER(MATCH(DATEVALUE($A27),'recurring1_based on steps'!P$1:P$400,0)),P$2,)</f>
        <v>0</v>
      </c>
      <c r="Q27" s="155">
        <f ca="1">IF(ISNUMBER(MATCH(DATEVALUE($A27),'recurring1_based on steps'!Q$1:Q$400,0)),Q$2,)</f>
        <v>0</v>
      </c>
      <c r="R27" s="155">
        <f ca="1">IF(ISNUMBER(MATCH(DATEVALUE($A27),'recurring1_based on steps'!R$1:R$400,0)),R$2,)</f>
        <v>0</v>
      </c>
      <c r="S27" s="155">
        <f ca="1">IF(ISNUMBER(MATCH(DATEVALUE($A27),'recurring1_based on steps'!S$1:S$400,0)),S$2,)</f>
        <v>0</v>
      </c>
      <c r="T27" s="155">
        <f ca="1">IF(ISNUMBER(MATCH(DATEVALUE($A27),'recurring1_based on steps'!T$1:T$400,0)),T$2,)</f>
        <v>0</v>
      </c>
      <c r="U27" s="155">
        <f ca="1">IF(ISNUMBER(MATCH(DATEVALUE($A27),'recurring1_based on steps'!U$1:U$400,0)),U$2,)</f>
        <v>0</v>
      </c>
      <c r="V27" s="155">
        <f ca="1">IF(ISNUMBER(MATCH(DATEVALUE($A27),'recurring1_based on steps'!V$1:V$400,0)),V$2,)</f>
        <v>0</v>
      </c>
      <c r="W27" s="155">
        <f ca="1">IF(ISNUMBER(MATCH(DATEVALUE($A27),'recurring1_based on steps'!W$1:W$400,0)),W$2,)</f>
        <v>0</v>
      </c>
      <c r="X27" s="155">
        <f ca="1">IF(ISNUMBER(MATCH(DATEVALUE($A27),'recurring1_based on steps'!X$1:X$400,0)),X$2,)</f>
        <v>0</v>
      </c>
      <c r="Y27" s="155">
        <f ca="1">IF(ISNUMBER(MATCH(DATEVALUE($A27),'recurring1_based on steps'!Y$1:Y$400,0)),Y$2,)</f>
        <v>0</v>
      </c>
      <c r="Z27" s="155">
        <f ca="1">IF(ISNUMBER(MATCH(DATEVALUE($A27),'recurring1_based on steps'!Z$1:Z$400,0)),Z$2,)</f>
        <v>0</v>
      </c>
      <c r="AA27" s="155">
        <f ca="1">IF(ISNUMBER(MATCH(DATEVALUE($A27),'recurring1_based on steps'!AA$1:AA$400,0)),AA$2,)</f>
        <v>0</v>
      </c>
      <c r="AB27" s="155">
        <f ca="1">IF(ISNUMBER(MATCH(DATEVALUE($A27),'recurring1_based on steps'!AB$1:AB$400,0)),AB$2,)</f>
        <v>0</v>
      </c>
      <c r="AC27" s="155">
        <f ca="1">IF(ISNUMBER(MATCH(DATEVALUE($A27),'recurring1_based on steps'!AC$1:AC$400,0)),AC$2,)</f>
        <v>0</v>
      </c>
      <c r="AD27" s="155">
        <f ca="1">IF(ISNUMBER(MATCH(DATEVALUE($A27),'recurring1_based on steps'!AD$1:AD$400,0)),AD$2,)</f>
        <v>0</v>
      </c>
      <c r="AE27" s="155">
        <f ca="1">IF(ISNUMBER(MATCH(DATEVALUE($A27),'recurring1_based on steps'!AE$1:AE$400,0)),AE$2,)</f>
        <v>0</v>
      </c>
      <c r="AF27" s="155">
        <f ca="1">IF(ISNUMBER(MATCH(DATEVALUE($A27),'recurring1_based on steps'!AF$1:AF$400,0)),AF$2,)</f>
        <v>0</v>
      </c>
      <c r="AG27" s="155">
        <f ca="1">IF(ISNUMBER(MATCH(DATEVALUE($A27),'recurring1_based on steps'!AG$1:AG$400,0)),AG$2,)</f>
        <v>0</v>
      </c>
      <c r="AH27" s="155">
        <f ca="1">IF(ISNUMBER(MATCH(DATEVALUE($A27),'recurring1_based on steps'!AH$1:AH$400,0)),AH$2,)</f>
        <v>0</v>
      </c>
      <c r="AI27" s="155">
        <f ca="1">IF(ISNUMBER(MATCH(DATEVALUE($A27),'recurring1_based on steps'!AI$1:AI$400,0)),AI$2,)</f>
        <v>0</v>
      </c>
      <c r="AJ27" s="155">
        <f ca="1">IF(ISNUMBER(MATCH(DATEVALUE($A27),'recurring1_based on steps'!AJ$1:AJ$400,0)),AJ$2,)</f>
        <v>0</v>
      </c>
      <c r="AK27" s="155">
        <f ca="1">IF(ISNUMBER(MATCH(DATEVALUE($A27),'recurring1_based on steps'!AK$1:AK$400,0)),AK$2,)</f>
        <v>0</v>
      </c>
      <c r="AL27" s="155">
        <f ca="1">IF(ISNUMBER(MATCH(DATEVALUE($A27),'recurring1_based on steps'!AL$1:AL$400,0)),AL$2,)</f>
        <v>0</v>
      </c>
      <c r="AM27" s="155">
        <f ca="1">IF(ISNUMBER(MATCH(DATEVALUE($A27),'recurring1_based on steps'!AM$1:AM$400,0)),AM$2,)</f>
        <v>0</v>
      </c>
      <c r="AN27" s="155">
        <f ca="1">IF(ISNUMBER(MATCH(DATEVALUE($A27),'recurring1_based on steps'!AN$1:AN$400,0)),AN$2,)</f>
        <v>0</v>
      </c>
      <c r="AO27" s="155">
        <f ca="1">IF(ISNUMBER(MATCH(DATEVALUE($A27),'recurring1_based on steps'!AO$1:AO$400,0)),AO$2,)</f>
        <v>0</v>
      </c>
      <c r="AP27" s="155">
        <f ca="1">IF(ISNUMBER(MATCH(DATEVALUE($A27),'recurring1_based on steps'!AP$1:AP$400,0)),AP$2,)</f>
        <v>0</v>
      </c>
      <c r="AQ27" s="155">
        <f ca="1">IF(ISNUMBER(MATCH(DATEVALUE($A27),'recurring1_based on steps'!AQ$1:AQ$400,0)),AQ$2,)</f>
        <v>0</v>
      </c>
      <c r="AR27" s="155">
        <f ca="1">IF(ISNUMBER(MATCH(DATEVALUE($A27),'recurring1_based on steps'!AR$1:AR$400,0)),AR$2,)</f>
        <v>0</v>
      </c>
      <c r="AS27" s="155">
        <f ca="1">IF(ISNUMBER(MATCH(DATEVALUE($A27),'recurring1_based on steps'!AS$1:AS$400,0)),AS$2,)</f>
        <v>0</v>
      </c>
      <c r="AT27" s="155">
        <f ca="1">IF(ISNUMBER(MATCH(DATEVALUE($A27),'recurring1_based on steps'!AT$1:AT$400,0)),AT$2,)</f>
        <v>0</v>
      </c>
      <c r="AU27" s="155">
        <f ca="1">IF(ISNUMBER(MATCH(DATEVALUE($A27),'recurring1_based on steps'!AU$1:AU$400,0)),AU$2,)</f>
        <v>0</v>
      </c>
      <c r="AV27" s="155">
        <f ca="1">IF(ISNUMBER(MATCH(DATEVALUE($A27),'recurring1_based on steps'!AV$1:AV$400,0)),AV$2,)</f>
        <v>0</v>
      </c>
      <c r="AW27" s="155">
        <f ca="1">IF(ISNUMBER(MATCH(DATEVALUE($A27),'recurring1_based on steps'!AW$1:AW$400,0)),AW$2,)</f>
        <v>0</v>
      </c>
      <c r="AX27" s="155">
        <f ca="1">IF(ISNUMBER(MATCH(DATEVALUE($A27),'recurring1_based on steps'!AX$1:AX$400,0)),AX$2,)</f>
        <v>0</v>
      </c>
      <c r="AY27" s="155">
        <f ca="1">IF(ISNUMBER(MATCH(DATEVALUE($A27),'recurring1_based on steps'!AY$1:AY$400,0)),AY$2,)</f>
        <v>0</v>
      </c>
    </row>
    <row r="28" spans="1:51" x14ac:dyDescent="0.2">
      <c r="A28" s="18" t="str">
        <f t="shared" ca="1" si="0"/>
        <v>2025-02-26</v>
      </c>
      <c r="B28" s="155">
        <f ca="1">IF(ISNUMBER(MATCH(DATEVALUE($A28),'recurring1_based on steps'!B$1:B$400,0)),B$2,)</f>
        <v>0</v>
      </c>
      <c r="C28" s="155">
        <f ca="1">IF(ISNUMBER(MATCH(DATEVALUE($A28),'recurring1_based on steps'!C$1:C$400,0)),C$2,)</f>
        <v>0</v>
      </c>
      <c r="D28" s="155">
        <f ca="1">IF(ISNUMBER(MATCH(DATEVALUE($A28),'recurring1_based on steps'!D$1:D$400,0)),D$2,)</f>
        <v>0</v>
      </c>
      <c r="E28" s="155">
        <f ca="1">IF(ISNUMBER(MATCH(DATEVALUE($A28),'recurring1_based on steps'!E$1:E$400,0)),E$2,)</f>
        <v>0</v>
      </c>
      <c r="F28" s="155">
        <f ca="1">IF(ISNUMBER(MATCH(DATEVALUE($A28),'recurring1_based on steps'!F$1:F$400,0)),F$2,)</f>
        <v>0</v>
      </c>
      <c r="G28" s="155">
        <f ca="1">IF(ISNUMBER(MATCH(DATEVALUE($A28),'recurring1_based on steps'!G$1:G$400,0)),G$2,)</f>
        <v>0</v>
      </c>
      <c r="H28" s="155">
        <f ca="1">IF(ISNUMBER(MATCH(DATEVALUE($A28),'recurring1_based on steps'!H$1:H$400,0)),H$2,)</f>
        <v>0</v>
      </c>
      <c r="I28" s="155">
        <f ca="1">IF(ISNUMBER(MATCH(DATEVALUE($A28),'recurring1_based on steps'!I$1:I$400,0)),I$2,)</f>
        <v>0</v>
      </c>
      <c r="J28" s="155">
        <f ca="1">IF(ISNUMBER(MATCH(DATEVALUE($A28),'recurring1_based on steps'!J$1:J$400,0)),J$2,)</f>
        <v>0</v>
      </c>
      <c r="K28" s="155">
        <f ca="1">IF(ISNUMBER(MATCH(DATEVALUE($A28),'recurring1_based on steps'!K$1:K$400,0)),K$2,)</f>
        <v>0</v>
      </c>
      <c r="L28" s="155">
        <f ca="1">IF(ISNUMBER(MATCH(DATEVALUE($A28),'recurring1_based on steps'!L$1:L$400,0)),L$2,)</f>
        <v>0</v>
      </c>
      <c r="M28" s="155">
        <f ca="1">IF(ISNUMBER(MATCH(DATEVALUE($A28),'recurring1_based on steps'!M$1:M$400,0)),M$2,)</f>
        <v>0</v>
      </c>
      <c r="N28" s="155">
        <f ca="1">IF(ISNUMBER(MATCH(DATEVALUE($A28),'recurring1_based on steps'!N$1:N$400,0)),N$2,)</f>
        <v>0</v>
      </c>
      <c r="O28" s="155">
        <f ca="1">IF(ISNUMBER(MATCH(DATEVALUE($A28),'recurring1_based on steps'!O$1:O$400,0)),O$2,)</f>
        <v>0</v>
      </c>
      <c r="P28" s="155">
        <f ca="1">IF(ISNUMBER(MATCH(DATEVALUE($A28),'recurring1_based on steps'!P$1:P$400,0)),P$2,)</f>
        <v>0</v>
      </c>
      <c r="Q28" s="155">
        <f ca="1">IF(ISNUMBER(MATCH(DATEVALUE($A28),'recurring1_based on steps'!Q$1:Q$400,0)),Q$2,)</f>
        <v>0</v>
      </c>
      <c r="R28" s="155">
        <f ca="1">IF(ISNUMBER(MATCH(DATEVALUE($A28),'recurring1_based on steps'!R$1:R$400,0)),R$2,)</f>
        <v>0</v>
      </c>
      <c r="S28" s="155">
        <f ca="1">IF(ISNUMBER(MATCH(DATEVALUE($A28),'recurring1_based on steps'!S$1:S$400,0)),S$2,)</f>
        <v>0</v>
      </c>
      <c r="T28" s="155">
        <f ca="1">IF(ISNUMBER(MATCH(DATEVALUE($A28),'recurring1_based on steps'!T$1:T$400,0)),T$2,)</f>
        <v>0</v>
      </c>
      <c r="U28" s="155">
        <f ca="1">IF(ISNUMBER(MATCH(DATEVALUE($A28),'recurring1_based on steps'!U$1:U$400,0)),U$2,)</f>
        <v>0</v>
      </c>
      <c r="V28" s="155">
        <f ca="1">IF(ISNUMBER(MATCH(DATEVALUE($A28),'recurring1_based on steps'!V$1:V$400,0)),V$2,)</f>
        <v>0</v>
      </c>
      <c r="W28" s="155">
        <f ca="1">IF(ISNUMBER(MATCH(DATEVALUE($A28),'recurring1_based on steps'!W$1:W$400,0)),W$2,)</f>
        <v>0</v>
      </c>
      <c r="X28" s="155">
        <f ca="1">IF(ISNUMBER(MATCH(DATEVALUE($A28),'recurring1_based on steps'!X$1:X$400,0)),X$2,)</f>
        <v>0</v>
      </c>
      <c r="Y28" s="155">
        <f ca="1">IF(ISNUMBER(MATCH(DATEVALUE($A28),'recurring1_based on steps'!Y$1:Y$400,0)),Y$2,)</f>
        <v>0</v>
      </c>
      <c r="Z28" s="155">
        <f ca="1">IF(ISNUMBER(MATCH(DATEVALUE($A28),'recurring1_based on steps'!Z$1:Z$400,0)),Z$2,)</f>
        <v>0</v>
      </c>
      <c r="AA28" s="155">
        <f ca="1">IF(ISNUMBER(MATCH(DATEVALUE($A28),'recurring1_based on steps'!AA$1:AA$400,0)),AA$2,)</f>
        <v>0</v>
      </c>
      <c r="AB28" s="155">
        <f ca="1">IF(ISNUMBER(MATCH(DATEVALUE($A28),'recurring1_based on steps'!AB$1:AB$400,0)),AB$2,)</f>
        <v>0</v>
      </c>
      <c r="AC28" s="155">
        <f ca="1">IF(ISNUMBER(MATCH(DATEVALUE($A28),'recurring1_based on steps'!AC$1:AC$400,0)),AC$2,)</f>
        <v>0</v>
      </c>
      <c r="AD28" s="155">
        <f ca="1">IF(ISNUMBER(MATCH(DATEVALUE($A28),'recurring1_based on steps'!AD$1:AD$400,0)),AD$2,)</f>
        <v>0</v>
      </c>
      <c r="AE28" s="155">
        <f ca="1">IF(ISNUMBER(MATCH(DATEVALUE($A28),'recurring1_based on steps'!AE$1:AE$400,0)),AE$2,)</f>
        <v>0</v>
      </c>
      <c r="AF28" s="155">
        <f ca="1">IF(ISNUMBER(MATCH(DATEVALUE($A28),'recurring1_based on steps'!AF$1:AF$400,0)),AF$2,)</f>
        <v>0</v>
      </c>
      <c r="AG28" s="155">
        <f ca="1">IF(ISNUMBER(MATCH(DATEVALUE($A28),'recurring1_based on steps'!AG$1:AG$400,0)),AG$2,)</f>
        <v>0</v>
      </c>
      <c r="AH28" s="155">
        <f ca="1">IF(ISNUMBER(MATCH(DATEVALUE($A28),'recurring1_based on steps'!AH$1:AH$400,0)),AH$2,)</f>
        <v>0</v>
      </c>
      <c r="AI28" s="155">
        <f ca="1">IF(ISNUMBER(MATCH(DATEVALUE($A28),'recurring1_based on steps'!AI$1:AI$400,0)),AI$2,)</f>
        <v>0</v>
      </c>
      <c r="AJ28" s="155">
        <f ca="1">IF(ISNUMBER(MATCH(DATEVALUE($A28),'recurring1_based on steps'!AJ$1:AJ$400,0)),AJ$2,)</f>
        <v>0</v>
      </c>
      <c r="AK28" s="155">
        <f ca="1">IF(ISNUMBER(MATCH(DATEVALUE($A28),'recurring1_based on steps'!AK$1:AK$400,0)),AK$2,)</f>
        <v>0</v>
      </c>
      <c r="AL28" s="155">
        <f ca="1">IF(ISNUMBER(MATCH(DATEVALUE($A28),'recurring1_based on steps'!AL$1:AL$400,0)),AL$2,)</f>
        <v>0</v>
      </c>
      <c r="AM28" s="155">
        <f ca="1">IF(ISNUMBER(MATCH(DATEVALUE($A28),'recurring1_based on steps'!AM$1:AM$400,0)),AM$2,)</f>
        <v>0</v>
      </c>
      <c r="AN28" s="155">
        <f ca="1">IF(ISNUMBER(MATCH(DATEVALUE($A28),'recurring1_based on steps'!AN$1:AN$400,0)),AN$2,)</f>
        <v>0</v>
      </c>
      <c r="AO28" s="155">
        <f ca="1">IF(ISNUMBER(MATCH(DATEVALUE($A28),'recurring1_based on steps'!AO$1:AO$400,0)),AO$2,)</f>
        <v>0</v>
      </c>
      <c r="AP28" s="155">
        <f ca="1">IF(ISNUMBER(MATCH(DATEVALUE($A28),'recurring1_based on steps'!AP$1:AP$400,0)),AP$2,)</f>
        <v>0</v>
      </c>
      <c r="AQ28" s="155">
        <f ca="1">IF(ISNUMBER(MATCH(DATEVALUE($A28),'recurring1_based on steps'!AQ$1:AQ$400,0)),AQ$2,)</f>
        <v>0</v>
      </c>
      <c r="AR28" s="155">
        <f ca="1">IF(ISNUMBER(MATCH(DATEVALUE($A28),'recurring1_based on steps'!AR$1:AR$400,0)),AR$2,)</f>
        <v>0</v>
      </c>
      <c r="AS28" s="155">
        <f ca="1">IF(ISNUMBER(MATCH(DATEVALUE($A28),'recurring1_based on steps'!AS$1:AS$400,0)),AS$2,)</f>
        <v>0</v>
      </c>
      <c r="AT28" s="155">
        <f ca="1">IF(ISNUMBER(MATCH(DATEVALUE($A28),'recurring1_based on steps'!AT$1:AT$400,0)),AT$2,)</f>
        <v>0</v>
      </c>
      <c r="AU28" s="155">
        <f ca="1">IF(ISNUMBER(MATCH(DATEVALUE($A28),'recurring1_based on steps'!AU$1:AU$400,0)),AU$2,)</f>
        <v>0</v>
      </c>
      <c r="AV28" s="155">
        <f ca="1">IF(ISNUMBER(MATCH(DATEVALUE($A28),'recurring1_based on steps'!AV$1:AV$400,0)),AV$2,)</f>
        <v>0</v>
      </c>
      <c r="AW28" s="155">
        <f ca="1">IF(ISNUMBER(MATCH(DATEVALUE($A28),'recurring1_based on steps'!AW$1:AW$400,0)),AW$2,)</f>
        <v>0</v>
      </c>
      <c r="AX28" s="155">
        <f ca="1">IF(ISNUMBER(MATCH(DATEVALUE($A28),'recurring1_based on steps'!AX$1:AX$400,0)),AX$2,)</f>
        <v>0</v>
      </c>
      <c r="AY28" s="155">
        <f ca="1">IF(ISNUMBER(MATCH(DATEVALUE($A28),'recurring1_based on steps'!AY$1:AY$400,0)),AY$2,)</f>
        <v>0</v>
      </c>
    </row>
    <row r="29" spans="1:51" x14ac:dyDescent="0.2">
      <c r="A29" s="18" t="str">
        <f t="shared" ca="1" si="0"/>
        <v>2025-02-27</v>
      </c>
      <c r="B29" s="155">
        <f ca="1">IF(ISNUMBER(MATCH(DATEVALUE($A29),'recurring1_based on steps'!B$1:B$400,0)),B$2,)</f>
        <v>0</v>
      </c>
      <c r="C29" s="155">
        <f ca="1">IF(ISNUMBER(MATCH(DATEVALUE($A29),'recurring1_based on steps'!C$1:C$400,0)),C$2,)</f>
        <v>0</v>
      </c>
      <c r="D29" s="155">
        <f ca="1">IF(ISNUMBER(MATCH(DATEVALUE($A29),'recurring1_based on steps'!D$1:D$400,0)),D$2,)</f>
        <v>0</v>
      </c>
      <c r="E29" s="155">
        <f ca="1">IF(ISNUMBER(MATCH(DATEVALUE($A29),'recurring1_based on steps'!E$1:E$400,0)),E$2,)</f>
        <v>0</v>
      </c>
      <c r="F29" s="155">
        <f ca="1">IF(ISNUMBER(MATCH(DATEVALUE($A29),'recurring1_based on steps'!F$1:F$400,0)),F$2,)</f>
        <v>0</v>
      </c>
      <c r="G29" s="155">
        <f ca="1">IF(ISNUMBER(MATCH(DATEVALUE($A29),'recurring1_based on steps'!G$1:G$400,0)),G$2,)</f>
        <v>0</v>
      </c>
      <c r="H29" s="155">
        <f ca="1">IF(ISNUMBER(MATCH(DATEVALUE($A29),'recurring1_based on steps'!H$1:H$400,0)),H$2,)</f>
        <v>0</v>
      </c>
      <c r="I29" s="155">
        <f ca="1">IF(ISNUMBER(MATCH(DATEVALUE($A29),'recurring1_based on steps'!I$1:I$400,0)),I$2,)</f>
        <v>0</v>
      </c>
      <c r="J29" s="155">
        <f ca="1">IF(ISNUMBER(MATCH(DATEVALUE($A29),'recurring1_based on steps'!J$1:J$400,0)),J$2,)</f>
        <v>0</v>
      </c>
      <c r="K29" s="155">
        <f ca="1">IF(ISNUMBER(MATCH(DATEVALUE($A29),'recurring1_based on steps'!K$1:K$400,0)),K$2,)</f>
        <v>0</v>
      </c>
      <c r="L29" s="155">
        <f ca="1">IF(ISNUMBER(MATCH(DATEVALUE($A29),'recurring1_based on steps'!L$1:L$400,0)),L$2,)</f>
        <v>0</v>
      </c>
      <c r="M29" s="155">
        <f ca="1">IF(ISNUMBER(MATCH(DATEVALUE($A29),'recurring1_based on steps'!M$1:M$400,0)),M$2,)</f>
        <v>0</v>
      </c>
      <c r="N29" s="155">
        <f ca="1">IF(ISNUMBER(MATCH(DATEVALUE($A29),'recurring1_based on steps'!N$1:N$400,0)),N$2,)</f>
        <v>0</v>
      </c>
      <c r="O29" s="155">
        <f ca="1">IF(ISNUMBER(MATCH(DATEVALUE($A29),'recurring1_based on steps'!O$1:O$400,0)),O$2,)</f>
        <v>0</v>
      </c>
      <c r="P29" s="155">
        <f ca="1">IF(ISNUMBER(MATCH(DATEVALUE($A29),'recurring1_based on steps'!P$1:P$400,0)),P$2,)</f>
        <v>2.99</v>
      </c>
      <c r="Q29" s="155">
        <f ca="1">IF(ISNUMBER(MATCH(DATEVALUE($A29),'recurring1_based on steps'!Q$1:Q$400,0)),Q$2,)</f>
        <v>0</v>
      </c>
      <c r="R29" s="155">
        <f ca="1">IF(ISNUMBER(MATCH(DATEVALUE($A29),'recurring1_based on steps'!R$1:R$400,0)),R$2,)</f>
        <v>0</v>
      </c>
      <c r="S29" s="155">
        <f ca="1">IF(ISNUMBER(MATCH(DATEVALUE($A29),'recurring1_based on steps'!S$1:S$400,0)),S$2,)</f>
        <v>0</v>
      </c>
      <c r="T29" s="155">
        <f ca="1">IF(ISNUMBER(MATCH(DATEVALUE($A29),'recurring1_based on steps'!T$1:T$400,0)),T$2,)</f>
        <v>0</v>
      </c>
      <c r="U29" s="155">
        <f ca="1">IF(ISNUMBER(MATCH(DATEVALUE($A29),'recurring1_based on steps'!U$1:U$400,0)),U$2,)</f>
        <v>0</v>
      </c>
      <c r="V29" s="155">
        <f ca="1">IF(ISNUMBER(MATCH(DATEVALUE($A29),'recurring1_based on steps'!V$1:V$400,0)),V$2,)</f>
        <v>0</v>
      </c>
      <c r="W29" s="155">
        <f ca="1">IF(ISNUMBER(MATCH(DATEVALUE($A29),'recurring1_based on steps'!W$1:W$400,0)),W$2,)</f>
        <v>0</v>
      </c>
      <c r="X29" s="155">
        <f ca="1">IF(ISNUMBER(MATCH(DATEVALUE($A29),'recurring1_based on steps'!X$1:X$400,0)),X$2,)</f>
        <v>0</v>
      </c>
      <c r="Y29" s="155">
        <f ca="1">IF(ISNUMBER(MATCH(DATEVALUE($A29),'recurring1_based on steps'!Y$1:Y$400,0)),Y$2,)</f>
        <v>0</v>
      </c>
      <c r="Z29" s="155">
        <f ca="1">IF(ISNUMBER(MATCH(DATEVALUE($A29),'recurring1_based on steps'!Z$1:Z$400,0)),Z$2,)</f>
        <v>0</v>
      </c>
      <c r="AA29" s="155">
        <f ca="1">IF(ISNUMBER(MATCH(DATEVALUE($A29),'recurring1_based on steps'!AA$1:AA$400,0)),AA$2,)</f>
        <v>0</v>
      </c>
      <c r="AB29" s="155">
        <f ca="1">IF(ISNUMBER(MATCH(DATEVALUE($A29),'recurring1_based on steps'!AB$1:AB$400,0)),AB$2,)</f>
        <v>0</v>
      </c>
      <c r="AC29" s="155">
        <f ca="1">IF(ISNUMBER(MATCH(DATEVALUE($A29),'recurring1_based on steps'!AC$1:AC$400,0)),AC$2,)</f>
        <v>0</v>
      </c>
      <c r="AD29" s="155">
        <f ca="1">IF(ISNUMBER(MATCH(DATEVALUE($A29),'recurring1_based on steps'!AD$1:AD$400,0)),AD$2,)</f>
        <v>0</v>
      </c>
      <c r="AE29" s="155">
        <f ca="1">IF(ISNUMBER(MATCH(DATEVALUE($A29),'recurring1_based on steps'!AE$1:AE$400,0)),AE$2,)</f>
        <v>0</v>
      </c>
      <c r="AF29" s="155">
        <f ca="1">IF(ISNUMBER(MATCH(DATEVALUE($A29),'recurring1_based on steps'!AF$1:AF$400,0)),AF$2,)</f>
        <v>0</v>
      </c>
      <c r="AG29" s="155">
        <f ca="1">IF(ISNUMBER(MATCH(DATEVALUE($A29),'recurring1_based on steps'!AG$1:AG$400,0)),AG$2,)</f>
        <v>0</v>
      </c>
      <c r="AH29" s="155">
        <f ca="1">IF(ISNUMBER(MATCH(DATEVALUE($A29),'recurring1_based on steps'!AH$1:AH$400,0)),AH$2,)</f>
        <v>0</v>
      </c>
      <c r="AI29" s="155">
        <f ca="1">IF(ISNUMBER(MATCH(DATEVALUE($A29),'recurring1_based on steps'!AI$1:AI$400,0)),AI$2,)</f>
        <v>0</v>
      </c>
      <c r="AJ29" s="155">
        <f ca="1">IF(ISNUMBER(MATCH(DATEVALUE($A29),'recurring1_based on steps'!AJ$1:AJ$400,0)),AJ$2,)</f>
        <v>0</v>
      </c>
      <c r="AK29" s="155">
        <f ca="1">IF(ISNUMBER(MATCH(DATEVALUE($A29),'recurring1_based on steps'!AK$1:AK$400,0)),AK$2,)</f>
        <v>0</v>
      </c>
      <c r="AL29" s="155">
        <f ca="1">IF(ISNUMBER(MATCH(DATEVALUE($A29),'recurring1_based on steps'!AL$1:AL$400,0)),AL$2,)</f>
        <v>0</v>
      </c>
      <c r="AM29" s="155">
        <f ca="1">IF(ISNUMBER(MATCH(DATEVALUE($A29),'recurring1_based on steps'!AM$1:AM$400,0)),AM$2,)</f>
        <v>0</v>
      </c>
      <c r="AN29" s="155">
        <f ca="1">IF(ISNUMBER(MATCH(DATEVALUE($A29),'recurring1_based on steps'!AN$1:AN$400,0)),AN$2,)</f>
        <v>0</v>
      </c>
      <c r="AO29" s="155">
        <f ca="1">IF(ISNUMBER(MATCH(DATEVALUE($A29),'recurring1_based on steps'!AO$1:AO$400,0)),AO$2,)</f>
        <v>0</v>
      </c>
      <c r="AP29" s="155">
        <f ca="1">IF(ISNUMBER(MATCH(DATEVALUE($A29),'recurring1_based on steps'!AP$1:AP$400,0)),AP$2,)</f>
        <v>0</v>
      </c>
      <c r="AQ29" s="155">
        <f ca="1">IF(ISNUMBER(MATCH(DATEVALUE($A29),'recurring1_based on steps'!AQ$1:AQ$400,0)),AQ$2,)</f>
        <v>0</v>
      </c>
      <c r="AR29" s="155">
        <f ca="1">IF(ISNUMBER(MATCH(DATEVALUE($A29),'recurring1_based on steps'!AR$1:AR$400,0)),AR$2,)</f>
        <v>0</v>
      </c>
      <c r="AS29" s="155">
        <f ca="1">IF(ISNUMBER(MATCH(DATEVALUE($A29),'recurring1_based on steps'!AS$1:AS$400,0)),AS$2,)</f>
        <v>0</v>
      </c>
      <c r="AT29" s="155">
        <f ca="1">IF(ISNUMBER(MATCH(DATEVALUE($A29),'recurring1_based on steps'!AT$1:AT$400,0)),AT$2,)</f>
        <v>0</v>
      </c>
      <c r="AU29" s="155">
        <f ca="1">IF(ISNUMBER(MATCH(DATEVALUE($A29),'recurring1_based on steps'!AU$1:AU$400,0)),AU$2,)</f>
        <v>0</v>
      </c>
      <c r="AV29" s="155">
        <f ca="1">IF(ISNUMBER(MATCH(DATEVALUE($A29),'recurring1_based on steps'!AV$1:AV$400,0)),AV$2,)</f>
        <v>0</v>
      </c>
      <c r="AW29" s="155">
        <f ca="1">IF(ISNUMBER(MATCH(DATEVALUE($A29),'recurring1_based on steps'!AW$1:AW$400,0)),AW$2,)</f>
        <v>0</v>
      </c>
      <c r="AX29" s="155">
        <f ca="1">IF(ISNUMBER(MATCH(DATEVALUE($A29),'recurring1_based on steps'!AX$1:AX$400,0)),AX$2,)</f>
        <v>0</v>
      </c>
      <c r="AY29" s="155">
        <f ca="1">IF(ISNUMBER(MATCH(DATEVALUE($A29),'recurring1_based on steps'!AY$1:AY$400,0)),AY$2,)</f>
        <v>0</v>
      </c>
    </row>
    <row r="30" spans="1:51" x14ac:dyDescent="0.2">
      <c r="A30" s="18" t="str">
        <f t="shared" ca="1" si="0"/>
        <v>2025-02-28</v>
      </c>
      <c r="B30" s="155">
        <f ca="1">IF(ISNUMBER(MATCH(DATEVALUE($A30),'recurring1_based on steps'!B$1:B$400,0)),B$2,)</f>
        <v>0</v>
      </c>
      <c r="C30" s="155">
        <f ca="1">IF(ISNUMBER(MATCH(DATEVALUE($A30),'recurring1_based on steps'!C$1:C$400,0)),C$2,)</f>
        <v>0</v>
      </c>
      <c r="D30" s="155">
        <f ca="1">IF(ISNUMBER(MATCH(DATEVALUE($A30),'recurring1_based on steps'!D$1:D$400,0)),D$2,)</f>
        <v>0</v>
      </c>
      <c r="E30" s="155">
        <f ca="1">IF(ISNUMBER(MATCH(DATEVALUE($A30),'recurring1_based on steps'!E$1:E$400,0)),E$2,)</f>
        <v>0</v>
      </c>
      <c r="F30" s="155">
        <f ca="1">IF(ISNUMBER(MATCH(DATEVALUE($A30),'recurring1_based on steps'!F$1:F$400,0)),F$2,)</f>
        <v>0</v>
      </c>
      <c r="G30" s="155">
        <f ca="1">IF(ISNUMBER(MATCH(DATEVALUE($A30),'recurring1_based on steps'!G$1:G$400,0)),G$2,)</f>
        <v>0</v>
      </c>
      <c r="H30" s="155">
        <f ca="1">IF(ISNUMBER(MATCH(DATEVALUE($A30),'recurring1_based on steps'!H$1:H$400,0)),H$2,)</f>
        <v>40</v>
      </c>
      <c r="I30" s="155">
        <f ca="1">IF(ISNUMBER(MATCH(DATEVALUE($A30),'recurring1_based on steps'!I$1:I$400,0)),I$2,)</f>
        <v>0</v>
      </c>
      <c r="J30" s="155">
        <f ca="1">IF(ISNUMBER(MATCH(DATEVALUE($A30),'recurring1_based on steps'!J$1:J$400,0)),J$2,)</f>
        <v>0</v>
      </c>
      <c r="K30" s="155">
        <f ca="1">IF(ISNUMBER(MATCH(DATEVALUE($A30),'recurring1_based on steps'!K$1:K$400,0)),K$2,)</f>
        <v>0</v>
      </c>
      <c r="L30" s="155">
        <f ca="1">IF(ISNUMBER(MATCH(DATEVALUE($A30),'recurring1_based on steps'!L$1:L$400,0)),L$2,)</f>
        <v>0</v>
      </c>
      <c r="M30" s="155">
        <f ca="1">IF(ISNUMBER(MATCH(DATEVALUE($A30),'recurring1_based on steps'!M$1:M$400,0)),M$2,)</f>
        <v>0</v>
      </c>
      <c r="N30" s="155">
        <f ca="1">IF(ISNUMBER(MATCH(DATEVALUE($A30),'recurring1_based on steps'!N$1:N$400,0)),N$2,)</f>
        <v>0</v>
      </c>
      <c r="O30" s="155">
        <f ca="1">IF(ISNUMBER(MATCH(DATEVALUE($A30),'recurring1_based on steps'!O$1:O$400,0)),O$2,)</f>
        <v>0</v>
      </c>
      <c r="P30" s="155">
        <f ca="1">IF(ISNUMBER(MATCH(DATEVALUE($A30),'recurring1_based on steps'!P$1:P$400,0)),P$2,)</f>
        <v>0</v>
      </c>
      <c r="Q30" s="155">
        <f ca="1">IF(ISNUMBER(MATCH(DATEVALUE($A30),'recurring1_based on steps'!Q$1:Q$400,0)),Q$2,)</f>
        <v>0</v>
      </c>
      <c r="R30" s="155">
        <f ca="1">IF(ISNUMBER(MATCH(DATEVALUE($A30),'recurring1_based on steps'!R$1:R$400,0)),R$2,)</f>
        <v>0</v>
      </c>
      <c r="S30" s="155">
        <f ca="1">IF(ISNUMBER(MATCH(DATEVALUE($A30),'recurring1_based on steps'!S$1:S$400,0)),S$2,)</f>
        <v>0</v>
      </c>
      <c r="T30" s="155">
        <f ca="1">IF(ISNUMBER(MATCH(DATEVALUE($A30),'recurring1_based on steps'!T$1:T$400,0)),T$2,)</f>
        <v>0</v>
      </c>
      <c r="U30" s="155">
        <f ca="1">IF(ISNUMBER(MATCH(DATEVALUE($A30),'recurring1_based on steps'!U$1:U$400,0)),U$2,)</f>
        <v>0</v>
      </c>
      <c r="V30" s="155">
        <f ca="1">IF(ISNUMBER(MATCH(DATEVALUE($A30),'recurring1_based on steps'!V$1:V$400,0)),V$2,)</f>
        <v>0</v>
      </c>
      <c r="W30" s="155">
        <f ca="1">IF(ISNUMBER(MATCH(DATEVALUE($A30),'recurring1_based on steps'!W$1:W$400,0)),W$2,)</f>
        <v>100</v>
      </c>
      <c r="X30" s="155">
        <f ca="1">IF(ISNUMBER(MATCH(DATEVALUE($A30),'recurring1_based on steps'!X$1:X$400,0)),X$2,)</f>
        <v>0</v>
      </c>
      <c r="Y30" s="155">
        <f ca="1">IF(ISNUMBER(MATCH(DATEVALUE($A30),'recurring1_based on steps'!Y$1:Y$400,0)),Y$2,)</f>
        <v>0</v>
      </c>
      <c r="Z30" s="155">
        <f ca="1">IF(ISNUMBER(MATCH(DATEVALUE($A30),'recurring1_based on steps'!Z$1:Z$400,0)),Z$2,)</f>
        <v>0</v>
      </c>
      <c r="AA30" s="155">
        <f ca="1">IF(ISNUMBER(MATCH(DATEVALUE($A30),'recurring1_based on steps'!AA$1:AA$400,0)),AA$2,)</f>
        <v>0</v>
      </c>
      <c r="AB30" s="155">
        <f ca="1">IF(ISNUMBER(MATCH(DATEVALUE($A30),'recurring1_based on steps'!AB$1:AB$400,0)),AB$2,)</f>
        <v>0</v>
      </c>
      <c r="AC30" s="155">
        <f ca="1">IF(ISNUMBER(MATCH(DATEVALUE($A30),'recurring1_based on steps'!AC$1:AC$400,0)),AC$2,)</f>
        <v>0</v>
      </c>
      <c r="AD30" s="155">
        <f ca="1">IF(ISNUMBER(MATCH(DATEVALUE($A30),'recurring1_based on steps'!AD$1:AD$400,0)),AD$2,)</f>
        <v>0</v>
      </c>
      <c r="AE30" s="155">
        <f ca="1">IF(ISNUMBER(MATCH(DATEVALUE($A30),'recurring1_based on steps'!AE$1:AE$400,0)),AE$2,)</f>
        <v>0</v>
      </c>
      <c r="AF30" s="155">
        <f ca="1">IF(ISNUMBER(MATCH(DATEVALUE($A30),'recurring1_based on steps'!AF$1:AF$400,0)),AF$2,)</f>
        <v>0</v>
      </c>
      <c r="AG30" s="155">
        <f ca="1">IF(ISNUMBER(MATCH(DATEVALUE($A30),'recurring1_based on steps'!AG$1:AG$400,0)),AG$2,)</f>
        <v>0</v>
      </c>
      <c r="AH30" s="155">
        <f ca="1">IF(ISNUMBER(MATCH(DATEVALUE($A30),'recurring1_based on steps'!AH$1:AH$400,0)),AH$2,)</f>
        <v>0</v>
      </c>
      <c r="AI30" s="155">
        <f ca="1">IF(ISNUMBER(MATCH(DATEVALUE($A30),'recurring1_based on steps'!AI$1:AI$400,0)),AI$2,)</f>
        <v>0</v>
      </c>
      <c r="AJ30" s="155">
        <f ca="1">IF(ISNUMBER(MATCH(DATEVALUE($A30),'recurring1_based on steps'!AJ$1:AJ$400,0)),AJ$2,)</f>
        <v>0</v>
      </c>
      <c r="AK30" s="155">
        <f ca="1">IF(ISNUMBER(MATCH(DATEVALUE($A30),'recurring1_based on steps'!AK$1:AK$400,0)),AK$2,)</f>
        <v>0</v>
      </c>
      <c r="AL30" s="155">
        <f ca="1">IF(ISNUMBER(MATCH(DATEVALUE($A30),'recurring1_based on steps'!AL$1:AL$400,0)),AL$2,)</f>
        <v>0</v>
      </c>
      <c r="AM30" s="155">
        <f ca="1">IF(ISNUMBER(MATCH(DATEVALUE($A30),'recurring1_based on steps'!AM$1:AM$400,0)),AM$2,)</f>
        <v>0</v>
      </c>
      <c r="AN30" s="155">
        <f ca="1">IF(ISNUMBER(MATCH(DATEVALUE($A30),'recurring1_based on steps'!AN$1:AN$400,0)),AN$2,)</f>
        <v>0</v>
      </c>
      <c r="AO30" s="155">
        <f ca="1">IF(ISNUMBER(MATCH(DATEVALUE($A30),'recurring1_based on steps'!AO$1:AO$400,0)),AO$2,)</f>
        <v>0</v>
      </c>
      <c r="AP30" s="155">
        <f ca="1">IF(ISNUMBER(MATCH(DATEVALUE($A30),'recurring1_based on steps'!AP$1:AP$400,0)),AP$2,)</f>
        <v>0</v>
      </c>
      <c r="AQ30" s="155">
        <f ca="1">IF(ISNUMBER(MATCH(DATEVALUE($A30),'recurring1_based on steps'!AQ$1:AQ$400,0)),AQ$2,)</f>
        <v>0</v>
      </c>
      <c r="AR30" s="155">
        <f ca="1">IF(ISNUMBER(MATCH(DATEVALUE($A30),'recurring1_based on steps'!AR$1:AR$400,0)),AR$2,)</f>
        <v>0</v>
      </c>
      <c r="AS30" s="155">
        <f ca="1">IF(ISNUMBER(MATCH(DATEVALUE($A30),'recurring1_based on steps'!AS$1:AS$400,0)),AS$2,)</f>
        <v>0</v>
      </c>
      <c r="AT30" s="155">
        <f ca="1">IF(ISNUMBER(MATCH(DATEVALUE($A30),'recurring1_based on steps'!AT$1:AT$400,0)),AT$2,)</f>
        <v>0</v>
      </c>
      <c r="AU30" s="155">
        <f ca="1">IF(ISNUMBER(MATCH(DATEVALUE($A30),'recurring1_based on steps'!AU$1:AU$400,0)),AU$2,)</f>
        <v>0</v>
      </c>
      <c r="AV30" s="155">
        <f ca="1">IF(ISNUMBER(MATCH(DATEVALUE($A30),'recurring1_based on steps'!AV$1:AV$400,0)),AV$2,)</f>
        <v>0</v>
      </c>
      <c r="AW30" s="155">
        <f ca="1">IF(ISNUMBER(MATCH(DATEVALUE($A30),'recurring1_based on steps'!AW$1:AW$400,0)),AW$2,)</f>
        <v>0</v>
      </c>
      <c r="AX30" s="155">
        <f ca="1">IF(ISNUMBER(MATCH(DATEVALUE($A30),'recurring1_based on steps'!AX$1:AX$400,0)),AX$2,)</f>
        <v>0</v>
      </c>
      <c r="AY30" s="155">
        <f ca="1">IF(ISNUMBER(MATCH(DATEVALUE($A30),'recurring1_based on steps'!AY$1:AY$400,0)),AY$2,)</f>
        <v>0</v>
      </c>
    </row>
    <row r="31" spans="1:51" x14ac:dyDescent="0.2">
      <c r="A31" s="18" t="str">
        <f t="shared" ca="1" si="0"/>
        <v>2025-03-01</v>
      </c>
      <c r="B31" s="155">
        <f ca="1">IF(ISNUMBER(MATCH(DATEVALUE($A31),'recurring1_based on steps'!B$1:B$400,0)),B$2,)</f>
        <v>0</v>
      </c>
      <c r="C31" s="155">
        <f ca="1">IF(ISNUMBER(MATCH(DATEVALUE($A31),'recurring1_based on steps'!C$1:C$400,0)),C$2,)</f>
        <v>0</v>
      </c>
      <c r="D31" s="155">
        <f ca="1">IF(ISNUMBER(MATCH(DATEVALUE($A31),'recurring1_based on steps'!D$1:D$400,0)),D$2,)</f>
        <v>0</v>
      </c>
      <c r="E31" s="155">
        <f ca="1">IF(ISNUMBER(MATCH(DATEVALUE($A31),'recurring1_based on steps'!E$1:E$400,0)),E$2,)</f>
        <v>0</v>
      </c>
      <c r="F31" s="155">
        <f ca="1">IF(ISNUMBER(MATCH(DATEVALUE($A31),'recurring1_based on steps'!F$1:F$400,0)),F$2,)</f>
        <v>0</v>
      </c>
      <c r="G31" s="155">
        <f ca="1">IF(ISNUMBER(MATCH(DATEVALUE($A31),'recurring1_based on steps'!G$1:G$400,0)),G$2,)</f>
        <v>0</v>
      </c>
      <c r="H31" s="155">
        <f ca="1">IF(ISNUMBER(MATCH(DATEVALUE($A31),'recurring1_based on steps'!H$1:H$400,0)),H$2,)</f>
        <v>0</v>
      </c>
      <c r="I31" s="155">
        <f ca="1">IF(ISNUMBER(MATCH(DATEVALUE($A31),'recurring1_based on steps'!I$1:I$400,0)),I$2,)</f>
        <v>2000</v>
      </c>
      <c r="J31" s="155">
        <f ca="1">IF(ISNUMBER(MATCH(DATEVALUE($A31),'recurring1_based on steps'!J$1:J$400,0)),J$2,)</f>
        <v>0</v>
      </c>
      <c r="K31" s="155">
        <f ca="1">IF(ISNUMBER(MATCH(DATEVALUE($A31),'recurring1_based on steps'!K$1:K$400,0)),K$2,)</f>
        <v>0</v>
      </c>
      <c r="L31" s="155">
        <f ca="1">IF(ISNUMBER(MATCH(DATEVALUE($A31),'recurring1_based on steps'!L$1:L$400,0)),L$2,)</f>
        <v>0</v>
      </c>
      <c r="M31" s="155">
        <f ca="1">IF(ISNUMBER(MATCH(DATEVALUE($A31),'recurring1_based on steps'!M$1:M$400,0)),M$2,)</f>
        <v>0</v>
      </c>
      <c r="N31" s="155">
        <f ca="1">IF(ISNUMBER(MATCH(DATEVALUE($A31),'recurring1_based on steps'!N$1:N$400,0)),N$2,)</f>
        <v>0</v>
      </c>
      <c r="O31" s="155">
        <f ca="1">IF(ISNUMBER(MATCH(DATEVALUE($A31),'recurring1_based on steps'!O$1:O$400,0)),O$2,)</f>
        <v>0</v>
      </c>
      <c r="P31" s="155">
        <f ca="1">IF(ISNUMBER(MATCH(DATEVALUE($A31),'recurring1_based on steps'!P$1:P$400,0)),P$2,)</f>
        <v>0</v>
      </c>
      <c r="Q31" s="155">
        <f ca="1">IF(ISNUMBER(MATCH(DATEVALUE($A31),'recurring1_based on steps'!Q$1:Q$400,0)),Q$2,)</f>
        <v>100</v>
      </c>
      <c r="R31" s="155">
        <f ca="1">IF(ISNUMBER(MATCH(DATEVALUE($A31),'recurring1_based on steps'!R$1:R$400,0)),R$2,)</f>
        <v>100</v>
      </c>
      <c r="S31" s="155">
        <f ca="1">IF(ISNUMBER(MATCH(DATEVALUE($A31),'recurring1_based on steps'!S$1:S$400,0)),S$2,)</f>
        <v>0</v>
      </c>
      <c r="T31" s="155">
        <f ca="1">IF(ISNUMBER(MATCH(DATEVALUE($A31),'recurring1_based on steps'!T$1:T$400,0)),T$2,)</f>
        <v>0</v>
      </c>
      <c r="U31" s="155">
        <f ca="1">IF(ISNUMBER(MATCH(DATEVALUE($A31),'recurring1_based on steps'!U$1:U$400,0)),U$2,)</f>
        <v>0</v>
      </c>
      <c r="V31" s="155">
        <f ca="1">IF(ISNUMBER(MATCH(DATEVALUE($A31),'recurring1_based on steps'!V$1:V$400,0)),V$2,)</f>
        <v>0</v>
      </c>
      <c r="W31" s="155">
        <f ca="1">IF(ISNUMBER(MATCH(DATEVALUE($A31),'recurring1_based on steps'!W$1:W$400,0)),W$2,)</f>
        <v>0</v>
      </c>
      <c r="X31" s="155">
        <f ca="1">IF(ISNUMBER(MATCH(DATEVALUE($A31),'recurring1_based on steps'!X$1:X$400,0)),X$2,)</f>
        <v>0</v>
      </c>
      <c r="Y31" s="155">
        <f ca="1">IF(ISNUMBER(MATCH(DATEVALUE($A31),'recurring1_based on steps'!Y$1:Y$400,0)),Y$2,)</f>
        <v>0</v>
      </c>
      <c r="Z31" s="155">
        <f ca="1">IF(ISNUMBER(MATCH(DATEVALUE($A31),'recurring1_based on steps'!Z$1:Z$400,0)),Z$2,)</f>
        <v>0</v>
      </c>
      <c r="AA31" s="155">
        <f ca="1">IF(ISNUMBER(MATCH(DATEVALUE($A31),'recurring1_based on steps'!AA$1:AA$400,0)),AA$2,)</f>
        <v>0</v>
      </c>
      <c r="AB31" s="155">
        <f ca="1">IF(ISNUMBER(MATCH(DATEVALUE($A31),'recurring1_based on steps'!AB$1:AB$400,0)),AB$2,)</f>
        <v>0</v>
      </c>
      <c r="AC31" s="155">
        <f ca="1">IF(ISNUMBER(MATCH(DATEVALUE($A31),'recurring1_based on steps'!AC$1:AC$400,0)),AC$2,)</f>
        <v>0</v>
      </c>
      <c r="AD31" s="155">
        <f ca="1">IF(ISNUMBER(MATCH(DATEVALUE($A31),'recurring1_based on steps'!AD$1:AD$400,0)),AD$2,)</f>
        <v>0</v>
      </c>
      <c r="AE31" s="155">
        <f ca="1">IF(ISNUMBER(MATCH(DATEVALUE($A31),'recurring1_based on steps'!AE$1:AE$400,0)),AE$2,)</f>
        <v>0</v>
      </c>
      <c r="AF31" s="155">
        <f ca="1">IF(ISNUMBER(MATCH(DATEVALUE($A31),'recurring1_based on steps'!AF$1:AF$400,0)),AF$2,)</f>
        <v>0</v>
      </c>
      <c r="AG31" s="155">
        <f ca="1">IF(ISNUMBER(MATCH(DATEVALUE($A31),'recurring1_based on steps'!AG$1:AG$400,0)),AG$2,)</f>
        <v>0</v>
      </c>
      <c r="AH31" s="155">
        <f ca="1">IF(ISNUMBER(MATCH(DATEVALUE($A31),'recurring1_based on steps'!AH$1:AH$400,0)),AH$2,)</f>
        <v>0</v>
      </c>
      <c r="AI31" s="155">
        <f ca="1">IF(ISNUMBER(MATCH(DATEVALUE($A31),'recurring1_based on steps'!AI$1:AI$400,0)),AI$2,)</f>
        <v>0</v>
      </c>
      <c r="AJ31" s="155">
        <f ca="1">IF(ISNUMBER(MATCH(DATEVALUE($A31),'recurring1_based on steps'!AJ$1:AJ$400,0)),AJ$2,)</f>
        <v>0</v>
      </c>
      <c r="AK31" s="155">
        <f ca="1">IF(ISNUMBER(MATCH(DATEVALUE($A31),'recurring1_based on steps'!AK$1:AK$400,0)),AK$2,)</f>
        <v>0</v>
      </c>
      <c r="AL31" s="155">
        <f ca="1">IF(ISNUMBER(MATCH(DATEVALUE($A31),'recurring1_based on steps'!AL$1:AL$400,0)),AL$2,)</f>
        <v>0</v>
      </c>
      <c r="AM31" s="155">
        <f ca="1">IF(ISNUMBER(MATCH(DATEVALUE($A31),'recurring1_based on steps'!AM$1:AM$400,0)),AM$2,)</f>
        <v>0</v>
      </c>
      <c r="AN31" s="155">
        <f ca="1">IF(ISNUMBER(MATCH(DATEVALUE($A31),'recurring1_based on steps'!AN$1:AN$400,0)),AN$2,)</f>
        <v>0</v>
      </c>
      <c r="AO31" s="155">
        <f ca="1">IF(ISNUMBER(MATCH(DATEVALUE($A31),'recurring1_based on steps'!AO$1:AO$400,0)),AO$2,)</f>
        <v>0</v>
      </c>
      <c r="AP31" s="155">
        <f ca="1">IF(ISNUMBER(MATCH(DATEVALUE($A31),'recurring1_based on steps'!AP$1:AP$400,0)),AP$2,)</f>
        <v>0</v>
      </c>
      <c r="AQ31" s="155">
        <f ca="1">IF(ISNUMBER(MATCH(DATEVALUE($A31),'recurring1_based on steps'!AQ$1:AQ$400,0)),AQ$2,)</f>
        <v>0</v>
      </c>
      <c r="AR31" s="155">
        <f ca="1">IF(ISNUMBER(MATCH(DATEVALUE($A31),'recurring1_based on steps'!AR$1:AR$400,0)),AR$2,)</f>
        <v>0</v>
      </c>
      <c r="AS31" s="155">
        <f ca="1">IF(ISNUMBER(MATCH(DATEVALUE($A31),'recurring1_based on steps'!AS$1:AS$400,0)),AS$2,)</f>
        <v>0</v>
      </c>
      <c r="AT31" s="155">
        <f ca="1">IF(ISNUMBER(MATCH(DATEVALUE($A31),'recurring1_based on steps'!AT$1:AT$400,0)),AT$2,)</f>
        <v>0</v>
      </c>
      <c r="AU31" s="155">
        <f ca="1">IF(ISNUMBER(MATCH(DATEVALUE($A31),'recurring1_based on steps'!AU$1:AU$400,0)),AU$2,)</f>
        <v>0</v>
      </c>
      <c r="AV31" s="155">
        <f ca="1">IF(ISNUMBER(MATCH(DATEVALUE($A31),'recurring1_based on steps'!AV$1:AV$400,0)),AV$2,)</f>
        <v>0</v>
      </c>
      <c r="AW31" s="155">
        <f ca="1">IF(ISNUMBER(MATCH(DATEVALUE($A31),'recurring1_based on steps'!AW$1:AW$400,0)),AW$2,)</f>
        <v>0</v>
      </c>
      <c r="AX31" s="155">
        <f ca="1">IF(ISNUMBER(MATCH(DATEVALUE($A31),'recurring1_based on steps'!AX$1:AX$400,0)),AX$2,)</f>
        <v>0</v>
      </c>
      <c r="AY31" s="155">
        <f ca="1">IF(ISNUMBER(MATCH(DATEVALUE($A31),'recurring1_based on steps'!AY$1:AY$400,0)),AY$2,)</f>
        <v>0</v>
      </c>
    </row>
    <row r="32" spans="1:51" x14ac:dyDescent="0.2">
      <c r="A32" s="18" t="str">
        <f t="shared" ca="1" si="0"/>
        <v>2025-03-02</v>
      </c>
      <c r="B32" s="155">
        <f ca="1">IF(ISNUMBER(MATCH(DATEVALUE($A32),'recurring1_based on steps'!B$1:B$400,0)),B$2,)</f>
        <v>0</v>
      </c>
      <c r="C32" s="155">
        <f ca="1">IF(ISNUMBER(MATCH(DATEVALUE($A32),'recurring1_based on steps'!C$1:C$400,0)),C$2,)</f>
        <v>0</v>
      </c>
      <c r="D32" s="155">
        <f ca="1">IF(ISNUMBER(MATCH(DATEVALUE($A32),'recurring1_based on steps'!D$1:D$400,0)),D$2,)</f>
        <v>0</v>
      </c>
      <c r="E32" s="155">
        <f ca="1">IF(ISNUMBER(MATCH(DATEVALUE($A32),'recurring1_based on steps'!E$1:E$400,0)),E$2,)</f>
        <v>0</v>
      </c>
      <c r="F32" s="155">
        <f ca="1">IF(ISNUMBER(MATCH(DATEVALUE($A32),'recurring1_based on steps'!F$1:F$400,0)),F$2,)</f>
        <v>0</v>
      </c>
      <c r="G32" s="155">
        <f ca="1">IF(ISNUMBER(MATCH(DATEVALUE($A32),'recurring1_based on steps'!G$1:G$400,0)),G$2,)</f>
        <v>0</v>
      </c>
      <c r="H32" s="155">
        <f ca="1">IF(ISNUMBER(MATCH(DATEVALUE($A32),'recurring1_based on steps'!H$1:H$400,0)),H$2,)</f>
        <v>0</v>
      </c>
      <c r="I32" s="155">
        <f ca="1">IF(ISNUMBER(MATCH(DATEVALUE($A32),'recurring1_based on steps'!I$1:I$400,0)),I$2,)</f>
        <v>0</v>
      </c>
      <c r="J32" s="155">
        <f ca="1">IF(ISNUMBER(MATCH(DATEVALUE($A32),'recurring1_based on steps'!J$1:J$400,0)),J$2,)</f>
        <v>0</v>
      </c>
      <c r="K32" s="155">
        <f ca="1">IF(ISNUMBER(MATCH(DATEVALUE($A32),'recurring1_based on steps'!K$1:K$400,0)),K$2,)</f>
        <v>50</v>
      </c>
      <c r="L32" s="155">
        <f ca="1">IF(ISNUMBER(MATCH(DATEVALUE($A32),'recurring1_based on steps'!L$1:L$400,0)),L$2,)</f>
        <v>0</v>
      </c>
      <c r="M32" s="155">
        <f ca="1">IF(ISNUMBER(MATCH(DATEVALUE($A32),'recurring1_based on steps'!M$1:M$400,0)),M$2,)</f>
        <v>0</v>
      </c>
      <c r="N32" s="155">
        <f ca="1">IF(ISNUMBER(MATCH(DATEVALUE($A32),'recurring1_based on steps'!N$1:N$400,0)),N$2,)</f>
        <v>0</v>
      </c>
      <c r="O32" s="155">
        <f ca="1">IF(ISNUMBER(MATCH(DATEVALUE($A32),'recurring1_based on steps'!O$1:O$400,0)),O$2,)</f>
        <v>0</v>
      </c>
      <c r="P32" s="155">
        <f ca="1">IF(ISNUMBER(MATCH(DATEVALUE($A32),'recurring1_based on steps'!P$1:P$400,0)),P$2,)</f>
        <v>0</v>
      </c>
      <c r="Q32" s="155">
        <f ca="1">IF(ISNUMBER(MATCH(DATEVALUE($A32),'recurring1_based on steps'!Q$1:Q$400,0)),Q$2,)</f>
        <v>0</v>
      </c>
      <c r="R32" s="155">
        <f ca="1">IF(ISNUMBER(MATCH(DATEVALUE($A32),'recurring1_based on steps'!R$1:R$400,0)),R$2,)</f>
        <v>0</v>
      </c>
      <c r="S32" s="155">
        <f ca="1">IF(ISNUMBER(MATCH(DATEVALUE($A32),'recurring1_based on steps'!S$1:S$400,0)),S$2,)</f>
        <v>100</v>
      </c>
      <c r="T32" s="155">
        <f ca="1">IF(ISNUMBER(MATCH(DATEVALUE($A32),'recurring1_based on steps'!T$1:T$400,0)),T$2,)</f>
        <v>0</v>
      </c>
      <c r="U32" s="155">
        <f ca="1">IF(ISNUMBER(MATCH(DATEVALUE($A32),'recurring1_based on steps'!U$1:U$400,0)),U$2,)</f>
        <v>0</v>
      </c>
      <c r="V32" s="155">
        <f ca="1">IF(ISNUMBER(MATCH(DATEVALUE($A32),'recurring1_based on steps'!V$1:V$400,0)),V$2,)</f>
        <v>0</v>
      </c>
      <c r="W32" s="155">
        <f ca="1">IF(ISNUMBER(MATCH(DATEVALUE($A32),'recurring1_based on steps'!W$1:W$400,0)),W$2,)</f>
        <v>0</v>
      </c>
      <c r="X32" s="155">
        <f ca="1">IF(ISNUMBER(MATCH(DATEVALUE($A32),'recurring1_based on steps'!X$1:X$400,0)),X$2,)</f>
        <v>0</v>
      </c>
      <c r="Y32" s="155">
        <f ca="1">IF(ISNUMBER(MATCH(DATEVALUE($A32),'recurring1_based on steps'!Y$1:Y$400,0)),Y$2,)</f>
        <v>0</v>
      </c>
      <c r="Z32" s="155">
        <f ca="1">IF(ISNUMBER(MATCH(DATEVALUE($A32),'recurring1_based on steps'!Z$1:Z$400,0)),Z$2,)</f>
        <v>0</v>
      </c>
      <c r="AA32" s="155">
        <f ca="1">IF(ISNUMBER(MATCH(DATEVALUE($A32),'recurring1_based on steps'!AA$1:AA$400,0)),AA$2,)</f>
        <v>0</v>
      </c>
      <c r="AB32" s="155">
        <f ca="1">IF(ISNUMBER(MATCH(DATEVALUE($A32),'recurring1_based on steps'!AB$1:AB$400,0)),AB$2,)</f>
        <v>0</v>
      </c>
      <c r="AC32" s="155">
        <f ca="1">IF(ISNUMBER(MATCH(DATEVALUE($A32),'recurring1_based on steps'!AC$1:AC$400,0)),AC$2,)</f>
        <v>0</v>
      </c>
      <c r="AD32" s="155">
        <f ca="1">IF(ISNUMBER(MATCH(DATEVALUE($A32),'recurring1_based on steps'!AD$1:AD$400,0)),AD$2,)</f>
        <v>0</v>
      </c>
      <c r="AE32" s="155">
        <f ca="1">IF(ISNUMBER(MATCH(DATEVALUE($A32),'recurring1_based on steps'!AE$1:AE$400,0)),AE$2,)</f>
        <v>0</v>
      </c>
      <c r="AF32" s="155">
        <f ca="1">IF(ISNUMBER(MATCH(DATEVALUE($A32),'recurring1_based on steps'!AF$1:AF$400,0)),AF$2,)</f>
        <v>0</v>
      </c>
      <c r="AG32" s="155">
        <f ca="1">IF(ISNUMBER(MATCH(DATEVALUE($A32),'recurring1_based on steps'!AG$1:AG$400,0)),AG$2,)</f>
        <v>0</v>
      </c>
      <c r="AH32" s="155">
        <f ca="1">IF(ISNUMBER(MATCH(DATEVALUE($A32),'recurring1_based on steps'!AH$1:AH$400,0)),AH$2,)</f>
        <v>0</v>
      </c>
      <c r="AI32" s="155">
        <f ca="1">IF(ISNUMBER(MATCH(DATEVALUE($A32),'recurring1_based on steps'!AI$1:AI$400,0)),AI$2,)</f>
        <v>0</v>
      </c>
      <c r="AJ32" s="155">
        <f ca="1">IF(ISNUMBER(MATCH(DATEVALUE($A32),'recurring1_based on steps'!AJ$1:AJ$400,0)),AJ$2,)</f>
        <v>0</v>
      </c>
      <c r="AK32" s="155">
        <f ca="1">IF(ISNUMBER(MATCH(DATEVALUE($A32),'recurring1_based on steps'!AK$1:AK$400,0)),AK$2,)</f>
        <v>0</v>
      </c>
      <c r="AL32" s="155">
        <f ca="1">IF(ISNUMBER(MATCH(DATEVALUE($A32),'recurring1_based on steps'!AL$1:AL$400,0)),AL$2,)</f>
        <v>0</v>
      </c>
      <c r="AM32" s="155">
        <f ca="1">IF(ISNUMBER(MATCH(DATEVALUE($A32),'recurring1_based on steps'!AM$1:AM$400,0)),AM$2,)</f>
        <v>0</v>
      </c>
      <c r="AN32" s="155">
        <f ca="1">IF(ISNUMBER(MATCH(DATEVALUE($A32),'recurring1_based on steps'!AN$1:AN$400,0)),AN$2,)</f>
        <v>0</v>
      </c>
      <c r="AO32" s="155">
        <f ca="1">IF(ISNUMBER(MATCH(DATEVALUE($A32),'recurring1_based on steps'!AO$1:AO$400,0)),AO$2,)</f>
        <v>0</v>
      </c>
      <c r="AP32" s="155">
        <f ca="1">IF(ISNUMBER(MATCH(DATEVALUE($A32),'recurring1_based on steps'!AP$1:AP$400,0)),AP$2,)</f>
        <v>0</v>
      </c>
      <c r="AQ32" s="155">
        <f ca="1">IF(ISNUMBER(MATCH(DATEVALUE($A32),'recurring1_based on steps'!AQ$1:AQ$400,0)),AQ$2,)</f>
        <v>0</v>
      </c>
      <c r="AR32" s="155">
        <f ca="1">IF(ISNUMBER(MATCH(DATEVALUE($A32),'recurring1_based on steps'!AR$1:AR$400,0)),AR$2,)</f>
        <v>0</v>
      </c>
      <c r="AS32" s="155">
        <f ca="1">IF(ISNUMBER(MATCH(DATEVALUE($A32),'recurring1_based on steps'!AS$1:AS$400,0)),AS$2,)</f>
        <v>0</v>
      </c>
      <c r="AT32" s="155">
        <f ca="1">IF(ISNUMBER(MATCH(DATEVALUE($A32),'recurring1_based on steps'!AT$1:AT$400,0)),AT$2,)</f>
        <v>0</v>
      </c>
      <c r="AU32" s="155">
        <f ca="1">IF(ISNUMBER(MATCH(DATEVALUE($A32),'recurring1_based on steps'!AU$1:AU$400,0)),AU$2,)</f>
        <v>0</v>
      </c>
      <c r="AV32" s="155">
        <f ca="1">IF(ISNUMBER(MATCH(DATEVALUE($A32),'recurring1_based on steps'!AV$1:AV$400,0)),AV$2,)</f>
        <v>0</v>
      </c>
      <c r="AW32" s="155">
        <f ca="1">IF(ISNUMBER(MATCH(DATEVALUE($A32),'recurring1_based on steps'!AW$1:AW$400,0)),AW$2,)</f>
        <v>0</v>
      </c>
      <c r="AX32" s="155">
        <f ca="1">IF(ISNUMBER(MATCH(DATEVALUE($A32),'recurring1_based on steps'!AX$1:AX$400,0)),AX$2,)</f>
        <v>0</v>
      </c>
      <c r="AY32" s="155">
        <f ca="1">IF(ISNUMBER(MATCH(DATEVALUE($A32),'recurring1_based on steps'!AY$1:AY$400,0)),AY$2,)</f>
        <v>0</v>
      </c>
    </row>
    <row r="33" spans="1:51" x14ac:dyDescent="0.2">
      <c r="A33" s="18" t="str">
        <f t="shared" ca="1" si="0"/>
        <v>2025-03-03</v>
      </c>
      <c r="B33" s="155">
        <f ca="1">IF(ISNUMBER(MATCH(DATEVALUE($A33),'recurring1_based on steps'!B$1:B$400,0)),B$2,)</f>
        <v>0</v>
      </c>
      <c r="C33" s="155">
        <f ca="1">IF(ISNUMBER(MATCH(DATEVALUE($A33),'recurring1_based on steps'!C$1:C$400,0)),C$2,)</f>
        <v>0</v>
      </c>
      <c r="D33" s="155">
        <f ca="1">IF(ISNUMBER(MATCH(DATEVALUE($A33),'recurring1_based on steps'!D$1:D$400,0)),D$2,)</f>
        <v>0</v>
      </c>
      <c r="E33" s="155">
        <f ca="1">IF(ISNUMBER(MATCH(DATEVALUE($A33),'recurring1_based on steps'!E$1:E$400,0)),E$2,)</f>
        <v>0</v>
      </c>
      <c r="F33" s="155">
        <f ca="1">IF(ISNUMBER(MATCH(DATEVALUE($A33),'recurring1_based on steps'!F$1:F$400,0)),F$2,)</f>
        <v>0</v>
      </c>
      <c r="G33" s="155">
        <f ca="1">IF(ISNUMBER(MATCH(DATEVALUE($A33),'recurring1_based on steps'!G$1:G$400,0)),G$2,)</f>
        <v>0</v>
      </c>
      <c r="H33" s="155">
        <f ca="1">IF(ISNUMBER(MATCH(DATEVALUE($A33),'recurring1_based on steps'!H$1:H$400,0)),H$2,)</f>
        <v>0</v>
      </c>
      <c r="I33" s="155">
        <f ca="1">IF(ISNUMBER(MATCH(DATEVALUE($A33),'recurring1_based on steps'!I$1:I$400,0)),I$2,)</f>
        <v>0</v>
      </c>
      <c r="J33" s="155">
        <f ca="1">IF(ISNUMBER(MATCH(DATEVALUE($A33),'recurring1_based on steps'!J$1:J$400,0)),J$2,)</f>
        <v>0</v>
      </c>
      <c r="K33" s="155">
        <f ca="1">IF(ISNUMBER(MATCH(DATEVALUE($A33),'recurring1_based on steps'!K$1:K$400,0)),K$2,)</f>
        <v>0</v>
      </c>
      <c r="L33" s="155">
        <f ca="1">IF(ISNUMBER(MATCH(DATEVALUE($A33),'recurring1_based on steps'!L$1:L$400,0)),L$2,)</f>
        <v>0</v>
      </c>
      <c r="M33" s="155">
        <f ca="1">IF(ISNUMBER(MATCH(DATEVALUE($A33),'recurring1_based on steps'!M$1:M$400,0)),M$2,)</f>
        <v>0</v>
      </c>
      <c r="N33" s="155">
        <f ca="1">IF(ISNUMBER(MATCH(DATEVALUE($A33),'recurring1_based on steps'!N$1:N$400,0)),N$2,)</f>
        <v>0</v>
      </c>
      <c r="O33" s="155">
        <f ca="1">IF(ISNUMBER(MATCH(DATEVALUE($A33),'recurring1_based on steps'!O$1:O$400,0)),O$2,)</f>
        <v>0</v>
      </c>
      <c r="P33" s="155">
        <f ca="1">IF(ISNUMBER(MATCH(DATEVALUE($A33),'recurring1_based on steps'!P$1:P$400,0)),P$2,)</f>
        <v>0</v>
      </c>
      <c r="Q33" s="155">
        <f ca="1">IF(ISNUMBER(MATCH(DATEVALUE($A33),'recurring1_based on steps'!Q$1:Q$400,0)),Q$2,)</f>
        <v>0</v>
      </c>
      <c r="R33" s="155">
        <f ca="1">IF(ISNUMBER(MATCH(DATEVALUE($A33),'recurring1_based on steps'!R$1:R$400,0)),R$2,)</f>
        <v>0</v>
      </c>
      <c r="S33" s="155">
        <f ca="1">IF(ISNUMBER(MATCH(DATEVALUE($A33),'recurring1_based on steps'!S$1:S$400,0)),S$2,)</f>
        <v>0</v>
      </c>
      <c r="T33" s="155">
        <f ca="1">IF(ISNUMBER(MATCH(DATEVALUE($A33),'recurring1_based on steps'!T$1:T$400,0)),T$2,)</f>
        <v>0</v>
      </c>
      <c r="U33" s="155">
        <f ca="1">IF(ISNUMBER(MATCH(DATEVALUE($A33),'recurring1_based on steps'!U$1:U$400,0)),U$2,)</f>
        <v>0</v>
      </c>
      <c r="V33" s="155">
        <f ca="1">IF(ISNUMBER(MATCH(DATEVALUE($A33),'recurring1_based on steps'!V$1:V$400,0)),V$2,)</f>
        <v>0</v>
      </c>
      <c r="W33" s="155">
        <f ca="1">IF(ISNUMBER(MATCH(DATEVALUE($A33),'recurring1_based on steps'!W$1:W$400,0)),W$2,)</f>
        <v>0</v>
      </c>
      <c r="X33" s="155">
        <f ca="1">IF(ISNUMBER(MATCH(DATEVALUE($A33),'recurring1_based on steps'!X$1:X$400,0)),X$2,)</f>
        <v>0</v>
      </c>
      <c r="Y33" s="155">
        <f ca="1">IF(ISNUMBER(MATCH(DATEVALUE($A33),'recurring1_based on steps'!Y$1:Y$400,0)),Y$2,)</f>
        <v>0</v>
      </c>
      <c r="Z33" s="155">
        <f ca="1">IF(ISNUMBER(MATCH(DATEVALUE($A33),'recurring1_based on steps'!Z$1:Z$400,0)),Z$2,)</f>
        <v>0</v>
      </c>
      <c r="AA33" s="155">
        <f ca="1">IF(ISNUMBER(MATCH(DATEVALUE($A33),'recurring1_based on steps'!AA$1:AA$400,0)),AA$2,)</f>
        <v>0</v>
      </c>
      <c r="AB33" s="155">
        <f ca="1">IF(ISNUMBER(MATCH(DATEVALUE($A33),'recurring1_based on steps'!AB$1:AB$400,0)),AB$2,)</f>
        <v>0</v>
      </c>
      <c r="AC33" s="155">
        <f ca="1">IF(ISNUMBER(MATCH(DATEVALUE($A33),'recurring1_based on steps'!AC$1:AC$400,0)),AC$2,)</f>
        <v>0</v>
      </c>
      <c r="AD33" s="155">
        <f ca="1">IF(ISNUMBER(MATCH(DATEVALUE($A33),'recurring1_based on steps'!AD$1:AD$400,0)),AD$2,)</f>
        <v>0</v>
      </c>
      <c r="AE33" s="155">
        <f ca="1">IF(ISNUMBER(MATCH(DATEVALUE($A33),'recurring1_based on steps'!AE$1:AE$400,0)),AE$2,)</f>
        <v>0</v>
      </c>
      <c r="AF33" s="155">
        <f ca="1">IF(ISNUMBER(MATCH(DATEVALUE($A33),'recurring1_based on steps'!AF$1:AF$400,0)),AF$2,)</f>
        <v>0</v>
      </c>
      <c r="AG33" s="155">
        <f ca="1">IF(ISNUMBER(MATCH(DATEVALUE($A33),'recurring1_based on steps'!AG$1:AG$400,0)),AG$2,)</f>
        <v>0</v>
      </c>
      <c r="AH33" s="155">
        <f ca="1">IF(ISNUMBER(MATCH(DATEVALUE($A33),'recurring1_based on steps'!AH$1:AH$400,0)),AH$2,)</f>
        <v>0</v>
      </c>
      <c r="AI33" s="155">
        <f ca="1">IF(ISNUMBER(MATCH(DATEVALUE($A33),'recurring1_based on steps'!AI$1:AI$400,0)),AI$2,)</f>
        <v>0</v>
      </c>
      <c r="AJ33" s="155">
        <f ca="1">IF(ISNUMBER(MATCH(DATEVALUE($A33),'recurring1_based on steps'!AJ$1:AJ$400,0)),AJ$2,)</f>
        <v>0</v>
      </c>
      <c r="AK33" s="155">
        <f ca="1">IF(ISNUMBER(MATCH(DATEVALUE($A33),'recurring1_based on steps'!AK$1:AK$400,0)),AK$2,)</f>
        <v>0</v>
      </c>
      <c r="AL33" s="155">
        <f ca="1">IF(ISNUMBER(MATCH(DATEVALUE($A33),'recurring1_based on steps'!AL$1:AL$400,0)),AL$2,)</f>
        <v>0</v>
      </c>
      <c r="AM33" s="155">
        <f ca="1">IF(ISNUMBER(MATCH(DATEVALUE($A33),'recurring1_based on steps'!AM$1:AM$400,0)),AM$2,)</f>
        <v>0</v>
      </c>
      <c r="AN33" s="155">
        <f ca="1">IF(ISNUMBER(MATCH(DATEVALUE($A33),'recurring1_based on steps'!AN$1:AN$400,0)),AN$2,)</f>
        <v>0</v>
      </c>
      <c r="AO33" s="155">
        <f ca="1">IF(ISNUMBER(MATCH(DATEVALUE($A33),'recurring1_based on steps'!AO$1:AO$400,0)),AO$2,)</f>
        <v>0</v>
      </c>
      <c r="AP33" s="155">
        <f ca="1">IF(ISNUMBER(MATCH(DATEVALUE($A33),'recurring1_based on steps'!AP$1:AP$400,0)),AP$2,)</f>
        <v>0</v>
      </c>
      <c r="AQ33" s="155">
        <f ca="1">IF(ISNUMBER(MATCH(DATEVALUE($A33),'recurring1_based on steps'!AQ$1:AQ$400,0)),AQ$2,)</f>
        <v>0</v>
      </c>
      <c r="AR33" s="155">
        <f ca="1">IF(ISNUMBER(MATCH(DATEVALUE($A33),'recurring1_based on steps'!AR$1:AR$400,0)),AR$2,)</f>
        <v>0</v>
      </c>
      <c r="AS33" s="155">
        <f ca="1">IF(ISNUMBER(MATCH(DATEVALUE($A33),'recurring1_based on steps'!AS$1:AS$400,0)),AS$2,)</f>
        <v>0</v>
      </c>
      <c r="AT33" s="155">
        <f ca="1">IF(ISNUMBER(MATCH(DATEVALUE($A33),'recurring1_based on steps'!AT$1:AT$400,0)),AT$2,)</f>
        <v>0</v>
      </c>
      <c r="AU33" s="155">
        <f ca="1">IF(ISNUMBER(MATCH(DATEVALUE($A33),'recurring1_based on steps'!AU$1:AU$400,0)),AU$2,)</f>
        <v>0</v>
      </c>
      <c r="AV33" s="155">
        <f ca="1">IF(ISNUMBER(MATCH(DATEVALUE($A33),'recurring1_based on steps'!AV$1:AV$400,0)),AV$2,)</f>
        <v>0</v>
      </c>
      <c r="AW33" s="155">
        <f ca="1">IF(ISNUMBER(MATCH(DATEVALUE($A33),'recurring1_based on steps'!AW$1:AW$400,0)),AW$2,)</f>
        <v>0</v>
      </c>
      <c r="AX33" s="155">
        <f ca="1">IF(ISNUMBER(MATCH(DATEVALUE($A33),'recurring1_based on steps'!AX$1:AX$400,0)),AX$2,)</f>
        <v>0</v>
      </c>
      <c r="AY33" s="155">
        <f ca="1">IF(ISNUMBER(MATCH(DATEVALUE($A33),'recurring1_based on steps'!AY$1:AY$400,0)),AY$2,)</f>
        <v>0</v>
      </c>
    </row>
    <row r="34" spans="1:51" x14ac:dyDescent="0.2">
      <c r="A34" s="18" t="str">
        <f t="shared" ca="1" si="0"/>
        <v>2025-03-04</v>
      </c>
      <c r="B34" s="155">
        <f ca="1">IF(ISNUMBER(MATCH(DATEVALUE($A34),'recurring1_based on steps'!B$1:B$400,0)),B$2,)</f>
        <v>0</v>
      </c>
      <c r="C34" s="155">
        <f ca="1">IF(ISNUMBER(MATCH(DATEVALUE($A34),'recurring1_based on steps'!C$1:C$400,0)),C$2,)</f>
        <v>0</v>
      </c>
      <c r="D34" s="155">
        <f ca="1">IF(ISNUMBER(MATCH(DATEVALUE($A34),'recurring1_based on steps'!D$1:D$400,0)),D$2,)</f>
        <v>0</v>
      </c>
      <c r="E34" s="155">
        <f ca="1">IF(ISNUMBER(MATCH(DATEVALUE($A34),'recurring1_based on steps'!E$1:E$400,0)),E$2,)</f>
        <v>0</v>
      </c>
      <c r="F34" s="155">
        <f ca="1">IF(ISNUMBER(MATCH(DATEVALUE($A34),'recurring1_based on steps'!F$1:F$400,0)),F$2,)</f>
        <v>0</v>
      </c>
      <c r="G34" s="155">
        <f ca="1">IF(ISNUMBER(MATCH(DATEVALUE($A34),'recurring1_based on steps'!G$1:G$400,0)),G$2,)</f>
        <v>0</v>
      </c>
      <c r="H34" s="155">
        <f ca="1">IF(ISNUMBER(MATCH(DATEVALUE($A34),'recurring1_based on steps'!H$1:H$400,0)),H$2,)</f>
        <v>0</v>
      </c>
      <c r="I34" s="155">
        <f ca="1">IF(ISNUMBER(MATCH(DATEVALUE($A34),'recurring1_based on steps'!I$1:I$400,0)),I$2,)</f>
        <v>0</v>
      </c>
      <c r="J34" s="155">
        <f ca="1">IF(ISNUMBER(MATCH(DATEVALUE($A34),'recurring1_based on steps'!J$1:J$400,0)),J$2,)</f>
        <v>0</v>
      </c>
      <c r="K34" s="155">
        <f ca="1">IF(ISNUMBER(MATCH(DATEVALUE($A34),'recurring1_based on steps'!K$1:K$400,0)),K$2,)</f>
        <v>0</v>
      </c>
      <c r="L34" s="155">
        <f ca="1">IF(ISNUMBER(MATCH(DATEVALUE($A34),'recurring1_based on steps'!L$1:L$400,0)),L$2,)</f>
        <v>0</v>
      </c>
      <c r="M34" s="155">
        <f ca="1">IF(ISNUMBER(MATCH(DATEVALUE($A34),'recurring1_based on steps'!M$1:M$400,0)),M$2,)</f>
        <v>15</v>
      </c>
      <c r="N34" s="155">
        <f ca="1">IF(ISNUMBER(MATCH(DATEVALUE($A34),'recurring1_based on steps'!N$1:N$400,0)),N$2,)</f>
        <v>0</v>
      </c>
      <c r="O34" s="155">
        <f ca="1">IF(ISNUMBER(MATCH(DATEVALUE($A34),'recurring1_based on steps'!O$1:O$400,0)),O$2,)</f>
        <v>0</v>
      </c>
      <c r="P34" s="155">
        <f ca="1">IF(ISNUMBER(MATCH(DATEVALUE($A34),'recurring1_based on steps'!P$1:P$400,0)),P$2,)</f>
        <v>0</v>
      </c>
      <c r="Q34" s="155">
        <f ca="1">IF(ISNUMBER(MATCH(DATEVALUE($A34),'recurring1_based on steps'!Q$1:Q$400,0)),Q$2,)</f>
        <v>0</v>
      </c>
      <c r="R34" s="155">
        <f ca="1">IF(ISNUMBER(MATCH(DATEVALUE($A34),'recurring1_based on steps'!R$1:R$400,0)),R$2,)</f>
        <v>0</v>
      </c>
      <c r="S34" s="155">
        <f ca="1">IF(ISNUMBER(MATCH(DATEVALUE($A34),'recurring1_based on steps'!S$1:S$400,0)),S$2,)</f>
        <v>0</v>
      </c>
      <c r="T34" s="155">
        <f ca="1">IF(ISNUMBER(MATCH(DATEVALUE($A34),'recurring1_based on steps'!T$1:T$400,0)),T$2,)</f>
        <v>0</v>
      </c>
      <c r="U34" s="155">
        <f ca="1">IF(ISNUMBER(MATCH(DATEVALUE($A34),'recurring1_based on steps'!U$1:U$400,0)),U$2,)</f>
        <v>0</v>
      </c>
      <c r="V34" s="155">
        <f ca="1">IF(ISNUMBER(MATCH(DATEVALUE($A34),'recurring1_based on steps'!V$1:V$400,0)),V$2,)</f>
        <v>0</v>
      </c>
      <c r="W34" s="155">
        <f ca="1">IF(ISNUMBER(MATCH(DATEVALUE($A34),'recurring1_based on steps'!W$1:W$400,0)),W$2,)</f>
        <v>0</v>
      </c>
      <c r="X34" s="155">
        <f ca="1">IF(ISNUMBER(MATCH(DATEVALUE($A34),'recurring1_based on steps'!X$1:X$400,0)),X$2,)</f>
        <v>0</v>
      </c>
      <c r="Y34" s="155">
        <f ca="1">IF(ISNUMBER(MATCH(DATEVALUE($A34),'recurring1_based on steps'!Y$1:Y$400,0)),Y$2,)</f>
        <v>0</v>
      </c>
      <c r="Z34" s="155">
        <f ca="1">IF(ISNUMBER(MATCH(DATEVALUE($A34),'recurring1_based on steps'!Z$1:Z$400,0)),Z$2,)</f>
        <v>0</v>
      </c>
      <c r="AA34" s="155">
        <f ca="1">IF(ISNUMBER(MATCH(DATEVALUE($A34),'recurring1_based on steps'!AA$1:AA$400,0)),AA$2,)</f>
        <v>0</v>
      </c>
      <c r="AB34" s="155">
        <f ca="1">IF(ISNUMBER(MATCH(DATEVALUE($A34),'recurring1_based on steps'!AB$1:AB$400,0)),AB$2,)</f>
        <v>0</v>
      </c>
      <c r="AC34" s="155">
        <f ca="1">IF(ISNUMBER(MATCH(DATEVALUE($A34),'recurring1_based on steps'!AC$1:AC$400,0)),AC$2,)</f>
        <v>0</v>
      </c>
      <c r="AD34" s="155">
        <f ca="1">IF(ISNUMBER(MATCH(DATEVALUE($A34),'recurring1_based on steps'!AD$1:AD$400,0)),AD$2,)</f>
        <v>0</v>
      </c>
      <c r="AE34" s="155">
        <f ca="1">IF(ISNUMBER(MATCH(DATEVALUE($A34),'recurring1_based on steps'!AE$1:AE$400,0)),AE$2,)</f>
        <v>0</v>
      </c>
      <c r="AF34" s="155">
        <f ca="1">IF(ISNUMBER(MATCH(DATEVALUE($A34),'recurring1_based on steps'!AF$1:AF$400,0)),AF$2,)</f>
        <v>0</v>
      </c>
      <c r="AG34" s="155">
        <f ca="1">IF(ISNUMBER(MATCH(DATEVALUE($A34),'recurring1_based on steps'!AG$1:AG$400,0)),AG$2,)</f>
        <v>0</v>
      </c>
      <c r="AH34" s="155">
        <f ca="1">IF(ISNUMBER(MATCH(DATEVALUE($A34),'recurring1_based on steps'!AH$1:AH$400,0)),AH$2,)</f>
        <v>0</v>
      </c>
      <c r="AI34" s="155">
        <f ca="1">IF(ISNUMBER(MATCH(DATEVALUE($A34),'recurring1_based on steps'!AI$1:AI$400,0)),AI$2,)</f>
        <v>0</v>
      </c>
      <c r="AJ34" s="155">
        <f ca="1">IF(ISNUMBER(MATCH(DATEVALUE($A34),'recurring1_based on steps'!AJ$1:AJ$400,0)),AJ$2,)</f>
        <v>0</v>
      </c>
      <c r="AK34" s="155">
        <f ca="1">IF(ISNUMBER(MATCH(DATEVALUE($A34),'recurring1_based on steps'!AK$1:AK$400,0)),AK$2,)</f>
        <v>0</v>
      </c>
      <c r="AL34" s="155">
        <f ca="1">IF(ISNUMBER(MATCH(DATEVALUE($A34),'recurring1_based on steps'!AL$1:AL$400,0)),AL$2,)</f>
        <v>0</v>
      </c>
      <c r="AM34" s="155">
        <f ca="1">IF(ISNUMBER(MATCH(DATEVALUE($A34),'recurring1_based on steps'!AM$1:AM$400,0)),AM$2,)</f>
        <v>0</v>
      </c>
      <c r="AN34" s="155">
        <f ca="1">IF(ISNUMBER(MATCH(DATEVALUE($A34),'recurring1_based on steps'!AN$1:AN$400,0)),AN$2,)</f>
        <v>0</v>
      </c>
      <c r="AO34" s="155">
        <f ca="1">IF(ISNUMBER(MATCH(DATEVALUE($A34),'recurring1_based on steps'!AO$1:AO$400,0)),AO$2,)</f>
        <v>0</v>
      </c>
      <c r="AP34" s="155">
        <f ca="1">IF(ISNUMBER(MATCH(DATEVALUE($A34),'recurring1_based on steps'!AP$1:AP$400,0)),AP$2,)</f>
        <v>0</v>
      </c>
      <c r="AQ34" s="155">
        <f ca="1">IF(ISNUMBER(MATCH(DATEVALUE($A34),'recurring1_based on steps'!AQ$1:AQ$400,0)),AQ$2,)</f>
        <v>0</v>
      </c>
      <c r="AR34" s="155">
        <f ca="1">IF(ISNUMBER(MATCH(DATEVALUE($A34),'recurring1_based on steps'!AR$1:AR$400,0)),AR$2,)</f>
        <v>0</v>
      </c>
      <c r="AS34" s="155">
        <f ca="1">IF(ISNUMBER(MATCH(DATEVALUE($A34),'recurring1_based on steps'!AS$1:AS$400,0)),AS$2,)</f>
        <v>0</v>
      </c>
      <c r="AT34" s="155">
        <f ca="1">IF(ISNUMBER(MATCH(DATEVALUE($A34),'recurring1_based on steps'!AT$1:AT$400,0)),AT$2,)</f>
        <v>0</v>
      </c>
      <c r="AU34" s="155">
        <f ca="1">IF(ISNUMBER(MATCH(DATEVALUE($A34),'recurring1_based on steps'!AU$1:AU$400,0)),AU$2,)</f>
        <v>0</v>
      </c>
      <c r="AV34" s="155">
        <f ca="1">IF(ISNUMBER(MATCH(DATEVALUE($A34),'recurring1_based on steps'!AV$1:AV$400,0)),AV$2,)</f>
        <v>0</v>
      </c>
      <c r="AW34" s="155">
        <f ca="1">IF(ISNUMBER(MATCH(DATEVALUE($A34),'recurring1_based on steps'!AW$1:AW$400,0)),AW$2,)</f>
        <v>0</v>
      </c>
      <c r="AX34" s="155">
        <f ca="1">IF(ISNUMBER(MATCH(DATEVALUE($A34),'recurring1_based on steps'!AX$1:AX$400,0)),AX$2,)</f>
        <v>0</v>
      </c>
      <c r="AY34" s="155">
        <f ca="1">IF(ISNUMBER(MATCH(DATEVALUE($A34),'recurring1_based on steps'!AY$1:AY$400,0)),AY$2,)</f>
        <v>0</v>
      </c>
    </row>
    <row r="35" spans="1:51" x14ac:dyDescent="0.2">
      <c r="A35" s="18" t="str">
        <f t="shared" ca="1" si="0"/>
        <v>2025-03-05</v>
      </c>
      <c r="B35" s="155">
        <f ca="1">IF(ISNUMBER(MATCH(DATEVALUE($A35),'recurring1_based on steps'!B$1:B$400,0)),B$2,)</f>
        <v>0</v>
      </c>
      <c r="C35" s="155">
        <f ca="1">IF(ISNUMBER(MATCH(DATEVALUE($A35),'recurring1_based on steps'!C$1:C$400,0)),C$2,)</f>
        <v>0</v>
      </c>
      <c r="D35" s="155">
        <f ca="1">IF(ISNUMBER(MATCH(DATEVALUE($A35),'recurring1_based on steps'!D$1:D$400,0)),D$2,)</f>
        <v>0</v>
      </c>
      <c r="E35" s="155">
        <f ca="1">IF(ISNUMBER(MATCH(DATEVALUE($A35),'recurring1_based on steps'!E$1:E$400,0)),E$2,)</f>
        <v>0</v>
      </c>
      <c r="F35" s="155">
        <f ca="1">IF(ISNUMBER(MATCH(DATEVALUE($A35),'recurring1_based on steps'!F$1:F$400,0)),F$2,)</f>
        <v>0</v>
      </c>
      <c r="G35" s="155">
        <f ca="1">IF(ISNUMBER(MATCH(DATEVALUE($A35),'recurring1_based on steps'!G$1:G$400,0)),G$2,)</f>
        <v>0</v>
      </c>
      <c r="H35" s="155">
        <f ca="1">IF(ISNUMBER(MATCH(DATEVALUE($A35),'recurring1_based on steps'!H$1:H$400,0)),H$2,)</f>
        <v>0</v>
      </c>
      <c r="I35" s="155">
        <f ca="1">IF(ISNUMBER(MATCH(DATEVALUE($A35),'recurring1_based on steps'!I$1:I$400,0)),I$2,)</f>
        <v>0</v>
      </c>
      <c r="J35" s="155">
        <f ca="1">IF(ISNUMBER(MATCH(DATEVALUE($A35),'recurring1_based on steps'!J$1:J$400,0)),J$2,)</f>
        <v>0</v>
      </c>
      <c r="K35" s="155">
        <f ca="1">IF(ISNUMBER(MATCH(DATEVALUE($A35),'recurring1_based on steps'!K$1:K$400,0)),K$2,)</f>
        <v>0</v>
      </c>
      <c r="L35" s="155">
        <f ca="1">IF(ISNUMBER(MATCH(DATEVALUE($A35),'recurring1_based on steps'!L$1:L$400,0)),L$2,)</f>
        <v>0</v>
      </c>
      <c r="M35" s="155">
        <f ca="1">IF(ISNUMBER(MATCH(DATEVALUE($A35),'recurring1_based on steps'!M$1:M$400,0)),M$2,)</f>
        <v>0</v>
      </c>
      <c r="N35" s="155">
        <f ca="1">IF(ISNUMBER(MATCH(DATEVALUE($A35),'recurring1_based on steps'!N$1:N$400,0)),N$2,)</f>
        <v>0</v>
      </c>
      <c r="O35" s="155">
        <f ca="1">IF(ISNUMBER(MATCH(DATEVALUE($A35),'recurring1_based on steps'!O$1:O$400,0)),O$2,)</f>
        <v>0</v>
      </c>
      <c r="P35" s="155">
        <f ca="1">IF(ISNUMBER(MATCH(DATEVALUE($A35),'recurring1_based on steps'!P$1:P$400,0)),P$2,)</f>
        <v>0</v>
      </c>
      <c r="Q35" s="155">
        <f ca="1">IF(ISNUMBER(MATCH(DATEVALUE($A35),'recurring1_based on steps'!Q$1:Q$400,0)),Q$2,)</f>
        <v>0</v>
      </c>
      <c r="R35" s="155">
        <f ca="1">IF(ISNUMBER(MATCH(DATEVALUE($A35),'recurring1_based on steps'!R$1:R$400,0)),R$2,)</f>
        <v>0</v>
      </c>
      <c r="S35" s="155">
        <f ca="1">IF(ISNUMBER(MATCH(DATEVALUE($A35),'recurring1_based on steps'!S$1:S$400,0)),S$2,)</f>
        <v>0</v>
      </c>
      <c r="T35" s="155">
        <f ca="1">IF(ISNUMBER(MATCH(DATEVALUE($A35),'recurring1_based on steps'!T$1:T$400,0)),T$2,)</f>
        <v>0</v>
      </c>
      <c r="U35" s="155">
        <f ca="1">IF(ISNUMBER(MATCH(DATEVALUE($A35),'recurring1_based on steps'!U$1:U$400,0)),U$2,)</f>
        <v>0</v>
      </c>
      <c r="V35" s="155">
        <f ca="1">IF(ISNUMBER(MATCH(DATEVALUE($A35),'recurring1_based on steps'!V$1:V$400,0)),V$2,)</f>
        <v>0</v>
      </c>
      <c r="W35" s="155">
        <f ca="1">IF(ISNUMBER(MATCH(DATEVALUE($A35),'recurring1_based on steps'!W$1:W$400,0)),W$2,)</f>
        <v>0</v>
      </c>
      <c r="X35" s="155">
        <f ca="1">IF(ISNUMBER(MATCH(DATEVALUE($A35),'recurring1_based on steps'!X$1:X$400,0)),X$2,)</f>
        <v>0</v>
      </c>
      <c r="Y35" s="155">
        <f ca="1">IF(ISNUMBER(MATCH(DATEVALUE($A35),'recurring1_based on steps'!Y$1:Y$400,0)),Y$2,)</f>
        <v>0</v>
      </c>
      <c r="Z35" s="155">
        <f ca="1">IF(ISNUMBER(MATCH(DATEVALUE($A35),'recurring1_based on steps'!Z$1:Z$400,0)),Z$2,)</f>
        <v>0</v>
      </c>
      <c r="AA35" s="155">
        <f ca="1">IF(ISNUMBER(MATCH(DATEVALUE($A35),'recurring1_based on steps'!AA$1:AA$400,0)),AA$2,)</f>
        <v>0</v>
      </c>
      <c r="AB35" s="155">
        <f ca="1">IF(ISNUMBER(MATCH(DATEVALUE($A35),'recurring1_based on steps'!AB$1:AB$400,0)),AB$2,)</f>
        <v>0</v>
      </c>
      <c r="AC35" s="155">
        <f ca="1">IF(ISNUMBER(MATCH(DATEVALUE($A35),'recurring1_based on steps'!AC$1:AC$400,0)),AC$2,)</f>
        <v>0</v>
      </c>
      <c r="AD35" s="155">
        <f ca="1">IF(ISNUMBER(MATCH(DATEVALUE($A35),'recurring1_based on steps'!AD$1:AD$400,0)),AD$2,)</f>
        <v>0</v>
      </c>
      <c r="AE35" s="155">
        <f ca="1">IF(ISNUMBER(MATCH(DATEVALUE($A35),'recurring1_based on steps'!AE$1:AE$400,0)),AE$2,)</f>
        <v>0</v>
      </c>
      <c r="AF35" s="155">
        <f ca="1">IF(ISNUMBER(MATCH(DATEVALUE($A35),'recurring1_based on steps'!AF$1:AF$400,0)),AF$2,)</f>
        <v>0</v>
      </c>
      <c r="AG35" s="155">
        <f ca="1">IF(ISNUMBER(MATCH(DATEVALUE($A35),'recurring1_based on steps'!AG$1:AG$400,0)),AG$2,)</f>
        <v>0</v>
      </c>
      <c r="AH35" s="155">
        <f ca="1">IF(ISNUMBER(MATCH(DATEVALUE($A35),'recurring1_based on steps'!AH$1:AH$400,0)),AH$2,)</f>
        <v>0</v>
      </c>
      <c r="AI35" s="155">
        <f ca="1">IF(ISNUMBER(MATCH(DATEVALUE($A35),'recurring1_based on steps'!AI$1:AI$400,0)),AI$2,)</f>
        <v>0</v>
      </c>
      <c r="AJ35" s="155">
        <f ca="1">IF(ISNUMBER(MATCH(DATEVALUE($A35),'recurring1_based on steps'!AJ$1:AJ$400,0)),AJ$2,)</f>
        <v>0</v>
      </c>
      <c r="AK35" s="155">
        <f ca="1">IF(ISNUMBER(MATCH(DATEVALUE($A35),'recurring1_based on steps'!AK$1:AK$400,0)),AK$2,)</f>
        <v>0</v>
      </c>
      <c r="AL35" s="155">
        <f ca="1">IF(ISNUMBER(MATCH(DATEVALUE($A35),'recurring1_based on steps'!AL$1:AL$400,0)),AL$2,)</f>
        <v>0</v>
      </c>
      <c r="AM35" s="155">
        <f ca="1">IF(ISNUMBER(MATCH(DATEVALUE($A35),'recurring1_based on steps'!AM$1:AM$400,0)),AM$2,)</f>
        <v>0</v>
      </c>
      <c r="AN35" s="155">
        <f ca="1">IF(ISNUMBER(MATCH(DATEVALUE($A35),'recurring1_based on steps'!AN$1:AN$400,0)),AN$2,)</f>
        <v>0</v>
      </c>
      <c r="AO35" s="155">
        <f ca="1">IF(ISNUMBER(MATCH(DATEVALUE($A35),'recurring1_based on steps'!AO$1:AO$400,0)),AO$2,)</f>
        <v>0</v>
      </c>
      <c r="AP35" s="155">
        <f ca="1">IF(ISNUMBER(MATCH(DATEVALUE($A35),'recurring1_based on steps'!AP$1:AP$400,0)),AP$2,)</f>
        <v>0</v>
      </c>
      <c r="AQ35" s="155">
        <f ca="1">IF(ISNUMBER(MATCH(DATEVALUE($A35),'recurring1_based on steps'!AQ$1:AQ$400,0)),AQ$2,)</f>
        <v>0</v>
      </c>
      <c r="AR35" s="155">
        <f ca="1">IF(ISNUMBER(MATCH(DATEVALUE($A35),'recurring1_based on steps'!AR$1:AR$400,0)),AR$2,)</f>
        <v>0</v>
      </c>
      <c r="AS35" s="155">
        <f ca="1">IF(ISNUMBER(MATCH(DATEVALUE($A35),'recurring1_based on steps'!AS$1:AS$400,0)),AS$2,)</f>
        <v>0</v>
      </c>
      <c r="AT35" s="155">
        <f ca="1">IF(ISNUMBER(MATCH(DATEVALUE($A35),'recurring1_based on steps'!AT$1:AT$400,0)),AT$2,)</f>
        <v>0</v>
      </c>
      <c r="AU35" s="155">
        <f ca="1">IF(ISNUMBER(MATCH(DATEVALUE($A35),'recurring1_based on steps'!AU$1:AU$400,0)),AU$2,)</f>
        <v>0</v>
      </c>
      <c r="AV35" s="155">
        <f ca="1">IF(ISNUMBER(MATCH(DATEVALUE($A35),'recurring1_based on steps'!AV$1:AV$400,0)),AV$2,)</f>
        <v>0</v>
      </c>
      <c r="AW35" s="155">
        <f ca="1">IF(ISNUMBER(MATCH(DATEVALUE($A35),'recurring1_based on steps'!AW$1:AW$400,0)),AW$2,)</f>
        <v>0</v>
      </c>
      <c r="AX35" s="155">
        <f ca="1">IF(ISNUMBER(MATCH(DATEVALUE($A35),'recurring1_based on steps'!AX$1:AX$400,0)),AX$2,)</f>
        <v>0</v>
      </c>
      <c r="AY35" s="155">
        <f ca="1">IF(ISNUMBER(MATCH(DATEVALUE($A35),'recurring1_based on steps'!AY$1:AY$400,0)),AY$2,)</f>
        <v>0</v>
      </c>
    </row>
    <row r="36" spans="1:51" x14ac:dyDescent="0.2">
      <c r="A36" s="18" t="str">
        <f t="shared" ca="1" si="0"/>
        <v>2025-03-06</v>
      </c>
      <c r="B36" s="155">
        <f ca="1">IF(ISNUMBER(MATCH(DATEVALUE($A36),'recurring1_based on steps'!B$1:B$400,0)),B$2,)</f>
        <v>0</v>
      </c>
      <c r="C36" s="155">
        <f ca="1">IF(ISNUMBER(MATCH(DATEVALUE($A36),'recurring1_based on steps'!C$1:C$400,0)),C$2,)</f>
        <v>0</v>
      </c>
      <c r="D36" s="155">
        <f ca="1">IF(ISNUMBER(MATCH(DATEVALUE($A36),'recurring1_based on steps'!D$1:D$400,0)),D$2,)</f>
        <v>0</v>
      </c>
      <c r="E36" s="155">
        <f ca="1">IF(ISNUMBER(MATCH(DATEVALUE($A36),'recurring1_based on steps'!E$1:E$400,0)),E$2,)</f>
        <v>0</v>
      </c>
      <c r="F36" s="155">
        <f ca="1">IF(ISNUMBER(MATCH(DATEVALUE($A36),'recurring1_based on steps'!F$1:F$400,0)),F$2,)</f>
        <v>0</v>
      </c>
      <c r="G36" s="155">
        <f ca="1">IF(ISNUMBER(MATCH(DATEVALUE($A36),'recurring1_based on steps'!G$1:G$400,0)),G$2,)</f>
        <v>0</v>
      </c>
      <c r="H36" s="155">
        <f ca="1">IF(ISNUMBER(MATCH(DATEVALUE($A36),'recurring1_based on steps'!H$1:H$400,0)),H$2,)</f>
        <v>0</v>
      </c>
      <c r="I36" s="155">
        <f ca="1">IF(ISNUMBER(MATCH(DATEVALUE($A36),'recurring1_based on steps'!I$1:I$400,0)),I$2,)</f>
        <v>0</v>
      </c>
      <c r="J36" s="155">
        <f ca="1">IF(ISNUMBER(MATCH(DATEVALUE($A36),'recurring1_based on steps'!J$1:J$400,0)),J$2,)</f>
        <v>0</v>
      </c>
      <c r="K36" s="155">
        <f ca="1">IF(ISNUMBER(MATCH(DATEVALUE($A36),'recurring1_based on steps'!K$1:K$400,0)),K$2,)</f>
        <v>0</v>
      </c>
      <c r="L36" s="155">
        <f ca="1">IF(ISNUMBER(MATCH(DATEVALUE($A36),'recurring1_based on steps'!L$1:L$400,0)),L$2,)</f>
        <v>0</v>
      </c>
      <c r="M36" s="155">
        <f ca="1">IF(ISNUMBER(MATCH(DATEVALUE($A36),'recurring1_based on steps'!M$1:M$400,0)),M$2,)</f>
        <v>0</v>
      </c>
      <c r="N36" s="155">
        <f ca="1">IF(ISNUMBER(MATCH(DATEVALUE($A36),'recurring1_based on steps'!N$1:N$400,0)),N$2,)</f>
        <v>0</v>
      </c>
      <c r="O36" s="155">
        <f ca="1">IF(ISNUMBER(MATCH(DATEVALUE($A36),'recurring1_based on steps'!O$1:O$400,0)),O$2,)</f>
        <v>0</v>
      </c>
      <c r="P36" s="155">
        <f ca="1">IF(ISNUMBER(MATCH(DATEVALUE($A36),'recurring1_based on steps'!P$1:P$400,0)),P$2,)</f>
        <v>0</v>
      </c>
      <c r="Q36" s="155">
        <f ca="1">IF(ISNUMBER(MATCH(DATEVALUE($A36),'recurring1_based on steps'!Q$1:Q$400,0)),Q$2,)</f>
        <v>0</v>
      </c>
      <c r="R36" s="155">
        <f ca="1">IF(ISNUMBER(MATCH(DATEVALUE($A36),'recurring1_based on steps'!R$1:R$400,0)),R$2,)</f>
        <v>0</v>
      </c>
      <c r="S36" s="155">
        <f ca="1">IF(ISNUMBER(MATCH(DATEVALUE($A36),'recurring1_based on steps'!S$1:S$400,0)),S$2,)</f>
        <v>0</v>
      </c>
      <c r="T36" s="155">
        <f ca="1">IF(ISNUMBER(MATCH(DATEVALUE($A36),'recurring1_based on steps'!T$1:T$400,0)),T$2,)</f>
        <v>0</v>
      </c>
      <c r="U36" s="155">
        <f ca="1">IF(ISNUMBER(MATCH(DATEVALUE($A36),'recurring1_based on steps'!U$1:U$400,0)),U$2,)</f>
        <v>0</v>
      </c>
      <c r="V36" s="155">
        <f ca="1">IF(ISNUMBER(MATCH(DATEVALUE($A36),'recurring1_based on steps'!V$1:V$400,0)),V$2,)</f>
        <v>0</v>
      </c>
      <c r="W36" s="155">
        <f ca="1">IF(ISNUMBER(MATCH(DATEVALUE($A36),'recurring1_based on steps'!W$1:W$400,0)),W$2,)</f>
        <v>0</v>
      </c>
      <c r="X36" s="155">
        <f ca="1">IF(ISNUMBER(MATCH(DATEVALUE($A36),'recurring1_based on steps'!X$1:X$400,0)),X$2,)</f>
        <v>0</v>
      </c>
      <c r="Y36" s="155">
        <f ca="1">IF(ISNUMBER(MATCH(DATEVALUE($A36),'recurring1_based on steps'!Y$1:Y$400,0)),Y$2,)</f>
        <v>0</v>
      </c>
      <c r="Z36" s="155">
        <f ca="1">IF(ISNUMBER(MATCH(DATEVALUE($A36),'recurring1_based on steps'!Z$1:Z$400,0)),Z$2,)</f>
        <v>0</v>
      </c>
      <c r="AA36" s="155">
        <f ca="1">IF(ISNUMBER(MATCH(DATEVALUE($A36),'recurring1_based on steps'!AA$1:AA$400,0)),AA$2,)</f>
        <v>0</v>
      </c>
      <c r="AB36" s="155">
        <f ca="1">IF(ISNUMBER(MATCH(DATEVALUE($A36),'recurring1_based on steps'!AB$1:AB$400,0)),AB$2,)</f>
        <v>0</v>
      </c>
      <c r="AC36" s="155">
        <f ca="1">IF(ISNUMBER(MATCH(DATEVALUE($A36),'recurring1_based on steps'!AC$1:AC$400,0)),AC$2,)</f>
        <v>0</v>
      </c>
      <c r="AD36" s="155">
        <f ca="1">IF(ISNUMBER(MATCH(DATEVALUE($A36),'recurring1_based on steps'!AD$1:AD$400,0)),AD$2,)</f>
        <v>0</v>
      </c>
      <c r="AE36" s="155">
        <f ca="1">IF(ISNUMBER(MATCH(DATEVALUE($A36),'recurring1_based on steps'!AE$1:AE$400,0)),AE$2,)</f>
        <v>0</v>
      </c>
      <c r="AF36" s="155">
        <f ca="1">IF(ISNUMBER(MATCH(DATEVALUE($A36),'recurring1_based on steps'!AF$1:AF$400,0)),AF$2,)</f>
        <v>0</v>
      </c>
      <c r="AG36" s="155">
        <f ca="1">IF(ISNUMBER(MATCH(DATEVALUE($A36),'recurring1_based on steps'!AG$1:AG$400,0)),AG$2,)</f>
        <v>0</v>
      </c>
      <c r="AH36" s="155">
        <f ca="1">IF(ISNUMBER(MATCH(DATEVALUE($A36),'recurring1_based on steps'!AH$1:AH$400,0)),AH$2,)</f>
        <v>0</v>
      </c>
      <c r="AI36" s="155">
        <f ca="1">IF(ISNUMBER(MATCH(DATEVALUE($A36),'recurring1_based on steps'!AI$1:AI$400,0)),AI$2,)</f>
        <v>0</v>
      </c>
      <c r="AJ36" s="155">
        <f ca="1">IF(ISNUMBER(MATCH(DATEVALUE($A36),'recurring1_based on steps'!AJ$1:AJ$400,0)),AJ$2,)</f>
        <v>0</v>
      </c>
      <c r="AK36" s="155">
        <f ca="1">IF(ISNUMBER(MATCH(DATEVALUE($A36),'recurring1_based on steps'!AK$1:AK$400,0)),AK$2,)</f>
        <v>0</v>
      </c>
      <c r="AL36" s="155">
        <f ca="1">IF(ISNUMBER(MATCH(DATEVALUE($A36),'recurring1_based on steps'!AL$1:AL$400,0)),AL$2,)</f>
        <v>0</v>
      </c>
      <c r="AM36" s="155">
        <f ca="1">IF(ISNUMBER(MATCH(DATEVALUE($A36),'recurring1_based on steps'!AM$1:AM$400,0)),AM$2,)</f>
        <v>0</v>
      </c>
      <c r="AN36" s="155">
        <f ca="1">IF(ISNUMBER(MATCH(DATEVALUE($A36),'recurring1_based on steps'!AN$1:AN$400,0)),AN$2,)</f>
        <v>0</v>
      </c>
      <c r="AO36" s="155">
        <f ca="1">IF(ISNUMBER(MATCH(DATEVALUE($A36),'recurring1_based on steps'!AO$1:AO$400,0)),AO$2,)</f>
        <v>0</v>
      </c>
      <c r="AP36" s="155">
        <f ca="1">IF(ISNUMBER(MATCH(DATEVALUE($A36),'recurring1_based on steps'!AP$1:AP$400,0)),AP$2,)</f>
        <v>0</v>
      </c>
      <c r="AQ36" s="155">
        <f ca="1">IF(ISNUMBER(MATCH(DATEVALUE($A36),'recurring1_based on steps'!AQ$1:AQ$400,0)),AQ$2,)</f>
        <v>0</v>
      </c>
      <c r="AR36" s="155">
        <f ca="1">IF(ISNUMBER(MATCH(DATEVALUE($A36),'recurring1_based on steps'!AR$1:AR$400,0)),AR$2,)</f>
        <v>0</v>
      </c>
      <c r="AS36" s="155">
        <f ca="1">IF(ISNUMBER(MATCH(DATEVALUE($A36),'recurring1_based on steps'!AS$1:AS$400,0)),AS$2,)</f>
        <v>0</v>
      </c>
      <c r="AT36" s="155">
        <f ca="1">IF(ISNUMBER(MATCH(DATEVALUE($A36),'recurring1_based on steps'!AT$1:AT$400,0)),AT$2,)</f>
        <v>0</v>
      </c>
      <c r="AU36" s="155">
        <f ca="1">IF(ISNUMBER(MATCH(DATEVALUE($A36),'recurring1_based on steps'!AU$1:AU$400,0)),AU$2,)</f>
        <v>0</v>
      </c>
      <c r="AV36" s="155">
        <f ca="1">IF(ISNUMBER(MATCH(DATEVALUE($A36),'recurring1_based on steps'!AV$1:AV$400,0)),AV$2,)</f>
        <v>0</v>
      </c>
      <c r="AW36" s="155">
        <f ca="1">IF(ISNUMBER(MATCH(DATEVALUE($A36),'recurring1_based on steps'!AW$1:AW$400,0)),AW$2,)</f>
        <v>0</v>
      </c>
      <c r="AX36" s="155">
        <f ca="1">IF(ISNUMBER(MATCH(DATEVALUE($A36),'recurring1_based on steps'!AX$1:AX$400,0)),AX$2,)</f>
        <v>0</v>
      </c>
      <c r="AY36" s="155">
        <f ca="1">IF(ISNUMBER(MATCH(DATEVALUE($A36),'recurring1_based on steps'!AY$1:AY$400,0)),AY$2,)</f>
        <v>0</v>
      </c>
    </row>
    <row r="37" spans="1:51" x14ac:dyDescent="0.2">
      <c r="A37" s="18" t="str">
        <f t="shared" ca="1" si="0"/>
        <v>2025-03-07</v>
      </c>
      <c r="B37" s="155">
        <f ca="1">IF(ISNUMBER(MATCH(DATEVALUE($A37),'recurring1_based on steps'!B$1:B$400,0)),B$2,)</f>
        <v>4000</v>
      </c>
      <c r="C37" s="155">
        <f ca="1">IF(ISNUMBER(MATCH(DATEVALUE($A37),'recurring1_based on steps'!C$1:C$400,0)),C$2,)</f>
        <v>200</v>
      </c>
      <c r="D37" s="155">
        <f ca="1">IF(ISNUMBER(MATCH(DATEVALUE($A37),'recurring1_based on steps'!D$1:D$400,0)),D$2,)</f>
        <v>2</v>
      </c>
      <c r="E37" s="155">
        <f ca="1">IF(ISNUMBER(MATCH(DATEVALUE($A37),'recurring1_based on steps'!E$1:E$400,0)),E$2,)</f>
        <v>40</v>
      </c>
      <c r="F37" s="155">
        <f ca="1">IF(ISNUMBER(MATCH(DATEVALUE($A37),'recurring1_based on steps'!F$1:F$400,0)),F$2,)</f>
        <v>50</v>
      </c>
      <c r="G37" s="155">
        <f ca="1">IF(ISNUMBER(MATCH(DATEVALUE($A37),'recurring1_based on steps'!G$1:G$400,0)),G$2,)</f>
        <v>4</v>
      </c>
      <c r="H37" s="155">
        <f ca="1">IF(ISNUMBER(MATCH(DATEVALUE($A37),'recurring1_based on steps'!H$1:H$400,0)),H$2,)</f>
        <v>0</v>
      </c>
      <c r="I37" s="155">
        <f ca="1">IF(ISNUMBER(MATCH(DATEVALUE($A37),'recurring1_based on steps'!I$1:I$400,0)),I$2,)</f>
        <v>0</v>
      </c>
      <c r="J37" s="155">
        <f ca="1">IF(ISNUMBER(MATCH(DATEVALUE($A37),'recurring1_based on steps'!J$1:J$400,0)),J$2,)</f>
        <v>0</v>
      </c>
      <c r="K37" s="155">
        <f ca="1">IF(ISNUMBER(MATCH(DATEVALUE($A37),'recurring1_based on steps'!K$1:K$400,0)),K$2,)</f>
        <v>0</v>
      </c>
      <c r="L37" s="155">
        <f ca="1">IF(ISNUMBER(MATCH(DATEVALUE($A37),'recurring1_based on steps'!L$1:L$400,0)),L$2,)</f>
        <v>0</v>
      </c>
      <c r="M37" s="155">
        <f ca="1">IF(ISNUMBER(MATCH(DATEVALUE($A37),'recurring1_based on steps'!M$1:M$400,0)),M$2,)</f>
        <v>0</v>
      </c>
      <c r="N37" s="155">
        <f ca="1">IF(ISNUMBER(MATCH(DATEVALUE($A37),'recurring1_based on steps'!N$1:N$400,0)),N$2,)</f>
        <v>0</v>
      </c>
      <c r="O37" s="155">
        <f ca="1">IF(ISNUMBER(MATCH(DATEVALUE($A37),'recurring1_based on steps'!O$1:O$400,0)),O$2,)</f>
        <v>0</v>
      </c>
      <c r="P37" s="155">
        <f ca="1">IF(ISNUMBER(MATCH(DATEVALUE($A37),'recurring1_based on steps'!P$1:P$400,0)),P$2,)</f>
        <v>0</v>
      </c>
      <c r="Q37" s="155">
        <f ca="1">IF(ISNUMBER(MATCH(DATEVALUE($A37),'recurring1_based on steps'!Q$1:Q$400,0)),Q$2,)</f>
        <v>0</v>
      </c>
      <c r="R37" s="155">
        <f ca="1">IF(ISNUMBER(MATCH(DATEVALUE($A37),'recurring1_based on steps'!R$1:R$400,0)),R$2,)</f>
        <v>0</v>
      </c>
      <c r="S37" s="155">
        <f ca="1">IF(ISNUMBER(MATCH(DATEVALUE($A37),'recurring1_based on steps'!S$1:S$400,0)),S$2,)</f>
        <v>0</v>
      </c>
      <c r="T37" s="155">
        <f ca="1">IF(ISNUMBER(MATCH(DATEVALUE($A37),'recurring1_based on steps'!T$1:T$400,0)),T$2,)</f>
        <v>0</v>
      </c>
      <c r="U37" s="155">
        <f ca="1">IF(ISNUMBER(MATCH(DATEVALUE($A37),'recurring1_based on steps'!U$1:U$400,0)),U$2,)</f>
        <v>0</v>
      </c>
      <c r="V37" s="155">
        <f ca="1">IF(ISNUMBER(MATCH(DATEVALUE($A37),'recurring1_based on steps'!V$1:V$400,0)),V$2,)</f>
        <v>0</v>
      </c>
      <c r="W37" s="155">
        <f ca="1">IF(ISNUMBER(MATCH(DATEVALUE($A37),'recurring1_based on steps'!W$1:W$400,0)),W$2,)</f>
        <v>0</v>
      </c>
      <c r="X37" s="155">
        <f ca="1">IF(ISNUMBER(MATCH(DATEVALUE($A37),'recurring1_based on steps'!X$1:X$400,0)),X$2,)</f>
        <v>50</v>
      </c>
      <c r="Y37" s="155">
        <f ca="1">IF(ISNUMBER(MATCH(DATEVALUE($A37),'recurring1_based on steps'!Y$1:Y$400,0)),Y$2,)</f>
        <v>0</v>
      </c>
      <c r="Z37" s="155">
        <f ca="1">IF(ISNUMBER(MATCH(DATEVALUE($A37),'recurring1_based on steps'!Z$1:Z$400,0)),Z$2,)</f>
        <v>0</v>
      </c>
      <c r="AA37" s="155">
        <f ca="1">IF(ISNUMBER(MATCH(DATEVALUE($A37),'recurring1_based on steps'!AA$1:AA$400,0)),AA$2,)</f>
        <v>0</v>
      </c>
      <c r="AB37" s="155">
        <f ca="1">IF(ISNUMBER(MATCH(DATEVALUE($A37),'recurring1_based on steps'!AB$1:AB$400,0)),AB$2,)</f>
        <v>0</v>
      </c>
      <c r="AC37" s="155">
        <f ca="1">IF(ISNUMBER(MATCH(DATEVALUE($A37),'recurring1_based on steps'!AC$1:AC$400,0)),AC$2,)</f>
        <v>0</v>
      </c>
      <c r="AD37" s="155">
        <f ca="1">IF(ISNUMBER(MATCH(DATEVALUE($A37),'recurring1_based on steps'!AD$1:AD$400,0)),AD$2,)</f>
        <v>0</v>
      </c>
      <c r="AE37" s="155">
        <f ca="1">IF(ISNUMBER(MATCH(DATEVALUE($A37),'recurring1_based on steps'!AE$1:AE$400,0)),AE$2,)</f>
        <v>0</v>
      </c>
      <c r="AF37" s="155">
        <f ca="1">IF(ISNUMBER(MATCH(DATEVALUE($A37),'recurring1_based on steps'!AF$1:AF$400,0)),AF$2,)</f>
        <v>0</v>
      </c>
      <c r="AG37" s="155">
        <f ca="1">IF(ISNUMBER(MATCH(DATEVALUE($A37),'recurring1_based on steps'!AG$1:AG$400,0)),AG$2,)</f>
        <v>0</v>
      </c>
      <c r="AH37" s="155">
        <f ca="1">IF(ISNUMBER(MATCH(DATEVALUE($A37),'recurring1_based on steps'!AH$1:AH$400,0)),AH$2,)</f>
        <v>0</v>
      </c>
      <c r="AI37" s="155">
        <f ca="1">IF(ISNUMBER(MATCH(DATEVALUE($A37),'recurring1_based on steps'!AI$1:AI$400,0)),AI$2,)</f>
        <v>0</v>
      </c>
      <c r="AJ37" s="155">
        <f ca="1">IF(ISNUMBER(MATCH(DATEVALUE($A37),'recurring1_based on steps'!AJ$1:AJ$400,0)),AJ$2,)</f>
        <v>0</v>
      </c>
      <c r="AK37" s="155">
        <f ca="1">IF(ISNUMBER(MATCH(DATEVALUE($A37),'recurring1_based on steps'!AK$1:AK$400,0)),AK$2,)</f>
        <v>0</v>
      </c>
      <c r="AL37" s="155">
        <f ca="1">IF(ISNUMBER(MATCH(DATEVALUE($A37),'recurring1_based on steps'!AL$1:AL$400,0)),AL$2,)</f>
        <v>0</v>
      </c>
      <c r="AM37" s="155">
        <f ca="1">IF(ISNUMBER(MATCH(DATEVALUE($A37),'recurring1_based on steps'!AM$1:AM$400,0)),AM$2,)</f>
        <v>0</v>
      </c>
      <c r="AN37" s="155">
        <f ca="1">IF(ISNUMBER(MATCH(DATEVALUE($A37),'recurring1_based on steps'!AN$1:AN$400,0)),AN$2,)</f>
        <v>0</v>
      </c>
      <c r="AO37" s="155">
        <f ca="1">IF(ISNUMBER(MATCH(DATEVALUE($A37),'recurring1_based on steps'!AO$1:AO$400,0)),AO$2,)</f>
        <v>0</v>
      </c>
      <c r="AP37" s="155">
        <f ca="1">IF(ISNUMBER(MATCH(DATEVALUE($A37),'recurring1_based on steps'!AP$1:AP$400,0)),AP$2,)</f>
        <v>0</v>
      </c>
      <c r="AQ37" s="155">
        <f ca="1">IF(ISNUMBER(MATCH(DATEVALUE($A37),'recurring1_based on steps'!AQ$1:AQ$400,0)),AQ$2,)</f>
        <v>0</v>
      </c>
      <c r="AR37" s="155">
        <f ca="1">IF(ISNUMBER(MATCH(DATEVALUE($A37),'recurring1_based on steps'!AR$1:AR$400,0)),AR$2,)</f>
        <v>0</v>
      </c>
      <c r="AS37" s="155">
        <f ca="1">IF(ISNUMBER(MATCH(DATEVALUE($A37),'recurring1_based on steps'!AS$1:AS$400,0)),AS$2,)</f>
        <v>0</v>
      </c>
      <c r="AT37" s="155">
        <f ca="1">IF(ISNUMBER(MATCH(DATEVALUE($A37),'recurring1_based on steps'!AT$1:AT$400,0)),AT$2,)</f>
        <v>0</v>
      </c>
      <c r="AU37" s="155">
        <f ca="1">IF(ISNUMBER(MATCH(DATEVALUE($A37),'recurring1_based on steps'!AU$1:AU$400,0)),AU$2,)</f>
        <v>0</v>
      </c>
      <c r="AV37" s="155">
        <f ca="1">IF(ISNUMBER(MATCH(DATEVALUE($A37),'recurring1_based on steps'!AV$1:AV$400,0)),AV$2,)</f>
        <v>0</v>
      </c>
      <c r="AW37" s="155">
        <f ca="1">IF(ISNUMBER(MATCH(DATEVALUE($A37),'recurring1_based on steps'!AW$1:AW$400,0)),AW$2,)</f>
        <v>0</v>
      </c>
      <c r="AX37" s="155">
        <f ca="1">IF(ISNUMBER(MATCH(DATEVALUE($A37),'recurring1_based on steps'!AX$1:AX$400,0)),AX$2,)</f>
        <v>0</v>
      </c>
      <c r="AY37" s="155">
        <f ca="1">IF(ISNUMBER(MATCH(DATEVALUE($A37),'recurring1_based on steps'!AY$1:AY$400,0)),AY$2,)</f>
        <v>0</v>
      </c>
    </row>
    <row r="38" spans="1:51" x14ac:dyDescent="0.2">
      <c r="A38" s="18" t="str">
        <f t="shared" ca="1" si="0"/>
        <v>2025-03-08</v>
      </c>
      <c r="B38" s="155">
        <f ca="1">IF(ISNUMBER(MATCH(DATEVALUE($A38),'recurring1_based on steps'!B$1:B$400,0)),B$2,)</f>
        <v>0</v>
      </c>
      <c r="C38" s="155">
        <f ca="1">IF(ISNUMBER(MATCH(DATEVALUE($A38),'recurring1_based on steps'!C$1:C$400,0)),C$2,)</f>
        <v>0</v>
      </c>
      <c r="D38" s="155">
        <f ca="1">IF(ISNUMBER(MATCH(DATEVALUE($A38),'recurring1_based on steps'!D$1:D$400,0)),D$2,)</f>
        <v>0</v>
      </c>
      <c r="E38" s="155">
        <f ca="1">IF(ISNUMBER(MATCH(DATEVALUE($A38),'recurring1_based on steps'!E$1:E$400,0)),E$2,)</f>
        <v>0</v>
      </c>
      <c r="F38" s="155">
        <f ca="1">IF(ISNUMBER(MATCH(DATEVALUE($A38),'recurring1_based on steps'!F$1:F$400,0)),F$2,)</f>
        <v>0</v>
      </c>
      <c r="G38" s="155">
        <f ca="1">IF(ISNUMBER(MATCH(DATEVALUE($A38),'recurring1_based on steps'!G$1:G$400,0)),G$2,)</f>
        <v>0</v>
      </c>
      <c r="H38" s="155">
        <f ca="1">IF(ISNUMBER(MATCH(DATEVALUE($A38),'recurring1_based on steps'!H$1:H$400,0)),H$2,)</f>
        <v>0</v>
      </c>
      <c r="I38" s="155">
        <f ca="1">IF(ISNUMBER(MATCH(DATEVALUE($A38),'recurring1_based on steps'!I$1:I$400,0)),I$2,)</f>
        <v>0</v>
      </c>
      <c r="J38" s="155">
        <f ca="1">IF(ISNUMBER(MATCH(DATEVALUE($A38),'recurring1_based on steps'!J$1:J$400,0)),J$2,)</f>
        <v>0</v>
      </c>
      <c r="K38" s="155">
        <f ca="1">IF(ISNUMBER(MATCH(DATEVALUE($A38),'recurring1_based on steps'!K$1:K$400,0)),K$2,)</f>
        <v>0</v>
      </c>
      <c r="L38" s="155">
        <f ca="1">IF(ISNUMBER(MATCH(DATEVALUE($A38),'recurring1_based on steps'!L$1:L$400,0)),L$2,)</f>
        <v>0</v>
      </c>
      <c r="M38" s="155">
        <f ca="1">IF(ISNUMBER(MATCH(DATEVALUE($A38),'recurring1_based on steps'!M$1:M$400,0)),M$2,)</f>
        <v>0</v>
      </c>
      <c r="N38" s="155">
        <f ca="1">IF(ISNUMBER(MATCH(DATEVALUE($A38),'recurring1_based on steps'!N$1:N$400,0)),N$2,)</f>
        <v>0</v>
      </c>
      <c r="O38" s="155">
        <f ca="1">IF(ISNUMBER(MATCH(DATEVALUE($A38),'recurring1_based on steps'!O$1:O$400,0)),O$2,)</f>
        <v>0</v>
      </c>
      <c r="P38" s="155">
        <f ca="1">IF(ISNUMBER(MATCH(DATEVALUE($A38),'recurring1_based on steps'!P$1:P$400,0)),P$2,)</f>
        <v>0</v>
      </c>
      <c r="Q38" s="155">
        <f ca="1">IF(ISNUMBER(MATCH(DATEVALUE($A38),'recurring1_based on steps'!Q$1:Q$400,0)),Q$2,)</f>
        <v>100</v>
      </c>
      <c r="R38" s="155">
        <f ca="1">IF(ISNUMBER(MATCH(DATEVALUE($A38),'recurring1_based on steps'!R$1:R$400,0)),R$2,)</f>
        <v>100</v>
      </c>
      <c r="S38" s="155">
        <f ca="1">IF(ISNUMBER(MATCH(DATEVALUE($A38),'recurring1_based on steps'!S$1:S$400,0)),S$2,)</f>
        <v>0</v>
      </c>
      <c r="T38" s="155">
        <f ca="1">IF(ISNUMBER(MATCH(DATEVALUE($A38),'recurring1_based on steps'!T$1:T$400,0)),T$2,)</f>
        <v>0</v>
      </c>
      <c r="U38" s="155">
        <f ca="1">IF(ISNUMBER(MATCH(DATEVALUE($A38),'recurring1_based on steps'!U$1:U$400,0)),U$2,)</f>
        <v>0</v>
      </c>
      <c r="V38" s="155">
        <f ca="1">IF(ISNUMBER(MATCH(DATEVALUE($A38),'recurring1_based on steps'!V$1:V$400,0)),V$2,)</f>
        <v>0</v>
      </c>
      <c r="W38" s="155">
        <f ca="1">IF(ISNUMBER(MATCH(DATEVALUE($A38),'recurring1_based on steps'!W$1:W$400,0)),W$2,)</f>
        <v>0</v>
      </c>
      <c r="X38" s="155">
        <f ca="1">IF(ISNUMBER(MATCH(DATEVALUE($A38),'recurring1_based on steps'!X$1:X$400,0)),X$2,)</f>
        <v>0</v>
      </c>
      <c r="Y38" s="155">
        <f ca="1">IF(ISNUMBER(MATCH(DATEVALUE($A38),'recurring1_based on steps'!Y$1:Y$400,0)),Y$2,)</f>
        <v>0</v>
      </c>
      <c r="Z38" s="155">
        <f ca="1">IF(ISNUMBER(MATCH(DATEVALUE($A38),'recurring1_based on steps'!Z$1:Z$400,0)),Z$2,)</f>
        <v>0</v>
      </c>
      <c r="AA38" s="155">
        <f ca="1">IF(ISNUMBER(MATCH(DATEVALUE($A38),'recurring1_based on steps'!AA$1:AA$400,0)),AA$2,)</f>
        <v>0</v>
      </c>
      <c r="AB38" s="155">
        <f ca="1">IF(ISNUMBER(MATCH(DATEVALUE($A38),'recurring1_based on steps'!AB$1:AB$400,0)),AB$2,)</f>
        <v>0</v>
      </c>
      <c r="AC38" s="155">
        <f ca="1">IF(ISNUMBER(MATCH(DATEVALUE($A38),'recurring1_based on steps'!AC$1:AC$400,0)),AC$2,)</f>
        <v>0</v>
      </c>
      <c r="AD38" s="155">
        <f ca="1">IF(ISNUMBER(MATCH(DATEVALUE($A38),'recurring1_based on steps'!AD$1:AD$400,0)),AD$2,)</f>
        <v>0</v>
      </c>
      <c r="AE38" s="155">
        <f ca="1">IF(ISNUMBER(MATCH(DATEVALUE($A38),'recurring1_based on steps'!AE$1:AE$400,0)),AE$2,)</f>
        <v>0</v>
      </c>
      <c r="AF38" s="155">
        <f ca="1">IF(ISNUMBER(MATCH(DATEVALUE($A38),'recurring1_based on steps'!AF$1:AF$400,0)),AF$2,)</f>
        <v>0</v>
      </c>
      <c r="AG38" s="155">
        <f ca="1">IF(ISNUMBER(MATCH(DATEVALUE($A38),'recurring1_based on steps'!AG$1:AG$400,0)),AG$2,)</f>
        <v>0</v>
      </c>
      <c r="AH38" s="155">
        <f ca="1">IF(ISNUMBER(MATCH(DATEVALUE($A38),'recurring1_based on steps'!AH$1:AH$400,0)),AH$2,)</f>
        <v>0</v>
      </c>
      <c r="AI38" s="155">
        <f ca="1">IF(ISNUMBER(MATCH(DATEVALUE($A38),'recurring1_based on steps'!AI$1:AI$400,0)),AI$2,)</f>
        <v>0</v>
      </c>
      <c r="AJ38" s="155">
        <f ca="1">IF(ISNUMBER(MATCH(DATEVALUE($A38),'recurring1_based on steps'!AJ$1:AJ$400,0)),AJ$2,)</f>
        <v>0</v>
      </c>
      <c r="AK38" s="155">
        <f ca="1">IF(ISNUMBER(MATCH(DATEVALUE($A38),'recurring1_based on steps'!AK$1:AK$400,0)),AK$2,)</f>
        <v>0</v>
      </c>
      <c r="AL38" s="155">
        <f ca="1">IF(ISNUMBER(MATCH(DATEVALUE($A38),'recurring1_based on steps'!AL$1:AL$400,0)),AL$2,)</f>
        <v>0</v>
      </c>
      <c r="AM38" s="155">
        <f ca="1">IF(ISNUMBER(MATCH(DATEVALUE($A38),'recurring1_based on steps'!AM$1:AM$400,0)),AM$2,)</f>
        <v>0</v>
      </c>
      <c r="AN38" s="155">
        <f ca="1">IF(ISNUMBER(MATCH(DATEVALUE($A38),'recurring1_based on steps'!AN$1:AN$400,0)),AN$2,)</f>
        <v>0</v>
      </c>
      <c r="AO38" s="155">
        <f ca="1">IF(ISNUMBER(MATCH(DATEVALUE($A38),'recurring1_based on steps'!AO$1:AO$400,0)),AO$2,)</f>
        <v>0</v>
      </c>
      <c r="AP38" s="155">
        <f ca="1">IF(ISNUMBER(MATCH(DATEVALUE($A38),'recurring1_based on steps'!AP$1:AP$400,0)),AP$2,)</f>
        <v>0</v>
      </c>
      <c r="AQ38" s="155">
        <f ca="1">IF(ISNUMBER(MATCH(DATEVALUE($A38),'recurring1_based on steps'!AQ$1:AQ$400,0)),AQ$2,)</f>
        <v>0</v>
      </c>
      <c r="AR38" s="155">
        <f ca="1">IF(ISNUMBER(MATCH(DATEVALUE($A38),'recurring1_based on steps'!AR$1:AR$400,0)),AR$2,)</f>
        <v>0</v>
      </c>
      <c r="AS38" s="155">
        <f ca="1">IF(ISNUMBER(MATCH(DATEVALUE($A38),'recurring1_based on steps'!AS$1:AS$400,0)),AS$2,)</f>
        <v>0</v>
      </c>
      <c r="AT38" s="155">
        <f ca="1">IF(ISNUMBER(MATCH(DATEVALUE($A38),'recurring1_based on steps'!AT$1:AT$400,0)),AT$2,)</f>
        <v>0</v>
      </c>
      <c r="AU38" s="155">
        <f ca="1">IF(ISNUMBER(MATCH(DATEVALUE($A38),'recurring1_based on steps'!AU$1:AU$400,0)),AU$2,)</f>
        <v>0</v>
      </c>
      <c r="AV38" s="155">
        <f ca="1">IF(ISNUMBER(MATCH(DATEVALUE($A38),'recurring1_based on steps'!AV$1:AV$400,0)),AV$2,)</f>
        <v>0</v>
      </c>
      <c r="AW38" s="155">
        <f ca="1">IF(ISNUMBER(MATCH(DATEVALUE($A38),'recurring1_based on steps'!AW$1:AW$400,0)),AW$2,)</f>
        <v>0</v>
      </c>
      <c r="AX38" s="155">
        <f ca="1">IF(ISNUMBER(MATCH(DATEVALUE($A38),'recurring1_based on steps'!AX$1:AX$400,0)),AX$2,)</f>
        <v>0</v>
      </c>
      <c r="AY38" s="155">
        <f ca="1">IF(ISNUMBER(MATCH(DATEVALUE($A38),'recurring1_based on steps'!AY$1:AY$400,0)),AY$2,)</f>
        <v>0</v>
      </c>
    </row>
    <row r="39" spans="1:51" x14ac:dyDescent="0.2">
      <c r="A39" s="18" t="str">
        <f t="shared" ca="1" si="0"/>
        <v>2025-03-09</v>
      </c>
      <c r="B39" s="155">
        <f ca="1">IF(ISNUMBER(MATCH(DATEVALUE($A39),'recurring1_based on steps'!B$1:B$400,0)),B$2,)</f>
        <v>0</v>
      </c>
      <c r="C39" s="155">
        <f ca="1">IF(ISNUMBER(MATCH(DATEVALUE($A39),'recurring1_based on steps'!C$1:C$400,0)),C$2,)</f>
        <v>0</v>
      </c>
      <c r="D39" s="155">
        <f ca="1">IF(ISNUMBER(MATCH(DATEVALUE($A39),'recurring1_based on steps'!D$1:D$400,0)),D$2,)</f>
        <v>0</v>
      </c>
      <c r="E39" s="155">
        <f ca="1">IF(ISNUMBER(MATCH(DATEVALUE($A39),'recurring1_based on steps'!E$1:E$400,0)),E$2,)</f>
        <v>0</v>
      </c>
      <c r="F39" s="155">
        <f ca="1">IF(ISNUMBER(MATCH(DATEVALUE($A39),'recurring1_based on steps'!F$1:F$400,0)),F$2,)</f>
        <v>0</v>
      </c>
      <c r="G39" s="155">
        <f ca="1">IF(ISNUMBER(MATCH(DATEVALUE($A39),'recurring1_based on steps'!G$1:G$400,0)),G$2,)</f>
        <v>0</v>
      </c>
      <c r="H39" s="155">
        <f ca="1">IF(ISNUMBER(MATCH(DATEVALUE($A39),'recurring1_based on steps'!H$1:H$400,0)),H$2,)</f>
        <v>0</v>
      </c>
      <c r="I39" s="155">
        <f ca="1">IF(ISNUMBER(MATCH(DATEVALUE($A39),'recurring1_based on steps'!I$1:I$400,0)),I$2,)</f>
        <v>0</v>
      </c>
      <c r="J39" s="155">
        <f ca="1">IF(ISNUMBER(MATCH(DATEVALUE($A39),'recurring1_based on steps'!J$1:J$400,0)),J$2,)</f>
        <v>0</v>
      </c>
      <c r="K39" s="155">
        <f ca="1">IF(ISNUMBER(MATCH(DATEVALUE($A39),'recurring1_based on steps'!K$1:K$400,0)),K$2,)</f>
        <v>50</v>
      </c>
      <c r="L39" s="155">
        <f ca="1">IF(ISNUMBER(MATCH(DATEVALUE($A39),'recurring1_based on steps'!L$1:L$400,0)),L$2,)</f>
        <v>0</v>
      </c>
      <c r="M39" s="155">
        <f ca="1">IF(ISNUMBER(MATCH(DATEVALUE($A39),'recurring1_based on steps'!M$1:M$400,0)),M$2,)</f>
        <v>0</v>
      </c>
      <c r="N39" s="155">
        <f ca="1">IF(ISNUMBER(MATCH(DATEVALUE($A39),'recurring1_based on steps'!N$1:N$400,0)),N$2,)</f>
        <v>0</v>
      </c>
      <c r="O39" s="155">
        <f ca="1">IF(ISNUMBER(MATCH(DATEVALUE($A39),'recurring1_based on steps'!O$1:O$400,0)),O$2,)</f>
        <v>0</v>
      </c>
      <c r="P39" s="155">
        <f ca="1">IF(ISNUMBER(MATCH(DATEVALUE($A39),'recurring1_based on steps'!P$1:P$400,0)),P$2,)</f>
        <v>0</v>
      </c>
      <c r="Q39" s="155">
        <f ca="1">IF(ISNUMBER(MATCH(DATEVALUE($A39),'recurring1_based on steps'!Q$1:Q$400,0)),Q$2,)</f>
        <v>0</v>
      </c>
      <c r="R39" s="155">
        <f ca="1">IF(ISNUMBER(MATCH(DATEVALUE($A39),'recurring1_based on steps'!R$1:R$400,0)),R$2,)</f>
        <v>0</v>
      </c>
      <c r="S39" s="155">
        <f ca="1">IF(ISNUMBER(MATCH(DATEVALUE($A39),'recurring1_based on steps'!S$1:S$400,0)),S$2,)</f>
        <v>100</v>
      </c>
      <c r="T39" s="155">
        <f ca="1">IF(ISNUMBER(MATCH(DATEVALUE($A39),'recurring1_based on steps'!T$1:T$400,0)),T$2,)</f>
        <v>0</v>
      </c>
      <c r="U39" s="155">
        <f ca="1">IF(ISNUMBER(MATCH(DATEVALUE($A39),'recurring1_based on steps'!U$1:U$400,0)),U$2,)</f>
        <v>0</v>
      </c>
      <c r="V39" s="155">
        <f ca="1">IF(ISNUMBER(MATCH(DATEVALUE($A39),'recurring1_based on steps'!V$1:V$400,0)),V$2,)</f>
        <v>0</v>
      </c>
      <c r="W39" s="155">
        <f ca="1">IF(ISNUMBER(MATCH(DATEVALUE($A39),'recurring1_based on steps'!W$1:W$400,0)),W$2,)</f>
        <v>0</v>
      </c>
      <c r="X39" s="155">
        <f ca="1">IF(ISNUMBER(MATCH(DATEVALUE($A39),'recurring1_based on steps'!X$1:X$400,0)),X$2,)</f>
        <v>0</v>
      </c>
      <c r="Y39" s="155">
        <f ca="1">IF(ISNUMBER(MATCH(DATEVALUE($A39),'recurring1_based on steps'!Y$1:Y$400,0)),Y$2,)</f>
        <v>0</v>
      </c>
      <c r="Z39" s="155">
        <f ca="1">IF(ISNUMBER(MATCH(DATEVALUE($A39),'recurring1_based on steps'!Z$1:Z$400,0)),Z$2,)</f>
        <v>0</v>
      </c>
      <c r="AA39" s="155">
        <f ca="1">IF(ISNUMBER(MATCH(DATEVALUE($A39),'recurring1_based on steps'!AA$1:AA$400,0)),AA$2,)</f>
        <v>0</v>
      </c>
      <c r="AB39" s="155">
        <f ca="1">IF(ISNUMBER(MATCH(DATEVALUE($A39),'recurring1_based on steps'!AB$1:AB$400,0)),AB$2,)</f>
        <v>0</v>
      </c>
      <c r="AC39" s="155">
        <f ca="1">IF(ISNUMBER(MATCH(DATEVALUE($A39),'recurring1_based on steps'!AC$1:AC$400,0)),AC$2,)</f>
        <v>0</v>
      </c>
      <c r="AD39" s="155">
        <f ca="1">IF(ISNUMBER(MATCH(DATEVALUE($A39),'recurring1_based on steps'!AD$1:AD$400,0)),AD$2,)</f>
        <v>0</v>
      </c>
      <c r="AE39" s="155">
        <f ca="1">IF(ISNUMBER(MATCH(DATEVALUE($A39),'recurring1_based on steps'!AE$1:AE$400,0)),AE$2,)</f>
        <v>0</v>
      </c>
      <c r="AF39" s="155">
        <f ca="1">IF(ISNUMBER(MATCH(DATEVALUE($A39),'recurring1_based on steps'!AF$1:AF$400,0)),AF$2,)</f>
        <v>0</v>
      </c>
      <c r="AG39" s="155">
        <f ca="1">IF(ISNUMBER(MATCH(DATEVALUE($A39),'recurring1_based on steps'!AG$1:AG$400,0)),AG$2,)</f>
        <v>0</v>
      </c>
      <c r="AH39" s="155">
        <f ca="1">IF(ISNUMBER(MATCH(DATEVALUE($A39),'recurring1_based on steps'!AH$1:AH$400,0)),AH$2,)</f>
        <v>0</v>
      </c>
      <c r="AI39" s="155">
        <f ca="1">IF(ISNUMBER(MATCH(DATEVALUE($A39),'recurring1_based on steps'!AI$1:AI$400,0)),AI$2,)</f>
        <v>0</v>
      </c>
      <c r="AJ39" s="155">
        <f ca="1">IF(ISNUMBER(MATCH(DATEVALUE($A39),'recurring1_based on steps'!AJ$1:AJ$400,0)),AJ$2,)</f>
        <v>0</v>
      </c>
      <c r="AK39" s="155">
        <f ca="1">IF(ISNUMBER(MATCH(DATEVALUE($A39),'recurring1_based on steps'!AK$1:AK$400,0)),AK$2,)</f>
        <v>0</v>
      </c>
      <c r="AL39" s="155">
        <f ca="1">IF(ISNUMBER(MATCH(DATEVALUE($A39),'recurring1_based on steps'!AL$1:AL$400,0)),AL$2,)</f>
        <v>0</v>
      </c>
      <c r="AM39" s="155">
        <f ca="1">IF(ISNUMBER(MATCH(DATEVALUE($A39),'recurring1_based on steps'!AM$1:AM$400,0)),AM$2,)</f>
        <v>0</v>
      </c>
      <c r="AN39" s="155">
        <f ca="1">IF(ISNUMBER(MATCH(DATEVALUE($A39),'recurring1_based on steps'!AN$1:AN$400,0)),AN$2,)</f>
        <v>0</v>
      </c>
      <c r="AO39" s="155">
        <f ca="1">IF(ISNUMBER(MATCH(DATEVALUE($A39),'recurring1_based on steps'!AO$1:AO$400,0)),AO$2,)</f>
        <v>0</v>
      </c>
      <c r="AP39" s="155">
        <f ca="1">IF(ISNUMBER(MATCH(DATEVALUE($A39),'recurring1_based on steps'!AP$1:AP$400,0)),AP$2,)</f>
        <v>0</v>
      </c>
      <c r="AQ39" s="155">
        <f ca="1">IF(ISNUMBER(MATCH(DATEVALUE($A39),'recurring1_based on steps'!AQ$1:AQ$400,0)),AQ$2,)</f>
        <v>0</v>
      </c>
      <c r="AR39" s="155">
        <f ca="1">IF(ISNUMBER(MATCH(DATEVALUE($A39),'recurring1_based on steps'!AR$1:AR$400,0)),AR$2,)</f>
        <v>0</v>
      </c>
      <c r="AS39" s="155">
        <f ca="1">IF(ISNUMBER(MATCH(DATEVALUE($A39),'recurring1_based on steps'!AS$1:AS$400,0)),AS$2,)</f>
        <v>0</v>
      </c>
      <c r="AT39" s="155">
        <f ca="1">IF(ISNUMBER(MATCH(DATEVALUE($A39),'recurring1_based on steps'!AT$1:AT$400,0)),AT$2,)</f>
        <v>0</v>
      </c>
      <c r="AU39" s="155">
        <f ca="1">IF(ISNUMBER(MATCH(DATEVALUE($A39),'recurring1_based on steps'!AU$1:AU$400,0)),AU$2,)</f>
        <v>0</v>
      </c>
      <c r="AV39" s="155">
        <f ca="1">IF(ISNUMBER(MATCH(DATEVALUE($A39),'recurring1_based on steps'!AV$1:AV$400,0)),AV$2,)</f>
        <v>0</v>
      </c>
      <c r="AW39" s="155">
        <f ca="1">IF(ISNUMBER(MATCH(DATEVALUE($A39),'recurring1_based on steps'!AW$1:AW$400,0)),AW$2,)</f>
        <v>0</v>
      </c>
      <c r="AX39" s="155">
        <f ca="1">IF(ISNUMBER(MATCH(DATEVALUE($A39),'recurring1_based on steps'!AX$1:AX$400,0)),AX$2,)</f>
        <v>0</v>
      </c>
      <c r="AY39" s="155">
        <f ca="1">IF(ISNUMBER(MATCH(DATEVALUE($A39),'recurring1_based on steps'!AY$1:AY$400,0)),AY$2,)</f>
        <v>0</v>
      </c>
    </row>
    <row r="40" spans="1:51" x14ac:dyDescent="0.2">
      <c r="A40" s="18" t="str">
        <f t="shared" ca="1" si="0"/>
        <v>2025-03-10</v>
      </c>
      <c r="B40" s="155">
        <f ca="1">IF(ISNUMBER(MATCH(DATEVALUE($A40),'recurring1_based on steps'!B$1:B$400,0)),B$2,)</f>
        <v>0</v>
      </c>
      <c r="C40" s="155">
        <f ca="1">IF(ISNUMBER(MATCH(DATEVALUE($A40),'recurring1_based on steps'!C$1:C$400,0)),C$2,)</f>
        <v>0</v>
      </c>
      <c r="D40" s="155">
        <f ca="1">IF(ISNUMBER(MATCH(DATEVALUE($A40),'recurring1_based on steps'!D$1:D$400,0)),D$2,)</f>
        <v>0</v>
      </c>
      <c r="E40" s="155">
        <f ca="1">IF(ISNUMBER(MATCH(DATEVALUE($A40),'recurring1_based on steps'!E$1:E$400,0)),E$2,)</f>
        <v>0</v>
      </c>
      <c r="F40" s="155">
        <f ca="1">IF(ISNUMBER(MATCH(DATEVALUE($A40),'recurring1_based on steps'!F$1:F$400,0)),F$2,)</f>
        <v>0</v>
      </c>
      <c r="G40" s="155">
        <f ca="1">IF(ISNUMBER(MATCH(DATEVALUE($A40),'recurring1_based on steps'!G$1:G$400,0)),G$2,)</f>
        <v>0</v>
      </c>
      <c r="H40" s="155">
        <f ca="1">IF(ISNUMBER(MATCH(DATEVALUE($A40),'recurring1_based on steps'!H$1:H$400,0)),H$2,)</f>
        <v>0</v>
      </c>
      <c r="I40" s="155">
        <f ca="1">IF(ISNUMBER(MATCH(DATEVALUE($A40),'recurring1_based on steps'!I$1:I$400,0)),I$2,)</f>
        <v>0</v>
      </c>
      <c r="J40" s="155">
        <f ca="1">IF(ISNUMBER(MATCH(DATEVALUE($A40),'recurring1_based on steps'!J$1:J$400,0)),J$2,)</f>
        <v>0</v>
      </c>
      <c r="K40" s="155">
        <f ca="1">IF(ISNUMBER(MATCH(DATEVALUE($A40),'recurring1_based on steps'!K$1:K$400,0)),K$2,)</f>
        <v>0</v>
      </c>
      <c r="L40" s="155">
        <f ca="1">IF(ISNUMBER(MATCH(DATEVALUE($A40),'recurring1_based on steps'!L$1:L$400,0)),L$2,)</f>
        <v>0</v>
      </c>
      <c r="M40" s="155">
        <f ca="1">IF(ISNUMBER(MATCH(DATEVALUE($A40),'recurring1_based on steps'!M$1:M$400,0)),M$2,)</f>
        <v>0</v>
      </c>
      <c r="N40" s="155">
        <f ca="1">IF(ISNUMBER(MATCH(DATEVALUE($A40),'recurring1_based on steps'!N$1:N$400,0)),N$2,)</f>
        <v>0</v>
      </c>
      <c r="O40" s="155">
        <f ca="1">IF(ISNUMBER(MATCH(DATEVALUE($A40),'recurring1_based on steps'!O$1:O$400,0)),O$2,)</f>
        <v>0</v>
      </c>
      <c r="P40" s="155">
        <f ca="1">IF(ISNUMBER(MATCH(DATEVALUE($A40),'recurring1_based on steps'!P$1:P$400,0)),P$2,)</f>
        <v>0</v>
      </c>
      <c r="Q40" s="155">
        <f ca="1">IF(ISNUMBER(MATCH(DATEVALUE($A40),'recurring1_based on steps'!Q$1:Q$400,0)),Q$2,)</f>
        <v>0</v>
      </c>
      <c r="R40" s="155">
        <f ca="1">IF(ISNUMBER(MATCH(DATEVALUE($A40),'recurring1_based on steps'!R$1:R$400,0)),R$2,)</f>
        <v>0</v>
      </c>
      <c r="S40" s="155">
        <f ca="1">IF(ISNUMBER(MATCH(DATEVALUE($A40),'recurring1_based on steps'!S$1:S$400,0)),S$2,)</f>
        <v>0</v>
      </c>
      <c r="T40" s="155">
        <f ca="1">IF(ISNUMBER(MATCH(DATEVALUE($A40),'recurring1_based on steps'!T$1:T$400,0)),T$2,)</f>
        <v>0</v>
      </c>
      <c r="U40" s="155">
        <f ca="1">IF(ISNUMBER(MATCH(DATEVALUE($A40),'recurring1_based on steps'!U$1:U$400,0)),U$2,)</f>
        <v>0</v>
      </c>
      <c r="V40" s="155">
        <f ca="1">IF(ISNUMBER(MATCH(DATEVALUE($A40),'recurring1_based on steps'!V$1:V$400,0)),V$2,)</f>
        <v>0</v>
      </c>
      <c r="W40" s="155">
        <f ca="1">IF(ISNUMBER(MATCH(DATEVALUE($A40),'recurring1_based on steps'!W$1:W$400,0)),W$2,)</f>
        <v>0</v>
      </c>
      <c r="X40" s="155">
        <f ca="1">IF(ISNUMBER(MATCH(DATEVALUE($A40),'recurring1_based on steps'!X$1:X$400,0)),X$2,)</f>
        <v>0</v>
      </c>
      <c r="Y40" s="155">
        <f ca="1">IF(ISNUMBER(MATCH(DATEVALUE($A40),'recurring1_based on steps'!Y$1:Y$400,0)),Y$2,)</f>
        <v>0</v>
      </c>
      <c r="Z40" s="155">
        <f ca="1">IF(ISNUMBER(MATCH(DATEVALUE($A40),'recurring1_based on steps'!Z$1:Z$400,0)),Z$2,)</f>
        <v>0</v>
      </c>
      <c r="AA40" s="155">
        <f ca="1">IF(ISNUMBER(MATCH(DATEVALUE($A40),'recurring1_based on steps'!AA$1:AA$400,0)),AA$2,)</f>
        <v>0</v>
      </c>
      <c r="AB40" s="155">
        <f ca="1">IF(ISNUMBER(MATCH(DATEVALUE($A40),'recurring1_based on steps'!AB$1:AB$400,0)),AB$2,)</f>
        <v>0</v>
      </c>
      <c r="AC40" s="155">
        <f ca="1">IF(ISNUMBER(MATCH(DATEVALUE($A40),'recurring1_based on steps'!AC$1:AC$400,0)),AC$2,)</f>
        <v>0</v>
      </c>
      <c r="AD40" s="155">
        <f ca="1">IF(ISNUMBER(MATCH(DATEVALUE($A40),'recurring1_based on steps'!AD$1:AD$400,0)),AD$2,)</f>
        <v>0</v>
      </c>
      <c r="AE40" s="155">
        <f ca="1">IF(ISNUMBER(MATCH(DATEVALUE($A40),'recurring1_based on steps'!AE$1:AE$400,0)),AE$2,)</f>
        <v>0</v>
      </c>
      <c r="AF40" s="155">
        <f ca="1">IF(ISNUMBER(MATCH(DATEVALUE($A40),'recurring1_based on steps'!AF$1:AF$400,0)),AF$2,)</f>
        <v>0</v>
      </c>
      <c r="AG40" s="155">
        <f ca="1">IF(ISNUMBER(MATCH(DATEVALUE($A40),'recurring1_based on steps'!AG$1:AG$400,0)),AG$2,)</f>
        <v>0</v>
      </c>
      <c r="AH40" s="155">
        <f ca="1">IF(ISNUMBER(MATCH(DATEVALUE($A40),'recurring1_based on steps'!AH$1:AH$400,0)),AH$2,)</f>
        <v>0</v>
      </c>
      <c r="AI40" s="155">
        <f ca="1">IF(ISNUMBER(MATCH(DATEVALUE($A40),'recurring1_based on steps'!AI$1:AI$400,0)),AI$2,)</f>
        <v>0</v>
      </c>
      <c r="AJ40" s="155">
        <f ca="1">IF(ISNUMBER(MATCH(DATEVALUE($A40),'recurring1_based on steps'!AJ$1:AJ$400,0)),AJ$2,)</f>
        <v>0</v>
      </c>
      <c r="AK40" s="155">
        <f ca="1">IF(ISNUMBER(MATCH(DATEVALUE($A40),'recurring1_based on steps'!AK$1:AK$400,0)),AK$2,)</f>
        <v>0</v>
      </c>
      <c r="AL40" s="155">
        <f ca="1">IF(ISNUMBER(MATCH(DATEVALUE($A40),'recurring1_based on steps'!AL$1:AL$400,0)),AL$2,)</f>
        <v>0</v>
      </c>
      <c r="AM40" s="155">
        <f ca="1">IF(ISNUMBER(MATCH(DATEVALUE($A40),'recurring1_based on steps'!AM$1:AM$400,0)),AM$2,)</f>
        <v>0</v>
      </c>
      <c r="AN40" s="155">
        <f ca="1">IF(ISNUMBER(MATCH(DATEVALUE($A40),'recurring1_based on steps'!AN$1:AN$400,0)),AN$2,)</f>
        <v>0</v>
      </c>
      <c r="AO40" s="155">
        <f ca="1">IF(ISNUMBER(MATCH(DATEVALUE($A40),'recurring1_based on steps'!AO$1:AO$400,0)),AO$2,)</f>
        <v>0</v>
      </c>
      <c r="AP40" s="155">
        <f ca="1">IF(ISNUMBER(MATCH(DATEVALUE($A40),'recurring1_based on steps'!AP$1:AP$400,0)),AP$2,)</f>
        <v>0</v>
      </c>
      <c r="AQ40" s="155">
        <f ca="1">IF(ISNUMBER(MATCH(DATEVALUE($A40),'recurring1_based on steps'!AQ$1:AQ$400,0)),AQ$2,)</f>
        <v>0</v>
      </c>
      <c r="AR40" s="155">
        <f ca="1">IF(ISNUMBER(MATCH(DATEVALUE($A40),'recurring1_based on steps'!AR$1:AR$400,0)),AR$2,)</f>
        <v>0</v>
      </c>
      <c r="AS40" s="155">
        <f ca="1">IF(ISNUMBER(MATCH(DATEVALUE($A40),'recurring1_based on steps'!AS$1:AS$400,0)),AS$2,)</f>
        <v>0</v>
      </c>
      <c r="AT40" s="155">
        <f ca="1">IF(ISNUMBER(MATCH(DATEVALUE($A40),'recurring1_based on steps'!AT$1:AT$400,0)),AT$2,)</f>
        <v>0</v>
      </c>
      <c r="AU40" s="155">
        <f ca="1">IF(ISNUMBER(MATCH(DATEVALUE($A40),'recurring1_based on steps'!AU$1:AU$400,0)),AU$2,)</f>
        <v>0</v>
      </c>
      <c r="AV40" s="155">
        <f ca="1">IF(ISNUMBER(MATCH(DATEVALUE($A40),'recurring1_based on steps'!AV$1:AV$400,0)),AV$2,)</f>
        <v>0</v>
      </c>
      <c r="AW40" s="155">
        <f ca="1">IF(ISNUMBER(MATCH(DATEVALUE($A40),'recurring1_based on steps'!AW$1:AW$400,0)),AW$2,)</f>
        <v>0</v>
      </c>
      <c r="AX40" s="155">
        <f ca="1">IF(ISNUMBER(MATCH(DATEVALUE($A40),'recurring1_based on steps'!AX$1:AX$400,0)),AX$2,)</f>
        <v>0</v>
      </c>
      <c r="AY40" s="155">
        <f ca="1">IF(ISNUMBER(MATCH(DATEVALUE($A40),'recurring1_based on steps'!AY$1:AY$400,0)),AY$2,)</f>
        <v>0</v>
      </c>
    </row>
    <row r="41" spans="1:51" x14ac:dyDescent="0.2">
      <c r="A41" s="18" t="str">
        <f t="shared" ca="1" si="0"/>
        <v>2025-03-11</v>
      </c>
      <c r="B41" s="155">
        <f ca="1">IF(ISNUMBER(MATCH(DATEVALUE($A41),'recurring1_based on steps'!B$1:B$400,0)),B$2,)</f>
        <v>0</v>
      </c>
      <c r="C41" s="155">
        <f ca="1">IF(ISNUMBER(MATCH(DATEVALUE($A41),'recurring1_based on steps'!C$1:C$400,0)),C$2,)</f>
        <v>0</v>
      </c>
      <c r="D41" s="155">
        <f ca="1">IF(ISNUMBER(MATCH(DATEVALUE($A41),'recurring1_based on steps'!D$1:D$400,0)),D$2,)</f>
        <v>0</v>
      </c>
      <c r="E41" s="155">
        <f ca="1">IF(ISNUMBER(MATCH(DATEVALUE($A41),'recurring1_based on steps'!E$1:E$400,0)),E$2,)</f>
        <v>0</v>
      </c>
      <c r="F41" s="155">
        <f ca="1">IF(ISNUMBER(MATCH(DATEVALUE($A41),'recurring1_based on steps'!F$1:F$400,0)),F$2,)</f>
        <v>0</v>
      </c>
      <c r="G41" s="155">
        <f ca="1">IF(ISNUMBER(MATCH(DATEVALUE($A41),'recurring1_based on steps'!G$1:G$400,0)),G$2,)</f>
        <v>0</v>
      </c>
      <c r="H41" s="155">
        <f ca="1">IF(ISNUMBER(MATCH(DATEVALUE($A41),'recurring1_based on steps'!H$1:H$400,0)),H$2,)</f>
        <v>0</v>
      </c>
      <c r="I41" s="155">
        <f ca="1">IF(ISNUMBER(MATCH(DATEVALUE($A41),'recurring1_based on steps'!I$1:I$400,0)),I$2,)</f>
        <v>0</v>
      </c>
      <c r="J41" s="155">
        <f ca="1">IF(ISNUMBER(MATCH(DATEVALUE($A41),'recurring1_based on steps'!J$1:J$400,0)),J$2,)</f>
        <v>0</v>
      </c>
      <c r="K41" s="155">
        <f ca="1">IF(ISNUMBER(MATCH(DATEVALUE($A41),'recurring1_based on steps'!K$1:K$400,0)),K$2,)</f>
        <v>0</v>
      </c>
      <c r="L41" s="155">
        <f ca="1">IF(ISNUMBER(MATCH(DATEVALUE($A41),'recurring1_based on steps'!L$1:L$400,0)),L$2,)</f>
        <v>0</v>
      </c>
      <c r="M41" s="155">
        <f ca="1">IF(ISNUMBER(MATCH(DATEVALUE($A41),'recurring1_based on steps'!M$1:M$400,0)),M$2,)</f>
        <v>0</v>
      </c>
      <c r="N41" s="155">
        <f ca="1">IF(ISNUMBER(MATCH(DATEVALUE($A41),'recurring1_based on steps'!N$1:N$400,0)),N$2,)</f>
        <v>0</v>
      </c>
      <c r="O41" s="155">
        <f ca="1">IF(ISNUMBER(MATCH(DATEVALUE($A41),'recurring1_based on steps'!O$1:O$400,0)),O$2,)</f>
        <v>0</v>
      </c>
      <c r="P41" s="155">
        <f ca="1">IF(ISNUMBER(MATCH(DATEVALUE($A41),'recurring1_based on steps'!P$1:P$400,0)),P$2,)</f>
        <v>0</v>
      </c>
      <c r="Q41" s="155">
        <f ca="1">IF(ISNUMBER(MATCH(DATEVALUE($A41),'recurring1_based on steps'!Q$1:Q$400,0)),Q$2,)</f>
        <v>0</v>
      </c>
      <c r="R41" s="155">
        <f ca="1">IF(ISNUMBER(MATCH(DATEVALUE($A41),'recurring1_based on steps'!R$1:R$400,0)),R$2,)</f>
        <v>0</v>
      </c>
      <c r="S41" s="155">
        <f ca="1">IF(ISNUMBER(MATCH(DATEVALUE($A41),'recurring1_based on steps'!S$1:S$400,0)),S$2,)</f>
        <v>0</v>
      </c>
      <c r="T41" s="155">
        <f ca="1">IF(ISNUMBER(MATCH(DATEVALUE($A41),'recurring1_based on steps'!T$1:T$400,0)),T$2,)</f>
        <v>0</v>
      </c>
      <c r="U41" s="155">
        <f ca="1">IF(ISNUMBER(MATCH(DATEVALUE($A41),'recurring1_based on steps'!U$1:U$400,0)),U$2,)</f>
        <v>0</v>
      </c>
      <c r="V41" s="155">
        <f ca="1">IF(ISNUMBER(MATCH(DATEVALUE($A41),'recurring1_based on steps'!V$1:V$400,0)),V$2,)</f>
        <v>0</v>
      </c>
      <c r="W41" s="155">
        <f ca="1">IF(ISNUMBER(MATCH(DATEVALUE($A41),'recurring1_based on steps'!W$1:W$400,0)),W$2,)</f>
        <v>0</v>
      </c>
      <c r="X41" s="155">
        <f ca="1">IF(ISNUMBER(MATCH(DATEVALUE($A41),'recurring1_based on steps'!X$1:X$400,0)),X$2,)</f>
        <v>0</v>
      </c>
      <c r="Y41" s="155">
        <f ca="1">IF(ISNUMBER(MATCH(DATEVALUE($A41),'recurring1_based on steps'!Y$1:Y$400,0)),Y$2,)</f>
        <v>0</v>
      </c>
      <c r="Z41" s="155">
        <f ca="1">IF(ISNUMBER(MATCH(DATEVALUE($A41),'recurring1_based on steps'!Z$1:Z$400,0)),Z$2,)</f>
        <v>0</v>
      </c>
      <c r="AA41" s="155">
        <f ca="1">IF(ISNUMBER(MATCH(DATEVALUE($A41),'recurring1_based on steps'!AA$1:AA$400,0)),AA$2,)</f>
        <v>0</v>
      </c>
      <c r="AB41" s="155">
        <f ca="1">IF(ISNUMBER(MATCH(DATEVALUE($A41),'recurring1_based on steps'!AB$1:AB$400,0)),AB$2,)</f>
        <v>0</v>
      </c>
      <c r="AC41" s="155">
        <f ca="1">IF(ISNUMBER(MATCH(DATEVALUE($A41),'recurring1_based on steps'!AC$1:AC$400,0)),AC$2,)</f>
        <v>0</v>
      </c>
      <c r="AD41" s="155">
        <f ca="1">IF(ISNUMBER(MATCH(DATEVALUE($A41),'recurring1_based on steps'!AD$1:AD$400,0)),AD$2,)</f>
        <v>0</v>
      </c>
      <c r="AE41" s="155">
        <f ca="1">IF(ISNUMBER(MATCH(DATEVALUE($A41),'recurring1_based on steps'!AE$1:AE$400,0)),AE$2,)</f>
        <v>0</v>
      </c>
      <c r="AF41" s="155">
        <f ca="1">IF(ISNUMBER(MATCH(DATEVALUE($A41),'recurring1_based on steps'!AF$1:AF$400,0)),AF$2,)</f>
        <v>0</v>
      </c>
      <c r="AG41" s="155">
        <f ca="1">IF(ISNUMBER(MATCH(DATEVALUE($A41),'recurring1_based on steps'!AG$1:AG$400,0)),AG$2,)</f>
        <v>0</v>
      </c>
      <c r="AH41" s="155">
        <f ca="1">IF(ISNUMBER(MATCH(DATEVALUE($A41),'recurring1_based on steps'!AH$1:AH$400,0)),AH$2,)</f>
        <v>0</v>
      </c>
      <c r="AI41" s="155">
        <f ca="1">IF(ISNUMBER(MATCH(DATEVALUE($A41),'recurring1_based on steps'!AI$1:AI$400,0)),AI$2,)</f>
        <v>0</v>
      </c>
      <c r="AJ41" s="155">
        <f ca="1">IF(ISNUMBER(MATCH(DATEVALUE($A41),'recurring1_based on steps'!AJ$1:AJ$400,0)),AJ$2,)</f>
        <v>0</v>
      </c>
      <c r="AK41" s="155">
        <f ca="1">IF(ISNUMBER(MATCH(DATEVALUE($A41),'recurring1_based on steps'!AK$1:AK$400,0)),AK$2,)</f>
        <v>0</v>
      </c>
      <c r="AL41" s="155">
        <f ca="1">IF(ISNUMBER(MATCH(DATEVALUE($A41),'recurring1_based on steps'!AL$1:AL$400,0)),AL$2,)</f>
        <v>0</v>
      </c>
      <c r="AM41" s="155">
        <f ca="1">IF(ISNUMBER(MATCH(DATEVALUE($A41),'recurring1_based on steps'!AM$1:AM$400,0)),AM$2,)</f>
        <v>0</v>
      </c>
      <c r="AN41" s="155">
        <f ca="1">IF(ISNUMBER(MATCH(DATEVALUE($A41),'recurring1_based on steps'!AN$1:AN$400,0)),AN$2,)</f>
        <v>0</v>
      </c>
      <c r="AO41" s="155">
        <f ca="1">IF(ISNUMBER(MATCH(DATEVALUE($A41),'recurring1_based on steps'!AO$1:AO$400,0)),AO$2,)</f>
        <v>0</v>
      </c>
      <c r="AP41" s="155">
        <f ca="1">IF(ISNUMBER(MATCH(DATEVALUE($A41),'recurring1_based on steps'!AP$1:AP$400,0)),AP$2,)</f>
        <v>0</v>
      </c>
      <c r="AQ41" s="155">
        <f ca="1">IF(ISNUMBER(MATCH(DATEVALUE($A41),'recurring1_based on steps'!AQ$1:AQ$400,0)),AQ$2,)</f>
        <v>0</v>
      </c>
      <c r="AR41" s="155">
        <f ca="1">IF(ISNUMBER(MATCH(DATEVALUE($A41),'recurring1_based on steps'!AR$1:AR$400,0)),AR$2,)</f>
        <v>0</v>
      </c>
      <c r="AS41" s="155">
        <f ca="1">IF(ISNUMBER(MATCH(DATEVALUE($A41),'recurring1_based on steps'!AS$1:AS$400,0)),AS$2,)</f>
        <v>0</v>
      </c>
      <c r="AT41" s="155">
        <f ca="1">IF(ISNUMBER(MATCH(DATEVALUE($A41),'recurring1_based on steps'!AT$1:AT$400,0)),AT$2,)</f>
        <v>0</v>
      </c>
      <c r="AU41" s="155">
        <f ca="1">IF(ISNUMBER(MATCH(DATEVALUE($A41),'recurring1_based on steps'!AU$1:AU$400,0)),AU$2,)</f>
        <v>0</v>
      </c>
      <c r="AV41" s="155">
        <f ca="1">IF(ISNUMBER(MATCH(DATEVALUE($A41),'recurring1_based on steps'!AV$1:AV$400,0)),AV$2,)</f>
        <v>0</v>
      </c>
      <c r="AW41" s="155">
        <f ca="1">IF(ISNUMBER(MATCH(DATEVALUE($A41),'recurring1_based on steps'!AW$1:AW$400,0)),AW$2,)</f>
        <v>0</v>
      </c>
      <c r="AX41" s="155">
        <f ca="1">IF(ISNUMBER(MATCH(DATEVALUE($A41),'recurring1_based on steps'!AX$1:AX$400,0)),AX$2,)</f>
        <v>0</v>
      </c>
      <c r="AY41" s="155">
        <f ca="1">IF(ISNUMBER(MATCH(DATEVALUE($A41),'recurring1_based on steps'!AY$1:AY$400,0)),AY$2,)</f>
        <v>0</v>
      </c>
    </row>
    <row r="42" spans="1:51" x14ac:dyDescent="0.2">
      <c r="A42" s="18" t="str">
        <f t="shared" ca="1" si="0"/>
        <v>2025-03-12</v>
      </c>
      <c r="B42" s="155">
        <f ca="1">IF(ISNUMBER(MATCH(DATEVALUE($A42),'recurring1_based on steps'!B$1:B$400,0)),B$2,)</f>
        <v>0</v>
      </c>
      <c r="C42" s="155">
        <f ca="1">IF(ISNUMBER(MATCH(DATEVALUE($A42),'recurring1_based on steps'!C$1:C$400,0)),C$2,)</f>
        <v>0</v>
      </c>
      <c r="D42" s="155">
        <f ca="1">IF(ISNUMBER(MATCH(DATEVALUE($A42),'recurring1_based on steps'!D$1:D$400,0)),D$2,)</f>
        <v>0</v>
      </c>
      <c r="E42" s="155">
        <f ca="1">IF(ISNUMBER(MATCH(DATEVALUE($A42),'recurring1_based on steps'!E$1:E$400,0)),E$2,)</f>
        <v>0</v>
      </c>
      <c r="F42" s="155">
        <f ca="1">IF(ISNUMBER(MATCH(DATEVALUE($A42),'recurring1_based on steps'!F$1:F$400,0)),F$2,)</f>
        <v>0</v>
      </c>
      <c r="G42" s="155">
        <f ca="1">IF(ISNUMBER(MATCH(DATEVALUE($A42),'recurring1_based on steps'!G$1:G$400,0)),G$2,)</f>
        <v>0</v>
      </c>
      <c r="H42" s="155">
        <f ca="1">IF(ISNUMBER(MATCH(DATEVALUE($A42),'recurring1_based on steps'!H$1:H$400,0)),H$2,)</f>
        <v>0</v>
      </c>
      <c r="I42" s="155">
        <f ca="1">IF(ISNUMBER(MATCH(DATEVALUE($A42),'recurring1_based on steps'!I$1:I$400,0)),I$2,)</f>
        <v>0</v>
      </c>
      <c r="J42" s="155">
        <f ca="1">IF(ISNUMBER(MATCH(DATEVALUE($A42),'recurring1_based on steps'!J$1:J$400,0)),J$2,)</f>
        <v>0</v>
      </c>
      <c r="K42" s="155">
        <f ca="1">IF(ISNUMBER(MATCH(DATEVALUE($A42),'recurring1_based on steps'!K$1:K$400,0)),K$2,)</f>
        <v>0</v>
      </c>
      <c r="L42" s="155">
        <f ca="1">IF(ISNUMBER(MATCH(DATEVALUE($A42),'recurring1_based on steps'!L$1:L$400,0)),L$2,)</f>
        <v>0</v>
      </c>
      <c r="M42" s="155">
        <f ca="1">IF(ISNUMBER(MATCH(DATEVALUE($A42),'recurring1_based on steps'!M$1:M$400,0)),M$2,)</f>
        <v>0</v>
      </c>
      <c r="N42" s="155">
        <f ca="1">IF(ISNUMBER(MATCH(DATEVALUE($A42),'recurring1_based on steps'!N$1:N$400,0)),N$2,)</f>
        <v>0</v>
      </c>
      <c r="O42" s="155">
        <f ca="1">IF(ISNUMBER(MATCH(DATEVALUE($A42),'recurring1_based on steps'!O$1:O$400,0)),O$2,)</f>
        <v>0</v>
      </c>
      <c r="P42" s="155">
        <f ca="1">IF(ISNUMBER(MATCH(DATEVALUE($A42),'recurring1_based on steps'!P$1:P$400,0)),P$2,)</f>
        <v>0</v>
      </c>
      <c r="Q42" s="155">
        <f ca="1">IF(ISNUMBER(MATCH(DATEVALUE($A42),'recurring1_based on steps'!Q$1:Q$400,0)),Q$2,)</f>
        <v>0</v>
      </c>
      <c r="R42" s="155">
        <f ca="1">IF(ISNUMBER(MATCH(DATEVALUE($A42),'recurring1_based on steps'!R$1:R$400,0)),R$2,)</f>
        <v>0</v>
      </c>
      <c r="S42" s="155">
        <f ca="1">IF(ISNUMBER(MATCH(DATEVALUE($A42),'recurring1_based on steps'!S$1:S$400,0)),S$2,)</f>
        <v>0</v>
      </c>
      <c r="T42" s="155">
        <f ca="1">IF(ISNUMBER(MATCH(DATEVALUE($A42),'recurring1_based on steps'!T$1:T$400,0)),T$2,)</f>
        <v>0</v>
      </c>
      <c r="U42" s="155">
        <f ca="1">IF(ISNUMBER(MATCH(DATEVALUE($A42),'recurring1_based on steps'!U$1:U$400,0)),U$2,)</f>
        <v>0</v>
      </c>
      <c r="V42" s="155">
        <f ca="1">IF(ISNUMBER(MATCH(DATEVALUE($A42),'recurring1_based on steps'!V$1:V$400,0)),V$2,)</f>
        <v>0</v>
      </c>
      <c r="W42" s="155">
        <f ca="1">IF(ISNUMBER(MATCH(DATEVALUE($A42),'recurring1_based on steps'!W$1:W$400,0)),W$2,)</f>
        <v>0</v>
      </c>
      <c r="X42" s="155">
        <f ca="1">IF(ISNUMBER(MATCH(DATEVALUE($A42),'recurring1_based on steps'!X$1:X$400,0)),X$2,)</f>
        <v>0</v>
      </c>
      <c r="Y42" s="155">
        <f ca="1">IF(ISNUMBER(MATCH(DATEVALUE($A42),'recurring1_based on steps'!Y$1:Y$400,0)),Y$2,)</f>
        <v>0</v>
      </c>
      <c r="Z42" s="155">
        <f ca="1">IF(ISNUMBER(MATCH(DATEVALUE($A42),'recurring1_based on steps'!Z$1:Z$400,0)),Z$2,)</f>
        <v>0</v>
      </c>
      <c r="AA42" s="155">
        <f ca="1">IF(ISNUMBER(MATCH(DATEVALUE($A42),'recurring1_based on steps'!AA$1:AA$400,0)),AA$2,)</f>
        <v>0</v>
      </c>
      <c r="AB42" s="155">
        <f ca="1">IF(ISNUMBER(MATCH(DATEVALUE($A42),'recurring1_based on steps'!AB$1:AB$400,0)),AB$2,)</f>
        <v>0</v>
      </c>
      <c r="AC42" s="155">
        <f ca="1">IF(ISNUMBER(MATCH(DATEVALUE($A42),'recurring1_based on steps'!AC$1:AC$400,0)),AC$2,)</f>
        <v>0</v>
      </c>
      <c r="AD42" s="155">
        <f ca="1">IF(ISNUMBER(MATCH(DATEVALUE($A42),'recurring1_based on steps'!AD$1:AD$400,0)),AD$2,)</f>
        <v>0</v>
      </c>
      <c r="AE42" s="155">
        <f ca="1">IF(ISNUMBER(MATCH(DATEVALUE($A42),'recurring1_based on steps'!AE$1:AE$400,0)),AE$2,)</f>
        <v>0</v>
      </c>
      <c r="AF42" s="155">
        <f ca="1">IF(ISNUMBER(MATCH(DATEVALUE($A42),'recurring1_based on steps'!AF$1:AF$400,0)),AF$2,)</f>
        <v>0</v>
      </c>
      <c r="AG42" s="155">
        <f ca="1">IF(ISNUMBER(MATCH(DATEVALUE($A42),'recurring1_based on steps'!AG$1:AG$400,0)),AG$2,)</f>
        <v>0</v>
      </c>
      <c r="AH42" s="155">
        <f ca="1">IF(ISNUMBER(MATCH(DATEVALUE($A42),'recurring1_based on steps'!AH$1:AH$400,0)),AH$2,)</f>
        <v>0</v>
      </c>
      <c r="AI42" s="155">
        <f ca="1">IF(ISNUMBER(MATCH(DATEVALUE($A42),'recurring1_based on steps'!AI$1:AI$400,0)),AI$2,)</f>
        <v>0</v>
      </c>
      <c r="AJ42" s="155">
        <f ca="1">IF(ISNUMBER(MATCH(DATEVALUE($A42),'recurring1_based on steps'!AJ$1:AJ$400,0)),AJ$2,)</f>
        <v>0</v>
      </c>
      <c r="AK42" s="155">
        <f ca="1">IF(ISNUMBER(MATCH(DATEVALUE($A42),'recurring1_based on steps'!AK$1:AK$400,0)),AK$2,)</f>
        <v>0</v>
      </c>
      <c r="AL42" s="155">
        <f ca="1">IF(ISNUMBER(MATCH(DATEVALUE($A42),'recurring1_based on steps'!AL$1:AL$400,0)),AL$2,)</f>
        <v>0</v>
      </c>
      <c r="AM42" s="155">
        <f ca="1">IF(ISNUMBER(MATCH(DATEVALUE($A42),'recurring1_based on steps'!AM$1:AM$400,0)),AM$2,)</f>
        <v>0</v>
      </c>
      <c r="AN42" s="155">
        <f ca="1">IF(ISNUMBER(MATCH(DATEVALUE($A42),'recurring1_based on steps'!AN$1:AN$400,0)),AN$2,)</f>
        <v>0</v>
      </c>
      <c r="AO42" s="155">
        <f ca="1">IF(ISNUMBER(MATCH(DATEVALUE($A42),'recurring1_based on steps'!AO$1:AO$400,0)),AO$2,)</f>
        <v>0</v>
      </c>
      <c r="AP42" s="155">
        <f ca="1">IF(ISNUMBER(MATCH(DATEVALUE($A42),'recurring1_based on steps'!AP$1:AP$400,0)),AP$2,)</f>
        <v>0</v>
      </c>
      <c r="AQ42" s="155">
        <f ca="1">IF(ISNUMBER(MATCH(DATEVALUE($A42),'recurring1_based on steps'!AQ$1:AQ$400,0)),AQ$2,)</f>
        <v>0</v>
      </c>
      <c r="AR42" s="155">
        <f ca="1">IF(ISNUMBER(MATCH(DATEVALUE($A42),'recurring1_based on steps'!AR$1:AR$400,0)),AR$2,)</f>
        <v>0</v>
      </c>
      <c r="AS42" s="155">
        <f ca="1">IF(ISNUMBER(MATCH(DATEVALUE($A42),'recurring1_based on steps'!AS$1:AS$400,0)),AS$2,)</f>
        <v>0</v>
      </c>
      <c r="AT42" s="155">
        <f ca="1">IF(ISNUMBER(MATCH(DATEVALUE($A42),'recurring1_based on steps'!AT$1:AT$400,0)),AT$2,)</f>
        <v>0</v>
      </c>
      <c r="AU42" s="155">
        <f ca="1">IF(ISNUMBER(MATCH(DATEVALUE($A42),'recurring1_based on steps'!AU$1:AU$400,0)),AU$2,)</f>
        <v>0</v>
      </c>
      <c r="AV42" s="155">
        <f ca="1">IF(ISNUMBER(MATCH(DATEVALUE($A42),'recurring1_based on steps'!AV$1:AV$400,0)),AV$2,)</f>
        <v>0</v>
      </c>
      <c r="AW42" s="155">
        <f ca="1">IF(ISNUMBER(MATCH(DATEVALUE($A42),'recurring1_based on steps'!AW$1:AW$400,0)),AW$2,)</f>
        <v>0</v>
      </c>
      <c r="AX42" s="155">
        <f ca="1">IF(ISNUMBER(MATCH(DATEVALUE($A42),'recurring1_based on steps'!AX$1:AX$400,0)),AX$2,)</f>
        <v>0</v>
      </c>
      <c r="AY42" s="155">
        <f ca="1">IF(ISNUMBER(MATCH(DATEVALUE($A42),'recurring1_based on steps'!AY$1:AY$400,0)),AY$2,)</f>
        <v>0</v>
      </c>
    </row>
    <row r="43" spans="1:51" x14ac:dyDescent="0.2">
      <c r="A43" s="18" t="str">
        <f t="shared" ca="1" si="0"/>
        <v>2025-03-13</v>
      </c>
      <c r="B43" s="155">
        <f ca="1">IF(ISNUMBER(MATCH(DATEVALUE($A43),'recurring1_based on steps'!B$1:B$400,0)),B$2,)</f>
        <v>0</v>
      </c>
      <c r="C43" s="155">
        <f ca="1">IF(ISNUMBER(MATCH(DATEVALUE($A43),'recurring1_based on steps'!C$1:C$400,0)),C$2,)</f>
        <v>0</v>
      </c>
      <c r="D43" s="155">
        <f ca="1">IF(ISNUMBER(MATCH(DATEVALUE($A43),'recurring1_based on steps'!D$1:D$400,0)),D$2,)</f>
        <v>0</v>
      </c>
      <c r="E43" s="155">
        <f ca="1">IF(ISNUMBER(MATCH(DATEVALUE($A43),'recurring1_based on steps'!E$1:E$400,0)),E$2,)</f>
        <v>0</v>
      </c>
      <c r="F43" s="155">
        <f ca="1">IF(ISNUMBER(MATCH(DATEVALUE($A43),'recurring1_based on steps'!F$1:F$400,0)),F$2,)</f>
        <v>0</v>
      </c>
      <c r="G43" s="155">
        <f ca="1">IF(ISNUMBER(MATCH(DATEVALUE($A43),'recurring1_based on steps'!G$1:G$400,0)),G$2,)</f>
        <v>0</v>
      </c>
      <c r="H43" s="155">
        <f ca="1">IF(ISNUMBER(MATCH(DATEVALUE($A43),'recurring1_based on steps'!H$1:H$400,0)),H$2,)</f>
        <v>0</v>
      </c>
      <c r="I43" s="155">
        <f ca="1">IF(ISNUMBER(MATCH(DATEVALUE($A43),'recurring1_based on steps'!I$1:I$400,0)),I$2,)</f>
        <v>0</v>
      </c>
      <c r="J43" s="155">
        <f ca="1">IF(ISNUMBER(MATCH(DATEVALUE($A43),'recurring1_based on steps'!J$1:J$400,0)),J$2,)</f>
        <v>0</v>
      </c>
      <c r="K43" s="155">
        <f ca="1">IF(ISNUMBER(MATCH(DATEVALUE($A43),'recurring1_based on steps'!K$1:K$400,0)),K$2,)</f>
        <v>0</v>
      </c>
      <c r="L43" s="155">
        <f ca="1">IF(ISNUMBER(MATCH(DATEVALUE($A43),'recurring1_based on steps'!L$1:L$400,0)),L$2,)</f>
        <v>0</v>
      </c>
      <c r="M43" s="155">
        <f ca="1">IF(ISNUMBER(MATCH(DATEVALUE($A43),'recurring1_based on steps'!M$1:M$400,0)),M$2,)</f>
        <v>0</v>
      </c>
      <c r="N43" s="155">
        <f ca="1">IF(ISNUMBER(MATCH(DATEVALUE($A43),'recurring1_based on steps'!N$1:N$400,0)),N$2,)</f>
        <v>0</v>
      </c>
      <c r="O43" s="155">
        <f ca="1">IF(ISNUMBER(MATCH(DATEVALUE($A43),'recurring1_based on steps'!O$1:O$400,0)),O$2,)</f>
        <v>0</v>
      </c>
      <c r="P43" s="155">
        <f ca="1">IF(ISNUMBER(MATCH(DATEVALUE($A43),'recurring1_based on steps'!P$1:P$400,0)),P$2,)</f>
        <v>0</v>
      </c>
      <c r="Q43" s="155">
        <f ca="1">IF(ISNUMBER(MATCH(DATEVALUE($A43),'recurring1_based on steps'!Q$1:Q$400,0)),Q$2,)</f>
        <v>0</v>
      </c>
      <c r="R43" s="155">
        <f ca="1">IF(ISNUMBER(MATCH(DATEVALUE($A43),'recurring1_based on steps'!R$1:R$400,0)),R$2,)</f>
        <v>0</v>
      </c>
      <c r="S43" s="155">
        <f ca="1">IF(ISNUMBER(MATCH(DATEVALUE($A43),'recurring1_based on steps'!S$1:S$400,0)),S$2,)</f>
        <v>0</v>
      </c>
      <c r="T43" s="155">
        <f ca="1">IF(ISNUMBER(MATCH(DATEVALUE($A43),'recurring1_based on steps'!T$1:T$400,0)),T$2,)</f>
        <v>0</v>
      </c>
      <c r="U43" s="155">
        <f ca="1">IF(ISNUMBER(MATCH(DATEVALUE($A43),'recurring1_based on steps'!U$1:U$400,0)),U$2,)</f>
        <v>0</v>
      </c>
      <c r="V43" s="155">
        <f ca="1">IF(ISNUMBER(MATCH(DATEVALUE($A43),'recurring1_based on steps'!V$1:V$400,0)),V$2,)</f>
        <v>0</v>
      </c>
      <c r="W43" s="155">
        <f ca="1">IF(ISNUMBER(MATCH(DATEVALUE($A43),'recurring1_based on steps'!W$1:W$400,0)),W$2,)</f>
        <v>0</v>
      </c>
      <c r="X43" s="155">
        <f ca="1">IF(ISNUMBER(MATCH(DATEVALUE($A43),'recurring1_based on steps'!X$1:X$400,0)),X$2,)</f>
        <v>0</v>
      </c>
      <c r="Y43" s="155">
        <f ca="1">IF(ISNUMBER(MATCH(DATEVALUE($A43),'recurring1_based on steps'!Y$1:Y$400,0)),Y$2,)</f>
        <v>0</v>
      </c>
      <c r="Z43" s="155">
        <f ca="1">IF(ISNUMBER(MATCH(DATEVALUE($A43),'recurring1_based on steps'!Z$1:Z$400,0)),Z$2,)</f>
        <v>0</v>
      </c>
      <c r="AA43" s="155">
        <f ca="1">IF(ISNUMBER(MATCH(DATEVALUE($A43),'recurring1_based on steps'!AA$1:AA$400,0)),AA$2,)</f>
        <v>0</v>
      </c>
      <c r="AB43" s="155">
        <f ca="1">IF(ISNUMBER(MATCH(DATEVALUE($A43),'recurring1_based on steps'!AB$1:AB$400,0)),AB$2,)</f>
        <v>0</v>
      </c>
      <c r="AC43" s="155">
        <f ca="1">IF(ISNUMBER(MATCH(DATEVALUE($A43),'recurring1_based on steps'!AC$1:AC$400,0)),AC$2,)</f>
        <v>0</v>
      </c>
      <c r="AD43" s="155">
        <f ca="1">IF(ISNUMBER(MATCH(DATEVALUE($A43),'recurring1_based on steps'!AD$1:AD$400,0)),AD$2,)</f>
        <v>0</v>
      </c>
      <c r="AE43" s="155">
        <f ca="1">IF(ISNUMBER(MATCH(DATEVALUE($A43),'recurring1_based on steps'!AE$1:AE$400,0)),AE$2,)</f>
        <v>0</v>
      </c>
      <c r="AF43" s="155">
        <f ca="1">IF(ISNUMBER(MATCH(DATEVALUE($A43),'recurring1_based on steps'!AF$1:AF$400,0)),AF$2,)</f>
        <v>0</v>
      </c>
      <c r="AG43" s="155">
        <f ca="1">IF(ISNUMBER(MATCH(DATEVALUE($A43),'recurring1_based on steps'!AG$1:AG$400,0)),AG$2,)</f>
        <v>0</v>
      </c>
      <c r="AH43" s="155">
        <f ca="1">IF(ISNUMBER(MATCH(DATEVALUE($A43),'recurring1_based on steps'!AH$1:AH$400,0)),AH$2,)</f>
        <v>0</v>
      </c>
      <c r="AI43" s="155">
        <f ca="1">IF(ISNUMBER(MATCH(DATEVALUE($A43),'recurring1_based on steps'!AI$1:AI$400,0)),AI$2,)</f>
        <v>0</v>
      </c>
      <c r="AJ43" s="155">
        <f ca="1">IF(ISNUMBER(MATCH(DATEVALUE($A43),'recurring1_based on steps'!AJ$1:AJ$400,0)),AJ$2,)</f>
        <v>0</v>
      </c>
      <c r="AK43" s="155">
        <f ca="1">IF(ISNUMBER(MATCH(DATEVALUE($A43),'recurring1_based on steps'!AK$1:AK$400,0)),AK$2,)</f>
        <v>0</v>
      </c>
      <c r="AL43" s="155">
        <f ca="1">IF(ISNUMBER(MATCH(DATEVALUE($A43),'recurring1_based on steps'!AL$1:AL$400,0)),AL$2,)</f>
        <v>0</v>
      </c>
      <c r="AM43" s="155">
        <f ca="1">IF(ISNUMBER(MATCH(DATEVALUE($A43),'recurring1_based on steps'!AM$1:AM$400,0)),AM$2,)</f>
        <v>0</v>
      </c>
      <c r="AN43" s="155">
        <f ca="1">IF(ISNUMBER(MATCH(DATEVALUE($A43),'recurring1_based on steps'!AN$1:AN$400,0)),AN$2,)</f>
        <v>0</v>
      </c>
      <c r="AO43" s="155">
        <f ca="1">IF(ISNUMBER(MATCH(DATEVALUE($A43),'recurring1_based on steps'!AO$1:AO$400,0)),AO$2,)</f>
        <v>0</v>
      </c>
      <c r="AP43" s="155">
        <f ca="1">IF(ISNUMBER(MATCH(DATEVALUE($A43),'recurring1_based on steps'!AP$1:AP$400,0)),AP$2,)</f>
        <v>0</v>
      </c>
      <c r="AQ43" s="155">
        <f ca="1">IF(ISNUMBER(MATCH(DATEVALUE($A43),'recurring1_based on steps'!AQ$1:AQ$400,0)),AQ$2,)</f>
        <v>0</v>
      </c>
      <c r="AR43" s="155">
        <f ca="1">IF(ISNUMBER(MATCH(DATEVALUE($A43),'recurring1_based on steps'!AR$1:AR$400,0)),AR$2,)</f>
        <v>0</v>
      </c>
      <c r="AS43" s="155">
        <f ca="1">IF(ISNUMBER(MATCH(DATEVALUE($A43),'recurring1_based on steps'!AS$1:AS$400,0)),AS$2,)</f>
        <v>0</v>
      </c>
      <c r="AT43" s="155">
        <f ca="1">IF(ISNUMBER(MATCH(DATEVALUE($A43),'recurring1_based on steps'!AT$1:AT$400,0)),AT$2,)</f>
        <v>0</v>
      </c>
      <c r="AU43" s="155">
        <f ca="1">IF(ISNUMBER(MATCH(DATEVALUE($A43),'recurring1_based on steps'!AU$1:AU$400,0)),AU$2,)</f>
        <v>0</v>
      </c>
      <c r="AV43" s="155">
        <f ca="1">IF(ISNUMBER(MATCH(DATEVALUE($A43),'recurring1_based on steps'!AV$1:AV$400,0)),AV$2,)</f>
        <v>0</v>
      </c>
      <c r="AW43" s="155">
        <f ca="1">IF(ISNUMBER(MATCH(DATEVALUE($A43),'recurring1_based on steps'!AW$1:AW$400,0)),AW$2,)</f>
        <v>0</v>
      </c>
      <c r="AX43" s="155">
        <f ca="1">IF(ISNUMBER(MATCH(DATEVALUE($A43),'recurring1_based on steps'!AX$1:AX$400,0)),AX$2,)</f>
        <v>0</v>
      </c>
      <c r="AY43" s="155">
        <f ca="1">IF(ISNUMBER(MATCH(DATEVALUE($A43),'recurring1_based on steps'!AY$1:AY$400,0)),AY$2,)</f>
        <v>0</v>
      </c>
    </row>
    <row r="44" spans="1:51" x14ac:dyDescent="0.2">
      <c r="A44" s="18" t="str">
        <f t="shared" ca="1" si="0"/>
        <v>2025-03-14</v>
      </c>
      <c r="B44" s="155">
        <f ca="1">IF(ISNUMBER(MATCH(DATEVALUE($A44),'recurring1_based on steps'!B$1:B$400,0)),B$2,)</f>
        <v>0</v>
      </c>
      <c r="C44" s="155">
        <f ca="1">IF(ISNUMBER(MATCH(DATEVALUE($A44),'recurring1_based on steps'!C$1:C$400,0)),C$2,)</f>
        <v>0</v>
      </c>
      <c r="D44" s="155">
        <f ca="1">IF(ISNUMBER(MATCH(DATEVALUE($A44),'recurring1_based on steps'!D$1:D$400,0)),D$2,)</f>
        <v>0</v>
      </c>
      <c r="E44" s="155">
        <f ca="1">IF(ISNUMBER(MATCH(DATEVALUE($A44),'recurring1_based on steps'!E$1:E$400,0)),E$2,)</f>
        <v>0</v>
      </c>
      <c r="F44" s="155">
        <f ca="1">IF(ISNUMBER(MATCH(DATEVALUE($A44),'recurring1_based on steps'!F$1:F$400,0)),F$2,)</f>
        <v>0</v>
      </c>
      <c r="G44" s="155">
        <f ca="1">IF(ISNUMBER(MATCH(DATEVALUE($A44),'recurring1_based on steps'!G$1:G$400,0)),G$2,)</f>
        <v>0</v>
      </c>
      <c r="H44" s="155">
        <f ca="1">IF(ISNUMBER(MATCH(DATEVALUE($A44),'recurring1_based on steps'!H$1:H$400,0)),H$2,)</f>
        <v>0</v>
      </c>
      <c r="I44" s="155">
        <f ca="1">IF(ISNUMBER(MATCH(DATEVALUE($A44),'recurring1_based on steps'!I$1:I$400,0)),I$2,)</f>
        <v>0</v>
      </c>
      <c r="J44" s="155">
        <f ca="1">IF(ISNUMBER(MATCH(DATEVALUE($A44),'recurring1_based on steps'!J$1:J$400,0)),J$2,)</f>
        <v>0</v>
      </c>
      <c r="K44" s="155">
        <f ca="1">IF(ISNUMBER(MATCH(DATEVALUE($A44),'recurring1_based on steps'!K$1:K$400,0)),K$2,)</f>
        <v>0</v>
      </c>
      <c r="L44" s="155">
        <f ca="1">IF(ISNUMBER(MATCH(DATEVALUE($A44),'recurring1_based on steps'!L$1:L$400,0)),L$2,)</f>
        <v>0</v>
      </c>
      <c r="M44" s="155">
        <f ca="1">IF(ISNUMBER(MATCH(DATEVALUE($A44),'recurring1_based on steps'!M$1:M$400,0)),M$2,)</f>
        <v>0</v>
      </c>
      <c r="N44" s="155">
        <f ca="1">IF(ISNUMBER(MATCH(DATEVALUE($A44),'recurring1_based on steps'!N$1:N$400,0)),N$2,)</f>
        <v>0</v>
      </c>
      <c r="O44" s="155">
        <f ca="1">IF(ISNUMBER(MATCH(DATEVALUE($A44),'recurring1_based on steps'!O$1:O$400,0)),O$2,)</f>
        <v>0</v>
      </c>
      <c r="P44" s="155">
        <f ca="1">IF(ISNUMBER(MATCH(DATEVALUE($A44),'recurring1_based on steps'!P$1:P$400,0)),P$2,)</f>
        <v>0</v>
      </c>
      <c r="Q44" s="155">
        <f ca="1">IF(ISNUMBER(MATCH(DATEVALUE($A44),'recurring1_based on steps'!Q$1:Q$400,0)),Q$2,)</f>
        <v>0</v>
      </c>
      <c r="R44" s="155">
        <f ca="1">IF(ISNUMBER(MATCH(DATEVALUE($A44),'recurring1_based on steps'!R$1:R$400,0)),R$2,)</f>
        <v>0</v>
      </c>
      <c r="S44" s="155">
        <f ca="1">IF(ISNUMBER(MATCH(DATEVALUE($A44),'recurring1_based on steps'!S$1:S$400,0)),S$2,)</f>
        <v>0</v>
      </c>
      <c r="T44" s="155">
        <f ca="1">IF(ISNUMBER(MATCH(DATEVALUE($A44),'recurring1_based on steps'!T$1:T$400,0)),T$2,)</f>
        <v>0</v>
      </c>
      <c r="U44" s="155">
        <f ca="1">IF(ISNUMBER(MATCH(DATEVALUE($A44),'recurring1_based on steps'!U$1:U$400,0)),U$2,)</f>
        <v>0</v>
      </c>
      <c r="V44" s="155">
        <f ca="1">IF(ISNUMBER(MATCH(DATEVALUE($A44),'recurring1_based on steps'!V$1:V$400,0)),V$2,)</f>
        <v>0</v>
      </c>
      <c r="W44" s="155">
        <f ca="1">IF(ISNUMBER(MATCH(DATEVALUE($A44),'recurring1_based on steps'!W$1:W$400,0)),W$2,)</f>
        <v>0</v>
      </c>
      <c r="X44" s="155">
        <f ca="1">IF(ISNUMBER(MATCH(DATEVALUE($A44),'recurring1_based on steps'!X$1:X$400,0)),X$2,)</f>
        <v>0</v>
      </c>
      <c r="Y44" s="155">
        <f ca="1">IF(ISNUMBER(MATCH(DATEVALUE($A44),'recurring1_based on steps'!Y$1:Y$400,0)),Y$2,)</f>
        <v>0</v>
      </c>
      <c r="Z44" s="155">
        <f ca="1">IF(ISNUMBER(MATCH(DATEVALUE($A44),'recurring1_based on steps'!Z$1:Z$400,0)),Z$2,)</f>
        <v>0</v>
      </c>
      <c r="AA44" s="155">
        <f ca="1">IF(ISNUMBER(MATCH(DATEVALUE($A44),'recurring1_based on steps'!AA$1:AA$400,0)),AA$2,)</f>
        <v>0</v>
      </c>
      <c r="AB44" s="155">
        <f ca="1">IF(ISNUMBER(MATCH(DATEVALUE($A44),'recurring1_based on steps'!AB$1:AB$400,0)),AB$2,)</f>
        <v>0</v>
      </c>
      <c r="AC44" s="155">
        <f ca="1">IF(ISNUMBER(MATCH(DATEVALUE($A44),'recurring1_based on steps'!AC$1:AC$400,0)),AC$2,)</f>
        <v>0</v>
      </c>
      <c r="AD44" s="155">
        <f ca="1">IF(ISNUMBER(MATCH(DATEVALUE($A44),'recurring1_based on steps'!AD$1:AD$400,0)),AD$2,)</f>
        <v>0</v>
      </c>
      <c r="AE44" s="155">
        <f ca="1">IF(ISNUMBER(MATCH(DATEVALUE($A44),'recurring1_based on steps'!AE$1:AE$400,0)),AE$2,)</f>
        <v>0</v>
      </c>
      <c r="AF44" s="155">
        <f ca="1">IF(ISNUMBER(MATCH(DATEVALUE($A44),'recurring1_based on steps'!AF$1:AF$400,0)),AF$2,)</f>
        <v>0</v>
      </c>
      <c r="AG44" s="155">
        <f ca="1">IF(ISNUMBER(MATCH(DATEVALUE($A44),'recurring1_based on steps'!AG$1:AG$400,0)),AG$2,)</f>
        <v>0</v>
      </c>
      <c r="AH44" s="155">
        <f ca="1">IF(ISNUMBER(MATCH(DATEVALUE($A44),'recurring1_based on steps'!AH$1:AH$400,0)),AH$2,)</f>
        <v>0</v>
      </c>
      <c r="AI44" s="155">
        <f ca="1">IF(ISNUMBER(MATCH(DATEVALUE($A44),'recurring1_based on steps'!AI$1:AI$400,0)),AI$2,)</f>
        <v>0</v>
      </c>
      <c r="AJ44" s="155">
        <f ca="1">IF(ISNUMBER(MATCH(DATEVALUE($A44),'recurring1_based on steps'!AJ$1:AJ$400,0)),AJ$2,)</f>
        <v>0</v>
      </c>
      <c r="AK44" s="155">
        <f ca="1">IF(ISNUMBER(MATCH(DATEVALUE($A44),'recurring1_based on steps'!AK$1:AK$400,0)),AK$2,)</f>
        <v>0</v>
      </c>
      <c r="AL44" s="155">
        <f ca="1">IF(ISNUMBER(MATCH(DATEVALUE($A44),'recurring1_based on steps'!AL$1:AL$400,0)),AL$2,)</f>
        <v>0</v>
      </c>
      <c r="AM44" s="155">
        <f ca="1">IF(ISNUMBER(MATCH(DATEVALUE($A44),'recurring1_based on steps'!AM$1:AM$400,0)),AM$2,)</f>
        <v>0</v>
      </c>
      <c r="AN44" s="155">
        <f ca="1">IF(ISNUMBER(MATCH(DATEVALUE($A44),'recurring1_based on steps'!AN$1:AN$400,0)),AN$2,)</f>
        <v>0</v>
      </c>
      <c r="AO44" s="155">
        <f ca="1">IF(ISNUMBER(MATCH(DATEVALUE($A44),'recurring1_based on steps'!AO$1:AO$400,0)),AO$2,)</f>
        <v>0</v>
      </c>
      <c r="AP44" s="155">
        <f ca="1">IF(ISNUMBER(MATCH(DATEVALUE($A44),'recurring1_based on steps'!AP$1:AP$400,0)),AP$2,)</f>
        <v>0</v>
      </c>
      <c r="AQ44" s="155">
        <f ca="1">IF(ISNUMBER(MATCH(DATEVALUE($A44),'recurring1_based on steps'!AQ$1:AQ$400,0)),AQ$2,)</f>
        <v>0</v>
      </c>
      <c r="AR44" s="155">
        <f ca="1">IF(ISNUMBER(MATCH(DATEVALUE($A44),'recurring1_based on steps'!AR$1:AR$400,0)),AR$2,)</f>
        <v>0</v>
      </c>
      <c r="AS44" s="155">
        <f ca="1">IF(ISNUMBER(MATCH(DATEVALUE($A44),'recurring1_based on steps'!AS$1:AS$400,0)),AS$2,)</f>
        <v>0</v>
      </c>
      <c r="AT44" s="155">
        <f ca="1">IF(ISNUMBER(MATCH(DATEVALUE($A44),'recurring1_based on steps'!AT$1:AT$400,0)),AT$2,)</f>
        <v>0</v>
      </c>
      <c r="AU44" s="155">
        <f ca="1">IF(ISNUMBER(MATCH(DATEVALUE($A44),'recurring1_based on steps'!AU$1:AU$400,0)),AU$2,)</f>
        <v>0</v>
      </c>
      <c r="AV44" s="155">
        <f ca="1">IF(ISNUMBER(MATCH(DATEVALUE($A44),'recurring1_based on steps'!AV$1:AV$400,0)),AV$2,)</f>
        <v>0</v>
      </c>
      <c r="AW44" s="155">
        <f ca="1">IF(ISNUMBER(MATCH(DATEVALUE($A44),'recurring1_based on steps'!AW$1:AW$400,0)),AW$2,)</f>
        <v>0</v>
      </c>
      <c r="AX44" s="155">
        <f ca="1">IF(ISNUMBER(MATCH(DATEVALUE($A44),'recurring1_based on steps'!AX$1:AX$400,0)),AX$2,)</f>
        <v>0</v>
      </c>
      <c r="AY44" s="155">
        <f ca="1">IF(ISNUMBER(MATCH(DATEVALUE($A44),'recurring1_based on steps'!AY$1:AY$400,0)),AY$2,)</f>
        <v>0</v>
      </c>
    </row>
    <row r="45" spans="1:51" x14ac:dyDescent="0.2">
      <c r="A45" s="18" t="str">
        <f t="shared" ca="1" si="0"/>
        <v>2025-03-15</v>
      </c>
      <c r="B45" s="155">
        <f ca="1">IF(ISNUMBER(MATCH(DATEVALUE($A45),'recurring1_based on steps'!B$1:B$400,0)),B$2,)</f>
        <v>0</v>
      </c>
      <c r="C45" s="155">
        <f ca="1">IF(ISNUMBER(MATCH(DATEVALUE($A45),'recurring1_based on steps'!C$1:C$400,0)),C$2,)</f>
        <v>0</v>
      </c>
      <c r="D45" s="155">
        <f ca="1">IF(ISNUMBER(MATCH(DATEVALUE($A45),'recurring1_based on steps'!D$1:D$400,0)),D$2,)</f>
        <v>0</v>
      </c>
      <c r="E45" s="155">
        <f ca="1">IF(ISNUMBER(MATCH(DATEVALUE($A45),'recurring1_based on steps'!E$1:E$400,0)),E$2,)</f>
        <v>0</v>
      </c>
      <c r="F45" s="155">
        <f ca="1">IF(ISNUMBER(MATCH(DATEVALUE($A45),'recurring1_based on steps'!F$1:F$400,0)),F$2,)</f>
        <v>0</v>
      </c>
      <c r="G45" s="155">
        <f ca="1">IF(ISNUMBER(MATCH(DATEVALUE($A45),'recurring1_based on steps'!G$1:G$400,0)),G$2,)</f>
        <v>0</v>
      </c>
      <c r="H45" s="155">
        <f ca="1">IF(ISNUMBER(MATCH(DATEVALUE($A45),'recurring1_based on steps'!H$1:H$400,0)),H$2,)</f>
        <v>0</v>
      </c>
      <c r="I45" s="155">
        <f ca="1">IF(ISNUMBER(MATCH(DATEVALUE($A45),'recurring1_based on steps'!I$1:I$400,0)),I$2,)</f>
        <v>0</v>
      </c>
      <c r="J45" s="155">
        <f ca="1">IF(ISNUMBER(MATCH(DATEVALUE($A45),'recurring1_based on steps'!J$1:J$400,0)),J$2,)</f>
        <v>0</v>
      </c>
      <c r="K45" s="155">
        <f ca="1">IF(ISNUMBER(MATCH(DATEVALUE($A45),'recurring1_based on steps'!K$1:K$400,0)),K$2,)</f>
        <v>0</v>
      </c>
      <c r="L45" s="155">
        <f ca="1">IF(ISNUMBER(MATCH(DATEVALUE($A45),'recurring1_based on steps'!L$1:L$400,0)),L$2,)</f>
        <v>0</v>
      </c>
      <c r="M45" s="155">
        <f ca="1">IF(ISNUMBER(MATCH(DATEVALUE($A45),'recurring1_based on steps'!M$1:M$400,0)),M$2,)</f>
        <v>0</v>
      </c>
      <c r="N45" s="155">
        <f ca="1">IF(ISNUMBER(MATCH(DATEVALUE($A45),'recurring1_based on steps'!N$1:N$400,0)),N$2,)</f>
        <v>0</v>
      </c>
      <c r="O45" s="155">
        <f ca="1">IF(ISNUMBER(MATCH(DATEVALUE($A45),'recurring1_based on steps'!O$1:O$400,0)),O$2,)</f>
        <v>0</v>
      </c>
      <c r="P45" s="155">
        <f ca="1">IF(ISNUMBER(MATCH(DATEVALUE($A45),'recurring1_based on steps'!P$1:P$400,0)),P$2,)</f>
        <v>0</v>
      </c>
      <c r="Q45" s="155">
        <f ca="1">IF(ISNUMBER(MATCH(DATEVALUE($A45),'recurring1_based on steps'!Q$1:Q$400,0)),Q$2,)</f>
        <v>100</v>
      </c>
      <c r="R45" s="155">
        <f ca="1">IF(ISNUMBER(MATCH(DATEVALUE($A45),'recurring1_based on steps'!R$1:R$400,0)),R$2,)</f>
        <v>100</v>
      </c>
      <c r="S45" s="155">
        <f ca="1">IF(ISNUMBER(MATCH(DATEVALUE($A45),'recurring1_based on steps'!S$1:S$400,0)),S$2,)</f>
        <v>0</v>
      </c>
      <c r="T45" s="155">
        <f ca="1">IF(ISNUMBER(MATCH(DATEVALUE($A45),'recurring1_based on steps'!T$1:T$400,0)),T$2,)</f>
        <v>0</v>
      </c>
      <c r="U45" s="155">
        <f ca="1">IF(ISNUMBER(MATCH(DATEVALUE($A45),'recurring1_based on steps'!U$1:U$400,0)),U$2,)</f>
        <v>0</v>
      </c>
      <c r="V45" s="155">
        <f ca="1">IF(ISNUMBER(MATCH(DATEVALUE($A45),'recurring1_based on steps'!V$1:V$400,0)),V$2,)</f>
        <v>0</v>
      </c>
      <c r="W45" s="155">
        <f ca="1">IF(ISNUMBER(MATCH(DATEVALUE($A45),'recurring1_based on steps'!W$1:W$400,0)),W$2,)</f>
        <v>0</v>
      </c>
      <c r="X45" s="155">
        <f ca="1">IF(ISNUMBER(MATCH(DATEVALUE($A45),'recurring1_based on steps'!X$1:X$400,0)),X$2,)</f>
        <v>0</v>
      </c>
      <c r="Y45" s="155">
        <f ca="1">IF(ISNUMBER(MATCH(DATEVALUE($A45),'recurring1_based on steps'!Y$1:Y$400,0)),Y$2,)</f>
        <v>0</v>
      </c>
      <c r="Z45" s="155">
        <f ca="1">IF(ISNUMBER(MATCH(DATEVALUE($A45),'recurring1_based on steps'!Z$1:Z$400,0)),Z$2,)</f>
        <v>0</v>
      </c>
      <c r="AA45" s="155">
        <f ca="1">IF(ISNUMBER(MATCH(DATEVALUE($A45),'recurring1_based on steps'!AA$1:AA$400,0)),AA$2,)</f>
        <v>0</v>
      </c>
      <c r="AB45" s="155">
        <f ca="1">IF(ISNUMBER(MATCH(DATEVALUE($A45),'recurring1_based on steps'!AB$1:AB$400,0)),AB$2,)</f>
        <v>0</v>
      </c>
      <c r="AC45" s="155">
        <f ca="1">IF(ISNUMBER(MATCH(DATEVALUE($A45),'recurring1_based on steps'!AC$1:AC$400,0)),AC$2,)</f>
        <v>0</v>
      </c>
      <c r="AD45" s="155">
        <f ca="1">IF(ISNUMBER(MATCH(DATEVALUE($A45),'recurring1_based on steps'!AD$1:AD$400,0)),AD$2,)</f>
        <v>0</v>
      </c>
      <c r="AE45" s="155">
        <f ca="1">IF(ISNUMBER(MATCH(DATEVALUE($A45),'recurring1_based on steps'!AE$1:AE$400,0)),AE$2,)</f>
        <v>0</v>
      </c>
      <c r="AF45" s="155">
        <f ca="1">IF(ISNUMBER(MATCH(DATEVALUE($A45),'recurring1_based on steps'!AF$1:AF$400,0)),AF$2,)</f>
        <v>0</v>
      </c>
      <c r="AG45" s="155">
        <f ca="1">IF(ISNUMBER(MATCH(DATEVALUE($A45),'recurring1_based on steps'!AG$1:AG$400,0)),AG$2,)</f>
        <v>0</v>
      </c>
      <c r="AH45" s="155">
        <f ca="1">IF(ISNUMBER(MATCH(DATEVALUE($A45),'recurring1_based on steps'!AH$1:AH$400,0)),AH$2,)</f>
        <v>0</v>
      </c>
      <c r="AI45" s="155">
        <f ca="1">IF(ISNUMBER(MATCH(DATEVALUE($A45),'recurring1_based on steps'!AI$1:AI$400,0)),AI$2,)</f>
        <v>0</v>
      </c>
      <c r="AJ45" s="155">
        <f ca="1">IF(ISNUMBER(MATCH(DATEVALUE($A45),'recurring1_based on steps'!AJ$1:AJ$400,0)),AJ$2,)</f>
        <v>0</v>
      </c>
      <c r="AK45" s="155">
        <f ca="1">IF(ISNUMBER(MATCH(DATEVALUE($A45),'recurring1_based on steps'!AK$1:AK$400,0)),AK$2,)</f>
        <v>0</v>
      </c>
      <c r="AL45" s="155">
        <f ca="1">IF(ISNUMBER(MATCH(DATEVALUE($A45),'recurring1_based on steps'!AL$1:AL$400,0)),AL$2,)</f>
        <v>0</v>
      </c>
      <c r="AM45" s="155">
        <f ca="1">IF(ISNUMBER(MATCH(DATEVALUE($A45),'recurring1_based on steps'!AM$1:AM$400,0)),AM$2,)</f>
        <v>0</v>
      </c>
      <c r="AN45" s="155">
        <f ca="1">IF(ISNUMBER(MATCH(DATEVALUE($A45),'recurring1_based on steps'!AN$1:AN$400,0)),AN$2,)</f>
        <v>0</v>
      </c>
      <c r="AO45" s="155">
        <f ca="1">IF(ISNUMBER(MATCH(DATEVALUE($A45),'recurring1_based on steps'!AO$1:AO$400,0)),AO$2,)</f>
        <v>0</v>
      </c>
      <c r="AP45" s="155">
        <f ca="1">IF(ISNUMBER(MATCH(DATEVALUE($A45),'recurring1_based on steps'!AP$1:AP$400,0)),AP$2,)</f>
        <v>0</v>
      </c>
      <c r="AQ45" s="155">
        <f ca="1">IF(ISNUMBER(MATCH(DATEVALUE($A45),'recurring1_based on steps'!AQ$1:AQ$400,0)),AQ$2,)</f>
        <v>0</v>
      </c>
      <c r="AR45" s="155">
        <f ca="1">IF(ISNUMBER(MATCH(DATEVALUE($A45),'recurring1_based on steps'!AR$1:AR$400,0)),AR$2,)</f>
        <v>0</v>
      </c>
      <c r="AS45" s="155">
        <f ca="1">IF(ISNUMBER(MATCH(DATEVALUE($A45),'recurring1_based on steps'!AS$1:AS$400,0)),AS$2,)</f>
        <v>0</v>
      </c>
      <c r="AT45" s="155">
        <f ca="1">IF(ISNUMBER(MATCH(DATEVALUE($A45),'recurring1_based on steps'!AT$1:AT$400,0)),AT$2,)</f>
        <v>0</v>
      </c>
      <c r="AU45" s="155">
        <f ca="1">IF(ISNUMBER(MATCH(DATEVALUE($A45),'recurring1_based on steps'!AU$1:AU$400,0)),AU$2,)</f>
        <v>0</v>
      </c>
      <c r="AV45" s="155">
        <f ca="1">IF(ISNUMBER(MATCH(DATEVALUE($A45),'recurring1_based on steps'!AV$1:AV$400,0)),AV$2,)</f>
        <v>0</v>
      </c>
      <c r="AW45" s="155">
        <f ca="1">IF(ISNUMBER(MATCH(DATEVALUE($A45),'recurring1_based on steps'!AW$1:AW$400,0)),AW$2,)</f>
        <v>0</v>
      </c>
      <c r="AX45" s="155">
        <f ca="1">IF(ISNUMBER(MATCH(DATEVALUE($A45),'recurring1_based on steps'!AX$1:AX$400,0)),AX$2,)</f>
        <v>0</v>
      </c>
      <c r="AY45" s="155">
        <f ca="1">IF(ISNUMBER(MATCH(DATEVALUE($A45),'recurring1_based on steps'!AY$1:AY$400,0)),AY$2,)</f>
        <v>0</v>
      </c>
    </row>
    <row r="46" spans="1:51" x14ac:dyDescent="0.2">
      <c r="A46" s="18" t="str">
        <f t="shared" ca="1" si="0"/>
        <v>2025-03-16</v>
      </c>
      <c r="B46" s="155">
        <f ca="1">IF(ISNUMBER(MATCH(DATEVALUE($A46),'recurring1_based on steps'!B$1:B$400,0)),B$2,)</f>
        <v>0</v>
      </c>
      <c r="C46" s="155">
        <f ca="1">IF(ISNUMBER(MATCH(DATEVALUE($A46),'recurring1_based on steps'!C$1:C$400,0)),C$2,)</f>
        <v>0</v>
      </c>
      <c r="D46" s="155">
        <f ca="1">IF(ISNUMBER(MATCH(DATEVALUE($A46),'recurring1_based on steps'!D$1:D$400,0)),D$2,)</f>
        <v>0</v>
      </c>
      <c r="E46" s="155">
        <f ca="1">IF(ISNUMBER(MATCH(DATEVALUE($A46),'recurring1_based on steps'!E$1:E$400,0)),E$2,)</f>
        <v>0</v>
      </c>
      <c r="F46" s="155">
        <f ca="1">IF(ISNUMBER(MATCH(DATEVALUE($A46),'recurring1_based on steps'!F$1:F$400,0)),F$2,)</f>
        <v>0</v>
      </c>
      <c r="G46" s="155">
        <f ca="1">IF(ISNUMBER(MATCH(DATEVALUE($A46),'recurring1_based on steps'!G$1:G$400,0)),G$2,)</f>
        <v>0</v>
      </c>
      <c r="H46" s="155">
        <f ca="1">IF(ISNUMBER(MATCH(DATEVALUE($A46),'recurring1_based on steps'!H$1:H$400,0)),H$2,)</f>
        <v>0</v>
      </c>
      <c r="I46" s="155">
        <f ca="1">IF(ISNUMBER(MATCH(DATEVALUE($A46),'recurring1_based on steps'!I$1:I$400,0)),I$2,)</f>
        <v>0</v>
      </c>
      <c r="J46" s="155">
        <f ca="1">IF(ISNUMBER(MATCH(DATEVALUE($A46),'recurring1_based on steps'!J$1:J$400,0)),J$2,)</f>
        <v>0</v>
      </c>
      <c r="K46" s="155">
        <f ca="1">IF(ISNUMBER(MATCH(DATEVALUE($A46),'recurring1_based on steps'!K$1:K$400,0)),K$2,)</f>
        <v>50</v>
      </c>
      <c r="L46" s="155">
        <f ca="1">IF(ISNUMBER(MATCH(DATEVALUE($A46),'recurring1_based on steps'!L$1:L$400,0)),L$2,)</f>
        <v>0</v>
      </c>
      <c r="M46" s="155">
        <f ca="1">IF(ISNUMBER(MATCH(DATEVALUE($A46),'recurring1_based on steps'!M$1:M$400,0)),M$2,)</f>
        <v>0</v>
      </c>
      <c r="N46" s="155">
        <f ca="1">IF(ISNUMBER(MATCH(DATEVALUE($A46),'recurring1_based on steps'!N$1:N$400,0)),N$2,)</f>
        <v>0</v>
      </c>
      <c r="O46" s="155">
        <f ca="1">IF(ISNUMBER(MATCH(DATEVALUE($A46),'recurring1_based on steps'!O$1:O$400,0)),O$2,)</f>
        <v>0</v>
      </c>
      <c r="P46" s="155">
        <f ca="1">IF(ISNUMBER(MATCH(DATEVALUE($A46),'recurring1_based on steps'!P$1:P$400,0)),P$2,)</f>
        <v>0</v>
      </c>
      <c r="Q46" s="155">
        <f ca="1">IF(ISNUMBER(MATCH(DATEVALUE($A46),'recurring1_based on steps'!Q$1:Q$400,0)),Q$2,)</f>
        <v>0</v>
      </c>
      <c r="R46" s="155">
        <f ca="1">IF(ISNUMBER(MATCH(DATEVALUE($A46),'recurring1_based on steps'!R$1:R$400,0)),R$2,)</f>
        <v>0</v>
      </c>
      <c r="S46" s="155">
        <f ca="1">IF(ISNUMBER(MATCH(DATEVALUE($A46),'recurring1_based on steps'!S$1:S$400,0)),S$2,)</f>
        <v>100</v>
      </c>
      <c r="T46" s="155">
        <f ca="1">IF(ISNUMBER(MATCH(DATEVALUE($A46),'recurring1_based on steps'!T$1:T$400,0)),T$2,)</f>
        <v>0</v>
      </c>
      <c r="U46" s="155">
        <f ca="1">IF(ISNUMBER(MATCH(DATEVALUE($A46),'recurring1_based on steps'!U$1:U$400,0)),U$2,)</f>
        <v>0</v>
      </c>
      <c r="V46" s="155">
        <f ca="1">IF(ISNUMBER(MATCH(DATEVALUE($A46),'recurring1_based on steps'!V$1:V$400,0)),V$2,)</f>
        <v>0</v>
      </c>
      <c r="W46" s="155">
        <f ca="1">IF(ISNUMBER(MATCH(DATEVALUE($A46),'recurring1_based on steps'!W$1:W$400,0)),W$2,)</f>
        <v>0</v>
      </c>
      <c r="X46" s="155">
        <f ca="1">IF(ISNUMBER(MATCH(DATEVALUE($A46),'recurring1_based on steps'!X$1:X$400,0)),X$2,)</f>
        <v>0</v>
      </c>
      <c r="Y46" s="155">
        <f ca="1">IF(ISNUMBER(MATCH(DATEVALUE($A46),'recurring1_based on steps'!Y$1:Y$400,0)),Y$2,)</f>
        <v>0</v>
      </c>
      <c r="Z46" s="155">
        <f ca="1">IF(ISNUMBER(MATCH(DATEVALUE($A46),'recurring1_based on steps'!Z$1:Z$400,0)),Z$2,)</f>
        <v>0</v>
      </c>
      <c r="AA46" s="155">
        <f ca="1">IF(ISNUMBER(MATCH(DATEVALUE($A46),'recurring1_based on steps'!AA$1:AA$400,0)),AA$2,)</f>
        <v>0</v>
      </c>
      <c r="AB46" s="155">
        <f ca="1">IF(ISNUMBER(MATCH(DATEVALUE($A46),'recurring1_based on steps'!AB$1:AB$400,0)),AB$2,)</f>
        <v>0</v>
      </c>
      <c r="AC46" s="155">
        <f ca="1">IF(ISNUMBER(MATCH(DATEVALUE($A46),'recurring1_based on steps'!AC$1:AC$400,0)),AC$2,)</f>
        <v>0</v>
      </c>
      <c r="AD46" s="155">
        <f ca="1">IF(ISNUMBER(MATCH(DATEVALUE($A46),'recurring1_based on steps'!AD$1:AD$400,0)),AD$2,)</f>
        <v>0</v>
      </c>
      <c r="AE46" s="155">
        <f ca="1">IF(ISNUMBER(MATCH(DATEVALUE($A46),'recurring1_based on steps'!AE$1:AE$400,0)),AE$2,)</f>
        <v>0</v>
      </c>
      <c r="AF46" s="155">
        <f ca="1">IF(ISNUMBER(MATCH(DATEVALUE($A46),'recurring1_based on steps'!AF$1:AF$400,0)),AF$2,)</f>
        <v>0</v>
      </c>
      <c r="AG46" s="155">
        <f ca="1">IF(ISNUMBER(MATCH(DATEVALUE($A46),'recurring1_based on steps'!AG$1:AG$400,0)),AG$2,)</f>
        <v>0</v>
      </c>
      <c r="AH46" s="155">
        <f ca="1">IF(ISNUMBER(MATCH(DATEVALUE($A46),'recurring1_based on steps'!AH$1:AH$400,0)),AH$2,)</f>
        <v>0</v>
      </c>
      <c r="AI46" s="155">
        <f ca="1">IF(ISNUMBER(MATCH(DATEVALUE($A46),'recurring1_based on steps'!AI$1:AI$400,0)),AI$2,)</f>
        <v>0</v>
      </c>
      <c r="AJ46" s="155">
        <f ca="1">IF(ISNUMBER(MATCH(DATEVALUE($A46),'recurring1_based on steps'!AJ$1:AJ$400,0)),AJ$2,)</f>
        <v>0</v>
      </c>
      <c r="AK46" s="155">
        <f ca="1">IF(ISNUMBER(MATCH(DATEVALUE($A46),'recurring1_based on steps'!AK$1:AK$400,0)),AK$2,)</f>
        <v>0</v>
      </c>
      <c r="AL46" s="155">
        <f ca="1">IF(ISNUMBER(MATCH(DATEVALUE($A46),'recurring1_based on steps'!AL$1:AL$400,0)),AL$2,)</f>
        <v>0</v>
      </c>
      <c r="AM46" s="155">
        <f ca="1">IF(ISNUMBER(MATCH(DATEVALUE($A46),'recurring1_based on steps'!AM$1:AM$400,0)),AM$2,)</f>
        <v>0</v>
      </c>
      <c r="AN46" s="155">
        <f ca="1">IF(ISNUMBER(MATCH(DATEVALUE($A46),'recurring1_based on steps'!AN$1:AN$400,0)),AN$2,)</f>
        <v>0</v>
      </c>
      <c r="AO46" s="155">
        <f ca="1">IF(ISNUMBER(MATCH(DATEVALUE($A46),'recurring1_based on steps'!AO$1:AO$400,0)),AO$2,)</f>
        <v>0</v>
      </c>
      <c r="AP46" s="155">
        <f ca="1">IF(ISNUMBER(MATCH(DATEVALUE($A46),'recurring1_based on steps'!AP$1:AP$400,0)),AP$2,)</f>
        <v>0</v>
      </c>
      <c r="AQ46" s="155">
        <f ca="1">IF(ISNUMBER(MATCH(DATEVALUE($A46),'recurring1_based on steps'!AQ$1:AQ$400,0)),AQ$2,)</f>
        <v>0</v>
      </c>
      <c r="AR46" s="155">
        <f ca="1">IF(ISNUMBER(MATCH(DATEVALUE($A46),'recurring1_based on steps'!AR$1:AR$400,0)),AR$2,)</f>
        <v>0</v>
      </c>
      <c r="AS46" s="155">
        <f ca="1">IF(ISNUMBER(MATCH(DATEVALUE($A46),'recurring1_based on steps'!AS$1:AS$400,0)),AS$2,)</f>
        <v>0</v>
      </c>
      <c r="AT46" s="155">
        <f ca="1">IF(ISNUMBER(MATCH(DATEVALUE($A46),'recurring1_based on steps'!AT$1:AT$400,0)),AT$2,)</f>
        <v>0</v>
      </c>
      <c r="AU46" s="155">
        <f ca="1">IF(ISNUMBER(MATCH(DATEVALUE($A46),'recurring1_based on steps'!AU$1:AU$400,0)),AU$2,)</f>
        <v>0</v>
      </c>
      <c r="AV46" s="155">
        <f ca="1">IF(ISNUMBER(MATCH(DATEVALUE($A46),'recurring1_based on steps'!AV$1:AV$400,0)),AV$2,)</f>
        <v>0</v>
      </c>
      <c r="AW46" s="155">
        <f ca="1">IF(ISNUMBER(MATCH(DATEVALUE($A46),'recurring1_based on steps'!AW$1:AW$400,0)),AW$2,)</f>
        <v>0</v>
      </c>
      <c r="AX46" s="155">
        <f ca="1">IF(ISNUMBER(MATCH(DATEVALUE($A46),'recurring1_based on steps'!AX$1:AX$400,0)),AX$2,)</f>
        <v>0</v>
      </c>
      <c r="AY46" s="155">
        <f ca="1">IF(ISNUMBER(MATCH(DATEVALUE($A46),'recurring1_based on steps'!AY$1:AY$400,0)),AY$2,)</f>
        <v>0</v>
      </c>
    </row>
    <row r="47" spans="1:51" x14ac:dyDescent="0.2">
      <c r="A47" s="18" t="str">
        <f t="shared" ca="1" si="0"/>
        <v>2025-03-17</v>
      </c>
      <c r="B47" s="155">
        <f ca="1">IF(ISNUMBER(MATCH(DATEVALUE($A47),'recurring1_based on steps'!B$1:B$400,0)),B$2,)</f>
        <v>0</v>
      </c>
      <c r="C47" s="155">
        <f ca="1">IF(ISNUMBER(MATCH(DATEVALUE($A47),'recurring1_based on steps'!C$1:C$400,0)),C$2,)</f>
        <v>0</v>
      </c>
      <c r="D47" s="155">
        <f ca="1">IF(ISNUMBER(MATCH(DATEVALUE($A47),'recurring1_based on steps'!D$1:D$400,0)),D$2,)</f>
        <v>0</v>
      </c>
      <c r="E47" s="155">
        <f ca="1">IF(ISNUMBER(MATCH(DATEVALUE($A47),'recurring1_based on steps'!E$1:E$400,0)),E$2,)</f>
        <v>0</v>
      </c>
      <c r="F47" s="155">
        <f ca="1">IF(ISNUMBER(MATCH(DATEVALUE($A47),'recurring1_based on steps'!F$1:F$400,0)),F$2,)</f>
        <v>0</v>
      </c>
      <c r="G47" s="155">
        <f ca="1">IF(ISNUMBER(MATCH(DATEVALUE($A47),'recurring1_based on steps'!G$1:G$400,0)),G$2,)</f>
        <v>0</v>
      </c>
      <c r="H47" s="155">
        <f ca="1">IF(ISNUMBER(MATCH(DATEVALUE($A47),'recurring1_based on steps'!H$1:H$400,0)),H$2,)</f>
        <v>0</v>
      </c>
      <c r="I47" s="155">
        <f ca="1">IF(ISNUMBER(MATCH(DATEVALUE($A47),'recurring1_based on steps'!I$1:I$400,0)),I$2,)</f>
        <v>0</v>
      </c>
      <c r="J47" s="155">
        <f ca="1">IF(ISNUMBER(MATCH(DATEVALUE($A47),'recurring1_based on steps'!J$1:J$400,0)),J$2,)</f>
        <v>0</v>
      </c>
      <c r="K47" s="155">
        <f ca="1">IF(ISNUMBER(MATCH(DATEVALUE($A47),'recurring1_based on steps'!K$1:K$400,0)),K$2,)</f>
        <v>0</v>
      </c>
      <c r="L47" s="155">
        <f ca="1">IF(ISNUMBER(MATCH(DATEVALUE($A47),'recurring1_based on steps'!L$1:L$400,0)),L$2,)</f>
        <v>0</v>
      </c>
      <c r="M47" s="155">
        <f ca="1">IF(ISNUMBER(MATCH(DATEVALUE($A47),'recurring1_based on steps'!M$1:M$400,0)),M$2,)</f>
        <v>0</v>
      </c>
      <c r="N47" s="155">
        <f ca="1">IF(ISNUMBER(MATCH(DATEVALUE($A47),'recurring1_based on steps'!N$1:N$400,0)),N$2,)</f>
        <v>15.49</v>
      </c>
      <c r="O47" s="155">
        <f ca="1">IF(ISNUMBER(MATCH(DATEVALUE($A47),'recurring1_based on steps'!O$1:O$400,0)),O$2,)</f>
        <v>0</v>
      </c>
      <c r="P47" s="155">
        <f ca="1">IF(ISNUMBER(MATCH(DATEVALUE($A47),'recurring1_based on steps'!P$1:P$400,0)),P$2,)</f>
        <v>0</v>
      </c>
      <c r="Q47" s="155">
        <f ca="1">IF(ISNUMBER(MATCH(DATEVALUE($A47),'recurring1_based on steps'!Q$1:Q$400,0)),Q$2,)</f>
        <v>0</v>
      </c>
      <c r="R47" s="155">
        <f ca="1">IF(ISNUMBER(MATCH(DATEVALUE($A47),'recurring1_based on steps'!R$1:R$400,0)),R$2,)</f>
        <v>0</v>
      </c>
      <c r="S47" s="155">
        <f ca="1">IF(ISNUMBER(MATCH(DATEVALUE($A47),'recurring1_based on steps'!S$1:S$400,0)),S$2,)</f>
        <v>0</v>
      </c>
      <c r="T47" s="155">
        <f ca="1">IF(ISNUMBER(MATCH(DATEVALUE($A47),'recurring1_based on steps'!T$1:T$400,0)),T$2,)</f>
        <v>50</v>
      </c>
      <c r="U47" s="155">
        <f ca="1">IF(ISNUMBER(MATCH(DATEVALUE($A47),'recurring1_based on steps'!U$1:U$400,0)),U$2,)</f>
        <v>0</v>
      </c>
      <c r="V47" s="155">
        <f ca="1">IF(ISNUMBER(MATCH(DATEVALUE($A47),'recurring1_based on steps'!V$1:V$400,0)),V$2,)</f>
        <v>200</v>
      </c>
      <c r="W47" s="155">
        <f ca="1">IF(ISNUMBER(MATCH(DATEVALUE($A47),'recurring1_based on steps'!W$1:W$400,0)),W$2,)</f>
        <v>0</v>
      </c>
      <c r="X47" s="155">
        <f ca="1">IF(ISNUMBER(MATCH(DATEVALUE($A47),'recurring1_based on steps'!X$1:X$400,0)),X$2,)</f>
        <v>0</v>
      </c>
      <c r="Y47" s="155">
        <f ca="1">IF(ISNUMBER(MATCH(DATEVALUE($A47),'recurring1_based on steps'!Y$1:Y$400,0)),Y$2,)</f>
        <v>0</v>
      </c>
      <c r="Z47" s="155">
        <f ca="1">IF(ISNUMBER(MATCH(DATEVALUE($A47),'recurring1_based on steps'!Z$1:Z$400,0)),Z$2,)</f>
        <v>0</v>
      </c>
      <c r="AA47" s="155">
        <f ca="1">IF(ISNUMBER(MATCH(DATEVALUE($A47),'recurring1_based on steps'!AA$1:AA$400,0)),AA$2,)</f>
        <v>0</v>
      </c>
      <c r="AB47" s="155">
        <f ca="1">IF(ISNUMBER(MATCH(DATEVALUE($A47),'recurring1_based on steps'!AB$1:AB$400,0)),AB$2,)</f>
        <v>0</v>
      </c>
      <c r="AC47" s="155">
        <f ca="1">IF(ISNUMBER(MATCH(DATEVALUE($A47),'recurring1_based on steps'!AC$1:AC$400,0)),AC$2,)</f>
        <v>0</v>
      </c>
      <c r="AD47" s="155">
        <f ca="1">IF(ISNUMBER(MATCH(DATEVALUE($A47),'recurring1_based on steps'!AD$1:AD$400,0)),AD$2,)</f>
        <v>0</v>
      </c>
      <c r="AE47" s="155">
        <f ca="1">IF(ISNUMBER(MATCH(DATEVALUE($A47),'recurring1_based on steps'!AE$1:AE$400,0)),AE$2,)</f>
        <v>0</v>
      </c>
      <c r="AF47" s="155">
        <f ca="1">IF(ISNUMBER(MATCH(DATEVALUE($A47),'recurring1_based on steps'!AF$1:AF$400,0)),AF$2,)</f>
        <v>0</v>
      </c>
      <c r="AG47" s="155">
        <f ca="1">IF(ISNUMBER(MATCH(DATEVALUE($A47),'recurring1_based on steps'!AG$1:AG$400,0)),AG$2,)</f>
        <v>0</v>
      </c>
      <c r="AH47" s="155">
        <f ca="1">IF(ISNUMBER(MATCH(DATEVALUE($A47),'recurring1_based on steps'!AH$1:AH$400,0)),AH$2,)</f>
        <v>0</v>
      </c>
      <c r="AI47" s="155">
        <f ca="1">IF(ISNUMBER(MATCH(DATEVALUE($A47),'recurring1_based on steps'!AI$1:AI$400,0)),AI$2,)</f>
        <v>0</v>
      </c>
      <c r="AJ47" s="155">
        <f ca="1">IF(ISNUMBER(MATCH(DATEVALUE($A47),'recurring1_based on steps'!AJ$1:AJ$400,0)),AJ$2,)</f>
        <v>0</v>
      </c>
      <c r="AK47" s="155">
        <f ca="1">IF(ISNUMBER(MATCH(DATEVALUE($A47),'recurring1_based on steps'!AK$1:AK$400,0)),AK$2,)</f>
        <v>0</v>
      </c>
      <c r="AL47" s="155">
        <f ca="1">IF(ISNUMBER(MATCH(DATEVALUE($A47),'recurring1_based on steps'!AL$1:AL$400,0)),AL$2,)</f>
        <v>0</v>
      </c>
      <c r="AM47" s="155">
        <f ca="1">IF(ISNUMBER(MATCH(DATEVALUE($A47),'recurring1_based on steps'!AM$1:AM$400,0)),AM$2,)</f>
        <v>0</v>
      </c>
      <c r="AN47" s="155">
        <f ca="1">IF(ISNUMBER(MATCH(DATEVALUE($A47),'recurring1_based on steps'!AN$1:AN$400,0)),AN$2,)</f>
        <v>0</v>
      </c>
      <c r="AO47" s="155">
        <f ca="1">IF(ISNUMBER(MATCH(DATEVALUE($A47),'recurring1_based on steps'!AO$1:AO$400,0)),AO$2,)</f>
        <v>0</v>
      </c>
      <c r="AP47" s="155">
        <f ca="1">IF(ISNUMBER(MATCH(DATEVALUE($A47),'recurring1_based on steps'!AP$1:AP$400,0)),AP$2,)</f>
        <v>0</v>
      </c>
      <c r="AQ47" s="155">
        <f ca="1">IF(ISNUMBER(MATCH(DATEVALUE($A47),'recurring1_based on steps'!AQ$1:AQ$400,0)),AQ$2,)</f>
        <v>0</v>
      </c>
      <c r="AR47" s="155">
        <f ca="1">IF(ISNUMBER(MATCH(DATEVALUE($A47),'recurring1_based on steps'!AR$1:AR$400,0)),AR$2,)</f>
        <v>0</v>
      </c>
      <c r="AS47" s="155">
        <f ca="1">IF(ISNUMBER(MATCH(DATEVALUE($A47),'recurring1_based on steps'!AS$1:AS$400,0)),AS$2,)</f>
        <v>0</v>
      </c>
      <c r="AT47" s="155">
        <f ca="1">IF(ISNUMBER(MATCH(DATEVALUE($A47),'recurring1_based on steps'!AT$1:AT$400,0)),AT$2,)</f>
        <v>0</v>
      </c>
      <c r="AU47" s="155">
        <f ca="1">IF(ISNUMBER(MATCH(DATEVALUE($A47),'recurring1_based on steps'!AU$1:AU$400,0)),AU$2,)</f>
        <v>0</v>
      </c>
      <c r="AV47" s="155">
        <f ca="1">IF(ISNUMBER(MATCH(DATEVALUE($A47),'recurring1_based on steps'!AV$1:AV$400,0)),AV$2,)</f>
        <v>0</v>
      </c>
      <c r="AW47" s="155">
        <f ca="1">IF(ISNUMBER(MATCH(DATEVALUE($A47),'recurring1_based on steps'!AW$1:AW$400,0)),AW$2,)</f>
        <v>0</v>
      </c>
      <c r="AX47" s="155">
        <f ca="1">IF(ISNUMBER(MATCH(DATEVALUE($A47),'recurring1_based on steps'!AX$1:AX$400,0)),AX$2,)</f>
        <v>0</v>
      </c>
      <c r="AY47" s="155">
        <f ca="1">IF(ISNUMBER(MATCH(DATEVALUE($A47),'recurring1_based on steps'!AY$1:AY$400,0)),AY$2,)</f>
        <v>0</v>
      </c>
    </row>
    <row r="48" spans="1:51" x14ac:dyDescent="0.2">
      <c r="A48" s="18" t="str">
        <f t="shared" ca="1" si="0"/>
        <v>2025-03-18</v>
      </c>
      <c r="B48" s="155">
        <f ca="1">IF(ISNUMBER(MATCH(DATEVALUE($A48),'recurring1_based on steps'!B$1:B$400,0)),B$2,)</f>
        <v>0</v>
      </c>
      <c r="C48" s="155">
        <f ca="1">IF(ISNUMBER(MATCH(DATEVALUE($A48),'recurring1_based on steps'!C$1:C$400,0)),C$2,)</f>
        <v>0</v>
      </c>
      <c r="D48" s="155">
        <f ca="1">IF(ISNUMBER(MATCH(DATEVALUE($A48),'recurring1_based on steps'!D$1:D$400,0)),D$2,)</f>
        <v>0</v>
      </c>
      <c r="E48" s="155">
        <f ca="1">IF(ISNUMBER(MATCH(DATEVALUE($A48),'recurring1_based on steps'!E$1:E$400,0)),E$2,)</f>
        <v>0</v>
      </c>
      <c r="F48" s="155">
        <f ca="1">IF(ISNUMBER(MATCH(DATEVALUE($A48),'recurring1_based on steps'!F$1:F$400,0)),F$2,)</f>
        <v>0</v>
      </c>
      <c r="G48" s="155">
        <f ca="1">IF(ISNUMBER(MATCH(DATEVALUE($A48),'recurring1_based on steps'!G$1:G$400,0)),G$2,)</f>
        <v>0</v>
      </c>
      <c r="H48" s="155">
        <f ca="1">IF(ISNUMBER(MATCH(DATEVALUE($A48),'recurring1_based on steps'!H$1:H$400,0)),H$2,)</f>
        <v>0</v>
      </c>
      <c r="I48" s="155">
        <f ca="1">IF(ISNUMBER(MATCH(DATEVALUE($A48),'recurring1_based on steps'!I$1:I$400,0)),I$2,)</f>
        <v>0</v>
      </c>
      <c r="J48" s="155">
        <f ca="1">IF(ISNUMBER(MATCH(DATEVALUE($A48),'recurring1_based on steps'!J$1:J$400,0)),J$2,)</f>
        <v>0</v>
      </c>
      <c r="K48" s="155">
        <f ca="1">IF(ISNUMBER(MATCH(DATEVALUE($A48),'recurring1_based on steps'!K$1:K$400,0)),K$2,)</f>
        <v>0</v>
      </c>
      <c r="L48" s="155">
        <f ca="1">IF(ISNUMBER(MATCH(DATEVALUE($A48),'recurring1_based on steps'!L$1:L$400,0)),L$2,)</f>
        <v>0</v>
      </c>
      <c r="M48" s="155">
        <f ca="1">IF(ISNUMBER(MATCH(DATEVALUE($A48),'recurring1_based on steps'!M$1:M$400,0)),M$2,)</f>
        <v>0</v>
      </c>
      <c r="N48" s="155">
        <f ca="1">IF(ISNUMBER(MATCH(DATEVALUE($A48),'recurring1_based on steps'!N$1:N$400,0)),N$2,)</f>
        <v>0</v>
      </c>
      <c r="O48" s="155">
        <f ca="1">IF(ISNUMBER(MATCH(DATEVALUE($A48),'recurring1_based on steps'!O$1:O$400,0)),O$2,)</f>
        <v>10.99</v>
      </c>
      <c r="P48" s="155">
        <f ca="1">IF(ISNUMBER(MATCH(DATEVALUE($A48),'recurring1_based on steps'!P$1:P$400,0)),P$2,)</f>
        <v>0</v>
      </c>
      <c r="Q48" s="155">
        <f ca="1">IF(ISNUMBER(MATCH(DATEVALUE($A48),'recurring1_based on steps'!Q$1:Q$400,0)),Q$2,)</f>
        <v>0</v>
      </c>
      <c r="R48" s="155">
        <f ca="1">IF(ISNUMBER(MATCH(DATEVALUE($A48),'recurring1_based on steps'!R$1:R$400,0)),R$2,)</f>
        <v>0</v>
      </c>
      <c r="S48" s="155">
        <f ca="1">IF(ISNUMBER(MATCH(DATEVALUE($A48),'recurring1_based on steps'!S$1:S$400,0)),S$2,)</f>
        <v>0</v>
      </c>
      <c r="T48" s="155">
        <f ca="1">IF(ISNUMBER(MATCH(DATEVALUE($A48),'recurring1_based on steps'!T$1:T$400,0)),T$2,)</f>
        <v>0</v>
      </c>
      <c r="U48" s="155">
        <f ca="1">IF(ISNUMBER(MATCH(DATEVALUE($A48),'recurring1_based on steps'!U$1:U$400,0)),U$2,)</f>
        <v>0</v>
      </c>
      <c r="V48" s="155">
        <f ca="1">IF(ISNUMBER(MATCH(DATEVALUE($A48),'recurring1_based on steps'!V$1:V$400,0)),V$2,)</f>
        <v>0</v>
      </c>
      <c r="W48" s="155">
        <f ca="1">IF(ISNUMBER(MATCH(DATEVALUE($A48),'recurring1_based on steps'!W$1:W$400,0)),W$2,)</f>
        <v>0</v>
      </c>
      <c r="X48" s="155">
        <f ca="1">IF(ISNUMBER(MATCH(DATEVALUE($A48),'recurring1_based on steps'!X$1:X$400,0)),X$2,)</f>
        <v>0</v>
      </c>
      <c r="Y48" s="155">
        <f ca="1">IF(ISNUMBER(MATCH(DATEVALUE($A48),'recurring1_based on steps'!Y$1:Y$400,0)),Y$2,)</f>
        <v>0</v>
      </c>
      <c r="Z48" s="155">
        <f ca="1">IF(ISNUMBER(MATCH(DATEVALUE($A48),'recurring1_based on steps'!Z$1:Z$400,0)),Z$2,)</f>
        <v>0</v>
      </c>
      <c r="AA48" s="155">
        <f ca="1">IF(ISNUMBER(MATCH(DATEVALUE($A48),'recurring1_based on steps'!AA$1:AA$400,0)),AA$2,)</f>
        <v>0</v>
      </c>
      <c r="AB48" s="155">
        <f ca="1">IF(ISNUMBER(MATCH(DATEVALUE($A48),'recurring1_based on steps'!AB$1:AB$400,0)),AB$2,)</f>
        <v>0</v>
      </c>
      <c r="AC48" s="155">
        <f ca="1">IF(ISNUMBER(MATCH(DATEVALUE($A48),'recurring1_based on steps'!AC$1:AC$400,0)),AC$2,)</f>
        <v>0</v>
      </c>
      <c r="AD48" s="155">
        <f ca="1">IF(ISNUMBER(MATCH(DATEVALUE($A48),'recurring1_based on steps'!AD$1:AD$400,0)),AD$2,)</f>
        <v>0</v>
      </c>
      <c r="AE48" s="155">
        <f ca="1">IF(ISNUMBER(MATCH(DATEVALUE($A48),'recurring1_based on steps'!AE$1:AE$400,0)),AE$2,)</f>
        <v>0</v>
      </c>
      <c r="AF48" s="155">
        <f ca="1">IF(ISNUMBER(MATCH(DATEVALUE($A48),'recurring1_based on steps'!AF$1:AF$400,0)),AF$2,)</f>
        <v>0</v>
      </c>
      <c r="AG48" s="155">
        <f ca="1">IF(ISNUMBER(MATCH(DATEVALUE($A48),'recurring1_based on steps'!AG$1:AG$400,0)),AG$2,)</f>
        <v>0</v>
      </c>
      <c r="AH48" s="155">
        <f ca="1">IF(ISNUMBER(MATCH(DATEVALUE($A48),'recurring1_based on steps'!AH$1:AH$400,0)),AH$2,)</f>
        <v>0</v>
      </c>
      <c r="AI48" s="155">
        <f ca="1">IF(ISNUMBER(MATCH(DATEVALUE($A48),'recurring1_based on steps'!AI$1:AI$400,0)),AI$2,)</f>
        <v>0</v>
      </c>
      <c r="AJ48" s="155">
        <f ca="1">IF(ISNUMBER(MATCH(DATEVALUE($A48),'recurring1_based on steps'!AJ$1:AJ$400,0)),AJ$2,)</f>
        <v>0</v>
      </c>
      <c r="AK48" s="155">
        <f ca="1">IF(ISNUMBER(MATCH(DATEVALUE($A48),'recurring1_based on steps'!AK$1:AK$400,0)),AK$2,)</f>
        <v>0</v>
      </c>
      <c r="AL48" s="155">
        <f ca="1">IF(ISNUMBER(MATCH(DATEVALUE($A48),'recurring1_based on steps'!AL$1:AL$400,0)),AL$2,)</f>
        <v>0</v>
      </c>
      <c r="AM48" s="155">
        <f ca="1">IF(ISNUMBER(MATCH(DATEVALUE($A48),'recurring1_based on steps'!AM$1:AM$400,0)),AM$2,)</f>
        <v>0</v>
      </c>
      <c r="AN48" s="155">
        <f ca="1">IF(ISNUMBER(MATCH(DATEVALUE($A48),'recurring1_based on steps'!AN$1:AN$400,0)),AN$2,)</f>
        <v>0</v>
      </c>
      <c r="AO48" s="155">
        <f ca="1">IF(ISNUMBER(MATCH(DATEVALUE($A48),'recurring1_based on steps'!AO$1:AO$400,0)),AO$2,)</f>
        <v>0</v>
      </c>
      <c r="AP48" s="155">
        <f ca="1">IF(ISNUMBER(MATCH(DATEVALUE($A48),'recurring1_based on steps'!AP$1:AP$400,0)),AP$2,)</f>
        <v>0</v>
      </c>
      <c r="AQ48" s="155">
        <f ca="1">IF(ISNUMBER(MATCH(DATEVALUE($A48),'recurring1_based on steps'!AQ$1:AQ$400,0)),AQ$2,)</f>
        <v>0</v>
      </c>
      <c r="AR48" s="155">
        <f ca="1">IF(ISNUMBER(MATCH(DATEVALUE($A48),'recurring1_based on steps'!AR$1:AR$400,0)),AR$2,)</f>
        <v>0</v>
      </c>
      <c r="AS48" s="155">
        <f ca="1">IF(ISNUMBER(MATCH(DATEVALUE($A48),'recurring1_based on steps'!AS$1:AS$400,0)),AS$2,)</f>
        <v>0</v>
      </c>
      <c r="AT48" s="155">
        <f ca="1">IF(ISNUMBER(MATCH(DATEVALUE($A48),'recurring1_based on steps'!AT$1:AT$400,0)),AT$2,)</f>
        <v>0</v>
      </c>
      <c r="AU48" s="155">
        <f ca="1">IF(ISNUMBER(MATCH(DATEVALUE($A48),'recurring1_based on steps'!AU$1:AU$400,0)),AU$2,)</f>
        <v>0</v>
      </c>
      <c r="AV48" s="155">
        <f ca="1">IF(ISNUMBER(MATCH(DATEVALUE($A48),'recurring1_based on steps'!AV$1:AV$400,0)),AV$2,)</f>
        <v>0</v>
      </c>
      <c r="AW48" s="155">
        <f ca="1">IF(ISNUMBER(MATCH(DATEVALUE($A48),'recurring1_based on steps'!AW$1:AW$400,0)),AW$2,)</f>
        <v>0</v>
      </c>
      <c r="AX48" s="155">
        <f ca="1">IF(ISNUMBER(MATCH(DATEVALUE($A48),'recurring1_based on steps'!AX$1:AX$400,0)),AX$2,)</f>
        <v>0</v>
      </c>
      <c r="AY48" s="155">
        <f ca="1">IF(ISNUMBER(MATCH(DATEVALUE($A48),'recurring1_based on steps'!AY$1:AY$400,0)),AY$2,)</f>
        <v>0</v>
      </c>
    </row>
    <row r="49" spans="1:51" x14ac:dyDescent="0.2">
      <c r="A49" s="18" t="str">
        <f t="shared" ca="1" si="0"/>
        <v>2025-03-19</v>
      </c>
      <c r="B49" s="155">
        <f ca="1">IF(ISNUMBER(MATCH(DATEVALUE($A49),'recurring1_based on steps'!B$1:B$400,0)),B$2,)</f>
        <v>0</v>
      </c>
      <c r="C49" s="155">
        <f ca="1">IF(ISNUMBER(MATCH(DATEVALUE($A49),'recurring1_based on steps'!C$1:C$400,0)),C$2,)</f>
        <v>0</v>
      </c>
      <c r="D49" s="155">
        <f ca="1">IF(ISNUMBER(MATCH(DATEVALUE($A49),'recurring1_based on steps'!D$1:D$400,0)),D$2,)</f>
        <v>0</v>
      </c>
      <c r="E49" s="155">
        <f ca="1">IF(ISNUMBER(MATCH(DATEVALUE($A49),'recurring1_based on steps'!E$1:E$400,0)),E$2,)</f>
        <v>0</v>
      </c>
      <c r="F49" s="155">
        <f ca="1">IF(ISNUMBER(MATCH(DATEVALUE($A49),'recurring1_based on steps'!F$1:F$400,0)),F$2,)</f>
        <v>0</v>
      </c>
      <c r="G49" s="155">
        <f ca="1">IF(ISNUMBER(MATCH(DATEVALUE($A49),'recurring1_based on steps'!G$1:G$400,0)),G$2,)</f>
        <v>0</v>
      </c>
      <c r="H49" s="155">
        <f ca="1">IF(ISNUMBER(MATCH(DATEVALUE($A49),'recurring1_based on steps'!H$1:H$400,0)),H$2,)</f>
        <v>0</v>
      </c>
      <c r="I49" s="155">
        <f ca="1">IF(ISNUMBER(MATCH(DATEVALUE($A49),'recurring1_based on steps'!I$1:I$400,0)),I$2,)</f>
        <v>0</v>
      </c>
      <c r="J49" s="155">
        <f ca="1">IF(ISNUMBER(MATCH(DATEVALUE($A49),'recurring1_based on steps'!J$1:J$400,0)),J$2,)</f>
        <v>0</v>
      </c>
      <c r="K49" s="155">
        <f ca="1">IF(ISNUMBER(MATCH(DATEVALUE($A49),'recurring1_based on steps'!K$1:K$400,0)),K$2,)</f>
        <v>0</v>
      </c>
      <c r="L49" s="155">
        <f ca="1">IF(ISNUMBER(MATCH(DATEVALUE($A49),'recurring1_based on steps'!L$1:L$400,0)),L$2,)</f>
        <v>0</v>
      </c>
      <c r="M49" s="155">
        <f ca="1">IF(ISNUMBER(MATCH(DATEVALUE($A49),'recurring1_based on steps'!M$1:M$400,0)),M$2,)</f>
        <v>0</v>
      </c>
      <c r="N49" s="155">
        <f ca="1">IF(ISNUMBER(MATCH(DATEVALUE($A49),'recurring1_based on steps'!N$1:N$400,0)),N$2,)</f>
        <v>0</v>
      </c>
      <c r="O49" s="155">
        <f ca="1">IF(ISNUMBER(MATCH(DATEVALUE($A49),'recurring1_based on steps'!O$1:O$400,0)),O$2,)</f>
        <v>0</v>
      </c>
      <c r="P49" s="155">
        <f ca="1">IF(ISNUMBER(MATCH(DATEVALUE($A49),'recurring1_based on steps'!P$1:P$400,0)),P$2,)</f>
        <v>0</v>
      </c>
      <c r="Q49" s="155">
        <f ca="1">IF(ISNUMBER(MATCH(DATEVALUE($A49),'recurring1_based on steps'!Q$1:Q$400,0)),Q$2,)</f>
        <v>0</v>
      </c>
      <c r="R49" s="155">
        <f ca="1">IF(ISNUMBER(MATCH(DATEVALUE($A49),'recurring1_based on steps'!R$1:R$400,0)),R$2,)</f>
        <v>0</v>
      </c>
      <c r="S49" s="155">
        <f ca="1">IF(ISNUMBER(MATCH(DATEVALUE($A49),'recurring1_based on steps'!S$1:S$400,0)),S$2,)</f>
        <v>0</v>
      </c>
      <c r="T49" s="155">
        <f ca="1">IF(ISNUMBER(MATCH(DATEVALUE($A49),'recurring1_based on steps'!T$1:T$400,0)),T$2,)</f>
        <v>0</v>
      </c>
      <c r="U49" s="155">
        <f ca="1">IF(ISNUMBER(MATCH(DATEVALUE($A49),'recurring1_based on steps'!U$1:U$400,0)),U$2,)</f>
        <v>0</v>
      </c>
      <c r="V49" s="155">
        <f ca="1">IF(ISNUMBER(MATCH(DATEVALUE($A49),'recurring1_based on steps'!V$1:V$400,0)),V$2,)</f>
        <v>0</v>
      </c>
      <c r="W49" s="155">
        <f ca="1">IF(ISNUMBER(MATCH(DATEVALUE($A49),'recurring1_based on steps'!W$1:W$400,0)),W$2,)</f>
        <v>0</v>
      </c>
      <c r="X49" s="155">
        <f ca="1">IF(ISNUMBER(MATCH(DATEVALUE($A49),'recurring1_based on steps'!X$1:X$400,0)),X$2,)</f>
        <v>0</v>
      </c>
      <c r="Y49" s="155">
        <f ca="1">IF(ISNUMBER(MATCH(DATEVALUE($A49),'recurring1_based on steps'!Y$1:Y$400,0)),Y$2,)</f>
        <v>0</v>
      </c>
      <c r="Z49" s="155">
        <f ca="1">IF(ISNUMBER(MATCH(DATEVALUE($A49),'recurring1_based on steps'!Z$1:Z$400,0)),Z$2,)</f>
        <v>0</v>
      </c>
      <c r="AA49" s="155">
        <f ca="1">IF(ISNUMBER(MATCH(DATEVALUE($A49),'recurring1_based on steps'!AA$1:AA$400,0)),AA$2,)</f>
        <v>0</v>
      </c>
      <c r="AB49" s="155">
        <f ca="1">IF(ISNUMBER(MATCH(DATEVALUE($A49),'recurring1_based on steps'!AB$1:AB$400,0)),AB$2,)</f>
        <v>0</v>
      </c>
      <c r="AC49" s="155">
        <f ca="1">IF(ISNUMBER(MATCH(DATEVALUE($A49),'recurring1_based on steps'!AC$1:AC$400,0)),AC$2,)</f>
        <v>0</v>
      </c>
      <c r="AD49" s="155">
        <f ca="1">IF(ISNUMBER(MATCH(DATEVALUE($A49),'recurring1_based on steps'!AD$1:AD$400,0)),AD$2,)</f>
        <v>0</v>
      </c>
      <c r="AE49" s="155">
        <f ca="1">IF(ISNUMBER(MATCH(DATEVALUE($A49),'recurring1_based on steps'!AE$1:AE$400,0)),AE$2,)</f>
        <v>0</v>
      </c>
      <c r="AF49" s="155">
        <f ca="1">IF(ISNUMBER(MATCH(DATEVALUE($A49),'recurring1_based on steps'!AF$1:AF$400,0)),AF$2,)</f>
        <v>0</v>
      </c>
      <c r="AG49" s="155">
        <f ca="1">IF(ISNUMBER(MATCH(DATEVALUE($A49),'recurring1_based on steps'!AG$1:AG$400,0)),AG$2,)</f>
        <v>0</v>
      </c>
      <c r="AH49" s="155">
        <f ca="1">IF(ISNUMBER(MATCH(DATEVALUE($A49),'recurring1_based on steps'!AH$1:AH$400,0)),AH$2,)</f>
        <v>0</v>
      </c>
      <c r="AI49" s="155">
        <f ca="1">IF(ISNUMBER(MATCH(DATEVALUE($A49),'recurring1_based on steps'!AI$1:AI$400,0)),AI$2,)</f>
        <v>0</v>
      </c>
      <c r="AJ49" s="155">
        <f ca="1">IF(ISNUMBER(MATCH(DATEVALUE($A49),'recurring1_based on steps'!AJ$1:AJ$400,0)),AJ$2,)</f>
        <v>0</v>
      </c>
      <c r="AK49" s="155">
        <f ca="1">IF(ISNUMBER(MATCH(DATEVALUE($A49),'recurring1_based on steps'!AK$1:AK$400,0)),AK$2,)</f>
        <v>0</v>
      </c>
      <c r="AL49" s="155">
        <f ca="1">IF(ISNUMBER(MATCH(DATEVALUE($A49),'recurring1_based on steps'!AL$1:AL$400,0)),AL$2,)</f>
        <v>0</v>
      </c>
      <c r="AM49" s="155">
        <f ca="1">IF(ISNUMBER(MATCH(DATEVALUE($A49),'recurring1_based on steps'!AM$1:AM$400,0)),AM$2,)</f>
        <v>0</v>
      </c>
      <c r="AN49" s="155">
        <f ca="1">IF(ISNUMBER(MATCH(DATEVALUE($A49),'recurring1_based on steps'!AN$1:AN$400,0)),AN$2,)</f>
        <v>0</v>
      </c>
      <c r="AO49" s="155">
        <f ca="1">IF(ISNUMBER(MATCH(DATEVALUE($A49),'recurring1_based on steps'!AO$1:AO$400,0)),AO$2,)</f>
        <v>0</v>
      </c>
      <c r="AP49" s="155">
        <f ca="1">IF(ISNUMBER(MATCH(DATEVALUE($A49),'recurring1_based on steps'!AP$1:AP$400,0)),AP$2,)</f>
        <v>0</v>
      </c>
      <c r="AQ49" s="155">
        <f ca="1">IF(ISNUMBER(MATCH(DATEVALUE($A49),'recurring1_based on steps'!AQ$1:AQ$400,0)),AQ$2,)</f>
        <v>0</v>
      </c>
      <c r="AR49" s="155">
        <f ca="1">IF(ISNUMBER(MATCH(DATEVALUE($A49),'recurring1_based on steps'!AR$1:AR$400,0)),AR$2,)</f>
        <v>0</v>
      </c>
      <c r="AS49" s="155">
        <f ca="1">IF(ISNUMBER(MATCH(DATEVALUE($A49),'recurring1_based on steps'!AS$1:AS$400,0)),AS$2,)</f>
        <v>0</v>
      </c>
      <c r="AT49" s="155">
        <f ca="1">IF(ISNUMBER(MATCH(DATEVALUE($A49),'recurring1_based on steps'!AT$1:AT$400,0)),AT$2,)</f>
        <v>0</v>
      </c>
      <c r="AU49" s="155">
        <f ca="1">IF(ISNUMBER(MATCH(DATEVALUE($A49),'recurring1_based on steps'!AU$1:AU$400,0)),AU$2,)</f>
        <v>0</v>
      </c>
      <c r="AV49" s="155">
        <f ca="1">IF(ISNUMBER(MATCH(DATEVALUE($A49),'recurring1_based on steps'!AV$1:AV$400,0)),AV$2,)</f>
        <v>0</v>
      </c>
      <c r="AW49" s="155">
        <f ca="1">IF(ISNUMBER(MATCH(DATEVALUE($A49),'recurring1_based on steps'!AW$1:AW$400,0)),AW$2,)</f>
        <v>0</v>
      </c>
      <c r="AX49" s="155">
        <f ca="1">IF(ISNUMBER(MATCH(DATEVALUE($A49),'recurring1_based on steps'!AX$1:AX$400,0)),AX$2,)</f>
        <v>0</v>
      </c>
      <c r="AY49" s="155">
        <f ca="1">IF(ISNUMBER(MATCH(DATEVALUE($A49),'recurring1_based on steps'!AY$1:AY$400,0)),AY$2,)</f>
        <v>0</v>
      </c>
    </row>
    <row r="50" spans="1:51" x14ac:dyDescent="0.2">
      <c r="A50" s="18" t="str">
        <f t="shared" ca="1" si="0"/>
        <v>2025-03-20</v>
      </c>
      <c r="B50" s="155">
        <f ca="1">IF(ISNUMBER(MATCH(DATEVALUE($A50),'recurring1_based on steps'!B$1:B$400,0)),B$2,)</f>
        <v>0</v>
      </c>
      <c r="C50" s="155">
        <f ca="1">IF(ISNUMBER(MATCH(DATEVALUE($A50),'recurring1_based on steps'!C$1:C$400,0)),C$2,)</f>
        <v>0</v>
      </c>
      <c r="D50" s="155">
        <f ca="1">IF(ISNUMBER(MATCH(DATEVALUE($A50),'recurring1_based on steps'!D$1:D$400,0)),D$2,)</f>
        <v>0</v>
      </c>
      <c r="E50" s="155">
        <f ca="1">IF(ISNUMBER(MATCH(DATEVALUE($A50),'recurring1_based on steps'!E$1:E$400,0)),E$2,)</f>
        <v>0</v>
      </c>
      <c r="F50" s="155">
        <f ca="1">IF(ISNUMBER(MATCH(DATEVALUE($A50),'recurring1_based on steps'!F$1:F$400,0)),F$2,)</f>
        <v>0</v>
      </c>
      <c r="G50" s="155">
        <f ca="1">IF(ISNUMBER(MATCH(DATEVALUE($A50),'recurring1_based on steps'!G$1:G$400,0)),G$2,)</f>
        <v>0</v>
      </c>
      <c r="H50" s="155">
        <f ca="1">IF(ISNUMBER(MATCH(DATEVALUE($A50),'recurring1_based on steps'!H$1:H$400,0)),H$2,)</f>
        <v>0</v>
      </c>
      <c r="I50" s="155">
        <f ca="1">IF(ISNUMBER(MATCH(DATEVALUE($A50),'recurring1_based on steps'!I$1:I$400,0)),I$2,)</f>
        <v>0</v>
      </c>
      <c r="J50" s="155">
        <f ca="1">IF(ISNUMBER(MATCH(DATEVALUE($A50),'recurring1_based on steps'!J$1:J$400,0)),J$2,)</f>
        <v>0</v>
      </c>
      <c r="K50" s="155">
        <f ca="1">IF(ISNUMBER(MATCH(DATEVALUE($A50),'recurring1_based on steps'!K$1:K$400,0)),K$2,)</f>
        <v>0</v>
      </c>
      <c r="L50" s="155">
        <f ca="1">IF(ISNUMBER(MATCH(DATEVALUE($A50),'recurring1_based on steps'!L$1:L$400,0)),L$2,)</f>
        <v>0</v>
      </c>
      <c r="M50" s="155">
        <f ca="1">IF(ISNUMBER(MATCH(DATEVALUE($A50),'recurring1_based on steps'!M$1:M$400,0)),M$2,)</f>
        <v>0</v>
      </c>
      <c r="N50" s="155">
        <f ca="1">IF(ISNUMBER(MATCH(DATEVALUE($A50),'recurring1_based on steps'!N$1:N$400,0)),N$2,)</f>
        <v>0</v>
      </c>
      <c r="O50" s="155">
        <f ca="1">IF(ISNUMBER(MATCH(DATEVALUE($A50),'recurring1_based on steps'!O$1:O$400,0)),O$2,)</f>
        <v>0</v>
      </c>
      <c r="P50" s="155">
        <f ca="1">IF(ISNUMBER(MATCH(DATEVALUE($A50),'recurring1_based on steps'!P$1:P$400,0)),P$2,)</f>
        <v>0</v>
      </c>
      <c r="Q50" s="155">
        <f ca="1">IF(ISNUMBER(MATCH(DATEVALUE($A50),'recurring1_based on steps'!Q$1:Q$400,0)),Q$2,)</f>
        <v>0</v>
      </c>
      <c r="R50" s="155">
        <f ca="1">IF(ISNUMBER(MATCH(DATEVALUE($A50),'recurring1_based on steps'!R$1:R$400,0)),R$2,)</f>
        <v>0</v>
      </c>
      <c r="S50" s="155">
        <f ca="1">IF(ISNUMBER(MATCH(DATEVALUE($A50),'recurring1_based on steps'!S$1:S$400,0)),S$2,)</f>
        <v>0</v>
      </c>
      <c r="T50" s="155">
        <f ca="1">IF(ISNUMBER(MATCH(DATEVALUE($A50),'recurring1_based on steps'!T$1:T$400,0)),T$2,)</f>
        <v>0</v>
      </c>
      <c r="U50" s="155">
        <f ca="1">IF(ISNUMBER(MATCH(DATEVALUE($A50),'recurring1_based on steps'!U$1:U$400,0)),U$2,)</f>
        <v>0</v>
      </c>
      <c r="V50" s="155">
        <f ca="1">IF(ISNUMBER(MATCH(DATEVALUE($A50),'recurring1_based on steps'!V$1:V$400,0)),V$2,)</f>
        <v>0</v>
      </c>
      <c r="W50" s="155">
        <f ca="1">IF(ISNUMBER(MATCH(DATEVALUE($A50),'recurring1_based on steps'!W$1:W$400,0)),W$2,)</f>
        <v>0</v>
      </c>
      <c r="X50" s="155">
        <f ca="1">IF(ISNUMBER(MATCH(DATEVALUE($A50),'recurring1_based on steps'!X$1:X$400,0)),X$2,)</f>
        <v>0</v>
      </c>
      <c r="Y50" s="155">
        <f ca="1">IF(ISNUMBER(MATCH(DATEVALUE($A50),'recurring1_based on steps'!Y$1:Y$400,0)),Y$2,)</f>
        <v>0</v>
      </c>
      <c r="Z50" s="155">
        <f ca="1">IF(ISNUMBER(MATCH(DATEVALUE($A50),'recurring1_based on steps'!Z$1:Z$400,0)),Z$2,)</f>
        <v>0</v>
      </c>
      <c r="AA50" s="155">
        <f ca="1">IF(ISNUMBER(MATCH(DATEVALUE($A50),'recurring1_based on steps'!AA$1:AA$400,0)),AA$2,)</f>
        <v>0</v>
      </c>
      <c r="AB50" s="155">
        <f ca="1">IF(ISNUMBER(MATCH(DATEVALUE($A50),'recurring1_based on steps'!AB$1:AB$400,0)),AB$2,)</f>
        <v>0</v>
      </c>
      <c r="AC50" s="155">
        <f ca="1">IF(ISNUMBER(MATCH(DATEVALUE($A50),'recurring1_based on steps'!AC$1:AC$400,0)),AC$2,)</f>
        <v>0</v>
      </c>
      <c r="AD50" s="155">
        <f ca="1">IF(ISNUMBER(MATCH(DATEVALUE($A50),'recurring1_based on steps'!AD$1:AD$400,0)),AD$2,)</f>
        <v>0</v>
      </c>
      <c r="AE50" s="155">
        <f ca="1">IF(ISNUMBER(MATCH(DATEVALUE($A50),'recurring1_based on steps'!AE$1:AE$400,0)),AE$2,)</f>
        <v>0</v>
      </c>
      <c r="AF50" s="155">
        <f ca="1">IF(ISNUMBER(MATCH(DATEVALUE($A50),'recurring1_based on steps'!AF$1:AF$400,0)),AF$2,)</f>
        <v>0</v>
      </c>
      <c r="AG50" s="155">
        <f ca="1">IF(ISNUMBER(MATCH(DATEVALUE($A50),'recurring1_based on steps'!AG$1:AG$400,0)),AG$2,)</f>
        <v>0</v>
      </c>
      <c r="AH50" s="155">
        <f ca="1">IF(ISNUMBER(MATCH(DATEVALUE($A50),'recurring1_based on steps'!AH$1:AH$400,0)),AH$2,)</f>
        <v>0</v>
      </c>
      <c r="AI50" s="155">
        <f ca="1">IF(ISNUMBER(MATCH(DATEVALUE($A50),'recurring1_based on steps'!AI$1:AI$400,0)),AI$2,)</f>
        <v>0</v>
      </c>
      <c r="AJ50" s="155">
        <f ca="1">IF(ISNUMBER(MATCH(DATEVALUE($A50),'recurring1_based on steps'!AJ$1:AJ$400,0)),AJ$2,)</f>
        <v>0</v>
      </c>
      <c r="AK50" s="155">
        <f ca="1">IF(ISNUMBER(MATCH(DATEVALUE($A50),'recurring1_based on steps'!AK$1:AK$400,0)),AK$2,)</f>
        <v>0</v>
      </c>
      <c r="AL50" s="155">
        <f ca="1">IF(ISNUMBER(MATCH(DATEVALUE($A50),'recurring1_based on steps'!AL$1:AL$400,0)),AL$2,)</f>
        <v>0</v>
      </c>
      <c r="AM50" s="155">
        <f ca="1">IF(ISNUMBER(MATCH(DATEVALUE($A50),'recurring1_based on steps'!AM$1:AM$400,0)),AM$2,)</f>
        <v>0</v>
      </c>
      <c r="AN50" s="155">
        <f ca="1">IF(ISNUMBER(MATCH(DATEVALUE($A50),'recurring1_based on steps'!AN$1:AN$400,0)),AN$2,)</f>
        <v>0</v>
      </c>
      <c r="AO50" s="155">
        <f ca="1">IF(ISNUMBER(MATCH(DATEVALUE($A50),'recurring1_based on steps'!AO$1:AO$400,0)),AO$2,)</f>
        <v>0</v>
      </c>
      <c r="AP50" s="155">
        <f ca="1">IF(ISNUMBER(MATCH(DATEVALUE($A50),'recurring1_based on steps'!AP$1:AP$400,0)),AP$2,)</f>
        <v>0</v>
      </c>
      <c r="AQ50" s="155">
        <f ca="1">IF(ISNUMBER(MATCH(DATEVALUE($A50),'recurring1_based on steps'!AQ$1:AQ$400,0)),AQ$2,)</f>
        <v>0</v>
      </c>
      <c r="AR50" s="155">
        <f ca="1">IF(ISNUMBER(MATCH(DATEVALUE($A50),'recurring1_based on steps'!AR$1:AR$400,0)),AR$2,)</f>
        <v>0</v>
      </c>
      <c r="AS50" s="155">
        <f ca="1">IF(ISNUMBER(MATCH(DATEVALUE($A50),'recurring1_based on steps'!AS$1:AS$400,0)),AS$2,)</f>
        <v>0</v>
      </c>
      <c r="AT50" s="155">
        <f ca="1">IF(ISNUMBER(MATCH(DATEVALUE($A50),'recurring1_based on steps'!AT$1:AT$400,0)),AT$2,)</f>
        <v>0</v>
      </c>
      <c r="AU50" s="155">
        <f ca="1">IF(ISNUMBER(MATCH(DATEVALUE($A50),'recurring1_based on steps'!AU$1:AU$400,0)),AU$2,)</f>
        <v>0</v>
      </c>
      <c r="AV50" s="155">
        <f ca="1">IF(ISNUMBER(MATCH(DATEVALUE($A50),'recurring1_based on steps'!AV$1:AV$400,0)),AV$2,)</f>
        <v>0</v>
      </c>
      <c r="AW50" s="155">
        <f ca="1">IF(ISNUMBER(MATCH(DATEVALUE($A50),'recurring1_based on steps'!AW$1:AW$400,0)),AW$2,)</f>
        <v>0</v>
      </c>
      <c r="AX50" s="155">
        <f ca="1">IF(ISNUMBER(MATCH(DATEVALUE($A50),'recurring1_based on steps'!AX$1:AX$400,0)),AX$2,)</f>
        <v>0</v>
      </c>
      <c r="AY50" s="155">
        <f ca="1">IF(ISNUMBER(MATCH(DATEVALUE($A50),'recurring1_based on steps'!AY$1:AY$400,0)),AY$2,)</f>
        <v>0</v>
      </c>
    </row>
    <row r="51" spans="1:51" x14ac:dyDescent="0.2">
      <c r="A51" s="18" t="str">
        <f t="shared" ca="1" si="0"/>
        <v>2025-03-21</v>
      </c>
      <c r="B51" s="155">
        <f ca="1">IF(ISNUMBER(MATCH(DATEVALUE($A51),'recurring1_based on steps'!B$1:B$400,0)),B$2,)</f>
        <v>4000</v>
      </c>
      <c r="C51" s="155">
        <f ca="1">IF(ISNUMBER(MATCH(DATEVALUE($A51),'recurring1_based on steps'!C$1:C$400,0)),C$2,)</f>
        <v>200</v>
      </c>
      <c r="D51" s="155">
        <f ca="1">IF(ISNUMBER(MATCH(DATEVALUE($A51),'recurring1_based on steps'!D$1:D$400,0)),D$2,)</f>
        <v>2</v>
      </c>
      <c r="E51" s="155">
        <f ca="1">IF(ISNUMBER(MATCH(DATEVALUE($A51),'recurring1_based on steps'!E$1:E$400,0)),E$2,)</f>
        <v>40</v>
      </c>
      <c r="F51" s="155">
        <f ca="1">IF(ISNUMBER(MATCH(DATEVALUE($A51),'recurring1_based on steps'!F$1:F$400,0)),F$2,)</f>
        <v>50</v>
      </c>
      <c r="G51" s="155">
        <f ca="1">IF(ISNUMBER(MATCH(DATEVALUE($A51),'recurring1_based on steps'!G$1:G$400,0)),G$2,)</f>
        <v>4</v>
      </c>
      <c r="H51" s="155">
        <f ca="1">IF(ISNUMBER(MATCH(DATEVALUE($A51),'recurring1_based on steps'!H$1:H$400,0)),H$2,)</f>
        <v>0</v>
      </c>
      <c r="I51" s="155">
        <f ca="1">IF(ISNUMBER(MATCH(DATEVALUE($A51),'recurring1_based on steps'!I$1:I$400,0)),I$2,)</f>
        <v>0</v>
      </c>
      <c r="J51" s="155">
        <f ca="1">IF(ISNUMBER(MATCH(DATEVALUE($A51),'recurring1_based on steps'!J$1:J$400,0)),J$2,)</f>
        <v>0</v>
      </c>
      <c r="K51" s="155">
        <f ca="1">IF(ISNUMBER(MATCH(DATEVALUE($A51),'recurring1_based on steps'!K$1:K$400,0)),K$2,)</f>
        <v>0</v>
      </c>
      <c r="L51" s="155">
        <f ca="1">IF(ISNUMBER(MATCH(DATEVALUE($A51),'recurring1_based on steps'!L$1:L$400,0)),L$2,)</f>
        <v>0</v>
      </c>
      <c r="M51" s="155">
        <f ca="1">IF(ISNUMBER(MATCH(DATEVALUE($A51),'recurring1_based on steps'!M$1:M$400,0)),M$2,)</f>
        <v>0</v>
      </c>
      <c r="N51" s="155">
        <f ca="1">IF(ISNUMBER(MATCH(DATEVALUE($A51),'recurring1_based on steps'!N$1:N$400,0)),N$2,)</f>
        <v>0</v>
      </c>
      <c r="O51" s="155">
        <f ca="1">IF(ISNUMBER(MATCH(DATEVALUE($A51),'recurring1_based on steps'!O$1:O$400,0)),O$2,)</f>
        <v>0</v>
      </c>
      <c r="P51" s="155">
        <f ca="1">IF(ISNUMBER(MATCH(DATEVALUE($A51),'recurring1_based on steps'!P$1:P$400,0)),P$2,)</f>
        <v>0</v>
      </c>
      <c r="Q51" s="155">
        <f ca="1">IF(ISNUMBER(MATCH(DATEVALUE($A51),'recurring1_based on steps'!Q$1:Q$400,0)),Q$2,)</f>
        <v>0</v>
      </c>
      <c r="R51" s="155">
        <f ca="1">IF(ISNUMBER(MATCH(DATEVALUE($A51),'recurring1_based on steps'!R$1:R$400,0)),R$2,)</f>
        <v>0</v>
      </c>
      <c r="S51" s="155">
        <f ca="1">IF(ISNUMBER(MATCH(DATEVALUE($A51),'recurring1_based on steps'!S$1:S$400,0)),S$2,)</f>
        <v>0</v>
      </c>
      <c r="T51" s="155">
        <f ca="1">IF(ISNUMBER(MATCH(DATEVALUE($A51),'recurring1_based on steps'!T$1:T$400,0)),T$2,)</f>
        <v>0</v>
      </c>
      <c r="U51" s="155">
        <f ca="1">IF(ISNUMBER(MATCH(DATEVALUE($A51),'recurring1_based on steps'!U$1:U$400,0)),U$2,)</f>
        <v>0</v>
      </c>
      <c r="V51" s="155">
        <f ca="1">IF(ISNUMBER(MATCH(DATEVALUE($A51),'recurring1_based on steps'!V$1:V$400,0)),V$2,)</f>
        <v>0</v>
      </c>
      <c r="W51" s="155">
        <f ca="1">IF(ISNUMBER(MATCH(DATEVALUE($A51),'recurring1_based on steps'!W$1:W$400,0)),W$2,)</f>
        <v>0</v>
      </c>
      <c r="X51" s="155">
        <f ca="1">IF(ISNUMBER(MATCH(DATEVALUE($A51),'recurring1_based on steps'!X$1:X$400,0)),X$2,)</f>
        <v>50</v>
      </c>
      <c r="Y51" s="155">
        <f ca="1">IF(ISNUMBER(MATCH(DATEVALUE($A51),'recurring1_based on steps'!Y$1:Y$400,0)),Y$2,)</f>
        <v>0</v>
      </c>
      <c r="Z51" s="155">
        <f ca="1">IF(ISNUMBER(MATCH(DATEVALUE($A51),'recurring1_based on steps'!Z$1:Z$400,0)),Z$2,)</f>
        <v>0</v>
      </c>
      <c r="AA51" s="155">
        <f ca="1">IF(ISNUMBER(MATCH(DATEVALUE($A51),'recurring1_based on steps'!AA$1:AA$400,0)),AA$2,)</f>
        <v>0</v>
      </c>
      <c r="AB51" s="155">
        <f ca="1">IF(ISNUMBER(MATCH(DATEVALUE($A51),'recurring1_based on steps'!AB$1:AB$400,0)),AB$2,)</f>
        <v>0</v>
      </c>
      <c r="AC51" s="155">
        <f ca="1">IF(ISNUMBER(MATCH(DATEVALUE($A51),'recurring1_based on steps'!AC$1:AC$400,0)),AC$2,)</f>
        <v>0</v>
      </c>
      <c r="AD51" s="155">
        <f ca="1">IF(ISNUMBER(MATCH(DATEVALUE($A51),'recurring1_based on steps'!AD$1:AD$400,0)),AD$2,)</f>
        <v>0</v>
      </c>
      <c r="AE51" s="155">
        <f ca="1">IF(ISNUMBER(MATCH(DATEVALUE($A51),'recurring1_based on steps'!AE$1:AE$400,0)),AE$2,)</f>
        <v>0</v>
      </c>
      <c r="AF51" s="155">
        <f ca="1">IF(ISNUMBER(MATCH(DATEVALUE($A51),'recurring1_based on steps'!AF$1:AF$400,0)),AF$2,)</f>
        <v>0</v>
      </c>
      <c r="AG51" s="155">
        <f ca="1">IF(ISNUMBER(MATCH(DATEVALUE($A51),'recurring1_based on steps'!AG$1:AG$400,0)),AG$2,)</f>
        <v>0</v>
      </c>
      <c r="AH51" s="155">
        <f ca="1">IF(ISNUMBER(MATCH(DATEVALUE($A51),'recurring1_based on steps'!AH$1:AH$400,0)),AH$2,)</f>
        <v>0</v>
      </c>
      <c r="AI51" s="155">
        <f ca="1">IF(ISNUMBER(MATCH(DATEVALUE($A51),'recurring1_based on steps'!AI$1:AI$400,0)),AI$2,)</f>
        <v>0</v>
      </c>
      <c r="AJ51" s="155">
        <f ca="1">IF(ISNUMBER(MATCH(DATEVALUE($A51),'recurring1_based on steps'!AJ$1:AJ$400,0)),AJ$2,)</f>
        <v>0</v>
      </c>
      <c r="AK51" s="155">
        <f ca="1">IF(ISNUMBER(MATCH(DATEVALUE($A51),'recurring1_based on steps'!AK$1:AK$400,0)),AK$2,)</f>
        <v>0</v>
      </c>
      <c r="AL51" s="155">
        <f ca="1">IF(ISNUMBER(MATCH(DATEVALUE($A51),'recurring1_based on steps'!AL$1:AL$400,0)),AL$2,)</f>
        <v>0</v>
      </c>
      <c r="AM51" s="155">
        <f ca="1">IF(ISNUMBER(MATCH(DATEVALUE($A51),'recurring1_based on steps'!AM$1:AM$400,0)),AM$2,)</f>
        <v>0</v>
      </c>
      <c r="AN51" s="155">
        <f ca="1">IF(ISNUMBER(MATCH(DATEVALUE($A51),'recurring1_based on steps'!AN$1:AN$400,0)),AN$2,)</f>
        <v>0</v>
      </c>
      <c r="AO51" s="155">
        <f ca="1">IF(ISNUMBER(MATCH(DATEVALUE($A51),'recurring1_based on steps'!AO$1:AO$400,0)),AO$2,)</f>
        <v>0</v>
      </c>
      <c r="AP51" s="155">
        <f ca="1">IF(ISNUMBER(MATCH(DATEVALUE($A51),'recurring1_based on steps'!AP$1:AP$400,0)),AP$2,)</f>
        <v>0</v>
      </c>
      <c r="AQ51" s="155">
        <f ca="1">IF(ISNUMBER(MATCH(DATEVALUE($A51),'recurring1_based on steps'!AQ$1:AQ$400,0)),AQ$2,)</f>
        <v>0</v>
      </c>
      <c r="AR51" s="155">
        <f ca="1">IF(ISNUMBER(MATCH(DATEVALUE($A51),'recurring1_based on steps'!AR$1:AR$400,0)),AR$2,)</f>
        <v>0</v>
      </c>
      <c r="AS51" s="155">
        <f ca="1">IF(ISNUMBER(MATCH(DATEVALUE($A51),'recurring1_based on steps'!AS$1:AS$400,0)),AS$2,)</f>
        <v>0</v>
      </c>
      <c r="AT51" s="155">
        <f ca="1">IF(ISNUMBER(MATCH(DATEVALUE($A51),'recurring1_based on steps'!AT$1:AT$400,0)),AT$2,)</f>
        <v>0</v>
      </c>
      <c r="AU51" s="155">
        <f ca="1">IF(ISNUMBER(MATCH(DATEVALUE($A51),'recurring1_based on steps'!AU$1:AU$400,0)),AU$2,)</f>
        <v>0</v>
      </c>
      <c r="AV51" s="155">
        <f ca="1">IF(ISNUMBER(MATCH(DATEVALUE($A51),'recurring1_based on steps'!AV$1:AV$400,0)),AV$2,)</f>
        <v>0</v>
      </c>
      <c r="AW51" s="155">
        <f ca="1">IF(ISNUMBER(MATCH(DATEVALUE($A51),'recurring1_based on steps'!AW$1:AW$400,0)),AW$2,)</f>
        <v>0</v>
      </c>
      <c r="AX51" s="155">
        <f ca="1">IF(ISNUMBER(MATCH(DATEVALUE($A51),'recurring1_based on steps'!AX$1:AX$400,0)),AX$2,)</f>
        <v>0</v>
      </c>
      <c r="AY51" s="155">
        <f ca="1">IF(ISNUMBER(MATCH(DATEVALUE($A51),'recurring1_based on steps'!AY$1:AY$400,0)),AY$2,)</f>
        <v>0</v>
      </c>
    </row>
    <row r="52" spans="1:51" x14ac:dyDescent="0.2">
      <c r="A52" s="18" t="str">
        <f t="shared" ca="1" si="0"/>
        <v>2025-03-22</v>
      </c>
      <c r="B52" s="155">
        <f ca="1">IF(ISNUMBER(MATCH(DATEVALUE($A52),'recurring1_based on steps'!B$1:B$400,0)),B$2,)</f>
        <v>0</v>
      </c>
      <c r="C52" s="155">
        <f ca="1">IF(ISNUMBER(MATCH(DATEVALUE($A52),'recurring1_based on steps'!C$1:C$400,0)),C$2,)</f>
        <v>0</v>
      </c>
      <c r="D52" s="155">
        <f ca="1">IF(ISNUMBER(MATCH(DATEVALUE($A52),'recurring1_based on steps'!D$1:D$400,0)),D$2,)</f>
        <v>0</v>
      </c>
      <c r="E52" s="155">
        <f ca="1">IF(ISNUMBER(MATCH(DATEVALUE($A52),'recurring1_based on steps'!E$1:E$400,0)),E$2,)</f>
        <v>0</v>
      </c>
      <c r="F52" s="155">
        <f ca="1">IF(ISNUMBER(MATCH(DATEVALUE($A52),'recurring1_based on steps'!F$1:F$400,0)),F$2,)</f>
        <v>0</v>
      </c>
      <c r="G52" s="155">
        <f ca="1">IF(ISNUMBER(MATCH(DATEVALUE($A52),'recurring1_based on steps'!G$1:G$400,0)),G$2,)</f>
        <v>0</v>
      </c>
      <c r="H52" s="155">
        <f ca="1">IF(ISNUMBER(MATCH(DATEVALUE($A52),'recurring1_based on steps'!H$1:H$400,0)),H$2,)</f>
        <v>0</v>
      </c>
      <c r="I52" s="155">
        <f ca="1">IF(ISNUMBER(MATCH(DATEVALUE($A52),'recurring1_based on steps'!I$1:I$400,0)),I$2,)</f>
        <v>0</v>
      </c>
      <c r="J52" s="155">
        <f ca="1">IF(ISNUMBER(MATCH(DATEVALUE($A52),'recurring1_based on steps'!J$1:J$400,0)),J$2,)</f>
        <v>0</v>
      </c>
      <c r="K52" s="155">
        <f ca="1">IF(ISNUMBER(MATCH(DATEVALUE($A52),'recurring1_based on steps'!K$1:K$400,0)),K$2,)</f>
        <v>0</v>
      </c>
      <c r="L52" s="155">
        <f ca="1">IF(ISNUMBER(MATCH(DATEVALUE($A52),'recurring1_based on steps'!L$1:L$400,0)),L$2,)</f>
        <v>0</v>
      </c>
      <c r="M52" s="155">
        <f ca="1">IF(ISNUMBER(MATCH(DATEVALUE($A52),'recurring1_based on steps'!M$1:M$400,0)),M$2,)</f>
        <v>0</v>
      </c>
      <c r="N52" s="155">
        <f ca="1">IF(ISNUMBER(MATCH(DATEVALUE($A52),'recurring1_based on steps'!N$1:N$400,0)),N$2,)</f>
        <v>0</v>
      </c>
      <c r="O52" s="155">
        <f ca="1">IF(ISNUMBER(MATCH(DATEVALUE($A52),'recurring1_based on steps'!O$1:O$400,0)),O$2,)</f>
        <v>0</v>
      </c>
      <c r="P52" s="155">
        <f ca="1">IF(ISNUMBER(MATCH(DATEVALUE($A52),'recurring1_based on steps'!P$1:P$400,0)),P$2,)</f>
        <v>0</v>
      </c>
      <c r="Q52" s="155">
        <f ca="1">IF(ISNUMBER(MATCH(DATEVALUE($A52),'recurring1_based on steps'!Q$1:Q$400,0)),Q$2,)</f>
        <v>100</v>
      </c>
      <c r="R52" s="155">
        <f ca="1">IF(ISNUMBER(MATCH(DATEVALUE($A52),'recurring1_based on steps'!R$1:R$400,0)),R$2,)</f>
        <v>100</v>
      </c>
      <c r="S52" s="155">
        <f ca="1">IF(ISNUMBER(MATCH(DATEVALUE($A52),'recurring1_based on steps'!S$1:S$400,0)),S$2,)</f>
        <v>0</v>
      </c>
      <c r="T52" s="155">
        <f ca="1">IF(ISNUMBER(MATCH(DATEVALUE($A52),'recurring1_based on steps'!T$1:T$400,0)),T$2,)</f>
        <v>0</v>
      </c>
      <c r="U52" s="155">
        <f ca="1">IF(ISNUMBER(MATCH(DATEVALUE($A52),'recurring1_based on steps'!U$1:U$400,0)),U$2,)</f>
        <v>0</v>
      </c>
      <c r="V52" s="155">
        <f ca="1">IF(ISNUMBER(MATCH(DATEVALUE($A52),'recurring1_based on steps'!V$1:V$400,0)),V$2,)</f>
        <v>0</v>
      </c>
      <c r="W52" s="155">
        <f ca="1">IF(ISNUMBER(MATCH(DATEVALUE($A52),'recurring1_based on steps'!W$1:W$400,0)),W$2,)</f>
        <v>0</v>
      </c>
      <c r="X52" s="155">
        <f ca="1">IF(ISNUMBER(MATCH(DATEVALUE($A52),'recurring1_based on steps'!X$1:X$400,0)),X$2,)</f>
        <v>0</v>
      </c>
      <c r="Y52" s="155">
        <f ca="1">IF(ISNUMBER(MATCH(DATEVALUE($A52),'recurring1_based on steps'!Y$1:Y$400,0)),Y$2,)</f>
        <v>0</v>
      </c>
      <c r="Z52" s="155">
        <f ca="1">IF(ISNUMBER(MATCH(DATEVALUE($A52),'recurring1_based on steps'!Z$1:Z$400,0)),Z$2,)</f>
        <v>0</v>
      </c>
      <c r="AA52" s="155">
        <f ca="1">IF(ISNUMBER(MATCH(DATEVALUE($A52),'recurring1_based on steps'!AA$1:AA$400,0)),AA$2,)</f>
        <v>0</v>
      </c>
      <c r="AB52" s="155">
        <f ca="1">IF(ISNUMBER(MATCH(DATEVALUE($A52),'recurring1_based on steps'!AB$1:AB$400,0)),AB$2,)</f>
        <v>0</v>
      </c>
      <c r="AC52" s="155">
        <f ca="1">IF(ISNUMBER(MATCH(DATEVALUE($A52),'recurring1_based on steps'!AC$1:AC$400,0)),AC$2,)</f>
        <v>0</v>
      </c>
      <c r="AD52" s="155">
        <f ca="1">IF(ISNUMBER(MATCH(DATEVALUE($A52),'recurring1_based on steps'!AD$1:AD$400,0)),AD$2,)</f>
        <v>0</v>
      </c>
      <c r="AE52" s="155">
        <f ca="1">IF(ISNUMBER(MATCH(DATEVALUE($A52),'recurring1_based on steps'!AE$1:AE$400,0)),AE$2,)</f>
        <v>0</v>
      </c>
      <c r="AF52" s="155">
        <f ca="1">IF(ISNUMBER(MATCH(DATEVALUE($A52),'recurring1_based on steps'!AF$1:AF$400,0)),AF$2,)</f>
        <v>0</v>
      </c>
      <c r="AG52" s="155">
        <f ca="1">IF(ISNUMBER(MATCH(DATEVALUE($A52),'recurring1_based on steps'!AG$1:AG$400,0)),AG$2,)</f>
        <v>0</v>
      </c>
      <c r="AH52" s="155">
        <f ca="1">IF(ISNUMBER(MATCH(DATEVALUE($A52),'recurring1_based on steps'!AH$1:AH$400,0)),AH$2,)</f>
        <v>0</v>
      </c>
      <c r="AI52" s="155">
        <f ca="1">IF(ISNUMBER(MATCH(DATEVALUE($A52),'recurring1_based on steps'!AI$1:AI$400,0)),AI$2,)</f>
        <v>0</v>
      </c>
      <c r="AJ52" s="155">
        <f ca="1">IF(ISNUMBER(MATCH(DATEVALUE($A52),'recurring1_based on steps'!AJ$1:AJ$400,0)),AJ$2,)</f>
        <v>0</v>
      </c>
      <c r="AK52" s="155">
        <f ca="1">IF(ISNUMBER(MATCH(DATEVALUE($A52),'recurring1_based on steps'!AK$1:AK$400,0)),AK$2,)</f>
        <v>0</v>
      </c>
      <c r="AL52" s="155">
        <f ca="1">IF(ISNUMBER(MATCH(DATEVALUE($A52),'recurring1_based on steps'!AL$1:AL$400,0)),AL$2,)</f>
        <v>0</v>
      </c>
      <c r="AM52" s="155">
        <f ca="1">IF(ISNUMBER(MATCH(DATEVALUE($A52),'recurring1_based on steps'!AM$1:AM$400,0)),AM$2,)</f>
        <v>0</v>
      </c>
      <c r="AN52" s="155">
        <f ca="1">IF(ISNUMBER(MATCH(DATEVALUE($A52),'recurring1_based on steps'!AN$1:AN$400,0)),AN$2,)</f>
        <v>0</v>
      </c>
      <c r="AO52" s="155">
        <f ca="1">IF(ISNUMBER(MATCH(DATEVALUE($A52),'recurring1_based on steps'!AO$1:AO$400,0)),AO$2,)</f>
        <v>0</v>
      </c>
      <c r="AP52" s="155">
        <f ca="1">IF(ISNUMBER(MATCH(DATEVALUE($A52),'recurring1_based on steps'!AP$1:AP$400,0)),AP$2,)</f>
        <v>0</v>
      </c>
      <c r="AQ52" s="155">
        <f ca="1">IF(ISNUMBER(MATCH(DATEVALUE($A52),'recurring1_based on steps'!AQ$1:AQ$400,0)),AQ$2,)</f>
        <v>0</v>
      </c>
      <c r="AR52" s="155">
        <f ca="1">IF(ISNUMBER(MATCH(DATEVALUE($A52),'recurring1_based on steps'!AR$1:AR$400,0)),AR$2,)</f>
        <v>0</v>
      </c>
      <c r="AS52" s="155">
        <f ca="1">IF(ISNUMBER(MATCH(DATEVALUE($A52),'recurring1_based on steps'!AS$1:AS$400,0)),AS$2,)</f>
        <v>0</v>
      </c>
      <c r="AT52" s="155">
        <f ca="1">IF(ISNUMBER(MATCH(DATEVALUE($A52),'recurring1_based on steps'!AT$1:AT$400,0)),AT$2,)</f>
        <v>0</v>
      </c>
      <c r="AU52" s="155">
        <f ca="1">IF(ISNUMBER(MATCH(DATEVALUE($A52),'recurring1_based on steps'!AU$1:AU$400,0)),AU$2,)</f>
        <v>0</v>
      </c>
      <c r="AV52" s="155">
        <f ca="1">IF(ISNUMBER(MATCH(DATEVALUE($A52),'recurring1_based on steps'!AV$1:AV$400,0)),AV$2,)</f>
        <v>0</v>
      </c>
      <c r="AW52" s="155">
        <f ca="1">IF(ISNUMBER(MATCH(DATEVALUE($A52),'recurring1_based on steps'!AW$1:AW$400,0)),AW$2,)</f>
        <v>0</v>
      </c>
      <c r="AX52" s="155">
        <f ca="1">IF(ISNUMBER(MATCH(DATEVALUE($A52),'recurring1_based on steps'!AX$1:AX$400,0)),AX$2,)</f>
        <v>0</v>
      </c>
      <c r="AY52" s="155">
        <f ca="1">IF(ISNUMBER(MATCH(DATEVALUE($A52),'recurring1_based on steps'!AY$1:AY$400,0)),AY$2,)</f>
        <v>0</v>
      </c>
    </row>
    <row r="53" spans="1:51" x14ac:dyDescent="0.2">
      <c r="A53" s="18" t="str">
        <f t="shared" ca="1" si="0"/>
        <v>2025-03-23</v>
      </c>
      <c r="B53" s="155">
        <f ca="1">IF(ISNUMBER(MATCH(DATEVALUE($A53),'recurring1_based on steps'!B$1:B$400,0)),B$2,)</f>
        <v>0</v>
      </c>
      <c r="C53" s="155">
        <f ca="1">IF(ISNUMBER(MATCH(DATEVALUE($A53),'recurring1_based on steps'!C$1:C$400,0)),C$2,)</f>
        <v>0</v>
      </c>
      <c r="D53" s="155">
        <f ca="1">IF(ISNUMBER(MATCH(DATEVALUE($A53),'recurring1_based on steps'!D$1:D$400,0)),D$2,)</f>
        <v>0</v>
      </c>
      <c r="E53" s="155">
        <f ca="1">IF(ISNUMBER(MATCH(DATEVALUE($A53),'recurring1_based on steps'!E$1:E$400,0)),E$2,)</f>
        <v>0</v>
      </c>
      <c r="F53" s="155">
        <f ca="1">IF(ISNUMBER(MATCH(DATEVALUE($A53),'recurring1_based on steps'!F$1:F$400,0)),F$2,)</f>
        <v>0</v>
      </c>
      <c r="G53" s="155">
        <f ca="1">IF(ISNUMBER(MATCH(DATEVALUE($A53),'recurring1_based on steps'!G$1:G$400,0)),G$2,)</f>
        <v>0</v>
      </c>
      <c r="H53" s="155">
        <f ca="1">IF(ISNUMBER(MATCH(DATEVALUE($A53),'recurring1_based on steps'!H$1:H$400,0)),H$2,)</f>
        <v>0</v>
      </c>
      <c r="I53" s="155">
        <f ca="1">IF(ISNUMBER(MATCH(DATEVALUE($A53),'recurring1_based on steps'!I$1:I$400,0)),I$2,)</f>
        <v>0</v>
      </c>
      <c r="J53" s="155">
        <f ca="1">IF(ISNUMBER(MATCH(DATEVALUE($A53),'recurring1_based on steps'!J$1:J$400,0)),J$2,)</f>
        <v>0</v>
      </c>
      <c r="K53" s="155">
        <f ca="1">IF(ISNUMBER(MATCH(DATEVALUE($A53),'recurring1_based on steps'!K$1:K$400,0)),K$2,)</f>
        <v>50</v>
      </c>
      <c r="L53" s="155">
        <f ca="1">IF(ISNUMBER(MATCH(DATEVALUE($A53),'recurring1_based on steps'!L$1:L$400,0)),L$2,)</f>
        <v>0</v>
      </c>
      <c r="M53" s="155">
        <f ca="1">IF(ISNUMBER(MATCH(DATEVALUE($A53),'recurring1_based on steps'!M$1:M$400,0)),M$2,)</f>
        <v>0</v>
      </c>
      <c r="N53" s="155">
        <f ca="1">IF(ISNUMBER(MATCH(DATEVALUE($A53),'recurring1_based on steps'!N$1:N$400,0)),N$2,)</f>
        <v>0</v>
      </c>
      <c r="O53" s="155">
        <f ca="1">IF(ISNUMBER(MATCH(DATEVALUE($A53),'recurring1_based on steps'!O$1:O$400,0)),O$2,)</f>
        <v>0</v>
      </c>
      <c r="P53" s="155">
        <f ca="1">IF(ISNUMBER(MATCH(DATEVALUE($A53),'recurring1_based on steps'!P$1:P$400,0)),P$2,)</f>
        <v>0</v>
      </c>
      <c r="Q53" s="155">
        <f ca="1">IF(ISNUMBER(MATCH(DATEVALUE($A53),'recurring1_based on steps'!Q$1:Q$400,0)),Q$2,)</f>
        <v>0</v>
      </c>
      <c r="R53" s="155">
        <f ca="1">IF(ISNUMBER(MATCH(DATEVALUE($A53),'recurring1_based on steps'!R$1:R$400,0)),R$2,)</f>
        <v>0</v>
      </c>
      <c r="S53" s="155">
        <f ca="1">IF(ISNUMBER(MATCH(DATEVALUE($A53),'recurring1_based on steps'!S$1:S$400,0)),S$2,)</f>
        <v>100</v>
      </c>
      <c r="T53" s="155">
        <f ca="1">IF(ISNUMBER(MATCH(DATEVALUE($A53),'recurring1_based on steps'!T$1:T$400,0)),T$2,)</f>
        <v>0</v>
      </c>
      <c r="U53" s="155">
        <f ca="1">IF(ISNUMBER(MATCH(DATEVALUE($A53),'recurring1_based on steps'!U$1:U$400,0)),U$2,)</f>
        <v>0</v>
      </c>
      <c r="V53" s="155">
        <f ca="1">IF(ISNUMBER(MATCH(DATEVALUE($A53),'recurring1_based on steps'!V$1:V$400,0)),V$2,)</f>
        <v>0</v>
      </c>
      <c r="W53" s="155">
        <f ca="1">IF(ISNUMBER(MATCH(DATEVALUE($A53),'recurring1_based on steps'!W$1:W$400,0)),W$2,)</f>
        <v>0</v>
      </c>
      <c r="X53" s="155">
        <f ca="1">IF(ISNUMBER(MATCH(DATEVALUE($A53),'recurring1_based on steps'!X$1:X$400,0)),X$2,)</f>
        <v>0</v>
      </c>
      <c r="Y53" s="155">
        <f ca="1">IF(ISNUMBER(MATCH(DATEVALUE($A53),'recurring1_based on steps'!Y$1:Y$400,0)),Y$2,)</f>
        <v>0</v>
      </c>
      <c r="Z53" s="155">
        <f ca="1">IF(ISNUMBER(MATCH(DATEVALUE($A53),'recurring1_based on steps'!Z$1:Z$400,0)),Z$2,)</f>
        <v>0</v>
      </c>
      <c r="AA53" s="155">
        <f ca="1">IF(ISNUMBER(MATCH(DATEVALUE($A53),'recurring1_based on steps'!AA$1:AA$400,0)),AA$2,)</f>
        <v>0</v>
      </c>
      <c r="AB53" s="155">
        <f ca="1">IF(ISNUMBER(MATCH(DATEVALUE($A53),'recurring1_based on steps'!AB$1:AB$400,0)),AB$2,)</f>
        <v>0</v>
      </c>
      <c r="AC53" s="155">
        <f ca="1">IF(ISNUMBER(MATCH(DATEVALUE($A53),'recurring1_based on steps'!AC$1:AC$400,0)),AC$2,)</f>
        <v>0</v>
      </c>
      <c r="AD53" s="155">
        <f ca="1">IF(ISNUMBER(MATCH(DATEVALUE($A53),'recurring1_based on steps'!AD$1:AD$400,0)),AD$2,)</f>
        <v>0</v>
      </c>
      <c r="AE53" s="155">
        <f ca="1">IF(ISNUMBER(MATCH(DATEVALUE($A53),'recurring1_based on steps'!AE$1:AE$400,0)),AE$2,)</f>
        <v>0</v>
      </c>
      <c r="AF53" s="155">
        <f ca="1">IF(ISNUMBER(MATCH(DATEVALUE($A53),'recurring1_based on steps'!AF$1:AF$400,0)),AF$2,)</f>
        <v>0</v>
      </c>
      <c r="AG53" s="155">
        <f ca="1">IF(ISNUMBER(MATCH(DATEVALUE($A53),'recurring1_based on steps'!AG$1:AG$400,0)),AG$2,)</f>
        <v>0</v>
      </c>
      <c r="AH53" s="155">
        <f ca="1">IF(ISNUMBER(MATCH(DATEVALUE($A53),'recurring1_based on steps'!AH$1:AH$400,0)),AH$2,)</f>
        <v>0</v>
      </c>
      <c r="AI53" s="155">
        <f ca="1">IF(ISNUMBER(MATCH(DATEVALUE($A53),'recurring1_based on steps'!AI$1:AI$400,0)),AI$2,)</f>
        <v>0</v>
      </c>
      <c r="AJ53" s="155">
        <f ca="1">IF(ISNUMBER(MATCH(DATEVALUE($A53),'recurring1_based on steps'!AJ$1:AJ$400,0)),AJ$2,)</f>
        <v>0</v>
      </c>
      <c r="AK53" s="155">
        <f ca="1">IF(ISNUMBER(MATCH(DATEVALUE($A53),'recurring1_based on steps'!AK$1:AK$400,0)),AK$2,)</f>
        <v>0</v>
      </c>
      <c r="AL53" s="155">
        <f ca="1">IF(ISNUMBER(MATCH(DATEVALUE($A53),'recurring1_based on steps'!AL$1:AL$400,0)),AL$2,)</f>
        <v>0</v>
      </c>
      <c r="AM53" s="155">
        <f ca="1">IF(ISNUMBER(MATCH(DATEVALUE($A53),'recurring1_based on steps'!AM$1:AM$400,0)),AM$2,)</f>
        <v>0</v>
      </c>
      <c r="AN53" s="155">
        <f ca="1">IF(ISNUMBER(MATCH(DATEVALUE($A53),'recurring1_based on steps'!AN$1:AN$400,0)),AN$2,)</f>
        <v>0</v>
      </c>
      <c r="AO53" s="155">
        <f ca="1">IF(ISNUMBER(MATCH(DATEVALUE($A53),'recurring1_based on steps'!AO$1:AO$400,0)),AO$2,)</f>
        <v>0</v>
      </c>
      <c r="AP53" s="155">
        <f ca="1">IF(ISNUMBER(MATCH(DATEVALUE($A53),'recurring1_based on steps'!AP$1:AP$400,0)),AP$2,)</f>
        <v>0</v>
      </c>
      <c r="AQ53" s="155">
        <f ca="1">IF(ISNUMBER(MATCH(DATEVALUE($A53),'recurring1_based on steps'!AQ$1:AQ$400,0)),AQ$2,)</f>
        <v>0</v>
      </c>
      <c r="AR53" s="155">
        <f ca="1">IF(ISNUMBER(MATCH(DATEVALUE($A53),'recurring1_based on steps'!AR$1:AR$400,0)),AR$2,)</f>
        <v>0</v>
      </c>
      <c r="AS53" s="155">
        <f ca="1">IF(ISNUMBER(MATCH(DATEVALUE($A53),'recurring1_based on steps'!AS$1:AS$400,0)),AS$2,)</f>
        <v>0</v>
      </c>
      <c r="AT53" s="155">
        <f ca="1">IF(ISNUMBER(MATCH(DATEVALUE($A53),'recurring1_based on steps'!AT$1:AT$400,0)),AT$2,)</f>
        <v>0</v>
      </c>
      <c r="AU53" s="155">
        <f ca="1">IF(ISNUMBER(MATCH(DATEVALUE($A53),'recurring1_based on steps'!AU$1:AU$400,0)),AU$2,)</f>
        <v>0</v>
      </c>
      <c r="AV53" s="155">
        <f ca="1">IF(ISNUMBER(MATCH(DATEVALUE($A53),'recurring1_based on steps'!AV$1:AV$400,0)),AV$2,)</f>
        <v>0</v>
      </c>
      <c r="AW53" s="155">
        <f ca="1">IF(ISNUMBER(MATCH(DATEVALUE($A53),'recurring1_based on steps'!AW$1:AW$400,0)),AW$2,)</f>
        <v>0</v>
      </c>
      <c r="AX53" s="155">
        <f ca="1">IF(ISNUMBER(MATCH(DATEVALUE($A53),'recurring1_based on steps'!AX$1:AX$400,0)),AX$2,)</f>
        <v>0</v>
      </c>
      <c r="AY53" s="155">
        <f ca="1">IF(ISNUMBER(MATCH(DATEVALUE($A53),'recurring1_based on steps'!AY$1:AY$400,0)),AY$2,)</f>
        <v>0</v>
      </c>
    </row>
    <row r="54" spans="1:51" x14ac:dyDescent="0.2">
      <c r="A54" s="18" t="str">
        <f t="shared" ca="1" si="0"/>
        <v>2025-03-24</v>
      </c>
      <c r="B54" s="155">
        <f ca="1">IF(ISNUMBER(MATCH(DATEVALUE($A54),'recurring1_based on steps'!B$1:B$400,0)),B$2,)</f>
        <v>0</v>
      </c>
      <c r="C54" s="155">
        <f ca="1">IF(ISNUMBER(MATCH(DATEVALUE($A54),'recurring1_based on steps'!C$1:C$400,0)),C$2,)</f>
        <v>0</v>
      </c>
      <c r="D54" s="155">
        <f ca="1">IF(ISNUMBER(MATCH(DATEVALUE($A54),'recurring1_based on steps'!D$1:D$400,0)),D$2,)</f>
        <v>0</v>
      </c>
      <c r="E54" s="155">
        <f ca="1">IF(ISNUMBER(MATCH(DATEVALUE($A54),'recurring1_based on steps'!E$1:E$400,0)),E$2,)</f>
        <v>0</v>
      </c>
      <c r="F54" s="155">
        <f ca="1">IF(ISNUMBER(MATCH(DATEVALUE($A54),'recurring1_based on steps'!F$1:F$400,0)),F$2,)</f>
        <v>0</v>
      </c>
      <c r="G54" s="155">
        <f ca="1">IF(ISNUMBER(MATCH(DATEVALUE($A54),'recurring1_based on steps'!G$1:G$400,0)),G$2,)</f>
        <v>0</v>
      </c>
      <c r="H54" s="155">
        <f ca="1">IF(ISNUMBER(MATCH(DATEVALUE($A54),'recurring1_based on steps'!H$1:H$400,0)),H$2,)</f>
        <v>0</v>
      </c>
      <c r="I54" s="155">
        <f ca="1">IF(ISNUMBER(MATCH(DATEVALUE($A54),'recurring1_based on steps'!I$1:I$400,0)),I$2,)</f>
        <v>0</v>
      </c>
      <c r="J54" s="155">
        <f ca="1">IF(ISNUMBER(MATCH(DATEVALUE($A54),'recurring1_based on steps'!J$1:J$400,0)),J$2,)</f>
        <v>0</v>
      </c>
      <c r="K54" s="155">
        <f ca="1">IF(ISNUMBER(MATCH(DATEVALUE($A54),'recurring1_based on steps'!K$1:K$400,0)),K$2,)</f>
        <v>0</v>
      </c>
      <c r="L54" s="155">
        <f ca="1">IF(ISNUMBER(MATCH(DATEVALUE($A54),'recurring1_based on steps'!L$1:L$400,0)),L$2,)</f>
        <v>0</v>
      </c>
      <c r="M54" s="155">
        <f ca="1">IF(ISNUMBER(MATCH(DATEVALUE($A54),'recurring1_based on steps'!M$1:M$400,0)),M$2,)</f>
        <v>0</v>
      </c>
      <c r="N54" s="155">
        <f ca="1">IF(ISNUMBER(MATCH(DATEVALUE($A54),'recurring1_based on steps'!N$1:N$400,0)),N$2,)</f>
        <v>0</v>
      </c>
      <c r="O54" s="155">
        <f ca="1">IF(ISNUMBER(MATCH(DATEVALUE($A54),'recurring1_based on steps'!O$1:O$400,0)),O$2,)</f>
        <v>0</v>
      </c>
      <c r="P54" s="155">
        <f ca="1">IF(ISNUMBER(MATCH(DATEVALUE($A54),'recurring1_based on steps'!P$1:P$400,0)),P$2,)</f>
        <v>0</v>
      </c>
      <c r="Q54" s="155">
        <f ca="1">IF(ISNUMBER(MATCH(DATEVALUE($A54),'recurring1_based on steps'!Q$1:Q$400,0)),Q$2,)</f>
        <v>0</v>
      </c>
      <c r="R54" s="155">
        <f ca="1">IF(ISNUMBER(MATCH(DATEVALUE($A54),'recurring1_based on steps'!R$1:R$400,0)),R$2,)</f>
        <v>0</v>
      </c>
      <c r="S54" s="155">
        <f ca="1">IF(ISNUMBER(MATCH(DATEVALUE($A54),'recurring1_based on steps'!S$1:S$400,0)),S$2,)</f>
        <v>0</v>
      </c>
      <c r="T54" s="155">
        <f ca="1">IF(ISNUMBER(MATCH(DATEVALUE($A54),'recurring1_based on steps'!T$1:T$400,0)),T$2,)</f>
        <v>0</v>
      </c>
      <c r="U54" s="155">
        <f ca="1">IF(ISNUMBER(MATCH(DATEVALUE($A54),'recurring1_based on steps'!U$1:U$400,0)),U$2,)</f>
        <v>0</v>
      </c>
      <c r="V54" s="155">
        <f ca="1">IF(ISNUMBER(MATCH(DATEVALUE($A54),'recurring1_based on steps'!V$1:V$400,0)),V$2,)</f>
        <v>0</v>
      </c>
      <c r="W54" s="155">
        <f ca="1">IF(ISNUMBER(MATCH(DATEVALUE($A54),'recurring1_based on steps'!W$1:W$400,0)),W$2,)</f>
        <v>0</v>
      </c>
      <c r="X54" s="155">
        <f ca="1">IF(ISNUMBER(MATCH(DATEVALUE($A54),'recurring1_based on steps'!X$1:X$400,0)),X$2,)</f>
        <v>0</v>
      </c>
      <c r="Y54" s="155">
        <f ca="1">IF(ISNUMBER(MATCH(DATEVALUE($A54),'recurring1_based on steps'!Y$1:Y$400,0)),Y$2,)</f>
        <v>0</v>
      </c>
      <c r="Z54" s="155">
        <f ca="1">IF(ISNUMBER(MATCH(DATEVALUE($A54),'recurring1_based on steps'!Z$1:Z$400,0)),Z$2,)</f>
        <v>0</v>
      </c>
      <c r="AA54" s="155">
        <f ca="1">IF(ISNUMBER(MATCH(DATEVALUE($A54),'recurring1_based on steps'!AA$1:AA$400,0)),AA$2,)</f>
        <v>0</v>
      </c>
      <c r="AB54" s="155">
        <f ca="1">IF(ISNUMBER(MATCH(DATEVALUE($A54),'recurring1_based on steps'!AB$1:AB$400,0)),AB$2,)</f>
        <v>0</v>
      </c>
      <c r="AC54" s="155">
        <f ca="1">IF(ISNUMBER(MATCH(DATEVALUE($A54),'recurring1_based on steps'!AC$1:AC$400,0)),AC$2,)</f>
        <v>0</v>
      </c>
      <c r="AD54" s="155">
        <f ca="1">IF(ISNUMBER(MATCH(DATEVALUE($A54),'recurring1_based on steps'!AD$1:AD$400,0)),AD$2,)</f>
        <v>0</v>
      </c>
      <c r="AE54" s="155">
        <f ca="1">IF(ISNUMBER(MATCH(DATEVALUE($A54),'recurring1_based on steps'!AE$1:AE$400,0)),AE$2,)</f>
        <v>0</v>
      </c>
      <c r="AF54" s="155">
        <f ca="1">IF(ISNUMBER(MATCH(DATEVALUE($A54),'recurring1_based on steps'!AF$1:AF$400,0)),AF$2,)</f>
        <v>0</v>
      </c>
      <c r="AG54" s="155">
        <f ca="1">IF(ISNUMBER(MATCH(DATEVALUE($A54),'recurring1_based on steps'!AG$1:AG$400,0)),AG$2,)</f>
        <v>0</v>
      </c>
      <c r="AH54" s="155">
        <f ca="1">IF(ISNUMBER(MATCH(DATEVALUE($A54),'recurring1_based on steps'!AH$1:AH$400,0)),AH$2,)</f>
        <v>0</v>
      </c>
      <c r="AI54" s="155">
        <f ca="1">IF(ISNUMBER(MATCH(DATEVALUE($A54),'recurring1_based on steps'!AI$1:AI$400,0)),AI$2,)</f>
        <v>0</v>
      </c>
      <c r="AJ54" s="155">
        <f ca="1">IF(ISNUMBER(MATCH(DATEVALUE($A54),'recurring1_based on steps'!AJ$1:AJ$400,0)),AJ$2,)</f>
        <v>0</v>
      </c>
      <c r="AK54" s="155">
        <f ca="1">IF(ISNUMBER(MATCH(DATEVALUE($A54),'recurring1_based on steps'!AK$1:AK$400,0)),AK$2,)</f>
        <v>0</v>
      </c>
      <c r="AL54" s="155">
        <f ca="1">IF(ISNUMBER(MATCH(DATEVALUE($A54),'recurring1_based on steps'!AL$1:AL$400,0)),AL$2,)</f>
        <v>0</v>
      </c>
      <c r="AM54" s="155">
        <f ca="1">IF(ISNUMBER(MATCH(DATEVALUE($A54),'recurring1_based on steps'!AM$1:AM$400,0)),AM$2,)</f>
        <v>0</v>
      </c>
      <c r="AN54" s="155">
        <f ca="1">IF(ISNUMBER(MATCH(DATEVALUE($A54),'recurring1_based on steps'!AN$1:AN$400,0)),AN$2,)</f>
        <v>0</v>
      </c>
      <c r="AO54" s="155">
        <f ca="1">IF(ISNUMBER(MATCH(DATEVALUE($A54),'recurring1_based on steps'!AO$1:AO$400,0)),AO$2,)</f>
        <v>0</v>
      </c>
      <c r="AP54" s="155">
        <f ca="1">IF(ISNUMBER(MATCH(DATEVALUE($A54),'recurring1_based on steps'!AP$1:AP$400,0)),AP$2,)</f>
        <v>0</v>
      </c>
      <c r="AQ54" s="155">
        <f ca="1">IF(ISNUMBER(MATCH(DATEVALUE($A54),'recurring1_based on steps'!AQ$1:AQ$400,0)),AQ$2,)</f>
        <v>0</v>
      </c>
      <c r="AR54" s="155">
        <f ca="1">IF(ISNUMBER(MATCH(DATEVALUE($A54),'recurring1_based on steps'!AR$1:AR$400,0)),AR$2,)</f>
        <v>0</v>
      </c>
      <c r="AS54" s="155">
        <f ca="1">IF(ISNUMBER(MATCH(DATEVALUE($A54),'recurring1_based on steps'!AS$1:AS$400,0)),AS$2,)</f>
        <v>0</v>
      </c>
      <c r="AT54" s="155">
        <f ca="1">IF(ISNUMBER(MATCH(DATEVALUE($A54),'recurring1_based on steps'!AT$1:AT$400,0)),AT$2,)</f>
        <v>0</v>
      </c>
      <c r="AU54" s="155">
        <f ca="1">IF(ISNUMBER(MATCH(DATEVALUE($A54),'recurring1_based on steps'!AU$1:AU$400,0)),AU$2,)</f>
        <v>0</v>
      </c>
      <c r="AV54" s="155">
        <f ca="1">IF(ISNUMBER(MATCH(DATEVALUE($A54),'recurring1_based on steps'!AV$1:AV$400,0)),AV$2,)</f>
        <v>0</v>
      </c>
      <c r="AW54" s="155">
        <f ca="1">IF(ISNUMBER(MATCH(DATEVALUE($A54),'recurring1_based on steps'!AW$1:AW$400,0)),AW$2,)</f>
        <v>0</v>
      </c>
      <c r="AX54" s="155">
        <f ca="1">IF(ISNUMBER(MATCH(DATEVALUE($A54),'recurring1_based on steps'!AX$1:AX$400,0)),AX$2,)</f>
        <v>0</v>
      </c>
      <c r="AY54" s="155">
        <f ca="1">IF(ISNUMBER(MATCH(DATEVALUE($A54),'recurring1_based on steps'!AY$1:AY$400,0)),AY$2,)</f>
        <v>0</v>
      </c>
    </row>
    <row r="55" spans="1:51" x14ac:dyDescent="0.2">
      <c r="A55" s="18" t="str">
        <f t="shared" ca="1" si="0"/>
        <v>2025-03-25</v>
      </c>
      <c r="B55" s="155">
        <f ca="1">IF(ISNUMBER(MATCH(DATEVALUE($A55),'recurring1_based on steps'!B$1:B$400,0)),B$2,)</f>
        <v>0</v>
      </c>
      <c r="C55" s="155">
        <f ca="1">IF(ISNUMBER(MATCH(DATEVALUE($A55),'recurring1_based on steps'!C$1:C$400,0)),C$2,)</f>
        <v>0</v>
      </c>
      <c r="D55" s="155">
        <f ca="1">IF(ISNUMBER(MATCH(DATEVALUE($A55),'recurring1_based on steps'!D$1:D$400,0)),D$2,)</f>
        <v>0</v>
      </c>
      <c r="E55" s="155">
        <f ca="1">IF(ISNUMBER(MATCH(DATEVALUE($A55),'recurring1_based on steps'!E$1:E$400,0)),E$2,)</f>
        <v>0</v>
      </c>
      <c r="F55" s="155">
        <f ca="1">IF(ISNUMBER(MATCH(DATEVALUE($A55),'recurring1_based on steps'!F$1:F$400,0)),F$2,)</f>
        <v>0</v>
      </c>
      <c r="G55" s="155">
        <f ca="1">IF(ISNUMBER(MATCH(DATEVALUE($A55),'recurring1_based on steps'!G$1:G$400,0)),G$2,)</f>
        <v>0</v>
      </c>
      <c r="H55" s="155">
        <f ca="1">IF(ISNUMBER(MATCH(DATEVALUE($A55),'recurring1_based on steps'!H$1:H$400,0)),H$2,)</f>
        <v>0</v>
      </c>
      <c r="I55" s="155">
        <f ca="1">IF(ISNUMBER(MATCH(DATEVALUE($A55),'recurring1_based on steps'!I$1:I$400,0)),I$2,)</f>
        <v>0</v>
      </c>
      <c r="J55" s="155">
        <f ca="1">IF(ISNUMBER(MATCH(DATEVALUE($A55),'recurring1_based on steps'!J$1:J$400,0)),J$2,)</f>
        <v>0</v>
      </c>
      <c r="K55" s="155">
        <f ca="1">IF(ISNUMBER(MATCH(DATEVALUE($A55),'recurring1_based on steps'!K$1:K$400,0)),K$2,)</f>
        <v>0</v>
      </c>
      <c r="L55" s="155">
        <f ca="1">IF(ISNUMBER(MATCH(DATEVALUE($A55),'recurring1_based on steps'!L$1:L$400,0)),L$2,)</f>
        <v>0</v>
      </c>
      <c r="M55" s="155">
        <f ca="1">IF(ISNUMBER(MATCH(DATEVALUE($A55),'recurring1_based on steps'!M$1:M$400,0)),M$2,)</f>
        <v>0</v>
      </c>
      <c r="N55" s="155">
        <f ca="1">IF(ISNUMBER(MATCH(DATEVALUE($A55),'recurring1_based on steps'!N$1:N$400,0)),N$2,)</f>
        <v>0</v>
      </c>
      <c r="O55" s="155">
        <f ca="1">IF(ISNUMBER(MATCH(DATEVALUE($A55),'recurring1_based on steps'!O$1:O$400,0)),O$2,)</f>
        <v>0</v>
      </c>
      <c r="P55" s="155">
        <f ca="1">IF(ISNUMBER(MATCH(DATEVALUE($A55),'recurring1_based on steps'!P$1:P$400,0)),P$2,)</f>
        <v>0</v>
      </c>
      <c r="Q55" s="155">
        <f ca="1">IF(ISNUMBER(MATCH(DATEVALUE($A55),'recurring1_based on steps'!Q$1:Q$400,0)),Q$2,)</f>
        <v>0</v>
      </c>
      <c r="R55" s="155">
        <f ca="1">IF(ISNUMBER(MATCH(DATEVALUE($A55),'recurring1_based on steps'!R$1:R$400,0)),R$2,)</f>
        <v>0</v>
      </c>
      <c r="S55" s="155">
        <f ca="1">IF(ISNUMBER(MATCH(DATEVALUE($A55),'recurring1_based on steps'!S$1:S$400,0)),S$2,)</f>
        <v>0</v>
      </c>
      <c r="T55" s="155">
        <f ca="1">IF(ISNUMBER(MATCH(DATEVALUE($A55),'recurring1_based on steps'!T$1:T$400,0)),T$2,)</f>
        <v>0</v>
      </c>
      <c r="U55" s="155">
        <f ca="1">IF(ISNUMBER(MATCH(DATEVALUE($A55),'recurring1_based on steps'!U$1:U$400,0)),U$2,)</f>
        <v>0</v>
      </c>
      <c r="V55" s="155">
        <f ca="1">IF(ISNUMBER(MATCH(DATEVALUE($A55),'recurring1_based on steps'!V$1:V$400,0)),V$2,)</f>
        <v>0</v>
      </c>
      <c r="W55" s="155">
        <f ca="1">IF(ISNUMBER(MATCH(DATEVALUE($A55),'recurring1_based on steps'!W$1:W$400,0)),W$2,)</f>
        <v>0</v>
      </c>
      <c r="X55" s="155">
        <f ca="1">IF(ISNUMBER(MATCH(DATEVALUE($A55),'recurring1_based on steps'!X$1:X$400,0)),X$2,)</f>
        <v>0</v>
      </c>
      <c r="Y55" s="155">
        <f ca="1">IF(ISNUMBER(MATCH(DATEVALUE($A55),'recurring1_based on steps'!Y$1:Y$400,0)),Y$2,)</f>
        <v>0</v>
      </c>
      <c r="Z55" s="155">
        <f ca="1">IF(ISNUMBER(MATCH(DATEVALUE($A55),'recurring1_based on steps'!Z$1:Z$400,0)),Z$2,)</f>
        <v>0</v>
      </c>
      <c r="AA55" s="155">
        <f ca="1">IF(ISNUMBER(MATCH(DATEVALUE($A55),'recurring1_based on steps'!AA$1:AA$400,0)),AA$2,)</f>
        <v>0</v>
      </c>
      <c r="AB55" s="155">
        <f ca="1">IF(ISNUMBER(MATCH(DATEVALUE($A55),'recurring1_based on steps'!AB$1:AB$400,0)),AB$2,)</f>
        <v>0</v>
      </c>
      <c r="AC55" s="155">
        <f ca="1">IF(ISNUMBER(MATCH(DATEVALUE($A55),'recurring1_based on steps'!AC$1:AC$400,0)),AC$2,)</f>
        <v>0</v>
      </c>
      <c r="AD55" s="155">
        <f ca="1">IF(ISNUMBER(MATCH(DATEVALUE($A55),'recurring1_based on steps'!AD$1:AD$400,0)),AD$2,)</f>
        <v>0</v>
      </c>
      <c r="AE55" s="155">
        <f ca="1">IF(ISNUMBER(MATCH(DATEVALUE($A55),'recurring1_based on steps'!AE$1:AE$400,0)),AE$2,)</f>
        <v>0</v>
      </c>
      <c r="AF55" s="155">
        <f ca="1">IF(ISNUMBER(MATCH(DATEVALUE($A55),'recurring1_based on steps'!AF$1:AF$400,0)),AF$2,)</f>
        <v>0</v>
      </c>
      <c r="AG55" s="155">
        <f ca="1">IF(ISNUMBER(MATCH(DATEVALUE($A55),'recurring1_based on steps'!AG$1:AG$400,0)),AG$2,)</f>
        <v>0</v>
      </c>
      <c r="AH55" s="155">
        <f ca="1">IF(ISNUMBER(MATCH(DATEVALUE($A55),'recurring1_based on steps'!AH$1:AH$400,0)),AH$2,)</f>
        <v>0</v>
      </c>
      <c r="AI55" s="155">
        <f ca="1">IF(ISNUMBER(MATCH(DATEVALUE($A55),'recurring1_based on steps'!AI$1:AI$400,0)),AI$2,)</f>
        <v>0</v>
      </c>
      <c r="AJ55" s="155">
        <f ca="1">IF(ISNUMBER(MATCH(DATEVALUE($A55),'recurring1_based on steps'!AJ$1:AJ$400,0)),AJ$2,)</f>
        <v>0</v>
      </c>
      <c r="AK55" s="155">
        <f ca="1">IF(ISNUMBER(MATCH(DATEVALUE($A55),'recurring1_based on steps'!AK$1:AK$400,0)),AK$2,)</f>
        <v>0</v>
      </c>
      <c r="AL55" s="155">
        <f ca="1">IF(ISNUMBER(MATCH(DATEVALUE($A55),'recurring1_based on steps'!AL$1:AL$400,0)),AL$2,)</f>
        <v>0</v>
      </c>
      <c r="AM55" s="155">
        <f ca="1">IF(ISNUMBER(MATCH(DATEVALUE($A55),'recurring1_based on steps'!AM$1:AM$400,0)),AM$2,)</f>
        <v>0</v>
      </c>
      <c r="AN55" s="155">
        <f ca="1">IF(ISNUMBER(MATCH(DATEVALUE($A55),'recurring1_based on steps'!AN$1:AN$400,0)),AN$2,)</f>
        <v>0</v>
      </c>
      <c r="AO55" s="155">
        <f ca="1">IF(ISNUMBER(MATCH(DATEVALUE($A55),'recurring1_based on steps'!AO$1:AO$400,0)),AO$2,)</f>
        <v>0</v>
      </c>
      <c r="AP55" s="155">
        <f ca="1">IF(ISNUMBER(MATCH(DATEVALUE($A55),'recurring1_based on steps'!AP$1:AP$400,0)),AP$2,)</f>
        <v>0</v>
      </c>
      <c r="AQ55" s="155">
        <f ca="1">IF(ISNUMBER(MATCH(DATEVALUE($A55),'recurring1_based on steps'!AQ$1:AQ$400,0)),AQ$2,)</f>
        <v>0</v>
      </c>
      <c r="AR55" s="155">
        <f ca="1">IF(ISNUMBER(MATCH(DATEVALUE($A55),'recurring1_based on steps'!AR$1:AR$400,0)),AR$2,)</f>
        <v>0</v>
      </c>
      <c r="AS55" s="155">
        <f ca="1">IF(ISNUMBER(MATCH(DATEVALUE($A55),'recurring1_based on steps'!AS$1:AS$400,0)),AS$2,)</f>
        <v>0</v>
      </c>
      <c r="AT55" s="155">
        <f ca="1">IF(ISNUMBER(MATCH(DATEVALUE($A55),'recurring1_based on steps'!AT$1:AT$400,0)),AT$2,)</f>
        <v>0</v>
      </c>
      <c r="AU55" s="155">
        <f ca="1">IF(ISNUMBER(MATCH(DATEVALUE($A55),'recurring1_based on steps'!AU$1:AU$400,0)),AU$2,)</f>
        <v>0</v>
      </c>
      <c r="AV55" s="155">
        <f ca="1">IF(ISNUMBER(MATCH(DATEVALUE($A55),'recurring1_based on steps'!AV$1:AV$400,0)),AV$2,)</f>
        <v>0</v>
      </c>
      <c r="AW55" s="155">
        <f ca="1">IF(ISNUMBER(MATCH(DATEVALUE($A55),'recurring1_based on steps'!AW$1:AW$400,0)),AW$2,)</f>
        <v>0</v>
      </c>
      <c r="AX55" s="155">
        <f ca="1">IF(ISNUMBER(MATCH(DATEVALUE($A55),'recurring1_based on steps'!AX$1:AX$400,0)),AX$2,)</f>
        <v>0</v>
      </c>
      <c r="AY55" s="155">
        <f ca="1">IF(ISNUMBER(MATCH(DATEVALUE($A55),'recurring1_based on steps'!AY$1:AY$400,0)),AY$2,)</f>
        <v>0</v>
      </c>
    </row>
    <row r="56" spans="1:51" x14ac:dyDescent="0.2">
      <c r="A56" s="18" t="str">
        <f t="shared" ca="1" si="0"/>
        <v>2025-03-26</v>
      </c>
      <c r="B56" s="155">
        <f ca="1">IF(ISNUMBER(MATCH(DATEVALUE($A56),'recurring1_based on steps'!B$1:B$400,0)),B$2,)</f>
        <v>0</v>
      </c>
      <c r="C56" s="155">
        <f ca="1">IF(ISNUMBER(MATCH(DATEVALUE($A56),'recurring1_based on steps'!C$1:C$400,0)),C$2,)</f>
        <v>0</v>
      </c>
      <c r="D56" s="155">
        <f ca="1">IF(ISNUMBER(MATCH(DATEVALUE($A56),'recurring1_based on steps'!D$1:D$400,0)),D$2,)</f>
        <v>0</v>
      </c>
      <c r="E56" s="155">
        <f ca="1">IF(ISNUMBER(MATCH(DATEVALUE($A56),'recurring1_based on steps'!E$1:E$400,0)),E$2,)</f>
        <v>0</v>
      </c>
      <c r="F56" s="155">
        <f ca="1">IF(ISNUMBER(MATCH(DATEVALUE($A56),'recurring1_based on steps'!F$1:F$400,0)),F$2,)</f>
        <v>0</v>
      </c>
      <c r="G56" s="155">
        <f ca="1">IF(ISNUMBER(MATCH(DATEVALUE($A56),'recurring1_based on steps'!G$1:G$400,0)),G$2,)</f>
        <v>0</v>
      </c>
      <c r="H56" s="155">
        <f ca="1">IF(ISNUMBER(MATCH(DATEVALUE($A56),'recurring1_based on steps'!H$1:H$400,0)),H$2,)</f>
        <v>0</v>
      </c>
      <c r="I56" s="155">
        <f ca="1">IF(ISNUMBER(MATCH(DATEVALUE($A56),'recurring1_based on steps'!I$1:I$400,0)),I$2,)</f>
        <v>0</v>
      </c>
      <c r="J56" s="155">
        <f ca="1">IF(ISNUMBER(MATCH(DATEVALUE($A56),'recurring1_based on steps'!J$1:J$400,0)),J$2,)</f>
        <v>0</v>
      </c>
      <c r="K56" s="155">
        <f ca="1">IF(ISNUMBER(MATCH(DATEVALUE($A56),'recurring1_based on steps'!K$1:K$400,0)),K$2,)</f>
        <v>0</v>
      </c>
      <c r="L56" s="155">
        <f ca="1">IF(ISNUMBER(MATCH(DATEVALUE($A56),'recurring1_based on steps'!L$1:L$400,0)),L$2,)</f>
        <v>0</v>
      </c>
      <c r="M56" s="155">
        <f ca="1">IF(ISNUMBER(MATCH(DATEVALUE($A56),'recurring1_based on steps'!M$1:M$400,0)),M$2,)</f>
        <v>0</v>
      </c>
      <c r="N56" s="155">
        <f ca="1">IF(ISNUMBER(MATCH(DATEVALUE($A56),'recurring1_based on steps'!N$1:N$400,0)),N$2,)</f>
        <v>0</v>
      </c>
      <c r="O56" s="155">
        <f ca="1">IF(ISNUMBER(MATCH(DATEVALUE($A56),'recurring1_based on steps'!O$1:O$400,0)),O$2,)</f>
        <v>0</v>
      </c>
      <c r="P56" s="155">
        <f ca="1">IF(ISNUMBER(MATCH(DATEVALUE($A56),'recurring1_based on steps'!P$1:P$400,0)),P$2,)</f>
        <v>0</v>
      </c>
      <c r="Q56" s="155">
        <f ca="1">IF(ISNUMBER(MATCH(DATEVALUE($A56),'recurring1_based on steps'!Q$1:Q$400,0)),Q$2,)</f>
        <v>0</v>
      </c>
      <c r="R56" s="155">
        <f ca="1">IF(ISNUMBER(MATCH(DATEVALUE($A56),'recurring1_based on steps'!R$1:R$400,0)),R$2,)</f>
        <v>0</v>
      </c>
      <c r="S56" s="155">
        <f ca="1">IF(ISNUMBER(MATCH(DATEVALUE($A56),'recurring1_based on steps'!S$1:S$400,0)),S$2,)</f>
        <v>0</v>
      </c>
      <c r="T56" s="155">
        <f ca="1">IF(ISNUMBER(MATCH(DATEVALUE($A56),'recurring1_based on steps'!T$1:T$400,0)),T$2,)</f>
        <v>0</v>
      </c>
      <c r="U56" s="155">
        <f ca="1">IF(ISNUMBER(MATCH(DATEVALUE($A56),'recurring1_based on steps'!U$1:U$400,0)),U$2,)</f>
        <v>0</v>
      </c>
      <c r="V56" s="155">
        <f ca="1">IF(ISNUMBER(MATCH(DATEVALUE($A56),'recurring1_based on steps'!V$1:V$400,0)),V$2,)</f>
        <v>0</v>
      </c>
      <c r="W56" s="155">
        <f ca="1">IF(ISNUMBER(MATCH(DATEVALUE($A56),'recurring1_based on steps'!W$1:W$400,0)),W$2,)</f>
        <v>0</v>
      </c>
      <c r="X56" s="155">
        <f ca="1">IF(ISNUMBER(MATCH(DATEVALUE($A56),'recurring1_based on steps'!X$1:X$400,0)),X$2,)</f>
        <v>0</v>
      </c>
      <c r="Y56" s="155">
        <f ca="1">IF(ISNUMBER(MATCH(DATEVALUE($A56),'recurring1_based on steps'!Y$1:Y$400,0)),Y$2,)</f>
        <v>0</v>
      </c>
      <c r="Z56" s="155">
        <f ca="1">IF(ISNUMBER(MATCH(DATEVALUE($A56),'recurring1_based on steps'!Z$1:Z$400,0)),Z$2,)</f>
        <v>0</v>
      </c>
      <c r="AA56" s="155">
        <f ca="1">IF(ISNUMBER(MATCH(DATEVALUE($A56),'recurring1_based on steps'!AA$1:AA$400,0)),AA$2,)</f>
        <v>0</v>
      </c>
      <c r="AB56" s="155">
        <f ca="1">IF(ISNUMBER(MATCH(DATEVALUE($A56),'recurring1_based on steps'!AB$1:AB$400,0)),AB$2,)</f>
        <v>0</v>
      </c>
      <c r="AC56" s="155">
        <f ca="1">IF(ISNUMBER(MATCH(DATEVALUE($A56),'recurring1_based on steps'!AC$1:AC$400,0)),AC$2,)</f>
        <v>0</v>
      </c>
      <c r="AD56" s="155">
        <f ca="1">IF(ISNUMBER(MATCH(DATEVALUE($A56),'recurring1_based on steps'!AD$1:AD$400,0)),AD$2,)</f>
        <v>0</v>
      </c>
      <c r="AE56" s="155">
        <f ca="1">IF(ISNUMBER(MATCH(DATEVALUE($A56),'recurring1_based on steps'!AE$1:AE$400,0)),AE$2,)</f>
        <v>0</v>
      </c>
      <c r="AF56" s="155">
        <f ca="1">IF(ISNUMBER(MATCH(DATEVALUE($A56),'recurring1_based on steps'!AF$1:AF$400,0)),AF$2,)</f>
        <v>0</v>
      </c>
      <c r="AG56" s="155">
        <f ca="1">IF(ISNUMBER(MATCH(DATEVALUE($A56),'recurring1_based on steps'!AG$1:AG$400,0)),AG$2,)</f>
        <v>0</v>
      </c>
      <c r="AH56" s="155">
        <f ca="1">IF(ISNUMBER(MATCH(DATEVALUE($A56),'recurring1_based on steps'!AH$1:AH$400,0)),AH$2,)</f>
        <v>0</v>
      </c>
      <c r="AI56" s="155">
        <f ca="1">IF(ISNUMBER(MATCH(DATEVALUE($A56),'recurring1_based on steps'!AI$1:AI$400,0)),AI$2,)</f>
        <v>0</v>
      </c>
      <c r="AJ56" s="155">
        <f ca="1">IF(ISNUMBER(MATCH(DATEVALUE($A56),'recurring1_based on steps'!AJ$1:AJ$400,0)),AJ$2,)</f>
        <v>0</v>
      </c>
      <c r="AK56" s="155">
        <f ca="1">IF(ISNUMBER(MATCH(DATEVALUE($A56),'recurring1_based on steps'!AK$1:AK$400,0)),AK$2,)</f>
        <v>0</v>
      </c>
      <c r="AL56" s="155">
        <f ca="1">IF(ISNUMBER(MATCH(DATEVALUE($A56),'recurring1_based on steps'!AL$1:AL$400,0)),AL$2,)</f>
        <v>0</v>
      </c>
      <c r="AM56" s="155">
        <f ca="1">IF(ISNUMBER(MATCH(DATEVALUE($A56),'recurring1_based on steps'!AM$1:AM$400,0)),AM$2,)</f>
        <v>0</v>
      </c>
      <c r="AN56" s="155">
        <f ca="1">IF(ISNUMBER(MATCH(DATEVALUE($A56),'recurring1_based on steps'!AN$1:AN$400,0)),AN$2,)</f>
        <v>0</v>
      </c>
      <c r="AO56" s="155">
        <f ca="1">IF(ISNUMBER(MATCH(DATEVALUE($A56),'recurring1_based on steps'!AO$1:AO$400,0)),AO$2,)</f>
        <v>0</v>
      </c>
      <c r="AP56" s="155">
        <f ca="1">IF(ISNUMBER(MATCH(DATEVALUE($A56),'recurring1_based on steps'!AP$1:AP$400,0)),AP$2,)</f>
        <v>0</v>
      </c>
      <c r="AQ56" s="155">
        <f ca="1">IF(ISNUMBER(MATCH(DATEVALUE($A56),'recurring1_based on steps'!AQ$1:AQ$400,0)),AQ$2,)</f>
        <v>0</v>
      </c>
      <c r="AR56" s="155">
        <f ca="1">IF(ISNUMBER(MATCH(DATEVALUE($A56),'recurring1_based on steps'!AR$1:AR$400,0)),AR$2,)</f>
        <v>0</v>
      </c>
      <c r="AS56" s="155">
        <f ca="1">IF(ISNUMBER(MATCH(DATEVALUE($A56),'recurring1_based on steps'!AS$1:AS$400,0)),AS$2,)</f>
        <v>0</v>
      </c>
      <c r="AT56" s="155">
        <f ca="1">IF(ISNUMBER(MATCH(DATEVALUE($A56),'recurring1_based on steps'!AT$1:AT$400,0)),AT$2,)</f>
        <v>0</v>
      </c>
      <c r="AU56" s="155">
        <f ca="1">IF(ISNUMBER(MATCH(DATEVALUE($A56),'recurring1_based on steps'!AU$1:AU$400,0)),AU$2,)</f>
        <v>0</v>
      </c>
      <c r="AV56" s="155">
        <f ca="1">IF(ISNUMBER(MATCH(DATEVALUE($A56),'recurring1_based on steps'!AV$1:AV$400,0)),AV$2,)</f>
        <v>0</v>
      </c>
      <c r="AW56" s="155">
        <f ca="1">IF(ISNUMBER(MATCH(DATEVALUE($A56),'recurring1_based on steps'!AW$1:AW$400,0)),AW$2,)</f>
        <v>0</v>
      </c>
      <c r="AX56" s="155">
        <f ca="1">IF(ISNUMBER(MATCH(DATEVALUE($A56),'recurring1_based on steps'!AX$1:AX$400,0)),AX$2,)</f>
        <v>0</v>
      </c>
      <c r="AY56" s="155">
        <f ca="1">IF(ISNUMBER(MATCH(DATEVALUE($A56),'recurring1_based on steps'!AY$1:AY$400,0)),AY$2,)</f>
        <v>0</v>
      </c>
    </row>
    <row r="57" spans="1:51" x14ac:dyDescent="0.2">
      <c r="A57" s="18" t="str">
        <f t="shared" ca="1" si="0"/>
        <v>2025-03-27</v>
      </c>
      <c r="B57" s="155">
        <f ca="1">IF(ISNUMBER(MATCH(DATEVALUE($A57),'recurring1_based on steps'!B$1:B$400,0)),B$2,)</f>
        <v>0</v>
      </c>
      <c r="C57" s="155">
        <f ca="1">IF(ISNUMBER(MATCH(DATEVALUE($A57),'recurring1_based on steps'!C$1:C$400,0)),C$2,)</f>
        <v>0</v>
      </c>
      <c r="D57" s="155">
        <f ca="1">IF(ISNUMBER(MATCH(DATEVALUE($A57),'recurring1_based on steps'!D$1:D$400,0)),D$2,)</f>
        <v>0</v>
      </c>
      <c r="E57" s="155">
        <f ca="1">IF(ISNUMBER(MATCH(DATEVALUE($A57),'recurring1_based on steps'!E$1:E$400,0)),E$2,)</f>
        <v>0</v>
      </c>
      <c r="F57" s="155">
        <f ca="1">IF(ISNUMBER(MATCH(DATEVALUE($A57),'recurring1_based on steps'!F$1:F$400,0)),F$2,)</f>
        <v>0</v>
      </c>
      <c r="G57" s="155">
        <f ca="1">IF(ISNUMBER(MATCH(DATEVALUE($A57),'recurring1_based on steps'!G$1:G$400,0)),G$2,)</f>
        <v>0</v>
      </c>
      <c r="H57" s="155">
        <f ca="1">IF(ISNUMBER(MATCH(DATEVALUE($A57),'recurring1_based on steps'!H$1:H$400,0)),H$2,)</f>
        <v>0</v>
      </c>
      <c r="I57" s="155">
        <f ca="1">IF(ISNUMBER(MATCH(DATEVALUE($A57),'recurring1_based on steps'!I$1:I$400,0)),I$2,)</f>
        <v>0</v>
      </c>
      <c r="J57" s="155">
        <f ca="1">IF(ISNUMBER(MATCH(DATEVALUE($A57),'recurring1_based on steps'!J$1:J$400,0)),J$2,)</f>
        <v>0</v>
      </c>
      <c r="K57" s="155">
        <f ca="1">IF(ISNUMBER(MATCH(DATEVALUE($A57),'recurring1_based on steps'!K$1:K$400,0)),K$2,)</f>
        <v>0</v>
      </c>
      <c r="L57" s="155">
        <f ca="1">IF(ISNUMBER(MATCH(DATEVALUE($A57),'recurring1_based on steps'!L$1:L$400,0)),L$2,)</f>
        <v>0</v>
      </c>
      <c r="M57" s="155">
        <f ca="1">IF(ISNUMBER(MATCH(DATEVALUE($A57),'recurring1_based on steps'!M$1:M$400,0)),M$2,)</f>
        <v>0</v>
      </c>
      <c r="N57" s="155">
        <f ca="1">IF(ISNUMBER(MATCH(DATEVALUE($A57),'recurring1_based on steps'!N$1:N$400,0)),N$2,)</f>
        <v>0</v>
      </c>
      <c r="O57" s="155">
        <f ca="1">IF(ISNUMBER(MATCH(DATEVALUE($A57),'recurring1_based on steps'!O$1:O$400,0)),O$2,)</f>
        <v>0</v>
      </c>
      <c r="P57" s="155">
        <f ca="1">IF(ISNUMBER(MATCH(DATEVALUE($A57),'recurring1_based on steps'!P$1:P$400,0)),P$2,)</f>
        <v>2.99</v>
      </c>
      <c r="Q57" s="155">
        <f ca="1">IF(ISNUMBER(MATCH(DATEVALUE($A57),'recurring1_based on steps'!Q$1:Q$400,0)),Q$2,)</f>
        <v>0</v>
      </c>
      <c r="R57" s="155">
        <f ca="1">IF(ISNUMBER(MATCH(DATEVALUE($A57),'recurring1_based on steps'!R$1:R$400,0)),R$2,)</f>
        <v>0</v>
      </c>
      <c r="S57" s="155">
        <f ca="1">IF(ISNUMBER(MATCH(DATEVALUE($A57),'recurring1_based on steps'!S$1:S$400,0)),S$2,)</f>
        <v>0</v>
      </c>
      <c r="T57" s="155">
        <f ca="1">IF(ISNUMBER(MATCH(DATEVALUE($A57),'recurring1_based on steps'!T$1:T$400,0)),T$2,)</f>
        <v>0</v>
      </c>
      <c r="U57" s="155">
        <f ca="1">IF(ISNUMBER(MATCH(DATEVALUE($A57),'recurring1_based on steps'!U$1:U$400,0)),U$2,)</f>
        <v>0</v>
      </c>
      <c r="V57" s="155">
        <f ca="1">IF(ISNUMBER(MATCH(DATEVALUE($A57),'recurring1_based on steps'!V$1:V$400,0)),V$2,)</f>
        <v>0</v>
      </c>
      <c r="W57" s="155">
        <f ca="1">IF(ISNUMBER(MATCH(DATEVALUE($A57),'recurring1_based on steps'!W$1:W$400,0)),W$2,)</f>
        <v>0</v>
      </c>
      <c r="X57" s="155">
        <f ca="1">IF(ISNUMBER(MATCH(DATEVALUE($A57),'recurring1_based on steps'!X$1:X$400,0)),X$2,)</f>
        <v>0</v>
      </c>
      <c r="Y57" s="155">
        <f ca="1">IF(ISNUMBER(MATCH(DATEVALUE($A57),'recurring1_based on steps'!Y$1:Y$400,0)),Y$2,)</f>
        <v>0</v>
      </c>
      <c r="Z57" s="155">
        <f ca="1">IF(ISNUMBER(MATCH(DATEVALUE($A57),'recurring1_based on steps'!Z$1:Z$400,0)),Z$2,)</f>
        <v>0</v>
      </c>
      <c r="AA57" s="155">
        <f ca="1">IF(ISNUMBER(MATCH(DATEVALUE($A57),'recurring1_based on steps'!AA$1:AA$400,0)),AA$2,)</f>
        <v>0</v>
      </c>
      <c r="AB57" s="155">
        <f ca="1">IF(ISNUMBER(MATCH(DATEVALUE($A57),'recurring1_based on steps'!AB$1:AB$400,0)),AB$2,)</f>
        <v>0</v>
      </c>
      <c r="AC57" s="155">
        <f ca="1">IF(ISNUMBER(MATCH(DATEVALUE($A57),'recurring1_based on steps'!AC$1:AC$400,0)),AC$2,)</f>
        <v>0</v>
      </c>
      <c r="AD57" s="155">
        <f ca="1">IF(ISNUMBER(MATCH(DATEVALUE($A57),'recurring1_based on steps'!AD$1:AD$400,0)),AD$2,)</f>
        <v>0</v>
      </c>
      <c r="AE57" s="155">
        <f ca="1">IF(ISNUMBER(MATCH(DATEVALUE($A57),'recurring1_based on steps'!AE$1:AE$400,0)),AE$2,)</f>
        <v>0</v>
      </c>
      <c r="AF57" s="155">
        <f ca="1">IF(ISNUMBER(MATCH(DATEVALUE($A57),'recurring1_based on steps'!AF$1:AF$400,0)),AF$2,)</f>
        <v>0</v>
      </c>
      <c r="AG57" s="155">
        <f ca="1">IF(ISNUMBER(MATCH(DATEVALUE($A57),'recurring1_based on steps'!AG$1:AG$400,0)),AG$2,)</f>
        <v>0</v>
      </c>
      <c r="AH57" s="155">
        <f ca="1">IF(ISNUMBER(MATCH(DATEVALUE($A57),'recurring1_based on steps'!AH$1:AH$400,0)),AH$2,)</f>
        <v>0</v>
      </c>
      <c r="AI57" s="155">
        <f ca="1">IF(ISNUMBER(MATCH(DATEVALUE($A57),'recurring1_based on steps'!AI$1:AI$400,0)),AI$2,)</f>
        <v>0</v>
      </c>
      <c r="AJ57" s="155">
        <f ca="1">IF(ISNUMBER(MATCH(DATEVALUE($A57),'recurring1_based on steps'!AJ$1:AJ$400,0)),AJ$2,)</f>
        <v>0</v>
      </c>
      <c r="AK57" s="155">
        <f ca="1">IF(ISNUMBER(MATCH(DATEVALUE($A57),'recurring1_based on steps'!AK$1:AK$400,0)),AK$2,)</f>
        <v>0</v>
      </c>
      <c r="AL57" s="155">
        <f ca="1">IF(ISNUMBER(MATCH(DATEVALUE($A57),'recurring1_based on steps'!AL$1:AL$400,0)),AL$2,)</f>
        <v>0</v>
      </c>
      <c r="AM57" s="155">
        <f ca="1">IF(ISNUMBER(MATCH(DATEVALUE($A57),'recurring1_based on steps'!AM$1:AM$400,0)),AM$2,)</f>
        <v>0</v>
      </c>
      <c r="AN57" s="155">
        <f ca="1">IF(ISNUMBER(MATCH(DATEVALUE($A57),'recurring1_based on steps'!AN$1:AN$400,0)),AN$2,)</f>
        <v>0</v>
      </c>
      <c r="AO57" s="155">
        <f ca="1">IF(ISNUMBER(MATCH(DATEVALUE($A57),'recurring1_based on steps'!AO$1:AO$400,0)),AO$2,)</f>
        <v>0</v>
      </c>
      <c r="AP57" s="155">
        <f ca="1">IF(ISNUMBER(MATCH(DATEVALUE($A57),'recurring1_based on steps'!AP$1:AP$400,0)),AP$2,)</f>
        <v>0</v>
      </c>
      <c r="AQ57" s="155">
        <f ca="1">IF(ISNUMBER(MATCH(DATEVALUE($A57),'recurring1_based on steps'!AQ$1:AQ$400,0)),AQ$2,)</f>
        <v>0</v>
      </c>
      <c r="AR57" s="155">
        <f ca="1">IF(ISNUMBER(MATCH(DATEVALUE($A57),'recurring1_based on steps'!AR$1:AR$400,0)),AR$2,)</f>
        <v>0</v>
      </c>
      <c r="AS57" s="155">
        <f ca="1">IF(ISNUMBER(MATCH(DATEVALUE($A57),'recurring1_based on steps'!AS$1:AS$400,0)),AS$2,)</f>
        <v>0</v>
      </c>
      <c r="AT57" s="155">
        <f ca="1">IF(ISNUMBER(MATCH(DATEVALUE($A57),'recurring1_based on steps'!AT$1:AT$400,0)),AT$2,)</f>
        <v>0</v>
      </c>
      <c r="AU57" s="155">
        <f ca="1">IF(ISNUMBER(MATCH(DATEVALUE($A57),'recurring1_based on steps'!AU$1:AU$400,0)),AU$2,)</f>
        <v>0</v>
      </c>
      <c r="AV57" s="155">
        <f ca="1">IF(ISNUMBER(MATCH(DATEVALUE($A57),'recurring1_based on steps'!AV$1:AV$400,0)),AV$2,)</f>
        <v>0</v>
      </c>
      <c r="AW57" s="155">
        <f ca="1">IF(ISNUMBER(MATCH(DATEVALUE($A57),'recurring1_based on steps'!AW$1:AW$400,0)),AW$2,)</f>
        <v>0</v>
      </c>
      <c r="AX57" s="155">
        <f ca="1">IF(ISNUMBER(MATCH(DATEVALUE($A57),'recurring1_based on steps'!AX$1:AX$400,0)),AX$2,)</f>
        <v>0</v>
      </c>
      <c r="AY57" s="155">
        <f ca="1">IF(ISNUMBER(MATCH(DATEVALUE($A57),'recurring1_based on steps'!AY$1:AY$400,0)),AY$2,)</f>
        <v>0</v>
      </c>
    </row>
    <row r="58" spans="1:51" x14ac:dyDescent="0.2">
      <c r="A58" s="18" t="str">
        <f t="shared" ca="1" si="0"/>
        <v>2025-03-28</v>
      </c>
      <c r="B58" s="155">
        <f ca="1">IF(ISNUMBER(MATCH(DATEVALUE($A58),'recurring1_based on steps'!B$1:B$400,0)),B$2,)</f>
        <v>0</v>
      </c>
      <c r="C58" s="155">
        <f ca="1">IF(ISNUMBER(MATCH(DATEVALUE($A58),'recurring1_based on steps'!C$1:C$400,0)),C$2,)</f>
        <v>0</v>
      </c>
      <c r="D58" s="155">
        <f ca="1">IF(ISNUMBER(MATCH(DATEVALUE($A58),'recurring1_based on steps'!D$1:D$400,0)),D$2,)</f>
        <v>0</v>
      </c>
      <c r="E58" s="155">
        <f ca="1">IF(ISNUMBER(MATCH(DATEVALUE($A58),'recurring1_based on steps'!E$1:E$400,0)),E$2,)</f>
        <v>0</v>
      </c>
      <c r="F58" s="155">
        <f ca="1">IF(ISNUMBER(MATCH(DATEVALUE($A58),'recurring1_based on steps'!F$1:F$400,0)),F$2,)</f>
        <v>0</v>
      </c>
      <c r="G58" s="155">
        <f ca="1">IF(ISNUMBER(MATCH(DATEVALUE($A58),'recurring1_based on steps'!G$1:G$400,0)),G$2,)</f>
        <v>0</v>
      </c>
      <c r="H58" s="155">
        <f ca="1">IF(ISNUMBER(MATCH(DATEVALUE($A58),'recurring1_based on steps'!H$1:H$400,0)),H$2,)</f>
        <v>40</v>
      </c>
      <c r="I58" s="155">
        <f ca="1">IF(ISNUMBER(MATCH(DATEVALUE($A58),'recurring1_based on steps'!I$1:I$400,0)),I$2,)</f>
        <v>0</v>
      </c>
      <c r="J58" s="155">
        <f ca="1">IF(ISNUMBER(MATCH(DATEVALUE($A58),'recurring1_based on steps'!J$1:J$400,0)),J$2,)</f>
        <v>0</v>
      </c>
      <c r="K58" s="155">
        <f ca="1">IF(ISNUMBER(MATCH(DATEVALUE($A58),'recurring1_based on steps'!K$1:K$400,0)),K$2,)</f>
        <v>0</v>
      </c>
      <c r="L58" s="155">
        <f ca="1">IF(ISNUMBER(MATCH(DATEVALUE($A58),'recurring1_based on steps'!L$1:L$400,0)),L$2,)</f>
        <v>0</v>
      </c>
      <c r="M58" s="155">
        <f ca="1">IF(ISNUMBER(MATCH(DATEVALUE($A58),'recurring1_based on steps'!M$1:M$400,0)),M$2,)</f>
        <v>0</v>
      </c>
      <c r="N58" s="155">
        <f ca="1">IF(ISNUMBER(MATCH(DATEVALUE($A58),'recurring1_based on steps'!N$1:N$400,0)),N$2,)</f>
        <v>0</v>
      </c>
      <c r="O58" s="155">
        <f ca="1">IF(ISNUMBER(MATCH(DATEVALUE($A58),'recurring1_based on steps'!O$1:O$400,0)),O$2,)</f>
        <v>0</v>
      </c>
      <c r="P58" s="155">
        <f ca="1">IF(ISNUMBER(MATCH(DATEVALUE($A58),'recurring1_based on steps'!P$1:P$400,0)),P$2,)</f>
        <v>0</v>
      </c>
      <c r="Q58" s="155">
        <f ca="1">IF(ISNUMBER(MATCH(DATEVALUE($A58),'recurring1_based on steps'!Q$1:Q$400,0)),Q$2,)</f>
        <v>0</v>
      </c>
      <c r="R58" s="155">
        <f ca="1">IF(ISNUMBER(MATCH(DATEVALUE($A58),'recurring1_based on steps'!R$1:R$400,0)),R$2,)</f>
        <v>0</v>
      </c>
      <c r="S58" s="155">
        <f ca="1">IF(ISNUMBER(MATCH(DATEVALUE($A58),'recurring1_based on steps'!S$1:S$400,0)),S$2,)</f>
        <v>0</v>
      </c>
      <c r="T58" s="155">
        <f ca="1">IF(ISNUMBER(MATCH(DATEVALUE($A58),'recurring1_based on steps'!T$1:T$400,0)),T$2,)</f>
        <v>0</v>
      </c>
      <c r="U58" s="155">
        <f ca="1">IF(ISNUMBER(MATCH(DATEVALUE($A58),'recurring1_based on steps'!U$1:U$400,0)),U$2,)</f>
        <v>0</v>
      </c>
      <c r="V58" s="155">
        <f ca="1">IF(ISNUMBER(MATCH(DATEVALUE($A58),'recurring1_based on steps'!V$1:V$400,0)),V$2,)</f>
        <v>0</v>
      </c>
      <c r="W58" s="155">
        <f ca="1">IF(ISNUMBER(MATCH(DATEVALUE($A58),'recurring1_based on steps'!W$1:W$400,0)),W$2,)</f>
        <v>100</v>
      </c>
      <c r="X58" s="155">
        <f ca="1">IF(ISNUMBER(MATCH(DATEVALUE($A58),'recurring1_based on steps'!X$1:X$400,0)),X$2,)</f>
        <v>0</v>
      </c>
      <c r="Y58" s="155">
        <f ca="1">IF(ISNUMBER(MATCH(DATEVALUE($A58),'recurring1_based on steps'!Y$1:Y$400,0)),Y$2,)</f>
        <v>0</v>
      </c>
      <c r="Z58" s="155">
        <f ca="1">IF(ISNUMBER(MATCH(DATEVALUE($A58),'recurring1_based on steps'!Z$1:Z$400,0)),Z$2,)</f>
        <v>0</v>
      </c>
      <c r="AA58" s="155">
        <f ca="1">IF(ISNUMBER(MATCH(DATEVALUE($A58),'recurring1_based on steps'!AA$1:AA$400,0)),AA$2,)</f>
        <v>0</v>
      </c>
      <c r="AB58" s="155">
        <f ca="1">IF(ISNUMBER(MATCH(DATEVALUE($A58),'recurring1_based on steps'!AB$1:AB$400,0)),AB$2,)</f>
        <v>0</v>
      </c>
      <c r="AC58" s="155">
        <f ca="1">IF(ISNUMBER(MATCH(DATEVALUE($A58),'recurring1_based on steps'!AC$1:AC$400,0)),AC$2,)</f>
        <v>0</v>
      </c>
      <c r="AD58" s="155">
        <f ca="1">IF(ISNUMBER(MATCH(DATEVALUE($A58),'recurring1_based on steps'!AD$1:AD$400,0)),AD$2,)</f>
        <v>0</v>
      </c>
      <c r="AE58" s="155">
        <f ca="1">IF(ISNUMBER(MATCH(DATEVALUE($A58),'recurring1_based on steps'!AE$1:AE$400,0)),AE$2,)</f>
        <v>0</v>
      </c>
      <c r="AF58" s="155">
        <f ca="1">IF(ISNUMBER(MATCH(DATEVALUE($A58),'recurring1_based on steps'!AF$1:AF$400,0)),AF$2,)</f>
        <v>0</v>
      </c>
      <c r="AG58" s="155">
        <f ca="1">IF(ISNUMBER(MATCH(DATEVALUE($A58),'recurring1_based on steps'!AG$1:AG$400,0)),AG$2,)</f>
        <v>0</v>
      </c>
      <c r="AH58" s="155">
        <f ca="1">IF(ISNUMBER(MATCH(DATEVALUE($A58),'recurring1_based on steps'!AH$1:AH$400,0)),AH$2,)</f>
        <v>0</v>
      </c>
      <c r="AI58" s="155">
        <f ca="1">IF(ISNUMBER(MATCH(DATEVALUE($A58),'recurring1_based on steps'!AI$1:AI$400,0)),AI$2,)</f>
        <v>0</v>
      </c>
      <c r="AJ58" s="155">
        <f ca="1">IF(ISNUMBER(MATCH(DATEVALUE($A58),'recurring1_based on steps'!AJ$1:AJ$400,0)),AJ$2,)</f>
        <v>0</v>
      </c>
      <c r="AK58" s="155">
        <f ca="1">IF(ISNUMBER(MATCH(DATEVALUE($A58),'recurring1_based on steps'!AK$1:AK$400,0)),AK$2,)</f>
        <v>0</v>
      </c>
      <c r="AL58" s="155">
        <f ca="1">IF(ISNUMBER(MATCH(DATEVALUE($A58),'recurring1_based on steps'!AL$1:AL$400,0)),AL$2,)</f>
        <v>0</v>
      </c>
      <c r="AM58" s="155">
        <f ca="1">IF(ISNUMBER(MATCH(DATEVALUE($A58),'recurring1_based on steps'!AM$1:AM$400,0)),AM$2,)</f>
        <v>0</v>
      </c>
      <c r="AN58" s="155">
        <f ca="1">IF(ISNUMBER(MATCH(DATEVALUE($A58),'recurring1_based on steps'!AN$1:AN$400,0)),AN$2,)</f>
        <v>0</v>
      </c>
      <c r="AO58" s="155">
        <f ca="1">IF(ISNUMBER(MATCH(DATEVALUE($A58),'recurring1_based on steps'!AO$1:AO$400,0)),AO$2,)</f>
        <v>0</v>
      </c>
      <c r="AP58" s="155">
        <f ca="1">IF(ISNUMBER(MATCH(DATEVALUE($A58),'recurring1_based on steps'!AP$1:AP$400,0)),AP$2,)</f>
        <v>0</v>
      </c>
      <c r="AQ58" s="155">
        <f ca="1">IF(ISNUMBER(MATCH(DATEVALUE($A58),'recurring1_based on steps'!AQ$1:AQ$400,0)),AQ$2,)</f>
        <v>0</v>
      </c>
      <c r="AR58" s="155">
        <f ca="1">IF(ISNUMBER(MATCH(DATEVALUE($A58),'recurring1_based on steps'!AR$1:AR$400,0)),AR$2,)</f>
        <v>0</v>
      </c>
      <c r="AS58" s="155">
        <f ca="1">IF(ISNUMBER(MATCH(DATEVALUE($A58),'recurring1_based on steps'!AS$1:AS$400,0)),AS$2,)</f>
        <v>0</v>
      </c>
      <c r="AT58" s="155">
        <f ca="1">IF(ISNUMBER(MATCH(DATEVALUE($A58),'recurring1_based on steps'!AT$1:AT$400,0)),AT$2,)</f>
        <v>0</v>
      </c>
      <c r="AU58" s="155">
        <f ca="1">IF(ISNUMBER(MATCH(DATEVALUE($A58),'recurring1_based on steps'!AU$1:AU$400,0)),AU$2,)</f>
        <v>0</v>
      </c>
      <c r="AV58" s="155">
        <f ca="1">IF(ISNUMBER(MATCH(DATEVALUE($A58),'recurring1_based on steps'!AV$1:AV$400,0)),AV$2,)</f>
        <v>0</v>
      </c>
      <c r="AW58" s="155">
        <f ca="1">IF(ISNUMBER(MATCH(DATEVALUE($A58),'recurring1_based on steps'!AW$1:AW$400,0)),AW$2,)</f>
        <v>0</v>
      </c>
      <c r="AX58" s="155">
        <f ca="1">IF(ISNUMBER(MATCH(DATEVALUE($A58),'recurring1_based on steps'!AX$1:AX$400,0)),AX$2,)</f>
        <v>0</v>
      </c>
      <c r="AY58" s="155">
        <f ca="1">IF(ISNUMBER(MATCH(DATEVALUE($A58),'recurring1_based on steps'!AY$1:AY$400,0)),AY$2,)</f>
        <v>0</v>
      </c>
    </row>
    <row r="59" spans="1:51" x14ac:dyDescent="0.2">
      <c r="A59" s="18" t="str">
        <f t="shared" ca="1" si="0"/>
        <v>2025-03-29</v>
      </c>
      <c r="B59" s="155">
        <f ca="1">IF(ISNUMBER(MATCH(DATEVALUE($A59),'recurring1_based on steps'!B$1:B$400,0)),B$2,)</f>
        <v>0</v>
      </c>
      <c r="C59" s="155">
        <f ca="1">IF(ISNUMBER(MATCH(DATEVALUE($A59),'recurring1_based on steps'!C$1:C$400,0)),C$2,)</f>
        <v>0</v>
      </c>
      <c r="D59" s="155">
        <f ca="1">IF(ISNUMBER(MATCH(DATEVALUE($A59),'recurring1_based on steps'!D$1:D$400,0)),D$2,)</f>
        <v>0</v>
      </c>
      <c r="E59" s="155">
        <f ca="1">IF(ISNUMBER(MATCH(DATEVALUE($A59),'recurring1_based on steps'!E$1:E$400,0)),E$2,)</f>
        <v>0</v>
      </c>
      <c r="F59" s="155">
        <f ca="1">IF(ISNUMBER(MATCH(DATEVALUE($A59),'recurring1_based on steps'!F$1:F$400,0)),F$2,)</f>
        <v>0</v>
      </c>
      <c r="G59" s="155">
        <f ca="1">IF(ISNUMBER(MATCH(DATEVALUE($A59),'recurring1_based on steps'!G$1:G$400,0)),G$2,)</f>
        <v>0</v>
      </c>
      <c r="H59" s="155">
        <f ca="1">IF(ISNUMBER(MATCH(DATEVALUE($A59),'recurring1_based on steps'!H$1:H$400,0)),H$2,)</f>
        <v>0</v>
      </c>
      <c r="I59" s="155">
        <f ca="1">IF(ISNUMBER(MATCH(DATEVALUE($A59),'recurring1_based on steps'!I$1:I$400,0)),I$2,)</f>
        <v>0</v>
      </c>
      <c r="J59" s="155">
        <f ca="1">IF(ISNUMBER(MATCH(DATEVALUE($A59),'recurring1_based on steps'!J$1:J$400,0)),J$2,)</f>
        <v>0</v>
      </c>
      <c r="K59" s="155">
        <f ca="1">IF(ISNUMBER(MATCH(DATEVALUE($A59),'recurring1_based on steps'!K$1:K$400,0)),K$2,)</f>
        <v>0</v>
      </c>
      <c r="L59" s="155">
        <f ca="1">IF(ISNUMBER(MATCH(DATEVALUE($A59),'recurring1_based on steps'!L$1:L$400,0)),L$2,)</f>
        <v>0</v>
      </c>
      <c r="M59" s="155">
        <f ca="1">IF(ISNUMBER(MATCH(DATEVALUE($A59),'recurring1_based on steps'!M$1:M$400,0)),M$2,)</f>
        <v>0</v>
      </c>
      <c r="N59" s="155">
        <f ca="1">IF(ISNUMBER(MATCH(DATEVALUE($A59),'recurring1_based on steps'!N$1:N$400,0)),N$2,)</f>
        <v>0</v>
      </c>
      <c r="O59" s="155">
        <f ca="1">IF(ISNUMBER(MATCH(DATEVALUE($A59),'recurring1_based on steps'!O$1:O$400,0)),O$2,)</f>
        <v>0</v>
      </c>
      <c r="P59" s="155">
        <f ca="1">IF(ISNUMBER(MATCH(DATEVALUE($A59),'recurring1_based on steps'!P$1:P$400,0)),P$2,)</f>
        <v>0</v>
      </c>
      <c r="Q59" s="155">
        <f ca="1">IF(ISNUMBER(MATCH(DATEVALUE($A59),'recurring1_based on steps'!Q$1:Q$400,0)),Q$2,)</f>
        <v>100</v>
      </c>
      <c r="R59" s="155">
        <f ca="1">IF(ISNUMBER(MATCH(DATEVALUE($A59),'recurring1_based on steps'!R$1:R$400,0)),R$2,)</f>
        <v>100</v>
      </c>
      <c r="S59" s="155">
        <f ca="1">IF(ISNUMBER(MATCH(DATEVALUE($A59),'recurring1_based on steps'!S$1:S$400,0)),S$2,)</f>
        <v>0</v>
      </c>
      <c r="T59" s="155">
        <f ca="1">IF(ISNUMBER(MATCH(DATEVALUE($A59),'recurring1_based on steps'!T$1:T$400,0)),T$2,)</f>
        <v>0</v>
      </c>
      <c r="U59" s="155">
        <f ca="1">IF(ISNUMBER(MATCH(DATEVALUE($A59),'recurring1_based on steps'!U$1:U$400,0)),U$2,)</f>
        <v>50</v>
      </c>
      <c r="V59" s="155">
        <f ca="1">IF(ISNUMBER(MATCH(DATEVALUE($A59),'recurring1_based on steps'!V$1:V$400,0)),V$2,)</f>
        <v>0</v>
      </c>
      <c r="W59" s="155">
        <f ca="1">IF(ISNUMBER(MATCH(DATEVALUE($A59),'recurring1_based on steps'!W$1:W$400,0)),W$2,)</f>
        <v>0</v>
      </c>
      <c r="X59" s="155">
        <f ca="1">IF(ISNUMBER(MATCH(DATEVALUE($A59),'recurring1_based on steps'!X$1:X$400,0)),X$2,)</f>
        <v>0</v>
      </c>
      <c r="Y59" s="155">
        <f ca="1">IF(ISNUMBER(MATCH(DATEVALUE($A59),'recurring1_based on steps'!Y$1:Y$400,0)),Y$2,)</f>
        <v>0</v>
      </c>
      <c r="Z59" s="155">
        <f ca="1">IF(ISNUMBER(MATCH(DATEVALUE($A59),'recurring1_based on steps'!Z$1:Z$400,0)),Z$2,)</f>
        <v>0</v>
      </c>
      <c r="AA59" s="155">
        <f ca="1">IF(ISNUMBER(MATCH(DATEVALUE($A59),'recurring1_based on steps'!AA$1:AA$400,0)),AA$2,)</f>
        <v>0</v>
      </c>
      <c r="AB59" s="155">
        <f ca="1">IF(ISNUMBER(MATCH(DATEVALUE($A59),'recurring1_based on steps'!AB$1:AB$400,0)),AB$2,)</f>
        <v>0</v>
      </c>
      <c r="AC59" s="155">
        <f ca="1">IF(ISNUMBER(MATCH(DATEVALUE($A59),'recurring1_based on steps'!AC$1:AC$400,0)),AC$2,)</f>
        <v>0</v>
      </c>
      <c r="AD59" s="155">
        <f ca="1">IF(ISNUMBER(MATCH(DATEVALUE($A59),'recurring1_based on steps'!AD$1:AD$400,0)),AD$2,)</f>
        <v>0</v>
      </c>
      <c r="AE59" s="155">
        <f ca="1">IF(ISNUMBER(MATCH(DATEVALUE($A59),'recurring1_based on steps'!AE$1:AE$400,0)),AE$2,)</f>
        <v>0</v>
      </c>
      <c r="AF59" s="155">
        <f ca="1">IF(ISNUMBER(MATCH(DATEVALUE($A59),'recurring1_based on steps'!AF$1:AF$400,0)),AF$2,)</f>
        <v>0</v>
      </c>
      <c r="AG59" s="155">
        <f ca="1">IF(ISNUMBER(MATCH(DATEVALUE($A59),'recurring1_based on steps'!AG$1:AG$400,0)),AG$2,)</f>
        <v>0</v>
      </c>
      <c r="AH59" s="155">
        <f ca="1">IF(ISNUMBER(MATCH(DATEVALUE($A59),'recurring1_based on steps'!AH$1:AH$400,0)),AH$2,)</f>
        <v>0</v>
      </c>
      <c r="AI59" s="155">
        <f ca="1">IF(ISNUMBER(MATCH(DATEVALUE($A59),'recurring1_based on steps'!AI$1:AI$400,0)),AI$2,)</f>
        <v>0</v>
      </c>
      <c r="AJ59" s="155">
        <f ca="1">IF(ISNUMBER(MATCH(DATEVALUE($A59),'recurring1_based on steps'!AJ$1:AJ$400,0)),AJ$2,)</f>
        <v>0</v>
      </c>
      <c r="AK59" s="155">
        <f ca="1">IF(ISNUMBER(MATCH(DATEVALUE($A59),'recurring1_based on steps'!AK$1:AK$400,0)),AK$2,)</f>
        <v>0</v>
      </c>
      <c r="AL59" s="155">
        <f ca="1">IF(ISNUMBER(MATCH(DATEVALUE($A59),'recurring1_based on steps'!AL$1:AL$400,0)),AL$2,)</f>
        <v>0</v>
      </c>
      <c r="AM59" s="155">
        <f ca="1">IF(ISNUMBER(MATCH(DATEVALUE($A59),'recurring1_based on steps'!AM$1:AM$400,0)),AM$2,)</f>
        <v>0</v>
      </c>
      <c r="AN59" s="155">
        <f ca="1">IF(ISNUMBER(MATCH(DATEVALUE($A59),'recurring1_based on steps'!AN$1:AN$400,0)),AN$2,)</f>
        <v>0</v>
      </c>
      <c r="AO59" s="155">
        <f ca="1">IF(ISNUMBER(MATCH(DATEVALUE($A59),'recurring1_based on steps'!AO$1:AO$400,0)),AO$2,)</f>
        <v>0</v>
      </c>
      <c r="AP59" s="155">
        <f ca="1">IF(ISNUMBER(MATCH(DATEVALUE($A59),'recurring1_based on steps'!AP$1:AP$400,0)),AP$2,)</f>
        <v>0</v>
      </c>
      <c r="AQ59" s="155">
        <f ca="1">IF(ISNUMBER(MATCH(DATEVALUE($A59),'recurring1_based on steps'!AQ$1:AQ$400,0)),AQ$2,)</f>
        <v>0</v>
      </c>
      <c r="AR59" s="155">
        <f ca="1">IF(ISNUMBER(MATCH(DATEVALUE($A59),'recurring1_based on steps'!AR$1:AR$400,0)),AR$2,)</f>
        <v>0</v>
      </c>
      <c r="AS59" s="155">
        <f ca="1">IF(ISNUMBER(MATCH(DATEVALUE($A59),'recurring1_based on steps'!AS$1:AS$400,0)),AS$2,)</f>
        <v>0</v>
      </c>
      <c r="AT59" s="155">
        <f ca="1">IF(ISNUMBER(MATCH(DATEVALUE($A59),'recurring1_based on steps'!AT$1:AT$400,0)),AT$2,)</f>
        <v>0</v>
      </c>
      <c r="AU59" s="155">
        <f ca="1">IF(ISNUMBER(MATCH(DATEVALUE($A59),'recurring1_based on steps'!AU$1:AU$400,0)),AU$2,)</f>
        <v>0</v>
      </c>
      <c r="AV59" s="155">
        <f ca="1">IF(ISNUMBER(MATCH(DATEVALUE($A59),'recurring1_based on steps'!AV$1:AV$400,0)),AV$2,)</f>
        <v>0</v>
      </c>
      <c r="AW59" s="155">
        <f ca="1">IF(ISNUMBER(MATCH(DATEVALUE($A59),'recurring1_based on steps'!AW$1:AW$400,0)),AW$2,)</f>
        <v>0</v>
      </c>
      <c r="AX59" s="155">
        <f ca="1">IF(ISNUMBER(MATCH(DATEVALUE($A59),'recurring1_based on steps'!AX$1:AX$400,0)),AX$2,)</f>
        <v>0</v>
      </c>
      <c r="AY59" s="155">
        <f ca="1">IF(ISNUMBER(MATCH(DATEVALUE($A59),'recurring1_based on steps'!AY$1:AY$400,0)),AY$2,)</f>
        <v>0</v>
      </c>
    </row>
    <row r="60" spans="1:51" x14ac:dyDescent="0.2">
      <c r="A60" s="18" t="str">
        <f t="shared" ca="1" si="0"/>
        <v>2025-03-30</v>
      </c>
      <c r="B60" s="155">
        <f ca="1">IF(ISNUMBER(MATCH(DATEVALUE($A60),'recurring1_based on steps'!B$1:B$400,0)),B$2,)</f>
        <v>0</v>
      </c>
      <c r="C60" s="155">
        <f ca="1">IF(ISNUMBER(MATCH(DATEVALUE($A60),'recurring1_based on steps'!C$1:C$400,0)),C$2,)</f>
        <v>0</v>
      </c>
      <c r="D60" s="155">
        <f ca="1">IF(ISNUMBER(MATCH(DATEVALUE($A60),'recurring1_based on steps'!D$1:D$400,0)),D$2,)</f>
        <v>0</v>
      </c>
      <c r="E60" s="155">
        <f ca="1">IF(ISNUMBER(MATCH(DATEVALUE($A60),'recurring1_based on steps'!E$1:E$400,0)),E$2,)</f>
        <v>0</v>
      </c>
      <c r="F60" s="155">
        <f ca="1">IF(ISNUMBER(MATCH(DATEVALUE($A60),'recurring1_based on steps'!F$1:F$400,0)),F$2,)</f>
        <v>0</v>
      </c>
      <c r="G60" s="155">
        <f ca="1">IF(ISNUMBER(MATCH(DATEVALUE($A60),'recurring1_based on steps'!G$1:G$400,0)),G$2,)</f>
        <v>0</v>
      </c>
      <c r="H60" s="155">
        <f ca="1">IF(ISNUMBER(MATCH(DATEVALUE($A60),'recurring1_based on steps'!H$1:H$400,0)),H$2,)</f>
        <v>0</v>
      </c>
      <c r="I60" s="155">
        <f ca="1">IF(ISNUMBER(MATCH(DATEVALUE($A60),'recurring1_based on steps'!I$1:I$400,0)),I$2,)</f>
        <v>0</v>
      </c>
      <c r="J60" s="155">
        <f ca="1">IF(ISNUMBER(MATCH(DATEVALUE($A60),'recurring1_based on steps'!J$1:J$400,0)),J$2,)</f>
        <v>0</v>
      </c>
      <c r="K60" s="155">
        <f ca="1">IF(ISNUMBER(MATCH(DATEVALUE($A60),'recurring1_based on steps'!K$1:K$400,0)),K$2,)</f>
        <v>50</v>
      </c>
      <c r="L60" s="155">
        <f ca="1">IF(ISNUMBER(MATCH(DATEVALUE($A60),'recurring1_based on steps'!L$1:L$400,0)),L$2,)</f>
        <v>0</v>
      </c>
      <c r="M60" s="155">
        <f ca="1">IF(ISNUMBER(MATCH(DATEVALUE($A60),'recurring1_based on steps'!M$1:M$400,0)),M$2,)</f>
        <v>0</v>
      </c>
      <c r="N60" s="155">
        <f ca="1">IF(ISNUMBER(MATCH(DATEVALUE($A60),'recurring1_based on steps'!N$1:N$400,0)),N$2,)</f>
        <v>0</v>
      </c>
      <c r="O60" s="155">
        <f ca="1">IF(ISNUMBER(MATCH(DATEVALUE($A60),'recurring1_based on steps'!O$1:O$400,0)),O$2,)</f>
        <v>0</v>
      </c>
      <c r="P60" s="155">
        <f ca="1">IF(ISNUMBER(MATCH(DATEVALUE($A60),'recurring1_based on steps'!P$1:P$400,0)),P$2,)</f>
        <v>0</v>
      </c>
      <c r="Q60" s="155">
        <f ca="1">IF(ISNUMBER(MATCH(DATEVALUE($A60),'recurring1_based on steps'!Q$1:Q$400,0)),Q$2,)</f>
        <v>0</v>
      </c>
      <c r="R60" s="155">
        <f ca="1">IF(ISNUMBER(MATCH(DATEVALUE($A60),'recurring1_based on steps'!R$1:R$400,0)),R$2,)</f>
        <v>0</v>
      </c>
      <c r="S60" s="155">
        <f ca="1">IF(ISNUMBER(MATCH(DATEVALUE($A60),'recurring1_based on steps'!S$1:S$400,0)),S$2,)</f>
        <v>100</v>
      </c>
      <c r="T60" s="155">
        <f ca="1">IF(ISNUMBER(MATCH(DATEVALUE($A60),'recurring1_based on steps'!T$1:T$400,0)),T$2,)</f>
        <v>0</v>
      </c>
      <c r="U60" s="155">
        <f ca="1">IF(ISNUMBER(MATCH(DATEVALUE($A60),'recurring1_based on steps'!U$1:U$400,0)),U$2,)</f>
        <v>0</v>
      </c>
      <c r="V60" s="155">
        <f ca="1">IF(ISNUMBER(MATCH(DATEVALUE($A60),'recurring1_based on steps'!V$1:V$400,0)),V$2,)</f>
        <v>0</v>
      </c>
      <c r="W60" s="155">
        <f ca="1">IF(ISNUMBER(MATCH(DATEVALUE($A60),'recurring1_based on steps'!W$1:W$400,0)),W$2,)</f>
        <v>0</v>
      </c>
      <c r="X60" s="155">
        <f ca="1">IF(ISNUMBER(MATCH(DATEVALUE($A60),'recurring1_based on steps'!X$1:X$400,0)),X$2,)</f>
        <v>0</v>
      </c>
      <c r="Y60" s="155">
        <f ca="1">IF(ISNUMBER(MATCH(DATEVALUE($A60),'recurring1_based on steps'!Y$1:Y$400,0)),Y$2,)</f>
        <v>0</v>
      </c>
      <c r="Z60" s="155">
        <f ca="1">IF(ISNUMBER(MATCH(DATEVALUE($A60),'recurring1_based on steps'!Z$1:Z$400,0)),Z$2,)</f>
        <v>0</v>
      </c>
      <c r="AA60" s="155">
        <f ca="1">IF(ISNUMBER(MATCH(DATEVALUE($A60),'recurring1_based on steps'!AA$1:AA$400,0)),AA$2,)</f>
        <v>0</v>
      </c>
      <c r="AB60" s="155">
        <f ca="1">IF(ISNUMBER(MATCH(DATEVALUE($A60),'recurring1_based on steps'!AB$1:AB$400,0)),AB$2,)</f>
        <v>0</v>
      </c>
      <c r="AC60" s="155">
        <f ca="1">IF(ISNUMBER(MATCH(DATEVALUE($A60),'recurring1_based on steps'!AC$1:AC$400,0)),AC$2,)</f>
        <v>0</v>
      </c>
      <c r="AD60" s="155">
        <f ca="1">IF(ISNUMBER(MATCH(DATEVALUE($A60),'recurring1_based on steps'!AD$1:AD$400,0)),AD$2,)</f>
        <v>0</v>
      </c>
      <c r="AE60" s="155">
        <f ca="1">IF(ISNUMBER(MATCH(DATEVALUE($A60),'recurring1_based on steps'!AE$1:AE$400,0)),AE$2,)</f>
        <v>0</v>
      </c>
      <c r="AF60" s="155">
        <f ca="1">IF(ISNUMBER(MATCH(DATEVALUE($A60),'recurring1_based on steps'!AF$1:AF$400,0)),AF$2,)</f>
        <v>0</v>
      </c>
      <c r="AG60" s="155">
        <f ca="1">IF(ISNUMBER(MATCH(DATEVALUE($A60),'recurring1_based on steps'!AG$1:AG$400,0)),AG$2,)</f>
        <v>0</v>
      </c>
      <c r="AH60" s="155">
        <f ca="1">IF(ISNUMBER(MATCH(DATEVALUE($A60),'recurring1_based on steps'!AH$1:AH$400,0)),AH$2,)</f>
        <v>0</v>
      </c>
      <c r="AI60" s="155">
        <f ca="1">IF(ISNUMBER(MATCH(DATEVALUE($A60),'recurring1_based on steps'!AI$1:AI$400,0)),AI$2,)</f>
        <v>0</v>
      </c>
      <c r="AJ60" s="155">
        <f ca="1">IF(ISNUMBER(MATCH(DATEVALUE($A60),'recurring1_based on steps'!AJ$1:AJ$400,0)),AJ$2,)</f>
        <v>0</v>
      </c>
      <c r="AK60" s="155">
        <f ca="1">IF(ISNUMBER(MATCH(DATEVALUE($A60),'recurring1_based on steps'!AK$1:AK$400,0)),AK$2,)</f>
        <v>0</v>
      </c>
      <c r="AL60" s="155">
        <f ca="1">IF(ISNUMBER(MATCH(DATEVALUE($A60),'recurring1_based on steps'!AL$1:AL$400,0)),AL$2,)</f>
        <v>0</v>
      </c>
      <c r="AM60" s="155">
        <f ca="1">IF(ISNUMBER(MATCH(DATEVALUE($A60),'recurring1_based on steps'!AM$1:AM$400,0)),AM$2,)</f>
        <v>0</v>
      </c>
      <c r="AN60" s="155">
        <f ca="1">IF(ISNUMBER(MATCH(DATEVALUE($A60),'recurring1_based on steps'!AN$1:AN$400,0)),AN$2,)</f>
        <v>0</v>
      </c>
      <c r="AO60" s="155">
        <f ca="1">IF(ISNUMBER(MATCH(DATEVALUE($A60),'recurring1_based on steps'!AO$1:AO$400,0)),AO$2,)</f>
        <v>0</v>
      </c>
      <c r="AP60" s="155">
        <f ca="1">IF(ISNUMBER(MATCH(DATEVALUE($A60),'recurring1_based on steps'!AP$1:AP$400,0)),AP$2,)</f>
        <v>0</v>
      </c>
      <c r="AQ60" s="155">
        <f ca="1">IF(ISNUMBER(MATCH(DATEVALUE($A60),'recurring1_based on steps'!AQ$1:AQ$400,0)),AQ$2,)</f>
        <v>0</v>
      </c>
      <c r="AR60" s="155">
        <f ca="1">IF(ISNUMBER(MATCH(DATEVALUE($A60),'recurring1_based on steps'!AR$1:AR$400,0)),AR$2,)</f>
        <v>0</v>
      </c>
      <c r="AS60" s="155">
        <f ca="1">IF(ISNUMBER(MATCH(DATEVALUE($A60),'recurring1_based on steps'!AS$1:AS$400,0)),AS$2,)</f>
        <v>0</v>
      </c>
      <c r="AT60" s="155">
        <f ca="1">IF(ISNUMBER(MATCH(DATEVALUE($A60),'recurring1_based on steps'!AT$1:AT$400,0)),AT$2,)</f>
        <v>0</v>
      </c>
      <c r="AU60" s="155">
        <f ca="1">IF(ISNUMBER(MATCH(DATEVALUE($A60),'recurring1_based on steps'!AU$1:AU$400,0)),AU$2,)</f>
        <v>0</v>
      </c>
      <c r="AV60" s="155">
        <f ca="1">IF(ISNUMBER(MATCH(DATEVALUE($A60),'recurring1_based on steps'!AV$1:AV$400,0)),AV$2,)</f>
        <v>0</v>
      </c>
      <c r="AW60" s="155">
        <f ca="1">IF(ISNUMBER(MATCH(DATEVALUE($A60),'recurring1_based on steps'!AW$1:AW$400,0)),AW$2,)</f>
        <v>0</v>
      </c>
      <c r="AX60" s="155">
        <f ca="1">IF(ISNUMBER(MATCH(DATEVALUE($A60),'recurring1_based on steps'!AX$1:AX$400,0)),AX$2,)</f>
        <v>0</v>
      </c>
      <c r="AY60" s="155">
        <f ca="1">IF(ISNUMBER(MATCH(DATEVALUE($A60),'recurring1_based on steps'!AY$1:AY$400,0)),AY$2,)</f>
        <v>0</v>
      </c>
    </row>
    <row r="61" spans="1:51" x14ac:dyDescent="0.2">
      <c r="A61" s="18" t="str">
        <f t="shared" ca="1" si="0"/>
        <v>2025-03-31</v>
      </c>
      <c r="B61" s="155">
        <f ca="1">IF(ISNUMBER(MATCH(DATEVALUE($A61),'recurring1_based on steps'!B$1:B$400,0)),B$2,)</f>
        <v>0</v>
      </c>
      <c r="C61" s="155">
        <f ca="1">IF(ISNUMBER(MATCH(DATEVALUE($A61),'recurring1_based on steps'!C$1:C$400,0)),C$2,)</f>
        <v>0</v>
      </c>
      <c r="D61" s="155">
        <f ca="1">IF(ISNUMBER(MATCH(DATEVALUE($A61),'recurring1_based on steps'!D$1:D$400,0)),D$2,)</f>
        <v>0</v>
      </c>
      <c r="E61" s="155">
        <f ca="1">IF(ISNUMBER(MATCH(DATEVALUE($A61),'recurring1_based on steps'!E$1:E$400,0)),E$2,)</f>
        <v>0</v>
      </c>
      <c r="F61" s="155">
        <f ca="1">IF(ISNUMBER(MATCH(DATEVALUE($A61),'recurring1_based on steps'!F$1:F$400,0)),F$2,)</f>
        <v>0</v>
      </c>
      <c r="G61" s="155">
        <f ca="1">IF(ISNUMBER(MATCH(DATEVALUE($A61),'recurring1_based on steps'!G$1:G$400,0)),G$2,)</f>
        <v>0</v>
      </c>
      <c r="H61" s="155">
        <f ca="1">IF(ISNUMBER(MATCH(DATEVALUE($A61),'recurring1_based on steps'!H$1:H$400,0)),H$2,)</f>
        <v>0</v>
      </c>
      <c r="I61" s="155">
        <f ca="1">IF(ISNUMBER(MATCH(DATEVALUE($A61),'recurring1_based on steps'!I$1:I$400,0)),I$2,)</f>
        <v>0</v>
      </c>
      <c r="J61" s="155">
        <f ca="1">IF(ISNUMBER(MATCH(DATEVALUE($A61),'recurring1_based on steps'!J$1:J$400,0)),J$2,)</f>
        <v>0</v>
      </c>
      <c r="K61" s="155">
        <f ca="1">IF(ISNUMBER(MATCH(DATEVALUE($A61),'recurring1_based on steps'!K$1:K$400,0)),K$2,)</f>
        <v>0</v>
      </c>
      <c r="L61" s="155">
        <f ca="1">IF(ISNUMBER(MATCH(DATEVALUE($A61),'recurring1_based on steps'!L$1:L$400,0)),L$2,)</f>
        <v>0</v>
      </c>
      <c r="M61" s="155">
        <f ca="1">IF(ISNUMBER(MATCH(DATEVALUE($A61),'recurring1_based on steps'!M$1:M$400,0)),M$2,)</f>
        <v>0</v>
      </c>
      <c r="N61" s="155">
        <f ca="1">IF(ISNUMBER(MATCH(DATEVALUE($A61),'recurring1_based on steps'!N$1:N$400,0)),N$2,)</f>
        <v>0</v>
      </c>
      <c r="O61" s="155">
        <f ca="1">IF(ISNUMBER(MATCH(DATEVALUE($A61),'recurring1_based on steps'!O$1:O$400,0)),O$2,)</f>
        <v>0</v>
      </c>
      <c r="P61" s="155">
        <f ca="1">IF(ISNUMBER(MATCH(DATEVALUE($A61),'recurring1_based on steps'!P$1:P$400,0)),P$2,)</f>
        <v>0</v>
      </c>
      <c r="Q61" s="155">
        <f ca="1">IF(ISNUMBER(MATCH(DATEVALUE($A61),'recurring1_based on steps'!Q$1:Q$400,0)),Q$2,)</f>
        <v>0</v>
      </c>
      <c r="R61" s="155">
        <f ca="1">IF(ISNUMBER(MATCH(DATEVALUE($A61),'recurring1_based on steps'!R$1:R$400,0)),R$2,)</f>
        <v>0</v>
      </c>
      <c r="S61" s="155">
        <f ca="1">IF(ISNUMBER(MATCH(DATEVALUE($A61),'recurring1_based on steps'!S$1:S$400,0)),S$2,)</f>
        <v>0</v>
      </c>
      <c r="T61" s="155">
        <f ca="1">IF(ISNUMBER(MATCH(DATEVALUE($A61),'recurring1_based on steps'!T$1:T$400,0)),T$2,)</f>
        <v>0</v>
      </c>
      <c r="U61" s="155">
        <f ca="1">IF(ISNUMBER(MATCH(DATEVALUE($A61),'recurring1_based on steps'!U$1:U$400,0)),U$2,)</f>
        <v>0</v>
      </c>
      <c r="V61" s="155">
        <f ca="1">IF(ISNUMBER(MATCH(DATEVALUE($A61),'recurring1_based on steps'!V$1:V$400,0)),V$2,)</f>
        <v>0</v>
      </c>
      <c r="W61" s="155">
        <f ca="1">IF(ISNUMBER(MATCH(DATEVALUE($A61),'recurring1_based on steps'!W$1:W$400,0)),W$2,)</f>
        <v>0</v>
      </c>
      <c r="X61" s="155">
        <f ca="1">IF(ISNUMBER(MATCH(DATEVALUE($A61),'recurring1_based on steps'!X$1:X$400,0)),X$2,)</f>
        <v>0</v>
      </c>
      <c r="Y61" s="155">
        <f ca="1">IF(ISNUMBER(MATCH(DATEVALUE($A61),'recurring1_based on steps'!Y$1:Y$400,0)),Y$2,)</f>
        <v>0</v>
      </c>
      <c r="Z61" s="155">
        <f ca="1">IF(ISNUMBER(MATCH(DATEVALUE($A61),'recurring1_based on steps'!Z$1:Z$400,0)),Z$2,)</f>
        <v>0</v>
      </c>
      <c r="AA61" s="155">
        <f ca="1">IF(ISNUMBER(MATCH(DATEVALUE($A61),'recurring1_based on steps'!AA$1:AA$400,0)),AA$2,)</f>
        <v>0</v>
      </c>
      <c r="AB61" s="155">
        <f ca="1">IF(ISNUMBER(MATCH(DATEVALUE($A61),'recurring1_based on steps'!AB$1:AB$400,0)),AB$2,)</f>
        <v>0</v>
      </c>
      <c r="AC61" s="155">
        <f ca="1">IF(ISNUMBER(MATCH(DATEVALUE($A61),'recurring1_based on steps'!AC$1:AC$400,0)),AC$2,)</f>
        <v>0</v>
      </c>
      <c r="AD61" s="155">
        <f ca="1">IF(ISNUMBER(MATCH(DATEVALUE($A61),'recurring1_based on steps'!AD$1:AD$400,0)),AD$2,)</f>
        <v>0</v>
      </c>
      <c r="AE61" s="155">
        <f ca="1">IF(ISNUMBER(MATCH(DATEVALUE($A61),'recurring1_based on steps'!AE$1:AE$400,0)),AE$2,)</f>
        <v>0</v>
      </c>
      <c r="AF61" s="155">
        <f ca="1">IF(ISNUMBER(MATCH(DATEVALUE($A61),'recurring1_based on steps'!AF$1:AF$400,0)),AF$2,)</f>
        <v>0</v>
      </c>
      <c r="AG61" s="155">
        <f ca="1">IF(ISNUMBER(MATCH(DATEVALUE($A61),'recurring1_based on steps'!AG$1:AG$400,0)),AG$2,)</f>
        <v>0</v>
      </c>
      <c r="AH61" s="155">
        <f ca="1">IF(ISNUMBER(MATCH(DATEVALUE($A61),'recurring1_based on steps'!AH$1:AH$400,0)),AH$2,)</f>
        <v>0</v>
      </c>
      <c r="AI61" s="155">
        <f ca="1">IF(ISNUMBER(MATCH(DATEVALUE($A61),'recurring1_based on steps'!AI$1:AI$400,0)),AI$2,)</f>
        <v>0</v>
      </c>
      <c r="AJ61" s="155">
        <f ca="1">IF(ISNUMBER(MATCH(DATEVALUE($A61),'recurring1_based on steps'!AJ$1:AJ$400,0)),AJ$2,)</f>
        <v>0</v>
      </c>
      <c r="AK61" s="155">
        <f ca="1">IF(ISNUMBER(MATCH(DATEVALUE($A61),'recurring1_based on steps'!AK$1:AK$400,0)),AK$2,)</f>
        <v>0</v>
      </c>
      <c r="AL61" s="155">
        <f ca="1">IF(ISNUMBER(MATCH(DATEVALUE($A61),'recurring1_based on steps'!AL$1:AL$400,0)),AL$2,)</f>
        <v>0</v>
      </c>
      <c r="AM61" s="155">
        <f ca="1">IF(ISNUMBER(MATCH(DATEVALUE($A61),'recurring1_based on steps'!AM$1:AM$400,0)),AM$2,)</f>
        <v>0</v>
      </c>
      <c r="AN61" s="155">
        <f ca="1">IF(ISNUMBER(MATCH(DATEVALUE($A61),'recurring1_based on steps'!AN$1:AN$400,0)),AN$2,)</f>
        <v>0</v>
      </c>
      <c r="AO61" s="155">
        <f ca="1">IF(ISNUMBER(MATCH(DATEVALUE($A61),'recurring1_based on steps'!AO$1:AO$400,0)),AO$2,)</f>
        <v>0</v>
      </c>
      <c r="AP61" s="155">
        <f ca="1">IF(ISNUMBER(MATCH(DATEVALUE($A61),'recurring1_based on steps'!AP$1:AP$400,0)),AP$2,)</f>
        <v>0</v>
      </c>
      <c r="AQ61" s="155">
        <f ca="1">IF(ISNUMBER(MATCH(DATEVALUE($A61),'recurring1_based on steps'!AQ$1:AQ$400,0)),AQ$2,)</f>
        <v>0</v>
      </c>
      <c r="AR61" s="155">
        <f ca="1">IF(ISNUMBER(MATCH(DATEVALUE($A61),'recurring1_based on steps'!AR$1:AR$400,0)),AR$2,)</f>
        <v>0</v>
      </c>
      <c r="AS61" s="155">
        <f ca="1">IF(ISNUMBER(MATCH(DATEVALUE($A61),'recurring1_based on steps'!AS$1:AS$400,0)),AS$2,)</f>
        <v>0</v>
      </c>
      <c r="AT61" s="155">
        <f ca="1">IF(ISNUMBER(MATCH(DATEVALUE($A61),'recurring1_based on steps'!AT$1:AT$400,0)),AT$2,)</f>
        <v>0</v>
      </c>
      <c r="AU61" s="155">
        <f ca="1">IF(ISNUMBER(MATCH(DATEVALUE($A61),'recurring1_based on steps'!AU$1:AU$400,0)),AU$2,)</f>
        <v>0</v>
      </c>
      <c r="AV61" s="155">
        <f ca="1">IF(ISNUMBER(MATCH(DATEVALUE($A61),'recurring1_based on steps'!AV$1:AV$400,0)),AV$2,)</f>
        <v>0</v>
      </c>
      <c r="AW61" s="155">
        <f ca="1">IF(ISNUMBER(MATCH(DATEVALUE($A61),'recurring1_based on steps'!AW$1:AW$400,0)),AW$2,)</f>
        <v>0</v>
      </c>
      <c r="AX61" s="155">
        <f ca="1">IF(ISNUMBER(MATCH(DATEVALUE($A61),'recurring1_based on steps'!AX$1:AX$400,0)),AX$2,)</f>
        <v>0</v>
      </c>
      <c r="AY61" s="155">
        <f ca="1">IF(ISNUMBER(MATCH(DATEVALUE($A61),'recurring1_based on steps'!AY$1:AY$400,0)),AY$2,)</f>
        <v>0</v>
      </c>
    </row>
    <row r="62" spans="1:51" x14ac:dyDescent="0.2">
      <c r="A62" s="18" t="str">
        <f t="shared" ca="1" si="0"/>
        <v>2025-04-01</v>
      </c>
      <c r="B62" s="155">
        <f ca="1">IF(ISNUMBER(MATCH(DATEVALUE($A62),'recurring1_based on steps'!B$1:B$400,0)),B$2,)</f>
        <v>0</v>
      </c>
      <c r="C62" s="155">
        <f ca="1">IF(ISNUMBER(MATCH(DATEVALUE($A62),'recurring1_based on steps'!C$1:C$400,0)),C$2,)</f>
        <v>0</v>
      </c>
      <c r="D62" s="155">
        <f ca="1">IF(ISNUMBER(MATCH(DATEVALUE($A62),'recurring1_based on steps'!D$1:D$400,0)),D$2,)</f>
        <v>0</v>
      </c>
      <c r="E62" s="155">
        <f ca="1">IF(ISNUMBER(MATCH(DATEVALUE($A62),'recurring1_based on steps'!E$1:E$400,0)),E$2,)</f>
        <v>0</v>
      </c>
      <c r="F62" s="155">
        <f ca="1">IF(ISNUMBER(MATCH(DATEVALUE($A62),'recurring1_based on steps'!F$1:F$400,0)),F$2,)</f>
        <v>0</v>
      </c>
      <c r="G62" s="155">
        <f ca="1">IF(ISNUMBER(MATCH(DATEVALUE($A62),'recurring1_based on steps'!G$1:G$400,0)),G$2,)</f>
        <v>0</v>
      </c>
      <c r="H62" s="155">
        <f ca="1">IF(ISNUMBER(MATCH(DATEVALUE($A62),'recurring1_based on steps'!H$1:H$400,0)),H$2,)</f>
        <v>0</v>
      </c>
      <c r="I62" s="155">
        <f ca="1">IF(ISNUMBER(MATCH(DATEVALUE($A62),'recurring1_based on steps'!I$1:I$400,0)),I$2,)</f>
        <v>2000</v>
      </c>
      <c r="J62" s="155">
        <f ca="1">IF(ISNUMBER(MATCH(DATEVALUE($A62),'recurring1_based on steps'!J$1:J$400,0)),J$2,)</f>
        <v>0</v>
      </c>
      <c r="K62" s="155">
        <f ca="1">IF(ISNUMBER(MATCH(DATEVALUE($A62),'recurring1_based on steps'!K$1:K$400,0)),K$2,)</f>
        <v>0</v>
      </c>
      <c r="L62" s="155">
        <f ca="1">IF(ISNUMBER(MATCH(DATEVALUE($A62),'recurring1_based on steps'!L$1:L$400,0)),L$2,)</f>
        <v>0</v>
      </c>
      <c r="M62" s="155">
        <f ca="1">IF(ISNUMBER(MATCH(DATEVALUE($A62),'recurring1_based on steps'!M$1:M$400,0)),M$2,)</f>
        <v>0</v>
      </c>
      <c r="N62" s="155">
        <f ca="1">IF(ISNUMBER(MATCH(DATEVALUE($A62),'recurring1_based on steps'!N$1:N$400,0)),N$2,)</f>
        <v>0</v>
      </c>
      <c r="O62" s="155">
        <f ca="1">IF(ISNUMBER(MATCH(DATEVALUE($A62),'recurring1_based on steps'!O$1:O$400,0)),O$2,)</f>
        <v>0</v>
      </c>
      <c r="P62" s="155">
        <f ca="1">IF(ISNUMBER(MATCH(DATEVALUE($A62),'recurring1_based on steps'!P$1:P$400,0)),P$2,)</f>
        <v>0</v>
      </c>
      <c r="Q62" s="155">
        <f ca="1">IF(ISNUMBER(MATCH(DATEVALUE($A62),'recurring1_based on steps'!Q$1:Q$400,0)),Q$2,)</f>
        <v>0</v>
      </c>
      <c r="R62" s="155">
        <f ca="1">IF(ISNUMBER(MATCH(DATEVALUE($A62),'recurring1_based on steps'!R$1:R$400,0)),R$2,)</f>
        <v>0</v>
      </c>
      <c r="S62" s="155">
        <f ca="1">IF(ISNUMBER(MATCH(DATEVALUE($A62),'recurring1_based on steps'!S$1:S$400,0)),S$2,)</f>
        <v>0</v>
      </c>
      <c r="T62" s="155">
        <f ca="1">IF(ISNUMBER(MATCH(DATEVALUE($A62),'recurring1_based on steps'!T$1:T$400,0)),T$2,)</f>
        <v>0</v>
      </c>
      <c r="U62" s="155">
        <f ca="1">IF(ISNUMBER(MATCH(DATEVALUE($A62),'recurring1_based on steps'!U$1:U$400,0)),U$2,)</f>
        <v>0</v>
      </c>
      <c r="V62" s="155">
        <f ca="1">IF(ISNUMBER(MATCH(DATEVALUE($A62),'recurring1_based on steps'!V$1:V$400,0)),V$2,)</f>
        <v>0</v>
      </c>
      <c r="W62" s="155">
        <f ca="1">IF(ISNUMBER(MATCH(DATEVALUE($A62),'recurring1_based on steps'!W$1:W$400,0)),W$2,)</f>
        <v>0</v>
      </c>
      <c r="X62" s="155">
        <f ca="1">IF(ISNUMBER(MATCH(DATEVALUE($A62),'recurring1_based on steps'!X$1:X$400,0)),X$2,)</f>
        <v>0</v>
      </c>
      <c r="Y62" s="155">
        <f ca="1">IF(ISNUMBER(MATCH(DATEVALUE($A62),'recurring1_based on steps'!Y$1:Y$400,0)),Y$2,)</f>
        <v>0</v>
      </c>
      <c r="Z62" s="155">
        <f ca="1">IF(ISNUMBER(MATCH(DATEVALUE($A62),'recurring1_based on steps'!Z$1:Z$400,0)),Z$2,)</f>
        <v>0</v>
      </c>
      <c r="AA62" s="155">
        <f ca="1">IF(ISNUMBER(MATCH(DATEVALUE($A62),'recurring1_based on steps'!AA$1:AA$400,0)),AA$2,)</f>
        <v>0</v>
      </c>
      <c r="AB62" s="155">
        <f ca="1">IF(ISNUMBER(MATCH(DATEVALUE($A62),'recurring1_based on steps'!AB$1:AB$400,0)),AB$2,)</f>
        <v>0</v>
      </c>
      <c r="AC62" s="155">
        <f ca="1">IF(ISNUMBER(MATCH(DATEVALUE($A62),'recurring1_based on steps'!AC$1:AC$400,0)),AC$2,)</f>
        <v>0</v>
      </c>
      <c r="AD62" s="155">
        <f ca="1">IF(ISNUMBER(MATCH(DATEVALUE($A62),'recurring1_based on steps'!AD$1:AD$400,0)),AD$2,)</f>
        <v>0</v>
      </c>
      <c r="AE62" s="155">
        <f ca="1">IF(ISNUMBER(MATCH(DATEVALUE($A62),'recurring1_based on steps'!AE$1:AE$400,0)),AE$2,)</f>
        <v>0</v>
      </c>
      <c r="AF62" s="155">
        <f ca="1">IF(ISNUMBER(MATCH(DATEVALUE($A62),'recurring1_based on steps'!AF$1:AF$400,0)),AF$2,)</f>
        <v>0</v>
      </c>
      <c r="AG62" s="155">
        <f ca="1">IF(ISNUMBER(MATCH(DATEVALUE($A62),'recurring1_based on steps'!AG$1:AG$400,0)),AG$2,)</f>
        <v>0</v>
      </c>
      <c r="AH62" s="155">
        <f ca="1">IF(ISNUMBER(MATCH(DATEVALUE($A62),'recurring1_based on steps'!AH$1:AH$400,0)),AH$2,)</f>
        <v>0</v>
      </c>
      <c r="AI62" s="155">
        <f ca="1">IF(ISNUMBER(MATCH(DATEVALUE($A62),'recurring1_based on steps'!AI$1:AI$400,0)),AI$2,)</f>
        <v>0</v>
      </c>
      <c r="AJ62" s="155">
        <f ca="1">IF(ISNUMBER(MATCH(DATEVALUE($A62),'recurring1_based on steps'!AJ$1:AJ$400,0)),AJ$2,)</f>
        <v>0</v>
      </c>
      <c r="AK62" s="155">
        <f ca="1">IF(ISNUMBER(MATCH(DATEVALUE($A62),'recurring1_based on steps'!AK$1:AK$400,0)),AK$2,)</f>
        <v>0</v>
      </c>
      <c r="AL62" s="155">
        <f ca="1">IF(ISNUMBER(MATCH(DATEVALUE($A62),'recurring1_based on steps'!AL$1:AL$400,0)),AL$2,)</f>
        <v>0</v>
      </c>
      <c r="AM62" s="155">
        <f ca="1">IF(ISNUMBER(MATCH(DATEVALUE($A62),'recurring1_based on steps'!AM$1:AM$400,0)),AM$2,)</f>
        <v>0</v>
      </c>
      <c r="AN62" s="155">
        <f ca="1">IF(ISNUMBER(MATCH(DATEVALUE($A62),'recurring1_based on steps'!AN$1:AN$400,0)),AN$2,)</f>
        <v>0</v>
      </c>
      <c r="AO62" s="155">
        <f ca="1">IF(ISNUMBER(MATCH(DATEVALUE($A62),'recurring1_based on steps'!AO$1:AO$400,0)),AO$2,)</f>
        <v>0</v>
      </c>
      <c r="AP62" s="155">
        <f ca="1">IF(ISNUMBER(MATCH(DATEVALUE($A62),'recurring1_based on steps'!AP$1:AP$400,0)),AP$2,)</f>
        <v>0</v>
      </c>
      <c r="AQ62" s="155">
        <f ca="1">IF(ISNUMBER(MATCH(DATEVALUE($A62),'recurring1_based on steps'!AQ$1:AQ$400,0)),AQ$2,)</f>
        <v>0</v>
      </c>
      <c r="AR62" s="155">
        <f ca="1">IF(ISNUMBER(MATCH(DATEVALUE($A62),'recurring1_based on steps'!AR$1:AR$400,0)),AR$2,)</f>
        <v>0</v>
      </c>
      <c r="AS62" s="155">
        <f ca="1">IF(ISNUMBER(MATCH(DATEVALUE($A62),'recurring1_based on steps'!AS$1:AS$400,0)),AS$2,)</f>
        <v>0</v>
      </c>
      <c r="AT62" s="155">
        <f ca="1">IF(ISNUMBER(MATCH(DATEVALUE($A62),'recurring1_based on steps'!AT$1:AT$400,0)),AT$2,)</f>
        <v>0</v>
      </c>
      <c r="AU62" s="155">
        <f ca="1">IF(ISNUMBER(MATCH(DATEVALUE($A62),'recurring1_based on steps'!AU$1:AU$400,0)),AU$2,)</f>
        <v>0</v>
      </c>
      <c r="AV62" s="155">
        <f ca="1">IF(ISNUMBER(MATCH(DATEVALUE($A62),'recurring1_based on steps'!AV$1:AV$400,0)),AV$2,)</f>
        <v>0</v>
      </c>
      <c r="AW62" s="155">
        <f ca="1">IF(ISNUMBER(MATCH(DATEVALUE($A62),'recurring1_based on steps'!AW$1:AW$400,0)),AW$2,)</f>
        <v>0</v>
      </c>
      <c r="AX62" s="155">
        <f ca="1">IF(ISNUMBER(MATCH(DATEVALUE($A62),'recurring1_based on steps'!AX$1:AX$400,0)),AX$2,)</f>
        <v>0</v>
      </c>
      <c r="AY62" s="155">
        <f ca="1">IF(ISNUMBER(MATCH(DATEVALUE($A62),'recurring1_based on steps'!AY$1:AY$400,0)),AY$2,)</f>
        <v>0</v>
      </c>
    </row>
    <row r="63" spans="1:51" x14ac:dyDescent="0.2">
      <c r="A63" s="18" t="str">
        <f t="shared" ca="1" si="0"/>
        <v>2025-04-02</v>
      </c>
      <c r="B63" s="155">
        <f ca="1">IF(ISNUMBER(MATCH(DATEVALUE($A63),'recurring1_based on steps'!B$1:B$400,0)),B$2,)</f>
        <v>0</v>
      </c>
      <c r="C63" s="155">
        <f ca="1">IF(ISNUMBER(MATCH(DATEVALUE($A63),'recurring1_based on steps'!C$1:C$400,0)),C$2,)</f>
        <v>0</v>
      </c>
      <c r="D63" s="155">
        <f ca="1">IF(ISNUMBER(MATCH(DATEVALUE($A63),'recurring1_based on steps'!D$1:D$400,0)),D$2,)</f>
        <v>0</v>
      </c>
      <c r="E63" s="155">
        <f ca="1">IF(ISNUMBER(MATCH(DATEVALUE($A63),'recurring1_based on steps'!E$1:E$400,0)),E$2,)</f>
        <v>0</v>
      </c>
      <c r="F63" s="155">
        <f ca="1">IF(ISNUMBER(MATCH(DATEVALUE($A63),'recurring1_based on steps'!F$1:F$400,0)),F$2,)</f>
        <v>0</v>
      </c>
      <c r="G63" s="155">
        <f ca="1">IF(ISNUMBER(MATCH(DATEVALUE($A63),'recurring1_based on steps'!G$1:G$400,0)),G$2,)</f>
        <v>0</v>
      </c>
      <c r="H63" s="155">
        <f ca="1">IF(ISNUMBER(MATCH(DATEVALUE($A63),'recurring1_based on steps'!H$1:H$400,0)),H$2,)</f>
        <v>0</v>
      </c>
      <c r="I63" s="155">
        <f ca="1">IF(ISNUMBER(MATCH(DATEVALUE($A63),'recurring1_based on steps'!I$1:I$400,0)),I$2,)</f>
        <v>0</v>
      </c>
      <c r="J63" s="155">
        <f ca="1">IF(ISNUMBER(MATCH(DATEVALUE($A63),'recurring1_based on steps'!J$1:J$400,0)),J$2,)</f>
        <v>0</v>
      </c>
      <c r="K63" s="155">
        <f ca="1">IF(ISNUMBER(MATCH(DATEVALUE($A63),'recurring1_based on steps'!K$1:K$400,0)),K$2,)</f>
        <v>0</v>
      </c>
      <c r="L63" s="155">
        <f ca="1">IF(ISNUMBER(MATCH(DATEVALUE($A63),'recurring1_based on steps'!L$1:L$400,0)),L$2,)</f>
        <v>0</v>
      </c>
      <c r="M63" s="155">
        <f ca="1">IF(ISNUMBER(MATCH(DATEVALUE($A63),'recurring1_based on steps'!M$1:M$400,0)),M$2,)</f>
        <v>0</v>
      </c>
      <c r="N63" s="155">
        <f ca="1">IF(ISNUMBER(MATCH(DATEVALUE($A63),'recurring1_based on steps'!N$1:N$400,0)),N$2,)</f>
        <v>0</v>
      </c>
      <c r="O63" s="155">
        <f ca="1">IF(ISNUMBER(MATCH(DATEVALUE($A63),'recurring1_based on steps'!O$1:O$400,0)),O$2,)</f>
        <v>0</v>
      </c>
      <c r="P63" s="155">
        <f ca="1">IF(ISNUMBER(MATCH(DATEVALUE($A63),'recurring1_based on steps'!P$1:P$400,0)),P$2,)</f>
        <v>0</v>
      </c>
      <c r="Q63" s="155">
        <f ca="1">IF(ISNUMBER(MATCH(DATEVALUE($A63),'recurring1_based on steps'!Q$1:Q$400,0)),Q$2,)</f>
        <v>0</v>
      </c>
      <c r="R63" s="155">
        <f ca="1">IF(ISNUMBER(MATCH(DATEVALUE($A63),'recurring1_based on steps'!R$1:R$400,0)),R$2,)</f>
        <v>0</v>
      </c>
      <c r="S63" s="155">
        <f ca="1">IF(ISNUMBER(MATCH(DATEVALUE($A63),'recurring1_based on steps'!S$1:S$400,0)),S$2,)</f>
        <v>0</v>
      </c>
      <c r="T63" s="155">
        <f ca="1">IF(ISNUMBER(MATCH(DATEVALUE($A63),'recurring1_based on steps'!T$1:T$400,0)),T$2,)</f>
        <v>0</v>
      </c>
      <c r="U63" s="155">
        <f ca="1">IF(ISNUMBER(MATCH(DATEVALUE($A63),'recurring1_based on steps'!U$1:U$400,0)),U$2,)</f>
        <v>0</v>
      </c>
      <c r="V63" s="155">
        <f ca="1">IF(ISNUMBER(MATCH(DATEVALUE($A63),'recurring1_based on steps'!V$1:V$400,0)),V$2,)</f>
        <v>0</v>
      </c>
      <c r="W63" s="155">
        <f ca="1">IF(ISNUMBER(MATCH(DATEVALUE($A63),'recurring1_based on steps'!W$1:W$400,0)),W$2,)</f>
        <v>0</v>
      </c>
      <c r="X63" s="155">
        <f ca="1">IF(ISNUMBER(MATCH(DATEVALUE($A63),'recurring1_based on steps'!X$1:X$400,0)),X$2,)</f>
        <v>0</v>
      </c>
      <c r="Y63" s="155">
        <f ca="1">IF(ISNUMBER(MATCH(DATEVALUE($A63),'recurring1_based on steps'!Y$1:Y$400,0)),Y$2,)</f>
        <v>0</v>
      </c>
      <c r="Z63" s="155">
        <f ca="1">IF(ISNUMBER(MATCH(DATEVALUE($A63),'recurring1_based on steps'!Z$1:Z$400,0)),Z$2,)</f>
        <v>0</v>
      </c>
      <c r="AA63" s="155">
        <f ca="1">IF(ISNUMBER(MATCH(DATEVALUE($A63),'recurring1_based on steps'!AA$1:AA$400,0)),AA$2,)</f>
        <v>0</v>
      </c>
      <c r="AB63" s="155">
        <f ca="1">IF(ISNUMBER(MATCH(DATEVALUE($A63),'recurring1_based on steps'!AB$1:AB$400,0)),AB$2,)</f>
        <v>0</v>
      </c>
      <c r="AC63" s="155">
        <f ca="1">IF(ISNUMBER(MATCH(DATEVALUE($A63),'recurring1_based on steps'!AC$1:AC$400,0)),AC$2,)</f>
        <v>0</v>
      </c>
      <c r="AD63" s="155">
        <f ca="1">IF(ISNUMBER(MATCH(DATEVALUE($A63),'recurring1_based on steps'!AD$1:AD$400,0)),AD$2,)</f>
        <v>0</v>
      </c>
      <c r="AE63" s="155">
        <f ca="1">IF(ISNUMBER(MATCH(DATEVALUE($A63),'recurring1_based on steps'!AE$1:AE$400,0)),AE$2,)</f>
        <v>0</v>
      </c>
      <c r="AF63" s="155">
        <f ca="1">IF(ISNUMBER(MATCH(DATEVALUE($A63),'recurring1_based on steps'!AF$1:AF$400,0)),AF$2,)</f>
        <v>0</v>
      </c>
      <c r="AG63" s="155">
        <f ca="1">IF(ISNUMBER(MATCH(DATEVALUE($A63),'recurring1_based on steps'!AG$1:AG$400,0)),AG$2,)</f>
        <v>0</v>
      </c>
      <c r="AH63" s="155">
        <f ca="1">IF(ISNUMBER(MATCH(DATEVALUE($A63),'recurring1_based on steps'!AH$1:AH$400,0)),AH$2,)</f>
        <v>0</v>
      </c>
      <c r="AI63" s="155">
        <f ca="1">IF(ISNUMBER(MATCH(DATEVALUE($A63),'recurring1_based on steps'!AI$1:AI$400,0)),AI$2,)</f>
        <v>0</v>
      </c>
      <c r="AJ63" s="155">
        <f ca="1">IF(ISNUMBER(MATCH(DATEVALUE($A63),'recurring1_based on steps'!AJ$1:AJ$400,0)),AJ$2,)</f>
        <v>0</v>
      </c>
      <c r="AK63" s="155">
        <f ca="1">IF(ISNUMBER(MATCH(DATEVALUE($A63),'recurring1_based on steps'!AK$1:AK$400,0)),AK$2,)</f>
        <v>0</v>
      </c>
      <c r="AL63" s="155">
        <f ca="1">IF(ISNUMBER(MATCH(DATEVALUE($A63),'recurring1_based on steps'!AL$1:AL$400,0)),AL$2,)</f>
        <v>0</v>
      </c>
      <c r="AM63" s="155">
        <f ca="1">IF(ISNUMBER(MATCH(DATEVALUE($A63),'recurring1_based on steps'!AM$1:AM$400,0)),AM$2,)</f>
        <v>0</v>
      </c>
      <c r="AN63" s="155">
        <f ca="1">IF(ISNUMBER(MATCH(DATEVALUE($A63),'recurring1_based on steps'!AN$1:AN$400,0)),AN$2,)</f>
        <v>0</v>
      </c>
      <c r="AO63" s="155">
        <f ca="1">IF(ISNUMBER(MATCH(DATEVALUE($A63),'recurring1_based on steps'!AO$1:AO$400,0)),AO$2,)</f>
        <v>0</v>
      </c>
      <c r="AP63" s="155">
        <f ca="1">IF(ISNUMBER(MATCH(DATEVALUE($A63),'recurring1_based on steps'!AP$1:AP$400,0)),AP$2,)</f>
        <v>0</v>
      </c>
      <c r="AQ63" s="155">
        <f ca="1">IF(ISNUMBER(MATCH(DATEVALUE($A63),'recurring1_based on steps'!AQ$1:AQ$400,0)),AQ$2,)</f>
        <v>0</v>
      </c>
      <c r="AR63" s="155">
        <f ca="1">IF(ISNUMBER(MATCH(DATEVALUE($A63),'recurring1_based on steps'!AR$1:AR$400,0)),AR$2,)</f>
        <v>0</v>
      </c>
      <c r="AS63" s="155">
        <f ca="1">IF(ISNUMBER(MATCH(DATEVALUE($A63),'recurring1_based on steps'!AS$1:AS$400,0)),AS$2,)</f>
        <v>0</v>
      </c>
      <c r="AT63" s="155">
        <f ca="1">IF(ISNUMBER(MATCH(DATEVALUE($A63),'recurring1_based on steps'!AT$1:AT$400,0)),AT$2,)</f>
        <v>0</v>
      </c>
      <c r="AU63" s="155">
        <f ca="1">IF(ISNUMBER(MATCH(DATEVALUE($A63),'recurring1_based on steps'!AU$1:AU$400,0)),AU$2,)</f>
        <v>0</v>
      </c>
      <c r="AV63" s="155">
        <f ca="1">IF(ISNUMBER(MATCH(DATEVALUE($A63),'recurring1_based on steps'!AV$1:AV$400,0)),AV$2,)</f>
        <v>0</v>
      </c>
      <c r="AW63" s="155">
        <f ca="1">IF(ISNUMBER(MATCH(DATEVALUE($A63),'recurring1_based on steps'!AW$1:AW$400,0)),AW$2,)</f>
        <v>0</v>
      </c>
      <c r="AX63" s="155">
        <f ca="1">IF(ISNUMBER(MATCH(DATEVALUE($A63),'recurring1_based on steps'!AX$1:AX$400,0)),AX$2,)</f>
        <v>0</v>
      </c>
      <c r="AY63" s="155">
        <f ca="1">IF(ISNUMBER(MATCH(DATEVALUE($A63),'recurring1_based on steps'!AY$1:AY$400,0)),AY$2,)</f>
        <v>0</v>
      </c>
    </row>
    <row r="64" spans="1:51" x14ac:dyDescent="0.2">
      <c r="A64" s="18" t="str">
        <f t="shared" ca="1" si="0"/>
        <v>2025-04-03</v>
      </c>
      <c r="B64" s="155">
        <f ca="1">IF(ISNUMBER(MATCH(DATEVALUE($A64),'recurring1_based on steps'!B$1:B$400,0)),B$2,)</f>
        <v>0</v>
      </c>
      <c r="C64" s="155">
        <f ca="1">IF(ISNUMBER(MATCH(DATEVALUE($A64),'recurring1_based on steps'!C$1:C$400,0)),C$2,)</f>
        <v>0</v>
      </c>
      <c r="D64" s="155">
        <f ca="1">IF(ISNUMBER(MATCH(DATEVALUE($A64),'recurring1_based on steps'!D$1:D$400,0)),D$2,)</f>
        <v>0</v>
      </c>
      <c r="E64" s="155">
        <f ca="1">IF(ISNUMBER(MATCH(DATEVALUE($A64),'recurring1_based on steps'!E$1:E$400,0)),E$2,)</f>
        <v>0</v>
      </c>
      <c r="F64" s="155">
        <f ca="1">IF(ISNUMBER(MATCH(DATEVALUE($A64),'recurring1_based on steps'!F$1:F$400,0)),F$2,)</f>
        <v>0</v>
      </c>
      <c r="G64" s="155">
        <f ca="1">IF(ISNUMBER(MATCH(DATEVALUE($A64),'recurring1_based on steps'!G$1:G$400,0)),G$2,)</f>
        <v>0</v>
      </c>
      <c r="H64" s="155">
        <f ca="1">IF(ISNUMBER(MATCH(DATEVALUE($A64),'recurring1_based on steps'!H$1:H$400,0)),H$2,)</f>
        <v>0</v>
      </c>
      <c r="I64" s="155">
        <f ca="1">IF(ISNUMBER(MATCH(DATEVALUE($A64),'recurring1_based on steps'!I$1:I$400,0)),I$2,)</f>
        <v>0</v>
      </c>
      <c r="J64" s="155">
        <f ca="1">IF(ISNUMBER(MATCH(DATEVALUE($A64),'recurring1_based on steps'!J$1:J$400,0)),J$2,)</f>
        <v>0</v>
      </c>
      <c r="K64" s="155">
        <f ca="1">IF(ISNUMBER(MATCH(DATEVALUE($A64),'recurring1_based on steps'!K$1:K$400,0)),K$2,)</f>
        <v>0</v>
      </c>
      <c r="L64" s="155">
        <f ca="1">IF(ISNUMBER(MATCH(DATEVALUE($A64),'recurring1_based on steps'!L$1:L$400,0)),L$2,)</f>
        <v>0</v>
      </c>
      <c r="M64" s="155">
        <f ca="1">IF(ISNUMBER(MATCH(DATEVALUE($A64),'recurring1_based on steps'!M$1:M$400,0)),M$2,)</f>
        <v>0</v>
      </c>
      <c r="N64" s="155">
        <f ca="1">IF(ISNUMBER(MATCH(DATEVALUE($A64),'recurring1_based on steps'!N$1:N$400,0)),N$2,)</f>
        <v>0</v>
      </c>
      <c r="O64" s="155">
        <f ca="1">IF(ISNUMBER(MATCH(DATEVALUE($A64),'recurring1_based on steps'!O$1:O$400,0)),O$2,)</f>
        <v>0</v>
      </c>
      <c r="P64" s="155">
        <f ca="1">IF(ISNUMBER(MATCH(DATEVALUE($A64),'recurring1_based on steps'!P$1:P$400,0)),P$2,)</f>
        <v>0</v>
      </c>
      <c r="Q64" s="155">
        <f ca="1">IF(ISNUMBER(MATCH(DATEVALUE($A64),'recurring1_based on steps'!Q$1:Q$400,0)),Q$2,)</f>
        <v>0</v>
      </c>
      <c r="R64" s="155">
        <f ca="1">IF(ISNUMBER(MATCH(DATEVALUE($A64),'recurring1_based on steps'!R$1:R$400,0)),R$2,)</f>
        <v>0</v>
      </c>
      <c r="S64" s="155">
        <f ca="1">IF(ISNUMBER(MATCH(DATEVALUE($A64),'recurring1_based on steps'!S$1:S$400,0)),S$2,)</f>
        <v>0</v>
      </c>
      <c r="T64" s="155">
        <f ca="1">IF(ISNUMBER(MATCH(DATEVALUE($A64),'recurring1_based on steps'!T$1:T$400,0)),T$2,)</f>
        <v>0</v>
      </c>
      <c r="U64" s="155">
        <f ca="1">IF(ISNUMBER(MATCH(DATEVALUE($A64),'recurring1_based on steps'!U$1:U$400,0)),U$2,)</f>
        <v>0</v>
      </c>
      <c r="V64" s="155">
        <f ca="1">IF(ISNUMBER(MATCH(DATEVALUE($A64),'recurring1_based on steps'!V$1:V$400,0)),V$2,)</f>
        <v>0</v>
      </c>
      <c r="W64" s="155">
        <f ca="1">IF(ISNUMBER(MATCH(DATEVALUE($A64),'recurring1_based on steps'!W$1:W$400,0)),W$2,)</f>
        <v>0</v>
      </c>
      <c r="X64" s="155">
        <f ca="1">IF(ISNUMBER(MATCH(DATEVALUE($A64),'recurring1_based on steps'!X$1:X$400,0)),X$2,)</f>
        <v>0</v>
      </c>
      <c r="Y64" s="155">
        <f ca="1">IF(ISNUMBER(MATCH(DATEVALUE($A64),'recurring1_based on steps'!Y$1:Y$400,0)),Y$2,)</f>
        <v>0</v>
      </c>
      <c r="Z64" s="155">
        <f ca="1">IF(ISNUMBER(MATCH(DATEVALUE($A64),'recurring1_based on steps'!Z$1:Z$400,0)),Z$2,)</f>
        <v>0</v>
      </c>
      <c r="AA64" s="155">
        <f ca="1">IF(ISNUMBER(MATCH(DATEVALUE($A64),'recurring1_based on steps'!AA$1:AA$400,0)),AA$2,)</f>
        <v>0</v>
      </c>
      <c r="AB64" s="155">
        <f ca="1">IF(ISNUMBER(MATCH(DATEVALUE($A64),'recurring1_based on steps'!AB$1:AB$400,0)),AB$2,)</f>
        <v>0</v>
      </c>
      <c r="AC64" s="155">
        <f ca="1">IF(ISNUMBER(MATCH(DATEVALUE($A64),'recurring1_based on steps'!AC$1:AC$400,0)),AC$2,)</f>
        <v>0</v>
      </c>
      <c r="AD64" s="155">
        <f ca="1">IF(ISNUMBER(MATCH(DATEVALUE($A64),'recurring1_based on steps'!AD$1:AD$400,0)),AD$2,)</f>
        <v>0</v>
      </c>
      <c r="AE64" s="155">
        <f ca="1">IF(ISNUMBER(MATCH(DATEVALUE($A64),'recurring1_based on steps'!AE$1:AE$400,0)),AE$2,)</f>
        <v>0</v>
      </c>
      <c r="AF64" s="155">
        <f ca="1">IF(ISNUMBER(MATCH(DATEVALUE($A64),'recurring1_based on steps'!AF$1:AF$400,0)),AF$2,)</f>
        <v>0</v>
      </c>
      <c r="AG64" s="155">
        <f ca="1">IF(ISNUMBER(MATCH(DATEVALUE($A64),'recurring1_based on steps'!AG$1:AG$400,0)),AG$2,)</f>
        <v>0</v>
      </c>
      <c r="AH64" s="155">
        <f ca="1">IF(ISNUMBER(MATCH(DATEVALUE($A64),'recurring1_based on steps'!AH$1:AH$400,0)),AH$2,)</f>
        <v>0</v>
      </c>
      <c r="AI64" s="155">
        <f ca="1">IF(ISNUMBER(MATCH(DATEVALUE($A64),'recurring1_based on steps'!AI$1:AI$400,0)),AI$2,)</f>
        <v>0</v>
      </c>
      <c r="AJ64" s="155">
        <f ca="1">IF(ISNUMBER(MATCH(DATEVALUE($A64),'recurring1_based on steps'!AJ$1:AJ$400,0)),AJ$2,)</f>
        <v>0</v>
      </c>
      <c r="AK64" s="155">
        <f ca="1">IF(ISNUMBER(MATCH(DATEVALUE($A64),'recurring1_based on steps'!AK$1:AK$400,0)),AK$2,)</f>
        <v>0</v>
      </c>
      <c r="AL64" s="155">
        <f ca="1">IF(ISNUMBER(MATCH(DATEVALUE($A64),'recurring1_based on steps'!AL$1:AL$400,0)),AL$2,)</f>
        <v>0</v>
      </c>
      <c r="AM64" s="155">
        <f ca="1">IF(ISNUMBER(MATCH(DATEVALUE($A64),'recurring1_based on steps'!AM$1:AM$400,0)),AM$2,)</f>
        <v>0</v>
      </c>
      <c r="AN64" s="155">
        <f ca="1">IF(ISNUMBER(MATCH(DATEVALUE($A64),'recurring1_based on steps'!AN$1:AN$400,0)),AN$2,)</f>
        <v>0</v>
      </c>
      <c r="AO64" s="155">
        <f ca="1">IF(ISNUMBER(MATCH(DATEVALUE($A64),'recurring1_based on steps'!AO$1:AO$400,0)),AO$2,)</f>
        <v>0</v>
      </c>
      <c r="AP64" s="155">
        <f ca="1">IF(ISNUMBER(MATCH(DATEVALUE($A64),'recurring1_based on steps'!AP$1:AP$400,0)),AP$2,)</f>
        <v>0</v>
      </c>
      <c r="AQ64" s="155">
        <f ca="1">IF(ISNUMBER(MATCH(DATEVALUE($A64),'recurring1_based on steps'!AQ$1:AQ$400,0)),AQ$2,)</f>
        <v>0</v>
      </c>
      <c r="AR64" s="155">
        <f ca="1">IF(ISNUMBER(MATCH(DATEVALUE($A64),'recurring1_based on steps'!AR$1:AR$400,0)),AR$2,)</f>
        <v>0</v>
      </c>
      <c r="AS64" s="155">
        <f ca="1">IF(ISNUMBER(MATCH(DATEVALUE($A64),'recurring1_based on steps'!AS$1:AS$400,0)),AS$2,)</f>
        <v>0</v>
      </c>
      <c r="AT64" s="155">
        <f ca="1">IF(ISNUMBER(MATCH(DATEVALUE($A64),'recurring1_based on steps'!AT$1:AT$400,0)),AT$2,)</f>
        <v>0</v>
      </c>
      <c r="AU64" s="155">
        <f ca="1">IF(ISNUMBER(MATCH(DATEVALUE($A64),'recurring1_based on steps'!AU$1:AU$400,0)),AU$2,)</f>
        <v>0</v>
      </c>
      <c r="AV64" s="155">
        <f ca="1">IF(ISNUMBER(MATCH(DATEVALUE($A64),'recurring1_based on steps'!AV$1:AV$400,0)),AV$2,)</f>
        <v>0</v>
      </c>
      <c r="AW64" s="155">
        <f ca="1">IF(ISNUMBER(MATCH(DATEVALUE($A64),'recurring1_based on steps'!AW$1:AW$400,0)),AW$2,)</f>
        <v>0</v>
      </c>
      <c r="AX64" s="155">
        <f ca="1">IF(ISNUMBER(MATCH(DATEVALUE($A64),'recurring1_based on steps'!AX$1:AX$400,0)),AX$2,)</f>
        <v>0</v>
      </c>
      <c r="AY64" s="155">
        <f ca="1">IF(ISNUMBER(MATCH(DATEVALUE($A64),'recurring1_based on steps'!AY$1:AY$400,0)),AY$2,)</f>
        <v>0</v>
      </c>
    </row>
    <row r="65" spans="1:51" x14ac:dyDescent="0.2">
      <c r="A65" s="18" t="str">
        <f t="shared" ca="1" si="0"/>
        <v>2025-04-04</v>
      </c>
      <c r="B65" s="155">
        <f ca="1">IF(ISNUMBER(MATCH(DATEVALUE($A65),'recurring1_based on steps'!B$1:B$400,0)),B$2,)</f>
        <v>4000</v>
      </c>
      <c r="C65" s="155">
        <f ca="1">IF(ISNUMBER(MATCH(DATEVALUE($A65),'recurring1_based on steps'!C$1:C$400,0)),C$2,)</f>
        <v>200</v>
      </c>
      <c r="D65" s="155">
        <f ca="1">IF(ISNUMBER(MATCH(DATEVALUE($A65),'recurring1_based on steps'!D$1:D$400,0)),D$2,)</f>
        <v>2</v>
      </c>
      <c r="E65" s="155">
        <f ca="1">IF(ISNUMBER(MATCH(DATEVALUE($A65),'recurring1_based on steps'!E$1:E$400,0)),E$2,)</f>
        <v>40</v>
      </c>
      <c r="F65" s="155">
        <f ca="1">IF(ISNUMBER(MATCH(DATEVALUE($A65),'recurring1_based on steps'!F$1:F$400,0)),F$2,)</f>
        <v>50</v>
      </c>
      <c r="G65" s="155">
        <f ca="1">IF(ISNUMBER(MATCH(DATEVALUE($A65),'recurring1_based on steps'!G$1:G$400,0)),G$2,)</f>
        <v>4</v>
      </c>
      <c r="H65" s="155">
        <f ca="1">IF(ISNUMBER(MATCH(DATEVALUE($A65),'recurring1_based on steps'!H$1:H$400,0)),H$2,)</f>
        <v>0</v>
      </c>
      <c r="I65" s="155">
        <f ca="1">IF(ISNUMBER(MATCH(DATEVALUE($A65),'recurring1_based on steps'!I$1:I$400,0)),I$2,)</f>
        <v>0</v>
      </c>
      <c r="J65" s="155">
        <f ca="1">IF(ISNUMBER(MATCH(DATEVALUE($A65),'recurring1_based on steps'!J$1:J$400,0)),J$2,)</f>
        <v>0</v>
      </c>
      <c r="K65" s="155">
        <f ca="1">IF(ISNUMBER(MATCH(DATEVALUE($A65),'recurring1_based on steps'!K$1:K$400,0)),K$2,)</f>
        <v>0</v>
      </c>
      <c r="L65" s="155">
        <f ca="1">IF(ISNUMBER(MATCH(DATEVALUE($A65),'recurring1_based on steps'!L$1:L$400,0)),L$2,)</f>
        <v>0</v>
      </c>
      <c r="M65" s="155">
        <f ca="1">IF(ISNUMBER(MATCH(DATEVALUE($A65),'recurring1_based on steps'!M$1:M$400,0)),M$2,)</f>
        <v>15</v>
      </c>
      <c r="N65" s="155">
        <f ca="1">IF(ISNUMBER(MATCH(DATEVALUE($A65),'recurring1_based on steps'!N$1:N$400,0)),N$2,)</f>
        <v>0</v>
      </c>
      <c r="O65" s="155">
        <f ca="1">IF(ISNUMBER(MATCH(DATEVALUE($A65),'recurring1_based on steps'!O$1:O$400,0)),O$2,)</f>
        <v>0</v>
      </c>
      <c r="P65" s="155">
        <f ca="1">IF(ISNUMBER(MATCH(DATEVALUE($A65),'recurring1_based on steps'!P$1:P$400,0)),P$2,)</f>
        <v>0</v>
      </c>
      <c r="Q65" s="155">
        <f ca="1">IF(ISNUMBER(MATCH(DATEVALUE($A65),'recurring1_based on steps'!Q$1:Q$400,0)),Q$2,)</f>
        <v>0</v>
      </c>
      <c r="R65" s="155">
        <f ca="1">IF(ISNUMBER(MATCH(DATEVALUE($A65),'recurring1_based on steps'!R$1:R$400,0)),R$2,)</f>
        <v>0</v>
      </c>
      <c r="S65" s="155">
        <f ca="1">IF(ISNUMBER(MATCH(DATEVALUE($A65),'recurring1_based on steps'!S$1:S$400,0)),S$2,)</f>
        <v>0</v>
      </c>
      <c r="T65" s="155">
        <f ca="1">IF(ISNUMBER(MATCH(DATEVALUE($A65),'recurring1_based on steps'!T$1:T$400,0)),T$2,)</f>
        <v>0</v>
      </c>
      <c r="U65" s="155">
        <f ca="1">IF(ISNUMBER(MATCH(DATEVALUE($A65),'recurring1_based on steps'!U$1:U$400,0)),U$2,)</f>
        <v>0</v>
      </c>
      <c r="V65" s="155">
        <f ca="1">IF(ISNUMBER(MATCH(DATEVALUE($A65),'recurring1_based on steps'!V$1:V$400,0)),V$2,)</f>
        <v>0</v>
      </c>
      <c r="W65" s="155">
        <f ca="1">IF(ISNUMBER(MATCH(DATEVALUE($A65),'recurring1_based on steps'!W$1:W$400,0)),W$2,)</f>
        <v>0</v>
      </c>
      <c r="X65" s="155">
        <f ca="1">IF(ISNUMBER(MATCH(DATEVALUE($A65),'recurring1_based on steps'!X$1:X$400,0)),X$2,)</f>
        <v>50</v>
      </c>
      <c r="Y65" s="155">
        <f ca="1">IF(ISNUMBER(MATCH(DATEVALUE($A65),'recurring1_based on steps'!Y$1:Y$400,0)),Y$2,)</f>
        <v>0</v>
      </c>
      <c r="Z65" s="155">
        <f ca="1">IF(ISNUMBER(MATCH(DATEVALUE($A65),'recurring1_based on steps'!Z$1:Z$400,0)),Z$2,)</f>
        <v>0</v>
      </c>
      <c r="AA65" s="155">
        <f ca="1">IF(ISNUMBER(MATCH(DATEVALUE($A65),'recurring1_based on steps'!AA$1:AA$400,0)),AA$2,)</f>
        <v>0</v>
      </c>
      <c r="AB65" s="155">
        <f ca="1">IF(ISNUMBER(MATCH(DATEVALUE($A65),'recurring1_based on steps'!AB$1:AB$400,0)),AB$2,)</f>
        <v>0</v>
      </c>
      <c r="AC65" s="155">
        <f ca="1">IF(ISNUMBER(MATCH(DATEVALUE($A65),'recurring1_based on steps'!AC$1:AC$400,0)),AC$2,)</f>
        <v>0</v>
      </c>
      <c r="AD65" s="155">
        <f ca="1">IF(ISNUMBER(MATCH(DATEVALUE($A65),'recurring1_based on steps'!AD$1:AD$400,0)),AD$2,)</f>
        <v>0</v>
      </c>
      <c r="AE65" s="155">
        <f ca="1">IF(ISNUMBER(MATCH(DATEVALUE($A65),'recurring1_based on steps'!AE$1:AE$400,0)),AE$2,)</f>
        <v>0</v>
      </c>
      <c r="AF65" s="155">
        <f ca="1">IF(ISNUMBER(MATCH(DATEVALUE($A65),'recurring1_based on steps'!AF$1:AF$400,0)),AF$2,)</f>
        <v>0</v>
      </c>
      <c r="AG65" s="155">
        <f ca="1">IF(ISNUMBER(MATCH(DATEVALUE($A65),'recurring1_based on steps'!AG$1:AG$400,0)),AG$2,)</f>
        <v>0</v>
      </c>
      <c r="AH65" s="155">
        <f ca="1">IF(ISNUMBER(MATCH(DATEVALUE($A65),'recurring1_based on steps'!AH$1:AH$400,0)),AH$2,)</f>
        <v>0</v>
      </c>
      <c r="AI65" s="155">
        <f ca="1">IF(ISNUMBER(MATCH(DATEVALUE($A65),'recurring1_based on steps'!AI$1:AI$400,0)),AI$2,)</f>
        <v>0</v>
      </c>
      <c r="AJ65" s="155">
        <f ca="1">IF(ISNUMBER(MATCH(DATEVALUE($A65),'recurring1_based on steps'!AJ$1:AJ$400,0)),AJ$2,)</f>
        <v>0</v>
      </c>
      <c r="AK65" s="155">
        <f ca="1">IF(ISNUMBER(MATCH(DATEVALUE($A65),'recurring1_based on steps'!AK$1:AK$400,0)),AK$2,)</f>
        <v>0</v>
      </c>
      <c r="AL65" s="155">
        <f ca="1">IF(ISNUMBER(MATCH(DATEVALUE($A65),'recurring1_based on steps'!AL$1:AL$400,0)),AL$2,)</f>
        <v>0</v>
      </c>
      <c r="AM65" s="155">
        <f ca="1">IF(ISNUMBER(MATCH(DATEVALUE($A65),'recurring1_based on steps'!AM$1:AM$400,0)),AM$2,)</f>
        <v>0</v>
      </c>
      <c r="AN65" s="155">
        <f ca="1">IF(ISNUMBER(MATCH(DATEVALUE($A65),'recurring1_based on steps'!AN$1:AN$400,0)),AN$2,)</f>
        <v>0</v>
      </c>
      <c r="AO65" s="155">
        <f ca="1">IF(ISNUMBER(MATCH(DATEVALUE($A65),'recurring1_based on steps'!AO$1:AO$400,0)),AO$2,)</f>
        <v>0</v>
      </c>
      <c r="AP65" s="155">
        <f ca="1">IF(ISNUMBER(MATCH(DATEVALUE($A65),'recurring1_based on steps'!AP$1:AP$400,0)),AP$2,)</f>
        <v>0</v>
      </c>
      <c r="AQ65" s="155">
        <f ca="1">IF(ISNUMBER(MATCH(DATEVALUE($A65),'recurring1_based on steps'!AQ$1:AQ$400,0)),AQ$2,)</f>
        <v>0</v>
      </c>
      <c r="AR65" s="155">
        <f ca="1">IF(ISNUMBER(MATCH(DATEVALUE($A65),'recurring1_based on steps'!AR$1:AR$400,0)),AR$2,)</f>
        <v>0</v>
      </c>
      <c r="AS65" s="155">
        <f ca="1">IF(ISNUMBER(MATCH(DATEVALUE($A65),'recurring1_based on steps'!AS$1:AS$400,0)),AS$2,)</f>
        <v>0</v>
      </c>
      <c r="AT65" s="155">
        <f ca="1">IF(ISNUMBER(MATCH(DATEVALUE($A65),'recurring1_based on steps'!AT$1:AT$400,0)),AT$2,)</f>
        <v>0</v>
      </c>
      <c r="AU65" s="155">
        <f ca="1">IF(ISNUMBER(MATCH(DATEVALUE($A65),'recurring1_based on steps'!AU$1:AU$400,0)),AU$2,)</f>
        <v>0</v>
      </c>
      <c r="AV65" s="155">
        <f ca="1">IF(ISNUMBER(MATCH(DATEVALUE($A65),'recurring1_based on steps'!AV$1:AV$400,0)),AV$2,)</f>
        <v>0</v>
      </c>
      <c r="AW65" s="155">
        <f ca="1">IF(ISNUMBER(MATCH(DATEVALUE($A65),'recurring1_based on steps'!AW$1:AW$400,0)),AW$2,)</f>
        <v>0</v>
      </c>
      <c r="AX65" s="155">
        <f ca="1">IF(ISNUMBER(MATCH(DATEVALUE($A65),'recurring1_based on steps'!AX$1:AX$400,0)),AX$2,)</f>
        <v>0</v>
      </c>
      <c r="AY65" s="155">
        <f ca="1">IF(ISNUMBER(MATCH(DATEVALUE($A65),'recurring1_based on steps'!AY$1:AY$400,0)),AY$2,)</f>
        <v>0</v>
      </c>
    </row>
    <row r="66" spans="1:51" x14ac:dyDescent="0.2">
      <c r="A66" s="18" t="str">
        <f t="shared" ca="1" si="0"/>
        <v>2025-04-05</v>
      </c>
      <c r="B66" s="155">
        <f ca="1">IF(ISNUMBER(MATCH(DATEVALUE($A66),'recurring1_based on steps'!B$1:B$400,0)),B$2,)</f>
        <v>0</v>
      </c>
      <c r="C66" s="155">
        <f ca="1">IF(ISNUMBER(MATCH(DATEVALUE($A66),'recurring1_based on steps'!C$1:C$400,0)),C$2,)</f>
        <v>0</v>
      </c>
      <c r="D66" s="155">
        <f ca="1">IF(ISNUMBER(MATCH(DATEVALUE($A66),'recurring1_based on steps'!D$1:D$400,0)),D$2,)</f>
        <v>0</v>
      </c>
      <c r="E66" s="155">
        <f ca="1">IF(ISNUMBER(MATCH(DATEVALUE($A66),'recurring1_based on steps'!E$1:E$400,0)),E$2,)</f>
        <v>0</v>
      </c>
      <c r="F66" s="155">
        <f ca="1">IF(ISNUMBER(MATCH(DATEVALUE($A66),'recurring1_based on steps'!F$1:F$400,0)),F$2,)</f>
        <v>0</v>
      </c>
      <c r="G66" s="155">
        <f ca="1">IF(ISNUMBER(MATCH(DATEVALUE($A66),'recurring1_based on steps'!G$1:G$400,0)),G$2,)</f>
        <v>0</v>
      </c>
      <c r="H66" s="155">
        <f ca="1">IF(ISNUMBER(MATCH(DATEVALUE($A66),'recurring1_based on steps'!H$1:H$400,0)),H$2,)</f>
        <v>0</v>
      </c>
      <c r="I66" s="155">
        <f ca="1">IF(ISNUMBER(MATCH(DATEVALUE($A66),'recurring1_based on steps'!I$1:I$400,0)),I$2,)</f>
        <v>0</v>
      </c>
      <c r="J66" s="155">
        <f ca="1">IF(ISNUMBER(MATCH(DATEVALUE($A66),'recurring1_based on steps'!J$1:J$400,0)),J$2,)</f>
        <v>0</v>
      </c>
      <c r="K66" s="155">
        <f ca="1">IF(ISNUMBER(MATCH(DATEVALUE($A66),'recurring1_based on steps'!K$1:K$400,0)),K$2,)</f>
        <v>0</v>
      </c>
      <c r="L66" s="155">
        <f ca="1">IF(ISNUMBER(MATCH(DATEVALUE($A66),'recurring1_based on steps'!L$1:L$400,0)),L$2,)</f>
        <v>0</v>
      </c>
      <c r="M66" s="155">
        <f ca="1">IF(ISNUMBER(MATCH(DATEVALUE($A66),'recurring1_based on steps'!M$1:M$400,0)),M$2,)</f>
        <v>0</v>
      </c>
      <c r="N66" s="155">
        <f ca="1">IF(ISNUMBER(MATCH(DATEVALUE($A66),'recurring1_based on steps'!N$1:N$400,0)),N$2,)</f>
        <v>0</v>
      </c>
      <c r="O66" s="155">
        <f ca="1">IF(ISNUMBER(MATCH(DATEVALUE($A66),'recurring1_based on steps'!O$1:O$400,0)),O$2,)</f>
        <v>0</v>
      </c>
      <c r="P66" s="155">
        <f ca="1">IF(ISNUMBER(MATCH(DATEVALUE($A66),'recurring1_based on steps'!P$1:P$400,0)),P$2,)</f>
        <v>0</v>
      </c>
      <c r="Q66" s="155">
        <f ca="1">IF(ISNUMBER(MATCH(DATEVALUE($A66),'recurring1_based on steps'!Q$1:Q$400,0)),Q$2,)</f>
        <v>100</v>
      </c>
      <c r="R66" s="155">
        <f ca="1">IF(ISNUMBER(MATCH(DATEVALUE($A66),'recurring1_based on steps'!R$1:R$400,0)),R$2,)</f>
        <v>100</v>
      </c>
      <c r="S66" s="155">
        <f ca="1">IF(ISNUMBER(MATCH(DATEVALUE($A66),'recurring1_based on steps'!S$1:S$400,0)),S$2,)</f>
        <v>0</v>
      </c>
      <c r="T66" s="155">
        <f ca="1">IF(ISNUMBER(MATCH(DATEVALUE($A66),'recurring1_based on steps'!T$1:T$400,0)),T$2,)</f>
        <v>0</v>
      </c>
      <c r="U66" s="155">
        <f ca="1">IF(ISNUMBER(MATCH(DATEVALUE($A66),'recurring1_based on steps'!U$1:U$400,0)),U$2,)</f>
        <v>0</v>
      </c>
      <c r="V66" s="155">
        <f ca="1">IF(ISNUMBER(MATCH(DATEVALUE($A66),'recurring1_based on steps'!V$1:V$400,0)),V$2,)</f>
        <v>0</v>
      </c>
      <c r="W66" s="155">
        <f ca="1">IF(ISNUMBER(MATCH(DATEVALUE($A66),'recurring1_based on steps'!W$1:W$400,0)),W$2,)</f>
        <v>0</v>
      </c>
      <c r="X66" s="155">
        <f ca="1">IF(ISNUMBER(MATCH(DATEVALUE($A66),'recurring1_based on steps'!X$1:X$400,0)),X$2,)</f>
        <v>0</v>
      </c>
      <c r="Y66" s="155">
        <f ca="1">IF(ISNUMBER(MATCH(DATEVALUE($A66),'recurring1_based on steps'!Y$1:Y$400,0)),Y$2,)</f>
        <v>0</v>
      </c>
      <c r="Z66" s="155">
        <f ca="1">IF(ISNUMBER(MATCH(DATEVALUE($A66),'recurring1_based on steps'!Z$1:Z$400,0)),Z$2,)</f>
        <v>0</v>
      </c>
      <c r="AA66" s="155">
        <f ca="1">IF(ISNUMBER(MATCH(DATEVALUE($A66),'recurring1_based on steps'!AA$1:AA$400,0)),AA$2,)</f>
        <v>0</v>
      </c>
      <c r="AB66" s="155">
        <f ca="1">IF(ISNUMBER(MATCH(DATEVALUE($A66),'recurring1_based on steps'!AB$1:AB$400,0)),AB$2,)</f>
        <v>0</v>
      </c>
      <c r="AC66" s="155">
        <f ca="1">IF(ISNUMBER(MATCH(DATEVALUE($A66),'recurring1_based on steps'!AC$1:AC$400,0)),AC$2,)</f>
        <v>0</v>
      </c>
      <c r="AD66" s="155">
        <f ca="1">IF(ISNUMBER(MATCH(DATEVALUE($A66),'recurring1_based on steps'!AD$1:AD$400,0)),AD$2,)</f>
        <v>0</v>
      </c>
      <c r="AE66" s="155">
        <f ca="1">IF(ISNUMBER(MATCH(DATEVALUE($A66),'recurring1_based on steps'!AE$1:AE$400,0)),AE$2,)</f>
        <v>0</v>
      </c>
      <c r="AF66" s="155">
        <f ca="1">IF(ISNUMBER(MATCH(DATEVALUE($A66),'recurring1_based on steps'!AF$1:AF$400,0)),AF$2,)</f>
        <v>0</v>
      </c>
      <c r="AG66" s="155">
        <f ca="1">IF(ISNUMBER(MATCH(DATEVALUE($A66),'recurring1_based on steps'!AG$1:AG$400,0)),AG$2,)</f>
        <v>0</v>
      </c>
      <c r="AH66" s="155">
        <f ca="1">IF(ISNUMBER(MATCH(DATEVALUE($A66),'recurring1_based on steps'!AH$1:AH$400,0)),AH$2,)</f>
        <v>0</v>
      </c>
      <c r="AI66" s="155">
        <f ca="1">IF(ISNUMBER(MATCH(DATEVALUE($A66),'recurring1_based on steps'!AI$1:AI$400,0)),AI$2,)</f>
        <v>0</v>
      </c>
      <c r="AJ66" s="155">
        <f ca="1">IF(ISNUMBER(MATCH(DATEVALUE($A66),'recurring1_based on steps'!AJ$1:AJ$400,0)),AJ$2,)</f>
        <v>0</v>
      </c>
      <c r="AK66" s="155">
        <f ca="1">IF(ISNUMBER(MATCH(DATEVALUE($A66),'recurring1_based on steps'!AK$1:AK$400,0)),AK$2,)</f>
        <v>0</v>
      </c>
      <c r="AL66" s="155">
        <f ca="1">IF(ISNUMBER(MATCH(DATEVALUE($A66),'recurring1_based on steps'!AL$1:AL$400,0)),AL$2,)</f>
        <v>0</v>
      </c>
      <c r="AM66" s="155">
        <f ca="1">IF(ISNUMBER(MATCH(DATEVALUE($A66),'recurring1_based on steps'!AM$1:AM$400,0)),AM$2,)</f>
        <v>0</v>
      </c>
      <c r="AN66" s="155">
        <f ca="1">IF(ISNUMBER(MATCH(DATEVALUE($A66),'recurring1_based on steps'!AN$1:AN$400,0)),AN$2,)</f>
        <v>0</v>
      </c>
      <c r="AO66" s="155">
        <f ca="1">IF(ISNUMBER(MATCH(DATEVALUE($A66),'recurring1_based on steps'!AO$1:AO$400,0)),AO$2,)</f>
        <v>0</v>
      </c>
      <c r="AP66" s="155">
        <f ca="1">IF(ISNUMBER(MATCH(DATEVALUE($A66),'recurring1_based on steps'!AP$1:AP$400,0)),AP$2,)</f>
        <v>0</v>
      </c>
      <c r="AQ66" s="155">
        <f ca="1">IF(ISNUMBER(MATCH(DATEVALUE($A66),'recurring1_based on steps'!AQ$1:AQ$400,0)),AQ$2,)</f>
        <v>0</v>
      </c>
      <c r="AR66" s="155">
        <f ca="1">IF(ISNUMBER(MATCH(DATEVALUE($A66),'recurring1_based on steps'!AR$1:AR$400,0)),AR$2,)</f>
        <v>0</v>
      </c>
      <c r="AS66" s="155">
        <f ca="1">IF(ISNUMBER(MATCH(DATEVALUE($A66),'recurring1_based on steps'!AS$1:AS$400,0)),AS$2,)</f>
        <v>0</v>
      </c>
      <c r="AT66" s="155">
        <f ca="1">IF(ISNUMBER(MATCH(DATEVALUE($A66),'recurring1_based on steps'!AT$1:AT$400,0)),AT$2,)</f>
        <v>0</v>
      </c>
      <c r="AU66" s="155">
        <f ca="1">IF(ISNUMBER(MATCH(DATEVALUE($A66),'recurring1_based on steps'!AU$1:AU$400,0)),AU$2,)</f>
        <v>0</v>
      </c>
      <c r="AV66" s="155">
        <f ca="1">IF(ISNUMBER(MATCH(DATEVALUE($A66),'recurring1_based on steps'!AV$1:AV$400,0)),AV$2,)</f>
        <v>0</v>
      </c>
      <c r="AW66" s="155">
        <f ca="1">IF(ISNUMBER(MATCH(DATEVALUE($A66),'recurring1_based on steps'!AW$1:AW$400,0)),AW$2,)</f>
        <v>0</v>
      </c>
      <c r="AX66" s="155">
        <f ca="1">IF(ISNUMBER(MATCH(DATEVALUE($A66),'recurring1_based on steps'!AX$1:AX$400,0)),AX$2,)</f>
        <v>0</v>
      </c>
      <c r="AY66" s="155">
        <f ca="1">IF(ISNUMBER(MATCH(DATEVALUE($A66),'recurring1_based on steps'!AY$1:AY$400,0)),AY$2,)</f>
        <v>0</v>
      </c>
    </row>
    <row r="67" spans="1:51" x14ac:dyDescent="0.2">
      <c r="A67" s="18" t="str">
        <f t="shared" ca="1" si="0"/>
        <v>2025-04-06</v>
      </c>
      <c r="B67" s="155">
        <f ca="1">IF(ISNUMBER(MATCH(DATEVALUE($A67),'recurring1_based on steps'!B$1:B$400,0)),B$2,)</f>
        <v>0</v>
      </c>
      <c r="C67" s="155">
        <f ca="1">IF(ISNUMBER(MATCH(DATEVALUE($A67),'recurring1_based on steps'!C$1:C$400,0)),C$2,)</f>
        <v>0</v>
      </c>
      <c r="D67" s="155">
        <f ca="1">IF(ISNUMBER(MATCH(DATEVALUE($A67),'recurring1_based on steps'!D$1:D$400,0)),D$2,)</f>
        <v>0</v>
      </c>
      <c r="E67" s="155">
        <f ca="1">IF(ISNUMBER(MATCH(DATEVALUE($A67),'recurring1_based on steps'!E$1:E$400,0)),E$2,)</f>
        <v>0</v>
      </c>
      <c r="F67" s="155">
        <f ca="1">IF(ISNUMBER(MATCH(DATEVALUE($A67),'recurring1_based on steps'!F$1:F$400,0)),F$2,)</f>
        <v>0</v>
      </c>
      <c r="G67" s="155">
        <f ca="1">IF(ISNUMBER(MATCH(DATEVALUE($A67),'recurring1_based on steps'!G$1:G$400,0)),G$2,)</f>
        <v>0</v>
      </c>
      <c r="H67" s="155">
        <f ca="1">IF(ISNUMBER(MATCH(DATEVALUE($A67),'recurring1_based on steps'!H$1:H$400,0)),H$2,)</f>
        <v>0</v>
      </c>
      <c r="I67" s="155">
        <f ca="1">IF(ISNUMBER(MATCH(DATEVALUE($A67),'recurring1_based on steps'!I$1:I$400,0)),I$2,)</f>
        <v>0</v>
      </c>
      <c r="J67" s="155">
        <f ca="1">IF(ISNUMBER(MATCH(DATEVALUE($A67),'recurring1_based on steps'!J$1:J$400,0)),J$2,)</f>
        <v>0</v>
      </c>
      <c r="K67" s="155">
        <f ca="1">IF(ISNUMBER(MATCH(DATEVALUE($A67),'recurring1_based on steps'!K$1:K$400,0)),K$2,)</f>
        <v>50</v>
      </c>
      <c r="L67" s="155">
        <f ca="1">IF(ISNUMBER(MATCH(DATEVALUE($A67),'recurring1_based on steps'!L$1:L$400,0)),L$2,)</f>
        <v>0</v>
      </c>
      <c r="M67" s="155">
        <f ca="1">IF(ISNUMBER(MATCH(DATEVALUE($A67),'recurring1_based on steps'!M$1:M$400,0)),M$2,)</f>
        <v>0</v>
      </c>
      <c r="N67" s="155">
        <f ca="1">IF(ISNUMBER(MATCH(DATEVALUE($A67),'recurring1_based on steps'!N$1:N$400,0)),N$2,)</f>
        <v>0</v>
      </c>
      <c r="O67" s="155">
        <f ca="1">IF(ISNUMBER(MATCH(DATEVALUE($A67),'recurring1_based on steps'!O$1:O$400,0)),O$2,)</f>
        <v>0</v>
      </c>
      <c r="P67" s="155">
        <f ca="1">IF(ISNUMBER(MATCH(DATEVALUE($A67),'recurring1_based on steps'!P$1:P$400,0)),P$2,)</f>
        <v>0</v>
      </c>
      <c r="Q67" s="155">
        <f ca="1">IF(ISNUMBER(MATCH(DATEVALUE($A67),'recurring1_based on steps'!Q$1:Q$400,0)),Q$2,)</f>
        <v>0</v>
      </c>
      <c r="R67" s="155">
        <f ca="1">IF(ISNUMBER(MATCH(DATEVALUE($A67),'recurring1_based on steps'!R$1:R$400,0)),R$2,)</f>
        <v>0</v>
      </c>
      <c r="S67" s="155">
        <f ca="1">IF(ISNUMBER(MATCH(DATEVALUE($A67),'recurring1_based on steps'!S$1:S$400,0)),S$2,)</f>
        <v>100</v>
      </c>
      <c r="T67" s="155">
        <f ca="1">IF(ISNUMBER(MATCH(DATEVALUE($A67),'recurring1_based on steps'!T$1:T$400,0)),T$2,)</f>
        <v>0</v>
      </c>
      <c r="U67" s="155">
        <f ca="1">IF(ISNUMBER(MATCH(DATEVALUE($A67),'recurring1_based on steps'!U$1:U$400,0)),U$2,)</f>
        <v>0</v>
      </c>
      <c r="V67" s="155">
        <f ca="1">IF(ISNUMBER(MATCH(DATEVALUE($A67),'recurring1_based on steps'!V$1:V$400,0)),V$2,)</f>
        <v>0</v>
      </c>
      <c r="W67" s="155">
        <f ca="1">IF(ISNUMBER(MATCH(DATEVALUE($A67),'recurring1_based on steps'!W$1:W$400,0)),W$2,)</f>
        <v>0</v>
      </c>
      <c r="X67" s="155">
        <f ca="1">IF(ISNUMBER(MATCH(DATEVALUE($A67),'recurring1_based on steps'!X$1:X$400,0)),X$2,)</f>
        <v>0</v>
      </c>
      <c r="Y67" s="155">
        <f ca="1">IF(ISNUMBER(MATCH(DATEVALUE($A67),'recurring1_based on steps'!Y$1:Y$400,0)),Y$2,)</f>
        <v>0</v>
      </c>
      <c r="Z67" s="155">
        <f ca="1">IF(ISNUMBER(MATCH(DATEVALUE($A67),'recurring1_based on steps'!Z$1:Z$400,0)),Z$2,)</f>
        <v>0</v>
      </c>
      <c r="AA67" s="155">
        <f ca="1">IF(ISNUMBER(MATCH(DATEVALUE($A67),'recurring1_based on steps'!AA$1:AA$400,0)),AA$2,)</f>
        <v>0</v>
      </c>
      <c r="AB67" s="155">
        <f ca="1">IF(ISNUMBER(MATCH(DATEVALUE($A67),'recurring1_based on steps'!AB$1:AB$400,0)),AB$2,)</f>
        <v>0</v>
      </c>
      <c r="AC67" s="155">
        <f ca="1">IF(ISNUMBER(MATCH(DATEVALUE($A67),'recurring1_based on steps'!AC$1:AC$400,0)),AC$2,)</f>
        <v>0</v>
      </c>
      <c r="AD67" s="155">
        <f ca="1">IF(ISNUMBER(MATCH(DATEVALUE($A67),'recurring1_based on steps'!AD$1:AD$400,0)),AD$2,)</f>
        <v>0</v>
      </c>
      <c r="AE67" s="155">
        <f ca="1">IF(ISNUMBER(MATCH(DATEVALUE($A67),'recurring1_based on steps'!AE$1:AE$400,0)),AE$2,)</f>
        <v>0</v>
      </c>
      <c r="AF67" s="155">
        <f ca="1">IF(ISNUMBER(MATCH(DATEVALUE($A67),'recurring1_based on steps'!AF$1:AF$400,0)),AF$2,)</f>
        <v>0</v>
      </c>
      <c r="AG67" s="155">
        <f ca="1">IF(ISNUMBER(MATCH(DATEVALUE($A67),'recurring1_based on steps'!AG$1:AG$400,0)),AG$2,)</f>
        <v>0</v>
      </c>
      <c r="AH67" s="155">
        <f ca="1">IF(ISNUMBER(MATCH(DATEVALUE($A67),'recurring1_based on steps'!AH$1:AH$400,0)),AH$2,)</f>
        <v>0</v>
      </c>
      <c r="AI67" s="155">
        <f ca="1">IF(ISNUMBER(MATCH(DATEVALUE($A67),'recurring1_based on steps'!AI$1:AI$400,0)),AI$2,)</f>
        <v>0</v>
      </c>
      <c r="AJ67" s="155">
        <f ca="1">IF(ISNUMBER(MATCH(DATEVALUE($A67),'recurring1_based on steps'!AJ$1:AJ$400,0)),AJ$2,)</f>
        <v>0</v>
      </c>
      <c r="AK67" s="155">
        <f ca="1">IF(ISNUMBER(MATCH(DATEVALUE($A67),'recurring1_based on steps'!AK$1:AK$400,0)),AK$2,)</f>
        <v>0</v>
      </c>
      <c r="AL67" s="155">
        <f ca="1">IF(ISNUMBER(MATCH(DATEVALUE($A67),'recurring1_based on steps'!AL$1:AL$400,0)),AL$2,)</f>
        <v>0</v>
      </c>
      <c r="AM67" s="155">
        <f ca="1">IF(ISNUMBER(MATCH(DATEVALUE($A67),'recurring1_based on steps'!AM$1:AM$400,0)),AM$2,)</f>
        <v>0</v>
      </c>
      <c r="AN67" s="155">
        <f ca="1">IF(ISNUMBER(MATCH(DATEVALUE($A67),'recurring1_based on steps'!AN$1:AN$400,0)),AN$2,)</f>
        <v>0</v>
      </c>
      <c r="AO67" s="155">
        <f ca="1">IF(ISNUMBER(MATCH(DATEVALUE($A67),'recurring1_based on steps'!AO$1:AO$400,0)),AO$2,)</f>
        <v>0</v>
      </c>
      <c r="AP67" s="155">
        <f ca="1">IF(ISNUMBER(MATCH(DATEVALUE($A67),'recurring1_based on steps'!AP$1:AP$400,0)),AP$2,)</f>
        <v>0</v>
      </c>
      <c r="AQ67" s="155">
        <f ca="1">IF(ISNUMBER(MATCH(DATEVALUE($A67),'recurring1_based on steps'!AQ$1:AQ$400,0)),AQ$2,)</f>
        <v>0</v>
      </c>
      <c r="AR67" s="155">
        <f ca="1">IF(ISNUMBER(MATCH(DATEVALUE($A67),'recurring1_based on steps'!AR$1:AR$400,0)),AR$2,)</f>
        <v>0</v>
      </c>
      <c r="AS67" s="155">
        <f ca="1">IF(ISNUMBER(MATCH(DATEVALUE($A67),'recurring1_based on steps'!AS$1:AS$400,0)),AS$2,)</f>
        <v>0</v>
      </c>
      <c r="AT67" s="155">
        <f ca="1">IF(ISNUMBER(MATCH(DATEVALUE($A67),'recurring1_based on steps'!AT$1:AT$400,0)),AT$2,)</f>
        <v>0</v>
      </c>
      <c r="AU67" s="155">
        <f ca="1">IF(ISNUMBER(MATCH(DATEVALUE($A67),'recurring1_based on steps'!AU$1:AU$400,0)),AU$2,)</f>
        <v>0</v>
      </c>
      <c r="AV67" s="155">
        <f ca="1">IF(ISNUMBER(MATCH(DATEVALUE($A67),'recurring1_based on steps'!AV$1:AV$400,0)),AV$2,)</f>
        <v>0</v>
      </c>
      <c r="AW67" s="155">
        <f ca="1">IF(ISNUMBER(MATCH(DATEVALUE($A67),'recurring1_based on steps'!AW$1:AW$400,0)),AW$2,)</f>
        <v>0</v>
      </c>
      <c r="AX67" s="155">
        <f ca="1">IF(ISNUMBER(MATCH(DATEVALUE($A67),'recurring1_based on steps'!AX$1:AX$400,0)),AX$2,)</f>
        <v>0</v>
      </c>
      <c r="AY67" s="155">
        <f ca="1">IF(ISNUMBER(MATCH(DATEVALUE($A67),'recurring1_based on steps'!AY$1:AY$400,0)),AY$2,)</f>
        <v>0</v>
      </c>
    </row>
    <row r="68" spans="1:51" x14ac:dyDescent="0.2">
      <c r="A68" s="18" t="str">
        <f t="shared" ca="1" si="0"/>
        <v>2025-04-07</v>
      </c>
      <c r="B68" s="155">
        <f ca="1">IF(ISNUMBER(MATCH(DATEVALUE($A68),'recurring1_based on steps'!B$1:B$400,0)),B$2,)</f>
        <v>0</v>
      </c>
      <c r="C68" s="155">
        <f ca="1">IF(ISNUMBER(MATCH(DATEVALUE($A68),'recurring1_based on steps'!C$1:C$400,0)),C$2,)</f>
        <v>0</v>
      </c>
      <c r="D68" s="155">
        <f ca="1">IF(ISNUMBER(MATCH(DATEVALUE($A68),'recurring1_based on steps'!D$1:D$400,0)),D$2,)</f>
        <v>0</v>
      </c>
      <c r="E68" s="155">
        <f ca="1">IF(ISNUMBER(MATCH(DATEVALUE($A68),'recurring1_based on steps'!E$1:E$400,0)),E$2,)</f>
        <v>0</v>
      </c>
      <c r="F68" s="155">
        <f ca="1">IF(ISNUMBER(MATCH(DATEVALUE($A68),'recurring1_based on steps'!F$1:F$400,0)),F$2,)</f>
        <v>0</v>
      </c>
      <c r="G68" s="155">
        <f ca="1">IF(ISNUMBER(MATCH(DATEVALUE($A68),'recurring1_based on steps'!G$1:G$400,0)),G$2,)</f>
        <v>0</v>
      </c>
      <c r="H68" s="155">
        <f ca="1">IF(ISNUMBER(MATCH(DATEVALUE($A68),'recurring1_based on steps'!H$1:H$400,0)),H$2,)</f>
        <v>0</v>
      </c>
      <c r="I68" s="155">
        <f ca="1">IF(ISNUMBER(MATCH(DATEVALUE($A68),'recurring1_based on steps'!I$1:I$400,0)),I$2,)</f>
        <v>0</v>
      </c>
      <c r="J68" s="155">
        <f ca="1">IF(ISNUMBER(MATCH(DATEVALUE($A68),'recurring1_based on steps'!J$1:J$400,0)),J$2,)</f>
        <v>0</v>
      </c>
      <c r="K68" s="155">
        <f ca="1">IF(ISNUMBER(MATCH(DATEVALUE($A68),'recurring1_based on steps'!K$1:K$400,0)),K$2,)</f>
        <v>0</v>
      </c>
      <c r="L68" s="155">
        <f ca="1">IF(ISNUMBER(MATCH(DATEVALUE($A68),'recurring1_based on steps'!L$1:L$400,0)),L$2,)</f>
        <v>0</v>
      </c>
      <c r="M68" s="155">
        <f ca="1">IF(ISNUMBER(MATCH(DATEVALUE($A68),'recurring1_based on steps'!M$1:M$400,0)),M$2,)</f>
        <v>0</v>
      </c>
      <c r="N68" s="155">
        <f ca="1">IF(ISNUMBER(MATCH(DATEVALUE($A68),'recurring1_based on steps'!N$1:N$400,0)),N$2,)</f>
        <v>0</v>
      </c>
      <c r="O68" s="155">
        <f ca="1">IF(ISNUMBER(MATCH(DATEVALUE($A68),'recurring1_based on steps'!O$1:O$400,0)),O$2,)</f>
        <v>0</v>
      </c>
      <c r="P68" s="155">
        <f ca="1">IF(ISNUMBER(MATCH(DATEVALUE($A68),'recurring1_based on steps'!P$1:P$400,0)),P$2,)</f>
        <v>0</v>
      </c>
      <c r="Q68" s="155">
        <f ca="1">IF(ISNUMBER(MATCH(DATEVALUE($A68),'recurring1_based on steps'!Q$1:Q$400,0)),Q$2,)</f>
        <v>0</v>
      </c>
      <c r="R68" s="155">
        <f ca="1">IF(ISNUMBER(MATCH(DATEVALUE($A68),'recurring1_based on steps'!R$1:R$400,0)),R$2,)</f>
        <v>0</v>
      </c>
      <c r="S68" s="155">
        <f ca="1">IF(ISNUMBER(MATCH(DATEVALUE($A68),'recurring1_based on steps'!S$1:S$400,0)),S$2,)</f>
        <v>0</v>
      </c>
      <c r="T68" s="155">
        <f ca="1">IF(ISNUMBER(MATCH(DATEVALUE($A68),'recurring1_based on steps'!T$1:T$400,0)),T$2,)</f>
        <v>50</v>
      </c>
      <c r="U68" s="155">
        <f ca="1">IF(ISNUMBER(MATCH(DATEVALUE($A68),'recurring1_based on steps'!U$1:U$400,0)),U$2,)</f>
        <v>0</v>
      </c>
      <c r="V68" s="155">
        <f ca="1">IF(ISNUMBER(MATCH(DATEVALUE($A68),'recurring1_based on steps'!V$1:V$400,0)),V$2,)</f>
        <v>0</v>
      </c>
      <c r="W68" s="155">
        <f ca="1">IF(ISNUMBER(MATCH(DATEVALUE($A68),'recurring1_based on steps'!W$1:W$400,0)),W$2,)</f>
        <v>0</v>
      </c>
      <c r="X68" s="155">
        <f ca="1">IF(ISNUMBER(MATCH(DATEVALUE($A68),'recurring1_based on steps'!X$1:X$400,0)),X$2,)</f>
        <v>0</v>
      </c>
      <c r="Y68" s="155">
        <f ca="1">IF(ISNUMBER(MATCH(DATEVALUE($A68),'recurring1_based on steps'!Y$1:Y$400,0)),Y$2,)</f>
        <v>0</v>
      </c>
      <c r="Z68" s="155">
        <f ca="1">IF(ISNUMBER(MATCH(DATEVALUE($A68),'recurring1_based on steps'!Z$1:Z$400,0)),Z$2,)</f>
        <v>0</v>
      </c>
      <c r="AA68" s="155">
        <f ca="1">IF(ISNUMBER(MATCH(DATEVALUE($A68),'recurring1_based on steps'!AA$1:AA$400,0)),AA$2,)</f>
        <v>0</v>
      </c>
      <c r="AB68" s="155">
        <f ca="1">IF(ISNUMBER(MATCH(DATEVALUE($A68),'recurring1_based on steps'!AB$1:AB$400,0)),AB$2,)</f>
        <v>0</v>
      </c>
      <c r="AC68" s="155">
        <f ca="1">IF(ISNUMBER(MATCH(DATEVALUE($A68),'recurring1_based on steps'!AC$1:AC$400,0)),AC$2,)</f>
        <v>0</v>
      </c>
      <c r="AD68" s="155">
        <f ca="1">IF(ISNUMBER(MATCH(DATEVALUE($A68),'recurring1_based on steps'!AD$1:AD$400,0)),AD$2,)</f>
        <v>0</v>
      </c>
      <c r="AE68" s="155">
        <f ca="1">IF(ISNUMBER(MATCH(DATEVALUE($A68),'recurring1_based on steps'!AE$1:AE$400,0)),AE$2,)</f>
        <v>0</v>
      </c>
      <c r="AF68" s="155">
        <f ca="1">IF(ISNUMBER(MATCH(DATEVALUE($A68),'recurring1_based on steps'!AF$1:AF$400,0)),AF$2,)</f>
        <v>0</v>
      </c>
      <c r="AG68" s="155">
        <f ca="1">IF(ISNUMBER(MATCH(DATEVALUE($A68),'recurring1_based on steps'!AG$1:AG$400,0)),AG$2,)</f>
        <v>0</v>
      </c>
      <c r="AH68" s="155">
        <f ca="1">IF(ISNUMBER(MATCH(DATEVALUE($A68),'recurring1_based on steps'!AH$1:AH$400,0)),AH$2,)</f>
        <v>0</v>
      </c>
      <c r="AI68" s="155">
        <f ca="1">IF(ISNUMBER(MATCH(DATEVALUE($A68),'recurring1_based on steps'!AI$1:AI$400,0)),AI$2,)</f>
        <v>0</v>
      </c>
      <c r="AJ68" s="155">
        <f ca="1">IF(ISNUMBER(MATCH(DATEVALUE($A68),'recurring1_based on steps'!AJ$1:AJ$400,0)),AJ$2,)</f>
        <v>0</v>
      </c>
      <c r="AK68" s="155">
        <f ca="1">IF(ISNUMBER(MATCH(DATEVALUE($A68),'recurring1_based on steps'!AK$1:AK$400,0)),AK$2,)</f>
        <v>0</v>
      </c>
      <c r="AL68" s="155">
        <f ca="1">IF(ISNUMBER(MATCH(DATEVALUE($A68),'recurring1_based on steps'!AL$1:AL$400,0)),AL$2,)</f>
        <v>0</v>
      </c>
      <c r="AM68" s="155">
        <f ca="1">IF(ISNUMBER(MATCH(DATEVALUE($A68),'recurring1_based on steps'!AM$1:AM$400,0)),AM$2,)</f>
        <v>0</v>
      </c>
      <c r="AN68" s="155">
        <f ca="1">IF(ISNUMBER(MATCH(DATEVALUE($A68),'recurring1_based on steps'!AN$1:AN$400,0)),AN$2,)</f>
        <v>0</v>
      </c>
      <c r="AO68" s="155">
        <f ca="1">IF(ISNUMBER(MATCH(DATEVALUE($A68),'recurring1_based on steps'!AO$1:AO$400,0)),AO$2,)</f>
        <v>0</v>
      </c>
      <c r="AP68" s="155">
        <f ca="1">IF(ISNUMBER(MATCH(DATEVALUE($A68),'recurring1_based on steps'!AP$1:AP$400,0)),AP$2,)</f>
        <v>0</v>
      </c>
      <c r="AQ68" s="155">
        <f ca="1">IF(ISNUMBER(MATCH(DATEVALUE($A68),'recurring1_based on steps'!AQ$1:AQ$400,0)),AQ$2,)</f>
        <v>0</v>
      </c>
      <c r="AR68" s="155">
        <f ca="1">IF(ISNUMBER(MATCH(DATEVALUE($A68),'recurring1_based on steps'!AR$1:AR$400,0)),AR$2,)</f>
        <v>0</v>
      </c>
      <c r="AS68" s="155">
        <f ca="1">IF(ISNUMBER(MATCH(DATEVALUE($A68),'recurring1_based on steps'!AS$1:AS$400,0)),AS$2,)</f>
        <v>0</v>
      </c>
      <c r="AT68" s="155">
        <f ca="1">IF(ISNUMBER(MATCH(DATEVALUE($A68),'recurring1_based on steps'!AT$1:AT$400,0)),AT$2,)</f>
        <v>0</v>
      </c>
      <c r="AU68" s="155">
        <f ca="1">IF(ISNUMBER(MATCH(DATEVALUE($A68),'recurring1_based on steps'!AU$1:AU$400,0)),AU$2,)</f>
        <v>0</v>
      </c>
      <c r="AV68" s="155">
        <f ca="1">IF(ISNUMBER(MATCH(DATEVALUE($A68),'recurring1_based on steps'!AV$1:AV$400,0)),AV$2,)</f>
        <v>0</v>
      </c>
      <c r="AW68" s="155">
        <f ca="1">IF(ISNUMBER(MATCH(DATEVALUE($A68),'recurring1_based on steps'!AW$1:AW$400,0)),AW$2,)</f>
        <v>0</v>
      </c>
      <c r="AX68" s="155">
        <f ca="1">IF(ISNUMBER(MATCH(DATEVALUE($A68),'recurring1_based on steps'!AX$1:AX$400,0)),AX$2,)</f>
        <v>0</v>
      </c>
      <c r="AY68" s="155">
        <f ca="1">IF(ISNUMBER(MATCH(DATEVALUE($A68),'recurring1_based on steps'!AY$1:AY$400,0)),AY$2,)</f>
        <v>0</v>
      </c>
    </row>
    <row r="69" spans="1:51" x14ac:dyDescent="0.2">
      <c r="A69" s="18" t="str">
        <f t="shared" ref="A69:A132" ca="1" si="1">TEXT(DATEVALUE(A68)+1,"yyyy-mm-dd")</f>
        <v>2025-04-08</v>
      </c>
      <c r="B69" s="155">
        <f ca="1">IF(ISNUMBER(MATCH(DATEVALUE($A69),'recurring1_based on steps'!B$1:B$400,0)),B$2,)</f>
        <v>0</v>
      </c>
      <c r="C69" s="155">
        <f ca="1">IF(ISNUMBER(MATCH(DATEVALUE($A69),'recurring1_based on steps'!C$1:C$400,0)),C$2,)</f>
        <v>0</v>
      </c>
      <c r="D69" s="155">
        <f ca="1">IF(ISNUMBER(MATCH(DATEVALUE($A69),'recurring1_based on steps'!D$1:D$400,0)),D$2,)</f>
        <v>0</v>
      </c>
      <c r="E69" s="155">
        <f ca="1">IF(ISNUMBER(MATCH(DATEVALUE($A69),'recurring1_based on steps'!E$1:E$400,0)),E$2,)</f>
        <v>0</v>
      </c>
      <c r="F69" s="155">
        <f ca="1">IF(ISNUMBER(MATCH(DATEVALUE($A69),'recurring1_based on steps'!F$1:F$400,0)),F$2,)</f>
        <v>0</v>
      </c>
      <c r="G69" s="155">
        <f ca="1">IF(ISNUMBER(MATCH(DATEVALUE($A69),'recurring1_based on steps'!G$1:G$400,0)),G$2,)</f>
        <v>0</v>
      </c>
      <c r="H69" s="155">
        <f ca="1">IF(ISNUMBER(MATCH(DATEVALUE($A69),'recurring1_based on steps'!H$1:H$400,0)),H$2,)</f>
        <v>0</v>
      </c>
      <c r="I69" s="155">
        <f ca="1">IF(ISNUMBER(MATCH(DATEVALUE($A69),'recurring1_based on steps'!I$1:I$400,0)),I$2,)</f>
        <v>0</v>
      </c>
      <c r="J69" s="155">
        <f ca="1">IF(ISNUMBER(MATCH(DATEVALUE($A69),'recurring1_based on steps'!J$1:J$400,0)),J$2,)</f>
        <v>0</v>
      </c>
      <c r="K69" s="155">
        <f ca="1">IF(ISNUMBER(MATCH(DATEVALUE($A69),'recurring1_based on steps'!K$1:K$400,0)),K$2,)</f>
        <v>0</v>
      </c>
      <c r="L69" s="155">
        <f ca="1">IF(ISNUMBER(MATCH(DATEVALUE($A69),'recurring1_based on steps'!L$1:L$400,0)),L$2,)</f>
        <v>0</v>
      </c>
      <c r="M69" s="155">
        <f ca="1">IF(ISNUMBER(MATCH(DATEVALUE($A69),'recurring1_based on steps'!M$1:M$400,0)),M$2,)</f>
        <v>0</v>
      </c>
      <c r="N69" s="155">
        <f ca="1">IF(ISNUMBER(MATCH(DATEVALUE($A69),'recurring1_based on steps'!N$1:N$400,0)),N$2,)</f>
        <v>0</v>
      </c>
      <c r="O69" s="155">
        <f ca="1">IF(ISNUMBER(MATCH(DATEVALUE($A69),'recurring1_based on steps'!O$1:O$400,0)),O$2,)</f>
        <v>0</v>
      </c>
      <c r="P69" s="155">
        <f ca="1">IF(ISNUMBER(MATCH(DATEVALUE($A69),'recurring1_based on steps'!P$1:P$400,0)),P$2,)</f>
        <v>0</v>
      </c>
      <c r="Q69" s="155">
        <f ca="1">IF(ISNUMBER(MATCH(DATEVALUE($A69),'recurring1_based on steps'!Q$1:Q$400,0)),Q$2,)</f>
        <v>0</v>
      </c>
      <c r="R69" s="155">
        <f ca="1">IF(ISNUMBER(MATCH(DATEVALUE($A69),'recurring1_based on steps'!R$1:R$400,0)),R$2,)</f>
        <v>0</v>
      </c>
      <c r="S69" s="155">
        <f ca="1">IF(ISNUMBER(MATCH(DATEVALUE($A69),'recurring1_based on steps'!S$1:S$400,0)),S$2,)</f>
        <v>0</v>
      </c>
      <c r="T69" s="155">
        <f ca="1">IF(ISNUMBER(MATCH(DATEVALUE($A69),'recurring1_based on steps'!T$1:T$400,0)),T$2,)</f>
        <v>0</v>
      </c>
      <c r="U69" s="155">
        <f ca="1">IF(ISNUMBER(MATCH(DATEVALUE($A69),'recurring1_based on steps'!U$1:U$400,0)),U$2,)</f>
        <v>0</v>
      </c>
      <c r="V69" s="155">
        <f ca="1">IF(ISNUMBER(MATCH(DATEVALUE($A69),'recurring1_based on steps'!V$1:V$400,0)),V$2,)</f>
        <v>0</v>
      </c>
      <c r="W69" s="155">
        <f ca="1">IF(ISNUMBER(MATCH(DATEVALUE($A69),'recurring1_based on steps'!W$1:W$400,0)),W$2,)</f>
        <v>0</v>
      </c>
      <c r="X69" s="155">
        <f ca="1">IF(ISNUMBER(MATCH(DATEVALUE($A69),'recurring1_based on steps'!X$1:X$400,0)),X$2,)</f>
        <v>0</v>
      </c>
      <c r="Y69" s="155">
        <f ca="1">IF(ISNUMBER(MATCH(DATEVALUE($A69),'recurring1_based on steps'!Y$1:Y$400,0)),Y$2,)</f>
        <v>0</v>
      </c>
      <c r="Z69" s="155">
        <f ca="1">IF(ISNUMBER(MATCH(DATEVALUE($A69),'recurring1_based on steps'!Z$1:Z$400,0)),Z$2,)</f>
        <v>0</v>
      </c>
      <c r="AA69" s="155">
        <f ca="1">IF(ISNUMBER(MATCH(DATEVALUE($A69),'recurring1_based on steps'!AA$1:AA$400,0)),AA$2,)</f>
        <v>0</v>
      </c>
      <c r="AB69" s="155">
        <f ca="1">IF(ISNUMBER(MATCH(DATEVALUE($A69),'recurring1_based on steps'!AB$1:AB$400,0)),AB$2,)</f>
        <v>0</v>
      </c>
      <c r="AC69" s="155">
        <f ca="1">IF(ISNUMBER(MATCH(DATEVALUE($A69),'recurring1_based on steps'!AC$1:AC$400,0)),AC$2,)</f>
        <v>0</v>
      </c>
      <c r="AD69" s="155">
        <f ca="1">IF(ISNUMBER(MATCH(DATEVALUE($A69),'recurring1_based on steps'!AD$1:AD$400,0)),AD$2,)</f>
        <v>0</v>
      </c>
      <c r="AE69" s="155">
        <f ca="1">IF(ISNUMBER(MATCH(DATEVALUE($A69),'recurring1_based on steps'!AE$1:AE$400,0)),AE$2,)</f>
        <v>0</v>
      </c>
      <c r="AF69" s="155">
        <f ca="1">IF(ISNUMBER(MATCH(DATEVALUE($A69),'recurring1_based on steps'!AF$1:AF$400,0)),AF$2,)</f>
        <v>0</v>
      </c>
      <c r="AG69" s="155">
        <f ca="1">IF(ISNUMBER(MATCH(DATEVALUE($A69),'recurring1_based on steps'!AG$1:AG$400,0)),AG$2,)</f>
        <v>0</v>
      </c>
      <c r="AH69" s="155">
        <f ca="1">IF(ISNUMBER(MATCH(DATEVALUE($A69),'recurring1_based on steps'!AH$1:AH$400,0)),AH$2,)</f>
        <v>0</v>
      </c>
      <c r="AI69" s="155">
        <f ca="1">IF(ISNUMBER(MATCH(DATEVALUE($A69),'recurring1_based on steps'!AI$1:AI$400,0)),AI$2,)</f>
        <v>0</v>
      </c>
      <c r="AJ69" s="155">
        <f ca="1">IF(ISNUMBER(MATCH(DATEVALUE($A69),'recurring1_based on steps'!AJ$1:AJ$400,0)),AJ$2,)</f>
        <v>0</v>
      </c>
      <c r="AK69" s="155">
        <f ca="1">IF(ISNUMBER(MATCH(DATEVALUE($A69),'recurring1_based on steps'!AK$1:AK$400,0)),AK$2,)</f>
        <v>0</v>
      </c>
      <c r="AL69" s="155">
        <f ca="1">IF(ISNUMBER(MATCH(DATEVALUE($A69),'recurring1_based on steps'!AL$1:AL$400,0)),AL$2,)</f>
        <v>0</v>
      </c>
      <c r="AM69" s="155">
        <f ca="1">IF(ISNUMBER(MATCH(DATEVALUE($A69),'recurring1_based on steps'!AM$1:AM$400,0)),AM$2,)</f>
        <v>0</v>
      </c>
      <c r="AN69" s="155">
        <f ca="1">IF(ISNUMBER(MATCH(DATEVALUE($A69),'recurring1_based on steps'!AN$1:AN$400,0)),AN$2,)</f>
        <v>0</v>
      </c>
      <c r="AO69" s="155">
        <f ca="1">IF(ISNUMBER(MATCH(DATEVALUE($A69),'recurring1_based on steps'!AO$1:AO$400,0)),AO$2,)</f>
        <v>0</v>
      </c>
      <c r="AP69" s="155">
        <f ca="1">IF(ISNUMBER(MATCH(DATEVALUE($A69),'recurring1_based on steps'!AP$1:AP$400,0)),AP$2,)</f>
        <v>0</v>
      </c>
      <c r="AQ69" s="155">
        <f ca="1">IF(ISNUMBER(MATCH(DATEVALUE($A69),'recurring1_based on steps'!AQ$1:AQ$400,0)),AQ$2,)</f>
        <v>0</v>
      </c>
      <c r="AR69" s="155">
        <f ca="1">IF(ISNUMBER(MATCH(DATEVALUE($A69),'recurring1_based on steps'!AR$1:AR$400,0)),AR$2,)</f>
        <v>0</v>
      </c>
      <c r="AS69" s="155">
        <f ca="1">IF(ISNUMBER(MATCH(DATEVALUE($A69),'recurring1_based on steps'!AS$1:AS$400,0)),AS$2,)</f>
        <v>0</v>
      </c>
      <c r="AT69" s="155">
        <f ca="1">IF(ISNUMBER(MATCH(DATEVALUE($A69),'recurring1_based on steps'!AT$1:AT$400,0)),AT$2,)</f>
        <v>0</v>
      </c>
      <c r="AU69" s="155">
        <f ca="1">IF(ISNUMBER(MATCH(DATEVALUE($A69),'recurring1_based on steps'!AU$1:AU$400,0)),AU$2,)</f>
        <v>0</v>
      </c>
      <c r="AV69" s="155">
        <f ca="1">IF(ISNUMBER(MATCH(DATEVALUE($A69),'recurring1_based on steps'!AV$1:AV$400,0)),AV$2,)</f>
        <v>0</v>
      </c>
      <c r="AW69" s="155">
        <f ca="1">IF(ISNUMBER(MATCH(DATEVALUE($A69),'recurring1_based on steps'!AW$1:AW$400,0)),AW$2,)</f>
        <v>0</v>
      </c>
      <c r="AX69" s="155">
        <f ca="1">IF(ISNUMBER(MATCH(DATEVALUE($A69),'recurring1_based on steps'!AX$1:AX$400,0)),AX$2,)</f>
        <v>0</v>
      </c>
      <c r="AY69" s="155">
        <f ca="1">IF(ISNUMBER(MATCH(DATEVALUE($A69),'recurring1_based on steps'!AY$1:AY$400,0)),AY$2,)</f>
        <v>0</v>
      </c>
    </row>
    <row r="70" spans="1:51" x14ac:dyDescent="0.2">
      <c r="A70" s="18" t="str">
        <f t="shared" ca="1" si="1"/>
        <v>2025-04-09</v>
      </c>
      <c r="B70" s="155">
        <f ca="1">IF(ISNUMBER(MATCH(DATEVALUE($A70),'recurring1_based on steps'!B$1:B$400,0)),B$2,)</f>
        <v>0</v>
      </c>
      <c r="C70" s="155">
        <f ca="1">IF(ISNUMBER(MATCH(DATEVALUE($A70),'recurring1_based on steps'!C$1:C$400,0)),C$2,)</f>
        <v>0</v>
      </c>
      <c r="D70" s="155">
        <f ca="1">IF(ISNUMBER(MATCH(DATEVALUE($A70),'recurring1_based on steps'!D$1:D$400,0)),D$2,)</f>
        <v>0</v>
      </c>
      <c r="E70" s="155">
        <f ca="1">IF(ISNUMBER(MATCH(DATEVALUE($A70),'recurring1_based on steps'!E$1:E$400,0)),E$2,)</f>
        <v>0</v>
      </c>
      <c r="F70" s="155">
        <f ca="1">IF(ISNUMBER(MATCH(DATEVALUE($A70),'recurring1_based on steps'!F$1:F$400,0)),F$2,)</f>
        <v>0</v>
      </c>
      <c r="G70" s="155">
        <f ca="1">IF(ISNUMBER(MATCH(DATEVALUE($A70),'recurring1_based on steps'!G$1:G$400,0)),G$2,)</f>
        <v>0</v>
      </c>
      <c r="H70" s="155">
        <f ca="1">IF(ISNUMBER(MATCH(DATEVALUE($A70),'recurring1_based on steps'!H$1:H$400,0)),H$2,)</f>
        <v>0</v>
      </c>
      <c r="I70" s="155">
        <f ca="1">IF(ISNUMBER(MATCH(DATEVALUE($A70),'recurring1_based on steps'!I$1:I$400,0)),I$2,)</f>
        <v>0</v>
      </c>
      <c r="J70" s="155">
        <f ca="1">IF(ISNUMBER(MATCH(DATEVALUE($A70),'recurring1_based on steps'!J$1:J$400,0)),J$2,)</f>
        <v>0</v>
      </c>
      <c r="K70" s="155">
        <f ca="1">IF(ISNUMBER(MATCH(DATEVALUE($A70),'recurring1_based on steps'!K$1:K$400,0)),K$2,)</f>
        <v>0</v>
      </c>
      <c r="L70" s="155">
        <f ca="1">IF(ISNUMBER(MATCH(DATEVALUE($A70),'recurring1_based on steps'!L$1:L$400,0)),L$2,)</f>
        <v>0</v>
      </c>
      <c r="M70" s="155">
        <f ca="1">IF(ISNUMBER(MATCH(DATEVALUE($A70),'recurring1_based on steps'!M$1:M$400,0)),M$2,)</f>
        <v>0</v>
      </c>
      <c r="N70" s="155">
        <f ca="1">IF(ISNUMBER(MATCH(DATEVALUE($A70),'recurring1_based on steps'!N$1:N$400,0)),N$2,)</f>
        <v>0</v>
      </c>
      <c r="O70" s="155">
        <f ca="1">IF(ISNUMBER(MATCH(DATEVALUE($A70),'recurring1_based on steps'!O$1:O$400,0)),O$2,)</f>
        <v>0</v>
      </c>
      <c r="P70" s="155">
        <f ca="1">IF(ISNUMBER(MATCH(DATEVALUE($A70),'recurring1_based on steps'!P$1:P$400,0)),P$2,)</f>
        <v>0</v>
      </c>
      <c r="Q70" s="155">
        <f ca="1">IF(ISNUMBER(MATCH(DATEVALUE($A70),'recurring1_based on steps'!Q$1:Q$400,0)),Q$2,)</f>
        <v>0</v>
      </c>
      <c r="R70" s="155">
        <f ca="1">IF(ISNUMBER(MATCH(DATEVALUE($A70),'recurring1_based on steps'!R$1:R$400,0)),R$2,)</f>
        <v>0</v>
      </c>
      <c r="S70" s="155">
        <f ca="1">IF(ISNUMBER(MATCH(DATEVALUE($A70),'recurring1_based on steps'!S$1:S$400,0)),S$2,)</f>
        <v>0</v>
      </c>
      <c r="T70" s="155">
        <f ca="1">IF(ISNUMBER(MATCH(DATEVALUE($A70),'recurring1_based on steps'!T$1:T$400,0)),T$2,)</f>
        <v>0</v>
      </c>
      <c r="U70" s="155">
        <f ca="1">IF(ISNUMBER(MATCH(DATEVALUE($A70),'recurring1_based on steps'!U$1:U$400,0)),U$2,)</f>
        <v>0</v>
      </c>
      <c r="V70" s="155">
        <f ca="1">IF(ISNUMBER(MATCH(DATEVALUE($A70),'recurring1_based on steps'!V$1:V$400,0)),V$2,)</f>
        <v>0</v>
      </c>
      <c r="W70" s="155">
        <f ca="1">IF(ISNUMBER(MATCH(DATEVALUE($A70),'recurring1_based on steps'!W$1:W$400,0)),W$2,)</f>
        <v>0</v>
      </c>
      <c r="X70" s="155">
        <f ca="1">IF(ISNUMBER(MATCH(DATEVALUE($A70),'recurring1_based on steps'!X$1:X$400,0)),X$2,)</f>
        <v>0</v>
      </c>
      <c r="Y70" s="155">
        <f ca="1">IF(ISNUMBER(MATCH(DATEVALUE($A70),'recurring1_based on steps'!Y$1:Y$400,0)),Y$2,)</f>
        <v>0</v>
      </c>
      <c r="Z70" s="155">
        <f ca="1">IF(ISNUMBER(MATCH(DATEVALUE($A70),'recurring1_based on steps'!Z$1:Z$400,0)),Z$2,)</f>
        <v>0</v>
      </c>
      <c r="AA70" s="155">
        <f ca="1">IF(ISNUMBER(MATCH(DATEVALUE($A70),'recurring1_based on steps'!AA$1:AA$400,0)),AA$2,)</f>
        <v>0</v>
      </c>
      <c r="AB70" s="155">
        <f ca="1">IF(ISNUMBER(MATCH(DATEVALUE($A70),'recurring1_based on steps'!AB$1:AB$400,0)),AB$2,)</f>
        <v>0</v>
      </c>
      <c r="AC70" s="155">
        <f ca="1">IF(ISNUMBER(MATCH(DATEVALUE($A70),'recurring1_based on steps'!AC$1:AC$400,0)),AC$2,)</f>
        <v>0</v>
      </c>
      <c r="AD70" s="155">
        <f ca="1">IF(ISNUMBER(MATCH(DATEVALUE($A70),'recurring1_based on steps'!AD$1:AD$400,0)),AD$2,)</f>
        <v>0</v>
      </c>
      <c r="AE70" s="155">
        <f ca="1">IF(ISNUMBER(MATCH(DATEVALUE($A70),'recurring1_based on steps'!AE$1:AE$400,0)),AE$2,)</f>
        <v>0</v>
      </c>
      <c r="AF70" s="155">
        <f ca="1">IF(ISNUMBER(MATCH(DATEVALUE($A70),'recurring1_based on steps'!AF$1:AF$400,0)),AF$2,)</f>
        <v>0</v>
      </c>
      <c r="AG70" s="155">
        <f ca="1">IF(ISNUMBER(MATCH(DATEVALUE($A70),'recurring1_based on steps'!AG$1:AG$400,0)),AG$2,)</f>
        <v>0</v>
      </c>
      <c r="AH70" s="155">
        <f ca="1">IF(ISNUMBER(MATCH(DATEVALUE($A70),'recurring1_based on steps'!AH$1:AH$400,0)),AH$2,)</f>
        <v>0</v>
      </c>
      <c r="AI70" s="155">
        <f ca="1">IF(ISNUMBER(MATCH(DATEVALUE($A70),'recurring1_based on steps'!AI$1:AI$400,0)),AI$2,)</f>
        <v>0</v>
      </c>
      <c r="AJ70" s="155">
        <f ca="1">IF(ISNUMBER(MATCH(DATEVALUE($A70),'recurring1_based on steps'!AJ$1:AJ$400,0)),AJ$2,)</f>
        <v>0</v>
      </c>
      <c r="AK70" s="155">
        <f ca="1">IF(ISNUMBER(MATCH(DATEVALUE($A70),'recurring1_based on steps'!AK$1:AK$400,0)),AK$2,)</f>
        <v>0</v>
      </c>
      <c r="AL70" s="155">
        <f ca="1">IF(ISNUMBER(MATCH(DATEVALUE($A70),'recurring1_based on steps'!AL$1:AL$400,0)),AL$2,)</f>
        <v>0</v>
      </c>
      <c r="AM70" s="155">
        <f ca="1">IF(ISNUMBER(MATCH(DATEVALUE($A70),'recurring1_based on steps'!AM$1:AM$400,0)),AM$2,)</f>
        <v>0</v>
      </c>
      <c r="AN70" s="155">
        <f ca="1">IF(ISNUMBER(MATCH(DATEVALUE($A70),'recurring1_based on steps'!AN$1:AN$400,0)),AN$2,)</f>
        <v>0</v>
      </c>
      <c r="AO70" s="155">
        <f ca="1">IF(ISNUMBER(MATCH(DATEVALUE($A70),'recurring1_based on steps'!AO$1:AO$400,0)),AO$2,)</f>
        <v>0</v>
      </c>
      <c r="AP70" s="155">
        <f ca="1">IF(ISNUMBER(MATCH(DATEVALUE($A70),'recurring1_based on steps'!AP$1:AP$400,0)),AP$2,)</f>
        <v>0</v>
      </c>
      <c r="AQ70" s="155">
        <f ca="1">IF(ISNUMBER(MATCH(DATEVALUE($A70),'recurring1_based on steps'!AQ$1:AQ$400,0)),AQ$2,)</f>
        <v>0</v>
      </c>
      <c r="AR70" s="155">
        <f ca="1">IF(ISNUMBER(MATCH(DATEVALUE($A70),'recurring1_based on steps'!AR$1:AR$400,0)),AR$2,)</f>
        <v>0</v>
      </c>
      <c r="AS70" s="155">
        <f ca="1">IF(ISNUMBER(MATCH(DATEVALUE($A70),'recurring1_based on steps'!AS$1:AS$400,0)),AS$2,)</f>
        <v>0</v>
      </c>
      <c r="AT70" s="155">
        <f ca="1">IF(ISNUMBER(MATCH(DATEVALUE($A70),'recurring1_based on steps'!AT$1:AT$400,0)),AT$2,)</f>
        <v>0</v>
      </c>
      <c r="AU70" s="155">
        <f ca="1">IF(ISNUMBER(MATCH(DATEVALUE($A70),'recurring1_based on steps'!AU$1:AU$400,0)),AU$2,)</f>
        <v>0</v>
      </c>
      <c r="AV70" s="155">
        <f ca="1">IF(ISNUMBER(MATCH(DATEVALUE($A70),'recurring1_based on steps'!AV$1:AV$400,0)),AV$2,)</f>
        <v>0</v>
      </c>
      <c r="AW70" s="155">
        <f ca="1">IF(ISNUMBER(MATCH(DATEVALUE($A70),'recurring1_based on steps'!AW$1:AW$400,0)),AW$2,)</f>
        <v>0</v>
      </c>
      <c r="AX70" s="155">
        <f ca="1">IF(ISNUMBER(MATCH(DATEVALUE($A70),'recurring1_based on steps'!AX$1:AX$400,0)),AX$2,)</f>
        <v>0</v>
      </c>
      <c r="AY70" s="155">
        <f ca="1">IF(ISNUMBER(MATCH(DATEVALUE($A70),'recurring1_based on steps'!AY$1:AY$400,0)),AY$2,)</f>
        <v>0</v>
      </c>
    </row>
    <row r="71" spans="1:51" x14ac:dyDescent="0.2">
      <c r="A71" s="18" t="str">
        <f t="shared" ca="1" si="1"/>
        <v>2025-04-10</v>
      </c>
      <c r="B71" s="155">
        <f ca="1">IF(ISNUMBER(MATCH(DATEVALUE($A71),'recurring1_based on steps'!B$1:B$400,0)),B$2,)</f>
        <v>0</v>
      </c>
      <c r="C71" s="155">
        <f ca="1">IF(ISNUMBER(MATCH(DATEVALUE($A71),'recurring1_based on steps'!C$1:C$400,0)),C$2,)</f>
        <v>0</v>
      </c>
      <c r="D71" s="155">
        <f ca="1">IF(ISNUMBER(MATCH(DATEVALUE($A71),'recurring1_based on steps'!D$1:D$400,0)),D$2,)</f>
        <v>0</v>
      </c>
      <c r="E71" s="155">
        <f ca="1">IF(ISNUMBER(MATCH(DATEVALUE($A71),'recurring1_based on steps'!E$1:E$400,0)),E$2,)</f>
        <v>0</v>
      </c>
      <c r="F71" s="155">
        <f ca="1">IF(ISNUMBER(MATCH(DATEVALUE($A71),'recurring1_based on steps'!F$1:F$400,0)),F$2,)</f>
        <v>0</v>
      </c>
      <c r="G71" s="155">
        <f ca="1">IF(ISNUMBER(MATCH(DATEVALUE($A71),'recurring1_based on steps'!G$1:G$400,0)),G$2,)</f>
        <v>0</v>
      </c>
      <c r="H71" s="155">
        <f ca="1">IF(ISNUMBER(MATCH(DATEVALUE($A71),'recurring1_based on steps'!H$1:H$400,0)),H$2,)</f>
        <v>0</v>
      </c>
      <c r="I71" s="155">
        <f ca="1">IF(ISNUMBER(MATCH(DATEVALUE($A71),'recurring1_based on steps'!I$1:I$400,0)),I$2,)</f>
        <v>0</v>
      </c>
      <c r="J71" s="155">
        <f ca="1">IF(ISNUMBER(MATCH(DATEVALUE($A71),'recurring1_based on steps'!J$1:J$400,0)),J$2,)</f>
        <v>0</v>
      </c>
      <c r="K71" s="155">
        <f ca="1">IF(ISNUMBER(MATCH(DATEVALUE($A71),'recurring1_based on steps'!K$1:K$400,0)),K$2,)</f>
        <v>0</v>
      </c>
      <c r="L71" s="155">
        <f ca="1">IF(ISNUMBER(MATCH(DATEVALUE($A71),'recurring1_based on steps'!L$1:L$400,0)),L$2,)</f>
        <v>0</v>
      </c>
      <c r="M71" s="155">
        <f ca="1">IF(ISNUMBER(MATCH(DATEVALUE($A71),'recurring1_based on steps'!M$1:M$400,0)),M$2,)</f>
        <v>0</v>
      </c>
      <c r="N71" s="155">
        <f ca="1">IF(ISNUMBER(MATCH(DATEVALUE($A71),'recurring1_based on steps'!N$1:N$400,0)),N$2,)</f>
        <v>0</v>
      </c>
      <c r="O71" s="155">
        <f ca="1">IF(ISNUMBER(MATCH(DATEVALUE($A71),'recurring1_based on steps'!O$1:O$400,0)),O$2,)</f>
        <v>0</v>
      </c>
      <c r="P71" s="155">
        <f ca="1">IF(ISNUMBER(MATCH(DATEVALUE($A71),'recurring1_based on steps'!P$1:P$400,0)),P$2,)</f>
        <v>0</v>
      </c>
      <c r="Q71" s="155">
        <f ca="1">IF(ISNUMBER(MATCH(DATEVALUE($A71),'recurring1_based on steps'!Q$1:Q$400,0)),Q$2,)</f>
        <v>0</v>
      </c>
      <c r="R71" s="155">
        <f ca="1">IF(ISNUMBER(MATCH(DATEVALUE($A71),'recurring1_based on steps'!R$1:R$400,0)),R$2,)</f>
        <v>0</v>
      </c>
      <c r="S71" s="155">
        <f ca="1">IF(ISNUMBER(MATCH(DATEVALUE($A71),'recurring1_based on steps'!S$1:S$400,0)),S$2,)</f>
        <v>0</v>
      </c>
      <c r="T71" s="155">
        <f ca="1">IF(ISNUMBER(MATCH(DATEVALUE($A71),'recurring1_based on steps'!T$1:T$400,0)),T$2,)</f>
        <v>0</v>
      </c>
      <c r="U71" s="155">
        <f ca="1">IF(ISNUMBER(MATCH(DATEVALUE($A71),'recurring1_based on steps'!U$1:U$400,0)),U$2,)</f>
        <v>0</v>
      </c>
      <c r="V71" s="155">
        <f ca="1">IF(ISNUMBER(MATCH(DATEVALUE($A71),'recurring1_based on steps'!V$1:V$400,0)),V$2,)</f>
        <v>0</v>
      </c>
      <c r="W71" s="155">
        <f ca="1">IF(ISNUMBER(MATCH(DATEVALUE($A71),'recurring1_based on steps'!W$1:W$400,0)),W$2,)</f>
        <v>0</v>
      </c>
      <c r="X71" s="155">
        <f ca="1">IF(ISNUMBER(MATCH(DATEVALUE($A71),'recurring1_based on steps'!X$1:X$400,0)),X$2,)</f>
        <v>0</v>
      </c>
      <c r="Y71" s="155">
        <f ca="1">IF(ISNUMBER(MATCH(DATEVALUE($A71),'recurring1_based on steps'!Y$1:Y$400,0)),Y$2,)</f>
        <v>0</v>
      </c>
      <c r="Z71" s="155">
        <f ca="1">IF(ISNUMBER(MATCH(DATEVALUE($A71),'recurring1_based on steps'!Z$1:Z$400,0)),Z$2,)</f>
        <v>0</v>
      </c>
      <c r="AA71" s="155">
        <f ca="1">IF(ISNUMBER(MATCH(DATEVALUE($A71),'recurring1_based on steps'!AA$1:AA$400,0)),AA$2,)</f>
        <v>0</v>
      </c>
      <c r="AB71" s="155">
        <f ca="1">IF(ISNUMBER(MATCH(DATEVALUE($A71),'recurring1_based on steps'!AB$1:AB$400,0)),AB$2,)</f>
        <v>0</v>
      </c>
      <c r="AC71" s="155">
        <f ca="1">IF(ISNUMBER(MATCH(DATEVALUE($A71),'recurring1_based on steps'!AC$1:AC$400,0)),AC$2,)</f>
        <v>0</v>
      </c>
      <c r="AD71" s="155">
        <f ca="1">IF(ISNUMBER(MATCH(DATEVALUE($A71),'recurring1_based on steps'!AD$1:AD$400,0)),AD$2,)</f>
        <v>0</v>
      </c>
      <c r="AE71" s="155">
        <f ca="1">IF(ISNUMBER(MATCH(DATEVALUE($A71),'recurring1_based on steps'!AE$1:AE$400,0)),AE$2,)</f>
        <v>0</v>
      </c>
      <c r="AF71" s="155">
        <f ca="1">IF(ISNUMBER(MATCH(DATEVALUE($A71),'recurring1_based on steps'!AF$1:AF$400,0)),AF$2,)</f>
        <v>0</v>
      </c>
      <c r="AG71" s="155">
        <f ca="1">IF(ISNUMBER(MATCH(DATEVALUE($A71),'recurring1_based on steps'!AG$1:AG$400,0)),AG$2,)</f>
        <v>0</v>
      </c>
      <c r="AH71" s="155">
        <f ca="1">IF(ISNUMBER(MATCH(DATEVALUE($A71),'recurring1_based on steps'!AH$1:AH$400,0)),AH$2,)</f>
        <v>0</v>
      </c>
      <c r="AI71" s="155">
        <f ca="1">IF(ISNUMBER(MATCH(DATEVALUE($A71),'recurring1_based on steps'!AI$1:AI$400,0)),AI$2,)</f>
        <v>0</v>
      </c>
      <c r="AJ71" s="155">
        <f ca="1">IF(ISNUMBER(MATCH(DATEVALUE($A71),'recurring1_based on steps'!AJ$1:AJ$400,0)),AJ$2,)</f>
        <v>0</v>
      </c>
      <c r="AK71" s="155">
        <f ca="1">IF(ISNUMBER(MATCH(DATEVALUE($A71),'recurring1_based on steps'!AK$1:AK$400,0)),AK$2,)</f>
        <v>0</v>
      </c>
      <c r="AL71" s="155">
        <f ca="1">IF(ISNUMBER(MATCH(DATEVALUE($A71),'recurring1_based on steps'!AL$1:AL$400,0)),AL$2,)</f>
        <v>0</v>
      </c>
      <c r="AM71" s="155">
        <f ca="1">IF(ISNUMBER(MATCH(DATEVALUE($A71),'recurring1_based on steps'!AM$1:AM$400,0)),AM$2,)</f>
        <v>0</v>
      </c>
      <c r="AN71" s="155">
        <f ca="1">IF(ISNUMBER(MATCH(DATEVALUE($A71),'recurring1_based on steps'!AN$1:AN$400,0)),AN$2,)</f>
        <v>0</v>
      </c>
      <c r="AO71" s="155">
        <f ca="1">IF(ISNUMBER(MATCH(DATEVALUE($A71),'recurring1_based on steps'!AO$1:AO$400,0)),AO$2,)</f>
        <v>0</v>
      </c>
      <c r="AP71" s="155">
        <f ca="1">IF(ISNUMBER(MATCH(DATEVALUE($A71),'recurring1_based on steps'!AP$1:AP$400,0)),AP$2,)</f>
        <v>0</v>
      </c>
      <c r="AQ71" s="155">
        <f ca="1">IF(ISNUMBER(MATCH(DATEVALUE($A71),'recurring1_based on steps'!AQ$1:AQ$400,0)),AQ$2,)</f>
        <v>0</v>
      </c>
      <c r="AR71" s="155">
        <f ca="1">IF(ISNUMBER(MATCH(DATEVALUE($A71),'recurring1_based on steps'!AR$1:AR$400,0)),AR$2,)</f>
        <v>0</v>
      </c>
      <c r="AS71" s="155">
        <f ca="1">IF(ISNUMBER(MATCH(DATEVALUE($A71),'recurring1_based on steps'!AS$1:AS$400,0)),AS$2,)</f>
        <v>0</v>
      </c>
      <c r="AT71" s="155">
        <f ca="1">IF(ISNUMBER(MATCH(DATEVALUE($A71),'recurring1_based on steps'!AT$1:AT$400,0)),AT$2,)</f>
        <v>0</v>
      </c>
      <c r="AU71" s="155">
        <f ca="1">IF(ISNUMBER(MATCH(DATEVALUE($A71),'recurring1_based on steps'!AU$1:AU$400,0)),AU$2,)</f>
        <v>0</v>
      </c>
      <c r="AV71" s="155">
        <f ca="1">IF(ISNUMBER(MATCH(DATEVALUE($A71),'recurring1_based on steps'!AV$1:AV$400,0)),AV$2,)</f>
        <v>0</v>
      </c>
      <c r="AW71" s="155">
        <f ca="1">IF(ISNUMBER(MATCH(DATEVALUE($A71),'recurring1_based on steps'!AW$1:AW$400,0)),AW$2,)</f>
        <v>0</v>
      </c>
      <c r="AX71" s="155">
        <f ca="1">IF(ISNUMBER(MATCH(DATEVALUE($A71),'recurring1_based on steps'!AX$1:AX$400,0)),AX$2,)</f>
        <v>0</v>
      </c>
      <c r="AY71" s="155">
        <f ca="1">IF(ISNUMBER(MATCH(DATEVALUE($A71),'recurring1_based on steps'!AY$1:AY$400,0)),AY$2,)</f>
        <v>0</v>
      </c>
    </row>
    <row r="72" spans="1:51" x14ac:dyDescent="0.2">
      <c r="A72" s="18" t="str">
        <f t="shared" ca="1" si="1"/>
        <v>2025-04-11</v>
      </c>
      <c r="B72" s="155">
        <f ca="1">IF(ISNUMBER(MATCH(DATEVALUE($A72),'recurring1_based on steps'!B$1:B$400,0)),B$2,)</f>
        <v>0</v>
      </c>
      <c r="C72" s="155">
        <f ca="1">IF(ISNUMBER(MATCH(DATEVALUE($A72),'recurring1_based on steps'!C$1:C$400,0)),C$2,)</f>
        <v>0</v>
      </c>
      <c r="D72" s="155">
        <f ca="1">IF(ISNUMBER(MATCH(DATEVALUE($A72),'recurring1_based on steps'!D$1:D$400,0)),D$2,)</f>
        <v>0</v>
      </c>
      <c r="E72" s="155">
        <f ca="1">IF(ISNUMBER(MATCH(DATEVALUE($A72),'recurring1_based on steps'!E$1:E$400,0)),E$2,)</f>
        <v>0</v>
      </c>
      <c r="F72" s="155">
        <f ca="1">IF(ISNUMBER(MATCH(DATEVALUE($A72),'recurring1_based on steps'!F$1:F$400,0)),F$2,)</f>
        <v>0</v>
      </c>
      <c r="G72" s="155">
        <f ca="1">IF(ISNUMBER(MATCH(DATEVALUE($A72),'recurring1_based on steps'!G$1:G$400,0)),G$2,)</f>
        <v>0</v>
      </c>
      <c r="H72" s="155">
        <f ca="1">IF(ISNUMBER(MATCH(DATEVALUE($A72),'recurring1_based on steps'!H$1:H$400,0)),H$2,)</f>
        <v>0</v>
      </c>
      <c r="I72" s="155">
        <f ca="1">IF(ISNUMBER(MATCH(DATEVALUE($A72),'recurring1_based on steps'!I$1:I$400,0)),I$2,)</f>
        <v>0</v>
      </c>
      <c r="J72" s="155">
        <f ca="1">IF(ISNUMBER(MATCH(DATEVALUE($A72),'recurring1_based on steps'!J$1:J$400,0)),J$2,)</f>
        <v>0</v>
      </c>
      <c r="K72" s="155">
        <f ca="1">IF(ISNUMBER(MATCH(DATEVALUE($A72),'recurring1_based on steps'!K$1:K$400,0)),K$2,)</f>
        <v>0</v>
      </c>
      <c r="L72" s="155">
        <f ca="1">IF(ISNUMBER(MATCH(DATEVALUE($A72),'recurring1_based on steps'!L$1:L$400,0)),L$2,)</f>
        <v>0</v>
      </c>
      <c r="M72" s="155">
        <f ca="1">IF(ISNUMBER(MATCH(DATEVALUE($A72),'recurring1_based on steps'!M$1:M$400,0)),M$2,)</f>
        <v>0</v>
      </c>
      <c r="N72" s="155">
        <f ca="1">IF(ISNUMBER(MATCH(DATEVALUE($A72),'recurring1_based on steps'!N$1:N$400,0)),N$2,)</f>
        <v>0</v>
      </c>
      <c r="O72" s="155">
        <f ca="1">IF(ISNUMBER(MATCH(DATEVALUE($A72),'recurring1_based on steps'!O$1:O$400,0)),O$2,)</f>
        <v>0</v>
      </c>
      <c r="P72" s="155">
        <f ca="1">IF(ISNUMBER(MATCH(DATEVALUE($A72),'recurring1_based on steps'!P$1:P$400,0)),P$2,)</f>
        <v>0</v>
      </c>
      <c r="Q72" s="155">
        <f ca="1">IF(ISNUMBER(MATCH(DATEVALUE($A72),'recurring1_based on steps'!Q$1:Q$400,0)),Q$2,)</f>
        <v>0</v>
      </c>
      <c r="R72" s="155">
        <f ca="1">IF(ISNUMBER(MATCH(DATEVALUE($A72),'recurring1_based on steps'!R$1:R$400,0)),R$2,)</f>
        <v>0</v>
      </c>
      <c r="S72" s="155">
        <f ca="1">IF(ISNUMBER(MATCH(DATEVALUE($A72),'recurring1_based on steps'!S$1:S$400,0)),S$2,)</f>
        <v>0</v>
      </c>
      <c r="T72" s="155">
        <f ca="1">IF(ISNUMBER(MATCH(DATEVALUE($A72),'recurring1_based on steps'!T$1:T$400,0)),T$2,)</f>
        <v>0</v>
      </c>
      <c r="U72" s="155">
        <f ca="1">IF(ISNUMBER(MATCH(DATEVALUE($A72),'recurring1_based on steps'!U$1:U$400,0)),U$2,)</f>
        <v>0</v>
      </c>
      <c r="V72" s="155">
        <f ca="1">IF(ISNUMBER(MATCH(DATEVALUE($A72),'recurring1_based on steps'!V$1:V$400,0)),V$2,)</f>
        <v>0</v>
      </c>
      <c r="W72" s="155">
        <f ca="1">IF(ISNUMBER(MATCH(DATEVALUE($A72),'recurring1_based on steps'!W$1:W$400,0)),W$2,)</f>
        <v>0</v>
      </c>
      <c r="X72" s="155">
        <f ca="1">IF(ISNUMBER(MATCH(DATEVALUE($A72),'recurring1_based on steps'!X$1:X$400,0)),X$2,)</f>
        <v>0</v>
      </c>
      <c r="Y72" s="155">
        <f ca="1">IF(ISNUMBER(MATCH(DATEVALUE($A72),'recurring1_based on steps'!Y$1:Y$400,0)),Y$2,)</f>
        <v>0</v>
      </c>
      <c r="Z72" s="155">
        <f ca="1">IF(ISNUMBER(MATCH(DATEVALUE($A72),'recurring1_based on steps'!Z$1:Z$400,0)),Z$2,)</f>
        <v>0</v>
      </c>
      <c r="AA72" s="155">
        <f ca="1">IF(ISNUMBER(MATCH(DATEVALUE($A72),'recurring1_based on steps'!AA$1:AA$400,0)),AA$2,)</f>
        <v>0</v>
      </c>
      <c r="AB72" s="155">
        <f ca="1">IF(ISNUMBER(MATCH(DATEVALUE($A72),'recurring1_based on steps'!AB$1:AB$400,0)),AB$2,)</f>
        <v>0</v>
      </c>
      <c r="AC72" s="155">
        <f ca="1">IF(ISNUMBER(MATCH(DATEVALUE($A72),'recurring1_based on steps'!AC$1:AC$400,0)),AC$2,)</f>
        <v>0</v>
      </c>
      <c r="AD72" s="155">
        <f ca="1">IF(ISNUMBER(MATCH(DATEVALUE($A72),'recurring1_based on steps'!AD$1:AD$400,0)),AD$2,)</f>
        <v>0</v>
      </c>
      <c r="AE72" s="155">
        <f ca="1">IF(ISNUMBER(MATCH(DATEVALUE($A72),'recurring1_based on steps'!AE$1:AE$400,0)),AE$2,)</f>
        <v>0</v>
      </c>
      <c r="AF72" s="155">
        <f ca="1">IF(ISNUMBER(MATCH(DATEVALUE($A72),'recurring1_based on steps'!AF$1:AF$400,0)),AF$2,)</f>
        <v>0</v>
      </c>
      <c r="AG72" s="155">
        <f ca="1">IF(ISNUMBER(MATCH(DATEVALUE($A72),'recurring1_based on steps'!AG$1:AG$400,0)),AG$2,)</f>
        <v>0</v>
      </c>
      <c r="AH72" s="155">
        <f ca="1">IF(ISNUMBER(MATCH(DATEVALUE($A72),'recurring1_based on steps'!AH$1:AH$400,0)),AH$2,)</f>
        <v>0</v>
      </c>
      <c r="AI72" s="155">
        <f ca="1">IF(ISNUMBER(MATCH(DATEVALUE($A72),'recurring1_based on steps'!AI$1:AI$400,0)),AI$2,)</f>
        <v>0</v>
      </c>
      <c r="AJ72" s="155">
        <f ca="1">IF(ISNUMBER(MATCH(DATEVALUE($A72),'recurring1_based on steps'!AJ$1:AJ$400,0)),AJ$2,)</f>
        <v>0</v>
      </c>
      <c r="AK72" s="155">
        <f ca="1">IF(ISNUMBER(MATCH(DATEVALUE($A72),'recurring1_based on steps'!AK$1:AK$400,0)),AK$2,)</f>
        <v>0</v>
      </c>
      <c r="AL72" s="155">
        <f ca="1">IF(ISNUMBER(MATCH(DATEVALUE($A72),'recurring1_based on steps'!AL$1:AL$400,0)),AL$2,)</f>
        <v>0</v>
      </c>
      <c r="AM72" s="155">
        <f ca="1">IF(ISNUMBER(MATCH(DATEVALUE($A72),'recurring1_based on steps'!AM$1:AM$400,0)),AM$2,)</f>
        <v>0</v>
      </c>
      <c r="AN72" s="155">
        <f ca="1">IF(ISNUMBER(MATCH(DATEVALUE($A72),'recurring1_based on steps'!AN$1:AN$400,0)),AN$2,)</f>
        <v>0</v>
      </c>
      <c r="AO72" s="155">
        <f ca="1">IF(ISNUMBER(MATCH(DATEVALUE($A72),'recurring1_based on steps'!AO$1:AO$400,0)),AO$2,)</f>
        <v>0</v>
      </c>
      <c r="AP72" s="155">
        <f ca="1">IF(ISNUMBER(MATCH(DATEVALUE($A72),'recurring1_based on steps'!AP$1:AP$400,0)),AP$2,)</f>
        <v>0</v>
      </c>
      <c r="AQ72" s="155">
        <f ca="1">IF(ISNUMBER(MATCH(DATEVALUE($A72),'recurring1_based on steps'!AQ$1:AQ$400,0)),AQ$2,)</f>
        <v>0</v>
      </c>
      <c r="AR72" s="155">
        <f ca="1">IF(ISNUMBER(MATCH(DATEVALUE($A72),'recurring1_based on steps'!AR$1:AR$400,0)),AR$2,)</f>
        <v>0</v>
      </c>
      <c r="AS72" s="155">
        <f ca="1">IF(ISNUMBER(MATCH(DATEVALUE($A72),'recurring1_based on steps'!AS$1:AS$400,0)),AS$2,)</f>
        <v>0</v>
      </c>
      <c r="AT72" s="155">
        <f ca="1">IF(ISNUMBER(MATCH(DATEVALUE($A72),'recurring1_based on steps'!AT$1:AT$400,0)),AT$2,)</f>
        <v>0</v>
      </c>
      <c r="AU72" s="155">
        <f ca="1">IF(ISNUMBER(MATCH(DATEVALUE($A72),'recurring1_based on steps'!AU$1:AU$400,0)),AU$2,)</f>
        <v>0</v>
      </c>
      <c r="AV72" s="155">
        <f ca="1">IF(ISNUMBER(MATCH(DATEVALUE($A72),'recurring1_based on steps'!AV$1:AV$400,0)),AV$2,)</f>
        <v>0</v>
      </c>
      <c r="AW72" s="155">
        <f ca="1">IF(ISNUMBER(MATCH(DATEVALUE($A72),'recurring1_based on steps'!AW$1:AW$400,0)),AW$2,)</f>
        <v>0</v>
      </c>
      <c r="AX72" s="155">
        <f ca="1">IF(ISNUMBER(MATCH(DATEVALUE($A72),'recurring1_based on steps'!AX$1:AX$400,0)),AX$2,)</f>
        <v>0</v>
      </c>
      <c r="AY72" s="155">
        <f ca="1">IF(ISNUMBER(MATCH(DATEVALUE($A72),'recurring1_based on steps'!AY$1:AY$400,0)),AY$2,)</f>
        <v>0</v>
      </c>
    </row>
    <row r="73" spans="1:51" x14ac:dyDescent="0.2">
      <c r="A73" s="18" t="str">
        <f t="shared" ca="1" si="1"/>
        <v>2025-04-12</v>
      </c>
      <c r="B73" s="155">
        <f ca="1">IF(ISNUMBER(MATCH(DATEVALUE($A73),'recurring1_based on steps'!B$1:B$400,0)),B$2,)</f>
        <v>0</v>
      </c>
      <c r="C73" s="155">
        <f ca="1">IF(ISNUMBER(MATCH(DATEVALUE($A73),'recurring1_based on steps'!C$1:C$400,0)),C$2,)</f>
        <v>0</v>
      </c>
      <c r="D73" s="155">
        <f ca="1">IF(ISNUMBER(MATCH(DATEVALUE($A73),'recurring1_based on steps'!D$1:D$400,0)),D$2,)</f>
        <v>0</v>
      </c>
      <c r="E73" s="155">
        <f ca="1">IF(ISNUMBER(MATCH(DATEVALUE($A73),'recurring1_based on steps'!E$1:E$400,0)),E$2,)</f>
        <v>0</v>
      </c>
      <c r="F73" s="155">
        <f ca="1">IF(ISNUMBER(MATCH(DATEVALUE($A73),'recurring1_based on steps'!F$1:F$400,0)),F$2,)</f>
        <v>0</v>
      </c>
      <c r="G73" s="155">
        <f ca="1">IF(ISNUMBER(MATCH(DATEVALUE($A73),'recurring1_based on steps'!G$1:G$400,0)),G$2,)</f>
        <v>0</v>
      </c>
      <c r="H73" s="155">
        <f ca="1">IF(ISNUMBER(MATCH(DATEVALUE($A73),'recurring1_based on steps'!H$1:H$400,0)),H$2,)</f>
        <v>0</v>
      </c>
      <c r="I73" s="155">
        <f ca="1">IF(ISNUMBER(MATCH(DATEVALUE($A73),'recurring1_based on steps'!I$1:I$400,0)),I$2,)</f>
        <v>0</v>
      </c>
      <c r="J73" s="155">
        <f ca="1">IF(ISNUMBER(MATCH(DATEVALUE($A73),'recurring1_based on steps'!J$1:J$400,0)),J$2,)</f>
        <v>0</v>
      </c>
      <c r="K73" s="155">
        <f ca="1">IF(ISNUMBER(MATCH(DATEVALUE($A73),'recurring1_based on steps'!K$1:K$400,0)),K$2,)</f>
        <v>0</v>
      </c>
      <c r="L73" s="155">
        <f ca="1">IF(ISNUMBER(MATCH(DATEVALUE($A73),'recurring1_based on steps'!L$1:L$400,0)),L$2,)</f>
        <v>0</v>
      </c>
      <c r="M73" s="155">
        <f ca="1">IF(ISNUMBER(MATCH(DATEVALUE($A73),'recurring1_based on steps'!M$1:M$400,0)),M$2,)</f>
        <v>0</v>
      </c>
      <c r="N73" s="155">
        <f ca="1">IF(ISNUMBER(MATCH(DATEVALUE($A73),'recurring1_based on steps'!N$1:N$400,0)),N$2,)</f>
        <v>0</v>
      </c>
      <c r="O73" s="155">
        <f ca="1">IF(ISNUMBER(MATCH(DATEVALUE($A73),'recurring1_based on steps'!O$1:O$400,0)),O$2,)</f>
        <v>0</v>
      </c>
      <c r="P73" s="155">
        <f ca="1">IF(ISNUMBER(MATCH(DATEVALUE($A73),'recurring1_based on steps'!P$1:P$400,0)),P$2,)</f>
        <v>0</v>
      </c>
      <c r="Q73" s="155">
        <f ca="1">IF(ISNUMBER(MATCH(DATEVALUE($A73),'recurring1_based on steps'!Q$1:Q$400,0)),Q$2,)</f>
        <v>100</v>
      </c>
      <c r="R73" s="155">
        <f ca="1">IF(ISNUMBER(MATCH(DATEVALUE($A73),'recurring1_based on steps'!R$1:R$400,0)),R$2,)</f>
        <v>100</v>
      </c>
      <c r="S73" s="155">
        <f ca="1">IF(ISNUMBER(MATCH(DATEVALUE($A73),'recurring1_based on steps'!S$1:S$400,0)),S$2,)</f>
        <v>0</v>
      </c>
      <c r="T73" s="155">
        <f ca="1">IF(ISNUMBER(MATCH(DATEVALUE($A73),'recurring1_based on steps'!T$1:T$400,0)),T$2,)</f>
        <v>0</v>
      </c>
      <c r="U73" s="155">
        <f ca="1">IF(ISNUMBER(MATCH(DATEVALUE($A73),'recurring1_based on steps'!U$1:U$400,0)),U$2,)</f>
        <v>0</v>
      </c>
      <c r="V73" s="155">
        <f ca="1">IF(ISNUMBER(MATCH(DATEVALUE($A73),'recurring1_based on steps'!V$1:V$400,0)),V$2,)</f>
        <v>0</v>
      </c>
      <c r="W73" s="155">
        <f ca="1">IF(ISNUMBER(MATCH(DATEVALUE($A73),'recurring1_based on steps'!W$1:W$400,0)),W$2,)</f>
        <v>0</v>
      </c>
      <c r="X73" s="155">
        <f ca="1">IF(ISNUMBER(MATCH(DATEVALUE($A73),'recurring1_based on steps'!X$1:X$400,0)),X$2,)</f>
        <v>0</v>
      </c>
      <c r="Y73" s="155">
        <f ca="1">IF(ISNUMBER(MATCH(DATEVALUE($A73),'recurring1_based on steps'!Y$1:Y$400,0)),Y$2,)</f>
        <v>0</v>
      </c>
      <c r="Z73" s="155">
        <f ca="1">IF(ISNUMBER(MATCH(DATEVALUE($A73),'recurring1_based on steps'!Z$1:Z$400,0)),Z$2,)</f>
        <v>0</v>
      </c>
      <c r="AA73" s="155">
        <f ca="1">IF(ISNUMBER(MATCH(DATEVALUE($A73),'recurring1_based on steps'!AA$1:AA$400,0)),AA$2,)</f>
        <v>0</v>
      </c>
      <c r="AB73" s="155">
        <f ca="1">IF(ISNUMBER(MATCH(DATEVALUE($A73),'recurring1_based on steps'!AB$1:AB$400,0)),AB$2,)</f>
        <v>0</v>
      </c>
      <c r="AC73" s="155">
        <f ca="1">IF(ISNUMBER(MATCH(DATEVALUE($A73),'recurring1_based on steps'!AC$1:AC$400,0)),AC$2,)</f>
        <v>0</v>
      </c>
      <c r="AD73" s="155">
        <f ca="1">IF(ISNUMBER(MATCH(DATEVALUE($A73),'recurring1_based on steps'!AD$1:AD$400,0)),AD$2,)</f>
        <v>0</v>
      </c>
      <c r="AE73" s="155">
        <f ca="1">IF(ISNUMBER(MATCH(DATEVALUE($A73),'recurring1_based on steps'!AE$1:AE$400,0)),AE$2,)</f>
        <v>0</v>
      </c>
      <c r="AF73" s="155">
        <f ca="1">IF(ISNUMBER(MATCH(DATEVALUE($A73),'recurring1_based on steps'!AF$1:AF$400,0)),AF$2,)</f>
        <v>0</v>
      </c>
      <c r="AG73" s="155">
        <f ca="1">IF(ISNUMBER(MATCH(DATEVALUE($A73),'recurring1_based on steps'!AG$1:AG$400,0)),AG$2,)</f>
        <v>0</v>
      </c>
      <c r="AH73" s="155">
        <f ca="1">IF(ISNUMBER(MATCH(DATEVALUE($A73),'recurring1_based on steps'!AH$1:AH$400,0)),AH$2,)</f>
        <v>0</v>
      </c>
      <c r="AI73" s="155">
        <f ca="1">IF(ISNUMBER(MATCH(DATEVALUE($A73),'recurring1_based on steps'!AI$1:AI$400,0)),AI$2,)</f>
        <v>0</v>
      </c>
      <c r="AJ73" s="155">
        <f ca="1">IF(ISNUMBER(MATCH(DATEVALUE($A73),'recurring1_based on steps'!AJ$1:AJ$400,0)),AJ$2,)</f>
        <v>0</v>
      </c>
      <c r="AK73" s="155">
        <f ca="1">IF(ISNUMBER(MATCH(DATEVALUE($A73),'recurring1_based on steps'!AK$1:AK$400,0)),AK$2,)</f>
        <v>0</v>
      </c>
      <c r="AL73" s="155">
        <f ca="1">IF(ISNUMBER(MATCH(DATEVALUE($A73),'recurring1_based on steps'!AL$1:AL$400,0)),AL$2,)</f>
        <v>0</v>
      </c>
      <c r="AM73" s="155">
        <f ca="1">IF(ISNUMBER(MATCH(DATEVALUE($A73),'recurring1_based on steps'!AM$1:AM$400,0)),AM$2,)</f>
        <v>0</v>
      </c>
      <c r="AN73" s="155">
        <f ca="1">IF(ISNUMBER(MATCH(DATEVALUE($A73),'recurring1_based on steps'!AN$1:AN$400,0)),AN$2,)</f>
        <v>0</v>
      </c>
      <c r="AO73" s="155">
        <f ca="1">IF(ISNUMBER(MATCH(DATEVALUE($A73),'recurring1_based on steps'!AO$1:AO$400,0)),AO$2,)</f>
        <v>0</v>
      </c>
      <c r="AP73" s="155">
        <f ca="1">IF(ISNUMBER(MATCH(DATEVALUE($A73),'recurring1_based on steps'!AP$1:AP$400,0)),AP$2,)</f>
        <v>0</v>
      </c>
      <c r="AQ73" s="155">
        <f ca="1">IF(ISNUMBER(MATCH(DATEVALUE($A73),'recurring1_based on steps'!AQ$1:AQ$400,0)),AQ$2,)</f>
        <v>0</v>
      </c>
      <c r="AR73" s="155">
        <f ca="1">IF(ISNUMBER(MATCH(DATEVALUE($A73),'recurring1_based on steps'!AR$1:AR$400,0)),AR$2,)</f>
        <v>0</v>
      </c>
      <c r="AS73" s="155">
        <f ca="1">IF(ISNUMBER(MATCH(DATEVALUE($A73),'recurring1_based on steps'!AS$1:AS$400,0)),AS$2,)</f>
        <v>0</v>
      </c>
      <c r="AT73" s="155">
        <f ca="1">IF(ISNUMBER(MATCH(DATEVALUE($A73),'recurring1_based on steps'!AT$1:AT$400,0)),AT$2,)</f>
        <v>0</v>
      </c>
      <c r="AU73" s="155">
        <f ca="1">IF(ISNUMBER(MATCH(DATEVALUE($A73),'recurring1_based on steps'!AU$1:AU$400,0)),AU$2,)</f>
        <v>0</v>
      </c>
      <c r="AV73" s="155">
        <f ca="1">IF(ISNUMBER(MATCH(DATEVALUE($A73),'recurring1_based on steps'!AV$1:AV$400,0)),AV$2,)</f>
        <v>0</v>
      </c>
      <c r="AW73" s="155">
        <f ca="1">IF(ISNUMBER(MATCH(DATEVALUE($A73),'recurring1_based on steps'!AW$1:AW$400,0)),AW$2,)</f>
        <v>0</v>
      </c>
      <c r="AX73" s="155">
        <f ca="1">IF(ISNUMBER(MATCH(DATEVALUE($A73),'recurring1_based on steps'!AX$1:AX$400,0)),AX$2,)</f>
        <v>0</v>
      </c>
      <c r="AY73" s="155">
        <f ca="1">IF(ISNUMBER(MATCH(DATEVALUE($A73),'recurring1_based on steps'!AY$1:AY$400,0)),AY$2,)</f>
        <v>0</v>
      </c>
    </row>
    <row r="74" spans="1:51" x14ac:dyDescent="0.2">
      <c r="A74" s="18" t="str">
        <f t="shared" ca="1" si="1"/>
        <v>2025-04-13</v>
      </c>
      <c r="B74" s="155">
        <f ca="1">IF(ISNUMBER(MATCH(DATEVALUE($A74),'recurring1_based on steps'!B$1:B$400,0)),B$2,)</f>
        <v>0</v>
      </c>
      <c r="C74" s="155">
        <f ca="1">IF(ISNUMBER(MATCH(DATEVALUE($A74),'recurring1_based on steps'!C$1:C$400,0)),C$2,)</f>
        <v>0</v>
      </c>
      <c r="D74" s="155">
        <f ca="1">IF(ISNUMBER(MATCH(DATEVALUE($A74),'recurring1_based on steps'!D$1:D$400,0)),D$2,)</f>
        <v>0</v>
      </c>
      <c r="E74" s="155">
        <f ca="1">IF(ISNUMBER(MATCH(DATEVALUE($A74),'recurring1_based on steps'!E$1:E$400,0)),E$2,)</f>
        <v>0</v>
      </c>
      <c r="F74" s="155">
        <f ca="1">IF(ISNUMBER(MATCH(DATEVALUE($A74),'recurring1_based on steps'!F$1:F$400,0)),F$2,)</f>
        <v>0</v>
      </c>
      <c r="G74" s="155">
        <f ca="1">IF(ISNUMBER(MATCH(DATEVALUE($A74),'recurring1_based on steps'!G$1:G$400,0)),G$2,)</f>
        <v>0</v>
      </c>
      <c r="H74" s="155">
        <f ca="1">IF(ISNUMBER(MATCH(DATEVALUE($A74),'recurring1_based on steps'!H$1:H$400,0)),H$2,)</f>
        <v>0</v>
      </c>
      <c r="I74" s="155">
        <f ca="1">IF(ISNUMBER(MATCH(DATEVALUE($A74),'recurring1_based on steps'!I$1:I$400,0)),I$2,)</f>
        <v>0</v>
      </c>
      <c r="J74" s="155">
        <f ca="1">IF(ISNUMBER(MATCH(DATEVALUE($A74),'recurring1_based on steps'!J$1:J$400,0)),J$2,)</f>
        <v>0</v>
      </c>
      <c r="K74" s="155">
        <f ca="1">IF(ISNUMBER(MATCH(DATEVALUE($A74),'recurring1_based on steps'!K$1:K$400,0)),K$2,)</f>
        <v>50</v>
      </c>
      <c r="L74" s="155">
        <f ca="1">IF(ISNUMBER(MATCH(DATEVALUE($A74),'recurring1_based on steps'!L$1:L$400,0)),L$2,)</f>
        <v>0</v>
      </c>
      <c r="M74" s="155">
        <f ca="1">IF(ISNUMBER(MATCH(DATEVALUE($A74),'recurring1_based on steps'!M$1:M$400,0)),M$2,)</f>
        <v>0</v>
      </c>
      <c r="N74" s="155">
        <f ca="1">IF(ISNUMBER(MATCH(DATEVALUE($A74),'recurring1_based on steps'!N$1:N$400,0)),N$2,)</f>
        <v>0</v>
      </c>
      <c r="O74" s="155">
        <f ca="1">IF(ISNUMBER(MATCH(DATEVALUE($A74),'recurring1_based on steps'!O$1:O$400,0)),O$2,)</f>
        <v>0</v>
      </c>
      <c r="P74" s="155">
        <f ca="1">IF(ISNUMBER(MATCH(DATEVALUE($A74),'recurring1_based on steps'!P$1:P$400,0)),P$2,)</f>
        <v>0</v>
      </c>
      <c r="Q74" s="155">
        <f ca="1">IF(ISNUMBER(MATCH(DATEVALUE($A74),'recurring1_based on steps'!Q$1:Q$400,0)),Q$2,)</f>
        <v>0</v>
      </c>
      <c r="R74" s="155">
        <f ca="1">IF(ISNUMBER(MATCH(DATEVALUE($A74),'recurring1_based on steps'!R$1:R$400,0)),R$2,)</f>
        <v>0</v>
      </c>
      <c r="S74" s="155">
        <f ca="1">IF(ISNUMBER(MATCH(DATEVALUE($A74),'recurring1_based on steps'!S$1:S$400,0)),S$2,)</f>
        <v>100</v>
      </c>
      <c r="T74" s="155">
        <f ca="1">IF(ISNUMBER(MATCH(DATEVALUE($A74),'recurring1_based on steps'!T$1:T$400,0)),T$2,)</f>
        <v>0</v>
      </c>
      <c r="U74" s="155">
        <f ca="1">IF(ISNUMBER(MATCH(DATEVALUE($A74),'recurring1_based on steps'!U$1:U$400,0)),U$2,)</f>
        <v>0</v>
      </c>
      <c r="V74" s="155">
        <f ca="1">IF(ISNUMBER(MATCH(DATEVALUE($A74),'recurring1_based on steps'!V$1:V$400,0)),V$2,)</f>
        <v>0</v>
      </c>
      <c r="W74" s="155">
        <f ca="1">IF(ISNUMBER(MATCH(DATEVALUE($A74),'recurring1_based on steps'!W$1:W$400,0)),W$2,)</f>
        <v>0</v>
      </c>
      <c r="X74" s="155">
        <f ca="1">IF(ISNUMBER(MATCH(DATEVALUE($A74),'recurring1_based on steps'!X$1:X$400,0)),X$2,)</f>
        <v>0</v>
      </c>
      <c r="Y74" s="155">
        <f ca="1">IF(ISNUMBER(MATCH(DATEVALUE($A74),'recurring1_based on steps'!Y$1:Y$400,0)),Y$2,)</f>
        <v>0</v>
      </c>
      <c r="Z74" s="155">
        <f ca="1">IF(ISNUMBER(MATCH(DATEVALUE($A74),'recurring1_based on steps'!Z$1:Z$400,0)),Z$2,)</f>
        <v>0</v>
      </c>
      <c r="AA74" s="155">
        <f ca="1">IF(ISNUMBER(MATCH(DATEVALUE($A74),'recurring1_based on steps'!AA$1:AA$400,0)),AA$2,)</f>
        <v>0</v>
      </c>
      <c r="AB74" s="155">
        <f ca="1">IF(ISNUMBER(MATCH(DATEVALUE($A74),'recurring1_based on steps'!AB$1:AB$400,0)),AB$2,)</f>
        <v>0</v>
      </c>
      <c r="AC74" s="155">
        <f ca="1">IF(ISNUMBER(MATCH(DATEVALUE($A74),'recurring1_based on steps'!AC$1:AC$400,0)),AC$2,)</f>
        <v>0</v>
      </c>
      <c r="AD74" s="155">
        <f ca="1">IF(ISNUMBER(MATCH(DATEVALUE($A74),'recurring1_based on steps'!AD$1:AD$400,0)),AD$2,)</f>
        <v>0</v>
      </c>
      <c r="AE74" s="155">
        <f ca="1">IF(ISNUMBER(MATCH(DATEVALUE($A74),'recurring1_based on steps'!AE$1:AE$400,0)),AE$2,)</f>
        <v>0</v>
      </c>
      <c r="AF74" s="155">
        <f ca="1">IF(ISNUMBER(MATCH(DATEVALUE($A74),'recurring1_based on steps'!AF$1:AF$400,0)),AF$2,)</f>
        <v>0</v>
      </c>
      <c r="AG74" s="155">
        <f ca="1">IF(ISNUMBER(MATCH(DATEVALUE($A74),'recurring1_based on steps'!AG$1:AG$400,0)),AG$2,)</f>
        <v>0</v>
      </c>
      <c r="AH74" s="155">
        <f ca="1">IF(ISNUMBER(MATCH(DATEVALUE($A74),'recurring1_based on steps'!AH$1:AH$400,0)),AH$2,)</f>
        <v>0</v>
      </c>
      <c r="AI74" s="155">
        <f ca="1">IF(ISNUMBER(MATCH(DATEVALUE($A74),'recurring1_based on steps'!AI$1:AI$400,0)),AI$2,)</f>
        <v>0</v>
      </c>
      <c r="AJ74" s="155">
        <f ca="1">IF(ISNUMBER(MATCH(DATEVALUE($A74),'recurring1_based on steps'!AJ$1:AJ$400,0)),AJ$2,)</f>
        <v>0</v>
      </c>
      <c r="AK74" s="155">
        <f ca="1">IF(ISNUMBER(MATCH(DATEVALUE($A74),'recurring1_based on steps'!AK$1:AK$400,0)),AK$2,)</f>
        <v>0</v>
      </c>
      <c r="AL74" s="155">
        <f ca="1">IF(ISNUMBER(MATCH(DATEVALUE($A74),'recurring1_based on steps'!AL$1:AL$400,0)),AL$2,)</f>
        <v>0</v>
      </c>
      <c r="AM74" s="155">
        <f ca="1">IF(ISNUMBER(MATCH(DATEVALUE($A74),'recurring1_based on steps'!AM$1:AM$400,0)),AM$2,)</f>
        <v>0</v>
      </c>
      <c r="AN74" s="155">
        <f ca="1">IF(ISNUMBER(MATCH(DATEVALUE($A74),'recurring1_based on steps'!AN$1:AN$400,0)),AN$2,)</f>
        <v>0</v>
      </c>
      <c r="AO74" s="155">
        <f ca="1">IF(ISNUMBER(MATCH(DATEVALUE($A74),'recurring1_based on steps'!AO$1:AO$400,0)),AO$2,)</f>
        <v>0</v>
      </c>
      <c r="AP74" s="155">
        <f ca="1">IF(ISNUMBER(MATCH(DATEVALUE($A74),'recurring1_based on steps'!AP$1:AP$400,0)),AP$2,)</f>
        <v>0</v>
      </c>
      <c r="AQ74" s="155">
        <f ca="1">IF(ISNUMBER(MATCH(DATEVALUE($A74),'recurring1_based on steps'!AQ$1:AQ$400,0)),AQ$2,)</f>
        <v>0</v>
      </c>
      <c r="AR74" s="155">
        <f ca="1">IF(ISNUMBER(MATCH(DATEVALUE($A74),'recurring1_based on steps'!AR$1:AR$400,0)),AR$2,)</f>
        <v>0</v>
      </c>
      <c r="AS74" s="155">
        <f ca="1">IF(ISNUMBER(MATCH(DATEVALUE($A74),'recurring1_based on steps'!AS$1:AS$400,0)),AS$2,)</f>
        <v>0</v>
      </c>
      <c r="AT74" s="155">
        <f ca="1">IF(ISNUMBER(MATCH(DATEVALUE($A74),'recurring1_based on steps'!AT$1:AT$400,0)),AT$2,)</f>
        <v>0</v>
      </c>
      <c r="AU74" s="155">
        <f ca="1">IF(ISNUMBER(MATCH(DATEVALUE($A74),'recurring1_based on steps'!AU$1:AU$400,0)),AU$2,)</f>
        <v>0</v>
      </c>
      <c r="AV74" s="155">
        <f ca="1">IF(ISNUMBER(MATCH(DATEVALUE($A74),'recurring1_based on steps'!AV$1:AV$400,0)),AV$2,)</f>
        <v>0</v>
      </c>
      <c r="AW74" s="155">
        <f ca="1">IF(ISNUMBER(MATCH(DATEVALUE($A74),'recurring1_based on steps'!AW$1:AW$400,0)),AW$2,)</f>
        <v>0</v>
      </c>
      <c r="AX74" s="155">
        <f ca="1">IF(ISNUMBER(MATCH(DATEVALUE($A74),'recurring1_based on steps'!AX$1:AX$400,0)),AX$2,)</f>
        <v>0</v>
      </c>
      <c r="AY74" s="155">
        <f ca="1">IF(ISNUMBER(MATCH(DATEVALUE($A74),'recurring1_based on steps'!AY$1:AY$400,0)),AY$2,)</f>
        <v>0</v>
      </c>
    </row>
    <row r="75" spans="1:51" x14ac:dyDescent="0.2">
      <c r="A75" s="18" t="str">
        <f t="shared" ca="1" si="1"/>
        <v>2025-04-14</v>
      </c>
      <c r="B75" s="155">
        <f ca="1">IF(ISNUMBER(MATCH(DATEVALUE($A75),'recurring1_based on steps'!B$1:B$400,0)),B$2,)</f>
        <v>0</v>
      </c>
      <c r="C75" s="155">
        <f ca="1">IF(ISNUMBER(MATCH(DATEVALUE($A75),'recurring1_based on steps'!C$1:C$400,0)),C$2,)</f>
        <v>0</v>
      </c>
      <c r="D75" s="155">
        <f ca="1">IF(ISNUMBER(MATCH(DATEVALUE($A75),'recurring1_based on steps'!D$1:D$400,0)),D$2,)</f>
        <v>0</v>
      </c>
      <c r="E75" s="155">
        <f ca="1">IF(ISNUMBER(MATCH(DATEVALUE($A75),'recurring1_based on steps'!E$1:E$400,0)),E$2,)</f>
        <v>0</v>
      </c>
      <c r="F75" s="155">
        <f ca="1">IF(ISNUMBER(MATCH(DATEVALUE($A75),'recurring1_based on steps'!F$1:F$400,0)),F$2,)</f>
        <v>0</v>
      </c>
      <c r="G75" s="155">
        <f ca="1">IF(ISNUMBER(MATCH(DATEVALUE($A75),'recurring1_based on steps'!G$1:G$400,0)),G$2,)</f>
        <v>0</v>
      </c>
      <c r="H75" s="155">
        <f ca="1">IF(ISNUMBER(MATCH(DATEVALUE($A75),'recurring1_based on steps'!H$1:H$400,0)),H$2,)</f>
        <v>0</v>
      </c>
      <c r="I75" s="155">
        <f ca="1">IF(ISNUMBER(MATCH(DATEVALUE($A75),'recurring1_based on steps'!I$1:I$400,0)),I$2,)</f>
        <v>0</v>
      </c>
      <c r="J75" s="155">
        <f ca="1">IF(ISNUMBER(MATCH(DATEVALUE($A75),'recurring1_based on steps'!J$1:J$400,0)),J$2,)</f>
        <v>0</v>
      </c>
      <c r="K75" s="155">
        <f ca="1">IF(ISNUMBER(MATCH(DATEVALUE($A75),'recurring1_based on steps'!K$1:K$400,0)),K$2,)</f>
        <v>0</v>
      </c>
      <c r="L75" s="155">
        <f ca="1">IF(ISNUMBER(MATCH(DATEVALUE($A75),'recurring1_based on steps'!L$1:L$400,0)),L$2,)</f>
        <v>0</v>
      </c>
      <c r="M75" s="155">
        <f ca="1">IF(ISNUMBER(MATCH(DATEVALUE($A75),'recurring1_based on steps'!M$1:M$400,0)),M$2,)</f>
        <v>0</v>
      </c>
      <c r="N75" s="155">
        <f ca="1">IF(ISNUMBER(MATCH(DATEVALUE($A75),'recurring1_based on steps'!N$1:N$400,0)),N$2,)</f>
        <v>0</v>
      </c>
      <c r="O75" s="155">
        <f ca="1">IF(ISNUMBER(MATCH(DATEVALUE($A75),'recurring1_based on steps'!O$1:O$400,0)),O$2,)</f>
        <v>0</v>
      </c>
      <c r="P75" s="155">
        <f ca="1">IF(ISNUMBER(MATCH(DATEVALUE($A75),'recurring1_based on steps'!P$1:P$400,0)),P$2,)</f>
        <v>0</v>
      </c>
      <c r="Q75" s="155">
        <f ca="1">IF(ISNUMBER(MATCH(DATEVALUE($A75),'recurring1_based on steps'!Q$1:Q$400,0)),Q$2,)</f>
        <v>0</v>
      </c>
      <c r="R75" s="155">
        <f ca="1">IF(ISNUMBER(MATCH(DATEVALUE($A75),'recurring1_based on steps'!R$1:R$400,0)),R$2,)</f>
        <v>0</v>
      </c>
      <c r="S75" s="155">
        <f ca="1">IF(ISNUMBER(MATCH(DATEVALUE($A75),'recurring1_based on steps'!S$1:S$400,0)),S$2,)</f>
        <v>0</v>
      </c>
      <c r="T75" s="155">
        <f ca="1">IF(ISNUMBER(MATCH(DATEVALUE($A75),'recurring1_based on steps'!T$1:T$400,0)),T$2,)</f>
        <v>0</v>
      </c>
      <c r="U75" s="155">
        <f ca="1">IF(ISNUMBER(MATCH(DATEVALUE($A75),'recurring1_based on steps'!U$1:U$400,0)),U$2,)</f>
        <v>0</v>
      </c>
      <c r="V75" s="155">
        <f ca="1">IF(ISNUMBER(MATCH(DATEVALUE($A75),'recurring1_based on steps'!V$1:V$400,0)),V$2,)</f>
        <v>0</v>
      </c>
      <c r="W75" s="155">
        <f ca="1">IF(ISNUMBER(MATCH(DATEVALUE($A75),'recurring1_based on steps'!W$1:W$400,0)),W$2,)</f>
        <v>0</v>
      </c>
      <c r="X75" s="155">
        <f ca="1">IF(ISNUMBER(MATCH(DATEVALUE($A75),'recurring1_based on steps'!X$1:X$400,0)),X$2,)</f>
        <v>0</v>
      </c>
      <c r="Y75" s="155">
        <f ca="1">IF(ISNUMBER(MATCH(DATEVALUE($A75),'recurring1_based on steps'!Y$1:Y$400,0)),Y$2,)</f>
        <v>0</v>
      </c>
      <c r="Z75" s="155">
        <f ca="1">IF(ISNUMBER(MATCH(DATEVALUE($A75),'recurring1_based on steps'!Z$1:Z$400,0)),Z$2,)</f>
        <v>0</v>
      </c>
      <c r="AA75" s="155">
        <f ca="1">IF(ISNUMBER(MATCH(DATEVALUE($A75),'recurring1_based on steps'!AA$1:AA$400,0)),AA$2,)</f>
        <v>0</v>
      </c>
      <c r="AB75" s="155">
        <f ca="1">IF(ISNUMBER(MATCH(DATEVALUE($A75),'recurring1_based on steps'!AB$1:AB$400,0)),AB$2,)</f>
        <v>0</v>
      </c>
      <c r="AC75" s="155">
        <f ca="1">IF(ISNUMBER(MATCH(DATEVALUE($A75),'recurring1_based on steps'!AC$1:AC$400,0)),AC$2,)</f>
        <v>0</v>
      </c>
      <c r="AD75" s="155">
        <f ca="1">IF(ISNUMBER(MATCH(DATEVALUE($A75),'recurring1_based on steps'!AD$1:AD$400,0)),AD$2,)</f>
        <v>0</v>
      </c>
      <c r="AE75" s="155">
        <f ca="1">IF(ISNUMBER(MATCH(DATEVALUE($A75),'recurring1_based on steps'!AE$1:AE$400,0)),AE$2,)</f>
        <v>0</v>
      </c>
      <c r="AF75" s="155">
        <f ca="1">IF(ISNUMBER(MATCH(DATEVALUE($A75),'recurring1_based on steps'!AF$1:AF$400,0)),AF$2,)</f>
        <v>0</v>
      </c>
      <c r="AG75" s="155">
        <f ca="1">IF(ISNUMBER(MATCH(DATEVALUE($A75),'recurring1_based on steps'!AG$1:AG$400,0)),AG$2,)</f>
        <v>0</v>
      </c>
      <c r="AH75" s="155">
        <f ca="1">IF(ISNUMBER(MATCH(DATEVALUE($A75),'recurring1_based on steps'!AH$1:AH$400,0)),AH$2,)</f>
        <v>0</v>
      </c>
      <c r="AI75" s="155">
        <f ca="1">IF(ISNUMBER(MATCH(DATEVALUE($A75),'recurring1_based on steps'!AI$1:AI$400,0)),AI$2,)</f>
        <v>0</v>
      </c>
      <c r="AJ75" s="155">
        <f ca="1">IF(ISNUMBER(MATCH(DATEVALUE($A75),'recurring1_based on steps'!AJ$1:AJ$400,0)),AJ$2,)</f>
        <v>0</v>
      </c>
      <c r="AK75" s="155">
        <f ca="1">IF(ISNUMBER(MATCH(DATEVALUE($A75),'recurring1_based on steps'!AK$1:AK$400,0)),AK$2,)</f>
        <v>0</v>
      </c>
      <c r="AL75" s="155">
        <f ca="1">IF(ISNUMBER(MATCH(DATEVALUE($A75),'recurring1_based on steps'!AL$1:AL$400,0)),AL$2,)</f>
        <v>0</v>
      </c>
      <c r="AM75" s="155">
        <f ca="1">IF(ISNUMBER(MATCH(DATEVALUE($A75),'recurring1_based on steps'!AM$1:AM$400,0)),AM$2,)</f>
        <v>0</v>
      </c>
      <c r="AN75" s="155">
        <f ca="1">IF(ISNUMBER(MATCH(DATEVALUE($A75),'recurring1_based on steps'!AN$1:AN$400,0)),AN$2,)</f>
        <v>0</v>
      </c>
      <c r="AO75" s="155">
        <f ca="1">IF(ISNUMBER(MATCH(DATEVALUE($A75),'recurring1_based on steps'!AO$1:AO$400,0)),AO$2,)</f>
        <v>0</v>
      </c>
      <c r="AP75" s="155">
        <f ca="1">IF(ISNUMBER(MATCH(DATEVALUE($A75),'recurring1_based on steps'!AP$1:AP$400,0)),AP$2,)</f>
        <v>0</v>
      </c>
      <c r="AQ75" s="155">
        <f ca="1">IF(ISNUMBER(MATCH(DATEVALUE($A75),'recurring1_based on steps'!AQ$1:AQ$400,0)),AQ$2,)</f>
        <v>0</v>
      </c>
      <c r="AR75" s="155">
        <f ca="1">IF(ISNUMBER(MATCH(DATEVALUE($A75),'recurring1_based on steps'!AR$1:AR$400,0)),AR$2,)</f>
        <v>0</v>
      </c>
      <c r="AS75" s="155">
        <f ca="1">IF(ISNUMBER(MATCH(DATEVALUE($A75),'recurring1_based on steps'!AS$1:AS$400,0)),AS$2,)</f>
        <v>0</v>
      </c>
      <c r="AT75" s="155">
        <f ca="1">IF(ISNUMBER(MATCH(DATEVALUE($A75),'recurring1_based on steps'!AT$1:AT$400,0)),AT$2,)</f>
        <v>0</v>
      </c>
      <c r="AU75" s="155">
        <f ca="1">IF(ISNUMBER(MATCH(DATEVALUE($A75),'recurring1_based on steps'!AU$1:AU$400,0)),AU$2,)</f>
        <v>0</v>
      </c>
      <c r="AV75" s="155">
        <f ca="1">IF(ISNUMBER(MATCH(DATEVALUE($A75),'recurring1_based on steps'!AV$1:AV$400,0)),AV$2,)</f>
        <v>0</v>
      </c>
      <c r="AW75" s="155">
        <f ca="1">IF(ISNUMBER(MATCH(DATEVALUE($A75),'recurring1_based on steps'!AW$1:AW$400,0)),AW$2,)</f>
        <v>0</v>
      </c>
      <c r="AX75" s="155">
        <f ca="1">IF(ISNUMBER(MATCH(DATEVALUE($A75),'recurring1_based on steps'!AX$1:AX$400,0)),AX$2,)</f>
        <v>0</v>
      </c>
      <c r="AY75" s="155">
        <f ca="1">IF(ISNUMBER(MATCH(DATEVALUE($A75),'recurring1_based on steps'!AY$1:AY$400,0)),AY$2,)</f>
        <v>0</v>
      </c>
    </row>
    <row r="76" spans="1:51" x14ac:dyDescent="0.2">
      <c r="A76" s="18" t="str">
        <f t="shared" ca="1" si="1"/>
        <v>2025-04-15</v>
      </c>
      <c r="B76" s="155">
        <f ca="1">IF(ISNUMBER(MATCH(DATEVALUE($A76),'recurring1_based on steps'!B$1:B$400,0)),B$2,)</f>
        <v>0</v>
      </c>
      <c r="C76" s="155">
        <f ca="1">IF(ISNUMBER(MATCH(DATEVALUE($A76),'recurring1_based on steps'!C$1:C$400,0)),C$2,)</f>
        <v>0</v>
      </c>
      <c r="D76" s="155">
        <f ca="1">IF(ISNUMBER(MATCH(DATEVALUE($A76),'recurring1_based on steps'!D$1:D$400,0)),D$2,)</f>
        <v>0</v>
      </c>
      <c r="E76" s="155">
        <f ca="1">IF(ISNUMBER(MATCH(DATEVALUE($A76),'recurring1_based on steps'!E$1:E$400,0)),E$2,)</f>
        <v>0</v>
      </c>
      <c r="F76" s="155">
        <f ca="1">IF(ISNUMBER(MATCH(DATEVALUE($A76),'recurring1_based on steps'!F$1:F$400,0)),F$2,)</f>
        <v>0</v>
      </c>
      <c r="G76" s="155">
        <f ca="1">IF(ISNUMBER(MATCH(DATEVALUE($A76),'recurring1_based on steps'!G$1:G$400,0)),G$2,)</f>
        <v>0</v>
      </c>
      <c r="H76" s="155">
        <f ca="1">IF(ISNUMBER(MATCH(DATEVALUE($A76),'recurring1_based on steps'!H$1:H$400,0)),H$2,)</f>
        <v>0</v>
      </c>
      <c r="I76" s="155">
        <f ca="1">IF(ISNUMBER(MATCH(DATEVALUE($A76),'recurring1_based on steps'!I$1:I$400,0)),I$2,)</f>
        <v>0</v>
      </c>
      <c r="J76" s="155">
        <f ca="1">IF(ISNUMBER(MATCH(DATEVALUE($A76),'recurring1_based on steps'!J$1:J$400,0)),J$2,)</f>
        <v>0</v>
      </c>
      <c r="K76" s="155">
        <f ca="1">IF(ISNUMBER(MATCH(DATEVALUE($A76),'recurring1_based on steps'!K$1:K$400,0)),K$2,)</f>
        <v>0</v>
      </c>
      <c r="L76" s="155">
        <f ca="1">IF(ISNUMBER(MATCH(DATEVALUE($A76),'recurring1_based on steps'!L$1:L$400,0)),L$2,)</f>
        <v>0</v>
      </c>
      <c r="M76" s="155">
        <f ca="1">IF(ISNUMBER(MATCH(DATEVALUE($A76),'recurring1_based on steps'!M$1:M$400,0)),M$2,)</f>
        <v>0</v>
      </c>
      <c r="N76" s="155">
        <f ca="1">IF(ISNUMBER(MATCH(DATEVALUE($A76),'recurring1_based on steps'!N$1:N$400,0)),N$2,)</f>
        <v>0</v>
      </c>
      <c r="O76" s="155">
        <f ca="1">IF(ISNUMBER(MATCH(DATEVALUE($A76),'recurring1_based on steps'!O$1:O$400,0)),O$2,)</f>
        <v>0</v>
      </c>
      <c r="P76" s="155">
        <f ca="1">IF(ISNUMBER(MATCH(DATEVALUE($A76),'recurring1_based on steps'!P$1:P$400,0)),P$2,)</f>
        <v>0</v>
      </c>
      <c r="Q76" s="155">
        <f ca="1">IF(ISNUMBER(MATCH(DATEVALUE($A76),'recurring1_based on steps'!Q$1:Q$400,0)),Q$2,)</f>
        <v>0</v>
      </c>
      <c r="R76" s="155">
        <f ca="1">IF(ISNUMBER(MATCH(DATEVALUE($A76),'recurring1_based on steps'!R$1:R$400,0)),R$2,)</f>
        <v>0</v>
      </c>
      <c r="S76" s="155">
        <f ca="1">IF(ISNUMBER(MATCH(DATEVALUE($A76),'recurring1_based on steps'!S$1:S$400,0)),S$2,)</f>
        <v>0</v>
      </c>
      <c r="T76" s="155">
        <f ca="1">IF(ISNUMBER(MATCH(DATEVALUE($A76),'recurring1_based on steps'!T$1:T$400,0)),T$2,)</f>
        <v>0</v>
      </c>
      <c r="U76" s="155">
        <f ca="1">IF(ISNUMBER(MATCH(DATEVALUE($A76),'recurring1_based on steps'!U$1:U$400,0)),U$2,)</f>
        <v>0</v>
      </c>
      <c r="V76" s="155">
        <f ca="1">IF(ISNUMBER(MATCH(DATEVALUE($A76),'recurring1_based on steps'!V$1:V$400,0)),V$2,)</f>
        <v>0</v>
      </c>
      <c r="W76" s="155">
        <f ca="1">IF(ISNUMBER(MATCH(DATEVALUE($A76),'recurring1_based on steps'!W$1:W$400,0)),W$2,)</f>
        <v>0</v>
      </c>
      <c r="X76" s="155">
        <f ca="1">IF(ISNUMBER(MATCH(DATEVALUE($A76),'recurring1_based on steps'!X$1:X$400,0)),X$2,)</f>
        <v>0</v>
      </c>
      <c r="Y76" s="155">
        <f ca="1">IF(ISNUMBER(MATCH(DATEVALUE($A76),'recurring1_based on steps'!Y$1:Y$400,0)),Y$2,)</f>
        <v>0</v>
      </c>
      <c r="Z76" s="155">
        <f ca="1">IF(ISNUMBER(MATCH(DATEVALUE($A76),'recurring1_based on steps'!Z$1:Z$400,0)),Z$2,)</f>
        <v>0</v>
      </c>
      <c r="AA76" s="155">
        <f ca="1">IF(ISNUMBER(MATCH(DATEVALUE($A76),'recurring1_based on steps'!AA$1:AA$400,0)),AA$2,)</f>
        <v>0</v>
      </c>
      <c r="AB76" s="155">
        <f ca="1">IF(ISNUMBER(MATCH(DATEVALUE($A76),'recurring1_based on steps'!AB$1:AB$400,0)),AB$2,)</f>
        <v>0</v>
      </c>
      <c r="AC76" s="155">
        <f ca="1">IF(ISNUMBER(MATCH(DATEVALUE($A76),'recurring1_based on steps'!AC$1:AC$400,0)),AC$2,)</f>
        <v>0</v>
      </c>
      <c r="AD76" s="155">
        <f ca="1">IF(ISNUMBER(MATCH(DATEVALUE($A76),'recurring1_based on steps'!AD$1:AD$400,0)),AD$2,)</f>
        <v>0</v>
      </c>
      <c r="AE76" s="155">
        <f ca="1">IF(ISNUMBER(MATCH(DATEVALUE($A76),'recurring1_based on steps'!AE$1:AE$400,0)),AE$2,)</f>
        <v>0</v>
      </c>
      <c r="AF76" s="155">
        <f ca="1">IF(ISNUMBER(MATCH(DATEVALUE($A76),'recurring1_based on steps'!AF$1:AF$400,0)),AF$2,)</f>
        <v>0</v>
      </c>
      <c r="AG76" s="155">
        <f ca="1">IF(ISNUMBER(MATCH(DATEVALUE($A76),'recurring1_based on steps'!AG$1:AG$400,0)),AG$2,)</f>
        <v>0</v>
      </c>
      <c r="AH76" s="155">
        <f ca="1">IF(ISNUMBER(MATCH(DATEVALUE($A76),'recurring1_based on steps'!AH$1:AH$400,0)),AH$2,)</f>
        <v>0</v>
      </c>
      <c r="AI76" s="155">
        <f ca="1">IF(ISNUMBER(MATCH(DATEVALUE($A76),'recurring1_based on steps'!AI$1:AI$400,0)),AI$2,)</f>
        <v>0</v>
      </c>
      <c r="AJ76" s="155">
        <f ca="1">IF(ISNUMBER(MATCH(DATEVALUE($A76),'recurring1_based on steps'!AJ$1:AJ$400,0)),AJ$2,)</f>
        <v>0</v>
      </c>
      <c r="AK76" s="155">
        <f ca="1">IF(ISNUMBER(MATCH(DATEVALUE($A76),'recurring1_based on steps'!AK$1:AK$400,0)),AK$2,)</f>
        <v>0</v>
      </c>
      <c r="AL76" s="155">
        <f ca="1">IF(ISNUMBER(MATCH(DATEVALUE($A76),'recurring1_based on steps'!AL$1:AL$400,0)),AL$2,)</f>
        <v>0</v>
      </c>
      <c r="AM76" s="155">
        <f ca="1">IF(ISNUMBER(MATCH(DATEVALUE($A76),'recurring1_based on steps'!AM$1:AM$400,0)),AM$2,)</f>
        <v>0</v>
      </c>
      <c r="AN76" s="155">
        <f ca="1">IF(ISNUMBER(MATCH(DATEVALUE($A76),'recurring1_based on steps'!AN$1:AN$400,0)),AN$2,)</f>
        <v>0</v>
      </c>
      <c r="AO76" s="155">
        <f ca="1">IF(ISNUMBER(MATCH(DATEVALUE($A76),'recurring1_based on steps'!AO$1:AO$400,0)),AO$2,)</f>
        <v>0</v>
      </c>
      <c r="AP76" s="155">
        <f ca="1">IF(ISNUMBER(MATCH(DATEVALUE($A76),'recurring1_based on steps'!AP$1:AP$400,0)),AP$2,)</f>
        <v>0</v>
      </c>
      <c r="AQ76" s="155">
        <f ca="1">IF(ISNUMBER(MATCH(DATEVALUE($A76),'recurring1_based on steps'!AQ$1:AQ$400,0)),AQ$2,)</f>
        <v>0</v>
      </c>
      <c r="AR76" s="155">
        <f ca="1">IF(ISNUMBER(MATCH(DATEVALUE($A76),'recurring1_based on steps'!AR$1:AR$400,0)),AR$2,)</f>
        <v>0</v>
      </c>
      <c r="AS76" s="155">
        <f ca="1">IF(ISNUMBER(MATCH(DATEVALUE($A76),'recurring1_based on steps'!AS$1:AS$400,0)),AS$2,)</f>
        <v>0</v>
      </c>
      <c r="AT76" s="155">
        <f ca="1">IF(ISNUMBER(MATCH(DATEVALUE($A76),'recurring1_based on steps'!AT$1:AT$400,0)),AT$2,)</f>
        <v>0</v>
      </c>
      <c r="AU76" s="155">
        <f ca="1">IF(ISNUMBER(MATCH(DATEVALUE($A76),'recurring1_based on steps'!AU$1:AU$400,0)),AU$2,)</f>
        <v>0</v>
      </c>
      <c r="AV76" s="155">
        <f ca="1">IF(ISNUMBER(MATCH(DATEVALUE($A76),'recurring1_based on steps'!AV$1:AV$400,0)),AV$2,)</f>
        <v>0</v>
      </c>
      <c r="AW76" s="155">
        <f ca="1">IF(ISNUMBER(MATCH(DATEVALUE($A76),'recurring1_based on steps'!AW$1:AW$400,0)),AW$2,)</f>
        <v>0</v>
      </c>
      <c r="AX76" s="155">
        <f ca="1">IF(ISNUMBER(MATCH(DATEVALUE($A76),'recurring1_based on steps'!AX$1:AX$400,0)),AX$2,)</f>
        <v>0</v>
      </c>
      <c r="AY76" s="155">
        <f ca="1">IF(ISNUMBER(MATCH(DATEVALUE($A76),'recurring1_based on steps'!AY$1:AY$400,0)),AY$2,)</f>
        <v>0</v>
      </c>
    </row>
    <row r="77" spans="1:51" x14ac:dyDescent="0.2">
      <c r="A77" s="18" t="str">
        <f t="shared" ca="1" si="1"/>
        <v>2025-04-16</v>
      </c>
      <c r="B77" s="155">
        <f ca="1">IF(ISNUMBER(MATCH(DATEVALUE($A77),'recurring1_based on steps'!B$1:B$400,0)),B$2,)</f>
        <v>0</v>
      </c>
      <c r="C77" s="155">
        <f ca="1">IF(ISNUMBER(MATCH(DATEVALUE($A77),'recurring1_based on steps'!C$1:C$400,0)),C$2,)</f>
        <v>0</v>
      </c>
      <c r="D77" s="155">
        <f ca="1">IF(ISNUMBER(MATCH(DATEVALUE($A77),'recurring1_based on steps'!D$1:D$400,0)),D$2,)</f>
        <v>0</v>
      </c>
      <c r="E77" s="155">
        <f ca="1">IF(ISNUMBER(MATCH(DATEVALUE($A77),'recurring1_based on steps'!E$1:E$400,0)),E$2,)</f>
        <v>0</v>
      </c>
      <c r="F77" s="155">
        <f ca="1">IF(ISNUMBER(MATCH(DATEVALUE($A77),'recurring1_based on steps'!F$1:F$400,0)),F$2,)</f>
        <v>0</v>
      </c>
      <c r="G77" s="155">
        <f ca="1">IF(ISNUMBER(MATCH(DATEVALUE($A77),'recurring1_based on steps'!G$1:G$400,0)),G$2,)</f>
        <v>0</v>
      </c>
      <c r="H77" s="155">
        <f ca="1">IF(ISNUMBER(MATCH(DATEVALUE($A77),'recurring1_based on steps'!H$1:H$400,0)),H$2,)</f>
        <v>0</v>
      </c>
      <c r="I77" s="155">
        <f ca="1">IF(ISNUMBER(MATCH(DATEVALUE($A77),'recurring1_based on steps'!I$1:I$400,0)),I$2,)</f>
        <v>0</v>
      </c>
      <c r="J77" s="155">
        <f ca="1">IF(ISNUMBER(MATCH(DATEVALUE($A77),'recurring1_based on steps'!J$1:J$400,0)),J$2,)</f>
        <v>0</v>
      </c>
      <c r="K77" s="155">
        <f ca="1">IF(ISNUMBER(MATCH(DATEVALUE($A77),'recurring1_based on steps'!K$1:K$400,0)),K$2,)</f>
        <v>0</v>
      </c>
      <c r="L77" s="155">
        <f ca="1">IF(ISNUMBER(MATCH(DATEVALUE($A77),'recurring1_based on steps'!L$1:L$400,0)),L$2,)</f>
        <v>0</v>
      </c>
      <c r="M77" s="155">
        <f ca="1">IF(ISNUMBER(MATCH(DATEVALUE($A77),'recurring1_based on steps'!M$1:M$400,0)),M$2,)</f>
        <v>0</v>
      </c>
      <c r="N77" s="155">
        <f ca="1">IF(ISNUMBER(MATCH(DATEVALUE($A77),'recurring1_based on steps'!N$1:N$400,0)),N$2,)</f>
        <v>0</v>
      </c>
      <c r="O77" s="155">
        <f ca="1">IF(ISNUMBER(MATCH(DATEVALUE($A77),'recurring1_based on steps'!O$1:O$400,0)),O$2,)</f>
        <v>0</v>
      </c>
      <c r="P77" s="155">
        <f ca="1">IF(ISNUMBER(MATCH(DATEVALUE($A77),'recurring1_based on steps'!P$1:P$400,0)),P$2,)</f>
        <v>0</v>
      </c>
      <c r="Q77" s="155">
        <f ca="1">IF(ISNUMBER(MATCH(DATEVALUE($A77),'recurring1_based on steps'!Q$1:Q$400,0)),Q$2,)</f>
        <v>0</v>
      </c>
      <c r="R77" s="155">
        <f ca="1">IF(ISNUMBER(MATCH(DATEVALUE($A77),'recurring1_based on steps'!R$1:R$400,0)),R$2,)</f>
        <v>0</v>
      </c>
      <c r="S77" s="155">
        <f ca="1">IF(ISNUMBER(MATCH(DATEVALUE($A77),'recurring1_based on steps'!S$1:S$400,0)),S$2,)</f>
        <v>0</v>
      </c>
      <c r="T77" s="155">
        <f ca="1">IF(ISNUMBER(MATCH(DATEVALUE($A77),'recurring1_based on steps'!T$1:T$400,0)),T$2,)</f>
        <v>0</v>
      </c>
      <c r="U77" s="155">
        <f ca="1">IF(ISNUMBER(MATCH(DATEVALUE($A77),'recurring1_based on steps'!U$1:U$400,0)),U$2,)</f>
        <v>0</v>
      </c>
      <c r="V77" s="155">
        <f ca="1">IF(ISNUMBER(MATCH(DATEVALUE($A77),'recurring1_based on steps'!V$1:V$400,0)),V$2,)</f>
        <v>0</v>
      </c>
      <c r="W77" s="155">
        <f ca="1">IF(ISNUMBER(MATCH(DATEVALUE($A77),'recurring1_based on steps'!W$1:W$400,0)),W$2,)</f>
        <v>0</v>
      </c>
      <c r="X77" s="155">
        <f ca="1">IF(ISNUMBER(MATCH(DATEVALUE($A77),'recurring1_based on steps'!X$1:X$400,0)),X$2,)</f>
        <v>0</v>
      </c>
      <c r="Y77" s="155">
        <f ca="1">IF(ISNUMBER(MATCH(DATEVALUE($A77),'recurring1_based on steps'!Y$1:Y$400,0)),Y$2,)</f>
        <v>0</v>
      </c>
      <c r="Z77" s="155">
        <f ca="1">IF(ISNUMBER(MATCH(DATEVALUE($A77),'recurring1_based on steps'!Z$1:Z$400,0)),Z$2,)</f>
        <v>0</v>
      </c>
      <c r="AA77" s="155">
        <f ca="1">IF(ISNUMBER(MATCH(DATEVALUE($A77),'recurring1_based on steps'!AA$1:AA$400,0)),AA$2,)</f>
        <v>0</v>
      </c>
      <c r="AB77" s="155">
        <f ca="1">IF(ISNUMBER(MATCH(DATEVALUE($A77),'recurring1_based on steps'!AB$1:AB$400,0)),AB$2,)</f>
        <v>0</v>
      </c>
      <c r="AC77" s="155">
        <f ca="1">IF(ISNUMBER(MATCH(DATEVALUE($A77),'recurring1_based on steps'!AC$1:AC$400,0)),AC$2,)</f>
        <v>0</v>
      </c>
      <c r="AD77" s="155">
        <f ca="1">IF(ISNUMBER(MATCH(DATEVALUE($A77),'recurring1_based on steps'!AD$1:AD$400,0)),AD$2,)</f>
        <v>0</v>
      </c>
      <c r="AE77" s="155">
        <f ca="1">IF(ISNUMBER(MATCH(DATEVALUE($A77),'recurring1_based on steps'!AE$1:AE$400,0)),AE$2,)</f>
        <v>0</v>
      </c>
      <c r="AF77" s="155">
        <f ca="1">IF(ISNUMBER(MATCH(DATEVALUE($A77),'recurring1_based on steps'!AF$1:AF$400,0)),AF$2,)</f>
        <v>0</v>
      </c>
      <c r="AG77" s="155">
        <f ca="1">IF(ISNUMBER(MATCH(DATEVALUE($A77),'recurring1_based on steps'!AG$1:AG$400,0)),AG$2,)</f>
        <v>0</v>
      </c>
      <c r="AH77" s="155">
        <f ca="1">IF(ISNUMBER(MATCH(DATEVALUE($A77),'recurring1_based on steps'!AH$1:AH$400,0)),AH$2,)</f>
        <v>0</v>
      </c>
      <c r="AI77" s="155">
        <f ca="1">IF(ISNUMBER(MATCH(DATEVALUE($A77),'recurring1_based on steps'!AI$1:AI$400,0)),AI$2,)</f>
        <v>0</v>
      </c>
      <c r="AJ77" s="155">
        <f ca="1">IF(ISNUMBER(MATCH(DATEVALUE($A77),'recurring1_based on steps'!AJ$1:AJ$400,0)),AJ$2,)</f>
        <v>0</v>
      </c>
      <c r="AK77" s="155">
        <f ca="1">IF(ISNUMBER(MATCH(DATEVALUE($A77),'recurring1_based on steps'!AK$1:AK$400,0)),AK$2,)</f>
        <v>0</v>
      </c>
      <c r="AL77" s="155">
        <f ca="1">IF(ISNUMBER(MATCH(DATEVALUE($A77),'recurring1_based on steps'!AL$1:AL$400,0)),AL$2,)</f>
        <v>0</v>
      </c>
      <c r="AM77" s="155">
        <f ca="1">IF(ISNUMBER(MATCH(DATEVALUE($A77),'recurring1_based on steps'!AM$1:AM$400,0)),AM$2,)</f>
        <v>0</v>
      </c>
      <c r="AN77" s="155">
        <f ca="1">IF(ISNUMBER(MATCH(DATEVALUE($A77),'recurring1_based on steps'!AN$1:AN$400,0)),AN$2,)</f>
        <v>0</v>
      </c>
      <c r="AO77" s="155">
        <f ca="1">IF(ISNUMBER(MATCH(DATEVALUE($A77),'recurring1_based on steps'!AO$1:AO$400,0)),AO$2,)</f>
        <v>0</v>
      </c>
      <c r="AP77" s="155">
        <f ca="1">IF(ISNUMBER(MATCH(DATEVALUE($A77),'recurring1_based on steps'!AP$1:AP$400,0)),AP$2,)</f>
        <v>0</v>
      </c>
      <c r="AQ77" s="155">
        <f ca="1">IF(ISNUMBER(MATCH(DATEVALUE($A77),'recurring1_based on steps'!AQ$1:AQ$400,0)),AQ$2,)</f>
        <v>0</v>
      </c>
      <c r="AR77" s="155">
        <f ca="1">IF(ISNUMBER(MATCH(DATEVALUE($A77),'recurring1_based on steps'!AR$1:AR$400,0)),AR$2,)</f>
        <v>0</v>
      </c>
      <c r="AS77" s="155">
        <f ca="1">IF(ISNUMBER(MATCH(DATEVALUE($A77),'recurring1_based on steps'!AS$1:AS$400,0)),AS$2,)</f>
        <v>0</v>
      </c>
      <c r="AT77" s="155">
        <f ca="1">IF(ISNUMBER(MATCH(DATEVALUE($A77),'recurring1_based on steps'!AT$1:AT$400,0)),AT$2,)</f>
        <v>0</v>
      </c>
      <c r="AU77" s="155">
        <f ca="1">IF(ISNUMBER(MATCH(DATEVALUE($A77),'recurring1_based on steps'!AU$1:AU$400,0)),AU$2,)</f>
        <v>0</v>
      </c>
      <c r="AV77" s="155">
        <f ca="1">IF(ISNUMBER(MATCH(DATEVALUE($A77),'recurring1_based on steps'!AV$1:AV$400,0)),AV$2,)</f>
        <v>0</v>
      </c>
      <c r="AW77" s="155">
        <f ca="1">IF(ISNUMBER(MATCH(DATEVALUE($A77),'recurring1_based on steps'!AW$1:AW$400,0)),AW$2,)</f>
        <v>0</v>
      </c>
      <c r="AX77" s="155">
        <f ca="1">IF(ISNUMBER(MATCH(DATEVALUE($A77),'recurring1_based on steps'!AX$1:AX$400,0)),AX$2,)</f>
        <v>0</v>
      </c>
      <c r="AY77" s="155">
        <f ca="1">IF(ISNUMBER(MATCH(DATEVALUE($A77),'recurring1_based on steps'!AY$1:AY$400,0)),AY$2,)</f>
        <v>0</v>
      </c>
    </row>
    <row r="78" spans="1:51" x14ac:dyDescent="0.2">
      <c r="A78" s="18" t="str">
        <f t="shared" ca="1" si="1"/>
        <v>2025-04-17</v>
      </c>
      <c r="B78" s="155">
        <f ca="1">IF(ISNUMBER(MATCH(DATEVALUE($A78),'recurring1_based on steps'!B$1:B$400,0)),B$2,)</f>
        <v>0</v>
      </c>
      <c r="C78" s="155">
        <f ca="1">IF(ISNUMBER(MATCH(DATEVALUE($A78),'recurring1_based on steps'!C$1:C$400,0)),C$2,)</f>
        <v>0</v>
      </c>
      <c r="D78" s="155">
        <f ca="1">IF(ISNUMBER(MATCH(DATEVALUE($A78),'recurring1_based on steps'!D$1:D$400,0)),D$2,)</f>
        <v>0</v>
      </c>
      <c r="E78" s="155">
        <f ca="1">IF(ISNUMBER(MATCH(DATEVALUE($A78),'recurring1_based on steps'!E$1:E$400,0)),E$2,)</f>
        <v>0</v>
      </c>
      <c r="F78" s="155">
        <f ca="1">IF(ISNUMBER(MATCH(DATEVALUE($A78),'recurring1_based on steps'!F$1:F$400,0)),F$2,)</f>
        <v>0</v>
      </c>
      <c r="G78" s="155">
        <f ca="1">IF(ISNUMBER(MATCH(DATEVALUE($A78),'recurring1_based on steps'!G$1:G$400,0)),G$2,)</f>
        <v>0</v>
      </c>
      <c r="H78" s="155">
        <f ca="1">IF(ISNUMBER(MATCH(DATEVALUE($A78),'recurring1_based on steps'!H$1:H$400,0)),H$2,)</f>
        <v>0</v>
      </c>
      <c r="I78" s="155">
        <f ca="1">IF(ISNUMBER(MATCH(DATEVALUE($A78),'recurring1_based on steps'!I$1:I$400,0)),I$2,)</f>
        <v>0</v>
      </c>
      <c r="J78" s="155">
        <f ca="1">IF(ISNUMBER(MATCH(DATEVALUE($A78),'recurring1_based on steps'!J$1:J$400,0)),J$2,)</f>
        <v>0</v>
      </c>
      <c r="K78" s="155">
        <f ca="1">IF(ISNUMBER(MATCH(DATEVALUE($A78),'recurring1_based on steps'!K$1:K$400,0)),K$2,)</f>
        <v>0</v>
      </c>
      <c r="L78" s="155">
        <f ca="1">IF(ISNUMBER(MATCH(DATEVALUE($A78),'recurring1_based on steps'!L$1:L$400,0)),L$2,)</f>
        <v>0</v>
      </c>
      <c r="M78" s="155">
        <f ca="1">IF(ISNUMBER(MATCH(DATEVALUE($A78),'recurring1_based on steps'!M$1:M$400,0)),M$2,)</f>
        <v>0</v>
      </c>
      <c r="N78" s="155">
        <f ca="1">IF(ISNUMBER(MATCH(DATEVALUE($A78),'recurring1_based on steps'!N$1:N$400,0)),N$2,)</f>
        <v>15.49</v>
      </c>
      <c r="O78" s="155">
        <f ca="1">IF(ISNUMBER(MATCH(DATEVALUE($A78),'recurring1_based on steps'!O$1:O$400,0)),O$2,)</f>
        <v>0</v>
      </c>
      <c r="P78" s="155">
        <f ca="1">IF(ISNUMBER(MATCH(DATEVALUE($A78),'recurring1_based on steps'!P$1:P$400,0)),P$2,)</f>
        <v>0</v>
      </c>
      <c r="Q78" s="155">
        <f ca="1">IF(ISNUMBER(MATCH(DATEVALUE($A78),'recurring1_based on steps'!Q$1:Q$400,0)),Q$2,)</f>
        <v>0</v>
      </c>
      <c r="R78" s="155">
        <f ca="1">IF(ISNUMBER(MATCH(DATEVALUE($A78),'recurring1_based on steps'!R$1:R$400,0)),R$2,)</f>
        <v>0</v>
      </c>
      <c r="S78" s="155">
        <f ca="1">IF(ISNUMBER(MATCH(DATEVALUE($A78),'recurring1_based on steps'!S$1:S$400,0)),S$2,)</f>
        <v>0</v>
      </c>
      <c r="T78" s="155">
        <f ca="1">IF(ISNUMBER(MATCH(DATEVALUE($A78),'recurring1_based on steps'!T$1:T$400,0)),T$2,)</f>
        <v>0</v>
      </c>
      <c r="U78" s="155">
        <f ca="1">IF(ISNUMBER(MATCH(DATEVALUE($A78),'recurring1_based on steps'!U$1:U$400,0)),U$2,)</f>
        <v>0</v>
      </c>
      <c r="V78" s="155">
        <f ca="1">IF(ISNUMBER(MATCH(DATEVALUE($A78),'recurring1_based on steps'!V$1:V$400,0)),V$2,)</f>
        <v>200</v>
      </c>
      <c r="W78" s="155">
        <f ca="1">IF(ISNUMBER(MATCH(DATEVALUE($A78),'recurring1_based on steps'!W$1:W$400,0)),W$2,)</f>
        <v>0</v>
      </c>
      <c r="X78" s="155">
        <f ca="1">IF(ISNUMBER(MATCH(DATEVALUE($A78),'recurring1_based on steps'!X$1:X$400,0)),X$2,)</f>
        <v>0</v>
      </c>
      <c r="Y78" s="155">
        <f ca="1">IF(ISNUMBER(MATCH(DATEVALUE($A78),'recurring1_based on steps'!Y$1:Y$400,0)),Y$2,)</f>
        <v>0</v>
      </c>
      <c r="Z78" s="155">
        <f ca="1">IF(ISNUMBER(MATCH(DATEVALUE($A78),'recurring1_based on steps'!Z$1:Z$400,0)),Z$2,)</f>
        <v>0</v>
      </c>
      <c r="AA78" s="155">
        <f ca="1">IF(ISNUMBER(MATCH(DATEVALUE($A78),'recurring1_based on steps'!AA$1:AA$400,0)),AA$2,)</f>
        <v>0</v>
      </c>
      <c r="AB78" s="155">
        <f ca="1">IF(ISNUMBER(MATCH(DATEVALUE($A78),'recurring1_based on steps'!AB$1:AB$400,0)),AB$2,)</f>
        <v>0</v>
      </c>
      <c r="AC78" s="155">
        <f ca="1">IF(ISNUMBER(MATCH(DATEVALUE($A78),'recurring1_based on steps'!AC$1:AC$400,0)),AC$2,)</f>
        <v>0</v>
      </c>
      <c r="AD78" s="155">
        <f ca="1">IF(ISNUMBER(MATCH(DATEVALUE($A78),'recurring1_based on steps'!AD$1:AD$400,0)),AD$2,)</f>
        <v>0</v>
      </c>
      <c r="AE78" s="155">
        <f ca="1">IF(ISNUMBER(MATCH(DATEVALUE($A78),'recurring1_based on steps'!AE$1:AE$400,0)),AE$2,)</f>
        <v>0</v>
      </c>
      <c r="AF78" s="155">
        <f ca="1">IF(ISNUMBER(MATCH(DATEVALUE($A78),'recurring1_based on steps'!AF$1:AF$400,0)),AF$2,)</f>
        <v>0</v>
      </c>
      <c r="AG78" s="155">
        <f ca="1">IF(ISNUMBER(MATCH(DATEVALUE($A78),'recurring1_based on steps'!AG$1:AG$400,0)),AG$2,)</f>
        <v>0</v>
      </c>
      <c r="AH78" s="155">
        <f ca="1">IF(ISNUMBER(MATCH(DATEVALUE($A78),'recurring1_based on steps'!AH$1:AH$400,0)),AH$2,)</f>
        <v>0</v>
      </c>
      <c r="AI78" s="155">
        <f ca="1">IF(ISNUMBER(MATCH(DATEVALUE($A78),'recurring1_based on steps'!AI$1:AI$400,0)),AI$2,)</f>
        <v>0</v>
      </c>
      <c r="AJ78" s="155">
        <f ca="1">IF(ISNUMBER(MATCH(DATEVALUE($A78),'recurring1_based on steps'!AJ$1:AJ$400,0)),AJ$2,)</f>
        <v>0</v>
      </c>
      <c r="AK78" s="155">
        <f ca="1">IF(ISNUMBER(MATCH(DATEVALUE($A78),'recurring1_based on steps'!AK$1:AK$400,0)),AK$2,)</f>
        <v>0</v>
      </c>
      <c r="AL78" s="155">
        <f ca="1">IF(ISNUMBER(MATCH(DATEVALUE($A78),'recurring1_based on steps'!AL$1:AL$400,0)),AL$2,)</f>
        <v>0</v>
      </c>
      <c r="AM78" s="155">
        <f ca="1">IF(ISNUMBER(MATCH(DATEVALUE($A78),'recurring1_based on steps'!AM$1:AM$400,0)),AM$2,)</f>
        <v>0</v>
      </c>
      <c r="AN78" s="155">
        <f ca="1">IF(ISNUMBER(MATCH(DATEVALUE($A78),'recurring1_based on steps'!AN$1:AN$400,0)),AN$2,)</f>
        <v>0</v>
      </c>
      <c r="AO78" s="155">
        <f ca="1">IF(ISNUMBER(MATCH(DATEVALUE($A78),'recurring1_based on steps'!AO$1:AO$400,0)),AO$2,)</f>
        <v>0</v>
      </c>
      <c r="AP78" s="155">
        <f ca="1">IF(ISNUMBER(MATCH(DATEVALUE($A78),'recurring1_based on steps'!AP$1:AP$400,0)),AP$2,)</f>
        <v>0</v>
      </c>
      <c r="AQ78" s="155">
        <f ca="1">IF(ISNUMBER(MATCH(DATEVALUE($A78),'recurring1_based on steps'!AQ$1:AQ$400,0)),AQ$2,)</f>
        <v>0</v>
      </c>
      <c r="AR78" s="155">
        <f ca="1">IF(ISNUMBER(MATCH(DATEVALUE($A78),'recurring1_based on steps'!AR$1:AR$400,0)),AR$2,)</f>
        <v>0</v>
      </c>
      <c r="AS78" s="155">
        <f ca="1">IF(ISNUMBER(MATCH(DATEVALUE($A78),'recurring1_based on steps'!AS$1:AS$400,0)),AS$2,)</f>
        <v>0</v>
      </c>
      <c r="AT78" s="155">
        <f ca="1">IF(ISNUMBER(MATCH(DATEVALUE($A78),'recurring1_based on steps'!AT$1:AT$400,0)),AT$2,)</f>
        <v>0</v>
      </c>
      <c r="AU78" s="155">
        <f ca="1">IF(ISNUMBER(MATCH(DATEVALUE($A78),'recurring1_based on steps'!AU$1:AU$400,0)),AU$2,)</f>
        <v>0</v>
      </c>
      <c r="AV78" s="155">
        <f ca="1">IF(ISNUMBER(MATCH(DATEVALUE($A78),'recurring1_based on steps'!AV$1:AV$400,0)),AV$2,)</f>
        <v>0</v>
      </c>
      <c r="AW78" s="155">
        <f ca="1">IF(ISNUMBER(MATCH(DATEVALUE($A78),'recurring1_based on steps'!AW$1:AW$400,0)),AW$2,)</f>
        <v>0</v>
      </c>
      <c r="AX78" s="155">
        <f ca="1">IF(ISNUMBER(MATCH(DATEVALUE($A78),'recurring1_based on steps'!AX$1:AX$400,0)),AX$2,)</f>
        <v>0</v>
      </c>
      <c r="AY78" s="155">
        <f ca="1">IF(ISNUMBER(MATCH(DATEVALUE($A78),'recurring1_based on steps'!AY$1:AY$400,0)),AY$2,)</f>
        <v>0</v>
      </c>
    </row>
    <row r="79" spans="1:51" x14ac:dyDescent="0.2">
      <c r="A79" s="18" t="str">
        <f t="shared" ca="1" si="1"/>
        <v>2025-04-18</v>
      </c>
      <c r="B79" s="155">
        <f ca="1">IF(ISNUMBER(MATCH(DATEVALUE($A79),'recurring1_based on steps'!B$1:B$400,0)),B$2,)</f>
        <v>4000</v>
      </c>
      <c r="C79" s="155">
        <f ca="1">IF(ISNUMBER(MATCH(DATEVALUE($A79),'recurring1_based on steps'!C$1:C$400,0)),C$2,)</f>
        <v>200</v>
      </c>
      <c r="D79" s="155">
        <f ca="1">IF(ISNUMBER(MATCH(DATEVALUE($A79),'recurring1_based on steps'!D$1:D$400,0)),D$2,)</f>
        <v>2</v>
      </c>
      <c r="E79" s="155">
        <f ca="1">IF(ISNUMBER(MATCH(DATEVALUE($A79),'recurring1_based on steps'!E$1:E$400,0)),E$2,)</f>
        <v>40</v>
      </c>
      <c r="F79" s="155">
        <f ca="1">IF(ISNUMBER(MATCH(DATEVALUE($A79),'recurring1_based on steps'!F$1:F$400,0)),F$2,)</f>
        <v>50</v>
      </c>
      <c r="G79" s="155">
        <f ca="1">IF(ISNUMBER(MATCH(DATEVALUE($A79),'recurring1_based on steps'!G$1:G$400,0)),G$2,)</f>
        <v>4</v>
      </c>
      <c r="H79" s="155">
        <f ca="1">IF(ISNUMBER(MATCH(DATEVALUE($A79),'recurring1_based on steps'!H$1:H$400,0)),H$2,)</f>
        <v>0</v>
      </c>
      <c r="I79" s="155">
        <f ca="1">IF(ISNUMBER(MATCH(DATEVALUE($A79),'recurring1_based on steps'!I$1:I$400,0)),I$2,)</f>
        <v>0</v>
      </c>
      <c r="J79" s="155">
        <f ca="1">IF(ISNUMBER(MATCH(DATEVALUE($A79),'recurring1_based on steps'!J$1:J$400,0)),J$2,)</f>
        <v>0</v>
      </c>
      <c r="K79" s="155">
        <f ca="1">IF(ISNUMBER(MATCH(DATEVALUE($A79),'recurring1_based on steps'!K$1:K$400,0)),K$2,)</f>
        <v>0</v>
      </c>
      <c r="L79" s="155">
        <f ca="1">IF(ISNUMBER(MATCH(DATEVALUE($A79),'recurring1_based on steps'!L$1:L$400,0)),L$2,)</f>
        <v>0</v>
      </c>
      <c r="M79" s="155">
        <f ca="1">IF(ISNUMBER(MATCH(DATEVALUE($A79),'recurring1_based on steps'!M$1:M$400,0)),M$2,)</f>
        <v>0</v>
      </c>
      <c r="N79" s="155">
        <f ca="1">IF(ISNUMBER(MATCH(DATEVALUE($A79),'recurring1_based on steps'!N$1:N$400,0)),N$2,)</f>
        <v>0</v>
      </c>
      <c r="O79" s="155">
        <f ca="1">IF(ISNUMBER(MATCH(DATEVALUE($A79),'recurring1_based on steps'!O$1:O$400,0)),O$2,)</f>
        <v>10.99</v>
      </c>
      <c r="P79" s="155">
        <f ca="1">IF(ISNUMBER(MATCH(DATEVALUE($A79),'recurring1_based on steps'!P$1:P$400,0)),P$2,)</f>
        <v>0</v>
      </c>
      <c r="Q79" s="155">
        <f ca="1">IF(ISNUMBER(MATCH(DATEVALUE($A79),'recurring1_based on steps'!Q$1:Q$400,0)),Q$2,)</f>
        <v>0</v>
      </c>
      <c r="R79" s="155">
        <f ca="1">IF(ISNUMBER(MATCH(DATEVALUE($A79),'recurring1_based on steps'!R$1:R$400,0)),R$2,)</f>
        <v>0</v>
      </c>
      <c r="S79" s="155">
        <f ca="1">IF(ISNUMBER(MATCH(DATEVALUE($A79),'recurring1_based on steps'!S$1:S$400,0)),S$2,)</f>
        <v>0</v>
      </c>
      <c r="T79" s="155">
        <f ca="1">IF(ISNUMBER(MATCH(DATEVALUE($A79),'recurring1_based on steps'!T$1:T$400,0)),T$2,)</f>
        <v>0</v>
      </c>
      <c r="U79" s="155">
        <f ca="1">IF(ISNUMBER(MATCH(DATEVALUE($A79),'recurring1_based on steps'!U$1:U$400,0)),U$2,)</f>
        <v>0</v>
      </c>
      <c r="V79" s="155">
        <f ca="1">IF(ISNUMBER(MATCH(DATEVALUE($A79),'recurring1_based on steps'!V$1:V$400,0)),V$2,)</f>
        <v>0</v>
      </c>
      <c r="W79" s="155">
        <f ca="1">IF(ISNUMBER(MATCH(DATEVALUE($A79),'recurring1_based on steps'!W$1:W$400,0)),W$2,)</f>
        <v>0</v>
      </c>
      <c r="X79" s="155">
        <f ca="1">IF(ISNUMBER(MATCH(DATEVALUE($A79),'recurring1_based on steps'!X$1:X$400,0)),X$2,)</f>
        <v>50</v>
      </c>
      <c r="Y79" s="155">
        <f ca="1">IF(ISNUMBER(MATCH(DATEVALUE($A79),'recurring1_based on steps'!Y$1:Y$400,0)),Y$2,)</f>
        <v>0</v>
      </c>
      <c r="Z79" s="155">
        <f ca="1">IF(ISNUMBER(MATCH(DATEVALUE($A79),'recurring1_based on steps'!Z$1:Z$400,0)),Z$2,)</f>
        <v>0</v>
      </c>
      <c r="AA79" s="155">
        <f ca="1">IF(ISNUMBER(MATCH(DATEVALUE($A79),'recurring1_based on steps'!AA$1:AA$400,0)),AA$2,)</f>
        <v>0</v>
      </c>
      <c r="AB79" s="155">
        <f ca="1">IF(ISNUMBER(MATCH(DATEVALUE($A79),'recurring1_based on steps'!AB$1:AB$400,0)),AB$2,)</f>
        <v>0</v>
      </c>
      <c r="AC79" s="155">
        <f ca="1">IF(ISNUMBER(MATCH(DATEVALUE($A79),'recurring1_based on steps'!AC$1:AC$400,0)),AC$2,)</f>
        <v>0</v>
      </c>
      <c r="AD79" s="155">
        <f ca="1">IF(ISNUMBER(MATCH(DATEVALUE($A79),'recurring1_based on steps'!AD$1:AD$400,0)),AD$2,)</f>
        <v>0</v>
      </c>
      <c r="AE79" s="155">
        <f ca="1">IF(ISNUMBER(MATCH(DATEVALUE($A79),'recurring1_based on steps'!AE$1:AE$400,0)),AE$2,)</f>
        <v>0</v>
      </c>
      <c r="AF79" s="155">
        <f ca="1">IF(ISNUMBER(MATCH(DATEVALUE($A79),'recurring1_based on steps'!AF$1:AF$400,0)),AF$2,)</f>
        <v>0</v>
      </c>
      <c r="AG79" s="155">
        <f ca="1">IF(ISNUMBER(MATCH(DATEVALUE($A79),'recurring1_based on steps'!AG$1:AG$400,0)),AG$2,)</f>
        <v>0</v>
      </c>
      <c r="AH79" s="155">
        <f ca="1">IF(ISNUMBER(MATCH(DATEVALUE($A79),'recurring1_based on steps'!AH$1:AH$400,0)),AH$2,)</f>
        <v>0</v>
      </c>
      <c r="AI79" s="155">
        <f ca="1">IF(ISNUMBER(MATCH(DATEVALUE($A79),'recurring1_based on steps'!AI$1:AI$400,0)),AI$2,)</f>
        <v>0</v>
      </c>
      <c r="AJ79" s="155">
        <f ca="1">IF(ISNUMBER(MATCH(DATEVALUE($A79),'recurring1_based on steps'!AJ$1:AJ$400,0)),AJ$2,)</f>
        <v>0</v>
      </c>
      <c r="AK79" s="155">
        <f ca="1">IF(ISNUMBER(MATCH(DATEVALUE($A79),'recurring1_based on steps'!AK$1:AK$400,0)),AK$2,)</f>
        <v>0</v>
      </c>
      <c r="AL79" s="155">
        <f ca="1">IF(ISNUMBER(MATCH(DATEVALUE($A79),'recurring1_based on steps'!AL$1:AL$400,0)),AL$2,)</f>
        <v>0</v>
      </c>
      <c r="AM79" s="155">
        <f ca="1">IF(ISNUMBER(MATCH(DATEVALUE($A79),'recurring1_based on steps'!AM$1:AM$400,0)),AM$2,)</f>
        <v>0</v>
      </c>
      <c r="AN79" s="155">
        <f ca="1">IF(ISNUMBER(MATCH(DATEVALUE($A79),'recurring1_based on steps'!AN$1:AN$400,0)),AN$2,)</f>
        <v>0</v>
      </c>
      <c r="AO79" s="155">
        <f ca="1">IF(ISNUMBER(MATCH(DATEVALUE($A79),'recurring1_based on steps'!AO$1:AO$400,0)),AO$2,)</f>
        <v>0</v>
      </c>
      <c r="AP79" s="155">
        <f ca="1">IF(ISNUMBER(MATCH(DATEVALUE($A79),'recurring1_based on steps'!AP$1:AP$400,0)),AP$2,)</f>
        <v>0</v>
      </c>
      <c r="AQ79" s="155">
        <f ca="1">IF(ISNUMBER(MATCH(DATEVALUE($A79),'recurring1_based on steps'!AQ$1:AQ$400,0)),AQ$2,)</f>
        <v>0</v>
      </c>
      <c r="AR79" s="155">
        <f ca="1">IF(ISNUMBER(MATCH(DATEVALUE($A79),'recurring1_based on steps'!AR$1:AR$400,0)),AR$2,)</f>
        <v>0</v>
      </c>
      <c r="AS79" s="155">
        <f ca="1">IF(ISNUMBER(MATCH(DATEVALUE($A79),'recurring1_based on steps'!AS$1:AS$400,0)),AS$2,)</f>
        <v>0</v>
      </c>
      <c r="AT79" s="155">
        <f ca="1">IF(ISNUMBER(MATCH(DATEVALUE($A79),'recurring1_based on steps'!AT$1:AT$400,0)),AT$2,)</f>
        <v>0</v>
      </c>
      <c r="AU79" s="155">
        <f ca="1">IF(ISNUMBER(MATCH(DATEVALUE($A79),'recurring1_based on steps'!AU$1:AU$400,0)),AU$2,)</f>
        <v>0</v>
      </c>
      <c r="AV79" s="155">
        <f ca="1">IF(ISNUMBER(MATCH(DATEVALUE($A79),'recurring1_based on steps'!AV$1:AV$400,0)),AV$2,)</f>
        <v>0</v>
      </c>
      <c r="AW79" s="155">
        <f ca="1">IF(ISNUMBER(MATCH(DATEVALUE($A79),'recurring1_based on steps'!AW$1:AW$400,0)),AW$2,)</f>
        <v>0</v>
      </c>
      <c r="AX79" s="155">
        <f ca="1">IF(ISNUMBER(MATCH(DATEVALUE($A79),'recurring1_based on steps'!AX$1:AX$400,0)),AX$2,)</f>
        <v>0</v>
      </c>
      <c r="AY79" s="155">
        <f ca="1">IF(ISNUMBER(MATCH(DATEVALUE($A79),'recurring1_based on steps'!AY$1:AY$400,0)),AY$2,)</f>
        <v>0</v>
      </c>
    </row>
    <row r="80" spans="1:51" x14ac:dyDescent="0.2">
      <c r="A80" s="18" t="str">
        <f t="shared" ca="1" si="1"/>
        <v>2025-04-19</v>
      </c>
      <c r="B80" s="155">
        <f ca="1">IF(ISNUMBER(MATCH(DATEVALUE($A80),'recurring1_based on steps'!B$1:B$400,0)),B$2,)</f>
        <v>0</v>
      </c>
      <c r="C80" s="155">
        <f ca="1">IF(ISNUMBER(MATCH(DATEVALUE($A80),'recurring1_based on steps'!C$1:C$400,0)),C$2,)</f>
        <v>0</v>
      </c>
      <c r="D80" s="155">
        <f ca="1">IF(ISNUMBER(MATCH(DATEVALUE($A80),'recurring1_based on steps'!D$1:D$400,0)),D$2,)</f>
        <v>0</v>
      </c>
      <c r="E80" s="155">
        <f ca="1">IF(ISNUMBER(MATCH(DATEVALUE($A80),'recurring1_based on steps'!E$1:E$400,0)),E$2,)</f>
        <v>0</v>
      </c>
      <c r="F80" s="155">
        <f ca="1">IF(ISNUMBER(MATCH(DATEVALUE($A80),'recurring1_based on steps'!F$1:F$400,0)),F$2,)</f>
        <v>0</v>
      </c>
      <c r="G80" s="155">
        <f ca="1">IF(ISNUMBER(MATCH(DATEVALUE($A80),'recurring1_based on steps'!G$1:G$400,0)),G$2,)</f>
        <v>0</v>
      </c>
      <c r="H80" s="155">
        <f ca="1">IF(ISNUMBER(MATCH(DATEVALUE($A80),'recurring1_based on steps'!H$1:H$400,0)),H$2,)</f>
        <v>0</v>
      </c>
      <c r="I80" s="155">
        <f ca="1">IF(ISNUMBER(MATCH(DATEVALUE($A80),'recurring1_based on steps'!I$1:I$400,0)),I$2,)</f>
        <v>0</v>
      </c>
      <c r="J80" s="155">
        <f ca="1">IF(ISNUMBER(MATCH(DATEVALUE($A80),'recurring1_based on steps'!J$1:J$400,0)),J$2,)</f>
        <v>0</v>
      </c>
      <c r="K80" s="155">
        <f ca="1">IF(ISNUMBER(MATCH(DATEVALUE($A80),'recurring1_based on steps'!K$1:K$400,0)),K$2,)</f>
        <v>0</v>
      </c>
      <c r="L80" s="155">
        <f ca="1">IF(ISNUMBER(MATCH(DATEVALUE($A80),'recurring1_based on steps'!L$1:L$400,0)),L$2,)</f>
        <v>0</v>
      </c>
      <c r="M80" s="155">
        <f ca="1">IF(ISNUMBER(MATCH(DATEVALUE($A80),'recurring1_based on steps'!M$1:M$400,0)),M$2,)</f>
        <v>0</v>
      </c>
      <c r="N80" s="155">
        <f ca="1">IF(ISNUMBER(MATCH(DATEVALUE($A80),'recurring1_based on steps'!N$1:N$400,0)),N$2,)</f>
        <v>0</v>
      </c>
      <c r="O80" s="155">
        <f ca="1">IF(ISNUMBER(MATCH(DATEVALUE($A80),'recurring1_based on steps'!O$1:O$400,0)),O$2,)</f>
        <v>0</v>
      </c>
      <c r="P80" s="155">
        <f ca="1">IF(ISNUMBER(MATCH(DATEVALUE($A80),'recurring1_based on steps'!P$1:P$400,0)),P$2,)</f>
        <v>0</v>
      </c>
      <c r="Q80" s="155">
        <f ca="1">IF(ISNUMBER(MATCH(DATEVALUE($A80),'recurring1_based on steps'!Q$1:Q$400,0)),Q$2,)</f>
        <v>100</v>
      </c>
      <c r="R80" s="155">
        <f ca="1">IF(ISNUMBER(MATCH(DATEVALUE($A80),'recurring1_based on steps'!R$1:R$400,0)),R$2,)</f>
        <v>100</v>
      </c>
      <c r="S80" s="155">
        <f ca="1">IF(ISNUMBER(MATCH(DATEVALUE($A80),'recurring1_based on steps'!S$1:S$400,0)),S$2,)</f>
        <v>0</v>
      </c>
      <c r="T80" s="155">
        <f ca="1">IF(ISNUMBER(MATCH(DATEVALUE($A80),'recurring1_based on steps'!T$1:T$400,0)),T$2,)</f>
        <v>0</v>
      </c>
      <c r="U80" s="155">
        <f ca="1">IF(ISNUMBER(MATCH(DATEVALUE($A80),'recurring1_based on steps'!U$1:U$400,0)),U$2,)</f>
        <v>0</v>
      </c>
      <c r="V80" s="155">
        <f ca="1">IF(ISNUMBER(MATCH(DATEVALUE($A80),'recurring1_based on steps'!V$1:V$400,0)),V$2,)</f>
        <v>0</v>
      </c>
      <c r="W80" s="155">
        <f ca="1">IF(ISNUMBER(MATCH(DATEVALUE($A80),'recurring1_based on steps'!W$1:W$400,0)),W$2,)</f>
        <v>0</v>
      </c>
      <c r="X80" s="155">
        <f ca="1">IF(ISNUMBER(MATCH(DATEVALUE($A80),'recurring1_based on steps'!X$1:X$400,0)),X$2,)</f>
        <v>0</v>
      </c>
      <c r="Y80" s="155">
        <f ca="1">IF(ISNUMBER(MATCH(DATEVALUE($A80),'recurring1_based on steps'!Y$1:Y$400,0)),Y$2,)</f>
        <v>0</v>
      </c>
      <c r="Z80" s="155">
        <f ca="1">IF(ISNUMBER(MATCH(DATEVALUE($A80),'recurring1_based on steps'!Z$1:Z$400,0)),Z$2,)</f>
        <v>0</v>
      </c>
      <c r="AA80" s="155">
        <f ca="1">IF(ISNUMBER(MATCH(DATEVALUE($A80),'recurring1_based on steps'!AA$1:AA$400,0)),AA$2,)</f>
        <v>0</v>
      </c>
      <c r="AB80" s="155">
        <f ca="1">IF(ISNUMBER(MATCH(DATEVALUE($A80),'recurring1_based on steps'!AB$1:AB$400,0)),AB$2,)</f>
        <v>0</v>
      </c>
      <c r="AC80" s="155">
        <f ca="1">IF(ISNUMBER(MATCH(DATEVALUE($A80),'recurring1_based on steps'!AC$1:AC$400,0)),AC$2,)</f>
        <v>0</v>
      </c>
      <c r="AD80" s="155">
        <f ca="1">IF(ISNUMBER(MATCH(DATEVALUE($A80),'recurring1_based on steps'!AD$1:AD$400,0)),AD$2,)</f>
        <v>0</v>
      </c>
      <c r="AE80" s="155">
        <f ca="1">IF(ISNUMBER(MATCH(DATEVALUE($A80),'recurring1_based on steps'!AE$1:AE$400,0)),AE$2,)</f>
        <v>0</v>
      </c>
      <c r="AF80" s="155">
        <f ca="1">IF(ISNUMBER(MATCH(DATEVALUE($A80),'recurring1_based on steps'!AF$1:AF$400,0)),AF$2,)</f>
        <v>0</v>
      </c>
      <c r="AG80" s="155">
        <f ca="1">IF(ISNUMBER(MATCH(DATEVALUE($A80),'recurring1_based on steps'!AG$1:AG$400,0)),AG$2,)</f>
        <v>0</v>
      </c>
      <c r="AH80" s="155">
        <f ca="1">IF(ISNUMBER(MATCH(DATEVALUE($A80),'recurring1_based on steps'!AH$1:AH$400,0)),AH$2,)</f>
        <v>0</v>
      </c>
      <c r="AI80" s="155">
        <f ca="1">IF(ISNUMBER(MATCH(DATEVALUE($A80),'recurring1_based on steps'!AI$1:AI$400,0)),AI$2,)</f>
        <v>0</v>
      </c>
      <c r="AJ80" s="155">
        <f ca="1">IF(ISNUMBER(MATCH(DATEVALUE($A80),'recurring1_based on steps'!AJ$1:AJ$400,0)),AJ$2,)</f>
        <v>0</v>
      </c>
      <c r="AK80" s="155">
        <f ca="1">IF(ISNUMBER(MATCH(DATEVALUE($A80),'recurring1_based on steps'!AK$1:AK$400,0)),AK$2,)</f>
        <v>0</v>
      </c>
      <c r="AL80" s="155">
        <f ca="1">IF(ISNUMBER(MATCH(DATEVALUE($A80),'recurring1_based on steps'!AL$1:AL$400,0)),AL$2,)</f>
        <v>0</v>
      </c>
      <c r="AM80" s="155">
        <f ca="1">IF(ISNUMBER(MATCH(DATEVALUE($A80),'recurring1_based on steps'!AM$1:AM$400,0)),AM$2,)</f>
        <v>0</v>
      </c>
      <c r="AN80" s="155">
        <f ca="1">IF(ISNUMBER(MATCH(DATEVALUE($A80),'recurring1_based on steps'!AN$1:AN$400,0)),AN$2,)</f>
        <v>0</v>
      </c>
      <c r="AO80" s="155">
        <f ca="1">IF(ISNUMBER(MATCH(DATEVALUE($A80),'recurring1_based on steps'!AO$1:AO$400,0)),AO$2,)</f>
        <v>0</v>
      </c>
      <c r="AP80" s="155">
        <f ca="1">IF(ISNUMBER(MATCH(DATEVALUE($A80),'recurring1_based on steps'!AP$1:AP$400,0)),AP$2,)</f>
        <v>0</v>
      </c>
      <c r="AQ80" s="155">
        <f ca="1">IF(ISNUMBER(MATCH(DATEVALUE($A80),'recurring1_based on steps'!AQ$1:AQ$400,0)),AQ$2,)</f>
        <v>0</v>
      </c>
      <c r="AR80" s="155">
        <f ca="1">IF(ISNUMBER(MATCH(DATEVALUE($A80),'recurring1_based on steps'!AR$1:AR$400,0)),AR$2,)</f>
        <v>0</v>
      </c>
      <c r="AS80" s="155">
        <f ca="1">IF(ISNUMBER(MATCH(DATEVALUE($A80),'recurring1_based on steps'!AS$1:AS$400,0)),AS$2,)</f>
        <v>0</v>
      </c>
      <c r="AT80" s="155">
        <f ca="1">IF(ISNUMBER(MATCH(DATEVALUE($A80),'recurring1_based on steps'!AT$1:AT$400,0)),AT$2,)</f>
        <v>0</v>
      </c>
      <c r="AU80" s="155">
        <f ca="1">IF(ISNUMBER(MATCH(DATEVALUE($A80),'recurring1_based on steps'!AU$1:AU$400,0)),AU$2,)</f>
        <v>0</v>
      </c>
      <c r="AV80" s="155">
        <f ca="1">IF(ISNUMBER(MATCH(DATEVALUE($A80),'recurring1_based on steps'!AV$1:AV$400,0)),AV$2,)</f>
        <v>0</v>
      </c>
      <c r="AW80" s="155">
        <f ca="1">IF(ISNUMBER(MATCH(DATEVALUE($A80),'recurring1_based on steps'!AW$1:AW$400,0)),AW$2,)</f>
        <v>0</v>
      </c>
      <c r="AX80" s="155">
        <f ca="1">IF(ISNUMBER(MATCH(DATEVALUE($A80),'recurring1_based on steps'!AX$1:AX$400,0)),AX$2,)</f>
        <v>0</v>
      </c>
      <c r="AY80" s="155">
        <f ca="1">IF(ISNUMBER(MATCH(DATEVALUE($A80),'recurring1_based on steps'!AY$1:AY$400,0)),AY$2,)</f>
        <v>0</v>
      </c>
    </row>
    <row r="81" spans="1:51" x14ac:dyDescent="0.2">
      <c r="A81" s="18" t="str">
        <f t="shared" ca="1" si="1"/>
        <v>2025-04-20</v>
      </c>
      <c r="B81" s="155">
        <f ca="1">IF(ISNUMBER(MATCH(DATEVALUE($A81),'recurring1_based on steps'!B$1:B$400,0)),B$2,)</f>
        <v>0</v>
      </c>
      <c r="C81" s="155">
        <f ca="1">IF(ISNUMBER(MATCH(DATEVALUE($A81),'recurring1_based on steps'!C$1:C$400,0)),C$2,)</f>
        <v>0</v>
      </c>
      <c r="D81" s="155">
        <f ca="1">IF(ISNUMBER(MATCH(DATEVALUE($A81),'recurring1_based on steps'!D$1:D$400,0)),D$2,)</f>
        <v>0</v>
      </c>
      <c r="E81" s="155">
        <f ca="1">IF(ISNUMBER(MATCH(DATEVALUE($A81),'recurring1_based on steps'!E$1:E$400,0)),E$2,)</f>
        <v>0</v>
      </c>
      <c r="F81" s="155">
        <f ca="1">IF(ISNUMBER(MATCH(DATEVALUE($A81),'recurring1_based on steps'!F$1:F$400,0)),F$2,)</f>
        <v>0</v>
      </c>
      <c r="G81" s="155">
        <f ca="1">IF(ISNUMBER(MATCH(DATEVALUE($A81),'recurring1_based on steps'!G$1:G$400,0)),G$2,)</f>
        <v>0</v>
      </c>
      <c r="H81" s="155">
        <f ca="1">IF(ISNUMBER(MATCH(DATEVALUE($A81),'recurring1_based on steps'!H$1:H$400,0)),H$2,)</f>
        <v>0</v>
      </c>
      <c r="I81" s="155">
        <f ca="1">IF(ISNUMBER(MATCH(DATEVALUE($A81),'recurring1_based on steps'!I$1:I$400,0)),I$2,)</f>
        <v>0</v>
      </c>
      <c r="J81" s="155">
        <f ca="1">IF(ISNUMBER(MATCH(DATEVALUE($A81),'recurring1_based on steps'!J$1:J$400,0)),J$2,)</f>
        <v>0</v>
      </c>
      <c r="K81" s="155">
        <f ca="1">IF(ISNUMBER(MATCH(DATEVALUE($A81),'recurring1_based on steps'!K$1:K$400,0)),K$2,)</f>
        <v>50</v>
      </c>
      <c r="L81" s="155">
        <f ca="1">IF(ISNUMBER(MATCH(DATEVALUE($A81),'recurring1_based on steps'!L$1:L$400,0)),L$2,)</f>
        <v>0</v>
      </c>
      <c r="M81" s="155">
        <f ca="1">IF(ISNUMBER(MATCH(DATEVALUE($A81),'recurring1_based on steps'!M$1:M$400,0)),M$2,)</f>
        <v>0</v>
      </c>
      <c r="N81" s="155">
        <f ca="1">IF(ISNUMBER(MATCH(DATEVALUE($A81),'recurring1_based on steps'!N$1:N$400,0)),N$2,)</f>
        <v>0</v>
      </c>
      <c r="O81" s="155">
        <f ca="1">IF(ISNUMBER(MATCH(DATEVALUE($A81),'recurring1_based on steps'!O$1:O$400,0)),O$2,)</f>
        <v>0</v>
      </c>
      <c r="P81" s="155">
        <f ca="1">IF(ISNUMBER(MATCH(DATEVALUE($A81),'recurring1_based on steps'!P$1:P$400,0)),P$2,)</f>
        <v>0</v>
      </c>
      <c r="Q81" s="155">
        <f ca="1">IF(ISNUMBER(MATCH(DATEVALUE($A81),'recurring1_based on steps'!Q$1:Q$400,0)),Q$2,)</f>
        <v>0</v>
      </c>
      <c r="R81" s="155">
        <f ca="1">IF(ISNUMBER(MATCH(DATEVALUE($A81),'recurring1_based on steps'!R$1:R$400,0)),R$2,)</f>
        <v>0</v>
      </c>
      <c r="S81" s="155">
        <f ca="1">IF(ISNUMBER(MATCH(DATEVALUE($A81),'recurring1_based on steps'!S$1:S$400,0)),S$2,)</f>
        <v>100</v>
      </c>
      <c r="T81" s="155">
        <f ca="1">IF(ISNUMBER(MATCH(DATEVALUE($A81),'recurring1_based on steps'!T$1:T$400,0)),T$2,)</f>
        <v>0</v>
      </c>
      <c r="U81" s="155">
        <f ca="1">IF(ISNUMBER(MATCH(DATEVALUE($A81),'recurring1_based on steps'!U$1:U$400,0)),U$2,)</f>
        <v>0</v>
      </c>
      <c r="V81" s="155">
        <f ca="1">IF(ISNUMBER(MATCH(DATEVALUE($A81),'recurring1_based on steps'!V$1:V$400,0)),V$2,)</f>
        <v>0</v>
      </c>
      <c r="W81" s="155">
        <f ca="1">IF(ISNUMBER(MATCH(DATEVALUE($A81),'recurring1_based on steps'!W$1:W$400,0)),W$2,)</f>
        <v>0</v>
      </c>
      <c r="X81" s="155">
        <f ca="1">IF(ISNUMBER(MATCH(DATEVALUE($A81),'recurring1_based on steps'!X$1:X$400,0)),X$2,)</f>
        <v>0</v>
      </c>
      <c r="Y81" s="155">
        <f ca="1">IF(ISNUMBER(MATCH(DATEVALUE($A81),'recurring1_based on steps'!Y$1:Y$400,0)),Y$2,)</f>
        <v>0</v>
      </c>
      <c r="Z81" s="155">
        <f ca="1">IF(ISNUMBER(MATCH(DATEVALUE($A81),'recurring1_based on steps'!Z$1:Z$400,0)),Z$2,)</f>
        <v>0</v>
      </c>
      <c r="AA81" s="155">
        <f ca="1">IF(ISNUMBER(MATCH(DATEVALUE($A81),'recurring1_based on steps'!AA$1:AA$400,0)),AA$2,)</f>
        <v>0</v>
      </c>
      <c r="AB81" s="155">
        <f ca="1">IF(ISNUMBER(MATCH(DATEVALUE($A81),'recurring1_based on steps'!AB$1:AB$400,0)),AB$2,)</f>
        <v>0</v>
      </c>
      <c r="AC81" s="155">
        <f ca="1">IF(ISNUMBER(MATCH(DATEVALUE($A81),'recurring1_based on steps'!AC$1:AC$400,0)),AC$2,)</f>
        <v>0</v>
      </c>
      <c r="AD81" s="155">
        <f ca="1">IF(ISNUMBER(MATCH(DATEVALUE($A81),'recurring1_based on steps'!AD$1:AD$400,0)),AD$2,)</f>
        <v>0</v>
      </c>
      <c r="AE81" s="155">
        <f ca="1">IF(ISNUMBER(MATCH(DATEVALUE($A81),'recurring1_based on steps'!AE$1:AE$400,0)),AE$2,)</f>
        <v>0</v>
      </c>
      <c r="AF81" s="155">
        <f ca="1">IF(ISNUMBER(MATCH(DATEVALUE($A81),'recurring1_based on steps'!AF$1:AF$400,0)),AF$2,)</f>
        <v>0</v>
      </c>
      <c r="AG81" s="155">
        <f ca="1">IF(ISNUMBER(MATCH(DATEVALUE($A81),'recurring1_based on steps'!AG$1:AG$400,0)),AG$2,)</f>
        <v>0</v>
      </c>
      <c r="AH81" s="155">
        <f ca="1">IF(ISNUMBER(MATCH(DATEVALUE($A81),'recurring1_based on steps'!AH$1:AH$400,0)),AH$2,)</f>
        <v>0</v>
      </c>
      <c r="AI81" s="155">
        <f ca="1">IF(ISNUMBER(MATCH(DATEVALUE($A81),'recurring1_based on steps'!AI$1:AI$400,0)),AI$2,)</f>
        <v>0</v>
      </c>
      <c r="AJ81" s="155">
        <f ca="1">IF(ISNUMBER(MATCH(DATEVALUE($A81),'recurring1_based on steps'!AJ$1:AJ$400,0)),AJ$2,)</f>
        <v>0</v>
      </c>
      <c r="AK81" s="155">
        <f ca="1">IF(ISNUMBER(MATCH(DATEVALUE($A81),'recurring1_based on steps'!AK$1:AK$400,0)),AK$2,)</f>
        <v>0</v>
      </c>
      <c r="AL81" s="155">
        <f ca="1">IF(ISNUMBER(MATCH(DATEVALUE($A81),'recurring1_based on steps'!AL$1:AL$400,0)),AL$2,)</f>
        <v>0</v>
      </c>
      <c r="AM81" s="155">
        <f ca="1">IF(ISNUMBER(MATCH(DATEVALUE($A81),'recurring1_based on steps'!AM$1:AM$400,0)),AM$2,)</f>
        <v>0</v>
      </c>
      <c r="AN81" s="155">
        <f ca="1">IF(ISNUMBER(MATCH(DATEVALUE($A81),'recurring1_based on steps'!AN$1:AN$400,0)),AN$2,)</f>
        <v>0</v>
      </c>
      <c r="AO81" s="155">
        <f ca="1">IF(ISNUMBER(MATCH(DATEVALUE($A81),'recurring1_based on steps'!AO$1:AO$400,0)),AO$2,)</f>
        <v>0</v>
      </c>
      <c r="AP81" s="155">
        <f ca="1">IF(ISNUMBER(MATCH(DATEVALUE($A81),'recurring1_based on steps'!AP$1:AP$400,0)),AP$2,)</f>
        <v>0</v>
      </c>
      <c r="AQ81" s="155">
        <f ca="1">IF(ISNUMBER(MATCH(DATEVALUE($A81),'recurring1_based on steps'!AQ$1:AQ$400,0)),AQ$2,)</f>
        <v>0</v>
      </c>
      <c r="AR81" s="155">
        <f ca="1">IF(ISNUMBER(MATCH(DATEVALUE($A81),'recurring1_based on steps'!AR$1:AR$400,0)),AR$2,)</f>
        <v>0</v>
      </c>
      <c r="AS81" s="155">
        <f ca="1">IF(ISNUMBER(MATCH(DATEVALUE($A81),'recurring1_based on steps'!AS$1:AS$400,0)),AS$2,)</f>
        <v>0</v>
      </c>
      <c r="AT81" s="155">
        <f ca="1">IF(ISNUMBER(MATCH(DATEVALUE($A81),'recurring1_based on steps'!AT$1:AT$400,0)),AT$2,)</f>
        <v>0</v>
      </c>
      <c r="AU81" s="155">
        <f ca="1">IF(ISNUMBER(MATCH(DATEVALUE($A81),'recurring1_based on steps'!AU$1:AU$400,0)),AU$2,)</f>
        <v>0</v>
      </c>
      <c r="AV81" s="155">
        <f ca="1">IF(ISNUMBER(MATCH(DATEVALUE($A81),'recurring1_based on steps'!AV$1:AV$400,0)),AV$2,)</f>
        <v>0</v>
      </c>
      <c r="AW81" s="155">
        <f ca="1">IF(ISNUMBER(MATCH(DATEVALUE($A81),'recurring1_based on steps'!AW$1:AW$400,0)),AW$2,)</f>
        <v>0</v>
      </c>
      <c r="AX81" s="155">
        <f ca="1">IF(ISNUMBER(MATCH(DATEVALUE($A81),'recurring1_based on steps'!AX$1:AX$400,0)),AX$2,)</f>
        <v>0</v>
      </c>
      <c r="AY81" s="155">
        <f ca="1">IF(ISNUMBER(MATCH(DATEVALUE($A81),'recurring1_based on steps'!AY$1:AY$400,0)),AY$2,)</f>
        <v>0</v>
      </c>
    </row>
    <row r="82" spans="1:51" x14ac:dyDescent="0.2">
      <c r="A82" s="18" t="str">
        <f t="shared" ca="1" si="1"/>
        <v>2025-04-21</v>
      </c>
      <c r="B82" s="155">
        <f ca="1">IF(ISNUMBER(MATCH(DATEVALUE($A82),'recurring1_based on steps'!B$1:B$400,0)),B$2,)</f>
        <v>0</v>
      </c>
      <c r="C82" s="155">
        <f ca="1">IF(ISNUMBER(MATCH(DATEVALUE($A82),'recurring1_based on steps'!C$1:C$400,0)),C$2,)</f>
        <v>0</v>
      </c>
      <c r="D82" s="155">
        <f ca="1">IF(ISNUMBER(MATCH(DATEVALUE($A82),'recurring1_based on steps'!D$1:D$400,0)),D$2,)</f>
        <v>0</v>
      </c>
      <c r="E82" s="155">
        <f ca="1">IF(ISNUMBER(MATCH(DATEVALUE($A82),'recurring1_based on steps'!E$1:E$400,0)),E$2,)</f>
        <v>0</v>
      </c>
      <c r="F82" s="155">
        <f ca="1">IF(ISNUMBER(MATCH(DATEVALUE($A82),'recurring1_based on steps'!F$1:F$400,0)),F$2,)</f>
        <v>0</v>
      </c>
      <c r="G82" s="155">
        <f ca="1">IF(ISNUMBER(MATCH(DATEVALUE($A82),'recurring1_based on steps'!G$1:G$400,0)),G$2,)</f>
        <v>0</v>
      </c>
      <c r="H82" s="155">
        <f ca="1">IF(ISNUMBER(MATCH(DATEVALUE($A82),'recurring1_based on steps'!H$1:H$400,0)),H$2,)</f>
        <v>0</v>
      </c>
      <c r="I82" s="155">
        <f ca="1">IF(ISNUMBER(MATCH(DATEVALUE($A82),'recurring1_based on steps'!I$1:I$400,0)),I$2,)</f>
        <v>0</v>
      </c>
      <c r="J82" s="155">
        <f ca="1">IF(ISNUMBER(MATCH(DATEVALUE($A82),'recurring1_based on steps'!J$1:J$400,0)),J$2,)</f>
        <v>0</v>
      </c>
      <c r="K82" s="155">
        <f ca="1">IF(ISNUMBER(MATCH(DATEVALUE($A82),'recurring1_based on steps'!K$1:K$400,0)),K$2,)</f>
        <v>0</v>
      </c>
      <c r="L82" s="155">
        <f ca="1">IF(ISNUMBER(MATCH(DATEVALUE($A82),'recurring1_based on steps'!L$1:L$400,0)),L$2,)</f>
        <v>0</v>
      </c>
      <c r="M82" s="155">
        <f ca="1">IF(ISNUMBER(MATCH(DATEVALUE($A82),'recurring1_based on steps'!M$1:M$400,0)),M$2,)</f>
        <v>0</v>
      </c>
      <c r="N82" s="155">
        <f ca="1">IF(ISNUMBER(MATCH(DATEVALUE($A82),'recurring1_based on steps'!N$1:N$400,0)),N$2,)</f>
        <v>0</v>
      </c>
      <c r="O82" s="155">
        <f ca="1">IF(ISNUMBER(MATCH(DATEVALUE($A82),'recurring1_based on steps'!O$1:O$400,0)),O$2,)</f>
        <v>0</v>
      </c>
      <c r="P82" s="155">
        <f ca="1">IF(ISNUMBER(MATCH(DATEVALUE($A82),'recurring1_based on steps'!P$1:P$400,0)),P$2,)</f>
        <v>0</v>
      </c>
      <c r="Q82" s="155">
        <f ca="1">IF(ISNUMBER(MATCH(DATEVALUE($A82),'recurring1_based on steps'!Q$1:Q$400,0)),Q$2,)</f>
        <v>0</v>
      </c>
      <c r="R82" s="155">
        <f ca="1">IF(ISNUMBER(MATCH(DATEVALUE($A82),'recurring1_based on steps'!R$1:R$400,0)),R$2,)</f>
        <v>0</v>
      </c>
      <c r="S82" s="155">
        <f ca="1">IF(ISNUMBER(MATCH(DATEVALUE($A82),'recurring1_based on steps'!S$1:S$400,0)),S$2,)</f>
        <v>0</v>
      </c>
      <c r="T82" s="155">
        <f ca="1">IF(ISNUMBER(MATCH(DATEVALUE($A82),'recurring1_based on steps'!T$1:T$400,0)),T$2,)</f>
        <v>0</v>
      </c>
      <c r="U82" s="155">
        <f ca="1">IF(ISNUMBER(MATCH(DATEVALUE($A82),'recurring1_based on steps'!U$1:U$400,0)),U$2,)</f>
        <v>0</v>
      </c>
      <c r="V82" s="155">
        <f ca="1">IF(ISNUMBER(MATCH(DATEVALUE($A82),'recurring1_based on steps'!V$1:V$400,0)),V$2,)</f>
        <v>0</v>
      </c>
      <c r="W82" s="155">
        <f ca="1">IF(ISNUMBER(MATCH(DATEVALUE($A82),'recurring1_based on steps'!W$1:W$400,0)),W$2,)</f>
        <v>0</v>
      </c>
      <c r="X82" s="155">
        <f ca="1">IF(ISNUMBER(MATCH(DATEVALUE($A82),'recurring1_based on steps'!X$1:X$400,0)),X$2,)</f>
        <v>0</v>
      </c>
      <c r="Y82" s="155">
        <f ca="1">IF(ISNUMBER(MATCH(DATEVALUE($A82),'recurring1_based on steps'!Y$1:Y$400,0)),Y$2,)</f>
        <v>0</v>
      </c>
      <c r="Z82" s="155">
        <f ca="1">IF(ISNUMBER(MATCH(DATEVALUE($A82),'recurring1_based on steps'!Z$1:Z$400,0)),Z$2,)</f>
        <v>0</v>
      </c>
      <c r="AA82" s="155">
        <f ca="1">IF(ISNUMBER(MATCH(DATEVALUE($A82),'recurring1_based on steps'!AA$1:AA$400,0)),AA$2,)</f>
        <v>0</v>
      </c>
      <c r="AB82" s="155">
        <f ca="1">IF(ISNUMBER(MATCH(DATEVALUE($A82),'recurring1_based on steps'!AB$1:AB$400,0)),AB$2,)</f>
        <v>0</v>
      </c>
      <c r="AC82" s="155">
        <f ca="1">IF(ISNUMBER(MATCH(DATEVALUE($A82),'recurring1_based on steps'!AC$1:AC$400,0)),AC$2,)</f>
        <v>0</v>
      </c>
      <c r="AD82" s="155">
        <f ca="1">IF(ISNUMBER(MATCH(DATEVALUE($A82),'recurring1_based on steps'!AD$1:AD$400,0)),AD$2,)</f>
        <v>0</v>
      </c>
      <c r="AE82" s="155">
        <f ca="1">IF(ISNUMBER(MATCH(DATEVALUE($A82),'recurring1_based on steps'!AE$1:AE$400,0)),AE$2,)</f>
        <v>0</v>
      </c>
      <c r="AF82" s="155">
        <f ca="1">IF(ISNUMBER(MATCH(DATEVALUE($A82),'recurring1_based on steps'!AF$1:AF$400,0)),AF$2,)</f>
        <v>0</v>
      </c>
      <c r="AG82" s="155">
        <f ca="1">IF(ISNUMBER(MATCH(DATEVALUE($A82),'recurring1_based on steps'!AG$1:AG$400,0)),AG$2,)</f>
        <v>0</v>
      </c>
      <c r="AH82" s="155">
        <f ca="1">IF(ISNUMBER(MATCH(DATEVALUE($A82),'recurring1_based on steps'!AH$1:AH$400,0)),AH$2,)</f>
        <v>0</v>
      </c>
      <c r="AI82" s="155">
        <f ca="1">IF(ISNUMBER(MATCH(DATEVALUE($A82),'recurring1_based on steps'!AI$1:AI$400,0)),AI$2,)</f>
        <v>0</v>
      </c>
      <c r="AJ82" s="155">
        <f ca="1">IF(ISNUMBER(MATCH(DATEVALUE($A82),'recurring1_based on steps'!AJ$1:AJ$400,0)),AJ$2,)</f>
        <v>0</v>
      </c>
      <c r="AK82" s="155">
        <f ca="1">IF(ISNUMBER(MATCH(DATEVALUE($A82),'recurring1_based on steps'!AK$1:AK$400,0)),AK$2,)</f>
        <v>0</v>
      </c>
      <c r="AL82" s="155">
        <f ca="1">IF(ISNUMBER(MATCH(DATEVALUE($A82),'recurring1_based on steps'!AL$1:AL$400,0)),AL$2,)</f>
        <v>0</v>
      </c>
      <c r="AM82" s="155">
        <f ca="1">IF(ISNUMBER(MATCH(DATEVALUE($A82),'recurring1_based on steps'!AM$1:AM$400,0)),AM$2,)</f>
        <v>0</v>
      </c>
      <c r="AN82" s="155">
        <f ca="1">IF(ISNUMBER(MATCH(DATEVALUE($A82),'recurring1_based on steps'!AN$1:AN$400,0)),AN$2,)</f>
        <v>0</v>
      </c>
      <c r="AO82" s="155">
        <f ca="1">IF(ISNUMBER(MATCH(DATEVALUE($A82),'recurring1_based on steps'!AO$1:AO$400,0)),AO$2,)</f>
        <v>0</v>
      </c>
      <c r="AP82" s="155">
        <f ca="1">IF(ISNUMBER(MATCH(DATEVALUE($A82),'recurring1_based on steps'!AP$1:AP$400,0)),AP$2,)</f>
        <v>0</v>
      </c>
      <c r="AQ82" s="155">
        <f ca="1">IF(ISNUMBER(MATCH(DATEVALUE($A82),'recurring1_based on steps'!AQ$1:AQ$400,0)),AQ$2,)</f>
        <v>0</v>
      </c>
      <c r="AR82" s="155">
        <f ca="1">IF(ISNUMBER(MATCH(DATEVALUE($A82),'recurring1_based on steps'!AR$1:AR$400,0)),AR$2,)</f>
        <v>0</v>
      </c>
      <c r="AS82" s="155">
        <f ca="1">IF(ISNUMBER(MATCH(DATEVALUE($A82),'recurring1_based on steps'!AS$1:AS$400,0)),AS$2,)</f>
        <v>0</v>
      </c>
      <c r="AT82" s="155">
        <f ca="1">IF(ISNUMBER(MATCH(DATEVALUE($A82),'recurring1_based on steps'!AT$1:AT$400,0)),AT$2,)</f>
        <v>0</v>
      </c>
      <c r="AU82" s="155">
        <f ca="1">IF(ISNUMBER(MATCH(DATEVALUE($A82),'recurring1_based on steps'!AU$1:AU$400,0)),AU$2,)</f>
        <v>0</v>
      </c>
      <c r="AV82" s="155">
        <f ca="1">IF(ISNUMBER(MATCH(DATEVALUE($A82),'recurring1_based on steps'!AV$1:AV$400,0)),AV$2,)</f>
        <v>0</v>
      </c>
      <c r="AW82" s="155">
        <f ca="1">IF(ISNUMBER(MATCH(DATEVALUE($A82),'recurring1_based on steps'!AW$1:AW$400,0)),AW$2,)</f>
        <v>0</v>
      </c>
      <c r="AX82" s="155">
        <f ca="1">IF(ISNUMBER(MATCH(DATEVALUE($A82),'recurring1_based on steps'!AX$1:AX$400,0)),AX$2,)</f>
        <v>0</v>
      </c>
      <c r="AY82" s="155">
        <f ca="1">IF(ISNUMBER(MATCH(DATEVALUE($A82),'recurring1_based on steps'!AY$1:AY$400,0)),AY$2,)</f>
        <v>0</v>
      </c>
    </row>
    <row r="83" spans="1:51" x14ac:dyDescent="0.2">
      <c r="A83" s="18" t="str">
        <f t="shared" ca="1" si="1"/>
        <v>2025-04-22</v>
      </c>
      <c r="B83" s="155">
        <f ca="1">IF(ISNUMBER(MATCH(DATEVALUE($A83),'recurring1_based on steps'!B$1:B$400,0)),B$2,)</f>
        <v>0</v>
      </c>
      <c r="C83" s="155">
        <f ca="1">IF(ISNUMBER(MATCH(DATEVALUE($A83),'recurring1_based on steps'!C$1:C$400,0)),C$2,)</f>
        <v>0</v>
      </c>
      <c r="D83" s="155">
        <f ca="1">IF(ISNUMBER(MATCH(DATEVALUE($A83),'recurring1_based on steps'!D$1:D$400,0)),D$2,)</f>
        <v>0</v>
      </c>
      <c r="E83" s="155">
        <f ca="1">IF(ISNUMBER(MATCH(DATEVALUE($A83),'recurring1_based on steps'!E$1:E$400,0)),E$2,)</f>
        <v>0</v>
      </c>
      <c r="F83" s="155">
        <f ca="1">IF(ISNUMBER(MATCH(DATEVALUE($A83),'recurring1_based on steps'!F$1:F$400,0)),F$2,)</f>
        <v>0</v>
      </c>
      <c r="G83" s="155">
        <f ca="1">IF(ISNUMBER(MATCH(DATEVALUE($A83),'recurring1_based on steps'!G$1:G$400,0)),G$2,)</f>
        <v>0</v>
      </c>
      <c r="H83" s="155">
        <f ca="1">IF(ISNUMBER(MATCH(DATEVALUE($A83),'recurring1_based on steps'!H$1:H$400,0)),H$2,)</f>
        <v>0</v>
      </c>
      <c r="I83" s="155">
        <f ca="1">IF(ISNUMBER(MATCH(DATEVALUE($A83),'recurring1_based on steps'!I$1:I$400,0)),I$2,)</f>
        <v>0</v>
      </c>
      <c r="J83" s="155">
        <f ca="1">IF(ISNUMBER(MATCH(DATEVALUE($A83),'recurring1_based on steps'!J$1:J$400,0)),J$2,)</f>
        <v>0</v>
      </c>
      <c r="K83" s="155">
        <f ca="1">IF(ISNUMBER(MATCH(DATEVALUE($A83),'recurring1_based on steps'!K$1:K$400,0)),K$2,)</f>
        <v>0</v>
      </c>
      <c r="L83" s="155">
        <f ca="1">IF(ISNUMBER(MATCH(DATEVALUE($A83),'recurring1_based on steps'!L$1:L$400,0)),L$2,)</f>
        <v>0</v>
      </c>
      <c r="M83" s="155">
        <f ca="1">IF(ISNUMBER(MATCH(DATEVALUE($A83),'recurring1_based on steps'!M$1:M$400,0)),M$2,)</f>
        <v>0</v>
      </c>
      <c r="N83" s="155">
        <f ca="1">IF(ISNUMBER(MATCH(DATEVALUE($A83),'recurring1_based on steps'!N$1:N$400,0)),N$2,)</f>
        <v>0</v>
      </c>
      <c r="O83" s="155">
        <f ca="1">IF(ISNUMBER(MATCH(DATEVALUE($A83),'recurring1_based on steps'!O$1:O$400,0)),O$2,)</f>
        <v>0</v>
      </c>
      <c r="P83" s="155">
        <f ca="1">IF(ISNUMBER(MATCH(DATEVALUE($A83),'recurring1_based on steps'!P$1:P$400,0)),P$2,)</f>
        <v>0</v>
      </c>
      <c r="Q83" s="155">
        <f ca="1">IF(ISNUMBER(MATCH(DATEVALUE($A83),'recurring1_based on steps'!Q$1:Q$400,0)),Q$2,)</f>
        <v>0</v>
      </c>
      <c r="R83" s="155">
        <f ca="1">IF(ISNUMBER(MATCH(DATEVALUE($A83),'recurring1_based on steps'!R$1:R$400,0)),R$2,)</f>
        <v>0</v>
      </c>
      <c r="S83" s="155">
        <f ca="1">IF(ISNUMBER(MATCH(DATEVALUE($A83),'recurring1_based on steps'!S$1:S$400,0)),S$2,)</f>
        <v>0</v>
      </c>
      <c r="T83" s="155">
        <f ca="1">IF(ISNUMBER(MATCH(DATEVALUE($A83),'recurring1_based on steps'!T$1:T$400,0)),T$2,)</f>
        <v>0</v>
      </c>
      <c r="U83" s="155">
        <f ca="1">IF(ISNUMBER(MATCH(DATEVALUE($A83),'recurring1_based on steps'!U$1:U$400,0)),U$2,)</f>
        <v>0</v>
      </c>
      <c r="V83" s="155">
        <f ca="1">IF(ISNUMBER(MATCH(DATEVALUE($A83),'recurring1_based on steps'!V$1:V$400,0)),V$2,)</f>
        <v>0</v>
      </c>
      <c r="W83" s="155">
        <f ca="1">IF(ISNUMBER(MATCH(DATEVALUE($A83),'recurring1_based on steps'!W$1:W$400,0)),W$2,)</f>
        <v>0</v>
      </c>
      <c r="X83" s="155">
        <f ca="1">IF(ISNUMBER(MATCH(DATEVALUE($A83),'recurring1_based on steps'!X$1:X$400,0)),X$2,)</f>
        <v>0</v>
      </c>
      <c r="Y83" s="155">
        <f ca="1">IF(ISNUMBER(MATCH(DATEVALUE($A83),'recurring1_based on steps'!Y$1:Y$400,0)),Y$2,)</f>
        <v>0</v>
      </c>
      <c r="Z83" s="155">
        <f ca="1">IF(ISNUMBER(MATCH(DATEVALUE($A83),'recurring1_based on steps'!Z$1:Z$400,0)),Z$2,)</f>
        <v>0</v>
      </c>
      <c r="AA83" s="155">
        <f ca="1">IF(ISNUMBER(MATCH(DATEVALUE($A83),'recurring1_based on steps'!AA$1:AA$400,0)),AA$2,)</f>
        <v>0</v>
      </c>
      <c r="AB83" s="155">
        <f ca="1">IF(ISNUMBER(MATCH(DATEVALUE($A83),'recurring1_based on steps'!AB$1:AB$400,0)),AB$2,)</f>
        <v>0</v>
      </c>
      <c r="AC83" s="155">
        <f ca="1">IF(ISNUMBER(MATCH(DATEVALUE($A83),'recurring1_based on steps'!AC$1:AC$400,0)),AC$2,)</f>
        <v>0</v>
      </c>
      <c r="AD83" s="155">
        <f ca="1">IF(ISNUMBER(MATCH(DATEVALUE($A83),'recurring1_based on steps'!AD$1:AD$400,0)),AD$2,)</f>
        <v>0</v>
      </c>
      <c r="AE83" s="155">
        <f ca="1">IF(ISNUMBER(MATCH(DATEVALUE($A83),'recurring1_based on steps'!AE$1:AE$400,0)),AE$2,)</f>
        <v>0</v>
      </c>
      <c r="AF83" s="155">
        <f ca="1">IF(ISNUMBER(MATCH(DATEVALUE($A83),'recurring1_based on steps'!AF$1:AF$400,0)),AF$2,)</f>
        <v>0</v>
      </c>
      <c r="AG83" s="155">
        <f ca="1">IF(ISNUMBER(MATCH(DATEVALUE($A83),'recurring1_based on steps'!AG$1:AG$400,0)),AG$2,)</f>
        <v>0</v>
      </c>
      <c r="AH83" s="155">
        <f ca="1">IF(ISNUMBER(MATCH(DATEVALUE($A83),'recurring1_based on steps'!AH$1:AH$400,0)),AH$2,)</f>
        <v>0</v>
      </c>
      <c r="AI83" s="155">
        <f ca="1">IF(ISNUMBER(MATCH(DATEVALUE($A83),'recurring1_based on steps'!AI$1:AI$400,0)),AI$2,)</f>
        <v>0</v>
      </c>
      <c r="AJ83" s="155">
        <f ca="1">IF(ISNUMBER(MATCH(DATEVALUE($A83),'recurring1_based on steps'!AJ$1:AJ$400,0)),AJ$2,)</f>
        <v>0</v>
      </c>
      <c r="AK83" s="155">
        <f ca="1">IF(ISNUMBER(MATCH(DATEVALUE($A83),'recurring1_based on steps'!AK$1:AK$400,0)),AK$2,)</f>
        <v>0</v>
      </c>
      <c r="AL83" s="155">
        <f ca="1">IF(ISNUMBER(MATCH(DATEVALUE($A83),'recurring1_based on steps'!AL$1:AL$400,0)),AL$2,)</f>
        <v>0</v>
      </c>
      <c r="AM83" s="155">
        <f ca="1">IF(ISNUMBER(MATCH(DATEVALUE($A83),'recurring1_based on steps'!AM$1:AM$400,0)),AM$2,)</f>
        <v>0</v>
      </c>
      <c r="AN83" s="155">
        <f ca="1">IF(ISNUMBER(MATCH(DATEVALUE($A83),'recurring1_based on steps'!AN$1:AN$400,0)),AN$2,)</f>
        <v>0</v>
      </c>
      <c r="AO83" s="155">
        <f ca="1">IF(ISNUMBER(MATCH(DATEVALUE($A83),'recurring1_based on steps'!AO$1:AO$400,0)),AO$2,)</f>
        <v>0</v>
      </c>
      <c r="AP83" s="155">
        <f ca="1">IF(ISNUMBER(MATCH(DATEVALUE($A83),'recurring1_based on steps'!AP$1:AP$400,0)),AP$2,)</f>
        <v>0</v>
      </c>
      <c r="AQ83" s="155">
        <f ca="1">IF(ISNUMBER(MATCH(DATEVALUE($A83),'recurring1_based on steps'!AQ$1:AQ$400,0)),AQ$2,)</f>
        <v>0</v>
      </c>
      <c r="AR83" s="155">
        <f ca="1">IF(ISNUMBER(MATCH(DATEVALUE($A83),'recurring1_based on steps'!AR$1:AR$400,0)),AR$2,)</f>
        <v>0</v>
      </c>
      <c r="AS83" s="155">
        <f ca="1">IF(ISNUMBER(MATCH(DATEVALUE($A83),'recurring1_based on steps'!AS$1:AS$400,0)),AS$2,)</f>
        <v>0</v>
      </c>
      <c r="AT83" s="155">
        <f ca="1">IF(ISNUMBER(MATCH(DATEVALUE($A83),'recurring1_based on steps'!AT$1:AT$400,0)),AT$2,)</f>
        <v>0</v>
      </c>
      <c r="AU83" s="155">
        <f ca="1">IF(ISNUMBER(MATCH(DATEVALUE($A83),'recurring1_based on steps'!AU$1:AU$400,0)),AU$2,)</f>
        <v>0</v>
      </c>
      <c r="AV83" s="155">
        <f ca="1">IF(ISNUMBER(MATCH(DATEVALUE($A83),'recurring1_based on steps'!AV$1:AV$400,0)),AV$2,)</f>
        <v>0</v>
      </c>
      <c r="AW83" s="155">
        <f ca="1">IF(ISNUMBER(MATCH(DATEVALUE($A83),'recurring1_based on steps'!AW$1:AW$400,0)),AW$2,)</f>
        <v>0</v>
      </c>
      <c r="AX83" s="155">
        <f ca="1">IF(ISNUMBER(MATCH(DATEVALUE($A83),'recurring1_based on steps'!AX$1:AX$400,0)),AX$2,)</f>
        <v>0</v>
      </c>
      <c r="AY83" s="155">
        <f ca="1">IF(ISNUMBER(MATCH(DATEVALUE($A83),'recurring1_based on steps'!AY$1:AY$400,0)),AY$2,)</f>
        <v>0</v>
      </c>
    </row>
    <row r="84" spans="1:51" x14ac:dyDescent="0.2">
      <c r="A84" s="18" t="str">
        <f t="shared" ca="1" si="1"/>
        <v>2025-04-23</v>
      </c>
      <c r="B84" s="155">
        <f ca="1">IF(ISNUMBER(MATCH(DATEVALUE($A84),'recurring1_based on steps'!B$1:B$400,0)),B$2,)</f>
        <v>0</v>
      </c>
      <c r="C84" s="155">
        <f ca="1">IF(ISNUMBER(MATCH(DATEVALUE($A84),'recurring1_based on steps'!C$1:C$400,0)),C$2,)</f>
        <v>0</v>
      </c>
      <c r="D84" s="155">
        <f ca="1">IF(ISNUMBER(MATCH(DATEVALUE($A84),'recurring1_based on steps'!D$1:D$400,0)),D$2,)</f>
        <v>0</v>
      </c>
      <c r="E84" s="155">
        <f ca="1">IF(ISNUMBER(MATCH(DATEVALUE($A84),'recurring1_based on steps'!E$1:E$400,0)),E$2,)</f>
        <v>0</v>
      </c>
      <c r="F84" s="155">
        <f ca="1">IF(ISNUMBER(MATCH(DATEVALUE($A84),'recurring1_based on steps'!F$1:F$400,0)),F$2,)</f>
        <v>0</v>
      </c>
      <c r="G84" s="155">
        <f ca="1">IF(ISNUMBER(MATCH(DATEVALUE($A84),'recurring1_based on steps'!G$1:G$400,0)),G$2,)</f>
        <v>0</v>
      </c>
      <c r="H84" s="155">
        <f ca="1">IF(ISNUMBER(MATCH(DATEVALUE($A84),'recurring1_based on steps'!H$1:H$400,0)),H$2,)</f>
        <v>0</v>
      </c>
      <c r="I84" s="155">
        <f ca="1">IF(ISNUMBER(MATCH(DATEVALUE($A84),'recurring1_based on steps'!I$1:I$400,0)),I$2,)</f>
        <v>0</v>
      </c>
      <c r="J84" s="155">
        <f ca="1">IF(ISNUMBER(MATCH(DATEVALUE($A84),'recurring1_based on steps'!J$1:J$400,0)),J$2,)</f>
        <v>0</v>
      </c>
      <c r="K84" s="155">
        <f ca="1">IF(ISNUMBER(MATCH(DATEVALUE($A84),'recurring1_based on steps'!K$1:K$400,0)),K$2,)</f>
        <v>0</v>
      </c>
      <c r="L84" s="155">
        <f ca="1">IF(ISNUMBER(MATCH(DATEVALUE($A84),'recurring1_based on steps'!L$1:L$400,0)),L$2,)</f>
        <v>0</v>
      </c>
      <c r="M84" s="155">
        <f ca="1">IF(ISNUMBER(MATCH(DATEVALUE($A84),'recurring1_based on steps'!M$1:M$400,0)),M$2,)</f>
        <v>0</v>
      </c>
      <c r="N84" s="155">
        <f ca="1">IF(ISNUMBER(MATCH(DATEVALUE($A84),'recurring1_based on steps'!N$1:N$400,0)),N$2,)</f>
        <v>0</v>
      </c>
      <c r="O84" s="155">
        <f ca="1">IF(ISNUMBER(MATCH(DATEVALUE($A84),'recurring1_based on steps'!O$1:O$400,0)),O$2,)</f>
        <v>0</v>
      </c>
      <c r="P84" s="155">
        <f ca="1">IF(ISNUMBER(MATCH(DATEVALUE($A84),'recurring1_based on steps'!P$1:P$400,0)),P$2,)</f>
        <v>0</v>
      </c>
      <c r="Q84" s="155">
        <f ca="1">IF(ISNUMBER(MATCH(DATEVALUE($A84),'recurring1_based on steps'!Q$1:Q$400,0)),Q$2,)</f>
        <v>0</v>
      </c>
      <c r="R84" s="155">
        <f ca="1">IF(ISNUMBER(MATCH(DATEVALUE($A84),'recurring1_based on steps'!R$1:R$400,0)),R$2,)</f>
        <v>0</v>
      </c>
      <c r="S84" s="155">
        <f ca="1">IF(ISNUMBER(MATCH(DATEVALUE($A84),'recurring1_based on steps'!S$1:S$400,0)),S$2,)</f>
        <v>0</v>
      </c>
      <c r="T84" s="155">
        <f ca="1">IF(ISNUMBER(MATCH(DATEVALUE($A84),'recurring1_based on steps'!T$1:T$400,0)),T$2,)</f>
        <v>0</v>
      </c>
      <c r="U84" s="155">
        <f ca="1">IF(ISNUMBER(MATCH(DATEVALUE($A84),'recurring1_based on steps'!U$1:U$400,0)),U$2,)</f>
        <v>0</v>
      </c>
      <c r="V84" s="155">
        <f ca="1">IF(ISNUMBER(MATCH(DATEVALUE($A84),'recurring1_based on steps'!V$1:V$400,0)),V$2,)</f>
        <v>0</v>
      </c>
      <c r="W84" s="155">
        <f ca="1">IF(ISNUMBER(MATCH(DATEVALUE($A84),'recurring1_based on steps'!W$1:W$400,0)),W$2,)</f>
        <v>0</v>
      </c>
      <c r="X84" s="155">
        <f ca="1">IF(ISNUMBER(MATCH(DATEVALUE($A84),'recurring1_based on steps'!X$1:X$400,0)),X$2,)</f>
        <v>0</v>
      </c>
      <c r="Y84" s="155">
        <f ca="1">IF(ISNUMBER(MATCH(DATEVALUE($A84),'recurring1_based on steps'!Y$1:Y$400,0)),Y$2,)</f>
        <v>0</v>
      </c>
      <c r="Z84" s="155">
        <f ca="1">IF(ISNUMBER(MATCH(DATEVALUE($A84),'recurring1_based on steps'!Z$1:Z$400,0)),Z$2,)</f>
        <v>0</v>
      </c>
      <c r="AA84" s="155">
        <f ca="1">IF(ISNUMBER(MATCH(DATEVALUE($A84),'recurring1_based on steps'!AA$1:AA$400,0)),AA$2,)</f>
        <v>0</v>
      </c>
      <c r="AB84" s="155">
        <f ca="1">IF(ISNUMBER(MATCH(DATEVALUE($A84),'recurring1_based on steps'!AB$1:AB$400,0)),AB$2,)</f>
        <v>0</v>
      </c>
      <c r="AC84" s="155">
        <f ca="1">IF(ISNUMBER(MATCH(DATEVALUE($A84),'recurring1_based on steps'!AC$1:AC$400,0)),AC$2,)</f>
        <v>0</v>
      </c>
      <c r="AD84" s="155">
        <f ca="1">IF(ISNUMBER(MATCH(DATEVALUE($A84),'recurring1_based on steps'!AD$1:AD$400,0)),AD$2,)</f>
        <v>0</v>
      </c>
      <c r="AE84" s="155">
        <f ca="1">IF(ISNUMBER(MATCH(DATEVALUE($A84),'recurring1_based on steps'!AE$1:AE$400,0)),AE$2,)</f>
        <v>0</v>
      </c>
      <c r="AF84" s="155">
        <f ca="1">IF(ISNUMBER(MATCH(DATEVALUE($A84),'recurring1_based on steps'!AF$1:AF$400,0)),AF$2,)</f>
        <v>0</v>
      </c>
      <c r="AG84" s="155">
        <f ca="1">IF(ISNUMBER(MATCH(DATEVALUE($A84),'recurring1_based on steps'!AG$1:AG$400,0)),AG$2,)</f>
        <v>0</v>
      </c>
      <c r="AH84" s="155">
        <f ca="1">IF(ISNUMBER(MATCH(DATEVALUE($A84),'recurring1_based on steps'!AH$1:AH$400,0)),AH$2,)</f>
        <v>0</v>
      </c>
      <c r="AI84" s="155">
        <f ca="1">IF(ISNUMBER(MATCH(DATEVALUE($A84),'recurring1_based on steps'!AI$1:AI$400,0)),AI$2,)</f>
        <v>0</v>
      </c>
      <c r="AJ84" s="155">
        <f ca="1">IF(ISNUMBER(MATCH(DATEVALUE($A84),'recurring1_based on steps'!AJ$1:AJ$400,0)),AJ$2,)</f>
        <v>0</v>
      </c>
      <c r="AK84" s="155">
        <f ca="1">IF(ISNUMBER(MATCH(DATEVALUE($A84),'recurring1_based on steps'!AK$1:AK$400,0)),AK$2,)</f>
        <v>0</v>
      </c>
      <c r="AL84" s="155">
        <f ca="1">IF(ISNUMBER(MATCH(DATEVALUE($A84),'recurring1_based on steps'!AL$1:AL$400,0)),AL$2,)</f>
        <v>0</v>
      </c>
      <c r="AM84" s="155">
        <f ca="1">IF(ISNUMBER(MATCH(DATEVALUE($A84),'recurring1_based on steps'!AM$1:AM$400,0)),AM$2,)</f>
        <v>0</v>
      </c>
      <c r="AN84" s="155">
        <f ca="1">IF(ISNUMBER(MATCH(DATEVALUE($A84),'recurring1_based on steps'!AN$1:AN$400,0)),AN$2,)</f>
        <v>0</v>
      </c>
      <c r="AO84" s="155">
        <f ca="1">IF(ISNUMBER(MATCH(DATEVALUE($A84),'recurring1_based on steps'!AO$1:AO$400,0)),AO$2,)</f>
        <v>0</v>
      </c>
      <c r="AP84" s="155">
        <f ca="1">IF(ISNUMBER(MATCH(DATEVALUE($A84),'recurring1_based on steps'!AP$1:AP$400,0)),AP$2,)</f>
        <v>0</v>
      </c>
      <c r="AQ84" s="155">
        <f ca="1">IF(ISNUMBER(MATCH(DATEVALUE($A84),'recurring1_based on steps'!AQ$1:AQ$400,0)),AQ$2,)</f>
        <v>0</v>
      </c>
      <c r="AR84" s="155">
        <f ca="1">IF(ISNUMBER(MATCH(DATEVALUE($A84),'recurring1_based on steps'!AR$1:AR$400,0)),AR$2,)</f>
        <v>0</v>
      </c>
      <c r="AS84" s="155">
        <f ca="1">IF(ISNUMBER(MATCH(DATEVALUE($A84),'recurring1_based on steps'!AS$1:AS$400,0)),AS$2,)</f>
        <v>0</v>
      </c>
      <c r="AT84" s="155">
        <f ca="1">IF(ISNUMBER(MATCH(DATEVALUE($A84),'recurring1_based on steps'!AT$1:AT$400,0)),AT$2,)</f>
        <v>0</v>
      </c>
      <c r="AU84" s="155">
        <f ca="1">IF(ISNUMBER(MATCH(DATEVALUE($A84),'recurring1_based on steps'!AU$1:AU$400,0)),AU$2,)</f>
        <v>0</v>
      </c>
      <c r="AV84" s="155">
        <f ca="1">IF(ISNUMBER(MATCH(DATEVALUE($A84),'recurring1_based on steps'!AV$1:AV$400,0)),AV$2,)</f>
        <v>0</v>
      </c>
      <c r="AW84" s="155">
        <f ca="1">IF(ISNUMBER(MATCH(DATEVALUE($A84),'recurring1_based on steps'!AW$1:AW$400,0)),AW$2,)</f>
        <v>0</v>
      </c>
      <c r="AX84" s="155">
        <f ca="1">IF(ISNUMBER(MATCH(DATEVALUE($A84),'recurring1_based on steps'!AX$1:AX$400,0)),AX$2,)</f>
        <v>0</v>
      </c>
      <c r="AY84" s="155">
        <f ca="1">IF(ISNUMBER(MATCH(DATEVALUE($A84),'recurring1_based on steps'!AY$1:AY$400,0)),AY$2,)</f>
        <v>0</v>
      </c>
    </row>
    <row r="85" spans="1:51" x14ac:dyDescent="0.2">
      <c r="A85" s="18" t="str">
        <f t="shared" ca="1" si="1"/>
        <v>2025-04-24</v>
      </c>
      <c r="B85" s="155">
        <f ca="1">IF(ISNUMBER(MATCH(DATEVALUE($A85),'recurring1_based on steps'!B$1:B$400,0)),B$2,)</f>
        <v>0</v>
      </c>
      <c r="C85" s="155">
        <f ca="1">IF(ISNUMBER(MATCH(DATEVALUE($A85),'recurring1_based on steps'!C$1:C$400,0)),C$2,)</f>
        <v>0</v>
      </c>
      <c r="D85" s="155">
        <f ca="1">IF(ISNUMBER(MATCH(DATEVALUE($A85),'recurring1_based on steps'!D$1:D$400,0)),D$2,)</f>
        <v>0</v>
      </c>
      <c r="E85" s="155">
        <f ca="1">IF(ISNUMBER(MATCH(DATEVALUE($A85),'recurring1_based on steps'!E$1:E$400,0)),E$2,)</f>
        <v>0</v>
      </c>
      <c r="F85" s="155">
        <f ca="1">IF(ISNUMBER(MATCH(DATEVALUE($A85),'recurring1_based on steps'!F$1:F$400,0)),F$2,)</f>
        <v>0</v>
      </c>
      <c r="G85" s="155">
        <f ca="1">IF(ISNUMBER(MATCH(DATEVALUE($A85),'recurring1_based on steps'!G$1:G$400,0)),G$2,)</f>
        <v>0</v>
      </c>
      <c r="H85" s="155">
        <f ca="1">IF(ISNUMBER(MATCH(DATEVALUE($A85),'recurring1_based on steps'!H$1:H$400,0)),H$2,)</f>
        <v>0</v>
      </c>
      <c r="I85" s="155">
        <f ca="1">IF(ISNUMBER(MATCH(DATEVALUE($A85),'recurring1_based on steps'!I$1:I$400,0)),I$2,)</f>
        <v>0</v>
      </c>
      <c r="J85" s="155">
        <f ca="1">IF(ISNUMBER(MATCH(DATEVALUE($A85),'recurring1_based on steps'!J$1:J$400,0)),J$2,)</f>
        <v>0</v>
      </c>
      <c r="K85" s="155">
        <f ca="1">IF(ISNUMBER(MATCH(DATEVALUE($A85),'recurring1_based on steps'!K$1:K$400,0)),K$2,)</f>
        <v>0</v>
      </c>
      <c r="L85" s="155">
        <f ca="1">IF(ISNUMBER(MATCH(DATEVALUE($A85),'recurring1_based on steps'!L$1:L$400,0)),L$2,)</f>
        <v>0</v>
      </c>
      <c r="M85" s="155">
        <f ca="1">IF(ISNUMBER(MATCH(DATEVALUE($A85),'recurring1_based on steps'!M$1:M$400,0)),M$2,)</f>
        <v>0</v>
      </c>
      <c r="N85" s="155">
        <f ca="1">IF(ISNUMBER(MATCH(DATEVALUE($A85),'recurring1_based on steps'!N$1:N$400,0)),N$2,)</f>
        <v>0</v>
      </c>
      <c r="O85" s="155">
        <f ca="1">IF(ISNUMBER(MATCH(DATEVALUE($A85),'recurring1_based on steps'!O$1:O$400,0)),O$2,)</f>
        <v>0</v>
      </c>
      <c r="P85" s="155">
        <f ca="1">IF(ISNUMBER(MATCH(DATEVALUE($A85),'recurring1_based on steps'!P$1:P$400,0)),P$2,)</f>
        <v>0</v>
      </c>
      <c r="Q85" s="155">
        <f ca="1">IF(ISNUMBER(MATCH(DATEVALUE($A85),'recurring1_based on steps'!Q$1:Q$400,0)),Q$2,)</f>
        <v>0</v>
      </c>
      <c r="R85" s="155">
        <f ca="1">IF(ISNUMBER(MATCH(DATEVALUE($A85),'recurring1_based on steps'!R$1:R$400,0)),R$2,)</f>
        <v>0</v>
      </c>
      <c r="S85" s="155">
        <f ca="1">IF(ISNUMBER(MATCH(DATEVALUE($A85),'recurring1_based on steps'!S$1:S$400,0)),S$2,)</f>
        <v>0</v>
      </c>
      <c r="T85" s="155">
        <f ca="1">IF(ISNUMBER(MATCH(DATEVALUE($A85),'recurring1_based on steps'!T$1:T$400,0)),T$2,)</f>
        <v>0</v>
      </c>
      <c r="U85" s="155">
        <f ca="1">IF(ISNUMBER(MATCH(DATEVALUE($A85),'recurring1_based on steps'!U$1:U$400,0)),U$2,)</f>
        <v>0</v>
      </c>
      <c r="V85" s="155">
        <f ca="1">IF(ISNUMBER(MATCH(DATEVALUE($A85),'recurring1_based on steps'!V$1:V$400,0)),V$2,)</f>
        <v>0</v>
      </c>
      <c r="W85" s="155">
        <f ca="1">IF(ISNUMBER(MATCH(DATEVALUE($A85),'recurring1_based on steps'!W$1:W$400,0)),W$2,)</f>
        <v>0</v>
      </c>
      <c r="X85" s="155">
        <f ca="1">IF(ISNUMBER(MATCH(DATEVALUE($A85),'recurring1_based on steps'!X$1:X$400,0)),X$2,)</f>
        <v>0</v>
      </c>
      <c r="Y85" s="155">
        <f ca="1">IF(ISNUMBER(MATCH(DATEVALUE($A85),'recurring1_based on steps'!Y$1:Y$400,0)),Y$2,)</f>
        <v>0</v>
      </c>
      <c r="Z85" s="155">
        <f ca="1">IF(ISNUMBER(MATCH(DATEVALUE($A85),'recurring1_based on steps'!Z$1:Z$400,0)),Z$2,)</f>
        <v>0</v>
      </c>
      <c r="AA85" s="155">
        <f ca="1">IF(ISNUMBER(MATCH(DATEVALUE($A85),'recurring1_based on steps'!AA$1:AA$400,0)),AA$2,)</f>
        <v>0</v>
      </c>
      <c r="AB85" s="155">
        <f ca="1">IF(ISNUMBER(MATCH(DATEVALUE($A85),'recurring1_based on steps'!AB$1:AB$400,0)),AB$2,)</f>
        <v>0</v>
      </c>
      <c r="AC85" s="155">
        <f ca="1">IF(ISNUMBER(MATCH(DATEVALUE($A85),'recurring1_based on steps'!AC$1:AC$400,0)),AC$2,)</f>
        <v>0</v>
      </c>
      <c r="AD85" s="155">
        <f ca="1">IF(ISNUMBER(MATCH(DATEVALUE($A85),'recurring1_based on steps'!AD$1:AD$400,0)),AD$2,)</f>
        <v>0</v>
      </c>
      <c r="AE85" s="155">
        <f ca="1">IF(ISNUMBER(MATCH(DATEVALUE($A85),'recurring1_based on steps'!AE$1:AE$400,0)),AE$2,)</f>
        <v>0</v>
      </c>
      <c r="AF85" s="155">
        <f ca="1">IF(ISNUMBER(MATCH(DATEVALUE($A85),'recurring1_based on steps'!AF$1:AF$400,0)),AF$2,)</f>
        <v>0</v>
      </c>
      <c r="AG85" s="155">
        <f ca="1">IF(ISNUMBER(MATCH(DATEVALUE($A85),'recurring1_based on steps'!AG$1:AG$400,0)),AG$2,)</f>
        <v>0</v>
      </c>
      <c r="AH85" s="155">
        <f ca="1">IF(ISNUMBER(MATCH(DATEVALUE($A85),'recurring1_based on steps'!AH$1:AH$400,0)),AH$2,)</f>
        <v>0</v>
      </c>
      <c r="AI85" s="155">
        <f ca="1">IF(ISNUMBER(MATCH(DATEVALUE($A85),'recurring1_based on steps'!AI$1:AI$400,0)),AI$2,)</f>
        <v>0</v>
      </c>
      <c r="AJ85" s="155">
        <f ca="1">IF(ISNUMBER(MATCH(DATEVALUE($A85),'recurring1_based on steps'!AJ$1:AJ$400,0)),AJ$2,)</f>
        <v>0</v>
      </c>
      <c r="AK85" s="155">
        <f ca="1">IF(ISNUMBER(MATCH(DATEVALUE($A85),'recurring1_based on steps'!AK$1:AK$400,0)),AK$2,)</f>
        <v>0</v>
      </c>
      <c r="AL85" s="155">
        <f ca="1">IF(ISNUMBER(MATCH(DATEVALUE($A85),'recurring1_based on steps'!AL$1:AL$400,0)),AL$2,)</f>
        <v>0</v>
      </c>
      <c r="AM85" s="155">
        <f ca="1">IF(ISNUMBER(MATCH(DATEVALUE($A85),'recurring1_based on steps'!AM$1:AM$400,0)),AM$2,)</f>
        <v>0</v>
      </c>
      <c r="AN85" s="155">
        <f ca="1">IF(ISNUMBER(MATCH(DATEVALUE($A85),'recurring1_based on steps'!AN$1:AN$400,0)),AN$2,)</f>
        <v>0</v>
      </c>
      <c r="AO85" s="155">
        <f ca="1">IF(ISNUMBER(MATCH(DATEVALUE($A85),'recurring1_based on steps'!AO$1:AO$400,0)),AO$2,)</f>
        <v>0</v>
      </c>
      <c r="AP85" s="155">
        <f ca="1">IF(ISNUMBER(MATCH(DATEVALUE($A85),'recurring1_based on steps'!AP$1:AP$400,0)),AP$2,)</f>
        <v>0</v>
      </c>
      <c r="AQ85" s="155">
        <f ca="1">IF(ISNUMBER(MATCH(DATEVALUE($A85),'recurring1_based on steps'!AQ$1:AQ$400,0)),AQ$2,)</f>
        <v>0</v>
      </c>
      <c r="AR85" s="155">
        <f ca="1">IF(ISNUMBER(MATCH(DATEVALUE($A85),'recurring1_based on steps'!AR$1:AR$400,0)),AR$2,)</f>
        <v>0</v>
      </c>
      <c r="AS85" s="155">
        <f ca="1">IF(ISNUMBER(MATCH(DATEVALUE($A85),'recurring1_based on steps'!AS$1:AS$400,0)),AS$2,)</f>
        <v>0</v>
      </c>
      <c r="AT85" s="155">
        <f ca="1">IF(ISNUMBER(MATCH(DATEVALUE($A85),'recurring1_based on steps'!AT$1:AT$400,0)),AT$2,)</f>
        <v>0</v>
      </c>
      <c r="AU85" s="155">
        <f ca="1">IF(ISNUMBER(MATCH(DATEVALUE($A85),'recurring1_based on steps'!AU$1:AU$400,0)),AU$2,)</f>
        <v>0</v>
      </c>
      <c r="AV85" s="155">
        <f ca="1">IF(ISNUMBER(MATCH(DATEVALUE($A85),'recurring1_based on steps'!AV$1:AV$400,0)),AV$2,)</f>
        <v>0</v>
      </c>
      <c r="AW85" s="155">
        <f ca="1">IF(ISNUMBER(MATCH(DATEVALUE($A85),'recurring1_based on steps'!AW$1:AW$400,0)),AW$2,)</f>
        <v>0</v>
      </c>
      <c r="AX85" s="155">
        <f ca="1">IF(ISNUMBER(MATCH(DATEVALUE($A85),'recurring1_based on steps'!AX$1:AX$400,0)),AX$2,)</f>
        <v>0</v>
      </c>
      <c r="AY85" s="155">
        <f ca="1">IF(ISNUMBER(MATCH(DATEVALUE($A85),'recurring1_based on steps'!AY$1:AY$400,0)),AY$2,)</f>
        <v>0</v>
      </c>
    </row>
    <row r="86" spans="1:51" x14ac:dyDescent="0.2">
      <c r="A86" s="18" t="str">
        <f t="shared" ca="1" si="1"/>
        <v>2025-04-25</v>
      </c>
      <c r="B86" s="155">
        <f ca="1">IF(ISNUMBER(MATCH(DATEVALUE($A86),'recurring1_based on steps'!B$1:B$400,0)),B$2,)</f>
        <v>0</v>
      </c>
      <c r="C86" s="155">
        <f ca="1">IF(ISNUMBER(MATCH(DATEVALUE($A86),'recurring1_based on steps'!C$1:C$400,0)),C$2,)</f>
        <v>0</v>
      </c>
      <c r="D86" s="155">
        <f ca="1">IF(ISNUMBER(MATCH(DATEVALUE($A86),'recurring1_based on steps'!D$1:D$400,0)),D$2,)</f>
        <v>0</v>
      </c>
      <c r="E86" s="155">
        <f ca="1">IF(ISNUMBER(MATCH(DATEVALUE($A86),'recurring1_based on steps'!E$1:E$400,0)),E$2,)</f>
        <v>0</v>
      </c>
      <c r="F86" s="155">
        <f ca="1">IF(ISNUMBER(MATCH(DATEVALUE($A86),'recurring1_based on steps'!F$1:F$400,0)),F$2,)</f>
        <v>0</v>
      </c>
      <c r="G86" s="155">
        <f ca="1">IF(ISNUMBER(MATCH(DATEVALUE($A86),'recurring1_based on steps'!G$1:G$400,0)),G$2,)</f>
        <v>0</v>
      </c>
      <c r="H86" s="155">
        <f ca="1">IF(ISNUMBER(MATCH(DATEVALUE($A86),'recurring1_based on steps'!H$1:H$400,0)),H$2,)</f>
        <v>0</v>
      </c>
      <c r="I86" s="155">
        <f ca="1">IF(ISNUMBER(MATCH(DATEVALUE($A86),'recurring1_based on steps'!I$1:I$400,0)),I$2,)</f>
        <v>0</v>
      </c>
      <c r="J86" s="155">
        <f ca="1">IF(ISNUMBER(MATCH(DATEVALUE($A86),'recurring1_based on steps'!J$1:J$400,0)),J$2,)</f>
        <v>0</v>
      </c>
      <c r="K86" s="155">
        <f ca="1">IF(ISNUMBER(MATCH(DATEVALUE($A86),'recurring1_based on steps'!K$1:K$400,0)),K$2,)</f>
        <v>0</v>
      </c>
      <c r="L86" s="155">
        <f ca="1">IF(ISNUMBER(MATCH(DATEVALUE($A86),'recurring1_based on steps'!L$1:L$400,0)),L$2,)</f>
        <v>0</v>
      </c>
      <c r="M86" s="155">
        <f ca="1">IF(ISNUMBER(MATCH(DATEVALUE($A86),'recurring1_based on steps'!M$1:M$400,0)),M$2,)</f>
        <v>0</v>
      </c>
      <c r="N86" s="155">
        <f ca="1">IF(ISNUMBER(MATCH(DATEVALUE($A86),'recurring1_based on steps'!N$1:N$400,0)),N$2,)</f>
        <v>0</v>
      </c>
      <c r="O86" s="155">
        <f ca="1">IF(ISNUMBER(MATCH(DATEVALUE($A86),'recurring1_based on steps'!O$1:O$400,0)),O$2,)</f>
        <v>0</v>
      </c>
      <c r="P86" s="155">
        <f ca="1">IF(ISNUMBER(MATCH(DATEVALUE($A86),'recurring1_based on steps'!P$1:P$400,0)),P$2,)</f>
        <v>0</v>
      </c>
      <c r="Q86" s="155">
        <f ca="1">IF(ISNUMBER(MATCH(DATEVALUE($A86),'recurring1_based on steps'!Q$1:Q$400,0)),Q$2,)</f>
        <v>0</v>
      </c>
      <c r="R86" s="155">
        <f ca="1">IF(ISNUMBER(MATCH(DATEVALUE($A86),'recurring1_based on steps'!R$1:R$400,0)),R$2,)</f>
        <v>0</v>
      </c>
      <c r="S86" s="155">
        <f ca="1">IF(ISNUMBER(MATCH(DATEVALUE($A86),'recurring1_based on steps'!S$1:S$400,0)),S$2,)</f>
        <v>0</v>
      </c>
      <c r="T86" s="155">
        <f ca="1">IF(ISNUMBER(MATCH(DATEVALUE($A86),'recurring1_based on steps'!T$1:T$400,0)),T$2,)</f>
        <v>0</v>
      </c>
      <c r="U86" s="155">
        <f ca="1">IF(ISNUMBER(MATCH(DATEVALUE($A86),'recurring1_based on steps'!U$1:U$400,0)),U$2,)</f>
        <v>0</v>
      </c>
      <c r="V86" s="155">
        <f ca="1">IF(ISNUMBER(MATCH(DATEVALUE($A86),'recurring1_based on steps'!V$1:V$400,0)),V$2,)</f>
        <v>0</v>
      </c>
      <c r="W86" s="155">
        <f ca="1">IF(ISNUMBER(MATCH(DATEVALUE($A86),'recurring1_based on steps'!W$1:W$400,0)),W$2,)</f>
        <v>0</v>
      </c>
      <c r="X86" s="155">
        <f ca="1">IF(ISNUMBER(MATCH(DATEVALUE($A86),'recurring1_based on steps'!X$1:X$400,0)),X$2,)</f>
        <v>0</v>
      </c>
      <c r="Y86" s="155">
        <f ca="1">IF(ISNUMBER(MATCH(DATEVALUE($A86),'recurring1_based on steps'!Y$1:Y$400,0)),Y$2,)</f>
        <v>0</v>
      </c>
      <c r="Z86" s="155">
        <f ca="1">IF(ISNUMBER(MATCH(DATEVALUE($A86),'recurring1_based on steps'!Z$1:Z$400,0)),Z$2,)</f>
        <v>0</v>
      </c>
      <c r="AA86" s="155">
        <f ca="1">IF(ISNUMBER(MATCH(DATEVALUE($A86),'recurring1_based on steps'!AA$1:AA$400,0)),AA$2,)</f>
        <v>0</v>
      </c>
      <c r="AB86" s="155">
        <f ca="1">IF(ISNUMBER(MATCH(DATEVALUE($A86),'recurring1_based on steps'!AB$1:AB$400,0)),AB$2,)</f>
        <v>0</v>
      </c>
      <c r="AC86" s="155">
        <f ca="1">IF(ISNUMBER(MATCH(DATEVALUE($A86),'recurring1_based on steps'!AC$1:AC$400,0)),AC$2,)</f>
        <v>0</v>
      </c>
      <c r="AD86" s="155">
        <f ca="1">IF(ISNUMBER(MATCH(DATEVALUE($A86),'recurring1_based on steps'!AD$1:AD$400,0)),AD$2,)</f>
        <v>0</v>
      </c>
      <c r="AE86" s="155">
        <f ca="1">IF(ISNUMBER(MATCH(DATEVALUE($A86),'recurring1_based on steps'!AE$1:AE$400,0)),AE$2,)</f>
        <v>0</v>
      </c>
      <c r="AF86" s="155">
        <f ca="1">IF(ISNUMBER(MATCH(DATEVALUE($A86),'recurring1_based on steps'!AF$1:AF$400,0)),AF$2,)</f>
        <v>0</v>
      </c>
      <c r="AG86" s="155">
        <f ca="1">IF(ISNUMBER(MATCH(DATEVALUE($A86),'recurring1_based on steps'!AG$1:AG$400,0)),AG$2,)</f>
        <v>0</v>
      </c>
      <c r="AH86" s="155">
        <f ca="1">IF(ISNUMBER(MATCH(DATEVALUE($A86),'recurring1_based on steps'!AH$1:AH$400,0)),AH$2,)</f>
        <v>0</v>
      </c>
      <c r="AI86" s="155">
        <f ca="1">IF(ISNUMBER(MATCH(DATEVALUE($A86),'recurring1_based on steps'!AI$1:AI$400,0)),AI$2,)</f>
        <v>0</v>
      </c>
      <c r="AJ86" s="155">
        <f ca="1">IF(ISNUMBER(MATCH(DATEVALUE($A86),'recurring1_based on steps'!AJ$1:AJ$400,0)),AJ$2,)</f>
        <v>0</v>
      </c>
      <c r="AK86" s="155">
        <f ca="1">IF(ISNUMBER(MATCH(DATEVALUE($A86),'recurring1_based on steps'!AK$1:AK$400,0)),AK$2,)</f>
        <v>0</v>
      </c>
      <c r="AL86" s="155">
        <f ca="1">IF(ISNUMBER(MATCH(DATEVALUE($A86),'recurring1_based on steps'!AL$1:AL$400,0)),AL$2,)</f>
        <v>0</v>
      </c>
      <c r="AM86" s="155">
        <f ca="1">IF(ISNUMBER(MATCH(DATEVALUE($A86),'recurring1_based on steps'!AM$1:AM$400,0)),AM$2,)</f>
        <v>0</v>
      </c>
      <c r="AN86" s="155">
        <f ca="1">IF(ISNUMBER(MATCH(DATEVALUE($A86),'recurring1_based on steps'!AN$1:AN$400,0)),AN$2,)</f>
        <v>0</v>
      </c>
      <c r="AO86" s="155">
        <f ca="1">IF(ISNUMBER(MATCH(DATEVALUE($A86),'recurring1_based on steps'!AO$1:AO$400,0)),AO$2,)</f>
        <v>0</v>
      </c>
      <c r="AP86" s="155">
        <f ca="1">IF(ISNUMBER(MATCH(DATEVALUE($A86),'recurring1_based on steps'!AP$1:AP$400,0)),AP$2,)</f>
        <v>0</v>
      </c>
      <c r="AQ86" s="155">
        <f ca="1">IF(ISNUMBER(MATCH(DATEVALUE($A86),'recurring1_based on steps'!AQ$1:AQ$400,0)),AQ$2,)</f>
        <v>0</v>
      </c>
      <c r="AR86" s="155">
        <f ca="1">IF(ISNUMBER(MATCH(DATEVALUE($A86),'recurring1_based on steps'!AR$1:AR$400,0)),AR$2,)</f>
        <v>0</v>
      </c>
      <c r="AS86" s="155">
        <f ca="1">IF(ISNUMBER(MATCH(DATEVALUE($A86),'recurring1_based on steps'!AS$1:AS$400,0)),AS$2,)</f>
        <v>0</v>
      </c>
      <c r="AT86" s="155">
        <f ca="1">IF(ISNUMBER(MATCH(DATEVALUE($A86),'recurring1_based on steps'!AT$1:AT$400,0)),AT$2,)</f>
        <v>0</v>
      </c>
      <c r="AU86" s="155">
        <f ca="1">IF(ISNUMBER(MATCH(DATEVALUE($A86),'recurring1_based on steps'!AU$1:AU$400,0)),AU$2,)</f>
        <v>0</v>
      </c>
      <c r="AV86" s="155">
        <f ca="1">IF(ISNUMBER(MATCH(DATEVALUE($A86),'recurring1_based on steps'!AV$1:AV$400,0)),AV$2,)</f>
        <v>0</v>
      </c>
      <c r="AW86" s="155">
        <f ca="1">IF(ISNUMBER(MATCH(DATEVALUE($A86),'recurring1_based on steps'!AW$1:AW$400,0)),AW$2,)</f>
        <v>0</v>
      </c>
      <c r="AX86" s="155">
        <f ca="1">IF(ISNUMBER(MATCH(DATEVALUE($A86),'recurring1_based on steps'!AX$1:AX$400,0)),AX$2,)</f>
        <v>0</v>
      </c>
      <c r="AY86" s="155">
        <f ca="1">IF(ISNUMBER(MATCH(DATEVALUE($A86),'recurring1_based on steps'!AY$1:AY$400,0)),AY$2,)</f>
        <v>0</v>
      </c>
    </row>
    <row r="87" spans="1:51" x14ac:dyDescent="0.2">
      <c r="A87" s="18" t="str">
        <f t="shared" ca="1" si="1"/>
        <v>2025-04-26</v>
      </c>
      <c r="B87" s="155">
        <f ca="1">IF(ISNUMBER(MATCH(DATEVALUE($A87),'recurring1_based on steps'!B$1:B$400,0)),B$2,)</f>
        <v>0</v>
      </c>
      <c r="C87" s="155">
        <f ca="1">IF(ISNUMBER(MATCH(DATEVALUE($A87),'recurring1_based on steps'!C$1:C$400,0)),C$2,)</f>
        <v>0</v>
      </c>
      <c r="D87" s="155">
        <f ca="1">IF(ISNUMBER(MATCH(DATEVALUE($A87),'recurring1_based on steps'!D$1:D$400,0)),D$2,)</f>
        <v>0</v>
      </c>
      <c r="E87" s="155">
        <f ca="1">IF(ISNUMBER(MATCH(DATEVALUE($A87),'recurring1_based on steps'!E$1:E$400,0)),E$2,)</f>
        <v>0</v>
      </c>
      <c r="F87" s="155">
        <f ca="1">IF(ISNUMBER(MATCH(DATEVALUE($A87),'recurring1_based on steps'!F$1:F$400,0)),F$2,)</f>
        <v>0</v>
      </c>
      <c r="G87" s="155">
        <f ca="1">IF(ISNUMBER(MATCH(DATEVALUE($A87),'recurring1_based on steps'!G$1:G$400,0)),G$2,)</f>
        <v>0</v>
      </c>
      <c r="H87" s="155">
        <f ca="1">IF(ISNUMBER(MATCH(DATEVALUE($A87),'recurring1_based on steps'!H$1:H$400,0)),H$2,)</f>
        <v>0</v>
      </c>
      <c r="I87" s="155">
        <f ca="1">IF(ISNUMBER(MATCH(DATEVALUE($A87),'recurring1_based on steps'!I$1:I$400,0)),I$2,)</f>
        <v>0</v>
      </c>
      <c r="J87" s="155">
        <f ca="1">IF(ISNUMBER(MATCH(DATEVALUE($A87),'recurring1_based on steps'!J$1:J$400,0)),J$2,)</f>
        <v>0</v>
      </c>
      <c r="K87" s="155">
        <f ca="1">IF(ISNUMBER(MATCH(DATEVALUE($A87),'recurring1_based on steps'!K$1:K$400,0)),K$2,)</f>
        <v>0</v>
      </c>
      <c r="L87" s="155">
        <f ca="1">IF(ISNUMBER(MATCH(DATEVALUE($A87),'recurring1_based on steps'!L$1:L$400,0)),L$2,)</f>
        <v>0</v>
      </c>
      <c r="M87" s="155">
        <f ca="1">IF(ISNUMBER(MATCH(DATEVALUE($A87),'recurring1_based on steps'!M$1:M$400,0)),M$2,)</f>
        <v>0</v>
      </c>
      <c r="N87" s="155">
        <f ca="1">IF(ISNUMBER(MATCH(DATEVALUE($A87),'recurring1_based on steps'!N$1:N$400,0)),N$2,)</f>
        <v>0</v>
      </c>
      <c r="O87" s="155">
        <f ca="1">IF(ISNUMBER(MATCH(DATEVALUE($A87),'recurring1_based on steps'!O$1:O$400,0)),O$2,)</f>
        <v>0</v>
      </c>
      <c r="P87" s="155">
        <f ca="1">IF(ISNUMBER(MATCH(DATEVALUE($A87),'recurring1_based on steps'!P$1:P$400,0)),P$2,)</f>
        <v>0</v>
      </c>
      <c r="Q87" s="155">
        <f ca="1">IF(ISNUMBER(MATCH(DATEVALUE($A87),'recurring1_based on steps'!Q$1:Q$400,0)),Q$2,)</f>
        <v>100</v>
      </c>
      <c r="R87" s="155">
        <f ca="1">IF(ISNUMBER(MATCH(DATEVALUE($A87),'recurring1_based on steps'!R$1:R$400,0)),R$2,)</f>
        <v>100</v>
      </c>
      <c r="S87" s="155">
        <f ca="1">IF(ISNUMBER(MATCH(DATEVALUE($A87),'recurring1_based on steps'!S$1:S$400,0)),S$2,)</f>
        <v>0</v>
      </c>
      <c r="T87" s="155">
        <f ca="1">IF(ISNUMBER(MATCH(DATEVALUE($A87),'recurring1_based on steps'!T$1:T$400,0)),T$2,)</f>
        <v>0</v>
      </c>
      <c r="U87" s="155">
        <f ca="1">IF(ISNUMBER(MATCH(DATEVALUE($A87),'recurring1_based on steps'!U$1:U$400,0)),U$2,)</f>
        <v>0</v>
      </c>
      <c r="V87" s="155">
        <f ca="1">IF(ISNUMBER(MATCH(DATEVALUE($A87),'recurring1_based on steps'!V$1:V$400,0)),V$2,)</f>
        <v>0</v>
      </c>
      <c r="W87" s="155">
        <f ca="1">IF(ISNUMBER(MATCH(DATEVALUE($A87),'recurring1_based on steps'!W$1:W$400,0)),W$2,)</f>
        <v>0</v>
      </c>
      <c r="X87" s="155">
        <f ca="1">IF(ISNUMBER(MATCH(DATEVALUE($A87),'recurring1_based on steps'!X$1:X$400,0)),X$2,)</f>
        <v>0</v>
      </c>
      <c r="Y87" s="155">
        <f ca="1">IF(ISNUMBER(MATCH(DATEVALUE($A87),'recurring1_based on steps'!Y$1:Y$400,0)),Y$2,)</f>
        <v>0</v>
      </c>
      <c r="Z87" s="155">
        <f ca="1">IF(ISNUMBER(MATCH(DATEVALUE($A87),'recurring1_based on steps'!Z$1:Z$400,0)),Z$2,)</f>
        <v>0</v>
      </c>
      <c r="AA87" s="155">
        <f ca="1">IF(ISNUMBER(MATCH(DATEVALUE($A87),'recurring1_based on steps'!AA$1:AA$400,0)),AA$2,)</f>
        <v>0</v>
      </c>
      <c r="AB87" s="155">
        <f ca="1">IF(ISNUMBER(MATCH(DATEVALUE($A87),'recurring1_based on steps'!AB$1:AB$400,0)),AB$2,)</f>
        <v>0</v>
      </c>
      <c r="AC87" s="155">
        <f ca="1">IF(ISNUMBER(MATCH(DATEVALUE($A87),'recurring1_based on steps'!AC$1:AC$400,0)),AC$2,)</f>
        <v>0</v>
      </c>
      <c r="AD87" s="155">
        <f ca="1">IF(ISNUMBER(MATCH(DATEVALUE($A87),'recurring1_based on steps'!AD$1:AD$400,0)),AD$2,)</f>
        <v>0</v>
      </c>
      <c r="AE87" s="155">
        <f ca="1">IF(ISNUMBER(MATCH(DATEVALUE($A87),'recurring1_based on steps'!AE$1:AE$400,0)),AE$2,)</f>
        <v>0</v>
      </c>
      <c r="AF87" s="155">
        <f ca="1">IF(ISNUMBER(MATCH(DATEVALUE($A87),'recurring1_based on steps'!AF$1:AF$400,0)),AF$2,)</f>
        <v>0</v>
      </c>
      <c r="AG87" s="155">
        <f ca="1">IF(ISNUMBER(MATCH(DATEVALUE($A87),'recurring1_based on steps'!AG$1:AG$400,0)),AG$2,)</f>
        <v>0</v>
      </c>
      <c r="AH87" s="155">
        <f ca="1">IF(ISNUMBER(MATCH(DATEVALUE($A87),'recurring1_based on steps'!AH$1:AH$400,0)),AH$2,)</f>
        <v>0</v>
      </c>
      <c r="AI87" s="155">
        <f ca="1">IF(ISNUMBER(MATCH(DATEVALUE($A87),'recurring1_based on steps'!AI$1:AI$400,0)),AI$2,)</f>
        <v>0</v>
      </c>
      <c r="AJ87" s="155">
        <f ca="1">IF(ISNUMBER(MATCH(DATEVALUE($A87),'recurring1_based on steps'!AJ$1:AJ$400,0)),AJ$2,)</f>
        <v>0</v>
      </c>
      <c r="AK87" s="155">
        <f ca="1">IF(ISNUMBER(MATCH(DATEVALUE($A87),'recurring1_based on steps'!AK$1:AK$400,0)),AK$2,)</f>
        <v>0</v>
      </c>
      <c r="AL87" s="155">
        <f ca="1">IF(ISNUMBER(MATCH(DATEVALUE($A87),'recurring1_based on steps'!AL$1:AL$400,0)),AL$2,)</f>
        <v>0</v>
      </c>
      <c r="AM87" s="155">
        <f ca="1">IF(ISNUMBER(MATCH(DATEVALUE($A87),'recurring1_based on steps'!AM$1:AM$400,0)),AM$2,)</f>
        <v>0</v>
      </c>
      <c r="AN87" s="155">
        <f ca="1">IF(ISNUMBER(MATCH(DATEVALUE($A87),'recurring1_based on steps'!AN$1:AN$400,0)),AN$2,)</f>
        <v>0</v>
      </c>
      <c r="AO87" s="155">
        <f ca="1">IF(ISNUMBER(MATCH(DATEVALUE($A87),'recurring1_based on steps'!AO$1:AO$400,0)),AO$2,)</f>
        <v>0</v>
      </c>
      <c r="AP87" s="155">
        <f ca="1">IF(ISNUMBER(MATCH(DATEVALUE($A87),'recurring1_based on steps'!AP$1:AP$400,0)),AP$2,)</f>
        <v>0</v>
      </c>
      <c r="AQ87" s="155">
        <f ca="1">IF(ISNUMBER(MATCH(DATEVALUE($A87),'recurring1_based on steps'!AQ$1:AQ$400,0)),AQ$2,)</f>
        <v>0</v>
      </c>
      <c r="AR87" s="155">
        <f ca="1">IF(ISNUMBER(MATCH(DATEVALUE($A87),'recurring1_based on steps'!AR$1:AR$400,0)),AR$2,)</f>
        <v>0</v>
      </c>
      <c r="AS87" s="155">
        <f ca="1">IF(ISNUMBER(MATCH(DATEVALUE($A87),'recurring1_based on steps'!AS$1:AS$400,0)),AS$2,)</f>
        <v>0</v>
      </c>
      <c r="AT87" s="155">
        <f ca="1">IF(ISNUMBER(MATCH(DATEVALUE($A87),'recurring1_based on steps'!AT$1:AT$400,0)),AT$2,)</f>
        <v>0</v>
      </c>
      <c r="AU87" s="155">
        <f ca="1">IF(ISNUMBER(MATCH(DATEVALUE($A87),'recurring1_based on steps'!AU$1:AU$400,0)),AU$2,)</f>
        <v>0</v>
      </c>
      <c r="AV87" s="155">
        <f ca="1">IF(ISNUMBER(MATCH(DATEVALUE($A87),'recurring1_based on steps'!AV$1:AV$400,0)),AV$2,)</f>
        <v>0</v>
      </c>
      <c r="AW87" s="155">
        <f ca="1">IF(ISNUMBER(MATCH(DATEVALUE($A87),'recurring1_based on steps'!AW$1:AW$400,0)),AW$2,)</f>
        <v>0</v>
      </c>
      <c r="AX87" s="155">
        <f ca="1">IF(ISNUMBER(MATCH(DATEVALUE($A87),'recurring1_based on steps'!AX$1:AX$400,0)),AX$2,)</f>
        <v>0</v>
      </c>
      <c r="AY87" s="155">
        <f ca="1">IF(ISNUMBER(MATCH(DATEVALUE($A87),'recurring1_based on steps'!AY$1:AY$400,0)),AY$2,)</f>
        <v>0</v>
      </c>
    </row>
    <row r="88" spans="1:51" x14ac:dyDescent="0.2">
      <c r="A88" s="18" t="str">
        <f t="shared" ca="1" si="1"/>
        <v>2025-04-27</v>
      </c>
      <c r="B88" s="155">
        <f ca="1">IF(ISNUMBER(MATCH(DATEVALUE($A88),'recurring1_based on steps'!B$1:B$400,0)),B$2,)</f>
        <v>0</v>
      </c>
      <c r="C88" s="155">
        <f ca="1">IF(ISNUMBER(MATCH(DATEVALUE($A88),'recurring1_based on steps'!C$1:C$400,0)),C$2,)</f>
        <v>0</v>
      </c>
      <c r="D88" s="155">
        <f ca="1">IF(ISNUMBER(MATCH(DATEVALUE($A88),'recurring1_based on steps'!D$1:D$400,0)),D$2,)</f>
        <v>0</v>
      </c>
      <c r="E88" s="155">
        <f ca="1">IF(ISNUMBER(MATCH(DATEVALUE($A88),'recurring1_based on steps'!E$1:E$400,0)),E$2,)</f>
        <v>0</v>
      </c>
      <c r="F88" s="155">
        <f ca="1">IF(ISNUMBER(MATCH(DATEVALUE($A88),'recurring1_based on steps'!F$1:F$400,0)),F$2,)</f>
        <v>0</v>
      </c>
      <c r="G88" s="155">
        <f ca="1">IF(ISNUMBER(MATCH(DATEVALUE($A88),'recurring1_based on steps'!G$1:G$400,0)),G$2,)</f>
        <v>0</v>
      </c>
      <c r="H88" s="155">
        <f ca="1">IF(ISNUMBER(MATCH(DATEVALUE($A88),'recurring1_based on steps'!H$1:H$400,0)),H$2,)</f>
        <v>0</v>
      </c>
      <c r="I88" s="155">
        <f ca="1">IF(ISNUMBER(MATCH(DATEVALUE($A88),'recurring1_based on steps'!I$1:I$400,0)),I$2,)</f>
        <v>0</v>
      </c>
      <c r="J88" s="155">
        <f ca="1">IF(ISNUMBER(MATCH(DATEVALUE($A88),'recurring1_based on steps'!J$1:J$400,0)),J$2,)</f>
        <v>0</v>
      </c>
      <c r="K88" s="155">
        <f ca="1">IF(ISNUMBER(MATCH(DATEVALUE($A88),'recurring1_based on steps'!K$1:K$400,0)),K$2,)</f>
        <v>50</v>
      </c>
      <c r="L88" s="155">
        <f ca="1">IF(ISNUMBER(MATCH(DATEVALUE($A88),'recurring1_based on steps'!L$1:L$400,0)),L$2,)</f>
        <v>0</v>
      </c>
      <c r="M88" s="155">
        <f ca="1">IF(ISNUMBER(MATCH(DATEVALUE($A88),'recurring1_based on steps'!M$1:M$400,0)),M$2,)</f>
        <v>0</v>
      </c>
      <c r="N88" s="155">
        <f ca="1">IF(ISNUMBER(MATCH(DATEVALUE($A88),'recurring1_based on steps'!N$1:N$400,0)),N$2,)</f>
        <v>0</v>
      </c>
      <c r="O88" s="155">
        <f ca="1">IF(ISNUMBER(MATCH(DATEVALUE($A88),'recurring1_based on steps'!O$1:O$400,0)),O$2,)</f>
        <v>0</v>
      </c>
      <c r="P88" s="155">
        <f ca="1">IF(ISNUMBER(MATCH(DATEVALUE($A88),'recurring1_based on steps'!P$1:P$400,0)),P$2,)</f>
        <v>2.99</v>
      </c>
      <c r="Q88" s="155">
        <f ca="1">IF(ISNUMBER(MATCH(DATEVALUE($A88),'recurring1_based on steps'!Q$1:Q$400,0)),Q$2,)</f>
        <v>0</v>
      </c>
      <c r="R88" s="155">
        <f ca="1">IF(ISNUMBER(MATCH(DATEVALUE($A88),'recurring1_based on steps'!R$1:R$400,0)),R$2,)</f>
        <v>0</v>
      </c>
      <c r="S88" s="155">
        <f ca="1">IF(ISNUMBER(MATCH(DATEVALUE($A88),'recurring1_based on steps'!S$1:S$400,0)),S$2,)</f>
        <v>100</v>
      </c>
      <c r="T88" s="155">
        <f ca="1">IF(ISNUMBER(MATCH(DATEVALUE($A88),'recurring1_based on steps'!T$1:T$400,0)),T$2,)</f>
        <v>0</v>
      </c>
      <c r="U88" s="155">
        <f ca="1">IF(ISNUMBER(MATCH(DATEVALUE($A88),'recurring1_based on steps'!U$1:U$400,0)),U$2,)</f>
        <v>0</v>
      </c>
      <c r="V88" s="155">
        <f ca="1">IF(ISNUMBER(MATCH(DATEVALUE($A88),'recurring1_based on steps'!V$1:V$400,0)),V$2,)</f>
        <v>0</v>
      </c>
      <c r="W88" s="155">
        <f ca="1">IF(ISNUMBER(MATCH(DATEVALUE($A88),'recurring1_based on steps'!W$1:W$400,0)),W$2,)</f>
        <v>0</v>
      </c>
      <c r="X88" s="155">
        <f ca="1">IF(ISNUMBER(MATCH(DATEVALUE($A88),'recurring1_based on steps'!X$1:X$400,0)),X$2,)</f>
        <v>0</v>
      </c>
      <c r="Y88" s="155">
        <f ca="1">IF(ISNUMBER(MATCH(DATEVALUE($A88),'recurring1_based on steps'!Y$1:Y$400,0)),Y$2,)</f>
        <v>0</v>
      </c>
      <c r="Z88" s="155">
        <f ca="1">IF(ISNUMBER(MATCH(DATEVALUE($A88),'recurring1_based on steps'!Z$1:Z$400,0)),Z$2,)</f>
        <v>0</v>
      </c>
      <c r="AA88" s="155">
        <f ca="1">IF(ISNUMBER(MATCH(DATEVALUE($A88),'recurring1_based on steps'!AA$1:AA$400,0)),AA$2,)</f>
        <v>0</v>
      </c>
      <c r="AB88" s="155">
        <f ca="1">IF(ISNUMBER(MATCH(DATEVALUE($A88),'recurring1_based on steps'!AB$1:AB$400,0)),AB$2,)</f>
        <v>0</v>
      </c>
      <c r="AC88" s="155">
        <f ca="1">IF(ISNUMBER(MATCH(DATEVALUE($A88),'recurring1_based on steps'!AC$1:AC$400,0)),AC$2,)</f>
        <v>0</v>
      </c>
      <c r="AD88" s="155">
        <f ca="1">IF(ISNUMBER(MATCH(DATEVALUE($A88),'recurring1_based on steps'!AD$1:AD$400,0)),AD$2,)</f>
        <v>0</v>
      </c>
      <c r="AE88" s="155">
        <f ca="1">IF(ISNUMBER(MATCH(DATEVALUE($A88),'recurring1_based on steps'!AE$1:AE$400,0)),AE$2,)</f>
        <v>0</v>
      </c>
      <c r="AF88" s="155">
        <f ca="1">IF(ISNUMBER(MATCH(DATEVALUE($A88),'recurring1_based on steps'!AF$1:AF$400,0)),AF$2,)</f>
        <v>0</v>
      </c>
      <c r="AG88" s="155">
        <f ca="1">IF(ISNUMBER(MATCH(DATEVALUE($A88),'recurring1_based on steps'!AG$1:AG$400,0)),AG$2,)</f>
        <v>0</v>
      </c>
      <c r="AH88" s="155">
        <f ca="1">IF(ISNUMBER(MATCH(DATEVALUE($A88),'recurring1_based on steps'!AH$1:AH$400,0)),AH$2,)</f>
        <v>0</v>
      </c>
      <c r="AI88" s="155">
        <f ca="1">IF(ISNUMBER(MATCH(DATEVALUE($A88),'recurring1_based on steps'!AI$1:AI$400,0)),AI$2,)</f>
        <v>0</v>
      </c>
      <c r="AJ88" s="155">
        <f ca="1">IF(ISNUMBER(MATCH(DATEVALUE($A88),'recurring1_based on steps'!AJ$1:AJ$400,0)),AJ$2,)</f>
        <v>0</v>
      </c>
      <c r="AK88" s="155">
        <f ca="1">IF(ISNUMBER(MATCH(DATEVALUE($A88),'recurring1_based on steps'!AK$1:AK$400,0)),AK$2,)</f>
        <v>0</v>
      </c>
      <c r="AL88" s="155">
        <f ca="1">IF(ISNUMBER(MATCH(DATEVALUE($A88),'recurring1_based on steps'!AL$1:AL$400,0)),AL$2,)</f>
        <v>0</v>
      </c>
      <c r="AM88" s="155">
        <f ca="1">IF(ISNUMBER(MATCH(DATEVALUE($A88),'recurring1_based on steps'!AM$1:AM$400,0)),AM$2,)</f>
        <v>0</v>
      </c>
      <c r="AN88" s="155">
        <f ca="1">IF(ISNUMBER(MATCH(DATEVALUE($A88),'recurring1_based on steps'!AN$1:AN$400,0)),AN$2,)</f>
        <v>0</v>
      </c>
      <c r="AO88" s="155">
        <f ca="1">IF(ISNUMBER(MATCH(DATEVALUE($A88),'recurring1_based on steps'!AO$1:AO$400,0)),AO$2,)</f>
        <v>0</v>
      </c>
      <c r="AP88" s="155">
        <f ca="1">IF(ISNUMBER(MATCH(DATEVALUE($A88),'recurring1_based on steps'!AP$1:AP$400,0)),AP$2,)</f>
        <v>0</v>
      </c>
      <c r="AQ88" s="155">
        <f ca="1">IF(ISNUMBER(MATCH(DATEVALUE($A88),'recurring1_based on steps'!AQ$1:AQ$400,0)),AQ$2,)</f>
        <v>0</v>
      </c>
      <c r="AR88" s="155">
        <f ca="1">IF(ISNUMBER(MATCH(DATEVALUE($A88),'recurring1_based on steps'!AR$1:AR$400,0)),AR$2,)</f>
        <v>0</v>
      </c>
      <c r="AS88" s="155">
        <f ca="1">IF(ISNUMBER(MATCH(DATEVALUE($A88),'recurring1_based on steps'!AS$1:AS$400,0)),AS$2,)</f>
        <v>0</v>
      </c>
      <c r="AT88" s="155">
        <f ca="1">IF(ISNUMBER(MATCH(DATEVALUE($A88),'recurring1_based on steps'!AT$1:AT$400,0)),AT$2,)</f>
        <v>0</v>
      </c>
      <c r="AU88" s="155">
        <f ca="1">IF(ISNUMBER(MATCH(DATEVALUE($A88),'recurring1_based on steps'!AU$1:AU$400,0)),AU$2,)</f>
        <v>0</v>
      </c>
      <c r="AV88" s="155">
        <f ca="1">IF(ISNUMBER(MATCH(DATEVALUE($A88),'recurring1_based on steps'!AV$1:AV$400,0)),AV$2,)</f>
        <v>0</v>
      </c>
      <c r="AW88" s="155">
        <f ca="1">IF(ISNUMBER(MATCH(DATEVALUE($A88),'recurring1_based on steps'!AW$1:AW$400,0)),AW$2,)</f>
        <v>0</v>
      </c>
      <c r="AX88" s="155">
        <f ca="1">IF(ISNUMBER(MATCH(DATEVALUE($A88),'recurring1_based on steps'!AX$1:AX$400,0)),AX$2,)</f>
        <v>0</v>
      </c>
      <c r="AY88" s="155">
        <f ca="1">IF(ISNUMBER(MATCH(DATEVALUE($A88),'recurring1_based on steps'!AY$1:AY$400,0)),AY$2,)</f>
        <v>0</v>
      </c>
    </row>
    <row r="89" spans="1:51" x14ac:dyDescent="0.2">
      <c r="A89" s="18" t="str">
        <f t="shared" ca="1" si="1"/>
        <v>2025-04-28</v>
      </c>
      <c r="B89" s="155">
        <f ca="1">IF(ISNUMBER(MATCH(DATEVALUE($A89),'recurring1_based on steps'!B$1:B$400,0)),B$2,)</f>
        <v>0</v>
      </c>
      <c r="C89" s="155">
        <f ca="1">IF(ISNUMBER(MATCH(DATEVALUE($A89),'recurring1_based on steps'!C$1:C$400,0)),C$2,)</f>
        <v>0</v>
      </c>
      <c r="D89" s="155">
        <f ca="1">IF(ISNUMBER(MATCH(DATEVALUE($A89),'recurring1_based on steps'!D$1:D$400,0)),D$2,)</f>
        <v>0</v>
      </c>
      <c r="E89" s="155">
        <f ca="1">IF(ISNUMBER(MATCH(DATEVALUE($A89),'recurring1_based on steps'!E$1:E$400,0)),E$2,)</f>
        <v>0</v>
      </c>
      <c r="F89" s="155">
        <f ca="1">IF(ISNUMBER(MATCH(DATEVALUE($A89),'recurring1_based on steps'!F$1:F$400,0)),F$2,)</f>
        <v>0</v>
      </c>
      <c r="G89" s="155">
        <f ca="1">IF(ISNUMBER(MATCH(DATEVALUE($A89),'recurring1_based on steps'!G$1:G$400,0)),G$2,)</f>
        <v>0</v>
      </c>
      <c r="H89" s="155">
        <f ca="1">IF(ISNUMBER(MATCH(DATEVALUE($A89),'recurring1_based on steps'!H$1:H$400,0)),H$2,)</f>
        <v>40</v>
      </c>
      <c r="I89" s="155">
        <f ca="1">IF(ISNUMBER(MATCH(DATEVALUE($A89),'recurring1_based on steps'!I$1:I$400,0)),I$2,)</f>
        <v>0</v>
      </c>
      <c r="J89" s="155">
        <f ca="1">IF(ISNUMBER(MATCH(DATEVALUE($A89),'recurring1_based on steps'!J$1:J$400,0)),J$2,)</f>
        <v>0</v>
      </c>
      <c r="K89" s="155">
        <f ca="1">IF(ISNUMBER(MATCH(DATEVALUE($A89),'recurring1_based on steps'!K$1:K$400,0)),K$2,)</f>
        <v>0</v>
      </c>
      <c r="L89" s="155">
        <f ca="1">IF(ISNUMBER(MATCH(DATEVALUE($A89),'recurring1_based on steps'!L$1:L$400,0)),L$2,)</f>
        <v>0</v>
      </c>
      <c r="M89" s="155">
        <f ca="1">IF(ISNUMBER(MATCH(DATEVALUE($A89),'recurring1_based on steps'!M$1:M$400,0)),M$2,)</f>
        <v>0</v>
      </c>
      <c r="N89" s="155">
        <f ca="1">IF(ISNUMBER(MATCH(DATEVALUE($A89),'recurring1_based on steps'!N$1:N$400,0)),N$2,)</f>
        <v>0</v>
      </c>
      <c r="O89" s="155">
        <f ca="1">IF(ISNUMBER(MATCH(DATEVALUE($A89),'recurring1_based on steps'!O$1:O$400,0)),O$2,)</f>
        <v>0</v>
      </c>
      <c r="P89" s="155">
        <f ca="1">IF(ISNUMBER(MATCH(DATEVALUE($A89),'recurring1_based on steps'!P$1:P$400,0)),P$2,)</f>
        <v>0</v>
      </c>
      <c r="Q89" s="155">
        <f ca="1">IF(ISNUMBER(MATCH(DATEVALUE($A89),'recurring1_based on steps'!Q$1:Q$400,0)),Q$2,)</f>
        <v>0</v>
      </c>
      <c r="R89" s="155">
        <f ca="1">IF(ISNUMBER(MATCH(DATEVALUE($A89),'recurring1_based on steps'!R$1:R$400,0)),R$2,)</f>
        <v>0</v>
      </c>
      <c r="S89" s="155">
        <f ca="1">IF(ISNUMBER(MATCH(DATEVALUE($A89),'recurring1_based on steps'!S$1:S$400,0)),S$2,)</f>
        <v>0</v>
      </c>
      <c r="T89" s="155">
        <f ca="1">IF(ISNUMBER(MATCH(DATEVALUE($A89),'recurring1_based on steps'!T$1:T$400,0)),T$2,)</f>
        <v>50</v>
      </c>
      <c r="U89" s="155">
        <f ca="1">IF(ISNUMBER(MATCH(DATEVALUE($A89),'recurring1_based on steps'!U$1:U$400,0)),U$2,)</f>
        <v>0</v>
      </c>
      <c r="V89" s="155">
        <f ca="1">IF(ISNUMBER(MATCH(DATEVALUE($A89),'recurring1_based on steps'!V$1:V$400,0)),V$2,)</f>
        <v>0</v>
      </c>
      <c r="W89" s="155">
        <f ca="1">IF(ISNUMBER(MATCH(DATEVALUE($A89),'recurring1_based on steps'!W$1:W$400,0)),W$2,)</f>
        <v>100</v>
      </c>
      <c r="X89" s="155">
        <f ca="1">IF(ISNUMBER(MATCH(DATEVALUE($A89),'recurring1_based on steps'!X$1:X$400,0)),X$2,)</f>
        <v>0</v>
      </c>
      <c r="Y89" s="155">
        <f ca="1">IF(ISNUMBER(MATCH(DATEVALUE($A89),'recurring1_based on steps'!Y$1:Y$400,0)),Y$2,)</f>
        <v>0</v>
      </c>
      <c r="Z89" s="155">
        <f ca="1">IF(ISNUMBER(MATCH(DATEVALUE($A89),'recurring1_based on steps'!Z$1:Z$400,0)),Z$2,)</f>
        <v>0</v>
      </c>
      <c r="AA89" s="155">
        <f ca="1">IF(ISNUMBER(MATCH(DATEVALUE($A89),'recurring1_based on steps'!AA$1:AA$400,0)),AA$2,)</f>
        <v>0</v>
      </c>
      <c r="AB89" s="155">
        <f ca="1">IF(ISNUMBER(MATCH(DATEVALUE($A89),'recurring1_based on steps'!AB$1:AB$400,0)),AB$2,)</f>
        <v>0</v>
      </c>
      <c r="AC89" s="155">
        <f ca="1">IF(ISNUMBER(MATCH(DATEVALUE($A89),'recurring1_based on steps'!AC$1:AC$400,0)),AC$2,)</f>
        <v>0</v>
      </c>
      <c r="AD89" s="155">
        <f ca="1">IF(ISNUMBER(MATCH(DATEVALUE($A89),'recurring1_based on steps'!AD$1:AD$400,0)),AD$2,)</f>
        <v>0</v>
      </c>
      <c r="AE89" s="155">
        <f ca="1">IF(ISNUMBER(MATCH(DATEVALUE($A89),'recurring1_based on steps'!AE$1:AE$400,0)),AE$2,)</f>
        <v>0</v>
      </c>
      <c r="AF89" s="155">
        <f ca="1">IF(ISNUMBER(MATCH(DATEVALUE($A89),'recurring1_based on steps'!AF$1:AF$400,0)),AF$2,)</f>
        <v>0</v>
      </c>
      <c r="AG89" s="155">
        <f ca="1">IF(ISNUMBER(MATCH(DATEVALUE($A89),'recurring1_based on steps'!AG$1:AG$400,0)),AG$2,)</f>
        <v>0</v>
      </c>
      <c r="AH89" s="155">
        <f ca="1">IF(ISNUMBER(MATCH(DATEVALUE($A89),'recurring1_based on steps'!AH$1:AH$400,0)),AH$2,)</f>
        <v>0</v>
      </c>
      <c r="AI89" s="155">
        <f ca="1">IF(ISNUMBER(MATCH(DATEVALUE($A89),'recurring1_based on steps'!AI$1:AI$400,0)),AI$2,)</f>
        <v>0</v>
      </c>
      <c r="AJ89" s="155">
        <f ca="1">IF(ISNUMBER(MATCH(DATEVALUE($A89),'recurring1_based on steps'!AJ$1:AJ$400,0)),AJ$2,)</f>
        <v>0</v>
      </c>
      <c r="AK89" s="155">
        <f ca="1">IF(ISNUMBER(MATCH(DATEVALUE($A89),'recurring1_based on steps'!AK$1:AK$400,0)),AK$2,)</f>
        <v>0</v>
      </c>
      <c r="AL89" s="155">
        <f ca="1">IF(ISNUMBER(MATCH(DATEVALUE($A89),'recurring1_based on steps'!AL$1:AL$400,0)),AL$2,)</f>
        <v>0</v>
      </c>
      <c r="AM89" s="155">
        <f ca="1">IF(ISNUMBER(MATCH(DATEVALUE($A89),'recurring1_based on steps'!AM$1:AM$400,0)),AM$2,)</f>
        <v>0</v>
      </c>
      <c r="AN89" s="155">
        <f ca="1">IF(ISNUMBER(MATCH(DATEVALUE($A89),'recurring1_based on steps'!AN$1:AN$400,0)),AN$2,)</f>
        <v>0</v>
      </c>
      <c r="AO89" s="155">
        <f ca="1">IF(ISNUMBER(MATCH(DATEVALUE($A89),'recurring1_based on steps'!AO$1:AO$400,0)),AO$2,)</f>
        <v>0</v>
      </c>
      <c r="AP89" s="155">
        <f ca="1">IF(ISNUMBER(MATCH(DATEVALUE($A89),'recurring1_based on steps'!AP$1:AP$400,0)),AP$2,)</f>
        <v>0</v>
      </c>
      <c r="AQ89" s="155">
        <f ca="1">IF(ISNUMBER(MATCH(DATEVALUE($A89),'recurring1_based on steps'!AQ$1:AQ$400,0)),AQ$2,)</f>
        <v>0</v>
      </c>
      <c r="AR89" s="155">
        <f ca="1">IF(ISNUMBER(MATCH(DATEVALUE($A89),'recurring1_based on steps'!AR$1:AR$400,0)),AR$2,)</f>
        <v>0</v>
      </c>
      <c r="AS89" s="155">
        <f ca="1">IF(ISNUMBER(MATCH(DATEVALUE($A89),'recurring1_based on steps'!AS$1:AS$400,0)),AS$2,)</f>
        <v>0</v>
      </c>
      <c r="AT89" s="155">
        <f ca="1">IF(ISNUMBER(MATCH(DATEVALUE($A89),'recurring1_based on steps'!AT$1:AT$400,0)),AT$2,)</f>
        <v>0</v>
      </c>
      <c r="AU89" s="155">
        <f ca="1">IF(ISNUMBER(MATCH(DATEVALUE($A89),'recurring1_based on steps'!AU$1:AU$400,0)),AU$2,)</f>
        <v>0</v>
      </c>
      <c r="AV89" s="155">
        <f ca="1">IF(ISNUMBER(MATCH(DATEVALUE($A89),'recurring1_based on steps'!AV$1:AV$400,0)),AV$2,)</f>
        <v>0</v>
      </c>
      <c r="AW89" s="155">
        <f ca="1">IF(ISNUMBER(MATCH(DATEVALUE($A89),'recurring1_based on steps'!AW$1:AW$400,0)),AW$2,)</f>
        <v>0</v>
      </c>
      <c r="AX89" s="155">
        <f ca="1">IF(ISNUMBER(MATCH(DATEVALUE($A89),'recurring1_based on steps'!AX$1:AX$400,0)),AX$2,)</f>
        <v>0</v>
      </c>
      <c r="AY89" s="155">
        <f ca="1">IF(ISNUMBER(MATCH(DATEVALUE($A89),'recurring1_based on steps'!AY$1:AY$400,0)),AY$2,)</f>
        <v>0</v>
      </c>
    </row>
    <row r="90" spans="1:51" x14ac:dyDescent="0.2">
      <c r="A90" s="18" t="str">
        <f t="shared" ca="1" si="1"/>
        <v>2025-04-29</v>
      </c>
      <c r="B90" s="155">
        <f ca="1">IF(ISNUMBER(MATCH(DATEVALUE($A90),'recurring1_based on steps'!B$1:B$400,0)),B$2,)</f>
        <v>0</v>
      </c>
      <c r="C90" s="155">
        <f ca="1">IF(ISNUMBER(MATCH(DATEVALUE($A90),'recurring1_based on steps'!C$1:C$400,0)),C$2,)</f>
        <v>0</v>
      </c>
      <c r="D90" s="155">
        <f ca="1">IF(ISNUMBER(MATCH(DATEVALUE($A90),'recurring1_based on steps'!D$1:D$400,0)),D$2,)</f>
        <v>0</v>
      </c>
      <c r="E90" s="155">
        <f ca="1">IF(ISNUMBER(MATCH(DATEVALUE($A90),'recurring1_based on steps'!E$1:E$400,0)),E$2,)</f>
        <v>0</v>
      </c>
      <c r="F90" s="155">
        <f ca="1">IF(ISNUMBER(MATCH(DATEVALUE($A90),'recurring1_based on steps'!F$1:F$400,0)),F$2,)</f>
        <v>0</v>
      </c>
      <c r="G90" s="155">
        <f ca="1">IF(ISNUMBER(MATCH(DATEVALUE($A90),'recurring1_based on steps'!G$1:G$400,0)),G$2,)</f>
        <v>0</v>
      </c>
      <c r="H90" s="155">
        <f ca="1">IF(ISNUMBER(MATCH(DATEVALUE($A90),'recurring1_based on steps'!H$1:H$400,0)),H$2,)</f>
        <v>0</v>
      </c>
      <c r="I90" s="155">
        <f ca="1">IF(ISNUMBER(MATCH(DATEVALUE($A90),'recurring1_based on steps'!I$1:I$400,0)),I$2,)</f>
        <v>0</v>
      </c>
      <c r="J90" s="155">
        <f ca="1">IF(ISNUMBER(MATCH(DATEVALUE($A90),'recurring1_based on steps'!J$1:J$400,0)),J$2,)</f>
        <v>0</v>
      </c>
      <c r="K90" s="155">
        <f ca="1">IF(ISNUMBER(MATCH(DATEVALUE($A90),'recurring1_based on steps'!K$1:K$400,0)),K$2,)</f>
        <v>0</v>
      </c>
      <c r="L90" s="155">
        <f ca="1">IF(ISNUMBER(MATCH(DATEVALUE($A90),'recurring1_based on steps'!L$1:L$400,0)),L$2,)</f>
        <v>0</v>
      </c>
      <c r="M90" s="155">
        <f ca="1">IF(ISNUMBER(MATCH(DATEVALUE($A90),'recurring1_based on steps'!M$1:M$400,0)),M$2,)</f>
        <v>0</v>
      </c>
      <c r="N90" s="155">
        <f ca="1">IF(ISNUMBER(MATCH(DATEVALUE($A90),'recurring1_based on steps'!N$1:N$400,0)),N$2,)</f>
        <v>0</v>
      </c>
      <c r="O90" s="155">
        <f ca="1">IF(ISNUMBER(MATCH(DATEVALUE($A90),'recurring1_based on steps'!O$1:O$400,0)),O$2,)</f>
        <v>0</v>
      </c>
      <c r="P90" s="155">
        <f ca="1">IF(ISNUMBER(MATCH(DATEVALUE($A90),'recurring1_based on steps'!P$1:P$400,0)),P$2,)</f>
        <v>0</v>
      </c>
      <c r="Q90" s="155">
        <f ca="1">IF(ISNUMBER(MATCH(DATEVALUE($A90),'recurring1_based on steps'!Q$1:Q$400,0)),Q$2,)</f>
        <v>0</v>
      </c>
      <c r="R90" s="155">
        <f ca="1">IF(ISNUMBER(MATCH(DATEVALUE($A90),'recurring1_based on steps'!R$1:R$400,0)),R$2,)</f>
        <v>0</v>
      </c>
      <c r="S90" s="155">
        <f ca="1">IF(ISNUMBER(MATCH(DATEVALUE($A90),'recurring1_based on steps'!S$1:S$400,0)),S$2,)</f>
        <v>0</v>
      </c>
      <c r="T90" s="155">
        <f ca="1">IF(ISNUMBER(MATCH(DATEVALUE($A90),'recurring1_based on steps'!T$1:T$400,0)),T$2,)</f>
        <v>0</v>
      </c>
      <c r="U90" s="155">
        <f ca="1">IF(ISNUMBER(MATCH(DATEVALUE($A90),'recurring1_based on steps'!U$1:U$400,0)),U$2,)</f>
        <v>0</v>
      </c>
      <c r="V90" s="155">
        <f ca="1">IF(ISNUMBER(MATCH(DATEVALUE($A90),'recurring1_based on steps'!V$1:V$400,0)),V$2,)</f>
        <v>0</v>
      </c>
      <c r="W90" s="155">
        <f ca="1">IF(ISNUMBER(MATCH(DATEVALUE($A90),'recurring1_based on steps'!W$1:W$400,0)),W$2,)</f>
        <v>0</v>
      </c>
      <c r="X90" s="155">
        <f ca="1">IF(ISNUMBER(MATCH(DATEVALUE($A90),'recurring1_based on steps'!X$1:X$400,0)),X$2,)</f>
        <v>0</v>
      </c>
      <c r="Y90" s="155">
        <f ca="1">IF(ISNUMBER(MATCH(DATEVALUE($A90),'recurring1_based on steps'!Y$1:Y$400,0)),Y$2,)</f>
        <v>0</v>
      </c>
      <c r="Z90" s="155">
        <f ca="1">IF(ISNUMBER(MATCH(DATEVALUE($A90),'recurring1_based on steps'!Z$1:Z$400,0)),Z$2,)</f>
        <v>0</v>
      </c>
      <c r="AA90" s="155">
        <f ca="1">IF(ISNUMBER(MATCH(DATEVALUE($A90),'recurring1_based on steps'!AA$1:AA$400,0)),AA$2,)</f>
        <v>0</v>
      </c>
      <c r="AB90" s="155">
        <f ca="1">IF(ISNUMBER(MATCH(DATEVALUE($A90),'recurring1_based on steps'!AB$1:AB$400,0)),AB$2,)</f>
        <v>0</v>
      </c>
      <c r="AC90" s="155">
        <f ca="1">IF(ISNUMBER(MATCH(DATEVALUE($A90),'recurring1_based on steps'!AC$1:AC$400,0)),AC$2,)</f>
        <v>0</v>
      </c>
      <c r="AD90" s="155">
        <f ca="1">IF(ISNUMBER(MATCH(DATEVALUE($A90),'recurring1_based on steps'!AD$1:AD$400,0)),AD$2,)</f>
        <v>0</v>
      </c>
      <c r="AE90" s="155">
        <f ca="1">IF(ISNUMBER(MATCH(DATEVALUE($A90),'recurring1_based on steps'!AE$1:AE$400,0)),AE$2,)</f>
        <v>0</v>
      </c>
      <c r="AF90" s="155">
        <f ca="1">IF(ISNUMBER(MATCH(DATEVALUE($A90),'recurring1_based on steps'!AF$1:AF$400,0)),AF$2,)</f>
        <v>0</v>
      </c>
      <c r="AG90" s="155">
        <f ca="1">IF(ISNUMBER(MATCH(DATEVALUE($A90),'recurring1_based on steps'!AG$1:AG$400,0)),AG$2,)</f>
        <v>0</v>
      </c>
      <c r="AH90" s="155">
        <f ca="1">IF(ISNUMBER(MATCH(DATEVALUE($A90),'recurring1_based on steps'!AH$1:AH$400,0)),AH$2,)</f>
        <v>0</v>
      </c>
      <c r="AI90" s="155">
        <f ca="1">IF(ISNUMBER(MATCH(DATEVALUE($A90),'recurring1_based on steps'!AI$1:AI$400,0)),AI$2,)</f>
        <v>0</v>
      </c>
      <c r="AJ90" s="155">
        <f ca="1">IF(ISNUMBER(MATCH(DATEVALUE($A90),'recurring1_based on steps'!AJ$1:AJ$400,0)),AJ$2,)</f>
        <v>0</v>
      </c>
      <c r="AK90" s="155">
        <f ca="1">IF(ISNUMBER(MATCH(DATEVALUE($A90),'recurring1_based on steps'!AK$1:AK$400,0)),AK$2,)</f>
        <v>0</v>
      </c>
      <c r="AL90" s="155">
        <f ca="1">IF(ISNUMBER(MATCH(DATEVALUE($A90),'recurring1_based on steps'!AL$1:AL$400,0)),AL$2,)</f>
        <v>0</v>
      </c>
      <c r="AM90" s="155">
        <f ca="1">IF(ISNUMBER(MATCH(DATEVALUE($A90),'recurring1_based on steps'!AM$1:AM$400,0)),AM$2,)</f>
        <v>0</v>
      </c>
      <c r="AN90" s="155">
        <f ca="1">IF(ISNUMBER(MATCH(DATEVALUE($A90),'recurring1_based on steps'!AN$1:AN$400,0)),AN$2,)</f>
        <v>0</v>
      </c>
      <c r="AO90" s="155">
        <f ca="1">IF(ISNUMBER(MATCH(DATEVALUE($A90),'recurring1_based on steps'!AO$1:AO$400,0)),AO$2,)</f>
        <v>0</v>
      </c>
      <c r="AP90" s="155">
        <f ca="1">IF(ISNUMBER(MATCH(DATEVALUE($A90),'recurring1_based on steps'!AP$1:AP$400,0)),AP$2,)</f>
        <v>0</v>
      </c>
      <c r="AQ90" s="155">
        <f ca="1">IF(ISNUMBER(MATCH(DATEVALUE($A90),'recurring1_based on steps'!AQ$1:AQ$400,0)),AQ$2,)</f>
        <v>0</v>
      </c>
      <c r="AR90" s="155">
        <f ca="1">IF(ISNUMBER(MATCH(DATEVALUE($A90),'recurring1_based on steps'!AR$1:AR$400,0)),AR$2,)</f>
        <v>0</v>
      </c>
      <c r="AS90" s="155">
        <f ca="1">IF(ISNUMBER(MATCH(DATEVALUE($A90),'recurring1_based on steps'!AS$1:AS$400,0)),AS$2,)</f>
        <v>0</v>
      </c>
      <c r="AT90" s="155">
        <f ca="1">IF(ISNUMBER(MATCH(DATEVALUE($A90),'recurring1_based on steps'!AT$1:AT$400,0)),AT$2,)</f>
        <v>0</v>
      </c>
      <c r="AU90" s="155">
        <f ca="1">IF(ISNUMBER(MATCH(DATEVALUE($A90),'recurring1_based on steps'!AU$1:AU$400,0)),AU$2,)</f>
        <v>0</v>
      </c>
      <c r="AV90" s="155">
        <f ca="1">IF(ISNUMBER(MATCH(DATEVALUE($A90),'recurring1_based on steps'!AV$1:AV$400,0)),AV$2,)</f>
        <v>0</v>
      </c>
      <c r="AW90" s="155">
        <f ca="1">IF(ISNUMBER(MATCH(DATEVALUE($A90),'recurring1_based on steps'!AW$1:AW$400,0)),AW$2,)</f>
        <v>0</v>
      </c>
      <c r="AX90" s="155">
        <f ca="1">IF(ISNUMBER(MATCH(DATEVALUE($A90),'recurring1_based on steps'!AX$1:AX$400,0)),AX$2,)</f>
        <v>0</v>
      </c>
      <c r="AY90" s="155">
        <f ca="1">IF(ISNUMBER(MATCH(DATEVALUE($A90),'recurring1_based on steps'!AY$1:AY$400,0)),AY$2,)</f>
        <v>0</v>
      </c>
    </row>
    <row r="91" spans="1:51" x14ac:dyDescent="0.2">
      <c r="A91" s="18" t="str">
        <f t="shared" ca="1" si="1"/>
        <v>2025-04-30</v>
      </c>
      <c r="B91" s="155">
        <f ca="1">IF(ISNUMBER(MATCH(DATEVALUE($A91),'recurring1_based on steps'!B$1:B$400,0)),B$2,)</f>
        <v>0</v>
      </c>
      <c r="C91" s="155">
        <f ca="1">IF(ISNUMBER(MATCH(DATEVALUE($A91),'recurring1_based on steps'!C$1:C$400,0)),C$2,)</f>
        <v>0</v>
      </c>
      <c r="D91" s="155">
        <f ca="1">IF(ISNUMBER(MATCH(DATEVALUE($A91),'recurring1_based on steps'!D$1:D$400,0)),D$2,)</f>
        <v>0</v>
      </c>
      <c r="E91" s="155">
        <f ca="1">IF(ISNUMBER(MATCH(DATEVALUE($A91),'recurring1_based on steps'!E$1:E$400,0)),E$2,)</f>
        <v>0</v>
      </c>
      <c r="F91" s="155">
        <f ca="1">IF(ISNUMBER(MATCH(DATEVALUE($A91),'recurring1_based on steps'!F$1:F$400,0)),F$2,)</f>
        <v>0</v>
      </c>
      <c r="G91" s="155">
        <f ca="1">IF(ISNUMBER(MATCH(DATEVALUE($A91),'recurring1_based on steps'!G$1:G$400,0)),G$2,)</f>
        <v>0</v>
      </c>
      <c r="H91" s="155">
        <f ca="1">IF(ISNUMBER(MATCH(DATEVALUE($A91),'recurring1_based on steps'!H$1:H$400,0)),H$2,)</f>
        <v>0</v>
      </c>
      <c r="I91" s="155">
        <f ca="1">IF(ISNUMBER(MATCH(DATEVALUE($A91),'recurring1_based on steps'!I$1:I$400,0)),I$2,)</f>
        <v>0</v>
      </c>
      <c r="J91" s="155">
        <f ca="1">IF(ISNUMBER(MATCH(DATEVALUE($A91),'recurring1_based on steps'!J$1:J$400,0)),J$2,)</f>
        <v>0</v>
      </c>
      <c r="K91" s="155">
        <f ca="1">IF(ISNUMBER(MATCH(DATEVALUE($A91),'recurring1_based on steps'!K$1:K$400,0)),K$2,)</f>
        <v>0</v>
      </c>
      <c r="L91" s="155">
        <f ca="1">IF(ISNUMBER(MATCH(DATEVALUE($A91),'recurring1_based on steps'!L$1:L$400,0)),L$2,)</f>
        <v>0</v>
      </c>
      <c r="M91" s="155">
        <f ca="1">IF(ISNUMBER(MATCH(DATEVALUE($A91),'recurring1_based on steps'!M$1:M$400,0)),M$2,)</f>
        <v>0</v>
      </c>
      <c r="N91" s="155">
        <f ca="1">IF(ISNUMBER(MATCH(DATEVALUE($A91),'recurring1_based on steps'!N$1:N$400,0)),N$2,)</f>
        <v>0</v>
      </c>
      <c r="O91" s="155">
        <f ca="1">IF(ISNUMBER(MATCH(DATEVALUE($A91),'recurring1_based on steps'!O$1:O$400,0)),O$2,)</f>
        <v>0</v>
      </c>
      <c r="P91" s="155">
        <f ca="1">IF(ISNUMBER(MATCH(DATEVALUE($A91),'recurring1_based on steps'!P$1:P$400,0)),P$2,)</f>
        <v>0</v>
      </c>
      <c r="Q91" s="155">
        <f ca="1">IF(ISNUMBER(MATCH(DATEVALUE($A91),'recurring1_based on steps'!Q$1:Q$400,0)),Q$2,)</f>
        <v>0</v>
      </c>
      <c r="R91" s="155">
        <f ca="1">IF(ISNUMBER(MATCH(DATEVALUE($A91),'recurring1_based on steps'!R$1:R$400,0)),R$2,)</f>
        <v>0</v>
      </c>
      <c r="S91" s="155">
        <f ca="1">IF(ISNUMBER(MATCH(DATEVALUE($A91),'recurring1_based on steps'!S$1:S$400,0)),S$2,)</f>
        <v>0</v>
      </c>
      <c r="T91" s="155">
        <f ca="1">IF(ISNUMBER(MATCH(DATEVALUE($A91),'recurring1_based on steps'!T$1:T$400,0)),T$2,)</f>
        <v>0</v>
      </c>
      <c r="U91" s="155">
        <f ca="1">IF(ISNUMBER(MATCH(DATEVALUE($A91),'recurring1_based on steps'!U$1:U$400,0)),U$2,)</f>
        <v>0</v>
      </c>
      <c r="V91" s="155">
        <f ca="1">IF(ISNUMBER(MATCH(DATEVALUE($A91),'recurring1_based on steps'!V$1:V$400,0)),V$2,)</f>
        <v>0</v>
      </c>
      <c r="W91" s="155">
        <f ca="1">IF(ISNUMBER(MATCH(DATEVALUE($A91),'recurring1_based on steps'!W$1:W$400,0)),W$2,)</f>
        <v>0</v>
      </c>
      <c r="X91" s="155">
        <f ca="1">IF(ISNUMBER(MATCH(DATEVALUE($A91),'recurring1_based on steps'!X$1:X$400,0)),X$2,)</f>
        <v>0</v>
      </c>
      <c r="Y91" s="155">
        <f ca="1">IF(ISNUMBER(MATCH(DATEVALUE($A91),'recurring1_based on steps'!Y$1:Y$400,0)),Y$2,)</f>
        <v>0</v>
      </c>
      <c r="Z91" s="155">
        <f ca="1">IF(ISNUMBER(MATCH(DATEVALUE($A91),'recurring1_based on steps'!Z$1:Z$400,0)),Z$2,)</f>
        <v>0</v>
      </c>
      <c r="AA91" s="155">
        <f ca="1">IF(ISNUMBER(MATCH(DATEVALUE($A91),'recurring1_based on steps'!AA$1:AA$400,0)),AA$2,)</f>
        <v>0</v>
      </c>
      <c r="AB91" s="155">
        <f ca="1">IF(ISNUMBER(MATCH(DATEVALUE($A91),'recurring1_based on steps'!AB$1:AB$400,0)),AB$2,)</f>
        <v>0</v>
      </c>
      <c r="AC91" s="155">
        <f ca="1">IF(ISNUMBER(MATCH(DATEVALUE($A91),'recurring1_based on steps'!AC$1:AC$400,0)),AC$2,)</f>
        <v>0</v>
      </c>
      <c r="AD91" s="155">
        <f ca="1">IF(ISNUMBER(MATCH(DATEVALUE($A91),'recurring1_based on steps'!AD$1:AD$400,0)),AD$2,)</f>
        <v>0</v>
      </c>
      <c r="AE91" s="155">
        <f ca="1">IF(ISNUMBER(MATCH(DATEVALUE($A91),'recurring1_based on steps'!AE$1:AE$400,0)),AE$2,)</f>
        <v>0</v>
      </c>
      <c r="AF91" s="155">
        <f ca="1">IF(ISNUMBER(MATCH(DATEVALUE($A91),'recurring1_based on steps'!AF$1:AF$400,0)),AF$2,)</f>
        <v>0</v>
      </c>
      <c r="AG91" s="155">
        <f ca="1">IF(ISNUMBER(MATCH(DATEVALUE($A91),'recurring1_based on steps'!AG$1:AG$400,0)),AG$2,)</f>
        <v>0</v>
      </c>
      <c r="AH91" s="155">
        <f ca="1">IF(ISNUMBER(MATCH(DATEVALUE($A91),'recurring1_based on steps'!AH$1:AH$400,0)),AH$2,)</f>
        <v>0</v>
      </c>
      <c r="AI91" s="155">
        <f ca="1">IF(ISNUMBER(MATCH(DATEVALUE($A91),'recurring1_based on steps'!AI$1:AI$400,0)),AI$2,)</f>
        <v>0</v>
      </c>
      <c r="AJ91" s="155">
        <f ca="1">IF(ISNUMBER(MATCH(DATEVALUE($A91),'recurring1_based on steps'!AJ$1:AJ$400,0)),AJ$2,)</f>
        <v>0</v>
      </c>
      <c r="AK91" s="155">
        <f ca="1">IF(ISNUMBER(MATCH(DATEVALUE($A91),'recurring1_based on steps'!AK$1:AK$400,0)),AK$2,)</f>
        <v>0</v>
      </c>
      <c r="AL91" s="155">
        <f ca="1">IF(ISNUMBER(MATCH(DATEVALUE($A91),'recurring1_based on steps'!AL$1:AL$400,0)),AL$2,)</f>
        <v>0</v>
      </c>
      <c r="AM91" s="155">
        <f ca="1">IF(ISNUMBER(MATCH(DATEVALUE($A91),'recurring1_based on steps'!AM$1:AM$400,0)),AM$2,)</f>
        <v>0</v>
      </c>
      <c r="AN91" s="155">
        <f ca="1">IF(ISNUMBER(MATCH(DATEVALUE($A91),'recurring1_based on steps'!AN$1:AN$400,0)),AN$2,)</f>
        <v>0</v>
      </c>
      <c r="AO91" s="155">
        <f ca="1">IF(ISNUMBER(MATCH(DATEVALUE($A91),'recurring1_based on steps'!AO$1:AO$400,0)),AO$2,)</f>
        <v>0</v>
      </c>
      <c r="AP91" s="155">
        <f ca="1">IF(ISNUMBER(MATCH(DATEVALUE($A91),'recurring1_based on steps'!AP$1:AP$400,0)),AP$2,)</f>
        <v>0</v>
      </c>
      <c r="AQ91" s="155">
        <f ca="1">IF(ISNUMBER(MATCH(DATEVALUE($A91),'recurring1_based on steps'!AQ$1:AQ$400,0)),AQ$2,)</f>
        <v>0</v>
      </c>
      <c r="AR91" s="155">
        <f ca="1">IF(ISNUMBER(MATCH(DATEVALUE($A91),'recurring1_based on steps'!AR$1:AR$400,0)),AR$2,)</f>
        <v>0</v>
      </c>
      <c r="AS91" s="155">
        <f ca="1">IF(ISNUMBER(MATCH(DATEVALUE($A91),'recurring1_based on steps'!AS$1:AS$400,0)),AS$2,)</f>
        <v>0</v>
      </c>
      <c r="AT91" s="155">
        <f ca="1">IF(ISNUMBER(MATCH(DATEVALUE($A91),'recurring1_based on steps'!AT$1:AT$400,0)),AT$2,)</f>
        <v>0</v>
      </c>
      <c r="AU91" s="155">
        <f ca="1">IF(ISNUMBER(MATCH(DATEVALUE($A91),'recurring1_based on steps'!AU$1:AU$400,0)),AU$2,)</f>
        <v>0</v>
      </c>
      <c r="AV91" s="155">
        <f ca="1">IF(ISNUMBER(MATCH(DATEVALUE($A91),'recurring1_based on steps'!AV$1:AV$400,0)),AV$2,)</f>
        <v>0</v>
      </c>
      <c r="AW91" s="155">
        <f ca="1">IF(ISNUMBER(MATCH(DATEVALUE($A91),'recurring1_based on steps'!AW$1:AW$400,0)),AW$2,)</f>
        <v>0</v>
      </c>
      <c r="AX91" s="155">
        <f ca="1">IF(ISNUMBER(MATCH(DATEVALUE($A91),'recurring1_based on steps'!AX$1:AX$400,0)),AX$2,)</f>
        <v>0</v>
      </c>
      <c r="AY91" s="155">
        <f ca="1">IF(ISNUMBER(MATCH(DATEVALUE($A91),'recurring1_based on steps'!AY$1:AY$400,0)),AY$2,)</f>
        <v>0</v>
      </c>
    </row>
    <row r="92" spans="1:51" x14ac:dyDescent="0.2">
      <c r="A92" s="18" t="str">
        <f t="shared" ca="1" si="1"/>
        <v>2025-05-01</v>
      </c>
      <c r="B92" s="155">
        <f ca="1">IF(ISNUMBER(MATCH(DATEVALUE($A92),'recurring1_based on steps'!B$1:B$400,0)),B$2,)</f>
        <v>0</v>
      </c>
      <c r="C92" s="155">
        <f ca="1">IF(ISNUMBER(MATCH(DATEVALUE($A92),'recurring1_based on steps'!C$1:C$400,0)),C$2,)</f>
        <v>0</v>
      </c>
      <c r="D92" s="155">
        <f ca="1">IF(ISNUMBER(MATCH(DATEVALUE($A92),'recurring1_based on steps'!D$1:D$400,0)),D$2,)</f>
        <v>0</v>
      </c>
      <c r="E92" s="155">
        <f ca="1">IF(ISNUMBER(MATCH(DATEVALUE($A92),'recurring1_based on steps'!E$1:E$400,0)),E$2,)</f>
        <v>0</v>
      </c>
      <c r="F92" s="155">
        <f ca="1">IF(ISNUMBER(MATCH(DATEVALUE($A92),'recurring1_based on steps'!F$1:F$400,0)),F$2,)</f>
        <v>0</v>
      </c>
      <c r="G92" s="155">
        <f ca="1">IF(ISNUMBER(MATCH(DATEVALUE($A92),'recurring1_based on steps'!G$1:G$400,0)),G$2,)</f>
        <v>0</v>
      </c>
      <c r="H92" s="155">
        <f ca="1">IF(ISNUMBER(MATCH(DATEVALUE($A92),'recurring1_based on steps'!H$1:H$400,0)),H$2,)</f>
        <v>0</v>
      </c>
      <c r="I92" s="155">
        <f ca="1">IF(ISNUMBER(MATCH(DATEVALUE($A92),'recurring1_based on steps'!I$1:I$400,0)),I$2,)</f>
        <v>2000</v>
      </c>
      <c r="J92" s="155">
        <f ca="1">IF(ISNUMBER(MATCH(DATEVALUE($A92),'recurring1_based on steps'!J$1:J$400,0)),J$2,)</f>
        <v>0</v>
      </c>
      <c r="K92" s="155">
        <f ca="1">IF(ISNUMBER(MATCH(DATEVALUE($A92),'recurring1_based on steps'!K$1:K$400,0)),K$2,)</f>
        <v>0</v>
      </c>
      <c r="L92" s="155">
        <f ca="1">IF(ISNUMBER(MATCH(DATEVALUE($A92),'recurring1_based on steps'!L$1:L$400,0)),L$2,)</f>
        <v>0</v>
      </c>
      <c r="M92" s="155">
        <f ca="1">IF(ISNUMBER(MATCH(DATEVALUE($A92),'recurring1_based on steps'!M$1:M$400,0)),M$2,)</f>
        <v>0</v>
      </c>
      <c r="N92" s="155">
        <f ca="1">IF(ISNUMBER(MATCH(DATEVALUE($A92),'recurring1_based on steps'!N$1:N$400,0)),N$2,)</f>
        <v>0</v>
      </c>
      <c r="O92" s="155">
        <f ca="1">IF(ISNUMBER(MATCH(DATEVALUE($A92),'recurring1_based on steps'!O$1:O$400,0)),O$2,)</f>
        <v>0</v>
      </c>
      <c r="P92" s="155">
        <f ca="1">IF(ISNUMBER(MATCH(DATEVALUE($A92),'recurring1_based on steps'!P$1:P$400,0)),P$2,)</f>
        <v>0</v>
      </c>
      <c r="Q92" s="155">
        <f ca="1">IF(ISNUMBER(MATCH(DATEVALUE($A92),'recurring1_based on steps'!Q$1:Q$400,0)),Q$2,)</f>
        <v>0</v>
      </c>
      <c r="R92" s="155">
        <f ca="1">IF(ISNUMBER(MATCH(DATEVALUE($A92),'recurring1_based on steps'!R$1:R$400,0)),R$2,)</f>
        <v>0</v>
      </c>
      <c r="S92" s="155">
        <f ca="1">IF(ISNUMBER(MATCH(DATEVALUE($A92),'recurring1_based on steps'!S$1:S$400,0)),S$2,)</f>
        <v>0</v>
      </c>
      <c r="T92" s="155">
        <f ca="1">IF(ISNUMBER(MATCH(DATEVALUE($A92),'recurring1_based on steps'!T$1:T$400,0)),T$2,)</f>
        <v>0</v>
      </c>
      <c r="U92" s="155">
        <f ca="1">IF(ISNUMBER(MATCH(DATEVALUE($A92),'recurring1_based on steps'!U$1:U$400,0)),U$2,)</f>
        <v>0</v>
      </c>
      <c r="V92" s="155">
        <f ca="1">IF(ISNUMBER(MATCH(DATEVALUE($A92),'recurring1_based on steps'!V$1:V$400,0)),V$2,)</f>
        <v>0</v>
      </c>
      <c r="W92" s="155">
        <f ca="1">IF(ISNUMBER(MATCH(DATEVALUE($A92),'recurring1_based on steps'!W$1:W$400,0)),W$2,)</f>
        <v>0</v>
      </c>
      <c r="X92" s="155">
        <f ca="1">IF(ISNUMBER(MATCH(DATEVALUE($A92),'recurring1_based on steps'!X$1:X$400,0)),X$2,)</f>
        <v>0</v>
      </c>
      <c r="Y92" s="155">
        <f ca="1">IF(ISNUMBER(MATCH(DATEVALUE($A92),'recurring1_based on steps'!Y$1:Y$400,0)),Y$2,)</f>
        <v>0</v>
      </c>
      <c r="Z92" s="155">
        <f ca="1">IF(ISNUMBER(MATCH(DATEVALUE($A92),'recurring1_based on steps'!Z$1:Z$400,0)),Z$2,)</f>
        <v>0</v>
      </c>
      <c r="AA92" s="155">
        <f ca="1">IF(ISNUMBER(MATCH(DATEVALUE($A92),'recurring1_based on steps'!AA$1:AA$400,0)),AA$2,)</f>
        <v>0</v>
      </c>
      <c r="AB92" s="155">
        <f ca="1">IF(ISNUMBER(MATCH(DATEVALUE($A92),'recurring1_based on steps'!AB$1:AB$400,0)),AB$2,)</f>
        <v>0</v>
      </c>
      <c r="AC92" s="155">
        <f ca="1">IF(ISNUMBER(MATCH(DATEVALUE($A92),'recurring1_based on steps'!AC$1:AC$400,0)),AC$2,)</f>
        <v>0</v>
      </c>
      <c r="AD92" s="155">
        <f ca="1">IF(ISNUMBER(MATCH(DATEVALUE($A92),'recurring1_based on steps'!AD$1:AD$400,0)),AD$2,)</f>
        <v>0</v>
      </c>
      <c r="AE92" s="155">
        <f ca="1">IF(ISNUMBER(MATCH(DATEVALUE($A92),'recurring1_based on steps'!AE$1:AE$400,0)),AE$2,)</f>
        <v>0</v>
      </c>
      <c r="AF92" s="155">
        <f ca="1">IF(ISNUMBER(MATCH(DATEVALUE($A92),'recurring1_based on steps'!AF$1:AF$400,0)),AF$2,)</f>
        <v>0</v>
      </c>
      <c r="AG92" s="155">
        <f ca="1">IF(ISNUMBER(MATCH(DATEVALUE($A92),'recurring1_based on steps'!AG$1:AG$400,0)),AG$2,)</f>
        <v>0</v>
      </c>
      <c r="AH92" s="155">
        <f ca="1">IF(ISNUMBER(MATCH(DATEVALUE($A92),'recurring1_based on steps'!AH$1:AH$400,0)),AH$2,)</f>
        <v>0</v>
      </c>
      <c r="AI92" s="155">
        <f ca="1">IF(ISNUMBER(MATCH(DATEVALUE($A92),'recurring1_based on steps'!AI$1:AI$400,0)),AI$2,)</f>
        <v>0</v>
      </c>
      <c r="AJ92" s="155">
        <f ca="1">IF(ISNUMBER(MATCH(DATEVALUE($A92),'recurring1_based on steps'!AJ$1:AJ$400,0)),AJ$2,)</f>
        <v>0</v>
      </c>
      <c r="AK92" s="155">
        <f ca="1">IF(ISNUMBER(MATCH(DATEVALUE($A92),'recurring1_based on steps'!AK$1:AK$400,0)),AK$2,)</f>
        <v>0</v>
      </c>
      <c r="AL92" s="155">
        <f ca="1">IF(ISNUMBER(MATCH(DATEVALUE($A92),'recurring1_based on steps'!AL$1:AL$400,0)),AL$2,)</f>
        <v>0</v>
      </c>
      <c r="AM92" s="155">
        <f ca="1">IF(ISNUMBER(MATCH(DATEVALUE($A92),'recurring1_based on steps'!AM$1:AM$400,0)),AM$2,)</f>
        <v>0</v>
      </c>
      <c r="AN92" s="155">
        <f ca="1">IF(ISNUMBER(MATCH(DATEVALUE($A92),'recurring1_based on steps'!AN$1:AN$400,0)),AN$2,)</f>
        <v>0</v>
      </c>
      <c r="AO92" s="155">
        <f ca="1">IF(ISNUMBER(MATCH(DATEVALUE($A92),'recurring1_based on steps'!AO$1:AO$400,0)),AO$2,)</f>
        <v>0</v>
      </c>
      <c r="AP92" s="155">
        <f ca="1">IF(ISNUMBER(MATCH(DATEVALUE($A92),'recurring1_based on steps'!AP$1:AP$400,0)),AP$2,)</f>
        <v>0</v>
      </c>
      <c r="AQ92" s="155">
        <f ca="1">IF(ISNUMBER(MATCH(DATEVALUE($A92),'recurring1_based on steps'!AQ$1:AQ$400,0)),AQ$2,)</f>
        <v>0</v>
      </c>
      <c r="AR92" s="155">
        <f ca="1">IF(ISNUMBER(MATCH(DATEVALUE($A92),'recurring1_based on steps'!AR$1:AR$400,0)),AR$2,)</f>
        <v>0</v>
      </c>
      <c r="AS92" s="155">
        <f ca="1">IF(ISNUMBER(MATCH(DATEVALUE($A92),'recurring1_based on steps'!AS$1:AS$400,0)),AS$2,)</f>
        <v>0</v>
      </c>
      <c r="AT92" s="155">
        <f ca="1">IF(ISNUMBER(MATCH(DATEVALUE($A92),'recurring1_based on steps'!AT$1:AT$400,0)),AT$2,)</f>
        <v>0</v>
      </c>
      <c r="AU92" s="155">
        <f ca="1">IF(ISNUMBER(MATCH(DATEVALUE($A92),'recurring1_based on steps'!AU$1:AU$400,0)),AU$2,)</f>
        <v>0</v>
      </c>
      <c r="AV92" s="155">
        <f ca="1">IF(ISNUMBER(MATCH(DATEVALUE($A92),'recurring1_based on steps'!AV$1:AV$400,0)),AV$2,)</f>
        <v>0</v>
      </c>
      <c r="AW92" s="155">
        <f ca="1">IF(ISNUMBER(MATCH(DATEVALUE($A92),'recurring1_based on steps'!AW$1:AW$400,0)),AW$2,)</f>
        <v>0</v>
      </c>
      <c r="AX92" s="155">
        <f ca="1">IF(ISNUMBER(MATCH(DATEVALUE($A92),'recurring1_based on steps'!AX$1:AX$400,0)),AX$2,)</f>
        <v>0</v>
      </c>
      <c r="AY92" s="155">
        <f ca="1">IF(ISNUMBER(MATCH(DATEVALUE($A92),'recurring1_based on steps'!AY$1:AY$400,0)),AY$2,)</f>
        <v>0</v>
      </c>
    </row>
    <row r="93" spans="1:51" x14ac:dyDescent="0.2">
      <c r="A93" s="18" t="str">
        <f t="shared" ca="1" si="1"/>
        <v>2025-05-02</v>
      </c>
      <c r="B93" s="155">
        <f ca="1">IF(ISNUMBER(MATCH(DATEVALUE($A93),'recurring1_based on steps'!B$1:B$400,0)),B$2,)</f>
        <v>4000</v>
      </c>
      <c r="C93" s="155">
        <f ca="1">IF(ISNUMBER(MATCH(DATEVALUE($A93),'recurring1_based on steps'!C$1:C$400,0)),C$2,)</f>
        <v>200</v>
      </c>
      <c r="D93" s="155">
        <f ca="1">IF(ISNUMBER(MATCH(DATEVALUE($A93),'recurring1_based on steps'!D$1:D$400,0)),D$2,)</f>
        <v>2</v>
      </c>
      <c r="E93" s="155">
        <f ca="1">IF(ISNUMBER(MATCH(DATEVALUE($A93),'recurring1_based on steps'!E$1:E$400,0)),E$2,)</f>
        <v>40</v>
      </c>
      <c r="F93" s="155">
        <f ca="1">IF(ISNUMBER(MATCH(DATEVALUE($A93),'recurring1_based on steps'!F$1:F$400,0)),F$2,)</f>
        <v>50</v>
      </c>
      <c r="G93" s="155">
        <f ca="1">IF(ISNUMBER(MATCH(DATEVALUE($A93),'recurring1_based on steps'!G$1:G$400,0)),G$2,)</f>
        <v>4</v>
      </c>
      <c r="H93" s="155">
        <f ca="1">IF(ISNUMBER(MATCH(DATEVALUE($A93),'recurring1_based on steps'!H$1:H$400,0)),H$2,)</f>
        <v>0</v>
      </c>
      <c r="I93" s="155">
        <f ca="1">IF(ISNUMBER(MATCH(DATEVALUE($A93),'recurring1_based on steps'!I$1:I$400,0)),I$2,)</f>
        <v>0</v>
      </c>
      <c r="J93" s="155">
        <f ca="1">IF(ISNUMBER(MATCH(DATEVALUE($A93),'recurring1_based on steps'!J$1:J$400,0)),J$2,)</f>
        <v>0</v>
      </c>
      <c r="K93" s="155">
        <f ca="1">IF(ISNUMBER(MATCH(DATEVALUE($A93),'recurring1_based on steps'!K$1:K$400,0)),K$2,)</f>
        <v>0</v>
      </c>
      <c r="L93" s="155">
        <f ca="1">IF(ISNUMBER(MATCH(DATEVALUE($A93),'recurring1_based on steps'!L$1:L$400,0)),L$2,)</f>
        <v>0</v>
      </c>
      <c r="M93" s="155">
        <f ca="1">IF(ISNUMBER(MATCH(DATEVALUE($A93),'recurring1_based on steps'!M$1:M$400,0)),M$2,)</f>
        <v>0</v>
      </c>
      <c r="N93" s="155">
        <f ca="1">IF(ISNUMBER(MATCH(DATEVALUE($A93),'recurring1_based on steps'!N$1:N$400,0)),N$2,)</f>
        <v>0</v>
      </c>
      <c r="O93" s="155">
        <f ca="1">IF(ISNUMBER(MATCH(DATEVALUE($A93),'recurring1_based on steps'!O$1:O$400,0)),O$2,)</f>
        <v>0</v>
      </c>
      <c r="P93" s="155">
        <f ca="1">IF(ISNUMBER(MATCH(DATEVALUE($A93),'recurring1_based on steps'!P$1:P$400,0)),P$2,)</f>
        <v>0</v>
      </c>
      <c r="Q93" s="155">
        <f ca="1">IF(ISNUMBER(MATCH(DATEVALUE($A93),'recurring1_based on steps'!Q$1:Q$400,0)),Q$2,)</f>
        <v>0</v>
      </c>
      <c r="R93" s="155">
        <f ca="1">IF(ISNUMBER(MATCH(DATEVALUE($A93),'recurring1_based on steps'!R$1:R$400,0)),R$2,)</f>
        <v>0</v>
      </c>
      <c r="S93" s="155">
        <f ca="1">IF(ISNUMBER(MATCH(DATEVALUE($A93),'recurring1_based on steps'!S$1:S$400,0)),S$2,)</f>
        <v>0</v>
      </c>
      <c r="T93" s="155">
        <f ca="1">IF(ISNUMBER(MATCH(DATEVALUE($A93),'recurring1_based on steps'!T$1:T$400,0)),T$2,)</f>
        <v>0</v>
      </c>
      <c r="U93" s="155">
        <f ca="1">IF(ISNUMBER(MATCH(DATEVALUE($A93),'recurring1_based on steps'!U$1:U$400,0)),U$2,)</f>
        <v>0</v>
      </c>
      <c r="V93" s="155">
        <f ca="1">IF(ISNUMBER(MATCH(DATEVALUE($A93),'recurring1_based on steps'!V$1:V$400,0)),V$2,)</f>
        <v>0</v>
      </c>
      <c r="W93" s="155">
        <f ca="1">IF(ISNUMBER(MATCH(DATEVALUE($A93),'recurring1_based on steps'!W$1:W$400,0)),W$2,)</f>
        <v>0</v>
      </c>
      <c r="X93" s="155">
        <f ca="1">IF(ISNUMBER(MATCH(DATEVALUE($A93),'recurring1_based on steps'!X$1:X$400,0)),X$2,)</f>
        <v>50</v>
      </c>
      <c r="Y93" s="155">
        <f ca="1">IF(ISNUMBER(MATCH(DATEVALUE($A93),'recurring1_based on steps'!Y$1:Y$400,0)),Y$2,)</f>
        <v>0</v>
      </c>
      <c r="Z93" s="155">
        <f ca="1">IF(ISNUMBER(MATCH(DATEVALUE($A93),'recurring1_based on steps'!Z$1:Z$400,0)),Z$2,)</f>
        <v>0</v>
      </c>
      <c r="AA93" s="155">
        <f ca="1">IF(ISNUMBER(MATCH(DATEVALUE($A93),'recurring1_based on steps'!AA$1:AA$400,0)),AA$2,)</f>
        <v>0</v>
      </c>
      <c r="AB93" s="155">
        <f ca="1">IF(ISNUMBER(MATCH(DATEVALUE($A93),'recurring1_based on steps'!AB$1:AB$400,0)),AB$2,)</f>
        <v>0</v>
      </c>
      <c r="AC93" s="155">
        <f ca="1">IF(ISNUMBER(MATCH(DATEVALUE($A93),'recurring1_based on steps'!AC$1:AC$400,0)),AC$2,)</f>
        <v>0</v>
      </c>
      <c r="AD93" s="155">
        <f ca="1">IF(ISNUMBER(MATCH(DATEVALUE($A93),'recurring1_based on steps'!AD$1:AD$400,0)),AD$2,)</f>
        <v>0</v>
      </c>
      <c r="AE93" s="155">
        <f ca="1">IF(ISNUMBER(MATCH(DATEVALUE($A93),'recurring1_based on steps'!AE$1:AE$400,0)),AE$2,)</f>
        <v>0</v>
      </c>
      <c r="AF93" s="155">
        <f ca="1">IF(ISNUMBER(MATCH(DATEVALUE($A93),'recurring1_based on steps'!AF$1:AF$400,0)),AF$2,)</f>
        <v>0</v>
      </c>
      <c r="AG93" s="155">
        <f ca="1">IF(ISNUMBER(MATCH(DATEVALUE($A93),'recurring1_based on steps'!AG$1:AG$400,0)),AG$2,)</f>
        <v>0</v>
      </c>
      <c r="AH93" s="155">
        <f ca="1">IF(ISNUMBER(MATCH(DATEVALUE($A93),'recurring1_based on steps'!AH$1:AH$400,0)),AH$2,)</f>
        <v>0</v>
      </c>
      <c r="AI93" s="155">
        <f ca="1">IF(ISNUMBER(MATCH(DATEVALUE($A93),'recurring1_based on steps'!AI$1:AI$400,0)),AI$2,)</f>
        <v>0</v>
      </c>
      <c r="AJ93" s="155">
        <f ca="1">IF(ISNUMBER(MATCH(DATEVALUE($A93),'recurring1_based on steps'!AJ$1:AJ$400,0)),AJ$2,)</f>
        <v>0</v>
      </c>
      <c r="AK93" s="155">
        <f ca="1">IF(ISNUMBER(MATCH(DATEVALUE($A93),'recurring1_based on steps'!AK$1:AK$400,0)),AK$2,)</f>
        <v>0</v>
      </c>
      <c r="AL93" s="155">
        <f ca="1">IF(ISNUMBER(MATCH(DATEVALUE($A93),'recurring1_based on steps'!AL$1:AL$400,0)),AL$2,)</f>
        <v>0</v>
      </c>
      <c r="AM93" s="155">
        <f ca="1">IF(ISNUMBER(MATCH(DATEVALUE($A93),'recurring1_based on steps'!AM$1:AM$400,0)),AM$2,)</f>
        <v>0</v>
      </c>
      <c r="AN93" s="155">
        <f ca="1">IF(ISNUMBER(MATCH(DATEVALUE($A93),'recurring1_based on steps'!AN$1:AN$400,0)),AN$2,)</f>
        <v>0</v>
      </c>
      <c r="AO93" s="155">
        <f ca="1">IF(ISNUMBER(MATCH(DATEVALUE($A93),'recurring1_based on steps'!AO$1:AO$400,0)),AO$2,)</f>
        <v>0</v>
      </c>
      <c r="AP93" s="155">
        <f ca="1">IF(ISNUMBER(MATCH(DATEVALUE($A93),'recurring1_based on steps'!AP$1:AP$400,0)),AP$2,)</f>
        <v>0</v>
      </c>
      <c r="AQ93" s="155">
        <f ca="1">IF(ISNUMBER(MATCH(DATEVALUE($A93),'recurring1_based on steps'!AQ$1:AQ$400,0)),AQ$2,)</f>
        <v>0</v>
      </c>
      <c r="AR93" s="155">
        <f ca="1">IF(ISNUMBER(MATCH(DATEVALUE($A93),'recurring1_based on steps'!AR$1:AR$400,0)),AR$2,)</f>
        <v>0</v>
      </c>
      <c r="AS93" s="155">
        <f ca="1">IF(ISNUMBER(MATCH(DATEVALUE($A93),'recurring1_based on steps'!AS$1:AS$400,0)),AS$2,)</f>
        <v>0</v>
      </c>
      <c r="AT93" s="155">
        <f ca="1">IF(ISNUMBER(MATCH(DATEVALUE($A93),'recurring1_based on steps'!AT$1:AT$400,0)),AT$2,)</f>
        <v>0</v>
      </c>
      <c r="AU93" s="155">
        <f ca="1">IF(ISNUMBER(MATCH(DATEVALUE($A93),'recurring1_based on steps'!AU$1:AU$400,0)),AU$2,)</f>
        <v>0</v>
      </c>
      <c r="AV93" s="155">
        <f ca="1">IF(ISNUMBER(MATCH(DATEVALUE($A93),'recurring1_based on steps'!AV$1:AV$400,0)),AV$2,)</f>
        <v>0</v>
      </c>
      <c r="AW93" s="155">
        <f ca="1">IF(ISNUMBER(MATCH(DATEVALUE($A93),'recurring1_based on steps'!AW$1:AW$400,0)),AW$2,)</f>
        <v>0</v>
      </c>
      <c r="AX93" s="155">
        <f ca="1">IF(ISNUMBER(MATCH(DATEVALUE($A93),'recurring1_based on steps'!AX$1:AX$400,0)),AX$2,)</f>
        <v>0</v>
      </c>
      <c r="AY93" s="155">
        <f ca="1">IF(ISNUMBER(MATCH(DATEVALUE($A93),'recurring1_based on steps'!AY$1:AY$400,0)),AY$2,)</f>
        <v>0</v>
      </c>
    </row>
    <row r="94" spans="1:51" x14ac:dyDescent="0.2">
      <c r="A94" s="18" t="str">
        <f t="shared" ca="1" si="1"/>
        <v>2025-05-03</v>
      </c>
      <c r="B94" s="155">
        <f ca="1">IF(ISNUMBER(MATCH(DATEVALUE($A94),'recurring1_based on steps'!B$1:B$400,0)),B$2,)</f>
        <v>0</v>
      </c>
      <c r="C94" s="155">
        <f ca="1">IF(ISNUMBER(MATCH(DATEVALUE($A94),'recurring1_based on steps'!C$1:C$400,0)),C$2,)</f>
        <v>0</v>
      </c>
      <c r="D94" s="155">
        <f ca="1">IF(ISNUMBER(MATCH(DATEVALUE($A94),'recurring1_based on steps'!D$1:D$400,0)),D$2,)</f>
        <v>0</v>
      </c>
      <c r="E94" s="155">
        <f ca="1">IF(ISNUMBER(MATCH(DATEVALUE($A94),'recurring1_based on steps'!E$1:E$400,0)),E$2,)</f>
        <v>0</v>
      </c>
      <c r="F94" s="155">
        <f ca="1">IF(ISNUMBER(MATCH(DATEVALUE($A94),'recurring1_based on steps'!F$1:F$400,0)),F$2,)</f>
        <v>0</v>
      </c>
      <c r="G94" s="155">
        <f ca="1">IF(ISNUMBER(MATCH(DATEVALUE($A94),'recurring1_based on steps'!G$1:G$400,0)),G$2,)</f>
        <v>0</v>
      </c>
      <c r="H94" s="155">
        <f ca="1">IF(ISNUMBER(MATCH(DATEVALUE($A94),'recurring1_based on steps'!H$1:H$400,0)),H$2,)</f>
        <v>0</v>
      </c>
      <c r="I94" s="155">
        <f ca="1">IF(ISNUMBER(MATCH(DATEVALUE($A94),'recurring1_based on steps'!I$1:I$400,0)),I$2,)</f>
        <v>0</v>
      </c>
      <c r="J94" s="155">
        <f ca="1">IF(ISNUMBER(MATCH(DATEVALUE($A94),'recurring1_based on steps'!J$1:J$400,0)),J$2,)</f>
        <v>0</v>
      </c>
      <c r="K94" s="155">
        <f ca="1">IF(ISNUMBER(MATCH(DATEVALUE($A94),'recurring1_based on steps'!K$1:K$400,0)),K$2,)</f>
        <v>0</v>
      </c>
      <c r="L94" s="155">
        <f ca="1">IF(ISNUMBER(MATCH(DATEVALUE($A94),'recurring1_based on steps'!L$1:L$400,0)),L$2,)</f>
        <v>0</v>
      </c>
      <c r="M94" s="155">
        <f ca="1">IF(ISNUMBER(MATCH(DATEVALUE($A94),'recurring1_based on steps'!M$1:M$400,0)),M$2,)</f>
        <v>0</v>
      </c>
      <c r="N94" s="155">
        <f ca="1">IF(ISNUMBER(MATCH(DATEVALUE($A94),'recurring1_based on steps'!N$1:N$400,0)),N$2,)</f>
        <v>0</v>
      </c>
      <c r="O94" s="155">
        <f ca="1">IF(ISNUMBER(MATCH(DATEVALUE($A94),'recurring1_based on steps'!O$1:O$400,0)),O$2,)</f>
        <v>0</v>
      </c>
      <c r="P94" s="155">
        <f ca="1">IF(ISNUMBER(MATCH(DATEVALUE($A94),'recurring1_based on steps'!P$1:P$400,0)),P$2,)</f>
        <v>0</v>
      </c>
      <c r="Q94" s="155">
        <f ca="1">IF(ISNUMBER(MATCH(DATEVALUE($A94),'recurring1_based on steps'!Q$1:Q$400,0)),Q$2,)</f>
        <v>100</v>
      </c>
      <c r="R94" s="155">
        <f ca="1">IF(ISNUMBER(MATCH(DATEVALUE($A94),'recurring1_based on steps'!R$1:R$400,0)),R$2,)</f>
        <v>100</v>
      </c>
      <c r="S94" s="155">
        <f ca="1">IF(ISNUMBER(MATCH(DATEVALUE($A94),'recurring1_based on steps'!S$1:S$400,0)),S$2,)</f>
        <v>0</v>
      </c>
      <c r="T94" s="155">
        <f ca="1">IF(ISNUMBER(MATCH(DATEVALUE($A94),'recurring1_based on steps'!T$1:T$400,0)),T$2,)</f>
        <v>0</v>
      </c>
      <c r="U94" s="155">
        <f ca="1">IF(ISNUMBER(MATCH(DATEVALUE($A94),'recurring1_based on steps'!U$1:U$400,0)),U$2,)</f>
        <v>0</v>
      </c>
      <c r="V94" s="155">
        <f ca="1">IF(ISNUMBER(MATCH(DATEVALUE($A94),'recurring1_based on steps'!V$1:V$400,0)),V$2,)</f>
        <v>0</v>
      </c>
      <c r="W94" s="155">
        <f ca="1">IF(ISNUMBER(MATCH(DATEVALUE($A94),'recurring1_based on steps'!W$1:W$400,0)),W$2,)</f>
        <v>0</v>
      </c>
      <c r="X94" s="155">
        <f ca="1">IF(ISNUMBER(MATCH(DATEVALUE($A94),'recurring1_based on steps'!X$1:X$400,0)),X$2,)</f>
        <v>0</v>
      </c>
      <c r="Y94" s="155">
        <f ca="1">IF(ISNUMBER(MATCH(DATEVALUE($A94),'recurring1_based on steps'!Y$1:Y$400,0)),Y$2,)</f>
        <v>0</v>
      </c>
      <c r="Z94" s="155">
        <f ca="1">IF(ISNUMBER(MATCH(DATEVALUE($A94),'recurring1_based on steps'!Z$1:Z$400,0)),Z$2,)</f>
        <v>0</v>
      </c>
      <c r="AA94" s="155">
        <f ca="1">IF(ISNUMBER(MATCH(DATEVALUE($A94),'recurring1_based on steps'!AA$1:AA$400,0)),AA$2,)</f>
        <v>0</v>
      </c>
      <c r="AB94" s="155">
        <f ca="1">IF(ISNUMBER(MATCH(DATEVALUE($A94),'recurring1_based on steps'!AB$1:AB$400,0)),AB$2,)</f>
        <v>0</v>
      </c>
      <c r="AC94" s="155">
        <f ca="1">IF(ISNUMBER(MATCH(DATEVALUE($A94),'recurring1_based on steps'!AC$1:AC$400,0)),AC$2,)</f>
        <v>0</v>
      </c>
      <c r="AD94" s="155">
        <f ca="1">IF(ISNUMBER(MATCH(DATEVALUE($A94),'recurring1_based on steps'!AD$1:AD$400,0)),AD$2,)</f>
        <v>0</v>
      </c>
      <c r="AE94" s="155">
        <f ca="1">IF(ISNUMBER(MATCH(DATEVALUE($A94),'recurring1_based on steps'!AE$1:AE$400,0)),AE$2,)</f>
        <v>0</v>
      </c>
      <c r="AF94" s="155">
        <f ca="1">IF(ISNUMBER(MATCH(DATEVALUE($A94),'recurring1_based on steps'!AF$1:AF$400,0)),AF$2,)</f>
        <v>0</v>
      </c>
      <c r="AG94" s="155">
        <f ca="1">IF(ISNUMBER(MATCH(DATEVALUE($A94),'recurring1_based on steps'!AG$1:AG$400,0)),AG$2,)</f>
        <v>0</v>
      </c>
      <c r="AH94" s="155">
        <f ca="1">IF(ISNUMBER(MATCH(DATEVALUE($A94),'recurring1_based on steps'!AH$1:AH$400,0)),AH$2,)</f>
        <v>0</v>
      </c>
      <c r="AI94" s="155">
        <f ca="1">IF(ISNUMBER(MATCH(DATEVALUE($A94),'recurring1_based on steps'!AI$1:AI$400,0)),AI$2,)</f>
        <v>0</v>
      </c>
      <c r="AJ94" s="155">
        <f ca="1">IF(ISNUMBER(MATCH(DATEVALUE($A94),'recurring1_based on steps'!AJ$1:AJ$400,0)),AJ$2,)</f>
        <v>0</v>
      </c>
      <c r="AK94" s="155">
        <f ca="1">IF(ISNUMBER(MATCH(DATEVALUE($A94),'recurring1_based on steps'!AK$1:AK$400,0)),AK$2,)</f>
        <v>0</v>
      </c>
      <c r="AL94" s="155">
        <f ca="1">IF(ISNUMBER(MATCH(DATEVALUE($A94),'recurring1_based on steps'!AL$1:AL$400,0)),AL$2,)</f>
        <v>0</v>
      </c>
      <c r="AM94" s="155">
        <f ca="1">IF(ISNUMBER(MATCH(DATEVALUE($A94),'recurring1_based on steps'!AM$1:AM$400,0)),AM$2,)</f>
        <v>0</v>
      </c>
      <c r="AN94" s="155">
        <f ca="1">IF(ISNUMBER(MATCH(DATEVALUE($A94),'recurring1_based on steps'!AN$1:AN$400,0)),AN$2,)</f>
        <v>0</v>
      </c>
      <c r="AO94" s="155">
        <f ca="1">IF(ISNUMBER(MATCH(DATEVALUE($A94),'recurring1_based on steps'!AO$1:AO$400,0)),AO$2,)</f>
        <v>0</v>
      </c>
      <c r="AP94" s="155">
        <f ca="1">IF(ISNUMBER(MATCH(DATEVALUE($A94),'recurring1_based on steps'!AP$1:AP$400,0)),AP$2,)</f>
        <v>0</v>
      </c>
      <c r="AQ94" s="155">
        <f ca="1">IF(ISNUMBER(MATCH(DATEVALUE($A94),'recurring1_based on steps'!AQ$1:AQ$400,0)),AQ$2,)</f>
        <v>0</v>
      </c>
      <c r="AR94" s="155">
        <f ca="1">IF(ISNUMBER(MATCH(DATEVALUE($A94),'recurring1_based on steps'!AR$1:AR$400,0)),AR$2,)</f>
        <v>0</v>
      </c>
      <c r="AS94" s="155">
        <f ca="1">IF(ISNUMBER(MATCH(DATEVALUE($A94),'recurring1_based on steps'!AS$1:AS$400,0)),AS$2,)</f>
        <v>0</v>
      </c>
      <c r="AT94" s="155">
        <f ca="1">IF(ISNUMBER(MATCH(DATEVALUE($A94),'recurring1_based on steps'!AT$1:AT$400,0)),AT$2,)</f>
        <v>0</v>
      </c>
      <c r="AU94" s="155">
        <f ca="1">IF(ISNUMBER(MATCH(DATEVALUE($A94),'recurring1_based on steps'!AU$1:AU$400,0)),AU$2,)</f>
        <v>0</v>
      </c>
      <c r="AV94" s="155">
        <f ca="1">IF(ISNUMBER(MATCH(DATEVALUE($A94),'recurring1_based on steps'!AV$1:AV$400,0)),AV$2,)</f>
        <v>0</v>
      </c>
      <c r="AW94" s="155">
        <f ca="1">IF(ISNUMBER(MATCH(DATEVALUE($A94),'recurring1_based on steps'!AW$1:AW$400,0)),AW$2,)</f>
        <v>0</v>
      </c>
      <c r="AX94" s="155">
        <f ca="1">IF(ISNUMBER(MATCH(DATEVALUE($A94),'recurring1_based on steps'!AX$1:AX$400,0)),AX$2,)</f>
        <v>0</v>
      </c>
      <c r="AY94" s="155">
        <f ca="1">IF(ISNUMBER(MATCH(DATEVALUE($A94),'recurring1_based on steps'!AY$1:AY$400,0)),AY$2,)</f>
        <v>0</v>
      </c>
    </row>
    <row r="95" spans="1:51" x14ac:dyDescent="0.2">
      <c r="A95" s="18" t="str">
        <f t="shared" ca="1" si="1"/>
        <v>2025-05-04</v>
      </c>
      <c r="B95" s="155">
        <f ca="1">IF(ISNUMBER(MATCH(DATEVALUE($A95),'recurring1_based on steps'!B$1:B$400,0)),B$2,)</f>
        <v>0</v>
      </c>
      <c r="C95" s="155">
        <f ca="1">IF(ISNUMBER(MATCH(DATEVALUE($A95),'recurring1_based on steps'!C$1:C$400,0)),C$2,)</f>
        <v>0</v>
      </c>
      <c r="D95" s="155">
        <f ca="1">IF(ISNUMBER(MATCH(DATEVALUE($A95),'recurring1_based on steps'!D$1:D$400,0)),D$2,)</f>
        <v>0</v>
      </c>
      <c r="E95" s="155">
        <f ca="1">IF(ISNUMBER(MATCH(DATEVALUE($A95),'recurring1_based on steps'!E$1:E$400,0)),E$2,)</f>
        <v>0</v>
      </c>
      <c r="F95" s="155">
        <f ca="1">IF(ISNUMBER(MATCH(DATEVALUE($A95),'recurring1_based on steps'!F$1:F$400,0)),F$2,)</f>
        <v>0</v>
      </c>
      <c r="G95" s="155">
        <f ca="1">IF(ISNUMBER(MATCH(DATEVALUE($A95),'recurring1_based on steps'!G$1:G$400,0)),G$2,)</f>
        <v>0</v>
      </c>
      <c r="H95" s="155">
        <f ca="1">IF(ISNUMBER(MATCH(DATEVALUE($A95),'recurring1_based on steps'!H$1:H$400,0)),H$2,)</f>
        <v>0</v>
      </c>
      <c r="I95" s="155">
        <f ca="1">IF(ISNUMBER(MATCH(DATEVALUE($A95),'recurring1_based on steps'!I$1:I$400,0)),I$2,)</f>
        <v>0</v>
      </c>
      <c r="J95" s="155">
        <f ca="1">IF(ISNUMBER(MATCH(DATEVALUE($A95),'recurring1_based on steps'!J$1:J$400,0)),J$2,)</f>
        <v>0</v>
      </c>
      <c r="K95" s="155">
        <f ca="1">IF(ISNUMBER(MATCH(DATEVALUE($A95),'recurring1_based on steps'!K$1:K$400,0)),K$2,)</f>
        <v>50</v>
      </c>
      <c r="L95" s="155">
        <f ca="1">IF(ISNUMBER(MATCH(DATEVALUE($A95),'recurring1_based on steps'!L$1:L$400,0)),L$2,)</f>
        <v>0</v>
      </c>
      <c r="M95" s="155">
        <f ca="1">IF(ISNUMBER(MATCH(DATEVALUE($A95),'recurring1_based on steps'!M$1:M$400,0)),M$2,)</f>
        <v>15</v>
      </c>
      <c r="N95" s="155">
        <f ca="1">IF(ISNUMBER(MATCH(DATEVALUE($A95),'recurring1_based on steps'!N$1:N$400,0)),N$2,)</f>
        <v>0</v>
      </c>
      <c r="O95" s="155">
        <f ca="1">IF(ISNUMBER(MATCH(DATEVALUE($A95),'recurring1_based on steps'!O$1:O$400,0)),O$2,)</f>
        <v>0</v>
      </c>
      <c r="P95" s="155">
        <f ca="1">IF(ISNUMBER(MATCH(DATEVALUE($A95),'recurring1_based on steps'!P$1:P$400,0)),P$2,)</f>
        <v>0</v>
      </c>
      <c r="Q95" s="155">
        <f ca="1">IF(ISNUMBER(MATCH(DATEVALUE($A95),'recurring1_based on steps'!Q$1:Q$400,0)),Q$2,)</f>
        <v>0</v>
      </c>
      <c r="R95" s="155">
        <f ca="1">IF(ISNUMBER(MATCH(DATEVALUE($A95),'recurring1_based on steps'!R$1:R$400,0)),R$2,)</f>
        <v>0</v>
      </c>
      <c r="S95" s="155">
        <f ca="1">IF(ISNUMBER(MATCH(DATEVALUE($A95),'recurring1_based on steps'!S$1:S$400,0)),S$2,)</f>
        <v>100</v>
      </c>
      <c r="T95" s="155">
        <f ca="1">IF(ISNUMBER(MATCH(DATEVALUE($A95),'recurring1_based on steps'!T$1:T$400,0)),T$2,)</f>
        <v>0</v>
      </c>
      <c r="U95" s="155">
        <f ca="1">IF(ISNUMBER(MATCH(DATEVALUE($A95),'recurring1_based on steps'!U$1:U$400,0)),U$2,)</f>
        <v>0</v>
      </c>
      <c r="V95" s="155">
        <f ca="1">IF(ISNUMBER(MATCH(DATEVALUE($A95),'recurring1_based on steps'!V$1:V$400,0)),V$2,)</f>
        <v>0</v>
      </c>
      <c r="W95" s="155">
        <f ca="1">IF(ISNUMBER(MATCH(DATEVALUE($A95),'recurring1_based on steps'!W$1:W$400,0)),W$2,)</f>
        <v>0</v>
      </c>
      <c r="X95" s="155">
        <f ca="1">IF(ISNUMBER(MATCH(DATEVALUE($A95),'recurring1_based on steps'!X$1:X$400,0)),X$2,)</f>
        <v>0</v>
      </c>
      <c r="Y95" s="155">
        <f ca="1">IF(ISNUMBER(MATCH(DATEVALUE($A95),'recurring1_based on steps'!Y$1:Y$400,0)),Y$2,)</f>
        <v>0</v>
      </c>
      <c r="Z95" s="155">
        <f ca="1">IF(ISNUMBER(MATCH(DATEVALUE($A95),'recurring1_based on steps'!Z$1:Z$400,0)),Z$2,)</f>
        <v>0</v>
      </c>
      <c r="AA95" s="155">
        <f ca="1">IF(ISNUMBER(MATCH(DATEVALUE($A95),'recurring1_based on steps'!AA$1:AA$400,0)),AA$2,)</f>
        <v>0</v>
      </c>
      <c r="AB95" s="155">
        <f ca="1">IF(ISNUMBER(MATCH(DATEVALUE($A95),'recurring1_based on steps'!AB$1:AB$400,0)),AB$2,)</f>
        <v>0</v>
      </c>
      <c r="AC95" s="155">
        <f ca="1">IF(ISNUMBER(MATCH(DATEVALUE($A95),'recurring1_based on steps'!AC$1:AC$400,0)),AC$2,)</f>
        <v>0</v>
      </c>
      <c r="AD95" s="155">
        <f ca="1">IF(ISNUMBER(MATCH(DATEVALUE($A95),'recurring1_based on steps'!AD$1:AD$400,0)),AD$2,)</f>
        <v>0</v>
      </c>
      <c r="AE95" s="155">
        <f ca="1">IF(ISNUMBER(MATCH(DATEVALUE($A95),'recurring1_based on steps'!AE$1:AE$400,0)),AE$2,)</f>
        <v>0</v>
      </c>
      <c r="AF95" s="155">
        <f ca="1">IF(ISNUMBER(MATCH(DATEVALUE($A95),'recurring1_based on steps'!AF$1:AF$400,0)),AF$2,)</f>
        <v>0</v>
      </c>
      <c r="AG95" s="155">
        <f ca="1">IF(ISNUMBER(MATCH(DATEVALUE($A95),'recurring1_based on steps'!AG$1:AG$400,0)),AG$2,)</f>
        <v>0</v>
      </c>
      <c r="AH95" s="155">
        <f ca="1">IF(ISNUMBER(MATCH(DATEVALUE($A95),'recurring1_based on steps'!AH$1:AH$400,0)),AH$2,)</f>
        <v>0</v>
      </c>
      <c r="AI95" s="155">
        <f ca="1">IF(ISNUMBER(MATCH(DATEVALUE($A95),'recurring1_based on steps'!AI$1:AI$400,0)),AI$2,)</f>
        <v>0</v>
      </c>
      <c r="AJ95" s="155">
        <f ca="1">IF(ISNUMBER(MATCH(DATEVALUE($A95),'recurring1_based on steps'!AJ$1:AJ$400,0)),AJ$2,)</f>
        <v>0</v>
      </c>
      <c r="AK95" s="155">
        <f ca="1">IF(ISNUMBER(MATCH(DATEVALUE($A95),'recurring1_based on steps'!AK$1:AK$400,0)),AK$2,)</f>
        <v>0</v>
      </c>
      <c r="AL95" s="155">
        <f ca="1">IF(ISNUMBER(MATCH(DATEVALUE($A95),'recurring1_based on steps'!AL$1:AL$400,0)),AL$2,)</f>
        <v>0</v>
      </c>
      <c r="AM95" s="155">
        <f ca="1">IF(ISNUMBER(MATCH(DATEVALUE($A95),'recurring1_based on steps'!AM$1:AM$400,0)),AM$2,)</f>
        <v>0</v>
      </c>
      <c r="AN95" s="155">
        <f ca="1">IF(ISNUMBER(MATCH(DATEVALUE($A95),'recurring1_based on steps'!AN$1:AN$400,0)),AN$2,)</f>
        <v>0</v>
      </c>
      <c r="AO95" s="155">
        <f ca="1">IF(ISNUMBER(MATCH(DATEVALUE($A95),'recurring1_based on steps'!AO$1:AO$400,0)),AO$2,)</f>
        <v>0</v>
      </c>
      <c r="AP95" s="155">
        <f ca="1">IF(ISNUMBER(MATCH(DATEVALUE($A95),'recurring1_based on steps'!AP$1:AP$400,0)),AP$2,)</f>
        <v>0</v>
      </c>
      <c r="AQ95" s="155">
        <f ca="1">IF(ISNUMBER(MATCH(DATEVALUE($A95),'recurring1_based on steps'!AQ$1:AQ$400,0)),AQ$2,)</f>
        <v>0</v>
      </c>
      <c r="AR95" s="155">
        <f ca="1">IF(ISNUMBER(MATCH(DATEVALUE($A95),'recurring1_based on steps'!AR$1:AR$400,0)),AR$2,)</f>
        <v>0</v>
      </c>
      <c r="AS95" s="155">
        <f ca="1">IF(ISNUMBER(MATCH(DATEVALUE($A95),'recurring1_based on steps'!AS$1:AS$400,0)),AS$2,)</f>
        <v>0</v>
      </c>
      <c r="AT95" s="155">
        <f ca="1">IF(ISNUMBER(MATCH(DATEVALUE($A95),'recurring1_based on steps'!AT$1:AT$400,0)),AT$2,)</f>
        <v>0</v>
      </c>
      <c r="AU95" s="155">
        <f ca="1">IF(ISNUMBER(MATCH(DATEVALUE($A95),'recurring1_based on steps'!AU$1:AU$400,0)),AU$2,)</f>
        <v>0</v>
      </c>
      <c r="AV95" s="155">
        <f ca="1">IF(ISNUMBER(MATCH(DATEVALUE($A95),'recurring1_based on steps'!AV$1:AV$400,0)),AV$2,)</f>
        <v>0</v>
      </c>
      <c r="AW95" s="155">
        <f ca="1">IF(ISNUMBER(MATCH(DATEVALUE($A95),'recurring1_based on steps'!AW$1:AW$400,0)),AW$2,)</f>
        <v>0</v>
      </c>
      <c r="AX95" s="155">
        <f ca="1">IF(ISNUMBER(MATCH(DATEVALUE($A95),'recurring1_based on steps'!AX$1:AX$400,0)),AX$2,)</f>
        <v>0</v>
      </c>
      <c r="AY95" s="155">
        <f ca="1">IF(ISNUMBER(MATCH(DATEVALUE($A95),'recurring1_based on steps'!AY$1:AY$400,0)),AY$2,)</f>
        <v>0</v>
      </c>
    </row>
    <row r="96" spans="1:51" x14ac:dyDescent="0.2">
      <c r="A96" s="18" t="str">
        <f t="shared" ca="1" si="1"/>
        <v>2025-05-05</v>
      </c>
      <c r="B96" s="155">
        <f ca="1">IF(ISNUMBER(MATCH(DATEVALUE($A96),'recurring1_based on steps'!B$1:B$400,0)),B$2,)</f>
        <v>0</v>
      </c>
      <c r="C96" s="155">
        <f ca="1">IF(ISNUMBER(MATCH(DATEVALUE($A96),'recurring1_based on steps'!C$1:C$400,0)),C$2,)</f>
        <v>0</v>
      </c>
      <c r="D96" s="155">
        <f ca="1">IF(ISNUMBER(MATCH(DATEVALUE($A96),'recurring1_based on steps'!D$1:D$400,0)),D$2,)</f>
        <v>0</v>
      </c>
      <c r="E96" s="155">
        <f ca="1">IF(ISNUMBER(MATCH(DATEVALUE($A96),'recurring1_based on steps'!E$1:E$400,0)),E$2,)</f>
        <v>0</v>
      </c>
      <c r="F96" s="155">
        <f ca="1">IF(ISNUMBER(MATCH(DATEVALUE($A96),'recurring1_based on steps'!F$1:F$400,0)),F$2,)</f>
        <v>0</v>
      </c>
      <c r="G96" s="155">
        <f ca="1">IF(ISNUMBER(MATCH(DATEVALUE($A96),'recurring1_based on steps'!G$1:G$400,0)),G$2,)</f>
        <v>0</v>
      </c>
      <c r="H96" s="155">
        <f ca="1">IF(ISNUMBER(MATCH(DATEVALUE($A96),'recurring1_based on steps'!H$1:H$400,0)),H$2,)</f>
        <v>0</v>
      </c>
      <c r="I96" s="155">
        <f ca="1">IF(ISNUMBER(MATCH(DATEVALUE($A96),'recurring1_based on steps'!I$1:I$400,0)),I$2,)</f>
        <v>0</v>
      </c>
      <c r="J96" s="155">
        <f ca="1">IF(ISNUMBER(MATCH(DATEVALUE($A96),'recurring1_based on steps'!J$1:J$400,0)),J$2,)</f>
        <v>0</v>
      </c>
      <c r="K96" s="155">
        <f ca="1">IF(ISNUMBER(MATCH(DATEVALUE($A96),'recurring1_based on steps'!K$1:K$400,0)),K$2,)</f>
        <v>0</v>
      </c>
      <c r="L96" s="155">
        <f ca="1">IF(ISNUMBER(MATCH(DATEVALUE($A96),'recurring1_based on steps'!L$1:L$400,0)),L$2,)</f>
        <v>0</v>
      </c>
      <c r="M96" s="155">
        <f ca="1">IF(ISNUMBER(MATCH(DATEVALUE($A96),'recurring1_based on steps'!M$1:M$400,0)),M$2,)</f>
        <v>0</v>
      </c>
      <c r="N96" s="155">
        <f ca="1">IF(ISNUMBER(MATCH(DATEVALUE($A96),'recurring1_based on steps'!N$1:N$400,0)),N$2,)</f>
        <v>0</v>
      </c>
      <c r="O96" s="155">
        <f ca="1">IF(ISNUMBER(MATCH(DATEVALUE($A96),'recurring1_based on steps'!O$1:O$400,0)),O$2,)</f>
        <v>0</v>
      </c>
      <c r="P96" s="155">
        <f ca="1">IF(ISNUMBER(MATCH(DATEVALUE($A96),'recurring1_based on steps'!P$1:P$400,0)),P$2,)</f>
        <v>0</v>
      </c>
      <c r="Q96" s="155">
        <f ca="1">IF(ISNUMBER(MATCH(DATEVALUE($A96),'recurring1_based on steps'!Q$1:Q$400,0)),Q$2,)</f>
        <v>0</v>
      </c>
      <c r="R96" s="155">
        <f ca="1">IF(ISNUMBER(MATCH(DATEVALUE($A96),'recurring1_based on steps'!R$1:R$400,0)),R$2,)</f>
        <v>0</v>
      </c>
      <c r="S96" s="155">
        <f ca="1">IF(ISNUMBER(MATCH(DATEVALUE($A96),'recurring1_based on steps'!S$1:S$400,0)),S$2,)</f>
        <v>0</v>
      </c>
      <c r="T96" s="155">
        <f ca="1">IF(ISNUMBER(MATCH(DATEVALUE($A96),'recurring1_based on steps'!T$1:T$400,0)),T$2,)</f>
        <v>0</v>
      </c>
      <c r="U96" s="155">
        <f ca="1">IF(ISNUMBER(MATCH(DATEVALUE($A96),'recurring1_based on steps'!U$1:U$400,0)),U$2,)</f>
        <v>0</v>
      </c>
      <c r="V96" s="155">
        <f ca="1">IF(ISNUMBER(MATCH(DATEVALUE($A96),'recurring1_based on steps'!V$1:V$400,0)),V$2,)</f>
        <v>0</v>
      </c>
      <c r="W96" s="155">
        <f ca="1">IF(ISNUMBER(MATCH(DATEVALUE($A96),'recurring1_based on steps'!W$1:W$400,0)),W$2,)</f>
        <v>0</v>
      </c>
      <c r="X96" s="155">
        <f ca="1">IF(ISNUMBER(MATCH(DATEVALUE($A96),'recurring1_based on steps'!X$1:X$400,0)),X$2,)</f>
        <v>0</v>
      </c>
      <c r="Y96" s="155">
        <f ca="1">IF(ISNUMBER(MATCH(DATEVALUE($A96),'recurring1_based on steps'!Y$1:Y$400,0)),Y$2,)</f>
        <v>0</v>
      </c>
      <c r="Z96" s="155">
        <f ca="1">IF(ISNUMBER(MATCH(DATEVALUE($A96),'recurring1_based on steps'!Z$1:Z$400,0)),Z$2,)</f>
        <v>0</v>
      </c>
      <c r="AA96" s="155">
        <f ca="1">IF(ISNUMBER(MATCH(DATEVALUE($A96),'recurring1_based on steps'!AA$1:AA$400,0)),AA$2,)</f>
        <v>0</v>
      </c>
      <c r="AB96" s="155">
        <f ca="1">IF(ISNUMBER(MATCH(DATEVALUE($A96),'recurring1_based on steps'!AB$1:AB$400,0)),AB$2,)</f>
        <v>0</v>
      </c>
      <c r="AC96" s="155">
        <f ca="1">IF(ISNUMBER(MATCH(DATEVALUE($A96),'recurring1_based on steps'!AC$1:AC$400,0)),AC$2,)</f>
        <v>0</v>
      </c>
      <c r="AD96" s="155">
        <f ca="1">IF(ISNUMBER(MATCH(DATEVALUE($A96),'recurring1_based on steps'!AD$1:AD$400,0)),AD$2,)</f>
        <v>0</v>
      </c>
      <c r="AE96" s="155">
        <f ca="1">IF(ISNUMBER(MATCH(DATEVALUE($A96),'recurring1_based on steps'!AE$1:AE$400,0)),AE$2,)</f>
        <v>0</v>
      </c>
      <c r="AF96" s="155">
        <f ca="1">IF(ISNUMBER(MATCH(DATEVALUE($A96),'recurring1_based on steps'!AF$1:AF$400,0)),AF$2,)</f>
        <v>0</v>
      </c>
      <c r="AG96" s="155">
        <f ca="1">IF(ISNUMBER(MATCH(DATEVALUE($A96),'recurring1_based on steps'!AG$1:AG$400,0)),AG$2,)</f>
        <v>0</v>
      </c>
      <c r="AH96" s="155">
        <f ca="1">IF(ISNUMBER(MATCH(DATEVALUE($A96),'recurring1_based on steps'!AH$1:AH$400,0)),AH$2,)</f>
        <v>0</v>
      </c>
      <c r="AI96" s="155">
        <f ca="1">IF(ISNUMBER(MATCH(DATEVALUE($A96),'recurring1_based on steps'!AI$1:AI$400,0)),AI$2,)</f>
        <v>0</v>
      </c>
      <c r="AJ96" s="155">
        <f ca="1">IF(ISNUMBER(MATCH(DATEVALUE($A96),'recurring1_based on steps'!AJ$1:AJ$400,0)),AJ$2,)</f>
        <v>0</v>
      </c>
      <c r="AK96" s="155">
        <f ca="1">IF(ISNUMBER(MATCH(DATEVALUE($A96),'recurring1_based on steps'!AK$1:AK$400,0)),AK$2,)</f>
        <v>0</v>
      </c>
      <c r="AL96" s="155">
        <f ca="1">IF(ISNUMBER(MATCH(DATEVALUE($A96),'recurring1_based on steps'!AL$1:AL$400,0)),AL$2,)</f>
        <v>0</v>
      </c>
      <c r="AM96" s="155">
        <f ca="1">IF(ISNUMBER(MATCH(DATEVALUE($A96),'recurring1_based on steps'!AM$1:AM$400,0)),AM$2,)</f>
        <v>0</v>
      </c>
      <c r="AN96" s="155">
        <f ca="1">IF(ISNUMBER(MATCH(DATEVALUE($A96),'recurring1_based on steps'!AN$1:AN$400,0)),AN$2,)</f>
        <v>0</v>
      </c>
      <c r="AO96" s="155">
        <f ca="1">IF(ISNUMBER(MATCH(DATEVALUE($A96),'recurring1_based on steps'!AO$1:AO$400,0)),AO$2,)</f>
        <v>0</v>
      </c>
      <c r="AP96" s="155">
        <f ca="1">IF(ISNUMBER(MATCH(DATEVALUE($A96),'recurring1_based on steps'!AP$1:AP$400,0)),AP$2,)</f>
        <v>0</v>
      </c>
      <c r="AQ96" s="155">
        <f ca="1">IF(ISNUMBER(MATCH(DATEVALUE($A96),'recurring1_based on steps'!AQ$1:AQ$400,0)),AQ$2,)</f>
        <v>0</v>
      </c>
      <c r="AR96" s="155">
        <f ca="1">IF(ISNUMBER(MATCH(DATEVALUE($A96),'recurring1_based on steps'!AR$1:AR$400,0)),AR$2,)</f>
        <v>0</v>
      </c>
      <c r="AS96" s="155">
        <f ca="1">IF(ISNUMBER(MATCH(DATEVALUE($A96),'recurring1_based on steps'!AS$1:AS$400,0)),AS$2,)</f>
        <v>0</v>
      </c>
      <c r="AT96" s="155">
        <f ca="1">IF(ISNUMBER(MATCH(DATEVALUE($A96),'recurring1_based on steps'!AT$1:AT$400,0)),AT$2,)</f>
        <v>0</v>
      </c>
      <c r="AU96" s="155">
        <f ca="1">IF(ISNUMBER(MATCH(DATEVALUE($A96),'recurring1_based on steps'!AU$1:AU$400,0)),AU$2,)</f>
        <v>0</v>
      </c>
      <c r="AV96" s="155">
        <f ca="1">IF(ISNUMBER(MATCH(DATEVALUE($A96),'recurring1_based on steps'!AV$1:AV$400,0)),AV$2,)</f>
        <v>0</v>
      </c>
      <c r="AW96" s="155">
        <f ca="1">IF(ISNUMBER(MATCH(DATEVALUE($A96),'recurring1_based on steps'!AW$1:AW$400,0)),AW$2,)</f>
        <v>0</v>
      </c>
      <c r="AX96" s="155">
        <f ca="1">IF(ISNUMBER(MATCH(DATEVALUE($A96),'recurring1_based on steps'!AX$1:AX$400,0)),AX$2,)</f>
        <v>0</v>
      </c>
      <c r="AY96" s="155">
        <f ca="1">IF(ISNUMBER(MATCH(DATEVALUE($A96),'recurring1_based on steps'!AY$1:AY$400,0)),AY$2,)</f>
        <v>0</v>
      </c>
    </row>
    <row r="97" spans="1:51" x14ac:dyDescent="0.2">
      <c r="A97" s="18" t="str">
        <f t="shared" ca="1" si="1"/>
        <v>2025-05-06</v>
      </c>
      <c r="B97" s="155">
        <f ca="1">IF(ISNUMBER(MATCH(DATEVALUE($A97),'recurring1_based on steps'!B$1:B$400,0)),B$2,)</f>
        <v>0</v>
      </c>
      <c r="C97" s="155">
        <f ca="1">IF(ISNUMBER(MATCH(DATEVALUE($A97),'recurring1_based on steps'!C$1:C$400,0)),C$2,)</f>
        <v>0</v>
      </c>
      <c r="D97" s="155">
        <f ca="1">IF(ISNUMBER(MATCH(DATEVALUE($A97),'recurring1_based on steps'!D$1:D$400,0)),D$2,)</f>
        <v>0</v>
      </c>
      <c r="E97" s="155">
        <f ca="1">IF(ISNUMBER(MATCH(DATEVALUE($A97),'recurring1_based on steps'!E$1:E$400,0)),E$2,)</f>
        <v>0</v>
      </c>
      <c r="F97" s="155">
        <f ca="1">IF(ISNUMBER(MATCH(DATEVALUE($A97),'recurring1_based on steps'!F$1:F$400,0)),F$2,)</f>
        <v>0</v>
      </c>
      <c r="G97" s="155">
        <f ca="1">IF(ISNUMBER(MATCH(DATEVALUE($A97),'recurring1_based on steps'!G$1:G$400,0)),G$2,)</f>
        <v>0</v>
      </c>
      <c r="H97" s="155">
        <f ca="1">IF(ISNUMBER(MATCH(DATEVALUE($A97),'recurring1_based on steps'!H$1:H$400,0)),H$2,)</f>
        <v>0</v>
      </c>
      <c r="I97" s="155">
        <f ca="1">IF(ISNUMBER(MATCH(DATEVALUE($A97),'recurring1_based on steps'!I$1:I$400,0)),I$2,)</f>
        <v>0</v>
      </c>
      <c r="J97" s="155">
        <f ca="1">IF(ISNUMBER(MATCH(DATEVALUE($A97),'recurring1_based on steps'!J$1:J$400,0)),J$2,)</f>
        <v>0</v>
      </c>
      <c r="K97" s="155">
        <f ca="1">IF(ISNUMBER(MATCH(DATEVALUE($A97),'recurring1_based on steps'!K$1:K$400,0)),K$2,)</f>
        <v>0</v>
      </c>
      <c r="L97" s="155">
        <f ca="1">IF(ISNUMBER(MATCH(DATEVALUE($A97),'recurring1_based on steps'!L$1:L$400,0)),L$2,)</f>
        <v>0</v>
      </c>
      <c r="M97" s="155">
        <f ca="1">IF(ISNUMBER(MATCH(DATEVALUE($A97),'recurring1_based on steps'!M$1:M$400,0)),M$2,)</f>
        <v>0</v>
      </c>
      <c r="N97" s="155">
        <f ca="1">IF(ISNUMBER(MATCH(DATEVALUE($A97),'recurring1_based on steps'!N$1:N$400,0)),N$2,)</f>
        <v>0</v>
      </c>
      <c r="O97" s="155">
        <f ca="1">IF(ISNUMBER(MATCH(DATEVALUE($A97),'recurring1_based on steps'!O$1:O$400,0)),O$2,)</f>
        <v>0</v>
      </c>
      <c r="P97" s="155">
        <f ca="1">IF(ISNUMBER(MATCH(DATEVALUE($A97),'recurring1_based on steps'!P$1:P$400,0)),P$2,)</f>
        <v>0</v>
      </c>
      <c r="Q97" s="155">
        <f ca="1">IF(ISNUMBER(MATCH(DATEVALUE($A97),'recurring1_based on steps'!Q$1:Q$400,0)),Q$2,)</f>
        <v>0</v>
      </c>
      <c r="R97" s="155">
        <f ca="1">IF(ISNUMBER(MATCH(DATEVALUE($A97),'recurring1_based on steps'!R$1:R$400,0)),R$2,)</f>
        <v>0</v>
      </c>
      <c r="S97" s="155">
        <f ca="1">IF(ISNUMBER(MATCH(DATEVALUE($A97),'recurring1_based on steps'!S$1:S$400,0)),S$2,)</f>
        <v>0</v>
      </c>
      <c r="T97" s="155">
        <f ca="1">IF(ISNUMBER(MATCH(DATEVALUE($A97),'recurring1_based on steps'!T$1:T$400,0)),T$2,)</f>
        <v>0</v>
      </c>
      <c r="U97" s="155">
        <f ca="1">IF(ISNUMBER(MATCH(DATEVALUE($A97),'recurring1_based on steps'!U$1:U$400,0)),U$2,)</f>
        <v>0</v>
      </c>
      <c r="V97" s="155">
        <f ca="1">IF(ISNUMBER(MATCH(DATEVALUE($A97),'recurring1_based on steps'!V$1:V$400,0)),V$2,)</f>
        <v>0</v>
      </c>
      <c r="W97" s="155">
        <f ca="1">IF(ISNUMBER(MATCH(DATEVALUE($A97),'recurring1_based on steps'!W$1:W$400,0)),W$2,)</f>
        <v>0</v>
      </c>
      <c r="X97" s="155">
        <f ca="1">IF(ISNUMBER(MATCH(DATEVALUE($A97),'recurring1_based on steps'!X$1:X$400,0)),X$2,)</f>
        <v>0</v>
      </c>
      <c r="Y97" s="155">
        <f ca="1">IF(ISNUMBER(MATCH(DATEVALUE($A97),'recurring1_based on steps'!Y$1:Y$400,0)),Y$2,)</f>
        <v>0</v>
      </c>
      <c r="Z97" s="155">
        <f ca="1">IF(ISNUMBER(MATCH(DATEVALUE($A97),'recurring1_based on steps'!Z$1:Z$400,0)),Z$2,)</f>
        <v>0</v>
      </c>
      <c r="AA97" s="155">
        <f ca="1">IF(ISNUMBER(MATCH(DATEVALUE($A97),'recurring1_based on steps'!AA$1:AA$400,0)),AA$2,)</f>
        <v>0</v>
      </c>
      <c r="AB97" s="155">
        <f ca="1">IF(ISNUMBER(MATCH(DATEVALUE($A97),'recurring1_based on steps'!AB$1:AB$400,0)),AB$2,)</f>
        <v>0</v>
      </c>
      <c r="AC97" s="155">
        <f ca="1">IF(ISNUMBER(MATCH(DATEVALUE($A97),'recurring1_based on steps'!AC$1:AC$400,0)),AC$2,)</f>
        <v>0</v>
      </c>
      <c r="AD97" s="155">
        <f ca="1">IF(ISNUMBER(MATCH(DATEVALUE($A97),'recurring1_based on steps'!AD$1:AD$400,0)),AD$2,)</f>
        <v>0</v>
      </c>
      <c r="AE97" s="155">
        <f ca="1">IF(ISNUMBER(MATCH(DATEVALUE($A97),'recurring1_based on steps'!AE$1:AE$400,0)),AE$2,)</f>
        <v>0</v>
      </c>
      <c r="AF97" s="155">
        <f ca="1">IF(ISNUMBER(MATCH(DATEVALUE($A97),'recurring1_based on steps'!AF$1:AF$400,0)),AF$2,)</f>
        <v>0</v>
      </c>
      <c r="AG97" s="155">
        <f ca="1">IF(ISNUMBER(MATCH(DATEVALUE($A97),'recurring1_based on steps'!AG$1:AG$400,0)),AG$2,)</f>
        <v>0</v>
      </c>
      <c r="AH97" s="155">
        <f ca="1">IF(ISNUMBER(MATCH(DATEVALUE($A97),'recurring1_based on steps'!AH$1:AH$400,0)),AH$2,)</f>
        <v>0</v>
      </c>
      <c r="AI97" s="155">
        <f ca="1">IF(ISNUMBER(MATCH(DATEVALUE($A97),'recurring1_based on steps'!AI$1:AI$400,0)),AI$2,)</f>
        <v>0</v>
      </c>
      <c r="AJ97" s="155">
        <f ca="1">IF(ISNUMBER(MATCH(DATEVALUE($A97),'recurring1_based on steps'!AJ$1:AJ$400,0)),AJ$2,)</f>
        <v>0</v>
      </c>
      <c r="AK97" s="155">
        <f ca="1">IF(ISNUMBER(MATCH(DATEVALUE($A97),'recurring1_based on steps'!AK$1:AK$400,0)),AK$2,)</f>
        <v>0</v>
      </c>
      <c r="AL97" s="155">
        <f ca="1">IF(ISNUMBER(MATCH(DATEVALUE($A97),'recurring1_based on steps'!AL$1:AL$400,0)),AL$2,)</f>
        <v>0</v>
      </c>
      <c r="AM97" s="155">
        <f ca="1">IF(ISNUMBER(MATCH(DATEVALUE($A97),'recurring1_based on steps'!AM$1:AM$400,0)),AM$2,)</f>
        <v>0</v>
      </c>
      <c r="AN97" s="155">
        <f ca="1">IF(ISNUMBER(MATCH(DATEVALUE($A97),'recurring1_based on steps'!AN$1:AN$400,0)),AN$2,)</f>
        <v>0</v>
      </c>
      <c r="AO97" s="155">
        <f ca="1">IF(ISNUMBER(MATCH(DATEVALUE($A97),'recurring1_based on steps'!AO$1:AO$400,0)),AO$2,)</f>
        <v>0</v>
      </c>
      <c r="AP97" s="155">
        <f ca="1">IF(ISNUMBER(MATCH(DATEVALUE($A97),'recurring1_based on steps'!AP$1:AP$400,0)),AP$2,)</f>
        <v>0</v>
      </c>
      <c r="AQ97" s="155">
        <f ca="1">IF(ISNUMBER(MATCH(DATEVALUE($A97),'recurring1_based on steps'!AQ$1:AQ$400,0)),AQ$2,)</f>
        <v>0</v>
      </c>
      <c r="AR97" s="155">
        <f ca="1">IF(ISNUMBER(MATCH(DATEVALUE($A97),'recurring1_based on steps'!AR$1:AR$400,0)),AR$2,)</f>
        <v>0</v>
      </c>
      <c r="AS97" s="155">
        <f ca="1">IF(ISNUMBER(MATCH(DATEVALUE($A97),'recurring1_based on steps'!AS$1:AS$400,0)),AS$2,)</f>
        <v>0</v>
      </c>
      <c r="AT97" s="155">
        <f ca="1">IF(ISNUMBER(MATCH(DATEVALUE($A97),'recurring1_based on steps'!AT$1:AT$400,0)),AT$2,)</f>
        <v>0</v>
      </c>
      <c r="AU97" s="155">
        <f ca="1">IF(ISNUMBER(MATCH(DATEVALUE($A97),'recurring1_based on steps'!AU$1:AU$400,0)),AU$2,)</f>
        <v>0</v>
      </c>
      <c r="AV97" s="155">
        <f ca="1">IF(ISNUMBER(MATCH(DATEVALUE($A97),'recurring1_based on steps'!AV$1:AV$400,0)),AV$2,)</f>
        <v>0</v>
      </c>
      <c r="AW97" s="155">
        <f ca="1">IF(ISNUMBER(MATCH(DATEVALUE($A97),'recurring1_based on steps'!AW$1:AW$400,0)),AW$2,)</f>
        <v>0</v>
      </c>
      <c r="AX97" s="155">
        <f ca="1">IF(ISNUMBER(MATCH(DATEVALUE($A97),'recurring1_based on steps'!AX$1:AX$400,0)),AX$2,)</f>
        <v>0</v>
      </c>
      <c r="AY97" s="155">
        <f ca="1">IF(ISNUMBER(MATCH(DATEVALUE($A97),'recurring1_based on steps'!AY$1:AY$400,0)),AY$2,)</f>
        <v>0</v>
      </c>
    </row>
    <row r="98" spans="1:51" x14ac:dyDescent="0.2">
      <c r="A98" s="18" t="str">
        <f t="shared" ca="1" si="1"/>
        <v>2025-05-07</v>
      </c>
      <c r="B98" s="155">
        <f ca="1">IF(ISNUMBER(MATCH(DATEVALUE($A98),'recurring1_based on steps'!B$1:B$400,0)),B$2,)</f>
        <v>0</v>
      </c>
      <c r="C98" s="155">
        <f ca="1">IF(ISNUMBER(MATCH(DATEVALUE($A98),'recurring1_based on steps'!C$1:C$400,0)),C$2,)</f>
        <v>0</v>
      </c>
      <c r="D98" s="155">
        <f ca="1">IF(ISNUMBER(MATCH(DATEVALUE($A98),'recurring1_based on steps'!D$1:D$400,0)),D$2,)</f>
        <v>0</v>
      </c>
      <c r="E98" s="155">
        <f ca="1">IF(ISNUMBER(MATCH(DATEVALUE($A98),'recurring1_based on steps'!E$1:E$400,0)),E$2,)</f>
        <v>0</v>
      </c>
      <c r="F98" s="155">
        <f ca="1">IF(ISNUMBER(MATCH(DATEVALUE($A98),'recurring1_based on steps'!F$1:F$400,0)),F$2,)</f>
        <v>0</v>
      </c>
      <c r="G98" s="155">
        <f ca="1">IF(ISNUMBER(MATCH(DATEVALUE($A98),'recurring1_based on steps'!G$1:G$400,0)),G$2,)</f>
        <v>0</v>
      </c>
      <c r="H98" s="155">
        <f ca="1">IF(ISNUMBER(MATCH(DATEVALUE($A98),'recurring1_based on steps'!H$1:H$400,0)),H$2,)</f>
        <v>0</v>
      </c>
      <c r="I98" s="155">
        <f ca="1">IF(ISNUMBER(MATCH(DATEVALUE($A98),'recurring1_based on steps'!I$1:I$400,0)),I$2,)</f>
        <v>0</v>
      </c>
      <c r="J98" s="155">
        <f ca="1">IF(ISNUMBER(MATCH(DATEVALUE($A98),'recurring1_based on steps'!J$1:J$400,0)),J$2,)</f>
        <v>0</v>
      </c>
      <c r="K98" s="155">
        <f ca="1">IF(ISNUMBER(MATCH(DATEVALUE($A98),'recurring1_based on steps'!K$1:K$400,0)),K$2,)</f>
        <v>0</v>
      </c>
      <c r="L98" s="155">
        <f ca="1">IF(ISNUMBER(MATCH(DATEVALUE($A98),'recurring1_based on steps'!L$1:L$400,0)),L$2,)</f>
        <v>0</v>
      </c>
      <c r="M98" s="155">
        <f ca="1">IF(ISNUMBER(MATCH(DATEVALUE($A98),'recurring1_based on steps'!M$1:M$400,0)),M$2,)</f>
        <v>0</v>
      </c>
      <c r="N98" s="155">
        <f ca="1">IF(ISNUMBER(MATCH(DATEVALUE($A98),'recurring1_based on steps'!N$1:N$400,0)),N$2,)</f>
        <v>0</v>
      </c>
      <c r="O98" s="155">
        <f ca="1">IF(ISNUMBER(MATCH(DATEVALUE($A98),'recurring1_based on steps'!O$1:O$400,0)),O$2,)</f>
        <v>0</v>
      </c>
      <c r="P98" s="155">
        <f ca="1">IF(ISNUMBER(MATCH(DATEVALUE($A98),'recurring1_based on steps'!P$1:P$400,0)),P$2,)</f>
        <v>0</v>
      </c>
      <c r="Q98" s="155">
        <f ca="1">IF(ISNUMBER(MATCH(DATEVALUE($A98),'recurring1_based on steps'!Q$1:Q$400,0)),Q$2,)</f>
        <v>0</v>
      </c>
      <c r="R98" s="155">
        <f ca="1">IF(ISNUMBER(MATCH(DATEVALUE($A98),'recurring1_based on steps'!R$1:R$400,0)),R$2,)</f>
        <v>0</v>
      </c>
      <c r="S98" s="155">
        <f ca="1">IF(ISNUMBER(MATCH(DATEVALUE($A98),'recurring1_based on steps'!S$1:S$400,0)),S$2,)</f>
        <v>0</v>
      </c>
      <c r="T98" s="155">
        <f ca="1">IF(ISNUMBER(MATCH(DATEVALUE($A98),'recurring1_based on steps'!T$1:T$400,0)),T$2,)</f>
        <v>0</v>
      </c>
      <c r="U98" s="155">
        <f ca="1">IF(ISNUMBER(MATCH(DATEVALUE($A98),'recurring1_based on steps'!U$1:U$400,0)),U$2,)</f>
        <v>0</v>
      </c>
      <c r="V98" s="155">
        <f ca="1">IF(ISNUMBER(MATCH(DATEVALUE($A98),'recurring1_based on steps'!V$1:V$400,0)),V$2,)</f>
        <v>0</v>
      </c>
      <c r="W98" s="155">
        <f ca="1">IF(ISNUMBER(MATCH(DATEVALUE($A98),'recurring1_based on steps'!W$1:W$400,0)),W$2,)</f>
        <v>0</v>
      </c>
      <c r="X98" s="155">
        <f ca="1">IF(ISNUMBER(MATCH(DATEVALUE($A98),'recurring1_based on steps'!X$1:X$400,0)),X$2,)</f>
        <v>0</v>
      </c>
      <c r="Y98" s="155">
        <f ca="1">IF(ISNUMBER(MATCH(DATEVALUE($A98),'recurring1_based on steps'!Y$1:Y$400,0)),Y$2,)</f>
        <v>0</v>
      </c>
      <c r="Z98" s="155">
        <f ca="1">IF(ISNUMBER(MATCH(DATEVALUE($A98),'recurring1_based on steps'!Z$1:Z$400,0)),Z$2,)</f>
        <v>0</v>
      </c>
      <c r="AA98" s="155">
        <f ca="1">IF(ISNUMBER(MATCH(DATEVALUE($A98),'recurring1_based on steps'!AA$1:AA$400,0)),AA$2,)</f>
        <v>0</v>
      </c>
      <c r="AB98" s="155">
        <f ca="1">IF(ISNUMBER(MATCH(DATEVALUE($A98),'recurring1_based on steps'!AB$1:AB$400,0)),AB$2,)</f>
        <v>0</v>
      </c>
      <c r="AC98" s="155">
        <f ca="1">IF(ISNUMBER(MATCH(DATEVALUE($A98),'recurring1_based on steps'!AC$1:AC$400,0)),AC$2,)</f>
        <v>0</v>
      </c>
      <c r="AD98" s="155">
        <f ca="1">IF(ISNUMBER(MATCH(DATEVALUE($A98),'recurring1_based on steps'!AD$1:AD$400,0)),AD$2,)</f>
        <v>0</v>
      </c>
      <c r="AE98" s="155">
        <f ca="1">IF(ISNUMBER(MATCH(DATEVALUE($A98),'recurring1_based on steps'!AE$1:AE$400,0)),AE$2,)</f>
        <v>0</v>
      </c>
      <c r="AF98" s="155">
        <f ca="1">IF(ISNUMBER(MATCH(DATEVALUE($A98),'recurring1_based on steps'!AF$1:AF$400,0)),AF$2,)</f>
        <v>0</v>
      </c>
      <c r="AG98" s="155">
        <f ca="1">IF(ISNUMBER(MATCH(DATEVALUE($A98),'recurring1_based on steps'!AG$1:AG$400,0)),AG$2,)</f>
        <v>0</v>
      </c>
      <c r="AH98" s="155">
        <f ca="1">IF(ISNUMBER(MATCH(DATEVALUE($A98),'recurring1_based on steps'!AH$1:AH$400,0)),AH$2,)</f>
        <v>0</v>
      </c>
      <c r="AI98" s="155">
        <f ca="1">IF(ISNUMBER(MATCH(DATEVALUE($A98),'recurring1_based on steps'!AI$1:AI$400,0)),AI$2,)</f>
        <v>0</v>
      </c>
      <c r="AJ98" s="155">
        <f ca="1">IF(ISNUMBER(MATCH(DATEVALUE($A98),'recurring1_based on steps'!AJ$1:AJ$400,0)),AJ$2,)</f>
        <v>0</v>
      </c>
      <c r="AK98" s="155">
        <f ca="1">IF(ISNUMBER(MATCH(DATEVALUE($A98),'recurring1_based on steps'!AK$1:AK$400,0)),AK$2,)</f>
        <v>0</v>
      </c>
      <c r="AL98" s="155">
        <f ca="1">IF(ISNUMBER(MATCH(DATEVALUE($A98),'recurring1_based on steps'!AL$1:AL$400,0)),AL$2,)</f>
        <v>0</v>
      </c>
      <c r="AM98" s="155">
        <f ca="1">IF(ISNUMBER(MATCH(DATEVALUE($A98),'recurring1_based on steps'!AM$1:AM$400,0)),AM$2,)</f>
        <v>0</v>
      </c>
      <c r="AN98" s="155">
        <f ca="1">IF(ISNUMBER(MATCH(DATEVALUE($A98),'recurring1_based on steps'!AN$1:AN$400,0)),AN$2,)</f>
        <v>0</v>
      </c>
      <c r="AO98" s="155">
        <f ca="1">IF(ISNUMBER(MATCH(DATEVALUE($A98),'recurring1_based on steps'!AO$1:AO$400,0)),AO$2,)</f>
        <v>0</v>
      </c>
      <c r="AP98" s="155">
        <f ca="1">IF(ISNUMBER(MATCH(DATEVALUE($A98),'recurring1_based on steps'!AP$1:AP$400,0)),AP$2,)</f>
        <v>0</v>
      </c>
      <c r="AQ98" s="155">
        <f ca="1">IF(ISNUMBER(MATCH(DATEVALUE($A98),'recurring1_based on steps'!AQ$1:AQ$400,0)),AQ$2,)</f>
        <v>0</v>
      </c>
      <c r="AR98" s="155">
        <f ca="1">IF(ISNUMBER(MATCH(DATEVALUE($A98),'recurring1_based on steps'!AR$1:AR$400,0)),AR$2,)</f>
        <v>0</v>
      </c>
      <c r="AS98" s="155">
        <f ca="1">IF(ISNUMBER(MATCH(DATEVALUE($A98),'recurring1_based on steps'!AS$1:AS$400,0)),AS$2,)</f>
        <v>0</v>
      </c>
      <c r="AT98" s="155">
        <f ca="1">IF(ISNUMBER(MATCH(DATEVALUE($A98),'recurring1_based on steps'!AT$1:AT$400,0)),AT$2,)</f>
        <v>0</v>
      </c>
      <c r="AU98" s="155">
        <f ca="1">IF(ISNUMBER(MATCH(DATEVALUE($A98),'recurring1_based on steps'!AU$1:AU$400,0)),AU$2,)</f>
        <v>0</v>
      </c>
      <c r="AV98" s="155">
        <f ca="1">IF(ISNUMBER(MATCH(DATEVALUE($A98),'recurring1_based on steps'!AV$1:AV$400,0)),AV$2,)</f>
        <v>0</v>
      </c>
      <c r="AW98" s="155">
        <f ca="1">IF(ISNUMBER(MATCH(DATEVALUE($A98),'recurring1_based on steps'!AW$1:AW$400,0)),AW$2,)</f>
        <v>0</v>
      </c>
      <c r="AX98" s="155">
        <f ca="1">IF(ISNUMBER(MATCH(DATEVALUE($A98),'recurring1_based on steps'!AX$1:AX$400,0)),AX$2,)</f>
        <v>0</v>
      </c>
      <c r="AY98" s="155">
        <f ca="1">IF(ISNUMBER(MATCH(DATEVALUE($A98),'recurring1_based on steps'!AY$1:AY$400,0)),AY$2,)</f>
        <v>0</v>
      </c>
    </row>
    <row r="99" spans="1:51" x14ac:dyDescent="0.2">
      <c r="A99" s="18" t="str">
        <f t="shared" ca="1" si="1"/>
        <v>2025-05-08</v>
      </c>
      <c r="B99" s="155">
        <f ca="1">IF(ISNUMBER(MATCH(DATEVALUE($A99),'recurring1_based on steps'!B$1:B$400,0)),B$2,)</f>
        <v>0</v>
      </c>
      <c r="C99" s="155">
        <f ca="1">IF(ISNUMBER(MATCH(DATEVALUE($A99),'recurring1_based on steps'!C$1:C$400,0)),C$2,)</f>
        <v>0</v>
      </c>
      <c r="D99" s="155">
        <f ca="1">IF(ISNUMBER(MATCH(DATEVALUE($A99),'recurring1_based on steps'!D$1:D$400,0)),D$2,)</f>
        <v>0</v>
      </c>
      <c r="E99" s="155">
        <f ca="1">IF(ISNUMBER(MATCH(DATEVALUE($A99),'recurring1_based on steps'!E$1:E$400,0)),E$2,)</f>
        <v>0</v>
      </c>
      <c r="F99" s="155">
        <f ca="1">IF(ISNUMBER(MATCH(DATEVALUE($A99),'recurring1_based on steps'!F$1:F$400,0)),F$2,)</f>
        <v>0</v>
      </c>
      <c r="G99" s="155">
        <f ca="1">IF(ISNUMBER(MATCH(DATEVALUE($A99),'recurring1_based on steps'!G$1:G$400,0)),G$2,)</f>
        <v>0</v>
      </c>
      <c r="H99" s="155">
        <f ca="1">IF(ISNUMBER(MATCH(DATEVALUE($A99),'recurring1_based on steps'!H$1:H$400,0)),H$2,)</f>
        <v>0</v>
      </c>
      <c r="I99" s="155">
        <f ca="1">IF(ISNUMBER(MATCH(DATEVALUE($A99),'recurring1_based on steps'!I$1:I$400,0)),I$2,)</f>
        <v>0</v>
      </c>
      <c r="J99" s="155">
        <f ca="1">IF(ISNUMBER(MATCH(DATEVALUE($A99),'recurring1_based on steps'!J$1:J$400,0)),J$2,)</f>
        <v>0</v>
      </c>
      <c r="K99" s="155">
        <f ca="1">IF(ISNUMBER(MATCH(DATEVALUE($A99),'recurring1_based on steps'!K$1:K$400,0)),K$2,)</f>
        <v>0</v>
      </c>
      <c r="L99" s="155">
        <f ca="1">IF(ISNUMBER(MATCH(DATEVALUE($A99),'recurring1_based on steps'!L$1:L$400,0)),L$2,)</f>
        <v>0</v>
      </c>
      <c r="M99" s="155">
        <f ca="1">IF(ISNUMBER(MATCH(DATEVALUE($A99),'recurring1_based on steps'!M$1:M$400,0)),M$2,)</f>
        <v>0</v>
      </c>
      <c r="N99" s="155">
        <f ca="1">IF(ISNUMBER(MATCH(DATEVALUE($A99),'recurring1_based on steps'!N$1:N$400,0)),N$2,)</f>
        <v>0</v>
      </c>
      <c r="O99" s="155">
        <f ca="1">IF(ISNUMBER(MATCH(DATEVALUE($A99),'recurring1_based on steps'!O$1:O$400,0)),O$2,)</f>
        <v>0</v>
      </c>
      <c r="P99" s="155">
        <f ca="1">IF(ISNUMBER(MATCH(DATEVALUE($A99),'recurring1_based on steps'!P$1:P$400,0)),P$2,)</f>
        <v>0</v>
      </c>
      <c r="Q99" s="155">
        <f ca="1">IF(ISNUMBER(MATCH(DATEVALUE($A99),'recurring1_based on steps'!Q$1:Q$400,0)),Q$2,)</f>
        <v>0</v>
      </c>
      <c r="R99" s="155">
        <f ca="1">IF(ISNUMBER(MATCH(DATEVALUE($A99),'recurring1_based on steps'!R$1:R$400,0)),R$2,)</f>
        <v>0</v>
      </c>
      <c r="S99" s="155">
        <f ca="1">IF(ISNUMBER(MATCH(DATEVALUE($A99),'recurring1_based on steps'!S$1:S$400,0)),S$2,)</f>
        <v>0</v>
      </c>
      <c r="T99" s="155">
        <f ca="1">IF(ISNUMBER(MATCH(DATEVALUE($A99),'recurring1_based on steps'!T$1:T$400,0)),T$2,)</f>
        <v>0</v>
      </c>
      <c r="U99" s="155">
        <f ca="1">IF(ISNUMBER(MATCH(DATEVALUE($A99),'recurring1_based on steps'!U$1:U$400,0)),U$2,)</f>
        <v>0</v>
      </c>
      <c r="V99" s="155">
        <f ca="1">IF(ISNUMBER(MATCH(DATEVALUE($A99),'recurring1_based on steps'!V$1:V$400,0)),V$2,)</f>
        <v>0</v>
      </c>
      <c r="W99" s="155">
        <f ca="1">IF(ISNUMBER(MATCH(DATEVALUE($A99),'recurring1_based on steps'!W$1:W$400,0)),W$2,)</f>
        <v>0</v>
      </c>
      <c r="X99" s="155">
        <f ca="1">IF(ISNUMBER(MATCH(DATEVALUE($A99),'recurring1_based on steps'!X$1:X$400,0)),X$2,)</f>
        <v>0</v>
      </c>
      <c r="Y99" s="155">
        <f ca="1">IF(ISNUMBER(MATCH(DATEVALUE($A99),'recurring1_based on steps'!Y$1:Y$400,0)),Y$2,)</f>
        <v>0</v>
      </c>
      <c r="Z99" s="155">
        <f ca="1">IF(ISNUMBER(MATCH(DATEVALUE($A99),'recurring1_based on steps'!Z$1:Z$400,0)),Z$2,)</f>
        <v>0</v>
      </c>
      <c r="AA99" s="155">
        <f ca="1">IF(ISNUMBER(MATCH(DATEVALUE($A99),'recurring1_based on steps'!AA$1:AA$400,0)),AA$2,)</f>
        <v>0</v>
      </c>
      <c r="AB99" s="155">
        <f ca="1">IF(ISNUMBER(MATCH(DATEVALUE($A99),'recurring1_based on steps'!AB$1:AB$400,0)),AB$2,)</f>
        <v>0</v>
      </c>
      <c r="AC99" s="155">
        <f ca="1">IF(ISNUMBER(MATCH(DATEVALUE($A99),'recurring1_based on steps'!AC$1:AC$400,0)),AC$2,)</f>
        <v>0</v>
      </c>
      <c r="AD99" s="155">
        <f ca="1">IF(ISNUMBER(MATCH(DATEVALUE($A99),'recurring1_based on steps'!AD$1:AD$400,0)),AD$2,)</f>
        <v>0</v>
      </c>
      <c r="AE99" s="155">
        <f ca="1">IF(ISNUMBER(MATCH(DATEVALUE($A99),'recurring1_based on steps'!AE$1:AE$400,0)),AE$2,)</f>
        <v>0</v>
      </c>
      <c r="AF99" s="155">
        <f ca="1">IF(ISNUMBER(MATCH(DATEVALUE($A99),'recurring1_based on steps'!AF$1:AF$400,0)),AF$2,)</f>
        <v>0</v>
      </c>
      <c r="AG99" s="155">
        <f ca="1">IF(ISNUMBER(MATCH(DATEVALUE($A99),'recurring1_based on steps'!AG$1:AG$400,0)),AG$2,)</f>
        <v>0</v>
      </c>
      <c r="AH99" s="155">
        <f ca="1">IF(ISNUMBER(MATCH(DATEVALUE($A99),'recurring1_based on steps'!AH$1:AH$400,0)),AH$2,)</f>
        <v>0</v>
      </c>
      <c r="AI99" s="155">
        <f ca="1">IF(ISNUMBER(MATCH(DATEVALUE($A99),'recurring1_based on steps'!AI$1:AI$400,0)),AI$2,)</f>
        <v>0</v>
      </c>
      <c r="AJ99" s="155">
        <f ca="1">IF(ISNUMBER(MATCH(DATEVALUE($A99),'recurring1_based on steps'!AJ$1:AJ$400,0)),AJ$2,)</f>
        <v>0</v>
      </c>
      <c r="AK99" s="155">
        <f ca="1">IF(ISNUMBER(MATCH(DATEVALUE($A99),'recurring1_based on steps'!AK$1:AK$400,0)),AK$2,)</f>
        <v>0</v>
      </c>
      <c r="AL99" s="155">
        <f ca="1">IF(ISNUMBER(MATCH(DATEVALUE($A99),'recurring1_based on steps'!AL$1:AL$400,0)),AL$2,)</f>
        <v>0</v>
      </c>
      <c r="AM99" s="155">
        <f ca="1">IF(ISNUMBER(MATCH(DATEVALUE($A99),'recurring1_based on steps'!AM$1:AM$400,0)),AM$2,)</f>
        <v>0</v>
      </c>
      <c r="AN99" s="155">
        <f ca="1">IF(ISNUMBER(MATCH(DATEVALUE($A99),'recurring1_based on steps'!AN$1:AN$400,0)),AN$2,)</f>
        <v>0</v>
      </c>
      <c r="AO99" s="155">
        <f ca="1">IF(ISNUMBER(MATCH(DATEVALUE($A99),'recurring1_based on steps'!AO$1:AO$400,0)),AO$2,)</f>
        <v>0</v>
      </c>
      <c r="AP99" s="155">
        <f ca="1">IF(ISNUMBER(MATCH(DATEVALUE($A99),'recurring1_based on steps'!AP$1:AP$400,0)),AP$2,)</f>
        <v>0</v>
      </c>
      <c r="AQ99" s="155">
        <f ca="1">IF(ISNUMBER(MATCH(DATEVALUE($A99),'recurring1_based on steps'!AQ$1:AQ$400,0)),AQ$2,)</f>
        <v>0</v>
      </c>
      <c r="AR99" s="155">
        <f ca="1">IF(ISNUMBER(MATCH(DATEVALUE($A99),'recurring1_based on steps'!AR$1:AR$400,0)),AR$2,)</f>
        <v>0</v>
      </c>
      <c r="AS99" s="155">
        <f ca="1">IF(ISNUMBER(MATCH(DATEVALUE($A99),'recurring1_based on steps'!AS$1:AS$400,0)),AS$2,)</f>
        <v>0</v>
      </c>
      <c r="AT99" s="155">
        <f ca="1">IF(ISNUMBER(MATCH(DATEVALUE($A99),'recurring1_based on steps'!AT$1:AT$400,0)),AT$2,)</f>
        <v>0</v>
      </c>
      <c r="AU99" s="155">
        <f ca="1">IF(ISNUMBER(MATCH(DATEVALUE($A99),'recurring1_based on steps'!AU$1:AU$400,0)),AU$2,)</f>
        <v>0</v>
      </c>
      <c r="AV99" s="155">
        <f ca="1">IF(ISNUMBER(MATCH(DATEVALUE($A99),'recurring1_based on steps'!AV$1:AV$400,0)),AV$2,)</f>
        <v>0</v>
      </c>
      <c r="AW99" s="155">
        <f ca="1">IF(ISNUMBER(MATCH(DATEVALUE($A99),'recurring1_based on steps'!AW$1:AW$400,0)),AW$2,)</f>
        <v>0</v>
      </c>
      <c r="AX99" s="155">
        <f ca="1">IF(ISNUMBER(MATCH(DATEVALUE($A99),'recurring1_based on steps'!AX$1:AX$400,0)),AX$2,)</f>
        <v>0</v>
      </c>
      <c r="AY99" s="155">
        <f ca="1">IF(ISNUMBER(MATCH(DATEVALUE($A99),'recurring1_based on steps'!AY$1:AY$400,0)),AY$2,)</f>
        <v>0</v>
      </c>
    </row>
    <row r="100" spans="1:51" x14ac:dyDescent="0.2">
      <c r="A100" s="18" t="str">
        <f t="shared" ca="1" si="1"/>
        <v>2025-05-09</v>
      </c>
      <c r="B100" s="155">
        <f ca="1">IF(ISNUMBER(MATCH(DATEVALUE($A100),'recurring1_based on steps'!B$1:B$400,0)),B$2,)</f>
        <v>0</v>
      </c>
      <c r="C100" s="155">
        <f ca="1">IF(ISNUMBER(MATCH(DATEVALUE($A100),'recurring1_based on steps'!C$1:C$400,0)),C$2,)</f>
        <v>0</v>
      </c>
      <c r="D100" s="155">
        <f ca="1">IF(ISNUMBER(MATCH(DATEVALUE($A100),'recurring1_based on steps'!D$1:D$400,0)),D$2,)</f>
        <v>0</v>
      </c>
      <c r="E100" s="155">
        <f ca="1">IF(ISNUMBER(MATCH(DATEVALUE($A100),'recurring1_based on steps'!E$1:E$400,0)),E$2,)</f>
        <v>0</v>
      </c>
      <c r="F100" s="155">
        <f ca="1">IF(ISNUMBER(MATCH(DATEVALUE($A100),'recurring1_based on steps'!F$1:F$400,0)),F$2,)</f>
        <v>0</v>
      </c>
      <c r="G100" s="155">
        <f ca="1">IF(ISNUMBER(MATCH(DATEVALUE($A100),'recurring1_based on steps'!G$1:G$400,0)),G$2,)</f>
        <v>0</v>
      </c>
      <c r="H100" s="155">
        <f ca="1">IF(ISNUMBER(MATCH(DATEVALUE($A100),'recurring1_based on steps'!H$1:H$400,0)),H$2,)</f>
        <v>0</v>
      </c>
      <c r="I100" s="155">
        <f ca="1">IF(ISNUMBER(MATCH(DATEVALUE($A100),'recurring1_based on steps'!I$1:I$400,0)),I$2,)</f>
        <v>0</v>
      </c>
      <c r="J100" s="155">
        <f ca="1">IF(ISNUMBER(MATCH(DATEVALUE($A100),'recurring1_based on steps'!J$1:J$400,0)),J$2,)</f>
        <v>0</v>
      </c>
      <c r="K100" s="155">
        <f ca="1">IF(ISNUMBER(MATCH(DATEVALUE($A100),'recurring1_based on steps'!K$1:K$400,0)),K$2,)</f>
        <v>0</v>
      </c>
      <c r="L100" s="155">
        <f ca="1">IF(ISNUMBER(MATCH(DATEVALUE($A100),'recurring1_based on steps'!L$1:L$400,0)),L$2,)</f>
        <v>0</v>
      </c>
      <c r="M100" s="155">
        <f ca="1">IF(ISNUMBER(MATCH(DATEVALUE($A100),'recurring1_based on steps'!M$1:M$400,0)),M$2,)</f>
        <v>0</v>
      </c>
      <c r="N100" s="155">
        <f ca="1">IF(ISNUMBER(MATCH(DATEVALUE($A100),'recurring1_based on steps'!N$1:N$400,0)),N$2,)</f>
        <v>0</v>
      </c>
      <c r="O100" s="155">
        <f ca="1">IF(ISNUMBER(MATCH(DATEVALUE($A100),'recurring1_based on steps'!O$1:O$400,0)),O$2,)</f>
        <v>0</v>
      </c>
      <c r="P100" s="155">
        <f ca="1">IF(ISNUMBER(MATCH(DATEVALUE($A100),'recurring1_based on steps'!P$1:P$400,0)),P$2,)</f>
        <v>0</v>
      </c>
      <c r="Q100" s="155">
        <f ca="1">IF(ISNUMBER(MATCH(DATEVALUE($A100),'recurring1_based on steps'!Q$1:Q$400,0)),Q$2,)</f>
        <v>0</v>
      </c>
      <c r="R100" s="155">
        <f ca="1">IF(ISNUMBER(MATCH(DATEVALUE($A100),'recurring1_based on steps'!R$1:R$400,0)),R$2,)</f>
        <v>0</v>
      </c>
      <c r="S100" s="155">
        <f ca="1">IF(ISNUMBER(MATCH(DATEVALUE($A100),'recurring1_based on steps'!S$1:S$400,0)),S$2,)</f>
        <v>0</v>
      </c>
      <c r="T100" s="155">
        <f ca="1">IF(ISNUMBER(MATCH(DATEVALUE($A100),'recurring1_based on steps'!T$1:T$400,0)),T$2,)</f>
        <v>0</v>
      </c>
      <c r="U100" s="155">
        <f ca="1">IF(ISNUMBER(MATCH(DATEVALUE($A100),'recurring1_based on steps'!U$1:U$400,0)),U$2,)</f>
        <v>0</v>
      </c>
      <c r="V100" s="155">
        <f ca="1">IF(ISNUMBER(MATCH(DATEVALUE($A100),'recurring1_based on steps'!V$1:V$400,0)),V$2,)</f>
        <v>0</v>
      </c>
      <c r="W100" s="155">
        <f ca="1">IF(ISNUMBER(MATCH(DATEVALUE($A100),'recurring1_based on steps'!W$1:W$400,0)),W$2,)</f>
        <v>0</v>
      </c>
      <c r="X100" s="155">
        <f ca="1">IF(ISNUMBER(MATCH(DATEVALUE($A100),'recurring1_based on steps'!X$1:X$400,0)),X$2,)</f>
        <v>0</v>
      </c>
      <c r="Y100" s="155">
        <f ca="1">IF(ISNUMBER(MATCH(DATEVALUE($A100),'recurring1_based on steps'!Y$1:Y$400,0)),Y$2,)</f>
        <v>0</v>
      </c>
      <c r="Z100" s="155">
        <f ca="1">IF(ISNUMBER(MATCH(DATEVALUE($A100),'recurring1_based on steps'!Z$1:Z$400,0)),Z$2,)</f>
        <v>0</v>
      </c>
      <c r="AA100" s="155">
        <f ca="1">IF(ISNUMBER(MATCH(DATEVALUE($A100),'recurring1_based on steps'!AA$1:AA$400,0)),AA$2,)</f>
        <v>0</v>
      </c>
      <c r="AB100" s="155">
        <f ca="1">IF(ISNUMBER(MATCH(DATEVALUE($A100),'recurring1_based on steps'!AB$1:AB$400,0)),AB$2,)</f>
        <v>0</v>
      </c>
      <c r="AC100" s="155">
        <f ca="1">IF(ISNUMBER(MATCH(DATEVALUE($A100),'recurring1_based on steps'!AC$1:AC$400,0)),AC$2,)</f>
        <v>0</v>
      </c>
      <c r="AD100" s="155">
        <f ca="1">IF(ISNUMBER(MATCH(DATEVALUE($A100),'recurring1_based on steps'!AD$1:AD$400,0)),AD$2,)</f>
        <v>0</v>
      </c>
      <c r="AE100" s="155">
        <f ca="1">IF(ISNUMBER(MATCH(DATEVALUE($A100),'recurring1_based on steps'!AE$1:AE$400,0)),AE$2,)</f>
        <v>0</v>
      </c>
      <c r="AF100" s="155">
        <f ca="1">IF(ISNUMBER(MATCH(DATEVALUE($A100),'recurring1_based on steps'!AF$1:AF$400,0)),AF$2,)</f>
        <v>0</v>
      </c>
      <c r="AG100" s="155">
        <f ca="1">IF(ISNUMBER(MATCH(DATEVALUE($A100),'recurring1_based on steps'!AG$1:AG$400,0)),AG$2,)</f>
        <v>0</v>
      </c>
      <c r="AH100" s="155">
        <f ca="1">IF(ISNUMBER(MATCH(DATEVALUE($A100),'recurring1_based on steps'!AH$1:AH$400,0)),AH$2,)</f>
        <v>0</v>
      </c>
      <c r="AI100" s="155">
        <f ca="1">IF(ISNUMBER(MATCH(DATEVALUE($A100),'recurring1_based on steps'!AI$1:AI$400,0)),AI$2,)</f>
        <v>0</v>
      </c>
      <c r="AJ100" s="155">
        <f ca="1">IF(ISNUMBER(MATCH(DATEVALUE($A100),'recurring1_based on steps'!AJ$1:AJ$400,0)),AJ$2,)</f>
        <v>0</v>
      </c>
      <c r="AK100" s="155">
        <f ca="1">IF(ISNUMBER(MATCH(DATEVALUE($A100),'recurring1_based on steps'!AK$1:AK$400,0)),AK$2,)</f>
        <v>0</v>
      </c>
      <c r="AL100" s="155">
        <f ca="1">IF(ISNUMBER(MATCH(DATEVALUE($A100),'recurring1_based on steps'!AL$1:AL$400,0)),AL$2,)</f>
        <v>0</v>
      </c>
      <c r="AM100" s="155">
        <f ca="1">IF(ISNUMBER(MATCH(DATEVALUE($A100),'recurring1_based on steps'!AM$1:AM$400,0)),AM$2,)</f>
        <v>0</v>
      </c>
      <c r="AN100" s="155">
        <f ca="1">IF(ISNUMBER(MATCH(DATEVALUE($A100),'recurring1_based on steps'!AN$1:AN$400,0)),AN$2,)</f>
        <v>0</v>
      </c>
      <c r="AO100" s="155">
        <f ca="1">IF(ISNUMBER(MATCH(DATEVALUE($A100),'recurring1_based on steps'!AO$1:AO$400,0)),AO$2,)</f>
        <v>0</v>
      </c>
      <c r="AP100" s="155">
        <f ca="1">IF(ISNUMBER(MATCH(DATEVALUE($A100),'recurring1_based on steps'!AP$1:AP$400,0)),AP$2,)</f>
        <v>0</v>
      </c>
      <c r="AQ100" s="155">
        <f ca="1">IF(ISNUMBER(MATCH(DATEVALUE($A100),'recurring1_based on steps'!AQ$1:AQ$400,0)),AQ$2,)</f>
        <v>0</v>
      </c>
      <c r="AR100" s="155">
        <f ca="1">IF(ISNUMBER(MATCH(DATEVALUE($A100),'recurring1_based on steps'!AR$1:AR$400,0)),AR$2,)</f>
        <v>0</v>
      </c>
      <c r="AS100" s="155">
        <f ca="1">IF(ISNUMBER(MATCH(DATEVALUE($A100),'recurring1_based on steps'!AS$1:AS$400,0)),AS$2,)</f>
        <v>0</v>
      </c>
      <c r="AT100" s="155">
        <f ca="1">IF(ISNUMBER(MATCH(DATEVALUE($A100),'recurring1_based on steps'!AT$1:AT$400,0)),AT$2,)</f>
        <v>0</v>
      </c>
      <c r="AU100" s="155">
        <f ca="1">IF(ISNUMBER(MATCH(DATEVALUE($A100),'recurring1_based on steps'!AU$1:AU$400,0)),AU$2,)</f>
        <v>0</v>
      </c>
      <c r="AV100" s="155">
        <f ca="1">IF(ISNUMBER(MATCH(DATEVALUE($A100),'recurring1_based on steps'!AV$1:AV$400,0)),AV$2,)</f>
        <v>0</v>
      </c>
      <c r="AW100" s="155">
        <f ca="1">IF(ISNUMBER(MATCH(DATEVALUE($A100),'recurring1_based on steps'!AW$1:AW$400,0)),AW$2,)</f>
        <v>0</v>
      </c>
      <c r="AX100" s="155">
        <f ca="1">IF(ISNUMBER(MATCH(DATEVALUE($A100),'recurring1_based on steps'!AX$1:AX$400,0)),AX$2,)</f>
        <v>0</v>
      </c>
      <c r="AY100" s="155">
        <f ca="1">IF(ISNUMBER(MATCH(DATEVALUE($A100),'recurring1_based on steps'!AY$1:AY$400,0)),AY$2,)</f>
        <v>0</v>
      </c>
    </row>
    <row r="101" spans="1:51" x14ac:dyDescent="0.2">
      <c r="A101" s="18" t="str">
        <f t="shared" ca="1" si="1"/>
        <v>2025-05-10</v>
      </c>
      <c r="B101" s="155">
        <f ca="1">IF(ISNUMBER(MATCH(DATEVALUE($A101),'recurring1_based on steps'!B$1:B$400,0)),B$2,)</f>
        <v>0</v>
      </c>
      <c r="C101" s="155">
        <f ca="1">IF(ISNUMBER(MATCH(DATEVALUE($A101),'recurring1_based on steps'!C$1:C$400,0)),C$2,)</f>
        <v>0</v>
      </c>
      <c r="D101" s="155">
        <f ca="1">IF(ISNUMBER(MATCH(DATEVALUE($A101),'recurring1_based on steps'!D$1:D$400,0)),D$2,)</f>
        <v>0</v>
      </c>
      <c r="E101" s="155">
        <f ca="1">IF(ISNUMBER(MATCH(DATEVALUE($A101),'recurring1_based on steps'!E$1:E$400,0)),E$2,)</f>
        <v>0</v>
      </c>
      <c r="F101" s="155">
        <f ca="1">IF(ISNUMBER(MATCH(DATEVALUE($A101),'recurring1_based on steps'!F$1:F$400,0)),F$2,)</f>
        <v>0</v>
      </c>
      <c r="G101" s="155">
        <f ca="1">IF(ISNUMBER(MATCH(DATEVALUE($A101),'recurring1_based on steps'!G$1:G$400,0)),G$2,)</f>
        <v>0</v>
      </c>
      <c r="H101" s="155">
        <f ca="1">IF(ISNUMBER(MATCH(DATEVALUE($A101),'recurring1_based on steps'!H$1:H$400,0)),H$2,)</f>
        <v>0</v>
      </c>
      <c r="I101" s="155">
        <f ca="1">IF(ISNUMBER(MATCH(DATEVALUE($A101),'recurring1_based on steps'!I$1:I$400,0)),I$2,)</f>
        <v>0</v>
      </c>
      <c r="J101" s="155">
        <f ca="1">IF(ISNUMBER(MATCH(DATEVALUE($A101),'recurring1_based on steps'!J$1:J$400,0)),J$2,)</f>
        <v>0</v>
      </c>
      <c r="K101" s="155">
        <f ca="1">IF(ISNUMBER(MATCH(DATEVALUE($A101),'recurring1_based on steps'!K$1:K$400,0)),K$2,)</f>
        <v>0</v>
      </c>
      <c r="L101" s="155">
        <f ca="1">IF(ISNUMBER(MATCH(DATEVALUE($A101),'recurring1_based on steps'!L$1:L$400,0)),L$2,)</f>
        <v>0</v>
      </c>
      <c r="M101" s="155">
        <f ca="1">IF(ISNUMBER(MATCH(DATEVALUE($A101),'recurring1_based on steps'!M$1:M$400,0)),M$2,)</f>
        <v>0</v>
      </c>
      <c r="N101" s="155">
        <f ca="1">IF(ISNUMBER(MATCH(DATEVALUE($A101),'recurring1_based on steps'!N$1:N$400,0)),N$2,)</f>
        <v>0</v>
      </c>
      <c r="O101" s="155">
        <f ca="1">IF(ISNUMBER(MATCH(DATEVALUE($A101),'recurring1_based on steps'!O$1:O$400,0)),O$2,)</f>
        <v>0</v>
      </c>
      <c r="P101" s="155">
        <f ca="1">IF(ISNUMBER(MATCH(DATEVALUE($A101),'recurring1_based on steps'!P$1:P$400,0)),P$2,)</f>
        <v>0</v>
      </c>
      <c r="Q101" s="155">
        <f ca="1">IF(ISNUMBER(MATCH(DATEVALUE($A101),'recurring1_based on steps'!Q$1:Q$400,0)),Q$2,)</f>
        <v>100</v>
      </c>
      <c r="R101" s="155">
        <f ca="1">IF(ISNUMBER(MATCH(DATEVALUE($A101),'recurring1_based on steps'!R$1:R$400,0)),R$2,)</f>
        <v>100</v>
      </c>
      <c r="S101" s="155">
        <f ca="1">IF(ISNUMBER(MATCH(DATEVALUE($A101),'recurring1_based on steps'!S$1:S$400,0)),S$2,)</f>
        <v>0</v>
      </c>
      <c r="T101" s="155">
        <f ca="1">IF(ISNUMBER(MATCH(DATEVALUE($A101),'recurring1_based on steps'!T$1:T$400,0)),T$2,)</f>
        <v>0</v>
      </c>
      <c r="U101" s="155">
        <f ca="1">IF(ISNUMBER(MATCH(DATEVALUE($A101),'recurring1_based on steps'!U$1:U$400,0)),U$2,)</f>
        <v>0</v>
      </c>
      <c r="V101" s="155">
        <f ca="1">IF(ISNUMBER(MATCH(DATEVALUE($A101),'recurring1_based on steps'!V$1:V$400,0)),V$2,)</f>
        <v>0</v>
      </c>
      <c r="W101" s="155">
        <f ca="1">IF(ISNUMBER(MATCH(DATEVALUE($A101),'recurring1_based on steps'!W$1:W$400,0)),W$2,)</f>
        <v>0</v>
      </c>
      <c r="X101" s="155">
        <f ca="1">IF(ISNUMBER(MATCH(DATEVALUE($A101),'recurring1_based on steps'!X$1:X$400,0)),X$2,)</f>
        <v>0</v>
      </c>
      <c r="Y101" s="155">
        <f ca="1">IF(ISNUMBER(MATCH(DATEVALUE($A101),'recurring1_based on steps'!Y$1:Y$400,0)),Y$2,)</f>
        <v>0</v>
      </c>
      <c r="Z101" s="155">
        <f ca="1">IF(ISNUMBER(MATCH(DATEVALUE($A101),'recurring1_based on steps'!Z$1:Z$400,0)),Z$2,)</f>
        <v>0</v>
      </c>
      <c r="AA101" s="155">
        <f ca="1">IF(ISNUMBER(MATCH(DATEVALUE($A101),'recurring1_based on steps'!AA$1:AA$400,0)),AA$2,)</f>
        <v>0</v>
      </c>
      <c r="AB101" s="155">
        <f ca="1">IF(ISNUMBER(MATCH(DATEVALUE($A101),'recurring1_based on steps'!AB$1:AB$400,0)),AB$2,)</f>
        <v>0</v>
      </c>
      <c r="AC101" s="155">
        <f ca="1">IF(ISNUMBER(MATCH(DATEVALUE($A101),'recurring1_based on steps'!AC$1:AC$400,0)),AC$2,)</f>
        <v>0</v>
      </c>
      <c r="AD101" s="155">
        <f ca="1">IF(ISNUMBER(MATCH(DATEVALUE($A101),'recurring1_based on steps'!AD$1:AD$400,0)),AD$2,)</f>
        <v>0</v>
      </c>
      <c r="AE101" s="155">
        <f ca="1">IF(ISNUMBER(MATCH(DATEVALUE($A101),'recurring1_based on steps'!AE$1:AE$400,0)),AE$2,)</f>
        <v>0</v>
      </c>
      <c r="AF101" s="155">
        <f ca="1">IF(ISNUMBER(MATCH(DATEVALUE($A101),'recurring1_based on steps'!AF$1:AF$400,0)),AF$2,)</f>
        <v>0</v>
      </c>
      <c r="AG101" s="155">
        <f ca="1">IF(ISNUMBER(MATCH(DATEVALUE($A101),'recurring1_based on steps'!AG$1:AG$400,0)),AG$2,)</f>
        <v>0</v>
      </c>
      <c r="AH101" s="155">
        <f ca="1">IF(ISNUMBER(MATCH(DATEVALUE($A101),'recurring1_based on steps'!AH$1:AH$400,0)),AH$2,)</f>
        <v>0</v>
      </c>
      <c r="AI101" s="155">
        <f ca="1">IF(ISNUMBER(MATCH(DATEVALUE($A101),'recurring1_based on steps'!AI$1:AI$400,0)),AI$2,)</f>
        <v>0</v>
      </c>
      <c r="AJ101" s="155">
        <f ca="1">IF(ISNUMBER(MATCH(DATEVALUE($A101),'recurring1_based on steps'!AJ$1:AJ$400,0)),AJ$2,)</f>
        <v>0</v>
      </c>
      <c r="AK101" s="155">
        <f ca="1">IF(ISNUMBER(MATCH(DATEVALUE($A101),'recurring1_based on steps'!AK$1:AK$400,0)),AK$2,)</f>
        <v>0</v>
      </c>
      <c r="AL101" s="155">
        <f ca="1">IF(ISNUMBER(MATCH(DATEVALUE($A101),'recurring1_based on steps'!AL$1:AL$400,0)),AL$2,)</f>
        <v>0</v>
      </c>
      <c r="AM101" s="155">
        <f ca="1">IF(ISNUMBER(MATCH(DATEVALUE($A101),'recurring1_based on steps'!AM$1:AM$400,0)),AM$2,)</f>
        <v>0</v>
      </c>
      <c r="AN101" s="155">
        <f ca="1">IF(ISNUMBER(MATCH(DATEVALUE($A101),'recurring1_based on steps'!AN$1:AN$400,0)),AN$2,)</f>
        <v>0</v>
      </c>
      <c r="AO101" s="155">
        <f ca="1">IF(ISNUMBER(MATCH(DATEVALUE($A101),'recurring1_based on steps'!AO$1:AO$400,0)),AO$2,)</f>
        <v>0</v>
      </c>
      <c r="AP101" s="155">
        <f ca="1">IF(ISNUMBER(MATCH(DATEVALUE($A101),'recurring1_based on steps'!AP$1:AP$400,0)),AP$2,)</f>
        <v>0</v>
      </c>
      <c r="AQ101" s="155">
        <f ca="1">IF(ISNUMBER(MATCH(DATEVALUE($A101),'recurring1_based on steps'!AQ$1:AQ$400,0)),AQ$2,)</f>
        <v>0</v>
      </c>
      <c r="AR101" s="155">
        <f ca="1">IF(ISNUMBER(MATCH(DATEVALUE($A101),'recurring1_based on steps'!AR$1:AR$400,0)),AR$2,)</f>
        <v>0</v>
      </c>
      <c r="AS101" s="155">
        <f ca="1">IF(ISNUMBER(MATCH(DATEVALUE($A101),'recurring1_based on steps'!AS$1:AS$400,0)),AS$2,)</f>
        <v>0</v>
      </c>
      <c r="AT101" s="155">
        <f ca="1">IF(ISNUMBER(MATCH(DATEVALUE($A101),'recurring1_based on steps'!AT$1:AT$400,0)),AT$2,)</f>
        <v>0</v>
      </c>
      <c r="AU101" s="155">
        <f ca="1">IF(ISNUMBER(MATCH(DATEVALUE($A101),'recurring1_based on steps'!AU$1:AU$400,0)),AU$2,)</f>
        <v>0</v>
      </c>
      <c r="AV101" s="155">
        <f ca="1">IF(ISNUMBER(MATCH(DATEVALUE($A101),'recurring1_based on steps'!AV$1:AV$400,0)),AV$2,)</f>
        <v>0</v>
      </c>
      <c r="AW101" s="155">
        <f ca="1">IF(ISNUMBER(MATCH(DATEVALUE($A101),'recurring1_based on steps'!AW$1:AW$400,0)),AW$2,)</f>
        <v>0</v>
      </c>
      <c r="AX101" s="155">
        <f ca="1">IF(ISNUMBER(MATCH(DATEVALUE($A101),'recurring1_based on steps'!AX$1:AX$400,0)),AX$2,)</f>
        <v>0</v>
      </c>
      <c r="AY101" s="155">
        <f ca="1">IF(ISNUMBER(MATCH(DATEVALUE($A101),'recurring1_based on steps'!AY$1:AY$400,0)),AY$2,)</f>
        <v>0</v>
      </c>
    </row>
    <row r="102" spans="1:51" x14ac:dyDescent="0.2">
      <c r="A102" s="18" t="str">
        <f t="shared" ca="1" si="1"/>
        <v>2025-05-11</v>
      </c>
      <c r="B102" s="155">
        <f ca="1">IF(ISNUMBER(MATCH(DATEVALUE($A102),'recurring1_based on steps'!B$1:B$400,0)),B$2,)</f>
        <v>0</v>
      </c>
      <c r="C102" s="155">
        <f ca="1">IF(ISNUMBER(MATCH(DATEVALUE($A102),'recurring1_based on steps'!C$1:C$400,0)),C$2,)</f>
        <v>0</v>
      </c>
      <c r="D102" s="155">
        <f ca="1">IF(ISNUMBER(MATCH(DATEVALUE($A102),'recurring1_based on steps'!D$1:D$400,0)),D$2,)</f>
        <v>0</v>
      </c>
      <c r="E102" s="155">
        <f ca="1">IF(ISNUMBER(MATCH(DATEVALUE($A102),'recurring1_based on steps'!E$1:E$400,0)),E$2,)</f>
        <v>0</v>
      </c>
      <c r="F102" s="155">
        <f ca="1">IF(ISNUMBER(MATCH(DATEVALUE($A102),'recurring1_based on steps'!F$1:F$400,0)),F$2,)</f>
        <v>0</v>
      </c>
      <c r="G102" s="155">
        <f ca="1">IF(ISNUMBER(MATCH(DATEVALUE($A102),'recurring1_based on steps'!G$1:G$400,0)),G$2,)</f>
        <v>0</v>
      </c>
      <c r="H102" s="155">
        <f ca="1">IF(ISNUMBER(MATCH(DATEVALUE($A102),'recurring1_based on steps'!H$1:H$400,0)),H$2,)</f>
        <v>0</v>
      </c>
      <c r="I102" s="155">
        <f ca="1">IF(ISNUMBER(MATCH(DATEVALUE($A102),'recurring1_based on steps'!I$1:I$400,0)),I$2,)</f>
        <v>0</v>
      </c>
      <c r="J102" s="155">
        <f ca="1">IF(ISNUMBER(MATCH(DATEVALUE($A102),'recurring1_based on steps'!J$1:J$400,0)),J$2,)</f>
        <v>0</v>
      </c>
      <c r="K102" s="155">
        <f ca="1">IF(ISNUMBER(MATCH(DATEVALUE($A102),'recurring1_based on steps'!K$1:K$400,0)),K$2,)</f>
        <v>50</v>
      </c>
      <c r="L102" s="155">
        <f ca="1">IF(ISNUMBER(MATCH(DATEVALUE($A102),'recurring1_based on steps'!L$1:L$400,0)),L$2,)</f>
        <v>0</v>
      </c>
      <c r="M102" s="155">
        <f ca="1">IF(ISNUMBER(MATCH(DATEVALUE($A102),'recurring1_based on steps'!M$1:M$400,0)),M$2,)</f>
        <v>0</v>
      </c>
      <c r="N102" s="155">
        <f ca="1">IF(ISNUMBER(MATCH(DATEVALUE($A102),'recurring1_based on steps'!N$1:N$400,0)),N$2,)</f>
        <v>0</v>
      </c>
      <c r="O102" s="155">
        <f ca="1">IF(ISNUMBER(MATCH(DATEVALUE($A102),'recurring1_based on steps'!O$1:O$400,0)),O$2,)</f>
        <v>0</v>
      </c>
      <c r="P102" s="155">
        <f ca="1">IF(ISNUMBER(MATCH(DATEVALUE($A102),'recurring1_based on steps'!P$1:P$400,0)),P$2,)</f>
        <v>0</v>
      </c>
      <c r="Q102" s="155">
        <f ca="1">IF(ISNUMBER(MATCH(DATEVALUE($A102),'recurring1_based on steps'!Q$1:Q$400,0)),Q$2,)</f>
        <v>0</v>
      </c>
      <c r="R102" s="155">
        <f ca="1">IF(ISNUMBER(MATCH(DATEVALUE($A102),'recurring1_based on steps'!R$1:R$400,0)),R$2,)</f>
        <v>0</v>
      </c>
      <c r="S102" s="155">
        <f ca="1">IF(ISNUMBER(MATCH(DATEVALUE($A102),'recurring1_based on steps'!S$1:S$400,0)),S$2,)</f>
        <v>100</v>
      </c>
      <c r="T102" s="155">
        <f ca="1">IF(ISNUMBER(MATCH(DATEVALUE($A102),'recurring1_based on steps'!T$1:T$400,0)),T$2,)</f>
        <v>0</v>
      </c>
      <c r="U102" s="155">
        <f ca="1">IF(ISNUMBER(MATCH(DATEVALUE($A102),'recurring1_based on steps'!U$1:U$400,0)),U$2,)</f>
        <v>0</v>
      </c>
      <c r="V102" s="155">
        <f ca="1">IF(ISNUMBER(MATCH(DATEVALUE($A102),'recurring1_based on steps'!V$1:V$400,0)),V$2,)</f>
        <v>0</v>
      </c>
      <c r="W102" s="155">
        <f ca="1">IF(ISNUMBER(MATCH(DATEVALUE($A102),'recurring1_based on steps'!W$1:W$400,0)),W$2,)</f>
        <v>0</v>
      </c>
      <c r="X102" s="155">
        <f ca="1">IF(ISNUMBER(MATCH(DATEVALUE($A102),'recurring1_based on steps'!X$1:X$400,0)),X$2,)</f>
        <v>0</v>
      </c>
      <c r="Y102" s="155">
        <f ca="1">IF(ISNUMBER(MATCH(DATEVALUE($A102),'recurring1_based on steps'!Y$1:Y$400,0)),Y$2,)</f>
        <v>0</v>
      </c>
      <c r="Z102" s="155">
        <f ca="1">IF(ISNUMBER(MATCH(DATEVALUE($A102),'recurring1_based on steps'!Z$1:Z$400,0)),Z$2,)</f>
        <v>0</v>
      </c>
      <c r="AA102" s="155">
        <f ca="1">IF(ISNUMBER(MATCH(DATEVALUE($A102),'recurring1_based on steps'!AA$1:AA$400,0)),AA$2,)</f>
        <v>0</v>
      </c>
      <c r="AB102" s="155">
        <f ca="1">IF(ISNUMBER(MATCH(DATEVALUE($A102),'recurring1_based on steps'!AB$1:AB$400,0)),AB$2,)</f>
        <v>0</v>
      </c>
      <c r="AC102" s="155">
        <f ca="1">IF(ISNUMBER(MATCH(DATEVALUE($A102),'recurring1_based on steps'!AC$1:AC$400,0)),AC$2,)</f>
        <v>0</v>
      </c>
      <c r="AD102" s="155">
        <f ca="1">IF(ISNUMBER(MATCH(DATEVALUE($A102),'recurring1_based on steps'!AD$1:AD$400,0)),AD$2,)</f>
        <v>0</v>
      </c>
      <c r="AE102" s="155">
        <f ca="1">IF(ISNUMBER(MATCH(DATEVALUE($A102),'recurring1_based on steps'!AE$1:AE$400,0)),AE$2,)</f>
        <v>0</v>
      </c>
      <c r="AF102" s="155">
        <f ca="1">IF(ISNUMBER(MATCH(DATEVALUE($A102),'recurring1_based on steps'!AF$1:AF$400,0)),AF$2,)</f>
        <v>0</v>
      </c>
      <c r="AG102" s="155">
        <f ca="1">IF(ISNUMBER(MATCH(DATEVALUE($A102),'recurring1_based on steps'!AG$1:AG$400,0)),AG$2,)</f>
        <v>0</v>
      </c>
      <c r="AH102" s="155">
        <f ca="1">IF(ISNUMBER(MATCH(DATEVALUE($A102),'recurring1_based on steps'!AH$1:AH$400,0)),AH$2,)</f>
        <v>0</v>
      </c>
      <c r="AI102" s="155">
        <f ca="1">IF(ISNUMBER(MATCH(DATEVALUE($A102),'recurring1_based on steps'!AI$1:AI$400,0)),AI$2,)</f>
        <v>0</v>
      </c>
      <c r="AJ102" s="155">
        <f ca="1">IF(ISNUMBER(MATCH(DATEVALUE($A102),'recurring1_based on steps'!AJ$1:AJ$400,0)),AJ$2,)</f>
        <v>0</v>
      </c>
      <c r="AK102" s="155">
        <f ca="1">IF(ISNUMBER(MATCH(DATEVALUE($A102),'recurring1_based on steps'!AK$1:AK$400,0)),AK$2,)</f>
        <v>0</v>
      </c>
      <c r="AL102" s="155">
        <f ca="1">IF(ISNUMBER(MATCH(DATEVALUE($A102),'recurring1_based on steps'!AL$1:AL$400,0)),AL$2,)</f>
        <v>0</v>
      </c>
      <c r="AM102" s="155">
        <f ca="1">IF(ISNUMBER(MATCH(DATEVALUE($A102),'recurring1_based on steps'!AM$1:AM$400,0)),AM$2,)</f>
        <v>0</v>
      </c>
      <c r="AN102" s="155">
        <f ca="1">IF(ISNUMBER(MATCH(DATEVALUE($A102),'recurring1_based on steps'!AN$1:AN$400,0)),AN$2,)</f>
        <v>0</v>
      </c>
      <c r="AO102" s="155">
        <f ca="1">IF(ISNUMBER(MATCH(DATEVALUE($A102),'recurring1_based on steps'!AO$1:AO$400,0)),AO$2,)</f>
        <v>0</v>
      </c>
      <c r="AP102" s="155">
        <f ca="1">IF(ISNUMBER(MATCH(DATEVALUE($A102),'recurring1_based on steps'!AP$1:AP$400,0)),AP$2,)</f>
        <v>0</v>
      </c>
      <c r="AQ102" s="155">
        <f ca="1">IF(ISNUMBER(MATCH(DATEVALUE($A102),'recurring1_based on steps'!AQ$1:AQ$400,0)),AQ$2,)</f>
        <v>0</v>
      </c>
      <c r="AR102" s="155">
        <f ca="1">IF(ISNUMBER(MATCH(DATEVALUE($A102),'recurring1_based on steps'!AR$1:AR$400,0)),AR$2,)</f>
        <v>0</v>
      </c>
      <c r="AS102" s="155">
        <f ca="1">IF(ISNUMBER(MATCH(DATEVALUE($A102),'recurring1_based on steps'!AS$1:AS$400,0)),AS$2,)</f>
        <v>0</v>
      </c>
      <c r="AT102" s="155">
        <f ca="1">IF(ISNUMBER(MATCH(DATEVALUE($A102),'recurring1_based on steps'!AT$1:AT$400,0)),AT$2,)</f>
        <v>0</v>
      </c>
      <c r="AU102" s="155">
        <f ca="1">IF(ISNUMBER(MATCH(DATEVALUE($A102),'recurring1_based on steps'!AU$1:AU$400,0)),AU$2,)</f>
        <v>0</v>
      </c>
      <c r="AV102" s="155">
        <f ca="1">IF(ISNUMBER(MATCH(DATEVALUE($A102),'recurring1_based on steps'!AV$1:AV$400,0)),AV$2,)</f>
        <v>0</v>
      </c>
      <c r="AW102" s="155">
        <f ca="1">IF(ISNUMBER(MATCH(DATEVALUE($A102),'recurring1_based on steps'!AW$1:AW$400,0)),AW$2,)</f>
        <v>0</v>
      </c>
      <c r="AX102" s="155">
        <f ca="1">IF(ISNUMBER(MATCH(DATEVALUE($A102),'recurring1_based on steps'!AX$1:AX$400,0)),AX$2,)</f>
        <v>0</v>
      </c>
      <c r="AY102" s="155">
        <f ca="1">IF(ISNUMBER(MATCH(DATEVALUE($A102),'recurring1_based on steps'!AY$1:AY$400,0)),AY$2,)</f>
        <v>0</v>
      </c>
    </row>
    <row r="103" spans="1:51" x14ac:dyDescent="0.2">
      <c r="A103" s="18" t="str">
        <f t="shared" ca="1" si="1"/>
        <v>2025-05-12</v>
      </c>
      <c r="B103" s="155">
        <f ca="1">IF(ISNUMBER(MATCH(DATEVALUE($A103),'recurring1_based on steps'!B$1:B$400,0)),B$2,)</f>
        <v>0</v>
      </c>
      <c r="C103" s="155">
        <f ca="1">IF(ISNUMBER(MATCH(DATEVALUE($A103),'recurring1_based on steps'!C$1:C$400,0)),C$2,)</f>
        <v>0</v>
      </c>
      <c r="D103" s="155">
        <f ca="1">IF(ISNUMBER(MATCH(DATEVALUE($A103),'recurring1_based on steps'!D$1:D$400,0)),D$2,)</f>
        <v>0</v>
      </c>
      <c r="E103" s="155">
        <f ca="1">IF(ISNUMBER(MATCH(DATEVALUE($A103),'recurring1_based on steps'!E$1:E$400,0)),E$2,)</f>
        <v>0</v>
      </c>
      <c r="F103" s="155">
        <f ca="1">IF(ISNUMBER(MATCH(DATEVALUE($A103),'recurring1_based on steps'!F$1:F$400,0)),F$2,)</f>
        <v>0</v>
      </c>
      <c r="G103" s="155">
        <f ca="1">IF(ISNUMBER(MATCH(DATEVALUE($A103),'recurring1_based on steps'!G$1:G$400,0)),G$2,)</f>
        <v>0</v>
      </c>
      <c r="H103" s="155">
        <f ca="1">IF(ISNUMBER(MATCH(DATEVALUE($A103),'recurring1_based on steps'!H$1:H$400,0)),H$2,)</f>
        <v>0</v>
      </c>
      <c r="I103" s="155">
        <f ca="1">IF(ISNUMBER(MATCH(DATEVALUE($A103),'recurring1_based on steps'!I$1:I$400,0)),I$2,)</f>
        <v>0</v>
      </c>
      <c r="J103" s="155">
        <f ca="1">IF(ISNUMBER(MATCH(DATEVALUE($A103),'recurring1_based on steps'!J$1:J$400,0)),J$2,)</f>
        <v>0</v>
      </c>
      <c r="K103" s="155">
        <f ca="1">IF(ISNUMBER(MATCH(DATEVALUE($A103),'recurring1_based on steps'!K$1:K$400,0)),K$2,)</f>
        <v>0</v>
      </c>
      <c r="L103" s="155">
        <f ca="1">IF(ISNUMBER(MATCH(DATEVALUE($A103),'recurring1_based on steps'!L$1:L$400,0)),L$2,)</f>
        <v>0</v>
      </c>
      <c r="M103" s="155">
        <f ca="1">IF(ISNUMBER(MATCH(DATEVALUE($A103),'recurring1_based on steps'!M$1:M$400,0)),M$2,)</f>
        <v>0</v>
      </c>
      <c r="N103" s="155">
        <f ca="1">IF(ISNUMBER(MATCH(DATEVALUE($A103),'recurring1_based on steps'!N$1:N$400,0)),N$2,)</f>
        <v>0</v>
      </c>
      <c r="O103" s="155">
        <f ca="1">IF(ISNUMBER(MATCH(DATEVALUE($A103),'recurring1_based on steps'!O$1:O$400,0)),O$2,)</f>
        <v>0</v>
      </c>
      <c r="P103" s="155">
        <f ca="1">IF(ISNUMBER(MATCH(DATEVALUE($A103),'recurring1_based on steps'!P$1:P$400,0)),P$2,)</f>
        <v>0</v>
      </c>
      <c r="Q103" s="155">
        <f ca="1">IF(ISNUMBER(MATCH(DATEVALUE($A103),'recurring1_based on steps'!Q$1:Q$400,0)),Q$2,)</f>
        <v>0</v>
      </c>
      <c r="R103" s="155">
        <f ca="1">IF(ISNUMBER(MATCH(DATEVALUE($A103),'recurring1_based on steps'!R$1:R$400,0)),R$2,)</f>
        <v>0</v>
      </c>
      <c r="S103" s="155">
        <f ca="1">IF(ISNUMBER(MATCH(DATEVALUE($A103),'recurring1_based on steps'!S$1:S$400,0)),S$2,)</f>
        <v>0</v>
      </c>
      <c r="T103" s="155">
        <f ca="1">IF(ISNUMBER(MATCH(DATEVALUE($A103),'recurring1_based on steps'!T$1:T$400,0)),T$2,)</f>
        <v>0</v>
      </c>
      <c r="U103" s="155">
        <f ca="1">IF(ISNUMBER(MATCH(DATEVALUE($A103),'recurring1_based on steps'!U$1:U$400,0)),U$2,)</f>
        <v>0</v>
      </c>
      <c r="V103" s="155">
        <f ca="1">IF(ISNUMBER(MATCH(DATEVALUE($A103),'recurring1_based on steps'!V$1:V$400,0)),V$2,)</f>
        <v>0</v>
      </c>
      <c r="W103" s="155">
        <f ca="1">IF(ISNUMBER(MATCH(DATEVALUE($A103),'recurring1_based on steps'!W$1:W$400,0)),W$2,)</f>
        <v>0</v>
      </c>
      <c r="X103" s="155">
        <f ca="1">IF(ISNUMBER(MATCH(DATEVALUE($A103),'recurring1_based on steps'!X$1:X$400,0)),X$2,)</f>
        <v>0</v>
      </c>
      <c r="Y103" s="155">
        <f ca="1">IF(ISNUMBER(MATCH(DATEVALUE($A103),'recurring1_based on steps'!Y$1:Y$400,0)),Y$2,)</f>
        <v>0</v>
      </c>
      <c r="Z103" s="155">
        <f ca="1">IF(ISNUMBER(MATCH(DATEVALUE($A103),'recurring1_based on steps'!Z$1:Z$400,0)),Z$2,)</f>
        <v>0</v>
      </c>
      <c r="AA103" s="155">
        <f ca="1">IF(ISNUMBER(MATCH(DATEVALUE($A103),'recurring1_based on steps'!AA$1:AA$400,0)),AA$2,)</f>
        <v>0</v>
      </c>
      <c r="AB103" s="155">
        <f ca="1">IF(ISNUMBER(MATCH(DATEVALUE($A103),'recurring1_based on steps'!AB$1:AB$400,0)),AB$2,)</f>
        <v>0</v>
      </c>
      <c r="AC103" s="155">
        <f ca="1">IF(ISNUMBER(MATCH(DATEVALUE($A103),'recurring1_based on steps'!AC$1:AC$400,0)),AC$2,)</f>
        <v>0</v>
      </c>
      <c r="AD103" s="155">
        <f ca="1">IF(ISNUMBER(MATCH(DATEVALUE($A103),'recurring1_based on steps'!AD$1:AD$400,0)),AD$2,)</f>
        <v>0</v>
      </c>
      <c r="AE103" s="155">
        <f ca="1">IF(ISNUMBER(MATCH(DATEVALUE($A103),'recurring1_based on steps'!AE$1:AE$400,0)),AE$2,)</f>
        <v>0</v>
      </c>
      <c r="AF103" s="155">
        <f ca="1">IF(ISNUMBER(MATCH(DATEVALUE($A103),'recurring1_based on steps'!AF$1:AF$400,0)),AF$2,)</f>
        <v>0</v>
      </c>
      <c r="AG103" s="155">
        <f ca="1">IF(ISNUMBER(MATCH(DATEVALUE($A103),'recurring1_based on steps'!AG$1:AG$400,0)),AG$2,)</f>
        <v>0</v>
      </c>
      <c r="AH103" s="155">
        <f ca="1">IF(ISNUMBER(MATCH(DATEVALUE($A103),'recurring1_based on steps'!AH$1:AH$400,0)),AH$2,)</f>
        <v>0</v>
      </c>
      <c r="AI103" s="155">
        <f ca="1">IF(ISNUMBER(MATCH(DATEVALUE($A103),'recurring1_based on steps'!AI$1:AI$400,0)),AI$2,)</f>
        <v>0</v>
      </c>
      <c r="AJ103" s="155">
        <f ca="1">IF(ISNUMBER(MATCH(DATEVALUE($A103),'recurring1_based on steps'!AJ$1:AJ$400,0)),AJ$2,)</f>
        <v>0</v>
      </c>
      <c r="AK103" s="155">
        <f ca="1">IF(ISNUMBER(MATCH(DATEVALUE($A103),'recurring1_based on steps'!AK$1:AK$400,0)),AK$2,)</f>
        <v>0</v>
      </c>
      <c r="AL103" s="155">
        <f ca="1">IF(ISNUMBER(MATCH(DATEVALUE($A103),'recurring1_based on steps'!AL$1:AL$400,0)),AL$2,)</f>
        <v>0</v>
      </c>
      <c r="AM103" s="155">
        <f ca="1">IF(ISNUMBER(MATCH(DATEVALUE($A103),'recurring1_based on steps'!AM$1:AM$400,0)),AM$2,)</f>
        <v>0</v>
      </c>
      <c r="AN103" s="155">
        <f ca="1">IF(ISNUMBER(MATCH(DATEVALUE($A103),'recurring1_based on steps'!AN$1:AN$400,0)),AN$2,)</f>
        <v>0</v>
      </c>
      <c r="AO103" s="155">
        <f ca="1">IF(ISNUMBER(MATCH(DATEVALUE($A103),'recurring1_based on steps'!AO$1:AO$400,0)),AO$2,)</f>
        <v>0</v>
      </c>
      <c r="AP103" s="155">
        <f ca="1">IF(ISNUMBER(MATCH(DATEVALUE($A103),'recurring1_based on steps'!AP$1:AP$400,0)),AP$2,)</f>
        <v>0</v>
      </c>
      <c r="AQ103" s="155">
        <f ca="1">IF(ISNUMBER(MATCH(DATEVALUE($A103),'recurring1_based on steps'!AQ$1:AQ$400,0)),AQ$2,)</f>
        <v>0</v>
      </c>
      <c r="AR103" s="155">
        <f ca="1">IF(ISNUMBER(MATCH(DATEVALUE($A103),'recurring1_based on steps'!AR$1:AR$400,0)),AR$2,)</f>
        <v>0</v>
      </c>
      <c r="AS103" s="155">
        <f ca="1">IF(ISNUMBER(MATCH(DATEVALUE($A103),'recurring1_based on steps'!AS$1:AS$400,0)),AS$2,)</f>
        <v>0</v>
      </c>
      <c r="AT103" s="155">
        <f ca="1">IF(ISNUMBER(MATCH(DATEVALUE($A103),'recurring1_based on steps'!AT$1:AT$400,0)),AT$2,)</f>
        <v>0</v>
      </c>
      <c r="AU103" s="155">
        <f ca="1">IF(ISNUMBER(MATCH(DATEVALUE($A103),'recurring1_based on steps'!AU$1:AU$400,0)),AU$2,)</f>
        <v>0</v>
      </c>
      <c r="AV103" s="155">
        <f ca="1">IF(ISNUMBER(MATCH(DATEVALUE($A103),'recurring1_based on steps'!AV$1:AV$400,0)),AV$2,)</f>
        <v>0</v>
      </c>
      <c r="AW103" s="155">
        <f ca="1">IF(ISNUMBER(MATCH(DATEVALUE($A103),'recurring1_based on steps'!AW$1:AW$400,0)),AW$2,)</f>
        <v>0</v>
      </c>
      <c r="AX103" s="155">
        <f ca="1">IF(ISNUMBER(MATCH(DATEVALUE($A103),'recurring1_based on steps'!AX$1:AX$400,0)),AX$2,)</f>
        <v>0</v>
      </c>
      <c r="AY103" s="155">
        <f ca="1">IF(ISNUMBER(MATCH(DATEVALUE($A103),'recurring1_based on steps'!AY$1:AY$400,0)),AY$2,)</f>
        <v>0</v>
      </c>
    </row>
    <row r="104" spans="1:51" x14ac:dyDescent="0.2">
      <c r="A104" s="18" t="str">
        <f t="shared" ca="1" si="1"/>
        <v>2025-05-13</v>
      </c>
      <c r="B104" s="155">
        <f ca="1">IF(ISNUMBER(MATCH(DATEVALUE($A104),'recurring1_based on steps'!B$1:B$400,0)),B$2,)</f>
        <v>0</v>
      </c>
      <c r="C104" s="155">
        <f ca="1">IF(ISNUMBER(MATCH(DATEVALUE($A104),'recurring1_based on steps'!C$1:C$400,0)),C$2,)</f>
        <v>0</v>
      </c>
      <c r="D104" s="155">
        <f ca="1">IF(ISNUMBER(MATCH(DATEVALUE($A104),'recurring1_based on steps'!D$1:D$400,0)),D$2,)</f>
        <v>0</v>
      </c>
      <c r="E104" s="155">
        <f ca="1">IF(ISNUMBER(MATCH(DATEVALUE($A104),'recurring1_based on steps'!E$1:E$400,0)),E$2,)</f>
        <v>0</v>
      </c>
      <c r="F104" s="155">
        <f ca="1">IF(ISNUMBER(MATCH(DATEVALUE($A104),'recurring1_based on steps'!F$1:F$400,0)),F$2,)</f>
        <v>0</v>
      </c>
      <c r="G104" s="155">
        <f ca="1">IF(ISNUMBER(MATCH(DATEVALUE($A104),'recurring1_based on steps'!G$1:G$400,0)),G$2,)</f>
        <v>0</v>
      </c>
      <c r="H104" s="155">
        <f ca="1">IF(ISNUMBER(MATCH(DATEVALUE($A104),'recurring1_based on steps'!H$1:H$400,0)),H$2,)</f>
        <v>0</v>
      </c>
      <c r="I104" s="155">
        <f ca="1">IF(ISNUMBER(MATCH(DATEVALUE($A104),'recurring1_based on steps'!I$1:I$400,0)),I$2,)</f>
        <v>0</v>
      </c>
      <c r="J104" s="155">
        <f ca="1">IF(ISNUMBER(MATCH(DATEVALUE($A104),'recurring1_based on steps'!J$1:J$400,0)),J$2,)</f>
        <v>0</v>
      </c>
      <c r="K104" s="155">
        <f ca="1">IF(ISNUMBER(MATCH(DATEVALUE($A104),'recurring1_based on steps'!K$1:K$400,0)),K$2,)</f>
        <v>0</v>
      </c>
      <c r="L104" s="155">
        <f ca="1">IF(ISNUMBER(MATCH(DATEVALUE($A104),'recurring1_based on steps'!L$1:L$400,0)),L$2,)</f>
        <v>0</v>
      </c>
      <c r="M104" s="155">
        <f ca="1">IF(ISNUMBER(MATCH(DATEVALUE($A104),'recurring1_based on steps'!M$1:M$400,0)),M$2,)</f>
        <v>0</v>
      </c>
      <c r="N104" s="155">
        <f ca="1">IF(ISNUMBER(MATCH(DATEVALUE($A104),'recurring1_based on steps'!N$1:N$400,0)),N$2,)</f>
        <v>0</v>
      </c>
      <c r="O104" s="155">
        <f ca="1">IF(ISNUMBER(MATCH(DATEVALUE($A104),'recurring1_based on steps'!O$1:O$400,0)),O$2,)</f>
        <v>0</v>
      </c>
      <c r="P104" s="155">
        <f ca="1">IF(ISNUMBER(MATCH(DATEVALUE($A104),'recurring1_based on steps'!P$1:P$400,0)),P$2,)</f>
        <v>0</v>
      </c>
      <c r="Q104" s="155">
        <f ca="1">IF(ISNUMBER(MATCH(DATEVALUE($A104),'recurring1_based on steps'!Q$1:Q$400,0)),Q$2,)</f>
        <v>0</v>
      </c>
      <c r="R104" s="155">
        <f ca="1">IF(ISNUMBER(MATCH(DATEVALUE($A104),'recurring1_based on steps'!R$1:R$400,0)),R$2,)</f>
        <v>0</v>
      </c>
      <c r="S104" s="155">
        <f ca="1">IF(ISNUMBER(MATCH(DATEVALUE($A104),'recurring1_based on steps'!S$1:S$400,0)),S$2,)</f>
        <v>0</v>
      </c>
      <c r="T104" s="155">
        <f ca="1">IF(ISNUMBER(MATCH(DATEVALUE($A104),'recurring1_based on steps'!T$1:T$400,0)),T$2,)</f>
        <v>0</v>
      </c>
      <c r="U104" s="155">
        <f ca="1">IF(ISNUMBER(MATCH(DATEVALUE($A104),'recurring1_based on steps'!U$1:U$400,0)),U$2,)</f>
        <v>0</v>
      </c>
      <c r="V104" s="155">
        <f ca="1">IF(ISNUMBER(MATCH(DATEVALUE($A104),'recurring1_based on steps'!V$1:V$400,0)),V$2,)</f>
        <v>0</v>
      </c>
      <c r="W104" s="155">
        <f ca="1">IF(ISNUMBER(MATCH(DATEVALUE($A104),'recurring1_based on steps'!W$1:W$400,0)),W$2,)</f>
        <v>0</v>
      </c>
      <c r="X104" s="155">
        <f ca="1">IF(ISNUMBER(MATCH(DATEVALUE($A104),'recurring1_based on steps'!X$1:X$400,0)),X$2,)</f>
        <v>0</v>
      </c>
      <c r="Y104" s="155">
        <f ca="1">IF(ISNUMBER(MATCH(DATEVALUE($A104),'recurring1_based on steps'!Y$1:Y$400,0)),Y$2,)</f>
        <v>0</v>
      </c>
      <c r="Z104" s="155">
        <f ca="1">IF(ISNUMBER(MATCH(DATEVALUE($A104),'recurring1_based on steps'!Z$1:Z$400,0)),Z$2,)</f>
        <v>0</v>
      </c>
      <c r="AA104" s="155">
        <f ca="1">IF(ISNUMBER(MATCH(DATEVALUE($A104),'recurring1_based on steps'!AA$1:AA$400,0)),AA$2,)</f>
        <v>0</v>
      </c>
      <c r="AB104" s="155">
        <f ca="1">IF(ISNUMBER(MATCH(DATEVALUE($A104),'recurring1_based on steps'!AB$1:AB$400,0)),AB$2,)</f>
        <v>0</v>
      </c>
      <c r="AC104" s="155">
        <f ca="1">IF(ISNUMBER(MATCH(DATEVALUE($A104),'recurring1_based on steps'!AC$1:AC$400,0)),AC$2,)</f>
        <v>0</v>
      </c>
      <c r="AD104" s="155">
        <f ca="1">IF(ISNUMBER(MATCH(DATEVALUE($A104),'recurring1_based on steps'!AD$1:AD$400,0)),AD$2,)</f>
        <v>0</v>
      </c>
      <c r="AE104" s="155">
        <f ca="1">IF(ISNUMBER(MATCH(DATEVALUE($A104),'recurring1_based on steps'!AE$1:AE$400,0)),AE$2,)</f>
        <v>0</v>
      </c>
      <c r="AF104" s="155">
        <f ca="1">IF(ISNUMBER(MATCH(DATEVALUE($A104),'recurring1_based on steps'!AF$1:AF$400,0)),AF$2,)</f>
        <v>0</v>
      </c>
      <c r="AG104" s="155">
        <f ca="1">IF(ISNUMBER(MATCH(DATEVALUE($A104),'recurring1_based on steps'!AG$1:AG$400,0)),AG$2,)</f>
        <v>0</v>
      </c>
      <c r="AH104" s="155">
        <f ca="1">IF(ISNUMBER(MATCH(DATEVALUE($A104),'recurring1_based on steps'!AH$1:AH$400,0)),AH$2,)</f>
        <v>0</v>
      </c>
      <c r="AI104" s="155">
        <f ca="1">IF(ISNUMBER(MATCH(DATEVALUE($A104),'recurring1_based on steps'!AI$1:AI$400,0)),AI$2,)</f>
        <v>0</v>
      </c>
      <c r="AJ104" s="155">
        <f ca="1">IF(ISNUMBER(MATCH(DATEVALUE($A104),'recurring1_based on steps'!AJ$1:AJ$400,0)),AJ$2,)</f>
        <v>0</v>
      </c>
      <c r="AK104" s="155">
        <f ca="1">IF(ISNUMBER(MATCH(DATEVALUE($A104),'recurring1_based on steps'!AK$1:AK$400,0)),AK$2,)</f>
        <v>0</v>
      </c>
      <c r="AL104" s="155">
        <f ca="1">IF(ISNUMBER(MATCH(DATEVALUE($A104),'recurring1_based on steps'!AL$1:AL$400,0)),AL$2,)</f>
        <v>0</v>
      </c>
      <c r="AM104" s="155">
        <f ca="1">IF(ISNUMBER(MATCH(DATEVALUE($A104),'recurring1_based on steps'!AM$1:AM$400,0)),AM$2,)</f>
        <v>0</v>
      </c>
      <c r="AN104" s="155">
        <f ca="1">IF(ISNUMBER(MATCH(DATEVALUE($A104),'recurring1_based on steps'!AN$1:AN$400,0)),AN$2,)</f>
        <v>0</v>
      </c>
      <c r="AO104" s="155">
        <f ca="1">IF(ISNUMBER(MATCH(DATEVALUE($A104),'recurring1_based on steps'!AO$1:AO$400,0)),AO$2,)</f>
        <v>0</v>
      </c>
      <c r="AP104" s="155">
        <f ca="1">IF(ISNUMBER(MATCH(DATEVALUE($A104),'recurring1_based on steps'!AP$1:AP$400,0)),AP$2,)</f>
        <v>0</v>
      </c>
      <c r="AQ104" s="155">
        <f ca="1">IF(ISNUMBER(MATCH(DATEVALUE($A104),'recurring1_based on steps'!AQ$1:AQ$400,0)),AQ$2,)</f>
        <v>0</v>
      </c>
      <c r="AR104" s="155">
        <f ca="1">IF(ISNUMBER(MATCH(DATEVALUE($A104),'recurring1_based on steps'!AR$1:AR$400,0)),AR$2,)</f>
        <v>0</v>
      </c>
      <c r="AS104" s="155">
        <f ca="1">IF(ISNUMBER(MATCH(DATEVALUE($A104),'recurring1_based on steps'!AS$1:AS$400,0)),AS$2,)</f>
        <v>0</v>
      </c>
      <c r="AT104" s="155">
        <f ca="1">IF(ISNUMBER(MATCH(DATEVALUE($A104),'recurring1_based on steps'!AT$1:AT$400,0)),AT$2,)</f>
        <v>0</v>
      </c>
      <c r="AU104" s="155">
        <f ca="1">IF(ISNUMBER(MATCH(DATEVALUE($A104),'recurring1_based on steps'!AU$1:AU$400,0)),AU$2,)</f>
        <v>0</v>
      </c>
      <c r="AV104" s="155">
        <f ca="1">IF(ISNUMBER(MATCH(DATEVALUE($A104),'recurring1_based on steps'!AV$1:AV$400,0)),AV$2,)</f>
        <v>0</v>
      </c>
      <c r="AW104" s="155">
        <f ca="1">IF(ISNUMBER(MATCH(DATEVALUE($A104),'recurring1_based on steps'!AW$1:AW$400,0)),AW$2,)</f>
        <v>0</v>
      </c>
      <c r="AX104" s="155">
        <f ca="1">IF(ISNUMBER(MATCH(DATEVALUE($A104),'recurring1_based on steps'!AX$1:AX$400,0)),AX$2,)</f>
        <v>0</v>
      </c>
      <c r="AY104" s="155">
        <f ca="1">IF(ISNUMBER(MATCH(DATEVALUE($A104),'recurring1_based on steps'!AY$1:AY$400,0)),AY$2,)</f>
        <v>0</v>
      </c>
    </row>
    <row r="105" spans="1:51" x14ac:dyDescent="0.2">
      <c r="A105" s="18" t="str">
        <f t="shared" ca="1" si="1"/>
        <v>2025-05-14</v>
      </c>
      <c r="B105" s="155">
        <f ca="1">IF(ISNUMBER(MATCH(DATEVALUE($A105),'recurring1_based on steps'!B$1:B$400,0)),B$2,)</f>
        <v>0</v>
      </c>
      <c r="C105" s="155">
        <f ca="1">IF(ISNUMBER(MATCH(DATEVALUE($A105),'recurring1_based on steps'!C$1:C$400,0)),C$2,)</f>
        <v>0</v>
      </c>
      <c r="D105" s="155">
        <f ca="1">IF(ISNUMBER(MATCH(DATEVALUE($A105),'recurring1_based on steps'!D$1:D$400,0)),D$2,)</f>
        <v>0</v>
      </c>
      <c r="E105" s="155">
        <f ca="1">IF(ISNUMBER(MATCH(DATEVALUE($A105),'recurring1_based on steps'!E$1:E$400,0)),E$2,)</f>
        <v>0</v>
      </c>
      <c r="F105" s="155">
        <f ca="1">IF(ISNUMBER(MATCH(DATEVALUE($A105),'recurring1_based on steps'!F$1:F$400,0)),F$2,)</f>
        <v>0</v>
      </c>
      <c r="G105" s="155">
        <f ca="1">IF(ISNUMBER(MATCH(DATEVALUE($A105),'recurring1_based on steps'!G$1:G$400,0)),G$2,)</f>
        <v>0</v>
      </c>
      <c r="H105" s="155">
        <f ca="1">IF(ISNUMBER(MATCH(DATEVALUE($A105),'recurring1_based on steps'!H$1:H$400,0)),H$2,)</f>
        <v>0</v>
      </c>
      <c r="I105" s="155">
        <f ca="1">IF(ISNUMBER(MATCH(DATEVALUE($A105),'recurring1_based on steps'!I$1:I$400,0)),I$2,)</f>
        <v>0</v>
      </c>
      <c r="J105" s="155">
        <f ca="1">IF(ISNUMBER(MATCH(DATEVALUE($A105),'recurring1_based on steps'!J$1:J$400,0)),J$2,)</f>
        <v>0</v>
      </c>
      <c r="K105" s="155">
        <f ca="1">IF(ISNUMBER(MATCH(DATEVALUE($A105),'recurring1_based on steps'!K$1:K$400,0)),K$2,)</f>
        <v>0</v>
      </c>
      <c r="L105" s="155">
        <f ca="1">IF(ISNUMBER(MATCH(DATEVALUE($A105),'recurring1_based on steps'!L$1:L$400,0)),L$2,)</f>
        <v>0</v>
      </c>
      <c r="M105" s="155">
        <f ca="1">IF(ISNUMBER(MATCH(DATEVALUE($A105),'recurring1_based on steps'!M$1:M$400,0)),M$2,)</f>
        <v>0</v>
      </c>
      <c r="N105" s="155">
        <f ca="1">IF(ISNUMBER(MATCH(DATEVALUE($A105),'recurring1_based on steps'!N$1:N$400,0)),N$2,)</f>
        <v>0</v>
      </c>
      <c r="O105" s="155">
        <f ca="1">IF(ISNUMBER(MATCH(DATEVALUE($A105),'recurring1_based on steps'!O$1:O$400,0)),O$2,)</f>
        <v>0</v>
      </c>
      <c r="P105" s="155">
        <f ca="1">IF(ISNUMBER(MATCH(DATEVALUE($A105),'recurring1_based on steps'!P$1:P$400,0)),P$2,)</f>
        <v>0</v>
      </c>
      <c r="Q105" s="155">
        <f ca="1">IF(ISNUMBER(MATCH(DATEVALUE($A105),'recurring1_based on steps'!Q$1:Q$400,0)),Q$2,)</f>
        <v>0</v>
      </c>
      <c r="R105" s="155">
        <f ca="1">IF(ISNUMBER(MATCH(DATEVALUE($A105),'recurring1_based on steps'!R$1:R$400,0)),R$2,)</f>
        <v>0</v>
      </c>
      <c r="S105" s="155">
        <f ca="1">IF(ISNUMBER(MATCH(DATEVALUE($A105),'recurring1_based on steps'!S$1:S$400,0)),S$2,)</f>
        <v>0</v>
      </c>
      <c r="T105" s="155">
        <f ca="1">IF(ISNUMBER(MATCH(DATEVALUE($A105),'recurring1_based on steps'!T$1:T$400,0)),T$2,)</f>
        <v>0</v>
      </c>
      <c r="U105" s="155">
        <f ca="1">IF(ISNUMBER(MATCH(DATEVALUE($A105),'recurring1_based on steps'!U$1:U$400,0)),U$2,)</f>
        <v>0</v>
      </c>
      <c r="V105" s="155">
        <f ca="1">IF(ISNUMBER(MATCH(DATEVALUE($A105),'recurring1_based on steps'!V$1:V$400,0)),V$2,)</f>
        <v>0</v>
      </c>
      <c r="W105" s="155">
        <f ca="1">IF(ISNUMBER(MATCH(DATEVALUE($A105),'recurring1_based on steps'!W$1:W$400,0)),W$2,)</f>
        <v>0</v>
      </c>
      <c r="X105" s="155">
        <f ca="1">IF(ISNUMBER(MATCH(DATEVALUE($A105),'recurring1_based on steps'!X$1:X$400,0)),X$2,)</f>
        <v>0</v>
      </c>
      <c r="Y105" s="155">
        <f ca="1">IF(ISNUMBER(MATCH(DATEVALUE($A105),'recurring1_based on steps'!Y$1:Y$400,0)),Y$2,)</f>
        <v>0</v>
      </c>
      <c r="Z105" s="155">
        <f ca="1">IF(ISNUMBER(MATCH(DATEVALUE($A105),'recurring1_based on steps'!Z$1:Z$400,0)),Z$2,)</f>
        <v>0</v>
      </c>
      <c r="AA105" s="155">
        <f ca="1">IF(ISNUMBER(MATCH(DATEVALUE($A105),'recurring1_based on steps'!AA$1:AA$400,0)),AA$2,)</f>
        <v>0</v>
      </c>
      <c r="AB105" s="155">
        <f ca="1">IF(ISNUMBER(MATCH(DATEVALUE($A105),'recurring1_based on steps'!AB$1:AB$400,0)),AB$2,)</f>
        <v>0</v>
      </c>
      <c r="AC105" s="155">
        <f ca="1">IF(ISNUMBER(MATCH(DATEVALUE($A105),'recurring1_based on steps'!AC$1:AC$400,0)),AC$2,)</f>
        <v>0</v>
      </c>
      <c r="AD105" s="155">
        <f ca="1">IF(ISNUMBER(MATCH(DATEVALUE($A105),'recurring1_based on steps'!AD$1:AD$400,0)),AD$2,)</f>
        <v>0</v>
      </c>
      <c r="AE105" s="155">
        <f ca="1">IF(ISNUMBER(MATCH(DATEVALUE($A105),'recurring1_based on steps'!AE$1:AE$400,0)),AE$2,)</f>
        <v>0</v>
      </c>
      <c r="AF105" s="155">
        <f ca="1">IF(ISNUMBER(MATCH(DATEVALUE($A105),'recurring1_based on steps'!AF$1:AF$400,0)),AF$2,)</f>
        <v>0</v>
      </c>
      <c r="AG105" s="155">
        <f ca="1">IF(ISNUMBER(MATCH(DATEVALUE($A105),'recurring1_based on steps'!AG$1:AG$400,0)),AG$2,)</f>
        <v>0</v>
      </c>
      <c r="AH105" s="155">
        <f ca="1">IF(ISNUMBER(MATCH(DATEVALUE($A105),'recurring1_based on steps'!AH$1:AH$400,0)),AH$2,)</f>
        <v>0</v>
      </c>
      <c r="AI105" s="155">
        <f ca="1">IF(ISNUMBER(MATCH(DATEVALUE($A105),'recurring1_based on steps'!AI$1:AI$400,0)),AI$2,)</f>
        <v>0</v>
      </c>
      <c r="AJ105" s="155">
        <f ca="1">IF(ISNUMBER(MATCH(DATEVALUE($A105),'recurring1_based on steps'!AJ$1:AJ$400,0)),AJ$2,)</f>
        <v>0</v>
      </c>
      <c r="AK105" s="155">
        <f ca="1">IF(ISNUMBER(MATCH(DATEVALUE($A105),'recurring1_based on steps'!AK$1:AK$400,0)),AK$2,)</f>
        <v>0</v>
      </c>
      <c r="AL105" s="155">
        <f ca="1">IF(ISNUMBER(MATCH(DATEVALUE($A105),'recurring1_based on steps'!AL$1:AL$400,0)),AL$2,)</f>
        <v>0</v>
      </c>
      <c r="AM105" s="155">
        <f ca="1">IF(ISNUMBER(MATCH(DATEVALUE($A105),'recurring1_based on steps'!AM$1:AM$400,0)),AM$2,)</f>
        <v>0</v>
      </c>
      <c r="AN105" s="155">
        <f ca="1">IF(ISNUMBER(MATCH(DATEVALUE($A105),'recurring1_based on steps'!AN$1:AN$400,0)),AN$2,)</f>
        <v>0</v>
      </c>
      <c r="AO105" s="155">
        <f ca="1">IF(ISNUMBER(MATCH(DATEVALUE($A105),'recurring1_based on steps'!AO$1:AO$400,0)),AO$2,)</f>
        <v>0</v>
      </c>
      <c r="AP105" s="155">
        <f ca="1">IF(ISNUMBER(MATCH(DATEVALUE($A105),'recurring1_based on steps'!AP$1:AP$400,0)),AP$2,)</f>
        <v>0</v>
      </c>
      <c r="AQ105" s="155">
        <f ca="1">IF(ISNUMBER(MATCH(DATEVALUE($A105),'recurring1_based on steps'!AQ$1:AQ$400,0)),AQ$2,)</f>
        <v>0</v>
      </c>
      <c r="AR105" s="155">
        <f ca="1">IF(ISNUMBER(MATCH(DATEVALUE($A105),'recurring1_based on steps'!AR$1:AR$400,0)),AR$2,)</f>
        <v>0</v>
      </c>
      <c r="AS105" s="155">
        <f ca="1">IF(ISNUMBER(MATCH(DATEVALUE($A105),'recurring1_based on steps'!AS$1:AS$400,0)),AS$2,)</f>
        <v>0</v>
      </c>
      <c r="AT105" s="155">
        <f ca="1">IF(ISNUMBER(MATCH(DATEVALUE($A105),'recurring1_based on steps'!AT$1:AT$400,0)),AT$2,)</f>
        <v>0</v>
      </c>
      <c r="AU105" s="155">
        <f ca="1">IF(ISNUMBER(MATCH(DATEVALUE($A105),'recurring1_based on steps'!AU$1:AU$400,0)),AU$2,)</f>
        <v>0</v>
      </c>
      <c r="AV105" s="155">
        <f ca="1">IF(ISNUMBER(MATCH(DATEVALUE($A105),'recurring1_based on steps'!AV$1:AV$400,0)),AV$2,)</f>
        <v>0</v>
      </c>
      <c r="AW105" s="155">
        <f ca="1">IF(ISNUMBER(MATCH(DATEVALUE($A105),'recurring1_based on steps'!AW$1:AW$400,0)),AW$2,)</f>
        <v>0</v>
      </c>
      <c r="AX105" s="155">
        <f ca="1">IF(ISNUMBER(MATCH(DATEVALUE($A105),'recurring1_based on steps'!AX$1:AX$400,0)),AX$2,)</f>
        <v>0</v>
      </c>
      <c r="AY105" s="155">
        <f ca="1">IF(ISNUMBER(MATCH(DATEVALUE($A105),'recurring1_based on steps'!AY$1:AY$400,0)),AY$2,)</f>
        <v>0</v>
      </c>
    </row>
    <row r="106" spans="1:51" x14ac:dyDescent="0.2">
      <c r="A106" s="18" t="str">
        <f t="shared" ca="1" si="1"/>
        <v>2025-05-15</v>
      </c>
      <c r="B106" s="155">
        <f ca="1">IF(ISNUMBER(MATCH(DATEVALUE($A106),'recurring1_based on steps'!B$1:B$400,0)),B$2,)</f>
        <v>0</v>
      </c>
      <c r="C106" s="155">
        <f ca="1">IF(ISNUMBER(MATCH(DATEVALUE($A106),'recurring1_based on steps'!C$1:C$400,0)),C$2,)</f>
        <v>0</v>
      </c>
      <c r="D106" s="155">
        <f ca="1">IF(ISNUMBER(MATCH(DATEVALUE($A106),'recurring1_based on steps'!D$1:D$400,0)),D$2,)</f>
        <v>0</v>
      </c>
      <c r="E106" s="155">
        <f ca="1">IF(ISNUMBER(MATCH(DATEVALUE($A106),'recurring1_based on steps'!E$1:E$400,0)),E$2,)</f>
        <v>0</v>
      </c>
      <c r="F106" s="155">
        <f ca="1">IF(ISNUMBER(MATCH(DATEVALUE($A106),'recurring1_based on steps'!F$1:F$400,0)),F$2,)</f>
        <v>0</v>
      </c>
      <c r="G106" s="155">
        <f ca="1">IF(ISNUMBER(MATCH(DATEVALUE($A106),'recurring1_based on steps'!G$1:G$400,0)),G$2,)</f>
        <v>0</v>
      </c>
      <c r="H106" s="155">
        <f ca="1">IF(ISNUMBER(MATCH(DATEVALUE($A106),'recurring1_based on steps'!H$1:H$400,0)),H$2,)</f>
        <v>0</v>
      </c>
      <c r="I106" s="155">
        <f ca="1">IF(ISNUMBER(MATCH(DATEVALUE($A106),'recurring1_based on steps'!I$1:I$400,0)),I$2,)</f>
        <v>0</v>
      </c>
      <c r="J106" s="155">
        <f ca="1">IF(ISNUMBER(MATCH(DATEVALUE($A106),'recurring1_based on steps'!J$1:J$400,0)),J$2,)</f>
        <v>0</v>
      </c>
      <c r="K106" s="155">
        <f ca="1">IF(ISNUMBER(MATCH(DATEVALUE($A106),'recurring1_based on steps'!K$1:K$400,0)),K$2,)</f>
        <v>0</v>
      </c>
      <c r="L106" s="155">
        <f ca="1">IF(ISNUMBER(MATCH(DATEVALUE($A106),'recurring1_based on steps'!L$1:L$400,0)),L$2,)</f>
        <v>0</v>
      </c>
      <c r="M106" s="155">
        <f ca="1">IF(ISNUMBER(MATCH(DATEVALUE($A106),'recurring1_based on steps'!M$1:M$400,0)),M$2,)</f>
        <v>0</v>
      </c>
      <c r="N106" s="155">
        <f ca="1">IF(ISNUMBER(MATCH(DATEVALUE($A106),'recurring1_based on steps'!N$1:N$400,0)),N$2,)</f>
        <v>0</v>
      </c>
      <c r="O106" s="155">
        <f ca="1">IF(ISNUMBER(MATCH(DATEVALUE($A106),'recurring1_based on steps'!O$1:O$400,0)),O$2,)</f>
        <v>0</v>
      </c>
      <c r="P106" s="155">
        <f ca="1">IF(ISNUMBER(MATCH(DATEVALUE($A106),'recurring1_based on steps'!P$1:P$400,0)),P$2,)</f>
        <v>0</v>
      </c>
      <c r="Q106" s="155">
        <f ca="1">IF(ISNUMBER(MATCH(DATEVALUE($A106),'recurring1_based on steps'!Q$1:Q$400,0)),Q$2,)</f>
        <v>0</v>
      </c>
      <c r="R106" s="155">
        <f ca="1">IF(ISNUMBER(MATCH(DATEVALUE($A106),'recurring1_based on steps'!R$1:R$400,0)),R$2,)</f>
        <v>0</v>
      </c>
      <c r="S106" s="155">
        <f ca="1">IF(ISNUMBER(MATCH(DATEVALUE($A106),'recurring1_based on steps'!S$1:S$400,0)),S$2,)</f>
        <v>0</v>
      </c>
      <c r="T106" s="155">
        <f ca="1">IF(ISNUMBER(MATCH(DATEVALUE($A106),'recurring1_based on steps'!T$1:T$400,0)),T$2,)</f>
        <v>0</v>
      </c>
      <c r="U106" s="155">
        <f ca="1">IF(ISNUMBER(MATCH(DATEVALUE($A106),'recurring1_based on steps'!U$1:U$400,0)),U$2,)</f>
        <v>0</v>
      </c>
      <c r="V106" s="155">
        <f ca="1">IF(ISNUMBER(MATCH(DATEVALUE($A106),'recurring1_based on steps'!V$1:V$400,0)),V$2,)</f>
        <v>0</v>
      </c>
      <c r="W106" s="155">
        <f ca="1">IF(ISNUMBER(MATCH(DATEVALUE($A106),'recurring1_based on steps'!W$1:W$400,0)),W$2,)</f>
        <v>0</v>
      </c>
      <c r="X106" s="155">
        <f ca="1">IF(ISNUMBER(MATCH(DATEVALUE($A106),'recurring1_based on steps'!X$1:X$400,0)),X$2,)</f>
        <v>0</v>
      </c>
      <c r="Y106" s="155">
        <f ca="1">IF(ISNUMBER(MATCH(DATEVALUE($A106),'recurring1_based on steps'!Y$1:Y$400,0)),Y$2,)</f>
        <v>0</v>
      </c>
      <c r="Z106" s="155">
        <f ca="1">IF(ISNUMBER(MATCH(DATEVALUE($A106),'recurring1_based on steps'!Z$1:Z$400,0)),Z$2,)</f>
        <v>0</v>
      </c>
      <c r="AA106" s="155">
        <f ca="1">IF(ISNUMBER(MATCH(DATEVALUE($A106),'recurring1_based on steps'!AA$1:AA$400,0)),AA$2,)</f>
        <v>0</v>
      </c>
      <c r="AB106" s="155">
        <f ca="1">IF(ISNUMBER(MATCH(DATEVALUE($A106),'recurring1_based on steps'!AB$1:AB$400,0)),AB$2,)</f>
        <v>0</v>
      </c>
      <c r="AC106" s="155">
        <f ca="1">IF(ISNUMBER(MATCH(DATEVALUE($A106),'recurring1_based on steps'!AC$1:AC$400,0)),AC$2,)</f>
        <v>0</v>
      </c>
      <c r="AD106" s="155">
        <f ca="1">IF(ISNUMBER(MATCH(DATEVALUE($A106),'recurring1_based on steps'!AD$1:AD$400,0)),AD$2,)</f>
        <v>0</v>
      </c>
      <c r="AE106" s="155">
        <f ca="1">IF(ISNUMBER(MATCH(DATEVALUE($A106),'recurring1_based on steps'!AE$1:AE$400,0)),AE$2,)</f>
        <v>0</v>
      </c>
      <c r="AF106" s="155">
        <f ca="1">IF(ISNUMBER(MATCH(DATEVALUE($A106),'recurring1_based on steps'!AF$1:AF$400,0)),AF$2,)</f>
        <v>0</v>
      </c>
      <c r="AG106" s="155">
        <f ca="1">IF(ISNUMBER(MATCH(DATEVALUE($A106),'recurring1_based on steps'!AG$1:AG$400,0)),AG$2,)</f>
        <v>0</v>
      </c>
      <c r="AH106" s="155">
        <f ca="1">IF(ISNUMBER(MATCH(DATEVALUE($A106),'recurring1_based on steps'!AH$1:AH$400,0)),AH$2,)</f>
        <v>0</v>
      </c>
      <c r="AI106" s="155">
        <f ca="1">IF(ISNUMBER(MATCH(DATEVALUE($A106),'recurring1_based on steps'!AI$1:AI$400,0)),AI$2,)</f>
        <v>0</v>
      </c>
      <c r="AJ106" s="155">
        <f ca="1">IF(ISNUMBER(MATCH(DATEVALUE($A106),'recurring1_based on steps'!AJ$1:AJ$400,0)),AJ$2,)</f>
        <v>0</v>
      </c>
      <c r="AK106" s="155">
        <f ca="1">IF(ISNUMBER(MATCH(DATEVALUE($A106),'recurring1_based on steps'!AK$1:AK$400,0)),AK$2,)</f>
        <v>0</v>
      </c>
      <c r="AL106" s="155">
        <f ca="1">IF(ISNUMBER(MATCH(DATEVALUE($A106),'recurring1_based on steps'!AL$1:AL$400,0)),AL$2,)</f>
        <v>0</v>
      </c>
      <c r="AM106" s="155">
        <f ca="1">IF(ISNUMBER(MATCH(DATEVALUE($A106),'recurring1_based on steps'!AM$1:AM$400,0)),AM$2,)</f>
        <v>0</v>
      </c>
      <c r="AN106" s="155">
        <f ca="1">IF(ISNUMBER(MATCH(DATEVALUE($A106),'recurring1_based on steps'!AN$1:AN$400,0)),AN$2,)</f>
        <v>0</v>
      </c>
      <c r="AO106" s="155">
        <f ca="1">IF(ISNUMBER(MATCH(DATEVALUE($A106),'recurring1_based on steps'!AO$1:AO$400,0)),AO$2,)</f>
        <v>0</v>
      </c>
      <c r="AP106" s="155">
        <f ca="1">IF(ISNUMBER(MATCH(DATEVALUE($A106),'recurring1_based on steps'!AP$1:AP$400,0)),AP$2,)</f>
        <v>0</v>
      </c>
      <c r="AQ106" s="155">
        <f ca="1">IF(ISNUMBER(MATCH(DATEVALUE($A106),'recurring1_based on steps'!AQ$1:AQ$400,0)),AQ$2,)</f>
        <v>0</v>
      </c>
      <c r="AR106" s="155">
        <f ca="1">IF(ISNUMBER(MATCH(DATEVALUE($A106),'recurring1_based on steps'!AR$1:AR$400,0)),AR$2,)</f>
        <v>0</v>
      </c>
      <c r="AS106" s="155">
        <f ca="1">IF(ISNUMBER(MATCH(DATEVALUE($A106),'recurring1_based on steps'!AS$1:AS$400,0)),AS$2,)</f>
        <v>0</v>
      </c>
      <c r="AT106" s="155">
        <f ca="1">IF(ISNUMBER(MATCH(DATEVALUE($A106),'recurring1_based on steps'!AT$1:AT$400,0)),AT$2,)</f>
        <v>0</v>
      </c>
      <c r="AU106" s="155">
        <f ca="1">IF(ISNUMBER(MATCH(DATEVALUE($A106),'recurring1_based on steps'!AU$1:AU$400,0)),AU$2,)</f>
        <v>0</v>
      </c>
      <c r="AV106" s="155">
        <f ca="1">IF(ISNUMBER(MATCH(DATEVALUE($A106),'recurring1_based on steps'!AV$1:AV$400,0)),AV$2,)</f>
        <v>0</v>
      </c>
      <c r="AW106" s="155">
        <f ca="1">IF(ISNUMBER(MATCH(DATEVALUE($A106),'recurring1_based on steps'!AW$1:AW$400,0)),AW$2,)</f>
        <v>0</v>
      </c>
      <c r="AX106" s="155">
        <f ca="1">IF(ISNUMBER(MATCH(DATEVALUE($A106),'recurring1_based on steps'!AX$1:AX$400,0)),AX$2,)</f>
        <v>0</v>
      </c>
      <c r="AY106" s="155">
        <f ca="1">IF(ISNUMBER(MATCH(DATEVALUE($A106),'recurring1_based on steps'!AY$1:AY$400,0)),AY$2,)</f>
        <v>0</v>
      </c>
    </row>
    <row r="107" spans="1:51" x14ac:dyDescent="0.2">
      <c r="A107" s="18" t="str">
        <f t="shared" ca="1" si="1"/>
        <v>2025-05-16</v>
      </c>
      <c r="B107" s="155">
        <f ca="1">IF(ISNUMBER(MATCH(DATEVALUE($A107),'recurring1_based on steps'!B$1:B$400,0)),B$2,)</f>
        <v>4000</v>
      </c>
      <c r="C107" s="155">
        <f ca="1">IF(ISNUMBER(MATCH(DATEVALUE($A107),'recurring1_based on steps'!C$1:C$400,0)),C$2,)</f>
        <v>200</v>
      </c>
      <c r="D107" s="155">
        <f ca="1">IF(ISNUMBER(MATCH(DATEVALUE($A107),'recurring1_based on steps'!D$1:D$400,0)),D$2,)</f>
        <v>2</v>
      </c>
      <c r="E107" s="155">
        <f ca="1">IF(ISNUMBER(MATCH(DATEVALUE($A107),'recurring1_based on steps'!E$1:E$400,0)),E$2,)</f>
        <v>40</v>
      </c>
      <c r="F107" s="155">
        <f ca="1">IF(ISNUMBER(MATCH(DATEVALUE($A107),'recurring1_based on steps'!F$1:F$400,0)),F$2,)</f>
        <v>50</v>
      </c>
      <c r="G107" s="155">
        <f ca="1">IF(ISNUMBER(MATCH(DATEVALUE($A107),'recurring1_based on steps'!G$1:G$400,0)),G$2,)</f>
        <v>4</v>
      </c>
      <c r="H107" s="155">
        <f ca="1">IF(ISNUMBER(MATCH(DATEVALUE($A107),'recurring1_based on steps'!H$1:H$400,0)),H$2,)</f>
        <v>0</v>
      </c>
      <c r="I107" s="155">
        <f ca="1">IF(ISNUMBER(MATCH(DATEVALUE($A107),'recurring1_based on steps'!I$1:I$400,0)),I$2,)</f>
        <v>0</v>
      </c>
      <c r="J107" s="155">
        <f ca="1">IF(ISNUMBER(MATCH(DATEVALUE($A107),'recurring1_based on steps'!J$1:J$400,0)),J$2,)</f>
        <v>0</v>
      </c>
      <c r="K107" s="155">
        <f ca="1">IF(ISNUMBER(MATCH(DATEVALUE($A107),'recurring1_based on steps'!K$1:K$400,0)),K$2,)</f>
        <v>0</v>
      </c>
      <c r="L107" s="155">
        <f ca="1">IF(ISNUMBER(MATCH(DATEVALUE($A107),'recurring1_based on steps'!L$1:L$400,0)),L$2,)</f>
        <v>0</v>
      </c>
      <c r="M107" s="155">
        <f ca="1">IF(ISNUMBER(MATCH(DATEVALUE($A107),'recurring1_based on steps'!M$1:M$400,0)),M$2,)</f>
        <v>0</v>
      </c>
      <c r="N107" s="155">
        <f ca="1">IF(ISNUMBER(MATCH(DATEVALUE($A107),'recurring1_based on steps'!N$1:N$400,0)),N$2,)</f>
        <v>0</v>
      </c>
      <c r="O107" s="155">
        <f ca="1">IF(ISNUMBER(MATCH(DATEVALUE($A107),'recurring1_based on steps'!O$1:O$400,0)),O$2,)</f>
        <v>0</v>
      </c>
      <c r="P107" s="155">
        <f ca="1">IF(ISNUMBER(MATCH(DATEVALUE($A107),'recurring1_based on steps'!P$1:P$400,0)),P$2,)</f>
        <v>0</v>
      </c>
      <c r="Q107" s="155">
        <f ca="1">IF(ISNUMBER(MATCH(DATEVALUE($A107),'recurring1_based on steps'!Q$1:Q$400,0)),Q$2,)</f>
        <v>0</v>
      </c>
      <c r="R107" s="155">
        <f ca="1">IF(ISNUMBER(MATCH(DATEVALUE($A107),'recurring1_based on steps'!R$1:R$400,0)),R$2,)</f>
        <v>0</v>
      </c>
      <c r="S107" s="155">
        <f ca="1">IF(ISNUMBER(MATCH(DATEVALUE($A107),'recurring1_based on steps'!S$1:S$400,0)),S$2,)</f>
        <v>0</v>
      </c>
      <c r="T107" s="155">
        <f ca="1">IF(ISNUMBER(MATCH(DATEVALUE($A107),'recurring1_based on steps'!T$1:T$400,0)),T$2,)</f>
        <v>0</v>
      </c>
      <c r="U107" s="155">
        <f ca="1">IF(ISNUMBER(MATCH(DATEVALUE($A107),'recurring1_based on steps'!U$1:U$400,0)),U$2,)</f>
        <v>0</v>
      </c>
      <c r="V107" s="155">
        <f ca="1">IF(ISNUMBER(MATCH(DATEVALUE($A107),'recurring1_based on steps'!V$1:V$400,0)),V$2,)</f>
        <v>0</v>
      </c>
      <c r="W107" s="155">
        <f ca="1">IF(ISNUMBER(MATCH(DATEVALUE($A107),'recurring1_based on steps'!W$1:W$400,0)),W$2,)</f>
        <v>0</v>
      </c>
      <c r="X107" s="155">
        <f ca="1">IF(ISNUMBER(MATCH(DATEVALUE($A107),'recurring1_based on steps'!X$1:X$400,0)),X$2,)</f>
        <v>50</v>
      </c>
      <c r="Y107" s="155">
        <f ca="1">IF(ISNUMBER(MATCH(DATEVALUE($A107),'recurring1_based on steps'!Y$1:Y$400,0)),Y$2,)</f>
        <v>0</v>
      </c>
      <c r="Z107" s="155">
        <f ca="1">IF(ISNUMBER(MATCH(DATEVALUE($A107),'recurring1_based on steps'!Z$1:Z$400,0)),Z$2,)</f>
        <v>0</v>
      </c>
      <c r="AA107" s="155">
        <f ca="1">IF(ISNUMBER(MATCH(DATEVALUE($A107),'recurring1_based on steps'!AA$1:AA$400,0)),AA$2,)</f>
        <v>0</v>
      </c>
      <c r="AB107" s="155">
        <f ca="1">IF(ISNUMBER(MATCH(DATEVALUE($A107),'recurring1_based on steps'!AB$1:AB$400,0)),AB$2,)</f>
        <v>0</v>
      </c>
      <c r="AC107" s="155">
        <f ca="1">IF(ISNUMBER(MATCH(DATEVALUE($A107),'recurring1_based on steps'!AC$1:AC$400,0)),AC$2,)</f>
        <v>0</v>
      </c>
      <c r="AD107" s="155">
        <f ca="1">IF(ISNUMBER(MATCH(DATEVALUE($A107),'recurring1_based on steps'!AD$1:AD$400,0)),AD$2,)</f>
        <v>0</v>
      </c>
      <c r="AE107" s="155">
        <f ca="1">IF(ISNUMBER(MATCH(DATEVALUE($A107),'recurring1_based on steps'!AE$1:AE$400,0)),AE$2,)</f>
        <v>0</v>
      </c>
      <c r="AF107" s="155">
        <f ca="1">IF(ISNUMBER(MATCH(DATEVALUE($A107),'recurring1_based on steps'!AF$1:AF$400,0)),AF$2,)</f>
        <v>0</v>
      </c>
      <c r="AG107" s="155">
        <f ca="1">IF(ISNUMBER(MATCH(DATEVALUE($A107),'recurring1_based on steps'!AG$1:AG$400,0)),AG$2,)</f>
        <v>0</v>
      </c>
      <c r="AH107" s="155">
        <f ca="1">IF(ISNUMBER(MATCH(DATEVALUE($A107),'recurring1_based on steps'!AH$1:AH$400,0)),AH$2,)</f>
        <v>0</v>
      </c>
      <c r="AI107" s="155">
        <f ca="1">IF(ISNUMBER(MATCH(DATEVALUE($A107),'recurring1_based on steps'!AI$1:AI$400,0)),AI$2,)</f>
        <v>0</v>
      </c>
      <c r="AJ107" s="155">
        <f ca="1">IF(ISNUMBER(MATCH(DATEVALUE($A107),'recurring1_based on steps'!AJ$1:AJ$400,0)),AJ$2,)</f>
        <v>0</v>
      </c>
      <c r="AK107" s="155">
        <f ca="1">IF(ISNUMBER(MATCH(DATEVALUE($A107),'recurring1_based on steps'!AK$1:AK$400,0)),AK$2,)</f>
        <v>0</v>
      </c>
      <c r="AL107" s="155">
        <f ca="1">IF(ISNUMBER(MATCH(DATEVALUE($A107),'recurring1_based on steps'!AL$1:AL$400,0)),AL$2,)</f>
        <v>0</v>
      </c>
      <c r="AM107" s="155">
        <f ca="1">IF(ISNUMBER(MATCH(DATEVALUE($A107),'recurring1_based on steps'!AM$1:AM$400,0)),AM$2,)</f>
        <v>0</v>
      </c>
      <c r="AN107" s="155">
        <f ca="1">IF(ISNUMBER(MATCH(DATEVALUE($A107),'recurring1_based on steps'!AN$1:AN$400,0)),AN$2,)</f>
        <v>0</v>
      </c>
      <c r="AO107" s="155">
        <f ca="1">IF(ISNUMBER(MATCH(DATEVALUE($A107),'recurring1_based on steps'!AO$1:AO$400,0)),AO$2,)</f>
        <v>0</v>
      </c>
      <c r="AP107" s="155">
        <f ca="1">IF(ISNUMBER(MATCH(DATEVALUE($A107),'recurring1_based on steps'!AP$1:AP$400,0)),AP$2,)</f>
        <v>0</v>
      </c>
      <c r="AQ107" s="155">
        <f ca="1">IF(ISNUMBER(MATCH(DATEVALUE($A107),'recurring1_based on steps'!AQ$1:AQ$400,0)),AQ$2,)</f>
        <v>0</v>
      </c>
      <c r="AR107" s="155">
        <f ca="1">IF(ISNUMBER(MATCH(DATEVALUE($A107),'recurring1_based on steps'!AR$1:AR$400,0)),AR$2,)</f>
        <v>0</v>
      </c>
      <c r="AS107" s="155">
        <f ca="1">IF(ISNUMBER(MATCH(DATEVALUE($A107),'recurring1_based on steps'!AS$1:AS$400,0)),AS$2,)</f>
        <v>0</v>
      </c>
      <c r="AT107" s="155">
        <f ca="1">IF(ISNUMBER(MATCH(DATEVALUE($A107),'recurring1_based on steps'!AT$1:AT$400,0)),AT$2,)</f>
        <v>0</v>
      </c>
      <c r="AU107" s="155">
        <f ca="1">IF(ISNUMBER(MATCH(DATEVALUE($A107),'recurring1_based on steps'!AU$1:AU$400,0)),AU$2,)</f>
        <v>0</v>
      </c>
      <c r="AV107" s="155">
        <f ca="1">IF(ISNUMBER(MATCH(DATEVALUE($A107),'recurring1_based on steps'!AV$1:AV$400,0)),AV$2,)</f>
        <v>0</v>
      </c>
      <c r="AW107" s="155">
        <f ca="1">IF(ISNUMBER(MATCH(DATEVALUE($A107),'recurring1_based on steps'!AW$1:AW$400,0)),AW$2,)</f>
        <v>0</v>
      </c>
      <c r="AX107" s="155">
        <f ca="1">IF(ISNUMBER(MATCH(DATEVALUE($A107),'recurring1_based on steps'!AX$1:AX$400,0)),AX$2,)</f>
        <v>0</v>
      </c>
      <c r="AY107" s="155">
        <f ca="1">IF(ISNUMBER(MATCH(DATEVALUE($A107),'recurring1_based on steps'!AY$1:AY$400,0)),AY$2,)</f>
        <v>0</v>
      </c>
    </row>
    <row r="108" spans="1:51" x14ac:dyDescent="0.2">
      <c r="A108" s="18" t="str">
        <f t="shared" ca="1" si="1"/>
        <v>2025-05-17</v>
      </c>
      <c r="B108" s="155">
        <f ca="1">IF(ISNUMBER(MATCH(DATEVALUE($A108),'recurring1_based on steps'!B$1:B$400,0)),B$2,)</f>
        <v>0</v>
      </c>
      <c r="C108" s="155">
        <f ca="1">IF(ISNUMBER(MATCH(DATEVALUE($A108),'recurring1_based on steps'!C$1:C$400,0)),C$2,)</f>
        <v>0</v>
      </c>
      <c r="D108" s="155">
        <f ca="1">IF(ISNUMBER(MATCH(DATEVALUE($A108),'recurring1_based on steps'!D$1:D$400,0)),D$2,)</f>
        <v>0</v>
      </c>
      <c r="E108" s="155">
        <f ca="1">IF(ISNUMBER(MATCH(DATEVALUE($A108),'recurring1_based on steps'!E$1:E$400,0)),E$2,)</f>
        <v>0</v>
      </c>
      <c r="F108" s="155">
        <f ca="1">IF(ISNUMBER(MATCH(DATEVALUE($A108),'recurring1_based on steps'!F$1:F$400,0)),F$2,)</f>
        <v>0</v>
      </c>
      <c r="G108" s="155">
        <f ca="1">IF(ISNUMBER(MATCH(DATEVALUE($A108),'recurring1_based on steps'!G$1:G$400,0)),G$2,)</f>
        <v>0</v>
      </c>
      <c r="H108" s="155">
        <f ca="1">IF(ISNUMBER(MATCH(DATEVALUE($A108),'recurring1_based on steps'!H$1:H$400,0)),H$2,)</f>
        <v>0</v>
      </c>
      <c r="I108" s="155">
        <f ca="1">IF(ISNUMBER(MATCH(DATEVALUE($A108),'recurring1_based on steps'!I$1:I$400,0)),I$2,)</f>
        <v>0</v>
      </c>
      <c r="J108" s="155">
        <f ca="1">IF(ISNUMBER(MATCH(DATEVALUE($A108),'recurring1_based on steps'!J$1:J$400,0)),J$2,)</f>
        <v>0</v>
      </c>
      <c r="K108" s="155">
        <f ca="1">IF(ISNUMBER(MATCH(DATEVALUE($A108),'recurring1_based on steps'!K$1:K$400,0)),K$2,)</f>
        <v>0</v>
      </c>
      <c r="L108" s="155">
        <f ca="1">IF(ISNUMBER(MATCH(DATEVALUE($A108),'recurring1_based on steps'!L$1:L$400,0)),L$2,)</f>
        <v>0</v>
      </c>
      <c r="M108" s="155">
        <f ca="1">IF(ISNUMBER(MATCH(DATEVALUE($A108),'recurring1_based on steps'!M$1:M$400,0)),M$2,)</f>
        <v>0</v>
      </c>
      <c r="N108" s="155">
        <f ca="1">IF(ISNUMBER(MATCH(DATEVALUE($A108),'recurring1_based on steps'!N$1:N$400,0)),N$2,)</f>
        <v>15.49</v>
      </c>
      <c r="O108" s="155">
        <f ca="1">IF(ISNUMBER(MATCH(DATEVALUE($A108),'recurring1_based on steps'!O$1:O$400,0)),O$2,)</f>
        <v>0</v>
      </c>
      <c r="P108" s="155">
        <f ca="1">IF(ISNUMBER(MATCH(DATEVALUE($A108),'recurring1_based on steps'!P$1:P$400,0)),P$2,)</f>
        <v>0</v>
      </c>
      <c r="Q108" s="155">
        <f ca="1">IF(ISNUMBER(MATCH(DATEVALUE($A108),'recurring1_based on steps'!Q$1:Q$400,0)),Q$2,)</f>
        <v>100</v>
      </c>
      <c r="R108" s="155">
        <f ca="1">IF(ISNUMBER(MATCH(DATEVALUE($A108),'recurring1_based on steps'!R$1:R$400,0)),R$2,)</f>
        <v>100</v>
      </c>
      <c r="S108" s="155">
        <f ca="1">IF(ISNUMBER(MATCH(DATEVALUE($A108),'recurring1_based on steps'!S$1:S$400,0)),S$2,)</f>
        <v>0</v>
      </c>
      <c r="T108" s="155">
        <f ca="1">IF(ISNUMBER(MATCH(DATEVALUE($A108),'recurring1_based on steps'!T$1:T$400,0)),T$2,)</f>
        <v>0</v>
      </c>
      <c r="U108" s="155">
        <f ca="1">IF(ISNUMBER(MATCH(DATEVALUE($A108),'recurring1_based on steps'!U$1:U$400,0)),U$2,)</f>
        <v>0</v>
      </c>
      <c r="V108" s="155">
        <f ca="1">IF(ISNUMBER(MATCH(DATEVALUE($A108),'recurring1_based on steps'!V$1:V$400,0)),V$2,)</f>
        <v>200</v>
      </c>
      <c r="W108" s="155">
        <f ca="1">IF(ISNUMBER(MATCH(DATEVALUE($A108),'recurring1_based on steps'!W$1:W$400,0)),W$2,)</f>
        <v>0</v>
      </c>
      <c r="X108" s="155">
        <f ca="1">IF(ISNUMBER(MATCH(DATEVALUE($A108),'recurring1_based on steps'!X$1:X$400,0)),X$2,)</f>
        <v>0</v>
      </c>
      <c r="Y108" s="155">
        <f ca="1">IF(ISNUMBER(MATCH(DATEVALUE($A108),'recurring1_based on steps'!Y$1:Y$400,0)),Y$2,)</f>
        <v>0</v>
      </c>
      <c r="Z108" s="155">
        <f ca="1">IF(ISNUMBER(MATCH(DATEVALUE($A108),'recurring1_based on steps'!Z$1:Z$400,0)),Z$2,)</f>
        <v>0</v>
      </c>
      <c r="AA108" s="155">
        <f ca="1">IF(ISNUMBER(MATCH(DATEVALUE($A108),'recurring1_based on steps'!AA$1:AA$400,0)),AA$2,)</f>
        <v>0</v>
      </c>
      <c r="AB108" s="155">
        <f ca="1">IF(ISNUMBER(MATCH(DATEVALUE($A108),'recurring1_based on steps'!AB$1:AB$400,0)),AB$2,)</f>
        <v>0</v>
      </c>
      <c r="AC108" s="155">
        <f ca="1">IF(ISNUMBER(MATCH(DATEVALUE($A108),'recurring1_based on steps'!AC$1:AC$400,0)),AC$2,)</f>
        <v>0</v>
      </c>
      <c r="AD108" s="155">
        <f ca="1">IF(ISNUMBER(MATCH(DATEVALUE($A108),'recurring1_based on steps'!AD$1:AD$400,0)),AD$2,)</f>
        <v>0</v>
      </c>
      <c r="AE108" s="155">
        <f ca="1">IF(ISNUMBER(MATCH(DATEVALUE($A108),'recurring1_based on steps'!AE$1:AE$400,0)),AE$2,)</f>
        <v>0</v>
      </c>
      <c r="AF108" s="155">
        <f ca="1">IF(ISNUMBER(MATCH(DATEVALUE($A108),'recurring1_based on steps'!AF$1:AF$400,0)),AF$2,)</f>
        <v>0</v>
      </c>
      <c r="AG108" s="155">
        <f ca="1">IF(ISNUMBER(MATCH(DATEVALUE($A108),'recurring1_based on steps'!AG$1:AG$400,0)),AG$2,)</f>
        <v>0</v>
      </c>
      <c r="AH108" s="155">
        <f ca="1">IF(ISNUMBER(MATCH(DATEVALUE($A108),'recurring1_based on steps'!AH$1:AH$400,0)),AH$2,)</f>
        <v>0</v>
      </c>
      <c r="AI108" s="155">
        <f ca="1">IF(ISNUMBER(MATCH(DATEVALUE($A108),'recurring1_based on steps'!AI$1:AI$400,0)),AI$2,)</f>
        <v>0</v>
      </c>
      <c r="AJ108" s="155">
        <f ca="1">IF(ISNUMBER(MATCH(DATEVALUE($A108),'recurring1_based on steps'!AJ$1:AJ$400,0)),AJ$2,)</f>
        <v>0</v>
      </c>
      <c r="AK108" s="155">
        <f ca="1">IF(ISNUMBER(MATCH(DATEVALUE($A108),'recurring1_based on steps'!AK$1:AK$400,0)),AK$2,)</f>
        <v>0</v>
      </c>
      <c r="AL108" s="155">
        <f ca="1">IF(ISNUMBER(MATCH(DATEVALUE($A108),'recurring1_based on steps'!AL$1:AL$400,0)),AL$2,)</f>
        <v>0</v>
      </c>
      <c r="AM108" s="155">
        <f ca="1">IF(ISNUMBER(MATCH(DATEVALUE($A108),'recurring1_based on steps'!AM$1:AM$400,0)),AM$2,)</f>
        <v>0</v>
      </c>
      <c r="AN108" s="155">
        <f ca="1">IF(ISNUMBER(MATCH(DATEVALUE($A108),'recurring1_based on steps'!AN$1:AN$400,0)),AN$2,)</f>
        <v>0</v>
      </c>
      <c r="AO108" s="155">
        <f ca="1">IF(ISNUMBER(MATCH(DATEVALUE($A108),'recurring1_based on steps'!AO$1:AO$400,0)),AO$2,)</f>
        <v>0</v>
      </c>
      <c r="AP108" s="155">
        <f ca="1">IF(ISNUMBER(MATCH(DATEVALUE($A108),'recurring1_based on steps'!AP$1:AP$400,0)),AP$2,)</f>
        <v>0</v>
      </c>
      <c r="AQ108" s="155">
        <f ca="1">IF(ISNUMBER(MATCH(DATEVALUE($A108),'recurring1_based on steps'!AQ$1:AQ$400,0)),AQ$2,)</f>
        <v>0</v>
      </c>
      <c r="AR108" s="155">
        <f ca="1">IF(ISNUMBER(MATCH(DATEVALUE($A108),'recurring1_based on steps'!AR$1:AR$400,0)),AR$2,)</f>
        <v>0</v>
      </c>
      <c r="AS108" s="155">
        <f ca="1">IF(ISNUMBER(MATCH(DATEVALUE($A108),'recurring1_based on steps'!AS$1:AS$400,0)),AS$2,)</f>
        <v>0</v>
      </c>
      <c r="AT108" s="155">
        <f ca="1">IF(ISNUMBER(MATCH(DATEVALUE($A108),'recurring1_based on steps'!AT$1:AT$400,0)),AT$2,)</f>
        <v>0</v>
      </c>
      <c r="AU108" s="155">
        <f ca="1">IF(ISNUMBER(MATCH(DATEVALUE($A108),'recurring1_based on steps'!AU$1:AU$400,0)),AU$2,)</f>
        <v>0</v>
      </c>
      <c r="AV108" s="155">
        <f ca="1">IF(ISNUMBER(MATCH(DATEVALUE($A108),'recurring1_based on steps'!AV$1:AV$400,0)),AV$2,)</f>
        <v>0</v>
      </c>
      <c r="AW108" s="155">
        <f ca="1">IF(ISNUMBER(MATCH(DATEVALUE($A108),'recurring1_based on steps'!AW$1:AW$400,0)),AW$2,)</f>
        <v>0</v>
      </c>
      <c r="AX108" s="155">
        <f ca="1">IF(ISNUMBER(MATCH(DATEVALUE($A108),'recurring1_based on steps'!AX$1:AX$400,0)),AX$2,)</f>
        <v>0</v>
      </c>
      <c r="AY108" s="155">
        <f ca="1">IF(ISNUMBER(MATCH(DATEVALUE($A108),'recurring1_based on steps'!AY$1:AY$400,0)),AY$2,)</f>
        <v>0</v>
      </c>
    </row>
    <row r="109" spans="1:51" x14ac:dyDescent="0.2">
      <c r="A109" s="18" t="str">
        <f t="shared" ca="1" si="1"/>
        <v>2025-05-18</v>
      </c>
      <c r="B109" s="155">
        <f ca="1">IF(ISNUMBER(MATCH(DATEVALUE($A109),'recurring1_based on steps'!B$1:B$400,0)),B$2,)</f>
        <v>0</v>
      </c>
      <c r="C109" s="155">
        <f ca="1">IF(ISNUMBER(MATCH(DATEVALUE($A109),'recurring1_based on steps'!C$1:C$400,0)),C$2,)</f>
        <v>0</v>
      </c>
      <c r="D109" s="155">
        <f ca="1">IF(ISNUMBER(MATCH(DATEVALUE($A109),'recurring1_based on steps'!D$1:D$400,0)),D$2,)</f>
        <v>0</v>
      </c>
      <c r="E109" s="155">
        <f ca="1">IF(ISNUMBER(MATCH(DATEVALUE($A109),'recurring1_based on steps'!E$1:E$400,0)),E$2,)</f>
        <v>0</v>
      </c>
      <c r="F109" s="155">
        <f ca="1">IF(ISNUMBER(MATCH(DATEVALUE($A109),'recurring1_based on steps'!F$1:F$400,0)),F$2,)</f>
        <v>0</v>
      </c>
      <c r="G109" s="155">
        <f ca="1">IF(ISNUMBER(MATCH(DATEVALUE($A109),'recurring1_based on steps'!G$1:G$400,0)),G$2,)</f>
        <v>0</v>
      </c>
      <c r="H109" s="155">
        <f ca="1">IF(ISNUMBER(MATCH(DATEVALUE($A109),'recurring1_based on steps'!H$1:H$400,0)),H$2,)</f>
        <v>0</v>
      </c>
      <c r="I109" s="155">
        <f ca="1">IF(ISNUMBER(MATCH(DATEVALUE($A109),'recurring1_based on steps'!I$1:I$400,0)),I$2,)</f>
        <v>0</v>
      </c>
      <c r="J109" s="155">
        <f ca="1">IF(ISNUMBER(MATCH(DATEVALUE($A109),'recurring1_based on steps'!J$1:J$400,0)),J$2,)</f>
        <v>0</v>
      </c>
      <c r="K109" s="155">
        <f ca="1">IF(ISNUMBER(MATCH(DATEVALUE($A109),'recurring1_based on steps'!K$1:K$400,0)),K$2,)</f>
        <v>50</v>
      </c>
      <c r="L109" s="155">
        <f ca="1">IF(ISNUMBER(MATCH(DATEVALUE($A109),'recurring1_based on steps'!L$1:L$400,0)),L$2,)</f>
        <v>0</v>
      </c>
      <c r="M109" s="155">
        <f ca="1">IF(ISNUMBER(MATCH(DATEVALUE($A109),'recurring1_based on steps'!M$1:M$400,0)),M$2,)</f>
        <v>0</v>
      </c>
      <c r="N109" s="155">
        <f ca="1">IF(ISNUMBER(MATCH(DATEVALUE($A109),'recurring1_based on steps'!N$1:N$400,0)),N$2,)</f>
        <v>0</v>
      </c>
      <c r="O109" s="155">
        <f ca="1">IF(ISNUMBER(MATCH(DATEVALUE($A109),'recurring1_based on steps'!O$1:O$400,0)),O$2,)</f>
        <v>10.99</v>
      </c>
      <c r="P109" s="155">
        <f ca="1">IF(ISNUMBER(MATCH(DATEVALUE($A109),'recurring1_based on steps'!P$1:P$400,0)),P$2,)</f>
        <v>0</v>
      </c>
      <c r="Q109" s="155">
        <f ca="1">IF(ISNUMBER(MATCH(DATEVALUE($A109),'recurring1_based on steps'!Q$1:Q$400,0)),Q$2,)</f>
        <v>0</v>
      </c>
      <c r="R109" s="155">
        <f ca="1">IF(ISNUMBER(MATCH(DATEVALUE($A109),'recurring1_based on steps'!R$1:R$400,0)),R$2,)</f>
        <v>0</v>
      </c>
      <c r="S109" s="155">
        <f ca="1">IF(ISNUMBER(MATCH(DATEVALUE($A109),'recurring1_based on steps'!S$1:S$400,0)),S$2,)</f>
        <v>100</v>
      </c>
      <c r="T109" s="155">
        <f ca="1">IF(ISNUMBER(MATCH(DATEVALUE($A109),'recurring1_based on steps'!T$1:T$400,0)),T$2,)</f>
        <v>0</v>
      </c>
      <c r="U109" s="155">
        <f ca="1">IF(ISNUMBER(MATCH(DATEVALUE($A109),'recurring1_based on steps'!U$1:U$400,0)),U$2,)</f>
        <v>0</v>
      </c>
      <c r="V109" s="155">
        <f ca="1">IF(ISNUMBER(MATCH(DATEVALUE($A109),'recurring1_based on steps'!V$1:V$400,0)),V$2,)</f>
        <v>0</v>
      </c>
      <c r="W109" s="155">
        <f ca="1">IF(ISNUMBER(MATCH(DATEVALUE($A109),'recurring1_based on steps'!W$1:W$400,0)),W$2,)</f>
        <v>0</v>
      </c>
      <c r="X109" s="155">
        <f ca="1">IF(ISNUMBER(MATCH(DATEVALUE($A109),'recurring1_based on steps'!X$1:X$400,0)),X$2,)</f>
        <v>0</v>
      </c>
      <c r="Y109" s="155">
        <f ca="1">IF(ISNUMBER(MATCH(DATEVALUE($A109),'recurring1_based on steps'!Y$1:Y$400,0)),Y$2,)</f>
        <v>0</v>
      </c>
      <c r="Z109" s="155">
        <f ca="1">IF(ISNUMBER(MATCH(DATEVALUE($A109),'recurring1_based on steps'!Z$1:Z$400,0)),Z$2,)</f>
        <v>0</v>
      </c>
      <c r="AA109" s="155">
        <f ca="1">IF(ISNUMBER(MATCH(DATEVALUE($A109),'recurring1_based on steps'!AA$1:AA$400,0)),AA$2,)</f>
        <v>0</v>
      </c>
      <c r="AB109" s="155">
        <f ca="1">IF(ISNUMBER(MATCH(DATEVALUE($A109),'recurring1_based on steps'!AB$1:AB$400,0)),AB$2,)</f>
        <v>0</v>
      </c>
      <c r="AC109" s="155">
        <f ca="1">IF(ISNUMBER(MATCH(DATEVALUE($A109),'recurring1_based on steps'!AC$1:AC$400,0)),AC$2,)</f>
        <v>0</v>
      </c>
      <c r="AD109" s="155">
        <f ca="1">IF(ISNUMBER(MATCH(DATEVALUE($A109),'recurring1_based on steps'!AD$1:AD$400,0)),AD$2,)</f>
        <v>0</v>
      </c>
      <c r="AE109" s="155">
        <f ca="1">IF(ISNUMBER(MATCH(DATEVALUE($A109),'recurring1_based on steps'!AE$1:AE$400,0)),AE$2,)</f>
        <v>0</v>
      </c>
      <c r="AF109" s="155">
        <f ca="1">IF(ISNUMBER(MATCH(DATEVALUE($A109),'recurring1_based on steps'!AF$1:AF$400,0)),AF$2,)</f>
        <v>0</v>
      </c>
      <c r="AG109" s="155">
        <f ca="1">IF(ISNUMBER(MATCH(DATEVALUE($A109),'recurring1_based on steps'!AG$1:AG$400,0)),AG$2,)</f>
        <v>0</v>
      </c>
      <c r="AH109" s="155">
        <f ca="1">IF(ISNUMBER(MATCH(DATEVALUE($A109),'recurring1_based on steps'!AH$1:AH$400,0)),AH$2,)</f>
        <v>0</v>
      </c>
      <c r="AI109" s="155">
        <f ca="1">IF(ISNUMBER(MATCH(DATEVALUE($A109),'recurring1_based on steps'!AI$1:AI$400,0)),AI$2,)</f>
        <v>0</v>
      </c>
      <c r="AJ109" s="155">
        <f ca="1">IF(ISNUMBER(MATCH(DATEVALUE($A109),'recurring1_based on steps'!AJ$1:AJ$400,0)),AJ$2,)</f>
        <v>0</v>
      </c>
      <c r="AK109" s="155">
        <f ca="1">IF(ISNUMBER(MATCH(DATEVALUE($A109),'recurring1_based on steps'!AK$1:AK$400,0)),AK$2,)</f>
        <v>0</v>
      </c>
      <c r="AL109" s="155">
        <f ca="1">IF(ISNUMBER(MATCH(DATEVALUE($A109),'recurring1_based on steps'!AL$1:AL$400,0)),AL$2,)</f>
        <v>0</v>
      </c>
      <c r="AM109" s="155">
        <f ca="1">IF(ISNUMBER(MATCH(DATEVALUE($A109),'recurring1_based on steps'!AM$1:AM$400,0)),AM$2,)</f>
        <v>0</v>
      </c>
      <c r="AN109" s="155">
        <f ca="1">IF(ISNUMBER(MATCH(DATEVALUE($A109),'recurring1_based on steps'!AN$1:AN$400,0)),AN$2,)</f>
        <v>0</v>
      </c>
      <c r="AO109" s="155">
        <f ca="1">IF(ISNUMBER(MATCH(DATEVALUE($A109),'recurring1_based on steps'!AO$1:AO$400,0)),AO$2,)</f>
        <v>0</v>
      </c>
      <c r="AP109" s="155">
        <f ca="1">IF(ISNUMBER(MATCH(DATEVALUE($A109),'recurring1_based on steps'!AP$1:AP$400,0)),AP$2,)</f>
        <v>0</v>
      </c>
      <c r="AQ109" s="155">
        <f ca="1">IF(ISNUMBER(MATCH(DATEVALUE($A109),'recurring1_based on steps'!AQ$1:AQ$400,0)),AQ$2,)</f>
        <v>0</v>
      </c>
      <c r="AR109" s="155">
        <f ca="1">IF(ISNUMBER(MATCH(DATEVALUE($A109),'recurring1_based on steps'!AR$1:AR$400,0)),AR$2,)</f>
        <v>0</v>
      </c>
      <c r="AS109" s="155">
        <f ca="1">IF(ISNUMBER(MATCH(DATEVALUE($A109),'recurring1_based on steps'!AS$1:AS$400,0)),AS$2,)</f>
        <v>0</v>
      </c>
      <c r="AT109" s="155">
        <f ca="1">IF(ISNUMBER(MATCH(DATEVALUE($A109),'recurring1_based on steps'!AT$1:AT$400,0)),AT$2,)</f>
        <v>0</v>
      </c>
      <c r="AU109" s="155">
        <f ca="1">IF(ISNUMBER(MATCH(DATEVALUE($A109),'recurring1_based on steps'!AU$1:AU$400,0)),AU$2,)</f>
        <v>0</v>
      </c>
      <c r="AV109" s="155">
        <f ca="1">IF(ISNUMBER(MATCH(DATEVALUE($A109),'recurring1_based on steps'!AV$1:AV$400,0)),AV$2,)</f>
        <v>0</v>
      </c>
      <c r="AW109" s="155">
        <f ca="1">IF(ISNUMBER(MATCH(DATEVALUE($A109),'recurring1_based on steps'!AW$1:AW$400,0)),AW$2,)</f>
        <v>0</v>
      </c>
      <c r="AX109" s="155">
        <f ca="1">IF(ISNUMBER(MATCH(DATEVALUE($A109),'recurring1_based on steps'!AX$1:AX$400,0)),AX$2,)</f>
        <v>0</v>
      </c>
      <c r="AY109" s="155">
        <f ca="1">IF(ISNUMBER(MATCH(DATEVALUE($A109),'recurring1_based on steps'!AY$1:AY$400,0)),AY$2,)</f>
        <v>0</v>
      </c>
    </row>
    <row r="110" spans="1:51" x14ac:dyDescent="0.2">
      <c r="A110" s="18" t="str">
        <f t="shared" ca="1" si="1"/>
        <v>2025-05-19</v>
      </c>
      <c r="B110" s="155">
        <f ca="1">IF(ISNUMBER(MATCH(DATEVALUE($A110),'recurring1_based on steps'!B$1:B$400,0)),B$2,)</f>
        <v>0</v>
      </c>
      <c r="C110" s="155">
        <f ca="1">IF(ISNUMBER(MATCH(DATEVALUE($A110),'recurring1_based on steps'!C$1:C$400,0)),C$2,)</f>
        <v>0</v>
      </c>
      <c r="D110" s="155">
        <f ca="1">IF(ISNUMBER(MATCH(DATEVALUE($A110),'recurring1_based on steps'!D$1:D$400,0)),D$2,)</f>
        <v>0</v>
      </c>
      <c r="E110" s="155">
        <f ca="1">IF(ISNUMBER(MATCH(DATEVALUE($A110),'recurring1_based on steps'!E$1:E$400,0)),E$2,)</f>
        <v>0</v>
      </c>
      <c r="F110" s="155">
        <f ca="1">IF(ISNUMBER(MATCH(DATEVALUE($A110),'recurring1_based on steps'!F$1:F$400,0)),F$2,)</f>
        <v>0</v>
      </c>
      <c r="G110" s="155">
        <f ca="1">IF(ISNUMBER(MATCH(DATEVALUE($A110),'recurring1_based on steps'!G$1:G$400,0)),G$2,)</f>
        <v>0</v>
      </c>
      <c r="H110" s="155">
        <f ca="1">IF(ISNUMBER(MATCH(DATEVALUE($A110),'recurring1_based on steps'!H$1:H$400,0)),H$2,)</f>
        <v>0</v>
      </c>
      <c r="I110" s="155">
        <f ca="1">IF(ISNUMBER(MATCH(DATEVALUE($A110),'recurring1_based on steps'!I$1:I$400,0)),I$2,)</f>
        <v>0</v>
      </c>
      <c r="J110" s="155">
        <f ca="1">IF(ISNUMBER(MATCH(DATEVALUE($A110),'recurring1_based on steps'!J$1:J$400,0)),J$2,)</f>
        <v>0</v>
      </c>
      <c r="K110" s="155">
        <f ca="1">IF(ISNUMBER(MATCH(DATEVALUE($A110),'recurring1_based on steps'!K$1:K$400,0)),K$2,)</f>
        <v>0</v>
      </c>
      <c r="L110" s="155">
        <f ca="1">IF(ISNUMBER(MATCH(DATEVALUE($A110),'recurring1_based on steps'!L$1:L$400,0)),L$2,)</f>
        <v>0</v>
      </c>
      <c r="M110" s="155">
        <f ca="1">IF(ISNUMBER(MATCH(DATEVALUE($A110),'recurring1_based on steps'!M$1:M$400,0)),M$2,)</f>
        <v>0</v>
      </c>
      <c r="N110" s="155">
        <f ca="1">IF(ISNUMBER(MATCH(DATEVALUE($A110),'recurring1_based on steps'!N$1:N$400,0)),N$2,)</f>
        <v>0</v>
      </c>
      <c r="O110" s="155">
        <f ca="1">IF(ISNUMBER(MATCH(DATEVALUE($A110),'recurring1_based on steps'!O$1:O$400,0)),O$2,)</f>
        <v>0</v>
      </c>
      <c r="P110" s="155">
        <f ca="1">IF(ISNUMBER(MATCH(DATEVALUE($A110),'recurring1_based on steps'!P$1:P$400,0)),P$2,)</f>
        <v>0</v>
      </c>
      <c r="Q110" s="155">
        <f ca="1">IF(ISNUMBER(MATCH(DATEVALUE($A110),'recurring1_based on steps'!Q$1:Q$400,0)),Q$2,)</f>
        <v>0</v>
      </c>
      <c r="R110" s="155">
        <f ca="1">IF(ISNUMBER(MATCH(DATEVALUE($A110),'recurring1_based on steps'!R$1:R$400,0)),R$2,)</f>
        <v>0</v>
      </c>
      <c r="S110" s="155">
        <f ca="1">IF(ISNUMBER(MATCH(DATEVALUE($A110),'recurring1_based on steps'!S$1:S$400,0)),S$2,)</f>
        <v>0</v>
      </c>
      <c r="T110" s="155">
        <f ca="1">IF(ISNUMBER(MATCH(DATEVALUE($A110),'recurring1_based on steps'!T$1:T$400,0)),T$2,)</f>
        <v>50</v>
      </c>
      <c r="U110" s="155">
        <f ca="1">IF(ISNUMBER(MATCH(DATEVALUE($A110),'recurring1_based on steps'!U$1:U$400,0)),U$2,)</f>
        <v>0</v>
      </c>
      <c r="V110" s="155">
        <f ca="1">IF(ISNUMBER(MATCH(DATEVALUE($A110),'recurring1_based on steps'!V$1:V$400,0)),V$2,)</f>
        <v>0</v>
      </c>
      <c r="W110" s="155">
        <f ca="1">IF(ISNUMBER(MATCH(DATEVALUE($A110),'recurring1_based on steps'!W$1:W$400,0)),W$2,)</f>
        <v>0</v>
      </c>
      <c r="X110" s="155">
        <f ca="1">IF(ISNUMBER(MATCH(DATEVALUE($A110),'recurring1_based on steps'!X$1:X$400,0)),X$2,)</f>
        <v>0</v>
      </c>
      <c r="Y110" s="155">
        <f ca="1">IF(ISNUMBER(MATCH(DATEVALUE($A110),'recurring1_based on steps'!Y$1:Y$400,0)),Y$2,)</f>
        <v>0</v>
      </c>
      <c r="Z110" s="155">
        <f ca="1">IF(ISNUMBER(MATCH(DATEVALUE($A110),'recurring1_based on steps'!Z$1:Z$400,0)),Z$2,)</f>
        <v>0</v>
      </c>
      <c r="AA110" s="155">
        <f ca="1">IF(ISNUMBER(MATCH(DATEVALUE($A110),'recurring1_based on steps'!AA$1:AA$400,0)),AA$2,)</f>
        <v>0</v>
      </c>
      <c r="AB110" s="155">
        <f ca="1">IF(ISNUMBER(MATCH(DATEVALUE($A110),'recurring1_based on steps'!AB$1:AB$400,0)),AB$2,)</f>
        <v>0</v>
      </c>
      <c r="AC110" s="155">
        <f ca="1">IF(ISNUMBER(MATCH(DATEVALUE($A110),'recurring1_based on steps'!AC$1:AC$400,0)),AC$2,)</f>
        <v>0</v>
      </c>
      <c r="AD110" s="155">
        <f ca="1">IF(ISNUMBER(MATCH(DATEVALUE($A110),'recurring1_based on steps'!AD$1:AD$400,0)),AD$2,)</f>
        <v>0</v>
      </c>
      <c r="AE110" s="155">
        <f ca="1">IF(ISNUMBER(MATCH(DATEVALUE($A110),'recurring1_based on steps'!AE$1:AE$400,0)),AE$2,)</f>
        <v>0</v>
      </c>
      <c r="AF110" s="155">
        <f ca="1">IF(ISNUMBER(MATCH(DATEVALUE($A110),'recurring1_based on steps'!AF$1:AF$400,0)),AF$2,)</f>
        <v>0</v>
      </c>
      <c r="AG110" s="155">
        <f ca="1">IF(ISNUMBER(MATCH(DATEVALUE($A110),'recurring1_based on steps'!AG$1:AG$400,0)),AG$2,)</f>
        <v>0</v>
      </c>
      <c r="AH110" s="155">
        <f ca="1">IF(ISNUMBER(MATCH(DATEVALUE($A110),'recurring1_based on steps'!AH$1:AH$400,0)),AH$2,)</f>
        <v>0</v>
      </c>
      <c r="AI110" s="155">
        <f ca="1">IF(ISNUMBER(MATCH(DATEVALUE($A110),'recurring1_based on steps'!AI$1:AI$400,0)),AI$2,)</f>
        <v>0</v>
      </c>
      <c r="AJ110" s="155">
        <f ca="1">IF(ISNUMBER(MATCH(DATEVALUE($A110),'recurring1_based on steps'!AJ$1:AJ$400,0)),AJ$2,)</f>
        <v>0</v>
      </c>
      <c r="AK110" s="155">
        <f ca="1">IF(ISNUMBER(MATCH(DATEVALUE($A110),'recurring1_based on steps'!AK$1:AK$400,0)),AK$2,)</f>
        <v>0</v>
      </c>
      <c r="AL110" s="155">
        <f ca="1">IF(ISNUMBER(MATCH(DATEVALUE($A110),'recurring1_based on steps'!AL$1:AL$400,0)),AL$2,)</f>
        <v>0</v>
      </c>
      <c r="AM110" s="155">
        <f ca="1">IF(ISNUMBER(MATCH(DATEVALUE($A110),'recurring1_based on steps'!AM$1:AM$400,0)),AM$2,)</f>
        <v>0</v>
      </c>
      <c r="AN110" s="155">
        <f ca="1">IF(ISNUMBER(MATCH(DATEVALUE($A110),'recurring1_based on steps'!AN$1:AN$400,0)),AN$2,)</f>
        <v>0</v>
      </c>
      <c r="AO110" s="155">
        <f ca="1">IF(ISNUMBER(MATCH(DATEVALUE($A110),'recurring1_based on steps'!AO$1:AO$400,0)),AO$2,)</f>
        <v>0</v>
      </c>
      <c r="AP110" s="155">
        <f ca="1">IF(ISNUMBER(MATCH(DATEVALUE($A110),'recurring1_based on steps'!AP$1:AP$400,0)),AP$2,)</f>
        <v>0</v>
      </c>
      <c r="AQ110" s="155">
        <f ca="1">IF(ISNUMBER(MATCH(DATEVALUE($A110),'recurring1_based on steps'!AQ$1:AQ$400,0)),AQ$2,)</f>
        <v>0</v>
      </c>
      <c r="AR110" s="155">
        <f ca="1">IF(ISNUMBER(MATCH(DATEVALUE($A110),'recurring1_based on steps'!AR$1:AR$400,0)),AR$2,)</f>
        <v>0</v>
      </c>
      <c r="AS110" s="155">
        <f ca="1">IF(ISNUMBER(MATCH(DATEVALUE($A110),'recurring1_based on steps'!AS$1:AS$400,0)),AS$2,)</f>
        <v>0</v>
      </c>
      <c r="AT110" s="155">
        <f ca="1">IF(ISNUMBER(MATCH(DATEVALUE($A110),'recurring1_based on steps'!AT$1:AT$400,0)),AT$2,)</f>
        <v>0</v>
      </c>
      <c r="AU110" s="155">
        <f ca="1">IF(ISNUMBER(MATCH(DATEVALUE($A110),'recurring1_based on steps'!AU$1:AU$400,0)),AU$2,)</f>
        <v>0</v>
      </c>
      <c r="AV110" s="155">
        <f ca="1">IF(ISNUMBER(MATCH(DATEVALUE($A110),'recurring1_based on steps'!AV$1:AV$400,0)),AV$2,)</f>
        <v>0</v>
      </c>
      <c r="AW110" s="155">
        <f ca="1">IF(ISNUMBER(MATCH(DATEVALUE($A110),'recurring1_based on steps'!AW$1:AW$400,0)),AW$2,)</f>
        <v>0</v>
      </c>
      <c r="AX110" s="155">
        <f ca="1">IF(ISNUMBER(MATCH(DATEVALUE($A110),'recurring1_based on steps'!AX$1:AX$400,0)),AX$2,)</f>
        <v>0</v>
      </c>
      <c r="AY110" s="155">
        <f ca="1">IF(ISNUMBER(MATCH(DATEVALUE($A110),'recurring1_based on steps'!AY$1:AY$400,0)),AY$2,)</f>
        <v>0</v>
      </c>
    </row>
    <row r="111" spans="1:51" x14ac:dyDescent="0.2">
      <c r="A111" s="18" t="str">
        <f t="shared" ca="1" si="1"/>
        <v>2025-05-20</v>
      </c>
      <c r="B111" s="155">
        <f ca="1">IF(ISNUMBER(MATCH(DATEVALUE($A111),'recurring1_based on steps'!B$1:B$400,0)),B$2,)</f>
        <v>0</v>
      </c>
      <c r="C111" s="155">
        <f ca="1">IF(ISNUMBER(MATCH(DATEVALUE($A111),'recurring1_based on steps'!C$1:C$400,0)),C$2,)</f>
        <v>0</v>
      </c>
      <c r="D111" s="155">
        <f ca="1">IF(ISNUMBER(MATCH(DATEVALUE($A111),'recurring1_based on steps'!D$1:D$400,0)),D$2,)</f>
        <v>0</v>
      </c>
      <c r="E111" s="155">
        <f ca="1">IF(ISNUMBER(MATCH(DATEVALUE($A111),'recurring1_based on steps'!E$1:E$400,0)),E$2,)</f>
        <v>0</v>
      </c>
      <c r="F111" s="155">
        <f ca="1">IF(ISNUMBER(MATCH(DATEVALUE($A111),'recurring1_based on steps'!F$1:F$400,0)),F$2,)</f>
        <v>0</v>
      </c>
      <c r="G111" s="155">
        <f ca="1">IF(ISNUMBER(MATCH(DATEVALUE($A111),'recurring1_based on steps'!G$1:G$400,0)),G$2,)</f>
        <v>0</v>
      </c>
      <c r="H111" s="155">
        <f ca="1">IF(ISNUMBER(MATCH(DATEVALUE($A111),'recurring1_based on steps'!H$1:H$400,0)),H$2,)</f>
        <v>0</v>
      </c>
      <c r="I111" s="155">
        <f ca="1">IF(ISNUMBER(MATCH(DATEVALUE($A111),'recurring1_based on steps'!I$1:I$400,0)),I$2,)</f>
        <v>0</v>
      </c>
      <c r="J111" s="155">
        <f ca="1">IF(ISNUMBER(MATCH(DATEVALUE($A111),'recurring1_based on steps'!J$1:J$400,0)),J$2,)</f>
        <v>0</v>
      </c>
      <c r="K111" s="155">
        <f ca="1">IF(ISNUMBER(MATCH(DATEVALUE($A111),'recurring1_based on steps'!K$1:K$400,0)),K$2,)</f>
        <v>0</v>
      </c>
      <c r="L111" s="155">
        <f ca="1">IF(ISNUMBER(MATCH(DATEVALUE($A111),'recurring1_based on steps'!L$1:L$400,0)),L$2,)</f>
        <v>0</v>
      </c>
      <c r="M111" s="155">
        <f ca="1">IF(ISNUMBER(MATCH(DATEVALUE($A111),'recurring1_based on steps'!M$1:M$400,0)),M$2,)</f>
        <v>0</v>
      </c>
      <c r="N111" s="155">
        <f ca="1">IF(ISNUMBER(MATCH(DATEVALUE($A111),'recurring1_based on steps'!N$1:N$400,0)),N$2,)</f>
        <v>0</v>
      </c>
      <c r="O111" s="155">
        <f ca="1">IF(ISNUMBER(MATCH(DATEVALUE($A111),'recurring1_based on steps'!O$1:O$400,0)),O$2,)</f>
        <v>0</v>
      </c>
      <c r="P111" s="155">
        <f ca="1">IF(ISNUMBER(MATCH(DATEVALUE($A111),'recurring1_based on steps'!P$1:P$400,0)),P$2,)</f>
        <v>0</v>
      </c>
      <c r="Q111" s="155">
        <f ca="1">IF(ISNUMBER(MATCH(DATEVALUE($A111),'recurring1_based on steps'!Q$1:Q$400,0)),Q$2,)</f>
        <v>0</v>
      </c>
      <c r="R111" s="155">
        <f ca="1">IF(ISNUMBER(MATCH(DATEVALUE($A111),'recurring1_based on steps'!R$1:R$400,0)),R$2,)</f>
        <v>0</v>
      </c>
      <c r="S111" s="155">
        <f ca="1">IF(ISNUMBER(MATCH(DATEVALUE($A111),'recurring1_based on steps'!S$1:S$400,0)),S$2,)</f>
        <v>0</v>
      </c>
      <c r="T111" s="155">
        <f ca="1">IF(ISNUMBER(MATCH(DATEVALUE($A111),'recurring1_based on steps'!T$1:T$400,0)),T$2,)</f>
        <v>0</v>
      </c>
      <c r="U111" s="155">
        <f ca="1">IF(ISNUMBER(MATCH(DATEVALUE($A111),'recurring1_based on steps'!U$1:U$400,0)),U$2,)</f>
        <v>0</v>
      </c>
      <c r="V111" s="155">
        <f ca="1">IF(ISNUMBER(MATCH(DATEVALUE($A111),'recurring1_based on steps'!V$1:V$400,0)),V$2,)</f>
        <v>0</v>
      </c>
      <c r="W111" s="155">
        <f ca="1">IF(ISNUMBER(MATCH(DATEVALUE($A111),'recurring1_based on steps'!W$1:W$400,0)),W$2,)</f>
        <v>0</v>
      </c>
      <c r="X111" s="155">
        <f ca="1">IF(ISNUMBER(MATCH(DATEVALUE($A111),'recurring1_based on steps'!X$1:X$400,0)),X$2,)</f>
        <v>0</v>
      </c>
      <c r="Y111" s="155">
        <f ca="1">IF(ISNUMBER(MATCH(DATEVALUE($A111),'recurring1_based on steps'!Y$1:Y$400,0)),Y$2,)</f>
        <v>0</v>
      </c>
      <c r="Z111" s="155">
        <f ca="1">IF(ISNUMBER(MATCH(DATEVALUE($A111),'recurring1_based on steps'!Z$1:Z$400,0)),Z$2,)</f>
        <v>0</v>
      </c>
      <c r="AA111" s="155">
        <f ca="1">IF(ISNUMBER(MATCH(DATEVALUE($A111),'recurring1_based on steps'!AA$1:AA$400,0)),AA$2,)</f>
        <v>0</v>
      </c>
      <c r="AB111" s="155">
        <f ca="1">IF(ISNUMBER(MATCH(DATEVALUE($A111),'recurring1_based on steps'!AB$1:AB$400,0)),AB$2,)</f>
        <v>0</v>
      </c>
      <c r="AC111" s="155">
        <f ca="1">IF(ISNUMBER(MATCH(DATEVALUE($A111),'recurring1_based on steps'!AC$1:AC$400,0)),AC$2,)</f>
        <v>0</v>
      </c>
      <c r="AD111" s="155">
        <f ca="1">IF(ISNUMBER(MATCH(DATEVALUE($A111),'recurring1_based on steps'!AD$1:AD$400,0)),AD$2,)</f>
        <v>0</v>
      </c>
      <c r="AE111" s="155">
        <f ca="1">IF(ISNUMBER(MATCH(DATEVALUE($A111),'recurring1_based on steps'!AE$1:AE$400,0)),AE$2,)</f>
        <v>0</v>
      </c>
      <c r="AF111" s="155">
        <f ca="1">IF(ISNUMBER(MATCH(DATEVALUE($A111),'recurring1_based on steps'!AF$1:AF$400,0)),AF$2,)</f>
        <v>0</v>
      </c>
      <c r="AG111" s="155">
        <f ca="1">IF(ISNUMBER(MATCH(DATEVALUE($A111),'recurring1_based on steps'!AG$1:AG$400,0)),AG$2,)</f>
        <v>0</v>
      </c>
      <c r="AH111" s="155">
        <f ca="1">IF(ISNUMBER(MATCH(DATEVALUE($A111),'recurring1_based on steps'!AH$1:AH$400,0)),AH$2,)</f>
        <v>0</v>
      </c>
      <c r="AI111" s="155">
        <f ca="1">IF(ISNUMBER(MATCH(DATEVALUE($A111),'recurring1_based on steps'!AI$1:AI$400,0)),AI$2,)</f>
        <v>0</v>
      </c>
      <c r="AJ111" s="155">
        <f ca="1">IF(ISNUMBER(MATCH(DATEVALUE($A111),'recurring1_based on steps'!AJ$1:AJ$400,0)),AJ$2,)</f>
        <v>0</v>
      </c>
      <c r="AK111" s="155">
        <f ca="1">IF(ISNUMBER(MATCH(DATEVALUE($A111),'recurring1_based on steps'!AK$1:AK$400,0)),AK$2,)</f>
        <v>0</v>
      </c>
      <c r="AL111" s="155">
        <f ca="1">IF(ISNUMBER(MATCH(DATEVALUE($A111),'recurring1_based on steps'!AL$1:AL$400,0)),AL$2,)</f>
        <v>0</v>
      </c>
      <c r="AM111" s="155">
        <f ca="1">IF(ISNUMBER(MATCH(DATEVALUE($A111),'recurring1_based on steps'!AM$1:AM$400,0)),AM$2,)</f>
        <v>0</v>
      </c>
      <c r="AN111" s="155">
        <f ca="1">IF(ISNUMBER(MATCH(DATEVALUE($A111),'recurring1_based on steps'!AN$1:AN$400,0)),AN$2,)</f>
        <v>0</v>
      </c>
      <c r="AO111" s="155">
        <f ca="1">IF(ISNUMBER(MATCH(DATEVALUE($A111),'recurring1_based on steps'!AO$1:AO$400,0)),AO$2,)</f>
        <v>0</v>
      </c>
      <c r="AP111" s="155">
        <f ca="1">IF(ISNUMBER(MATCH(DATEVALUE($A111),'recurring1_based on steps'!AP$1:AP$400,0)),AP$2,)</f>
        <v>0</v>
      </c>
      <c r="AQ111" s="155">
        <f ca="1">IF(ISNUMBER(MATCH(DATEVALUE($A111),'recurring1_based on steps'!AQ$1:AQ$400,0)),AQ$2,)</f>
        <v>0</v>
      </c>
      <c r="AR111" s="155">
        <f ca="1">IF(ISNUMBER(MATCH(DATEVALUE($A111),'recurring1_based on steps'!AR$1:AR$400,0)),AR$2,)</f>
        <v>0</v>
      </c>
      <c r="AS111" s="155">
        <f ca="1">IF(ISNUMBER(MATCH(DATEVALUE($A111),'recurring1_based on steps'!AS$1:AS$400,0)),AS$2,)</f>
        <v>0</v>
      </c>
      <c r="AT111" s="155">
        <f ca="1">IF(ISNUMBER(MATCH(DATEVALUE($A111),'recurring1_based on steps'!AT$1:AT$400,0)),AT$2,)</f>
        <v>0</v>
      </c>
      <c r="AU111" s="155">
        <f ca="1">IF(ISNUMBER(MATCH(DATEVALUE($A111),'recurring1_based on steps'!AU$1:AU$400,0)),AU$2,)</f>
        <v>0</v>
      </c>
      <c r="AV111" s="155">
        <f ca="1">IF(ISNUMBER(MATCH(DATEVALUE($A111),'recurring1_based on steps'!AV$1:AV$400,0)),AV$2,)</f>
        <v>0</v>
      </c>
      <c r="AW111" s="155">
        <f ca="1">IF(ISNUMBER(MATCH(DATEVALUE($A111),'recurring1_based on steps'!AW$1:AW$400,0)),AW$2,)</f>
        <v>0</v>
      </c>
      <c r="AX111" s="155">
        <f ca="1">IF(ISNUMBER(MATCH(DATEVALUE($A111),'recurring1_based on steps'!AX$1:AX$400,0)),AX$2,)</f>
        <v>0</v>
      </c>
      <c r="AY111" s="155">
        <f ca="1">IF(ISNUMBER(MATCH(DATEVALUE($A111),'recurring1_based on steps'!AY$1:AY$400,0)),AY$2,)</f>
        <v>0</v>
      </c>
    </row>
    <row r="112" spans="1:51" x14ac:dyDescent="0.2">
      <c r="A112" s="18" t="str">
        <f t="shared" ca="1" si="1"/>
        <v>2025-05-21</v>
      </c>
      <c r="B112" s="155">
        <f ca="1">IF(ISNUMBER(MATCH(DATEVALUE($A112),'recurring1_based on steps'!B$1:B$400,0)),B$2,)</f>
        <v>0</v>
      </c>
      <c r="C112" s="155">
        <f ca="1">IF(ISNUMBER(MATCH(DATEVALUE($A112),'recurring1_based on steps'!C$1:C$400,0)),C$2,)</f>
        <v>0</v>
      </c>
      <c r="D112" s="155">
        <f ca="1">IF(ISNUMBER(MATCH(DATEVALUE($A112),'recurring1_based on steps'!D$1:D$400,0)),D$2,)</f>
        <v>0</v>
      </c>
      <c r="E112" s="155">
        <f ca="1">IF(ISNUMBER(MATCH(DATEVALUE($A112),'recurring1_based on steps'!E$1:E$400,0)),E$2,)</f>
        <v>0</v>
      </c>
      <c r="F112" s="155">
        <f ca="1">IF(ISNUMBER(MATCH(DATEVALUE($A112),'recurring1_based on steps'!F$1:F$400,0)),F$2,)</f>
        <v>0</v>
      </c>
      <c r="G112" s="155">
        <f ca="1">IF(ISNUMBER(MATCH(DATEVALUE($A112),'recurring1_based on steps'!G$1:G$400,0)),G$2,)</f>
        <v>0</v>
      </c>
      <c r="H112" s="155">
        <f ca="1">IF(ISNUMBER(MATCH(DATEVALUE($A112),'recurring1_based on steps'!H$1:H$400,0)),H$2,)</f>
        <v>0</v>
      </c>
      <c r="I112" s="155">
        <f ca="1">IF(ISNUMBER(MATCH(DATEVALUE($A112),'recurring1_based on steps'!I$1:I$400,0)),I$2,)</f>
        <v>0</v>
      </c>
      <c r="J112" s="155">
        <f ca="1">IF(ISNUMBER(MATCH(DATEVALUE($A112),'recurring1_based on steps'!J$1:J$400,0)),J$2,)</f>
        <v>0</v>
      </c>
      <c r="K112" s="155">
        <f ca="1">IF(ISNUMBER(MATCH(DATEVALUE($A112),'recurring1_based on steps'!K$1:K$400,0)),K$2,)</f>
        <v>0</v>
      </c>
      <c r="L112" s="155">
        <f ca="1">IF(ISNUMBER(MATCH(DATEVALUE($A112),'recurring1_based on steps'!L$1:L$400,0)),L$2,)</f>
        <v>0</v>
      </c>
      <c r="M112" s="155">
        <f ca="1">IF(ISNUMBER(MATCH(DATEVALUE($A112),'recurring1_based on steps'!M$1:M$400,0)),M$2,)</f>
        <v>0</v>
      </c>
      <c r="N112" s="155">
        <f ca="1">IF(ISNUMBER(MATCH(DATEVALUE($A112),'recurring1_based on steps'!N$1:N$400,0)),N$2,)</f>
        <v>0</v>
      </c>
      <c r="O112" s="155">
        <f ca="1">IF(ISNUMBER(MATCH(DATEVALUE($A112),'recurring1_based on steps'!O$1:O$400,0)),O$2,)</f>
        <v>0</v>
      </c>
      <c r="P112" s="155">
        <f ca="1">IF(ISNUMBER(MATCH(DATEVALUE($A112),'recurring1_based on steps'!P$1:P$400,0)),P$2,)</f>
        <v>0</v>
      </c>
      <c r="Q112" s="155">
        <f ca="1">IF(ISNUMBER(MATCH(DATEVALUE($A112),'recurring1_based on steps'!Q$1:Q$400,0)),Q$2,)</f>
        <v>0</v>
      </c>
      <c r="R112" s="155">
        <f ca="1">IF(ISNUMBER(MATCH(DATEVALUE($A112),'recurring1_based on steps'!R$1:R$400,0)),R$2,)</f>
        <v>0</v>
      </c>
      <c r="S112" s="155">
        <f ca="1">IF(ISNUMBER(MATCH(DATEVALUE($A112),'recurring1_based on steps'!S$1:S$400,0)),S$2,)</f>
        <v>0</v>
      </c>
      <c r="T112" s="155">
        <f ca="1">IF(ISNUMBER(MATCH(DATEVALUE($A112),'recurring1_based on steps'!T$1:T$400,0)),T$2,)</f>
        <v>0</v>
      </c>
      <c r="U112" s="155">
        <f ca="1">IF(ISNUMBER(MATCH(DATEVALUE($A112),'recurring1_based on steps'!U$1:U$400,0)),U$2,)</f>
        <v>0</v>
      </c>
      <c r="V112" s="155">
        <f ca="1">IF(ISNUMBER(MATCH(DATEVALUE($A112),'recurring1_based on steps'!V$1:V$400,0)),V$2,)</f>
        <v>0</v>
      </c>
      <c r="W112" s="155">
        <f ca="1">IF(ISNUMBER(MATCH(DATEVALUE($A112),'recurring1_based on steps'!W$1:W$400,0)),W$2,)</f>
        <v>0</v>
      </c>
      <c r="X112" s="155">
        <f ca="1">IF(ISNUMBER(MATCH(DATEVALUE($A112),'recurring1_based on steps'!X$1:X$400,0)),X$2,)</f>
        <v>0</v>
      </c>
      <c r="Y112" s="155">
        <f ca="1">IF(ISNUMBER(MATCH(DATEVALUE($A112),'recurring1_based on steps'!Y$1:Y$400,0)),Y$2,)</f>
        <v>0</v>
      </c>
      <c r="Z112" s="155">
        <f ca="1">IF(ISNUMBER(MATCH(DATEVALUE($A112),'recurring1_based on steps'!Z$1:Z$400,0)),Z$2,)</f>
        <v>0</v>
      </c>
      <c r="AA112" s="155">
        <f ca="1">IF(ISNUMBER(MATCH(DATEVALUE($A112),'recurring1_based on steps'!AA$1:AA$400,0)),AA$2,)</f>
        <v>0</v>
      </c>
      <c r="AB112" s="155">
        <f ca="1">IF(ISNUMBER(MATCH(DATEVALUE($A112),'recurring1_based on steps'!AB$1:AB$400,0)),AB$2,)</f>
        <v>0</v>
      </c>
      <c r="AC112" s="155">
        <f ca="1">IF(ISNUMBER(MATCH(DATEVALUE($A112),'recurring1_based on steps'!AC$1:AC$400,0)),AC$2,)</f>
        <v>0</v>
      </c>
      <c r="AD112" s="155">
        <f ca="1">IF(ISNUMBER(MATCH(DATEVALUE($A112),'recurring1_based on steps'!AD$1:AD$400,0)),AD$2,)</f>
        <v>0</v>
      </c>
      <c r="AE112" s="155">
        <f ca="1">IF(ISNUMBER(MATCH(DATEVALUE($A112),'recurring1_based on steps'!AE$1:AE$400,0)),AE$2,)</f>
        <v>0</v>
      </c>
      <c r="AF112" s="155">
        <f ca="1">IF(ISNUMBER(MATCH(DATEVALUE($A112),'recurring1_based on steps'!AF$1:AF$400,0)),AF$2,)</f>
        <v>0</v>
      </c>
      <c r="AG112" s="155">
        <f ca="1">IF(ISNUMBER(MATCH(DATEVALUE($A112),'recurring1_based on steps'!AG$1:AG$400,0)),AG$2,)</f>
        <v>0</v>
      </c>
      <c r="AH112" s="155">
        <f ca="1">IF(ISNUMBER(MATCH(DATEVALUE($A112),'recurring1_based on steps'!AH$1:AH$400,0)),AH$2,)</f>
        <v>0</v>
      </c>
      <c r="AI112" s="155">
        <f ca="1">IF(ISNUMBER(MATCH(DATEVALUE($A112),'recurring1_based on steps'!AI$1:AI$400,0)),AI$2,)</f>
        <v>0</v>
      </c>
      <c r="AJ112" s="155">
        <f ca="1">IF(ISNUMBER(MATCH(DATEVALUE($A112),'recurring1_based on steps'!AJ$1:AJ$400,0)),AJ$2,)</f>
        <v>0</v>
      </c>
      <c r="AK112" s="155">
        <f ca="1">IF(ISNUMBER(MATCH(DATEVALUE($A112),'recurring1_based on steps'!AK$1:AK$400,0)),AK$2,)</f>
        <v>0</v>
      </c>
      <c r="AL112" s="155">
        <f ca="1">IF(ISNUMBER(MATCH(DATEVALUE($A112),'recurring1_based on steps'!AL$1:AL$400,0)),AL$2,)</f>
        <v>0</v>
      </c>
      <c r="AM112" s="155">
        <f ca="1">IF(ISNUMBER(MATCH(DATEVALUE($A112),'recurring1_based on steps'!AM$1:AM$400,0)),AM$2,)</f>
        <v>0</v>
      </c>
      <c r="AN112" s="155">
        <f ca="1">IF(ISNUMBER(MATCH(DATEVALUE($A112),'recurring1_based on steps'!AN$1:AN$400,0)),AN$2,)</f>
        <v>0</v>
      </c>
      <c r="AO112" s="155">
        <f ca="1">IF(ISNUMBER(MATCH(DATEVALUE($A112),'recurring1_based on steps'!AO$1:AO$400,0)),AO$2,)</f>
        <v>0</v>
      </c>
      <c r="AP112" s="155">
        <f ca="1">IF(ISNUMBER(MATCH(DATEVALUE($A112),'recurring1_based on steps'!AP$1:AP$400,0)),AP$2,)</f>
        <v>0</v>
      </c>
      <c r="AQ112" s="155">
        <f ca="1">IF(ISNUMBER(MATCH(DATEVALUE($A112),'recurring1_based on steps'!AQ$1:AQ$400,0)),AQ$2,)</f>
        <v>0</v>
      </c>
      <c r="AR112" s="155">
        <f ca="1">IF(ISNUMBER(MATCH(DATEVALUE($A112),'recurring1_based on steps'!AR$1:AR$400,0)),AR$2,)</f>
        <v>0</v>
      </c>
      <c r="AS112" s="155">
        <f ca="1">IF(ISNUMBER(MATCH(DATEVALUE($A112),'recurring1_based on steps'!AS$1:AS$400,0)),AS$2,)</f>
        <v>0</v>
      </c>
      <c r="AT112" s="155">
        <f ca="1">IF(ISNUMBER(MATCH(DATEVALUE($A112),'recurring1_based on steps'!AT$1:AT$400,0)),AT$2,)</f>
        <v>0</v>
      </c>
      <c r="AU112" s="155">
        <f ca="1">IF(ISNUMBER(MATCH(DATEVALUE($A112),'recurring1_based on steps'!AU$1:AU$400,0)),AU$2,)</f>
        <v>0</v>
      </c>
      <c r="AV112" s="155">
        <f ca="1">IF(ISNUMBER(MATCH(DATEVALUE($A112),'recurring1_based on steps'!AV$1:AV$400,0)),AV$2,)</f>
        <v>0</v>
      </c>
      <c r="AW112" s="155">
        <f ca="1">IF(ISNUMBER(MATCH(DATEVALUE($A112),'recurring1_based on steps'!AW$1:AW$400,0)),AW$2,)</f>
        <v>0</v>
      </c>
      <c r="AX112" s="155">
        <f ca="1">IF(ISNUMBER(MATCH(DATEVALUE($A112),'recurring1_based on steps'!AX$1:AX$400,0)),AX$2,)</f>
        <v>0</v>
      </c>
      <c r="AY112" s="155">
        <f ca="1">IF(ISNUMBER(MATCH(DATEVALUE($A112),'recurring1_based on steps'!AY$1:AY$400,0)),AY$2,)</f>
        <v>0</v>
      </c>
    </row>
    <row r="113" spans="1:51" x14ac:dyDescent="0.2">
      <c r="A113" s="18" t="str">
        <f t="shared" ca="1" si="1"/>
        <v>2025-05-22</v>
      </c>
      <c r="B113" s="155">
        <f ca="1">IF(ISNUMBER(MATCH(DATEVALUE($A113),'recurring1_based on steps'!B$1:B$400,0)),B$2,)</f>
        <v>0</v>
      </c>
      <c r="C113" s="155">
        <f ca="1">IF(ISNUMBER(MATCH(DATEVALUE($A113),'recurring1_based on steps'!C$1:C$400,0)),C$2,)</f>
        <v>0</v>
      </c>
      <c r="D113" s="155">
        <f ca="1">IF(ISNUMBER(MATCH(DATEVALUE($A113),'recurring1_based on steps'!D$1:D$400,0)),D$2,)</f>
        <v>0</v>
      </c>
      <c r="E113" s="155">
        <f ca="1">IF(ISNUMBER(MATCH(DATEVALUE($A113),'recurring1_based on steps'!E$1:E$400,0)),E$2,)</f>
        <v>0</v>
      </c>
      <c r="F113" s="155">
        <f ca="1">IF(ISNUMBER(MATCH(DATEVALUE($A113),'recurring1_based on steps'!F$1:F$400,0)),F$2,)</f>
        <v>0</v>
      </c>
      <c r="G113" s="155">
        <f ca="1">IF(ISNUMBER(MATCH(DATEVALUE($A113),'recurring1_based on steps'!G$1:G$400,0)),G$2,)</f>
        <v>0</v>
      </c>
      <c r="H113" s="155">
        <f ca="1">IF(ISNUMBER(MATCH(DATEVALUE($A113),'recurring1_based on steps'!H$1:H$400,0)),H$2,)</f>
        <v>0</v>
      </c>
      <c r="I113" s="155">
        <f ca="1">IF(ISNUMBER(MATCH(DATEVALUE($A113),'recurring1_based on steps'!I$1:I$400,0)),I$2,)</f>
        <v>0</v>
      </c>
      <c r="J113" s="155">
        <f ca="1">IF(ISNUMBER(MATCH(DATEVALUE($A113),'recurring1_based on steps'!J$1:J$400,0)),J$2,)</f>
        <v>0</v>
      </c>
      <c r="K113" s="155">
        <f ca="1">IF(ISNUMBER(MATCH(DATEVALUE($A113),'recurring1_based on steps'!K$1:K$400,0)),K$2,)</f>
        <v>0</v>
      </c>
      <c r="L113" s="155">
        <f ca="1">IF(ISNUMBER(MATCH(DATEVALUE($A113),'recurring1_based on steps'!L$1:L$400,0)),L$2,)</f>
        <v>0</v>
      </c>
      <c r="M113" s="155">
        <f ca="1">IF(ISNUMBER(MATCH(DATEVALUE($A113),'recurring1_based on steps'!M$1:M$400,0)),M$2,)</f>
        <v>0</v>
      </c>
      <c r="N113" s="155">
        <f ca="1">IF(ISNUMBER(MATCH(DATEVALUE($A113),'recurring1_based on steps'!N$1:N$400,0)),N$2,)</f>
        <v>0</v>
      </c>
      <c r="O113" s="155">
        <f ca="1">IF(ISNUMBER(MATCH(DATEVALUE($A113),'recurring1_based on steps'!O$1:O$400,0)),O$2,)</f>
        <v>0</v>
      </c>
      <c r="P113" s="155">
        <f ca="1">IF(ISNUMBER(MATCH(DATEVALUE($A113),'recurring1_based on steps'!P$1:P$400,0)),P$2,)</f>
        <v>0</v>
      </c>
      <c r="Q113" s="155">
        <f ca="1">IF(ISNUMBER(MATCH(DATEVALUE($A113),'recurring1_based on steps'!Q$1:Q$400,0)),Q$2,)</f>
        <v>0</v>
      </c>
      <c r="R113" s="155">
        <f ca="1">IF(ISNUMBER(MATCH(DATEVALUE($A113),'recurring1_based on steps'!R$1:R$400,0)),R$2,)</f>
        <v>0</v>
      </c>
      <c r="S113" s="155">
        <f ca="1">IF(ISNUMBER(MATCH(DATEVALUE($A113),'recurring1_based on steps'!S$1:S$400,0)),S$2,)</f>
        <v>0</v>
      </c>
      <c r="T113" s="155">
        <f ca="1">IF(ISNUMBER(MATCH(DATEVALUE($A113),'recurring1_based on steps'!T$1:T$400,0)),T$2,)</f>
        <v>0</v>
      </c>
      <c r="U113" s="155">
        <f ca="1">IF(ISNUMBER(MATCH(DATEVALUE($A113),'recurring1_based on steps'!U$1:U$400,0)),U$2,)</f>
        <v>0</v>
      </c>
      <c r="V113" s="155">
        <f ca="1">IF(ISNUMBER(MATCH(DATEVALUE($A113),'recurring1_based on steps'!V$1:V$400,0)),V$2,)</f>
        <v>0</v>
      </c>
      <c r="W113" s="155">
        <f ca="1">IF(ISNUMBER(MATCH(DATEVALUE($A113),'recurring1_based on steps'!W$1:W$400,0)),W$2,)</f>
        <v>0</v>
      </c>
      <c r="X113" s="155">
        <f ca="1">IF(ISNUMBER(MATCH(DATEVALUE($A113),'recurring1_based on steps'!X$1:X$400,0)),X$2,)</f>
        <v>0</v>
      </c>
      <c r="Y113" s="155">
        <f ca="1">IF(ISNUMBER(MATCH(DATEVALUE($A113),'recurring1_based on steps'!Y$1:Y$400,0)),Y$2,)</f>
        <v>0</v>
      </c>
      <c r="Z113" s="155">
        <f ca="1">IF(ISNUMBER(MATCH(DATEVALUE($A113),'recurring1_based on steps'!Z$1:Z$400,0)),Z$2,)</f>
        <v>0</v>
      </c>
      <c r="AA113" s="155">
        <f ca="1">IF(ISNUMBER(MATCH(DATEVALUE($A113),'recurring1_based on steps'!AA$1:AA$400,0)),AA$2,)</f>
        <v>0</v>
      </c>
      <c r="AB113" s="155">
        <f ca="1">IF(ISNUMBER(MATCH(DATEVALUE($A113),'recurring1_based on steps'!AB$1:AB$400,0)),AB$2,)</f>
        <v>0</v>
      </c>
      <c r="AC113" s="155">
        <f ca="1">IF(ISNUMBER(MATCH(DATEVALUE($A113),'recurring1_based on steps'!AC$1:AC$400,0)),AC$2,)</f>
        <v>0</v>
      </c>
      <c r="AD113" s="155">
        <f ca="1">IF(ISNUMBER(MATCH(DATEVALUE($A113),'recurring1_based on steps'!AD$1:AD$400,0)),AD$2,)</f>
        <v>0</v>
      </c>
      <c r="AE113" s="155">
        <f ca="1">IF(ISNUMBER(MATCH(DATEVALUE($A113),'recurring1_based on steps'!AE$1:AE$400,0)),AE$2,)</f>
        <v>0</v>
      </c>
      <c r="AF113" s="155">
        <f ca="1">IF(ISNUMBER(MATCH(DATEVALUE($A113),'recurring1_based on steps'!AF$1:AF$400,0)),AF$2,)</f>
        <v>0</v>
      </c>
      <c r="AG113" s="155">
        <f ca="1">IF(ISNUMBER(MATCH(DATEVALUE($A113),'recurring1_based on steps'!AG$1:AG$400,0)),AG$2,)</f>
        <v>0</v>
      </c>
      <c r="AH113" s="155">
        <f ca="1">IF(ISNUMBER(MATCH(DATEVALUE($A113),'recurring1_based on steps'!AH$1:AH$400,0)),AH$2,)</f>
        <v>0</v>
      </c>
      <c r="AI113" s="155">
        <f ca="1">IF(ISNUMBER(MATCH(DATEVALUE($A113),'recurring1_based on steps'!AI$1:AI$400,0)),AI$2,)</f>
        <v>0</v>
      </c>
      <c r="AJ113" s="155">
        <f ca="1">IF(ISNUMBER(MATCH(DATEVALUE($A113),'recurring1_based on steps'!AJ$1:AJ$400,0)),AJ$2,)</f>
        <v>0</v>
      </c>
      <c r="AK113" s="155">
        <f ca="1">IF(ISNUMBER(MATCH(DATEVALUE($A113),'recurring1_based on steps'!AK$1:AK$400,0)),AK$2,)</f>
        <v>0</v>
      </c>
      <c r="AL113" s="155">
        <f ca="1">IF(ISNUMBER(MATCH(DATEVALUE($A113),'recurring1_based on steps'!AL$1:AL$400,0)),AL$2,)</f>
        <v>0</v>
      </c>
      <c r="AM113" s="155">
        <f ca="1">IF(ISNUMBER(MATCH(DATEVALUE($A113),'recurring1_based on steps'!AM$1:AM$400,0)),AM$2,)</f>
        <v>0</v>
      </c>
      <c r="AN113" s="155">
        <f ca="1">IF(ISNUMBER(MATCH(DATEVALUE($A113),'recurring1_based on steps'!AN$1:AN$400,0)),AN$2,)</f>
        <v>0</v>
      </c>
      <c r="AO113" s="155">
        <f ca="1">IF(ISNUMBER(MATCH(DATEVALUE($A113),'recurring1_based on steps'!AO$1:AO$400,0)),AO$2,)</f>
        <v>0</v>
      </c>
      <c r="AP113" s="155">
        <f ca="1">IF(ISNUMBER(MATCH(DATEVALUE($A113),'recurring1_based on steps'!AP$1:AP$400,0)),AP$2,)</f>
        <v>0</v>
      </c>
      <c r="AQ113" s="155">
        <f ca="1">IF(ISNUMBER(MATCH(DATEVALUE($A113),'recurring1_based on steps'!AQ$1:AQ$400,0)),AQ$2,)</f>
        <v>0</v>
      </c>
      <c r="AR113" s="155">
        <f ca="1">IF(ISNUMBER(MATCH(DATEVALUE($A113),'recurring1_based on steps'!AR$1:AR$400,0)),AR$2,)</f>
        <v>0</v>
      </c>
      <c r="AS113" s="155">
        <f ca="1">IF(ISNUMBER(MATCH(DATEVALUE($A113),'recurring1_based on steps'!AS$1:AS$400,0)),AS$2,)</f>
        <v>0</v>
      </c>
      <c r="AT113" s="155">
        <f ca="1">IF(ISNUMBER(MATCH(DATEVALUE($A113),'recurring1_based on steps'!AT$1:AT$400,0)),AT$2,)</f>
        <v>0</v>
      </c>
      <c r="AU113" s="155">
        <f ca="1">IF(ISNUMBER(MATCH(DATEVALUE($A113),'recurring1_based on steps'!AU$1:AU$400,0)),AU$2,)</f>
        <v>0</v>
      </c>
      <c r="AV113" s="155">
        <f ca="1">IF(ISNUMBER(MATCH(DATEVALUE($A113),'recurring1_based on steps'!AV$1:AV$400,0)),AV$2,)</f>
        <v>0</v>
      </c>
      <c r="AW113" s="155">
        <f ca="1">IF(ISNUMBER(MATCH(DATEVALUE($A113),'recurring1_based on steps'!AW$1:AW$400,0)),AW$2,)</f>
        <v>0</v>
      </c>
      <c r="AX113" s="155">
        <f ca="1">IF(ISNUMBER(MATCH(DATEVALUE($A113),'recurring1_based on steps'!AX$1:AX$400,0)),AX$2,)</f>
        <v>0</v>
      </c>
      <c r="AY113" s="155">
        <f ca="1">IF(ISNUMBER(MATCH(DATEVALUE($A113),'recurring1_based on steps'!AY$1:AY$400,0)),AY$2,)</f>
        <v>0</v>
      </c>
    </row>
    <row r="114" spans="1:51" x14ac:dyDescent="0.2">
      <c r="A114" s="18" t="str">
        <f t="shared" ca="1" si="1"/>
        <v>2025-05-23</v>
      </c>
      <c r="B114" s="155">
        <f ca="1">IF(ISNUMBER(MATCH(DATEVALUE($A114),'recurring1_based on steps'!B$1:B$400,0)),B$2,)</f>
        <v>0</v>
      </c>
      <c r="C114" s="155">
        <f ca="1">IF(ISNUMBER(MATCH(DATEVALUE($A114),'recurring1_based on steps'!C$1:C$400,0)),C$2,)</f>
        <v>0</v>
      </c>
      <c r="D114" s="155">
        <f ca="1">IF(ISNUMBER(MATCH(DATEVALUE($A114),'recurring1_based on steps'!D$1:D$400,0)),D$2,)</f>
        <v>0</v>
      </c>
      <c r="E114" s="155">
        <f ca="1">IF(ISNUMBER(MATCH(DATEVALUE($A114),'recurring1_based on steps'!E$1:E$400,0)),E$2,)</f>
        <v>0</v>
      </c>
      <c r="F114" s="155">
        <f ca="1">IF(ISNUMBER(MATCH(DATEVALUE($A114),'recurring1_based on steps'!F$1:F$400,0)),F$2,)</f>
        <v>0</v>
      </c>
      <c r="G114" s="155">
        <f ca="1">IF(ISNUMBER(MATCH(DATEVALUE($A114),'recurring1_based on steps'!G$1:G$400,0)),G$2,)</f>
        <v>0</v>
      </c>
      <c r="H114" s="155">
        <f ca="1">IF(ISNUMBER(MATCH(DATEVALUE($A114),'recurring1_based on steps'!H$1:H$400,0)),H$2,)</f>
        <v>0</v>
      </c>
      <c r="I114" s="155">
        <f ca="1">IF(ISNUMBER(MATCH(DATEVALUE($A114),'recurring1_based on steps'!I$1:I$400,0)),I$2,)</f>
        <v>0</v>
      </c>
      <c r="J114" s="155">
        <f ca="1">IF(ISNUMBER(MATCH(DATEVALUE($A114),'recurring1_based on steps'!J$1:J$400,0)),J$2,)</f>
        <v>0</v>
      </c>
      <c r="K114" s="155">
        <f ca="1">IF(ISNUMBER(MATCH(DATEVALUE($A114),'recurring1_based on steps'!K$1:K$400,0)),K$2,)</f>
        <v>0</v>
      </c>
      <c r="L114" s="155">
        <f ca="1">IF(ISNUMBER(MATCH(DATEVALUE($A114),'recurring1_based on steps'!L$1:L$400,0)),L$2,)</f>
        <v>0</v>
      </c>
      <c r="M114" s="155">
        <f ca="1">IF(ISNUMBER(MATCH(DATEVALUE($A114),'recurring1_based on steps'!M$1:M$400,0)),M$2,)</f>
        <v>0</v>
      </c>
      <c r="N114" s="155">
        <f ca="1">IF(ISNUMBER(MATCH(DATEVALUE($A114),'recurring1_based on steps'!N$1:N$400,0)),N$2,)</f>
        <v>0</v>
      </c>
      <c r="O114" s="155">
        <f ca="1">IF(ISNUMBER(MATCH(DATEVALUE($A114),'recurring1_based on steps'!O$1:O$400,0)),O$2,)</f>
        <v>0</v>
      </c>
      <c r="P114" s="155">
        <f ca="1">IF(ISNUMBER(MATCH(DATEVALUE($A114),'recurring1_based on steps'!P$1:P$400,0)),P$2,)</f>
        <v>0</v>
      </c>
      <c r="Q114" s="155">
        <f ca="1">IF(ISNUMBER(MATCH(DATEVALUE($A114),'recurring1_based on steps'!Q$1:Q$400,0)),Q$2,)</f>
        <v>0</v>
      </c>
      <c r="R114" s="155">
        <f ca="1">IF(ISNUMBER(MATCH(DATEVALUE($A114),'recurring1_based on steps'!R$1:R$400,0)),R$2,)</f>
        <v>0</v>
      </c>
      <c r="S114" s="155">
        <f ca="1">IF(ISNUMBER(MATCH(DATEVALUE($A114),'recurring1_based on steps'!S$1:S$400,0)),S$2,)</f>
        <v>0</v>
      </c>
      <c r="T114" s="155">
        <f ca="1">IF(ISNUMBER(MATCH(DATEVALUE($A114),'recurring1_based on steps'!T$1:T$400,0)),T$2,)</f>
        <v>0</v>
      </c>
      <c r="U114" s="155">
        <f ca="1">IF(ISNUMBER(MATCH(DATEVALUE($A114),'recurring1_based on steps'!U$1:U$400,0)),U$2,)</f>
        <v>0</v>
      </c>
      <c r="V114" s="155">
        <f ca="1">IF(ISNUMBER(MATCH(DATEVALUE($A114),'recurring1_based on steps'!V$1:V$400,0)),V$2,)</f>
        <v>0</v>
      </c>
      <c r="W114" s="155">
        <f ca="1">IF(ISNUMBER(MATCH(DATEVALUE($A114),'recurring1_based on steps'!W$1:W$400,0)),W$2,)</f>
        <v>0</v>
      </c>
      <c r="X114" s="155">
        <f ca="1">IF(ISNUMBER(MATCH(DATEVALUE($A114),'recurring1_based on steps'!X$1:X$400,0)),X$2,)</f>
        <v>0</v>
      </c>
      <c r="Y114" s="155">
        <f ca="1">IF(ISNUMBER(MATCH(DATEVALUE($A114),'recurring1_based on steps'!Y$1:Y$400,0)),Y$2,)</f>
        <v>0</v>
      </c>
      <c r="Z114" s="155">
        <f ca="1">IF(ISNUMBER(MATCH(DATEVALUE($A114),'recurring1_based on steps'!Z$1:Z$400,0)),Z$2,)</f>
        <v>0</v>
      </c>
      <c r="AA114" s="155">
        <f ca="1">IF(ISNUMBER(MATCH(DATEVALUE($A114),'recurring1_based on steps'!AA$1:AA$400,0)),AA$2,)</f>
        <v>0</v>
      </c>
      <c r="AB114" s="155">
        <f ca="1">IF(ISNUMBER(MATCH(DATEVALUE($A114),'recurring1_based on steps'!AB$1:AB$400,0)),AB$2,)</f>
        <v>0</v>
      </c>
      <c r="AC114" s="155">
        <f ca="1">IF(ISNUMBER(MATCH(DATEVALUE($A114),'recurring1_based on steps'!AC$1:AC$400,0)),AC$2,)</f>
        <v>0</v>
      </c>
      <c r="AD114" s="155">
        <f ca="1">IF(ISNUMBER(MATCH(DATEVALUE($A114),'recurring1_based on steps'!AD$1:AD$400,0)),AD$2,)</f>
        <v>0</v>
      </c>
      <c r="AE114" s="155">
        <f ca="1">IF(ISNUMBER(MATCH(DATEVALUE($A114),'recurring1_based on steps'!AE$1:AE$400,0)),AE$2,)</f>
        <v>0</v>
      </c>
      <c r="AF114" s="155">
        <f ca="1">IF(ISNUMBER(MATCH(DATEVALUE($A114),'recurring1_based on steps'!AF$1:AF$400,0)),AF$2,)</f>
        <v>0</v>
      </c>
      <c r="AG114" s="155">
        <f ca="1">IF(ISNUMBER(MATCH(DATEVALUE($A114),'recurring1_based on steps'!AG$1:AG$400,0)),AG$2,)</f>
        <v>0</v>
      </c>
      <c r="AH114" s="155">
        <f ca="1">IF(ISNUMBER(MATCH(DATEVALUE($A114),'recurring1_based on steps'!AH$1:AH$400,0)),AH$2,)</f>
        <v>0</v>
      </c>
      <c r="AI114" s="155">
        <f ca="1">IF(ISNUMBER(MATCH(DATEVALUE($A114),'recurring1_based on steps'!AI$1:AI$400,0)),AI$2,)</f>
        <v>0</v>
      </c>
      <c r="AJ114" s="155">
        <f ca="1">IF(ISNUMBER(MATCH(DATEVALUE($A114),'recurring1_based on steps'!AJ$1:AJ$400,0)),AJ$2,)</f>
        <v>0</v>
      </c>
      <c r="AK114" s="155">
        <f ca="1">IF(ISNUMBER(MATCH(DATEVALUE($A114),'recurring1_based on steps'!AK$1:AK$400,0)),AK$2,)</f>
        <v>0</v>
      </c>
      <c r="AL114" s="155">
        <f ca="1">IF(ISNUMBER(MATCH(DATEVALUE($A114),'recurring1_based on steps'!AL$1:AL$400,0)),AL$2,)</f>
        <v>0</v>
      </c>
      <c r="AM114" s="155">
        <f ca="1">IF(ISNUMBER(MATCH(DATEVALUE($A114),'recurring1_based on steps'!AM$1:AM$400,0)),AM$2,)</f>
        <v>0</v>
      </c>
      <c r="AN114" s="155">
        <f ca="1">IF(ISNUMBER(MATCH(DATEVALUE($A114),'recurring1_based on steps'!AN$1:AN$400,0)),AN$2,)</f>
        <v>0</v>
      </c>
      <c r="AO114" s="155">
        <f ca="1">IF(ISNUMBER(MATCH(DATEVALUE($A114),'recurring1_based on steps'!AO$1:AO$400,0)),AO$2,)</f>
        <v>0</v>
      </c>
      <c r="AP114" s="155">
        <f ca="1">IF(ISNUMBER(MATCH(DATEVALUE($A114),'recurring1_based on steps'!AP$1:AP$400,0)),AP$2,)</f>
        <v>0</v>
      </c>
      <c r="AQ114" s="155">
        <f ca="1">IF(ISNUMBER(MATCH(DATEVALUE($A114),'recurring1_based on steps'!AQ$1:AQ$400,0)),AQ$2,)</f>
        <v>0</v>
      </c>
      <c r="AR114" s="155">
        <f ca="1">IF(ISNUMBER(MATCH(DATEVALUE($A114),'recurring1_based on steps'!AR$1:AR$400,0)),AR$2,)</f>
        <v>0</v>
      </c>
      <c r="AS114" s="155">
        <f ca="1">IF(ISNUMBER(MATCH(DATEVALUE($A114),'recurring1_based on steps'!AS$1:AS$400,0)),AS$2,)</f>
        <v>0</v>
      </c>
      <c r="AT114" s="155">
        <f ca="1">IF(ISNUMBER(MATCH(DATEVALUE($A114),'recurring1_based on steps'!AT$1:AT$400,0)),AT$2,)</f>
        <v>0</v>
      </c>
      <c r="AU114" s="155">
        <f ca="1">IF(ISNUMBER(MATCH(DATEVALUE($A114),'recurring1_based on steps'!AU$1:AU$400,0)),AU$2,)</f>
        <v>0</v>
      </c>
      <c r="AV114" s="155">
        <f ca="1">IF(ISNUMBER(MATCH(DATEVALUE($A114),'recurring1_based on steps'!AV$1:AV$400,0)),AV$2,)</f>
        <v>0</v>
      </c>
      <c r="AW114" s="155">
        <f ca="1">IF(ISNUMBER(MATCH(DATEVALUE($A114),'recurring1_based on steps'!AW$1:AW$400,0)),AW$2,)</f>
        <v>0</v>
      </c>
      <c r="AX114" s="155">
        <f ca="1">IF(ISNUMBER(MATCH(DATEVALUE($A114),'recurring1_based on steps'!AX$1:AX$400,0)),AX$2,)</f>
        <v>0</v>
      </c>
      <c r="AY114" s="155">
        <f ca="1">IF(ISNUMBER(MATCH(DATEVALUE($A114),'recurring1_based on steps'!AY$1:AY$400,0)),AY$2,)</f>
        <v>0</v>
      </c>
    </row>
    <row r="115" spans="1:51" x14ac:dyDescent="0.2">
      <c r="A115" s="18" t="str">
        <f t="shared" ca="1" si="1"/>
        <v>2025-05-24</v>
      </c>
      <c r="B115" s="155">
        <f ca="1">IF(ISNUMBER(MATCH(DATEVALUE($A115),'recurring1_based on steps'!B$1:B$400,0)),B$2,)</f>
        <v>0</v>
      </c>
      <c r="C115" s="155">
        <f ca="1">IF(ISNUMBER(MATCH(DATEVALUE($A115),'recurring1_based on steps'!C$1:C$400,0)),C$2,)</f>
        <v>0</v>
      </c>
      <c r="D115" s="155">
        <f ca="1">IF(ISNUMBER(MATCH(DATEVALUE($A115),'recurring1_based on steps'!D$1:D$400,0)),D$2,)</f>
        <v>0</v>
      </c>
      <c r="E115" s="155">
        <f ca="1">IF(ISNUMBER(MATCH(DATEVALUE($A115),'recurring1_based on steps'!E$1:E$400,0)),E$2,)</f>
        <v>0</v>
      </c>
      <c r="F115" s="155">
        <f ca="1">IF(ISNUMBER(MATCH(DATEVALUE($A115),'recurring1_based on steps'!F$1:F$400,0)),F$2,)</f>
        <v>0</v>
      </c>
      <c r="G115" s="155">
        <f ca="1">IF(ISNUMBER(MATCH(DATEVALUE($A115),'recurring1_based on steps'!G$1:G$400,0)),G$2,)</f>
        <v>0</v>
      </c>
      <c r="H115" s="155">
        <f ca="1">IF(ISNUMBER(MATCH(DATEVALUE($A115),'recurring1_based on steps'!H$1:H$400,0)),H$2,)</f>
        <v>0</v>
      </c>
      <c r="I115" s="155">
        <f ca="1">IF(ISNUMBER(MATCH(DATEVALUE($A115),'recurring1_based on steps'!I$1:I$400,0)),I$2,)</f>
        <v>0</v>
      </c>
      <c r="J115" s="155">
        <f ca="1">IF(ISNUMBER(MATCH(DATEVALUE($A115),'recurring1_based on steps'!J$1:J$400,0)),J$2,)</f>
        <v>0</v>
      </c>
      <c r="K115" s="155">
        <f ca="1">IF(ISNUMBER(MATCH(DATEVALUE($A115),'recurring1_based on steps'!K$1:K$400,0)),K$2,)</f>
        <v>0</v>
      </c>
      <c r="L115" s="155">
        <f ca="1">IF(ISNUMBER(MATCH(DATEVALUE($A115),'recurring1_based on steps'!L$1:L$400,0)),L$2,)</f>
        <v>0</v>
      </c>
      <c r="M115" s="155">
        <f ca="1">IF(ISNUMBER(MATCH(DATEVALUE($A115),'recurring1_based on steps'!M$1:M$400,0)),M$2,)</f>
        <v>0</v>
      </c>
      <c r="N115" s="155">
        <f ca="1">IF(ISNUMBER(MATCH(DATEVALUE($A115),'recurring1_based on steps'!N$1:N$400,0)),N$2,)</f>
        <v>0</v>
      </c>
      <c r="O115" s="155">
        <f ca="1">IF(ISNUMBER(MATCH(DATEVALUE($A115),'recurring1_based on steps'!O$1:O$400,0)),O$2,)</f>
        <v>0</v>
      </c>
      <c r="P115" s="155">
        <f ca="1">IF(ISNUMBER(MATCH(DATEVALUE($A115),'recurring1_based on steps'!P$1:P$400,0)),P$2,)</f>
        <v>0</v>
      </c>
      <c r="Q115" s="155">
        <f ca="1">IF(ISNUMBER(MATCH(DATEVALUE($A115),'recurring1_based on steps'!Q$1:Q$400,0)),Q$2,)</f>
        <v>100</v>
      </c>
      <c r="R115" s="155">
        <f ca="1">IF(ISNUMBER(MATCH(DATEVALUE($A115),'recurring1_based on steps'!R$1:R$400,0)),R$2,)</f>
        <v>100</v>
      </c>
      <c r="S115" s="155">
        <f ca="1">IF(ISNUMBER(MATCH(DATEVALUE($A115),'recurring1_based on steps'!S$1:S$400,0)),S$2,)</f>
        <v>0</v>
      </c>
      <c r="T115" s="155">
        <f ca="1">IF(ISNUMBER(MATCH(DATEVALUE($A115),'recurring1_based on steps'!T$1:T$400,0)),T$2,)</f>
        <v>0</v>
      </c>
      <c r="U115" s="155">
        <f ca="1">IF(ISNUMBER(MATCH(DATEVALUE($A115),'recurring1_based on steps'!U$1:U$400,0)),U$2,)</f>
        <v>0</v>
      </c>
      <c r="V115" s="155">
        <f ca="1">IF(ISNUMBER(MATCH(DATEVALUE($A115),'recurring1_based on steps'!V$1:V$400,0)),V$2,)</f>
        <v>0</v>
      </c>
      <c r="W115" s="155">
        <f ca="1">IF(ISNUMBER(MATCH(DATEVALUE($A115),'recurring1_based on steps'!W$1:W$400,0)),W$2,)</f>
        <v>0</v>
      </c>
      <c r="X115" s="155">
        <f ca="1">IF(ISNUMBER(MATCH(DATEVALUE($A115),'recurring1_based on steps'!X$1:X$400,0)),X$2,)</f>
        <v>0</v>
      </c>
      <c r="Y115" s="155">
        <f ca="1">IF(ISNUMBER(MATCH(DATEVALUE($A115),'recurring1_based on steps'!Y$1:Y$400,0)),Y$2,)</f>
        <v>0</v>
      </c>
      <c r="Z115" s="155">
        <f ca="1">IF(ISNUMBER(MATCH(DATEVALUE($A115),'recurring1_based on steps'!Z$1:Z$400,0)),Z$2,)</f>
        <v>0</v>
      </c>
      <c r="AA115" s="155">
        <f ca="1">IF(ISNUMBER(MATCH(DATEVALUE($A115),'recurring1_based on steps'!AA$1:AA$400,0)),AA$2,)</f>
        <v>0</v>
      </c>
      <c r="AB115" s="155">
        <f ca="1">IF(ISNUMBER(MATCH(DATEVALUE($A115),'recurring1_based on steps'!AB$1:AB$400,0)),AB$2,)</f>
        <v>0</v>
      </c>
      <c r="AC115" s="155">
        <f ca="1">IF(ISNUMBER(MATCH(DATEVALUE($A115),'recurring1_based on steps'!AC$1:AC$400,0)),AC$2,)</f>
        <v>0</v>
      </c>
      <c r="AD115" s="155">
        <f ca="1">IF(ISNUMBER(MATCH(DATEVALUE($A115),'recurring1_based on steps'!AD$1:AD$400,0)),AD$2,)</f>
        <v>0</v>
      </c>
      <c r="AE115" s="155">
        <f ca="1">IF(ISNUMBER(MATCH(DATEVALUE($A115),'recurring1_based on steps'!AE$1:AE$400,0)),AE$2,)</f>
        <v>0</v>
      </c>
      <c r="AF115" s="155">
        <f ca="1">IF(ISNUMBER(MATCH(DATEVALUE($A115),'recurring1_based on steps'!AF$1:AF$400,0)),AF$2,)</f>
        <v>0</v>
      </c>
      <c r="AG115" s="155">
        <f ca="1">IF(ISNUMBER(MATCH(DATEVALUE($A115),'recurring1_based on steps'!AG$1:AG$400,0)),AG$2,)</f>
        <v>0</v>
      </c>
      <c r="AH115" s="155">
        <f ca="1">IF(ISNUMBER(MATCH(DATEVALUE($A115),'recurring1_based on steps'!AH$1:AH$400,0)),AH$2,)</f>
        <v>0</v>
      </c>
      <c r="AI115" s="155">
        <f ca="1">IF(ISNUMBER(MATCH(DATEVALUE($A115),'recurring1_based on steps'!AI$1:AI$400,0)),AI$2,)</f>
        <v>0</v>
      </c>
      <c r="AJ115" s="155">
        <f ca="1">IF(ISNUMBER(MATCH(DATEVALUE($A115),'recurring1_based on steps'!AJ$1:AJ$400,0)),AJ$2,)</f>
        <v>0</v>
      </c>
      <c r="AK115" s="155">
        <f ca="1">IF(ISNUMBER(MATCH(DATEVALUE($A115),'recurring1_based on steps'!AK$1:AK$400,0)),AK$2,)</f>
        <v>0</v>
      </c>
      <c r="AL115" s="155">
        <f ca="1">IF(ISNUMBER(MATCH(DATEVALUE($A115),'recurring1_based on steps'!AL$1:AL$400,0)),AL$2,)</f>
        <v>0</v>
      </c>
      <c r="AM115" s="155">
        <f ca="1">IF(ISNUMBER(MATCH(DATEVALUE($A115),'recurring1_based on steps'!AM$1:AM$400,0)),AM$2,)</f>
        <v>0</v>
      </c>
      <c r="AN115" s="155">
        <f ca="1">IF(ISNUMBER(MATCH(DATEVALUE($A115),'recurring1_based on steps'!AN$1:AN$400,0)),AN$2,)</f>
        <v>0</v>
      </c>
      <c r="AO115" s="155">
        <f ca="1">IF(ISNUMBER(MATCH(DATEVALUE($A115),'recurring1_based on steps'!AO$1:AO$400,0)),AO$2,)</f>
        <v>0</v>
      </c>
      <c r="AP115" s="155">
        <f ca="1">IF(ISNUMBER(MATCH(DATEVALUE($A115),'recurring1_based on steps'!AP$1:AP$400,0)),AP$2,)</f>
        <v>0</v>
      </c>
      <c r="AQ115" s="155">
        <f ca="1">IF(ISNUMBER(MATCH(DATEVALUE($A115),'recurring1_based on steps'!AQ$1:AQ$400,0)),AQ$2,)</f>
        <v>0</v>
      </c>
      <c r="AR115" s="155">
        <f ca="1">IF(ISNUMBER(MATCH(DATEVALUE($A115),'recurring1_based on steps'!AR$1:AR$400,0)),AR$2,)</f>
        <v>0</v>
      </c>
      <c r="AS115" s="155">
        <f ca="1">IF(ISNUMBER(MATCH(DATEVALUE($A115),'recurring1_based on steps'!AS$1:AS$400,0)),AS$2,)</f>
        <v>0</v>
      </c>
      <c r="AT115" s="155">
        <f ca="1">IF(ISNUMBER(MATCH(DATEVALUE($A115),'recurring1_based on steps'!AT$1:AT$400,0)),AT$2,)</f>
        <v>0</v>
      </c>
      <c r="AU115" s="155">
        <f ca="1">IF(ISNUMBER(MATCH(DATEVALUE($A115),'recurring1_based on steps'!AU$1:AU$400,0)),AU$2,)</f>
        <v>0</v>
      </c>
      <c r="AV115" s="155">
        <f ca="1">IF(ISNUMBER(MATCH(DATEVALUE($A115),'recurring1_based on steps'!AV$1:AV$400,0)),AV$2,)</f>
        <v>0</v>
      </c>
      <c r="AW115" s="155">
        <f ca="1">IF(ISNUMBER(MATCH(DATEVALUE($A115),'recurring1_based on steps'!AW$1:AW$400,0)),AW$2,)</f>
        <v>0</v>
      </c>
      <c r="AX115" s="155">
        <f ca="1">IF(ISNUMBER(MATCH(DATEVALUE($A115),'recurring1_based on steps'!AX$1:AX$400,0)),AX$2,)</f>
        <v>0</v>
      </c>
      <c r="AY115" s="155">
        <f ca="1">IF(ISNUMBER(MATCH(DATEVALUE($A115),'recurring1_based on steps'!AY$1:AY$400,0)),AY$2,)</f>
        <v>0</v>
      </c>
    </row>
    <row r="116" spans="1:51" x14ac:dyDescent="0.2">
      <c r="A116" s="18" t="str">
        <f t="shared" ca="1" si="1"/>
        <v>2025-05-25</v>
      </c>
      <c r="B116" s="155">
        <f ca="1">IF(ISNUMBER(MATCH(DATEVALUE($A116),'recurring1_based on steps'!B$1:B$400,0)),B$2,)</f>
        <v>0</v>
      </c>
      <c r="C116" s="155">
        <f ca="1">IF(ISNUMBER(MATCH(DATEVALUE($A116),'recurring1_based on steps'!C$1:C$400,0)),C$2,)</f>
        <v>0</v>
      </c>
      <c r="D116" s="155">
        <f ca="1">IF(ISNUMBER(MATCH(DATEVALUE($A116),'recurring1_based on steps'!D$1:D$400,0)),D$2,)</f>
        <v>0</v>
      </c>
      <c r="E116" s="155">
        <f ca="1">IF(ISNUMBER(MATCH(DATEVALUE($A116),'recurring1_based on steps'!E$1:E$400,0)),E$2,)</f>
        <v>0</v>
      </c>
      <c r="F116" s="155">
        <f ca="1">IF(ISNUMBER(MATCH(DATEVALUE($A116),'recurring1_based on steps'!F$1:F$400,0)),F$2,)</f>
        <v>0</v>
      </c>
      <c r="G116" s="155">
        <f ca="1">IF(ISNUMBER(MATCH(DATEVALUE($A116),'recurring1_based on steps'!G$1:G$400,0)),G$2,)</f>
        <v>0</v>
      </c>
      <c r="H116" s="155">
        <f ca="1">IF(ISNUMBER(MATCH(DATEVALUE($A116),'recurring1_based on steps'!H$1:H$400,0)),H$2,)</f>
        <v>0</v>
      </c>
      <c r="I116" s="155">
        <f ca="1">IF(ISNUMBER(MATCH(DATEVALUE($A116),'recurring1_based on steps'!I$1:I$400,0)),I$2,)</f>
        <v>0</v>
      </c>
      <c r="J116" s="155">
        <f ca="1">IF(ISNUMBER(MATCH(DATEVALUE($A116),'recurring1_based on steps'!J$1:J$400,0)),J$2,)</f>
        <v>0</v>
      </c>
      <c r="K116" s="155">
        <f ca="1">IF(ISNUMBER(MATCH(DATEVALUE($A116),'recurring1_based on steps'!K$1:K$400,0)),K$2,)</f>
        <v>50</v>
      </c>
      <c r="L116" s="155">
        <f ca="1">IF(ISNUMBER(MATCH(DATEVALUE($A116),'recurring1_based on steps'!L$1:L$400,0)),L$2,)</f>
        <v>0</v>
      </c>
      <c r="M116" s="155">
        <f ca="1">IF(ISNUMBER(MATCH(DATEVALUE($A116),'recurring1_based on steps'!M$1:M$400,0)),M$2,)</f>
        <v>0</v>
      </c>
      <c r="N116" s="155">
        <f ca="1">IF(ISNUMBER(MATCH(DATEVALUE($A116),'recurring1_based on steps'!N$1:N$400,0)),N$2,)</f>
        <v>0</v>
      </c>
      <c r="O116" s="155">
        <f ca="1">IF(ISNUMBER(MATCH(DATEVALUE($A116),'recurring1_based on steps'!O$1:O$400,0)),O$2,)</f>
        <v>0</v>
      </c>
      <c r="P116" s="155">
        <f ca="1">IF(ISNUMBER(MATCH(DATEVALUE($A116),'recurring1_based on steps'!P$1:P$400,0)),P$2,)</f>
        <v>0</v>
      </c>
      <c r="Q116" s="155">
        <f ca="1">IF(ISNUMBER(MATCH(DATEVALUE($A116),'recurring1_based on steps'!Q$1:Q$400,0)),Q$2,)</f>
        <v>0</v>
      </c>
      <c r="R116" s="155">
        <f ca="1">IF(ISNUMBER(MATCH(DATEVALUE($A116),'recurring1_based on steps'!R$1:R$400,0)),R$2,)</f>
        <v>0</v>
      </c>
      <c r="S116" s="155">
        <f ca="1">IF(ISNUMBER(MATCH(DATEVALUE($A116),'recurring1_based on steps'!S$1:S$400,0)),S$2,)</f>
        <v>100</v>
      </c>
      <c r="T116" s="155">
        <f ca="1">IF(ISNUMBER(MATCH(DATEVALUE($A116),'recurring1_based on steps'!T$1:T$400,0)),T$2,)</f>
        <v>0</v>
      </c>
      <c r="U116" s="155">
        <f ca="1">IF(ISNUMBER(MATCH(DATEVALUE($A116),'recurring1_based on steps'!U$1:U$400,0)),U$2,)</f>
        <v>0</v>
      </c>
      <c r="V116" s="155">
        <f ca="1">IF(ISNUMBER(MATCH(DATEVALUE($A116),'recurring1_based on steps'!V$1:V$400,0)),V$2,)</f>
        <v>0</v>
      </c>
      <c r="W116" s="155">
        <f ca="1">IF(ISNUMBER(MATCH(DATEVALUE($A116),'recurring1_based on steps'!W$1:W$400,0)),W$2,)</f>
        <v>0</v>
      </c>
      <c r="X116" s="155">
        <f ca="1">IF(ISNUMBER(MATCH(DATEVALUE($A116),'recurring1_based on steps'!X$1:X$400,0)),X$2,)</f>
        <v>0</v>
      </c>
      <c r="Y116" s="155">
        <f ca="1">IF(ISNUMBER(MATCH(DATEVALUE($A116),'recurring1_based on steps'!Y$1:Y$400,0)),Y$2,)</f>
        <v>0</v>
      </c>
      <c r="Z116" s="155">
        <f ca="1">IF(ISNUMBER(MATCH(DATEVALUE($A116),'recurring1_based on steps'!Z$1:Z$400,0)),Z$2,)</f>
        <v>0</v>
      </c>
      <c r="AA116" s="155">
        <f ca="1">IF(ISNUMBER(MATCH(DATEVALUE($A116),'recurring1_based on steps'!AA$1:AA$400,0)),AA$2,)</f>
        <v>0</v>
      </c>
      <c r="AB116" s="155">
        <f ca="1">IF(ISNUMBER(MATCH(DATEVALUE($A116),'recurring1_based on steps'!AB$1:AB$400,0)),AB$2,)</f>
        <v>0</v>
      </c>
      <c r="AC116" s="155">
        <f ca="1">IF(ISNUMBER(MATCH(DATEVALUE($A116),'recurring1_based on steps'!AC$1:AC$400,0)),AC$2,)</f>
        <v>0</v>
      </c>
      <c r="AD116" s="155">
        <f ca="1">IF(ISNUMBER(MATCH(DATEVALUE($A116),'recurring1_based on steps'!AD$1:AD$400,0)),AD$2,)</f>
        <v>0</v>
      </c>
      <c r="AE116" s="155">
        <f ca="1">IF(ISNUMBER(MATCH(DATEVALUE($A116),'recurring1_based on steps'!AE$1:AE$400,0)),AE$2,)</f>
        <v>0</v>
      </c>
      <c r="AF116" s="155">
        <f ca="1">IF(ISNUMBER(MATCH(DATEVALUE($A116),'recurring1_based on steps'!AF$1:AF$400,0)),AF$2,)</f>
        <v>0</v>
      </c>
      <c r="AG116" s="155">
        <f ca="1">IF(ISNUMBER(MATCH(DATEVALUE($A116),'recurring1_based on steps'!AG$1:AG$400,0)),AG$2,)</f>
        <v>0</v>
      </c>
      <c r="AH116" s="155">
        <f ca="1">IF(ISNUMBER(MATCH(DATEVALUE($A116),'recurring1_based on steps'!AH$1:AH$400,0)),AH$2,)</f>
        <v>0</v>
      </c>
      <c r="AI116" s="155">
        <f ca="1">IF(ISNUMBER(MATCH(DATEVALUE($A116),'recurring1_based on steps'!AI$1:AI$400,0)),AI$2,)</f>
        <v>0</v>
      </c>
      <c r="AJ116" s="155">
        <f ca="1">IF(ISNUMBER(MATCH(DATEVALUE($A116),'recurring1_based on steps'!AJ$1:AJ$400,0)),AJ$2,)</f>
        <v>0</v>
      </c>
      <c r="AK116" s="155">
        <f ca="1">IF(ISNUMBER(MATCH(DATEVALUE($A116),'recurring1_based on steps'!AK$1:AK$400,0)),AK$2,)</f>
        <v>0</v>
      </c>
      <c r="AL116" s="155">
        <f ca="1">IF(ISNUMBER(MATCH(DATEVALUE($A116),'recurring1_based on steps'!AL$1:AL$400,0)),AL$2,)</f>
        <v>0</v>
      </c>
      <c r="AM116" s="155">
        <f ca="1">IF(ISNUMBER(MATCH(DATEVALUE($A116),'recurring1_based on steps'!AM$1:AM$400,0)),AM$2,)</f>
        <v>0</v>
      </c>
      <c r="AN116" s="155">
        <f ca="1">IF(ISNUMBER(MATCH(DATEVALUE($A116),'recurring1_based on steps'!AN$1:AN$400,0)),AN$2,)</f>
        <v>0</v>
      </c>
      <c r="AO116" s="155">
        <f ca="1">IF(ISNUMBER(MATCH(DATEVALUE($A116),'recurring1_based on steps'!AO$1:AO$400,0)),AO$2,)</f>
        <v>0</v>
      </c>
      <c r="AP116" s="155">
        <f ca="1">IF(ISNUMBER(MATCH(DATEVALUE($A116),'recurring1_based on steps'!AP$1:AP$400,0)),AP$2,)</f>
        <v>0</v>
      </c>
      <c r="AQ116" s="155">
        <f ca="1">IF(ISNUMBER(MATCH(DATEVALUE($A116),'recurring1_based on steps'!AQ$1:AQ$400,0)),AQ$2,)</f>
        <v>0</v>
      </c>
      <c r="AR116" s="155">
        <f ca="1">IF(ISNUMBER(MATCH(DATEVALUE($A116),'recurring1_based on steps'!AR$1:AR$400,0)),AR$2,)</f>
        <v>0</v>
      </c>
      <c r="AS116" s="155">
        <f ca="1">IF(ISNUMBER(MATCH(DATEVALUE($A116),'recurring1_based on steps'!AS$1:AS$400,0)),AS$2,)</f>
        <v>0</v>
      </c>
      <c r="AT116" s="155">
        <f ca="1">IF(ISNUMBER(MATCH(DATEVALUE($A116),'recurring1_based on steps'!AT$1:AT$400,0)),AT$2,)</f>
        <v>0</v>
      </c>
      <c r="AU116" s="155">
        <f ca="1">IF(ISNUMBER(MATCH(DATEVALUE($A116),'recurring1_based on steps'!AU$1:AU$400,0)),AU$2,)</f>
        <v>0</v>
      </c>
      <c r="AV116" s="155">
        <f ca="1">IF(ISNUMBER(MATCH(DATEVALUE($A116),'recurring1_based on steps'!AV$1:AV$400,0)),AV$2,)</f>
        <v>0</v>
      </c>
      <c r="AW116" s="155">
        <f ca="1">IF(ISNUMBER(MATCH(DATEVALUE($A116),'recurring1_based on steps'!AW$1:AW$400,0)),AW$2,)</f>
        <v>0</v>
      </c>
      <c r="AX116" s="155">
        <f ca="1">IF(ISNUMBER(MATCH(DATEVALUE($A116),'recurring1_based on steps'!AX$1:AX$400,0)),AX$2,)</f>
        <v>0</v>
      </c>
      <c r="AY116" s="155">
        <f ca="1">IF(ISNUMBER(MATCH(DATEVALUE($A116),'recurring1_based on steps'!AY$1:AY$400,0)),AY$2,)</f>
        <v>0</v>
      </c>
    </row>
    <row r="117" spans="1:51" x14ac:dyDescent="0.2">
      <c r="A117" s="18" t="str">
        <f t="shared" ca="1" si="1"/>
        <v>2025-05-26</v>
      </c>
      <c r="B117" s="155">
        <f ca="1">IF(ISNUMBER(MATCH(DATEVALUE($A117),'recurring1_based on steps'!B$1:B$400,0)),B$2,)</f>
        <v>0</v>
      </c>
      <c r="C117" s="155">
        <f ca="1">IF(ISNUMBER(MATCH(DATEVALUE($A117),'recurring1_based on steps'!C$1:C$400,0)),C$2,)</f>
        <v>0</v>
      </c>
      <c r="D117" s="155">
        <f ca="1">IF(ISNUMBER(MATCH(DATEVALUE($A117),'recurring1_based on steps'!D$1:D$400,0)),D$2,)</f>
        <v>0</v>
      </c>
      <c r="E117" s="155">
        <f ca="1">IF(ISNUMBER(MATCH(DATEVALUE($A117),'recurring1_based on steps'!E$1:E$400,0)),E$2,)</f>
        <v>0</v>
      </c>
      <c r="F117" s="155">
        <f ca="1">IF(ISNUMBER(MATCH(DATEVALUE($A117),'recurring1_based on steps'!F$1:F$400,0)),F$2,)</f>
        <v>0</v>
      </c>
      <c r="G117" s="155">
        <f ca="1">IF(ISNUMBER(MATCH(DATEVALUE($A117),'recurring1_based on steps'!G$1:G$400,0)),G$2,)</f>
        <v>0</v>
      </c>
      <c r="H117" s="155">
        <f ca="1">IF(ISNUMBER(MATCH(DATEVALUE($A117),'recurring1_based on steps'!H$1:H$400,0)),H$2,)</f>
        <v>0</v>
      </c>
      <c r="I117" s="155">
        <f ca="1">IF(ISNUMBER(MATCH(DATEVALUE($A117),'recurring1_based on steps'!I$1:I$400,0)),I$2,)</f>
        <v>0</v>
      </c>
      <c r="J117" s="155">
        <f ca="1">IF(ISNUMBER(MATCH(DATEVALUE($A117),'recurring1_based on steps'!J$1:J$400,0)),J$2,)</f>
        <v>0</v>
      </c>
      <c r="K117" s="155">
        <f ca="1">IF(ISNUMBER(MATCH(DATEVALUE($A117),'recurring1_based on steps'!K$1:K$400,0)),K$2,)</f>
        <v>0</v>
      </c>
      <c r="L117" s="155">
        <f ca="1">IF(ISNUMBER(MATCH(DATEVALUE($A117),'recurring1_based on steps'!L$1:L$400,0)),L$2,)</f>
        <v>0</v>
      </c>
      <c r="M117" s="155">
        <f ca="1">IF(ISNUMBER(MATCH(DATEVALUE($A117),'recurring1_based on steps'!M$1:M$400,0)),M$2,)</f>
        <v>0</v>
      </c>
      <c r="N117" s="155">
        <f ca="1">IF(ISNUMBER(MATCH(DATEVALUE($A117),'recurring1_based on steps'!N$1:N$400,0)),N$2,)</f>
        <v>0</v>
      </c>
      <c r="O117" s="155">
        <f ca="1">IF(ISNUMBER(MATCH(DATEVALUE($A117),'recurring1_based on steps'!O$1:O$400,0)),O$2,)</f>
        <v>0</v>
      </c>
      <c r="P117" s="155">
        <f ca="1">IF(ISNUMBER(MATCH(DATEVALUE($A117),'recurring1_based on steps'!P$1:P$400,0)),P$2,)</f>
        <v>0</v>
      </c>
      <c r="Q117" s="155">
        <f ca="1">IF(ISNUMBER(MATCH(DATEVALUE($A117),'recurring1_based on steps'!Q$1:Q$400,0)),Q$2,)</f>
        <v>0</v>
      </c>
      <c r="R117" s="155">
        <f ca="1">IF(ISNUMBER(MATCH(DATEVALUE($A117),'recurring1_based on steps'!R$1:R$400,0)),R$2,)</f>
        <v>0</v>
      </c>
      <c r="S117" s="155">
        <f ca="1">IF(ISNUMBER(MATCH(DATEVALUE($A117),'recurring1_based on steps'!S$1:S$400,0)),S$2,)</f>
        <v>0</v>
      </c>
      <c r="T117" s="155">
        <f ca="1">IF(ISNUMBER(MATCH(DATEVALUE($A117),'recurring1_based on steps'!T$1:T$400,0)),T$2,)</f>
        <v>0</v>
      </c>
      <c r="U117" s="155">
        <f ca="1">IF(ISNUMBER(MATCH(DATEVALUE($A117),'recurring1_based on steps'!U$1:U$400,0)),U$2,)</f>
        <v>0</v>
      </c>
      <c r="V117" s="155">
        <f ca="1">IF(ISNUMBER(MATCH(DATEVALUE($A117),'recurring1_based on steps'!V$1:V$400,0)),V$2,)</f>
        <v>0</v>
      </c>
      <c r="W117" s="155">
        <f ca="1">IF(ISNUMBER(MATCH(DATEVALUE($A117),'recurring1_based on steps'!W$1:W$400,0)),W$2,)</f>
        <v>0</v>
      </c>
      <c r="X117" s="155">
        <f ca="1">IF(ISNUMBER(MATCH(DATEVALUE($A117),'recurring1_based on steps'!X$1:X$400,0)),X$2,)</f>
        <v>0</v>
      </c>
      <c r="Y117" s="155">
        <f ca="1">IF(ISNUMBER(MATCH(DATEVALUE($A117),'recurring1_based on steps'!Y$1:Y$400,0)),Y$2,)</f>
        <v>0</v>
      </c>
      <c r="Z117" s="155">
        <f ca="1">IF(ISNUMBER(MATCH(DATEVALUE($A117),'recurring1_based on steps'!Z$1:Z$400,0)),Z$2,)</f>
        <v>0</v>
      </c>
      <c r="AA117" s="155">
        <f ca="1">IF(ISNUMBER(MATCH(DATEVALUE($A117),'recurring1_based on steps'!AA$1:AA$400,0)),AA$2,)</f>
        <v>0</v>
      </c>
      <c r="AB117" s="155">
        <f ca="1">IF(ISNUMBER(MATCH(DATEVALUE($A117),'recurring1_based on steps'!AB$1:AB$400,0)),AB$2,)</f>
        <v>0</v>
      </c>
      <c r="AC117" s="155">
        <f ca="1">IF(ISNUMBER(MATCH(DATEVALUE($A117),'recurring1_based on steps'!AC$1:AC$400,0)),AC$2,)</f>
        <v>0</v>
      </c>
      <c r="AD117" s="155">
        <f ca="1">IF(ISNUMBER(MATCH(DATEVALUE($A117),'recurring1_based on steps'!AD$1:AD$400,0)),AD$2,)</f>
        <v>0</v>
      </c>
      <c r="AE117" s="155">
        <f ca="1">IF(ISNUMBER(MATCH(DATEVALUE($A117),'recurring1_based on steps'!AE$1:AE$400,0)),AE$2,)</f>
        <v>0</v>
      </c>
      <c r="AF117" s="155">
        <f ca="1">IF(ISNUMBER(MATCH(DATEVALUE($A117),'recurring1_based on steps'!AF$1:AF$400,0)),AF$2,)</f>
        <v>0</v>
      </c>
      <c r="AG117" s="155">
        <f ca="1">IF(ISNUMBER(MATCH(DATEVALUE($A117),'recurring1_based on steps'!AG$1:AG$400,0)),AG$2,)</f>
        <v>0</v>
      </c>
      <c r="AH117" s="155">
        <f ca="1">IF(ISNUMBER(MATCH(DATEVALUE($A117),'recurring1_based on steps'!AH$1:AH$400,0)),AH$2,)</f>
        <v>0</v>
      </c>
      <c r="AI117" s="155">
        <f ca="1">IF(ISNUMBER(MATCH(DATEVALUE($A117),'recurring1_based on steps'!AI$1:AI$400,0)),AI$2,)</f>
        <v>0</v>
      </c>
      <c r="AJ117" s="155">
        <f ca="1">IF(ISNUMBER(MATCH(DATEVALUE($A117),'recurring1_based on steps'!AJ$1:AJ$400,0)),AJ$2,)</f>
        <v>0</v>
      </c>
      <c r="AK117" s="155">
        <f ca="1">IF(ISNUMBER(MATCH(DATEVALUE($A117),'recurring1_based on steps'!AK$1:AK$400,0)),AK$2,)</f>
        <v>0</v>
      </c>
      <c r="AL117" s="155">
        <f ca="1">IF(ISNUMBER(MATCH(DATEVALUE($A117),'recurring1_based on steps'!AL$1:AL$400,0)),AL$2,)</f>
        <v>0</v>
      </c>
      <c r="AM117" s="155">
        <f ca="1">IF(ISNUMBER(MATCH(DATEVALUE($A117),'recurring1_based on steps'!AM$1:AM$400,0)),AM$2,)</f>
        <v>0</v>
      </c>
      <c r="AN117" s="155">
        <f ca="1">IF(ISNUMBER(MATCH(DATEVALUE($A117),'recurring1_based on steps'!AN$1:AN$400,0)),AN$2,)</f>
        <v>0</v>
      </c>
      <c r="AO117" s="155">
        <f ca="1">IF(ISNUMBER(MATCH(DATEVALUE($A117),'recurring1_based on steps'!AO$1:AO$400,0)),AO$2,)</f>
        <v>0</v>
      </c>
      <c r="AP117" s="155">
        <f ca="1">IF(ISNUMBER(MATCH(DATEVALUE($A117),'recurring1_based on steps'!AP$1:AP$400,0)),AP$2,)</f>
        <v>0</v>
      </c>
      <c r="AQ117" s="155">
        <f ca="1">IF(ISNUMBER(MATCH(DATEVALUE($A117),'recurring1_based on steps'!AQ$1:AQ$400,0)),AQ$2,)</f>
        <v>0</v>
      </c>
      <c r="AR117" s="155">
        <f ca="1">IF(ISNUMBER(MATCH(DATEVALUE($A117),'recurring1_based on steps'!AR$1:AR$400,0)),AR$2,)</f>
        <v>0</v>
      </c>
      <c r="AS117" s="155">
        <f ca="1">IF(ISNUMBER(MATCH(DATEVALUE($A117),'recurring1_based on steps'!AS$1:AS$400,0)),AS$2,)</f>
        <v>0</v>
      </c>
      <c r="AT117" s="155">
        <f ca="1">IF(ISNUMBER(MATCH(DATEVALUE($A117),'recurring1_based on steps'!AT$1:AT$400,0)),AT$2,)</f>
        <v>0</v>
      </c>
      <c r="AU117" s="155">
        <f ca="1">IF(ISNUMBER(MATCH(DATEVALUE($A117),'recurring1_based on steps'!AU$1:AU$400,0)),AU$2,)</f>
        <v>0</v>
      </c>
      <c r="AV117" s="155">
        <f ca="1">IF(ISNUMBER(MATCH(DATEVALUE($A117),'recurring1_based on steps'!AV$1:AV$400,0)),AV$2,)</f>
        <v>0</v>
      </c>
      <c r="AW117" s="155">
        <f ca="1">IF(ISNUMBER(MATCH(DATEVALUE($A117),'recurring1_based on steps'!AW$1:AW$400,0)),AW$2,)</f>
        <v>0</v>
      </c>
      <c r="AX117" s="155">
        <f ca="1">IF(ISNUMBER(MATCH(DATEVALUE($A117),'recurring1_based on steps'!AX$1:AX$400,0)),AX$2,)</f>
        <v>0</v>
      </c>
      <c r="AY117" s="155">
        <f ca="1">IF(ISNUMBER(MATCH(DATEVALUE($A117),'recurring1_based on steps'!AY$1:AY$400,0)),AY$2,)</f>
        <v>0</v>
      </c>
    </row>
    <row r="118" spans="1:51" x14ac:dyDescent="0.2">
      <c r="A118" s="18" t="str">
        <f t="shared" ca="1" si="1"/>
        <v>2025-05-27</v>
      </c>
      <c r="B118" s="155">
        <f ca="1">IF(ISNUMBER(MATCH(DATEVALUE($A118),'recurring1_based on steps'!B$1:B$400,0)),B$2,)</f>
        <v>0</v>
      </c>
      <c r="C118" s="155">
        <f ca="1">IF(ISNUMBER(MATCH(DATEVALUE($A118),'recurring1_based on steps'!C$1:C$400,0)),C$2,)</f>
        <v>0</v>
      </c>
      <c r="D118" s="155">
        <f ca="1">IF(ISNUMBER(MATCH(DATEVALUE($A118),'recurring1_based on steps'!D$1:D$400,0)),D$2,)</f>
        <v>0</v>
      </c>
      <c r="E118" s="155">
        <f ca="1">IF(ISNUMBER(MATCH(DATEVALUE($A118),'recurring1_based on steps'!E$1:E$400,0)),E$2,)</f>
        <v>0</v>
      </c>
      <c r="F118" s="155">
        <f ca="1">IF(ISNUMBER(MATCH(DATEVALUE($A118),'recurring1_based on steps'!F$1:F$400,0)),F$2,)</f>
        <v>0</v>
      </c>
      <c r="G118" s="155">
        <f ca="1">IF(ISNUMBER(MATCH(DATEVALUE($A118),'recurring1_based on steps'!G$1:G$400,0)),G$2,)</f>
        <v>0</v>
      </c>
      <c r="H118" s="155">
        <f ca="1">IF(ISNUMBER(MATCH(DATEVALUE($A118),'recurring1_based on steps'!H$1:H$400,0)),H$2,)</f>
        <v>0</v>
      </c>
      <c r="I118" s="155">
        <f ca="1">IF(ISNUMBER(MATCH(DATEVALUE($A118),'recurring1_based on steps'!I$1:I$400,0)),I$2,)</f>
        <v>0</v>
      </c>
      <c r="J118" s="155">
        <f ca="1">IF(ISNUMBER(MATCH(DATEVALUE($A118),'recurring1_based on steps'!J$1:J$400,0)),J$2,)</f>
        <v>0</v>
      </c>
      <c r="K118" s="155">
        <f ca="1">IF(ISNUMBER(MATCH(DATEVALUE($A118),'recurring1_based on steps'!K$1:K$400,0)),K$2,)</f>
        <v>0</v>
      </c>
      <c r="L118" s="155">
        <f ca="1">IF(ISNUMBER(MATCH(DATEVALUE($A118),'recurring1_based on steps'!L$1:L$400,0)),L$2,)</f>
        <v>0</v>
      </c>
      <c r="M118" s="155">
        <f ca="1">IF(ISNUMBER(MATCH(DATEVALUE($A118),'recurring1_based on steps'!M$1:M$400,0)),M$2,)</f>
        <v>0</v>
      </c>
      <c r="N118" s="155">
        <f ca="1">IF(ISNUMBER(MATCH(DATEVALUE($A118),'recurring1_based on steps'!N$1:N$400,0)),N$2,)</f>
        <v>0</v>
      </c>
      <c r="O118" s="155">
        <f ca="1">IF(ISNUMBER(MATCH(DATEVALUE($A118),'recurring1_based on steps'!O$1:O$400,0)),O$2,)</f>
        <v>0</v>
      </c>
      <c r="P118" s="155">
        <f ca="1">IF(ISNUMBER(MATCH(DATEVALUE($A118),'recurring1_based on steps'!P$1:P$400,0)),P$2,)</f>
        <v>2.99</v>
      </c>
      <c r="Q118" s="155">
        <f ca="1">IF(ISNUMBER(MATCH(DATEVALUE($A118),'recurring1_based on steps'!Q$1:Q$400,0)),Q$2,)</f>
        <v>0</v>
      </c>
      <c r="R118" s="155">
        <f ca="1">IF(ISNUMBER(MATCH(DATEVALUE($A118),'recurring1_based on steps'!R$1:R$400,0)),R$2,)</f>
        <v>0</v>
      </c>
      <c r="S118" s="155">
        <f ca="1">IF(ISNUMBER(MATCH(DATEVALUE($A118),'recurring1_based on steps'!S$1:S$400,0)),S$2,)</f>
        <v>0</v>
      </c>
      <c r="T118" s="155">
        <f ca="1">IF(ISNUMBER(MATCH(DATEVALUE($A118),'recurring1_based on steps'!T$1:T$400,0)),T$2,)</f>
        <v>0</v>
      </c>
      <c r="U118" s="155">
        <f ca="1">IF(ISNUMBER(MATCH(DATEVALUE($A118),'recurring1_based on steps'!U$1:U$400,0)),U$2,)</f>
        <v>0</v>
      </c>
      <c r="V118" s="155">
        <f ca="1">IF(ISNUMBER(MATCH(DATEVALUE($A118),'recurring1_based on steps'!V$1:V$400,0)),V$2,)</f>
        <v>0</v>
      </c>
      <c r="W118" s="155">
        <f ca="1">IF(ISNUMBER(MATCH(DATEVALUE($A118),'recurring1_based on steps'!W$1:W$400,0)),W$2,)</f>
        <v>0</v>
      </c>
      <c r="X118" s="155">
        <f ca="1">IF(ISNUMBER(MATCH(DATEVALUE($A118),'recurring1_based on steps'!X$1:X$400,0)),X$2,)</f>
        <v>0</v>
      </c>
      <c r="Y118" s="155">
        <f ca="1">IF(ISNUMBER(MATCH(DATEVALUE($A118),'recurring1_based on steps'!Y$1:Y$400,0)),Y$2,)</f>
        <v>0</v>
      </c>
      <c r="Z118" s="155">
        <f ca="1">IF(ISNUMBER(MATCH(DATEVALUE($A118),'recurring1_based on steps'!Z$1:Z$400,0)),Z$2,)</f>
        <v>0</v>
      </c>
      <c r="AA118" s="155">
        <f ca="1">IF(ISNUMBER(MATCH(DATEVALUE($A118),'recurring1_based on steps'!AA$1:AA$400,0)),AA$2,)</f>
        <v>0</v>
      </c>
      <c r="AB118" s="155">
        <f ca="1">IF(ISNUMBER(MATCH(DATEVALUE($A118),'recurring1_based on steps'!AB$1:AB$400,0)),AB$2,)</f>
        <v>0</v>
      </c>
      <c r="AC118" s="155">
        <f ca="1">IF(ISNUMBER(MATCH(DATEVALUE($A118),'recurring1_based on steps'!AC$1:AC$400,0)),AC$2,)</f>
        <v>0</v>
      </c>
      <c r="AD118" s="155">
        <f ca="1">IF(ISNUMBER(MATCH(DATEVALUE($A118),'recurring1_based on steps'!AD$1:AD$400,0)),AD$2,)</f>
        <v>0</v>
      </c>
      <c r="AE118" s="155">
        <f ca="1">IF(ISNUMBER(MATCH(DATEVALUE($A118),'recurring1_based on steps'!AE$1:AE$400,0)),AE$2,)</f>
        <v>0</v>
      </c>
      <c r="AF118" s="155">
        <f ca="1">IF(ISNUMBER(MATCH(DATEVALUE($A118),'recurring1_based on steps'!AF$1:AF$400,0)),AF$2,)</f>
        <v>0</v>
      </c>
      <c r="AG118" s="155">
        <f ca="1">IF(ISNUMBER(MATCH(DATEVALUE($A118),'recurring1_based on steps'!AG$1:AG$400,0)),AG$2,)</f>
        <v>0</v>
      </c>
      <c r="AH118" s="155">
        <f ca="1">IF(ISNUMBER(MATCH(DATEVALUE($A118),'recurring1_based on steps'!AH$1:AH$400,0)),AH$2,)</f>
        <v>0</v>
      </c>
      <c r="AI118" s="155">
        <f ca="1">IF(ISNUMBER(MATCH(DATEVALUE($A118),'recurring1_based on steps'!AI$1:AI$400,0)),AI$2,)</f>
        <v>0</v>
      </c>
      <c r="AJ118" s="155">
        <f ca="1">IF(ISNUMBER(MATCH(DATEVALUE($A118),'recurring1_based on steps'!AJ$1:AJ$400,0)),AJ$2,)</f>
        <v>0</v>
      </c>
      <c r="AK118" s="155">
        <f ca="1">IF(ISNUMBER(MATCH(DATEVALUE($A118),'recurring1_based on steps'!AK$1:AK$400,0)),AK$2,)</f>
        <v>0</v>
      </c>
      <c r="AL118" s="155">
        <f ca="1">IF(ISNUMBER(MATCH(DATEVALUE($A118),'recurring1_based on steps'!AL$1:AL$400,0)),AL$2,)</f>
        <v>0</v>
      </c>
      <c r="AM118" s="155">
        <f ca="1">IF(ISNUMBER(MATCH(DATEVALUE($A118),'recurring1_based on steps'!AM$1:AM$400,0)),AM$2,)</f>
        <v>0</v>
      </c>
      <c r="AN118" s="155">
        <f ca="1">IF(ISNUMBER(MATCH(DATEVALUE($A118),'recurring1_based on steps'!AN$1:AN$400,0)),AN$2,)</f>
        <v>0</v>
      </c>
      <c r="AO118" s="155">
        <f ca="1">IF(ISNUMBER(MATCH(DATEVALUE($A118),'recurring1_based on steps'!AO$1:AO$400,0)),AO$2,)</f>
        <v>0</v>
      </c>
      <c r="AP118" s="155">
        <f ca="1">IF(ISNUMBER(MATCH(DATEVALUE($A118),'recurring1_based on steps'!AP$1:AP$400,0)),AP$2,)</f>
        <v>0</v>
      </c>
      <c r="AQ118" s="155">
        <f ca="1">IF(ISNUMBER(MATCH(DATEVALUE($A118),'recurring1_based on steps'!AQ$1:AQ$400,0)),AQ$2,)</f>
        <v>0</v>
      </c>
      <c r="AR118" s="155">
        <f ca="1">IF(ISNUMBER(MATCH(DATEVALUE($A118),'recurring1_based on steps'!AR$1:AR$400,0)),AR$2,)</f>
        <v>0</v>
      </c>
      <c r="AS118" s="155">
        <f ca="1">IF(ISNUMBER(MATCH(DATEVALUE($A118),'recurring1_based on steps'!AS$1:AS$400,0)),AS$2,)</f>
        <v>0</v>
      </c>
      <c r="AT118" s="155">
        <f ca="1">IF(ISNUMBER(MATCH(DATEVALUE($A118),'recurring1_based on steps'!AT$1:AT$400,0)),AT$2,)</f>
        <v>0</v>
      </c>
      <c r="AU118" s="155">
        <f ca="1">IF(ISNUMBER(MATCH(DATEVALUE($A118),'recurring1_based on steps'!AU$1:AU$400,0)),AU$2,)</f>
        <v>0</v>
      </c>
      <c r="AV118" s="155">
        <f ca="1">IF(ISNUMBER(MATCH(DATEVALUE($A118),'recurring1_based on steps'!AV$1:AV$400,0)),AV$2,)</f>
        <v>0</v>
      </c>
      <c r="AW118" s="155">
        <f ca="1">IF(ISNUMBER(MATCH(DATEVALUE($A118),'recurring1_based on steps'!AW$1:AW$400,0)),AW$2,)</f>
        <v>0</v>
      </c>
      <c r="AX118" s="155">
        <f ca="1">IF(ISNUMBER(MATCH(DATEVALUE($A118),'recurring1_based on steps'!AX$1:AX$400,0)),AX$2,)</f>
        <v>0</v>
      </c>
      <c r="AY118" s="155">
        <f ca="1">IF(ISNUMBER(MATCH(DATEVALUE($A118),'recurring1_based on steps'!AY$1:AY$400,0)),AY$2,)</f>
        <v>0</v>
      </c>
    </row>
    <row r="119" spans="1:51" x14ac:dyDescent="0.2">
      <c r="A119" s="18" t="str">
        <f t="shared" ca="1" si="1"/>
        <v>2025-05-28</v>
      </c>
      <c r="B119" s="155">
        <f ca="1">IF(ISNUMBER(MATCH(DATEVALUE($A119),'recurring1_based on steps'!B$1:B$400,0)),B$2,)</f>
        <v>0</v>
      </c>
      <c r="C119" s="155">
        <f ca="1">IF(ISNUMBER(MATCH(DATEVALUE($A119),'recurring1_based on steps'!C$1:C$400,0)),C$2,)</f>
        <v>0</v>
      </c>
      <c r="D119" s="155">
        <f ca="1">IF(ISNUMBER(MATCH(DATEVALUE($A119),'recurring1_based on steps'!D$1:D$400,0)),D$2,)</f>
        <v>0</v>
      </c>
      <c r="E119" s="155">
        <f ca="1">IF(ISNUMBER(MATCH(DATEVALUE($A119),'recurring1_based on steps'!E$1:E$400,0)),E$2,)</f>
        <v>0</v>
      </c>
      <c r="F119" s="155">
        <f ca="1">IF(ISNUMBER(MATCH(DATEVALUE($A119),'recurring1_based on steps'!F$1:F$400,0)),F$2,)</f>
        <v>0</v>
      </c>
      <c r="G119" s="155">
        <f ca="1">IF(ISNUMBER(MATCH(DATEVALUE($A119),'recurring1_based on steps'!G$1:G$400,0)),G$2,)</f>
        <v>0</v>
      </c>
      <c r="H119" s="155">
        <f ca="1">IF(ISNUMBER(MATCH(DATEVALUE($A119),'recurring1_based on steps'!H$1:H$400,0)),H$2,)</f>
        <v>40</v>
      </c>
      <c r="I119" s="155">
        <f ca="1">IF(ISNUMBER(MATCH(DATEVALUE($A119),'recurring1_based on steps'!I$1:I$400,0)),I$2,)</f>
        <v>0</v>
      </c>
      <c r="J119" s="155">
        <f ca="1">IF(ISNUMBER(MATCH(DATEVALUE($A119),'recurring1_based on steps'!J$1:J$400,0)),J$2,)</f>
        <v>0</v>
      </c>
      <c r="K119" s="155">
        <f ca="1">IF(ISNUMBER(MATCH(DATEVALUE($A119),'recurring1_based on steps'!K$1:K$400,0)),K$2,)</f>
        <v>0</v>
      </c>
      <c r="L119" s="155">
        <f ca="1">IF(ISNUMBER(MATCH(DATEVALUE($A119),'recurring1_based on steps'!L$1:L$400,0)),L$2,)</f>
        <v>0</v>
      </c>
      <c r="M119" s="155">
        <f ca="1">IF(ISNUMBER(MATCH(DATEVALUE($A119),'recurring1_based on steps'!M$1:M$400,0)),M$2,)</f>
        <v>0</v>
      </c>
      <c r="N119" s="155">
        <f ca="1">IF(ISNUMBER(MATCH(DATEVALUE($A119),'recurring1_based on steps'!N$1:N$400,0)),N$2,)</f>
        <v>0</v>
      </c>
      <c r="O119" s="155">
        <f ca="1">IF(ISNUMBER(MATCH(DATEVALUE($A119),'recurring1_based on steps'!O$1:O$400,0)),O$2,)</f>
        <v>0</v>
      </c>
      <c r="P119" s="155">
        <f ca="1">IF(ISNUMBER(MATCH(DATEVALUE($A119),'recurring1_based on steps'!P$1:P$400,0)),P$2,)</f>
        <v>0</v>
      </c>
      <c r="Q119" s="155">
        <f ca="1">IF(ISNUMBER(MATCH(DATEVALUE($A119),'recurring1_based on steps'!Q$1:Q$400,0)),Q$2,)</f>
        <v>0</v>
      </c>
      <c r="R119" s="155">
        <f ca="1">IF(ISNUMBER(MATCH(DATEVALUE($A119),'recurring1_based on steps'!R$1:R$400,0)),R$2,)</f>
        <v>0</v>
      </c>
      <c r="S119" s="155">
        <f ca="1">IF(ISNUMBER(MATCH(DATEVALUE($A119),'recurring1_based on steps'!S$1:S$400,0)),S$2,)</f>
        <v>0</v>
      </c>
      <c r="T119" s="155">
        <f ca="1">IF(ISNUMBER(MATCH(DATEVALUE($A119),'recurring1_based on steps'!T$1:T$400,0)),T$2,)</f>
        <v>0</v>
      </c>
      <c r="U119" s="155">
        <f ca="1">IF(ISNUMBER(MATCH(DATEVALUE($A119),'recurring1_based on steps'!U$1:U$400,0)),U$2,)</f>
        <v>0</v>
      </c>
      <c r="V119" s="155">
        <f ca="1">IF(ISNUMBER(MATCH(DATEVALUE($A119),'recurring1_based on steps'!V$1:V$400,0)),V$2,)</f>
        <v>0</v>
      </c>
      <c r="W119" s="155">
        <f ca="1">IF(ISNUMBER(MATCH(DATEVALUE($A119),'recurring1_based on steps'!W$1:W$400,0)),W$2,)</f>
        <v>100</v>
      </c>
      <c r="X119" s="155">
        <f ca="1">IF(ISNUMBER(MATCH(DATEVALUE($A119),'recurring1_based on steps'!X$1:X$400,0)),X$2,)</f>
        <v>0</v>
      </c>
      <c r="Y119" s="155">
        <f ca="1">IF(ISNUMBER(MATCH(DATEVALUE($A119),'recurring1_based on steps'!Y$1:Y$400,0)),Y$2,)</f>
        <v>0</v>
      </c>
      <c r="Z119" s="155">
        <f ca="1">IF(ISNUMBER(MATCH(DATEVALUE($A119),'recurring1_based on steps'!Z$1:Z$400,0)),Z$2,)</f>
        <v>0</v>
      </c>
      <c r="AA119" s="155">
        <f ca="1">IF(ISNUMBER(MATCH(DATEVALUE($A119),'recurring1_based on steps'!AA$1:AA$400,0)),AA$2,)</f>
        <v>0</v>
      </c>
      <c r="AB119" s="155">
        <f ca="1">IF(ISNUMBER(MATCH(DATEVALUE($A119),'recurring1_based on steps'!AB$1:AB$400,0)),AB$2,)</f>
        <v>0</v>
      </c>
      <c r="AC119" s="155">
        <f ca="1">IF(ISNUMBER(MATCH(DATEVALUE($A119),'recurring1_based on steps'!AC$1:AC$400,0)),AC$2,)</f>
        <v>0</v>
      </c>
      <c r="AD119" s="155">
        <f ca="1">IF(ISNUMBER(MATCH(DATEVALUE($A119),'recurring1_based on steps'!AD$1:AD$400,0)),AD$2,)</f>
        <v>0</v>
      </c>
      <c r="AE119" s="155">
        <f ca="1">IF(ISNUMBER(MATCH(DATEVALUE($A119),'recurring1_based on steps'!AE$1:AE$400,0)),AE$2,)</f>
        <v>0</v>
      </c>
      <c r="AF119" s="155">
        <f ca="1">IF(ISNUMBER(MATCH(DATEVALUE($A119),'recurring1_based on steps'!AF$1:AF$400,0)),AF$2,)</f>
        <v>0</v>
      </c>
      <c r="AG119" s="155">
        <f ca="1">IF(ISNUMBER(MATCH(DATEVALUE($A119),'recurring1_based on steps'!AG$1:AG$400,0)),AG$2,)</f>
        <v>0</v>
      </c>
      <c r="AH119" s="155">
        <f ca="1">IF(ISNUMBER(MATCH(DATEVALUE($A119),'recurring1_based on steps'!AH$1:AH$400,0)),AH$2,)</f>
        <v>0</v>
      </c>
      <c r="AI119" s="155">
        <f ca="1">IF(ISNUMBER(MATCH(DATEVALUE($A119),'recurring1_based on steps'!AI$1:AI$400,0)),AI$2,)</f>
        <v>0</v>
      </c>
      <c r="AJ119" s="155">
        <f ca="1">IF(ISNUMBER(MATCH(DATEVALUE($A119),'recurring1_based on steps'!AJ$1:AJ$400,0)),AJ$2,)</f>
        <v>0</v>
      </c>
      <c r="AK119" s="155">
        <f ca="1">IF(ISNUMBER(MATCH(DATEVALUE($A119),'recurring1_based on steps'!AK$1:AK$400,0)),AK$2,)</f>
        <v>0</v>
      </c>
      <c r="AL119" s="155">
        <f ca="1">IF(ISNUMBER(MATCH(DATEVALUE($A119),'recurring1_based on steps'!AL$1:AL$400,0)),AL$2,)</f>
        <v>0</v>
      </c>
      <c r="AM119" s="155">
        <f ca="1">IF(ISNUMBER(MATCH(DATEVALUE($A119),'recurring1_based on steps'!AM$1:AM$400,0)),AM$2,)</f>
        <v>0</v>
      </c>
      <c r="AN119" s="155">
        <f ca="1">IF(ISNUMBER(MATCH(DATEVALUE($A119),'recurring1_based on steps'!AN$1:AN$400,0)),AN$2,)</f>
        <v>0</v>
      </c>
      <c r="AO119" s="155">
        <f ca="1">IF(ISNUMBER(MATCH(DATEVALUE($A119),'recurring1_based on steps'!AO$1:AO$400,0)),AO$2,)</f>
        <v>0</v>
      </c>
      <c r="AP119" s="155">
        <f ca="1">IF(ISNUMBER(MATCH(DATEVALUE($A119),'recurring1_based on steps'!AP$1:AP$400,0)),AP$2,)</f>
        <v>0</v>
      </c>
      <c r="AQ119" s="155">
        <f ca="1">IF(ISNUMBER(MATCH(DATEVALUE($A119),'recurring1_based on steps'!AQ$1:AQ$400,0)),AQ$2,)</f>
        <v>0</v>
      </c>
      <c r="AR119" s="155">
        <f ca="1">IF(ISNUMBER(MATCH(DATEVALUE($A119),'recurring1_based on steps'!AR$1:AR$400,0)),AR$2,)</f>
        <v>0</v>
      </c>
      <c r="AS119" s="155">
        <f ca="1">IF(ISNUMBER(MATCH(DATEVALUE($A119),'recurring1_based on steps'!AS$1:AS$400,0)),AS$2,)</f>
        <v>0</v>
      </c>
      <c r="AT119" s="155">
        <f ca="1">IF(ISNUMBER(MATCH(DATEVALUE($A119),'recurring1_based on steps'!AT$1:AT$400,0)),AT$2,)</f>
        <v>0</v>
      </c>
      <c r="AU119" s="155">
        <f ca="1">IF(ISNUMBER(MATCH(DATEVALUE($A119),'recurring1_based on steps'!AU$1:AU$400,0)),AU$2,)</f>
        <v>0</v>
      </c>
      <c r="AV119" s="155">
        <f ca="1">IF(ISNUMBER(MATCH(DATEVALUE($A119),'recurring1_based on steps'!AV$1:AV$400,0)),AV$2,)</f>
        <v>0</v>
      </c>
      <c r="AW119" s="155">
        <f ca="1">IF(ISNUMBER(MATCH(DATEVALUE($A119),'recurring1_based on steps'!AW$1:AW$400,0)),AW$2,)</f>
        <v>0</v>
      </c>
      <c r="AX119" s="155">
        <f ca="1">IF(ISNUMBER(MATCH(DATEVALUE($A119),'recurring1_based on steps'!AX$1:AX$400,0)),AX$2,)</f>
        <v>0</v>
      </c>
      <c r="AY119" s="155">
        <f ca="1">IF(ISNUMBER(MATCH(DATEVALUE($A119),'recurring1_based on steps'!AY$1:AY$400,0)),AY$2,)</f>
        <v>0</v>
      </c>
    </row>
    <row r="120" spans="1:51" x14ac:dyDescent="0.2">
      <c r="A120" s="18" t="str">
        <f t="shared" ca="1" si="1"/>
        <v>2025-05-29</v>
      </c>
      <c r="B120" s="155">
        <f ca="1">IF(ISNUMBER(MATCH(DATEVALUE($A120),'recurring1_based on steps'!B$1:B$400,0)),B$2,)</f>
        <v>0</v>
      </c>
      <c r="C120" s="155">
        <f ca="1">IF(ISNUMBER(MATCH(DATEVALUE($A120),'recurring1_based on steps'!C$1:C$400,0)),C$2,)</f>
        <v>0</v>
      </c>
      <c r="D120" s="155">
        <f ca="1">IF(ISNUMBER(MATCH(DATEVALUE($A120),'recurring1_based on steps'!D$1:D$400,0)),D$2,)</f>
        <v>0</v>
      </c>
      <c r="E120" s="155">
        <f ca="1">IF(ISNUMBER(MATCH(DATEVALUE($A120),'recurring1_based on steps'!E$1:E$400,0)),E$2,)</f>
        <v>0</v>
      </c>
      <c r="F120" s="155">
        <f ca="1">IF(ISNUMBER(MATCH(DATEVALUE($A120),'recurring1_based on steps'!F$1:F$400,0)),F$2,)</f>
        <v>0</v>
      </c>
      <c r="G120" s="155">
        <f ca="1">IF(ISNUMBER(MATCH(DATEVALUE($A120),'recurring1_based on steps'!G$1:G$400,0)),G$2,)</f>
        <v>0</v>
      </c>
      <c r="H120" s="155">
        <f ca="1">IF(ISNUMBER(MATCH(DATEVALUE($A120),'recurring1_based on steps'!H$1:H$400,0)),H$2,)</f>
        <v>0</v>
      </c>
      <c r="I120" s="155">
        <f ca="1">IF(ISNUMBER(MATCH(DATEVALUE($A120),'recurring1_based on steps'!I$1:I$400,0)),I$2,)</f>
        <v>0</v>
      </c>
      <c r="J120" s="155">
        <f ca="1">IF(ISNUMBER(MATCH(DATEVALUE($A120),'recurring1_based on steps'!J$1:J$400,0)),J$2,)</f>
        <v>0</v>
      </c>
      <c r="K120" s="155">
        <f ca="1">IF(ISNUMBER(MATCH(DATEVALUE($A120),'recurring1_based on steps'!K$1:K$400,0)),K$2,)</f>
        <v>0</v>
      </c>
      <c r="L120" s="155">
        <f ca="1">IF(ISNUMBER(MATCH(DATEVALUE($A120),'recurring1_based on steps'!L$1:L$400,0)),L$2,)</f>
        <v>0</v>
      </c>
      <c r="M120" s="155">
        <f ca="1">IF(ISNUMBER(MATCH(DATEVALUE($A120),'recurring1_based on steps'!M$1:M$400,0)),M$2,)</f>
        <v>0</v>
      </c>
      <c r="N120" s="155">
        <f ca="1">IF(ISNUMBER(MATCH(DATEVALUE($A120),'recurring1_based on steps'!N$1:N$400,0)),N$2,)</f>
        <v>0</v>
      </c>
      <c r="O120" s="155">
        <f ca="1">IF(ISNUMBER(MATCH(DATEVALUE($A120),'recurring1_based on steps'!O$1:O$400,0)),O$2,)</f>
        <v>0</v>
      </c>
      <c r="P120" s="155">
        <f ca="1">IF(ISNUMBER(MATCH(DATEVALUE($A120),'recurring1_based on steps'!P$1:P$400,0)),P$2,)</f>
        <v>0</v>
      </c>
      <c r="Q120" s="155">
        <f ca="1">IF(ISNUMBER(MATCH(DATEVALUE($A120),'recurring1_based on steps'!Q$1:Q$400,0)),Q$2,)</f>
        <v>0</v>
      </c>
      <c r="R120" s="155">
        <f ca="1">IF(ISNUMBER(MATCH(DATEVALUE($A120),'recurring1_based on steps'!R$1:R$400,0)),R$2,)</f>
        <v>0</v>
      </c>
      <c r="S120" s="155">
        <f ca="1">IF(ISNUMBER(MATCH(DATEVALUE($A120),'recurring1_based on steps'!S$1:S$400,0)),S$2,)</f>
        <v>0</v>
      </c>
      <c r="T120" s="155">
        <f ca="1">IF(ISNUMBER(MATCH(DATEVALUE($A120),'recurring1_based on steps'!T$1:T$400,0)),T$2,)</f>
        <v>0</v>
      </c>
      <c r="U120" s="155">
        <f ca="1">IF(ISNUMBER(MATCH(DATEVALUE($A120),'recurring1_based on steps'!U$1:U$400,0)),U$2,)</f>
        <v>0</v>
      </c>
      <c r="V120" s="155">
        <f ca="1">IF(ISNUMBER(MATCH(DATEVALUE($A120),'recurring1_based on steps'!V$1:V$400,0)),V$2,)</f>
        <v>0</v>
      </c>
      <c r="W120" s="155">
        <f ca="1">IF(ISNUMBER(MATCH(DATEVALUE($A120),'recurring1_based on steps'!W$1:W$400,0)),W$2,)</f>
        <v>0</v>
      </c>
      <c r="X120" s="155">
        <f ca="1">IF(ISNUMBER(MATCH(DATEVALUE($A120),'recurring1_based on steps'!X$1:X$400,0)),X$2,)</f>
        <v>0</v>
      </c>
      <c r="Y120" s="155">
        <f ca="1">IF(ISNUMBER(MATCH(DATEVALUE($A120),'recurring1_based on steps'!Y$1:Y$400,0)),Y$2,)</f>
        <v>0</v>
      </c>
      <c r="Z120" s="155">
        <f ca="1">IF(ISNUMBER(MATCH(DATEVALUE($A120),'recurring1_based on steps'!Z$1:Z$400,0)),Z$2,)</f>
        <v>0</v>
      </c>
      <c r="AA120" s="155">
        <f ca="1">IF(ISNUMBER(MATCH(DATEVALUE($A120),'recurring1_based on steps'!AA$1:AA$400,0)),AA$2,)</f>
        <v>0</v>
      </c>
      <c r="AB120" s="155">
        <f ca="1">IF(ISNUMBER(MATCH(DATEVALUE($A120),'recurring1_based on steps'!AB$1:AB$400,0)),AB$2,)</f>
        <v>0</v>
      </c>
      <c r="AC120" s="155">
        <f ca="1">IF(ISNUMBER(MATCH(DATEVALUE($A120),'recurring1_based on steps'!AC$1:AC$400,0)),AC$2,)</f>
        <v>0</v>
      </c>
      <c r="AD120" s="155">
        <f ca="1">IF(ISNUMBER(MATCH(DATEVALUE($A120),'recurring1_based on steps'!AD$1:AD$400,0)),AD$2,)</f>
        <v>0</v>
      </c>
      <c r="AE120" s="155">
        <f ca="1">IF(ISNUMBER(MATCH(DATEVALUE($A120),'recurring1_based on steps'!AE$1:AE$400,0)),AE$2,)</f>
        <v>0</v>
      </c>
      <c r="AF120" s="155">
        <f ca="1">IF(ISNUMBER(MATCH(DATEVALUE($A120),'recurring1_based on steps'!AF$1:AF$400,0)),AF$2,)</f>
        <v>0</v>
      </c>
      <c r="AG120" s="155">
        <f ca="1">IF(ISNUMBER(MATCH(DATEVALUE($A120),'recurring1_based on steps'!AG$1:AG$400,0)),AG$2,)</f>
        <v>0</v>
      </c>
      <c r="AH120" s="155">
        <f ca="1">IF(ISNUMBER(MATCH(DATEVALUE($A120),'recurring1_based on steps'!AH$1:AH$400,0)),AH$2,)</f>
        <v>0</v>
      </c>
      <c r="AI120" s="155">
        <f ca="1">IF(ISNUMBER(MATCH(DATEVALUE($A120),'recurring1_based on steps'!AI$1:AI$400,0)),AI$2,)</f>
        <v>0</v>
      </c>
      <c r="AJ120" s="155">
        <f ca="1">IF(ISNUMBER(MATCH(DATEVALUE($A120),'recurring1_based on steps'!AJ$1:AJ$400,0)),AJ$2,)</f>
        <v>0</v>
      </c>
      <c r="AK120" s="155">
        <f ca="1">IF(ISNUMBER(MATCH(DATEVALUE($A120),'recurring1_based on steps'!AK$1:AK$400,0)),AK$2,)</f>
        <v>0</v>
      </c>
      <c r="AL120" s="155">
        <f ca="1">IF(ISNUMBER(MATCH(DATEVALUE($A120),'recurring1_based on steps'!AL$1:AL$400,0)),AL$2,)</f>
        <v>0</v>
      </c>
      <c r="AM120" s="155">
        <f ca="1">IF(ISNUMBER(MATCH(DATEVALUE($A120),'recurring1_based on steps'!AM$1:AM$400,0)),AM$2,)</f>
        <v>0</v>
      </c>
      <c r="AN120" s="155">
        <f ca="1">IF(ISNUMBER(MATCH(DATEVALUE($A120),'recurring1_based on steps'!AN$1:AN$400,0)),AN$2,)</f>
        <v>0</v>
      </c>
      <c r="AO120" s="155">
        <f ca="1">IF(ISNUMBER(MATCH(DATEVALUE($A120),'recurring1_based on steps'!AO$1:AO$400,0)),AO$2,)</f>
        <v>0</v>
      </c>
      <c r="AP120" s="155">
        <f ca="1">IF(ISNUMBER(MATCH(DATEVALUE($A120),'recurring1_based on steps'!AP$1:AP$400,0)),AP$2,)</f>
        <v>0</v>
      </c>
      <c r="AQ120" s="155">
        <f ca="1">IF(ISNUMBER(MATCH(DATEVALUE($A120),'recurring1_based on steps'!AQ$1:AQ$400,0)),AQ$2,)</f>
        <v>0</v>
      </c>
      <c r="AR120" s="155">
        <f ca="1">IF(ISNUMBER(MATCH(DATEVALUE($A120),'recurring1_based on steps'!AR$1:AR$400,0)),AR$2,)</f>
        <v>0</v>
      </c>
      <c r="AS120" s="155">
        <f ca="1">IF(ISNUMBER(MATCH(DATEVALUE($A120),'recurring1_based on steps'!AS$1:AS$400,0)),AS$2,)</f>
        <v>0</v>
      </c>
      <c r="AT120" s="155">
        <f ca="1">IF(ISNUMBER(MATCH(DATEVALUE($A120),'recurring1_based on steps'!AT$1:AT$400,0)),AT$2,)</f>
        <v>0</v>
      </c>
      <c r="AU120" s="155">
        <f ca="1">IF(ISNUMBER(MATCH(DATEVALUE($A120),'recurring1_based on steps'!AU$1:AU$400,0)),AU$2,)</f>
        <v>0</v>
      </c>
      <c r="AV120" s="155">
        <f ca="1">IF(ISNUMBER(MATCH(DATEVALUE($A120),'recurring1_based on steps'!AV$1:AV$400,0)),AV$2,)</f>
        <v>0</v>
      </c>
      <c r="AW120" s="155">
        <f ca="1">IF(ISNUMBER(MATCH(DATEVALUE($A120),'recurring1_based on steps'!AW$1:AW$400,0)),AW$2,)</f>
        <v>0</v>
      </c>
      <c r="AX120" s="155">
        <f ca="1">IF(ISNUMBER(MATCH(DATEVALUE($A120),'recurring1_based on steps'!AX$1:AX$400,0)),AX$2,)</f>
        <v>0</v>
      </c>
      <c r="AY120" s="155">
        <f ca="1">IF(ISNUMBER(MATCH(DATEVALUE($A120),'recurring1_based on steps'!AY$1:AY$400,0)),AY$2,)</f>
        <v>0</v>
      </c>
    </row>
    <row r="121" spans="1:51" x14ac:dyDescent="0.2">
      <c r="A121" s="18" t="str">
        <f t="shared" ca="1" si="1"/>
        <v>2025-05-30</v>
      </c>
      <c r="B121" s="155">
        <f ca="1">IF(ISNUMBER(MATCH(DATEVALUE($A121),'recurring1_based on steps'!B$1:B$400,0)),B$2,)</f>
        <v>4000</v>
      </c>
      <c r="C121" s="155">
        <f ca="1">IF(ISNUMBER(MATCH(DATEVALUE($A121),'recurring1_based on steps'!C$1:C$400,0)),C$2,)</f>
        <v>200</v>
      </c>
      <c r="D121" s="155">
        <f ca="1">IF(ISNUMBER(MATCH(DATEVALUE($A121),'recurring1_based on steps'!D$1:D$400,0)),D$2,)</f>
        <v>2</v>
      </c>
      <c r="E121" s="155">
        <f ca="1">IF(ISNUMBER(MATCH(DATEVALUE($A121),'recurring1_based on steps'!E$1:E$400,0)),E$2,)</f>
        <v>40</v>
      </c>
      <c r="F121" s="155">
        <f ca="1">IF(ISNUMBER(MATCH(DATEVALUE($A121),'recurring1_based on steps'!F$1:F$400,0)),F$2,)</f>
        <v>50</v>
      </c>
      <c r="G121" s="155">
        <f ca="1">IF(ISNUMBER(MATCH(DATEVALUE($A121),'recurring1_based on steps'!G$1:G$400,0)),G$2,)</f>
        <v>4</v>
      </c>
      <c r="H121" s="155">
        <f ca="1">IF(ISNUMBER(MATCH(DATEVALUE($A121),'recurring1_based on steps'!H$1:H$400,0)),H$2,)</f>
        <v>0</v>
      </c>
      <c r="I121" s="155">
        <f ca="1">IF(ISNUMBER(MATCH(DATEVALUE($A121),'recurring1_based on steps'!I$1:I$400,0)),I$2,)</f>
        <v>0</v>
      </c>
      <c r="J121" s="155">
        <f ca="1">IF(ISNUMBER(MATCH(DATEVALUE($A121),'recurring1_based on steps'!J$1:J$400,0)),J$2,)</f>
        <v>0</v>
      </c>
      <c r="K121" s="155">
        <f ca="1">IF(ISNUMBER(MATCH(DATEVALUE($A121),'recurring1_based on steps'!K$1:K$400,0)),K$2,)</f>
        <v>0</v>
      </c>
      <c r="L121" s="155">
        <f ca="1">IF(ISNUMBER(MATCH(DATEVALUE($A121),'recurring1_based on steps'!L$1:L$400,0)),L$2,)</f>
        <v>0</v>
      </c>
      <c r="M121" s="155">
        <f ca="1">IF(ISNUMBER(MATCH(DATEVALUE($A121),'recurring1_based on steps'!M$1:M$400,0)),M$2,)</f>
        <v>0</v>
      </c>
      <c r="N121" s="155">
        <f ca="1">IF(ISNUMBER(MATCH(DATEVALUE($A121),'recurring1_based on steps'!N$1:N$400,0)),N$2,)</f>
        <v>0</v>
      </c>
      <c r="O121" s="155">
        <f ca="1">IF(ISNUMBER(MATCH(DATEVALUE($A121),'recurring1_based on steps'!O$1:O$400,0)),O$2,)</f>
        <v>0</v>
      </c>
      <c r="P121" s="155">
        <f ca="1">IF(ISNUMBER(MATCH(DATEVALUE($A121),'recurring1_based on steps'!P$1:P$400,0)),P$2,)</f>
        <v>0</v>
      </c>
      <c r="Q121" s="155">
        <f ca="1">IF(ISNUMBER(MATCH(DATEVALUE($A121),'recurring1_based on steps'!Q$1:Q$400,0)),Q$2,)</f>
        <v>0</v>
      </c>
      <c r="R121" s="155">
        <f ca="1">IF(ISNUMBER(MATCH(DATEVALUE($A121),'recurring1_based on steps'!R$1:R$400,0)),R$2,)</f>
        <v>0</v>
      </c>
      <c r="S121" s="155">
        <f ca="1">IF(ISNUMBER(MATCH(DATEVALUE($A121),'recurring1_based on steps'!S$1:S$400,0)),S$2,)</f>
        <v>0</v>
      </c>
      <c r="T121" s="155">
        <f ca="1">IF(ISNUMBER(MATCH(DATEVALUE($A121),'recurring1_based on steps'!T$1:T$400,0)),T$2,)</f>
        <v>0</v>
      </c>
      <c r="U121" s="155">
        <f ca="1">IF(ISNUMBER(MATCH(DATEVALUE($A121),'recurring1_based on steps'!U$1:U$400,0)),U$2,)</f>
        <v>0</v>
      </c>
      <c r="V121" s="155">
        <f ca="1">IF(ISNUMBER(MATCH(DATEVALUE($A121),'recurring1_based on steps'!V$1:V$400,0)),V$2,)</f>
        <v>0</v>
      </c>
      <c r="W121" s="155">
        <f ca="1">IF(ISNUMBER(MATCH(DATEVALUE($A121),'recurring1_based on steps'!W$1:W$400,0)),W$2,)</f>
        <v>0</v>
      </c>
      <c r="X121" s="155">
        <f ca="1">IF(ISNUMBER(MATCH(DATEVALUE($A121),'recurring1_based on steps'!X$1:X$400,0)),X$2,)</f>
        <v>50</v>
      </c>
      <c r="Y121" s="155">
        <f ca="1">IF(ISNUMBER(MATCH(DATEVALUE($A121),'recurring1_based on steps'!Y$1:Y$400,0)),Y$2,)</f>
        <v>0</v>
      </c>
      <c r="Z121" s="155">
        <f ca="1">IF(ISNUMBER(MATCH(DATEVALUE($A121),'recurring1_based on steps'!Z$1:Z$400,0)),Z$2,)</f>
        <v>0</v>
      </c>
      <c r="AA121" s="155">
        <f ca="1">IF(ISNUMBER(MATCH(DATEVALUE($A121),'recurring1_based on steps'!AA$1:AA$400,0)),AA$2,)</f>
        <v>0</v>
      </c>
      <c r="AB121" s="155">
        <f ca="1">IF(ISNUMBER(MATCH(DATEVALUE($A121),'recurring1_based on steps'!AB$1:AB$400,0)),AB$2,)</f>
        <v>0</v>
      </c>
      <c r="AC121" s="155">
        <f ca="1">IF(ISNUMBER(MATCH(DATEVALUE($A121),'recurring1_based on steps'!AC$1:AC$400,0)),AC$2,)</f>
        <v>0</v>
      </c>
      <c r="AD121" s="155">
        <f ca="1">IF(ISNUMBER(MATCH(DATEVALUE($A121),'recurring1_based on steps'!AD$1:AD$400,0)),AD$2,)</f>
        <v>0</v>
      </c>
      <c r="AE121" s="155">
        <f ca="1">IF(ISNUMBER(MATCH(DATEVALUE($A121),'recurring1_based on steps'!AE$1:AE$400,0)),AE$2,)</f>
        <v>0</v>
      </c>
      <c r="AF121" s="155">
        <f ca="1">IF(ISNUMBER(MATCH(DATEVALUE($A121),'recurring1_based on steps'!AF$1:AF$400,0)),AF$2,)</f>
        <v>0</v>
      </c>
      <c r="AG121" s="155">
        <f ca="1">IF(ISNUMBER(MATCH(DATEVALUE($A121),'recurring1_based on steps'!AG$1:AG$400,0)),AG$2,)</f>
        <v>0</v>
      </c>
      <c r="AH121" s="155">
        <f ca="1">IF(ISNUMBER(MATCH(DATEVALUE($A121),'recurring1_based on steps'!AH$1:AH$400,0)),AH$2,)</f>
        <v>0</v>
      </c>
      <c r="AI121" s="155">
        <f ca="1">IF(ISNUMBER(MATCH(DATEVALUE($A121),'recurring1_based on steps'!AI$1:AI$400,0)),AI$2,)</f>
        <v>0</v>
      </c>
      <c r="AJ121" s="155">
        <f ca="1">IF(ISNUMBER(MATCH(DATEVALUE($A121),'recurring1_based on steps'!AJ$1:AJ$400,0)),AJ$2,)</f>
        <v>0</v>
      </c>
      <c r="AK121" s="155">
        <f ca="1">IF(ISNUMBER(MATCH(DATEVALUE($A121),'recurring1_based on steps'!AK$1:AK$400,0)),AK$2,)</f>
        <v>0</v>
      </c>
      <c r="AL121" s="155">
        <f ca="1">IF(ISNUMBER(MATCH(DATEVALUE($A121),'recurring1_based on steps'!AL$1:AL$400,0)),AL$2,)</f>
        <v>0</v>
      </c>
      <c r="AM121" s="155">
        <f ca="1">IF(ISNUMBER(MATCH(DATEVALUE($A121),'recurring1_based on steps'!AM$1:AM$400,0)),AM$2,)</f>
        <v>0</v>
      </c>
      <c r="AN121" s="155">
        <f ca="1">IF(ISNUMBER(MATCH(DATEVALUE($A121),'recurring1_based on steps'!AN$1:AN$400,0)),AN$2,)</f>
        <v>0</v>
      </c>
      <c r="AO121" s="155">
        <f ca="1">IF(ISNUMBER(MATCH(DATEVALUE($A121),'recurring1_based on steps'!AO$1:AO$400,0)),AO$2,)</f>
        <v>0</v>
      </c>
      <c r="AP121" s="155">
        <f ca="1">IF(ISNUMBER(MATCH(DATEVALUE($A121),'recurring1_based on steps'!AP$1:AP$400,0)),AP$2,)</f>
        <v>0</v>
      </c>
      <c r="AQ121" s="155">
        <f ca="1">IF(ISNUMBER(MATCH(DATEVALUE($A121),'recurring1_based on steps'!AQ$1:AQ$400,0)),AQ$2,)</f>
        <v>0</v>
      </c>
      <c r="AR121" s="155">
        <f ca="1">IF(ISNUMBER(MATCH(DATEVALUE($A121),'recurring1_based on steps'!AR$1:AR$400,0)),AR$2,)</f>
        <v>0</v>
      </c>
      <c r="AS121" s="155">
        <f ca="1">IF(ISNUMBER(MATCH(DATEVALUE($A121),'recurring1_based on steps'!AS$1:AS$400,0)),AS$2,)</f>
        <v>0</v>
      </c>
      <c r="AT121" s="155">
        <f ca="1">IF(ISNUMBER(MATCH(DATEVALUE($A121),'recurring1_based on steps'!AT$1:AT$400,0)),AT$2,)</f>
        <v>0</v>
      </c>
      <c r="AU121" s="155">
        <f ca="1">IF(ISNUMBER(MATCH(DATEVALUE($A121),'recurring1_based on steps'!AU$1:AU$400,0)),AU$2,)</f>
        <v>0</v>
      </c>
      <c r="AV121" s="155">
        <f ca="1">IF(ISNUMBER(MATCH(DATEVALUE($A121),'recurring1_based on steps'!AV$1:AV$400,0)),AV$2,)</f>
        <v>0</v>
      </c>
      <c r="AW121" s="155">
        <f ca="1">IF(ISNUMBER(MATCH(DATEVALUE($A121),'recurring1_based on steps'!AW$1:AW$400,0)),AW$2,)</f>
        <v>0</v>
      </c>
      <c r="AX121" s="155">
        <f ca="1">IF(ISNUMBER(MATCH(DATEVALUE($A121),'recurring1_based on steps'!AX$1:AX$400,0)),AX$2,)</f>
        <v>0</v>
      </c>
      <c r="AY121" s="155">
        <f ca="1">IF(ISNUMBER(MATCH(DATEVALUE($A121),'recurring1_based on steps'!AY$1:AY$400,0)),AY$2,)</f>
        <v>0</v>
      </c>
    </row>
    <row r="122" spans="1:51" x14ac:dyDescent="0.2">
      <c r="A122" s="18" t="str">
        <f t="shared" ca="1" si="1"/>
        <v>2025-05-31</v>
      </c>
      <c r="B122" s="155">
        <f ca="1">IF(ISNUMBER(MATCH(DATEVALUE($A122),'recurring1_based on steps'!B$1:B$400,0)),B$2,)</f>
        <v>0</v>
      </c>
      <c r="C122" s="155">
        <f ca="1">IF(ISNUMBER(MATCH(DATEVALUE($A122),'recurring1_based on steps'!C$1:C$400,0)),C$2,)</f>
        <v>0</v>
      </c>
      <c r="D122" s="155">
        <f ca="1">IF(ISNUMBER(MATCH(DATEVALUE($A122),'recurring1_based on steps'!D$1:D$400,0)),D$2,)</f>
        <v>0</v>
      </c>
      <c r="E122" s="155">
        <f ca="1">IF(ISNUMBER(MATCH(DATEVALUE($A122),'recurring1_based on steps'!E$1:E$400,0)),E$2,)</f>
        <v>0</v>
      </c>
      <c r="F122" s="155">
        <f ca="1">IF(ISNUMBER(MATCH(DATEVALUE($A122),'recurring1_based on steps'!F$1:F$400,0)),F$2,)</f>
        <v>0</v>
      </c>
      <c r="G122" s="155">
        <f ca="1">IF(ISNUMBER(MATCH(DATEVALUE($A122),'recurring1_based on steps'!G$1:G$400,0)),G$2,)</f>
        <v>0</v>
      </c>
      <c r="H122" s="155">
        <f ca="1">IF(ISNUMBER(MATCH(DATEVALUE($A122),'recurring1_based on steps'!H$1:H$400,0)),H$2,)</f>
        <v>0</v>
      </c>
      <c r="I122" s="155">
        <f ca="1">IF(ISNUMBER(MATCH(DATEVALUE($A122),'recurring1_based on steps'!I$1:I$400,0)),I$2,)</f>
        <v>0</v>
      </c>
      <c r="J122" s="155">
        <f ca="1">IF(ISNUMBER(MATCH(DATEVALUE($A122),'recurring1_based on steps'!J$1:J$400,0)),J$2,)</f>
        <v>0</v>
      </c>
      <c r="K122" s="155">
        <f ca="1">IF(ISNUMBER(MATCH(DATEVALUE($A122),'recurring1_based on steps'!K$1:K$400,0)),K$2,)</f>
        <v>0</v>
      </c>
      <c r="L122" s="155">
        <f ca="1">IF(ISNUMBER(MATCH(DATEVALUE($A122),'recurring1_based on steps'!L$1:L$400,0)),L$2,)</f>
        <v>0</v>
      </c>
      <c r="M122" s="155">
        <f ca="1">IF(ISNUMBER(MATCH(DATEVALUE($A122),'recurring1_based on steps'!M$1:M$400,0)),M$2,)</f>
        <v>0</v>
      </c>
      <c r="N122" s="155">
        <f ca="1">IF(ISNUMBER(MATCH(DATEVALUE($A122),'recurring1_based on steps'!N$1:N$400,0)),N$2,)</f>
        <v>0</v>
      </c>
      <c r="O122" s="155">
        <f ca="1">IF(ISNUMBER(MATCH(DATEVALUE($A122),'recurring1_based on steps'!O$1:O$400,0)),O$2,)</f>
        <v>0</v>
      </c>
      <c r="P122" s="155">
        <f ca="1">IF(ISNUMBER(MATCH(DATEVALUE($A122),'recurring1_based on steps'!P$1:P$400,0)),P$2,)</f>
        <v>0</v>
      </c>
      <c r="Q122" s="155">
        <f ca="1">IF(ISNUMBER(MATCH(DATEVALUE($A122),'recurring1_based on steps'!Q$1:Q$400,0)),Q$2,)</f>
        <v>100</v>
      </c>
      <c r="R122" s="155">
        <f ca="1">IF(ISNUMBER(MATCH(DATEVALUE($A122),'recurring1_based on steps'!R$1:R$400,0)),R$2,)</f>
        <v>100</v>
      </c>
      <c r="S122" s="155">
        <f ca="1">IF(ISNUMBER(MATCH(DATEVALUE($A122),'recurring1_based on steps'!S$1:S$400,0)),S$2,)</f>
        <v>0</v>
      </c>
      <c r="T122" s="155">
        <f ca="1">IF(ISNUMBER(MATCH(DATEVALUE($A122),'recurring1_based on steps'!T$1:T$400,0)),T$2,)</f>
        <v>0</v>
      </c>
      <c r="U122" s="155">
        <f ca="1">IF(ISNUMBER(MATCH(DATEVALUE($A122),'recurring1_based on steps'!U$1:U$400,0)),U$2,)</f>
        <v>0</v>
      </c>
      <c r="V122" s="155">
        <f ca="1">IF(ISNUMBER(MATCH(DATEVALUE($A122),'recurring1_based on steps'!V$1:V$400,0)),V$2,)</f>
        <v>0</v>
      </c>
      <c r="W122" s="155">
        <f ca="1">IF(ISNUMBER(MATCH(DATEVALUE($A122),'recurring1_based on steps'!W$1:W$400,0)),W$2,)</f>
        <v>0</v>
      </c>
      <c r="X122" s="155">
        <f ca="1">IF(ISNUMBER(MATCH(DATEVALUE($A122),'recurring1_based on steps'!X$1:X$400,0)),X$2,)</f>
        <v>0</v>
      </c>
      <c r="Y122" s="155">
        <f ca="1">IF(ISNUMBER(MATCH(DATEVALUE($A122),'recurring1_based on steps'!Y$1:Y$400,0)),Y$2,)</f>
        <v>0</v>
      </c>
      <c r="Z122" s="155">
        <f ca="1">IF(ISNUMBER(MATCH(DATEVALUE($A122),'recurring1_based on steps'!Z$1:Z$400,0)),Z$2,)</f>
        <v>0</v>
      </c>
      <c r="AA122" s="155">
        <f ca="1">IF(ISNUMBER(MATCH(DATEVALUE($A122),'recurring1_based on steps'!AA$1:AA$400,0)),AA$2,)</f>
        <v>0</v>
      </c>
      <c r="AB122" s="155">
        <f ca="1">IF(ISNUMBER(MATCH(DATEVALUE($A122),'recurring1_based on steps'!AB$1:AB$400,0)),AB$2,)</f>
        <v>0</v>
      </c>
      <c r="AC122" s="155">
        <f ca="1">IF(ISNUMBER(MATCH(DATEVALUE($A122),'recurring1_based on steps'!AC$1:AC$400,0)),AC$2,)</f>
        <v>0</v>
      </c>
      <c r="AD122" s="155">
        <f ca="1">IF(ISNUMBER(MATCH(DATEVALUE($A122),'recurring1_based on steps'!AD$1:AD$400,0)),AD$2,)</f>
        <v>0</v>
      </c>
      <c r="AE122" s="155">
        <f ca="1">IF(ISNUMBER(MATCH(DATEVALUE($A122),'recurring1_based on steps'!AE$1:AE$400,0)),AE$2,)</f>
        <v>0</v>
      </c>
      <c r="AF122" s="155">
        <f ca="1">IF(ISNUMBER(MATCH(DATEVALUE($A122),'recurring1_based on steps'!AF$1:AF$400,0)),AF$2,)</f>
        <v>0</v>
      </c>
      <c r="AG122" s="155">
        <f ca="1">IF(ISNUMBER(MATCH(DATEVALUE($A122),'recurring1_based on steps'!AG$1:AG$400,0)),AG$2,)</f>
        <v>0</v>
      </c>
      <c r="AH122" s="155">
        <f ca="1">IF(ISNUMBER(MATCH(DATEVALUE($A122),'recurring1_based on steps'!AH$1:AH$400,0)),AH$2,)</f>
        <v>0</v>
      </c>
      <c r="AI122" s="155">
        <f ca="1">IF(ISNUMBER(MATCH(DATEVALUE($A122),'recurring1_based on steps'!AI$1:AI$400,0)),AI$2,)</f>
        <v>0</v>
      </c>
      <c r="AJ122" s="155">
        <f ca="1">IF(ISNUMBER(MATCH(DATEVALUE($A122),'recurring1_based on steps'!AJ$1:AJ$400,0)),AJ$2,)</f>
        <v>0</v>
      </c>
      <c r="AK122" s="155">
        <f ca="1">IF(ISNUMBER(MATCH(DATEVALUE($A122),'recurring1_based on steps'!AK$1:AK$400,0)),AK$2,)</f>
        <v>0</v>
      </c>
      <c r="AL122" s="155">
        <f ca="1">IF(ISNUMBER(MATCH(DATEVALUE($A122),'recurring1_based on steps'!AL$1:AL$400,0)),AL$2,)</f>
        <v>0</v>
      </c>
      <c r="AM122" s="155">
        <f ca="1">IF(ISNUMBER(MATCH(DATEVALUE($A122),'recurring1_based on steps'!AM$1:AM$400,0)),AM$2,)</f>
        <v>0</v>
      </c>
      <c r="AN122" s="155">
        <f ca="1">IF(ISNUMBER(MATCH(DATEVALUE($A122),'recurring1_based on steps'!AN$1:AN$400,0)),AN$2,)</f>
        <v>0</v>
      </c>
      <c r="AO122" s="155">
        <f ca="1">IF(ISNUMBER(MATCH(DATEVALUE($A122),'recurring1_based on steps'!AO$1:AO$400,0)),AO$2,)</f>
        <v>0</v>
      </c>
      <c r="AP122" s="155">
        <f ca="1">IF(ISNUMBER(MATCH(DATEVALUE($A122),'recurring1_based on steps'!AP$1:AP$400,0)),AP$2,)</f>
        <v>0</v>
      </c>
      <c r="AQ122" s="155">
        <f ca="1">IF(ISNUMBER(MATCH(DATEVALUE($A122),'recurring1_based on steps'!AQ$1:AQ$400,0)),AQ$2,)</f>
        <v>0</v>
      </c>
      <c r="AR122" s="155">
        <f ca="1">IF(ISNUMBER(MATCH(DATEVALUE($A122),'recurring1_based on steps'!AR$1:AR$400,0)),AR$2,)</f>
        <v>0</v>
      </c>
      <c r="AS122" s="155">
        <f ca="1">IF(ISNUMBER(MATCH(DATEVALUE($A122),'recurring1_based on steps'!AS$1:AS$400,0)),AS$2,)</f>
        <v>0</v>
      </c>
      <c r="AT122" s="155">
        <f ca="1">IF(ISNUMBER(MATCH(DATEVALUE($A122),'recurring1_based on steps'!AT$1:AT$400,0)),AT$2,)</f>
        <v>0</v>
      </c>
      <c r="AU122" s="155">
        <f ca="1">IF(ISNUMBER(MATCH(DATEVALUE($A122),'recurring1_based on steps'!AU$1:AU$400,0)),AU$2,)</f>
        <v>0</v>
      </c>
      <c r="AV122" s="155">
        <f ca="1">IF(ISNUMBER(MATCH(DATEVALUE($A122),'recurring1_based on steps'!AV$1:AV$400,0)),AV$2,)</f>
        <v>0</v>
      </c>
      <c r="AW122" s="155">
        <f ca="1">IF(ISNUMBER(MATCH(DATEVALUE($A122),'recurring1_based on steps'!AW$1:AW$400,0)),AW$2,)</f>
        <v>0</v>
      </c>
      <c r="AX122" s="155">
        <f ca="1">IF(ISNUMBER(MATCH(DATEVALUE($A122),'recurring1_based on steps'!AX$1:AX$400,0)),AX$2,)</f>
        <v>0</v>
      </c>
      <c r="AY122" s="155">
        <f ca="1">IF(ISNUMBER(MATCH(DATEVALUE($A122),'recurring1_based on steps'!AY$1:AY$400,0)),AY$2,)</f>
        <v>0</v>
      </c>
    </row>
    <row r="123" spans="1:51" x14ac:dyDescent="0.2">
      <c r="A123" s="18" t="str">
        <f t="shared" ca="1" si="1"/>
        <v>2025-06-01</v>
      </c>
      <c r="B123" s="155">
        <f ca="1">IF(ISNUMBER(MATCH(DATEVALUE($A123),'recurring1_based on steps'!B$1:B$400,0)),B$2,)</f>
        <v>0</v>
      </c>
      <c r="C123" s="155">
        <f ca="1">IF(ISNUMBER(MATCH(DATEVALUE($A123),'recurring1_based on steps'!C$1:C$400,0)),C$2,)</f>
        <v>0</v>
      </c>
      <c r="D123" s="155">
        <f ca="1">IF(ISNUMBER(MATCH(DATEVALUE($A123),'recurring1_based on steps'!D$1:D$400,0)),D$2,)</f>
        <v>0</v>
      </c>
      <c r="E123" s="155">
        <f ca="1">IF(ISNUMBER(MATCH(DATEVALUE($A123),'recurring1_based on steps'!E$1:E$400,0)),E$2,)</f>
        <v>0</v>
      </c>
      <c r="F123" s="155">
        <f ca="1">IF(ISNUMBER(MATCH(DATEVALUE($A123),'recurring1_based on steps'!F$1:F$400,0)),F$2,)</f>
        <v>0</v>
      </c>
      <c r="G123" s="155">
        <f ca="1">IF(ISNUMBER(MATCH(DATEVALUE($A123),'recurring1_based on steps'!G$1:G$400,0)),G$2,)</f>
        <v>0</v>
      </c>
      <c r="H123" s="155">
        <f ca="1">IF(ISNUMBER(MATCH(DATEVALUE($A123),'recurring1_based on steps'!H$1:H$400,0)),H$2,)</f>
        <v>0</v>
      </c>
      <c r="I123" s="155">
        <f ca="1">IF(ISNUMBER(MATCH(DATEVALUE($A123),'recurring1_based on steps'!I$1:I$400,0)),I$2,)</f>
        <v>2000</v>
      </c>
      <c r="J123" s="155">
        <f ca="1">IF(ISNUMBER(MATCH(DATEVALUE($A123),'recurring1_based on steps'!J$1:J$400,0)),J$2,)</f>
        <v>0</v>
      </c>
      <c r="K123" s="155">
        <f ca="1">IF(ISNUMBER(MATCH(DATEVALUE($A123),'recurring1_based on steps'!K$1:K$400,0)),K$2,)</f>
        <v>50</v>
      </c>
      <c r="L123" s="155">
        <f ca="1">IF(ISNUMBER(MATCH(DATEVALUE($A123),'recurring1_based on steps'!L$1:L$400,0)),L$2,)</f>
        <v>0</v>
      </c>
      <c r="M123" s="155">
        <f ca="1">IF(ISNUMBER(MATCH(DATEVALUE($A123),'recurring1_based on steps'!M$1:M$400,0)),M$2,)</f>
        <v>0</v>
      </c>
      <c r="N123" s="155">
        <f ca="1">IF(ISNUMBER(MATCH(DATEVALUE($A123),'recurring1_based on steps'!N$1:N$400,0)),N$2,)</f>
        <v>0</v>
      </c>
      <c r="O123" s="155">
        <f ca="1">IF(ISNUMBER(MATCH(DATEVALUE($A123),'recurring1_based on steps'!O$1:O$400,0)),O$2,)</f>
        <v>0</v>
      </c>
      <c r="P123" s="155">
        <f ca="1">IF(ISNUMBER(MATCH(DATEVALUE($A123),'recurring1_based on steps'!P$1:P$400,0)),P$2,)</f>
        <v>0</v>
      </c>
      <c r="Q123" s="155">
        <f ca="1">IF(ISNUMBER(MATCH(DATEVALUE($A123),'recurring1_based on steps'!Q$1:Q$400,0)),Q$2,)</f>
        <v>0</v>
      </c>
      <c r="R123" s="155">
        <f ca="1">IF(ISNUMBER(MATCH(DATEVALUE($A123),'recurring1_based on steps'!R$1:R$400,0)),R$2,)</f>
        <v>0</v>
      </c>
      <c r="S123" s="155">
        <f ca="1">IF(ISNUMBER(MATCH(DATEVALUE($A123),'recurring1_based on steps'!S$1:S$400,0)),S$2,)</f>
        <v>100</v>
      </c>
      <c r="T123" s="155">
        <f ca="1">IF(ISNUMBER(MATCH(DATEVALUE($A123),'recurring1_based on steps'!T$1:T$400,0)),T$2,)</f>
        <v>0</v>
      </c>
      <c r="U123" s="155">
        <f ca="1">IF(ISNUMBER(MATCH(DATEVALUE($A123),'recurring1_based on steps'!U$1:U$400,0)),U$2,)</f>
        <v>0</v>
      </c>
      <c r="V123" s="155">
        <f ca="1">IF(ISNUMBER(MATCH(DATEVALUE($A123),'recurring1_based on steps'!V$1:V$400,0)),V$2,)</f>
        <v>0</v>
      </c>
      <c r="W123" s="155">
        <f ca="1">IF(ISNUMBER(MATCH(DATEVALUE($A123),'recurring1_based on steps'!W$1:W$400,0)),W$2,)</f>
        <v>0</v>
      </c>
      <c r="X123" s="155">
        <f ca="1">IF(ISNUMBER(MATCH(DATEVALUE($A123),'recurring1_based on steps'!X$1:X$400,0)),X$2,)</f>
        <v>0</v>
      </c>
      <c r="Y123" s="155">
        <f ca="1">IF(ISNUMBER(MATCH(DATEVALUE($A123),'recurring1_based on steps'!Y$1:Y$400,0)),Y$2,)</f>
        <v>0</v>
      </c>
      <c r="Z123" s="155">
        <f ca="1">IF(ISNUMBER(MATCH(DATEVALUE($A123),'recurring1_based on steps'!Z$1:Z$400,0)),Z$2,)</f>
        <v>0</v>
      </c>
      <c r="AA123" s="155">
        <f ca="1">IF(ISNUMBER(MATCH(DATEVALUE($A123),'recurring1_based on steps'!AA$1:AA$400,0)),AA$2,)</f>
        <v>0</v>
      </c>
      <c r="AB123" s="155">
        <f ca="1">IF(ISNUMBER(MATCH(DATEVALUE($A123),'recurring1_based on steps'!AB$1:AB$400,0)),AB$2,)</f>
        <v>0</v>
      </c>
      <c r="AC123" s="155">
        <f ca="1">IF(ISNUMBER(MATCH(DATEVALUE($A123),'recurring1_based on steps'!AC$1:AC$400,0)),AC$2,)</f>
        <v>0</v>
      </c>
      <c r="AD123" s="155">
        <f ca="1">IF(ISNUMBER(MATCH(DATEVALUE($A123),'recurring1_based on steps'!AD$1:AD$400,0)),AD$2,)</f>
        <v>0</v>
      </c>
      <c r="AE123" s="155">
        <f ca="1">IF(ISNUMBER(MATCH(DATEVALUE($A123),'recurring1_based on steps'!AE$1:AE$400,0)),AE$2,)</f>
        <v>0</v>
      </c>
      <c r="AF123" s="155">
        <f ca="1">IF(ISNUMBER(MATCH(DATEVALUE($A123),'recurring1_based on steps'!AF$1:AF$400,0)),AF$2,)</f>
        <v>0</v>
      </c>
      <c r="AG123" s="155">
        <f ca="1">IF(ISNUMBER(MATCH(DATEVALUE($A123),'recurring1_based on steps'!AG$1:AG$400,0)),AG$2,)</f>
        <v>0</v>
      </c>
      <c r="AH123" s="155">
        <f ca="1">IF(ISNUMBER(MATCH(DATEVALUE($A123),'recurring1_based on steps'!AH$1:AH$400,0)),AH$2,)</f>
        <v>0</v>
      </c>
      <c r="AI123" s="155">
        <f ca="1">IF(ISNUMBER(MATCH(DATEVALUE($A123),'recurring1_based on steps'!AI$1:AI$400,0)),AI$2,)</f>
        <v>0</v>
      </c>
      <c r="AJ123" s="155">
        <f ca="1">IF(ISNUMBER(MATCH(DATEVALUE($A123),'recurring1_based on steps'!AJ$1:AJ$400,0)),AJ$2,)</f>
        <v>0</v>
      </c>
      <c r="AK123" s="155">
        <f ca="1">IF(ISNUMBER(MATCH(DATEVALUE($A123),'recurring1_based on steps'!AK$1:AK$400,0)),AK$2,)</f>
        <v>0</v>
      </c>
      <c r="AL123" s="155">
        <f ca="1">IF(ISNUMBER(MATCH(DATEVALUE($A123),'recurring1_based on steps'!AL$1:AL$400,0)),AL$2,)</f>
        <v>0</v>
      </c>
      <c r="AM123" s="155">
        <f ca="1">IF(ISNUMBER(MATCH(DATEVALUE($A123),'recurring1_based on steps'!AM$1:AM$400,0)),AM$2,)</f>
        <v>0</v>
      </c>
      <c r="AN123" s="155">
        <f ca="1">IF(ISNUMBER(MATCH(DATEVALUE($A123),'recurring1_based on steps'!AN$1:AN$400,0)),AN$2,)</f>
        <v>0</v>
      </c>
      <c r="AO123" s="155">
        <f ca="1">IF(ISNUMBER(MATCH(DATEVALUE($A123),'recurring1_based on steps'!AO$1:AO$400,0)),AO$2,)</f>
        <v>0</v>
      </c>
      <c r="AP123" s="155">
        <f ca="1">IF(ISNUMBER(MATCH(DATEVALUE($A123),'recurring1_based on steps'!AP$1:AP$400,0)),AP$2,)</f>
        <v>0</v>
      </c>
      <c r="AQ123" s="155">
        <f ca="1">IF(ISNUMBER(MATCH(DATEVALUE($A123),'recurring1_based on steps'!AQ$1:AQ$400,0)),AQ$2,)</f>
        <v>0</v>
      </c>
      <c r="AR123" s="155">
        <f ca="1">IF(ISNUMBER(MATCH(DATEVALUE($A123),'recurring1_based on steps'!AR$1:AR$400,0)),AR$2,)</f>
        <v>0</v>
      </c>
      <c r="AS123" s="155">
        <f ca="1">IF(ISNUMBER(MATCH(DATEVALUE($A123),'recurring1_based on steps'!AS$1:AS$400,0)),AS$2,)</f>
        <v>0</v>
      </c>
      <c r="AT123" s="155">
        <f ca="1">IF(ISNUMBER(MATCH(DATEVALUE($A123),'recurring1_based on steps'!AT$1:AT$400,0)),AT$2,)</f>
        <v>0</v>
      </c>
      <c r="AU123" s="155">
        <f ca="1">IF(ISNUMBER(MATCH(DATEVALUE($A123),'recurring1_based on steps'!AU$1:AU$400,0)),AU$2,)</f>
        <v>0</v>
      </c>
      <c r="AV123" s="155">
        <f ca="1">IF(ISNUMBER(MATCH(DATEVALUE($A123),'recurring1_based on steps'!AV$1:AV$400,0)),AV$2,)</f>
        <v>0</v>
      </c>
      <c r="AW123" s="155">
        <f ca="1">IF(ISNUMBER(MATCH(DATEVALUE($A123),'recurring1_based on steps'!AW$1:AW$400,0)),AW$2,)</f>
        <v>0</v>
      </c>
      <c r="AX123" s="155">
        <f ca="1">IF(ISNUMBER(MATCH(DATEVALUE($A123),'recurring1_based on steps'!AX$1:AX$400,0)),AX$2,)</f>
        <v>0</v>
      </c>
      <c r="AY123" s="155">
        <f ca="1">IF(ISNUMBER(MATCH(DATEVALUE($A123),'recurring1_based on steps'!AY$1:AY$400,0)),AY$2,)</f>
        <v>0</v>
      </c>
    </row>
    <row r="124" spans="1:51" x14ac:dyDescent="0.2">
      <c r="A124" s="18" t="str">
        <f t="shared" ca="1" si="1"/>
        <v>2025-06-02</v>
      </c>
      <c r="B124" s="155">
        <f ca="1">IF(ISNUMBER(MATCH(DATEVALUE($A124),'recurring1_based on steps'!B$1:B$400,0)),B$2,)</f>
        <v>0</v>
      </c>
      <c r="C124" s="155">
        <f ca="1">IF(ISNUMBER(MATCH(DATEVALUE($A124),'recurring1_based on steps'!C$1:C$400,0)),C$2,)</f>
        <v>0</v>
      </c>
      <c r="D124" s="155">
        <f ca="1">IF(ISNUMBER(MATCH(DATEVALUE($A124),'recurring1_based on steps'!D$1:D$400,0)),D$2,)</f>
        <v>0</v>
      </c>
      <c r="E124" s="155">
        <f ca="1">IF(ISNUMBER(MATCH(DATEVALUE($A124),'recurring1_based on steps'!E$1:E$400,0)),E$2,)</f>
        <v>0</v>
      </c>
      <c r="F124" s="155">
        <f ca="1">IF(ISNUMBER(MATCH(DATEVALUE($A124),'recurring1_based on steps'!F$1:F$400,0)),F$2,)</f>
        <v>0</v>
      </c>
      <c r="G124" s="155">
        <f ca="1">IF(ISNUMBER(MATCH(DATEVALUE($A124),'recurring1_based on steps'!G$1:G$400,0)),G$2,)</f>
        <v>0</v>
      </c>
      <c r="H124" s="155">
        <f ca="1">IF(ISNUMBER(MATCH(DATEVALUE($A124),'recurring1_based on steps'!H$1:H$400,0)),H$2,)</f>
        <v>0</v>
      </c>
      <c r="I124" s="155">
        <f ca="1">IF(ISNUMBER(MATCH(DATEVALUE($A124),'recurring1_based on steps'!I$1:I$400,0)),I$2,)</f>
        <v>0</v>
      </c>
      <c r="J124" s="155">
        <f ca="1">IF(ISNUMBER(MATCH(DATEVALUE($A124),'recurring1_based on steps'!J$1:J$400,0)),J$2,)</f>
        <v>0</v>
      </c>
      <c r="K124" s="155">
        <f ca="1">IF(ISNUMBER(MATCH(DATEVALUE($A124),'recurring1_based on steps'!K$1:K$400,0)),K$2,)</f>
        <v>0</v>
      </c>
      <c r="L124" s="155">
        <f ca="1">IF(ISNUMBER(MATCH(DATEVALUE($A124),'recurring1_based on steps'!L$1:L$400,0)),L$2,)</f>
        <v>0</v>
      </c>
      <c r="M124" s="155">
        <f ca="1">IF(ISNUMBER(MATCH(DATEVALUE($A124),'recurring1_based on steps'!M$1:M$400,0)),M$2,)</f>
        <v>0</v>
      </c>
      <c r="N124" s="155">
        <f ca="1">IF(ISNUMBER(MATCH(DATEVALUE($A124),'recurring1_based on steps'!N$1:N$400,0)),N$2,)</f>
        <v>0</v>
      </c>
      <c r="O124" s="155">
        <f ca="1">IF(ISNUMBER(MATCH(DATEVALUE($A124),'recurring1_based on steps'!O$1:O$400,0)),O$2,)</f>
        <v>0</v>
      </c>
      <c r="P124" s="155">
        <f ca="1">IF(ISNUMBER(MATCH(DATEVALUE($A124),'recurring1_based on steps'!P$1:P$400,0)),P$2,)</f>
        <v>0</v>
      </c>
      <c r="Q124" s="155">
        <f ca="1">IF(ISNUMBER(MATCH(DATEVALUE($A124),'recurring1_based on steps'!Q$1:Q$400,0)),Q$2,)</f>
        <v>0</v>
      </c>
      <c r="R124" s="155">
        <f ca="1">IF(ISNUMBER(MATCH(DATEVALUE($A124),'recurring1_based on steps'!R$1:R$400,0)),R$2,)</f>
        <v>0</v>
      </c>
      <c r="S124" s="155">
        <f ca="1">IF(ISNUMBER(MATCH(DATEVALUE($A124),'recurring1_based on steps'!S$1:S$400,0)),S$2,)</f>
        <v>0</v>
      </c>
      <c r="T124" s="155">
        <f ca="1">IF(ISNUMBER(MATCH(DATEVALUE($A124),'recurring1_based on steps'!T$1:T$400,0)),T$2,)</f>
        <v>0</v>
      </c>
      <c r="U124" s="155">
        <f ca="1">IF(ISNUMBER(MATCH(DATEVALUE($A124),'recurring1_based on steps'!U$1:U$400,0)),U$2,)</f>
        <v>0</v>
      </c>
      <c r="V124" s="155">
        <f ca="1">IF(ISNUMBER(MATCH(DATEVALUE($A124),'recurring1_based on steps'!V$1:V$400,0)),V$2,)</f>
        <v>0</v>
      </c>
      <c r="W124" s="155">
        <f ca="1">IF(ISNUMBER(MATCH(DATEVALUE($A124),'recurring1_based on steps'!W$1:W$400,0)),W$2,)</f>
        <v>0</v>
      </c>
      <c r="X124" s="155">
        <f ca="1">IF(ISNUMBER(MATCH(DATEVALUE($A124),'recurring1_based on steps'!X$1:X$400,0)),X$2,)</f>
        <v>0</v>
      </c>
      <c r="Y124" s="155">
        <f ca="1">IF(ISNUMBER(MATCH(DATEVALUE($A124),'recurring1_based on steps'!Y$1:Y$400,0)),Y$2,)</f>
        <v>0</v>
      </c>
      <c r="Z124" s="155">
        <f ca="1">IF(ISNUMBER(MATCH(DATEVALUE($A124),'recurring1_based on steps'!Z$1:Z$400,0)),Z$2,)</f>
        <v>0</v>
      </c>
      <c r="AA124" s="155">
        <f ca="1">IF(ISNUMBER(MATCH(DATEVALUE($A124),'recurring1_based on steps'!AA$1:AA$400,0)),AA$2,)</f>
        <v>0</v>
      </c>
      <c r="AB124" s="155">
        <f ca="1">IF(ISNUMBER(MATCH(DATEVALUE($A124),'recurring1_based on steps'!AB$1:AB$400,0)),AB$2,)</f>
        <v>0</v>
      </c>
      <c r="AC124" s="155">
        <f ca="1">IF(ISNUMBER(MATCH(DATEVALUE($A124),'recurring1_based on steps'!AC$1:AC$400,0)),AC$2,)</f>
        <v>0</v>
      </c>
      <c r="AD124" s="155">
        <f ca="1">IF(ISNUMBER(MATCH(DATEVALUE($A124),'recurring1_based on steps'!AD$1:AD$400,0)),AD$2,)</f>
        <v>0</v>
      </c>
      <c r="AE124" s="155">
        <f ca="1">IF(ISNUMBER(MATCH(DATEVALUE($A124),'recurring1_based on steps'!AE$1:AE$400,0)),AE$2,)</f>
        <v>0</v>
      </c>
      <c r="AF124" s="155">
        <f ca="1">IF(ISNUMBER(MATCH(DATEVALUE($A124),'recurring1_based on steps'!AF$1:AF$400,0)),AF$2,)</f>
        <v>0</v>
      </c>
      <c r="AG124" s="155">
        <f ca="1">IF(ISNUMBER(MATCH(DATEVALUE($A124),'recurring1_based on steps'!AG$1:AG$400,0)),AG$2,)</f>
        <v>0</v>
      </c>
      <c r="AH124" s="155">
        <f ca="1">IF(ISNUMBER(MATCH(DATEVALUE($A124),'recurring1_based on steps'!AH$1:AH$400,0)),AH$2,)</f>
        <v>0</v>
      </c>
      <c r="AI124" s="155">
        <f ca="1">IF(ISNUMBER(MATCH(DATEVALUE($A124),'recurring1_based on steps'!AI$1:AI$400,0)),AI$2,)</f>
        <v>0</v>
      </c>
      <c r="AJ124" s="155">
        <f ca="1">IF(ISNUMBER(MATCH(DATEVALUE($A124),'recurring1_based on steps'!AJ$1:AJ$400,0)),AJ$2,)</f>
        <v>0</v>
      </c>
      <c r="AK124" s="155">
        <f ca="1">IF(ISNUMBER(MATCH(DATEVALUE($A124),'recurring1_based on steps'!AK$1:AK$400,0)),AK$2,)</f>
        <v>0</v>
      </c>
      <c r="AL124" s="155">
        <f ca="1">IF(ISNUMBER(MATCH(DATEVALUE($A124),'recurring1_based on steps'!AL$1:AL$400,0)),AL$2,)</f>
        <v>0</v>
      </c>
      <c r="AM124" s="155">
        <f ca="1">IF(ISNUMBER(MATCH(DATEVALUE($A124),'recurring1_based on steps'!AM$1:AM$400,0)),AM$2,)</f>
        <v>0</v>
      </c>
      <c r="AN124" s="155">
        <f ca="1">IF(ISNUMBER(MATCH(DATEVALUE($A124),'recurring1_based on steps'!AN$1:AN$400,0)),AN$2,)</f>
        <v>0</v>
      </c>
      <c r="AO124" s="155">
        <f ca="1">IF(ISNUMBER(MATCH(DATEVALUE($A124),'recurring1_based on steps'!AO$1:AO$400,0)),AO$2,)</f>
        <v>0</v>
      </c>
      <c r="AP124" s="155">
        <f ca="1">IF(ISNUMBER(MATCH(DATEVALUE($A124),'recurring1_based on steps'!AP$1:AP$400,0)),AP$2,)</f>
        <v>0</v>
      </c>
      <c r="AQ124" s="155">
        <f ca="1">IF(ISNUMBER(MATCH(DATEVALUE($A124),'recurring1_based on steps'!AQ$1:AQ$400,0)),AQ$2,)</f>
        <v>0</v>
      </c>
      <c r="AR124" s="155">
        <f ca="1">IF(ISNUMBER(MATCH(DATEVALUE($A124),'recurring1_based on steps'!AR$1:AR$400,0)),AR$2,)</f>
        <v>0</v>
      </c>
      <c r="AS124" s="155">
        <f ca="1">IF(ISNUMBER(MATCH(DATEVALUE($A124),'recurring1_based on steps'!AS$1:AS$400,0)),AS$2,)</f>
        <v>0</v>
      </c>
      <c r="AT124" s="155">
        <f ca="1">IF(ISNUMBER(MATCH(DATEVALUE($A124),'recurring1_based on steps'!AT$1:AT$400,0)),AT$2,)</f>
        <v>0</v>
      </c>
      <c r="AU124" s="155">
        <f ca="1">IF(ISNUMBER(MATCH(DATEVALUE($A124),'recurring1_based on steps'!AU$1:AU$400,0)),AU$2,)</f>
        <v>0</v>
      </c>
      <c r="AV124" s="155">
        <f ca="1">IF(ISNUMBER(MATCH(DATEVALUE($A124),'recurring1_based on steps'!AV$1:AV$400,0)),AV$2,)</f>
        <v>0</v>
      </c>
      <c r="AW124" s="155">
        <f ca="1">IF(ISNUMBER(MATCH(DATEVALUE($A124),'recurring1_based on steps'!AW$1:AW$400,0)),AW$2,)</f>
        <v>0</v>
      </c>
      <c r="AX124" s="155">
        <f ca="1">IF(ISNUMBER(MATCH(DATEVALUE($A124),'recurring1_based on steps'!AX$1:AX$400,0)),AX$2,)</f>
        <v>0</v>
      </c>
      <c r="AY124" s="155">
        <f ca="1">IF(ISNUMBER(MATCH(DATEVALUE($A124),'recurring1_based on steps'!AY$1:AY$400,0)),AY$2,)</f>
        <v>0</v>
      </c>
    </row>
    <row r="125" spans="1:51" x14ac:dyDescent="0.2">
      <c r="A125" s="18" t="str">
        <f t="shared" ca="1" si="1"/>
        <v>2025-06-03</v>
      </c>
      <c r="B125" s="155">
        <f ca="1">IF(ISNUMBER(MATCH(DATEVALUE($A125),'recurring1_based on steps'!B$1:B$400,0)),B$2,)</f>
        <v>0</v>
      </c>
      <c r="C125" s="155">
        <f ca="1">IF(ISNUMBER(MATCH(DATEVALUE($A125),'recurring1_based on steps'!C$1:C$400,0)),C$2,)</f>
        <v>0</v>
      </c>
      <c r="D125" s="155">
        <f ca="1">IF(ISNUMBER(MATCH(DATEVALUE($A125),'recurring1_based on steps'!D$1:D$400,0)),D$2,)</f>
        <v>0</v>
      </c>
      <c r="E125" s="155">
        <f ca="1">IF(ISNUMBER(MATCH(DATEVALUE($A125),'recurring1_based on steps'!E$1:E$400,0)),E$2,)</f>
        <v>0</v>
      </c>
      <c r="F125" s="155">
        <f ca="1">IF(ISNUMBER(MATCH(DATEVALUE($A125),'recurring1_based on steps'!F$1:F$400,0)),F$2,)</f>
        <v>0</v>
      </c>
      <c r="G125" s="155">
        <f ca="1">IF(ISNUMBER(MATCH(DATEVALUE($A125),'recurring1_based on steps'!G$1:G$400,0)),G$2,)</f>
        <v>0</v>
      </c>
      <c r="H125" s="155">
        <f ca="1">IF(ISNUMBER(MATCH(DATEVALUE($A125),'recurring1_based on steps'!H$1:H$400,0)),H$2,)</f>
        <v>0</v>
      </c>
      <c r="I125" s="155">
        <f ca="1">IF(ISNUMBER(MATCH(DATEVALUE($A125),'recurring1_based on steps'!I$1:I$400,0)),I$2,)</f>
        <v>0</v>
      </c>
      <c r="J125" s="155">
        <f ca="1">IF(ISNUMBER(MATCH(DATEVALUE($A125),'recurring1_based on steps'!J$1:J$400,0)),J$2,)</f>
        <v>0</v>
      </c>
      <c r="K125" s="155">
        <f ca="1">IF(ISNUMBER(MATCH(DATEVALUE($A125),'recurring1_based on steps'!K$1:K$400,0)),K$2,)</f>
        <v>0</v>
      </c>
      <c r="L125" s="155">
        <f ca="1">IF(ISNUMBER(MATCH(DATEVALUE($A125),'recurring1_based on steps'!L$1:L$400,0)),L$2,)</f>
        <v>0</v>
      </c>
      <c r="M125" s="155">
        <f ca="1">IF(ISNUMBER(MATCH(DATEVALUE($A125),'recurring1_based on steps'!M$1:M$400,0)),M$2,)</f>
        <v>0</v>
      </c>
      <c r="N125" s="155">
        <f ca="1">IF(ISNUMBER(MATCH(DATEVALUE($A125),'recurring1_based on steps'!N$1:N$400,0)),N$2,)</f>
        <v>0</v>
      </c>
      <c r="O125" s="155">
        <f ca="1">IF(ISNUMBER(MATCH(DATEVALUE($A125),'recurring1_based on steps'!O$1:O$400,0)),O$2,)</f>
        <v>0</v>
      </c>
      <c r="P125" s="155">
        <f ca="1">IF(ISNUMBER(MATCH(DATEVALUE($A125),'recurring1_based on steps'!P$1:P$400,0)),P$2,)</f>
        <v>0</v>
      </c>
      <c r="Q125" s="155">
        <f ca="1">IF(ISNUMBER(MATCH(DATEVALUE($A125),'recurring1_based on steps'!Q$1:Q$400,0)),Q$2,)</f>
        <v>0</v>
      </c>
      <c r="R125" s="155">
        <f ca="1">IF(ISNUMBER(MATCH(DATEVALUE($A125),'recurring1_based on steps'!R$1:R$400,0)),R$2,)</f>
        <v>0</v>
      </c>
      <c r="S125" s="155">
        <f ca="1">IF(ISNUMBER(MATCH(DATEVALUE($A125),'recurring1_based on steps'!S$1:S$400,0)),S$2,)</f>
        <v>0</v>
      </c>
      <c r="T125" s="155">
        <f ca="1">IF(ISNUMBER(MATCH(DATEVALUE($A125),'recurring1_based on steps'!T$1:T$400,0)),T$2,)</f>
        <v>0</v>
      </c>
      <c r="U125" s="155">
        <f ca="1">IF(ISNUMBER(MATCH(DATEVALUE($A125),'recurring1_based on steps'!U$1:U$400,0)),U$2,)</f>
        <v>0</v>
      </c>
      <c r="V125" s="155">
        <f ca="1">IF(ISNUMBER(MATCH(DATEVALUE($A125),'recurring1_based on steps'!V$1:V$400,0)),V$2,)</f>
        <v>0</v>
      </c>
      <c r="W125" s="155">
        <f ca="1">IF(ISNUMBER(MATCH(DATEVALUE($A125),'recurring1_based on steps'!W$1:W$400,0)),W$2,)</f>
        <v>0</v>
      </c>
      <c r="X125" s="155">
        <f ca="1">IF(ISNUMBER(MATCH(DATEVALUE($A125),'recurring1_based on steps'!X$1:X$400,0)),X$2,)</f>
        <v>0</v>
      </c>
      <c r="Y125" s="155">
        <f ca="1">IF(ISNUMBER(MATCH(DATEVALUE($A125),'recurring1_based on steps'!Y$1:Y$400,0)),Y$2,)</f>
        <v>0</v>
      </c>
      <c r="Z125" s="155">
        <f ca="1">IF(ISNUMBER(MATCH(DATEVALUE($A125),'recurring1_based on steps'!Z$1:Z$400,0)),Z$2,)</f>
        <v>0</v>
      </c>
      <c r="AA125" s="155">
        <f ca="1">IF(ISNUMBER(MATCH(DATEVALUE($A125),'recurring1_based on steps'!AA$1:AA$400,0)),AA$2,)</f>
        <v>0</v>
      </c>
      <c r="AB125" s="155">
        <f ca="1">IF(ISNUMBER(MATCH(DATEVALUE($A125),'recurring1_based on steps'!AB$1:AB$400,0)),AB$2,)</f>
        <v>0</v>
      </c>
      <c r="AC125" s="155">
        <f ca="1">IF(ISNUMBER(MATCH(DATEVALUE($A125),'recurring1_based on steps'!AC$1:AC$400,0)),AC$2,)</f>
        <v>0</v>
      </c>
      <c r="AD125" s="155">
        <f ca="1">IF(ISNUMBER(MATCH(DATEVALUE($A125),'recurring1_based on steps'!AD$1:AD$400,0)),AD$2,)</f>
        <v>0</v>
      </c>
      <c r="AE125" s="155">
        <f ca="1">IF(ISNUMBER(MATCH(DATEVALUE($A125),'recurring1_based on steps'!AE$1:AE$400,0)),AE$2,)</f>
        <v>0</v>
      </c>
      <c r="AF125" s="155">
        <f ca="1">IF(ISNUMBER(MATCH(DATEVALUE($A125),'recurring1_based on steps'!AF$1:AF$400,0)),AF$2,)</f>
        <v>0</v>
      </c>
      <c r="AG125" s="155">
        <f ca="1">IF(ISNUMBER(MATCH(DATEVALUE($A125),'recurring1_based on steps'!AG$1:AG$400,0)),AG$2,)</f>
        <v>0</v>
      </c>
      <c r="AH125" s="155">
        <f ca="1">IF(ISNUMBER(MATCH(DATEVALUE($A125),'recurring1_based on steps'!AH$1:AH$400,0)),AH$2,)</f>
        <v>0</v>
      </c>
      <c r="AI125" s="155">
        <f ca="1">IF(ISNUMBER(MATCH(DATEVALUE($A125),'recurring1_based on steps'!AI$1:AI$400,0)),AI$2,)</f>
        <v>0</v>
      </c>
      <c r="AJ125" s="155">
        <f ca="1">IF(ISNUMBER(MATCH(DATEVALUE($A125),'recurring1_based on steps'!AJ$1:AJ$400,0)),AJ$2,)</f>
        <v>0</v>
      </c>
      <c r="AK125" s="155">
        <f ca="1">IF(ISNUMBER(MATCH(DATEVALUE($A125),'recurring1_based on steps'!AK$1:AK$400,0)),AK$2,)</f>
        <v>0</v>
      </c>
      <c r="AL125" s="155">
        <f ca="1">IF(ISNUMBER(MATCH(DATEVALUE($A125),'recurring1_based on steps'!AL$1:AL$400,0)),AL$2,)</f>
        <v>0</v>
      </c>
      <c r="AM125" s="155">
        <f ca="1">IF(ISNUMBER(MATCH(DATEVALUE($A125),'recurring1_based on steps'!AM$1:AM$400,0)),AM$2,)</f>
        <v>0</v>
      </c>
      <c r="AN125" s="155">
        <f ca="1">IF(ISNUMBER(MATCH(DATEVALUE($A125),'recurring1_based on steps'!AN$1:AN$400,0)),AN$2,)</f>
        <v>0</v>
      </c>
      <c r="AO125" s="155">
        <f ca="1">IF(ISNUMBER(MATCH(DATEVALUE($A125),'recurring1_based on steps'!AO$1:AO$400,0)),AO$2,)</f>
        <v>0</v>
      </c>
      <c r="AP125" s="155">
        <f ca="1">IF(ISNUMBER(MATCH(DATEVALUE($A125),'recurring1_based on steps'!AP$1:AP$400,0)),AP$2,)</f>
        <v>0</v>
      </c>
      <c r="AQ125" s="155">
        <f ca="1">IF(ISNUMBER(MATCH(DATEVALUE($A125),'recurring1_based on steps'!AQ$1:AQ$400,0)),AQ$2,)</f>
        <v>0</v>
      </c>
      <c r="AR125" s="155">
        <f ca="1">IF(ISNUMBER(MATCH(DATEVALUE($A125),'recurring1_based on steps'!AR$1:AR$400,0)),AR$2,)</f>
        <v>0</v>
      </c>
      <c r="AS125" s="155">
        <f ca="1">IF(ISNUMBER(MATCH(DATEVALUE($A125),'recurring1_based on steps'!AS$1:AS$400,0)),AS$2,)</f>
        <v>0</v>
      </c>
      <c r="AT125" s="155">
        <f ca="1">IF(ISNUMBER(MATCH(DATEVALUE($A125),'recurring1_based on steps'!AT$1:AT$400,0)),AT$2,)</f>
        <v>0</v>
      </c>
      <c r="AU125" s="155">
        <f ca="1">IF(ISNUMBER(MATCH(DATEVALUE($A125),'recurring1_based on steps'!AU$1:AU$400,0)),AU$2,)</f>
        <v>0</v>
      </c>
      <c r="AV125" s="155">
        <f ca="1">IF(ISNUMBER(MATCH(DATEVALUE($A125),'recurring1_based on steps'!AV$1:AV$400,0)),AV$2,)</f>
        <v>0</v>
      </c>
      <c r="AW125" s="155">
        <f ca="1">IF(ISNUMBER(MATCH(DATEVALUE($A125),'recurring1_based on steps'!AW$1:AW$400,0)),AW$2,)</f>
        <v>0</v>
      </c>
      <c r="AX125" s="155">
        <f ca="1">IF(ISNUMBER(MATCH(DATEVALUE($A125),'recurring1_based on steps'!AX$1:AX$400,0)),AX$2,)</f>
        <v>0</v>
      </c>
      <c r="AY125" s="155">
        <f ca="1">IF(ISNUMBER(MATCH(DATEVALUE($A125),'recurring1_based on steps'!AY$1:AY$400,0)),AY$2,)</f>
        <v>0</v>
      </c>
    </row>
    <row r="126" spans="1:51" x14ac:dyDescent="0.2">
      <c r="A126" s="18" t="str">
        <f t="shared" ca="1" si="1"/>
        <v>2025-06-04</v>
      </c>
      <c r="B126" s="155">
        <f ca="1">IF(ISNUMBER(MATCH(DATEVALUE($A126),'recurring1_based on steps'!B$1:B$400,0)),B$2,)</f>
        <v>0</v>
      </c>
      <c r="C126" s="155">
        <f ca="1">IF(ISNUMBER(MATCH(DATEVALUE($A126),'recurring1_based on steps'!C$1:C$400,0)),C$2,)</f>
        <v>0</v>
      </c>
      <c r="D126" s="155">
        <f ca="1">IF(ISNUMBER(MATCH(DATEVALUE($A126),'recurring1_based on steps'!D$1:D$400,0)),D$2,)</f>
        <v>0</v>
      </c>
      <c r="E126" s="155">
        <f ca="1">IF(ISNUMBER(MATCH(DATEVALUE($A126),'recurring1_based on steps'!E$1:E$400,0)),E$2,)</f>
        <v>0</v>
      </c>
      <c r="F126" s="155">
        <f ca="1">IF(ISNUMBER(MATCH(DATEVALUE($A126),'recurring1_based on steps'!F$1:F$400,0)),F$2,)</f>
        <v>0</v>
      </c>
      <c r="G126" s="155">
        <f ca="1">IF(ISNUMBER(MATCH(DATEVALUE($A126),'recurring1_based on steps'!G$1:G$400,0)),G$2,)</f>
        <v>0</v>
      </c>
      <c r="H126" s="155">
        <f ca="1">IF(ISNUMBER(MATCH(DATEVALUE($A126),'recurring1_based on steps'!H$1:H$400,0)),H$2,)</f>
        <v>0</v>
      </c>
      <c r="I126" s="155">
        <f ca="1">IF(ISNUMBER(MATCH(DATEVALUE($A126),'recurring1_based on steps'!I$1:I$400,0)),I$2,)</f>
        <v>0</v>
      </c>
      <c r="J126" s="155">
        <f ca="1">IF(ISNUMBER(MATCH(DATEVALUE($A126),'recurring1_based on steps'!J$1:J$400,0)),J$2,)</f>
        <v>0</v>
      </c>
      <c r="K126" s="155">
        <f ca="1">IF(ISNUMBER(MATCH(DATEVALUE($A126),'recurring1_based on steps'!K$1:K$400,0)),K$2,)</f>
        <v>0</v>
      </c>
      <c r="L126" s="155">
        <f ca="1">IF(ISNUMBER(MATCH(DATEVALUE($A126),'recurring1_based on steps'!L$1:L$400,0)),L$2,)</f>
        <v>0</v>
      </c>
      <c r="M126" s="155">
        <f ca="1">IF(ISNUMBER(MATCH(DATEVALUE($A126),'recurring1_based on steps'!M$1:M$400,0)),M$2,)</f>
        <v>15</v>
      </c>
      <c r="N126" s="155">
        <f ca="1">IF(ISNUMBER(MATCH(DATEVALUE($A126),'recurring1_based on steps'!N$1:N$400,0)),N$2,)</f>
        <v>0</v>
      </c>
      <c r="O126" s="155">
        <f ca="1">IF(ISNUMBER(MATCH(DATEVALUE($A126),'recurring1_based on steps'!O$1:O$400,0)),O$2,)</f>
        <v>0</v>
      </c>
      <c r="P126" s="155">
        <f ca="1">IF(ISNUMBER(MATCH(DATEVALUE($A126),'recurring1_based on steps'!P$1:P$400,0)),P$2,)</f>
        <v>0</v>
      </c>
      <c r="Q126" s="155">
        <f ca="1">IF(ISNUMBER(MATCH(DATEVALUE($A126),'recurring1_based on steps'!Q$1:Q$400,0)),Q$2,)</f>
        <v>0</v>
      </c>
      <c r="R126" s="155">
        <f ca="1">IF(ISNUMBER(MATCH(DATEVALUE($A126),'recurring1_based on steps'!R$1:R$400,0)),R$2,)</f>
        <v>0</v>
      </c>
      <c r="S126" s="155">
        <f ca="1">IF(ISNUMBER(MATCH(DATEVALUE($A126),'recurring1_based on steps'!S$1:S$400,0)),S$2,)</f>
        <v>0</v>
      </c>
      <c r="T126" s="155">
        <f ca="1">IF(ISNUMBER(MATCH(DATEVALUE($A126),'recurring1_based on steps'!T$1:T$400,0)),T$2,)</f>
        <v>0</v>
      </c>
      <c r="U126" s="155">
        <f ca="1">IF(ISNUMBER(MATCH(DATEVALUE($A126),'recurring1_based on steps'!U$1:U$400,0)),U$2,)</f>
        <v>0</v>
      </c>
      <c r="V126" s="155">
        <f ca="1">IF(ISNUMBER(MATCH(DATEVALUE($A126),'recurring1_based on steps'!V$1:V$400,0)),V$2,)</f>
        <v>0</v>
      </c>
      <c r="W126" s="155">
        <f ca="1">IF(ISNUMBER(MATCH(DATEVALUE($A126),'recurring1_based on steps'!W$1:W$400,0)),W$2,)</f>
        <v>0</v>
      </c>
      <c r="X126" s="155">
        <f ca="1">IF(ISNUMBER(MATCH(DATEVALUE($A126),'recurring1_based on steps'!X$1:X$400,0)),X$2,)</f>
        <v>0</v>
      </c>
      <c r="Y126" s="155">
        <f ca="1">IF(ISNUMBER(MATCH(DATEVALUE($A126),'recurring1_based on steps'!Y$1:Y$400,0)),Y$2,)</f>
        <v>0</v>
      </c>
      <c r="Z126" s="155">
        <f ca="1">IF(ISNUMBER(MATCH(DATEVALUE($A126),'recurring1_based on steps'!Z$1:Z$400,0)),Z$2,)</f>
        <v>0</v>
      </c>
      <c r="AA126" s="155">
        <f ca="1">IF(ISNUMBER(MATCH(DATEVALUE($A126),'recurring1_based on steps'!AA$1:AA$400,0)),AA$2,)</f>
        <v>0</v>
      </c>
      <c r="AB126" s="155">
        <f ca="1">IF(ISNUMBER(MATCH(DATEVALUE($A126),'recurring1_based on steps'!AB$1:AB$400,0)),AB$2,)</f>
        <v>0</v>
      </c>
      <c r="AC126" s="155">
        <f ca="1">IF(ISNUMBER(MATCH(DATEVALUE($A126),'recurring1_based on steps'!AC$1:AC$400,0)),AC$2,)</f>
        <v>0</v>
      </c>
      <c r="AD126" s="155">
        <f ca="1">IF(ISNUMBER(MATCH(DATEVALUE($A126),'recurring1_based on steps'!AD$1:AD$400,0)),AD$2,)</f>
        <v>0</v>
      </c>
      <c r="AE126" s="155">
        <f ca="1">IF(ISNUMBER(MATCH(DATEVALUE($A126),'recurring1_based on steps'!AE$1:AE$400,0)),AE$2,)</f>
        <v>0</v>
      </c>
      <c r="AF126" s="155">
        <f ca="1">IF(ISNUMBER(MATCH(DATEVALUE($A126),'recurring1_based on steps'!AF$1:AF$400,0)),AF$2,)</f>
        <v>0</v>
      </c>
      <c r="AG126" s="155">
        <f ca="1">IF(ISNUMBER(MATCH(DATEVALUE($A126),'recurring1_based on steps'!AG$1:AG$400,0)),AG$2,)</f>
        <v>0</v>
      </c>
      <c r="AH126" s="155">
        <f ca="1">IF(ISNUMBER(MATCH(DATEVALUE($A126),'recurring1_based on steps'!AH$1:AH$400,0)),AH$2,)</f>
        <v>0</v>
      </c>
      <c r="AI126" s="155">
        <f ca="1">IF(ISNUMBER(MATCH(DATEVALUE($A126),'recurring1_based on steps'!AI$1:AI$400,0)),AI$2,)</f>
        <v>0</v>
      </c>
      <c r="AJ126" s="155">
        <f ca="1">IF(ISNUMBER(MATCH(DATEVALUE($A126),'recurring1_based on steps'!AJ$1:AJ$400,0)),AJ$2,)</f>
        <v>0</v>
      </c>
      <c r="AK126" s="155">
        <f ca="1">IF(ISNUMBER(MATCH(DATEVALUE($A126),'recurring1_based on steps'!AK$1:AK$400,0)),AK$2,)</f>
        <v>0</v>
      </c>
      <c r="AL126" s="155">
        <f ca="1">IF(ISNUMBER(MATCH(DATEVALUE($A126),'recurring1_based on steps'!AL$1:AL$400,0)),AL$2,)</f>
        <v>0</v>
      </c>
      <c r="AM126" s="155">
        <f ca="1">IF(ISNUMBER(MATCH(DATEVALUE($A126),'recurring1_based on steps'!AM$1:AM$400,0)),AM$2,)</f>
        <v>0</v>
      </c>
      <c r="AN126" s="155">
        <f ca="1">IF(ISNUMBER(MATCH(DATEVALUE($A126),'recurring1_based on steps'!AN$1:AN$400,0)),AN$2,)</f>
        <v>0</v>
      </c>
      <c r="AO126" s="155">
        <f ca="1">IF(ISNUMBER(MATCH(DATEVALUE($A126),'recurring1_based on steps'!AO$1:AO$400,0)),AO$2,)</f>
        <v>0</v>
      </c>
      <c r="AP126" s="155">
        <f ca="1">IF(ISNUMBER(MATCH(DATEVALUE($A126),'recurring1_based on steps'!AP$1:AP$400,0)),AP$2,)</f>
        <v>0</v>
      </c>
      <c r="AQ126" s="155">
        <f ca="1">IF(ISNUMBER(MATCH(DATEVALUE($A126),'recurring1_based on steps'!AQ$1:AQ$400,0)),AQ$2,)</f>
        <v>0</v>
      </c>
      <c r="AR126" s="155">
        <f ca="1">IF(ISNUMBER(MATCH(DATEVALUE($A126),'recurring1_based on steps'!AR$1:AR$400,0)),AR$2,)</f>
        <v>0</v>
      </c>
      <c r="AS126" s="155">
        <f ca="1">IF(ISNUMBER(MATCH(DATEVALUE($A126),'recurring1_based on steps'!AS$1:AS$400,0)),AS$2,)</f>
        <v>0</v>
      </c>
      <c r="AT126" s="155">
        <f ca="1">IF(ISNUMBER(MATCH(DATEVALUE($A126),'recurring1_based on steps'!AT$1:AT$400,0)),AT$2,)</f>
        <v>0</v>
      </c>
      <c r="AU126" s="155">
        <f ca="1">IF(ISNUMBER(MATCH(DATEVALUE($A126),'recurring1_based on steps'!AU$1:AU$400,0)),AU$2,)</f>
        <v>0</v>
      </c>
      <c r="AV126" s="155">
        <f ca="1">IF(ISNUMBER(MATCH(DATEVALUE($A126),'recurring1_based on steps'!AV$1:AV$400,0)),AV$2,)</f>
        <v>0</v>
      </c>
      <c r="AW126" s="155">
        <f ca="1">IF(ISNUMBER(MATCH(DATEVALUE($A126),'recurring1_based on steps'!AW$1:AW$400,0)),AW$2,)</f>
        <v>0</v>
      </c>
      <c r="AX126" s="155">
        <f ca="1">IF(ISNUMBER(MATCH(DATEVALUE($A126),'recurring1_based on steps'!AX$1:AX$400,0)),AX$2,)</f>
        <v>0</v>
      </c>
      <c r="AY126" s="155">
        <f ca="1">IF(ISNUMBER(MATCH(DATEVALUE($A126),'recurring1_based on steps'!AY$1:AY$400,0)),AY$2,)</f>
        <v>0</v>
      </c>
    </row>
    <row r="127" spans="1:51" x14ac:dyDescent="0.2">
      <c r="A127" s="18" t="str">
        <f t="shared" ca="1" si="1"/>
        <v>2025-06-05</v>
      </c>
      <c r="B127" s="155">
        <f ca="1">IF(ISNUMBER(MATCH(DATEVALUE($A127),'recurring1_based on steps'!B$1:B$400,0)),B$2,)</f>
        <v>0</v>
      </c>
      <c r="C127" s="155">
        <f ca="1">IF(ISNUMBER(MATCH(DATEVALUE($A127),'recurring1_based on steps'!C$1:C$400,0)),C$2,)</f>
        <v>0</v>
      </c>
      <c r="D127" s="155">
        <f ca="1">IF(ISNUMBER(MATCH(DATEVALUE($A127),'recurring1_based on steps'!D$1:D$400,0)),D$2,)</f>
        <v>0</v>
      </c>
      <c r="E127" s="155">
        <f ca="1">IF(ISNUMBER(MATCH(DATEVALUE($A127),'recurring1_based on steps'!E$1:E$400,0)),E$2,)</f>
        <v>0</v>
      </c>
      <c r="F127" s="155">
        <f ca="1">IF(ISNUMBER(MATCH(DATEVALUE($A127),'recurring1_based on steps'!F$1:F$400,0)),F$2,)</f>
        <v>0</v>
      </c>
      <c r="G127" s="155">
        <f ca="1">IF(ISNUMBER(MATCH(DATEVALUE($A127),'recurring1_based on steps'!G$1:G$400,0)),G$2,)</f>
        <v>0</v>
      </c>
      <c r="H127" s="155">
        <f ca="1">IF(ISNUMBER(MATCH(DATEVALUE($A127),'recurring1_based on steps'!H$1:H$400,0)),H$2,)</f>
        <v>0</v>
      </c>
      <c r="I127" s="155">
        <f ca="1">IF(ISNUMBER(MATCH(DATEVALUE($A127),'recurring1_based on steps'!I$1:I$400,0)),I$2,)</f>
        <v>0</v>
      </c>
      <c r="J127" s="155">
        <f ca="1">IF(ISNUMBER(MATCH(DATEVALUE($A127),'recurring1_based on steps'!J$1:J$400,0)),J$2,)</f>
        <v>0</v>
      </c>
      <c r="K127" s="155">
        <f ca="1">IF(ISNUMBER(MATCH(DATEVALUE($A127),'recurring1_based on steps'!K$1:K$400,0)),K$2,)</f>
        <v>0</v>
      </c>
      <c r="L127" s="155">
        <f ca="1">IF(ISNUMBER(MATCH(DATEVALUE($A127),'recurring1_based on steps'!L$1:L$400,0)),L$2,)</f>
        <v>0</v>
      </c>
      <c r="M127" s="155">
        <f ca="1">IF(ISNUMBER(MATCH(DATEVALUE($A127),'recurring1_based on steps'!M$1:M$400,0)),M$2,)</f>
        <v>0</v>
      </c>
      <c r="N127" s="155">
        <f ca="1">IF(ISNUMBER(MATCH(DATEVALUE($A127),'recurring1_based on steps'!N$1:N$400,0)),N$2,)</f>
        <v>0</v>
      </c>
      <c r="O127" s="155">
        <f ca="1">IF(ISNUMBER(MATCH(DATEVALUE($A127),'recurring1_based on steps'!O$1:O$400,0)),O$2,)</f>
        <v>0</v>
      </c>
      <c r="P127" s="155">
        <f ca="1">IF(ISNUMBER(MATCH(DATEVALUE($A127),'recurring1_based on steps'!P$1:P$400,0)),P$2,)</f>
        <v>0</v>
      </c>
      <c r="Q127" s="155">
        <f ca="1">IF(ISNUMBER(MATCH(DATEVALUE($A127),'recurring1_based on steps'!Q$1:Q$400,0)),Q$2,)</f>
        <v>0</v>
      </c>
      <c r="R127" s="155">
        <f ca="1">IF(ISNUMBER(MATCH(DATEVALUE($A127),'recurring1_based on steps'!R$1:R$400,0)),R$2,)</f>
        <v>0</v>
      </c>
      <c r="S127" s="155">
        <f ca="1">IF(ISNUMBER(MATCH(DATEVALUE($A127),'recurring1_based on steps'!S$1:S$400,0)),S$2,)</f>
        <v>0</v>
      </c>
      <c r="T127" s="155">
        <f ca="1">IF(ISNUMBER(MATCH(DATEVALUE($A127),'recurring1_based on steps'!T$1:T$400,0)),T$2,)</f>
        <v>0</v>
      </c>
      <c r="U127" s="155">
        <f ca="1">IF(ISNUMBER(MATCH(DATEVALUE($A127),'recurring1_based on steps'!U$1:U$400,0)),U$2,)</f>
        <v>0</v>
      </c>
      <c r="V127" s="155">
        <f ca="1">IF(ISNUMBER(MATCH(DATEVALUE($A127),'recurring1_based on steps'!V$1:V$400,0)),V$2,)</f>
        <v>0</v>
      </c>
      <c r="W127" s="155">
        <f ca="1">IF(ISNUMBER(MATCH(DATEVALUE($A127),'recurring1_based on steps'!W$1:W$400,0)),W$2,)</f>
        <v>0</v>
      </c>
      <c r="X127" s="155">
        <f ca="1">IF(ISNUMBER(MATCH(DATEVALUE($A127),'recurring1_based on steps'!X$1:X$400,0)),X$2,)</f>
        <v>0</v>
      </c>
      <c r="Y127" s="155">
        <f ca="1">IF(ISNUMBER(MATCH(DATEVALUE($A127),'recurring1_based on steps'!Y$1:Y$400,0)),Y$2,)</f>
        <v>0</v>
      </c>
      <c r="Z127" s="155">
        <f ca="1">IF(ISNUMBER(MATCH(DATEVALUE($A127),'recurring1_based on steps'!Z$1:Z$400,0)),Z$2,)</f>
        <v>0</v>
      </c>
      <c r="AA127" s="155">
        <f ca="1">IF(ISNUMBER(MATCH(DATEVALUE($A127),'recurring1_based on steps'!AA$1:AA$400,0)),AA$2,)</f>
        <v>0</v>
      </c>
      <c r="AB127" s="155">
        <f ca="1">IF(ISNUMBER(MATCH(DATEVALUE($A127),'recurring1_based on steps'!AB$1:AB$400,0)),AB$2,)</f>
        <v>0</v>
      </c>
      <c r="AC127" s="155">
        <f ca="1">IF(ISNUMBER(MATCH(DATEVALUE($A127),'recurring1_based on steps'!AC$1:AC$400,0)),AC$2,)</f>
        <v>0</v>
      </c>
      <c r="AD127" s="155">
        <f ca="1">IF(ISNUMBER(MATCH(DATEVALUE($A127),'recurring1_based on steps'!AD$1:AD$400,0)),AD$2,)</f>
        <v>0</v>
      </c>
      <c r="AE127" s="155">
        <f ca="1">IF(ISNUMBER(MATCH(DATEVALUE($A127),'recurring1_based on steps'!AE$1:AE$400,0)),AE$2,)</f>
        <v>0</v>
      </c>
      <c r="AF127" s="155">
        <f ca="1">IF(ISNUMBER(MATCH(DATEVALUE($A127),'recurring1_based on steps'!AF$1:AF$400,0)),AF$2,)</f>
        <v>0</v>
      </c>
      <c r="AG127" s="155">
        <f ca="1">IF(ISNUMBER(MATCH(DATEVALUE($A127),'recurring1_based on steps'!AG$1:AG$400,0)),AG$2,)</f>
        <v>0</v>
      </c>
      <c r="AH127" s="155">
        <f ca="1">IF(ISNUMBER(MATCH(DATEVALUE($A127),'recurring1_based on steps'!AH$1:AH$400,0)),AH$2,)</f>
        <v>0</v>
      </c>
      <c r="AI127" s="155">
        <f ca="1">IF(ISNUMBER(MATCH(DATEVALUE($A127),'recurring1_based on steps'!AI$1:AI$400,0)),AI$2,)</f>
        <v>0</v>
      </c>
      <c r="AJ127" s="155">
        <f ca="1">IF(ISNUMBER(MATCH(DATEVALUE($A127),'recurring1_based on steps'!AJ$1:AJ$400,0)),AJ$2,)</f>
        <v>0</v>
      </c>
      <c r="AK127" s="155">
        <f ca="1">IF(ISNUMBER(MATCH(DATEVALUE($A127),'recurring1_based on steps'!AK$1:AK$400,0)),AK$2,)</f>
        <v>0</v>
      </c>
      <c r="AL127" s="155">
        <f ca="1">IF(ISNUMBER(MATCH(DATEVALUE($A127),'recurring1_based on steps'!AL$1:AL$400,0)),AL$2,)</f>
        <v>0</v>
      </c>
      <c r="AM127" s="155">
        <f ca="1">IF(ISNUMBER(MATCH(DATEVALUE($A127),'recurring1_based on steps'!AM$1:AM$400,0)),AM$2,)</f>
        <v>0</v>
      </c>
      <c r="AN127" s="155">
        <f ca="1">IF(ISNUMBER(MATCH(DATEVALUE($A127),'recurring1_based on steps'!AN$1:AN$400,0)),AN$2,)</f>
        <v>0</v>
      </c>
      <c r="AO127" s="155">
        <f ca="1">IF(ISNUMBER(MATCH(DATEVALUE($A127),'recurring1_based on steps'!AO$1:AO$400,0)),AO$2,)</f>
        <v>0</v>
      </c>
      <c r="AP127" s="155">
        <f ca="1">IF(ISNUMBER(MATCH(DATEVALUE($A127),'recurring1_based on steps'!AP$1:AP$400,0)),AP$2,)</f>
        <v>0</v>
      </c>
      <c r="AQ127" s="155">
        <f ca="1">IF(ISNUMBER(MATCH(DATEVALUE($A127),'recurring1_based on steps'!AQ$1:AQ$400,0)),AQ$2,)</f>
        <v>0</v>
      </c>
      <c r="AR127" s="155">
        <f ca="1">IF(ISNUMBER(MATCH(DATEVALUE($A127),'recurring1_based on steps'!AR$1:AR$400,0)),AR$2,)</f>
        <v>0</v>
      </c>
      <c r="AS127" s="155">
        <f ca="1">IF(ISNUMBER(MATCH(DATEVALUE($A127),'recurring1_based on steps'!AS$1:AS$400,0)),AS$2,)</f>
        <v>0</v>
      </c>
      <c r="AT127" s="155">
        <f ca="1">IF(ISNUMBER(MATCH(DATEVALUE($A127),'recurring1_based on steps'!AT$1:AT$400,0)),AT$2,)</f>
        <v>0</v>
      </c>
      <c r="AU127" s="155">
        <f ca="1">IF(ISNUMBER(MATCH(DATEVALUE($A127),'recurring1_based on steps'!AU$1:AU$400,0)),AU$2,)</f>
        <v>0</v>
      </c>
      <c r="AV127" s="155">
        <f ca="1">IF(ISNUMBER(MATCH(DATEVALUE($A127),'recurring1_based on steps'!AV$1:AV$400,0)),AV$2,)</f>
        <v>0</v>
      </c>
      <c r="AW127" s="155">
        <f ca="1">IF(ISNUMBER(MATCH(DATEVALUE($A127),'recurring1_based on steps'!AW$1:AW$400,0)),AW$2,)</f>
        <v>0</v>
      </c>
      <c r="AX127" s="155">
        <f ca="1">IF(ISNUMBER(MATCH(DATEVALUE($A127),'recurring1_based on steps'!AX$1:AX$400,0)),AX$2,)</f>
        <v>0</v>
      </c>
      <c r="AY127" s="155">
        <f ca="1">IF(ISNUMBER(MATCH(DATEVALUE($A127),'recurring1_based on steps'!AY$1:AY$400,0)),AY$2,)</f>
        <v>0</v>
      </c>
    </row>
    <row r="128" spans="1:51" x14ac:dyDescent="0.2">
      <c r="A128" s="18" t="str">
        <f t="shared" ca="1" si="1"/>
        <v>2025-06-06</v>
      </c>
      <c r="B128" s="155">
        <f ca="1">IF(ISNUMBER(MATCH(DATEVALUE($A128),'recurring1_based on steps'!B$1:B$400,0)),B$2,)</f>
        <v>0</v>
      </c>
      <c r="C128" s="155">
        <f ca="1">IF(ISNUMBER(MATCH(DATEVALUE($A128),'recurring1_based on steps'!C$1:C$400,0)),C$2,)</f>
        <v>0</v>
      </c>
      <c r="D128" s="155">
        <f ca="1">IF(ISNUMBER(MATCH(DATEVALUE($A128),'recurring1_based on steps'!D$1:D$400,0)),D$2,)</f>
        <v>0</v>
      </c>
      <c r="E128" s="155">
        <f ca="1">IF(ISNUMBER(MATCH(DATEVALUE($A128),'recurring1_based on steps'!E$1:E$400,0)),E$2,)</f>
        <v>0</v>
      </c>
      <c r="F128" s="155">
        <f ca="1">IF(ISNUMBER(MATCH(DATEVALUE($A128),'recurring1_based on steps'!F$1:F$400,0)),F$2,)</f>
        <v>0</v>
      </c>
      <c r="G128" s="155">
        <f ca="1">IF(ISNUMBER(MATCH(DATEVALUE($A128),'recurring1_based on steps'!G$1:G$400,0)),G$2,)</f>
        <v>0</v>
      </c>
      <c r="H128" s="155">
        <f ca="1">IF(ISNUMBER(MATCH(DATEVALUE($A128),'recurring1_based on steps'!H$1:H$400,0)),H$2,)</f>
        <v>0</v>
      </c>
      <c r="I128" s="155">
        <f ca="1">IF(ISNUMBER(MATCH(DATEVALUE($A128),'recurring1_based on steps'!I$1:I$400,0)),I$2,)</f>
        <v>0</v>
      </c>
      <c r="J128" s="155">
        <f ca="1">IF(ISNUMBER(MATCH(DATEVALUE($A128),'recurring1_based on steps'!J$1:J$400,0)),J$2,)</f>
        <v>0</v>
      </c>
      <c r="K128" s="155">
        <f ca="1">IF(ISNUMBER(MATCH(DATEVALUE($A128),'recurring1_based on steps'!K$1:K$400,0)),K$2,)</f>
        <v>0</v>
      </c>
      <c r="L128" s="155">
        <f ca="1">IF(ISNUMBER(MATCH(DATEVALUE($A128),'recurring1_based on steps'!L$1:L$400,0)),L$2,)</f>
        <v>0</v>
      </c>
      <c r="M128" s="155">
        <f ca="1">IF(ISNUMBER(MATCH(DATEVALUE($A128),'recurring1_based on steps'!M$1:M$400,0)),M$2,)</f>
        <v>0</v>
      </c>
      <c r="N128" s="155">
        <f ca="1">IF(ISNUMBER(MATCH(DATEVALUE($A128),'recurring1_based on steps'!N$1:N$400,0)),N$2,)</f>
        <v>0</v>
      </c>
      <c r="O128" s="155">
        <f ca="1">IF(ISNUMBER(MATCH(DATEVALUE($A128),'recurring1_based on steps'!O$1:O$400,0)),O$2,)</f>
        <v>0</v>
      </c>
      <c r="P128" s="155">
        <f ca="1">IF(ISNUMBER(MATCH(DATEVALUE($A128),'recurring1_based on steps'!P$1:P$400,0)),P$2,)</f>
        <v>0</v>
      </c>
      <c r="Q128" s="155">
        <f ca="1">IF(ISNUMBER(MATCH(DATEVALUE($A128),'recurring1_based on steps'!Q$1:Q$400,0)),Q$2,)</f>
        <v>0</v>
      </c>
      <c r="R128" s="155">
        <f ca="1">IF(ISNUMBER(MATCH(DATEVALUE($A128),'recurring1_based on steps'!R$1:R$400,0)),R$2,)</f>
        <v>0</v>
      </c>
      <c r="S128" s="155">
        <f ca="1">IF(ISNUMBER(MATCH(DATEVALUE($A128),'recurring1_based on steps'!S$1:S$400,0)),S$2,)</f>
        <v>0</v>
      </c>
      <c r="T128" s="155">
        <f ca="1">IF(ISNUMBER(MATCH(DATEVALUE($A128),'recurring1_based on steps'!T$1:T$400,0)),T$2,)</f>
        <v>0</v>
      </c>
      <c r="U128" s="155">
        <f ca="1">IF(ISNUMBER(MATCH(DATEVALUE($A128),'recurring1_based on steps'!U$1:U$400,0)),U$2,)</f>
        <v>0</v>
      </c>
      <c r="V128" s="155">
        <f ca="1">IF(ISNUMBER(MATCH(DATEVALUE($A128),'recurring1_based on steps'!V$1:V$400,0)),V$2,)</f>
        <v>0</v>
      </c>
      <c r="W128" s="155">
        <f ca="1">IF(ISNUMBER(MATCH(DATEVALUE($A128),'recurring1_based on steps'!W$1:W$400,0)),W$2,)</f>
        <v>0</v>
      </c>
      <c r="X128" s="155">
        <f ca="1">IF(ISNUMBER(MATCH(DATEVALUE($A128),'recurring1_based on steps'!X$1:X$400,0)),X$2,)</f>
        <v>0</v>
      </c>
      <c r="Y128" s="155">
        <f ca="1">IF(ISNUMBER(MATCH(DATEVALUE($A128),'recurring1_based on steps'!Y$1:Y$400,0)),Y$2,)</f>
        <v>0</v>
      </c>
      <c r="Z128" s="155">
        <f ca="1">IF(ISNUMBER(MATCH(DATEVALUE($A128),'recurring1_based on steps'!Z$1:Z$400,0)),Z$2,)</f>
        <v>0</v>
      </c>
      <c r="AA128" s="155">
        <f ca="1">IF(ISNUMBER(MATCH(DATEVALUE($A128),'recurring1_based on steps'!AA$1:AA$400,0)),AA$2,)</f>
        <v>0</v>
      </c>
      <c r="AB128" s="155">
        <f ca="1">IF(ISNUMBER(MATCH(DATEVALUE($A128),'recurring1_based on steps'!AB$1:AB$400,0)),AB$2,)</f>
        <v>0</v>
      </c>
      <c r="AC128" s="155">
        <f ca="1">IF(ISNUMBER(MATCH(DATEVALUE($A128),'recurring1_based on steps'!AC$1:AC$400,0)),AC$2,)</f>
        <v>0</v>
      </c>
      <c r="AD128" s="155">
        <f ca="1">IF(ISNUMBER(MATCH(DATEVALUE($A128),'recurring1_based on steps'!AD$1:AD$400,0)),AD$2,)</f>
        <v>0</v>
      </c>
      <c r="AE128" s="155">
        <f ca="1">IF(ISNUMBER(MATCH(DATEVALUE($A128),'recurring1_based on steps'!AE$1:AE$400,0)),AE$2,)</f>
        <v>0</v>
      </c>
      <c r="AF128" s="155">
        <f ca="1">IF(ISNUMBER(MATCH(DATEVALUE($A128),'recurring1_based on steps'!AF$1:AF$400,0)),AF$2,)</f>
        <v>0</v>
      </c>
      <c r="AG128" s="155">
        <f ca="1">IF(ISNUMBER(MATCH(DATEVALUE($A128),'recurring1_based on steps'!AG$1:AG$400,0)),AG$2,)</f>
        <v>0</v>
      </c>
      <c r="AH128" s="155">
        <f ca="1">IF(ISNUMBER(MATCH(DATEVALUE($A128),'recurring1_based on steps'!AH$1:AH$400,0)),AH$2,)</f>
        <v>0</v>
      </c>
      <c r="AI128" s="155">
        <f ca="1">IF(ISNUMBER(MATCH(DATEVALUE($A128),'recurring1_based on steps'!AI$1:AI$400,0)),AI$2,)</f>
        <v>0</v>
      </c>
      <c r="AJ128" s="155">
        <f ca="1">IF(ISNUMBER(MATCH(DATEVALUE($A128),'recurring1_based on steps'!AJ$1:AJ$400,0)),AJ$2,)</f>
        <v>0</v>
      </c>
      <c r="AK128" s="155">
        <f ca="1">IF(ISNUMBER(MATCH(DATEVALUE($A128),'recurring1_based on steps'!AK$1:AK$400,0)),AK$2,)</f>
        <v>0</v>
      </c>
      <c r="AL128" s="155">
        <f ca="1">IF(ISNUMBER(MATCH(DATEVALUE($A128),'recurring1_based on steps'!AL$1:AL$400,0)),AL$2,)</f>
        <v>0</v>
      </c>
      <c r="AM128" s="155">
        <f ca="1">IF(ISNUMBER(MATCH(DATEVALUE($A128),'recurring1_based on steps'!AM$1:AM$400,0)),AM$2,)</f>
        <v>0</v>
      </c>
      <c r="AN128" s="155">
        <f ca="1">IF(ISNUMBER(MATCH(DATEVALUE($A128),'recurring1_based on steps'!AN$1:AN$400,0)),AN$2,)</f>
        <v>0</v>
      </c>
      <c r="AO128" s="155">
        <f ca="1">IF(ISNUMBER(MATCH(DATEVALUE($A128),'recurring1_based on steps'!AO$1:AO$400,0)),AO$2,)</f>
        <v>0</v>
      </c>
      <c r="AP128" s="155">
        <f ca="1">IF(ISNUMBER(MATCH(DATEVALUE($A128),'recurring1_based on steps'!AP$1:AP$400,0)),AP$2,)</f>
        <v>0</v>
      </c>
      <c r="AQ128" s="155">
        <f ca="1">IF(ISNUMBER(MATCH(DATEVALUE($A128),'recurring1_based on steps'!AQ$1:AQ$400,0)),AQ$2,)</f>
        <v>0</v>
      </c>
      <c r="AR128" s="155">
        <f ca="1">IF(ISNUMBER(MATCH(DATEVALUE($A128),'recurring1_based on steps'!AR$1:AR$400,0)),AR$2,)</f>
        <v>0</v>
      </c>
      <c r="AS128" s="155">
        <f ca="1">IF(ISNUMBER(MATCH(DATEVALUE($A128),'recurring1_based on steps'!AS$1:AS$400,0)),AS$2,)</f>
        <v>0</v>
      </c>
      <c r="AT128" s="155">
        <f ca="1">IF(ISNUMBER(MATCH(DATEVALUE($A128),'recurring1_based on steps'!AT$1:AT$400,0)),AT$2,)</f>
        <v>0</v>
      </c>
      <c r="AU128" s="155">
        <f ca="1">IF(ISNUMBER(MATCH(DATEVALUE($A128),'recurring1_based on steps'!AU$1:AU$400,0)),AU$2,)</f>
        <v>0</v>
      </c>
      <c r="AV128" s="155">
        <f ca="1">IF(ISNUMBER(MATCH(DATEVALUE($A128),'recurring1_based on steps'!AV$1:AV$400,0)),AV$2,)</f>
        <v>0</v>
      </c>
      <c r="AW128" s="155">
        <f ca="1">IF(ISNUMBER(MATCH(DATEVALUE($A128),'recurring1_based on steps'!AW$1:AW$400,0)),AW$2,)</f>
        <v>0</v>
      </c>
      <c r="AX128" s="155">
        <f ca="1">IF(ISNUMBER(MATCH(DATEVALUE($A128),'recurring1_based on steps'!AX$1:AX$400,0)),AX$2,)</f>
        <v>0</v>
      </c>
      <c r="AY128" s="155">
        <f ca="1">IF(ISNUMBER(MATCH(DATEVALUE($A128),'recurring1_based on steps'!AY$1:AY$400,0)),AY$2,)</f>
        <v>0</v>
      </c>
    </row>
    <row r="129" spans="1:51" x14ac:dyDescent="0.2">
      <c r="A129" s="18" t="str">
        <f t="shared" ca="1" si="1"/>
        <v>2025-06-07</v>
      </c>
      <c r="B129" s="155">
        <f ca="1">IF(ISNUMBER(MATCH(DATEVALUE($A129),'recurring1_based on steps'!B$1:B$400,0)),B$2,)</f>
        <v>0</v>
      </c>
      <c r="C129" s="155">
        <f ca="1">IF(ISNUMBER(MATCH(DATEVALUE($A129),'recurring1_based on steps'!C$1:C$400,0)),C$2,)</f>
        <v>0</v>
      </c>
      <c r="D129" s="155">
        <f ca="1">IF(ISNUMBER(MATCH(DATEVALUE($A129),'recurring1_based on steps'!D$1:D$400,0)),D$2,)</f>
        <v>0</v>
      </c>
      <c r="E129" s="155">
        <f ca="1">IF(ISNUMBER(MATCH(DATEVALUE($A129),'recurring1_based on steps'!E$1:E$400,0)),E$2,)</f>
        <v>0</v>
      </c>
      <c r="F129" s="155">
        <f ca="1">IF(ISNUMBER(MATCH(DATEVALUE($A129),'recurring1_based on steps'!F$1:F$400,0)),F$2,)</f>
        <v>0</v>
      </c>
      <c r="G129" s="155">
        <f ca="1">IF(ISNUMBER(MATCH(DATEVALUE($A129),'recurring1_based on steps'!G$1:G$400,0)),G$2,)</f>
        <v>0</v>
      </c>
      <c r="H129" s="155">
        <f ca="1">IF(ISNUMBER(MATCH(DATEVALUE($A129),'recurring1_based on steps'!H$1:H$400,0)),H$2,)</f>
        <v>0</v>
      </c>
      <c r="I129" s="155">
        <f ca="1">IF(ISNUMBER(MATCH(DATEVALUE($A129),'recurring1_based on steps'!I$1:I$400,0)),I$2,)</f>
        <v>0</v>
      </c>
      <c r="J129" s="155">
        <f ca="1">IF(ISNUMBER(MATCH(DATEVALUE($A129),'recurring1_based on steps'!J$1:J$400,0)),J$2,)</f>
        <v>0</v>
      </c>
      <c r="K129" s="155">
        <f ca="1">IF(ISNUMBER(MATCH(DATEVALUE($A129),'recurring1_based on steps'!K$1:K$400,0)),K$2,)</f>
        <v>0</v>
      </c>
      <c r="L129" s="155">
        <f ca="1">IF(ISNUMBER(MATCH(DATEVALUE($A129),'recurring1_based on steps'!L$1:L$400,0)),L$2,)</f>
        <v>0</v>
      </c>
      <c r="M129" s="155">
        <f ca="1">IF(ISNUMBER(MATCH(DATEVALUE($A129),'recurring1_based on steps'!M$1:M$400,0)),M$2,)</f>
        <v>0</v>
      </c>
      <c r="N129" s="155">
        <f ca="1">IF(ISNUMBER(MATCH(DATEVALUE($A129),'recurring1_based on steps'!N$1:N$400,0)),N$2,)</f>
        <v>0</v>
      </c>
      <c r="O129" s="155">
        <f ca="1">IF(ISNUMBER(MATCH(DATEVALUE($A129),'recurring1_based on steps'!O$1:O$400,0)),O$2,)</f>
        <v>0</v>
      </c>
      <c r="P129" s="155">
        <f ca="1">IF(ISNUMBER(MATCH(DATEVALUE($A129),'recurring1_based on steps'!P$1:P$400,0)),P$2,)</f>
        <v>0</v>
      </c>
      <c r="Q129" s="155">
        <f ca="1">IF(ISNUMBER(MATCH(DATEVALUE($A129),'recurring1_based on steps'!Q$1:Q$400,0)),Q$2,)</f>
        <v>100</v>
      </c>
      <c r="R129" s="155">
        <f ca="1">IF(ISNUMBER(MATCH(DATEVALUE($A129),'recurring1_based on steps'!R$1:R$400,0)),R$2,)</f>
        <v>100</v>
      </c>
      <c r="S129" s="155">
        <f ca="1">IF(ISNUMBER(MATCH(DATEVALUE($A129),'recurring1_based on steps'!S$1:S$400,0)),S$2,)</f>
        <v>0</v>
      </c>
      <c r="T129" s="155">
        <f ca="1">IF(ISNUMBER(MATCH(DATEVALUE($A129),'recurring1_based on steps'!T$1:T$400,0)),T$2,)</f>
        <v>0</v>
      </c>
      <c r="U129" s="155">
        <f ca="1">IF(ISNUMBER(MATCH(DATEVALUE($A129),'recurring1_based on steps'!U$1:U$400,0)),U$2,)</f>
        <v>0</v>
      </c>
      <c r="V129" s="155">
        <f ca="1">IF(ISNUMBER(MATCH(DATEVALUE($A129),'recurring1_based on steps'!V$1:V$400,0)),V$2,)</f>
        <v>0</v>
      </c>
      <c r="W129" s="155">
        <f ca="1">IF(ISNUMBER(MATCH(DATEVALUE($A129),'recurring1_based on steps'!W$1:W$400,0)),W$2,)</f>
        <v>0</v>
      </c>
      <c r="X129" s="155">
        <f ca="1">IF(ISNUMBER(MATCH(DATEVALUE($A129),'recurring1_based on steps'!X$1:X$400,0)),X$2,)</f>
        <v>0</v>
      </c>
      <c r="Y129" s="155">
        <f ca="1">IF(ISNUMBER(MATCH(DATEVALUE($A129),'recurring1_based on steps'!Y$1:Y$400,0)),Y$2,)</f>
        <v>0</v>
      </c>
      <c r="Z129" s="155">
        <f ca="1">IF(ISNUMBER(MATCH(DATEVALUE($A129),'recurring1_based on steps'!Z$1:Z$400,0)),Z$2,)</f>
        <v>0</v>
      </c>
      <c r="AA129" s="155">
        <f ca="1">IF(ISNUMBER(MATCH(DATEVALUE($A129),'recurring1_based on steps'!AA$1:AA$400,0)),AA$2,)</f>
        <v>0</v>
      </c>
      <c r="AB129" s="155">
        <f ca="1">IF(ISNUMBER(MATCH(DATEVALUE($A129),'recurring1_based on steps'!AB$1:AB$400,0)),AB$2,)</f>
        <v>0</v>
      </c>
      <c r="AC129" s="155">
        <f ca="1">IF(ISNUMBER(MATCH(DATEVALUE($A129),'recurring1_based on steps'!AC$1:AC$400,0)),AC$2,)</f>
        <v>0</v>
      </c>
      <c r="AD129" s="155">
        <f ca="1">IF(ISNUMBER(MATCH(DATEVALUE($A129),'recurring1_based on steps'!AD$1:AD$400,0)),AD$2,)</f>
        <v>0</v>
      </c>
      <c r="AE129" s="155">
        <f ca="1">IF(ISNUMBER(MATCH(DATEVALUE($A129),'recurring1_based on steps'!AE$1:AE$400,0)),AE$2,)</f>
        <v>0</v>
      </c>
      <c r="AF129" s="155">
        <f ca="1">IF(ISNUMBER(MATCH(DATEVALUE($A129),'recurring1_based on steps'!AF$1:AF$400,0)),AF$2,)</f>
        <v>0</v>
      </c>
      <c r="AG129" s="155">
        <f ca="1">IF(ISNUMBER(MATCH(DATEVALUE($A129),'recurring1_based on steps'!AG$1:AG$400,0)),AG$2,)</f>
        <v>0</v>
      </c>
      <c r="AH129" s="155">
        <f ca="1">IF(ISNUMBER(MATCH(DATEVALUE($A129),'recurring1_based on steps'!AH$1:AH$400,0)),AH$2,)</f>
        <v>0</v>
      </c>
      <c r="AI129" s="155">
        <f ca="1">IF(ISNUMBER(MATCH(DATEVALUE($A129),'recurring1_based on steps'!AI$1:AI$400,0)),AI$2,)</f>
        <v>0</v>
      </c>
      <c r="AJ129" s="155">
        <f ca="1">IF(ISNUMBER(MATCH(DATEVALUE($A129),'recurring1_based on steps'!AJ$1:AJ$400,0)),AJ$2,)</f>
        <v>0</v>
      </c>
      <c r="AK129" s="155">
        <f ca="1">IF(ISNUMBER(MATCH(DATEVALUE($A129),'recurring1_based on steps'!AK$1:AK$400,0)),AK$2,)</f>
        <v>0</v>
      </c>
      <c r="AL129" s="155">
        <f ca="1">IF(ISNUMBER(MATCH(DATEVALUE($A129),'recurring1_based on steps'!AL$1:AL$400,0)),AL$2,)</f>
        <v>0</v>
      </c>
      <c r="AM129" s="155">
        <f ca="1">IF(ISNUMBER(MATCH(DATEVALUE($A129),'recurring1_based on steps'!AM$1:AM$400,0)),AM$2,)</f>
        <v>0</v>
      </c>
      <c r="AN129" s="155">
        <f ca="1">IF(ISNUMBER(MATCH(DATEVALUE($A129),'recurring1_based on steps'!AN$1:AN$400,0)),AN$2,)</f>
        <v>0</v>
      </c>
      <c r="AO129" s="155">
        <f ca="1">IF(ISNUMBER(MATCH(DATEVALUE($A129),'recurring1_based on steps'!AO$1:AO$400,0)),AO$2,)</f>
        <v>0</v>
      </c>
      <c r="AP129" s="155">
        <f ca="1">IF(ISNUMBER(MATCH(DATEVALUE($A129),'recurring1_based on steps'!AP$1:AP$400,0)),AP$2,)</f>
        <v>0</v>
      </c>
      <c r="AQ129" s="155">
        <f ca="1">IF(ISNUMBER(MATCH(DATEVALUE($A129),'recurring1_based on steps'!AQ$1:AQ$400,0)),AQ$2,)</f>
        <v>0</v>
      </c>
      <c r="AR129" s="155">
        <f ca="1">IF(ISNUMBER(MATCH(DATEVALUE($A129),'recurring1_based on steps'!AR$1:AR$400,0)),AR$2,)</f>
        <v>0</v>
      </c>
      <c r="AS129" s="155">
        <f ca="1">IF(ISNUMBER(MATCH(DATEVALUE($A129),'recurring1_based on steps'!AS$1:AS$400,0)),AS$2,)</f>
        <v>0</v>
      </c>
      <c r="AT129" s="155">
        <f ca="1">IF(ISNUMBER(MATCH(DATEVALUE($A129),'recurring1_based on steps'!AT$1:AT$400,0)),AT$2,)</f>
        <v>0</v>
      </c>
      <c r="AU129" s="155">
        <f ca="1">IF(ISNUMBER(MATCH(DATEVALUE($A129),'recurring1_based on steps'!AU$1:AU$400,0)),AU$2,)</f>
        <v>0</v>
      </c>
      <c r="AV129" s="155">
        <f ca="1">IF(ISNUMBER(MATCH(DATEVALUE($A129),'recurring1_based on steps'!AV$1:AV$400,0)),AV$2,)</f>
        <v>0</v>
      </c>
      <c r="AW129" s="155">
        <f ca="1">IF(ISNUMBER(MATCH(DATEVALUE($A129),'recurring1_based on steps'!AW$1:AW$400,0)),AW$2,)</f>
        <v>0</v>
      </c>
      <c r="AX129" s="155">
        <f ca="1">IF(ISNUMBER(MATCH(DATEVALUE($A129),'recurring1_based on steps'!AX$1:AX$400,0)),AX$2,)</f>
        <v>0</v>
      </c>
      <c r="AY129" s="155">
        <f ca="1">IF(ISNUMBER(MATCH(DATEVALUE($A129),'recurring1_based on steps'!AY$1:AY$400,0)),AY$2,)</f>
        <v>0</v>
      </c>
    </row>
    <row r="130" spans="1:51" x14ac:dyDescent="0.2">
      <c r="A130" s="18" t="str">
        <f t="shared" ca="1" si="1"/>
        <v>2025-06-08</v>
      </c>
      <c r="B130" s="155">
        <f ca="1">IF(ISNUMBER(MATCH(DATEVALUE($A130),'recurring1_based on steps'!B$1:B$400,0)),B$2,)</f>
        <v>0</v>
      </c>
      <c r="C130" s="155">
        <f ca="1">IF(ISNUMBER(MATCH(DATEVALUE($A130),'recurring1_based on steps'!C$1:C$400,0)),C$2,)</f>
        <v>0</v>
      </c>
      <c r="D130" s="155">
        <f ca="1">IF(ISNUMBER(MATCH(DATEVALUE($A130),'recurring1_based on steps'!D$1:D$400,0)),D$2,)</f>
        <v>0</v>
      </c>
      <c r="E130" s="155">
        <f ca="1">IF(ISNUMBER(MATCH(DATEVALUE($A130),'recurring1_based on steps'!E$1:E$400,0)),E$2,)</f>
        <v>0</v>
      </c>
      <c r="F130" s="155">
        <f ca="1">IF(ISNUMBER(MATCH(DATEVALUE($A130),'recurring1_based on steps'!F$1:F$400,0)),F$2,)</f>
        <v>0</v>
      </c>
      <c r="G130" s="155">
        <f ca="1">IF(ISNUMBER(MATCH(DATEVALUE($A130),'recurring1_based on steps'!G$1:G$400,0)),G$2,)</f>
        <v>0</v>
      </c>
      <c r="H130" s="155">
        <f ca="1">IF(ISNUMBER(MATCH(DATEVALUE($A130),'recurring1_based on steps'!H$1:H$400,0)),H$2,)</f>
        <v>0</v>
      </c>
      <c r="I130" s="155">
        <f ca="1">IF(ISNUMBER(MATCH(DATEVALUE($A130),'recurring1_based on steps'!I$1:I$400,0)),I$2,)</f>
        <v>0</v>
      </c>
      <c r="J130" s="155">
        <f ca="1">IF(ISNUMBER(MATCH(DATEVALUE($A130),'recurring1_based on steps'!J$1:J$400,0)),J$2,)</f>
        <v>0</v>
      </c>
      <c r="K130" s="155">
        <f ca="1">IF(ISNUMBER(MATCH(DATEVALUE($A130),'recurring1_based on steps'!K$1:K$400,0)),K$2,)</f>
        <v>50</v>
      </c>
      <c r="L130" s="155">
        <f ca="1">IF(ISNUMBER(MATCH(DATEVALUE($A130),'recurring1_based on steps'!L$1:L$400,0)),L$2,)</f>
        <v>0</v>
      </c>
      <c r="M130" s="155">
        <f ca="1">IF(ISNUMBER(MATCH(DATEVALUE($A130),'recurring1_based on steps'!M$1:M$400,0)),M$2,)</f>
        <v>0</v>
      </c>
      <c r="N130" s="155">
        <f ca="1">IF(ISNUMBER(MATCH(DATEVALUE($A130),'recurring1_based on steps'!N$1:N$400,0)),N$2,)</f>
        <v>0</v>
      </c>
      <c r="O130" s="155">
        <f ca="1">IF(ISNUMBER(MATCH(DATEVALUE($A130),'recurring1_based on steps'!O$1:O$400,0)),O$2,)</f>
        <v>0</v>
      </c>
      <c r="P130" s="155">
        <f ca="1">IF(ISNUMBER(MATCH(DATEVALUE($A130),'recurring1_based on steps'!P$1:P$400,0)),P$2,)</f>
        <v>0</v>
      </c>
      <c r="Q130" s="155">
        <f ca="1">IF(ISNUMBER(MATCH(DATEVALUE($A130),'recurring1_based on steps'!Q$1:Q$400,0)),Q$2,)</f>
        <v>0</v>
      </c>
      <c r="R130" s="155">
        <f ca="1">IF(ISNUMBER(MATCH(DATEVALUE($A130),'recurring1_based on steps'!R$1:R$400,0)),R$2,)</f>
        <v>0</v>
      </c>
      <c r="S130" s="155">
        <f ca="1">IF(ISNUMBER(MATCH(DATEVALUE($A130),'recurring1_based on steps'!S$1:S$400,0)),S$2,)</f>
        <v>100</v>
      </c>
      <c r="T130" s="155">
        <f ca="1">IF(ISNUMBER(MATCH(DATEVALUE($A130),'recurring1_based on steps'!T$1:T$400,0)),T$2,)</f>
        <v>0</v>
      </c>
      <c r="U130" s="155">
        <f ca="1">IF(ISNUMBER(MATCH(DATEVALUE($A130),'recurring1_based on steps'!U$1:U$400,0)),U$2,)</f>
        <v>0</v>
      </c>
      <c r="V130" s="155">
        <f ca="1">IF(ISNUMBER(MATCH(DATEVALUE($A130),'recurring1_based on steps'!V$1:V$400,0)),V$2,)</f>
        <v>0</v>
      </c>
      <c r="W130" s="155">
        <f ca="1">IF(ISNUMBER(MATCH(DATEVALUE($A130),'recurring1_based on steps'!W$1:W$400,0)),W$2,)</f>
        <v>0</v>
      </c>
      <c r="X130" s="155">
        <f ca="1">IF(ISNUMBER(MATCH(DATEVALUE($A130),'recurring1_based on steps'!X$1:X$400,0)),X$2,)</f>
        <v>0</v>
      </c>
      <c r="Y130" s="155">
        <f ca="1">IF(ISNUMBER(MATCH(DATEVALUE($A130),'recurring1_based on steps'!Y$1:Y$400,0)),Y$2,)</f>
        <v>0</v>
      </c>
      <c r="Z130" s="155">
        <f ca="1">IF(ISNUMBER(MATCH(DATEVALUE($A130),'recurring1_based on steps'!Z$1:Z$400,0)),Z$2,)</f>
        <v>0</v>
      </c>
      <c r="AA130" s="155">
        <f ca="1">IF(ISNUMBER(MATCH(DATEVALUE($A130),'recurring1_based on steps'!AA$1:AA$400,0)),AA$2,)</f>
        <v>0</v>
      </c>
      <c r="AB130" s="155">
        <f ca="1">IF(ISNUMBER(MATCH(DATEVALUE($A130),'recurring1_based on steps'!AB$1:AB$400,0)),AB$2,)</f>
        <v>0</v>
      </c>
      <c r="AC130" s="155">
        <f ca="1">IF(ISNUMBER(MATCH(DATEVALUE($A130),'recurring1_based on steps'!AC$1:AC$400,0)),AC$2,)</f>
        <v>0</v>
      </c>
      <c r="AD130" s="155">
        <f ca="1">IF(ISNUMBER(MATCH(DATEVALUE($A130),'recurring1_based on steps'!AD$1:AD$400,0)),AD$2,)</f>
        <v>0</v>
      </c>
      <c r="AE130" s="155">
        <f ca="1">IF(ISNUMBER(MATCH(DATEVALUE($A130),'recurring1_based on steps'!AE$1:AE$400,0)),AE$2,)</f>
        <v>0</v>
      </c>
      <c r="AF130" s="155">
        <f ca="1">IF(ISNUMBER(MATCH(DATEVALUE($A130),'recurring1_based on steps'!AF$1:AF$400,0)),AF$2,)</f>
        <v>0</v>
      </c>
      <c r="AG130" s="155">
        <f ca="1">IF(ISNUMBER(MATCH(DATEVALUE($A130),'recurring1_based on steps'!AG$1:AG$400,0)),AG$2,)</f>
        <v>0</v>
      </c>
      <c r="AH130" s="155">
        <f ca="1">IF(ISNUMBER(MATCH(DATEVALUE($A130),'recurring1_based on steps'!AH$1:AH$400,0)),AH$2,)</f>
        <v>0</v>
      </c>
      <c r="AI130" s="155">
        <f ca="1">IF(ISNUMBER(MATCH(DATEVALUE($A130),'recurring1_based on steps'!AI$1:AI$400,0)),AI$2,)</f>
        <v>0</v>
      </c>
      <c r="AJ130" s="155">
        <f ca="1">IF(ISNUMBER(MATCH(DATEVALUE($A130),'recurring1_based on steps'!AJ$1:AJ$400,0)),AJ$2,)</f>
        <v>0</v>
      </c>
      <c r="AK130" s="155">
        <f ca="1">IF(ISNUMBER(MATCH(DATEVALUE($A130),'recurring1_based on steps'!AK$1:AK$400,0)),AK$2,)</f>
        <v>0</v>
      </c>
      <c r="AL130" s="155">
        <f ca="1">IF(ISNUMBER(MATCH(DATEVALUE($A130),'recurring1_based on steps'!AL$1:AL$400,0)),AL$2,)</f>
        <v>0</v>
      </c>
      <c r="AM130" s="155">
        <f ca="1">IF(ISNUMBER(MATCH(DATEVALUE($A130),'recurring1_based on steps'!AM$1:AM$400,0)),AM$2,)</f>
        <v>0</v>
      </c>
      <c r="AN130" s="155">
        <f ca="1">IF(ISNUMBER(MATCH(DATEVALUE($A130),'recurring1_based on steps'!AN$1:AN$400,0)),AN$2,)</f>
        <v>0</v>
      </c>
      <c r="AO130" s="155">
        <f ca="1">IF(ISNUMBER(MATCH(DATEVALUE($A130),'recurring1_based on steps'!AO$1:AO$400,0)),AO$2,)</f>
        <v>0</v>
      </c>
      <c r="AP130" s="155">
        <f ca="1">IF(ISNUMBER(MATCH(DATEVALUE($A130),'recurring1_based on steps'!AP$1:AP$400,0)),AP$2,)</f>
        <v>0</v>
      </c>
      <c r="AQ130" s="155">
        <f ca="1">IF(ISNUMBER(MATCH(DATEVALUE($A130),'recurring1_based on steps'!AQ$1:AQ$400,0)),AQ$2,)</f>
        <v>0</v>
      </c>
      <c r="AR130" s="155">
        <f ca="1">IF(ISNUMBER(MATCH(DATEVALUE($A130),'recurring1_based on steps'!AR$1:AR$400,0)),AR$2,)</f>
        <v>0</v>
      </c>
      <c r="AS130" s="155">
        <f ca="1">IF(ISNUMBER(MATCH(DATEVALUE($A130),'recurring1_based on steps'!AS$1:AS$400,0)),AS$2,)</f>
        <v>0</v>
      </c>
      <c r="AT130" s="155">
        <f ca="1">IF(ISNUMBER(MATCH(DATEVALUE($A130),'recurring1_based on steps'!AT$1:AT$400,0)),AT$2,)</f>
        <v>0</v>
      </c>
      <c r="AU130" s="155">
        <f ca="1">IF(ISNUMBER(MATCH(DATEVALUE($A130),'recurring1_based on steps'!AU$1:AU$400,0)),AU$2,)</f>
        <v>0</v>
      </c>
      <c r="AV130" s="155">
        <f ca="1">IF(ISNUMBER(MATCH(DATEVALUE($A130),'recurring1_based on steps'!AV$1:AV$400,0)),AV$2,)</f>
        <v>0</v>
      </c>
      <c r="AW130" s="155">
        <f ca="1">IF(ISNUMBER(MATCH(DATEVALUE($A130),'recurring1_based on steps'!AW$1:AW$400,0)),AW$2,)</f>
        <v>0</v>
      </c>
      <c r="AX130" s="155">
        <f ca="1">IF(ISNUMBER(MATCH(DATEVALUE($A130),'recurring1_based on steps'!AX$1:AX$400,0)),AX$2,)</f>
        <v>0</v>
      </c>
      <c r="AY130" s="155">
        <f ca="1">IF(ISNUMBER(MATCH(DATEVALUE($A130),'recurring1_based on steps'!AY$1:AY$400,0)),AY$2,)</f>
        <v>0</v>
      </c>
    </row>
    <row r="131" spans="1:51" x14ac:dyDescent="0.2">
      <c r="A131" s="18" t="str">
        <f t="shared" ca="1" si="1"/>
        <v>2025-06-09</v>
      </c>
      <c r="B131" s="155">
        <f ca="1">IF(ISNUMBER(MATCH(DATEVALUE($A131),'recurring1_based on steps'!B$1:B$400,0)),B$2,)</f>
        <v>0</v>
      </c>
      <c r="C131" s="155">
        <f ca="1">IF(ISNUMBER(MATCH(DATEVALUE($A131),'recurring1_based on steps'!C$1:C$400,0)),C$2,)</f>
        <v>0</v>
      </c>
      <c r="D131" s="155">
        <f ca="1">IF(ISNUMBER(MATCH(DATEVALUE($A131),'recurring1_based on steps'!D$1:D$400,0)),D$2,)</f>
        <v>0</v>
      </c>
      <c r="E131" s="155">
        <f ca="1">IF(ISNUMBER(MATCH(DATEVALUE($A131),'recurring1_based on steps'!E$1:E$400,0)),E$2,)</f>
        <v>0</v>
      </c>
      <c r="F131" s="155">
        <f ca="1">IF(ISNUMBER(MATCH(DATEVALUE($A131),'recurring1_based on steps'!F$1:F$400,0)),F$2,)</f>
        <v>0</v>
      </c>
      <c r="G131" s="155">
        <f ca="1">IF(ISNUMBER(MATCH(DATEVALUE($A131),'recurring1_based on steps'!G$1:G$400,0)),G$2,)</f>
        <v>0</v>
      </c>
      <c r="H131" s="155">
        <f ca="1">IF(ISNUMBER(MATCH(DATEVALUE($A131),'recurring1_based on steps'!H$1:H$400,0)),H$2,)</f>
        <v>0</v>
      </c>
      <c r="I131" s="155">
        <f ca="1">IF(ISNUMBER(MATCH(DATEVALUE($A131),'recurring1_based on steps'!I$1:I$400,0)),I$2,)</f>
        <v>0</v>
      </c>
      <c r="J131" s="155">
        <f ca="1">IF(ISNUMBER(MATCH(DATEVALUE($A131),'recurring1_based on steps'!J$1:J$400,0)),J$2,)</f>
        <v>0</v>
      </c>
      <c r="K131" s="155">
        <f ca="1">IF(ISNUMBER(MATCH(DATEVALUE($A131),'recurring1_based on steps'!K$1:K$400,0)),K$2,)</f>
        <v>0</v>
      </c>
      <c r="L131" s="155">
        <f ca="1">IF(ISNUMBER(MATCH(DATEVALUE($A131),'recurring1_based on steps'!L$1:L$400,0)),L$2,)</f>
        <v>0</v>
      </c>
      <c r="M131" s="155">
        <f ca="1">IF(ISNUMBER(MATCH(DATEVALUE($A131),'recurring1_based on steps'!M$1:M$400,0)),M$2,)</f>
        <v>0</v>
      </c>
      <c r="N131" s="155">
        <f ca="1">IF(ISNUMBER(MATCH(DATEVALUE($A131),'recurring1_based on steps'!N$1:N$400,0)),N$2,)</f>
        <v>0</v>
      </c>
      <c r="O131" s="155">
        <f ca="1">IF(ISNUMBER(MATCH(DATEVALUE($A131),'recurring1_based on steps'!O$1:O$400,0)),O$2,)</f>
        <v>0</v>
      </c>
      <c r="P131" s="155">
        <f ca="1">IF(ISNUMBER(MATCH(DATEVALUE($A131),'recurring1_based on steps'!P$1:P$400,0)),P$2,)</f>
        <v>0</v>
      </c>
      <c r="Q131" s="155">
        <f ca="1">IF(ISNUMBER(MATCH(DATEVALUE($A131),'recurring1_based on steps'!Q$1:Q$400,0)),Q$2,)</f>
        <v>0</v>
      </c>
      <c r="R131" s="155">
        <f ca="1">IF(ISNUMBER(MATCH(DATEVALUE($A131),'recurring1_based on steps'!R$1:R$400,0)),R$2,)</f>
        <v>0</v>
      </c>
      <c r="S131" s="155">
        <f ca="1">IF(ISNUMBER(MATCH(DATEVALUE($A131),'recurring1_based on steps'!S$1:S$400,0)),S$2,)</f>
        <v>0</v>
      </c>
      <c r="T131" s="155">
        <f ca="1">IF(ISNUMBER(MATCH(DATEVALUE($A131),'recurring1_based on steps'!T$1:T$400,0)),T$2,)</f>
        <v>50</v>
      </c>
      <c r="U131" s="155">
        <f ca="1">IF(ISNUMBER(MATCH(DATEVALUE($A131),'recurring1_based on steps'!U$1:U$400,0)),U$2,)</f>
        <v>0</v>
      </c>
      <c r="V131" s="155">
        <f ca="1">IF(ISNUMBER(MATCH(DATEVALUE($A131),'recurring1_based on steps'!V$1:V$400,0)),V$2,)</f>
        <v>0</v>
      </c>
      <c r="W131" s="155">
        <f ca="1">IF(ISNUMBER(MATCH(DATEVALUE($A131),'recurring1_based on steps'!W$1:W$400,0)),W$2,)</f>
        <v>0</v>
      </c>
      <c r="X131" s="155">
        <f ca="1">IF(ISNUMBER(MATCH(DATEVALUE($A131),'recurring1_based on steps'!X$1:X$400,0)),X$2,)</f>
        <v>0</v>
      </c>
      <c r="Y131" s="155">
        <f ca="1">IF(ISNUMBER(MATCH(DATEVALUE($A131),'recurring1_based on steps'!Y$1:Y$400,0)),Y$2,)</f>
        <v>0</v>
      </c>
      <c r="Z131" s="155">
        <f ca="1">IF(ISNUMBER(MATCH(DATEVALUE($A131),'recurring1_based on steps'!Z$1:Z$400,0)),Z$2,)</f>
        <v>0</v>
      </c>
      <c r="AA131" s="155">
        <f ca="1">IF(ISNUMBER(MATCH(DATEVALUE($A131),'recurring1_based on steps'!AA$1:AA$400,0)),AA$2,)</f>
        <v>0</v>
      </c>
      <c r="AB131" s="155">
        <f ca="1">IF(ISNUMBER(MATCH(DATEVALUE($A131),'recurring1_based on steps'!AB$1:AB$400,0)),AB$2,)</f>
        <v>0</v>
      </c>
      <c r="AC131" s="155">
        <f ca="1">IF(ISNUMBER(MATCH(DATEVALUE($A131),'recurring1_based on steps'!AC$1:AC$400,0)),AC$2,)</f>
        <v>0</v>
      </c>
      <c r="AD131" s="155">
        <f ca="1">IF(ISNUMBER(MATCH(DATEVALUE($A131),'recurring1_based on steps'!AD$1:AD$400,0)),AD$2,)</f>
        <v>0</v>
      </c>
      <c r="AE131" s="155">
        <f ca="1">IF(ISNUMBER(MATCH(DATEVALUE($A131),'recurring1_based on steps'!AE$1:AE$400,0)),AE$2,)</f>
        <v>0</v>
      </c>
      <c r="AF131" s="155">
        <f ca="1">IF(ISNUMBER(MATCH(DATEVALUE($A131),'recurring1_based on steps'!AF$1:AF$400,0)),AF$2,)</f>
        <v>0</v>
      </c>
      <c r="AG131" s="155">
        <f ca="1">IF(ISNUMBER(MATCH(DATEVALUE($A131),'recurring1_based on steps'!AG$1:AG$400,0)),AG$2,)</f>
        <v>0</v>
      </c>
      <c r="AH131" s="155">
        <f ca="1">IF(ISNUMBER(MATCH(DATEVALUE($A131),'recurring1_based on steps'!AH$1:AH$400,0)),AH$2,)</f>
        <v>0</v>
      </c>
      <c r="AI131" s="155">
        <f ca="1">IF(ISNUMBER(MATCH(DATEVALUE($A131),'recurring1_based on steps'!AI$1:AI$400,0)),AI$2,)</f>
        <v>0</v>
      </c>
      <c r="AJ131" s="155">
        <f ca="1">IF(ISNUMBER(MATCH(DATEVALUE($A131),'recurring1_based on steps'!AJ$1:AJ$400,0)),AJ$2,)</f>
        <v>0</v>
      </c>
      <c r="AK131" s="155">
        <f ca="1">IF(ISNUMBER(MATCH(DATEVALUE($A131),'recurring1_based on steps'!AK$1:AK$400,0)),AK$2,)</f>
        <v>0</v>
      </c>
      <c r="AL131" s="155">
        <f ca="1">IF(ISNUMBER(MATCH(DATEVALUE($A131),'recurring1_based on steps'!AL$1:AL$400,0)),AL$2,)</f>
        <v>0</v>
      </c>
      <c r="AM131" s="155">
        <f ca="1">IF(ISNUMBER(MATCH(DATEVALUE($A131),'recurring1_based on steps'!AM$1:AM$400,0)),AM$2,)</f>
        <v>0</v>
      </c>
      <c r="AN131" s="155">
        <f ca="1">IF(ISNUMBER(MATCH(DATEVALUE($A131),'recurring1_based on steps'!AN$1:AN$400,0)),AN$2,)</f>
        <v>0</v>
      </c>
      <c r="AO131" s="155">
        <f ca="1">IF(ISNUMBER(MATCH(DATEVALUE($A131),'recurring1_based on steps'!AO$1:AO$400,0)),AO$2,)</f>
        <v>0</v>
      </c>
      <c r="AP131" s="155">
        <f ca="1">IF(ISNUMBER(MATCH(DATEVALUE($A131),'recurring1_based on steps'!AP$1:AP$400,0)),AP$2,)</f>
        <v>0</v>
      </c>
      <c r="AQ131" s="155">
        <f ca="1">IF(ISNUMBER(MATCH(DATEVALUE($A131),'recurring1_based on steps'!AQ$1:AQ$400,0)),AQ$2,)</f>
        <v>0</v>
      </c>
      <c r="AR131" s="155">
        <f ca="1">IF(ISNUMBER(MATCH(DATEVALUE($A131),'recurring1_based on steps'!AR$1:AR$400,0)),AR$2,)</f>
        <v>0</v>
      </c>
      <c r="AS131" s="155">
        <f ca="1">IF(ISNUMBER(MATCH(DATEVALUE($A131),'recurring1_based on steps'!AS$1:AS$400,0)),AS$2,)</f>
        <v>0</v>
      </c>
      <c r="AT131" s="155">
        <f ca="1">IF(ISNUMBER(MATCH(DATEVALUE($A131),'recurring1_based on steps'!AT$1:AT$400,0)),AT$2,)</f>
        <v>0</v>
      </c>
      <c r="AU131" s="155">
        <f ca="1">IF(ISNUMBER(MATCH(DATEVALUE($A131),'recurring1_based on steps'!AU$1:AU$400,0)),AU$2,)</f>
        <v>0</v>
      </c>
      <c r="AV131" s="155">
        <f ca="1">IF(ISNUMBER(MATCH(DATEVALUE($A131),'recurring1_based on steps'!AV$1:AV$400,0)),AV$2,)</f>
        <v>0</v>
      </c>
      <c r="AW131" s="155">
        <f ca="1">IF(ISNUMBER(MATCH(DATEVALUE($A131),'recurring1_based on steps'!AW$1:AW$400,0)),AW$2,)</f>
        <v>0</v>
      </c>
      <c r="AX131" s="155">
        <f ca="1">IF(ISNUMBER(MATCH(DATEVALUE($A131),'recurring1_based on steps'!AX$1:AX$400,0)),AX$2,)</f>
        <v>0</v>
      </c>
      <c r="AY131" s="155">
        <f ca="1">IF(ISNUMBER(MATCH(DATEVALUE($A131),'recurring1_based on steps'!AY$1:AY$400,0)),AY$2,)</f>
        <v>0</v>
      </c>
    </row>
    <row r="132" spans="1:51" x14ac:dyDescent="0.2">
      <c r="A132" s="18" t="str">
        <f t="shared" ca="1" si="1"/>
        <v>2025-06-10</v>
      </c>
      <c r="B132" s="155">
        <f ca="1">IF(ISNUMBER(MATCH(DATEVALUE($A132),'recurring1_based on steps'!B$1:B$400,0)),B$2,)</f>
        <v>0</v>
      </c>
      <c r="C132" s="155">
        <f ca="1">IF(ISNUMBER(MATCH(DATEVALUE($A132),'recurring1_based on steps'!C$1:C$400,0)),C$2,)</f>
        <v>0</v>
      </c>
      <c r="D132" s="155">
        <f ca="1">IF(ISNUMBER(MATCH(DATEVALUE($A132),'recurring1_based on steps'!D$1:D$400,0)),D$2,)</f>
        <v>0</v>
      </c>
      <c r="E132" s="155">
        <f ca="1">IF(ISNUMBER(MATCH(DATEVALUE($A132),'recurring1_based on steps'!E$1:E$400,0)),E$2,)</f>
        <v>0</v>
      </c>
      <c r="F132" s="155">
        <f ca="1">IF(ISNUMBER(MATCH(DATEVALUE($A132),'recurring1_based on steps'!F$1:F$400,0)),F$2,)</f>
        <v>0</v>
      </c>
      <c r="G132" s="155">
        <f ca="1">IF(ISNUMBER(MATCH(DATEVALUE($A132),'recurring1_based on steps'!G$1:G$400,0)),G$2,)</f>
        <v>0</v>
      </c>
      <c r="H132" s="155">
        <f ca="1">IF(ISNUMBER(MATCH(DATEVALUE($A132),'recurring1_based on steps'!H$1:H$400,0)),H$2,)</f>
        <v>0</v>
      </c>
      <c r="I132" s="155">
        <f ca="1">IF(ISNUMBER(MATCH(DATEVALUE($A132),'recurring1_based on steps'!I$1:I$400,0)),I$2,)</f>
        <v>0</v>
      </c>
      <c r="J132" s="155">
        <f ca="1">IF(ISNUMBER(MATCH(DATEVALUE($A132),'recurring1_based on steps'!J$1:J$400,0)),J$2,)</f>
        <v>0</v>
      </c>
      <c r="K132" s="155">
        <f ca="1">IF(ISNUMBER(MATCH(DATEVALUE($A132),'recurring1_based on steps'!K$1:K$400,0)),K$2,)</f>
        <v>0</v>
      </c>
      <c r="L132" s="155">
        <f ca="1">IF(ISNUMBER(MATCH(DATEVALUE($A132),'recurring1_based on steps'!L$1:L$400,0)),L$2,)</f>
        <v>0</v>
      </c>
      <c r="M132" s="155">
        <f ca="1">IF(ISNUMBER(MATCH(DATEVALUE($A132),'recurring1_based on steps'!M$1:M$400,0)),M$2,)</f>
        <v>0</v>
      </c>
      <c r="N132" s="155">
        <f ca="1">IF(ISNUMBER(MATCH(DATEVALUE($A132),'recurring1_based on steps'!N$1:N$400,0)),N$2,)</f>
        <v>0</v>
      </c>
      <c r="O132" s="155">
        <f ca="1">IF(ISNUMBER(MATCH(DATEVALUE($A132),'recurring1_based on steps'!O$1:O$400,0)),O$2,)</f>
        <v>0</v>
      </c>
      <c r="P132" s="155">
        <f ca="1">IF(ISNUMBER(MATCH(DATEVALUE($A132),'recurring1_based on steps'!P$1:P$400,0)),P$2,)</f>
        <v>0</v>
      </c>
      <c r="Q132" s="155">
        <f ca="1">IF(ISNUMBER(MATCH(DATEVALUE($A132),'recurring1_based on steps'!Q$1:Q$400,0)),Q$2,)</f>
        <v>0</v>
      </c>
      <c r="R132" s="155">
        <f ca="1">IF(ISNUMBER(MATCH(DATEVALUE($A132),'recurring1_based on steps'!R$1:R$400,0)),R$2,)</f>
        <v>0</v>
      </c>
      <c r="S132" s="155">
        <f ca="1">IF(ISNUMBER(MATCH(DATEVALUE($A132),'recurring1_based on steps'!S$1:S$400,0)),S$2,)</f>
        <v>0</v>
      </c>
      <c r="T132" s="155">
        <f ca="1">IF(ISNUMBER(MATCH(DATEVALUE($A132),'recurring1_based on steps'!T$1:T$400,0)),T$2,)</f>
        <v>0</v>
      </c>
      <c r="U132" s="155">
        <f ca="1">IF(ISNUMBER(MATCH(DATEVALUE($A132),'recurring1_based on steps'!U$1:U$400,0)),U$2,)</f>
        <v>0</v>
      </c>
      <c r="V132" s="155">
        <f ca="1">IF(ISNUMBER(MATCH(DATEVALUE($A132),'recurring1_based on steps'!V$1:V$400,0)),V$2,)</f>
        <v>0</v>
      </c>
      <c r="W132" s="155">
        <f ca="1">IF(ISNUMBER(MATCH(DATEVALUE($A132),'recurring1_based on steps'!W$1:W$400,0)),W$2,)</f>
        <v>0</v>
      </c>
      <c r="X132" s="155">
        <f ca="1">IF(ISNUMBER(MATCH(DATEVALUE($A132),'recurring1_based on steps'!X$1:X$400,0)),X$2,)</f>
        <v>0</v>
      </c>
      <c r="Y132" s="155">
        <f ca="1">IF(ISNUMBER(MATCH(DATEVALUE($A132),'recurring1_based on steps'!Y$1:Y$400,0)),Y$2,)</f>
        <v>0</v>
      </c>
      <c r="Z132" s="155">
        <f ca="1">IF(ISNUMBER(MATCH(DATEVALUE($A132),'recurring1_based on steps'!Z$1:Z$400,0)),Z$2,)</f>
        <v>0</v>
      </c>
      <c r="AA132" s="155">
        <f ca="1">IF(ISNUMBER(MATCH(DATEVALUE($A132),'recurring1_based on steps'!AA$1:AA$400,0)),AA$2,)</f>
        <v>0</v>
      </c>
      <c r="AB132" s="155">
        <f ca="1">IF(ISNUMBER(MATCH(DATEVALUE($A132),'recurring1_based on steps'!AB$1:AB$400,0)),AB$2,)</f>
        <v>0</v>
      </c>
      <c r="AC132" s="155">
        <f ca="1">IF(ISNUMBER(MATCH(DATEVALUE($A132),'recurring1_based on steps'!AC$1:AC$400,0)),AC$2,)</f>
        <v>0</v>
      </c>
      <c r="AD132" s="155">
        <f ca="1">IF(ISNUMBER(MATCH(DATEVALUE($A132),'recurring1_based on steps'!AD$1:AD$400,0)),AD$2,)</f>
        <v>0</v>
      </c>
      <c r="AE132" s="155">
        <f ca="1">IF(ISNUMBER(MATCH(DATEVALUE($A132),'recurring1_based on steps'!AE$1:AE$400,0)),AE$2,)</f>
        <v>0</v>
      </c>
      <c r="AF132" s="155">
        <f ca="1">IF(ISNUMBER(MATCH(DATEVALUE($A132),'recurring1_based on steps'!AF$1:AF$400,0)),AF$2,)</f>
        <v>0</v>
      </c>
      <c r="AG132" s="155">
        <f ca="1">IF(ISNUMBER(MATCH(DATEVALUE($A132),'recurring1_based on steps'!AG$1:AG$400,0)),AG$2,)</f>
        <v>0</v>
      </c>
      <c r="AH132" s="155">
        <f ca="1">IF(ISNUMBER(MATCH(DATEVALUE($A132),'recurring1_based on steps'!AH$1:AH$400,0)),AH$2,)</f>
        <v>0</v>
      </c>
      <c r="AI132" s="155">
        <f ca="1">IF(ISNUMBER(MATCH(DATEVALUE($A132),'recurring1_based on steps'!AI$1:AI$400,0)),AI$2,)</f>
        <v>0</v>
      </c>
      <c r="AJ132" s="155">
        <f ca="1">IF(ISNUMBER(MATCH(DATEVALUE($A132),'recurring1_based on steps'!AJ$1:AJ$400,0)),AJ$2,)</f>
        <v>0</v>
      </c>
      <c r="AK132" s="155">
        <f ca="1">IF(ISNUMBER(MATCH(DATEVALUE($A132),'recurring1_based on steps'!AK$1:AK$400,0)),AK$2,)</f>
        <v>0</v>
      </c>
      <c r="AL132" s="155">
        <f ca="1">IF(ISNUMBER(MATCH(DATEVALUE($A132),'recurring1_based on steps'!AL$1:AL$400,0)),AL$2,)</f>
        <v>0</v>
      </c>
      <c r="AM132" s="155">
        <f ca="1">IF(ISNUMBER(MATCH(DATEVALUE($A132),'recurring1_based on steps'!AM$1:AM$400,0)),AM$2,)</f>
        <v>0</v>
      </c>
      <c r="AN132" s="155">
        <f ca="1">IF(ISNUMBER(MATCH(DATEVALUE($A132),'recurring1_based on steps'!AN$1:AN$400,0)),AN$2,)</f>
        <v>0</v>
      </c>
      <c r="AO132" s="155">
        <f ca="1">IF(ISNUMBER(MATCH(DATEVALUE($A132),'recurring1_based on steps'!AO$1:AO$400,0)),AO$2,)</f>
        <v>0</v>
      </c>
      <c r="AP132" s="155">
        <f ca="1">IF(ISNUMBER(MATCH(DATEVALUE($A132),'recurring1_based on steps'!AP$1:AP$400,0)),AP$2,)</f>
        <v>0</v>
      </c>
      <c r="AQ132" s="155">
        <f ca="1">IF(ISNUMBER(MATCH(DATEVALUE($A132),'recurring1_based on steps'!AQ$1:AQ$400,0)),AQ$2,)</f>
        <v>0</v>
      </c>
      <c r="AR132" s="155">
        <f ca="1">IF(ISNUMBER(MATCH(DATEVALUE($A132),'recurring1_based on steps'!AR$1:AR$400,0)),AR$2,)</f>
        <v>0</v>
      </c>
      <c r="AS132" s="155">
        <f ca="1">IF(ISNUMBER(MATCH(DATEVALUE($A132),'recurring1_based on steps'!AS$1:AS$400,0)),AS$2,)</f>
        <v>0</v>
      </c>
      <c r="AT132" s="155">
        <f ca="1">IF(ISNUMBER(MATCH(DATEVALUE($A132),'recurring1_based on steps'!AT$1:AT$400,0)),AT$2,)</f>
        <v>0</v>
      </c>
      <c r="AU132" s="155">
        <f ca="1">IF(ISNUMBER(MATCH(DATEVALUE($A132),'recurring1_based on steps'!AU$1:AU$400,0)),AU$2,)</f>
        <v>0</v>
      </c>
      <c r="AV132" s="155">
        <f ca="1">IF(ISNUMBER(MATCH(DATEVALUE($A132),'recurring1_based on steps'!AV$1:AV$400,0)),AV$2,)</f>
        <v>0</v>
      </c>
      <c r="AW132" s="155">
        <f ca="1">IF(ISNUMBER(MATCH(DATEVALUE($A132),'recurring1_based on steps'!AW$1:AW$400,0)),AW$2,)</f>
        <v>0</v>
      </c>
      <c r="AX132" s="155">
        <f ca="1">IF(ISNUMBER(MATCH(DATEVALUE($A132),'recurring1_based on steps'!AX$1:AX$400,0)),AX$2,)</f>
        <v>0</v>
      </c>
      <c r="AY132" s="155">
        <f ca="1">IF(ISNUMBER(MATCH(DATEVALUE($A132),'recurring1_based on steps'!AY$1:AY$400,0)),AY$2,)</f>
        <v>0</v>
      </c>
    </row>
    <row r="133" spans="1:51" x14ac:dyDescent="0.2">
      <c r="A133" s="18" t="str">
        <f t="shared" ref="A133:A196" ca="1" si="2">TEXT(DATEVALUE(A132)+1,"yyyy-mm-dd")</f>
        <v>2025-06-11</v>
      </c>
      <c r="B133" s="155">
        <f ca="1">IF(ISNUMBER(MATCH(DATEVALUE($A133),'recurring1_based on steps'!B$1:B$400,0)),B$2,)</f>
        <v>0</v>
      </c>
      <c r="C133" s="155">
        <f ca="1">IF(ISNUMBER(MATCH(DATEVALUE($A133),'recurring1_based on steps'!C$1:C$400,0)),C$2,)</f>
        <v>0</v>
      </c>
      <c r="D133" s="155">
        <f ca="1">IF(ISNUMBER(MATCH(DATEVALUE($A133),'recurring1_based on steps'!D$1:D$400,0)),D$2,)</f>
        <v>0</v>
      </c>
      <c r="E133" s="155">
        <f ca="1">IF(ISNUMBER(MATCH(DATEVALUE($A133),'recurring1_based on steps'!E$1:E$400,0)),E$2,)</f>
        <v>0</v>
      </c>
      <c r="F133" s="155">
        <f ca="1">IF(ISNUMBER(MATCH(DATEVALUE($A133),'recurring1_based on steps'!F$1:F$400,0)),F$2,)</f>
        <v>0</v>
      </c>
      <c r="G133" s="155">
        <f ca="1">IF(ISNUMBER(MATCH(DATEVALUE($A133),'recurring1_based on steps'!G$1:G$400,0)),G$2,)</f>
        <v>0</v>
      </c>
      <c r="H133" s="155">
        <f ca="1">IF(ISNUMBER(MATCH(DATEVALUE($A133),'recurring1_based on steps'!H$1:H$400,0)),H$2,)</f>
        <v>0</v>
      </c>
      <c r="I133" s="155">
        <f ca="1">IF(ISNUMBER(MATCH(DATEVALUE($A133),'recurring1_based on steps'!I$1:I$400,0)),I$2,)</f>
        <v>0</v>
      </c>
      <c r="J133" s="155">
        <f ca="1">IF(ISNUMBER(MATCH(DATEVALUE($A133),'recurring1_based on steps'!J$1:J$400,0)),J$2,)</f>
        <v>500</v>
      </c>
      <c r="K133" s="155">
        <f ca="1">IF(ISNUMBER(MATCH(DATEVALUE($A133),'recurring1_based on steps'!K$1:K$400,0)),K$2,)</f>
        <v>0</v>
      </c>
      <c r="L133" s="155">
        <f ca="1">IF(ISNUMBER(MATCH(DATEVALUE($A133),'recurring1_based on steps'!L$1:L$400,0)),L$2,)</f>
        <v>69</v>
      </c>
      <c r="M133" s="155">
        <f ca="1">IF(ISNUMBER(MATCH(DATEVALUE($A133),'recurring1_based on steps'!M$1:M$400,0)),M$2,)</f>
        <v>0</v>
      </c>
      <c r="N133" s="155">
        <f ca="1">IF(ISNUMBER(MATCH(DATEVALUE($A133),'recurring1_based on steps'!N$1:N$400,0)),N$2,)</f>
        <v>0</v>
      </c>
      <c r="O133" s="155">
        <f ca="1">IF(ISNUMBER(MATCH(DATEVALUE($A133),'recurring1_based on steps'!O$1:O$400,0)),O$2,)</f>
        <v>0</v>
      </c>
      <c r="P133" s="155">
        <f ca="1">IF(ISNUMBER(MATCH(DATEVALUE($A133),'recurring1_based on steps'!P$1:P$400,0)),P$2,)</f>
        <v>0</v>
      </c>
      <c r="Q133" s="155">
        <f ca="1">IF(ISNUMBER(MATCH(DATEVALUE($A133),'recurring1_based on steps'!Q$1:Q$400,0)),Q$2,)</f>
        <v>0</v>
      </c>
      <c r="R133" s="155">
        <f ca="1">IF(ISNUMBER(MATCH(DATEVALUE($A133),'recurring1_based on steps'!R$1:R$400,0)),R$2,)</f>
        <v>0</v>
      </c>
      <c r="S133" s="155">
        <f ca="1">IF(ISNUMBER(MATCH(DATEVALUE($A133),'recurring1_based on steps'!S$1:S$400,0)),S$2,)</f>
        <v>0</v>
      </c>
      <c r="T133" s="155">
        <f ca="1">IF(ISNUMBER(MATCH(DATEVALUE($A133),'recurring1_based on steps'!T$1:T$400,0)),T$2,)</f>
        <v>0</v>
      </c>
      <c r="U133" s="155">
        <f ca="1">IF(ISNUMBER(MATCH(DATEVALUE($A133),'recurring1_based on steps'!U$1:U$400,0)),U$2,)</f>
        <v>0</v>
      </c>
      <c r="V133" s="155">
        <f ca="1">IF(ISNUMBER(MATCH(DATEVALUE($A133),'recurring1_based on steps'!V$1:V$400,0)),V$2,)</f>
        <v>0</v>
      </c>
      <c r="W133" s="155">
        <f ca="1">IF(ISNUMBER(MATCH(DATEVALUE($A133),'recurring1_based on steps'!W$1:W$400,0)),W$2,)</f>
        <v>0</v>
      </c>
      <c r="X133" s="155">
        <f ca="1">IF(ISNUMBER(MATCH(DATEVALUE($A133),'recurring1_based on steps'!X$1:X$400,0)),X$2,)</f>
        <v>0</v>
      </c>
      <c r="Y133" s="155">
        <f ca="1">IF(ISNUMBER(MATCH(DATEVALUE($A133),'recurring1_based on steps'!Y$1:Y$400,0)),Y$2,)</f>
        <v>0</v>
      </c>
      <c r="Z133" s="155">
        <f ca="1">IF(ISNUMBER(MATCH(DATEVALUE($A133),'recurring1_based on steps'!Z$1:Z$400,0)),Z$2,)</f>
        <v>0</v>
      </c>
      <c r="AA133" s="155">
        <f ca="1">IF(ISNUMBER(MATCH(DATEVALUE($A133),'recurring1_based on steps'!AA$1:AA$400,0)),AA$2,)</f>
        <v>0</v>
      </c>
      <c r="AB133" s="155">
        <f ca="1">IF(ISNUMBER(MATCH(DATEVALUE($A133),'recurring1_based on steps'!AB$1:AB$400,0)),AB$2,)</f>
        <v>0</v>
      </c>
      <c r="AC133" s="155">
        <f ca="1">IF(ISNUMBER(MATCH(DATEVALUE($A133),'recurring1_based on steps'!AC$1:AC$400,0)),AC$2,)</f>
        <v>0</v>
      </c>
      <c r="AD133" s="155">
        <f ca="1">IF(ISNUMBER(MATCH(DATEVALUE($A133),'recurring1_based on steps'!AD$1:AD$400,0)),AD$2,)</f>
        <v>0</v>
      </c>
      <c r="AE133" s="155">
        <f ca="1">IF(ISNUMBER(MATCH(DATEVALUE($A133),'recurring1_based on steps'!AE$1:AE$400,0)),AE$2,)</f>
        <v>0</v>
      </c>
      <c r="AF133" s="155">
        <f ca="1">IF(ISNUMBER(MATCH(DATEVALUE($A133),'recurring1_based on steps'!AF$1:AF$400,0)),AF$2,)</f>
        <v>0</v>
      </c>
      <c r="AG133" s="155">
        <f ca="1">IF(ISNUMBER(MATCH(DATEVALUE($A133),'recurring1_based on steps'!AG$1:AG$400,0)),AG$2,)</f>
        <v>0</v>
      </c>
      <c r="AH133" s="155">
        <f ca="1">IF(ISNUMBER(MATCH(DATEVALUE($A133),'recurring1_based on steps'!AH$1:AH$400,0)),AH$2,)</f>
        <v>0</v>
      </c>
      <c r="AI133" s="155">
        <f ca="1">IF(ISNUMBER(MATCH(DATEVALUE($A133),'recurring1_based on steps'!AI$1:AI$400,0)),AI$2,)</f>
        <v>0</v>
      </c>
      <c r="AJ133" s="155">
        <f ca="1">IF(ISNUMBER(MATCH(DATEVALUE($A133),'recurring1_based on steps'!AJ$1:AJ$400,0)),AJ$2,)</f>
        <v>0</v>
      </c>
      <c r="AK133" s="155">
        <f ca="1">IF(ISNUMBER(MATCH(DATEVALUE($A133),'recurring1_based on steps'!AK$1:AK$400,0)),AK$2,)</f>
        <v>0</v>
      </c>
      <c r="AL133" s="155">
        <f ca="1">IF(ISNUMBER(MATCH(DATEVALUE($A133),'recurring1_based on steps'!AL$1:AL$400,0)),AL$2,)</f>
        <v>0</v>
      </c>
      <c r="AM133" s="155">
        <f ca="1">IF(ISNUMBER(MATCH(DATEVALUE($A133),'recurring1_based on steps'!AM$1:AM$400,0)),AM$2,)</f>
        <v>0</v>
      </c>
      <c r="AN133" s="155">
        <f ca="1">IF(ISNUMBER(MATCH(DATEVALUE($A133),'recurring1_based on steps'!AN$1:AN$400,0)),AN$2,)</f>
        <v>0</v>
      </c>
      <c r="AO133" s="155">
        <f ca="1">IF(ISNUMBER(MATCH(DATEVALUE($A133),'recurring1_based on steps'!AO$1:AO$400,0)),AO$2,)</f>
        <v>0</v>
      </c>
      <c r="AP133" s="155">
        <f ca="1">IF(ISNUMBER(MATCH(DATEVALUE($A133),'recurring1_based on steps'!AP$1:AP$400,0)),AP$2,)</f>
        <v>0</v>
      </c>
      <c r="AQ133" s="155">
        <f ca="1">IF(ISNUMBER(MATCH(DATEVALUE($A133),'recurring1_based on steps'!AQ$1:AQ$400,0)),AQ$2,)</f>
        <v>0</v>
      </c>
      <c r="AR133" s="155">
        <f ca="1">IF(ISNUMBER(MATCH(DATEVALUE($A133),'recurring1_based on steps'!AR$1:AR$400,0)),AR$2,)</f>
        <v>0</v>
      </c>
      <c r="AS133" s="155">
        <f ca="1">IF(ISNUMBER(MATCH(DATEVALUE($A133),'recurring1_based on steps'!AS$1:AS$400,0)),AS$2,)</f>
        <v>0</v>
      </c>
      <c r="AT133" s="155">
        <f ca="1">IF(ISNUMBER(MATCH(DATEVALUE($A133),'recurring1_based on steps'!AT$1:AT$400,0)),AT$2,)</f>
        <v>0</v>
      </c>
      <c r="AU133" s="155">
        <f ca="1">IF(ISNUMBER(MATCH(DATEVALUE($A133),'recurring1_based on steps'!AU$1:AU$400,0)),AU$2,)</f>
        <v>0</v>
      </c>
      <c r="AV133" s="155">
        <f ca="1">IF(ISNUMBER(MATCH(DATEVALUE($A133),'recurring1_based on steps'!AV$1:AV$400,0)),AV$2,)</f>
        <v>0</v>
      </c>
      <c r="AW133" s="155">
        <f ca="1">IF(ISNUMBER(MATCH(DATEVALUE($A133),'recurring1_based on steps'!AW$1:AW$400,0)),AW$2,)</f>
        <v>0</v>
      </c>
      <c r="AX133" s="155">
        <f ca="1">IF(ISNUMBER(MATCH(DATEVALUE($A133),'recurring1_based on steps'!AX$1:AX$400,0)),AX$2,)</f>
        <v>0</v>
      </c>
      <c r="AY133" s="155">
        <f ca="1">IF(ISNUMBER(MATCH(DATEVALUE($A133),'recurring1_based on steps'!AY$1:AY$400,0)),AY$2,)</f>
        <v>0</v>
      </c>
    </row>
    <row r="134" spans="1:51" x14ac:dyDescent="0.2">
      <c r="A134" s="18" t="str">
        <f t="shared" ca="1" si="2"/>
        <v>2025-06-12</v>
      </c>
      <c r="B134" s="155">
        <f ca="1">IF(ISNUMBER(MATCH(DATEVALUE($A134),'recurring1_based on steps'!B$1:B$400,0)),B$2,)</f>
        <v>0</v>
      </c>
      <c r="C134" s="155">
        <f ca="1">IF(ISNUMBER(MATCH(DATEVALUE($A134),'recurring1_based on steps'!C$1:C$400,0)),C$2,)</f>
        <v>0</v>
      </c>
      <c r="D134" s="155">
        <f ca="1">IF(ISNUMBER(MATCH(DATEVALUE($A134),'recurring1_based on steps'!D$1:D$400,0)),D$2,)</f>
        <v>0</v>
      </c>
      <c r="E134" s="155">
        <f ca="1">IF(ISNUMBER(MATCH(DATEVALUE($A134),'recurring1_based on steps'!E$1:E$400,0)),E$2,)</f>
        <v>0</v>
      </c>
      <c r="F134" s="155">
        <f ca="1">IF(ISNUMBER(MATCH(DATEVALUE($A134),'recurring1_based on steps'!F$1:F$400,0)),F$2,)</f>
        <v>0</v>
      </c>
      <c r="G134" s="155">
        <f ca="1">IF(ISNUMBER(MATCH(DATEVALUE($A134),'recurring1_based on steps'!G$1:G$400,0)),G$2,)</f>
        <v>0</v>
      </c>
      <c r="H134" s="155">
        <f ca="1">IF(ISNUMBER(MATCH(DATEVALUE($A134),'recurring1_based on steps'!H$1:H$400,0)),H$2,)</f>
        <v>0</v>
      </c>
      <c r="I134" s="155">
        <f ca="1">IF(ISNUMBER(MATCH(DATEVALUE($A134),'recurring1_based on steps'!I$1:I$400,0)),I$2,)</f>
        <v>0</v>
      </c>
      <c r="J134" s="155">
        <f ca="1">IF(ISNUMBER(MATCH(DATEVALUE($A134),'recurring1_based on steps'!J$1:J$400,0)),J$2,)</f>
        <v>0</v>
      </c>
      <c r="K134" s="155">
        <f ca="1">IF(ISNUMBER(MATCH(DATEVALUE($A134),'recurring1_based on steps'!K$1:K$400,0)),K$2,)</f>
        <v>0</v>
      </c>
      <c r="L134" s="155">
        <f ca="1">IF(ISNUMBER(MATCH(DATEVALUE($A134),'recurring1_based on steps'!L$1:L$400,0)),L$2,)</f>
        <v>0</v>
      </c>
      <c r="M134" s="155">
        <f ca="1">IF(ISNUMBER(MATCH(DATEVALUE($A134),'recurring1_based on steps'!M$1:M$400,0)),M$2,)</f>
        <v>0</v>
      </c>
      <c r="N134" s="155">
        <f ca="1">IF(ISNUMBER(MATCH(DATEVALUE($A134),'recurring1_based on steps'!N$1:N$400,0)),N$2,)</f>
        <v>0</v>
      </c>
      <c r="O134" s="155">
        <f ca="1">IF(ISNUMBER(MATCH(DATEVALUE($A134),'recurring1_based on steps'!O$1:O$400,0)),O$2,)</f>
        <v>0</v>
      </c>
      <c r="P134" s="155">
        <f ca="1">IF(ISNUMBER(MATCH(DATEVALUE($A134),'recurring1_based on steps'!P$1:P$400,0)),P$2,)</f>
        <v>0</v>
      </c>
      <c r="Q134" s="155">
        <f ca="1">IF(ISNUMBER(MATCH(DATEVALUE($A134),'recurring1_based on steps'!Q$1:Q$400,0)),Q$2,)</f>
        <v>0</v>
      </c>
      <c r="R134" s="155">
        <f ca="1">IF(ISNUMBER(MATCH(DATEVALUE($A134),'recurring1_based on steps'!R$1:R$400,0)),R$2,)</f>
        <v>0</v>
      </c>
      <c r="S134" s="155">
        <f ca="1">IF(ISNUMBER(MATCH(DATEVALUE($A134),'recurring1_based on steps'!S$1:S$400,0)),S$2,)</f>
        <v>0</v>
      </c>
      <c r="T134" s="155">
        <f ca="1">IF(ISNUMBER(MATCH(DATEVALUE($A134),'recurring1_based on steps'!T$1:T$400,0)),T$2,)</f>
        <v>0</v>
      </c>
      <c r="U134" s="155">
        <f ca="1">IF(ISNUMBER(MATCH(DATEVALUE($A134),'recurring1_based on steps'!U$1:U$400,0)),U$2,)</f>
        <v>0</v>
      </c>
      <c r="V134" s="155">
        <f ca="1">IF(ISNUMBER(MATCH(DATEVALUE($A134),'recurring1_based on steps'!V$1:V$400,0)),V$2,)</f>
        <v>0</v>
      </c>
      <c r="W134" s="155">
        <f ca="1">IF(ISNUMBER(MATCH(DATEVALUE($A134),'recurring1_based on steps'!W$1:W$400,0)),W$2,)</f>
        <v>0</v>
      </c>
      <c r="X134" s="155">
        <f ca="1">IF(ISNUMBER(MATCH(DATEVALUE($A134),'recurring1_based on steps'!X$1:X$400,0)),X$2,)</f>
        <v>0</v>
      </c>
      <c r="Y134" s="155">
        <f ca="1">IF(ISNUMBER(MATCH(DATEVALUE($A134),'recurring1_based on steps'!Y$1:Y$400,0)),Y$2,)</f>
        <v>0</v>
      </c>
      <c r="Z134" s="155">
        <f ca="1">IF(ISNUMBER(MATCH(DATEVALUE($A134),'recurring1_based on steps'!Z$1:Z$400,0)),Z$2,)</f>
        <v>0</v>
      </c>
      <c r="AA134" s="155">
        <f ca="1">IF(ISNUMBER(MATCH(DATEVALUE($A134),'recurring1_based on steps'!AA$1:AA$400,0)),AA$2,)</f>
        <v>0</v>
      </c>
      <c r="AB134" s="155">
        <f ca="1">IF(ISNUMBER(MATCH(DATEVALUE($A134),'recurring1_based on steps'!AB$1:AB$400,0)),AB$2,)</f>
        <v>0</v>
      </c>
      <c r="AC134" s="155">
        <f ca="1">IF(ISNUMBER(MATCH(DATEVALUE($A134),'recurring1_based on steps'!AC$1:AC$400,0)),AC$2,)</f>
        <v>0</v>
      </c>
      <c r="AD134" s="155">
        <f ca="1">IF(ISNUMBER(MATCH(DATEVALUE($A134),'recurring1_based on steps'!AD$1:AD$400,0)),AD$2,)</f>
        <v>0</v>
      </c>
      <c r="AE134" s="155">
        <f ca="1">IF(ISNUMBER(MATCH(DATEVALUE($A134),'recurring1_based on steps'!AE$1:AE$400,0)),AE$2,)</f>
        <v>0</v>
      </c>
      <c r="AF134" s="155">
        <f ca="1">IF(ISNUMBER(MATCH(DATEVALUE($A134),'recurring1_based on steps'!AF$1:AF$400,0)),AF$2,)</f>
        <v>0</v>
      </c>
      <c r="AG134" s="155">
        <f ca="1">IF(ISNUMBER(MATCH(DATEVALUE($A134),'recurring1_based on steps'!AG$1:AG$400,0)),AG$2,)</f>
        <v>0</v>
      </c>
      <c r="AH134" s="155">
        <f ca="1">IF(ISNUMBER(MATCH(DATEVALUE($A134),'recurring1_based on steps'!AH$1:AH$400,0)),AH$2,)</f>
        <v>0</v>
      </c>
      <c r="AI134" s="155">
        <f ca="1">IF(ISNUMBER(MATCH(DATEVALUE($A134),'recurring1_based on steps'!AI$1:AI$400,0)),AI$2,)</f>
        <v>0</v>
      </c>
      <c r="AJ134" s="155">
        <f ca="1">IF(ISNUMBER(MATCH(DATEVALUE($A134),'recurring1_based on steps'!AJ$1:AJ$400,0)),AJ$2,)</f>
        <v>0</v>
      </c>
      <c r="AK134" s="155">
        <f ca="1">IF(ISNUMBER(MATCH(DATEVALUE($A134),'recurring1_based on steps'!AK$1:AK$400,0)),AK$2,)</f>
        <v>0</v>
      </c>
      <c r="AL134" s="155">
        <f ca="1">IF(ISNUMBER(MATCH(DATEVALUE($A134),'recurring1_based on steps'!AL$1:AL$400,0)),AL$2,)</f>
        <v>0</v>
      </c>
      <c r="AM134" s="155">
        <f ca="1">IF(ISNUMBER(MATCH(DATEVALUE($A134),'recurring1_based on steps'!AM$1:AM$400,0)),AM$2,)</f>
        <v>0</v>
      </c>
      <c r="AN134" s="155">
        <f ca="1">IF(ISNUMBER(MATCH(DATEVALUE($A134),'recurring1_based on steps'!AN$1:AN$400,0)),AN$2,)</f>
        <v>0</v>
      </c>
      <c r="AO134" s="155">
        <f ca="1">IF(ISNUMBER(MATCH(DATEVALUE($A134),'recurring1_based on steps'!AO$1:AO$400,0)),AO$2,)</f>
        <v>0</v>
      </c>
      <c r="AP134" s="155">
        <f ca="1">IF(ISNUMBER(MATCH(DATEVALUE($A134),'recurring1_based on steps'!AP$1:AP$400,0)),AP$2,)</f>
        <v>0</v>
      </c>
      <c r="AQ134" s="155">
        <f ca="1">IF(ISNUMBER(MATCH(DATEVALUE($A134),'recurring1_based on steps'!AQ$1:AQ$400,0)),AQ$2,)</f>
        <v>0</v>
      </c>
      <c r="AR134" s="155">
        <f ca="1">IF(ISNUMBER(MATCH(DATEVALUE($A134),'recurring1_based on steps'!AR$1:AR$400,0)),AR$2,)</f>
        <v>0</v>
      </c>
      <c r="AS134" s="155">
        <f ca="1">IF(ISNUMBER(MATCH(DATEVALUE($A134),'recurring1_based on steps'!AS$1:AS$400,0)),AS$2,)</f>
        <v>0</v>
      </c>
      <c r="AT134" s="155">
        <f ca="1">IF(ISNUMBER(MATCH(DATEVALUE($A134),'recurring1_based on steps'!AT$1:AT$400,0)),AT$2,)</f>
        <v>0</v>
      </c>
      <c r="AU134" s="155">
        <f ca="1">IF(ISNUMBER(MATCH(DATEVALUE($A134),'recurring1_based on steps'!AU$1:AU$400,0)),AU$2,)</f>
        <v>0</v>
      </c>
      <c r="AV134" s="155">
        <f ca="1">IF(ISNUMBER(MATCH(DATEVALUE($A134),'recurring1_based on steps'!AV$1:AV$400,0)),AV$2,)</f>
        <v>0</v>
      </c>
      <c r="AW134" s="155">
        <f ca="1">IF(ISNUMBER(MATCH(DATEVALUE($A134),'recurring1_based on steps'!AW$1:AW$400,0)),AW$2,)</f>
        <v>0</v>
      </c>
      <c r="AX134" s="155">
        <f ca="1">IF(ISNUMBER(MATCH(DATEVALUE($A134),'recurring1_based on steps'!AX$1:AX$400,0)),AX$2,)</f>
        <v>0</v>
      </c>
      <c r="AY134" s="155">
        <f ca="1">IF(ISNUMBER(MATCH(DATEVALUE($A134),'recurring1_based on steps'!AY$1:AY$400,0)),AY$2,)</f>
        <v>0</v>
      </c>
    </row>
    <row r="135" spans="1:51" x14ac:dyDescent="0.2">
      <c r="A135" s="18" t="str">
        <f t="shared" ca="1" si="2"/>
        <v>2025-06-13</v>
      </c>
      <c r="B135" s="155">
        <f ca="1">IF(ISNUMBER(MATCH(DATEVALUE($A135),'recurring1_based on steps'!B$1:B$400,0)),B$2,)</f>
        <v>4000</v>
      </c>
      <c r="C135" s="155">
        <f ca="1">IF(ISNUMBER(MATCH(DATEVALUE($A135),'recurring1_based on steps'!C$1:C$400,0)),C$2,)</f>
        <v>200</v>
      </c>
      <c r="D135" s="155">
        <f ca="1">IF(ISNUMBER(MATCH(DATEVALUE($A135),'recurring1_based on steps'!D$1:D$400,0)),D$2,)</f>
        <v>2</v>
      </c>
      <c r="E135" s="155">
        <f ca="1">IF(ISNUMBER(MATCH(DATEVALUE($A135),'recurring1_based on steps'!E$1:E$400,0)),E$2,)</f>
        <v>40</v>
      </c>
      <c r="F135" s="155">
        <f ca="1">IF(ISNUMBER(MATCH(DATEVALUE($A135),'recurring1_based on steps'!F$1:F$400,0)),F$2,)</f>
        <v>50</v>
      </c>
      <c r="G135" s="155">
        <f ca="1">IF(ISNUMBER(MATCH(DATEVALUE($A135),'recurring1_based on steps'!G$1:G$400,0)),G$2,)</f>
        <v>4</v>
      </c>
      <c r="H135" s="155">
        <f ca="1">IF(ISNUMBER(MATCH(DATEVALUE($A135),'recurring1_based on steps'!H$1:H$400,0)),H$2,)</f>
        <v>0</v>
      </c>
      <c r="I135" s="155">
        <f ca="1">IF(ISNUMBER(MATCH(DATEVALUE($A135),'recurring1_based on steps'!I$1:I$400,0)),I$2,)</f>
        <v>0</v>
      </c>
      <c r="J135" s="155">
        <f ca="1">IF(ISNUMBER(MATCH(DATEVALUE($A135),'recurring1_based on steps'!J$1:J$400,0)),J$2,)</f>
        <v>0</v>
      </c>
      <c r="K135" s="155">
        <f ca="1">IF(ISNUMBER(MATCH(DATEVALUE($A135),'recurring1_based on steps'!K$1:K$400,0)),K$2,)</f>
        <v>0</v>
      </c>
      <c r="L135" s="155">
        <f ca="1">IF(ISNUMBER(MATCH(DATEVALUE($A135),'recurring1_based on steps'!L$1:L$400,0)),L$2,)</f>
        <v>0</v>
      </c>
      <c r="M135" s="155">
        <f ca="1">IF(ISNUMBER(MATCH(DATEVALUE($A135),'recurring1_based on steps'!M$1:M$400,0)),M$2,)</f>
        <v>0</v>
      </c>
      <c r="N135" s="155">
        <f ca="1">IF(ISNUMBER(MATCH(DATEVALUE($A135),'recurring1_based on steps'!N$1:N$400,0)),N$2,)</f>
        <v>0</v>
      </c>
      <c r="O135" s="155">
        <f ca="1">IF(ISNUMBER(MATCH(DATEVALUE($A135),'recurring1_based on steps'!O$1:O$400,0)),O$2,)</f>
        <v>0</v>
      </c>
      <c r="P135" s="155">
        <f ca="1">IF(ISNUMBER(MATCH(DATEVALUE($A135),'recurring1_based on steps'!P$1:P$400,0)),P$2,)</f>
        <v>0</v>
      </c>
      <c r="Q135" s="155">
        <f ca="1">IF(ISNUMBER(MATCH(DATEVALUE($A135),'recurring1_based on steps'!Q$1:Q$400,0)),Q$2,)</f>
        <v>0</v>
      </c>
      <c r="R135" s="155">
        <f ca="1">IF(ISNUMBER(MATCH(DATEVALUE($A135),'recurring1_based on steps'!R$1:R$400,0)),R$2,)</f>
        <v>0</v>
      </c>
      <c r="S135" s="155">
        <f ca="1">IF(ISNUMBER(MATCH(DATEVALUE($A135),'recurring1_based on steps'!S$1:S$400,0)),S$2,)</f>
        <v>0</v>
      </c>
      <c r="T135" s="155">
        <f ca="1">IF(ISNUMBER(MATCH(DATEVALUE($A135),'recurring1_based on steps'!T$1:T$400,0)),T$2,)</f>
        <v>0</v>
      </c>
      <c r="U135" s="155">
        <f ca="1">IF(ISNUMBER(MATCH(DATEVALUE($A135),'recurring1_based on steps'!U$1:U$400,0)),U$2,)</f>
        <v>0</v>
      </c>
      <c r="V135" s="155">
        <f ca="1">IF(ISNUMBER(MATCH(DATEVALUE($A135),'recurring1_based on steps'!V$1:V$400,0)),V$2,)</f>
        <v>0</v>
      </c>
      <c r="W135" s="155">
        <f ca="1">IF(ISNUMBER(MATCH(DATEVALUE($A135),'recurring1_based on steps'!W$1:W$400,0)),W$2,)</f>
        <v>0</v>
      </c>
      <c r="X135" s="155">
        <f ca="1">IF(ISNUMBER(MATCH(DATEVALUE($A135),'recurring1_based on steps'!X$1:X$400,0)),X$2,)</f>
        <v>50</v>
      </c>
      <c r="Y135" s="155">
        <f ca="1">IF(ISNUMBER(MATCH(DATEVALUE($A135),'recurring1_based on steps'!Y$1:Y$400,0)),Y$2,)</f>
        <v>0</v>
      </c>
      <c r="Z135" s="155">
        <f ca="1">IF(ISNUMBER(MATCH(DATEVALUE($A135),'recurring1_based on steps'!Z$1:Z$400,0)),Z$2,)</f>
        <v>0</v>
      </c>
      <c r="AA135" s="155">
        <f ca="1">IF(ISNUMBER(MATCH(DATEVALUE($A135),'recurring1_based on steps'!AA$1:AA$400,0)),AA$2,)</f>
        <v>0</v>
      </c>
      <c r="AB135" s="155">
        <f ca="1">IF(ISNUMBER(MATCH(DATEVALUE($A135),'recurring1_based on steps'!AB$1:AB$400,0)),AB$2,)</f>
        <v>0</v>
      </c>
      <c r="AC135" s="155">
        <f ca="1">IF(ISNUMBER(MATCH(DATEVALUE($A135),'recurring1_based on steps'!AC$1:AC$400,0)),AC$2,)</f>
        <v>0</v>
      </c>
      <c r="AD135" s="155">
        <f ca="1">IF(ISNUMBER(MATCH(DATEVALUE($A135),'recurring1_based on steps'!AD$1:AD$400,0)),AD$2,)</f>
        <v>0</v>
      </c>
      <c r="AE135" s="155">
        <f ca="1">IF(ISNUMBER(MATCH(DATEVALUE($A135),'recurring1_based on steps'!AE$1:AE$400,0)),AE$2,)</f>
        <v>0</v>
      </c>
      <c r="AF135" s="155">
        <f ca="1">IF(ISNUMBER(MATCH(DATEVALUE($A135),'recurring1_based on steps'!AF$1:AF$400,0)),AF$2,)</f>
        <v>0</v>
      </c>
      <c r="AG135" s="155">
        <f ca="1">IF(ISNUMBER(MATCH(DATEVALUE($A135),'recurring1_based on steps'!AG$1:AG$400,0)),AG$2,)</f>
        <v>0</v>
      </c>
      <c r="AH135" s="155">
        <f ca="1">IF(ISNUMBER(MATCH(DATEVALUE($A135),'recurring1_based on steps'!AH$1:AH$400,0)),AH$2,)</f>
        <v>0</v>
      </c>
      <c r="AI135" s="155">
        <f ca="1">IF(ISNUMBER(MATCH(DATEVALUE($A135),'recurring1_based on steps'!AI$1:AI$400,0)),AI$2,)</f>
        <v>0</v>
      </c>
      <c r="AJ135" s="155">
        <f ca="1">IF(ISNUMBER(MATCH(DATEVALUE($A135),'recurring1_based on steps'!AJ$1:AJ$400,0)),AJ$2,)</f>
        <v>0</v>
      </c>
      <c r="AK135" s="155">
        <f ca="1">IF(ISNUMBER(MATCH(DATEVALUE($A135),'recurring1_based on steps'!AK$1:AK$400,0)),AK$2,)</f>
        <v>0</v>
      </c>
      <c r="AL135" s="155">
        <f ca="1">IF(ISNUMBER(MATCH(DATEVALUE($A135),'recurring1_based on steps'!AL$1:AL$400,0)),AL$2,)</f>
        <v>0</v>
      </c>
      <c r="AM135" s="155">
        <f ca="1">IF(ISNUMBER(MATCH(DATEVALUE($A135),'recurring1_based on steps'!AM$1:AM$400,0)),AM$2,)</f>
        <v>0</v>
      </c>
      <c r="AN135" s="155">
        <f ca="1">IF(ISNUMBER(MATCH(DATEVALUE($A135),'recurring1_based on steps'!AN$1:AN$400,0)),AN$2,)</f>
        <v>0</v>
      </c>
      <c r="AO135" s="155">
        <f ca="1">IF(ISNUMBER(MATCH(DATEVALUE($A135),'recurring1_based on steps'!AO$1:AO$400,0)),AO$2,)</f>
        <v>0</v>
      </c>
      <c r="AP135" s="155">
        <f ca="1">IF(ISNUMBER(MATCH(DATEVALUE($A135),'recurring1_based on steps'!AP$1:AP$400,0)),AP$2,)</f>
        <v>0</v>
      </c>
      <c r="AQ135" s="155">
        <f ca="1">IF(ISNUMBER(MATCH(DATEVALUE($A135),'recurring1_based on steps'!AQ$1:AQ$400,0)),AQ$2,)</f>
        <v>0</v>
      </c>
      <c r="AR135" s="155">
        <f ca="1">IF(ISNUMBER(MATCH(DATEVALUE($A135),'recurring1_based on steps'!AR$1:AR$400,0)),AR$2,)</f>
        <v>0</v>
      </c>
      <c r="AS135" s="155">
        <f ca="1">IF(ISNUMBER(MATCH(DATEVALUE($A135),'recurring1_based on steps'!AS$1:AS$400,0)),AS$2,)</f>
        <v>0</v>
      </c>
      <c r="AT135" s="155">
        <f ca="1">IF(ISNUMBER(MATCH(DATEVALUE($A135),'recurring1_based on steps'!AT$1:AT$400,0)),AT$2,)</f>
        <v>0</v>
      </c>
      <c r="AU135" s="155">
        <f ca="1">IF(ISNUMBER(MATCH(DATEVALUE($A135),'recurring1_based on steps'!AU$1:AU$400,0)),AU$2,)</f>
        <v>0</v>
      </c>
      <c r="AV135" s="155">
        <f ca="1">IF(ISNUMBER(MATCH(DATEVALUE($A135),'recurring1_based on steps'!AV$1:AV$400,0)),AV$2,)</f>
        <v>0</v>
      </c>
      <c r="AW135" s="155">
        <f ca="1">IF(ISNUMBER(MATCH(DATEVALUE($A135),'recurring1_based on steps'!AW$1:AW$400,0)),AW$2,)</f>
        <v>0</v>
      </c>
      <c r="AX135" s="155">
        <f ca="1">IF(ISNUMBER(MATCH(DATEVALUE($A135),'recurring1_based on steps'!AX$1:AX$400,0)),AX$2,)</f>
        <v>0</v>
      </c>
      <c r="AY135" s="155">
        <f ca="1">IF(ISNUMBER(MATCH(DATEVALUE($A135),'recurring1_based on steps'!AY$1:AY$400,0)),AY$2,)</f>
        <v>0</v>
      </c>
    </row>
    <row r="136" spans="1:51" x14ac:dyDescent="0.2">
      <c r="A136" s="18" t="str">
        <f t="shared" ca="1" si="2"/>
        <v>2025-06-14</v>
      </c>
      <c r="B136" s="155">
        <f ca="1">IF(ISNUMBER(MATCH(DATEVALUE($A136),'recurring1_based on steps'!B$1:B$400,0)),B$2,)</f>
        <v>0</v>
      </c>
      <c r="C136" s="155">
        <f ca="1">IF(ISNUMBER(MATCH(DATEVALUE($A136),'recurring1_based on steps'!C$1:C$400,0)),C$2,)</f>
        <v>0</v>
      </c>
      <c r="D136" s="155">
        <f ca="1">IF(ISNUMBER(MATCH(DATEVALUE($A136),'recurring1_based on steps'!D$1:D$400,0)),D$2,)</f>
        <v>0</v>
      </c>
      <c r="E136" s="155">
        <f ca="1">IF(ISNUMBER(MATCH(DATEVALUE($A136),'recurring1_based on steps'!E$1:E$400,0)),E$2,)</f>
        <v>0</v>
      </c>
      <c r="F136" s="155">
        <f ca="1">IF(ISNUMBER(MATCH(DATEVALUE($A136),'recurring1_based on steps'!F$1:F$400,0)),F$2,)</f>
        <v>0</v>
      </c>
      <c r="G136" s="155">
        <f ca="1">IF(ISNUMBER(MATCH(DATEVALUE($A136),'recurring1_based on steps'!G$1:G$400,0)),G$2,)</f>
        <v>0</v>
      </c>
      <c r="H136" s="155">
        <f ca="1">IF(ISNUMBER(MATCH(DATEVALUE($A136),'recurring1_based on steps'!H$1:H$400,0)),H$2,)</f>
        <v>0</v>
      </c>
      <c r="I136" s="155">
        <f ca="1">IF(ISNUMBER(MATCH(DATEVALUE($A136),'recurring1_based on steps'!I$1:I$400,0)),I$2,)</f>
        <v>0</v>
      </c>
      <c r="J136" s="155">
        <f ca="1">IF(ISNUMBER(MATCH(DATEVALUE($A136),'recurring1_based on steps'!J$1:J$400,0)),J$2,)</f>
        <v>0</v>
      </c>
      <c r="K136" s="155">
        <f ca="1">IF(ISNUMBER(MATCH(DATEVALUE($A136),'recurring1_based on steps'!K$1:K$400,0)),K$2,)</f>
        <v>0</v>
      </c>
      <c r="L136" s="155">
        <f ca="1">IF(ISNUMBER(MATCH(DATEVALUE($A136),'recurring1_based on steps'!L$1:L$400,0)),L$2,)</f>
        <v>0</v>
      </c>
      <c r="M136" s="155">
        <f ca="1">IF(ISNUMBER(MATCH(DATEVALUE($A136),'recurring1_based on steps'!M$1:M$400,0)),M$2,)</f>
        <v>0</v>
      </c>
      <c r="N136" s="155">
        <f ca="1">IF(ISNUMBER(MATCH(DATEVALUE($A136),'recurring1_based on steps'!N$1:N$400,0)),N$2,)</f>
        <v>0</v>
      </c>
      <c r="O136" s="155">
        <f ca="1">IF(ISNUMBER(MATCH(DATEVALUE($A136),'recurring1_based on steps'!O$1:O$400,0)),O$2,)</f>
        <v>0</v>
      </c>
      <c r="P136" s="155">
        <f ca="1">IF(ISNUMBER(MATCH(DATEVALUE($A136),'recurring1_based on steps'!P$1:P$400,0)),P$2,)</f>
        <v>0</v>
      </c>
      <c r="Q136" s="155">
        <f ca="1">IF(ISNUMBER(MATCH(DATEVALUE($A136),'recurring1_based on steps'!Q$1:Q$400,0)),Q$2,)</f>
        <v>100</v>
      </c>
      <c r="R136" s="155">
        <f ca="1">IF(ISNUMBER(MATCH(DATEVALUE($A136),'recurring1_based on steps'!R$1:R$400,0)),R$2,)</f>
        <v>100</v>
      </c>
      <c r="S136" s="155">
        <f ca="1">IF(ISNUMBER(MATCH(DATEVALUE($A136),'recurring1_based on steps'!S$1:S$400,0)),S$2,)</f>
        <v>0</v>
      </c>
      <c r="T136" s="155">
        <f ca="1">IF(ISNUMBER(MATCH(DATEVALUE($A136),'recurring1_based on steps'!T$1:T$400,0)),T$2,)</f>
        <v>0</v>
      </c>
      <c r="U136" s="155">
        <f ca="1">IF(ISNUMBER(MATCH(DATEVALUE($A136),'recurring1_based on steps'!U$1:U$400,0)),U$2,)</f>
        <v>0</v>
      </c>
      <c r="V136" s="155">
        <f ca="1">IF(ISNUMBER(MATCH(DATEVALUE($A136),'recurring1_based on steps'!V$1:V$400,0)),V$2,)</f>
        <v>0</v>
      </c>
      <c r="W136" s="155">
        <f ca="1">IF(ISNUMBER(MATCH(DATEVALUE($A136),'recurring1_based on steps'!W$1:W$400,0)),W$2,)</f>
        <v>0</v>
      </c>
      <c r="X136" s="155">
        <f ca="1">IF(ISNUMBER(MATCH(DATEVALUE($A136),'recurring1_based on steps'!X$1:X$400,0)),X$2,)</f>
        <v>0</v>
      </c>
      <c r="Y136" s="155">
        <f ca="1">IF(ISNUMBER(MATCH(DATEVALUE($A136),'recurring1_based on steps'!Y$1:Y$400,0)),Y$2,)</f>
        <v>0</v>
      </c>
      <c r="Z136" s="155">
        <f ca="1">IF(ISNUMBER(MATCH(DATEVALUE($A136),'recurring1_based on steps'!Z$1:Z$400,0)),Z$2,)</f>
        <v>0</v>
      </c>
      <c r="AA136" s="155">
        <f ca="1">IF(ISNUMBER(MATCH(DATEVALUE($A136),'recurring1_based on steps'!AA$1:AA$400,0)),AA$2,)</f>
        <v>0</v>
      </c>
      <c r="AB136" s="155">
        <f ca="1">IF(ISNUMBER(MATCH(DATEVALUE($A136),'recurring1_based on steps'!AB$1:AB$400,0)),AB$2,)</f>
        <v>0</v>
      </c>
      <c r="AC136" s="155">
        <f ca="1">IF(ISNUMBER(MATCH(DATEVALUE($A136),'recurring1_based on steps'!AC$1:AC$400,0)),AC$2,)</f>
        <v>0</v>
      </c>
      <c r="AD136" s="155">
        <f ca="1">IF(ISNUMBER(MATCH(DATEVALUE($A136),'recurring1_based on steps'!AD$1:AD$400,0)),AD$2,)</f>
        <v>0</v>
      </c>
      <c r="AE136" s="155">
        <f ca="1">IF(ISNUMBER(MATCH(DATEVALUE($A136),'recurring1_based on steps'!AE$1:AE$400,0)),AE$2,)</f>
        <v>0</v>
      </c>
      <c r="AF136" s="155">
        <f ca="1">IF(ISNUMBER(MATCH(DATEVALUE($A136),'recurring1_based on steps'!AF$1:AF$400,0)),AF$2,)</f>
        <v>0</v>
      </c>
      <c r="AG136" s="155">
        <f ca="1">IF(ISNUMBER(MATCH(DATEVALUE($A136),'recurring1_based on steps'!AG$1:AG$400,0)),AG$2,)</f>
        <v>0</v>
      </c>
      <c r="AH136" s="155">
        <f ca="1">IF(ISNUMBER(MATCH(DATEVALUE($A136),'recurring1_based on steps'!AH$1:AH$400,0)),AH$2,)</f>
        <v>0</v>
      </c>
      <c r="AI136" s="155">
        <f ca="1">IF(ISNUMBER(MATCH(DATEVALUE($A136),'recurring1_based on steps'!AI$1:AI$400,0)),AI$2,)</f>
        <v>0</v>
      </c>
      <c r="AJ136" s="155">
        <f ca="1">IF(ISNUMBER(MATCH(DATEVALUE($A136),'recurring1_based on steps'!AJ$1:AJ$400,0)),AJ$2,)</f>
        <v>0</v>
      </c>
      <c r="AK136" s="155">
        <f ca="1">IF(ISNUMBER(MATCH(DATEVALUE($A136),'recurring1_based on steps'!AK$1:AK$400,0)),AK$2,)</f>
        <v>0</v>
      </c>
      <c r="AL136" s="155">
        <f ca="1">IF(ISNUMBER(MATCH(DATEVALUE($A136),'recurring1_based on steps'!AL$1:AL$400,0)),AL$2,)</f>
        <v>0</v>
      </c>
      <c r="AM136" s="155">
        <f ca="1">IF(ISNUMBER(MATCH(DATEVALUE($A136),'recurring1_based on steps'!AM$1:AM$400,0)),AM$2,)</f>
        <v>0</v>
      </c>
      <c r="AN136" s="155">
        <f ca="1">IF(ISNUMBER(MATCH(DATEVALUE($A136),'recurring1_based on steps'!AN$1:AN$400,0)),AN$2,)</f>
        <v>0</v>
      </c>
      <c r="AO136" s="155">
        <f ca="1">IF(ISNUMBER(MATCH(DATEVALUE($A136),'recurring1_based on steps'!AO$1:AO$400,0)),AO$2,)</f>
        <v>0</v>
      </c>
      <c r="AP136" s="155">
        <f ca="1">IF(ISNUMBER(MATCH(DATEVALUE($A136),'recurring1_based on steps'!AP$1:AP$400,0)),AP$2,)</f>
        <v>0</v>
      </c>
      <c r="AQ136" s="155">
        <f ca="1">IF(ISNUMBER(MATCH(DATEVALUE($A136),'recurring1_based on steps'!AQ$1:AQ$400,0)),AQ$2,)</f>
        <v>0</v>
      </c>
      <c r="AR136" s="155">
        <f ca="1">IF(ISNUMBER(MATCH(DATEVALUE($A136),'recurring1_based on steps'!AR$1:AR$400,0)),AR$2,)</f>
        <v>0</v>
      </c>
      <c r="AS136" s="155">
        <f ca="1">IF(ISNUMBER(MATCH(DATEVALUE($A136),'recurring1_based on steps'!AS$1:AS$400,0)),AS$2,)</f>
        <v>0</v>
      </c>
      <c r="AT136" s="155">
        <f ca="1">IF(ISNUMBER(MATCH(DATEVALUE($A136),'recurring1_based on steps'!AT$1:AT$400,0)),AT$2,)</f>
        <v>0</v>
      </c>
      <c r="AU136" s="155">
        <f ca="1">IF(ISNUMBER(MATCH(DATEVALUE($A136),'recurring1_based on steps'!AU$1:AU$400,0)),AU$2,)</f>
        <v>0</v>
      </c>
      <c r="AV136" s="155">
        <f ca="1">IF(ISNUMBER(MATCH(DATEVALUE($A136),'recurring1_based on steps'!AV$1:AV$400,0)),AV$2,)</f>
        <v>0</v>
      </c>
      <c r="AW136" s="155">
        <f ca="1">IF(ISNUMBER(MATCH(DATEVALUE($A136),'recurring1_based on steps'!AW$1:AW$400,0)),AW$2,)</f>
        <v>0</v>
      </c>
      <c r="AX136" s="155">
        <f ca="1">IF(ISNUMBER(MATCH(DATEVALUE($A136),'recurring1_based on steps'!AX$1:AX$400,0)),AX$2,)</f>
        <v>0</v>
      </c>
      <c r="AY136" s="155">
        <f ca="1">IF(ISNUMBER(MATCH(DATEVALUE($A136),'recurring1_based on steps'!AY$1:AY$400,0)),AY$2,)</f>
        <v>0</v>
      </c>
    </row>
    <row r="137" spans="1:51" x14ac:dyDescent="0.2">
      <c r="A137" s="18" t="str">
        <f t="shared" ca="1" si="2"/>
        <v>2025-06-15</v>
      </c>
      <c r="B137" s="155">
        <f ca="1">IF(ISNUMBER(MATCH(DATEVALUE($A137),'recurring1_based on steps'!B$1:B$400,0)),B$2,)</f>
        <v>0</v>
      </c>
      <c r="C137" s="155">
        <f ca="1">IF(ISNUMBER(MATCH(DATEVALUE($A137),'recurring1_based on steps'!C$1:C$400,0)),C$2,)</f>
        <v>0</v>
      </c>
      <c r="D137" s="155">
        <f ca="1">IF(ISNUMBER(MATCH(DATEVALUE($A137),'recurring1_based on steps'!D$1:D$400,0)),D$2,)</f>
        <v>0</v>
      </c>
      <c r="E137" s="155">
        <f ca="1">IF(ISNUMBER(MATCH(DATEVALUE($A137),'recurring1_based on steps'!E$1:E$400,0)),E$2,)</f>
        <v>0</v>
      </c>
      <c r="F137" s="155">
        <f ca="1">IF(ISNUMBER(MATCH(DATEVALUE($A137),'recurring1_based on steps'!F$1:F$400,0)),F$2,)</f>
        <v>0</v>
      </c>
      <c r="G137" s="155">
        <f ca="1">IF(ISNUMBER(MATCH(DATEVALUE($A137),'recurring1_based on steps'!G$1:G$400,0)),G$2,)</f>
        <v>0</v>
      </c>
      <c r="H137" s="155">
        <f ca="1">IF(ISNUMBER(MATCH(DATEVALUE($A137),'recurring1_based on steps'!H$1:H$400,0)),H$2,)</f>
        <v>0</v>
      </c>
      <c r="I137" s="155">
        <f ca="1">IF(ISNUMBER(MATCH(DATEVALUE($A137),'recurring1_based on steps'!I$1:I$400,0)),I$2,)</f>
        <v>0</v>
      </c>
      <c r="J137" s="155">
        <f ca="1">IF(ISNUMBER(MATCH(DATEVALUE($A137),'recurring1_based on steps'!J$1:J$400,0)),J$2,)</f>
        <v>0</v>
      </c>
      <c r="K137" s="155">
        <f ca="1">IF(ISNUMBER(MATCH(DATEVALUE($A137),'recurring1_based on steps'!K$1:K$400,0)),K$2,)</f>
        <v>50</v>
      </c>
      <c r="L137" s="155">
        <f ca="1">IF(ISNUMBER(MATCH(DATEVALUE($A137),'recurring1_based on steps'!L$1:L$400,0)),L$2,)</f>
        <v>0</v>
      </c>
      <c r="M137" s="155">
        <f ca="1">IF(ISNUMBER(MATCH(DATEVALUE($A137),'recurring1_based on steps'!M$1:M$400,0)),M$2,)</f>
        <v>0</v>
      </c>
      <c r="N137" s="155">
        <f ca="1">IF(ISNUMBER(MATCH(DATEVALUE($A137),'recurring1_based on steps'!N$1:N$400,0)),N$2,)</f>
        <v>0</v>
      </c>
      <c r="O137" s="155">
        <f ca="1">IF(ISNUMBER(MATCH(DATEVALUE($A137),'recurring1_based on steps'!O$1:O$400,0)),O$2,)</f>
        <v>0</v>
      </c>
      <c r="P137" s="155">
        <f ca="1">IF(ISNUMBER(MATCH(DATEVALUE($A137),'recurring1_based on steps'!P$1:P$400,0)),P$2,)</f>
        <v>0</v>
      </c>
      <c r="Q137" s="155">
        <f ca="1">IF(ISNUMBER(MATCH(DATEVALUE($A137),'recurring1_based on steps'!Q$1:Q$400,0)),Q$2,)</f>
        <v>0</v>
      </c>
      <c r="R137" s="155">
        <f ca="1">IF(ISNUMBER(MATCH(DATEVALUE($A137),'recurring1_based on steps'!R$1:R$400,0)),R$2,)</f>
        <v>0</v>
      </c>
      <c r="S137" s="155">
        <f ca="1">IF(ISNUMBER(MATCH(DATEVALUE($A137),'recurring1_based on steps'!S$1:S$400,0)),S$2,)</f>
        <v>100</v>
      </c>
      <c r="T137" s="155">
        <f ca="1">IF(ISNUMBER(MATCH(DATEVALUE($A137),'recurring1_based on steps'!T$1:T$400,0)),T$2,)</f>
        <v>0</v>
      </c>
      <c r="U137" s="155">
        <f ca="1">IF(ISNUMBER(MATCH(DATEVALUE($A137),'recurring1_based on steps'!U$1:U$400,0)),U$2,)</f>
        <v>0</v>
      </c>
      <c r="V137" s="155">
        <f ca="1">IF(ISNUMBER(MATCH(DATEVALUE($A137),'recurring1_based on steps'!V$1:V$400,0)),V$2,)</f>
        <v>0</v>
      </c>
      <c r="W137" s="155">
        <f ca="1">IF(ISNUMBER(MATCH(DATEVALUE($A137),'recurring1_based on steps'!W$1:W$400,0)),W$2,)</f>
        <v>0</v>
      </c>
      <c r="X137" s="155">
        <f ca="1">IF(ISNUMBER(MATCH(DATEVALUE($A137),'recurring1_based on steps'!X$1:X$400,0)),X$2,)</f>
        <v>0</v>
      </c>
      <c r="Y137" s="155">
        <f ca="1">IF(ISNUMBER(MATCH(DATEVALUE($A137),'recurring1_based on steps'!Y$1:Y$400,0)),Y$2,)</f>
        <v>0</v>
      </c>
      <c r="Z137" s="155">
        <f ca="1">IF(ISNUMBER(MATCH(DATEVALUE($A137),'recurring1_based on steps'!Z$1:Z$400,0)),Z$2,)</f>
        <v>0</v>
      </c>
      <c r="AA137" s="155">
        <f ca="1">IF(ISNUMBER(MATCH(DATEVALUE($A137),'recurring1_based on steps'!AA$1:AA$400,0)),AA$2,)</f>
        <v>0</v>
      </c>
      <c r="AB137" s="155">
        <f ca="1">IF(ISNUMBER(MATCH(DATEVALUE($A137),'recurring1_based on steps'!AB$1:AB$400,0)),AB$2,)</f>
        <v>0</v>
      </c>
      <c r="AC137" s="155">
        <f ca="1">IF(ISNUMBER(MATCH(DATEVALUE($A137),'recurring1_based on steps'!AC$1:AC$400,0)),AC$2,)</f>
        <v>0</v>
      </c>
      <c r="AD137" s="155">
        <f ca="1">IF(ISNUMBER(MATCH(DATEVALUE($A137),'recurring1_based on steps'!AD$1:AD$400,0)),AD$2,)</f>
        <v>0</v>
      </c>
      <c r="AE137" s="155">
        <f ca="1">IF(ISNUMBER(MATCH(DATEVALUE($A137),'recurring1_based on steps'!AE$1:AE$400,0)),AE$2,)</f>
        <v>0</v>
      </c>
      <c r="AF137" s="155">
        <f ca="1">IF(ISNUMBER(MATCH(DATEVALUE($A137),'recurring1_based on steps'!AF$1:AF$400,0)),AF$2,)</f>
        <v>0</v>
      </c>
      <c r="AG137" s="155">
        <f ca="1">IF(ISNUMBER(MATCH(DATEVALUE($A137),'recurring1_based on steps'!AG$1:AG$400,0)),AG$2,)</f>
        <v>0</v>
      </c>
      <c r="AH137" s="155">
        <f ca="1">IF(ISNUMBER(MATCH(DATEVALUE($A137),'recurring1_based on steps'!AH$1:AH$400,0)),AH$2,)</f>
        <v>0</v>
      </c>
      <c r="AI137" s="155">
        <f ca="1">IF(ISNUMBER(MATCH(DATEVALUE($A137),'recurring1_based on steps'!AI$1:AI$400,0)),AI$2,)</f>
        <v>0</v>
      </c>
      <c r="AJ137" s="155">
        <f ca="1">IF(ISNUMBER(MATCH(DATEVALUE($A137),'recurring1_based on steps'!AJ$1:AJ$400,0)),AJ$2,)</f>
        <v>0</v>
      </c>
      <c r="AK137" s="155">
        <f ca="1">IF(ISNUMBER(MATCH(DATEVALUE($A137),'recurring1_based on steps'!AK$1:AK$400,0)),AK$2,)</f>
        <v>0</v>
      </c>
      <c r="AL137" s="155">
        <f ca="1">IF(ISNUMBER(MATCH(DATEVALUE($A137),'recurring1_based on steps'!AL$1:AL$400,0)),AL$2,)</f>
        <v>0</v>
      </c>
      <c r="AM137" s="155">
        <f ca="1">IF(ISNUMBER(MATCH(DATEVALUE($A137),'recurring1_based on steps'!AM$1:AM$400,0)),AM$2,)</f>
        <v>0</v>
      </c>
      <c r="AN137" s="155">
        <f ca="1">IF(ISNUMBER(MATCH(DATEVALUE($A137),'recurring1_based on steps'!AN$1:AN$400,0)),AN$2,)</f>
        <v>0</v>
      </c>
      <c r="AO137" s="155">
        <f ca="1">IF(ISNUMBER(MATCH(DATEVALUE($A137),'recurring1_based on steps'!AO$1:AO$400,0)),AO$2,)</f>
        <v>0</v>
      </c>
      <c r="AP137" s="155">
        <f ca="1">IF(ISNUMBER(MATCH(DATEVALUE($A137),'recurring1_based on steps'!AP$1:AP$400,0)),AP$2,)</f>
        <v>0</v>
      </c>
      <c r="AQ137" s="155">
        <f ca="1">IF(ISNUMBER(MATCH(DATEVALUE($A137),'recurring1_based on steps'!AQ$1:AQ$400,0)),AQ$2,)</f>
        <v>0</v>
      </c>
      <c r="AR137" s="155">
        <f ca="1">IF(ISNUMBER(MATCH(DATEVALUE($A137),'recurring1_based on steps'!AR$1:AR$400,0)),AR$2,)</f>
        <v>0</v>
      </c>
      <c r="AS137" s="155">
        <f ca="1">IF(ISNUMBER(MATCH(DATEVALUE($A137),'recurring1_based on steps'!AS$1:AS$400,0)),AS$2,)</f>
        <v>0</v>
      </c>
      <c r="AT137" s="155">
        <f ca="1">IF(ISNUMBER(MATCH(DATEVALUE($A137),'recurring1_based on steps'!AT$1:AT$400,0)),AT$2,)</f>
        <v>0</v>
      </c>
      <c r="AU137" s="155">
        <f ca="1">IF(ISNUMBER(MATCH(DATEVALUE($A137),'recurring1_based on steps'!AU$1:AU$400,0)),AU$2,)</f>
        <v>0</v>
      </c>
      <c r="AV137" s="155">
        <f ca="1">IF(ISNUMBER(MATCH(DATEVALUE($A137),'recurring1_based on steps'!AV$1:AV$400,0)),AV$2,)</f>
        <v>0</v>
      </c>
      <c r="AW137" s="155">
        <f ca="1">IF(ISNUMBER(MATCH(DATEVALUE($A137),'recurring1_based on steps'!AW$1:AW$400,0)),AW$2,)</f>
        <v>0</v>
      </c>
      <c r="AX137" s="155">
        <f ca="1">IF(ISNUMBER(MATCH(DATEVALUE($A137),'recurring1_based on steps'!AX$1:AX$400,0)),AX$2,)</f>
        <v>0</v>
      </c>
      <c r="AY137" s="155">
        <f ca="1">IF(ISNUMBER(MATCH(DATEVALUE($A137),'recurring1_based on steps'!AY$1:AY$400,0)),AY$2,)</f>
        <v>0</v>
      </c>
    </row>
    <row r="138" spans="1:51" x14ac:dyDescent="0.2">
      <c r="A138" s="18" t="str">
        <f t="shared" ca="1" si="2"/>
        <v>2025-06-16</v>
      </c>
      <c r="B138" s="155">
        <f ca="1">IF(ISNUMBER(MATCH(DATEVALUE($A138),'recurring1_based on steps'!B$1:B$400,0)),B$2,)</f>
        <v>0</v>
      </c>
      <c r="C138" s="155">
        <f ca="1">IF(ISNUMBER(MATCH(DATEVALUE($A138),'recurring1_based on steps'!C$1:C$400,0)),C$2,)</f>
        <v>0</v>
      </c>
      <c r="D138" s="155">
        <f ca="1">IF(ISNUMBER(MATCH(DATEVALUE($A138),'recurring1_based on steps'!D$1:D$400,0)),D$2,)</f>
        <v>0</v>
      </c>
      <c r="E138" s="155">
        <f ca="1">IF(ISNUMBER(MATCH(DATEVALUE($A138),'recurring1_based on steps'!E$1:E$400,0)),E$2,)</f>
        <v>0</v>
      </c>
      <c r="F138" s="155">
        <f ca="1">IF(ISNUMBER(MATCH(DATEVALUE($A138),'recurring1_based on steps'!F$1:F$400,0)),F$2,)</f>
        <v>0</v>
      </c>
      <c r="G138" s="155">
        <f ca="1">IF(ISNUMBER(MATCH(DATEVALUE($A138),'recurring1_based on steps'!G$1:G$400,0)),G$2,)</f>
        <v>0</v>
      </c>
      <c r="H138" s="155">
        <f ca="1">IF(ISNUMBER(MATCH(DATEVALUE($A138),'recurring1_based on steps'!H$1:H$400,0)),H$2,)</f>
        <v>0</v>
      </c>
      <c r="I138" s="155">
        <f ca="1">IF(ISNUMBER(MATCH(DATEVALUE($A138),'recurring1_based on steps'!I$1:I$400,0)),I$2,)</f>
        <v>0</v>
      </c>
      <c r="J138" s="155">
        <f ca="1">IF(ISNUMBER(MATCH(DATEVALUE($A138),'recurring1_based on steps'!J$1:J$400,0)),J$2,)</f>
        <v>0</v>
      </c>
      <c r="K138" s="155">
        <f ca="1">IF(ISNUMBER(MATCH(DATEVALUE($A138),'recurring1_based on steps'!K$1:K$400,0)),K$2,)</f>
        <v>0</v>
      </c>
      <c r="L138" s="155">
        <f ca="1">IF(ISNUMBER(MATCH(DATEVALUE($A138),'recurring1_based on steps'!L$1:L$400,0)),L$2,)</f>
        <v>0</v>
      </c>
      <c r="M138" s="155">
        <f ca="1">IF(ISNUMBER(MATCH(DATEVALUE($A138),'recurring1_based on steps'!M$1:M$400,0)),M$2,)</f>
        <v>0</v>
      </c>
      <c r="N138" s="155">
        <f ca="1">IF(ISNUMBER(MATCH(DATEVALUE($A138),'recurring1_based on steps'!N$1:N$400,0)),N$2,)</f>
        <v>0</v>
      </c>
      <c r="O138" s="155">
        <f ca="1">IF(ISNUMBER(MATCH(DATEVALUE($A138),'recurring1_based on steps'!O$1:O$400,0)),O$2,)</f>
        <v>0</v>
      </c>
      <c r="P138" s="155">
        <f ca="1">IF(ISNUMBER(MATCH(DATEVALUE($A138),'recurring1_based on steps'!P$1:P$400,0)),P$2,)</f>
        <v>0</v>
      </c>
      <c r="Q138" s="155">
        <f ca="1">IF(ISNUMBER(MATCH(DATEVALUE($A138),'recurring1_based on steps'!Q$1:Q$400,0)),Q$2,)</f>
        <v>0</v>
      </c>
      <c r="R138" s="155">
        <f ca="1">IF(ISNUMBER(MATCH(DATEVALUE($A138),'recurring1_based on steps'!R$1:R$400,0)),R$2,)</f>
        <v>0</v>
      </c>
      <c r="S138" s="155">
        <f ca="1">IF(ISNUMBER(MATCH(DATEVALUE($A138),'recurring1_based on steps'!S$1:S$400,0)),S$2,)</f>
        <v>0</v>
      </c>
      <c r="T138" s="155">
        <f ca="1">IF(ISNUMBER(MATCH(DATEVALUE($A138),'recurring1_based on steps'!T$1:T$400,0)),T$2,)</f>
        <v>0</v>
      </c>
      <c r="U138" s="155">
        <f ca="1">IF(ISNUMBER(MATCH(DATEVALUE($A138),'recurring1_based on steps'!U$1:U$400,0)),U$2,)</f>
        <v>0</v>
      </c>
      <c r="V138" s="155">
        <f ca="1">IF(ISNUMBER(MATCH(DATEVALUE($A138),'recurring1_based on steps'!V$1:V$400,0)),V$2,)</f>
        <v>0</v>
      </c>
      <c r="W138" s="155">
        <f ca="1">IF(ISNUMBER(MATCH(DATEVALUE($A138),'recurring1_based on steps'!W$1:W$400,0)),W$2,)</f>
        <v>0</v>
      </c>
      <c r="X138" s="155">
        <f ca="1">IF(ISNUMBER(MATCH(DATEVALUE($A138),'recurring1_based on steps'!X$1:X$400,0)),X$2,)</f>
        <v>0</v>
      </c>
      <c r="Y138" s="155">
        <f ca="1">IF(ISNUMBER(MATCH(DATEVALUE($A138),'recurring1_based on steps'!Y$1:Y$400,0)),Y$2,)</f>
        <v>0</v>
      </c>
      <c r="Z138" s="155">
        <f ca="1">IF(ISNUMBER(MATCH(DATEVALUE($A138),'recurring1_based on steps'!Z$1:Z$400,0)),Z$2,)</f>
        <v>0</v>
      </c>
      <c r="AA138" s="155">
        <f ca="1">IF(ISNUMBER(MATCH(DATEVALUE($A138),'recurring1_based on steps'!AA$1:AA$400,0)),AA$2,)</f>
        <v>0</v>
      </c>
      <c r="AB138" s="155">
        <f ca="1">IF(ISNUMBER(MATCH(DATEVALUE($A138),'recurring1_based on steps'!AB$1:AB$400,0)),AB$2,)</f>
        <v>0</v>
      </c>
      <c r="AC138" s="155">
        <f ca="1">IF(ISNUMBER(MATCH(DATEVALUE($A138),'recurring1_based on steps'!AC$1:AC$400,0)),AC$2,)</f>
        <v>0</v>
      </c>
      <c r="AD138" s="155">
        <f ca="1">IF(ISNUMBER(MATCH(DATEVALUE($A138),'recurring1_based on steps'!AD$1:AD$400,0)),AD$2,)</f>
        <v>0</v>
      </c>
      <c r="AE138" s="155">
        <f ca="1">IF(ISNUMBER(MATCH(DATEVALUE($A138),'recurring1_based on steps'!AE$1:AE$400,0)),AE$2,)</f>
        <v>0</v>
      </c>
      <c r="AF138" s="155">
        <f ca="1">IF(ISNUMBER(MATCH(DATEVALUE($A138),'recurring1_based on steps'!AF$1:AF$400,0)),AF$2,)</f>
        <v>0</v>
      </c>
      <c r="AG138" s="155">
        <f ca="1">IF(ISNUMBER(MATCH(DATEVALUE($A138),'recurring1_based on steps'!AG$1:AG$400,0)),AG$2,)</f>
        <v>0</v>
      </c>
      <c r="AH138" s="155">
        <f ca="1">IF(ISNUMBER(MATCH(DATEVALUE($A138),'recurring1_based on steps'!AH$1:AH$400,0)),AH$2,)</f>
        <v>0</v>
      </c>
      <c r="AI138" s="155">
        <f ca="1">IF(ISNUMBER(MATCH(DATEVALUE($A138),'recurring1_based on steps'!AI$1:AI$400,0)),AI$2,)</f>
        <v>0</v>
      </c>
      <c r="AJ138" s="155">
        <f ca="1">IF(ISNUMBER(MATCH(DATEVALUE($A138),'recurring1_based on steps'!AJ$1:AJ$400,0)),AJ$2,)</f>
        <v>0</v>
      </c>
      <c r="AK138" s="155">
        <f ca="1">IF(ISNUMBER(MATCH(DATEVALUE($A138),'recurring1_based on steps'!AK$1:AK$400,0)),AK$2,)</f>
        <v>0</v>
      </c>
      <c r="AL138" s="155">
        <f ca="1">IF(ISNUMBER(MATCH(DATEVALUE($A138),'recurring1_based on steps'!AL$1:AL$400,0)),AL$2,)</f>
        <v>0</v>
      </c>
      <c r="AM138" s="155">
        <f ca="1">IF(ISNUMBER(MATCH(DATEVALUE($A138),'recurring1_based on steps'!AM$1:AM$400,0)),AM$2,)</f>
        <v>0</v>
      </c>
      <c r="AN138" s="155">
        <f ca="1">IF(ISNUMBER(MATCH(DATEVALUE($A138),'recurring1_based on steps'!AN$1:AN$400,0)),AN$2,)</f>
        <v>0</v>
      </c>
      <c r="AO138" s="155">
        <f ca="1">IF(ISNUMBER(MATCH(DATEVALUE($A138),'recurring1_based on steps'!AO$1:AO$400,0)),AO$2,)</f>
        <v>0</v>
      </c>
      <c r="AP138" s="155">
        <f ca="1">IF(ISNUMBER(MATCH(DATEVALUE($A138),'recurring1_based on steps'!AP$1:AP$400,0)),AP$2,)</f>
        <v>0</v>
      </c>
      <c r="AQ138" s="155">
        <f ca="1">IF(ISNUMBER(MATCH(DATEVALUE($A138),'recurring1_based on steps'!AQ$1:AQ$400,0)),AQ$2,)</f>
        <v>0</v>
      </c>
      <c r="AR138" s="155">
        <f ca="1">IF(ISNUMBER(MATCH(DATEVALUE($A138),'recurring1_based on steps'!AR$1:AR$400,0)),AR$2,)</f>
        <v>0</v>
      </c>
      <c r="AS138" s="155">
        <f ca="1">IF(ISNUMBER(MATCH(DATEVALUE($A138),'recurring1_based on steps'!AS$1:AS$400,0)),AS$2,)</f>
        <v>0</v>
      </c>
      <c r="AT138" s="155">
        <f ca="1">IF(ISNUMBER(MATCH(DATEVALUE($A138),'recurring1_based on steps'!AT$1:AT$400,0)),AT$2,)</f>
        <v>0</v>
      </c>
      <c r="AU138" s="155">
        <f ca="1">IF(ISNUMBER(MATCH(DATEVALUE($A138),'recurring1_based on steps'!AU$1:AU$400,0)),AU$2,)</f>
        <v>0</v>
      </c>
      <c r="AV138" s="155">
        <f ca="1">IF(ISNUMBER(MATCH(DATEVALUE($A138),'recurring1_based on steps'!AV$1:AV$400,0)),AV$2,)</f>
        <v>0</v>
      </c>
      <c r="AW138" s="155">
        <f ca="1">IF(ISNUMBER(MATCH(DATEVALUE($A138),'recurring1_based on steps'!AW$1:AW$400,0)),AW$2,)</f>
        <v>0</v>
      </c>
      <c r="AX138" s="155">
        <f ca="1">IF(ISNUMBER(MATCH(DATEVALUE($A138),'recurring1_based on steps'!AX$1:AX$400,0)),AX$2,)</f>
        <v>0</v>
      </c>
      <c r="AY138" s="155">
        <f ca="1">IF(ISNUMBER(MATCH(DATEVALUE($A138),'recurring1_based on steps'!AY$1:AY$400,0)),AY$2,)</f>
        <v>0</v>
      </c>
    </row>
    <row r="139" spans="1:51" x14ac:dyDescent="0.2">
      <c r="A139" s="18" t="str">
        <f t="shared" ca="1" si="2"/>
        <v>2025-06-17</v>
      </c>
      <c r="B139" s="155">
        <f ca="1">IF(ISNUMBER(MATCH(DATEVALUE($A139),'recurring1_based on steps'!B$1:B$400,0)),B$2,)</f>
        <v>0</v>
      </c>
      <c r="C139" s="155">
        <f ca="1">IF(ISNUMBER(MATCH(DATEVALUE($A139),'recurring1_based on steps'!C$1:C$400,0)),C$2,)</f>
        <v>0</v>
      </c>
      <c r="D139" s="155">
        <f ca="1">IF(ISNUMBER(MATCH(DATEVALUE($A139),'recurring1_based on steps'!D$1:D$400,0)),D$2,)</f>
        <v>0</v>
      </c>
      <c r="E139" s="155">
        <f ca="1">IF(ISNUMBER(MATCH(DATEVALUE($A139),'recurring1_based on steps'!E$1:E$400,0)),E$2,)</f>
        <v>0</v>
      </c>
      <c r="F139" s="155">
        <f ca="1">IF(ISNUMBER(MATCH(DATEVALUE($A139),'recurring1_based on steps'!F$1:F$400,0)),F$2,)</f>
        <v>0</v>
      </c>
      <c r="G139" s="155">
        <f ca="1">IF(ISNUMBER(MATCH(DATEVALUE($A139),'recurring1_based on steps'!G$1:G$400,0)),G$2,)</f>
        <v>0</v>
      </c>
      <c r="H139" s="155">
        <f ca="1">IF(ISNUMBER(MATCH(DATEVALUE($A139),'recurring1_based on steps'!H$1:H$400,0)),H$2,)</f>
        <v>0</v>
      </c>
      <c r="I139" s="155">
        <f ca="1">IF(ISNUMBER(MATCH(DATEVALUE($A139),'recurring1_based on steps'!I$1:I$400,0)),I$2,)</f>
        <v>0</v>
      </c>
      <c r="J139" s="155">
        <f ca="1">IF(ISNUMBER(MATCH(DATEVALUE($A139),'recurring1_based on steps'!J$1:J$400,0)),J$2,)</f>
        <v>0</v>
      </c>
      <c r="K139" s="155">
        <f ca="1">IF(ISNUMBER(MATCH(DATEVALUE($A139),'recurring1_based on steps'!K$1:K$400,0)),K$2,)</f>
        <v>0</v>
      </c>
      <c r="L139" s="155">
        <f ca="1">IF(ISNUMBER(MATCH(DATEVALUE($A139),'recurring1_based on steps'!L$1:L$400,0)),L$2,)</f>
        <v>0</v>
      </c>
      <c r="M139" s="155">
        <f ca="1">IF(ISNUMBER(MATCH(DATEVALUE($A139),'recurring1_based on steps'!M$1:M$400,0)),M$2,)</f>
        <v>0</v>
      </c>
      <c r="N139" s="155">
        <f ca="1">IF(ISNUMBER(MATCH(DATEVALUE($A139),'recurring1_based on steps'!N$1:N$400,0)),N$2,)</f>
        <v>15.49</v>
      </c>
      <c r="O139" s="155">
        <f ca="1">IF(ISNUMBER(MATCH(DATEVALUE($A139),'recurring1_based on steps'!O$1:O$400,0)),O$2,)</f>
        <v>0</v>
      </c>
      <c r="P139" s="155">
        <f ca="1">IF(ISNUMBER(MATCH(DATEVALUE($A139),'recurring1_based on steps'!P$1:P$400,0)),P$2,)</f>
        <v>0</v>
      </c>
      <c r="Q139" s="155">
        <f ca="1">IF(ISNUMBER(MATCH(DATEVALUE($A139),'recurring1_based on steps'!Q$1:Q$400,0)),Q$2,)</f>
        <v>0</v>
      </c>
      <c r="R139" s="155">
        <f ca="1">IF(ISNUMBER(MATCH(DATEVALUE($A139),'recurring1_based on steps'!R$1:R$400,0)),R$2,)</f>
        <v>0</v>
      </c>
      <c r="S139" s="155">
        <f ca="1">IF(ISNUMBER(MATCH(DATEVALUE($A139),'recurring1_based on steps'!S$1:S$400,0)),S$2,)</f>
        <v>0</v>
      </c>
      <c r="T139" s="155">
        <f ca="1">IF(ISNUMBER(MATCH(DATEVALUE($A139),'recurring1_based on steps'!T$1:T$400,0)),T$2,)</f>
        <v>0</v>
      </c>
      <c r="U139" s="155">
        <f ca="1">IF(ISNUMBER(MATCH(DATEVALUE($A139),'recurring1_based on steps'!U$1:U$400,0)),U$2,)</f>
        <v>0</v>
      </c>
      <c r="V139" s="155">
        <f ca="1">IF(ISNUMBER(MATCH(DATEVALUE($A139),'recurring1_based on steps'!V$1:V$400,0)),V$2,)</f>
        <v>200</v>
      </c>
      <c r="W139" s="155">
        <f ca="1">IF(ISNUMBER(MATCH(DATEVALUE($A139),'recurring1_based on steps'!W$1:W$400,0)),W$2,)</f>
        <v>0</v>
      </c>
      <c r="X139" s="155">
        <f ca="1">IF(ISNUMBER(MATCH(DATEVALUE($A139),'recurring1_based on steps'!X$1:X$400,0)),X$2,)</f>
        <v>0</v>
      </c>
      <c r="Y139" s="155">
        <f ca="1">IF(ISNUMBER(MATCH(DATEVALUE($A139),'recurring1_based on steps'!Y$1:Y$400,0)),Y$2,)</f>
        <v>0</v>
      </c>
      <c r="Z139" s="155">
        <f ca="1">IF(ISNUMBER(MATCH(DATEVALUE($A139),'recurring1_based on steps'!Z$1:Z$400,0)),Z$2,)</f>
        <v>0</v>
      </c>
      <c r="AA139" s="155">
        <f ca="1">IF(ISNUMBER(MATCH(DATEVALUE($A139),'recurring1_based on steps'!AA$1:AA$400,0)),AA$2,)</f>
        <v>0</v>
      </c>
      <c r="AB139" s="155">
        <f ca="1">IF(ISNUMBER(MATCH(DATEVALUE($A139),'recurring1_based on steps'!AB$1:AB$400,0)),AB$2,)</f>
        <v>0</v>
      </c>
      <c r="AC139" s="155">
        <f ca="1">IF(ISNUMBER(MATCH(DATEVALUE($A139),'recurring1_based on steps'!AC$1:AC$400,0)),AC$2,)</f>
        <v>0</v>
      </c>
      <c r="AD139" s="155">
        <f ca="1">IF(ISNUMBER(MATCH(DATEVALUE($A139),'recurring1_based on steps'!AD$1:AD$400,0)),AD$2,)</f>
        <v>0</v>
      </c>
      <c r="AE139" s="155">
        <f ca="1">IF(ISNUMBER(MATCH(DATEVALUE($A139),'recurring1_based on steps'!AE$1:AE$400,0)),AE$2,)</f>
        <v>0</v>
      </c>
      <c r="AF139" s="155">
        <f ca="1">IF(ISNUMBER(MATCH(DATEVALUE($A139),'recurring1_based on steps'!AF$1:AF$400,0)),AF$2,)</f>
        <v>0</v>
      </c>
      <c r="AG139" s="155">
        <f ca="1">IF(ISNUMBER(MATCH(DATEVALUE($A139),'recurring1_based on steps'!AG$1:AG$400,0)),AG$2,)</f>
        <v>0</v>
      </c>
      <c r="AH139" s="155">
        <f ca="1">IF(ISNUMBER(MATCH(DATEVALUE($A139),'recurring1_based on steps'!AH$1:AH$400,0)),AH$2,)</f>
        <v>0</v>
      </c>
      <c r="AI139" s="155">
        <f ca="1">IF(ISNUMBER(MATCH(DATEVALUE($A139),'recurring1_based on steps'!AI$1:AI$400,0)),AI$2,)</f>
        <v>0</v>
      </c>
      <c r="AJ139" s="155">
        <f ca="1">IF(ISNUMBER(MATCH(DATEVALUE($A139),'recurring1_based on steps'!AJ$1:AJ$400,0)),AJ$2,)</f>
        <v>0</v>
      </c>
      <c r="AK139" s="155">
        <f ca="1">IF(ISNUMBER(MATCH(DATEVALUE($A139),'recurring1_based on steps'!AK$1:AK$400,0)),AK$2,)</f>
        <v>0</v>
      </c>
      <c r="AL139" s="155">
        <f ca="1">IF(ISNUMBER(MATCH(DATEVALUE($A139),'recurring1_based on steps'!AL$1:AL$400,0)),AL$2,)</f>
        <v>0</v>
      </c>
      <c r="AM139" s="155">
        <f ca="1">IF(ISNUMBER(MATCH(DATEVALUE($A139),'recurring1_based on steps'!AM$1:AM$400,0)),AM$2,)</f>
        <v>0</v>
      </c>
      <c r="AN139" s="155">
        <f ca="1">IF(ISNUMBER(MATCH(DATEVALUE($A139),'recurring1_based on steps'!AN$1:AN$400,0)),AN$2,)</f>
        <v>0</v>
      </c>
      <c r="AO139" s="155">
        <f ca="1">IF(ISNUMBER(MATCH(DATEVALUE($A139),'recurring1_based on steps'!AO$1:AO$400,0)),AO$2,)</f>
        <v>0</v>
      </c>
      <c r="AP139" s="155">
        <f ca="1">IF(ISNUMBER(MATCH(DATEVALUE($A139),'recurring1_based on steps'!AP$1:AP$400,0)),AP$2,)</f>
        <v>0</v>
      </c>
      <c r="AQ139" s="155">
        <f ca="1">IF(ISNUMBER(MATCH(DATEVALUE($A139),'recurring1_based on steps'!AQ$1:AQ$400,0)),AQ$2,)</f>
        <v>0</v>
      </c>
      <c r="AR139" s="155">
        <f ca="1">IF(ISNUMBER(MATCH(DATEVALUE($A139),'recurring1_based on steps'!AR$1:AR$400,0)),AR$2,)</f>
        <v>0</v>
      </c>
      <c r="AS139" s="155">
        <f ca="1">IF(ISNUMBER(MATCH(DATEVALUE($A139),'recurring1_based on steps'!AS$1:AS$400,0)),AS$2,)</f>
        <v>0</v>
      </c>
      <c r="AT139" s="155">
        <f ca="1">IF(ISNUMBER(MATCH(DATEVALUE($A139),'recurring1_based on steps'!AT$1:AT$400,0)),AT$2,)</f>
        <v>0</v>
      </c>
      <c r="AU139" s="155">
        <f ca="1">IF(ISNUMBER(MATCH(DATEVALUE($A139),'recurring1_based on steps'!AU$1:AU$400,0)),AU$2,)</f>
        <v>0</v>
      </c>
      <c r="AV139" s="155">
        <f ca="1">IF(ISNUMBER(MATCH(DATEVALUE($A139),'recurring1_based on steps'!AV$1:AV$400,0)),AV$2,)</f>
        <v>0</v>
      </c>
      <c r="AW139" s="155">
        <f ca="1">IF(ISNUMBER(MATCH(DATEVALUE($A139),'recurring1_based on steps'!AW$1:AW$400,0)),AW$2,)</f>
        <v>0</v>
      </c>
      <c r="AX139" s="155">
        <f ca="1">IF(ISNUMBER(MATCH(DATEVALUE($A139),'recurring1_based on steps'!AX$1:AX$400,0)),AX$2,)</f>
        <v>0</v>
      </c>
      <c r="AY139" s="155">
        <f ca="1">IF(ISNUMBER(MATCH(DATEVALUE($A139),'recurring1_based on steps'!AY$1:AY$400,0)),AY$2,)</f>
        <v>0</v>
      </c>
    </row>
    <row r="140" spans="1:51" x14ac:dyDescent="0.2">
      <c r="A140" s="18" t="str">
        <f t="shared" ca="1" si="2"/>
        <v>2025-06-18</v>
      </c>
      <c r="B140" s="155">
        <f ca="1">IF(ISNUMBER(MATCH(DATEVALUE($A140),'recurring1_based on steps'!B$1:B$400,0)),B$2,)</f>
        <v>0</v>
      </c>
      <c r="C140" s="155">
        <f ca="1">IF(ISNUMBER(MATCH(DATEVALUE($A140),'recurring1_based on steps'!C$1:C$400,0)),C$2,)</f>
        <v>0</v>
      </c>
      <c r="D140" s="155">
        <f ca="1">IF(ISNUMBER(MATCH(DATEVALUE($A140),'recurring1_based on steps'!D$1:D$400,0)),D$2,)</f>
        <v>0</v>
      </c>
      <c r="E140" s="155">
        <f ca="1">IF(ISNUMBER(MATCH(DATEVALUE($A140),'recurring1_based on steps'!E$1:E$400,0)),E$2,)</f>
        <v>0</v>
      </c>
      <c r="F140" s="155">
        <f ca="1">IF(ISNUMBER(MATCH(DATEVALUE($A140),'recurring1_based on steps'!F$1:F$400,0)),F$2,)</f>
        <v>0</v>
      </c>
      <c r="G140" s="155">
        <f ca="1">IF(ISNUMBER(MATCH(DATEVALUE($A140),'recurring1_based on steps'!G$1:G$400,0)),G$2,)</f>
        <v>0</v>
      </c>
      <c r="H140" s="155">
        <f ca="1">IF(ISNUMBER(MATCH(DATEVALUE($A140),'recurring1_based on steps'!H$1:H$400,0)),H$2,)</f>
        <v>0</v>
      </c>
      <c r="I140" s="155">
        <f ca="1">IF(ISNUMBER(MATCH(DATEVALUE($A140),'recurring1_based on steps'!I$1:I$400,0)),I$2,)</f>
        <v>0</v>
      </c>
      <c r="J140" s="155">
        <f ca="1">IF(ISNUMBER(MATCH(DATEVALUE($A140),'recurring1_based on steps'!J$1:J$400,0)),J$2,)</f>
        <v>0</v>
      </c>
      <c r="K140" s="155">
        <f ca="1">IF(ISNUMBER(MATCH(DATEVALUE($A140),'recurring1_based on steps'!K$1:K$400,0)),K$2,)</f>
        <v>0</v>
      </c>
      <c r="L140" s="155">
        <f ca="1">IF(ISNUMBER(MATCH(DATEVALUE($A140),'recurring1_based on steps'!L$1:L$400,0)),L$2,)</f>
        <v>0</v>
      </c>
      <c r="M140" s="155">
        <f ca="1">IF(ISNUMBER(MATCH(DATEVALUE($A140),'recurring1_based on steps'!M$1:M$400,0)),M$2,)</f>
        <v>0</v>
      </c>
      <c r="N140" s="155">
        <f ca="1">IF(ISNUMBER(MATCH(DATEVALUE($A140),'recurring1_based on steps'!N$1:N$400,0)),N$2,)</f>
        <v>0</v>
      </c>
      <c r="O140" s="155">
        <f ca="1">IF(ISNUMBER(MATCH(DATEVALUE($A140),'recurring1_based on steps'!O$1:O$400,0)),O$2,)</f>
        <v>10.99</v>
      </c>
      <c r="P140" s="155">
        <f ca="1">IF(ISNUMBER(MATCH(DATEVALUE($A140),'recurring1_based on steps'!P$1:P$400,0)),P$2,)</f>
        <v>0</v>
      </c>
      <c r="Q140" s="155">
        <f ca="1">IF(ISNUMBER(MATCH(DATEVALUE($A140),'recurring1_based on steps'!Q$1:Q$400,0)),Q$2,)</f>
        <v>0</v>
      </c>
      <c r="R140" s="155">
        <f ca="1">IF(ISNUMBER(MATCH(DATEVALUE($A140),'recurring1_based on steps'!R$1:R$400,0)),R$2,)</f>
        <v>0</v>
      </c>
      <c r="S140" s="155">
        <f ca="1">IF(ISNUMBER(MATCH(DATEVALUE($A140),'recurring1_based on steps'!S$1:S$400,0)),S$2,)</f>
        <v>0</v>
      </c>
      <c r="T140" s="155">
        <f ca="1">IF(ISNUMBER(MATCH(DATEVALUE($A140),'recurring1_based on steps'!T$1:T$400,0)),T$2,)</f>
        <v>0</v>
      </c>
      <c r="U140" s="155">
        <f ca="1">IF(ISNUMBER(MATCH(DATEVALUE($A140),'recurring1_based on steps'!U$1:U$400,0)),U$2,)</f>
        <v>0</v>
      </c>
      <c r="V140" s="155">
        <f ca="1">IF(ISNUMBER(MATCH(DATEVALUE($A140),'recurring1_based on steps'!V$1:V$400,0)),V$2,)</f>
        <v>0</v>
      </c>
      <c r="W140" s="155">
        <f ca="1">IF(ISNUMBER(MATCH(DATEVALUE($A140),'recurring1_based on steps'!W$1:W$400,0)),W$2,)</f>
        <v>0</v>
      </c>
      <c r="X140" s="155">
        <f ca="1">IF(ISNUMBER(MATCH(DATEVALUE($A140),'recurring1_based on steps'!X$1:X$400,0)),X$2,)</f>
        <v>0</v>
      </c>
      <c r="Y140" s="155">
        <f ca="1">IF(ISNUMBER(MATCH(DATEVALUE($A140),'recurring1_based on steps'!Y$1:Y$400,0)),Y$2,)</f>
        <v>0</v>
      </c>
      <c r="Z140" s="155">
        <f ca="1">IF(ISNUMBER(MATCH(DATEVALUE($A140),'recurring1_based on steps'!Z$1:Z$400,0)),Z$2,)</f>
        <v>0</v>
      </c>
      <c r="AA140" s="155">
        <f ca="1">IF(ISNUMBER(MATCH(DATEVALUE($A140),'recurring1_based on steps'!AA$1:AA$400,0)),AA$2,)</f>
        <v>0</v>
      </c>
      <c r="AB140" s="155">
        <f ca="1">IF(ISNUMBER(MATCH(DATEVALUE($A140),'recurring1_based on steps'!AB$1:AB$400,0)),AB$2,)</f>
        <v>0</v>
      </c>
      <c r="AC140" s="155">
        <f ca="1">IF(ISNUMBER(MATCH(DATEVALUE($A140),'recurring1_based on steps'!AC$1:AC$400,0)),AC$2,)</f>
        <v>0</v>
      </c>
      <c r="AD140" s="155">
        <f ca="1">IF(ISNUMBER(MATCH(DATEVALUE($A140),'recurring1_based on steps'!AD$1:AD$400,0)),AD$2,)</f>
        <v>0</v>
      </c>
      <c r="AE140" s="155">
        <f ca="1">IF(ISNUMBER(MATCH(DATEVALUE($A140),'recurring1_based on steps'!AE$1:AE$400,0)),AE$2,)</f>
        <v>0</v>
      </c>
      <c r="AF140" s="155">
        <f ca="1">IF(ISNUMBER(MATCH(DATEVALUE($A140),'recurring1_based on steps'!AF$1:AF$400,0)),AF$2,)</f>
        <v>0</v>
      </c>
      <c r="AG140" s="155">
        <f ca="1">IF(ISNUMBER(MATCH(DATEVALUE($A140),'recurring1_based on steps'!AG$1:AG$400,0)),AG$2,)</f>
        <v>0</v>
      </c>
      <c r="AH140" s="155">
        <f ca="1">IF(ISNUMBER(MATCH(DATEVALUE($A140),'recurring1_based on steps'!AH$1:AH$400,0)),AH$2,)</f>
        <v>0</v>
      </c>
      <c r="AI140" s="155">
        <f ca="1">IF(ISNUMBER(MATCH(DATEVALUE($A140),'recurring1_based on steps'!AI$1:AI$400,0)),AI$2,)</f>
        <v>0</v>
      </c>
      <c r="AJ140" s="155">
        <f ca="1">IF(ISNUMBER(MATCH(DATEVALUE($A140),'recurring1_based on steps'!AJ$1:AJ$400,0)),AJ$2,)</f>
        <v>0</v>
      </c>
      <c r="AK140" s="155">
        <f ca="1">IF(ISNUMBER(MATCH(DATEVALUE($A140),'recurring1_based on steps'!AK$1:AK$400,0)),AK$2,)</f>
        <v>0</v>
      </c>
      <c r="AL140" s="155">
        <f ca="1">IF(ISNUMBER(MATCH(DATEVALUE($A140),'recurring1_based on steps'!AL$1:AL$400,0)),AL$2,)</f>
        <v>0</v>
      </c>
      <c r="AM140" s="155">
        <f ca="1">IF(ISNUMBER(MATCH(DATEVALUE($A140),'recurring1_based on steps'!AM$1:AM$400,0)),AM$2,)</f>
        <v>0</v>
      </c>
      <c r="AN140" s="155">
        <f ca="1">IF(ISNUMBER(MATCH(DATEVALUE($A140),'recurring1_based on steps'!AN$1:AN$400,0)),AN$2,)</f>
        <v>0</v>
      </c>
      <c r="AO140" s="155">
        <f ca="1">IF(ISNUMBER(MATCH(DATEVALUE($A140),'recurring1_based on steps'!AO$1:AO$400,0)),AO$2,)</f>
        <v>0</v>
      </c>
      <c r="AP140" s="155">
        <f ca="1">IF(ISNUMBER(MATCH(DATEVALUE($A140),'recurring1_based on steps'!AP$1:AP$400,0)),AP$2,)</f>
        <v>0</v>
      </c>
      <c r="AQ140" s="155">
        <f ca="1">IF(ISNUMBER(MATCH(DATEVALUE($A140),'recurring1_based on steps'!AQ$1:AQ$400,0)),AQ$2,)</f>
        <v>0</v>
      </c>
      <c r="AR140" s="155">
        <f ca="1">IF(ISNUMBER(MATCH(DATEVALUE($A140),'recurring1_based on steps'!AR$1:AR$400,0)),AR$2,)</f>
        <v>0</v>
      </c>
      <c r="AS140" s="155">
        <f ca="1">IF(ISNUMBER(MATCH(DATEVALUE($A140),'recurring1_based on steps'!AS$1:AS$400,0)),AS$2,)</f>
        <v>0</v>
      </c>
      <c r="AT140" s="155">
        <f ca="1">IF(ISNUMBER(MATCH(DATEVALUE($A140),'recurring1_based on steps'!AT$1:AT$400,0)),AT$2,)</f>
        <v>0</v>
      </c>
      <c r="AU140" s="155">
        <f ca="1">IF(ISNUMBER(MATCH(DATEVALUE($A140),'recurring1_based on steps'!AU$1:AU$400,0)),AU$2,)</f>
        <v>0</v>
      </c>
      <c r="AV140" s="155">
        <f ca="1">IF(ISNUMBER(MATCH(DATEVALUE($A140),'recurring1_based on steps'!AV$1:AV$400,0)),AV$2,)</f>
        <v>0</v>
      </c>
      <c r="AW140" s="155">
        <f ca="1">IF(ISNUMBER(MATCH(DATEVALUE($A140),'recurring1_based on steps'!AW$1:AW$400,0)),AW$2,)</f>
        <v>0</v>
      </c>
      <c r="AX140" s="155">
        <f ca="1">IF(ISNUMBER(MATCH(DATEVALUE($A140),'recurring1_based on steps'!AX$1:AX$400,0)),AX$2,)</f>
        <v>0</v>
      </c>
      <c r="AY140" s="155">
        <f ca="1">IF(ISNUMBER(MATCH(DATEVALUE($A140),'recurring1_based on steps'!AY$1:AY$400,0)),AY$2,)</f>
        <v>0</v>
      </c>
    </row>
    <row r="141" spans="1:51" x14ac:dyDescent="0.2">
      <c r="A141" s="18" t="str">
        <f t="shared" ca="1" si="2"/>
        <v>2025-06-19</v>
      </c>
      <c r="B141" s="155">
        <f ca="1">IF(ISNUMBER(MATCH(DATEVALUE($A141),'recurring1_based on steps'!B$1:B$400,0)),B$2,)</f>
        <v>0</v>
      </c>
      <c r="C141" s="155">
        <f ca="1">IF(ISNUMBER(MATCH(DATEVALUE($A141),'recurring1_based on steps'!C$1:C$400,0)),C$2,)</f>
        <v>0</v>
      </c>
      <c r="D141" s="155">
        <f ca="1">IF(ISNUMBER(MATCH(DATEVALUE($A141),'recurring1_based on steps'!D$1:D$400,0)),D$2,)</f>
        <v>0</v>
      </c>
      <c r="E141" s="155">
        <f ca="1">IF(ISNUMBER(MATCH(DATEVALUE($A141),'recurring1_based on steps'!E$1:E$400,0)),E$2,)</f>
        <v>0</v>
      </c>
      <c r="F141" s="155">
        <f ca="1">IF(ISNUMBER(MATCH(DATEVALUE($A141),'recurring1_based on steps'!F$1:F$400,0)),F$2,)</f>
        <v>0</v>
      </c>
      <c r="G141" s="155">
        <f ca="1">IF(ISNUMBER(MATCH(DATEVALUE($A141),'recurring1_based on steps'!G$1:G$400,0)),G$2,)</f>
        <v>0</v>
      </c>
      <c r="H141" s="155">
        <f ca="1">IF(ISNUMBER(MATCH(DATEVALUE($A141),'recurring1_based on steps'!H$1:H$400,0)),H$2,)</f>
        <v>0</v>
      </c>
      <c r="I141" s="155">
        <f ca="1">IF(ISNUMBER(MATCH(DATEVALUE($A141),'recurring1_based on steps'!I$1:I$400,0)),I$2,)</f>
        <v>0</v>
      </c>
      <c r="J141" s="155">
        <f ca="1">IF(ISNUMBER(MATCH(DATEVALUE($A141),'recurring1_based on steps'!J$1:J$400,0)),J$2,)</f>
        <v>0</v>
      </c>
      <c r="K141" s="155">
        <f ca="1">IF(ISNUMBER(MATCH(DATEVALUE($A141),'recurring1_based on steps'!K$1:K$400,0)),K$2,)</f>
        <v>0</v>
      </c>
      <c r="L141" s="155">
        <f ca="1">IF(ISNUMBER(MATCH(DATEVALUE($A141),'recurring1_based on steps'!L$1:L$400,0)),L$2,)</f>
        <v>0</v>
      </c>
      <c r="M141" s="155">
        <f ca="1">IF(ISNUMBER(MATCH(DATEVALUE($A141),'recurring1_based on steps'!M$1:M$400,0)),M$2,)</f>
        <v>0</v>
      </c>
      <c r="N141" s="155">
        <f ca="1">IF(ISNUMBER(MATCH(DATEVALUE($A141),'recurring1_based on steps'!N$1:N$400,0)),N$2,)</f>
        <v>0</v>
      </c>
      <c r="O141" s="155">
        <f ca="1">IF(ISNUMBER(MATCH(DATEVALUE($A141),'recurring1_based on steps'!O$1:O$400,0)),O$2,)</f>
        <v>0</v>
      </c>
      <c r="P141" s="155">
        <f ca="1">IF(ISNUMBER(MATCH(DATEVALUE($A141),'recurring1_based on steps'!P$1:P$400,0)),P$2,)</f>
        <v>0</v>
      </c>
      <c r="Q141" s="155">
        <f ca="1">IF(ISNUMBER(MATCH(DATEVALUE($A141),'recurring1_based on steps'!Q$1:Q$400,0)),Q$2,)</f>
        <v>0</v>
      </c>
      <c r="R141" s="155">
        <f ca="1">IF(ISNUMBER(MATCH(DATEVALUE($A141),'recurring1_based on steps'!R$1:R$400,0)),R$2,)</f>
        <v>0</v>
      </c>
      <c r="S141" s="155">
        <f ca="1">IF(ISNUMBER(MATCH(DATEVALUE($A141),'recurring1_based on steps'!S$1:S$400,0)),S$2,)</f>
        <v>0</v>
      </c>
      <c r="T141" s="155">
        <f ca="1">IF(ISNUMBER(MATCH(DATEVALUE($A141),'recurring1_based on steps'!T$1:T$400,0)),T$2,)</f>
        <v>0</v>
      </c>
      <c r="U141" s="155">
        <f ca="1">IF(ISNUMBER(MATCH(DATEVALUE($A141),'recurring1_based on steps'!U$1:U$400,0)),U$2,)</f>
        <v>0</v>
      </c>
      <c r="V141" s="155">
        <f ca="1">IF(ISNUMBER(MATCH(DATEVALUE($A141),'recurring1_based on steps'!V$1:V$400,0)),V$2,)</f>
        <v>0</v>
      </c>
      <c r="W141" s="155">
        <f ca="1">IF(ISNUMBER(MATCH(DATEVALUE($A141),'recurring1_based on steps'!W$1:W$400,0)),W$2,)</f>
        <v>0</v>
      </c>
      <c r="X141" s="155">
        <f ca="1">IF(ISNUMBER(MATCH(DATEVALUE($A141),'recurring1_based on steps'!X$1:X$400,0)),X$2,)</f>
        <v>0</v>
      </c>
      <c r="Y141" s="155">
        <f ca="1">IF(ISNUMBER(MATCH(DATEVALUE($A141),'recurring1_based on steps'!Y$1:Y$400,0)),Y$2,)</f>
        <v>0</v>
      </c>
      <c r="Z141" s="155">
        <f ca="1">IF(ISNUMBER(MATCH(DATEVALUE($A141),'recurring1_based on steps'!Z$1:Z$400,0)),Z$2,)</f>
        <v>0</v>
      </c>
      <c r="AA141" s="155">
        <f ca="1">IF(ISNUMBER(MATCH(DATEVALUE($A141),'recurring1_based on steps'!AA$1:AA$400,0)),AA$2,)</f>
        <v>0</v>
      </c>
      <c r="AB141" s="155">
        <f ca="1">IF(ISNUMBER(MATCH(DATEVALUE($A141),'recurring1_based on steps'!AB$1:AB$400,0)),AB$2,)</f>
        <v>0</v>
      </c>
      <c r="AC141" s="155">
        <f ca="1">IF(ISNUMBER(MATCH(DATEVALUE($A141),'recurring1_based on steps'!AC$1:AC$400,0)),AC$2,)</f>
        <v>0</v>
      </c>
      <c r="AD141" s="155">
        <f ca="1">IF(ISNUMBER(MATCH(DATEVALUE($A141),'recurring1_based on steps'!AD$1:AD$400,0)),AD$2,)</f>
        <v>0</v>
      </c>
      <c r="AE141" s="155">
        <f ca="1">IF(ISNUMBER(MATCH(DATEVALUE($A141),'recurring1_based on steps'!AE$1:AE$400,0)),AE$2,)</f>
        <v>0</v>
      </c>
      <c r="AF141" s="155">
        <f ca="1">IF(ISNUMBER(MATCH(DATEVALUE($A141),'recurring1_based on steps'!AF$1:AF$400,0)),AF$2,)</f>
        <v>0</v>
      </c>
      <c r="AG141" s="155">
        <f ca="1">IF(ISNUMBER(MATCH(DATEVALUE($A141),'recurring1_based on steps'!AG$1:AG$400,0)),AG$2,)</f>
        <v>0</v>
      </c>
      <c r="AH141" s="155">
        <f ca="1">IF(ISNUMBER(MATCH(DATEVALUE($A141),'recurring1_based on steps'!AH$1:AH$400,0)),AH$2,)</f>
        <v>0</v>
      </c>
      <c r="AI141" s="155">
        <f ca="1">IF(ISNUMBER(MATCH(DATEVALUE($A141),'recurring1_based on steps'!AI$1:AI$400,0)),AI$2,)</f>
        <v>0</v>
      </c>
      <c r="AJ141" s="155">
        <f ca="1">IF(ISNUMBER(MATCH(DATEVALUE($A141),'recurring1_based on steps'!AJ$1:AJ$400,0)),AJ$2,)</f>
        <v>0</v>
      </c>
      <c r="AK141" s="155">
        <f ca="1">IF(ISNUMBER(MATCH(DATEVALUE($A141),'recurring1_based on steps'!AK$1:AK$400,0)),AK$2,)</f>
        <v>0</v>
      </c>
      <c r="AL141" s="155">
        <f ca="1">IF(ISNUMBER(MATCH(DATEVALUE($A141),'recurring1_based on steps'!AL$1:AL$400,0)),AL$2,)</f>
        <v>0</v>
      </c>
      <c r="AM141" s="155">
        <f ca="1">IF(ISNUMBER(MATCH(DATEVALUE($A141),'recurring1_based on steps'!AM$1:AM$400,0)),AM$2,)</f>
        <v>0</v>
      </c>
      <c r="AN141" s="155">
        <f ca="1">IF(ISNUMBER(MATCH(DATEVALUE($A141),'recurring1_based on steps'!AN$1:AN$400,0)),AN$2,)</f>
        <v>0</v>
      </c>
      <c r="AO141" s="155">
        <f ca="1">IF(ISNUMBER(MATCH(DATEVALUE($A141),'recurring1_based on steps'!AO$1:AO$400,0)),AO$2,)</f>
        <v>0</v>
      </c>
      <c r="AP141" s="155">
        <f ca="1">IF(ISNUMBER(MATCH(DATEVALUE($A141),'recurring1_based on steps'!AP$1:AP$400,0)),AP$2,)</f>
        <v>0</v>
      </c>
      <c r="AQ141" s="155">
        <f ca="1">IF(ISNUMBER(MATCH(DATEVALUE($A141),'recurring1_based on steps'!AQ$1:AQ$400,0)),AQ$2,)</f>
        <v>0</v>
      </c>
      <c r="AR141" s="155">
        <f ca="1">IF(ISNUMBER(MATCH(DATEVALUE($A141),'recurring1_based on steps'!AR$1:AR$400,0)),AR$2,)</f>
        <v>0</v>
      </c>
      <c r="AS141" s="155">
        <f ca="1">IF(ISNUMBER(MATCH(DATEVALUE($A141),'recurring1_based on steps'!AS$1:AS$400,0)),AS$2,)</f>
        <v>0</v>
      </c>
      <c r="AT141" s="155">
        <f ca="1">IF(ISNUMBER(MATCH(DATEVALUE($A141),'recurring1_based on steps'!AT$1:AT$400,0)),AT$2,)</f>
        <v>0</v>
      </c>
      <c r="AU141" s="155">
        <f ca="1">IF(ISNUMBER(MATCH(DATEVALUE($A141),'recurring1_based on steps'!AU$1:AU$400,0)),AU$2,)</f>
        <v>0</v>
      </c>
      <c r="AV141" s="155">
        <f ca="1">IF(ISNUMBER(MATCH(DATEVALUE($A141),'recurring1_based on steps'!AV$1:AV$400,0)),AV$2,)</f>
        <v>0</v>
      </c>
      <c r="AW141" s="155">
        <f ca="1">IF(ISNUMBER(MATCH(DATEVALUE($A141),'recurring1_based on steps'!AW$1:AW$400,0)),AW$2,)</f>
        <v>0</v>
      </c>
      <c r="AX141" s="155">
        <f ca="1">IF(ISNUMBER(MATCH(DATEVALUE($A141),'recurring1_based on steps'!AX$1:AX$400,0)),AX$2,)</f>
        <v>0</v>
      </c>
      <c r="AY141" s="155">
        <f ca="1">IF(ISNUMBER(MATCH(DATEVALUE($A141),'recurring1_based on steps'!AY$1:AY$400,0)),AY$2,)</f>
        <v>0</v>
      </c>
    </row>
    <row r="142" spans="1:51" x14ac:dyDescent="0.2">
      <c r="A142" s="18" t="str">
        <f t="shared" ca="1" si="2"/>
        <v>2025-06-20</v>
      </c>
      <c r="B142" s="155">
        <f ca="1">IF(ISNUMBER(MATCH(DATEVALUE($A142),'recurring1_based on steps'!B$1:B$400,0)),B$2,)</f>
        <v>0</v>
      </c>
      <c r="C142" s="155">
        <f ca="1">IF(ISNUMBER(MATCH(DATEVALUE($A142),'recurring1_based on steps'!C$1:C$400,0)),C$2,)</f>
        <v>0</v>
      </c>
      <c r="D142" s="155">
        <f ca="1">IF(ISNUMBER(MATCH(DATEVALUE($A142),'recurring1_based on steps'!D$1:D$400,0)),D$2,)</f>
        <v>0</v>
      </c>
      <c r="E142" s="155">
        <f ca="1">IF(ISNUMBER(MATCH(DATEVALUE($A142),'recurring1_based on steps'!E$1:E$400,0)),E$2,)</f>
        <v>0</v>
      </c>
      <c r="F142" s="155">
        <f ca="1">IF(ISNUMBER(MATCH(DATEVALUE($A142),'recurring1_based on steps'!F$1:F$400,0)),F$2,)</f>
        <v>0</v>
      </c>
      <c r="G142" s="155">
        <f ca="1">IF(ISNUMBER(MATCH(DATEVALUE($A142),'recurring1_based on steps'!G$1:G$400,0)),G$2,)</f>
        <v>0</v>
      </c>
      <c r="H142" s="155">
        <f ca="1">IF(ISNUMBER(MATCH(DATEVALUE($A142),'recurring1_based on steps'!H$1:H$400,0)),H$2,)</f>
        <v>0</v>
      </c>
      <c r="I142" s="155">
        <f ca="1">IF(ISNUMBER(MATCH(DATEVALUE($A142),'recurring1_based on steps'!I$1:I$400,0)),I$2,)</f>
        <v>0</v>
      </c>
      <c r="J142" s="155">
        <f ca="1">IF(ISNUMBER(MATCH(DATEVALUE($A142),'recurring1_based on steps'!J$1:J$400,0)),J$2,)</f>
        <v>0</v>
      </c>
      <c r="K142" s="155">
        <f ca="1">IF(ISNUMBER(MATCH(DATEVALUE($A142),'recurring1_based on steps'!K$1:K$400,0)),K$2,)</f>
        <v>0</v>
      </c>
      <c r="L142" s="155">
        <f ca="1">IF(ISNUMBER(MATCH(DATEVALUE($A142),'recurring1_based on steps'!L$1:L$400,0)),L$2,)</f>
        <v>0</v>
      </c>
      <c r="M142" s="155">
        <f ca="1">IF(ISNUMBER(MATCH(DATEVALUE($A142),'recurring1_based on steps'!M$1:M$400,0)),M$2,)</f>
        <v>0</v>
      </c>
      <c r="N142" s="155">
        <f ca="1">IF(ISNUMBER(MATCH(DATEVALUE($A142),'recurring1_based on steps'!N$1:N$400,0)),N$2,)</f>
        <v>0</v>
      </c>
      <c r="O142" s="155">
        <f ca="1">IF(ISNUMBER(MATCH(DATEVALUE($A142),'recurring1_based on steps'!O$1:O$400,0)),O$2,)</f>
        <v>0</v>
      </c>
      <c r="P142" s="155">
        <f ca="1">IF(ISNUMBER(MATCH(DATEVALUE($A142),'recurring1_based on steps'!P$1:P$400,0)),P$2,)</f>
        <v>0</v>
      </c>
      <c r="Q142" s="155">
        <f ca="1">IF(ISNUMBER(MATCH(DATEVALUE($A142),'recurring1_based on steps'!Q$1:Q$400,0)),Q$2,)</f>
        <v>0</v>
      </c>
      <c r="R142" s="155">
        <f ca="1">IF(ISNUMBER(MATCH(DATEVALUE($A142),'recurring1_based on steps'!R$1:R$400,0)),R$2,)</f>
        <v>0</v>
      </c>
      <c r="S142" s="155">
        <f ca="1">IF(ISNUMBER(MATCH(DATEVALUE($A142),'recurring1_based on steps'!S$1:S$400,0)),S$2,)</f>
        <v>0</v>
      </c>
      <c r="T142" s="155">
        <f ca="1">IF(ISNUMBER(MATCH(DATEVALUE($A142),'recurring1_based on steps'!T$1:T$400,0)),T$2,)</f>
        <v>0</v>
      </c>
      <c r="U142" s="155">
        <f ca="1">IF(ISNUMBER(MATCH(DATEVALUE($A142),'recurring1_based on steps'!U$1:U$400,0)),U$2,)</f>
        <v>0</v>
      </c>
      <c r="V142" s="155">
        <f ca="1">IF(ISNUMBER(MATCH(DATEVALUE($A142),'recurring1_based on steps'!V$1:V$400,0)),V$2,)</f>
        <v>0</v>
      </c>
      <c r="W142" s="155">
        <f ca="1">IF(ISNUMBER(MATCH(DATEVALUE($A142),'recurring1_based on steps'!W$1:W$400,0)),W$2,)</f>
        <v>0</v>
      </c>
      <c r="X142" s="155">
        <f ca="1">IF(ISNUMBER(MATCH(DATEVALUE($A142),'recurring1_based on steps'!X$1:X$400,0)),X$2,)</f>
        <v>0</v>
      </c>
      <c r="Y142" s="155">
        <f ca="1">IF(ISNUMBER(MATCH(DATEVALUE($A142),'recurring1_based on steps'!Y$1:Y$400,0)),Y$2,)</f>
        <v>0</v>
      </c>
      <c r="Z142" s="155">
        <f ca="1">IF(ISNUMBER(MATCH(DATEVALUE($A142),'recurring1_based on steps'!Z$1:Z$400,0)),Z$2,)</f>
        <v>0</v>
      </c>
      <c r="AA142" s="155">
        <f ca="1">IF(ISNUMBER(MATCH(DATEVALUE($A142),'recurring1_based on steps'!AA$1:AA$400,0)),AA$2,)</f>
        <v>0</v>
      </c>
      <c r="AB142" s="155">
        <f ca="1">IF(ISNUMBER(MATCH(DATEVALUE($A142),'recurring1_based on steps'!AB$1:AB$400,0)),AB$2,)</f>
        <v>0</v>
      </c>
      <c r="AC142" s="155">
        <f ca="1">IF(ISNUMBER(MATCH(DATEVALUE($A142),'recurring1_based on steps'!AC$1:AC$400,0)),AC$2,)</f>
        <v>0</v>
      </c>
      <c r="AD142" s="155">
        <f ca="1">IF(ISNUMBER(MATCH(DATEVALUE($A142),'recurring1_based on steps'!AD$1:AD$400,0)),AD$2,)</f>
        <v>0</v>
      </c>
      <c r="AE142" s="155">
        <f ca="1">IF(ISNUMBER(MATCH(DATEVALUE($A142),'recurring1_based on steps'!AE$1:AE$400,0)),AE$2,)</f>
        <v>0</v>
      </c>
      <c r="AF142" s="155">
        <f ca="1">IF(ISNUMBER(MATCH(DATEVALUE($A142),'recurring1_based on steps'!AF$1:AF$400,0)),AF$2,)</f>
        <v>0</v>
      </c>
      <c r="AG142" s="155">
        <f ca="1">IF(ISNUMBER(MATCH(DATEVALUE($A142),'recurring1_based on steps'!AG$1:AG$400,0)),AG$2,)</f>
        <v>0</v>
      </c>
      <c r="AH142" s="155">
        <f ca="1">IF(ISNUMBER(MATCH(DATEVALUE($A142),'recurring1_based on steps'!AH$1:AH$400,0)),AH$2,)</f>
        <v>0</v>
      </c>
      <c r="AI142" s="155">
        <f ca="1">IF(ISNUMBER(MATCH(DATEVALUE($A142),'recurring1_based on steps'!AI$1:AI$400,0)),AI$2,)</f>
        <v>0</v>
      </c>
      <c r="AJ142" s="155">
        <f ca="1">IF(ISNUMBER(MATCH(DATEVALUE($A142),'recurring1_based on steps'!AJ$1:AJ$400,0)),AJ$2,)</f>
        <v>0</v>
      </c>
      <c r="AK142" s="155">
        <f ca="1">IF(ISNUMBER(MATCH(DATEVALUE($A142),'recurring1_based on steps'!AK$1:AK$400,0)),AK$2,)</f>
        <v>0</v>
      </c>
      <c r="AL142" s="155">
        <f ca="1">IF(ISNUMBER(MATCH(DATEVALUE($A142),'recurring1_based on steps'!AL$1:AL$400,0)),AL$2,)</f>
        <v>0</v>
      </c>
      <c r="AM142" s="155">
        <f ca="1">IF(ISNUMBER(MATCH(DATEVALUE($A142),'recurring1_based on steps'!AM$1:AM$400,0)),AM$2,)</f>
        <v>0</v>
      </c>
      <c r="AN142" s="155">
        <f ca="1">IF(ISNUMBER(MATCH(DATEVALUE($A142),'recurring1_based on steps'!AN$1:AN$400,0)),AN$2,)</f>
        <v>0</v>
      </c>
      <c r="AO142" s="155">
        <f ca="1">IF(ISNUMBER(MATCH(DATEVALUE($A142),'recurring1_based on steps'!AO$1:AO$400,0)),AO$2,)</f>
        <v>0</v>
      </c>
      <c r="AP142" s="155">
        <f ca="1">IF(ISNUMBER(MATCH(DATEVALUE($A142),'recurring1_based on steps'!AP$1:AP$400,0)),AP$2,)</f>
        <v>0</v>
      </c>
      <c r="AQ142" s="155">
        <f ca="1">IF(ISNUMBER(MATCH(DATEVALUE($A142),'recurring1_based on steps'!AQ$1:AQ$400,0)),AQ$2,)</f>
        <v>0</v>
      </c>
      <c r="AR142" s="155">
        <f ca="1">IF(ISNUMBER(MATCH(DATEVALUE($A142),'recurring1_based on steps'!AR$1:AR$400,0)),AR$2,)</f>
        <v>0</v>
      </c>
      <c r="AS142" s="155">
        <f ca="1">IF(ISNUMBER(MATCH(DATEVALUE($A142),'recurring1_based on steps'!AS$1:AS$400,0)),AS$2,)</f>
        <v>0</v>
      </c>
      <c r="AT142" s="155">
        <f ca="1">IF(ISNUMBER(MATCH(DATEVALUE($A142),'recurring1_based on steps'!AT$1:AT$400,0)),AT$2,)</f>
        <v>0</v>
      </c>
      <c r="AU142" s="155">
        <f ca="1">IF(ISNUMBER(MATCH(DATEVALUE($A142),'recurring1_based on steps'!AU$1:AU$400,0)),AU$2,)</f>
        <v>0</v>
      </c>
      <c r="AV142" s="155">
        <f ca="1">IF(ISNUMBER(MATCH(DATEVALUE($A142),'recurring1_based on steps'!AV$1:AV$400,0)),AV$2,)</f>
        <v>0</v>
      </c>
      <c r="AW142" s="155">
        <f ca="1">IF(ISNUMBER(MATCH(DATEVALUE($A142),'recurring1_based on steps'!AW$1:AW$400,0)),AW$2,)</f>
        <v>0</v>
      </c>
      <c r="AX142" s="155">
        <f ca="1">IF(ISNUMBER(MATCH(DATEVALUE($A142),'recurring1_based on steps'!AX$1:AX$400,0)),AX$2,)</f>
        <v>0</v>
      </c>
      <c r="AY142" s="155">
        <f ca="1">IF(ISNUMBER(MATCH(DATEVALUE($A142),'recurring1_based on steps'!AY$1:AY$400,0)),AY$2,)</f>
        <v>0</v>
      </c>
    </row>
    <row r="143" spans="1:51" x14ac:dyDescent="0.2">
      <c r="A143" s="18" t="str">
        <f t="shared" ca="1" si="2"/>
        <v>2025-06-21</v>
      </c>
      <c r="B143" s="155">
        <f ca="1">IF(ISNUMBER(MATCH(DATEVALUE($A143),'recurring1_based on steps'!B$1:B$400,0)),B$2,)</f>
        <v>0</v>
      </c>
      <c r="C143" s="155">
        <f ca="1">IF(ISNUMBER(MATCH(DATEVALUE($A143),'recurring1_based on steps'!C$1:C$400,0)),C$2,)</f>
        <v>0</v>
      </c>
      <c r="D143" s="155">
        <f ca="1">IF(ISNUMBER(MATCH(DATEVALUE($A143),'recurring1_based on steps'!D$1:D$400,0)),D$2,)</f>
        <v>0</v>
      </c>
      <c r="E143" s="155">
        <f ca="1">IF(ISNUMBER(MATCH(DATEVALUE($A143),'recurring1_based on steps'!E$1:E$400,0)),E$2,)</f>
        <v>0</v>
      </c>
      <c r="F143" s="155">
        <f ca="1">IF(ISNUMBER(MATCH(DATEVALUE($A143),'recurring1_based on steps'!F$1:F$400,0)),F$2,)</f>
        <v>0</v>
      </c>
      <c r="G143" s="155">
        <f ca="1">IF(ISNUMBER(MATCH(DATEVALUE($A143),'recurring1_based on steps'!G$1:G$400,0)),G$2,)</f>
        <v>0</v>
      </c>
      <c r="H143" s="155">
        <f ca="1">IF(ISNUMBER(MATCH(DATEVALUE($A143),'recurring1_based on steps'!H$1:H$400,0)),H$2,)</f>
        <v>0</v>
      </c>
      <c r="I143" s="155">
        <f ca="1">IF(ISNUMBER(MATCH(DATEVALUE($A143),'recurring1_based on steps'!I$1:I$400,0)),I$2,)</f>
        <v>0</v>
      </c>
      <c r="J143" s="155">
        <f ca="1">IF(ISNUMBER(MATCH(DATEVALUE($A143),'recurring1_based on steps'!J$1:J$400,0)),J$2,)</f>
        <v>0</v>
      </c>
      <c r="K143" s="155">
        <f ca="1">IF(ISNUMBER(MATCH(DATEVALUE($A143),'recurring1_based on steps'!K$1:K$400,0)),K$2,)</f>
        <v>0</v>
      </c>
      <c r="L143" s="155">
        <f ca="1">IF(ISNUMBER(MATCH(DATEVALUE($A143),'recurring1_based on steps'!L$1:L$400,0)),L$2,)</f>
        <v>0</v>
      </c>
      <c r="M143" s="155">
        <f ca="1">IF(ISNUMBER(MATCH(DATEVALUE($A143),'recurring1_based on steps'!M$1:M$400,0)),M$2,)</f>
        <v>0</v>
      </c>
      <c r="N143" s="155">
        <f ca="1">IF(ISNUMBER(MATCH(DATEVALUE($A143),'recurring1_based on steps'!N$1:N$400,0)),N$2,)</f>
        <v>0</v>
      </c>
      <c r="O143" s="155">
        <f ca="1">IF(ISNUMBER(MATCH(DATEVALUE($A143),'recurring1_based on steps'!O$1:O$400,0)),O$2,)</f>
        <v>0</v>
      </c>
      <c r="P143" s="155">
        <f ca="1">IF(ISNUMBER(MATCH(DATEVALUE($A143),'recurring1_based on steps'!P$1:P$400,0)),P$2,)</f>
        <v>0</v>
      </c>
      <c r="Q143" s="155">
        <f ca="1">IF(ISNUMBER(MATCH(DATEVALUE($A143),'recurring1_based on steps'!Q$1:Q$400,0)),Q$2,)</f>
        <v>100</v>
      </c>
      <c r="R143" s="155">
        <f ca="1">IF(ISNUMBER(MATCH(DATEVALUE($A143),'recurring1_based on steps'!R$1:R$400,0)),R$2,)</f>
        <v>100</v>
      </c>
      <c r="S143" s="155">
        <f ca="1">IF(ISNUMBER(MATCH(DATEVALUE($A143),'recurring1_based on steps'!S$1:S$400,0)),S$2,)</f>
        <v>0</v>
      </c>
      <c r="T143" s="155">
        <f ca="1">IF(ISNUMBER(MATCH(DATEVALUE($A143),'recurring1_based on steps'!T$1:T$400,0)),T$2,)</f>
        <v>0</v>
      </c>
      <c r="U143" s="155">
        <f ca="1">IF(ISNUMBER(MATCH(DATEVALUE($A143),'recurring1_based on steps'!U$1:U$400,0)),U$2,)</f>
        <v>0</v>
      </c>
      <c r="V143" s="155">
        <f ca="1">IF(ISNUMBER(MATCH(DATEVALUE($A143),'recurring1_based on steps'!V$1:V$400,0)),V$2,)</f>
        <v>0</v>
      </c>
      <c r="W143" s="155">
        <f ca="1">IF(ISNUMBER(MATCH(DATEVALUE($A143),'recurring1_based on steps'!W$1:W$400,0)),W$2,)</f>
        <v>0</v>
      </c>
      <c r="X143" s="155">
        <f ca="1">IF(ISNUMBER(MATCH(DATEVALUE($A143),'recurring1_based on steps'!X$1:X$400,0)),X$2,)</f>
        <v>0</v>
      </c>
      <c r="Y143" s="155">
        <f ca="1">IF(ISNUMBER(MATCH(DATEVALUE($A143),'recurring1_based on steps'!Y$1:Y$400,0)),Y$2,)</f>
        <v>0</v>
      </c>
      <c r="Z143" s="155">
        <f ca="1">IF(ISNUMBER(MATCH(DATEVALUE($A143),'recurring1_based on steps'!Z$1:Z$400,0)),Z$2,)</f>
        <v>0</v>
      </c>
      <c r="AA143" s="155">
        <f ca="1">IF(ISNUMBER(MATCH(DATEVALUE($A143),'recurring1_based on steps'!AA$1:AA$400,0)),AA$2,)</f>
        <v>0</v>
      </c>
      <c r="AB143" s="155">
        <f ca="1">IF(ISNUMBER(MATCH(DATEVALUE($A143),'recurring1_based on steps'!AB$1:AB$400,0)),AB$2,)</f>
        <v>0</v>
      </c>
      <c r="AC143" s="155">
        <f ca="1">IF(ISNUMBER(MATCH(DATEVALUE($A143),'recurring1_based on steps'!AC$1:AC$400,0)),AC$2,)</f>
        <v>0</v>
      </c>
      <c r="AD143" s="155">
        <f ca="1">IF(ISNUMBER(MATCH(DATEVALUE($A143),'recurring1_based on steps'!AD$1:AD$400,0)),AD$2,)</f>
        <v>0</v>
      </c>
      <c r="AE143" s="155">
        <f ca="1">IF(ISNUMBER(MATCH(DATEVALUE($A143),'recurring1_based on steps'!AE$1:AE$400,0)),AE$2,)</f>
        <v>0</v>
      </c>
      <c r="AF143" s="155">
        <f ca="1">IF(ISNUMBER(MATCH(DATEVALUE($A143),'recurring1_based on steps'!AF$1:AF$400,0)),AF$2,)</f>
        <v>0</v>
      </c>
      <c r="AG143" s="155">
        <f ca="1">IF(ISNUMBER(MATCH(DATEVALUE($A143),'recurring1_based on steps'!AG$1:AG$400,0)),AG$2,)</f>
        <v>0</v>
      </c>
      <c r="AH143" s="155">
        <f ca="1">IF(ISNUMBER(MATCH(DATEVALUE($A143),'recurring1_based on steps'!AH$1:AH$400,0)),AH$2,)</f>
        <v>0</v>
      </c>
      <c r="AI143" s="155">
        <f ca="1">IF(ISNUMBER(MATCH(DATEVALUE($A143),'recurring1_based on steps'!AI$1:AI$400,0)),AI$2,)</f>
        <v>0</v>
      </c>
      <c r="AJ143" s="155">
        <f ca="1">IF(ISNUMBER(MATCH(DATEVALUE($A143),'recurring1_based on steps'!AJ$1:AJ$400,0)),AJ$2,)</f>
        <v>0</v>
      </c>
      <c r="AK143" s="155">
        <f ca="1">IF(ISNUMBER(MATCH(DATEVALUE($A143),'recurring1_based on steps'!AK$1:AK$400,0)),AK$2,)</f>
        <v>0</v>
      </c>
      <c r="AL143" s="155">
        <f ca="1">IF(ISNUMBER(MATCH(DATEVALUE($A143),'recurring1_based on steps'!AL$1:AL$400,0)),AL$2,)</f>
        <v>0</v>
      </c>
      <c r="AM143" s="155">
        <f ca="1">IF(ISNUMBER(MATCH(DATEVALUE($A143),'recurring1_based on steps'!AM$1:AM$400,0)),AM$2,)</f>
        <v>0</v>
      </c>
      <c r="AN143" s="155">
        <f ca="1">IF(ISNUMBER(MATCH(DATEVALUE($A143),'recurring1_based on steps'!AN$1:AN$400,0)),AN$2,)</f>
        <v>0</v>
      </c>
      <c r="AO143" s="155">
        <f ca="1">IF(ISNUMBER(MATCH(DATEVALUE($A143),'recurring1_based on steps'!AO$1:AO$400,0)),AO$2,)</f>
        <v>0</v>
      </c>
      <c r="AP143" s="155">
        <f ca="1">IF(ISNUMBER(MATCH(DATEVALUE($A143),'recurring1_based on steps'!AP$1:AP$400,0)),AP$2,)</f>
        <v>0</v>
      </c>
      <c r="AQ143" s="155">
        <f ca="1">IF(ISNUMBER(MATCH(DATEVALUE($A143),'recurring1_based on steps'!AQ$1:AQ$400,0)),AQ$2,)</f>
        <v>0</v>
      </c>
      <c r="AR143" s="155">
        <f ca="1">IF(ISNUMBER(MATCH(DATEVALUE($A143),'recurring1_based on steps'!AR$1:AR$400,0)),AR$2,)</f>
        <v>0</v>
      </c>
      <c r="AS143" s="155">
        <f ca="1">IF(ISNUMBER(MATCH(DATEVALUE($A143),'recurring1_based on steps'!AS$1:AS$400,0)),AS$2,)</f>
        <v>0</v>
      </c>
      <c r="AT143" s="155">
        <f ca="1">IF(ISNUMBER(MATCH(DATEVALUE($A143),'recurring1_based on steps'!AT$1:AT$400,0)),AT$2,)</f>
        <v>0</v>
      </c>
      <c r="AU143" s="155">
        <f ca="1">IF(ISNUMBER(MATCH(DATEVALUE($A143),'recurring1_based on steps'!AU$1:AU$400,0)),AU$2,)</f>
        <v>0</v>
      </c>
      <c r="AV143" s="155">
        <f ca="1">IF(ISNUMBER(MATCH(DATEVALUE($A143),'recurring1_based on steps'!AV$1:AV$400,0)),AV$2,)</f>
        <v>0</v>
      </c>
      <c r="AW143" s="155">
        <f ca="1">IF(ISNUMBER(MATCH(DATEVALUE($A143),'recurring1_based on steps'!AW$1:AW$400,0)),AW$2,)</f>
        <v>0</v>
      </c>
      <c r="AX143" s="155">
        <f ca="1">IF(ISNUMBER(MATCH(DATEVALUE($A143),'recurring1_based on steps'!AX$1:AX$400,0)),AX$2,)</f>
        <v>0</v>
      </c>
      <c r="AY143" s="155">
        <f ca="1">IF(ISNUMBER(MATCH(DATEVALUE($A143),'recurring1_based on steps'!AY$1:AY$400,0)),AY$2,)</f>
        <v>0</v>
      </c>
    </row>
    <row r="144" spans="1:51" x14ac:dyDescent="0.2">
      <c r="A144" s="18" t="str">
        <f t="shared" ca="1" si="2"/>
        <v>2025-06-22</v>
      </c>
      <c r="B144" s="155">
        <f ca="1">IF(ISNUMBER(MATCH(DATEVALUE($A144),'recurring1_based on steps'!B$1:B$400,0)),B$2,)</f>
        <v>0</v>
      </c>
      <c r="C144" s="155">
        <f ca="1">IF(ISNUMBER(MATCH(DATEVALUE($A144),'recurring1_based on steps'!C$1:C$400,0)),C$2,)</f>
        <v>0</v>
      </c>
      <c r="D144" s="155">
        <f ca="1">IF(ISNUMBER(MATCH(DATEVALUE($A144),'recurring1_based on steps'!D$1:D$400,0)),D$2,)</f>
        <v>0</v>
      </c>
      <c r="E144" s="155">
        <f ca="1">IF(ISNUMBER(MATCH(DATEVALUE($A144),'recurring1_based on steps'!E$1:E$400,0)),E$2,)</f>
        <v>0</v>
      </c>
      <c r="F144" s="155">
        <f ca="1">IF(ISNUMBER(MATCH(DATEVALUE($A144),'recurring1_based on steps'!F$1:F$400,0)),F$2,)</f>
        <v>0</v>
      </c>
      <c r="G144" s="155">
        <f ca="1">IF(ISNUMBER(MATCH(DATEVALUE($A144),'recurring1_based on steps'!G$1:G$400,0)),G$2,)</f>
        <v>0</v>
      </c>
      <c r="H144" s="155">
        <f ca="1">IF(ISNUMBER(MATCH(DATEVALUE($A144),'recurring1_based on steps'!H$1:H$400,0)),H$2,)</f>
        <v>0</v>
      </c>
      <c r="I144" s="155">
        <f ca="1">IF(ISNUMBER(MATCH(DATEVALUE($A144),'recurring1_based on steps'!I$1:I$400,0)),I$2,)</f>
        <v>0</v>
      </c>
      <c r="J144" s="155">
        <f ca="1">IF(ISNUMBER(MATCH(DATEVALUE($A144),'recurring1_based on steps'!J$1:J$400,0)),J$2,)</f>
        <v>0</v>
      </c>
      <c r="K144" s="155">
        <f ca="1">IF(ISNUMBER(MATCH(DATEVALUE($A144),'recurring1_based on steps'!K$1:K$400,0)),K$2,)</f>
        <v>50</v>
      </c>
      <c r="L144" s="155">
        <f ca="1">IF(ISNUMBER(MATCH(DATEVALUE($A144),'recurring1_based on steps'!L$1:L$400,0)),L$2,)</f>
        <v>0</v>
      </c>
      <c r="M144" s="155">
        <f ca="1">IF(ISNUMBER(MATCH(DATEVALUE($A144),'recurring1_based on steps'!M$1:M$400,0)),M$2,)</f>
        <v>0</v>
      </c>
      <c r="N144" s="155">
        <f ca="1">IF(ISNUMBER(MATCH(DATEVALUE($A144),'recurring1_based on steps'!N$1:N$400,0)),N$2,)</f>
        <v>0</v>
      </c>
      <c r="O144" s="155">
        <f ca="1">IF(ISNUMBER(MATCH(DATEVALUE($A144),'recurring1_based on steps'!O$1:O$400,0)),O$2,)</f>
        <v>0</v>
      </c>
      <c r="P144" s="155">
        <f ca="1">IF(ISNUMBER(MATCH(DATEVALUE($A144),'recurring1_based on steps'!P$1:P$400,0)),P$2,)</f>
        <v>0</v>
      </c>
      <c r="Q144" s="155">
        <f ca="1">IF(ISNUMBER(MATCH(DATEVALUE($A144),'recurring1_based on steps'!Q$1:Q$400,0)),Q$2,)</f>
        <v>0</v>
      </c>
      <c r="R144" s="155">
        <f ca="1">IF(ISNUMBER(MATCH(DATEVALUE($A144),'recurring1_based on steps'!R$1:R$400,0)),R$2,)</f>
        <v>0</v>
      </c>
      <c r="S144" s="155">
        <f ca="1">IF(ISNUMBER(MATCH(DATEVALUE($A144),'recurring1_based on steps'!S$1:S$400,0)),S$2,)</f>
        <v>100</v>
      </c>
      <c r="T144" s="155">
        <f ca="1">IF(ISNUMBER(MATCH(DATEVALUE($A144),'recurring1_based on steps'!T$1:T$400,0)),T$2,)</f>
        <v>0</v>
      </c>
      <c r="U144" s="155">
        <f ca="1">IF(ISNUMBER(MATCH(DATEVALUE($A144),'recurring1_based on steps'!U$1:U$400,0)),U$2,)</f>
        <v>0</v>
      </c>
      <c r="V144" s="155">
        <f ca="1">IF(ISNUMBER(MATCH(DATEVALUE($A144),'recurring1_based on steps'!V$1:V$400,0)),V$2,)</f>
        <v>0</v>
      </c>
      <c r="W144" s="155">
        <f ca="1">IF(ISNUMBER(MATCH(DATEVALUE($A144),'recurring1_based on steps'!W$1:W$400,0)),W$2,)</f>
        <v>0</v>
      </c>
      <c r="X144" s="155">
        <f ca="1">IF(ISNUMBER(MATCH(DATEVALUE($A144),'recurring1_based on steps'!X$1:X$400,0)),X$2,)</f>
        <v>0</v>
      </c>
      <c r="Y144" s="155">
        <f ca="1">IF(ISNUMBER(MATCH(DATEVALUE($A144),'recurring1_based on steps'!Y$1:Y$400,0)),Y$2,)</f>
        <v>0</v>
      </c>
      <c r="Z144" s="155">
        <f ca="1">IF(ISNUMBER(MATCH(DATEVALUE($A144),'recurring1_based on steps'!Z$1:Z$400,0)),Z$2,)</f>
        <v>0</v>
      </c>
      <c r="AA144" s="155">
        <f ca="1">IF(ISNUMBER(MATCH(DATEVALUE($A144),'recurring1_based on steps'!AA$1:AA$400,0)),AA$2,)</f>
        <v>0</v>
      </c>
      <c r="AB144" s="155">
        <f ca="1">IF(ISNUMBER(MATCH(DATEVALUE($A144),'recurring1_based on steps'!AB$1:AB$400,0)),AB$2,)</f>
        <v>0</v>
      </c>
      <c r="AC144" s="155">
        <f ca="1">IF(ISNUMBER(MATCH(DATEVALUE($A144),'recurring1_based on steps'!AC$1:AC$400,0)),AC$2,)</f>
        <v>0</v>
      </c>
      <c r="AD144" s="155">
        <f ca="1">IF(ISNUMBER(MATCH(DATEVALUE($A144),'recurring1_based on steps'!AD$1:AD$400,0)),AD$2,)</f>
        <v>0</v>
      </c>
      <c r="AE144" s="155">
        <f ca="1">IF(ISNUMBER(MATCH(DATEVALUE($A144),'recurring1_based on steps'!AE$1:AE$400,0)),AE$2,)</f>
        <v>0</v>
      </c>
      <c r="AF144" s="155">
        <f ca="1">IF(ISNUMBER(MATCH(DATEVALUE($A144),'recurring1_based on steps'!AF$1:AF$400,0)),AF$2,)</f>
        <v>0</v>
      </c>
      <c r="AG144" s="155">
        <f ca="1">IF(ISNUMBER(MATCH(DATEVALUE($A144),'recurring1_based on steps'!AG$1:AG$400,0)),AG$2,)</f>
        <v>0</v>
      </c>
      <c r="AH144" s="155">
        <f ca="1">IF(ISNUMBER(MATCH(DATEVALUE($A144),'recurring1_based on steps'!AH$1:AH$400,0)),AH$2,)</f>
        <v>0</v>
      </c>
      <c r="AI144" s="155">
        <f ca="1">IF(ISNUMBER(MATCH(DATEVALUE($A144),'recurring1_based on steps'!AI$1:AI$400,0)),AI$2,)</f>
        <v>0</v>
      </c>
      <c r="AJ144" s="155">
        <f ca="1">IF(ISNUMBER(MATCH(DATEVALUE($A144),'recurring1_based on steps'!AJ$1:AJ$400,0)),AJ$2,)</f>
        <v>0</v>
      </c>
      <c r="AK144" s="155">
        <f ca="1">IF(ISNUMBER(MATCH(DATEVALUE($A144),'recurring1_based on steps'!AK$1:AK$400,0)),AK$2,)</f>
        <v>0</v>
      </c>
      <c r="AL144" s="155">
        <f ca="1">IF(ISNUMBER(MATCH(DATEVALUE($A144),'recurring1_based on steps'!AL$1:AL$400,0)),AL$2,)</f>
        <v>0</v>
      </c>
      <c r="AM144" s="155">
        <f ca="1">IF(ISNUMBER(MATCH(DATEVALUE($A144),'recurring1_based on steps'!AM$1:AM$400,0)),AM$2,)</f>
        <v>0</v>
      </c>
      <c r="AN144" s="155">
        <f ca="1">IF(ISNUMBER(MATCH(DATEVALUE($A144),'recurring1_based on steps'!AN$1:AN$400,0)),AN$2,)</f>
        <v>0</v>
      </c>
      <c r="AO144" s="155">
        <f ca="1">IF(ISNUMBER(MATCH(DATEVALUE($A144),'recurring1_based on steps'!AO$1:AO$400,0)),AO$2,)</f>
        <v>0</v>
      </c>
      <c r="AP144" s="155">
        <f ca="1">IF(ISNUMBER(MATCH(DATEVALUE($A144),'recurring1_based on steps'!AP$1:AP$400,0)),AP$2,)</f>
        <v>0</v>
      </c>
      <c r="AQ144" s="155">
        <f ca="1">IF(ISNUMBER(MATCH(DATEVALUE($A144),'recurring1_based on steps'!AQ$1:AQ$400,0)),AQ$2,)</f>
        <v>0</v>
      </c>
      <c r="AR144" s="155">
        <f ca="1">IF(ISNUMBER(MATCH(DATEVALUE($A144),'recurring1_based on steps'!AR$1:AR$400,0)),AR$2,)</f>
        <v>0</v>
      </c>
      <c r="AS144" s="155">
        <f ca="1">IF(ISNUMBER(MATCH(DATEVALUE($A144),'recurring1_based on steps'!AS$1:AS$400,0)),AS$2,)</f>
        <v>0</v>
      </c>
      <c r="AT144" s="155">
        <f ca="1">IF(ISNUMBER(MATCH(DATEVALUE($A144),'recurring1_based on steps'!AT$1:AT$400,0)),AT$2,)</f>
        <v>0</v>
      </c>
      <c r="AU144" s="155">
        <f ca="1">IF(ISNUMBER(MATCH(DATEVALUE($A144),'recurring1_based on steps'!AU$1:AU$400,0)),AU$2,)</f>
        <v>0</v>
      </c>
      <c r="AV144" s="155">
        <f ca="1">IF(ISNUMBER(MATCH(DATEVALUE($A144),'recurring1_based on steps'!AV$1:AV$400,0)),AV$2,)</f>
        <v>0</v>
      </c>
      <c r="AW144" s="155">
        <f ca="1">IF(ISNUMBER(MATCH(DATEVALUE($A144),'recurring1_based on steps'!AW$1:AW$400,0)),AW$2,)</f>
        <v>0</v>
      </c>
      <c r="AX144" s="155">
        <f ca="1">IF(ISNUMBER(MATCH(DATEVALUE($A144),'recurring1_based on steps'!AX$1:AX$400,0)),AX$2,)</f>
        <v>0</v>
      </c>
      <c r="AY144" s="155">
        <f ca="1">IF(ISNUMBER(MATCH(DATEVALUE($A144),'recurring1_based on steps'!AY$1:AY$400,0)),AY$2,)</f>
        <v>0</v>
      </c>
    </row>
    <row r="145" spans="1:51" x14ac:dyDescent="0.2">
      <c r="A145" s="18" t="str">
        <f t="shared" ca="1" si="2"/>
        <v>2025-06-23</v>
      </c>
      <c r="B145" s="155">
        <f ca="1">IF(ISNUMBER(MATCH(DATEVALUE($A145),'recurring1_based on steps'!B$1:B$400,0)),B$2,)</f>
        <v>0</v>
      </c>
      <c r="C145" s="155">
        <f ca="1">IF(ISNUMBER(MATCH(DATEVALUE($A145),'recurring1_based on steps'!C$1:C$400,0)),C$2,)</f>
        <v>0</v>
      </c>
      <c r="D145" s="155">
        <f ca="1">IF(ISNUMBER(MATCH(DATEVALUE($A145),'recurring1_based on steps'!D$1:D$400,0)),D$2,)</f>
        <v>0</v>
      </c>
      <c r="E145" s="155">
        <f ca="1">IF(ISNUMBER(MATCH(DATEVALUE($A145),'recurring1_based on steps'!E$1:E$400,0)),E$2,)</f>
        <v>0</v>
      </c>
      <c r="F145" s="155">
        <f ca="1">IF(ISNUMBER(MATCH(DATEVALUE($A145),'recurring1_based on steps'!F$1:F$400,0)),F$2,)</f>
        <v>0</v>
      </c>
      <c r="G145" s="155">
        <f ca="1">IF(ISNUMBER(MATCH(DATEVALUE($A145),'recurring1_based on steps'!G$1:G$400,0)),G$2,)</f>
        <v>0</v>
      </c>
      <c r="H145" s="155">
        <f ca="1">IF(ISNUMBER(MATCH(DATEVALUE($A145),'recurring1_based on steps'!H$1:H$400,0)),H$2,)</f>
        <v>0</v>
      </c>
      <c r="I145" s="155">
        <f ca="1">IF(ISNUMBER(MATCH(DATEVALUE($A145),'recurring1_based on steps'!I$1:I$400,0)),I$2,)</f>
        <v>0</v>
      </c>
      <c r="J145" s="155">
        <f ca="1">IF(ISNUMBER(MATCH(DATEVALUE($A145),'recurring1_based on steps'!J$1:J$400,0)),J$2,)</f>
        <v>0</v>
      </c>
      <c r="K145" s="155">
        <f ca="1">IF(ISNUMBER(MATCH(DATEVALUE($A145),'recurring1_based on steps'!K$1:K$400,0)),K$2,)</f>
        <v>0</v>
      </c>
      <c r="L145" s="155">
        <f ca="1">IF(ISNUMBER(MATCH(DATEVALUE($A145),'recurring1_based on steps'!L$1:L$400,0)),L$2,)</f>
        <v>0</v>
      </c>
      <c r="M145" s="155">
        <f ca="1">IF(ISNUMBER(MATCH(DATEVALUE($A145),'recurring1_based on steps'!M$1:M$400,0)),M$2,)</f>
        <v>0</v>
      </c>
      <c r="N145" s="155">
        <f ca="1">IF(ISNUMBER(MATCH(DATEVALUE($A145),'recurring1_based on steps'!N$1:N$400,0)),N$2,)</f>
        <v>0</v>
      </c>
      <c r="O145" s="155">
        <f ca="1">IF(ISNUMBER(MATCH(DATEVALUE($A145),'recurring1_based on steps'!O$1:O$400,0)),O$2,)</f>
        <v>0</v>
      </c>
      <c r="P145" s="155">
        <f ca="1">IF(ISNUMBER(MATCH(DATEVALUE($A145),'recurring1_based on steps'!P$1:P$400,0)),P$2,)</f>
        <v>0</v>
      </c>
      <c r="Q145" s="155">
        <f ca="1">IF(ISNUMBER(MATCH(DATEVALUE($A145),'recurring1_based on steps'!Q$1:Q$400,0)),Q$2,)</f>
        <v>0</v>
      </c>
      <c r="R145" s="155">
        <f ca="1">IF(ISNUMBER(MATCH(DATEVALUE($A145),'recurring1_based on steps'!R$1:R$400,0)),R$2,)</f>
        <v>0</v>
      </c>
      <c r="S145" s="155">
        <f ca="1">IF(ISNUMBER(MATCH(DATEVALUE($A145),'recurring1_based on steps'!S$1:S$400,0)),S$2,)</f>
        <v>0</v>
      </c>
      <c r="T145" s="155">
        <f ca="1">IF(ISNUMBER(MATCH(DATEVALUE($A145),'recurring1_based on steps'!T$1:T$400,0)),T$2,)</f>
        <v>0</v>
      </c>
      <c r="U145" s="155">
        <f ca="1">IF(ISNUMBER(MATCH(DATEVALUE($A145),'recurring1_based on steps'!U$1:U$400,0)),U$2,)</f>
        <v>0</v>
      </c>
      <c r="V145" s="155">
        <f ca="1">IF(ISNUMBER(MATCH(DATEVALUE($A145),'recurring1_based on steps'!V$1:V$400,0)),V$2,)</f>
        <v>0</v>
      </c>
      <c r="W145" s="155">
        <f ca="1">IF(ISNUMBER(MATCH(DATEVALUE($A145),'recurring1_based on steps'!W$1:W$400,0)),W$2,)</f>
        <v>0</v>
      </c>
      <c r="X145" s="155">
        <f ca="1">IF(ISNUMBER(MATCH(DATEVALUE($A145),'recurring1_based on steps'!X$1:X$400,0)),X$2,)</f>
        <v>0</v>
      </c>
      <c r="Y145" s="155">
        <f ca="1">IF(ISNUMBER(MATCH(DATEVALUE($A145),'recurring1_based on steps'!Y$1:Y$400,0)),Y$2,)</f>
        <v>0</v>
      </c>
      <c r="Z145" s="155">
        <f ca="1">IF(ISNUMBER(MATCH(DATEVALUE($A145),'recurring1_based on steps'!Z$1:Z$400,0)),Z$2,)</f>
        <v>0</v>
      </c>
      <c r="AA145" s="155">
        <f ca="1">IF(ISNUMBER(MATCH(DATEVALUE($A145),'recurring1_based on steps'!AA$1:AA$400,0)),AA$2,)</f>
        <v>0</v>
      </c>
      <c r="AB145" s="155">
        <f ca="1">IF(ISNUMBER(MATCH(DATEVALUE($A145),'recurring1_based on steps'!AB$1:AB$400,0)),AB$2,)</f>
        <v>0</v>
      </c>
      <c r="AC145" s="155">
        <f ca="1">IF(ISNUMBER(MATCH(DATEVALUE($A145),'recurring1_based on steps'!AC$1:AC$400,0)),AC$2,)</f>
        <v>0</v>
      </c>
      <c r="AD145" s="155">
        <f ca="1">IF(ISNUMBER(MATCH(DATEVALUE($A145),'recurring1_based on steps'!AD$1:AD$400,0)),AD$2,)</f>
        <v>0</v>
      </c>
      <c r="AE145" s="155">
        <f ca="1">IF(ISNUMBER(MATCH(DATEVALUE($A145),'recurring1_based on steps'!AE$1:AE$400,0)),AE$2,)</f>
        <v>0</v>
      </c>
      <c r="AF145" s="155">
        <f ca="1">IF(ISNUMBER(MATCH(DATEVALUE($A145),'recurring1_based on steps'!AF$1:AF$400,0)),AF$2,)</f>
        <v>0</v>
      </c>
      <c r="AG145" s="155">
        <f ca="1">IF(ISNUMBER(MATCH(DATEVALUE($A145),'recurring1_based on steps'!AG$1:AG$400,0)),AG$2,)</f>
        <v>0</v>
      </c>
      <c r="AH145" s="155">
        <f ca="1">IF(ISNUMBER(MATCH(DATEVALUE($A145),'recurring1_based on steps'!AH$1:AH$400,0)),AH$2,)</f>
        <v>0</v>
      </c>
      <c r="AI145" s="155">
        <f ca="1">IF(ISNUMBER(MATCH(DATEVALUE($A145),'recurring1_based on steps'!AI$1:AI$400,0)),AI$2,)</f>
        <v>0</v>
      </c>
      <c r="AJ145" s="155">
        <f ca="1">IF(ISNUMBER(MATCH(DATEVALUE($A145),'recurring1_based on steps'!AJ$1:AJ$400,0)),AJ$2,)</f>
        <v>0</v>
      </c>
      <c r="AK145" s="155">
        <f ca="1">IF(ISNUMBER(MATCH(DATEVALUE($A145),'recurring1_based on steps'!AK$1:AK$400,0)),AK$2,)</f>
        <v>0</v>
      </c>
      <c r="AL145" s="155">
        <f ca="1">IF(ISNUMBER(MATCH(DATEVALUE($A145),'recurring1_based on steps'!AL$1:AL$400,0)),AL$2,)</f>
        <v>0</v>
      </c>
      <c r="AM145" s="155">
        <f ca="1">IF(ISNUMBER(MATCH(DATEVALUE($A145),'recurring1_based on steps'!AM$1:AM$400,0)),AM$2,)</f>
        <v>0</v>
      </c>
      <c r="AN145" s="155">
        <f ca="1">IF(ISNUMBER(MATCH(DATEVALUE($A145),'recurring1_based on steps'!AN$1:AN$400,0)),AN$2,)</f>
        <v>0</v>
      </c>
      <c r="AO145" s="155">
        <f ca="1">IF(ISNUMBER(MATCH(DATEVALUE($A145),'recurring1_based on steps'!AO$1:AO$400,0)),AO$2,)</f>
        <v>0</v>
      </c>
      <c r="AP145" s="155">
        <f ca="1">IF(ISNUMBER(MATCH(DATEVALUE($A145),'recurring1_based on steps'!AP$1:AP$400,0)),AP$2,)</f>
        <v>0</v>
      </c>
      <c r="AQ145" s="155">
        <f ca="1">IF(ISNUMBER(MATCH(DATEVALUE($A145),'recurring1_based on steps'!AQ$1:AQ$400,0)),AQ$2,)</f>
        <v>0</v>
      </c>
      <c r="AR145" s="155">
        <f ca="1">IF(ISNUMBER(MATCH(DATEVALUE($A145),'recurring1_based on steps'!AR$1:AR$400,0)),AR$2,)</f>
        <v>0</v>
      </c>
      <c r="AS145" s="155">
        <f ca="1">IF(ISNUMBER(MATCH(DATEVALUE($A145),'recurring1_based on steps'!AS$1:AS$400,0)),AS$2,)</f>
        <v>0</v>
      </c>
      <c r="AT145" s="155">
        <f ca="1">IF(ISNUMBER(MATCH(DATEVALUE($A145),'recurring1_based on steps'!AT$1:AT$400,0)),AT$2,)</f>
        <v>0</v>
      </c>
      <c r="AU145" s="155">
        <f ca="1">IF(ISNUMBER(MATCH(DATEVALUE($A145),'recurring1_based on steps'!AU$1:AU$400,0)),AU$2,)</f>
        <v>0</v>
      </c>
      <c r="AV145" s="155">
        <f ca="1">IF(ISNUMBER(MATCH(DATEVALUE($A145),'recurring1_based on steps'!AV$1:AV$400,0)),AV$2,)</f>
        <v>0</v>
      </c>
      <c r="AW145" s="155">
        <f ca="1">IF(ISNUMBER(MATCH(DATEVALUE($A145),'recurring1_based on steps'!AW$1:AW$400,0)),AW$2,)</f>
        <v>0</v>
      </c>
      <c r="AX145" s="155">
        <f ca="1">IF(ISNUMBER(MATCH(DATEVALUE($A145),'recurring1_based on steps'!AX$1:AX$400,0)),AX$2,)</f>
        <v>0</v>
      </c>
      <c r="AY145" s="155">
        <f ca="1">IF(ISNUMBER(MATCH(DATEVALUE($A145),'recurring1_based on steps'!AY$1:AY$400,0)),AY$2,)</f>
        <v>0</v>
      </c>
    </row>
    <row r="146" spans="1:51" x14ac:dyDescent="0.2">
      <c r="A146" s="18" t="str">
        <f t="shared" ca="1" si="2"/>
        <v>2025-06-24</v>
      </c>
      <c r="B146" s="155">
        <f ca="1">IF(ISNUMBER(MATCH(DATEVALUE($A146),'recurring1_based on steps'!B$1:B$400,0)),B$2,)</f>
        <v>0</v>
      </c>
      <c r="C146" s="155">
        <f ca="1">IF(ISNUMBER(MATCH(DATEVALUE($A146),'recurring1_based on steps'!C$1:C$400,0)),C$2,)</f>
        <v>0</v>
      </c>
      <c r="D146" s="155">
        <f ca="1">IF(ISNUMBER(MATCH(DATEVALUE($A146),'recurring1_based on steps'!D$1:D$400,0)),D$2,)</f>
        <v>0</v>
      </c>
      <c r="E146" s="155">
        <f ca="1">IF(ISNUMBER(MATCH(DATEVALUE($A146),'recurring1_based on steps'!E$1:E$400,0)),E$2,)</f>
        <v>0</v>
      </c>
      <c r="F146" s="155">
        <f ca="1">IF(ISNUMBER(MATCH(DATEVALUE($A146),'recurring1_based on steps'!F$1:F$400,0)),F$2,)</f>
        <v>0</v>
      </c>
      <c r="G146" s="155">
        <f ca="1">IF(ISNUMBER(MATCH(DATEVALUE($A146),'recurring1_based on steps'!G$1:G$400,0)),G$2,)</f>
        <v>0</v>
      </c>
      <c r="H146" s="155">
        <f ca="1">IF(ISNUMBER(MATCH(DATEVALUE($A146),'recurring1_based on steps'!H$1:H$400,0)),H$2,)</f>
        <v>0</v>
      </c>
      <c r="I146" s="155">
        <f ca="1">IF(ISNUMBER(MATCH(DATEVALUE($A146),'recurring1_based on steps'!I$1:I$400,0)),I$2,)</f>
        <v>0</v>
      </c>
      <c r="J146" s="155">
        <f ca="1">IF(ISNUMBER(MATCH(DATEVALUE($A146),'recurring1_based on steps'!J$1:J$400,0)),J$2,)</f>
        <v>0</v>
      </c>
      <c r="K146" s="155">
        <f ca="1">IF(ISNUMBER(MATCH(DATEVALUE($A146),'recurring1_based on steps'!K$1:K$400,0)),K$2,)</f>
        <v>0</v>
      </c>
      <c r="L146" s="155">
        <f ca="1">IF(ISNUMBER(MATCH(DATEVALUE($A146),'recurring1_based on steps'!L$1:L$400,0)),L$2,)</f>
        <v>0</v>
      </c>
      <c r="M146" s="155">
        <f ca="1">IF(ISNUMBER(MATCH(DATEVALUE($A146),'recurring1_based on steps'!M$1:M$400,0)),M$2,)</f>
        <v>0</v>
      </c>
      <c r="N146" s="155">
        <f ca="1">IF(ISNUMBER(MATCH(DATEVALUE($A146),'recurring1_based on steps'!N$1:N$400,0)),N$2,)</f>
        <v>0</v>
      </c>
      <c r="O146" s="155">
        <f ca="1">IF(ISNUMBER(MATCH(DATEVALUE($A146),'recurring1_based on steps'!O$1:O$400,0)),O$2,)</f>
        <v>0</v>
      </c>
      <c r="P146" s="155">
        <f ca="1">IF(ISNUMBER(MATCH(DATEVALUE($A146),'recurring1_based on steps'!P$1:P$400,0)),P$2,)</f>
        <v>0</v>
      </c>
      <c r="Q146" s="155">
        <f ca="1">IF(ISNUMBER(MATCH(DATEVALUE($A146),'recurring1_based on steps'!Q$1:Q$400,0)),Q$2,)</f>
        <v>0</v>
      </c>
      <c r="R146" s="155">
        <f ca="1">IF(ISNUMBER(MATCH(DATEVALUE($A146),'recurring1_based on steps'!R$1:R$400,0)),R$2,)</f>
        <v>0</v>
      </c>
      <c r="S146" s="155">
        <f ca="1">IF(ISNUMBER(MATCH(DATEVALUE($A146),'recurring1_based on steps'!S$1:S$400,0)),S$2,)</f>
        <v>0</v>
      </c>
      <c r="T146" s="155">
        <f ca="1">IF(ISNUMBER(MATCH(DATEVALUE($A146),'recurring1_based on steps'!T$1:T$400,0)),T$2,)</f>
        <v>0</v>
      </c>
      <c r="U146" s="155">
        <f ca="1">IF(ISNUMBER(MATCH(DATEVALUE($A146),'recurring1_based on steps'!U$1:U$400,0)),U$2,)</f>
        <v>0</v>
      </c>
      <c r="V146" s="155">
        <f ca="1">IF(ISNUMBER(MATCH(DATEVALUE($A146),'recurring1_based on steps'!V$1:V$400,0)),V$2,)</f>
        <v>0</v>
      </c>
      <c r="W146" s="155">
        <f ca="1">IF(ISNUMBER(MATCH(DATEVALUE($A146),'recurring1_based on steps'!W$1:W$400,0)),W$2,)</f>
        <v>0</v>
      </c>
      <c r="X146" s="155">
        <f ca="1">IF(ISNUMBER(MATCH(DATEVALUE($A146),'recurring1_based on steps'!X$1:X$400,0)),X$2,)</f>
        <v>0</v>
      </c>
      <c r="Y146" s="155">
        <f ca="1">IF(ISNUMBER(MATCH(DATEVALUE($A146),'recurring1_based on steps'!Y$1:Y$400,0)),Y$2,)</f>
        <v>0</v>
      </c>
      <c r="Z146" s="155">
        <f ca="1">IF(ISNUMBER(MATCH(DATEVALUE($A146),'recurring1_based on steps'!Z$1:Z$400,0)),Z$2,)</f>
        <v>0</v>
      </c>
      <c r="AA146" s="155">
        <f ca="1">IF(ISNUMBER(MATCH(DATEVALUE($A146),'recurring1_based on steps'!AA$1:AA$400,0)),AA$2,)</f>
        <v>0</v>
      </c>
      <c r="AB146" s="155">
        <f ca="1">IF(ISNUMBER(MATCH(DATEVALUE($A146),'recurring1_based on steps'!AB$1:AB$400,0)),AB$2,)</f>
        <v>0</v>
      </c>
      <c r="AC146" s="155">
        <f ca="1">IF(ISNUMBER(MATCH(DATEVALUE($A146),'recurring1_based on steps'!AC$1:AC$400,0)),AC$2,)</f>
        <v>0</v>
      </c>
      <c r="AD146" s="155">
        <f ca="1">IF(ISNUMBER(MATCH(DATEVALUE($A146),'recurring1_based on steps'!AD$1:AD$400,0)),AD$2,)</f>
        <v>0</v>
      </c>
      <c r="AE146" s="155">
        <f ca="1">IF(ISNUMBER(MATCH(DATEVALUE($A146),'recurring1_based on steps'!AE$1:AE$400,0)),AE$2,)</f>
        <v>0</v>
      </c>
      <c r="AF146" s="155">
        <f ca="1">IF(ISNUMBER(MATCH(DATEVALUE($A146),'recurring1_based on steps'!AF$1:AF$400,0)),AF$2,)</f>
        <v>0</v>
      </c>
      <c r="AG146" s="155">
        <f ca="1">IF(ISNUMBER(MATCH(DATEVALUE($A146),'recurring1_based on steps'!AG$1:AG$400,0)),AG$2,)</f>
        <v>0</v>
      </c>
      <c r="AH146" s="155">
        <f ca="1">IF(ISNUMBER(MATCH(DATEVALUE($A146),'recurring1_based on steps'!AH$1:AH$400,0)),AH$2,)</f>
        <v>0</v>
      </c>
      <c r="AI146" s="155">
        <f ca="1">IF(ISNUMBER(MATCH(DATEVALUE($A146),'recurring1_based on steps'!AI$1:AI$400,0)),AI$2,)</f>
        <v>0</v>
      </c>
      <c r="AJ146" s="155">
        <f ca="1">IF(ISNUMBER(MATCH(DATEVALUE($A146),'recurring1_based on steps'!AJ$1:AJ$400,0)),AJ$2,)</f>
        <v>0</v>
      </c>
      <c r="AK146" s="155">
        <f ca="1">IF(ISNUMBER(MATCH(DATEVALUE($A146),'recurring1_based on steps'!AK$1:AK$400,0)),AK$2,)</f>
        <v>0</v>
      </c>
      <c r="AL146" s="155">
        <f ca="1">IF(ISNUMBER(MATCH(DATEVALUE($A146),'recurring1_based on steps'!AL$1:AL$400,0)),AL$2,)</f>
        <v>0</v>
      </c>
      <c r="AM146" s="155">
        <f ca="1">IF(ISNUMBER(MATCH(DATEVALUE($A146),'recurring1_based on steps'!AM$1:AM$400,0)),AM$2,)</f>
        <v>0</v>
      </c>
      <c r="AN146" s="155">
        <f ca="1">IF(ISNUMBER(MATCH(DATEVALUE($A146),'recurring1_based on steps'!AN$1:AN$400,0)),AN$2,)</f>
        <v>0</v>
      </c>
      <c r="AO146" s="155">
        <f ca="1">IF(ISNUMBER(MATCH(DATEVALUE($A146),'recurring1_based on steps'!AO$1:AO$400,0)),AO$2,)</f>
        <v>0</v>
      </c>
      <c r="AP146" s="155">
        <f ca="1">IF(ISNUMBER(MATCH(DATEVALUE($A146),'recurring1_based on steps'!AP$1:AP$400,0)),AP$2,)</f>
        <v>0</v>
      </c>
      <c r="AQ146" s="155">
        <f ca="1">IF(ISNUMBER(MATCH(DATEVALUE($A146),'recurring1_based on steps'!AQ$1:AQ$400,0)),AQ$2,)</f>
        <v>0</v>
      </c>
      <c r="AR146" s="155">
        <f ca="1">IF(ISNUMBER(MATCH(DATEVALUE($A146),'recurring1_based on steps'!AR$1:AR$400,0)),AR$2,)</f>
        <v>0</v>
      </c>
      <c r="AS146" s="155">
        <f ca="1">IF(ISNUMBER(MATCH(DATEVALUE($A146),'recurring1_based on steps'!AS$1:AS$400,0)),AS$2,)</f>
        <v>0</v>
      </c>
      <c r="AT146" s="155">
        <f ca="1">IF(ISNUMBER(MATCH(DATEVALUE($A146),'recurring1_based on steps'!AT$1:AT$400,0)),AT$2,)</f>
        <v>0</v>
      </c>
      <c r="AU146" s="155">
        <f ca="1">IF(ISNUMBER(MATCH(DATEVALUE($A146),'recurring1_based on steps'!AU$1:AU$400,0)),AU$2,)</f>
        <v>0</v>
      </c>
      <c r="AV146" s="155">
        <f ca="1">IF(ISNUMBER(MATCH(DATEVALUE($A146),'recurring1_based on steps'!AV$1:AV$400,0)),AV$2,)</f>
        <v>0</v>
      </c>
      <c r="AW146" s="155">
        <f ca="1">IF(ISNUMBER(MATCH(DATEVALUE($A146),'recurring1_based on steps'!AW$1:AW$400,0)),AW$2,)</f>
        <v>0</v>
      </c>
      <c r="AX146" s="155">
        <f ca="1">IF(ISNUMBER(MATCH(DATEVALUE($A146),'recurring1_based on steps'!AX$1:AX$400,0)),AX$2,)</f>
        <v>0</v>
      </c>
      <c r="AY146" s="155">
        <f ca="1">IF(ISNUMBER(MATCH(DATEVALUE($A146),'recurring1_based on steps'!AY$1:AY$400,0)),AY$2,)</f>
        <v>0</v>
      </c>
    </row>
    <row r="147" spans="1:51" x14ac:dyDescent="0.2">
      <c r="A147" s="18" t="str">
        <f t="shared" ca="1" si="2"/>
        <v>2025-06-25</v>
      </c>
      <c r="B147" s="155">
        <f ca="1">IF(ISNUMBER(MATCH(DATEVALUE($A147),'recurring1_based on steps'!B$1:B$400,0)),B$2,)</f>
        <v>0</v>
      </c>
      <c r="C147" s="155">
        <f ca="1">IF(ISNUMBER(MATCH(DATEVALUE($A147),'recurring1_based on steps'!C$1:C$400,0)),C$2,)</f>
        <v>0</v>
      </c>
      <c r="D147" s="155">
        <f ca="1">IF(ISNUMBER(MATCH(DATEVALUE($A147),'recurring1_based on steps'!D$1:D$400,0)),D$2,)</f>
        <v>0</v>
      </c>
      <c r="E147" s="155">
        <f ca="1">IF(ISNUMBER(MATCH(DATEVALUE($A147),'recurring1_based on steps'!E$1:E$400,0)),E$2,)</f>
        <v>0</v>
      </c>
      <c r="F147" s="155">
        <f ca="1">IF(ISNUMBER(MATCH(DATEVALUE($A147),'recurring1_based on steps'!F$1:F$400,0)),F$2,)</f>
        <v>0</v>
      </c>
      <c r="G147" s="155">
        <f ca="1">IF(ISNUMBER(MATCH(DATEVALUE($A147),'recurring1_based on steps'!G$1:G$400,0)),G$2,)</f>
        <v>0</v>
      </c>
      <c r="H147" s="155">
        <f ca="1">IF(ISNUMBER(MATCH(DATEVALUE($A147),'recurring1_based on steps'!H$1:H$400,0)),H$2,)</f>
        <v>0</v>
      </c>
      <c r="I147" s="155">
        <f ca="1">IF(ISNUMBER(MATCH(DATEVALUE($A147),'recurring1_based on steps'!I$1:I$400,0)),I$2,)</f>
        <v>0</v>
      </c>
      <c r="J147" s="155">
        <f ca="1">IF(ISNUMBER(MATCH(DATEVALUE($A147),'recurring1_based on steps'!J$1:J$400,0)),J$2,)</f>
        <v>0</v>
      </c>
      <c r="K147" s="155">
        <f ca="1">IF(ISNUMBER(MATCH(DATEVALUE($A147),'recurring1_based on steps'!K$1:K$400,0)),K$2,)</f>
        <v>0</v>
      </c>
      <c r="L147" s="155">
        <f ca="1">IF(ISNUMBER(MATCH(DATEVALUE($A147),'recurring1_based on steps'!L$1:L$400,0)),L$2,)</f>
        <v>0</v>
      </c>
      <c r="M147" s="155">
        <f ca="1">IF(ISNUMBER(MATCH(DATEVALUE($A147),'recurring1_based on steps'!M$1:M$400,0)),M$2,)</f>
        <v>0</v>
      </c>
      <c r="N147" s="155">
        <f ca="1">IF(ISNUMBER(MATCH(DATEVALUE($A147),'recurring1_based on steps'!N$1:N$400,0)),N$2,)</f>
        <v>0</v>
      </c>
      <c r="O147" s="155">
        <f ca="1">IF(ISNUMBER(MATCH(DATEVALUE($A147),'recurring1_based on steps'!O$1:O$400,0)),O$2,)</f>
        <v>0</v>
      </c>
      <c r="P147" s="155">
        <f ca="1">IF(ISNUMBER(MATCH(DATEVALUE($A147),'recurring1_based on steps'!P$1:P$400,0)),P$2,)</f>
        <v>0</v>
      </c>
      <c r="Q147" s="155">
        <f ca="1">IF(ISNUMBER(MATCH(DATEVALUE($A147),'recurring1_based on steps'!Q$1:Q$400,0)),Q$2,)</f>
        <v>0</v>
      </c>
      <c r="R147" s="155">
        <f ca="1">IF(ISNUMBER(MATCH(DATEVALUE($A147),'recurring1_based on steps'!R$1:R$400,0)),R$2,)</f>
        <v>0</v>
      </c>
      <c r="S147" s="155">
        <f ca="1">IF(ISNUMBER(MATCH(DATEVALUE($A147),'recurring1_based on steps'!S$1:S$400,0)),S$2,)</f>
        <v>0</v>
      </c>
      <c r="T147" s="155">
        <f ca="1">IF(ISNUMBER(MATCH(DATEVALUE($A147),'recurring1_based on steps'!T$1:T$400,0)),T$2,)</f>
        <v>0</v>
      </c>
      <c r="U147" s="155">
        <f ca="1">IF(ISNUMBER(MATCH(DATEVALUE($A147),'recurring1_based on steps'!U$1:U$400,0)),U$2,)</f>
        <v>0</v>
      </c>
      <c r="V147" s="155">
        <f ca="1">IF(ISNUMBER(MATCH(DATEVALUE($A147),'recurring1_based on steps'!V$1:V$400,0)),V$2,)</f>
        <v>0</v>
      </c>
      <c r="W147" s="155">
        <f ca="1">IF(ISNUMBER(MATCH(DATEVALUE($A147),'recurring1_based on steps'!W$1:W$400,0)),W$2,)</f>
        <v>0</v>
      </c>
      <c r="X147" s="155">
        <f ca="1">IF(ISNUMBER(MATCH(DATEVALUE($A147),'recurring1_based on steps'!X$1:X$400,0)),X$2,)</f>
        <v>0</v>
      </c>
      <c r="Y147" s="155">
        <f ca="1">IF(ISNUMBER(MATCH(DATEVALUE($A147),'recurring1_based on steps'!Y$1:Y$400,0)),Y$2,)</f>
        <v>0</v>
      </c>
      <c r="Z147" s="155">
        <f ca="1">IF(ISNUMBER(MATCH(DATEVALUE($A147),'recurring1_based on steps'!Z$1:Z$400,0)),Z$2,)</f>
        <v>0</v>
      </c>
      <c r="AA147" s="155">
        <f ca="1">IF(ISNUMBER(MATCH(DATEVALUE($A147),'recurring1_based on steps'!AA$1:AA$400,0)),AA$2,)</f>
        <v>0</v>
      </c>
      <c r="AB147" s="155">
        <f ca="1">IF(ISNUMBER(MATCH(DATEVALUE($A147),'recurring1_based on steps'!AB$1:AB$400,0)),AB$2,)</f>
        <v>0</v>
      </c>
      <c r="AC147" s="155">
        <f ca="1">IF(ISNUMBER(MATCH(DATEVALUE($A147),'recurring1_based on steps'!AC$1:AC$400,0)),AC$2,)</f>
        <v>0</v>
      </c>
      <c r="AD147" s="155">
        <f ca="1">IF(ISNUMBER(MATCH(DATEVALUE($A147),'recurring1_based on steps'!AD$1:AD$400,0)),AD$2,)</f>
        <v>0</v>
      </c>
      <c r="AE147" s="155">
        <f ca="1">IF(ISNUMBER(MATCH(DATEVALUE($A147),'recurring1_based on steps'!AE$1:AE$400,0)),AE$2,)</f>
        <v>0</v>
      </c>
      <c r="AF147" s="155">
        <f ca="1">IF(ISNUMBER(MATCH(DATEVALUE($A147),'recurring1_based on steps'!AF$1:AF$400,0)),AF$2,)</f>
        <v>0</v>
      </c>
      <c r="AG147" s="155">
        <f ca="1">IF(ISNUMBER(MATCH(DATEVALUE($A147),'recurring1_based on steps'!AG$1:AG$400,0)),AG$2,)</f>
        <v>0</v>
      </c>
      <c r="AH147" s="155">
        <f ca="1">IF(ISNUMBER(MATCH(DATEVALUE($A147),'recurring1_based on steps'!AH$1:AH$400,0)),AH$2,)</f>
        <v>0</v>
      </c>
      <c r="AI147" s="155">
        <f ca="1">IF(ISNUMBER(MATCH(DATEVALUE($A147),'recurring1_based on steps'!AI$1:AI$400,0)),AI$2,)</f>
        <v>0</v>
      </c>
      <c r="AJ147" s="155">
        <f ca="1">IF(ISNUMBER(MATCH(DATEVALUE($A147),'recurring1_based on steps'!AJ$1:AJ$400,0)),AJ$2,)</f>
        <v>0</v>
      </c>
      <c r="AK147" s="155">
        <f ca="1">IF(ISNUMBER(MATCH(DATEVALUE($A147),'recurring1_based on steps'!AK$1:AK$400,0)),AK$2,)</f>
        <v>0</v>
      </c>
      <c r="AL147" s="155">
        <f ca="1">IF(ISNUMBER(MATCH(DATEVALUE($A147),'recurring1_based on steps'!AL$1:AL$400,0)),AL$2,)</f>
        <v>0</v>
      </c>
      <c r="AM147" s="155">
        <f ca="1">IF(ISNUMBER(MATCH(DATEVALUE($A147),'recurring1_based on steps'!AM$1:AM$400,0)),AM$2,)</f>
        <v>0</v>
      </c>
      <c r="AN147" s="155">
        <f ca="1">IF(ISNUMBER(MATCH(DATEVALUE($A147),'recurring1_based on steps'!AN$1:AN$400,0)),AN$2,)</f>
        <v>0</v>
      </c>
      <c r="AO147" s="155">
        <f ca="1">IF(ISNUMBER(MATCH(DATEVALUE($A147),'recurring1_based on steps'!AO$1:AO$400,0)),AO$2,)</f>
        <v>0</v>
      </c>
      <c r="AP147" s="155">
        <f ca="1">IF(ISNUMBER(MATCH(DATEVALUE($A147),'recurring1_based on steps'!AP$1:AP$400,0)),AP$2,)</f>
        <v>0</v>
      </c>
      <c r="AQ147" s="155">
        <f ca="1">IF(ISNUMBER(MATCH(DATEVALUE($A147),'recurring1_based on steps'!AQ$1:AQ$400,0)),AQ$2,)</f>
        <v>0</v>
      </c>
      <c r="AR147" s="155">
        <f ca="1">IF(ISNUMBER(MATCH(DATEVALUE($A147),'recurring1_based on steps'!AR$1:AR$400,0)),AR$2,)</f>
        <v>0</v>
      </c>
      <c r="AS147" s="155">
        <f ca="1">IF(ISNUMBER(MATCH(DATEVALUE($A147),'recurring1_based on steps'!AS$1:AS$400,0)),AS$2,)</f>
        <v>0</v>
      </c>
      <c r="AT147" s="155">
        <f ca="1">IF(ISNUMBER(MATCH(DATEVALUE($A147),'recurring1_based on steps'!AT$1:AT$400,0)),AT$2,)</f>
        <v>0</v>
      </c>
      <c r="AU147" s="155">
        <f ca="1">IF(ISNUMBER(MATCH(DATEVALUE($A147),'recurring1_based on steps'!AU$1:AU$400,0)),AU$2,)</f>
        <v>0</v>
      </c>
      <c r="AV147" s="155">
        <f ca="1">IF(ISNUMBER(MATCH(DATEVALUE($A147),'recurring1_based on steps'!AV$1:AV$400,0)),AV$2,)</f>
        <v>0</v>
      </c>
      <c r="AW147" s="155">
        <f ca="1">IF(ISNUMBER(MATCH(DATEVALUE($A147),'recurring1_based on steps'!AW$1:AW$400,0)),AW$2,)</f>
        <v>0</v>
      </c>
      <c r="AX147" s="155">
        <f ca="1">IF(ISNUMBER(MATCH(DATEVALUE($A147),'recurring1_based on steps'!AX$1:AX$400,0)),AX$2,)</f>
        <v>0</v>
      </c>
      <c r="AY147" s="155">
        <f ca="1">IF(ISNUMBER(MATCH(DATEVALUE($A147),'recurring1_based on steps'!AY$1:AY$400,0)),AY$2,)</f>
        <v>0</v>
      </c>
    </row>
    <row r="148" spans="1:51" x14ac:dyDescent="0.2">
      <c r="A148" s="18" t="str">
        <f t="shared" ca="1" si="2"/>
        <v>2025-06-26</v>
      </c>
      <c r="B148" s="155">
        <f ca="1">IF(ISNUMBER(MATCH(DATEVALUE($A148),'recurring1_based on steps'!B$1:B$400,0)),B$2,)</f>
        <v>0</v>
      </c>
      <c r="C148" s="155">
        <f ca="1">IF(ISNUMBER(MATCH(DATEVALUE($A148),'recurring1_based on steps'!C$1:C$400,0)),C$2,)</f>
        <v>0</v>
      </c>
      <c r="D148" s="155">
        <f ca="1">IF(ISNUMBER(MATCH(DATEVALUE($A148),'recurring1_based on steps'!D$1:D$400,0)),D$2,)</f>
        <v>0</v>
      </c>
      <c r="E148" s="155">
        <f ca="1">IF(ISNUMBER(MATCH(DATEVALUE($A148),'recurring1_based on steps'!E$1:E$400,0)),E$2,)</f>
        <v>0</v>
      </c>
      <c r="F148" s="155">
        <f ca="1">IF(ISNUMBER(MATCH(DATEVALUE($A148),'recurring1_based on steps'!F$1:F$400,0)),F$2,)</f>
        <v>0</v>
      </c>
      <c r="G148" s="155">
        <f ca="1">IF(ISNUMBER(MATCH(DATEVALUE($A148),'recurring1_based on steps'!G$1:G$400,0)),G$2,)</f>
        <v>0</v>
      </c>
      <c r="H148" s="155">
        <f ca="1">IF(ISNUMBER(MATCH(DATEVALUE($A148),'recurring1_based on steps'!H$1:H$400,0)),H$2,)</f>
        <v>0</v>
      </c>
      <c r="I148" s="155">
        <f ca="1">IF(ISNUMBER(MATCH(DATEVALUE($A148),'recurring1_based on steps'!I$1:I$400,0)),I$2,)</f>
        <v>0</v>
      </c>
      <c r="J148" s="155">
        <f ca="1">IF(ISNUMBER(MATCH(DATEVALUE($A148),'recurring1_based on steps'!J$1:J$400,0)),J$2,)</f>
        <v>0</v>
      </c>
      <c r="K148" s="155">
        <f ca="1">IF(ISNUMBER(MATCH(DATEVALUE($A148),'recurring1_based on steps'!K$1:K$400,0)),K$2,)</f>
        <v>0</v>
      </c>
      <c r="L148" s="155">
        <f ca="1">IF(ISNUMBER(MATCH(DATEVALUE($A148),'recurring1_based on steps'!L$1:L$400,0)),L$2,)</f>
        <v>0</v>
      </c>
      <c r="M148" s="155">
        <f ca="1">IF(ISNUMBER(MATCH(DATEVALUE($A148),'recurring1_based on steps'!M$1:M$400,0)),M$2,)</f>
        <v>0</v>
      </c>
      <c r="N148" s="155">
        <f ca="1">IF(ISNUMBER(MATCH(DATEVALUE($A148),'recurring1_based on steps'!N$1:N$400,0)),N$2,)</f>
        <v>0</v>
      </c>
      <c r="O148" s="155">
        <f ca="1">IF(ISNUMBER(MATCH(DATEVALUE($A148),'recurring1_based on steps'!O$1:O$400,0)),O$2,)</f>
        <v>0</v>
      </c>
      <c r="P148" s="155">
        <f ca="1">IF(ISNUMBER(MATCH(DATEVALUE($A148),'recurring1_based on steps'!P$1:P$400,0)),P$2,)</f>
        <v>0</v>
      </c>
      <c r="Q148" s="155">
        <f ca="1">IF(ISNUMBER(MATCH(DATEVALUE($A148),'recurring1_based on steps'!Q$1:Q$400,0)),Q$2,)</f>
        <v>0</v>
      </c>
      <c r="R148" s="155">
        <f ca="1">IF(ISNUMBER(MATCH(DATEVALUE($A148),'recurring1_based on steps'!R$1:R$400,0)),R$2,)</f>
        <v>0</v>
      </c>
      <c r="S148" s="155">
        <f ca="1">IF(ISNUMBER(MATCH(DATEVALUE($A148),'recurring1_based on steps'!S$1:S$400,0)),S$2,)</f>
        <v>0</v>
      </c>
      <c r="T148" s="155">
        <f ca="1">IF(ISNUMBER(MATCH(DATEVALUE($A148),'recurring1_based on steps'!T$1:T$400,0)),T$2,)</f>
        <v>0</v>
      </c>
      <c r="U148" s="155">
        <f ca="1">IF(ISNUMBER(MATCH(DATEVALUE($A148),'recurring1_based on steps'!U$1:U$400,0)),U$2,)</f>
        <v>0</v>
      </c>
      <c r="V148" s="155">
        <f ca="1">IF(ISNUMBER(MATCH(DATEVALUE($A148),'recurring1_based on steps'!V$1:V$400,0)),V$2,)</f>
        <v>0</v>
      </c>
      <c r="W148" s="155">
        <f ca="1">IF(ISNUMBER(MATCH(DATEVALUE($A148),'recurring1_based on steps'!W$1:W$400,0)),W$2,)</f>
        <v>0</v>
      </c>
      <c r="X148" s="155">
        <f ca="1">IF(ISNUMBER(MATCH(DATEVALUE($A148),'recurring1_based on steps'!X$1:X$400,0)),X$2,)</f>
        <v>0</v>
      </c>
      <c r="Y148" s="155">
        <f ca="1">IF(ISNUMBER(MATCH(DATEVALUE($A148),'recurring1_based on steps'!Y$1:Y$400,0)),Y$2,)</f>
        <v>0</v>
      </c>
      <c r="Z148" s="155">
        <f ca="1">IF(ISNUMBER(MATCH(DATEVALUE($A148),'recurring1_based on steps'!Z$1:Z$400,0)),Z$2,)</f>
        <v>0</v>
      </c>
      <c r="AA148" s="155">
        <f ca="1">IF(ISNUMBER(MATCH(DATEVALUE($A148),'recurring1_based on steps'!AA$1:AA$400,0)),AA$2,)</f>
        <v>0</v>
      </c>
      <c r="AB148" s="155">
        <f ca="1">IF(ISNUMBER(MATCH(DATEVALUE($A148),'recurring1_based on steps'!AB$1:AB$400,0)),AB$2,)</f>
        <v>0</v>
      </c>
      <c r="AC148" s="155">
        <f ca="1">IF(ISNUMBER(MATCH(DATEVALUE($A148),'recurring1_based on steps'!AC$1:AC$400,0)),AC$2,)</f>
        <v>0</v>
      </c>
      <c r="AD148" s="155">
        <f ca="1">IF(ISNUMBER(MATCH(DATEVALUE($A148),'recurring1_based on steps'!AD$1:AD$400,0)),AD$2,)</f>
        <v>0</v>
      </c>
      <c r="AE148" s="155">
        <f ca="1">IF(ISNUMBER(MATCH(DATEVALUE($A148),'recurring1_based on steps'!AE$1:AE$400,0)),AE$2,)</f>
        <v>0</v>
      </c>
      <c r="AF148" s="155">
        <f ca="1">IF(ISNUMBER(MATCH(DATEVALUE($A148),'recurring1_based on steps'!AF$1:AF$400,0)),AF$2,)</f>
        <v>0</v>
      </c>
      <c r="AG148" s="155">
        <f ca="1">IF(ISNUMBER(MATCH(DATEVALUE($A148),'recurring1_based on steps'!AG$1:AG$400,0)),AG$2,)</f>
        <v>0</v>
      </c>
      <c r="AH148" s="155">
        <f ca="1">IF(ISNUMBER(MATCH(DATEVALUE($A148),'recurring1_based on steps'!AH$1:AH$400,0)),AH$2,)</f>
        <v>0</v>
      </c>
      <c r="AI148" s="155">
        <f ca="1">IF(ISNUMBER(MATCH(DATEVALUE($A148),'recurring1_based on steps'!AI$1:AI$400,0)),AI$2,)</f>
        <v>0</v>
      </c>
      <c r="AJ148" s="155">
        <f ca="1">IF(ISNUMBER(MATCH(DATEVALUE($A148),'recurring1_based on steps'!AJ$1:AJ$400,0)),AJ$2,)</f>
        <v>0</v>
      </c>
      <c r="AK148" s="155">
        <f ca="1">IF(ISNUMBER(MATCH(DATEVALUE($A148),'recurring1_based on steps'!AK$1:AK$400,0)),AK$2,)</f>
        <v>0</v>
      </c>
      <c r="AL148" s="155">
        <f ca="1">IF(ISNUMBER(MATCH(DATEVALUE($A148),'recurring1_based on steps'!AL$1:AL$400,0)),AL$2,)</f>
        <v>0</v>
      </c>
      <c r="AM148" s="155">
        <f ca="1">IF(ISNUMBER(MATCH(DATEVALUE($A148),'recurring1_based on steps'!AM$1:AM$400,0)),AM$2,)</f>
        <v>0</v>
      </c>
      <c r="AN148" s="155">
        <f ca="1">IF(ISNUMBER(MATCH(DATEVALUE($A148),'recurring1_based on steps'!AN$1:AN$400,0)),AN$2,)</f>
        <v>0</v>
      </c>
      <c r="AO148" s="155">
        <f ca="1">IF(ISNUMBER(MATCH(DATEVALUE($A148),'recurring1_based on steps'!AO$1:AO$400,0)),AO$2,)</f>
        <v>0</v>
      </c>
      <c r="AP148" s="155">
        <f ca="1">IF(ISNUMBER(MATCH(DATEVALUE($A148),'recurring1_based on steps'!AP$1:AP$400,0)),AP$2,)</f>
        <v>0</v>
      </c>
      <c r="AQ148" s="155">
        <f ca="1">IF(ISNUMBER(MATCH(DATEVALUE($A148),'recurring1_based on steps'!AQ$1:AQ$400,0)),AQ$2,)</f>
        <v>0</v>
      </c>
      <c r="AR148" s="155">
        <f ca="1">IF(ISNUMBER(MATCH(DATEVALUE($A148),'recurring1_based on steps'!AR$1:AR$400,0)),AR$2,)</f>
        <v>0</v>
      </c>
      <c r="AS148" s="155">
        <f ca="1">IF(ISNUMBER(MATCH(DATEVALUE($A148),'recurring1_based on steps'!AS$1:AS$400,0)),AS$2,)</f>
        <v>0</v>
      </c>
      <c r="AT148" s="155">
        <f ca="1">IF(ISNUMBER(MATCH(DATEVALUE($A148),'recurring1_based on steps'!AT$1:AT$400,0)),AT$2,)</f>
        <v>0</v>
      </c>
      <c r="AU148" s="155">
        <f ca="1">IF(ISNUMBER(MATCH(DATEVALUE($A148),'recurring1_based on steps'!AU$1:AU$400,0)),AU$2,)</f>
        <v>0</v>
      </c>
      <c r="AV148" s="155">
        <f ca="1">IF(ISNUMBER(MATCH(DATEVALUE($A148),'recurring1_based on steps'!AV$1:AV$400,0)),AV$2,)</f>
        <v>0</v>
      </c>
      <c r="AW148" s="155">
        <f ca="1">IF(ISNUMBER(MATCH(DATEVALUE($A148),'recurring1_based on steps'!AW$1:AW$400,0)),AW$2,)</f>
        <v>0</v>
      </c>
      <c r="AX148" s="155">
        <f ca="1">IF(ISNUMBER(MATCH(DATEVALUE($A148),'recurring1_based on steps'!AX$1:AX$400,0)),AX$2,)</f>
        <v>0</v>
      </c>
      <c r="AY148" s="155">
        <f ca="1">IF(ISNUMBER(MATCH(DATEVALUE($A148),'recurring1_based on steps'!AY$1:AY$400,0)),AY$2,)</f>
        <v>0</v>
      </c>
    </row>
    <row r="149" spans="1:51" x14ac:dyDescent="0.2">
      <c r="A149" s="18" t="str">
        <f t="shared" ca="1" si="2"/>
        <v>2025-06-27</v>
      </c>
      <c r="B149" s="155">
        <f ca="1">IF(ISNUMBER(MATCH(DATEVALUE($A149),'recurring1_based on steps'!B$1:B$400,0)),B$2,)</f>
        <v>4000</v>
      </c>
      <c r="C149" s="155">
        <f ca="1">IF(ISNUMBER(MATCH(DATEVALUE($A149),'recurring1_based on steps'!C$1:C$400,0)),C$2,)</f>
        <v>200</v>
      </c>
      <c r="D149" s="155">
        <f ca="1">IF(ISNUMBER(MATCH(DATEVALUE($A149),'recurring1_based on steps'!D$1:D$400,0)),D$2,)</f>
        <v>2</v>
      </c>
      <c r="E149" s="155">
        <f ca="1">IF(ISNUMBER(MATCH(DATEVALUE($A149),'recurring1_based on steps'!E$1:E$400,0)),E$2,)</f>
        <v>40</v>
      </c>
      <c r="F149" s="155">
        <f ca="1">IF(ISNUMBER(MATCH(DATEVALUE($A149),'recurring1_based on steps'!F$1:F$400,0)),F$2,)</f>
        <v>50</v>
      </c>
      <c r="G149" s="155">
        <f ca="1">IF(ISNUMBER(MATCH(DATEVALUE($A149),'recurring1_based on steps'!G$1:G$400,0)),G$2,)</f>
        <v>4</v>
      </c>
      <c r="H149" s="155">
        <f ca="1">IF(ISNUMBER(MATCH(DATEVALUE($A149),'recurring1_based on steps'!H$1:H$400,0)),H$2,)</f>
        <v>0</v>
      </c>
      <c r="I149" s="155">
        <f ca="1">IF(ISNUMBER(MATCH(DATEVALUE($A149),'recurring1_based on steps'!I$1:I$400,0)),I$2,)</f>
        <v>0</v>
      </c>
      <c r="J149" s="155">
        <f ca="1">IF(ISNUMBER(MATCH(DATEVALUE($A149),'recurring1_based on steps'!J$1:J$400,0)),J$2,)</f>
        <v>0</v>
      </c>
      <c r="K149" s="155">
        <f ca="1">IF(ISNUMBER(MATCH(DATEVALUE($A149),'recurring1_based on steps'!K$1:K$400,0)),K$2,)</f>
        <v>0</v>
      </c>
      <c r="L149" s="155">
        <f ca="1">IF(ISNUMBER(MATCH(DATEVALUE($A149),'recurring1_based on steps'!L$1:L$400,0)),L$2,)</f>
        <v>0</v>
      </c>
      <c r="M149" s="155">
        <f ca="1">IF(ISNUMBER(MATCH(DATEVALUE($A149),'recurring1_based on steps'!M$1:M$400,0)),M$2,)</f>
        <v>0</v>
      </c>
      <c r="N149" s="155">
        <f ca="1">IF(ISNUMBER(MATCH(DATEVALUE($A149),'recurring1_based on steps'!N$1:N$400,0)),N$2,)</f>
        <v>0</v>
      </c>
      <c r="O149" s="155">
        <f ca="1">IF(ISNUMBER(MATCH(DATEVALUE($A149),'recurring1_based on steps'!O$1:O$400,0)),O$2,)</f>
        <v>0</v>
      </c>
      <c r="P149" s="155">
        <f ca="1">IF(ISNUMBER(MATCH(DATEVALUE($A149),'recurring1_based on steps'!P$1:P$400,0)),P$2,)</f>
        <v>2.99</v>
      </c>
      <c r="Q149" s="155">
        <f ca="1">IF(ISNUMBER(MATCH(DATEVALUE($A149),'recurring1_based on steps'!Q$1:Q$400,0)),Q$2,)</f>
        <v>0</v>
      </c>
      <c r="R149" s="155">
        <f ca="1">IF(ISNUMBER(MATCH(DATEVALUE($A149),'recurring1_based on steps'!R$1:R$400,0)),R$2,)</f>
        <v>0</v>
      </c>
      <c r="S149" s="155">
        <f ca="1">IF(ISNUMBER(MATCH(DATEVALUE($A149),'recurring1_based on steps'!S$1:S$400,0)),S$2,)</f>
        <v>0</v>
      </c>
      <c r="T149" s="155">
        <f ca="1">IF(ISNUMBER(MATCH(DATEVALUE($A149),'recurring1_based on steps'!T$1:T$400,0)),T$2,)</f>
        <v>0</v>
      </c>
      <c r="U149" s="155">
        <f ca="1">IF(ISNUMBER(MATCH(DATEVALUE($A149),'recurring1_based on steps'!U$1:U$400,0)),U$2,)</f>
        <v>50</v>
      </c>
      <c r="V149" s="155">
        <f ca="1">IF(ISNUMBER(MATCH(DATEVALUE($A149),'recurring1_based on steps'!V$1:V$400,0)),V$2,)</f>
        <v>0</v>
      </c>
      <c r="W149" s="155">
        <f ca="1">IF(ISNUMBER(MATCH(DATEVALUE($A149),'recurring1_based on steps'!W$1:W$400,0)),W$2,)</f>
        <v>0</v>
      </c>
      <c r="X149" s="155">
        <f ca="1">IF(ISNUMBER(MATCH(DATEVALUE($A149),'recurring1_based on steps'!X$1:X$400,0)),X$2,)</f>
        <v>50</v>
      </c>
      <c r="Y149" s="155">
        <f ca="1">IF(ISNUMBER(MATCH(DATEVALUE($A149),'recurring1_based on steps'!Y$1:Y$400,0)),Y$2,)</f>
        <v>0</v>
      </c>
      <c r="Z149" s="155">
        <f ca="1">IF(ISNUMBER(MATCH(DATEVALUE($A149),'recurring1_based on steps'!Z$1:Z$400,0)),Z$2,)</f>
        <v>0</v>
      </c>
      <c r="AA149" s="155">
        <f ca="1">IF(ISNUMBER(MATCH(DATEVALUE($A149),'recurring1_based on steps'!AA$1:AA$400,0)),AA$2,)</f>
        <v>0</v>
      </c>
      <c r="AB149" s="155">
        <f ca="1">IF(ISNUMBER(MATCH(DATEVALUE($A149),'recurring1_based on steps'!AB$1:AB$400,0)),AB$2,)</f>
        <v>0</v>
      </c>
      <c r="AC149" s="155">
        <f ca="1">IF(ISNUMBER(MATCH(DATEVALUE($A149),'recurring1_based on steps'!AC$1:AC$400,0)),AC$2,)</f>
        <v>0</v>
      </c>
      <c r="AD149" s="155">
        <f ca="1">IF(ISNUMBER(MATCH(DATEVALUE($A149),'recurring1_based on steps'!AD$1:AD$400,0)),AD$2,)</f>
        <v>0</v>
      </c>
      <c r="AE149" s="155">
        <f ca="1">IF(ISNUMBER(MATCH(DATEVALUE($A149),'recurring1_based on steps'!AE$1:AE$400,0)),AE$2,)</f>
        <v>0</v>
      </c>
      <c r="AF149" s="155">
        <f ca="1">IF(ISNUMBER(MATCH(DATEVALUE($A149),'recurring1_based on steps'!AF$1:AF$400,0)),AF$2,)</f>
        <v>0</v>
      </c>
      <c r="AG149" s="155">
        <f ca="1">IF(ISNUMBER(MATCH(DATEVALUE($A149),'recurring1_based on steps'!AG$1:AG$400,0)),AG$2,)</f>
        <v>0</v>
      </c>
      <c r="AH149" s="155">
        <f ca="1">IF(ISNUMBER(MATCH(DATEVALUE($A149),'recurring1_based on steps'!AH$1:AH$400,0)),AH$2,)</f>
        <v>0</v>
      </c>
      <c r="AI149" s="155">
        <f ca="1">IF(ISNUMBER(MATCH(DATEVALUE($A149),'recurring1_based on steps'!AI$1:AI$400,0)),AI$2,)</f>
        <v>0</v>
      </c>
      <c r="AJ149" s="155">
        <f ca="1">IF(ISNUMBER(MATCH(DATEVALUE($A149),'recurring1_based on steps'!AJ$1:AJ$400,0)),AJ$2,)</f>
        <v>0</v>
      </c>
      <c r="AK149" s="155">
        <f ca="1">IF(ISNUMBER(MATCH(DATEVALUE($A149),'recurring1_based on steps'!AK$1:AK$400,0)),AK$2,)</f>
        <v>0</v>
      </c>
      <c r="AL149" s="155">
        <f ca="1">IF(ISNUMBER(MATCH(DATEVALUE($A149),'recurring1_based on steps'!AL$1:AL$400,0)),AL$2,)</f>
        <v>0</v>
      </c>
      <c r="AM149" s="155">
        <f ca="1">IF(ISNUMBER(MATCH(DATEVALUE($A149),'recurring1_based on steps'!AM$1:AM$400,0)),AM$2,)</f>
        <v>0</v>
      </c>
      <c r="AN149" s="155">
        <f ca="1">IF(ISNUMBER(MATCH(DATEVALUE($A149),'recurring1_based on steps'!AN$1:AN$400,0)),AN$2,)</f>
        <v>0</v>
      </c>
      <c r="AO149" s="155">
        <f ca="1">IF(ISNUMBER(MATCH(DATEVALUE($A149),'recurring1_based on steps'!AO$1:AO$400,0)),AO$2,)</f>
        <v>0</v>
      </c>
      <c r="AP149" s="155">
        <f ca="1">IF(ISNUMBER(MATCH(DATEVALUE($A149),'recurring1_based on steps'!AP$1:AP$400,0)),AP$2,)</f>
        <v>0</v>
      </c>
      <c r="AQ149" s="155">
        <f ca="1">IF(ISNUMBER(MATCH(DATEVALUE($A149),'recurring1_based on steps'!AQ$1:AQ$400,0)),AQ$2,)</f>
        <v>0</v>
      </c>
      <c r="AR149" s="155">
        <f ca="1">IF(ISNUMBER(MATCH(DATEVALUE($A149),'recurring1_based on steps'!AR$1:AR$400,0)),AR$2,)</f>
        <v>0</v>
      </c>
      <c r="AS149" s="155">
        <f ca="1">IF(ISNUMBER(MATCH(DATEVALUE($A149),'recurring1_based on steps'!AS$1:AS$400,0)),AS$2,)</f>
        <v>0</v>
      </c>
      <c r="AT149" s="155">
        <f ca="1">IF(ISNUMBER(MATCH(DATEVALUE($A149),'recurring1_based on steps'!AT$1:AT$400,0)),AT$2,)</f>
        <v>0</v>
      </c>
      <c r="AU149" s="155">
        <f ca="1">IF(ISNUMBER(MATCH(DATEVALUE($A149),'recurring1_based on steps'!AU$1:AU$400,0)),AU$2,)</f>
        <v>0</v>
      </c>
      <c r="AV149" s="155">
        <f ca="1">IF(ISNUMBER(MATCH(DATEVALUE($A149),'recurring1_based on steps'!AV$1:AV$400,0)),AV$2,)</f>
        <v>0</v>
      </c>
      <c r="AW149" s="155">
        <f ca="1">IF(ISNUMBER(MATCH(DATEVALUE($A149),'recurring1_based on steps'!AW$1:AW$400,0)),AW$2,)</f>
        <v>0</v>
      </c>
      <c r="AX149" s="155">
        <f ca="1">IF(ISNUMBER(MATCH(DATEVALUE($A149),'recurring1_based on steps'!AX$1:AX$400,0)),AX$2,)</f>
        <v>0</v>
      </c>
      <c r="AY149" s="155">
        <f ca="1">IF(ISNUMBER(MATCH(DATEVALUE($A149),'recurring1_based on steps'!AY$1:AY$400,0)),AY$2,)</f>
        <v>0</v>
      </c>
    </row>
    <row r="150" spans="1:51" x14ac:dyDescent="0.2">
      <c r="A150" s="18" t="str">
        <f t="shared" ca="1" si="2"/>
        <v>2025-06-28</v>
      </c>
      <c r="B150" s="155">
        <f ca="1">IF(ISNUMBER(MATCH(DATEVALUE($A150),'recurring1_based on steps'!B$1:B$400,0)),B$2,)</f>
        <v>0</v>
      </c>
      <c r="C150" s="155">
        <f ca="1">IF(ISNUMBER(MATCH(DATEVALUE($A150),'recurring1_based on steps'!C$1:C$400,0)),C$2,)</f>
        <v>0</v>
      </c>
      <c r="D150" s="155">
        <f ca="1">IF(ISNUMBER(MATCH(DATEVALUE($A150),'recurring1_based on steps'!D$1:D$400,0)),D$2,)</f>
        <v>0</v>
      </c>
      <c r="E150" s="155">
        <f ca="1">IF(ISNUMBER(MATCH(DATEVALUE($A150),'recurring1_based on steps'!E$1:E$400,0)),E$2,)</f>
        <v>0</v>
      </c>
      <c r="F150" s="155">
        <f ca="1">IF(ISNUMBER(MATCH(DATEVALUE($A150),'recurring1_based on steps'!F$1:F$400,0)),F$2,)</f>
        <v>0</v>
      </c>
      <c r="G150" s="155">
        <f ca="1">IF(ISNUMBER(MATCH(DATEVALUE($A150),'recurring1_based on steps'!G$1:G$400,0)),G$2,)</f>
        <v>0</v>
      </c>
      <c r="H150" s="155">
        <f ca="1">IF(ISNUMBER(MATCH(DATEVALUE($A150),'recurring1_based on steps'!H$1:H$400,0)),H$2,)</f>
        <v>40</v>
      </c>
      <c r="I150" s="155">
        <f ca="1">IF(ISNUMBER(MATCH(DATEVALUE($A150),'recurring1_based on steps'!I$1:I$400,0)),I$2,)</f>
        <v>0</v>
      </c>
      <c r="J150" s="155">
        <f ca="1">IF(ISNUMBER(MATCH(DATEVALUE($A150),'recurring1_based on steps'!J$1:J$400,0)),J$2,)</f>
        <v>0</v>
      </c>
      <c r="K150" s="155">
        <f ca="1">IF(ISNUMBER(MATCH(DATEVALUE($A150),'recurring1_based on steps'!K$1:K$400,0)),K$2,)</f>
        <v>0</v>
      </c>
      <c r="L150" s="155">
        <f ca="1">IF(ISNUMBER(MATCH(DATEVALUE($A150),'recurring1_based on steps'!L$1:L$400,0)),L$2,)</f>
        <v>0</v>
      </c>
      <c r="M150" s="155">
        <f ca="1">IF(ISNUMBER(MATCH(DATEVALUE($A150),'recurring1_based on steps'!M$1:M$400,0)),M$2,)</f>
        <v>0</v>
      </c>
      <c r="N150" s="155">
        <f ca="1">IF(ISNUMBER(MATCH(DATEVALUE($A150),'recurring1_based on steps'!N$1:N$400,0)),N$2,)</f>
        <v>0</v>
      </c>
      <c r="O150" s="155">
        <f ca="1">IF(ISNUMBER(MATCH(DATEVALUE($A150),'recurring1_based on steps'!O$1:O$400,0)),O$2,)</f>
        <v>0</v>
      </c>
      <c r="P150" s="155">
        <f ca="1">IF(ISNUMBER(MATCH(DATEVALUE($A150),'recurring1_based on steps'!P$1:P$400,0)),P$2,)</f>
        <v>0</v>
      </c>
      <c r="Q150" s="155">
        <f ca="1">IF(ISNUMBER(MATCH(DATEVALUE($A150),'recurring1_based on steps'!Q$1:Q$400,0)),Q$2,)</f>
        <v>100</v>
      </c>
      <c r="R150" s="155">
        <f ca="1">IF(ISNUMBER(MATCH(DATEVALUE($A150),'recurring1_based on steps'!R$1:R$400,0)),R$2,)</f>
        <v>100</v>
      </c>
      <c r="S150" s="155">
        <f ca="1">IF(ISNUMBER(MATCH(DATEVALUE($A150),'recurring1_based on steps'!S$1:S$400,0)),S$2,)</f>
        <v>0</v>
      </c>
      <c r="T150" s="155">
        <f ca="1">IF(ISNUMBER(MATCH(DATEVALUE($A150),'recurring1_based on steps'!T$1:T$400,0)),T$2,)</f>
        <v>0</v>
      </c>
      <c r="U150" s="155">
        <f ca="1">IF(ISNUMBER(MATCH(DATEVALUE($A150),'recurring1_based on steps'!U$1:U$400,0)),U$2,)</f>
        <v>0</v>
      </c>
      <c r="V150" s="155">
        <f ca="1">IF(ISNUMBER(MATCH(DATEVALUE($A150),'recurring1_based on steps'!V$1:V$400,0)),V$2,)</f>
        <v>0</v>
      </c>
      <c r="W150" s="155">
        <f ca="1">IF(ISNUMBER(MATCH(DATEVALUE($A150),'recurring1_based on steps'!W$1:W$400,0)),W$2,)</f>
        <v>100</v>
      </c>
      <c r="X150" s="155">
        <f ca="1">IF(ISNUMBER(MATCH(DATEVALUE($A150),'recurring1_based on steps'!X$1:X$400,0)),X$2,)</f>
        <v>0</v>
      </c>
      <c r="Y150" s="155">
        <f ca="1">IF(ISNUMBER(MATCH(DATEVALUE($A150),'recurring1_based on steps'!Y$1:Y$400,0)),Y$2,)</f>
        <v>0</v>
      </c>
      <c r="Z150" s="155">
        <f ca="1">IF(ISNUMBER(MATCH(DATEVALUE($A150),'recurring1_based on steps'!Z$1:Z$400,0)),Z$2,)</f>
        <v>0</v>
      </c>
      <c r="AA150" s="155">
        <f ca="1">IF(ISNUMBER(MATCH(DATEVALUE($A150),'recurring1_based on steps'!AA$1:AA$400,0)),AA$2,)</f>
        <v>0</v>
      </c>
      <c r="AB150" s="155">
        <f ca="1">IF(ISNUMBER(MATCH(DATEVALUE($A150),'recurring1_based on steps'!AB$1:AB$400,0)),AB$2,)</f>
        <v>0</v>
      </c>
      <c r="AC150" s="155">
        <f ca="1">IF(ISNUMBER(MATCH(DATEVALUE($A150),'recurring1_based on steps'!AC$1:AC$400,0)),AC$2,)</f>
        <v>0</v>
      </c>
      <c r="AD150" s="155">
        <f ca="1">IF(ISNUMBER(MATCH(DATEVALUE($A150),'recurring1_based on steps'!AD$1:AD$400,0)),AD$2,)</f>
        <v>0</v>
      </c>
      <c r="AE150" s="155">
        <f ca="1">IF(ISNUMBER(MATCH(DATEVALUE($A150),'recurring1_based on steps'!AE$1:AE$400,0)),AE$2,)</f>
        <v>0</v>
      </c>
      <c r="AF150" s="155">
        <f ca="1">IF(ISNUMBER(MATCH(DATEVALUE($A150),'recurring1_based on steps'!AF$1:AF$400,0)),AF$2,)</f>
        <v>0</v>
      </c>
      <c r="AG150" s="155">
        <f ca="1">IF(ISNUMBER(MATCH(DATEVALUE($A150),'recurring1_based on steps'!AG$1:AG$400,0)),AG$2,)</f>
        <v>0</v>
      </c>
      <c r="AH150" s="155">
        <f ca="1">IF(ISNUMBER(MATCH(DATEVALUE($A150),'recurring1_based on steps'!AH$1:AH$400,0)),AH$2,)</f>
        <v>0</v>
      </c>
      <c r="AI150" s="155">
        <f ca="1">IF(ISNUMBER(MATCH(DATEVALUE($A150),'recurring1_based on steps'!AI$1:AI$400,0)),AI$2,)</f>
        <v>0</v>
      </c>
      <c r="AJ150" s="155">
        <f ca="1">IF(ISNUMBER(MATCH(DATEVALUE($A150),'recurring1_based on steps'!AJ$1:AJ$400,0)),AJ$2,)</f>
        <v>0</v>
      </c>
      <c r="AK150" s="155">
        <f ca="1">IF(ISNUMBER(MATCH(DATEVALUE($A150),'recurring1_based on steps'!AK$1:AK$400,0)),AK$2,)</f>
        <v>0</v>
      </c>
      <c r="AL150" s="155">
        <f ca="1">IF(ISNUMBER(MATCH(DATEVALUE($A150),'recurring1_based on steps'!AL$1:AL$400,0)),AL$2,)</f>
        <v>0</v>
      </c>
      <c r="AM150" s="155">
        <f ca="1">IF(ISNUMBER(MATCH(DATEVALUE($A150),'recurring1_based on steps'!AM$1:AM$400,0)),AM$2,)</f>
        <v>0</v>
      </c>
      <c r="AN150" s="155">
        <f ca="1">IF(ISNUMBER(MATCH(DATEVALUE($A150),'recurring1_based on steps'!AN$1:AN$400,0)),AN$2,)</f>
        <v>0</v>
      </c>
      <c r="AO150" s="155">
        <f ca="1">IF(ISNUMBER(MATCH(DATEVALUE($A150),'recurring1_based on steps'!AO$1:AO$400,0)),AO$2,)</f>
        <v>0</v>
      </c>
      <c r="AP150" s="155">
        <f ca="1">IF(ISNUMBER(MATCH(DATEVALUE($A150),'recurring1_based on steps'!AP$1:AP$400,0)),AP$2,)</f>
        <v>0</v>
      </c>
      <c r="AQ150" s="155">
        <f ca="1">IF(ISNUMBER(MATCH(DATEVALUE($A150),'recurring1_based on steps'!AQ$1:AQ$400,0)),AQ$2,)</f>
        <v>0</v>
      </c>
      <c r="AR150" s="155">
        <f ca="1">IF(ISNUMBER(MATCH(DATEVALUE($A150),'recurring1_based on steps'!AR$1:AR$400,0)),AR$2,)</f>
        <v>0</v>
      </c>
      <c r="AS150" s="155">
        <f ca="1">IF(ISNUMBER(MATCH(DATEVALUE($A150),'recurring1_based on steps'!AS$1:AS$400,0)),AS$2,)</f>
        <v>0</v>
      </c>
      <c r="AT150" s="155">
        <f ca="1">IF(ISNUMBER(MATCH(DATEVALUE($A150),'recurring1_based on steps'!AT$1:AT$400,0)),AT$2,)</f>
        <v>0</v>
      </c>
      <c r="AU150" s="155">
        <f ca="1">IF(ISNUMBER(MATCH(DATEVALUE($A150),'recurring1_based on steps'!AU$1:AU$400,0)),AU$2,)</f>
        <v>0</v>
      </c>
      <c r="AV150" s="155">
        <f ca="1">IF(ISNUMBER(MATCH(DATEVALUE($A150),'recurring1_based on steps'!AV$1:AV$400,0)),AV$2,)</f>
        <v>0</v>
      </c>
      <c r="AW150" s="155">
        <f ca="1">IF(ISNUMBER(MATCH(DATEVALUE($A150),'recurring1_based on steps'!AW$1:AW$400,0)),AW$2,)</f>
        <v>0</v>
      </c>
      <c r="AX150" s="155">
        <f ca="1">IF(ISNUMBER(MATCH(DATEVALUE($A150),'recurring1_based on steps'!AX$1:AX$400,0)),AX$2,)</f>
        <v>0</v>
      </c>
      <c r="AY150" s="155">
        <f ca="1">IF(ISNUMBER(MATCH(DATEVALUE($A150),'recurring1_based on steps'!AY$1:AY$400,0)),AY$2,)</f>
        <v>0</v>
      </c>
    </row>
    <row r="151" spans="1:51" x14ac:dyDescent="0.2">
      <c r="A151" s="18" t="str">
        <f t="shared" ca="1" si="2"/>
        <v>2025-06-29</v>
      </c>
      <c r="B151" s="155">
        <f ca="1">IF(ISNUMBER(MATCH(DATEVALUE($A151),'recurring1_based on steps'!B$1:B$400,0)),B$2,)</f>
        <v>0</v>
      </c>
      <c r="C151" s="155">
        <f ca="1">IF(ISNUMBER(MATCH(DATEVALUE($A151),'recurring1_based on steps'!C$1:C$400,0)),C$2,)</f>
        <v>0</v>
      </c>
      <c r="D151" s="155">
        <f ca="1">IF(ISNUMBER(MATCH(DATEVALUE($A151),'recurring1_based on steps'!D$1:D$400,0)),D$2,)</f>
        <v>0</v>
      </c>
      <c r="E151" s="155">
        <f ca="1">IF(ISNUMBER(MATCH(DATEVALUE($A151),'recurring1_based on steps'!E$1:E$400,0)),E$2,)</f>
        <v>0</v>
      </c>
      <c r="F151" s="155">
        <f ca="1">IF(ISNUMBER(MATCH(DATEVALUE($A151),'recurring1_based on steps'!F$1:F$400,0)),F$2,)</f>
        <v>0</v>
      </c>
      <c r="G151" s="155">
        <f ca="1">IF(ISNUMBER(MATCH(DATEVALUE($A151),'recurring1_based on steps'!G$1:G$400,0)),G$2,)</f>
        <v>0</v>
      </c>
      <c r="H151" s="155">
        <f ca="1">IF(ISNUMBER(MATCH(DATEVALUE($A151),'recurring1_based on steps'!H$1:H$400,0)),H$2,)</f>
        <v>0</v>
      </c>
      <c r="I151" s="155">
        <f ca="1">IF(ISNUMBER(MATCH(DATEVALUE($A151),'recurring1_based on steps'!I$1:I$400,0)),I$2,)</f>
        <v>0</v>
      </c>
      <c r="J151" s="155">
        <f ca="1">IF(ISNUMBER(MATCH(DATEVALUE($A151),'recurring1_based on steps'!J$1:J$400,0)),J$2,)</f>
        <v>0</v>
      </c>
      <c r="K151" s="155">
        <f ca="1">IF(ISNUMBER(MATCH(DATEVALUE($A151),'recurring1_based on steps'!K$1:K$400,0)),K$2,)</f>
        <v>50</v>
      </c>
      <c r="L151" s="155">
        <f ca="1">IF(ISNUMBER(MATCH(DATEVALUE($A151),'recurring1_based on steps'!L$1:L$400,0)),L$2,)</f>
        <v>0</v>
      </c>
      <c r="M151" s="155">
        <f ca="1">IF(ISNUMBER(MATCH(DATEVALUE($A151),'recurring1_based on steps'!M$1:M$400,0)),M$2,)</f>
        <v>0</v>
      </c>
      <c r="N151" s="155">
        <f ca="1">IF(ISNUMBER(MATCH(DATEVALUE($A151),'recurring1_based on steps'!N$1:N$400,0)),N$2,)</f>
        <v>0</v>
      </c>
      <c r="O151" s="155">
        <f ca="1">IF(ISNUMBER(MATCH(DATEVALUE($A151),'recurring1_based on steps'!O$1:O$400,0)),O$2,)</f>
        <v>0</v>
      </c>
      <c r="P151" s="155">
        <f ca="1">IF(ISNUMBER(MATCH(DATEVALUE($A151),'recurring1_based on steps'!P$1:P$400,0)),P$2,)</f>
        <v>0</v>
      </c>
      <c r="Q151" s="155">
        <f ca="1">IF(ISNUMBER(MATCH(DATEVALUE($A151),'recurring1_based on steps'!Q$1:Q$400,0)),Q$2,)</f>
        <v>0</v>
      </c>
      <c r="R151" s="155">
        <f ca="1">IF(ISNUMBER(MATCH(DATEVALUE($A151),'recurring1_based on steps'!R$1:R$400,0)),R$2,)</f>
        <v>0</v>
      </c>
      <c r="S151" s="155">
        <f ca="1">IF(ISNUMBER(MATCH(DATEVALUE($A151),'recurring1_based on steps'!S$1:S$400,0)),S$2,)</f>
        <v>100</v>
      </c>
      <c r="T151" s="155">
        <f ca="1">IF(ISNUMBER(MATCH(DATEVALUE($A151),'recurring1_based on steps'!T$1:T$400,0)),T$2,)</f>
        <v>0</v>
      </c>
      <c r="U151" s="155">
        <f ca="1">IF(ISNUMBER(MATCH(DATEVALUE($A151),'recurring1_based on steps'!U$1:U$400,0)),U$2,)</f>
        <v>0</v>
      </c>
      <c r="V151" s="155">
        <f ca="1">IF(ISNUMBER(MATCH(DATEVALUE($A151),'recurring1_based on steps'!V$1:V$400,0)),V$2,)</f>
        <v>0</v>
      </c>
      <c r="W151" s="155">
        <f ca="1">IF(ISNUMBER(MATCH(DATEVALUE($A151),'recurring1_based on steps'!W$1:W$400,0)),W$2,)</f>
        <v>0</v>
      </c>
      <c r="X151" s="155">
        <f ca="1">IF(ISNUMBER(MATCH(DATEVALUE($A151),'recurring1_based on steps'!X$1:X$400,0)),X$2,)</f>
        <v>0</v>
      </c>
      <c r="Y151" s="155">
        <f ca="1">IF(ISNUMBER(MATCH(DATEVALUE($A151),'recurring1_based on steps'!Y$1:Y$400,0)),Y$2,)</f>
        <v>0</v>
      </c>
      <c r="Z151" s="155">
        <f ca="1">IF(ISNUMBER(MATCH(DATEVALUE($A151),'recurring1_based on steps'!Z$1:Z$400,0)),Z$2,)</f>
        <v>0</v>
      </c>
      <c r="AA151" s="155">
        <f ca="1">IF(ISNUMBER(MATCH(DATEVALUE($A151),'recurring1_based on steps'!AA$1:AA$400,0)),AA$2,)</f>
        <v>0</v>
      </c>
      <c r="AB151" s="155">
        <f ca="1">IF(ISNUMBER(MATCH(DATEVALUE($A151),'recurring1_based on steps'!AB$1:AB$400,0)),AB$2,)</f>
        <v>0</v>
      </c>
      <c r="AC151" s="155">
        <f ca="1">IF(ISNUMBER(MATCH(DATEVALUE($A151),'recurring1_based on steps'!AC$1:AC$400,0)),AC$2,)</f>
        <v>0</v>
      </c>
      <c r="AD151" s="155">
        <f ca="1">IF(ISNUMBER(MATCH(DATEVALUE($A151),'recurring1_based on steps'!AD$1:AD$400,0)),AD$2,)</f>
        <v>0</v>
      </c>
      <c r="AE151" s="155">
        <f ca="1">IF(ISNUMBER(MATCH(DATEVALUE($A151),'recurring1_based on steps'!AE$1:AE$400,0)),AE$2,)</f>
        <v>0</v>
      </c>
      <c r="AF151" s="155">
        <f ca="1">IF(ISNUMBER(MATCH(DATEVALUE($A151),'recurring1_based on steps'!AF$1:AF$400,0)),AF$2,)</f>
        <v>0</v>
      </c>
      <c r="AG151" s="155">
        <f ca="1">IF(ISNUMBER(MATCH(DATEVALUE($A151),'recurring1_based on steps'!AG$1:AG$400,0)),AG$2,)</f>
        <v>0</v>
      </c>
      <c r="AH151" s="155">
        <f ca="1">IF(ISNUMBER(MATCH(DATEVALUE($A151),'recurring1_based on steps'!AH$1:AH$400,0)),AH$2,)</f>
        <v>0</v>
      </c>
      <c r="AI151" s="155">
        <f ca="1">IF(ISNUMBER(MATCH(DATEVALUE($A151),'recurring1_based on steps'!AI$1:AI$400,0)),AI$2,)</f>
        <v>0</v>
      </c>
      <c r="AJ151" s="155">
        <f ca="1">IF(ISNUMBER(MATCH(DATEVALUE($A151),'recurring1_based on steps'!AJ$1:AJ$400,0)),AJ$2,)</f>
        <v>0</v>
      </c>
      <c r="AK151" s="155">
        <f ca="1">IF(ISNUMBER(MATCH(DATEVALUE($A151),'recurring1_based on steps'!AK$1:AK$400,0)),AK$2,)</f>
        <v>0</v>
      </c>
      <c r="AL151" s="155">
        <f ca="1">IF(ISNUMBER(MATCH(DATEVALUE($A151),'recurring1_based on steps'!AL$1:AL$400,0)),AL$2,)</f>
        <v>0</v>
      </c>
      <c r="AM151" s="155">
        <f ca="1">IF(ISNUMBER(MATCH(DATEVALUE($A151),'recurring1_based on steps'!AM$1:AM$400,0)),AM$2,)</f>
        <v>0</v>
      </c>
      <c r="AN151" s="155">
        <f ca="1">IF(ISNUMBER(MATCH(DATEVALUE($A151),'recurring1_based on steps'!AN$1:AN$400,0)),AN$2,)</f>
        <v>0</v>
      </c>
      <c r="AO151" s="155">
        <f ca="1">IF(ISNUMBER(MATCH(DATEVALUE($A151),'recurring1_based on steps'!AO$1:AO$400,0)),AO$2,)</f>
        <v>0</v>
      </c>
      <c r="AP151" s="155">
        <f ca="1">IF(ISNUMBER(MATCH(DATEVALUE($A151),'recurring1_based on steps'!AP$1:AP$400,0)),AP$2,)</f>
        <v>0</v>
      </c>
      <c r="AQ151" s="155">
        <f ca="1">IF(ISNUMBER(MATCH(DATEVALUE($A151),'recurring1_based on steps'!AQ$1:AQ$400,0)),AQ$2,)</f>
        <v>0</v>
      </c>
      <c r="AR151" s="155">
        <f ca="1">IF(ISNUMBER(MATCH(DATEVALUE($A151),'recurring1_based on steps'!AR$1:AR$400,0)),AR$2,)</f>
        <v>0</v>
      </c>
      <c r="AS151" s="155">
        <f ca="1">IF(ISNUMBER(MATCH(DATEVALUE($A151),'recurring1_based on steps'!AS$1:AS$400,0)),AS$2,)</f>
        <v>0</v>
      </c>
      <c r="AT151" s="155">
        <f ca="1">IF(ISNUMBER(MATCH(DATEVALUE($A151),'recurring1_based on steps'!AT$1:AT$400,0)),AT$2,)</f>
        <v>0</v>
      </c>
      <c r="AU151" s="155">
        <f ca="1">IF(ISNUMBER(MATCH(DATEVALUE($A151),'recurring1_based on steps'!AU$1:AU$400,0)),AU$2,)</f>
        <v>0</v>
      </c>
      <c r="AV151" s="155">
        <f ca="1">IF(ISNUMBER(MATCH(DATEVALUE($A151),'recurring1_based on steps'!AV$1:AV$400,0)),AV$2,)</f>
        <v>0</v>
      </c>
      <c r="AW151" s="155">
        <f ca="1">IF(ISNUMBER(MATCH(DATEVALUE($A151),'recurring1_based on steps'!AW$1:AW$400,0)),AW$2,)</f>
        <v>0</v>
      </c>
      <c r="AX151" s="155">
        <f ca="1">IF(ISNUMBER(MATCH(DATEVALUE($A151),'recurring1_based on steps'!AX$1:AX$400,0)),AX$2,)</f>
        <v>0</v>
      </c>
      <c r="AY151" s="155">
        <f ca="1">IF(ISNUMBER(MATCH(DATEVALUE($A151),'recurring1_based on steps'!AY$1:AY$400,0)),AY$2,)</f>
        <v>0</v>
      </c>
    </row>
    <row r="152" spans="1:51" x14ac:dyDescent="0.2">
      <c r="A152" s="18" t="str">
        <f t="shared" ca="1" si="2"/>
        <v>2025-06-30</v>
      </c>
      <c r="B152" s="155">
        <f ca="1">IF(ISNUMBER(MATCH(DATEVALUE($A152),'recurring1_based on steps'!B$1:B$400,0)),B$2,)</f>
        <v>0</v>
      </c>
      <c r="C152" s="155">
        <f ca="1">IF(ISNUMBER(MATCH(DATEVALUE($A152),'recurring1_based on steps'!C$1:C$400,0)),C$2,)</f>
        <v>0</v>
      </c>
      <c r="D152" s="155">
        <f ca="1">IF(ISNUMBER(MATCH(DATEVALUE($A152),'recurring1_based on steps'!D$1:D$400,0)),D$2,)</f>
        <v>0</v>
      </c>
      <c r="E152" s="155">
        <f ca="1">IF(ISNUMBER(MATCH(DATEVALUE($A152),'recurring1_based on steps'!E$1:E$400,0)),E$2,)</f>
        <v>0</v>
      </c>
      <c r="F152" s="155">
        <f ca="1">IF(ISNUMBER(MATCH(DATEVALUE($A152),'recurring1_based on steps'!F$1:F$400,0)),F$2,)</f>
        <v>0</v>
      </c>
      <c r="G152" s="155">
        <f ca="1">IF(ISNUMBER(MATCH(DATEVALUE($A152),'recurring1_based on steps'!G$1:G$400,0)),G$2,)</f>
        <v>0</v>
      </c>
      <c r="H152" s="155">
        <f ca="1">IF(ISNUMBER(MATCH(DATEVALUE($A152),'recurring1_based on steps'!H$1:H$400,0)),H$2,)</f>
        <v>0</v>
      </c>
      <c r="I152" s="155">
        <f ca="1">IF(ISNUMBER(MATCH(DATEVALUE($A152),'recurring1_based on steps'!I$1:I$400,0)),I$2,)</f>
        <v>0</v>
      </c>
      <c r="J152" s="155">
        <f ca="1">IF(ISNUMBER(MATCH(DATEVALUE($A152),'recurring1_based on steps'!J$1:J$400,0)),J$2,)</f>
        <v>0</v>
      </c>
      <c r="K152" s="155">
        <f ca="1">IF(ISNUMBER(MATCH(DATEVALUE($A152),'recurring1_based on steps'!K$1:K$400,0)),K$2,)</f>
        <v>0</v>
      </c>
      <c r="L152" s="155">
        <f ca="1">IF(ISNUMBER(MATCH(DATEVALUE($A152),'recurring1_based on steps'!L$1:L$400,0)),L$2,)</f>
        <v>0</v>
      </c>
      <c r="M152" s="155">
        <f ca="1">IF(ISNUMBER(MATCH(DATEVALUE($A152),'recurring1_based on steps'!M$1:M$400,0)),M$2,)</f>
        <v>0</v>
      </c>
      <c r="N152" s="155">
        <f ca="1">IF(ISNUMBER(MATCH(DATEVALUE($A152),'recurring1_based on steps'!N$1:N$400,0)),N$2,)</f>
        <v>0</v>
      </c>
      <c r="O152" s="155">
        <f ca="1">IF(ISNUMBER(MATCH(DATEVALUE($A152),'recurring1_based on steps'!O$1:O$400,0)),O$2,)</f>
        <v>0</v>
      </c>
      <c r="P152" s="155">
        <f ca="1">IF(ISNUMBER(MATCH(DATEVALUE($A152),'recurring1_based on steps'!P$1:P$400,0)),P$2,)</f>
        <v>0</v>
      </c>
      <c r="Q152" s="155">
        <f ca="1">IF(ISNUMBER(MATCH(DATEVALUE($A152),'recurring1_based on steps'!Q$1:Q$400,0)),Q$2,)</f>
        <v>0</v>
      </c>
      <c r="R152" s="155">
        <f ca="1">IF(ISNUMBER(MATCH(DATEVALUE($A152),'recurring1_based on steps'!R$1:R$400,0)),R$2,)</f>
        <v>0</v>
      </c>
      <c r="S152" s="155">
        <f ca="1">IF(ISNUMBER(MATCH(DATEVALUE($A152),'recurring1_based on steps'!S$1:S$400,0)),S$2,)</f>
        <v>0</v>
      </c>
      <c r="T152" s="155">
        <f ca="1">IF(ISNUMBER(MATCH(DATEVALUE($A152),'recurring1_based on steps'!T$1:T$400,0)),T$2,)</f>
        <v>50</v>
      </c>
      <c r="U152" s="155">
        <f ca="1">IF(ISNUMBER(MATCH(DATEVALUE($A152),'recurring1_based on steps'!U$1:U$400,0)),U$2,)</f>
        <v>0</v>
      </c>
      <c r="V152" s="155">
        <f ca="1">IF(ISNUMBER(MATCH(DATEVALUE($A152),'recurring1_based on steps'!V$1:V$400,0)),V$2,)</f>
        <v>0</v>
      </c>
      <c r="W152" s="155">
        <f ca="1">IF(ISNUMBER(MATCH(DATEVALUE($A152),'recurring1_based on steps'!W$1:W$400,0)),W$2,)</f>
        <v>0</v>
      </c>
      <c r="X152" s="155">
        <f ca="1">IF(ISNUMBER(MATCH(DATEVALUE($A152),'recurring1_based on steps'!X$1:X$400,0)),X$2,)</f>
        <v>0</v>
      </c>
      <c r="Y152" s="155">
        <f ca="1">IF(ISNUMBER(MATCH(DATEVALUE($A152),'recurring1_based on steps'!Y$1:Y$400,0)),Y$2,)</f>
        <v>0</v>
      </c>
      <c r="Z152" s="155">
        <f ca="1">IF(ISNUMBER(MATCH(DATEVALUE($A152),'recurring1_based on steps'!Z$1:Z$400,0)),Z$2,)</f>
        <v>0</v>
      </c>
      <c r="AA152" s="155">
        <f ca="1">IF(ISNUMBER(MATCH(DATEVALUE($A152),'recurring1_based on steps'!AA$1:AA$400,0)),AA$2,)</f>
        <v>0</v>
      </c>
      <c r="AB152" s="155">
        <f ca="1">IF(ISNUMBER(MATCH(DATEVALUE($A152),'recurring1_based on steps'!AB$1:AB$400,0)),AB$2,)</f>
        <v>0</v>
      </c>
      <c r="AC152" s="155">
        <f ca="1">IF(ISNUMBER(MATCH(DATEVALUE($A152),'recurring1_based on steps'!AC$1:AC$400,0)),AC$2,)</f>
        <v>0</v>
      </c>
      <c r="AD152" s="155">
        <f ca="1">IF(ISNUMBER(MATCH(DATEVALUE($A152),'recurring1_based on steps'!AD$1:AD$400,0)),AD$2,)</f>
        <v>0</v>
      </c>
      <c r="AE152" s="155">
        <f ca="1">IF(ISNUMBER(MATCH(DATEVALUE($A152),'recurring1_based on steps'!AE$1:AE$400,0)),AE$2,)</f>
        <v>0</v>
      </c>
      <c r="AF152" s="155">
        <f ca="1">IF(ISNUMBER(MATCH(DATEVALUE($A152),'recurring1_based on steps'!AF$1:AF$400,0)),AF$2,)</f>
        <v>0</v>
      </c>
      <c r="AG152" s="155">
        <f ca="1">IF(ISNUMBER(MATCH(DATEVALUE($A152),'recurring1_based on steps'!AG$1:AG$400,0)),AG$2,)</f>
        <v>0</v>
      </c>
      <c r="AH152" s="155">
        <f ca="1">IF(ISNUMBER(MATCH(DATEVALUE($A152),'recurring1_based on steps'!AH$1:AH$400,0)),AH$2,)</f>
        <v>0</v>
      </c>
      <c r="AI152" s="155">
        <f ca="1">IF(ISNUMBER(MATCH(DATEVALUE($A152),'recurring1_based on steps'!AI$1:AI$400,0)),AI$2,)</f>
        <v>0</v>
      </c>
      <c r="AJ152" s="155">
        <f ca="1">IF(ISNUMBER(MATCH(DATEVALUE($A152),'recurring1_based on steps'!AJ$1:AJ$400,0)),AJ$2,)</f>
        <v>0</v>
      </c>
      <c r="AK152" s="155">
        <f ca="1">IF(ISNUMBER(MATCH(DATEVALUE($A152),'recurring1_based on steps'!AK$1:AK$400,0)),AK$2,)</f>
        <v>0</v>
      </c>
      <c r="AL152" s="155">
        <f ca="1">IF(ISNUMBER(MATCH(DATEVALUE($A152),'recurring1_based on steps'!AL$1:AL$400,0)),AL$2,)</f>
        <v>0</v>
      </c>
      <c r="AM152" s="155">
        <f ca="1">IF(ISNUMBER(MATCH(DATEVALUE($A152),'recurring1_based on steps'!AM$1:AM$400,0)),AM$2,)</f>
        <v>0</v>
      </c>
      <c r="AN152" s="155">
        <f ca="1">IF(ISNUMBER(MATCH(DATEVALUE($A152),'recurring1_based on steps'!AN$1:AN$400,0)),AN$2,)</f>
        <v>0</v>
      </c>
      <c r="AO152" s="155">
        <f ca="1">IF(ISNUMBER(MATCH(DATEVALUE($A152),'recurring1_based on steps'!AO$1:AO$400,0)),AO$2,)</f>
        <v>0</v>
      </c>
      <c r="AP152" s="155">
        <f ca="1">IF(ISNUMBER(MATCH(DATEVALUE($A152),'recurring1_based on steps'!AP$1:AP$400,0)),AP$2,)</f>
        <v>0</v>
      </c>
      <c r="AQ152" s="155">
        <f ca="1">IF(ISNUMBER(MATCH(DATEVALUE($A152),'recurring1_based on steps'!AQ$1:AQ$400,0)),AQ$2,)</f>
        <v>0</v>
      </c>
      <c r="AR152" s="155">
        <f ca="1">IF(ISNUMBER(MATCH(DATEVALUE($A152),'recurring1_based on steps'!AR$1:AR$400,0)),AR$2,)</f>
        <v>0</v>
      </c>
      <c r="AS152" s="155">
        <f ca="1">IF(ISNUMBER(MATCH(DATEVALUE($A152),'recurring1_based on steps'!AS$1:AS$400,0)),AS$2,)</f>
        <v>0</v>
      </c>
      <c r="AT152" s="155">
        <f ca="1">IF(ISNUMBER(MATCH(DATEVALUE($A152),'recurring1_based on steps'!AT$1:AT$400,0)),AT$2,)</f>
        <v>0</v>
      </c>
      <c r="AU152" s="155">
        <f ca="1">IF(ISNUMBER(MATCH(DATEVALUE($A152),'recurring1_based on steps'!AU$1:AU$400,0)),AU$2,)</f>
        <v>0</v>
      </c>
      <c r="AV152" s="155">
        <f ca="1">IF(ISNUMBER(MATCH(DATEVALUE($A152),'recurring1_based on steps'!AV$1:AV$400,0)),AV$2,)</f>
        <v>0</v>
      </c>
      <c r="AW152" s="155">
        <f ca="1">IF(ISNUMBER(MATCH(DATEVALUE($A152),'recurring1_based on steps'!AW$1:AW$400,0)),AW$2,)</f>
        <v>0</v>
      </c>
      <c r="AX152" s="155">
        <f ca="1">IF(ISNUMBER(MATCH(DATEVALUE($A152),'recurring1_based on steps'!AX$1:AX$400,0)),AX$2,)</f>
        <v>0</v>
      </c>
      <c r="AY152" s="155">
        <f ca="1">IF(ISNUMBER(MATCH(DATEVALUE($A152),'recurring1_based on steps'!AY$1:AY$400,0)),AY$2,)</f>
        <v>0</v>
      </c>
    </row>
    <row r="153" spans="1:51" x14ac:dyDescent="0.2">
      <c r="A153" s="18" t="str">
        <f t="shared" ca="1" si="2"/>
        <v>2025-07-01</v>
      </c>
      <c r="B153" s="155">
        <f ca="1">IF(ISNUMBER(MATCH(DATEVALUE($A153),'recurring1_based on steps'!B$1:B$400,0)),B$2,)</f>
        <v>0</v>
      </c>
      <c r="C153" s="155">
        <f ca="1">IF(ISNUMBER(MATCH(DATEVALUE($A153),'recurring1_based on steps'!C$1:C$400,0)),C$2,)</f>
        <v>0</v>
      </c>
      <c r="D153" s="155">
        <f ca="1">IF(ISNUMBER(MATCH(DATEVALUE($A153),'recurring1_based on steps'!D$1:D$400,0)),D$2,)</f>
        <v>0</v>
      </c>
      <c r="E153" s="155">
        <f ca="1">IF(ISNUMBER(MATCH(DATEVALUE($A153),'recurring1_based on steps'!E$1:E$400,0)),E$2,)</f>
        <v>0</v>
      </c>
      <c r="F153" s="155">
        <f ca="1">IF(ISNUMBER(MATCH(DATEVALUE($A153),'recurring1_based on steps'!F$1:F$400,0)),F$2,)</f>
        <v>0</v>
      </c>
      <c r="G153" s="155">
        <f ca="1">IF(ISNUMBER(MATCH(DATEVALUE($A153),'recurring1_based on steps'!G$1:G$400,0)),G$2,)</f>
        <v>0</v>
      </c>
      <c r="H153" s="155">
        <f ca="1">IF(ISNUMBER(MATCH(DATEVALUE($A153),'recurring1_based on steps'!H$1:H$400,0)),H$2,)</f>
        <v>0</v>
      </c>
      <c r="I153" s="155">
        <f ca="1">IF(ISNUMBER(MATCH(DATEVALUE($A153),'recurring1_based on steps'!I$1:I$400,0)),I$2,)</f>
        <v>2000</v>
      </c>
      <c r="J153" s="155">
        <f ca="1">IF(ISNUMBER(MATCH(DATEVALUE($A153),'recurring1_based on steps'!J$1:J$400,0)),J$2,)</f>
        <v>0</v>
      </c>
      <c r="K153" s="155">
        <f ca="1">IF(ISNUMBER(MATCH(DATEVALUE($A153),'recurring1_based on steps'!K$1:K$400,0)),K$2,)</f>
        <v>0</v>
      </c>
      <c r="L153" s="155">
        <f ca="1">IF(ISNUMBER(MATCH(DATEVALUE($A153),'recurring1_based on steps'!L$1:L$400,0)),L$2,)</f>
        <v>0</v>
      </c>
      <c r="M153" s="155">
        <f ca="1">IF(ISNUMBER(MATCH(DATEVALUE($A153),'recurring1_based on steps'!M$1:M$400,0)),M$2,)</f>
        <v>0</v>
      </c>
      <c r="N153" s="155">
        <f ca="1">IF(ISNUMBER(MATCH(DATEVALUE($A153),'recurring1_based on steps'!N$1:N$400,0)),N$2,)</f>
        <v>0</v>
      </c>
      <c r="O153" s="155">
        <f ca="1">IF(ISNUMBER(MATCH(DATEVALUE($A153),'recurring1_based on steps'!O$1:O$400,0)),O$2,)</f>
        <v>0</v>
      </c>
      <c r="P153" s="155">
        <f ca="1">IF(ISNUMBER(MATCH(DATEVALUE($A153),'recurring1_based on steps'!P$1:P$400,0)),P$2,)</f>
        <v>0</v>
      </c>
      <c r="Q153" s="155">
        <f ca="1">IF(ISNUMBER(MATCH(DATEVALUE($A153),'recurring1_based on steps'!Q$1:Q$400,0)),Q$2,)</f>
        <v>0</v>
      </c>
      <c r="R153" s="155">
        <f ca="1">IF(ISNUMBER(MATCH(DATEVALUE($A153),'recurring1_based on steps'!R$1:R$400,0)),R$2,)</f>
        <v>0</v>
      </c>
      <c r="S153" s="155">
        <f ca="1">IF(ISNUMBER(MATCH(DATEVALUE($A153),'recurring1_based on steps'!S$1:S$400,0)),S$2,)</f>
        <v>0</v>
      </c>
      <c r="T153" s="155">
        <f ca="1">IF(ISNUMBER(MATCH(DATEVALUE($A153),'recurring1_based on steps'!T$1:T$400,0)),T$2,)</f>
        <v>0</v>
      </c>
      <c r="U153" s="155">
        <f ca="1">IF(ISNUMBER(MATCH(DATEVALUE($A153),'recurring1_based on steps'!U$1:U$400,0)),U$2,)</f>
        <v>0</v>
      </c>
      <c r="V153" s="155">
        <f ca="1">IF(ISNUMBER(MATCH(DATEVALUE($A153),'recurring1_based on steps'!V$1:V$400,0)),V$2,)</f>
        <v>0</v>
      </c>
      <c r="W153" s="155">
        <f ca="1">IF(ISNUMBER(MATCH(DATEVALUE($A153),'recurring1_based on steps'!W$1:W$400,0)),W$2,)</f>
        <v>0</v>
      </c>
      <c r="X153" s="155">
        <f ca="1">IF(ISNUMBER(MATCH(DATEVALUE($A153),'recurring1_based on steps'!X$1:X$400,0)),X$2,)</f>
        <v>0</v>
      </c>
      <c r="Y153" s="155">
        <f ca="1">IF(ISNUMBER(MATCH(DATEVALUE($A153),'recurring1_based on steps'!Y$1:Y$400,0)),Y$2,)</f>
        <v>0</v>
      </c>
      <c r="Z153" s="155">
        <f ca="1">IF(ISNUMBER(MATCH(DATEVALUE($A153),'recurring1_based on steps'!Z$1:Z$400,0)),Z$2,)</f>
        <v>0</v>
      </c>
      <c r="AA153" s="155">
        <f ca="1">IF(ISNUMBER(MATCH(DATEVALUE($A153),'recurring1_based on steps'!AA$1:AA$400,0)),AA$2,)</f>
        <v>0</v>
      </c>
      <c r="AB153" s="155">
        <f ca="1">IF(ISNUMBER(MATCH(DATEVALUE($A153),'recurring1_based on steps'!AB$1:AB$400,0)),AB$2,)</f>
        <v>0</v>
      </c>
      <c r="AC153" s="155">
        <f ca="1">IF(ISNUMBER(MATCH(DATEVALUE($A153),'recurring1_based on steps'!AC$1:AC$400,0)),AC$2,)</f>
        <v>0</v>
      </c>
      <c r="AD153" s="155">
        <f ca="1">IF(ISNUMBER(MATCH(DATEVALUE($A153),'recurring1_based on steps'!AD$1:AD$400,0)),AD$2,)</f>
        <v>0</v>
      </c>
      <c r="AE153" s="155">
        <f ca="1">IF(ISNUMBER(MATCH(DATEVALUE($A153),'recurring1_based on steps'!AE$1:AE$400,0)),AE$2,)</f>
        <v>0</v>
      </c>
      <c r="AF153" s="155">
        <f ca="1">IF(ISNUMBER(MATCH(DATEVALUE($A153),'recurring1_based on steps'!AF$1:AF$400,0)),AF$2,)</f>
        <v>0</v>
      </c>
      <c r="AG153" s="155">
        <f ca="1">IF(ISNUMBER(MATCH(DATEVALUE($A153),'recurring1_based on steps'!AG$1:AG$400,0)),AG$2,)</f>
        <v>0</v>
      </c>
      <c r="AH153" s="155">
        <f ca="1">IF(ISNUMBER(MATCH(DATEVALUE($A153),'recurring1_based on steps'!AH$1:AH$400,0)),AH$2,)</f>
        <v>0</v>
      </c>
      <c r="AI153" s="155">
        <f ca="1">IF(ISNUMBER(MATCH(DATEVALUE($A153),'recurring1_based on steps'!AI$1:AI$400,0)),AI$2,)</f>
        <v>0</v>
      </c>
      <c r="AJ153" s="155">
        <f ca="1">IF(ISNUMBER(MATCH(DATEVALUE($A153),'recurring1_based on steps'!AJ$1:AJ$400,0)),AJ$2,)</f>
        <v>0</v>
      </c>
      <c r="AK153" s="155">
        <f ca="1">IF(ISNUMBER(MATCH(DATEVALUE($A153),'recurring1_based on steps'!AK$1:AK$400,0)),AK$2,)</f>
        <v>0</v>
      </c>
      <c r="AL153" s="155">
        <f ca="1">IF(ISNUMBER(MATCH(DATEVALUE($A153),'recurring1_based on steps'!AL$1:AL$400,0)),AL$2,)</f>
        <v>0</v>
      </c>
      <c r="AM153" s="155">
        <f ca="1">IF(ISNUMBER(MATCH(DATEVALUE($A153),'recurring1_based on steps'!AM$1:AM$400,0)),AM$2,)</f>
        <v>0</v>
      </c>
      <c r="AN153" s="155">
        <f ca="1">IF(ISNUMBER(MATCH(DATEVALUE($A153),'recurring1_based on steps'!AN$1:AN$400,0)),AN$2,)</f>
        <v>0</v>
      </c>
      <c r="AO153" s="155">
        <f ca="1">IF(ISNUMBER(MATCH(DATEVALUE($A153),'recurring1_based on steps'!AO$1:AO$400,0)),AO$2,)</f>
        <v>0</v>
      </c>
      <c r="AP153" s="155">
        <f ca="1">IF(ISNUMBER(MATCH(DATEVALUE($A153),'recurring1_based on steps'!AP$1:AP$400,0)),AP$2,)</f>
        <v>0</v>
      </c>
      <c r="AQ153" s="155">
        <f ca="1">IF(ISNUMBER(MATCH(DATEVALUE($A153),'recurring1_based on steps'!AQ$1:AQ$400,0)),AQ$2,)</f>
        <v>0</v>
      </c>
      <c r="AR153" s="155">
        <f ca="1">IF(ISNUMBER(MATCH(DATEVALUE($A153),'recurring1_based on steps'!AR$1:AR$400,0)),AR$2,)</f>
        <v>0</v>
      </c>
      <c r="AS153" s="155">
        <f ca="1">IF(ISNUMBER(MATCH(DATEVALUE($A153),'recurring1_based on steps'!AS$1:AS$400,0)),AS$2,)</f>
        <v>0</v>
      </c>
      <c r="AT153" s="155">
        <f ca="1">IF(ISNUMBER(MATCH(DATEVALUE($A153),'recurring1_based on steps'!AT$1:AT$400,0)),AT$2,)</f>
        <v>0</v>
      </c>
      <c r="AU153" s="155">
        <f ca="1">IF(ISNUMBER(MATCH(DATEVALUE($A153),'recurring1_based on steps'!AU$1:AU$400,0)),AU$2,)</f>
        <v>0</v>
      </c>
      <c r="AV153" s="155">
        <f ca="1">IF(ISNUMBER(MATCH(DATEVALUE($A153),'recurring1_based on steps'!AV$1:AV$400,0)),AV$2,)</f>
        <v>0</v>
      </c>
      <c r="AW153" s="155">
        <f ca="1">IF(ISNUMBER(MATCH(DATEVALUE($A153),'recurring1_based on steps'!AW$1:AW$400,0)),AW$2,)</f>
        <v>0</v>
      </c>
      <c r="AX153" s="155">
        <f ca="1">IF(ISNUMBER(MATCH(DATEVALUE($A153),'recurring1_based on steps'!AX$1:AX$400,0)),AX$2,)</f>
        <v>0</v>
      </c>
      <c r="AY153" s="155">
        <f ca="1">IF(ISNUMBER(MATCH(DATEVALUE($A153),'recurring1_based on steps'!AY$1:AY$400,0)),AY$2,)</f>
        <v>0</v>
      </c>
    </row>
    <row r="154" spans="1:51" x14ac:dyDescent="0.2">
      <c r="A154" s="18" t="str">
        <f t="shared" ca="1" si="2"/>
        <v>2025-07-02</v>
      </c>
      <c r="B154" s="155">
        <f ca="1">IF(ISNUMBER(MATCH(DATEVALUE($A154),'recurring1_based on steps'!B$1:B$400,0)),B$2,)</f>
        <v>0</v>
      </c>
      <c r="C154" s="155">
        <f ca="1">IF(ISNUMBER(MATCH(DATEVALUE($A154),'recurring1_based on steps'!C$1:C$400,0)),C$2,)</f>
        <v>0</v>
      </c>
      <c r="D154" s="155">
        <f ca="1">IF(ISNUMBER(MATCH(DATEVALUE($A154),'recurring1_based on steps'!D$1:D$400,0)),D$2,)</f>
        <v>0</v>
      </c>
      <c r="E154" s="155">
        <f ca="1">IF(ISNUMBER(MATCH(DATEVALUE($A154),'recurring1_based on steps'!E$1:E$400,0)),E$2,)</f>
        <v>0</v>
      </c>
      <c r="F154" s="155">
        <f ca="1">IF(ISNUMBER(MATCH(DATEVALUE($A154),'recurring1_based on steps'!F$1:F$400,0)),F$2,)</f>
        <v>0</v>
      </c>
      <c r="G154" s="155">
        <f ca="1">IF(ISNUMBER(MATCH(DATEVALUE($A154),'recurring1_based on steps'!G$1:G$400,0)),G$2,)</f>
        <v>0</v>
      </c>
      <c r="H154" s="155">
        <f ca="1">IF(ISNUMBER(MATCH(DATEVALUE($A154),'recurring1_based on steps'!H$1:H$400,0)),H$2,)</f>
        <v>0</v>
      </c>
      <c r="I154" s="155">
        <f ca="1">IF(ISNUMBER(MATCH(DATEVALUE($A154),'recurring1_based on steps'!I$1:I$400,0)),I$2,)</f>
        <v>0</v>
      </c>
      <c r="J154" s="155">
        <f ca="1">IF(ISNUMBER(MATCH(DATEVALUE($A154),'recurring1_based on steps'!J$1:J$400,0)),J$2,)</f>
        <v>0</v>
      </c>
      <c r="K154" s="155">
        <f ca="1">IF(ISNUMBER(MATCH(DATEVALUE($A154),'recurring1_based on steps'!K$1:K$400,0)),K$2,)</f>
        <v>0</v>
      </c>
      <c r="L154" s="155">
        <f ca="1">IF(ISNUMBER(MATCH(DATEVALUE($A154),'recurring1_based on steps'!L$1:L$400,0)),L$2,)</f>
        <v>0</v>
      </c>
      <c r="M154" s="155">
        <f ca="1">IF(ISNUMBER(MATCH(DATEVALUE($A154),'recurring1_based on steps'!M$1:M$400,0)),M$2,)</f>
        <v>0</v>
      </c>
      <c r="N154" s="155">
        <f ca="1">IF(ISNUMBER(MATCH(DATEVALUE($A154),'recurring1_based on steps'!N$1:N$400,0)),N$2,)</f>
        <v>0</v>
      </c>
      <c r="O154" s="155">
        <f ca="1">IF(ISNUMBER(MATCH(DATEVALUE($A154),'recurring1_based on steps'!O$1:O$400,0)),O$2,)</f>
        <v>0</v>
      </c>
      <c r="P154" s="155">
        <f ca="1">IF(ISNUMBER(MATCH(DATEVALUE($A154),'recurring1_based on steps'!P$1:P$400,0)),P$2,)</f>
        <v>0</v>
      </c>
      <c r="Q154" s="155">
        <f ca="1">IF(ISNUMBER(MATCH(DATEVALUE($A154),'recurring1_based on steps'!Q$1:Q$400,0)),Q$2,)</f>
        <v>0</v>
      </c>
      <c r="R154" s="155">
        <f ca="1">IF(ISNUMBER(MATCH(DATEVALUE($A154),'recurring1_based on steps'!R$1:R$400,0)),R$2,)</f>
        <v>0</v>
      </c>
      <c r="S154" s="155">
        <f ca="1">IF(ISNUMBER(MATCH(DATEVALUE($A154),'recurring1_based on steps'!S$1:S$400,0)),S$2,)</f>
        <v>0</v>
      </c>
      <c r="T154" s="155">
        <f ca="1">IF(ISNUMBER(MATCH(DATEVALUE($A154),'recurring1_based on steps'!T$1:T$400,0)),T$2,)</f>
        <v>0</v>
      </c>
      <c r="U154" s="155">
        <f ca="1">IF(ISNUMBER(MATCH(DATEVALUE($A154),'recurring1_based on steps'!U$1:U$400,0)),U$2,)</f>
        <v>0</v>
      </c>
      <c r="V154" s="155">
        <f ca="1">IF(ISNUMBER(MATCH(DATEVALUE($A154),'recurring1_based on steps'!V$1:V$400,0)),V$2,)</f>
        <v>0</v>
      </c>
      <c r="W154" s="155">
        <f ca="1">IF(ISNUMBER(MATCH(DATEVALUE($A154),'recurring1_based on steps'!W$1:W$400,0)),W$2,)</f>
        <v>0</v>
      </c>
      <c r="X154" s="155">
        <f ca="1">IF(ISNUMBER(MATCH(DATEVALUE($A154),'recurring1_based on steps'!X$1:X$400,0)),X$2,)</f>
        <v>0</v>
      </c>
      <c r="Y154" s="155">
        <f ca="1">IF(ISNUMBER(MATCH(DATEVALUE($A154),'recurring1_based on steps'!Y$1:Y$400,0)),Y$2,)</f>
        <v>0</v>
      </c>
      <c r="Z154" s="155">
        <f ca="1">IF(ISNUMBER(MATCH(DATEVALUE($A154),'recurring1_based on steps'!Z$1:Z$400,0)),Z$2,)</f>
        <v>0</v>
      </c>
      <c r="AA154" s="155">
        <f ca="1">IF(ISNUMBER(MATCH(DATEVALUE($A154),'recurring1_based on steps'!AA$1:AA$400,0)),AA$2,)</f>
        <v>0</v>
      </c>
      <c r="AB154" s="155">
        <f ca="1">IF(ISNUMBER(MATCH(DATEVALUE($A154),'recurring1_based on steps'!AB$1:AB$400,0)),AB$2,)</f>
        <v>0</v>
      </c>
      <c r="AC154" s="155">
        <f ca="1">IF(ISNUMBER(MATCH(DATEVALUE($A154),'recurring1_based on steps'!AC$1:AC$400,0)),AC$2,)</f>
        <v>0</v>
      </c>
      <c r="AD154" s="155">
        <f ca="1">IF(ISNUMBER(MATCH(DATEVALUE($A154),'recurring1_based on steps'!AD$1:AD$400,0)),AD$2,)</f>
        <v>0</v>
      </c>
      <c r="AE154" s="155">
        <f ca="1">IF(ISNUMBER(MATCH(DATEVALUE($A154),'recurring1_based on steps'!AE$1:AE$400,0)),AE$2,)</f>
        <v>0</v>
      </c>
      <c r="AF154" s="155">
        <f ca="1">IF(ISNUMBER(MATCH(DATEVALUE($A154),'recurring1_based on steps'!AF$1:AF$400,0)),AF$2,)</f>
        <v>0</v>
      </c>
      <c r="AG154" s="155">
        <f ca="1">IF(ISNUMBER(MATCH(DATEVALUE($A154),'recurring1_based on steps'!AG$1:AG$400,0)),AG$2,)</f>
        <v>0</v>
      </c>
      <c r="AH154" s="155">
        <f ca="1">IF(ISNUMBER(MATCH(DATEVALUE($A154),'recurring1_based on steps'!AH$1:AH$400,0)),AH$2,)</f>
        <v>0</v>
      </c>
      <c r="AI154" s="155">
        <f ca="1">IF(ISNUMBER(MATCH(DATEVALUE($A154),'recurring1_based on steps'!AI$1:AI$400,0)),AI$2,)</f>
        <v>0</v>
      </c>
      <c r="AJ154" s="155">
        <f ca="1">IF(ISNUMBER(MATCH(DATEVALUE($A154),'recurring1_based on steps'!AJ$1:AJ$400,0)),AJ$2,)</f>
        <v>0</v>
      </c>
      <c r="AK154" s="155">
        <f ca="1">IF(ISNUMBER(MATCH(DATEVALUE($A154),'recurring1_based on steps'!AK$1:AK$400,0)),AK$2,)</f>
        <v>0</v>
      </c>
      <c r="AL154" s="155">
        <f ca="1">IF(ISNUMBER(MATCH(DATEVALUE($A154),'recurring1_based on steps'!AL$1:AL$400,0)),AL$2,)</f>
        <v>0</v>
      </c>
      <c r="AM154" s="155">
        <f ca="1">IF(ISNUMBER(MATCH(DATEVALUE($A154),'recurring1_based on steps'!AM$1:AM$400,0)),AM$2,)</f>
        <v>0</v>
      </c>
      <c r="AN154" s="155">
        <f ca="1">IF(ISNUMBER(MATCH(DATEVALUE($A154),'recurring1_based on steps'!AN$1:AN$400,0)),AN$2,)</f>
        <v>0</v>
      </c>
      <c r="AO154" s="155">
        <f ca="1">IF(ISNUMBER(MATCH(DATEVALUE($A154),'recurring1_based on steps'!AO$1:AO$400,0)),AO$2,)</f>
        <v>0</v>
      </c>
      <c r="AP154" s="155">
        <f ca="1">IF(ISNUMBER(MATCH(DATEVALUE($A154),'recurring1_based on steps'!AP$1:AP$400,0)),AP$2,)</f>
        <v>0</v>
      </c>
      <c r="AQ154" s="155">
        <f ca="1">IF(ISNUMBER(MATCH(DATEVALUE($A154),'recurring1_based on steps'!AQ$1:AQ$400,0)),AQ$2,)</f>
        <v>0</v>
      </c>
      <c r="AR154" s="155">
        <f ca="1">IF(ISNUMBER(MATCH(DATEVALUE($A154),'recurring1_based on steps'!AR$1:AR$400,0)),AR$2,)</f>
        <v>0</v>
      </c>
      <c r="AS154" s="155">
        <f ca="1">IF(ISNUMBER(MATCH(DATEVALUE($A154),'recurring1_based on steps'!AS$1:AS$400,0)),AS$2,)</f>
        <v>0</v>
      </c>
      <c r="AT154" s="155">
        <f ca="1">IF(ISNUMBER(MATCH(DATEVALUE($A154),'recurring1_based on steps'!AT$1:AT$400,0)),AT$2,)</f>
        <v>0</v>
      </c>
      <c r="AU154" s="155">
        <f ca="1">IF(ISNUMBER(MATCH(DATEVALUE($A154),'recurring1_based on steps'!AU$1:AU$400,0)),AU$2,)</f>
        <v>0</v>
      </c>
      <c r="AV154" s="155">
        <f ca="1">IF(ISNUMBER(MATCH(DATEVALUE($A154),'recurring1_based on steps'!AV$1:AV$400,0)),AV$2,)</f>
        <v>0</v>
      </c>
      <c r="AW154" s="155">
        <f ca="1">IF(ISNUMBER(MATCH(DATEVALUE($A154),'recurring1_based on steps'!AW$1:AW$400,0)),AW$2,)</f>
        <v>0</v>
      </c>
      <c r="AX154" s="155">
        <f ca="1">IF(ISNUMBER(MATCH(DATEVALUE($A154),'recurring1_based on steps'!AX$1:AX$400,0)),AX$2,)</f>
        <v>0</v>
      </c>
      <c r="AY154" s="155">
        <f ca="1">IF(ISNUMBER(MATCH(DATEVALUE($A154),'recurring1_based on steps'!AY$1:AY$400,0)),AY$2,)</f>
        <v>0</v>
      </c>
    </row>
    <row r="155" spans="1:51" x14ac:dyDescent="0.2">
      <c r="A155" s="18" t="str">
        <f t="shared" ca="1" si="2"/>
        <v>2025-07-03</v>
      </c>
      <c r="B155" s="155">
        <f ca="1">IF(ISNUMBER(MATCH(DATEVALUE($A155),'recurring1_based on steps'!B$1:B$400,0)),B$2,)</f>
        <v>0</v>
      </c>
      <c r="C155" s="155">
        <f ca="1">IF(ISNUMBER(MATCH(DATEVALUE($A155),'recurring1_based on steps'!C$1:C$400,0)),C$2,)</f>
        <v>0</v>
      </c>
      <c r="D155" s="155">
        <f ca="1">IF(ISNUMBER(MATCH(DATEVALUE($A155),'recurring1_based on steps'!D$1:D$400,0)),D$2,)</f>
        <v>0</v>
      </c>
      <c r="E155" s="155">
        <f ca="1">IF(ISNUMBER(MATCH(DATEVALUE($A155),'recurring1_based on steps'!E$1:E$400,0)),E$2,)</f>
        <v>0</v>
      </c>
      <c r="F155" s="155">
        <f ca="1">IF(ISNUMBER(MATCH(DATEVALUE($A155),'recurring1_based on steps'!F$1:F$400,0)),F$2,)</f>
        <v>0</v>
      </c>
      <c r="G155" s="155">
        <f ca="1">IF(ISNUMBER(MATCH(DATEVALUE($A155),'recurring1_based on steps'!G$1:G$400,0)),G$2,)</f>
        <v>0</v>
      </c>
      <c r="H155" s="155">
        <f ca="1">IF(ISNUMBER(MATCH(DATEVALUE($A155),'recurring1_based on steps'!H$1:H$400,0)),H$2,)</f>
        <v>0</v>
      </c>
      <c r="I155" s="155">
        <f ca="1">IF(ISNUMBER(MATCH(DATEVALUE($A155),'recurring1_based on steps'!I$1:I$400,0)),I$2,)</f>
        <v>0</v>
      </c>
      <c r="J155" s="155">
        <f ca="1">IF(ISNUMBER(MATCH(DATEVALUE($A155),'recurring1_based on steps'!J$1:J$400,0)),J$2,)</f>
        <v>0</v>
      </c>
      <c r="K155" s="155">
        <f ca="1">IF(ISNUMBER(MATCH(DATEVALUE($A155),'recurring1_based on steps'!K$1:K$400,0)),K$2,)</f>
        <v>0</v>
      </c>
      <c r="L155" s="155">
        <f ca="1">IF(ISNUMBER(MATCH(DATEVALUE($A155),'recurring1_based on steps'!L$1:L$400,0)),L$2,)</f>
        <v>0</v>
      </c>
      <c r="M155" s="155">
        <f ca="1">IF(ISNUMBER(MATCH(DATEVALUE($A155),'recurring1_based on steps'!M$1:M$400,0)),M$2,)</f>
        <v>0</v>
      </c>
      <c r="N155" s="155">
        <f ca="1">IF(ISNUMBER(MATCH(DATEVALUE($A155),'recurring1_based on steps'!N$1:N$400,0)),N$2,)</f>
        <v>0</v>
      </c>
      <c r="O155" s="155">
        <f ca="1">IF(ISNUMBER(MATCH(DATEVALUE($A155),'recurring1_based on steps'!O$1:O$400,0)),O$2,)</f>
        <v>0</v>
      </c>
      <c r="P155" s="155">
        <f ca="1">IF(ISNUMBER(MATCH(DATEVALUE($A155),'recurring1_based on steps'!P$1:P$400,0)),P$2,)</f>
        <v>0</v>
      </c>
      <c r="Q155" s="155">
        <f ca="1">IF(ISNUMBER(MATCH(DATEVALUE($A155),'recurring1_based on steps'!Q$1:Q$400,0)),Q$2,)</f>
        <v>0</v>
      </c>
      <c r="R155" s="155">
        <f ca="1">IF(ISNUMBER(MATCH(DATEVALUE($A155),'recurring1_based on steps'!R$1:R$400,0)),R$2,)</f>
        <v>0</v>
      </c>
      <c r="S155" s="155">
        <f ca="1">IF(ISNUMBER(MATCH(DATEVALUE($A155),'recurring1_based on steps'!S$1:S$400,0)),S$2,)</f>
        <v>0</v>
      </c>
      <c r="T155" s="155">
        <f ca="1">IF(ISNUMBER(MATCH(DATEVALUE($A155),'recurring1_based on steps'!T$1:T$400,0)),T$2,)</f>
        <v>0</v>
      </c>
      <c r="U155" s="155">
        <f ca="1">IF(ISNUMBER(MATCH(DATEVALUE($A155),'recurring1_based on steps'!U$1:U$400,0)),U$2,)</f>
        <v>0</v>
      </c>
      <c r="V155" s="155">
        <f ca="1">IF(ISNUMBER(MATCH(DATEVALUE($A155),'recurring1_based on steps'!V$1:V$400,0)),V$2,)</f>
        <v>0</v>
      </c>
      <c r="W155" s="155">
        <f ca="1">IF(ISNUMBER(MATCH(DATEVALUE($A155),'recurring1_based on steps'!W$1:W$400,0)),W$2,)</f>
        <v>0</v>
      </c>
      <c r="X155" s="155">
        <f ca="1">IF(ISNUMBER(MATCH(DATEVALUE($A155),'recurring1_based on steps'!X$1:X$400,0)),X$2,)</f>
        <v>0</v>
      </c>
      <c r="Y155" s="155">
        <f ca="1">IF(ISNUMBER(MATCH(DATEVALUE($A155),'recurring1_based on steps'!Y$1:Y$400,0)),Y$2,)</f>
        <v>0</v>
      </c>
      <c r="Z155" s="155">
        <f ca="1">IF(ISNUMBER(MATCH(DATEVALUE($A155),'recurring1_based on steps'!Z$1:Z$400,0)),Z$2,)</f>
        <v>0</v>
      </c>
      <c r="AA155" s="155">
        <f ca="1">IF(ISNUMBER(MATCH(DATEVALUE($A155),'recurring1_based on steps'!AA$1:AA$400,0)),AA$2,)</f>
        <v>0</v>
      </c>
      <c r="AB155" s="155">
        <f ca="1">IF(ISNUMBER(MATCH(DATEVALUE($A155),'recurring1_based on steps'!AB$1:AB$400,0)),AB$2,)</f>
        <v>0</v>
      </c>
      <c r="AC155" s="155">
        <f ca="1">IF(ISNUMBER(MATCH(DATEVALUE($A155),'recurring1_based on steps'!AC$1:AC$400,0)),AC$2,)</f>
        <v>0</v>
      </c>
      <c r="AD155" s="155">
        <f ca="1">IF(ISNUMBER(MATCH(DATEVALUE($A155),'recurring1_based on steps'!AD$1:AD$400,0)),AD$2,)</f>
        <v>0</v>
      </c>
      <c r="AE155" s="155">
        <f ca="1">IF(ISNUMBER(MATCH(DATEVALUE($A155),'recurring1_based on steps'!AE$1:AE$400,0)),AE$2,)</f>
        <v>0</v>
      </c>
      <c r="AF155" s="155">
        <f ca="1">IF(ISNUMBER(MATCH(DATEVALUE($A155),'recurring1_based on steps'!AF$1:AF$400,0)),AF$2,)</f>
        <v>0</v>
      </c>
      <c r="AG155" s="155">
        <f ca="1">IF(ISNUMBER(MATCH(DATEVALUE($A155),'recurring1_based on steps'!AG$1:AG$400,0)),AG$2,)</f>
        <v>0</v>
      </c>
      <c r="AH155" s="155">
        <f ca="1">IF(ISNUMBER(MATCH(DATEVALUE($A155),'recurring1_based on steps'!AH$1:AH$400,0)),AH$2,)</f>
        <v>0</v>
      </c>
      <c r="AI155" s="155">
        <f ca="1">IF(ISNUMBER(MATCH(DATEVALUE($A155),'recurring1_based on steps'!AI$1:AI$400,0)),AI$2,)</f>
        <v>0</v>
      </c>
      <c r="AJ155" s="155">
        <f ca="1">IF(ISNUMBER(MATCH(DATEVALUE($A155),'recurring1_based on steps'!AJ$1:AJ$400,0)),AJ$2,)</f>
        <v>0</v>
      </c>
      <c r="AK155" s="155">
        <f ca="1">IF(ISNUMBER(MATCH(DATEVALUE($A155),'recurring1_based on steps'!AK$1:AK$400,0)),AK$2,)</f>
        <v>0</v>
      </c>
      <c r="AL155" s="155">
        <f ca="1">IF(ISNUMBER(MATCH(DATEVALUE($A155),'recurring1_based on steps'!AL$1:AL$400,0)),AL$2,)</f>
        <v>0</v>
      </c>
      <c r="AM155" s="155">
        <f ca="1">IF(ISNUMBER(MATCH(DATEVALUE($A155),'recurring1_based on steps'!AM$1:AM$400,0)),AM$2,)</f>
        <v>0</v>
      </c>
      <c r="AN155" s="155">
        <f ca="1">IF(ISNUMBER(MATCH(DATEVALUE($A155),'recurring1_based on steps'!AN$1:AN$400,0)),AN$2,)</f>
        <v>0</v>
      </c>
      <c r="AO155" s="155">
        <f ca="1">IF(ISNUMBER(MATCH(DATEVALUE($A155),'recurring1_based on steps'!AO$1:AO$400,0)),AO$2,)</f>
        <v>0</v>
      </c>
      <c r="AP155" s="155">
        <f ca="1">IF(ISNUMBER(MATCH(DATEVALUE($A155),'recurring1_based on steps'!AP$1:AP$400,0)),AP$2,)</f>
        <v>0</v>
      </c>
      <c r="AQ155" s="155">
        <f ca="1">IF(ISNUMBER(MATCH(DATEVALUE($A155),'recurring1_based on steps'!AQ$1:AQ$400,0)),AQ$2,)</f>
        <v>0</v>
      </c>
      <c r="AR155" s="155">
        <f ca="1">IF(ISNUMBER(MATCH(DATEVALUE($A155),'recurring1_based on steps'!AR$1:AR$400,0)),AR$2,)</f>
        <v>0</v>
      </c>
      <c r="AS155" s="155">
        <f ca="1">IF(ISNUMBER(MATCH(DATEVALUE($A155),'recurring1_based on steps'!AS$1:AS$400,0)),AS$2,)</f>
        <v>0</v>
      </c>
      <c r="AT155" s="155">
        <f ca="1">IF(ISNUMBER(MATCH(DATEVALUE($A155),'recurring1_based on steps'!AT$1:AT$400,0)),AT$2,)</f>
        <v>0</v>
      </c>
      <c r="AU155" s="155">
        <f ca="1">IF(ISNUMBER(MATCH(DATEVALUE($A155),'recurring1_based on steps'!AU$1:AU$400,0)),AU$2,)</f>
        <v>0</v>
      </c>
      <c r="AV155" s="155">
        <f ca="1">IF(ISNUMBER(MATCH(DATEVALUE($A155),'recurring1_based on steps'!AV$1:AV$400,0)),AV$2,)</f>
        <v>0</v>
      </c>
      <c r="AW155" s="155">
        <f ca="1">IF(ISNUMBER(MATCH(DATEVALUE($A155),'recurring1_based on steps'!AW$1:AW$400,0)),AW$2,)</f>
        <v>0</v>
      </c>
      <c r="AX155" s="155">
        <f ca="1">IF(ISNUMBER(MATCH(DATEVALUE($A155),'recurring1_based on steps'!AX$1:AX$400,0)),AX$2,)</f>
        <v>0</v>
      </c>
      <c r="AY155" s="155">
        <f ca="1">IF(ISNUMBER(MATCH(DATEVALUE($A155),'recurring1_based on steps'!AY$1:AY$400,0)),AY$2,)</f>
        <v>0</v>
      </c>
    </row>
    <row r="156" spans="1:51" x14ac:dyDescent="0.2">
      <c r="A156" s="18" t="str">
        <f t="shared" ca="1" si="2"/>
        <v>2025-07-04</v>
      </c>
      <c r="B156" s="155">
        <f ca="1">IF(ISNUMBER(MATCH(DATEVALUE($A156),'recurring1_based on steps'!B$1:B$400,0)),B$2,)</f>
        <v>0</v>
      </c>
      <c r="C156" s="155">
        <f ca="1">IF(ISNUMBER(MATCH(DATEVALUE($A156),'recurring1_based on steps'!C$1:C$400,0)),C$2,)</f>
        <v>0</v>
      </c>
      <c r="D156" s="155">
        <f ca="1">IF(ISNUMBER(MATCH(DATEVALUE($A156),'recurring1_based on steps'!D$1:D$400,0)),D$2,)</f>
        <v>0</v>
      </c>
      <c r="E156" s="155">
        <f ca="1">IF(ISNUMBER(MATCH(DATEVALUE($A156),'recurring1_based on steps'!E$1:E$400,0)),E$2,)</f>
        <v>0</v>
      </c>
      <c r="F156" s="155">
        <f ca="1">IF(ISNUMBER(MATCH(DATEVALUE($A156),'recurring1_based on steps'!F$1:F$400,0)),F$2,)</f>
        <v>0</v>
      </c>
      <c r="G156" s="155">
        <f ca="1">IF(ISNUMBER(MATCH(DATEVALUE($A156),'recurring1_based on steps'!G$1:G$400,0)),G$2,)</f>
        <v>0</v>
      </c>
      <c r="H156" s="155">
        <f ca="1">IF(ISNUMBER(MATCH(DATEVALUE($A156),'recurring1_based on steps'!H$1:H$400,0)),H$2,)</f>
        <v>0</v>
      </c>
      <c r="I156" s="155">
        <f ca="1">IF(ISNUMBER(MATCH(DATEVALUE($A156),'recurring1_based on steps'!I$1:I$400,0)),I$2,)</f>
        <v>0</v>
      </c>
      <c r="J156" s="155">
        <f ca="1">IF(ISNUMBER(MATCH(DATEVALUE($A156),'recurring1_based on steps'!J$1:J$400,0)),J$2,)</f>
        <v>0</v>
      </c>
      <c r="K156" s="155">
        <f ca="1">IF(ISNUMBER(MATCH(DATEVALUE($A156),'recurring1_based on steps'!K$1:K$400,0)),K$2,)</f>
        <v>0</v>
      </c>
      <c r="L156" s="155">
        <f ca="1">IF(ISNUMBER(MATCH(DATEVALUE($A156),'recurring1_based on steps'!L$1:L$400,0)),L$2,)</f>
        <v>0</v>
      </c>
      <c r="M156" s="155">
        <f ca="1">IF(ISNUMBER(MATCH(DATEVALUE($A156),'recurring1_based on steps'!M$1:M$400,0)),M$2,)</f>
        <v>15</v>
      </c>
      <c r="N156" s="155">
        <f ca="1">IF(ISNUMBER(MATCH(DATEVALUE($A156),'recurring1_based on steps'!N$1:N$400,0)),N$2,)</f>
        <v>0</v>
      </c>
      <c r="O156" s="155">
        <f ca="1">IF(ISNUMBER(MATCH(DATEVALUE($A156),'recurring1_based on steps'!O$1:O$400,0)),O$2,)</f>
        <v>0</v>
      </c>
      <c r="P156" s="155">
        <f ca="1">IF(ISNUMBER(MATCH(DATEVALUE($A156),'recurring1_based on steps'!P$1:P$400,0)),P$2,)</f>
        <v>0</v>
      </c>
      <c r="Q156" s="155">
        <f ca="1">IF(ISNUMBER(MATCH(DATEVALUE($A156),'recurring1_based on steps'!Q$1:Q$400,0)),Q$2,)</f>
        <v>0</v>
      </c>
      <c r="R156" s="155">
        <f ca="1">IF(ISNUMBER(MATCH(DATEVALUE($A156),'recurring1_based on steps'!R$1:R$400,0)),R$2,)</f>
        <v>0</v>
      </c>
      <c r="S156" s="155">
        <f ca="1">IF(ISNUMBER(MATCH(DATEVALUE($A156),'recurring1_based on steps'!S$1:S$400,0)),S$2,)</f>
        <v>0</v>
      </c>
      <c r="T156" s="155">
        <f ca="1">IF(ISNUMBER(MATCH(DATEVALUE($A156),'recurring1_based on steps'!T$1:T$400,0)),T$2,)</f>
        <v>0</v>
      </c>
      <c r="U156" s="155">
        <f ca="1">IF(ISNUMBER(MATCH(DATEVALUE($A156),'recurring1_based on steps'!U$1:U$400,0)),U$2,)</f>
        <v>0</v>
      </c>
      <c r="V156" s="155">
        <f ca="1">IF(ISNUMBER(MATCH(DATEVALUE($A156),'recurring1_based on steps'!V$1:V$400,0)),V$2,)</f>
        <v>0</v>
      </c>
      <c r="W156" s="155">
        <f ca="1">IF(ISNUMBER(MATCH(DATEVALUE($A156),'recurring1_based on steps'!W$1:W$400,0)),W$2,)</f>
        <v>0</v>
      </c>
      <c r="X156" s="155">
        <f ca="1">IF(ISNUMBER(MATCH(DATEVALUE($A156),'recurring1_based on steps'!X$1:X$400,0)),X$2,)</f>
        <v>0</v>
      </c>
      <c r="Y156" s="155">
        <f ca="1">IF(ISNUMBER(MATCH(DATEVALUE($A156),'recurring1_based on steps'!Y$1:Y$400,0)),Y$2,)</f>
        <v>0</v>
      </c>
      <c r="Z156" s="155">
        <f ca="1">IF(ISNUMBER(MATCH(DATEVALUE($A156),'recurring1_based on steps'!Z$1:Z$400,0)),Z$2,)</f>
        <v>0</v>
      </c>
      <c r="AA156" s="155">
        <f ca="1">IF(ISNUMBER(MATCH(DATEVALUE($A156),'recurring1_based on steps'!AA$1:AA$400,0)),AA$2,)</f>
        <v>0</v>
      </c>
      <c r="AB156" s="155">
        <f ca="1">IF(ISNUMBER(MATCH(DATEVALUE($A156),'recurring1_based on steps'!AB$1:AB$400,0)),AB$2,)</f>
        <v>0</v>
      </c>
      <c r="AC156" s="155">
        <f ca="1">IF(ISNUMBER(MATCH(DATEVALUE($A156),'recurring1_based on steps'!AC$1:AC$400,0)),AC$2,)</f>
        <v>0</v>
      </c>
      <c r="AD156" s="155">
        <f ca="1">IF(ISNUMBER(MATCH(DATEVALUE($A156),'recurring1_based on steps'!AD$1:AD$400,0)),AD$2,)</f>
        <v>0</v>
      </c>
      <c r="AE156" s="155">
        <f ca="1">IF(ISNUMBER(MATCH(DATEVALUE($A156),'recurring1_based on steps'!AE$1:AE$400,0)),AE$2,)</f>
        <v>0</v>
      </c>
      <c r="AF156" s="155">
        <f ca="1">IF(ISNUMBER(MATCH(DATEVALUE($A156),'recurring1_based on steps'!AF$1:AF$400,0)),AF$2,)</f>
        <v>0</v>
      </c>
      <c r="AG156" s="155">
        <f ca="1">IF(ISNUMBER(MATCH(DATEVALUE($A156),'recurring1_based on steps'!AG$1:AG$400,0)),AG$2,)</f>
        <v>0</v>
      </c>
      <c r="AH156" s="155">
        <f ca="1">IF(ISNUMBER(MATCH(DATEVALUE($A156),'recurring1_based on steps'!AH$1:AH$400,0)),AH$2,)</f>
        <v>0</v>
      </c>
      <c r="AI156" s="155">
        <f ca="1">IF(ISNUMBER(MATCH(DATEVALUE($A156),'recurring1_based on steps'!AI$1:AI$400,0)),AI$2,)</f>
        <v>0</v>
      </c>
      <c r="AJ156" s="155">
        <f ca="1">IF(ISNUMBER(MATCH(DATEVALUE($A156),'recurring1_based on steps'!AJ$1:AJ$400,0)),AJ$2,)</f>
        <v>0</v>
      </c>
      <c r="AK156" s="155">
        <f ca="1">IF(ISNUMBER(MATCH(DATEVALUE($A156),'recurring1_based on steps'!AK$1:AK$400,0)),AK$2,)</f>
        <v>0</v>
      </c>
      <c r="AL156" s="155">
        <f ca="1">IF(ISNUMBER(MATCH(DATEVALUE($A156),'recurring1_based on steps'!AL$1:AL$400,0)),AL$2,)</f>
        <v>0</v>
      </c>
      <c r="AM156" s="155">
        <f ca="1">IF(ISNUMBER(MATCH(DATEVALUE($A156),'recurring1_based on steps'!AM$1:AM$400,0)),AM$2,)</f>
        <v>0</v>
      </c>
      <c r="AN156" s="155">
        <f ca="1">IF(ISNUMBER(MATCH(DATEVALUE($A156),'recurring1_based on steps'!AN$1:AN$400,0)),AN$2,)</f>
        <v>0</v>
      </c>
      <c r="AO156" s="155">
        <f ca="1">IF(ISNUMBER(MATCH(DATEVALUE($A156),'recurring1_based on steps'!AO$1:AO$400,0)),AO$2,)</f>
        <v>0</v>
      </c>
      <c r="AP156" s="155">
        <f ca="1">IF(ISNUMBER(MATCH(DATEVALUE($A156),'recurring1_based on steps'!AP$1:AP$400,0)),AP$2,)</f>
        <v>0</v>
      </c>
      <c r="AQ156" s="155">
        <f ca="1">IF(ISNUMBER(MATCH(DATEVALUE($A156),'recurring1_based on steps'!AQ$1:AQ$400,0)),AQ$2,)</f>
        <v>0</v>
      </c>
      <c r="AR156" s="155">
        <f ca="1">IF(ISNUMBER(MATCH(DATEVALUE($A156),'recurring1_based on steps'!AR$1:AR$400,0)),AR$2,)</f>
        <v>0</v>
      </c>
      <c r="AS156" s="155">
        <f ca="1">IF(ISNUMBER(MATCH(DATEVALUE($A156),'recurring1_based on steps'!AS$1:AS$400,0)),AS$2,)</f>
        <v>0</v>
      </c>
      <c r="AT156" s="155">
        <f ca="1">IF(ISNUMBER(MATCH(DATEVALUE($A156),'recurring1_based on steps'!AT$1:AT$400,0)),AT$2,)</f>
        <v>0</v>
      </c>
      <c r="AU156" s="155">
        <f ca="1">IF(ISNUMBER(MATCH(DATEVALUE($A156),'recurring1_based on steps'!AU$1:AU$400,0)),AU$2,)</f>
        <v>0</v>
      </c>
      <c r="AV156" s="155">
        <f ca="1">IF(ISNUMBER(MATCH(DATEVALUE($A156),'recurring1_based on steps'!AV$1:AV$400,0)),AV$2,)</f>
        <v>0</v>
      </c>
      <c r="AW156" s="155">
        <f ca="1">IF(ISNUMBER(MATCH(DATEVALUE($A156),'recurring1_based on steps'!AW$1:AW$400,0)),AW$2,)</f>
        <v>0</v>
      </c>
      <c r="AX156" s="155">
        <f ca="1">IF(ISNUMBER(MATCH(DATEVALUE($A156),'recurring1_based on steps'!AX$1:AX$400,0)),AX$2,)</f>
        <v>0</v>
      </c>
      <c r="AY156" s="155">
        <f ca="1">IF(ISNUMBER(MATCH(DATEVALUE($A156),'recurring1_based on steps'!AY$1:AY$400,0)),AY$2,)</f>
        <v>0</v>
      </c>
    </row>
    <row r="157" spans="1:51" x14ac:dyDescent="0.2">
      <c r="A157" s="18" t="str">
        <f t="shared" ca="1" si="2"/>
        <v>2025-07-05</v>
      </c>
      <c r="B157" s="155">
        <f ca="1">IF(ISNUMBER(MATCH(DATEVALUE($A157),'recurring1_based on steps'!B$1:B$400,0)),B$2,)</f>
        <v>0</v>
      </c>
      <c r="C157" s="155">
        <f ca="1">IF(ISNUMBER(MATCH(DATEVALUE($A157),'recurring1_based on steps'!C$1:C$400,0)),C$2,)</f>
        <v>0</v>
      </c>
      <c r="D157" s="155">
        <f ca="1">IF(ISNUMBER(MATCH(DATEVALUE($A157),'recurring1_based on steps'!D$1:D$400,0)),D$2,)</f>
        <v>0</v>
      </c>
      <c r="E157" s="155">
        <f ca="1">IF(ISNUMBER(MATCH(DATEVALUE($A157),'recurring1_based on steps'!E$1:E$400,0)),E$2,)</f>
        <v>0</v>
      </c>
      <c r="F157" s="155">
        <f ca="1">IF(ISNUMBER(MATCH(DATEVALUE($A157),'recurring1_based on steps'!F$1:F$400,0)),F$2,)</f>
        <v>0</v>
      </c>
      <c r="G157" s="155">
        <f ca="1">IF(ISNUMBER(MATCH(DATEVALUE($A157),'recurring1_based on steps'!G$1:G$400,0)),G$2,)</f>
        <v>0</v>
      </c>
      <c r="H157" s="155">
        <f ca="1">IF(ISNUMBER(MATCH(DATEVALUE($A157),'recurring1_based on steps'!H$1:H$400,0)),H$2,)</f>
        <v>0</v>
      </c>
      <c r="I157" s="155">
        <f ca="1">IF(ISNUMBER(MATCH(DATEVALUE($A157),'recurring1_based on steps'!I$1:I$400,0)),I$2,)</f>
        <v>0</v>
      </c>
      <c r="J157" s="155">
        <f ca="1">IF(ISNUMBER(MATCH(DATEVALUE($A157),'recurring1_based on steps'!J$1:J$400,0)),J$2,)</f>
        <v>0</v>
      </c>
      <c r="K157" s="155">
        <f ca="1">IF(ISNUMBER(MATCH(DATEVALUE($A157),'recurring1_based on steps'!K$1:K$400,0)),K$2,)</f>
        <v>0</v>
      </c>
      <c r="L157" s="155">
        <f ca="1">IF(ISNUMBER(MATCH(DATEVALUE($A157),'recurring1_based on steps'!L$1:L$400,0)),L$2,)</f>
        <v>0</v>
      </c>
      <c r="M157" s="155">
        <f ca="1">IF(ISNUMBER(MATCH(DATEVALUE($A157),'recurring1_based on steps'!M$1:M$400,0)),M$2,)</f>
        <v>0</v>
      </c>
      <c r="N157" s="155">
        <f ca="1">IF(ISNUMBER(MATCH(DATEVALUE($A157),'recurring1_based on steps'!N$1:N$400,0)),N$2,)</f>
        <v>0</v>
      </c>
      <c r="O157" s="155">
        <f ca="1">IF(ISNUMBER(MATCH(DATEVALUE($A157),'recurring1_based on steps'!O$1:O$400,0)),O$2,)</f>
        <v>0</v>
      </c>
      <c r="P157" s="155">
        <f ca="1">IF(ISNUMBER(MATCH(DATEVALUE($A157),'recurring1_based on steps'!P$1:P$400,0)),P$2,)</f>
        <v>0</v>
      </c>
      <c r="Q157" s="155">
        <f ca="1">IF(ISNUMBER(MATCH(DATEVALUE($A157),'recurring1_based on steps'!Q$1:Q$400,0)),Q$2,)</f>
        <v>100</v>
      </c>
      <c r="R157" s="155">
        <f ca="1">IF(ISNUMBER(MATCH(DATEVALUE($A157),'recurring1_based on steps'!R$1:R$400,0)),R$2,)</f>
        <v>100</v>
      </c>
      <c r="S157" s="155">
        <f ca="1">IF(ISNUMBER(MATCH(DATEVALUE($A157),'recurring1_based on steps'!S$1:S$400,0)),S$2,)</f>
        <v>0</v>
      </c>
      <c r="T157" s="155">
        <f ca="1">IF(ISNUMBER(MATCH(DATEVALUE($A157),'recurring1_based on steps'!T$1:T$400,0)),T$2,)</f>
        <v>0</v>
      </c>
      <c r="U157" s="155">
        <f ca="1">IF(ISNUMBER(MATCH(DATEVALUE($A157),'recurring1_based on steps'!U$1:U$400,0)),U$2,)</f>
        <v>0</v>
      </c>
      <c r="V157" s="155">
        <f ca="1">IF(ISNUMBER(MATCH(DATEVALUE($A157),'recurring1_based on steps'!V$1:V$400,0)),V$2,)</f>
        <v>0</v>
      </c>
      <c r="W157" s="155">
        <f ca="1">IF(ISNUMBER(MATCH(DATEVALUE($A157),'recurring1_based on steps'!W$1:W$400,0)),W$2,)</f>
        <v>0</v>
      </c>
      <c r="X157" s="155">
        <f ca="1">IF(ISNUMBER(MATCH(DATEVALUE($A157),'recurring1_based on steps'!X$1:X$400,0)),X$2,)</f>
        <v>0</v>
      </c>
      <c r="Y157" s="155">
        <f ca="1">IF(ISNUMBER(MATCH(DATEVALUE($A157),'recurring1_based on steps'!Y$1:Y$400,0)),Y$2,)</f>
        <v>0</v>
      </c>
      <c r="Z157" s="155">
        <f ca="1">IF(ISNUMBER(MATCH(DATEVALUE($A157),'recurring1_based on steps'!Z$1:Z$400,0)),Z$2,)</f>
        <v>0</v>
      </c>
      <c r="AA157" s="155">
        <f ca="1">IF(ISNUMBER(MATCH(DATEVALUE($A157),'recurring1_based on steps'!AA$1:AA$400,0)),AA$2,)</f>
        <v>0</v>
      </c>
      <c r="AB157" s="155">
        <f ca="1">IF(ISNUMBER(MATCH(DATEVALUE($A157),'recurring1_based on steps'!AB$1:AB$400,0)),AB$2,)</f>
        <v>0</v>
      </c>
      <c r="AC157" s="155">
        <f ca="1">IF(ISNUMBER(MATCH(DATEVALUE($A157),'recurring1_based on steps'!AC$1:AC$400,0)),AC$2,)</f>
        <v>0</v>
      </c>
      <c r="AD157" s="155">
        <f ca="1">IF(ISNUMBER(MATCH(DATEVALUE($A157),'recurring1_based on steps'!AD$1:AD$400,0)),AD$2,)</f>
        <v>0</v>
      </c>
      <c r="AE157" s="155">
        <f ca="1">IF(ISNUMBER(MATCH(DATEVALUE($A157),'recurring1_based on steps'!AE$1:AE$400,0)),AE$2,)</f>
        <v>0</v>
      </c>
      <c r="AF157" s="155">
        <f ca="1">IF(ISNUMBER(MATCH(DATEVALUE($A157),'recurring1_based on steps'!AF$1:AF$400,0)),AF$2,)</f>
        <v>0</v>
      </c>
      <c r="AG157" s="155">
        <f ca="1">IF(ISNUMBER(MATCH(DATEVALUE($A157),'recurring1_based on steps'!AG$1:AG$400,0)),AG$2,)</f>
        <v>0</v>
      </c>
      <c r="AH157" s="155">
        <f ca="1">IF(ISNUMBER(MATCH(DATEVALUE($A157),'recurring1_based on steps'!AH$1:AH$400,0)),AH$2,)</f>
        <v>0</v>
      </c>
      <c r="AI157" s="155">
        <f ca="1">IF(ISNUMBER(MATCH(DATEVALUE($A157),'recurring1_based on steps'!AI$1:AI$400,0)),AI$2,)</f>
        <v>0</v>
      </c>
      <c r="AJ157" s="155">
        <f ca="1">IF(ISNUMBER(MATCH(DATEVALUE($A157),'recurring1_based on steps'!AJ$1:AJ$400,0)),AJ$2,)</f>
        <v>0</v>
      </c>
      <c r="AK157" s="155">
        <f ca="1">IF(ISNUMBER(MATCH(DATEVALUE($A157),'recurring1_based on steps'!AK$1:AK$400,0)),AK$2,)</f>
        <v>0</v>
      </c>
      <c r="AL157" s="155">
        <f ca="1">IF(ISNUMBER(MATCH(DATEVALUE($A157),'recurring1_based on steps'!AL$1:AL$400,0)),AL$2,)</f>
        <v>0</v>
      </c>
      <c r="AM157" s="155">
        <f ca="1">IF(ISNUMBER(MATCH(DATEVALUE($A157),'recurring1_based on steps'!AM$1:AM$400,0)),AM$2,)</f>
        <v>0</v>
      </c>
      <c r="AN157" s="155">
        <f ca="1">IF(ISNUMBER(MATCH(DATEVALUE($A157),'recurring1_based on steps'!AN$1:AN$400,0)),AN$2,)</f>
        <v>0</v>
      </c>
      <c r="AO157" s="155">
        <f ca="1">IF(ISNUMBER(MATCH(DATEVALUE($A157),'recurring1_based on steps'!AO$1:AO$400,0)),AO$2,)</f>
        <v>0</v>
      </c>
      <c r="AP157" s="155">
        <f ca="1">IF(ISNUMBER(MATCH(DATEVALUE($A157),'recurring1_based on steps'!AP$1:AP$400,0)),AP$2,)</f>
        <v>0</v>
      </c>
      <c r="AQ157" s="155">
        <f ca="1">IF(ISNUMBER(MATCH(DATEVALUE($A157),'recurring1_based on steps'!AQ$1:AQ$400,0)),AQ$2,)</f>
        <v>0</v>
      </c>
      <c r="AR157" s="155">
        <f ca="1">IF(ISNUMBER(MATCH(DATEVALUE($A157),'recurring1_based on steps'!AR$1:AR$400,0)),AR$2,)</f>
        <v>0</v>
      </c>
      <c r="AS157" s="155">
        <f ca="1">IF(ISNUMBER(MATCH(DATEVALUE($A157),'recurring1_based on steps'!AS$1:AS$400,0)),AS$2,)</f>
        <v>0</v>
      </c>
      <c r="AT157" s="155">
        <f ca="1">IF(ISNUMBER(MATCH(DATEVALUE($A157),'recurring1_based on steps'!AT$1:AT$400,0)),AT$2,)</f>
        <v>0</v>
      </c>
      <c r="AU157" s="155">
        <f ca="1">IF(ISNUMBER(MATCH(DATEVALUE($A157),'recurring1_based on steps'!AU$1:AU$400,0)),AU$2,)</f>
        <v>0</v>
      </c>
      <c r="AV157" s="155">
        <f ca="1">IF(ISNUMBER(MATCH(DATEVALUE($A157),'recurring1_based on steps'!AV$1:AV$400,0)),AV$2,)</f>
        <v>0</v>
      </c>
      <c r="AW157" s="155">
        <f ca="1">IF(ISNUMBER(MATCH(DATEVALUE($A157),'recurring1_based on steps'!AW$1:AW$400,0)),AW$2,)</f>
        <v>0</v>
      </c>
      <c r="AX157" s="155">
        <f ca="1">IF(ISNUMBER(MATCH(DATEVALUE($A157),'recurring1_based on steps'!AX$1:AX$400,0)),AX$2,)</f>
        <v>0</v>
      </c>
      <c r="AY157" s="155">
        <f ca="1">IF(ISNUMBER(MATCH(DATEVALUE($A157),'recurring1_based on steps'!AY$1:AY$400,0)),AY$2,)</f>
        <v>0</v>
      </c>
    </row>
    <row r="158" spans="1:51" x14ac:dyDescent="0.2">
      <c r="A158" s="18" t="str">
        <f t="shared" ca="1" si="2"/>
        <v>2025-07-06</v>
      </c>
      <c r="B158" s="155">
        <f ca="1">IF(ISNUMBER(MATCH(DATEVALUE($A158),'recurring1_based on steps'!B$1:B$400,0)),B$2,)</f>
        <v>0</v>
      </c>
      <c r="C158" s="155">
        <f ca="1">IF(ISNUMBER(MATCH(DATEVALUE($A158),'recurring1_based on steps'!C$1:C$400,0)),C$2,)</f>
        <v>0</v>
      </c>
      <c r="D158" s="155">
        <f ca="1">IF(ISNUMBER(MATCH(DATEVALUE($A158),'recurring1_based on steps'!D$1:D$400,0)),D$2,)</f>
        <v>0</v>
      </c>
      <c r="E158" s="155">
        <f ca="1">IF(ISNUMBER(MATCH(DATEVALUE($A158),'recurring1_based on steps'!E$1:E$400,0)),E$2,)</f>
        <v>0</v>
      </c>
      <c r="F158" s="155">
        <f ca="1">IF(ISNUMBER(MATCH(DATEVALUE($A158),'recurring1_based on steps'!F$1:F$400,0)),F$2,)</f>
        <v>0</v>
      </c>
      <c r="G158" s="155">
        <f ca="1">IF(ISNUMBER(MATCH(DATEVALUE($A158),'recurring1_based on steps'!G$1:G$400,0)),G$2,)</f>
        <v>0</v>
      </c>
      <c r="H158" s="155">
        <f ca="1">IF(ISNUMBER(MATCH(DATEVALUE($A158),'recurring1_based on steps'!H$1:H$400,0)),H$2,)</f>
        <v>0</v>
      </c>
      <c r="I158" s="155">
        <f ca="1">IF(ISNUMBER(MATCH(DATEVALUE($A158),'recurring1_based on steps'!I$1:I$400,0)),I$2,)</f>
        <v>0</v>
      </c>
      <c r="J158" s="155">
        <f ca="1">IF(ISNUMBER(MATCH(DATEVALUE($A158),'recurring1_based on steps'!J$1:J$400,0)),J$2,)</f>
        <v>0</v>
      </c>
      <c r="K158" s="155">
        <f ca="1">IF(ISNUMBER(MATCH(DATEVALUE($A158),'recurring1_based on steps'!K$1:K$400,0)),K$2,)</f>
        <v>50</v>
      </c>
      <c r="L158" s="155">
        <f ca="1">IF(ISNUMBER(MATCH(DATEVALUE($A158),'recurring1_based on steps'!L$1:L$400,0)),L$2,)</f>
        <v>0</v>
      </c>
      <c r="M158" s="155">
        <f ca="1">IF(ISNUMBER(MATCH(DATEVALUE($A158),'recurring1_based on steps'!M$1:M$400,0)),M$2,)</f>
        <v>0</v>
      </c>
      <c r="N158" s="155">
        <f ca="1">IF(ISNUMBER(MATCH(DATEVALUE($A158),'recurring1_based on steps'!N$1:N$400,0)),N$2,)</f>
        <v>0</v>
      </c>
      <c r="O158" s="155">
        <f ca="1">IF(ISNUMBER(MATCH(DATEVALUE($A158),'recurring1_based on steps'!O$1:O$400,0)),O$2,)</f>
        <v>0</v>
      </c>
      <c r="P158" s="155">
        <f ca="1">IF(ISNUMBER(MATCH(DATEVALUE($A158),'recurring1_based on steps'!P$1:P$400,0)),P$2,)</f>
        <v>0</v>
      </c>
      <c r="Q158" s="155">
        <f ca="1">IF(ISNUMBER(MATCH(DATEVALUE($A158),'recurring1_based on steps'!Q$1:Q$400,0)),Q$2,)</f>
        <v>0</v>
      </c>
      <c r="R158" s="155">
        <f ca="1">IF(ISNUMBER(MATCH(DATEVALUE($A158),'recurring1_based on steps'!R$1:R$400,0)),R$2,)</f>
        <v>0</v>
      </c>
      <c r="S158" s="155">
        <f ca="1">IF(ISNUMBER(MATCH(DATEVALUE($A158),'recurring1_based on steps'!S$1:S$400,0)),S$2,)</f>
        <v>100</v>
      </c>
      <c r="T158" s="155">
        <f ca="1">IF(ISNUMBER(MATCH(DATEVALUE($A158),'recurring1_based on steps'!T$1:T$400,0)),T$2,)</f>
        <v>0</v>
      </c>
      <c r="U158" s="155">
        <f ca="1">IF(ISNUMBER(MATCH(DATEVALUE($A158),'recurring1_based on steps'!U$1:U$400,0)),U$2,)</f>
        <v>0</v>
      </c>
      <c r="V158" s="155">
        <f ca="1">IF(ISNUMBER(MATCH(DATEVALUE($A158),'recurring1_based on steps'!V$1:V$400,0)),V$2,)</f>
        <v>0</v>
      </c>
      <c r="W158" s="155">
        <f ca="1">IF(ISNUMBER(MATCH(DATEVALUE($A158),'recurring1_based on steps'!W$1:W$400,0)),W$2,)</f>
        <v>0</v>
      </c>
      <c r="X158" s="155">
        <f ca="1">IF(ISNUMBER(MATCH(DATEVALUE($A158),'recurring1_based on steps'!X$1:X$400,0)),X$2,)</f>
        <v>0</v>
      </c>
      <c r="Y158" s="155">
        <f ca="1">IF(ISNUMBER(MATCH(DATEVALUE($A158),'recurring1_based on steps'!Y$1:Y$400,0)),Y$2,)</f>
        <v>0</v>
      </c>
      <c r="Z158" s="155">
        <f ca="1">IF(ISNUMBER(MATCH(DATEVALUE($A158),'recurring1_based on steps'!Z$1:Z$400,0)),Z$2,)</f>
        <v>0</v>
      </c>
      <c r="AA158" s="155">
        <f ca="1">IF(ISNUMBER(MATCH(DATEVALUE($A158),'recurring1_based on steps'!AA$1:AA$400,0)),AA$2,)</f>
        <v>0</v>
      </c>
      <c r="AB158" s="155">
        <f ca="1">IF(ISNUMBER(MATCH(DATEVALUE($A158),'recurring1_based on steps'!AB$1:AB$400,0)),AB$2,)</f>
        <v>0</v>
      </c>
      <c r="AC158" s="155">
        <f ca="1">IF(ISNUMBER(MATCH(DATEVALUE($A158),'recurring1_based on steps'!AC$1:AC$400,0)),AC$2,)</f>
        <v>0</v>
      </c>
      <c r="AD158" s="155">
        <f ca="1">IF(ISNUMBER(MATCH(DATEVALUE($A158),'recurring1_based on steps'!AD$1:AD$400,0)),AD$2,)</f>
        <v>0</v>
      </c>
      <c r="AE158" s="155">
        <f ca="1">IF(ISNUMBER(MATCH(DATEVALUE($A158),'recurring1_based on steps'!AE$1:AE$400,0)),AE$2,)</f>
        <v>0</v>
      </c>
      <c r="AF158" s="155">
        <f ca="1">IF(ISNUMBER(MATCH(DATEVALUE($A158),'recurring1_based on steps'!AF$1:AF$400,0)),AF$2,)</f>
        <v>0</v>
      </c>
      <c r="AG158" s="155">
        <f ca="1">IF(ISNUMBER(MATCH(DATEVALUE($A158),'recurring1_based on steps'!AG$1:AG$400,0)),AG$2,)</f>
        <v>0</v>
      </c>
      <c r="AH158" s="155">
        <f ca="1">IF(ISNUMBER(MATCH(DATEVALUE($A158),'recurring1_based on steps'!AH$1:AH$400,0)),AH$2,)</f>
        <v>0</v>
      </c>
      <c r="AI158" s="155">
        <f ca="1">IF(ISNUMBER(MATCH(DATEVALUE($A158),'recurring1_based on steps'!AI$1:AI$400,0)),AI$2,)</f>
        <v>0</v>
      </c>
      <c r="AJ158" s="155">
        <f ca="1">IF(ISNUMBER(MATCH(DATEVALUE($A158),'recurring1_based on steps'!AJ$1:AJ$400,0)),AJ$2,)</f>
        <v>0</v>
      </c>
      <c r="AK158" s="155">
        <f ca="1">IF(ISNUMBER(MATCH(DATEVALUE($A158),'recurring1_based on steps'!AK$1:AK$400,0)),AK$2,)</f>
        <v>0</v>
      </c>
      <c r="AL158" s="155">
        <f ca="1">IF(ISNUMBER(MATCH(DATEVALUE($A158),'recurring1_based on steps'!AL$1:AL$400,0)),AL$2,)</f>
        <v>0</v>
      </c>
      <c r="AM158" s="155">
        <f ca="1">IF(ISNUMBER(MATCH(DATEVALUE($A158),'recurring1_based on steps'!AM$1:AM$400,0)),AM$2,)</f>
        <v>0</v>
      </c>
      <c r="AN158" s="155">
        <f ca="1">IF(ISNUMBER(MATCH(DATEVALUE($A158),'recurring1_based on steps'!AN$1:AN$400,0)),AN$2,)</f>
        <v>0</v>
      </c>
      <c r="AO158" s="155">
        <f ca="1">IF(ISNUMBER(MATCH(DATEVALUE($A158),'recurring1_based on steps'!AO$1:AO$400,0)),AO$2,)</f>
        <v>0</v>
      </c>
      <c r="AP158" s="155">
        <f ca="1">IF(ISNUMBER(MATCH(DATEVALUE($A158),'recurring1_based on steps'!AP$1:AP$400,0)),AP$2,)</f>
        <v>0</v>
      </c>
      <c r="AQ158" s="155">
        <f ca="1">IF(ISNUMBER(MATCH(DATEVALUE($A158),'recurring1_based on steps'!AQ$1:AQ$400,0)),AQ$2,)</f>
        <v>0</v>
      </c>
      <c r="AR158" s="155">
        <f ca="1">IF(ISNUMBER(MATCH(DATEVALUE($A158),'recurring1_based on steps'!AR$1:AR$400,0)),AR$2,)</f>
        <v>0</v>
      </c>
      <c r="AS158" s="155">
        <f ca="1">IF(ISNUMBER(MATCH(DATEVALUE($A158),'recurring1_based on steps'!AS$1:AS$400,0)),AS$2,)</f>
        <v>0</v>
      </c>
      <c r="AT158" s="155">
        <f ca="1">IF(ISNUMBER(MATCH(DATEVALUE($A158),'recurring1_based on steps'!AT$1:AT$400,0)),AT$2,)</f>
        <v>0</v>
      </c>
      <c r="AU158" s="155">
        <f ca="1">IF(ISNUMBER(MATCH(DATEVALUE($A158),'recurring1_based on steps'!AU$1:AU$400,0)),AU$2,)</f>
        <v>0</v>
      </c>
      <c r="AV158" s="155">
        <f ca="1">IF(ISNUMBER(MATCH(DATEVALUE($A158),'recurring1_based on steps'!AV$1:AV$400,0)),AV$2,)</f>
        <v>0</v>
      </c>
      <c r="AW158" s="155">
        <f ca="1">IF(ISNUMBER(MATCH(DATEVALUE($A158),'recurring1_based on steps'!AW$1:AW$400,0)),AW$2,)</f>
        <v>0</v>
      </c>
      <c r="AX158" s="155">
        <f ca="1">IF(ISNUMBER(MATCH(DATEVALUE($A158),'recurring1_based on steps'!AX$1:AX$400,0)),AX$2,)</f>
        <v>0</v>
      </c>
      <c r="AY158" s="155">
        <f ca="1">IF(ISNUMBER(MATCH(DATEVALUE($A158),'recurring1_based on steps'!AY$1:AY$400,0)),AY$2,)</f>
        <v>0</v>
      </c>
    </row>
    <row r="159" spans="1:51" x14ac:dyDescent="0.2">
      <c r="A159" s="18" t="str">
        <f t="shared" ca="1" si="2"/>
        <v>2025-07-07</v>
      </c>
      <c r="B159" s="155">
        <f ca="1">IF(ISNUMBER(MATCH(DATEVALUE($A159),'recurring1_based on steps'!B$1:B$400,0)),B$2,)</f>
        <v>0</v>
      </c>
      <c r="C159" s="155">
        <f ca="1">IF(ISNUMBER(MATCH(DATEVALUE($A159),'recurring1_based on steps'!C$1:C$400,0)),C$2,)</f>
        <v>0</v>
      </c>
      <c r="D159" s="155">
        <f ca="1">IF(ISNUMBER(MATCH(DATEVALUE($A159),'recurring1_based on steps'!D$1:D$400,0)),D$2,)</f>
        <v>0</v>
      </c>
      <c r="E159" s="155">
        <f ca="1">IF(ISNUMBER(MATCH(DATEVALUE($A159),'recurring1_based on steps'!E$1:E$400,0)),E$2,)</f>
        <v>0</v>
      </c>
      <c r="F159" s="155">
        <f ca="1">IF(ISNUMBER(MATCH(DATEVALUE($A159),'recurring1_based on steps'!F$1:F$400,0)),F$2,)</f>
        <v>0</v>
      </c>
      <c r="G159" s="155">
        <f ca="1">IF(ISNUMBER(MATCH(DATEVALUE($A159),'recurring1_based on steps'!G$1:G$400,0)),G$2,)</f>
        <v>0</v>
      </c>
      <c r="H159" s="155">
        <f ca="1">IF(ISNUMBER(MATCH(DATEVALUE($A159),'recurring1_based on steps'!H$1:H$400,0)),H$2,)</f>
        <v>0</v>
      </c>
      <c r="I159" s="155">
        <f ca="1">IF(ISNUMBER(MATCH(DATEVALUE($A159),'recurring1_based on steps'!I$1:I$400,0)),I$2,)</f>
        <v>0</v>
      </c>
      <c r="J159" s="155">
        <f ca="1">IF(ISNUMBER(MATCH(DATEVALUE($A159),'recurring1_based on steps'!J$1:J$400,0)),J$2,)</f>
        <v>0</v>
      </c>
      <c r="K159" s="155">
        <f ca="1">IF(ISNUMBER(MATCH(DATEVALUE($A159),'recurring1_based on steps'!K$1:K$400,0)),K$2,)</f>
        <v>0</v>
      </c>
      <c r="L159" s="155">
        <f ca="1">IF(ISNUMBER(MATCH(DATEVALUE($A159),'recurring1_based on steps'!L$1:L$400,0)),L$2,)</f>
        <v>0</v>
      </c>
      <c r="M159" s="155">
        <f ca="1">IF(ISNUMBER(MATCH(DATEVALUE($A159),'recurring1_based on steps'!M$1:M$400,0)),M$2,)</f>
        <v>0</v>
      </c>
      <c r="N159" s="155">
        <f ca="1">IF(ISNUMBER(MATCH(DATEVALUE($A159),'recurring1_based on steps'!N$1:N$400,0)),N$2,)</f>
        <v>0</v>
      </c>
      <c r="O159" s="155">
        <f ca="1">IF(ISNUMBER(MATCH(DATEVALUE($A159),'recurring1_based on steps'!O$1:O$400,0)),O$2,)</f>
        <v>0</v>
      </c>
      <c r="P159" s="155">
        <f ca="1">IF(ISNUMBER(MATCH(DATEVALUE($A159),'recurring1_based on steps'!P$1:P$400,0)),P$2,)</f>
        <v>0</v>
      </c>
      <c r="Q159" s="155">
        <f ca="1">IF(ISNUMBER(MATCH(DATEVALUE($A159),'recurring1_based on steps'!Q$1:Q$400,0)),Q$2,)</f>
        <v>0</v>
      </c>
      <c r="R159" s="155">
        <f ca="1">IF(ISNUMBER(MATCH(DATEVALUE($A159),'recurring1_based on steps'!R$1:R$400,0)),R$2,)</f>
        <v>0</v>
      </c>
      <c r="S159" s="155">
        <f ca="1">IF(ISNUMBER(MATCH(DATEVALUE($A159),'recurring1_based on steps'!S$1:S$400,0)),S$2,)</f>
        <v>0</v>
      </c>
      <c r="T159" s="155">
        <f ca="1">IF(ISNUMBER(MATCH(DATEVALUE($A159),'recurring1_based on steps'!T$1:T$400,0)),T$2,)</f>
        <v>0</v>
      </c>
      <c r="U159" s="155">
        <f ca="1">IF(ISNUMBER(MATCH(DATEVALUE($A159),'recurring1_based on steps'!U$1:U$400,0)),U$2,)</f>
        <v>0</v>
      </c>
      <c r="V159" s="155">
        <f ca="1">IF(ISNUMBER(MATCH(DATEVALUE($A159),'recurring1_based on steps'!V$1:V$400,0)),V$2,)</f>
        <v>0</v>
      </c>
      <c r="W159" s="155">
        <f ca="1">IF(ISNUMBER(MATCH(DATEVALUE($A159),'recurring1_based on steps'!W$1:W$400,0)),W$2,)</f>
        <v>0</v>
      </c>
      <c r="X159" s="155">
        <f ca="1">IF(ISNUMBER(MATCH(DATEVALUE($A159),'recurring1_based on steps'!X$1:X$400,0)),X$2,)</f>
        <v>0</v>
      </c>
      <c r="Y159" s="155">
        <f ca="1">IF(ISNUMBER(MATCH(DATEVALUE($A159),'recurring1_based on steps'!Y$1:Y$400,0)),Y$2,)</f>
        <v>0</v>
      </c>
      <c r="Z159" s="155">
        <f ca="1">IF(ISNUMBER(MATCH(DATEVALUE($A159),'recurring1_based on steps'!Z$1:Z$400,0)),Z$2,)</f>
        <v>0</v>
      </c>
      <c r="AA159" s="155">
        <f ca="1">IF(ISNUMBER(MATCH(DATEVALUE($A159),'recurring1_based on steps'!AA$1:AA$400,0)),AA$2,)</f>
        <v>0</v>
      </c>
      <c r="AB159" s="155">
        <f ca="1">IF(ISNUMBER(MATCH(DATEVALUE($A159),'recurring1_based on steps'!AB$1:AB$400,0)),AB$2,)</f>
        <v>0</v>
      </c>
      <c r="AC159" s="155">
        <f ca="1">IF(ISNUMBER(MATCH(DATEVALUE($A159),'recurring1_based on steps'!AC$1:AC$400,0)),AC$2,)</f>
        <v>0</v>
      </c>
      <c r="AD159" s="155">
        <f ca="1">IF(ISNUMBER(MATCH(DATEVALUE($A159),'recurring1_based on steps'!AD$1:AD$400,0)),AD$2,)</f>
        <v>0</v>
      </c>
      <c r="AE159" s="155">
        <f ca="1">IF(ISNUMBER(MATCH(DATEVALUE($A159),'recurring1_based on steps'!AE$1:AE$400,0)),AE$2,)</f>
        <v>0</v>
      </c>
      <c r="AF159" s="155">
        <f ca="1">IF(ISNUMBER(MATCH(DATEVALUE($A159),'recurring1_based on steps'!AF$1:AF$400,0)),AF$2,)</f>
        <v>0</v>
      </c>
      <c r="AG159" s="155">
        <f ca="1">IF(ISNUMBER(MATCH(DATEVALUE($A159),'recurring1_based on steps'!AG$1:AG$400,0)),AG$2,)</f>
        <v>0</v>
      </c>
      <c r="AH159" s="155">
        <f ca="1">IF(ISNUMBER(MATCH(DATEVALUE($A159),'recurring1_based on steps'!AH$1:AH$400,0)),AH$2,)</f>
        <v>0</v>
      </c>
      <c r="AI159" s="155">
        <f ca="1">IF(ISNUMBER(MATCH(DATEVALUE($A159),'recurring1_based on steps'!AI$1:AI$400,0)),AI$2,)</f>
        <v>0</v>
      </c>
      <c r="AJ159" s="155">
        <f ca="1">IF(ISNUMBER(MATCH(DATEVALUE($A159),'recurring1_based on steps'!AJ$1:AJ$400,0)),AJ$2,)</f>
        <v>0</v>
      </c>
      <c r="AK159" s="155">
        <f ca="1">IF(ISNUMBER(MATCH(DATEVALUE($A159),'recurring1_based on steps'!AK$1:AK$400,0)),AK$2,)</f>
        <v>0</v>
      </c>
      <c r="AL159" s="155">
        <f ca="1">IF(ISNUMBER(MATCH(DATEVALUE($A159),'recurring1_based on steps'!AL$1:AL$400,0)),AL$2,)</f>
        <v>0</v>
      </c>
      <c r="AM159" s="155">
        <f ca="1">IF(ISNUMBER(MATCH(DATEVALUE($A159),'recurring1_based on steps'!AM$1:AM$400,0)),AM$2,)</f>
        <v>0</v>
      </c>
      <c r="AN159" s="155">
        <f ca="1">IF(ISNUMBER(MATCH(DATEVALUE($A159),'recurring1_based on steps'!AN$1:AN$400,0)),AN$2,)</f>
        <v>0</v>
      </c>
      <c r="AO159" s="155">
        <f ca="1">IF(ISNUMBER(MATCH(DATEVALUE($A159),'recurring1_based on steps'!AO$1:AO$400,0)),AO$2,)</f>
        <v>0</v>
      </c>
      <c r="AP159" s="155">
        <f ca="1">IF(ISNUMBER(MATCH(DATEVALUE($A159),'recurring1_based on steps'!AP$1:AP$400,0)),AP$2,)</f>
        <v>0</v>
      </c>
      <c r="AQ159" s="155">
        <f ca="1">IF(ISNUMBER(MATCH(DATEVALUE($A159),'recurring1_based on steps'!AQ$1:AQ$400,0)),AQ$2,)</f>
        <v>0</v>
      </c>
      <c r="AR159" s="155">
        <f ca="1">IF(ISNUMBER(MATCH(DATEVALUE($A159),'recurring1_based on steps'!AR$1:AR$400,0)),AR$2,)</f>
        <v>0</v>
      </c>
      <c r="AS159" s="155">
        <f ca="1">IF(ISNUMBER(MATCH(DATEVALUE($A159),'recurring1_based on steps'!AS$1:AS$400,0)),AS$2,)</f>
        <v>0</v>
      </c>
      <c r="AT159" s="155">
        <f ca="1">IF(ISNUMBER(MATCH(DATEVALUE($A159),'recurring1_based on steps'!AT$1:AT$400,0)),AT$2,)</f>
        <v>0</v>
      </c>
      <c r="AU159" s="155">
        <f ca="1">IF(ISNUMBER(MATCH(DATEVALUE($A159),'recurring1_based on steps'!AU$1:AU$400,0)),AU$2,)</f>
        <v>0</v>
      </c>
      <c r="AV159" s="155">
        <f ca="1">IF(ISNUMBER(MATCH(DATEVALUE($A159),'recurring1_based on steps'!AV$1:AV$400,0)),AV$2,)</f>
        <v>0</v>
      </c>
      <c r="AW159" s="155">
        <f ca="1">IF(ISNUMBER(MATCH(DATEVALUE($A159),'recurring1_based on steps'!AW$1:AW$400,0)),AW$2,)</f>
        <v>0</v>
      </c>
      <c r="AX159" s="155">
        <f ca="1">IF(ISNUMBER(MATCH(DATEVALUE($A159),'recurring1_based on steps'!AX$1:AX$400,0)),AX$2,)</f>
        <v>0</v>
      </c>
      <c r="AY159" s="155">
        <f ca="1">IF(ISNUMBER(MATCH(DATEVALUE($A159),'recurring1_based on steps'!AY$1:AY$400,0)),AY$2,)</f>
        <v>0</v>
      </c>
    </row>
    <row r="160" spans="1:51" x14ac:dyDescent="0.2">
      <c r="A160" s="18" t="str">
        <f t="shared" ca="1" si="2"/>
        <v>2025-07-08</v>
      </c>
      <c r="B160" s="155">
        <f ca="1">IF(ISNUMBER(MATCH(DATEVALUE($A160),'recurring1_based on steps'!B$1:B$400,0)),B$2,)</f>
        <v>0</v>
      </c>
      <c r="C160" s="155">
        <f ca="1">IF(ISNUMBER(MATCH(DATEVALUE($A160),'recurring1_based on steps'!C$1:C$400,0)),C$2,)</f>
        <v>0</v>
      </c>
      <c r="D160" s="155">
        <f ca="1">IF(ISNUMBER(MATCH(DATEVALUE($A160),'recurring1_based on steps'!D$1:D$400,0)),D$2,)</f>
        <v>0</v>
      </c>
      <c r="E160" s="155">
        <f ca="1">IF(ISNUMBER(MATCH(DATEVALUE($A160),'recurring1_based on steps'!E$1:E$400,0)),E$2,)</f>
        <v>0</v>
      </c>
      <c r="F160" s="155">
        <f ca="1">IF(ISNUMBER(MATCH(DATEVALUE($A160),'recurring1_based on steps'!F$1:F$400,0)),F$2,)</f>
        <v>0</v>
      </c>
      <c r="G160" s="155">
        <f ca="1">IF(ISNUMBER(MATCH(DATEVALUE($A160),'recurring1_based on steps'!G$1:G$400,0)),G$2,)</f>
        <v>0</v>
      </c>
      <c r="H160" s="155">
        <f ca="1">IF(ISNUMBER(MATCH(DATEVALUE($A160),'recurring1_based on steps'!H$1:H$400,0)),H$2,)</f>
        <v>0</v>
      </c>
      <c r="I160" s="155">
        <f ca="1">IF(ISNUMBER(MATCH(DATEVALUE($A160),'recurring1_based on steps'!I$1:I$400,0)),I$2,)</f>
        <v>0</v>
      </c>
      <c r="J160" s="155">
        <f ca="1">IF(ISNUMBER(MATCH(DATEVALUE($A160),'recurring1_based on steps'!J$1:J$400,0)),J$2,)</f>
        <v>0</v>
      </c>
      <c r="K160" s="155">
        <f ca="1">IF(ISNUMBER(MATCH(DATEVALUE($A160),'recurring1_based on steps'!K$1:K$400,0)),K$2,)</f>
        <v>0</v>
      </c>
      <c r="L160" s="155">
        <f ca="1">IF(ISNUMBER(MATCH(DATEVALUE($A160),'recurring1_based on steps'!L$1:L$400,0)),L$2,)</f>
        <v>0</v>
      </c>
      <c r="M160" s="155">
        <f ca="1">IF(ISNUMBER(MATCH(DATEVALUE($A160),'recurring1_based on steps'!M$1:M$400,0)),M$2,)</f>
        <v>0</v>
      </c>
      <c r="N160" s="155">
        <f ca="1">IF(ISNUMBER(MATCH(DATEVALUE($A160),'recurring1_based on steps'!N$1:N$400,0)),N$2,)</f>
        <v>0</v>
      </c>
      <c r="O160" s="155">
        <f ca="1">IF(ISNUMBER(MATCH(DATEVALUE($A160),'recurring1_based on steps'!O$1:O$400,0)),O$2,)</f>
        <v>0</v>
      </c>
      <c r="P160" s="155">
        <f ca="1">IF(ISNUMBER(MATCH(DATEVALUE($A160),'recurring1_based on steps'!P$1:P$400,0)),P$2,)</f>
        <v>0</v>
      </c>
      <c r="Q160" s="155">
        <f ca="1">IF(ISNUMBER(MATCH(DATEVALUE($A160),'recurring1_based on steps'!Q$1:Q$400,0)),Q$2,)</f>
        <v>0</v>
      </c>
      <c r="R160" s="155">
        <f ca="1">IF(ISNUMBER(MATCH(DATEVALUE($A160),'recurring1_based on steps'!R$1:R$400,0)),R$2,)</f>
        <v>0</v>
      </c>
      <c r="S160" s="155">
        <f ca="1">IF(ISNUMBER(MATCH(DATEVALUE($A160),'recurring1_based on steps'!S$1:S$400,0)),S$2,)</f>
        <v>0</v>
      </c>
      <c r="T160" s="155">
        <f ca="1">IF(ISNUMBER(MATCH(DATEVALUE($A160),'recurring1_based on steps'!T$1:T$400,0)),T$2,)</f>
        <v>0</v>
      </c>
      <c r="U160" s="155">
        <f ca="1">IF(ISNUMBER(MATCH(DATEVALUE($A160),'recurring1_based on steps'!U$1:U$400,0)),U$2,)</f>
        <v>0</v>
      </c>
      <c r="V160" s="155">
        <f ca="1">IF(ISNUMBER(MATCH(DATEVALUE($A160),'recurring1_based on steps'!V$1:V$400,0)),V$2,)</f>
        <v>0</v>
      </c>
      <c r="W160" s="155">
        <f ca="1">IF(ISNUMBER(MATCH(DATEVALUE($A160),'recurring1_based on steps'!W$1:W$400,0)),W$2,)</f>
        <v>0</v>
      </c>
      <c r="X160" s="155">
        <f ca="1">IF(ISNUMBER(MATCH(DATEVALUE($A160),'recurring1_based on steps'!X$1:X$400,0)),X$2,)</f>
        <v>0</v>
      </c>
      <c r="Y160" s="155">
        <f ca="1">IF(ISNUMBER(MATCH(DATEVALUE($A160),'recurring1_based on steps'!Y$1:Y$400,0)),Y$2,)</f>
        <v>0</v>
      </c>
      <c r="Z160" s="155">
        <f ca="1">IF(ISNUMBER(MATCH(DATEVALUE($A160),'recurring1_based on steps'!Z$1:Z$400,0)),Z$2,)</f>
        <v>0</v>
      </c>
      <c r="AA160" s="155">
        <f ca="1">IF(ISNUMBER(MATCH(DATEVALUE($A160),'recurring1_based on steps'!AA$1:AA$400,0)),AA$2,)</f>
        <v>0</v>
      </c>
      <c r="AB160" s="155">
        <f ca="1">IF(ISNUMBER(MATCH(DATEVALUE($A160),'recurring1_based on steps'!AB$1:AB$400,0)),AB$2,)</f>
        <v>0</v>
      </c>
      <c r="AC160" s="155">
        <f ca="1">IF(ISNUMBER(MATCH(DATEVALUE($A160),'recurring1_based on steps'!AC$1:AC$400,0)),AC$2,)</f>
        <v>0</v>
      </c>
      <c r="AD160" s="155">
        <f ca="1">IF(ISNUMBER(MATCH(DATEVALUE($A160),'recurring1_based on steps'!AD$1:AD$400,0)),AD$2,)</f>
        <v>0</v>
      </c>
      <c r="AE160" s="155">
        <f ca="1">IF(ISNUMBER(MATCH(DATEVALUE($A160),'recurring1_based on steps'!AE$1:AE$400,0)),AE$2,)</f>
        <v>0</v>
      </c>
      <c r="AF160" s="155">
        <f ca="1">IF(ISNUMBER(MATCH(DATEVALUE($A160),'recurring1_based on steps'!AF$1:AF$400,0)),AF$2,)</f>
        <v>0</v>
      </c>
      <c r="AG160" s="155">
        <f ca="1">IF(ISNUMBER(MATCH(DATEVALUE($A160),'recurring1_based on steps'!AG$1:AG$400,0)),AG$2,)</f>
        <v>0</v>
      </c>
      <c r="AH160" s="155">
        <f ca="1">IF(ISNUMBER(MATCH(DATEVALUE($A160),'recurring1_based on steps'!AH$1:AH$400,0)),AH$2,)</f>
        <v>0</v>
      </c>
      <c r="AI160" s="155">
        <f ca="1">IF(ISNUMBER(MATCH(DATEVALUE($A160),'recurring1_based on steps'!AI$1:AI$400,0)),AI$2,)</f>
        <v>0</v>
      </c>
      <c r="AJ160" s="155">
        <f ca="1">IF(ISNUMBER(MATCH(DATEVALUE($A160),'recurring1_based on steps'!AJ$1:AJ$400,0)),AJ$2,)</f>
        <v>0</v>
      </c>
      <c r="AK160" s="155">
        <f ca="1">IF(ISNUMBER(MATCH(DATEVALUE($A160),'recurring1_based on steps'!AK$1:AK$400,0)),AK$2,)</f>
        <v>0</v>
      </c>
      <c r="AL160" s="155">
        <f ca="1">IF(ISNUMBER(MATCH(DATEVALUE($A160),'recurring1_based on steps'!AL$1:AL$400,0)),AL$2,)</f>
        <v>0</v>
      </c>
      <c r="AM160" s="155">
        <f ca="1">IF(ISNUMBER(MATCH(DATEVALUE($A160),'recurring1_based on steps'!AM$1:AM$400,0)),AM$2,)</f>
        <v>0</v>
      </c>
      <c r="AN160" s="155">
        <f ca="1">IF(ISNUMBER(MATCH(DATEVALUE($A160),'recurring1_based on steps'!AN$1:AN$400,0)),AN$2,)</f>
        <v>0</v>
      </c>
      <c r="AO160" s="155">
        <f ca="1">IF(ISNUMBER(MATCH(DATEVALUE($A160),'recurring1_based on steps'!AO$1:AO$400,0)),AO$2,)</f>
        <v>0</v>
      </c>
      <c r="AP160" s="155">
        <f ca="1">IF(ISNUMBER(MATCH(DATEVALUE($A160),'recurring1_based on steps'!AP$1:AP$400,0)),AP$2,)</f>
        <v>0</v>
      </c>
      <c r="AQ160" s="155">
        <f ca="1">IF(ISNUMBER(MATCH(DATEVALUE($A160),'recurring1_based on steps'!AQ$1:AQ$400,0)),AQ$2,)</f>
        <v>0</v>
      </c>
      <c r="AR160" s="155">
        <f ca="1">IF(ISNUMBER(MATCH(DATEVALUE($A160),'recurring1_based on steps'!AR$1:AR$400,0)),AR$2,)</f>
        <v>0</v>
      </c>
      <c r="AS160" s="155">
        <f ca="1">IF(ISNUMBER(MATCH(DATEVALUE($A160),'recurring1_based on steps'!AS$1:AS$400,0)),AS$2,)</f>
        <v>0</v>
      </c>
      <c r="AT160" s="155">
        <f ca="1">IF(ISNUMBER(MATCH(DATEVALUE($A160),'recurring1_based on steps'!AT$1:AT$400,0)),AT$2,)</f>
        <v>0</v>
      </c>
      <c r="AU160" s="155">
        <f ca="1">IF(ISNUMBER(MATCH(DATEVALUE($A160),'recurring1_based on steps'!AU$1:AU$400,0)),AU$2,)</f>
        <v>0</v>
      </c>
      <c r="AV160" s="155">
        <f ca="1">IF(ISNUMBER(MATCH(DATEVALUE($A160),'recurring1_based on steps'!AV$1:AV$400,0)),AV$2,)</f>
        <v>0</v>
      </c>
      <c r="AW160" s="155">
        <f ca="1">IF(ISNUMBER(MATCH(DATEVALUE($A160),'recurring1_based on steps'!AW$1:AW$400,0)),AW$2,)</f>
        <v>0</v>
      </c>
      <c r="AX160" s="155">
        <f ca="1">IF(ISNUMBER(MATCH(DATEVALUE($A160),'recurring1_based on steps'!AX$1:AX$400,0)),AX$2,)</f>
        <v>0</v>
      </c>
      <c r="AY160" s="155">
        <f ca="1">IF(ISNUMBER(MATCH(DATEVALUE($A160),'recurring1_based on steps'!AY$1:AY$400,0)),AY$2,)</f>
        <v>0</v>
      </c>
    </row>
    <row r="161" spans="1:51" x14ac:dyDescent="0.2">
      <c r="A161" s="18" t="str">
        <f t="shared" ca="1" si="2"/>
        <v>2025-07-09</v>
      </c>
      <c r="B161" s="155">
        <f ca="1">IF(ISNUMBER(MATCH(DATEVALUE($A161),'recurring1_based on steps'!B$1:B$400,0)),B$2,)</f>
        <v>0</v>
      </c>
      <c r="C161" s="155">
        <f ca="1">IF(ISNUMBER(MATCH(DATEVALUE($A161),'recurring1_based on steps'!C$1:C$400,0)),C$2,)</f>
        <v>0</v>
      </c>
      <c r="D161" s="155">
        <f ca="1">IF(ISNUMBER(MATCH(DATEVALUE($A161),'recurring1_based on steps'!D$1:D$400,0)),D$2,)</f>
        <v>0</v>
      </c>
      <c r="E161" s="155">
        <f ca="1">IF(ISNUMBER(MATCH(DATEVALUE($A161),'recurring1_based on steps'!E$1:E$400,0)),E$2,)</f>
        <v>0</v>
      </c>
      <c r="F161" s="155">
        <f ca="1">IF(ISNUMBER(MATCH(DATEVALUE($A161),'recurring1_based on steps'!F$1:F$400,0)),F$2,)</f>
        <v>0</v>
      </c>
      <c r="G161" s="155">
        <f ca="1">IF(ISNUMBER(MATCH(DATEVALUE($A161),'recurring1_based on steps'!G$1:G$400,0)),G$2,)</f>
        <v>0</v>
      </c>
      <c r="H161" s="155">
        <f ca="1">IF(ISNUMBER(MATCH(DATEVALUE($A161),'recurring1_based on steps'!H$1:H$400,0)),H$2,)</f>
        <v>0</v>
      </c>
      <c r="I161" s="155">
        <f ca="1">IF(ISNUMBER(MATCH(DATEVALUE($A161),'recurring1_based on steps'!I$1:I$400,0)),I$2,)</f>
        <v>0</v>
      </c>
      <c r="J161" s="155">
        <f ca="1">IF(ISNUMBER(MATCH(DATEVALUE($A161),'recurring1_based on steps'!J$1:J$400,0)),J$2,)</f>
        <v>0</v>
      </c>
      <c r="K161" s="155">
        <f ca="1">IF(ISNUMBER(MATCH(DATEVALUE($A161),'recurring1_based on steps'!K$1:K$400,0)),K$2,)</f>
        <v>0</v>
      </c>
      <c r="L161" s="155">
        <f ca="1">IF(ISNUMBER(MATCH(DATEVALUE($A161),'recurring1_based on steps'!L$1:L$400,0)),L$2,)</f>
        <v>0</v>
      </c>
      <c r="M161" s="155">
        <f ca="1">IF(ISNUMBER(MATCH(DATEVALUE($A161),'recurring1_based on steps'!M$1:M$400,0)),M$2,)</f>
        <v>0</v>
      </c>
      <c r="N161" s="155">
        <f ca="1">IF(ISNUMBER(MATCH(DATEVALUE($A161),'recurring1_based on steps'!N$1:N$400,0)),N$2,)</f>
        <v>0</v>
      </c>
      <c r="O161" s="155">
        <f ca="1">IF(ISNUMBER(MATCH(DATEVALUE($A161),'recurring1_based on steps'!O$1:O$400,0)),O$2,)</f>
        <v>0</v>
      </c>
      <c r="P161" s="155">
        <f ca="1">IF(ISNUMBER(MATCH(DATEVALUE($A161),'recurring1_based on steps'!P$1:P$400,0)),P$2,)</f>
        <v>0</v>
      </c>
      <c r="Q161" s="155">
        <f ca="1">IF(ISNUMBER(MATCH(DATEVALUE($A161),'recurring1_based on steps'!Q$1:Q$400,0)),Q$2,)</f>
        <v>0</v>
      </c>
      <c r="R161" s="155">
        <f ca="1">IF(ISNUMBER(MATCH(DATEVALUE($A161),'recurring1_based on steps'!R$1:R$400,0)),R$2,)</f>
        <v>0</v>
      </c>
      <c r="S161" s="155">
        <f ca="1">IF(ISNUMBER(MATCH(DATEVALUE($A161),'recurring1_based on steps'!S$1:S$400,0)),S$2,)</f>
        <v>0</v>
      </c>
      <c r="T161" s="155">
        <f ca="1">IF(ISNUMBER(MATCH(DATEVALUE($A161),'recurring1_based on steps'!T$1:T$400,0)),T$2,)</f>
        <v>0</v>
      </c>
      <c r="U161" s="155">
        <f ca="1">IF(ISNUMBER(MATCH(DATEVALUE($A161),'recurring1_based on steps'!U$1:U$400,0)),U$2,)</f>
        <v>0</v>
      </c>
      <c r="V161" s="155">
        <f ca="1">IF(ISNUMBER(MATCH(DATEVALUE($A161),'recurring1_based on steps'!V$1:V$400,0)),V$2,)</f>
        <v>0</v>
      </c>
      <c r="W161" s="155">
        <f ca="1">IF(ISNUMBER(MATCH(DATEVALUE($A161),'recurring1_based on steps'!W$1:W$400,0)),W$2,)</f>
        <v>0</v>
      </c>
      <c r="X161" s="155">
        <f ca="1">IF(ISNUMBER(MATCH(DATEVALUE($A161),'recurring1_based on steps'!X$1:X$400,0)),X$2,)</f>
        <v>0</v>
      </c>
      <c r="Y161" s="155">
        <f ca="1">IF(ISNUMBER(MATCH(DATEVALUE($A161),'recurring1_based on steps'!Y$1:Y$400,0)),Y$2,)</f>
        <v>0</v>
      </c>
      <c r="Z161" s="155">
        <f ca="1">IF(ISNUMBER(MATCH(DATEVALUE($A161),'recurring1_based on steps'!Z$1:Z$400,0)),Z$2,)</f>
        <v>0</v>
      </c>
      <c r="AA161" s="155">
        <f ca="1">IF(ISNUMBER(MATCH(DATEVALUE($A161),'recurring1_based on steps'!AA$1:AA$400,0)),AA$2,)</f>
        <v>0</v>
      </c>
      <c r="AB161" s="155">
        <f ca="1">IF(ISNUMBER(MATCH(DATEVALUE($A161),'recurring1_based on steps'!AB$1:AB$400,0)),AB$2,)</f>
        <v>0</v>
      </c>
      <c r="AC161" s="155">
        <f ca="1">IF(ISNUMBER(MATCH(DATEVALUE($A161),'recurring1_based on steps'!AC$1:AC$400,0)),AC$2,)</f>
        <v>0</v>
      </c>
      <c r="AD161" s="155">
        <f ca="1">IF(ISNUMBER(MATCH(DATEVALUE($A161),'recurring1_based on steps'!AD$1:AD$400,0)),AD$2,)</f>
        <v>0</v>
      </c>
      <c r="AE161" s="155">
        <f ca="1">IF(ISNUMBER(MATCH(DATEVALUE($A161),'recurring1_based on steps'!AE$1:AE$400,0)),AE$2,)</f>
        <v>0</v>
      </c>
      <c r="AF161" s="155">
        <f ca="1">IF(ISNUMBER(MATCH(DATEVALUE($A161),'recurring1_based on steps'!AF$1:AF$400,0)),AF$2,)</f>
        <v>0</v>
      </c>
      <c r="AG161" s="155">
        <f ca="1">IF(ISNUMBER(MATCH(DATEVALUE($A161),'recurring1_based on steps'!AG$1:AG$400,0)),AG$2,)</f>
        <v>0</v>
      </c>
      <c r="AH161" s="155">
        <f ca="1">IF(ISNUMBER(MATCH(DATEVALUE($A161),'recurring1_based on steps'!AH$1:AH$400,0)),AH$2,)</f>
        <v>0</v>
      </c>
      <c r="AI161" s="155">
        <f ca="1">IF(ISNUMBER(MATCH(DATEVALUE($A161),'recurring1_based on steps'!AI$1:AI$400,0)),AI$2,)</f>
        <v>0</v>
      </c>
      <c r="AJ161" s="155">
        <f ca="1">IF(ISNUMBER(MATCH(DATEVALUE($A161),'recurring1_based on steps'!AJ$1:AJ$400,0)),AJ$2,)</f>
        <v>0</v>
      </c>
      <c r="AK161" s="155">
        <f ca="1">IF(ISNUMBER(MATCH(DATEVALUE($A161),'recurring1_based on steps'!AK$1:AK$400,0)),AK$2,)</f>
        <v>0</v>
      </c>
      <c r="AL161" s="155">
        <f ca="1">IF(ISNUMBER(MATCH(DATEVALUE($A161),'recurring1_based on steps'!AL$1:AL$400,0)),AL$2,)</f>
        <v>0</v>
      </c>
      <c r="AM161" s="155">
        <f ca="1">IF(ISNUMBER(MATCH(DATEVALUE($A161),'recurring1_based on steps'!AM$1:AM$400,0)),AM$2,)</f>
        <v>0</v>
      </c>
      <c r="AN161" s="155">
        <f ca="1">IF(ISNUMBER(MATCH(DATEVALUE($A161),'recurring1_based on steps'!AN$1:AN$400,0)),AN$2,)</f>
        <v>0</v>
      </c>
      <c r="AO161" s="155">
        <f ca="1">IF(ISNUMBER(MATCH(DATEVALUE($A161),'recurring1_based on steps'!AO$1:AO$400,0)),AO$2,)</f>
        <v>0</v>
      </c>
      <c r="AP161" s="155">
        <f ca="1">IF(ISNUMBER(MATCH(DATEVALUE($A161),'recurring1_based on steps'!AP$1:AP$400,0)),AP$2,)</f>
        <v>0</v>
      </c>
      <c r="AQ161" s="155">
        <f ca="1">IF(ISNUMBER(MATCH(DATEVALUE($A161),'recurring1_based on steps'!AQ$1:AQ$400,0)),AQ$2,)</f>
        <v>0</v>
      </c>
      <c r="AR161" s="155">
        <f ca="1">IF(ISNUMBER(MATCH(DATEVALUE($A161),'recurring1_based on steps'!AR$1:AR$400,0)),AR$2,)</f>
        <v>0</v>
      </c>
      <c r="AS161" s="155">
        <f ca="1">IF(ISNUMBER(MATCH(DATEVALUE($A161),'recurring1_based on steps'!AS$1:AS$400,0)),AS$2,)</f>
        <v>0</v>
      </c>
      <c r="AT161" s="155">
        <f ca="1">IF(ISNUMBER(MATCH(DATEVALUE($A161),'recurring1_based on steps'!AT$1:AT$400,0)),AT$2,)</f>
        <v>0</v>
      </c>
      <c r="AU161" s="155">
        <f ca="1">IF(ISNUMBER(MATCH(DATEVALUE($A161),'recurring1_based on steps'!AU$1:AU$400,0)),AU$2,)</f>
        <v>0</v>
      </c>
      <c r="AV161" s="155">
        <f ca="1">IF(ISNUMBER(MATCH(DATEVALUE($A161),'recurring1_based on steps'!AV$1:AV$400,0)),AV$2,)</f>
        <v>0</v>
      </c>
      <c r="AW161" s="155">
        <f ca="1">IF(ISNUMBER(MATCH(DATEVALUE($A161),'recurring1_based on steps'!AW$1:AW$400,0)),AW$2,)</f>
        <v>0</v>
      </c>
      <c r="AX161" s="155">
        <f ca="1">IF(ISNUMBER(MATCH(DATEVALUE($A161),'recurring1_based on steps'!AX$1:AX$400,0)),AX$2,)</f>
        <v>0</v>
      </c>
      <c r="AY161" s="155">
        <f ca="1">IF(ISNUMBER(MATCH(DATEVALUE($A161),'recurring1_based on steps'!AY$1:AY$400,0)),AY$2,)</f>
        <v>0</v>
      </c>
    </row>
    <row r="162" spans="1:51" x14ac:dyDescent="0.2">
      <c r="A162" s="18" t="str">
        <f t="shared" ca="1" si="2"/>
        <v>2025-07-10</v>
      </c>
      <c r="B162" s="155">
        <f ca="1">IF(ISNUMBER(MATCH(DATEVALUE($A162),'recurring1_based on steps'!B$1:B$400,0)),B$2,)</f>
        <v>0</v>
      </c>
      <c r="C162" s="155">
        <f ca="1">IF(ISNUMBER(MATCH(DATEVALUE($A162),'recurring1_based on steps'!C$1:C$400,0)),C$2,)</f>
        <v>0</v>
      </c>
      <c r="D162" s="155">
        <f ca="1">IF(ISNUMBER(MATCH(DATEVALUE($A162),'recurring1_based on steps'!D$1:D$400,0)),D$2,)</f>
        <v>0</v>
      </c>
      <c r="E162" s="155">
        <f ca="1">IF(ISNUMBER(MATCH(DATEVALUE($A162),'recurring1_based on steps'!E$1:E$400,0)),E$2,)</f>
        <v>0</v>
      </c>
      <c r="F162" s="155">
        <f ca="1">IF(ISNUMBER(MATCH(DATEVALUE($A162),'recurring1_based on steps'!F$1:F$400,0)),F$2,)</f>
        <v>0</v>
      </c>
      <c r="G162" s="155">
        <f ca="1">IF(ISNUMBER(MATCH(DATEVALUE($A162),'recurring1_based on steps'!G$1:G$400,0)),G$2,)</f>
        <v>0</v>
      </c>
      <c r="H162" s="155">
        <f ca="1">IF(ISNUMBER(MATCH(DATEVALUE($A162),'recurring1_based on steps'!H$1:H$400,0)),H$2,)</f>
        <v>0</v>
      </c>
      <c r="I162" s="155">
        <f ca="1">IF(ISNUMBER(MATCH(DATEVALUE($A162),'recurring1_based on steps'!I$1:I$400,0)),I$2,)</f>
        <v>0</v>
      </c>
      <c r="J162" s="155">
        <f ca="1">IF(ISNUMBER(MATCH(DATEVALUE($A162),'recurring1_based on steps'!J$1:J$400,0)),J$2,)</f>
        <v>0</v>
      </c>
      <c r="K162" s="155">
        <f ca="1">IF(ISNUMBER(MATCH(DATEVALUE($A162),'recurring1_based on steps'!K$1:K$400,0)),K$2,)</f>
        <v>0</v>
      </c>
      <c r="L162" s="155">
        <f ca="1">IF(ISNUMBER(MATCH(DATEVALUE($A162),'recurring1_based on steps'!L$1:L$400,0)),L$2,)</f>
        <v>0</v>
      </c>
      <c r="M162" s="155">
        <f ca="1">IF(ISNUMBER(MATCH(DATEVALUE($A162),'recurring1_based on steps'!M$1:M$400,0)),M$2,)</f>
        <v>0</v>
      </c>
      <c r="N162" s="155">
        <f ca="1">IF(ISNUMBER(MATCH(DATEVALUE($A162),'recurring1_based on steps'!N$1:N$400,0)),N$2,)</f>
        <v>0</v>
      </c>
      <c r="O162" s="155">
        <f ca="1">IF(ISNUMBER(MATCH(DATEVALUE($A162),'recurring1_based on steps'!O$1:O$400,0)),O$2,)</f>
        <v>0</v>
      </c>
      <c r="P162" s="155">
        <f ca="1">IF(ISNUMBER(MATCH(DATEVALUE($A162),'recurring1_based on steps'!P$1:P$400,0)),P$2,)</f>
        <v>0</v>
      </c>
      <c r="Q162" s="155">
        <f ca="1">IF(ISNUMBER(MATCH(DATEVALUE($A162),'recurring1_based on steps'!Q$1:Q$400,0)),Q$2,)</f>
        <v>0</v>
      </c>
      <c r="R162" s="155">
        <f ca="1">IF(ISNUMBER(MATCH(DATEVALUE($A162),'recurring1_based on steps'!R$1:R$400,0)),R$2,)</f>
        <v>0</v>
      </c>
      <c r="S162" s="155">
        <f ca="1">IF(ISNUMBER(MATCH(DATEVALUE($A162),'recurring1_based on steps'!S$1:S$400,0)),S$2,)</f>
        <v>0</v>
      </c>
      <c r="T162" s="155">
        <f ca="1">IF(ISNUMBER(MATCH(DATEVALUE($A162),'recurring1_based on steps'!T$1:T$400,0)),T$2,)</f>
        <v>0</v>
      </c>
      <c r="U162" s="155">
        <f ca="1">IF(ISNUMBER(MATCH(DATEVALUE($A162),'recurring1_based on steps'!U$1:U$400,0)),U$2,)</f>
        <v>0</v>
      </c>
      <c r="V162" s="155">
        <f ca="1">IF(ISNUMBER(MATCH(DATEVALUE($A162),'recurring1_based on steps'!V$1:V$400,0)),V$2,)</f>
        <v>0</v>
      </c>
      <c r="W162" s="155">
        <f ca="1">IF(ISNUMBER(MATCH(DATEVALUE($A162),'recurring1_based on steps'!W$1:W$400,0)),W$2,)</f>
        <v>0</v>
      </c>
      <c r="X162" s="155">
        <f ca="1">IF(ISNUMBER(MATCH(DATEVALUE($A162),'recurring1_based on steps'!X$1:X$400,0)),X$2,)</f>
        <v>0</v>
      </c>
      <c r="Y162" s="155">
        <f ca="1">IF(ISNUMBER(MATCH(DATEVALUE($A162),'recurring1_based on steps'!Y$1:Y$400,0)),Y$2,)</f>
        <v>0</v>
      </c>
      <c r="Z162" s="155">
        <f ca="1">IF(ISNUMBER(MATCH(DATEVALUE($A162),'recurring1_based on steps'!Z$1:Z$400,0)),Z$2,)</f>
        <v>0</v>
      </c>
      <c r="AA162" s="155">
        <f ca="1">IF(ISNUMBER(MATCH(DATEVALUE($A162),'recurring1_based on steps'!AA$1:AA$400,0)),AA$2,)</f>
        <v>0</v>
      </c>
      <c r="AB162" s="155">
        <f ca="1">IF(ISNUMBER(MATCH(DATEVALUE($A162),'recurring1_based on steps'!AB$1:AB$400,0)),AB$2,)</f>
        <v>0</v>
      </c>
      <c r="AC162" s="155">
        <f ca="1">IF(ISNUMBER(MATCH(DATEVALUE($A162),'recurring1_based on steps'!AC$1:AC$400,0)),AC$2,)</f>
        <v>0</v>
      </c>
      <c r="AD162" s="155">
        <f ca="1">IF(ISNUMBER(MATCH(DATEVALUE($A162),'recurring1_based on steps'!AD$1:AD$400,0)),AD$2,)</f>
        <v>0</v>
      </c>
      <c r="AE162" s="155">
        <f ca="1">IF(ISNUMBER(MATCH(DATEVALUE($A162),'recurring1_based on steps'!AE$1:AE$400,0)),AE$2,)</f>
        <v>0</v>
      </c>
      <c r="AF162" s="155">
        <f ca="1">IF(ISNUMBER(MATCH(DATEVALUE($A162),'recurring1_based on steps'!AF$1:AF$400,0)),AF$2,)</f>
        <v>0</v>
      </c>
      <c r="AG162" s="155">
        <f ca="1">IF(ISNUMBER(MATCH(DATEVALUE($A162),'recurring1_based on steps'!AG$1:AG$400,0)),AG$2,)</f>
        <v>0</v>
      </c>
      <c r="AH162" s="155">
        <f ca="1">IF(ISNUMBER(MATCH(DATEVALUE($A162),'recurring1_based on steps'!AH$1:AH$400,0)),AH$2,)</f>
        <v>0</v>
      </c>
      <c r="AI162" s="155">
        <f ca="1">IF(ISNUMBER(MATCH(DATEVALUE($A162),'recurring1_based on steps'!AI$1:AI$400,0)),AI$2,)</f>
        <v>0</v>
      </c>
      <c r="AJ162" s="155">
        <f ca="1">IF(ISNUMBER(MATCH(DATEVALUE($A162),'recurring1_based on steps'!AJ$1:AJ$400,0)),AJ$2,)</f>
        <v>0</v>
      </c>
      <c r="AK162" s="155">
        <f ca="1">IF(ISNUMBER(MATCH(DATEVALUE($A162),'recurring1_based on steps'!AK$1:AK$400,0)),AK$2,)</f>
        <v>0</v>
      </c>
      <c r="AL162" s="155">
        <f ca="1">IF(ISNUMBER(MATCH(DATEVALUE($A162),'recurring1_based on steps'!AL$1:AL$400,0)),AL$2,)</f>
        <v>0</v>
      </c>
      <c r="AM162" s="155">
        <f ca="1">IF(ISNUMBER(MATCH(DATEVALUE($A162),'recurring1_based on steps'!AM$1:AM$400,0)),AM$2,)</f>
        <v>0</v>
      </c>
      <c r="AN162" s="155">
        <f ca="1">IF(ISNUMBER(MATCH(DATEVALUE($A162),'recurring1_based on steps'!AN$1:AN$400,0)),AN$2,)</f>
        <v>0</v>
      </c>
      <c r="AO162" s="155">
        <f ca="1">IF(ISNUMBER(MATCH(DATEVALUE($A162),'recurring1_based on steps'!AO$1:AO$400,0)),AO$2,)</f>
        <v>0</v>
      </c>
      <c r="AP162" s="155">
        <f ca="1">IF(ISNUMBER(MATCH(DATEVALUE($A162),'recurring1_based on steps'!AP$1:AP$400,0)),AP$2,)</f>
        <v>0</v>
      </c>
      <c r="AQ162" s="155">
        <f ca="1">IF(ISNUMBER(MATCH(DATEVALUE($A162),'recurring1_based on steps'!AQ$1:AQ$400,0)),AQ$2,)</f>
        <v>0</v>
      </c>
      <c r="AR162" s="155">
        <f ca="1">IF(ISNUMBER(MATCH(DATEVALUE($A162),'recurring1_based on steps'!AR$1:AR$400,0)),AR$2,)</f>
        <v>0</v>
      </c>
      <c r="AS162" s="155">
        <f ca="1">IF(ISNUMBER(MATCH(DATEVALUE($A162),'recurring1_based on steps'!AS$1:AS$400,0)),AS$2,)</f>
        <v>0</v>
      </c>
      <c r="AT162" s="155">
        <f ca="1">IF(ISNUMBER(MATCH(DATEVALUE($A162),'recurring1_based on steps'!AT$1:AT$400,0)),AT$2,)</f>
        <v>0</v>
      </c>
      <c r="AU162" s="155">
        <f ca="1">IF(ISNUMBER(MATCH(DATEVALUE($A162),'recurring1_based on steps'!AU$1:AU$400,0)),AU$2,)</f>
        <v>0</v>
      </c>
      <c r="AV162" s="155">
        <f ca="1">IF(ISNUMBER(MATCH(DATEVALUE($A162),'recurring1_based on steps'!AV$1:AV$400,0)),AV$2,)</f>
        <v>0</v>
      </c>
      <c r="AW162" s="155">
        <f ca="1">IF(ISNUMBER(MATCH(DATEVALUE($A162),'recurring1_based on steps'!AW$1:AW$400,0)),AW$2,)</f>
        <v>0</v>
      </c>
      <c r="AX162" s="155">
        <f ca="1">IF(ISNUMBER(MATCH(DATEVALUE($A162),'recurring1_based on steps'!AX$1:AX$400,0)),AX$2,)</f>
        <v>0</v>
      </c>
      <c r="AY162" s="155">
        <f ca="1">IF(ISNUMBER(MATCH(DATEVALUE($A162),'recurring1_based on steps'!AY$1:AY$400,0)),AY$2,)</f>
        <v>0</v>
      </c>
    </row>
    <row r="163" spans="1:51" x14ac:dyDescent="0.2">
      <c r="A163" s="18" t="str">
        <f t="shared" ca="1" si="2"/>
        <v>2025-07-11</v>
      </c>
      <c r="B163" s="155">
        <f ca="1">IF(ISNUMBER(MATCH(DATEVALUE($A163),'recurring1_based on steps'!B$1:B$400,0)),B$2,)</f>
        <v>4000</v>
      </c>
      <c r="C163" s="155">
        <f ca="1">IF(ISNUMBER(MATCH(DATEVALUE($A163),'recurring1_based on steps'!C$1:C$400,0)),C$2,)</f>
        <v>200</v>
      </c>
      <c r="D163" s="155">
        <f ca="1">IF(ISNUMBER(MATCH(DATEVALUE($A163),'recurring1_based on steps'!D$1:D$400,0)),D$2,)</f>
        <v>2</v>
      </c>
      <c r="E163" s="155">
        <f ca="1">IF(ISNUMBER(MATCH(DATEVALUE($A163),'recurring1_based on steps'!E$1:E$400,0)),E$2,)</f>
        <v>40</v>
      </c>
      <c r="F163" s="155">
        <f ca="1">IF(ISNUMBER(MATCH(DATEVALUE($A163),'recurring1_based on steps'!F$1:F$400,0)),F$2,)</f>
        <v>50</v>
      </c>
      <c r="G163" s="155">
        <f ca="1">IF(ISNUMBER(MATCH(DATEVALUE($A163),'recurring1_based on steps'!G$1:G$400,0)),G$2,)</f>
        <v>4</v>
      </c>
      <c r="H163" s="155">
        <f ca="1">IF(ISNUMBER(MATCH(DATEVALUE($A163),'recurring1_based on steps'!H$1:H$400,0)),H$2,)</f>
        <v>0</v>
      </c>
      <c r="I163" s="155">
        <f ca="1">IF(ISNUMBER(MATCH(DATEVALUE($A163),'recurring1_based on steps'!I$1:I$400,0)),I$2,)</f>
        <v>0</v>
      </c>
      <c r="J163" s="155">
        <f ca="1">IF(ISNUMBER(MATCH(DATEVALUE($A163),'recurring1_based on steps'!J$1:J$400,0)),J$2,)</f>
        <v>0</v>
      </c>
      <c r="K163" s="155">
        <f ca="1">IF(ISNUMBER(MATCH(DATEVALUE($A163),'recurring1_based on steps'!K$1:K$400,0)),K$2,)</f>
        <v>0</v>
      </c>
      <c r="L163" s="155">
        <f ca="1">IF(ISNUMBER(MATCH(DATEVALUE($A163),'recurring1_based on steps'!L$1:L$400,0)),L$2,)</f>
        <v>0</v>
      </c>
      <c r="M163" s="155">
        <f ca="1">IF(ISNUMBER(MATCH(DATEVALUE($A163),'recurring1_based on steps'!M$1:M$400,0)),M$2,)</f>
        <v>0</v>
      </c>
      <c r="N163" s="155">
        <f ca="1">IF(ISNUMBER(MATCH(DATEVALUE($A163),'recurring1_based on steps'!N$1:N$400,0)),N$2,)</f>
        <v>0</v>
      </c>
      <c r="O163" s="155">
        <f ca="1">IF(ISNUMBER(MATCH(DATEVALUE($A163),'recurring1_based on steps'!O$1:O$400,0)),O$2,)</f>
        <v>0</v>
      </c>
      <c r="P163" s="155">
        <f ca="1">IF(ISNUMBER(MATCH(DATEVALUE($A163),'recurring1_based on steps'!P$1:P$400,0)),P$2,)</f>
        <v>0</v>
      </c>
      <c r="Q163" s="155">
        <f ca="1">IF(ISNUMBER(MATCH(DATEVALUE($A163),'recurring1_based on steps'!Q$1:Q$400,0)),Q$2,)</f>
        <v>0</v>
      </c>
      <c r="R163" s="155">
        <f ca="1">IF(ISNUMBER(MATCH(DATEVALUE($A163),'recurring1_based on steps'!R$1:R$400,0)),R$2,)</f>
        <v>0</v>
      </c>
      <c r="S163" s="155">
        <f ca="1">IF(ISNUMBER(MATCH(DATEVALUE($A163),'recurring1_based on steps'!S$1:S$400,0)),S$2,)</f>
        <v>0</v>
      </c>
      <c r="T163" s="155">
        <f ca="1">IF(ISNUMBER(MATCH(DATEVALUE($A163),'recurring1_based on steps'!T$1:T$400,0)),T$2,)</f>
        <v>0</v>
      </c>
      <c r="U163" s="155">
        <f ca="1">IF(ISNUMBER(MATCH(DATEVALUE($A163),'recurring1_based on steps'!U$1:U$400,0)),U$2,)</f>
        <v>0</v>
      </c>
      <c r="V163" s="155">
        <f ca="1">IF(ISNUMBER(MATCH(DATEVALUE($A163),'recurring1_based on steps'!V$1:V$400,0)),V$2,)</f>
        <v>0</v>
      </c>
      <c r="W163" s="155">
        <f ca="1">IF(ISNUMBER(MATCH(DATEVALUE($A163),'recurring1_based on steps'!W$1:W$400,0)),W$2,)</f>
        <v>0</v>
      </c>
      <c r="X163" s="155">
        <f ca="1">IF(ISNUMBER(MATCH(DATEVALUE($A163),'recurring1_based on steps'!X$1:X$400,0)),X$2,)</f>
        <v>50</v>
      </c>
      <c r="Y163" s="155">
        <f ca="1">IF(ISNUMBER(MATCH(DATEVALUE($A163),'recurring1_based on steps'!Y$1:Y$400,0)),Y$2,)</f>
        <v>0</v>
      </c>
      <c r="Z163" s="155">
        <f ca="1">IF(ISNUMBER(MATCH(DATEVALUE($A163),'recurring1_based on steps'!Z$1:Z$400,0)),Z$2,)</f>
        <v>0</v>
      </c>
      <c r="AA163" s="155">
        <f ca="1">IF(ISNUMBER(MATCH(DATEVALUE($A163),'recurring1_based on steps'!AA$1:AA$400,0)),AA$2,)</f>
        <v>0</v>
      </c>
      <c r="AB163" s="155">
        <f ca="1">IF(ISNUMBER(MATCH(DATEVALUE($A163),'recurring1_based on steps'!AB$1:AB$400,0)),AB$2,)</f>
        <v>0</v>
      </c>
      <c r="AC163" s="155">
        <f ca="1">IF(ISNUMBER(MATCH(DATEVALUE($A163),'recurring1_based on steps'!AC$1:AC$400,0)),AC$2,)</f>
        <v>0</v>
      </c>
      <c r="AD163" s="155">
        <f ca="1">IF(ISNUMBER(MATCH(DATEVALUE($A163),'recurring1_based on steps'!AD$1:AD$400,0)),AD$2,)</f>
        <v>0</v>
      </c>
      <c r="AE163" s="155">
        <f ca="1">IF(ISNUMBER(MATCH(DATEVALUE($A163),'recurring1_based on steps'!AE$1:AE$400,0)),AE$2,)</f>
        <v>0</v>
      </c>
      <c r="AF163" s="155">
        <f ca="1">IF(ISNUMBER(MATCH(DATEVALUE($A163),'recurring1_based on steps'!AF$1:AF$400,0)),AF$2,)</f>
        <v>0</v>
      </c>
      <c r="AG163" s="155">
        <f ca="1">IF(ISNUMBER(MATCH(DATEVALUE($A163),'recurring1_based on steps'!AG$1:AG$400,0)),AG$2,)</f>
        <v>0</v>
      </c>
      <c r="AH163" s="155">
        <f ca="1">IF(ISNUMBER(MATCH(DATEVALUE($A163),'recurring1_based on steps'!AH$1:AH$400,0)),AH$2,)</f>
        <v>0</v>
      </c>
      <c r="AI163" s="155">
        <f ca="1">IF(ISNUMBER(MATCH(DATEVALUE($A163),'recurring1_based on steps'!AI$1:AI$400,0)),AI$2,)</f>
        <v>0</v>
      </c>
      <c r="AJ163" s="155">
        <f ca="1">IF(ISNUMBER(MATCH(DATEVALUE($A163),'recurring1_based on steps'!AJ$1:AJ$400,0)),AJ$2,)</f>
        <v>0</v>
      </c>
      <c r="AK163" s="155">
        <f ca="1">IF(ISNUMBER(MATCH(DATEVALUE($A163),'recurring1_based on steps'!AK$1:AK$400,0)),AK$2,)</f>
        <v>0</v>
      </c>
      <c r="AL163" s="155">
        <f ca="1">IF(ISNUMBER(MATCH(DATEVALUE($A163),'recurring1_based on steps'!AL$1:AL$400,0)),AL$2,)</f>
        <v>0</v>
      </c>
      <c r="AM163" s="155">
        <f ca="1">IF(ISNUMBER(MATCH(DATEVALUE($A163),'recurring1_based on steps'!AM$1:AM$400,0)),AM$2,)</f>
        <v>0</v>
      </c>
      <c r="AN163" s="155">
        <f ca="1">IF(ISNUMBER(MATCH(DATEVALUE($A163),'recurring1_based on steps'!AN$1:AN$400,0)),AN$2,)</f>
        <v>0</v>
      </c>
      <c r="AO163" s="155">
        <f ca="1">IF(ISNUMBER(MATCH(DATEVALUE($A163),'recurring1_based on steps'!AO$1:AO$400,0)),AO$2,)</f>
        <v>0</v>
      </c>
      <c r="AP163" s="155">
        <f ca="1">IF(ISNUMBER(MATCH(DATEVALUE($A163),'recurring1_based on steps'!AP$1:AP$400,0)),AP$2,)</f>
        <v>0</v>
      </c>
      <c r="AQ163" s="155">
        <f ca="1">IF(ISNUMBER(MATCH(DATEVALUE($A163),'recurring1_based on steps'!AQ$1:AQ$400,0)),AQ$2,)</f>
        <v>0</v>
      </c>
      <c r="AR163" s="155">
        <f ca="1">IF(ISNUMBER(MATCH(DATEVALUE($A163),'recurring1_based on steps'!AR$1:AR$400,0)),AR$2,)</f>
        <v>0</v>
      </c>
      <c r="AS163" s="155">
        <f ca="1">IF(ISNUMBER(MATCH(DATEVALUE($A163),'recurring1_based on steps'!AS$1:AS$400,0)),AS$2,)</f>
        <v>0</v>
      </c>
      <c r="AT163" s="155">
        <f ca="1">IF(ISNUMBER(MATCH(DATEVALUE($A163),'recurring1_based on steps'!AT$1:AT$400,0)),AT$2,)</f>
        <v>0</v>
      </c>
      <c r="AU163" s="155">
        <f ca="1">IF(ISNUMBER(MATCH(DATEVALUE($A163),'recurring1_based on steps'!AU$1:AU$400,0)),AU$2,)</f>
        <v>0</v>
      </c>
      <c r="AV163" s="155">
        <f ca="1">IF(ISNUMBER(MATCH(DATEVALUE($A163),'recurring1_based on steps'!AV$1:AV$400,0)),AV$2,)</f>
        <v>0</v>
      </c>
      <c r="AW163" s="155">
        <f ca="1">IF(ISNUMBER(MATCH(DATEVALUE($A163),'recurring1_based on steps'!AW$1:AW$400,0)),AW$2,)</f>
        <v>0</v>
      </c>
      <c r="AX163" s="155">
        <f ca="1">IF(ISNUMBER(MATCH(DATEVALUE($A163),'recurring1_based on steps'!AX$1:AX$400,0)),AX$2,)</f>
        <v>0</v>
      </c>
      <c r="AY163" s="155">
        <f ca="1">IF(ISNUMBER(MATCH(DATEVALUE($A163),'recurring1_based on steps'!AY$1:AY$400,0)),AY$2,)</f>
        <v>0</v>
      </c>
    </row>
    <row r="164" spans="1:51" x14ac:dyDescent="0.2">
      <c r="A164" s="18" t="str">
        <f t="shared" ca="1" si="2"/>
        <v>2025-07-12</v>
      </c>
      <c r="B164" s="155">
        <f ca="1">IF(ISNUMBER(MATCH(DATEVALUE($A164),'recurring1_based on steps'!B$1:B$400,0)),B$2,)</f>
        <v>0</v>
      </c>
      <c r="C164" s="155">
        <f ca="1">IF(ISNUMBER(MATCH(DATEVALUE($A164),'recurring1_based on steps'!C$1:C$400,0)),C$2,)</f>
        <v>0</v>
      </c>
      <c r="D164" s="155">
        <f ca="1">IF(ISNUMBER(MATCH(DATEVALUE($A164),'recurring1_based on steps'!D$1:D$400,0)),D$2,)</f>
        <v>0</v>
      </c>
      <c r="E164" s="155">
        <f ca="1">IF(ISNUMBER(MATCH(DATEVALUE($A164),'recurring1_based on steps'!E$1:E$400,0)),E$2,)</f>
        <v>0</v>
      </c>
      <c r="F164" s="155">
        <f ca="1">IF(ISNUMBER(MATCH(DATEVALUE($A164),'recurring1_based on steps'!F$1:F$400,0)),F$2,)</f>
        <v>0</v>
      </c>
      <c r="G164" s="155">
        <f ca="1">IF(ISNUMBER(MATCH(DATEVALUE($A164),'recurring1_based on steps'!G$1:G$400,0)),G$2,)</f>
        <v>0</v>
      </c>
      <c r="H164" s="155">
        <f ca="1">IF(ISNUMBER(MATCH(DATEVALUE($A164),'recurring1_based on steps'!H$1:H$400,0)),H$2,)</f>
        <v>0</v>
      </c>
      <c r="I164" s="155">
        <f ca="1">IF(ISNUMBER(MATCH(DATEVALUE($A164),'recurring1_based on steps'!I$1:I$400,0)),I$2,)</f>
        <v>0</v>
      </c>
      <c r="J164" s="155">
        <f ca="1">IF(ISNUMBER(MATCH(DATEVALUE($A164),'recurring1_based on steps'!J$1:J$400,0)),J$2,)</f>
        <v>0</v>
      </c>
      <c r="K164" s="155">
        <f ca="1">IF(ISNUMBER(MATCH(DATEVALUE($A164),'recurring1_based on steps'!K$1:K$400,0)),K$2,)</f>
        <v>0</v>
      </c>
      <c r="L164" s="155">
        <f ca="1">IF(ISNUMBER(MATCH(DATEVALUE($A164),'recurring1_based on steps'!L$1:L$400,0)),L$2,)</f>
        <v>0</v>
      </c>
      <c r="M164" s="155">
        <f ca="1">IF(ISNUMBER(MATCH(DATEVALUE($A164),'recurring1_based on steps'!M$1:M$400,0)),M$2,)</f>
        <v>0</v>
      </c>
      <c r="N164" s="155">
        <f ca="1">IF(ISNUMBER(MATCH(DATEVALUE($A164),'recurring1_based on steps'!N$1:N$400,0)),N$2,)</f>
        <v>0</v>
      </c>
      <c r="O164" s="155">
        <f ca="1">IF(ISNUMBER(MATCH(DATEVALUE($A164),'recurring1_based on steps'!O$1:O$400,0)),O$2,)</f>
        <v>0</v>
      </c>
      <c r="P164" s="155">
        <f ca="1">IF(ISNUMBER(MATCH(DATEVALUE($A164),'recurring1_based on steps'!P$1:P$400,0)),P$2,)</f>
        <v>0</v>
      </c>
      <c r="Q164" s="155">
        <f ca="1">IF(ISNUMBER(MATCH(DATEVALUE($A164),'recurring1_based on steps'!Q$1:Q$400,0)),Q$2,)</f>
        <v>100</v>
      </c>
      <c r="R164" s="155">
        <f ca="1">IF(ISNUMBER(MATCH(DATEVALUE($A164),'recurring1_based on steps'!R$1:R$400,0)),R$2,)</f>
        <v>100</v>
      </c>
      <c r="S164" s="155">
        <f ca="1">IF(ISNUMBER(MATCH(DATEVALUE($A164),'recurring1_based on steps'!S$1:S$400,0)),S$2,)</f>
        <v>0</v>
      </c>
      <c r="T164" s="155">
        <f ca="1">IF(ISNUMBER(MATCH(DATEVALUE($A164),'recurring1_based on steps'!T$1:T$400,0)),T$2,)</f>
        <v>0</v>
      </c>
      <c r="U164" s="155">
        <f ca="1">IF(ISNUMBER(MATCH(DATEVALUE($A164),'recurring1_based on steps'!U$1:U$400,0)),U$2,)</f>
        <v>0</v>
      </c>
      <c r="V164" s="155">
        <f ca="1">IF(ISNUMBER(MATCH(DATEVALUE($A164),'recurring1_based on steps'!V$1:V$400,0)),V$2,)</f>
        <v>0</v>
      </c>
      <c r="W164" s="155">
        <f ca="1">IF(ISNUMBER(MATCH(DATEVALUE($A164),'recurring1_based on steps'!W$1:W$400,0)),W$2,)</f>
        <v>0</v>
      </c>
      <c r="X164" s="155">
        <f ca="1">IF(ISNUMBER(MATCH(DATEVALUE($A164),'recurring1_based on steps'!X$1:X$400,0)),X$2,)</f>
        <v>0</v>
      </c>
      <c r="Y164" s="155">
        <f ca="1">IF(ISNUMBER(MATCH(DATEVALUE($A164),'recurring1_based on steps'!Y$1:Y$400,0)),Y$2,)</f>
        <v>0</v>
      </c>
      <c r="Z164" s="155">
        <f ca="1">IF(ISNUMBER(MATCH(DATEVALUE($A164),'recurring1_based on steps'!Z$1:Z$400,0)),Z$2,)</f>
        <v>0</v>
      </c>
      <c r="AA164" s="155">
        <f ca="1">IF(ISNUMBER(MATCH(DATEVALUE($A164),'recurring1_based on steps'!AA$1:AA$400,0)),AA$2,)</f>
        <v>0</v>
      </c>
      <c r="AB164" s="155">
        <f ca="1">IF(ISNUMBER(MATCH(DATEVALUE($A164),'recurring1_based on steps'!AB$1:AB$400,0)),AB$2,)</f>
        <v>0</v>
      </c>
      <c r="AC164" s="155">
        <f ca="1">IF(ISNUMBER(MATCH(DATEVALUE($A164),'recurring1_based on steps'!AC$1:AC$400,0)),AC$2,)</f>
        <v>0</v>
      </c>
      <c r="AD164" s="155">
        <f ca="1">IF(ISNUMBER(MATCH(DATEVALUE($A164),'recurring1_based on steps'!AD$1:AD$400,0)),AD$2,)</f>
        <v>0</v>
      </c>
      <c r="AE164" s="155">
        <f ca="1">IF(ISNUMBER(MATCH(DATEVALUE($A164),'recurring1_based on steps'!AE$1:AE$400,0)),AE$2,)</f>
        <v>0</v>
      </c>
      <c r="AF164" s="155">
        <f ca="1">IF(ISNUMBER(MATCH(DATEVALUE($A164),'recurring1_based on steps'!AF$1:AF$400,0)),AF$2,)</f>
        <v>0</v>
      </c>
      <c r="AG164" s="155">
        <f ca="1">IF(ISNUMBER(MATCH(DATEVALUE($A164),'recurring1_based on steps'!AG$1:AG$400,0)),AG$2,)</f>
        <v>0</v>
      </c>
      <c r="AH164" s="155">
        <f ca="1">IF(ISNUMBER(MATCH(DATEVALUE($A164),'recurring1_based on steps'!AH$1:AH$400,0)),AH$2,)</f>
        <v>0</v>
      </c>
      <c r="AI164" s="155">
        <f ca="1">IF(ISNUMBER(MATCH(DATEVALUE($A164),'recurring1_based on steps'!AI$1:AI$400,0)),AI$2,)</f>
        <v>0</v>
      </c>
      <c r="AJ164" s="155">
        <f ca="1">IF(ISNUMBER(MATCH(DATEVALUE($A164),'recurring1_based on steps'!AJ$1:AJ$400,0)),AJ$2,)</f>
        <v>0</v>
      </c>
      <c r="AK164" s="155">
        <f ca="1">IF(ISNUMBER(MATCH(DATEVALUE($A164),'recurring1_based on steps'!AK$1:AK$400,0)),AK$2,)</f>
        <v>0</v>
      </c>
      <c r="AL164" s="155">
        <f ca="1">IF(ISNUMBER(MATCH(DATEVALUE($A164),'recurring1_based on steps'!AL$1:AL$400,0)),AL$2,)</f>
        <v>0</v>
      </c>
      <c r="AM164" s="155">
        <f ca="1">IF(ISNUMBER(MATCH(DATEVALUE($A164),'recurring1_based on steps'!AM$1:AM$400,0)),AM$2,)</f>
        <v>0</v>
      </c>
      <c r="AN164" s="155">
        <f ca="1">IF(ISNUMBER(MATCH(DATEVALUE($A164),'recurring1_based on steps'!AN$1:AN$400,0)),AN$2,)</f>
        <v>0</v>
      </c>
      <c r="AO164" s="155">
        <f ca="1">IF(ISNUMBER(MATCH(DATEVALUE($A164),'recurring1_based on steps'!AO$1:AO$400,0)),AO$2,)</f>
        <v>0</v>
      </c>
      <c r="AP164" s="155">
        <f ca="1">IF(ISNUMBER(MATCH(DATEVALUE($A164),'recurring1_based on steps'!AP$1:AP$400,0)),AP$2,)</f>
        <v>0</v>
      </c>
      <c r="AQ164" s="155">
        <f ca="1">IF(ISNUMBER(MATCH(DATEVALUE($A164),'recurring1_based on steps'!AQ$1:AQ$400,0)),AQ$2,)</f>
        <v>0</v>
      </c>
      <c r="AR164" s="155">
        <f ca="1">IF(ISNUMBER(MATCH(DATEVALUE($A164),'recurring1_based on steps'!AR$1:AR$400,0)),AR$2,)</f>
        <v>0</v>
      </c>
      <c r="AS164" s="155">
        <f ca="1">IF(ISNUMBER(MATCH(DATEVALUE($A164),'recurring1_based on steps'!AS$1:AS$400,0)),AS$2,)</f>
        <v>0</v>
      </c>
      <c r="AT164" s="155">
        <f ca="1">IF(ISNUMBER(MATCH(DATEVALUE($A164),'recurring1_based on steps'!AT$1:AT$400,0)),AT$2,)</f>
        <v>0</v>
      </c>
      <c r="AU164" s="155">
        <f ca="1">IF(ISNUMBER(MATCH(DATEVALUE($A164),'recurring1_based on steps'!AU$1:AU$400,0)),AU$2,)</f>
        <v>0</v>
      </c>
      <c r="AV164" s="155">
        <f ca="1">IF(ISNUMBER(MATCH(DATEVALUE($A164),'recurring1_based on steps'!AV$1:AV$400,0)),AV$2,)</f>
        <v>0</v>
      </c>
      <c r="AW164" s="155">
        <f ca="1">IF(ISNUMBER(MATCH(DATEVALUE($A164),'recurring1_based on steps'!AW$1:AW$400,0)),AW$2,)</f>
        <v>0</v>
      </c>
      <c r="AX164" s="155">
        <f ca="1">IF(ISNUMBER(MATCH(DATEVALUE($A164),'recurring1_based on steps'!AX$1:AX$400,0)),AX$2,)</f>
        <v>0</v>
      </c>
      <c r="AY164" s="155">
        <f ca="1">IF(ISNUMBER(MATCH(DATEVALUE($A164),'recurring1_based on steps'!AY$1:AY$400,0)),AY$2,)</f>
        <v>0</v>
      </c>
    </row>
    <row r="165" spans="1:51" x14ac:dyDescent="0.2">
      <c r="A165" s="18" t="str">
        <f t="shared" ca="1" si="2"/>
        <v>2025-07-13</v>
      </c>
      <c r="B165" s="155">
        <f ca="1">IF(ISNUMBER(MATCH(DATEVALUE($A165),'recurring1_based on steps'!B$1:B$400,0)),B$2,)</f>
        <v>0</v>
      </c>
      <c r="C165" s="155">
        <f ca="1">IF(ISNUMBER(MATCH(DATEVALUE($A165),'recurring1_based on steps'!C$1:C$400,0)),C$2,)</f>
        <v>0</v>
      </c>
      <c r="D165" s="155">
        <f ca="1">IF(ISNUMBER(MATCH(DATEVALUE($A165),'recurring1_based on steps'!D$1:D$400,0)),D$2,)</f>
        <v>0</v>
      </c>
      <c r="E165" s="155">
        <f ca="1">IF(ISNUMBER(MATCH(DATEVALUE($A165),'recurring1_based on steps'!E$1:E$400,0)),E$2,)</f>
        <v>0</v>
      </c>
      <c r="F165" s="155">
        <f ca="1">IF(ISNUMBER(MATCH(DATEVALUE($A165),'recurring1_based on steps'!F$1:F$400,0)),F$2,)</f>
        <v>0</v>
      </c>
      <c r="G165" s="155">
        <f ca="1">IF(ISNUMBER(MATCH(DATEVALUE($A165),'recurring1_based on steps'!G$1:G$400,0)),G$2,)</f>
        <v>0</v>
      </c>
      <c r="H165" s="155">
        <f ca="1">IF(ISNUMBER(MATCH(DATEVALUE($A165),'recurring1_based on steps'!H$1:H$400,0)),H$2,)</f>
        <v>0</v>
      </c>
      <c r="I165" s="155">
        <f ca="1">IF(ISNUMBER(MATCH(DATEVALUE($A165),'recurring1_based on steps'!I$1:I$400,0)),I$2,)</f>
        <v>0</v>
      </c>
      <c r="J165" s="155">
        <f ca="1">IF(ISNUMBER(MATCH(DATEVALUE($A165),'recurring1_based on steps'!J$1:J$400,0)),J$2,)</f>
        <v>0</v>
      </c>
      <c r="K165" s="155">
        <f ca="1">IF(ISNUMBER(MATCH(DATEVALUE($A165),'recurring1_based on steps'!K$1:K$400,0)),K$2,)</f>
        <v>50</v>
      </c>
      <c r="L165" s="155">
        <f ca="1">IF(ISNUMBER(MATCH(DATEVALUE($A165),'recurring1_based on steps'!L$1:L$400,0)),L$2,)</f>
        <v>0</v>
      </c>
      <c r="M165" s="155">
        <f ca="1">IF(ISNUMBER(MATCH(DATEVALUE($A165),'recurring1_based on steps'!M$1:M$400,0)),M$2,)</f>
        <v>0</v>
      </c>
      <c r="N165" s="155">
        <f ca="1">IF(ISNUMBER(MATCH(DATEVALUE($A165),'recurring1_based on steps'!N$1:N$400,0)),N$2,)</f>
        <v>0</v>
      </c>
      <c r="O165" s="155">
        <f ca="1">IF(ISNUMBER(MATCH(DATEVALUE($A165),'recurring1_based on steps'!O$1:O$400,0)),O$2,)</f>
        <v>0</v>
      </c>
      <c r="P165" s="155">
        <f ca="1">IF(ISNUMBER(MATCH(DATEVALUE($A165),'recurring1_based on steps'!P$1:P$400,0)),P$2,)</f>
        <v>0</v>
      </c>
      <c r="Q165" s="155">
        <f ca="1">IF(ISNUMBER(MATCH(DATEVALUE($A165),'recurring1_based on steps'!Q$1:Q$400,0)),Q$2,)</f>
        <v>0</v>
      </c>
      <c r="R165" s="155">
        <f ca="1">IF(ISNUMBER(MATCH(DATEVALUE($A165),'recurring1_based on steps'!R$1:R$400,0)),R$2,)</f>
        <v>0</v>
      </c>
      <c r="S165" s="155">
        <f ca="1">IF(ISNUMBER(MATCH(DATEVALUE($A165),'recurring1_based on steps'!S$1:S$400,0)),S$2,)</f>
        <v>100</v>
      </c>
      <c r="T165" s="155">
        <f ca="1">IF(ISNUMBER(MATCH(DATEVALUE($A165),'recurring1_based on steps'!T$1:T$400,0)),T$2,)</f>
        <v>0</v>
      </c>
      <c r="U165" s="155">
        <f ca="1">IF(ISNUMBER(MATCH(DATEVALUE($A165),'recurring1_based on steps'!U$1:U$400,0)),U$2,)</f>
        <v>0</v>
      </c>
      <c r="V165" s="155">
        <f ca="1">IF(ISNUMBER(MATCH(DATEVALUE($A165),'recurring1_based on steps'!V$1:V$400,0)),V$2,)</f>
        <v>0</v>
      </c>
      <c r="W165" s="155">
        <f ca="1">IF(ISNUMBER(MATCH(DATEVALUE($A165),'recurring1_based on steps'!W$1:W$400,0)),W$2,)</f>
        <v>0</v>
      </c>
      <c r="X165" s="155">
        <f ca="1">IF(ISNUMBER(MATCH(DATEVALUE($A165),'recurring1_based on steps'!X$1:X$400,0)),X$2,)</f>
        <v>0</v>
      </c>
      <c r="Y165" s="155">
        <f ca="1">IF(ISNUMBER(MATCH(DATEVALUE($A165),'recurring1_based on steps'!Y$1:Y$400,0)),Y$2,)</f>
        <v>0</v>
      </c>
      <c r="Z165" s="155">
        <f ca="1">IF(ISNUMBER(MATCH(DATEVALUE($A165),'recurring1_based on steps'!Z$1:Z$400,0)),Z$2,)</f>
        <v>0</v>
      </c>
      <c r="AA165" s="155">
        <f ca="1">IF(ISNUMBER(MATCH(DATEVALUE($A165),'recurring1_based on steps'!AA$1:AA$400,0)),AA$2,)</f>
        <v>0</v>
      </c>
      <c r="AB165" s="155">
        <f ca="1">IF(ISNUMBER(MATCH(DATEVALUE($A165),'recurring1_based on steps'!AB$1:AB$400,0)),AB$2,)</f>
        <v>0</v>
      </c>
      <c r="AC165" s="155">
        <f ca="1">IF(ISNUMBER(MATCH(DATEVALUE($A165),'recurring1_based on steps'!AC$1:AC$400,0)),AC$2,)</f>
        <v>0</v>
      </c>
      <c r="AD165" s="155">
        <f ca="1">IF(ISNUMBER(MATCH(DATEVALUE($A165),'recurring1_based on steps'!AD$1:AD$400,0)),AD$2,)</f>
        <v>0</v>
      </c>
      <c r="AE165" s="155">
        <f ca="1">IF(ISNUMBER(MATCH(DATEVALUE($A165),'recurring1_based on steps'!AE$1:AE$400,0)),AE$2,)</f>
        <v>0</v>
      </c>
      <c r="AF165" s="155">
        <f ca="1">IF(ISNUMBER(MATCH(DATEVALUE($A165),'recurring1_based on steps'!AF$1:AF$400,0)),AF$2,)</f>
        <v>0</v>
      </c>
      <c r="AG165" s="155">
        <f ca="1">IF(ISNUMBER(MATCH(DATEVALUE($A165),'recurring1_based on steps'!AG$1:AG$400,0)),AG$2,)</f>
        <v>0</v>
      </c>
      <c r="AH165" s="155">
        <f ca="1">IF(ISNUMBER(MATCH(DATEVALUE($A165),'recurring1_based on steps'!AH$1:AH$400,0)),AH$2,)</f>
        <v>0</v>
      </c>
      <c r="AI165" s="155">
        <f ca="1">IF(ISNUMBER(MATCH(DATEVALUE($A165),'recurring1_based on steps'!AI$1:AI$400,0)),AI$2,)</f>
        <v>0</v>
      </c>
      <c r="AJ165" s="155">
        <f ca="1">IF(ISNUMBER(MATCH(DATEVALUE($A165),'recurring1_based on steps'!AJ$1:AJ$400,0)),AJ$2,)</f>
        <v>0</v>
      </c>
      <c r="AK165" s="155">
        <f ca="1">IF(ISNUMBER(MATCH(DATEVALUE($A165),'recurring1_based on steps'!AK$1:AK$400,0)),AK$2,)</f>
        <v>0</v>
      </c>
      <c r="AL165" s="155">
        <f ca="1">IF(ISNUMBER(MATCH(DATEVALUE($A165),'recurring1_based on steps'!AL$1:AL$400,0)),AL$2,)</f>
        <v>0</v>
      </c>
      <c r="AM165" s="155">
        <f ca="1">IF(ISNUMBER(MATCH(DATEVALUE($A165),'recurring1_based on steps'!AM$1:AM$400,0)),AM$2,)</f>
        <v>0</v>
      </c>
      <c r="AN165" s="155">
        <f ca="1">IF(ISNUMBER(MATCH(DATEVALUE($A165),'recurring1_based on steps'!AN$1:AN$400,0)),AN$2,)</f>
        <v>0</v>
      </c>
      <c r="AO165" s="155">
        <f ca="1">IF(ISNUMBER(MATCH(DATEVALUE($A165),'recurring1_based on steps'!AO$1:AO$400,0)),AO$2,)</f>
        <v>0</v>
      </c>
      <c r="AP165" s="155">
        <f ca="1">IF(ISNUMBER(MATCH(DATEVALUE($A165),'recurring1_based on steps'!AP$1:AP$400,0)),AP$2,)</f>
        <v>0</v>
      </c>
      <c r="AQ165" s="155">
        <f ca="1">IF(ISNUMBER(MATCH(DATEVALUE($A165),'recurring1_based on steps'!AQ$1:AQ$400,0)),AQ$2,)</f>
        <v>0</v>
      </c>
      <c r="AR165" s="155">
        <f ca="1">IF(ISNUMBER(MATCH(DATEVALUE($A165),'recurring1_based on steps'!AR$1:AR$400,0)),AR$2,)</f>
        <v>0</v>
      </c>
      <c r="AS165" s="155">
        <f ca="1">IF(ISNUMBER(MATCH(DATEVALUE($A165),'recurring1_based on steps'!AS$1:AS$400,0)),AS$2,)</f>
        <v>0</v>
      </c>
      <c r="AT165" s="155">
        <f ca="1">IF(ISNUMBER(MATCH(DATEVALUE($A165),'recurring1_based on steps'!AT$1:AT$400,0)),AT$2,)</f>
        <v>0</v>
      </c>
      <c r="AU165" s="155">
        <f ca="1">IF(ISNUMBER(MATCH(DATEVALUE($A165),'recurring1_based on steps'!AU$1:AU$400,0)),AU$2,)</f>
        <v>0</v>
      </c>
      <c r="AV165" s="155">
        <f ca="1">IF(ISNUMBER(MATCH(DATEVALUE($A165),'recurring1_based on steps'!AV$1:AV$400,0)),AV$2,)</f>
        <v>0</v>
      </c>
      <c r="AW165" s="155">
        <f ca="1">IF(ISNUMBER(MATCH(DATEVALUE($A165),'recurring1_based on steps'!AW$1:AW$400,0)),AW$2,)</f>
        <v>0</v>
      </c>
      <c r="AX165" s="155">
        <f ca="1">IF(ISNUMBER(MATCH(DATEVALUE($A165),'recurring1_based on steps'!AX$1:AX$400,0)),AX$2,)</f>
        <v>0</v>
      </c>
      <c r="AY165" s="155">
        <f ca="1">IF(ISNUMBER(MATCH(DATEVALUE($A165),'recurring1_based on steps'!AY$1:AY$400,0)),AY$2,)</f>
        <v>0</v>
      </c>
    </row>
    <row r="166" spans="1:51" x14ac:dyDescent="0.2">
      <c r="A166" s="18" t="str">
        <f t="shared" ca="1" si="2"/>
        <v>2025-07-14</v>
      </c>
      <c r="B166" s="155">
        <f ca="1">IF(ISNUMBER(MATCH(DATEVALUE($A166),'recurring1_based on steps'!B$1:B$400,0)),B$2,)</f>
        <v>0</v>
      </c>
      <c r="C166" s="155">
        <f ca="1">IF(ISNUMBER(MATCH(DATEVALUE($A166),'recurring1_based on steps'!C$1:C$400,0)),C$2,)</f>
        <v>0</v>
      </c>
      <c r="D166" s="155">
        <f ca="1">IF(ISNUMBER(MATCH(DATEVALUE($A166),'recurring1_based on steps'!D$1:D$400,0)),D$2,)</f>
        <v>0</v>
      </c>
      <c r="E166" s="155">
        <f ca="1">IF(ISNUMBER(MATCH(DATEVALUE($A166),'recurring1_based on steps'!E$1:E$400,0)),E$2,)</f>
        <v>0</v>
      </c>
      <c r="F166" s="155">
        <f ca="1">IF(ISNUMBER(MATCH(DATEVALUE($A166),'recurring1_based on steps'!F$1:F$400,0)),F$2,)</f>
        <v>0</v>
      </c>
      <c r="G166" s="155">
        <f ca="1">IF(ISNUMBER(MATCH(DATEVALUE($A166),'recurring1_based on steps'!G$1:G$400,0)),G$2,)</f>
        <v>0</v>
      </c>
      <c r="H166" s="155">
        <f ca="1">IF(ISNUMBER(MATCH(DATEVALUE($A166),'recurring1_based on steps'!H$1:H$400,0)),H$2,)</f>
        <v>0</v>
      </c>
      <c r="I166" s="155">
        <f ca="1">IF(ISNUMBER(MATCH(DATEVALUE($A166),'recurring1_based on steps'!I$1:I$400,0)),I$2,)</f>
        <v>0</v>
      </c>
      <c r="J166" s="155">
        <f ca="1">IF(ISNUMBER(MATCH(DATEVALUE($A166),'recurring1_based on steps'!J$1:J$400,0)),J$2,)</f>
        <v>0</v>
      </c>
      <c r="K166" s="155">
        <f ca="1">IF(ISNUMBER(MATCH(DATEVALUE($A166),'recurring1_based on steps'!K$1:K$400,0)),K$2,)</f>
        <v>0</v>
      </c>
      <c r="L166" s="155">
        <f ca="1">IF(ISNUMBER(MATCH(DATEVALUE($A166),'recurring1_based on steps'!L$1:L$400,0)),L$2,)</f>
        <v>0</v>
      </c>
      <c r="M166" s="155">
        <f ca="1">IF(ISNUMBER(MATCH(DATEVALUE($A166),'recurring1_based on steps'!M$1:M$400,0)),M$2,)</f>
        <v>0</v>
      </c>
      <c r="N166" s="155">
        <f ca="1">IF(ISNUMBER(MATCH(DATEVALUE($A166),'recurring1_based on steps'!N$1:N$400,0)),N$2,)</f>
        <v>0</v>
      </c>
      <c r="O166" s="155">
        <f ca="1">IF(ISNUMBER(MATCH(DATEVALUE($A166),'recurring1_based on steps'!O$1:O$400,0)),O$2,)</f>
        <v>0</v>
      </c>
      <c r="P166" s="155">
        <f ca="1">IF(ISNUMBER(MATCH(DATEVALUE($A166),'recurring1_based on steps'!P$1:P$400,0)),P$2,)</f>
        <v>0</v>
      </c>
      <c r="Q166" s="155">
        <f ca="1">IF(ISNUMBER(MATCH(DATEVALUE($A166),'recurring1_based on steps'!Q$1:Q$400,0)),Q$2,)</f>
        <v>0</v>
      </c>
      <c r="R166" s="155">
        <f ca="1">IF(ISNUMBER(MATCH(DATEVALUE($A166),'recurring1_based on steps'!R$1:R$400,0)),R$2,)</f>
        <v>0</v>
      </c>
      <c r="S166" s="155">
        <f ca="1">IF(ISNUMBER(MATCH(DATEVALUE($A166),'recurring1_based on steps'!S$1:S$400,0)),S$2,)</f>
        <v>0</v>
      </c>
      <c r="T166" s="155">
        <f ca="1">IF(ISNUMBER(MATCH(DATEVALUE($A166),'recurring1_based on steps'!T$1:T$400,0)),T$2,)</f>
        <v>0</v>
      </c>
      <c r="U166" s="155">
        <f ca="1">IF(ISNUMBER(MATCH(DATEVALUE($A166),'recurring1_based on steps'!U$1:U$400,0)),U$2,)</f>
        <v>0</v>
      </c>
      <c r="V166" s="155">
        <f ca="1">IF(ISNUMBER(MATCH(DATEVALUE($A166),'recurring1_based on steps'!V$1:V$400,0)),V$2,)</f>
        <v>0</v>
      </c>
      <c r="W166" s="155">
        <f ca="1">IF(ISNUMBER(MATCH(DATEVALUE($A166),'recurring1_based on steps'!W$1:W$400,0)),W$2,)</f>
        <v>0</v>
      </c>
      <c r="X166" s="155">
        <f ca="1">IF(ISNUMBER(MATCH(DATEVALUE($A166),'recurring1_based on steps'!X$1:X$400,0)),X$2,)</f>
        <v>0</v>
      </c>
      <c r="Y166" s="155">
        <f ca="1">IF(ISNUMBER(MATCH(DATEVALUE($A166),'recurring1_based on steps'!Y$1:Y$400,0)),Y$2,)</f>
        <v>0</v>
      </c>
      <c r="Z166" s="155">
        <f ca="1">IF(ISNUMBER(MATCH(DATEVALUE($A166),'recurring1_based on steps'!Z$1:Z$400,0)),Z$2,)</f>
        <v>0</v>
      </c>
      <c r="AA166" s="155">
        <f ca="1">IF(ISNUMBER(MATCH(DATEVALUE($A166),'recurring1_based on steps'!AA$1:AA$400,0)),AA$2,)</f>
        <v>0</v>
      </c>
      <c r="AB166" s="155">
        <f ca="1">IF(ISNUMBER(MATCH(DATEVALUE($A166),'recurring1_based on steps'!AB$1:AB$400,0)),AB$2,)</f>
        <v>0</v>
      </c>
      <c r="AC166" s="155">
        <f ca="1">IF(ISNUMBER(MATCH(DATEVALUE($A166),'recurring1_based on steps'!AC$1:AC$400,0)),AC$2,)</f>
        <v>0</v>
      </c>
      <c r="AD166" s="155">
        <f ca="1">IF(ISNUMBER(MATCH(DATEVALUE($A166),'recurring1_based on steps'!AD$1:AD$400,0)),AD$2,)</f>
        <v>0</v>
      </c>
      <c r="AE166" s="155">
        <f ca="1">IF(ISNUMBER(MATCH(DATEVALUE($A166),'recurring1_based on steps'!AE$1:AE$400,0)),AE$2,)</f>
        <v>0</v>
      </c>
      <c r="AF166" s="155">
        <f ca="1">IF(ISNUMBER(MATCH(DATEVALUE($A166),'recurring1_based on steps'!AF$1:AF$400,0)),AF$2,)</f>
        <v>0</v>
      </c>
      <c r="AG166" s="155">
        <f ca="1">IF(ISNUMBER(MATCH(DATEVALUE($A166),'recurring1_based on steps'!AG$1:AG$400,0)),AG$2,)</f>
        <v>0</v>
      </c>
      <c r="AH166" s="155">
        <f ca="1">IF(ISNUMBER(MATCH(DATEVALUE($A166),'recurring1_based on steps'!AH$1:AH$400,0)),AH$2,)</f>
        <v>0</v>
      </c>
      <c r="AI166" s="155">
        <f ca="1">IF(ISNUMBER(MATCH(DATEVALUE($A166),'recurring1_based on steps'!AI$1:AI$400,0)),AI$2,)</f>
        <v>0</v>
      </c>
      <c r="AJ166" s="155">
        <f ca="1">IF(ISNUMBER(MATCH(DATEVALUE($A166),'recurring1_based on steps'!AJ$1:AJ$400,0)),AJ$2,)</f>
        <v>0</v>
      </c>
      <c r="AK166" s="155">
        <f ca="1">IF(ISNUMBER(MATCH(DATEVALUE($A166),'recurring1_based on steps'!AK$1:AK$400,0)),AK$2,)</f>
        <v>0</v>
      </c>
      <c r="AL166" s="155">
        <f ca="1">IF(ISNUMBER(MATCH(DATEVALUE($A166),'recurring1_based on steps'!AL$1:AL$400,0)),AL$2,)</f>
        <v>0</v>
      </c>
      <c r="AM166" s="155">
        <f ca="1">IF(ISNUMBER(MATCH(DATEVALUE($A166),'recurring1_based on steps'!AM$1:AM$400,0)),AM$2,)</f>
        <v>0</v>
      </c>
      <c r="AN166" s="155">
        <f ca="1">IF(ISNUMBER(MATCH(DATEVALUE($A166),'recurring1_based on steps'!AN$1:AN$400,0)),AN$2,)</f>
        <v>0</v>
      </c>
      <c r="AO166" s="155">
        <f ca="1">IF(ISNUMBER(MATCH(DATEVALUE($A166),'recurring1_based on steps'!AO$1:AO$400,0)),AO$2,)</f>
        <v>0</v>
      </c>
      <c r="AP166" s="155">
        <f ca="1">IF(ISNUMBER(MATCH(DATEVALUE($A166),'recurring1_based on steps'!AP$1:AP$400,0)),AP$2,)</f>
        <v>0</v>
      </c>
      <c r="AQ166" s="155">
        <f ca="1">IF(ISNUMBER(MATCH(DATEVALUE($A166),'recurring1_based on steps'!AQ$1:AQ$400,0)),AQ$2,)</f>
        <v>0</v>
      </c>
      <c r="AR166" s="155">
        <f ca="1">IF(ISNUMBER(MATCH(DATEVALUE($A166),'recurring1_based on steps'!AR$1:AR$400,0)),AR$2,)</f>
        <v>0</v>
      </c>
      <c r="AS166" s="155">
        <f ca="1">IF(ISNUMBER(MATCH(DATEVALUE($A166),'recurring1_based on steps'!AS$1:AS$400,0)),AS$2,)</f>
        <v>0</v>
      </c>
      <c r="AT166" s="155">
        <f ca="1">IF(ISNUMBER(MATCH(DATEVALUE($A166),'recurring1_based on steps'!AT$1:AT$400,0)),AT$2,)</f>
        <v>0</v>
      </c>
      <c r="AU166" s="155">
        <f ca="1">IF(ISNUMBER(MATCH(DATEVALUE($A166),'recurring1_based on steps'!AU$1:AU$400,0)),AU$2,)</f>
        <v>0</v>
      </c>
      <c r="AV166" s="155">
        <f ca="1">IF(ISNUMBER(MATCH(DATEVALUE($A166),'recurring1_based on steps'!AV$1:AV$400,0)),AV$2,)</f>
        <v>0</v>
      </c>
      <c r="AW166" s="155">
        <f ca="1">IF(ISNUMBER(MATCH(DATEVALUE($A166),'recurring1_based on steps'!AW$1:AW$400,0)),AW$2,)</f>
        <v>0</v>
      </c>
      <c r="AX166" s="155">
        <f ca="1">IF(ISNUMBER(MATCH(DATEVALUE($A166),'recurring1_based on steps'!AX$1:AX$400,0)),AX$2,)</f>
        <v>0</v>
      </c>
      <c r="AY166" s="155">
        <f ca="1">IF(ISNUMBER(MATCH(DATEVALUE($A166),'recurring1_based on steps'!AY$1:AY$400,0)),AY$2,)</f>
        <v>0</v>
      </c>
    </row>
    <row r="167" spans="1:51" x14ac:dyDescent="0.2">
      <c r="A167" s="18" t="str">
        <f t="shared" ca="1" si="2"/>
        <v>2025-07-15</v>
      </c>
      <c r="B167" s="155">
        <f ca="1">IF(ISNUMBER(MATCH(DATEVALUE($A167),'recurring1_based on steps'!B$1:B$400,0)),B$2,)</f>
        <v>0</v>
      </c>
      <c r="C167" s="155">
        <f ca="1">IF(ISNUMBER(MATCH(DATEVALUE($A167),'recurring1_based on steps'!C$1:C$400,0)),C$2,)</f>
        <v>0</v>
      </c>
      <c r="D167" s="155">
        <f ca="1">IF(ISNUMBER(MATCH(DATEVALUE($A167),'recurring1_based on steps'!D$1:D$400,0)),D$2,)</f>
        <v>0</v>
      </c>
      <c r="E167" s="155">
        <f ca="1">IF(ISNUMBER(MATCH(DATEVALUE($A167),'recurring1_based on steps'!E$1:E$400,0)),E$2,)</f>
        <v>0</v>
      </c>
      <c r="F167" s="155">
        <f ca="1">IF(ISNUMBER(MATCH(DATEVALUE($A167),'recurring1_based on steps'!F$1:F$400,0)),F$2,)</f>
        <v>0</v>
      </c>
      <c r="G167" s="155">
        <f ca="1">IF(ISNUMBER(MATCH(DATEVALUE($A167),'recurring1_based on steps'!G$1:G$400,0)),G$2,)</f>
        <v>0</v>
      </c>
      <c r="H167" s="155">
        <f ca="1">IF(ISNUMBER(MATCH(DATEVALUE($A167),'recurring1_based on steps'!H$1:H$400,0)),H$2,)</f>
        <v>0</v>
      </c>
      <c r="I167" s="155">
        <f ca="1">IF(ISNUMBER(MATCH(DATEVALUE($A167),'recurring1_based on steps'!I$1:I$400,0)),I$2,)</f>
        <v>0</v>
      </c>
      <c r="J167" s="155">
        <f ca="1">IF(ISNUMBER(MATCH(DATEVALUE($A167),'recurring1_based on steps'!J$1:J$400,0)),J$2,)</f>
        <v>0</v>
      </c>
      <c r="K167" s="155">
        <f ca="1">IF(ISNUMBER(MATCH(DATEVALUE($A167),'recurring1_based on steps'!K$1:K$400,0)),K$2,)</f>
        <v>0</v>
      </c>
      <c r="L167" s="155">
        <f ca="1">IF(ISNUMBER(MATCH(DATEVALUE($A167),'recurring1_based on steps'!L$1:L$400,0)),L$2,)</f>
        <v>0</v>
      </c>
      <c r="M167" s="155">
        <f ca="1">IF(ISNUMBER(MATCH(DATEVALUE($A167),'recurring1_based on steps'!M$1:M$400,0)),M$2,)</f>
        <v>0</v>
      </c>
      <c r="N167" s="155">
        <f ca="1">IF(ISNUMBER(MATCH(DATEVALUE($A167),'recurring1_based on steps'!N$1:N$400,0)),N$2,)</f>
        <v>0</v>
      </c>
      <c r="O167" s="155">
        <f ca="1">IF(ISNUMBER(MATCH(DATEVALUE($A167),'recurring1_based on steps'!O$1:O$400,0)),O$2,)</f>
        <v>0</v>
      </c>
      <c r="P167" s="155">
        <f ca="1">IF(ISNUMBER(MATCH(DATEVALUE($A167),'recurring1_based on steps'!P$1:P$400,0)),P$2,)</f>
        <v>0</v>
      </c>
      <c r="Q167" s="155">
        <f ca="1">IF(ISNUMBER(MATCH(DATEVALUE($A167),'recurring1_based on steps'!Q$1:Q$400,0)),Q$2,)</f>
        <v>0</v>
      </c>
      <c r="R167" s="155">
        <f ca="1">IF(ISNUMBER(MATCH(DATEVALUE($A167),'recurring1_based on steps'!R$1:R$400,0)),R$2,)</f>
        <v>0</v>
      </c>
      <c r="S167" s="155">
        <f ca="1">IF(ISNUMBER(MATCH(DATEVALUE($A167),'recurring1_based on steps'!S$1:S$400,0)),S$2,)</f>
        <v>0</v>
      </c>
      <c r="T167" s="155">
        <f ca="1">IF(ISNUMBER(MATCH(DATEVALUE($A167),'recurring1_based on steps'!T$1:T$400,0)),T$2,)</f>
        <v>0</v>
      </c>
      <c r="U167" s="155">
        <f ca="1">IF(ISNUMBER(MATCH(DATEVALUE($A167),'recurring1_based on steps'!U$1:U$400,0)),U$2,)</f>
        <v>0</v>
      </c>
      <c r="V167" s="155">
        <f ca="1">IF(ISNUMBER(MATCH(DATEVALUE($A167),'recurring1_based on steps'!V$1:V$400,0)),V$2,)</f>
        <v>0</v>
      </c>
      <c r="W167" s="155">
        <f ca="1">IF(ISNUMBER(MATCH(DATEVALUE($A167),'recurring1_based on steps'!W$1:W$400,0)),W$2,)</f>
        <v>0</v>
      </c>
      <c r="X167" s="155">
        <f ca="1">IF(ISNUMBER(MATCH(DATEVALUE($A167),'recurring1_based on steps'!X$1:X$400,0)),X$2,)</f>
        <v>0</v>
      </c>
      <c r="Y167" s="155">
        <f ca="1">IF(ISNUMBER(MATCH(DATEVALUE($A167),'recurring1_based on steps'!Y$1:Y$400,0)),Y$2,)</f>
        <v>0</v>
      </c>
      <c r="Z167" s="155">
        <f ca="1">IF(ISNUMBER(MATCH(DATEVALUE($A167),'recurring1_based on steps'!Z$1:Z$400,0)),Z$2,)</f>
        <v>0</v>
      </c>
      <c r="AA167" s="155">
        <f ca="1">IF(ISNUMBER(MATCH(DATEVALUE($A167),'recurring1_based on steps'!AA$1:AA$400,0)),AA$2,)</f>
        <v>0</v>
      </c>
      <c r="AB167" s="155">
        <f ca="1">IF(ISNUMBER(MATCH(DATEVALUE($A167),'recurring1_based on steps'!AB$1:AB$400,0)),AB$2,)</f>
        <v>0</v>
      </c>
      <c r="AC167" s="155">
        <f ca="1">IF(ISNUMBER(MATCH(DATEVALUE($A167),'recurring1_based on steps'!AC$1:AC$400,0)),AC$2,)</f>
        <v>0</v>
      </c>
      <c r="AD167" s="155">
        <f ca="1">IF(ISNUMBER(MATCH(DATEVALUE($A167),'recurring1_based on steps'!AD$1:AD$400,0)),AD$2,)</f>
        <v>0</v>
      </c>
      <c r="AE167" s="155">
        <f ca="1">IF(ISNUMBER(MATCH(DATEVALUE($A167),'recurring1_based on steps'!AE$1:AE$400,0)),AE$2,)</f>
        <v>0</v>
      </c>
      <c r="AF167" s="155">
        <f ca="1">IF(ISNUMBER(MATCH(DATEVALUE($A167),'recurring1_based on steps'!AF$1:AF$400,0)),AF$2,)</f>
        <v>0</v>
      </c>
      <c r="AG167" s="155">
        <f ca="1">IF(ISNUMBER(MATCH(DATEVALUE($A167),'recurring1_based on steps'!AG$1:AG$400,0)),AG$2,)</f>
        <v>0</v>
      </c>
      <c r="AH167" s="155">
        <f ca="1">IF(ISNUMBER(MATCH(DATEVALUE($A167),'recurring1_based on steps'!AH$1:AH$400,0)),AH$2,)</f>
        <v>0</v>
      </c>
      <c r="AI167" s="155">
        <f ca="1">IF(ISNUMBER(MATCH(DATEVALUE($A167),'recurring1_based on steps'!AI$1:AI$400,0)),AI$2,)</f>
        <v>0</v>
      </c>
      <c r="AJ167" s="155">
        <f ca="1">IF(ISNUMBER(MATCH(DATEVALUE($A167),'recurring1_based on steps'!AJ$1:AJ$400,0)),AJ$2,)</f>
        <v>0</v>
      </c>
      <c r="AK167" s="155">
        <f ca="1">IF(ISNUMBER(MATCH(DATEVALUE($A167),'recurring1_based on steps'!AK$1:AK$400,0)),AK$2,)</f>
        <v>0</v>
      </c>
      <c r="AL167" s="155">
        <f ca="1">IF(ISNUMBER(MATCH(DATEVALUE($A167),'recurring1_based on steps'!AL$1:AL$400,0)),AL$2,)</f>
        <v>0</v>
      </c>
      <c r="AM167" s="155">
        <f ca="1">IF(ISNUMBER(MATCH(DATEVALUE($A167),'recurring1_based on steps'!AM$1:AM$400,0)),AM$2,)</f>
        <v>0</v>
      </c>
      <c r="AN167" s="155">
        <f ca="1">IF(ISNUMBER(MATCH(DATEVALUE($A167),'recurring1_based on steps'!AN$1:AN$400,0)),AN$2,)</f>
        <v>0</v>
      </c>
      <c r="AO167" s="155">
        <f ca="1">IF(ISNUMBER(MATCH(DATEVALUE($A167),'recurring1_based on steps'!AO$1:AO$400,0)),AO$2,)</f>
        <v>0</v>
      </c>
      <c r="AP167" s="155">
        <f ca="1">IF(ISNUMBER(MATCH(DATEVALUE($A167),'recurring1_based on steps'!AP$1:AP$400,0)),AP$2,)</f>
        <v>0</v>
      </c>
      <c r="AQ167" s="155">
        <f ca="1">IF(ISNUMBER(MATCH(DATEVALUE($A167),'recurring1_based on steps'!AQ$1:AQ$400,0)),AQ$2,)</f>
        <v>0</v>
      </c>
      <c r="AR167" s="155">
        <f ca="1">IF(ISNUMBER(MATCH(DATEVALUE($A167),'recurring1_based on steps'!AR$1:AR$400,0)),AR$2,)</f>
        <v>0</v>
      </c>
      <c r="AS167" s="155">
        <f ca="1">IF(ISNUMBER(MATCH(DATEVALUE($A167),'recurring1_based on steps'!AS$1:AS$400,0)),AS$2,)</f>
        <v>0</v>
      </c>
      <c r="AT167" s="155">
        <f ca="1">IF(ISNUMBER(MATCH(DATEVALUE($A167),'recurring1_based on steps'!AT$1:AT$400,0)),AT$2,)</f>
        <v>0</v>
      </c>
      <c r="AU167" s="155">
        <f ca="1">IF(ISNUMBER(MATCH(DATEVALUE($A167),'recurring1_based on steps'!AU$1:AU$400,0)),AU$2,)</f>
        <v>0</v>
      </c>
      <c r="AV167" s="155">
        <f ca="1">IF(ISNUMBER(MATCH(DATEVALUE($A167),'recurring1_based on steps'!AV$1:AV$400,0)),AV$2,)</f>
        <v>0</v>
      </c>
      <c r="AW167" s="155">
        <f ca="1">IF(ISNUMBER(MATCH(DATEVALUE($A167),'recurring1_based on steps'!AW$1:AW$400,0)),AW$2,)</f>
        <v>0</v>
      </c>
      <c r="AX167" s="155">
        <f ca="1">IF(ISNUMBER(MATCH(DATEVALUE($A167),'recurring1_based on steps'!AX$1:AX$400,0)),AX$2,)</f>
        <v>0</v>
      </c>
      <c r="AY167" s="155">
        <f ca="1">IF(ISNUMBER(MATCH(DATEVALUE($A167),'recurring1_based on steps'!AY$1:AY$400,0)),AY$2,)</f>
        <v>0</v>
      </c>
    </row>
    <row r="168" spans="1:51" x14ac:dyDescent="0.2">
      <c r="A168" s="18" t="str">
        <f t="shared" ca="1" si="2"/>
        <v>2025-07-16</v>
      </c>
      <c r="B168" s="155">
        <f ca="1">IF(ISNUMBER(MATCH(DATEVALUE($A168),'recurring1_based on steps'!B$1:B$400,0)),B$2,)</f>
        <v>0</v>
      </c>
      <c r="C168" s="155">
        <f ca="1">IF(ISNUMBER(MATCH(DATEVALUE($A168),'recurring1_based on steps'!C$1:C$400,0)),C$2,)</f>
        <v>0</v>
      </c>
      <c r="D168" s="155">
        <f ca="1">IF(ISNUMBER(MATCH(DATEVALUE($A168),'recurring1_based on steps'!D$1:D$400,0)),D$2,)</f>
        <v>0</v>
      </c>
      <c r="E168" s="155">
        <f ca="1">IF(ISNUMBER(MATCH(DATEVALUE($A168),'recurring1_based on steps'!E$1:E$400,0)),E$2,)</f>
        <v>0</v>
      </c>
      <c r="F168" s="155">
        <f ca="1">IF(ISNUMBER(MATCH(DATEVALUE($A168),'recurring1_based on steps'!F$1:F$400,0)),F$2,)</f>
        <v>0</v>
      </c>
      <c r="G168" s="155">
        <f ca="1">IF(ISNUMBER(MATCH(DATEVALUE($A168),'recurring1_based on steps'!G$1:G$400,0)),G$2,)</f>
        <v>0</v>
      </c>
      <c r="H168" s="155">
        <f ca="1">IF(ISNUMBER(MATCH(DATEVALUE($A168),'recurring1_based on steps'!H$1:H$400,0)),H$2,)</f>
        <v>0</v>
      </c>
      <c r="I168" s="155">
        <f ca="1">IF(ISNUMBER(MATCH(DATEVALUE($A168),'recurring1_based on steps'!I$1:I$400,0)),I$2,)</f>
        <v>0</v>
      </c>
      <c r="J168" s="155">
        <f ca="1">IF(ISNUMBER(MATCH(DATEVALUE($A168),'recurring1_based on steps'!J$1:J$400,0)),J$2,)</f>
        <v>0</v>
      </c>
      <c r="K168" s="155">
        <f ca="1">IF(ISNUMBER(MATCH(DATEVALUE($A168),'recurring1_based on steps'!K$1:K$400,0)),K$2,)</f>
        <v>0</v>
      </c>
      <c r="L168" s="155">
        <f ca="1">IF(ISNUMBER(MATCH(DATEVALUE($A168),'recurring1_based on steps'!L$1:L$400,0)),L$2,)</f>
        <v>0</v>
      </c>
      <c r="M168" s="155">
        <f ca="1">IF(ISNUMBER(MATCH(DATEVALUE($A168),'recurring1_based on steps'!M$1:M$400,0)),M$2,)</f>
        <v>0</v>
      </c>
      <c r="N168" s="155">
        <f ca="1">IF(ISNUMBER(MATCH(DATEVALUE($A168),'recurring1_based on steps'!N$1:N$400,0)),N$2,)</f>
        <v>0</v>
      </c>
      <c r="O168" s="155">
        <f ca="1">IF(ISNUMBER(MATCH(DATEVALUE($A168),'recurring1_based on steps'!O$1:O$400,0)),O$2,)</f>
        <v>0</v>
      </c>
      <c r="P168" s="155">
        <f ca="1">IF(ISNUMBER(MATCH(DATEVALUE($A168),'recurring1_based on steps'!P$1:P$400,0)),P$2,)</f>
        <v>0</v>
      </c>
      <c r="Q168" s="155">
        <f ca="1">IF(ISNUMBER(MATCH(DATEVALUE($A168),'recurring1_based on steps'!Q$1:Q$400,0)),Q$2,)</f>
        <v>0</v>
      </c>
      <c r="R168" s="155">
        <f ca="1">IF(ISNUMBER(MATCH(DATEVALUE($A168),'recurring1_based on steps'!R$1:R$400,0)),R$2,)</f>
        <v>0</v>
      </c>
      <c r="S168" s="155">
        <f ca="1">IF(ISNUMBER(MATCH(DATEVALUE($A168),'recurring1_based on steps'!S$1:S$400,0)),S$2,)</f>
        <v>0</v>
      </c>
      <c r="T168" s="155">
        <f ca="1">IF(ISNUMBER(MATCH(DATEVALUE($A168),'recurring1_based on steps'!T$1:T$400,0)),T$2,)</f>
        <v>0</v>
      </c>
      <c r="U168" s="155">
        <f ca="1">IF(ISNUMBER(MATCH(DATEVALUE($A168),'recurring1_based on steps'!U$1:U$400,0)),U$2,)</f>
        <v>0</v>
      </c>
      <c r="V168" s="155">
        <f ca="1">IF(ISNUMBER(MATCH(DATEVALUE($A168),'recurring1_based on steps'!V$1:V$400,0)),V$2,)</f>
        <v>0</v>
      </c>
      <c r="W168" s="155">
        <f ca="1">IF(ISNUMBER(MATCH(DATEVALUE($A168),'recurring1_based on steps'!W$1:W$400,0)),W$2,)</f>
        <v>0</v>
      </c>
      <c r="X168" s="155">
        <f ca="1">IF(ISNUMBER(MATCH(DATEVALUE($A168),'recurring1_based on steps'!X$1:X$400,0)),X$2,)</f>
        <v>0</v>
      </c>
      <c r="Y168" s="155">
        <f ca="1">IF(ISNUMBER(MATCH(DATEVALUE($A168),'recurring1_based on steps'!Y$1:Y$400,0)),Y$2,)</f>
        <v>0</v>
      </c>
      <c r="Z168" s="155">
        <f ca="1">IF(ISNUMBER(MATCH(DATEVALUE($A168),'recurring1_based on steps'!Z$1:Z$400,0)),Z$2,)</f>
        <v>0</v>
      </c>
      <c r="AA168" s="155">
        <f ca="1">IF(ISNUMBER(MATCH(DATEVALUE($A168),'recurring1_based on steps'!AA$1:AA$400,0)),AA$2,)</f>
        <v>0</v>
      </c>
      <c r="AB168" s="155">
        <f ca="1">IF(ISNUMBER(MATCH(DATEVALUE($A168),'recurring1_based on steps'!AB$1:AB$400,0)),AB$2,)</f>
        <v>0</v>
      </c>
      <c r="AC168" s="155">
        <f ca="1">IF(ISNUMBER(MATCH(DATEVALUE($A168),'recurring1_based on steps'!AC$1:AC$400,0)),AC$2,)</f>
        <v>0</v>
      </c>
      <c r="AD168" s="155">
        <f ca="1">IF(ISNUMBER(MATCH(DATEVALUE($A168),'recurring1_based on steps'!AD$1:AD$400,0)),AD$2,)</f>
        <v>0</v>
      </c>
      <c r="AE168" s="155">
        <f ca="1">IF(ISNUMBER(MATCH(DATEVALUE($A168),'recurring1_based on steps'!AE$1:AE$400,0)),AE$2,)</f>
        <v>0</v>
      </c>
      <c r="AF168" s="155">
        <f ca="1">IF(ISNUMBER(MATCH(DATEVALUE($A168),'recurring1_based on steps'!AF$1:AF$400,0)),AF$2,)</f>
        <v>0</v>
      </c>
      <c r="AG168" s="155">
        <f ca="1">IF(ISNUMBER(MATCH(DATEVALUE($A168),'recurring1_based on steps'!AG$1:AG$400,0)),AG$2,)</f>
        <v>0</v>
      </c>
      <c r="AH168" s="155">
        <f ca="1">IF(ISNUMBER(MATCH(DATEVALUE($A168),'recurring1_based on steps'!AH$1:AH$400,0)),AH$2,)</f>
        <v>0</v>
      </c>
      <c r="AI168" s="155">
        <f ca="1">IF(ISNUMBER(MATCH(DATEVALUE($A168),'recurring1_based on steps'!AI$1:AI$400,0)),AI$2,)</f>
        <v>0</v>
      </c>
      <c r="AJ168" s="155">
        <f ca="1">IF(ISNUMBER(MATCH(DATEVALUE($A168),'recurring1_based on steps'!AJ$1:AJ$400,0)),AJ$2,)</f>
        <v>0</v>
      </c>
      <c r="AK168" s="155">
        <f ca="1">IF(ISNUMBER(MATCH(DATEVALUE($A168),'recurring1_based on steps'!AK$1:AK$400,0)),AK$2,)</f>
        <v>0</v>
      </c>
      <c r="AL168" s="155">
        <f ca="1">IF(ISNUMBER(MATCH(DATEVALUE($A168),'recurring1_based on steps'!AL$1:AL$400,0)),AL$2,)</f>
        <v>0</v>
      </c>
      <c r="AM168" s="155">
        <f ca="1">IF(ISNUMBER(MATCH(DATEVALUE($A168),'recurring1_based on steps'!AM$1:AM$400,0)),AM$2,)</f>
        <v>0</v>
      </c>
      <c r="AN168" s="155">
        <f ca="1">IF(ISNUMBER(MATCH(DATEVALUE($A168),'recurring1_based on steps'!AN$1:AN$400,0)),AN$2,)</f>
        <v>0</v>
      </c>
      <c r="AO168" s="155">
        <f ca="1">IF(ISNUMBER(MATCH(DATEVALUE($A168),'recurring1_based on steps'!AO$1:AO$400,0)),AO$2,)</f>
        <v>0</v>
      </c>
      <c r="AP168" s="155">
        <f ca="1">IF(ISNUMBER(MATCH(DATEVALUE($A168),'recurring1_based on steps'!AP$1:AP$400,0)),AP$2,)</f>
        <v>0</v>
      </c>
      <c r="AQ168" s="155">
        <f ca="1">IF(ISNUMBER(MATCH(DATEVALUE($A168),'recurring1_based on steps'!AQ$1:AQ$400,0)),AQ$2,)</f>
        <v>0</v>
      </c>
      <c r="AR168" s="155">
        <f ca="1">IF(ISNUMBER(MATCH(DATEVALUE($A168),'recurring1_based on steps'!AR$1:AR$400,0)),AR$2,)</f>
        <v>0</v>
      </c>
      <c r="AS168" s="155">
        <f ca="1">IF(ISNUMBER(MATCH(DATEVALUE($A168),'recurring1_based on steps'!AS$1:AS$400,0)),AS$2,)</f>
        <v>0</v>
      </c>
      <c r="AT168" s="155">
        <f ca="1">IF(ISNUMBER(MATCH(DATEVALUE($A168),'recurring1_based on steps'!AT$1:AT$400,0)),AT$2,)</f>
        <v>0</v>
      </c>
      <c r="AU168" s="155">
        <f ca="1">IF(ISNUMBER(MATCH(DATEVALUE($A168),'recurring1_based on steps'!AU$1:AU$400,0)),AU$2,)</f>
        <v>0</v>
      </c>
      <c r="AV168" s="155">
        <f ca="1">IF(ISNUMBER(MATCH(DATEVALUE($A168),'recurring1_based on steps'!AV$1:AV$400,0)),AV$2,)</f>
        <v>0</v>
      </c>
      <c r="AW168" s="155">
        <f ca="1">IF(ISNUMBER(MATCH(DATEVALUE($A168),'recurring1_based on steps'!AW$1:AW$400,0)),AW$2,)</f>
        <v>0</v>
      </c>
      <c r="AX168" s="155">
        <f ca="1">IF(ISNUMBER(MATCH(DATEVALUE($A168),'recurring1_based on steps'!AX$1:AX$400,0)),AX$2,)</f>
        <v>0</v>
      </c>
      <c r="AY168" s="155">
        <f ca="1">IF(ISNUMBER(MATCH(DATEVALUE($A168),'recurring1_based on steps'!AY$1:AY$400,0)),AY$2,)</f>
        <v>0</v>
      </c>
    </row>
    <row r="169" spans="1:51" x14ac:dyDescent="0.2">
      <c r="A169" s="18" t="str">
        <f t="shared" ca="1" si="2"/>
        <v>2025-07-17</v>
      </c>
      <c r="B169" s="155">
        <f ca="1">IF(ISNUMBER(MATCH(DATEVALUE($A169),'recurring1_based on steps'!B$1:B$400,0)),B$2,)</f>
        <v>0</v>
      </c>
      <c r="C169" s="155">
        <f ca="1">IF(ISNUMBER(MATCH(DATEVALUE($A169),'recurring1_based on steps'!C$1:C$400,0)),C$2,)</f>
        <v>0</v>
      </c>
      <c r="D169" s="155">
        <f ca="1">IF(ISNUMBER(MATCH(DATEVALUE($A169),'recurring1_based on steps'!D$1:D$400,0)),D$2,)</f>
        <v>0</v>
      </c>
      <c r="E169" s="155">
        <f ca="1">IF(ISNUMBER(MATCH(DATEVALUE($A169),'recurring1_based on steps'!E$1:E$400,0)),E$2,)</f>
        <v>0</v>
      </c>
      <c r="F169" s="155">
        <f ca="1">IF(ISNUMBER(MATCH(DATEVALUE($A169),'recurring1_based on steps'!F$1:F$400,0)),F$2,)</f>
        <v>0</v>
      </c>
      <c r="G169" s="155">
        <f ca="1">IF(ISNUMBER(MATCH(DATEVALUE($A169),'recurring1_based on steps'!G$1:G$400,0)),G$2,)</f>
        <v>0</v>
      </c>
      <c r="H169" s="155">
        <f ca="1">IF(ISNUMBER(MATCH(DATEVALUE($A169),'recurring1_based on steps'!H$1:H$400,0)),H$2,)</f>
        <v>0</v>
      </c>
      <c r="I169" s="155">
        <f ca="1">IF(ISNUMBER(MATCH(DATEVALUE($A169),'recurring1_based on steps'!I$1:I$400,0)),I$2,)</f>
        <v>0</v>
      </c>
      <c r="J169" s="155">
        <f ca="1">IF(ISNUMBER(MATCH(DATEVALUE($A169),'recurring1_based on steps'!J$1:J$400,0)),J$2,)</f>
        <v>0</v>
      </c>
      <c r="K169" s="155">
        <f ca="1">IF(ISNUMBER(MATCH(DATEVALUE($A169),'recurring1_based on steps'!K$1:K$400,0)),K$2,)</f>
        <v>0</v>
      </c>
      <c r="L169" s="155">
        <f ca="1">IF(ISNUMBER(MATCH(DATEVALUE($A169),'recurring1_based on steps'!L$1:L$400,0)),L$2,)</f>
        <v>0</v>
      </c>
      <c r="M169" s="155">
        <f ca="1">IF(ISNUMBER(MATCH(DATEVALUE($A169),'recurring1_based on steps'!M$1:M$400,0)),M$2,)</f>
        <v>0</v>
      </c>
      <c r="N169" s="155">
        <f ca="1">IF(ISNUMBER(MATCH(DATEVALUE($A169),'recurring1_based on steps'!N$1:N$400,0)),N$2,)</f>
        <v>15.49</v>
      </c>
      <c r="O169" s="155">
        <f ca="1">IF(ISNUMBER(MATCH(DATEVALUE($A169),'recurring1_based on steps'!O$1:O$400,0)),O$2,)</f>
        <v>0</v>
      </c>
      <c r="P169" s="155">
        <f ca="1">IF(ISNUMBER(MATCH(DATEVALUE($A169),'recurring1_based on steps'!P$1:P$400,0)),P$2,)</f>
        <v>0</v>
      </c>
      <c r="Q169" s="155">
        <f ca="1">IF(ISNUMBER(MATCH(DATEVALUE($A169),'recurring1_based on steps'!Q$1:Q$400,0)),Q$2,)</f>
        <v>0</v>
      </c>
      <c r="R169" s="155">
        <f ca="1">IF(ISNUMBER(MATCH(DATEVALUE($A169),'recurring1_based on steps'!R$1:R$400,0)),R$2,)</f>
        <v>0</v>
      </c>
      <c r="S169" s="155">
        <f ca="1">IF(ISNUMBER(MATCH(DATEVALUE($A169),'recurring1_based on steps'!S$1:S$400,0)),S$2,)</f>
        <v>0</v>
      </c>
      <c r="T169" s="155">
        <f ca="1">IF(ISNUMBER(MATCH(DATEVALUE($A169),'recurring1_based on steps'!T$1:T$400,0)),T$2,)</f>
        <v>0</v>
      </c>
      <c r="U169" s="155">
        <f ca="1">IF(ISNUMBER(MATCH(DATEVALUE($A169),'recurring1_based on steps'!U$1:U$400,0)),U$2,)</f>
        <v>0</v>
      </c>
      <c r="V169" s="155">
        <f ca="1">IF(ISNUMBER(MATCH(DATEVALUE($A169),'recurring1_based on steps'!V$1:V$400,0)),V$2,)</f>
        <v>200</v>
      </c>
      <c r="W169" s="155">
        <f ca="1">IF(ISNUMBER(MATCH(DATEVALUE($A169),'recurring1_based on steps'!W$1:W$400,0)),W$2,)</f>
        <v>0</v>
      </c>
      <c r="X169" s="155">
        <f ca="1">IF(ISNUMBER(MATCH(DATEVALUE($A169),'recurring1_based on steps'!X$1:X$400,0)),X$2,)</f>
        <v>0</v>
      </c>
      <c r="Y169" s="155">
        <f ca="1">IF(ISNUMBER(MATCH(DATEVALUE($A169),'recurring1_based on steps'!Y$1:Y$400,0)),Y$2,)</f>
        <v>0</v>
      </c>
      <c r="Z169" s="155">
        <f ca="1">IF(ISNUMBER(MATCH(DATEVALUE($A169),'recurring1_based on steps'!Z$1:Z$400,0)),Z$2,)</f>
        <v>0</v>
      </c>
      <c r="AA169" s="155">
        <f ca="1">IF(ISNUMBER(MATCH(DATEVALUE($A169),'recurring1_based on steps'!AA$1:AA$400,0)),AA$2,)</f>
        <v>0</v>
      </c>
      <c r="AB169" s="155">
        <f ca="1">IF(ISNUMBER(MATCH(DATEVALUE($A169),'recurring1_based on steps'!AB$1:AB$400,0)),AB$2,)</f>
        <v>0</v>
      </c>
      <c r="AC169" s="155">
        <f ca="1">IF(ISNUMBER(MATCH(DATEVALUE($A169),'recurring1_based on steps'!AC$1:AC$400,0)),AC$2,)</f>
        <v>0</v>
      </c>
      <c r="AD169" s="155">
        <f ca="1">IF(ISNUMBER(MATCH(DATEVALUE($A169),'recurring1_based on steps'!AD$1:AD$400,0)),AD$2,)</f>
        <v>0</v>
      </c>
      <c r="AE169" s="155">
        <f ca="1">IF(ISNUMBER(MATCH(DATEVALUE($A169),'recurring1_based on steps'!AE$1:AE$400,0)),AE$2,)</f>
        <v>0</v>
      </c>
      <c r="AF169" s="155">
        <f ca="1">IF(ISNUMBER(MATCH(DATEVALUE($A169),'recurring1_based on steps'!AF$1:AF$400,0)),AF$2,)</f>
        <v>0</v>
      </c>
      <c r="AG169" s="155">
        <f ca="1">IF(ISNUMBER(MATCH(DATEVALUE($A169),'recurring1_based on steps'!AG$1:AG$400,0)),AG$2,)</f>
        <v>0</v>
      </c>
      <c r="AH169" s="155">
        <f ca="1">IF(ISNUMBER(MATCH(DATEVALUE($A169),'recurring1_based on steps'!AH$1:AH$400,0)),AH$2,)</f>
        <v>0</v>
      </c>
      <c r="AI169" s="155">
        <f ca="1">IF(ISNUMBER(MATCH(DATEVALUE($A169),'recurring1_based on steps'!AI$1:AI$400,0)),AI$2,)</f>
        <v>0</v>
      </c>
      <c r="AJ169" s="155">
        <f ca="1">IF(ISNUMBER(MATCH(DATEVALUE($A169),'recurring1_based on steps'!AJ$1:AJ$400,0)),AJ$2,)</f>
        <v>0</v>
      </c>
      <c r="AK169" s="155">
        <f ca="1">IF(ISNUMBER(MATCH(DATEVALUE($A169),'recurring1_based on steps'!AK$1:AK$400,0)),AK$2,)</f>
        <v>0</v>
      </c>
      <c r="AL169" s="155">
        <f ca="1">IF(ISNUMBER(MATCH(DATEVALUE($A169),'recurring1_based on steps'!AL$1:AL$400,0)),AL$2,)</f>
        <v>0</v>
      </c>
      <c r="AM169" s="155">
        <f ca="1">IF(ISNUMBER(MATCH(DATEVALUE($A169),'recurring1_based on steps'!AM$1:AM$400,0)),AM$2,)</f>
        <v>0</v>
      </c>
      <c r="AN169" s="155">
        <f ca="1">IF(ISNUMBER(MATCH(DATEVALUE($A169),'recurring1_based on steps'!AN$1:AN$400,0)),AN$2,)</f>
        <v>0</v>
      </c>
      <c r="AO169" s="155">
        <f ca="1">IF(ISNUMBER(MATCH(DATEVALUE($A169),'recurring1_based on steps'!AO$1:AO$400,0)),AO$2,)</f>
        <v>0</v>
      </c>
      <c r="AP169" s="155">
        <f ca="1">IF(ISNUMBER(MATCH(DATEVALUE($A169),'recurring1_based on steps'!AP$1:AP$400,0)),AP$2,)</f>
        <v>0</v>
      </c>
      <c r="AQ169" s="155">
        <f ca="1">IF(ISNUMBER(MATCH(DATEVALUE($A169),'recurring1_based on steps'!AQ$1:AQ$400,0)),AQ$2,)</f>
        <v>0</v>
      </c>
      <c r="AR169" s="155">
        <f ca="1">IF(ISNUMBER(MATCH(DATEVALUE($A169),'recurring1_based on steps'!AR$1:AR$400,0)),AR$2,)</f>
        <v>0</v>
      </c>
      <c r="AS169" s="155">
        <f ca="1">IF(ISNUMBER(MATCH(DATEVALUE($A169),'recurring1_based on steps'!AS$1:AS$400,0)),AS$2,)</f>
        <v>0</v>
      </c>
      <c r="AT169" s="155">
        <f ca="1">IF(ISNUMBER(MATCH(DATEVALUE($A169),'recurring1_based on steps'!AT$1:AT$400,0)),AT$2,)</f>
        <v>0</v>
      </c>
      <c r="AU169" s="155">
        <f ca="1">IF(ISNUMBER(MATCH(DATEVALUE($A169),'recurring1_based on steps'!AU$1:AU$400,0)),AU$2,)</f>
        <v>0</v>
      </c>
      <c r="AV169" s="155">
        <f ca="1">IF(ISNUMBER(MATCH(DATEVALUE($A169),'recurring1_based on steps'!AV$1:AV$400,0)),AV$2,)</f>
        <v>0</v>
      </c>
      <c r="AW169" s="155">
        <f ca="1">IF(ISNUMBER(MATCH(DATEVALUE($A169),'recurring1_based on steps'!AW$1:AW$400,0)),AW$2,)</f>
        <v>0</v>
      </c>
      <c r="AX169" s="155">
        <f ca="1">IF(ISNUMBER(MATCH(DATEVALUE($A169),'recurring1_based on steps'!AX$1:AX$400,0)),AX$2,)</f>
        <v>0</v>
      </c>
      <c r="AY169" s="155">
        <f ca="1">IF(ISNUMBER(MATCH(DATEVALUE($A169),'recurring1_based on steps'!AY$1:AY$400,0)),AY$2,)</f>
        <v>0</v>
      </c>
    </row>
    <row r="170" spans="1:51" x14ac:dyDescent="0.2">
      <c r="A170" s="18" t="str">
        <f t="shared" ca="1" si="2"/>
        <v>2025-07-18</v>
      </c>
      <c r="B170" s="155">
        <f ca="1">IF(ISNUMBER(MATCH(DATEVALUE($A170),'recurring1_based on steps'!B$1:B$400,0)),B$2,)</f>
        <v>0</v>
      </c>
      <c r="C170" s="155">
        <f ca="1">IF(ISNUMBER(MATCH(DATEVALUE($A170),'recurring1_based on steps'!C$1:C$400,0)),C$2,)</f>
        <v>0</v>
      </c>
      <c r="D170" s="155">
        <f ca="1">IF(ISNUMBER(MATCH(DATEVALUE($A170),'recurring1_based on steps'!D$1:D$400,0)),D$2,)</f>
        <v>0</v>
      </c>
      <c r="E170" s="155">
        <f ca="1">IF(ISNUMBER(MATCH(DATEVALUE($A170),'recurring1_based on steps'!E$1:E$400,0)),E$2,)</f>
        <v>0</v>
      </c>
      <c r="F170" s="155">
        <f ca="1">IF(ISNUMBER(MATCH(DATEVALUE($A170),'recurring1_based on steps'!F$1:F$400,0)),F$2,)</f>
        <v>0</v>
      </c>
      <c r="G170" s="155">
        <f ca="1">IF(ISNUMBER(MATCH(DATEVALUE($A170),'recurring1_based on steps'!G$1:G$400,0)),G$2,)</f>
        <v>0</v>
      </c>
      <c r="H170" s="155">
        <f ca="1">IF(ISNUMBER(MATCH(DATEVALUE($A170),'recurring1_based on steps'!H$1:H$400,0)),H$2,)</f>
        <v>0</v>
      </c>
      <c r="I170" s="155">
        <f ca="1">IF(ISNUMBER(MATCH(DATEVALUE($A170),'recurring1_based on steps'!I$1:I$400,0)),I$2,)</f>
        <v>0</v>
      </c>
      <c r="J170" s="155">
        <f ca="1">IF(ISNUMBER(MATCH(DATEVALUE($A170),'recurring1_based on steps'!J$1:J$400,0)),J$2,)</f>
        <v>0</v>
      </c>
      <c r="K170" s="155">
        <f ca="1">IF(ISNUMBER(MATCH(DATEVALUE($A170),'recurring1_based on steps'!K$1:K$400,0)),K$2,)</f>
        <v>0</v>
      </c>
      <c r="L170" s="155">
        <f ca="1">IF(ISNUMBER(MATCH(DATEVALUE($A170),'recurring1_based on steps'!L$1:L$400,0)),L$2,)</f>
        <v>0</v>
      </c>
      <c r="M170" s="155">
        <f ca="1">IF(ISNUMBER(MATCH(DATEVALUE($A170),'recurring1_based on steps'!M$1:M$400,0)),M$2,)</f>
        <v>0</v>
      </c>
      <c r="N170" s="155">
        <f ca="1">IF(ISNUMBER(MATCH(DATEVALUE($A170),'recurring1_based on steps'!N$1:N$400,0)),N$2,)</f>
        <v>0</v>
      </c>
      <c r="O170" s="155">
        <f ca="1">IF(ISNUMBER(MATCH(DATEVALUE($A170),'recurring1_based on steps'!O$1:O$400,0)),O$2,)</f>
        <v>10.99</v>
      </c>
      <c r="P170" s="155">
        <f ca="1">IF(ISNUMBER(MATCH(DATEVALUE($A170),'recurring1_based on steps'!P$1:P$400,0)),P$2,)</f>
        <v>0</v>
      </c>
      <c r="Q170" s="155">
        <f ca="1">IF(ISNUMBER(MATCH(DATEVALUE($A170),'recurring1_based on steps'!Q$1:Q$400,0)),Q$2,)</f>
        <v>0</v>
      </c>
      <c r="R170" s="155">
        <f ca="1">IF(ISNUMBER(MATCH(DATEVALUE($A170),'recurring1_based on steps'!R$1:R$400,0)),R$2,)</f>
        <v>0</v>
      </c>
      <c r="S170" s="155">
        <f ca="1">IF(ISNUMBER(MATCH(DATEVALUE($A170),'recurring1_based on steps'!S$1:S$400,0)),S$2,)</f>
        <v>0</v>
      </c>
      <c r="T170" s="155">
        <f ca="1">IF(ISNUMBER(MATCH(DATEVALUE($A170),'recurring1_based on steps'!T$1:T$400,0)),T$2,)</f>
        <v>0</v>
      </c>
      <c r="U170" s="155">
        <f ca="1">IF(ISNUMBER(MATCH(DATEVALUE($A170),'recurring1_based on steps'!U$1:U$400,0)),U$2,)</f>
        <v>0</v>
      </c>
      <c r="V170" s="155">
        <f ca="1">IF(ISNUMBER(MATCH(DATEVALUE($A170),'recurring1_based on steps'!V$1:V$400,0)),V$2,)</f>
        <v>0</v>
      </c>
      <c r="W170" s="155">
        <f ca="1">IF(ISNUMBER(MATCH(DATEVALUE($A170),'recurring1_based on steps'!W$1:W$400,0)),W$2,)</f>
        <v>0</v>
      </c>
      <c r="X170" s="155">
        <f ca="1">IF(ISNUMBER(MATCH(DATEVALUE($A170),'recurring1_based on steps'!X$1:X$400,0)),X$2,)</f>
        <v>0</v>
      </c>
      <c r="Y170" s="155">
        <f ca="1">IF(ISNUMBER(MATCH(DATEVALUE($A170),'recurring1_based on steps'!Y$1:Y$400,0)),Y$2,)</f>
        <v>0</v>
      </c>
      <c r="Z170" s="155">
        <f ca="1">IF(ISNUMBER(MATCH(DATEVALUE($A170),'recurring1_based on steps'!Z$1:Z$400,0)),Z$2,)</f>
        <v>0</v>
      </c>
      <c r="AA170" s="155">
        <f ca="1">IF(ISNUMBER(MATCH(DATEVALUE($A170),'recurring1_based on steps'!AA$1:AA$400,0)),AA$2,)</f>
        <v>0</v>
      </c>
      <c r="AB170" s="155">
        <f ca="1">IF(ISNUMBER(MATCH(DATEVALUE($A170),'recurring1_based on steps'!AB$1:AB$400,0)),AB$2,)</f>
        <v>0</v>
      </c>
      <c r="AC170" s="155">
        <f ca="1">IF(ISNUMBER(MATCH(DATEVALUE($A170),'recurring1_based on steps'!AC$1:AC$400,0)),AC$2,)</f>
        <v>0</v>
      </c>
      <c r="AD170" s="155">
        <f ca="1">IF(ISNUMBER(MATCH(DATEVALUE($A170),'recurring1_based on steps'!AD$1:AD$400,0)),AD$2,)</f>
        <v>0</v>
      </c>
      <c r="AE170" s="155">
        <f ca="1">IF(ISNUMBER(MATCH(DATEVALUE($A170),'recurring1_based on steps'!AE$1:AE$400,0)),AE$2,)</f>
        <v>0</v>
      </c>
      <c r="AF170" s="155">
        <f ca="1">IF(ISNUMBER(MATCH(DATEVALUE($A170),'recurring1_based on steps'!AF$1:AF$400,0)),AF$2,)</f>
        <v>0</v>
      </c>
      <c r="AG170" s="155">
        <f ca="1">IF(ISNUMBER(MATCH(DATEVALUE($A170),'recurring1_based on steps'!AG$1:AG$400,0)),AG$2,)</f>
        <v>0</v>
      </c>
      <c r="AH170" s="155">
        <f ca="1">IF(ISNUMBER(MATCH(DATEVALUE($A170),'recurring1_based on steps'!AH$1:AH$400,0)),AH$2,)</f>
        <v>0</v>
      </c>
      <c r="AI170" s="155">
        <f ca="1">IF(ISNUMBER(MATCH(DATEVALUE($A170),'recurring1_based on steps'!AI$1:AI$400,0)),AI$2,)</f>
        <v>0</v>
      </c>
      <c r="AJ170" s="155">
        <f ca="1">IF(ISNUMBER(MATCH(DATEVALUE($A170),'recurring1_based on steps'!AJ$1:AJ$400,0)),AJ$2,)</f>
        <v>0</v>
      </c>
      <c r="AK170" s="155">
        <f ca="1">IF(ISNUMBER(MATCH(DATEVALUE($A170),'recurring1_based on steps'!AK$1:AK$400,0)),AK$2,)</f>
        <v>0</v>
      </c>
      <c r="AL170" s="155">
        <f ca="1">IF(ISNUMBER(MATCH(DATEVALUE($A170),'recurring1_based on steps'!AL$1:AL$400,0)),AL$2,)</f>
        <v>0</v>
      </c>
      <c r="AM170" s="155">
        <f ca="1">IF(ISNUMBER(MATCH(DATEVALUE($A170),'recurring1_based on steps'!AM$1:AM$400,0)),AM$2,)</f>
        <v>0</v>
      </c>
      <c r="AN170" s="155">
        <f ca="1">IF(ISNUMBER(MATCH(DATEVALUE($A170),'recurring1_based on steps'!AN$1:AN$400,0)),AN$2,)</f>
        <v>0</v>
      </c>
      <c r="AO170" s="155">
        <f ca="1">IF(ISNUMBER(MATCH(DATEVALUE($A170),'recurring1_based on steps'!AO$1:AO$400,0)),AO$2,)</f>
        <v>0</v>
      </c>
      <c r="AP170" s="155">
        <f ca="1">IF(ISNUMBER(MATCH(DATEVALUE($A170),'recurring1_based on steps'!AP$1:AP$400,0)),AP$2,)</f>
        <v>0</v>
      </c>
      <c r="AQ170" s="155">
        <f ca="1">IF(ISNUMBER(MATCH(DATEVALUE($A170),'recurring1_based on steps'!AQ$1:AQ$400,0)),AQ$2,)</f>
        <v>0</v>
      </c>
      <c r="AR170" s="155">
        <f ca="1">IF(ISNUMBER(MATCH(DATEVALUE($A170),'recurring1_based on steps'!AR$1:AR$400,0)),AR$2,)</f>
        <v>0</v>
      </c>
      <c r="AS170" s="155">
        <f ca="1">IF(ISNUMBER(MATCH(DATEVALUE($A170),'recurring1_based on steps'!AS$1:AS$400,0)),AS$2,)</f>
        <v>0</v>
      </c>
      <c r="AT170" s="155">
        <f ca="1">IF(ISNUMBER(MATCH(DATEVALUE($A170),'recurring1_based on steps'!AT$1:AT$400,0)),AT$2,)</f>
        <v>0</v>
      </c>
      <c r="AU170" s="155">
        <f ca="1">IF(ISNUMBER(MATCH(DATEVALUE($A170),'recurring1_based on steps'!AU$1:AU$400,0)),AU$2,)</f>
        <v>0</v>
      </c>
      <c r="AV170" s="155">
        <f ca="1">IF(ISNUMBER(MATCH(DATEVALUE($A170),'recurring1_based on steps'!AV$1:AV$400,0)),AV$2,)</f>
        <v>0</v>
      </c>
      <c r="AW170" s="155">
        <f ca="1">IF(ISNUMBER(MATCH(DATEVALUE($A170),'recurring1_based on steps'!AW$1:AW$400,0)),AW$2,)</f>
        <v>0</v>
      </c>
      <c r="AX170" s="155">
        <f ca="1">IF(ISNUMBER(MATCH(DATEVALUE($A170),'recurring1_based on steps'!AX$1:AX$400,0)),AX$2,)</f>
        <v>0</v>
      </c>
      <c r="AY170" s="155">
        <f ca="1">IF(ISNUMBER(MATCH(DATEVALUE($A170),'recurring1_based on steps'!AY$1:AY$400,0)),AY$2,)</f>
        <v>0</v>
      </c>
    </row>
    <row r="171" spans="1:51" x14ac:dyDescent="0.2">
      <c r="A171" s="18" t="str">
        <f t="shared" ca="1" si="2"/>
        <v>2025-07-19</v>
      </c>
      <c r="B171" s="155">
        <f ca="1">IF(ISNUMBER(MATCH(DATEVALUE($A171),'recurring1_based on steps'!B$1:B$400,0)),B$2,)</f>
        <v>0</v>
      </c>
      <c r="C171" s="155">
        <f ca="1">IF(ISNUMBER(MATCH(DATEVALUE($A171),'recurring1_based on steps'!C$1:C$400,0)),C$2,)</f>
        <v>0</v>
      </c>
      <c r="D171" s="155">
        <f ca="1">IF(ISNUMBER(MATCH(DATEVALUE($A171),'recurring1_based on steps'!D$1:D$400,0)),D$2,)</f>
        <v>0</v>
      </c>
      <c r="E171" s="155">
        <f ca="1">IF(ISNUMBER(MATCH(DATEVALUE($A171),'recurring1_based on steps'!E$1:E$400,0)),E$2,)</f>
        <v>0</v>
      </c>
      <c r="F171" s="155">
        <f ca="1">IF(ISNUMBER(MATCH(DATEVALUE($A171),'recurring1_based on steps'!F$1:F$400,0)),F$2,)</f>
        <v>0</v>
      </c>
      <c r="G171" s="155">
        <f ca="1">IF(ISNUMBER(MATCH(DATEVALUE($A171),'recurring1_based on steps'!G$1:G$400,0)),G$2,)</f>
        <v>0</v>
      </c>
      <c r="H171" s="155">
        <f ca="1">IF(ISNUMBER(MATCH(DATEVALUE($A171),'recurring1_based on steps'!H$1:H$400,0)),H$2,)</f>
        <v>0</v>
      </c>
      <c r="I171" s="155">
        <f ca="1">IF(ISNUMBER(MATCH(DATEVALUE($A171),'recurring1_based on steps'!I$1:I$400,0)),I$2,)</f>
        <v>0</v>
      </c>
      <c r="J171" s="155">
        <f ca="1">IF(ISNUMBER(MATCH(DATEVALUE($A171),'recurring1_based on steps'!J$1:J$400,0)),J$2,)</f>
        <v>0</v>
      </c>
      <c r="K171" s="155">
        <f ca="1">IF(ISNUMBER(MATCH(DATEVALUE($A171),'recurring1_based on steps'!K$1:K$400,0)),K$2,)</f>
        <v>0</v>
      </c>
      <c r="L171" s="155">
        <f ca="1">IF(ISNUMBER(MATCH(DATEVALUE($A171),'recurring1_based on steps'!L$1:L$400,0)),L$2,)</f>
        <v>0</v>
      </c>
      <c r="M171" s="155">
        <f ca="1">IF(ISNUMBER(MATCH(DATEVALUE($A171),'recurring1_based on steps'!M$1:M$400,0)),M$2,)</f>
        <v>0</v>
      </c>
      <c r="N171" s="155">
        <f ca="1">IF(ISNUMBER(MATCH(DATEVALUE($A171),'recurring1_based on steps'!N$1:N$400,0)),N$2,)</f>
        <v>0</v>
      </c>
      <c r="O171" s="155">
        <f ca="1">IF(ISNUMBER(MATCH(DATEVALUE($A171),'recurring1_based on steps'!O$1:O$400,0)),O$2,)</f>
        <v>0</v>
      </c>
      <c r="P171" s="155">
        <f ca="1">IF(ISNUMBER(MATCH(DATEVALUE($A171),'recurring1_based on steps'!P$1:P$400,0)),P$2,)</f>
        <v>0</v>
      </c>
      <c r="Q171" s="155">
        <f ca="1">IF(ISNUMBER(MATCH(DATEVALUE($A171),'recurring1_based on steps'!Q$1:Q$400,0)),Q$2,)</f>
        <v>100</v>
      </c>
      <c r="R171" s="155">
        <f ca="1">IF(ISNUMBER(MATCH(DATEVALUE($A171),'recurring1_based on steps'!R$1:R$400,0)),R$2,)</f>
        <v>100</v>
      </c>
      <c r="S171" s="155">
        <f ca="1">IF(ISNUMBER(MATCH(DATEVALUE($A171),'recurring1_based on steps'!S$1:S$400,0)),S$2,)</f>
        <v>0</v>
      </c>
      <c r="T171" s="155">
        <f ca="1">IF(ISNUMBER(MATCH(DATEVALUE($A171),'recurring1_based on steps'!T$1:T$400,0)),T$2,)</f>
        <v>0</v>
      </c>
      <c r="U171" s="155">
        <f ca="1">IF(ISNUMBER(MATCH(DATEVALUE($A171),'recurring1_based on steps'!U$1:U$400,0)),U$2,)</f>
        <v>0</v>
      </c>
      <c r="V171" s="155">
        <f ca="1">IF(ISNUMBER(MATCH(DATEVALUE($A171),'recurring1_based on steps'!V$1:V$400,0)),V$2,)</f>
        <v>0</v>
      </c>
      <c r="W171" s="155">
        <f ca="1">IF(ISNUMBER(MATCH(DATEVALUE($A171),'recurring1_based on steps'!W$1:W$400,0)),W$2,)</f>
        <v>0</v>
      </c>
      <c r="X171" s="155">
        <f ca="1">IF(ISNUMBER(MATCH(DATEVALUE($A171),'recurring1_based on steps'!X$1:X$400,0)),X$2,)</f>
        <v>0</v>
      </c>
      <c r="Y171" s="155">
        <f ca="1">IF(ISNUMBER(MATCH(DATEVALUE($A171),'recurring1_based on steps'!Y$1:Y$400,0)),Y$2,)</f>
        <v>0</v>
      </c>
      <c r="Z171" s="155">
        <f ca="1">IF(ISNUMBER(MATCH(DATEVALUE($A171),'recurring1_based on steps'!Z$1:Z$400,0)),Z$2,)</f>
        <v>0</v>
      </c>
      <c r="AA171" s="155">
        <f ca="1">IF(ISNUMBER(MATCH(DATEVALUE($A171),'recurring1_based on steps'!AA$1:AA$400,0)),AA$2,)</f>
        <v>0</v>
      </c>
      <c r="AB171" s="155">
        <f ca="1">IF(ISNUMBER(MATCH(DATEVALUE($A171),'recurring1_based on steps'!AB$1:AB$400,0)),AB$2,)</f>
        <v>0</v>
      </c>
      <c r="AC171" s="155">
        <f ca="1">IF(ISNUMBER(MATCH(DATEVALUE($A171),'recurring1_based on steps'!AC$1:AC$400,0)),AC$2,)</f>
        <v>0</v>
      </c>
      <c r="AD171" s="155">
        <f ca="1">IF(ISNUMBER(MATCH(DATEVALUE($A171),'recurring1_based on steps'!AD$1:AD$400,0)),AD$2,)</f>
        <v>0</v>
      </c>
      <c r="AE171" s="155">
        <f ca="1">IF(ISNUMBER(MATCH(DATEVALUE($A171),'recurring1_based on steps'!AE$1:AE$400,0)),AE$2,)</f>
        <v>0</v>
      </c>
      <c r="AF171" s="155">
        <f ca="1">IF(ISNUMBER(MATCH(DATEVALUE($A171),'recurring1_based on steps'!AF$1:AF$400,0)),AF$2,)</f>
        <v>0</v>
      </c>
      <c r="AG171" s="155">
        <f ca="1">IF(ISNUMBER(MATCH(DATEVALUE($A171),'recurring1_based on steps'!AG$1:AG$400,0)),AG$2,)</f>
        <v>0</v>
      </c>
      <c r="AH171" s="155">
        <f ca="1">IF(ISNUMBER(MATCH(DATEVALUE($A171),'recurring1_based on steps'!AH$1:AH$400,0)),AH$2,)</f>
        <v>0</v>
      </c>
      <c r="AI171" s="155">
        <f ca="1">IF(ISNUMBER(MATCH(DATEVALUE($A171),'recurring1_based on steps'!AI$1:AI$400,0)),AI$2,)</f>
        <v>0</v>
      </c>
      <c r="AJ171" s="155">
        <f ca="1">IF(ISNUMBER(MATCH(DATEVALUE($A171),'recurring1_based on steps'!AJ$1:AJ$400,0)),AJ$2,)</f>
        <v>0</v>
      </c>
      <c r="AK171" s="155">
        <f ca="1">IF(ISNUMBER(MATCH(DATEVALUE($A171),'recurring1_based on steps'!AK$1:AK$400,0)),AK$2,)</f>
        <v>0</v>
      </c>
      <c r="AL171" s="155">
        <f ca="1">IF(ISNUMBER(MATCH(DATEVALUE($A171),'recurring1_based on steps'!AL$1:AL$400,0)),AL$2,)</f>
        <v>0</v>
      </c>
      <c r="AM171" s="155">
        <f ca="1">IF(ISNUMBER(MATCH(DATEVALUE($A171),'recurring1_based on steps'!AM$1:AM$400,0)),AM$2,)</f>
        <v>0</v>
      </c>
      <c r="AN171" s="155">
        <f ca="1">IF(ISNUMBER(MATCH(DATEVALUE($A171),'recurring1_based on steps'!AN$1:AN$400,0)),AN$2,)</f>
        <v>0</v>
      </c>
      <c r="AO171" s="155">
        <f ca="1">IF(ISNUMBER(MATCH(DATEVALUE($A171),'recurring1_based on steps'!AO$1:AO$400,0)),AO$2,)</f>
        <v>0</v>
      </c>
      <c r="AP171" s="155">
        <f ca="1">IF(ISNUMBER(MATCH(DATEVALUE($A171),'recurring1_based on steps'!AP$1:AP$400,0)),AP$2,)</f>
        <v>0</v>
      </c>
      <c r="AQ171" s="155">
        <f ca="1">IF(ISNUMBER(MATCH(DATEVALUE($A171),'recurring1_based on steps'!AQ$1:AQ$400,0)),AQ$2,)</f>
        <v>0</v>
      </c>
      <c r="AR171" s="155">
        <f ca="1">IF(ISNUMBER(MATCH(DATEVALUE($A171),'recurring1_based on steps'!AR$1:AR$400,0)),AR$2,)</f>
        <v>0</v>
      </c>
      <c r="AS171" s="155">
        <f ca="1">IF(ISNUMBER(MATCH(DATEVALUE($A171),'recurring1_based on steps'!AS$1:AS$400,0)),AS$2,)</f>
        <v>0</v>
      </c>
      <c r="AT171" s="155">
        <f ca="1">IF(ISNUMBER(MATCH(DATEVALUE($A171),'recurring1_based on steps'!AT$1:AT$400,0)),AT$2,)</f>
        <v>0</v>
      </c>
      <c r="AU171" s="155">
        <f ca="1">IF(ISNUMBER(MATCH(DATEVALUE($A171),'recurring1_based on steps'!AU$1:AU$400,0)),AU$2,)</f>
        <v>0</v>
      </c>
      <c r="AV171" s="155">
        <f ca="1">IF(ISNUMBER(MATCH(DATEVALUE($A171),'recurring1_based on steps'!AV$1:AV$400,0)),AV$2,)</f>
        <v>0</v>
      </c>
      <c r="AW171" s="155">
        <f ca="1">IF(ISNUMBER(MATCH(DATEVALUE($A171),'recurring1_based on steps'!AW$1:AW$400,0)),AW$2,)</f>
        <v>0</v>
      </c>
      <c r="AX171" s="155">
        <f ca="1">IF(ISNUMBER(MATCH(DATEVALUE($A171),'recurring1_based on steps'!AX$1:AX$400,0)),AX$2,)</f>
        <v>0</v>
      </c>
      <c r="AY171" s="155">
        <f ca="1">IF(ISNUMBER(MATCH(DATEVALUE($A171),'recurring1_based on steps'!AY$1:AY$400,0)),AY$2,)</f>
        <v>0</v>
      </c>
    </row>
    <row r="172" spans="1:51" x14ac:dyDescent="0.2">
      <c r="A172" s="18" t="str">
        <f t="shared" ca="1" si="2"/>
        <v>2025-07-20</v>
      </c>
      <c r="B172" s="155">
        <f ca="1">IF(ISNUMBER(MATCH(DATEVALUE($A172),'recurring1_based on steps'!B$1:B$400,0)),B$2,)</f>
        <v>0</v>
      </c>
      <c r="C172" s="155">
        <f ca="1">IF(ISNUMBER(MATCH(DATEVALUE($A172),'recurring1_based on steps'!C$1:C$400,0)),C$2,)</f>
        <v>0</v>
      </c>
      <c r="D172" s="155">
        <f ca="1">IF(ISNUMBER(MATCH(DATEVALUE($A172),'recurring1_based on steps'!D$1:D$400,0)),D$2,)</f>
        <v>0</v>
      </c>
      <c r="E172" s="155">
        <f ca="1">IF(ISNUMBER(MATCH(DATEVALUE($A172),'recurring1_based on steps'!E$1:E$400,0)),E$2,)</f>
        <v>0</v>
      </c>
      <c r="F172" s="155">
        <f ca="1">IF(ISNUMBER(MATCH(DATEVALUE($A172),'recurring1_based on steps'!F$1:F$400,0)),F$2,)</f>
        <v>0</v>
      </c>
      <c r="G172" s="155">
        <f ca="1">IF(ISNUMBER(MATCH(DATEVALUE($A172),'recurring1_based on steps'!G$1:G$400,0)),G$2,)</f>
        <v>0</v>
      </c>
      <c r="H172" s="155">
        <f ca="1">IF(ISNUMBER(MATCH(DATEVALUE($A172),'recurring1_based on steps'!H$1:H$400,0)),H$2,)</f>
        <v>0</v>
      </c>
      <c r="I172" s="155">
        <f ca="1">IF(ISNUMBER(MATCH(DATEVALUE($A172),'recurring1_based on steps'!I$1:I$400,0)),I$2,)</f>
        <v>0</v>
      </c>
      <c r="J172" s="155">
        <f ca="1">IF(ISNUMBER(MATCH(DATEVALUE($A172),'recurring1_based on steps'!J$1:J$400,0)),J$2,)</f>
        <v>0</v>
      </c>
      <c r="K172" s="155">
        <f ca="1">IF(ISNUMBER(MATCH(DATEVALUE($A172),'recurring1_based on steps'!K$1:K$400,0)),K$2,)</f>
        <v>50</v>
      </c>
      <c r="L172" s="155">
        <f ca="1">IF(ISNUMBER(MATCH(DATEVALUE($A172),'recurring1_based on steps'!L$1:L$400,0)),L$2,)</f>
        <v>0</v>
      </c>
      <c r="M172" s="155">
        <f ca="1">IF(ISNUMBER(MATCH(DATEVALUE($A172),'recurring1_based on steps'!M$1:M$400,0)),M$2,)</f>
        <v>0</v>
      </c>
      <c r="N172" s="155">
        <f ca="1">IF(ISNUMBER(MATCH(DATEVALUE($A172),'recurring1_based on steps'!N$1:N$400,0)),N$2,)</f>
        <v>0</v>
      </c>
      <c r="O172" s="155">
        <f ca="1">IF(ISNUMBER(MATCH(DATEVALUE($A172),'recurring1_based on steps'!O$1:O$400,0)),O$2,)</f>
        <v>0</v>
      </c>
      <c r="P172" s="155">
        <f ca="1">IF(ISNUMBER(MATCH(DATEVALUE($A172),'recurring1_based on steps'!P$1:P$400,0)),P$2,)</f>
        <v>0</v>
      </c>
      <c r="Q172" s="155">
        <f ca="1">IF(ISNUMBER(MATCH(DATEVALUE($A172),'recurring1_based on steps'!Q$1:Q$400,0)),Q$2,)</f>
        <v>0</v>
      </c>
      <c r="R172" s="155">
        <f ca="1">IF(ISNUMBER(MATCH(DATEVALUE($A172),'recurring1_based on steps'!R$1:R$400,0)),R$2,)</f>
        <v>0</v>
      </c>
      <c r="S172" s="155">
        <f ca="1">IF(ISNUMBER(MATCH(DATEVALUE($A172),'recurring1_based on steps'!S$1:S$400,0)),S$2,)</f>
        <v>100</v>
      </c>
      <c r="T172" s="155">
        <f ca="1">IF(ISNUMBER(MATCH(DATEVALUE($A172),'recurring1_based on steps'!T$1:T$400,0)),T$2,)</f>
        <v>0</v>
      </c>
      <c r="U172" s="155">
        <f ca="1">IF(ISNUMBER(MATCH(DATEVALUE($A172),'recurring1_based on steps'!U$1:U$400,0)),U$2,)</f>
        <v>0</v>
      </c>
      <c r="V172" s="155">
        <f ca="1">IF(ISNUMBER(MATCH(DATEVALUE($A172),'recurring1_based on steps'!V$1:V$400,0)),V$2,)</f>
        <v>0</v>
      </c>
      <c r="W172" s="155">
        <f ca="1">IF(ISNUMBER(MATCH(DATEVALUE($A172),'recurring1_based on steps'!W$1:W$400,0)),W$2,)</f>
        <v>0</v>
      </c>
      <c r="X172" s="155">
        <f ca="1">IF(ISNUMBER(MATCH(DATEVALUE($A172),'recurring1_based on steps'!X$1:X$400,0)),X$2,)</f>
        <v>0</v>
      </c>
      <c r="Y172" s="155">
        <f ca="1">IF(ISNUMBER(MATCH(DATEVALUE($A172),'recurring1_based on steps'!Y$1:Y$400,0)),Y$2,)</f>
        <v>0</v>
      </c>
      <c r="Z172" s="155">
        <f ca="1">IF(ISNUMBER(MATCH(DATEVALUE($A172),'recurring1_based on steps'!Z$1:Z$400,0)),Z$2,)</f>
        <v>0</v>
      </c>
      <c r="AA172" s="155">
        <f ca="1">IF(ISNUMBER(MATCH(DATEVALUE($A172),'recurring1_based on steps'!AA$1:AA$400,0)),AA$2,)</f>
        <v>0</v>
      </c>
      <c r="AB172" s="155">
        <f ca="1">IF(ISNUMBER(MATCH(DATEVALUE($A172),'recurring1_based on steps'!AB$1:AB$400,0)),AB$2,)</f>
        <v>0</v>
      </c>
      <c r="AC172" s="155">
        <f ca="1">IF(ISNUMBER(MATCH(DATEVALUE($A172),'recurring1_based on steps'!AC$1:AC$400,0)),AC$2,)</f>
        <v>0</v>
      </c>
      <c r="AD172" s="155">
        <f ca="1">IF(ISNUMBER(MATCH(DATEVALUE($A172),'recurring1_based on steps'!AD$1:AD$400,0)),AD$2,)</f>
        <v>0</v>
      </c>
      <c r="AE172" s="155">
        <f ca="1">IF(ISNUMBER(MATCH(DATEVALUE($A172),'recurring1_based on steps'!AE$1:AE$400,0)),AE$2,)</f>
        <v>0</v>
      </c>
      <c r="AF172" s="155">
        <f ca="1">IF(ISNUMBER(MATCH(DATEVALUE($A172),'recurring1_based on steps'!AF$1:AF$400,0)),AF$2,)</f>
        <v>0</v>
      </c>
      <c r="AG172" s="155">
        <f ca="1">IF(ISNUMBER(MATCH(DATEVALUE($A172),'recurring1_based on steps'!AG$1:AG$400,0)),AG$2,)</f>
        <v>0</v>
      </c>
      <c r="AH172" s="155">
        <f ca="1">IF(ISNUMBER(MATCH(DATEVALUE($A172),'recurring1_based on steps'!AH$1:AH$400,0)),AH$2,)</f>
        <v>0</v>
      </c>
      <c r="AI172" s="155">
        <f ca="1">IF(ISNUMBER(MATCH(DATEVALUE($A172),'recurring1_based on steps'!AI$1:AI$400,0)),AI$2,)</f>
        <v>0</v>
      </c>
      <c r="AJ172" s="155">
        <f ca="1">IF(ISNUMBER(MATCH(DATEVALUE($A172),'recurring1_based on steps'!AJ$1:AJ$400,0)),AJ$2,)</f>
        <v>0</v>
      </c>
      <c r="AK172" s="155">
        <f ca="1">IF(ISNUMBER(MATCH(DATEVALUE($A172),'recurring1_based on steps'!AK$1:AK$400,0)),AK$2,)</f>
        <v>0</v>
      </c>
      <c r="AL172" s="155">
        <f ca="1">IF(ISNUMBER(MATCH(DATEVALUE($A172),'recurring1_based on steps'!AL$1:AL$400,0)),AL$2,)</f>
        <v>0</v>
      </c>
      <c r="AM172" s="155">
        <f ca="1">IF(ISNUMBER(MATCH(DATEVALUE($A172),'recurring1_based on steps'!AM$1:AM$400,0)),AM$2,)</f>
        <v>0</v>
      </c>
      <c r="AN172" s="155">
        <f ca="1">IF(ISNUMBER(MATCH(DATEVALUE($A172),'recurring1_based on steps'!AN$1:AN$400,0)),AN$2,)</f>
        <v>0</v>
      </c>
      <c r="AO172" s="155">
        <f ca="1">IF(ISNUMBER(MATCH(DATEVALUE($A172),'recurring1_based on steps'!AO$1:AO$400,0)),AO$2,)</f>
        <v>0</v>
      </c>
      <c r="AP172" s="155">
        <f ca="1">IF(ISNUMBER(MATCH(DATEVALUE($A172),'recurring1_based on steps'!AP$1:AP$400,0)),AP$2,)</f>
        <v>0</v>
      </c>
      <c r="AQ172" s="155">
        <f ca="1">IF(ISNUMBER(MATCH(DATEVALUE($A172),'recurring1_based on steps'!AQ$1:AQ$400,0)),AQ$2,)</f>
        <v>0</v>
      </c>
      <c r="AR172" s="155">
        <f ca="1">IF(ISNUMBER(MATCH(DATEVALUE($A172),'recurring1_based on steps'!AR$1:AR$400,0)),AR$2,)</f>
        <v>0</v>
      </c>
      <c r="AS172" s="155">
        <f ca="1">IF(ISNUMBER(MATCH(DATEVALUE($A172),'recurring1_based on steps'!AS$1:AS$400,0)),AS$2,)</f>
        <v>0</v>
      </c>
      <c r="AT172" s="155">
        <f ca="1">IF(ISNUMBER(MATCH(DATEVALUE($A172),'recurring1_based on steps'!AT$1:AT$400,0)),AT$2,)</f>
        <v>0</v>
      </c>
      <c r="AU172" s="155">
        <f ca="1">IF(ISNUMBER(MATCH(DATEVALUE($A172),'recurring1_based on steps'!AU$1:AU$400,0)),AU$2,)</f>
        <v>0</v>
      </c>
      <c r="AV172" s="155">
        <f ca="1">IF(ISNUMBER(MATCH(DATEVALUE($A172),'recurring1_based on steps'!AV$1:AV$400,0)),AV$2,)</f>
        <v>0</v>
      </c>
      <c r="AW172" s="155">
        <f ca="1">IF(ISNUMBER(MATCH(DATEVALUE($A172),'recurring1_based on steps'!AW$1:AW$400,0)),AW$2,)</f>
        <v>0</v>
      </c>
      <c r="AX172" s="155">
        <f ca="1">IF(ISNUMBER(MATCH(DATEVALUE($A172),'recurring1_based on steps'!AX$1:AX$400,0)),AX$2,)</f>
        <v>0</v>
      </c>
      <c r="AY172" s="155">
        <f ca="1">IF(ISNUMBER(MATCH(DATEVALUE($A172),'recurring1_based on steps'!AY$1:AY$400,0)),AY$2,)</f>
        <v>0</v>
      </c>
    </row>
    <row r="173" spans="1:51" x14ac:dyDescent="0.2">
      <c r="A173" s="18" t="str">
        <f t="shared" ca="1" si="2"/>
        <v>2025-07-21</v>
      </c>
      <c r="B173" s="155">
        <f ca="1">IF(ISNUMBER(MATCH(DATEVALUE($A173),'recurring1_based on steps'!B$1:B$400,0)),B$2,)</f>
        <v>0</v>
      </c>
      <c r="C173" s="155">
        <f ca="1">IF(ISNUMBER(MATCH(DATEVALUE($A173),'recurring1_based on steps'!C$1:C$400,0)),C$2,)</f>
        <v>0</v>
      </c>
      <c r="D173" s="155">
        <f ca="1">IF(ISNUMBER(MATCH(DATEVALUE($A173),'recurring1_based on steps'!D$1:D$400,0)),D$2,)</f>
        <v>0</v>
      </c>
      <c r="E173" s="155">
        <f ca="1">IF(ISNUMBER(MATCH(DATEVALUE($A173),'recurring1_based on steps'!E$1:E$400,0)),E$2,)</f>
        <v>0</v>
      </c>
      <c r="F173" s="155">
        <f ca="1">IF(ISNUMBER(MATCH(DATEVALUE($A173),'recurring1_based on steps'!F$1:F$400,0)),F$2,)</f>
        <v>0</v>
      </c>
      <c r="G173" s="155">
        <f ca="1">IF(ISNUMBER(MATCH(DATEVALUE($A173),'recurring1_based on steps'!G$1:G$400,0)),G$2,)</f>
        <v>0</v>
      </c>
      <c r="H173" s="155">
        <f ca="1">IF(ISNUMBER(MATCH(DATEVALUE($A173),'recurring1_based on steps'!H$1:H$400,0)),H$2,)</f>
        <v>0</v>
      </c>
      <c r="I173" s="155">
        <f ca="1">IF(ISNUMBER(MATCH(DATEVALUE($A173),'recurring1_based on steps'!I$1:I$400,0)),I$2,)</f>
        <v>0</v>
      </c>
      <c r="J173" s="155">
        <f ca="1">IF(ISNUMBER(MATCH(DATEVALUE($A173),'recurring1_based on steps'!J$1:J$400,0)),J$2,)</f>
        <v>0</v>
      </c>
      <c r="K173" s="155">
        <f ca="1">IF(ISNUMBER(MATCH(DATEVALUE($A173),'recurring1_based on steps'!K$1:K$400,0)),K$2,)</f>
        <v>0</v>
      </c>
      <c r="L173" s="155">
        <f ca="1">IF(ISNUMBER(MATCH(DATEVALUE($A173),'recurring1_based on steps'!L$1:L$400,0)),L$2,)</f>
        <v>0</v>
      </c>
      <c r="M173" s="155">
        <f ca="1">IF(ISNUMBER(MATCH(DATEVALUE($A173),'recurring1_based on steps'!M$1:M$400,0)),M$2,)</f>
        <v>0</v>
      </c>
      <c r="N173" s="155">
        <f ca="1">IF(ISNUMBER(MATCH(DATEVALUE($A173),'recurring1_based on steps'!N$1:N$400,0)),N$2,)</f>
        <v>0</v>
      </c>
      <c r="O173" s="155">
        <f ca="1">IF(ISNUMBER(MATCH(DATEVALUE($A173),'recurring1_based on steps'!O$1:O$400,0)),O$2,)</f>
        <v>0</v>
      </c>
      <c r="P173" s="155">
        <f ca="1">IF(ISNUMBER(MATCH(DATEVALUE($A173),'recurring1_based on steps'!P$1:P$400,0)),P$2,)</f>
        <v>0</v>
      </c>
      <c r="Q173" s="155">
        <f ca="1">IF(ISNUMBER(MATCH(DATEVALUE($A173),'recurring1_based on steps'!Q$1:Q$400,0)),Q$2,)</f>
        <v>0</v>
      </c>
      <c r="R173" s="155">
        <f ca="1">IF(ISNUMBER(MATCH(DATEVALUE($A173),'recurring1_based on steps'!R$1:R$400,0)),R$2,)</f>
        <v>0</v>
      </c>
      <c r="S173" s="155">
        <f ca="1">IF(ISNUMBER(MATCH(DATEVALUE($A173),'recurring1_based on steps'!S$1:S$400,0)),S$2,)</f>
        <v>0</v>
      </c>
      <c r="T173" s="155">
        <f ca="1">IF(ISNUMBER(MATCH(DATEVALUE($A173),'recurring1_based on steps'!T$1:T$400,0)),T$2,)</f>
        <v>50</v>
      </c>
      <c r="U173" s="155">
        <f ca="1">IF(ISNUMBER(MATCH(DATEVALUE($A173),'recurring1_based on steps'!U$1:U$400,0)),U$2,)</f>
        <v>0</v>
      </c>
      <c r="V173" s="155">
        <f ca="1">IF(ISNUMBER(MATCH(DATEVALUE($A173),'recurring1_based on steps'!V$1:V$400,0)),V$2,)</f>
        <v>0</v>
      </c>
      <c r="W173" s="155">
        <f ca="1">IF(ISNUMBER(MATCH(DATEVALUE($A173),'recurring1_based on steps'!W$1:W$400,0)),W$2,)</f>
        <v>0</v>
      </c>
      <c r="X173" s="155">
        <f ca="1">IF(ISNUMBER(MATCH(DATEVALUE($A173),'recurring1_based on steps'!X$1:X$400,0)),X$2,)</f>
        <v>0</v>
      </c>
      <c r="Y173" s="155">
        <f ca="1">IF(ISNUMBER(MATCH(DATEVALUE($A173),'recurring1_based on steps'!Y$1:Y$400,0)),Y$2,)</f>
        <v>0</v>
      </c>
      <c r="Z173" s="155">
        <f ca="1">IF(ISNUMBER(MATCH(DATEVALUE($A173),'recurring1_based on steps'!Z$1:Z$400,0)),Z$2,)</f>
        <v>0</v>
      </c>
      <c r="AA173" s="155">
        <f ca="1">IF(ISNUMBER(MATCH(DATEVALUE($A173),'recurring1_based on steps'!AA$1:AA$400,0)),AA$2,)</f>
        <v>0</v>
      </c>
      <c r="AB173" s="155">
        <f ca="1">IF(ISNUMBER(MATCH(DATEVALUE($A173),'recurring1_based on steps'!AB$1:AB$400,0)),AB$2,)</f>
        <v>0</v>
      </c>
      <c r="AC173" s="155">
        <f ca="1">IF(ISNUMBER(MATCH(DATEVALUE($A173),'recurring1_based on steps'!AC$1:AC$400,0)),AC$2,)</f>
        <v>0</v>
      </c>
      <c r="AD173" s="155">
        <f ca="1">IF(ISNUMBER(MATCH(DATEVALUE($A173),'recurring1_based on steps'!AD$1:AD$400,0)),AD$2,)</f>
        <v>0</v>
      </c>
      <c r="AE173" s="155">
        <f ca="1">IF(ISNUMBER(MATCH(DATEVALUE($A173),'recurring1_based on steps'!AE$1:AE$400,0)),AE$2,)</f>
        <v>0</v>
      </c>
      <c r="AF173" s="155">
        <f ca="1">IF(ISNUMBER(MATCH(DATEVALUE($A173),'recurring1_based on steps'!AF$1:AF$400,0)),AF$2,)</f>
        <v>0</v>
      </c>
      <c r="AG173" s="155">
        <f ca="1">IF(ISNUMBER(MATCH(DATEVALUE($A173),'recurring1_based on steps'!AG$1:AG$400,0)),AG$2,)</f>
        <v>0</v>
      </c>
      <c r="AH173" s="155">
        <f ca="1">IF(ISNUMBER(MATCH(DATEVALUE($A173),'recurring1_based on steps'!AH$1:AH$400,0)),AH$2,)</f>
        <v>0</v>
      </c>
      <c r="AI173" s="155">
        <f ca="1">IF(ISNUMBER(MATCH(DATEVALUE($A173),'recurring1_based on steps'!AI$1:AI$400,0)),AI$2,)</f>
        <v>0</v>
      </c>
      <c r="AJ173" s="155">
        <f ca="1">IF(ISNUMBER(MATCH(DATEVALUE($A173),'recurring1_based on steps'!AJ$1:AJ$400,0)),AJ$2,)</f>
        <v>0</v>
      </c>
      <c r="AK173" s="155">
        <f ca="1">IF(ISNUMBER(MATCH(DATEVALUE($A173),'recurring1_based on steps'!AK$1:AK$400,0)),AK$2,)</f>
        <v>0</v>
      </c>
      <c r="AL173" s="155">
        <f ca="1">IF(ISNUMBER(MATCH(DATEVALUE($A173),'recurring1_based on steps'!AL$1:AL$400,0)),AL$2,)</f>
        <v>0</v>
      </c>
      <c r="AM173" s="155">
        <f ca="1">IF(ISNUMBER(MATCH(DATEVALUE($A173),'recurring1_based on steps'!AM$1:AM$400,0)),AM$2,)</f>
        <v>0</v>
      </c>
      <c r="AN173" s="155">
        <f ca="1">IF(ISNUMBER(MATCH(DATEVALUE($A173),'recurring1_based on steps'!AN$1:AN$400,0)),AN$2,)</f>
        <v>0</v>
      </c>
      <c r="AO173" s="155">
        <f ca="1">IF(ISNUMBER(MATCH(DATEVALUE($A173),'recurring1_based on steps'!AO$1:AO$400,0)),AO$2,)</f>
        <v>0</v>
      </c>
      <c r="AP173" s="155">
        <f ca="1">IF(ISNUMBER(MATCH(DATEVALUE($A173),'recurring1_based on steps'!AP$1:AP$400,0)),AP$2,)</f>
        <v>0</v>
      </c>
      <c r="AQ173" s="155">
        <f ca="1">IF(ISNUMBER(MATCH(DATEVALUE($A173),'recurring1_based on steps'!AQ$1:AQ$400,0)),AQ$2,)</f>
        <v>0</v>
      </c>
      <c r="AR173" s="155">
        <f ca="1">IF(ISNUMBER(MATCH(DATEVALUE($A173),'recurring1_based on steps'!AR$1:AR$400,0)),AR$2,)</f>
        <v>0</v>
      </c>
      <c r="AS173" s="155">
        <f ca="1">IF(ISNUMBER(MATCH(DATEVALUE($A173),'recurring1_based on steps'!AS$1:AS$400,0)),AS$2,)</f>
        <v>0</v>
      </c>
      <c r="AT173" s="155">
        <f ca="1">IF(ISNUMBER(MATCH(DATEVALUE($A173),'recurring1_based on steps'!AT$1:AT$400,0)),AT$2,)</f>
        <v>0</v>
      </c>
      <c r="AU173" s="155">
        <f ca="1">IF(ISNUMBER(MATCH(DATEVALUE($A173),'recurring1_based on steps'!AU$1:AU$400,0)),AU$2,)</f>
        <v>0</v>
      </c>
      <c r="AV173" s="155">
        <f ca="1">IF(ISNUMBER(MATCH(DATEVALUE($A173),'recurring1_based on steps'!AV$1:AV$400,0)),AV$2,)</f>
        <v>0</v>
      </c>
      <c r="AW173" s="155">
        <f ca="1">IF(ISNUMBER(MATCH(DATEVALUE($A173),'recurring1_based on steps'!AW$1:AW$400,0)),AW$2,)</f>
        <v>0</v>
      </c>
      <c r="AX173" s="155">
        <f ca="1">IF(ISNUMBER(MATCH(DATEVALUE($A173),'recurring1_based on steps'!AX$1:AX$400,0)),AX$2,)</f>
        <v>0</v>
      </c>
      <c r="AY173" s="155">
        <f ca="1">IF(ISNUMBER(MATCH(DATEVALUE($A173),'recurring1_based on steps'!AY$1:AY$400,0)),AY$2,)</f>
        <v>0</v>
      </c>
    </row>
    <row r="174" spans="1:51" x14ac:dyDescent="0.2">
      <c r="A174" s="18" t="str">
        <f t="shared" ca="1" si="2"/>
        <v>2025-07-22</v>
      </c>
      <c r="B174" s="155">
        <f ca="1">IF(ISNUMBER(MATCH(DATEVALUE($A174),'recurring1_based on steps'!B$1:B$400,0)),B$2,)</f>
        <v>0</v>
      </c>
      <c r="C174" s="155">
        <f ca="1">IF(ISNUMBER(MATCH(DATEVALUE($A174),'recurring1_based on steps'!C$1:C$400,0)),C$2,)</f>
        <v>0</v>
      </c>
      <c r="D174" s="155">
        <f ca="1">IF(ISNUMBER(MATCH(DATEVALUE($A174),'recurring1_based on steps'!D$1:D$400,0)),D$2,)</f>
        <v>0</v>
      </c>
      <c r="E174" s="155">
        <f ca="1">IF(ISNUMBER(MATCH(DATEVALUE($A174),'recurring1_based on steps'!E$1:E$400,0)),E$2,)</f>
        <v>0</v>
      </c>
      <c r="F174" s="155">
        <f ca="1">IF(ISNUMBER(MATCH(DATEVALUE($A174),'recurring1_based on steps'!F$1:F$400,0)),F$2,)</f>
        <v>0</v>
      </c>
      <c r="G174" s="155">
        <f ca="1">IF(ISNUMBER(MATCH(DATEVALUE($A174),'recurring1_based on steps'!G$1:G$400,0)),G$2,)</f>
        <v>0</v>
      </c>
      <c r="H174" s="155">
        <f ca="1">IF(ISNUMBER(MATCH(DATEVALUE($A174),'recurring1_based on steps'!H$1:H$400,0)),H$2,)</f>
        <v>0</v>
      </c>
      <c r="I174" s="155">
        <f ca="1">IF(ISNUMBER(MATCH(DATEVALUE($A174),'recurring1_based on steps'!I$1:I$400,0)),I$2,)</f>
        <v>0</v>
      </c>
      <c r="J174" s="155">
        <f ca="1">IF(ISNUMBER(MATCH(DATEVALUE($A174),'recurring1_based on steps'!J$1:J$400,0)),J$2,)</f>
        <v>0</v>
      </c>
      <c r="K174" s="155">
        <f ca="1">IF(ISNUMBER(MATCH(DATEVALUE($A174),'recurring1_based on steps'!K$1:K$400,0)),K$2,)</f>
        <v>0</v>
      </c>
      <c r="L174" s="155">
        <f ca="1">IF(ISNUMBER(MATCH(DATEVALUE($A174),'recurring1_based on steps'!L$1:L$400,0)),L$2,)</f>
        <v>0</v>
      </c>
      <c r="M174" s="155">
        <f ca="1">IF(ISNUMBER(MATCH(DATEVALUE($A174),'recurring1_based on steps'!M$1:M$400,0)),M$2,)</f>
        <v>0</v>
      </c>
      <c r="N174" s="155">
        <f ca="1">IF(ISNUMBER(MATCH(DATEVALUE($A174),'recurring1_based on steps'!N$1:N$400,0)),N$2,)</f>
        <v>0</v>
      </c>
      <c r="O174" s="155">
        <f ca="1">IF(ISNUMBER(MATCH(DATEVALUE($A174),'recurring1_based on steps'!O$1:O$400,0)),O$2,)</f>
        <v>0</v>
      </c>
      <c r="P174" s="155">
        <f ca="1">IF(ISNUMBER(MATCH(DATEVALUE($A174),'recurring1_based on steps'!P$1:P$400,0)),P$2,)</f>
        <v>0</v>
      </c>
      <c r="Q174" s="155">
        <f ca="1">IF(ISNUMBER(MATCH(DATEVALUE($A174),'recurring1_based on steps'!Q$1:Q$400,0)),Q$2,)</f>
        <v>0</v>
      </c>
      <c r="R174" s="155">
        <f ca="1">IF(ISNUMBER(MATCH(DATEVALUE($A174),'recurring1_based on steps'!R$1:R$400,0)),R$2,)</f>
        <v>0</v>
      </c>
      <c r="S174" s="155">
        <f ca="1">IF(ISNUMBER(MATCH(DATEVALUE($A174),'recurring1_based on steps'!S$1:S$400,0)),S$2,)</f>
        <v>0</v>
      </c>
      <c r="T174" s="155">
        <f ca="1">IF(ISNUMBER(MATCH(DATEVALUE($A174),'recurring1_based on steps'!T$1:T$400,0)),T$2,)</f>
        <v>0</v>
      </c>
      <c r="U174" s="155">
        <f ca="1">IF(ISNUMBER(MATCH(DATEVALUE($A174),'recurring1_based on steps'!U$1:U$400,0)),U$2,)</f>
        <v>0</v>
      </c>
      <c r="V174" s="155">
        <f ca="1">IF(ISNUMBER(MATCH(DATEVALUE($A174),'recurring1_based on steps'!V$1:V$400,0)),V$2,)</f>
        <v>0</v>
      </c>
      <c r="W174" s="155">
        <f ca="1">IF(ISNUMBER(MATCH(DATEVALUE($A174),'recurring1_based on steps'!W$1:W$400,0)),W$2,)</f>
        <v>0</v>
      </c>
      <c r="X174" s="155">
        <f ca="1">IF(ISNUMBER(MATCH(DATEVALUE($A174),'recurring1_based on steps'!X$1:X$400,0)),X$2,)</f>
        <v>0</v>
      </c>
      <c r="Y174" s="155">
        <f ca="1">IF(ISNUMBER(MATCH(DATEVALUE($A174),'recurring1_based on steps'!Y$1:Y$400,0)),Y$2,)</f>
        <v>0</v>
      </c>
      <c r="Z174" s="155">
        <f ca="1">IF(ISNUMBER(MATCH(DATEVALUE($A174),'recurring1_based on steps'!Z$1:Z$400,0)),Z$2,)</f>
        <v>0</v>
      </c>
      <c r="AA174" s="155">
        <f ca="1">IF(ISNUMBER(MATCH(DATEVALUE($A174),'recurring1_based on steps'!AA$1:AA$400,0)),AA$2,)</f>
        <v>0</v>
      </c>
      <c r="AB174" s="155">
        <f ca="1">IF(ISNUMBER(MATCH(DATEVALUE($A174),'recurring1_based on steps'!AB$1:AB$400,0)),AB$2,)</f>
        <v>0</v>
      </c>
      <c r="AC174" s="155">
        <f ca="1">IF(ISNUMBER(MATCH(DATEVALUE($A174),'recurring1_based on steps'!AC$1:AC$400,0)),AC$2,)</f>
        <v>0</v>
      </c>
      <c r="AD174" s="155">
        <f ca="1">IF(ISNUMBER(MATCH(DATEVALUE($A174),'recurring1_based on steps'!AD$1:AD$400,0)),AD$2,)</f>
        <v>0</v>
      </c>
      <c r="AE174" s="155">
        <f ca="1">IF(ISNUMBER(MATCH(DATEVALUE($A174),'recurring1_based on steps'!AE$1:AE$400,0)),AE$2,)</f>
        <v>0</v>
      </c>
      <c r="AF174" s="155">
        <f ca="1">IF(ISNUMBER(MATCH(DATEVALUE($A174),'recurring1_based on steps'!AF$1:AF$400,0)),AF$2,)</f>
        <v>0</v>
      </c>
      <c r="AG174" s="155">
        <f ca="1">IF(ISNUMBER(MATCH(DATEVALUE($A174),'recurring1_based on steps'!AG$1:AG$400,0)),AG$2,)</f>
        <v>0</v>
      </c>
      <c r="AH174" s="155">
        <f ca="1">IF(ISNUMBER(MATCH(DATEVALUE($A174),'recurring1_based on steps'!AH$1:AH$400,0)),AH$2,)</f>
        <v>0</v>
      </c>
      <c r="AI174" s="155">
        <f ca="1">IF(ISNUMBER(MATCH(DATEVALUE($A174),'recurring1_based on steps'!AI$1:AI$400,0)),AI$2,)</f>
        <v>0</v>
      </c>
      <c r="AJ174" s="155">
        <f ca="1">IF(ISNUMBER(MATCH(DATEVALUE($A174),'recurring1_based on steps'!AJ$1:AJ$400,0)),AJ$2,)</f>
        <v>0</v>
      </c>
      <c r="AK174" s="155">
        <f ca="1">IF(ISNUMBER(MATCH(DATEVALUE($A174),'recurring1_based on steps'!AK$1:AK$400,0)),AK$2,)</f>
        <v>0</v>
      </c>
      <c r="AL174" s="155">
        <f ca="1">IF(ISNUMBER(MATCH(DATEVALUE($A174),'recurring1_based on steps'!AL$1:AL$400,0)),AL$2,)</f>
        <v>0</v>
      </c>
      <c r="AM174" s="155">
        <f ca="1">IF(ISNUMBER(MATCH(DATEVALUE($A174),'recurring1_based on steps'!AM$1:AM$400,0)),AM$2,)</f>
        <v>0</v>
      </c>
      <c r="AN174" s="155">
        <f ca="1">IF(ISNUMBER(MATCH(DATEVALUE($A174),'recurring1_based on steps'!AN$1:AN$400,0)),AN$2,)</f>
        <v>0</v>
      </c>
      <c r="AO174" s="155">
        <f ca="1">IF(ISNUMBER(MATCH(DATEVALUE($A174),'recurring1_based on steps'!AO$1:AO$400,0)),AO$2,)</f>
        <v>0</v>
      </c>
      <c r="AP174" s="155">
        <f ca="1">IF(ISNUMBER(MATCH(DATEVALUE($A174),'recurring1_based on steps'!AP$1:AP$400,0)),AP$2,)</f>
        <v>0</v>
      </c>
      <c r="AQ174" s="155">
        <f ca="1">IF(ISNUMBER(MATCH(DATEVALUE($A174),'recurring1_based on steps'!AQ$1:AQ$400,0)),AQ$2,)</f>
        <v>0</v>
      </c>
      <c r="AR174" s="155">
        <f ca="1">IF(ISNUMBER(MATCH(DATEVALUE($A174),'recurring1_based on steps'!AR$1:AR$400,0)),AR$2,)</f>
        <v>0</v>
      </c>
      <c r="AS174" s="155">
        <f ca="1">IF(ISNUMBER(MATCH(DATEVALUE($A174),'recurring1_based on steps'!AS$1:AS$400,0)),AS$2,)</f>
        <v>0</v>
      </c>
      <c r="AT174" s="155">
        <f ca="1">IF(ISNUMBER(MATCH(DATEVALUE($A174),'recurring1_based on steps'!AT$1:AT$400,0)),AT$2,)</f>
        <v>0</v>
      </c>
      <c r="AU174" s="155">
        <f ca="1">IF(ISNUMBER(MATCH(DATEVALUE($A174),'recurring1_based on steps'!AU$1:AU$400,0)),AU$2,)</f>
        <v>0</v>
      </c>
      <c r="AV174" s="155">
        <f ca="1">IF(ISNUMBER(MATCH(DATEVALUE($A174),'recurring1_based on steps'!AV$1:AV$400,0)),AV$2,)</f>
        <v>0</v>
      </c>
      <c r="AW174" s="155">
        <f ca="1">IF(ISNUMBER(MATCH(DATEVALUE($A174),'recurring1_based on steps'!AW$1:AW$400,0)),AW$2,)</f>
        <v>0</v>
      </c>
      <c r="AX174" s="155">
        <f ca="1">IF(ISNUMBER(MATCH(DATEVALUE($A174),'recurring1_based on steps'!AX$1:AX$400,0)),AX$2,)</f>
        <v>0</v>
      </c>
      <c r="AY174" s="155">
        <f ca="1">IF(ISNUMBER(MATCH(DATEVALUE($A174),'recurring1_based on steps'!AY$1:AY$400,0)),AY$2,)</f>
        <v>0</v>
      </c>
    </row>
    <row r="175" spans="1:51" x14ac:dyDescent="0.2">
      <c r="A175" s="18" t="str">
        <f t="shared" ca="1" si="2"/>
        <v>2025-07-23</v>
      </c>
      <c r="B175" s="155">
        <f ca="1">IF(ISNUMBER(MATCH(DATEVALUE($A175),'recurring1_based on steps'!B$1:B$400,0)),B$2,)</f>
        <v>0</v>
      </c>
      <c r="C175" s="155">
        <f ca="1">IF(ISNUMBER(MATCH(DATEVALUE($A175),'recurring1_based on steps'!C$1:C$400,0)),C$2,)</f>
        <v>0</v>
      </c>
      <c r="D175" s="155">
        <f ca="1">IF(ISNUMBER(MATCH(DATEVALUE($A175),'recurring1_based on steps'!D$1:D$400,0)),D$2,)</f>
        <v>0</v>
      </c>
      <c r="E175" s="155">
        <f ca="1">IF(ISNUMBER(MATCH(DATEVALUE($A175),'recurring1_based on steps'!E$1:E$400,0)),E$2,)</f>
        <v>0</v>
      </c>
      <c r="F175" s="155">
        <f ca="1">IF(ISNUMBER(MATCH(DATEVALUE($A175),'recurring1_based on steps'!F$1:F$400,0)),F$2,)</f>
        <v>0</v>
      </c>
      <c r="G175" s="155">
        <f ca="1">IF(ISNUMBER(MATCH(DATEVALUE($A175),'recurring1_based on steps'!G$1:G$400,0)),G$2,)</f>
        <v>0</v>
      </c>
      <c r="H175" s="155">
        <f ca="1">IF(ISNUMBER(MATCH(DATEVALUE($A175),'recurring1_based on steps'!H$1:H$400,0)),H$2,)</f>
        <v>0</v>
      </c>
      <c r="I175" s="155">
        <f ca="1">IF(ISNUMBER(MATCH(DATEVALUE($A175),'recurring1_based on steps'!I$1:I$400,0)),I$2,)</f>
        <v>0</v>
      </c>
      <c r="J175" s="155">
        <f ca="1">IF(ISNUMBER(MATCH(DATEVALUE($A175),'recurring1_based on steps'!J$1:J$400,0)),J$2,)</f>
        <v>0</v>
      </c>
      <c r="K175" s="155">
        <f ca="1">IF(ISNUMBER(MATCH(DATEVALUE($A175),'recurring1_based on steps'!K$1:K$400,0)),K$2,)</f>
        <v>0</v>
      </c>
      <c r="L175" s="155">
        <f ca="1">IF(ISNUMBER(MATCH(DATEVALUE($A175),'recurring1_based on steps'!L$1:L$400,0)),L$2,)</f>
        <v>0</v>
      </c>
      <c r="M175" s="155">
        <f ca="1">IF(ISNUMBER(MATCH(DATEVALUE($A175),'recurring1_based on steps'!M$1:M$400,0)),M$2,)</f>
        <v>0</v>
      </c>
      <c r="N175" s="155">
        <f ca="1">IF(ISNUMBER(MATCH(DATEVALUE($A175),'recurring1_based on steps'!N$1:N$400,0)),N$2,)</f>
        <v>0</v>
      </c>
      <c r="O175" s="155">
        <f ca="1">IF(ISNUMBER(MATCH(DATEVALUE($A175),'recurring1_based on steps'!O$1:O$400,0)),O$2,)</f>
        <v>0</v>
      </c>
      <c r="P175" s="155">
        <f ca="1">IF(ISNUMBER(MATCH(DATEVALUE($A175),'recurring1_based on steps'!P$1:P$400,0)),P$2,)</f>
        <v>0</v>
      </c>
      <c r="Q175" s="155">
        <f ca="1">IF(ISNUMBER(MATCH(DATEVALUE($A175),'recurring1_based on steps'!Q$1:Q$400,0)),Q$2,)</f>
        <v>0</v>
      </c>
      <c r="R175" s="155">
        <f ca="1">IF(ISNUMBER(MATCH(DATEVALUE($A175),'recurring1_based on steps'!R$1:R$400,0)),R$2,)</f>
        <v>0</v>
      </c>
      <c r="S175" s="155">
        <f ca="1">IF(ISNUMBER(MATCH(DATEVALUE($A175),'recurring1_based on steps'!S$1:S$400,0)),S$2,)</f>
        <v>0</v>
      </c>
      <c r="T175" s="155">
        <f ca="1">IF(ISNUMBER(MATCH(DATEVALUE($A175),'recurring1_based on steps'!T$1:T$400,0)),T$2,)</f>
        <v>0</v>
      </c>
      <c r="U175" s="155">
        <f ca="1">IF(ISNUMBER(MATCH(DATEVALUE($A175),'recurring1_based on steps'!U$1:U$400,0)),U$2,)</f>
        <v>0</v>
      </c>
      <c r="V175" s="155">
        <f ca="1">IF(ISNUMBER(MATCH(DATEVALUE($A175),'recurring1_based on steps'!V$1:V$400,0)),V$2,)</f>
        <v>0</v>
      </c>
      <c r="W175" s="155">
        <f ca="1">IF(ISNUMBER(MATCH(DATEVALUE($A175),'recurring1_based on steps'!W$1:W$400,0)),W$2,)</f>
        <v>0</v>
      </c>
      <c r="X175" s="155">
        <f ca="1">IF(ISNUMBER(MATCH(DATEVALUE($A175),'recurring1_based on steps'!X$1:X$400,0)),X$2,)</f>
        <v>0</v>
      </c>
      <c r="Y175" s="155">
        <f ca="1">IF(ISNUMBER(MATCH(DATEVALUE($A175),'recurring1_based on steps'!Y$1:Y$400,0)),Y$2,)</f>
        <v>0</v>
      </c>
      <c r="Z175" s="155">
        <f ca="1">IF(ISNUMBER(MATCH(DATEVALUE($A175),'recurring1_based on steps'!Z$1:Z$400,0)),Z$2,)</f>
        <v>0</v>
      </c>
      <c r="AA175" s="155">
        <f ca="1">IF(ISNUMBER(MATCH(DATEVALUE($A175),'recurring1_based on steps'!AA$1:AA$400,0)),AA$2,)</f>
        <v>0</v>
      </c>
      <c r="AB175" s="155">
        <f ca="1">IF(ISNUMBER(MATCH(DATEVALUE($A175),'recurring1_based on steps'!AB$1:AB$400,0)),AB$2,)</f>
        <v>0</v>
      </c>
      <c r="AC175" s="155">
        <f ca="1">IF(ISNUMBER(MATCH(DATEVALUE($A175),'recurring1_based on steps'!AC$1:AC$400,0)),AC$2,)</f>
        <v>0</v>
      </c>
      <c r="AD175" s="155">
        <f ca="1">IF(ISNUMBER(MATCH(DATEVALUE($A175),'recurring1_based on steps'!AD$1:AD$400,0)),AD$2,)</f>
        <v>0</v>
      </c>
      <c r="AE175" s="155">
        <f ca="1">IF(ISNUMBER(MATCH(DATEVALUE($A175),'recurring1_based on steps'!AE$1:AE$400,0)),AE$2,)</f>
        <v>0</v>
      </c>
      <c r="AF175" s="155">
        <f ca="1">IF(ISNUMBER(MATCH(DATEVALUE($A175),'recurring1_based on steps'!AF$1:AF$400,0)),AF$2,)</f>
        <v>0</v>
      </c>
      <c r="AG175" s="155">
        <f ca="1">IF(ISNUMBER(MATCH(DATEVALUE($A175),'recurring1_based on steps'!AG$1:AG$400,0)),AG$2,)</f>
        <v>0</v>
      </c>
      <c r="AH175" s="155">
        <f ca="1">IF(ISNUMBER(MATCH(DATEVALUE($A175),'recurring1_based on steps'!AH$1:AH$400,0)),AH$2,)</f>
        <v>0</v>
      </c>
      <c r="AI175" s="155">
        <f ca="1">IF(ISNUMBER(MATCH(DATEVALUE($A175),'recurring1_based on steps'!AI$1:AI$400,0)),AI$2,)</f>
        <v>0</v>
      </c>
      <c r="AJ175" s="155">
        <f ca="1">IF(ISNUMBER(MATCH(DATEVALUE($A175),'recurring1_based on steps'!AJ$1:AJ$400,0)),AJ$2,)</f>
        <v>0</v>
      </c>
      <c r="AK175" s="155">
        <f ca="1">IF(ISNUMBER(MATCH(DATEVALUE($A175),'recurring1_based on steps'!AK$1:AK$400,0)),AK$2,)</f>
        <v>0</v>
      </c>
      <c r="AL175" s="155">
        <f ca="1">IF(ISNUMBER(MATCH(DATEVALUE($A175),'recurring1_based on steps'!AL$1:AL$400,0)),AL$2,)</f>
        <v>0</v>
      </c>
      <c r="AM175" s="155">
        <f ca="1">IF(ISNUMBER(MATCH(DATEVALUE($A175),'recurring1_based on steps'!AM$1:AM$400,0)),AM$2,)</f>
        <v>0</v>
      </c>
      <c r="AN175" s="155">
        <f ca="1">IF(ISNUMBER(MATCH(DATEVALUE($A175),'recurring1_based on steps'!AN$1:AN$400,0)),AN$2,)</f>
        <v>0</v>
      </c>
      <c r="AO175" s="155">
        <f ca="1">IF(ISNUMBER(MATCH(DATEVALUE($A175),'recurring1_based on steps'!AO$1:AO$400,0)),AO$2,)</f>
        <v>0</v>
      </c>
      <c r="AP175" s="155">
        <f ca="1">IF(ISNUMBER(MATCH(DATEVALUE($A175),'recurring1_based on steps'!AP$1:AP$400,0)),AP$2,)</f>
        <v>0</v>
      </c>
      <c r="AQ175" s="155">
        <f ca="1">IF(ISNUMBER(MATCH(DATEVALUE($A175),'recurring1_based on steps'!AQ$1:AQ$400,0)),AQ$2,)</f>
        <v>0</v>
      </c>
      <c r="AR175" s="155">
        <f ca="1">IF(ISNUMBER(MATCH(DATEVALUE($A175),'recurring1_based on steps'!AR$1:AR$400,0)),AR$2,)</f>
        <v>0</v>
      </c>
      <c r="AS175" s="155">
        <f ca="1">IF(ISNUMBER(MATCH(DATEVALUE($A175),'recurring1_based on steps'!AS$1:AS$400,0)),AS$2,)</f>
        <v>0</v>
      </c>
      <c r="AT175" s="155">
        <f ca="1">IF(ISNUMBER(MATCH(DATEVALUE($A175),'recurring1_based on steps'!AT$1:AT$400,0)),AT$2,)</f>
        <v>0</v>
      </c>
      <c r="AU175" s="155">
        <f ca="1">IF(ISNUMBER(MATCH(DATEVALUE($A175),'recurring1_based on steps'!AU$1:AU$400,0)),AU$2,)</f>
        <v>0</v>
      </c>
      <c r="AV175" s="155">
        <f ca="1">IF(ISNUMBER(MATCH(DATEVALUE($A175),'recurring1_based on steps'!AV$1:AV$400,0)),AV$2,)</f>
        <v>0</v>
      </c>
      <c r="AW175" s="155">
        <f ca="1">IF(ISNUMBER(MATCH(DATEVALUE($A175),'recurring1_based on steps'!AW$1:AW$400,0)),AW$2,)</f>
        <v>0</v>
      </c>
      <c r="AX175" s="155">
        <f ca="1">IF(ISNUMBER(MATCH(DATEVALUE($A175),'recurring1_based on steps'!AX$1:AX$400,0)),AX$2,)</f>
        <v>0</v>
      </c>
      <c r="AY175" s="155">
        <f ca="1">IF(ISNUMBER(MATCH(DATEVALUE($A175),'recurring1_based on steps'!AY$1:AY$400,0)),AY$2,)</f>
        <v>0</v>
      </c>
    </row>
    <row r="176" spans="1:51" x14ac:dyDescent="0.2">
      <c r="A176" s="18" t="str">
        <f t="shared" ca="1" si="2"/>
        <v>2025-07-24</v>
      </c>
      <c r="B176" s="155">
        <f ca="1">IF(ISNUMBER(MATCH(DATEVALUE($A176),'recurring1_based on steps'!B$1:B$400,0)),B$2,)</f>
        <v>0</v>
      </c>
      <c r="C176" s="155">
        <f ca="1">IF(ISNUMBER(MATCH(DATEVALUE($A176),'recurring1_based on steps'!C$1:C$400,0)),C$2,)</f>
        <v>0</v>
      </c>
      <c r="D176" s="155">
        <f ca="1">IF(ISNUMBER(MATCH(DATEVALUE($A176),'recurring1_based on steps'!D$1:D$400,0)),D$2,)</f>
        <v>0</v>
      </c>
      <c r="E176" s="155">
        <f ca="1">IF(ISNUMBER(MATCH(DATEVALUE($A176),'recurring1_based on steps'!E$1:E$400,0)),E$2,)</f>
        <v>0</v>
      </c>
      <c r="F176" s="155">
        <f ca="1">IF(ISNUMBER(MATCH(DATEVALUE($A176),'recurring1_based on steps'!F$1:F$400,0)),F$2,)</f>
        <v>0</v>
      </c>
      <c r="G176" s="155">
        <f ca="1">IF(ISNUMBER(MATCH(DATEVALUE($A176),'recurring1_based on steps'!G$1:G$400,0)),G$2,)</f>
        <v>0</v>
      </c>
      <c r="H176" s="155">
        <f ca="1">IF(ISNUMBER(MATCH(DATEVALUE($A176),'recurring1_based on steps'!H$1:H$400,0)),H$2,)</f>
        <v>0</v>
      </c>
      <c r="I176" s="155">
        <f ca="1">IF(ISNUMBER(MATCH(DATEVALUE($A176),'recurring1_based on steps'!I$1:I$400,0)),I$2,)</f>
        <v>0</v>
      </c>
      <c r="J176" s="155">
        <f ca="1">IF(ISNUMBER(MATCH(DATEVALUE($A176),'recurring1_based on steps'!J$1:J$400,0)),J$2,)</f>
        <v>0</v>
      </c>
      <c r="K176" s="155">
        <f ca="1">IF(ISNUMBER(MATCH(DATEVALUE($A176),'recurring1_based on steps'!K$1:K$400,0)),K$2,)</f>
        <v>0</v>
      </c>
      <c r="L176" s="155">
        <f ca="1">IF(ISNUMBER(MATCH(DATEVALUE($A176),'recurring1_based on steps'!L$1:L$400,0)),L$2,)</f>
        <v>0</v>
      </c>
      <c r="M176" s="155">
        <f ca="1">IF(ISNUMBER(MATCH(DATEVALUE($A176),'recurring1_based on steps'!M$1:M$400,0)),M$2,)</f>
        <v>0</v>
      </c>
      <c r="N176" s="155">
        <f ca="1">IF(ISNUMBER(MATCH(DATEVALUE($A176),'recurring1_based on steps'!N$1:N$400,0)),N$2,)</f>
        <v>0</v>
      </c>
      <c r="O176" s="155">
        <f ca="1">IF(ISNUMBER(MATCH(DATEVALUE($A176),'recurring1_based on steps'!O$1:O$400,0)),O$2,)</f>
        <v>0</v>
      </c>
      <c r="P176" s="155">
        <f ca="1">IF(ISNUMBER(MATCH(DATEVALUE($A176),'recurring1_based on steps'!P$1:P$400,0)),P$2,)</f>
        <v>0</v>
      </c>
      <c r="Q176" s="155">
        <f ca="1">IF(ISNUMBER(MATCH(DATEVALUE($A176),'recurring1_based on steps'!Q$1:Q$400,0)),Q$2,)</f>
        <v>0</v>
      </c>
      <c r="R176" s="155">
        <f ca="1">IF(ISNUMBER(MATCH(DATEVALUE($A176),'recurring1_based on steps'!R$1:R$400,0)),R$2,)</f>
        <v>0</v>
      </c>
      <c r="S176" s="155">
        <f ca="1">IF(ISNUMBER(MATCH(DATEVALUE($A176),'recurring1_based on steps'!S$1:S$400,0)),S$2,)</f>
        <v>0</v>
      </c>
      <c r="T176" s="155">
        <f ca="1">IF(ISNUMBER(MATCH(DATEVALUE($A176),'recurring1_based on steps'!T$1:T$400,0)),T$2,)</f>
        <v>0</v>
      </c>
      <c r="U176" s="155">
        <f ca="1">IF(ISNUMBER(MATCH(DATEVALUE($A176),'recurring1_based on steps'!U$1:U$400,0)),U$2,)</f>
        <v>0</v>
      </c>
      <c r="V176" s="155">
        <f ca="1">IF(ISNUMBER(MATCH(DATEVALUE($A176),'recurring1_based on steps'!V$1:V$400,0)),V$2,)</f>
        <v>0</v>
      </c>
      <c r="W176" s="155">
        <f ca="1">IF(ISNUMBER(MATCH(DATEVALUE($A176),'recurring1_based on steps'!W$1:W$400,0)),W$2,)</f>
        <v>0</v>
      </c>
      <c r="X176" s="155">
        <f ca="1">IF(ISNUMBER(MATCH(DATEVALUE($A176),'recurring1_based on steps'!X$1:X$400,0)),X$2,)</f>
        <v>0</v>
      </c>
      <c r="Y176" s="155">
        <f ca="1">IF(ISNUMBER(MATCH(DATEVALUE($A176),'recurring1_based on steps'!Y$1:Y$400,0)),Y$2,)</f>
        <v>0</v>
      </c>
      <c r="Z176" s="155">
        <f ca="1">IF(ISNUMBER(MATCH(DATEVALUE($A176),'recurring1_based on steps'!Z$1:Z$400,0)),Z$2,)</f>
        <v>0</v>
      </c>
      <c r="AA176" s="155">
        <f ca="1">IF(ISNUMBER(MATCH(DATEVALUE($A176),'recurring1_based on steps'!AA$1:AA$400,0)),AA$2,)</f>
        <v>0</v>
      </c>
      <c r="AB176" s="155">
        <f ca="1">IF(ISNUMBER(MATCH(DATEVALUE($A176),'recurring1_based on steps'!AB$1:AB$400,0)),AB$2,)</f>
        <v>0</v>
      </c>
      <c r="AC176" s="155">
        <f ca="1">IF(ISNUMBER(MATCH(DATEVALUE($A176),'recurring1_based on steps'!AC$1:AC$400,0)),AC$2,)</f>
        <v>0</v>
      </c>
      <c r="AD176" s="155">
        <f ca="1">IF(ISNUMBER(MATCH(DATEVALUE($A176),'recurring1_based on steps'!AD$1:AD$400,0)),AD$2,)</f>
        <v>0</v>
      </c>
      <c r="AE176" s="155">
        <f ca="1">IF(ISNUMBER(MATCH(DATEVALUE($A176),'recurring1_based on steps'!AE$1:AE$400,0)),AE$2,)</f>
        <v>0</v>
      </c>
      <c r="AF176" s="155">
        <f ca="1">IF(ISNUMBER(MATCH(DATEVALUE($A176),'recurring1_based on steps'!AF$1:AF$400,0)),AF$2,)</f>
        <v>0</v>
      </c>
      <c r="AG176" s="155">
        <f ca="1">IF(ISNUMBER(MATCH(DATEVALUE($A176),'recurring1_based on steps'!AG$1:AG$400,0)),AG$2,)</f>
        <v>0</v>
      </c>
      <c r="AH176" s="155">
        <f ca="1">IF(ISNUMBER(MATCH(DATEVALUE($A176),'recurring1_based on steps'!AH$1:AH$400,0)),AH$2,)</f>
        <v>0</v>
      </c>
      <c r="AI176" s="155">
        <f ca="1">IF(ISNUMBER(MATCH(DATEVALUE($A176),'recurring1_based on steps'!AI$1:AI$400,0)),AI$2,)</f>
        <v>0</v>
      </c>
      <c r="AJ176" s="155">
        <f ca="1">IF(ISNUMBER(MATCH(DATEVALUE($A176),'recurring1_based on steps'!AJ$1:AJ$400,0)),AJ$2,)</f>
        <v>0</v>
      </c>
      <c r="AK176" s="155">
        <f ca="1">IF(ISNUMBER(MATCH(DATEVALUE($A176),'recurring1_based on steps'!AK$1:AK$400,0)),AK$2,)</f>
        <v>0</v>
      </c>
      <c r="AL176" s="155">
        <f ca="1">IF(ISNUMBER(MATCH(DATEVALUE($A176),'recurring1_based on steps'!AL$1:AL$400,0)),AL$2,)</f>
        <v>0</v>
      </c>
      <c r="AM176" s="155">
        <f ca="1">IF(ISNUMBER(MATCH(DATEVALUE($A176),'recurring1_based on steps'!AM$1:AM$400,0)),AM$2,)</f>
        <v>0</v>
      </c>
      <c r="AN176" s="155">
        <f ca="1">IF(ISNUMBER(MATCH(DATEVALUE($A176),'recurring1_based on steps'!AN$1:AN$400,0)),AN$2,)</f>
        <v>0</v>
      </c>
      <c r="AO176" s="155">
        <f ca="1">IF(ISNUMBER(MATCH(DATEVALUE($A176),'recurring1_based on steps'!AO$1:AO$400,0)),AO$2,)</f>
        <v>0</v>
      </c>
      <c r="AP176" s="155">
        <f ca="1">IF(ISNUMBER(MATCH(DATEVALUE($A176),'recurring1_based on steps'!AP$1:AP$400,0)),AP$2,)</f>
        <v>0</v>
      </c>
      <c r="AQ176" s="155">
        <f ca="1">IF(ISNUMBER(MATCH(DATEVALUE($A176),'recurring1_based on steps'!AQ$1:AQ$400,0)),AQ$2,)</f>
        <v>0</v>
      </c>
      <c r="AR176" s="155">
        <f ca="1">IF(ISNUMBER(MATCH(DATEVALUE($A176),'recurring1_based on steps'!AR$1:AR$400,0)),AR$2,)</f>
        <v>0</v>
      </c>
      <c r="AS176" s="155">
        <f ca="1">IF(ISNUMBER(MATCH(DATEVALUE($A176),'recurring1_based on steps'!AS$1:AS$400,0)),AS$2,)</f>
        <v>0</v>
      </c>
      <c r="AT176" s="155">
        <f ca="1">IF(ISNUMBER(MATCH(DATEVALUE($A176),'recurring1_based on steps'!AT$1:AT$400,0)),AT$2,)</f>
        <v>0</v>
      </c>
      <c r="AU176" s="155">
        <f ca="1">IF(ISNUMBER(MATCH(DATEVALUE($A176),'recurring1_based on steps'!AU$1:AU$400,0)),AU$2,)</f>
        <v>0</v>
      </c>
      <c r="AV176" s="155">
        <f ca="1">IF(ISNUMBER(MATCH(DATEVALUE($A176),'recurring1_based on steps'!AV$1:AV$400,0)),AV$2,)</f>
        <v>0</v>
      </c>
      <c r="AW176" s="155">
        <f ca="1">IF(ISNUMBER(MATCH(DATEVALUE($A176),'recurring1_based on steps'!AW$1:AW$400,0)),AW$2,)</f>
        <v>0</v>
      </c>
      <c r="AX176" s="155">
        <f ca="1">IF(ISNUMBER(MATCH(DATEVALUE($A176),'recurring1_based on steps'!AX$1:AX$400,0)),AX$2,)</f>
        <v>0</v>
      </c>
      <c r="AY176" s="155">
        <f ca="1">IF(ISNUMBER(MATCH(DATEVALUE($A176),'recurring1_based on steps'!AY$1:AY$400,0)),AY$2,)</f>
        <v>0</v>
      </c>
    </row>
    <row r="177" spans="1:51" x14ac:dyDescent="0.2">
      <c r="A177" s="18" t="str">
        <f t="shared" ca="1" si="2"/>
        <v>2025-07-25</v>
      </c>
      <c r="B177" s="155">
        <f ca="1">IF(ISNUMBER(MATCH(DATEVALUE($A177),'recurring1_based on steps'!B$1:B$400,0)),B$2,)</f>
        <v>4000</v>
      </c>
      <c r="C177" s="155">
        <f ca="1">IF(ISNUMBER(MATCH(DATEVALUE($A177),'recurring1_based on steps'!C$1:C$400,0)),C$2,)</f>
        <v>200</v>
      </c>
      <c r="D177" s="155">
        <f ca="1">IF(ISNUMBER(MATCH(DATEVALUE($A177),'recurring1_based on steps'!D$1:D$400,0)),D$2,)</f>
        <v>2</v>
      </c>
      <c r="E177" s="155">
        <f ca="1">IF(ISNUMBER(MATCH(DATEVALUE($A177),'recurring1_based on steps'!E$1:E$400,0)),E$2,)</f>
        <v>40</v>
      </c>
      <c r="F177" s="155">
        <f ca="1">IF(ISNUMBER(MATCH(DATEVALUE($A177),'recurring1_based on steps'!F$1:F$400,0)),F$2,)</f>
        <v>50</v>
      </c>
      <c r="G177" s="155">
        <f ca="1">IF(ISNUMBER(MATCH(DATEVALUE($A177),'recurring1_based on steps'!G$1:G$400,0)),G$2,)</f>
        <v>4</v>
      </c>
      <c r="H177" s="155">
        <f ca="1">IF(ISNUMBER(MATCH(DATEVALUE($A177),'recurring1_based on steps'!H$1:H$400,0)),H$2,)</f>
        <v>0</v>
      </c>
      <c r="I177" s="155">
        <f ca="1">IF(ISNUMBER(MATCH(DATEVALUE($A177),'recurring1_based on steps'!I$1:I$400,0)),I$2,)</f>
        <v>0</v>
      </c>
      <c r="J177" s="155">
        <f ca="1">IF(ISNUMBER(MATCH(DATEVALUE($A177),'recurring1_based on steps'!J$1:J$400,0)),J$2,)</f>
        <v>0</v>
      </c>
      <c r="K177" s="155">
        <f ca="1">IF(ISNUMBER(MATCH(DATEVALUE($A177),'recurring1_based on steps'!K$1:K$400,0)),K$2,)</f>
        <v>0</v>
      </c>
      <c r="L177" s="155">
        <f ca="1">IF(ISNUMBER(MATCH(DATEVALUE($A177),'recurring1_based on steps'!L$1:L$400,0)),L$2,)</f>
        <v>0</v>
      </c>
      <c r="M177" s="155">
        <f ca="1">IF(ISNUMBER(MATCH(DATEVALUE($A177),'recurring1_based on steps'!M$1:M$400,0)),M$2,)</f>
        <v>0</v>
      </c>
      <c r="N177" s="155">
        <f ca="1">IF(ISNUMBER(MATCH(DATEVALUE($A177),'recurring1_based on steps'!N$1:N$400,0)),N$2,)</f>
        <v>0</v>
      </c>
      <c r="O177" s="155">
        <f ca="1">IF(ISNUMBER(MATCH(DATEVALUE($A177),'recurring1_based on steps'!O$1:O$400,0)),O$2,)</f>
        <v>0</v>
      </c>
      <c r="P177" s="155">
        <f ca="1">IF(ISNUMBER(MATCH(DATEVALUE($A177),'recurring1_based on steps'!P$1:P$400,0)),P$2,)</f>
        <v>0</v>
      </c>
      <c r="Q177" s="155">
        <f ca="1">IF(ISNUMBER(MATCH(DATEVALUE($A177),'recurring1_based on steps'!Q$1:Q$400,0)),Q$2,)</f>
        <v>0</v>
      </c>
      <c r="R177" s="155">
        <f ca="1">IF(ISNUMBER(MATCH(DATEVALUE($A177),'recurring1_based on steps'!R$1:R$400,0)),R$2,)</f>
        <v>0</v>
      </c>
      <c r="S177" s="155">
        <f ca="1">IF(ISNUMBER(MATCH(DATEVALUE($A177),'recurring1_based on steps'!S$1:S$400,0)),S$2,)</f>
        <v>0</v>
      </c>
      <c r="T177" s="155">
        <f ca="1">IF(ISNUMBER(MATCH(DATEVALUE($A177),'recurring1_based on steps'!T$1:T$400,0)),T$2,)</f>
        <v>0</v>
      </c>
      <c r="U177" s="155">
        <f ca="1">IF(ISNUMBER(MATCH(DATEVALUE($A177),'recurring1_based on steps'!U$1:U$400,0)),U$2,)</f>
        <v>0</v>
      </c>
      <c r="V177" s="155">
        <f ca="1">IF(ISNUMBER(MATCH(DATEVALUE($A177),'recurring1_based on steps'!V$1:V$400,0)),V$2,)</f>
        <v>0</v>
      </c>
      <c r="W177" s="155">
        <f ca="1">IF(ISNUMBER(MATCH(DATEVALUE($A177),'recurring1_based on steps'!W$1:W$400,0)),W$2,)</f>
        <v>0</v>
      </c>
      <c r="X177" s="155">
        <f ca="1">IF(ISNUMBER(MATCH(DATEVALUE($A177),'recurring1_based on steps'!X$1:X$400,0)),X$2,)</f>
        <v>50</v>
      </c>
      <c r="Y177" s="155">
        <f ca="1">IF(ISNUMBER(MATCH(DATEVALUE($A177),'recurring1_based on steps'!Y$1:Y$400,0)),Y$2,)</f>
        <v>0</v>
      </c>
      <c r="Z177" s="155">
        <f ca="1">IF(ISNUMBER(MATCH(DATEVALUE($A177),'recurring1_based on steps'!Z$1:Z$400,0)),Z$2,)</f>
        <v>0</v>
      </c>
      <c r="AA177" s="155">
        <f ca="1">IF(ISNUMBER(MATCH(DATEVALUE($A177),'recurring1_based on steps'!AA$1:AA$400,0)),AA$2,)</f>
        <v>0</v>
      </c>
      <c r="AB177" s="155">
        <f ca="1">IF(ISNUMBER(MATCH(DATEVALUE($A177),'recurring1_based on steps'!AB$1:AB$400,0)),AB$2,)</f>
        <v>0</v>
      </c>
      <c r="AC177" s="155">
        <f ca="1">IF(ISNUMBER(MATCH(DATEVALUE($A177),'recurring1_based on steps'!AC$1:AC$400,0)),AC$2,)</f>
        <v>0</v>
      </c>
      <c r="AD177" s="155">
        <f ca="1">IF(ISNUMBER(MATCH(DATEVALUE($A177),'recurring1_based on steps'!AD$1:AD$400,0)),AD$2,)</f>
        <v>0</v>
      </c>
      <c r="AE177" s="155">
        <f ca="1">IF(ISNUMBER(MATCH(DATEVALUE($A177),'recurring1_based on steps'!AE$1:AE$400,0)),AE$2,)</f>
        <v>0</v>
      </c>
      <c r="AF177" s="155">
        <f ca="1">IF(ISNUMBER(MATCH(DATEVALUE($A177),'recurring1_based on steps'!AF$1:AF$400,0)),AF$2,)</f>
        <v>0</v>
      </c>
      <c r="AG177" s="155">
        <f ca="1">IF(ISNUMBER(MATCH(DATEVALUE($A177),'recurring1_based on steps'!AG$1:AG$400,0)),AG$2,)</f>
        <v>0</v>
      </c>
      <c r="AH177" s="155">
        <f ca="1">IF(ISNUMBER(MATCH(DATEVALUE($A177),'recurring1_based on steps'!AH$1:AH$400,0)),AH$2,)</f>
        <v>0</v>
      </c>
      <c r="AI177" s="155">
        <f ca="1">IF(ISNUMBER(MATCH(DATEVALUE($A177),'recurring1_based on steps'!AI$1:AI$400,0)),AI$2,)</f>
        <v>0</v>
      </c>
      <c r="AJ177" s="155">
        <f ca="1">IF(ISNUMBER(MATCH(DATEVALUE($A177),'recurring1_based on steps'!AJ$1:AJ$400,0)),AJ$2,)</f>
        <v>0</v>
      </c>
      <c r="AK177" s="155">
        <f ca="1">IF(ISNUMBER(MATCH(DATEVALUE($A177),'recurring1_based on steps'!AK$1:AK$400,0)),AK$2,)</f>
        <v>0</v>
      </c>
      <c r="AL177" s="155">
        <f ca="1">IF(ISNUMBER(MATCH(DATEVALUE($A177),'recurring1_based on steps'!AL$1:AL$400,0)),AL$2,)</f>
        <v>0</v>
      </c>
      <c r="AM177" s="155">
        <f ca="1">IF(ISNUMBER(MATCH(DATEVALUE($A177),'recurring1_based on steps'!AM$1:AM$400,0)),AM$2,)</f>
        <v>0</v>
      </c>
      <c r="AN177" s="155">
        <f ca="1">IF(ISNUMBER(MATCH(DATEVALUE($A177),'recurring1_based on steps'!AN$1:AN$400,0)),AN$2,)</f>
        <v>0</v>
      </c>
      <c r="AO177" s="155">
        <f ca="1">IF(ISNUMBER(MATCH(DATEVALUE($A177),'recurring1_based on steps'!AO$1:AO$400,0)),AO$2,)</f>
        <v>0</v>
      </c>
      <c r="AP177" s="155">
        <f ca="1">IF(ISNUMBER(MATCH(DATEVALUE($A177),'recurring1_based on steps'!AP$1:AP$400,0)),AP$2,)</f>
        <v>0</v>
      </c>
      <c r="AQ177" s="155">
        <f ca="1">IF(ISNUMBER(MATCH(DATEVALUE($A177),'recurring1_based on steps'!AQ$1:AQ$400,0)),AQ$2,)</f>
        <v>0</v>
      </c>
      <c r="AR177" s="155">
        <f ca="1">IF(ISNUMBER(MATCH(DATEVALUE($A177),'recurring1_based on steps'!AR$1:AR$400,0)),AR$2,)</f>
        <v>0</v>
      </c>
      <c r="AS177" s="155">
        <f ca="1">IF(ISNUMBER(MATCH(DATEVALUE($A177),'recurring1_based on steps'!AS$1:AS$400,0)),AS$2,)</f>
        <v>0</v>
      </c>
      <c r="AT177" s="155">
        <f ca="1">IF(ISNUMBER(MATCH(DATEVALUE($A177),'recurring1_based on steps'!AT$1:AT$400,0)),AT$2,)</f>
        <v>0</v>
      </c>
      <c r="AU177" s="155">
        <f ca="1">IF(ISNUMBER(MATCH(DATEVALUE($A177),'recurring1_based on steps'!AU$1:AU$400,0)),AU$2,)</f>
        <v>0</v>
      </c>
      <c r="AV177" s="155">
        <f ca="1">IF(ISNUMBER(MATCH(DATEVALUE($A177),'recurring1_based on steps'!AV$1:AV$400,0)),AV$2,)</f>
        <v>0</v>
      </c>
      <c r="AW177" s="155">
        <f ca="1">IF(ISNUMBER(MATCH(DATEVALUE($A177),'recurring1_based on steps'!AW$1:AW$400,0)),AW$2,)</f>
        <v>0</v>
      </c>
      <c r="AX177" s="155">
        <f ca="1">IF(ISNUMBER(MATCH(DATEVALUE($A177),'recurring1_based on steps'!AX$1:AX$400,0)),AX$2,)</f>
        <v>0</v>
      </c>
      <c r="AY177" s="155">
        <f ca="1">IF(ISNUMBER(MATCH(DATEVALUE($A177),'recurring1_based on steps'!AY$1:AY$400,0)),AY$2,)</f>
        <v>0</v>
      </c>
    </row>
    <row r="178" spans="1:51" x14ac:dyDescent="0.2">
      <c r="A178" s="18" t="str">
        <f t="shared" ca="1" si="2"/>
        <v>2025-07-26</v>
      </c>
      <c r="B178" s="155">
        <f ca="1">IF(ISNUMBER(MATCH(DATEVALUE($A178),'recurring1_based on steps'!B$1:B$400,0)),B$2,)</f>
        <v>0</v>
      </c>
      <c r="C178" s="155">
        <f ca="1">IF(ISNUMBER(MATCH(DATEVALUE($A178),'recurring1_based on steps'!C$1:C$400,0)),C$2,)</f>
        <v>0</v>
      </c>
      <c r="D178" s="155">
        <f ca="1">IF(ISNUMBER(MATCH(DATEVALUE($A178),'recurring1_based on steps'!D$1:D$400,0)),D$2,)</f>
        <v>0</v>
      </c>
      <c r="E178" s="155">
        <f ca="1">IF(ISNUMBER(MATCH(DATEVALUE($A178),'recurring1_based on steps'!E$1:E$400,0)),E$2,)</f>
        <v>0</v>
      </c>
      <c r="F178" s="155">
        <f ca="1">IF(ISNUMBER(MATCH(DATEVALUE($A178),'recurring1_based on steps'!F$1:F$400,0)),F$2,)</f>
        <v>0</v>
      </c>
      <c r="G178" s="155">
        <f ca="1">IF(ISNUMBER(MATCH(DATEVALUE($A178),'recurring1_based on steps'!G$1:G$400,0)),G$2,)</f>
        <v>0</v>
      </c>
      <c r="H178" s="155">
        <f ca="1">IF(ISNUMBER(MATCH(DATEVALUE($A178),'recurring1_based on steps'!H$1:H$400,0)),H$2,)</f>
        <v>0</v>
      </c>
      <c r="I178" s="155">
        <f ca="1">IF(ISNUMBER(MATCH(DATEVALUE($A178),'recurring1_based on steps'!I$1:I$400,0)),I$2,)</f>
        <v>0</v>
      </c>
      <c r="J178" s="155">
        <f ca="1">IF(ISNUMBER(MATCH(DATEVALUE($A178),'recurring1_based on steps'!J$1:J$400,0)),J$2,)</f>
        <v>0</v>
      </c>
      <c r="K178" s="155">
        <f ca="1">IF(ISNUMBER(MATCH(DATEVALUE($A178),'recurring1_based on steps'!K$1:K$400,0)),K$2,)</f>
        <v>0</v>
      </c>
      <c r="L178" s="155">
        <f ca="1">IF(ISNUMBER(MATCH(DATEVALUE($A178),'recurring1_based on steps'!L$1:L$400,0)),L$2,)</f>
        <v>0</v>
      </c>
      <c r="M178" s="155">
        <f ca="1">IF(ISNUMBER(MATCH(DATEVALUE($A178),'recurring1_based on steps'!M$1:M$400,0)),M$2,)</f>
        <v>0</v>
      </c>
      <c r="N178" s="155">
        <f ca="1">IF(ISNUMBER(MATCH(DATEVALUE($A178),'recurring1_based on steps'!N$1:N$400,0)),N$2,)</f>
        <v>0</v>
      </c>
      <c r="O178" s="155">
        <f ca="1">IF(ISNUMBER(MATCH(DATEVALUE($A178),'recurring1_based on steps'!O$1:O$400,0)),O$2,)</f>
        <v>0</v>
      </c>
      <c r="P178" s="155">
        <f ca="1">IF(ISNUMBER(MATCH(DATEVALUE($A178),'recurring1_based on steps'!P$1:P$400,0)),P$2,)</f>
        <v>0</v>
      </c>
      <c r="Q178" s="155">
        <f ca="1">IF(ISNUMBER(MATCH(DATEVALUE($A178),'recurring1_based on steps'!Q$1:Q$400,0)),Q$2,)</f>
        <v>100</v>
      </c>
      <c r="R178" s="155">
        <f ca="1">IF(ISNUMBER(MATCH(DATEVALUE($A178),'recurring1_based on steps'!R$1:R$400,0)),R$2,)</f>
        <v>100</v>
      </c>
      <c r="S178" s="155">
        <f ca="1">IF(ISNUMBER(MATCH(DATEVALUE($A178),'recurring1_based on steps'!S$1:S$400,0)),S$2,)</f>
        <v>0</v>
      </c>
      <c r="T178" s="155">
        <f ca="1">IF(ISNUMBER(MATCH(DATEVALUE($A178),'recurring1_based on steps'!T$1:T$400,0)),T$2,)</f>
        <v>0</v>
      </c>
      <c r="U178" s="155">
        <f ca="1">IF(ISNUMBER(MATCH(DATEVALUE($A178),'recurring1_based on steps'!U$1:U$400,0)),U$2,)</f>
        <v>0</v>
      </c>
      <c r="V178" s="155">
        <f ca="1">IF(ISNUMBER(MATCH(DATEVALUE($A178),'recurring1_based on steps'!V$1:V$400,0)),V$2,)</f>
        <v>0</v>
      </c>
      <c r="W178" s="155">
        <f ca="1">IF(ISNUMBER(MATCH(DATEVALUE($A178),'recurring1_based on steps'!W$1:W$400,0)),W$2,)</f>
        <v>0</v>
      </c>
      <c r="X178" s="155">
        <f ca="1">IF(ISNUMBER(MATCH(DATEVALUE($A178),'recurring1_based on steps'!X$1:X$400,0)),X$2,)</f>
        <v>0</v>
      </c>
      <c r="Y178" s="155">
        <f ca="1">IF(ISNUMBER(MATCH(DATEVALUE($A178),'recurring1_based on steps'!Y$1:Y$400,0)),Y$2,)</f>
        <v>0</v>
      </c>
      <c r="Z178" s="155">
        <f ca="1">IF(ISNUMBER(MATCH(DATEVALUE($A178),'recurring1_based on steps'!Z$1:Z$400,0)),Z$2,)</f>
        <v>0</v>
      </c>
      <c r="AA178" s="155">
        <f ca="1">IF(ISNUMBER(MATCH(DATEVALUE($A178),'recurring1_based on steps'!AA$1:AA$400,0)),AA$2,)</f>
        <v>0</v>
      </c>
      <c r="AB178" s="155">
        <f ca="1">IF(ISNUMBER(MATCH(DATEVALUE($A178),'recurring1_based on steps'!AB$1:AB$400,0)),AB$2,)</f>
        <v>0</v>
      </c>
      <c r="AC178" s="155">
        <f ca="1">IF(ISNUMBER(MATCH(DATEVALUE($A178),'recurring1_based on steps'!AC$1:AC$400,0)),AC$2,)</f>
        <v>0</v>
      </c>
      <c r="AD178" s="155">
        <f ca="1">IF(ISNUMBER(MATCH(DATEVALUE($A178),'recurring1_based on steps'!AD$1:AD$400,0)),AD$2,)</f>
        <v>0</v>
      </c>
      <c r="AE178" s="155">
        <f ca="1">IF(ISNUMBER(MATCH(DATEVALUE($A178),'recurring1_based on steps'!AE$1:AE$400,0)),AE$2,)</f>
        <v>0</v>
      </c>
      <c r="AF178" s="155">
        <f ca="1">IF(ISNUMBER(MATCH(DATEVALUE($A178),'recurring1_based on steps'!AF$1:AF$400,0)),AF$2,)</f>
        <v>0</v>
      </c>
      <c r="AG178" s="155">
        <f ca="1">IF(ISNUMBER(MATCH(DATEVALUE($A178),'recurring1_based on steps'!AG$1:AG$400,0)),AG$2,)</f>
        <v>0</v>
      </c>
      <c r="AH178" s="155">
        <f ca="1">IF(ISNUMBER(MATCH(DATEVALUE($A178),'recurring1_based on steps'!AH$1:AH$400,0)),AH$2,)</f>
        <v>0</v>
      </c>
      <c r="AI178" s="155">
        <f ca="1">IF(ISNUMBER(MATCH(DATEVALUE($A178),'recurring1_based on steps'!AI$1:AI$400,0)),AI$2,)</f>
        <v>0</v>
      </c>
      <c r="AJ178" s="155">
        <f ca="1">IF(ISNUMBER(MATCH(DATEVALUE($A178),'recurring1_based on steps'!AJ$1:AJ$400,0)),AJ$2,)</f>
        <v>0</v>
      </c>
      <c r="AK178" s="155">
        <f ca="1">IF(ISNUMBER(MATCH(DATEVALUE($A178),'recurring1_based on steps'!AK$1:AK$400,0)),AK$2,)</f>
        <v>0</v>
      </c>
      <c r="AL178" s="155">
        <f ca="1">IF(ISNUMBER(MATCH(DATEVALUE($A178),'recurring1_based on steps'!AL$1:AL$400,0)),AL$2,)</f>
        <v>0</v>
      </c>
      <c r="AM178" s="155">
        <f ca="1">IF(ISNUMBER(MATCH(DATEVALUE($A178),'recurring1_based on steps'!AM$1:AM$400,0)),AM$2,)</f>
        <v>0</v>
      </c>
      <c r="AN178" s="155">
        <f ca="1">IF(ISNUMBER(MATCH(DATEVALUE($A178),'recurring1_based on steps'!AN$1:AN$400,0)),AN$2,)</f>
        <v>0</v>
      </c>
      <c r="AO178" s="155">
        <f ca="1">IF(ISNUMBER(MATCH(DATEVALUE($A178),'recurring1_based on steps'!AO$1:AO$400,0)),AO$2,)</f>
        <v>0</v>
      </c>
      <c r="AP178" s="155">
        <f ca="1">IF(ISNUMBER(MATCH(DATEVALUE($A178),'recurring1_based on steps'!AP$1:AP$400,0)),AP$2,)</f>
        <v>0</v>
      </c>
      <c r="AQ178" s="155">
        <f ca="1">IF(ISNUMBER(MATCH(DATEVALUE($A178),'recurring1_based on steps'!AQ$1:AQ$400,0)),AQ$2,)</f>
        <v>0</v>
      </c>
      <c r="AR178" s="155">
        <f ca="1">IF(ISNUMBER(MATCH(DATEVALUE($A178),'recurring1_based on steps'!AR$1:AR$400,0)),AR$2,)</f>
        <v>0</v>
      </c>
      <c r="AS178" s="155">
        <f ca="1">IF(ISNUMBER(MATCH(DATEVALUE($A178),'recurring1_based on steps'!AS$1:AS$400,0)),AS$2,)</f>
        <v>0</v>
      </c>
      <c r="AT178" s="155">
        <f ca="1">IF(ISNUMBER(MATCH(DATEVALUE($A178),'recurring1_based on steps'!AT$1:AT$400,0)),AT$2,)</f>
        <v>0</v>
      </c>
      <c r="AU178" s="155">
        <f ca="1">IF(ISNUMBER(MATCH(DATEVALUE($A178),'recurring1_based on steps'!AU$1:AU$400,0)),AU$2,)</f>
        <v>0</v>
      </c>
      <c r="AV178" s="155">
        <f ca="1">IF(ISNUMBER(MATCH(DATEVALUE($A178),'recurring1_based on steps'!AV$1:AV$400,0)),AV$2,)</f>
        <v>0</v>
      </c>
      <c r="AW178" s="155">
        <f ca="1">IF(ISNUMBER(MATCH(DATEVALUE($A178),'recurring1_based on steps'!AW$1:AW$400,0)),AW$2,)</f>
        <v>0</v>
      </c>
      <c r="AX178" s="155">
        <f ca="1">IF(ISNUMBER(MATCH(DATEVALUE($A178),'recurring1_based on steps'!AX$1:AX$400,0)),AX$2,)</f>
        <v>0</v>
      </c>
      <c r="AY178" s="155">
        <f ca="1">IF(ISNUMBER(MATCH(DATEVALUE($A178),'recurring1_based on steps'!AY$1:AY$400,0)),AY$2,)</f>
        <v>0</v>
      </c>
    </row>
    <row r="179" spans="1:51" x14ac:dyDescent="0.2">
      <c r="A179" s="18" t="str">
        <f t="shared" ca="1" si="2"/>
        <v>2025-07-27</v>
      </c>
      <c r="B179" s="155">
        <f ca="1">IF(ISNUMBER(MATCH(DATEVALUE($A179),'recurring1_based on steps'!B$1:B$400,0)),B$2,)</f>
        <v>0</v>
      </c>
      <c r="C179" s="155">
        <f ca="1">IF(ISNUMBER(MATCH(DATEVALUE($A179),'recurring1_based on steps'!C$1:C$400,0)),C$2,)</f>
        <v>0</v>
      </c>
      <c r="D179" s="155">
        <f ca="1">IF(ISNUMBER(MATCH(DATEVALUE($A179),'recurring1_based on steps'!D$1:D$400,0)),D$2,)</f>
        <v>0</v>
      </c>
      <c r="E179" s="155">
        <f ca="1">IF(ISNUMBER(MATCH(DATEVALUE($A179),'recurring1_based on steps'!E$1:E$400,0)),E$2,)</f>
        <v>0</v>
      </c>
      <c r="F179" s="155">
        <f ca="1">IF(ISNUMBER(MATCH(DATEVALUE($A179),'recurring1_based on steps'!F$1:F$400,0)),F$2,)</f>
        <v>0</v>
      </c>
      <c r="G179" s="155">
        <f ca="1">IF(ISNUMBER(MATCH(DATEVALUE($A179),'recurring1_based on steps'!G$1:G$400,0)),G$2,)</f>
        <v>0</v>
      </c>
      <c r="H179" s="155">
        <f ca="1">IF(ISNUMBER(MATCH(DATEVALUE($A179),'recurring1_based on steps'!H$1:H$400,0)),H$2,)</f>
        <v>0</v>
      </c>
      <c r="I179" s="155">
        <f ca="1">IF(ISNUMBER(MATCH(DATEVALUE($A179),'recurring1_based on steps'!I$1:I$400,0)),I$2,)</f>
        <v>0</v>
      </c>
      <c r="J179" s="155">
        <f ca="1">IF(ISNUMBER(MATCH(DATEVALUE($A179),'recurring1_based on steps'!J$1:J$400,0)),J$2,)</f>
        <v>0</v>
      </c>
      <c r="K179" s="155">
        <f ca="1">IF(ISNUMBER(MATCH(DATEVALUE($A179),'recurring1_based on steps'!K$1:K$400,0)),K$2,)</f>
        <v>50</v>
      </c>
      <c r="L179" s="155">
        <f ca="1">IF(ISNUMBER(MATCH(DATEVALUE($A179),'recurring1_based on steps'!L$1:L$400,0)),L$2,)</f>
        <v>0</v>
      </c>
      <c r="M179" s="155">
        <f ca="1">IF(ISNUMBER(MATCH(DATEVALUE($A179),'recurring1_based on steps'!M$1:M$400,0)),M$2,)</f>
        <v>0</v>
      </c>
      <c r="N179" s="155">
        <f ca="1">IF(ISNUMBER(MATCH(DATEVALUE($A179),'recurring1_based on steps'!N$1:N$400,0)),N$2,)</f>
        <v>0</v>
      </c>
      <c r="O179" s="155">
        <f ca="1">IF(ISNUMBER(MATCH(DATEVALUE($A179),'recurring1_based on steps'!O$1:O$400,0)),O$2,)</f>
        <v>0</v>
      </c>
      <c r="P179" s="155">
        <f ca="1">IF(ISNUMBER(MATCH(DATEVALUE($A179),'recurring1_based on steps'!P$1:P$400,0)),P$2,)</f>
        <v>2.99</v>
      </c>
      <c r="Q179" s="155">
        <f ca="1">IF(ISNUMBER(MATCH(DATEVALUE($A179),'recurring1_based on steps'!Q$1:Q$400,0)),Q$2,)</f>
        <v>0</v>
      </c>
      <c r="R179" s="155">
        <f ca="1">IF(ISNUMBER(MATCH(DATEVALUE($A179),'recurring1_based on steps'!R$1:R$400,0)),R$2,)</f>
        <v>0</v>
      </c>
      <c r="S179" s="155">
        <f ca="1">IF(ISNUMBER(MATCH(DATEVALUE($A179),'recurring1_based on steps'!S$1:S$400,0)),S$2,)</f>
        <v>100</v>
      </c>
      <c r="T179" s="155">
        <f ca="1">IF(ISNUMBER(MATCH(DATEVALUE($A179),'recurring1_based on steps'!T$1:T$400,0)),T$2,)</f>
        <v>0</v>
      </c>
      <c r="U179" s="155">
        <f ca="1">IF(ISNUMBER(MATCH(DATEVALUE($A179),'recurring1_based on steps'!U$1:U$400,0)),U$2,)</f>
        <v>0</v>
      </c>
      <c r="V179" s="155">
        <f ca="1">IF(ISNUMBER(MATCH(DATEVALUE($A179),'recurring1_based on steps'!V$1:V$400,0)),V$2,)</f>
        <v>0</v>
      </c>
      <c r="W179" s="155">
        <f ca="1">IF(ISNUMBER(MATCH(DATEVALUE($A179),'recurring1_based on steps'!W$1:W$400,0)),W$2,)</f>
        <v>0</v>
      </c>
      <c r="X179" s="155">
        <f ca="1">IF(ISNUMBER(MATCH(DATEVALUE($A179),'recurring1_based on steps'!X$1:X$400,0)),X$2,)</f>
        <v>0</v>
      </c>
      <c r="Y179" s="155">
        <f ca="1">IF(ISNUMBER(MATCH(DATEVALUE($A179),'recurring1_based on steps'!Y$1:Y$400,0)),Y$2,)</f>
        <v>0</v>
      </c>
      <c r="Z179" s="155">
        <f ca="1">IF(ISNUMBER(MATCH(DATEVALUE($A179),'recurring1_based on steps'!Z$1:Z$400,0)),Z$2,)</f>
        <v>0</v>
      </c>
      <c r="AA179" s="155">
        <f ca="1">IF(ISNUMBER(MATCH(DATEVALUE($A179),'recurring1_based on steps'!AA$1:AA$400,0)),AA$2,)</f>
        <v>0</v>
      </c>
      <c r="AB179" s="155">
        <f ca="1">IF(ISNUMBER(MATCH(DATEVALUE($A179),'recurring1_based on steps'!AB$1:AB$400,0)),AB$2,)</f>
        <v>0</v>
      </c>
      <c r="AC179" s="155">
        <f ca="1">IF(ISNUMBER(MATCH(DATEVALUE($A179),'recurring1_based on steps'!AC$1:AC$400,0)),AC$2,)</f>
        <v>0</v>
      </c>
      <c r="AD179" s="155">
        <f ca="1">IF(ISNUMBER(MATCH(DATEVALUE($A179),'recurring1_based on steps'!AD$1:AD$400,0)),AD$2,)</f>
        <v>0</v>
      </c>
      <c r="AE179" s="155">
        <f ca="1">IF(ISNUMBER(MATCH(DATEVALUE($A179),'recurring1_based on steps'!AE$1:AE$400,0)),AE$2,)</f>
        <v>0</v>
      </c>
      <c r="AF179" s="155">
        <f ca="1">IF(ISNUMBER(MATCH(DATEVALUE($A179),'recurring1_based on steps'!AF$1:AF$400,0)),AF$2,)</f>
        <v>0</v>
      </c>
      <c r="AG179" s="155">
        <f ca="1">IF(ISNUMBER(MATCH(DATEVALUE($A179),'recurring1_based on steps'!AG$1:AG$400,0)),AG$2,)</f>
        <v>0</v>
      </c>
      <c r="AH179" s="155">
        <f ca="1">IF(ISNUMBER(MATCH(DATEVALUE($A179),'recurring1_based on steps'!AH$1:AH$400,0)),AH$2,)</f>
        <v>0</v>
      </c>
      <c r="AI179" s="155">
        <f ca="1">IF(ISNUMBER(MATCH(DATEVALUE($A179),'recurring1_based on steps'!AI$1:AI$400,0)),AI$2,)</f>
        <v>0</v>
      </c>
      <c r="AJ179" s="155">
        <f ca="1">IF(ISNUMBER(MATCH(DATEVALUE($A179),'recurring1_based on steps'!AJ$1:AJ$400,0)),AJ$2,)</f>
        <v>0</v>
      </c>
      <c r="AK179" s="155">
        <f ca="1">IF(ISNUMBER(MATCH(DATEVALUE($A179),'recurring1_based on steps'!AK$1:AK$400,0)),AK$2,)</f>
        <v>0</v>
      </c>
      <c r="AL179" s="155">
        <f ca="1">IF(ISNUMBER(MATCH(DATEVALUE($A179),'recurring1_based on steps'!AL$1:AL$400,0)),AL$2,)</f>
        <v>0</v>
      </c>
      <c r="AM179" s="155">
        <f ca="1">IF(ISNUMBER(MATCH(DATEVALUE($A179),'recurring1_based on steps'!AM$1:AM$400,0)),AM$2,)</f>
        <v>0</v>
      </c>
      <c r="AN179" s="155">
        <f ca="1">IF(ISNUMBER(MATCH(DATEVALUE($A179),'recurring1_based on steps'!AN$1:AN$400,0)),AN$2,)</f>
        <v>0</v>
      </c>
      <c r="AO179" s="155">
        <f ca="1">IF(ISNUMBER(MATCH(DATEVALUE($A179),'recurring1_based on steps'!AO$1:AO$400,0)),AO$2,)</f>
        <v>0</v>
      </c>
      <c r="AP179" s="155">
        <f ca="1">IF(ISNUMBER(MATCH(DATEVALUE($A179),'recurring1_based on steps'!AP$1:AP$400,0)),AP$2,)</f>
        <v>0</v>
      </c>
      <c r="AQ179" s="155">
        <f ca="1">IF(ISNUMBER(MATCH(DATEVALUE($A179),'recurring1_based on steps'!AQ$1:AQ$400,0)),AQ$2,)</f>
        <v>0</v>
      </c>
      <c r="AR179" s="155">
        <f ca="1">IF(ISNUMBER(MATCH(DATEVALUE($A179),'recurring1_based on steps'!AR$1:AR$400,0)),AR$2,)</f>
        <v>0</v>
      </c>
      <c r="AS179" s="155">
        <f ca="1">IF(ISNUMBER(MATCH(DATEVALUE($A179),'recurring1_based on steps'!AS$1:AS$400,0)),AS$2,)</f>
        <v>0</v>
      </c>
      <c r="AT179" s="155">
        <f ca="1">IF(ISNUMBER(MATCH(DATEVALUE($A179),'recurring1_based on steps'!AT$1:AT$400,0)),AT$2,)</f>
        <v>0</v>
      </c>
      <c r="AU179" s="155">
        <f ca="1">IF(ISNUMBER(MATCH(DATEVALUE($A179),'recurring1_based on steps'!AU$1:AU$400,0)),AU$2,)</f>
        <v>0</v>
      </c>
      <c r="AV179" s="155">
        <f ca="1">IF(ISNUMBER(MATCH(DATEVALUE($A179),'recurring1_based on steps'!AV$1:AV$400,0)),AV$2,)</f>
        <v>0</v>
      </c>
      <c r="AW179" s="155">
        <f ca="1">IF(ISNUMBER(MATCH(DATEVALUE($A179),'recurring1_based on steps'!AW$1:AW$400,0)),AW$2,)</f>
        <v>0</v>
      </c>
      <c r="AX179" s="155">
        <f ca="1">IF(ISNUMBER(MATCH(DATEVALUE($A179),'recurring1_based on steps'!AX$1:AX$400,0)),AX$2,)</f>
        <v>0</v>
      </c>
      <c r="AY179" s="155">
        <f ca="1">IF(ISNUMBER(MATCH(DATEVALUE($A179),'recurring1_based on steps'!AY$1:AY$400,0)),AY$2,)</f>
        <v>0</v>
      </c>
    </row>
    <row r="180" spans="1:51" x14ac:dyDescent="0.2">
      <c r="A180" s="18" t="str">
        <f t="shared" ca="1" si="2"/>
        <v>2025-07-28</v>
      </c>
      <c r="B180" s="155">
        <f ca="1">IF(ISNUMBER(MATCH(DATEVALUE($A180),'recurring1_based on steps'!B$1:B$400,0)),B$2,)</f>
        <v>0</v>
      </c>
      <c r="C180" s="155">
        <f ca="1">IF(ISNUMBER(MATCH(DATEVALUE($A180),'recurring1_based on steps'!C$1:C$400,0)),C$2,)</f>
        <v>0</v>
      </c>
      <c r="D180" s="155">
        <f ca="1">IF(ISNUMBER(MATCH(DATEVALUE($A180),'recurring1_based on steps'!D$1:D$400,0)),D$2,)</f>
        <v>0</v>
      </c>
      <c r="E180" s="155">
        <f ca="1">IF(ISNUMBER(MATCH(DATEVALUE($A180),'recurring1_based on steps'!E$1:E$400,0)),E$2,)</f>
        <v>0</v>
      </c>
      <c r="F180" s="155">
        <f ca="1">IF(ISNUMBER(MATCH(DATEVALUE($A180),'recurring1_based on steps'!F$1:F$400,0)),F$2,)</f>
        <v>0</v>
      </c>
      <c r="G180" s="155">
        <f ca="1">IF(ISNUMBER(MATCH(DATEVALUE($A180),'recurring1_based on steps'!G$1:G$400,0)),G$2,)</f>
        <v>0</v>
      </c>
      <c r="H180" s="155">
        <f ca="1">IF(ISNUMBER(MATCH(DATEVALUE($A180),'recurring1_based on steps'!H$1:H$400,0)),H$2,)</f>
        <v>40</v>
      </c>
      <c r="I180" s="155">
        <f ca="1">IF(ISNUMBER(MATCH(DATEVALUE($A180),'recurring1_based on steps'!I$1:I$400,0)),I$2,)</f>
        <v>0</v>
      </c>
      <c r="J180" s="155">
        <f ca="1">IF(ISNUMBER(MATCH(DATEVALUE($A180),'recurring1_based on steps'!J$1:J$400,0)),J$2,)</f>
        <v>0</v>
      </c>
      <c r="K180" s="155">
        <f ca="1">IF(ISNUMBER(MATCH(DATEVALUE($A180),'recurring1_based on steps'!K$1:K$400,0)),K$2,)</f>
        <v>0</v>
      </c>
      <c r="L180" s="155">
        <f ca="1">IF(ISNUMBER(MATCH(DATEVALUE($A180),'recurring1_based on steps'!L$1:L$400,0)),L$2,)</f>
        <v>0</v>
      </c>
      <c r="M180" s="155">
        <f ca="1">IF(ISNUMBER(MATCH(DATEVALUE($A180),'recurring1_based on steps'!M$1:M$400,0)),M$2,)</f>
        <v>0</v>
      </c>
      <c r="N180" s="155">
        <f ca="1">IF(ISNUMBER(MATCH(DATEVALUE($A180),'recurring1_based on steps'!N$1:N$400,0)),N$2,)</f>
        <v>0</v>
      </c>
      <c r="O180" s="155">
        <f ca="1">IF(ISNUMBER(MATCH(DATEVALUE($A180),'recurring1_based on steps'!O$1:O$400,0)),O$2,)</f>
        <v>0</v>
      </c>
      <c r="P180" s="155">
        <f ca="1">IF(ISNUMBER(MATCH(DATEVALUE($A180),'recurring1_based on steps'!P$1:P$400,0)),P$2,)</f>
        <v>0</v>
      </c>
      <c r="Q180" s="155">
        <f ca="1">IF(ISNUMBER(MATCH(DATEVALUE($A180),'recurring1_based on steps'!Q$1:Q$400,0)),Q$2,)</f>
        <v>0</v>
      </c>
      <c r="R180" s="155">
        <f ca="1">IF(ISNUMBER(MATCH(DATEVALUE($A180),'recurring1_based on steps'!R$1:R$400,0)),R$2,)</f>
        <v>0</v>
      </c>
      <c r="S180" s="155">
        <f ca="1">IF(ISNUMBER(MATCH(DATEVALUE($A180),'recurring1_based on steps'!S$1:S$400,0)),S$2,)</f>
        <v>0</v>
      </c>
      <c r="T180" s="155">
        <f ca="1">IF(ISNUMBER(MATCH(DATEVALUE($A180),'recurring1_based on steps'!T$1:T$400,0)),T$2,)</f>
        <v>0</v>
      </c>
      <c r="U180" s="155">
        <f ca="1">IF(ISNUMBER(MATCH(DATEVALUE($A180),'recurring1_based on steps'!U$1:U$400,0)),U$2,)</f>
        <v>0</v>
      </c>
      <c r="V180" s="155">
        <f ca="1">IF(ISNUMBER(MATCH(DATEVALUE($A180),'recurring1_based on steps'!V$1:V$400,0)),V$2,)</f>
        <v>0</v>
      </c>
      <c r="W180" s="155">
        <f ca="1">IF(ISNUMBER(MATCH(DATEVALUE($A180),'recurring1_based on steps'!W$1:W$400,0)),W$2,)</f>
        <v>100</v>
      </c>
      <c r="X180" s="155">
        <f ca="1">IF(ISNUMBER(MATCH(DATEVALUE($A180),'recurring1_based on steps'!X$1:X$400,0)),X$2,)</f>
        <v>0</v>
      </c>
      <c r="Y180" s="155">
        <f ca="1">IF(ISNUMBER(MATCH(DATEVALUE($A180),'recurring1_based on steps'!Y$1:Y$400,0)),Y$2,)</f>
        <v>0</v>
      </c>
      <c r="Z180" s="155">
        <f ca="1">IF(ISNUMBER(MATCH(DATEVALUE($A180),'recurring1_based on steps'!Z$1:Z$400,0)),Z$2,)</f>
        <v>0</v>
      </c>
      <c r="AA180" s="155">
        <f ca="1">IF(ISNUMBER(MATCH(DATEVALUE($A180),'recurring1_based on steps'!AA$1:AA$400,0)),AA$2,)</f>
        <v>0</v>
      </c>
      <c r="AB180" s="155">
        <f ca="1">IF(ISNUMBER(MATCH(DATEVALUE($A180),'recurring1_based on steps'!AB$1:AB$400,0)),AB$2,)</f>
        <v>0</v>
      </c>
      <c r="AC180" s="155">
        <f ca="1">IF(ISNUMBER(MATCH(DATEVALUE($A180),'recurring1_based on steps'!AC$1:AC$400,0)),AC$2,)</f>
        <v>0</v>
      </c>
      <c r="AD180" s="155">
        <f ca="1">IF(ISNUMBER(MATCH(DATEVALUE($A180),'recurring1_based on steps'!AD$1:AD$400,0)),AD$2,)</f>
        <v>0</v>
      </c>
      <c r="AE180" s="155">
        <f ca="1">IF(ISNUMBER(MATCH(DATEVALUE($A180),'recurring1_based on steps'!AE$1:AE$400,0)),AE$2,)</f>
        <v>0</v>
      </c>
      <c r="AF180" s="155">
        <f ca="1">IF(ISNUMBER(MATCH(DATEVALUE($A180),'recurring1_based on steps'!AF$1:AF$400,0)),AF$2,)</f>
        <v>0</v>
      </c>
      <c r="AG180" s="155">
        <f ca="1">IF(ISNUMBER(MATCH(DATEVALUE($A180),'recurring1_based on steps'!AG$1:AG$400,0)),AG$2,)</f>
        <v>0</v>
      </c>
      <c r="AH180" s="155">
        <f ca="1">IF(ISNUMBER(MATCH(DATEVALUE($A180),'recurring1_based on steps'!AH$1:AH$400,0)),AH$2,)</f>
        <v>0</v>
      </c>
      <c r="AI180" s="155">
        <f ca="1">IF(ISNUMBER(MATCH(DATEVALUE($A180),'recurring1_based on steps'!AI$1:AI$400,0)),AI$2,)</f>
        <v>0</v>
      </c>
      <c r="AJ180" s="155">
        <f ca="1">IF(ISNUMBER(MATCH(DATEVALUE($A180),'recurring1_based on steps'!AJ$1:AJ$400,0)),AJ$2,)</f>
        <v>0</v>
      </c>
      <c r="AK180" s="155">
        <f ca="1">IF(ISNUMBER(MATCH(DATEVALUE($A180),'recurring1_based on steps'!AK$1:AK$400,0)),AK$2,)</f>
        <v>0</v>
      </c>
      <c r="AL180" s="155">
        <f ca="1">IF(ISNUMBER(MATCH(DATEVALUE($A180),'recurring1_based on steps'!AL$1:AL$400,0)),AL$2,)</f>
        <v>0</v>
      </c>
      <c r="AM180" s="155">
        <f ca="1">IF(ISNUMBER(MATCH(DATEVALUE($A180),'recurring1_based on steps'!AM$1:AM$400,0)),AM$2,)</f>
        <v>0</v>
      </c>
      <c r="AN180" s="155">
        <f ca="1">IF(ISNUMBER(MATCH(DATEVALUE($A180),'recurring1_based on steps'!AN$1:AN$400,0)),AN$2,)</f>
        <v>0</v>
      </c>
      <c r="AO180" s="155">
        <f ca="1">IF(ISNUMBER(MATCH(DATEVALUE($A180),'recurring1_based on steps'!AO$1:AO$400,0)),AO$2,)</f>
        <v>0</v>
      </c>
      <c r="AP180" s="155">
        <f ca="1">IF(ISNUMBER(MATCH(DATEVALUE($A180),'recurring1_based on steps'!AP$1:AP$400,0)),AP$2,)</f>
        <v>0</v>
      </c>
      <c r="AQ180" s="155">
        <f ca="1">IF(ISNUMBER(MATCH(DATEVALUE($A180),'recurring1_based on steps'!AQ$1:AQ$400,0)),AQ$2,)</f>
        <v>0</v>
      </c>
      <c r="AR180" s="155">
        <f ca="1">IF(ISNUMBER(MATCH(DATEVALUE($A180),'recurring1_based on steps'!AR$1:AR$400,0)),AR$2,)</f>
        <v>0</v>
      </c>
      <c r="AS180" s="155">
        <f ca="1">IF(ISNUMBER(MATCH(DATEVALUE($A180),'recurring1_based on steps'!AS$1:AS$400,0)),AS$2,)</f>
        <v>0</v>
      </c>
      <c r="AT180" s="155">
        <f ca="1">IF(ISNUMBER(MATCH(DATEVALUE($A180),'recurring1_based on steps'!AT$1:AT$400,0)),AT$2,)</f>
        <v>0</v>
      </c>
      <c r="AU180" s="155">
        <f ca="1">IF(ISNUMBER(MATCH(DATEVALUE($A180),'recurring1_based on steps'!AU$1:AU$400,0)),AU$2,)</f>
        <v>0</v>
      </c>
      <c r="AV180" s="155">
        <f ca="1">IF(ISNUMBER(MATCH(DATEVALUE($A180),'recurring1_based on steps'!AV$1:AV$400,0)),AV$2,)</f>
        <v>0</v>
      </c>
      <c r="AW180" s="155">
        <f ca="1">IF(ISNUMBER(MATCH(DATEVALUE($A180),'recurring1_based on steps'!AW$1:AW$400,0)),AW$2,)</f>
        <v>0</v>
      </c>
      <c r="AX180" s="155">
        <f ca="1">IF(ISNUMBER(MATCH(DATEVALUE($A180),'recurring1_based on steps'!AX$1:AX$400,0)),AX$2,)</f>
        <v>0</v>
      </c>
      <c r="AY180" s="155">
        <f ca="1">IF(ISNUMBER(MATCH(DATEVALUE($A180),'recurring1_based on steps'!AY$1:AY$400,0)),AY$2,)</f>
        <v>0</v>
      </c>
    </row>
    <row r="181" spans="1:51" x14ac:dyDescent="0.2">
      <c r="A181" s="18" t="str">
        <f t="shared" ca="1" si="2"/>
        <v>2025-07-29</v>
      </c>
      <c r="B181" s="155">
        <f ca="1">IF(ISNUMBER(MATCH(DATEVALUE($A181),'recurring1_based on steps'!B$1:B$400,0)),B$2,)</f>
        <v>0</v>
      </c>
      <c r="C181" s="155">
        <f ca="1">IF(ISNUMBER(MATCH(DATEVALUE($A181),'recurring1_based on steps'!C$1:C$400,0)),C$2,)</f>
        <v>0</v>
      </c>
      <c r="D181" s="155">
        <f ca="1">IF(ISNUMBER(MATCH(DATEVALUE($A181),'recurring1_based on steps'!D$1:D$400,0)),D$2,)</f>
        <v>0</v>
      </c>
      <c r="E181" s="155">
        <f ca="1">IF(ISNUMBER(MATCH(DATEVALUE($A181),'recurring1_based on steps'!E$1:E$400,0)),E$2,)</f>
        <v>0</v>
      </c>
      <c r="F181" s="155">
        <f ca="1">IF(ISNUMBER(MATCH(DATEVALUE($A181),'recurring1_based on steps'!F$1:F$400,0)),F$2,)</f>
        <v>0</v>
      </c>
      <c r="G181" s="155">
        <f ca="1">IF(ISNUMBER(MATCH(DATEVALUE($A181),'recurring1_based on steps'!G$1:G$400,0)),G$2,)</f>
        <v>0</v>
      </c>
      <c r="H181" s="155">
        <f ca="1">IF(ISNUMBER(MATCH(DATEVALUE($A181),'recurring1_based on steps'!H$1:H$400,0)),H$2,)</f>
        <v>0</v>
      </c>
      <c r="I181" s="155">
        <f ca="1">IF(ISNUMBER(MATCH(DATEVALUE($A181),'recurring1_based on steps'!I$1:I$400,0)),I$2,)</f>
        <v>0</v>
      </c>
      <c r="J181" s="155">
        <f ca="1">IF(ISNUMBER(MATCH(DATEVALUE($A181),'recurring1_based on steps'!J$1:J$400,0)),J$2,)</f>
        <v>0</v>
      </c>
      <c r="K181" s="155">
        <f ca="1">IF(ISNUMBER(MATCH(DATEVALUE($A181),'recurring1_based on steps'!K$1:K$400,0)),K$2,)</f>
        <v>0</v>
      </c>
      <c r="L181" s="155">
        <f ca="1">IF(ISNUMBER(MATCH(DATEVALUE($A181),'recurring1_based on steps'!L$1:L$400,0)),L$2,)</f>
        <v>0</v>
      </c>
      <c r="M181" s="155">
        <f ca="1">IF(ISNUMBER(MATCH(DATEVALUE($A181),'recurring1_based on steps'!M$1:M$400,0)),M$2,)</f>
        <v>0</v>
      </c>
      <c r="N181" s="155">
        <f ca="1">IF(ISNUMBER(MATCH(DATEVALUE($A181),'recurring1_based on steps'!N$1:N$400,0)),N$2,)</f>
        <v>0</v>
      </c>
      <c r="O181" s="155">
        <f ca="1">IF(ISNUMBER(MATCH(DATEVALUE($A181),'recurring1_based on steps'!O$1:O$400,0)),O$2,)</f>
        <v>0</v>
      </c>
      <c r="P181" s="155">
        <f ca="1">IF(ISNUMBER(MATCH(DATEVALUE($A181),'recurring1_based on steps'!P$1:P$400,0)),P$2,)</f>
        <v>0</v>
      </c>
      <c r="Q181" s="155">
        <f ca="1">IF(ISNUMBER(MATCH(DATEVALUE($A181),'recurring1_based on steps'!Q$1:Q$400,0)),Q$2,)</f>
        <v>0</v>
      </c>
      <c r="R181" s="155">
        <f ca="1">IF(ISNUMBER(MATCH(DATEVALUE($A181),'recurring1_based on steps'!R$1:R$400,0)),R$2,)</f>
        <v>0</v>
      </c>
      <c r="S181" s="155">
        <f ca="1">IF(ISNUMBER(MATCH(DATEVALUE($A181),'recurring1_based on steps'!S$1:S$400,0)),S$2,)</f>
        <v>0</v>
      </c>
      <c r="T181" s="155">
        <f ca="1">IF(ISNUMBER(MATCH(DATEVALUE($A181),'recurring1_based on steps'!T$1:T$400,0)),T$2,)</f>
        <v>0</v>
      </c>
      <c r="U181" s="155">
        <f ca="1">IF(ISNUMBER(MATCH(DATEVALUE($A181),'recurring1_based on steps'!U$1:U$400,0)),U$2,)</f>
        <v>0</v>
      </c>
      <c r="V181" s="155">
        <f ca="1">IF(ISNUMBER(MATCH(DATEVALUE($A181),'recurring1_based on steps'!V$1:V$400,0)),V$2,)</f>
        <v>0</v>
      </c>
      <c r="W181" s="155">
        <f ca="1">IF(ISNUMBER(MATCH(DATEVALUE($A181),'recurring1_based on steps'!W$1:W$400,0)),W$2,)</f>
        <v>0</v>
      </c>
      <c r="X181" s="155">
        <f ca="1">IF(ISNUMBER(MATCH(DATEVALUE($A181),'recurring1_based on steps'!X$1:X$400,0)),X$2,)</f>
        <v>0</v>
      </c>
      <c r="Y181" s="155">
        <f ca="1">IF(ISNUMBER(MATCH(DATEVALUE($A181),'recurring1_based on steps'!Y$1:Y$400,0)),Y$2,)</f>
        <v>0</v>
      </c>
      <c r="Z181" s="155">
        <f ca="1">IF(ISNUMBER(MATCH(DATEVALUE($A181),'recurring1_based on steps'!Z$1:Z$400,0)),Z$2,)</f>
        <v>0</v>
      </c>
      <c r="AA181" s="155">
        <f ca="1">IF(ISNUMBER(MATCH(DATEVALUE($A181),'recurring1_based on steps'!AA$1:AA$400,0)),AA$2,)</f>
        <v>0</v>
      </c>
      <c r="AB181" s="155">
        <f ca="1">IF(ISNUMBER(MATCH(DATEVALUE($A181),'recurring1_based on steps'!AB$1:AB$400,0)),AB$2,)</f>
        <v>0</v>
      </c>
      <c r="AC181" s="155">
        <f ca="1">IF(ISNUMBER(MATCH(DATEVALUE($A181),'recurring1_based on steps'!AC$1:AC$400,0)),AC$2,)</f>
        <v>0</v>
      </c>
      <c r="AD181" s="155">
        <f ca="1">IF(ISNUMBER(MATCH(DATEVALUE($A181),'recurring1_based on steps'!AD$1:AD$400,0)),AD$2,)</f>
        <v>0</v>
      </c>
      <c r="AE181" s="155">
        <f ca="1">IF(ISNUMBER(MATCH(DATEVALUE($A181),'recurring1_based on steps'!AE$1:AE$400,0)),AE$2,)</f>
        <v>0</v>
      </c>
      <c r="AF181" s="155">
        <f ca="1">IF(ISNUMBER(MATCH(DATEVALUE($A181),'recurring1_based on steps'!AF$1:AF$400,0)),AF$2,)</f>
        <v>0</v>
      </c>
      <c r="AG181" s="155">
        <f ca="1">IF(ISNUMBER(MATCH(DATEVALUE($A181),'recurring1_based on steps'!AG$1:AG$400,0)),AG$2,)</f>
        <v>0</v>
      </c>
      <c r="AH181" s="155">
        <f ca="1">IF(ISNUMBER(MATCH(DATEVALUE($A181),'recurring1_based on steps'!AH$1:AH$400,0)),AH$2,)</f>
        <v>0</v>
      </c>
      <c r="AI181" s="155">
        <f ca="1">IF(ISNUMBER(MATCH(DATEVALUE($A181),'recurring1_based on steps'!AI$1:AI$400,0)),AI$2,)</f>
        <v>0</v>
      </c>
      <c r="AJ181" s="155">
        <f ca="1">IF(ISNUMBER(MATCH(DATEVALUE($A181),'recurring1_based on steps'!AJ$1:AJ$400,0)),AJ$2,)</f>
        <v>0</v>
      </c>
      <c r="AK181" s="155">
        <f ca="1">IF(ISNUMBER(MATCH(DATEVALUE($A181),'recurring1_based on steps'!AK$1:AK$400,0)),AK$2,)</f>
        <v>0</v>
      </c>
      <c r="AL181" s="155">
        <f ca="1">IF(ISNUMBER(MATCH(DATEVALUE($A181),'recurring1_based on steps'!AL$1:AL$400,0)),AL$2,)</f>
        <v>0</v>
      </c>
      <c r="AM181" s="155">
        <f ca="1">IF(ISNUMBER(MATCH(DATEVALUE($A181),'recurring1_based on steps'!AM$1:AM$400,0)),AM$2,)</f>
        <v>0</v>
      </c>
      <c r="AN181" s="155">
        <f ca="1">IF(ISNUMBER(MATCH(DATEVALUE($A181),'recurring1_based on steps'!AN$1:AN$400,0)),AN$2,)</f>
        <v>0</v>
      </c>
      <c r="AO181" s="155">
        <f ca="1">IF(ISNUMBER(MATCH(DATEVALUE($A181),'recurring1_based on steps'!AO$1:AO$400,0)),AO$2,)</f>
        <v>0</v>
      </c>
      <c r="AP181" s="155">
        <f ca="1">IF(ISNUMBER(MATCH(DATEVALUE($A181),'recurring1_based on steps'!AP$1:AP$400,0)),AP$2,)</f>
        <v>0</v>
      </c>
      <c r="AQ181" s="155">
        <f ca="1">IF(ISNUMBER(MATCH(DATEVALUE($A181),'recurring1_based on steps'!AQ$1:AQ$400,0)),AQ$2,)</f>
        <v>0</v>
      </c>
      <c r="AR181" s="155">
        <f ca="1">IF(ISNUMBER(MATCH(DATEVALUE($A181),'recurring1_based on steps'!AR$1:AR$400,0)),AR$2,)</f>
        <v>0</v>
      </c>
      <c r="AS181" s="155">
        <f ca="1">IF(ISNUMBER(MATCH(DATEVALUE($A181),'recurring1_based on steps'!AS$1:AS$400,0)),AS$2,)</f>
        <v>0</v>
      </c>
      <c r="AT181" s="155">
        <f ca="1">IF(ISNUMBER(MATCH(DATEVALUE($A181),'recurring1_based on steps'!AT$1:AT$400,0)),AT$2,)</f>
        <v>0</v>
      </c>
      <c r="AU181" s="155">
        <f ca="1">IF(ISNUMBER(MATCH(DATEVALUE($A181),'recurring1_based on steps'!AU$1:AU$400,0)),AU$2,)</f>
        <v>0</v>
      </c>
      <c r="AV181" s="155">
        <f ca="1">IF(ISNUMBER(MATCH(DATEVALUE($A181),'recurring1_based on steps'!AV$1:AV$400,0)),AV$2,)</f>
        <v>0</v>
      </c>
      <c r="AW181" s="155">
        <f ca="1">IF(ISNUMBER(MATCH(DATEVALUE($A181),'recurring1_based on steps'!AW$1:AW$400,0)),AW$2,)</f>
        <v>0</v>
      </c>
      <c r="AX181" s="155">
        <f ca="1">IF(ISNUMBER(MATCH(DATEVALUE($A181),'recurring1_based on steps'!AX$1:AX$400,0)),AX$2,)</f>
        <v>0</v>
      </c>
      <c r="AY181" s="155">
        <f ca="1">IF(ISNUMBER(MATCH(DATEVALUE($A181),'recurring1_based on steps'!AY$1:AY$400,0)),AY$2,)</f>
        <v>0</v>
      </c>
    </row>
    <row r="182" spans="1:51" x14ac:dyDescent="0.2">
      <c r="A182" s="18" t="str">
        <f t="shared" ca="1" si="2"/>
        <v>2025-07-30</v>
      </c>
      <c r="B182" s="155">
        <f ca="1">IF(ISNUMBER(MATCH(DATEVALUE($A182),'recurring1_based on steps'!B$1:B$400,0)),B$2,)</f>
        <v>0</v>
      </c>
      <c r="C182" s="155">
        <f ca="1">IF(ISNUMBER(MATCH(DATEVALUE($A182),'recurring1_based on steps'!C$1:C$400,0)),C$2,)</f>
        <v>0</v>
      </c>
      <c r="D182" s="155">
        <f ca="1">IF(ISNUMBER(MATCH(DATEVALUE($A182),'recurring1_based on steps'!D$1:D$400,0)),D$2,)</f>
        <v>0</v>
      </c>
      <c r="E182" s="155">
        <f ca="1">IF(ISNUMBER(MATCH(DATEVALUE($A182),'recurring1_based on steps'!E$1:E$400,0)),E$2,)</f>
        <v>0</v>
      </c>
      <c r="F182" s="155">
        <f ca="1">IF(ISNUMBER(MATCH(DATEVALUE($A182),'recurring1_based on steps'!F$1:F$400,0)),F$2,)</f>
        <v>0</v>
      </c>
      <c r="G182" s="155">
        <f ca="1">IF(ISNUMBER(MATCH(DATEVALUE($A182),'recurring1_based on steps'!G$1:G$400,0)),G$2,)</f>
        <v>0</v>
      </c>
      <c r="H182" s="155">
        <f ca="1">IF(ISNUMBER(MATCH(DATEVALUE($A182),'recurring1_based on steps'!H$1:H$400,0)),H$2,)</f>
        <v>0</v>
      </c>
      <c r="I182" s="155">
        <f ca="1">IF(ISNUMBER(MATCH(DATEVALUE($A182),'recurring1_based on steps'!I$1:I$400,0)),I$2,)</f>
        <v>0</v>
      </c>
      <c r="J182" s="155">
        <f ca="1">IF(ISNUMBER(MATCH(DATEVALUE($A182),'recurring1_based on steps'!J$1:J$400,0)),J$2,)</f>
        <v>0</v>
      </c>
      <c r="K182" s="155">
        <f ca="1">IF(ISNUMBER(MATCH(DATEVALUE($A182),'recurring1_based on steps'!K$1:K$400,0)),K$2,)</f>
        <v>0</v>
      </c>
      <c r="L182" s="155">
        <f ca="1">IF(ISNUMBER(MATCH(DATEVALUE($A182),'recurring1_based on steps'!L$1:L$400,0)),L$2,)</f>
        <v>0</v>
      </c>
      <c r="M182" s="155">
        <f ca="1">IF(ISNUMBER(MATCH(DATEVALUE($A182),'recurring1_based on steps'!M$1:M$400,0)),M$2,)</f>
        <v>0</v>
      </c>
      <c r="N182" s="155">
        <f ca="1">IF(ISNUMBER(MATCH(DATEVALUE($A182),'recurring1_based on steps'!N$1:N$400,0)),N$2,)</f>
        <v>0</v>
      </c>
      <c r="O182" s="155">
        <f ca="1">IF(ISNUMBER(MATCH(DATEVALUE($A182),'recurring1_based on steps'!O$1:O$400,0)),O$2,)</f>
        <v>0</v>
      </c>
      <c r="P182" s="155">
        <f ca="1">IF(ISNUMBER(MATCH(DATEVALUE($A182),'recurring1_based on steps'!P$1:P$400,0)),P$2,)</f>
        <v>0</v>
      </c>
      <c r="Q182" s="155">
        <f ca="1">IF(ISNUMBER(MATCH(DATEVALUE($A182),'recurring1_based on steps'!Q$1:Q$400,0)),Q$2,)</f>
        <v>0</v>
      </c>
      <c r="R182" s="155">
        <f ca="1">IF(ISNUMBER(MATCH(DATEVALUE($A182),'recurring1_based on steps'!R$1:R$400,0)),R$2,)</f>
        <v>0</v>
      </c>
      <c r="S182" s="155">
        <f ca="1">IF(ISNUMBER(MATCH(DATEVALUE($A182),'recurring1_based on steps'!S$1:S$400,0)),S$2,)</f>
        <v>0</v>
      </c>
      <c r="T182" s="155">
        <f ca="1">IF(ISNUMBER(MATCH(DATEVALUE($A182),'recurring1_based on steps'!T$1:T$400,0)),T$2,)</f>
        <v>0</v>
      </c>
      <c r="U182" s="155">
        <f ca="1">IF(ISNUMBER(MATCH(DATEVALUE($A182),'recurring1_based on steps'!U$1:U$400,0)),U$2,)</f>
        <v>0</v>
      </c>
      <c r="V182" s="155">
        <f ca="1">IF(ISNUMBER(MATCH(DATEVALUE($A182),'recurring1_based on steps'!V$1:V$400,0)),V$2,)</f>
        <v>0</v>
      </c>
      <c r="W182" s="155">
        <f ca="1">IF(ISNUMBER(MATCH(DATEVALUE($A182),'recurring1_based on steps'!W$1:W$400,0)),W$2,)</f>
        <v>0</v>
      </c>
      <c r="X182" s="155">
        <f ca="1">IF(ISNUMBER(MATCH(DATEVALUE($A182),'recurring1_based on steps'!X$1:X$400,0)),X$2,)</f>
        <v>0</v>
      </c>
      <c r="Y182" s="155">
        <f ca="1">IF(ISNUMBER(MATCH(DATEVALUE($A182),'recurring1_based on steps'!Y$1:Y$400,0)),Y$2,)</f>
        <v>0</v>
      </c>
      <c r="Z182" s="155">
        <f ca="1">IF(ISNUMBER(MATCH(DATEVALUE($A182),'recurring1_based on steps'!Z$1:Z$400,0)),Z$2,)</f>
        <v>0</v>
      </c>
      <c r="AA182" s="155">
        <f ca="1">IF(ISNUMBER(MATCH(DATEVALUE($A182),'recurring1_based on steps'!AA$1:AA$400,0)),AA$2,)</f>
        <v>0</v>
      </c>
      <c r="AB182" s="155">
        <f ca="1">IF(ISNUMBER(MATCH(DATEVALUE($A182),'recurring1_based on steps'!AB$1:AB$400,0)),AB$2,)</f>
        <v>0</v>
      </c>
      <c r="AC182" s="155">
        <f ca="1">IF(ISNUMBER(MATCH(DATEVALUE($A182),'recurring1_based on steps'!AC$1:AC$400,0)),AC$2,)</f>
        <v>0</v>
      </c>
      <c r="AD182" s="155">
        <f ca="1">IF(ISNUMBER(MATCH(DATEVALUE($A182),'recurring1_based on steps'!AD$1:AD$400,0)),AD$2,)</f>
        <v>0</v>
      </c>
      <c r="AE182" s="155">
        <f ca="1">IF(ISNUMBER(MATCH(DATEVALUE($A182),'recurring1_based on steps'!AE$1:AE$400,0)),AE$2,)</f>
        <v>0</v>
      </c>
      <c r="AF182" s="155">
        <f ca="1">IF(ISNUMBER(MATCH(DATEVALUE($A182),'recurring1_based on steps'!AF$1:AF$400,0)),AF$2,)</f>
        <v>0</v>
      </c>
      <c r="AG182" s="155">
        <f ca="1">IF(ISNUMBER(MATCH(DATEVALUE($A182),'recurring1_based on steps'!AG$1:AG$400,0)),AG$2,)</f>
        <v>0</v>
      </c>
      <c r="AH182" s="155">
        <f ca="1">IF(ISNUMBER(MATCH(DATEVALUE($A182),'recurring1_based on steps'!AH$1:AH$400,0)),AH$2,)</f>
        <v>0</v>
      </c>
      <c r="AI182" s="155">
        <f ca="1">IF(ISNUMBER(MATCH(DATEVALUE($A182),'recurring1_based on steps'!AI$1:AI$400,0)),AI$2,)</f>
        <v>0</v>
      </c>
      <c r="AJ182" s="155">
        <f ca="1">IF(ISNUMBER(MATCH(DATEVALUE($A182),'recurring1_based on steps'!AJ$1:AJ$400,0)),AJ$2,)</f>
        <v>0</v>
      </c>
      <c r="AK182" s="155">
        <f ca="1">IF(ISNUMBER(MATCH(DATEVALUE($A182),'recurring1_based on steps'!AK$1:AK$400,0)),AK$2,)</f>
        <v>0</v>
      </c>
      <c r="AL182" s="155">
        <f ca="1">IF(ISNUMBER(MATCH(DATEVALUE($A182),'recurring1_based on steps'!AL$1:AL$400,0)),AL$2,)</f>
        <v>0</v>
      </c>
      <c r="AM182" s="155">
        <f ca="1">IF(ISNUMBER(MATCH(DATEVALUE($A182),'recurring1_based on steps'!AM$1:AM$400,0)),AM$2,)</f>
        <v>0</v>
      </c>
      <c r="AN182" s="155">
        <f ca="1">IF(ISNUMBER(MATCH(DATEVALUE($A182),'recurring1_based on steps'!AN$1:AN$400,0)),AN$2,)</f>
        <v>0</v>
      </c>
      <c r="AO182" s="155">
        <f ca="1">IF(ISNUMBER(MATCH(DATEVALUE($A182),'recurring1_based on steps'!AO$1:AO$400,0)),AO$2,)</f>
        <v>0</v>
      </c>
      <c r="AP182" s="155">
        <f ca="1">IF(ISNUMBER(MATCH(DATEVALUE($A182),'recurring1_based on steps'!AP$1:AP$400,0)),AP$2,)</f>
        <v>0</v>
      </c>
      <c r="AQ182" s="155">
        <f ca="1">IF(ISNUMBER(MATCH(DATEVALUE($A182),'recurring1_based on steps'!AQ$1:AQ$400,0)),AQ$2,)</f>
        <v>0</v>
      </c>
      <c r="AR182" s="155">
        <f ca="1">IF(ISNUMBER(MATCH(DATEVALUE($A182),'recurring1_based on steps'!AR$1:AR$400,0)),AR$2,)</f>
        <v>0</v>
      </c>
      <c r="AS182" s="155">
        <f ca="1">IF(ISNUMBER(MATCH(DATEVALUE($A182),'recurring1_based on steps'!AS$1:AS$400,0)),AS$2,)</f>
        <v>0</v>
      </c>
      <c r="AT182" s="155">
        <f ca="1">IF(ISNUMBER(MATCH(DATEVALUE($A182),'recurring1_based on steps'!AT$1:AT$400,0)),AT$2,)</f>
        <v>0</v>
      </c>
      <c r="AU182" s="155">
        <f ca="1">IF(ISNUMBER(MATCH(DATEVALUE($A182),'recurring1_based on steps'!AU$1:AU$400,0)),AU$2,)</f>
        <v>0</v>
      </c>
      <c r="AV182" s="155">
        <f ca="1">IF(ISNUMBER(MATCH(DATEVALUE($A182),'recurring1_based on steps'!AV$1:AV$400,0)),AV$2,)</f>
        <v>0</v>
      </c>
      <c r="AW182" s="155">
        <f ca="1">IF(ISNUMBER(MATCH(DATEVALUE($A182),'recurring1_based on steps'!AW$1:AW$400,0)),AW$2,)</f>
        <v>0</v>
      </c>
      <c r="AX182" s="155">
        <f ca="1">IF(ISNUMBER(MATCH(DATEVALUE($A182),'recurring1_based on steps'!AX$1:AX$400,0)),AX$2,)</f>
        <v>0</v>
      </c>
      <c r="AY182" s="155">
        <f ca="1">IF(ISNUMBER(MATCH(DATEVALUE($A182),'recurring1_based on steps'!AY$1:AY$400,0)),AY$2,)</f>
        <v>0</v>
      </c>
    </row>
    <row r="183" spans="1:51" x14ac:dyDescent="0.2">
      <c r="A183" s="18" t="str">
        <f t="shared" ca="1" si="2"/>
        <v>2025-07-31</v>
      </c>
      <c r="B183" s="155">
        <f ca="1">IF(ISNUMBER(MATCH(DATEVALUE($A183),'recurring1_based on steps'!B$1:B$400,0)),B$2,)</f>
        <v>0</v>
      </c>
      <c r="C183" s="155">
        <f ca="1">IF(ISNUMBER(MATCH(DATEVALUE($A183),'recurring1_based on steps'!C$1:C$400,0)),C$2,)</f>
        <v>0</v>
      </c>
      <c r="D183" s="155">
        <f ca="1">IF(ISNUMBER(MATCH(DATEVALUE($A183),'recurring1_based on steps'!D$1:D$400,0)),D$2,)</f>
        <v>0</v>
      </c>
      <c r="E183" s="155">
        <f ca="1">IF(ISNUMBER(MATCH(DATEVALUE($A183),'recurring1_based on steps'!E$1:E$400,0)),E$2,)</f>
        <v>0</v>
      </c>
      <c r="F183" s="155">
        <f ca="1">IF(ISNUMBER(MATCH(DATEVALUE($A183),'recurring1_based on steps'!F$1:F$400,0)),F$2,)</f>
        <v>0</v>
      </c>
      <c r="G183" s="155">
        <f ca="1">IF(ISNUMBER(MATCH(DATEVALUE($A183),'recurring1_based on steps'!G$1:G$400,0)),G$2,)</f>
        <v>0</v>
      </c>
      <c r="H183" s="155">
        <f ca="1">IF(ISNUMBER(MATCH(DATEVALUE($A183),'recurring1_based on steps'!H$1:H$400,0)),H$2,)</f>
        <v>0</v>
      </c>
      <c r="I183" s="155">
        <f ca="1">IF(ISNUMBER(MATCH(DATEVALUE($A183),'recurring1_based on steps'!I$1:I$400,0)),I$2,)</f>
        <v>0</v>
      </c>
      <c r="J183" s="155">
        <f ca="1">IF(ISNUMBER(MATCH(DATEVALUE($A183),'recurring1_based on steps'!J$1:J$400,0)),J$2,)</f>
        <v>0</v>
      </c>
      <c r="K183" s="155">
        <f ca="1">IF(ISNUMBER(MATCH(DATEVALUE($A183),'recurring1_based on steps'!K$1:K$400,0)),K$2,)</f>
        <v>0</v>
      </c>
      <c r="L183" s="155">
        <f ca="1">IF(ISNUMBER(MATCH(DATEVALUE($A183),'recurring1_based on steps'!L$1:L$400,0)),L$2,)</f>
        <v>0</v>
      </c>
      <c r="M183" s="155">
        <f ca="1">IF(ISNUMBER(MATCH(DATEVALUE($A183),'recurring1_based on steps'!M$1:M$400,0)),M$2,)</f>
        <v>0</v>
      </c>
      <c r="N183" s="155">
        <f ca="1">IF(ISNUMBER(MATCH(DATEVALUE($A183),'recurring1_based on steps'!N$1:N$400,0)),N$2,)</f>
        <v>0</v>
      </c>
      <c r="O183" s="155">
        <f ca="1">IF(ISNUMBER(MATCH(DATEVALUE($A183),'recurring1_based on steps'!O$1:O$400,0)),O$2,)</f>
        <v>0</v>
      </c>
      <c r="P183" s="155">
        <f ca="1">IF(ISNUMBER(MATCH(DATEVALUE($A183),'recurring1_based on steps'!P$1:P$400,0)),P$2,)</f>
        <v>0</v>
      </c>
      <c r="Q183" s="155">
        <f ca="1">IF(ISNUMBER(MATCH(DATEVALUE($A183),'recurring1_based on steps'!Q$1:Q$400,0)),Q$2,)</f>
        <v>0</v>
      </c>
      <c r="R183" s="155">
        <f ca="1">IF(ISNUMBER(MATCH(DATEVALUE($A183),'recurring1_based on steps'!R$1:R$400,0)),R$2,)</f>
        <v>0</v>
      </c>
      <c r="S183" s="155">
        <f ca="1">IF(ISNUMBER(MATCH(DATEVALUE($A183),'recurring1_based on steps'!S$1:S$400,0)),S$2,)</f>
        <v>0</v>
      </c>
      <c r="T183" s="155">
        <f ca="1">IF(ISNUMBER(MATCH(DATEVALUE($A183),'recurring1_based on steps'!T$1:T$400,0)),T$2,)</f>
        <v>0</v>
      </c>
      <c r="U183" s="155">
        <f ca="1">IF(ISNUMBER(MATCH(DATEVALUE($A183),'recurring1_based on steps'!U$1:U$400,0)),U$2,)</f>
        <v>0</v>
      </c>
      <c r="V183" s="155">
        <f ca="1">IF(ISNUMBER(MATCH(DATEVALUE($A183),'recurring1_based on steps'!V$1:V$400,0)),V$2,)</f>
        <v>0</v>
      </c>
      <c r="W183" s="155">
        <f ca="1">IF(ISNUMBER(MATCH(DATEVALUE($A183),'recurring1_based on steps'!W$1:W$400,0)),W$2,)</f>
        <v>0</v>
      </c>
      <c r="X183" s="155">
        <f ca="1">IF(ISNUMBER(MATCH(DATEVALUE($A183),'recurring1_based on steps'!X$1:X$400,0)),X$2,)</f>
        <v>0</v>
      </c>
      <c r="Y183" s="155">
        <f ca="1">IF(ISNUMBER(MATCH(DATEVALUE($A183),'recurring1_based on steps'!Y$1:Y$400,0)),Y$2,)</f>
        <v>0</v>
      </c>
      <c r="Z183" s="155">
        <f ca="1">IF(ISNUMBER(MATCH(DATEVALUE($A183),'recurring1_based on steps'!Z$1:Z$400,0)),Z$2,)</f>
        <v>0</v>
      </c>
      <c r="AA183" s="155">
        <f ca="1">IF(ISNUMBER(MATCH(DATEVALUE($A183),'recurring1_based on steps'!AA$1:AA$400,0)),AA$2,)</f>
        <v>0</v>
      </c>
      <c r="AB183" s="155">
        <f ca="1">IF(ISNUMBER(MATCH(DATEVALUE($A183),'recurring1_based on steps'!AB$1:AB$400,0)),AB$2,)</f>
        <v>0</v>
      </c>
      <c r="AC183" s="155">
        <f ca="1">IF(ISNUMBER(MATCH(DATEVALUE($A183),'recurring1_based on steps'!AC$1:AC$400,0)),AC$2,)</f>
        <v>0</v>
      </c>
      <c r="AD183" s="155">
        <f ca="1">IF(ISNUMBER(MATCH(DATEVALUE($A183),'recurring1_based on steps'!AD$1:AD$400,0)),AD$2,)</f>
        <v>0</v>
      </c>
      <c r="AE183" s="155">
        <f ca="1">IF(ISNUMBER(MATCH(DATEVALUE($A183),'recurring1_based on steps'!AE$1:AE$400,0)),AE$2,)</f>
        <v>0</v>
      </c>
      <c r="AF183" s="155">
        <f ca="1">IF(ISNUMBER(MATCH(DATEVALUE($A183),'recurring1_based on steps'!AF$1:AF$400,0)),AF$2,)</f>
        <v>0</v>
      </c>
      <c r="AG183" s="155">
        <f ca="1">IF(ISNUMBER(MATCH(DATEVALUE($A183),'recurring1_based on steps'!AG$1:AG$400,0)),AG$2,)</f>
        <v>0</v>
      </c>
      <c r="AH183" s="155">
        <f ca="1">IF(ISNUMBER(MATCH(DATEVALUE($A183),'recurring1_based on steps'!AH$1:AH$400,0)),AH$2,)</f>
        <v>0</v>
      </c>
      <c r="AI183" s="155">
        <f ca="1">IF(ISNUMBER(MATCH(DATEVALUE($A183),'recurring1_based on steps'!AI$1:AI$400,0)),AI$2,)</f>
        <v>0</v>
      </c>
      <c r="AJ183" s="155">
        <f ca="1">IF(ISNUMBER(MATCH(DATEVALUE($A183),'recurring1_based on steps'!AJ$1:AJ$400,0)),AJ$2,)</f>
        <v>0</v>
      </c>
      <c r="AK183" s="155">
        <f ca="1">IF(ISNUMBER(MATCH(DATEVALUE($A183),'recurring1_based on steps'!AK$1:AK$400,0)),AK$2,)</f>
        <v>0</v>
      </c>
      <c r="AL183" s="155">
        <f ca="1">IF(ISNUMBER(MATCH(DATEVALUE($A183),'recurring1_based on steps'!AL$1:AL$400,0)),AL$2,)</f>
        <v>0</v>
      </c>
      <c r="AM183" s="155">
        <f ca="1">IF(ISNUMBER(MATCH(DATEVALUE($A183),'recurring1_based on steps'!AM$1:AM$400,0)),AM$2,)</f>
        <v>0</v>
      </c>
      <c r="AN183" s="155">
        <f ca="1">IF(ISNUMBER(MATCH(DATEVALUE($A183),'recurring1_based on steps'!AN$1:AN$400,0)),AN$2,)</f>
        <v>0</v>
      </c>
      <c r="AO183" s="155">
        <f ca="1">IF(ISNUMBER(MATCH(DATEVALUE($A183),'recurring1_based on steps'!AO$1:AO$400,0)),AO$2,)</f>
        <v>0</v>
      </c>
      <c r="AP183" s="155">
        <f ca="1">IF(ISNUMBER(MATCH(DATEVALUE($A183),'recurring1_based on steps'!AP$1:AP$400,0)),AP$2,)</f>
        <v>0</v>
      </c>
      <c r="AQ183" s="155">
        <f ca="1">IF(ISNUMBER(MATCH(DATEVALUE($A183),'recurring1_based on steps'!AQ$1:AQ$400,0)),AQ$2,)</f>
        <v>0</v>
      </c>
      <c r="AR183" s="155">
        <f ca="1">IF(ISNUMBER(MATCH(DATEVALUE($A183),'recurring1_based on steps'!AR$1:AR$400,0)),AR$2,)</f>
        <v>0</v>
      </c>
      <c r="AS183" s="155">
        <f ca="1">IF(ISNUMBER(MATCH(DATEVALUE($A183),'recurring1_based on steps'!AS$1:AS$400,0)),AS$2,)</f>
        <v>0</v>
      </c>
      <c r="AT183" s="155">
        <f ca="1">IF(ISNUMBER(MATCH(DATEVALUE($A183),'recurring1_based on steps'!AT$1:AT$400,0)),AT$2,)</f>
        <v>0</v>
      </c>
      <c r="AU183" s="155">
        <f ca="1">IF(ISNUMBER(MATCH(DATEVALUE($A183),'recurring1_based on steps'!AU$1:AU$400,0)),AU$2,)</f>
        <v>0</v>
      </c>
      <c r="AV183" s="155">
        <f ca="1">IF(ISNUMBER(MATCH(DATEVALUE($A183),'recurring1_based on steps'!AV$1:AV$400,0)),AV$2,)</f>
        <v>0</v>
      </c>
      <c r="AW183" s="155">
        <f ca="1">IF(ISNUMBER(MATCH(DATEVALUE($A183),'recurring1_based on steps'!AW$1:AW$400,0)),AW$2,)</f>
        <v>0</v>
      </c>
      <c r="AX183" s="155">
        <f ca="1">IF(ISNUMBER(MATCH(DATEVALUE($A183),'recurring1_based on steps'!AX$1:AX$400,0)),AX$2,)</f>
        <v>0</v>
      </c>
      <c r="AY183" s="155">
        <f ca="1">IF(ISNUMBER(MATCH(DATEVALUE($A183),'recurring1_based on steps'!AY$1:AY$400,0)),AY$2,)</f>
        <v>0</v>
      </c>
    </row>
    <row r="184" spans="1:51" x14ac:dyDescent="0.2">
      <c r="A184" s="18" t="str">
        <f t="shared" ca="1" si="2"/>
        <v>2025-08-01</v>
      </c>
      <c r="B184" s="155">
        <f ca="1">IF(ISNUMBER(MATCH(DATEVALUE($A184),'recurring1_based on steps'!B$1:B$400,0)),B$2,)</f>
        <v>0</v>
      </c>
      <c r="C184" s="155">
        <f ca="1">IF(ISNUMBER(MATCH(DATEVALUE($A184),'recurring1_based on steps'!C$1:C$400,0)),C$2,)</f>
        <v>0</v>
      </c>
      <c r="D184" s="155">
        <f ca="1">IF(ISNUMBER(MATCH(DATEVALUE($A184),'recurring1_based on steps'!D$1:D$400,0)),D$2,)</f>
        <v>0</v>
      </c>
      <c r="E184" s="155">
        <f ca="1">IF(ISNUMBER(MATCH(DATEVALUE($A184),'recurring1_based on steps'!E$1:E$400,0)),E$2,)</f>
        <v>0</v>
      </c>
      <c r="F184" s="155">
        <f ca="1">IF(ISNUMBER(MATCH(DATEVALUE($A184),'recurring1_based on steps'!F$1:F$400,0)),F$2,)</f>
        <v>0</v>
      </c>
      <c r="G184" s="155">
        <f ca="1">IF(ISNUMBER(MATCH(DATEVALUE($A184),'recurring1_based on steps'!G$1:G$400,0)),G$2,)</f>
        <v>0</v>
      </c>
      <c r="H184" s="155">
        <f ca="1">IF(ISNUMBER(MATCH(DATEVALUE($A184),'recurring1_based on steps'!H$1:H$400,0)),H$2,)</f>
        <v>0</v>
      </c>
      <c r="I184" s="155">
        <f ca="1">IF(ISNUMBER(MATCH(DATEVALUE($A184),'recurring1_based on steps'!I$1:I$400,0)),I$2,)</f>
        <v>2000</v>
      </c>
      <c r="J184" s="155">
        <f ca="1">IF(ISNUMBER(MATCH(DATEVALUE($A184),'recurring1_based on steps'!J$1:J$400,0)),J$2,)</f>
        <v>0</v>
      </c>
      <c r="K184" s="155">
        <f ca="1">IF(ISNUMBER(MATCH(DATEVALUE($A184),'recurring1_based on steps'!K$1:K$400,0)),K$2,)</f>
        <v>0</v>
      </c>
      <c r="L184" s="155">
        <f ca="1">IF(ISNUMBER(MATCH(DATEVALUE($A184),'recurring1_based on steps'!L$1:L$400,0)),L$2,)</f>
        <v>0</v>
      </c>
      <c r="M184" s="155">
        <f ca="1">IF(ISNUMBER(MATCH(DATEVALUE($A184),'recurring1_based on steps'!M$1:M$400,0)),M$2,)</f>
        <v>0</v>
      </c>
      <c r="N184" s="155">
        <f ca="1">IF(ISNUMBER(MATCH(DATEVALUE($A184),'recurring1_based on steps'!N$1:N$400,0)),N$2,)</f>
        <v>0</v>
      </c>
      <c r="O184" s="155">
        <f ca="1">IF(ISNUMBER(MATCH(DATEVALUE($A184),'recurring1_based on steps'!O$1:O$400,0)),O$2,)</f>
        <v>0</v>
      </c>
      <c r="P184" s="155">
        <f ca="1">IF(ISNUMBER(MATCH(DATEVALUE($A184),'recurring1_based on steps'!P$1:P$400,0)),P$2,)</f>
        <v>0</v>
      </c>
      <c r="Q184" s="155">
        <f ca="1">IF(ISNUMBER(MATCH(DATEVALUE($A184),'recurring1_based on steps'!Q$1:Q$400,0)),Q$2,)</f>
        <v>0</v>
      </c>
      <c r="R184" s="155">
        <f ca="1">IF(ISNUMBER(MATCH(DATEVALUE($A184),'recurring1_based on steps'!R$1:R$400,0)),R$2,)</f>
        <v>0</v>
      </c>
      <c r="S184" s="155">
        <f ca="1">IF(ISNUMBER(MATCH(DATEVALUE($A184),'recurring1_based on steps'!S$1:S$400,0)),S$2,)</f>
        <v>0</v>
      </c>
      <c r="T184" s="155">
        <f ca="1">IF(ISNUMBER(MATCH(DATEVALUE($A184),'recurring1_based on steps'!T$1:T$400,0)),T$2,)</f>
        <v>0</v>
      </c>
      <c r="U184" s="155">
        <f ca="1">IF(ISNUMBER(MATCH(DATEVALUE($A184),'recurring1_based on steps'!U$1:U$400,0)),U$2,)</f>
        <v>0</v>
      </c>
      <c r="V184" s="155">
        <f ca="1">IF(ISNUMBER(MATCH(DATEVALUE($A184),'recurring1_based on steps'!V$1:V$400,0)),V$2,)</f>
        <v>0</v>
      </c>
      <c r="W184" s="155">
        <f ca="1">IF(ISNUMBER(MATCH(DATEVALUE($A184),'recurring1_based on steps'!W$1:W$400,0)),W$2,)</f>
        <v>0</v>
      </c>
      <c r="X184" s="155">
        <f ca="1">IF(ISNUMBER(MATCH(DATEVALUE($A184),'recurring1_based on steps'!X$1:X$400,0)),X$2,)</f>
        <v>0</v>
      </c>
      <c r="Y184" s="155">
        <f ca="1">IF(ISNUMBER(MATCH(DATEVALUE($A184),'recurring1_based on steps'!Y$1:Y$400,0)),Y$2,)</f>
        <v>0</v>
      </c>
      <c r="Z184" s="155">
        <f ca="1">IF(ISNUMBER(MATCH(DATEVALUE($A184),'recurring1_based on steps'!Z$1:Z$400,0)),Z$2,)</f>
        <v>0</v>
      </c>
      <c r="AA184" s="155">
        <f ca="1">IF(ISNUMBER(MATCH(DATEVALUE($A184),'recurring1_based on steps'!AA$1:AA$400,0)),AA$2,)</f>
        <v>0</v>
      </c>
      <c r="AB184" s="155">
        <f ca="1">IF(ISNUMBER(MATCH(DATEVALUE($A184),'recurring1_based on steps'!AB$1:AB$400,0)),AB$2,)</f>
        <v>0</v>
      </c>
      <c r="AC184" s="155">
        <f ca="1">IF(ISNUMBER(MATCH(DATEVALUE($A184),'recurring1_based on steps'!AC$1:AC$400,0)),AC$2,)</f>
        <v>0</v>
      </c>
      <c r="AD184" s="155">
        <f ca="1">IF(ISNUMBER(MATCH(DATEVALUE($A184),'recurring1_based on steps'!AD$1:AD$400,0)),AD$2,)</f>
        <v>0</v>
      </c>
      <c r="AE184" s="155">
        <f ca="1">IF(ISNUMBER(MATCH(DATEVALUE($A184),'recurring1_based on steps'!AE$1:AE$400,0)),AE$2,)</f>
        <v>0</v>
      </c>
      <c r="AF184" s="155">
        <f ca="1">IF(ISNUMBER(MATCH(DATEVALUE($A184),'recurring1_based on steps'!AF$1:AF$400,0)),AF$2,)</f>
        <v>0</v>
      </c>
      <c r="AG184" s="155">
        <f ca="1">IF(ISNUMBER(MATCH(DATEVALUE($A184),'recurring1_based on steps'!AG$1:AG$400,0)),AG$2,)</f>
        <v>0</v>
      </c>
      <c r="AH184" s="155">
        <f ca="1">IF(ISNUMBER(MATCH(DATEVALUE($A184),'recurring1_based on steps'!AH$1:AH$400,0)),AH$2,)</f>
        <v>0</v>
      </c>
      <c r="AI184" s="155">
        <f ca="1">IF(ISNUMBER(MATCH(DATEVALUE($A184),'recurring1_based on steps'!AI$1:AI$400,0)),AI$2,)</f>
        <v>0</v>
      </c>
      <c r="AJ184" s="155">
        <f ca="1">IF(ISNUMBER(MATCH(DATEVALUE($A184),'recurring1_based on steps'!AJ$1:AJ$400,0)),AJ$2,)</f>
        <v>0</v>
      </c>
      <c r="AK184" s="155">
        <f ca="1">IF(ISNUMBER(MATCH(DATEVALUE($A184),'recurring1_based on steps'!AK$1:AK$400,0)),AK$2,)</f>
        <v>0</v>
      </c>
      <c r="AL184" s="155">
        <f ca="1">IF(ISNUMBER(MATCH(DATEVALUE($A184),'recurring1_based on steps'!AL$1:AL$400,0)),AL$2,)</f>
        <v>0</v>
      </c>
      <c r="AM184" s="155">
        <f ca="1">IF(ISNUMBER(MATCH(DATEVALUE($A184),'recurring1_based on steps'!AM$1:AM$400,0)),AM$2,)</f>
        <v>0</v>
      </c>
      <c r="AN184" s="155">
        <f ca="1">IF(ISNUMBER(MATCH(DATEVALUE($A184),'recurring1_based on steps'!AN$1:AN$400,0)),AN$2,)</f>
        <v>0</v>
      </c>
      <c r="AO184" s="155">
        <f ca="1">IF(ISNUMBER(MATCH(DATEVALUE($A184),'recurring1_based on steps'!AO$1:AO$400,0)),AO$2,)</f>
        <v>0</v>
      </c>
      <c r="AP184" s="155">
        <f ca="1">IF(ISNUMBER(MATCH(DATEVALUE($A184),'recurring1_based on steps'!AP$1:AP$400,0)),AP$2,)</f>
        <v>0</v>
      </c>
      <c r="AQ184" s="155">
        <f ca="1">IF(ISNUMBER(MATCH(DATEVALUE($A184),'recurring1_based on steps'!AQ$1:AQ$400,0)),AQ$2,)</f>
        <v>0</v>
      </c>
      <c r="AR184" s="155">
        <f ca="1">IF(ISNUMBER(MATCH(DATEVALUE($A184),'recurring1_based on steps'!AR$1:AR$400,0)),AR$2,)</f>
        <v>0</v>
      </c>
      <c r="AS184" s="155">
        <f ca="1">IF(ISNUMBER(MATCH(DATEVALUE($A184),'recurring1_based on steps'!AS$1:AS$400,0)),AS$2,)</f>
        <v>0</v>
      </c>
      <c r="AT184" s="155">
        <f ca="1">IF(ISNUMBER(MATCH(DATEVALUE($A184),'recurring1_based on steps'!AT$1:AT$400,0)),AT$2,)</f>
        <v>0</v>
      </c>
      <c r="AU184" s="155">
        <f ca="1">IF(ISNUMBER(MATCH(DATEVALUE($A184),'recurring1_based on steps'!AU$1:AU$400,0)),AU$2,)</f>
        <v>0</v>
      </c>
      <c r="AV184" s="155">
        <f ca="1">IF(ISNUMBER(MATCH(DATEVALUE($A184),'recurring1_based on steps'!AV$1:AV$400,0)),AV$2,)</f>
        <v>0</v>
      </c>
      <c r="AW184" s="155">
        <f ca="1">IF(ISNUMBER(MATCH(DATEVALUE($A184),'recurring1_based on steps'!AW$1:AW$400,0)),AW$2,)</f>
        <v>0</v>
      </c>
      <c r="AX184" s="155">
        <f ca="1">IF(ISNUMBER(MATCH(DATEVALUE($A184),'recurring1_based on steps'!AX$1:AX$400,0)),AX$2,)</f>
        <v>0</v>
      </c>
      <c r="AY184" s="155">
        <f ca="1">IF(ISNUMBER(MATCH(DATEVALUE($A184),'recurring1_based on steps'!AY$1:AY$400,0)),AY$2,)</f>
        <v>0</v>
      </c>
    </row>
    <row r="185" spans="1:51" x14ac:dyDescent="0.2">
      <c r="A185" s="18" t="str">
        <f t="shared" ca="1" si="2"/>
        <v>2025-08-02</v>
      </c>
      <c r="B185" s="155">
        <f ca="1">IF(ISNUMBER(MATCH(DATEVALUE($A185),'recurring1_based on steps'!B$1:B$400,0)),B$2,)</f>
        <v>0</v>
      </c>
      <c r="C185" s="155">
        <f ca="1">IF(ISNUMBER(MATCH(DATEVALUE($A185),'recurring1_based on steps'!C$1:C$400,0)),C$2,)</f>
        <v>0</v>
      </c>
      <c r="D185" s="155">
        <f ca="1">IF(ISNUMBER(MATCH(DATEVALUE($A185),'recurring1_based on steps'!D$1:D$400,0)),D$2,)</f>
        <v>0</v>
      </c>
      <c r="E185" s="155">
        <f ca="1">IF(ISNUMBER(MATCH(DATEVALUE($A185),'recurring1_based on steps'!E$1:E$400,0)),E$2,)</f>
        <v>0</v>
      </c>
      <c r="F185" s="155">
        <f ca="1">IF(ISNUMBER(MATCH(DATEVALUE($A185),'recurring1_based on steps'!F$1:F$400,0)),F$2,)</f>
        <v>0</v>
      </c>
      <c r="G185" s="155">
        <f ca="1">IF(ISNUMBER(MATCH(DATEVALUE($A185),'recurring1_based on steps'!G$1:G$400,0)),G$2,)</f>
        <v>0</v>
      </c>
      <c r="H185" s="155">
        <f ca="1">IF(ISNUMBER(MATCH(DATEVALUE($A185),'recurring1_based on steps'!H$1:H$400,0)),H$2,)</f>
        <v>0</v>
      </c>
      <c r="I185" s="155">
        <f ca="1">IF(ISNUMBER(MATCH(DATEVALUE($A185),'recurring1_based on steps'!I$1:I$400,0)),I$2,)</f>
        <v>0</v>
      </c>
      <c r="J185" s="155">
        <f ca="1">IF(ISNUMBER(MATCH(DATEVALUE($A185),'recurring1_based on steps'!J$1:J$400,0)),J$2,)</f>
        <v>0</v>
      </c>
      <c r="K185" s="155">
        <f ca="1">IF(ISNUMBER(MATCH(DATEVALUE($A185),'recurring1_based on steps'!K$1:K$400,0)),K$2,)</f>
        <v>0</v>
      </c>
      <c r="L185" s="155">
        <f ca="1">IF(ISNUMBER(MATCH(DATEVALUE($A185),'recurring1_based on steps'!L$1:L$400,0)),L$2,)</f>
        <v>0</v>
      </c>
      <c r="M185" s="155">
        <f ca="1">IF(ISNUMBER(MATCH(DATEVALUE($A185),'recurring1_based on steps'!M$1:M$400,0)),M$2,)</f>
        <v>0</v>
      </c>
      <c r="N185" s="155">
        <f ca="1">IF(ISNUMBER(MATCH(DATEVALUE($A185),'recurring1_based on steps'!N$1:N$400,0)),N$2,)</f>
        <v>0</v>
      </c>
      <c r="O185" s="155">
        <f ca="1">IF(ISNUMBER(MATCH(DATEVALUE($A185),'recurring1_based on steps'!O$1:O$400,0)),O$2,)</f>
        <v>0</v>
      </c>
      <c r="P185" s="155">
        <f ca="1">IF(ISNUMBER(MATCH(DATEVALUE($A185),'recurring1_based on steps'!P$1:P$400,0)),P$2,)</f>
        <v>0</v>
      </c>
      <c r="Q185" s="155">
        <f ca="1">IF(ISNUMBER(MATCH(DATEVALUE($A185),'recurring1_based on steps'!Q$1:Q$400,0)),Q$2,)</f>
        <v>100</v>
      </c>
      <c r="R185" s="155">
        <f ca="1">IF(ISNUMBER(MATCH(DATEVALUE($A185),'recurring1_based on steps'!R$1:R$400,0)),R$2,)</f>
        <v>100</v>
      </c>
      <c r="S185" s="155">
        <f ca="1">IF(ISNUMBER(MATCH(DATEVALUE($A185),'recurring1_based on steps'!S$1:S$400,0)),S$2,)</f>
        <v>0</v>
      </c>
      <c r="T185" s="155">
        <f ca="1">IF(ISNUMBER(MATCH(DATEVALUE($A185),'recurring1_based on steps'!T$1:T$400,0)),T$2,)</f>
        <v>0</v>
      </c>
      <c r="U185" s="155">
        <f ca="1">IF(ISNUMBER(MATCH(DATEVALUE($A185),'recurring1_based on steps'!U$1:U$400,0)),U$2,)</f>
        <v>0</v>
      </c>
      <c r="V185" s="155">
        <f ca="1">IF(ISNUMBER(MATCH(DATEVALUE($A185),'recurring1_based on steps'!V$1:V$400,0)),V$2,)</f>
        <v>0</v>
      </c>
      <c r="W185" s="155">
        <f ca="1">IF(ISNUMBER(MATCH(DATEVALUE($A185),'recurring1_based on steps'!W$1:W$400,0)),W$2,)</f>
        <v>0</v>
      </c>
      <c r="X185" s="155">
        <f ca="1">IF(ISNUMBER(MATCH(DATEVALUE($A185),'recurring1_based on steps'!X$1:X$400,0)),X$2,)</f>
        <v>0</v>
      </c>
      <c r="Y185" s="155">
        <f ca="1">IF(ISNUMBER(MATCH(DATEVALUE($A185),'recurring1_based on steps'!Y$1:Y$400,0)),Y$2,)</f>
        <v>0</v>
      </c>
      <c r="Z185" s="155">
        <f ca="1">IF(ISNUMBER(MATCH(DATEVALUE($A185),'recurring1_based on steps'!Z$1:Z$400,0)),Z$2,)</f>
        <v>0</v>
      </c>
      <c r="AA185" s="155">
        <f ca="1">IF(ISNUMBER(MATCH(DATEVALUE($A185),'recurring1_based on steps'!AA$1:AA$400,0)),AA$2,)</f>
        <v>0</v>
      </c>
      <c r="AB185" s="155">
        <f ca="1">IF(ISNUMBER(MATCH(DATEVALUE($A185),'recurring1_based on steps'!AB$1:AB$400,0)),AB$2,)</f>
        <v>0</v>
      </c>
      <c r="AC185" s="155">
        <f ca="1">IF(ISNUMBER(MATCH(DATEVALUE($A185),'recurring1_based on steps'!AC$1:AC$400,0)),AC$2,)</f>
        <v>0</v>
      </c>
      <c r="AD185" s="155">
        <f ca="1">IF(ISNUMBER(MATCH(DATEVALUE($A185),'recurring1_based on steps'!AD$1:AD$400,0)),AD$2,)</f>
        <v>0</v>
      </c>
      <c r="AE185" s="155">
        <f ca="1">IF(ISNUMBER(MATCH(DATEVALUE($A185),'recurring1_based on steps'!AE$1:AE$400,0)),AE$2,)</f>
        <v>0</v>
      </c>
      <c r="AF185" s="155">
        <f ca="1">IF(ISNUMBER(MATCH(DATEVALUE($A185),'recurring1_based on steps'!AF$1:AF$400,0)),AF$2,)</f>
        <v>0</v>
      </c>
      <c r="AG185" s="155">
        <f ca="1">IF(ISNUMBER(MATCH(DATEVALUE($A185),'recurring1_based on steps'!AG$1:AG$400,0)),AG$2,)</f>
        <v>0</v>
      </c>
      <c r="AH185" s="155">
        <f ca="1">IF(ISNUMBER(MATCH(DATEVALUE($A185),'recurring1_based on steps'!AH$1:AH$400,0)),AH$2,)</f>
        <v>0</v>
      </c>
      <c r="AI185" s="155">
        <f ca="1">IF(ISNUMBER(MATCH(DATEVALUE($A185),'recurring1_based on steps'!AI$1:AI$400,0)),AI$2,)</f>
        <v>0</v>
      </c>
      <c r="AJ185" s="155">
        <f ca="1">IF(ISNUMBER(MATCH(DATEVALUE($A185),'recurring1_based on steps'!AJ$1:AJ$400,0)),AJ$2,)</f>
        <v>0</v>
      </c>
      <c r="AK185" s="155">
        <f ca="1">IF(ISNUMBER(MATCH(DATEVALUE($A185),'recurring1_based on steps'!AK$1:AK$400,0)),AK$2,)</f>
        <v>0</v>
      </c>
      <c r="AL185" s="155">
        <f ca="1">IF(ISNUMBER(MATCH(DATEVALUE($A185),'recurring1_based on steps'!AL$1:AL$400,0)),AL$2,)</f>
        <v>0</v>
      </c>
      <c r="AM185" s="155">
        <f ca="1">IF(ISNUMBER(MATCH(DATEVALUE($A185),'recurring1_based on steps'!AM$1:AM$400,0)),AM$2,)</f>
        <v>0</v>
      </c>
      <c r="AN185" s="155">
        <f ca="1">IF(ISNUMBER(MATCH(DATEVALUE($A185),'recurring1_based on steps'!AN$1:AN$400,0)),AN$2,)</f>
        <v>0</v>
      </c>
      <c r="AO185" s="155">
        <f ca="1">IF(ISNUMBER(MATCH(DATEVALUE($A185),'recurring1_based on steps'!AO$1:AO$400,0)),AO$2,)</f>
        <v>0</v>
      </c>
      <c r="AP185" s="155">
        <f ca="1">IF(ISNUMBER(MATCH(DATEVALUE($A185),'recurring1_based on steps'!AP$1:AP$400,0)),AP$2,)</f>
        <v>0</v>
      </c>
      <c r="AQ185" s="155">
        <f ca="1">IF(ISNUMBER(MATCH(DATEVALUE($A185),'recurring1_based on steps'!AQ$1:AQ$400,0)),AQ$2,)</f>
        <v>0</v>
      </c>
      <c r="AR185" s="155">
        <f ca="1">IF(ISNUMBER(MATCH(DATEVALUE($A185),'recurring1_based on steps'!AR$1:AR$400,0)),AR$2,)</f>
        <v>0</v>
      </c>
      <c r="AS185" s="155">
        <f ca="1">IF(ISNUMBER(MATCH(DATEVALUE($A185),'recurring1_based on steps'!AS$1:AS$400,0)),AS$2,)</f>
        <v>0</v>
      </c>
      <c r="AT185" s="155">
        <f ca="1">IF(ISNUMBER(MATCH(DATEVALUE($A185),'recurring1_based on steps'!AT$1:AT$400,0)),AT$2,)</f>
        <v>0</v>
      </c>
      <c r="AU185" s="155">
        <f ca="1">IF(ISNUMBER(MATCH(DATEVALUE($A185),'recurring1_based on steps'!AU$1:AU$400,0)),AU$2,)</f>
        <v>0</v>
      </c>
      <c r="AV185" s="155">
        <f ca="1">IF(ISNUMBER(MATCH(DATEVALUE($A185),'recurring1_based on steps'!AV$1:AV$400,0)),AV$2,)</f>
        <v>0</v>
      </c>
      <c r="AW185" s="155">
        <f ca="1">IF(ISNUMBER(MATCH(DATEVALUE($A185),'recurring1_based on steps'!AW$1:AW$400,0)),AW$2,)</f>
        <v>0</v>
      </c>
      <c r="AX185" s="155">
        <f ca="1">IF(ISNUMBER(MATCH(DATEVALUE($A185),'recurring1_based on steps'!AX$1:AX$400,0)),AX$2,)</f>
        <v>0</v>
      </c>
      <c r="AY185" s="155">
        <f ca="1">IF(ISNUMBER(MATCH(DATEVALUE($A185),'recurring1_based on steps'!AY$1:AY$400,0)),AY$2,)</f>
        <v>0</v>
      </c>
    </row>
    <row r="186" spans="1:51" x14ac:dyDescent="0.2">
      <c r="A186" s="18" t="str">
        <f t="shared" ca="1" si="2"/>
        <v>2025-08-03</v>
      </c>
      <c r="B186" s="155">
        <f ca="1">IF(ISNUMBER(MATCH(DATEVALUE($A186),'recurring1_based on steps'!B$1:B$400,0)),B$2,)</f>
        <v>0</v>
      </c>
      <c r="C186" s="155">
        <f ca="1">IF(ISNUMBER(MATCH(DATEVALUE($A186),'recurring1_based on steps'!C$1:C$400,0)),C$2,)</f>
        <v>0</v>
      </c>
      <c r="D186" s="155">
        <f ca="1">IF(ISNUMBER(MATCH(DATEVALUE($A186),'recurring1_based on steps'!D$1:D$400,0)),D$2,)</f>
        <v>0</v>
      </c>
      <c r="E186" s="155">
        <f ca="1">IF(ISNUMBER(MATCH(DATEVALUE($A186),'recurring1_based on steps'!E$1:E$400,0)),E$2,)</f>
        <v>0</v>
      </c>
      <c r="F186" s="155">
        <f ca="1">IF(ISNUMBER(MATCH(DATEVALUE($A186),'recurring1_based on steps'!F$1:F$400,0)),F$2,)</f>
        <v>0</v>
      </c>
      <c r="G186" s="155">
        <f ca="1">IF(ISNUMBER(MATCH(DATEVALUE($A186),'recurring1_based on steps'!G$1:G$400,0)),G$2,)</f>
        <v>0</v>
      </c>
      <c r="H186" s="155">
        <f ca="1">IF(ISNUMBER(MATCH(DATEVALUE($A186),'recurring1_based on steps'!H$1:H$400,0)),H$2,)</f>
        <v>0</v>
      </c>
      <c r="I186" s="155">
        <f ca="1">IF(ISNUMBER(MATCH(DATEVALUE($A186),'recurring1_based on steps'!I$1:I$400,0)),I$2,)</f>
        <v>0</v>
      </c>
      <c r="J186" s="155">
        <f ca="1">IF(ISNUMBER(MATCH(DATEVALUE($A186),'recurring1_based on steps'!J$1:J$400,0)),J$2,)</f>
        <v>0</v>
      </c>
      <c r="K186" s="155">
        <f ca="1">IF(ISNUMBER(MATCH(DATEVALUE($A186),'recurring1_based on steps'!K$1:K$400,0)),K$2,)</f>
        <v>50</v>
      </c>
      <c r="L186" s="155">
        <f ca="1">IF(ISNUMBER(MATCH(DATEVALUE($A186),'recurring1_based on steps'!L$1:L$400,0)),L$2,)</f>
        <v>0</v>
      </c>
      <c r="M186" s="155">
        <f ca="1">IF(ISNUMBER(MATCH(DATEVALUE($A186),'recurring1_based on steps'!M$1:M$400,0)),M$2,)</f>
        <v>0</v>
      </c>
      <c r="N186" s="155">
        <f ca="1">IF(ISNUMBER(MATCH(DATEVALUE($A186),'recurring1_based on steps'!N$1:N$400,0)),N$2,)</f>
        <v>0</v>
      </c>
      <c r="O186" s="155">
        <f ca="1">IF(ISNUMBER(MATCH(DATEVALUE($A186),'recurring1_based on steps'!O$1:O$400,0)),O$2,)</f>
        <v>0</v>
      </c>
      <c r="P186" s="155">
        <f ca="1">IF(ISNUMBER(MATCH(DATEVALUE($A186),'recurring1_based on steps'!P$1:P$400,0)),P$2,)</f>
        <v>0</v>
      </c>
      <c r="Q186" s="155">
        <f ca="1">IF(ISNUMBER(MATCH(DATEVALUE($A186),'recurring1_based on steps'!Q$1:Q$400,0)),Q$2,)</f>
        <v>0</v>
      </c>
      <c r="R186" s="155">
        <f ca="1">IF(ISNUMBER(MATCH(DATEVALUE($A186),'recurring1_based on steps'!R$1:R$400,0)),R$2,)</f>
        <v>0</v>
      </c>
      <c r="S186" s="155">
        <f ca="1">IF(ISNUMBER(MATCH(DATEVALUE($A186),'recurring1_based on steps'!S$1:S$400,0)),S$2,)</f>
        <v>100</v>
      </c>
      <c r="T186" s="155">
        <f ca="1">IF(ISNUMBER(MATCH(DATEVALUE($A186),'recurring1_based on steps'!T$1:T$400,0)),T$2,)</f>
        <v>0</v>
      </c>
      <c r="U186" s="155">
        <f ca="1">IF(ISNUMBER(MATCH(DATEVALUE($A186),'recurring1_based on steps'!U$1:U$400,0)),U$2,)</f>
        <v>0</v>
      </c>
      <c r="V186" s="155">
        <f ca="1">IF(ISNUMBER(MATCH(DATEVALUE($A186),'recurring1_based on steps'!V$1:V$400,0)),V$2,)</f>
        <v>0</v>
      </c>
      <c r="W186" s="155">
        <f ca="1">IF(ISNUMBER(MATCH(DATEVALUE($A186),'recurring1_based on steps'!W$1:W$400,0)),W$2,)</f>
        <v>0</v>
      </c>
      <c r="X186" s="155">
        <f ca="1">IF(ISNUMBER(MATCH(DATEVALUE($A186),'recurring1_based on steps'!X$1:X$400,0)),X$2,)</f>
        <v>0</v>
      </c>
      <c r="Y186" s="155">
        <f ca="1">IF(ISNUMBER(MATCH(DATEVALUE($A186),'recurring1_based on steps'!Y$1:Y$400,0)),Y$2,)</f>
        <v>0</v>
      </c>
      <c r="Z186" s="155">
        <f ca="1">IF(ISNUMBER(MATCH(DATEVALUE($A186),'recurring1_based on steps'!Z$1:Z$400,0)),Z$2,)</f>
        <v>0</v>
      </c>
      <c r="AA186" s="155">
        <f ca="1">IF(ISNUMBER(MATCH(DATEVALUE($A186),'recurring1_based on steps'!AA$1:AA$400,0)),AA$2,)</f>
        <v>0</v>
      </c>
      <c r="AB186" s="155">
        <f ca="1">IF(ISNUMBER(MATCH(DATEVALUE($A186),'recurring1_based on steps'!AB$1:AB$400,0)),AB$2,)</f>
        <v>0</v>
      </c>
      <c r="AC186" s="155">
        <f ca="1">IF(ISNUMBER(MATCH(DATEVALUE($A186),'recurring1_based on steps'!AC$1:AC$400,0)),AC$2,)</f>
        <v>0</v>
      </c>
      <c r="AD186" s="155">
        <f ca="1">IF(ISNUMBER(MATCH(DATEVALUE($A186),'recurring1_based on steps'!AD$1:AD$400,0)),AD$2,)</f>
        <v>0</v>
      </c>
      <c r="AE186" s="155">
        <f ca="1">IF(ISNUMBER(MATCH(DATEVALUE($A186),'recurring1_based on steps'!AE$1:AE$400,0)),AE$2,)</f>
        <v>0</v>
      </c>
      <c r="AF186" s="155">
        <f ca="1">IF(ISNUMBER(MATCH(DATEVALUE($A186),'recurring1_based on steps'!AF$1:AF$400,0)),AF$2,)</f>
        <v>0</v>
      </c>
      <c r="AG186" s="155">
        <f ca="1">IF(ISNUMBER(MATCH(DATEVALUE($A186),'recurring1_based on steps'!AG$1:AG$400,0)),AG$2,)</f>
        <v>0</v>
      </c>
      <c r="AH186" s="155">
        <f ca="1">IF(ISNUMBER(MATCH(DATEVALUE($A186),'recurring1_based on steps'!AH$1:AH$400,0)),AH$2,)</f>
        <v>0</v>
      </c>
      <c r="AI186" s="155">
        <f ca="1">IF(ISNUMBER(MATCH(DATEVALUE($A186),'recurring1_based on steps'!AI$1:AI$400,0)),AI$2,)</f>
        <v>0</v>
      </c>
      <c r="AJ186" s="155">
        <f ca="1">IF(ISNUMBER(MATCH(DATEVALUE($A186),'recurring1_based on steps'!AJ$1:AJ$400,0)),AJ$2,)</f>
        <v>0</v>
      </c>
      <c r="AK186" s="155">
        <f ca="1">IF(ISNUMBER(MATCH(DATEVALUE($A186),'recurring1_based on steps'!AK$1:AK$400,0)),AK$2,)</f>
        <v>0</v>
      </c>
      <c r="AL186" s="155">
        <f ca="1">IF(ISNUMBER(MATCH(DATEVALUE($A186),'recurring1_based on steps'!AL$1:AL$400,0)),AL$2,)</f>
        <v>0</v>
      </c>
      <c r="AM186" s="155">
        <f ca="1">IF(ISNUMBER(MATCH(DATEVALUE($A186),'recurring1_based on steps'!AM$1:AM$400,0)),AM$2,)</f>
        <v>0</v>
      </c>
      <c r="AN186" s="155">
        <f ca="1">IF(ISNUMBER(MATCH(DATEVALUE($A186),'recurring1_based on steps'!AN$1:AN$400,0)),AN$2,)</f>
        <v>0</v>
      </c>
      <c r="AO186" s="155">
        <f ca="1">IF(ISNUMBER(MATCH(DATEVALUE($A186),'recurring1_based on steps'!AO$1:AO$400,0)),AO$2,)</f>
        <v>0</v>
      </c>
      <c r="AP186" s="155">
        <f ca="1">IF(ISNUMBER(MATCH(DATEVALUE($A186),'recurring1_based on steps'!AP$1:AP$400,0)),AP$2,)</f>
        <v>0</v>
      </c>
      <c r="AQ186" s="155">
        <f ca="1">IF(ISNUMBER(MATCH(DATEVALUE($A186),'recurring1_based on steps'!AQ$1:AQ$400,0)),AQ$2,)</f>
        <v>0</v>
      </c>
      <c r="AR186" s="155">
        <f ca="1">IF(ISNUMBER(MATCH(DATEVALUE($A186),'recurring1_based on steps'!AR$1:AR$400,0)),AR$2,)</f>
        <v>0</v>
      </c>
      <c r="AS186" s="155">
        <f ca="1">IF(ISNUMBER(MATCH(DATEVALUE($A186),'recurring1_based on steps'!AS$1:AS$400,0)),AS$2,)</f>
        <v>0</v>
      </c>
      <c r="AT186" s="155">
        <f ca="1">IF(ISNUMBER(MATCH(DATEVALUE($A186),'recurring1_based on steps'!AT$1:AT$400,0)),AT$2,)</f>
        <v>0</v>
      </c>
      <c r="AU186" s="155">
        <f ca="1">IF(ISNUMBER(MATCH(DATEVALUE($A186),'recurring1_based on steps'!AU$1:AU$400,0)),AU$2,)</f>
        <v>0</v>
      </c>
      <c r="AV186" s="155">
        <f ca="1">IF(ISNUMBER(MATCH(DATEVALUE($A186),'recurring1_based on steps'!AV$1:AV$400,0)),AV$2,)</f>
        <v>0</v>
      </c>
      <c r="AW186" s="155">
        <f ca="1">IF(ISNUMBER(MATCH(DATEVALUE($A186),'recurring1_based on steps'!AW$1:AW$400,0)),AW$2,)</f>
        <v>0</v>
      </c>
      <c r="AX186" s="155">
        <f ca="1">IF(ISNUMBER(MATCH(DATEVALUE($A186),'recurring1_based on steps'!AX$1:AX$400,0)),AX$2,)</f>
        <v>0</v>
      </c>
      <c r="AY186" s="155">
        <f ca="1">IF(ISNUMBER(MATCH(DATEVALUE($A186),'recurring1_based on steps'!AY$1:AY$400,0)),AY$2,)</f>
        <v>0</v>
      </c>
    </row>
    <row r="187" spans="1:51" x14ac:dyDescent="0.2">
      <c r="A187" s="18" t="str">
        <f t="shared" ca="1" si="2"/>
        <v>2025-08-04</v>
      </c>
      <c r="B187" s="155">
        <f ca="1">IF(ISNUMBER(MATCH(DATEVALUE($A187),'recurring1_based on steps'!B$1:B$400,0)),B$2,)</f>
        <v>0</v>
      </c>
      <c r="C187" s="155">
        <f ca="1">IF(ISNUMBER(MATCH(DATEVALUE($A187),'recurring1_based on steps'!C$1:C$400,0)),C$2,)</f>
        <v>0</v>
      </c>
      <c r="D187" s="155">
        <f ca="1">IF(ISNUMBER(MATCH(DATEVALUE($A187),'recurring1_based on steps'!D$1:D$400,0)),D$2,)</f>
        <v>0</v>
      </c>
      <c r="E187" s="155">
        <f ca="1">IF(ISNUMBER(MATCH(DATEVALUE($A187),'recurring1_based on steps'!E$1:E$400,0)),E$2,)</f>
        <v>0</v>
      </c>
      <c r="F187" s="155">
        <f ca="1">IF(ISNUMBER(MATCH(DATEVALUE($A187),'recurring1_based on steps'!F$1:F$400,0)),F$2,)</f>
        <v>0</v>
      </c>
      <c r="G187" s="155">
        <f ca="1">IF(ISNUMBER(MATCH(DATEVALUE($A187),'recurring1_based on steps'!G$1:G$400,0)),G$2,)</f>
        <v>0</v>
      </c>
      <c r="H187" s="155">
        <f ca="1">IF(ISNUMBER(MATCH(DATEVALUE($A187),'recurring1_based on steps'!H$1:H$400,0)),H$2,)</f>
        <v>0</v>
      </c>
      <c r="I187" s="155">
        <f ca="1">IF(ISNUMBER(MATCH(DATEVALUE($A187),'recurring1_based on steps'!I$1:I$400,0)),I$2,)</f>
        <v>0</v>
      </c>
      <c r="J187" s="155">
        <f ca="1">IF(ISNUMBER(MATCH(DATEVALUE($A187),'recurring1_based on steps'!J$1:J$400,0)),J$2,)</f>
        <v>0</v>
      </c>
      <c r="K187" s="155">
        <f ca="1">IF(ISNUMBER(MATCH(DATEVALUE($A187),'recurring1_based on steps'!K$1:K$400,0)),K$2,)</f>
        <v>0</v>
      </c>
      <c r="L187" s="155">
        <f ca="1">IF(ISNUMBER(MATCH(DATEVALUE($A187),'recurring1_based on steps'!L$1:L$400,0)),L$2,)</f>
        <v>0</v>
      </c>
      <c r="M187" s="155">
        <f ca="1">IF(ISNUMBER(MATCH(DATEVALUE($A187),'recurring1_based on steps'!M$1:M$400,0)),M$2,)</f>
        <v>15</v>
      </c>
      <c r="N187" s="155">
        <f ca="1">IF(ISNUMBER(MATCH(DATEVALUE($A187),'recurring1_based on steps'!N$1:N$400,0)),N$2,)</f>
        <v>0</v>
      </c>
      <c r="O187" s="155">
        <f ca="1">IF(ISNUMBER(MATCH(DATEVALUE($A187),'recurring1_based on steps'!O$1:O$400,0)),O$2,)</f>
        <v>0</v>
      </c>
      <c r="P187" s="155">
        <f ca="1">IF(ISNUMBER(MATCH(DATEVALUE($A187),'recurring1_based on steps'!P$1:P$400,0)),P$2,)</f>
        <v>0</v>
      </c>
      <c r="Q187" s="155">
        <f ca="1">IF(ISNUMBER(MATCH(DATEVALUE($A187),'recurring1_based on steps'!Q$1:Q$400,0)),Q$2,)</f>
        <v>0</v>
      </c>
      <c r="R187" s="155">
        <f ca="1">IF(ISNUMBER(MATCH(DATEVALUE($A187),'recurring1_based on steps'!R$1:R$400,0)),R$2,)</f>
        <v>0</v>
      </c>
      <c r="S187" s="155">
        <f ca="1">IF(ISNUMBER(MATCH(DATEVALUE($A187),'recurring1_based on steps'!S$1:S$400,0)),S$2,)</f>
        <v>0</v>
      </c>
      <c r="T187" s="155">
        <f ca="1">IF(ISNUMBER(MATCH(DATEVALUE($A187),'recurring1_based on steps'!T$1:T$400,0)),T$2,)</f>
        <v>0</v>
      </c>
      <c r="U187" s="155">
        <f ca="1">IF(ISNUMBER(MATCH(DATEVALUE($A187),'recurring1_based on steps'!U$1:U$400,0)),U$2,)</f>
        <v>0</v>
      </c>
      <c r="V187" s="155">
        <f ca="1">IF(ISNUMBER(MATCH(DATEVALUE($A187),'recurring1_based on steps'!V$1:V$400,0)),V$2,)</f>
        <v>0</v>
      </c>
      <c r="W187" s="155">
        <f ca="1">IF(ISNUMBER(MATCH(DATEVALUE($A187),'recurring1_based on steps'!W$1:W$400,0)),W$2,)</f>
        <v>0</v>
      </c>
      <c r="X187" s="155">
        <f ca="1">IF(ISNUMBER(MATCH(DATEVALUE($A187),'recurring1_based on steps'!X$1:X$400,0)),X$2,)</f>
        <v>0</v>
      </c>
      <c r="Y187" s="155">
        <f ca="1">IF(ISNUMBER(MATCH(DATEVALUE($A187),'recurring1_based on steps'!Y$1:Y$400,0)),Y$2,)</f>
        <v>0</v>
      </c>
      <c r="Z187" s="155">
        <f ca="1">IF(ISNUMBER(MATCH(DATEVALUE($A187),'recurring1_based on steps'!Z$1:Z$400,0)),Z$2,)</f>
        <v>0</v>
      </c>
      <c r="AA187" s="155">
        <f ca="1">IF(ISNUMBER(MATCH(DATEVALUE($A187),'recurring1_based on steps'!AA$1:AA$400,0)),AA$2,)</f>
        <v>0</v>
      </c>
      <c r="AB187" s="155">
        <f ca="1">IF(ISNUMBER(MATCH(DATEVALUE($A187),'recurring1_based on steps'!AB$1:AB$400,0)),AB$2,)</f>
        <v>0</v>
      </c>
      <c r="AC187" s="155">
        <f ca="1">IF(ISNUMBER(MATCH(DATEVALUE($A187),'recurring1_based on steps'!AC$1:AC$400,0)),AC$2,)</f>
        <v>0</v>
      </c>
      <c r="AD187" s="155">
        <f ca="1">IF(ISNUMBER(MATCH(DATEVALUE($A187),'recurring1_based on steps'!AD$1:AD$400,0)),AD$2,)</f>
        <v>0</v>
      </c>
      <c r="AE187" s="155">
        <f ca="1">IF(ISNUMBER(MATCH(DATEVALUE($A187),'recurring1_based on steps'!AE$1:AE$400,0)),AE$2,)</f>
        <v>0</v>
      </c>
      <c r="AF187" s="155">
        <f ca="1">IF(ISNUMBER(MATCH(DATEVALUE($A187),'recurring1_based on steps'!AF$1:AF$400,0)),AF$2,)</f>
        <v>0</v>
      </c>
      <c r="AG187" s="155">
        <f ca="1">IF(ISNUMBER(MATCH(DATEVALUE($A187),'recurring1_based on steps'!AG$1:AG$400,0)),AG$2,)</f>
        <v>0</v>
      </c>
      <c r="AH187" s="155">
        <f ca="1">IF(ISNUMBER(MATCH(DATEVALUE($A187),'recurring1_based on steps'!AH$1:AH$400,0)),AH$2,)</f>
        <v>0</v>
      </c>
      <c r="AI187" s="155">
        <f ca="1">IF(ISNUMBER(MATCH(DATEVALUE($A187),'recurring1_based on steps'!AI$1:AI$400,0)),AI$2,)</f>
        <v>0</v>
      </c>
      <c r="AJ187" s="155">
        <f ca="1">IF(ISNUMBER(MATCH(DATEVALUE($A187),'recurring1_based on steps'!AJ$1:AJ$400,0)),AJ$2,)</f>
        <v>0</v>
      </c>
      <c r="AK187" s="155">
        <f ca="1">IF(ISNUMBER(MATCH(DATEVALUE($A187),'recurring1_based on steps'!AK$1:AK$400,0)),AK$2,)</f>
        <v>0</v>
      </c>
      <c r="AL187" s="155">
        <f ca="1">IF(ISNUMBER(MATCH(DATEVALUE($A187),'recurring1_based on steps'!AL$1:AL$400,0)),AL$2,)</f>
        <v>0</v>
      </c>
      <c r="AM187" s="155">
        <f ca="1">IF(ISNUMBER(MATCH(DATEVALUE($A187),'recurring1_based on steps'!AM$1:AM$400,0)),AM$2,)</f>
        <v>0</v>
      </c>
      <c r="AN187" s="155">
        <f ca="1">IF(ISNUMBER(MATCH(DATEVALUE($A187),'recurring1_based on steps'!AN$1:AN$400,0)),AN$2,)</f>
        <v>0</v>
      </c>
      <c r="AO187" s="155">
        <f ca="1">IF(ISNUMBER(MATCH(DATEVALUE($A187),'recurring1_based on steps'!AO$1:AO$400,0)),AO$2,)</f>
        <v>0</v>
      </c>
      <c r="AP187" s="155">
        <f ca="1">IF(ISNUMBER(MATCH(DATEVALUE($A187),'recurring1_based on steps'!AP$1:AP$400,0)),AP$2,)</f>
        <v>0</v>
      </c>
      <c r="AQ187" s="155">
        <f ca="1">IF(ISNUMBER(MATCH(DATEVALUE($A187),'recurring1_based on steps'!AQ$1:AQ$400,0)),AQ$2,)</f>
        <v>0</v>
      </c>
      <c r="AR187" s="155">
        <f ca="1">IF(ISNUMBER(MATCH(DATEVALUE($A187),'recurring1_based on steps'!AR$1:AR$400,0)),AR$2,)</f>
        <v>0</v>
      </c>
      <c r="AS187" s="155">
        <f ca="1">IF(ISNUMBER(MATCH(DATEVALUE($A187),'recurring1_based on steps'!AS$1:AS$400,0)),AS$2,)</f>
        <v>0</v>
      </c>
      <c r="AT187" s="155">
        <f ca="1">IF(ISNUMBER(MATCH(DATEVALUE($A187),'recurring1_based on steps'!AT$1:AT$400,0)),AT$2,)</f>
        <v>0</v>
      </c>
      <c r="AU187" s="155">
        <f ca="1">IF(ISNUMBER(MATCH(DATEVALUE($A187),'recurring1_based on steps'!AU$1:AU$400,0)),AU$2,)</f>
        <v>0</v>
      </c>
      <c r="AV187" s="155">
        <f ca="1">IF(ISNUMBER(MATCH(DATEVALUE($A187),'recurring1_based on steps'!AV$1:AV$400,0)),AV$2,)</f>
        <v>0</v>
      </c>
      <c r="AW187" s="155">
        <f ca="1">IF(ISNUMBER(MATCH(DATEVALUE($A187),'recurring1_based on steps'!AW$1:AW$400,0)),AW$2,)</f>
        <v>0</v>
      </c>
      <c r="AX187" s="155">
        <f ca="1">IF(ISNUMBER(MATCH(DATEVALUE($A187),'recurring1_based on steps'!AX$1:AX$400,0)),AX$2,)</f>
        <v>0</v>
      </c>
      <c r="AY187" s="155">
        <f ca="1">IF(ISNUMBER(MATCH(DATEVALUE($A187),'recurring1_based on steps'!AY$1:AY$400,0)),AY$2,)</f>
        <v>0</v>
      </c>
    </row>
    <row r="188" spans="1:51" x14ac:dyDescent="0.2">
      <c r="A188" s="18" t="str">
        <f t="shared" ca="1" si="2"/>
        <v>2025-08-05</v>
      </c>
      <c r="B188" s="155">
        <f ca="1">IF(ISNUMBER(MATCH(DATEVALUE($A188),'recurring1_based on steps'!B$1:B$400,0)),B$2,)</f>
        <v>0</v>
      </c>
      <c r="C188" s="155">
        <f ca="1">IF(ISNUMBER(MATCH(DATEVALUE($A188),'recurring1_based on steps'!C$1:C$400,0)),C$2,)</f>
        <v>0</v>
      </c>
      <c r="D188" s="155">
        <f ca="1">IF(ISNUMBER(MATCH(DATEVALUE($A188),'recurring1_based on steps'!D$1:D$400,0)),D$2,)</f>
        <v>0</v>
      </c>
      <c r="E188" s="155">
        <f ca="1">IF(ISNUMBER(MATCH(DATEVALUE($A188),'recurring1_based on steps'!E$1:E$400,0)),E$2,)</f>
        <v>0</v>
      </c>
      <c r="F188" s="155">
        <f ca="1">IF(ISNUMBER(MATCH(DATEVALUE($A188),'recurring1_based on steps'!F$1:F$400,0)),F$2,)</f>
        <v>0</v>
      </c>
      <c r="G188" s="155">
        <f ca="1">IF(ISNUMBER(MATCH(DATEVALUE($A188),'recurring1_based on steps'!G$1:G$400,0)),G$2,)</f>
        <v>0</v>
      </c>
      <c r="H188" s="155">
        <f ca="1">IF(ISNUMBER(MATCH(DATEVALUE($A188),'recurring1_based on steps'!H$1:H$400,0)),H$2,)</f>
        <v>0</v>
      </c>
      <c r="I188" s="155">
        <f ca="1">IF(ISNUMBER(MATCH(DATEVALUE($A188),'recurring1_based on steps'!I$1:I$400,0)),I$2,)</f>
        <v>0</v>
      </c>
      <c r="J188" s="155">
        <f ca="1">IF(ISNUMBER(MATCH(DATEVALUE($A188),'recurring1_based on steps'!J$1:J$400,0)),J$2,)</f>
        <v>0</v>
      </c>
      <c r="K188" s="155">
        <f ca="1">IF(ISNUMBER(MATCH(DATEVALUE($A188),'recurring1_based on steps'!K$1:K$400,0)),K$2,)</f>
        <v>0</v>
      </c>
      <c r="L188" s="155">
        <f ca="1">IF(ISNUMBER(MATCH(DATEVALUE($A188),'recurring1_based on steps'!L$1:L$400,0)),L$2,)</f>
        <v>0</v>
      </c>
      <c r="M188" s="155">
        <f ca="1">IF(ISNUMBER(MATCH(DATEVALUE($A188),'recurring1_based on steps'!M$1:M$400,0)),M$2,)</f>
        <v>0</v>
      </c>
      <c r="N188" s="155">
        <f ca="1">IF(ISNUMBER(MATCH(DATEVALUE($A188),'recurring1_based on steps'!N$1:N$400,0)),N$2,)</f>
        <v>0</v>
      </c>
      <c r="O188" s="155">
        <f ca="1">IF(ISNUMBER(MATCH(DATEVALUE($A188),'recurring1_based on steps'!O$1:O$400,0)),O$2,)</f>
        <v>0</v>
      </c>
      <c r="P188" s="155">
        <f ca="1">IF(ISNUMBER(MATCH(DATEVALUE($A188),'recurring1_based on steps'!P$1:P$400,0)),P$2,)</f>
        <v>0</v>
      </c>
      <c r="Q188" s="155">
        <f ca="1">IF(ISNUMBER(MATCH(DATEVALUE($A188),'recurring1_based on steps'!Q$1:Q$400,0)),Q$2,)</f>
        <v>0</v>
      </c>
      <c r="R188" s="155">
        <f ca="1">IF(ISNUMBER(MATCH(DATEVALUE($A188),'recurring1_based on steps'!R$1:R$400,0)),R$2,)</f>
        <v>0</v>
      </c>
      <c r="S188" s="155">
        <f ca="1">IF(ISNUMBER(MATCH(DATEVALUE($A188),'recurring1_based on steps'!S$1:S$400,0)),S$2,)</f>
        <v>0</v>
      </c>
      <c r="T188" s="155">
        <f ca="1">IF(ISNUMBER(MATCH(DATEVALUE($A188),'recurring1_based on steps'!T$1:T$400,0)),T$2,)</f>
        <v>0</v>
      </c>
      <c r="U188" s="155">
        <f ca="1">IF(ISNUMBER(MATCH(DATEVALUE($A188),'recurring1_based on steps'!U$1:U$400,0)),U$2,)</f>
        <v>0</v>
      </c>
      <c r="V188" s="155">
        <f ca="1">IF(ISNUMBER(MATCH(DATEVALUE($A188),'recurring1_based on steps'!V$1:V$400,0)),V$2,)</f>
        <v>0</v>
      </c>
      <c r="W188" s="155">
        <f ca="1">IF(ISNUMBER(MATCH(DATEVALUE($A188),'recurring1_based on steps'!W$1:W$400,0)),W$2,)</f>
        <v>0</v>
      </c>
      <c r="X188" s="155">
        <f ca="1">IF(ISNUMBER(MATCH(DATEVALUE($A188),'recurring1_based on steps'!X$1:X$400,0)),X$2,)</f>
        <v>0</v>
      </c>
      <c r="Y188" s="155">
        <f ca="1">IF(ISNUMBER(MATCH(DATEVALUE($A188),'recurring1_based on steps'!Y$1:Y$400,0)),Y$2,)</f>
        <v>0</v>
      </c>
      <c r="Z188" s="155">
        <f ca="1">IF(ISNUMBER(MATCH(DATEVALUE($A188),'recurring1_based on steps'!Z$1:Z$400,0)),Z$2,)</f>
        <v>0</v>
      </c>
      <c r="AA188" s="155">
        <f ca="1">IF(ISNUMBER(MATCH(DATEVALUE($A188),'recurring1_based on steps'!AA$1:AA$400,0)),AA$2,)</f>
        <v>0</v>
      </c>
      <c r="AB188" s="155">
        <f ca="1">IF(ISNUMBER(MATCH(DATEVALUE($A188),'recurring1_based on steps'!AB$1:AB$400,0)),AB$2,)</f>
        <v>0</v>
      </c>
      <c r="AC188" s="155">
        <f ca="1">IF(ISNUMBER(MATCH(DATEVALUE($A188),'recurring1_based on steps'!AC$1:AC$400,0)),AC$2,)</f>
        <v>0</v>
      </c>
      <c r="AD188" s="155">
        <f ca="1">IF(ISNUMBER(MATCH(DATEVALUE($A188),'recurring1_based on steps'!AD$1:AD$400,0)),AD$2,)</f>
        <v>0</v>
      </c>
      <c r="AE188" s="155">
        <f ca="1">IF(ISNUMBER(MATCH(DATEVALUE($A188),'recurring1_based on steps'!AE$1:AE$400,0)),AE$2,)</f>
        <v>0</v>
      </c>
      <c r="AF188" s="155">
        <f ca="1">IF(ISNUMBER(MATCH(DATEVALUE($A188),'recurring1_based on steps'!AF$1:AF$400,0)),AF$2,)</f>
        <v>0</v>
      </c>
      <c r="AG188" s="155">
        <f ca="1">IF(ISNUMBER(MATCH(DATEVALUE($A188),'recurring1_based on steps'!AG$1:AG$400,0)),AG$2,)</f>
        <v>0</v>
      </c>
      <c r="AH188" s="155">
        <f ca="1">IF(ISNUMBER(MATCH(DATEVALUE($A188),'recurring1_based on steps'!AH$1:AH$400,0)),AH$2,)</f>
        <v>0</v>
      </c>
      <c r="AI188" s="155">
        <f ca="1">IF(ISNUMBER(MATCH(DATEVALUE($A188),'recurring1_based on steps'!AI$1:AI$400,0)),AI$2,)</f>
        <v>0</v>
      </c>
      <c r="AJ188" s="155">
        <f ca="1">IF(ISNUMBER(MATCH(DATEVALUE($A188),'recurring1_based on steps'!AJ$1:AJ$400,0)),AJ$2,)</f>
        <v>0</v>
      </c>
      <c r="AK188" s="155">
        <f ca="1">IF(ISNUMBER(MATCH(DATEVALUE($A188),'recurring1_based on steps'!AK$1:AK$400,0)),AK$2,)</f>
        <v>0</v>
      </c>
      <c r="AL188" s="155">
        <f ca="1">IF(ISNUMBER(MATCH(DATEVALUE($A188),'recurring1_based on steps'!AL$1:AL$400,0)),AL$2,)</f>
        <v>0</v>
      </c>
      <c r="AM188" s="155">
        <f ca="1">IF(ISNUMBER(MATCH(DATEVALUE($A188),'recurring1_based on steps'!AM$1:AM$400,0)),AM$2,)</f>
        <v>0</v>
      </c>
      <c r="AN188" s="155">
        <f ca="1">IF(ISNUMBER(MATCH(DATEVALUE($A188),'recurring1_based on steps'!AN$1:AN$400,0)),AN$2,)</f>
        <v>0</v>
      </c>
      <c r="AO188" s="155">
        <f ca="1">IF(ISNUMBER(MATCH(DATEVALUE($A188),'recurring1_based on steps'!AO$1:AO$400,0)),AO$2,)</f>
        <v>0</v>
      </c>
      <c r="AP188" s="155">
        <f ca="1">IF(ISNUMBER(MATCH(DATEVALUE($A188),'recurring1_based on steps'!AP$1:AP$400,0)),AP$2,)</f>
        <v>0</v>
      </c>
      <c r="AQ188" s="155">
        <f ca="1">IF(ISNUMBER(MATCH(DATEVALUE($A188),'recurring1_based on steps'!AQ$1:AQ$400,0)),AQ$2,)</f>
        <v>0</v>
      </c>
      <c r="AR188" s="155">
        <f ca="1">IF(ISNUMBER(MATCH(DATEVALUE($A188),'recurring1_based on steps'!AR$1:AR$400,0)),AR$2,)</f>
        <v>0</v>
      </c>
      <c r="AS188" s="155">
        <f ca="1">IF(ISNUMBER(MATCH(DATEVALUE($A188),'recurring1_based on steps'!AS$1:AS$400,0)),AS$2,)</f>
        <v>0</v>
      </c>
      <c r="AT188" s="155">
        <f ca="1">IF(ISNUMBER(MATCH(DATEVALUE($A188),'recurring1_based on steps'!AT$1:AT$400,0)),AT$2,)</f>
        <v>0</v>
      </c>
      <c r="AU188" s="155">
        <f ca="1">IF(ISNUMBER(MATCH(DATEVALUE($A188),'recurring1_based on steps'!AU$1:AU$400,0)),AU$2,)</f>
        <v>0</v>
      </c>
      <c r="AV188" s="155">
        <f ca="1">IF(ISNUMBER(MATCH(DATEVALUE($A188),'recurring1_based on steps'!AV$1:AV$400,0)),AV$2,)</f>
        <v>0</v>
      </c>
      <c r="AW188" s="155">
        <f ca="1">IF(ISNUMBER(MATCH(DATEVALUE($A188),'recurring1_based on steps'!AW$1:AW$400,0)),AW$2,)</f>
        <v>0</v>
      </c>
      <c r="AX188" s="155">
        <f ca="1">IF(ISNUMBER(MATCH(DATEVALUE($A188),'recurring1_based on steps'!AX$1:AX$400,0)),AX$2,)</f>
        <v>0</v>
      </c>
      <c r="AY188" s="155">
        <f ca="1">IF(ISNUMBER(MATCH(DATEVALUE($A188),'recurring1_based on steps'!AY$1:AY$400,0)),AY$2,)</f>
        <v>0</v>
      </c>
    </row>
    <row r="189" spans="1:51" x14ac:dyDescent="0.2">
      <c r="A189" s="18" t="str">
        <f t="shared" ca="1" si="2"/>
        <v>2025-08-06</v>
      </c>
      <c r="B189" s="155">
        <f ca="1">IF(ISNUMBER(MATCH(DATEVALUE($A189),'recurring1_based on steps'!B$1:B$400,0)),B$2,)</f>
        <v>0</v>
      </c>
      <c r="C189" s="155">
        <f ca="1">IF(ISNUMBER(MATCH(DATEVALUE($A189),'recurring1_based on steps'!C$1:C$400,0)),C$2,)</f>
        <v>0</v>
      </c>
      <c r="D189" s="155">
        <f ca="1">IF(ISNUMBER(MATCH(DATEVALUE($A189),'recurring1_based on steps'!D$1:D$400,0)),D$2,)</f>
        <v>0</v>
      </c>
      <c r="E189" s="155">
        <f ca="1">IF(ISNUMBER(MATCH(DATEVALUE($A189),'recurring1_based on steps'!E$1:E$400,0)),E$2,)</f>
        <v>0</v>
      </c>
      <c r="F189" s="155">
        <f ca="1">IF(ISNUMBER(MATCH(DATEVALUE($A189),'recurring1_based on steps'!F$1:F$400,0)),F$2,)</f>
        <v>0</v>
      </c>
      <c r="G189" s="155">
        <f ca="1">IF(ISNUMBER(MATCH(DATEVALUE($A189),'recurring1_based on steps'!G$1:G$400,0)),G$2,)</f>
        <v>0</v>
      </c>
      <c r="H189" s="155">
        <f ca="1">IF(ISNUMBER(MATCH(DATEVALUE($A189),'recurring1_based on steps'!H$1:H$400,0)),H$2,)</f>
        <v>0</v>
      </c>
      <c r="I189" s="155">
        <f ca="1">IF(ISNUMBER(MATCH(DATEVALUE($A189),'recurring1_based on steps'!I$1:I$400,0)),I$2,)</f>
        <v>0</v>
      </c>
      <c r="J189" s="155">
        <f ca="1">IF(ISNUMBER(MATCH(DATEVALUE($A189),'recurring1_based on steps'!J$1:J$400,0)),J$2,)</f>
        <v>0</v>
      </c>
      <c r="K189" s="155">
        <f ca="1">IF(ISNUMBER(MATCH(DATEVALUE($A189),'recurring1_based on steps'!K$1:K$400,0)),K$2,)</f>
        <v>0</v>
      </c>
      <c r="L189" s="155">
        <f ca="1">IF(ISNUMBER(MATCH(DATEVALUE($A189),'recurring1_based on steps'!L$1:L$400,0)),L$2,)</f>
        <v>0</v>
      </c>
      <c r="M189" s="155">
        <f ca="1">IF(ISNUMBER(MATCH(DATEVALUE($A189),'recurring1_based on steps'!M$1:M$400,0)),M$2,)</f>
        <v>0</v>
      </c>
      <c r="N189" s="155">
        <f ca="1">IF(ISNUMBER(MATCH(DATEVALUE($A189),'recurring1_based on steps'!N$1:N$400,0)),N$2,)</f>
        <v>0</v>
      </c>
      <c r="O189" s="155">
        <f ca="1">IF(ISNUMBER(MATCH(DATEVALUE($A189),'recurring1_based on steps'!O$1:O$400,0)),O$2,)</f>
        <v>0</v>
      </c>
      <c r="P189" s="155">
        <f ca="1">IF(ISNUMBER(MATCH(DATEVALUE($A189),'recurring1_based on steps'!P$1:P$400,0)),P$2,)</f>
        <v>0</v>
      </c>
      <c r="Q189" s="155">
        <f ca="1">IF(ISNUMBER(MATCH(DATEVALUE($A189),'recurring1_based on steps'!Q$1:Q$400,0)),Q$2,)</f>
        <v>0</v>
      </c>
      <c r="R189" s="155">
        <f ca="1">IF(ISNUMBER(MATCH(DATEVALUE($A189),'recurring1_based on steps'!R$1:R$400,0)),R$2,)</f>
        <v>0</v>
      </c>
      <c r="S189" s="155">
        <f ca="1">IF(ISNUMBER(MATCH(DATEVALUE($A189),'recurring1_based on steps'!S$1:S$400,0)),S$2,)</f>
        <v>0</v>
      </c>
      <c r="T189" s="155">
        <f ca="1">IF(ISNUMBER(MATCH(DATEVALUE($A189),'recurring1_based on steps'!T$1:T$400,0)),T$2,)</f>
        <v>0</v>
      </c>
      <c r="U189" s="155">
        <f ca="1">IF(ISNUMBER(MATCH(DATEVALUE($A189),'recurring1_based on steps'!U$1:U$400,0)),U$2,)</f>
        <v>0</v>
      </c>
      <c r="V189" s="155">
        <f ca="1">IF(ISNUMBER(MATCH(DATEVALUE($A189),'recurring1_based on steps'!V$1:V$400,0)),V$2,)</f>
        <v>0</v>
      </c>
      <c r="W189" s="155">
        <f ca="1">IF(ISNUMBER(MATCH(DATEVALUE($A189),'recurring1_based on steps'!W$1:W$400,0)),W$2,)</f>
        <v>0</v>
      </c>
      <c r="X189" s="155">
        <f ca="1">IF(ISNUMBER(MATCH(DATEVALUE($A189),'recurring1_based on steps'!X$1:X$400,0)),X$2,)</f>
        <v>0</v>
      </c>
      <c r="Y189" s="155">
        <f ca="1">IF(ISNUMBER(MATCH(DATEVALUE($A189),'recurring1_based on steps'!Y$1:Y$400,0)),Y$2,)</f>
        <v>0</v>
      </c>
      <c r="Z189" s="155">
        <f ca="1">IF(ISNUMBER(MATCH(DATEVALUE($A189),'recurring1_based on steps'!Z$1:Z$400,0)),Z$2,)</f>
        <v>0</v>
      </c>
      <c r="AA189" s="155">
        <f ca="1">IF(ISNUMBER(MATCH(DATEVALUE($A189),'recurring1_based on steps'!AA$1:AA$400,0)),AA$2,)</f>
        <v>0</v>
      </c>
      <c r="AB189" s="155">
        <f ca="1">IF(ISNUMBER(MATCH(DATEVALUE($A189),'recurring1_based on steps'!AB$1:AB$400,0)),AB$2,)</f>
        <v>0</v>
      </c>
      <c r="AC189" s="155">
        <f ca="1">IF(ISNUMBER(MATCH(DATEVALUE($A189),'recurring1_based on steps'!AC$1:AC$400,0)),AC$2,)</f>
        <v>0</v>
      </c>
      <c r="AD189" s="155">
        <f ca="1">IF(ISNUMBER(MATCH(DATEVALUE($A189),'recurring1_based on steps'!AD$1:AD$400,0)),AD$2,)</f>
        <v>0</v>
      </c>
      <c r="AE189" s="155">
        <f ca="1">IF(ISNUMBER(MATCH(DATEVALUE($A189),'recurring1_based on steps'!AE$1:AE$400,0)),AE$2,)</f>
        <v>0</v>
      </c>
      <c r="AF189" s="155">
        <f ca="1">IF(ISNUMBER(MATCH(DATEVALUE($A189),'recurring1_based on steps'!AF$1:AF$400,0)),AF$2,)</f>
        <v>0</v>
      </c>
      <c r="AG189" s="155">
        <f ca="1">IF(ISNUMBER(MATCH(DATEVALUE($A189),'recurring1_based on steps'!AG$1:AG$400,0)),AG$2,)</f>
        <v>0</v>
      </c>
      <c r="AH189" s="155">
        <f ca="1">IF(ISNUMBER(MATCH(DATEVALUE($A189),'recurring1_based on steps'!AH$1:AH$400,0)),AH$2,)</f>
        <v>0</v>
      </c>
      <c r="AI189" s="155">
        <f ca="1">IF(ISNUMBER(MATCH(DATEVALUE($A189),'recurring1_based on steps'!AI$1:AI$400,0)),AI$2,)</f>
        <v>0</v>
      </c>
      <c r="AJ189" s="155">
        <f ca="1">IF(ISNUMBER(MATCH(DATEVALUE($A189),'recurring1_based on steps'!AJ$1:AJ$400,0)),AJ$2,)</f>
        <v>0</v>
      </c>
      <c r="AK189" s="155">
        <f ca="1">IF(ISNUMBER(MATCH(DATEVALUE($A189),'recurring1_based on steps'!AK$1:AK$400,0)),AK$2,)</f>
        <v>0</v>
      </c>
      <c r="AL189" s="155">
        <f ca="1">IF(ISNUMBER(MATCH(DATEVALUE($A189),'recurring1_based on steps'!AL$1:AL$400,0)),AL$2,)</f>
        <v>0</v>
      </c>
      <c r="AM189" s="155">
        <f ca="1">IF(ISNUMBER(MATCH(DATEVALUE($A189),'recurring1_based on steps'!AM$1:AM$400,0)),AM$2,)</f>
        <v>0</v>
      </c>
      <c r="AN189" s="155">
        <f ca="1">IF(ISNUMBER(MATCH(DATEVALUE($A189),'recurring1_based on steps'!AN$1:AN$400,0)),AN$2,)</f>
        <v>0</v>
      </c>
      <c r="AO189" s="155">
        <f ca="1">IF(ISNUMBER(MATCH(DATEVALUE($A189),'recurring1_based on steps'!AO$1:AO$400,0)),AO$2,)</f>
        <v>0</v>
      </c>
      <c r="AP189" s="155">
        <f ca="1">IF(ISNUMBER(MATCH(DATEVALUE($A189),'recurring1_based on steps'!AP$1:AP$400,0)),AP$2,)</f>
        <v>0</v>
      </c>
      <c r="AQ189" s="155">
        <f ca="1">IF(ISNUMBER(MATCH(DATEVALUE($A189),'recurring1_based on steps'!AQ$1:AQ$400,0)),AQ$2,)</f>
        <v>0</v>
      </c>
      <c r="AR189" s="155">
        <f ca="1">IF(ISNUMBER(MATCH(DATEVALUE($A189),'recurring1_based on steps'!AR$1:AR$400,0)),AR$2,)</f>
        <v>0</v>
      </c>
      <c r="AS189" s="155">
        <f ca="1">IF(ISNUMBER(MATCH(DATEVALUE($A189),'recurring1_based on steps'!AS$1:AS$400,0)),AS$2,)</f>
        <v>0</v>
      </c>
      <c r="AT189" s="155">
        <f ca="1">IF(ISNUMBER(MATCH(DATEVALUE($A189),'recurring1_based on steps'!AT$1:AT$400,0)),AT$2,)</f>
        <v>0</v>
      </c>
      <c r="AU189" s="155">
        <f ca="1">IF(ISNUMBER(MATCH(DATEVALUE($A189),'recurring1_based on steps'!AU$1:AU$400,0)),AU$2,)</f>
        <v>0</v>
      </c>
      <c r="AV189" s="155">
        <f ca="1">IF(ISNUMBER(MATCH(DATEVALUE($A189),'recurring1_based on steps'!AV$1:AV$400,0)),AV$2,)</f>
        <v>0</v>
      </c>
      <c r="AW189" s="155">
        <f ca="1">IF(ISNUMBER(MATCH(DATEVALUE($A189),'recurring1_based on steps'!AW$1:AW$400,0)),AW$2,)</f>
        <v>0</v>
      </c>
      <c r="AX189" s="155">
        <f ca="1">IF(ISNUMBER(MATCH(DATEVALUE($A189),'recurring1_based on steps'!AX$1:AX$400,0)),AX$2,)</f>
        <v>0</v>
      </c>
      <c r="AY189" s="155">
        <f ca="1">IF(ISNUMBER(MATCH(DATEVALUE($A189),'recurring1_based on steps'!AY$1:AY$400,0)),AY$2,)</f>
        <v>0</v>
      </c>
    </row>
    <row r="190" spans="1:51" x14ac:dyDescent="0.2">
      <c r="A190" s="18" t="str">
        <f t="shared" ca="1" si="2"/>
        <v>2025-08-07</v>
      </c>
      <c r="B190" s="155">
        <f ca="1">IF(ISNUMBER(MATCH(DATEVALUE($A190),'recurring1_based on steps'!B$1:B$400,0)),B$2,)</f>
        <v>0</v>
      </c>
      <c r="C190" s="155">
        <f ca="1">IF(ISNUMBER(MATCH(DATEVALUE($A190),'recurring1_based on steps'!C$1:C$400,0)),C$2,)</f>
        <v>0</v>
      </c>
      <c r="D190" s="155">
        <f ca="1">IF(ISNUMBER(MATCH(DATEVALUE($A190),'recurring1_based on steps'!D$1:D$400,0)),D$2,)</f>
        <v>0</v>
      </c>
      <c r="E190" s="155">
        <f ca="1">IF(ISNUMBER(MATCH(DATEVALUE($A190),'recurring1_based on steps'!E$1:E$400,0)),E$2,)</f>
        <v>0</v>
      </c>
      <c r="F190" s="155">
        <f ca="1">IF(ISNUMBER(MATCH(DATEVALUE($A190),'recurring1_based on steps'!F$1:F$400,0)),F$2,)</f>
        <v>0</v>
      </c>
      <c r="G190" s="155">
        <f ca="1">IF(ISNUMBER(MATCH(DATEVALUE($A190),'recurring1_based on steps'!G$1:G$400,0)),G$2,)</f>
        <v>0</v>
      </c>
      <c r="H190" s="155">
        <f ca="1">IF(ISNUMBER(MATCH(DATEVALUE($A190),'recurring1_based on steps'!H$1:H$400,0)),H$2,)</f>
        <v>0</v>
      </c>
      <c r="I190" s="155">
        <f ca="1">IF(ISNUMBER(MATCH(DATEVALUE($A190),'recurring1_based on steps'!I$1:I$400,0)),I$2,)</f>
        <v>0</v>
      </c>
      <c r="J190" s="155">
        <f ca="1">IF(ISNUMBER(MATCH(DATEVALUE($A190),'recurring1_based on steps'!J$1:J$400,0)),J$2,)</f>
        <v>0</v>
      </c>
      <c r="K190" s="155">
        <f ca="1">IF(ISNUMBER(MATCH(DATEVALUE($A190),'recurring1_based on steps'!K$1:K$400,0)),K$2,)</f>
        <v>0</v>
      </c>
      <c r="L190" s="155">
        <f ca="1">IF(ISNUMBER(MATCH(DATEVALUE($A190),'recurring1_based on steps'!L$1:L$400,0)),L$2,)</f>
        <v>0</v>
      </c>
      <c r="M190" s="155">
        <f ca="1">IF(ISNUMBER(MATCH(DATEVALUE($A190),'recurring1_based on steps'!M$1:M$400,0)),M$2,)</f>
        <v>0</v>
      </c>
      <c r="N190" s="155">
        <f ca="1">IF(ISNUMBER(MATCH(DATEVALUE($A190),'recurring1_based on steps'!N$1:N$400,0)),N$2,)</f>
        <v>0</v>
      </c>
      <c r="O190" s="155">
        <f ca="1">IF(ISNUMBER(MATCH(DATEVALUE($A190),'recurring1_based on steps'!O$1:O$400,0)),O$2,)</f>
        <v>0</v>
      </c>
      <c r="P190" s="155">
        <f ca="1">IF(ISNUMBER(MATCH(DATEVALUE($A190),'recurring1_based on steps'!P$1:P$400,0)),P$2,)</f>
        <v>0</v>
      </c>
      <c r="Q190" s="155">
        <f ca="1">IF(ISNUMBER(MATCH(DATEVALUE($A190),'recurring1_based on steps'!Q$1:Q$400,0)),Q$2,)</f>
        <v>0</v>
      </c>
      <c r="R190" s="155">
        <f ca="1">IF(ISNUMBER(MATCH(DATEVALUE($A190),'recurring1_based on steps'!R$1:R$400,0)),R$2,)</f>
        <v>0</v>
      </c>
      <c r="S190" s="155">
        <f ca="1">IF(ISNUMBER(MATCH(DATEVALUE($A190),'recurring1_based on steps'!S$1:S$400,0)),S$2,)</f>
        <v>0</v>
      </c>
      <c r="T190" s="155">
        <f ca="1">IF(ISNUMBER(MATCH(DATEVALUE($A190),'recurring1_based on steps'!T$1:T$400,0)),T$2,)</f>
        <v>0</v>
      </c>
      <c r="U190" s="155">
        <f ca="1">IF(ISNUMBER(MATCH(DATEVALUE($A190),'recurring1_based on steps'!U$1:U$400,0)),U$2,)</f>
        <v>0</v>
      </c>
      <c r="V190" s="155">
        <f ca="1">IF(ISNUMBER(MATCH(DATEVALUE($A190),'recurring1_based on steps'!V$1:V$400,0)),V$2,)</f>
        <v>0</v>
      </c>
      <c r="W190" s="155">
        <f ca="1">IF(ISNUMBER(MATCH(DATEVALUE($A190),'recurring1_based on steps'!W$1:W$400,0)),W$2,)</f>
        <v>0</v>
      </c>
      <c r="X190" s="155">
        <f ca="1">IF(ISNUMBER(MATCH(DATEVALUE($A190),'recurring1_based on steps'!X$1:X$400,0)),X$2,)</f>
        <v>0</v>
      </c>
      <c r="Y190" s="155">
        <f ca="1">IF(ISNUMBER(MATCH(DATEVALUE($A190),'recurring1_based on steps'!Y$1:Y$400,0)),Y$2,)</f>
        <v>0</v>
      </c>
      <c r="Z190" s="155">
        <f ca="1">IF(ISNUMBER(MATCH(DATEVALUE($A190),'recurring1_based on steps'!Z$1:Z$400,0)),Z$2,)</f>
        <v>0</v>
      </c>
      <c r="AA190" s="155">
        <f ca="1">IF(ISNUMBER(MATCH(DATEVALUE($A190),'recurring1_based on steps'!AA$1:AA$400,0)),AA$2,)</f>
        <v>0</v>
      </c>
      <c r="AB190" s="155">
        <f ca="1">IF(ISNUMBER(MATCH(DATEVALUE($A190),'recurring1_based on steps'!AB$1:AB$400,0)),AB$2,)</f>
        <v>0</v>
      </c>
      <c r="AC190" s="155">
        <f ca="1">IF(ISNUMBER(MATCH(DATEVALUE($A190),'recurring1_based on steps'!AC$1:AC$400,0)),AC$2,)</f>
        <v>0</v>
      </c>
      <c r="AD190" s="155">
        <f ca="1">IF(ISNUMBER(MATCH(DATEVALUE($A190),'recurring1_based on steps'!AD$1:AD$400,0)),AD$2,)</f>
        <v>0</v>
      </c>
      <c r="AE190" s="155">
        <f ca="1">IF(ISNUMBER(MATCH(DATEVALUE($A190),'recurring1_based on steps'!AE$1:AE$400,0)),AE$2,)</f>
        <v>0</v>
      </c>
      <c r="AF190" s="155">
        <f ca="1">IF(ISNUMBER(MATCH(DATEVALUE($A190),'recurring1_based on steps'!AF$1:AF$400,0)),AF$2,)</f>
        <v>0</v>
      </c>
      <c r="AG190" s="155">
        <f ca="1">IF(ISNUMBER(MATCH(DATEVALUE($A190),'recurring1_based on steps'!AG$1:AG$400,0)),AG$2,)</f>
        <v>0</v>
      </c>
      <c r="AH190" s="155">
        <f ca="1">IF(ISNUMBER(MATCH(DATEVALUE($A190),'recurring1_based on steps'!AH$1:AH$400,0)),AH$2,)</f>
        <v>0</v>
      </c>
      <c r="AI190" s="155">
        <f ca="1">IF(ISNUMBER(MATCH(DATEVALUE($A190),'recurring1_based on steps'!AI$1:AI$400,0)),AI$2,)</f>
        <v>0</v>
      </c>
      <c r="AJ190" s="155">
        <f ca="1">IF(ISNUMBER(MATCH(DATEVALUE($A190),'recurring1_based on steps'!AJ$1:AJ$400,0)),AJ$2,)</f>
        <v>0</v>
      </c>
      <c r="AK190" s="155">
        <f ca="1">IF(ISNUMBER(MATCH(DATEVALUE($A190),'recurring1_based on steps'!AK$1:AK$400,0)),AK$2,)</f>
        <v>0</v>
      </c>
      <c r="AL190" s="155">
        <f ca="1">IF(ISNUMBER(MATCH(DATEVALUE($A190),'recurring1_based on steps'!AL$1:AL$400,0)),AL$2,)</f>
        <v>0</v>
      </c>
      <c r="AM190" s="155">
        <f ca="1">IF(ISNUMBER(MATCH(DATEVALUE($A190),'recurring1_based on steps'!AM$1:AM$400,0)),AM$2,)</f>
        <v>0</v>
      </c>
      <c r="AN190" s="155">
        <f ca="1">IF(ISNUMBER(MATCH(DATEVALUE($A190),'recurring1_based on steps'!AN$1:AN$400,0)),AN$2,)</f>
        <v>0</v>
      </c>
      <c r="AO190" s="155">
        <f ca="1">IF(ISNUMBER(MATCH(DATEVALUE($A190),'recurring1_based on steps'!AO$1:AO$400,0)),AO$2,)</f>
        <v>0</v>
      </c>
      <c r="AP190" s="155">
        <f ca="1">IF(ISNUMBER(MATCH(DATEVALUE($A190),'recurring1_based on steps'!AP$1:AP$400,0)),AP$2,)</f>
        <v>0</v>
      </c>
      <c r="AQ190" s="155">
        <f ca="1">IF(ISNUMBER(MATCH(DATEVALUE($A190),'recurring1_based on steps'!AQ$1:AQ$400,0)),AQ$2,)</f>
        <v>0</v>
      </c>
      <c r="AR190" s="155">
        <f ca="1">IF(ISNUMBER(MATCH(DATEVALUE($A190),'recurring1_based on steps'!AR$1:AR$400,0)),AR$2,)</f>
        <v>0</v>
      </c>
      <c r="AS190" s="155">
        <f ca="1">IF(ISNUMBER(MATCH(DATEVALUE($A190),'recurring1_based on steps'!AS$1:AS$400,0)),AS$2,)</f>
        <v>0</v>
      </c>
      <c r="AT190" s="155">
        <f ca="1">IF(ISNUMBER(MATCH(DATEVALUE($A190),'recurring1_based on steps'!AT$1:AT$400,0)),AT$2,)</f>
        <v>0</v>
      </c>
      <c r="AU190" s="155">
        <f ca="1">IF(ISNUMBER(MATCH(DATEVALUE($A190),'recurring1_based on steps'!AU$1:AU$400,0)),AU$2,)</f>
        <v>0</v>
      </c>
      <c r="AV190" s="155">
        <f ca="1">IF(ISNUMBER(MATCH(DATEVALUE($A190),'recurring1_based on steps'!AV$1:AV$400,0)),AV$2,)</f>
        <v>0</v>
      </c>
      <c r="AW190" s="155">
        <f ca="1">IF(ISNUMBER(MATCH(DATEVALUE($A190),'recurring1_based on steps'!AW$1:AW$400,0)),AW$2,)</f>
        <v>0</v>
      </c>
      <c r="AX190" s="155">
        <f ca="1">IF(ISNUMBER(MATCH(DATEVALUE($A190),'recurring1_based on steps'!AX$1:AX$400,0)),AX$2,)</f>
        <v>0</v>
      </c>
      <c r="AY190" s="155">
        <f ca="1">IF(ISNUMBER(MATCH(DATEVALUE($A190),'recurring1_based on steps'!AY$1:AY$400,0)),AY$2,)</f>
        <v>0</v>
      </c>
    </row>
    <row r="191" spans="1:51" x14ac:dyDescent="0.2">
      <c r="A191" s="18" t="str">
        <f t="shared" ca="1" si="2"/>
        <v>2025-08-08</v>
      </c>
      <c r="B191" s="155">
        <f ca="1">IF(ISNUMBER(MATCH(DATEVALUE($A191),'recurring1_based on steps'!B$1:B$400,0)),B$2,)</f>
        <v>4000</v>
      </c>
      <c r="C191" s="155">
        <f ca="1">IF(ISNUMBER(MATCH(DATEVALUE($A191),'recurring1_based on steps'!C$1:C$400,0)),C$2,)</f>
        <v>200</v>
      </c>
      <c r="D191" s="155">
        <f ca="1">IF(ISNUMBER(MATCH(DATEVALUE($A191),'recurring1_based on steps'!D$1:D$400,0)),D$2,)</f>
        <v>2</v>
      </c>
      <c r="E191" s="155">
        <f ca="1">IF(ISNUMBER(MATCH(DATEVALUE($A191),'recurring1_based on steps'!E$1:E$400,0)),E$2,)</f>
        <v>40</v>
      </c>
      <c r="F191" s="155">
        <f ca="1">IF(ISNUMBER(MATCH(DATEVALUE($A191),'recurring1_based on steps'!F$1:F$400,0)),F$2,)</f>
        <v>50</v>
      </c>
      <c r="G191" s="155">
        <f ca="1">IF(ISNUMBER(MATCH(DATEVALUE($A191),'recurring1_based on steps'!G$1:G$400,0)),G$2,)</f>
        <v>4</v>
      </c>
      <c r="H191" s="155">
        <f ca="1">IF(ISNUMBER(MATCH(DATEVALUE($A191),'recurring1_based on steps'!H$1:H$400,0)),H$2,)</f>
        <v>0</v>
      </c>
      <c r="I191" s="155">
        <f ca="1">IF(ISNUMBER(MATCH(DATEVALUE($A191),'recurring1_based on steps'!I$1:I$400,0)),I$2,)</f>
        <v>0</v>
      </c>
      <c r="J191" s="155">
        <f ca="1">IF(ISNUMBER(MATCH(DATEVALUE($A191),'recurring1_based on steps'!J$1:J$400,0)),J$2,)</f>
        <v>0</v>
      </c>
      <c r="K191" s="155">
        <f ca="1">IF(ISNUMBER(MATCH(DATEVALUE($A191),'recurring1_based on steps'!K$1:K$400,0)),K$2,)</f>
        <v>0</v>
      </c>
      <c r="L191" s="155">
        <f ca="1">IF(ISNUMBER(MATCH(DATEVALUE($A191),'recurring1_based on steps'!L$1:L$400,0)),L$2,)</f>
        <v>0</v>
      </c>
      <c r="M191" s="155">
        <f ca="1">IF(ISNUMBER(MATCH(DATEVALUE($A191),'recurring1_based on steps'!M$1:M$400,0)),M$2,)</f>
        <v>0</v>
      </c>
      <c r="N191" s="155">
        <f ca="1">IF(ISNUMBER(MATCH(DATEVALUE($A191),'recurring1_based on steps'!N$1:N$400,0)),N$2,)</f>
        <v>0</v>
      </c>
      <c r="O191" s="155">
        <f ca="1">IF(ISNUMBER(MATCH(DATEVALUE($A191),'recurring1_based on steps'!O$1:O$400,0)),O$2,)</f>
        <v>0</v>
      </c>
      <c r="P191" s="155">
        <f ca="1">IF(ISNUMBER(MATCH(DATEVALUE($A191),'recurring1_based on steps'!P$1:P$400,0)),P$2,)</f>
        <v>0</v>
      </c>
      <c r="Q191" s="155">
        <f ca="1">IF(ISNUMBER(MATCH(DATEVALUE($A191),'recurring1_based on steps'!Q$1:Q$400,0)),Q$2,)</f>
        <v>0</v>
      </c>
      <c r="R191" s="155">
        <f ca="1">IF(ISNUMBER(MATCH(DATEVALUE($A191),'recurring1_based on steps'!R$1:R$400,0)),R$2,)</f>
        <v>0</v>
      </c>
      <c r="S191" s="155">
        <f ca="1">IF(ISNUMBER(MATCH(DATEVALUE($A191),'recurring1_based on steps'!S$1:S$400,0)),S$2,)</f>
        <v>0</v>
      </c>
      <c r="T191" s="155">
        <f ca="1">IF(ISNUMBER(MATCH(DATEVALUE($A191),'recurring1_based on steps'!T$1:T$400,0)),T$2,)</f>
        <v>0</v>
      </c>
      <c r="U191" s="155">
        <f ca="1">IF(ISNUMBER(MATCH(DATEVALUE($A191),'recurring1_based on steps'!U$1:U$400,0)),U$2,)</f>
        <v>0</v>
      </c>
      <c r="V191" s="155">
        <f ca="1">IF(ISNUMBER(MATCH(DATEVALUE($A191),'recurring1_based on steps'!V$1:V$400,0)),V$2,)</f>
        <v>0</v>
      </c>
      <c r="W191" s="155">
        <f ca="1">IF(ISNUMBER(MATCH(DATEVALUE($A191),'recurring1_based on steps'!W$1:W$400,0)),W$2,)</f>
        <v>0</v>
      </c>
      <c r="X191" s="155">
        <f ca="1">IF(ISNUMBER(MATCH(DATEVALUE($A191),'recurring1_based on steps'!X$1:X$400,0)),X$2,)</f>
        <v>50</v>
      </c>
      <c r="Y191" s="155">
        <f ca="1">IF(ISNUMBER(MATCH(DATEVALUE($A191),'recurring1_based on steps'!Y$1:Y$400,0)),Y$2,)</f>
        <v>0</v>
      </c>
      <c r="Z191" s="155">
        <f ca="1">IF(ISNUMBER(MATCH(DATEVALUE($A191),'recurring1_based on steps'!Z$1:Z$400,0)),Z$2,)</f>
        <v>0</v>
      </c>
      <c r="AA191" s="155">
        <f ca="1">IF(ISNUMBER(MATCH(DATEVALUE($A191),'recurring1_based on steps'!AA$1:AA$400,0)),AA$2,)</f>
        <v>0</v>
      </c>
      <c r="AB191" s="155">
        <f ca="1">IF(ISNUMBER(MATCH(DATEVALUE($A191),'recurring1_based on steps'!AB$1:AB$400,0)),AB$2,)</f>
        <v>0</v>
      </c>
      <c r="AC191" s="155">
        <f ca="1">IF(ISNUMBER(MATCH(DATEVALUE($A191),'recurring1_based on steps'!AC$1:AC$400,0)),AC$2,)</f>
        <v>0</v>
      </c>
      <c r="AD191" s="155">
        <f ca="1">IF(ISNUMBER(MATCH(DATEVALUE($A191),'recurring1_based on steps'!AD$1:AD$400,0)),AD$2,)</f>
        <v>0</v>
      </c>
      <c r="AE191" s="155">
        <f ca="1">IF(ISNUMBER(MATCH(DATEVALUE($A191),'recurring1_based on steps'!AE$1:AE$400,0)),AE$2,)</f>
        <v>0</v>
      </c>
      <c r="AF191" s="155">
        <f ca="1">IF(ISNUMBER(MATCH(DATEVALUE($A191),'recurring1_based on steps'!AF$1:AF$400,0)),AF$2,)</f>
        <v>0</v>
      </c>
      <c r="AG191" s="155">
        <f ca="1">IF(ISNUMBER(MATCH(DATEVALUE($A191),'recurring1_based on steps'!AG$1:AG$400,0)),AG$2,)</f>
        <v>0</v>
      </c>
      <c r="AH191" s="155">
        <f ca="1">IF(ISNUMBER(MATCH(DATEVALUE($A191),'recurring1_based on steps'!AH$1:AH$400,0)),AH$2,)</f>
        <v>0</v>
      </c>
      <c r="AI191" s="155">
        <f ca="1">IF(ISNUMBER(MATCH(DATEVALUE($A191),'recurring1_based on steps'!AI$1:AI$400,0)),AI$2,)</f>
        <v>0</v>
      </c>
      <c r="AJ191" s="155">
        <f ca="1">IF(ISNUMBER(MATCH(DATEVALUE($A191),'recurring1_based on steps'!AJ$1:AJ$400,0)),AJ$2,)</f>
        <v>0</v>
      </c>
      <c r="AK191" s="155">
        <f ca="1">IF(ISNUMBER(MATCH(DATEVALUE($A191),'recurring1_based on steps'!AK$1:AK$400,0)),AK$2,)</f>
        <v>0</v>
      </c>
      <c r="AL191" s="155">
        <f ca="1">IF(ISNUMBER(MATCH(DATEVALUE($A191),'recurring1_based on steps'!AL$1:AL$400,0)),AL$2,)</f>
        <v>0</v>
      </c>
      <c r="AM191" s="155">
        <f ca="1">IF(ISNUMBER(MATCH(DATEVALUE($A191),'recurring1_based on steps'!AM$1:AM$400,0)),AM$2,)</f>
        <v>0</v>
      </c>
      <c r="AN191" s="155">
        <f ca="1">IF(ISNUMBER(MATCH(DATEVALUE($A191),'recurring1_based on steps'!AN$1:AN$400,0)),AN$2,)</f>
        <v>0</v>
      </c>
      <c r="AO191" s="155">
        <f ca="1">IF(ISNUMBER(MATCH(DATEVALUE($A191),'recurring1_based on steps'!AO$1:AO$400,0)),AO$2,)</f>
        <v>0</v>
      </c>
      <c r="AP191" s="155">
        <f ca="1">IF(ISNUMBER(MATCH(DATEVALUE($A191),'recurring1_based on steps'!AP$1:AP$400,0)),AP$2,)</f>
        <v>0</v>
      </c>
      <c r="AQ191" s="155">
        <f ca="1">IF(ISNUMBER(MATCH(DATEVALUE($A191),'recurring1_based on steps'!AQ$1:AQ$400,0)),AQ$2,)</f>
        <v>0</v>
      </c>
      <c r="AR191" s="155">
        <f ca="1">IF(ISNUMBER(MATCH(DATEVALUE($A191),'recurring1_based on steps'!AR$1:AR$400,0)),AR$2,)</f>
        <v>0</v>
      </c>
      <c r="AS191" s="155">
        <f ca="1">IF(ISNUMBER(MATCH(DATEVALUE($A191),'recurring1_based on steps'!AS$1:AS$400,0)),AS$2,)</f>
        <v>0</v>
      </c>
      <c r="AT191" s="155">
        <f ca="1">IF(ISNUMBER(MATCH(DATEVALUE($A191),'recurring1_based on steps'!AT$1:AT$400,0)),AT$2,)</f>
        <v>0</v>
      </c>
      <c r="AU191" s="155">
        <f ca="1">IF(ISNUMBER(MATCH(DATEVALUE($A191),'recurring1_based on steps'!AU$1:AU$400,0)),AU$2,)</f>
        <v>0</v>
      </c>
      <c r="AV191" s="155">
        <f ca="1">IF(ISNUMBER(MATCH(DATEVALUE($A191),'recurring1_based on steps'!AV$1:AV$400,0)),AV$2,)</f>
        <v>0</v>
      </c>
      <c r="AW191" s="155">
        <f ca="1">IF(ISNUMBER(MATCH(DATEVALUE($A191),'recurring1_based on steps'!AW$1:AW$400,0)),AW$2,)</f>
        <v>0</v>
      </c>
      <c r="AX191" s="155">
        <f ca="1">IF(ISNUMBER(MATCH(DATEVALUE($A191),'recurring1_based on steps'!AX$1:AX$400,0)),AX$2,)</f>
        <v>0</v>
      </c>
      <c r="AY191" s="155">
        <f ca="1">IF(ISNUMBER(MATCH(DATEVALUE($A191),'recurring1_based on steps'!AY$1:AY$400,0)),AY$2,)</f>
        <v>0</v>
      </c>
    </row>
    <row r="192" spans="1:51" x14ac:dyDescent="0.2">
      <c r="A192" s="18" t="str">
        <f t="shared" ca="1" si="2"/>
        <v>2025-08-09</v>
      </c>
      <c r="B192" s="155">
        <f ca="1">IF(ISNUMBER(MATCH(DATEVALUE($A192),'recurring1_based on steps'!B$1:B$400,0)),B$2,)</f>
        <v>0</v>
      </c>
      <c r="C192" s="155">
        <f ca="1">IF(ISNUMBER(MATCH(DATEVALUE($A192),'recurring1_based on steps'!C$1:C$400,0)),C$2,)</f>
        <v>0</v>
      </c>
      <c r="D192" s="155">
        <f ca="1">IF(ISNUMBER(MATCH(DATEVALUE($A192),'recurring1_based on steps'!D$1:D$400,0)),D$2,)</f>
        <v>0</v>
      </c>
      <c r="E192" s="155">
        <f ca="1">IF(ISNUMBER(MATCH(DATEVALUE($A192),'recurring1_based on steps'!E$1:E$400,0)),E$2,)</f>
        <v>0</v>
      </c>
      <c r="F192" s="155">
        <f ca="1">IF(ISNUMBER(MATCH(DATEVALUE($A192),'recurring1_based on steps'!F$1:F$400,0)),F$2,)</f>
        <v>0</v>
      </c>
      <c r="G192" s="155">
        <f ca="1">IF(ISNUMBER(MATCH(DATEVALUE($A192),'recurring1_based on steps'!G$1:G$400,0)),G$2,)</f>
        <v>0</v>
      </c>
      <c r="H192" s="155">
        <f ca="1">IF(ISNUMBER(MATCH(DATEVALUE($A192),'recurring1_based on steps'!H$1:H$400,0)),H$2,)</f>
        <v>0</v>
      </c>
      <c r="I192" s="155">
        <f ca="1">IF(ISNUMBER(MATCH(DATEVALUE($A192),'recurring1_based on steps'!I$1:I$400,0)),I$2,)</f>
        <v>0</v>
      </c>
      <c r="J192" s="155">
        <f ca="1">IF(ISNUMBER(MATCH(DATEVALUE($A192),'recurring1_based on steps'!J$1:J$400,0)),J$2,)</f>
        <v>0</v>
      </c>
      <c r="K192" s="155">
        <f ca="1">IF(ISNUMBER(MATCH(DATEVALUE($A192),'recurring1_based on steps'!K$1:K$400,0)),K$2,)</f>
        <v>0</v>
      </c>
      <c r="L192" s="155">
        <f ca="1">IF(ISNUMBER(MATCH(DATEVALUE($A192),'recurring1_based on steps'!L$1:L$400,0)),L$2,)</f>
        <v>0</v>
      </c>
      <c r="M192" s="155">
        <f ca="1">IF(ISNUMBER(MATCH(DATEVALUE($A192),'recurring1_based on steps'!M$1:M$400,0)),M$2,)</f>
        <v>0</v>
      </c>
      <c r="N192" s="155">
        <f ca="1">IF(ISNUMBER(MATCH(DATEVALUE($A192),'recurring1_based on steps'!N$1:N$400,0)),N$2,)</f>
        <v>0</v>
      </c>
      <c r="O192" s="155">
        <f ca="1">IF(ISNUMBER(MATCH(DATEVALUE($A192),'recurring1_based on steps'!O$1:O$400,0)),O$2,)</f>
        <v>0</v>
      </c>
      <c r="P192" s="155">
        <f ca="1">IF(ISNUMBER(MATCH(DATEVALUE($A192),'recurring1_based on steps'!P$1:P$400,0)),P$2,)</f>
        <v>0</v>
      </c>
      <c r="Q192" s="155">
        <f ca="1">IF(ISNUMBER(MATCH(DATEVALUE($A192),'recurring1_based on steps'!Q$1:Q$400,0)),Q$2,)</f>
        <v>100</v>
      </c>
      <c r="R192" s="155">
        <f ca="1">IF(ISNUMBER(MATCH(DATEVALUE($A192),'recurring1_based on steps'!R$1:R$400,0)),R$2,)</f>
        <v>100</v>
      </c>
      <c r="S192" s="155">
        <f ca="1">IF(ISNUMBER(MATCH(DATEVALUE($A192),'recurring1_based on steps'!S$1:S$400,0)),S$2,)</f>
        <v>0</v>
      </c>
      <c r="T192" s="155">
        <f ca="1">IF(ISNUMBER(MATCH(DATEVALUE($A192),'recurring1_based on steps'!T$1:T$400,0)),T$2,)</f>
        <v>0</v>
      </c>
      <c r="U192" s="155">
        <f ca="1">IF(ISNUMBER(MATCH(DATEVALUE($A192),'recurring1_based on steps'!U$1:U$400,0)),U$2,)</f>
        <v>0</v>
      </c>
      <c r="V192" s="155">
        <f ca="1">IF(ISNUMBER(MATCH(DATEVALUE($A192),'recurring1_based on steps'!V$1:V$400,0)),V$2,)</f>
        <v>0</v>
      </c>
      <c r="W192" s="155">
        <f ca="1">IF(ISNUMBER(MATCH(DATEVALUE($A192),'recurring1_based on steps'!W$1:W$400,0)),W$2,)</f>
        <v>0</v>
      </c>
      <c r="X192" s="155">
        <f ca="1">IF(ISNUMBER(MATCH(DATEVALUE($A192),'recurring1_based on steps'!X$1:X$400,0)),X$2,)</f>
        <v>0</v>
      </c>
      <c r="Y192" s="155">
        <f ca="1">IF(ISNUMBER(MATCH(DATEVALUE($A192),'recurring1_based on steps'!Y$1:Y$400,0)),Y$2,)</f>
        <v>0</v>
      </c>
      <c r="Z192" s="155">
        <f ca="1">IF(ISNUMBER(MATCH(DATEVALUE($A192),'recurring1_based on steps'!Z$1:Z$400,0)),Z$2,)</f>
        <v>0</v>
      </c>
      <c r="AA192" s="155">
        <f ca="1">IF(ISNUMBER(MATCH(DATEVALUE($A192),'recurring1_based on steps'!AA$1:AA$400,0)),AA$2,)</f>
        <v>0</v>
      </c>
      <c r="AB192" s="155">
        <f ca="1">IF(ISNUMBER(MATCH(DATEVALUE($A192),'recurring1_based on steps'!AB$1:AB$400,0)),AB$2,)</f>
        <v>0</v>
      </c>
      <c r="AC192" s="155">
        <f ca="1">IF(ISNUMBER(MATCH(DATEVALUE($A192),'recurring1_based on steps'!AC$1:AC$400,0)),AC$2,)</f>
        <v>0</v>
      </c>
      <c r="AD192" s="155">
        <f ca="1">IF(ISNUMBER(MATCH(DATEVALUE($A192),'recurring1_based on steps'!AD$1:AD$400,0)),AD$2,)</f>
        <v>0</v>
      </c>
      <c r="AE192" s="155">
        <f ca="1">IF(ISNUMBER(MATCH(DATEVALUE($A192),'recurring1_based on steps'!AE$1:AE$400,0)),AE$2,)</f>
        <v>0</v>
      </c>
      <c r="AF192" s="155">
        <f ca="1">IF(ISNUMBER(MATCH(DATEVALUE($A192),'recurring1_based on steps'!AF$1:AF$400,0)),AF$2,)</f>
        <v>0</v>
      </c>
      <c r="AG192" s="155">
        <f ca="1">IF(ISNUMBER(MATCH(DATEVALUE($A192),'recurring1_based on steps'!AG$1:AG$400,0)),AG$2,)</f>
        <v>0</v>
      </c>
      <c r="AH192" s="155">
        <f ca="1">IF(ISNUMBER(MATCH(DATEVALUE($A192),'recurring1_based on steps'!AH$1:AH$400,0)),AH$2,)</f>
        <v>0</v>
      </c>
      <c r="AI192" s="155">
        <f ca="1">IF(ISNUMBER(MATCH(DATEVALUE($A192),'recurring1_based on steps'!AI$1:AI$400,0)),AI$2,)</f>
        <v>0</v>
      </c>
      <c r="AJ192" s="155">
        <f ca="1">IF(ISNUMBER(MATCH(DATEVALUE($A192),'recurring1_based on steps'!AJ$1:AJ$400,0)),AJ$2,)</f>
        <v>0</v>
      </c>
      <c r="AK192" s="155">
        <f ca="1">IF(ISNUMBER(MATCH(DATEVALUE($A192),'recurring1_based on steps'!AK$1:AK$400,0)),AK$2,)</f>
        <v>0</v>
      </c>
      <c r="AL192" s="155">
        <f ca="1">IF(ISNUMBER(MATCH(DATEVALUE($A192),'recurring1_based on steps'!AL$1:AL$400,0)),AL$2,)</f>
        <v>0</v>
      </c>
      <c r="AM192" s="155">
        <f ca="1">IF(ISNUMBER(MATCH(DATEVALUE($A192),'recurring1_based on steps'!AM$1:AM$400,0)),AM$2,)</f>
        <v>0</v>
      </c>
      <c r="AN192" s="155">
        <f ca="1">IF(ISNUMBER(MATCH(DATEVALUE($A192),'recurring1_based on steps'!AN$1:AN$400,0)),AN$2,)</f>
        <v>0</v>
      </c>
      <c r="AO192" s="155">
        <f ca="1">IF(ISNUMBER(MATCH(DATEVALUE($A192),'recurring1_based on steps'!AO$1:AO$400,0)),AO$2,)</f>
        <v>0</v>
      </c>
      <c r="AP192" s="155">
        <f ca="1">IF(ISNUMBER(MATCH(DATEVALUE($A192),'recurring1_based on steps'!AP$1:AP$400,0)),AP$2,)</f>
        <v>0</v>
      </c>
      <c r="AQ192" s="155">
        <f ca="1">IF(ISNUMBER(MATCH(DATEVALUE($A192),'recurring1_based on steps'!AQ$1:AQ$400,0)),AQ$2,)</f>
        <v>0</v>
      </c>
      <c r="AR192" s="155">
        <f ca="1">IF(ISNUMBER(MATCH(DATEVALUE($A192),'recurring1_based on steps'!AR$1:AR$400,0)),AR$2,)</f>
        <v>0</v>
      </c>
      <c r="AS192" s="155">
        <f ca="1">IF(ISNUMBER(MATCH(DATEVALUE($A192),'recurring1_based on steps'!AS$1:AS$400,0)),AS$2,)</f>
        <v>0</v>
      </c>
      <c r="AT192" s="155">
        <f ca="1">IF(ISNUMBER(MATCH(DATEVALUE($A192),'recurring1_based on steps'!AT$1:AT$400,0)),AT$2,)</f>
        <v>0</v>
      </c>
      <c r="AU192" s="155">
        <f ca="1">IF(ISNUMBER(MATCH(DATEVALUE($A192),'recurring1_based on steps'!AU$1:AU$400,0)),AU$2,)</f>
        <v>0</v>
      </c>
      <c r="AV192" s="155">
        <f ca="1">IF(ISNUMBER(MATCH(DATEVALUE($A192),'recurring1_based on steps'!AV$1:AV$400,0)),AV$2,)</f>
        <v>0</v>
      </c>
      <c r="AW192" s="155">
        <f ca="1">IF(ISNUMBER(MATCH(DATEVALUE($A192),'recurring1_based on steps'!AW$1:AW$400,0)),AW$2,)</f>
        <v>0</v>
      </c>
      <c r="AX192" s="155">
        <f ca="1">IF(ISNUMBER(MATCH(DATEVALUE($A192),'recurring1_based on steps'!AX$1:AX$400,0)),AX$2,)</f>
        <v>0</v>
      </c>
      <c r="AY192" s="155">
        <f ca="1">IF(ISNUMBER(MATCH(DATEVALUE($A192),'recurring1_based on steps'!AY$1:AY$400,0)),AY$2,)</f>
        <v>0</v>
      </c>
    </row>
    <row r="193" spans="1:51" x14ac:dyDescent="0.2">
      <c r="A193" s="18" t="str">
        <f t="shared" ca="1" si="2"/>
        <v>2025-08-10</v>
      </c>
      <c r="B193" s="155">
        <f ca="1">IF(ISNUMBER(MATCH(DATEVALUE($A193),'recurring1_based on steps'!B$1:B$400,0)),B$2,)</f>
        <v>0</v>
      </c>
      <c r="C193" s="155">
        <f ca="1">IF(ISNUMBER(MATCH(DATEVALUE($A193),'recurring1_based on steps'!C$1:C$400,0)),C$2,)</f>
        <v>0</v>
      </c>
      <c r="D193" s="155">
        <f ca="1">IF(ISNUMBER(MATCH(DATEVALUE($A193),'recurring1_based on steps'!D$1:D$400,0)),D$2,)</f>
        <v>0</v>
      </c>
      <c r="E193" s="155">
        <f ca="1">IF(ISNUMBER(MATCH(DATEVALUE($A193),'recurring1_based on steps'!E$1:E$400,0)),E$2,)</f>
        <v>0</v>
      </c>
      <c r="F193" s="155">
        <f ca="1">IF(ISNUMBER(MATCH(DATEVALUE($A193),'recurring1_based on steps'!F$1:F$400,0)),F$2,)</f>
        <v>0</v>
      </c>
      <c r="G193" s="155">
        <f ca="1">IF(ISNUMBER(MATCH(DATEVALUE($A193),'recurring1_based on steps'!G$1:G$400,0)),G$2,)</f>
        <v>0</v>
      </c>
      <c r="H193" s="155">
        <f ca="1">IF(ISNUMBER(MATCH(DATEVALUE($A193),'recurring1_based on steps'!H$1:H$400,0)),H$2,)</f>
        <v>0</v>
      </c>
      <c r="I193" s="155">
        <f ca="1">IF(ISNUMBER(MATCH(DATEVALUE($A193),'recurring1_based on steps'!I$1:I$400,0)),I$2,)</f>
        <v>0</v>
      </c>
      <c r="J193" s="155">
        <f ca="1">IF(ISNUMBER(MATCH(DATEVALUE($A193),'recurring1_based on steps'!J$1:J$400,0)),J$2,)</f>
        <v>0</v>
      </c>
      <c r="K193" s="155">
        <f ca="1">IF(ISNUMBER(MATCH(DATEVALUE($A193),'recurring1_based on steps'!K$1:K$400,0)),K$2,)</f>
        <v>50</v>
      </c>
      <c r="L193" s="155">
        <f ca="1">IF(ISNUMBER(MATCH(DATEVALUE($A193),'recurring1_based on steps'!L$1:L$400,0)),L$2,)</f>
        <v>0</v>
      </c>
      <c r="M193" s="155">
        <f ca="1">IF(ISNUMBER(MATCH(DATEVALUE($A193),'recurring1_based on steps'!M$1:M$400,0)),M$2,)</f>
        <v>0</v>
      </c>
      <c r="N193" s="155">
        <f ca="1">IF(ISNUMBER(MATCH(DATEVALUE($A193),'recurring1_based on steps'!N$1:N$400,0)),N$2,)</f>
        <v>0</v>
      </c>
      <c r="O193" s="155">
        <f ca="1">IF(ISNUMBER(MATCH(DATEVALUE($A193),'recurring1_based on steps'!O$1:O$400,0)),O$2,)</f>
        <v>0</v>
      </c>
      <c r="P193" s="155">
        <f ca="1">IF(ISNUMBER(MATCH(DATEVALUE($A193),'recurring1_based on steps'!P$1:P$400,0)),P$2,)</f>
        <v>0</v>
      </c>
      <c r="Q193" s="155">
        <f ca="1">IF(ISNUMBER(MATCH(DATEVALUE($A193),'recurring1_based on steps'!Q$1:Q$400,0)),Q$2,)</f>
        <v>0</v>
      </c>
      <c r="R193" s="155">
        <f ca="1">IF(ISNUMBER(MATCH(DATEVALUE($A193),'recurring1_based on steps'!R$1:R$400,0)),R$2,)</f>
        <v>0</v>
      </c>
      <c r="S193" s="155">
        <f ca="1">IF(ISNUMBER(MATCH(DATEVALUE($A193),'recurring1_based on steps'!S$1:S$400,0)),S$2,)</f>
        <v>100</v>
      </c>
      <c r="T193" s="155">
        <f ca="1">IF(ISNUMBER(MATCH(DATEVALUE($A193),'recurring1_based on steps'!T$1:T$400,0)),T$2,)</f>
        <v>0</v>
      </c>
      <c r="U193" s="155">
        <f ca="1">IF(ISNUMBER(MATCH(DATEVALUE($A193),'recurring1_based on steps'!U$1:U$400,0)),U$2,)</f>
        <v>0</v>
      </c>
      <c r="V193" s="155">
        <f ca="1">IF(ISNUMBER(MATCH(DATEVALUE($A193),'recurring1_based on steps'!V$1:V$400,0)),V$2,)</f>
        <v>0</v>
      </c>
      <c r="W193" s="155">
        <f ca="1">IF(ISNUMBER(MATCH(DATEVALUE($A193),'recurring1_based on steps'!W$1:W$400,0)),W$2,)</f>
        <v>0</v>
      </c>
      <c r="X193" s="155">
        <f ca="1">IF(ISNUMBER(MATCH(DATEVALUE($A193),'recurring1_based on steps'!X$1:X$400,0)),X$2,)</f>
        <v>0</v>
      </c>
      <c r="Y193" s="155">
        <f ca="1">IF(ISNUMBER(MATCH(DATEVALUE($A193),'recurring1_based on steps'!Y$1:Y$400,0)),Y$2,)</f>
        <v>0</v>
      </c>
      <c r="Z193" s="155">
        <f ca="1">IF(ISNUMBER(MATCH(DATEVALUE($A193),'recurring1_based on steps'!Z$1:Z$400,0)),Z$2,)</f>
        <v>0</v>
      </c>
      <c r="AA193" s="155">
        <f ca="1">IF(ISNUMBER(MATCH(DATEVALUE($A193),'recurring1_based on steps'!AA$1:AA$400,0)),AA$2,)</f>
        <v>0</v>
      </c>
      <c r="AB193" s="155">
        <f ca="1">IF(ISNUMBER(MATCH(DATEVALUE($A193),'recurring1_based on steps'!AB$1:AB$400,0)),AB$2,)</f>
        <v>0</v>
      </c>
      <c r="AC193" s="155">
        <f ca="1">IF(ISNUMBER(MATCH(DATEVALUE($A193),'recurring1_based on steps'!AC$1:AC$400,0)),AC$2,)</f>
        <v>0</v>
      </c>
      <c r="AD193" s="155">
        <f ca="1">IF(ISNUMBER(MATCH(DATEVALUE($A193),'recurring1_based on steps'!AD$1:AD$400,0)),AD$2,)</f>
        <v>0</v>
      </c>
      <c r="AE193" s="155">
        <f ca="1">IF(ISNUMBER(MATCH(DATEVALUE($A193),'recurring1_based on steps'!AE$1:AE$400,0)),AE$2,)</f>
        <v>0</v>
      </c>
      <c r="AF193" s="155">
        <f ca="1">IF(ISNUMBER(MATCH(DATEVALUE($A193),'recurring1_based on steps'!AF$1:AF$400,0)),AF$2,)</f>
        <v>0</v>
      </c>
      <c r="AG193" s="155">
        <f ca="1">IF(ISNUMBER(MATCH(DATEVALUE($A193),'recurring1_based on steps'!AG$1:AG$400,0)),AG$2,)</f>
        <v>0</v>
      </c>
      <c r="AH193" s="155">
        <f ca="1">IF(ISNUMBER(MATCH(DATEVALUE($A193),'recurring1_based on steps'!AH$1:AH$400,0)),AH$2,)</f>
        <v>0</v>
      </c>
      <c r="AI193" s="155">
        <f ca="1">IF(ISNUMBER(MATCH(DATEVALUE($A193),'recurring1_based on steps'!AI$1:AI$400,0)),AI$2,)</f>
        <v>0</v>
      </c>
      <c r="AJ193" s="155">
        <f ca="1">IF(ISNUMBER(MATCH(DATEVALUE($A193),'recurring1_based on steps'!AJ$1:AJ$400,0)),AJ$2,)</f>
        <v>0</v>
      </c>
      <c r="AK193" s="155">
        <f ca="1">IF(ISNUMBER(MATCH(DATEVALUE($A193),'recurring1_based on steps'!AK$1:AK$400,0)),AK$2,)</f>
        <v>0</v>
      </c>
      <c r="AL193" s="155">
        <f ca="1">IF(ISNUMBER(MATCH(DATEVALUE($A193),'recurring1_based on steps'!AL$1:AL$400,0)),AL$2,)</f>
        <v>0</v>
      </c>
      <c r="AM193" s="155">
        <f ca="1">IF(ISNUMBER(MATCH(DATEVALUE($A193),'recurring1_based on steps'!AM$1:AM$400,0)),AM$2,)</f>
        <v>0</v>
      </c>
      <c r="AN193" s="155">
        <f ca="1">IF(ISNUMBER(MATCH(DATEVALUE($A193),'recurring1_based on steps'!AN$1:AN$400,0)),AN$2,)</f>
        <v>0</v>
      </c>
      <c r="AO193" s="155">
        <f ca="1">IF(ISNUMBER(MATCH(DATEVALUE($A193),'recurring1_based on steps'!AO$1:AO$400,0)),AO$2,)</f>
        <v>0</v>
      </c>
      <c r="AP193" s="155">
        <f ca="1">IF(ISNUMBER(MATCH(DATEVALUE($A193),'recurring1_based on steps'!AP$1:AP$400,0)),AP$2,)</f>
        <v>0</v>
      </c>
      <c r="AQ193" s="155">
        <f ca="1">IF(ISNUMBER(MATCH(DATEVALUE($A193),'recurring1_based on steps'!AQ$1:AQ$400,0)),AQ$2,)</f>
        <v>0</v>
      </c>
      <c r="AR193" s="155">
        <f ca="1">IF(ISNUMBER(MATCH(DATEVALUE($A193),'recurring1_based on steps'!AR$1:AR$400,0)),AR$2,)</f>
        <v>0</v>
      </c>
      <c r="AS193" s="155">
        <f ca="1">IF(ISNUMBER(MATCH(DATEVALUE($A193),'recurring1_based on steps'!AS$1:AS$400,0)),AS$2,)</f>
        <v>0</v>
      </c>
      <c r="AT193" s="155">
        <f ca="1">IF(ISNUMBER(MATCH(DATEVALUE($A193),'recurring1_based on steps'!AT$1:AT$400,0)),AT$2,)</f>
        <v>0</v>
      </c>
      <c r="AU193" s="155">
        <f ca="1">IF(ISNUMBER(MATCH(DATEVALUE($A193),'recurring1_based on steps'!AU$1:AU$400,0)),AU$2,)</f>
        <v>0</v>
      </c>
      <c r="AV193" s="155">
        <f ca="1">IF(ISNUMBER(MATCH(DATEVALUE($A193),'recurring1_based on steps'!AV$1:AV$400,0)),AV$2,)</f>
        <v>0</v>
      </c>
      <c r="AW193" s="155">
        <f ca="1">IF(ISNUMBER(MATCH(DATEVALUE($A193),'recurring1_based on steps'!AW$1:AW$400,0)),AW$2,)</f>
        <v>0</v>
      </c>
      <c r="AX193" s="155">
        <f ca="1">IF(ISNUMBER(MATCH(DATEVALUE($A193),'recurring1_based on steps'!AX$1:AX$400,0)),AX$2,)</f>
        <v>0</v>
      </c>
      <c r="AY193" s="155">
        <f ca="1">IF(ISNUMBER(MATCH(DATEVALUE($A193),'recurring1_based on steps'!AY$1:AY$400,0)),AY$2,)</f>
        <v>0</v>
      </c>
    </row>
    <row r="194" spans="1:51" x14ac:dyDescent="0.2">
      <c r="A194" s="18" t="str">
        <f t="shared" ca="1" si="2"/>
        <v>2025-08-11</v>
      </c>
      <c r="B194" s="155">
        <f ca="1">IF(ISNUMBER(MATCH(DATEVALUE($A194),'recurring1_based on steps'!B$1:B$400,0)),B$2,)</f>
        <v>0</v>
      </c>
      <c r="C194" s="155">
        <f ca="1">IF(ISNUMBER(MATCH(DATEVALUE($A194),'recurring1_based on steps'!C$1:C$400,0)),C$2,)</f>
        <v>0</v>
      </c>
      <c r="D194" s="155">
        <f ca="1">IF(ISNUMBER(MATCH(DATEVALUE($A194),'recurring1_based on steps'!D$1:D$400,0)),D$2,)</f>
        <v>0</v>
      </c>
      <c r="E194" s="155">
        <f ca="1">IF(ISNUMBER(MATCH(DATEVALUE($A194),'recurring1_based on steps'!E$1:E$400,0)),E$2,)</f>
        <v>0</v>
      </c>
      <c r="F194" s="155">
        <f ca="1">IF(ISNUMBER(MATCH(DATEVALUE($A194),'recurring1_based on steps'!F$1:F$400,0)),F$2,)</f>
        <v>0</v>
      </c>
      <c r="G194" s="155">
        <f ca="1">IF(ISNUMBER(MATCH(DATEVALUE($A194),'recurring1_based on steps'!G$1:G$400,0)),G$2,)</f>
        <v>0</v>
      </c>
      <c r="H194" s="155">
        <f ca="1">IF(ISNUMBER(MATCH(DATEVALUE($A194),'recurring1_based on steps'!H$1:H$400,0)),H$2,)</f>
        <v>0</v>
      </c>
      <c r="I194" s="155">
        <f ca="1">IF(ISNUMBER(MATCH(DATEVALUE($A194),'recurring1_based on steps'!I$1:I$400,0)),I$2,)</f>
        <v>0</v>
      </c>
      <c r="J194" s="155">
        <f ca="1">IF(ISNUMBER(MATCH(DATEVALUE($A194),'recurring1_based on steps'!J$1:J$400,0)),J$2,)</f>
        <v>0</v>
      </c>
      <c r="K194" s="155">
        <f ca="1">IF(ISNUMBER(MATCH(DATEVALUE($A194),'recurring1_based on steps'!K$1:K$400,0)),K$2,)</f>
        <v>0</v>
      </c>
      <c r="L194" s="155">
        <f ca="1">IF(ISNUMBER(MATCH(DATEVALUE($A194),'recurring1_based on steps'!L$1:L$400,0)),L$2,)</f>
        <v>0</v>
      </c>
      <c r="M194" s="155">
        <f ca="1">IF(ISNUMBER(MATCH(DATEVALUE($A194),'recurring1_based on steps'!M$1:M$400,0)),M$2,)</f>
        <v>0</v>
      </c>
      <c r="N194" s="155">
        <f ca="1">IF(ISNUMBER(MATCH(DATEVALUE($A194),'recurring1_based on steps'!N$1:N$400,0)),N$2,)</f>
        <v>0</v>
      </c>
      <c r="O194" s="155">
        <f ca="1">IF(ISNUMBER(MATCH(DATEVALUE($A194),'recurring1_based on steps'!O$1:O$400,0)),O$2,)</f>
        <v>0</v>
      </c>
      <c r="P194" s="155">
        <f ca="1">IF(ISNUMBER(MATCH(DATEVALUE($A194),'recurring1_based on steps'!P$1:P$400,0)),P$2,)</f>
        <v>0</v>
      </c>
      <c r="Q194" s="155">
        <f ca="1">IF(ISNUMBER(MATCH(DATEVALUE($A194),'recurring1_based on steps'!Q$1:Q$400,0)),Q$2,)</f>
        <v>0</v>
      </c>
      <c r="R194" s="155">
        <f ca="1">IF(ISNUMBER(MATCH(DATEVALUE($A194),'recurring1_based on steps'!R$1:R$400,0)),R$2,)</f>
        <v>0</v>
      </c>
      <c r="S194" s="155">
        <f ca="1">IF(ISNUMBER(MATCH(DATEVALUE($A194),'recurring1_based on steps'!S$1:S$400,0)),S$2,)</f>
        <v>0</v>
      </c>
      <c r="T194" s="155">
        <f ca="1">IF(ISNUMBER(MATCH(DATEVALUE($A194),'recurring1_based on steps'!T$1:T$400,0)),T$2,)</f>
        <v>50</v>
      </c>
      <c r="U194" s="155">
        <f ca="1">IF(ISNUMBER(MATCH(DATEVALUE($A194),'recurring1_based on steps'!U$1:U$400,0)),U$2,)</f>
        <v>0</v>
      </c>
      <c r="V194" s="155">
        <f ca="1">IF(ISNUMBER(MATCH(DATEVALUE($A194),'recurring1_based on steps'!V$1:V$400,0)),V$2,)</f>
        <v>0</v>
      </c>
      <c r="W194" s="155">
        <f ca="1">IF(ISNUMBER(MATCH(DATEVALUE($A194),'recurring1_based on steps'!W$1:W$400,0)),W$2,)</f>
        <v>0</v>
      </c>
      <c r="X194" s="155">
        <f ca="1">IF(ISNUMBER(MATCH(DATEVALUE($A194),'recurring1_based on steps'!X$1:X$400,0)),X$2,)</f>
        <v>0</v>
      </c>
      <c r="Y194" s="155">
        <f ca="1">IF(ISNUMBER(MATCH(DATEVALUE($A194),'recurring1_based on steps'!Y$1:Y$400,0)),Y$2,)</f>
        <v>0</v>
      </c>
      <c r="Z194" s="155">
        <f ca="1">IF(ISNUMBER(MATCH(DATEVALUE($A194),'recurring1_based on steps'!Z$1:Z$400,0)),Z$2,)</f>
        <v>0</v>
      </c>
      <c r="AA194" s="155">
        <f ca="1">IF(ISNUMBER(MATCH(DATEVALUE($A194),'recurring1_based on steps'!AA$1:AA$400,0)),AA$2,)</f>
        <v>0</v>
      </c>
      <c r="AB194" s="155">
        <f ca="1">IF(ISNUMBER(MATCH(DATEVALUE($A194),'recurring1_based on steps'!AB$1:AB$400,0)),AB$2,)</f>
        <v>0</v>
      </c>
      <c r="AC194" s="155">
        <f ca="1">IF(ISNUMBER(MATCH(DATEVALUE($A194),'recurring1_based on steps'!AC$1:AC$400,0)),AC$2,)</f>
        <v>0</v>
      </c>
      <c r="AD194" s="155">
        <f ca="1">IF(ISNUMBER(MATCH(DATEVALUE($A194),'recurring1_based on steps'!AD$1:AD$400,0)),AD$2,)</f>
        <v>0</v>
      </c>
      <c r="AE194" s="155">
        <f ca="1">IF(ISNUMBER(MATCH(DATEVALUE($A194),'recurring1_based on steps'!AE$1:AE$400,0)),AE$2,)</f>
        <v>0</v>
      </c>
      <c r="AF194" s="155">
        <f ca="1">IF(ISNUMBER(MATCH(DATEVALUE($A194),'recurring1_based on steps'!AF$1:AF$400,0)),AF$2,)</f>
        <v>0</v>
      </c>
      <c r="AG194" s="155">
        <f ca="1">IF(ISNUMBER(MATCH(DATEVALUE($A194),'recurring1_based on steps'!AG$1:AG$400,0)),AG$2,)</f>
        <v>0</v>
      </c>
      <c r="AH194" s="155">
        <f ca="1">IF(ISNUMBER(MATCH(DATEVALUE($A194),'recurring1_based on steps'!AH$1:AH$400,0)),AH$2,)</f>
        <v>0</v>
      </c>
      <c r="AI194" s="155">
        <f ca="1">IF(ISNUMBER(MATCH(DATEVALUE($A194),'recurring1_based on steps'!AI$1:AI$400,0)),AI$2,)</f>
        <v>0</v>
      </c>
      <c r="AJ194" s="155">
        <f ca="1">IF(ISNUMBER(MATCH(DATEVALUE($A194),'recurring1_based on steps'!AJ$1:AJ$400,0)),AJ$2,)</f>
        <v>0</v>
      </c>
      <c r="AK194" s="155">
        <f ca="1">IF(ISNUMBER(MATCH(DATEVALUE($A194),'recurring1_based on steps'!AK$1:AK$400,0)),AK$2,)</f>
        <v>0</v>
      </c>
      <c r="AL194" s="155">
        <f ca="1">IF(ISNUMBER(MATCH(DATEVALUE($A194),'recurring1_based on steps'!AL$1:AL$400,0)),AL$2,)</f>
        <v>0</v>
      </c>
      <c r="AM194" s="155">
        <f ca="1">IF(ISNUMBER(MATCH(DATEVALUE($A194),'recurring1_based on steps'!AM$1:AM$400,0)),AM$2,)</f>
        <v>0</v>
      </c>
      <c r="AN194" s="155">
        <f ca="1">IF(ISNUMBER(MATCH(DATEVALUE($A194),'recurring1_based on steps'!AN$1:AN$400,0)),AN$2,)</f>
        <v>0</v>
      </c>
      <c r="AO194" s="155">
        <f ca="1">IF(ISNUMBER(MATCH(DATEVALUE($A194),'recurring1_based on steps'!AO$1:AO$400,0)),AO$2,)</f>
        <v>0</v>
      </c>
      <c r="AP194" s="155">
        <f ca="1">IF(ISNUMBER(MATCH(DATEVALUE($A194),'recurring1_based on steps'!AP$1:AP$400,0)),AP$2,)</f>
        <v>0</v>
      </c>
      <c r="AQ194" s="155">
        <f ca="1">IF(ISNUMBER(MATCH(DATEVALUE($A194),'recurring1_based on steps'!AQ$1:AQ$400,0)),AQ$2,)</f>
        <v>0</v>
      </c>
      <c r="AR194" s="155">
        <f ca="1">IF(ISNUMBER(MATCH(DATEVALUE($A194),'recurring1_based on steps'!AR$1:AR$400,0)),AR$2,)</f>
        <v>0</v>
      </c>
      <c r="AS194" s="155">
        <f ca="1">IF(ISNUMBER(MATCH(DATEVALUE($A194),'recurring1_based on steps'!AS$1:AS$400,0)),AS$2,)</f>
        <v>0</v>
      </c>
      <c r="AT194" s="155">
        <f ca="1">IF(ISNUMBER(MATCH(DATEVALUE($A194),'recurring1_based on steps'!AT$1:AT$400,0)),AT$2,)</f>
        <v>0</v>
      </c>
      <c r="AU194" s="155">
        <f ca="1">IF(ISNUMBER(MATCH(DATEVALUE($A194),'recurring1_based on steps'!AU$1:AU$400,0)),AU$2,)</f>
        <v>0</v>
      </c>
      <c r="AV194" s="155">
        <f ca="1">IF(ISNUMBER(MATCH(DATEVALUE($A194),'recurring1_based on steps'!AV$1:AV$400,0)),AV$2,)</f>
        <v>0</v>
      </c>
      <c r="AW194" s="155">
        <f ca="1">IF(ISNUMBER(MATCH(DATEVALUE($A194),'recurring1_based on steps'!AW$1:AW$400,0)),AW$2,)</f>
        <v>0</v>
      </c>
      <c r="AX194" s="155">
        <f ca="1">IF(ISNUMBER(MATCH(DATEVALUE($A194),'recurring1_based on steps'!AX$1:AX$400,0)),AX$2,)</f>
        <v>0</v>
      </c>
      <c r="AY194" s="155">
        <f ca="1">IF(ISNUMBER(MATCH(DATEVALUE($A194),'recurring1_based on steps'!AY$1:AY$400,0)),AY$2,)</f>
        <v>0</v>
      </c>
    </row>
    <row r="195" spans="1:51" x14ac:dyDescent="0.2">
      <c r="A195" s="18" t="str">
        <f t="shared" ca="1" si="2"/>
        <v>2025-08-12</v>
      </c>
      <c r="B195" s="155">
        <f ca="1">IF(ISNUMBER(MATCH(DATEVALUE($A195),'recurring1_based on steps'!B$1:B$400,0)),B$2,)</f>
        <v>0</v>
      </c>
      <c r="C195" s="155">
        <f ca="1">IF(ISNUMBER(MATCH(DATEVALUE($A195),'recurring1_based on steps'!C$1:C$400,0)),C$2,)</f>
        <v>0</v>
      </c>
      <c r="D195" s="155">
        <f ca="1">IF(ISNUMBER(MATCH(DATEVALUE($A195),'recurring1_based on steps'!D$1:D$400,0)),D$2,)</f>
        <v>0</v>
      </c>
      <c r="E195" s="155">
        <f ca="1">IF(ISNUMBER(MATCH(DATEVALUE($A195),'recurring1_based on steps'!E$1:E$400,0)),E$2,)</f>
        <v>0</v>
      </c>
      <c r="F195" s="155">
        <f ca="1">IF(ISNUMBER(MATCH(DATEVALUE($A195),'recurring1_based on steps'!F$1:F$400,0)),F$2,)</f>
        <v>0</v>
      </c>
      <c r="G195" s="155">
        <f ca="1">IF(ISNUMBER(MATCH(DATEVALUE($A195),'recurring1_based on steps'!G$1:G$400,0)),G$2,)</f>
        <v>0</v>
      </c>
      <c r="H195" s="155">
        <f ca="1">IF(ISNUMBER(MATCH(DATEVALUE($A195),'recurring1_based on steps'!H$1:H$400,0)),H$2,)</f>
        <v>0</v>
      </c>
      <c r="I195" s="155">
        <f ca="1">IF(ISNUMBER(MATCH(DATEVALUE($A195),'recurring1_based on steps'!I$1:I$400,0)),I$2,)</f>
        <v>0</v>
      </c>
      <c r="J195" s="155">
        <f ca="1">IF(ISNUMBER(MATCH(DATEVALUE($A195),'recurring1_based on steps'!J$1:J$400,0)),J$2,)</f>
        <v>0</v>
      </c>
      <c r="K195" s="155">
        <f ca="1">IF(ISNUMBER(MATCH(DATEVALUE($A195),'recurring1_based on steps'!K$1:K$400,0)),K$2,)</f>
        <v>0</v>
      </c>
      <c r="L195" s="155">
        <f ca="1">IF(ISNUMBER(MATCH(DATEVALUE($A195),'recurring1_based on steps'!L$1:L$400,0)),L$2,)</f>
        <v>0</v>
      </c>
      <c r="M195" s="155">
        <f ca="1">IF(ISNUMBER(MATCH(DATEVALUE($A195),'recurring1_based on steps'!M$1:M$400,0)),M$2,)</f>
        <v>0</v>
      </c>
      <c r="N195" s="155">
        <f ca="1">IF(ISNUMBER(MATCH(DATEVALUE($A195),'recurring1_based on steps'!N$1:N$400,0)),N$2,)</f>
        <v>0</v>
      </c>
      <c r="O195" s="155">
        <f ca="1">IF(ISNUMBER(MATCH(DATEVALUE($A195),'recurring1_based on steps'!O$1:O$400,0)),O$2,)</f>
        <v>0</v>
      </c>
      <c r="P195" s="155">
        <f ca="1">IF(ISNUMBER(MATCH(DATEVALUE($A195),'recurring1_based on steps'!P$1:P$400,0)),P$2,)</f>
        <v>0</v>
      </c>
      <c r="Q195" s="155">
        <f ca="1">IF(ISNUMBER(MATCH(DATEVALUE($A195),'recurring1_based on steps'!Q$1:Q$400,0)),Q$2,)</f>
        <v>0</v>
      </c>
      <c r="R195" s="155">
        <f ca="1">IF(ISNUMBER(MATCH(DATEVALUE($A195),'recurring1_based on steps'!R$1:R$400,0)),R$2,)</f>
        <v>0</v>
      </c>
      <c r="S195" s="155">
        <f ca="1">IF(ISNUMBER(MATCH(DATEVALUE($A195),'recurring1_based on steps'!S$1:S$400,0)),S$2,)</f>
        <v>0</v>
      </c>
      <c r="T195" s="155">
        <f ca="1">IF(ISNUMBER(MATCH(DATEVALUE($A195),'recurring1_based on steps'!T$1:T$400,0)),T$2,)</f>
        <v>0</v>
      </c>
      <c r="U195" s="155">
        <f ca="1">IF(ISNUMBER(MATCH(DATEVALUE($A195),'recurring1_based on steps'!U$1:U$400,0)),U$2,)</f>
        <v>0</v>
      </c>
      <c r="V195" s="155">
        <f ca="1">IF(ISNUMBER(MATCH(DATEVALUE($A195),'recurring1_based on steps'!V$1:V$400,0)),V$2,)</f>
        <v>0</v>
      </c>
      <c r="W195" s="155">
        <f ca="1">IF(ISNUMBER(MATCH(DATEVALUE($A195),'recurring1_based on steps'!W$1:W$400,0)),W$2,)</f>
        <v>0</v>
      </c>
      <c r="X195" s="155">
        <f ca="1">IF(ISNUMBER(MATCH(DATEVALUE($A195),'recurring1_based on steps'!X$1:X$400,0)),X$2,)</f>
        <v>0</v>
      </c>
      <c r="Y195" s="155">
        <f ca="1">IF(ISNUMBER(MATCH(DATEVALUE($A195),'recurring1_based on steps'!Y$1:Y$400,0)),Y$2,)</f>
        <v>0</v>
      </c>
      <c r="Z195" s="155">
        <f ca="1">IF(ISNUMBER(MATCH(DATEVALUE($A195),'recurring1_based on steps'!Z$1:Z$400,0)),Z$2,)</f>
        <v>0</v>
      </c>
      <c r="AA195" s="155">
        <f ca="1">IF(ISNUMBER(MATCH(DATEVALUE($A195),'recurring1_based on steps'!AA$1:AA$400,0)),AA$2,)</f>
        <v>0</v>
      </c>
      <c r="AB195" s="155">
        <f ca="1">IF(ISNUMBER(MATCH(DATEVALUE($A195),'recurring1_based on steps'!AB$1:AB$400,0)),AB$2,)</f>
        <v>0</v>
      </c>
      <c r="AC195" s="155">
        <f ca="1">IF(ISNUMBER(MATCH(DATEVALUE($A195),'recurring1_based on steps'!AC$1:AC$400,0)),AC$2,)</f>
        <v>0</v>
      </c>
      <c r="AD195" s="155">
        <f ca="1">IF(ISNUMBER(MATCH(DATEVALUE($A195),'recurring1_based on steps'!AD$1:AD$400,0)),AD$2,)</f>
        <v>0</v>
      </c>
      <c r="AE195" s="155">
        <f ca="1">IF(ISNUMBER(MATCH(DATEVALUE($A195),'recurring1_based on steps'!AE$1:AE$400,0)),AE$2,)</f>
        <v>0</v>
      </c>
      <c r="AF195" s="155">
        <f ca="1">IF(ISNUMBER(MATCH(DATEVALUE($A195),'recurring1_based on steps'!AF$1:AF$400,0)),AF$2,)</f>
        <v>0</v>
      </c>
      <c r="AG195" s="155">
        <f ca="1">IF(ISNUMBER(MATCH(DATEVALUE($A195),'recurring1_based on steps'!AG$1:AG$400,0)),AG$2,)</f>
        <v>0</v>
      </c>
      <c r="AH195" s="155">
        <f ca="1">IF(ISNUMBER(MATCH(DATEVALUE($A195),'recurring1_based on steps'!AH$1:AH$400,0)),AH$2,)</f>
        <v>0</v>
      </c>
      <c r="AI195" s="155">
        <f ca="1">IF(ISNUMBER(MATCH(DATEVALUE($A195),'recurring1_based on steps'!AI$1:AI$400,0)),AI$2,)</f>
        <v>0</v>
      </c>
      <c r="AJ195" s="155">
        <f ca="1">IF(ISNUMBER(MATCH(DATEVALUE($A195),'recurring1_based on steps'!AJ$1:AJ$400,0)),AJ$2,)</f>
        <v>0</v>
      </c>
      <c r="AK195" s="155">
        <f ca="1">IF(ISNUMBER(MATCH(DATEVALUE($A195),'recurring1_based on steps'!AK$1:AK$400,0)),AK$2,)</f>
        <v>0</v>
      </c>
      <c r="AL195" s="155">
        <f ca="1">IF(ISNUMBER(MATCH(DATEVALUE($A195),'recurring1_based on steps'!AL$1:AL$400,0)),AL$2,)</f>
        <v>0</v>
      </c>
      <c r="AM195" s="155">
        <f ca="1">IF(ISNUMBER(MATCH(DATEVALUE($A195),'recurring1_based on steps'!AM$1:AM$400,0)),AM$2,)</f>
        <v>0</v>
      </c>
      <c r="AN195" s="155">
        <f ca="1">IF(ISNUMBER(MATCH(DATEVALUE($A195),'recurring1_based on steps'!AN$1:AN$400,0)),AN$2,)</f>
        <v>0</v>
      </c>
      <c r="AO195" s="155">
        <f ca="1">IF(ISNUMBER(MATCH(DATEVALUE($A195),'recurring1_based on steps'!AO$1:AO$400,0)),AO$2,)</f>
        <v>0</v>
      </c>
      <c r="AP195" s="155">
        <f ca="1">IF(ISNUMBER(MATCH(DATEVALUE($A195),'recurring1_based on steps'!AP$1:AP$400,0)),AP$2,)</f>
        <v>0</v>
      </c>
      <c r="AQ195" s="155">
        <f ca="1">IF(ISNUMBER(MATCH(DATEVALUE($A195),'recurring1_based on steps'!AQ$1:AQ$400,0)),AQ$2,)</f>
        <v>0</v>
      </c>
      <c r="AR195" s="155">
        <f ca="1">IF(ISNUMBER(MATCH(DATEVALUE($A195),'recurring1_based on steps'!AR$1:AR$400,0)),AR$2,)</f>
        <v>0</v>
      </c>
      <c r="AS195" s="155">
        <f ca="1">IF(ISNUMBER(MATCH(DATEVALUE($A195),'recurring1_based on steps'!AS$1:AS$400,0)),AS$2,)</f>
        <v>0</v>
      </c>
      <c r="AT195" s="155">
        <f ca="1">IF(ISNUMBER(MATCH(DATEVALUE($A195),'recurring1_based on steps'!AT$1:AT$400,0)),AT$2,)</f>
        <v>0</v>
      </c>
      <c r="AU195" s="155">
        <f ca="1">IF(ISNUMBER(MATCH(DATEVALUE($A195),'recurring1_based on steps'!AU$1:AU$400,0)),AU$2,)</f>
        <v>0</v>
      </c>
      <c r="AV195" s="155">
        <f ca="1">IF(ISNUMBER(MATCH(DATEVALUE($A195),'recurring1_based on steps'!AV$1:AV$400,0)),AV$2,)</f>
        <v>0</v>
      </c>
      <c r="AW195" s="155">
        <f ca="1">IF(ISNUMBER(MATCH(DATEVALUE($A195),'recurring1_based on steps'!AW$1:AW$400,0)),AW$2,)</f>
        <v>0</v>
      </c>
      <c r="AX195" s="155">
        <f ca="1">IF(ISNUMBER(MATCH(DATEVALUE($A195),'recurring1_based on steps'!AX$1:AX$400,0)),AX$2,)</f>
        <v>0</v>
      </c>
      <c r="AY195" s="155">
        <f ca="1">IF(ISNUMBER(MATCH(DATEVALUE($A195),'recurring1_based on steps'!AY$1:AY$400,0)),AY$2,)</f>
        <v>0</v>
      </c>
    </row>
    <row r="196" spans="1:51" x14ac:dyDescent="0.2">
      <c r="A196" s="18" t="str">
        <f t="shared" ca="1" si="2"/>
        <v>2025-08-13</v>
      </c>
      <c r="B196" s="155">
        <f ca="1">IF(ISNUMBER(MATCH(DATEVALUE($A196),'recurring1_based on steps'!B$1:B$400,0)),B$2,)</f>
        <v>0</v>
      </c>
      <c r="C196" s="155">
        <f ca="1">IF(ISNUMBER(MATCH(DATEVALUE($A196),'recurring1_based on steps'!C$1:C$400,0)),C$2,)</f>
        <v>0</v>
      </c>
      <c r="D196" s="155">
        <f ca="1">IF(ISNUMBER(MATCH(DATEVALUE($A196),'recurring1_based on steps'!D$1:D$400,0)),D$2,)</f>
        <v>0</v>
      </c>
      <c r="E196" s="155">
        <f ca="1">IF(ISNUMBER(MATCH(DATEVALUE($A196),'recurring1_based on steps'!E$1:E$400,0)),E$2,)</f>
        <v>0</v>
      </c>
      <c r="F196" s="155">
        <f ca="1">IF(ISNUMBER(MATCH(DATEVALUE($A196),'recurring1_based on steps'!F$1:F$400,0)),F$2,)</f>
        <v>0</v>
      </c>
      <c r="G196" s="155">
        <f ca="1">IF(ISNUMBER(MATCH(DATEVALUE($A196),'recurring1_based on steps'!G$1:G$400,0)),G$2,)</f>
        <v>0</v>
      </c>
      <c r="H196" s="155">
        <f ca="1">IF(ISNUMBER(MATCH(DATEVALUE($A196),'recurring1_based on steps'!H$1:H$400,0)),H$2,)</f>
        <v>0</v>
      </c>
      <c r="I196" s="155">
        <f ca="1">IF(ISNUMBER(MATCH(DATEVALUE($A196),'recurring1_based on steps'!I$1:I$400,0)),I$2,)</f>
        <v>0</v>
      </c>
      <c r="J196" s="155">
        <f ca="1">IF(ISNUMBER(MATCH(DATEVALUE($A196),'recurring1_based on steps'!J$1:J$400,0)),J$2,)</f>
        <v>0</v>
      </c>
      <c r="K196" s="155">
        <f ca="1">IF(ISNUMBER(MATCH(DATEVALUE($A196),'recurring1_based on steps'!K$1:K$400,0)),K$2,)</f>
        <v>0</v>
      </c>
      <c r="L196" s="155">
        <f ca="1">IF(ISNUMBER(MATCH(DATEVALUE($A196),'recurring1_based on steps'!L$1:L$400,0)),L$2,)</f>
        <v>0</v>
      </c>
      <c r="M196" s="155">
        <f ca="1">IF(ISNUMBER(MATCH(DATEVALUE($A196),'recurring1_based on steps'!M$1:M$400,0)),M$2,)</f>
        <v>0</v>
      </c>
      <c r="N196" s="155">
        <f ca="1">IF(ISNUMBER(MATCH(DATEVALUE($A196),'recurring1_based on steps'!N$1:N$400,0)),N$2,)</f>
        <v>0</v>
      </c>
      <c r="O196" s="155">
        <f ca="1">IF(ISNUMBER(MATCH(DATEVALUE($A196),'recurring1_based on steps'!O$1:O$400,0)),O$2,)</f>
        <v>0</v>
      </c>
      <c r="P196" s="155">
        <f ca="1">IF(ISNUMBER(MATCH(DATEVALUE($A196),'recurring1_based on steps'!P$1:P$400,0)),P$2,)</f>
        <v>0</v>
      </c>
      <c r="Q196" s="155">
        <f ca="1">IF(ISNUMBER(MATCH(DATEVALUE($A196),'recurring1_based on steps'!Q$1:Q$400,0)),Q$2,)</f>
        <v>0</v>
      </c>
      <c r="R196" s="155">
        <f ca="1">IF(ISNUMBER(MATCH(DATEVALUE($A196),'recurring1_based on steps'!R$1:R$400,0)),R$2,)</f>
        <v>0</v>
      </c>
      <c r="S196" s="155">
        <f ca="1">IF(ISNUMBER(MATCH(DATEVALUE($A196),'recurring1_based on steps'!S$1:S$400,0)),S$2,)</f>
        <v>0</v>
      </c>
      <c r="T196" s="155">
        <f ca="1">IF(ISNUMBER(MATCH(DATEVALUE($A196),'recurring1_based on steps'!T$1:T$400,0)),T$2,)</f>
        <v>0</v>
      </c>
      <c r="U196" s="155">
        <f ca="1">IF(ISNUMBER(MATCH(DATEVALUE($A196),'recurring1_based on steps'!U$1:U$400,0)),U$2,)</f>
        <v>0</v>
      </c>
      <c r="V196" s="155">
        <f ca="1">IF(ISNUMBER(MATCH(DATEVALUE($A196),'recurring1_based on steps'!V$1:V$400,0)),V$2,)</f>
        <v>0</v>
      </c>
      <c r="W196" s="155">
        <f ca="1">IF(ISNUMBER(MATCH(DATEVALUE($A196),'recurring1_based on steps'!W$1:W$400,0)),W$2,)</f>
        <v>0</v>
      </c>
      <c r="X196" s="155">
        <f ca="1">IF(ISNUMBER(MATCH(DATEVALUE($A196),'recurring1_based on steps'!X$1:X$400,0)),X$2,)</f>
        <v>0</v>
      </c>
      <c r="Y196" s="155">
        <f ca="1">IF(ISNUMBER(MATCH(DATEVALUE($A196),'recurring1_based on steps'!Y$1:Y$400,0)),Y$2,)</f>
        <v>0</v>
      </c>
      <c r="Z196" s="155">
        <f ca="1">IF(ISNUMBER(MATCH(DATEVALUE($A196),'recurring1_based on steps'!Z$1:Z$400,0)),Z$2,)</f>
        <v>0</v>
      </c>
      <c r="AA196" s="155">
        <f ca="1">IF(ISNUMBER(MATCH(DATEVALUE($A196),'recurring1_based on steps'!AA$1:AA$400,0)),AA$2,)</f>
        <v>0</v>
      </c>
      <c r="AB196" s="155">
        <f ca="1">IF(ISNUMBER(MATCH(DATEVALUE($A196),'recurring1_based on steps'!AB$1:AB$400,0)),AB$2,)</f>
        <v>0</v>
      </c>
      <c r="AC196" s="155">
        <f ca="1">IF(ISNUMBER(MATCH(DATEVALUE($A196),'recurring1_based on steps'!AC$1:AC$400,0)),AC$2,)</f>
        <v>0</v>
      </c>
      <c r="AD196" s="155">
        <f ca="1">IF(ISNUMBER(MATCH(DATEVALUE($A196),'recurring1_based on steps'!AD$1:AD$400,0)),AD$2,)</f>
        <v>0</v>
      </c>
      <c r="AE196" s="155">
        <f ca="1">IF(ISNUMBER(MATCH(DATEVALUE($A196),'recurring1_based on steps'!AE$1:AE$400,0)),AE$2,)</f>
        <v>0</v>
      </c>
      <c r="AF196" s="155">
        <f ca="1">IF(ISNUMBER(MATCH(DATEVALUE($A196),'recurring1_based on steps'!AF$1:AF$400,0)),AF$2,)</f>
        <v>0</v>
      </c>
      <c r="AG196" s="155">
        <f ca="1">IF(ISNUMBER(MATCH(DATEVALUE($A196),'recurring1_based on steps'!AG$1:AG$400,0)),AG$2,)</f>
        <v>0</v>
      </c>
      <c r="AH196" s="155">
        <f ca="1">IF(ISNUMBER(MATCH(DATEVALUE($A196),'recurring1_based on steps'!AH$1:AH$400,0)),AH$2,)</f>
        <v>0</v>
      </c>
      <c r="AI196" s="155">
        <f ca="1">IF(ISNUMBER(MATCH(DATEVALUE($A196),'recurring1_based on steps'!AI$1:AI$400,0)),AI$2,)</f>
        <v>0</v>
      </c>
      <c r="AJ196" s="155">
        <f ca="1">IF(ISNUMBER(MATCH(DATEVALUE($A196),'recurring1_based on steps'!AJ$1:AJ$400,0)),AJ$2,)</f>
        <v>0</v>
      </c>
      <c r="AK196" s="155">
        <f ca="1">IF(ISNUMBER(MATCH(DATEVALUE($A196),'recurring1_based on steps'!AK$1:AK$400,0)),AK$2,)</f>
        <v>0</v>
      </c>
      <c r="AL196" s="155">
        <f ca="1">IF(ISNUMBER(MATCH(DATEVALUE($A196),'recurring1_based on steps'!AL$1:AL$400,0)),AL$2,)</f>
        <v>0</v>
      </c>
      <c r="AM196" s="155">
        <f ca="1">IF(ISNUMBER(MATCH(DATEVALUE($A196),'recurring1_based on steps'!AM$1:AM$400,0)),AM$2,)</f>
        <v>0</v>
      </c>
      <c r="AN196" s="155">
        <f ca="1">IF(ISNUMBER(MATCH(DATEVALUE($A196),'recurring1_based on steps'!AN$1:AN$400,0)),AN$2,)</f>
        <v>0</v>
      </c>
      <c r="AO196" s="155">
        <f ca="1">IF(ISNUMBER(MATCH(DATEVALUE($A196),'recurring1_based on steps'!AO$1:AO$400,0)),AO$2,)</f>
        <v>0</v>
      </c>
      <c r="AP196" s="155">
        <f ca="1">IF(ISNUMBER(MATCH(DATEVALUE($A196),'recurring1_based on steps'!AP$1:AP$400,0)),AP$2,)</f>
        <v>0</v>
      </c>
      <c r="AQ196" s="155">
        <f ca="1">IF(ISNUMBER(MATCH(DATEVALUE($A196),'recurring1_based on steps'!AQ$1:AQ$400,0)),AQ$2,)</f>
        <v>0</v>
      </c>
      <c r="AR196" s="155">
        <f ca="1">IF(ISNUMBER(MATCH(DATEVALUE($A196),'recurring1_based on steps'!AR$1:AR$400,0)),AR$2,)</f>
        <v>0</v>
      </c>
      <c r="AS196" s="155">
        <f ca="1">IF(ISNUMBER(MATCH(DATEVALUE($A196),'recurring1_based on steps'!AS$1:AS$400,0)),AS$2,)</f>
        <v>0</v>
      </c>
      <c r="AT196" s="155">
        <f ca="1">IF(ISNUMBER(MATCH(DATEVALUE($A196),'recurring1_based on steps'!AT$1:AT$400,0)),AT$2,)</f>
        <v>0</v>
      </c>
      <c r="AU196" s="155">
        <f ca="1">IF(ISNUMBER(MATCH(DATEVALUE($A196),'recurring1_based on steps'!AU$1:AU$400,0)),AU$2,)</f>
        <v>0</v>
      </c>
      <c r="AV196" s="155">
        <f ca="1">IF(ISNUMBER(MATCH(DATEVALUE($A196),'recurring1_based on steps'!AV$1:AV$400,0)),AV$2,)</f>
        <v>0</v>
      </c>
      <c r="AW196" s="155">
        <f ca="1">IF(ISNUMBER(MATCH(DATEVALUE($A196),'recurring1_based on steps'!AW$1:AW$400,0)),AW$2,)</f>
        <v>0</v>
      </c>
      <c r="AX196" s="155">
        <f ca="1">IF(ISNUMBER(MATCH(DATEVALUE($A196),'recurring1_based on steps'!AX$1:AX$400,0)),AX$2,)</f>
        <v>0</v>
      </c>
      <c r="AY196" s="155">
        <f ca="1">IF(ISNUMBER(MATCH(DATEVALUE($A196),'recurring1_based on steps'!AY$1:AY$400,0)),AY$2,)</f>
        <v>0</v>
      </c>
    </row>
    <row r="197" spans="1:51" x14ac:dyDescent="0.2">
      <c r="A197" s="18" t="str">
        <f t="shared" ref="A197:A260" ca="1" si="3">TEXT(DATEVALUE(A196)+1,"yyyy-mm-dd")</f>
        <v>2025-08-14</v>
      </c>
      <c r="B197" s="155">
        <f ca="1">IF(ISNUMBER(MATCH(DATEVALUE($A197),'recurring1_based on steps'!B$1:B$400,0)),B$2,)</f>
        <v>0</v>
      </c>
      <c r="C197" s="155">
        <f ca="1">IF(ISNUMBER(MATCH(DATEVALUE($A197),'recurring1_based on steps'!C$1:C$400,0)),C$2,)</f>
        <v>0</v>
      </c>
      <c r="D197" s="155">
        <f ca="1">IF(ISNUMBER(MATCH(DATEVALUE($A197),'recurring1_based on steps'!D$1:D$400,0)),D$2,)</f>
        <v>0</v>
      </c>
      <c r="E197" s="155">
        <f ca="1">IF(ISNUMBER(MATCH(DATEVALUE($A197),'recurring1_based on steps'!E$1:E$400,0)),E$2,)</f>
        <v>0</v>
      </c>
      <c r="F197" s="155">
        <f ca="1">IF(ISNUMBER(MATCH(DATEVALUE($A197),'recurring1_based on steps'!F$1:F$400,0)),F$2,)</f>
        <v>0</v>
      </c>
      <c r="G197" s="155">
        <f ca="1">IF(ISNUMBER(MATCH(DATEVALUE($A197),'recurring1_based on steps'!G$1:G$400,0)),G$2,)</f>
        <v>0</v>
      </c>
      <c r="H197" s="155">
        <f ca="1">IF(ISNUMBER(MATCH(DATEVALUE($A197),'recurring1_based on steps'!H$1:H$400,0)),H$2,)</f>
        <v>0</v>
      </c>
      <c r="I197" s="155">
        <f ca="1">IF(ISNUMBER(MATCH(DATEVALUE($A197),'recurring1_based on steps'!I$1:I$400,0)),I$2,)</f>
        <v>0</v>
      </c>
      <c r="J197" s="155">
        <f ca="1">IF(ISNUMBER(MATCH(DATEVALUE($A197),'recurring1_based on steps'!J$1:J$400,0)),J$2,)</f>
        <v>0</v>
      </c>
      <c r="K197" s="155">
        <f ca="1">IF(ISNUMBER(MATCH(DATEVALUE($A197),'recurring1_based on steps'!K$1:K$400,0)),K$2,)</f>
        <v>0</v>
      </c>
      <c r="L197" s="155">
        <f ca="1">IF(ISNUMBER(MATCH(DATEVALUE($A197),'recurring1_based on steps'!L$1:L$400,0)),L$2,)</f>
        <v>0</v>
      </c>
      <c r="M197" s="155">
        <f ca="1">IF(ISNUMBER(MATCH(DATEVALUE($A197),'recurring1_based on steps'!M$1:M$400,0)),M$2,)</f>
        <v>0</v>
      </c>
      <c r="N197" s="155">
        <f ca="1">IF(ISNUMBER(MATCH(DATEVALUE($A197),'recurring1_based on steps'!N$1:N$400,0)),N$2,)</f>
        <v>0</v>
      </c>
      <c r="O197" s="155">
        <f ca="1">IF(ISNUMBER(MATCH(DATEVALUE($A197),'recurring1_based on steps'!O$1:O$400,0)),O$2,)</f>
        <v>0</v>
      </c>
      <c r="P197" s="155">
        <f ca="1">IF(ISNUMBER(MATCH(DATEVALUE($A197),'recurring1_based on steps'!P$1:P$400,0)),P$2,)</f>
        <v>0</v>
      </c>
      <c r="Q197" s="155">
        <f ca="1">IF(ISNUMBER(MATCH(DATEVALUE($A197),'recurring1_based on steps'!Q$1:Q$400,0)),Q$2,)</f>
        <v>0</v>
      </c>
      <c r="R197" s="155">
        <f ca="1">IF(ISNUMBER(MATCH(DATEVALUE($A197),'recurring1_based on steps'!R$1:R$400,0)),R$2,)</f>
        <v>0</v>
      </c>
      <c r="S197" s="155">
        <f ca="1">IF(ISNUMBER(MATCH(DATEVALUE($A197),'recurring1_based on steps'!S$1:S$400,0)),S$2,)</f>
        <v>0</v>
      </c>
      <c r="T197" s="155">
        <f ca="1">IF(ISNUMBER(MATCH(DATEVALUE($A197),'recurring1_based on steps'!T$1:T$400,0)),T$2,)</f>
        <v>0</v>
      </c>
      <c r="U197" s="155">
        <f ca="1">IF(ISNUMBER(MATCH(DATEVALUE($A197),'recurring1_based on steps'!U$1:U$400,0)),U$2,)</f>
        <v>0</v>
      </c>
      <c r="V197" s="155">
        <f ca="1">IF(ISNUMBER(MATCH(DATEVALUE($A197),'recurring1_based on steps'!V$1:V$400,0)),V$2,)</f>
        <v>0</v>
      </c>
      <c r="W197" s="155">
        <f ca="1">IF(ISNUMBER(MATCH(DATEVALUE($A197),'recurring1_based on steps'!W$1:W$400,0)),W$2,)</f>
        <v>0</v>
      </c>
      <c r="X197" s="155">
        <f ca="1">IF(ISNUMBER(MATCH(DATEVALUE($A197),'recurring1_based on steps'!X$1:X$400,0)),X$2,)</f>
        <v>0</v>
      </c>
      <c r="Y197" s="155">
        <f ca="1">IF(ISNUMBER(MATCH(DATEVALUE($A197),'recurring1_based on steps'!Y$1:Y$400,0)),Y$2,)</f>
        <v>0</v>
      </c>
      <c r="Z197" s="155">
        <f ca="1">IF(ISNUMBER(MATCH(DATEVALUE($A197),'recurring1_based on steps'!Z$1:Z$400,0)),Z$2,)</f>
        <v>0</v>
      </c>
      <c r="AA197" s="155">
        <f ca="1">IF(ISNUMBER(MATCH(DATEVALUE($A197),'recurring1_based on steps'!AA$1:AA$400,0)),AA$2,)</f>
        <v>0</v>
      </c>
      <c r="AB197" s="155">
        <f ca="1">IF(ISNUMBER(MATCH(DATEVALUE($A197),'recurring1_based on steps'!AB$1:AB$400,0)),AB$2,)</f>
        <v>0</v>
      </c>
      <c r="AC197" s="155">
        <f ca="1">IF(ISNUMBER(MATCH(DATEVALUE($A197),'recurring1_based on steps'!AC$1:AC$400,0)),AC$2,)</f>
        <v>0</v>
      </c>
      <c r="AD197" s="155">
        <f ca="1">IF(ISNUMBER(MATCH(DATEVALUE($A197),'recurring1_based on steps'!AD$1:AD$400,0)),AD$2,)</f>
        <v>0</v>
      </c>
      <c r="AE197" s="155">
        <f ca="1">IF(ISNUMBER(MATCH(DATEVALUE($A197),'recurring1_based on steps'!AE$1:AE$400,0)),AE$2,)</f>
        <v>0</v>
      </c>
      <c r="AF197" s="155">
        <f ca="1">IF(ISNUMBER(MATCH(DATEVALUE($A197),'recurring1_based on steps'!AF$1:AF$400,0)),AF$2,)</f>
        <v>0</v>
      </c>
      <c r="AG197" s="155">
        <f ca="1">IF(ISNUMBER(MATCH(DATEVALUE($A197),'recurring1_based on steps'!AG$1:AG$400,0)),AG$2,)</f>
        <v>0</v>
      </c>
      <c r="AH197" s="155">
        <f ca="1">IF(ISNUMBER(MATCH(DATEVALUE($A197),'recurring1_based on steps'!AH$1:AH$400,0)),AH$2,)</f>
        <v>0</v>
      </c>
      <c r="AI197" s="155">
        <f ca="1">IF(ISNUMBER(MATCH(DATEVALUE($A197),'recurring1_based on steps'!AI$1:AI$400,0)),AI$2,)</f>
        <v>0</v>
      </c>
      <c r="AJ197" s="155">
        <f ca="1">IF(ISNUMBER(MATCH(DATEVALUE($A197),'recurring1_based on steps'!AJ$1:AJ$400,0)),AJ$2,)</f>
        <v>0</v>
      </c>
      <c r="AK197" s="155">
        <f ca="1">IF(ISNUMBER(MATCH(DATEVALUE($A197),'recurring1_based on steps'!AK$1:AK$400,0)),AK$2,)</f>
        <v>0</v>
      </c>
      <c r="AL197" s="155">
        <f ca="1">IF(ISNUMBER(MATCH(DATEVALUE($A197),'recurring1_based on steps'!AL$1:AL$400,0)),AL$2,)</f>
        <v>0</v>
      </c>
      <c r="AM197" s="155">
        <f ca="1">IF(ISNUMBER(MATCH(DATEVALUE($A197),'recurring1_based on steps'!AM$1:AM$400,0)),AM$2,)</f>
        <v>0</v>
      </c>
      <c r="AN197" s="155">
        <f ca="1">IF(ISNUMBER(MATCH(DATEVALUE($A197),'recurring1_based on steps'!AN$1:AN$400,0)),AN$2,)</f>
        <v>0</v>
      </c>
      <c r="AO197" s="155">
        <f ca="1">IF(ISNUMBER(MATCH(DATEVALUE($A197),'recurring1_based on steps'!AO$1:AO$400,0)),AO$2,)</f>
        <v>0</v>
      </c>
      <c r="AP197" s="155">
        <f ca="1">IF(ISNUMBER(MATCH(DATEVALUE($A197),'recurring1_based on steps'!AP$1:AP$400,0)),AP$2,)</f>
        <v>0</v>
      </c>
      <c r="AQ197" s="155">
        <f ca="1">IF(ISNUMBER(MATCH(DATEVALUE($A197),'recurring1_based on steps'!AQ$1:AQ$400,0)),AQ$2,)</f>
        <v>0</v>
      </c>
      <c r="AR197" s="155">
        <f ca="1">IF(ISNUMBER(MATCH(DATEVALUE($A197),'recurring1_based on steps'!AR$1:AR$400,0)),AR$2,)</f>
        <v>0</v>
      </c>
      <c r="AS197" s="155">
        <f ca="1">IF(ISNUMBER(MATCH(DATEVALUE($A197),'recurring1_based on steps'!AS$1:AS$400,0)),AS$2,)</f>
        <v>0</v>
      </c>
      <c r="AT197" s="155">
        <f ca="1">IF(ISNUMBER(MATCH(DATEVALUE($A197),'recurring1_based on steps'!AT$1:AT$400,0)),AT$2,)</f>
        <v>0</v>
      </c>
      <c r="AU197" s="155">
        <f ca="1">IF(ISNUMBER(MATCH(DATEVALUE($A197),'recurring1_based on steps'!AU$1:AU$400,0)),AU$2,)</f>
        <v>0</v>
      </c>
      <c r="AV197" s="155">
        <f ca="1">IF(ISNUMBER(MATCH(DATEVALUE($A197),'recurring1_based on steps'!AV$1:AV$400,0)),AV$2,)</f>
        <v>0</v>
      </c>
      <c r="AW197" s="155">
        <f ca="1">IF(ISNUMBER(MATCH(DATEVALUE($A197),'recurring1_based on steps'!AW$1:AW$400,0)),AW$2,)</f>
        <v>0</v>
      </c>
      <c r="AX197" s="155">
        <f ca="1">IF(ISNUMBER(MATCH(DATEVALUE($A197),'recurring1_based on steps'!AX$1:AX$400,0)),AX$2,)</f>
        <v>0</v>
      </c>
      <c r="AY197" s="155">
        <f ca="1">IF(ISNUMBER(MATCH(DATEVALUE($A197),'recurring1_based on steps'!AY$1:AY$400,0)),AY$2,)</f>
        <v>0</v>
      </c>
    </row>
    <row r="198" spans="1:51" x14ac:dyDescent="0.2">
      <c r="A198" s="18" t="str">
        <f t="shared" ca="1" si="3"/>
        <v>2025-08-15</v>
      </c>
      <c r="B198" s="155">
        <f ca="1">IF(ISNUMBER(MATCH(DATEVALUE($A198),'recurring1_based on steps'!B$1:B$400,0)),B$2,)</f>
        <v>0</v>
      </c>
      <c r="C198" s="155">
        <f ca="1">IF(ISNUMBER(MATCH(DATEVALUE($A198),'recurring1_based on steps'!C$1:C$400,0)),C$2,)</f>
        <v>0</v>
      </c>
      <c r="D198" s="155">
        <f ca="1">IF(ISNUMBER(MATCH(DATEVALUE($A198),'recurring1_based on steps'!D$1:D$400,0)),D$2,)</f>
        <v>0</v>
      </c>
      <c r="E198" s="155">
        <f ca="1">IF(ISNUMBER(MATCH(DATEVALUE($A198),'recurring1_based on steps'!E$1:E$400,0)),E$2,)</f>
        <v>0</v>
      </c>
      <c r="F198" s="155">
        <f ca="1">IF(ISNUMBER(MATCH(DATEVALUE($A198),'recurring1_based on steps'!F$1:F$400,0)),F$2,)</f>
        <v>0</v>
      </c>
      <c r="G198" s="155">
        <f ca="1">IF(ISNUMBER(MATCH(DATEVALUE($A198),'recurring1_based on steps'!G$1:G$400,0)),G$2,)</f>
        <v>0</v>
      </c>
      <c r="H198" s="155">
        <f ca="1">IF(ISNUMBER(MATCH(DATEVALUE($A198),'recurring1_based on steps'!H$1:H$400,0)),H$2,)</f>
        <v>0</v>
      </c>
      <c r="I198" s="155">
        <f ca="1">IF(ISNUMBER(MATCH(DATEVALUE($A198),'recurring1_based on steps'!I$1:I$400,0)),I$2,)</f>
        <v>0</v>
      </c>
      <c r="J198" s="155">
        <f ca="1">IF(ISNUMBER(MATCH(DATEVALUE($A198),'recurring1_based on steps'!J$1:J$400,0)),J$2,)</f>
        <v>0</v>
      </c>
      <c r="K198" s="155">
        <f ca="1">IF(ISNUMBER(MATCH(DATEVALUE($A198),'recurring1_based on steps'!K$1:K$400,0)),K$2,)</f>
        <v>0</v>
      </c>
      <c r="L198" s="155">
        <f ca="1">IF(ISNUMBER(MATCH(DATEVALUE($A198),'recurring1_based on steps'!L$1:L$400,0)),L$2,)</f>
        <v>0</v>
      </c>
      <c r="M198" s="155">
        <f ca="1">IF(ISNUMBER(MATCH(DATEVALUE($A198),'recurring1_based on steps'!M$1:M$400,0)),M$2,)</f>
        <v>0</v>
      </c>
      <c r="N198" s="155">
        <f ca="1">IF(ISNUMBER(MATCH(DATEVALUE($A198),'recurring1_based on steps'!N$1:N$400,0)),N$2,)</f>
        <v>0</v>
      </c>
      <c r="O198" s="155">
        <f ca="1">IF(ISNUMBER(MATCH(DATEVALUE($A198),'recurring1_based on steps'!O$1:O$400,0)),O$2,)</f>
        <v>0</v>
      </c>
      <c r="P198" s="155">
        <f ca="1">IF(ISNUMBER(MATCH(DATEVALUE($A198),'recurring1_based on steps'!P$1:P$400,0)),P$2,)</f>
        <v>0</v>
      </c>
      <c r="Q198" s="155">
        <f ca="1">IF(ISNUMBER(MATCH(DATEVALUE($A198),'recurring1_based on steps'!Q$1:Q$400,0)),Q$2,)</f>
        <v>0</v>
      </c>
      <c r="R198" s="155">
        <f ca="1">IF(ISNUMBER(MATCH(DATEVALUE($A198),'recurring1_based on steps'!R$1:R$400,0)),R$2,)</f>
        <v>0</v>
      </c>
      <c r="S198" s="155">
        <f ca="1">IF(ISNUMBER(MATCH(DATEVALUE($A198),'recurring1_based on steps'!S$1:S$400,0)),S$2,)</f>
        <v>0</v>
      </c>
      <c r="T198" s="155">
        <f ca="1">IF(ISNUMBER(MATCH(DATEVALUE($A198),'recurring1_based on steps'!T$1:T$400,0)),T$2,)</f>
        <v>0</v>
      </c>
      <c r="U198" s="155">
        <f ca="1">IF(ISNUMBER(MATCH(DATEVALUE($A198),'recurring1_based on steps'!U$1:U$400,0)),U$2,)</f>
        <v>0</v>
      </c>
      <c r="V198" s="155">
        <f ca="1">IF(ISNUMBER(MATCH(DATEVALUE($A198),'recurring1_based on steps'!V$1:V$400,0)),V$2,)</f>
        <v>0</v>
      </c>
      <c r="W198" s="155">
        <f ca="1">IF(ISNUMBER(MATCH(DATEVALUE($A198),'recurring1_based on steps'!W$1:W$400,0)),W$2,)</f>
        <v>0</v>
      </c>
      <c r="X198" s="155">
        <f ca="1">IF(ISNUMBER(MATCH(DATEVALUE($A198),'recurring1_based on steps'!X$1:X$400,0)),X$2,)</f>
        <v>0</v>
      </c>
      <c r="Y198" s="155">
        <f ca="1">IF(ISNUMBER(MATCH(DATEVALUE($A198),'recurring1_based on steps'!Y$1:Y$400,0)),Y$2,)</f>
        <v>0</v>
      </c>
      <c r="Z198" s="155">
        <f ca="1">IF(ISNUMBER(MATCH(DATEVALUE($A198),'recurring1_based on steps'!Z$1:Z$400,0)),Z$2,)</f>
        <v>0</v>
      </c>
      <c r="AA198" s="155">
        <f ca="1">IF(ISNUMBER(MATCH(DATEVALUE($A198),'recurring1_based on steps'!AA$1:AA$400,0)),AA$2,)</f>
        <v>0</v>
      </c>
      <c r="AB198" s="155">
        <f ca="1">IF(ISNUMBER(MATCH(DATEVALUE($A198),'recurring1_based on steps'!AB$1:AB$400,0)),AB$2,)</f>
        <v>0</v>
      </c>
      <c r="AC198" s="155">
        <f ca="1">IF(ISNUMBER(MATCH(DATEVALUE($A198),'recurring1_based on steps'!AC$1:AC$400,0)),AC$2,)</f>
        <v>0</v>
      </c>
      <c r="AD198" s="155">
        <f ca="1">IF(ISNUMBER(MATCH(DATEVALUE($A198),'recurring1_based on steps'!AD$1:AD$400,0)),AD$2,)</f>
        <v>0</v>
      </c>
      <c r="AE198" s="155">
        <f ca="1">IF(ISNUMBER(MATCH(DATEVALUE($A198),'recurring1_based on steps'!AE$1:AE$400,0)),AE$2,)</f>
        <v>0</v>
      </c>
      <c r="AF198" s="155">
        <f ca="1">IF(ISNUMBER(MATCH(DATEVALUE($A198),'recurring1_based on steps'!AF$1:AF$400,0)),AF$2,)</f>
        <v>0</v>
      </c>
      <c r="AG198" s="155">
        <f ca="1">IF(ISNUMBER(MATCH(DATEVALUE($A198),'recurring1_based on steps'!AG$1:AG$400,0)),AG$2,)</f>
        <v>0</v>
      </c>
      <c r="AH198" s="155">
        <f ca="1">IF(ISNUMBER(MATCH(DATEVALUE($A198),'recurring1_based on steps'!AH$1:AH$400,0)),AH$2,)</f>
        <v>0</v>
      </c>
      <c r="AI198" s="155">
        <f ca="1">IF(ISNUMBER(MATCH(DATEVALUE($A198),'recurring1_based on steps'!AI$1:AI$400,0)),AI$2,)</f>
        <v>0</v>
      </c>
      <c r="AJ198" s="155">
        <f ca="1">IF(ISNUMBER(MATCH(DATEVALUE($A198),'recurring1_based on steps'!AJ$1:AJ$400,0)),AJ$2,)</f>
        <v>0</v>
      </c>
      <c r="AK198" s="155">
        <f ca="1">IF(ISNUMBER(MATCH(DATEVALUE($A198),'recurring1_based on steps'!AK$1:AK$400,0)),AK$2,)</f>
        <v>0</v>
      </c>
      <c r="AL198" s="155">
        <f ca="1">IF(ISNUMBER(MATCH(DATEVALUE($A198),'recurring1_based on steps'!AL$1:AL$400,0)),AL$2,)</f>
        <v>0</v>
      </c>
      <c r="AM198" s="155">
        <f ca="1">IF(ISNUMBER(MATCH(DATEVALUE($A198),'recurring1_based on steps'!AM$1:AM$400,0)),AM$2,)</f>
        <v>0</v>
      </c>
      <c r="AN198" s="155">
        <f ca="1">IF(ISNUMBER(MATCH(DATEVALUE($A198),'recurring1_based on steps'!AN$1:AN$400,0)),AN$2,)</f>
        <v>0</v>
      </c>
      <c r="AO198" s="155">
        <f ca="1">IF(ISNUMBER(MATCH(DATEVALUE($A198),'recurring1_based on steps'!AO$1:AO$400,0)),AO$2,)</f>
        <v>0</v>
      </c>
      <c r="AP198" s="155">
        <f ca="1">IF(ISNUMBER(MATCH(DATEVALUE($A198),'recurring1_based on steps'!AP$1:AP$400,0)),AP$2,)</f>
        <v>0</v>
      </c>
      <c r="AQ198" s="155">
        <f ca="1">IF(ISNUMBER(MATCH(DATEVALUE($A198),'recurring1_based on steps'!AQ$1:AQ$400,0)),AQ$2,)</f>
        <v>0</v>
      </c>
      <c r="AR198" s="155">
        <f ca="1">IF(ISNUMBER(MATCH(DATEVALUE($A198),'recurring1_based on steps'!AR$1:AR$400,0)),AR$2,)</f>
        <v>0</v>
      </c>
      <c r="AS198" s="155">
        <f ca="1">IF(ISNUMBER(MATCH(DATEVALUE($A198),'recurring1_based on steps'!AS$1:AS$400,0)),AS$2,)</f>
        <v>0</v>
      </c>
      <c r="AT198" s="155">
        <f ca="1">IF(ISNUMBER(MATCH(DATEVALUE($A198),'recurring1_based on steps'!AT$1:AT$400,0)),AT$2,)</f>
        <v>0</v>
      </c>
      <c r="AU198" s="155">
        <f ca="1">IF(ISNUMBER(MATCH(DATEVALUE($A198),'recurring1_based on steps'!AU$1:AU$400,0)),AU$2,)</f>
        <v>0</v>
      </c>
      <c r="AV198" s="155">
        <f ca="1">IF(ISNUMBER(MATCH(DATEVALUE($A198),'recurring1_based on steps'!AV$1:AV$400,0)),AV$2,)</f>
        <v>0</v>
      </c>
      <c r="AW198" s="155">
        <f ca="1">IF(ISNUMBER(MATCH(DATEVALUE($A198),'recurring1_based on steps'!AW$1:AW$400,0)),AW$2,)</f>
        <v>0</v>
      </c>
      <c r="AX198" s="155">
        <f ca="1">IF(ISNUMBER(MATCH(DATEVALUE($A198),'recurring1_based on steps'!AX$1:AX$400,0)),AX$2,)</f>
        <v>0</v>
      </c>
      <c r="AY198" s="155">
        <f ca="1">IF(ISNUMBER(MATCH(DATEVALUE($A198),'recurring1_based on steps'!AY$1:AY$400,0)),AY$2,)</f>
        <v>0</v>
      </c>
    </row>
    <row r="199" spans="1:51" x14ac:dyDescent="0.2">
      <c r="A199" s="18" t="str">
        <f t="shared" ca="1" si="3"/>
        <v>2025-08-16</v>
      </c>
      <c r="B199" s="155">
        <f ca="1">IF(ISNUMBER(MATCH(DATEVALUE($A199),'recurring1_based on steps'!B$1:B$400,0)),B$2,)</f>
        <v>0</v>
      </c>
      <c r="C199" s="155">
        <f ca="1">IF(ISNUMBER(MATCH(DATEVALUE($A199),'recurring1_based on steps'!C$1:C$400,0)),C$2,)</f>
        <v>0</v>
      </c>
      <c r="D199" s="155">
        <f ca="1">IF(ISNUMBER(MATCH(DATEVALUE($A199),'recurring1_based on steps'!D$1:D$400,0)),D$2,)</f>
        <v>0</v>
      </c>
      <c r="E199" s="155">
        <f ca="1">IF(ISNUMBER(MATCH(DATEVALUE($A199),'recurring1_based on steps'!E$1:E$400,0)),E$2,)</f>
        <v>0</v>
      </c>
      <c r="F199" s="155">
        <f ca="1">IF(ISNUMBER(MATCH(DATEVALUE($A199),'recurring1_based on steps'!F$1:F$400,0)),F$2,)</f>
        <v>0</v>
      </c>
      <c r="G199" s="155">
        <f ca="1">IF(ISNUMBER(MATCH(DATEVALUE($A199),'recurring1_based on steps'!G$1:G$400,0)),G$2,)</f>
        <v>0</v>
      </c>
      <c r="H199" s="155">
        <f ca="1">IF(ISNUMBER(MATCH(DATEVALUE($A199),'recurring1_based on steps'!H$1:H$400,0)),H$2,)</f>
        <v>0</v>
      </c>
      <c r="I199" s="155">
        <f ca="1">IF(ISNUMBER(MATCH(DATEVALUE($A199),'recurring1_based on steps'!I$1:I$400,0)),I$2,)</f>
        <v>0</v>
      </c>
      <c r="J199" s="155">
        <f ca="1">IF(ISNUMBER(MATCH(DATEVALUE($A199),'recurring1_based on steps'!J$1:J$400,0)),J$2,)</f>
        <v>0</v>
      </c>
      <c r="K199" s="155">
        <f ca="1">IF(ISNUMBER(MATCH(DATEVALUE($A199),'recurring1_based on steps'!K$1:K$400,0)),K$2,)</f>
        <v>0</v>
      </c>
      <c r="L199" s="155">
        <f ca="1">IF(ISNUMBER(MATCH(DATEVALUE($A199),'recurring1_based on steps'!L$1:L$400,0)),L$2,)</f>
        <v>0</v>
      </c>
      <c r="M199" s="155">
        <f ca="1">IF(ISNUMBER(MATCH(DATEVALUE($A199),'recurring1_based on steps'!M$1:M$400,0)),M$2,)</f>
        <v>0</v>
      </c>
      <c r="N199" s="155">
        <f ca="1">IF(ISNUMBER(MATCH(DATEVALUE($A199),'recurring1_based on steps'!N$1:N$400,0)),N$2,)</f>
        <v>0</v>
      </c>
      <c r="O199" s="155">
        <f ca="1">IF(ISNUMBER(MATCH(DATEVALUE($A199),'recurring1_based on steps'!O$1:O$400,0)),O$2,)</f>
        <v>0</v>
      </c>
      <c r="P199" s="155">
        <f ca="1">IF(ISNUMBER(MATCH(DATEVALUE($A199),'recurring1_based on steps'!P$1:P$400,0)),P$2,)</f>
        <v>0</v>
      </c>
      <c r="Q199" s="155">
        <f ca="1">IF(ISNUMBER(MATCH(DATEVALUE($A199),'recurring1_based on steps'!Q$1:Q$400,0)),Q$2,)</f>
        <v>100</v>
      </c>
      <c r="R199" s="155">
        <f ca="1">IF(ISNUMBER(MATCH(DATEVALUE($A199),'recurring1_based on steps'!R$1:R$400,0)),R$2,)</f>
        <v>100</v>
      </c>
      <c r="S199" s="155">
        <f ca="1">IF(ISNUMBER(MATCH(DATEVALUE($A199),'recurring1_based on steps'!S$1:S$400,0)),S$2,)</f>
        <v>0</v>
      </c>
      <c r="T199" s="155">
        <f ca="1">IF(ISNUMBER(MATCH(DATEVALUE($A199),'recurring1_based on steps'!T$1:T$400,0)),T$2,)</f>
        <v>0</v>
      </c>
      <c r="U199" s="155">
        <f ca="1">IF(ISNUMBER(MATCH(DATEVALUE($A199),'recurring1_based on steps'!U$1:U$400,0)),U$2,)</f>
        <v>0</v>
      </c>
      <c r="V199" s="155">
        <f ca="1">IF(ISNUMBER(MATCH(DATEVALUE($A199),'recurring1_based on steps'!V$1:V$400,0)),V$2,)</f>
        <v>0</v>
      </c>
      <c r="W199" s="155">
        <f ca="1">IF(ISNUMBER(MATCH(DATEVALUE($A199),'recurring1_based on steps'!W$1:W$400,0)),W$2,)</f>
        <v>0</v>
      </c>
      <c r="X199" s="155">
        <f ca="1">IF(ISNUMBER(MATCH(DATEVALUE($A199),'recurring1_based on steps'!X$1:X$400,0)),X$2,)</f>
        <v>0</v>
      </c>
      <c r="Y199" s="155">
        <f ca="1">IF(ISNUMBER(MATCH(DATEVALUE($A199),'recurring1_based on steps'!Y$1:Y$400,0)),Y$2,)</f>
        <v>0</v>
      </c>
      <c r="Z199" s="155">
        <f ca="1">IF(ISNUMBER(MATCH(DATEVALUE($A199),'recurring1_based on steps'!Z$1:Z$400,0)),Z$2,)</f>
        <v>0</v>
      </c>
      <c r="AA199" s="155">
        <f ca="1">IF(ISNUMBER(MATCH(DATEVALUE($A199),'recurring1_based on steps'!AA$1:AA$400,0)),AA$2,)</f>
        <v>0</v>
      </c>
      <c r="AB199" s="155">
        <f ca="1">IF(ISNUMBER(MATCH(DATEVALUE($A199),'recurring1_based on steps'!AB$1:AB$400,0)),AB$2,)</f>
        <v>0</v>
      </c>
      <c r="AC199" s="155">
        <f ca="1">IF(ISNUMBER(MATCH(DATEVALUE($A199),'recurring1_based on steps'!AC$1:AC$400,0)),AC$2,)</f>
        <v>0</v>
      </c>
      <c r="AD199" s="155">
        <f ca="1">IF(ISNUMBER(MATCH(DATEVALUE($A199),'recurring1_based on steps'!AD$1:AD$400,0)),AD$2,)</f>
        <v>0</v>
      </c>
      <c r="AE199" s="155">
        <f ca="1">IF(ISNUMBER(MATCH(DATEVALUE($A199),'recurring1_based on steps'!AE$1:AE$400,0)),AE$2,)</f>
        <v>0</v>
      </c>
      <c r="AF199" s="155">
        <f ca="1">IF(ISNUMBER(MATCH(DATEVALUE($A199),'recurring1_based on steps'!AF$1:AF$400,0)),AF$2,)</f>
        <v>0</v>
      </c>
      <c r="AG199" s="155">
        <f ca="1">IF(ISNUMBER(MATCH(DATEVALUE($A199),'recurring1_based on steps'!AG$1:AG$400,0)),AG$2,)</f>
        <v>0</v>
      </c>
      <c r="AH199" s="155">
        <f ca="1">IF(ISNUMBER(MATCH(DATEVALUE($A199),'recurring1_based on steps'!AH$1:AH$400,0)),AH$2,)</f>
        <v>0</v>
      </c>
      <c r="AI199" s="155">
        <f ca="1">IF(ISNUMBER(MATCH(DATEVALUE($A199),'recurring1_based on steps'!AI$1:AI$400,0)),AI$2,)</f>
        <v>0</v>
      </c>
      <c r="AJ199" s="155">
        <f ca="1">IF(ISNUMBER(MATCH(DATEVALUE($A199),'recurring1_based on steps'!AJ$1:AJ$400,0)),AJ$2,)</f>
        <v>0</v>
      </c>
      <c r="AK199" s="155">
        <f ca="1">IF(ISNUMBER(MATCH(DATEVALUE($A199),'recurring1_based on steps'!AK$1:AK$400,0)),AK$2,)</f>
        <v>0</v>
      </c>
      <c r="AL199" s="155">
        <f ca="1">IF(ISNUMBER(MATCH(DATEVALUE($A199),'recurring1_based on steps'!AL$1:AL$400,0)),AL$2,)</f>
        <v>0</v>
      </c>
      <c r="AM199" s="155">
        <f ca="1">IF(ISNUMBER(MATCH(DATEVALUE($A199),'recurring1_based on steps'!AM$1:AM$400,0)),AM$2,)</f>
        <v>0</v>
      </c>
      <c r="AN199" s="155">
        <f ca="1">IF(ISNUMBER(MATCH(DATEVALUE($A199),'recurring1_based on steps'!AN$1:AN$400,0)),AN$2,)</f>
        <v>0</v>
      </c>
      <c r="AO199" s="155">
        <f ca="1">IF(ISNUMBER(MATCH(DATEVALUE($A199),'recurring1_based on steps'!AO$1:AO$400,0)),AO$2,)</f>
        <v>0</v>
      </c>
      <c r="AP199" s="155">
        <f ca="1">IF(ISNUMBER(MATCH(DATEVALUE($A199),'recurring1_based on steps'!AP$1:AP$400,0)),AP$2,)</f>
        <v>0</v>
      </c>
      <c r="AQ199" s="155">
        <f ca="1">IF(ISNUMBER(MATCH(DATEVALUE($A199),'recurring1_based on steps'!AQ$1:AQ$400,0)),AQ$2,)</f>
        <v>0</v>
      </c>
      <c r="AR199" s="155">
        <f ca="1">IF(ISNUMBER(MATCH(DATEVALUE($A199),'recurring1_based on steps'!AR$1:AR$400,0)),AR$2,)</f>
        <v>0</v>
      </c>
      <c r="AS199" s="155">
        <f ca="1">IF(ISNUMBER(MATCH(DATEVALUE($A199),'recurring1_based on steps'!AS$1:AS$400,0)),AS$2,)</f>
        <v>0</v>
      </c>
      <c r="AT199" s="155">
        <f ca="1">IF(ISNUMBER(MATCH(DATEVALUE($A199),'recurring1_based on steps'!AT$1:AT$400,0)),AT$2,)</f>
        <v>0</v>
      </c>
      <c r="AU199" s="155">
        <f ca="1">IF(ISNUMBER(MATCH(DATEVALUE($A199),'recurring1_based on steps'!AU$1:AU$400,0)),AU$2,)</f>
        <v>0</v>
      </c>
      <c r="AV199" s="155">
        <f ca="1">IF(ISNUMBER(MATCH(DATEVALUE($A199),'recurring1_based on steps'!AV$1:AV$400,0)),AV$2,)</f>
        <v>0</v>
      </c>
      <c r="AW199" s="155">
        <f ca="1">IF(ISNUMBER(MATCH(DATEVALUE($A199),'recurring1_based on steps'!AW$1:AW$400,0)),AW$2,)</f>
        <v>0</v>
      </c>
      <c r="AX199" s="155">
        <f ca="1">IF(ISNUMBER(MATCH(DATEVALUE($A199),'recurring1_based on steps'!AX$1:AX$400,0)),AX$2,)</f>
        <v>0</v>
      </c>
      <c r="AY199" s="155">
        <f ca="1">IF(ISNUMBER(MATCH(DATEVALUE($A199),'recurring1_based on steps'!AY$1:AY$400,0)),AY$2,)</f>
        <v>0</v>
      </c>
    </row>
    <row r="200" spans="1:51" x14ac:dyDescent="0.2">
      <c r="A200" s="18" t="str">
        <f t="shared" ca="1" si="3"/>
        <v>2025-08-17</v>
      </c>
      <c r="B200" s="155">
        <f ca="1">IF(ISNUMBER(MATCH(DATEVALUE($A200),'recurring1_based on steps'!B$1:B$400,0)),B$2,)</f>
        <v>0</v>
      </c>
      <c r="C200" s="155">
        <f ca="1">IF(ISNUMBER(MATCH(DATEVALUE($A200),'recurring1_based on steps'!C$1:C$400,0)),C$2,)</f>
        <v>0</v>
      </c>
      <c r="D200" s="155">
        <f ca="1">IF(ISNUMBER(MATCH(DATEVALUE($A200),'recurring1_based on steps'!D$1:D$400,0)),D$2,)</f>
        <v>0</v>
      </c>
      <c r="E200" s="155">
        <f ca="1">IF(ISNUMBER(MATCH(DATEVALUE($A200),'recurring1_based on steps'!E$1:E$400,0)),E$2,)</f>
        <v>0</v>
      </c>
      <c r="F200" s="155">
        <f ca="1">IF(ISNUMBER(MATCH(DATEVALUE($A200),'recurring1_based on steps'!F$1:F$400,0)),F$2,)</f>
        <v>0</v>
      </c>
      <c r="G200" s="155">
        <f ca="1">IF(ISNUMBER(MATCH(DATEVALUE($A200),'recurring1_based on steps'!G$1:G$400,0)),G$2,)</f>
        <v>0</v>
      </c>
      <c r="H200" s="155">
        <f ca="1">IF(ISNUMBER(MATCH(DATEVALUE($A200),'recurring1_based on steps'!H$1:H$400,0)),H$2,)</f>
        <v>0</v>
      </c>
      <c r="I200" s="155">
        <f ca="1">IF(ISNUMBER(MATCH(DATEVALUE($A200),'recurring1_based on steps'!I$1:I$400,0)),I$2,)</f>
        <v>0</v>
      </c>
      <c r="J200" s="155">
        <f ca="1">IF(ISNUMBER(MATCH(DATEVALUE($A200),'recurring1_based on steps'!J$1:J$400,0)),J$2,)</f>
        <v>0</v>
      </c>
      <c r="K200" s="155">
        <f ca="1">IF(ISNUMBER(MATCH(DATEVALUE($A200),'recurring1_based on steps'!K$1:K$400,0)),K$2,)</f>
        <v>50</v>
      </c>
      <c r="L200" s="155">
        <f ca="1">IF(ISNUMBER(MATCH(DATEVALUE($A200),'recurring1_based on steps'!L$1:L$400,0)),L$2,)</f>
        <v>0</v>
      </c>
      <c r="M200" s="155">
        <f ca="1">IF(ISNUMBER(MATCH(DATEVALUE($A200),'recurring1_based on steps'!M$1:M$400,0)),M$2,)</f>
        <v>0</v>
      </c>
      <c r="N200" s="155">
        <f ca="1">IF(ISNUMBER(MATCH(DATEVALUE($A200),'recurring1_based on steps'!N$1:N$400,0)),N$2,)</f>
        <v>15.49</v>
      </c>
      <c r="O200" s="155">
        <f ca="1">IF(ISNUMBER(MATCH(DATEVALUE($A200),'recurring1_based on steps'!O$1:O$400,0)),O$2,)</f>
        <v>0</v>
      </c>
      <c r="P200" s="155">
        <f ca="1">IF(ISNUMBER(MATCH(DATEVALUE($A200),'recurring1_based on steps'!P$1:P$400,0)),P$2,)</f>
        <v>0</v>
      </c>
      <c r="Q200" s="155">
        <f ca="1">IF(ISNUMBER(MATCH(DATEVALUE($A200),'recurring1_based on steps'!Q$1:Q$400,0)),Q$2,)</f>
        <v>0</v>
      </c>
      <c r="R200" s="155">
        <f ca="1">IF(ISNUMBER(MATCH(DATEVALUE($A200),'recurring1_based on steps'!R$1:R$400,0)),R$2,)</f>
        <v>0</v>
      </c>
      <c r="S200" s="155">
        <f ca="1">IF(ISNUMBER(MATCH(DATEVALUE($A200),'recurring1_based on steps'!S$1:S$400,0)),S$2,)</f>
        <v>100</v>
      </c>
      <c r="T200" s="155">
        <f ca="1">IF(ISNUMBER(MATCH(DATEVALUE($A200),'recurring1_based on steps'!T$1:T$400,0)),T$2,)</f>
        <v>0</v>
      </c>
      <c r="U200" s="155">
        <f ca="1">IF(ISNUMBER(MATCH(DATEVALUE($A200),'recurring1_based on steps'!U$1:U$400,0)),U$2,)</f>
        <v>0</v>
      </c>
      <c r="V200" s="155">
        <f ca="1">IF(ISNUMBER(MATCH(DATEVALUE($A200),'recurring1_based on steps'!V$1:V$400,0)),V$2,)</f>
        <v>200</v>
      </c>
      <c r="W200" s="155">
        <f ca="1">IF(ISNUMBER(MATCH(DATEVALUE($A200),'recurring1_based on steps'!W$1:W$400,0)),W$2,)</f>
        <v>0</v>
      </c>
      <c r="X200" s="155">
        <f ca="1">IF(ISNUMBER(MATCH(DATEVALUE($A200),'recurring1_based on steps'!X$1:X$400,0)),X$2,)</f>
        <v>0</v>
      </c>
      <c r="Y200" s="155">
        <f ca="1">IF(ISNUMBER(MATCH(DATEVALUE($A200),'recurring1_based on steps'!Y$1:Y$400,0)),Y$2,)</f>
        <v>0</v>
      </c>
      <c r="Z200" s="155">
        <f ca="1">IF(ISNUMBER(MATCH(DATEVALUE($A200),'recurring1_based on steps'!Z$1:Z$400,0)),Z$2,)</f>
        <v>0</v>
      </c>
      <c r="AA200" s="155">
        <f ca="1">IF(ISNUMBER(MATCH(DATEVALUE($A200),'recurring1_based on steps'!AA$1:AA$400,0)),AA$2,)</f>
        <v>0</v>
      </c>
      <c r="AB200" s="155">
        <f ca="1">IF(ISNUMBER(MATCH(DATEVALUE($A200),'recurring1_based on steps'!AB$1:AB$400,0)),AB$2,)</f>
        <v>0</v>
      </c>
      <c r="AC200" s="155">
        <f ca="1">IF(ISNUMBER(MATCH(DATEVALUE($A200),'recurring1_based on steps'!AC$1:AC$400,0)),AC$2,)</f>
        <v>0</v>
      </c>
      <c r="AD200" s="155">
        <f ca="1">IF(ISNUMBER(MATCH(DATEVALUE($A200),'recurring1_based on steps'!AD$1:AD$400,0)),AD$2,)</f>
        <v>0</v>
      </c>
      <c r="AE200" s="155">
        <f ca="1">IF(ISNUMBER(MATCH(DATEVALUE($A200),'recurring1_based on steps'!AE$1:AE$400,0)),AE$2,)</f>
        <v>0</v>
      </c>
      <c r="AF200" s="155">
        <f ca="1">IF(ISNUMBER(MATCH(DATEVALUE($A200),'recurring1_based on steps'!AF$1:AF$400,0)),AF$2,)</f>
        <v>0</v>
      </c>
      <c r="AG200" s="155">
        <f ca="1">IF(ISNUMBER(MATCH(DATEVALUE($A200),'recurring1_based on steps'!AG$1:AG$400,0)),AG$2,)</f>
        <v>0</v>
      </c>
      <c r="AH200" s="155">
        <f ca="1">IF(ISNUMBER(MATCH(DATEVALUE($A200),'recurring1_based on steps'!AH$1:AH$400,0)),AH$2,)</f>
        <v>0</v>
      </c>
      <c r="AI200" s="155">
        <f ca="1">IF(ISNUMBER(MATCH(DATEVALUE($A200),'recurring1_based on steps'!AI$1:AI$400,0)),AI$2,)</f>
        <v>0</v>
      </c>
      <c r="AJ200" s="155">
        <f ca="1">IF(ISNUMBER(MATCH(DATEVALUE($A200),'recurring1_based on steps'!AJ$1:AJ$400,0)),AJ$2,)</f>
        <v>0</v>
      </c>
      <c r="AK200" s="155">
        <f ca="1">IF(ISNUMBER(MATCH(DATEVALUE($A200),'recurring1_based on steps'!AK$1:AK$400,0)),AK$2,)</f>
        <v>0</v>
      </c>
      <c r="AL200" s="155">
        <f ca="1">IF(ISNUMBER(MATCH(DATEVALUE($A200),'recurring1_based on steps'!AL$1:AL$400,0)),AL$2,)</f>
        <v>0</v>
      </c>
      <c r="AM200" s="155">
        <f ca="1">IF(ISNUMBER(MATCH(DATEVALUE($A200),'recurring1_based on steps'!AM$1:AM$400,0)),AM$2,)</f>
        <v>0</v>
      </c>
      <c r="AN200" s="155">
        <f ca="1">IF(ISNUMBER(MATCH(DATEVALUE($A200),'recurring1_based on steps'!AN$1:AN$400,0)),AN$2,)</f>
        <v>0</v>
      </c>
      <c r="AO200" s="155">
        <f ca="1">IF(ISNUMBER(MATCH(DATEVALUE($A200),'recurring1_based on steps'!AO$1:AO$400,0)),AO$2,)</f>
        <v>0</v>
      </c>
      <c r="AP200" s="155">
        <f ca="1">IF(ISNUMBER(MATCH(DATEVALUE($A200),'recurring1_based on steps'!AP$1:AP$400,0)),AP$2,)</f>
        <v>0</v>
      </c>
      <c r="AQ200" s="155">
        <f ca="1">IF(ISNUMBER(MATCH(DATEVALUE($A200),'recurring1_based on steps'!AQ$1:AQ$400,0)),AQ$2,)</f>
        <v>0</v>
      </c>
      <c r="AR200" s="155">
        <f ca="1">IF(ISNUMBER(MATCH(DATEVALUE($A200),'recurring1_based on steps'!AR$1:AR$400,0)),AR$2,)</f>
        <v>0</v>
      </c>
      <c r="AS200" s="155">
        <f ca="1">IF(ISNUMBER(MATCH(DATEVALUE($A200),'recurring1_based on steps'!AS$1:AS$400,0)),AS$2,)</f>
        <v>0</v>
      </c>
      <c r="AT200" s="155">
        <f ca="1">IF(ISNUMBER(MATCH(DATEVALUE($A200),'recurring1_based on steps'!AT$1:AT$400,0)),AT$2,)</f>
        <v>0</v>
      </c>
      <c r="AU200" s="155">
        <f ca="1">IF(ISNUMBER(MATCH(DATEVALUE($A200),'recurring1_based on steps'!AU$1:AU$400,0)),AU$2,)</f>
        <v>0</v>
      </c>
      <c r="AV200" s="155">
        <f ca="1">IF(ISNUMBER(MATCH(DATEVALUE($A200),'recurring1_based on steps'!AV$1:AV$400,0)),AV$2,)</f>
        <v>0</v>
      </c>
      <c r="AW200" s="155">
        <f ca="1">IF(ISNUMBER(MATCH(DATEVALUE($A200),'recurring1_based on steps'!AW$1:AW$400,0)),AW$2,)</f>
        <v>0</v>
      </c>
      <c r="AX200" s="155">
        <f ca="1">IF(ISNUMBER(MATCH(DATEVALUE($A200),'recurring1_based on steps'!AX$1:AX$400,0)),AX$2,)</f>
        <v>0</v>
      </c>
      <c r="AY200" s="155">
        <f ca="1">IF(ISNUMBER(MATCH(DATEVALUE($A200),'recurring1_based on steps'!AY$1:AY$400,0)),AY$2,)</f>
        <v>0</v>
      </c>
    </row>
    <row r="201" spans="1:51" x14ac:dyDescent="0.2">
      <c r="A201" s="18" t="str">
        <f t="shared" ca="1" si="3"/>
        <v>2025-08-18</v>
      </c>
      <c r="B201" s="155">
        <f ca="1">IF(ISNUMBER(MATCH(DATEVALUE($A201),'recurring1_based on steps'!B$1:B$400,0)),B$2,)</f>
        <v>0</v>
      </c>
      <c r="C201" s="155">
        <f ca="1">IF(ISNUMBER(MATCH(DATEVALUE($A201),'recurring1_based on steps'!C$1:C$400,0)),C$2,)</f>
        <v>0</v>
      </c>
      <c r="D201" s="155">
        <f ca="1">IF(ISNUMBER(MATCH(DATEVALUE($A201),'recurring1_based on steps'!D$1:D$400,0)),D$2,)</f>
        <v>0</v>
      </c>
      <c r="E201" s="155">
        <f ca="1">IF(ISNUMBER(MATCH(DATEVALUE($A201),'recurring1_based on steps'!E$1:E$400,0)),E$2,)</f>
        <v>0</v>
      </c>
      <c r="F201" s="155">
        <f ca="1">IF(ISNUMBER(MATCH(DATEVALUE($A201),'recurring1_based on steps'!F$1:F$400,0)),F$2,)</f>
        <v>0</v>
      </c>
      <c r="G201" s="155">
        <f ca="1">IF(ISNUMBER(MATCH(DATEVALUE($A201),'recurring1_based on steps'!G$1:G$400,0)),G$2,)</f>
        <v>0</v>
      </c>
      <c r="H201" s="155">
        <f ca="1">IF(ISNUMBER(MATCH(DATEVALUE($A201),'recurring1_based on steps'!H$1:H$400,0)),H$2,)</f>
        <v>0</v>
      </c>
      <c r="I201" s="155">
        <f ca="1">IF(ISNUMBER(MATCH(DATEVALUE($A201),'recurring1_based on steps'!I$1:I$400,0)),I$2,)</f>
        <v>0</v>
      </c>
      <c r="J201" s="155">
        <f ca="1">IF(ISNUMBER(MATCH(DATEVALUE($A201),'recurring1_based on steps'!J$1:J$400,0)),J$2,)</f>
        <v>0</v>
      </c>
      <c r="K201" s="155">
        <f ca="1">IF(ISNUMBER(MATCH(DATEVALUE($A201),'recurring1_based on steps'!K$1:K$400,0)),K$2,)</f>
        <v>0</v>
      </c>
      <c r="L201" s="155">
        <f ca="1">IF(ISNUMBER(MATCH(DATEVALUE($A201),'recurring1_based on steps'!L$1:L$400,0)),L$2,)</f>
        <v>0</v>
      </c>
      <c r="M201" s="155">
        <f ca="1">IF(ISNUMBER(MATCH(DATEVALUE($A201),'recurring1_based on steps'!M$1:M$400,0)),M$2,)</f>
        <v>0</v>
      </c>
      <c r="N201" s="155">
        <f ca="1">IF(ISNUMBER(MATCH(DATEVALUE($A201),'recurring1_based on steps'!N$1:N$400,0)),N$2,)</f>
        <v>0</v>
      </c>
      <c r="O201" s="155">
        <f ca="1">IF(ISNUMBER(MATCH(DATEVALUE($A201),'recurring1_based on steps'!O$1:O$400,0)),O$2,)</f>
        <v>10.99</v>
      </c>
      <c r="P201" s="155">
        <f ca="1">IF(ISNUMBER(MATCH(DATEVALUE($A201),'recurring1_based on steps'!P$1:P$400,0)),P$2,)</f>
        <v>0</v>
      </c>
      <c r="Q201" s="155">
        <f ca="1">IF(ISNUMBER(MATCH(DATEVALUE($A201),'recurring1_based on steps'!Q$1:Q$400,0)),Q$2,)</f>
        <v>0</v>
      </c>
      <c r="R201" s="155">
        <f ca="1">IF(ISNUMBER(MATCH(DATEVALUE($A201),'recurring1_based on steps'!R$1:R$400,0)),R$2,)</f>
        <v>0</v>
      </c>
      <c r="S201" s="155">
        <f ca="1">IF(ISNUMBER(MATCH(DATEVALUE($A201),'recurring1_based on steps'!S$1:S$400,0)),S$2,)</f>
        <v>0</v>
      </c>
      <c r="T201" s="155">
        <f ca="1">IF(ISNUMBER(MATCH(DATEVALUE($A201),'recurring1_based on steps'!T$1:T$400,0)),T$2,)</f>
        <v>0</v>
      </c>
      <c r="U201" s="155">
        <f ca="1">IF(ISNUMBER(MATCH(DATEVALUE($A201),'recurring1_based on steps'!U$1:U$400,0)),U$2,)</f>
        <v>0</v>
      </c>
      <c r="V201" s="155">
        <f ca="1">IF(ISNUMBER(MATCH(DATEVALUE($A201),'recurring1_based on steps'!V$1:V$400,0)),V$2,)</f>
        <v>0</v>
      </c>
      <c r="W201" s="155">
        <f ca="1">IF(ISNUMBER(MATCH(DATEVALUE($A201),'recurring1_based on steps'!W$1:W$400,0)),W$2,)</f>
        <v>0</v>
      </c>
      <c r="X201" s="155">
        <f ca="1">IF(ISNUMBER(MATCH(DATEVALUE($A201),'recurring1_based on steps'!X$1:X$400,0)),X$2,)</f>
        <v>0</v>
      </c>
      <c r="Y201" s="155">
        <f ca="1">IF(ISNUMBER(MATCH(DATEVALUE($A201),'recurring1_based on steps'!Y$1:Y$400,0)),Y$2,)</f>
        <v>0</v>
      </c>
      <c r="Z201" s="155">
        <f ca="1">IF(ISNUMBER(MATCH(DATEVALUE($A201),'recurring1_based on steps'!Z$1:Z$400,0)),Z$2,)</f>
        <v>0</v>
      </c>
      <c r="AA201" s="155">
        <f ca="1">IF(ISNUMBER(MATCH(DATEVALUE($A201),'recurring1_based on steps'!AA$1:AA$400,0)),AA$2,)</f>
        <v>0</v>
      </c>
      <c r="AB201" s="155">
        <f ca="1">IF(ISNUMBER(MATCH(DATEVALUE($A201),'recurring1_based on steps'!AB$1:AB$400,0)),AB$2,)</f>
        <v>0</v>
      </c>
      <c r="AC201" s="155">
        <f ca="1">IF(ISNUMBER(MATCH(DATEVALUE($A201),'recurring1_based on steps'!AC$1:AC$400,0)),AC$2,)</f>
        <v>0</v>
      </c>
      <c r="AD201" s="155">
        <f ca="1">IF(ISNUMBER(MATCH(DATEVALUE($A201),'recurring1_based on steps'!AD$1:AD$400,0)),AD$2,)</f>
        <v>0</v>
      </c>
      <c r="AE201" s="155">
        <f ca="1">IF(ISNUMBER(MATCH(DATEVALUE($A201),'recurring1_based on steps'!AE$1:AE$400,0)),AE$2,)</f>
        <v>0</v>
      </c>
      <c r="AF201" s="155">
        <f ca="1">IF(ISNUMBER(MATCH(DATEVALUE($A201),'recurring1_based on steps'!AF$1:AF$400,0)),AF$2,)</f>
        <v>0</v>
      </c>
      <c r="AG201" s="155">
        <f ca="1">IF(ISNUMBER(MATCH(DATEVALUE($A201),'recurring1_based on steps'!AG$1:AG$400,0)),AG$2,)</f>
        <v>0</v>
      </c>
      <c r="AH201" s="155">
        <f ca="1">IF(ISNUMBER(MATCH(DATEVALUE($A201),'recurring1_based on steps'!AH$1:AH$400,0)),AH$2,)</f>
        <v>0</v>
      </c>
      <c r="AI201" s="155">
        <f ca="1">IF(ISNUMBER(MATCH(DATEVALUE($A201),'recurring1_based on steps'!AI$1:AI$400,0)),AI$2,)</f>
        <v>0</v>
      </c>
      <c r="AJ201" s="155">
        <f ca="1">IF(ISNUMBER(MATCH(DATEVALUE($A201),'recurring1_based on steps'!AJ$1:AJ$400,0)),AJ$2,)</f>
        <v>0</v>
      </c>
      <c r="AK201" s="155">
        <f ca="1">IF(ISNUMBER(MATCH(DATEVALUE($A201),'recurring1_based on steps'!AK$1:AK$400,0)),AK$2,)</f>
        <v>0</v>
      </c>
      <c r="AL201" s="155">
        <f ca="1">IF(ISNUMBER(MATCH(DATEVALUE($A201),'recurring1_based on steps'!AL$1:AL$400,0)),AL$2,)</f>
        <v>0</v>
      </c>
      <c r="AM201" s="155">
        <f ca="1">IF(ISNUMBER(MATCH(DATEVALUE($A201),'recurring1_based on steps'!AM$1:AM$400,0)),AM$2,)</f>
        <v>0</v>
      </c>
      <c r="AN201" s="155">
        <f ca="1">IF(ISNUMBER(MATCH(DATEVALUE($A201),'recurring1_based on steps'!AN$1:AN$400,0)),AN$2,)</f>
        <v>0</v>
      </c>
      <c r="AO201" s="155">
        <f ca="1">IF(ISNUMBER(MATCH(DATEVALUE($A201),'recurring1_based on steps'!AO$1:AO$400,0)),AO$2,)</f>
        <v>0</v>
      </c>
      <c r="AP201" s="155">
        <f ca="1">IF(ISNUMBER(MATCH(DATEVALUE($A201),'recurring1_based on steps'!AP$1:AP$400,0)),AP$2,)</f>
        <v>0</v>
      </c>
      <c r="AQ201" s="155">
        <f ca="1">IF(ISNUMBER(MATCH(DATEVALUE($A201),'recurring1_based on steps'!AQ$1:AQ$400,0)),AQ$2,)</f>
        <v>0</v>
      </c>
      <c r="AR201" s="155">
        <f ca="1">IF(ISNUMBER(MATCH(DATEVALUE($A201),'recurring1_based on steps'!AR$1:AR$400,0)),AR$2,)</f>
        <v>0</v>
      </c>
      <c r="AS201" s="155">
        <f ca="1">IF(ISNUMBER(MATCH(DATEVALUE($A201),'recurring1_based on steps'!AS$1:AS$400,0)),AS$2,)</f>
        <v>0</v>
      </c>
      <c r="AT201" s="155">
        <f ca="1">IF(ISNUMBER(MATCH(DATEVALUE($A201),'recurring1_based on steps'!AT$1:AT$400,0)),AT$2,)</f>
        <v>0</v>
      </c>
      <c r="AU201" s="155">
        <f ca="1">IF(ISNUMBER(MATCH(DATEVALUE($A201),'recurring1_based on steps'!AU$1:AU$400,0)),AU$2,)</f>
        <v>0</v>
      </c>
      <c r="AV201" s="155">
        <f ca="1">IF(ISNUMBER(MATCH(DATEVALUE($A201),'recurring1_based on steps'!AV$1:AV$400,0)),AV$2,)</f>
        <v>0</v>
      </c>
      <c r="AW201" s="155">
        <f ca="1">IF(ISNUMBER(MATCH(DATEVALUE($A201),'recurring1_based on steps'!AW$1:AW$400,0)),AW$2,)</f>
        <v>0</v>
      </c>
      <c r="AX201" s="155">
        <f ca="1">IF(ISNUMBER(MATCH(DATEVALUE($A201),'recurring1_based on steps'!AX$1:AX$400,0)),AX$2,)</f>
        <v>0</v>
      </c>
      <c r="AY201" s="155">
        <f ca="1">IF(ISNUMBER(MATCH(DATEVALUE($A201),'recurring1_based on steps'!AY$1:AY$400,0)),AY$2,)</f>
        <v>0</v>
      </c>
    </row>
    <row r="202" spans="1:51" x14ac:dyDescent="0.2">
      <c r="A202" s="18" t="str">
        <f t="shared" ca="1" si="3"/>
        <v>2025-08-19</v>
      </c>
      <c r="B202" s="155">
        <f ca="1">IF(ISNUMBER(MATCH(DATEVALUE($A202),'recurring1_based on steps'!B$1:B$400,0)),B$2,)</f>
        <v>0</v>
      </c>
      <c r="C202" s="155">
        <f ca="1">IF(ISNUMBER(MATCH(DATEVALUE($A202),'recurring1_based on steps'!C$1:C$400,0)),C$2,)</f>
        <v>0</v>
      </c>
      <c r="D202" s="155">
        <f ca="1">IF(ISNUMBER(MATCH(DATEVALUE($A202),'recurring1_based on steps'!D$1:D$400,0)),D$2,)</f>
        <v>0</v>
      </c>
      <c r="E202" s="155">
        <f ca="1">IF(ISNUMBER(MATCH(DATEVALUE($A202),'recurring1_based on steps'!E$1:E$400,0)),E$2,)</f>
        <v>0</v>
      </c>
      <c r="F202" s="155">
        <f ca="1">IF(ISNUMBER(MATCH(DATEVALUE($A202),'recurring1_based on steps'!F$1:F$400,0)),F$2,)</f>
        <v>0</v>
      </c>
      <c r="G202" s="155">
        <f ca="1">IF(ISNUMBER(MATCH(DATEVALUE($A202),'recurring1_based on steps'!G$1:G$400,0)),G$2,)</f>
        <v>0</v>
      </c>
      <c r="H202" s="155">
        <f ca="1">IF(ISNUMBER(MATCH(DATEVALUE($A202),'recurring1_based on steps'!H$1:H$400,0)),H$2,)</f>
        <v>0</v>
      </c>
      <c r="I202" s="155">
        <f ca="1">IF(ISNUMBER(MATCH(DATEVALUE($A202),'recurring1_based on steps'!I$1:I$400,0)),I$2,)</f>
        <v>0</v>
      </c>
      <c r="J202" s="155">
        <f ca="1">IF(ISNUMBER(MATCH(DATEVALUE($A202),'recurring1_based on steps'!J$1:J$400,0)),J$2,)</f>
        <v>0</v>
      </c>
      <c r="K202" s="155">
        <f ca="1">IF(ISNUMBER(MATCH(DATEVALUE($A202),'recurring1_based on steps'!K$1:K$400,0)),K$2,)</f>
        <v>0</v>
      </c>
      <c r="L202" s="155">
        <f ca="1">IF(ISNUMBER(MATCH(DATEVALUE($A202),'recurring1_based on steps'!L$1:L$400,0)),L$2,)</f>
        <v>0</v>
      </c>
      <c r="M202" s="155">
        <f ca="1">IF(ISNUMBER(MATCH(DATEVALUE($A202),'recurring1_based on steps'!M$1:M$400,0)),M$2,)</f>
        <v>0</v>
      </c>
      <c r="N202" s="155">
        <f ca="1">IF(ISNUMBER(MATCH(DATEVALUE($A202),'recurring1_based on steps'!N$1:N$400,0)),N$2,)</f>
        <v>0</v>
      </c>
      <c r="O202" s="155">
        <f ca="1">IF(ISNUMBER(MATCH(DATEVALUE($A202),'recurring1_based on steps'!O$1:O$400,0)),O$2,)</f>
        <v>0</v>
      </c>
      <c r="P202" s="155">
        <f ca="1">IF(ISNUMBER(MATCH(DATEVALUE($A202),'recurring1_based on steps'!P$1:P$400,0)),P$2,)</f>
        <v>0</v>
      </c>
      <c r="Q202" s="155">
        <f ca="1">IF(ISNUMBER(MATCH(DATEVALUE($A202),'recurring1_based on steps'!Q$1:Q$400,0)),Q$2,)</f>
        <v>0</v>
      </c>
      <c r="R202" s="155">
        <f ca="1">IF(ISNUMBER(MATCH(DATEVALUE($A202),'recurring1_based on steps'!R$1:R$400,0)),R$2,)</f>
        <v>0</v>
      </c>
      <c r="S202" s="155">
        <f ca="1">IF(ISNUMBER(MATCH(DATEVALUE($A202),'recurring1_based on steps'!S$1:S$400,0)),S$2,)</f>
        <v>0</v>
      </c>
      <c r="T202" s="155">
        <f ca="1">IF(ISNUMBER(MATCH(DATEVALUE($A202),'recurring1_based on steps'!T$1:T$400,0)),T$2,)</f>
        <v>0</v>
      </c>
      <c r="U202" s="155">
        <f ca="1">IF(ISNUMBER(MATCH(DATEVALUE($A202),'recurring1_based on steps'!U$1:U$400,0)),U$2,)</f>
        <v>0</v>
      </c>
      <c r="V202" s="155">
        <f ca="1">IF(ISNUMBER(MATCH(DATEVALUE($A202),'recurring1_based on steps'!V$1:V$400,0)),V$2,)</f>
        <v>0</v>
      </c>
      <c r="W202" s="155">
        <f ca="1">IF(ISNUMBER(MATCH(DATEVALUE($A202),'recurring1_based on steps'!W$1:W$400,0)),W$2,)</f>
        <v>0</v>
      </c>
      <c r="X202" s="155">
        <f ca="1">IF(ISNUMBER(MATCH(DATEVALUE($A202),'recurring1_based on steps'!X$1:X$400,0)),X$2,)</f>
        <v>0</v>
      </c>
      <c r="Y202" s="155">
        <f ca="1">IF(ISNUMBER(MATCH(DATEVALUE($A202),'recurring1_based on steps'!Y$1:Y$400,0)),Y$2,)</f>
        <v>0</v>
      </c>
      <c r="Z202" s="155">
        <f ca="1">IF(ISNUMBER(MATCH(DATEVALUE($A202),'recurring1_based on steps'!Z$1:Z$400,0)),Z$2,)</f>
        <v>0</v>
      </c>
      <c r="AA202" s="155">
        <f ca="1">IF(ISNUMBER(MATCH(DATEVALUE($A202),'recurring1_based on steps'!AA$1:AA$400,0)),AA$2,)</f>
        <v>0</v>
      </c>
      <c r="AB202" s="155">
        <f ca="1">IF(ISNUMBER(MATCH(DATEVALUE($A202),'recurring1_based on steps'!AB$1:AB$400,0)),AB$2,)</f>
        <v>0</v>
      </c>
      <c r="AC202" s="155">
        <f ca="1">IF(ISNUMBER(MATCH(DATEVALUE($A202),'recurring1_based on steps'!AC$1:AC$400,0)),AC$2,)</f>
        <v>0</v>
      </c>
      <c r="AD202" s="155">
        <f ca="1">IF(ISNUMBER(MATCH(DATEVALUE($A202),'recurring1_based on steps'!AD$1:AD$400,0)),AD$2,)</f>
        <v>0</v>
      </c>
      <c r="AE202" s="155">
        <f ca="1">IF(ISNUMBER(MATCH(DATEVALUE($A202),'recurring1_based on steps'!AE$1:AE$400,0)),AE$2,)</f>
        <v>0</v>
      </c>
      <c r="AF202" s="155">
        <f ca="1">IF(ISNUMBER(MATCH(DATEVALUE($A202),'recurring1_based on steps'!AF$1:AF$400,0)),AF$2,)</f>
        <v>0</v>
      </c>
      <c r="AG202" s="155">
        <f ca="1">IF(ISNUMBER(MATCH(DATEVALUE($A202),'recurring1_based on steps'!AG$1:AG$400,0)),AG$2,)</f>
        <v>0</v>
      </c>
      <c r="AH202" s="155">
        <f ca="1">IF(ISNUMBER(MATCH(DATEVALUE($A202),'recurring1_based on steps'!AH$1:AH$400,0)),AH$2,)</f>
        <v>0</v>
      </c>
      <c r="AI202" s="155">
        <f ca="1">IF(ISNUMBER(MATCH(DATEVALUE($A202),'recurring1_based on steps'!AI$1:AI$400,0)),AI$2,)</f>
        <v>0</v>
      </c>
      <c r="AJ202" s="155">
        <f ca="1">IF(ISNUMBER(MATCH(DATEVALUE($A202),'recurring1_based on steps'!AJ$1:AJ$400,0)),AJ$2,)</f>
        <v>0</v>
      </c>
      <c r="AK202" s="155">
        <f ca="1">IF(ISNUMBER(MATCH(DATEVALUE($A202),'recurring1_based on steps'!AK$1:AK$400,0)),AK$2,)</f>
        <v>0</v>
      </c>
      <c r="AL202" s="155">
        <f ca="1">IF(ISNUMBER(MATCH(DATEVALUE($A202),'recurring1_based on steps'!AL$1:AL$400,0)),AL$2,)</f>
        <v>0</v>
      </c>
      <c r="AM202" s="155">
        <f ca="1">IF(ISNUMBER(MATCH(DATEVALUE($A202),'recurring1_based on steps'!AM$1:AM$400,0)),AM$2,)</f>
        <v>0</v>
      </c>
      <c r="AN202" s="155">
        <f ca="1">IF(ISNUMBER(MATCH(DATEVALUE($A202),'recurring1_based on steps'!AN$1:AN$400,0)),AN$2,)</f>
        <v>0</v>
      </c>
      <c r="AO202" s="155">
        <f ca="1">IF(ISNUMBER(MATCH(DATEVALUE($A202),'recurring1_based on steps'!AO$1:AO$400,0)),AO$2,)</f>
        <v>0</v>
      </c>
      <c r="AP202" s="155">
        <f ca="1">IF(ISNUMBER(MATCH(DATEVALUE($A202),'recurring1_based on steps'!AP$1:AP$400,0)),AP$2,)</f>
        <v>0</v>
      </c>
      <c r="AQ202" s="155">
        <f ca="1">IF(ISNUMBER(MATCH(DATEVALUE($A202),'recurring1_based on steps'!AQ$1:AQ$400,0)),AQ$2,)</f>
        <v>0</v>
      </c>
      <c r="AR202" s="155">
        <f ca="1">IF(ISNUMBER(MATCH(DATEVALUE($A202),'recurring1_based on steps'!AR$1:AR$400,0)),AR$2,)</f>
        <v>0</v>
      </c>
      <c r="AS202" s="155">
        <f ca="1">IF(ISNUMBER(MATCH(DATEVALUE($A202),'recurring1_based on steps'!AS$1:AS$400,0)),AS$2,)</f>
        <v>0</v>
      </c>
      <c r="AT202" s="155">
        <f ca="1">IF(ISNUMBER(MATCH(DATEVALUE($A202),'recurring1_based on steps'!AT$1:AT$400,0)),AT$2,)</f>
        <v>0</v>
      </c>
      <c r="AU202" s="155">
        <f ca="1">IF(ISNUMBER(MATCH(DATEVALUE($A202),'recurring1_based on steps'!AU$1:AU$400,0)),AU$2,)</f>
        <v>0</v>
      </c>
      <c r="AV202" s="155">
        <f ca="1">IF(ISNUMBER(MATCH(DATEVALUE($A202),'recurring1_based on steps'!AV$1:AV$400,0)),AV$2,)</f>
        <v>0</v>
      </c>
      <c r="AW202" s="155">
        <f ca="1">IF(ISNUMBER(MATCH(DATEVALUE($A202),'recurring1_based on steps'!AW$1:AW$400,0)),AW$2,)</f>
        <v>0</v>
      </c>
      <c r="AX202" s="155">
        <f ca="1">IF(ISNUMBER(MATCH(DATEVALUE($A202),'recurring1_based on steps'!AX$1:AX$400,0)),AX$2,)</f>
        <v>0</v>
      </c>
      <c r="AY202" s="155">
        <f ca="1">IF(ISNUMBER(MATCH(DATEVALUE($A202),'recurring1_based on steps'!AY$1:AY$400,0)),AY$2,)</f>
        <v>0</v>
      </c>
    </row>
    <row r="203" spans="1:51" x14ac:dyDescent="0.2">
      <c r="A203" s="18" t="str">
        <f t="shared" ca="1" si="3"/>
        <v>2025-08-20</v>
      </c>
      <c r="B203" s="155">
        <f ca="1">IF(ISNUMBER(MATCH(DATEVALUE($A203),'recurring1_based on steps'!B$1:B$400,0)),B$2,)</f>
        <v>0</v>
      </c>
      <c r="C203" s="155">
        <f ca="1">IF(ISNUMBER(MATCH(DATEVALUE($A203),'recurring1_based on steps'!C$1:C$400,0)),C$2,)</f>
        <v>0</v>
      </c>
      <c r="D203" s="155">
        <f ca="1">IF(ISNUMBER(MATCH(DATEVALUE($A203),'recurring1_based on steps'!D$1:D$400,0)),D$2,)</f>
        <v>0</v>
      </c>
      <c r="E203" s="155">
        <f ca="1">IF(ISNUMBER(MATCH(DATEVALUE($A203),'recurring1_based on steps'!E$1:E$400,0)),E$2,)</f>
        <v>0</v>
      </c>
      <c r="F203" s="155">
        <f ca="1">IF(ISNUMBER(MATCH(DATEVALUE($A203),'recurring1_based on steps'!F$1:F$400,0)),F$2,)</f>
        <v>0</v>
      </c>
      <c r="G203" s="155">
        <f ca="1">IF(ISNUMBER(MATCH(DATEVALUE($A203),'recurring1_based on steps'!G$1:G$400,0)),G$2,)</f>
        <v>0</v>
      </c>
      <c r="H203" s="155">
        <f ca="1">IF(ISNUMBER(MATCH(DATEVALUE($A203),'recurring1_based on steps'!H$1:H$400,0)),H$2,)</f>
        <v>0</v>
      </c>
      <c r="I203" s="155">
        <f ca="1">IF(ISNUMBER(MATCH(DATEVALUE($A203),'recurring1_based on steps'!I$1:I$400,0)),I$2,)</f>
        <v>0</v>
      </c>
      <c r="J203" s="155">
        <f ca="1">IF(ISNUMBER(MATCH(DATEVALUE($A203),'recurring1_based on steps'!J$1:J$400,0)),J$2,)</f>
        <v>0</v>
      </c>
      <c r="K203" s="155">
        <f ca="1">IF(ISNUMBER(MATCH(DATEVALUE($A203),'recurring1_based on steps'!K$1:K$400,0)),K$2,)</f>
        <v>0</v>
      </c>
      <c r="L203" s="155">
        <f ca="1">IF(ISNUMBER(MATCH(DATEVALUE($A203),'recurring1_based on steps'!L$1:L$400,0)),L$2,)</f>
        <v>0</v>
      </c>
      <c r="M203" s="155">
        <f ca="1">IF(ISNUMBER(MATCH(DATEVALUE($A203),'recurring1_based on steps'!M$1:M$400,0)),M$2,)</f>
        <v>0</v>
      </c>
      <c r="N203" s="155">
        <f ca="1">IF(ISNUMBER(MATCH(DATEVALUE($A203),'recurring1_based on steps'!N$1:N$400,0)),N$2,)</f>
        <v>0</v>
      </c>
      <c r="O203" s="155">
        <f ca="1">IF(ISNUMBER(MATCH(DATEVALUE($A203),'recurring1_based on steps'!O$1:O$400,0)),O$2,)</f>
        <v>0</v>
      </c>
      <c r="P203" s="155">
        <f ca="1">IF(ISNUMBER(MATCH(DATEVALUE($A203),'recurring1_based on steps'!P$1:P$400,0)),P$2,)</f>
        <v>0</v>
      </c>
      <c r="Q203" s="155">
        <f ca="1">IF(ISNUMBER(MATCH(DATEVALUE($A203),'recurring1_based on steps'!Q$1:Q$400,0)),Q$2,)</f>
        <v>0</v>
      </c>
      <c r="R203" s="155">
        <f ca="1">IF(ISNUMBER(MATCH(DATEVALUE($A203),'recurring1_based on steps'!R$1:R$400,0)),R$2,)</f>
        <v>0</v>
      </c>
      <c r="S203" s="155">
        <f ca="1">IF(ISNUMBER(MATCH(DATEVALUE($A203),'recurring1_based on steps'!S$1:S$400,0)),S$2,)</f>
        <v>0</v>
      </c>
      <c r="T203" s="155">
        <f ca="1">IF(ISNUMBER(MATCH(DATEVALUE($A203),'recurring1_based on steps'!T$1:T$400,0)),T$2,)</f>
        <v>0</v>
      </c>
      <c r="U203" s="155">
        <f ca="1">IF(ISNUMBER(MATCH(DATEVALUE($A203),'recurring1_based on steps'!U$1:U$400,0)),U$2,)</f>
        <v>0</v>
      </c>
      <c r="V203" s="155">
        <f ca="1">IF(ISNUMBER(MATCH(DATEVALUE($A203),'recurring1_based on steps'!V$1:V$400,0)),V$2,)</f>
        <v>0</v>
      </c>
      <c r="W203" s="155">
        <f ca="1">IF(ISNUMBER(MATCH(DATEVALUE($A203),'recurring1_based on steps'!W$1:W$400,0)),W$2,)</f>
        <v>0</v>
      </c>
      <c r="X203" s="155">
        <f ca="1">IF(ISNUMBER(MATCH(DATEVALUE($A203),'recurring1_based on steps'!X$1:X$400,0)),X$2,)</f>
        <v>0</v>
      </c>
      <c r="Y203" s="155">
        <f ca="1">IF(ISNUMBER(MATCH(DATEVALUE($A203),'recurring1_based on steps'!Y$1:Y$400,0)),Y$2,)</f>
        <v>0</v>
      </c>
      <c r="Z203" s="155">
        <f ca="1">IF(ISNUMBER(MATCH(DATEVALUE($A203),'recurring1_based on steps'!Z$1:Z$400,0)),Z$2,)</f>
        <v>0</v>
      </c>
      <c r="AA203" s="155">
        <f ca="1">IF(ISNUMBER(MATCH(DATEVALUE($A203),'recurring1_based on steps'!AA$1:AA$400,0)),AA$2,)</f>
        <v>0</v>
      </c>
      <c r="AB203" s="155">
        <f ca="1">IF(ISNUMBER(MATCH(DATEVALUE($A203),'recurring1_based on steps'!AB$1:AB$400,0)),AB$2,)</f>
        <v>0</v>
      </c>
      <c r="AC203" s="155">
        <f ca="1">IF(ISNUMBER(MATCH(DATEVALUE($A203),'recurring1_based on steps'!AC$1:AC$400,0)),AC$2,)</f>
        <v>0</v>
      </c>
      <c r="AD203" s="155">
        <f ca="1">IF(ISNUMBER(MATCH(DATEVALUE($A203),'recurring1_based on steps'!AD$1:AD$400,0)),AD$2,)</f>
        <v>0</v>
      </c>
      <c r="AE203" s="155">
        <f ca="1">IF(ISNUMBER(MATCH(DATEVALUE($A203),'recurring1_based on steps'!AE$1:AE$400,0)),AE$2,)</f>
        <v>0</v>
      </c>
      <c r="AF203" s="155">
        <f ca="1">IF(ISNUMBER(MATCH(DATEVALUE($A203),'recurring1_based on steps'!AF$1:AF$400,0)),AF$2,)</f>
        <v>0</v>
      </c>
      <c r="AG203" s="155">
        <f ca="1">IF(ISNUMBER(MATCH(DATEVALUE($A203),'recurring1_based on steps'!AG$1:AG$400,0)),AG$2,)</f>
        <v>0</v>
      </c>
      <c r="AH203" s="155">
        <f ca="1">IF(ISNUMBER(MATCH(DATEVALUE($A203),'recurring1_based on steps'!AH$1:AH$400,0)),AH$2,)</f>
        <v>0</v>
      </c>
      <c r="AI203" s="155">
        <f ca="1">IF(ISNUMBER(MATCH(DATEVALUE($A203),'recurring1_based on steps'!AI$1:AI$400,0)),AI$2,)</f>
        <v>0</v>
      </c>
      <c r="AJ203" s="155">
        <f ca="1">IF(ISNUMBER(MATCH(DATEVALUE($A203),'recurring1_based on steps'!AJ$1:AJ$400,0)),AJ$2,)</f>
        <v>0</v>
      </c>
      <c r="AK203" s="155">
        <f ca="1">IF(ISNUMBER(MATCH(DATEVALUE($A203),'recurring1_based on steps'!AK$1:AK$400,0)),AK$2,)</f>
        <v>0</v>
      </c>
      <c r="AL203" s="155">
        <f ca="1">IF(ISNUMBER(MATCH(DATEVALUE($A203),'recurring1_based on steps'!AL$1:AL$400,0)),AL$2,)</f>
        <v>0</v>
      </c>
      <c r="AM203" s="155">
        <f ca="1">IF(ISNUMBER(MATCH(DATEVALUE($A203),'recurring1_based on steps'!AM$1:AM$400,0)),AM$2,)</f>
        <v>0</v>
      </c>
      <c r="AN203" s="155">
        <f ca="1">IF(ISNUMBER(MATCH(DATEVALUE($A203),'recurring1_based on steps'!AN$1:AN$400,0)),AN$2,)</f>
        <v>0</v>
      </c>
      <c r="AO203" s="155">
        <f ca="1">IF(ISNUMBER(MATCH(DATEVALUE($A203),'recurring1_based on steps'!AO$1:AO$400,0)),AO$2,)</f>
        <v>0</v>
      </c>
      <c r="AP203" s="155">
        <f ca="1">IF(ISNUMBER(MATCH(DATEVALUE($A203),'recurring1_based on steps'!AP$1:AP$400,0)),AP$2,)</f>
        <v>0</v>
      </c>
      <c r="AQ203" s="155">
        <f ca="1">IF(ISNUMBER(MATCH(DATEVALUE($A203),'recurring1_based on steps'!AQ$1:AQ$400,0)),AQ$2,)</f>
        <v>0</v>
      </c>
      <c r="AR203" s="155">
        <f ca="1">IF(ISNUMBER(MATCH(DATEVALUE($A203),'recurring1_based on steps'!AR$1:AR$400,0)),AR$2,)</f>
        <v>0</v>
      </c>
      <c r="AS203" s="155">
        <f ca="1">IF(ISNUMBER(MATCH(DATEVALUE($A203),'recurring1_based on steps'!AS$1:AS$400,0)),AS$2,)</f>
        <v>0</v>
      </c>
      <c r="AT203" s="155">
        <f ca="1">IF(ISNUMBER(MATCH(DATEVALUE($A203),'recurring1_based on steps'!AT$1:AT$400,0)),AT$2,)</f>
        <v>0</v>
      </c>
      <c r="AU203" s="155">
        <f ca="1">IF(ISNUMBER(MATCH(DATEVALUE($A203),'recurring1_based on steps'!AU$1:AU$400,0)),AU$2,)</f>
        <v>0</v>
      </c>
      <c r="AV203" s="155">
        <f ca="1">IF(ISNUMBER(MATCH(DATEVALUE($A203),'recurring1_based on steps'!AV$1:AV$400,0)),AV$2,)</f>
        <v>0</v>
      </c>
      <c r="AW203" s="155">
        <f ca="1">IF(ISNUMBER(MATCH(DATEVALUE($A203),'recurring1_based on steps'!AW$1:AW$400,0)),AW$2,)</f>
        <v>0</v>
      </c>
      <c r="AX203" s="155">
        <f ca="1">IF(ISNUMBER(MATCH(DATEVALUE($A203),'recurring1_based on steps'!AX$1:AX$400,0)),AX$2,)</f>
        <v>0</v>
      </c>
      <c r="AY203" s="155">
        <f ca="1">IF(ISNUMBER(MATCH(DATEVALUE($A203),'recurring1_based on steps'!AY$1:AY$400,0)),AY$2,)</f>
        <v>0</v>
      </c>
    </row>
    <row r="204" spans="1:51" x14ac:dyDescent="0.2">
      <c r="A204" s="18" t="str">
        <f t="shared" ca="1" si="3"/>
        <v>2025-08-21</v>
      </c>
      <c r="B204" s="155">
        <f ca="1">IF(ISNUMBER(MATCH(DATEVALUE($A204),'recurring1_based on steps'!B$1:B$400,0)),B$2,)</f>
        <v>0</v>
      </c>
      <c r="C204" s="155">
        <f ca="1">IF(ISNUMBER(MATCH(DATEVALUE($A204),'recurring1_based on steps'!C$1:C$400,0)),C$2,)</f>
        <v>0</v>
      </c>
      <c r="D204" s="155">
        <f ca="1">IF(ISNUMBER(MATCH(DATEVALUE($A204),'recurring1_based on steps'!D$1:D$400,0)),D$2,)</f>
        <v>0</v>
      </c>
      <c r="E204" s="155">
        <f ca="1">IF(ISNUMBER(MATCH(DATEVALUE($A204),'recurring1_based on steps'!E$1:E$400,0)),E$2,)</f>
        <v>0</v>
      </c>
      <c r="F204" s="155">
        <f ca="1">IF(ISNUMBER(MATCH(DATEVALUE($A204),'recurring1_based on steps'!F$1:F$400,0)),F$2,)</f>
        <v>0</v>
      </c>
      <c r="G204" s="155">
        <f ca="1">IF(ISNUMBER(MATCH(DATEVALUE($A204),'recurring1_based on steps'!G$1:G$400,0)),G$2,)</f>
        <v>0</v>
      </c>
      <c r="H204" s="155">
        <f ca="1">IF(ISNUMBER(MATCH(DATEVALUE($A204),'recurring1_based on steps'!H$1:H$400,0)),H$2,)</f>
        <v>0</v>
      </c>
      <c r="I204" s="155">
        <f ca="1">IF(ISNUMBER(MATCH(DATEVALUE($A204),'recurring1_based on steps'!I$1:I$400,0)),I$2,)</f>
        <v>0</v>
      </c>
      <c r="J204" s="155">
        <f ca="1">IF(ISNUMBER(MATCH(DATEVALUE($A204),'recurring1_based on steps'!J$1:J$400,0)),J$2,)</f>
        <v>0</v>
      </c>
      <c r="K204" s="155">
        <f ca="1">IF(ISNUMBER(MATCH(DATEVALUE($A204),'recurring1_based on steps'!K$1:K$400,0)),K$2,)</f>
        <v>0</v>
      </c>
      <c r="L204" s="155">
        <f ca="1">IF(ISNUMBER(MATCH(DATEVALUE($A204),'recurring1_based on steps'!L$1:L$400,0)),L$2,)</f>
        <v>0</v>
      </c>
      <c r="M204" s="155">
        <f ca="1">IF(ISNUMBER(MATCH(DATEVALUE($A204),'recurring1_based on steps'!M$1:M$400,0)),M$2,)</f>
        <v>0</v>
      </c>
      <c r="N204" s="155">
        <f ca="1">IF(ISNUMBER(MATCH(DATEVALUE($A204),'recurring1_based on steps'!N$1:N$400,0)),N$2,)</f>
        <v>0</v>
      </c>
      <c r="O204" s="155">
        <f ca="1">IF(ISNUMBER(MATCH(DATEVALUE($A204),'recurring1_based on steps'!O$1:O$400,0)),O$2,)</f>
        <v>0</v>
      </c>
      <c r="P204" s="155">
        <f ca="1">IF(ISNUMBER(MATCH(DATEVALUE($A204),'recurring1_based on steps'!P$1:P$400,0)),P$2,)</f>
        <v>0</v>
      </c>
      <c r="Q204" s="155">
        <f ca="1">IF(ISNUMBER(MATCH(DATEVALUE($A204),'recurring1_based on steps'!Q$1:Q$400,0)),Q$2,)</f>
        <v>0</v>
      </c>
      <c r="R204" s="155">
        <f ca="1">IF(ISNUMBER(MATCH(DATEVALUE($A204),'recurring1_based on steps'!R$1:R$400,0)),R$2,)</f>
        <v>0</v>
      </c>
      <c r="S204" s="155">
        <f ca="1">IF(ISNUMBER(MATCH(DATEVALUE($A204),'recurring1_based on steps'!S$1:S$400,0)),S$2,)</f>
        <v>0</v>
      </c>
      <c r="T204" s="155">
        <f ca="1">IF(ISNUMBER(MATCH(DATEVALUE($A204),'recurring1_based on steps'!T$1:T$400,0)),T$2,)</f>
        <v>0</v>
      </c>
      <c r="U204" s="155">
        <f ca="1">IF(ISNUMBER(MATCH(DATEVALUE($A204),'recurring1_based on steps'!U$1:U$400,0)),U$2,)</f>
        <v>0</v>
      </c>
      <c r="V204" s="155">
        <f ca="1">IF(ISNUMBER(MATCH(DATEVALUE($A204),'recurring1_based on steps'!V$1:V$400,0)),V$2,)</f>
        <v>0</v>
      </c>
      <c r="W204" s="155">
        <f ca="1">IF(ISNUMBER(MATCH(DATEVALUE($A204),'recurring1_based on steps'!W$1:W$400,0)),W$2,)</f>
        <v>0</v>
      </c>
      <c r="X204" s="155">
        <f ca="1">IF(ISNUMBER(MATCH(DATEVALUE($A204),'recurring1_based on steps'!X$1:X$400,0)),X$2,)</f>
        <v>0</v>
      </c>
      <c r="Y204" s="155">
        <f ca="1">IF(ISNUMBER(MATCH(DATEVALUE($A204),'recurring1_based on steps'!Y$1:Y$400,0)),Y$2,)</f>
        <v>0</v>
      </c>
      <c r="Z204" s="155">
        <f ca="1">IF(ISNUMBER(MATCH(DATEVALUE($A204),'recurring1_based on steps'!Z$1:Z$400,0)),Z$2,)</f>
        <v>0</v>
      </c>
      <c r="AA204" s="155">
        <f ca="1">IF(ISNUMBER(MATCH(DATEVALUE($A204),'recurring1_based on steps'!AA$1:AA$400,0)),AA$2,)</f>
        <v>0</v>
      </c>
      <c r="AB204" s="155">
        <f ca="1">IF(ISNUMBER(MATCH(DATEVALUE($A204),'recurring1_based on steps'!AB$1:AB$400,0)),AB$2,)</f>
        <v>0</v>
      </c>
      <c r="AC204" s="155">
        <f ca="1">IF(ISNUMBER(MATCH(DATEVALUE($A204),'recurring1_based on steps'!AC$1:AC$400,0)),AC$2,)</f>
        <v>0</v>
      </c>
      <c r="AD204" s="155">
        <f ca="1">IF(ISNUMBER(MATCH(DATEVALUE($A204),'recurring1_based on steps'!AD$1:AD$400,0)),AD$2,)</f>
        <v>0</v>
      </c>
      <c r="AE204" s="155">
        <f ca="1">IF(ISNUMBER(MATCH(DATEVALUE($A204),'recurring1_based on steps'!AE$1:AE$400,0)),AE$2,)</f>
        <v>0</v>
      </c>
      <c r="AF204" s="155">
        <f ca="1">IF(ISNUMBER(MATCH(DATEVALUE($A204),'recurring1_based on steps'!AF$1:AF$400,0)),AF$2,)</f>
        <v>0</v>
      </c>
      <c r="AG204" s="155">
        <f ca="1">IF(ISNUMBER(MATCH(DATEVALUE($A204),'recurring1_based on steps'!AG$1:AG$400,0)),AG$2,)</f>
        <v>0</v>
      </c>
      <c r="AH204" s="155">
        <f ca="1">IF(ISNUMBER(MATCH(DATEVALUE($A204),'recurring1_based on steps'!AH$1:AH$400,0)),AH$2,)</f>
        <v>0</v>
      </c>
      <c r="AI204" s="155">
        <f ca="1">IF(ISNUMBER(MATCH(DATEVALUE($A204),'recurring1_based on steps'!AI$1:AI$400,0)),AI$2,)</f>
        <v>0</v>
      </c>
      <c r="AJ204" s="155">
        <f ca="1">IF(ISNUMBER(MATCH(DATEVALUE($A204),'recurring1_based on steps'!AJ$1:AJ$400,0)),AJ$2,)</f>
        <v>0</v>
      </c>
      <c r="AK204" s="155">
        <f ca="1">IF(ISNUMBER(MATCH(DATEVALUE($A204),'recurring1_based on steps'!AK$1:AK$400,0)),AK$2,)</f>
        <v>0</v>
      </c>
      <c r="AL204" s="155">
        <f ca="1">IF(ISNUMBER(MATCH(DATEVALUE($A204),'recurring1_based on steps'!AL$1:AL$400,0)),AL$2,)</f>
        <v>0</v>
      </c>
      <c r="AM204" s="155">
        <f ca="1">IF(ISNUMBER(MATCH(DATEVALUE($A204),'recurring1_based on steps'!AM$1:AM$400,0)),AM$2,)</f>
        <v>0</v>
      </c>
      <c r="AN204" s="155">
        <f ca="1">IF(ISNUMBER(MATCH(DATEVALUE($A204),'recurring1_based on steps'!AN$1:AN$400,0)),AN$2,)</f>
        <v>0</v>
      </c>
      <c r="AO204" s="155">
        <f ca="1">IF(ISNUMBER(MATCH(DATEVALUE($A204),'recurring1_based on steps'!AO$1:AO$400,0)),AO$2,)</f>
        <v>0</v>
      </c>
      <c r="AP204" s="155">
        <f ca="1">IF(ISNUMBER(MATCH(DATEVALUE($A204),'recurring1_based on steps'!AP$1:AP$400,0)),AP$2,)</f>
        <v>0</v>
      </c>
      <c r="AQ204" s="155">
        <f ca="1">IF(ISNUMBER(MATCH(DATEVALUE($A204),'recurring1_based on steps'!AQ$1:AQ$400,0)),AQ$2,)</f>
        <v>0</v>
      </c>
      <c r="AR204" s="155">
        <f ca="1">IF(ISNUMBER(MATCH(DATEVALUE($A204),'recurring1_based on steps'!AR$1:AR$400,0)),AR$2,)</f>
        <v>0</v>
      </c>
      <c r="AS204" s="155">
        <f ca="1">IF(ISNUMBER(MATCH(DATEVALUE($A204),'recurring1_based on steps'!AS$1:AS$400,0)),AS$2,)</f>
        <v>0</v>
      </c>
      <c r="AT204" s="155">
        <f ca="1">IF(ISNUMBER(MATCH(DATEVALUE($A204),'recurring1_based on steps'!AT$1:AT$400,0)),AT$2,)</f>
        <v>0</v>
      </c>
      <c r="AU204" s="155">
        <f ca="1">IF(ISNUMBER(MATCH(DATEVALUE($A204),'recurring1_based on steps'!AU$1:AU$400,0)),AU$2,)</f>
        <v>0</v>
      </c>
      <c r="AV204" s="155">
        <f ca="1">IF(ISNUMBER(MATCH(DATEVALUE($A204),'recurring1_based on steps'!AV$1:AV$400,0)),AV$2,)</f>
        <v>0</v>
      </c>
      <c r="AW204" s="155">
        <f ca="1">IF(ISNUMBER(MATCH(DATEVALUE($A204),'recurring1_based on steps'!AW$1:AW$400,0)),AW$2,)</f>
        <v>0</v>
      </c>
      <c r="AX204" s="155">
        <f ca="1">IF(ISNUMBER(MATCH(DATEVALUE($A204),'recurring1_based on steps'!AX$1:AX$400,0)),AX$2,)</f>
        <v>0</v>
      </c>
      <c r="AY204" s="155">
        <f ca="1">IF(ISNUMBER(MATCH(DATEVALUE($A204),'recurring1_based on steps'!AY$1:AY$400,0)),AY$2,)</f>
        <v>0</v>
      </c>
    </row>
    <row r="205" spans="1:51" x14ac:dyDescent="0.2">
      <c r="A205" s="18" t="str">
        <f t="shared" ca="1" si="3"/>
        <v>2025-08-22</v>
      </c>
      <c r="B205" s="155">
        <f ca="1">IF(ISNUMBER(MATCH(DATEVALUE($A205),'recurring1_based on steps'!B$1:B$400,0)),B$2,)</f>
        <v>4000</v>
      </c>
      <c r="C205" s="155">
        <f ca="1">IF(ISNUMBER(MATCH(DATEVALUE($A205),'recurring1_based on steps'!C$1:C$400,0)),C$2,)</f>
        <v>200</v>
      </c>
      <c r="D205" s="155">
        <f ca="1">IF(ISNUMBER(MATCH(DATEVALUE($A205),'recurring1_based on steps'!D$1:D$400,0)),D$2,)</f>
        <v>2</v>
      </c>
      <c r="E205" s="155">
        <f ca="1">IF(ISNUMBER(MATCH(DATEVALUE($A205),'recurring1_based on steps'!E$1:E$400,0)),E$2,)</f>
        <v>40</v>
      </c>
      <c r="F205" s="155">
        <f ca="1">IF(ISNUMBER(MATCH(DATEVALUE($A205),'recurring1_based on steps'!F$1:F$400,0)),F$2,)</f>
        <v>50</v>
      </c>
      <c r="G205" s="155">
        <f ca="1">IF(ISNUMBER(MATCH(DATEVALUE($A205),'recurring1_based on steps'!G$1:G$400,0)),G$2,)</f>
        <v>4</v>
      </c>
      <c r="H205" s="155">
        <f ca="1">IF(ISNUMBER(MATCH(DATEVALUE($A205),'recurring1_based on steps'!H$1:H$400,0)),H$2,)</f>
        <v>0</v>
      </c>
      <c r="I205" s="155">
        <f ca="1">IF(ISNUMBER(MATCH(DATEVALUE($A205),'recurring1_based on steps'!I$1:I$400,0)),I$2,)</f>
        <v>0</v>
      </c>
      <c r="J205" s="155">
        <f ca="1">IF(ISNUMBER(MATCH(DATEVALUE($A205),'recurring1_based on steps'!J$1:J$400,0)),J$2,)</f>
        <v>0</v>
      </c>
      <c r="K205" s="155">
        <f ca="1">IF(ISNUMBER(MATCH(DATEVALUE($A205),'recurring1_based on steps'!K$1:K$400,0)),K$2,)</f>
        <v>0</v>
      </c>
      <c r="L205" s="155">
        <f ca="1">IF(ISNUMBER(MATCH(DATEVALUE($A205),'recurring1_based on steps'!L$1:L$400,0)),L$2,)</f>
        <v>0</v>
      </c>
      <c r="M205" s="155">
        <f ca="1">IF(ISNUMBER(MATCH(DATEVALUE($A205),'recurring1_based on steps'!M$1:M$400,0)),M$2,)</f>
        <v>0</v>
      </c>
      <c r="N205" s="155">
        <f ca="1">IF(ISNUMBER(MATCH(DATEVALUE($A205),'recurring1_based on steps'!N$1:N$400,0)),N$2,)</f>
        <v>0</v>
      </c>
      <c r="O205" s="155">
        <f ca="1">IF(ISNUMBER(MATCH(DATEVALUE($A205),'recurring1_based on steps'!O$1:O$400,0)),O$2,)</f>
        <v>0</v>
      </c>
      <c r="P205" s="155">
        <f ca="1">IF(ISNUMBER(MATCH(DATEVALUE($A205),'recurring1_based on steps'!P$1:P$400,0)),P$2,)</f>
        <v>0</v>
      </c>
      <c r="Q205" s="155">
        <f ca="1">IF(ISNUMBER(MATCH(DATEVALUE($A205),'recurring1_based on steps'!Q$1:Q$400,0)),Q$2,)</f>
        <v>0</v>
      </c>
      <c r="R205" s="155">
        <f ca="1">IF(ISNUMBER(MATCH(DATEVALUE($A205),'recurring1_based on steps'!R$1:R$400,0)),R$2,)</f>
        <v>0</v>
      </c>
      <c r="S205" s="155">
        <f ca="1">IF(ISNUMBER(MATCH(DATEVALUE($A205),'recurring1_based on steps'!S$1:S$400,0)),S$2,)</f>
        <v>0</v>
      </c>
      <c r="T205" s="155">
        <f ca="1">IF(ISNUMBER(MATCH(DATEVALUE($A205),'recurring1_based on steps'!T$1:T$400,0)),T$2,)</f>
        <v>0</v>
      </c>
      <c r="U205" s="155">
        <f ca="1">IF(ISNUMBER(MATCH(DATEVALUE($A205),'recurring1_based on steps'!U$1:U$400,0)),U$2,)</f>
        <v>0</v>
      </c>
      <c r="V205" s="155">
        <f ca="1">IF(ISNUMBER(MATCH(DATEVALUE($A205),'recurring1_based on steps'!V$1:V$400,0)),V$2,)</f>
        <v>0</v>
      </c>
      <c r="W205" s="155">
        <f ca="1">IF(ISNUMBER(MATCH(DATEVALUE($A205),'recurring1_based on steps'!W$1:W$400,0)),W$2,)</f>
        <v>0</v>
      </c>
      <c r="X205" s="155">
        <f ca="1">IF(ISNUMBER(MATCH(DATEVALUE($A205),'recurring1_based on steps'!X$1:X$400,0)),X$2,)</f>
        <v>50</v>
      </c>
      <c r="Y205" s="155">
        <f ca="1">IF(ISNUMBER(MATCH(DATEVALUE($A205),'recurring1_based on steps'!Y$1:Y$400,0)),Y$2,)</f>
        <v>0</v>
      </c>
      <c r="Z205" s="155">
        <f ca="1">IF(ISNUMBER(MATCH(DATEVALUE($A205),'recurring1_based on steps'!Z$1:Z$400,0)),Z$2,)</f>
        <v>0</v>
      </c>
      <c r="AA205" s="155">
        <f ca="1">IF(ISNUMBER(MATCH(DATEVALUE($A205),'recurring1_based on steps'!AA$1:AA$400,0)),AA$2,)</f>
        <v>0</v>
      </c>
      <c r="AB205" s="155">
        <f ca="1">IF(ISNUMBER(MATCH(DATEVALUE($A205),'recurring1_based on steps'!AB$1:AB$400,0)),AB$2,)</f>
        <v>0</v>
      </c>
      <c r="AC205" s="155">
        <f ca="1">IF(ISNUMBER(MATCH(DATEVALUE($A205),'recurring1_based on steps'!AC$1:AC$400,0)),AC$2,)</f>
        <v>0</v>
      </c>
      <c r="AD205" s="155">
        <f ca="1">IF(ISNUMBER(MATCH(DATEVALUE($A205),'recurring1_based on steps'!AD$1:AD$400,0)),AD$2,)</f>
        <v>0</v>
      </c>
      <c r="AE205" s="155">
        <f ca="1">IF(ISNUMBER(MATCH(DATEVALUE($A205),'recurring1_based on steps'!AE$1:AE$400,0)),AE$2,)</f>
        <v>0</v>
      </c>
      <c r="AF205" s="155">
        <f ca="1">IF(ISNUMBER(MATCH(DATEVALUE($A205),'recurring1_based on steps'!AF$1:AF$400,0)),AF$2,)</f>
        <v>0</v>
      </c>
      <c r="AG205" s="155">
        <f ca="1">IF(ISNUMBER(MATCH(DATEVALUE($A205),'recurring1_based on steps'!AG$1:AG$400,0)),AG$2,)</f>
        <v>0</v>
      </c>
      <c r="AH205" s="155">
        <f ca="1">IF(ISNUMBER(MATCH(DATEVALUE($A205),'recurring1_based on steps'!AH$1:AH$400,0)),AH$2,)</f>
        <v>0</v>
      </c>
      <c r="AI205" s="155">
        <f ca="1">IF(ISNUMBER(MATCH(DATEVALUE($A205),'recurring1_based on steps'!AI$1:AI$400,0)),AI$2,)</f>
        <v>0</v>
      </c>
      <c r="AJ205" s="155">
        <f ca="1">IF(ISNUMBER(MATCH(DATEVALUE($A205),'recurring1_based on steps'!AJ$1:AJ$400,0)),AJ$2,)</f>
        <v>0</v>
      </c>
      <c r="AK205" s="155">
        <f ca="1">IF(ISNUMBER(MATCH(DATEVALUE($A205),'recurring1_based on steps'!AK$1:AK$400,0)),AK$2,)</f>
        <v>0</v>
      </c>
      <c r="AL205" s="155">
        <f ca="1">IF(ISNUMBER(MATCH(DATEVALUE($A205),'recurring1_based on steps'!AL$1:AL$400,0)),AL$2,)</f>
        <v>0</v>
      </c>
      <c r="AM205" s="155">
        <f ca="1">IF(ISNUMBER(MATCH(DATEVALUE($A205),'recurring1_based on steps'!AM$1:AM$400,0)),AM$2,)</f>
        <v>0</v>
      </c>
      <c r="AN205" s="155">
        <f ca="1">IF(ISNUMBER(MATCH(DATEVALUE($A205),'recurring1_based on steps'!AN$1:AN$400,0)),AN$2,)</f>
        <v>0</v>
      </c>
      <c r="AO205" s="155">
        <f ca="1">IF(ISNUMBER(MATCH(DATEVALUE($A205),'recurring1_based on steps'!AO$1:AO$400,0)),AO$2,)</f>
        <v>0</v>
      </c>
      <c r="AP205" s="155">
        <f ca="1">IF(ISNUMBER(MATCH(DATEVALUE($A205),'recurring1_based on steps'!AP$1:AP$400,0)),AP$2,)</f>
        <v>0</v>
      </c>
      <c r="AQ205" s="155">
        <f ca="1">IF(ISNUMBER(MATCH(DATEVALUE($A205),'recurring1_based on steps'!AQ$1:AQ$400,0)),AQ$2,)</f>
        <v>0</v>
      </c>
      <c r="AR205" s="155">
        <f ca="1">IF(ISNUMBER(MATCH(DATEVALUE($A205),'recurring1_based on steps'!AR$1:AR$400,0)),AR$2,)</f>
        <v>0</v>
      </c>
      <c r="AS205" s="155">
        <f ca="1">IF(ISNUMBER(MATCH(DATEVALUE($A205),'recurring1_based on steps'!AS$1:AS$400,0)),AS$2,)</f>
        <v>0</v>
      </c>
      <c r="AT205" s="155">
        <f ca="1">IF(ISNUMBER(MATCH(DATEVALUE($A205),'recurring1_based on steps'!AT$1:AT$400,0)),AT$2,)</f>
        <v>0</v>
      </c>
      <c r="AU205" s="155">
        <f ca="1">IF(ISNUMBER(MATCH(DATEVALUE($A205),'recurring1_based on steps'!AU$1:AU$400,0)),AU$2,)</f>
        <v>0</v>
      </c>
      <c r="AV205" s="155">
        <f ca="1">IF(ISNUMBER(MATCH(DATEVALUE($A205),'recurring1_based on steps'!AV$1:AV$400,0)),AV$2,)</f>
        <v>0</v>
      </c>
      <c r="AW205" s="155">
        <f ca="1">IF(ISNUMBER(MATCH(DATEVALUE($A205),'recurring1_based on steps'!AW$1:AW$400,0)),AW$2,)</f>
        <v>0</v>
      </c>
      <c r="AX205" s="155">
        <f ca="1">IF(ISNUMBER(MATCH(DATEVALUE($A205),'recurring1_based on steps'!AX$1:AX$400,0)),AX$2,)</f>
        <v>0</v>
      </c>
      <c r="AY205" s="155">
        <f ca="1">IF(ISNUMBER(MATCH(DATEVALUE($A205),'recurring1_based on steps'!AY$1:AY$400,0)),AY$2,)</f>
        <v>0</v>
      </c>
    </row>
    <row r="206" spans="1:51" x14ac:dyDescent="0.2">
      <c r="A206" s="18" t="str">
        <f t="shared" ca="1" si="3"/>
        <v>2025-08-23</v>
      </c>
      <c r="B206" s="155">
        <f ca="1">IF(ISNUMBER(MATCH(DATEVALUE($A206),'recurring1_based on steps'!B$1:B$400,0)),B$2,)</f>
        <v>0</v>
      </c>
      <c r="C206" s="155">
        <f ca="1">IF(ISNUMBER(MATCH(DATEVALUE($A206),'recurring1_based on steps'!C$1:C$400,0)),C$2,)</f>
        <v>0</v>
      </c>
      <c r="D206" s="155">
        <f ca="1">IF(ISNUMBER(MATCH(DATEVALUE($A206),'recurring1_based on steps'!D$1:D$400,0)),D$2,)</f>
        <v>0</v>
      </c>
      <c r="E206" s="155">
        <f ca="1">IF(ISNUMBER(MATCH(DATEVALUE($A206),'recurring1_based on steps'!E$1:E$400,0)),E$2,)</f>
        <v>0</v>
      </c>
      <c r="F206" s="155">
        <f ca="1">IF(ISNUMBER(MATCH(DATEVALUE($A206),'recurring1_based on steps'!F$1:F$400,0)),F$2,)</f>
        <v>0</v>
      </c>
      <c r="G206" s="155">
        <f ca="1">IF(ISNUMBER(MATCH(DATEVALUE($A206),'recurring1_based on steps'!G$1:G$400,0)),G$2,)</f>
        <v>0</v>
      </c>
      <c r="H206" s="155">
        <f ca="1">IF(ISNUMBER(MATCH(DATEVALUE($A206),'recurring1_based on steps'!H$1:H$400,0)),H$2,)</f>
        <v>0</v>
      </c>
      <c r="I206" s="155">
        <f ca="1">IF(ISNUMBER(MATCH(DATEVALUE($A206),'recurring1_based on steps'!I$1:I$400,0)),I$2,)</f>
        <v>0</v>
      </c>
      <c r="J206" s="155">
        <f ca="1">IF(ISNUMBER(MATCH(DATEVALUE($A206),'recurring1_based on steps'!J$1:J$400,0)),J$2,)</f>
        <v>0</v>
      </c>
      <c r="K206" s="155">
        <f ca="1">IF(ISNUMBER(MATCH(DATEVALUE($A206),'recurring1_based on steps'!K$1:K$400,0)),K$2,)</f>
        <v>0</v>
      </c>
      <c r="L206" s="155">
        <f ca="1">IF(ISNUMBER(MATCH(DATEVALUE($A206),'recurring1_based on steps'!L$1:L$400,0)),L$2,)</f>
        <v>0</v>
      </c>
      <c r="M206" s="155">
        <f ca="1">IF(ISNUMBER(MATCH(DATEVALUE($A206),'recurring1_based on steps'!M$1:M$400,0)),M$2,)</f>
        <v>0</v>
      </c>
      <c r="N206" s="155">
        <f ca="1">IF(ISNUMBER(MATCH(DATEVALUE($A206),'recurring1_based on steps'!N$1:N$400,0)),N$2,)</f>
        <v>0</v>
      </c>
      <c r="O206" s="155">
        <f ca="1">IF(ISNUMBER(MATCH(DATEVALUE($A206),'recurring1_based on steps'!O$1:O$400,0)),O$2,)</f>
        <v>0</v>
      </c>
      <c r="P206" s="155">
        <f ca="1">IF(ISNUMBER(MATCH(DATEVALUE($A206),'recurring1_based on steps'!P$1:P$400,0)),P$2,)</f>
        <v>0</v>
      </c>
      <c r="Q206" s="155">
        <f ca="1">IF(ISNUMBER(MATCH(DATEVALUE($A206),'recurring1_based on steps'!Q$1:Q$400,0)),Q$2,)</f>
        <v>100</v>
      </c>
      <c r="R206" s="155">
        <f ca="1">IF(ISNUMBER(MATCH(DATEVALUE($A206),'recurring1_based on steps'!R$1:R$400,0)),R$2,)</f>
        <v>100</v>
      </c>
      <c r="S206" s="155">
        <f ca="1">IF(ISNUMBER(MATCH(DATEVALUE($A206),'recurring1_based on steps'!S$1:S$400,0)),S$2,)</f>
        <v>0</v>
      </c>
      <c r="T206" s="155">
        <f ca="1">IF(ISNUMBER(MATCH(DATEVALUE($A206),'recurring1_based on steps'!T$1:T$400,0)),T$2,)</f>
        <v>0</v>
      </c>
      <c r="U206" s="155">
        <f ca="1">IF(ISNUMBER(MATCH(DATEVALUE($A206),'recurring1_based on steps'!U$1:U$400,0)),U$2,)</f>
        <v>0</v>
      </c>
      <c r="V206" s="155">
        <f ca="1">IF(ISNUMBER(MATCH(DATEVALUE($A206),'recurring1_based on steps'!V$1:V$400,0)),V$2,)</f>
        <v>0</v>
      </c>
      <c r="W206" s="155">
        <f ca="1">IF(ISNUMBER(MATCH(DATEVALUE($A206),'recurring1_based on steps'!W$1:W$400,0)),W$2,)</f>
        <v>0</v>
      </c>
      <c r="X206" s="155">
        <f ca="1">IF(ISNUMBER(MATCH(DATEVALUE($A206),'recurring1_based on steps'!X$1:X$400,0)),X$2,)</f>
        <v>0</v>
      </c>
      <c r="Y206" s="155">
        <f ca="1">IF(ISNUMBER(MATCH(DATEVALUE($A206),'recurring1_based on steps'!Y$1:Y$400,0)),Y$2,)</f>
        <v>0</v>
      </c>
      <c r="Z206" s="155">
        <f ca="1">IF(ISNUMBER(MATCH(DATEVALUE($A206),'recurring1_based on steps'!Z$1:Z$400,0)),Z$2,)</f>
        <v>0</v>
      </c>
      <c r="AA206" s="155">
        <f ca="1">IF(ISNUMBER(MATCH(DATEVALUE($A206),'recurring1_based on steps'!AA$1:AA$400,0)),AA$2,)</f>
        <v>0</v>
      </c>
      <c r="AB206" s="155">
        <f ca="1">IF(ISNUMBER(MATCH(DATEVALUE($A206),'recurring1_based on steps'!AB$1:AB$400,0)),AB$2,)</f>
        <v>0</v>
      </c>
      <c r="AC206" s="155">
        <f ca="1">IF(ISNUMBER(MATCH(DATEVALUE($A206),'recurring1_based on steps'!AC$1:AC$400,0)),AC$2,)</f>
        <v>0</v>
      </c>
      <c r="AD206" s="155">
        <f ca="1">IF(ISNUMBER(MATCH(DATEVALUE($A206),'recurring1_based on steps'!AD$1:AD$400,0)),AD$2,)</f>
        <v>0</v>
      </c>
      <c r="AE206" s="155">
        <f ca="1">IF(ISNUMBER(MATCH(DATEVALUE($A206),'recurring1_based on steps'!AE$1:AE$400,0)),AE$2,)</f>
        <v>0</v>
      </c>
      <c r="AF206" s="155">
        <f ca="1">IF(ISNUMBER(MATCH(DATEVALUE($A206),'recurring1_based on steps'!AF$1:AF$400,0)),AF$2,)</f>
        <v>0</v>
      </c>
      <c r="AG206" s="155">
        <f ca="1">IF(ISNUMBER(MATCH(DATEVALUE($A206),'recurring1_based on steps'!AG$1:AG$400,0)),AG$2,)</f>
        <v>0</v>
      </c>
      <c r="AH206" s="155">
        <f ca="1">IF(ISNUMBER(MATCH(DATEVALUE($A206),'recurring1_based on steps'!AH$1:AH$400,0)),AH$2,)</f>
        <v>0</v>
      </c>
      <c r="AI206" s="155">
        <f ca="1">IF(ISNUMBER(MATCH(DATEVALUE($A206),'recurring1_based on steps'!AI$1:AI$400,0)),AI$2,)</f>
        <v>0</v>
      </c>
      <c r="AJ206" s="155">
        <f ca="1">IF(ISNUMBER(MATCH(DATEVALUE($A206),'recurring1_based on steps'!AJ$1:AJ$400,0)),AJ$2,)</f>
        <v>0</v>
      </c>
      <c r="AK206" s="155">
        <f ca="1">IF(ISNUMBER(MATCH(DATEVALUE($A206),'recurring1_based on steps'!AK$1:AK$400,0)),AK$2,)</f>
        <v>0</v>
      </c>
      <c r="AL206" s="155">
        <f ca="1">IF(ISNUMBER(MATCH(DATEVALUE($A206),'recurring1_based on steps'!AL$1:AL$400,0)),AL$2,)</f>
        <v>0</v>
      </c>
      <c r="AM206" s="155">
        <f ca="1">IF(ISNUMBER(MATCH(DATEVALUE($A206),'recurring1_based on steps'!AM$1:AM$400,0)),AM$2,)</f>
        <v>0</v>
      </c>
      <c r="AN206" s="155">
        <f ca="1">IF(ISNUMBER(MATCH(DATEVALUE($A206),'recurring1_based on steps'!AN$1:AN$400,0)),AN$2,)</f>
        <v>0</v>
      </c>
      <c r="AO206" s="155">
        <f ca="1">IF(ISNUMBER(MATCH(DATEVALUE($A206),'recurring1_based on steps'!AO$1:AO$400,0)),AO$2,)</f>
        <v>0</v>
      </c>
      <c r="AP206" s="155">
        <f ca="1">IF(ISNUMBER(MATCH(DATEVALUE($A206),'recurring1_based on steps'!AP$1:AP$400,0)),AP$2,)</f>
        <v>0</v>
      </c>
      <c r="AQ206" s="155">
        <f ca="1">IF(ISNUMBER(MATCH(DATEVALUE($A206),'recurring1_based on steps'!AQ$1:AQ$400,0)),AQ$2,)</f>
        <v>0</v>
      </c>
      <c r="AR206" s="155">
        <f ca="1">IF(ISNUMBER(MATCH(DATEVALUE($A206),'recurring1_based on steps'!AR$1:AR$400,0)),AR$2,)</f>
        <v>0</v>
      </c>
      <c r="AS206" s="155">
        <f ca="1">IF(ISNUMBER(MATCH(DATEVALUE($A206),'recurring1_based on steps'!AS$1:AS$400,0)),AS$2,)</f>
        <v>0</v>
      </c>
      <c r="AT206" s="155">
        <f ca="1">IF(ISNUMBER(MATCH(DATEVALUE($A206),'recurring1_based on steps'!AT$1:AT$400,0)),AT$2,)</f>
        <v>0</v>
      </c>
      <c r="AU206" s="155">
        <f ca="1">IF(ISNUMBER(MATCH(DATEVALUE($A206),'recurring1_based on steps'!AU$1:AU$400,0)),AU$2,)</f>
        <v>0</v>
      </c>
      <c r="AV206" s="155">
        <f ca="1">IF(ISNUMBER(MATCH(DATEVALUE($A206),'recurring1_based on steps'!AV$1:AV$400,0)),AV$2,)</f>
        <v>0</v>
      </c>
      <c r="AW206" s="155">
        <f ca="1">IF(ISNUMBER(MATCH(DATEVALUE($A206),'recurring1_based on steps'!AW$1:AW$400,0)),AW$2,)</f>
        <v>0</v>
      </c>
      <c r="AX206" s="155">
        <f ca="1">IF(ISNUMBER(MATCH(DATEVALUE($A206),'recurring1_based on steps'!AX$1:AX$400,0)),AX$2,)</f>
        <v>0</v>
      </c>
      <c r="AY206" s="155">
        <f ca="1">IF(ISNUMBER(MATCH(DATEVALUE($A206),'recurring1_based on steps'!AY$1:AY$400,0)),AY$2,)</f>
        <v>0</v>
      </c>
    </row>
    <row r="207" spans="1:51" x14ac:dyDescent="0.2">
      <c r="A207" s="18" t="str">
        <f t="shared" ca="1" si="3"/>
        <v>2025-08-24</v>
      </c>
      <c r="B207" s="155">
        <f ca="1">IF(ISNUMBER(MATCH(DATEVALUE($A207),'recurring1_based on steps'!B$1:B$400,0)),B$2,)</f>
        <v>0</v>
      </c>
      <c r="C207" s="155">
        <f ca="1">IF(ISNUMBER(MATCH(DATEVALUE($A207),'recurring1_based on steps'!C$1:C$400,0)),C$2,)</f>
        <v>0</v>
      </c>
      <c r="D207" s="155">
        <f ca="1">IF(ISNUMBER(MATCH(DATEVALUE($A207),'recurring1_based on steps'!D$1:D$400,0)),D$2,)</f>
        <v>0</v>
      </c>
      <c r="E207" s="155">
        <f ca="1">IF(ISNUMBER(MATCH(DATEVALUE($A207),'recurring1_based on steps'!E$1:E$400,0)),E$2,)</f>
        <v>0</v>
      </c>
      <c r="F207" s="155">
        <f ca="1">IF(ISNUMBER(MATCH(DATEVALUE($A207),'recurring1_based on steps'!F$1:F$400,0)),F$2,)</f>
        <v>0</v>
      </c>
      <c r="G207" s="155">
        <f ca="1">IF(ISNUMBER(MATCH(DATEVALUE($A207),'recurring1_based on steps'!G$1:G$400,0)),G$2,)</f>
        <v>0</v>
      </c>
      <c r="H207" s="155">
        <f ca="1">IF(ISNUMBER(MATCH(DATEVALUE($A207),'recurring1_based on steps'!H$1:H$400,0)),H$2,)</f>
        <v>0</v>
      </c>
      <c r="I207" s="155">
        <f ca="1">IF(ISNUMBER(MATCH(DATEVALUE($A207),'recurring1_based on steps'!I$1:I$400,0)),I$2,)</f>
        <v>0</v>
      </c>
      <c r="J207" s="155">
        <f ca="1">IF(ISNUMBER(MATCH(DATEVALUE($A207),'recurring1_based on steps'!J$1:J$400,0)),J$2,)</f>
        <v>0</v>
      </c>
      <c r="K207" s="155">
        <f ca="1">IF(ISNUMBER(MATCH(DATEVALUE($A207),'recurring1_based on steps'!K$1:K$400,0)),K$2,)</f>
        <v>50</v>
      </c>
      <c r="L207" s="155">
        <f ca="1">IF(ISNUMBER(MATCH(DATEVALUE($A207),'recurring1_based on steps'!L$1:L$400,0)),L$2,)</f>
        <v>0</v>
      </c>
      <c r="M207" s="155">
        <f ca="1">IF(ISNUMBER(MATCH(DATEVALUE($A207),'recurring1_based on steps'!M$1:M$400,0)),M$2,)</f>
        <v>0</v>
      </c>
      <c r="N207" s="155">
        <f ca="1">IF(ISNUMBER(MATCH(DATEVALUE($A207),'recurring1_based on steps'!N$1:N$400,0)),N$2,)</f>
        <v>0</v>
      </c>
      <c r="O207" s="155">
        <f ca="1">IF(ISNUMBER(MATCH(DATEVALUE($A207),'recurring1_based on steps'!O$1:O$400,0)),O$2,)</f>
        <v>0</v>
      </c>
      <c r="P207" s="155">
        <f ca="1">IF(ISNUMBER(MATCH(DATEVALUE($A207),'recurring1_based on steps'!P$1:P$400,0)),P$2,)</f>
        <v>0</v>
      </c>
      <c r="Q207" s="155">
        <f ca="1">IF(ISNUMBER(MATCH(DATEVALUE($A207),'recurring1_based on steps'!Q$1:Q$400,0)),Q$2,)</f>
        <v>0</v>
      </c>
      <c r="R207" s="155">
        <f ca="1">IF(ISNUMBER(MATCH(DATEVALUE($A207),'recurring1_based on steps'!R$1:R$400,0)),R$2,)</f>
        <v>0</v>
      </c>
      <c r="S207" s="155">
        <f ca="1">IF(ISNUMBER(MATCH(DATEVALUE($A207),'recurring1_based on steps'!S$1:S$400,0)),S$2,)</f>
        <v>100</v>
      </c>
      <c r="T207" s="155">
        <f ca="1">IF(ISNUMBER(MATCH(DATEVALUE($A207),'recurring1_based on steps'!T$1:T$400,0)),T$2,)</f>
        <v>0</v>
      </c>
      <c r="U207" s="155">
        <f ca="1">IF(ISNUMBER(MATCH(DATEVALUE($A207),'recurring1_based on steps'!U$1:U$400,0)),U$2,)</f>
        <v>0</v>
      </c>
      <c r="V207" s="155">
        <f ca="1">IF(ISNUMBER(MATCH(DATEVALUE($A207),'recurring1_based on steps'!V$1:V$400,0)),V$2,)</f>
        <v>0</v>
      </c>
      <c r="W207" s="155">
        <f ca="1">IF(ISNUMBER(MATCH(DATEVALUE($A207),'recurring1_based on steps'!W$1:W$400,0)),W$2,)</f>
        <v>0</v>
      </c>
      <c r="X207" s="155">
        <f ca="1">IF(ISNUMBER(MATCH(DATEVALUE($A207),'recurring1_based on steps'!X$1:X$400,0)),X$2,)</f>
        <v>0</v>
      </c>
      <c r="Y207" s="155">
        <f ca="1">IF(ISNUMBER(MATCH(DATEVALUE($A207),'recurring1_based on steps'!Y$1:Y$400,0)),Y$2,)</f>
        <v>0</v>
      </c>
      <c r="Z207" s="155">
        <f ca="1">IF(ISNUMBER(MATCH(DATEVALUE($A207),'recurring1_based on steps'!Z$1:Z$400,0)),Z$2,)</f>
        <v>0</v>
      </c>
      <c r="AA207" s="155">
        <f ca="1">IF(ISNUMBER(MATCH(DATEVALUE($A207),'recurring1_based on steps'!AA$1:AA$400,0)),AA$2,)</f>
        <v>0</v>
      </c>
      <c r="AB207" s="155">
        <f ca="1">IF(ISNUMBER(MATCH(DATEVALUE($A207),'recurring1_based on steps'!AB$1:AB$400,0)),AB$2,)</f>
        <v>0</v>
      </c>
      <c r="AC207" s="155">
        <f ca="1">IF(ISNUMBER(MATCH(DATEVALUE($A207),'recurring1_based on steps'!AC$1:AC$400,0)),AC$2,)</f>
        <v>0</v>
      </c>
      <c r="AD207" s="155">
        <f ca="1">IF(ISNUMBER(MATCH(DATEVALUE($A207),'recurring1_based on steps'!AD$1:AD$400,0)),AD$2,)</f>
        <v>0</v>
      </c>
      <c r="AE207" s="155">
        <f ca="1">IF(ISNUMBER(MATCH(DATEVALUE($A207),'recurring1_based on steps'!AE$1:AE$400,0)),AE$2,)</f>
        <v>0</v>
      </c>
      <c r="AF207" s="155">
        <f ca="1">IF(ISNUMBER(MATCH(DATEVALUE($A207),'recurring1_based on steps'!AF$1:AF$400,0)),AF$2,)</f>
        <v>0</v>
      </c>
      <c r="AG207" s="155">
        <f ca="1">IF(ISNUMBER(MATCH(DATEVALUE($A207),'recurring1_based on steps'!AG$1:AG$400,0)),AG$2,)</f>
        <v>0</v>
      </c>
      <c r="AH207" s="155">
        <f ca="1">IF(ISNUMBER(MATCH(DATEVALUE($A207),'recurring1_based on steps'!AH$1:AH$400,0)),AH$2,)</f>
        <v>0</v>
      </c>
      <c r="AI207" s="155">
        <f ca="1">IF(ISNUMBER(MATCH(DATEVALUE($A207),'recurring1_based on steps'!AI$1:AI$400,0)),AI$2,)</f>
        <v>0</v>
      </c>
      <c r="AJ207" s="155">
        <f ca="1">IF(ISNUMBER(MATCH(DATEVALUE($A207),'recurring1_based on steps'!AJ$1:AJ$400,0)),AJ$2,)</f>
        <v>0</v>
      </c>
      <c r="AK207" s="155">
        <f ca="1">IF(ISNUMBER(MATCH(DATEVALUE($A207),'recurring1_based on steps'!AK$1:AK$400,0)),AK$2,)</f>
        <v>0</v>
      </c>
      <c r="AL207" s="155">
        <f ca="1">IF(ISNUMBER(MATCH(DATEVALUE($A207),'recurring1_based on steps'!AL$1:AL$400,0)),AL$2,)</f>
        <v>0</v>
      </c>
      <c r="AM207" s="155">
        <f ca="1">IF(ISNUMBER(MATCH(DATEVALUE($A207),'recurring1_based on steps'!AM$1:AM$400,0)),AM$2,)</f>
        <v>0</v>
      </c>
      <c r="AN207" s="155">
        <f ca="1">IF(ISNUMBER(MATCH(DATEVALUE($A207),'recurring1_based on steps'!AN$1:AN$400,0)),AN$2,)</f>
        <v>0</v>
      </c>
      <c r="AO207" s="155">
        <f ca="1">IF(ISNUMBER(MATCH(DATEVALUE($A207),'recurring1_based on steps'!AO$1:AO$400,0)),AO$2,)</f>
        <v>0</v>
      </c>
      <c r="AP207" s="155">
        <f ca="1">IF(ISNUMBER(MATCH(DATEVALUE($A207),'recurring1_based on steps'!AP$1:AP$400,0)),AP$2,)</f>
        <v>0</v>
      </c>
      <c r="AQ207" s="155">
        <f ca="1">IF(ISNUMBER(MATCH(DATEVALUE($A207),'recurring1_based on steps'!AQ$1:AQ$400,0)),AQ$2,)</f>
        <v>0</v>
      </c>
      <c r="AR207" s="155">
        <f ca="1">IF(ISNUMBER(MATCH(DATEVALUE($A207),'recurring1_based on steps'!AR$1:AR$400,0)),AR$2,)</f>
        <v>0</v>
      </c>
      <c r="AS207" s="155">
        <f ca="1">IF(ISNUMBER(MATCH(DATEVALUE($A207),'recurring1_based on steps'!AS$1:AS$400,0)),AS$2,)</f>
        <v>0</v>
      </c>
      <c r="AT207" s="155">
        <f ca="1">IF(ISNUMBER(MATCH(DATEVALUE($A207),'recurring1_based on steps'!AT$1:AT$400,0)),AT$2,)</f>
        <v>0</v>
      </c>
      <c r="AU207" s="155">
        <f ca="1">IF(ISNUMBER(MATCH(DATEVALUE($A207),'recurring1_based on steps'!AU$1:AU$400,0)),AU$2,)</f>
        <v>0</v>
      </c>
      <c r="AV207" s="155">
        <f ca="1">IF(ISNUMBER(MATCH(DATEVALUE($A207),'recurring1_based on steps'!AV$1:AV$400,0)),AV$2,)</f>
        <v>0</v>
      </c>
      <c r="AW207" s="155">
        <f ca="1">IF(ISNUMBER(MATCH(DATEVALUE($A207),'recurring1_based on steps'!AW$1:AW$400,0)),AW$2,)</f>
        <v>0</v>
      </c>
      <c r="AX207" s="155">
        <f ca="1">IF(ISNUMBER(MATCH(DATEVALUE($A207),'recurring1_based on steps'!AX$1:AX$400,0)),AX$2,)</f>
        <v>0</v>
      </c>
      <c r="AY207" s="155">
        <f ca="1">IF(ISNUMBER(MATCH(DATEVALUE($A207),'recurring1_based on steps'!AY$1:AY$400,0)),AY$2,)</f>
        <v>0</v>
      </c>
    </row>
    <row r="208" spans="1:51" x14ac:dyDescent="0.2">
      <c r="A208" s="18" t="str">
        <f t="shared" ca="1" si="3"/>
        <v>2025-08-25</v>
      </c>
      <c r="B208" s="155">
        <f ca="1">IF(ISNUMBER(MATCH(DATEVALUE($A208),'recurring1_based on steps'!B$1:B$400,0)),B$2,)</f>
        <v>0</v>
      </c>
      <c r="C208" s="155">
        <f ca="1">IF(ISNUMBER(MATCH(DATEVALUE($A208),'recurring1_based on steps'!C$1:C$400,0)),C$2,)</f>
        <v>0</v>
      </c>
      <c r="D208" s="155">
        <f ca="1">IF(ISNUMBER(MATCH(DATEVALUE($A208),'recurring1_based on steps'!D$1:D$400,0)),D$2,)</f>
        <v>0</v>
      </c>
      <c r="E208" s="155">
        <f ca="1">IF(ISNUMBER(MATCH(DATEVALUE($A208),'recurring1_based on steps'!E$1:E$400,0)),E$2,)</f>
        <v>0</v>
      </c>
      <c r="F208" s="155">
        <f ca="1">IF(ISNUMBER(MATCH(DATEVALUE($A208),'recurring1_based on steps'!F$1:F$400,0)),F$2,)</f>
        <v>0</v>
      </c>
      <c r="G208" s="155">
        <f ca="1">IF(ISNUMBER(MATCH(DATEVALUE($A208),'recurring1_based on steps'!G$1:G$400,0)),G$2,)</f>
        <v>0</v>
      </c>
      <c r="H208" s="155">
        <f ca="1">IF(ISNUMBER(MATCH(DATEVALUE($A208),'recurring1_based on steps'!H$1:H$400,0)),H$2,)</f>
        <v>0</v>
      </c>
      <c r="I208" s="155">
        <f ca="1">IF(ISNUMBER(MATCH(DATEVALUE($A208),'recurring1_based on steps'!I$1:I$400,0)),I$2,)</f>
        <v>0</v>
      </c>
      <c r="J208" s="155">
        <f ca="1">IF(ISNUMBER(MATCH(DATEVALUE($A208),'recurring1_based on steps'!J$1:J$400,0)),J$2,)</f>
        <v>0</v>
      </c>
      <c r="K208" s="155">
        <f ca="1">IF(ISNUMBER(MATCH(DATEVALUE($A208),'recurring1_based on steps'!K$1:K$400,0)),K$2,)</f>
        <v>0</v>
      </c>
      <c r="L208" s="155">
        <f ca="1">IF(ISNUMBER(MATCH(DATEVALUE($A208),'recurring1_based on steps'!L$1:L$400,0)),L$2,)</f>
        <v>0</v>
      </c>
      <c r="M208" s="155">
        <f ca="1">IF(ISNUMBER(MATCH(DATEVALUE($A208),'recurring1_based on steps'!M$1:M$400,0)),M$2,)</f>
        <v>0</v>
      </c>
      <c r="N208" s="155">
        <f ca="1">IF(ISNUMBER(MATCH(DATEVALUE($A208),'recurring1_based on steps'!N$1:N$400,0)),N$2,)</f>
        <v>0</v>
      </c>
      <c r="O208" s="155">
        <f ca="1">IF(ISNUMBER(MATCH(DATEVALUE($A208),'recurring1_based on steps'!O$1:O$400,0)),O$2,)</f>
        <v>0</v>
      </c>
      <c r="P208" s="155">
        <f ca="1">IF(ISNUMBER(MATCH(DATEVALUE($A208),'recurring1_based on steps'!P$1:P$400,0)),P$2,)</f>
        <v>0</v>
      </c>
      <c r="Q208" s="155">
        <f ca="1">IF(ISNUMBER(MATCH(DATEVALUE($A208),'recurring1_based on steps'!Q$1:Q$400,0)),Q$2,)</f>
        <v>0</v>
      </c>
      <c r="R208" s="155">
        <f ca="1">IF(ISNUMBER(MATCH(DATEVALUE($A208),'recurring1_based on steps'!R$1:R$400,0)),R$2,)</f>
        <v>0</v>
      </c>
      <c r="S208" s="155">
        <f ca="1">IF(ISNUMBER(MATCH(DATEVALUE($A208),'recurring1_based on steps'!S$1:S$400,0)),S$2,)</f>
        <v>0</v>
      </c>
      <c r="T208" s="155">
        <f ca="1">IF(ISNUMBER(MATCH(DATEVALUE($A208),'recurring1_based on steps'!T$1:T$400,0)),T$2,)</f>
        <v>0</v>
      </c>
      <c r="U208" s="155">
        <f ca="1">IF(ISNUMBER(MATCH(DATEVALUE($A208),'recurring1_based on steps'!U$1:U$400,0)),U$2,)</f>
        <v>0</v>
      </c>
      <c r="V208" s="155">
        <f ca="1">IF(ISNUMBER(MATCH(DATEVALUE($A208),'recurring1_based on steps'!V$1:V$400,0)),V$2,)</f>
        <v>0</v>
      </c>
      <c r="W208" s="155">
        <f ca="1">IF(ISNUMBER(MATCH(DATEVALUE($A208),'recurring1_based on steps'!W$1:W$400,0)),W$2,)</f>
        <v>0</v>
      </c>
      <c r="X208" s="155">
        <f ca="1">IF(ISNUMBER(MATCH(DATEVALUE($A208),'recurring1_based on steps'!X$1:X$400,0)),X$2,)</f>
        <v>0</v>
      </c>
      <c r="Y208" s="155">
        <f ca="1">IF(ISNUMBER(MATCH(DATEVALUE($A208),'recurring1_based on steps'!Y$1:Y$400,0)),Y$2,)</f>
        <v>0</v>
      </c>
      <c r="Z208" s="155">
        <f ca="1">IF(ISNUMBER(MATCH(DATEVALUE($A208),'recurring1_based on steps'!Z$1:Z$400,0)),Z$2,)</f>
        <v>0</v>
      </c>
      <c r="AA208" s="155">
        <f ca="1">IF(ISNUMBER(MATCH(DATEVALUE($A208),'recurring1_based on steps'!AA$1:AA$400,0)),AA$2,)</f>
        <v>0</v>
      </c>
      <c r="AB208" s="155">
        <f ca="1">IF(ISNUMBER(MATCH(DATEVALUE($A208),'recurring1_based on steps'!AB$1:AB$400,0)),AB$2,)</f>
        <v>0</v>
      </c>
      <c r="AC208" s="155">
        <f ca="1">IF(ISNUMBER(MATCH(DATEVALUE($A208),'recurring1_based on steps'!AC$1:AC$400,0)),AC$2,)</f>
        <v>0</v>
      </c>
      <c r="AD208" s="155">
        <f ca="1">IF(ISNUMBER(MATCH(DATEVALUE($A208),'recurring1_based on steps'!AD$1:AD$400,0)),AD$2,)</f>
        <v>0</v>
      </c>
      <c r="AE208" s="155">
        <f ca="1">IF(ISNUMBER(MATCH(DATEVALUE($A208),'recurring1_based on steps'!AE$1:AE$400,0)),AE$2,)</f>
        <v>0</v>
      </c>
      <c r="AF208" s="155">
        <f ca="1">IF(ISNUMBER(MATCH(DATEVALUE($A208),'recurring1_based on steps'!AF$1:AF$400,0)),AF$2,)</f>
        <v>0</v>
      </c>
      <c r="AG208" s="155">
        <f ca="1">IF(ISNUMBER(MATCH(DATEVALUE($A208),'recurring1_based on steps'!AG$1:AG$400,0)),AG$2,)</f>
        <v>0</v>
      </c>
      <c r="AH208" s="155">
        <f ca="1">IF(ISNUMBER(MATCH(DATEVALUE($A208),'recurring1_based on steps'!AH$1:AH$400,0)),AH$2,)</f>
        <v>0</v>
      </c>
      <c r="AI208" s="155">
        <f ca="1">IF(ISNUMBER(MATCH(DATEVALUE($A208),'recurring1_based on steps'!AI$1:AI$400,0)),AI$2,)</f>
        <v>0</v>
      </c>
      <c r="AJ208" s="155">
        <f ca="1">IF(ISNUMBER(MATCH(DATEVALUE($A208),'recurring1_based on steps'!AJ$1:AJ$400,0)),AJ$2,)</f>
        <v>0</v>
      </c>
      <c r="AK208" s="155">
        <f ca="1">IF(ISNUMBER(MATCH(DATEVALUE($A208),'recurring1_based on steps'!AK$1:AK$400,0)),AK$2,)</f>
        <v>0</v>
      </c>
      <c r="AL208" s="155">
        <f ca="1">IF(ISNUMBER(MATCH(DATEVALUE($A208),'recurring1_based on steps'!AL$1:AL$400,0)),AL$2,)</f>
        <v>0</v>
      </c>
      <c r="AM208" s="155">
        <f ca="1">IF(ISNUMBER(MATCH(DATEVALUE($A208),'recurring1_based on steps'!AM$1:AM$400,0)),AM$2,)</f>
        <v>0</v>
      </c>
      <c r="AN208" s="155">
        <f ca="1">IF(ISNUMBER(MATCH(DATEVALUE($A208),'recurring1_based on steps'!AN$1:AN$400,0)),AN$2,)</f>
        <v>0</v>
      </c>
      <c r="AO208" s="155">
        <f ca="1">IF(ISNUMBER(MATCH(DATEVALUE($A208),'recurring1_based on steps'!AO$1:AO$400,0)),AO$2,)</f>
        <v>0</v>
      </c>
      <c r="AP208" s="155">
        <f ca="1">IF(ISNUMBER(MATCH(DATEVALUE($A208),'recurring1_based on steps'!AP$1:AP$400,0)),AP$2,)</f>
        <v>0</v>
      </c>
      <c r="AQ208" s="155">
        <f ca="1">IF(ISNUMBER(MATCH(DATEVALUE($A208),'recurring1_based on steps'!AQ$1:AQ$400,0)),AQ$2,)</f>
        <v>0</v>
      </c>
      <c r="AR208" s="155">
        <f ca="1">IF(ISNUMBER(MATCH(DATEVALUE($A208),'recurring1_based on steps'!AR$1:AR$400,0)),AR$2,)</f>
        <v>0</v>
      </c>
      <c r="AS208" s="155">
        <f ca="1">IF(ISNUMBER(MATCH(DATEVALUE($A208),'recurring1_based on steps'!AS$1:AS$400,0)),AS$2,)</f>
        <v>0</v>
      </c>
      <c r="AT208" s="155">
        <f ca="1">IF(ISNUMBER(MATCH(DATEVALUE($A208),'recurring1_based on steps'!AT$1:AT$400,0)),AT$2,)</f>
        <v>0</v>
      </c>
      <c r="AU208" s="155">
        <f ca="1">IF(ISNUMBER(MATCH(DATEVALUE($A208),'recurring1_based on steps'!AU$1:AU$400,0)),AU$2,)</f>
        <v>0</v>
      </c>
      <c r="AV208" s="155">
        <f ca="1">IF(ISNUMBER(MATCH(DATEVALUE($A208),'recurring1_based on steps'!AV$1:AV$400,0)),AV$2,)</f>
        <v>0</v>
      </c>
      <c r="AW208" s="155">
        <f ca="1">IF(ISNUMBER(MATCH(DATEVALUE($A208),'recurring1_based on steps'!AW$1:AW$400,0)),AW$2,)</f>
        <v>0</v>
      </c>
      <c r="AX208" s="155">
        <f ca="1">IF(ISNUMBER(MATCH(DATEVALUE($A208),'recurring1_based on steps'!AX$1:AX$400,0)),AX$2,)</f>
        <v>0</v>
      </c>
      <c r="AY208" s="155">
        <f ca="1">IF(ISNUMBER(MATCH(DATEVALUE($A208),'recurring1_based on steps'!AY$1:AY$400,0)),AY$2,)</f>
        <v>0</v>
      </c>
    </row>
    <row r="209" spans="1:51" x14ac:dyDescent="0.2">
      <c r="A209" s="18" t="str">
        <f t="shared" ca="1" si="3"/>
        <v>2025-08-26</v>
      </c>
      <c r="B209" s="155">
        <f ca="1">IF(ISNUMBER(MATCH(DATEVALUE($A209),'recurring1_based on steps'!B$1:B$400,0)),B$2,)</f>
        <v>0</v>
      </c>
      <c r="C209" s="155">
        <f ca="1">IF(ISNUMBER(MATCH(DATEVALUE($A209),'recurring1_based on steps'!C$1:C$400,0)),C$2,)</f>
        <v>0</v>
      </c>
      <c r="D209" s="155">
        <f ca="1">IF(ISNUMBER(MATCH(DATEVALUE($A209),'recurring1_based on steps'!D$1:D$400,0)),D$2,)</f>
        <v>0</v>
      </c>
      <c r="E209" s="155">
        <f ca="1">IF(ISNUMBER(MATCH(DATEVALUE($A209),'recurring1_based on steps'!E$1:E$400,0)),E$2,)</f>
        <v>0</v>
      </c>
      <c r="F209" s="155">
        <f ca="1">IF(ISNUMBER(MATCH(DATEVALUE($A209),'recurring1_based on steps'!F$1:F$400,0)),F$2,)</f>
        <v>0</v>
      </c>
      <c r="G209" s="155">
        <f ca="1">IF(ISNUMBER(MATCH(DATEVALUE($A209),'recurring1_based on steps'!G$1:G$400,0)),G$2,)</f>
        <v>0</v>
      </c>
      <c r="H209" s="155">
        <f ca="1">IF(ISNUMBER(MATCH(DATEVALUE($A209),'recurring1_based on steps'!H$1:H$400,0)),H$2,)</f>
        <v>0</v>
      </c>
      <c r="I209" s="155">
        <f ca="1">IF(ISNUMBER(MATCH(DATEVALUE($A209),'recurring1_based on steps'!I$1:I$400,0)),I$2,)</f>
        <v>0</v>
      </c>
      <c r="J209" s="155">
        <f ca="1">IF(ISNUMBER(MATCH(DATEVALUE($A209),'recurring1_based on steps'!J$1:J$400,0)),J$2,)</f>
        <v>0</v>
      </c>
      <c r="K209" s="155">
        <f ca="1">IF(ISNUMBER(MATCH(DATEVALUE($A209),'recurring1_based on steps'!K$1:K$400,0)),K$2,)</f>
        <v>0</v>
      </c>
      <c r="L209" s="155">
        <f ca="1">IF(ISNUMBER(MATCH(DATEVALUE($A209),'recurring1_based on steps'!L$1:L$400,0)),L$2,)</f>
        <v>0</v>
      </c>
      <c r="M209" s="155">
        <f ca="1">IF(ISNUMBER(MATCH(DATEVALUE($A209),'recurring1_based on steps'!M$1:M$400,0)),M$2,)</f>
        <v>0</v>
      </c>
      <c r="N209" s="155">
        <f ca="1">IF(ISNUMBER(MATCH(DATEVALUE($A209),'recurring1_based on steps'!N$1:N$400,0)),N$2,)</f>
        <v>0</v>
      </c>
      <c r="O209" s="155">
        <f ca="1">IF(ISNUMBER(MATCH(DATEVALUE($A209),'recurring1_based on steps'!O$1:O$400,0)),O$2,)</f>
        <v>0</v>
      </c>
      <c r="P209" s="155">
        <f ca="1">IF(ISNUMBER(MATCH(DATEVALUE($A209),'recurring1_based on steps'!P$1:P$400,0)),P$2,)</f>
        <v>0</v>
      </c>
      <c r="Q209" s="155">
        <f ca="1">IF(ISNUMBER(MATCH(DATEVALUE($A209),'recurring1_based on steps'!Q$1:Q$400,0)),Q$2,)</f>
        <v>0</v>
      </c>
      <c r="R209" s="155">
        <f ca="1">IF(ISNUMBER(MATCH(DATEVALUE($A209),'recurring1_based on steps'!R$1:R$400,0)),R$2,)</f>
        <v>0</v>
      </c>
      <c r="S209" s="155">
        <f ca="1">IF(ISNUMBER(MATCH(DATEVALUE($A209),'recurring1_based on steps'!S$1:S$400,0)),S$2,)</f>
        <v>0</v>
      </c>
      <c r="T209" s="155">
        <f ca="1">IF(ISNUMBER(MATCH(DATEVALUE($A209),'recurring1_based on steps'!T$1:T$400,0)),T$2,)</f>
        <v>0</v>
      </c>
      <c r="U209" s="155">
        <f ca="1">IF(ISNUMBER(MATCH(DATEVALUE($A209),'recurring1_based on steps'!U$1:U$400,0)),U$2,)</f>
        <v>0</v>
      </c>
      <c r="V209" s="155">
        <f ca="1">IF(ISNUMBER(MATCH(DATEVALUE($A209),'recurring1_based on steps'!V$1:V$400,0)),V$2,)</f>
        <v>0</v>
      </c>
      <c r="W209" s="155">
        <f ca="1">IF(ISNUMBER(MATCH(DATEVALUE($A209),'recurring1_based on steps'!W$1:W$400,0)),W$2,)</f>
        <v>0</v>
      </c>
      <c r="X209" s="155">
        <f ca="1">IF(ISNUMBER(MATCH(DATEVALUE($A209),'recurring1_based on steps'!X$1:X$400,0)),X$2,)</f>
        <v>0</v>
      </c>
      <c r="Y209" s="155">
        <f ca="1">IF(ISNUMBER(MATCH(DATEVALUE($A209),'recurring1_based on steps'!Y$1:Y$400,0)),Y$2,)</f>
        <v>0</v>
      </c>
      <c r="Z209" s="155">
        <f ca="1">IF(ISNUMBER(MATCH(DATEVALUE($A209),'recurring1_based on steps'!Z$1:Z$400,0)),Z$2,)</f>
        <v>0</v>
      </c>
      <c r="AA209" s="155">
        <f ca="1">IF(ISNUMBER(MATCH(DATEVALUE($A209),'recurring1_based on steps'!AA$1:AA$400,0)),AA$2,)</f>
        <v>0</v>
      </c>
      <c r="AB209" s="155">
        <f ca="1">IF(ISNUMBER(MATCH(DATEVALUE($A209),'recurring1_based on steps'!AB$1:AB$400,0)),AB$2,)</f>
        <v>0</v>
      </c>
      <c r="AC209" s="155">
        <f ca="1">IF(ISNUMBER(MATCH(DATEVALUE($A209),'recurring1_based on steps'!AC$1:AC$400,0)),AC$2,)</f>
        <v>0</v>
      </c>
      <c r="AD209" s="155">
        <f ca="1">IF(ISNUMBER(MATCH(DATEVALUE($A209),'recurring1_based on steps'!AD$1:AD$400,0)),AD$2,)</f>
        <v>0</v>
      </c>
      <c r="AE209" s="155">
        <f ca="1">IF(ISNUMBER(MATCH(DATEVALUE($A209),'recurring1_based on steps'!AE$1:AE$400,0)),AE$2,)</f>
        <v>0</v>
      </c>
      <c r="AF209" s="155">
        <f ca="1">IF(ISNUMBER(MATCH(DATEVALUE($A209),'recurring1_based on steps'!AF$1:AF$400,0)),AF$2,)</f>
        <v>0</v>
      </c>
      <c r="AG209" s="155">
        <f ca="1">IF(ISNUMBER(MATCH(DATEVALUE($A209),'recurring1_based on steps'!AG$1:AG$400,0)),AG$2,)</f>
        <v>0</v>
      </c>
      <c r="AH209" s="155">
        <f ca="1">IF(ISNUMBER(MATCH(DATEVALUE($A209),'recurring1_based on steps'!AH$1:AH$400,0)),AH$2,)</f>
        <v>0</v>
      </c>
      <c r="AI209" s="155">
        <f ca="1">IF(ISNUMBER(MATCH(DATEVALUE($A209),'recurring1_based on steps'!AI$1:AI$400,0)),AI$2,)</f>
        <v>0</v>
      </c>
      <c r="AJ209" s="155">
        <f ca="1">IF(ISNUMBER(MATCH(DATEVALUE($A209),'recurring1_based on steps'!AJ$1:AJ$400,0)),AJ$2,)</f>
        <v>0</v>
      </c>
      <c r="AK209" s="155">
        <f ca="1">IF(ISNUMBER(MATCH(DATEVALUE($A209),'recurring1_based on steps'!AK$1:AK$400,0)),AK$2,)</f>
        <v>0</v>
      </c>
      <c r="AL209" s="155">
        <f ca="1">IF(ISNUMBER(MATCH(DATEVALUE($A209),'recurring1_based on steps'!AL$1:AL$400,0)),AL$2,)</f>
        <v>0</v>
      </c>
      <c r="AM209" s="155">
        <f ca="1">IF(ISNUMBER(MATCH(DATEVALUE($A209),'recurring1_based on steps'!AM$1:AM$400,0)),AM$2,)</f>
        <v>0</v>
      </c>
      <c r="AN209" s="155">
        <f ca="1">IF(ISNUMBER(MATCH(DATEVALUE($A209),'recurring1_based on steps'!AN$1:AN$400,0)),AN$2,)</f>
        <v>0</v>
      </c>
      <c r="AO209" s="155">
        <f ca="1">IF(ISNUMBER(MATCH(DATEVALUE($A209),'recurring1_based on steps'!AO$1:AO$400,0)),AO$2,)</f>
        <v>0</v>
      </c>
      <c r="AP209" s="155">
        <f ca="1">IF(ISNUMBER(MATCH(DATEVALUE($A209),'recurring1_based on steps'!AP$1:AP$400,0)),AP$2,)</f>
        <v>0</v>
      </c>
      <c r="AQ209" s="155">
        <f ca="1">IF(ISNUMBER(MATCH(DATEVALUE($A209),'recurring1_based on steps'!AQ$1:AQ$400,0)),AQ$2,)</f>
        <v>0</v>
      </c>
      <c r="AR209" s="155">
        <f ca="1">IF(ISNUMBER(MATCH(DATEVALUE($A209),'recurring1_based on steps'!AR$1:AR$400,0)),AR$2,)</f>
        <v>0</v>
      </c>
      <c r="AS209" s="155">
        <f ca="1">IF(ISNUMBER(MATCH(DATEVALUE($A209),'recurring1_based on steps'!AS$1:AS$400,0)),AS$2,)</f>
        <v>0</v>
      </c>
      <c r="AT209" s="155">
        <f ca="1">IF(ISNUMBER(MATCH(DATEVALUE($A209),'recurring1_based on steps'!AT$1:AT$400,0)),AT$2,)</f>
        <v>0</v>
      </c>
      <c r="AU209" s="155">
        <f ca="1">IF(ISNUMBER(MATCH(DATEVALUE($A209),'recurring1_based on steps'!AU$1:AU$400,0)),AU$2,)</f>
        <v>0</v>
      </c>
      <c r="AV209" s="155">
        <f ca="1">IF(ISNUMBER(MATCH(DATEVALUE($A209),'recurring1_based on steps'!AV$1:AV$400,0)),AV$2,)</f>
        <v>0</v>
      </c>
      <c r="AW209" s="155">
        <f ca="1">IF(ISNUMBER(MATCH(DATEVALUE($A209),'recurring1_based on steps'!AW$1:AW$400,0)),AW$2,)</f>
        <v>0</v>
      </c>
      <c r="AX209" s="155">
        <f ca="1">IF(ISNUMBER(MATCH(DATEVALUE($A209),'recurring1_based on steps'!AX$1:AX$400,0)),AX$2,)</f>
        <v>0</v>
      </c>
      <c r="AY209" s="155">
        <f ca="1">IF(ISNUMBER(MATCH(DATEVALUE($A209),'recurring1_based on steps'!AY$1:AY$400,0)),AY$2,)</f>
        <v>0</v>
      </c>
    </row>
    <row r="210" spans="1:51" x14ac:dyDescent="0.2">
      <c r="A210" s="18" t="str">
        <f t="shared" ca="1" si="3"/>
        <v>2025-08-27</v>
      </c>
      <c r="B210" s="155">
        <f ca="1">IF(ISNUMBER(MATCH(DATEVALUE($A210),'recurring1_based on steps'!B$1:B$400,0)),B$2,)</f>
        <v>0</v>
      </c>
      <c r="C210" s="155">
        <f ca="1">IF(ISNUMBER(MATCH(DATEVALUE($A210),'recurring1_based on steps'!C$1:C$400,0)),C$2,)</f>
        <v>0</v>
      </c>
      <c r="D210" s="155">
        <f ca="1">IF(ISNUMBER(MATCH(DATEVALUE($A210),'recurring1_based on steps'!D$1:D$400,0)),D$2,)</f>
        <v>0</v>
      </c>
      <c r="E210" s="155">
        <f ca="1">IF(ISNUMBER(MATCH(DATEVALUE($A210),'recurring1_based on steps'!E$1:E$400,0)),E$2,)</f>
        <v>0</v>
      </c>
      <c r="F210" s="155">
        <f ca="1">IF(ISNUMBER(MATCH(DATEVALUE($A210),'recurring1_based on steps'!F$1:F$400,0)),F$2,)</f>
        <v>0</v>
      </c>
      <c r="G210" s="155">
        <f ca="1">IF(ISNUMBER(MATCH(DATEVALUE($A210),'recurring1_based on steps'!G$1:G$400,0)),G$2,)</f>
        <v>0</v>
      </c>
      <c r="H210" s="155">
        <f ca="1">IF(ISNUMBER(MATCH(DATEVALUE($A210),'recurring1_based on steps'!H$1:H$400,0)),H$2,)</f>
        <v>0</v>
      </c>
      <c r="I210" s="155">
        <f ca="1">IF(ISNUMBER(MATCH(DATEVALUE($A210),'recurring1_based on steps'!I$1:I$400,0)),I$2,)</f>
        <v>0</v>
      </c>
      <c r="J210" s="155">
        <f ca="1">IF(ISNUMBER(MATCH(DATEVALUE($A210),'recurring1_based on steps'!J$1:J$400,0)),J$2,)</f>
        <v>0</v>
      </c>
      <c r="K210" s="155">
        <f ca="1">IF(ISNUMBER(MATCH(DATEVALUE($A210),'recurring1_based on steps'!K$1:K$400,0)),K$2,)</f>
        <v>0</v>
      </c>
      <c r="L210" s="155">
        <f ca="1">IF(ISNUMBER(MATCH(DATEVALUE($A210),'recurring1_based on steps'!L$1:L$400,0)),L$2,)</f>
        <v>0</v>
      </c>
      <c r="M210" s="155">
        <f ca="1">IF(ISNUMBER(MATCH(DATEVALUE($A210),'recurring1_based on steps'!M$1:M$400,0)),M$2,)</f>
        <v>0</v>
      </c>
      <c r="N210" s="155">
        <f ca="1">IF(ISNUMBER(MATCH(DATEVALUE($A210),'recurring1_based on steps'!N$1:N$400,0)),N$2,)</f>
        <v>0</v>
      </c>
      <c r="O210" s="155">
        <f ca="1">IF(ISNUMBER(MATCH(DATEVALUE($A210),'recurring1_based on steps'!O$1:O$400,0)),O$2,)</f>
        <v>0</v>
      </c>
      <c r="P210" s="155">
        <f ca="1">IF(ISNUMBER(MATCH(DATEVALUE($A210),'recurring1_based on steps'!P$1:P$400,0)),P$2,)</f>
        <v>2.99</v>
      </c>
      <c r="Q210" s="155">
        <f ca="1">IF(ISNUMBER(MATCH(DATEVALUE($A210),'recurring1_based on steps'!Q$1:Q$400,0)),Q$2,)</f>
        <v>0</v>
      </c>
      <c r="R210" s="155">
        <f ca="1">IF(ISNUMBER(MATCH(DATEVALUE($A210),'recurring1_based on steps'!R$1:R$400,0)),R$2,)</f>
        <v>0</v>
      </c>
      <c r="S210" s="155">
        <f ca="1">IF(ISNUMBER(MATCH(DATEVALUE($A210),'recurring1_based on steps'!S$1:S$400,0)),S$2,)</f>
        <v>0</v>
      </c>
      <c r="T210" s="155">
        <f ca="1">IF(ISNUMBER(MATCH(DATEVALUE($A210),'recurring1_based on steps'!T$1:T$400,0)),T$2,)</f>
        <v>0</v>
      </c>
      <c r="U210" s="155">
        <f ca="1">IF(ISNUMBER(MATCH(DATEVALUE($A210),'recurring1_based on steps'!U$1:U$400,0)),U$2,)</f>
        <v>0</v>
      </c>
      <c r="V210" s="155">
        <f ca="1">IF(ISNUMBER(MATCH(DATEVALUE($A210),'recurring1_based on steps'!V$1:V$400,0)),V$2,)</f>
        <v>0</v>
      </c>
      <c r="W210" s="155">
        <f ca="1">IF(ISNUMBER(MATCH(DATEVALUE($A210),'recurring1_based on steps'!W$1:W$400,0)),W$2,)</f>
        <v>0</v>
      </c>
      <c r="X210" s="155">
        <f ca="1">IF(ISNUMBER(MATCH(DATEVALUE($A210),'recurring1_based on steps'!X$1:X$400,0)),X$2,)</f>
        <v>0</v>
      </c>
      <c r="Y210" s="155">
        <f ca="1">IF(ISNUMBER(MATCH(DATEVALUE($A210),'recurring1_based on steps'!Y$1:Y$400,0)),Y$2,)</f>
        <v>0</v>
      </c>
      <c r="Z210" s="155">
        <f ca="1">IF(ISNUMBER(MATCH(DATEVALUE($A210),'recurring1_based on steps'!Z$1:Z$400,0)),Z$2,)</f>
        <v>0</v>
      </c>
      <c r="AA210" s="155">
        <f ca="1">IF(ISNUMBER(MATCH(DATEVALUE($A210),'recurring1_based on steps'!AA$1:AA$400,0)),AA$2,)</f>
        <v>0</v>
      </c>
      <c r="AB210" s="155">
        <f ca="1">IF(ISNUMBER(MATCH(DATEVALUE($A210),'recurring1_based on steps'!AB$1:AB$400,0)),AB$2,)</f>
        <v>0</v>
      </c>
      <c r="AC210" s="155">
        <f ca="1">IF(ISNUMBER(MATCH(DATEVALUE($A210),'recurring1_based on steps'!AC$1:AC$400,0)),AC$2,)</f>
        <v>0</v>
      </c>
      <c r="AD210" s="155">
        <f ca="1">IF(ISNUMBER(MATCH(DATEVALUE($A210),'recurring1_based on steps'!AD$1:AD$400,0)),AD$2,)</f>
        <v>0</v>
      </c>
      <c r="AE210" s="155">
        <f ca="1">IF(ISNUMBER(MATCH(DATEVALUE($A210),'recurring1_based on steps'!AE$1:AE$400,0)),AE$2,)</f>
        <v>0</v>
      </c>
      <c r="AF210" s="155">
        <f ca="1">IF(ISNUMBER(MATCH(DATEVALUE($A210),'recurring1_based on steps'!AF$1:AF$400,0)),AF$2,)</f>
        <v>0</v>
      </c>
      <c r="AG210" s="155">
        <f ca="1">IF(ISNUMBER(MATCH(DATEVALUE($A210),'recurring1_based on steps'!AG$1:AG$400,0)),AG$2,)</f>
        <v>0</v>
      </c>
      <c r="AH210" s="155">
        <f ca="1">IF(ISNUMBER(MATCH(DATEVALUE($A210),'recurring1_based on steps'!AH$1:AH$400,0)),AH$2,)</f>
        <v>0</v>
      </c>
      <c r="AI210" s="155">
        <f ca="1">IF(ISNUMBER(MATCH(DATEVALUE($A210),'recurring1_based on steps'!AI$1:AI$400,0)),AI$2,)</f>
        <v>0</v>
      </c>
      <c r="AJ210" s="155">
        <f ca="1">IF(ISNUMBER(MATCH(DATEVALUE($A210),'recurring1_based on steps'!AJ$1:AJ$400,0)),AJ$2,)</f>
        <v>0</v>
      </c>
      <c r="AK210" s="155">
        <f ca="1">IF(ISNUMBER(MATCH(DATEVALUE($A210),'recurring1_based on steps'!AK$1:AK$400,0)),AK$2,)</f>
        <v>0</v>
      </c>
      <c r="AL210" s="155">
        <f ca="1">IF(ISNUMBER(MATCH(DATEVALUE($A210),'recurring1_based on steps'!AL$1:AL$400,0)),AL$2,)</f>
        <v>0</v>
      </c>
      <c r="AM210" s="155">
        <f ca="1">IF(ISNUMBER(MATCH(DATEVALUE($A210),'recurring1_based on steps'!AM$1:AM$400,0)),AM$2,)</f>
        <v>0</v>
      </c>
      <c r="AN210" s="155">
        <f ca="1">IF(ISNUMBER(MATCH(DATEVALUE($A210),'recurring1_based on steps'!AN$1:AN$400,0)),AN$2,)</f>
        <v>0</v>
      </c>
      <c r="AO210" s="155">
        <f ca="1">IF(ISNUMBER(MATCH(DATEVALUE($A210),'recurring1_based on steps'!AO$1:AO$400,0)),AO$2,)</f>
        <v>0</v>
      </c>
      <c r="AP210" s="155">
        <f ca="1">IF(ISNUMBER(MATCH(DATEVALUE($A210),'recurring1_based on steps'!AP$1:AP$400,0)),AP$2,)</f>
        <v>0</v>
      </c>
      <c r="AQ210" s="155">
        <f ca="1">IF(ISNUMBER(MATCH(DATEVALUE($A210),'recurring1_based on steps'!AQ$1:AQ$400,0)),AQ$2,)</f>
        <v>0</v>
      </c>
      <c r="AR210" s="155">
        <f ca="1">IF(ISNUMBER(MATCH(DATEVALUE($A210),'recurring1_based on steps'!AR$1:AR$400,0)),AR$2,)</f>
        <v>0</v>
      </c>
      <c r="AS210" s="155">
        <f ca="1">IF(ISNUMBER(MATCH(DATEVALUE($A210),'recurring1_based on steps'!AS$1:AS$400,0)),AS$2,)</f>
        <v>0</v>
      </c>
      <c r="AT210" s="155">
        <f ca="1">IF(ISNUMBER(MATCH(DATEVALUE($A210),'recurring1_based on steps'!AT$1:AT$400,0)),AT$2,)</f>
        <v>0</v>
      </c>
      <c r="AU210" s="155">
        <f ca="1">IF(ISNUMBER(MATCH(DATEVALUE($A210),'recurring1_based on steps'!AU$1:AU$400,0)),AU$2,)</f>
        <v>0</v>
      </c>
      <c r="AV210" s="155">
        <f ca="1">IF(ISNUMBER(MATCH(DATEVALUE($A210),'recurring1_based on steps'!AV$1:AV$400,0)),AV$2,)</f>
        <v>0</v>
      </c>
      <c r="AW210" s="155">
        <f ca="1">IF(ISNUMBER(MATCH(DATEVALUE($A210),'recurring1_based on steps'!AW$1:AW$400,0)),AW$2,)</f>
        <v>0</v>
      </c>
      <c r="AX210" s="155">
        <f ca="1">IF(ISNUMBER(MATCH(DATEVALUE($A210),'recurring1_based on steps'!AX$1:AX$400,0)),AX$2,)</f>
        <v>0</v>
      </c>
      <c r="AY210" s="155">
        <f ca="1">IF(ISNUMBER(MATCH(DATEVALUE($A210),'recurring1_based on steps'!AY$1:AY$400,0)),AY$2,)</f>
        <v>0</v>
      </c>
    </row>
    <row r="211" spans="1:51" x14ac:dyDescent="0.2">
      <c r="A211" s="18" t="str">
        <f t="shared" ca="1" si="3"/>
        <v>2025-08-28</v>
      </c>
      <c r="B211" s="155">
        <f ca="1">IF(ISNUMBER(MATCH(DATEVALUE($A211),'recurring1_based on steps'!B$1:B$400,0)),B$2,)</f>
        <v>0</v>
      </c>
      <c r="C211" s="155">
        <f ca="1">IF(ISNUMBER(MATCH(DATEVALUE($A211),'recurring1_based on steps'!C$1:C$400,0)),C$2,)</f>
        <v>0</v>
      </c>
      <c r="D211" s="155">
        <f ca="1">IF(ISNUMBER(MATCH(DATEVALUE($A211),'recurring1_based on steps'!D$1:D$400,0)),D$2,)</f>
        <v>0</v>
      </c>
      <c r="E211" s="155">
        <f ca="1">IF(ISNUMBER(MATCH(DATEVALUE($A211),'recurring1_based on steps'!E$1:E$400,0)),E$2,)</f>
        <v>0</v>
      </c>
      <c r="F211" s="155">
        <f ca="1">IF(ISNUMBER(MATCH(DATEVALUE($A211),'recurring1_based on steps'!F$1:F$400,0)),F$2,)</f>
        <v>0</v>
      </c>
      <c r="G211" s="155">
        <f ca="1">IF(ISNUMBER(MATCH(DATEVALUE($A211),'recurring1_based on steps'!G$1:G$400,0)),G$2,)</f>
        <v>0</v>
      </c>
      <c r="H211" s="155">
        <f ca="1">IF(ISNUMBER(MATCH(DATEVALUE($A211),'recurring1_based on steps'!H$1:H$400,0)),H$2,)</f>
        <v>40</v>
      </c>
      <c r="I211" s="155">
        <f ca="1">IF(ISNUMBER(MATCH(DATEVALUE($A211),'recurring1_based on steps'!I$1:I$400,0)),I$2,)</f>
        <v>0</v>
      </c>
      <c r="J211" s="155">
        <f ca="1">IF(ISNUMBER(MATCH(DATEVALUE($A211),'recurring1_based on steps'!J$1:J$400,0)),J$2,)</f>
        <v>0</v>
      </c>
      <c r="K211" s="155">
        <f ca="1">IF(ISNUMBER(MATCH(DATEVALUE($A211),'recurring1_based on steps'!K$1:K$400,0)),K$2,)</f>
        <v>0</v>
      </c>
      <c r="L211" s="155">
        <f ca="1">IF(ISNUMBER(MATCH(DATEVALUE($A211),'recurring1_based on steps'!L$1:L$400,0)),L$2,)</f>
        <v>0</v>
      </c>
      <c r="M211" s="155">
        <f ca="1">IF(ISNUMBER(MATCH(DATEVALUE($A211),'recurring1_based on steps'!M$1:M$400,0)),M$2,)</f>
        <v>0</v>
      </c>
      <c r="N211" s="155">
        <f ca="1">IF(ISNUMBER(MATCH(DATEVALUE($A211),'recurring1_based on steps'!N$1:N$400,0)),N$2,)</f>
        <v>0</v>
      </c>
      <c r="O211" s="155">
        <f ca="1">IF(ISNUMBER(MATCH(DATEVALUE($A211),'recurring1_based on steps'!O$1:O$400,0)),O$2,)</f>
        <v>0</v>
      </c>
      <c r="P211" s="155">
        <f ca="1">IF(ISNUMBER(MATCH(DATEVALUE($A211),'recurring1_based on steps'!P$1:P$400,0)),P$2,)</f>
        <v>0</v>
      </c>
      <c r="Q211" s="155">
        <f ca="1">IF(ISNUMBER(MATCH(DATEVALUE($A211),'recurring1_based on steps'!Q$1:Q$400,0)),Q$2,)</f>
        <v>0</v>
      </c>
      <c r="R211" s="155">
        <f ca="1">IF(ISNUMBER(MATCH(DATEVALUE($A211),'recurring1_based on steps'!R$1:R$400,0)),R$2,)</f>
        <v>0</v>
      </c>
      <c r="S211" s="155">
        <f ca="1">IF(ISNUMBER(MATCH(DATEVALUE($A211),'recurring1_based on steps'!S$1:S$400,0)),S$2,)</f>
        <v>0</v>
      </c>
      <c r="T211" s="155">
        <f ca="1">IF(ISNUMBER(MATCH(DATEVALUE($A211),'recurring1_based on steps'!T$1:T$400,0)),T$2,)</f>
        <v>0</v>
      </c>
      <c r="U211" s="155">
        <f ca="1">IF(ISNUMBER(MATCH(DATEVALUE($A211),'recurring1_based on steps'!U$1:U$400,0)),U$2,)</f>
        <v>0</v>
      </c>
      <c r="V211" s="155">
        <f ca="1">IF(ISNUMBER(MATCH(DATEVALUE($A211),'recurring1_based on steps'!V$1:V$400,0)),V$2,)</f>
        <v>0</v>
      </c>
      <c r="W211" s="155">
        <f ca="1">IF(ISNUMBER(MATCH(DATEVALUE($A211),'recurring1_based on steps'!W$1:W$400,0)),W$2,)</f>
        <v>100</v>
      </c>
      <c r="X211" s="155">
        <f ca="1">IF(ISNUMBER(MATCH(DATEVALUE($A211),'recurring1_based on steps'!X$1:X$400,0)),X$2,)</f>
        <v>0</v>
      </c>
      <c r="Y211" s="155">
        <f ca="1">IF(ISNUMBER(MATCH(DATEVALUE($A211),'recurring1_based on steps'!Y$1:Y$400,0)),Y$2,)</f>
        <v>0</v>
      </c>
      <c r="Z211" s="155">
        <f ca="1">IF(ISNUMBER(MATCH(DATEVALUE($A211),'recurring1_based on steps'!Z$1:Z$400,0)),Z$2,)</f>
        <v>0</v>
      </c>
      <c r="AA211" s="155">
        <f ca="1">IF(ISNUMBER(MATCH(DATEVALUE($A211),'recurring1_based on steps'!AA$1:AA$400,0)),AA$2,)</f>
        <v>0</v>
      </c>
      <c r="AB211" s="155">
        <f ca="1">IF(ISNUMBER(MATCH(DATEVALUE($A211),'recurring1_based on steps'!AB$1:AB$400,0)),AB$2,)</f>
        <v>0</v>
      </c>
      <c r="AC211" s="155">
        <f ca="1">IF(ISNUMBER(MATCH(DATEVALUE($A211),'recurring1_based on steps'!AC$1:AC$400,0)),AC$2,)</f>
        <v>0</v>
      </c>
      <c r="AD211" s="155">
        <f ca="1">IF(ISNUMBER(MATCH(DATEVALUE($A211),'recurring1_based on steps'!AD$1:AD$400,0)),AD$2,)</f>
        <v>0</v>
      </c>
      <c r="AE211" s="155">
        <f ca="1">IF(ISNUMBER(MATCH(DATEVALUE($A211),'recurring1_based on steps'!AE$1:AE$400,0)),AE$2,)</f>
        <v>0</v>
      </c>
      <c r="AF211" s="155">
        <f ca="1">IF(ISNUMBER(MATCH(DATEVALUE($A211),'recurring1_based on steps'!AF$1:AF$400,0)),AF$2,)</f>
        <v>0</v>
      </c>
      <c r="AG211" s="155">
        <f ca="1">IF(ISNUMBER(MATCH(DATEVALUE($A211),'recurring1_based on steps'!AG$1:AG$400,0)),AG$2,)</f>
        <v>0</v>
      </c>
      <c r="AH211" s="155">
        <f ca="1">IF(ISNUMBER(MATCH(DATEVALUE($A211),'recurring1_based on steps'!AH$1:AH$400,0)),AH$2,)</f>
        <v>0</v>
      </c>
      <c r="AI211" s="155">
        <f ca="1">IF(ISNUMBER(MATCH(DATEVALUE($A211),'recurring1_based on steps'!AI$1:AI$400,0)),AI$2,)</f>
        <v>0</v>
      </c>
      <c r="AJ211" s="155">
        <f ca="1">IF(ISNUMBER(MATCH(DATEVALUE($A211),'recurring1_based on steps'!AJ$1:AJ$400,0)),AJ$2,)</f>
        <v>0</v>
      </c>
      <c r="AK211" s="155">
        <f ca="1">IF(ISNUMBER(MATCH(DATEVALUE($A211),'recurring1_based on steps'!AK$1:AK$400,0)),AK$2,)</f>
        <v>0</v>
      </c>
      <c r="AL211" s="155">
        <f ca="1">IF(ISNUMBER(MATCH(DATEVALUE($A211),'recurring1_based on steps'!AL$1:AL$400,0)),AL$2,)</f>
        <v>0</v>
      </c>
      <c r="AM211" s="155">
        <f ca="1">IF(ISNUMBER(MATCH(DATEVALUE($A211),'recurring1_based on steps'!AM$1:AM$400,0)),AM$2,)</f>
        <v>0</v>
      </c>
      <c r="AN211" s="155">
        <f ca="1">IF(ISNUMBER(MATCH(DATEVALUE($A211),'recurring1_based on steps'!AN$1:AN$400,0)),AN$2,)</f>
        <v>0</v>
      </c>
      <c r="AO211" s="155">
        <f ca="1">IF(ISNUMBER(MATCH(DATEVALUE($A211),'recurring1_based on steps'!AO$1:AO$400,0)),AO$2,)</f>
        <v>0</v>
      </c>
      <c r="AP211" s="155">
        <f ca="1">IF(ISNUMBER(MATCH(DATEVALUE($A211),'recurring1_based on steps'!AP$1:AP$400,0)),AP$2,)</f>
        <v>0</v>
      </c>
      <c r="AQ211" s="155">
        <f ca="1">IF(ISNUMBER(MATCH(DATEVALUE($A211),'recurring1_based on steps'!AQ$1:AQ$400,0)),AQ$2,)</f>
        <v>0</v>
      </c>
      <c r="AR211" s="155">
        <f ca="1">IF(ISNUMBER(MATCH(DATEVALUE($A211),'recurring1_based on steps'!AR$1:AR$400,0)),AR$2,)</f>
        <v>0</v>
      </c>
      <c r="AS211" s="155">
        <f ca="1">IF(ISNUMBER(MATCH(DATEVALUE($A211),'recurring1_based on steps'!AS$1:AS$400,0)),AS$2,)</f>
        <v>0</v>
      </c>
      <c r="AT211" s="155">
        <f ca="1">IF(ISNUMBER(MATCH(DATEVALUE($A211),'recurring1_based on steps'!AT$1:AT$400,0)),AT$2,)</f>
        <v>0</v>
      </c>
      <c r="AU211" s="155">
        <f ca="1">IF(ISNUMBER(MATCH(DATEVALUE($A211),'recurring1_based on steps'!AU$1:AU$400,0)),AU$2,)</f>
        <v>0</v>
      </c>
      <c r="AV211" s="155">
        <f ca="1">IF(ISNUMBER(MATCH(DATEVALUE($A211),'recurring1_based on steps'!AV$1:AV$400,0)),AV$2,)</f>
        <v>0</v>
      </c>
      <c r="AW211" s="155">
        <f ca="1">IF(ISNUMBER(MATCH(DATEVALUE($A211),'recurring1_based on steps'!AW$1:AW$400,0)),AW$2,)</f>
        <v>0</v>
      </c>
      <c r="AX211" s="155">
        <f ca="1">IF(ISNUMBER(MATCH(DATEVALUE($A211),'recurring1_based on steps'!AX$1:AX$400,0)),AX$2,)</f>
        <v>0</v>
      </c>
      <c r="AY211" s="155">
        <f ca="1">IF(ISNUMBER(MATCH(DATEVALUE($A211),'recurring1_based on steps'!AY$1:AY$400,0)),AY$2,)</f>
        <v>0</v>
      </c>
    </row>
    <row r="212" spans="1:51" x14ac:dyDescent="0.2">
      <c r="A212" s="18" t="str">
        <f t="shared" ca="1" si="3"/>
        <v>2025-08-29</v>
      </c>
      <c r="B212" s="155">
        <f ca="1">IF(ISNUMBER(MATCH(DATEVALUE($A212),'recurring1_based on steps'!B$1:B$400,0)),B$2,)</f>
        <v>0</v>
      </c>
      <c r="C212" s="155">
        <f ca="1">IF(ISNUMBER(MATCH(DATEVALUE($A212),'recurring1_based on steps'!C$1:C$400,0)),C$2,)</f>
        <v>0</v>
      </c>
      <c r="D212" s="155">
        <f ca="1">IF(ISNUMBER(MATCH(DATEVALUE($A212),'recurring1_based on steps'!D$1:D$400,0)),D$2,)</f>
        <v>0</v>
      </c>
      <c r="E212" s="155">
        <f ca="1">IF(ISNUMBER(MATCH(DATEVALUE($A212),'recurring1_based on steps'!E$1:E$400,0)),E$2,)</f>
        <v>0</v>
      </c>
      <c r="F212" s="155">
        <f ca="1">IF(ISNUMBER(MATCH(DATEVALUE($A212),'recurring1_based on steps'!F$1:F$400,0)),F$2,)</f>
        <v>0</v>
      </c>
      <c r="G212" s="155">
        <f ca="1">IF(ISNUMBER(MATCH(DATEVALUE($A212),'recurring1_based on steps'!G$1:G$400,0)),G$2,)</f>
        <v>0</v>
      </c>
      <c r="H212" s="155">
        <f ca="1">IF(ISNUMBER(MATCH(DATEVALUE($A212),'recurring1_based on steps'!H$1:H$400,0)),H$2,)</f>
        <v>0</v>
      </c>
      <c r="I212" s="155">
        <f ca="1">IF(ISNUMBER(MATCH(DATEVALUE($A212),'recurring1_based on steps'!I$1:I$400,0)),I$2,)</f>
        <v>0</v>
      </c>
      <c r="J212" s="155">
        <f ca="1">IF(ISNUMBER(MATCH(DATEVALUE($A212),'recurring1_based on steps'!J$1:J$400,0)),J$2,)</f>
        <v>0</v>
      </c>
      <c r="K212" s="155">
        <f ca="1">IF(ISNUMBER(MATCH(DATEVALUE($A212),'recurring1_based on steps'!K$1:K$400,0)),K$2,)</f>
        <v>0</v>
      </c>
      <c r="L212" s="155">
        <f ca="1">IF(ISNUMBER(MATCH(DATEVALUE($A212),'recurring1_based on steps'!L$1:L$400,0)),L$2,)</f>
        <v>0</v>
      </c>
      <c r="M212" s="155">
        <f ca="1">IF(ISNUMBER(MATCH(DATEVALUE($A212),'recurring1_based on steps'!M$1:M$400,0)),M$2,)</f>
        <v>0</v>
      </c>
      <c r="N212" s="155">
        <f ca="1">IF(ISNUMBER(MATCH(DATEVALUE($A212),'recurring1_based on steps'!N$1:N$400,0)),N$2,)</f>
        <v>0</v>
      </c>
      <c r="O212" s="155">
        <f ca="1">IF(ISNUMBER(MATCH(DATEVALUE($A212),'recurring1_based on steps'!O$1:O$400,0)),O$2,)</f>
        <v>0</v>
      </c>
      <c r="P212" s="155">
        <f ca="1">IF(ISNUMBER(MATCH(DATEVALUE($A212),'recurring1_based on steps'!P$1:P$400,0)),P$2,)</f>
        <v>0</v>
      </c>
      <c r="Q212" s="155">
        <f ca="1">IF(ISNUMBER(MATCH(DATEVALUE($A212),'recurring1_based on steps'!Q$1:Q$400,0)),Q$2,)</f>
        <v>0</v>
      </c>
      <c r="R212" s="155">
        <f ca="1">IF(ISNUMBER(MATCH(DATEVALUE($A212),'recurring1_based on steps'!R$1:R$400,0)),R$2,)</f>
        <v>0</v>
      </c>
      <c r="S212" s="155">
        <f ca="1">IF(ISNUMBER(MATCH(DATEVALUE($A212),'recurring1_based on steps'!S$1:S$400,0)),S$2,)</f>
        <v>0</v>
      </c>
      <c r="T212" s="155">
        <f ca="1">IF(ISNUMBER(MATCH(DATEVALUE($A212),'recurring1_based on steps'!T$1:T$400,0)),T$2,)</f>
        <v>0</v>
      </c>
      <c r="U212" s="155">
        <f ca="1">IF(ISNUMBER(MATCH(DATEVALUE($A212),'recurring1_based on steps'!U$1:U$400,0)),U$2,)</f>
        <v>0</v>
      </c>
      <c r="V212" s="155">
        <f ca="1">IF(ISNUMBER(MATCH(DATEVALUE($A212),'recurring1_based on steps'!V$1:V$400,0)),V$2,)</f>
        <v>0</v>
      </c>
      <c r="W212" s="155">
        <f ca="1">IF(ISNUMBER(MATCH(DATEVALUE($A212),'recurring1_based on steps'!W$1:W$400,0)),W$2,)</f>
        <v>0</v>
      </c>
      <c r="X212" s="155">
        <f ca="1">IF(ISNUMBER(MATCH(DATEVALUE($A212),'recurring1_based on steps'!X$1:X$400,0)),X$2,)</f>
        <v>0</v>
      </c>
      <c r="Y212" s="155">
        <f ca="1">IF(ISNUMBER(MATCH(DATEVALUE($A212),'recurring1_based on steps'!Y$1:Y$400,0)),Y$2,)</f>
        <v>0</v>
      </c>
      <c r="Z212" s="155">
        <f ca="1">IF(ISNUMBER(MATCH(DATEVALUE($A212),'recurring1_based on steps'!Z$1:Z$400,0)),Z$2,)</f>
        <v>0</v>
      </c>
      <c r="AA212" s="155">
        <f ca="1">IF(ISNUMBER(MATCH(DATEVALUE($A212),'recurring1_based on steps'!AA$1:AA$400,0)),AA$2,)</f>
        <v>0</v>
      </c>
      <c r="AB212" s="155">
        <f ca="1">IF(ISNUMBER(MATCH(DATEVALUE($A212),'recurring1_based on steps'!AB$1:AB$400,0)),AB$2,)</f>
        <v>0</v>
      </c>
      <c r="AC212" s="155">
        <f ca="1">IF(ISNUMBER(MATCH(DATEVALUE($A212),'recurring1_based on steps'!AC$1:AC$400,0)),AC$2,)</f>
        <v>0</v>
      </c>
      <c r="AD212" s="155">
        <f ca="1">IF(ISNUMBER(MATCH(DATEVALUE($A212),'recurring1_based on steps'!AD$1:AD$400,0)),AD$2,)</f>
        <v>0</v>
      </c>
      <c r="AE212" s="155">
        <f ca="1">IF(ISNUMBER(MATCH(DATEVALUE($A212),'recurring1_based on steps'!AE$1:AE$400,0)),AE$2,)</f>
        <v>0</v>
      </c>
      <c r="AF212" s="155">
        <f ca="1">IF(ISNUMBER(MATCH(DATEVALUE($A212),'recurring1_based on steps'!AF$1:AF$400,0)),AF$2,)</f>
        <v>0</v>
      </c>
      <c r="AG212" s="155">
        <f ca="1">IF(ISNUMBER(MATCH(DATEVALUE($A212),'recurring1_based on steps'!AG$1:AG$400,0)),AG$2,)</f>
        <v>0</v>
      </c>
      <c r="AH212" s="155">
        <f ca="1">IF(ISNUMBER(MATCH(DATEVALUE($A212),'recurring1_based on steps'!AH$1:AH$400,0)),AH$2,)</f>
        <v>0</v>
      </c>
      <c r="AI212" s="155">
        <f ca="1">IF(ISNUMBER(MATCH(DATEVALUE($A212),'recurring1_based on steps'!AI$1:AI$400,0)),AI$2,)</f>
        <v>0</v>
      </c>
      <c r="AJ212" s="155">
        <f ca="1">IF(ISNUMBER(MATCH(DATEVALUE($A212),'recurring1_based on steps'!AJ$1:AJ$400,0)),AJ$2,)</f>
        <v>0</v>
      </c>
      <c r="AK212" s="155">
        <f ca="1">IF(ISNUMBER(MATCH(DATEVALUE($A212),'recurring1_based on steps'!AK$1:AK$400,0)),AK$2,)</f>
        <v>0</v>
      </c>
      <c r="AL212" s="155">
        <f ca="1">IF(ISNUMBER(MATCH(DATEVALUE($A212),'recurring1_based on steps'!AL$1:AL$400,0)),AL$2,)</f>
        <v>0</v>
      </c>
      <c r="AM212" s="155">
        <f ca="1">IF(ISNUMBER(MATCH(DATEVALUE($A212),'recurring1_based on steps'!AM$1:AM$400,0)),AM$2,)</f>
        <v>0</v>
      </c>
      <c r="AN212" s="155">
        <f ca="1">IF(ISNUMBER(MATCH(DATEVALUE($A212),'recurring1_based on steps'!AN$1:AN$400,0)),AN$2,)</f>
        <v>0</v>
      </c>
      <c r="AO212" s="155">
        <f ca="1">IF(ISNUMBER(MATCH(DATEVALUE($A212),'recurring1_based on steps'!AO$1:AO$400,0)),AO$2,)</f>
        <v>0</v>
      </c>
      <c r="AP212" s="155">
        <f ca="1">IF(ISNUMBER(MATCH(DATEVALUE($A212),'recurring1_based on steps'!AP$1:AP$400,0)),AP$2,)</f>
        <v>0</v>
      </c>
      <c r="AQ212" s="155">
        <f ca="1">IF(ISNUMBER(MATCH(DATEVALUE($A212),'recurring1_based on steps'!AQ$1:AQ$400,0)),AQ$2,)</f>
        <v>0</v>
      </c>
      <c r="AR212" s="155">
        <f ca="1">IF(ISNUMBER(MATCH(DATEVALUE($A212),'recurring1_based on steps'!AR$1:AR$400,0)),AR$2,)</f>
        <v>0</v>
      </c>
      <c r="AS212" s="155">
        <f ca="1">IF(ISNUMBER(MATCH(DATEVALUE($A212),'recurring1_based on steps'!AS$1:AS$400,0)),AS$2,)</f>
        <v>0</v>
      </c>
      <c r="AT212" s="155">
        <f ca="1">IF(ISNUMBER(MATCH(DATEVALUE($A212),'recurring1_based on steps'!AT$1:AT$400,0)),AT$2,)</f>
        <v>0</v>
      </c>
      <c r="AU212" s="155">
        <f ca="1">IF(ISNUMBER(MATCH(DATEVALUE($A212),'recurring1_based on steps'!AU$1:AU$400,0)),AU$2,)</f>
        <v>0</v>
      </c>
      <c r="AV212" s="155">
        <f ca="1">IF(ISNUMBER(MATCH(DATEVALUE($A212),'recurring1_based on steps'!AV$1:AV$400,0)),AV$2,)</f>
        <v>0</v>
      </c>
      <c r="AW212" s="155">
        <f ca="1">IF(ISNUMBER(MATCH(DATEVALUE($A212),'recurring1_based on steps'!AW$1:AW$400,0)),AW$2,)</f>
        <v>0</v>
      </c>
      <c r="AX212" s="155">
        <f ca="1">IF(ISNUMBER(MATCH(DATEVALUE($A212),'recurring1_based on steps'!AX$1:AX$400,0)),AX$2,)</f>
        <v>0</v>
      </c>
      <c r="AY212" s="155">
        <f ca="1">IF(ISNUMBER(MATCH(DATEVALUE($A212),'recurring1_based on steps'!AY$1:AY$400,0)),AY$2,)</f>
        <v>0</v>
      </c>
    </row>
    <row r="213" spans="1:51" x14ac:dyDescent="0.2">
      <c r="A213" s="18" t="str">
        <f t="shared" ca="1" si="3"/>
        <v>2025-08-30</v>
      </c>
      <c r="B213" s="155">
        <f ca="1">IF(ISNUMBER(MATCH(DATEVALUE($A213),'recurring1_based on steps'!B$1:B$400,0)),B$2,)</f>
        <v>0</v>
      </c>
      <c r="C213" s="155">
        <f ca="1">IF(ISNUMBER(MATCH(DATEVALUE($A213),'recurring1_based on steps'!C$1:C$400,0)),C$2,)</f>
        <v>0</v>
      </c>
      <c r="D213" s="155">
        <f ca="1">IF(ISNUMBER(MATCH(DATEVALUE($A213),'recurring1_based on steps'!D$1:D$400,0)),D$2,)</f>
        <v>0</v>
      </c>
      <c r="E213" s="155">
        <f ca="1">IF(ISNUMBER(MATCH(DATEVALUE($A213),'recurring1_based on steps'!E$1:E$400,0)),E$2,)</f>
        <v>0</v>
      </c>
      <c r="F213" s="155">
        <f ca="1">IF(ISNUMBER(MATCH(DATEVALUE($A213),'recurring1_based on steps'!F$1:F$400,0)),F$2,)</f>
        <v>0</v>
      </c>
      <c r="G213" s="155">
        <f ca="1">IF(ISNUMBER(MATCH(DATEVALUE($A213),'recurring1_based on steps'!G$1:G$400,0)),G$2,)</f>
        <v>0</v>
      </c>
      <c r="H213" s="155">
        <f ca="1">IF(ISNUMBER(MATCH(DATEVALUE($A213),'recurring1_based on steps'!H$1:H$400,0)),H$2,)</f>
        <v>0</v>
      </c>
      <c r="I213" s="155">
        <f ca="1">IF(ISNUMBER(MATCH(DATEVALUE($A213),'recurring1_based on steps'!I$1:I$400,0)),I$2,)</f>
        <v>0</v>
      </c>
      <c r="J213" s="155">
        <f ca="1">IF(ISNUMBER(MATCH(DATEVALUE($A213),'recurring1_based on steps'!J$1:J$400,0)),J$2,)</f>
        <v>0</v>
      </c>
      <c r="K213" s="155">
        <f ca="1">IF(ISNUMBER(MATCH(DATEVALUE($A213),'recurring1_based on steps'!K$1:K$400,0)),K$2,)</f>
        <v>0</v>
      </c>
      <c r="L213" s="155">
        <f ca="1">IF(ISNUMBER(MATCH(DATEVALUE($A213),'recurring1_based on steps'!L$1:L$400,0)),L$2,)</f>
        <v>0</v>
      </c>
      <c r="M213" s="155">
        <f ca="1">IF(ISNUMBER(MATCH(DATEVALUE($A213),'recurring1_based on steps'!M$1:M$400,0)),M$2,)</f>
        <v>0</v>
      </c>
      <c r="N213" s="155">
        <f ca="1">IF(ISNUMBER(MATCH(DATEVALUE($A213),'recurring1_based on steps'!N$1:N$400,0)),N$2,)</f>
        <v>0</v>
      </c>
      <c r="O213" s="155">
        <f ca="1">IF(ISNUMBER(MATCH(DATEVALUE($A213),'recurring1_based on steps'!O$1:O$400,0)),O$2,)</f>
        <v>0</v>
      </c>
      <c r="P213" s="155">
        <f ca="1">IF(ISNUMBER(MATCH(DATEVALUE($A213),'recurring1_based on steps'!P$1:P$400,0)),P$2,)</f>
        <v>0</v>
      </c>
      <c r="Q213" s="155">
        <f ca="1">IF(ISNUMBER(MATCH(DATEVALUE($A213),'recurring1_based on steps'!Q$1:Q$400,0)),Q$2,)</f>
        <v>100</v>
      </c>
      <c r="R213" s="155">
        <f ca="1">IF(ISNUMBER(MATCH(DATEVALUE($A213),'recurring1_based on steps'!R$1:R$400,0)),R$2,)</f>
        <v>100</v>
      </c>
      <c r="S213" s="155">
        <f ca="1">IF(ISNUMBER(MATCH(DATEVALUE($A213),'recurring1_based on steps'!S$1:S$400,0)),S$2,)</f>
        <v>0</v>
      </c>
      <c r="T213" s="155">
        <f ca="1">IF(ISNUMBER(MATCH(DATEVALUE($A213),'recurring1_based on steps'!T$1:T$400,0)),T$2,)</f>
        <v>0</v>
      </c>
      <c r="U213" s="155">
        <f ca="1">IF(ISNUMBER(MATCH(DATEVALUE($A213),'recurring1_based on steps'!U$1:U$400,0)),U$2,)</f>
        <v>0</v>
      </c>
      <c r="V213" s="155">
        <f ca="1">IF(ISNUMBER(MATCH(DATEVALUE($A213),'recurring1_based on steps'!V$1:V$400,0)),V$2,)</f>
        <v>0</v>
      </c>
      <c r="W213" s="155">
        <f ca="1">IF(ISNUMBER(MATCH(DATEVALUE($A213),'recurring1_based on steps'!W$1:W$400,0)),W$2,)</f>
        <v>0</v>
      </c>
      <c r="X213" s="155">
        <f ca="1">IF(ISNUMBER(MATCH(DATEVALUE($A213),'recurring1_based on steps'!X$1:X$400,0)),X$2,)</f>
        <v>0</v>
      </c>
      <c r="Y213" s="155">
        <f ca="1">IF(ISNUMBER(MATCH(DATEVALUE($A213),'recurring1_based on steps'!Y$1:Y$400,0)),Y$2,)</f>
        <v>0</v>
      </c>
      <c r="Z213" s="155">
        <f ca="1">IF(ISNUMBER(MATCH(DATEVALUE($A213),'recurring1_based on steps'!Z$1:Z$400,0)),Z$2,)</f>
        <v>0</v>
      </c>
      <c r="AA213" s="155">
        <f ca="1">IF(ISNUMBER(MATCH(DATEVALUE($A213),'recurring1_based on steps'!AA$1:AA$400,0)),AA$2,)</f>
        <v>0</v>
      </c>
      <c r="AB213" s="155">
        <f ca="1">IF(ISNUMBER(MATCH(DATEVALUE($A213),'recurring1_based on steps'!AB$1:AB$400,0)),AB$2,)</f>
        <v>0</v>
      </c>
      <c r="AC213" s="155">
        <f ca="1">IF(ISNUMBER(MATCH(DATEVALUE($A213),'recurring1_based on steps'!AC$1:AC$400,0)),AC$2,)</f>
        <v>0</v>
      </c>
      <c r="AD213" s="155">
        <f ca="1">IF(ISNUMBER(MATCH(DATEVALUE($A213),'recurring1_based on steps'!AD$1:AD$400,0)),AD$2,)</f>
        <v>0</v>
      </c>
      <c r="AE213" s="155">
        <f ca="1">IF(ISNUMBER(MATCH(DATEVALUE($A213),'recurring1_based on steps'!AE$1:AE$400,0)),AE$2,)</f>
        <v>0</v>
      </c>
      <c r="AF213" s="155">
        <f ca="1">IF(ISNUMBER(MATCH(DATEVALUE($A213),'recurring1_based on steps'!AF$1:AF$400,0)),AF$2,)</f>
        <v>0</v>
      </c>
      <c r="AG213" s="155">
        <f ca="1">IF(ISNUMBER(MATCH(DATEVALUE($A213),'recurring1_based on steps'!AG$1:AG$400,0)),AG$2,)</f>
        <v>0</v>
      </c>
      <c r="AH213" s="155">
        <f ca="1">IF(ISNUMBER(MATCH(DATEVALUE($A213),'recurring1_based on steps'!AH$1:AH$400,0)),AH$2,)</f>
        <v>0</v>
      </c>
      <c r="AI213" s="155">
        <f ca="1">IF(ISNUMBER(MATCH(DATEVALUE($A213),'recurring1_based on steps'!AI$1:AI$400,0)),AI$2,)</f>
        <v>0</v>
      </c>
      <c r="AJ213" s="155">
        <f ca="1">IF(ISNUMBER(MATCH(DATEVALUE($A213),'recurring1_based on steps'!AJ$1:AJ$400,0)),AJ$2,)</f>
        <v>0</v>
      </c>
      <c r="AK213" s="155">
        <f ca="1">IF(ISNUMBER(MATCH(DATEVALUE($A213),'recurring1_based on steps'!AK$1:AK$400,0)),AK$2,)</f>
        <v>0</v>
      </c>
      <c r="AL213" s="155">
        <f ca="1">IF(ISNUMBER(MATCH(DATEVALUE($A213),'recurring1_based on steps'!AL$1:AL$400,0)),AL$2,)</f>
        <v>0</v>
      </c>
      <c r="AM213" s="155">
        <f ca="1">IF(ISNUMBER(MATCH(DATEVALUE($A213),'recurring1_based on steps'!AM$1:AM$400,0)),AM$2,)</f>
        <v>0</v>
      </c>
      <c r="AN213" s="155">
        <f ca="1">IF(ISNUMBER(MATCH(DATEVALUE($A213),'recurring1_based on steps'!AN$1:AN$400,0)),AN$2,)</f>
        <v>0</v>
      </c>
      <c r="AO213" s="155">
        <f ca="1">IF(ISNUMBER(MATCH(DATEVALUE($A213),'recurring1_based on steps'!AO$1:AO$400,0)),AO$2,)</f>
        <v>0</v>
      </c>
      <c r="AP213" s="155">
        <f ca="1">IF(ISNUMBER(MATCH(DATEVALUE($A213),'recurring1_based on steps'!AP$1:AP$400,0)),AP$2,)</f>
        <v>0</v>
      </c>
      <c r="AQ213" s="155">
        <f ca="1">IF(ISNUMBER(MATCH(DATEVALUE($A213),'recurring1_based on steps'!AQ$1:AQ$400,0)),AQ$2,)</f>
        <v>0</v>
      </c>
      <c r="AR213" s="155">
        <f ca="1">IF(ISNUMBER(MATCH(DATEVALUE($A213),'recurring1_based on steps'!AR$1:AR$400,0)),AR$2,)</f>
        <v>0</v>
      </c>
      <c r="AS213" s="155">
        <f ca="1">IF(ISNUMBER(MATCH(DATEVALUE($A213),'recurring1_based on steps'!AS$1:AS$400,0)),AS$2,)</f>
        <v>0</v>
      </c>
      <c r="AT213" s="155">
        <f ca="1">IF(ISNUMBER(MATCH(DATEVALUE($A213),'recurring1_based on steps'!AT$1:AT$400,0)),AT$2,)</f>
        <v>0</v>
      </c>
      <c r="AU213" s="155">
        <f ca="1">IF(ISNUMBER(MATCH(DATEVALUE($A213),'recurring1_based on steps'!AU$1:AU$400,0)),AU$2,)</f>
        <v>0</v>
      </c>
      <c r="AV213" s="155">
        <f ca="1">IF(ISNUMBER(MATCH(DATEVALUE($A213),'recurring1_based on steps'!AV$1:AV$400,0)),AV$2,)</f>
        <v>0</v>
      </c>
      <c r="AW213" s="155">
        <f ca="1">IF(ISNUMBER(MATCH(DATEVALUE($A213),'recurring1_based on steps'!AW$1:AW$400,0)),AW$2,)</f>
        <v>0</v>
      </c>
      <c r="AX213" s="155">
        <f ca="1">IF(ISNUMBER(MATCH(DATEVALUE($A213),'recurring1_based on steps'!AX$1:AX$400,0)),AX$2,)</f>
        <v>0</v>
      </c>
      <c r="AY213" s="155">
        <f ca="1">IF(ISNUMBER(MATCH(DATEVALUE($A213),'recurring1_based on steps'!AY$1:AY$400,0)),AY$2,)</f>
        <v>0</v>
      </c>
    </row>
    <row r="214" spans="1:51" x14ac:dyDescent="0.2">
      <c r="A214" s="18" t="str">
        <f t="shared" ca="1" si="3"/>
        <v>2025-08-31</v>
      </c>
      <c r="B214" s="155">
        <f ca="1">IF(ISNUMBER(MATCH(DATEVALUE($A214),'recurring1_based on steps'!B$1:B$400,0)),B$2,)</f>
        <v>0</v>
      </c>
      <c r="C214" s="155">
        <f ca="1">IF(ISNUMBER(MATCH(DATEVALUE($A214),'recurring1_based on steps'!C$1:C$400,0)),C$2,)</f>
        <v>0</v>
      </c>
      <c r="D214" s="155">
        <f ca="1">IF(ISNUMBER(MATCH(DATEVALUE($A214),'recurring1_based on steps'!D$1:D$400,0)),D$2,)</f>
        <v>0</v>
      </c>
      <c r="E214" s="155">
        <f ca="1">IF(ISNUMBER(MATCH(DATEVALUE($A214),'recurring1_based on steps'!E$1:E$400,0)),E$2,)</f>
        <v>0</v>
      </c>
      <c r="F214" s="155">
        <f ca="1">IF(ISNUMBER(MATCH(DATEVALUE($A214),'recurring1_based on steps'!F$1:F$400,0)),F$2,)</f>
        <v>0</v>
      </c>
      <c r="G214" s="155">
        <f ca="1">IF(ISNUMBER(MATCH(DATEVALUE($A214),'recurring1_based on steps'!G$1:G$400,0)),G$2,)</f>
        <v>0</v>
      </c>
      <c r="H214" s="155">
        <f ca="1">IF(ISNUMBER(MATCH(DATEVALUE($A214),'recurring1_based on steps'!H$1:H$400,0)),H$2,)</f>
        <v>0</v>
      </c>
      <c r="I214" s="155">
        <f ca="1">IF(ISNUMBER(MATCH(DATEVALUE($A214),'recurring1_based on steps'!I$1:I$400,0)),I$2,)</f>
        <v>0</v>
      </c>
      <c r="J214" s="155">
        <f ca="1">IF(ISNUMBER(MATCH(DATEVALUE($A214),'recurring1_based on steps'!J$1:J$400,0)),J$2,)</f>
        <v>0</v>
      </c>
      <c r="K214" s="155">
        <f ca="1">IF(ISNUMBER(MATCH(DATEVALUE($A214),'recurring1_based on steps'!K$1:K$400,0)),K$2,)</f>
        <v>50</v>
      </c>
      <c r="L214" s="155">
        <f ca="1">IF(ISNUMBER(MATCH(DATEVALUE($A214),'recurring1_based on steps'!L$1:L$400,0)),L$2,)</f>
        <v>0</v>
      </c>
      <c r="M214" s="155">
        <f ca="1">IF(ISNUMBER(MATCH(DATEVALUE($A214),'recurring1_based on steps'!M$1:M$400,0)),M$2,)</f>
        <v>0</v>
      </c>
      <c r="N214" s="155">
        <f ca="1">IF(ISNUMBER(MATCH(DATEVALUE($A214),'recurring1_based on steps'!N$1:N$400,0)),N$2,)</f>
        <v>0</v>
      </c>
      <c r="O214" s="155">
        <f ca="1">IF(ISNUMBER(MATCH(DATEVALUE($A214),'recurring1_based on steps'!O$1:O$400,0)),O$2,)</f>
        <v>0</v>
      </c>
      <c r="P214" s="155">
        <f ca="1">IF(ISNUMBER(MATCH(DATEVALUE($A214),'recurring1_based on steps'!P$1:P$400,0)),P$2,)</f>
        <v>0</v>
      </c>
      <c r="Q214" s="155">
        <f ca="1">IF(ISNUMBER(MATCH(DATEVALUE($A214),'recurring1_based on steps'!Q$1:Q$400,0)),Q$2,)</f>
        <v>0</v>
      </c>
      <c r="R214" s="155">
        <f ca="1">IF(ISNUMBER(MATCH(DATEVALUE($A214),'recurring1_based on steps'!R$1:R$400,0)),R$2,)</f>
        <v>0</v>
      </c>
      <c r="S214" s="155">
        <f ca="1">IF(ISNUMBER(MATCH(DATEVALUE($A214),'recurring1_based on steps'!S$1:S$400,0)),S$2,)</f>
        <v>100</v>
      </c>
      <c r="T214" s="155">
        <f ca="1">IF(ISNUMBER(MATCH(DATEVALUE($A214),'recurring1_based on steps'!T$1:T$400,0)),T$2,)</f>
        <v>0</v>
      </c>
      <c r="U214" s="155">
        <f ca="1">IF(ISNUMBER(MATCH(DATEVALUE($A214),'recurring1_based on steps'!U$1:U$400,0)),U$2,)</f>
        <v>0</v>
      </c>
      <c r="V214" s="155">
        <f ca="1">IF(ISNUMBER(MATCH(DATEVALUE($A214),'recurring1_based on steps'!V$1:V$400,0)),V$2,)</f>
        <v>0</v>
      </c>
      <c r="W214" s="155">
        <f ca="1">IF(ISNUMBER(MATCH(DATEVALUE($A214),'recurring1_based on steps'!W$1:W$400,0)),W$2,)</f>
        <v>0</v>
      </c>
      <c r="X214" s="155">
        <f ca="1">IF(ISNUMBER(MATCH(DATEVALUE($A214),'recurring1_based on steps'!X$1:X$400,0)),X$2,)</f>
        <v>0</v>
      </c>
      <c r="Y214" s="155">
        <f ca="1">IF(ISNUMBER(MATCH(DATEVALUE($A214),'recurring1_based on steps'!Y$1:Y$400,0)),Y$2,)</f>
        <v>0</v>
      </c>
      <c r="Z214" s="155">
        <f ca="1">IF(ISNUMBER(MATCH(DATEVALUE($A214),'recurring1_based on steps'!Z$1:Z$400,0)),Z$2,)</f>
        <v>0</v>
      </c>
      <c r="AA214" s="155">
        <f ca="1">IF(ISNUMBER(MATCH(DATEVALUE($A214),'recurring1_based on steps'!AA$1:AA$400,0)),AA$2,)</f>
        <v>0</v>
      </c>
      <c r="AB214" s="155">
        <f ca="1">IF(ISNUMBER(MATCH(DATEVALUE($A214),'recurring1_based on steps'!AB$1:AB$400,0)),AB$2,)</f>
        <v>0</v>
      </c>
      <c r="AC214" s="155">
        <f ca="1">IF(ISNUMBER(MATCH(DATEVALUE($A214),'recurring1_based on steps'!AC$1:AC$400,0)),AC$2,)</f>
        <v>0</v>
      </c>
      <c r="AD214" s="155">
        <f ca="1">IF(ISNUMBER(MATCH(DATEVALUE($A214),'recurring1_based on steps'!AD$1:AD$400,0)),AD$2,)</f>
        <v>0</v>
      </c>
      <c r="AE214" s="155">
        <f ca="1">IF(ISNUMBER(MATCH(DATEVALUE($A214),'recurring1_based on steps'!AE$1:AE$400,0)),AE$2,)</f>
        <v>0</v>
      </c>
      <c r="AF214" s="155">
        <f ca="1">IF(ISNUMBER(MATCH(DATEVALUE($A214),'recurring1_based on steps'!AF$1:AF$400,0)),AF$2,)</f>
        <v>0</v>
      </c>
      <c r="AG214" s="155">
        <f ca="1">IF(ISNUMBER(MATCH(DATEVALUE($A214),'recurring1_based on steps'!AG$1:AG$400,0)),AG$2,)</f>
        <v>0</v>
      </c>
      <c r="AH214" s="155">
        <f ca="1">IF(ISNUMBER(MATCH(DATEVALUE($A214),'recurring1_based on steps'!AH$1:AH$400,0)),AH$2,)</f>
        <v>0</v>
      </c>
      <c r="AI214" s="155">
        <f ca="1">IF(ISNUMBER(MATCH(DATEVALUE($A214),'recurring1_based on steps'!AI$1:AI$400,0)),AI$2,)</f>
        <v>0</v>
      </c>
      <c r="AJ214" s="155">
        <f ca="1">IF(ISNUMBER(MATCH(DATEVALUE($A214),'recurring1_based on steps'!AJ$1:AJ$400,0)),AJ$2,)</f>
        <v>0</v>
      </c>
      <c r="AK214" s="155">
        <f ca="1">IF(ISNUMBER(MATCH(DATEVALUE($A214),'recurring1_based on steps'!AK$1:AK$400,0)),AK$2,)</f>
        <v>0</v>
      </c>
      <c r="AL214" s="155">
        <f ca="1">IF(ISNUMBER(MATCH(DATEVALUE($A214),'recurring1_based on steps'!AL$1:AL$400,0)),AL$2,)</f>
        <v>0</v>
      </c>
      <c r="AM214" s="155">
        <f ca="1">IF(ISNUMBER(MATCH(DATEVALUE($A214),'recurring1_based on steps'!AM$1:AM$400,0)),AM$2,)</f>
        <v>0</v>
      </c>
      <c r="AN214" s="155">
        <f ca="1">IF(ISNUMBER(MATCH(DATEVALUE($A214),'recurring1_based on steps'!AN$1:AN$400,0)),AN$2,)</f>
        <v>0</v>
      </c>
      <c r="AO214" s="155">
        <f ca="1">IF(ISNUMBER(MATCH(DATEVALUE($A214),'recurring1_based on steps'!AO$1:AO$400,0)),AO$2,)</f>
        <v>0</v>
      </c>
      <c r="AP214" s="155">
        <f ca="1">IF(ISNUMBER(MATCH(DATEVALUE($A214),'recurring1_based on steps'!AP$1:AP$400,0)),AP$2,)</f>
        <v>0</v>
      </c>
      <c r="AQ214" s="155">
        <f ca="1">IF(ISNUMBER(MATCH(DATEVALUE($A214),'recurring1_based on steps'!AQ$1:AQ$400,0)),AQ$2,)</f>
        <v>0</v>
      </c>
      <c r="AR214" s="155">
        <f ca="1">IF(ISNUMBER(MATCH(DATEVALUE($A214),'recurring1_based on steps'!AR$1:AR$400,0)),AR$2,)</f>
        <v>0</v>
      </c>
      <c r="AS214" s="155">
        <f ca="1">IF(ISNUMBER(MATCH(DATEVALUE($A214),'recurring1_based on steps'!AS$1:AS$400,0)),AS$2,)</f>
        <v>0</v>
      </c>
      <c r="AT214" s="155">
        <f ca="1">IF(ISNUMBER(MATCH(DATEVALUE($A214),'recurring1_based on steps'!AT$1:AT$400,0)),AT$2,)</f>
        <v>0</v>
      </c>
      <c r="AU214" s="155">
        <f ca="1">IF(ISNUMBER(MATCH(DATEVALUE($A214),'recurring1_based on steps'!AU$1:AU$400,0)),AU$2,)</f>
        <v>0</v>
      </c>
      <c r="AV214" s="155">
        <f ca="1">IF(ISNUMBER(MATCH(DATEVALUE($A214),'recurring1_based on steps'!AV$1:AV$400,0)),AV$2,)</f>
        <v>0</v>
      </c>
      <c r="AW214" s="155">
        <f ca="1">IF(ISNUMBER(MATCH(DATEVALUE($A214),'recurring1_based on steps'!AW$1:AW$400,0)),AW$2,)</f>
        <v>0</v>
      </c>
      <c r="AX214" s="155">
        <f ca="1">IF(ISNUMBER(MATCH(DATEVALUE($A214),'recurring1_based on steps'!AX$1:AX$400,0)),AX$2,)</f>
        <v>0</v>
      </c>
      <c r="AY214" s="155">
        <f ca="1">IF(ISNUMBER(MATCH(DATEVALUE($A214),'recurring1_based on steps'!AY$1:AY$400,0)),AY$2,)</f>
        <v>0</v>
      </c>
    </row>
    <row r="215" spans="1:51" x14ac:dyDescent="0.2">
      <c r="A215" s="18" t="str">
        <f t="shared" ca="1" si="3"/>
        <v>2025-09-01</v>
      </c>
      <c r="B215" s="155">
        <f ca="1">IF(ISNUMBER(MATCH(DATEVALUE($A215),'recurring1_based on steps'!B$1:B$400,0)),B$2,)</f>
        <v>0</v>
      </c>
      <c r="C215" s="155">
        <f ca="1">IF(ISNUMBER(MATCH(DATEVALUE($A215),'recurring1_based on steps'!C$1:C$400,0)),C$2,)</f>
        <v>0</v>
      </c>
      <c r="D215" s="155">
        <f ca="1">IF(ISNUMBER(MATCH(DATEVALUE($A215),'recurring1_based on steps'!D$1:D$400,0)),D$2,)</f>
        <v>0</v>
      </c>
      <c r="E215" s="155">
        <f ca="1">IF(ISNUMBER(MATCH(DATEVALUE($A215),'recurring1_based on steps'!E$1:E$400,0)),E$2,)</f>
        <v>0</v>
      </c>
      <c r="F215" s="155">
        <f ca="1">IF(ISNUMBER(MATCH(DATEVALUE($A215),'recurring1_based on steps'!F$1:F$400,0)),F$2,)</f>
        <v>0</v>
      </c>
      <c r="G215" s="155">
        <f ca="1">IF(ISNUMBER(MATCH(DATEVALUE($A215),'recurring1_based on steps'!G$1:G$400,0)),G$2,)</f>
        <v>0</v>
      </c>
      <c r="H215" s="155">
        <f ca="1">IF(ISNUMBER(MATCH(DATEVALUE($A215),'recurring1_based on steps'!H$1:H$400,0)),H$2,)</f>
        <v>0</v>
      </c>
      <c r="I215" s="155">
        <f ca="1">IF(ISNUMBER(MATCH(DATEVALUE($A215),'recurring1_based on steps'!I$1:I$400,0)),I$2,)</f>
        <v>2000</v>
      </c>
      <c r="J215" s="155">
        <f ca="1">IF(ISNUMBER(MATCH(DATEVALUE($A215),'recurring1_based on steps'!J$1:J$400,0)),J$2,)</f>
        <v>0</v>
      </c>
      <c r="K215" s="155">
        <f ca="1">IF(ISNUMBER(MATCH(DATEVALUE($A215),'recurring1_based on steps'!K$1:K$400,0)),K$2,)</f>
        <v>0</v>
      </c>
      <c r="L215" s="155">
        <f ca="1">IF(ISNUMBER(MATCH(DATEVALUE($A215),'recurring1_based on steps'!L$1:L$400,0)),L$2,)</f>
        <v>0</v>
      </c>
      <c r="M215" s="155">
        <f ca="1">IF(ISNUMBER(MATCH(DATEVALUE($A215),'recurring1_based on steps'!M$1:M$400,0)),M$2,)</f>
        <v>0</v>
      </c>
      <c r="N215" s="155">
        <f ca="1">IF(ISNUMBER(MATCH(DATEVALUE($A215),'recurring1_based on steps'!N$1:N$400,0)),N$2,)</f>
        <v>0</v>
      </c>
      <c r="O215" s="155">
        <f ca="1">IF(ISNUMBER(MATCH(DATEVALUE($A215),'recurring1_based on steps'!O$1:O$400,0)),O$2,)</f>
        <v>0</v>
      </c>
      <c r="P215" s="155">
        <f ca="1">IF(ISNUMBER(MATCH(DATEVALUE($A215),'recurring1_based on steps'!P$1:P$400,0)),P$2,)</f>
        <v>0</v>
      </c>
      <c r="Q215" s="155">
        <f ca="1">IF(ISNUMBER(MATCH(DATEVALUE($A215),'recurring1_based on steps'!Q$1:Q$400,0)),Q$2,)</f>
        <v>0</v>
      </c>
      <c r="R215" s="155">
        <f ca="1">IF(ISNUMBER(MATCH(DATEVALUE($A215),'recurring1_based on steps'!R$1:R$400,0)),R$2,)</f>
        <v>0</v>
      </c>
      <c r="S215" s="155">
        <f ca="1">IF(ISNUMBER(MATCH(DATEVALUE($A215),'recurring1_based on steps'!S$1:S$400,0)),S$2,)</f>
        <v>0</v>
      </c>
      <c r="T215" s="155">
        <f ca="1">IF(ISNUMBER(MATCH(DATEVALUE($A215),'recurring1_based on steps'!T$1:T$400,0)),T$2,)</f>
        <v>50</v>
      </c>
      <c r="U215" s="155">
        <f ca="1">IF(ISNUMBER(MATCH(DATEVALUE($A215),'recurring1_based on steps'!U$1:U$400,0)),U$2,)</f>
        <v>0</v>
      </c>
      <c r="V215" s="155">
        <f ca="1">IF(ISNUMBER(MATCH(DATEVALUE($A215),'recurring1_based on steps'!V$1:V$400,0)),V$2,)</f>
        <v>0</v>
      </c>
      <c r="W215" s="155">
        <f ca="1">IF(ISNUMBER(MATCH(DATEVALUE($A215),'recurring1_based on steps'!W$1:W$400,0)),W$2,)</f>
        <v>0</v>
      </c>
      <c r="X215" s="155">
        <f ca="1">IF(ISNUMBER(MATCH(DATEVALUE($A215),'recurring1_based on steps'!X$1:X$400,0)),X$2,)</f>
        <v>0</v>
      </c>
      <c r="Y215" s="155">
        <f ca="1">IF(ISNUMBER(MATCH(DATEVALUE($A215),'recurring1_based on steps'!Y$1:Y$400,0)),Y$2,)</f>
        <v>0</v>
      </c>
      <c r="Z215" s="155">
        <f ca="1">IF(ISNUMBER(MATCH(DATEVALUE($A215),'recurring1_based on steps'!Z$1:Z$400,0)),Z$2,)</f>
        <v>0</v>
      </c>
      <c r="AA215" s="155">
        <f ca="1">IF(ISNUMBER(MATCH(DATEVALUE($A215),'recurring1_based on steps'!AA$1:AA$400,0)),AA$2,)</f>
        <v>0</v>
      </c>
      <c r="AB215" s="155">
        <f ca="1">IF(ISNUMBER(MATCH(DATEVALUE($A215),'recurring1_based on steps'!AB$1:AB$400,0)),AB$2,)</f>
        <v>0</v>
      </c>
      <c r="AC215" s="155">
        <f ca="1">IF(ISNUMBER(MATCH(DATEVALUE($A215),'recurring1_based on steps'!AC$1:AC$400,0)),AC$2,)</f>
        <v>0</v>
      </c>
      <c r="AD215" s="155">
        <f ca="1">IF(ISNUMBER(MATCH(DATEVALUE($A215),'recurring1_based on steps'!AD$1:AD$400,0)),AD$2,)</f>
        <v>0</v>
      </c>
      <c r="AE215" s="155">
        <f ca="1">IF(ISNUMBER(MATCH(DATEVALUE($A215),'recurring1_based on steps'!AE$1:AE$400,0)),AE$2,)</f>
        <v>0</v>
      </c>
      <c r="AF215" s="155">
        <f ca="1">IF(ISNUMBER(MATCH(DATEVALUE($A215),'recurring1_based on steps'!AF$1:AF$400,0)),AF$2,)</f>
        <v>0</v>
      </c>
      <c r="AG215" s="155">
        <f ca="1">IF(ISNUMBER(MATCH(DATEVALUE($A215),'recurring1_based on steps'!AG$1:AG$400,0)),AG$2,)</f>
        <v>0</v>
      </c>
      <c r="AH215" s="155">
        <f ca="1">IF(ISNUMBER(MATCH(DATEVALUE($A215),'recurring1_based on steps'!AH$1:AH$400,0)),AH$2,)</f>
        <v>0</v>
      </c>
      <c r="AI215" s="155">
        <f ca="1">IF(ISNUMBER(MATCH(DATEVALUE($A215),'recurring1_based on steps'!AI$1:AI$400,0)),AI$2,)</f>
        <v>0</v>
      </c>
      <c r="AJ215" s="155">
        <f ca="1">IF(ISNUMBER(MATCH(DATEVALUE($A215),'recurring1_based on steps'!AJ$1:AJ$400,0)),AJ$2,)</f>
        <v>0</v>
      </c>
      <c r="AK215" s="155">
        <f ca="1">IF(ISNUMBER(MATCH(DATEVALUE($A215),'recurring1_based on steps'!AK$1:AK$400,0)),AK$2,)</f>
        <v>0</v>
      </c>
      <c r="AL215" s="155">
        <f ca="1">IF(ISNUMBER(MATCH(DATEVALUE($A215),'recurring1_based on steps'!AL$1:AL$400,0)),AL$2,)</f>
        <v>0</v>
      </c>
      <c r="AM215" s="155">
        <f ca="1">IF(ISNUMBER(MATCH(DATEVALUE($A215),'recurring1_based on steps'!AM$1:AM$400,0)),AM$2,)</f>
        <v>0</v>
      </c>
      <c r="AN215" s="155">
        <f ca="1">IF(ISNUMBER(MATCH(DATEVALUE($A215),'recurring1_based on steps'!AN$1:AN$400,0)),AN$2,)</f>
        <v>0</v>
      </c>
      <c r="AO215" s="155">
        <f ca="1">IF(ISNUMBER(MATCH(DATEVALUE($A215),'recurring1_based on steps'!AO$1:AO$400,0)),AO$2,)</f>
        <v>0</v>
      </c>
      <c r="AP215" s="155">
        <f ca="1">IF(ISNUMBER(MATCH(DATEVALUE($A215),'recurring1_based on steps'!AP$1:AP$400,0)),AP$2,)</f>
        <v>0</v>
      </c>
      <c r="AQ215" s="155">
        <f ca="1">IF(ISNUMBER(MATCH(DATEVALUE($A215),'recurring1_based on steps'!AQ$1:AQ$400,0)),AQ$2,)</f>
        <v>0</v>
      </c>
      <c r="AR215" s="155">
        <f ca="1">IF(ISNUMBER(MATCH(DATEVALUE($A215),'recurring1_based on steps'!AR$1:AR$400,0)),AR$2,)</f>
        <v>0</v>
      </c>
      <c r="AS215" s="155">
        <f ca="1">IF(ISNUMBER(MATCH(DATEVALUE($A215),'recurring1_based on steps'!AS$1:AS$400,0)),AS$2,)</f>
        <v>0</v>
      </c>
      <c r="AT215" s="155">
        <f ca="1">IF(ISNUMBER(MATCH(DATEVALUE($A215),'recurring1_based on steps'!AT$1:AT$400,0)),AT$2,)</f>
        <v>0</v>
      </c>
      <c r="AU215" s="155">
        <f ca="1">IF(ISNUMBER(MATCH(DATEVALUE($A215),'recurring1_based on steps'!AU$1:AU$400,0)),AU$2,)</f>
        <v>0</v>
      </c>
      <c r="AV215" s="155">
        <f ca="1">IF(ISNUMBER(MATCH(DATEVALUE($A215),'recurring1_based on steps'!AV$1:AV$400,0)),AV$2,)</f>
        <v>0</v>
      </c>
      <c r="AW215" s="155">
        <f ca="1">IF(ISNUMBER(MATCH(DATEVALUE($A215),'recurring1_based on steps'!AW$1:AW$400,0)),AW$2,)</f>
        <v>0</v>
      </c>
      <c r="AX215" s="155">
        <f ca="1">IF(ISNUMBER(MATCH(DATEVALUE($A215),'recurring1_based on steps'!AX$1:AX$400,0)),AX$2,)</f>
        <v>0</v>
      </c>
      <c r="AY215" s="155">
        <f ca="1">IF(ISNUMBER(MATCH(DATEVALUE($A215),'recurring1_based on steps'!AY$1:AY$400,0)),AY$2,)</f>
        <v>0</v>
      </c>
    </row>
    <row r="216" spans="1:51" x14ac:dyDescent="0.2">
      <c r="A216" s="18" t="str">
        <f t="shared" ca="1" si="3"/>
        <v>2025-09-02</v>
      </c>
      <c r="B216" s="155">
        <f ca="1">IF(ISNUMBER(MATCH(DATEVALUE($A216),'recurring1_based on steps'!B$1:B$400,0)),B$2,)</f>
        <v>0</v>
      </c>
      <c r="C216" s="155">
        <f ca="1">IF(ISNUMBER(MATCH(DATEVALUE($A216),'recurring1_based on steps'!C$1:C$400,0)),C$2,)</f>
        <v>0</v>
      </c>
      <c r="D216" s="155">
        <f ca="1">IF(ISNUMBER(MATCH(DATEVALUE($A216),'recurring1_based on steps'!D$1:D$400,0)),D$2,)</f>
        <v>0</v>
      </c>
      <c r="E216" s="155">
        <f ca="1">IF(ISNUMBER(MATCH(DATEVALUE($A216),'recurring1_based on steps'!E$1:E$400,0)),E$2,)</f>
        <v>0</v>
      </c>
      <c r="F216" s="155">
        <f ca="1">IF(ISNUMBER(MATCH(DATEVALUE($A216),'recurring1_based on steps'!F$1:F$400,0)),F$2,)</f>
        <v>0</v>
      </c>
      <c r="G216" s="155">
        <f ca="1">IF(ISNUMBER(MATCH(DATEVALUE($A216),'recurring1_based on steps'!G$1:G$400,0)),G$2,)</f>
        <v>0</v>
      </c>
      <c r="H216" s="155">
        <f ca="1">IF(ISNUMBER(MATCH(DATEVALUE($A216),'recurring1_based on steps'!H$1:H$400,0)),H$2,)</f>
        <v>0</v>
      </c>
      <c r="I216" s="155">
        <f ca="1">IF(ISNUMBER(MATCH(DATEVALUE($A216),'recurring1_based on steps'!I$1:I$400,0)),I$2,)</f>
        <v>0</v>
      </c>
      <c r="J216" s="155">
        <f ca="1">IF(ISNUMBER(MATCH(DATEVALUE($A216),'recurring1_based on steps'!J$1:J$400,0)),J$2,)</f>
        <v>0</v>
      </c>
      <c r="K216" s="155">
        <f ca="1">IF(ISNUMBER(MATCH(DATEVALUE($A216),'recurring1_based on steps'!K$1:K$400,0)),K$2,)</f>
        <v>0</v>
      </c>
      <c r="L216" s="155">
        <f ca="1">IF(ISNUMBER(MATCH(DATEVALUE($A216),'recurring1_based on steps'!L$1:L$400,0)),L$2,)</f>
        <v>0</v>
      </c>
      <c r="M216" s="155">
        <f ca="1">IF(ISNUMBER(MATCH(DATEVALUE($A216),'recurring1_based on steps'!M$1:M$400,0)),M$2,)</f>
        <v>0</v>
      </c>
      <c r="N216" s="155">
        <f ca="1">IF(ISNUMBER(MATCH(DATEVALUE($A216),'recurring1_based on steps'!N$1:N$400,0)),N$2,)</f>
        <v>0</v>
      </c>
      <c r="O216" s="155">
        <f ca="1">IF(ISNUMBER(MATCH(DATEVALUE($A216),'recurring1_based on steps'!O$1:O$400,0)),O$2,)</f>
        <v>0</v>
      </c>
      <c r="P216" s="155">
        <f ca="1">IF(ISNUMBER(MATCH(DATEVALUE($A216),'recurring1_based on steps'!P$1:P$400,0)),P$2,)</f>
        <v>0</v>
      </c>
      <c r="Q216" s="155">
        <f ca="1">IF(ISNUMBER(MATCH(DATEVALUE($A216),'recurring1_based on steps'!Q$1:Q$400,0)),Q$2,)</f>
        <v>0</v>
      </c>
      <c r="R216" s="155">
        <f ca="1">IF(ISNUMBER(MATCH(DATEVALUE($A216),'recurring1_based on steps'!R$1:R$400,0)),R$2,)</f>
        <v>0</v>
      </c>
      <c r="S216" s="155">
        <f ca="1">IF(ISNUMBER(MATCH(DATEVALUE($A216),'recurring1_based on steps'!S$1:S$400,0)),S$2,)</f>
        <v>0</v>
      </c>
      <c r="T216" s="155">
        <f ca="1">IF(ISNUMBER(MATCH(DATEVALUE($A216),'recurring1_based on steps'!T$1:T$400,0)),T$2,)</f>
        <v>0</v>
      </c>
      <c r="U216" s="155">
        <f ca="1">IF(ISNUMBER(MATCH(DATEVALUE($A216),'recurring1_based on steps'!U$1:U$400,0)),U$2,)</f>
        <v>0</v>
      </c>
      <c r="V216" s="155">
        <f ca="1">IF(ISNUMBER(MATCH(DATEVALUE($A216),'recurring1_based on steps'!V$1:V$400,0)),V$2,)</f>
        <v>0</v>
      </c>
      <c r="W216" s="155">
        <f ca="1">IF(ISNUMBER(MATCH(DATEVALUE($A216),'recurring1_based on steps'!W$1:W$400,0)),W$2,)</f>
        <v>0</v>
      </c>
      <c r="X216" s="155">
        <f ca="1">IF(ISNUMBER(MATCH(DATEVALUE($A216),'recurring1_based on steps'!X$1:X$400,0)),X$2,)</f>
        <v>0</v>
      </c>
      <c r="Y216" s="155">
        <f ca="1">IF(ISNUMBER(MATCH(DATEVALUE($A216),'recurring1_based on steps'!Y$1:Y$400,0)),Y$2,)</f>
        <v>0</v>
      </c>
      <c r="Z216" s="155">
        <f ca="1">IF(ISNUMBER(MATCH(DATEVALUE($A216),'recurring1_based on steps'!Z$1:Z$400,0)),Z$2,)</f>
        <v>0</v>
      </c>
      <c r="AA216" s="155">
        <f ca="1">IF(ISNUMBER(MATCH(DATEVALUE($A216),'recurring1_based on steps'!AA$1:AA$400,0)),AA$2,)</f>
        <v>0</v>
      </c>
      <c r="AB216" s="155">
        <f ca="1">IF(ISNUMBER(MATCH(DATEVALUE($A216),'recurring1_based on steps'!AB$1:AB$400,0)),AB$2,)</f>
        <v>0</v>
      </c>
      <c r="AC216" s="155">
        <f ca="1">IF(ISNUMBER(MATCH(DATEVALUE($A216),'recurring1_based on steps'!AC$1:AC$400,0)),AC$2,)</f>
        <v>0</v>
      </c>
      <c r="AD216" s="155">
        <f ca="1">IF(ISNUMBER(MATCH(DATEVALUE($A216),'recurring1_based on steps'!AD$1:AD$400,0)),AD$2,)</f>
        <v>0</v>
      </c>
      <c r="AE216" s="155">
        <f ca="1">IF(ISNUMBER(MATCH(DATEVALUE($A216),'recurring1_based on steps'!AE$1:AE$400,0)),AE$2,)</f>
        <v>0</v>
      </c>
      <c r="AF216" s="155">
        <f ca="1">IF(ISNUMBER(MATCH(DATEVALUE($A216),'recurring1_based on steps'!AF$1:AF$400,0)),AF$2,)</f>
        <v>0</v>
      </c>
      <c r="AG216" s="155">
        <f ca="1">IF(ISNUMBER(MATCH(DATEVALUE($A216),'recurring1_based on steps'!AG$1:AG$400,0)),AG$2,)</f>
        <v>0</v>
      </c>
      <c r="AH216" s="155">
        <f ca="1">IF(ISNUMBER(MATCH(DATEVALUE($A216),'recurring1_based on steps'!AH$1:AH$400,0)),AH$2,)</f>
        <v>0</v>
      </c>
      <c r="AI216" s="155">
        <f ca="1">IF(ISNUMBER(MATCH(DATEVALUE($A216),'recurring1_based on steps'!AI$1:AI$400,0)),AI$2,)</f>
        <v>0</v>
      </c>
      <c r="AJ216" s="155">
        <f ca="1">IF(ISNUMBER(MATCH(DATEVALUE($A216),'recurring1_based on steps'!AJ$1:AJ$400,0)),AJ$2,)</f>
        <v>0</v>
      </c>
      <c r="AK216" s="155">
        <f ca="1">IF(ISNUMBER(MATCH(DATEVALUE($A216),'recurring1_based on steps'!AK$1:AK$400,0)),AK$2,)</f>
        <v>0</v>
      </c>
      <c r="AL216" s="155">
        <f ca="1">IF(ISNUMBER(MATCH(DATEVALUE($A216),'recurring1_based on steps'!AL$1:AL$400,0)),AL$2,)</f>
        <v>0</v>
      </c>
      <c r="AM216" s="155">
        <f ca="1">IF(ISNUMBER(MATCH(DATEVALUE($A216),'recurring1_based on steps'!AM$1:AM$400,0)),AM$2,)</f>
        <v>0</v>
      </c>
      <c r="AN216" s="155">
        <f ca="1">IF(ISNUMBER(MATCH(DATEVALUE($A216),'recurring1_based on steps'!AN$1:AN$400,0)),AN$2,)</f>
        <v>0</v>
      </c>
      <c r="AO216" s="155">
        <f ca="1">IF(ISNUMBER(MATCH(DATEVALUE($A216),'recurring1_based on steps'!AO$1:AO$400,0)),AO$2,)</f>
        <v>0</v>
      </c>
      <c r="AP216" s="155">
        <f ca="1">IF(ISNUMBER(MATCH(DATEVALUE($A216),'recurring1_based on steps'!AP$1:AP$400,0)),AP$2,)</f>
        <v>0</v>
      </c>
      <c r="AQ216" s="155">
        <f ca="1">IF(ISNUMBER(MATCH(DATEVALUE($A216),'recurring1_based on steps'!AQ$1:AQ$400,0)),AQ$2,)</f>
        <v>0</v>
      </c>
      <c r="AR216" s="155">
        <f ca="1">IF(ISNUMBER(MATCH(DATEVALUE($A216),'recurring1_based on steps'!AR$1:AR$400,0)),AR$2,)</f>
        <v>0</v>
      </c>
      <c r="AS216" s="155">
        <f ca="1">IF(ISNUMBER(MATCH(DATEVALUE($A216),'recurring1_based on steps'!AS$1:AS$400,0)),AS$2,)</f>
        <v>0</v>
      </c>
      <c r="AT216" s="155">
        <f ca="1">IF(ISNUMBER(MATCH(DATEVALUE($A216),'recurring1_based on steps'!AT$1:AT$400,0)),AT$2,)</f>
        <v>0</v>
      </c>
      <c r="AU216" s="155">
        <f ca="1">IF(ISNUMBER(MATCH(DATEVALUE($A216),'recurring1_based on steps'!AU$1:AU$400,0)),AU$2,)</f>
        <v>0</v>
      </c>
      <c r="AV216" s="155">
        <f ca="1">IF(ISNUMBER(MATCH(DATEVALUE($A216),'recurring1_based on steps'!AV$1:AV$400,0)),AV$2,)</f>
        <v>0</v>
      </c>
      <c r="AW216" s="155">
        <f ca="1">IF(ISNUMBER(MATCH(DATEVALUE($A216),'recurring1_based on steps'!AW$1:AW$400,0)),AW$2,)</f>
        <v>0</v>
      </c>
      <c r="AX216" s="155">
        <f ca="1">IF(ISNUMBER(MATCH(DATEVALUE($A216),'recurring1_based on steps'!AX$1:AX$400,0)),AX$2,)</f>
        <v>0</v>
      </c>
      <c r="AY216" s="155">
        <f ca="1">IF(ISNUMBER(MATCH(DATEVALUE($A216),'recurring1_based on steps'!AY$1:AY$400,0)),AY$2,)</f>
        <v>0</v>
      </c>
    </row>
    <row r="217" spans="1:51" x14ac:dyDescent="0.2">
      <c r="A217" s="18" t="str">
        <f t="shared" ca="1" si="3"/>
        <v>2025-09-03</v>
      </c>
      <c r="B217" s="155">
        <f ca="1">IF(ISNUMBER(MATCH(DATEVALUE($A217),'recurring1_based on steps'!B$1:B$400,0)),B$2,)</f>
        <v>0</v>
      </c>
      <c r="C217" s="155">
        <f ca="1">IF(ISNUMBER(MATCH(DATEVALUE($A217),'recurring1_based on steps'!C$1:C$400,0)),C$2,)</f>
        <v>0</v>
      </c>
      <c r="D217" s="155">
        <f ca="1">IF(ISNUMBER(MATCH(DATEVALUE($A217),'recurring1_based on steps'!D$1:D$400,0)),D$2,)</f>
        <v>0</v>
      </c>
      <c r="E217" s="155">
        <f ca="1">IF(ISNUMBER(MATCH(DATEVALUE($A217),'recurring1_based on steps'!E$1:E$400,0)),E$2,)</f>
        <v>0</v>
      </c>
      <c r="F217" s="155">
        <f ca="1">IF(ISNUMBER(MATCH(DATEVALUE($A217),'recurring1_based on steps'!F$1:F$400,0)),F$2,)</f>
        <v>0</v>
      </c>
      <c r="G217" s="155">
        <f ca="1">IF(ISNUMBER(MATCH(DATEVALUE($A217),'recurring1_based on steps'!G$1:G$400,0)),G$2,)</f>
        <v>0</v>
      </c>
      <c r="H217" s="155">
        <f ca="1">IF(ISNUMBER(MATCH(DATEVALUE($A217),'recurring1_based on steps'!H$1:H$400,0)),H$2,)</f>
        <v>0</v>
      </c>
      <c r="I217" s="155">
        <f ca="1">IF(ISNUMBER(MATCH(DATEVALUE($A217),'recurring1_based on steps'!I$1:I$400,0)),I$2,)</f>
        <v>0</v>
      </c>
      <c r="J217" s="155">
        <f ca="1">IF(ISNUMBER(MATCH(DATEVALUE($A217),'recurring1_based on steps'!J$1:J$400,0)),J$2,)</f>
        <v>0</v>
      </c>
      <c r="K217" s="155">
        <f ca="1">IF(ISNUMBER(MATCH(DATEVALUE($A217),'recurring1_based on steps'!K$1:K$400,0)),K$2,)</f>
        <v>0</v>
      </c>
      <c r="L217" s="155">
        <f ca="1">IF(ISNUMBER(MATCH(DATEVALUE($A217),'recurring1_based on steps'!L$1:L$400,0)),L$2,)</f>
        <v>0</v>
      </c>
      <c r="M217" s="155">
        <f ca="1">IF(ISNUMBER(MATCH(DATEVALUE($A217),'recurring1_based on steps'!M$1:M$400,0)),M$2,)</f>
        <v>0</v>
      </c>
      <c r="N217" s="155">
        <f ca="1">IF(ISNUMBER(MATCH(DATEVALUE($A217),'recurring1_based on steps'!N$1:N$400,0)),N$2,)</f>
        <v>0</v>
      </c>
      <c r="O217" s="155">
        <f ca="1">IF(ISNUMBER(MATCH(DATEVALUE($A217),'recurring1_based on steps'!O$1:O$400,0)),O$2,)</f>
        <v>0</v>
      </c>
      <c r="P217" s="155">
        <f ca="1">IF(ISNUMBER(MATCH(DATEVALUE($A217),'recurring1_based on steps'!P$1:P$400,0)),P$2,)</f>
        <v>0</v>
      </c>
      <c r="Q217" s="155">
        <f ca="1">IF(ISNUMBER(MATCH(DATEVALUE($A217),'recurring1_based on steps'!Q$1:Q$400,0)),Q$2,)</f>
        <v>0</v>
      </c>
      <c r="R217" s="155">
        <f ca="1">IF(ISNUMBER(MATCH(DATEVALUE($A217),'recurring1_based on steps'!R$1:R$400,0)),R$2,)</f>
        <v>0</v>
      </c>
      <c r="S217" s="155">
        <f ca="1">IF(ISNUMBER(MATCH(DATEVALUE($A217),'recurring1_based on steps'!S$1:S$400,0)),S$2,)</f>
        <v>0</v>
      </c>
      <c r="T217" s="155">
        <f ca="1">IF(ISNUMBER(MATCH(DATEVALUE($A217),'recurring1_based on steps'!T$1:T$400,0)),T$2,)</f>
        <v>0</v>
      </c>
      <c r="U217" s="155">
        <f ca="1">IF(ISNUMBER(MATCH(DATEVALUE($A217),'recurring1_based on steps'!U$1:U$400,0)),U$2,)</f>
        <v>0</v>
      </c>
      <c r="V217" s="155">
        <f ca="1">IF(ISNUMBER(MATCH(DATEVALUE($A217),'recurring1_based on steps'!V$1:V$400,0)),V$2,)</f>
        <v>0</v>
      </c>
      <c r="W217" s="155">
        <f ca="1">IF(ISNUMBER(MATCH(DATEVALUE($A217),'recurring1_based on steps'!W$1:W$400,0)),W$2,)</f>
        <v>0</v>
      </c>
      <c r="X217" s="155">
        <f ca="1">IF(ISNUMBER(MATCH(DATEVALUE($A217),'recurring1_based on steps'!X$1:X$400,0)),X$2,)</f>
        <v>0</v>
      </c>
      <c r="Y217" s="155">
        <f ca="1">IF(ISNUMBER(MATCH(DATEVALUE($A217),'recurring1_based on steps'!Y$1:Y$400,0)),Y$2,)</f>
        <v>0</v>
      </c>
      <c r="Z217" s="155">
        <f ca="1">IF(ISNUMBER(MATCH(DATEVALUE($A217),'recurring1_based on steps'!Z$1:Z$400,0)),Z$2,)</f>
        <v>0</v>
      </c>
      <c r="AA217" s="155">
        <f ca="1">IF(ISNUMBER(MATCH(DATEVALUE($A217),'recurring1_based on steps'!AA$1:AA$400,0)),AA$2,)</f>
        <v>0</v>
      </c>
      <c r="AB217" s="155">
        <f ca="1">IF(ISNUMBER(MATCH(DATEVALUE($A217),'recurring1_based on steps'!AB$1:AB$400,0)),AB$2,)</f>
        <v>0</v>
      </c>
      <c r="AC217" s="155">
        <f ca="1">IF(ISNUMBER(MATCH(DATEVALUE($A217),'recurring1_based on steps'!AC$1:AC$400,0)),AC$2,)</f>
        <v>0</v>
      </c>
      <c r="AD217" s="155">
        <f ca="1">IF(ISNUMBER(MATCH(DATEVALUE($A217),'recurring1_based on steps'!AD$1:AD$400,0)),AD$2,)</f>
        <v>0</v>
      </c>
      <c r="AE217" s="155">
        <f ca="1">IF(ISNUMBER(MATCH(DATEVALUE($A217),'recurring1_based on steps'!AE$1:AE$400,0)),AE$2,)</f>
        <v>0</v>
      </c>
      <c r="AF217" s="155">
        <f ca="1">IF(ISNUMBER(MATCH(DATEVALUE($A217),'recurring1_based on steps'!AF$1:AF$400,0)),AF$2,)</f>
        <v>0</v>
      </c>
      <c r="AG217" s="155">
        <f ca="1">IF(ISNUMBER(MATCH(DATEVALUE($A217),'recurring1_based on steps'!AG$1:AG$400,0)),AG$2,)</f>
        <v>0</v>
      </c>
      <c r="AH217" s="155">
        <f ca="1">IF(ISNUMBER(MATCH(DATEVALUE($A217),'recurring1_based on steps'!AH$1:AH$400,0)),AH$2,)</f>
        <v>0</v>
      </c>
      <c r="AI217" s="155">
        <f ca="1">IF(ISNUMBER(MATCH(DATEVALUE($A217),'recurring1_based on steps'!AI$1:AI$400,0)),AI$2,)</f>
        <v>0</v>
      </c>
      <c r="AJ217" s="155">
        <f ca="1">IF(ISNUMBER(MATCH(DATEVALUE($A217),'recurring1_based on steps'!AJ$1:AJ$400,0)),AJ$2,)</f>
        <v>0</v>
      </c>
      <c r="AK217" s="155">
        <f ca="1">IF(ISNUMBER(MATCH(DATEVALUE($A217),'recurring1_based on steps'!AK$1:AK$400,0)),AK$2,)</f>
        <v>0</v>
      </c>
      <c r="AL217" s="155">
        <f ca="1">IF(ISNUMBER(MATCH(DATEVALUE($A217),'recurring1_based on steps'!AL$1:AL$400,0)),AL$2,)</f>
        <v>0</v>
      </c>
      <c r="AM217" s="155">
        <f ca="1">IF(ISNUMBER(MATCH(DATEVALUE($A217),'recurring1_based on steps'!AM$1:AM$400,0)),AM$2,)</f>
        <v>0</v>
      </c>
      <c r="AN217" s="155">
        <f ca="1">IF(ISNUMBER(MATCH(DATEVALUE($A217),'recurring1_based on steps'!AN$1:AN$400,0)),AN$2,)</f>
        <v>0</v>
      </c>
      <c r="AO217" s="155">
        <f ca="1">IF(ISNUMBER(MATCH(DATEVALUE($A217),'recurring1_based on steps'!AO$1:AO$400,0)),AO$2,)</f>
        <v>0</v>
      </c>
      <c r="AP217" s="155">
        <f ca="1">IF(ISNUMBER(MATCH(DATEVALUE($A217),'recurring1_based on steps'!AP$1:AP$400,0)),AP$2,)</f>
        <v>0</v>
      </c>
      <c r="AQ217" s="155">
        <f ca="1">IF(ISNUMBER(MATCH(DATEVALUE($A217),'recurring1_based on steps'!AQ$1:AQ$400,0)),AQ$2,)</f>
        <v>0</v>
      </c>
      <c r="AR217" s="155">
        <f ca="1">IF(ISNUMBER(MATCH(DATEVALUE($A217),'recurring1_based on steps'!AR$1:AR$400,0)),AR$2,)</f>
        <v>0</v>
      </c>
      <c r="AS217" s="155">
        <f ca="1">IF(ISNUMBER(MATCH(DATEVALUE($A217),'recurring1_based on steps'!AS$1:AS$400,0)),AS$2,)</f>
        <v>0</v>
      </c>
      <c r="AT217" s="155">
        <f ca="1">IF(ISNUMBER(MATCH(DATEVALUE($A217),'recurring1_based on steps'!AT$1:AT$400,0)),AT$2,)</f>
        <v>0</v>
      </c>
      <c r="AU217" s="155">
        <f ca="1">IF(ISNUMBER(MATCH(DATEVALUE($A217),'recurring1_based on steps'!AU$1:AU$400,0)),AU$2,)</f>
        <v>0</v>
      </c>
      <c r="AV217" s="155">
        <f ca="1">IF(ISNUMBER(MATCH(DATEVALUE($A217),'recurring1_based on steps'!AV$1:AV$400,0)),AV$2,)</f>
        <v>0</v>
      </c>
      <c r="AW217" s="155">
        <f ca="1">IF(ISNUMBER(MATCH(DATEVALUE($A217),'recurring1_based on steps'!AW$1:AW$400,0)),AW$2,)</f>
        <v>0</v>
      </c>
      <c r="AX217" s="155">
        <f ca="1">IF(ISNUMBER(MATCH(DATEVALUE($A217),'recurring1_based on steps'!AX$1:AX$400,0)),AX$2,)</f>
        <v>0</v>
      </c>
      <c r="AY217" s="155">
        <f ca="1">IF(ISNUMBER(MATCH(DATEVALUE($A217),'recurring1_based on steps'!AY$1:AY$400,0)),AY$2,)</f>
        <v>0</v>
      </c>
    </row>
    <row r="218" spans="1:51" x14ac:dyDescent="0.2">
      <c r="A218" s="18" t="str">
        <f t="shared" ca="1" si="3"/>
        <v>2025-09-04</v>
      </c>
      <c r="B218" s="155">
        <f ca="1">IF(ISNUMBER(MATCH(DATEVALUE($A218),'recurring1_based on steps'!B$1:B$400,0)),B$2,)</f>
        <v>0</v>
      </c>
      <c r="C218" s="155">
        <f ca="1">IF(ISNUMBER(MATCH(DATEVALUE($A218),'recurring1_based on steps'!C$1:C$400,0)),C$2,)</f>
        <v>0</v>
      </c>
      <c r="D218" s="155">
        <f ca="1">IF(ISNUMBER(MATCH(DATEVALUE($A218),'recurring1_based on steps'!D$1:D$400,0)),D$2,)</f>
        <v>0</v>
      </c>
      <c r="E218" s="155">
        <f ca="1">IF(ISNUMBER(MATCH(DATEVALUE($A218),'recurring1_based on steps'!E$1:E$400,0)),E$2,)</f>
        <v>0</v>
      </c>
      <c r="F218" s="155">
        <f ca="1">IF(ISNUMBER(MATCH(DATEVALUE($A218),'recurring1_based on steps'!F$1:F$400,0)),F$2,)</f>
        <v>0</v>
      </c>
      <c r="G218" s="155">
        <f ca="1">IF(ISNUMBER(MATCH(DATEVALUE($A218),'recurring1_based on steps'!G$1:G$400,0)),G$2,)</f>
        <v>0</v>
      </c>
      <c r="H218" s="155">
        <f ca="1">IF(ISNUMBER(MATCH(DATEVALUE($A218),'recurring1_based on steps'!H$1:H$400,0)),H$2,)</f>
        <v>0</v>
      </c>
      <c r="I218" s="155">
        <f ca="1">IF(ISNUMBER(MATCH(DATEVALUE($A218),'recurring1_based on steps'!I$1:I$400,0)),I$2,)</f>
        <v>0</v>
      </c>
      <c r="J218" s="155">
        <f ca="1">IF(ISNUMBER(MATCH(DATEVALUE($A218),'recurring1_based on steps'!J$1:J$400,0)),J$2,)</f>
        <v>0</v>
      </c>
      <c r="K218" s="155">
        <f ca="1">IF(ISNUMBER(MATCH(DATEVALUE($A218),'recurring1_based on steps'!K$1:K$400,0)),K$2,)</f>
        <v>0</v>
      </c>
      <c r="L218" s="155">
        <f ca="1">IF(ISNUMBER(MATCH(DATEVALUE($A218),'recurring1_based on steps'!L$1:L$400,0)),L$2,)</f>
        <v>0</v>
      </c>
      <c r="M218" s="155">
        <f ca="1">IF(ISNUMBER(MATCH(DATEVALUE($A218),'recurring1_based on steps'!M$1:M$400,0)),M$2,)</f>
        <v>15</v>
      </c>
      <c r="N218" s="155">
        <f ca="1">IF(ISNUMBER(MATCH(DATEVALUE($A218),'recurring1_based on steps'!N$1:N$400,0)),N$2,)</f>
        <v>0</v>
      </c>
      <c r="O218" s="155">
        <f ca="1">IF(ISNUMBER(MATCH(DATEVALUE($A218),'recurring1_based on steps'!O$1:O$400,0)),O$2,)</f>
        <v>0</v>
      </c>
      <c r="P218" s="155">
        <f ca="1">IF(ISNUMBER(MATCH(DATEVALUE($A218),'recurring1_based on steps'!P$1:P$400,0)),P$2,)</f>
        <v>0</v>
      </c>
      <c r="Q218" s="155">
        <f ca="1">IF(ISNUMBER(MATCH(DATEVALUE($A218),'recurring1_based on steps'!Q$1:Q$400,0)),Q$2,)</f>
        <v>0</v>
      </c>
      <c r="R218" s="155">
        <f ca="1">IF(ISNUMBER(MATCH(DATEVALUE($A218),'recurring1_based on steps'!R$1:R$400,0)),R$2,)</f>
        <v>0</v>
      </c>
      <c r="S218" s="155">
        <f ca="1">IF(ISNUMBER(MATCH(DATEVALUE($A218),'recurring1_based on steps'!S$1:S$400,0)),S$2,)</f>
        <v>0</v>
      </c>
      <c r="T218" s="155">
        <f ca="1">IF(ISNUMBER(MATCH(DATEVALUE($A218),'recurring1_based on steps'!T$1:T$400,0)),T$2,)</f>
        <v>0</v>
      </c>
      <c r="U218" s="155">
        <f ca="1">IF(ISNUMBER(MATCH(DATEVALUE($A218),'recurring1_based on steps'!U$1:U$400,0)),U$2,)</f>
        <v>0</v>
      </c>
      <c r="V218" s="155">
        <f ca="1">IF(ISNUMBER(MATCH(DATEVALUE($A218),'recurring1_based on steps'!V$1:V$400,0)),V$2,)</f>
        <v>0</v>
      </c>
      <c r="W218" s="155">
        <f ca="1">IF(ISNUMBER(MATCH(DATEVALUE($A218),'recurring1_based on steps'!W$1:W$400,0)),W$2,)</f>
        <v>0</v>
      </c>
      <c r="X218" s="155">
        <f ca="1">IF(ISNUMBER(MATCH(DATEVALUE($A218),'recurring1_based on steps'!X$1:X$400,0)),X$2,)</f>
        <v>0</v>
      </c>
      <c r="Y218" s="155">
        <f ca="1">IF(ISNUMBER(MATCH(DATEVALUE($A218),'recurring1_based on steps'!Y$1:Y$400,0)),Y$2,)</f>
        <v>0</v>
      </c>
      <c r="Z218" s="155">
        <f ca="1">IF(ISNUMBER(MATCH(DATEVALUE($A218),'recurring1_based on steps'!Z$1:Z$400,0)),Z$2,)</f>
        <v>0</v>
      </c>
      <c r="AA218" s="155">
        <f ca="1">IF(ISNUMBER(MATCH(DATEVALUE($A218),'recurring1_based on steps'!AA$1:AA$400,0)),AA$2,)</f>
        <v>0</v>
      </c>
      <c r="AB218" s="155">
        <f ca="1">IF(ISNUMBER(MATCH(DATEVALUE($A218),'recurring1_based on steps'!AB$1:AB$400,0)),AB$2,)</f>
        <v>0</v>
      </c>
      <c r="AC218" s="155">
        <f ca="1">IF(ISNUMBER(MATCH(DATEVALUE($A218),'recurring1_based on steps'!AC$1:AC$400,0)),AC$2,)</f>
        <v>0</v>
      </c>
      <c r="AD218" s="155">
        <f ca="1">IF(ISNUMBER(MATCH(DATEVALUE($A218),'recurring1_based on steps'!AD$1:AD$400,0)),AD$2,)</f>
        <v>0</v>
      </c>
      <c r="AE218" s="155">
        <f ca="1">IF(ISNUMBER(MATCH(DATEVALUE($A218),'recurring1_based on steps'!AE$1:AE$400,0)),AE$2,)</f>
        <v>0</v>
      </c>
      <c r="AF218" s="155">
        <f ca="1">IF(ISNUMBER(MATCH(DATEVALUE($A218),'recurring1_based on steps'!AF$1:AF$400,0)),AF$2,)</f>
        <v>0</v>
      </c>
      <c r="AG218" s="155">
        <f ca="1">IF(ISNUMBER(MATCH(DATEVALUE($A218),'recurring1_based on steps'!AG$1:AG$400,0)),AG$2,)</f>
        <v>0</v>
      </c>
      <c r="AH218" s="155">
        <f ca="1">IF(ISNUMBER(MATCH(DATEVALUE($A218),'recurring1_based on steps'!AH$1:AH$400,0)),AH$2,)</f>
        <v>0</v>
      </c>
      <c r="AI218" s="155">
        <f ca="1">IF(ISNUMBER(MATCH(DATEVALUE($A218),'recurring1_based on steps'!AI$1:AI$400,0)),AI$2,)</f>
        <v>0</v>
      </c>
      <c r="AJ218" s="155">
        <f ca="1">IF(ISNUMBER(MATCH(DATEVALUE($A218),'recurring1_based on steps'!AJ$1:AJ$400,0)),AJ$2,)</f>
        <v>0</v>
      </c>
      <c r="AK218" s="155">
        <f ca="1">IF(ISNUMBER(MATCH(DATEVALUE($A218),'recurring1_based on steps'!AK$1:AK$400,0)),AK$2,)</f>
        <v>0</v>
      </c>
      <c r="AL218" s="155">
        <f ca="1">IF(ISNUMBER(MATCH(DATEVALUE($A218),'recurring1_based on steps'!AL$1:AL$400,0)),AL$2,)</f>
        <v>0</v>
      </c>
      <c r="AM218" s="155">
        <f ca="1">IF(ISNUMBER(MATCH(DATEVALUE($A218),'recurring1_based on steps'!AM$1:AM$400,0)),AM$2,)</f>
        <v>0</v>
      </c>
      <c r="AN218" s="155">
        <f ca="1">IF(ISNUMBER(MATCH(DATEVALUE($A218),'recurring1_based on steps'!AN$1:AN$400,0)),AN$2,)</f>
        <v>0</v>
      </c>
      <c r="AO218" s="155">
        <f ca="1">IF(ISNUMBER(MATCH(DATEVALUE($A218),'recurring1_based on steps'!AO$1:AO$400,0)),AO$2,)</f>
        <v>0</v>
      </c>
      <c r="AP218" s="155">
        <f ca="1">IF(ISNUMBER(MATCH(DATEVALUE($A218),'recurring1_based on steps'!AP$1:AP$400,0)),AP$2,)</f>
        <v>0</v>
      </c>
      <c r="AQ218" s="155">
        <f ca="1">IF(ISNUMBER(MATCH(DATEVALUE($A218),'recurring1_based on steps'!AQ$1:AQ$400,0)),AQ$2,)</f>
        <v>0</v>
      </c>
      <c r="AR218" s="155">
        <f ca="1">IF(ISNUMBER(MATCH(DATEVALUE($A218),'recurring1_based on steps'!AR$1:AR$400,0)),AR$2,)</f>
        <v>0</v>
      </c>
      <c r="AS218" s="155">
        <f ca="1">IF(ISNUMBER(MATCH(DATEVALUE($A218),'recurring1_based on steps'!AS$1:AS$400,0)),AS$2,)</f>
        <v>0</v>
      </c>
      <c r="AT218" s="155">
        <f ca="1">IF(ISNUMBER(MATCH(DATEVALUE($A218),'recurring1_based on steps'!AT$1:AT$400,0)),AT$2,)</f>
        <v>0</v>
      </c>
      <c r="AU218" s="155">
        <f ca="1">IF(ISNUMBER(MATCH(DATEVALUE($A218),'recurring1_based on steps'!AU$1:AU$400,0)),AU$2,)</f>
        <v>0</v>
      </c>
      <c r="AV218" s="155">
        <f ca="1">IF(ISNUMBER(MATCH(DATEVALUE($A218),'recurring1_based on steps'!AV$1:AV$400,0)),AV$2,)</f>
        <v>0</v>
      </c>
      <c r="AW218" s="155">
        <f ca="1">IF(ISNUMBER(MATCH(DATEVALUE($A218),'recurring1_based on steps'!AW$1:AW$400,0)),AW$2,)</f>
        <v>0</v>
      </c>
      <c r="AX218" s="155">
        <f ca="1">IF(ISNUMBER(MATCH(DATEVALUE($A218),'recurring1_based on steps'!AX$1:AX$400,0)),AX$2,)</f>
        <v>0</v>
      </c>
      <c r="AY218" s="155">
        <f ca="1">IF(ISNUMBER(MATCH(DATEVALUE($A218),'recurring1_based on steps'!AY$1:AY$400,0)),AY$2,)</f>
        <v>0</v>
      </c>
    </row>
    <row r="219" spans="1:51" x14ac:dyDescent="0.2">
      <c r="A219" s="18" t="str">
        <f t="shared" ca="1" si="3"/>
        <v>2025-09-05</v>
      </c>
      <c r="B219" s="155">
        <f ca="1">IF(ISNUMBER(MATCH(DATEVALUE($A219),'recurring1_based on steps'!B$1:B$400,0)),B$2,)</f>
        <v>4000</v>
      </c>
      <c r="C219" s="155">
        <f ca="1">IF(ISNUMBER(MATCH(DATEVALUE($A219),'recurring1_based on steps'!C$1:C$400,0)),C$2,)</f>
        <v>200</v>
      </c>
      <c r="D219" s="155">
        <f ca="1">IF(ISNUMBER(MATCH(DATEVALUE($A219),'recurring1_based on steps'!D$1:D$400,0)),D$2,)</f>
        <v>2</v>
      </c>
      <c r="E219" s="155">
        <f ca="1">IF(ISNUMBER(MATCH(DATEVALUE($A219),'recurring1_based on steps'!E$1:E$400,0)),E$2,)</f>
        <v>40</v>
      </c>
      <c r="F219" s="155">
        <f ca="1">IF(ISNUMBER(MATCH(DATEVALUE($A219),'recurring1_based on steps'!F$1:F$400,0)),F$2,)</f>
        <v>50</v>
      </c>
      <c r="G219" s="155">
        <f ca="1">IF(ISNUMBER(MATCH(DATEVALUE($A219),'recurring1_based on steps'!G$1:G$400,0)),G$2,)</f>
        <v>4</v>
      </c>
      <c r="H219" s="155">
        <f ca="1">IF(ISNUMBER(MATCH(DATEVALUE($A219),'recurring1_based on steps'!H$1:H$400,0)),H$2,)</f>
        <v>0</v>
      </c>
      <c r="I219" s="155">
        <f ca="1">IF(ISNUMBER(MATCH(DATEVALUE($A219),'recurring1_based on steps'!I$1:I$400,0)),I$2,)</f>
        <v>0</v>
      </c>
      <c r="J219" s="155">
        <f ca="1">IF(ISNUMBER(MATCH(DATEVALUE($A219),'recurring1_based on steps'!J$1:J$400,0)),J$2,)</f>
        <v>0</v>
      </c>
      <c r="K219" s="155">
        <f ca="1">IF(ISNUMBER(MATCH(DATEVALUE($A219),'recurring1_based on steps'!K$1:K$400,0)),K$2,)</f>
        <v>0</v>
      </c>
      <c r="L219" s="155">
        <f ca="1">IF(ISNUMBER(MATCH(DATEVALUE($A219),'recurring1_based on steps'!L$1:L$400,0)),L$2,)</f>
        <v>0</v>
      </c>
      <c r="M219" s="155">
        <f ca="1">IF(ISNUMBER(MATCH(DATEVALUE($A219),'recurring1_based on steps'!M$1:M$400,0)),M$2,)</f>
        <v>0</v>
      </c>
      <c r="N219" s="155">
        <f ca="1">IF(ISNUMBER(MATCH(DATEVALUE($A219),'recurring1_based on steps'!N$1:N$400,0)),N$2,)</f>
        <v>0</v>
      </c>
      <c r="O219" s="155">
        <f ca="1">IF(ISNUMBER(MATCH(DATEVALUE($A219),'recurring1_based on steps'!O$1:O$400,0)),O$2,)</f>
        <v>0</v>
      </c>
      <c r="P219" s="155">
        <f ca="1">IF(ISNUMBER(MATCH(DATEVALUE($A219),'recurring1_based on steps'!P$1:P$400,0)),P$2,)</f>
        <v>0</v>
      </c>
      <c r="Q219" s="155">
        <f ca="1">IF(ISNUMBER(MATCH(DATEVALUE($A219),'recurring1_based on steps'!Q$1:Q$400,0)),Q$2,)</f>
        <v>0</v>
      </c>
      <c r="R219" s="155">
        <f ca="1">IF(ISNUMBER(MATCH(DATEVALUE($A219),'recurring1_based on steps'!R$1:R$400,0)),R$2,)</f>
        <v>0</v>
      </c>
      <c r="S219" s="155">
        <f ca="1">IF(ISNUMBER(MATCH(DATEVALUE($A219),'recurring1_based on steps'!S$1:S$400,0)),S$2,)</f>
        <v>0</v>
      </c>
      <c r="T219" s="155">
        <f ca="1">IF(ISNUMBER(MATCH(DATEVALUE($A219),'recurring1_based on steps'!T$1:T$400,0)),T$2,)</f>
        <v>0</v>
      </c>
      <c r="U219" s="155">
        <f ca="1">IF(ISNUMBER(MATCH(DATEVALUE($A219),'recurring1_based on steps'!U$1:U$400,0)),U$2,)</f>
        <v>0</v>
      </c>
      <c r="V219" s="155">
        <f ca="1">IF(ISNUMBER(MATCH(DATEVALUE($A219),'recurring1_based on steps'!V$1:V$400,0)),V$2,)</f>
        <v>0</v>
      </c>
      <c r="W219" s="155">
        <f ca="1">IF(ISNUMBER(MATCH(DATEVALUE($A219),'recurring1_based on steps'!W$1:W$400,0)),W$2,)</f>
        <v>0</v>
      </c>
      <c r="X219" s="155">
        <f ca="1">IF(ISNUMBER(MATCH(DATEVALUE($A219),'recurring1_based on steps'!X$1:X$400,0)),X$2,)</f>
        <v>50</v>
      </c>
      <c r="Y219" s="155">
        <f ca="1">IF(ISNUMBER(MATCH(DATEVALUE($A219),'recurring1_based on steps'!Y$1:Y$400,0)),Y$2,)</f>
        <v>0</v>
      </c>
      <c r="Z219" s="155">
        <f ca="1">IF(ISNUMBER(MATCH(DATEVALUE($A219),'recurring1_based on steps'!Z$1:Z$400,0)),Z$2,)</f>
        <v>0</v>
      </c>
      <c r="AA219" s="155">
        <f ca="1">IF(ISNUMBER(MATCH(DATEVALUE($A219),'recurring1_based on steps'!AA$1:AA$400,0)),AA$2,)</f>
        <v>0</v>
      </c>
      <c r="AB219" s="155">
        <f ca="1">IF(ISNUMBER(MATCH(DATEVALUE($A219),'recurring1_based on steps'!AB$1:AB$400,0)),AB$2,)</f>
        <v>0</v>
      </c>
      <c r="AC219" s="155">
        <f ca="1">IF(ISNUMBER(MATCH(DATEVALUE($A219),'recurring1_based on steps'!AC$1:AC$400,0)),AC$2,)</f>
        <v>0</v>
      </c>
      <c r="AD219" s="155">
        <f ca="1">IF(ISNUMBER(MATCH(DATEVALUE($A219),'recurring1_based on steps'!AD$1:AD$400,0)),AD$2,)</f>
        <v>0</v>
      </c>
      <c r="AE219" s="155">
        <f ca="1">IF(ISNUMBER(MATCH(DATEVALUE($A219),'recurring1_based on steps'!AE$1:AE$400,0)),AE$2,)</f>
        <v>0</v>
      </c>
      <c r="AF219" s="155">
        <f ca="1">IF(ISNUMBER(MATCH(DATEVALUE($A219),'recurring1_based on steps'!AF$1:AF$400,0)),AF$2,)</f>
        <v>0</v>
      </c>
      <c r="AG219" s="155">
        <f ca="1">IF(ISNUMBER(MATCH(DATEVALUE($A219),'recurring1_based on steps'!AG$1:AG$400,0)),AG$2,)</f>
        <v>0</v>
      </c>
      <c r="AH219" s="155">
        <f ca="1">IF(ISNUMBER(MATCH(DATEVALUE($A219),'recurring1_based on steps'!AH$1:AH$400,0)),AH$2,)</f>
        <v>0</v>
      </c>
      <c r="AI219" s="155">
        <f ca="1">IF(ISNUMBER(MATCH(DATEVALUE($A219),'recurring1_based on steps'!AI$1:AI$400,0)),AI$2,)</f>
        <v>0</v>
      </c>
      <c r="AJ219" s="155">
        <f ca="1">IF(ISNUMBER(MATCH(DATEVALUE($A219),'recurring1_based on steps'!AJ$1:AJ$400,0)),AJ$2,)</f>
        <v>0</v>
      </c>
      <c r="AK219" s="155">
        <f ca="1">IF(ISNUMBER(MATCH(DATEVALUE($A219),'recurring1_based on steps'!AK$1:AK$400,0)),AK$2,)</f>
        <v>0</v>
      </c>
      <c r="AL219" s="155">
        <f ca="1">IF(ISNUMBER(MATCH(DATEVALUE($A219),'recurring1_based on steps'!AL$1:AL$400,0)),AL$2,)</f>
        <v>0</v>
      </c>
      <c r="AM219" s="155">
        <f ca="1">IF(ISNUMBER(MATCH(DATEVALUE($A219),'recurring1_based on steps'!AM$1:AM$400,0)),AM$2,)</f>
        <v>0</v>
      </c>
      <c r="AN219" s="155">
        <f ca="1">IF(ISNUMBER(MATCH(DATEVALUE($A219),'recurring1_based on steps'!AN$1:AN$400,0)),AN$2,)</f>
        <v>0</v>
      </c>
      <c r="AO219" s="155">
        <f ca="1">IF(ISNUMBER(MATCH(DATEVALUE($A219),'recurring1_based on steps'!AO$1:AO$400,0)),AO$2,)</f>
        <v>0</v>
      </c>
      <c r="AP219" s="155">
        <f ca="1">IF(ISNUMBER(MATCH(DATEVALUE($A219),'recurring1_based on steps'!AP$1:AP$400,0)),AP$2,)</f>
        <v>0</v>
      </c>
      <c r="AQ219" s="155">
        <f ca="1">IF(ISNUMBER(MATCH(DATEVALUE($A219),'recurring1_based on steps'!AQ$1:AQ$400,0)),AQ$2,)</f>
        <v>0</v>
      </c>
      <c r="AR219" s="155">
        <f ca="1">IF(ISNUMBER(MATCH(DATEVALUE($A219),'recurring1_based on steps'!AR$1:AR$400,0)),AR$2,)</f>
        <v>0</v>
      </c>
      <c r="AS219" s="155">
        <f ca="1">IF(ISNUMBER(MATCH(DATEVALUE($A219),'recurring1_based on steps'!AS$1:AS$400,0)),AS$2,)</f>
        <v>0</v>
      </c>
      <c r="AT219" s="155">
        <f ca="1">IF(ISNUMBER(MATCH(DATEVALUE($A219),'recurring1_based on steps'!AT$1:AT$400,0)),AT$2,)</f>
        <v>0</v>
      </c>
      <c r="AU219" s="155">
        <f ca="1">IF(ISNUMBER(MATCH(DATEVALUE($A219),'recurring1_based on steps'!AU$1:AU$400,0)),AU$2,)</f>
        <v>0</v>
      </c>
      <c r="AV219" s="155">
        <f ca="1">IF(ISNUMBER(MATCH(DATEVALUE($A219),'recurring1_based on steps'!AV$1:AV$400,0)),AV$2,)</f>
        <v>0</v>
      </c>
      <c r="AW219" s="155">
        <f ca="1">IF(ISNUMBER(MATCH(DATEVALUE($A219),'recurring1_based on steps'!AW$1:AW$400,0)),AW$2,)</f>
        <v>0</v>
      </c>
      <c r="AX219" s="155">
        <f ca="1">IF(ISNUMBER(MATCH(DATEVALUE($A219),'recurring1_based on steps'!AX$1:AX$400,0)),AX$2,)</f>
        <v>0</v>
      </c>
      <c r="AY219" s="155">
        <f ca="1">IF(ISNUMBER(MATCH(DATEVALUE($A219),'recurring1_based on steps'!AY$1:AY$400,0)),AY$2,)</f>
        <v>0</v>
      </c>
    </row>
    <row r="220" spans="1:51" x14ac:dyDescent="0.2">
      <c r="A220" s="18" t="str">
        <f t="shared" ca="1" si="3"/>
        <v>2025-09-06</v>
      </c>
      <c r="B220" s="155">
        <f ca="1">IF(ISNUMBER(MATCH(DATEVALUE($A220),'recurring1_based on steps'!B$1:B$400,0)),B$2,)</f>
        <v>0</v>
      </c>
      <c r="C220" s="155">
        <f ca="1">IF(ISNUMBER(MATCH(DATEVALUE($A220),'recurring1_based on steps'!C$1:C$400,0)),C$2,)</f>
        <v>0</v>
      </c>
      <c r="D220" s="155">
        <f ca="1">IF(ISNUMBER(MATCH(DATEVALUE($A220),'recurring1_based on steps'!D$1:D$400,0)),D$2,)</f>
        <v>0</v>
      </c>
      <c r="E220" s="155">
        <f ca="1">IF(ISNUMBER(MATCH(DATEVALUE($A220),'recurring1_based on steps'!E$1:E$400,0)),E$2,)</f>
        <v>0</v>
      </c>
      <c r="F220" s="155">
        <f ca="1">IF(ISNUMBER(MATCH(DATEVALUE($A220),'recurring1_based on steps'!F$1:F$400,0)),F$2,)</f>
        <v>0</v>
      </c>
      <c r="G220" s="155">
        <f ca="1">IF(ISNUMBER(MATCH(DATEVALUE($A220),'recurring1_based on steps'!G$1:G$400,0)),G$2,)</f>
        <v>0</v>
      </c>
      <c r="H220" s="155">
        <f ca="1">IF(ISNUMBER(MATCH(DATEVALUE($A220),'recurring1_based on steps'!H$1:H$400,0)),H$2,)</f>
        <v>0</v>
      </c>
      <c r="I220" s="155">
        <f ca="1">IF(ISNUMBER(MATCH(DATEVALUE($A220),'recurring1_based on steps'!I$1:I$400,0)),I$2,)</f>
        <v>0</v>
      </c>
      <c r="J220" s="155">
        <f ca="1">IF(ISNUMBER(MATCH(DATEVALUE($A220),'recurring1_based on steps'!J$1:J$400,0)),J$2,)</f>
        <v>0</v>
      </c>
      <c r="K220" s="155">
        <f ca="1">IF(ISNUMBER(MATCH(DATEVALUE($A220),'recurring1_based on steps'!K$1:K$400,0)),K$2,)</f>
        <v>0</v>
      </c>
      <c r="L220" s="155">
        <f ca="1">IF(ISNUMBER(MATCH(DATEVALUE($A220),'recurring1_based on steps'!L$1:L$400,0)),L$2,)</f>
        <v>0</v>
      </c>
      <c r="M220" s="155">
        <f ca="1">IF(ISNUMBER(MATCH(DATEVALUE($A220),'recurring1_based on steps'!M$1:M$400,0)),M$2,)</f>
        <v>0</v>
      </c>
      <c r="N220" s="155">
        <f ca="1">IF(ISNUMBER(MATCH(DATEVALUE($A220),'recurring1_based on steps'!N$1:N$400,0)),N$2,)</f>
        <v>0</v>
      </c>
      <c r="O220" s="155">
        <f ca="1">IF(ISNUMBER(MATCH(DATEVALUE($A220),'recurring1_based on steps'!O$1:O$400,0)),O$2,)</f>
        <v>0</v>
      </c>
      <c r="P220" s="155">
        <f ca="1">IF(ISNUMBER(MATCH(DATEVALUE($A220),'recurring1_based on steps'!P$1:P$400,0)),P$2,)</f>
        <v>0</v>
      </c>
      <c r="Q220" s="155">
        <f ca="1">IF(ISNUMBER(MATCH(DATEVALUE($A220),'recurring1_based on steps'!Q$1:Q$400,0)),Q$2,)</f>
        <v>100</v>
      </c>
      <c r="R220" s="155">
        <f ca="1">IF(ISNUMBER(MATCH(DATEVALUE($A220),'recurring1_based on steps'!R$1:R$400,0)),R$2,)</f>
        <v>100</v>
      </c>
      <c r="S220" s="155">
        <f ca="1">IF(ISNUMBER(MATCH(DATEVALUE($A220),'recurring1_based on steps'!S$1:S$400,0)),S$2,)</f>
        <v>0</v>
      </c>
      <c r="T220" s="155">
        <f ca="1">IF(ISNUMBER(MATCH(DATEVALUE($A220),'recurring1_based on steps'!T$1:T$400,0)),T$2,)</f>
        <v>0</v>
      </c>
      <c r="U220" s="155">
        <f ca="1">IF(ISNUMBER(MATCH(DATEVALUE($A220),'recurring1_based on steps'!U$1:U$400,0)),U$2,)</f>
        <v>0</v>
      </c>
      <c r="V220" s="155">
        <f ca="1">IF(ISNUMBER(MATCH(DATEVALUE($A220),'recurring1_based on steps'!V$1:V$400,0)),V$2,)</f>
        <v>0</v>
      </c>
      <c r="W220" s="155">
        <f ca="1">IF(ISNUMBER(MATCH(DATEVALUE($A220),'recurring1_based on steps'!W$1:W$400,0)),W$2,)</f>
        <v>0</v>
      </c>
      <c r="X220" s="155">
        <f ca="1">IF(ISNUMBER(MATCH(DATEVALUE($A220),'recurring1_based on steps'!X$1:X$400,0)),X$2,)</f>
        <v>0</v>
      </c>
      <c r="Y220" s="155">
        <f ca="1">IF(ISNUMBER(MATCH(DATEVALUE($A220),'recurring1_based on steps'!Y$1:Y$400,0)),Y$2,)</f>
        <v>0</v>
      </c>
      <c r="Z220" s="155">
        <f ca="1">IF(ISNUMBER(MATCH(DATEVALUE($A220),'recurring1_based on steps'!Z$1:Z$400,0)),Z$2,)</f>
        <v>0</v>
      </c>
      <c r="AA220" s="155">
        <f ca="1">IF(ISNUMBER(MATCH(DATEVALUE($A220),'recurring1_based on steps'!AA$1:AA$400,0)),AA$2,)</f>
        <v>0</v>
      </c>
      <c r="AB220" s="155">
        <f ca="1">IF(ISNUMBER(MATCH(DATEVALUE($A220),'recurring1_based on steps'!AB$1:AB$400,0)),AB$2,)</f>
        <v>0</v>
      </c>
      <c r="AC220" s="155">
        <f ca="1">IF(ISNUMBER(MATCH(DATEVALUE($A220),'recurring1_based on steps'!AC$1:AC$400,0)),AC$2,)</f>
        <v>0</v>
      </c>
      <c r="AD220" s="155">
        <f ca="1">IF(ISNUMBER(MATCH(DATEVALUE($A220),'recurring1_based on steps'!AD$1:AD$400,0)),AD$2,)</f>
        <v>0</v>
      </c>
      <c r="AE220" s="155">
        <f ca="1">IF(ISNUMBER(MATCH(DATEVALUE($A220),'recurring1_based on steps'!AE$1:AE$400,0)),AE$2,)</f>
        <v>0</v>
      </c>
      <c r="AF220" s="155">
        <f ca="1">IF(ISNUMBER(MATCH(DATEVALUE($A220),'recurring1_based on steps'!AF$1:AF$400,0)),AF$2,)</f>
        <v>0</v>
      </c>
      <c r="AG220" s="155">
        <f ca="1">IF(ISNUMBER(MATCH(DATEVALUE($A220),'recurring1_based on steps'!AG$1:AG$400,0)),AG$2,)</f>
        <v>0</v>
      </c>
      <c r="AH220" s="155">
        <f ca="1">IF(ISNUMBER(MATCH(DATEVALUE($A220),'recurring1_based on steps'!AH$1:AH$400,0)),AH$2,)</f>
        <v>0</v>
      </c>
      <c r="AI220" s="155">
        <f ca="1">IF(ISNUMBER(MATCH(DATEVALUE($A220),'recurring1_based on steps'!AI$1:AI$400,0)),AI$2,)</f>
        <v>0</v>
      </c>
      <c r="AJ220" s="155">
        <f ca="1">IF(ISNUMBER(MATCH(DATEVALUE($A220),'recurring1_based on steps'!AJ$1:AJ$400,0)),AJ$2,)</f>
        <v>0</v>
      </c>
      <c r="AK220" s="155">
        <f ca="1">IF(ISNUMBER(MATCH(DATEVALUE($A220),'recurring1_based on steps'!AK$1:AK$400,0)),AK$2,)</f>
        <v>0</v>
      </c>
      <c r="AL220" s="155">
        <f ca="1">IF(ISNUMBER(MATCH(DATEVALUE($A220),'recurring1_based on steps'!AL$1:AL$400,0)),AL$2,)</f>
        <v>0</v>
      </c>
      <c r="AM220" s="155">
        <f ca="1">IF(ISNUMBER(MATCH(DATEVALUE($A220),'recurring1_based on steps'!AM$1:AM$400,0)),AM$2,)</f>
        <v>0</v>
      </c>
      <c r="AN220" s="155">
        <f ca="1">IF(ISNUMBER(MATCH(DATEVALUE($A220),'recurring1_based on steps'!AN$1:AN$400,0)),AN$2,)</f>
        <v>0</v>
      </c>
      <c r="AO220" s="155">
        <f ca="1">IF(ISNUMBER(MATCH(DATEVALUE($A220),'recurring1_based on steps'!AO$1:AO$400,0)),AO$2,)</f>
        <v>0</v>
      </c>
      <c r="AP220" s="155">
        <f ca="1">IF(ISNUMBER(MATCH(DATEVALUE($A220),'recurring1_based on steps'!AP$1:AP$400,0)),AP$2,)</f>
        <v>0</v>
      </c>
      <c r="AQ220" s="155">
        <f ca="1">IF(ISNUMBER(MATCH(DATEVALUE($A220),'recurring1_based on steps'!AQ$1:AQ$400,0)),AQ$2,)</f>
        <v>0</v>
      </c>
      <c r="AR220" s="155">
        <f ca="1">IF(ISNUMBER(MATCH(DATEVALUE($A220),'recurring1_based on steps'!AR$1:AR$400,0)),AR$2,)</f>
        <v>0</v>
      </c>
      <c r="AS220" s="155">
        <f ca="1">IF(ISNUMBER(MATCH(DATEVALUE($A220),'recurring1_based on steps'!AS$1:AS$400,0)),AS$2,)</f>
        <v>0</v>
      </c>
      <c r="AT220" s="155">
        <f ca="1">IF(ISNUMBER(MATCH(DATEVALUE($A220),'recurring1_based on steps'!AT$1:AT$400,0)),AT$2,)</f>
        <v>0</v>
      </c>
      <c r="AU220" s="155">
        <f ca="1">IF(ISNUMBER(MATCH(DATEVALUE($A220),'recurring1_based on steps'!AU$1:AU$400,0)),AU$2,)</f>
        <v>0</v>
      </c>
      <c r="AV220" s="155">
        <f ca="1">IF(ISNUMBER(MATCH(DATEVALUE($A220),'recurring1_based on steps'!AV$1:AV$400,0)),AV$2,)</f>
        <v>0</v>
      </c>
      <c r="AW220" s="155">
        <f ca="1">IF(ISNUMBER(MATCH(DATEVALUE($A220),'recurring1_based on steps'!AW$1:AW$400,0)),AW$2,)</f>
        <v>0</v>
      </c>
      <c r="AX220" s="155">
        <f ca="1">IF(ISNUMBER(MATCH(DATEVALUE($A220),'recurring1_based on steps'!AX$1:AX$400,0)),AX$2,)</f>
        <v>0</v>
      </c>
      <c r="AY220" s="155">
        <f ca="1">IF(ISNUMBER(MATCH(DATEVALUE($A220),'recurring1_based on steps'!AY$1:AY$400,0)),AY$2,)</f>
        <v>0</v>
      </c>
    </row>
    <row r="221" spans="1:51" x14ac:dyDescent="0.2">
      <c r="A221" s="18" t="str">
        <f t="shared" ca="1" si="3"/>
        <v>2025-09-07</v>
      </c>
      <c r="B221" s="155">
        <f ca="1">IF(ISNUMBER(MATCH(DATEVALUE($A221),'recurring1_based on steps'!B$1:B$400,0)),B$2,)</f>
        <v>0</v>
      </c>
      <c r="C221" s="155">
        <f ca="1">IF(ISNUMBER(MATCH(DATEVALUE($A221),'recurring1_based on steps'!C$1:C$400,0)),C$2,)</f>
        <v>0</v>
      </c>
      <c r="D221" s="155">
        <f ca="1">IF(ISNUMBER(MATCH(DATEVALUE($A221),'recurring1_based on steps'!D$1:D$400,0)),D$2,)</f>
        <v>0</v>
      </c>
      <c r="E221" s="155">
        <f ca="1">IF(ISNUMBER(MATCH(DATEVALUE($A221),'recurring1_based on steps'!E$1:E$400,0)),E$2,)</f>
        <v>0</v>
      </c>
      <c r="F221" s="155">
        <f ca="1">IF(ISNUMBER(MATCH(DATEVALUE($A221),'recurring1_based on steps'!F$1:F$400,0)),F$2,)</f>
        <v>0</v>
      </c>
      <c r="G221" s="155">
        <f ca="1">IF(ISNUMBER(MATCH(DATEVALUE($A221),'recurring1_based on steps'!G$1:G$400,0)),G$2,)</f>
        <v>0</v>
      </c>
      <c r="H221" s="155">
        <f ca="1">IF(ISNUMBER(MATCH(DATEVALUE($A221),'recurring1_based on steps'!H$1:H$400,0)),H$2,)</f>
        <v>0</v>
      </c>
      <c r="I221" s="155">
        <f ca="1">IF(ISNUMBER(MATCH(DATEVALUE($A221),'recurring1_based on steps'!I$1:I$400,0)),I$2,)</f>
        <v>0</v>
      </c>
      <c r="J221" s="155">
        <f ca="1">IF(ISNUMBER(MATCH(DATEVALUE($A221),'recurring1_based on steps'!J$1:J$400,0)),J$2,)</f>
        <v>0</v>
      </c>
      <c r="K221" s="155">
        <f ca="1">IF(ISNUMBER(MATCH(DATEVALUE($A221),'recurring1_based on steps'!K$1:K$400,0)),K$2,)</f>
        <v>50</v>
      </c>
      <c r="L221" s="155">
        <f ca="1">IF(ISNUMBER(MATCH(DATEVALUE($A221),'recurring1_based on steps'!L$1:L$400,0)),L$2,)</f>
        <v>0</v>
      </c>
      <c r="M221" s="155">
        <f ca="1">IF(ISNUMBER(MATCH(DATEVALUE($A221),'recurring1_based on steps'!M$1:M$400,0)),M$2,)</f>
        <v>0</v>
      </c>
      <c r="N221" s="155">
        <f ca="1">IF(ISNUMBER(MATCH(DATEVALUE($A221),'recurring1_based on steps'!N$1:N$400,0)),N$2,)</f>
        <v>0</v>
      </c>
      <c r="O221" s="155">
        <f ca="1">IF(ISNUMBER(MATCH(DATEVALUE($A221),'recurring1_based on steps'!O$1:O$400,0)),O$2,)</f>
        <v>0</v>
      </c>
      <c r="P221" s="155">
        <f ca="1">IF(ISNUMBER(MATCH(DATEVALUE($A221),'recurring1_based on steps'!P$1:P$400,0)),P$2,)</f>
        <v>0</v>
      </c>
      <c r="Q221" s="155">
        <f ca="1">IF(ISNUMBER(MATCH(DATEVALUE($A221),'recurring1_based on steps'!Q$1:Q$400,0)),Q$2,)</f>
        <v>0</v>
      </c>
      <c r="R221" s="155">
        <f ca="1">IF(ISNUMBER(MATCH(DATEVALUE($A221),'recurring1_based on steps'!R$1:R$400,0)),R$2,)</f>
        <v>0</v>
      </c>
      <c r="S221" s="155">
        <f ca="1">IF(ISNUMBER(MATCH(DATEVALUE($A221),'recurring1_based on steps'!S$1:S$400,0)),S$2,)</f>
        <v>100</v>
      </c>
      <c r="T221" s="155">
        <f ca="1">IF(ISNUMBER(MATCH(DATEVALUE($A221),'recurring1_based on steps'!T$1:T$400,0)),T$2,)</f>
        <v>0</v>
      </c>
      <c r="U221" s="155">
        <f ca="1">IF(ISNUMBER(MATCH(DATEVALUE($A221),'recurring1_based on steps'!U$1:U$400,0)),U$2,)</f>
        <v>0</v>
      </c>
      <c r="V221" s="155">
        <f ca="1">IF(ISNUMBER(MATCH(DATEVALUE($A221),'recurring1_based on steps'!V$1:V$400,0)),V$2,)</f>
        <v>0</v>
      </c>
      <c r="W221" s="155">
        <f ca="1">IF(ISNUMBER(MATCH(DATEVALUE($A221),'recurring1_based on steps'!W$1:W$400,0)),W$2,)</f>
        <v>0</v>
      </c>
      <c r="X221" s="155">
        <f ca="1">IF(ISNUMBER(MATCH(DATEVALUE($A221),'recurring1_based on steps'!X$1:X$400,0)),X$2,)</f>
        <v>0</v>
      </c>
      <c r="Y221" s="155">
        <f ca="1">IF(ISNUMBER(MATCH(DATEVALUE($A221),'recurring1_based on steps'!Y$1:Y$400,0)),Y$2,)</f>
        <v>0</v>
      </c>
      <c r="Z221" s="155">
        <f ca="1">IF(ISNUMBER(MATCH(DATEVALUE($A221),'recurring1_based on steps'!Z$1:Z$400,0)),Z$2,)</f>
        <v>0</v>
      </c>
      <c r="AA221" s="155">
        <f ca="1">IF(ISNUMBER(MATCH(DATEVALUE($A221),'recurring1_based on steps'!AA$1:AA$400,0)),AA$2,)</f>
        <v>0</v>
      </c>
      <c r="AB221" s="155">
        <f ca="1">IF(ISNUMBER(MATCH(DATEVALUE($A221),'recurring1_based on steps'!AB$1:AB$400,0)),AB$2,)</f>
        <v>0</v>
      </c>
      <c r="AC221" s="155">
        <f ca="1">IF(ISNUMBER(MATCH(DATEVALUE($A221),'recurring1_based on steps'!AC$1:AC$400,0)),AC$2,)</f>
        <v>0</v>
      </c>
      <c r="AD221" s="155">
        <f ca="1">IF(ISNUMBER(MATCH(DATEVALUE($A221),'recurring1_based on steps'!AD$1:AD$400,0)),AD$2,)</f>
        <v>0</v>
      </c>
      <c r="AE221" s="155">
        <f ca="1">IF(ISNUMBER(MATCH(DATEVALUE($A221),'recurring1_based on steps'!AE$1:AE$400,0)),AE$2,)</f>
        <v>0</v>
      </c>
      <c r="AF221" s="155">
        <f ca="1">IF(ISNUMBER(MATCH(DATEVALUE($A221),'recurring1_based on steps'!AF$1:AF$400,0)),AF$2,)</f>
        <v>0</v>
      </c>
      <c r="AG221" s="155">
        <f ca="1">IF(ISNUMBER(MATCH(DATEVALUE($A221),'recurring1_based on steps'!AG$1:AG$400,0)),AG$2,)</f>
        <v>0</v>
      </c>
      <c r="AH221" s="155">
        <f ca="1">IF(ISNUMBER(MATCH(DATEVALUE($A221),'recurring1_based on steps'!AH$1:AH$400,0)),AH$2,)</f>
        <v>0</v>
      </c>
      <c r="AI221" s="155">
        <f ca="1">IF(ISNUMBER(MATCH(DATEVALUE($A221),'recurring1_based on steps'!AI$1:AI$400,0)),AI$2,)</f>
        <v>0</v>
      </c>
      <c r="AJ221" s="155">
        <f ca="1">IF(ISNUMBER(MATCH(DATEVALUE($A221),'recurring1_based on steps'!AJ$1:AJ$400,0)),AJ$2,)</f>
        <v>0</v>
      </c>
      <c r="AK221" s="155">
        <f ca="1">IF(ISNUMBER(MATCH(DATEVALUE($A221),'recurring1_based on steps'!AK$1:AK$400,0)),AK$2,)</f>
        <v>0</v>
      </c>
      <c r="AL221" s="155">
        <f ca="1">IF(ISNUMBER(MATCH(DATEVALUE($A221),'recurring1_based on steps'!AL$1:AL$400,0)),AL$2,)</f>
        <v>0</v>
      </c>
      <c r="AM221" s="155">
        <f ca="1">IF(ISNUMBER(MATCH(DATEVALUE($A221),'recurring1_based on steps'!AM$1:AM$400,0)),AM$2,)</f>
        <v>0</v>
      </c>
      <c r="AN221" s="155">
        <f ca="1">IF(ISNUMBER(MATCH(DATEVALUE($A221),'recurring1_based on steps'!AN$1:AN$400,0)),AN$2,)</f>
        <v>0</v>
      </c>
      <c r="AO221" s="155">
        <f ca="1">IF(ISNUMBER(MATCH(DATEVALUE($A221),'recurring1_based on steps'!AO$1:AO$400,0)),AO$2,)</f>
        <v>0</v>
      </c>
      <c r="AP221" s="155">
        <f ca="1">IF(ISNUMBER(MATCH(DATEVALUE($A221),'recurring1_based on steps'!AP$1:AP$400,0)),AP$2,)</f>
        <v>0</v>
      </c>
      <c r="AQ221" s="155">
        <f ca="1">IF(ISNUMBER(MATCH(DATEVALUE($A221),'recurring1_based on steps'!AQ$1:AQ$400,0)),AQ$2,)</f>
        <v>0</v>
      </c>
      <c r="AR221" s="155">
        <f ca="1">IF(ISNUMBER(MATCH(DATEVALUE($A221),'recurring1_based on steps'!AR$1:AR$400,0)),AR$2,)</f>
        <v>0</v>
      </c>
      <c r="AS221" s="155">
        <f ca="1">IF(ISNUMBER(MATCH(DATEVALUE($A221),'recurring1_based on steps'!AS$1:AS$400,0)),AS$2,)</f>
        <v>0</v>
      </c>
      <c r="AT221" s="155">
        <f ca="1">IF(ISNUMBER(MATCH(DATEVALUE($A221),'recurring1_based on steps'!AT$1:AT$400,0)),AT$2,)</f>
        <v>0</v>
      </c>
      <c r="AU221" s="155">
        <f ca="1">IF(ISNUMBER(MATCH(DATEVALUE($A221),'recurring1_based on steps'!AU$1:AU$400,0)),AU$2,)</f>
        <v>0</v>
      </c>
      <c r="AV221" s="155">
        <f ca="1">IF(ISNUMBER(MATCH(DATEVALUE($A221),'recurring1_based on steps'!AV$1:AV$400,0)),AV$2,)</f>
        <v>0</v>
      </c>
      <c r="AW221" s="155">
        <f ca="1">IF(ISNUMBER(MATCH(DATEVALUE($A221),'recurring1_based on steps'!AW$1:AW$400,0)),AW$2,)</f>
        <v>0</v>
      </c>
      <c r="AX221" s="155">
        <f ca="1">IF(ISNUMBER(MATCH(DATEVALUE($A221),'recurring1_based on steps'!AX$1:AX$400,0)),AX$2,)</f>
        <v>0</v>
      </c>
      <c r="AY221" s="155">
        <f ca="1">IF(ISNUMBER(MATCH(DATEVALUE($A221),'recurring1_based on steps'!AY$1:AY$400,0)),AY$2,)</f>
        <v>0</v>
      </c>
    </row>
    <row r="222" spans="1:51" x14ac:dyDescent="0.2">
      <c r="A222" s="18" t="str">
        <f t="shared" ca="1" si="3"/>
        <v>2025-09-08</v>
      </c>
      <c r="B222" s="155">
        <f ca="1">IF(ISNUMBER(MATCH(DATEVALUE($A222),'recurring1_based on steps'!B$1:B$400,0)),B$2,)</f>
        <v>0</v>
      </c>
      <c r="C222" s="155">
        <f ca="1">IF(ISNUMBER(MATCH(DATEVALUE($A222),'recurring1_based on steps'!C$1:C$400,0)),C$2,)</f>
        <v>0</v>
      </c>
      <c r="D222" s="155">
        <f ca="1">IF(ISNUMBER(MATCH(DATEVALUE($A222),'recurring1_based on steps'!D$1:D$400,0)),D$2,)</f>
        <v>0</v>
      </c>
      <c r="E222" s="155">
        <f ca="1">IF(ISNUMBER(MATCH(DATEVALUE($A222),'recurring1_based on steps'!E$1:E$400,0)),E$2,)</f>
        <v>0</v>
      </c>
      <c r="F222" s="155">
        <f ca="1">IF(ISNUMBER(MATCH(DATEVALUE($A222),'recurring1_based on steps'!F$1:F$400,0)),F$2,)</f>
        <v>0</v>
      </c>
      <c r="G222" s="155">
        <f ca="1">IF(ISNUMBER(MATCH(DATEVALUE($A222),'recurring1_based on steps'!G$1:G$400,0)),G$2,)</f>
        <v>0</v>
      </c>
      <c r="H222" s="155">
        <f ca="1">IF(ISNUMBER(MATCH(DATEVALUE($A222),'recurring1_based on steps'!H$1:H$400,0)),H$2,)</f>
        <v>0</v>
      </c>
      <c r="I222" s="155">
        <f ca="1">IF(ISNUMBER(MATCH(DATEVALUE($A222),'recurring1_based on steps'!I$1:I$400,0)),I$2,)</f>
        <v>0</v>
      </c>
      <c r="J222" s="155">
        <f ca="1">IF(ISNUMBER(MATCH(DATEVALUE($A222),'recurring1_based on steps'!J$1:J$400,0)),J$2,)</f>
        <v>0</v>
      </c>
      <c r="K222" s="155">
        <f ca="1">IF(ISNUMBER(MATCH(DATEVALUE($A222),'recurring1_based on steps'!K$1:K$400,0)),K$2,)</f>
        <v>0</v>
      </c>
      <c r="L222" s="155">
        <f ca="1">IF(ISNUMBER(MATCH(DATEVALUE($A222),'recurring1_based on steps'!L$1:L$400,0)),L$2,)</f>
        <v>0</v>
      </c>
      <c r="M222" s="155">
        <f ca="1">IF(ISNUMBER(MATCH(DATEVALUE($A222),'recurring1_based on steps'!M$1:M$400,0)),M$2,)</f>
        <v>0</v>
      </c>
      <c r="N222" s="155">
        <f ca="1">IF(ISNUMBER(MATCH(DATEVALUE($A222),'recurring1_based on steps'!N$1:N$400,0)),N$2,)</f>
        <v>0</v>
      </c>
      <c r="O222" s="155">
        <f ca="1">IF(ISNUMBER(MATCH(DATEVALUE($A222),'recurring1_based on steps'!O$1:O$400,0)),O$2,)</f>
        <v>0</v>
      </c>
      <c r="P222" s="155">
        <f ca="1">IF(ISNUMBER(MATCH(DATEVALUE($A222),'recurring1_based on steps'!P$1:P$400,0)),P$2,)</f>
        <v>0</v>
      </c>
      <c r="Q222" s="155">
        <f ca="1">IF(ISNUMBER(MATCH(DATEVALUE($A222),'recurring1_based on steps'!Q$1:Q$400,0)),Q$2,)</f>
        <v>0</v>
      </c>
      <c r="R222" s="155">
        <f ca="1">IF(ISNUMBER(MATCH(DATEVALUE($A222),'recurring1_based on steps'!R$1:R$400,0)),R$2,)</f>
        <v>0</v>
      </c>
      <c r="S222" s="155">
        <f ca="1">IF(ISNUMBER(MATCH(DATEVALUE($A222),'recurring1_based on steps'!S$1:S$400,0)),S$2,)</f>
        <v>0</v>
      </c>
      <c r="T222" s="155">
        <f ca="1">IF(ISNUMBER(MATCH(DATEVALUE($A222),'recurring1_based on steps'!T$1:T$400,0)),T$2,)</f>
        <v>0</v>
      </c>
      <c r="U222" s="155">
        <f ca="1">IF(ISNUMBER(MATCH(DATEVALUE($A222),'recurring1_based on steps'!U$1:U$400,0)),U$2,)</f>
        <v>0</v>
      </c>
      <c r="V222" s="155">
        <f ca="1">IF(ISNUMBER(MATCH(DATEVALUE($A222),'recurring1_based on steps'!V$1:V$400,0)),V$2,)</f>
        <v>0</v>
      </c>
      <c r="W222" s="155">
        <f ca="1">IF(ISNUMBER(MATCH(DATEVALUE($A222),'recurring1_based on steps'!W$1:W$400,0)),W$2,)</f>
        <v>0</v>
      </c>
      <c r="X222" s="155">
        <f ca="1">IF(ISNUMBER(MATCH(DATEVALUE($A222),'recurring1_based on steps'!X$1:X$400,0)),X$2,)</f>
        <v>0</v>
      </c>
      <c r="Y222" s="155">
        <f ca="1">IF(ISNUMBER(MATCH(DATEVALUE($A222),'recurring1_based on steps'!Y$1:Y$400,0)),Y$2,)</f>
        <v>0</v>
      </c>
      <c r="Z222" s="155">
        <f ca="1">IF(ISNUMBER(MATCH(DATEVALUE($A222),'recurring1_based on steps'!Z$1:Z$400,0)),Z$2,)</f>
        <v>0</v>
      </c>
      <c r="AA222" s="155">
        <f ca="1">IF(ISNUMBER(MATCH(DATEVALUE($A222),'recurring1_based on steps'!AA$1:AA$400,0)),AA$2,)</f>
        <v>0</v>
      </c>
      <c r="AB222" s="155">
        <f ca="1">IF(ISNUMBER(MATCH(DATEVALUE($A222),'recurring1_based on steps'!AB$1:AB$400,0)),AB$2,)</f>
        <v>0</v>
      </c>
      <c r="AC222" s="155">
        <f ca="1">IF(ISNUMBER(MATCH(DATEVALUE($A222),'recurring1_based on steps'!AC$1:AC$400,0)),AC$2,)</f>
        <v>0</v>
      </c>
      <c r="AD222" s="155">
        <f ca="1">IF(ISNUMBER(MATCH(DATEVALUE($A222),'recurring1_based on steps'!AD$1:AD$400,0)),AD$2,)</f>
        <v>0</v>
      </c>
      <c r="AE222" s="155">
        <f ca="1">IF(ISNUMBER(MATCH(DATEVALUE($A222),'recurring1_based on steps'!AE$1:AE$400,0)),AE$2,)</f>
        <v>0</v>
      </c>
      <c r="AF222" s="155">
        <f ca="1">IF(ISNUMBER(MATCH(DATEVALUE($A222),'recurring1_based on steps'!AF$1:AF$400,0)),AF$2,)</f>
        <v>0</v>
      </c>
      <c r="AG222" s="155">
        <f ca="1">IF(ISNUMBER(MATCH(DATEVALUE($A222),'recurring1_based on steps'!AG$1:AG$400,0)),AG$2,)</f>
        <v>0</v>
      </c>
      <c r="AH222" s="155">
        <f ca="1">IF(ISNUMBER(MATCH(DATEVALUE($A222),'recurring1_based on steps'!AH$1:AH$400,0)),AH$2,)</f>
        <v>0</v>
      </c>
      <c r="AI222" s="155">
        <f ca="1">IF(ISNUMBER(MATCH(DATEVALUE($A222),'recurring1_based on steps'!AI$1:AI$400,0)),AI$2,)</f>
        <v>0</v>
      </c>
      <c r="AJ222" s="155">
        <f ca="1">IF(ISNUMBER(MATCH(DATEVALUE($A222),'recurring1_based on steps'!AJ$1:AJ$400,0)),AJ$2,)</f>
        <v>0</v>
      </c>
      <c r="AK222" s="155">
        <f ca="1">IF(ISNUMBER(MATCH(DATEVALUE($A222),'recurring1_based on steps'!AK$1:AK$400,0)),AK$2,)</f>
        <v>0</v>
      </c>
      <c r="AL222" s="155">
        <f ca="1">IF(ISNUMBER(MATCH(DATEVALUE($A222),'recurring1_based on steps'!AL$1:AL$400,0)),AL$2,)</f>
        <v>0</v>
      </c>
      <c r="AM222" s="155">
        <f ca="1">IF(ISNUMBER(MATCH(DATEVALUE($A222),'recurring1_based on steps'!AM$1:AM$400,0)),AM$2,)</f>
        <v>0</v>
      </c>
      <c r="AN222" s="155">
        <f ca="1">IF(ISNUMBER(MATCH(DATEVALUE($A222),'recurring1_based on steps'!AN$1:AN$400,0)),AN$2,)</f>
        <v>0</v>
      </c>
      <c r="AO222" s="155">
        <f ca="1">IF(ISNUMBER(MATCH(DATEVALUE($A222),'recurring1_based on steps'!AO$1:AO$400,0)),AO$2,)</f>
        <v>0</v>
      </c>
      <c r="AP222" s="155">
        <f ca="1">IF(ISNUMBER(MATCH(DATEVALUE($A222),'recurring1_based on steps'!AP$1:AP$400,0)),AP$2,)</f>
        <v>0</v>
      </c>
      <c r="AQ222" s="155">
        <f ca="1">IF(ISNUMBER(MATCH(DATEVALUE($A222),'recurring1_based on steps'!AQ$1:AQ$400,0)),AQ$2,)</f>
        <v>0</v>
      </c>
      <c r="AR222" s="155">
        <f ca="1">IF(ISNUMBER(MATCH(DATEVALUE($A222),'recurring1_based on steps'!AR$1:AR$400,0)),AR$2,)</f>
        <v>0</v>
      </c>
      <c r="AS222" s="155">
        <f ca="1">IF(ISNUMBER(MATCH(DATEVALUE($A222),'recurring1_based on steps'!AS$1:AS$400,0)),AS$2,)</f>
        <v>0</v>
      </c>
      <c r="AT222" s="155">
        <f ca="1">IF(ISNUMBER(MATCH(DATEVALUE($A222),'recurring1_based on steps'!AT$1:AT$400,0)),AT$2,)</f>
        <v>0</v>
      </c>
      <c r="AU222" s="155">
        <f ca="1">IF(ISNUMBER(MATCH(DATEVALUE($A222),'recurring1_based on steps'!AU$1:AU$400,0)),AU$2,)</f>
        <v>0</v>
      </c>
      <c r="AV222" s="155">
        <f ca="1">IF(ISNUMBER(MATCH(DATEVALUE($A222),'recurring1_based on steps'!AV$1:AV$400,0)),AV$2,)</f>
        <v>0</v>
      </c>
      <c r="AW222" s="155">
        <f ca="1">IF(ISNUMBER(MATCH(DATEVALUE($A222),'recurring1_based on steps'!AW$1:AW$400,0)),AW$2,)</f>
        <v>0</v>
      </c>
      <c r="AX222" s="155">
        <f ca="1">IF(ISNUMBER(MATCH(DATEVALUE($A222),'recurring1_based on steps'!AX$1:AX$400,0)),AX$2,)</f>
        <v>0</v>
      </c>
      <c r="AY222" s="155">
        <f ca="1">IF(ISNUMBER(MATCH(DATEVALUE($A222),'recurring1_based on steps'!AY$1:AY$400,0)),AY$2,)</f>
        <v>0</v>
      </c>
    </row>
    <row r="223" spans="1:51" x14ac:dyDescent="0.2">
      <c r="A223" s="18" t="str">
        <f t="shared" ca="1" si="3"/>
        <v>2025-09-09</v>
      </c>
      <c r="B223" s="155">
        <f ca="1">IF(ISNUMBER(MATCH(DATEVALUE($A223),'recurring1_based on steps'!B$1:B$400,0)),B$2,)</f>
        <v>0</v>
      </c>
      <c r="C223" s="155">
        <f ca="1">IF(ISNUMBER(MATCH(DATEVALUE($A223),'recurring1_based on steps'!C$1:C$400,0)),C$2,)</f>
        <v>0</v>
      </c>
      <c r="D223" s="155">
        <f ca="1">IF(ISNUMBER(MATCH(DATEVALUE($A223),'recurring1_based on steps'!D$1:D$400,0)),D$2,)</f>
        <v>0</v>
      </c>
      <c r="E223" s="155">
        <f ca="1">IF(ISNUMBER(MATCH(DATEVALUE($A223),'recurring1_based on steps'!E$1:E$400,0)),E$2,)</f>
        <v>0</v>
      </c>
      <c r="F223" s="155">
        <f ca="1">IF(ISNUMBER(MATCH(DATEVALUE($A223),'recurring1_based on steps'!F$1:F$400,0)),F$2,)</f>
        <v>0</v>
      </c>
      <c r="G223" s="155">
        <f ca="1">IF(ISNUMBER(MATCH(DATEVALUE($A223),'recurring1_based on steps'!G$1:G$400,0)),G$2,)</f>
        <v>0</v>
      </c>
      <c r="H223" s="155">
        <f ca="1">IF(ISNUMBER(MATCH(DATEVALUE($A223),'recurring1_based on steps'!H$1:H$400,0)),H$2,)</f>
        <v>0</v>
      </c>
      <c r="I223" s="155">
        <f ca="1">IF(ISNUMBER(MATCH(DATEVALUE($A223),'recurring1_based on steps'!I$1:I$400,0)),I$2,)</f>
        <v>0</v>
      </c>
      <c r="J223" s="155">
        <f ca="1">IF(ISNUMBER(MATCH(DATEVALUE($A223),'recurring1_based on steps'!J$1:J$400,0)),J$2,)</f>
        <v>0</v>
      </c>
      <c r="K223" s="155">
        <f ca="1">IF(ISNUMBER(MATCH(DATEVALUE($A223),'recurring1_based on steps'!K$1:K$400,0)),K$2,)</f>
        <v>0</v>
      </c>
      <c r="L223" s="155">
        <f ca="1">IF(ISNUMBER(MATCH(DATEVALUE($A223),'recurring1_based on steps'!L$1:L$400,0)),L$2,)</f>
        <v>0</v>
      </c>
      <c r="M223" s="155">
        <f ca="1">IF(ISNUMBER(MATCH(DATEVALUE($A223),'recurring1_based on steps'!M$1:M$400,0)),M$2,)</f>
        <v>0</v>
      </c>
      <c r="N223" s="155">
        <f ca="1">IF(ISNUMBER(MATCH(DATEVALUE($A223),'recurring1_based on steps'!N$1:N$400,0)),N$2,)</f>
        <v>0</v>
      </c>
      <c r="O223" s="155">
        <f ca="1">IF(ISNUMBER(MATCH(DATEVALUE($A223),'recurring1_based on steps'!O$1:O$400,0)),O$2,)</f>
        <v>0</v>
      </c>
      <c r="P223" s="155">
        <f ca="1">IF(ISNUMBER(MATCH(DATEVALUE($A223),'recurring1_based on steps'!P$1:P$400,0)),P$2,)</f>
        <v>0</v>
      </c>
      <c r="Q223" s="155">
        <f ca="1">IF(ISNUMBER(MATCH(DATEVALUE($A223),'recurring1_based on steps'!Q$1:Q$400,0)),Q$2,)</f>
        <v>0</v>
      </c>
      <c r="R223" s="155">
        <f ca="1">IF(ISNUMBER(MATCH(DATEVALUE($A223),'recurring1_based on steps'!R$1:R$400,0)),R$2,)</f>
        <v>0</v>
      </c>
      <c r="S223" s="155">
        <f ca="1">IF(ISNUMBER(MATCH(DATEVALUE($A223),'recurring1_based on steps'!S$1:S$400,0)),S$2,)</f>
        <v>0</v>
      </c>
      <c r="T223" s="155">
        <f ca="1">IF(ISNUMBER(MATCH(DATEVALUE($A223),'recurring1_based on steps'!T$1:T$400,0)),T$2,)</f>
        <v>0</v>
      </c>
      <c r="U223" s="155">
        <f ca="1">IF(ISNUMBER(MATCH(DATEVALUE($A223),'recurring1_based on steps'!U$1:U$400,0)),U$2,)</f>
        <v>0</v>
      </c>
      <c r="V223" s="155">
        <f ca="1">IF(ISNUMBER(MATCH(DATEVALUE($A223),'recurring1_based on steps'!V$1:V$400,0)),V$2,)</f>
        <v>0</v>
      </c>
      <c r="W223" s="155">
        <f ca="1">IF(ISNUMBER(MATCH(DATEVALUE($A223),'recurring1_based on steps'!W$1:W$400,0)),W$2,)</f>
        <v>0</v>
      </c>
      <c r="X223" s="155">
        <f ca="1">IF(ISNUMBER(MATCH(DATEVALUE($A223),'recurring1_based on steps'!X$1:X$400,0)),X$2,)</f>
        <v>0</v>
      </c>
      <c r="Y223" s="155">
        <f ca="1">IF(ISNUMBER(MATCH(DATEVALUE($A223),'recurring1_based on steps'!Y$1:Y$400,0)),Y$2,)</f>
        <v>0</v>
      </c>
      <c r="Z223" s="155">
        <f ca="1">IF(ISNUMBER(MATCH(DATEVALUE($A223),'recurring1_based on steps'!Z$1:Z$400,0)),Z$2,)</f>
        <v>0</v>
      </c>
      <c r="AA223" s="155">
        <f ca="1">IF(ISNUMBER(MATCH(DATEVALUE($A223),'recurring1_based on steps'!AA$1:AA$400,0)),AA$2,)</f>
        <v>0</v>
      </c>
      <c r="AB223" s="155">
        <f ca="1">IF(ISNUMBER(MATCH(DATEVALUE($A223),'recurring1_based on steps'!AB$1:AB$400,0)),AB$2,)</f>
        <v>0</v>
      </c>
      <c r="AC223" s="155">
        <f ca="1">IF(ISNUMBER(MATCH(DATEVALUE($A223),'recurring1_based on steps'!AC$1:AC$400,0)),AC$2,)</f>
        <v>0</v>
      </c>
      <c r="AD223" s="155">
        <f ca="1">IF(ISNUMBER(MATCH(DATEVALUE($A223),'recurring1_based on steps'!AD$1:AD$400,0)),AD$2,)</f>
        <v>0</v>
      </c>
      <c r="AE223" s="155">
        <f ca="1">IF(ISNUMBER(MATCH(DATEVALUE($A223),'recurring1_based on steps'!AE$1:AE$400,0)),AE$2,)</f>
        <v>0</v>
      </c>
      <c r="AF223" s="155">
        <f ca="1">IF(ISNUMBER(MATCH(DATEVALUE($A223),'recurring1_based on steps'!AF$1:AF$400,0)),AF$2,)</f>
        <v>0</v>
      </c>
      <c r="AG223" s="155">
        <f ca="1">IF(ISNUMBER(MATCH(DATEVALUE($A223),'recurring1_based on steps'!AG$1:AG$400,0)),AG$2,)</f>
        <v>0</v>
      </c>
      <c r="AH223" s="155">
        <f ca="1">IF(ISNUMBER(MATCH(DATEVALUE($A223),'recurring1_based on steps'!AH$1:AH$400,0)),AH$2,)</f>
        <v>0</v>
      </c>
      <c r="AI223" s="155">
        <f ca="1">IF(ISNUMBER(MATCH(DATEVALUE($A223),'recurring1_based on steps'!AI$1:AI$400,0)),AI$2,)</f>
        <v>0</v>
      </c>
      <c r="AJ223" s="155">
        <f ca="1">IF(ISNUMBER(MATCH(DATEVALUE($A223),'recurring1_based on steps'!AJ$1:AJ$400,0)),AJ$2,)</f>
        <v>0</v>
      </c>
      <c r="AK223" s="155">
        <f ca="1">IF(ISNUMBER(MATCH(DATEVALUE($A223),'recurring1_based on steps'!AK$1:AK$400,0)),AK$2,)</f>
        <v>0</v>
      </c>
      <c r="AL223" s="155">
        <f ca="1">IF(ISNUMBER(MATCH(DATEVALUE($A223),'recurring1_based on steps'!AL$1:AL$400,0)),AL$2,)</f>
        <v>0</v>
      </c>
      <c r="AM223" s="155">
        <f ca="1">IF(ISNUMBER(MATCH(DATEVALUE($A223),'recurring1_based on steps'!AM$1:AM$400,0)),AM$2,)</f>
        <v>0</v>
      </c>
      <c r="AN223" s="155">
        <f ca="1">IF(ISNUMBER(MATCH(DATEVALUE($A223),'recurring1_based on steps'!AN$1:AN$400,0)),AN$2,)</f>
        <v>0</v>
      </c>
      <c r="AO223" s="155">
        <f ca="1">IF(ISNUMBER(MATCH(DATEVALUE($A223),'recurring1_based on steps'!AO$1:AO$400,0)),AO$2,)</f>
        <v>0</v>
      </c>
      <c r="AP223" s="155">
        <f ca="1">IF(ISNUMBER(MATCH(DATEVALUE($A223),'recurring1_based on steps'!AP$1:AP$400,0)),AP$2,)</f>
        <v>0</v>
      </c>
      <c r="AQ223" s="155">
        <f ca="1">IF(ISNUMBER(MATCH(DATEVALUE($A223),'recurring1_based on steps'!AQ$1:AQ$400,0)),AQ$2,)</f>
        <v>0</v>
      </c>
      <c r="AR223" s="155">
        <f ca="1">IF(ISNUMBER(MATCH(DATEVALUE($A223),'recurring1_based on steps'!AR$1:AR$400,0)),AR$2,)</f>
        <v>0</v>
      </c>
      <c r="AS223" s="155">
        <f ca="1">IF(ISNUMBER(MATCH(DATEVALUE($A223),'recurring1_based on steps'!AS$1:AS$400,0)),AS$2,)</f>
        <v>0</v>
      </c>
      <c r="AT223" s="155">
        <f ca="1">IF(ISNUMBER(MATCH(DATEVALUE($A223),'recurring1_based on steps'!AT$1:AT$400,0)),AT$2,)</f>
        <v>0</v>
      </c>
      <c r="AU223" s="155">
        <f ca="1">IF(ISNUMBER(MATCH(DATEVALUE($A223),'recurring1_based on steps'!AU$1:AU$400,0)),AU$2,)</f>
        <v>0</v>
      </c>
      <c r="AV223" s="155">
        <f ca="1">IF(ISNUMBER(MATCH(DATEVALUE($A223),'recurring1_based on steps'!AV$1:AV$400,0)),AV$2,)</f>
        <v>0</v>
      </c>
      <c r="AW223" s="155">
        <f ca="1">IF(ISNUMBER(MATCH(DATEVALUE($A223),'recurring1_based on steps'!AW$1:AW$400,0)),AW$2,)</f>
        <v>0</v>
      </c>
      <c r="AX223" s="155">
        <f ca="1">IF(ISNUMBER(MATCH(DATEVALUE($A223),'recurring1_based on steps'!AX$1:AX$400,0)),AX$2,)</f>
        <v>0</v>
      </c>
      <c r="AY223" s="155">
        <f ca="1">IF(ISNUMBER(MATCH(DATEVALUE($A223),'recurring1_based on steps'!AY$1:AY$400,0)),AY$2,)</f>
        <v>0</v>
      </c>
    </row>
    <row r="224" spans="1:51" x14ac:dyDescent="0.2">
      <c r="A224" s="18" t="str">
        <f t="shared" ca="1" si="3"/>
        <v>2025-09-10</v>
      </c>
      <c r="B224" s="155">
        <f ca="1">IF(ISNUMBER(MATCH(DATEVALUE($A224),'recurring1_based on steps'!B$1:B$400,0)),B$2,)</f>
        <v>0</v>
      </c>
      <c r="C224" s="155">
        <f ca="1">IF(ISNUMBER(MATCH(DATEVALUE($A224),'recurring1_based on steps'!C$1:C$400,0)),C$2,)</f>
        <v>0</v>
      </c>
      <c r="D224" s="155">
        <f ca="1">IF(ISNUMBER(MATCH(DATEVALUE($A224),'recurring1_based on steps'!D$1:D$400,0)),D$2,)</f>
        <v>0</v>
      </c>
      <c r="E224" s="155">
        <f ca="1">IF(ISNUMBER(MATCH(DATEVALUE($A224),'recurring1_based on steps'!E$1:E$400,0)),E$2,)</f>
        <v>0</v>
      </c>
      <c r="F224" s="155">
        <f ca="1">IF(ISNUMBER(MATCH(DATEVALUE($A224),'recurring1_based on steps'!F$1:F$400,0)),F$2,)</f>
        <v>0</v>
      </c>
      <c r="G224" s="155">
        <f ca="1">IF(ISNUMBER(MATCH(DATEVALUE($A224),'recurring1_based on steps'!G$1:G$400,0)),G$2,)</f>
        <v>0</v>
      </c>
      <c r="H224" s="155">
        <f ca="1">IF(ISNUMBER(MATCH(DATEVALUE($A224),'recurring1_based on steps'!H$1:H$400,0)),H$2,)</f>
        <v>0</v>
      </c>
      <c r="I224" s="155">
        <f ca="1">IF(ISNUMBER(MATCH(DATEVALUE($A224),'recurring1_based on steps'!I$1:I$400,0)),I$2,)</f>
        <v>0</v>
      </c>
      <c r="J224" s="155">
        <f ca="1">IF(ISNUMBER(MATCH(DATEVALUE($A224),'recurring1_based on steps'!J$1:J$400,0)),J$2,)</f>
        <v>0</v>
      </c>
      <c r="K224" s="155">
        <f ca="1">IF(ISNUMBER(MATCH(DATEVALUE($A224),'recurring1_based on steps'!K$1:K$400,0)),K$2,)</f>
        <v>0</v>
      </c>
      <c r="L224" s="155">
        <f ca="1">IF(ISNUMBER(MATCH(DATEVALUE($A224),'recurring1_based on steps'!L$1:L$400,0)),L$2,)</f>
        <v>0</v>
      </c>
      <c r="M224" s="155">
        <f ca="1">IF(ISNUMBER(MATCH(DATEVALUE($A224),'recurring1_based on steps'!M$1:M$400,0)),M$2,)</f>
        <v>0</v>
      </c>
      <c r="N224" s="155">
        <f ca="1">IF(ISNUMBER(MATCH(DATEVALUE($A224),'recurring1_based on steps'!N$1:N$400,0)),N$2,)</f>
        <v>0</v>
      </c>
      <c r="O224" s="155">
        <f ca="1">IF(ISNUMBER(MATCH(DATEVALUE($A224),'recurring1_based on steps'!O$1:O$400,0)),O$2,)</f>
        <v>0</v>
      </c>
      <c r="P224" s="155">
        <f ca="1">IF(ISNUMBER(MATCH(DATEVALUE($A224),'recurring1_based on steps'!P$1:P$400,0)),P$2,)</f>
        <v>0</v>
      </c>
      <c r="Q224" s="155">
        <f ca="1">IF(ISNUMBER(MATCH(DATEVALUE($A224),'recurring1_based on steps'!Q$1:Q$400,0)),Q$2,)</f>
        <v>0</v>
      </c>
      <c r="R224" s="155">
        <f ca="1">IF(ISNUMBER(MATCH(DATEVALUE($A224),'recurring1_based on steps'!R$1:R$400,0)),R$2,)</f>
        <v>0</v>
      </c>
      <c r="S224" s="155">
        <f ca="1">IF(ISNUMBER(MATCH(DATEVALUE($A224),'recurring1_based on steps'!S$1:S$400,0)),S$2,)</f>
        <v>0</v>
      </c>
      <c r="T224" s="155">
        <f ca="1">IF(ISNUMBER(MATCH(DATEVALUE($A224),'recurring1_based on steps'!T$1:T$400,0)),T$2,)</f>
        <v>0</v>
      </c>
      <c r="U224" s="155">
        <f ca="1">IF(ISNUMBER(MATCH(DATEVALUE($A224),'recurring1_based on steps'!U$1:U$400,0)),U$2,)</f>
        <v>0</v>
      </c>
      <c r="V224" s="155">
        <f ca="1">IF(ISNUMBER(MATCH(DATEVALUE($A224),'recurring1_based on steps'!V$1:V$400,0)),V$2,)</f>
        <v>0</v>
      </c>
      <c r="W224" s="155">
        <f ca="1">IF(ISNUMBER(MATCH(DATEVALUE($A224),'recurring1_based on steps'!W$1:W$400,0)),W$2,)</f>
        <v>0</v>
      </c>
      <c r="X224" s="155">
        <f ca="1">IF(ISNUMBER(MATCH(DATEVALUE($A224),'recurring1_based on steps'!X$1:X$400,0)),X$2,)</f>
        <v>0</v>
      </c>
      <c r="Y224" s="155">
        <f ca="1">IF(ISNUMBER(MATCH(DATEVALUE($A224),'recurring1_based on steps'!Y$1:Y$400,0)),Y$2,)</f>
        <v>0</v>
      </c>
      <c r="Z224" s="155">
        <f ca="1">IF(ISNUMBER(MATCH(DATEVALUE($A224),'recurring1_based on steps'!Z$1:Z$400,0)),Z$2,)</f>
        <v>0</v>
      </c>
      <c r="AA224" s="155">
        <f ca="1">IF(ISNUMBER(MATCH(DATEVALUE($A224),'recurring1_based on steps'!AA$1:AA$400,0)),AA$2,)</f>
        <v>0</v>
      </c>
      <c r="AB224" s="155">
        <f ca="1">IF(ISNUMBER(MATCH(DATEVALUE($A224),'recurring1_based on steps'!AB$1:AB$400,0)),AB$2,)</f>
        <v>0</v>
      </c>
      <c r="AC224" s="155">
        <f ca="1">IF(ISNUMBER(MATCH(DATEVALUE($A224),'recurring1_based on steps'!AC$1:AC$400,0)),AC$2,)</f>
        <v>0</v>
      </c>
      <c r="AD224" s="155">
        <f ca="1">IF(ISNUMBER(MATCH(DATEVALUE($A224),'recurring1_based on steps'!AD$1:AD$400,0)),AD$2,)</f>
        <v>0</v>
      </c>
      <c r="AE224" s="155">
        <f ca="1">IF(ISNUMBER(MATCH(DATEVALUE($A224),'recurring1_based on steps'!AE$1:AE$400,0)),AE$2,)</f>
        <v>0</v>
      </c>
      <c r="AF224" s="155">
        <f ca="1">IF(ISNUMBER(MATCH(DATEVALUE($A224),'recurring1_based on steps'!AF$1:AF$400,0)),AF$2,)</f>
        <v>0</v>
      </c>
      <c r="AG224" s="155">
        <f ca="1">IF(ISNUMBER(MATCH(DATEVALUE($A224),'recurring1_based on steps'!AG$1:AG$400,0)),AG$2,)</f>
        <v>0</v>
      </c>
      <c r="AH224" s="155">
        <f ca="1">IF(ISNUMBER(MATCH(DATEVALUE($A224),'recurring1_based on steps'!AH$1:AH$400,0)),AH$2,)</f>
        <v>0</v>
      </c>
      <c r="AI224" s="155">
        <f ca="1">IF(ISNUMBER(MATCH(DATEVALUE($A224),'recurring1_based on steps'!AI$1:AI$400,0)),AI$2,)</f>
        <v>0</v>
      </c>
      <c r="AJ224" s="155">
        <f ca="1">IF(ISNUMBER(MATCH(DATEVALUE($A224),'recurring1_based on steps'!AJ$1:AJ$400,0)),AJ$2,)</f>
        <v>0</v>
      </c>
      <c r="AK224" s="155">
        <f ca="1">IF(ISNUMBER(MATCH(DATEVALUE($A224),'recurring1_based on steps'!AK$1:AK$400,0)),AK$2,)</f>
        <v>0</v>
      </c>
      <c r="AL224" s="155">
        <f ca="1">IF(ISNUMBER(MATCH(DATEVALUE($A224),'recurring1_based on steps'!AL$1:AL$400,0)),AL$2,)</f>
        <v>0</v>
      </c>
      <c r="AM224" s="155">
        <f ca="1">IF(ISNUMBER(MATCH(DATEVALUE($A224),'recurring1_based on steps'!AM$1:AM$400,0)),AM$2,)</f>
        <v>0</v>
      </c>
      <c r="AN224" s="155">
        <f ca="1">IF(ISNUMBER(MATCH(DATEVALUE($A224),'recurring1_based on steps'!AN$1:AN$400,0)),AN$2,)</f>
        <v>0</v>
      </c>
      <c r="AO224" s="155">
        <f ca="1">IF(ISNUMBER(MATCH(DATEVALUE($A224),'recurring1_based on steps'!AO$1:AO$400,0)),AO$2,)</f>
        <v>0</v>
      </c>
      <c r="AP224" s="155">
        <f ca="1">IF(ISNUMBER(MATCH(DATEVALUE($A224),'recurring1_based on steps'!AP$1:AP$400,0)),AP$2,)</f>
        <v>0</v>
      </c>
      <c r="AQ224" s="155">
        <f ca="1">IF(ISNUMBER(MATCH(DATEVALUE($A224),'recurring1_based on steps'!AQ$1:AQ$400,0)),AQ$2,)</f>
        <v>0</v>
      </c>
      <c r="AR224" s="155">
        <f ca="1">IF(ISNUMBER(MATCH(DATEVALUE($A224),'recurring1_based on steps'!AR$1:AR$400,0)),AR$2,)</f>
        <v>0</v>
      </c>
      <c r="AS224" s="155">
        <f ca="1">IF(ISNUMBER(MATCH(DATEVALUE($A224),'recurring1_based on steps'!AS$1:AS$400,0)),AS$2,)</f>
        <v>0</v>
      </c>
      <c r="AT224" s="155">
        <f ca="1">IF(ISNUMBER(MATCH(DATEVALUE($A224),'recurring1_based on steps'!AT$1:AT$400,0)),AT$2,)</f>
        <v>0</v>
      </c>
      <c r="AU224" s="155">
        <f ca="1">IF(ISNUMBER(MATCH(DATEVALUE($A224),'recurring1_based on steps'!AU$1:AU$400,0)),AU$2,)</f>
        <v>0</v>
      </c>
      <c r="AV224" s="155">
        <f ca="1">IF(ISNUMBER(MATCH(DATEVALUE($A224),'recurring1_based on steps'!AV$1:AV$400,0)),AV$2,)</f>
        <v>0</v>
      </c>
      <c r="AW224" s="155">
        <f ca="1">IF(ISNUMBER(MATCH(DATEVALUE($A224),'recurring1_based on steps'!AW$1:AW$400,0)),AW$2,)</f>
        <v>0</v>
      </c>
      <c r="AX224" s="155">
        <f ca="1">IF(ISNUMBER(MATCH(DATEVALUE($A224),'recurring1_based on steps'!AX$1:AX$400,0)),AX$2,)</f>
        <v>0</v>
      </c>
      <c r="AY224" s="155">
        <f ca="1">IF(ISNUMBER(MATCH(DATEVALUE($A224),'recurring1_based on steps'!AY$1:AY$400,0)),AY$2,)</f>
        <v>0</v>
      </c>
    </row>
    <row r="225" spans="1:51" x14ac:dyDescent="0.2">
      <c r="A225" s="18" t="str">
        <f t="shared" ca="1" si="3"/>
        <v>2025-09-11</v>
      </c>
      <c r="B225" s="155">
        <f ca="1">IF(ISNUMBER(MATCH(DATEVALUE($A225),'recurring1_based on steps'!B$1:B$400,0)),B$2,)</f>
        <v>0</v>
      </c>
      <c r="C225" s="155">
        <f ca="1">IF(ISNUMBER(MATCH(DATEVALUE($A225),'recurring1_based on steps'!C$1:C$400,0)),C$2,)</f>
        <v>0</v>
      </c>
      <c r="D225" s="155">
        <f ca="1">IF(ISNUMBER(MATCH(DATEVALUE($A225),'recurring1_based on steps'!D$1:D$400,0)),D$2,)</f>
        <v>0</v>
      </c>
      <c r="E225" s="155">
        <f ca="1">IF(ISNUMBER(MATCH(DATEVALUE($A225),'recurring1_based on steps'!E$1:E$400,0)),E$2,)</f>
        <v>0</v>
      </c>
      <c r="F225" s="155">
        <f ca="1">IF(ISNUMBER(MATCH(DATEVALUE($A225),'recurring1_based on steps'!F$1:F$400,0)),F$2,)</f>
        <v>0</v>
      </c>
      <c r="G225" s="155">
        <f ca="1">IF(ISNUMBER(MATCH(DATEVALUE($A225),'recurring1_based on steps'!G$1:G$400,0)),G$2,)</f>
        <v>0</v>
      </c>
      <c r="H225" s="155">
        <f ca="1">IF(ISNUMBER(MATCH(DATEVALUE($A225),'recurring1_based on steps'!H$1:H$400,0)),H$2,)</f>
        <v>0</v>
      </c>
      <c r="I225" s="155">
        <f ca="1">IF(ISNUMBER(MATCH(DATEVALUE($A225),'recurring1_based on steps'!I$1:I$400,0)),I$2,)</f>
        <v>0</v>
      </c>
      <c r="J225" s="155">
        <f ca="1">IF(ISNUMBER(MATCH(DATEVALUE($A225),'recurring1_based on steps'!J$1:J$400,0)),J$2,)</f>
        <v>0</v>
      </c>
      <c r="K225" s="155">
        <f ca="1">IF(ISNUMBER(MATCH(DATEVALUE($A225),'recurring1_based on steps'!K$1:K$400,0)),K$2,)</f>
        <v>0</v>
      </c>
      <c r="L225" s="155">
        <f ca="1">IF(ISNUMBER(MATCH(DATEVALUE($A225),'recurring1_based on steps'!L$1:L$400,0)),L$2,)</f>
        <v>0</v>
      </c>
      <c r="M225" s="155">
        <f ca="1">IF(ISNUMBER(MATCH(DATEVALUE($A225),'recurring1_based on steps'!M$1:M$400,0)),M$2,)</f>
        <v>0</v>
      </c>
      <c r="N225" s="155">
        <f ca="1">IF(ISNUMBER(MATCH(DATEVALUE($A225),'recurring1_based on steps'!N$1:N$400,0)),N$2,)</f>
        <v>0</v>
      </c>
      <c r="O225" s="155">
        <f ca="1">IF(ISNUMBER(MATCH(DATEVALUE($A225),'recurring1_based on steps'!O$1:O$400,0)),O$2,)</f>
        <v>0</v>
      </c>
      <c r="P225" s="155">
        <f ca="1">IF(ISNUMBER(MATCH(DATEVALUE($A225),'recurring1_based on steps'!P$1:P$400,0)),P$2,)</f>
        <v>0</v>
      </c>
      <c r="Q225" s="155">
        <f ca="1">IF(ISNUMBER(MATCH(DATEVALUE($A225),'recurring1_based on steps'!Q$1:Q$400,0)),Q$2,)</f>
        <v>0</v>
      </c>
      <c r="R225" s="155">
        <f ca="1">IF(ISNUMBER(MATCH(DATEVALUE($A225),'recurring1_based on steps'!R$1:R$400,0)),R$2,)</f>
        <v>0</v>
      </c>
      <c r="S225" s="155">
        <f ca="1">IF(ISNUMBER(MATCH(DATEVALUE($A225),'recurring1_based on steps'!S$1:S$400,0)),S$2,)</f>
        <v>0</v>
      </c>
      <c r="T225" s="155">
        <f ca="1">IF(ISNUMBER(MATCH(DATEVALUE($A225),'recurring1_based on steps'!T$1:T$400,0)),T$2,)</f>
        <v>0</v>
      </c>
      <c r="U225" s="155">
        <f ca="1">IF(ISNUMBER(MATCH(DATEVALUE($A225),'recurring1_based on steps'!U$1:U$400,0)),U$2,)</f>
        <v>0</v>
      </c>
      <c r="V225" s="155">
        <f ca="1">IF(ISNUMBER(MATCH(DATEVALUE($A225),'recurring1_based on steps'!V$1:V$400,0)),V$2,)</f>
        <v>0</v>
      </c>
      <c r="W225" s="155">
        <f ca="1">IF(ISNUMBER(MATCH(DATEVALUE($A225),'recurring1_based on steps'!W$1:W$400,0)),W$2,)</f>
        <v>0</v>
      </c>
      <c r="X225" s="155">
        <f ca="1">IF(ISNUMBER(MATCH(DATEVALUE($A225),'recurring1_based on steps'!X$1:X$400,0)),X$2,)</f>
        <v>0</v>
      </c>
      <c r="Y225" s="155">
        <f ca="1">IF(ISNUMBER(MATCH(DATEVALUE($A225),'recurring1_based on steps'!Y$1:Y$400,0)),Y$2,)</f>
        <v>0</v>
      </c>
      <c r="Z225" s="155">
        <f ca="1">IF(ISNUMBER(MATCH(DATEVALUE($A225),'recurring1_based on steps'!Z$1:Z$400,0)),Z$2,)</f>
        <v>0</v>
      </c>
      <c r="AA225" s="155">
        <f ca="1">IF(ISNUMBER(MATCH(DATEVALUE($A225),'recurring1_based on steps'!AA$1:AA$400,0)),AA$2,)</f>
        <v>0</v>
      </c>
      <c r="AB225" s="155">
        <f ca="1">IF(ISNUMBER(MATCH(DATEVALUE($A225),'recurring1_based on steps'!AB$1:AB$400,0)),AB$2,)</f>
        <v>0</v>
      </c>
      <c r="AC225" s="155">
        <f ca="1">IF(ISNUMBER(MATCH(DATEVALUE($A225),'recurring1_based on steps'!AC$1:AC$400,0)),AC$2,)</f>
        <v>0</v>
      </c>
      <c r="AD225" s="155">
        <f ca="1">IF(ISNUMBER(MATCH(DATEVALUE($A225),'recurring1_based on steps'!AD$1:AD$400,0)),AD$2,)</f>
        <v>0</v>
      </c>
      <c r="AE225" s="155">
        <f ca="1">IF(ISNUMBER(MATCH(DATEVALUE($A225),'recurring1_based on steps'!AE$1:AE$400,0)),AE$2,)</f>
        <v>0</v>
      </c>
      <c r="AF225" s="155">
        <f ca="1">IF(ISNUMBER(MATCH(DATEVALUE($A225),'recurring1_based on steps'!AF$1:AF$400,0)),AF$2,)</f>
        <v>0</v>
      </c>
      <c r="AG225" s="155">
        <f ca="1">IF(ISNUMBER(MATCH(DATEVALUE($A225),'recurring1_based on steps'!AG$1:AG$400,0)),AG$2,)</f>
        <v>0</v>
      </c>
      <c r="AH225" s="155">
        <f ca="1">IF(ISNUMBER(MATCH(DATEVALUE($A225),'recurring1_based on steps'!AH$1:AH$400,0)),AH$2,)</f>
        <v>0</v>
      </c>
      <c r="AI225" s="155">
        <f ca="1">IF(ISNUMBER(MATCH(DATEVALUE($A225),'recurring1_based on steps'!AI$1:AI$400,0)),AI$2,)</f>
        <v>0</v>
      </c>
      <c r="AJ225" s="155">
        <f ca="1">IF(ISNUMBER(MATCH(DATEVALUE($A225),'recurring1_based on steps'!AJ$1:AJ$400,0)),AJ$2,)</f>
        <v>0</v>
      </c>
      <c r="AK225" s="155">
        <f ca="1">IF(ISNUMBER(MATCH(DATEVALUE($A225),'recurring1_based on steps'!AK$1:AK$400,0)),AK$2,)</f>
        <v>0</v>
      </c>
      <c r="AL225" s="155">
        <f ca="1">IF(ISNUMBER(MATCH(DATEVALUE($A225),'recurring1_based on steps'!AL$1:AL$400,0)),AL$2,)</f>
        <v>0</v>
      </c>
      <c r="AM225" s="155">
        <f ca="1">IF(ISNUMBER(MATCH(DATEVALUE($A225),'recurring1_based on steps'!AM$1:AM$400,0)),AM$2,)</f>
        <v>0</v>
      </c>
      <c r="AN225" s="155">
        <f ca="1">IF(ISNUMBER(MATCH(DATEVALUE($A225),'recurring1_based on steps'!AN$1:AN$400,0)),AN$2,)</f>
        <v>0</v>
      </c>
      <c r="AO225" s="155">
        <f ca="1">IF(ISNUMBER(MATCH(DATEVALUE($A225),'recurring1_based on steps'!AO$1:AO$400,0)),AO$2,)</f>
        <v>0</v>
      </c>
      <c r="AP225" s="155">
        <f ca="1">IF(ISNUMBER(MATCH(DATEVALUE($A225),'recurring1_based on steps'!AP$1:AP$400,0)),AP$2,)</f>
        <v>0</v>
      </c>
      <c r="AQ225" s="155">
        <f ca="1">IF(ISNUMBER(MATCH(DATEVALUE($A225),'recurring1_based on steps'!AQ$1:AQ$400,0)),AQ$2,)</f>
        <v>0</v>
      </c>
      <c r="AR225" s="155">
        <f ca="1">IF(ISNUMBER(MATCH(DATEVALUE($A225),'recurring1_based on steps'!AR$1:AR$400,0)),AR$2,)</f>
        <v>0</v>
      </c>
      <c r="AS225" s="155">
        <f ca="1">IF(ISNUMBER(MATCH(DATEVALUE($A225),'recurring1_based on steps'!AS$1:AS$400,0)),AS$2,)</f>
        <v>0</v>
      </c>
      <c r="AT225" s="155">
        <f ca="1">IF(ISNUMBER(MATCH(DATEVALUE($A225),'recurring1_based on steps'!AT$1:AT$400,0)),AT$2,)</f>
        <v>0</v>
      </c>
      <c r="AU225" s="155">
        <f ca="1">IF(ISNUMBER(MATCH(DATEVALUE($A225),'recurring1_based on steps'!AU$1:AU$400,0)),AU$2,)</f>
        <v>0</v>
      </c>
      <c r="AV225" s="155">
        <f ca="1">IF(ISNUMBER(MATCH(DATEVALUE($A225),'recurring1_based on steps'!AV$1:AV$400,0)),AV$2,)</f>
        <v>0</v>
      </c>
      <c r="AW225" s="155">
        <f ca="1">IF(ISNUMBER(MATCH(DATEVALUE($A225),'recurring1_based on steps'!AW$1:AW$400,0)),AW$2,)</f>
        <v>0</v>
      </c>
      <c r="AX225" s="155">
        <f ca="1">IF(ISNUMBER(MATCH(DATEVALUE($A225),'recurring1_based on steps'!AX$1:AX$400,0)),AX$2,)</f>
        <v>0</v>
      </c>
      <c r="AY225" s="155">
        <f ca="1">IF(ISNUMBER(MATCH(DATEVALUE($A225),'recurring1_based on steps'!AY$1:AY$400,0)),AY$2,)</f>
        <v>0</v>
      </c>
    </row>
    <row r="226" spans="1:51" x14ac:dyDescent="0.2">
      <c r="A226" s="18" t="str">
        <f t="shared" ca="1" si="3"/>
        <v>2025-09-12</v>
      </c>
      <c r="B226" s="155">
        <f ca="1">IF(ISNUMBER(MATCH(DATEVALUE($A226),'recurring1_based on steps'!B$1:B$400,0)),B$2,)</f>
        <v>0</v>
      </c>
      <c r="C226" s="155">
        <f ca="1">IF(ISNUMBER(MATCH(DATEVALUE($A226),'recurring1_based on steps'!C$1:C$400,0)),C$2,)</f>
        <v>0</v>
      </c>
      <c r="D226" s="155">
        <f ca="1">IF(ISNUMBER(MATCH(DATEVALUE($A226),'recurring1_based on steps'!D$1:D$400,0)),D$2,)</f>
        <v>0</v>
      </c>
      <c r="E226" s="155">
        <f ca="1">IF(ISNUMBER(MATCH(DATEVALUE($A226),'recurring1_based on steps'!E$1:E$400,0)),E$2,)</f>
        <v>0</v>
      </c>
      <c r="F226" s="155">
        <f ca="1">IF(ISNUMBER(MATCH(DATEVALUE($A226),'recurring1_based on steps'!F$1:F$400,0)),F$2,)</f>
        <v>0</v>
      </c>
      <c r="G226" s="155">
        <f ca="1">IF(ISNUMBER(MATCH(DATEVALUE($A226),'recurring1_based on steps'!G$1:G$400,0)),G$2,)</f>
        <v>0</v>
      </c>
      <c r="H226" s="155">
        <f ca="1">IF(ISNUMBER(MATCH(DATEVALUE($A226),'recurring1_based on steps'!H$1:H$400,0)),H$2,)</f>
        <v>0</v>
      </c>
      <c r="I226" s="155">
        <f ca="1">IF(ISNUMBER(MATCH(DATEVALUE($A226),'recurring1_based on steps'!I$1:I$400,0)),I$2,)</f>
        <v>0</v>
      </c>
      <c r="J226" s="155">
        <f ca="1">IF(ISNUMBER(MATCH(DATEVALUE($A226),'recurring1_based on steps'!J$1:J$400,0)),J$2,)</f>
        <v>0</v>
      </c>
      <c r="K226" s="155">
        <f ca="1">IF(ISNUMBER(MATCH(DATEVALUE($A226),'recurring1_based on steps'!K$1:K$400,0)),K$2,)</f>
        <v>0</v>
      </c>
      <c r="L226" s="155">
        <f ca="1">IF(ISNUMBER(MATCH(DATEVALUE($A226),'recurring1_based on steps'!L$1:L$400,0)),L$2,)</f>
        <v>0</v>
      </c>
      <c r="M226" s="155">
        <f ca="1">IF(ISNUMBER(MATCH(DATEVALUE($A226),'recurring1_based on steps'!M$1:M$400,0)),M$2,)</f>
        <v>0</v>
      </c>
      <c r="N226" s="155">
        <f ca="1">IF(ISNUMBER(MATCH(DATEVALUE($A226),'recurring1_based on steps'!N$1:N$400,0)),N$2,)</f>
        <v>0</v>
      </c>
      <c r="O226" s="155">
        <f ca="1">IF(ISNUMBER(MATCH(DATEVALUE($A226),'recurring1_based on steps'!O$1:O$400,0)),O$2,)</f>
        <v>0</v>
      </c>
      <c r="P226" s="155">
        <f ca="1">IF(ISNUMBER(MATCH(DATEVALUE($A226),'recurring1_based on steps'!P$1:P$400,0)),P$2,)</f>
        <v>0</v>
      </c>
      <c r="Q226" s="155">
        <f ca="1">IF(ISNUMBER(MATCH(DATEVALUE($A226),'recurring1_based on steps'!Q$1:Q$400,0)),Q$2,)</f>
        <v>0</v>
      </c>
      <c r="R226" s="155">
        <f ca="1">IF(ISNUMBER(MATCH(DATEVALUE($A226),'recurring1_based on steps'!R$1:R$400,0)),R$2,)</f>
        <v>0</v>
      </c>
      <c r="S226" s="155">
        <f ca="1">IF(ISNUMBER(MATCH(DATEVALUE($A226),'recurring1_based on steps'!S$1:S$400,0)),S$2,)</f>
        <v>0</v>
      </c>
      <c r="T226" s="155">
        <f ca="1">IF(ISNUMBER(MATCH(DATEVALUE($A226),'recurring1_based on steps'!T$1:T$400,0)),T$2,)</f>
        <v>0</v>
      </c>
      <c r="U226" s="155">
        <f ca="1">IF(ISNUMBER(MATCH(DATEVALUE($A226),'recurring1_based on steps'!U$1:U$400,0)),U$2,)</f>
        <v>0</v>
      </c>
      <c r="V226" s="155">
        <f ca="1">IF(ISNUMBER(MATCH(DATEVALUE($A226),'recurring1_based on steps'!V$1:V$400,0)),V$2,)</f>
        <v>0</v>
      </c>
      <c r="W226" s="155">
        <f ca="1">IF(ISNUMBER(MATCH(DATEVALUE($A226),'recurring1_based on steps'!W$1:W$400,0)),W$2,)</f>
        <v>0</v>
      </c>
      <c r="X226" s="155">
        <f ca="1">IF(ISNUMBER(MATCH(DATEVALUE($A226),'recurring1_based on steps'!X$1:X$400,0)),X$2,)</f>
        <v>0</v>
      </c>
      <c r="Y226" s="155">
        <f ca="1">IF(ISNUMBER(MATCH(DATEVALUE($A226),'recurring1_based on steps'!Y$1:Y$400,0)),Y$2,)</f>
        <v>0</v>
      </c>
      <c r="Z226" s="155">
        <f ca="1">IF(ISNUMBER(MATCH(DATEVALUE($A226),'recurring1_based on steps'!Z$1:Z$400,0)),Z$2,)</f>
        <v>0</v>
      </c>
      <c r="AA226" s="155">
        <f ca="1">IF(ISNUMBER(MATCH(DATEVALUE($A226),'recurring1_based on steps'!AA$1:AA$400,0)),AA$2,)</f>
        <v>0</v>
      </c>
      <c r="AB226" s="155">
        <f ca="1">IF(ISNUMBER(MATCH(DATEVALUE($A226),'recurring1_based on steps'!AB$1:AB$400,0)),AB$2,)</f>
        <v>0</v>
      </c>
      <c r="AC226" s="155">
        <f ca="1">IF(ISNUMBER(MATCH(DATEVALUE($A226),'recurring1_based on steps'!AC$1:AC$400,0)),AC$2,)</f>
        <v>0</v>
      </c>
      <c r="AD226" s="155">
        <f ca="1">IF(ISNUMBER(MATCH(DATEVALUE($A226),'recurring1_based on steps'!AD$1:AD$400,0)),AD$2,)</f>
        <v>0</v>
      </c>
      <c r="AE226" s="155">
        <f ca="1">IF(ISNUMBER(MATCH(DATEVALUE($A226),'recurring1_based on steps'!AE$1:AE$400,0)),AE$2,)</f>
        <v>0</v>
      </c>
      <c r="AF226" s="155">
        <f ca="1">IF(ISNUMBER(MATCH(DATEVALUE($A226),'recurring1_based on steps'!AF$1:AF$400,0)),AF$2,)</f>
        <v>0</v>
      </c>
      <c r="AG226" s="155">
        <f ca="1">IF(ISNUMBER(MATCH(DATEVALUE($A226),'recurring1_based on steps'!AG$1:AG$400,0)),AG$2,)</f>
        <v>0</v>
      </c>
      <c r="AH226" s="155">
        <f ca="1">IF(ISNUMBER(MATCH(DATEVALUE($A226),'recurring1_based on steps'!AH$1:AH$400,0)),AH$2,)</f>
        <v>0</v>
      </c>
      <c r="AI226" s="155">
        <f ca="1">IF(ISNUMBER(MATCH(DATEVALUE($A226),'recurring1_based on steps'!AI$1:AI$400,0)),AI$2,)</f>
        <v>0</v>
      </c>
      <c r="AJ226" s="155">
        <f ca="1">IF(ISNUMBER(MATCH(DATEVALUE($A226),'recurring1_based on steps'!AJ$1:AJ$400,0)),AJ$2,)</f>
        <v>0</v>
      </c>
      <c r="AK226" s="155">
        <f ca="1">IF(ISNUMBER(MATCH(DATEVALUE($A226),'recurring1_based on steps'!AK$1:AK$400,0)),AK$2,)</f>
        <v>0</v>
      </c>
      <c r="AL226" s="155">
        <f ca="1">IF(ISNUMBER(MATCH(DATEVALUE($A226),'recurring1_based on steps'!AL$1:AL$400,0)),AL$2,)</f>
        <v>0</v>
      </c>
      <c r="AM226" s="155">
        <f ca="1">IF(ISNUMBER(MATCH(DATEVALUE($A226),'recurring1_based on steps'!AM$1:AM$400,0)),AM$2,)</f>
        <v>0</v>
      </c>
      <c r="AN226" s="155">
        <f ca="1">IF(ISNUMBER(MATCH(DATEVALUE($A226),'recurring1_based on steps'!AN$1:AN$400,0)),AN$2,)</f>
        <v>0</v>
      </c>
      <c r="AO226" s="155">
        <f ca="1">IF(ISNUMBER(MATCH(DATEVALUE($A226),'recurring1_based on steps'!AO$1:AO$400,0)),AO$2,)</f>
        <v>0</v>
      </c>
      <c r="AP226" s="155">
        <f ca="1">IF(ISNUMBER(MATCH(DATEVALUE($A226),'recurring1_based on steps'!AP$1:AP$400,0)),AP$2,)</f>
        <v>0</v>
      </c>
      <c r="AQ226" s="155">
        <f ca="1">IF(ISNUMBER(MATCH(DATEVALUE($A226),'recurring1_based on steps'!AQ$1:AQ$400,0)),AQ$2,)</f>
        <v>0</v>
      </c>
      <c r="AR226" s="155">
        <f ca="1">IF(ISNUMBER(MATCH(DATEVALUE($A226),'recurring1_based on steps'!AR$1:AR$400,0)),AR$2,)</f>
        <v>0</v>
      </c>
      <c r="AS226" s="155">
        <f ca="1">IF(ISNUMBER(MATCH(DATEVALUE($A226),'recurring1_based on steps'!AS$1:AS$400,0)),AS$2,)</f>
        <v>0</v>
      </c>
      <c r="AT226" s="155">
        <f ca="1">IF(ISNUMBER(MATCH(DATEVALUE($A226),'recurring1_based on steps'!AT$1:AT$400,0)),AT$2,)</f>
        <v>0</v>
      </c>
      <c r="AU226" s="155">
        <f ca="1">IF(ISNUMBER(MATCH(DATEVALUE($A226),'recurring1_based on steps'!AU$1:AU$400,0)),AU$2,)</f>
        <v>0</v>
      </c>
      <c r="AV226" s="155">
        <f ca="1">IF(ISNUMBER(MATCH(DATEVALUE($A226),'recurring1_based on steps'!AV$1:AV$400,0)),AV$2,)</f>
        <v>0</v>
      </c>
      <c r="AW226" s="155">
        <f ca="1">IF(ISNUMBER(MATCH(DATEVALUE($A226),'recurring1_based on steps'!AW$1:AW$400,0)),AW$2,)</f>
        <v>0</v>
      </c>
      <c r="AX226" s="155">
        <f ca="1">IF(ISNUMBER(MATCH(DATEVALUE($A226),'recurring1_based on steps'!AX$1:AX$400,0)),AX$2,)</f>
        <v>0</v>
      </c>
      <c r="AY226" s="155">
        <f ca="1">IF(ISNUMBER(MATCH(DATEVALUE($A226),'recurring1_based on steps'!AY$1:AY$400,0)),AY$2,)</f>
        <v>0</v>
      </c>
    </row>
    <row r="227" spans="1:51" x14ac:dyDescent="0.2">
      <c r="A227" s="18" t="str">
        <f t="shared" ca="1" si="3"/>
        <v>2025-09-13</v>
      </c>
      <c r="B227" s="155">
        <f ca="1">IF(ISNUMBER(MATCH(DATEVALUE($A227),'recurring1_based on steps'!B$1:B$400,0)),B$2,)</f>
        <v>0</v>
      </c>
      <c r="C227" s="155">
        <f ca="1">IF(ISNUMBER(MATCH(DATEVALUE($A227),'recurring1_based on steps'!C$1:C$400,0)),C$2,)</f>
        <v>0</v>
      </c>
      <c r="D227" s="155">
        <f ca="1">IF(ISNUMBER(MATCH(DATEVALUE($A227),'recurring1_based on steps'!D$1:D$400,0)),D$2,)</f>
        <v>0</v>
      </c>
      <c r="E227" s="155">
        <f ca="1">IF(ISNUMBER(MATCH(DATEVALUE($A227),'recurring1_based on steps'!E$1:E$400,0)),E$2,)</f>
        <v>0</v>
      </c>
      <c r="F227" s="155">
        <f ca="1">IF(ISNUMBER(MATCH(DATEVALUE($A227),'recurring1_based on steps'!F$1:F$400,0)),F$2,)</f>
        <v>0</v>
      </c>
      <c r="G227" s="155">
        <f ca="1">IF(ISNUMBER(MATCH(DATEVALUE($A227),'recurring1_based on steps'!G$1:G$400,0)),G$2,)</f>
        <v>0</v>
      </c>
      <c r="H227" s="155">
        <f ca="1">IF(ISNUMBER(MATCH(DATEVALUE($A227),'recurring1_based on steps'!H$1:H$400,0)),H$2,)</f>
        <v>0</v>
      </c>
      <c r="I227" s="155">
        <f ca="1">IF(ISNUMBER(MATCH(DATEVALUE($A227),'recurring1_based on steps'!I$1:I$400,0)),I$2,)</f>
        <v>0</v>
      </c>
      <c r="J227" s="155">
        <f ca="1">IF(ISNUMBER(MATCH(DATEVALUE($A227),'recurring1_based on steps'!J$1:J$400,0)),J$2,)</f>
        <v>0</v>
      </c>
      <c r="K227" s="155">
        <f ca="1">IF(ISNUMBER(MATCH(DATEVALUE($A227),'recurring1_based on steps'!K$1:K$400,0)),K$2,)</f>
        <v>0</v>
      </c>
      <c r="L227" s="155">
        <f ca="1">IF(ISNUMBER(MATCH(DATEVALUE($A227),'recurring1_based on steps'!L$1:L$400,0)),L$2,)</f>
        <v>0</v>
      </c>
      <c r="M227" s="155">
        <f ca="1">IF(ISNUMBER(MATCH(DATEVALUE($A227),'recurring1_based on steps'!M$1:M$400,0)),M$2,)</f>
        <v>0</v>
      </c>
      <c r="N227" s="155">
        <f ca="1">IF(ISNUMBER(MATCH(DATEVALUE($A227),'recurring1_based on steps'!N$1:N$400,0)),N$2,)</f>
        <v>0</v>
      </c>
      <c r="O227" s="155">
        <f ca="1">IF(ISNUMBER(MATCH(DATEVALUE($A227),'recurring1_based on steps'!O$1:O$400,0)),O$2,)</f>
        <v>0</v>
      </c>
      <c r="P227" s="155">
        <f ca="1">IF(ISNUMBER(MATCH(DATEVALUE($A227),'recurring1_based on steps'!P$1:P$400,0)),P$2,)</f>
        <v>0</v>
      </c>
      <c r="Q227" s="155">
        <f ca="1">IF(ISNUMBER(MATCH(DATEVALUE($A227),'recurring1_based on steps'!Q$1:Q$400,0)),Q$2,)</f>
        <v>100</v>
      </c>
      <c r="R227" s="155">
        <f ca="1">IF(ISNUMBER(MATCH(DATEVALUE($A227),'recurring1_based on steps'!R$1:R$400,0)),R$2,)</f>
        <v>100</v>
      </c>
      <c r="S227" s="155">
        <f ca="1">IF(ISNUMBER(MATCH(DATEVALUE($A227),'recurring1_based on steps'!S$1:S$400,0)),S$2,)</f>
        <v>0</v>
      </c>
      <c r="T227" s="155">
        <f ca="1">IF(ISNUMBER(MATCH(DATEVALUE($A227),'recurring1_based on steps'!T$1:T$400,0)),T$2,)</f>
        <v>0</v>
      </c>
      <c r="U227" s="155">
        <f ca="1">IF(ISNUMBER(MATCH(DATEVALUE($A227),'recurring1_based on steps'!U$1:U$400,0)),U$2,)</f>
        <v>0</v>
      </c>
      <c r="V227" s="155">
        <f ca="1">IF(ISNUMBER(MATCH(DATEVALUE($A227),'recurring1_based on steps'!V$1:V$400,0)),V$2,)</f>
        <v>0</v>
      </c>
      <c r="W227" s="155">
        <f ca="1">IF(ISNUMBER(MATCH(DATEVALUE($A227),'recurring1_based on steps'!W$1:W$400,0)),W$2,)</f>
        <v>0</v>
      </c>
      <c r="X227" s="155">
        <f ca="1">IF(ISNUMBER(MATCH(DATEVALUE($A227),'recurring1_based on steps'!X$1:X$400,0)),X$2,)</f>
        <v>0</v>
      </c>
      <c r="Y227" s="155">
        <f ca="1">IF(ISNUMBER(MATCH(DATEVALUE($A227),'recurring1_based on steps'!Y$1:Y$400,0)),Y$2,)</f>
        <v>0</v>
      </c>
      <c r="Z227" s="155">
        <f ca="1">IF(ISNUMBER(MATCH(DATEVALUE($A227),'recurring1_based on steps'!Z$1:Z$400,0)),Z$2,)</f>
        <v>0</v>
      </c>
      <c r="AA227" s="155">
        <f ca="1">IF(ISNUMBER(MATCH(DATEVALUE($A227),'recurring1_based on steps'!AA$1:AA$400,0)),AA$2,)</f>
        <v>0</v>
      </c>
      <c r="AB227" s="155">
        <f ca="1">IF(ISNUMBER(MATCH(DATEVALUE($A227),'recurring1_based on steps'!AB$1:AB$400,0)),AB$2,)</f>
        <v>0</v>
      </c>
      <c r="AC227" s="155">
        <f ca="1">IF(ISNUMBER(MATCH(DATEVALUE($A227),'recurring1_based on steps'!AC$1:AC$400,0)),AC$2,)</f>
        <v>0</v>
      </c>
      <c r="AD227" s="155">
        <f ca="1">IF(ISNUMBER(MATCH(DATEVALUE($A227),'recurring1_based on steps'!AD$1:AD$400,0)),AD$2,)</f>
        <v>0</v>
      </c>
      <c r="AE227" s="155">
        <f ca="1">IF(ISNUMBER(MATCH(DATEVALUE($A227),'recurring1_based on steps'!AE$1:AE$400,0)),AE$2,)</f>
        <v>0</v>
      </c>
      <c r="AF227" s="155">
        <f ca="1">IF(ISNUMBER(MATCH(DATEVALUE($A227),'recurring1_based on steps'!AF$1:AF$400,0)),AF$2,)</f>
        <v>0</v>
      </c>
      <c r="AG227" s="155">
        <f ca="1">IF(ISNUMBER(MATCH(DATEVALUE($A227),'recurring1_based on steps'!AG$1:AG$400,0)),AG$2,)</f>
        <v>0</v>
      </c>
      <c r="AH227" s="155">
        <f ca="1">IF(ISNUMBER(MATCH(DATEVALUE($A227),'recurring1_based on steps'!AH$1:AH$400,0)),AH$2,)</f>
        <v>0</v>
      </c>
      <c r="AI227" s="155">
        <f ca="1">IF(ISNUMBER(MATCH(DATEVALUE($A227),'recurring1_based on steps'!AI$1:AI$400,0)),AI$2,)</f>
        <v>0</v>
      </c>
      <c r="AJ227" s="155">
        <f ca="1">IF(ISNUMBER(MATCH(DATEVALUE($A227),'recurring1_based on steps'!AJ$1:AJ$400,0)),AJ$2,)</f>
        <v>0</v>
      </c>
      <c r="AK227" s="155">
        <f ca="1">IF(ISNUMBER(MATCH(DATEVALUE($A227),'recurring1_based on steps'!AK$1:AK$400,0)),AK$2,)</f>
        <v>0</v>
      </c>
      <c r="AL227" s="155">
        <f ca="1">IF(ISNUMBER(MATCH(DATEVALUE($A227),'recurring1_based on steps'!AL$1:AL$400,0)),AL$2,)</f>
        <v>0</v>
      </c>
      <c r="AM227" s="155">
        <f ca="1">IF(ISNUMBER(MATCH(DATEVALUE($A227),'recurring1_based on steps'!AM$1:AM$400,0)),AM$2,)</f>
        <v>0</v>
      </c>
      <c r="AN227" s="155">
        <f ca="1">IF(ISNUMBER(MATCH(DATEVALUE($A227),'recurring1_based on steps'!AN$1:AN$400,0)),AN$2,)</f>
        <v>0</v>
      </c>
      <c r="AO227" s="155">
        <f ca="1">IF(ISNUMBER(MATCH(DATEVALUE($A227),'recurring1_based on steps'!AO$1:AO$400,0)),AO$2,)</f>
        <v>0</v>
      </c>
      <c r="AP227" s="155">
        <f ca="1">IF(ISNUMBER(MATCH(DATEVALUE($A227),'recurring1_based on steps'!AP$1:AP$400,0)),AP$2,)</f>
        <v>0</v>
      </c>
      <c r="AQ227" s="155">
        <f ca="1">IF(ISNUMBER(MATCH(DATEVALUE($A227),'recurring1_based on steps'!AQ$1:AQ$400,0)),AQ$2,)</f>
        <v>0</v>
      </c>
      <c r="AR227" s="155">
        <f ca="1">IF(ISNUMBER(MATCH(DATEVALUE($A227),'recurring1_based on steps'!AR$1:AR$400,0)),AR$2,)</f>
        <v>0</v>
      </c>
      <c r="AS227" s="155">
        <f ca="1">IF(ISNUMBER(MATCH(DATEVALUE($A227),'recurring1_based on steps'!AS$1:AS$400,0)),AS$2,)</f>
        <v>0</v>
      </c>
      <c r="AT227" s="155">
        <f ca="1">IF(ISNUMBER(MATCH(DATEVALUE($A227),'recurring1_based on steps'!AT$1:AT$400,0)),AT$2,)</f>
        <v>0</v>
      </c>
      <c r="AU227" s="155">
        <f ca="1">IF(ISNUMBER(MATCH(DATEVALUE($A227),'recurring1_based on steps'!AU$1:AU$400,0)),AU$2,)</f>
        <v>0</v>
      </c>
      <c r="AV227" s="155">
        <f ca="1">IF(ISNUMBER(MATCH(DATEVALUE($A227),'recurring1_based on steps'!AV$1:AV$400,0)),AV$2,)</f>
        <v>0</v>
      </c>
      <c r="AW227" s="155">
        <f ca="1">IF(ISNUMBER(MATCH(DATEVALUE($A227),'recurring1_based on steps'!AW$1:AW$400,0)),AW$2,)</f>
        <v>0</v>
      </c>
      <c r="AX227" s="155">
        <f ca="1">IF(ISNUMBER(MATCH(DATEVALUE($A227),'recurring1_based on steps'!AX$1:AX$400,0)),AX$2,)</f>
        <v>0</v>
      </c>
      <c r="AY227" s="155">
        <f ca="1">IF(ISNUMBER(MATCH(DATEVALUE($A227),'recurring1_based on steps'!AY$1:AY$400,0)),AY$2,)</f>
        <v>0</v>
      </c>
    </row>
    <row r="228" spans="1:51" x14ac:dyDescent="0.2">
      <c r="A228" s="18" t="str">
        <f t="shared" ca="1" si="3"/>
        <v>2025-09-14</v>
      </c>
      <c r="B228" s="155">
        <f ca="1">IF(ISNUMBER(MATCH(DATEVALUE($A228),'recurring1_based on steps'!B$1:B$400,0)),B$2,)</f>
        <v>0</v>
      </c>
      <c r="C228" s="155">
        <f ca="1">IF(ISNUMBER(MATCH(DATEVALUE($A228),'recurring1_based on steps'!C$1:C$400,0)),C$2,)</f>
        <v>0</v>
      </c>
      <c r="D228" s="155">
        <f ca="1">IF(ISNUMBER(MATCH(DATEVALUE($A228),'recurring1_based on steps'!D$1:D$400,0)),D$2,)</f>
        <v>0</v>
      </c>
      <c r="E228" s="155">
        <f ca="1">IF(ISNUMBER(MATCH(DATEVALUE($A228),'recurring1_based on steps'!E$1:E$400,0)),E$2,)</f>
        <v>0</v>
      </c>
      <c r="F228" s="155">
        <f ca="1">IF(ISNUMBER(MATCH(DATEVALUE($A228),'recurring1_based on steps'!F$1:F$400,0)),F$2,)</f>
        <v>0</v>
      </c>
      <c r="G228" s="155">
        <f ca="1">IF(ISNUMBER(MATCH(DATEVALUE($A228),'recurring1_based on steps'!G$1:G$400,0)),G$2,)</f>
        <v>0</v>
      </c>
      <c r="H228" s="155">
        <f ca="1">IF(ISNUMBER(MATCH(DATEVALUE($A228),'recurring1_based on steps'!H$1:H$400,0)),H$2,)</f>
        <v>0</v>
      </c>
      <c r="I228" s="155">
        <f ca="1">IF(ISNUMBER(MATCH(DATEVALUE($A228),'recurring1_based on steps'!I$1:I$400,0)),I$2,)</f>
        <v>0</v>
      </c>
      <c r="J228" s="155">
        <f ca="1">IF(ISNUMBER(MATCH(DATEVALUE($A228),'recurring1_based on steps'!J$1:J$400,0)),J$2,)</f>
        <v>0</v>
      </c>
      <c r="K228" s="155">
        <f ca="1">IF(ISNUMBER(MATCH(DATEVALUE($A228),'recurring1_based on steps'!K$1:K$400,0)),K$2,)</f>
        <v>50</v>
      </c>
      <c r="L228" s="155">
        <f ca="1">IF(ISNUMBER(MATCH(DATEVALUE($A228),'recurring1_based on steps'!L$1:L$400,0)),L$2,)</f>
        <v>0</v>
      </c>
      <c r="M228" s="155">
        <f ca="1">IF(ISNUMBER(MATCH(DATEVALUE($A228),'recurring1_based on steps'!M$1:M$400,0)),M$2,)</f>
        <v>0</v>
      </c>
      <c r="N228" s="155">
        <f ca="1">IF(ISNUMBER(MATCH(DATEVALUE($A228),'recurring1_based on steps'!N$1:N$400,0)),N$2,)</f>
        <v>0</v>
      </c>
      <c r="O228" s="155">
        <f ca="1">IF(ISNUMBER(MATCH(DATEVALUE($A228),'recurring1_based on steps'!O$1:O$400,0)),O$2,)</f>
        <v>0</v>
      </c>
      <c r="P228" s="155">
        <f ca="1">IF(ISNUMBER(MATCH(DATEVALUE($A228),'recurring1_based on steps'!P$1:P$400,0)),P$2,)</f>
        <v>0</v>
      </c>
      <c r="Q228" s="155">
        <f ca="1">IF(ISNUMBER(MATCH(DATEVALUE($A228),'recurring1_based on steps'!Q$1:Q$400,0)),Q$2,)</f>
        <v>0</v>
      </c>
      <c r="R228" s="155">
        <f ca="1">IF(ISNUMBER(MATCH(DATEVALUE($A228),'recurring1_based on steps'!R$1:R$400,0)),R$2,)</f>
        <v>0</v>
      </c>
      <c r="S228" s="155">
        <f ca="1">IF(ISNUMBER(MATCH(DATEVALUE($A228),'recurring1_based on steps'!S$1:S$400,0)),S$2,)</f>
        <v>100</v>
      </c>
      <c r="T228" s="155">
        <f ca="1">IF(ISNUMBER(MATCH(DATEVALUE($A228),'recurring1_based on steps'!T$1:T$400,0)),T$2,)</f>
        <v>0</v>
      </c>
      <c r="U228" s="155">
        <f ca="1">IF(ISNUMBER(MATCH(DATEVALUE($A228),'recurring1_based on steps'!U$1:U$400,0)),U$2,)</f>
        <v>0</v>
      </c>
      <c r="V228" s="155">
        <f ca="1">IF(ISNUMBER(MATCH(DATEVALUE($A228),'recurring1_based on steps'!V$1:V$400,0)),V$2,)</f>
        <v>0</v>
      </c>
      <c r="W228" s="155">
        <f ca="1">IF(ISNUMBER(MATCH(DATEVALUE($A228),'recurring1_based on steps'!W$1:W$400,0)),W$2,)</f>
        <v>0</v>
      </c>
      <c r="X228" s="155">
        <f ca="1">IF(ISNUMBER(MATCH(DATEVALUE($A228),'recurring1_based on steps'!X$1:X$400,0)),X$2,)</f>
        <v>0</v>
      </c>
      <c r="Y228" s="155">
        <f ca="1">IF(ISNUMBER(MATCH(DATEVALUE($A228),'recurring1_based on steps'!Y$1:Y$400,0)),Y$2,)</f>
        <v>0</v>
      </c>
      <c r="Z228" s="155">
        <f ca="1">IF(ISNUMBER(MATCH(DATEVALUE($A228),'recurring1_based on steps'!Z$1:Z$400,0)),Z$2,)</f>
        <v>0</v>
      </c>
      <c r="AA228" s="155">
        <f ca="1">IF(ISNUMBER(MATCH(DATEVALUE($A228),'recurring1_based on steps'!AA$1:AA$400,0)),AA$2,)</f>
        <v>0</v>
      </c>
      <c r="AB228" s="155">
        <f ca="1">IF(ISNUMBER(MATCH(DATEVALUE($A228),'recurring1_based on steps'!AB$1:AB$400,0)),AB$2,)</f>
        <v>0</v>
      </c>
      <c r="AC228" s="155">
        <f ca="1">IF(ISNUMBER(MATCH(DATEVALUE($A228),'recurring1_based on steps'!AC$1:AC$400,0)),AC$2,)</f>
        <v>0</v>
      </c>
      <c r="AD228" s="155">
        <f ca="1">IF(ISNUMBER(MATCH(DATEVALUE($A228),'recurring1_based on steps'!AD$1:AD$400,0)),AD$2,)</f>
        <v>0</v>
      </c>
      <c r="AE228" s="155">
        <f ca="1">IF(ISNUMBER(MATCH(DATEVALUE($A228),'recurring1_based on steps'!AE$1:AE$400,0)),AE$2,)</f>
        <v>0</v>
      </c>
      <c r="AF228" s="155">
        <f ca="1">IF(ISNUMBER(MATCH(DATEVALUE($A228),'recurring1_based on steps'!AF$1:AF$400,0)),AF$2,)</f>
        <v>0</v>
      </c>
      <c r="AG228" s="155">
        <f ca="1">IF(ISNUMBER(MATCH(DATEVALUE($A228),'recurring1_based on steps'!AG$1:AG$400,0)),AG$2,)</f>
        <v>0</v>
      </c>
      <c r="AH228" s="155">
        <f ca="1">IF(ISNUMBER(MATCH(DATEVALUE($A228),'recurring1_based on steps'!AH$1:AH$400,0)),AH$2,)</f>
        <v>0</v>
      </c>
      <c r="AI228" s="155">
        <f ca="1">IF(ISNUMBER(MATCH(DATEVALUE($A228),'recurring1_based on steps'!AI$1:AI$400,0)),AI$2,)</f>
        <v>0</v>
      </c>
      <c r="AJ228" s="155">
        <f ca="1">IF(ISNUMBER(MATCH(DATEVALUE($A228),'recurring1_based on steps'!AJ$1:AJ$400,0)),AJ$2,)</f>
        <v>0</v>
      </c>
      <c r="AK228" s="155">
        <f ca="1">IF(ISNUMBER(MATCH(DATEVALUE($A228),'recurring1_based on steps'!AK$1:AK$400,0)),AK$2,)</f>
        <v>0</v>
      </c>
      <c r="AL228" s="155">
        <f ca="1">IF(ISNUMBER(MATCH(DATEVALUE($A228),'recurring1_based on steps'!AL$1:AL$400,0)),AL$2,)</f>
        <v>0</v>
      </c>
      <c r="AM228" s="155">
        <f ca="1">IF(ISNUMBER(MATCH(DATEVALUE($A228),'recurring1_based on steps'!AM$1:AM$400,0)),AM$2,)</f>
        <v>0</v>
      </c>
      <c r="AN228" s="155">
        <f ca="1">IF(ISNUMBER(MATCH(DATEVALUE($A228),'recurring1_based on steps'!AN$1:AN$400,0)),AN$2,)</f>
        <v>0</v>
      </c>
      <c r="AO228" s="155">
        <f ca="1">IF(ISNUMBER(MATCH(DATEVALUE($A228),'recurring1_based on steps'!AO$1:AO$400,0)),AO$2,)</f>
        <v>0</v>
      </c>
      <c r="AP228" s="155">
        <f ca="1">IF(ISNUMBER(MATCH(DATEVALUE($A228),'recurring1_based on steps'!AP$1:AP$400,0)),AP$2,)</f>
        <v>0</v>
      </c>
      <c r="AQ228" s="155">
        <f ca="1">IF(ISNUMBER(MATCH(DATEVALUE($A228),'recurring1_based on steps'!AQ$1:AQ$400,0)),AQ$2,)</f>
        <v>0</v>
      </c>
      <c r="AR228" s="155">
        <f ca="1">IF(ISNUMBER(MATCH(DATEVALUE($A228),'recurring1_based on steps'!AR$1:AR$400,0)),AR$2,)</f>
        <v>0</v>
      </c>
      <c r="AS228" s="155">
        <f ca="1">IF(ISNUMBER(MATCH(DATEVALUE($A228),'recurring1_based on steps'!AS$1:AS$400,0)),AS$2,)</f>
        <v>0</v>
      </c>
      <c r="AT228" s="155">
        <f ca="1">IF(ISNUMBER(MATCH(DATEVALUE($A228),'recurring1_based on steps'!AT$1:AT$400,0)),AT$2,)</f>
        <v>0</v>
      </c>
      <c r="AU228" s="155">
        <f ca="1">IF(ISNUMBER(MATCH(DATEVALUE($A228),'recurring1_based on steps'!AU$1:AU$400,0)),AU$2,)</f>
        <v>0</v>
      </c>
      <c r="AV228" s="155">
        <f ca="1">IF(ISNUMBER(MATCH(DATEVALUE($A228),'recurring1_based on steps'!AV$1:AV$400,0)),AV$2,)</f>
        <v>0</v>
      </c>
      <c r="AW228" s="155">
        <f ca="1">IF(ISNUMBER(MATCH(DATEVALUE($A228),'recurring1_based on steps'!AW$1:AW$400,0)),AW$2,)</f>
        <v>0</v>
      </c>
      <c r="AX228" s="155">
        <f ca="1">IF(ISNUMBER(MATCH(DATEVALUE($A228),'recurring1_based on steps'!AX$1:AX$400,0)),AX$2,)</f>
        <v>0</v>
      </c>
      <c r="AY228" s="155">
        <f ca="1">IF(ISNUMBER(MATCH(DATEVALUE($A228),'recurring1_based on steps'!AY$1:AY$400,0)),AY$2,)</f>
        <v>0</v>
      </c>
    </row>
    <row r="229" spans="1:51" x14ac:dyDescent="0.2">
      <c r="A229" s="18" t="str">
        <f t="shared" ca="1" si="3"/>
        <v>2025-09-15</v>
      </c>
      <c r="B229" s="155">
        <f ca="1">IF(ISNUMBER(MATCH(DATEVALUE($A229),'recurring1_based on steps'!B$1:B$400,0)),B$2,)</f>
        <v>0</v>
      </c>
      <c r="C229" s="155">
        <f ca="1">IF(ISNUMBER(MATCH(DATEVALUE($A229),'recurring1_based on steps'!C$1:C$400,0)),C$2,)</f>
        <v>0</v>
      </c>
      <c r="D229" s="155">
        <f ca="1">IF(ISNUMBER(MATCH(DATEVALUE($A229),'recurring1_based on steps'!D$1:D$400,0)),D$2,)</f>
        <v>0</v>
      </c>
      <c r="E229" s="155">
        <f ca="1">IF(ISNUMBER(MATCH(DATEVALUE($A229),'recurring1_based on steps'!E$1:E$400,0)),E$2,)</f>
        <v>0</v>
      </c>
      <c r="F229" s="155">
        <f ca="1">IF(ISNUMBER(MATCH(DATEVALUE($A229),'recurring1_based on steps'!F$1:F$400,0)),F$2,)</f>
        <v>0</v>
      </c>
      <c r="G229" s="155">
        <f ca="1">IF(ISNUMBER(MATCH(DATEVALUE($A229),'recurring1_based on steps'!G$1:G$400,0)),G$2,)</f>
        <v>0</v>
      </c>
      <c r="H229" s="155">
        <f ca="1">IF(ISNUMBER(MATCH(DATEVALUE($A229),'recurring1_based on steps'!H$1:H$400,0)),H$2,)</f>
        <v>0</v>
      </c>
      <c r="I229" s="155">
        <f ca="1">IF(ISNUMBER(MATCH(DATEVALUE($A229),'recurring1_based on steps'!I$1:I$400,0)),I$2,)</f>
        <v>0</v>
      </c>
      <c r="J229" s="155">
        <f ca="1">IF(ISNUMBER(MATCH(DATEVALUE($A229),'recurring1_based on steps'!J$1:J$400,0)),J$2,)</f>
        <v>0</v>
      </c>
      <c r="K229" s="155">
        <f ca="1">IF(ISNUMBER(MATCH(DATEVALUE($A229),'recurring1_based on steps'!K$1:K$400,0)),K$2,)</f>
        <v>0</v>
      </c>
      <c r="L229" s="155">
        <f ca="1">IF(ISNUMBER(MATCH(DATEVALUE($A229),'recurring1_based on steps'!L$1:L$400,0)),L$2,)</f>
        <v>0</v>
      </c>
      <c r="M229" s="155">
        <f ca="1">IF(ISNUMBER(MATCH(DATEVALUE($A229),'recurring1_based on steps'!M$1:M$400,0)),M$2,)</f>
        <v>0</v>
      </c>
      <c r="N229" s="155">
        <f ca="1">IF(ISNUMBER(MATCH(DATEVALUE($A229),'recurring1_based on steps'!N$1:N$400,0)),N$2,)</f>
        <v>0</v>
      </c>
      <c r="O229" s="155">
        <f ca="1">IF(ISNUMBER(MATCH(DATEVALUE($A229),'recurring1_based on steps'!O$1:O$400,0)),O$2,)</f>
        <v>0</v>
      </c>
      <c r="P229" s="155">
        <f ca="1">IF(ISNUMBER(MATCH(DATEVALUE($A229),'recurring1_based on steps'!P$1:P$400,0)),P$2,)</f>
        <v>0</v>
      </c>
      <c r="Q229" s="155">
        <f ca="1">IF(ISNUMBER(MATCH(DATEVALUE($A229),'recurring1_based on steps'!Q$1:Q$400,0)),Q$2,)</f>
        <v>0</v>
      </c>
      <c r="R229" s="155">
        <f ca="1">IF(ISNUMBER(MATCH(DATEVALUE($A229),'recurring1_based on steps'!R$1:R$400,0)),R$2,)</f>
        <v>0</v>
      </c>
      <c r="S229" s="155">
        <f ca="1">IF(ISNUMBER(MATCH(DATEVALUE($A229),'recurring1_based on steps'!S$1:S$400,0)),S$2,)</f>
        <v>0</v>
      </c>
      <c r="T229" s="155">
        <f ca="1">IF(ISNUMBER(MATCH(DATEVALUE($A229),'recurring1_based on steps'!T$1:T$400,0)),T$2,)</f>
        <v>0</v>
      </c>
      <c r="U229" s="155">
        <f ca="1">IF(ISNUMBER(MATCH(DATEVALUE($A229),'recurring1_based on steps'!U$1:U$400,0)),U$2,)</f>
        <v>0</v>
      </c>
      <c r="V229" s="155">
        <f ca="1">IF(ISNUMBER(MATCH(DATEVALUE($A229),'recurring1_based on steps'!V$1:V$400,0)),V$2,)</f>
        <v>0</v>
      </c>
      <c r="W229" s="155">
        <f ca="1">IF(ISNUMBER(MATCH(DATEVALUE($A229),'recurring1_based on steps'!W$1:W$400,0)),W$2,)</f>
        <v>0</v>
      </c>
      <c r="X229" s="155">
        <f ca="1">IF(ISNUMBER(MATCH(DATEVALUE($A229),'recurring1_based on steps'!X$1:X$400,0)),X$2,)</f>
        <v>0</v>
      </c>
      <c r="Y229" s="155">
        <f ca="1">IF(ISNUMBER(MATCH(DATEVALUE($A229),'recurring1_based on steps'!Y$1:Y$400,0)),Y$2,)</f>
        <v>0</v>
      </c>
      <c r="Z229" s="155">
        <f ca="1">IF(ISNUMBER(MATCH(DATEVALUE($A229),'recurring1_based on steps'!Z$1:Z$400,0)),Z$2,)</f>
        <v>0</v>
      </c>
      <c r="AA229" s="155">
        <f ca="1">IF(ISNUMBER(MATCH(DATEVALUE($A229),'recurring1_based on steps'!AA$1:AA$400,0)),AA$2,)</f>
        <v>0</v>
      </c>
      <c r="AB229" s="155">
        <f ca="1">IF(ISNUMBER(MATCH(DATEVALUE($A229),'recurring1_based on steps'!AB$1:AB$400,0)),AB$2,)</f>
        <v>0</v>
      </c>
      <c r="AC229" s="155">
        <f ca="1">IF(ISNUMBER(MATCH(DATEVALUE($A229),'recurring1_based on steps'!AC$1:AC$400,0)),AC$2,)</f>
        <v>0</v>
      </c>
      <c r="AD229" s="155">
        <f ca="1">IF(ISNUMBER(MATCH(DATEVALUE($A229),'recurring1_based on steps'!AD$1:AD$400,0)),AD$2,)</f>
        <v>0</v>
      </c>
      <c r="AE229" s="155">
        <f ca="1">IF(ISNUMBER(MATCH(DATEVALUE($A229),'recurring1_based on steps'!AE$1:AE$400,0)),AE$2,)</f>
        <v>0</v>
      </c>
      <c r="AF229" s="155">
        <f ca="1">IF(ISNUMBER(MATCH(DATEVALUE($A229),'recurring1_based on steps'!AF$1:AF$400,0)),AF$2,)</f>
        <v>0</v>
      </c>
      <c r="AG229" s="155">
        <f ca="1">IF(ISNUMBER(MATCH(DATEVALUE($A229),'recurring1_based on steps'!AG$1:AG$400,0)),AG$2,)</f>
        <v>0</v>
      </c>
      <c r="AH229" s="155">
        <f ca="1">IF(ISNUMBER(MATCH(DATEVALUE($A229),'recurring1_based on steps'!AH$1:AH$400,0)),AH$2,)</f>
        <v>0</v>
      </c>
      <c r="AI229" s="155">
        <f ca="1">IF(ISNUMBER(MATCH(DATEVALUE($A229),'recurring1_based on steps'!AI$1:AI$400,0)),AI$2,)</f>
        <v>0</v>
      </c>
      <c r="AJ229" s="155">
        <f ca="1">IF(ISNUMBER(MATCH(DATEVALUE($A229),'recurring1_based on steps'!AJ$1:AJ$400,0)),AJ$2,)</f>
        <v>0</v>
      </c>
      <c r="AK229" s="155">
        <f ca="1">IF(ISNUMBER(MATCH(DATEVALUE($A229),'recurring1_based on steps'!AK$1:AK$400,0)),AK$2,)</f>
        <v>0</v>
      </c>
      <c r="AL229" s="155">
        <f ca="1">IF(ISNUMBER(MATCH(DATEVALUE($A229),'recurring1_based on steps'!AL$1:AL$400,0)),AL$2,)</f>
        <v>0</v>
      </c>
      <c r="AM229" s="155">
        <f ca="1">IF(ISNUMBER(MATCH(DATEVALUE($A229),'recurring1_based on steps'!AM$1:AM$400,0)),AM$2,)</f>
        <v>0</v>
      </c>
      <c r="AN229" s="155">
        <f ca="1">IF(ISNUMBER(MATCH(DATEVALUE($A229),'recurring1_based on steps'!AN$1:AN$400,0)),AN$2,)</f>
        <v>0</v>
      </c>
      <c r="AO229" s="155">
        <f ca="1">IF(ISNUMBER(MATCH(DATEVALUE($A229),'recurring1_based on steps'!AO$1:AO$400,0)),AO$2,)</f>
        <v>0</v>
      </c>
      <c r="AP229" s="155">
        <f ca="1">IF(ISNUMBER(MATCH(DATEVALUE($A229),'recurring1_based on steps'!AP$1:AP$400,0)),AP$2,)</f>
        <v>0</v>
      </c>
      <c r="AQ229" s="155">
        <f ca="1">IF(ISNUMBER(MATCH(DATEVALUE($A229),'recurring1_based on steps'!AQ$1:AQ$400,0)),AQ$2,)</f>
        <v>0</v>
      </c>
      <c r="AR229" s="155">
        <f ca="1">IF(ISNUMBER(MATCH(DATEVALUE($A229),'recurring1_based on steps'!AR$1:AR$400,0)),AR$2,)</f>
        <v>0</v>
      </c>
      <c r="AS229" s="155">
        <f ca="1">IF(ISNUMBER(MATCH(DATEVALUE($A229),'recurring1_based on steps'!AS$1:AS$400,0)),AS$2,)</f>
        <v>0</v>
      </c>
      <c r="AT229" s="155">
        <f ca="1">IF(ISNUMBER(MATCH(DATEVALUE($A229),'recurring1_based on steps'!AT$1:AT$400,0)),AT$2,)</f>
        <v>0</v>
      </c>
      <c r="AU229" s="155">
        <f ca="1">IF(ISNUMBER(MATCH(DATEVALUE($A229),'recurring1_based on steps'!AU$1:AU$400,0)),AU$2,)</f>
        <v>0</v>
      </c>
      <c r="AV229" s="155">
        <f ca="1">IF(ISNUMBER(MATCH(DATEVALUE($A229),'recurring1_based on steps'!AV$1:AV$400,0)),AV$2,)</f>
        <v>0</v>
      </c>
      <c r="AW229" s="155">
        <f ca="1">IF(ISNUMBER(MATCH(DATEVALUE($A229),'recurring1_based on steps'!AW$1:AW$400,0)),AW$2,)</f>
        <v>0</v>
      </c>
      <c r="AX229" s="155">
        <f ca="1">IF(ISNUMBER(MATCH(DATEVALUE($A229),'recurring1_based on steps'!AX$1:AX$400,0)),AX$2,)</f>
        <v>0</v>
      </c>
      <c r="AY229" s="155">
        <f ca="1">IF(ISNUMBER(MATCH(DATEVALUE($A229),'recurring1_based on steps'!AY$1:AY$400,0)),AY$2,)</f>
        <v>0</v>
      </c>
    </row>
    <row r="230" spans="1:51" x14ac:dyDescent="0.2">
      <c r="A230" s="18" t="str">
        <f t="shared" ca="1" si="3"/>
        <v>2025-09-16</v>
      </c>
      <c r="B230" s="155">
        <f ca="1">IF(ISNUMBER(MATCH(DATEVALUE($A230),'recurring1_based on steps'!B$1:B$400,0)),B$2,)</f>
        <v>0</v>
      </c>
      <c r="C230" s="155">
        <f ca="1">IF(ISNUMBER(MATCH(DATEVALUE($A230),'recurring1_based on steps'!C$1:C$400,0)),C$2,)</f>
        <v>0</v>
      </c>
      <c r="D230" s="155">
        <f ca="1">IF(ISNUMBER(MATCH(DATEVALUE($A230),'recurring1_based on steps'!D$1:D$400,0)),D$2,)</f>
        <v>0</v>
      </c>
      <c r="E230" s="155">
        <f ca="1">IF(ISNUMBER(MATCH(DATEVALUE($A230),'recurring1_based on steps'!E$1:E$400,0)),E$2,)</f>
        <v>0</v>
      </c>
      <c r="F230" s="155">
        <f ca="1">IF(ISNUMBER(MATCH(DATEVALUE($A230),'recurring1_based on steps'!F$1:F$400,0)),F$2,)</f>
        <v>0</v>
      </c>
      <c r="G230" s="155">
        <f ca="1">IF(ISNUMBER(MATCH(DATEVALUE($A230),'recurring1_based on steps'!G$1:G$400,0)),G$2,)</f>
        <v>0</v>
      </c>
      <c r="H230" s="155">
        <f ca="1">IF(ISNUMBER(MATCH(DATEVALUE($A230),'recurring1_based on steps'!H$1:H$400,0)),H$2,)</f>
        <v>0</v>
      </c>
      <c r="I230" s="155">
        <f ca="1">IF(ISNUMBER(MATCH(DATEVALUE($A230),'recurring1_based on steps'!I$1:I$400,0)),I$2,)</f>
        <v>0</v>
      </c>
      <c r="J230" s="155">
        <f ca="1">IF(ISNUMBER(MATCH(DATEVALUE($A230),'recurring1_based on steps'!J$1:J$400,0)),J$2,)</f>
        <v>0</v>
      </c>
      <c r="K230" s="155">
        <f ca="1">IF(ISNUMBER(MATCH(DATEVALUE($A230),'recurring1_based on steps'!K$1:K$400,0)),K$2,)</f>
        <v>0</v>
      </c>
      <c r="L230" s="155">
        <f ca="1">IF(ISNUMBER(MATCH(DATEVALUE($A230),'recurring1_based on steps'!L$1:L$400,0)),L$2,)</f>
        <v>0</v>
      </c>
      <c r="M230" s="155">
        <f ca="1">IF(ISNUMBER(MATCH(DATEVALUE($A230),'recurring1_based on steps'!M$1:M$400,0)),M$2,)</f>
        <v>0</v>
      </c>
      <c r="N230" s="155">
        <f ca="1">IF(ISNUMBER(MATCH(DATEVALUE($A230),'recurring1_based on steps'!N$1:N$400,0)),N$2,)</f>
        <v>0</v>
      </c>
      <c r="O230" s="155">
        <f ca="1">IF(ISNUMBER(MATCH(DATEVALUE($A230),'recurring1_based on steps'!O$1:O$400,0)),O$2,)</f>
        <v>0</v>
      </c>
      <c r="P230" s="155">
        <f ca="1">IF(ISNUMBER(MATCH(DATEVALUE($A230),'recurring1_based on steps'!P$1:P$400,0)),P$2,)</f>
        <v>0</v>
      </c>
      <c r="Q230" s="155">
        <f ca="1">IF(ISNUMBER(MATCH(DATEVALUE($A230),'recurring1_based on steps'!Q$1:Q$400,0)),Q$2,)</f>
        <v>0</v>
      </c>
      <c r="R230" s="155">
        <f ca="1">IF(ISNUMBER(MATCH(DATEVALUE($A230),'recurring1_based on steps'!R$1:R$400,0)),R$2,)</f>
        <v>0</v>
      </c>
      <c r="S230" s="155">
        <f ca="1">IF(ISNUMBER(MATCH(DATEVALUE($A230),'recurring1_based on steps'!S$1:S$400,0)),S$2,)</f>
        <v>0</v>
      </c>
      <c r="T230" s="155">
        <f ca="1">IF(ISNUMBER(MATCH(DATEVALUE($A230),'recurring1_based on steps'!T$1:T$400,0)),T$2,)</f>
        <v>0</v>
      </c>
      <c r="U230" s="155">
        <f ca="1">IF(ISNUMBER(MATCH(DATEVALUE($A230),'recurring1_based on steps'!U$1:U$400,0)),U$2,)</f>
        <v>0</v>
      </c>
      <c r="V230" s="155">
        <f ca="1">IF(ISNUMBER(MATCH(DATEVALUE($A230),'recurring1_based on steps'!V$1:V$400,0)),V$2,)</f>
        <v>0</v>
      </c>
      <c r="W230" s="155">
        <f ca="1">IF(ISNUMBER(MATCH(DATEVALUE($A230),'recurring1_based on steps'!W$1:W$400,0)),W$2,)</f>
        <v>0</v>
      </c>
      <c r="X230" s="155">
        <f ca="1">IF(ISNUMBER(MATCH(DATEVALUE($A230),'recurring1_based on steps'!X$1:X$400,0)),X$2,)</f>
        <v>0</v>
      </c>
      <c r="Y230" s="155">
        <f ca="1">IF(ISNUMBER(MATCH(DATEVALUE($A230),'recurring1_based on steps'!Y$1:Y$400,0)),Y$2,)</f>
        <v>0</v>
      </c>
      <c r="Z230" s="155">
        <f ca="1">IF(ISNUMBER(MATCH(DATEVALUE($A230),'recurring1_based on steps'!Z$1:Z$400,0)),Z$2,)</f>
        <v>0</v>
      </c>
      <c r="AA230" s="155">
        <f ca="1">IF(ISNUMBER(MATCH(DATEVALUE($A230),'recurring1_based on steps'!AA$1:AA$400,0)),AA$2,)</f>
        <v>0</v>
      </c>
      <c r="AB230" s="155">
        <f ca="1">IF(ISNUMBER(MATCH(DATEVALUE($A230),'recurring1_based on steps'!AB$1:AB$400,0)),AB$2,)</f>
        <v>0</v>
      </c>
      <c r="AC230" s="155">
        <f ca="1">IF(ISNUMBER(MATCH(DATEVALUE($A230),'recurring1_based on steps'!AC$1:AC$400,0)),AC$2,)</f>
        <v>0</v>
      </c>
      <c r="AD230" s="155">
        <f ca="1">IF(ISNUMBER(MATCH(DATEVALUE($A230),'recurring1_based on steps'!AD$1:AD$400,0)),AD$2,)</f>
        <v>0</v>
      </c>
      <c r="AE230" s="155">
        <f ca="1">IF(ISNUMBER(MATCH(DATEVALUE($A230),'recurring1_based on steps'!AE$1:AE$400,0)),AE$2,)</f>
        <v>0</v>
      </c>
      <c r="AF230" s="155">
        <f ca="1">IF(ISNUMBER(MATCH(DATEVALUE($A230),'recurring1_based on steps'!AF$1:AF$400,0)),AF$2,)</f>
        <v>0</v>
      </c>
      <c r="AG230" s="155">
        <f ca="1">IF(ISNUMBER(MATCH(DATEVALUE($A230),'recurring1_based on steps'!AG$1:AG$400,0)),AG$2,)</f>
        <v>0</v>
      </c>
      <c r="AH230" s="155">
        <f ca="1">IF(ISNUMBER(MATCH(DATEVALUE($A230),'recurring1_based on steps'!AH$1:AH$400,0)),AH$2,)</f>
        <v>0</v>
      </c>
      <c r="AI230" s="155">
        <f ca="1">IF(ISNUMBER(MATCH(DATEVALUE($A230),'recurring1_based on steps'!AI$1:AI$400,0)),AI$2,)</f>
        <v>0</v>
      </c>
      <c r="AJ230" s="155">
        <f ca="1">IF(ISNUMBER(MATCH(DATEVALUE($A230),'recurring1_based on steps'!AJ$1:AJ$400,0)),AJ$2,)</f>
        <v>0</v>
      </c>
      <c r="AK230" s="155">
        <f ca="1">IF(ISNUMBER(MATCH(DATEVALUE($A230),'recurring1_based on steps'!AK$1:AK$400,0)),AK$2,)</f>
        <v>0</v>
      </c>
      <c r="AL230" s="155">
        <f ca="1">IF(ISNUMBER(MATCH(DATEVALUE($A230),'recurring1_based on steps'!AL$1:AL$400,0)),AL$2,)</f>
        <v>0</v>
      </c>
      <c r="AM230" s="155">
        <f ca="1">IF(ISNUMBER(MATCH(DATEVALUE($A230),'recurring1_based on steps'!AM$1:AM$400,0)),AM$2,)</f>
        <v>0</v>
      </c>
      <c r="AN230" s="155">
        <f ca="1">IF(ISNUMBER(MATCH(DATEVALUE($A230),'recurring1_based on steps'!AN$1:AN$400,0)),AN$2,)</f>
        <v>0</v>
      </c>
      <c r="AO230" s="155">
        <f ca="1">IF(ISNUMBER(MATCH(DATEVALUE($A230),'recurring1_based on steps'!AO$1:AO$400,0)),AO$2,)</f>
        <v>0</v>
      </c>
      <c r="AP230" s="155">
        <f ca="1">IF(ISNUMBER(MATCH(DATEVALUE($A230),'recurring1_based on steps'!AP$1:AP$400,0)),AP$2,)</f>
        <v>0</v>
      </c>
      <c r="AQ230" s="155">
        <f ca="1">IF(ISNUMBER(MATCH(DATEVALUE($A230),'recurring1_based on steps'!AQ$1:AQ$400,0)),AQ$2,)</f>
        <v>0</v>
      </c>
      <c r="AR230" s="155">
        <f ca="1">IF(ISNUMBER(MATCH(DATEVALUE($A230),'recurring1_based on steps'!AR$1:AR$400,0)),AR$2,)</f>
        <v>0</v>
      </c>
      <c r="AS230" s="155">
        <f ca="1">IF(ISNUMBER(MATCH(DATEVALUE($A230),'recurring1_based on steps'!AS$1:AS$400,0)),AS$2,)</f>
        <v>0</v>
      </c>
      <c r="AT230" s="155">
        <f ca="1">IF(ISNUMBER(MATCH(DATEVALUE($A230),'recurring1_based on steps'!AT$1:AT$400,0)),AT$2,)</f>
        <v>0</v>
      </c>
      <c r="AU230" s="155">
        <f ca="1">IF(ISNUMBER(MATCH(DATEVALUE($A230),'recurring1_based on steps'!AU$1:AU$400,0)),AU$2,)</f>
        <v>0</v>
      </c>
      <c r="AV230" s="155">
        <f ca="1">IF(ISNUMBER(MATCH(DATEVALUE($A230),'recurring1_based on steps'!AV$1:AV$400,0)),AV$2,)</f>
        <v>0</v>
      </c>
      <c r="AW230" s="155">
        <f ca="1">IF(ISNUMBER(MATCH(DATEVALUE($A230),'recurring1_based on steps'!AW$1:AW$400,0)),AW$2,)</f>
        <v>0</v>
      </c>
      <c r="AX230" s="155">
        <f ca="1">IF(ISNUMBER(MATCH(DATEVALUE($A230),'recurring1_based on steps'!AX$1:AX$400,0)),AX$2,)</f>
        <v>0</v>
      </c>
      <c r="AY230" s="155">
        <f ca="1">IF(ISNUMBER(MATCH(DATEVALUE($A230),'recurring1_based on steps'!AY$1:AY$400,0)),AY$2,)</f>
        <v>0</v>
      </c>
    </row>
    <row r="231" spans="1:51" x14ac:dyDescent="0.2">
      <c r="A231" s="18" t="str">
        <f t="shared" ca="1" si="3"/>
        <v>2025-09-17</v>
      </c>
      <c r="B231" s="155">
        <f ca="1">IF(ISNUMBER(MATCH(DATEVALUE($A231),'recurring1_based on steps'!B$1:B$400,0)),B$2,)</f>
        <v>0</v>
      </c>
      <c r="C231" s="155">
        <f ca="1">IF(ISNUMBER(MATCH(DATEVALUE($A231),'recurring1_based on steps'!C$1:C$400,0)),C$2,)</f>
        <v>0</v>
      </c>
      <c r="D231" s="155">
        <f ca="1">IF(ISNUMBER(MATCH(DATEVALUE($A231),'recurring1_based on steps'!D$1:D$400,0)),D$2,)</f>
        <v>0</v>
      </c>
      <c r="E231" s="155">
        <f ca="1">IF(ISNUMBER(MATCH(DATEVALUE($A231),'recurring1_based on steps'!E$1:E$400,0)),E$2,)</f>
        <v>0</v>
      </c>
      <c r="F231" s="155">
        <f ca="1">IF(ISNUMBER(MATCH(DATEVALUE($A231),'recurring1_based on steps'!F$1:F$400,0)),F$2,)</f>
        <v>0</v>
      </c>
      <c r="G231" s="155">
        <f ca="1">IF(ISNUMBER(MATCH(DATEVALUE($A231),'recurring1_based on steps'!G$1:G$400,0)),G$2,)</f>
        <v>0</v>
      </c>
      <c r="H231" s="155">
        <f ca="1">IF(ISNUMBER(MATCH(DATEVALUE($A231),'recurring1_based on steps'!H$1:H$400,0)),H$2,)</f>
        <v>0</v>
      </c>
      <c r="I231" s="155">
        <f ca="1">IF(ISNUMBER(MATCH(DATEVALUE($A231),'recurring1_based on steps'!I$1:I$400,0)),I$2,)</f>
        <v>0</v>
      </c>
      <c r="J231" s="155">
        <f ca="1">IF(ISNUMBER(MATCH(DATEVALUE($A231),'recurring1_based on steps'!J$1:J$400,0)),J$2,)</f>
        <v>0</v>
      </c>
      <c r="K231" s="155">
        <f ca="1">IF(ISNUMBER(MATCH(DATEVALUE($A231),'recurring1_based on steps'!K$1:K$400,0)),K$2,)</f>
        <v>0</v>
      </c>
      <c r="L231" s="155">
        <f ca="1">IF(ISNUMBER(MATCH(DATEVALUE($A231),'recurring1_based on steps'!L$1:L$400,0)),L$2,)</f>
        <v>0</v>
      </c>
      <c r="M231" s="155">
        <f ca="1">IF(ISNUMBER(MATCH(DATEVALUE($A231),'recurring1_based on steps'!M$1:M$400,0)),M$2,)</f>
        <v>0</v>
      </c>
      <c r="N231" s="155">
        <f ca="1">IF(ISNUMBER(MATCH(DATEVALUE($A231),'recurring1_based on steps'!N$1:N$400,0)),N$2,)</f>
        <v>15.49</v>
      </c>
      <c r="O231" s="155">
        <f ca="1">IF(ISNUMBER(MATCH(DATEVALUE($A231),'recurring1_based on steps'!O$1:O$400,0)),O$2,)</f>
        <v>0</v>
      </c>
      <c r="P231" s="155">
        <f ca="1">IF(ISNUMBER(MATCH(DATEVALUE($A231),'recurring1_based on steps'!P$1:P$400,0)),P$2,)</f>
        <v>0</v>
      </c>
      <c r="Q231" s="155">
        <f ca="1">IF(ISNUMBER(MATCH(DATEVALUE($A231),'recurring1_based on steps'!Q$1:Q$400,0)),Q$2,)</f>
        <v>0</v>
      </c>
      <c r="R231" s="155">
        <f ca="1">IF(ISNUMBER(MATCH(DATEVALUE($A231),'recurring1_based on steps'!R$1:R$400,0)),R$2,)</f>
        <v>0</v>
      </c>
      <c r="S231" s="155">
        <f ca="1">IF(ISNUMBER(MATCH(DATEVALUE($A231),'recurring1_based on steps'!S$1:S$400,0)),S$2,)</f>
        <v>0</v>
      </c>
      <c r="T231" s="155">
        <f ca="1">IF(ISNUMBER(MATCH(DATEVALUE($A231),'recurring1_based on steps'!T$1:T$400,0)),T$2,)</f>
        <v>0</v>
      </c>
      <c r="U231" s="155">
        <f ca="1">IF(ISNUMBER(MATCH(DATEVALUE($A231),'recurring1_based on steps'!U$1:U$400,0)),U$2,)</f>
        <v>0</v>
      </c>
      <c r="V231" s="155">
        <f ca="1">IF(ISNUMBER(MATCH(DATEVALUE($A231),'recurring1_based on steps'!V$1:V$400,0)),V$2,)</f>
        <v>200</v>
      </c>
      <c r="W231" s="155">
        <f ca="1">IF(ISNUMBER(MATCH(DATEVALUE($A231),'recurring1_based on steps'!W$1:W$400,0)),W$2,)</f>
        <v>0</v>
      </c>
      <c r="X231" s="155">
        <f ca="1">IF(ISNUMBER(MATCH(DATEVALUE($A231),'recurring1_based on steps'!X$1:X$400,0)),X$2,)</f>
        <v>0</v>
      </c>
      <c r="Y231" s="155">
        <f ca="1">IF(ISNUMBER(MATCH(DATEVALUE($A231),'recurring1_based on steps'!Y$1:Y$400,0)),Y$2,)</f>
        <v>0</v>
      </c>
      <c r="Z231" s="155">
        <f ca="1">IF(ISNUMBER(MATCH(DATEVALUE($A231),'recurring1_based on steps'!Z$1:Z$400,0)),Z$2,)</f>
        <v>0</v>
      </c>
      <c r="AA231" s="155">
        <f ca="1">IF(ISNUMBER(MATCH(DATEVALUE($A231),'recurring1_based on steps'!AA$1:AA$400,0)),AA$2,)</f>
        <v>0</v>
      </c>
      <c r="AB231" s="155">
        <f ca="1">IF(ISNUMBER(MATCH(DATEVALUE($A231),'recurring1_based on steps'!AB$1:AB$400,0)),AB$2,)</f>
        <v>0</v>
      </c>
      <c r="AC231" s="155">
        <f ca="1">IF(ISNUMBER(MATCH(DATEVALUE($A231),'recurring1_based on steps'!AC$1:AC$400,0)),AC$2,)</f>
        <v>0</v>
      </c>
      <c r="AD231" s="155">
        <f ca="1">IF(ISNUMBER(MATCH(DATEVALUE($A231),'recurring1_based on steps'!AD$1:AD$400,0)),AD$2,)</f>
        <v>0</v>
      </c>
      <c r="AE231" s="155">
        <f ca="1">IF(ISNUMBER(MATCH(DATEVALUE($A231),'recurring1_based on steps'!AE$1:AE$400,0)),AE$2,)</f>
        <v>0</v>
      </c>
      <c r="AF231" s="155">
        <f ca="1">IF(ISNUMBER(MATCH(DATEVALUE($A231),'recurring1_based on steps'!AF$1:AF$400,0)),AF$2,)</f>
        <v>0</v>
      </c>
      <c r="AG231" s="155">
        <f ca="1">IF(ISNUMBER(MATCH(DATEVALUE($A231),'recurring1_based on steps'!AG$1:AG$400,0)),AG$2,)</f>
        <v>0</v>
      </c>
      <c r="AH231" s="155">
        <f ca="1">IF(ISNUMBER(MATCH(DATEVALUE($A231),'recurring1_based on steps'!AH$1:AH$400,0)),AH$2,)</f>
        <v>0</v>
      </c>
      <c r="AI231" s="155">
        <f ca="1">IF(ISNUMBER(MATCH(DATEVALUE($A231),'recurring1_based on steps'!AI$1:AI$400,0)),AI$2,)</f>
        <v>0</v>
      </c>
      <c r="AJ231" s="155">
        <f ca="1">IF(ISNUMBER(MATCH(DATEVALUE($A231),'recurring1_based on steps'!AJ$1:AJ$400,0)),AJ$2,)</f>
        <v>0</v>
      </c>
      <c r="AK231" s="155">
        <f ca="1">IF(ISNUMBER(MATCH(DATEVALUE($A231),'recurring1_based on steps'!AK$1:AK$400,0)),AK$2,)</f>
        <v>0</v>
      </c>
      <c r="AL231" s="155">
        <f ca="1">IF(ISNUMBER(MATCH(DATEVALUE($A231),'recurring1_based on steps'!AL$1:AL$400,0)),AL$2,)</f>
        <v>0</v>
      </c>
      <c r="AM231" s="155">
        <f ca="1">IF(ISNUMBER(MATCH(DATEVALUE($A231),'recurring1_based on steps'!AM$1:AM$400,0)),AM$2,)</f>
        <v>0</v>
      </c>
      <c r="AN231" s="155">
        <f ca="1">IF(ISNUMBER(MATCH(DATEVALUE($A231),'recurring1_based on steps'!AN$1:AN$400,0)),AN$2,)</f>
        <v>0</v>
      </c>
      <c r="AO231" s="155">
        <f ca="1">IF(ISNUMBER(MATCH(DATEVALUE($A231),'recurring1_based on steps'!AO$1:AO$400,0)),AO$2,)</f>
        <v>0</v>
      </c>
      <c r="AP231" s="155">
        <f ca="1">IF(ISNUMBER(MATCH(DATEVALUE($A231),'recurring1_based on steps'!AP$1:AP$400,0)),AP$2,)</f>
        <v>0</v>
      </c>
      <c r="AQ231" s="155">
        <f ca="1">IF(ISNUMBER(MATCH(DATEVALUE($A231),'recurring1_based on steps'!AQ$1:AQ$400,0)),AQ$2,)</f>
        <v>0</v>
      </c>
      <c r="AR231" s="155">
        <f ca="1">IF(ISNUMBER(MATCH(DATEVALUE($A231),'recurring1_based on steps'!AR$1:AR$400,0)),AR$2,)</f>
        <v>0</v>
      </c>
      <c r="AS231" s="155">
        <f ca="1">IF(ISNUMBER(MATCH(DATEVALUE($A231),'recurring1_based on steps'!AS$1:AS$400,0)),AS$2,)</f>
        <v>0</v>
      </c>
      <c r="AT231" s="155">
        <f ca="1">IF(ISNUMBER(MATCH(DATEVALUE($A231),'recurring1_based on steps'!AT$1:AT$400,0)),AT$2,)</f>
        <v>0</v>
      </c>
      <c r="AU231" s="155">
        <f ca="1">IF(ISNUMBER(MATCH(DATEVALUE($A231),'recurring1_based on steps'!AU$1:AU$400,0)),AU$2,)</f>
        <v>0</v>
      </c>
      <c r="AV231" s="155">
        <f ca="1">IF(ISNUMBER(MATCH(DATEVALUE($A231),'recurring1_based on steps'!AV$1:AV$400,0)),AV$2,)</f>
        <v>0</v>
      </c>
      <c r="AW231" s="155">
        <f ca="1">IF(ISNUMBER(MATCH(DATEVALUE($A231),'recurring1_based on steps'!AW$1:AW$400,0)),AW$2,)</f>
        <v>0</v>
      </c>
      <c r="AX231" s="155">
        <f ca="1">IF(ISNUMBER(MATCH(DATEVALUE($A231),'recurring1_based on steps'!AX$1:AX$400,0)),AX$2,)</f>
        <v>0</v>
      </c>
      <c r="AY231" s="155">
        <f ca="1">IF(ISNUMBER(MATCH(DATEVALUE($A231),'recurring1_based on steps'!AY$1:AY$400,0)),AY$2,)</f>
        <v>0</v>
      </c>
    </row>
    <row r="232" spans="1:51" x14ac:dyDescent="0.2">
      <c r="A232" s="18" t="str">
        <f t="shared" ca="1" si="3"/>
        <v>2025-09-18</v>
      </c>
      <c r="B232" s="155">
        <f ca="1">IF(ISNUMBER(MATCH(DATEVALUE($A232),'recurring1_based on steps'!B$1:B$400,0)),B$2,)</f>
        <v>0</v>
      </c>
      <c r="C232" s="155">
        <f ca="1">IF(ISNUMBER(MATCH(DATEVALUE($A232),'recurring1_based on steps'!C$1:C$400,0)),C$2,)</f>
        <v>0</v>
      </c>
      <c r="D232" s="155">
        <f ca="1">IF(ISNUMBER(MATCH(DATEVALUE($A232),'recurring1_based on steps'!D$1:D$400,0)),D$2,)</f>
        <v>0</v>
      </c>
      <c r="E232" s="155">
        <f ca="1">IF(ISNUMBER(MATCH(DATEVALUE($A232),'recurring1_based on steps'!E$1:E$400,0)),E$2,)</f>
        <v>0</v>
      </c>
      <c r="F232" s="155">
        <f ca="1">IF(ISNUMBER(MATCH(DATEVALUE($A232),'recurring1_based on steps'!F$1:F$400,0)),F$2,)</f>
        <v>0</v>
      </c>
      <c r="G232" s="155">
        <f ca="1">IF(ISNUMBER(MATCH(DATEVALUE($A232),'recurring1_based on steps'!G$1:G$400,0)),G$2,)</f>
        <v>0</v>
      </c>
      <c r="H232" s="155">
        <f ca="1">IF(ISNUMBER(MATCH(DATEVALUE($A232),'recurring1_based on steps'!H$1:H$400,0)),H$2,)</f>
        <v>0</v>
      </c>
      <c r="I232" s="155">
        <f ca="1">IF(ISNUMBER(MATCH(DATEVALUE($A232),'recurring1_based on steps'!I$1:I$400,0)),I$2,)</f>
        <v>0</v>
      </c>
      <c r="J232" s="155">
        <f ca="1">IF(ISNUMBER(MATCH(DATEVALUE($A232),'recurring1_based on steps'!J$1:J$400,0)),J$2,)</f>
        <v>0</v>
      </c>
      <c r="K232" s="155">
        <f ca="1">IF(ISNUMBER(MATCH(DATEVALUE($A232),'recurring1_based on steps'!K$1:K$400,0)),K$2,)</f>
        <v>0</v>
      </c>
      <c r="L232" s="155">
        <f ca="1">IF(ISNUMBER(MATCH(DATEVALUE($A232),'recurring1_based on steps'!L$1:L$400,0)),L$2,)</f>
        <v>0</v>
      </c>
      <c r="M232" s="155">
        <f ca="1">IF(ISNUMBER(MATCH(DATEVALUE($A232),'recurring1_based on steps'!M$1:M$400,0)),M$2,)</f>
        <v>0</v>
      </c>
      <c r="N232" s="155">
        <f ca="1">IF(ISNUMBER(MATCH(DATEVALUE($A232),'recurring1_based on steps'!N$1:N$400,0)),N$2,)</f>
        <v>0</v>
      </c>
      <c r="O232" s="155">
        <f ca="1">IF(ISNUMBER(MATCH(DATEVALUE($A232),'recurring1_based on steps'!O$1:O$400,0)),O$2,)</f>
        <v>10.99</v>
      </c>
      <c r="P232" s="155">
        <f ca="1">IF(ISNUMBER(MATCH(DATEVALUE($A232),'recurring1_based on steps'!P$1:P$400,0)),P$2,)</f>
        <v>0</v>
      </c>
      <c r="Q232" s="155">
        <f ca="1">IF(ISNUMBER(MATCH(DATEVALUE($A232),'recurring1_based on steps'!Q$1:Q$400,0)),Q$2,)</f>
        <v>0</v>
      </c>
      <c r="R232" s="155">
        <f ca="1">IF(ISNUMBER(MATCH(DATEVALUE($A232),'recurring1_based on steps'!R$1:R$400,0)),R$2,)</f>
        <v>0</v>
      </c>
      <c r="S232" s="155">
        <f ca="1">IF(ISNUMBER(MATCH(DATEVALUE($A232),'recurring1_based on steps'!S$1:S$400,0)),S$2,)</f>
        <v>0</v>
      </c>
      <c r="T232" s="155">
        <f ca="1">IF(ISNUMBER(MATCH(DATEVALUE($A232),'recurring1_based on steps'!T$1:T$400,0)),T$2,)</f>
        <v>0</v>
      </c>
      <c r="U232" s="155">
        <f ca="1">IF(ISNUMBER(MATCH(DATEVALUE($A232),'recurring1_based on steps'!U$1:U$400,0)),U$2,)</f>
        <v>0</v>
      </c>
      <c r="V232" s="155">
        <f ca="1">IF(ISNUMBER(MATCH(DATEVALUE($A232),'recurring1_based on steps'!V$1:V$400,0)),V$2,)</f>
        <v>0</v>
      </c>
      <c r="W232" s="155">
        <f ca="1">IF(ISNUMBER(MATCH(DATEVALUE($A232),'recurring1_based on steps'!W$1:W$400,0)),W$2,)</f>
        <v>0</v>
      </c>
      <c r="X232" s="155">
        <f ca="1">IF(ISNUMBER(MATCH(DATEVALUE($A232),'recurring1_based on steps'!X$1:X$400,0)),X$2,)</f>
        <v>0</v>
      </c>
      <c r="Y232" s="155">
        <f ca="1">IF(ISNUMBER(MATCH(DATEVALUE($A232),'recurring1_based on steps'!Y$1:Y$400,0)),Y$2,)</f>
        <v>0</v>
      </c>
      <c r="Z232" s="155">
        <f ca="1">IF(ISNUMBER(MATCH(DATEVALUE($A232),'recurring1_based on steps'!Z$1:Z$400,0)),Z$2,)</f>
        <v>0</v>
      </c>
      <c r="AA232" s="155">
        <f ca="1">IF(ISNUMBER(MATCH(DATEVALUE($A232),'recurring1_based on steps'!AA$1:AA$400,0)),AA$2,)</f>
        <v>0</v>
      </c>
      <c r="AB232" s="155">
        <f ca="1">IF(ISNUMBER(MATCH(DATEVALUE($A232),'recurring1_based on steps'!AB$1:AB$400,0)),AB$2,)</f>
        <v>0</v>
      </c>
      <c r="AC232" s="155">
        <f ca="1">IF(ISNUMBER(MATCH(DATEVALUE($A232),'recurring1_based on steps'!AC$1:AC$400,0)),AC$2,)</f>
        <v>0</v>
      </c>
      <c r="AD232" s="155">
        <f ca="1">IF(ISNUMBER(MATCH(DATEVALUE($A232),'recurring1_based on steps'!AD$1:AD$400,0)),AD$2,)</f>
        <v>0</v>
      </c>
      <c r="AE232" s="155">
        <f ca="1">IF(ISNUMBER(MATCH(DATEVALUE($A232),'recurring1_based on steps'!AE$1:AE$400,0)),AE$2,)</f>
        <v>0</v>
      </c>
      <c r="AF232" s="155">
        <f ca="1">IF(ISNUMBER(MATCH(DATEVALUE($A232),'recurring1_based on steps'!AF$1:AF$400,0)),AF$2,)</f>
        <v>0</v>
      </c>
      <c r="AG232" s="155">
        <f ca="1">IF(ISNUMBER(MATCH(DATEVALUE($A232),'recurring1_based on steps'!AG$1:AG$400,0)),AG$2,)</f>
        <v>0</v>
      </c>
      <c r="AH232" s="155">
        <f ca="1">IF(ISNUMBER(MATCH(DATEVALUE($A232),'recurring1_based on steps'!AH$1:AH$400,0)),AH$2,)</f>
        <v>0</v>
      </c>
      <c r="AI232" s="155">
        <f ca="1">IF(ISNUMBER(MATCH(DATEVALUE($A232),'recurring1_based on steps'!AI$1:AI$400,0)),AI$2,)</f>
        <v>0</v>
      </c>
      <c r="AJ232" s="155">
        <f ca="1">IF(ISNUMBER(MATCH(DATEVALUE($A232),'recurring1_based on steps'!AJ$1:AJ$400,0)),AJ$2,)</f>
        <v>0</v>
      </c>
      <c r="AK232" s="155">
        <f ca="1">IF(ISNUMBER(MATCH(DATEVALUE($A232),'recurring1_based on steps'!AK$1:AK$400,0)),AK$2,)</f>
        <v>0</v>
      </c>
      <c r="AL232" s="155">
        <f ca="1">IF(ISNUMBER(MATCH(DATEVALUE($A232),'recurring1_based on steps'!AL$1:AL$400,0)),AL$2,)</f>
        <v>0</v>
      </c>
      <c r="AM232" s="155">
        <f ca="1">IF(ISNUMBER(MATCH(DATEVALUE($A232),'recurring1_based on steps'!AM$1:AM$400,0)),AM$2,)</f>
        <v>0</v>
      </c>
      <c r="AN232" s="155">
        <f ca="1">IF(ISNUMBER(MATCH(DATEVALUE($A232),'recurring1_based on steps'!AN$1:AN$400,0)),AN$2,)</f>
        <v>0</v>
      </c>
      <c r="AO232" s="155">
        <f ca="1">IF(ISNUMBER(MATCH(DATEVALUE($A232),'recurring1_based on steps'!AO$1:AO$400,0)),AO$2,)</f>
        <v>0</v>
      </c>
      <c r="AP232" s="155">
        <f ca="1">IF(ISNUMBER(MATCH(DATEVALUE($A232),'recurring1_based on steps'!AP$1:AP$400,0)),AP$2,)</f>
        <v>0</v>
      </c>
      <c r="AQ232" s="155">
        <f ca="1">IF(ISNUMBER(MATCH(DATEVALUE($A232),'recurring1_based on steps'!AQ$1:AQ$400,0)),AQ$2,)</f>
        <v>0</v>
      </c>
      <c r="AR232" s="155">
        <f ca="1">IF(ISNUMBER(MATCH(DATEVALUE($A232),'recurring1_based on steps'!AR$1:AR$400,0)),AR$2,)</f>
        <v>0</v>
      </c>
      <c r="AS232" s="155">
        <f ca="1">IF(ISNUMBER(MATCH(DATEVALUE($A232),'recurring1_based on steps'!AS$1:AS$400,0)),AS$2,)</f>
        <v>0</v>
      </c>
      <c r="AT232" s="155">
        <f ca="1">IF(ISNUMBER(MATCH(DATEVALUE($A232),'recurring1_based on steps'!AT$1:AT$400,0)),AT$2,)</f>
        <v>0</v>
      </c>
      <c r="AU232" s="155">
        <f ca="1">IF(ISNUMBER(MATCH(DATEVALUE($A232),'recurring1_based on steps'!AU$1:AU$400,0)),AU$2,)</f>
        <v>0</v>
      </c>
      <c r="AV232" s="155">
        <f ca="1">IF(ISNUMBER(MATCH(DATEVALUE($A232),'recurring1_based on steps'!AV$1:AV$400,0)),AV$2,)</f>
        <v>0</v>
      </c>
      <c r="AW232" s="155">
        <f ca="1">IF(ISNUMBER(MATCH(DATEVALUE($A232),'recurring1_based on steps'!AW$1:AW$400,0)),AW$2,)</f>
        <v>0</v>
      </c>
      <c r="AX232" s="155">
        <f ca="1">IF(ISNUMBER(MATCH(DATEVALUE($A232),'recurring1_based on steps'!AX$1:AX$400,0)),AX$2,)</f>
        <v>0</v>
      </c>
      <c r="AY232" s="155">
        <f ca="1">IF(ISNUMBER(MATCH(DATEVALUE($A232),'recurring1_based on steps'!AY$1:AY$400,0)),AY$2,)</f>
        <v>0</v>
      </c>
    </row>
    <row r="233" spans="1:51" x14ac:dyDescent="0.2">
      <c r="A233" s="18" t="str">
        <f t="shared" ca="1" si="3"/>
        <v>2025-09-19</v>
      </c>
      <c r="B233" s="155">
        <f ca="1">IF(ISNUMBER(MATCH(DATEVALUE($A233),'recurring1_based on steps'!B$1:B$400,0)),B$2,)</f>
        <v>4000</v>
      </c>
      <c r="C233" s="155">
        <f ca="1">IF(ISNUMBER(MATCH(DATEVALUE($A233),'recurring1_based on steps'!C$1:C$400,0)),C$2,)</f>
        <v>200</v>
      </c>
      <c r="D233" s="155">
        <f ca="1">IF(ISNUMBER(MATCH(DATEVALUE($A233),'recurring1_based on steps'!D$1:D$400,0)),D$2,)</f>
        <v>2</v>
      </c>
      <c r="E233" s="155">
        <f ca="1">IF(ISNUMBER(MATCH(DATEVALUE($A233),'recurring1_based on steps'!E$1:E$400,0)),E$2,)</f>
        <v>40</v>
      </c>
      <c r="F233" s="155">
        <f ca="1">IF(ISNUMBER(MATCH(DATEVALUE($A233),'recurring1_based on steps'!F$1:F$400,0)),F$2,)</f>
        <v>50</v>
      </c>
      <c r="G233" s="155">
        <f ca="1">IF(ISNUMBER(MATCH(DATEVALUE($A233),'recurring1_based on steps'!G$1:G$400,0)),G$2,)</f>
        <v>4</v>
      </c>
      <c r="H233" s="155">
        <f ca="1">IF(ISNUMBER(MATCH(DATEVALUE($A233),'recurring1_based on steps'!H$1:H$400,0)),H$2,)</f>
        <v>0</v>
      </c>
      <c r="I233" s="155">
        <f ca="1">IF(ISNUMBER(MATCH(DATEVALUE($A233),'recurring1_based on steps'!I$1:I$400,0)),I$2,)</f>
        <v>0</v>
      </c>
      <c r="J233" s="155">
        <f ca="1">IF(ISNUMBER(MATCH(DATEVALUE($A233),'recurring1_based on steps'!J$1:J$400,0)),J$2,)</f>
        <v>0</v>
      </c>
      <c r="K233" s="155">
        <f ca="1">IF(ISNUMBER(MATCH(DATEVALUE($A233),'recurring1_based on steps'!K$1:K$400,0)),K$2,)</f>
        <v>0</v>
      </c>
      <c r="L233" s="155">
        <f ca="1">IF(ISNUMBER(MATCH(DATEVALUE($A233),'recurring1_based on steps'!L$1:L$400,0)),L$2,)</f>
        <v>0</v>
      </c>
      <c r="M233" s="155">
        <f ca="1">IF(ISNUMBER(MATCH(DATEVALUE($A233),'recurring1_based on steps'!M$1:M$400,0)),M$2,)</f>
        <v>0</v>
      </c>
      <c r="N233" s="155">
        <f ca="1">IF(ISNUMBER(MATCH(DATEVALUE($A233),'recurring1_based on steps'!N$1:N$400,0)),N$2,)</f>
        <v>0</v>
      </c>
      <c r="O233" s="155">
        <f ca="1">IF(ISNUMBER(MATCH(DATEVALUE($A233),'recurring1_based on steps'!O$1:O$400,0)),O$2,)</f>
        <v>0</v>
      </c>
      <c r="P233" s="155">
        <f ca="1">IF(ISNUMBER(MATCH(DATEVALUE($A233),'recurring1_based on steps'!P$1:P$400,0)),P$2,)</f>
        <v>0</v>
      </c>
      <c r="Q233" s="155">
        <f ca="1">IF(ISNUMBER(MATCH(DATEVALUE($A233),'recurring1_based on steps'!Q$1:Q$400,0)),Q$2,)</f>
        <v>0</v>
      </c>
      <c r="R233" s="155">
        <f ca="1">IF(ISNUMBER(MATCH(DATEVALUE($A233),'recurring1_based on steps'!R$1:R$400,0)),R$2,)</f>
        <v>0</v>
      </c>
      <c r="S233" s="155">
        <f ca="1">IF(ISNUMBER(MATCH(DATEVALUE($A233),'recurring1_based on steps'!S$1:S$400,0)),S$2,)</f>
        <v>0</v>
      </c>
      <c r="T233" s="155">
        <f ca="1">IF(ISNUMBER(MATCH(DATEVALUE($A233),'recurring1_based on steps'!T$1:T$400,0)),T$2,)</f>
        <v>0</v>
      </c>
      <c r="U233" s="155">
        <f ca="1">IF(ISNUMBER(MATCH(DATEVALUE($A233),'recurring1_based on steps'!U$1:U$400,0)),U$2,)</f>
        <v>0</v>
      </c>
      <c r="V233" s="155">
        <f ca="1">IF(ISNUMBER(MATCH(DATEVALUE($A233),'recurring1_based on steps'!V$1:V$400,0)),V$2,)</f>
        <v>0</v>
      </c>
      <c r="W233" s="155">
        <f ca="1">IF(ISNUMBER(MATCH(DATEVALUE($A233),'recurring1_based on steps'!W$1:W$400,0)),W$2,)</f>
        <v>0</v>
      </c>
      <c r="X233" s="155">
        <f ca="1">IF(ISNUMBER(MATCH(DATEVALUE($A233),'recurring1_based on steps'!X$1:X$400,0)),X$2,)</f>
        <v>50</v>
      </c>
      <c r="Y233" s="155">
        <f ca="1">IF(ISNUMBER(MATCH(DATEVALUE($A233),'recurring1_based on steps'!Y$1:Y$400,0)),Y$2,)</f>
        <v>0</v>
      </c>
      <c r="Z233" s="155">
        <f ca="1">IF(ISNUMBER(MATCH(DATEVALUE($A233),'recurring1_based on steps'!Z$1:Z$400,0)),Z$2,)</f>
        <v>0</v>
      </c>
      <c r="AA233" s="155">
        <f ca="1">IF(ISNUMBER(MATCH(DATEVALUE($A233),'recurring1_based on steps'!AA$1:AA$400,0)),AA$2,)</f>
        <v>0</v>
      </c>
      <c r="AB233" s="155">
        <f ca="1">IF(ISNUMBER(MATCH(DATEVALUE($A233),'recurring1_based on steps'!AB$1:AB$400,0)),AB$2,)</f>
        <v>0</v>
      </c>
      <c r="AC233" s="155">
        <f ca="1">IF(ISNUMBER(MATCH(DATEVALUE($A233),'recurring1_based on steps'!AC$1:AC$400,0)),AC$2,)</f>
        <v>0</v>
      </c>
      <c r="AD233" s="155">
        <f ca="1">IF(ISNUMBER(MATCH(DATEVALUE($A233),'recurring1_based on steps'!AD$1:AD$400,0)),AD$2,)</f>
        <v>0</v>
      </c>
      <c r="AE233" s="155">
        <f ca="1">IF(ISNUMBER(MATCH(DATEVALUE($A233),'recurring1_based on steps'!AE$1:AE$400,0)),AE$2,)</f>
        <v>0</v>
      </c>
      <c r="AF233" s="155">
        <f ca="1">IF(ISNUMBER(MATCH(DATEVALUE($A233),'recurring1_based on steps'!AF$1:AF$400,0)),AF$2,)</f>
        <v>0</v>
      </c>
      <c r="AG233" s="155">
        <f ca="1">IF(ISNUMBER(MATCH(DATEVALUE($A233),'recurring1_based on steps'!AG$1:AG$400,0)),AG$2,)</f>
        <v>0</v>
      </c>
      <c r="AH233" s="155">
        <f ca="1">IF(ISNUMBER(MATCH(DATEVALUE($A233),'recurring1_based on steps'!AH$1:AH$400,0)),AH$2,)</f>
        <v>0</v>
      </c>
      <c r="AI233" s="155">
        <f ca="1">IF(ISNUMBER(MATCH(DATEVALUE($A233),'recurring1_based on steps'!AI$1:AI$400,0)),AI$2,)</f>
        <v>0</v>
      </c>
      <c r="AJ233" s="155">
        <f ca="1">IF(ISNUMBER(MATCH(DATEVALUE($A233),'recurring1_based on steps'!AJ$1:AJ$400,0)),AJ$2,)</f>
        <v>0</v>
      </c>
      <c r="AK233" s="155">
        <f ca="1">IF(ISNUMBER(MATCH(DATEVALUE($A233),'recurring1_based on steps'!AK$1:AK$400,0)),AK$2,)</f>
        <v>0</v>
      </c>
      <c r="AL233" s="155">
        <f ca="1">IF(ISNUMBER(MATCH(DATEVALUE($A233),'recurring1_based on steps'!AL$1:AL$400,0)),AL$2,)</f>
        <v>0</v>
      </c>
      <c r="AM233" s="155">
        <f ca="1">IF(ISNUMBER(MATCH(DATEVALUE($A233),'recurring1_based on steps'!AM$1:AM$400,0)),AM$2,)</f>
        <v>0</v>
      </c>
      <c r="AN233" s="155">
        <f ca="1">IF(ISNUMBER(MATCH(DATEVALUE($A233),'recurring1_based on steps'!AN$1:AN$400,0)),AN$2,)</f>
        <v>0</v>
      </c>
      <c r="AO233" s="155">
        <f ca="1">IF(ISNUMBER(MATCH(DATEVALUE($A233),'recurring1_based on steps'!AO$1:AO$400,0)),AO$2,)</f>
        <v>0</v>
      </c>
      <c r="AP233" s="155">
        <f ca="1">IF(ISNUMBER(MATCH(DATEVALUE($A233),'recurring1_based on steps'!AP$1:AP$400,0)),AP$2,)</f>
        <v>0</v>
      </c>
      <c r="AQ233" s="155">
        <f ca="1">IF(ISNUMBER(MATCH(DATEVALUE($A233),'recurring1_based on steps'!AQ$1:AQ$400,0)),AQ$2,)</f>
        <v>0</v>
      </c>
      <c r="AR233" s="155">
        <f ca="1">IF(ISNUMBER(MATCH(DATEVALUE($A233),'recurring1_based on steps'!AR$1:AR$400,0)),AR$2,)</f>
        <v>0</v>
      </c>
      <c r="AS233" s="155">
        <f ca="1">IF(ISNUMBER(MATCH(DATEVALUE($A233),'recurring1_based on steps'!AS$1:AS$400,0)),AS$2,)</f>
        <v>0</v>
      </c>
      <c r="AT233" s="155">
        <f ca="1">IF(ISNUMBER(MATCH(DATEVALUE($A233),'recurring1_based on steps'!AT$1:AT$400,0)),AT$2,)</f>
        <v>0</v>
      </c>
      <c r="AU233" s="155">
        <f ca="1">IF(ISNUMBER(MATCH(DATEVALUE($A233),'recurring1_based on steps'!AU$1:AU$400,0)),AU$2,)</f>
        <v>0</v>
      </c>
      <c r="AV233" s="155">
        <f ca="1">IF(ISNUMBER(MATCH(DATEVALUE($A233),'recurring1_based on steps'!AV$1:AV$400,0)),AV$2,)</f>
        <v>0</v>
      </c>
      <c r="AW233" s="155">
        <f ca="1">IF(ISNUMBER(MATCH(DATEVALUE($A233),'recurring1_based on steps'!AW$1:AW$400,0)),AW$2,)</f>
        <v>0</v>
      </c>
      <c r="AX233" s="155">
        <f ca="1">IF(ISNUMBER(MATCH(DATEVALUE($A233),'recurring1_based on steps'!AX$1:AX$400,0)),AX$2,)</f>
        <v>0</v>
      </c>
      <c r="AY233" s="155">
        <f ca="1">IF(ISNUMBER(MATCH(DATEVALUE($A233),'recurring1_based on steps'!AY$1:AY$400,0)),AY$2,)</f>
        <v>0</v>
      </c>
    </row>
    <row r="234" spans="1:51" x14ac:dyDescent="0.2">
      <c r="A234" s="18" t="str">
        <f t="shared" ca="1" si="3"/>
        <v>2025-09-20</v>
      </c>
      <c r="B234" s="155">
        <f ca="1">IF(ISNUMBER(MATCH(DATEVALUE($A234),'recurring1_based on steps'!B$1:B$400,0)),B$2,)</f>
        <v>0</v>
      </c>
      <c r="C234" s="155">
        <f ca="1">IF(ISNUMBER(MATCH(DATEVALUE($A234),'recurring1_based on steps'!C$1:C$400,0)),C$2,)</f>
        <v>0</v>
      </c>
      <c r="D234" s="155">
        <f ca="1">IF(ISNUMBER(MATCH(DATEVALUE($A234),'recurring1_based on steps'!D$1:D$400,0)),D$2,)</f>
        <v>0</v>
      </c>
      <c r="E234" s="155">
        <f ca="1">IF(ISNUMBER(MATCH(DATEVALUE($A234),'recurring1_based on steps'!E$1:E$400,0)),E$2,)</f>
        <v>0</v>
      </c>
      <c r="F234" s="155">
        <f ca="1">IF(ISNUMBER(MATCH(DATEVALUE($A234),'recurring1_based on steps'!F$1:F$400,0)),F$2,)</f>
        <v>0</v>
      </c>
      <c r="G234" s="155">
        <f ca="1">IF(ISNUMBER(MATCH(DATEVALUE($A234),'recurring1_based on steps'!G$1:G$400,0)),G$2,)</f>
        <v>0</v>
      </c>
      <c r="H234" s="155">
        <f ca="1">IF(ISNUMBER(MATCH(DATEVALUE($A234),'recurring1_based on steps'!H$1:H$400,0)),H$2,)</f>
        <v>0</v>
      </c>
      <c r="I234" s="155">
        <f ca="1">IF(ISNUMBER(MATCH(DATEVALUE($A234),'recurring1_based on steps'!I$1:I$400,0)),I$2,)</f>
        <v>0</v>
      </c>
      <c r="J234" s="155">
        <f ca="1">IF(ISNUMBER(MATCH(DATEVALUE($A234),'recurring1_based on steps'!J$1:J$400,0)),J$2,)</f>
        <v>0</v>
      </c>
      <c r="K234" s="155">
        <f ca="1">IF(ISNUMBER(MATCH(DATEVALUE($A234),'recurring1_based on steps'!K$1:K$400,0)),K$2,)</f>
        <v>0</v>
      </c>
      <c r="L234" s="155">
        <f ca="1">IF(ISNUMBER(MATCH(DATEVALUE($A234),'recurring1_based on steps'!L$1:L$400,0)),L$2,)</f>
        <v>0</v>
      </c>
      <c r="M234" s="155">
        <f ca="1">IF(ISNUMBER(MATCH(DATEVALUE($A234),'recurring1_based on steps'!M$1:M$400,0)),M$2,)</f>
        <v>0</v>
      </c>
      <c r="N234" s="155">
        <f ca="1">IF(ISNUMBER(MATCH(DATEVALUE($A234),'recurring1_based on steps'!N$1:N$400,0)),N$2,)</f>
        <v>0</v>
      </c>
      <c r="O234" s="155">
        <f ca="1">IF(ISNUMBER(MATCH(DATEVALUE($A234),'recurring1_based on steps'!O$1:O$400,0)),O$2,)</f>
        <v>0</v>
      </c>
      <c r="P234" s="155">
        <f ca="1">IF(ISNUMBER(MATCH(DATEVALUE($A234),'recurring1_based on steps'!P$1:P$400,0)),P$2,)</f>
        <v>0</v>
      </c>
      <c r="Q234" s="155">
        <f ca="1">IF(ISNUMBER(MATCH(DATEVALUE($A234),'recurring1_based on steps'!Q$1:Q$400,0)),Q$2,)</f>
        <v>100</v>
      </c>
      <c r="R234" s="155">
        <f ca="1">IF(ISNUMBER(MATCH(DATEVALUE($A234),'recurring1_based on steps'!R$1:R$400,0)),R$2,)</f>
        <v>100</v>
      </c>
      <c r="S234" s="155">
        <f ca="1">IF(ISNUMBER(MATCH(DATEVALUE($A234),'recurring1_based on steps'!S$1:S$400,0)),S$2,)</f>
        <v>0</v>
      </c>
      <c r="T234" s="155">
        <f ca="1">IF(ISNUMBER(MATCH(DATEVALUE($A234),'recurring1_based on steps'!T$1:T$400,0)),T$2,)</f>
        <v>0</v>
      </c>
      <c r="U234" s="155">
        <f ca="1">IF(ISNUMBER(MATCH(DATEVALUE($A234),'recurring1_based on steps'!U$1:U$400,0)),U$2,)</f>
        <v>0</v>
      </c>
      <c r="V234" s="155">
        <f ca="1">IF(ISNUMBER(MATCH(DATEVALUE($A234),'recurring1_based on steps'!V$1:V$400,0)),V$2,)</f>
        <v>0</v>
      </c>
      <c r="W234" s="155">
        <f ca="1">IF(ISNUMBER(MATCH(DATEVALUE($A234),'recurring1_based on steps'!W$1:W$400,0)),W$2,)</f>
        <v>0</v>
      </c>
      <c r="X234" s="155">
        <f ca="1">IF(ISNUMBER(MATCH(DATEVALUE($A234),'recurring1_based on steps'!X$1:X$400,0)),X$2,)</f>
        <v>0</v>
      </c>
      <c r="Y234" s="155">
        <f ca="1">IF(ISNUMBER(MATCH(DATEVALUE($A234),'recurring1_based on steps'!Y$1:Y$400,0)),Y$2,)</f>
        <v>0</v>
      </c>
      <c r="Z234" s="155">
        <f ca="1">IF(ISNUMBER(MATCH(DATEVALUE($A234),'recurring1_based on steps'!Z$1:Z$400,0)),Z$2,)</f>
        <v>0</v>
      </c>
      <c r="AA234" s="155">
        <f ca="1">IF(ISNUMBER(MATCH(DATEVALUE($A234),'recurring1_based on steps'!AA$1:AA$400,0)),AA$2,)</f>
        <v>0</v>
      </c>
      <c r="AB234" s="155">
        <f ca="1">IF(ISNUMBER(MATCH(DATEVALUE($A234),'recurring1_based on steps'!AB$1:AB$400,0)),AB$2,)</f>
        <v>0</v>
      </c>
      <c r="AC234" s="155">
        <f ca="1">IF(ISNUMBER(MATCH(DATEVALUE($A234),'recurring1_based on steps'!AC$1:AC$400,0)),AC$2,)</f>
        <v>0</v>
      </c>
      <c r="AD234" s="155">
        <f ca="1">IF(ISNUMBER(MATCH(DATEVALUE($A234),'recurring1_based on steps'!AD$1:AD$400,0)),AD$2,)</f>
        <v>0</v>
      </c>
      <c r="AE234" s="155">
        <f ca="1">IF(ISNUMBER(MATCH(DATEVALUE($A234),'recurring1_based on steps'!AE$1:AE$400,0)),AE$2,)</f>
        <v>0</v>
      </c>
      <c r="AF234" s="155">
        <f ca="1">IF(ISNUMBER(MATCH(DATEVALUE($A234),'recurring1_based on steps'!AF$1:AF$400,0)),AF$2,)</f>
        <v>0</v>
      </c>
      <c r="AG234" s="155">
        <f ca="1">IF(ISNUMBER(MATCH(DATEVALUE($A234),'recurring1_based on steps'!AG$1:AG$400,0)),AG$2,)</f>
        <v>0</v>
      </c>
      <c r="AH234" s="155">
        <f ca="1">IF(ISNUMBER(MATCH(DATEVALUE($A234),'recurring1_based on steps'!AH$1:AH$400,0)),AH$2,)</f>
        <v>0</v>
      </c>
      <c r="AI234" s="155">
        <f ca="1">IF(ISNUMBER(MATCH(DATEVALUE($A234),'recurring1_based on steps'!AI$1:AI$400,0)),AI$2,)</f>
        <v>0</v>
      </c>
      <c r="AJ234" s="155">
        <f ca="1">IF(ISNUMBER(MATCH(DATEVALUE($A234),'recurring1_based on steps'!AJ$1:AJ$400,0)),AJ$2,)</f>
        <v>0</v>
      </c>
      <c r="AK234" s="155">
        <f ca="1">IF(ISNUMBER(MATCH(DATEVALUE($A234),'recurring1_based on steps'!AK$1:AK$400,0)),AK$2,)</f>
        <v>0</v>
      </c>
      <c r="AL234" s="155">
        <f ca="1">IF(ISNUMBER(MATCH(DATEVALUE($A234),'recurring1_based on steps'!AL$1:AL$400,0)),AL$2,)</f>
        <v>0</v>
      </c>
      <c r="AM234" s="155">
        <f ca="1">IF(ISNUMBER(MATCH(DATEVALUE($A234),'recurring1_based on steps'!AM$1:AM$400,0)),AM$2,)</f>
        <v>0</v>
      </c>
      <c r="AN234" s="155">
        <f ca="1">IF(ISNUMBER(MATCH(DATEVALUE($A234),'recurring1_based on steps'!AN$1:AN$400,0)),AN$2,)</f>
        <v>0</v>
      </c>
      <c r="AO234" s="155">
        <f ca="1">IF(ISNUMBER(MATCH(DATEVALUE($A234),'recurring1_based on steps'!AO$1:AO$400,0)),AO$2,)</f>
        <v>0</v>
      </c>
      <c r="AP234" s="155">
        <f ca="1">IF(ISNUMBER(MATCH(DATEVALUE($A234),'recurring1_based on steps'!AP$1:AP$400,0)),AP$2,)</f>
        <v>0</v>
      </c>
      <c r="AQ234" s="155">
        <f ca="1">IF(ISNUMBER(MATCH(DATEVALUE($A234),'recurring1_based on steps'!AQ$1:AQ$400,0)),AQ$2,)</f>
        <v>0</v>
      </c>
      <c r="AR234" s="155">
        <f ca="1">IF(ISNUMBER(MATCH(DATEVALUE($A234),'recurring1_based on steps'!AR$1:AR$400,0)),AR$2,)</f>
        <v>0</v>
      </c>
      <c r="AS234" s="155">
        <f ca="1">IF(ISNUMBER(MATCH(DATEVALUE($A234),'recurring1_based on steps'!AS$1:AS$400,0)),AS$2,)</f>
        <v>0</v>
      </c>
      <c r="AT234" s="155">
        <f ca="1">IF(ISNUMBER(MATCH(DATEVALUE($A234),'recurring1_based on steps'!AT$1:AT$400,0)),AT$2,)</f>
        <v>0</v>
      </c>
      <c r="AU234" s="155">
        <f ca="1">IF(ISNUMBER(MATCH(DATEVALUE($A234),'recurring1_based on steps'!AU$1:AU$400,0)),AU$2,)</f>
        <v>0</v>
      </c>
      <c r="AV234" s="155">
        <f ca="1">IF(ISNUMBER(MATCH(DATEVALUE($A234),'recurring1_based on steps'!AV$1:AV$400,0)),AV$2,)</f>
        <v>0</v>
      </c>
      <c r="AW234" s="155">
        <f ca="1">IF(ISNUMBER(MATCH(DATEVALUE($A234),'recurring1_based on steps'!AW$1:AW$400,0)),AW$2,)</f>
        <v>0</v>
      </c>
      <c r="AX234" s="155">
        <f ca="1">IF(ISNUMBER(MATCH(DATEVALUE($A234),'recurring1_based on steps'!AX$1:AX$400,0)),AX$2,)</f>
        <v>0</v>
      </c>
      <c r="AY234" s="155">
        <f ca="1">IF(ISNUMBER(MATCH(DATEVALUE($A234),'recurring1_based on steps'!AY$1:AY$400,0)),AY$2,)</f>
        <v>0</v>
      </c>
    </row>
    <row r="235" spans="1:51" x14ac:dyDescent="0.2">
      <c r="A235" s="18" t="str">
        <f t="shared" ca="1" si="3"/>
        <v>2025-09-21</v>
      </c>
      <c r="B235" s="155">
        <f ca="1">IF(ISNUMBER(MATCH(DATEVALUE($A235),'recurring1_based on steps'!B$1:B$400,0)),B$2,)</f>
        <v>0</v>
      </c>
      <c r="C235" s="155">
        <f ca="1">IF(ISNUMBER(MATCH(DATEVALUE($A235),'recurring1_based on steps'!C$1:C$400,0)),C$2,)</f>
        <v>0</v>
      </c>
      <c r="D235" s="155">
        <f ca="1">IF(ISNUMBER(MATCH(DATEVALUE($A235),'recurring1_based on steps'!D$1:D$400,0)),D$2,)</f>
        <v>0</v>
      </c>
      <c r="E235" s="155">
        <f ca="1">IF(ISNUMBER(MATCH(DATEVALUE($A235),'recurring1_based on steps'!E$1:E$400,0)),E$2,)</f>
        <v>0</v>
      </c>
      <c r="F235" s="155">
        <f ca="1">IF(ISNUMBER(MATCH(DATEVALUE($A235),'recurring1_based on steps'!F$1:F$400,0)),F$2,)</f>
        <v>0</v>
      </c>
      <c r="G235" s="155">
        <f ca="1">IF(ISNUMBER(MATCH(DATEVALUE($A235),'recurring1_based on steps'!G$1:G$400,0)),G$2,)</f>
        <v>0</v>
      </c>
      <c r="H235" s="155">
        <f ca="1">IF(ISNUMBER(MATCH(DATEVALUE($A235),'recurring1_based on steps'!H$1:H$400,0)),H$2,)</f>
        <v>0</v>
      </c>
      <c r="I235" s="155">
        <f ca="1">IF(ISNUMBER(MATCH(DATEVALUE($A235),'recurring1_based on steps'!I$1:I$400,0)),I$2,)</f>
        <v>0</v>
      </c>
      <c r="J235" s="155">
        <f ca="1">IF(ISNUMBER(MATCH(DATEVALUE($A235),'recurring1_based on steps'!J$1:J$400,0)),J$2,)</f>
        <v>0</v>
      </c>
      <c r="K235" s="155">
        <f ca="1">IF(ISNUMBER(MATCH(DATEVALUE($A235),'recurring1_based on steps'!K$1:K$400,0)),K$2,)</f>
        <v>50</v>
      </c>
      <c r="L235" s="155">
        <f ca="1">IF(ISNUMBER(MATCH(DATEVALUE($A235),'recurring1_based on steps'!L$1:L$400,0)),L$2,)</f>
        <v>0</v>
      </c>
      <c r="M235" s="155">
        <f ca="1">IF(ISNUMBER(MATCH(DATEVALUE($A235),'recurring1_based on steps'!M$1:M$400,0)),M$2,)</f>
        <v>0</v>
      </c>
      <c r="N235" s="155">
        <f ca="1">IF(ISNUMBER(MATCH(DATEVALUE($A235),'recurring1_based on steps'!N$1:N$400,0)),N$2,)</f>
        <v>0</v>
      </c>
      <c r="O235" s="155">
        <f ca="1">IF(ISNUMBER(MATCH(DATEVALUE($A235),'recurring1_based on steps'!O$1:O$400,0)),O$2,)</f>
        <v>0</v>
      </c>
      <c r="P235" s="155">
        <f ca="1">IF(ISNUMBER(MATCH(DATEVALUE($A235),'recurring1_based on steps'!P$1:P$400,0)),P$2,)</f>
        <v>0</v>
      </c>
      <c r="Q235" s="155">
        <f ca="1">IF(ISNUMBER(MATCH(DATEVALUE($A235),'recurring1_based on steps'!Q$1:Q$400,0)),Q$2,)</f>
        <v>0</v>
      </c>
      <c r="R235" s="155">
        <f ca="1">IF(ISNUMBER(MATCH(DATEVALUE($A235),'recurring1_based on steps'!R$1:R$400,0)),R$2,)</f>
        <v>0</v>
      </c>
      <c r="S235" s="155">
        <f ca="1">IF(ISNUMBER(MATCH(DATEVALUE($A235),'recurring1_based on steps'!S$1:S$400,0)),S$2,)</f>
        <v>100</v>
      </c>
      <c r="T235" s="155">
        <f ca="1">IF(ISNUMBER(MATCH(DATEVALUE($A235),'recurring1_based on steps'!T$1:T$400,0)),T$2,)</f>
        <v>0</v>
      </c>
      <c r="U235" s="155">
        <f ca="1">IF(ISNUMBER(MATCH(DATEVALUE($A235),'recurring1_based on steps'!U$1:U$400,0)),U$2,)</f>
        <v>0</v>
      </c>
      <c r="V235" s="155">
        <f ca="1">IF(ISNUMBER(MATCH(DATEVALUE($A235),'recurring1_based on steps'!V$1:V$400,0)),V$2,)</f>
        <v>0</v>
      </c>
      <c r="W235" s="155">
        <f ca="1">IF(ISNUMBER(MATCH(DATEVALUE($A235),'recurring1_based on steps'!W$1:W$400,0)),W$2,)</f>
        <v>0</v>
      </c>
      <c r="X235" s="155">
        <f ca="1">IF(ISNUMBER(MATCH(DATEVALUE($A235),'recurring1_based on steps'!X$1:X$400,0)),X$2,)</f>
        <v>0</v>
      </c>
      <c r="Y235" s="155">
        <f ca="1">IF(ISNUMBER(MATCH(DATEVALUE($A235),'recurring1_based on steps'!Y$1:Y$400,0)),Y$2,)</f>
        <v>0</v>
      </c>
      <c r="Z235" s="155">
        <f ca="1">IF(ISNUMBER(MATCH(DATEVALUE($A235),'recurring1_based on steps'!Z$1:Z$400,0)),Z$2,)</f>
        <v>0</v>
      </c>
      <c r="AA235" s="155">
        <f ca="1">IF(ISNUMBER(MATCH(DATEVALUE($A235),'recurring1_based on steps'!AA$1:AA$400,0)),AA$2,)</f>
        <v>0</v>
      </c>
      <c r="AB235" s="155">
        <f ca="1">IF(ISNUMBER(MATCH(DATEVALUE($A235),'recurring1_based on steps'!AB$1:AB$400,0)),AB$2,)</f>
        <v>0</v>
      </c>
      <c r="AC235" s="155">
        <f ca="1">IF(ISNUMBER(MATCH(DATEVALUE($A235),'recurring1_based on steps'!AC$1:AC$400,0)),AC$2,)</f>
        <v>0</v>
      </c>
      <c r="AD235" s="155">
        <f ca="1">IF(ISNUMBER(MATCH(DATEVALUE($A235),'recurring1_based on steps'!AD$1:AD$400,0)),AD$2,)</f>
        <v>0</v>
      </c>
      <c r="AE235" s="155">
        <f ca="1">IF(ISNUMBER(MATCH(DATEVALUE($A235),'recurring1_based on steps'!AE$1:AE$400,0)),AE$2,)</f>
        <v>0</v>
      </c>
      <c r="AF235" s="155">
        <f ca="1">IF(ISNUMBER(MATCH(DATEVALUE($A235),'recurring1_based on steps'!AF$1:AF$400,0)),AF$2,)</f>
        <v>0</v>
      </c>
      <c r="AG235" s="155">
        <f ca="1">IF(ISNUMBER(MATCH(DATEVALUE($A235),'recurring1_based on steps'!AG$1:AG$400,0)),AG$2,)</f>
        <v>0</v>
      </c>
      <c r="AH235" s="155">
        <f ca="1">IF(ISNUMBER(MATCH(DATEVALUE($A235),'recurring1_based on steps'!AH$1:AH$400,0)),AH$2,)</f>
        <v>0</v>
      </c>
      <c r="AI235" s="155">
        <f ca="1">IF(ISNUMBER(MATCH(DATEVALUE($A235),'recurring1_based on steps'!AI$1:AI$400,0)),AI$2,)</f>
        <v>0</v>
      </c>
      <c r="AJ235" s="155">
        <f ca="1">IF(ISNUMBER(MATCH(DATEVALUE($A235),'recurring1_based on steps'!AJ$1:AJ$400,0)),AJ$2,)</f>
        <v>0</v>
      </c>
      <c r="AK235" s="155">
        <f ca="1">IF(ISNUMBER(MATCH(DATEVALUE($A235),'recurring1_based on steps'!AK$1:AK$400,0)),AK$2,)</f>
        <v>0</v>
      </c>
      <c r="AL235" s="155">
        <f ca="1">IF(ISNUMBER(MATCH(DATEVALUE($A235),'recurring1_based on steps'!AL$1:AL$400,0)),AL$2,)</f>
        <v>0</v>
      </c>
      <c r="AM235" s="155">
        <f ca="1">IF(ISNUMBER(MATCH(DATEVALUE($A235),'recurring1_based on steps'!AM$1:AM$400,0)),AM$2,)</f>
        <v>0</v>
      </c>
      <c r="AN235" s="155">
        <f ca="1">IF(ISNUMBER(MATCH(DATEVALUE($A235),'recurring1_based on steps'!AN$1:AN$400,0)),AN$2,)</f>
        <v>0</v>
      </c>
      <c r="AO235" s="155">
        <f ca="1">IF(ISNUMBER(MATCH(DATEVALUE($A235),'recurring1_based on steps'!AO$1:AO$400,0)),AO$2,)</f>
        <v>0</v>
      </c>
      <c r="AP235" s="155">
        <f ca="1">IF(ISNUMBER(MATCH(DATEVALUE($A235),'recurring1_based on steps'!AP$1:AP$400,0)),AP$2,)</f>
        <v>0</v>
      </c>
      <c r="AQ235" s="155">
        <f ca="1">IF(ISNUMBER(MATCH(DATEVALUE($A235),'recurring1_based on steps'!AQ$1:AQ$400,0)),AQ$2,)</f>
        <v>0</v>
      </c>
      <c r="AR235" s="155">
        <f ca="1">IF(ISNUMBER(MATCH(DATEVALUE($A235),'recurring1_based on steps'!AR$1:AR$400,0)),AR$2,)</f>
        <v>0</v>
      </c>
      <c r="AS235" s="155">
        <f ca="1">IF(ISNUMBER(MATCH(DATEVALUE($A235),'recurring1_based on steps'!AS$1:AS$400,0)),AS$2,)</f>
        <v>0</v>
      </c>
      <c r="AT235" s="155">
        <f ca="1">IF(ISNUMBER(MATCH(DATEVALUE($A235),'recurring1_based on steps'!AT$1:AT$400,0)),AT$2,)</f>
        <v>0</v>
      </c>
      <c r="AU235" s="155">
        <f ca="1">IF(ISNUMBER(MATCH(DATEVALUE($A235),'recurring1_based on steps'!AU$1:AU$400,0)),AU$2,)</f>
        <v>0</v>
      </c>
      <c r="AV235" s="155">
        <f ca="1">IF(ISNUMBER(MATCH(DATEVALUE($A235),'recurring1_based on steps'!AV$1:AV$400,0)),AV$2,)</f>
        <v>0</v>
      </c>
      <c r="AW235" s="155">
        <f ca="1">IF(ISNUMBER(MATCH(DATEVALUE($A235),'recurring1_based on steps'!AW$1:AW$400,0)),AW$2,)</f>
        <v>0</v>
      </c>
      <c r="AX235" s="155">
        <f ca="1">IF(ISNUMBER(MATCH(DATEVALUE($A235),'recurring1_based on steps'!AX$1:AX$400,0)),AX$2,)</f>
        <v>0</v>
      </c>
      <c r="AY235" s="155">
        <f ca="1">IF(ISNUMBER(MATCH(DATEVALUE($A235),'recurring1_based on steps'!AY$1:AY$400,0)),AY$2,)</f>
        <v>0</v>
      </c>
    </row>
    <row r="236" spans="1:51" x14ac:dyDescent="0.2">
      <c r="A236" s="18" t="str">
        <f t="shared" ca="1" si="3"/>
        <v>2025-09-22</v>
      </c>
      <c r="B236" s="155">
        <f ca="1">IF(ISNUMBER(MATCH(DATEVALUE($A236),'recurring1_based on steps'!B$1:B$400,0)),B$2,)</f>
        <v>0</v>
      </c>
      <c r="C236" s="155">
        <f ca="1">IF(ISNUMBER(MATCH(DATEVALUE($A236),'recurring1_based on steps'!C$1:C$400,0)),C$2,)</f>
        <v>0</v>
      </c>
      <c r="D236" s="155">
        <f ca="1">IF(ISNUMBER(MATCH(DATEVALUE($A236),'recurring1_based on steps'!D$1:D$400,0)),D$2,)</f>
        <v>0</v>
      </c>
      <c r="E236" s="155">
        <f ca="1">IF(ISNUMBER(MATCH(DATEVALUE($A236),'recurring1_based on steps'!E$1:E$400,0)),E$2,)</f>
        <v>0</v>
      </c>
      <c r="F236" s="155">
        <f ca="1">IF(ISNUMBER(MATCH(DATEVALUE($A236),'recurring1_based on steps'!F$1:F$400,0)),F$2,)</f>
        <v>0</v>
      </c>
      <c r="G236" s="155">
        <f ca="1">IF(ISNUMBER(MATCH(DATEVALUE($A236),'recurring1_based on steps'!G$1:G$400,0)),G$2,)</f>
        <v>0</v>
      </c>
      <c r="H236" s="155">
        <f ca="1">IF(ISNUMBER(MATCH(DATEVALUE($A236),'recurring1_based on steps'!H$1:H$400,0)),H$2,)</f>
        <v>0</v>
      </c>
      <c r="I236" s="155">
        <f ca="1">IF(ISNUMBER(MATCH(DATEVALUE($A236),'recurring1_based on steps'!I$1:I$400,0)),I$2,)</f>
        <v>0</v>
      </c>
      <c r="J236" s="155">
        <f ca="1">IF(ISNUMBER(MATCH(DATEVALUE($A236),'recurring1_based on steps'!J$1:J$400,0)),J$2,)</f>
        <v>0</v>
      </c>
      <c r="K236" s="155">
        <f ca="1">IF(ISNUMBER(MATCH(DATEVALUE($A236),'recurring1_based on steps'!K$1:K$400,0)),K$2,)</f>
        <v>0</v>
      </c>
      <c r="L236" s="155">
        <f ca="1">IF(ISNUMBER(MATCH(DATEVALUE($A236),'recurring1_based on steps'!L$1:L$400,0)),L$2,)</f>
        <v>0</v>
      </c>
      <c r="M236" s="155">
        <f ca="1">IF(ISNUMBER(MATCH(DATEVALUE($A236),'recurring1_based on steps'!M$1:M$400,0)),M$2,)</f>
        <v>0</v>
      </c>
      <c r="N236" s="155">
        <f ca="1">IF(ISNUMBER(MATCH(DATEVALUE($A236),'recurring1_based on steps'!N$1:N$400,0)),N$2,)</f>
        <v>0</v>
      </c>
      <c r="O236" s="155">
        <f ca="1">IF(ISNUMBER(MATCH(DATEVALUE($A236),'recurring1_based on steps'!O$1:O$400,0)),O$2,)</f>
        <v>0</v>
      </c>
      <c r="P236" s="155">
        <f ca="1">IF(ISNUMBER(MATCH(DATEVALUE($A236),'recurring1_based on steps'!P$1:P$400,0)),P$2,)</f>
        <v>0</v>
      </c>
      <c r="Q236" s="155">
        <f ca="1">IF(ISNUMBER(MATCH(DATEVALUE($A236),'recurring1_based on steps'!Q$1:Q$400,0)),Q$2,)</f>
        <v>0</v>
      </c>
      <c r="R236" s="155">
        <f ca="1">IF(ISNUMBER(MATCH(DATEVALUE($A236),'recurring1_based on steps'!R$1:R$400,0)),R$2,)</f>
        <v>0</v>
      </c>
      <c r="S236" s="155">
        <f ca="1">IF(ISNUMBER(MATCH(DATEVALUE($A236),'recurring1_based on steps'!S$1:S$400,0)),S$2,)</f>
        <v>0</v>
      </c>
      <c r="T236" s="155">
        <f ca="1">IF(ISNUMBER(MATCH(DATEVALUE($A236),'recurring1_based on steps'!T$1:T$400,0)),T$2,)</f>
        <v>50</v>
      </c>
      <c r="U236" s="155">
        <f ca="1">IF(ISNUMBER(MATCH(DATEVALUE($A236),'recurring1_based on steps'!U$1:U$400,0)),U$2,)</f>
        <v>0</v>
      </c>
      <c r="V236" s="155">
        <f ca="1">IF(ISNUMBER(MATCH(DATEVALUE($A236),'recurring1_based on steps'!V$1:V$400,0)),V$2,)</f>
        <v>0</v>
      </c>
      <c r="W236" s="155">
        <f ca="1">IF(ISNUMBER(MATCH(DATEVALUE($A236),'recurring1_based on steps'!W$1:W$400,0)),W$2,)</f>
        <v>0</v>
      </c>
      <c r="X236" s="155">
        <f ca="1">IF(ISNUMBER(MATCH(DATEVALUE($A236),'recurring1_based on steps'!X$1:X$400,0)),X$2,)</f>
        <v>0</v>
      </c>
      <c r="Y236" s="155">
        <f ca="1">IF(ISNUMBER(MATCH(DATEVALUE($A236),'recurring1_based on steps'!Y$1:Y$400,0)),Y$2,)</f>
        <v>0</v>
      </c>
      <c r="Z236" s="155">
        <f ca="1">IF(ISNUMBER(MATCH(DATEVALUE($A236),'recurring1_based on steps'!Z$1:Z$400,0)),Z$2,)</f>
        <v>0</v>
      </c>
      <c r="AA236" s="155">
        <f ca="1">IF(ISNUMBER(MATCH(DATEVALUE($A236),'recurring1_based on steps'!AA$1:AA$400,0)),AA$2,)</f>
        <v>0</v>
      </c>
      <c r="AB236" s="155">
        <f ca="1">IF(ISNUMBER(MATCH(DATEVALUE($A236),'recurring1_based on steps'!AB$1:AB$400,0)),AB$2,)</f>
        <v>0</v>
      </c>
      <c r="AC236" s="155">
        <f ca="1">IF(ISNUMBER(MATCH(DATEVALUE($A236),'recurring1_based on steps'!AC$1:AC$400,0)),AC$2,)</f>
        <v>0</v>
      </c>
      <c r="AD236" s="155">
        <f ca="1">IF(ISNUMBER(MATCH(DATEVALUE($A236),'recurring1_based on steps'!AD$1:AD$400,0)),AD$2,)</f>
        <v>0</v>
      </c>
      <c r="AE236" s="155">
        <f ca="1">IF(ISNUMBER(MATCH(DATEVALUE($A236),'recurring1_based on steps'!AE$1:AE$400,0)),AE$2,)</f>
        <v>0</v>
      </c>
      <c r="AF236" s="155">
        <f ca="1">IF(ISNUMBER(MATCH(DATEVALUE($A236),'recurring1_based on steps'!AF$1:AF$400,0)),AF$2,)</f>
        <v>0</v>
      </c>
      <c r="AG236" s="155">
        <f ca="1">IF(ISNUMBER(MATCH(DATEVALUE($A236),'recurring1_based on steps'!AG$1:AG$400,0)),AG$2,)</f>
        <v>0</v>
      </c>
      <c r="AH236" s="155">
        <f ca="1">IF(ISNUMBER(MATCH(DATEVALUE($A236),'recurring1_based on steps'!AH$1:AH$400,0)),AH$2,)</f>
        <v>0</v>
      </c>
      <c r="AI236" s="155">
        <f ca="1">IF(ISNUMBER(MATCH(DATEVALUE($A236),'recurring1_based on steps'!AI$1:AI$400,0)),AI$2,)</f>
        <v>0</v>
      </c>
      <c r="AJ236" s="155">
        <f ca="1">IF(ISNUMBER(MATCH(DATEVALUE($A236),'recurring1_based on steps'!AJ$1:AJ$400,0)),AJ$2,)</f>
        <v>0</v>
      </c>
      <c r="AK236" s="155">
        <f ca="1">IF(ISNUMBER(MATCH(DATEVALUE($A236),'recurring1_based on steps'!AK$1:AK$400,0)),AK$2,)</f>
        <v>0</v>
      </c>
      <c r="AL236" s="155">
        <f ca="1">IF(ISNUMBER(MATCH(DATEVALUE($A236),'recurring1_based on steps'!AL$1:AL$400,0)),AL$2,)</f>
        <v>0</v>
      </c>
      <c r="AM236" s="155">
        <f ca="1">IF(ISNUMBER(MATCH(DATEVALUE($A236),'recurring1_based on steps'!AM$1:AM$400,0)),AM$2,)</f>
        <v>0</v>
      </c>
      <c r="AN236" s="155">
        <f ca="1">IF(ISNUMBER(MATCH(DATEVALUE($A236),'recurring1_based on steps'!AN$1:AN$400,0)),AN$2,)</f>
        <v>0</v>
      </c>
      <c r="AO236" s="155">
        <f ca="1">IF(ISNUMBER(MATCH(DATEVALUE($A236),'recurring1_based on steps'!AO$1:AO$400,0)),AO$2,)</f>
        <v>0</v>
      </c>
      <c r="AP236" s="155">
        <f ca="1">IF(ISNUMBER(MATCH(DATEVALUE($A236),'recurring1_based on steps'!AP$1:AP$400,0)),AP$2,)</f>
        <v>0</v>
      </c>
      <c r="AQ236" s="155">
        <f ca="1">IF(ISNUMBER(MATCH(DATEVALUE($A236),'recurring1_based on steps'!AQ$1:AQ$400,0)),AQ$2,)</f>
        <v>0</v>
      </c>
      <c r="AR236" s="155">
        <f ca="1">IF(ISNUMBER(MATCH(DATEVALUE($A236),'recurring1_based on steps'!AR$1:AR$400,0)),AR$2,)</f>
        <v>0</v>
      </c>
      <c r="AS236" s="155">
        <f ca="1">IF(ISNUMBER(MATCH(DATEVALUE($A236),'recurring1_based on steps'!AS$1:AS$400,0)),AS$2,)</f>
        <v>0</v>
      </c>
      <c r="AT236" s="155">
        <f ca="1">IF(ISNUMBER(MATCH(DATEVALUE($A236),'recurring1_based on steps'!AT$1:AT$400,0)),AT$2,)</f>
        <v>0</v>
      </c>
      <c r="AU236" s="155">
        <f ca="1">IF(ISNUMBER(MATCH(DATEVALUE($A236),'recurring1_based on steps'!AU$1:AU$400,0)),AU$2,)</f>
        <v>0</v>
      </c>
      <c r="AV236" s="155">
        <f ca="1">IF(ISNUMBER(MATCH(DATEVALUE($A236),'recurring1_based on steps'!AV$1:AV$400,0)),AV$2,)</f>
        <v>0</v>
      </c>
      <c r="AW236" s="155">
        <f ca="1">IF(ISNUMBER(MATCH(DATEVALUE($A236),'recurring1_based on steps'!AW$1:AW$400,0)),AW$2,)</f>
        <v>0</v>
      </c>
      <c r="AX236" s="155">
        <f ca="1">IF(ISNUMBER(MATCH(DATEVALUE($A236),'recurring1_based on steps'!AX$1:AX$400,0)),AX$2,)</f>
        <v>0</v>
      </c>
      <c r="AY236" s="155">
        <f ca="1">IF(ISNUMBER(MATCH(DATEVALUE($A236),'recurring1_based on steps'!AY$1:AY$400,0)),AY$2,)</f>
        <v>0</v>
      </c>
    </row>
    <row r="237" spans="1:51" x14ac:dyDescent="0.2">
      <c r="A237" s="18" t="str">
        <f t="shared" ca="1" si="3"/>
        <v>2025-09-23</v>
      </c>
      <c r="B237" s="155">
        <f ca="1">IF(ISNUMBER(MATCH(DATEVALUE($A237),'recurring1_based on steps'!B$1:B$400,0)),B$2,)</f>
        <v>0</v>
      </c>
      <c r="C237" s="155">
        <f ca="1">IF(ISNUMBER(MATCH(DATEVALUE($A237),'recurring1_based on steps'!C$1:C$400,0)),C$2,)</f>
        <v>0</v>
      </c>
      <c r="D237" s="155">
        <f ca="1">IF(ISNUMBER(MATCH(DATEVALUE($A237),'recurring1_based on steps'!D$1:D$400,0)),D$2,)</f>
        <v>0</v>
      </c>
      <c r="E237" s="155">
        <f ca="1">IF(ISNUMBER(MATCH(DATEVALUE($A237),'recurring1_based on steps'!E$1:E$400,0)),E$2,)</f>
        <v>0</v>
      </c>
      <c r="F237" s="155">
        <f ca="1">IF(ISNUMBER(MATCH(DATEVALUE($A237),'recurring1_based on steps'!F$1:F$400,0)),F$2,)</f>
        <v>0</v>
      </c>
      <c r="G237" s="155">
        <f ca="1">IF(ISNUMBER(MATCH(DATEVALUE($A237),'recurring1_based on steps'!G$1:G$400,0)),G$2,)</f>
        <v>0</v>
      </c>
      <c r="H237" s="155">
        <f ca="1">IF(ISNUMBER(MATCH(DATEVALUE($A237),'recurring1_based on steps'!H$1:H$400,0)),H$2,)</f>
        <v>0</v>
      </c>
      <c r="I237" s="155">
        <f ca="1">IF(ISNUMBER(MATCH(DATEVALUE($A237),'recurring1_based on steps'!I$1:I$400,0)),I$2,)</f>
        <v>0</v>
      </c>
      <c r="J237" s="155">
        <f ca="1">IF(ISNUMBER(MATCH(DATEVALUE($A237),'recurring1_based on steps'!J$1:J$400,0)),J$2,)</f>
        <v>0</v>
      </c>
      <c r="K237" s="155">
        <f ca="1">IF(ISNUMBER(MATCH(DATEVALUE($A237),'recurring1_based on steps'!K$1:K$400,0)),K$2,)</f>
        <v>0</v>
      </c>
      <c r="L237" s="155">
        <f ca="1">IF(ISNUMBER(MATCH(DATEVALUE($A237),'recurring1_based on steps'!L$1:L$400,0)),L$2,)</f>
        <v>0</v>
      </c>
      <c r="M237" s="155">
        <f ca="1">IF(ISNUMBER(MATCH(DATEVALUE($A237),'recurring1_based on steps'!M$1:M$400,0)),M$2,)</f>
        <v>0</v>
      </c>
      <c r="N237" s="155">
        <f ca="1">IF(ISNUMBER(MATCH(DATEVALUE($A237),'recurring1_based on steps'!N$1:N$400,0)),N$2,)</f>
        <v>0</v>
      </c>
      <c r="O237" s="155">
        <f ca="1">IF(ISNUMBER(MATCH(DATEVALUE($A237),'recurring1_based on steps'!O$1:O$400,0)),O$2,)</f>
        <v>0</v>
      </c>
      <c r="P237" s="155">
        <f ca="1">IF(ISNUMBER(MATCH(DATEVALUE($A237),'recurring1_based on steps'!P$1:P$400,0)),P$2,)</f>
        <v>0</v>
      </c>
      <c r="Q237" s="155">
        <f ca="1">IF(ISNUMBER(MATCH(DATEVALUE($A237),'recurring1_based on steps'!Q$1:Q$400,0)),Q$2,)</f>
        <v>0</v>
      </c>
      <c r="R237" s="155">
        <f ca="1">IF(ISNUMBER(MATCH(DATEVALUE($A237),'recurring1_based on steps'!R$1:R$400,0)),R$2,)</f>
        <v>0</v>
      </c>
      <c r="S237" s="155">
        <f ca="1">IF(ISNUMBER(MATCH(DATEVALUE($A237),'recurring1_based on steps'!S$1:S$400,0)),S$2,)</f>
        <v>0</v>
      </c>
      <c r="T237" s="155">
        <f ca="1">IF(ISNUMBER(MATCH(DATEVALUE($A237),'recurring1_based on steps'!T$1:T$400,0)),T$2,)</f>
        <v>0</v>
      </c>
      <c r="U237" s="155">
        <f ca="1">IF(ISNUMBER(MATCH(DATEVALUE($A237),'recurring1_based on steps'!U$1:U$400,0)),U$2,)</f>
        <v>0</v>
      </c>
      <c r="V237" s="155">
        <f ca="1">IF(ISNUMBER(MATCH(DATEVALUE($A237),'recurring1_based on steps'!V$1:V$400,0)),V$2,)</f>
        <v>0</v>
      </c>
      <c r="W237" s="155">
        <f ca="1">IF(ISNUMBER(MATCH(DATEVALUE($A237),'recurring1_based on steps'!W$1:W$400,0)),W$2,)</f>
        <v>0</v>
      </c>
      <c r="X237" s="155">
        <f ca="1">IF(ISNUMBER(MATCH(DATEVALUE($A237),'recurring1_based on steps'!X$1:X$400,0)),X$2,)</f>
        <v>0</v>
      </c>
      <c r="Y237" s="155">
        <f ca="1">IF(ISNUMBER(MATCH(DATEVALUE($A237),'recurring1_based on steps'!Y$1:Y$400,0)),Y$2,)</f>
        <v>0</v>
      </c>
      <c r="Z237" s="155">
        <f ca="1">IF(ISNUMBER(MATCH(DATEVALUE($A237),'recurring1_based on steps'!Z$1:Z$400,0)),Z$2,)</f>
        <v>0</v>
      </c>
      <c r="AA237" s="155">
        <f ca="1">IF(ISNUMBER(MATCH(DATEVALUE($A237),'recurring1_based on steps'!AA$1:AA$400,0)),AA$2,)</f>
        <v>0</v>
      </c>
      <c r="AB237" s="155">
        <f ca="1">IF(ISNUMBER(MATCH(DATEVALUE($A237),'recurring1_based on steps'!AB$1:AB$400,0)),AB$2,)</f>
        <v>0</v>
      </c>
      <c r="AC237" s="155">
        <f ca="1">IF(ISNUMBER(MATCH(DATEVALUE($A237),'recurring1_based on steps'!AC$1:AC$400,0)),AC$2,)</f>
        <v>0</v>
      </c>
      <c r="AD237" s="155">
        <f ca="1">IF(ISNUMBER(MATCH(DATEVALUE($A237),'recurring1_based on steps'!AD$1:AD$400,0)),AD$2,)</f>
        <v>0</v>
      </c>
      <c r="AE237" s="155">
        <f ca="1">IF(ISNUMBER(MATCH(DATEVALUE($A237),'recurring1_based on steps'!AE$1:AE$400,0)),AE$2,)</f>
        <v>0</v>
      </c>
      <c r="AF237" s="155">
        <f ca="1">IF(ISNUMBER(MATCH(DATEVALUE($A237),'recurring1_based on steps'!AF$1:AF$400,0)),AF$2,)</f>
        <v>0</v>
      </c>
      <c r="AG237" s="155">
        <f ca="1">IF(ISNUMBER(MATCH(DATEVALUE($A237),'recurring1_based on steps'!AG$1:AG$400,0)),AG$2,)</f>
        <v>0</v>
      </c>
      <c r="AH237" s="155">
        <f ca="1">IF(ISNUMBER(MATCH(DATEVALUE($A237),'recurring1_based on steps'!AH$1:AH$400,0)),AH$2,)</f>
        <v>0</v>
      </c>
      <c r="AI237" s="155">
        <f ca="1">IF(ISNUMBER(MATCH(DATEVALUE($A237),'recurring1_based on steps'!AI$1:AI$400,0)),AI$2,)</f>
        <v>0</v>
      </c>
      <c r="AJ237" s="155">
        <f ca="1">IF(ISNUMBER(MATCH(DATEVALUE($A237),'recurring1_based on steps'!AJ$1:AJ$400,0)),AJ$2,)</f>
        <v>0</v>
      </c>
      <c r="AK237" s="155">
        <f ca="1">IF(ISNUMBER(MATCH(DATEVALUE($A237),'recurring1_based on steps'!AK$1:AK$400,0)),AK$2,)</f>
        <v>0</v>
      </c>
      <c r="AL237" s="155">
        <f ca="1">IF(ISNUMBER(MATCH(DATEVALUE($A237),'recurring1_based on steps'!AL$1:AL$400,0)),AL$2,)</f>
        <v>0</v>
      </c>
      <c r="AM237" s="155">
        <f ca="1">IF(ISNUMBER(MATCH(DATEVALUE($A237),'recurring1_based on steps'!AM$1:AM$400,0)),AM$2,)</f>
        <v>0</v>
      </c>
      <c r="AN237" s="155">
        <f ca="1">IF(ISNUMBER(MATCH(DATEVALUE($A237),'recurring1_based on steps'!AN$1:AN$400,0)),AN$2,)</f>
        <v>0</v>
      </c>
      <c r="AO237" s="155">
        <f ca="1">IF(ISNUMBER(MATCH(DATEVALUE($A237),'recurring1_based on steps'!AO$1:AO$400,0)),AO$2,)</f>
        <v>0</v>
      </c>
      <c r="AP237" s="155">
        <f ca="1">IF(ISNUMBER(MATCH(DATEVALUE($A237),'recurring1_based on steps'!AP$1:AP$400,0)),AP$2,)</f>
        <v>0</v>
      </c>
      <c r="AQ237" s="155">
        <f ca="1">IF(ISNUMBER(MATCH(DATEVALUE($A237),'recurring1_based on steps'!AQ$1:AQ$400,0)),AQ$2,)</f>
        <v>0</v>
      </c>
      <c r="AR237" s="155">
        <f ca="1">IF(ISNUMBER(MATCH(DATEVALUE($A237),'recurring1_based on steps'!AR$1:AR$400,0)),AR$2,)</f>
        <v>0</v>
      </c>
      <c r="AS237" s="155">
        <f ca="1">IF(ISNUMBER(MATCH(DATEVALUE($A237),'recurring1_based on steps'!AS$1:AS$400,0)),AS$2,)</f>
        <v>0</v>
      </c>
      <c r="AT237" s="155">
        <f ca="1">IF(ISNUMBER(MATCH(DATEVALUE($A237),'recurring1_based on steps'!AT$1:AT$400,0)),AT$2,)</f>
        <v>0</v>
      </c>
      <c r="AU237" s="155">
        <f ca="1">IF(ISNUMBER(MATCH(DATEVALUE($A237),'recurring1_based on steps'!AU$1:AU$400,0)),AU$2,)</f>
        <v>0</v>
      </c>
      <c r="AV237" s="155">
        <f ca="1">IF(ISNUMBER(MATCH(DATEVALUE($A237),'recurring1_based on steps'!AV$1:AV$400,0)),AV$2,)</f>
        <v>0</v>
      </c>
      <c r="AW237" s="155">
        <f ca="1">IF(ISNUMBER(MATCH(DATEVALUE($A237),'recurring1_based on steps'!AW$1:AW$400,0)),AW$2,)</f>
        <v>0</v>
      </c>
      <c r="AX237" s="155">
        <f ca="1">IF(ISNUMBER(MATCH(DATEVALUE($A237),'recurring1_based on steps'!AX$1:AX$400,0)),AX$2,)</f>
        <v>0</v>
      </c>
      <c r="AY237" s="155">
        <f ca="1">IF(ISNUMBER(MATCH(DATEVALUE($A237),'recurring1_based on steps'!AY$1:AY$400,0)),AY$2,)</f>
        <v>0</v>
      </c>
    </row>
    <row r="238" spans="1:51" x14ac:dyDescent="0.2">
      <c r="A238" s="18" t="str">
        <f t="shared" ca="1" si="3"/>
        <v>2025-09-24</v>
      </c>
      <c r="B238" s="155">
        <f ca="1">IF(ISNUMBER(MATCH(DATEVALUE($A238),'recurring1_based on steps'!B$1:B$400,0)),B$2,)</f>
        <v>0</v>
      </c>
      <c r="C238" s="155">
        <f ca="1">IF(ISNUMBER(MATCH(DATEVALUE($A238),'recurring1_based on steps'!C$1:C$400,0)),C$2,)</f>
        <v>0</v>
      </c>
      <c r="D238" s="155">
        <f ca="1">IF(ISNUMBER(MATCH(DATEVALUE($A238),'recurring1_based on steps'!D$1:D$400,0)),D$2,)</f>
        <v>0</v>
      </c>
      <c r="E238" s="155">
        <f ca="1">IF(ISNUMBER(MATCH(DATEVALUE($A238),'recurring1_based on steps'!E$1:E$400,0)),E$2,)</f>
        <v>0</v>
      </c>
      <c r="F238" s="155">
        <f ca="1">IF(ISNUMBER(MATCH(DATEVALUE($A238),'recurring1_based on steps'!F$1:F$400,0)),F$2,)</f>
        <v>0</v>
      </c>
      <c r="G238" s="155">
        <f ca="1">IF(ISNUMBER(MATCH(DATEVALUE($A238),'recurring1_based on steps'!G$1:G$400,0)),G$2,)</f>
        <v>0</v>
      </c>
      <c r="H238" s="155">
        <f ca="1">IF(ISNUMBER(MATCH(DATEVALUE($A238),'recurring1_based on steps'!H$1:H$400,0)),H$2,)</f>
        <v>0</v>
      </c>
      <c r="I238" s="155">
        <f ca="1">IF(ISNUMBER(MATCH(DATEVALUE($A238),'recurring1_based on steps'!I$1:I$400,0)),I$2,)</f>
        <v>0</v>
      </c>
      <c r="J238" s="155">
        <f ca="1">IF(ISNUMBER(MATCH(DATEVALUE($A238),'recurring1_based on steps'!J$1:J$400,0)),J$2,)</f>
        <v>0</v>
      </c>
      <c r="K238" s="155">
        <f ca="1">IF(ISNUMBER(MATCH(DATEVALUE($A238),'recurring1_based on steps'!K$1:K$400,0)),K$2,)</f>
        <v>0</v>
      </c>
      <c r="L238" s="155">
        <f ca="1">IF(ISNUMBER(MATCH(DATEVALUE($A238),'recurring1_based on steps'!L$1:L$400,0)),L$2,)</f>
        <v>0</v>
      </c>
      <c r="M238" s="155">
        <f ca="1">IF(ISNUMBER(MATCH(DATEVALUE($A238),'recurring1_based on steps'!M$1:M$400,0)),M$2,)</f>
        <v>0</v>
      </c>
      <c r="N238" s="155">
        <f ca="1">IF(ISNUMBER(MATCH(DATEVALUE($A238),'recurring1_based on steps'!N$1:N$400,0)),N$2,)</f>
        <v>0</v>
      </c>
      <c r="O238" s="155">
        <f ca="1">IF(ISNUMBER(MATCH(DATEVALUE($A238),'recurring1_based on steps'!O$1:O$400,0)),O$2,)</f>
        <v>0</v>
      </c>
      <c r="P238" s="155">
        <f ca="1">IF(ISNUMBER(MATCH(DATEVALUE($A238),'recurring1_based on steps'!P$1:P$400,0)),P$2,)</f>
        <v>0</v>
      </c>
      <c r="Q238" s="155">
        <f ca="1">IF(ISNUMBER(MATCH(DATEVALUE($A238),'recurring1_based on steps'!Q$1:Q$400,0)),Q$2,)</f>
        <v>0</v>
      </c>
      <c r="R238" s="155">
        <f ca="1">IF(ISNUMBER(MATCH(DATEVALUE($A238),'recurring1_based on steps'!R$1:R$400,0)),R$2,)</f>
        <v>0</v>
      </c>
      <c r="S238" s="155">
        <f ca="1">IF(ISNUMBER(MATCH(DATEVALUE($A238),'recurring1_based on steps'!S$1:S$400,0)),S$2,)</f>
        <v>0</v>
      </c>
      <c r="T238" s="155">
        <f ca="1">IF(ISNUMBER(MATCH(DATEVALUE($A238),'recurring1_based on steps'!T$1:T$400,0)),T$2,)</f>
        <v>0</v>
      </c>
      <c r="U238" s="155">
        <f ca="1">IF(ISNUMBER(MATCH(DATEVALUE($A238),'recurring1_based on steps'!U$1:U$400,0)),U$2,)</f>
        <v>0</v>
      </c>
      <c r="V238" s="155">
        <f ca="1">IF(ISNUMBER(MATCH(DATEVALUE($A238),'recurring1_based on steps'!V$1:V$400,0)),V$2,)</f>
        <v>0</v>
      </c>
      <c r="W238" s="155">
        <f ca="1">IF(ISNUMBER(MATCH(DATEVALUE($A238),'recurring1_based on steps'!W$1:W$400,0)),W$2,)</f>
        <v>0</v>
      </c>
      <c r="X238" s="155">
        <f ca="1">IF(ISNUMBER(MATCH(DATEVALUE($A238),'recurring1_based on steps'!X$1:X$400,0)),X$2,)</f>
        <v>0</v>
      </c>
      <c r="Y238" s="155">
        <f ca="1">IF(ISNUMBER(MATCH(DATEVALUE($A238),'recurring1_based on steps'!Y$1:Y$400,0)),Y$2,)</f>
        <v>0</v>
      </c>
      <c r="Z238" s="155">
        <f ca="1">IF(ISNUMBER(MATCH(DATEVALUE($A238),'recurring1_based on steps'!Z$1:Z$400,0)),Z$2,)</f>
        <v>0</v>
      </c>
      <c r="AA238" s="155">
        <f ca="1">IF(ISNUMBER(MATCH(DATEVALUE($A238),'recurring1_based on steps'!AA$1:AA$400,0)),AA$2,)</f>
        <v>0</v>
      </c>
      <c r="AB238" s="155">
        <f ca="1">IF(ISNUMBER(MATCH(DATEVALUE($A238),'recurring1_based on steps'!AB$1:AB$400,0)),AB$2,)</f>
        <v>0</v>
      </c>
      <c r="AC238" s="155">
        <f ca="1">IF(ISNUMBER(MATCH(DATEVALUE($A238),'recurring1_based on steps'!AC$1:AC$400,0)),AC$2,)</f>
        <v>0</v>
      </c>
      <c r="AD238" s="155">
        <f ca="1">IF(ISNUMBER(MATCH(DATEVALUE($A238),'recurring1_based on steps'!AD$1:AD$400,0)),AD$2,)</f>
        <v>0</v>
      </c>
      <c r="AE238" s="155">
        <f ca="1">IF(ISNUMBER(MATCH(DATEVALUE($A238),'recurring1_based on steps'!AE$1:AE$400,0)),AE$2,)</f>
        <v>0</v>
      </c>
      <c r="AF238" s="155">
        <f ca="1">IF(ISNUMBER(MATCH(DATEVALUE($A238),'recurring1_based on steps'!AF$1:AF$400,0)),AF$2,)</f>
        <v>0</v>
      </c>
      <c r="AG238" s="155">
        <f ca="1">IF(ISNUMBER(MATCH(DATEVALUE($A238),'recurring1_based on steps'!AG$1:AG$400,0)),AG$2,)</f>
        <v>0</v>
      </c>
      <c r="AH238" s="155">
        <f ca="1">IF(ISNUMBER(MATCH(DATEVALUE($A238),'recurring1_based on steps'!AH$1:AH$400,0)),AH$2,)</f>
        <v>0</v>
      </c>
      <c r="AI238" s="155">
        <f ca="1">IF(ISNUMBER(MATCH(DATEVALUE($A238),'recurring1_based on steps'!AI$1:AI$400,0)),AI$2,)</f>
        <v>0</v>
      </c>
      <c r="AJ238" s="155">
        <f ca="1">IF(ISNUMBER(MATCH(DATEVALUE($A238),'recurring1_based on steps'!AJ$1:AJ$400,0)),AJ$2,)</f>
        <v>0</v>
      </c>
      <c r="AK238" s="155">
        <f ca="1">IF(ISNUMBER(MATCH(DATEVALUE($A238),'recurring1_based on steps'!AK$1:AK$400,0)),AK$2,)</f>
        <v>0</v>
      </c>
      <c r="AL238" s="155">
        <f ca="1">IF(ISNUMBER(MATCH(DATEVALUE($A238),'recurring1_based on steps'!AL$1:AL$400,0)),AL$2,)</f>
        <v>0</v>
      </c>
      <c r="AM238" s="155">
        <f ca="1">IF(ISNUMBER(MATCH(DATEVALUE($A238),'recurring1_based on steps'!AM$1:AM$400,0)),AM$2,)</f>
        <v>0</v>
      </c>
      <c r="AN238" s="155">
        <f ca="1">IF(ISNUMBER(MATCH(DATEVALUE($A238),'recurring1_based on steps'!AN$1:AN$400,0)),AN$2,)</f>
        <v>0</v>
      </c>
      <c r="AO238" s="155">
        <f ca="1">IF(ISNUMBER(MATCH(DATEVALUE($A238),'recurring1_based on steps'!AO$1:AO$400,0)),AO$2,)</f>
        <v>0</v>
      </c>
      <c r="AP238" s="155">
        <f ca="1">IF(ISNUMBER(MATCH(DATEVALUE($A238),'recurring1_based on steps'!AP$1:AP$400,0)),AP$2,)</f>
        <v>0</v>
      </c>
      <c r="AQ238" s="155">
        <f ca="1">IF(ISNUMBER(MATCH(DATEVALUE($A238),'recurring1_based on steps'!AQ$1:AQ$400,0)),AQ$2,)</f>
        <v>0</v>
      </c>
      <c r="AR238" s="155">
        <f ca="1">IF(ISNUMBER(MATCH(DATEVALUE($A238),'recurring1_based on steps'!AR$1:AR$400,0)),AR$2,)</f>
        <v>0</v>
      </c>
      <c r="AS238" s="155">
        <f ca="1">IF(ISNUMBER(MATCH(DATEVALUE($A238),'recurring1_based on steps'!AS$1:AS$400,0)),AS$2,)</f>
        <v>0</v>
      </c>
      <c r="AT238" s="155">
        <f ca="1">IF(ISNUMBER(MATCH(DATEVALUE($A238),'recurring1_based on steps'!AT$1:AT$400,0)),AT$2,)</f>
        <v>0</v>
      </c>
      <c r="AU238" s="155">
        <f ca="1">IF(ISNUMBER(MATCH(DATEVALUE($A238),'recurring1_based on steps'!AU$1:AU$400,0)),AU$2,)</f>
        <v>0</v>
      </c>
      <c r="AV238" s="155">
        <f ca="1">IF(ISNUMBER(MATCH(DATEVALUE($A238),'recurring1_based on steps'!AV$1:AV$400,0)),AV$2,)</f>
        <v>0</v>
      </c>
      <c r="AW238" s="155">
        <f ca="1">IF(ISNUMBER(MATCH(DATEVALUE($A238),'recurring1_based on steps'!AW$1:AW$400,0)),AW$2,)</f>
        <v>0</v>
      </c>
      <c r="AX238" s="155">
        <f ca="1">IF(ISNUMBER(MATCH(DATEVALUE($A238),'recurring1_based on steps'!AX$1:AX$400,0)),AX$2,)</f>
        <v>0</v>
      </c>
      <c r="AY238" s="155">
        <f ca="1">IF(ISNUMBER(MATCH(DATEVALUE($A238),'recurring1_based on steps'!AY$1:AY$400,0)),AY$2,)</f>
        <v>0</v>
      </c>
    </row>
    <row r="239" spans="1:51" x14ac:dyDescent="0.2">
      <c r="A239" s="18" t="str">
        <f t="shared" ca="1" si="3"/>
        <v>2025-09-25</v>
      </c>
      <c r="B239" s="155">
        <f ca="1">IF(ISNUMBER(MATCH(DATEVALUE($A239),'recurring1_based on steps'!B$1:B$400,0)),B$2,)</f>
        <v>0</v>
      </c>
      <c r="C239" s="155">
        <f ca="1">IF(ISNUMBER(MATCH(DATEVALUE($A239),'recurring1_based on steps'!C$1:C$400,0)),C$2,)</f>
        <v>0</v>
      </c>
      <c r="D239" s="155">
        <f ca="1">IF(ISNUMBER(MATCH(DATEVALUE($A239),'recurring1_based on steps'!D$1:D$400,0)),D$2,)</f>
        <v>0</v>
      </c>
      <c r="E239" s="155">
        <f ca="1">IF(ISNUMBER(MATCH(DATEVALUE($A239),'recurring1_based on steps'!E$1:E$400,0)),E$2,)</f>
        <v>0</v>
      </c>
      <c r="F239" s="155">
        <f ca="1">IF(ISNUMBER(MATCH(DATEVALUE($A239),'recurring1_based on steps'!F$1:F$400,0)),F$2,)</f>
        <v>0</v>
      </c>
      <c r="G239" s="155">
        <f ca="1">IF(ISNUMBER(MATCH(DATEVALUE($A239),'recurring1_based on steps'!G$1:G$400,0)),G$2,)</f>
        <v>0</v>
      </c>
      <c r="H239" s="155">
        <f ca="1">IF(ISNUMBER(MATCH(DATEVALUE($A239),'recurring1_based on steps'!H$1:H$400,0)),H$2,)</f>
        <v>0</v>
      </c>
      <c r="I239" s="155">
        <f ca="1">IF(ISNUMBER(MATCH(DATEVALUE($A239),'recurring1_based on steps'!I$1:I$400,0)),I$2,)</f>
        <v>0</v>
      </c>
      <c r="J239" s="155">
        <f ca="1">IF(ISNUMBER(MATCH(DATEVALUE($A239),'recurring1_based on steps'!J$1:J$400,0)),J$2,)</f>
        <v>0</v>
      </c>
      <c r="K239" s="155">
        <f ca="1">IF(ISNUMBER(MATCH(DATEVALUE($A239),'recurring1_based on steps'!K$1:K$400,0)),K$2,)</f>
        <v>0</v>
      </c>
      <c r="L239" s="155">
        <f ca="1">IF(ISNUMBER(MATCH(DATEVALUE($A239),'recurring1_based on steps'!L$1:L$400,0)),L$2,)</f>
        <v>0</v>
      </c>
      <c r="M239" s="155">
        <f ca="1">IF(ISNUMBER(MATCH(DATEVALUE($A239),'recurring1_based on steps'!M$1:M$400,0)),M$2,)</f>
        <v>0</v>
      </c>
      <c r="N239" s="155">
        <f ca="1">IF(ISNUMBER(MATCH(DATEVALUE($A239),'recurring1_based on steps'!N$1:N$400,0)),N$2,)</f>
        <v>0</v>
      </c>
      <c r="O239" s="155">
        <f ca="1">IF(ISNUMBER(MATCH(DATEVALUE($A239),'recurring1_based on steps'!O$1:O$400,0)),O$2,)</f>
        <v>0</v>
      </c>
      <c r="P239" s="155">
        <f ca="1">IF(ISNUMBER(MATCH(DATEVALUE($A239),'recurring1_based on steps'!P$1:P$400,0)),P$2,)</f>
        <v>0</v>
      </c>
      <c r="Q239" s="155">
        <f ca="1">IF(ISNUMBER(MATCH(DATEVALUE($A239),'recurring1_based on steps'!Q$1:Q$400,0)),Q$2,)</f>
        <v>0</v>
      </c>
      <c r="R239" s="155">
        <f ca="1">IF(ISNUMBER(MATCH(DATEVALUE($A239),'recurring1_based on steps'!R$1:R$400,0)),R$2,)</f>
        <v>0</v>
      </c>
      <c r="S239" s="155">
        <f ca="1">IF(ISNUMBER(MATCH(DATEVALUE($A239),'recurring1_based on steps'!S$1:S$400,0)),S$2,)</f>
        <v>0</v>
      </c>
      <c r="T239" s="155">
        <f ca="1">IF(ISNUMBER(MATCH(DATEVALUE($A239),'recurring1_based on steps'!T$1:T$400,0)),T$2,)</f>
        <v>0</v>
      </c>
      <c r="U239" s="155">
        <f ca="1">IF(ISNUMBER(MATCH(DATEVALUE($A239),'recurring1_based on steps'!U$1:U$400,0)),U$2,)</f>
        <v>50</v>
      </c>
      <c r="V239" s="155">
        <f ca="1">IF(ISNUMBER(MATCH(DATEVALUE($A239),'recurring1_based on steps'!V$1:V$400,0)),V$2,)</f>
        <v>0</v>
      </c>
      <c r="W239" s="155">
        <f ca="1">IF(ISNUMBER(MATCH(DATEVALUE($A239),'recurring1_based on steps'!W$1:W$400,0)),W$2,)</f>
        <v>0</v>
      </c>
      <c r="X239" s="155">
        <f ca="1">IF(ISNUMBER(MATCH(DATEVALUE($A239),'recurring1_based on steps'!X$1:X$400,0)),X$2,)</f>
        <v>0</v>
      </c>
      <c r="Y239" s="155">
        <f ca="1">IF(ISNUMBER(MATCH(DATEVALUE($A239),'recurring1_based on steps'!Y$1:Y$400,0)),Y$2,)</f>
        <v>0</v>
      </c>
      <c r="Z239" s="155">
        <f ca="1">IF(ISNUMBER(MATCH(DATEVALUE($A239),'recurring1_based on steps'!Z$1:Z$400,0)),Z$2,)</f>
        <v>0</v>
      </c>
      <c r="AA239" s="155">
        <f ca="1">IF(ISNUMBER(MATCH(DATEVALUE($A239),'recurring1_based on steps'!AA$1:AA$400,0)),AA$2,)</f>
        <v>0</v>
      </c>
      <c r="AB239" s="155">
        <f ca="1">IF(ISNUMBER(MATCH(DATEVALUE($A239),'recurring1_based on steps'!AB$1:AB$400,0)),AB$2,)</f>
        <v>0</v>
      </c>
      <c r="AC239" s="155">
        <f ca="1">IF(ISNUMBER(MATCH(DATEVALUE($A239),'recurring1_based on steps'!AC$1:AC$400,0)),AC$2,)</f>
        <v>0</v>
      </c>
      <c r="AD239" s="155">
        <f ca="1">IF(ISNUMBER(MATCH(DATEVALUE($A239),'recurring1_based on steps'!AD$1:AD$400,0)),AD$2,)</f>
        <v>0</v>
      </c>
      <c r="AE239" s="155">
        <f ca="1">IF(ISNUMBER(MATCH(DATEVALUE($A239),'recurring1_based on steps'!AE$1:AE$400,0)),AE$2,)</f>
        <v>0</v>
      </c>
      <c r="AF239" s="155">
        <f ca="1">IF(ISNUMBER(MATCH(DATEVALUE($A239),'recurring1_based on steps'!AF$1:AF$400,0)),AF$2,)</f>
        <v>0</v>
      </c>
      <c r="AG239" s="155">
        <f ca="1">IF(ISNUMBER(MATCH(DATEVALUE($A239),'recurring1_based on steps'!AG$1:AG$400,0)),AG$2,)</f>
        <v>0</v>
      </c>
      <c r="AH239" s="155">
        <f ca="1">IF(ISNUMBER(MATCH(DATEVALUE($A239),'recurring1_based on steps'!AH$1:AH$400,0)),AH$2,)</f>
        <v>0</v>
      </c>
      <c r="AI239" s="155">
        <f ca="1">IF(ISNUMBER(MATCH(DATEVALUE($A239),'recurring1_based on steps'!AI$1:AI$400,0)),AI$2,)</f>
        <v>0</v>
      </c>
      <c r="AJ239" s="155">
        <f ca="1">IF(ISNUMBER(MATCH(DATEVALUE($A239),'recurring1_based on steps'!AJ$1:AJ$400,0)),AJ$2,)</f>
        <v>0</v>
      </c>
      <c r="AK239" s="155">
        <f ca="1">IF(ISNUMBER(MATCH(DATEVALUE($A239),'recurring1_based on steps'!AK$1:AK$400,0)),AK$2,)</f>
        <v>0</v>
      </c>
      <c r="AL239" s="155">
        <f ca="1">IF(ISNUMBER(MATCH(DATEVALUE($A239),'recurring1_based on steps'!AL$1:AL$400,0)),AL$2,)</f>
        <v>0</v>
      </c>
      <c r="AM239" s="155">
        <f ca="1">IF(ISNUMBER(MATCH(DATEVALUE($A239),'recurring1_based on steps'!AM$1:AM$400,0)),AM$2,)</f>
        <v>0</v>
      </c>
      <c r="AN239" s="155">
        <f ca="1">IF(ISNUMBER(MATCH(DATEVALUE($A239),'recurring1_based on steps'!AN$1:AN$400,0)),AN$2,)</f>
        <v>0</v>
      </c>
      <c r="AO239" s="155">
        <f ca="1">IF(ISNUMBER(MATCH(DATEVALUE($A239),'recurring1_based on steps'!AO$1:AO$400,0)),AO$2,)</f>
        <v>0</v>
      </c>
      <c r="AP239" s="155">
        <f ca="1">IF(ISNUMBER(MATCH(DATEVALUE($A239),'recurring1_based on steps'!AP$1:AP$400,0)),AP$2,)</f>
        <v>0</v>
      </c>
      <c r="AQ239" s="155">
        <f ca="1">IF(ISNUMBER(MATCH(DATEVALUE($A239),'recurring1_based on steps'!AQ$1:AQ$400,0)),AQ$2,)</f>
        <v>0</v>
      </c>
      <c r="AR239" s="155">
        <f ca="1">IF(ISNUMBER(MATCH(DATEVALUE($A239),'recurring1_based on steps'!AR$1:AR$400,0)),AR$2,)</f>
        <v>0</v>
      </c>
      <c r="AS239" s="155">
        <f ca="1">IF(ISNUMBER(MATCH(DATEVALUE($A239),'recurring1_based on steps'!AS$1:AS$400,0)),AS$2,)</f>
        <v>0</v>
      </c>
      <c r="AT239" s="155">
        <f ca="1">IF(ISNUMBER(MATCH(DATEVALUE($A239),'recurring1_based on steps'!AT$1:AT$400,0)),AT$2,)</f>
        <v>0</v>
      </c>
      <c r="AU239" s="155">
        <f ca="1">IF(ISNUMBER(MATCH(DATEVALUE($A239),'recurring1_based on steps'!AU$1:AU$400,0)),AU$2,)</f>
        <v>0</v>
      </c>
      <c r="AV239" s="155">
        <f ca="1">IF(ISNUMBER(MATCH(DATEVALUE($A239),'recurring1_based on steps'!AV$1:AV$400,0)),AV$2,)</f>
        <v>0</v>
      </c>
      <c r="AW239" s="155">
        <f ca="1">IF(ISNUMBER(MATCH(DATEVALUE($A239),'recurring1_based on steps'!AW$1:AW$400,0)),AW$2,)</f>
        <v>0</v>
      </c>
      <c r="AX239" s="155">
        <f ca="1">IF(ISNUMBER(MATCH(DATEVALUE($A239),'recurring1_based on steps'!AX$1:AX$400,0)),AX$2,)</f>
        <v>0</v>
      </c>
      <c r="AY239" s="155">
        <f ca="1">IF(ISNUMBER(MATCH(DATEVALUE($A239),'recurring1_based on steps'!AY$1:AY$400,0)),AY$2,)</f>
        <v>0</v>
      </c>
    </row>
    <row r="240" spans="1:51" x14ac:dyDescent="0.2">
      <c r="A240" s="18" t="str">
        <f t="shared" ca="1" si="3"/>
        <v>2025-09-26</v>
      </c>
      <c r="B240" s="155">
        <f ca="1">IF(ISNUMBER(MATCH(DATEVALUE($A240),'recurring1_based on steps'!B$1:B$400,0)),B$2,)</f>
        <v>0</v>
      </c>
      <c r="C240" s="155">
        <f ca="1">IF(ISNUMBER(MATCH(DATEVALUE($A240),'recurring1_based on steps'!C$1:C$400,0)),C$2,)</f>
        <v>0</v>
      </c>
      <c r="D240" s="155">
        <f ca="1">IF(ISNUMBER(MATCH(DATEVALUE($A240),'recurring1_based on steps'!D$1:D$400,0)),D$2,)</f>
        <v>0</v>
      </c>
      <c r="E240" s="155">
        <f ca="1">IF(ISNUMBER(MATCH(DATEVALUE($A240),'recurring1_based on steps'!E$1:E$400,0)),E$2,)</f>
        <v>0</v>
      </c>
      <c r="F240" s="155">
        <f ca="1">IF(ISNUMBER(MATCH(DATEVALUE($A240),'recurring1_based on steps'!F$1:F$400,0)),F$2,)</f>
        <v>0</v>
      </c>
      <c r="G240" s="155">
        <f ca="1">IF(ISNUMBER(MATCH(DATEVALUE($A240),'recurring1_based on steps'!G$1:G$400,0)),G$2,)</f>
        <v>0</v>
      </c>
      <c r="H240" s="155">
        <f ca="1">IF(ISNUMBER(MATCH(DATEVALUE($A240),'recurring1_based on steps'!H$1:H$400,0)),H$2,)</f>
        <v>0</v>
      </c>
      <c r="I240" s="155">
        <f ca="1">IF(ISNUMBER(MATCH(DATEVALUE($A240),'recurring1_based on steps'!I$1:I$400,0)),I$2,)</f>
        <v>0</v>
      </c>
      <c r="J240" s="155">
        <f ca="1">IF(ISNUMBER(MATCH(DATEVALUE($A240),'recurring1_based on steps'!J$1:J$400,0)),J$2,)</f>
        <v>0</v>
      </c>
      <c r="K240" s="155">
        <f ca="1">IF(ISNUMBER(MATCH(DATEVALUE($A240),'recurring1_based on steps'!K$1:K$400,0)),K$2,)</f>
        <v>0</v>
      </c>
      <c r="L240" s="155">
        <f ca="1">IF(ISNUMBER(MATCH(DATEVALUE($A240),'recurring1_based on steps'!L$1:L$400,0)),L$2,)</f>
        <v>0</v>
      </c>
      <c r="M240" s="155">
        <f ca="1">IF(ISNUMBER(MATCH(DATEVALUE($A240),'recurring1_based on steps'!M$1:M$400,0)),M$2,)</f>
        <v>0</v>
      </c>
      <c r="N240" s="155">
        <f ca="1">IF(ISNUMBER(MATCH(DATEVALUE($A240),'recurring1_based on steps'!N$1:N$400,0)),N$2,)</f>
        <v>0</v>
      </c>
      <c r="O240" s="155">
        <f ca="1">IF(ISNUMBER(MATCH(DATEVALUE($A240),'recurring1_based on steps'!O$1:O$400,0)),O$2,)</f>
        <v>0</v>
      </c>
      <c r="P240" s="155">
        <f ca="1">IF(ISNUMBER(MATCH(DATEVALUE($A240),'recurring1_based on steps'!P$1:P$400,0)),P$2,)</f>
        <v>0</v>
      </c>
      <c r="Q240" s="155">
        <f ca="1">IF(ISNUMBER(MATCH(DATEVALUE($A240),'recurring1_based on steps'!Q$1:Q$400,0)),Q$2,)</f>
        <v>0</v>
      </c>
      <c r="R240" s="155">
        <f ca="1">IF(ISNUMBER(MATCH(DATEVALUE($A240),'recurring1_based on steps'!R$1:R$400,0)),R$2,)</f>
        <v>0</v>
      </c>
      <c r="S240" s="155">
        <f ca="1">IF(ISNUMBER(MATCH(DATEVALUE($A240),'recurring1_based on steps'!S$1:S$400,0)),S$2,)</f>
        <v>0</v>
      </c>
      <c r="T240" s="155">
        <f ca="1">IF(ISNUMBER(MATCH(DATEVALUE($A240),'recurring1_based on steps'!T$1:T$400,0)),T$2,)</f>
        <v>0</v>
      </c>
      <c r="U240" s="155">
        <f ca="1">IF(ISNUMBER(MATCH(DATEVALUE($A240),'recurring1_based on steps'!U$1:U$400,0)),U$2,)</f>
        <v>0</v>
      </c>
      <c r="V240" s="155">
        <f ca="1">IF(ISNUMBER(MATCH(DATEVALUE($A240),'recurring1_based on steps'!V$1:V$400,0)),V$2,)</f>
        <v>0</v>
      </c>
      <c r="W240" s="155">
        <f ca="1">IF(ISNUMBER(MATCH(DATEVALUE($A240),'recurring1_based on steps'!W$1:W$400,0)),W$2,)</f>
        <v>0</v>
      </c>
      <c r="X240" s="155">
        <f ca="1">IF(ISNUMBER(MATCH(DATEVALUE($A240),'recurring1_based on steps'!X$1:X$400,0)),X$2,)</f>
        <v>0</v>
      </c>
      <c r="Y240" s="155">
        <f ca="1">IF(ISNUMBER(MATCH(DATEVALUE($A240),'recurring1_based on steps'!Y$1:Y$400,0)),Y$2,)</f>
        <v>0</v>
      </c>
      <c r="Z240" s="155">
        <f ca="1">IF(ISNUMBER(MATCH(DATEVALUE($A240),'recurring1_based on steps'!Z$1:Z$400,0)),Z$2,)</f>
        <v>0</v>
      </c>
      <c r="AA240" s="155">
        <f ca="1">IF(ISNUMBER(MATCH(DATEVALUE($A240),'recurring1_based on steps'!AA$1:AA$400,0)),AA$2,)</f>
        <v>0</v>
      </c>
      <c r="AB240" s="155">
        <f ca="1">IF(ISNUMBER(MATCH(DATEVALUE($A240),'recurring1_based on steps'!AB$1:AB$400,0)),AB$2,)</f>
        <v>0</v>
      </c>
      <c r="AC240" s="155">
        <f ca="1">IF(ISNUMBER(MATCH(DATEVALUE($A240),'recurring1_based on steps'!AC$1:AC$400,0)),AC$2,)</f>
        <v>0</v>
      </c>
      <c r="AD240" s="155">
        <f ca="1">IF(ISNUMBER(MATCH(DATEVALUE($A240),'recurring1_based on steps'!AD$1:AD$400,0)),AD$2,)</f>
        <v>0</v>
      </c>
      <c r="AE240" s="155">
        <f ca="1">IF(ISNUMBER(MATCH(DATEVALUE($A240),'recurring1_based on steps'!AE$1:AE$400,0)),AE$2,)</f>
        <v>0</v>
      </c>
      <c r="AF240" s="155">
        <f ca="1">IF(ISNUMBER(MATCH(DATEVALUE($A240),'recurring1_based on steps'!AF$1:AF$400,0)),AF$2,)</f>
        <v>0</v>
      </c>
      <c r="AG240" s="155">
        <f ca="1">IF(ISNUMBER(MATCH(DATEVALUE($A240),'recurring1_based on steps'!AG$1:AG$400,0)),AG$2,)</f>
        <v>0</v>
      </c>
      <c r="AH240" s="155">
        <f ca="1">IF(ISNUMBER(MATCH(DATEVALUE($A240),'recurring1_based on steps'!AH$1:AH$400,0)),AH$2,)</f>
        <v>0</v>
      </c>
      <c r="AI240" s="155">
        <f ca="1">IF(ISNUMBER(MATCH(DATEVALUE($A240),'recurring1_based on steps'!AI$1:AI$400,0)),AI$2,)</f>
        <v>0</v>
      </c>
      <c r="AJ240" s="155">
        <f ca="1">IF(ISNUMBER(MATCH(DATEVALUE($A240),'recurring1_based on steps'!AJ$1:AJ$400,0)),AJ$2,)</f>
        <v>0</v>
      </c>
      <c r="AK240" s="155">
        <f ca="1">IF(ISNUMBER(MATCH(DATEVALUE($A240),'recurring1_based on steps'!AK$1:AK$400,0)),AK$2,)</f>
        <v>0</v>
      </c>
      <c r="AL240" s="155">
        <f ca="1">IF(ISNUMBER(MATCH(DATEVALUE($A240),'recurring1_based on steps'!AL$1:AL$400,0)),AL$2,)</f>
        <v>0</v>
      </c>
      <c r="AM240" s="155">
        <f ca="1">IF(ISNUMBER(MATCH(DATEVALUE($A240),'recurring1_based on steps'!AM$1:AM$400,0)),AM$2,)</f>
        <v>0</v>
      </c>
      <c r="AN240" s="155">
        <f ca="1">IF(ISNUMBER(MATCH(DATEVALUE($A240),'recurring1_based on steps'!AN$1:AN$400,0)),AN$2,)</f>
        <v>0</v>
      </c>
      <c r="AO240" s="155">
        <f ca="1">IF(ISNUMBER(MATCH(DATEVALUE($A240),'recurring1_based on steps'!AO$1:AO$400,0)),AO$2,)</f>
        <v>0</v>
      </c>
      <c r="AP240" s="155">
        <f ca="1">IF(ISNUMBER(MATCH(DATEVALUE($A240),'recurring1_based on steps'!AP$1:AP$400,0)),AP$2,)</f>
        <v>0</v>
      </c>
      <c r="AQ240" s="155">
        <f ca="1">IF(ISNUMBER(MATCH(DATEVALUE($A240),'recurring1_based on steps'!AQ$1:AQ$400,0)),AQ$2,)</f>
        <v>0</v>
      </c>
      <c r="AR240" s="155">
        <f ca="1">IF(ISNUMBER(MATCH(DATEVALUE($A240),'recurring1_based on steps'!AR$1:AR$400,0)),AR$2,)</f>
        <v>0</v>
      </c>
      <c r="AS240" s="155">
        <f ca="1">IF(ISNUMBER(MATCH(DATEVALUE($A240),'recurring1_based on steps'!AS$1:AS$400,0)),AS$2,)</f>
        <v>0</v>
      </c>
      <c r="AT240" s="155">
        <f ca="1">IF(ISNUMBER(MATCH(DATEVALUE($A240),'recurring1_based on steps'!AT$1:AT$400,0)),AT$2,)</f>
        <v>0</v>
      </c>
      <c r="AU240" s="155">
        <f ca="1">IF(ISNUMBER(MATCH(DATEVALUE($A240),'recurring1_based on steps'!AU$1:AU$400,0)),AU$2,)</f>
        <v>0</v>
      </c>
      <c r="AV240" s="155">
        <f ca="1">IF(ISNUMBER(MATCH(DATEVALUE($A240),'recurring1_based on steps'!AV$1:AV$400,0)),AV$2,)</f>
        <v>0</v>
      </c>
      <c r="AW240" s="155">
        <f ca="1">IF(ISNUMBER(MATCH(DATEVALUE($A240),'recurring1_based on steps'!AW$1:AW$400,0)),AW$2,)</f>
        <v>0</v>
      </c>
      <c r="AX240" s="155">
        <f ca="1">IF(ISNUMBER(MATCH(DATEVALUE($A240),'recurring1_based on steps'!AX$1:AX$400,0)),AX$2,)</f>
        <v>0</v>
      </c>
      <c r="AY240" s="155">
        <f ca="1">IF(ISNUMBER(MATCH(DATEVALUE($A240),'recurring1_based on steps'!AY$1:AY$400,0)),AY$2,)</f>
        <v>0</v>
      </c>
    </row>
    <row r="241" spans="1:51" x14ac:dyDescent="0.2">
      <c r="A241" s="18" t="str">
        <f t="shared" ca="1" si="3"/>
        <v>2025-09-27</v>
      </c>
      <c r="B241" s="155">
        <f ca="1">IF(ISNUMBER(MATCH(DATEVALUE($A241),'recurring1_based on steps'!B$1:B$400,0)),B$2,)</f>
        <v>0</v>
      </c>
      <c r="C241" s="155">
        <f ca="1">IF(ISNUMBER(MATCH(DATEVALUE($A241),'recurring1_based on steps'!C$1:C$400,0)),C$2,)</f>
        <v>0</v>
      </c>
      <c r="D241" s="155">
        <f ca="1">IF(ISNUMBER(MATCH(DATEVALUE($A241),'recurring1_based on steps'!D$1:D$400,0)),D$2,)</f>
        <v>0</v>
      </c>
      <c r="E241" s="155">
        <f ca="1">IF(ISNUMBER(MATCH(DATEVALUE($A241),'recurring1_based on steps'!E$1:E$400,0)),E$2,)</f>
        <v>0</v>
      </c>
      <c r="F241" s="155">
        <f ca="1">IF(ISNUMBER(MATCH(DATEVALUE($A241),'recurring1_based on steps'!F$1:F$400,0)),F$2,)</f>
        <v>0</v>
      </c>
      <c r="G241" s="155">
        <f ca="1">IF(ISNUMBER(MATCH(DATEVALUE($A241),'recurring1_based on steps'!G$1:G$400,0)),G$2,)</f>
        <v>0</v>
      </c>
      <c r="H241" s="155">
        <f ca="1">IF(ISNUMBER(MATCH(DATEVALUE($A241),'recurring1_based on steps'!H$1:H$400,0)),H$2,)</f>
        <v>0</v>
      </c>
      <c r="I241" s="155">
        <f ca="1">IF(ISNUMBER(MATCH(DATEVALUE($A241),'recurring1_based on steps'!I$1:I$400,0)),I$2,)</f>
        <v>0</v>
      </c>
      <c r="J241" s="155">
        <f ca="1">IF(ISNUMBER(MATCH(DATEVALUE($A241),'recurring1_based on steps'!J$1:J$400,0)),J$2,)</f>
        <v>0</v>
      </c>
      <c r="K241" s="155">
        <f ca="1">IF(ISNUMBER(MATCH(DATEVALUE($A241),'recurring1_based on steps'!K$1:K$400,0)),K$2,)</f>
        <v>0</v>
      </c>
      <c r="L241" s="155">
        <f ca="1">IF(ISNUMBER(MATCH(DATEVALUE($A241),'recurring1_based on steps'!L$1:L$400,0)),L$2,)</f>
        <v>0</v>
      </c>
      <c r="M241" s="155">
        <f ca="1">IF(ISNUMBER(MATCH(DATEVALUE($A241),'recurring1_based on steps'!M$1:M$400,0)),M$2,)</f>
        <v>0</v>
      </c>
      <c r="N241" s="155">
        <f ca="1">IF(ISNUMBER(MATCH(DATEVALUE($A241),'recurring1_based on steps'!N$1:N$400,0)),N$2,)</f>
        <v>0</v>
      </c>
      <c r="O241" s="155">
        <f ca="1">IF(ISNUMBER(MATCH(DATEVALUE($A241),'recurring1_based on steps'!O$1:O$400,0)),O$2,)</f>
        <v>0</v>
      </c>
      <c r="P241" s="155">
        <f ca="1">IF(ISNUMBER(MATCH(DATEVALUE($A241),'recurring1_based on steps'!P$1:P$400,0)),P$2,)</f>
        <v>2.99</v>
      </c>
      <c r="Q241" s="155">
        <f ca="1">IF(ISNUMBER(MATCH(DATEVALUE($A241),'recurring1_based on steps'!Q$1:Q$400,0)),Q$2,)</f>
        <v>100</v>
      </c>
      <c r="R241" s="155">
        <f ca="1">IF(ISNUMBER(MATCH(DATEVALUE($A241),'recurring1_based on steps'!R$1:R$400,0)),R$2,)</f>
        <v>100</v>
      </c>
      <c r="S241" s="155">
        <f ca="1">IF(ISNUMBER(MATCH(DATEVALUE($A241),'recurring1_based on steps'!S$1:S$400,0)),S$2,)</f>
        <v>0</v>
      </c>
      <c r="T241" s="155">
        <f ca="1">IF(ISNUMBER(MATCH(DATEVALUE($A241),'recurring1_based on steps'!T$1:T$400,0)),T$2,)</f>
        <v>0</v>
      </c>
      <c r="U241" s="155">
        <f ca="1">IF(ISNUMBER(MATCH(DATEVALUE($A241),'recurring1_based on steps'!U$1:U$400,0)),U$2,)</f>
        <v>0</v>
      </c>
      <c r="V241" s="155">
        <f ca="1">IF(ISNUMBER(MATCH(DATEVALUE($A241),'recurring1_based on steps'!V$1:V$400,0)),V$2,)</f>
        <v>0</v>
      </c>
      <c r="W241" s="155">
        <f ca="1">IF(ISNUMBER(MATCH(DATEVALUE($A241),'recurring1_based on steps'!W$1:W$400,0)),W$2,)</f>
        <v>0</v>
      </c>
      <c r="X241" s="155">
        <f ca="1">IF(ISNUMBER(MATCH(DATEVALUE($A241),'recurring1_based on steps'!X$1:X$400,0)),X$2,)</f>
        <v>0</v>
      </c>
      <c r="Y241" s="155">
        <f ca="1">IF(ISNUMBER(MATCH(DATEVALUE($A241),'recurring1_based on steps'!Y$1:Y$400,0)),Y$2,)</f>
        <v>0</v>
      </c>
      <c r="Z241" s="155">
        <f ca="1">IF(ISNUMBER(MATCH(DATEVALUE($A241),'recurring1_based on steps'!Z$1:Z$400,0)),Z$2,)</f>
        <v>0</v>
      </c>
      <c r="AA241" s="155">
        <f ca="1">IF(ISNUMBER(MATCH(DATEVALUE($A241),'recurring1_based on steps'!AA$1:AA$400,0)),AA$2,)</f>
        <v>0</v>
      </c>
      <c r="AB241" s="155">
        <f ca="1">IF(ISNUMBER(MATCH(DATEVALUE($A241),'recurring1_based on steps'!AB$1:AB$400,0)),AB$2,)</f>
        <v>0</v>
      </c>
      <c r="AC241" s="155">
        <f ca="1">IF(ISNUMBER(MATCH(DATEVALUE($A241),'recurring1_based on steps'!AC$1:AC$400,0)),AC$2,)</f>
        <v>0</v>
      </c>
      <c r="AD241" s="155">
        <f ca="1">IF(ISNUMBER(MATCH(DATEVALUE($A241),'recurring1_based on steps'!AD$1:AD$400,0)),AD$2,)</f>
        <v>0</v>
      </c>
      <c r="AE241" s="155">
        <f ca="1">IF(ISNUMBER(MATCH(DATEVALUE($A241),'recurring1_based on steps'!AE$1:AE$400,0)),AE$2,)</f>
        <v>0</v>
      </c>
      <c r="AF241" s="155">
        <f ca="1">IF(ISNUMBER(MATCH(DATEVALUE($A241),'recurring1_based on steps'!AF$1:AF$400,0)),AF$2,)</f>
        <v>0</v>
      </c>
      <c r="AG241" s="155">
        <f ca="1">IF(ISNUMBER(MATCH(DATEVALUE($A241),'recurring1_based on steps'!AG$1:AG$400,0)),AG$2,)</f>
        <v>0</v>
      </c>
      <c r="AH241" s="155">
        <f ca="1">IF(ISNUMBER(MATCH(DATEVALUE($A241),'recurring1_based on steps'!AH$1:AH$400,0)),AH$2,)</f>
        <v>0</v>
      </c>
      <c r="AI241" s="155">
        <f ca="1">IF(ISNUMBER(MATCH(DATEVALUE($A241),'recurring1_based on steps'!AI$1:AI$400,0)),AI$2,)</f>
        <v>0</v>
      </c>
      <c r="AJ241" s="155">
        <f ca="1">IF(ISNUMBER(MATCH(DATEVALUE($A241),'recurring1_based on steps'!AJ$1:AJ$400,0)),AJ$2,)</f>
        <v>0</v>
      </c>
      <c r="AK241" s="155">
        <f ca="1">IF(ISNUMBER(MATCH(DATEVALUE($A241),'recurring1_based on steps'!AK$1:AK$400,0)),AK$2,)</f>
        <v>0</v>
      </c>
      <c r="AL241" s="155">
        <f ca="1">IF(ISNUMBER(MATCH(DATEVALUE($A241),'recurring1_based on steps'!AL$1:AL$400,0)),AL$2,)</f>
        <v>0</v>
      </c>
      <c r="AM241" s="155">
        <f ca="1">IF(ISNUMBER(MATCH(DATEVALUE($A241),'recurring1_based on steps'!AM$1:AM$400,0)),AM$2,)</f>
        <v>0</v>
      </c>
      <c r="AN241" s="155">
        <f ca="1">IF(ISNUMBER(MATCH(DATEVALUE($A241),'recurring1_based on steps'!AN$1:AN$400,0)),AN$2,)</f>
        <v>0</v>
      </c>
      <c r="AO241" s="155">
        <f ca="1">IF(ISNUMBER(MATCH(DATEVALUE($A241),'recurring1_based on steps'!AO$1:AO$400,0)),AO$2,)</f>
        <v>0</v>
      </c>
      <c r="AP241" s="155">
        <f ca="1">IF(ISNUMBER(MATCH(DATEVALUE($A241),'recurring1_based on steps'!AP$1:AP$400,0)),AP$2,)</f>
        <v>0</v>
      </c>
      <c r="AQ241" s="155">
        <f ca="1">IF(ISNUMBER(MATCH(DATEVALUE($A241),'recurring1_based on steps'!AQ$1:AQ$400,0)),AQ$2,)</f>
        <v>0</v>
      </c>
      <c r="AR241" s="155">
        <f ca="1">IF(ISNUMBER(MATCH(DATEVALUE($A241),'recurring1_based on steps'!AR$1:AR$400,0)),AR$2,)</f>
        <v>0</v>
      </c>
      <c r="AS241" s="155">
        <f ca="1">IF(ISNUMBER(MATCH(DATEVALUE($A241),'recurring1_based on steps'!AS$1:AS$400,0)),AS$2,)</f>
        <v>0</v>
      </c>
      <c r="AT241" s="155">
        <f ca="1">IF(ISNUMBER(MATCH(DATEVALUE($A241),'recurring1_based on steps'!AT$1:AT$400,0)),AT$2,)</f>
        <v>0</v>
      </c>
      <c r="AU241" s="155">
        <f ca="1">IF(ISNUMBER(MATCH(DATEVALUE($A241),'recurring1_based on steps'!AU$1:AU$400,0)),AU$2,)</f>
        <v>0</v>
      </c>
      <c r="AV241" s="155">
        <f ca="1">IF(ISNUMBER(MATCH(DATEVALUE($A241),'recurring1_based on steps'!AV$1:AV$400,0)),AV$2,)</f>
        <v>0</v>
      </c>
      <c r="AW241" s="155">
        <f ca="1">IF(ISNUMBER(MATCH(DATEVALUE($A241),'recurring1_based on steps'!AW$1:AW$400,0)),AW$2,)</f>
        <v>0</v>
      </c>
      <c r="AX241" s="155">
        <f ca="1">IF(ISNUMBER(MATCH(DATEVALUE($A241),'recurring1_based on steps'!AX$1:AX$400,0)),AX$2,)</f>
        <v>0</v>
      </c>
      <c r="AY241" s="155">
        <f ca="1">IF(ISNUMBER(MATCH(DATEVALUE($A241),'recurring1_based on steps'!AY$1:AY$400,0)),AY$2,)</f>
        <v>0</v>
      </c>
    </row>
    <row r="242" spans="1:51" x14ac:dyDescent="0.2">
      <c r="A242" s="18" t="str">
        <f t="shared" ca="1" si="3"/>
        <v>2025-09-28</v>
      </c>
      <c r="B242" s="155">
        <f ca="1">IF(ISNUMBER(MATCH(DATEVALUE($A242),'recurring1_based on steps'!B$1:B$400,0)),B$2,)</f>
        <v>0</v>
      </c>
      <c r="C242" s="155">
        <f ca="1">IF(ISNUMBER(MATCH(DATEVALUE($A242),'recurring1_based on steps'!C$1:C$400,0)),C$2,)</f>
        <v>0</v>
      </c>
      <c r="D242" s="155">
        <f ca="1">IF(ISNUMBER(MATCH(DATEVALUE($A242),'recurring1_based on steps'!D$1:D$400,0)),D$2,)</f>
        <v>0</v>
      </c>
      <c r="E242" s="155">
        <f ca="1">IF(ISNUMBER(MATCH(DATEVALUE($A242),'recurring1_based on steps'!E$1:E$400,0)),E$2,)</f>
        <v>0</v>
      </c>
      <c r="F242" s="155">
        <f ca="1">IF(ISNUMBER(MATCH(DATEVALUE($A242),'recurring1_based on steps'!F$1:F$400,0)),F$2,)</f>
        <v>0</v>
      </c>
      <c r="G242" s="155">
        <f ca="1">IF(ISNUMBER(MATCH(DATEVALUE($A242),'recurring1_based on steps'!G$1:G$400,0)),G$2,)</f>
        <v>0</v>
      </c>
      <c r="H242" s="155">
        <f ca="1">IF(ISNUMBER(MATCH(DATEVALUE($A242),'recurring1_based on steps'!H$1:H$400,0)),H$2,)</f>
        <v>40</v>
      </c>
      <c r="I242" s="155">
        <f ca="1">IF(ISNUMBER(MATCH(DATEVALUE($A242),'recurring1_based on steps'!I$1:I$400,0)),I$2,)</f>
        <v>0</v>
      </c>
      <c r="J242" s="155">
        <f ca="1">IF(ISNUMBER(MATCH(DATEVALUE($A242),'recurring1_based on steps'!J$1:J$400,0)),J$2,)</f>
        <v>0</v>
      </c>
      <c r="K242" s="155">
        <f ca="1">IF(ISNUMBER(MATCH(DATEVALUE($A242),'recurring1_based on steps'!K$1:K$400,0)),K$2,)</f>
        <v>50</v>
      </c>
      <c r="L242" s="155">
        <f ca="1">IF(ISNUMBER(MATCH(DATEVALUE($A242),'recurring1_based on steps'!L$1:L$400,0)),L$2,)</f>
        <v>0</v>
      </c>
      <c r="M242" s="155">
        <f ca="1">IF(ISNUMBER(MATCH(DATEVALUE($A242),'recurring1_based on steps'!M$1:M$400,0)),M$2,)</f>
        <v>0</v>
      </c>
      <c r="N242" s="155">
        <f ca="1">IF(ISNUMBER(MATCH(DATEVALUE($A242),'recurring1_based on steps'!N$1:N$400,0)),N$2,)</f>
        <v>0</v>
      </c>
      <c r="O242" s="155">
        <f ca="1">IF(ISNUMBER(MATCH(DATEVALUE($A242),'recurring1_based on steps'!O$1:O$400,0)),O$2,)</f>
        <v>0</v>
      </c>
      <c r="P242" s="155">
        <f ca="1">IF(ISNUMBER(MATCH(DATEVALUE($A242),'recurring1_based on steps'!P$1:P$400,0)),P$2,)</f>
        <v>0</v>
      </c>
      <c r="Q242" s="155">
        <f ca="1">IF(ISNUMBER(MATCH(DATEVALUE($A242),'recurring1_based on steps'!Q$1:Q$400,0)),Q$2,)</f>
        <v>0</v>
      </c>
      <c r="R242" s="155">
        <f ca="1">IF(ISNUMBER(MATCH(DATEVALUE($A242),'recurring1_based on steps'!R$1:R$400,0)),R$2,)</f>
        <v>0</v>
      </c>
      <c r="S242" s="155">
        <f ca="1">IF(ISNUMBER(MATCH(DATEVALUE($A242),'recurring1_based on steps'!S$1:S$400,0)),S$2,)</f>
        <v>100</v>
      </c>
      <c r="T242" s="155">
        <f ca="1">IF(ISNUMBER(MATCH(DATEVALUE($A242),'recurring1_based on steps'!T$1:T$400,0)),T$2,)</f>
        <v>0</v>
      </c>
      <c r="U242" s="155">
        <f ca="1">IF(ISNUMBER(MATCH(DATEVALUE($A242),'recurring1_based on steps'!U$1:U$400,0)),U$2,)</f>
        <v>0</v>
      </c>
      <c r="V242" s="155">
        <f ca="1">IF(ISNUMBER(MATCH(DATEVALUE($A242),'recurring1_based on steps'!V$1:V$400,0)),V$2,)</f>
        <v>0</v>
      </c>
      <c r="W242" s="155">
        <f ca="1">IF(ISNUMBER(MATCH(DATEVALUE($A242),'recurring1_based on steps'!W$1:W$400,0)),W$2,)</f>
        <v>100</v>
      </c>
      <c r="X242" s="155">
        <f ca="1">IF(ISNUMBER(MATCH(DATEVALUE($A242),'recurring1_based on steps'!X$1:X$400,0)),X$2,)</f>
        <v>0</v>
      </c>
      <c r="Y242" s="155">
        <f ca="1">IF(ISNUMBER(MATCH(DATEVALUE($A242),'recurring1_based on steps'!Y$1:Y$400,0)),Y$2,)</f>
        <v>0</v>
      </c>
      <c r="Z242" s="155">
        <f ca="1">IF(ISNUMBER(MATCH(DATEVALUE($A242),'recurring1_based on steps'!Z$1:Z$400,0)),Z$2,)</f>
        <v>0</v>
      </c>
      <c r="AA242" s="155">
        <f ca="1">IF(ISNUMBER(MATCH(DATEVALUE($A242),'recurring1_based on steps'!AA$1:AA$400,0)),AA$2,)</f>
        <v>0</v>
      </c>
      <c r="AB242" s="155">
        <f ca="1">IF(ISNUMBER(MATCH(DATEVALUE($A242),'recurring1_based on steps'!AB$1:AB$400,0)),AB$2,)</f>
        <v>0</v>
      </c>
      <c r="AC242" s="155">
        <f ca="1">IF(ISNUMBER(MATCH(DATEVALUE($A242),'recurring1_based on steps'!AC$1:AC$400,0)),AC$2,)</f>
        <v>0</v>
      </c>
      <c r="AD242" s="155">
        <f ca="1">IF(ISNUMBER(MATCH(DATEVALUE($A242),'recurring1_based on steps'!AD$1:AD$400,0)),AD$2,)</f>
        <v>0</v>
      </c>
      <c r="AE242" s="155">
        <f ca="1">IF(ISNUMBER(MATCH(DATEVALUE($A242),'recurring1_based on steps'!AE$1:AE$400,0)),AE$2,)</f>
        <v>0</v>
      </c>
      <c r="AF242" s="155">
        <f ca="1">IF(ISNUMBER(MATCH(DATEVALUE($A242),'recurring1_based on steps'!AF$1:AF$400,0)),AF$2,)</f>
        <v>0</v>
      </c>
      <c r="AG242" s="155">
        <f ca="1">IF(ISNUMBER(MATCH(DATEVALUE($A242),'recurring1_based on steps'!AG$1:AG$400,0)),AG$2,)</f>
        <v>0</v>
      </c>
      <c r="AH242" s="155">
        <f ca="1">IF(ISNUMBER(MATCH(DATEVALUE($A242),'recurring1_based on steps'!AH$1:AH$400,0)),AH$2,)</f>
        <v>0</v>
      </c>
      <c r="AI242" s="155">
        <f ca="1">IF(ISNUMBER(MATCH(DATEVALUE($A242),'recurring1_based on steps'!AI$1:AI$400,0)),AI$2,)</f>
        <v>0</v>
      </c>
      <c r="AJ242" s="155">
        <f ca="1">IF(ISNUMBER(MATCH(DATEVALUE($A242),'recurring1_based on steps'!AJ$1:AJ$400,0)),AJ$2,)</f>
        <v>0</v>
      </c>
      <c r="AK242" s="155">
        <f ca="1">IF(ISNUMBER(MATCH(DATEVALUE($A242),'recurring1_based on steps'!AK$1:AK$400,0)),AK$2,)</f>
        <v>0</v>
      </c>
      <c r="AL242" s="155">
        <f ca="1">IF(ISNUMBER(MATCH(DATEVALUE($A242),'recurring1_based on steps'!AL$1:AL$400,0)),AL$2,)</f>
        <v>0</v>
      </c>
      <c r="AM242" s="155">
        <f ca="1">IF(ISNUMBER(MATCH(DATEVALUE($A242),'recurring1_based on steps'!AM$1:AM$400,0)),AM$2,)</f>
        <v>0</v>
      </c>
      <c r="AN242" s="155">
        <f ca="1">IF(ISNUMBER(MATCH(DATEVALUE($A242),'recurring1_based on steps'!AN$1:AN$400,0)),AN$2,)</f>
        <v>0</v>
      </c>
      <c r="AO242" s="155">
        <f ca="1">IF(ISNUMBER(MATCH(DATEVALUE($A242),'recurring1_based on steps'!AO$1:AO$400,0)),AO$2,)</f>
        <v>0</v>
      </c>
      <c r="AP242" s="155">
        <f ca="1">IF(ISNUMBER(MATCH(DATEVALUE($A242),'recurring1_based on steps'!AP$1:AP$400,0)),AP$2,)</f>
        <v>0</v>
      </c>
      <c r="AQ242" s="155">
        <f ca="1">IF(ISNUMBER(MATCH(DATEVALUE($A242),'recurring1_based on steps'!AQ$1:AQ$400,0)),AQ$2,)</f>
        <v>0</v>
      </c>
      <c r="AR242" s="155">
        <f ca="1">IF(ISNUMBER(MATCH(DATEVALUE($A242),'recurring1_based on steps'!AR$1:AR$400,0)),AR$2,)</f>
        <v>0</v>
      </c>
      <c r="AS242" s="155">
        <f ca="1">IF(ISNUMBER(MATCH(DATEVALUE($A242),'recurring1_based on steps'!AS$1:AS$400,0)),AS$2,)</f>
        <v>0</v>
      </c>
      <c r="AT242" s="155">
        <f ca="1">IF(ISNUMBER(MATCH(DATEVALUE($A242),'recurring1_based on steps'!AT$1:AT$400,0)),AT$2,)</f>
        <v>0</v>
      </c>
      <c r="AU242" s="155">
        <f ca="1">IF(ISNUMBER(MATCH(DATEVALUE($A242),'recurring1_based on steps'!AU$1:AU$400,0)),AU$2,)</f>
        <v>0</v>
      </c>
      <c r="AV242" s="155">
        <f ca="1">IF(ISNUMBER(MATCH(DATEVALUE($A242),'recurring1_based on steps'!AV$1:AV$400,0)),AV$2,)</f>
        <v>0</v>
      </c>
      <c r="AW242" s="155">
        <f ca="1">IF(ISNUMBER(MATCH(DATEVALUE($A242),'recurring1_based on steps'!AW$1:AW$400,0)),AW$2,)</f>
        <v>0</v>
      </c>
      <c r="AX242" s="155">
        <f ca="1">IF(ISNUMBER(MATCH(DATEVALUE($A242),'recurring1_based on steps'!AX$1:AX$400,0)),AX$2,)</f>
        <v>0</v>
      </c>
      <c r="AY242" s="155">
        <f ca="1">IF(ISNUMBER(MATCH(DATEVALUE($A242),'recurring1_based on steps'!AY$1:AY$400,0)),AY$2,)</f>
        <v>0</v>
      </c>
    </row>
    <row r="243" spans="1:51" x14ac:dyDescent="0.2">
      <c r="A243" s="18" t="str">
        <f t="shared" ca="1" si="3"/>
        <v>2025-09-29</v>
      </c>
      <c r="B243" s="155">
        <f ca="1">IF(ISNUMBER(MATCH(DATEVALUE($A243),'recurring1_based on steps'!B$1:B$400,0)),B$2,)</f>
        <v>0</v>
      </c>
      <c r="C243" s="155">
        <f ca="1">IF(ISNUMBER(MATCH(DATEVALUE($A243),'recurring1_based on steps'!C$1:C$400,0)),C$2,)</f>
        <v>0</v>
      </c>
      <c r="D243" s="155">
        <f ca="1">IF(ISNUMBER(MATCH(DATEVALUE($A243),'recurring1_based on steps'!D$1:D$400,0)),D$2,)</f>
        <v>0</v>
      </c>
      <c r="E243" s="155">
        <f ca="1">IF(ISNUMBER(MATCH(DATEVALUE($A243),'recurring1_based on steps'!E$1:E$400,0)),E$2,)</f>
        <v>0</v>
      </c>
      <c r="F243" s="155">
        <f ca="1">IF(ISNUMBER(MATCH(DATEVALUE($A243),'recurring1_based on steps'!F$1:F$400,0)),F$2,)</f>
        <v>0</v>
      </c>
      <c r="G243" s="155">
        <f ca="1">IF(ISNUMBER(MATCH(DATEVALUE($A243),'recurring1_based on steps'!G$1:G$400,0)),G$2,)</f>
        <v>0</v>
      </c>
      <c r="H243" s="155">
        <f ca="1">IF(ISNUMBER(MATCH(DATEVALUE($A243),'recurring1_based on steps'!H$1:H$400,0)),H$2,)</f>
        <v>0</v>
      </c>
      <c r="I243" s="155">
        <f ca="1">IF(ISNUMBER(MATCH(DATEVALUE($A243),'recurring1_based on steps'!I$1:I$400,0)),I$2,)</f>
        <v>0</v>
      </c>
      <c r="J243" s="155">
        <f ca="1">IF(ISNUMBER(MATCH(DATEVALUE($A243),'recurring1_based on steps'!J$1:J$400,0)),J$2,)</f>
        <v>0</v>
      </c>
      <c r="K243" s="155">
        <f ca="1">IF(ISNUMBER(MATCH(DATEVALUE($A243),'recurring1_based on steps'!K$1:K$400,0)),K$2,)</f>
        <v>0</v>
      </c>
      <c r="L243" s="155">
        <f ca="1">IF(ISNUMBER(MATCH(DATEVALUE($A243),'recurring1_based on steps'!L$1:L$400,0)),L$2,)</f>
        <v>0</v>
      </c>
      <c r="M243" s="155">
        <f ca="1">IF(ISNUMBER(MATCH(DATEVALUE($A243),'recurring1_based on steps'!M$1:M$400,0)),M$2,)</f>
        <v>0</v>
      </c>
      <c r="N243" s="155">
        <f ca="1">IF(ISNUMBER(MATCH(DATEVALUE($A243),'recurring1_based on steps'!N$1:N$400,0)),N$2,)</f>
        <v>0</v>
      </c>
      <c r="O243" s="155">
        <f ca="1">IF(ISNUMBER(MATCH(DATEVALUE($A243),'recurring1_based on steps'!O$1:O$400,0)),O$2,)</f>
        <v>0</v>
      </c>
      <c r="P243" s="155">
        <f ca="1">IF(ISNUMBER(MATCH(DATEVALUE($A243),'recurring1_based on steps'!P$1:P$400,0)),P$2,)</f>
        <v>0</v>
      </c>
      <c r="Q243" s="155">
        <f ca="1">IF(ISNUMBER(MATCH(DATEVALUE($A243),'recurring1_based on steps'!Q$1:Q$400,0)),Q$2,)</f>
        <v>0</v>
      </c>
      <c r="R243" s="155">
        <f ca="1">IF(ISNUMBER(MATCH(DATEVALUE($A243),'recurring1_based on steps'!R$1:R$400,0)),R$2,)</f>
        <v>0</v>
      </c>
      <c r="S243" s="155">
        <f ca="1">IF(ISNUMBER(MATCH(DATEVALUE($A243),'recurring1_based on steps'!S$1:S$400,0)),S$2,)</f>
        <v>0</v>
      </c>
      <c r="T243" s="155">
        <f ca="1">IF(ISNUMBER(MATCH(DATEVALUE($A243),'recurring1_based on steps'!T$1:T$400,0)),T$2,)</f>
        <v>0</v>
      </c>
      <c r="U243" s="155">
        <f ca="1">IF(ISNUMBER(MATCH(DATEVALUE($A243),'recurring1_based on steps'!U$1:U$400,0)),U$2,)</f>
        <v>0</v>
      </c>
      <c r="V243" s="155">
        <f ca="1">IF(ISNUMBER(MATCH(DATEVALUE($A243),'recurring1_based on steps'!V$1:V$400,0)),V$2,)</f>
        <v>0</v>
      </c>
      <c r="W243" s="155">
        <f ca="1">IF(ISNUMBER(MATCH(DATEVALUE($A243),'recurring1_based on steps'!W$1:W$400,0)),W$2,)</f>
        <v>0</v>
      </c>
      <c r="X243" s="155">
        <f ca="1">IF(ISNUMBER(MATCH(DATEVALUE($A243),'recurring1_based on steps'!X$1:X$400,0)),X$2,)</f>
        <v>0</v>
      </c>
      <c r="Y243" s="155">
        <f ca="1">IF(ISNUMBER(MATCH(DATEVALUE($A243),'recurring1_based on steps'!Y$1:Y$400,0)),Y$2,)</f>
        <v>0</v>
      </c>
      <c r="Z243" s="155">
        <f ca="1">IF(ISNUMBER(MATCH(DATEVALUE($A243),'recurring1_based on steps'!Z$1:Z$400,0)),Z$2,)</f>
        <v>0</v>
      </c>
      <c r="AA243" s="155">
        <f ca="1">IF(ISNUMBER(MATCH(DATEVALUE($A243),'recurring1_based on steps'!AA$1:AA$400,0)),AA$2,)</f>
        <v>0</v>
      </c>
      <c r="AB243" s="155">
        <f ca="1">IF(ISNUMBER(MATCH(DATEVALUE($A243),'recurring1_based on steps'!AB$1:AB$400,0)),AB$2,)</f>
        <v>0</v>
      </c>
      <c r="AC243" s="155">
        <f ca="1">IF(ISNUMBER(MATCH(DATEVALUE($A243),'recurring1_based on steps'!AC$1:AC$400,0)),AC$2,)</f>
        <v>0</v>
      </c>
      <c r="AD243" s="155">
        <f ca="1">IF(ISNUMBER(MATCH(DATEVALUE($A243),'recurring1_based on steps'!AD$1:AD$400,0)),AD$2,)</f>
        <v>0</v>
      </c>
      <c r="AE243" s="155">
        <f ca="1">IF(ISNUMBER(MATCH(DATEVALUE($A243),'recurring1_based on steps'!AE$1:AE$400,0)),AE$2,)</f>
        <v>0</v>
      </c>
      <c r="AF243" s="155">
        <f ca="1">IF(ISNUMBER(MATCH(DATEVALUE($A243),'recurring1_based on steps'!AF$1:AF$400,0)),AF$2,)</f>
        <v>0</v>
      </c>
      <c r="AG243" s="155">
        <f ca="1">IF(ISNUMBER(MATCH(DATEVALUE($A243),'recurring1_based on steps'!AG$1:AG$400,0)),AG$2,)</f>
        <v>0</v>
      </c>
      <c r="AH243" s="155">
        <f ca="1">IF(ISNUMBER(MATCH(DATEVALUE($A243),'recurring1_based on steps'!AH$1:AH$400,0)),AH$2,)</f>
        <v>0</v>
      </c>
      <c r="AI243" s="155">
        <f ca="1">IF(ISNUMBER(MATCH(DATEVALUE($A243),'recurring1_based on steps'!AI$1:AI$400,0)),AI$2,)</f>
        <v>0</v>
      </c>
      <c r="AJ243" s="155">
        <f ca="1">IF(ISNUMBER(MATCH(DATEVALUE($A243),'recurring1_based on steps'!AJ$1:AJ$400,0)),AJ$2,)</f>
        <v>0</v>
      </c>
      <c r="AK243" s="155">
        <f ca="1">IF(ISNUMBER(MATCH(DATEVALUE($A243),'recurring1_based on steps'!AK$1:AK$400,0)),AK$2,)</f>
        <v>0</v>
      </c>
      <c r="AL243" s="155">
        <f ca="1">IF(ISNUMBER(MATCH(DATEVALUE($A243),'recurring1_based on steps'!AL$1:AL$400,0)),AL$2,)</f>
        <v>0</v>
      </c>
      <c r="AM243" s="155">
        <f ca="1">IF(ISNUMBER(MATCH(DATEVALUE($A243),'recurring1_based on steps'!AM$1:AM$400,0)),AM$2,)</f>
        <v>0</v>
      </c>
      <c r="AN243" s="155">
        <f ca="1">IF(ISNUMBER(MATCH(DATEVALUE($A243),'recurring1_based on steps'!AN$1:AN$400,0)),AN$2,)</f>
        <v>0</v>
      </c>
      <c r="AO243" s="155">
        <f ca="1">IF(ISNUMBER(MATCH(DATEVALUE($A243),'recurring1_based on steps'!AO$1:AO$400,0)),AO$2,)</f>
        <v>0</v>
      </c>
      <c r="AP243" s="155">
        <f ca="1">IF(ISNUMBER(MATCH(DATEVALUE($A243),'recurring1_based on steps'!AP$1:AP$400,0)),AP$2,)</f>
        <v>0</v>
      </c>
      <c r="AQ243" s="155">
        <f ca="1">IF(ISNUMBER(MATCH(DATEVALUE($A243),'recurring1_based on steps'!AQ$1:AQ$400,0)),AQ$2,)</f>
        <v>0</v>
      </c>
      <c r="AR243" s="155">
        <f ca="1">IF(ISNUMBER(MATCH(DATEVALUE($A243),'recurring1_based on steps'!AR$1:AR$400,0)),AR$2,)</f>
        <v>0</v>
      </c>
      <c r="AS243" s="155">
        <f ca="1">IF(ISNUMBER(MATCH(DATEVALUE($A243),'recurring1_based on steps'!AS$1:AS$400,0)),AS$2,)</f>
        <v>0</v>
      </c>
      <c r="AT243" s="155">
        <f ca="1">IF(ISNUMBER(MATCH(DATEVALUE($A243),'recurring1_based on steps'!AT$1:AT$400,0)),AT$2,)</f>
        <v>0</v>
      </c>
      <c r="AU243" s="155">
        <f ca="1">IF(ISNUMBER(MATCH(DATEVALUE($A243),'recurring1_based on steps'!AU$1:AU$400,0)),AU$2,)</f>
        <v>0</v>
      </c>
      <c r="AV243" s="155">
        <f ca="1">IF(ISNUMBER(MATCH(DATEVALUE($A243),'recurring1_based on steps'!AV$1:AV$400,0)),AV$2,)</f>
        <v>0</v>
      </c>
      <c r="AW243" s="155">
        <f ca="1">IF(ISNUMBER(MATCH(DATEVALUE($A243),'recurring1_based on steps'!AW$1:AW$400,0)),AW$2,)</f>
        <v>0</v>
      </c>
      <c r="AX243" s="155">
        <f ca="1">IF(ISNUMBER(MATCH(DATEVALUE($A243),'recurring1_based on steps'!AX$1:AX$400,0)),AX$2,)</f>
        <v>0</v>
      </c>
      <c r="AY243" s="155">
        <f ca="1">IF(ISNUMBER(MATCH(DATEVALUE($A243),'recurring1_based on steps'!AY$1:AY$400,0)),AY$2,)</f>
        <v>0</v>
      </c>
    </row>
    <row r="244" spans="1:51" x14ac:dyDescent="0.2">
      <c r="A244" s="18" t="str">
        <f t="shared" ca="1" si="3"/>
        <v>2025-09-30</v>
      </c>
      <c r="B244" s="155">
        <f ca="1">IF(ISNUMBER(MATCH(DATEVALUE($A244),'recurring1_based on steps'!B$1:B$400,0)),B$2,)</f>
        <v>0</v>
      </c>
      <c r="C244" s="155">
        <f ca="1">IF(ISNUMBER(MATCH(DATEVALUE($A244),'recurring1_based on steps'!C$1:C$400,0)),C$2,)</f>
        <v>0</v>
      </c>
      <c r="D244" s="155">
        <f ca="1">IF(ISNUMBER(MATCH(DATEVALUE($A244),'recurring1_based on steps'!D$1:D$400,0)),D$2,)</f>
        <v>0</v>
      </c>
      <c r="E244" s="155">
        <f ca="1">IF(ISNUMBER(MATCH(DATEVALUE($A244),'recurring1_based on steps'!E$1:E$400,0)),E$2,)</f>
        <v>0</v>
      </c>
      <c r="F244" s="155">
        <f ca="1">IF(ISNUMBER(MATCH(DATEVALUE($A244),'recurring1_based on steps'!F$1:F$400,0)),F$2,)</f>
        <v>0</v>
      </c>
      <c r="G244" s="155">
        <f ca="1">IF(ISNUMBER(MATCH(DATEVALUE($A244),'recurring1_based on steps'!G$1:G$400,0)),G$2,)</f>
        <v>0</v>
      </c>
      <c r="H244" s="155">
        <f ca="1">IF(ISNUMBER(MATCH(DATEVALUE($A244),'recurring1_based on steps'!H$1:H$400,0)),H$2,)</f>
        <v>0</v>
      </c>
      <c r="I244" s="155">
        <f ca="1">IF(ISNUMBER(MATCH(DATEVALUE($A244),'recurring1_based on steps'!I$1:I$400,0)),I$2,)</f>
        <v>0</v>
      </c>
      <c r="J244" s="155">
        <f ca="1">IF(ISNUMBER(MATCH(DATEVALUE($A244),'recurring1_based on steps'!J$1:J$400,0)),J$2,)</f>
        <v>0</v>
      </c>
      <c r="K244" s="155">
        <f ca="1">IF(ISNUMBER(MATCH(DATEVALUE($A244),'recurring1_based on steps'!K$1:K$400,0)),K$2,)</f>
        <v>0</v>
      </c>
      <c r="L244" s="155">
        <f ca="1">IF(ISNUMBER(MATCH(DATEVALUE($A244),'recurring1_based on steps'!L$1:L$400,0)),L$2,)</f>
        <v>0</v>
      </c>
      <c r="M244" s="155">
        <f ca="1">IF(ISNUMBER(MATCH(DATEVALUE($A244),'recurring1_based on steps'!M$1:M$400,0)),M$2,)</f>
        <v>0</v>
      </c>
      <c r="N244" s="155">
        <f ca="1">IF(ISNUMBER(MATCH(DATEVALUE($A244),'recurring1_based on steps'!N$1:N$400,0)),N$2,)</f>
        <v>0</v>
      </c>
      <c r="O244" s="155">
        <f ca="1">IF(ISNUMBER(MATCH(DATEVALUE($A244),'recurring1_based on steps'!O$1:O$400,0)),O$2,)</f>
        <v>0</v>
      </c>
      <c r="P244" s="155">
        <f ca="1">IF(ISNUMBER(MATCH(DATEVALUE($A244),'recurring1_based on steps'!P$1:P$400,0)),P$2,)</f>
        <v>0</v>
      </c>
      <c r="Q244" s="155">
        <f ca="1">IF(ISNUMBER(MATCH(DATEVALUE($A244),'recurring1_based on steps'!Q$1:Q$400,0)),Q$2,)</f>
        <v>0</v>
      </c>
      <c r="R244" s="155">
        <f ca="1">IF(ISNUMBER(MATCH(DATEVALUE($A244),'recurring1_based on steps'!R$1:R$400,0)),R$2,)</f>
        <v>0</v>
      </c>
      <c r="S244" s="155">
        <f ca="1">IF(ISNUMBER(MATCH(DATEVALUE($A244),'recurring1_based on steps'!S$1:S$400,0)),S$2,)</f>
        <v>0</v>
      </c>
      <c r="T244" s="155">
        <f ca="1">IF(ISNUMBER(MATCH(DATEVALUE($A244),'recurring1_based on steps'!T$1:T$400,0)),T$2,)</f>
        <v>0</v>
      </c>
      <c r="U244" s="155">
        <f ca="1">IF(ISNUMBER(MATCH(DATEVALUE($A244),'recurring1_based on steps'!U$1:U$400,0)),U$2,)</f>
        <v>0</v>
      </c>
      <c r="V244" s="155">
        <f ca="1">IF(ISNUMBER(MATCH(DATEVALUE($A244),'recurring1_based on steps'!V$1:V$400,0)),V$2,)</f>
        <v>0</v>
      </c>
      <c r="W244" s="155">
        <f ca="1">IF(ISNUMBER(MATCH(DATEVALUE($A244),'recurring1_based on steps'!W$1:W$400,0)),W$2,)</f>
        <v>0</v>
      </c>
      <c r="X244" s="155">
        <f ca="1">IF(ISNUMBER(MATCH(DATEVALUE($A244),'recurring1_based on steps'!X$1:X$400,0)),X$2,)</f>
        <v>0</v>
      </c>
      <c r="Y244" s="155">
        <f ca="1">IF(ISNUMBER(MATCH(DATEVALUE($A244),'recurring1_based on steps'!Y$1:Y$400,0)),Y$2,)</f>
        <v>0</v>
      </c>
      <c r="Z244" s="155">
        <f ca="1">IF(ISNUMBER(MATCH(DATEVALUE($A244),'recurring1_based on steps'!Z$1:Z$400,0)),Z$2,)</f>
        <v>0</v>
      </c>
      <c r="AA244" s="155">
        <f ca="1">IF(ISNUMBER(MATCH(DATEVALUE($A244),'recurring1_based on steps'!AA$1:AA$400,0)),AA$2,)</f>
        <v>0</v>
      </c>
      <c r="AB244" s="155">
        <f ca="1">IF(ISNUMBER(MATCH(DATEVALUE($A244),'recurring1_based on steps'!AB$1:AB$400,0)),AB$2,)</f>
        <v>0</v>
      </c>
      <c r="AC244" s="155">
        <f ca="1">IF(ISNUMBER(MATCH(DATEVALUE($A244),'recurring1_based on steps'!AC$1:AC$400,0)),AC$2,)</f>
        <v>0</v>
      </c>
      <c r="AD244" s="155">
        <f ca="1">IF(ISNUMBER(MATCH(DATEVALUE($A244),'recurring1_based on steps'!AD$1:AD$400,0)),AD$2,)</f>
        <v>0</v>
      </c>
      <c r="AE244" s="155">
        <f ca="1">IF(ISNUMBER(MATCH(DATEVALUE($A244),'recurring1_based on steps'!AE$1:AE$400,0)),AE$2,)</f>
        <v>0</v>
      </c>
      <c r="AF244" s="155">
        <f ca="1">IF(ISNUMBER(MATCH(DATEVALUE($A244),'recurring1_based on steps'!AF$1:AF$400,0)),AF$2,)</f>
        <v>0</v>
      </c>
      <c r="AG244" s="155">
        <f ca="1">IF(ISNUMBER(MATCH(DATEVALUE($A244),'recurring1_based on steps'!AG$1:AG$400,0)),AG$2,)</f>
        <v>0</v>
      </c>
      <c r="AH244" s="155">
        <f ca="1">IF(ISNUMBER(MATCH(DATEVALUE($A244),'recurring1_based on steps'!AH$1:AH$400,0)),AH$2,)</f>
        <v>0</v>
      </c>
      <c r="AI244" s="155">
        <f ca="1">IF(ISNUMBER(MATCH(DATEVALUE($A244),'recurring1_based on steps'!AI$1:AI$400,0)),AI$2,)</f>
        <v>0</v>
      </c>
      <c r="AJ244" s="155">
        <f ca="1">IF(ISNUMBER(MATCH(DATEVALUE($A244),'recurring1_based on steps'!AJ$1:AJ$400,0)),AJ$2,)</f>
        <v>0</v>
      </c>
      <c r="AK244" s="155">
        <f ca="1">IF(ISNUMBER(MATCH(DATEVALUE($A244),'recurring1_based on steps'!AK$1:AK$400,0)),AK$2,)</f>
        <v>0</v>
      </c>
      <c r="AL244" s="155">
        <f ca="1">IF(ISNUMBER(MATCH(DATEVALUE($A244),'recurring1_based on steps'!AL$1:AL$400,0)),AL$2,)</f>
        <v>0</v>
      </c>
      <c r="AM244" s="155">
        <f ca="1">IF(ISNUMBER(MATCH(DATEVALUE($A244),'recurring1_based on steps'!AM$1:AM$400,0)),AM$2,)</f>
        <v>0</v>
      </c>
      <c r="AN244" s="155">
        <f ca="1">IF(ISNUMBER(MATCH(DATEVALUE($A244),'recurring1_based on steps'!AN$1:AN$400,0)),AN$2,)</f>
        <v>0</v>
      </c>
      <c r="AO244" s="155">
        <f ca="1">IF(ISNUMBER(MATCH(DATEVALUE($A244),'recurring1_based on steps'!AO$1:AO$400,0)),AO$2,)</f>
        <v>0</v>
      </c>
      <c r="AP244" s="155">
        <f ca="1">IF(ISNUMBER(MATCH(DATEVALUE($A244),'recurring1_based on steps'!AP$1:AP$400,0)),AP$2,)</f>
        <v>0</v>
      </c>
      <c r="AQ244" s="155">
        <f ca="1">IF(ISNUMBER(MATCH(DATEVALUE($A244),'recurring1_based on steps'!AQ$1:AQ$400,0)),AQ$2,)</f>
        <v>0</v>
      </c>
      <c r="AR244" s="155">
        <f ca="1">IF(ISNUMBER(MATCH(DATEVALUE($A244),'recurring1_based on steps'!AR$1:AR$400,0)),AR$2,)</f>
        <v>0</v>
      </c>
      <c r="AS244" s="155">
        <f ca="1">IF(ISNUMBER(MATCH(DATEVALUE($A244),'recurring1_based on steps'!AS$1:AS$400,0)),AS$2,)</f>
        <v>0</v>
      </c>
      <c r="AT244" s="155">
        <f ca="1">IF(ISNUMBER(MATCH(DATEVALUE($A244),'recurring1_based on steps'!AT$1:AT$400,0)),AT$2,)</f>
        <v>0</v>
      </c>
      <c r="AU244" s="155">
        <f ca="1">IF(ISNUMBER(MATCH(DATEVALUE($A244),'recurring1_based on steps'!AU$1:AU$400,0)),AU$2,)</f>
        <v>0</v>
      </c>
      <c r="AV244" s="155">
        <f ca="1">IF(ISNUMBER(MATCH(DATEVALUE($A244),'recurring1_based on steps'!AV$1:AV$400,0)),AV$2,)</f>
        <v>0</v>
      </c>
      <c r="AW244" s="155">
        <f ca="1">IF(ISNUMBER(MATCH(DATEVALUE($A244),'recurring1_based on steps'!AW$1:AW$400,0)),AW$2,)</f>
        <v>0</v>
      </c>
      <c r="AX244" s="155">
        <f ca="1">IF(ISNUMBER(MATCH(DATEVALUE($A244),'recurring1_based on steps'!AX$1:AX$400,0)),AX$2,)</f>
        <v>0</v>
      </c>
      <c r="AY244" s="155">
        <f ca="1">IF(ISNUMBER(MATCH(DATEVALUE($A244),'recurring1_based on steps'!AY$1:AY$400,0)),AY$2,)</f>
        <v>0</v>
      </c>
    </row>
    <row r="245" spans="1:51" x14ac:dyDescent="0.2">
      <c r="A245" s="18" t="str">
        <f t="shared" ca="1" si="3"/>
        <v>2025-10-01</v>
      </c>
      <c r="B245" s="155">
        <f ca="1">IF(ISNUMBER(MATCH(DATEVALUE($A245),'recurring1_based on steps'!B$1:B$400,0)),B$2,)</f>
        <v>0</v>
      </c>
      <c r="C245" s="155">
        <f ca="1">IF(ISNUMBER(MATCH(DATEVALUE($A245),'recurring1_based on steps'!C$1:C$400,0)),C$2,)</f>
        <v>0</v>
      </c>
      <c r="D245" s="155">
        <f ca="1">IF(ISNUMBER(MATCH(DATEVALUE($A245),'recurring1_based on steps'!D$1:D$400,0)),D$2,)</f>
        <v>0</v>
      </c>
      <c r="E245" s="155">
        <f ca="1">IF(ISNUMBER(MATCH(DATEVALUE($A245),'recurring1_based on steps'!E$1:E$400,0)),E$2,)</f>
        <v>0</v>
      </c>
      <c r="F245" s="155">
        <f ca="1">IF(ISNUMBER(MATCH(DATEVALUE($A245),'recurring1_based on steps'!F$1:F$400,0)),F$2,)</f>
        <v>0</v>
      </c>
      <c r="G245" s="155">
        <f ca="1">IF(ISNUMBER(MATCH(DATEVALUE($A245),'recurring1_based on steps'!G$1:G$400,0)),G$2,)</f>
        <v>0</v>
      </c>
      <c r="H245" s="155">
        <f ca="1">IF(ISNUMBER(MATCH(DATEVALUE($A245),'recurring1_based on steps'!H$1:H$400,0)),H$2,)</f>
        <v>0</v>
      </c>
      <c r="I245" s="155">
        <f ca="1">IF(ISNUMBER(MATCH(DATEVALUE($A245),'recurring1_based on steps'!I$1:I$400,0)),I$2,)</f>
        <v>2000</v>
      </c>
      <c r="J245" s="155">
        <f ca="1">IF(ISNUMBER(MATCH(DATEVALUE($A245),'recurring1_based on steps'!J$1:J$400,0)),J$2,)</f>
        <v>0</v>
      </c>
      <c r="K245" s="155">
        <f ca="1">IF(ISNUMBER(MATCH(DATEVALUE($A245),'recurring1_based on steps'!K$1:K$400,0)),K$2,)</f>
        <v>0</v>
      </c>
      <c r="L245" s="155">
        <f ca="1">IF(ISNUMBER(MATCH(DATEVALUE($A245),'recurring1_based on steps'!L$1:L$400,0)),L$2,)</f>
        <v>0</v>
      </c>
      <c r="M245" s="155">
        <f ca="1">IF(ISNUMBER(MATCH(DATEVALUE($A245),'recurring1_based on steps'!M$1:M$400,0)),M$2,)</f>
        <v>0</v>
      </c>
      <c r="N245" s="155">
        <f ca="1">IF(ISNUMBER(MATCH(DATEVALUE($A245),'recurring1_based on steps'!N$1:N$400,0)),N$2,)</f>
        <v>0</v>
      </c>
      <c r="O245" s="155">
        <f ca="1">IF(ISNUMBER(MATCH(DATEVALUE($A245),'recurring1_based on steps'!O$1:O$400,0)),O$2,)</f>
        <v>0</v>
      </c>
      <c r="P245" s="155">
        <f ca="1">IF(ISNUMBER(MATCH(DATEVALUE($A245),'recurring1_based on steps'!P$1:P$400,0)),P$2,)</f>
        <v>0</v>
      </c>
      <c r="Q245" s="155">
        <f ca="1">IF(ISNUMBER(MATCH(DATEVALUE($A245),'recurring1_based on steps'!Q$1:Q$400,0)),Q$2,)</f>
        <v>0</v>
      </c>
      <c r="R245" s="155">
        <f ca="1">IF(ISNUMBER(MATCH(DATEVALUE($A245),'recurring1_based on steps'!R$1:R$400,0)),R$2,)</f>
        <v>0</v>
      </c>
      <c r="S245" s="155">
        <f ca="1">IF(ISNUMBER(MATCH(DATEVALUE($A245),'recurring1_based on steps'!S$1:S$400,0)),S$2,)</f>
        <v>0</v>
      </c>
      <c r="T245" s="155">
        <f ca="1">IF(ISNUMBER(MATCH(DATEVALUE($A245),'recurring1_based on steps'!T$1:T$400,0)),T$2,)</f>
        <v>0</v>
      </c>
      <c r="U245" s="155">
        <f ca="1">IF(ISNUMBER(MATCH(DATEVALUE($A245),'recurring1_based on steps'!U$1:U$400,0)),U$2,)</f>
        <v>0</v>
      </c>
      <c r="V245" s="155">
        <f ca="1">IF(ISNUMBER(MATCH(DATEVALUE($A245),'recurring1_based on steps'!V$1:V$400,0)),V$2,)</f>
        <v>0</v>
      </c>
      <c r="W245" s="155">
        <f ca="1">IF(ISNUMBER(MATCH(DATEVALUE($A245),'recurring1_based on steps'!W$1:W$400,0)),W$2,)</f>
        <v>0</v>
      </c>
      <c r="X245" s="155">
        <f ca="1">IF(ISNUMBER(MATCH(DATEVALUE($A245),'recurring1_based on steps'!X$1:X$400,0)),X$2,)</f>
        <v>0</v>
      </c>
      <c r="Y245" s="155">
        <f ca="1">IF(ISNUMBER(MATCH(DATEVALUE($A245),'recurring1_based on steps'!Y$1:Y$400,0)),Y$2,)</f>
        <v>0</v>
      </c>
      <c r="Z245" s="155">
        <f ca="1">IF(ISNUMBER(MATCH(DATEVALUE($A245),'recurring1_based on steps'!Z$1:Z$400,0)),Z$2,)</f>
        <v>0</v>
      </c>
      <c r="AA245" s="155">
        <f ca="1">IF(ISNUMBER(MATCH(DATEVALUE($A245),'recurring1_based on steps'!AA$1:AA$400,0)),AA$2,)</f>
        <v>0</v>
      </c>
      <c r="AB245" s="155">
        <f ca="1">IF(ISNUMBER(MATCH(DATEVALUE($A245),'recurring1_based on steps'!AB$1:AB$400,0)),AB$2,)</f>
        <v>0</v>
      </c>
      <c r="AC245" s="155">
        <f ca="1">IF(ISNUMBER(MATCH(DATEVALUE($A245),'recurring1_based on steps'!AC$1:AC$400,0)),AC$2,)</f>
        <v>0</v>
      </c>
      <c r="AD245" s="155">
        <f ca="1">IF(ISNUMBER(MATCH(DATEVALUE($A245),'recurring1_based on steps'!AD$1:AD$400,0)),AD$2,)</f>
        <v>0</v>
      </c>
      <c r="AE245" s="155">
        <f ca="1">IF(ISNUMBER(MATCH(DATEVALUE($A245),'recurring1_based on steps'!AE$1:AE$400,0)),AE$2,)</f>
        <v>0</v>
      </c>
      <c r="AF245" s="155">
        <f ca="1">IF(ISNUMBER(MATCH(DATEVALUE($A245),'recurring1_based on steps'!AF$1:AF$400,0)),AF$2,)</f>
        <v>0</v>
      </c>
      <c r="AG245" s="155">
        <f ca="1">IF(ISNUMBER(MATCH(DATEVALUE($A245),'recurring1_based on steps'!AG$1:AG$400,0)),AG$2,)</f>
        <v>0</v>
      </c>
      <c r="AH245" s="155">
        <f ca="1">IF(ISNUMBER(MATCH(DATEVALUE($A245),'recurring1_based on steps'!AH$1:AH$400,0)),AH$2,)</f>
        <v>0</v>
      </c>
      <c r="AI245" s="155">
        <f ca="1">IF(ISNUMBER(MATCH(DATEVALUE($A245),'recurring1_based on steps'!AI$1:AI$400,0)),AI$2,)</f>
        <v>0</v>
      </c>
      <c r="AJ245" s="155">
        <f ca="1">IF(ISNUMBER(MATCH(DATEVALUE($A245),'recurring1_based on steps'!AJ$1:AJ$400,0)),AJ$2,)</f>
        <v>0</v>
      </c>
      <c r="AK245" s="155">
        <f ca="1">IF(ISNUMBER(MATCH(DATEVALUE($A245),'recurring1_based on steps'!AK$1:AK$400,0)),AK$2,)</f>
        <v>0</v>
      </c>
      <c r="AL245" s="155">
        <f ca="1">IF(ISNUMBER(MATCH(DATEVALUE($A245),'recurring1_based on steps'!AL$1:AL$400,0)),AL$2,)</f>
        <v>0</v>
      </c>
      <c r="AM245" s="155">
        <f ca="1">IF(ISNUMBER(MATCH(DATEVALUE($A245),'recurring1_based on steps'!AM$1:AM$400,0)),AM$2,)</f>
        <v>0</v>
      </c>
      <c r="AN245" s="155">
        <f ca="1">IF(ISNUMBER(MATCH(DATEVALUE($A245),'recurring1_based on steps'!AN$1:AN$400,0)),AN$2,)</f>
        <v>0</v>
      </c>
      <c r="AO245" s="155">
        <f ca="1">IF(ISNUMBER(MATCH(DATEVALUE($A245),'recurring1_based on steps'!AO$1:AO$400,0)),AO$2,)</f>
        <v>0</v>
      </c>
      <c r="AP245" s="155">
        <f ca="1">IF(ISNUMBER(MATCH(DATEVALUE($A245),'recurring1_based on steps'!AP$1:AP$400,0)),AP$2,)</f>
        <v>0</v>
      </c>
      <c r="AQ245" s="155">
        <f ca="1">IF(ISNUMBER(MATCH(DATEVALUE($A245),'recurring1_based on steps'!AQ$1:AQ$400,0)),AQ$2,)</f>
        <v>0</v>
      </c>
      <c r="AR245" s="155">
        <f ca="1">IF(ISNUMBER(MATCH(DATEVALUE($A245),'recurring1_based on steps'!AR$1:AR$400,0)),AR$2,)</f>
        <v>0</v>
      </c>
      <c r="AS245" s="155">
        <f ca="1">IF(ISNUMBER(MATCH(DATEVALUE($A245),'recurring1_based on steps'!AS$1:AS$400,0)),AS$2,)</f>
        <v>0</v>
      </c>
      <c r="AT245" s="155">
        <f ca="1">IF(ISNUMBER(MATCH(DATEVALUE($A245),'recurring1_based on steps'!AT$1:AT$400,0)),AT$2,)</f>
        <v>0</v>
      </c>
      <c r="AU245" s="155">
        <f ca="1">IF(ISNUMBER(MATCH(DATEVALUE($A245),'recurring1_based on steps'!AU$1:AU$400,0)),AU$2,)</f>
        <v>0</v>
      </c>
      <c r="AV245" s="155">
        <f ca="1">IF(ISNUMBER(MATCH(DATEVALUE($A245),'recurring1_based on steps'!AV$1:AV$400,0)),AV$2,)</f>
        <v>0</v>
      </c>
      <c r="AW245" s="155">
        <f ca="1">IF(ISNUMBER(MATCH(DATEVALUE($A245),'recurring1_based on steps'!AW$1:AW$400,0)),AW$2,)</f>
        <v>0</v>
      </c>
      <c r="AX245" s="155">
        <f ca="1">IF(ISNUMBER(MATCH(DATEVALUE($A245),'recurring1_based on steps'!AX$1:AX$400,0)),AX$2,)</f>
        <v>0</v>
      </c>
      <c r="AY245" s="155">
        <f ca="1">IF(ISNUMBER(MATCH(DATEVALUE($A245),'recurring1_based on steps'!AY$1:AY$400,0)),AY$2,)</f>
        <v>0</v>
      </c>
    </row>
    <row r="246" spans="1:51" x14ac:dyDescent="0.2">
      <c r="A246" s="18" t="str">
        <f t="shared" ca="1" si="3"/>
        <v>2025-10-02</v>
      </c>
      <c r="B246" s="155">
        <f ca="1">IF(ISNUMBER(MATCH(DATEVALUE($A246),'recurring1_based on steps'!B$1:B$400,0)),B$2,)</f>
        <v>0</v>
      </c>
      <c r="C246" s="155">
        <f ca="1">IF(ISNUMBER(MATCH(DATEVALUE($A246),'recurring1_based on steps'!C$1:C$400,0)),C$2,)</f>
        <v>0</v>
      </c>
      <c r="D246" s="155">
        <f ca="1">IF(ISNUMBER(MATCH(DATEVALUE($A246),'recurring1_based on steps'!D$1:D$400,0)),D$2,)</f>
        <v>0</v>
      </c>
      <c r="E246" s="155">
        <f ca="1">IF(ISNUMBER(MATCH(DATEVALUE($A246),'recurring1_based on steps'!E$1:E$400,0)),E$2,)</f>
        <v>0</v>
      </c>
      <c r="F246" s="155">
        <f ca="1">IF(ISNUMBER(MATCH(DATEVALUE($A246),'recurring1_based on steps'!F$1:F$400,0)),F$2,)</f>
        <v>0</v>
      </c>
      <c r="G246" s="155">
        <f ca="1">IF(ISNUMBER(MATCH(DATEVALUE($A246),'recurring1_based on steps'!G$1:G$400,0)),G$2,)</f>
        <v>0</v>
      </c>
      <c r="H246" s="155">
        <f ca="1">IF(ISNUMBER(MATCH(DATEVALUE($A246),'recurring1_based on steps'!H$1:H$400,0)),H$2,)</f>
        <v>0</v>
      </c>
      <c r="I246" s="155">
        <f ca="1">IF(ISNUMBER(MATCH(DATEVALUE($A246),'recurring1_based on steps'!I$1:I$400,0)),I$2,)</f>
        <v>0</v>
      </c>
      <c r="J246" s="155">
        <f ca="1">IF(ISNUMBER(MATCH(DATEVALUE($A246),'recurring1_based on steps'!J$1:J$400,0)),J$2,)</f>
        <v>0</v>
      </c>
      <c r="K246" s="155">
        <f ca="1">IF(ISNUMBER(MATCH(DATEVALUE($A246),'recurring1_based on steps'!K$1:K$400,0)),K$2,)</f>
        <v>0</v>
      </c>
      <c r="L246" s="155">
        <f ca="1">IF(ISNUMBER(MATCH(DATEVALUE($A246),'recurring1_based on steps'!L$1:L$400,0)),L$2,)</f>
        <v>0</v>
      </c>
      <c r="M246" s="155">
        <f ca="1">IF(ISNUMBER(MATCH(DATEVALUE($A246),'recurring1_based on steps'!M$1:M$400,0)),M$2,)</f>
        <v>0</v>
      </c>
      <c r="N246" s="155">
        <f ca="1">IF(ISNUMBER(MATCH(DATEVALUE($A246),'recurring1_based on steps'!N$1:N$400,0)),N$2,)</f>
        <v>0</v>
      </c>
      <c r="O246" s="155">
        <f ca="1">IF(ISNUMBER(MATCH(DATEVALUE($A246),'recurring1_based on steps'!O$1:O$400,0)),O$2,)</f>
        <v>0</v>
      </c>
      <c r="P246" s="155">
        <f ca="1">IF(ISNUMBER(MATCH(DATEVALUE($A246),'recurring1_based on steps'!P$1:P$400,0)),P$2,)</f>
        <v>0</v>
      </c>
      <c r="Q246" s="155">
        <f ca="1">IF(ISNUMBER(MATCH(DATEVALUE($A246),'recurring1_based on steps'!Q$1:Q$400,0)),Q$2,)</f>
        <v>0</v>
      </c>
      <c r="R246" s="155">
        <f ca="1">IF(ISNUMBER(MATCH(DATEVALUE($A246),'recurring1_based on steps'!R$1:R$400,0)),R$2,)</f>
        <v>0</v>
      </c>
      <c r="S246" s="155">
        <f ca="1">IF(ISNUMBER(MATCH(DATEVALUE($A246),'recurring1_based on steps'!S$1:S$400,0)),S$2,)</f>
        <v>0</v>
      </c>
      <c r="T246" s="155">
        <f ca="1">IF(ISNUMBER(MATCH(DATEVALUE($A246),'recurring1_based on steps'!T$1:T$400,0)),T$2,)</f>
        <v>0</v>
      </c>
      <c r="U246" s="155">
        <f ca="1">IF(ISNUMBER(MATCH(DATEVALUE($A246),'recurring1_based on steps'!U$1:U$400,0)),U$2,)</f>
        <v>0</v>
      </c>
      <c r="V246" s="155">
        <f ca="1">IF(ISNUMBER(MATCH(DATEVALUE($A246),'recurring1_based on steps'!V$1:V$400,0)),V$2,)</f>
        <v>0</v>
      </c>
      <c r="W246" s="155">
        <f ca="1">IF(ISNUMBER(MATCH(DATEVALUE($A246),'recurring1_based on steps'!W$1:W$400,0)),W$2,)</f>
        <v>0</v>
      </c>
      <c r="X246" s="155">
        <f ca="1">IF(ISNUMBER(MATCH(DATEVALUE($A246),'recurring1_based on steps'!X$1:X$400,0)),X$2,)</f>
        <v>0</v>
      </c>
      <c r="Y246" s="155">
        <f ca="1">IF(ISNUMBER(MATCH(DATEVALUE($A246),'recurring1_based on steps'!Y$1:Y$400,0)),Y$2,)</f>
        <v>0</v>
      </c>
      <c r="Z246" s="155">
        <f ca="1">IF(ISNUMBER(MATCH(DATEVALUE($A246),'recurring1_based on steps'!Z$1:Z$400,0)),Z$2,)</f>
        <v>0</v>
      </c>
      <c r="AA246" s="155">
        <f ca="1">IF(ISNUMBER(MATCH(DATEVALUE($A246),'recurring1_based on steps'!AA$1:AA$400,0)),AA$2,)</f>
        <v>0</v>
      </c>
      <c r="AB246" s="155">
        <f ca="1">IF(ISNUMBER(MATCH(DATEVALUE($A246),'recurring1_based on steps'!AB$1:AB$400,0)),AB$2,)</f>
        <v>0</v>
      </c>
      <c r="AC246" s="155">
        <f ca="1">IF(ISNUMBER(MATCH(DATEVALUE($A246),'recurring1_based on steps'!AC$1:AC$400,0)),AC$2,)</f>
        <v>0</v>
      </c>
      <c r="AD246" s="155">
        <f ca="1">IF(ISNUMBER(MATCH(DATEVALUE($A246),'recurring1_based on steps'!AD$1:AD$400,0)),AD$2,)</f>
        <v>0</v>
      </c>
      <c r="AE246" s="155">
        <f ca="1">IF(ISNUMBER(MATCH(DATEVALUE($A246),'recurring1_based on steps'!AE$1:AE$400,0)),AE$2,)</f>
        <v>0</v>
      </c>
      <c r="AF246" s="155">
        <f ca="1">IF(ISNUMBER(MATCH(DATEVALUE($A246),'recurring1_based on steps'!AF$1:AF$400,0)),AF$2,)</f>
        <v>0</v>
      </c>
      <c r="AG246" s="155">
        <f ca="1">IF(ISNUMBER(MATCH(DATEVALUE($A246),'recurring1_based on steps'!AG$1:AG$400,0)),AG$2,)</f>
        <v>0</v>
      </c>
      <c r="AH246" s="155">
        <f ca="1">IF(ISNUMBER(MATCH(DATEVALUE($A246),'recurring1_based on steps'!AH$1:AH$400,0)),AH$2,)</f>
        <v>0</v>
      </c>
      <c r="AI246" s="155">
        <f ca="1">IF(ISNUMBER(MATCH(DATEVALUE($A246),'recurring1_based on steps'!AI$1:AI$400,0)),AI$2,)</f>
        <v>0</v>
      </c>
      <c r="AJ246" s="155">
        <f ca="1">IF(ISNUMBER(MATCH(DATEVALUE($A246),'recurring1_based on steps'!AJ$1:AJ$400,0)),AJ$2,)</f>
        <v>0</v>
      </c>
      <c r="AK246" s="155">
        <f ca="1">IF(ISNUMBER(MATCH(DATEVALUE($A246),'recurring1_based on steps'!AK$1:AK$400,0)),AK$2,)</f>
        <v>0</v>
      </c>
      <c r="AL246" s="155">
        <f ca="1">IF(ISNUMBER(MATCH(DATEVALUE($A246),'recurring1_based on steps'!AL$1:AL$400,0)),AL$2,)</f>
        <v>0</v>
      </c>
      <c r="AM246" s="155">
        <f ca="1">IF(ISNUMBER(MATCH(DATEVALUE($A246),'recurring1_based on steps'!AM$1:AM$400,0)),AM$2,)</f>
        <v>0</v>
      </c>
      <c r="AN246" s="155">
        <f ca="1">IF(ISNUMBER(MATCH(DATEVALUE($A246),'recurring1_based on steps'!AN$1:AN$400,0)),AN$2,)</f>
        <v>0</v>
      </c>
      <c r="AO246" s="155">
        <f ca="1">IF(ISNUMBER(MATCH(DATEVALUE($A246),'recurring1_based on steps'!AO$1:AO$400,0)),AO$2,)</f>
        <v>0</v>
      </c>
      <c r="AP246" s="155">
        <f ca="1">IF(ISNUMBER(MATCH(DATEVALUE($A246),'recurring1_based on steps'!AP$1:AP$400,0)),AP$2,)</f>
        <v>0</v>
      </c>
      <c r="AQ246" s="155">
        <f ca="1">IF(ISNUMBER(MATCH(DATEVALUE($A246),'recurring1_based on steps'!AQ$1:AQ$400,0)),AQ$2,)</f>
        <v>0</v>
      </c>
      <c r="AR246" s="155">
        <f ca="1">IF(ISNUMBER(MATCH(DATEVALUE($A246),'recurring1_based on steps'!AR$1:AR$400,0)),AR$2,)</f>
        <v>0</v>
      </c>
      <c r="AS246" s="155">
        <f ca="1">IF(ISNUMBER(MATCH(DATEVALUE($A246),'recurring1_based on steps'!AS$1:AS$400,0)),AS$2,)</f>
        <v>0</v>
      </c>
      <c r="AT246" s="155">
        <f ca="1">IF(ISNUMBER(MATCH(DATEVALUE($A246),'recurring1_based on steps'!AT$1:AT$400,0)),AT$2,)</f>
        <v>0</v>
      </c>
      <c r="AU246" s="155">
        <f ca="1">IF(ISNUMBER(MATCH(DATEVALUE($A246),'recurring1_based on steps'!AU$1:AU$400,0)),AU$2,)</f>
        <v>0</v>
      </c>
      <c r="AV246" s="155">
        <f ca="1">IF(ISNUMBER(MATCH(DATEVALUE($A246),'recurring1_based on steps'!AV$1:AV$400,0)),AV$2,)</f>
        <v>0</v>
      </c>
      <c r="AW246" s="155">
        <f ca="1">IF(ISNUMBER(MATCH(DATEVALUE($A246),'recurring1_based on steps'!AW$1:AW$400,0)),AW$2,)</f>
        <v>0</v>
      </c>
      <c r="AX246" s="155">
        <f ca="1">IF(ISNUMBER(MATCH(DATEVALUE($A246),'recurring1_based on steps'!AX$1:AX$400,0)),AX$2,)</f>
        <v>0</v>
      </c>
      <c r="AY246" s="155">
        <f ca="1">IF(ISNUMBER(MATCH(DATEVALUE($A246),'recurring1_based on steps'!AY$1:AY$400,0)),AY$2,)</f>
        <v>0</v>
      </c>
    </row>
    <row r="247" spans="1:51" x14ac:dyDescent="0.2">
      <c r="A247" s="18" t="str">
        <f t="shared" ca="1" si="3"/>
        <v>2025-10-03</v>
      </c>
      <c r="B247" s="155">
        <f ca="1">IF(ISNUMBER(MATCH(DATEVALUE($A247),'recurring1_based on steps'!B$1:B$400,0)),B$2,)</f>
        <v>4000</v>
      </c>
      <c r="C247" s="155">
        <f ca="1">IF(ISNUMBER(MATCH(DATEVALUE($A247),'recurring1_based on steps'!C$1:C$400,0)),C$2,)</f>
        <v>200</v>
      </c>
      <c r="D247" s="155">
        <f ca="1">IF(ISNUMBER(MATCH(DATEVALUE($A247),'recurring1_based on steps'!D$1:D$400,0)),D$2,)</f>
        <v>2</v>
      </c>
      <c r="E247" s="155">
        <f ca="1">IF(ISNUMBER(MATCH(DATEVALUE($A247),'recurring1_based on steps'!E$1:E$400,0)),E$2,)</f>
        <v>40</v>
      </c>
      <c r="F247" s="155">
        <f ca="1">IF(ISNUMBER(MATCH(DATEVALUE($A247),'recurring1_based on steps'!F$1:F$400,0)),F$2,)</f>
        <v>50</v>
      </c>
      <c r="G247" s="155">
        <f ca="1">IF(ISNUMBER(MATCH(DATEVALUE($A247),'recurring1_based on steps'!G$1:G$400,0)),G$2,)</f>
        <v>4</v>
      </c>
      <c r="H247" s="155">
        <f ca="1">IF(ISNUMBER(MATCH(DATEVALUE($A247),'recurring1_based on steps'!H$1:H$400,0)),H$2,)</f>
        <v>0</v>
      </c>
      <c r="I247" s="155">
        <f ca="1">IF(ISNUMBER(MATCH(DATEVALUE($A247),'recurring1_based on steps'!I$1:I$400,0)),I$2,)</f>
        <v>0</v>
      </c>
      <c r="J247" s="155">
        <f ca="1">IF(ISNUMBER(MATCH(DATEVALUE($A247),'recurring1_based on steps'!J$1:J$400,0)),J$2,)</f>
        <v>0</v>
      </c>
      <c r="K247" s="155">
        <f ca="1">IF(ISNUMBER(MATCH(DATEVALUE($A247),'recurring1_based on steps'!K$1:K$400,0)),K$2,)</f>
        <v>0</v>
      </c>
      <c r="L247" s="155">
        <f ca="1">IF(ISNUMBER(MATCH(DATEVALUE($A247),'recurring1_based on steps'!L$1:L$400,0)),L$2,)</f>
        <v>0</v>
      </c>
      <c r="M247" s="155">
        <f ca="1">IF(ISNUMBER(MATCH(DATEVALUE($A247),'recurring1_based on steps'!M$1:M$400,0)),M$2,)</f>
        <v>0</v>
      </c>
      <c r="N247" s="155">
        <f ca="1">IF(ISNUMBER(MATCH(DATEVALUE($A247),'recurring1_based on steps'!N$1:N$400,0)),N$2,)</f>
        <v>0</v>
      </c>
      <c r="O247" s="155">
        <f ca="1">IF(ISNUMBER(MATCH(DATEVALUE($A247),'recurring1_based on steps'!O$1:O$400,0)),O$2,)</f>
        <v>0</v>
      </c>
      <c r="P247" s="155">
        <f ca="1">IF(ISNUMBER(MATCH(DATEVALUE($A247),'recurring1_based on steps'!P$1:P$400,0)),P$2,)</f>
        <v>0</v>
      </c>
      <c r="Q247" s="155">
        <f ca="1">IF(ISNUMBER(MATCH(DATEVALUE($A247),'recurring1_based on steps'!Q$1:Q$400,0)),Q$2,)</f>
        <v>0</v>
      </c>
      <c r="R247" s="155">
        <f ca="1">IF(ISNUMBER(MATCH(DATEVALUE($A247),'recurring1_based on steps'!R$1:R$400,0)),R$2,)</f>
        <v>0</v>
      </c>
      <c r="S247" s="155">
        <f ca="1">IF(ISNUMBER(MATCH(DATEVALUE($A247),'recurring1_based on steps'!S$1:S$400,0)),S$2,)</f>
        <v>0</v>
      </c>
      <c r="T247" s="155">
        <f ca="1">IF(ISNUMBER(MATCH(DATEVALUE($A247),'recurring1_based on steps'!T$1:T$400,0)),T$2,)</f>
        <v>0</v>
      </c>
      <c r="U247" s="155">
        <f ca="1">IF(ISNUMBER(MATCH(DATEVALUE($A247),'recurring1_based on steps'!U$1:U$400,0)),U$2,)</f>
        <v>0</v>
      </c>
      <c r="V247" s="155">
        <f ca="1">IF(ISNUMBER(MATCH(DATEVALUE($A247),'recurring1_based on steps'!V$1:V$400,0)),V$2,)</f>
        <v>0</v>
      </c>
      <c r="W247" s="155">
        <f ca="1">IF(ISNUMBER(MATCH(DATEVALUE($A247),'recurring1_based on steps'!W$1:W$400,0)),W$2,)</f>
        <v>0</v>
      </c>
      <c r="X247" s="155">
        <f ca="1">IF(ISNUMBER(MATCH(DATEVALUE($A247),'recurring1_based on steps'!X$1:X$400,0)),X$2,)</f>
        <v>50</v>
      </c>
      <c r="Y247" s="155">
        <f ca="1">IF(ISNUMBER(MATCH(DATEVALUE($A247),'recurring1_based on steps'!Y$1:Y$400,0)),Y$2,)</f>
        <v>0</v>
      </c>
      <c r="Z247" s="155">
        <f ca="1">IF(ISNUMBER(MATCH(DATEVALUE($A247),'recurring1_based on steps'!Z$1:Z$400,0)),Z$2,)</f>
        <v>0</v>
      </c>
      <c r="AA247" s="155">
        <f ca="1">IF(ISNUMBER(MATCH(DATEVALUE($A247),'recurring1_based on steps'!AA$1:AA$400,0)),AA$2,)</f>
        <v>0</v>
      </c>
      <c r="AB247" s="155">
        <f ca="1">IF(ISNUMBER(MATCH(DATEVALUE($A247),'recurring1_based on steps'!AB$1:AB$400,0)),AB$2,)</f>
        <v>0</v>
      </c>
      <c r="AC247" s="155">
        <f ca="1">IF(ISNUMBER(MATCH(DATEVALUE($A247),'recurring1_based on steps'!AC$1:AC$400,0)),AC$2,)</f>
        <v>0</v>
      </c>
      <c r="AD247" s="155">
        <f ca="1">IF(ISNUMBER(MATCH(DATEVALUE($A247),'recurring1_based on steps'!AD$1:AD$400,0)),AD$2,)</f>
        <v>0</v>
      </c>
      <c r="AE247" s="155">
        <f ca="1">IF(ISNUMBER(MATCH(DATEVALUE($A247),'recurring1_based on steps'!AE$1:AE$400,0)),AE$2,)</f>
        <v>0</v>
      </c>
      <c r="AF247" s="155">
        <f ca="1">IF(ISNUMBER(MATCH(DATEVALUE($A247),'recurring1_based on steps'!AF$1:AF$400,0)),AF$2,)</f>
        <v>0</v>
      </c>
      <c r="AG247" s="155">
        <f ca="1">IF(ISNUMBER(MATCH(DATEVALUE($A247),'recurring1_based on steps'!AG$1:AG$400,0)),AG$2,)</f>
        <v>0</v>
      </c>
      <c r="AH247" s="155">
        <f ca="1">IF(ISNUMBER(MATCH(DATEVALUE($A247),'recurring1_based on steps'!AH$1:AH$400,0)),AH$2,)</f>
        <v>0</v>
      </c>
      <c r="AI247" s="155">
        <f ca="1">IF(ISNUMBER(MATCH(DATEVALUE($A247),'recurring1_based on steps'!AI$1:AI$400,0)),AI$2,)</f>
        <v>0</v>
      </c>
      <c r="AJ247" s="155">
        <f ca="1">IF(ISNUMBER(MATCH(DATEVALUE($A247),'recurring1_based on steps'!AJ$1:AJ$400,0)),AJ$2,)</f>
        <v>0</v>
      </c>
      <c r="AK247" s="155">
        <f ca="1">IF(ISNUMBER(MATCH(DATEVALUE($A247),'recurring1_based on steps'!AK$1:AK$400,0)),AK$2,)</f>
        <v>0</v>
      </c>
      <c r="AL247" s="155">
        <f ca="1">IF(ISNUMBER(MATCH(DATEVALUE($A247),'recurring1_based on steps'!AL$1:AL$400,0)),AL$2,)</f>
        <v>0</v>
      </c>
      <c r="AM247" s="155">
        <f ca="1">IF(ISNUMBER(MATCH(DATEVALUE($A247),'recurring1_based on steps'!AM$1:AM$400,0)),AM$2,)</f>
        <v>0</v>
      </c>
      <c r="AN247" s="155">
        <f ca="1">IF(ISNUMBER(MATCH(DATEVALUE($A247),'recurring1_based on steps'!AN$1:AN$400,0)),AN$2,)</f>
        <v>0</v>
      </c>
      <c r="AO247" s="155">
        <f ca="1">IF(ISNUMBER(MATCH(DATEVALUE($A247),'recurring1_based on steps'!AO$1:AO$400,0)),AO$2,)</f>
        <v>0</v>
      </c>
      <c r="AP247" s="155">
        <f ca="1">IF(ISNUMBER(MATCH(DATEVALUE($A247),'recurring1_based on steps'!AP$1:AP$400,0)),AP$2,)</f>
        <v>0</v>
      </c>
      <c r="AQ247" s="155">
        <f ca="1">IF(ISNUMBER(MATCH(DATEVALUE($A247),'recurring1_based on steps'!AQ$1:AQ$400,0)),AQ$2,)</f>
        <v>0</v>
      </c>
      <c r="AR247" s="155">
        <f ca="1">IF(ISNUMBER(MATCH(DATEVALUE($A247),'recurring1_based on steps'!AR$1:AR$400,0)),AR$2,)</f>
        <v>0</v>
      </c>
      <c r="AS247" s="155">
        <f ca="1">IF(ISNUMBER(MATCH(DATEVALUE($A247),'recurring1_based on steps'!AS$1:AS$400,0)),AS$2,)</f>
        <v>0</v>
      </c>
      <c r="AT247" s="155">
        <f ca="1">IF(ISNUMBER(MATCH(DATEVALUE($A247),'recurring1_based on steps'!AT$1:AT$400,0)),AT$2,)</f>
        <v>0</v>
      </c>
      <c r="AU247" s="155">
        <f ca="1">IF(ISNUMBER(MATCH(DATEVALUE($A247),'recurring1_based on steps'!AU$1:AU$400,0)),AU$2,)</f>
        <v>0</v>
      </c>
      <c r="AV247" s="155">
        <f ca="1">IF(ISNUMBER(MATCH(DATEVALUE($A247),'recurring1_based on steps'!AV$1:AV$400,0)),AV$2,)</f>
        <v>0</v>
      </c>
      <c r="AW247" s="155">
        <f ca="1">IF(ISNUMBER(MATCH(DATEVALUE($A247),'recurring1_based on steps'!AW$1:AW$400,0)),AW$2,)</f>
        <v>0</v>
      </c>
      <c r="AX247" s="155">
        <f ca="1">IF(ISNUMBER(MATCH(DATEVALUE($A247),'recurring1_based on steps'!AX$1:AX$400,0)),AX$2,)</f>
        <v>0</v>
      </c>
      <c r="AY247" s="155">
        <f ca="1">IF(ISNUMBER(MATCH(DATEVALUE($A247),'recurring1_based on steps'!AY$1:AY$400,0)),AY$2,)</f>
        <v>0</v>
      </c>
    </row>
    <row r="248" spans="1:51" x14ac:dyDescent="0.2">
      <c r="A248" s="18" t="str">
        <f t="shared" ca="1" si="3"/>
        <v>2025-10-04</v>
      </c>
      <c r="B248" s="155">
        <f ca="1">IF(ISNUMBER(MATCH(DATEVALUE($A248),'recurring1_based on steps'!B$1:B$400,0)),B$2,)</f>
        <v>0</v>
      </c>
      <c r="C248" s="155">
        <f ca="1">IF(ISNUMBER(MATCH(DATEVALUE($A248),'recurring1_based on steps'!C$1:C$400,0)),C$2,)</f>
        <v>0</v>
      </c>
      <c r="D248" s="155">
        <f ca="1">IF(ISNUMBER(MATCH(DATEVALUE($A248),'recurring1_based on steps'!D$1:D$400,0)),D$2,)</f>
        <v>0</v>
      </c>
      <c r="E248" s="155">
        <f ca="1">IF(ISNUMBER(MATCH(DATEVALUE($A248),'recurring1_based on steps'!E$1:E$400,0)),E$2,)</f>
        <v>0</v>
      </c>
      <c r="F248" s="155">
        <f ca="1">IF(ISNUMBER(MATCH(DATEVALUE($A248),'recurring1_based on steps'!F$1:F$400,0)),F$2,)</f>
        <v>0</v>
      </c>
      <c r="G248" s="155">
        <f ca="1">IF(ISNUMBER(MATCH(DATEVALUE($A248),'recurring1_based on steps'!G$1:G$400,0)),G$2,)</f>
        <v>0</v>
      </c>
      <c r="H248" s="155">
        <f ca="1">IF(ISNUMBER(MATCH(DATEVALUE($A248),'recurring1_based on steps'!H$1:H$400,0)),H$2,)</f>
        <v>0</v>
      </c>
      <c r="I248" s="155">
        <f ca="1">IF(ISNUMBER(MATCH(DATEVALUE($A248),'recurring1_based on steps'!I$1:I$400,0)),I$2,)</f>
        <v>0</v>
      </c>
      <c r="J248" s="155">
        <f ca="1">IF(ISNUMBER(MATCH(DATEVALUE($A248),'recurring1_based on steps'!J$1:J$400,0)),J$2,)</f>
        <v>0</v>
      </c>
      <c r="K248" s="155">
        <f ca="1">IF(ISNUMBER(MATCH(DATEVALUE($A248),'recurring1_based on steps'!K$1:K$400,0)),K$2,)</f>
        <v>0</v>
      </c>
      <c r="L248" s="155">
        <f ca="1">IF(ISNUMBER(MATCH(DATEVALUE($A248),'recurring1_based on steps'!L$1:L$400,0)),L$2,)</f>
        <v>0</v>
      </c>
      <c r="M248" s="155">
        <f ca="1">IF(ISNUMBER(MATCH(DATEVALUE($A248),'recurring1_based on steps'!M$1:M$400,0)),M$2,)</f>
        <v>15</v>
      </c>
      <c r="N248" s="155">
        <f ca="1">IF(ISNUMBER(MATCH(DATEVALUE($A248),'recurring1_based on steps'!N$1:N$400,0)),N$2,)</f>
        <v>0</v>
      </c>
      <c r="O248" s="155">
        <f ca="1">IF(ISNUMBER(MATCH(DATEVALUE($A248),'recurring1_based on steps'!O$1:O$400,0)),O$2,)</f>
        <v>0</v>
      </c>
      <c r="P248" s="155">
        <f ca="1">IF(ISNUMBER(MATCH(DATEVALUE($A248),'recurring1_based on steps'!P$1:P$400,0)),P$2,)</f>
        <v>0</v>
      </c>
      <c r="Q248" s="155">
        <f ca="1">IF(ISNUMBER(MATCH(DATEVALUE($A248),'recurring1_based on steps'!Q$1:Q$400,0)),Q$2,)</f>
        <v>100</v>
      </c>
      <c r="R248" s="155">
        <f ca="1">IF(ISNUMBER(MATCH(DATEVALUE($A248),'recurring1_based on steps'!R$1:R$400,0)),R$2,)</f>
        <v>100</v>
      </c>
      <c r="S248" s="155">
        <f ca="1">IF(ISNUMBER(MATCH(DATEVALUE($A248),'recurring1_based on steps'!S$1:S$400,0)),S$2,)</f>
        <v>0</v>
      </c>
      <c r="T248" s="155">
        <f ca="1">IF(ISNUMBER(MATCH(DATEVALUE($A248),'recurring1_based on steps'!T$1:T$400,0)),T$2,)</f>
        <v>0</v>
      </c>
      <c r="U248" s="155">
        <f ca="1">IF(ISNUMBER(MATCH(DATEVALUE($A248),'recurring1_based on steps'!U$1:U$400,0)),U$2,)</f>
        <v>0</v>
      </c>
      <c r="V248" s="155">
        <f ca="1">IF(ISNUMBER(MATCH(DATEVALUE($A248),'recurring1_based on steps'!V$1:V$400,0)),V$2,)</f>
        <v>0</v>
      </c>
      <c r="W248" s="155">
        <f ca="1">IF(ISNUMBER(MATCH(DATEVALUE($A248),'recurring1_based on steps'!W$1:W$400,0)),W$2,)</f>
        <v>0</v>
      </c>
      <c r="X248" s="155">
        <f ca="1">IF(ISNUMBER(MATCH(DATEVALUE($A248),'recurring1_based on steps'!X$1:X$400,0)),X$2,)</f>
        <v>0</v>
      </c>
      <c r="Y248" s="155">
        <f ca="1">IF(ISNUMBER(MATCH(DATEVALUE($A248),'recurring1_based on steps'!Y$1:Y$400,0)),Y$2,)</f>
        <v>0</v>
      </c>
      <c r="Z248" s="155">
        <f ca="1">IF(ISNUMBER(MATCH(DATEVALUE($A248),'recurring1_based on steps'!Z$1:Z$400,0)),Z$2,)</f>
        <v>0</v>
      </c>
      <c r="AA248" s="155">
        <f ca="1">IF(ISNUMBER(MATCH(DATEVALUE($A248),'recurring1_based on steps'!AA$1:AA$400,0)),AA$2,)</f>
        <v>0</v>
      </c>
      <c r="AB248" s="155">
        <f ca="1">IF(ISNUMBER(MATCH(DATEVALUE($A248),'recurring1_based on steps'!AB$1:AB$400,0)),AB$2,)</f>
        <v>0</v>
      </c>
      <c r="AC248" s="155">
        <f ca="1">IF(ISNUMBER(MATCH(DATEVALUE($A248),'recurring1_based on steps'!AC$1:AC$400,0)),AC$2,)</f>
        <v>0</v>
      </c>
      <c r="AD248" s="155">
        <f ca="1">IF(ISNUMBER(MATCH(DATEVALUE($A248),'recurring1_based on steps'!AD$1:AD$400,0)),AD$2,)</f>
        <v>0</v>
      </c>
      <c r="AE248" s="155">
        <f ca="1">IF(ISNUMBER(MATCH(DATEVALUE($A248),'recurring1_based on steps'!AE$1:AE$400,0)),AE$2,)</f>
        <v>0</v>
      </c>
      <c r="AF248" s="155">
        <f ca="1">IF(ISNUMBER(MATCH(DATEVALUE($A248),'recurring1_based on steps'!AF$1:AF$400,0)),AF$2,)</f>
        <v>0</v>
      </c>
      <c r="AG248" s="155">
        <f ca="1">IF(ISNUMBER(MATCH(DATEVALUE($A248),'recurring1_based on steps'!AG$1:AG$400,0)),AG$2,)</f>
        <v>0</v>
      </c>
      <c r="AH248" s="155">
        <f ca="1">IF(ISNUMBER(MATCH(DATEVALUE($A248),'recurring1_based on steps'!AH$1:AH$400,0)),AH$2,)</f>
        <v>0</v>
      </c>
      <c r="AI248" s="155">
        <f ca="1">IF(ISNUMBER(MATCH(DATEVALUE($A248),'recurring1_based on steps'!AI$1:AI$400,0)),AI$2,)</f>
        <v>0</v>
      </c>
      <c r="AJ248" s="155">
        <f ca="1">IF(ISNUMBER(MATCH(DATEVALUE($A248),'recurring1_based on steps'!AJ$1:AJ$400,0)),AJ$2,)</f>
        <v>0</v>
      </c>
      <c r="AK248" s="155">
        <f ca="1">IF(ISNUMBER(MATCH(DATEVALUE($A248),'recurring1_based on steps'!AK$1:AK$400,0)),AK$2,)</f>
        <v>0</v>
      </c>
      <c r="AL248" s="155">
        <f ca="1">IF(ISNUMBER(MATCH(DATEVALUE($A248),'recurring1_based on steps'!AL$1:AL$400,0)),AL$2,)</f>
        <v>0</v>
      </c>
      <c r="AM248" s="155">
        <f ca="1">IF(ISNUMBER(MATCH(DATEVALUE($A248),'recurring1_based on steps'!AM$1:AM$400,0)),AM$2,)</f>
        <v>0</v>
      </c>
      <c r="AN248" s="155">
        <f ca="1">IF(ISNUMBER(MATCH(DATEVALUE($A248),'recurring1_based on steps'!AN$1:AN$400,0)),AN$2,)</f>
        <v>0</v>
      </c>
      <c r="AO248" s="155">
        <f ca="1">IF(ISNUMBER(MATCH(DATEVALUE($A248),'recurring1_based on steps'!AO$1:AO$400,0)),AO$2,)</f>
        <v>0</v>
      </c>
      <c r="AP248" s="155">
        <f ca="1">IF(ISNUMBER(MATCH(DATEVALUE($A248),'recurring1_based on steps'!AP$1:AP$400,0)),AP$2,)</f>
        <v>0</v>
      </c>
      <c r="AQ248" s="155">
        <f ca="1">IF(ISNUMBER(MATCH(DATEVALUE($A248),'recurring1_based on steps'!AQ$1:AQ$400,0)),AQ$2,)</f>
        <v>0</v>
      </c>
      <c r="AR248" s="155">
        <f ca="1">IF(ISNUMBER(MATCH(DATEVALUE($A248),'recurring1_based on steps'!AR$1:AR$400,0)),AR$2,)</f>
        <v>0</v>
      </c>
      <c r="AS248" s="155">
        <f ca="1">IF(ISNUMBER(MATCH(DATEVALUE($A248),'recurring1_based on steps'!AS$1:AS$400,0)),AS$2,)</f>
        <v>0</v>
      </c>
      <c r="AT248" s="155">
        <f ca="1">IF(ISNUMBER(MATCH(DATEVALUE($A248),'recurring1_based on steps'!AT$1:AT$400,0)),AT$2,)</f>
        <v>0</v>
      </c>
      <c r="AU248" s="155">
        <f ca="1">IF(ISNUMBER(MATCH(DATEVALUE($A248),'recurring1_based on steps'!AU$1:AU$400,0)),AU$2,)</f>
        <v>0</v>
      </c>
      <c r="AV248" s="155">
        <f ca="1">IF(ISNUMBER(MATCH(DATEVALUE($A248),'recurring1_based on steps'!AV$1:AV$400,0)),AV$2,)</f>
        <v>0</v>
      </c>
      <c r="AW248" s="155">
        <f ca="1">IF(ISNUMBER(MATCH(DATEVALUE($A248),'recurring1_based on steps'!AW$1:AW$400,0)),AW$2,)</f>
        <v>0</v>
      </c>
      <c r="AX248" s="155">
        <f ca="1">IF(ISNUMBER(MATCH(DATEVALUE($A248),'recurring1_based on steps'!AX$1:AX$400,0)),AX$2,)</f>
        <v>0</v>
      </c>
      <c r="AY248" s="155">
        <f ca="1">IF(ISNUMBER(MATCH(DATEVALUE($A248),'recurring1_based on steps'!AY$1:AY$400,0)),AY$2,)</f>
        <v>0</v>
      </c>
    </row>
    <row r="249" spans="1:51" x14ac:dyDescent="0.2">
      <c r="A249" s="18" t="str">
        <f t="shared" ca="1" si="3"/>
        <v>2025-10-05</v>
      </c>
      <c r="B249" s="155">
        <f ca="1">IF(ISNUMBER(MATCH(DATEVALUE($A249),'recurring1_based on steps'!B$1:B$400,0)),B$2,)</f>
        <v>0</v>
      </c>
      <c r="C249" s="155">
        <f ca="1">IF(ISNUMBER(MATCH(DATEVALUE($A249),'recurring1_based on steps'!C$1:C$400,0)),C$2,)</f>
        <v>0</v>
      </c>
      <c r="D249" s="155">
        <f ca="1">IF(ISNUMBER(MATCH(DATEVALUE($A249),'recurring1_based on steps'!D$1:D$400,0)),D$2,)</f>
        <v>0</v>
      </c>
      <c r="E249" s="155">
        <f ca="1">IF(ISNUMBER(MATCH(DATEVALUE($A249),'recurring1_based on steps'!E$1:E$400,0)),E$2,)</f>
        <v>0</v>
      </c>
      <c r="F249" s="155">
        <f ca="1">IF(ISNUMBER(MATCH(DATEVALUE($A249),'recurring1_based on steps'!F$1:F$400,0)),F$2,)</f>
        <v>0</v>
      </c>
      <c r="G249" s="155">
        <f ca="1">IF(ISNUMBER(MATCH(DATEVALUE($A249),'recurring1_based on steps'!G$1:G$400,0)),G$2,)</f>
        <v>0</v>
      </c>
      <c r="H249" s="155">
        <f ca="1">IF(ISNUMBER(MATCH(DATEVALUE($A249),'recurring1_based on steps'!H$1:H$400,0)),H$2,)</f>
        <v>0</v>
      </c>
      <c r="I249" s="155">
        <f ca="1">IF(ISNUMBER(MATCH(DATEVALUE($A249),'recurring1_based on steps'!I$1:I$400,0)),I$2,)</f>
        <v>0</v>
      </c>
      <c r="J249" s="155">
        <f ca="1">IF(ISNUMBER(MATCH(DATEVALUE($A249),'recurring1_based on steps'!J$1:J$400,0)),J$2,)</f>
        <v>0</v>
      </c>
      <c r="K249" s="155">
        <f ca="1">IF(ISNUMBER(MATCH(DATEVALUE($A249),'recurring1_based on steps'!K$1:K$400,0)),K$2,)</f>
        <v>50</v>
      </c>
      <c r="L249" s="155">
        <f ca="1">IF(ISNUMBER(MATCH(DATEVALUE($A249),'recurring1_based on steps'!L$1:L$400,0)),L$2,)</f>
        <v>0</v>
      </c>
      <c r="M249" s="155">
        <f ca="1">IF(ISNUMBER(MATCH(DATEVALUE($A249),'recurring1_based on steps'!M$1:M$400,0)),M$2,)</f>
        <v>0</v>
      </c>
      <c r="N249" s="155">
        <f ca="1">IF(ISNUMBER(MATCH(DATEVALUE($A249),'recurring1_based on steps'!N$1:N$400,0)),N$2,)</f>
        <v>0</v>
      </c>
      <c r="O249" s="155">
        <f ca="1">IF(ISNUMBER(MATCH(DATEVALUE($A249),'recurring1_based on steps'!O$1:O$400,0)),O$2,)</f>
        <v>0</v>
      </c>
      <c r="P249" s="155">
        <f ca="1">IF(ISNUMBER(MATCH(DATEVALUE($A249),'recurring1_based on steps'!P$1:P$400,0)),P$2,)</f>
        <v>0</v>
      </c>
      <c r="Q249" s="155">
        <f ca="1">IF(ISNUMBER(MATCH(DATEVALUE($A249),'recurring1_based on steps'!Q$1:Q$400,0)),Q$2,)</f>
        <v>0</v>
      </c>
      <c r="R249" s="155">
        <f ca="1">IF(ISNUMBER(MATCH(DATEVALUE($A249),'recurring1_based on steps'!R$1:R$400,0)),R$2,)</f>
        <v>0</v>
      </c>
      <c r="S249" s="155">
        <f ca="1">IF(ISNUMBER(MATCH(DATEVALUE($A249),'recurring1_based on steps'!S$1:S$400,0)),S$2,)</f>
        <v>100</v>
      </c>
      <c r="T249" s="155">
        <f ca="1">IF(ISNUMBER(MATCH(DATEVALUE($A249),'recurring1_based on steps'!T$1:T$400,0)),T$2,)</f>
        <v>0</v>
      </c>
      <c r="U249" s="155">
        <f ca="1">IF(ISNUMBER(MATCH(DATEVALUE($A249),'recurring1_based on steps'!U$1:U$400,0)),U$2,)</f>
        <v>0</v>
      </c>
      <c r="V249" s="155">
        <f ca="1">IF(ISNUMBER(MATCH(DATEVALUE($A249),'recurring1_based on steps'!V$1:V$400,0)),V$2,)</f>
        <v>0</v>
      </c>
      <c r="W249" s="155">
        <f ca="1">IF(ISNUMBER(MATCH(DATEVALUE($A249),'recurring1_based on steps'!W$1:W$400,0)),W$2,)</f>
        <v>0</v>
      </c>
      <c r="X249" s="155">
        <f ca="1">IF(ISNUMBER(MATCH(DATEVALUE($A249),'recurring1_based on steps'!X$1:X$400,0)),X$2,)</f>
        <v>0</v>
      </c>
      <c r="Y249" s="155">
        <f ca="1">IF(ISNUMBER(MATCH(DATEVALUE($A249),'recurring1_based on steps'!Y$1:Y$400,0)),Y$2,)</f>
        <v>0</v>
      </c>
      <c r="Z249" s="155">
        <f ca="1">IF(ISNUMBER(MATCH(DATEVALUE($A249),'recurring1_based on steps'!Z$1:Z$400,0)),Z$2,)</f>
        <v>0</v>
      </c>
      <c r="AA249" s="155">
        <f ca="1">IF(ISNUMBER(MATCH(DATEVALUE($A249),'recurring1_based on steps'!AA$1:AA$400,0)),AA$2,)</f>
        <v>0</v>
      </c>
      <c r="AB249" s="155">
        <f ca="1">IF(ISNUMBER(MATCH(DATEVALUE($A249),'recurring1_based on steps'!AB$1:AB$400,0)),AB$2,)</f>
        <v>0</v>
      </c>
      <c r="AC249" s="155">
        <f ca="1">IF(ISNUMBER(MATCH(DATEVALUE($A249),'recurring1_based on steps'!AC$1:AC$400,0)),AC$2,)</f>
        <v>0</v>
      </c>
      <c r="AD249" s="155">
        <f ca="1">IF(ISNUMBER(MATCH(DATEVALUE($A249),'recurring1_based on steps'!AD$1:AD$400,0)),AD$2,)</f>
        <v>0</v>
      </c>
      <c r="AE249" s="155">
        <f ca="1">IF(ISNUMBER(MATCH(DATEVALUE($A249),'recurring1_based on steps'!AE$1:AE$400,0)),AE$2,)</f>
        <v>0</v>
      </c>
      <c r="AF249" s="155">
        <f ca="1">IF(ISNUMBER(MATCH(DATEVALUE($A249),'recurring1_based on steps'!AF$1:AF$400,0)),AF$2,)</f>
        <v>0</v>
      </c>
      <c r="AG249" s="155">
        <f ca="1">IF(ISNUMBER(MATCH(DATEVALUE($A249),'recurring1_based on steps'!AG$1:AG$400,0)),AG$2,)</f>
        <v>0</v>
      </c>
      <c r="AH249" s="155">
        <f ca="1">IF(ISNUMBER(MATCH(DATEVALUE($A249),'recurring1_based on steps'!AH$1:AH$400,0)),AH$2,)</f>
        <v>0</v>
      </c>
      <c r="AI249" s="155">
        <f ca="1">IF(ISNUMBER(MATCH(DATEVALUE($A249),'recurring1_based on steps'!AI$1:AI$400,0)),AI$2,)</f>
        <v>0</v>
      </c>
      <c r="AJ249" s="155">
        <f ca="1">IF(ISNUMBER(MATCH(DATEVALUE($A249),'recurring1_based on steps'!AJ$1:AJ$400,0)),AJ$2,)</f>
        <v>0</v>
      </c>
      <c r="AK249" s="155">
        <f ca="1">IF(ISNUMBER(MATCH(DATEVALUE($A249),'recurring1_based on steps'!AK$1:AK$400,0)),AK$2,)</f>
        <v>0</v>
      </c>
      <c r="AL249" s="155">
        <f ca="1">IF(ISNUMBER(MATCH(DATEVALUE($A249),'recurring1_based on steps'!AL$1:AL$400,0)),AL$2,)</f>
        <v>0</v>
      </c>
      <c r="AM249" s="155">
        <f ca="1">IF(ISNUMBER(MATCH(DATEVALUE($A249),'recurring1_based on steps'!AM$1:AM$400,0)),AM$2,)</f>
        <v>0</v>
      </c>
      <c r="AN249" s="155">
        <f ca="1">IF(ISNUMBER(MATCH(DATEVALUE($A249),'recurring1_based on steps'!AN$1:AN$400,0)),AN$2,)</f>
        <v>0</v>
      </c>
      <c r="AO249" s="155">
        <f ca="1">IF(ISNUMBER(MATCH(DATEVALUE($A249),'recurring1_based on steps'!AO$1:AO$400,0)),AO$2,)</f>
        <v>0</v>
      </c>
      <c r="AP249" s="155">
        <f ca="1">IF(ISNUMBER(MATCH(DATEVALUE($A249),'recurring1_based on steps'!AP$1:AP$400,0)),AP$2,)</f>
        <v>0</v>
      </c>
      <c r="AQ249" s="155">
        <f ca="1">IF(ISNUMBER(MATCH(DATEVALUE($A249),'recurring1_based on steps'!AQ$1:AQ$400,0)),AQ$2,)</f>
        <v>0</v>
      </c>
      <c r="AR249" s="155">
        <f ca="1">IF(ISNUMBER(MATCH(DATEVALUE($A249),'recurring1_based on steps'!AR$1:AR$400,0)),AR$2,)</f>
        <v>0</v>
      </c>
      <c r="AS249" s="155">
        <f ca="1">IF(ISNUMBER(MATCH(DATEVALUE($A249),'recurring1_based on steps'!AS$1:AS$400,0)),AS$2,)</f>
        <v>0</v>
      </c>
      <c r="AT249" s="155">
        <f ca="1">IF(ISNUMBER(MATCH(DATEVALUE($A249),'recurring1_based on steps'!AT$1:AT$400,0)),AT$2,)</f>
        <v>0</v>
      </c>
      <c r="AU249" s="155">
        <f ca="1">IF(ISNUMBER(MATCH(DATEVALUE($A249),'recurring1_based on steps'!AU$1:AU$400,0)),AU$2,)</f>
        <v>0</v>
      </c>
      <c r="AV249" s="155">
        <f ca="1">IF(ISNUMBER(MATCH(DATEVALUE($A249),'recurring1_based on steps'!AV$1:AV$400,0)),AV$2,)</f>
        <v>0</v>
      </c>
      <c r="AW249" s="155">
        <f ca="1">IF(ISNUMBER(MATCH(DATEVALUE($A249),'recurring1_based on steps'!AW$1:AW$400,0)),AW$2,)</f>
        <v>0</v>
      </c>
      <c r="AX249" s="155">
        <f ca="1">IF(ISNUMBER(MATCH(DATEVALUE($A249),'recurring1_based on steps'!AX$1:AX$400,0)),AX$2,)</f>
        <v>0</v>
      </c>
      <c r="AY249" s="155">
        <f ca="1">IF(ISNUMBER(MATCH(DATEVALUE($A249),'recurring1_based on steps'!AY$1:AY$400,0)),AY$2,)</f>
        <v>0</v>
      </c>
    </row>
    <row r="250" spans="1:51" x14ac:dyDescent="0.2">
      <c r="A250" s="18" t="str">
        <f t="shared" ca="1" si="3"/>
        <v>2025-10-06</v>
      </c>
      <c r="B250" s="155">
        <f ca="1">IF(ISNUMBER(MATCH(DATEVALUE($A250),'recurring1_based on steps'!B$1:B$400,0)),B$2,)</f>
        <v>0</v>
      </c>
      <c r="C250" s="155">
        <f ca="1">IF(ISNUMBER(MATCH(DATEVALUE($A250),'recurring1_based on steps'!C$1:C$400,0)),C$2,)</f>
        <v>0</v>
      </c>
      <c r="D250" s="155">
        <f ca="1">IF(ISNUMBER(MATCH(DATEVALUE($A250),'recurring1_based on steps'!D$1:D$400,0)),D$2,)</f>
        <v>0</v>
      </c>
      <c r="E250" s="155">
        <f ca="1">IF(ISNUMBER(MATCH(DATEVALUE($A250),'recurring1_based on steps'!E$1:E$400,0)),E$2,)</f>
        <v>0</v>
      </c>
      <c r="F250" s="155">
        <f ca="1">IF(ISNUMBER(MATCH(DATEVALUE($A250),'recurring1_based on steps'!F$1:F$400,0)),F$2,)</f>
        <v>0</v>
      </c>
      <c r="G250" s="155">
        <f ca="1">IF(ISNUMBER(MATCH(DATEVALUE($A250),'recurring1_based on steps'!G$1:G$400,0)),G$2,)</f>
        <v>0</v>
      </c>
      <c r="H250" s="155">
        <f ca="1">IF(ISNUMBER(MATCH(DATEVALUE($A250),'recurring1_based on steps'!H$1:H$400,0)),H$2,)</f>
        <v>0</v>
      </c>
      <c r="I250" s="155">
        <f ca="1">IF(ISNUMBER(MATCH(DATEVALUE($A250),'recurring1_based on steps'!I$1:I$400,0)),I$2,)</f>
        <v>0</v>
      </c>
      <c r="J250" s="155">
        <f ca="1">IF(ISNUMBER(MATCH(DATEVALUE($A250),'recurring1_based on steps'!J$1:J$400,0)),J$2,)</f>
        <v>0</v>
      </c>
      <c r="K250" s="155">
        <f ca="1">IF(ISNUMBER(MATCH(DATEVALUE($A250),'recurring1_based on steps'!K$1:K$400,0)),K$2,)</f>
        <v>0</v>
      </c>
      <c r="L250" s="155">
        <f ca="1">IF(ISNUMBER(MATCH(DATEVALUE($A250),'recurring1_based on steps'!L$1:L$400,0)),L$2,)</f>
        <v>0</v>
      </c>
      <c r="M250" s="155">
        <f ca="1">IF(ISNUMBER(MATCH(DATEVALUE($A250),'recurring1_based on steps'!M$1:M$400,0)),M$2,)</f>
        <v>0</v>
      </c>
      <c r="N250" s="155">
        <f ca="1">IF(ISNUMBER(MATCH(DATEVALUE($A250),'recurring1_based on steps'!N$1:N$400,0)),N$2,)</f>
        <v>0</v>
      </c>
      <c r="O250" s="155">
        <f ca="1">IF(ISNUMBER(MATCH(DATEVALUE($A250),'recurring1_based on steps'!O$1:O$400,0)),O$2,)</f>
        <v>0</v>
      </c>
      <c r="P250" s="155">
        <f ca="1">IF(ISNUMBER(MATCH(DATEVALUE($A250),'recurring1_based on steps'!P$1:P$400,0)),P$2,)</f>
        <v>0</v>
      </c>
      <c r="Q250" s="155">
        <f ca="1">IF(ISNUMBER(MATCH(DATEVALUE($A250),'recurring1_based on steps'!Q$1:Q$400,0)),Q$2,)</f>
        <v>0</v>
      </c>
      <c r="R250" s="155">
        <f ca="1">IF(ISNUMBER(MATCH(DATEVALUE($A250),'recurring1_based on steps'!R$1:R$400,0)),R$2,)</f>
        <v>0</v>
      </c>
      <c r="S250" s="155">
        <f ca="1">IF(ISNUMBER(MATCH(DATEVALUE($A250),'recurring1_based on steps'!S$1:S$400,0)),S$2,)</f>
        <v>0</v>
      </c>
      <c r="T250" s="155">
        <f ca="1">IF(ISNUMBER(MATCH(DATEVALUE($A250),'recurring1_based on steps'!T$1:T$400,0)),T$2,)</f>
        <v>0</v>
      </c>
      <c r="U250" s="155">
        <f ca="1">IF(ISNUMBER(MATCH(DATEVALUE($A250),'recurring1_based on steps'!U$1:U$400,0)),U$2,)</f>
        <v>0</v>
      </c>
      <c r="V250" s="155">
        <f ca="1">IF(ISNUMBER(MATCH(DATEVALUE($A250),'recurring1_based on steps'!V$1:V$400,0)),V$2,)</f>
        <v>0</v>
      </c>
      <c r="W250" s="155">
        <f ca="1">IF(ISNUMBER(MATCH(DATEVALUE($A250),'recurring1_based on steps'!W$1:W$400,0)),W$2,)</f>
        <v>0</v>
      </c>
      <c r="X250" s="155">
        <f ca="1">IF(ISNUMBER(MATCH(DATEVALUE($A250),'recurring1_based on steps'!X$1:X$400,0)),X$2,)</f>
        <v>0</v>
      </c>
      <c r="Y250" s="155">
        <f ca="1">IF(ISNUMBER(MATCH(DATEVALUE($A250),'recurring1_based on steps'!Y$1:Y$400,0)),Y$2,)</f>
        <v>0</v>
      </c>
      <c r="Z250" s="155">
        <f ca="1">IF(ISNUMBER(MATCH(DATEVALUE($A250),'recurring1_based on steps'!Z$1:Z$400,0)),Z$2,)</f>
        <v>0</v>
      </c>
      <c r="AA250" s="155">
        <f ca="1">IF(ISNUMBER(MATCH(DATEVALUE($A250),'recurring1_based on steps'!AA$1:AA$400,0)),AA$2,)</f>
        <v>0</v>
      </c>
      <c r="AB250" s="155">
        <f ca="1">IF(ISNUMBER(MATCH(DATEVALUE($A250),'recurring1_based on steps'!AB$1:AB$400,0)),AB$2,)</f>
        <v>0</v>
      </c>
      <c r="AC250" s="155">
        <f ca="1">IF(ISNUMBER(MATCH(DATEVALUE($A250),'recurring1_based on steps'!AC$1:AC$400,0)),AC$2,)</f>
        <v>0</v>
      </c>
      <c r="AD250" s="155">
        <f ca="1">IF(ISNUMBER(MATCH(DATEVALUE($A250),'recurring1_based on steps'!AD$1:AD$400,0)),AD$2,)</f>
        <v>0</v>
      </c>
      <c r="AE250" s="155">
        <f ca="1">IF(ISNUMBER(MATCH(DATEVALUE($A250),'recurring1_based on steps'!AE$1:AE$400,0)),AE$2,)</f>
        <v>0</v>
      </c>
      <c r="AF250" s="155">
        <f ca="1">IF(ISNUMBER(MATCH(DATEVALUE($A250),'recurring1_based on steps'!AF$1:AF$400,0)),AF$2,)</f>
        <v>0</v>
      </c>
      <c r="AG250" s="155">
        <f ca="1">IF(ISNUMBER(MATCH(DATEVALUE($A250),'recurring1_based on steps'!AG$1:AG$400,0)),AG$2,)</f>
        <v>0</v>
      </c>
      <c r="AH250" s="155">
        <f ca="1">IF(ISNUMBER(MATCH(DATEVALUE($A250),'recurring1_based on steps'!AH$1:AH$400,0)),AH$2,)</f>
        <v>0</v>
      </c>
      <c r="AI250" s="155">
        <f ca="1">IF(ISNUMBER(MATCH(DATEVALUE($A250),'recurring1_based on steps'!AI$1:AI$400,0)),AI$2,)</f>
        <v>0</v>
      </c>
      <c r="AJ250" s="155">
        <f ca="1">IF(ISNUMBER(MATCH(DATEVALUE($A250),'recurring1_based on steps'!AJ$1:AJ$400,0)),AJ$2,)</f>
        <v>0</v>
      </c>
      <c r="AK250" s="155">
        <f ca="1">IF(ISNUMBER(MATCH(DATEVALUE($A250),'recurring1_based on steps'!AK$1:AK$400,0)),AK$2,)</f>
        <v>0</v>
      </c>
      <c r="AL250" s="155">
        <f ca="1">IF(ISNUMBER(MATCH(DATEVALUE($A250),'recurring1_based on steps'!AL$1:AL$400,0)),AL$2,)</f>
        <v>0</v>
      </c>
      <c r="AM250" s="155">
        <f ca="1">IF(ISNUMBER(MATCH(DATEVALUE($A250),'recurring1_based on steps'!AM$1:AM$400,0)),AM$2,)</f>
        <v>0</v>
      </c>
      <c r="AN250" s="155">
        <f ca="1">IF(ISNUMBER(MATCH(DATEVALUE($A250),'recurring1_based on steps'!AN$1:AN$400,0)),AN$2,)</f>
        <v>0</v>
      </c>
      <c r="AO250" s="155">
        <f ca="1">IF(ISNUMBER(MATCH(DATEVALUE($A250),'recurring1_based on steps'!AO$1:AO$400,0)),AO$2,)</f>
        <v>0</v>
      </c>
      <c r="AP250" s="155">
        <f ca="1">IF(ISNUMBER(MATCH(DATEVALUE($A250),'recurring1_based on steps'!AP$1:AP$400,0)),AP$2,)</f>
        <v>0</v>
      </c>
      <c r="AQ250" s="155">
        <f ca="1">IF(ISNUMBER(MATCH(DATEVALUE($A250),'recurring1_based on steps'!AQ$1:AQ$400,0)),AQ$2,)</f>
        <v>0</v>
      </c>
      <c r="AR250" s="155">
        <f ca="1">IF(ISNUMBER(MATCH(DATEVALUE($A250),'recurring1_based on steps'!AR$1:AR$400,0)),AR$2,)</f>
        <v>0</v>
      </c>
      <c r="AS250" s="155">
        <f ca="1">IF(ISNUMBER(MATCH(DATEVALUE($A250),'recurring1_based on steps'!AS$1:AS$400,0)),AS$2,)</f>
        <v>0</v>
      </c>
      <c r="AT250" s="155">
        <f ca="1">IF(ISNUMBER(MATCH(DATEVALUE($A250),'recurring1_based on steps'!AT$1:AT$400,0)),AT$2,)</f>
        <v>0</v>
      </c>
      <c r="AU250" s="155">
        <f ca="1">IF(ISNUMBER(MATCH(DATEVALUE($A250),'recurring1_based on steps'!AU$1:AU$400,0)),AU$2,)</f>
        <v>0</v>
      </c>
      <c r="AV250" s="155">
        <f ca="1">IF(ISNUMBER(MATCH(DATEVALUE($A250),'recurring1_based on steps'!AV$1:AV$400,0)),AV$2,)</f>
        <v>0</v>
      </c>
      <c r="AW250" s="155">
        <f ca="1">IF(ISNUMBER(MATCH(DATEVALUE($A250),'recurring1_based on steps'!AW$1:AW$400,0)),AW$2,)</f>
        <v>0</v>
      </c>
      <c r="AX250" s="155">
        <f ca="1">IF(ISNUMBER(MATCH(DATEVALUE($A250),'recurring1_based on steps'!AX$1:AX$400,0)),AX$2,)</f>
        <v>0</v>
      </c>
      <c r="AY250" s="155">
        <f ca="1">IF(ISNUMBER(MATCH(DATEVALUE($A250),'recurring1_based on steps'!AY$1:AY$400,0)),AY$2,)</f>
        <v>0</v>
      </c>
    </row>
    <row r="251" spans="1:51" x14ac:dyDescent="0.2">
      <c r="A251" s="18" t="str">
        <f t="shared" ca="1" si="3"/>
        <v>2025-10-07</v>
      </c>
      <c r="B251" s="155">
        <f ca="1">IF(ISNUMBER(MATCH(DATEVALUE($A251),'recurring1_based on steps'!B$1:B$400,0)),B$2,)</f>
        <v>0</v>
      </c>
      <c r="C251" s="155">
        <f ca="1">IF(ISNUMBER(MATCH(DATEVALUE($A251),'recurring1_based on steps'!C$1:C$400,0)),C$2,)</f>
        <v>0</v>
      </c>
      <c r="D251" s="155">
        <f ca="1">IF(ISNUMBER(MATCH(DATEVALUE($A251),'recurring1_based on steps'!D$1:D$400,0)),D$2,)</f>
        <v>0</v>
      </c>
      <c r="E251" s="155">
        <f ca="1">IF(ISNUMBER(MATCH(DATEVALUE($A251),'recurring1_based on steps'!E$1:E$400,0)),E$2,)</f>
        <v>0</v>
      </c>
      <c r="F251" s="155">
        <f ca="1">IF(ISNUMBER(MATCH(DATEVALUE($A251),'recurring1_based on steps'!F$1:F$400,0)),F$2,)</f>
        <v>0</v>
      </c>
      <c r="G251" s="155">
        <f ca="1">IF(ISNUMBER(MATCH(DATEVALUE($A251),'recurring1_based on steps'!G$1:G$400,0)),G$2,)</f>
        <v>0</v>
      </c>
      <c r="H251" s="155">
        <f ca="1">IF(ISNUMBER(MATCH(DATEVALUE($A251),'recurring1_based on steps'!H$1:H$400,0)),H$2,)</f>
        <v>0</v>
      </c>
      <c r="I251" s="155">
        <f ca="1">IF(ISNUMBER(MATCH(DATEVALUE($A251),'recurring1_based on steps'!I$1:I$400,0)),I$2,)</f>
        <v>0</v>
      </c>
      <c r="J251" s="155">
        <f ca="1">IF(ISNUMBER(MATCH(DATEVALUE($A251),'recurring1_based on steps'!J$1:J$400,0)),J$2,)</f>
        <v>0</v>
      </c>
      <c r="K251" s="155">
        <f ca="1">IF(ISNUMBER(MATCH(DATEVALUE($A251),'recurring1_based on steps'!K$1:K$400,0)),K$2,)</f>
        <v>0</v>
      </c>
      <c r="L251" s="155">
        <f ca="1">IF(ISNUMBER(MATCH(DATEVALUE($A251),'recurring1_based on steps'!L$1:L$400,0)),L$2,)</f>
        <v>0</v>
      </c>
      <c r="M251" s="155">
        <f ca="1">IF(ISNUMBER(MATCH(DATEVALUE($A251),'recurring1_based on steps'!M$1:M$400,0)),M$2,)</f>
        <v>0</v>
      </c>
      <c r="N251" s="155">
        <f ca="1">IF(ISNUMBER(MATCH(DATEVALUE($A251),'recurring1_based on steps'!N$1:N$400,0)),N$2,)</f>
        <v>0</v>
      </c>
      <c r="O251" s="155">
        <f ca="1">IF(ISNUMBER(MATCH(DATEVALUE($A251),'recurring1_based on steps'!O$1:O$400,0)),O$2,)</f>
        <v>0</v>
      </c>
      <c r="P251" s="155">
        <f ca="1">IF(ISNUMBER(MATCH(DATEVALUE($A251),'recurring1_based on steps'!P$1:P$400,0)),P$2,)</f>
        <v>0</v>
      </c>
      <c r="Q251" s="155">
        <f ca="1">IF(ISNUMBER(MATCH(DATEVALUE($A251),'recurring1_based on steps'!Q$1:Q$400,0)),Q$2,)</f>
        <v>0</v>
      </c>
      <c r="R251" s="155">
        <f ca="1">IF(ISNUMBER(MATCH(DATEVALUE($A251),'recurring1_based on steps'!R$1:R$400,0)),R$2,)</f>
        <v>0</v>
      </c>
      <c r="S251" s="155">
        <f ca="1">IF(ISNUMBER(MATCH(DATEVALUE($A251),'recurring1_based on steps'!S$1:S$400,0)),S$2,)</f>
        <v>0</v>
      </c>
      <c r="T251" s="155">
        <f ca="1">IF(ISNUMBER(MATCH(DATEVALUE($A251),'recurring1_based on steps'!T$1:T$400,0)),T$2,)</f>
        <v>0</v>
      </c>
      <c r="U251" s="155">
        <f ca="1">IF(ISNUMBER(MATCH(DATEVALUE($A251),'recurring1_based on steps'!U$1:U$400,0)),U$2,)</f>
        <v>0</v>
      </c>
      <c r="V251" s="155">
        <f ca="1">IF(ISNUMBER(MATCH(DATEVALUE($A251),'recurring1_based on steps'!V$1:V$400,0)),V$2,)</f>
        <v>0</v>
      </c>
      <c r="W251" s="155">
        <f ca="1">IF(ISNUMBER(MATCH(DATEVALUE($A251),'recurring1_based on steps'!W$1:W$400,0)),W$2,)</f>
        <v>0</v>
      </c>
      <c r="X251" s="155">
        <f ca="1">IF(ISNUMBER(MATCH(DATEVALUE($A251),'recurring1_based on steps'!X$1:X$400,0)),X$2,)</f>
        <v>0</v>
      </c>
      <c r="Y251" s="155">
        <f ca="1">IF(ISNUMBER(MATCH(DATEVALUE($A251),'recurring1_based on steps'!Y$1:Y$400,0)),Y$2,)</f>
        <v>0</v>
      </c>
      <c r="Z251" s="155">
        <f ca="1">IF(ISNUMBER(MATCH(DATEVALUE($A251),'recurring1_based on steps'!Z$1:Z$400,0)),Z$2,)</f>
        <v>0</v>
      </c>
      <c r="AA251" s="155">
        <f ca="1">IF(ISNUMBER(MATCH(DATEVALUE($A251),'recurring1_based on steps'!AA$1:AA$400,0)),AA$2,)</f>
        <v>0</v>
      </c>
      <c r="AB251" s="155">
        <f ca="1">IF(ISNUMBER(MATCH(DATEVALUE($A251),'recurring1_based on steps'!AB$1:AB$400,0)),AB$2,)</f>
        <v>0</v>
      </c>
      <c r="AC251" s="155">
        <f ca="1">IF(ISNUMBER(MATCH(DATEVALUE($A251),'recurring1_based on steps'!AC$1:AC$400,0)),AC$2,)</f>
        <v>0</v>
      </c>
      <c r="AD251" s="155">
        <f ca="1">IF(ISNUMBER(MATCH(DATEVALUE($A251),'recurring1_based on steps'!AD$1:AD$400,0)),AD$2,)</f>
        <v>0</v>
      </c>
      <c r="AE251" s="155">
        <f ca="1">IF(ISNUMBER(MATCH(DATEVALUE($A251),'recurring1_based on steps'!AE$1:AE$400,0)),AE$2,)</f>
        <v>0</v>
      </c>
      <c r="AF251" s="155">
        <f ca="1">IF(ISNUMBER(MATCH(DATEVALUE($A251),'recurring1_based on steps'!AF$1:AF$400,0)),AF$2,)</f>
        <v>0</v>
      </c>
      <c r="AG251" s="155">
        <f ca="1">IF(ISNUMBER(MATCH(DATEVALUE($A251),'recurring1_based on steps'!AG$1:AG$400,0)),AG$2,)</f>
        <v>0</v>
      </c>
      <c r="AH251" s="155">
        <f ca="1">IF(ISNUMBER(MATCH(DATEVALUE($A251),'recurring1_based on steps'!AH$1:AH$400,0)),AH$2,)</f>
        <v>0</v>
      </c>
      <c r="AI251" s="155">
        <f ca="1">IF(ISNUMBER(MATCH(DATEVALUE($A251),'recurring1_based on steps'!AI$1:AI$400,0)),AI$2,)</f>
        <v>0</v>
      </c>
      <c r="AJ251" s="155">
        <f ca="1">IF(ISNUMBER(MATCH(DATEVALUE($A251),'recurring1_based on steps'!AJ$1:AJ$400,0)),AJ$2,)</f>
        <v>0</v>
      </c>
      <c r="AK251" s="155">
        <f ca="1">IF(ISNUMBER(MATCH(DATEVALUE($A251),'recurring1_based on steps'!AK$1:AK$400,0)),AK$2,)</f>
        <v>0</v>
      </c>
      <c r="AL251" s="155">
        <f ca="1">IF(ISNUMBER(MATCH(DATEVALUE($A251),'recurring1_based on steps'!AL$1:AL$400,0)),AL$2,)</f>
        <v>0</v>
      </c>
      <c r="AM251" s="155">
        <f ca="1">IF(ISNUMBER(MATCH(DATEVALUE($A251),'recurring1_based on steps'!AM$1:AM$400,0)),AM$2,)</f>
        <v>0</v>
      </c>
      <c r="AN251" s="155">
        <f ca="1">IF(ISNUMBER(MATCH(DATEVALUE($A251),'recurring1_based on steps'!AN$1:AN$400,0)),AN$2,)</f>
        <v>0</v>
      </c>
      <c r="AO251" s="155">
        <f ca="1">IF(ISNUMBER(MATCH(DATEVALUE($A251),'recurring1_based on steps'!AO$1:AO$400,0)),AO$2,)</f>
        <v>0</v>
      </c>
      <c r="AP251" s="155">
        <f ca="1">IF(ISNUMBER(MATCH(DATEVALUE($A251),'recurring1_based on steps'!AP$1:AP$400,0)),AP$2,)</f>
        <v>0</v>
      </c>
      <c r="AQ251" s="155">
        <f ca="1">IF(ISNUMBER(MATCH(DATEVALUE($A251),'recurring1_based on steps'!AQ$1:AQ$400,0)),AQ$2,)</f>
        <v>0</v>
      </c>
      <c r="AR251" s="155">
        <f ca="1">IF(ISNUMBER(MATCH(DATEVALUE($A251),'recurring1_based on steps'!AR$1:AR$400,0)),AR$2,)</f>
        <v>0</v>
      </c>
      <c r="AS251" s="155">
        <f ca="1">IF(ISNUMBER(MATCH(DATEVALUE($A251),'recurring1_based on steps'!AS$1:AS$400,0)),AS$2,)</f>
        <v>0</v>
      </c>
      <c r="AT251" s="155">
        <f ca="1">IF(ISNUMBER(MATCH(DATEVALUE($A251),'recurring1_based on steps'!AT$1:AT$400,0)),AT$2,)</f>
        <v>0</v>
      </c>
      <c r="AU251" s="155">
        <f ca="1">IF(ISNUMBER(MATCH(DATEVALUE($A251),'recurring1_based on steps'!AU$1:AU$400,0)),AU$2,)</f>
        <v>0</v>
      </c>
      <c r="AV251" s="155">
        <f ca="1">IF(ISNUMBER(MATCH(DATEVALUE($A251),'recurring1_based on steps'!AV$1:AV$400,0)),AV$2,)</f>
        <v>0</v>
      </c>
      <c r="AW251" s="155">
        <f ca="1">IF(ISNUMBER(MATCH(DATEVALUE($A251),'recurring1_based on steps'!AW$1:AW$400,0)),AW$2,)</f>
        <v>0</v>
      </c>
      <c r="AX251" s="155">
        <f ca="1">IF(ISNUMBER(MATCH(DATEVALUE($A251),'recurring1_based on steps'!AX$1:AX$400,0)),AX$2,)</f>
        <v>0</v>
      </c>
      <c r="AY251" s="155">
        <f ca="1">IF(ISNUMBER(MATCH(DATEVALUE($A251),'recurring1_based on steps'!AY$1:AY$400,0)),AY$2,)</f>
        <v>0</v>
      </c>
    </row>
    <row r="252" spans="1:51" x14ac:dyDescent="0.2">
      <c r="A252" s="18" t="str">
        <f t="shared" ca="1" si="3"/>
        <v>2025-10-08</v>
      </c>
      <c r="B252" s="155">
        <f ca="1">IF(ISNUMBER(MATCH(DATEVALUE($A252),'recurring1_based on steps'!B$1:B$400,0)),B$2,)</f>
        <v>0</v>
      </c>
      <c r="C252" s="155">
        <f ca="1">IF(ISNUMBER(MATCH(DATEVALUE($A252),'recurring1_based on steps'!C$1:C$400,0)),C$2,)</f>
        <v>0</v>
      </c>
      <c r="D252" s="155">
        <f ca="1">IF(ISNUMBER(MATCH(DATEVALUE($A252),'recurring1_based on steps'!D$1:D$400,0)),D$2,)</f>
        <v>0</v>
      </c>
      <c r="E252" s="155">
        <f ca="1">IF(ISNUMBER(MATCH(DATEVALUE($A252),'recurring1_based on steps'!E$1:E$400,0)),E$2,)</f>
        <v>0</v>
      </c>
      <c r="F252" s="155">
        <f ca="1">IF(ISNUMBER(MATCH(DATEVALUE($A252),'recurring1_based on steps'!F$1:F$400,0)),F$2,)</f>
        <v>0</v>
      </c>
      <c r="G252" s="155">
        <f ca="1">IF(ISNUMBER(MATCH(DATEVALUE($A252),'recurring1_based on steps'!G$1:G$400,0)),G$2,)</f>
        <v>0</v>
      </c>
      <c r="H252" s="155">
        <f ca="1">IF(ISNUMBER(MATCH(DATEVALUE($A252),'recurring1_based on steps'!H$1:H$400,0)),H$2,)</f>
        <v>0</v>
      </c>
      <c r="I252" s="155">
        <f ca="1">IF(ISNUMBER(MATCH(DATEVALUE($A252),'recurring1_based on steps'!I$1:I$400,0)),I$2,)</f>
        <v>0</v>
      </c>
      <c r="J252" s="155">
        <f ca="1">IF(ISNUMBER(MATCH(DATEVALUE($A252),'recurring1_based on steps'!J$1:J$400,0)),J$2,)</f>
        <v>0</v>
      </c>
      <c r="K252" s="155">
        <f ca="1">IF(ISNUMBER(MATCH(DATEVALUE($A252),'recurring1_based on steps'!K$1:K$400,0)),K$2,)</f>
        <v>0</v>
      </c>
      <c r="L252" s="155">
        <f ca="1">IF(ISNUMBER(MATCH(DATEVALUE($A252),'recurring1_based on steps'!L$1:L$400,0)),L$2,)</f>
        <v>0</v>
      </c>
      <c r="M252" s="155">
        <f ca="1">IF(ISNUMBER(MATCH(DATEVALUE($A252),'recurring1_based on steps'!M$1:M$400,0)),M$2,)</f>
        <v>0</v>
      </c>
      <c r="N252" s="155">
        <f ca="1">IF(ISNUMBER(MATCH(DATEVALUE($A252),'recurring1_based on steps'!N$1:N$400,0)),N$2,)</f>
        <v>0</v>
      </c>
      <c r="O252" s="155">
        <f ca="1">IF(ISNUMBER(MATCH(DATEVALUE($A252),'recurring1_based on steps'!O$1:O$400,0)),O$2,)</f>
        <v>0</v>
      </c>
      <c r="P252" s="155">
        <f ca="1">IF(ISNUMBER(MATCH(DATEVALUE($A252),'recurring1_based on steps'!P$1:P$400,0)),P$2,)</f>
        <v>0</v>
      </c>
      <c r="Q252" s="155">
        <f ca="1">IF(ISNUMBER(MATCH(DATEVALUE($A252),'recurring1_based on steps'!Q$1:Q$400,0)),Q$2,)</f>
        <v>0</v>
      </c>
      <c r="R252" s="155">
        <f ca="1">IF(ISNUMBER(MATCH(DATEVALUE($A252),'recurring1_based on steps'!R$1:R$400,0)),R$2,)</f>
        <v>0</v>
      </c>
      <c r="S252" s="155">
        <f ca="1">IF(ISNUMBER(MATCH(DATEVALUE($A252),'recurring1_based on steps'!S$1:S$400,0)),S$2,)</f>
        <v>0</v>
      </c>
      <c r="T252" s="155">
        <f ca="1">IF(ISNUMBER(MATCH(DATEVALUE($A252),'recurring1_based on steps'!T$1:T$400,0)),T$2,)</f>
        <v>0</v>
      </c>
      <c r="U252" s="155">
        <f ca="1">IF(ISNUMBER(MATCH(DATEVALUE($A252),'recurring1_based on steps'!U$1:U$400,0)),U$2,)</f>
        <v>0</v>
      </c>
      <c r="V252" s="155">
        <f ca="1">IF(ISNUMBER(MATCH(DATEVALUE($A252),'recurring1_based on steps'!V$1:V$400,0)),V$2,)</f>
        <v>0</v>
      </c>
      <c r="W252" s="155">
        <f ca="1">IF(ISNUMBER(MATCH(DATEVALUE($A252),'recurring1_based on steps'!W$1:W$400,0)),W$2,)</f>
        <v>0</v>
      </c>
      <c r="X252" s="155">
        <f ca="1">IF(ISNUMBER(MATCH(DATEVALUE($A252),'recurring1_based on steps'!X$1:X$400,0)),X$2,)</f>
        <v>0</v>
      </c>
      <c r="Y252" s="155">
        <f ca="1">IF(ISNUMBER(MATCH(DATEVALUE($A252),'recurring1_based on steps'!Y$1:Y$400,0)),Y$2,)</f>
        <v>0</v>
      </c>
      <c r="Z252" s="155">
        <f ca="1">IF(ISNUMBER(MATCH(DATEVALUE($A252),'recurring1_based on steps'!Z$1:Z$400,0)),Z$2,)</f>
        <v>0</v>
      </c>
      <c r="AA252" s="155">
        <f ca="1">IF(ISNUMBER(MATCH(DATEVALUE($A252),'recurring1_based on steps'!AA$1:AA$400,0)),AA$2,)</f>
        <v>0</v>
      </c>
      <c r="AB252" s="155">
        <f ca="1">IF(ISNUMBER(MATCH(DATEVALUE($A252),'recurring1_based on steps'!AB$1:AB$400,0)),AB$2,)</f>
        <v>0</v>
      </c>
      <c r="AC252" s="155">
        <f ca="1">IF(ISNUMBER(MATCH(DATEVALUE($A252),'recurring1_based on steps'!AC$1:AC$400,0)),AC$2,)</f>
        <v>0</v>
      </c>
      <c r="AD252" s="155">
        <f ca="1">IF(ISNUMBER(MATCH(DATEVALUE($A252),'recurring1_based on steps'!AD$1:AD$400,0)),AD$2,)</f>
        <v>0</v>
      </c>
      <c r="AE252" s="155">
        <f ca="1">IF(ISNUMBER(MATCH(DATEVALUE($A252),'recurring1_based on steps'!AE$1:AE$400,0)),AE$2,)</f>
        <v>0</v>
      </c>
      <c r="AF252" s="155">
        <f ca="1">IF(ISNUMBER(MATCH(DATEVALUE($A252),'recurring1_based on steps'!AF$1:AF$400,0)),AF$2,)</f>
        <v>0</v>
      </c>
      <c r="AG252" s="155">
        <f ca="1">IF(ISNUMBER(MATCH(DATEVALUE($A252),'recurring1_based on steps'!AG$1:AG$400,0)),AG$2,)</f>
        <v>0</v>
      </c>
      <c r="AH252" s="155">
        <f ca="1">IF(ISNUMBER(MATCH(DATEVALUE($A252),'recurring1_based on steps'!AH$1:AH$400,0)),AH$2,)</f>
        <v>0</v>
      </c>
      <c r="AI252" s="155">
        <f ca="1">IF(ISNUMBER(MATCH(DATEVALUE($A252),'recurring1_based on steps'!AI$1:AI$400,0)),AI$2,)</f>
        <v>0</v>
      </c>
      <c r="AJ252" s="155">
        <f ca="1">IF(ISNUMBER(MATCH(DATEVALUE($A252),'recurring1_based on steps'!AJ$1:AJ$400,0)),AJ$2,)</f>
        <v>0</v>
      </c>
      <c r="AK252" s="155">
        <f ca="1">IF(ISNUMBER(MATCH(DATEVALUE($A252),'recurring1_based on steps'!AK$1:AK$400,0)),AK$2,)</f>
        <v>0</v>
      </c>
      <c r="AL252" s="155">
        <f ca="1">IF(ISNUMBER(MATCH(DATEVALUE($A252),'recurring1_based on steps'!AL$1:AL$400,0)),AL$2,)</f>
        <v>0</v>
      </c>
      <c r="AM252" s="155">
        <f ca="1">IF(ISNUMBER(MATCH(DATEVALUE($A252),'recurring1_based on steps'!AM$1:AM$400,0)),AM$2,)</f>
        <v>0</v>
      </c>
      <c r="AN252" s="155">
        <f ca="1">IF(ISNUMBER(MATCH(DATEVALUE($A252),'recurring1_based on steps'!AN$1:AN$400,0)),AN$2,)</f>
        <v>0</v>
      </c>
      <c r="AO252" s="155">
        <f ca="1">IF(ISNUMBER(MATCH(DATEVALUE($A252),'recurring1_based on steps'!AO$1:AO$400,0)),AO$2,)</f>
        <v>0</v>
      </c>
      <c r="AP252" s="155">
        <f ca="1">IF(ISNUMBER(MATCH(DATEVALUE($A252),'recurring1_based on steps'!AP$1:AP$400,0)),AP$2,)</f>
        <v>0</v>
      </c>
      <c r="AQ252" s="155">
        <f ca="1">IF(ISNUMBER(MATCH(DATEVALUE($A252),'recurring1_based on steps'!AQ$1:AQ$400,0)),AQ$2,)</f>
        <v>0</v>
      </c>
      <c r="AR252" s="155">
        <f ca="1">IF(ISNUMBER(MATCH(DATEVALUE($A252),'recurring1_based on steps'!AR$1:AR$400,0)),AR$2,)</f>
        <v>0</v>
      </c>
      <c r="AS252" s="155">
        <f ca="1">IF(ISNUMBER(MATCH(DATEVALUE($A252),'recurring1_based on steps'!AS$1:AS$400,0)),AS$2,)</f>
        <v>0</v>
      </c>
      <c r="AT252" s="155">
        <f ca="1">IF(ISNUMBER(MATCH(DATEVALUE($A252),'recurring1_based on steps'!AT$1:AT$400,0)),AT$2,)</f>
        <v>0</v>
      </c>
      <c r="AU252" s="155">
        <f ca="1">IF(ISNUMBER(MATCH(DATEVALUE($A252),'recurring1_based on steps'!AU$1:AU$400,0)),AU$2,)</f>
        <v>0</v>
      </c>
      <c r="AV252" s="155">
        <f ca="1">IF(ISNUMBER(MATCH(DATEVALUE($A252),'recurring1_based on steps'!AV$1:AV$400,0)),AV$2,)</f>
        <v>0</v>
      </c>
      <c r="AW252" s="155">
        <f ca="1">IF(ISNUMBER(MATCH(DATEVALUE($A252),'recurring1_based on steps'!AW$1:AW$400,0)),AW$2,)</f>
        <v>0</v>
      </c>
      <c r="AX252" s="155">
        <f ca="1">IF(ISNUMBER(MATCH(DATEVALUE($A252),'recurring1_based on steps'!AX$1:AX$400,0)),AX$2,)</f>
        <v>0</v>
      </c>
      <c r="AY252" s="155">
        <f ca="1">IF(ISNUMBER(MATCH(DATEVALUE($A252),'recurring1_based on steps'!AY$1:AY$400,0)),AY$2,)</f>
        <v>0</v>
      </c>
    </row>
    <row r="253" spans="1:51" x14ac:dyDescent="0.2">
      <c r="A253" s="18" t="str">
        <f t="shared" ca="1" si="3"/>
        <v>2025-10-09</v>
      </c>
      <c r="B253" s="155">
        <f ca="1">IF(ISNUMBER(MATCH(DATEVALUE($A253),'recurring1_based on steps'!B$1:B$400,0)),B$2,)</f>
        <v>0</v>
      </c>
      <c r="C253" s="155">
        <f ca="1">IF(ISNUMBER(MATCH(DATEVALUE($A253),'recurring1_based on steps'!C$1:C$400,0)),C$2,)</f>
        <v>0</v>
      </c>
      <c r="D253" s="155">
        <f ca="1">IF(ISNUMBER(MATCH(DATEVALUE($A253),'recurring1_based on steps'!D$1:D$400,0)),D$2,)</f>
        <v>0</v>
      </c>
      <c r="E253" s="155">
        <f ca="1">IF(ISNUMBER(MATCH(DATEVALUE($A253),'recurring1_based on steps'!E$1:E$400,0)),E$2,)</f>
        <v>0</v>
      </c>
      <c r="F253" s="155">
        <f ca="1">IF(ISNUMBER(MATCH(DATEVALUE($A253),'recurring1_based on steps'!F$1:F$400,0)),F$2,)</f>
        <v>0</v>
      </c>
      <c r="G253" s="155">
        <f ca="1">IF(ISNUMBER(MATCH(DATEVALUE($A253),'recurring1_based on steps'!G$1:G$400,0)),G$2,)</f>
        <v>0</v>
      </c>
      <c r="H253" s="155">
        <f ca="1">IF(ISNUMBER(MATCH(DATEVALUE($A253),'recurring1_based on steps'!H$1:H$400,0)),H$2,)</f>
        <v>0</v>
      </c>
      <c r="I253" s="155">
        <f ca="1">IF(ISNUMBER(MATCH(DATEVALUE($A253),'recurring1_based on steps'!I$1:I$400,0)),I$2,)</f>
        <v>0</v>
      </c>
      <c r="J253" s="155">
        <f ca="1">IF(ISNUMBER(MATCH(DATEVALUE($A253),'recurring1_based on steps'!J$1:J$400,0)),J$2,)</f>
        <v>0</v>
      </c>
      <c r="K253" s="155">
        <f ca="1">IF(ISNUMBER(MATCH(DATEVALUE($A253),'recurring1_based on steps'!K$1:K$400,0)),K$2,)</f>
        <v>0</v>
      </c>
      <c r="L253" s="155">
        <f ca="1">IF(ISNUMBER(MATCH(DATEVALUE($A253),'recurring1_based on steps'!L$1:L$400,0)),L$2,)</f>
        <v>0</v>
      </c>
      <c r="M253" s="155">
        <f ca="1">IF(ISNUMBER(MATCH(DATEVALUE($A253),'recurring1_based on steps'!M$1:M$400,0)),M$2,)</f>
        <v>0</v>
      </c>
      <c r="N253" s="155">
        <f ca="1">IF(ISNUMBER(MATCH(DATEVALUE($A253),'recurring1_based on steps'!N$1:N$400,0)),N$2,)</f>
        <v>0</v>
      </c>
      <c r="O253" s="155">
        <f ca="1">IF(ISNUMBER(MATCH(DATEVALUE($A253),'recurring1_based on steps'!O$1:O$400,0)),O$2,)</f>
        <v>0</v>
      </c>
      <c r="P253" s="155">
        <f ca="1">IF(ISNUMBER(MATCH(DATEVALUE($A253),'recurring1_based on steps'!P$1:P$400,0)),P$2,)</f>
        <v>0</v>
      </c>
      <c r="Q253" s="155">
        <f ca="1">IF(ISNUMBER(MATCH(DATEVALUE($A253),'recurring1_based on steps'!Q$1:Q$400,0)),Q$2,)</f>
        <v>0</v>
      </c>
      <c r="R253" s="155">
        <f ca="1">IF(ISNUMBER(MATCH(DATEVALUE($A253),'recurring1_based on steps'!R$1:R$400,0)),R$2,)</f>
        <v>0</v>
      </c>
      <c r="S253" s="155">
        <f ca="1">IF(ISNUMBER(MATCH(DATEVALUE($A253),'recurring1_based on steps'!S$1:S$400,0)),S$2,)</f>
        <v>0</v>
      </c>
      <c r="T253" s="155">
        <f ca="1">IF(ISNUMBER(MATCH(DATEVALUE($A253),'recurring1_based on steps'!T$1:T$400,0)),T$2,)</f>
        <v>0</v>
      </c>
      <c r="U253" s="155">
        <f ca="1">IF(ISNUMBER(MATCH(DATEVALUE($A253),'recurring1_based on steps'!U$1:U$400,0)),U$2,)</f>
        <v>0</v>
      </c>
      <c r="V253" s="155">
        <f ca="1">IF(ISNUMBER(MATCH(DATEVALUE($A253),'recurring1_based on steps'!V$1:V$400,0)),V$2,)</f>
        <v>0</v>
      </c>
      <c r="W253" s="155">
        <f ca="1">IF(ISNUMBER(MATCH(DATEVALUE($A253),'recurring1_based on steps'!W$1:W$400,0)),W$2,)</f>
        <v>0</v>
      </c>
      <c r="X253" s="155">
        <f ca="1">IF(ISNUMBER(MATCH(DATEVALUE($A253),'recurring1_based on steps'!X$1:X$400,0)),X$2,)</f>
        <v>0</v>
      </c>
      <c r="Y253" s="155">
        <f ca="1">IF(ISNUMBER(MATCH(DATEVALUE($A253),'recurring1_based on steps'!Y$1:Y$400,0)),Y$2,)</f>
        <v>0</v>
      </c>
      <c r="Z253" s="155">
        <f ca="1">IF(ISNUMBER(MATCH(DATEVALUE($A253),'recurring1_based on steps'!Z$1:Z$400,0)),Z$2,)</f>
        <v>0</v>
      </c>
      <c r="AA253" s="155">
        <f ca="1">IF(ISNUMBER(MATCH(DATEVALUE($A253),'recurring1_based on steps'!AA$1:AA$400,0)),AA$2,)</f>
        <v>0</v>
      </c>
      <c r="AB253" s="155">
        <f ca="1">IF(ISNUMBER(MATCH(DATEVALUE($A253),'recurring1_based on steps'!AB$1:AB$400,0)),AB$2,)</f>
        <v>0</v>
      </c>
      <c r="AC253" s="155">
        <f ca="1">IF(ISNUMBER(MATCH(DATEVALUE($A253),'recurring1_based on steps'!AC$1:AC$400,0)),AC$2,)</f>
        <v>0</v>
      </c>
      <c r="AD253" s="155">
        <f ca="1">IF(ISNUMBER(MATCH(DATEVALUE($A253),'recurring1_based on steps'!AD$1:AD$400,0)),AD$2,)</f>
        <v>0</v>
      </c>
      <c r="AE253" s="155">
        <f ca="1">IF(ISNUMBER(MATCH(DATEVALUE($A253),'recurring1_based on steps'!AE$1:AE$400,0)),AE$2,)</f>
        <v>0</v>
      </c>
      <c r="AF253" s="155">
        <f ca="1">IF(ISNUMBER(MATCH(DATEVALUE($A253),'recurring1_based on steps'!AF$1:AF$400,0)),AF$2,)</f>
        <v>0</v>
      </c>
      <c r="AG253" s="155">
        <f ca="1">IF(ISNUMBER(MATCH(DATEVALUE($A253),'recurring1_based on steps'!AG$1:AG$400,0)),AG$2,)</f>
        <v>0</v>
      </c>
      <c r="AH253" s="155">
        <f ca="1">IF(ISNUMBER(MATCH(DATEVALUE($A253),'recurring1_based on steps'!AH$1:AH$400,0)),AH$2,)</f>
        <v>0</v>
      </c>
      <c r="AI253" s="155">
        <f ca="1">IF(ISNUMBER(MATCH(DATEVALUE($A253),'recurring1_based on steps'!AI$1:AI$400,0)),AI$2,)</f>
        <v>0</v>
      </c>
      <c r="AJ253" s="155">
        <f ca="1">IF(ISNUMBER(MATCH(DATEVALUE($A253),'recurring1_based on steps'!AJ$1:AJ$400,0)),AJ$2,)</f>
        <v>0</v>
      </c>
      <c r="AK253" s="155">
        <f ca="1">IF(ISNUMBER(MATCH(DATEVALUE($A253),'recurring1_based on steps'!AK$1:AK$400,0)),AK$2,)</f>
        <v>0</v>
      </c>
      <c r="AL253" s="155">
        <f ca="1">IF(ISNUMBER(MATCH(DATEVALUE($A253),'recurring1_based on steps'!AL$1:AL$400,0)),AL$2,)</f>
        <v>0</v>
      </c>
      <c r="AM253" s="155">
        <f ca="1">IF(ISNUMBER(MATCH(DATEVALUE($A253),'recurring1_based on steps'!AM$1:AM$400,0)),AM$2,)</f>
        <v>0</v>
      </c>
      <c r="AN253" s="155">
        <f ca="1">IF(ISNUMBER(MATCH(DATEVALUE($A253),'recurring1_based on steps'!AN$1:AN$400,0)),AN$2,)</f>
        <v>0</v>
      </c>
      <c r="AO253" s="155">
        <f ca="1">IF(ISNUMBER(MATCH(DATEVALUE($A253),'recurring1_based on steps'!AO$1:AO$400,0)),AO$2,)</f>
        <v>0</v>
      </c>
      <c r="AP253" s="155">
        <f ca="1">IF(ISNUMBER(MATCH(DATEVALUE($A253),'recurring1_based on steps'!AP$1:AP$400,0)),AP$2,)</f>
        <v>0</v>
      </c>
      <c r="AQ253" s="155">
        <f ca="1">IF(ISNUMBER(MATCH(DATEVALUE($A253),'recurring1_based on steps'!AQ$1:AQ$400,0)),AQ$2,)</f>
        <v>0</v>
      </c>
      <c r="AR253" s="155">
        <f ca="1">IF(ISNUMBER(MATCH(DATEVALUE($A253),'recurring1_based on steps'!AR$1:AR$400,0)),AR$2,)</f>
        <v>0</v>
      </c>
      <c r="AS253" s="155">
        <f ca="1">IF(ISNUMBER(MATCH(DATEVALUE($A253),'recurring1_based on steps'!AS$1:AS$400,0)),AS$2,)</f>
        <v>0</v>
      </c>
      <c r="AT253" s="155">
        <f ca="1">IF(ISNUMBER(MATCH(DATEVALUE($A253),'recurring1_based on steps'!AT$1:AT$400,0)),AT$2,)</f>
        <v>0</v>
      </c>
      <c r="AU253" s="155">
        <f ca="1">IF(ISNUMBER(MATCH(DATEVALUE($A253),'recurring1_based on steps'!AU$1:AU$400,0)),AU$2,)</f>
        <v>0</v>
      </c>
      <c r="AV253" s="155">
        <f ca="1">IF(ISNUMBER(MATCH(DATEVALUE($A253),'recurring1_based on steps'!AV$1:AV$400,0)),AV$2,)</f>
        <v>0</v>
      </c>
      <c r="AW253" s="155">
        <f ca="1">IF(ISNUMBER(MATCH(DATEVALUE($A253),'recurring1_based on steps'!AW$1:AW$400,0)),AW$2,)</f>
        <v>0</v>
      </c>
      <c r="AX253" s="155">
        <f ca="1">IF(ISNUMBER(MATCH(DATEVALUE($A253),'recurring1_based on steps'!AX$1:AX$400,0)),AX$2,)</f>
        <v>0</v>
      </c>
      <c r="AY253" s="155">
        <f ca="1">IF(ISNUMBER(MATCH(DATEVALUE($A253),'recurring1_based on steps'!AY$1:AY$400,0)),AY$2,)</f>
        <v>0</v>
      </c>
    </row>
    <row r="254" spans="1:51" x14ac:dyDescent="0.2">
      <c r="A254" s="18" t="str">
        <f t="shared" ca="1" si="3"/>
        <v>2025-10-10</v>
      </c>
      <c r="B254" s="155">
        <f ca="1">IF(ISNUMBER(MATCH(DATEVALUE($A254),'recurring1_based on steps'!B$1:B$400,0)),B$2,)</f>
        <v>0</v>
      </c>
      <c r="C254" s="155">
        <f ca="1">IF(ISNUMBER(MATCH(DATEVALUE($A254),'recurring1_based on steps'!C$1:C$400,0)),C$2,)</f>
        <v>0</v>
      </c>
      <c r="D254" s="155">
        <f ca="1">IF(ISNUMBER(MATCH(DATEVALUE($A254),'recurring1_based on steps'!D$1:D$400,0)),D$2,)</f>
        <v>0</v>
      </c>
      <c r="E254" s="155">
        <f ca="1">IF(ISNUMBER(MATCH(DATEVALUE($A254),'recurring1_based on steps'!E$1:E$400,0)),E$2,)</f>
        <v>0</v>
      </c>
      <c r="F254" s="155">
        <f ca="1">IF(ISNUMBER(MATCH(DATEVALUE($A254),'recurring1_based on steps'!F$1:F$400,0)),F$2,)</f>
        <v>0</v>
      </c>
      <c r="G254" s="155">
        <f ca="1">IF(ISNUMBER(MATCH(DATEVALUE($A254),'recurring1_based on steps'!G$1:G$400,0)),G$2,)</f>
        <v>0</v>
      </c>
      <c r="H254" s="155">
        <f ca="1">IF(ISNUMBER(MATCH(DATEVALUE($A254),'recurring1_based on steps'!H$1:H$400,0)),H$2,)</f>
        <v>0</v>
      </c>
      <c r="I254" s="155">
        <f ca="1">IF(ISNUMBER(MATCH(DATEVALUE($A254),'recurring1_based on steps'!I$1:I$400,0)),I$2,)</f>
        <v>0</v>
      </c>
      <c r="J254" s="155">
        <f ca="1">IF(ISNUMBER(MATCH(DATEVALUE($A254),'recurring1_based on steps'!J$1:J$400,0)),J$2,)</f>
        <v>0</v>
      </c>
      <c r="K254" s="155">
        <f ca="1">IF(ISNUMBER(MATCH(DATEVALUE($A254),'recurring1_based on steps'!K$1:K$400,0)),K$2,)</f>
        <v>0</v>
      </c>
      <c r="L254" s="155">
        <f ca="1">IF(ISNUMBER(MATCH(DATEVALUE($A254),'recurring1_based on steps'!L$1:L$400,0)),L$2,)</f>
        <v>0</v>
      </c>
      <c r="M254" s="155">
        <f ca="1">IF(ISNUMBER(MATCH(DATEVALUE($A254),'recurring1_based on steps'!M$1:M$400,0)),M$2,)</f>
        <v>0</v>
      </c>
      <c r="N254" s="155">
        <f ca="1">IF(ISNUMBER(MATCH(DATEVALUE($A254),'recurring1_based on steps'!N$1:N$400,0)),N$2,)</f>
        <v>0</v>
      </c>
      <c r="O254" s="155">
        <f ca="1">IF(ISNUMBER(MATCH(DATEVALUE($A254),'recurring1_based on steps'!O$1:O$400,0)),O$2,)</f>
        <v>0</v>
      </c>
      <c r="P254" s="155">
        <f ca="1">IF(ISNUMBER(MATCH(DATEVALUE($A254),'recurring1_based on steps'!P$1:P$400,0)),P$2,)</f>
        <v>0</v>
      </c>
      <c r="Q254" s="155">
        <f ca="1">IF(ISNUMBER(MATCH(DATEVALUE($A254),'recurring1_based on steps'!Q$1:Q$400,0)),Q$2,)</f>
        <v>0</v>
      </c>
      <c r="R254" s="155">
        <f ca="1">IF(ISNUMBER(MATCH(DATEVALUE($A254),'recurring1_based on steps'!R$1:R$400,0)),R$2,)</f>
        <v>0</v>
      </c>
      <c r="S254" s="155">
        <f ca="1">IF(ISNUMBER(MATCH(DATEVALUE($A254),'recurring1_based on steps'!S$1:S$400,0)),S$2,)</f>
        <v>0</v>
      </c>
      <c r="T254" s="155">
        <f ca="1">IF(ISNUMBER(MATCH(DATEVALUE($A254),'recurring1_based on steps'!T$1:T$400,0)),T$2,)</f>
        <v>0</v>
      </c>
      <c r="U254" s="155">
        <f ca="1">IF(ISNUMBER(MATCH(DATEVALUE($A254),'recurring1_based on steps'!U$1:U$400,0)),U$2,)</f>
        <v>0</v>
      </c>
      <c r="V254" s="155">
        <f ca="1">IF(ISNUMBER(MATCH(DATEVALUE($A254),'recurring1_based on steps'!V$1:V$400,0)),V$2,)</f>
        <v>0</v>
      </c>
      <c r="W254" s="155">
        <f ca="1">IF(ISNUMBER(MATCH(DATEVALUE($A254),'recurring1_based on steps'!W$1:W$400,0)),W$2,)</f>
        <v>0</v>
      </c>
      <c r="X254" s="155">
        <f ca="1">IF(ISNUMBER(MATCH(DATEVALUE($A254),'recurring1_based on steps'!X$1:X$400,0)),X$2,)</f>
        <v>0</v>
      </c>
      <c r="Y254" s="155">
        <f ca="1">IF(ISNUMBER(MATCH(DATEVALUE($A254),'recurring1_based on steps'!Y$1:Y$400,0)),Y$2,)</f>
        <v>0</v>
      </c>
      <c r="Z254" s="155">
        <f ca="1">IF(ISNUMBER(MATCH(DATEVALUE($A254),'recurring1_based on steps'!Z$1:Z$400,0)),Z$2,)</f>
        <v>0</v>
      </c>
      <c r="AA254" s="155">
        <f ca="1">IF(ISNUMBER(MATCH(DATEVALUE($A254),'recurring1_based on steps'!AA$1:AA$400,0)),AA$2,)</f>
        <v>0</v>
      </c>
      <c r="AB254" s="155">
        <f ca="1">IF(ISNUMBER(MATCH(DATEVALUE($A254),'recurring1_based on steps'!AB$1:AB$400,0)),AB$2,)</f>
        <v>0</v>
      </c>
      <c r="AC254" s="155">
        <f ca="1">IF(ISNUMBER(MATCH(DATEVALUE($A254),'recurring1_based on steps'!AC$1:AC$400,0)),AC$2,)</f>
        <v>0</v>
      </c>
      <c r="AD254" s="155">
        <f ca="1">IF(ISNUMBER(MATCH(DATEVALUE($A254),'recurring1_based on steps'!AD$1:AD$400,0)),AD$2,)</f>
        <v>0</v>
      </c>
      <c r="AE254" s="155">
        <f ca="1">IF(ISNUMBER(MATCH(DATEVALUE($A254),'recurring1_based on steps'!AE$1:AE$400,0)),AE$2,)</f>
        <v>0</v>
      </c>
      <c r="AF254" s="155">
        <f ca="1">IF(ISNUMBER(MATCH(DATEVALUE($A254),'recurring1_based on steps'!AF$1:AF$400,0)),AF$2,)</f>
        <v>0</v>
      </c>
      <c r="AG254" s="155">
        <f ca="1">IF(ISNUMBER(MATCH(DATEVALUE($A254),'recurring1_based on steps'!AG$1:AG$400,0)),AG$2,)</f>
        <v>0</v>
      </c>
      <c r="AH254" s="155">
        <f ca="1">IF(ISNUMBER(MATCH(DATEVALUE($A254),'recurring1_based on steps'!AH$1:AH$400,0)),AH$2,)</f>
        <v>0</v>
      </c>
      <c r="AI254" s="155">
        <f ca="1">IF(ISNUMBER(MATCH(DATEVALUE($A254),'recurring1_based on steps'!AI$1:AI$400,0)),AI$2,)</f>
        <v>0</v>
      </c>
      <c r="AJ254" s="155">
        <f ca="1">IF(ISNUMBER(MATCH(DATEVALUE($A254),'recurring1_based on steps'!AJ$1:AJ$400,0)),AJ$2,)</f>
        <v>0</v>
      </c>
      <c r="AK254" s="155">
        <f ca="1">IF(ISNUMBER(MATCH(DATEVALUE($A254),'recurring1_based on steps'!AK$1:AK$400,0)),AK$2,)</f>
        <v>0</v>
      </c>
      <c r="AL254" s="155">
        <f ca="1">IF(ISNUMBER(MATCH(DATEVALUE($A254),'recurring1_based on steps'!AL$1:AL$400,0)),AL$2,)</f>
        <v>0</v>
      </c>
      <c r="AM254" s="155">
        <f ca="1">IF(ISNUMBER(MATCH(DATEVALUE($A254),'recurring1_based on steps'!AM$1:AM$400,0)),AM$2,)</f>
        <v>0</v>
      </c>
      <c r="AN254" s="155">
        <f ca="1">IF(ISNUMBER(MATCH(DATEVALUE($A254),'recurring1_based on steps'!AN$1:AN$400,0)),AN$2,)</f>
        <v>0</v>
      </c>
      <c r="AO254" s="155">
        <f ca="1">IF(ISNUMBER(MATCH(DATEVALUE($A254),'recurring1_based on steps'!AO$1:AO$400,0)),AO$2,)</f>
        <v>0</v>
      </c>
      <c r="AP254" s="155">
        <f ca="1">IF(ISNUMBER(MATCH(DATEVALUE($A254),'recurring1_based on steps'!AP$1:AP$400,0)),AP$2,)</f>
        <v>0</v>
      </c>
      <c r="AQ254" s="155">
        <f ca="1">IF(ISNUMBER(MATCH(DATEVALUE($A254),'recurring1_based on steps'!AQ$1:AQ$400,0)),AQ$2,)</f>
        <v>0</v>
      </c>
      <c r="AR254" s="155">
        <f ca="1">IF(ISNUMBER(MATCH(DATEVALUE($A254),'recurring1_based on steps'!AR$1:AR$400,0)),AR$2,)</f>
        <v>0</v>
      </c>
      <c r="AS254" s="155">
        <f ca="1">IF(ISNUMBER(MATCH(DATEVALUE($A254),'recurring1_based on steps'!AS$1:AS$400,0)),AS$2,)</f>
        <v>0</v>
      </c>
      <c r="AT254" s="155">
        <f ca="1">IF(ISNUMBER(MATCH(DATEVALUE($A254),'recurring1_based on steps'!AT$1:AT$400,0)),AT$2,)</f>
        <v>0</v>
      </c>
      <c r="AU254" s="155">
        <f ca="1">IF(ISNUMBER(MATCH(DATEVALUE($A254),'recurring1_based on steps'!AU$1:AU$400,0)),AU$2,)</f>
        <v>0</v>
      </c>
      <c r="AV254" s="155">
        <f ca="1">IF(ISNUMBER(MATCH(DATEVALUE($A254),'recurring1_based on steps'!AV$1:AV$400,0)),AV$2,)</f>
        <v>0</v>
      </c>
      <c r="AW254" s="155">
        <f ca="1">IF(ISNUMBER(MATCH(DATEVALUE($A254),'recurring1_based on steps'!AW$1:AW$400,0)),AW$2,)</f>
        <v>0</v>
      </c>
      <c r="AX254" s="155">
        <f ca="1">IF(ISNUMBER(MATCH(DATEVALUE($A254),'recurring1_based on steps'!AX$1:AX$400,0)),AX$2,)</f>
        <v>0</v>
      </c>
      <c r="AY254" s="155">
        <f ca="1">IF(ISNUMBER(MATCH(DATEVALUE($A254),'recurring1_based on steps'!AY$1:AY$400,0)),AY$2,)</f>
        <v>0</v>
      </c>
    </row>
    <row r="255" spans="1:51" x14ac:dyDescent="0.2">
      <c r="A255" s="18" t="str">
        <f t="shared" ca="1" si="3"/>
        <v>2025-10-11</v>
      </c>
      <c r="B255" s="155">
        <f ca="1">IF(ISNUMBER(MATCH(DATEVALUE($A255),'recurring1_based on steps'!B$1:B$400,0)),B$2,)</f>
        <v>0</v>
      </c>
      <c r="C255" s="155">
        <f ca="1">IF(ISNUMBER(MATCH(DATEVALUE($A255),'recurring1_based on steps'!C$1:C$400,0)),C$2,)</f>
        <v>0</v>
      </c>
      <c r="D255" s="155">
        <f ca="1">IF(ISNUMBER(MATCH(DATEVALUE($A255),'recurring1_based on steps'!D$1:D$400,0)),D$2,)</f>
        <v>0</v>
      </c>
      <c r="E255" s="155">
        <f ca="1">IF(ISNUMBER(MATCH(DATEVALUE($A255),'recurring1_based on steps'!E$1:E$400,0)),E$2,)</f>
        <v>0</v>
      </c>
      <c r="F255" s="155">
        <f ca="1">IF(ISNUMBER(MATCH(DATEVALUE($A255),'recurring1_based on steps'!F$1:F$400,0)),F$2,)</f>
        <v>0</v>
      </c>
      <c r="G255" s="155">
        <f ca="1">IF(ISNUMBER(MATCH(DATEVALUE($A255),'recurring1_based on steps'!G$1:G$400,0)),G$2,)</f>
        <v>0</v>
      </c>
      <c r="H255" s="155">
        <f ca="1">IF(ISNUMBER(MATCH(DATEVALUE($A255),'recurring1_based on steps'!H$1:H$400,0)),H$2,)</f>
        <v>0</v>
      </c>
      <c r="I255" s="155">
        <f ca="1">IF(ISNUMBER(MATCH(DATEVALUE($A255),'recurring1_based on steps'!I$1:I$400,0)),I$2,)</f>
        <v>0</v>
      </c>
      <c r="J255" s="155">
        <f ca="1">IF(ISNUMBER(MATCH(DATEVALUE($A255),'recurring1_based on steps'!J$1:J$400,0)),J$2,)</f>
        <v>0</v>
      </c>
      <c r="K255" s="155">
        <f ca="1">IF(ISNUMBER(MATCH(DATEVALUE($A255),'recurring1_based on steps'!K$1:K$400,0)),K$2,)</f>
        <v>0</v>
      </c>
      <c r="L255" s="155">
        <f ca="1">IF(ISNUMBER(MATCH(DATEVALUE($A255),'recurring1_based on steps'!L$1:L$400,0)),L$2,)</f>
        <v>0</v>
      </c>
      <c r="M255" s="155">
        <f ca="1">IF(ISNUMBER(MATCH(DATEVALUE($A255),'recurring1_based on steps'!M$1:M$400,0)),M$2,)</f>
        <v>0</v>
      </c>
      <c r="N255" s="155">
        <f ca="1">IF(ISNUMBER(MATCH(DATEVALUE($A255),'recurring1_based on steps'!N$1:N$400,0)),N$2,)</f>
        <v>0</v>
      </c>
      <c r="O255" s="155">
        <f ca="1">IF(ISNUMBER(MATCH(DATEVALUE($A255),'recurring1_based on steps'!O$1:O$400,0)),O$2,)</f>
        <v>0</v>
      </c>
      <c r="P255" s="155">
        <f ca="1">IF(ISNUMBER(MATCH(DATEVALUE($A255),'recurring1_based on steps'!P$1:P$400,0)),P$2,)</f>
        <v>0</v>
      </c>
      <c r="Q255" s="155">
        <f ca="1">IF(ISNUMBER(MATCH(DATEVALUE($A255),'recurring1_based on steps'!Q$1:Q$400,0)),Q$2,)</f>
        <v>100</v>
      </c>
      <c r="R255" s="155">
        <f ca="1">IF(ISNUMBER(MATCH(DATEVALUE($A255),'recurring1_based on steps'!R$1:R$400,0)),R$2,)</f>
        <v>100</v>
      </c>
      <c r="S255" s="155">
        <f ca="1">IF(ISNUMBER(MATCH(DATEVALUE($A255),'recurring1_based on steps'!S$1:S$400,0)),S$2,)</f>
        <v>0</v>
      </c>
      <c r="T255" s="155">
        <f ca="1">IF(ISNUMBER(MATCH(DATEVALUE($A255),'recurring1_based on steps'!T$1:T$400,0)),T$2,)</f>
        <v>0</v>
      </c>
      <c r="U255" s="155">
        <f ca="1">IF(ISNUMBER(MATCH(DATEVALUE($A255),'recurring1_based on steps'!U$1:U$400,0)),U$2,)</f>
        <v>0</v>
      </c>
      <c r="V255" s="155">
        <f ca="1">IF(ISNUMBER(MATCH(DATEVALUE($A255),'recurring1_based on steps'!V$1:V$400,0)),V$2,)</f>
        <v>0</v>
      </c>
      <c r="W255" s="155">
        <f ca="1">IF(ISNUMBER(MATCH(DATEVALUE($A255),'recurring1_based on steps'!W$1:W$400,0)),W$2,)</f>
        <v>0</v>
      </c>
      <c r="X255" s="155">
        <f ca="1">IF(ISNUMBER(MATCH(DATEVALUE($A255),'recurring1_based on steps'!X$1:X$400,0)),X$2,)</f>
        <v>0</v>
      </c>
      <c r="Y255" s="155">
        <f ca="1">IF(ISNUMBER(MATCH(DATEVALUE($A255),'recurring1_based on steps'!Y$1:Y$400,0)),Y$2,)</f>
        <v>0</v>
      </c>
      <c r="Z255" s="155">
        <f ca="1">IF(ISNUMBER(MATCH(DATEVALUE($A255),'recurring1_based on steps'!Z$1:Z$400,0)),Z$2,)</f>
        <v>0</v>
      </c>
      <c r="AA255" s="155">
        <f ca="1">IF(ISNUMBER(MATCH(DATEVALUE($A255),'recurring1_based on steps'!AA$1:AA$400,0)),AA$2,)</f>
        <v>0</v>
      </c>
      <c r="AB255" s="155">
        <f ca="1">IF(ISNUMBER(MATCH(DATEVALUE($A255),'recurring1_based on steps'!AB$1:AB$400,0)),AB$2,)</f>
        <v>0</v>
      </c>
      <c r="AC255" s="155">
        <f ca="1">IF(ISNUMBER(MATCH(DATEVALUE($A255),'recurring1_based on steps'!AC$1:AC$400,0)),AC$2,)</f>
        <v>0</v>
      </c>
      <c r="AD255" s="155">
        <f ca="1">IF(ISNUMBER(MATCH(DATEVALUE($A255),'recurring1_based on steps'!AD$1:AD$400,0)),AD$2,)</f>
        <v>0</v>
      </c>
      <c r="AE255" s="155">
        <f ca="1">IF(ISNUMBER(MATCH(DATEVALUE($A255),'recurring1_based on steps'!AE$1:AE$400,0)),AE$2,)</f>
        <v>0</v>
      </c>
      <c r="AF255" s="155">
        <f ca="1">IF(ISNUMBER(MATCH(DATEVALUE($A255),'recurring1_based on steps'!AF$1:AF$400,0)),AF$2,)</f>
        <v>0</v>
      </c>
      <c r="AG255" s="155">
        <f ca="1">IF(ISNUMBER(MATCH(DATEVALUE($A255),'recurring1_based on steps'!AG$1:AG$400,0)),AG$2,)</f>
        <v>0</v>
      </c>
      <c r="AH255" s="155">
        <f ca="1">IF(ISNUMBER(MATCH(DATEVALUE($A255),'recurring1_based on steps'!AH$1:AH$400,0)),AH$2,)</f>
        <v>0</v>
      </c>
      <c r="AI255" s="155">
        <f ca="1">IF(ISNUMBER(MATCH(DATEVALUE($A255),'recurring1_based on steps'!AI$1:AI$400,0)),AI$2,)</f>
        <v>0</v>
      </c>
      <c r="AJ255" s="155">
        <f ca="1">IF(ISNUMBER(MATCH(DATEVALUE($A255),'recurring1_based on steps'!AJ$1:AJ$400,0)),AJ$2,)</f>
        <v>0</v>
      </c>
      <c r="AK255" s="155">
        <f ca="1">IF(ISNUMBER(MATCH(DATEVALUE($A255),'recurring1_based on steps'!AK$1:AK$400,0)),AK$2,)</f>
        <v>0</v>
      </c>
      <c r="AL255" s="155">
        <f ca="1">IF(ISNUMBER(MATCH(DATEVALUE($A255),'recurring1_based on steps'!AL$1:AL$400,0)),AL$2,)</f>
        <v>0</v>
      </c>
      <c r="AM255" s="155">
        <f ca="1">IF(ISNUMBER(MATCH(DATEVALUE($A255),'recurring1_based on steps'!AM$1:AM$400,0)),AM$2,)</f>
        <v>0</v>
      </c>
      <c r="AN255" s="155">
        <f ca="1">IF(ISNUMBER(MATCH(DATEVALUE($A255),'recurring1_based on steps'!AN$1:AN$400,0)),AN$2,)</f>
        <v>0</v>
      </c>
      <c r="AO255" s="155">
        <f ca="1">IF(ISNUMBER(MATCH(DATEVALUE($A255),'recurring1_based on steps'!AO$1:AO$400,0)),AO$2,)</f>
        <v>0</v>
      </c>
      <c r="AP255" s="155">
        <f ca="1">IF(ISNUMBER(MATCH(DATEVALUE($A255),'recurring1_based on steps'!AP$1:AP$400,0)),AP$2,)</f>
        <v>0</v>
      </c>
      <c r="AQ255" s="155">
        <f ca="1">IF(ISNUMBER(MATCH(DATEVALUE($A255),'recurring1_based on steps'!AQ$1:AQ$400,0)),AQ$2,)</f>
        <v>0</v>
      </c>
      <c r="AR255" s="155">
        <f ca="1">IF(ISNUMBER(MATCH(DATEVALUE($A255),'recurring1_based on steps'!AR$1:AR$400,0)),AR$2,)</f>
        <v>0</v>
      </c>
      <c r="AS255" s="155">
        <f ca="1">IF(ISNUMBER(MATCH(DATEVALUE($A255),'recurring1_based on steps'!AS$1:AS$400,0)),AS$2,)</f>
        <v>0</v>
      </c>
      <c r="AT255" s="155">
        <f ca="1">IF(ISNUMBER(MATCH(DATEVALUE($A255),'recurring1_based on steps'!AT$1:AT$400,0)),AT$2,)</f>
        <v>0</v>
      </c>
      <c r="AU255" s="155">
        <f ca="1">IF(ISNUMBER(MATCH(DATEVALUE($A255),'recurring1_based on steps'!AU$1:AU$400,0)),AU$2,)</f>
        <v>0</v>
      </c>
      <c r="AV255" s="155">
        <f ca="1">IF(ISNUMBER(MATCH(DATEVALUE($A255),'recurring1_based on steps'!AV$1:AV$400,0)),AV$2,)</f>
        <v>0</v>
      </c>
      <c r="AW255" s="155">
        <f ca="1">IF(ISNUMBER(MATCH(DATEVALUE($A255),'recurring1_based on steps'!AW$1:AW$400,0)),AW$2,)</f>
        <v>0</v>
      </c>
      <c r="AX255" s="155">
        <f ca="1">IF(ISNUMBER(MATCH(DATEVALUE($A255),'recurring1_based on steps'!AX$1:AX$400,0)),AX$2,)</f>
        <v>0</v>
      </c>
      <c r="AY255" s="155">
        <f ca="1">IF(ISNUMBER(MATCH(DATEVALUE($A255),'recurring1_based on steps'!AY$1:AY$400,0)),AY$2,)</f>
        <v>0</v>
      </c>
    </row>
    <row r="256" spans="1:51" x14ac:dyDescent="0.2">
      <c r="A256" s="18" t="str">
        <f t="shared" ca="1" si="3"/>
        <v>2025-10-12</v>
      </c>
      <c r="B256" s="155">
        <f ca="1">IF(ISNUMBER(MATCH(DATEVALUE($A256),'recurring1_based on steps'!B$1:B$400,0)),B$2,)</f>
        <v>0</v>
      </c>
      <c r="C256" s="155">
        <f ca="1">IF(ISNUMBER(MATCH(DATEVALUE($A256),'recurring1_based on steps'!C$1:C$400,0)),C$2,)</f>
        <v>0</v>
      </c>
      <c r="D256" s="155">
        <f ca="1">IF(ISNUMBER(MATCH(DATEVALUE($A256),'recurring1_based on steps'!D$1:D$400,0)),D$2,)</f>
        <v>0</v>
      </c>
      <c r="E256" s="155">
        <f ca="1">IF(ISNUMBER(MATCH(DATEVALUE($A256),'recurring1_based on steps'!E$1:E$400,0)),E$2,)</f>
        <v>0</v>
      </c>
      <c r="F256" s="155">
        <f ca="1">IF(ISNUMBER(MATCH(DATEVALUE($A256),'recurring1_based on steps'!F$1:F$400,0)),F$2,)</f>
        <v>0</v>
      </c>
      <c r="G256" s="155">
        <f ca="1">IF(ISNUMBER(MATCH(DATEVALUE($A256),'recurring1_based on steps'!G$1:G$400,0)),G$2,)</f>
        <v>0</v>
      </c>
      <c r="H256" s="155">
        <f ca="1">IF(ISNUMBER(MATCH(DATEVALUE($A256),'recurring1_based on steps'!H$1:H$400,0)),H$2,)</f>
        <v>0</v>
      </c>
      <c r="I256" s="155">
        <f ca="1">IF(ISNUMBER(MATCH(DATEVALUE($A256),'recurring1_based on steps'!I$1:I$400,0)),I$2,)</f>
        <v>0</v>
      </c>
      <c r="J256" s="155">
        <f ca="1">IF(ISNUMBER(MATCH(DATEVALUE($A256),'recurring1_based on steps'!J$1:J$400,0)),J$2,)</f>
        <v>0</v>
      </c>
      <c r="K256" s="155">
        <f ca="1">IF(ISNUMBER(MATCH(DATEVALUE($A256),'recurring1_based on steps'!K$1:K$400,0)),K$2,)</f>
        <v>50</v>
      </c>
      <c r="L256" s="155">
        <f ca="1">IF(ISNUMBER(MATCH(DATEVALUE($A256),'recurring1_based on steps'!L$1:L$400,0)),L$2,)</f>
        <v>0</v>
      </c>
      <c r="M256" s="155">
        <f ca="1">IF(ISNUMBER(MATCH(DATEVALUE($A256),'recurring1_based on steps'!M$1:M$400,0)),M$2,)</f>
        <v>0</v>
      </c>
      <c r="N256" s="155">
        <f ca="1">IF(ISNUMBER(MATCH(DATEVALUE($A256),'recurring1_based on steps'!N$1:N$400,0)),N$2,)</f>
        <v>0</v>
      </c>
      <c r="O256" s="155">
        <f ca="1">IF(ISNUMBER(MATCH(DATEVALUE($A256),'recurring1_based on steps'!O$1:O$400,0)),O$2,)</f>
        <v>0</v>
      </c>
      <c r="P256" s="155">
        <f ca="1">IF(ISNUMBER(MATCH(DATEVALUE($A256),'recurring1_based on steps'!P$1:P$400,0)),P$2,)</f>
        <v>0</v>
      </c>
      <c r="Q256" s="155">
        <f ca="1">IF(ISNUMBER(MATCH(DATEVALUE($A256),'recurring1_based on steps'!Q$1:Q$400,0)),Q$2,)</f>
        <v>0</v>
      </c>
      <c r="R256" s="155">
        <f ca="1">IF(ISNUMBER(MATCH(DATEVALUE($A256),'recurring1_based on steps'!R$1:R$400,0)),R$2,)</f>
        <v>0</v>
      </c>
      <c r="S256" s="155">
        <f ca="1">IF(ISNUMBER(MATCH(DATEVALUE($A256),'recurring1_based on steps'!S$1:S$400,0)),S$2,)</f>
        <v>100</v>
      </c>
      <c r="T256" s="155">
        <f ca="1">IF(ISNUMBER(MATCH(DATEVALUE($A256),'recurring1_based on steps'!T$1:T$400,0)),T$2,)</f>
        <v>0</v>
      </c>
      <c r="U256" s="155">
        <f ca="1">IF(ISNUMBER(MATCH(DATEVALUE($A256),'recurring1_based on steps'!U$1:U$400,0)),U$2,)</f>
        <v>0</v>
      </c>
      <c r="V256" s="155">
        <f ca="1">IF(ISNUMBER(MATCH(DATEVALUE($A256),'recurring1_based on steps'!V$1:V$400,0)),V$2,)</f>
        <v>0</v>
      </c>
      <c r="W256" s="155">
        <f ca="1">IF(ISNUMBER(MATCH(DATEVALUE($A256),'recurring1_based on steps'!W$1:W$400,0)),W$2,)</f>
        <v>0</v>
      </c>
      <c r="X256" s="155">
        <f ca="1">IF(ISNUMBER(MATCH(DATEVALUE($A256),'recurring1_based on steps'!X$1:X$400,0)),X$2,)</f>
        <v>0</v>
      </c>
      <c r="Y256" s="155">
        <f ca="1">IF(ISNUMBER(MATCH(DATEVALUE($A256),'recurring1_based on steps'!Y$1:Y$400,0)),Y$2,)</f>
        <v>0</v>
      </c>
      <c r="Z256" s="155">
        <f ca="1">IF(ISNUMBER(MATCH(DATEVALUE($A256),'recurring1_based on steps'!Z$1:Z$400,0)),Z$2,)</f>
        <v>0</v>
      </c>
      <c r="AA256" s="155">
        <f ca="1">IF(ISNUMBER(MATCH(DATEVALUE($A256),'recurring1_based on steps'!AA$1:AA$400,0)),AA$2,)</f>
        <v>0</v>
      </c>
      <c r="AB256" s="155">
        <f ca="1">IF(ISNUMBER(MATCH(DATEVALUE($A256),'recurring1_based on steps'!AB$1:AB$400,0)),AB$2,)</f>
        <v>0</v>
      </c>
      <c r="AC256" s="155">
        <f ca="1">IF(ISNUMBER(MATCH(DATEVALUE($A256),'recurring1_based on steps'!AC$1:AC$400,0)),AC$2,)</f>
        <v>0</v>
      </c>
      <c r="AD256" s="155">
        <f ca="1">IF(ISNUMBER(MATCH(DATEVALUE($A256),'recurring1_based on steps'!AD$1:AD$400,0)),AD$2,)</f>
        <v>0</v>
      </c>
      <c r="AE256" s="155">
        <f ca="1">IF(ISNUMBER(MATCH(DATEVALUE($A256),'recurring1_based on steps'!AE$1:AE$400,0)),AE$2,)</f>
        <v>0</v>
      </c>
      <c r="AF256" s="155">
        <f ca="1">IF(ISNUMBER(MATCH(DATEVALUE($A256),'recurring1_based on steps'!AF$1:AF$400,0)),AF$2,)</f>
        <v>0</v>
      </c>
      <c r="AG256" s="155">
        <f ca="1">IF(ISNUMBER(MATCH(DATEVALUE($A256),'recurring1_based on steps'!AG$1:AG$400,0)),AG$2,)</f>
        <v>0</v>
      </c>
      <c r="AH256" s="155">
        <f ca="1">IF(ISNUMBER(MATCH(DATEVALUE($A256),'recurring1_based on steps'!AH$1:AH$400,0)),AH$2,)</f>
        <v>0</v>
      </c>
      <c r="AI256" s="155">
        <f ca="1">IF(ISNUMBER(MATCH(DATEVALUE($A256),'recurring1_based on steps'!AI$1:AI$400,0)),AI$2,)</f>
        <v>0</v>
      </c>
      <c r="AJ256" s="155">
        <f ca="1">IF(ISNUMBER(MATCH(DATEVALUE($A256),'recurring1_based on steps'!AJ$1:AJ$400,0)),AJ$2,)</f>
        <v>0</v>
      </c>
      <c r="AK256" s="155">
        <f ca="1">IF(ISNUMBER(MATCH(DATEVALUE($A256),'recurring1_based on steps'!AK$1:AK$400,0)),AK$2,)</f>
        <v>0</v>
      </c>
      <c r="AL256" s="155">
        <f ca="1">IF(ISNUMBER(MATCH(DATEVALUE($A256),'recurring1_based on steps'!AL$1:AL$400,0)),AL$2,)</f>
        <v>0</v>
      </c>
      <c r="AM256" s="155">
        <f ca="1">IF(ISNUMBER(MATCH(DATEVALUE($A256),'recurring1_based on steps'!AM$1:AM$400,0)),AM$2,)</f>
        <v>0</v>
      </c>
      <c r="AN256" s="155">
        <f ca="1">IF(ISNUMBER(MATCH(DATEVALUE($A256),'recurring1_based on steps'!AN$1:AN$400,0)),AN$2,)</f>
        <v>0</v>
      </c>
      <c r="AO256" s="155">
        <f ca="1">IF(ISNUMBER(MATCH(DATEVALUE($A256),'recurring1_based on steps'!AO$1:AO$400,0)),AO$2,)</f>
        <v>0</v>
      </c>
      <c r="AP256" s="155">
        <f ca="1">IF(ISNUMBER(MATCH(DATEVALUE($A256),'recurring1_based on steps'!AP$1:AP$400,0)),AP$2,)</f>
        <v>0</v>
      </c>
      <c r="AQ256" s="155">
        <f ca="1">IF(ISNUMBER(MATCH(DATEVALUE($A256),'recurring1_based on steps'!AQ$1:AQ$400,0)),AQ$2,)</f>
        <v>0</v>
      </c>
      <c r="AR256" s="155">
        <f ca="1">IF(ISNUMBER(MATCH(DATEVALUE($A256),'recurring1_based on steps'!AR$1:AR$400,0)),AR$2,)</f>
        <v>0</v>
      </c>
      <c r="AS256" s="155">
        <f ca="1">IF(ISNUMBER(MATCH(DATEVALUE($A256),'recurring1_based on steps'!AS$1:AS$400,0)),AS$2,)</f>
        <v>0</v>
      </c>
      <c r="AT256" s="155">
        <f ca="1">IF(ISNUMBER(MATCH(DATEVALUE($A256),'recurring1_based on steps'!AT$1:AT$400,0)),AT$2,)</f>
        <v>0</v>
      </c>
      <c r="AU256" s="155">
        <f ca="1">IF(ISNUMBER(MATCH(DATEVALUE($A256),'recurring1_based on steps'!AU$1:AU$400,0)),AU$2,)</f>
        <v>0</v>
      </c>
      <c r="AV256" s="155">
        <f ca="1">IF(ISNUMBER(MATCH(DATEVALUE($A256),'recurring1_based on steps'!AV$1:AV$400,0)),AV$2,)</f>
        <v>0</v>
      </c>
      <c r="AW256" s="155">
        <f ca="1">IF(ISNUMBER(MATCH(DATEVALUE($A256),'recurring1_based on steps'!AW$1:AW$400,0)),AW$2,)</f>
        <v>0</v>
      </c>
      <c r="AX256" s="155">
        <f ca="1">IF(ISNUMBER(MATCH(DATEVALUE($A256),'recurring1_based on steps'!AX$1:AX$400,0)),AX$2,)</f>
        <v>0</v>
      </c>
      <c r="AY256" s="155">
        <f ca="1">IF(ISNUMBER(MATCH(DATEVALUE($A256),'recurring1_based on steps'!AY$1:AY$400,0)),AY$2,)</f>
        <v>0</v>
      </c>
    </row>
    <row r="257" spans="1:51" x14ac:dyDescent="0.2">
      <c r="A257" s="18" t="str">
        <f t="shared" ca="1" si="3"/>
        <v>2025-10-13</v>
      </c>
      <c r="B257" s="155">
        <f ca="1">IF(ISNUMBER(MATCH(DATEVALUE($A257),'recurring1_based on steps'!B$1:B$400,0)),B$2,)</f>
        <v>0</v>
      </c>
      <c r="C257" s="155">
        <f ca="1">IF(ISNUMBER(MATCH(DATEVALUE($A257),'recurring1_based on steps'!C$1:C$400,0)),C$2,)</f>
        <v>0</v>
      </c>
      <c r="D257" s="155">
        <f ca="1">IF(ISNUMBER(MATCH(DATEVALUE($A257),'recurring1_based on steps'!D$1:D$400,0)),D$2,)</f>
        <v>0</v>
      </c>
      <c r="E257" s="155">
        <f ca="1">IF(ISNUMBER(MATCH(DATEVALUE($A257),'recurring1_based on steps'!E$1:E$400,0)),E$2,)</f>
        <v>0</v>
      </c>
      <c r="F257" s="155">
        <f ca="1">IF(ISNUMBER(MATCH(DATEVALUE($A257),'recurring1_based on steps'!F$1:F$400,0)),F$2,)</f>
        <v>0</v>
      </c>
      <c r="G257" s="155">
        <f ca="1">IF(ISNUMBER(MATCH(DATEVALUE($A257),'recurring1_based on steps'!G$1:G$400,0)),G$2,)</f>
        <v>0</v>
      </c>
      <c r="H257" s="155">
        <f ca="1">IF(ISNUMBER(MATCH(DATEVALUE($A257),'recurring1_based on steps'!H$1:H$400,0)),H$2,)</f>
        <v>0</v>
      </c>
      <c r="I257" s="155">
        <f ca="1">IF(ISNUMBER(MATCH(DATEVALUE($A257),'recurring1_based on steps'!I$1:I$400,0)),I$2,)</f>
        <v>0</v>
      </c>
      <c r="J257" s="155">
        <f ca="1">IF(ISNUMBER(MATCH(DATEVALUE($A257),'recurring1_based on steps'!J$1:J$400,0)),J$2,)</f>
        <v>0</v>
      </c>
      <c r="K257" s="155">
        <f ca="1">IF(ISNUMBER(MATCH(DATEVALUE($A257),'recurring1_based on steps'!K$1:K$400,0)),K$2,)</f>
        <v>0</v>
      </c>
      <c r="L257" s="155">
        <f ca="1">IF(ISNUMBER(MATCH(DATEVALUE($A257),'recurring1_based on steps'!L$1:L$400,0)),L$2,)</f>
        <v>0</v>
      </c>
      <c r="M257" s="155">
        <f ca="1">IF(ISNUMBER(MATCH(DATEVALUE($A257),'recurring1_based on steps'!M$1:M$400,0)),M$2,)</f>
        <v>0</v>
      </c>
      <c r="N257" s="155">
        <f ca="1">IF(ISNUMBER(MATCH(DATEVALUE($A257),'recurring1_based on steps'!N$1:N$400,0)),N$2,)</f>
        <v>0</v>
      </c>
      <c r="O257" s="155">
        <f ca="1">IF(ISNUMBER(MATCH(DATEVALUE($A257),'recurring1_based on steps'!O$1:O$400,0)),O$2,)</f>
        <v>0</v>
      </c>
      <c r="P257" s="155">
        <f ca="1">IF(ISNUMBER(MATCH(DATEVALUE($A257),'recurring1_based on steps'!P$1:P$400,0)),P$2,)</f>
        <v>0</v>
      </c>
      <c r="Q257" s="155">
        <f ca="1">IF(ISNUMBER(MATCH(DATEVALUE($A257),'recurring1_based on steps'!Q$1:Q$400,0)),Q$2,)</f>
        <v>0</v>
      </c>
      <c r="R257" s="155">
        <f ca="1">IF(ISNUMBER(MATCH(DATEVALUE($A257),'recurring1_based on steps'!R$1:R$400,0)),R$2,)</f>
        <v>0</v>
      </c>
      <c r="S257" s="155">
        <f ca="1">IF(ISNUMBER(MATCH(DATEVALUE($A257),'recurring1_based on steps'!S$1:S$400,0)),S$2,)</f>
        <v>0</v>
      </c>
      <c r="T257" s="155">
        <f ca="1">IF(ISNUMBER(MATCH(DATEVALUE($A257),'recurring1_based on steps'!T$1:T$400,0)),T$2,)</f>
        <v>50</v>
      </c>
      <c r="U257" s="155">
        <f ca="1">IF(ISNUMBER(MATCH(DATEVALUE($A257),'recurring1_based on steps'!U$1:U$400,0)),U$2,)</f>
        <v>0</v>
      </c>
      <c r="V257" s="155">
        <f ca="1">IF(ISNUMBER(MATCH(DATEVALUE($A257),'recurring1_based on steps'!V$1:V$400,0)),V$2,)</f>
        <v>0</v>
      </c>
      <c r="W257" s="155">
        <f ca="1">IF(ISNUMBER(MATCH(DATEVALUE($A257),'recurring1_based on steps'!W$1:W$400,0)),W$2,)</f>
        <v>0</v>
      </c>
      <c r="X257" s="155">
        <f ca="1">IF(ISNUMBER(MATCH(DATEVALUE($A257),'recurring1_based on steps'!X$1:X$400,0)),X$2,)</f>
        <v>0</v>
      </c>
      <c r="Y257" s="155">
        <f ca="1">IF(ISNUMBER(MATCH(DATEVALUE($A257),'recurring1_based on steps'!Y$1:Y$400,0)),Y$2,)</f>
        <v>0</v>
      </c>
      <c r="Z257" s="155">
        <f ca="1">IF(ISNUMBER(MATCH(DATEVALUE($A257),'recurring1_based on steps'!Z$1:Z$400,0)),Z$2,)</f>
        <v>0</v>
      </c>
      <c r="AA257" s="155">
        <f ca="1">IF(ISNUMBER(MATCH(DATEVALUE($A257),'recurring1_based on steps'!AA$1:AA$400,0)),AA$2,)</f>
        <v>0</v>
      </c>
      <c r="AB257" s="155">
        <f ca="1">IF(ISNUMBER(MATCH(DATEVALUE($A257),'recurring1_based on steps'!AB$1:AB$400,0)),AB$2,)</f>
        <v>0</v>
      </c>
      <c r="AC257" s="155">
        <f ca="1">IF(ISNUMBER(MATCH(DATEVALUE($A257),'recurring1_based on steps'!AC$1:AC$400,0)),AC$2,)</f>
        <v>0</v>
      </c>
      <c r="AD257" s="155">
        <f ca="1">IF(ISNUMBER(MATCH(DATEVALUE($A257),'recurring1_based on steps'!AD$1:AD$400,0)),AD$2,)</f>
        <v>0</v>
      </c>
      <c r="AE257" s="155">
        <f ca="1">IF(ISNUMBER(MATCH(DATEVALUE($A257),'recurring1_based on steps'!AE$1:AE$400,0)),AE$2,)</f>
        <v>0</v>
      </c>
      <c r="AF257" s="155">
        <f ca="1">IF(ISNUMBER(MATCH(DATEVALUE($A257),'recurring1_based on steps'!AF$1:AF$400,0)),AF$2,)</f>
        <v>0</v>
      </c>
      <c r="AG257" s="155">
        <f ca="1">IF(ISNUMBER(MATCH(DATEVALUE($A257),'recurring1_based on steps'!AG$1:AG$400,0)),AG$2,)</f>
        <v>0</v>
      </c>
      <c r="AH257" s="155">
        <f ca="1">IF(ISNUMBER(MATCH(DATEVALUE($A257),'recurring1_based on steps'!AH$1:AH$400,0)),AH$2,)</f>
        <v>0</v>
      </c>
      <c r="AI257" s="155">
        <f ca="1">IF(ISNUMBER(MATCH(DATEVALUE($A257),'recurring1_based on steps'!AI$1:AI$400,0)),AI$2,)</f>
        <v>0</v>
      </c>
      <c r="AJ257" s="155">
        <f ca="1">IF(ISNUMBER(MATCH(DATEVALUE($A257),'recurring1_based on steps'!AJ$1:AJ$400,0)),AJ$2,)</f>
        <v>0</v>
      </c>
      <c r="AK257" s="155">
        <f ca="1">IF(ISNUMBER(MATCH(DATEVALUE($A257),'recurring1_based on steps'!AK$1:AK$400,0)),AK$2,)</f>
        <v>0</v>
      </c>
      <c r="AL257" s="155">
        <f ca="1">IF(ISNUMBER(MATCH(DATEVALUE($A257),'recurring1_based on steps'!AL$1:AL$400,0)),AL$2,)</f>
        <v>0</v>
      </c>
      <c r="AM257" s="155">
        <f ca="1">IF(ISNUMBER(MATCH(DATEVALUE($A257),'recurring1_based on steps'!AM$1:AM$400,0)),AM$2,)</f>
        <v>0</v>
      </c>
      <c r="AN257" s="155">
        <f ca="1">IF(ISNUMBER(MATCH(DATEVALUE($A257),'recurring1_based on steps'!AN$1:AN$400,0)),AN$2,)</f>
        <v>0</v>
      </c>
      <c r="AO257" s="155">
        <f ca="1">IF(ISNUMBER(MATCH(DATEVALUE($A257),'recurring1_based on steps'!AO$1:AO$400,0)),AO$2,)</f>
        <v>0</v>
      </c>
      <c r="AP257" s="155">
        <f ca="1">IF(ISNUMBER(MATCH(DATEVALUE($A257),'recurring1_based on steps'!AP$1:AP$400,0)),AP$2,)</f>
        <v>0</v>
      </c>
      <c r="AQ257" s="155">
        <f ca="1">IF(ISNUMBER(MATCH(DATEVALUE($A257),'recurring1_based on steps'!AQ$1:AQ$400,0)),AQ$2,)</f>
        <v>0</v>
      </c>
      <c r="AR257" s="155">
        <f ca="1">IF(ISNUMBER(MATCH(DATEVALUE($A257),'recurring1_based on steps'!AR$1:AR$400,0)),AR$2,)</f>
        <v>0</v>
      </c>
      <c r="AS257" s="155">
        <f ca="1">IF(ISNUMBER(MATCH(DATEVALUE($A257),'recurring1_based on steps'!AS$1:AS$400,0)),AS$2,)</f>
        <v>0</v>
      </c>
      <c r="AT257" s="155">
        <f ca="1">IF(ISNUMBER(MATCH(DATEVALUE($A257),'recurring1_based on steps'!AT$1:AT$400,0)),AT$2,)</f>
        <v>0</v>
      </c>
      <c r="AU257" s="155">
        <f ca="1">IF(ISNUMBER(MATCH(DATEVALUE($A257),'recurring1_based on steps'!AU$1:AU$400,0)),AU$2,)</f>
        <v>0</v>
      </c>
      <c r="AV257" s="155">
        <f ca="1">IF(ISNUMBER(MATCH(DATEVALUE($A257),'recurring1_based on steps'!AV$1:AV$400,0)),AV$2,)</f>
        <v>0</v>
      </c>
      <c r="AW257" s="155">
        <f ca="1">IF(ISNUMBER(MATCH(DATEVALUE($A257),'recurring1_based on steps'!AW$1:AW$400,0)),AW$2,)</f>
        <v>0</v>
      </c>
      <c r="AX257" s="155">
        <f ca="1">IF(ISNUMBER(MATCH(DATEVALUE($A257),'recurring1_based on steps'!AX$1:AX$400,0)),AX$2,)</f>
        <v>0</v>
      </c>
      <c r="AY257" s="155">
        <f ca="1">IF(ISNUMBER(MATCH(DATEVALUE($A257),'recurring1_based on steps'!AY$1:AY$400,0)),AY$2,)</f>
        <v>0</v>
      </c>
    </row>
    <row r="258" spans="1:51" x14ac:dyDescent="0.2">
      <c r="A258" s="18" t="str">
        <f t="shared" ca="1" si="3"/>
        <v>2025-10-14</v>
      </c>
      <c r="B258" s="155">
        <f ca="1">IF(ISNUMBER(MATCH(DATEVALUE($A258),'recurring1_based on steps'!B$1:B$400,0)),B$2,)</f>
        <v>0</v>
      </c>
      <c r="C258" s="155">
        <f ca="1">IF(ISNUMBER(MATCH(DATEVALUE($A258),'recurring1_based on steps'!C$1:C$400,0)),C$2,)</f>
        <v>0</v>
      </c>
      <c r="D258" s="155">
        <f ca="1">IF(ISNUMBER(MATCH(DATEVALUE($A258),'recurring1_based on steps'!D$1:D$400,0)),D$2,)</f>
        <v>0</v>
      </c>
      <c r="E258" s="155">
        <f ca="1">IF(ISNUMBER(MATCH(DATEVALUE($A258),'recurring1_based on steps'!E$1:E$400,0)),E$2,)</f>
        <v>0</v>
      </c>
      <c r="F258" s="155">
        <f ca="1">IF(ISNUMBER(MATCH(DATEVALUE($A258),'recurring1_based on steps'!F$1:F$400,0)),F$2,)</f>
        <v>0</v>
      </c>
      <c r="G258" s="155">
        <f ca="1">IF(ISNUMBER(MATCH(DATEVALUE($A258),'recurring1_based on steps'!G$1:G$400,0)),G$2,)</f>
        <v>0</v>
      </c>
      <c r="H258" s="155">
        <f ca="1">IF(ISNUMBER(MATCH(DATEVALUE($A258),'recurring1_based on steps'!H$1:H$400,0)),H$2,)</f>
        <v>0</v>
      </c>
      <c r="I258" s="155">
        <f ca="1">IF(ISNUMBER(MATCH(DATEVALUE($A258),'recurring1_based on steps'!I$1:I$400,0)),I$2,)</f>
        <v>0</v>
      </c>
      <c r="J258" s="155">
        <f ca="1">IF(ISNUMBER(MATCH(DATEVALUE($A258),'recurring1_based on steps'!J$1:J$400,0)),J$2,)</f>
        <v>0</v>
      </c>
      <c r="K258" s="155">
        <f ca="1">IF(ISNUMBER(MATCH(DATEVALUE($A258),'recurring1_based on steps'!K$1:K$400,0)),K$2,)</f>
        <v>0</v>
      </c>
      <c r="L258" s="155">
        <f ca="1">IF(ISNUMBER(MATCH(DATEVALUE($A258),'recurring1_based on steps'!L$1:L$400,0)),L$2,)</f>
        <v>0</v>
      </c>
      <c r="M258" s="155">
        <f ca="1">IF(ISNUMBER(MATCH(DATEVALUE($A258),'recurring1_based on steps'!M$1:M$400,0)),M$2,)</f>
        <v>0</v>
      </c>
      <c r="N258" s="155">
        <f ca="1">IF(ISNUMBER(MATCH(DATEVALUE($A258),'recurring1_based on steps'!N$1:N$400,0)),N$2,)</f>
        <v>0</v>
      </c>
      <c r="O258" s="155">
        <f ca="1">IF(ISNUMBER(MATCH(DATEVALUE($A258),'recurring1_based on steps'!O$1:O$400,0)),O$2,)</f>
        <v>0</v>
      </c>
      <c r="P258" s="155">
        <f ca="1">IF(ISNUMBER(MATCH(DATEVALUE($A258),'recurring1_based on steps'!P$1:P$400,0)),P$2,)</f>
        <v>0</v>
      </c>
      <c r="Q258" s="155">
        <f ca="1">IF(ISNUMBER(MATCH(DATEVALUE($A258),'recurring1_based on steps'!Q$1:Q$400,0)),Q$2,)</f>
        <v>0</v>
      </c>
      <c r="R258" s="155">
        <f ca="1">IF(ISNUMBER(MATCH(DATEVALUE($A258),'recurring1_based on steps'!R$1:R$400,0)),R$2,)</f>
        <v>0</v>
      </c>
      <c r="S258" s="155">
        <f ca="1">IF(ISNUMBER(MATCH(DATEVALUE($A258),'recurring1_based on steps'!S$1:S$400,0)),S$2,)</f>
        <v>0</v>
      </c>
      <c r="T258" s="155">
        <f ca="1">IF(ISNUMBER(MATCH(DATEVALUE($A258),'recurring1_based on steps'!T$1:T$400,0)),T$2,)</f>
        <v>0</v>
      </c>
      <c r="U258" s="155">
        <f ca="1">IF(ISNUMBER(MATCH(DATEVALUE($A258),'recurring1_based on steps'!U$1:U$400,0)),U$2,)</f>
        <v>0</v>
      </c>
      <c r="V258" s="155">
        <f ca="1">IF(ISNUMBER(MATCH(DATEVALUE($A258),'recurring1_based on steps'!V$1:V$400,0)),V$2,)</f>
        <v>0</v>
      </c>
      <c r="W258" s="155">
        <f ca="1">IF(ISNUMBER(MATCH(DATEVALUE($A258),'recurring1_based on steps'!W$1:W$400,0)),W$2,)</f>
        <v>0</v>
      </c>
      <c r="X258" s="155">
        <f ca="1">IF(ISNUMBER(MATCH(DATEVALUE($A258),'recurring1_based on steps'!X$1:X$400,0)),X$2,)</f>
        <v>0</v>
      </c>
      <c r="Y258" s="155">
        <f ca="1">IF(ISNUMBER(MATCH(DATEVALUE($A258),'recurring1_based on steps'!Y$1:Y$400,0)),Y$2,)</f>
        <v>0</v>
      </c>
      <c r="Z258" s="155">
        <f ca="1">IF(ISNUMBER(MATCH(DATEVALUE($A258),'recurring1_based on steps'!Z$1:Z$400,0)),Z$2,)</f>
        <v>0</v>
      </c>
      <c r="AA258" s="155">
        <f ca="1">IF(ISNUMBER(MATCH(DATEVALUE($A258),'recurring1_based on steps'!AA$1:AA$400,0)),AA$2,)</f>
        <v>0</v>
      </c>
      <c r="AB258" s="155">
        <f ca="1">IF(ISNUMBER(MATCH(DATEVALUE($A258),'recurring1_based on steps'!AB$1:AB$400,0)),AB$2,)</f>
        <v>0</v>
      </c>
      <c r="AC258" s="155">
        <f ca="1">IF(ISNUMBER(MATCH(DATEVALUE($A258),'recurring1_based on steps'!AC$1:AC$400,0)),AC$2,)</f>
        <v>0</v>
      </c>
      <c r="AD258" s="155">
        <f ca="1">IF(ISNUMBER(MATCH(DATEVALUE($A258),'recurring1_based on steps'!AD$1:AD$400,0)),AD$2,)</f>
        <v>0</v>
      </c>
      <c r="AE258" s="155">
        <f ca="1">IF(ISNUMBER(MATCH(DATEVALUE($A258),'recurring1_based on steps'!AE$1:AE$400,0)),AE$2,)</f>
        <v>0</v>
      </c>
      <c r="AF258" s="155">
        <f ca="1">IF(ISNUMBER(MATCH(DATEVALUE($A258),'recurring1_based on steps'!AF$1:AF$400,0)),AF$2,)</f>
        <v>0</v>
      </c>
      <c r="AG258" s="155">
        <f ca="1">IF(ISNUMBER(MATCH(DATEVALUE($A258),'recurring1_based on steps'!AG$1:AG$400,0)),AG$2,)</f>
        <v>0</v>
      </c>
      <c r="AH258" s="155">
        <f ca="1">IF(ISNUMBER(MATCH(DATEVALUE($A258),'recurring1_based on steps'!AH$1:AH$400,0)),AH$2,)</f>
        <v>0</v>
      </c>
      <c r="AI258" s="155">
        <f ca="1">IF(ISNUMBER(MATCH(DATEVALUE($A258),'recurring1_based on steps'!AI$1:AI$400,0)),AI$2,)</f>
        <v>0</v>
      </c>
      <c r="AJ258" s="155">
        <f ca="1">IF(ISNUMBER(MATCH(DATEVALUE($A258),'recurring1_based on steps'!AJ$1:AJ$400,0)),AJ$2,)</f>
        <v>0</v>
      </c>
      <c r="AK258" s="155">
        <f ca="1">IF(ISNUMBER(MATCH(DATEVALUE($A258),'recurring1_based on steps'!AK$1:AK$400,0)),AK$2,)</f>
        <v>0</v>
      </c>
      <c r="AL258" s="155">
        <f ca="1">IF(ISNUMBER(MATCH(DATEVALUE($A258),'recurring1_based on steps'!AL$1:AL$400,0)),AL$2,)</f>
        <v>0</v>
      </c>
      <c r="AM258" s="155">
        <f ca="1">IF(ISNUMBER(MATCH(DATEVALUE($A258),'recurring1_based on steps'!AM$1:AM$400,0)),AM$2,)</f>
        <v>0</v>
      </c>
      <c r="AN258" s="155">
        <f ca="1">IF(ISNUMBER(MATCH(DATEVALUE($A258),'recurring1_based on steps'!AN$1:AN$400,0)),AN$2,)</f>
        <v>0</v>
      </c>
      <c r="AO258" s="155">
        <f ca="1">IF(ISNUMBER(MATCH(DATEVALUE($A258),'recurring1_based on steps'!AO$1:AO$400,0)),AO$2,)</f>
        <v>0</v>
      </c>
      <c r="AP258" s="155">
        <f ca="1">IF(ISNUMBER(MATCH(DATEVALUE($A258),'recurring1_based on steps'!AP$1:AP$400,0)),AP$2,)</f>
        <v>0</v>
      </c>
      <c r="AQ258" s="155">
        <f ca="1">IF(ISNUMBER(MATCH(DATEVALUE($A258),'recurring1_based on steps'!AQ$1:AQ$400,0)),AQ$2,)</f>
        <v>0</v>
      </c>
      <c r="AR258" s="155">
        <f ca="1">IF(ISNUMBER(MATCH(DATEVALUE($A258),'recurring1_based on steps'!AR$1:AR$400,0)),AR$2,)</f>
        <v>0</v>
      </c>
      <c r="AS258" s="155">
        <f ca="1">IF(ISNUMBER(MATCH(DATEVALUE($A258),'recurring1_based on steps'!AS$1:AS$400,0)),AS$2,)</f>
        <v>0</v>
      </c>
      <c r="AT258" s="155">
        <f ca="1">IF(ISNUMBER(MATCH(DATEVALUE($A258),'recurring1_based on steps'!AT$1:AT$400,0)),AT$2,)</f>
        <v>0</v>
      </c>
      <c r="AU258" s="155">
        <f ca="1">IF(ISNUMBER(MATCH(DATEVALUE($A258),'recurring1_based on steps'!AU$1:AU$400,0)),AU$2,)</f>
        <v>0</v>
      </c>
      <c r="AV258" s="155">
        <f ca="1">IF(ISNUMBER(MATCH(DATEVALUE($A258),'recurring1_based on steps'!AV$1:AV$400,0)),AV$2,)</f>
        <v>0</v>
      </c>
      <c r="AW258" s="155">
        <f ca="1">IF(ISNUMBER(MATCH(DATEVALUE($A258),'recurring1_based on steps'!AW$1:AW$400,0)),AW$2,)</f>
        <v>0</v>
      </c>
      <c r="AX258" s="155">
        <f ca="1">IF(ISNUMBER(MATCH(DATEVALUE($A258),'recurring1_based on steps'!AX$1:AX$400,0)),AX$2,)</f>
        <v>0</v>
      </c>
      <c r="AY258" s="155">
        <f ca="1">IF(ISNUMBER(MATCH(DATEVALUE($A258),'recurring1_based on steps'!AY$1:AY$400,0)),AY$2,)</f>
        <v>0</v>
      </c>
    </row>
    <row r="259" spans="1:51" x14ac:dyDescent="0.2">
      <c r="A259" s="18" t="str">
        <f t="shared" ca="1" si="3"/>
        <v>2025-10-15</v>
      </c>
      <c r="B259" s="155">
        <f ca="1">IF(ISNUMBER(MATCH(DATEVALUE($A259),'recurring1_based on steps'!B$1:B$400,0)),B$2,)</f>
        <v>0</v>
      </c>
      <c r="C259" s="155">
        <f ca="1">IF(ISNUMBER(MATCH(DATEVALUE($A259),'recurring1_based on steps'!C$1:C$400,0)),C$2,)</f>
        <v>0</v>
      </c>
      <c r="D259" s="155">
        <f ca="1">IF(ISNUMBER(MATCH(DATEVALUE($A259),'recurring1_based on steps'!D$1:D$400,0)),D$2,)</f>
        <v>0</v>
      </c>
      <c r="E259" s="155">
        <f ca="1">IF(ISNUMBER(MATCH(DATEVALUE($A259),'recurring1_based on steps'!E$1:E$400,0)),E$2,)</f>
        <v>0</v>
      </c>
      <c r="F259" s="155">
        <f ca="1">IF(ISNUMBER(MATCH(DATEVALUE($A259),'recurring1_based on steps'!F$1:F$400,0)),F$2,)</f>
        <v>0</v>
      </c>
      <c r="G259" s="155">
        <f ca="1">IF(ISNUMBER(MATCH(DATEVALUE($A259),'recurring1_based on steps'!G$1:G$400,0)),G$2,)</f>
        <v>0</v>
      </c>
      <c r="H259" s="155">
        <f ca="1">IF(ISNUMBER(MATCH(DATEVALUE($A259),'recurring1_based on steps'!H$1:H$400,0)),H$2,)</f>
        <v>0</v>
      </c>
      <c r="I259" s="155">
        <f ca="1">IF(ISNUMBER(MATCH(DATEVALUE($A259),'recurring1_based on steps'!I$1:I$400,0)),I$2,)</f>
        <v>0</v>
      </c>
      <c r="J259" s="155">
        <f ca="1">IF(ISNUMBER(MATCH(DATEVALUE($A259),'recurring1_based on steps'!J$1:J$400,0)),J$2,)</f>
        <v>0</v>
      </c>
      <c r="K259" s="155">
        <f ca="1">IF(ISNUMBER(MATCH(DATEVALUE($A259),'recurring1_based on steps'!K$1:K$400,0)),K$2,)</f>
        <v>0</v>
      </c>
      <c r="L259" s="155">
        <f ca="1">IF(ISNUMBER(MATCH(DATEVALUE($A259),'recurring1_based on steps'!L$1:L$400,0)),L$2,)</f>
        <v>0</v>
      </c>
      <c r="M259" s="155">
        <f ca="1">IF(ISNUMBER(MATCH(DATEVALUE($A259),'recurring1_based on steps'!M$1:M$400,0)),M$2,)</f>
        <v>0</v>
      </c>
      <c r="N259" s="155">
        <f ca="1">IF(ISNUMBER(MATCH(DATEVALUE($A259),'recurring1_based on steps'!N$1:N$400,0)),N$2,)</f>
        <v>0</v>
      </c>
      <c r="O259" s="155">
        <f ca="1">IF(ISNUMBER(MATCH(DATEVALUE($A259),'recurring1_based on steps'!O$1:O$400,0)),O$2,)</f>
        <v>0</v>
      </c>
      <c r="P259" s="155">
        <f ca="1">IF(ISNUMBER(MATCH(DATEVALUE($A259),'recurring1_based on steps'!P$1:P$400,0)),P$2,)</f>
        <v>0</v>
      </c>
      <c r="Q259" s="155">
        <f ca="1">IF(ISNUMBER(MATCH(DATEVALUE($A259),'recurring1_based on steps'!Q$1:Q$400,0)),Q$2,)</f>
        <v>0</v>
      </c>
      <c r="R259" s="155">
        <f ca="1">IF(ISNUMBER(MATCH(DATEVALUE($A259),'recurring1_based on steps'!R$1:R$400,0)),R$2,)</f>
        <v>0</v>
      </c>
      <c r="S259" s="155">
        <f ca="1">IF(ISNUMBER(MATCH(DATEVALUE($A259),'recurring1_based on steps'!S$1:S$400,0)),S$2,)</f>
        <v>0</v>
      </c>
      <c r="T259" s="155">
        <f ca="1">IF(ISNUMBER(MATCH(DATEVALUE($A259),'recurring1_based on steps'!T$1:T$400,0)),T$2,)</f>
        <v>0</v>
      </c>
      <c r="U259" s="155">
        <f ca="1">IF(ISNUMBER(MATCH(DATEVALUE($A259),'recurring1_based on steps'!U$1:U$400,0)),U$2,)</f>
        <v>0</v>
      </c>
      <c r="V259" s="155">
        <f ca="1">IF(ISNUMBER(MATCH(DATEVALUE($A259),'recurring1_based on steps'!V$1:V$400,0)),V$2,)</f>
        <v>0</v>
      </c>
      <c r="W259" s="155">
        <f ca="1">IF(ISNUMBER(MATCH(DATEVALUE($A259),'recurring1_based on steps'!W$1:W$400,0)),W$2,)</f>
        <v>0</v>
      </c>
      <c r="X259" s="155">
        <f ca="1">IF(ISNUMBER(MATCH(DATEVALUE($A259),'recurring1_based on steps'!X$1:X$400,0)),X$2,)</f>
        <v>0</v>
      </c>
      <c r="Y259" s="155">
        <f ca="1">IF(ISNUMBER(MATCH(DATEVALUE($A259),'recurring1_based on steps'!Y$1:Y$400,0)),Y$2,)</f>
        <v>0</v>
      </c>
      <c r="Z259" s="155">
        <f ca="1">IF(ISNUMBER(MATCH(DATEVALUE($A259),'recurring1_based on steps'!Z$1:Z$400,0)),Z$2,)</f>
        <v>0</v>
      </c>
      <c r="AA259" s="155">
        <f ca="1">IF(ISNUMBER(MATCH(DATEVALUE($A259),'recurring1_based on steps'!AA$1:AA$400,0)),AA$2,)</f>
        <v>0</v>
      </c>
      <c r="AB259" s="155">
        <f ca="1">IF(ISNUMBER(MATCH(DATEVALUE($A259),'recurring1_based on steps'!AB$1:AB$400,0)),AB$2,)</f>
        <v>0</v>
      </c>
      <c r="AC259" s="155">
        <f ca="1">IF(ISNUMBER(MATCH(DATEVALUE($A259),'recurring1_based on steps'!AC$1:AC$400,0)),AC$2,)</f>
        <v>0</v>
      </c>
      <c r="AD259" s="155">
        <f ca="1">IF(ISNUMBER(MATCH(DATEVALUE($A259),'recurring1_based on steps'!AD$1:AD$400,0)),AD$2,)</f>
        <v>0</v>
      </c>
      <c r="AE259" s="155">
        <f ca="1">IF(ISNUMBER(MATCH(DATEVALUE($A259),'recurring1_based on steps'!AE$1:AE$400,0)),AE$2,)</f>
        <v>0</v>
      </c>
      <c r="AF259" s="155">
        <f ca="1">IF(ISNUMBER(MATCH(DATEVALUE($A259),'recurring1_based on steps'!AF$1:AF$400,0)),AF$2,)</f>
        <v>0</v>
      </c>
      <c r="AG259" s="155">
        <f ca="1">IF(ISNUMBER(MATCH(DATEVALUE($A259),'recurring1_based on steps'!AG$1:AG$400,0)),AG$2,)</f>
        <v>0</v>
      </c>
      <c r="AH259" s="155">
        <f ca="1">IF(ISNUMBER(MATCH(DATEVALUE($A259),'recurring1_based on steps'!AH$1:AH$400,0)),AH$2,)</f>
        <v>0</v>
      </c>
      <c r="AI259" s="155">
        <f ca="1">IF(ISNUMBER(MATCH(DATEVALUE($A259),'recurring1_based on steps'!AI$1:AI$400,0)),AI$2,)</f>
        <v>0</v>
      </c>
      <c r="AJ259" s="155">
        <f ca="1">IF(ISNUMBER(MATCH(DATEVALUE($A259),'recurring1_based on steps'!AJ$1:AJ$400,0)),AJ$2,)</f>
        <v>0</v>
      </c>
      <c r="AK259" s="155">
        <f ca="1">IF(ISNUMBER(MATCH(DATEVALUE($A259),'recurring1_based on steps'!AK$1:AK$400,0)),AK$2,)</f>
        <v>0</v>
      </c>
      <c r="AL259" s="155">
        <f ca="1">IF(ISNUMBER(MATCH(DATEVALUE($A259),'recurring1_based on steps'!AL$1:AL$400,0)),AL$2,)</f>
        <v>0</v>
      </c>
      <c r="AM259" s="155">
        <f ca="1">IF(ISNUMBER(MATCH(DATEVALUE($A259),'recurring1_based on steps'!AM$1:AM$400,0)),AM$2,)</f>
        <v>0</v>
      </c>
      <c r="AN259" s="155">
        <f ca="1">IF(ISNUMBER(MATCH(DATEVALUE($A259),'recurring1_based on steps'!AN$1:AN$400,0)),AN$2,)</f>
        <v>0</v>
      </c>
      <c r="AO259" s="155">
        <f ca="1">IF(ISNUMBER(MATCH(DATEVALUE($A259),'recurring1_based on steps'!AO$1:AO$400,0)),AO$2,)</f>
        <v>0</v>
      </c>
      <c r="AP259" s="155">
        <f ca="1">IF(ISNUMBER(MATCH(DATEVALUE($A259),'recurring1_based on steps'!AP$1:AP$400,0)),AP$2,)</f>
        <v>0</v>
      </c>
      <c r="AQ259" s="155">
        <f ca="1">IF(ISNUMBER(MATCH(DATEVALUE($A259),'recurring1_based on steps'!AQ$1:AQ$400,0)),AQ$2,)</f>
        <v>0</v>
      </c>
      <c r="AR259" s="155">
        <f ca="1">IF(ISNUMBER(MATCH(DATEVALUE($A259),'recurring1_based on steps'!AR$1:AR$400,0)),AR$2,)</f>
        <v>0</v>
      </c>
      <c r="AS259" s="155">
        <f ca="1">IF(ISNUMBER(MATCH(DATEVALUE($A259),'recurring1_based on steps'!AS$1:AS$400,0)),AS$2,)</f>
        <v>0</v>
      </c>
      <c r="AT259" s="155">
        <f ca="1">IF(ISNUMBER(MATCH(DATEVALUE($A259),'recurring1_based on steps'!AT$1:AT$400,0)),AT$2,)</f>
        <v>0</v>
      </c>
      <c r="AU259" s="155">
        <f ca="1">IF(ISNUMBER(MATCH(DATEVALUE($A259),'recurring1_based on steps'!AU$1:AU$400,0)),AU$2,)</f>
        <v>0</v>
      </c>
      <c r="AV259" s="155">
        <f ca="1">IF(ISNUMBER(MATCH(DATEVALUE($A259),'recurring1_based on steps'!AV$1:AV$400,0)),AV$2,)</f>
        <v>0</v>
      </c>
      <c r="AW259" s="155">
        <f ca="1">IF(ISNUMBER(MATCH(DATEVALUE($A259),'recurring1_based on steps'!AW$1:AW$400,0)),AW$2,)</f>
        <v>0</v>
      </c>
      <c r="AX259" s="155">
        <f ca="1">IF(ISNUMBER(MATCH(DATEVALUE($A259),'recurring1_based on steps'!AX$1:AX$400,0)),AX$2,)</f>
        <v>0</v>
      </c>
      <c r="AY259" s="155">
        <f ca="1">IF(ISNUMBER(MATCH(DATEVALUE($A259),'recurring1_based on steps'!AY$1:AY$400,0)),AY$2,)</f>
        <v>0</v>
      </c>
    </row>
    <row r="260" spans="1:51" x14ac:dyDescent="0.2">
      <c r="A260" s="18" t="str">
        <f t="shared" ca="1" si="3"/>
        <v>2025-10-16</v>
      </c>
      <c r="B260" s="155">
        <f ca="1">IF(ISNUMBER(MATCH(DATEVALUE($A260),'recurring1_based on steps'!B$1:B$400,0)),B$2,)</f>
        <v>0</v>
      </c>
      <c r="C260" s="155">
        <f ca="1">IF(ISNUMBER(MATCH(DATEVALUE($A260),'recurring1_based on steps'!C$1:C$400,0)),C$2,)</f>
        <v>0</v>
      </c>
      <c r="D260" s="155">
        <f ca="1">IF(ISNUMBER(MATCH(DATEVALUE($A260),'recurring1_based on steps'!D$1:D$400,0)),D$2,)</f>
        <v>0</v>
      </c>
      <c r="E260" s="155">
        <f ca="1">IF(ISNUMBER(MATCH(DATEVALUE($A260),'recurring1_based on steps'!E$1:E$400,0)),E$2,)</f>
        <v>0</v>
      </c>
      <c r="F260" s="155">
        <f ca="1">IF(ISNUMBER(MATCH(DATEVALUE($A260),'recurring1_based on steps'!F$1:F$400,0)),F$2,)</f>
        <v>0</v>
      </c>
      <c r="G260" s="155">
        <f ca="1">IF(ISNUMBER(MATCH(DATEVALUE($A260),'recurring1_based on steps'!G$1:G$400,0)),G$2,)</f>
        <v>0</v>
      </c>
      <c r="H260" s="155">
        <f ca="1">IF(ISNUMBER(MATCH(DATEVALUE($A260),'recurring1_based on steps'!H$1:H$400,0)),H$2,)</f>
        <v>0</v>
      </c>
      <c r="I260" s="155">
        <f ca="1">IF(ISNUMBER(MATCH(DATEVALUE($A260),'recurring1_based on steps'!I$1:I$400,0)),I$2,)</f>
        <v>0</v>
      </c>
      <c r="J260" s="155">
        <f ca="1">IF(ISNUMBER(MATCH(DATEVALUE($A260),'recurring1_based on steps'!J$1:J$400,0)),J$2,)</f>
        <v>0</v>
      </c>
      <c r="K260" s="155">
        <f ca="1">IF(ISNUMBER(MATCH(DATEVALUE($A260),'recurring1_based on steps'!K$1:K$400,0)),K$2,)</f>
        <v>0</v>
      </c>
      <c r="L260" s="155">
        <f ca="1">IF(ISNUMBER(MATCH(DATEVALUE($A260),'recurring1_based on steps'!L$1:L$400,0)),L$2,)</f>
        <v>0</v>
      </c>
      <c r="M260" s="155">
        <f ca="1">IF(ISNUMBER(MATCH(DATEVALUE($A260),'recurring1_based on steps'!M$1:M$400,0)),M$2,)</f>
        <v>0</v>
      </c>
      <c r="N260" s="155">
        <f ca="1">IF(ISNUMBER(MATCH(DATEVALUE($A260),'recurring1_based on steps'!N$1:N$400,0)),N$2,)</f>
        <v>0</v>
      </c>
      <c r="O260" s="155">
        <f ca="1">IF(ISNUMBER(MATCH(DATEVALUE($A260),'recurring1_based on steps'!O$1:O$400,0)),O$2,)</f>
        <v>0</v>
      </c>
      <c r="P260" s="155">
        <f ca="1">IF(ISNUMBER(MATCH(DATEVALUE($A260),'recurring1_based on steps'!P$1:P$400,0)),P$2,)</f>
        <v>0</v>
      </c>
      <c r="Q260" s="155">
        <f ca="1">IF(ISNUMBER(MATCH(DATEVALUE($A260),'recurring1_based on steps'!Q$1:Q$400,0)),Q$2,)</f>
        <v>0</v>
      </c>
      <c r="R260" s="155">
        <f ca="1">IF(ISNUMBER(MATCH(DATEVALUE($A260),'recurring1_based on steps'!R$1:R$400,0)),R$2,)</f>
        <v>0</v>
      </c>
      <c r="S260" s="155">
        <f ca="1">IF(ISNUMBER(MATCH(DATEVALUE($A260),'recurring1_based on steps'!S$1:S$400,0)),S$2,)</f>
        <v>0</v>
      </c>
      <c r="T260" s="155">
        <f ca="1">IF(ISNUMBER(MATCH(DATEVALUE($A260),'recurring1_based on steps'!T$1:T$400,0)),T$2,)</f>
        <v>0</v>
      </c>
      <c r="U260" s="155">
        <f ca="1">IF(ISNUMBER(MATCH(DATEVALUE($A260),'recurring1_based on steps'!U$1:U$400,0)),U$2,)</f>
        <v>0</v>
      </c>
      <c r="V260" s="155">
        <f ca="1">IF(ISNUMBER(MATCH(DATEVALUE($A260),'recurring1_based on steps'!V$1:V$400,0)),V$2,)</f>
        <v>0</v>
      </c>
      <c r="W260" s="155">
        <f ca="1">IF(ISNUMBER(MATCH(DATEVALUE($A260),'recurring1_based on steps'!W$1:W$400,0)),W$2,)</f>
        <v>0</v>
      </c>
      <c r="X260" s="155">
        <f ca="1">IF(ISNUMBER(MATCH(DATEVALUE($A260),'recurring1_based on steps'!X$1:X$400,0)),X$2,)</f>
        <v>0</v>
      </c>
      <c r="Y260" s="155">
        <f ca="1">IF(ISNUMBER(MATCH(DATEVALUE($A260),'recurring1_based on steps'!Y$1:Y$400,0)),Y$2,)</f>
        <v>0</v>
      </c>
      <c r="Z260" s="155">
        <f ca="1">IF(ISNUMBER(MATCH(DATEVALUE($A260),'recurring1_based on steps'!Z$1:Z$400,0)),Z$2,)</f>
        <v>0</v>
      </c>
      <c r="AA260" s="155">
        <f ca="1">IF(ISNUMBER(MATCH(DATEVALUE($A260),'recurring1_based on steps'!AA$1:AA$400,0)),AA$2,)</f>
        <v>0</v>
      </c>
      <c r="AB260" s="155">
        <f ca="1">IF(ISNUMBER(MATCH(DATEVALUE($A260),'recurring1_based on steps'!AB$1:AB$400,0)),AB$2,)</f>
        <v>0</v>
      </c>
      <c r="AC260" s="155">
        <f ca="1">IF(ISNUMBER(MATCH(DATEVALUE($A260),'recurring1_based on steps'!AC$1:AC$400,0)),AC$2,)</f>
        <v>0</v>
      </c>
      <c r="AD260" s="155">
        <f ca="1">IF(ISNUMBER(MATCH(DATEVALUE($A260),'recurring1_based on steps'!AD$1:AD$400,0)),AD$2,)</f>
        <v>0</v>
      </c>
      <c r="AE260" s="155">
        <f ca="1">IF(ISNUMBER(MATCH(DATEVALUE($A260),'recurring1_based on steps'!AE$1:AE$400,0)),AE$2,)</f>
        <v>0</v>
      </c>
      <c r="AF260" s="155">
        <f ca="1">IF(ISNUMBER(MATCH(DATEVALUE($A260),'recurring1_based on steps'!AF$1:AF$400,0)),AF$2,)</f>
        <v>0</v>
      </c>
      <c r="AG260" s="155">
        <f ca="1">IF(ISNUMBER(MATCH(DATEVALUE($A260),'recurring1_based on steps'!AG$1:AG$400,0)),AG$2,)</f>
        <v>0</v>
      </c>
      <c r="AH260" s="155">
        <f ca="1">IF(ISNUMBER(MATCH(DATEVALUE($A260),'recurring1_based on steps'!AH$1:AH$400,0)),AH$2,)</f>
        <v>0</v>
      </c>
      <c r="AI260" s="155">
        <f ca="1">IF(ISNUMBER(MATCH(DATEVALUE($A260),'recurring1_based on steps'!AI$1:AI$400,0)),AI$2,)</f>
        <v>0</v>
      </c>
      <c r="AJ260" s="155">
        <f ca="1">IF(ISNUMBER(MATCH(DATEVALUE($A260),'recurring1_based on steps'!AJ$1:AJ$400,0)),AJ$2,)</f>
        <v>0</v>
      </c>
      <c r="AK260" s="155">
        <f ca="1">IF(ISNUMBER(MATCH(DATEVALUE($A260),'recurring1_based on steps'!AK$1:AK$400,0)),AK$2,)</f>
        <v>0</v>
      </c>
      <c r="AL260" s="155">
        <f ca="1">IF(ISNUMBER(MATCH(DATEVALUE($A260),'recurring1_based on steps'!AL$1:AL$400,0)),AL$2,)</f>
        <v>0</v>
      </c>
      <c r="AM260" s="155">
        <f ca="1">IF(ISNUMBER(MATCH(DATEVALUE($A260),'recurring1_based on steps'!AM$1:AM$400,0)),AM$2,)</f>
        <v>0</v>
      </c>
      <c r="AN260" s="155">
        <f ca="1">IF(ISNUMBER(MATCH(DATEVALUE($A260),'recurring1_based on steps'!AN$1:AN$400,0)),AN$2,)</f>
        <v>0</v>
      </c>
      <c r="AO260" s="155">
        <f ca="1">IF(ISNUMBER(MATCH(DATEVALUE($A260),'recurring1_based on steps'!AO$1:AO$400,0)),AO$2,)</f>
        <v>0</v>
      </c>
      <c r="AP260" s="155">
        <f ca="1">IF(ISNUMBER(MATCH(DATEVALUE($A260),'recurring1_based on steps'!AP$1:AP$400,0)),AP$2,)</f>
        <v>0</v>
      </c>
      <c r="AQ260" s="155">
        <f ca="1">IF(ISNUMBER(MATCH(DATEVALUE($A260),'recurring1_based on steps'!AQ$1:AQ$400,0)),AQ$2,)</f>
        <v>0</v>
      </c>
      <c r="AR260" s="155">
        <f ca="1">IF(ISNUMBER(MATCH(DATEVALUE($A260),'recurring1_based on steps'!AR$1:AR$400,0)),AR$2,)</f>
        <v>0</v>
      </c>
      <c r="AS260" s="155">
        <f ca="1">IF(ISNUMBER(MATCH(DATEVALUE($A260),'recurring1_based on steps'!AS$1:AS$400,0)),AS$2,)</f>
        <v>0</v>
      </c>
      <c r="AT260" s="155">
        <f ca="1">IF(ISNUMBER(MATCH(DATEVALUE($A260),'recurring1_based on steps'!AT$1:AT$400,0)),AT$2,)</f>
        <v>0</v>
      </c>
      <c r="AU260" s="155">
        <f ca="1">IF(ISNUMBER(MATCH(DATEVALUE($A260),'recurring1_based on steps'!AU$1:AU$400,0)),AU$2,)</f>
        <v>0</v>
      </c>
      <c r="AV260" s="155">
        <f ca="1">IF(ISNUMBER(MATCH(DATEVALUE($A260),'recurring1_based on steps'!AV$1:AV$400,0)),AV$2,)</f>
        <v>0</v>
      </c>
      <c r="AW260" s="155">
        <f ca="1">IF(ISNUMBER(MATCH(DATEVALUE($A260),'recurring1_based on steps'!AW$1:AW$400,0)),AW$2,)</f>
        <v>0</v>
      </c>
      <c r="AX260" s="155">
        <f ca="1">IF(ISNUMBER(MATCH(DATEVALUE($A260),'recurring1_based on steps'!AX$1:AX$400,0)),AX$2,)</f>
        <v>0</v>
      </c>
      <c r="AY260" s="155">
        <f ca="1">IF(ISNUMBER(MATCH(DATEVALUE($A260),'recurring1_based on steps'!AY$1:AY$400,0)),AY$2,)</f>
        <v>0</v>
      </c>
    </row>
    <row r="261" spans="1:51" x14ac:dyDescent="0.2">
      <c r="A261" s="18" t="str">
        <f t="shared" ref="A261:A324" ca="1" si="4">TEXT(DATEVALUE(A260)+1,"yyyy-mm-dd")</f>
        <v>2025-10-17</v>
      </c>
      <c r="B261" s="155">
        <f ca="1">IF(ISNUMBER(MATCH(DATEVALUE($A261),'recurring1_based on steps'!B$1:B$400,0)),B$2,)</f>
        <v>4000</v>
      </c>
      <c r="C261" s="155">
        <f ca="1">IF(ISNUMBER(MATCH(DATEVALUE($A261),'recurring1_based on steps'!C$1:C$400,0)),C$2,)</f>
        <v>200</v>
      </c>
      <c r="D261" s="155">
        <f ca="1">IF(ISNUMBER(MATCH(DATEVALUE($A261),'recurring1_based on steps'!D$1:D$400,0)),D$2,)</f>
        <v>2</v>
      </c>
      <c r="E261" s="155">
        <f ca="1">IF(ISNUMBER(MATCH(DATEVALUE($A261),'recurring1_based on steps'!E$1:E$400,0)),E$2,)</f>
        <v>40</v>
      </c>
      <c r="F261" s="155">
        <f ca="1">IF(ISNUMBER(MATCH(DATEVALUE($A261),'recurring1_based on steps'!F$1:F$400,0)),F$2,)</f>
        <v>50</v>
      </c>
      <c r="G261" s="155">
        <f ca="1">IF(ISNUMBER(MATCH(DATEVALUE($A261),'recurring1_based on steps'!G$1:G$400,0)),G$2,)</f>
        <v>4</v>
      </c>
      <c r="H261" s="155">
        <f ca="1">IF(ISNUMBER(MATCH(DATEVALUE($A261),'recurring1_based on steps'!H$1:H$400,0)),H$2,)</f>
        <v>0</v>
      </c>
      <c r="I261" s="155">
        <f ca="1">IF(ISNUMBER(MATCH(DATEVALUE($A261),'recurring1_based on steps'!I$1:I$400,0)),I$2,)</f>
        <v>0</v>
      </c>
      <c r="J261" s="155">
        <f ca="1">IF(ISNUMBER(MATCH(DATEVALUE($A261),'recurring1_based on steps'!J$1:J$400,0)),J$2,)</f>
        <v>0</v>
      </c>
      <c r="K261" s="155">
        <f ca="1">IF(ISNUMBER(MATCH(DATEVALUE($A261),'recurring1_based on steps'!K$1:K$400,0)),K$2,)</f>
        <v>0</v>
      </c>
      <c r="L261" s="155">
        <f ca="1">IF(ISNUMBER(MATCH(DATEVALUE($A261),'recurring1_based on steps'!L$1:L$400,0)),L$2,)</f>
        <v>0</v>
      </c>
      <c r="M261" s="155">
        <f ca="1">IF(ISNUMBER(MATCH(DATEVALUE($A261),'recurring1_based on steps'!M$1:M$400,0)),M$2,)</f>
        <v>0</v>
      </c>
      <c r="N261" s="155">
        <f ca="1">IF(ISNUMBER(MATCH(DATEVALUE($A261),'recurring1_based on steps'!N$1:N$400,0)),N$2,)</f>
        <v>15.49</v>
      </c>
      <c r="O261" s="155">
        <f ca="1">IF(ISNUMBER(MATCH(DATEVALUE($A261),'recurring1_based on steps'!O$1:O$400,0)),O$2,)</f>
        <v>0</v>
      </c>
      <c r="P261" s="155">
        <f ca="1">IF(ISNUMBER(MATCH(DATEVALUE($A261),'recurring1_based on steps'!P$1:P$400,0)),P$2,)</f>
        <v>0</v>
      </c>
      <c r="Q261" s="155">
        <f ca="1">IF(ISNUMBER(MATCH(DATEVALUE($A261),'recurring1_based on steps'!Q$1:Q$400,0)),Q$2,)</f>
        <v>0</v>
      </c>
      <c r="R261" s="155">
        <f ca="1">IF(ISNUMBER(MATCH(DATEVALUE($A261),'recurring1_based on steps'!R$1:R$400,0)),R$2,)</f>
        <v>0</v>
      </c>
      <c r="S261" s="155">
        <f ca="1">IF(ISNUMBER(MATCH(DATEVALUE($A261),'recurring1_based on steps'!S$1:S$400,0)),S$2,)</f>
        <v>0</v>
      </c>
      <c r="T261" s="155">
        <f ca="1">IF(ISNUMBER(MATCH(DATEVALUE($A261),'recurring1_based on steps'!T$1:T$400,0)),T$2,)</f>
        <v>0</v>
      </c>
      <c r="U261" s="155">
        <f ca="1">IF(ISNUMBER(MATCH(DATEVALUE($A261),'recurring1_based on steps'!U$1:U$400,0)),U$2,)</f>
        <v>0</v>
      </c>
      <c r="V261" s="155">
        <f ca="1">IF(ISNUMBER(MATCH(DATEVALUE($A261),'recurring1_based on steps'!V$1:V$400,0)),V$2,)</f>
        <v>200</v>
      </c>
      <c r="W261" s="155">
        <f ca="1">IF(ISNUMBER(MATCH(DATEVALUE($A261),'recurring1_based on steps'!W$1:W$400,0)),W$2,)</f>
        <v>0</v>
      </c>
      <c r="X261" s="155">
        <f ca="1">IF(ISNUMBER(MATCH(DATEVALUE($A261),'recurring1_based on steps'!X$1:X$400,0)),X$2,)</f>
        <v>50</v>
      </c>
      <c r="Y261" s="155">
        <f ca="1">IF(ISNUMBER(MATCH(DATEVALUE($A261),'recurring1_based on steps'!Y$1:Y$400,0)),Y$2,)</f>
        <v>0</v>
      </c>
      <c r="Z261" s="155">
        <f ca="1">IF(ISNUMBER(MATCH(DATEVALUE($A261),'recurring1_based on steps'!Z$1:Z$400,0)),Z$2,)</f>
        <v>0</v>
      </c>
      <c r="AA261" s="155">
        <f ca="1">IF(ISNUMBER(MATCH(DATEVALUE($A261),'recurring1_based on steps'!AA$1:AA$400,0)),AA$2,)</f>
        <v>0</v>
      </c>
      <c r="AB261" s="155">
        <f ca="1">IF(ISNUMBER(MATCH(DATEVALUE($A261),'recurring1_based on steps'!AB$1:AB$400,0)),AB$2,)</f>
        <v>0</v>
      </c>
      <c r="AC261" s="155">
        <f ca="1">IF(ISNUMBER(MATCH(DATEVALUE($A261),'recurring1_based on steps'!AC$1:AC$400,0)),AC$2,)</f>
        <v>0</v>
      </c>
      <c r="AD261" s="155">
        <f ca="1">IF(ISNUMBER(MATCH(DATEVALUE($A261),'recurring1_based on steps'!AD$1:AD$400,0)),AD$2,)</f>
        <v>0</v>
      </c>
      <c r="AE261" s="155">
        <f ca="1">IF(ISNUMBER(MATCH(DATEVALUE($A261),'recurring1_based on steps'!AE$1:AE$400,0)),AE$2,)</f>
        <v>0</v>
      </c>
      <c r="AF261" s="155">
        <f ca="1">IF(ISNUMBER(MATCH(DATEVALUE($A261),'recurring1_based on steps'!AF$1:AF$400,0)),AF$2,)</f>
        <v>0</v>
      </c>
      <c r="AG261" s="155">
        <f ca="1">IF(ISNUMBER(MATCH(DATEVALUE($A261),'recurring1_based on steps'!AG$1:AG$400,0)),AG$2,)</f>
        <v>0</v>
      </c>
      <c r="AH261" s="155">
        <f ca="1">IF(ISNUMBER(MATCH(DATEVALUE($A261),'recurring1_based on steps'!AH$1:AH$400,0)),AH$2,)</f>
        <v>0</v>
      </c>
      <c r="AI261" s="155">
        <f ca="1">IF(ISNUMBER(MATCH(DATEVALUE($A261),'recurring1_based on steps'!AI$1:AI$400,0)),AI$2,)</f>
        <v>0</v>
      </c>
      <c r="AJ261" s="155">
        <f ca="1">IF(ISNUMBER(MATCH(DATEVALUE($A261),'recurring1_based on steps'!AJ$1:AJ$400,0)),AJ$2,)</f>
        <v>0</v>
      </c>
      <c r="AK261" s="155">
        <f ca="1">IF(ISNUMBER(MATCH(DATEVALUE($A261),'recurring1_based on steps'!AK$1:AK$400,0)),AK$2,)</f>
        <v>0</v>
      </c>
      <c r="AL261" s="155">
        <f ca="1">IF(ISNUMBER(MATCH(DATEVALUE($A261),'recurring1_based on steps'!AL$1:AL$400,0)),AL$2,)</f>
        <v>0</v>
      </c>
      <c r="AM261" s="155">
        <f ca="1">IF(ISNUMBER(MATCH(DATEVALUE($A261),'recurring1_based on steps'!AM$1:AM$400,0)),AM$2,)</f>
        <v>0</v>
      </c>
      <c r="AN261" s="155">
        <f ca="1">IF(ISNUMBER(MATCH(DATEVALUE($A261),'recurring1_based on steps'!AN$1:AN$400,0)),AN$2,)</f>
        <v>0</v>
      </c>
      <c r="AO261" s="155">
        <f ca="1">IF(ISNUMBER(MATCH(DATEVALUE($A261),'recurring1_based on steps'!AO$1:AO$400,0)),AO$2,)</f>
        <v>0</v>
      </c>
      <c r="AP261" s="155">
        <f ca="1">IF(ISNUMBER(MATCH(DATEVALUE($A261),'recurring1_based on steps'!AP$1:AP$400,0)),AP$2,)</f>
        <v>0</v>
      </c>
      <c r="AQ261" s="155">
        <f ca="1">IF(ISNUMBER(MATCH(DATEVALUE($A261),'recurring1_based on steps'!AQ$1:AQ$400,0)),AQ$2,)</f>
        <v>0</v>
      </c>
      <c r="AR261" s="155">
        <f ca="1">IF(ISNUMBER(MATCH(DATEVALUE($A261),'recurring1_based on steps'!AR$1:AR$400,0)),AR$2,)</f>
        <v>0</v>
      </c>
      <c r="AS261" s="155">
        <f ca="1">IF(ISNUMBER(MATCH(DATEVALUE($A261),'recurring1_based on steps'!AS$1:AS$400,0)),AS$2,)</f>
        <v>0</v>
      </c>
      <c r="AT261" s="155">
        <f ca="1">IF(ISNUMBER(MATCH(DATEVALUE($A261),'recurring1_based on steps'!AT$1:AT$400,0)),AT$2,)</f>
        <v>0</v>
      </c>
      <c r="AU261" s="155">
        <f ca="1">IF(ISNUMBER(MATCH(DATEVALUE($A261),'recurring1_based on steps'!AU$1:AU$400,0)),AU$2,)</f>
        <v>0</v>
      </c>
      <c r="AV261" s="155">
        <f ca="1">IF(ISNUMBER(MATCH(DATEVALUE($A261),'recurring1_based on steps'!AV$1:AV$400,0)),AV$2,)</f>
        <v>0</v>
      </c>
      <c r="AW261" s="155">
        <f ca="1">IF(ISNUMBER(MATCH(DATEVALUE($A261),'recurring1_based on steps'!AW$1:AW$400,0)),AW$2,)</f>
        <v>0</v>
      </c>
      <c r="AX261" s="155">
        <f ca="1">IF(ISNUMBER(MATCH(DATEVALUE($A261),'recurring1_based on steps'!AX$1:AX$400,0)),AX$2,)</f>
        <v>0</v>
      </c>
      <c r="AY261" s="155">
        <f ca="1">IF(ISNUMBER(MATCH(DATEVALUE($A261),'recurring1_based on steps'!AY$1:AY$400,0)),AY$2,)</f>
        <v>0</v>
      </c>
    </row>
    <row r="262" spans="1:51" x14ac:dyDescent="0.2">
      <c r="A262" s="18" t="str">
        <f t="shared" ca="1" si="4"/>
        <v>2025-10-18</v>
      </c>
      <c r="B262" s="155">
        <f ca="1">IF(ISNUMBER(MATCH(DATEVALUE($A262),'recurring1_based on steps'!B$1:B$400,0)),B$2,)</f>
        <v>0</v>
      </c>
      <c r="C262" s="155">
        <f ca="1">IF(ISNUMBER(MATCH(DATEVALUE($A262),'recurring1_based on steps'!C$1:C$400,0)),C$2,)</f>
        <v>0</v>
      </c>
      <c r="D262" s="155">
        <f ca="1">IF(ISNUMBER(MATCH(DATEVALUE($A262),'recurring1_based on steps'!D$1:D$400,0)),D$2,)</f>
        <v>0</v>
      </c>
      <c r="E262" s="155">
        <f ca="1">IF(ISNUMBER(MATCH(DATEVALUE($A262),'recurring1_based on steps'!E$1:E$400,0)),E$2,)</f>
        <v>0</v>
      </c>
      <c r="F262" s="155">
        <f ca="1">IF(ISNUMBER(MATCH(DATEVALUE($A262),'recurring1_based on steps'!F$1:F$400,0)),F$2,)</f>
        <v>0</v>
      </c>
      <c r="G262" s="155">
        <f ca="1">IF(ISNUMBER(MATCH(DATEVALUE($A262),'recurring1_based on steps'!G$1:G$400,0)),G$2,)</f>
        <v>0</v>
      </c>
      <c r="H262" s="155">
        <f ca="1">IF(ISNUMBER(MATCH(DATEVALUE($A262),'recurring1_based on steps'!H$1:H$400,0)),H$2,)</f>
        <v>0</v>
      </c>
      <c r="I262" s="155">
        <f ca="1">IF(ISNUMBER(MATCH(DATEVALUE($A262),'recurring1_based on steps'!I$1:I$400,0)),I$2,)</f>
        <v>0</v>
      </c>
      <c r="J262" s="155">
        <f ca="1">IF(ISNUMBER(MATCH(DATEVALUE($A262),'recurring1_based on steps'!J$1:J$400,0)),J$2,)</f>
        <v>0</v>
      </c>
      <c r="K262" s="155">
        <f ca="1">IF(ISNUMBER(MATCH(DATEVALUE($A262),'recurring1_based on steps'!K$1:K$400,0)),K$2,)</f>
        <v>0</v>
      </c>
      <c r="L262" s="155">
        <f ca="1">IF(ISNUMBER(MATCH(DATEVALUE($A262),'recurring1_based on steps'!L$1:L$400,0)),L$2,)</f>
        <v>0</v>
      </c>
      <c r="M262" s="155">
        <f ca="1">IF(ISNUMBER(MATCH(DATEVALUE($A262),'recurring1_based on steps'!M$1:M$400,0)),M$2,)</f>
        <v>0</v>
      </c>
      <c r="N262" s="155">
        <f ca="1">IF(ISNUMBER(MATCH(DATEVALUE($A262),'recurring1_based on steps'!N$1:N$400,0)),N$2,)</f>
        <v>0</v>
      </c>
      <c r="O262" s="155">
        <f ca="1">IF(ISNUMBER(MATCH(DATEVALUE($A262),'recurring1_based on steps'!O$1:O$400,0)),O$2,)</f>
        <v>10.99</v>
      </c>
      <c r="P262" s="155">
        <f ca="1">IF(ISNUMBER(MATCH(DATEVALUE($A262),'recurring1_based on steps'!P$1:P$400,0)),P$2,)</f>
        <v>0</v>
      </c>
      <c r="Q262" s="155">
        <f ca="1">IF(ISNUMBER(MATCH(DATEVALUE($A262),'recurring1_based on steps'!Q$1:Q$400,0)),Q$2,)</f>
        <v>100</v>
      </c>
      <c r="R262" s="155">
        <f ca="1">IF(ISNUMBER(MATCH(DATEVALUE($A262),'recurring1_based on steps'!R$1:R$400,0)),R$2,)</f>
        <v>100</v>
      </c>
      <c r="S262" s="155">
        <f ca="1">IF(ISNUMBER(MATCH(DATEVALUE($A262),'recurring1_based on steps'!S$1:S$400,0)),S$2,)</f>
        <v>0</v>
      </c>
      <c r="T262" s="155">
        <f ca="1">IF(ISNUMBER(MATCH(DATEVALUE($A262),'recurring1_based on steps'!T$1:T$400,0)),T$2,)</f>
        <v>0</v>
      </c>
      <c r="U262" s="155">
        <f ca="1">IF(ISNUMBER(MATCH(DATEVALUE($A262),'recurring1_based on steps'!U$1:U$400,0)),U$2,)</f>
        <v>0</v>
      </c>
      <c r="V262" s="155">
        <f ca="1">IF(ISNUMBER(MATCH(DATEVALUE($A262),'recurring1_based on steps'!V$1:V$400,0)),V$2,)</f>
        <v>0</v>
      </c>
      <c r="W262" s="155">
        <f ca="1">IF(ISNUMBER(MATCH(DATEVALUE($A262),'recurring1_based on steps'!W$1:W$400,0)),W$2,)</f>
        <v>0</v>
      </c>
      <c r="X262" s="155">
        <f ca="1">IF(ISNUMBER(MATCH(DATEVALUE($A262),'recurring1_based on steps'!X$1:X$400,0)),X$2,)</f>
        <v>0</v>
      </c>
      <c r="Y262" s="155">
        <f ca="1">IF(ISNUMBER(MATCH(DATEVALUE($A262),'recurring1_based on steps'!Y$1:Y$400,0)),Y$2,)</f>
        <v>0</v>
      </c>
      <c r="Z262" s="155">
        <f ca="1">IF(ISNUMBER(MATCH(DATEVALUE($A262),'recurring1_based on steps'!Z$1:Z$400,0)),Z$2,)</f>
        <v>0</v>
      </c>
      <c r="AA262" s="155">
        <f ca="1">IF(ISNUMBER(MATCH(DATEVALUE($A262),'recurring1_based on steps'!AA$1:AA$400,0)),AA$2,)</f>
        <v>0</v>
      </c>
      <c r="AB262" s="155">
        <f ca="1">IF(ISNUMBER(MATCH(DATEVALUE($A262),'recurring1_based on steps'!AB$1:AB$400,0)),AB$2,)</f>
        <v>0</v>
      </c>
      <c r="AC262" s="155">
        <f ca="1">IF(ISNUMBER(MATCH(DATEVALUE($A262),'recurring1_based on steps'!AC$1:AC$400,0)),AC$2,)</f>
        <v>0</v>
      </c>
      <c r="AD262" s="155">
        <f ca="1">IF(ISNUMBER(MATCH(DATEVALUE($A262),'recurring1_based on steps'!AD$1:AD$400,0)),AD$2,)</f>
        <v>0</v>
      </c>
      <c r="AE262" s="155">
        <f ca="1">IF(ISNUMBER(MATCH(DATEVALUE($A262),'recurring1_based on steps'!AE$1:AE$400,0)),AE$2,)</f>
        <v>0</v>
      </c>
      <c r="AF262" s="155">
        <f ca="1">IF(ISNUMBER(MATCH(DATEVALUE($A262),'recurring1_based on steps'!AF$1:AF$400,0)),AF$2,)</f>
        <v>0</v>
      </c>
      <c r="AG262" s="155">
        <f ca="1">IF(ISNUMBER(MATCH(DATEVALUE($A262),'recurring1_based on steps'!AG$1:AG$400,0)),AG$2,)</f>
        <v>0</v>
      </c>
      <c r="AH262" s="155">
        <f ca="1">IF(ISNUMBER(MATCH(DATEVALUE($A262),'recurring1_based on steps'!AH$1:AH$400,0)),AH$2,)</f>
        <v>0</v>
      </c>
      <c r="AI262" s="155">
        <f ca="1">IF(ISNUMBER(MATCH(DATEVALUE($A262),'recurring1_based on steps'!AI$1:AI$400,0)),AI$2,)</f>
        <v>0</v>
      </c>
      <c r="AJ262" s="155">
        <f ca="1">IF(ISNUMBER(MATCH(DATEVALUE($A262),'recurring1_based on steps'!AJ$1:AJ$400,0)),AJ$2,)</f>
        <v>0</v>
      </c>
      <c r="AK262" s="155">
        <f ca="1">IF(ISNUMBER(MATCH(DATEVALUE($A262),'recurring1_based on steps'!AK$1:AK$400,0)),AK$2,)</f>
        <v>0</v>
      </c>
      <c r="AL262" s="155">
        <f ca="1">IF(ISNUMBER(MATCH(DATEVALUE($A262),'recurring1_based on steps'!AL$1:AL$400,0)),AL$2,)</f>
        <v>0</v>
      </c>
      <c r="AM262" s="155">
        <f ca="1">IF(ISNUMBER(MATCH(DATEVALUE($A262),'recurring1_based on steps'!AM$1:AM$400,0)),AM$2,)</f>
        <v>0</v>
      </c>
      <c r="AN262" s="155">
        <f ca="1">IF(ISNUMBER(MATCH(DATEVALUE($A262),'recurring1_based on steps'!AN$1:AN$400,0)),AN$2,)</f>
        <v>0</v>
      </c>
      <c r="AO262" s="155">
        <f ca="1">IF(ISNUMBER(MATCH(DATEVALUE($A262),'recurring1_based on steps'!AO$1:AO$400,0)),AO$2,)</f>
        <v>0</v>
      </c>
      <c r="AP262" s="155">
        <f ca="1">IF(ISNUMBER(MATCH(DATEVALUE($A262),'recurring1_based on steps'!AP$1:AP$400,0)),AP$2,)</f>
        <v>0</v>
      </c>
      <c r="AQ262" s="155">
        <f ca="1">IF(ISNUMBER(MATCH(DATEVALUE($A262),'recurring1_based on steps'!AQ$1:AQ$400,0)),AQ$2,)</f>
        <v>0</v>
      </c>
      <c r="AR262" s="155">
        <f ca="1">IF(ISNUMBER(MATCH(DATEVALUE($A262),'recurring1_based on steps'!AR$1:AR$400,0)),AR$2,)</f>
        <v>0</v>
      </c>
      <c r="AS262" s="155">
        <f ca="1">IF(ISNUMBER(MATCH(DATEVALUE($A262),'recurring1_based on steps'!AS$1:AS$400,0)),AS$2,)</f>
        <v>0</v>
      </c>
      <c r="AT262" s="155">
        <f ca="1">IF(ISNUMBER(MATCH(DATEVALUE($A262),'recurring1_based on steps'!AT$1:AT$400,0)),AT$2,)</f>
        <v>0</v>
      </c>
      <c r="AU262" s="155">
        <f ca="1">IF(ISNUMBER(MATCH(DATEVALUE($A262),'recurring1_based on steps'!AU$1:AU$400,0)),AU$2,)</f>
        <v>0</v>
      </c>
      <c r="AV262" s="155">
        <f ca="1">IF(ISNUMBER(MATCH(DATEVALUE($A262),'recurring1_based on steps'!AV$1:AV$400,0)),AV$2,)</f>
        <v>0</v>
      </c>
      <c r="AW262" s="155">
        <f ca="1">IF(ISNUMBER(MATCH(DATEVALUE($A262),'recurring1_based on steps'!AW$1:AW$400,0)),AW$2,)</f>
        <v>0</v>
      </c>
      <c r="AX262" s="155">
        <f ca="1">IF(ISNUMBER(MATCH(DATEVALUE($A262),'recurring1_based on steps'!AX$1:AX$400,0)),AX$2,)</f>
        <v>0</v>
      </c>
      <c r="AY262" s="155">
        <f ca="1">IF(ISNUMBER(MATCH(DATEVALUE($A262),'recurring1_based on steps'!AY$1:AY$400,0)),AY$2,)</f>
        <v>0</v>
      </c>
    </row>
    <row r="263" spans="1:51" x14ac:dyDescent="0.2">
      <c r="A263" s="18" t="str">
        <f t="shared" ca="1" si="4"/>
        <v>2025-10-19</v>
      </c>
      <c r="B263" s="155">
        <f ca="1">IF(ISNUMBER(MATCH(DATEVALUE($A263),'recurring1_based on steps'!B$1:B$400,0)),B$2,)</f>
        <v>0</v>
      </c>
      <c r="C263" s="155">
        <f ca="1">IF(ISNUMBER(MATCH(DATEVALUE($A263),'recurring1_based on steps'!C$1:C$400,0)),C$2,)</f>
        <v>0</v>
      </c>
      <c r="D263" s="155">
        <f ca="1">IF(ISNUMBER(MATCH(DATEVALUE($A263),'recurring1_based on steps'!D$1:D$400,0)),D$2,)</f>
        <v>0</v>
      </c>
      <c r="E263" s="155">
        <f ca="1">IF(ISNUMBER(MATCH(DATEVALUE($A263),'recurring1_based on steps'!E$1:E$400,0)),E$2,)</f>
        <v>0</v>
      </c>
      <c r="F263" s="155">
        <f ca="1">IF(ISNUMBER(MATCH(DATEVALUE($A263),'recurring1_based on steps'!F$1:F$400,0)),F$2,)</f>
        <v>0</v>
      </c>
      <c r="G263" s="155">
        <f ca="1">IF(ISNUMBER(MATCH(DATEVALUE($A263),'recurring1_based on steps'!G$1:G$400,0)),G$2,)</f>
        <v>0</v>
      </c>
      <c r="H263" s="155">
        <f ca="1">IF(ISNUMBER(MATCH(DATEVALUE($A263),'recurring1_based on steps'!H$1:H$400,0)),H$2,)</f>
        <v>0</v>
      </c>
      <c r="I263" s="155">
        <f ca="1">IF(ISNUMBER(MATCH(DATEVALUE($A263),'recurring1_based on steps'!I$1:I$400,0)),I$2,)</f>
        <v>0</v>
      </c>
      <c r="J263" s="155">
        <f ca="1">IF(ISNUMBER(MATCH(DATEVALUE($A263),'recurring1_based on steps'!J$1:J$400,0)),J$2,)</f>
        <v>0</v>
      </c>
      <c r="K263" s="155">
        <f ca="1">IF(ISNUMBER(MATCH(DATEVALUE($A263),'recurring1_based on steps'!K$1:K$400,0)),K$2,)</f>
        <v>50</v>
      </c>
      <c r="L263" s="155">
        <f ca="1">IF(ISNUMBER(MATCH(DATEVALUE($A263),'recurring1_based on steps'!L$1:L$400,0)),L$2,)</f>
        <v>0</v>
      </c>
      <c r="M263" s="155">
        <f ca="1">IF(ISNUMBER(MATCH(DATEVALUE($A263),'recurring1_based on steps'!M$1:M$400,0)),M$2,)</f>
        <v>0</v>
      </c>
      <c r="N263" s="155">
        <f ca="1">IF(ISNUMBER(MATCH(DATEVALUE($A263),'recurring1_based on steps'!N$1:N$400,0)),N$2,)</f>
        <v>0</v>
      </c>
      <c r="O263" s="155">
        <f ca="1">IF(ISNUMBER(MATCH(DATEVALUE($A263),'recurring1_based on steps'!O$1:O$400,0)),O$2,)</f>
        <v>0</v>
      </c>
      <c r="P263" s="155">
        <f ca="1">IF(ISNUMBER(MATCH(DATEVALUE($A263),'recurring1_based on steps'!P$1:P$400,0)),P$2,)</f>
        <v>0</v>
      </c>
      <c r="Q263" s="155">
        <f ca="1">IF(ISNUMBER(MATCH(DATEVALUE($A263),'recurring1_based on steps'!Q$1:Q$400,0)),Q$2,)</f>
        <v>0</v>
      </c>
      <c r="R263" s="155">
        <f ca="1">IF(ISNUMBER(MATCH(DATEVALUE($A263),'recurring1_based on steps'!R$1:R$400,0)),R$2,)</f>
        <v>0</v>
      </c>
      <c r="S263" s="155">
        <f ca="1">IF(ISNUMBER(MATCH(DATEVALUE($A263),'recurring1_based on steps'!S$1:S$400,0)),S$2,)</f>
        <v>100</v>
      </c>
      <c r="T263" s="155">
        <f ca="1">IF(ISNUMBER(MATCH(DATEVALUE($A263),'recurring1_based on steps'!T$1:T$400,0)),T$2,)</f>
        <v>0</v>
      </c>
      <c r="U263" s="155">
        <f ca="1">IF(ISNUMBER(MATCH(DATEVALUE($A263),'recurring1_based on steps'!U$1:U$400,0)),U$2,)</f>
        <v>0</v>
      </c>
      <c r="V263" s="155">
        <f ca="1">IF(ISNUMBER(MATCH(DATEVALUE($A263),'recurring1_based on steps'!V$1:V$400,0)),V$2,)</f>
        <v>0</v>
      </c>
      <c r="W263" s="155">
        <f ca="1">IF(ISNUMBER(MATCH(DATEVALUE($A263),'recurring1_based on steps'!W$1:W$400,0)),W$2,)</f>
        <v>0</v>
      </c>
      <c r="X263" s="155">
        <f ca="1">IF(ISNUMBER(MATCH(DATEVALUE($A263),'recurring1_based on steps'!X$1:X$400,0)),X$2,)</f>
        <v>0</v>
      </c>
      <c r="Y263" s="155">
        <f ca="1">IF(ISNUMBER(MATCH(DATEVALUE($A263),'recurring1_based on steps'!Y$1:Y$400,0)),Y$2,)</f>
        <v>0</v>
      </c>
      <c r="Z263" s="155">
        <f ca="1">IF(ISNUMBER(MATCH(DATEVALUE($A263),'recurring1_based on steps'!Z$1:Z$400,0)),Z$2,)</f>
        <v>0</v>
      </c>
      <c r="AA263" s="155">
        <f ca="1">IF(ISNUMBER(MATCH(DATEVALUE($A263),'recurring1_based on steps'!AA$1:AA$400,0)),AA$2,)</f>
        <v>0</v>
      </c>
      <c r="AB263" s="155">
        <f ca="1">IF(ISNUMBER(MATCH(DATEVALUE($A263),'recurring1_based on steps'!AB$1:AB$400,0)),AB$2,)</f>
        <v>0</v>
      </c>
      <c r="AC263" s="155">
        <f ca="1">IF(ISNUMBER(MATCH(DATEVALUE($A263),'recurring1_based on steps'!AC$1:AC$400,0)),AC$2,)</f>
        <v>0</v>
      </c>
      <c r="AD263" s="155">
        <f ca="1">IF(ISNUMBER(MATCH(DATEVALUE($A263),'recurring1_based on steps'!AD$1:AD$400,0)),AD$2,)</f>
        <v>0</v>
      </c>
      <c r="AE263" s="155">
        <f ca="1">IF(ISNUMBER(MATCH(DATEVALUE($A263),'recurring1_based on steps'!AE$1:AE$400,0)),AE$2,)</f>
        <v>0</v>
      </c>
      <c r="AF263" s="155">
        <f ca="1">IF(ISNUMBER(MATCH(DATEVALUE($A263),'recurring1_based on steps'!AF$1:AF$400,0)),AF$2,)</f>
        <v>0</v>
      </c>
      <c r="AG263" s="155">
        <f ca="1">IF(ISNUMBER(MATCH(DATEVALUE($A263),'recurring1_based on steps'!AG$1:AG$400,0)),AG$2,)</f>
        <v>0</v>
      </c>
      <c r="AH263" s="155">
        <f ca="1">IF(ISNUMBER(MATCH(DATEVALUE($A263),'recurring1_based on steps'!AH$1:AH$400,0)),AH$2,)</f>
        <v>0</v>
      </c>
      <c r="AI263" s="155">
        <f ca="1">IF(ISNUMBER(MATCH(DATEVALUE($A263),'recurring1_based on steps'!AI$1:AI$400,0)),AI$2,)</f>
        <v>0</v>
      </c>
      <c r="AJ263" s="155">
        <f ca="1">IF(ISNUMBER(MATCH(DATEVALUE($A263),'recurring1_based on steps'!AJ$1:AJ$400,0)),AJ$2,)</f>
        <v>0</v>
      </c>
      <c r="AK263" s="155">
        <f ca="1">IF(ISNUMBER(MATCH(DATEVALUE($A263),'recurring1_based on steps'!AK$1:AK$400,0)),AK$2,)</f>
        <v>0</v>
      </c>
      <c r="AL263" s="155">
        <f ca="1">IF(ISNUMBER(MATCH(DATEVALUE($A263),'recurring1_based on steps'!AL$1:AL$400,0)),AL$2,)</f>
        <v>0</v>
      </c>
      <c r="AM263" s="155">
        <f ca="1">IF(ISNUMBER(MATCH(DATEVALUE($A263),'recurring1_based on steps'!AM$1:AM$400,0)),AM$2,)</f>
        <v>0</v>
      </c>
      <c r="AN263" s="155">
        <f ca="1">IF(ISNUMBER(MATCH(DATEVALUE($A263),'recurring1_based on steps'!AN$1:AN$400,0)),AN$2,)</f>
        <v>0</v>
      </c>
      <c r="AO263" s="155">
        <f ca="1">IF(ISNUMBER(MATCH(DATEVALUE($A263),'recurring1_based on steps'!AO$1:AO$400,0)),AO$2,)</f>
        <v>0</v>
      </c>
      <c r="AP263" s="155">
        <f ca="1">IF(ISNUMBER(MATCH(DATEVALUE($A263),'recurring1_based on steps'!AP$1:AP$400,0)),AP$2,)</f>
        <v>0</v>
      </c>
      <c r="AQ263" s="155">
        <f ca="1">IF(ISNUMBER(MATCH(DATEVALUE($A263),'recurring1_based on steps'!AQ$1:AQ$400,0)),AQ$2,)</f>
        <v>0</v>
      </c>
      <c r="AR263" s="155">
        <f ca="1">IF(ISNUMBER(MATCH(DATEVALUE($A263),'recurring1_based on steps'!AR$1:AR$400,0)),AR$2,)</f>
        <v>0</v>
      </c>
      <c r="AS263" s="155">
        <f ca="1">IF(ISNUMBER(MATCH(DATEVALUE($A263),'recurring1_based on steps'!AS$1:AS$400,0)),AS$2,)</f>
        <v>0</v>
      </c>
      <c r="AT263" s="155">
        <f ca="1">IF(ISNUMBER(MATCH(DATEVALUE($A263),'recurring1_based on steps'!AT$1:AT$400,0)),AT$2,)</f>
        <v>0</v>
      </c>
      <c r="AU263" s="155">
        <f ca="1">IF(ISNUMBER(MATCH(DATEVALUE($A263),'recurring1_based on steps'!AU$1:AU$400,0)),AU$2,)</f>
        <v>0</v>
      </c>
      <c r="AV263" s="155">
        <f ca="1">IF(ISNUMBER(MATCH(DATEVALUE($A263),'recurring1_based on steps'!AV$1:AV$400,0)),AV$2,)</f>
        <v>0</v>
      </c>
      <c r="AW263" s="155">
        <f ca="1">IF(ISNUMBER(MATCH(DATEVALUE($A263),'recurring1_based on steps'!AW$1:AW$400,0)),AW$2,)</f>
        <v>0</v>
      </c>
      <c r="AX263" s="155">
        <f ca="1">IF(ISNUMBER(MATCH(DATEVALUE($A263),'recurring1_based on steps'!AX$1:AX$400,0)),AX$2,)</f>
        <v>0</v>
      </c>
      <c r="AY263" s="155">
        <f ca="1">IF(ISNUMBER(MATCH(DATEVALUE($A263),'recurring1_based on steps'!AY$1:AY$400,0)),AY$2,)</f>
        <v>0</v>
      </c>
    </row>
    <row r="264" spans="1:51" x14ac:dyDescent="0.2">
      <c r="A264" s="18" t="str">
        <f t="shared" ca="1" si="4"/>
        <v>2025-10-20</v>
      </c>
      <c r="B264" s="155">
        <f ca="1">IF(ISNUMBER(MATCH(DATEVALUE($A264),'recurring1_based on steps'!B$1:B$400,0)),B$2,)</f>
        <v>0</v>
      </c>
      <c r="C264" s="155">
        <f ca="1">IF(ISNUMBER(MATCH(DATEVALUE($A264),'recurring1_based on steps'!C$1:C$400,0)),C$2,)</f>
        <v>0</v>
      </c>
      <c r="D264" s="155">
        <f ca="1">IF(ISNUMBER(MATCH(DATEVALUE($A264),'recurring1_based on steps'!D$1:D$400,0)),D$2,)</f>
        <v>0</v>
      </c>
      <c r="E264" s="155">
        <f ca="1">IF(ISNUMBER(MATCH(DATEVALUE($A264),'recurring1_based on steps'!E$1:E$400,0)),E$2,)</f>
        <v>0</v>
      </c>
      <c r="F264" s="155">
        <f ca="1">IF(ISNUMBER(MATCH(DATEVALUE($A264),'recurring1_based on steps'!F$1:F$400,0)),F$2,)</f>
        <v>0</v>
      </c>
      <c r="G264" s="155">
        <f ca="1">IF(ISNUMBER(MATCH(DATEVALUE($A264),'recurring1_based on steps'!G$1:G$400,0)),G$2,)</f>
        <v>0</v>
      </c>
      <c r="H264" s="155">
        <f ca="1">IF(ISNUMBER(MATCH(DATEVALUE($A264),'recurring1_based on steps'!H$1:H$400,0)),H$2,)</f>
        <v>0</v>
      </c>
      <c r="I264" s="155">
        <f ca="1">IF(ISNUMBER(MATCH(DATEVALUE($A264),'recurring1_based on steps'!I$1:I$400,0)),I$2,)</f>
        <v>0</v>
      </c>
      <c r="J264" s="155">
        <f ca="1">IF(ISNUMBER(MATCH(DATEVALUE($A264),'recurring1_based on steps'!J$1:J$400,0)),J$2,)</f>
        <v>0</v>
      </c>
      <c r="K264" s="155">
        <f ca="1">IF(ISNUMBER(MATCH(DATEVALUE($A264),'recurring1_based on steps'!K$1:K$400,0)),K$2,)</f>
        <v>0</v>
      </c>
      <c r="L264" s="155">
        <f ca="1">IF(ISNUMBER(MATCH(DATEVALUE($A264),'recurring1_based on steps'!L$1:L$400,0)),L$2,)</f>
        <v>0</v>
      </c>
      <c r="M264" s="155">
        <f ca="1">IF(ISNUMBER(MATCH(DATEVALUE($A264),'recurring1_based on steps'!M$1:M$400,0)),M$2,)</f>
        <v>0</v>
      </c>
      <c r="N264" s="155">
        <f ca="1">IF(ISNUMBER(MATCH(DATEVALUE($A264),'recurring1_based on steps'!N$1:N$400,0)),N$2,)</f>
        <v>0</v>
      </c>
      <c r="O264" s="155">
        <f ca="1">IF(ISNUMBER(MATCH(DATEVALUE($A264),'recurring1_based on steps'!O$1:O$400,0)),O$2,)</f>
        <v>0</v>
      </c>
      <c r="P264" s="155">
        <f ca="1">IF(ISNUMBER(MATCH(DATEVALUE($A264),'recurring1_based on steps'!P$1:P$400,0)),P$2,)</f>
        <v>0</v>
      </c>
      <c r="Q264" s="155">
        <f ca="1">IF(ISNUMBER(MATCH(DATEVALUE($A264),'recurring1_based on steps'!Q$1:Q$400,0)),Q$2,)</f>
        <v>0</v>
      </c>
      <c r="R264" s="155">
        <f ca="1">IF(ISNUMBER(MATCH(DATEVALUE($A264),'recurring1_based on steps'!R$1:R$400,0)),R$2,)</f>
        <v>0</v>
      </c>
      <c r="S264" s="155">
        <f ca="1">IF(ISNUMBER(MATCH(DATEVALUE($A264),'recurring1_based on steps'!S$1:S$400,0)),S$2,)</f>
        <v>0</v>
      </c>
      <c r="T264" s="155">
        <f ca="1">IF(ISNUMBER(MATCH(DATEVALUE($A264),'recurring1_based on steps'!T$1:T$400,0)),T$2,)</f>
        <v>0</v>
      </c>
      <c r="U264" s="155">
        <f ca="1">IF(ISNUMBER(MATCH(DATEVALUE($A264),'recurring1_based on steps'!U$1:U$400,0)),U$2,)</f>
        <v>0</v>
      </c>
      <c r="V264" s="155">
        <f ca="1">IF(ISNUMBER(MATCH(DATEVALUE($A264),'recurring1_based on steps'!V$1:V$400,0)),V$2,)</f>
        <v>0</v>
      </c>
      <c r="W264" s="155">
        <f ca="1">IF(ISNUMBER(MATCH(DATEVALUE($A264),'recurring1_based on steps'!W$1:W$400,0)),W$2,)</f>
        <v>0</v>
      </c>
      <c r="X264" s="155">
        <f ca="1">IF(ISNUMBER(MATCH(DATEVALUE($A264),'recurring1_based on steps'!X$1:X$400,0)),X$2,)</f>
        <v>0</v>
      </c>
      <c r="Y264" s="155">
        <f ca="1">IF(ISNUMBER(MATCH(DATEVALUE($A264),'recurring1_based on steps'!Y$1:Y$400,0)),Y$2,)</f>
        <v>0</v>
      </c>
      <c r="Z264" s="155">
        <f ca="1">IF(ISNUMBER(MATCH(DATEVALUE($A264),'recurring1_based on steps'!Z$1:Z$400,0)),Z$2,)</f>
        <v>0</v>
      </c>
      <c r="AA264" s="155">
        <f ca="1">IF(ISNUMBER(MATCH(DATEVALUE($A264),'recurring1_based on steps'!AA$1:AA$400,0)),AA$2,)</f>
        <v>0</v>
      </c>
      <c r="AB264" s="155">
        <f ca="1">IF(ISNUMBER(MATCH(DATEVALUE($A264),'recurring1_based on steps'!AB$1:AB$400,0)),AB$2,)</f>
        <v>0</v>
      </c>
      <c r="AC264" s="155">
        <f ca="1">IF(ISNUMBER(MATCH(DATEVALUE($A264),'recurring1_based on steps'!AC$1:AC$400,0)),AC$2,)</f>
        <v>0</v>
      </c>
      <c r="AD264" s="155">
        <f ca="1">IF(ISNUMBER(MATCH(DATEVALUE($A264),'recurring1_based on steps'!AD$1:AD$400,0)),AD$2,)</f>
        <v>0</v>
      </c>
      <c r="AE264" s="155">
        <f ca="1">IF(ISNUMBER(MATCH(DATEVALUE($A264),'recurring1_based on steps'!AE$1:AE$400,0)),AE$2,)</f>
        <v>0</v>
      </c>
      <c r="AF264" s="155">
        <f ca="1">IF(ISNUMBER(MATCH(DATEVALUE($A264),'recurring1_based on steps'!AF$1:AF$400,0)),AF$2,)</f>
        <v>0</v>
      </c>
      <c r="AG264" s="155">
        <f ca="1">IF(ISNUMBER(MATCH(DATEVALUE($A264),'recurring1_based on steps'!AG$1:AG$400,0)),AG$2,)</f>
        <v>0</v>
      </c>
      <c r="AH264" s="155">
        <f ca="1">IF(ISNUMBER(MATCH(DATEVALUE($A264),'recurring1_based on steps'!AH$1:AH$400,0)),AH$2,)</f>
        <v>0</v>
      </c>
      <c r="AI264" s="155">
        <f ca="1">IF(ISNUMBER(MATCH(DATEVALUE($A264),'recurring1_based on steps'!AI$1:AI$400,0)),AI$2,)</f>
        <v>0</v>
      </c>
      <c r="AJ264" s="155">
        <f ca="1">IF(ISNUMBER(MATCH(DATEVALUE($A264),'recurring1_based on steps'!AJ$1:AJ$400,0)),AJ$2,)</f>
        <v>0</v>
      </c>
      <c r="AK264" s="155">
        <f ca="1">IF(ISNUMBER(MATCH(DATEVALUE($A264),'recurring1_based on steps'!AK$1:AK$400,0)),AK$2,)</f>
        <v>0</v>
      </c>
      <c r="AL264" s="155">
        <f ca="1">IF(ISNUMBER(MATCH(DATEVALUE($A264),'recurring1_based on steps'!AL$1:AL$400,0)),AL$2,)</f>
        <v>0</v>
      </c>
      <c r="AM264" s="155">
        <f ca="1">IF(ISNUMBER(MATCH(DATEVALUE($A264),'recurring1_based on steps'!AM$1:AM$400,0)),AM$2,)</f>
        <v>0</v>
      </c>
      <c r="AN264" s="155">
        <f ca="1">IF(ISNUMBER(MATCH(DATEVALUE($A264),'recurring1_based on steps'!AN$1:AN$400,0)),AN$2,)</f>
        <v>0</v>
      </c>
      <c r="AO264" s="155">
        <f ca="1">IF(ISNUMBER(MATCH(DATEVALUE($A264),'recurring1_based on steps'!AO$1:AO$400,0)),AO$2,)</f>
        <v>0</v>
      </c>
      <c r="AP264" s="155">
        <f ca="1">IF(ISNUMBER(MATCH(DATEVALUE($A264),'recurring1_based on steps'!AP$1:AP$400,0)),AP$2,)</f>
        <v>0</v>
      </c>
      <c r="AQ264" s="155">
        <f ca="1">IF(ISNUMBER(MATCH(DATEVALUE($A264),'recurring1_based on steps'!AQ$1:AQ$400,0)),AQ$2,)</f>
        <v>0</v>
      </c>
      <c r="AR264" s="155">
        <f ca="1">IF(ISNUMBER(MATCH(DATEVALUE($A264),'recurring1_based on steps'!AR$1:AR$400,0)),AR$2,)</f>
        <v>0</v>
      </c>
      <c r="AS264" s="155">
        <f ca="1">IF(ISNUMBER(MATCH(DATEVALUE($A264),'recurring1_based on steps'!AS$1:AS$400,0)),AS$2,)</f>
        <v>0</v>
      </c>
      <c r="AT264" s="155">
        <f ca="1">IF(ISNUMBER(MATCH(DATEVALUE($A264),'recurring1_based on steps'!AT$1:AT$400,0)),AT$2,)</f>
        <v>0</v>
      </c>
      <c r="AU264" s="155">
        <f ca="1">IF(ISNUMBER(MATCH(DATEVALUE($A264),'recurring1_based on steps'!AU$1:AU$400,0)),AU$2,)</f>
        <v>0</v>
      </c>
      <c r="AV264" s="155">
        <f ca="1">IF(ISNUMBER(MATCH(DATEVALUE($A264),'recurring1_based on steps'!AV$1:AV$400,0)),AV$2,)</f>
        <v>0</v>
      </c>
      <c r="AW264" s="155">
        <f ca="1">IF(ISNUMBER(MATCH(DATEVALUE($A264),'recurring1_based on steps'!AW$1:AW$400,0)),AW$2,)</f>
        <v>0</v>
      </c>
      <c r="AX264" s="155">
        <f ca="1">IF(ISNUMBER(MATCH(DATEVALUE($A264),'recurring1_based on steps'!AX$1:AX$400,0)),AX$2,)</f>
        <v>0</v>
      </c>
      <c r="AY264" s="155">
        <f ca="1">IF(ISNUMBER(MATCH(DATEVALUE($A264),'recurring1_based on steps'!AY$1:AY$400,0)),AY$2,)</f>
        <v>0</v>
      </c>
    </row>
    <row r="265" spans="1:51" x14ac:dyDescent="0.2">
      <c r="A265" s="18" t="str">
        <f t="shared" ca="1" si="4"/>
        <v>2025-10-21</v>
      </c>
      <c r="B265" s="155">
        <f ca="1">IF(ISNUMBER(MATCH(DATEVALUE($A265),'recurring1_based on steps'!B$1:B$400,0)),B$2,)</f>
        <v>0</v>
      </c>
      <c r="C265" s="155">
        <f ca="1">IF(ISNUMBER(MATCH(DATEVALUE($A265),'recurring1_based on steps'!C$1:C$400,0)),C$2,)</f>
        <v>0</v>
      </c>
      <c r="D265" s="155">
        <f ca="1">IF(ISNUMBER(MATCH(DATEVALUE($A265),'recurring1_based on steps'!D$1:D$400,0)),D$2,)</f>
        <v>0</v>
      </c>
      <c r="E265" s="155">
        <f ca="1">IF(ISNUMBER(MATCH(DATEVALUE($A265),'recurring1_based on steps'!E$1:E$400,0)),E$2,)</f>
        <v>0</v>
      </c>
      <c r="F265" s="155">
        <f ca="1">IF(ISNUMBER(MATCH(DATEVALUE($A265),'recurring1_based on steps'!F$1:F$400,0)),F$2,)</f>
        <v>0</v>
      </c>
      <c r="G265" s="155">
        <f ca="1">IF(ISNUMBER(MATCH(DATEVALUE($A265),'recurring1_based on steps'!G$1:G$400,0)),G$2,)</f>
        <v>0</v>
      </c>
      <c r="H265" s="155">
        <f ca="1">IF(ISNUMBER(MATCH(DATEVALUE($A265),'recurring1_based on steps'!H$1:H$400,0)),H$2,)</f>
        <v>0</v>
      </c>
      <c r="I265" s="155">
        <f ca="1">IF(ISNUMBER(MATCH(DATEVALUE($A265),'recurring1_based on steps'!I$1:I$400,0)),I$2,)</f>
        <v>0</v>
      </c>
      <c r="J265" s="155">
        <f ca="1">IF(ISNUMBER(MATCH(DATEVALUE($A265),'recurring1_based on steps'!J$1:J$400,0)),J$2,)</f>
        <v>0</v>
      </c>
      <c r="K265" s="155">
        <f ca="1">IF(ISNUMBER(MATCH(DATEVALUE($A265),'recurring1_based on steps'!K$1:K$400,0)),K$2,)</f>
        <v>0</v>
      </c>
      <c r="L265" s="155">
        <f ca="1">IF(ISNUMBER(MATCH(DATEVALUE($A265),'recurring1_based on steps'!L$1:L$400,0)),L$2,)</f>
        <v>0</v>
      </c>
      <c r="M265" s="155">
        <f ca="1">IF(ISNUMBER(MATCH(DATEVALUE($A265),'recurring1_based on steps'!M$1:M$400,0)),M$2,)</f>
        <v>0</v>
      </c>
      <c r="N265" s="155">
        <f ca="1">IF(ISNUMBER(MATCH(DATEVALUE($A265),'recurring1_based on steps'!N$1:N$400,0)),N$2,)</f>
        <v>0</v>
      </c>
      <c r="O265" s="155">
        <f ca="1">IF(ISNUMBER(MATCH(DATEVALUE($A265),'recurring1_based on steps'!O$1:O$400,0)),O$2,)</f>
        <v>0</v>
      </c>
      <c r="P265" s="155">
        <f ca="1">IF(ISNUMBER(MATCH(DATEVALUE($A265),'recurring1_based on steps'!P$1:P$400,0)),P$2,)</f>
        <v>0</v>
      </c>
      <c r="Q265" s="155">
        <f ca="1">IF(ISNUMBER(MATCH(DATEVALUE($A265),'recurring1_based on steps'!Q$1:Q$400,0)),Q$2,)</f>
        <v>0</v>
      </c>
      <c r="R265" s="155">
        <f ca="1">IF(ISNUMBER(MATCH(DATEVALUE($A265),'recurring1_based on steps'!R$1:R$400,0)),R$2,)</f>
        <v>0</v>
      </c>
      <c r="S265" s="155">
        <f ca="1">IF(ISNUMBER(MATCH(DATEVALUE($A265),'recurring1_based on steps'!S$1:S$400,0)),S$2,)</f>
        <v>0</v>
      </c>
      <c r="T265" s="155">
        <f ca="1">IF(ISNUMBER(MATCH(DATEVALUE($A265),'recurring1_based on steps'!T$1:T$400,0)),T$2,)</f>
        <v>0</v>
      </c>
      <c r="U265" s="155">
        <f ca="1">IF(ISNUMBER(MATCH(DATEVALUE($A265),'recurring1_based on steps'!U$1:U$400,0)),U$2,)</f>
        <v>0</v>
      </c>
      <c r="V265" s="155">
        <f ca="1">IF(ISNUMBER(MATCH(DATEVALUE($A265),'recurring1_based on steps'!V$1:V$400,0)),V$2,)</f>
        <v>0</v>
      </c>
      <c r="W265" s="155">
        <f ca="1">IF(ISNUMBER(MATCH(DATEVALUE($A265),'recurring1_based on steps'!W$1:W$400,0)),W$2,)</f>
        <v>0</v>
      </c>
      <c r="X265" s="155">
        <f ca="1">IF(ISNUMBER(MATCH(DATEVALUE($A265),'recurring1_based on steps'!X$1:X$400,0)),X$2,)</f>
        <v>0</v>
      </c>
      <c r="Y265" s="155">
        <f ca="1">IF(ISNUMBER(MATCH(DATEVALUE($A265),'recurring1_based on steps'!Y$1:Y$400,0)),Y$2,)</f>
        <v>0</v>
      </c>
      <c r="Z265" s="155">
        <f ca="1">IF(ISNUMBER(MATCH(DATEVALUE($A265),'recurring1_based on steps'!Z$1:Z$400,0)),Z$2,)</f>
        <v>0</v>
      </c>
      <c r="AA265" s="155">
        <f ca="1">IF(ISNUMBER(MATCH(DATEVALUE($A265),'recurring1_based on steps'!AA$1:AA$400,0)),AA$2,)</f>
        <v>0</v>
      </c>
      <c r="AB265" s="155">
        <f ca="1">IF(ISNUMBER(MATCH(DATEVALUE($A265),'recurring1_based on steps'!AB$1:AB$400,0)),AB$2,)</f>
        <v>0</v>
      </c>
      <c r="AC265" s="155">
        <f ca="1">IF(ISNUMBER(MATCH(DATEVALUE($A265),'recurring1_based on steps'!AC$1:AC$400,0)),AC$2,)</f>
        <v>0</v>
      </c>
      <c r="AD265" s="155">
        <f ca="1">IF(ISNUMBER(MATCH(DATEVALUE($A265),'recurring1_based on steps'!AD$1:AD$400,0)),AD$2,)</f>
        <v>0</v>
      </c>
      <c r="AE265" s="155">
        <f ca="1">IF(ISNUMBER(MATCH(DATEVALUE($A265),'recurring1_based on steps'!AE$1:AE$400,0)),AE$2,)</f>
        <v>0</v>
      </c>
      <c r="AF265" s="155">
        <f ca="1">IF(ISNUMBER(MATCH(DATEVALUE($A265),'recurring1_based on steps'!AF$1:AF$400,0)),AF$2,)</f>
        <v>0</v>
      </c>
      <c r="AG265" s="155">
        <f ca="1">IF(ISNUMBER(MATCH(DATEVALUE($A265),'recurring1_based on steps'!AG$1:AG$400,0)),AG$2,)</f>
        <v>0</v>
      </c>
      <c r="AH265" s="155">
        <f ca="1">IF(ISNUMBER(MATCH(DATEVALUE($A265),'recurring1_based on steps'!AH$1:AH$400,0)),AH$2,)</f>
        <v>0</v>
      </c>
      <c r="AI265" s="155">
        <f ca="1">IF(ISNUMBER(MATCH(DATEVALUE($A265),'recurring1_based on steps'!AI$1:AI$400,0)),AI$2,)</f>
        <v>0</v>
      </c>
      <c r="AJ265" s="155">
        <f ca="1">IF(ISNUMBER(MATCH(DATEVALUE($A265),'recurring1_based on steps'!AJ$1:AJ$400,0)),AJ$2,)</f>
        <v>0</v>
      </c>
      <c r="AK265" s="155">
        <f ca="1">IF(ISNUMBER(MATCH(DATEVALUE($A265),'recurring1_based on steps'!AK$1:AK$400,0)),AK$2,)</f>
        <v>0</v>
      </c>
      <c r="AL265" s="155">
        <f ca="1">IF(ISNUMBER(MATCH(DATEVALUE($A265),'recurring1_based on steps'!AL$1:AL$400,0)),AL$2,)</f>
        <v>0</v>
      </c>
      <c r="AM265" s="155">
        <f ca="1">IF(ISNUMBER(MATCH(DATEVALUE($A265),'recurring1_based on steps'!AM$1:AM$400,0)),AM$2,)</f>
        <v>0</v>
      </c>
      <c r="AN265" s="155">
        <f ca="1">IF(ISNUMBER(MATCH(DATEVALUE($A265),'recurring1_based on steps'!AN$1:AN$400,0)),AN$2,)</f>
        <v>0</v>
      </c>
      <c r="AO265" s="155">
        <f ca="1">IF(ISNUMBER(MATCH(DATEVALUE($A265),'recurring1_based on steps'!AO$1:AO$400,0)),AO$2,)</f>
        <v>0</v>
      </c>
      <c r="AP265" s="155">
        <f ca="1">IF(ISNUMBER(MATCH(DATEVALUE($A265),'recurring1_based on steps'!AP$1:AP$400,0)),AP$2,)</f>
        <v>0</v>
      </c>
      <c r="AQ265" s="155">
        <f ca="1">IF(ISNUMBER(MATCH(DATEVALUE($A265),'recurring1_based on steps'!AQ$1:AQ$400,0)),AQ$2,)</f>
        <v>0</v>
      </c>
      <c r="AR265" s="155">
        <f ca="1">IF(ISNUMBER(MATCH(DATEVALUE($A265),'recurring1_based on steps'!AR$1:AR$400,0)),AR$2,)</f>
        <v>0</v>
      </c>
      <c r="AS265" s="155">
        <f ca="1">IF(ISNUMBER(MATCH(DATEVALUE($A265),'recurring1_based on steps'!AS$1:AS$400,0)),AS$2,)</f>
        <v>0</v>
      </c>
      <c r="AT265" s="155">
        <f ca="1">IF(ISNUMBER(MATCH(DATEVALUE($A265),'recurring1_based on steps'!AT$1:AT$400,0)),AT$2,)</f>
        <v>0</v>
      </c>
      <c r="AU265" s="155">
        <f ca="1">IF(ISNUMBER(MATCH(DATEVALUE($A265),'recurring1_based on steps'!AU$1:AU$400,0)),AU$2,)</f>
        <v>0</v>
      </c>
      <c r="AV265" s="155">
        <f ca="1">IF(ISNUMBER(MATCH(DATEVALUE($A265),'recurring1_based on steps'!AV$1:AV$400,0)),AV$2,)</f>
        <v>0</v>
      </c>
      <c r="AW265" s="155">
        <f ca="1">IF(ISNUMBER(MATCH(DATEVALUE($A265),'recurring1_based on steps'!AW$1:AW$400,0)),AW$2,)</f>
        <v>0</v>
      </c>
      <c r="AX265" s="155">
        <f ca="1">IF(ISNUMBER(MATCH(DATEVALUE($A265),'recurring1_based on steps'!AX$1:AX$400,0)),AX$2,)</f>
        <v>0</v>
      </c>
      <c r="AY265" s="155">
        <f ca="1">IF(ISNUMBER(MATCH(DATEVALUE($A265),'recurring1_based on steps'!AY$1:AY$400,0)),AY$2,)</f>
        <v>0</v>
      </c>
    </row>
    <row r="266" spans="1:51" x14ac:dyDescent="0.2">
      <c r="A266" s="18" t="str">
        <f t="shared" ca="1" si="4"/>
        <v>2025-10-22</v>
      </c>
      <c r="B266" s="155">
        <f ca="1">IF(ISNUMBER(MATCH(DATEVALUE($A266),'recurring1_based on steps'!B$1:B$400,0)),B$2,)</f>
        <v>0</v>
      </c>
      <c r="C266" s="155">
        <f ca="1">IF(ISNUMBER(MATCH(DATEVALUE($A266),'recurring1_based on steps'!C$1:C$400,0)),C$2,)</f>
        <v>0</v>
      </c>
      <c r="D266" s="155">
        <f ca="1">IF(ISNUMBER(MATCH(DATEVALUE($A266),'recurring1_based on steps'!D$1:D$400,0)),D$2,)</f>
        <v>0</v>
      </c>
      <c r="E266" s="155">
        <f ca="1">IF(ISNUMBER(MATCH(DATEVALUE($A266),'recurring1_based on steps'!E$1:E$400,0)),E$2,)</f>
        <v>0</v>
      </c>
      <c r="F266" s="155">
        <f ca="1">IF(ISNUMBER(MATCH(DATEVALUE($A266),'recurring1_based on steps'!F$1:F$400,0)),F$2,)</f>
        <v>0</v>
      </c>
      <c r="G266" s="155">
        <f ca="1">IF(ISNUMBER(MATCH(DATEVALUE($A266),'recurring1_based on steps'!G$1:G$400,0)),G$2,)</f>
        <v>0</v>
      </c>
      <c r="H266" s="155">
        <f ca="1">IF(ISNUMBER(MATCH(DATEVALUE($A266),'recurring1_based on steps'!H$1:H$400,0)),H$2,)</f>
        <v>0</v>
      </c>
      <c r="I266" s="155">
        <f ca="1">IF(ISNUMBER(MATCH(DATEVALUE($A266),'recurring1_based on steps'!I$1:I$400,0)),I$2,)</f>
        <v>0</v>
      </c>
      <c r="J266" s="155">
        <f ca="1">IF(ISNUMBER(MATCH(DATEVALUE($A266),'recurring1_based on steps'!J$1:J$400,0)),J$2,)</f>
        <v>0</v>
      </c>
      <c r="K266" s="155">
        <f ca="1">IF(ISNUMBER(MATCH(DATEVALUE($A266),'recurring1_based on steps'!K$1:K$400,0)),K$2,)</f>
        <v>0</v>
      </c>
      <c r="L266" s="155">
        <f ca="1">IF(ISNUMBER(MATCH(DATEVALUE($A266),'recurring1_based on steps'!L$1:L$400,0)),L$2,)</f>
        <v>0</v>
      </c>
      <c r="M266" s="155">
        <f ca="1">IF(ISNUMBER(MATCH(DATEVALUE($A266),'recurring1_based on steps'!M$1:M$400,0)),M$2,)</f>
        <v>0</v>
      </c>
      <c r="N266" s="155">
        <f ca="1">IF(ISNUMBER(MATCH(DATEVALUE($A266),'recurring1_based on steps'!N$1:N$400,0)),N$2,)</f>
        <v>0</v>
      </c>
      <c r="O266" s="155">
        <f ca="1">IF(ISNUMBER(MATCH(DATEVALUE($A266),'recurring1_based on steps'!O$1:O$400,0)),O$2,)</f>
        <v>0</v>
      </c>
      <c r="P266" s="155">
        <f ca="1">IF(ISNUMBER(MATCH(DATEVALUE($A266),'recurring1_based on steps'!P$1:P$400,0)),P$2,)</f>
        <v>0</v>
      </c>
      <c r="Q266" s="155">
        <f ca="1">IF(ISNUMBER(MATCH(DATEVALUE($A266),'recurring1_based on steps'!Q$1:Q$400,0)),Q$2,)</f>
        <v>0</v>
      </c>
      <c r="R266" s="155">
        <f ca="1">IF(ISNUMBER(MATCH(DATEVALUE($A266),'recurring1_based on steps'!R$1:R$400,0)),R$2,)</f>
        <v>0</v>
      </c>
      <c r="S266" s="155">
        <f ca="1">IF(ISNUMBER(MATCH(DATEVALUE($A266),'recurring1_based on steps'!S$1:S$400,0)),S$2,)</f>
        <v>0</v>
      </c>
      <c r="T266" s="155">
        <f ca="1">IF(ISNUMBER(MATCH(DATEVALUE($A266),'recurring1_based on steps'!T$1:T$400,0)),T$2,)</f>
        <v>0</v>
      </c>
      <c r="U266" s="155">
        <f ca="1">IF(ISNUMBER(MATCH(DATEVALUE($A266),'recurring1_based on steps'!U$1:U$400,0)),U$2,)</f>
        <v>0</v>
      </c>
      <c r="V266" s="155">
        <f ca="1">IF(ISNUMBER(MATCH(DATEVALUE($A266),'recurring1_based on steps'!V$1:V$400,0)),V$2,)</f>
        <v>0</v>
      </c>
      <c r="W266" s="155">
        <f ca="1">IF(ISNUMBER(MATCH(DATEVALUE($A266),'recurring1_based on steps'!W$1:W$400,0)),W$2,)</f>
        <v>0</v>
      </c>
      <c r="X266" s="155">
        <f ca="1">IF(ISNUMBER(MATCH(DATEVALUE($A266),'recurring1_based on steps'!X$1:X$400,0)),X$2,)</f>
        <v>0</v>
      </c>
      <c r="Y266" s="155">
        <f ca="1">IF(ISNUMBER(MATCH(DATEVALUE($A266),'recurring1_based on steps'!Y$1:Y$400,0)),Y$2,)</f>
        <v>0</v>
      </c>
      <c r="Z266" s="155">
        <f ca="1">IF(ISNUMBER(MATCH(DATEVALUE($A266),'recurring1_based on steps'!Z$1:Z$400,0)),Z$2,)</f>
        <v>0</v>
      </c>
      <c r="AA266" s="155">
        <f ca="1">IF(ISNUMBER(MATCH(DATEVALUE($A266),'recurring1_based on steps'!AA$1:AA$400,0)),AA$2,)</f>
        <v>0</v>
      </c>
      <c r="AB266" s="155">
        <f ca="1">IF(ISNUMBER(MATCH(DATEVALUE($A266),'recurring1_based on steps'!AB$1:AB$400,0)),AB$2,)</f>
        <v>0</v>
      </c>
      <c r="AC266" s="155">
        <f ca="1">IF(ISNUMBER(MATCH(DATEVALUE($A266),'recurring1_based on steps'!AC$1:AC$400,0)),AC$2,)</f>
        <v>0</v>
      </c>
      <c r="AD266" s="155">
        <f ca="1">IF(ISNUMBER(MATCH(DATEVALUE($A266),'recurring1_based on steps'!AD$1:AD$400,0)),AD$2,)</f>
        <v>0</v>
      </c>
      <c r="AE266" s="155">
        <f ca="1">IF(ISNUMBER(MATCH(DATEVALUE($A266),'recurring1_based on steps'!AE$1:AE$400,0)),AE$2,)</f>
        <v>0</v>
      </c>
      <c r="AF266" s="155">
        <f ca="1">IF(ISNUMBER(MATCH(DATEVALUE($A266),'recurring1_based on steps'!AF$1:AF$400,0)),AF$2,)</f>
        <v>0</v>
      </c>
      <c r="AG266" s="155">
        <f ca="1">IF(ISNUMBER(MATCH(DATEVALUE($A266),'recurring1_based on steps'!AG$1:AG$400,0)),AG$2,)</f>
        <v>0</v>
      </c>
      <c r="AH266" s="155">
        <f ca="1">IF(ISNUMBER(MATCH(DATEVALUE($A266),'recurring1_based on steps'!AH$1:AH$400,0)),AH$2,)</f>
        <v>0</v>
      </c>
      <c r="AI266" s="155">
        <f ca="1">IF(ISNUMBER(MATCH(DATEVALUE($A266),'recurring1_based on steps'!AI$1:AI$400,0)),AI$2,)</f>
        <v>0</v>
      </c>
      <c r="AJ266" s="155">
        <f ca="1">IF(ISNUMBER(MATCH(DATEVALUE($A266),'recurring1_based on steps'!AJ$1:AJ$400,0)),AJ$2,)</f>
        <v>0</v>
      </c>
      <c r="AK266" s="155">
        <f ca="1">IF(ISNUMBER(MATCH(DATEVALUE($A266),'recurring1_based on steps'!AK$1:AK$400,0)),AK$2,)</f>
        <v>0</v>
      </c>
      <c r="AL266" s="155">
        <f ca="1">IF(ISNUMBER(MATCH(DATEVALUE($A266),'recurring1_based on steps'!AL$1:AL$400,0)),AL$2,)</f>
        <v>0</v>
      </c>
      <c r="AM266" s="155">
        <f ca="1">IF(ISNUMBER(MATCH(DATEVALUE($A266),'recurring1_based on steps'!AM$1:AM$400,0)),AM$2,)</f>
        <v>0</v>
      </c>
      <c r="AN266" s="155">
        <f ca="1">IF(ISNUMBER(MATCH(DATEVALUE($A266),'recurring1_based on steps'!AN$1:AN$400,0)),AN$2,)</f>
        <v>0</v>
      </c>
      <c r="AO266" s="155">
        <f ca="1">IF(ISNUMBER(MATCH(DATEVALUE($A266),'recurring1_based on steps'!AO$1:AO$400,0)),AO$2,)</f>
        <v>0</v>
      </c>
      <c r="AP266" s="155">
        <f ca="1">IF(ISNUMBER(MATCH(DATEVALUE($A266),'recurring1_based on steps'!AP$1:AP$400,0)),AP$2,)</f>
        <v>0</v>
      </c>
      <c r="AQ266" s="155">
        <f ca="1">IF(ISNUMBER(MATCH(DATEVALUE($A266),'recurring1_based on steps'!AQ$1:AQ$400,0)),AQ$2,)</f>
        <v>0</v>
      </c>
      <c r="AR266" s="155">
        <f ca="1">IF(ISNUMBER(MATCH(DATEVALUE($A266),'recurring1_based on steps'!AR$1:AR$400,0)),AR$2,)</f>
        <v>0</v>
      </c>
      <c r="AS266" s="155">
        <f ca="1">IF(ISNUMBER(MATCH(DATEVALUE($A266),'recurring1_based on steps'!AS$1:AS$400,0)),AS$2,)</f>
        <v>0</v>
      </c>
      <c r="AT266" s="155">
        <f ca="1">IF(ISNUMBER(MATCH(DATEVALUE($A266),'recurring1_based on steps'!AT$1:AT$400,0)),AT$2,)</f>
        <v>0</v>
      </c>
      <c r="AU266" s="155">
        <f ca="1">IF(ISNUMBER(MATCH(DATEVALUE($A266),'recurring1_based on steps'!AU$1:AU$400,0)),AU$2,)</f>
        <v>0</v>
      </c>
      <c r="AV266" s="155">
        <f ca="1">IF(ISNUMBER(MATCH(DATEVALUE($A266),'recurring1_based on steps'!AV$1:AV$400,0)),AV$2,)</f>
        <v>0</v>
      </c>
      <c r="AW266" s="155">
        <f ca="1">IF(ISNUMBER(MATCH(DATEVALUE($A266),'recurring1_based on steps'!AW$1:AW$400,0)),AW$2,)</f>
        <v>0</v>
      </c>
      <c r="AX266" s="155">
        <f ca="1">IF(ISNUMBER(MATCH(DATEVALUE($A266),'recurring1_based on steps'!AX$1:AX$400,0)),AX$2,)</f>
        <v>0</v>
      </c>
      <c r="AY266" s="155">
        <f ca="1">IF(ISNUMBER(MATCH(DATEVALUE($A266),'recurring1_based on steps'!AY$1:AY$400,0)),AY$2,)</f>
        <v>0</v>
      </c>
    </row>
    <row r="267" spans="1:51" x14ac:dyDescent="0.2">
      <c r="A267" s="18" t="str">
        <f t="shared" ca="1" si="4"/>
        <v>2025-10-23</v>
      </c>
      <c r="B267" s="155">
        <f ca="1">IF(ISNUMBER(MATCH(DATEVALUE($A267),'recurring1_based on steps'!B$1:B$400,0)),B$2,)</f>
        <v>0</v>
      </c>
      <c r="C267" s="155">
        <f ca="1">IF(ISNUMBER(MATCH(DATEVALUE($A267),'recurring1_based on steps'!C$1:C$400,0)),C$2,)</f>
        <v>0</v>
      </c>
      <c r="D267" s="155">
        <f ca="1">IF(ISNUMBER(MATCH(DATEVALUE($A267),'recurring1_based on steps'!D$1:D$400,0)),D$2,)</f>
        <v>0</v>
      </c>
      <c r="E267" s="155">
        <f ca="1">IF(ISNUMBER(MATCH(DATEVALUE($A267),'recurring1_based on steps'!E$1:E$400,0)),E$2,)</f>
        <v>0</v>
      </c>
      <c r="F267" s="155">
        <f ca="1">IF(ISNUMBER(MATCH(DATEVALUE($A267),'recurring1_based on steps'!F$1:F$400,0)),F$2,)</f>
        <v>0</v>
      </c>
      <c r="G267" s="155">
        <f ca="1">IF(ISNUMBER(MATCH(DATEVALUE($A267),'recurring1_based on steps'!G$1:G$400,0)),G$2,)</f>
        <v>0</v>
      </c>
      <c r="H267" s="155">
        <f ca="1">IF(ISNUMBER(MATCH(DATEVALUE($A267),'recurring1_based on steps'!H$1:H$400,0)),H$2,)</f>
        <v>0</v>
      </c>
      <c r="I267" s="155">
        <f ca="1">IF(ISNUMBER(MATCH(DATEVALUE($A267),'recurring1_based on steps'!I$1:I$400,0)),I$2,)</f>
        <v>0</v>
      </c>
      <c r="J267" s="155">
        <f ca="1">IF(ISNUMBER(MATCH(DATEVALUE($A267),'recurring1_based on steps'!J$1:J$400,0)),J$2,)</f>
        <v>0</v>
      </c>
      <c r="K267" s="155">
        <f ca="1">IF(ISNUMBER(MATCH(DATEVALUE($A267),'recurring1_based on steps'!K$1:K$400,0)),K$2,)</f>
        <v>0</v>
      </c>
      <c r="L267" s="155">
        <f ca="1">IF(ISNUMBER(MATCH(DATEVALUE($A267),'recurring1_based on steps'!L$1:L$400,0)),L$2,)</f>
        <v>0</v>
      </c>
      <c r="M267" s="155">
        <f ca="1">IF(ISNUMBER(MATCH(DATEVALUE($A267),'recurring1_based on steps'!M$1:M$400,0)),M$2,)</f>
        <v>0</v>
      </c>
      <c r="N267" s="155">
        <f ca="1">IF(ISNUMBER(MATCH(DATEVALUE($A267),'recurring1_based on steps'!N$1:N$400,0)),N$2,)</f>
        <v>0</v>
      </c>
      <c r="O267" s="155">
        <f ca="1">IF(ISNUMBER(MATCH(DATEVALUE($A267),'recurring1_based on steps'!O$1:O$400,0)),O$2,)</f>
        <v>0</v>
      </c>
      <c r="P267" s="155">
        <f ca="1">IF(ISNUMBER(MATCH(DATEVALUE($A267),'recurring1_based on steps'!P$1:P$400,0)),P$2,)</f>
        <v>0</v>
      </c>
      <c r="Q267" s="155">
        <f ca="1">IF(ISNUMBER(MATCH(DATEVALUE($A267),'recurring1_based on steps'!Q$1:Q$400,0)),Q$2,)</f>
        <v>0</v>
      </c>
      <c r="R267" s="155">
        <f ca="1">IF(ISNUMBER(MATCH(DATEVALUE($A267),'recurring1_based on steps'!R$1:R$400,0)),R$2,)</f>
        <v>0</v>
      </c>
      <c r="S267" s="155">
        <f ca="1">IF(ISNUMBER(MATCH(DATEVALUE($A267),'recurring1_based on steps'!S$1:S$400,0)),S$2,)</f>
        <v>0</v>
      </c>
      <c r="T267" s="155">
        <f ca="1">IF(ISNUMBER(MATCH(DATEVALUE($A267),'recurring1_based on steps'!T$1:T$400,0)),T$2,)</f>
        <v>0</v>
      </c>
      <c r="U267" s="155">
        <f ca="1">IF(ISNUMBER(MATCH(DATEVALUE($A267),'recurring1_based on steps'!U$1:U$400,0)),U$2,)</f>
        <v>0</v>
      </c>
      <c r="V267" s="155">
        <f ca="1">IF(ISNUMBER(MATCH(DATEVALUE($A267),'recurring1_based on steps'!V$1:V$400,0)),V$2,)</f>
        <v>0</v>
      </c>
      <c r="W267" s="155">
        <f ca="1">IF(ISNUMBER(MATCH(DATEVALUE($A267),'recurring1_based on steps'!W$1:W$400,0)),W$2,)</f>
        <v>0</v>
      </c>
      <c r="X267" s="155">
        <f ca="1">IF(ISNUMBER(MATCH(DATEVALUE($A267),'recurring1_based on steps'!X$1:X$400,0)),X$2,)</f>
        <v>0</v>
      </c>
      <c r="Y267" s="155">
        <f ca="1">IF(ISNUMBER(MATCH(DATEVALUE($A267),'recurring1_based on steps'!Y$1:Y$400,0)),Y$2,)</f>
        <v>0</v>
      </c>
      <c r="Z267" s="155">
        <f ca="1">IF(ISNUMBER(MATCH(DATEVALUE($A267),'recurring1_based on steps'!Z$1:Z$400,0)),Z$2,)</f>
        <v>0</v>
      </c>
      <c r="AA267" s="155">
        <f ca="1">IF(ISNUMBER(MATCH(DATEVALUE($A267),'recurring1_based on steps'!AA$1:AA$400,0)),AA$2,)</f>
        <v>0</v>
      </c>
      <c r="AB267" s="155">
        <f ca="1">IF(ISNUMBER(MATCH(DATEVALUE($A267),'recurring1_based on steps'!AB$1:AB$400,0)),AB$2,)</f>
        <v>0</v>
      </c>
      <c r="AC267" s="155">
        <f ca="1">IF(ISNUMBER(MATCH(DATEVALUE($A267),'recurring1_based on steps'!AC$1:AC$400,0)),AC$2,)</f>
        <v>0</v>
      </c>
      <c r="AD267" s="155">
        <f ca="1">IF(ISNUMBER(MATCH(DATEVALUE($A267),'recurring1_based on steps'!AD$1:AD$400,0)),AD$2,)</f>
        <v>0</v>
      </c>
      <c r="AE267" s="155">
        <f ca="1">IF(ISNUMBER(MATCH(DATEVALUE($A267),'recurring1_based on steps'!AE$1:AE$400,0)),AE$2,)</f>
        <v>0</v>
      </c>
      <c r="AF267" s="155">
        <f ca="1">IF(ISNUMBER(MATCH(DATEVALUE($A267),'recurring1_based on steps'!AF$1:AF$400,0)),AF$2,)</f>
        <v>0</v>
      </c>
      <c r="AG267" s="155">
        <f ca="1">IF(ISNUMBER(MATCH(DATEVALUE($A267),'recurring1_based on steps'!AG$1:AG$400,0)),AG$2,)</f>
        <v>0</v>
      </c>
      <c r="AH267" s="155">
        <f ca="1">IF(ISNUMBER(MATCH(DATEVALUE($A267),'recurring1_based on steps'!AH$1:AH$400,0)),AH$2,)</f>
        <v>0</v>
      </c>
      <c r="AI267" s="155">
        <f ca="1">IF(ISNUMBER(MATCH(DATEVALUE($A267),'recurring1_based on steps'!AI$1:AI$400,0)),AI$2,)</f>
        <v>0</v>
      </c>
      <c r="AJ267" s="155">
        <f ca="1">IF(ISNUMBER(MATCH(DATEVALUE($A267),'recurring1_based on steps'!AJ$1:AJ$400,0)),AJ$2,)</f>
        <v>0</v>
      </c>
      <c r="AK267" s="155">
        <f ca="1">IF(ISNUMBER(MATCH(DATEVALUE($A267),'recurring1_based on steps'!AK$1:AK$400,0)),AK$2,)</f>
        <v>0</v>
      </c>
      <c r="AL267" s="155">
        <f ca="1">IF(ISNUMBER(MATCH(DATEVALUE($A267),'recurring1_based on steps'!AL$1:AL$400,0)),AL$2,)</f>
        <v>0</v>
      </c>
      <c r="AM267" s="155">
        <f ca="1">IF(ISNUMBER(MATCH(DATEVALUE($A267),'recurring1_based on steps'!AM$1:AM$400,0)),AM$2,)</f>
        <v>0</v>
      </c>
      <c r="AN267" s="155">
        <f ca="1">IF(ISNUMBER(MATCH(DATEVALUE($A267),'recurring1_based on steps'!AN$1:AN$400,0)),AN$2,)</f>
        <v>0</v>
      </c>
      <c r="AO267" s="155">
        <f ca="1">IF(ISNUMBER(MATCH(DATEVALUE($A267),'recurring1_based on steps'!AO$1:AO$400,0)),AO$2,)</f>
        <v>0</v>
      </c>
      <c r="AP267" s="155">
        <f ca="1">IF(ISNUMBER(MATCH(DATEVALUE($A267),'recurring1_based on steps'!AP$1:AP$400,0)),AP$2,)</f>
        <v>0</v>
      </c>
      <c r="AQ267" s="155">
        <f ca="1">IF(ISNUMBER(MATCH(DATEVALUE($A267),'recurring1_based on steps'!AQ$1:AQ$400,0)),AQ$2,)</f>
        <v>0</v>
      </c>
      <c r="AR267" s="155">
        <f ca="1">IF(ISNUMBER(MATCH(DATEVALUE($A267),'recurring1_based on steps'!AR$1:AR$400,0)),AR$2,)</f>
        <v>0</v>
      </c>
      <c r="AS267" s="155">
        <f ca="1">IF(ISNUMBER(MATCH(DATEVALUE($A267),'recurring1_based on steps'!AS$1:AS$400,0)),AS$2,)</f>
        <v>0</v>
      </c>
      <c r="AT267" s="155">
        <f ca="1">IF(ISNUMBER(MATCH(DATEVALUE($A267),'recurring1_based on steps'!AT$1:AT$400,0)),AT$2,)</f>
        <v>0</v>
      </c>
      <c r="AU267" s="155">
        <f ca="1">IF(ISNUMBER(MATCH(DATEVALUE($A267),'recurring1_based on steps'!AU$1:AU$400,0)),AU$2,)</f>
        <v>0</v>
      </c>
      <c r="AV267" s="155">
        <f ca="1">IF(ISNUMBER(MATCH(DATEVALUE($A267),'recurring1_based on steps'!AV$1:AV$400,0)),AV$2,)</f>
        <v>0</v>
      </c>
      <c r="AW267" s="155">
        <f ca="1">IF(ISNUMBER(MATCH(DATEVALUE($A267),'recurring1_based on steps'!AW$1:AW$400,0)),AW$2,)</f>
        <v>0</v>
      </c>
      <c r="AX267" s="155">
        <f ca="1">IF(ISNUMBER(MATCH(DATEVALUE($A267),'recurring1_based on steps'!AX$1:AX$400,0)),AX$2,)</f>
        <v>0</v>
      </c>
      <c r="AY267" s="155">
        <f ca="1">IF(ISNUMBER(MATCH(DATEVALUE($A267),'recurring1_based on steps'!AY$1:AY$400,0)),AY$2,)</f>
        <v>0</v>
      </c>
    </row>
    <row r="268" spans="1:51" x14ac:dyDescent="0.2">
      <c r="A268" s="18" t="str">
        <f t="shared" ca="1" si="4"/>
        <v>2025-10-24</v>
      </c>
      <c r="B268" s="155">
        <f ca="1">IF(ISNUMBER(MATCH(DATEVALUE($A268),'recurring1_based on steps'!B$1:B$400,0)),B$2,)</f>
        <v>0</v>
      </c>
      <c r="C268" s="155">
        <f ca="1">IF(ISNUMBER(MATCH(DATEVALUE($A268),'recurring1_based on steps'!C$1:C$400,0)),C$2,)</f>
        <v>0</v>
      </c>
      <c r="D268" s="155">
        <f ca="1">IF(ISNUMBER(MATCH(DATEVALUE($A268),'recurring1_based on steps'!D$1:D$400,0)),D$2,)</f>
        <v>0</v>
      </c>
      <c r="E268" s="155">
        <f ca="1">IF(ISNUMBER(MATCH(DATEVALUE($A268),'recurring1_based on steps'!E$1:E$400,0)),E$2,)</f>
        <v>0</v>
      </c>
      <c r="F268" s="155">
        <f ca="1">IF(ISNUMBER(MATCH(DATEVALUE($A268),'recurring1_based on steps'!F$1:F$400,0)),F$2,)</f>
        <v>0</v>
      </c>
      <c r="G268" s="155">
        <f ca="1">IF(ISNUMBER(MATCH(DATEVALUE($A268),'recurring1_based on steps'!G$1:G$400,0)),G$2,)</f>
        <v>0</v>
      </c>
      <c r="H268" s="155">
        <f ca="1">IF(ISNUMBER(MATCH(DATEVALUE($A268),'recurring1_based on steps'!H$1:H$400,0)),H$2,)</f>
        <v>0</v>
      </c>
      <c r="I268" s="155">
        <f ca="1">IF(ISNUMBER(MATCH(DATEVALUE($A268),'recurring1_based on steps'!I$1:I$400,0)),I$2,)</f>
        <v>0</v>
      </c>
      <c r="J268" s="155">
        <f ca="1">IF(ISNUMBER(MATCH(DATEVALUE($A268),'recurring1_based on steps'!J$1:J$400,0)),J$2,)</f>
        <v>0</v>
      </c>
      <c r="K268" s="155">
        <f ca="1">IF(ISNUMBER(MATCH(DATEVALUE($A268),'recurring1_based on steps'!K$1:K$400,0)),K$2,)</f>
        <v>0</v>
      </c>
      <c r="L268" s="155">
        <f ca="1">IF(ISNUMBER(MATCH(DATEVALUE($A268),'recurring1_based on steps'!L$1:L$400,0)),L$2,)</f>
        <v>0</v>
      </c>
      <c r="M268" s="155">
        <f ca="1">IF(ISNUMBER(MATCH(DATEVALUE($A268),'recurring1_based on steps'!M$1:M$400,0)),M$2,)</f>
        <v>0</v>
      </c>
      <c r="N268" s="155">
        <f ca="1">IF(ISNUMBER(MATCH(DATEVALUE($A268),'recurring1_based on steps'!N$1:N$400,0)),N$2,)</f>
        <v>0</v>
      </c>
      <c r="O268" s="155">
        <f ca="1">IF(ISNUMBER(MATCH(DATEVALUE($A268),'recurring1_based on steps'!O$1:O$400,0)),O$2,)</f>
        <v>0</v>
      </c>
      <c r="P268" s="155">
        <f ca="1">IF(ISNUMBER(MATCH(DATEVALUE($A268),'recurring1_based on steps'!P$1:P$400,0)),P$2,)</f>
        <v>0</v>
      </c>
      <c r="Q268" s="155">
        <f ca="1">IF(ISNUMBER(MATCH(DATEVALUE($A268),'recurring1_based on steps'!Q$1:Q$400,0)),Q$2,)</f>
        <v>0</v>
      </c>
      <c r="R268" s="155">
        <f ca="1">IF(ISNUMBER(MATCH(DATEVALUE($A268),'recurring1_based on steps'!R$1:R$400,0)),R$2,)</f>
        <v>0</v>
      </c>
      <c r="S268" s="155">
        <f ca="1">IF(ISNUMBER(MATCH(DATEVALUE($A268),'recurring1_based on steps'!S$1:S$400,0)),S$2,)</f>
        <v>0</v>
      </c>
      <c r="T268" s="155">
        <f ca="1">IF(ISNUMBER(MATCH(DATEVALUE($A268),'recurring1_based on steps'!T$1:T$400,0)),T$2,)</f>
        <v>0</v>
      </c>
      <c r="U268" s="155">
        <f ca="1">IF(ISNUMBER(MATCH(DATEVALUE($A268),'recurring1_based on steps'!U$1:U$400,0)),U$2,)</f>
        <v>0</v>
      </c>
      <c r="V268" s="155">
        <f ca="1">IF(ISNUMBER(MATCH(DATEVALUE($A268),'recurring1_based on steps'!V$1:V$400,0)),V$2,)</f>
        <v>0</v>
      </c>
      <c r="W268" s="155">
        <f ca="1">IF(ISNUMBER(MATCH(DATEVALUE($A268),'recurring1_based on steps'!W$1:W$400,0)),W$2,)</f>
        <v>0</v>
      </c>
      <c r="X268" s="155">
        <f ca="1">IF(ISNUMBER(MATCH(DATEVALUE($A268),'recurring1_based on steps'!X$1:X$400,0)),X$2,)</f>
        <v>0</v>
      </c>
      <c r="Y268" s="155">
        <f ca="1">IF(ISNUMBER(MATCH(DATEVALUE($A268),'recurring1_based on steps'!Y$1:Y$400,0)),Y$2,)</f>
        <v>0</v>
      </c>
      <c r="Z268" s="155">
        <f ca="1">IF(ISNUMBER(MATCH(DATEVALUE($A268),'recurring1_based on steps'!Z$1:Z$400,0)),Z$2,)</f>
        <v>0</v>
      </c>
      <c r="AA268" s="155">
        <f ca="1">IF(ISNUMBER(MATCH(DATEVALUE($A268),'recurring1_based on steps'!AA$1:AA$400,0)),AA$2,)</f>
        <v>0</v>
      </c>
      <c r="AB268" s="155">
        <f ca="1">IF(ISNUMBER(MATCH(DATEVALUE($A268),'recurring1_based on steps'!AB$1:AB$400,0)),AB$2,)</f>
        <v>0</v>
      </c>
      <c r="AC268" s="155">
        <f ca="1">IF(ISNUMBER(MATCH(DATEVALUE($A268),'recurring1_based on steps'!AC$1:AC$400,0)),AC$2,)</f>
        <v>0</v>
      </c>
      <c r="AD268" s="155">
        <f ca="1">IF(ISNUMBER(MATCH(DATEVALUE($A268),'recurring1_based on steps'!AD$1:AD$400,0)),AD$2,)</f>
        <v>0</v>
      </c>
      <c r="AE268" s="155">
        <f ca="1">IF(ISNUMBER(MATCH(DATEVALUE($A268),'recurring1_based on steps'!AE$1:AE$400,0)),AE$2,)</f>
        <v>0</v>
      </c>
      <c r="AF268" s="155">
        <f ca="1">IF(ISNUMBER(MATCH(DATEVALUE($A268),'recurring1_based on steps'!AF$1:AF$400,0)),AF$2,)</f>
        <v>0</v>
      </c>
      <c r="AG268" s="155">
        <f ca="1">IF(ISNUMBER(MATCH(DATEVALUE($A268),'recurring1_based on steps'!AG$1:AG$400,0)),AG$2,)</f>
        <v>0</v>
      </c>
      <c r="AH268" s="155">
        <f ca="1">IF(ISNUMBER(MATCH(DATEVALUE($A268),'recurring1_based on steps'!AH$1:AH$400,0)),AH$2,)</f>
        <v>0</v>
      </c>
      <c r="AI268" s="155">
        <f ca="1">IF(ISNUMBER(MATCH(DATEVALUE($A268),'recurring1_based on steps'!AI$1:AI$400,0)),AI$2,)</f>
        <v>0</v>
      </c>
      <c r="AJ268" s="155">
        <f ca="1">IF(ISNUMBER(MATCH(DATEVALUE($A268),'recurring1_based on steps'!AJ$1:AJ$400,0)),AJ$2,)</f>
        <v>0</v>
      </c>
      <c r="AK268" s="155">
        <f ca="1">IF(ISNUMBER(MATCH(DATEVALUE($A268),'recurring1_based on steps'!AK$1:AK$400,0)),AK$2,)</f>
        <v>0</v>
      </c>
      <c r="AL268" s="155">
        <f ca="1">IF(ISNUMBER(MATCH(DATEVALUE($A268),'recurring1_based on steps'!AL$1:AL$400,0)),AL$2,)</f>
        <v>0</v>
      </c>
      <c r="AM268" s="155">
        <f ca="1">IF(ISNUMBER(MATCH(DATEVALUE($A268),'recurring1_based on steps'!AM$1:AM$400,0)),AM$2,)</f>
        <v>0</v>
      </c>
      <c r="AN268" s="155">
        <f ca="1">IF(ISNUMBER(MATCH(DATEVALUE($A268),'recurring1_based on steps'!AN$1:AN$400,0)),AN$2,)</f>
        <v>0</v>
      </c>
      <c r="AO268" s="155">
        <f ca="1">IF(ISNUMBER(MATCH(DATEVALUE($A268),'recurring1_based on steps'!AO$1:AO$400,0)),AO$2,)</f>
        <v>0</v>
      </c>
      <c r="AP268" s="155">
        <f ca="1">IF(ISNUMBER(MATCH(DATEVALUE($A268),'recurring1_based on steps'!AP$1:AP$400,0)),AP$2,)</f>
        <v>0</v>
      </c>
      <c r="AQ268" s="155">
        <f ca="1">IF(ISNUMBER(MATCH(DATEVALUE($A268),'recurring1_based on steps'!AQ$1:AQ$400,0)),AQ$2,)</f>
        <v>0</v>
      </c>
      <c r="AR268" s="155">
        <f ca="1">IF(ISNUMBER(MATCH(DATEVALUE($A268),'recurring1_based on steps'!AR$1:AR$400,0)),AR$2,)</f>
        <v>0</v>
      </c>
      <c r="AS268" s="155">
        <f ca="1">IF(ISNUMBER(MATCH(DATEVALUE($A268),'recurring1_based on steps'!AS$1:AS$400,0)),AS$2,)</f>
        <v>0</v>
      </c>
      <c r="AT268" s="155">
        <f ca="1">IF(ISNUMBER(MATCH(DATEVALUE($A268),'recurring1_based on steps'!AT$1:AT$400,0)),AT$2,)</f>
        <v>0</v>
      </c>
      <c r="AU268" s="155">
        <f ca="1">IF(ISNUMBER(MATCH(DATEVALUE($A268),'recurring1_based on steps'!AU$1:AU$400,0)),AU$2,)</f>
        <v>0</v>
      </c>
      <c r="AV268" s="155">
        <f ca="1">IF(ISNUMBER(MATCH(DATEVALUE($A268),'recurring1_based on steps'!AV$1:AV$400,0)),AV$2,)</f>
        <v>0</v>
      </c>
      <c r="AW268" s="155">
        <f ca="1">IF(ISNUMBER(MATCH(DATEVALUE($A268),'recurring1_based on steps'!AW$1:AW$400,0)),AW$2,)</f>
        <v>0</v>
      </c>
      <c r="AX268" s="155">
        <f ca="1">IF(ISNUMBER(MATCH(DATEVALUE($A268),'recurring1_based on steps'!AX$1:AX$400,0)),AX$2,)</f>
        <v>0</v>
      </c>
      <c r="AY268" s="155">
        <f ca="1">IF(ISNUMBER(MATCH(DATEVALUE($A268),'recurring1_based on steps'!AY$1:AY$400,0)),AY$2,)</f>
        <v>0</v>
      </c>
    </row>
    <row r="269" spans="1:51" x14ac:dyDescent="0.2">
      <c r="A269" s="18" t="str">
        <f t="shared" ca="1" si="4"/>
        <v>2025-10-25</v>
      </c>
      <c r="B269" s="155">
        <f ca="1">IF(ISNUMBER(MATCH(DATEVALUE($A269),'recurring1_based on steps'!B$1:B$400,0)),B$2,)</f>
        <v>0</v>
      </c>
      <c r="C269" s="155">
        <f ca="1">IF(ISNUMBER(MATCH(DATEVALUE($A269),'recurring1_based on steps'!C$1:C$400,0)),C$2,)</f>
        <v>0</v>
      </c>
      <c r="D269" s="155">
        <f ca="1">IF(ISNUMBER(MATCH(DATEVALUE($A269),'recurring1_based on steps'!D$1:D$400,0)),D$2,)</f>
        <v>0</v>
      </c>
      <c r="E269" s="155">
        <f ca="1">IF(ISNUMBER(MATCH(DATEVALUE($A269),'recurring1_based on steps'!E$1:E$400,0)),E$2,)</f>
        <v>0</v>
      </c>
      <c r="F269" s="155">
        <f ca="1">IF(ISNUMBER(MATCH(DATEVALUE($A269),'recurring1_based on steps'!F$1:F$400,0)),F$2,)</f>
        <v>0</v>
      </c>
      <c r="G269" s="155">
        <f ca="1">IF(ISNUMBER(MATCH(DATEVALUE($A269),'recurring1_based on steps'!G$1:G$400,0)),G$2,)</f>
        <v>0</v>
      </c>
      <c r="H269" s="155">
        <f ca="1">IF(ISNUMBER(MATCH(DATEVALUE($A269),'recurring1_based on steps'!H$1:H$400,0)),H$2,)</f>
        <v>0</v>
      </c>
      <c r="I269" s="155">
        <f ca="1">IF(ISNUMBER(MATCH(DATEVALUE($A269),'recurring1_based on steps'!I$1:I$400,0)),I$2,)</f>
        <v>0</v>
      </c>
      <c r="J269" s="155">
        <f ca="1">IF(ISNUMBER(MATCH(DATEVALUE($A269),'recurring1_based on steps'!J$1:J$400,0)),J$2,)</f>
        <v>0</v>
      </c>
      <c r="K269" s="155">
        <f ca="1">IF(ISNUMBER(MATCH(DATEVALUE($A269),'recurring1_based on steps'!K$1:K$400,0)),K$2,)</f>
        <v>0</v>
      </c>
      <c r="L269" s="155">
        <f ca="1">IF(ISNUMBER(MATCH(DATEVALUE($A269),'recurring1_based on steps'!L$1:L$400,0)),L$2,)</f>
        <v>0</v>
      </c>
      <c r="M269" s="155">
        <f ca="1">IF(ISNUMBER(MATCH(DATEVALUE($A269),'recurring1_based on steps'!M$1:M$400,0)),M$2,)</f>
        <v>0</v>
      </c>
      <c r="N269" s="155">
        <f ca="1">IF(ISNUMBER(MATCH(DATEVALUE($A269),'recurring1_based on steps'!N$1:N$400,0)),N$2,)</f>
        <v>0</v>
      </c>
      <c r="O269" s="155">
        <f ca="1">IF(ISNUMBER(MATCH(DATEVALUE($A269),'recurring1_based on steps'!O$1:O$400,0)),O$2,)</f>
        <v>0</v>
      </c>
      <c r="P269" s="155">
        <f ca="1">IF(ISNUMBER(MATCH(DATEVALUE($A269),'recurring1_based on steps'!P$1:P$400,0)),P$2,)</f>
        <v>0</v>
      </c>
      <c r="Q269" s="155">
        <f ca="1">IF(ISNUMBER(MATCH(DATEVALUE($A269),'recurring1_based on steps'!Q$1:Q$400,0)),Q$2,)</f>
        <v>100</v>
      </c>
      <c r="R269" s="155">
        <f ca="1">IF(ISNUMBER(MATCH(DATEVALUE($A269),'recurring1_based on steps'!R$1:R$400,0)),R$2,)</f>
        <v>100</v>
      </c>
      <c r="S269" s="155">
        <f ca="1">IF(ISNUMBER(MATCH(DATEVALUE($A269),'recurring1_based on steps'!S$1:S$400,0)),S$2,)</f>
        <v>0</v>
      </c>
      <c r="T269" s="155">
        <f ca="1">IF(ISNUMBER(MATCH(DATEVALUE($A269),'recurring1_based on steps'!T$1:T$400,0)),T$2,)</f>
        <v>0</v>
      </c>
      <c r="U269" s="155">
        <f ca="1">IF(ISNUMBER(MATCH(DATEVALUE($A269),'recurring1_based on steps'!U$1:U$400,0)),U$2,)</f>
        <v>0</v>
      </c>
      <c r="V269" s="155">
        <f ca="1">IF(ISNUMBER(MATCH(DATEVALUE($A269),'recurring1_based on steps'!V$1:V$400,0)),V$2,)</f>
        <v>0</v>
      </c>
      <c r="W269" s="155">
        <f ca="1">IF(ISNUMBER(MATCH(DATEVALUE($A269),'recurring1_based on steps'!W$1:W$400,0)),W$2,)</f>
        <v>0</v>
      </c>
      <c r="X269" s="155">
        <f ca="1">IF(ISNUMBER(MATCH(DATEVALUE($A269),'recurring1_based on steps'!X$1:X$400,0)),X$2,)</f>
        <v>0</v>
      </c>
      <c r="Y269" s="155">
        <f ca="1">IF(ISNUMBER(MATCH(DATEVALUE($A269),'recurring1_based on steps'!Y$1:Y$400,0)),Y$2,)</f>
        <v>0</v>
      </c>
      <c r="Z269" s="155">
        <f ca="1">IF(ISNUMBER(MATCH(DATEVALUE($A269),'recurring1_based on steps'!Z$1:Z$400,0)),Z$2,)</f>
        <v>0</v>
      </c>
      <c r="AA269" s="155">
        <f ca="1">IF(ISNUMBER(MATCH(DATEVALUE($A269),'recurring1_based on steps'!AA$1:AA$400,0)),AA$2,)</f>
        <v>0</v>
      </c>
      <c r="AB269" s="155">
        <f ca="1">IF(ISNUMBER(MATCH(DATEVALUE($A269),'recurring1_based on steps'!AB$1:AB$400,0)),AB$2,)</f>
        <v>0</v>
      </c>
      <c r="AC269" s="155">
        <f ca="1">IF(ISNUMBER(MATCH(DATEVALUE($A269),'recurring1_based on steps'!AC$1:AC$400,0)),AC$2,)</f>
        <v>0</v>
      </c>
      <c r="AD269" s="155">
        <f ca="1">IF(ISNUMBER(MATCH(DATEVALUE($A269),'recurring1_based on steps'!AD$1:AD$400,0)),AD$2,)</f>
        <v>0</v>
      </c>
      <c r="AE269" s="155">
        <f ca="1">IF(ISNUMBER(MATCH(DATEVALUE($A269),'recurring1_based on steps'!AE$1:AE$400,0)),AE$2,)</f>
        <v>0</v>
      </c>
      <c r="AF269" s="155">
        <f ca="1">IF(ISNUMBER(MATCH(DATEVALUE($A269),'recurring1_based on steps'!AF$1:AF$400,0)),AF$2,)</f>
        <v>0</v>
      </c>
      <c r="AG269" s="155">
        <f ca="1">IF(ISNUMBER(MATCH(DATEVALUE($A269),'recurring1_based on steps'!AG$1:AG$400,0)),AG$2,)</f>
        <v>0</v>
      </c>
      <c r="AH269" s="155">
        <f ca="1">IF(ISNUMBER(MATCH(DATEVALUE($A269),'recurring1_based on steps'!AH$1:AH$400,0)),AH$2,)</f>
        <v>0</v>
      </c>
      <c r="AI269" s="155">
        <f ca="1">IF(ISNUMBER(MATCH(DATEVALUE($A269),'recurring1_based on steps'!AI$1:AI$400,0)),AI$2,)</f>
        <v>0</v>
      </c>
      <c r="AJ269" s="155">
        <f ca="1">IF(ISNUMBER(MATCH(DATEVALUE($A269),'recurring1_based on steps'!AJ$1:AJ$400,0)),AJ$2,)</f>
        <v>0</v>
      </c>
      <c r="AK269" s="155">
        <f ca="1">IF(ISNUMBER(MATCH(DATEVALUE($A269),'recurring1_based on steps'!AK$1:AK$400,0)),AK$2,)</f>
        <v>0</v>
      </c>
      <c r="AL269" s="155">
        <f ca="1">IF(ISNUMBER(MATCH(DATEVALUE($A269),'recurring1_based on steps'!AL$1:AL$400,0)),AL$2,)</f>
        <v>0</v>
      </c>
      <c r="AM269" s="155">
        <f ca="1">IF(ISNUMBER(MATCH(DATEVALUE($A269),'recurring1_based on steps'!AM$1:AM$400,0)),AM$2,)</f>
        <v>0</v>
      </c>
      <c r="AN269" s="155">
        <f ca="1">IF(ISNUMBER(MATCH(DATEVALUE($A269),'recurring1_based on steps'!AN$1:AN$400,0)),AN$2,)</f>
        <v>0</v>
      </c>
      <c r="AO269" s="155">
        <f ca="1">IF(ISNUMBER(MATCH(DATEVALUE($A269),'recurring1_based on steps'!AO$1:AO$400,0)),AO$2,)</f>
        <v>0</v>
      </c>
      <c r="AP269" s="155">
        <f ca="1">IF(ISNUMBER(MATCH(DATEVALUE($A269),'recurring1_based on steps'!AP$1:AP$400,0)),AP$2,)</f>
        <v>0</v>
      </c>
      <c r="AQ269" s="155">
        <f ca="1">IF(ISNUMBER(MATCH(DATEVALUE($A269),'recurring1_based on steps'!AQ$1:AQ$400,0)),AQ$2,)</f>
        <v>0</v>
      </c>
      <c r="AR269" s="155">
        <f ca="1">IF(ISNUMBER(MATCH(DATEVALUE($A269),'recurring1_based on steps'!AR$1:AR$400,0)),AR$2,)</f>
        <v>0</v>
      </c>
      <c r="AS269" s="155">
        <f ca="1">IF(ISNUMBER(MATCH(DATEVALUE($A269),'recurring1_based on steps'!AS$1:AS$400,0)),AS$2,)</f>
        <v>0</v>
      </c>
      <c r="AT269" s="155">
        <f ca="1">IF(ISNUMBER(MATCH(DATEVALUE($A269),'recurring1_based on steps'!AT$1:AT$400,0)),AT$2,)</f>
        <v>0</v>
      </c>
      <c r="AU269" s="155">
        <f ca="1">IF(ISNUMBER(MATCH(DATEVALUE($A269),'recurring1_based on steps'!AU$1:AU$400,0)),AU$2,)</f>
        <v>0</v>
      </c>
      <c r="AV269" s="155">
        <f ca="1">IF(ISNUMBER(MATCH(DATEVALUE($A269),'recurring1_based on steps'!AV$1:AV$400,0)),AV$2,)</f>
        <v>0</v>
      </c>
      <c r="AW269" s="155">
        <f ca="1">IF(ISNUMBER(MATCH(DATEVALUE($A269),'recurring1_based on steps'!AW$1:AW$400,0)),AW$2,)</f>
        <v>0</v>
      </c>
      <c r="AX269" s="155">
        <f ca="1">IF(ISNUMBER(MATCH(DATEVALUE($A269),'recurring1_based on steps'!AX$1:AX$400,0)),AX$2,)</f>
        <v>0</v>
      </c>
      <c r="AY269" s="155">
        <f ca="1">IF(ISNUMBER(MATCH(DATEVALUE($A269),'recurring1_based on steps'!AY$1:AY$400,0)),AY$2,)</f>
        <v>0</v>
      </c>
    </row>
    <row r="270" spans="1:51" x14ac:dyDescent="0.2">
      <c r="A270" s="18" t="str">
        <f t="shared" ca="1" si="4"/>
        <v>2025-10-26</v>
      </c>
      <c r="B270" s="155">
        <f ca="1">IF(ISNUMBER(MATCH(DATEVALUE($A270),'recurring1_based on steps'!B$1:B$400,0)),B$2,)</f>
        <v>0</v>
      </c>
      <c r="C270" s="155">
        <f ca="1">IF(ISNUMBER(MATCH(DATEVALUE($A270),'recurring1_based on steps'!C$1:C$400,0)),C$2,)</f>
        <v>0</v>
      </c>
      <c r="D270" s="155">
        <f ca="1">IF(ISNUMBER(MATCH(DATEVALUE($A270),'recurring1_based on steps'!D$1:D$400,0)),D$2,)</f>
        <v>0</v>
      </c>
      <c r="E270" s="155">
        <f ca="1">IF(ISNUMBER(MATCH(DATEVALUE($A270),'recurring1_based on steps'!E$1:E$400,0)),E$2,)</f>
        <v>0</v>
      </c>
      <c r="F270" s="155">
        <f ca="1">IF(ISNUMBER(MATCH(DATEVALUE($A270),'recurring1_based on steps'!F$1:F$400,0)),F$2,)</f>
        <v>0</v>
      </c>
      <c r="G270" s="155">
        <f ca="1">IF(ISNUMBER(MATCH(DATEVALUE($A270),'recurring1_based on steps'!G$1:G$400,0)),G$2,)</f>
        <v>0</v>
      </c>
      <c r="H270" s="155">
        <f ca="1">IF(ISNUMBER(MATCH(DATEVALUE($A270),'recurring1_based on steps'!H$1:H$400,0)),H$2,)</f>
        <v>0</v>
      </c>
      <c r="I270" s="155">
        <f ca="1">IF(ISNUMBER(MATCH(DATEVALUE($A270),'recurring1_based on steps'!I$1:I$400,0)),I$2,)</f>
        <v>0</v>
      </c>
      <c r="J270" s="155">
        <f ca="1">IF(ISNUMBER(MATCH(DATEVALUE($A270),'recurring1_based on steps'!J$1:J$400,0)),J$2,)</f>
        <v>0</v>
      </c>
      <c r="K270" s="155">
        <f ca="1">IF(ISNUMBER(MATCH(DATEVALUE($A270),'recurring1_based on steps'!K$1:K$400,0)),K$2,)</f>
        <v>50</v>
      </c>
      <c r="L270" s="155">
        <f ca="1">IF(ISNUMBER(MATCH(DATEVALUE($A270),'recurring1_based on steps'!L$1:L$400,0)),L$2,)</f>
        <v>0</v>
      </c>
      <c r="M270" s="155">
        <f ca="1">IF(ISNUMBER(MATCH(DATEVALUE($A270),'recurring1_based on steps'!M$1:M$400,0)),M$2,)</f>
        <v>0</v>
      </c>
      <c r="N270" s="155">
        <f ca="1">IF(ISNUMBER(MATCH(DATEVALUE($A270),'recurring1_based on steps'!N$1:N$400,0)),N$2,)</f>
        <v>0</v>
      </c>
      <c r="O270" s="155">
        <f ca="1">IF(ISNUMBER(MATCH(DATEVALUE($A270),'recurring1_based on steps'!O$1:O$400,0)),O$2,)</f>
        <v>0</v>
      </c>
      <c r="P270" s="155">
        <f ca="1">IF(ISNUMBER(MATCH(DATEVALUE($A270),'recurring1_based on steps'!P$1:P$400,0)),P$2,)</f>
        <v>0</v>
      </c>
      <c r="Q270" s="155">
        <f ca="1">IF(ISNUMBER(MATCH(DATEVALUE($A270),'recurring1_based on steps'!Q$1:Q$400,0)),Q$2,)</f>
        <v>0</v>
      </c>
      <c r="R270" s="155">
        <f ca="1">IF(ISNUMBER(MATCH(DATEVALUE($A270),'recurring1_based on steps'!R$1:R$400,0)),R$2,)</f>
        <v>0</v>
      </c>
      <c r="S270" s="155">
        <f ca="1">IF(ISNUMBER(MATCH(DATEVALUE($A270),'recurring1_based on steps'!S$1:S$400,0)),S$2,)</f>
        <v>100</v>
      </c>
      <c r="T270" s="155">
        <f ca="1">IF(ISNUMBER(MATCH(DATEVALUE($A270),'recurring1_based on steps'!T$1:T$400,0)),T$2,)</f>
        <v>0</v>
      </c>
      <c r="U270" s="155">
        <f ca="1">IF(ISNUMBER(MATCH(DATEVALUE($A270),'recurring1_based on steps'!U$1:U$400,0)),U$2,)</f>
        <v>0</v>
      </c>
      <c r="V270" s="155">
        <f ca="1">IF(ISNUMBER(MATCH(DATEVALUE($A270),'recurring1_based on steps'!V$1:V$400,0)),V$2,)</f>
        <v>0</v>
      </c>
      <c r="W270" s="155">
        <f ca="1">IF(ISNUMBER(MATCH(DATEVALUE($A270),'recurring1_based on steps'!W$1:W$400,0)),W$2,)</f>
        <v>0</v>
      </c>
      <c r="X270" s="155">
        <f ca="1">IF(ISNUMBER(MATCH(DATEVALUE($A270),'recurring1_based on steps'!X$1:X$400,0)),X$2,)</f>
        <v>0</v>
      </c>
      <c r="Y270" s="155">
        <f ca="1">IF(ISNUMBER(MATCH(DATEVALUE($A270),'recurring1_based on steps'!Y$1:Y$400,0)),Y$2,)</f>
        <v>0</v>
      </c>
      <c r="Z270" s="155">
        <f ca="1">IF(ISNUMBER(MATCH(DATEVALUE($A270),'recurring1_based on steps'!Z$1:Z$400,0)),Z$2,)</f>
        <v>0</v>
      </c>
      <c r="AA270" s="155">
        <f ca="1">IF(ISNUMBER(MATCH(DATEVALUE($A270),'recurring1_based on steps'!AA$1:AA$400,0)),AA$2,)</f>
        <v>0</v>
      </c>
      <c r="AB270" s="155">
        <f ca="1">IF(ISNUMBER(MATCH(DATEVALUE($A270),'recurring1_based on steps'!AB$1:AB$400,0)),AB$2,)</f>
        <v>0</v>
      </c>
      <c r="AC270" s="155">
        <f ca="1">IF(ISNUMBER(MATCH(DATEVALUE($A270),'recurring1_based on steps'!AC$1:AC$400,0)),AC$2,)</f>
        <v>0</v>
      </c>
      <c r="AD270" s="155">
        <f ca="1">IF(ISNUMBER(MATCH(DATEVALUE($A270),'recurring1_based on steps'!AD$1:AD$400,0)),AD$2,)</f>
        <v>0</v>
      </c>
      <c r="AE270" s="155">
        <f ca="1">IF(ISNUMBER(MATCH(DATEVALUE($A270),'recurring1_based on steps'!AE$1:AE$400,0)),AE$2,)</f>
        <v>0</v>
      </c>
      <c r="AF270" s="155">
        <f ca="1">IF(ISNUMBER(MATCH(DATEVALUE($A270),'recurring1_based on steps'!AF$1:AF$400,0)),AF$2,)</f>
        <v>0</v>
      </c>
      <c r="AG270" s="155">
        <f ca="1">IF(ISNUMBER(MATCH(DATEVALUE($A270),'recurring1_based on steps'!AG$1:AG$400,0)),AG$2,)</f>
        <v>0</v>
      </c>
      <c r="AH270" s="155">
        <f ca="1">IF(ISNUMBER(MATCH(DATEVALUE($A270),'recurring1_based on steps'!AH$1:AH$400,0)),AH$2,)</f>
        <v>0</v>
      </c>
      <c r="AI270" s="155">
        <f ca="1">IF(ISNUMBER(MATCH(DATEVALUE($A270),'recurring1_based on steps'!AI$1:AI$400,0)),AI$2,)</f>
        <v>0</v>
      </c>
      <c r="AJ270" s="155">
        <f ca="1">IF(ISNUMBER(MATCH(DATEVALUE($A270),'recurring1_based on steps'!AJ$1:AJ$400,0)),AJ$2,)</f>
        <v>0</v>
      </c>
      <c r="AK270" s="155">
        <f ca="1">IF(ISNUMBER(MATCH(DATEVALUE($A270),'recurring1_based on steps'!AK$1:AK$400,0)),AK$2,)</f>
        <v>0</v>
      </c>
      <c r="AL270" s="155">
        <f ca="1">IF(ISNUMBER(MATCH(DATEVALUE($A270),'recurring1_based on steps'!AL$1:AL$400,0)),AL$2,)</f>
        <v>0</v>
      </c>
      <c r="AM270" s="155">
        <f ca="1">IF(ISNUMBER(MATCH(DATEVALUE($A270),'recurring1_based on steps'!AM$1:AM$400,0)),AM$2,)</f>
        <v>0</v>
      </c>
      <c r="AN270" s="155">
        <f ca="1">IF(ISNUMBER(MATCH(DATEVALUE($A270),'recurring1_based on steps'!AN$1:AN$400,0)),AN$2,)</f>
        <v>0</v>
      </c>
      <c r="AO270" s="155">
        <f ca="1">IF(ISNUMBER(MATCH(DATEVALUE($A270),'recurring1_based on steps'!AO$1:AO$400,0)),AO$2,)</f>
        <v>0</v>
      </c>
      <c r="AP270" s="155">
        <f ca="1">IF(ISNUMBER(MATCH(DATEVALUE($A270),'recurring1_based on steps'!AP$1:AP$400,0)),AP$2,)</f>
        <v>0</v>
      </c>
      <c r="AQ270" s="155">
        <f ca="1">IF(ISNUMBER(MATCH(DATEVALUE($A270),'recurring1_based on steps'!AQ$1:AQ$400,0)),AQ$2,)</f>
        <v>0</v>
      </c>
      <c r="AR270" s="155">
        <f ca="1">IF(ISNUMBER(MATCH(DATEVALUE($A270),'recurring1_based on steps'!AR$1:AR$400,0)),AR$2,)</f>
        <v>0</v>
      </c>
      <c r="AS270" s="155">
        <f ca="1">IF(ISNUMBER(MATCH(DATEVALUE($A270),'recurring1_based on steps'!AS$1:AS$400,0)),AS$2,)</f>
        <v>0</v>
      </c>
      <c r="AT270" s="155">
        <f ca="1">IF(ISNUMBER(MATCH(DATEVALUE($A270),'recurring1_based on steps'!AT$1:AT$400,0)),AT$2,)</f>
        <v>0</v>
      </c>
      <c r="AU270" s="155">
        <f ca="1">IF(ISNUMBER(MATCH(DATEVALUE($A270),'recurring1_based on steps'!AU$1:AU$400,0)),AU$2,)</f>
        <v>0</v>
      </c>
      <c r="AV270" s="155">
        <f ca="1">IF(ISNUMBER(MATCH(DATEVALUE($A270),'recurring1_based on steps'!AV$1:AV$400,0)),AV$2,)</f>
        <v>0</v>
      </c>
      <c r="AW270" s="155">
        <f ca="1">IF(ISNUMBER(MATCH(DATEVALUE($A270),'recurring1_based on steps'!AW$1:AW$400,0)),AW$2,)</f>
        <v>0</v>
      </c>
      <c r="AX270" s="155">
        <f ca="1">IF(ISNUMBER(MATCH(DATEVALUE($A270),'recurring1_based on steps'!AX$1:AX$400,0)),AX$2,)</f>
        <v>0</v>
      </c>
      <c r="AY270" s="155">
        <f ca="1">IF(ISNUMBER(MATCH(DATEVALUE($A270),'recurring1_based on steps'!AY$1:AY$400,0)),AY$2,)</f>
        <v>0</v>
      </c>
    </row>
    <row r="271" spans="1:51" x14ac:dyDescent="0.2">
      <c r="A271" s="18" t="str">
        <f t="shared" ca="1" si="4"/>
        <v>2025-10-27</v>
      </c>
      <c r="B271" s="155">
        <f ca="1">IF(ISNUMBER(MATCH(DATEVALUE($A271),'recurring1_based on steps'!B$1:B$400,0)),B$2,)</f>
        <v>0</v>
      </c>
      <c r="C271" s="155">
        <f ca="1">IF(ISNUMBER(MATCH(DATEVALUE($A271),'recurring1_based on steps'!C$1:C$400,0)),C$2,)</f>
        <v>0</v>
      </c>
      <c r="D271" s="155">
        <f ca="1">IF(ISNUMBER(MATCH(DATEVALUE($A271),'recurring1_based on steps'!D$1:D$400,0)),D$2,)</f>
        <v>0</v>
      </c>
      <c r="E271" s="155">
        <f ca="1">IF(ISNUMBER(MATCH(DATEVALUE($A271),'recurring1_based on steps'!E$1:E$400,0)),E$2,)</f>
        <v>0</v>
      </c>
      <c r="F271" s="155">
        <f ca="1">IF(ISNUMBER(MATCH(DATEVALUE($A271),'recurring1_based on steps'!F$1:F$400,0)),F$2,)</f>
        <v>0</v>
      </c>
      <c r="G271" s="155">
        <f ca="1">IF(ISNUMBER(MATCH(DATEVALUE($A271),'recurring1_based on steps'!G$1:G$400,0)),G$2,)</f>
        <v>0</v>
      </c>
      <c r="H271" s="155">
        <f ca="1">IF(ISNUMBER(MATCH(DATEVALUE($A271),'recurring1_based on steps'!H$1:H$400,0)),H$2,)</f>
        <v>0</v>
      </c>
      <c r="I271" s="155">
        <f ca="1">IF(ISNUMBER(MATCH(DATEVALUE($A271),'recurring1_based on steps'!I$1:I$400,0)),I$2,)</f>
        <v>0</v>
      </c>
      <c r="J271" s="155">
        <f ca="1">IF(ISNUMBER(MATCH(DATEVALUE($A271),'recurring1_based on steps'!J$1:J$400,0)),J$2,)</f>
        <v>0</v>
      </c>
      <c r="K271" s="155">
        <f ca="1">IF(ISNUMBER(MATCH(DATEVALUE($A271),'recurring1_based on steps'!K$1:K$400,0)),K$2,)</f>
        <v>0</v>
      </c>
      <c r="L271" s="155">
        <f ca="1">IF(ISNUMBER(MATCH(DATEVALUE($A271),'recurring1_based on steps'!L$1:L$400,0)),L$2,)</f>
        <v>0</v>
      </c>
      <c r="M271" s="155">
        <f ca="1">IF(ISNUMBER(MATCH(DATEVALUE($A271),'recurring1_based on steps'!M$1:M$400,0)),M$2,)</f>
        <v>0</v>
      </c>
      <c r="N271" s="155">
        <f ca="1">IF(ISNUMBER(MATCH(DATEVALUE($A271),'recurring1_based on steps'!N$1:N$400,0)),N$2,)</f>
        <v>0</v>
      </c>
      <c r="O271" s="155">
        <f ca="1">IF(ISNUMBER(MATCH(DATEVALUE($A271),'recurring1_based on steps'!O$1:O$400,0)),O$2,)</f>
        <v>0</v>
      </c>
      <c r="P271" s="155">
        <f ca="1">IF(ISNUMBER(MATCH(DATEVALUE($A271),'recurring1_based on steps'!P$1:P$400,0)),P$2,)</f>
        <v>2.99</v>
      </c>
      <c r="Q271" s="155">
        <f ca="1">IF(ISNUMBER(MATCH(DATEVALUE($A271),'recurring1_based on steps'!Q$1:Q$400,0)),Q$2,)</f>
        <v>0</v>
      </c>
      <c r="R271" s="155">
        <f ca="1">IF(ISNUMBER(MATCH(DATEVALUE($A271),'recurring1_based on steps'!R$1:R$400,0)),R$2,)</f>
        <v>0</v>
      </c>
      <c r="S271" s="155">
        <f ca="1">IF(ISNUMBER(MATCH(DATEVALUE($A271),'recurring1_based on steps'!S$1:S$400,0)),S$2,)</f>
        <v>0</v>
      </c>
      <c r="T271" s="155">
        <f ca="1">IF(ISNUMBER(MATCH(DATEVALUE($A271),'recurring1_based on steps'!T$1:T$400,0)),T$2,)</f>
        <v>0</v>
      </c>
      <c r="U271" s="155">
        <f ca="1">IF(ISNUMBER(MATCH(DATEVALUE($A271),'recurring1_based on steps'!U$1:U$400,0)),U$2,)</f>
        <v>0</v>
      </c>
      <c r="V271" s="155">
        <f ca="1">IF(ISNUMBER(MATCH(DATEVALUE($A271),'recurring1_based on steps'!V$1:V$400,0)),V$2,)</f>
        <v>0</v>
      </c>
      <c r="W271" s="155">
        <f ca="1">IF(ISNUMBER(MATCH(DATEVALUE($A271),'recurring1_based on steps'!W$1:W$400,0)),W$2,)</f>
        <v>0</v>
      </c>
      <c r="X271" s="155">
        <f ca="1">IF(ISNUMBER(MATCH(DATEVALUE($A271),'recurring1_based on steps'!X$1:X$400,0)),X$2,)</f>
        <v>0</v>
      </c>
      <c r="Y271" s="155">
        <f ca="1">IF(ISNUMBER(MATCH(DATEVALUE($A271),'recurring1_based on steps'!Y$1:Y$400,0)),Y$2,)</f>
        <v>0</v>
      </c>
      <c r="Z271" s="155">
        <f ca="1">IF(ISNUMBER(MATCH(DATEVALUE($A271),'recurring1_based on steps'!Z$1:Z$400,0)),Z$2,)</f>
        <v>0</v>
      </c>
      <c r="AA271" s="155">
        <f ca="1">IF(ISNUMBER(MATCH(DATEVALUE($A271),'recurring1_based on steps'!AA$1:AA$400,0)),AA$2,)</f>
        <v>0</v>
      </c>
      <c r="AB271" s="155">
        <f ca="1">IF(ISNUMBER(MATCH(DATEVALUE($A271),'recurring1_based on steps'!AB$1:AB$400,0)),AB$2,)</f>
        <v>0</v>
      </c>
      <c r="AC271" s="155">
        <f ca="1">IF(ISNUMBER(MATCH(DATEVALUE($A271),'recurring1_based on steps'!AC$1:AC$400,0)),AC$2,)</f>
        <v>0</v>
      </c>
      <c r="AD271" s="155">
        <f ca="1">IF(ISNUMBER(MATCH(DATEVALUE($A271),'recurring1_based on steps'!AD$1:AD$400,0)),AD$2,)</f>
        <v>0</v>
      </c>
      <c r="AE271" s="155">
        <f ca="1">IF(ISNUMBER(MATCH(DATEVALUE($A271),'recurring1_based on steps'!AE$1:AE$400,0)),AE$2,)</f>
        <v>0</v>
      </c>
      <c r="AF271" s="155">
        <f ca="1">IF(ISNUMBER(MATCH(DATEVALUE($A271),'recurring1_based on steps'!AF$1:AF$400,0)),AF$2,)</f>
        <v>0</v>
      </c>
      <c r="AG271" s="155">
        <f ca="1">IF(ISNUMBER(MATCH(DATEVALUE($A271),'recurring1_based on steps'!AG$1:AG$400,0)),AG$2,)</f>
        <v>0</v>
      </c>
      <c r="AH271" s="155">
        <f ca="1">IF(ISNUMBER(MATCH(DATEVALUE($A271),'recurring1_based on steps'!AH$1:AH$400,0)),AH$2,)</f>
        <v>0</v>
      </c>
      <c r="AI271" s="155">
        <f ca="1">IF(ISNUMBER(MATCH(DATEVALUE($A271),'recurring1_based on steps'!AI$1:AI$400,0)),AI$2,)</f>
        <v>0</v>
      </c>
      <c r="AJ271" s="155">
        <f ca="1">IF(ISNUMBER(MATCH(DATEVALUE($A271),'recurring1_based on steps'!AJ$1:AJ$400,0)),AJ$2,)</f>
        <v>0</v>
      </c>
      <c r="AK271" s="155">
        <f ca="1">IF(ISNUMBER(MATCH(DATEVALUE($A271),'recurring1_based on steps'!AK$1:AK$400,0)),AK$2,)</f>
        <v>0</v>
      </c>
      <c r="AL271" s="155">
        <f ca="1">IF(ISNUMBER(MATCH(DATEVALUE($A271),'recurring1_based on steps'!AL$1:AL$400,0)),AL$2,)</f>
        <v>0</v>
      </c>
      <c r="AM271" s="155">
        <f ca="1">IF(ISNUMBER(MATCH(DATEVALUE($A271),'recurring1_based on steps'!AM$1:AM$400,0)),AM$2,)</f>
        <v>0</v>
      </c>
      <c r="AN271" s="155">
        <f ca="1">IF(ISNUMBER(MATCH(DATEVALUE($A271),'recurring1_based on steps'!AN$1:AN$400,0)),AN$2,)</f>
        <v>0</v>
      </c>
      <c r="AO271" s="155">
        <f ca="1">IF(ISNUMBER(MATCH(DATEVALUE($A271),'recurring1_based on steps'!AO$1:AO$400,0)),AO$2,)</f>
        <v>0</v>
      </c>
      <c r="AP271" s="155">
        <f ca="1">IF(ISNUMBER(MATCH(DATEVALUE($A271),'recurring1_based on steps'!AP$1:AP$400,0)),AP$2,)</f>
        <v>0</v>
      </c>
      <c r="AQ271" s="155">
        <f ca="1">IF(ISNUMBER(MATCH(DATEVALUE($A271),'recurring1_based on steps'!AQ$1:AQ$400,0)),AQ$2,)</f>
        <v>0</v>
      </c>
      <c r="AR271" s="155">
        <f ca="1">IF(ISNUMBER(MATCH(DATEVALUE($A271),'recurring1_based on steps'!AR$1:AR$400,0)),AR$2,)</f>
        <v>0</v>
      </c>
      <c r="AS271" s="155">
        <f ca="1">IF(ISNUMBER(MATCH(DATEVALUE($A271),'recurring1_based on steps'!AS$1:AS$400,0)),AS$2,)</f>
        <v>0</v>
      </c>
      <c r="AT271" s="155">
        <f ca="1">IF(ISNUMBER(MATCH(DATEVALUE($A271),'recurring1_based on steps'!AT$1:AT$400,0)),AT$2,)</f>
        <v>0</v>
      </c>
      <c r="AU271" s="155">
        <f ca="1">IF(ISNUMBER(MATCH(DATEVALUE($A271),'recurring1_based on steps'!AU$1:AU$400,0)),AU$2,)</f>
        <v>0</v>
      </c>
      <c r="AV271" s="155">
        <f ca="1">IF(ISNUMBER(MATCH(DATEVALUE($A271),'recurring1_based on steps'!AV$1:AV$400,0)),AV$2,)</f>
        <v>0</v>
      </c>
      <c r="AW271" s="155">
        <f ca="1">IF(ISNUMBER(MATCH(DATEVALUE($A271),'recurring1_based on steps'!AW$1:AW$400,0)),AW$2,)</f>
        <v>0</v>
      </c>
      <c r="AX271" s="155">
        <f ca="1">IF(ISNUMBER(MATCH(DATEVALUE($A271),'recurring1_based on steps'!AX$1:AX$400,0)),AX$2,)</f>
        <v>0</v>
      </c>
      <c r="AY271" s="155">
        <f ca="1">IF(ISNUMBER(MATCH(DATEVALUE($A271),'recurring1_based on steps'!AY$1:AY$400,0)),AY$2,)</f>
        <v>0</v>
      </c>
    </row>
    <row r="272" spans="1:51" x14ac:dyDescent="0.2">
      <c r="A272" s="18" t="str">
        <f t="shared" ca="1" si="4"/>
        <v>2025-10-28</v>
      </c>
      <c r="B272" s="155">
        <f ca="1">IF(ISNUMBER(MATCH(DATEVALUE($A272),'recurring1_based on steps'!B$1:B$400,0)),B$2,)</f>
        <v>0</v>
      </c>
      <c r="C272" s="155">
        <f ca="1">IF(ISNUMBER(MATCH(DATEVALUE($A272),'recurring1_based on steps'!C$1:C$400,0)),C$2,)</f>
        <v>0</v>
      </c>
      <c r="D272" s="155">
        <f ca="1">IF(ISNUMBER(MATCH(DATEVALUE($A272),'recurring1_based on steps'!D$1:D$400,0)),D$2,)</f>
        <v>0</v>
      </c>
      <c r="E272" s="155">
        <f ca="1">IF(ISNUMBER(MATCH(DATEVALUE($A272),'recurring1_based on steps'!E$1:E$400,0)),E$2,)</f>
        <v>0</v>
      </c>
      <c r="F272" s="155">
        <f ca="1">IF(ISNUMBER(MATCH(DATEVALUE($A272),'recurring1_based on steps'!F$1:F$400,0)),F$2,)</f>
        <v>0</v>
      </c>
      <c r="G272" s="155">
        <f ca="1">IF(ISNUMBER(MATCH(DATEVALUE($A272),'recurring1_based on steps'!G$1:G$400,0)),G$2,)</f>
        <v>0</v>
      </c>
      <c r="H272" s="155">
        <f ca="1">IF(ISNUMBER(MATCH(DATEVALUE($A272),'recurring1_based on steps'!H$1:H$400,0)),H$2,)</f>
        <v>40</v>
      </c>
      <c r="I272" s="155">
        <f ca="1">IF(ISNUMBER(MATCH(DATEVALUE($A272),'recurring1_based on steps'!I$1:I$400,0)),I$2,)</f>
        <v>0</v>
      </c>
      <c r="J272" s="155">
        <f ca="1">IF(ISNUMBER(MATCH(DATEVALUE($A272),'recurring1_based on steps'!J$1:J$400,0)),J$2,)</f>
        <v>0</v>
      </c>
      <c r="K272" s="155">
        <f ca="1">IF(ISNUMBER(MATCH(DATEVALUE($A272),'recurring1_based on steps'!K$1:K$400,0)),K$2,)</f>
        <v>0</v>
      </c>
      <c r="L272" s="155">
        <f ca="1">IF(ISNUMBER(MATCH(DATEVALUE($A272),'recurring1_based on steps'!L$1:L$400,0)),L$2,)</f>
        <v>0</v>
      </c>
      <c r="M272" s="155">
        <f ca="1">IF(ISNUMBER(MATCH(DATEVALUE($A272),'recurring1_based on steps'!M$1:M$400,0)),M$2,)</f>
        <v>0</v>
      </c>
      <c r="N272" s="155">
        <f ca="1">IF(ISNUMBER(MATCH(DATEVALUE($A272),'recurring1_based on steps'!N$1:N$400,0)),N$2,)</f>
        <v>0</v>
      </c>
      <c r="O272" s="155">
        <f ca="1">IF(ISNUMBER(MATCH(DATEVALUE($A272),'recurring1_based on steps'!O$1:O$400,0)),O$2,)</f>
        <v>0</v>
      </c>
      <c r="P272" s="155">
        <f ca="1">IF(ISNUMBER(MATCH(DATEVALUE($A272),'recurring1_based on steps'!P$1:P$400,0)),P$2,)</f>
        <v>0</v>
      </c>
      <c r="Q272" s="155">
        <f ca="1">IF(ISNUMBER(MATCH(DATEVALUE($A272),'recurring1_based on steps'!Q$1:Q$400,0)),Q$2,)</f>
        <v>0</v>
      </c>
      <c r="R272" s="155">
        <f ca="1">IF(ISNUMBER(MATCH(DATEVALUE($A272),'recurring1_based on steps'!R$1:R$400,0)),R$2,)</f>
        <v>0</v>
      </c>
      <c r="S272" s="155">
        <f ca="1">IF(ISNUMBER(MATCH(DATEVALUE($A272),'recurring1_based on steps'!S$1:S$400,0)),S$2,)</f>
        <v>0</v>
      </c>
      <c r="T272" s="155">
        <f ca="1">IF(ISNUMBER(MATCH(DATEVALUE($A272),'recurring1_based on steps'!T$1:T$400,0)),T$2,)</f>
        <v>0</v>
      </c>
      <c r="U272" s="155">
        <f ca="1">IF(ISNUMBER(MATCH(DATEVALUE($A272),'recurring1_based on steps'!U$1:U$400,0)),U$2,)</f>
        <v>0</v>
      </c>
      <c r="V272" s="155">
        <f ca="1">IF(ISNUMBER(MATCH(DATEVALUE($A272),'recurring1_based on steps'!V$1:V$400,0)),V$2,)</f>
        <v>0</v>
      </c>
      <c r="W272" s="155">
        <f ca="1">IF(ISNUMBER(MATCH(DATEVALUE($A272),'recurring1_based on steps'!W$1:W$400,0)),W$2,)</f>
        <v>100</v>
      </c>
      <c r="X272" s="155">
        <f ca="1">IF(ISNUMBER(MATCH(DATEVALUE($A272),'recurring1_based on steps'!X$1:X$400,0)),X$2,)</f>
        <v>0</v>
      </c>
      <c r="Y272" s="155">
        <f ca="1">IF(ISNUMBER(MATCH(DATEVALUE($A272),'recurring1_based on steps'!Y$1:Y$400,0)),Y$2,)</f>
        <v>0</v>
      </c>
      <c r="Z272" s="155">
        <f ca="1">IF(ISNUMBER(MATCH(DATEVALUE($A272),'recurring1_based on steps'!Z$1:Z$400,0)),Z$2,)</f>
        <v>0</v>
      </c>
      <c r="AA272" s="155">
        <f ca="1">IF(ISNUMBER(MATCH(DATEVALUE($A272),'recurring1_based on steps'!AA$1:AA$400,0)),AA$2,)</f>
        <v>0</v>
      </c>
      <c r="AB272" s="155">
        <f ca="1">IF(ISNUMBER(MATCH(DATEVALUE($A272),'recurring1_based on steps'!AB$1:AB$400,0)),AB$2,)</f>
        <v>0</v>
      </c>
      <c r="AC272" s="155">
        <f ca="1">IF(ISNUMBER(MATCH(DATEVALUE($A272),'recurring1_based on steps'!AC$1:AC$400,0)),AC$2,)</f>
        <v>0</v>
      </c>
      <c r="AD272" s="155">
        <f ca="1">IF(ISNUMBER(MATCH(DATEVALUE($A272),'recurring1_based on steps'!AD$1:AD$400,0)),AD$2,)</f>
        <v>0</v>
      </c>
      <c r="AE272" s="155">
        <f ca="1">IF(ISNUMBER(MATCH(DATEVALUE($A272),'recurring1_based on steps'!AE$1:AE$400,0)),AE$2,)</f>
        <v>0</v>
      </c>
      <c r="AF272" s="155">
        <f ca="1">IF(ISNUMBER(MATCH(DATEVALUE($A272),'recurring1_based on steps'!AF$1:AF$400,0)),AF$2,)</f>
        <v>0</v>
      </c>
      <c r="AG272" s="155">
        <f ca="1">IF(ISNUMBER(MATCH(DATEVALUE($A272),'recurring1_based on steps'!AG$1:AG$400,0)),AG$2,)</f>
        <v>0</v>
      </c>
      <c r="AH272" s="155">
        <f ca="1">IF(ISNUMBER(MATCH(DATEVALUE($A272),'recurring1_based on steps'!AH$1:AH$400,0)),AH$2,)</f>
        <v>0</v>
      </c>
      <c r="AI272" s="155">
        <f ca="1">IF(ISNUMBER(MATCH(DATEVALUE($A272),'recurring1_based on steps'!AI$1:AI$400,0)),AI$2,)</f>
        <v>0</v>
      </c>
      <c r="AJ272" s="155">
        <f ca="1">IF(ISNUMBER(MATCH(DATEVALUE($A272),'recurring1_based on steps'!AJ$1:AJ$400,0)),AJ$2,)</f>
        <v>0</v>
      </c>
      <c r="AK272" s="155">
        <f ca="1">IF(ISNUMBER(MATCH(DATEVALUE($A272),'recurring1_based on steps'!AK$1:AK$400,0)),AK$2,)</f>
        <v>0</v>
      </c>
      <c r="AL272" s="155">
        <f ca="1">IF(ISNUMBER(MATCH(DATEVALUE($A272),'recurring1_based on steps'!AL$1:AL$400,0)),AL$2,)</f>
        <v>0</v>
      </c>
      <c r="AM272" s="155">
        <f ca="1">IF(ISNUMBER(MATCH(DATEVALUE($A272),'recurring1_based on steps'!AM$1:AM$400,0)),AM$2,)</f>
        <v>0</v>
      </c>
      <c r="AN272" s="155">
        <f ca="1">IF(ISNUMBER(MATCH(DATEVALUE($A272),'recurring1_based on steps'!AN$1:AN$400,0)),AN$2,)</f>
        <v>0</v>
      </c>
      <c r="AO272" s="155">
        <f ca="1">IF(ISNUMBER(MATCH(DATEVALUE($A272),'recurring1_based on steps'!AO$1:AO$400,0)),AO$2,)</f>
        <v>0</v>
      </c>
      <c r="AP272" s="155">
        <f ca="1">IF(ISNUMBER(MATCH(DATEVALUE($A272),'recurring1_based on steps'!AP$1:AP$400,0)),AP$2,)</f>
        <v>0</v>
      </c>
      <c r="AQ272" s="155">
        <f ca="1">IF(ISNUMBER(MATCH(DATEVALUE($A272),'recurring1_based on steps'!AQ$1:AQ$400,0)),AQ$2,)</f>
        <v>0</v>
      </c>
      <c r="AR272" s="155">
        <f ca="1">IF(ISNUMBER(MATCH(DATEVALUE($A272),'recurring1_based on steps'!AR$1:AR$400,0)),AR$2,)</f>
        <v>0</v>
      </c>
      <c r="AS272" s="155">
        <f ca="1">IF(ISNUMBER(MATCH(DATEVALUE($A272),'recurring1_based on steps'!AS$1:AS$400,0)),AS$2,)</f>
        <v>0</v>
      </c>
      <c r="AT272" s="155">
        <f ca="1">IF(ISNUMBER(MATCH(DATEVALUE($A272),'recurring1_based on steps'!AT$1:AT$400,0)),AT$2,)</f>
        <v>0</v>
      </c>
      <c r="AU272" s="155">
        <f ca="1">IF(ISNUMBER(MATCH(DATEVALUE($A272),'recurring1_based on steps'!AU$1:AU$400,0)),AU$2,)</f>
        <v>0</v>
      </c>
      <c r="AV272" s="155">
        <f ca="1">IF(ISNUMBER(MATCH(DATEVALUE($A272),'recurring1_based on steps'!AV$1:AV$400,0)),AV$2,)</f>
        <v>0</v>
      </c>
      <c r="AW272" s="155">
        <f ca="1">IF(ISNUMBER(MATCH(DATEVALUE($A272),'recurring1_based on steps'!AW$1:AW$400,0)),AW$2,)</f>
        <v>0</v>
      </c>
      <c r="AX272" s="155">
        <f ca="1">IF(ISNUMBER(MATCH(DATEVALUE($A272),'recurring1_based on steps'!AX$1:AX$400,0)),AX$2,)</f>
        <v>0</v>
      </c>
      <c r="AY272" s="155">
        <f ca="1">IF(ISNUMBER(MATCH(DATEVALUE($A272),'recurring1_based on steps'!AY$1:AY$400,0)),AY$2,)</f>
        <v>0</v>
      </c>
    </row>
    <row r="273" spans="1:51" x14ac:dyDescent="0.2">
      <c r="A273" s="18" t="str">
        <f t="shared" ca="1" si="4"/>
        <v>2025-10-29</v>
      </c>
      <c r="B273" s="155">
        <f ca="1">IF(ISNUMBER(MATCH(DATEVALUE($A273),'recurring1_based on steps'!B$1:B$400,0)),B$2,)</f>
        <v>0</v>
      </c>
      <c r="C273" s="155">
        <f ca="1">IF(ISNUMBER(MATCH(DATEVALUE($A273),'recurring1_based on steps'!C$1:C$400,0)),C$2,)</f>
        <v>0</v>
      </c>
      <c r="D273" s="155">
        <f ca="1">IF(ISNUMBER(MATCH(DATEVALUE($A273),'recurring1_based on steps'!D$1:D$400,0)),D$2,)</f>
        <v>0</v>
      </c>
      <c r="E273" s="155">
        <f ca="1">IF(ISNUMBER(MATCH(DATEVALUE($A273),'recurring1_based on steps'!E$1:E$400,0)),E$2,)</f>
        <v>0</v>
      </c>
      <c r="F273" s="155">
        <f ca="1">IF(ISNUMBER(MATCH(DATEVALUE($A273),'recurring1_based on steps'!F$1:F$400,0)),F$2,)</f>
        <v>0</v>
      </c>
      <c r="G273" s="155">
        <f ca="1">IF(ISNUMBER(MATCH(DATEVALUE($A273),'recurring1_based on steps'!G$1:G$400,0)),G$2,)</f>
        <v>0</v>
      </c>
      <c r="H273" s="155">
        <f ca="1">IF(ISNUMBER(MATCH(DATEVALUE($A273),'recurring1_based on steps'!H$1:H$400,0)),H$2,)</f>
        <v>0</v>
      </c>
      <c r="I273" s="155">
        <f ca="1">IF(ISNUMBER(MATCH(DATEVALUE($A273),'recurring1_based on steps'!I$1:I$400,0)),I$2,)</f>
        <v>0</v>
      </c>
      <c r="J273" s="155">
        <f ca="1">IF(ISNUMBER(MATCH(DATEVALUE($A273),'recurring1_based on steps'!J$1:J$400,0)),J$2,)</f>
        <v>0</v>
      </c>
      <c r="K273" s="155">
        <f ca="1">IF(ISNUMBER(MATCH(DATEVALUE($A273),'recurring1_based on steps'!K$1:K$400,0)),K$2,)</f>
        <v>0</v>
      </c>
      <c r="L273" s="155">
        <f ca="1">IF(ISNUMBER(MATCH(DATEVALUE($A273),'recurring1_based on steps'!L$1:L$400,0)),L$2,)</f>
        <v>0</v>
      </c>
      <c r="M273" s="155">
        <f ca="1">IF(ISNUMBER(MATCH(DATEVALUE($A273),'recurring1_based on steps'!M$1:M$400,0)),M$2,)</f>
        <v>0</v>
      </c>
      <c r="N273" s="155">
        <f ca="1">IF(ISNUMBER(MATCH(DATEVALUE($A273),'recurring1_based on steps'!N$1:N$400,0)),N$2,)</f>
        <v>0</v>
      </c>
      <c r="O273" s="155">
        <f ca="1">IF(ISNUMBER(MATCH(DATEVALUE($A273),'recurring1_based on steps'!O$1:O$400,0)),O$2,)</f>
        <v>0</v>
      </c>
      <c r="P273" s="155">
        <f ca="1">IF(ISNUMBER(MATCH(DATEVALUE($A273),'recurring1_based on steps'!P$1:P$400,0)),P$2,)</f>
        <v>0</v>
      </c>
      <c r="Q273" s="155">
        <f ca="1">IF(ISNUMBER(MATCH(DATEVALUE($A273),'recurring1_based on steps'!Q$1:Q$400,0)),Q$2,)</f>
        <v>0</v>
      </c>
      <c r="R273" s="155">
        <f ca="1">IF(ISNUMBER(MATCH(DATEVALUE($A273),'recurring1_based on steps'!R$1:R$400,0)),R$2,)</f>
        <v>0</v>
      </c>
      <c r="S273" s="155">
        <f ca="1">IF(ISNUMBER(MATCH(DATEVALUE($A273),'recurring1_based on steps'!S$1:S$400,0)),S$2,)</f>
        <v>0</v>
      </c>
      <c r="T273" s="155">
        <f ca="1">IF(ISNUMBER(MATCH(DATEVALUE($A273),'recurring1_based on steps'!T$1:T$400,0)),T$2,)</f>
        <v>0</v>
      </c>
      <c r="U273" s="155">
        <f ca="1">IF(ISNUMBER(MATCH(DATEVALUE($A273),'recurring1_based on steps'!U$1:U$400,0)),U$2,)</f>
        <v>0</v>
      </c>
      <c r="V273" s="155">
        <f ca="1">IF(ISNUMBER(MATCH(DATEVALUE($A273),'recurring1_based on steps'!V$1:V$400,0)),V$2,)</f>
        <v>0</v>
      </c>
      <c r="W273" s="155">
        <f ca="1">IF(ISNUMBER(MATCH(DATEVALUE($A273),'recurring1_based on steps'!W$1:W$400,0)),W$2,)</f>
        <v>0</v>
      </c>
      <c r="X273" s="155">
        <f ca="1">IF(ISNUMBER(MATCH(DATEVALUE($A273),'recurring1_based on steps'!X$1:X$400,0)),X$2,)</f>
        <v>0</v>
      </c>
      <c r="Y273" s="155">
        <f ca="1">IF(ISNUMBER(MATCH(DATEVALUE($A273),'recurring1_based on steps'!Y$1:Y$400,0)),Y$2,)</f>
        <v>0</v>
      </c>
      <c r="Z273" s="155">
        <f ca="1">IF(ISNUMBER(MATCH(DATEVALUE($A273),'recurring1_based on steps'!Z$1:Z$400,0)),Z$2,)</f>
        <v>0</v>
      </c>
      <c r="AA273" s="155">
        <f ca="1">IF(ISNUMBER(MATCH(DATEVALUE($A273),'recurring1_based on steps'!AA$1:AA$400,0)),AA$2,)</f>
        <v>0</v>
      </c>
      <c r="AB273" s="155">
        <f ca="1">IF(ISNUMBER(MATCH(DATEVALUE($A273),'recurring1_based on steps'!AB$1:AB$400,0)),AB$2,)</f>
        <v>0</v>
      </c>
      <c r="AC273" s="155">
        <f ca="1">IF(ISNUMBER(MATCH(DATEVALUE($A273),'recurring1_based on steps'!AC$1:AC$400,0)),AC$2,)</f>
        <v>0</v>
      </c>
      <c r="AD273" s="155">
        <f ca="1">IF(ISNUMBER(MATCH(DATEVALUE($A273),'recurring1_based on steps'!AD$1:AD$400,0)),AD$2,)</f>
        <v>0</v>
      </c>
      <c r="AE273" s="155">
        <f ca="1">IF(ISNUMBER(MATCH(DATEVALUE($A273),'recurring1_based on steps'!AE$1:AE$400,0)),AE$2,)</f>
        <v>0</v>
      </c>
      <c r="AF273" s="155">
        <f ca="1">IF(ISNUMBER(MATCH(DATEVALUE($A273),'recurring1_based on steps'!AF$1:AF$400,0)),AF$2,)</f>
        <v>0</v>
      </c>
      <c r="AG273" s="155">
        <f ca="1">IF(ISNUMBER(MATCH(DATEVALUE($A273),'recurring1_based on steps'!AG$1:AG$400,0)),AG$2,)</f>
        <v>0</v>
      </c>
      <c r="AH273" s="155">
        <f ca="1">IF(ISNUMBER(MATCH(DATEVALUE($A273),'recurring1_based on steps'!AH$1:AH$400,0)),AH$2,)</f>
        <v>0</v>
      </c>
      <c r="AI273" s="155">
        <f ca="1">IF(ISNUMBER(MATCH(DATEVALUE($A273),'recurring1_based on steps'!AI$1:AI$400,0)),AI$2,)</f>
        <v>0</v>
      </c>
      <c r="AJ273" s="155">
        <f ca="1">IF(ISNUMBER(MATCH(DATEVALUE($A273),'recurring1_based on steps'!AJ$1:AJ$400,0)),AJ$2,)</f>
        <v>0</v>
      </c>
      <c r="AK273" s="155">
        <f ca="1">IF(ISNUMBER(MATCH(DATEVALUE($A273),'recurring1_based on steps'!AK$1:AK$400,0)),AK$2,)</f>
        <v>0</v>
      </c>
      <c r="AL273" s="155">
        <f ca="1">IF(ISNUMBER(MATCH(DATEVALUE($A273),'recurring1_based on steps'!AL$1:AL$400,0)),AL$2,)</f>
        <v>0</v>
      </c>
      <c r="AM273" s="155">
        <f ca="1">IF(ISNUMBER(MATCH(DATEVALUE($A273),'recurring1_based on steps'!AM$1:AM$400,0)),AM$2,)</f>
        <v>0</v>
      </c>
      <c r="AN273" s="155">
        <f ca="1">IF(ISNUMBER(MATCH(DATEVALUE($A273),'recurring1_based on steps'!AN$1:AN$400,0)),AN$2,)</f>
        <v>0</v>
      </c>
      <c r="AO273" s="155">
        <f ca="1">IF(ISNUMBER(MATCH(DATEVALUE($A273),'recurring1_based on steps'!AO$1:AO$400,0)),AO$2,)</f>
        <v>0</v>
      </c>
      <c r="AP273" s="155">
        <f ca="1">IF(ISNUMBER(MATCH(DATEVALUE($A273),'recurring1_based on steps'!AP$1:AP$400,0)),AP$2,)</f>
        <v>0</v>
      </c>
      <c r="AQ273" s="155">
        <f ca="1">IF(ISNUMBER(MATCH(DATEVALUE($A273),'recurring1_based on steps'!AQ$1:AQ$400,0)),AQ$2,)</f>
        <v>0</v>
      </c>
      <c r="AR273" s="155">
        <f ca="1">IF(ISNUMBER(MATCH(DATEVALUE($A273),'recurring1_based on steps'!AR$1:AR$400,0)),AR$2,)</f>
        <v>0</v>
      </c>
      <c r="AS273" s="155">
        <f ca="1">IF(ISNUMBER(MATCH(DATEVALUE($A273),'recurring1_based on steps'!AS$1:AS$400,0)),AS$2,)</f>
        <v>0</v>
      </c>
      <c r="AT273" s="155">
        <f ca="1">IF(ISNUMBER(MATCH(DATEVALUE($A273),'recurring1_based on steps'!AT$1:AT$400,0)),AT$2,)</f>
        <v>0</v>
      </c>
      <c r="AU273" s="155">
        <f ca="1">IF(ISNUMBER(MATCH(DATEVALUE($A273),'recurring1_based on steps'!AU$1:AU$400,0)),AU$2,)</f>
        <v>0</v>
      </c>
      <c r="AV273" s="155">
        <f ca="1">IF(ISNUMBER(MATCH(DATEVALUE($A273),'recurring1_based on steps'!AV$1:AV$400,0)),AV$2,)</f>
        <v>0</v>
      </c>
      <c r="AW273" s="155">
        <f ca="1">IF(ISNUMBER(MATCH(DATEVALUE($A273),'recurring1_based on steps'!AW$1:AW$400,0)),AW$2,)</f>
        <v>0</v>
      </c>
      <c r="AX273" s="155">
        <f ca="1">IF(ISNUMBER(MATCH(DATEVALUE($A273),'recurring1_based on steps'!AX$1:AX$400,0)),AX$2,)</f>
        <v>0</v>
      </c>
      <c r="AY273" s="155">
        <f ca="1">IF(ISNUMBER(MATCH(DATEVALUE($A273),'recurring1_based on steps'!AY$1:AY$400,0)),AY$2,)</f>
        <v>0</v>
      </c>
    </row>
    <row r="274" spans="1:51" x14ac:dyDescent="0.2">
      <c r="A274" s="18" t="str">
        <f t="shared" ca="1" si="4"/>
        <v>2025-10-30</v>
      </c>
      <c r="B274" s="155">
        <f ca="1">IF(ISNUMBER(MATCH(DATEVALUE($A274),'recurring1_based on steps'!B$1:B$400,0)),B$2,)</f>
        <v>0</v>
      </c>
      <c r="C274" s="155">
        <f ca="1">IF(ISNUMBER(MATCH(DATEVALUE($A274),'recurring1_based on steps'!C$1:C$400,0)),C$2,)</f>
        <v>0</v>
      </c>
      <c r="D274" s="155">
        <f ca="1">IF(ISNUMBER(MATCH(DATEVALUE($A274),'recurring1_based on steps'!D$1:D$400,0)),D$2,)</f>
        <v>0</v>
      </c>
      <c r="E274" s="155">
        <f ca="1">IF(ISNUMBER(MATCH(DATEVALUE($A274),'recurring1_based on steps'!E$1:E$400,0)),E$2,)</f>
        <v>0</v>
      </c>
      <c r="F274" s="155">
        <f ca="1">IF(ISNUMBER(MATCH(DATEVALUE($A274),'recurring1_based on steps'!F$1:F$400,0)),F$2,)</f>
        <v>0</v>
      </c>
      <c r="G274" s="155">
        <f ca="1">IF(ISNUMBER(MATCH(DATEVALUE($A274),'recurring1_based on steps'!G$1:G$400,0)),G$2,)</f>
        <v>0</v>
      </c>
      <c r="H274" s="155">
        <f ca="1">IF(ISNUMBER(MATCH(DATEVALUE($A274),'recurring1_based on steps'!H$1:H$400,0)),H$2,)</f>
        <v>0</v>
      </c>
      <c r="I274" s="155">
        <f ca="1">IF(ISNUMBER(MATCH(DATEVALUE($A274),'recurring1_based on steps'!I$1:I$400,0)),I$2,)</f>
        <v>0</v>
      </c>
      <c r="J274" s="155">
        <f ca="1">IF(ISNUMBER(MATCH(DATEVALUE($A274),'recurring1_based on steps'!J$1:J$400,0)),J$2,)</f>
        <v>0</v>
      </c>
      <c r="K274" s="155">
        <f ca="1">IF(ISNUMBER(MATCH(DATEVALUE($A274),'recurring1_based on steps'!K$1:K$400,0)),K$2,)</f>
        <v>0</v>
      </c>
      <c r="L274" s="155">
        <f ca="1">IF(ISNUMBER(MATCH(DATEVALUE($A274),'recurring1_based on steps'!L$1:L$400,0)),L$2,)</f>
        <v>0</v>
      </c>
      <c r="M274" s="155">
        <f ca="1">IF(ISNUMBER(MATCH(DATEVALUE($A274),'recurring1_based on steps'!M$1:M$400,0)),M$2,)</f>
        <v>0</v>
      </c>
      <c r="N274" s="155">
        <f ca="1">IF(ISNUMBER(MATCH(DATEVALUE($A274),'recurring1_based on steps'!N$1:N$400,0)),N$2,)</f>
        <v>0</v>
      </c>
      <c r="O274" s="155">
        <f ca="1">IF(ISNUMBER(MATCH(DATEVALUE($A274),'recurring1_based on steps'!O$1:O$400,0)),O$2,)</f>
        <v>0</v>
      </c>
      <c r="P274" s="155">
        <f ca="1">IF(ISNUMBER(MATCH(DATEVALUE($A274),'recurring1_based on steps'!P$1:P$400,0)),P$2,)</f>
        <v>0</v>
      </c>
      <c r="Q274" s="155">
        <f ca="1">IF(ISNUMBER(MATCH(DATEVALUE($A274),'recurring1_based on steps'!Q$1:Q$400,0)),Q$2,)</f>
        <v>0</v>
      </c>
      <c r="R274" s="155">
        <f ca="1">IF(ISNUMBER(MATCH(DATEVALUE($A274),'recurring1_based on steps'!R$1:R$400,0)),R$2,)</f>
        <v>0</v>
      </c>
      <c r="S274" s="155">
        <f ca="1">IF(ISNUMBER(MATCH(DATEVALUE($A274),'recurring1_based on steps'!S$1:S$400,0)),S$2,)</f>
        <v>0</v>
      </c>
      <c r="T274" s="155">
        <f ca="1">IF(ISNUMBER(MATCH(DATEVALUE($A274),'recurring1_based on steps'!T$1:T$400,0)),T$2,)</f>
        <v>0</v>
      </c>
      <c r="U274" s="155">
        <f ca="1">IF(ISNUMBER(MATCH(DATEVALUE($A274),'recurring1_based on steps'!U$1:U$400,0)),U$2,)</f>
        <v>0</v>
      </c>
      <c r="V274" s="155">
        <f ca="1">IF(ISNUMBER(MATCH(DATEVALUE($A274),'recurring1_based on steps'!V$1:V$400,0)),V$2,)</f>
        <v>0</v>
      </c>
      <c r="W274" s="155">
        <f ca="1">IF(ISNUMBER(MATCH(DATEVALUE($A274),'recurring1_based on steps'!W$1:W$400,0)),W$2,)</f>
        <v>0</v>
      </c>
      <c r="X274" s="155">
        <f ca="1">IF(ISNUMBER(MATCH(DATEVALUE($A274),'recurring1_based on steps'!X$1:X$400,0)),X$2,)</f>
        <v>0</v>
      </c>
      <c r="Y274" s="155">
        <f ca="1">IF(ISNUMBER(MATCH(DATEVALUE($A274),'recurring1_based on steps'!Y$1:Y$400,0)),Y$2,)</f>
        <v>0</v>
      </c>
      <c r="Z274" s="155">
        <f ca="1">IF(ISNUMBER(MATCH(DATEVALUE($A274),'recurring1_based on steps'!Z$1:Z$400,0)),Z$2,)</f>
        <v>0</v>
      </c>
      <c r="AA274" s="155">
        <f ca="1">IF(ISNUMBER(MATCH(DATEVALUE($A274),'recurring1_based on steps'!AA$1:AA$400,0)),AA$2,)</f>
        <v>0</v>
      </c>
      <c r="AB274" s="155">
        <f ca="1">IF(ISNUMBER(MATCH(DATEVALUE($A274),'recurring1_based on steps'!AB$1:AB$400,0)),AB$2,)</f>
        <v>0</v>
      </c>
      <c r="AC274" s="155">
        <f ca="1">IF(ISNUMBER(MATCH(DATEVALUE($A274),'recurring1_based on steps'!AC$1:AC$400,0)),AC$2,)</f>
        <v>0</v>
      </c>
      <c r="AD274" s="155">
        <f ca="1">IF(ISNUMBER(MATCH(DATEVALUE($A274),'recurring1_based on steps'!AD$1:AD$400,0)),AD$2,)</f>
        <v>0</v>
      </c>
      <c r="AE274" s="155">
        <f ca="1">IF(ISNUMBER(MATCH(DATEVALUE($A274),'recurring1_based on steps'!AE$1:AE$400,0)),AE$2,)</f>
        <v>0</v>
      </c>
      <c r="AF274" s="155">
        <f ca="1">IF(ISNUMBER(MATCH(DATEVALUE($A274),'recurring1_based on steps'!AF$1:AF$400,0)),AF$2,)</f>
        <v>0</v>
      </c>
      <c r="AG274" s="155">
        <f ca="1">IF(ISNUMBER(MATCH(DATEVALUE($A274),'recurring1_based on steps'!AG$1:AG$400,0)),AG$2,)</f>
        <v>0</v>
      </c>
      <c r="AH274" s="155">
        <f ca="1">IF(ISNUMBER(MATCH(DATEVALUE($A274),'recurring1_based on steps'!AH$1:AH$400,0)),AH$2,)</f>
        <v>0</v>
      </c>
      <c r="AI274" s="155">
        <f ca="1">IF(ISNUMBER(MATCH(DATEVALUE($A274),'recurring1_based on steps'!AI$1:AI$400,0)),AI$2,)</f>
        <v>0</v>
      </c>
      <c r="AJ274" s="155">
        <f ca="1">IF(ISNUMBER(MATCH(DATEVALUE($A274),'recurring1_based on steps'!AJ$1:AJ$400,0)),AJ$2,)</f>
        <v>0</v>
      </c>
      <c r="AK274" s="155">
        <f ca="1">IF(ISNUMBER(MATCH(DATEVALUE($A274),'recurring1_based on steps'!AK$1:AK$400,0)),AK$2,)</f>
        <v>0</v>
      </c>
      <c r="AL274" s="155">
        <f ca="1">IF(ISNUMBER(MATCH(DATEVALUE($A274),'recurring1_based on steps'!AL$1:AL$400,0)),AL$2,)</f>
        <v>0</v>
      </c>
      <c r="AM274" s="155">
        <f ca="1">IF(ISNUMBER(MATCH(DATEVALUE($A274),'recurring1_based on steps'!AM$1:AM$400,0)),AM$2,)</f>
        <v>0</v>
      </c>
      <c r="AN274" s="155">
        <f ca="1">IF(ISNUMBER(MATCH(DATEVALUE($A274),'recurring1_based on steps'!AN$1:AN$400,0)),AN$2,)</f>
        <v>0</v>
      </c>
      <c r="AO274" s="155">
        <f ca="1">IF(ISNUMBER(MATCH(DATEVALUE($A274),'recurring1_based on steps'!AO$1:AO$400,0)),AO$2,)</f>
        <v>0</v>
      </c>
      <c r="AP274" s="155">
        <f ca="1">IF(ISNUMBER(MATCH(DATEVALUE($A274),'recurring1_based on steps'!AP$1:AP$400,0)),AP$2,)</f>
        <v>0</v>
      </c>
      <c r="AQ274" s="155">
        <f ca="1">IF(ISNUMBER(MATCH(DATEVALUE($A274),'recurring1_based on steps'!AQ$1:AQ$400,0)),AQ$2,)</f>
        <v>0</v>
      </c>
      <c r="AR274" s="155">
        <f ca="1">IF(ISNUMBER(MATCH(DATEVALUE($A274),'recurring1_based on steps'!AR$1:AR$400,0)),AR$2,)</f>
        <v>0</v>
      </c>
      <c r="AS274" s="155">
        <f ca="1">IF(ISNUMBER(MATCH(DATEVALUE($A274),'recurring1_based on steps'!AS$1:AS$400,0)),AS$2,)</f>
        <v>0</v>
      </c>
      <c r="AT274" s="155">
        <f ca="1">IF(ISNUMBER(MATCH(DATEVALUE($A274),'recurring1_based on steps'!AT$1:AT$400,0)),AT$2,)</f>
        <v>0</v>
      </c>
      <c r="AU274" s="155">
        <f ca="1">IF(ISNUMBER(MATCH(DATEVALUE($A274),'recurring1_based on steps'!AU$1:AU$400,0)),AU$2,)</f>
        <v>0</v>
      </c>
      <c r="AV274" s="155">
        <f ca="1">IF(ISNUMBER(MATCH(DATEVALUE($A274),'recurring1_based on steps'!AV$1:AV$400,0)),AV$2,)</f>
        <v>0</v>
      </c>
      <c r="AW274" s="155">
        <f ca="1">IF(ISNUMBER(MATCH(DATEVALUE($A274),'recurring1_based on steps'!AW$1:AW$400,0)),AW$2,)</f>
        <v>0</v>
      </c>
      <c r="AX274" s="155">
        <f ca="1">IF(ISNUMBER(MATCH(DATEVALUE($A274),'recurring1_based on steps'!AX$1:AX$400,0)),AX$2,)</f>
        <v>0</v>
      </c>
      <c r="AY274" s="155">
        <f ca="1">IF(ISNUMBER(MATCH(DATEVALUE($A274),'recurring1_based on steps'!AY$1:AY$400,0)),AY$2,)</f>
        <v>0</v>
      </c>
    </row>
    <row r="275" spans="1:51" x14ac:dyDescent="0.2">
      <c r="A275" s="18" t="str">
        <f t="shared" ca="1" si="4"/>
        <v>2025-10-31</v>
      </c>
      <c r="B275" s="155">
        <f ca="1">IF(ISNUMBER(MATCH(DATEVALUE($A275),'recurring1_based on steps'!B$1:B$400,0)),B$2,)</f>
        <v>4000</v>
      </c>
      <c r="C275" s="155">
        <f ca="1">IF(ISNUMBER(MATCH(DATEVALUE($A275),'recurring1_based on steps'!C$1:C$400,0)),C$2,)</f>
        <v>200</v>
      </c>
      <c r="D275" s="155">
        <f ca="1">IF(ISNUMBER(MATCH(DATEVALUE($A275),'recurring1_based on steps'!D$1:D$400,0)),D$2,)</f>
        <v>2</v>
      </c>
      <c r="E275" s="155">
        <f ca="1">IF(ISNUMBER(MATCH(DATEVALUE($A275),'recurring1_based on steps'!E$1:E$400,0)),E$2,)</f>
        <v>40</v>
      </c>
      <c r="F275" s="155">
        <f ca="1">IF(ISNUMBER(MATCH(DATEVALUE($A275),'recurring1_based on steps'!F$1:F$400,0)),F$2,)</f>
        <v>50</v>
      </c>
      <c r="G275" s="155">
        <f ca="1">IF(ISNUMBER(MATCH(DATEVALUE($A275),'recurring1_based on steps'!G$1:G$400,0)),G$2,)</f>
        <v>4</v>
      </c>
      <c r="H275" s="155">
        <f ca="1">IF(ISNUMBER(MATCH(DATEVALUE($A275),'recurring1_based on steps'!H$1:H$400,0)),H$2,)</f>
        <v>0</v>
      </c>
      <c r="I275" s="155">
        <f ca="1">IF(ISNUMBER(MATCH(DATEVALUE($A275),'recurring1_based on steps'!I$1:I$400,0)),I$2,)</f>
        <v>0</v>
      </c>
      <c r="J275" s="155">
        <f ca="1">IF(ISNUMBER(MATCH(DATEVALUE($A275),'recurring1_based on steps'!J$1:J$400,0)),J$2,)</f>
        <v>0</v>
      </c>
      <c r="K275" s="155">
        <f ca="1">IF(ISNUMBER(MATCH(DATEVALUE($A275),'recurring1_based on steps'!K$1:K$400,0)),K$2,)</f>
        <v>0</v>
      </c>
      <c r="L275" s="155">
        <f ca="1">IF(ISNUMBER(MATCH(DATEVALUE($A275),'recurring1_based on steps'!L$1:L$400,0)),L$2,)</f>
        <v>0</v>
      </c>
      <c r="M275" s="155">
        <f ca="1">IF(ISNUMBER(MATCH(DATEVALUE($A275),'recurring1_based on steps'!M$1:M$400,0)),M$2,)</f>
        <v>0</v>
      </c>
      <c r="N275" s="155">
        <f ca="1">IF(ISNUMBER(MATCH(DATEVALUE($A275),'recurring1_based on steps'!N$1:N$400,0)),N$2,)</f>
        <v>0</v>
      </c>
      <c r="O275" s="155">
        <f ca="1">IF(ISNUMBER(MATCH(DATEVALUE($A275),'recurring1_based on steps'!O$1:O$400,0)),O$2,)</f>
        <v>0</v>
      </c>
      <c r="P275" s="155">
        <f ca="1">IF(ISNUMBER(MATCH(DATEVALUE($A275),'recurring1_based on steps'!P$1:P$400,0)),P$2,)</f>
        <v>0</v>
      </c>
      <c r="Q275" s="155">
        <f ca="1">IF(ISNUMBER(MATCH(DATEVALUE($A275),'recurring1_based on steps'!Q$1:Q$400,0)),Q$2,)</f>
        <v>0</v>
      </c>
      <c r="R275" s="155">
        <f ca="1">IF(ISNUMBER(MATCH(DATEVALUE($A275),'recurring1_based on steps'!R$1:R$400,0)),R$2,)</f>
        <v>0</v>
      </c>
      <c r="S275" s="155">
        <f ca="1">IF(ISNUMBER(MATCH(DATEVALUE($A275),'recurring1_based on steps'!S$1:S$400,0)),S$2,)</f>
        <v>0</v>
      </c>
      <c r="T275" s="155">
        <f ca="1">IF(ISNUMBER(MATCH(DATEVALUE($A275),'recurring1_based on steps'!T$1:T$400,0)),T$2,)</f>
        <v>0</v>
      </c>
      <c r="U275" s="155">
        <f ca="1">IF(ISNUMBER(MATCH(DATEVALUE($A275),'recurring1_based on steps'!U$1:U$400,0)),U$2,)</f>
        <v>0</v>
      </c>
      <c r="V275" s="155">
        <f ca="1">IF(ISNUMBER(MATCH(DATEVALUE($A275),'recurring1_based on steps'!V$1:V$400,0)),V$2,)</f>
        <v>0</v>
      </c>
      <c r="W275" s="155">
        <f ca="1">IF(ISNUMBER(MATCH(DATEVALUE($A275),'recurring1_based on steps'!W$1:W$400,0)),W$2,)</f>
        <v>0</v>
      </c>
      <c r="X275" s="155">
        <f ca="1">IF(ISNUMBER(MATCH(DATEVALUE($A275),'recurring1_based on steps'!X$1:X$400,0)),X$2,)</f>
        <v>50</v>
      </c>
      <c r="Y275" s="155">
        <f ca="1">IF(ISNUMBER(MATCH(DATEVALUE($A275),'recurring1_based on steps'!Y$1:Y$400,0)),Y$2,)</f>
        <v>0</v>
      </c>
      <c r="Z275" s="155">
        <f ca="1">IF(ISNUMBER(MATCH(DATEVALUE($A275),'recurring1_based on steps'!Z$1:Z$400,0)),Z$2,)</f>
        <v>0</v>
      </c>
      <c r="AA275" s="155">
        <f ca="1">IF(ISNUMBER(MATCH(DATEVALUE($A275),'recurring1_based on steps'!AA$1:AA$400,0)),AA$2,)</f>
        <v>0</v>
      </c>
      <c r="AB275" s="155">
        <f ca="1">IF(ISNUMBER(MATCH(DATEVALUE($A275),'recurring1_based on steps'!AB$1:AB$400,0)),AB$2,)</f>
        <v>0</v>
      </c>
      <c r="AC275" s="155">
        <f ca="1">IF(ISNUMBER(MATCH(DATEVALUE($A275),'recurring1_based on steps'!AC$1:AC$400,0)),AC$2,)</f>
        <v>0</v>
      </c>
      <c r="AD275" s="155">
        <f ca="1">IF(ISNUMBER(MATCH(DATEVALUE($A275),'recurring1_based on steps'!AD$1:AD$400,0)),AD$2,)</f>
        <v>0</v>
      </c>
      <c r="AE275" s="155">
        <f ca="1">IF(ISNUMBER(MATCH(DATEVALUE($A275),'recurring1_based on steps'!AE$1:AE$400,0)),AE$2,)</f>
        <v>0</v>
      </c>
      <c r="AF275" s="155">
        <f ca="1">IF(ISNUMBER(MATCH(DATEVALUE($A275),'recurring1_based on steps'!AF$1:AF$400,0)),AF$2,)</f>
        <v>0</v>
      </c>
      <c r="AG275" s="155">
        <f ca="1">IF(ISNUMBER(MATCH(DATEVALUE($A275),'recurring1_based on steps'!AG$1:AG$400,0)),AG$2,)</f>
        <v>0</v>
      </c>
      <c r="AH275" s="155">
        <f ca="1">IF(ISNUMBER(MATCH(DATEVALUE($A275),'recurring1_based on steps'!AH$1:AH$400,0)),AH$2,)</f>
        <v>0</v>
      </c>
      <c r="AI275" s="155">
        <f ca="1">IF(ISNUMBER(MATCH(DATEVALUE($A275),'recurring1_based on steps'!AI$1:AI$400,0)),AI$2,)</f>
        <v>0</v>
      </c>
      <c r="AJ275" s="155">
        <f ca="1">IF(ISNUMBER(MATCH(DATEVALUE($A275),'recurring1_based on steps'!AJ$1:AJ$400,0)),AJ$2,)</f>
        <v>0</v>
      </c>
      <c r="AK275" s="155">
        <f ca="1">IF(ISNUMBER(MATCH(DATEVALUE($A275),'recurring1_based on steps'!AK$1:AK$400,0)),AK$2,)</f>
        <v>0</v>
      </c>
      <c r="AL275" s="155">
        <f ca="1">IF(ISNUMBER(MATCH(DATEVALUE($A275),'recurring1_based on steps'!AL$1:AL$400,0)),AL$2,)</f>
        <v>0</v>
      </c>
      <c r="AM275" s="155">
        <f ca="1">IF(ISNUMBER(MATCH(DATEVALUE($A275),'recurring1_based on steps'!AM$1:AM$400,0)),AM$2,)</f>
        <v>0</v>
      </c>
      <c r="AN275" s="155">
        <f ca="1">IF(ISNUMBER(MATCH(DATEVALUE($A275),'recurring1_based on steps'!AN$1:AN$400,0)),AN$2,)</f>
        <v>0</v>
      </c>
      <c r="AO275" s="155">
        <f ca="1">IF(ISNUMBER(MATCH(DATEVALUE($A275),'recurring1_based on steps'!AO$1:AO$400,0)),AO$2,)</f>
        <v>0</v>
      </c>
      <c r="AP275" s="155">
        <f ca="1">IF(ISNUMBER(MATCH(DATEVALUE($A275),'recurring1_based on steps'!AP$1:AP$400,0)),AP$2,)</f>
        <v>0</v>
      </c>
      <c r="AQ275" s="155">
        <f ca="1">IF(ISNUMBER(MATCH(DATEVALUE($A275),'recurring1_based on steps'!AQ$1:AQ$400,0)),AQ$2,)</f>
        <v>0</v>
      </c>
      <c r="AR275" s="155">
        <f ca="1">IF(ISNUMBER(MATCH(DATEVALUE($A275),'recurring1_based on steps'!AR$1:AR$400,0)),AR$2,)</f>
        <v>0</v>
      </c>
      <c r="AS275" s="155">
        <f ca="1">IF(ISNUMBER(MATCH(DATEVALUE($A275),'recurring1_based on steps'!AS$1:AS$400,0)),AS$2,)</f>
        <v>0</v>
      </c>
      <c r="AT275" s="155">
        <f ca="1">IF(ISNUMBER(MATCH(DATEVALUE($A275),'recurring1_based on steps'!AT$1:AT$400,0)),AT$2,)</f>
        <v>0</v>
      </c>
      <c r="AU275" s="155">
        <f ca="1">IF(ISNUMBER(MATCH(DATEVALUE($A275),'recurring1_based on steps'!AU$1:AU$400,0)),AU$2,)</f>
        <v>0</v>
      </c>
      <c r="AV275" s="155">
        <f ca="1">IF(ISNUMBER(MATCH(DATEVALUE($A275),'recurring1_based on steps'!AV$1:AV$400,0)),AV$2,)</f>
        <v>0</v>
      </c>
      <c r="AW275" s="155">
        <f ca="1">IF(ISNUMBER(MATCH(DATEVALUE($A275),'recurring1_based on steps'!AW$1:AW$400,0)),AW$2,)</f>
        <v>0</v>
      </c>
      <c r="AX275" s="155">
        <f ca="1">IF(ISNUMBER(MATCH(DATEVALUE($A275),'recurring1_based on steps'!AX$1:AX$400,0)),AX$2,)</f>
        <v>0</v>
      </c>
      <c r="AY275" s="155">
        <f ca="1">IF(ISNUMBER(MATCH(DATEVALUE($A275),'recurring1_based on steps'!AY$1:AY$400,0)),AY$2,)</f>
        <v>0</v>
      </c>
    </row>
    <row r="276" spans="1:51" x14ac:dyDescent="0.2">
      <c r="A276" s="18" t="str">
        <f t="shared" ca="1" si="4"/>
        <v>2025-11-01</v>
      </c>
      <c r="B276" s="155">
        <f ca="1">IF(ISNUMBER(MATCH(DATEVALUE($A276),'recurring1_based on steps'!B$1:B$400,0)),B$2,)</f>
        <v>0</v>
      </c>
      <c r="C276" s="155">
        <f ca="1">IF(ISNUMBER(MATCH(DATEVALUE($A276),'recurring1_based on steps'!C$1:C$400,0)),C$2,)</f>
        <v>0</v>
      </c>
      <c r="D276" s="155">
        <f ca="1">IF(ISNUMBER(MATCH(DATEVALUE($A276),'recurring1_based on steps'!D$1:D$400,0)),D$2,)</f>
        <v>0</v>
      </c>
      <c r="E276" s="155">
        <f ca="1">IF(ISNUMBER(MATCH(DATEVALUE($A276),'recurring1_based on steps'!E$1:E$400,0)),E$2,)</f>
        <v>0</v>
      </c>
      <c r="F276" s="155">
        <f ca="1">IF(ISNUMBER(MATCH(DATEVALUE($A276),'recurring1_based on steps'!F$1:F$400,0)),F$2,)</f>
        <v>0</v>
      </c>
      <c r="G276" s="155">
        <f ca="1">IF(ISNUMBER(MATCH(DATEVALUE($A276),'recurring1_based on steps'!G$1:G$400,0)),G$2,)</f>
        <v>0</v>
      </c>
      <c r="H276" s="155">
        <f ca="1">IF(ISNUMBER(MATCH(DATEVALUE($A276),'recurring1_based on steps'!H$1:H$400,0)),H$2,)</f>
        <v>0</v>
      </c>
      <c r="I276" s="155">
        <f ca="1">IF(ISNUMBER(MATCH(DATEVALUE($A276),'recurring1_based on steps'!I$1:I$400,0)),I$2,)</f>
        <v>2000</v>
      </c>
      <c r="J276" s="155">
        <f ca="1">IF(ISNUMBER(MATCH(DATEVALUE($A276),'recurring1_based on steps'!J$1:J$400,0)),J$2,)</f>
        <v>0</v>
      </c>
      <c r="K276" s="155">
        <f ca="1">IF(ISNUMBER(MATCH(DATEVALUE($A276),'recurring1_based on steps'!K$1:K$400,0)),K$2,)</f>
        <v>0</v>
      </c>
      <c r="L276" s="155">
        <f ca="1">IF(ISNUMBER(MATCH(DATEVALUE($A276),'recurring1_based on steps'!L$1:L$400,0)),L$2,)</f>
        <v>0</v>
      </c>
      <c r="M276" s="155">
        <f ca="1">IF(ISNUMBER(MATCH(DATEVALUE($A276),'recurring1_based on steps'!M$1:M$400,0)),M$2,)</f>
        <v>0</v>
      </c>
      <c r="N276" s="155">
        <f ca="1">IF(ISNUMBER(MATCH(DATEVALUE($A276),'recurring1_based on steps'!N$1:N$400,0)),N$2,)</f>
        <v>0</v>
      </c>
      <c r="O276" s="155">
        <f ca="1">IF(ISNUMBER(MATCH(DATEVALUE($A276),'recurring1_based on steps'!O$1:O$400,0)),O$2,)</f>
        <v>0</v>
      </c>
      <c r="P276" s="155">
        <f ca="1">IF(ISNUMBER(MATCH(DATEVALUE($A276),'recurring1_based on steps'!P$1:P$400,0)),P$2,)</f>
        <v>0</v>
      </c>
      <c r="Q276" s="155">
        <f ca="1">IF(ISNUMBER(MATCH(DATEVALUE($A276),'recurring1_based on steps'!Q$1:Q$400,0)),Q$2,)</f>
        <v>100</v>
      </c>
      <c r="R276" s="155">
        <f ca="1">IF(ISNUMBER(MATCH(DATEVALUE($A276),'recurring1_based on steps'!R$1:R$400,0)),R$2,)</f>
        <v>100</v>
      </c>
      <c r="S276" s="155">
        <f ca="1">IF(ISNUMBER(MATCH(DATEVALUE($A276),'recurring1_based on steps'!S$1:S$400,0)),S$2,)</f>
        <v>0</v>
      </c>
      <c r="T276" s="155">
        <f ca="1">IF(ISNUMBER(MATCH(DATEVALUE($A276),'recurring1_based on steps'!T$1:T$400,0)),T$2,)</f>
        <v>0</v>
      </c>
      <c r="U276" s="155">
        <f ca="1">IF(ISNUMBER(MATCH(DATEVALUE($A276),'recurring1_based on steps'!U$1:U$400,0)),U$2,)</f>
        <v>0</v>
      </c>
      <c r="V276" s="155">
        <f ca="1">IF(ISNUMBER(MATCH(DATEVALUE($A276),'recurring1_based on steps'!V$1:V$400,0)),V$2,)</f>
        <v>0</v>
      </c>
      <c r="W276" s="155">
        <f ca="1">IF(ISNUMBER(MATCH(DATEVALUE($A276),'recurring1_based on steps'!W$1:W$400,0)),W$2,)</f>
        <v>0</v>
      </c>
      <c r="X276" s="155">
        <f ca="1">IF(ISNUMBER(MATCH(DATEVALUE($A276),'recurring1_based on steps'!X$1:X$400,0)),X$2,)</f>
        <v>0</v>
      </c>
      <c r="Y276" s="155">
        <f ca="1">IF(ISNUMBER(MATCH(DATEVALUE($A276),'recurring1_based on steps'!Y$1:Y$400,0)),Y$2,)</f>
        <v>0</v>
      </c>
      <c r="Z276" s="155">
        <f ca="1">IF(ISNUMBER(MATCH(DATEVALUE($A276),'recurring1_based on steps'!Z$1:Z$400,0)),Z$2,)</f>
        <v>0</v>
      </c>
      <c r="AA276" s="155">
        <f ca="1">IF(ISNUMBER(MATCH(DATEVALUE($A276),'recurring1_based on steps'!AA$1:AA$400,0)),AA$2,)</f>
        <v>0</v>
      </c>
      <c r="AB276" s="155">
        <f ca="1">IF(ISNUMBER(MATCH(DATEVALUE($A276),'recurring1_based on steps'!AB$1:AB$400,0)),AB$2,)</f>
        <v>0</v>
      </c>
      <c r="AC276" s="155">
        <f ca="1">IF(ISNUMBER(MATCH(DATEVALUE($A276),'recurring1_based on steps'!AC$1:AC$400,0)),AC$2,)</f>
        <v>0</v>
      </c>
      <c r="AD276" s="155">
        <f ca="1">IF(ISNUMBER(MATCH(DATEVALUE($A276),'recurring1_based on steps'!AD$1:AD$400,0)),AD$2,)</f>
        <v>0</v>
      </c>
      <c r="AE276" s="155">
        <f ca="1">IF(ISNUMBER(MATCH(DATEVALUE($A276),'recurring1_based on steps'!AE$1:AE$400,0)),AE$2,)</f>
        <v>0</v>
      </c>
      <c r="AF276" s="155">
        <f ca="1">IF(ISNUMBER(MATCH(DATEVALUE($A276),'recurring1_based on steps'!AF$1:AF$400,0)),AF$2,)</f>
        <v>0</v>
      </c>
      <c r="AG276" s="155">
        <f ca="1">IF(ISNUMBER(MATCH(DATEVALUE($A276),'recurring1_based on steps'!AG$1:AG$400,0)),AG$2,)</f>
        <v>0</v>
      </c>
      <c r="AH276" s="155">
        <f ca="1">IF(ISNUMBER(MATCH(DATEVALUE($A276),'recurring1_based on steps'!AH$1:AH$400,0)),AH$2,)</f>
        <v>0</v>
      </c>
      <c r="AI276" s="155">
        <f ca="1">IF(ISNUMBER(MATCH(DATEVALUE($A276),'recurring1_based on steps'!AI$1:AI$400,0)),AI$2,)</f>
        <v>0</v>
      </c>
      <c r="AJ276" s="155">
        <f ca="1">IF(ISNUMBER(MATCH(DATEVALUE($A276),'recurring1_based on steps'!AJ$1:AJ$400,0)),AJ$2,)</f>
        <v>0</v>
      </c>
      <c r="AK276" s="155">
        <f ca="1">IF(ISNUMBER(MATCH(DATEVALUE($A276),'recurring1_based on steps'!AK$1:AK$400,0)),AK$2,)</f>
        <v>0</v>
      </c>
      <c r="AL276" s="155">
        <f ca="1">IF(ISNUMBER(MATCH(DATEVALUE($A276),'recurring1_based on steps'!AL$1:AL$400,0)),AL$2,)</f>
        <v>0</v>
      </c>
      <c r="AM276" s="155">
        <f ca="1">IF(ISNUMBER(MATCH(DATEVALUE($A276),'recurring1_based on steps'!AM$1:AM$400,0)),AM$2,)</f>
        <v>0</v>
      </c>
      <c r="AN276" s="155">
        <f ca="1">IF(ISNUMBER(MATCH(DATEVALUE($A276),'recurring1_based on steps'!AN$1:AN$400,0)),AN$2,)</f>
        <v>0</v>
      </c>
      <c r="AO276" s="155">
        <f ca="1">IF(ISNUMBER(MATCH(DATEVALUE($A276),'recurring1_based on steps'!AO$1:AO$400,0)),AO$2,)</f>
        <v>0</v>
      </c>
      <c r="AP276" s="155">
        <f ca="1">IF(ISNUMBER(MATCH(DATEVALUE($A276),'recurring1_based on steps'!AP$1:AP$400,0)),AP$2,)</f>
        <v>0</v>
      </c>
      <c r="AQ276" s="155">
        <f ca="1">IF(ISNUMBER(MATCH(DATEVALUE($A276),'recurring1_based on steps'!AQ$1:AQ$400,0)),AQ$2,)</f>
        <v>0</v>
      </c>
      <c r="AR276" s="155">
        <f ca="1">IF(ISNUMBER(MATCH(DATEVALUE($A276),'recurring1_based on steps'!AR$1:AR$400,0)),AR$2,)</f>
        <v>0</v>
      </c>
      <c r="AS276" s="155">
        <f ca="1">IF(ISNUMBER(MATCH(DATEVALUE($A276),'recurring1_based on steps'!AS$1:AS$400,0)),AS$2,)</f>
        <v>0</v>
      </c>
      <c r="AT276" s="155">
        <f ca="1">IF(ISNUMBER(MATCH(DATEVALUE($A276),'recurring1_based on steps'!AT$1:AT$400,0)),AT$2,)</f>
        <v>0</v>
      </c>
      <c r="AU276" s="155">
        <f ca="1">IF(ISNUMBER(MATCH(DATEVALUE($A276),'recurring1_based on steps'!AU$1:AU$400,0)),AU$2,)</f>
        <v>0</v>
      </c>
      <c r="AV276" s="155">
        <f ca="1">IF(ISNUMBER(MATCH(DATEVALUE($A276),'recurring1_based on steps'!AV$1:AV$400,0)),AV$2,)</f>
        <v>0</v>
      </c>
      <c r="AW276" s="155">
        <f ca="1">IF(ISNUMBER(MATCH(DATEVALUE($A276),'recurring1_based on steps'!AW$1:AW$400,0)),AW$2,)</f>
        <v>0</v>
      </c>
      <c r="AX276" s="155">
        <f ca="1">IF(ISNUMBER(MATCH(DATEVALUE($A276),'recurring1_based on steps'!AX$1:AX$400,0)),AX$2,)</f>
        <v>0</v>
      </c>
      <c r="AY276" s="155">
        <f ca="1">IF(ISNUMBER(MATCH(DATEVALUE($A276),'recurring1_based on steps'!AY$1:AY$400,0)),AY$2,)</f>
        <v>0</v>
      </c>
    </row>
    <row r="277" spans="1:51" x14ac:dyDescent="0.2">
      <c r="A277" s="18" t="str">
        <f t="shared" ca="1" si="4"/>
        <v>2025-11-02</v>
      </c>
      <c r="B277" s="155">
        <f ca="1">IF(ISNUMBER(MATCH(DATEVALUE($A277),'recurring1_based on steps'!B$1:B$400,0)),B$2,)</f>
        <v>0</v>
      </c>
      <c r="C277" s="155">
        <f ca="1">IF(ISNUMBER(MATCH(DATEVALUE($A277),'recurring1_based on steps'!C$1:C$400,0)),C$2,)</f>
        <v>0</v>
      </c>
      <c r="D277" s="155">
        <f ca="1">IF(ISNUMBER(MATCH(DATEVALUE($A277),'recurring1_based on steps'!D$1:D$400,0)),D$2,)</f>
        <v>0</v>
      </c>
      <c r="E277" s="155">
        <f ca="1">IF(ISNUMBER(MATCH(DATEVALUE($A277),'recurring1_based on steps'!E$1:E$400,0)),E$2,)</f>
        <v>0</v>
      </c>
      <c r="F277" s="155">
        <f ca="1">IF(ISNUMBER(MATCH(DATEVALUE($A277),'recurring1_based on steps'!F$1:F$400,0)),F$2,)</f>
        <v>0</v>
      </c>
      <c r="G277" s="155">
        <f ca="1">IF(ISNUMBER(MATCH(DATEVALUE($A277),'recurring1_based on steps'!G$1:G$400,0)),G$2,)</f>
        <v>0</v>
      </c>
      <c r="H277" s="155">
        <f ca="1">IF(ISNUMBER(MATCH(DATEVALUE($A277),'recurring1_based on steps'!H$1:H$400,0)),H$2,)</f>
        <v>0</v>
      </c>
      <c r="I277" s="155">
        <f ca="1">IF(ISNUMBER(MATCH(DATEVALUE($A277),'recurring1_based on steps'!I$1:I$400,0)),I$2,)</f>
        <v>0</v>
      </c>
      <c r="J277" s="155">
        <f ca="1">IF(ISNUMBER(MATCH(DATEVALUE($A277),'recurring1_based on steps'!J$1:J$400,0)),J$2,)</f>
        <v>0</v>
      </c>
      <c r="K277" s="155">
        <f ca="1">IF(ISNUMBER(MATCH(DATEVALUE($A277),'recurring1_based on steps'!K$1:K$400,0)),K$2,)</f>
        <v>50</v>
      </c>
      <c r="L277" s="155">
        <f ca="1">IF(ISNUMBER(MATCH(DATEVALUE($A277),'recurring1_based on steps'!L$1:L$400,0)),L$2,)</f>
        <v>0</v>
      </c>
      <c r="M277" s="155">
        <f ca="1">IF(ISNUMBER(MATCH(DATEVALUE($A277),'recurring1_based on steps'!M$1:M$400,0)),M$2,)</f>
        <v>0</v>
      </c>
      <c r="N277" s="155">
        <f ca="1">IF(ISNUMBER(MATCH(DATEVALUE($A277),'recurring1_based on steps'!N$1:N$400,0)),N$2,)</f>
        <v>0</v>
      </c>
      <c r="O277" s="155">
        <f ca="1">IF(ISNUMBER(MATCH(DATEVALUE($A277),'recurring1_based on steps'!O$1:O$400,0)),O$2,)</f>
        <v>0</v>
      </c>
      <c r="P277" s="155">
        <f ca="1">IF(ISNUMBER(MATCH(DATEVALUE($A277),'recurring1_based on steps'!P$1:P$400,0)),P$2,)</f>
        <v>0</v>
      </c>
      <c r="Q277" s="155">
        <f ca="1">IF(ISNUMBER(MATCH(DATEVALUE($A277),'recurring1_based on steps'!Q$1:Q$400,0)),Q$2,)</f>
        <v>0</v>
      </c>
      <c r="R277" s="155">
        <f ca="1">IF(ISNUMBER(MATCH(DATEVALUE($A277),'recurring1_based on steps'!R$1:R$400,0)),R$2,)</f>
        <v>0</v>
      </c>
      <c r="S277" s="155">
        <f ca="1">IF(ISNUMBER(MATCH(DATEVALUE($A277),'recurring1_based on steps'!S$1:S$400,0)),S$2,)</f>
        <v>100</v>
      </c>
      <c r="T277" s="155">
        <f ca="1">IF(ISNUMBER(MATCH(DATEVALUE($A277),'recurring1_based on steps'!T$1:T$400,0)),T$2,)</f>
        <v>0</v>
      </c>
      <c r="U277" s="155">
        <f ca="1">IF(ISNUMBER(MATCH(DATEVALUE($A277),'recurring1_based on steps'!U$1:U$400,0)),U$2,)</f>
        <v>0</v>
      </c>
      <c r="V277" s="155">
        <f ca="1">IF(ISNUMBER(MATCH(DATEVALUE($A277),'recurring1_based on steps'!V$1:V$400,0)),V$2,)</f>
        <v>0</v>
      </c>
      <c r="W277" s="155">
        <f ca="1">IF(ISNUMBER(MATCH(DATEVALUE($A277),'recurring1_based on steps'!W$1:W$400,0)),W$2,)</f>
        <v>0</v>
      </c>
      <c r="X277" s="155">
        <f ca="1">IF(ISNUMBER(MATCH(DATEVALUE($A277),'recurring1_based on steps'!X$1:X$400,0)),X$2,)</f>
        <v>0</v>
      </c>
      <c r="Y277" s="155">
        <f ca="1">IF(ISNUMBER(MATCH(DATEVALUE($A277),'recurring1_based on steps'!Y$1:Y$400,0)),Y$2,)</f>
        <v>0</v>
      </c>
      <c r="Z277" s="155">
        <f ca="1">IF(ISNUMBER(MATCH(DATEVALUE($A277),'recurring1_based on steps'!Z$1:Z$400,0)),Z$2,)</f>
        <v>0</v>
      </c>
      <c r="AA277" s="155">
        <f ca="1">IF(ISNUMBER(MATCH(DATEVALUE($A277),'recurring1_based on steps'!AA$1:AA$400,0)),AA$2,)</f>
        <v>0</v>
      </c>
      <c r="AB277" s="155">
        <f ca="1">IF(ISNUMBER(MATCH(DATEVALUE($A277),'recurring1_based on steps'!AB$1:AB$400,0)),AB$2,)</f>
        <v>0</v>
      </c>
      <c r="AC277" s="155">
        <f ca="1">IF(ISNUMBER(MATCH(DATEVALUE($A277),'recurring1_based on steps'!AC$1:AC$400,0)),AC$2,)</f>
        <v>0</v>
      </c>
      <c r="AD277" s="155">
        <f ca="1">IF(ISNUMBER(MATCH(DATEVALUE($A277),'recurring1_based on steps'!AD$1:AD$400,0)),AD$2,)</f>
        <v>0</v>
      </c>
      <c r="AE277" s="155">
        <f ca="1">IF(ISNUMBER(MATCH(DATEVALUE($A277),'recurring1_based on steps'!AE$1:AE$400,0)),AE$2,)</f>
        <v>0</v>
      </c>
      <c r="AF277" s="155">
        <f ca="1">IF(ISNUMBER(MATCH(DATEVALUE($A277),'recurring1_based on steps'!AF$1:AF$400,0)),AF$2,)</f>
        <v>0</v>
      </c>
      <c r="AG277" s="155">
        <f ca="1">IF(ISNUMBER(MATCH(DATEVALUE($A277),'recurring1_based on steps'!AG$1:AG$400,0)),AG$2,)</f>
        <v>0</v>
      </c>
      <c r="AH277" s="155">
        <f ca="1">IF(ISNUMBER(MATCH(DATEVALUE($A277),'recurring1_based on steps'!AH$1:AH$400,0)),AH$2,)</f>
        <v>0</v>
      </c>
      <c r="AI277" s="155">
        <f ca="1">IF(ISNUMBER(MATCH(DATEVALUE($A277),'recurring1_based on steps'!AI$1:AI$400,0)),AI$2,)</f>
        <v>0</v>
      </c>
      <c r="AJ277" s="155">
        <f ca="1">IF(ISNUMBER(MATCH(DATEVALUE($A277),'recurring1_based on steps'!AJ$1:AJ$400,0)),AJ$2,)</f>
        <v>0</v>
      </c>
      <c r="AK277" s="155">
        <f ca="1">IF(ISNUMBER(MATCH(DATEVALUE($A277),'recurring1_based on steps'!AK$1:AK$400,0)),AK$2,)</f>
        <v>0</v>
      </c>
      <c r="AL277" s="155">
        <f ca="1">IF(ISNUMBER(MATCH(DATEVALUE($A277),'recurring1_based on steps'!AL$1:AL$400,0)),AL$2,)</f>
        <v>0</v>
      </c>
      <c r="AM277" s="155">
        <f ca="1">IF(ISNUMBER(MATCH(DATEVALUE($A277),'recurring1_based on steps'!AM$1:AM$400,0)),AM$2,)</f>
        <v>0</v>
      </c>
      <c r="AN277" s="155">
        <f ca="1">IF(ISNUMBER(MATCH(DATEVALUE($A277),'recurring1_based on steps'!AN$1:AN$400,0)),AN$2,)</f>
        <v>0</v>
      </c>
      <c r="AO277" s="155">
        <f ca="1">IF(ISNUMBER(MATCH(DATEVALUE($A277),'recurring1_based on steps'!AO$1:AO$400,0)),AO$2,)</f>
        <v>0</v>
      </c>
      <c r="AP277" s="155">
        <f ca="1">IF(ISNUMBER(MATCH(DATEVALUE($A277),'recurring1_based on steps'!AP$1:AP$400,0)),AP$2,)</f>
        <v>0</v>
      </c>
      <c r="AQ277" s="155">
        <f ca="1">IF(ISNUMBER(MATCH(DATEVALUE($A277),'recurring1_based on steps'!AQ$1:AQ$400,0)),AQ$2,)</f>
        <v>0</v>
      </c>
      <c r="AR277" s="155">
        <f ca="1">IF(ISNUMBER(MATCH(DATEVALUE($A277),'recurring1_based on steps'!AR$1:AR$400,0)),AR$2,)</f>
        <v>0</v>
      </c>
      <c r="AS277" s="155">
        <f ca="1">IF(ISNUMBER(MATCH(DATEVALUE($A277),'recurring1_based on steps'!AS$1:AS$400,0)),AS$2,)</f>
        <v>0</v>
      </c>
      <c r="AT277" s="155">
        <f ca="1">IF(ISNUMBER(MATCH(DATEVALUE($A277),'recurring1_based on steps'!AT$1:AT$400,0)),AT$2,)</f>
        <v>0</v>
      </c>
      <c r="AU277" s="155">
        <f ca="1">IF(ISNUMBER(MATCH(DATEVALUE($A277),'recurring1_based on steps'!AU$1:AU$400,0)),AU$2,)</f>
        <v>0</v>
      </c>
      <c r="AV277" s="155">
        <f ca="1">IF(ISNUMBER(MATCH(DATEVALUE($A277),'recurring1_based on steps'!AV$1:AV$400,0)),AV$2,)</f>
        <v>0</v>
      </c>
      <c r="AW277" s="155">
        <f ca="1">IF(ISNUMBER(MATCH(DATEVALUE($A277),'recurring1_based on steps'!AW$1:AW$400,0)),AW$2,)</f>
        <v>0</v>
      </c>
      <c r="AX277" s="155">
        <f ca="1">IF(ISNUMBER(MATCH(DATEVALUE($A277),'recurring1_based on steps'!AX$1:AX$400,0)),AX$2,)</f>
        <v>0</v>
      </c>
      <c r="AY277" s="155">
        <f ca="1">IF(ISNUMBER(MATCH(DATEVALUE($A277),'recurring1_based on steps'!AY$1:AY$400,0)),AY$2,)</f>
        <v>0</v>
      </c>
    </row>
    <row r="278" spans="1:51" x14ac:dyDescent="0.2">
      <c r="A278" s="18" t="str">
        <f t="shared" ca="1" si="4"/>
        <v>2025-11-03</v>
      </c>
      <c r="B278" s="155">
        <f ca="1">IF(ISNUMBER(MATCH(DATEVALUE($A278),'recurring1_based on steps'!B$1:B$400,0)),B$2,)</f>
        <v>0</v>
      </c>
      <c r="C278" s="155">
        <f ca="1">IF(ISNUMBER(MATCH(DATEVALUE($A278),'recurring1_based on steps'!C$1:C$400,0)),C$2,)</f>
        <v>0</v>
      </c>
      <c r="D278" s="155">
        <f ca="1">IF(ISNUMBER(MATCH(DATEVALUE($A278),'recurring1_based on steps'!D$1:D$400,0)),D$2,)</f>
        <v>0</v>
      </c>
      <c r="E278" s="155">
        <f ca="1">IF(ISNUMBER(MATCH(DATEVALUE($A278),'recurring1_based on steps'!E$1:E$400,0)),E$2,)</f>
        <v>0</v>
      </c>
      <c r="F278" s="155">
        <f ca="1">IF(ISNUMBER(MATCH(DATEVALUE($A278),'recurring1_based on steps'!F$1:F$400,0)),F$2,)</f>
        <v>0</v>
      </c>
      <c r="G278" s="155">
        <f ca="1">IF(ISNUMBER(MATCH(DATEVALUE($A278),'recurring1_based on steps'!G$1:G$400,0)),G$2,)</f>
        <v>0</v>
      </c>
      <c r="H278" s="155">
        <f ca="1">IF(ISNUMBER(MATCH(DATEVALUE($A278),'recurring1_based on steps'!H$1:H$400,0)),H$2,)</f>
        <v>0</v>
      </c>
      <c r="I278" s="155">
        <f ca="1">IF(ISNUMBER(MATCH(DATEVALUE($A278),'recurring1_based on steps'!I$1:I$400,0)),I$2,)</f>
        <v>0</v>
      </c>
      <c r="J278" s="155">
        <f ca="1">IF(ISNUMBER(MATCH(DATEVALUE($A278),'recurring1_based on steps'!J$1:J$400,0)),J$2,)</f>
        <v>0</v>
      </c>
      <c r="K278" s="155">
        <f ca="1">IF(ISNUMBER(MATCH(DATEVALUE($A278),'recurring1_based on steps'!K$1:K$400,0)),K$2,)</f>
        <v>0</v>
      </c>
      <c r="L278" s="155">
        <f ca="1">IF(ISNUMBER(MATCH(DATEVALUE($A278),'recurring1_based on steps'!L$1:L$400,0)),L$2,)</f>
        <v>0</v>
      </c>
      <c r="M278" s="155">
        <f ca="1">IF(ISNUMBER(MATCH(DATEVALUE($A278),'recurring1_based on steps'!M$1:M$400,0)),M$2,)</f>
        <v>0</v>
      </c>
      <c r="N278" s="155">
        <f ca="1">IF(ISNUMBER(MATCH(DATEVALUE($A278),'recurring1_based on steps'!N$1:N$400,0)),N$2,)</f>
        <v>0</v>
      </c>
      <c r="O278" s="155">
        <f ca="1">IF(ISNUMBER(MATCH(DATEVALUE($A278),'recurring1_based on steps'!O$1:O$400,0)),O$2,)</f>
        <v>0</v>
      </c>
      <c r="P278" s="155">
        <f ca="1">IF(ISNUMBER(MATCH(DATEVALUE($A278),'recurring1_based on steps'!P$1:P$400,0)),P$2,)</f>
        <v>0</v>
      </c>
      <c r="Q278" s="155">
        <f ca="1">IF(ISNUMBER(MATCH(DATEVALUE($A278),'recurring1_based on steps'!Q$1:Q$400,0)),Q$2,)</f>
        <v>0</v>
      </c>
      <c r="R278" s="155">
        <f ca="1">IF(ISNUMBER(MATCH(DATEVALUE($A278),'recurring1_based on steps'!R$1:R$400,0)),R$2,)</f>
        <v>0</v>
      </c>
      <c r="S278" s="155">
        <f ca="1">IF(ISNUMBER(MATCH(DATEVALUE($A278),'recurring1_based on steps'!S$1:S$400,0)),S$2,)</f>
        <v>0</v>
      </c>
      <c r="T278" s="155">
        <f ca="1">IF(ISNUMBER(MATCH(DATEVALUE($A278),'recurring1_based on steps'!T$1:T$400,0)),T$2,)</f>
        <v>50</v>
      </c>
      <c r="U278" s="155">
        <f ca="1">IF(ISNUMBER(MATCH(DATEVALUE($A278),'recurring1_based on steps'!U$1:U$400,0)),U$2,)</f>
        <v>0</v>
      </c>
      <c r="V278" s="155">
        <f ca="1">IF(ISNUMBER(MATCH(DATEVALUE($A278),'recurring1_based on steps'!V$1:V$400,0)),V$2,)</f>
        <v>0</v>
      </c>
      <c r="W278" s="155">
        <f ca="1">IF(ISNUMBER(MATCH(DATEVALUE($A278),'recurring1_based on steps'!W$1:W$400,0)),W$2,)</f>
        <v>0</v>
      </c>
      <c r="X278" s="155">
        <f ca="1">IF(ISNUMBER(MATCH(DATEVALUE($A278),'recurring1_based on steps'!X$1:X$400,0)),X$2,)</f>
        <v>0</v>
      </c>
      <c r="Y278" s="155">
        <f ca="1">IF(ISNUMBER(MATCH(DATEVALUE($A278),'recurring1_based on steps'!Y$1:Y$400,0)),Y$2,)</f>
        <v>0</v>
      </c>
      <c r="Z278" s="155">
        <f ca="1">IF(ISNUMBER(MATCH(DATEVALUE($A278),'recurring1_based on steps'!Z$1:Z$400,0)),Z$2,)</f>
        <v>0</v>
      </c>
      <c r="AA278" s="155">
        <f ca="1">IF(ISNUMBER(MATCH(DATEVALUE($A278),'recurring1_based on steps'!AA$1:AA$400,0)),AA$2,)</f>
        <v>0</v>
      </c>
      <c r="AB278" s="155">
        <f ca="1">IF(ISNUMBER(MATCH(DATEVALUE($A278),'recurring1_based on steps'!AB$1:AB$400,0)),AB$2,)</f>
        <v>0</v>
      </c>
      <c r="AC278" s="155">
        <f ca="1">IF(ISNUMBER(MATCH(DATEVALUE($A278),'recurring1_based on steps'!AC$1:AC$400,0)),AC$2,)</f>
        <v>0</v>
      </c>
      <c r="AD278" s="155">
        <f ca="1">IF(ISNUMBER(MATCH(DATEVALUE($A278),'recurring1_based on steps'!AD$1:AD$400,0)),AD$2,)</f>
        <v>0</v>
      </c>
      <c r="AE278" s="155">
        <f ca="1">IF(ISNUMBER(MATCH(DATEVALUE($A278),'recurring1_based on steps'!AE$1:AE$400,0)),AE$2,)</f>
        <v>0</v>
      </c>
      <c r="AF278" s="155">
        <f ca="1">IF(ISNUMBER(MATCH(DATEVALUE($A278),'recurring1_based on steps'!AF$1:AF$400,0)),AF$2,)</f>
        <v>0</v>
      </c>
      <c r="AG278" s="155">
        <f ca="1">IF(ISNUMBER(MATCH(DATEVALUE($A278),'recurring1_based on steps'!AG$1:AG$400,0)),AG$2,)</f>
        <v>0</v>
      </c>
      <c r="AH278" s="155">
        <f ca="1">IF(ISNUMBER(MATCH(DATEVALUE($A278),'recurring1_based on steps'!AH$1:AH$400,0)),AH$2,)</f>
        <v>0</v>
      </c>
      <c r="AI278" s="155">
        <f ca="1">IF(ISNUMBER(MATCH(DATEVALUE($A278),'recurring1_based on steps'!AI$1:AI$400,0)),AI$2,)</f>
        <v>0</v>
      </c>
      <c r="AJ278" s="155">
        <f ca="1">IF(ISNUMBER(MATCH(DATEVALUE($A278),'recurring1_based on steps'!AJ$1:AJ$400,0)),AJ$2,)</f>
        <v>0</v>
      </c>
      <c r="AK278" s="155">
        <f ca="1">IF(ISNUMBER(MATCH(DATEVALUE($A278),'recurring1_based on steps'!AK$1:AK$400,0)),AK$2,)</f>
        <v>0</v>
      </c>
      <c r="AL278" s="155">
        <f ca="1">IF(ISNUMBER(MATCH(DATEVALUE($A278),'recurring1_based on steps'!AL$1:AL$400,0)),AL$2,)</f>
        <v>0</v>
      </c>
      <c r="AM278" s="155">
        <f ca="1">IF(ISNUMBER(MATCH(DATEVALUE($A278),'recurring1_based on steps'!AM$1:AM$400,0)),AM$2,)</f>
        <v>0</v>
      </c>
      <c r="AN278" s="155">
        <f ca="1">IF(ISNUMBER(MATCH(DATEVALUE($A278),'recurring1_based on steps'!AN$1:AN$400,0)),AN$2,)</f>
        <v>0</v>
      </c>
      <c r="AO278" s="155">
        <f ca="1">IF(ISNUMBER(MATCH(DATEVALUE($A278),'recurring1_based on steps'!AO$1:AO$400,0)),AO$2,)</f>
        <v>0</v>
      </c>
      <c r="AP278" s="155">
        <f ca="1">IF(ISNUMBER(MATCH(DATEVALUE($A278),'recurring1_based on steps'!AP$1:AP$400,0)),AP$2,)</f>
        <v>0</v>
      </c>
      <c r="AQ278" s="155">
        <f ca="1">IF(ISNUMBER(MATCH(DATEVALUE($A278),'recurring1_based on steps'!AQ$1:AQ$400,0)),AQ$2,)</f>
        <v>0</v>
      </c>
      <c r="AR278" s="155">
        <f ca="1">IF(ISNUMBER(MATCH(DATEVALUE($A278),'recurring1_based on steps'!AR$1:AR$400,0)),AR$2,)</f>
        <v>0</v>
      </c>
      <c r="AS278" s="155">
        <f ca="1">IF(ISNUMBER(MATCH(DATEVALUE($A278),'recurring1_based on steps'!AS$1:AS$400,0)),AS$2,)</f>
        <v>0</v>
      </c>
      <c r="AT278" s="155">
        <f ca="1">IF(ISNUMBER(MATCH(DATEVALUE($A278),'recurring1_based on steps'!AT$1:AT$400,0)),AT$2,)</f>
        <v>0</v>
      </c>
      <c r="AU278" s="155">
        <f ca="1">IF(ISNUMBER(MATCH(DATEVALUE($A278),'recurring1_based on steps'!AU$1:AU$400,0)),AU$2,)</f>
        <v>0</v>
      </c>
      <c r="AV278" s="155">
        <f ca="1">IF(ISNUMBER(MATCH(DATEVALUE($A278),'recurring1_based on steps'!AV$1:AV$400,0)),AV$2,)</f>
        <v>0</v>
      </c>
      <c r="AW278" s="155">
        <f ca="1">IF(ISNUMBER(MATCH(DATEVALUE($A278),'recurring1_based on steps'!AW$1:AW$400,0)),AW$2,)</f>
        <v>0</v>
      </c>
      <c r="AX278" s="155">
        <f ca="1">IF(ISNUMBER(MATCH(DATEVALUE($A278),'recurring1_based on steps'!AX$1:AX$400,0)),AX$2,)</f>
        <v>0</v>
      </c>
      <c r="AY278" s="155">
        <f ca="1">IF(ISNUMBER(MATCH(DATEVALUE($A278),'recurring1_based on steps'!AY$1:AY$400,0)),AY$2,)</f>
        <v>0</v>
      </c>
    </row>
    <row r="279" spans="1:51" x14ac:dyDescent="0.2">
      <c r="A279" s="18" t="str">
        <f t="shared" ca="1" si="4"/>
        <v>2025-11-04</v>
      </c>
      <c r="B279" s="155">
        <f ca="1">IF(ISNUMBER(MATCH(DATEVALUE($A279),'recurring1_based on steps'!B$1:B$400,0)),B$2,)</f>
        <v>0</v>
      </c>
      <c r="C279" s="155">
        <f ca="1">IF(ISNUMBER(MATCH(DATEVALUE($A279),'recurring1_based on steps'!C$1:C$400,0)),C$2,)</f>
        <v>0</v>
      </c>
      <c r="D279" s="155">
        <f ca="1">IF(ISNUMBER(MATCH(DATEVALUE($A279),'recurring1_based on steps'!D$1:D$400,0)),D$2,)</f>
        <v>0</v>
      </c>
      <c r="E279" s="155">
        <f ca="1">IF(ISNUMBER(MATCH(DATEVALUE($A279),'recurring1_based on steps'!E$1:E$400,0)),E$2,)</f>
        <v>0</v>
      </c>
      <c r="F279" s="155">
        <f ca="1">IF(ISNUMBER(MATCH(DATEVALUE($A279),'recurring1_based on steps'!F$1:F$400,0)),F$2,)</f>
        <v>0</v>
      </c>
      <c r="G279" s="155">
        <f ca="1">IF(ISNUMBER(MATCH(DATEVALUE($A279),'recurring1_based on steps'!G$1:G$400,0)),G$2,)</f>
        <v>0</v>
      </c>
      <c r="H279" s="155">
        <f ca="1">IF(ISNUMBER(MATCH(DATEVALUE($A279),'recurring1_based on steps'!H$1:H$400,0)),H$2,)</f>
        <v>0</v>
      </c>
      <c r="I279" s="155">
        <f ca="1">IF(ISNUMBER(MATCH(DATEVALUE($A279),'recurring1_based on steps'!I$1:I$400,0)),I$2,)</f>
        <v>0</v>
      </c>
      <c r="J279" s="155">
        <f ca="1">IF(ISNUMBER(MATCH(DATEVALUE($A279),'recurring1_based on steps'!J$1:J$400,0)),J$2,)</f>
        <v>0</v>
      </c>
      <c r="K279" s="155">
        <f ca="1">IF(ISNUMBER(MATCH(DATEVALUE($A279),'recurring1_based on steps'!K$1:K$400,0)),K$2,)</f>
        <v>0</v>
      </c>
      <c r="L279" s="155">
        <f ca="1">IF(ISNUMBER(MATCH(DATEVALUE($A279),'recurring1_based on steps'!L$1:L$400,0)),L$2,)</f>
        <v>0</v>
      </c>
      <c r="M279" s="155">
        <f ca="1">IF(ISNUMBER(MATCH(DATEVALUE($A279),'recurring1_based on steps'!M$1:M$400,0)),M$2,)</f>
        <v>15</v>
      </c>
      <c r="N279" s="155">
        <f ca="1">IF(ISNUMBER(MATCH(DATEVALUE($A279),'recurring1_based on steps'!N$1:N$400,0)),N$2,)</f>
        <v>0</v>
      </c>
      <c r="O279" s="155">
        <f ca="1">IF(ISNUMBER(MATCH(DATEVALUE($A279),'recurring1_based on steps'!O$1:O$400,0)),O$2,)</f>
        <v>0</v>
      </c>
      <c r="P279" s="155">
        <f ca="1">IF(ISNUMBER(MATCH(DATEVALUE($A279),'recurring1_based on steps'!P$1:P$400,0)),P$2,)</f>
        <v>0</v>
      </c>
      <c r="Q279" s="155">
        <f ca="1">IF(ISNUMBER(MATCH(DATEVALUE($A279),'recurring1_based on steps'!Q$1:Q$400,0)),Q$2,)</f>
        <v>0</v>
      </c>
      <c r="R279" s="155">
        <f ca="1">IF(ISNUMBER(MATCH(DATEVALUE($A279),'recurring1_based on steps'!R$1:R$400,0)),R$2,)</f>
        <v>0</v>
      </c>
      <c r="S279" s="155">
        <f ca="1">IF(ISNUMBER(MATCH(DATEVALUE($A279),'recurring1_based on steps'!S$1:S$400,0)),S$2,)</f>
        <v>0</v>
      </c>
      <c r="T279" s="155">
        <f ca="1">IF(ISNUMBER(MATCH(DATEVALUE($A279),'recurring1_based on steps'!T$1:T$400,0)),T$2,)</f>
        <v>0</v>
      </c>
      <c r="U279" s="155">
        <f ca="1">IF(ISNUMBER(MATCH(DATEVALUE($A279),'recurring1_based on steps'!U$1:U$400,0)),U$2,)</f>
        <v>0</v>
      </c>
      <c r="V279" s="155">
        <f ca="1">IF(ISNUMBER(MATCH(DATEVALUE($A279),'recurring1_based on steps'!V$1:V$400,0)),V$2,)</f>
        <v>0</v>
      </c>
      <c r="W279" s="155">
        <f ca="1">IF(ISNUMBER(MATCH(DATEVALUE($A279),'recurring1_based on steps'!W$1:W$400,0)),W$2,)</f>
        <v>0</v>
      </c>
      <c r="X279" s="155">
        <f ca="1">IF(ISNUMBER(MATCH(DATEVALUE($A279),'recurring1_based on steps'!X$1:X$400,0)),X$2,)</f>
        <v>0</v>
      </c>
      <c r="Y279" s="155">
        <f ca="1">IF(ISNUMBER(MATCH(DATEVALUE($A279),'recurring1_based on steps'!Y$1:Y$400,0)),Y$2,)</f>
        <v>0</v>
      </c>
      <c r="Z279" s="155">
        <f ca="1">IF(ISNUMBER(MATCH(DATEVALUE($A279),'recurring1_based on steps'!Z$1:Z$400,0)),Z$2,)</f>
        <v>0</v>
      </c>
      <c r="AA279" s="155">
        <f ca="1">IF(ISNUMBER(MATCH(DATEVALUE($A279),'recurring1_based on steps'!AA$1:AA$400,0)),AA$2,)</f>
        <v>0</v>
      </c>
      <c r="AB279" s="155">
        <f ca="1">IF(ISNUMBER(MATCH(DATEVALUE($A279),'recurring1_based on steps'!AB$1:AB$400,0)),AB$2,)</f>
        <v>0</v>
      </c>
      <c r="AC279" s="155">
        <f ca="1">IF(ISNUMBER(MATCH(DATEVALUE($A279),'recurring1_based on steps'!AC$1:AC$400,0)),AC$2,)</f>
        <v>0</v>
      </c>
      <c r="AD279" s="155">
        <f ca="1">IF(ISNUMBER(MATCH(DATEVALUE($A279),'recurring1_based on steps'!AD$1:AD$400,0)),AD$2,)</f>
        <v>0</v>
      </c>
      <c r="AE279" s="155">
        <f ca="1">IF(ISNUMBER(MATCH(DATEVALUE($A279),'recurring1_based on steps'!AE$1:AE$400,0)),AE$2,)</f>
        <v>0</v>
      </c>
      <c r="AF279" s="155">
        <f ca="1">IF(ISNUMBER(MATCH(DATEVALUE($A279),'recurring1_based on steps'!AF$1:AF$400,0)),AF$2,)</f>
        <v>0</v>
      </c>
      <c r="AG279" s="155">
        <f ca="1">IF(ISNUMBER(MATCH(DATEVALUE($A279),'recurring1_based on steps'!AG$1:AG$400,0)),AG$2,)</f>
        <v>0</v>
      </c>
      <c r="AH279" s="155">
        <f ca="1">IF(ISNUMBER(MATCH(DATEVALUE($A279),'recurring1_based on steps'!AH$1:AH$400,0)),AH$2,)</f>
        <v>0</v>
      </c>
      <c r="AI279" s="155">
        <f ca="1">IF(ISNUMBER(MATCH(DATEVALUE($A279),'recurring1_based on steps'!AI$1:AI$400,0)),AI$2,)</f>
        <v>0</v>
      </c>
      <c r="AJ279" s="155">
        <f ca="1">IF(ISNUMBER(MATCH(DATEVALUE($A279),'recurring1_based on steps'!AJ$1:AJ$400,0)),AJ$2,)</f>
        <v>0</v>
      </c>
      <c r="AK279" s="155">
        <f ca="1">IF(ISNUMBER(MATCH(DATEVALUE($A279),'recurring1_based on steps'!AK$1:AK$400,0)),AK$2,)</f>
        <v>0</v>
      </c>
      <c r="AL279" s="155">
        <f ca="1">IF(ISNUMBER(MATCH(DATEVALUE($A279),'recurring1_based on steps'!AL$1:AL$400,0)),AL$2,)</f>
        <v>0</v>
      </c>
      <c r="AM279" s="155">
        <f ca="1">IF(ISNUMBER(MATCH(DATEVALUE($A279),'recurring1_based on steps'!AM$1:AM$400,0)),AM$2,)</f>
        <v>0</v>
      </c>
      <c r="AN279" s="155">
        <f ca="1">IF(ISNUMBER(MATCH(DATEVALUE($A279),'recurring1_based on steps'!AN$1:AN$400,0)),AN$2,)</f>
        <v>0</v>
      </c>
      <c r="AO279" s="155">
        <f ca="1">IF(ISNUMBER(MATCH(DATEVALUE($A279),'recurring1_based on steps'!AO$1:AO$400,0)),AO$2,)</f>
        <v>0</v>
      </c>
      <c r="AP279" s="155">
        <f ca="1">IF(ISNUMBER(MATCH(DATEVALUE($A279),'recurring1_based on steps'!AP$1:AP$400,0)),AP$2,)</f>
        <v>0</v>
      </c>
      <c r="AQ279" s="155">
        <f ca="1">IF(ISNUMBER(MATCH(DATEVALUE($A279),'recurring1_based on steps'!AQ$1:AQ$400,0)),AQ$2,)</f>
        <v>0</v>
      </c>
      <c r="AR279" s="155">
        <f ca="1">IF(ISNUMBER(MATCH(DATEVALUE($A279),'recurring1_based on steps'!AR$1:AR$400,0)),AR$2,)</f>
        <v>0</v>
      </c>
      <c r="AS279" s="155">
        <f ca="1">IF(ISNUMBER(MATCH(DATEVALUE($A279),'recurring1_based on steps'!AS$1:AS$400,0)),AS$2,)</f>
        <v>0</v>
      </c>
      <c r="AT279" s="155">
        <f ca="1">IF(ISNUMBER(MATCH(DATEVALUE($A279),'recurring1_based on steps'!AT$1:AT$400,0)),AT$2,)</f>
        <v>0</v>
      </c>
      <c r="AU279" s="155">
        <f ca="1">IF(ISNUMBER(MATCH(DATEVALUE($A279),'recurring1_based on steps'!AU$1:AU$400,0)),AU$2,)</f>
        <v>0</v>
      </c>
      <c r="AV279" s="155">
        <f ca="1">IF(ISNUMBER(MATCH(DATEVALUE($A279),'recurring1_based on steps'!AV$1:AV$400,0)),AV$2,)</f>
        <v>0</v>
      </c>
      <c r="AW279" s="155">
        <f ca="1">IF(ISNUMBER(MATCH(DATEVALUE($A279),'recurring1_based on steps'!AW$1:AW$400,0)),AW$2,)</f>
        <v>0</v>
      </c>
      <c r="AX279" s="155">
        <f ca="1">IF(ISNUMBER(MATCH(DATEVALUE($A279),'recurring1_based on steps'!AX$1:AX$400,0)),AX$2,)</f>
        <v>0</v>
      </c>
      <c r="AY279" s="155">
        <f ca="1">IF(ISNUMBER(MATCH(DATEVALUE($A279),'recurring1_based on steps'!AY$1:AY$400,0)),AY$2,)</f>
        <v>0</v>
      </c>
    </row>
    <row r="280" spans="1:51" x14ac:dyDescent="0.2">
      <c r="A280" s="18" t="str">
        <f t="shared" ca="1" si="4"/>
        <v>2025-11-05</v>
      </c>
      <c r="B280" s="155">
        <f ca="1">IF(ISNUMBER(MATCH(DATEVALUE($A280),'recurring1_based on steps'!B$1:B$400,0)),B$2,)</f>
        <v>0</v>
      </c>
      <c r="C280" s="155">
        <f ca="1">IF(ISNUMBER(MATCH(DATEVALUE($A280),'recurring1_based on steps'!C$1:C$400,0)),C$2,)</f>
        <v>0</v>
      </c>
      <c r="D280" s="155">
        <f ca="1">IF(ISNUMBER(MATCH(DATEVALUE($A280),'recurring1_based on steps'!D$1:D$400,0)),D$2,)</f>
        <v>0</v>
      </c>
      <c r="E280" s="155">
        <f ca="1">IF(ISNUMBER(MATCH(DATEVALUE($A280),'recurring1_based on steps'!E$1:E$400,0)),E$2,)</f>
        <v>0</v>
      </c>
      <c r="F280" s="155">
        <f ca="1">IF(ISNUMBER(MATCH(DATEVALUE($A280),'recurring1_based on steps'!F$1:F$400,0)),F$2,)</f>
        <v>0</v>
      </c>
      <c r="G280" s="155">
        <f ca="1">IF(ISNUMBER(MATCH(DATEVALUE($A280),'recurring1_based on steps'!G$1:G$400,0)),G$2,)</f>
        <v>0</v>
      </c>
      <c r="H280" s="155">
        <f ca="1">IF(ISNUMBER(MATCH(DATEVALUE($A280),'recurring1_based on steps'!H$1:H$400,0)),H$2,)</f>
        <v>0</v>
      </c>
      <c r="I280" s="155">
        <f ca="1">IF(ISNUMBER(MATCH(DATEVALUE($A280),'recurring1_based on steps'!I$1:I$400,0)),I$2,)</f>
        <v>0</v>
      </c>
      <c r="J280" s="155">
        <f ca="1">IF(ISNUMBER(MATCH(DATEVALUE($A280),'recurring1_based on steps'!J$1:J$400,0)),J$2,)</f>
        <v>0</v>
      </c>
      <c r="K280" s="155">
        <f ca="1">IF(ISNUMBER(MATCH(DATEVALUE($A280),'recurring1_based on steps'!K$1:K$400,0)),K$2,)</f>
        <v>0</v>
      </c>
      <c r="L280" s="155">
        <f ca="1">IF(ISNUMBER(MATCH(DATEVALUE($A280),'recurring1_based on steps'!L$1:L$400,0)),L$2,)</f>
        <v>0</v>
      </c>
      <c r="M280" s="155">
        <f ca="1">IF(ISNUMBER(MATCH(DATEVALUE($A280),'recurring1_based on steps'!M$1:M$400,0)),M$2,)</f>
        <v>0</v>
      </c>
      <c r="N280" s="155">
        <f ca="1">IF(ISNUMBER(MATCH(DATEVALUE($A280),'recurring1_based on steps'!N$1:N$400,0)),N$2,)</f>
        <v>0</v>
      </c>
      <c r="O280" s="155">
        <f ca="1">IF(ISNUMBER(MATCH(DATEVALUE($A280),'recurring1_based on steps'!O$1:O$400,0)),O$2,)</f>
        <v>0</v>
      </c>
      <c r="P280" s="155">
        <f ca="1">IF(ISNUMBER(MATCH(DATEVALUE($A280),'recurring1_based on steps'!P$1:P$400,0)),P$2,)</f>
        <v>0</v>
      </c>
      <c r="Q280" s="155">
        <f ca="1">IF(ISNUMBER(MATCH(DATEVALUE($A280),'recurring1_based on steps'!Q$1:Q$400,0)),Q$2,)</f>
        <v>0</v>
      </c>
      <c r="R280" s="155">
        <f ca="1">IF(ISNUMBER(MATCH(DATEVALUE($A280),'recurring1_based on steps'!R$1:R$400,0)),R$2,)</f>
        <v>0</v>
      </c>
      <c r="S280" s="155">
        <f ca="1">IF(ISNUMBER(MATCH(DATEVALUE($A280),'recurring1_based on steps'!S$1:S$400,0)),S$2,)</f>
        <v>0</v>
      </c>
      <c r="T280" s="155">
        <f ca="1">IF(ISNUMBER(MATCH(DATEVALUE($A280),'recurring1_based on steps'!T$1:T$400,0)),T$2,)</f>
        <v>0</v>
      </c>
      <c r="U280" s="155">
        <f ca="1">IF(ISNUMBER(MATCH(DATEVALUE($A280),'recurring1_based on steps'!U$1:U$400,0)),U$2,)</f>
        <v>0</v>
      </c>
      <c r="V280" s="155">
        <f ca="1">IF(ISNUMBER(MATCH(DATEVALUE($A280),'recurring1_based on steps'!V$1:V$400,0)),V$2,)</f>
        <v>0</v>
      </c>
      <c r="W280" s="155">
        <f ca="1">IF(ISNUMBER(MATCH(DATEVALUE($A280),'recurring1_based on steps'!W$1:W$400,0)),W$2,)</f>
        <v>0</v>
      </c>
      <c r="X280" s="155">
        <f ca="1">IF(ISNUMBER(MATCH(DATEVALUE($A280),'recurring1_based on steps'!X$1:X$400,0)),X$2,)</f>
        <v>0</v>
      </c>
      <c r="Y280" s="155">
        <f ca="1">IF(ISNUMBER(MATCH(DATEVALUE($A280),'recurring1_based on steps'!Y$1:Y$400,0)),Y$2,)</f>
        <v>0</v>
      </c>
      <c r="Z280" s="155">
        <f ca="1">IF(ISNUMBER(MATCH(DATEVALUE($A280),'recurring1_based on steps'!Z$1:Z$400,0)),Z$2,)</f>
        <v>0</v>
      </c>
      <c r="AA280" s="155">
        <f ca="1">IF(ISNUMBER(MATCH(DATEVALUE($A280),'recurring1_based on steps'!AA$1:AA$400,0)),AA$2,)</f>
        <v>0</v>
      </c>
      <c r="AB280" s="155">
        <f ca="1">IF(ISNUMBER(MATCH(DATEVALUE($A280),'recurring1_based on steps'!AB$1:AB$400,0)),AB$2,)</f>
        <v>0</v>
      </c>
      <c r="AC280" s="155">
        <f ca="1">IF(ISNUMBER(MATCH(DATEVALUE($A280),'recurring1_based on steps'!AC$1:AC$400,0)),AC$2,)</f>
        <v>0</v>
      </c>
      <c r="AD280" s="155">
        <f ca="1">IF(ISNUMBER(MATCH(DATEVALUE($A280),'recurring1_based on steps'!AD$1:AD$400,0)),AD$2,)</f>
        <v>0</v>
      </c>
      <c r="AE280" s="155">
        <f ca="1">IF(ISNUMBER(MATCH(DATEVALUE($A280),'recurring1_based on steps'!AE$1:AE$400,0)),AE$2,)</f>
        <v>0</v>
      </c>
      <c r="AF280" s="155">
        <f ca="1">IF(ISNUMBER(MATCH(DATEVALUE($A280),'recurring1_based on steps'!AF$1:AF$400,0)),AF$2,)</f>
        <v>0</v>
      </c>
      <c r="AG280" s="155">
        <f ca="1">IF(ISNUMBER(MATCH(DATEVALUE($A280),'recurring1_based on steps'!AG$1:AG$400,0)),AG$2,)</f>
        <v>0</v>
      </c>
      <c r="AH280" s="155">
        <f ca="1">IF(ISNUMBER(MATCH(DATEVALUE($A280),'recurring1_based on steps'!AH$1:AH$400,0)),AH$2,)</f>
        <v>0</v>
      </c>
      <c r="AI280" s="155">
        <f ca="1">IF(ISNUMBER(MATCH(DATEVALUE($A280),'recurring1_based on steps'!AI$1:AI$400,0)),AI$2,)</f>
        <v>0</v>
      </c>
      <c r="AJ280" s="155">
        <f ca="1">IF(ISNUMBER(MATCH(DATEVALUE($A280),'recurring1_based on steps'!AJ$1:AJ$400,0)),AJ$2,)</f>
        <v>0</v>
      </c>
      <c r="AK280" s="155">
        <f ca="1">IF(ISNUMBER(MATCH(DATEVALUE($A280),'recurring1_based on steps'!AK$1:AK$400,0)),AK$2,)</f>
        <v>0</v>
      </c>
      <c r="AL280" s="155">
        <f ca="1">IF(ISNUMBER(MATCH(DATEVALUE($A280),'recurring1_based on steps'!AL$1:AL$400,0)),AL$2,)</f>
        <v>0</v>
      </c>
      <c r="AM280" s="155">
        <f ca="1">IF(ISNUMBER(MATCH(DATEVALUE($A280),'recurring1_based on steps'!AM$1:AM$400,0)),AM$2,)</f>
        <v>0</v>
      </c>
      <c r="AN280" s="155">
        <f ca="1">IF(ISNUMBER(MATCH(DATEVALUE($A280),'recurring1_based on steps'!AN$1:AN$400,0)),AN$2,)</f>
        <v>0</v>
      </c>
      <c r="AO280" s="155">
        <f ca="1">IF(ISNUMBER(MATCH(DATEVALUE($A280),'recurring1_based on steps'!AO$1:AO$400,0)),AO$2,)</f>
        <v>0</v>
      </c>
      <c r="AP280" s="155">
        <f ca="1">IF(ISNUMBER(MATCH(DATEVALUE($A280),'recurring1_based on steps'!AP$1:AP$400,0)),AP$2,)</f>
        <v>0</v>
      </c>
      <c r="AQ280" s="155">
        <f ca="1">IF(ISNUMBER(MATCH(DATEVALUE($A280),'recurring1_based on steps'!AQ$1:AQ$400,0)),AQ$2,)</f>
        <v>0</v>
      </c>
      <c r="AR280" s="155">
        <f ca="1">IF(ISNUMBER(MATCH(DATEVALUE($A280),'recurring1_based on steps'!AR$1:AR$400,0)),AR$2,)</f>
        <v>0</v>
      </c>
      <c r="AS280" s="155">
        <f ca="1">IF(ISNUMBER(MATCH(DATEVALUE($A280),'recurring1_based on steps'!AS$1:AS$400,0)),AS$2,)</f>
        <v>0</v>
      </c>
      <c r="AT280" s="155">
        <f ca="1">IF(ISNUMBER(MATCH(DATEVALUE($A280),'recurring1_based on steps'!AT$1:AT$400,0)),AT$2,)</f>
        <v>0</v>
      </c>
      <c r="AU280" s="155">
        <f ca="1">IF(ISNUMBER(MATCH(DATEVALUE($A280),'recurring1_based on steps'!AU$1:AU$400,0)),AU$2,)</f>
        <v>0</v>
      </c>
      <c r="AV280" s="155">
        <f ca="1">IF(ISNUMBER(MATCH(DATEVALUE($A280),'recurring1_based on steps'!AV$1:AV$400,0)),AV$2,)</f>
        <v>0</v>
      </c>
      <c r="AW280" s="155">
        <f ca="1">IF(ISNUMBER(MATCH(DATEVALUE($A280),'recurring1_based on steps'!AW$1:AW$400,0)),AW$2,)</f>
        <v>0</v>
      </c>
      <c r="AX280" s="155">
        <f ca="1">IF(ISNUMBER(MATCH(DATEVALUE($A280),'recurring1_based on steps'!AX$1:AX$400,0)),AX$2,)</f>
        <v>0</v>
      </c>
      <c r="AY280" s="155">
        <f ca="1">IF(ISNUMBER(MATCH(DATEVALUE($A280),'recurring1_based on steps'!AY$1:AY$400,0)),AY$2,)</f>
        <v>0</v>
      </c>
    </row>
    <row r="281" spans="1:51" x14ac:dyDescent="0.2">
      <c r="A281" s="18" t="str">
        <f t="shared" ca="1" si="4"/>
        <v>2025-11-06</v>
      </c>
      <c r="B281" s="155">
        <f ca="1">IF(ISNUMBER(MATCH(DATEVALUE($A281),'recurring1_based on steps'!B$1:B$400,0)),B$2,)</f>
        <v>0</v>
      </c>
      <c r="C281" s="155">
        <f ca="1">IF(ISNUMBER(MATCH(DATEVALUE($A281),'recurring1_based on steps'!C$1:C$400,0)),C$2,)</f>
        <v>0</v>
      </c>
      <c r="D281" s="155">
        <f ca="1">IF(ISNUMBER(MATCH(DATEVALUE($A281),'recurring1_based on steps'!D$1:D$400,0)),D$2,)</f>
        <v>0</v>
      </c>
      <c r="E281" s="155">
        <f ca="1">IF(ISNUMBER(MATCH(DATEVALUE($A281),'recurring1_based on steps'!E$1:E$400,0)),E$2,)</f>
        <v>0</v>
      </c>
      <c r="F281" s="155">
        <f ca="1">IF(ISNUMBER(MATCH(DATEVALUE($A281),'recurring1_based on steps'!F$1:F$400,0)),F$2,)</f>
        <v>0</v>
      </c>
      <c r="G281" s="155">
        <f ca="1">IF(ISNUMBER(MATCH(DATEVALUE($A281),'recurring1_based on steps'!G$1:G$400,0)),G$2,)</f>
        <v>0</v>
      </c>
      <c r="H281" s="155">
        <f ca="1">IF(ISNUMBER(MATCH(DATEVALUE($A281),'recurring1_based on steps'!H$1:H$400,0)),H$2,)</f>
        <v>0</v>
      </c>
      <c r="I281" s="155">
        <f ca="1">IF(ISNUMBER(MATCH(DATEVALUE($A281),'recurring1_based on steps'!I$1:I$400,0)),I$2,)</f>
        <v>0</v>
      </c>
      <c r="J281" s="155">
        <f ca="1">IF(ISNUMBER(MATCH(DATEVALUE($A281),'recurring1_based on steps'!J$1:J$400,0)),J$2,)</f>
        <v>0</v>
      </c>
      <c r="K281" s="155">
        <f ca="1">IF(ISNUMBER(MATCH(DATEVALUE($A281),'recurring1_based on steps'!K$1:K$400,0)),K$2,)</f>
        <v>0</v>
      </c>
      <c r="L281" s="155">
        <f ca="1">IF(ISNUMBER(MATCH(DATEVALUE($A281),'recurring1_based on steps'!L$1:L$400,0)),L$2,)</f>
        <v>0</v>
      </c>
      <c r="M281" s="155">
        <f ca="1">IF(ISNUMBER(MATCH(DATEVALUE($A281),'recurring1_based on steps'!M$1:M$400,0)),M$2,)</f>
        <v>0</v>
      </c>
      <c r="N281" s="155">
        <f ca="1">IF(ISNUMBER(MATCH(DATEVALUE($A281),'recurring1_based on steps'!N$1:N$400,0)),N$2,)</f>
        <v>0</v>
      </c>
      <c r="O281" s="155">
        <f ca="1">IF(ISNUMBER(MATCH(DATEVALUE($A281),'recurring1_based on steps'!O$1:O$400,0)),O$2,)</f>
        <v>0</v>
      </c>
      <c r="P281" s="155">
        <f ca="1">IF(ISNUMBER(MATCH(DATEVALUE($A281),'recurring1_based on steps'!P$1:P$400,0)),P$2,)</f>
        <v>0</v>
      </c>
      <c r="Q281" s="155">
        <f ca="1">IF(ISNUMBER(MATCH(DATEVALUE($A281),'recurring1_based on steps'!Q$1:Q$400,0)),Q$2,)</f>
        <v>0</v>
      </c>
      <c r="R281" s="155">
        <f ca="1">IF(ISNUMBER(MATCH(DATEVALUE($A281),'recurring1_based on steps'!R$1:R$400,0)),R$2,)</f>
        <v>0</v>
      </c>
      <c r="S281" s="155">
        <f ca="1">IF(ISNUMBER(MATCH(DATEVALUE($A281),'recurring1_based on steps'!S$1:S$400,0)),S$2,)</f>
        <v>0</v>
      </c>
      <c r="T281" s="155">
        <f ca="1">IF(ISNUMBER(MATCH(DATEVALUE($A281),'recurring1_based on steps'!T$1:T$400,0)),T$2,)</f>
        <v>0</v>
      </c>
      <c r="U281" s="155">
        <f ca="1">IF(ISNUMBER(MATCH(DATEVALUE($A281),'recurring1_based on steps'!U$1:U$400,0)),U$2,)</f>
        <v>0</v>
      </c>
      <c r="V281" s="155">
        <f ca="1">IF(ISNUMBER(MATCH(DATEVALUE($A281),'recurring1_based on steps'!V$1:V$400,0)),V$2,)</f>
        <v>0</v>
      </c>
      <c r="W281" s="155">
        <f ca="1">IF(ISNUMBER(MATCH(DATEVALUE($A281),'recurring1_based on steps'!W$1:W$400,0)),W$2,)</f>
        <v>0</v>
      </c>
      <c r="X281" s="155">
        <f ca="1">IF(ISNUMBER(MATCH(DATEVALUE($A281),'recurring1_based on steps'!X$1:X$400,0)),X$2,)</f>
        <v>0</v>
      </c>
      <c r="Y281" s="155">
        <f ca="1">IF(ISNUMBER(MATCH(DATEVALUE($A281),'recurring1_based on steps'!Y$1:Y$400,0)),Y$2,)</f>
        <v>0</v>
      </c>
      <c r="Z281" s="155">
        <f ca="1">IF(ISNUMBER(MATCH(DATEVALUE($A281),'recurring1_based on steps'!Z$1:Z$400,0)),Z$2,)</f>
        <v>0</v>
      </c>
      <c r="AA281" s="155">
        <f ca="1">IF(ISNUMBER(MATCH(DATEVALUE($A281),'recurring1_based on steps'!AA$1:AA$400,0)),AA$2,)</f>
        <v>0</v>
      </c>
      <c r="AB281" s="155">
        <f ca="1">IF(ISNUMBER(MATCH(DATEVALUE($A281),'recurring1_based on steps'!AB$1:AB$400,0)),AB$2,)</f>
        <v>0</v>
      </c>
      <c r="AC281" s="155">
        <f ca="1">IF(ISNUMBER(MATCH(DATEVALUE($A281),'recurring1_based on steps'!AC$1:AC$400,0)),AC$2,)</f>
        <v>0</v>
      </c>
      <c r="AD281" s="155">
        <f ca="1">IF(ISNUMBER(MATCH(DATEVALUE($A281),'recurring1_based on steps'!AD$1:AD$400,0)),AD$2,)</f>
        <v>0</v>
      </c>
      <c r="AE281" s="155">
        <f ca="1">IF(ISNUMBER(MATCH(DATEVALUE($A281),'recurring1_based on steps'!AE$1:AE$400,0)),AE$2,)</f>
        <v>0</v>
      </c>
      <c r="AF281" s="155">
        <f ca="1">IF(ISNUMBER(MATCH(DATEVALUE($A281),'recurring1_based on steps'!AF$1:AF$400,0)),AF$2,)</f>
        <v>0</v>
      </c>
      <c r="AG281" s="155">
        <f ca="1">IF(ISNUMBER(MATCH(DATEVALUE($A281),'recurring1_based on steps'!AG$1:AG$400,0)),AG$2,)</f>
        <v>0</v>
      </c>
      <c r="AH281" s="155">
        <f ca="1">IF(ISNUMBER(MATCH(DATEVALUE($A281),'recurring1_based on steps'!AH$1:AH$400,0)),AH$2,)</f>
        <v>0</v>
      </c>
      <c r="AI281" s="155">
        <f ca="1">IF(ISNUMBER(MATCH(DATEVALUE($A281),'recurring1_based on steps'!AI$1:AI$400,0)),AI$2,)</f>
        <v>0</v>
      </c>
      <c r="AJ281" s="155">
        <f ca="1">IF(ISNUMBER(MATCH(DATEVALUE($A281),'recurring1_based on steps'!AJ$1:AJ$400,0)),AJ$2,)</f>
        <v>0</v>
      </c>
      <c r="AK281" s="155">
        <f ca="1">IF(ISNUMBER(MATCH(DATEVALUE($A281),'recurring1_based on steps'!AK$1:AK$400,0)),AK$2,)</f>
        <v>0</v>
      </c>
      <c r="AL281" s="155">
        <f ca="1">IF(ISNUMBER(MATCH(DATEVALUE($A281),'recurring1_based on steps'!AL$1:AL$400,0)),AL$2,)</f>
        <v>0</v>
      </c>
      <c r="AM281" s="155">
        <f ca="1">IF(ISNUMBER(MATCH(DATEVALUE($A281),'recurring1_based on steps'!AM$1:AM$400,0)),AM$2,)</f>
        <v>0</v>
      </c>
      <c r="AN281" s="155">
        <f ca="1">IF(ISNUMBER(MATCH(DATEVALUE($A281),'recurring1_based on steps'!AN$1:AN$400,0)),AN$2,)</f>
        <v>0</v>
      </c>
      <c r="AO281" s="155">
        <f ca="1">IF(ISNUMBER(MATCH(DATEVALUE($A281),'recurring1_based on steps'!AO$1:AO$400,0)),AO$2,)</f>
        <v>0</v>
      </c>
      <c r="AP281" s="155">
        <f ca="1">IF(ISNUMBER(MATCH(DATEVALUE($A281),'recurring1_based on steps'!AP$1:AP$400,0)),AP$2,)</f>
        <v>0</v>
      </c>
      <c r="AQ281" s="155">
        <f ca="1">IF(ISNUMBER(MATCH(DATEVALUE($A281),'recurring1_based on steps'!AQ$1:AQ$400,0)),AQ$2,)</f>
        <v>0</v>
      </c>
      <c r="AR281" s="155">
        <f ca="1">IF(ISNUMBER(MATCH(DATEVALUE($A281),'recurring1_based on steps'!AR$1:AR$400,0)),AR$2,)</f>
        <v>0</v>
      </c>
      <c r="AS281" s="155">
        <f ca="1">IF(ISNUMBER(MATCH(DATEVALUE($A281),'recurring1_based on steps'!AS$1:AS$400,0)),AS$2,)</f>
        <v>0</v>
      </c>
      <c r="AT281" s="155">
        <f ca="1">IF(ISNUMBER(MATCH(DATEVALUE($A281),'recurring1_based on steps'!AT$1:AT$400,0)),AT$2,)</f>
        <v>0</v>
      </c>
      <c r="AU281" s="155">
        <f ca="1">IF(ISNUMBER(MATCH(DATEVALUE($A281),'recurring1_based on steps'!AU$1:AU$400,0)),AU$2,)</f>
        <v>0</v>
      </c>
      <c r="AV281" s="155">
        <f ca="1">IF(ISNUMBER(MATCH(DATEVALUE($A281),'recurring1_based on steps'!AV$1:AV$400,0)),AV$2,)</f>
        <v>0</v>
      </c>
      <c r="AW281" s="155">
        <f ca="1">IF(ISNUMBER(MATCH(DATEVALUE($A281),'recurring1_based on steps'!AW$1:AW$400,0)),AW$2,)</f>
        <v>0</v>
      </c>
      <c r="AX281" s="155">
        <f ca="1">IF(ISNUMBER(MATCH(DATEVALUE($A281),'recurring1_based on steps'!AX$1:AX$400,0)),AX$2,)</f>
        <v>0</v>
      </c>
      <c r="AY281" s="155">
        <f ca="1">IF(ISNUMBER(MATCH(DATEVALUE($A281),'recurring1_based on steps'!AY$1:AY$400,0)),AY$2,)</f>
        <v>0</v>
      </c>
    </row>
    <row r="282" spans="1:51" x14ac:dyDescent="0.2">
      <c r="A282" s="18" t="str">
        <f t="shared" ca="1" si="4"/>
        <v>2025-11-07</v>
      </c>
      <c r="B282" s="155">
        <f ca="1">IF(ISNUMBER(MATCH(DATEVALUE($A282),'recurring1_based on steps'!B$1:B$400,0)),B$2,)</f>
        <v>0</v>
      </c>
      <c r="C282" s="155">
        <f ca="1">IF(ISNUMBER(MATCH(DATEVALUE($A282),'recurring1_based on steps'!C$1:C$400,0)),C$2,)</f>
        <v>0</v>
      </c>
      <c r="D282" s="155">
        <f ca="1">IF(ISNUMBER(MATCH(DATEVALUE($A282),'recurring1_based on steps'!D$1:D$400,0)),D$2,)</f>
        <v>0</v>
      </c>
      <c r="E282" s="155">
        <f ca="1">IF(ISNUMBER(MATCH(DATEVALUE($A282),'recurring1_based on steps'!E$1:E$400,0)),E$2,)</f>
        <v>0</v>
      </c>
      <c r="F282" s="155">
        <f ca="1">IF(ISNUMBER(MATCH(DATEVALUE($A282),'recurring1_based on steps'!F$1:F$400,0)),F$2,)</f>
        <v>0</v>
      </c>
      <c r="G282" s="155">
        <f ca="1">IF(ISNUMBER(MATCH(DATEVALUE($A282),'recurring1_based on steps'!G$1:G$400,0)),G$2,)</f>
        <v>0</v>
      </c>
      <c r="H282" s="155">
        <f ca="1">IF(ISNUMBER(MATCH(DATEVALUE($A282),'recurring1_based on steps'!H$1:H$400,0)),H$2,)</f>
        <v>0</v>
      </c>
      <c r="I282" s="155">
        <f ca="1">IF(ISNUMBER(MATCH(DATEVALUE($A282),'recurring1_based on steps'!I$1:I$400,0)),I$2,)</f>
        <v>0</v>
      </c>
      <c r="J282" s="155">
        <f ca="1">IF(ISNUMBER(MATCH(DATEVALUE($A282),'recurring1_based on steps'!J$1:J$400,0)),J$2,)</f>
        <v>0</v>
      </c>
      <c r="K282" s="155">
        <f ca="1">IF(ISNUMBER(MATCH(DATEVALUE($A282),'recurring1_based on steps'!K$1:K$400,0)),K$2,)</f>
        <v>0</v>
      </c>
      <c r="L282" s="155">
        <f ca="1">IF(ISNUMBER(MATCH(DATEVALUE($A282),'recurring1_based on steps'!L$1:L$400,0)),L$2,)</f>
        <v>0</v>
      </c>
      <c r="M282" s="155">
        <f ca="1">IF(ISNUMBER(MATCH(DATEVALUE($A282),'recurring1_based on steps'!M$1:M$400,0)),M$2,)</f>
        <v>0</v>
      </c>
      <c r="N282" s="155">
        <f ca="1">IF(ISNUMBER(MATCH(DATEVALUE($A282),'recurring1_based on steps'!N$1:N$400,0)),N$2,)</f>
        <v>0</v>
      </c>
      <c r="O282" s="155">
        <f ca="1">IF(ISNUMBER(MATCH(DATEVALUE($A282),'recurring1_based on steps'!O$1:O$400,0)),O$2,)</f>
        <v>0</v>
      </c>
      <c r="P282" s="155">
        <f ca="1">IF(ISNUMBER(MATCH(DATEVALUE($A282),'recurring1_based on steps'!P$1:P$400,0)),P$2,)</f>
        <v>0</v>
      </c>
      <c r="Q282" s="155">
        <f ca="1">IF(ISNUMBER(MATCH(DATEVALUE($A282),'recurring1_based on steps'!Q$1:Q$400,0)),Q$2,)</f>
        <v>0</v>
      </c>
      <c r="R282" s="155">
        <f ca="1">IF(ISNUMBER(MATCH(DATEVALUE($A282),'recurring1_based on steps'!R$1:R$400,0)),R$2,)</f>
        <v>0</v>
      </c>
      <c r="S282" s="155">
        <f ca="1">IF(ISNUMBER(MATCH(DATEVALUE($A282),'recurring1_based on steps'!S$1:S$400,0)),S$2,)</f>
        <v>0</v>
      </c>
      <c r="T282" s="155">
        <f ca="1">IF(ISNUMBER(MATCH(DATEVALUE($A282),'recurring1_based on steps'!T$1:T$400,0)),T$2,)</f>
        <v>0</v>
      </c>
      <c r="U282" s="155">
        <f ca="1">IF(ISNUMBER(MATCH(DATEVALUE($A282),'recurring1_based on steps'!U$1:U$400,0)),U$2,)</f>
        <v>0</v>
      </c>
      <c r="V282" s="155">
        <f ca="1">IF(ISNUMBER(MATCH(DATEVALUE($A282),'recurring1_based on steps'!V$1:V$400,0)),V$2,)</f>
        <v>0</v>
      </c>
      <c r="W282" s="155">
        <f ca="1">IF(ISNUMBER(MATCH(DATEVALUE($A282),'recurring1_based on steps'!W$1:W$400,0)),W$2,)</f>
        <v>0</v>
      </c>
      <c r="X282" s="155">
        <f ca="1">IF(ISNUMBER(MATCH(DATEVALUE($A282),'recurring1_based on steps'!X$1:X$400,0)),X$2,)</f>
        <v>0</v>
      </c>
      <c r="Y282" s="155">
        <f ca="1">IF(ISNUMBER(MATCH(DATEVALUE($A282),'recurring1_based on steps'!Y$1:Y$400,0)),Y$2,)</f>
        <v>0</v>
      </c>
      <c r="Z282" s="155">
        <f ca="1">IF(ISNUMBER(MATCH(DATEVALUE($A282),'recurring1_based on steps'!Z$1:Z$400,0)),Z$2,)</f>
        <v>0</v>
      </c>
      <c r="AA282" s="155">
        <f ca="1">IF(ISNUMBER(MATCH(DATEVALUE($A282),'recurring1_based on steps'!AA$1:AA$400,0)),AA$2,)</f>
        <v>0</v>
      </c>
      <c r="AB282" s="155">
        <f ca="1">IF(ISNUMBER(MATCH(DATEVALUE($A282),'recurring1_based on steps'!AB$1:AB$400,0)),AB$2,)</f>
        <v>0</v>
      </c>
      <c r="AC282" s="155">
        <f ca="1">IF(ISNUMBER(MATCH(DATEVALUE($A282),'recurring1_based on steps'!AC$1:AC$400,0)),AC$2,)</f>
        <v>0</v>
      </c>
      <c r="AD282" s="155">
        <f ca="1">IF(ISNUMBER(MATCH(DATEVALUE($A282),'recurring1_based on steps'!AD$1:AD$400,0)),AD$2,)</f>
        <v>0</v>
      </c>
      <c r="AE282" s="155">
        <f ca="1">IF(ISNUMBER(MATCH(DATEVALUE($A282),'recurring1_based on steps'!AE$1:AE$400,0)),AE$2,)</f>
        <v>0</v>
      </c>
      <c r="AF282" s="155">
        <f ca="1">IF(ISNUMBER(MATCH(DATEVALUE($A282),'recurring1_based on steps'!AF$1:AF$400,0)),AF$2,)</f>
        <v>0</v>
      </c>
      <c r="AG282" s="155">
        <f ca="1">IF(ISNUMBER(MATCH(DATEVALUE($A282),'recurring1_based on steps'!AG$1:AG$400,0)),AG$2,)</f>
        <v>0</v>
      </c>
      <c r="AH282" s="155">
        <f ca="1">IF(ISNUMBER(MATCH(DATEVALUE($A282),'recurring1_based on steps'!AH$1:AH$400,0)),AH$2,)</f>
        <v>0</v>
      </c>
      <c r="AI282" s="155">
        <f ca="1">IF(ISNUMBER(MATCH(DATEVALUE($A282),'recurring1_based on steps'!AI$1:AI$400,0)),AI$2,)</f>
        <v>0</v>
      </c>
      <c r="AJ282" s="155">
        <f ca="1">IF(ISNUMBER(MATCH(DATEVALUE($A282),'recurring1_based on steps'!AJ$1:AJ$400,0)),AJ$2,)</f>
        <v>0</v>
      </c>
      <c r="AK282" s="155">
        <f ca="1">IF(ISNUMBER(MATCH(DATEVALUE($A282),'recurring1_based on steps'!AK$1:AK$400,0)),AK$2,)</f>
        <v>0</v>
      </c>
      <c r="AL282" s="155">
        <f ca="1">IF(ISNUMBER(MATCH(DATEVALUE($A282),'recurring1_based on steps'!AL$1:AL$400,0)),AL$2,)</f>
        <v>0</v>
      </c>
      <c r="AM282" s="155">
        <f ca="1">IF(ISNUMBER(MATCH(DATEVALUE($A282),'recurring1_based on steps'!AM$1:AM$400,0)),AM$2,)</f>
        <v>0</v>
      </c>
      <c r="AN282" s="155">
        <f ca="1">IF(ISNUMBER(MATCH(DATEVALUE($A282),'recurring1_based on steps'!AN$1:AN$400,0)),AN$2,)</f>
        <v>0</v>
      </c>
      <c r="AO282" s="155">
        <f ca="1">IF(ISNUMBER(MATCH(DATEVALUE($A282),'recurring1_based on steps'!AO$1:AO$400,0)),AO$2,)</f>
        <v>0</v>
      </c>
      <c r="AP282" s="155">
        <f ca="1">IF(ISNUMBER(MATCH(DATEVALUE($A282),'recurring1_based on steps'!AP$1:AP$400,0)),AP$2,)</f>
        <v>0</v>
      </c>
      <c r="AQ282" s="155">
        <f ca="1">IF(ISNUMBER(MATCH(DATEVALUE($A282),'recurring1_based on steps'!AQ$1:AQ$400,0)),AQ$2,)</f>
        <v>0</v>
      </c>
      <c r="AR282" s="155">
        <f ca="1">IF(ISNUMBER(MATCH(DATEVALUE($A282),'recurring1_based on steps'!AR$1:AR$400,0)),AR$2,)</f>
        <v>0</v>
      </c>
      <c r="AS282" s="155">
        <f ca="1">IF(ISNUMBER(MATCH(DATEVALUE($A282),'recurring1_based on steps'!AS$1:AS$400,0)),AS$2,)</f>
        <v>0</v>
      </c>
      <c r="AT282" s="155">
        <f ca="1">IF(ISNUMBER(MATCH(DATEVALUE($A282),'recurring1_based on steps'!AT$1:AT$400,0)),AT$2,)</f>
        <v>0</v>
      </c>
      <c r="AU282" s="155">
        <f ca="1">IF(ISNUMBER(MATCH(DATEVALUE($A282),'recurring1_based on steps'!AU$1:AU$400,0)),AU$2,)</f>
        <v>0</v>
      </c>
      <c r="AV282" s="155">
        <f ca="1">IF(ISNUMBER(MATCH(DATEVALUE($A282),'recurring1_based on steps'!AV$1:AV$400,0)),AV$2,)</f>
        <v>0</v>
      </c>
      <c r="AW282" s="155">
        <f ca="1">IF(ISNUMBER(MATCH(DATEVALUE($A282),'recurring1_based on steps'!AW$1:AW$400,0)),AW$2,)</f>
        <v>0</v>
      </c>
      <c r="AX282" s="155">
        <f ca="1">IF(ISNUMBER(MATCH(DATEVALUE($A282),'recurring1_based on steps'!AX$1:AX$400,0)),AX$2,)</f>
        <v>0</v>
      </c>
      <c r="AY282" s="155">
        <f ca="1">IF(ISNUMBER(MATCH(DATEVALUE($A282),'recurring1_based on steps'!AY$1:AY$400,0)),AY$2,)</f>
        <v>0</v>
      </c>
    </row>
    <row r="283" spans="1:51" x14ac:dyDescent="0.2">
      <c r="A283" s="18" t="str">
        <f t="shared" ca="1" si="4"/>
        <v>2025-11-08</v>
      </c>
      <c r="B283" s="155">
        <f ca="1">IF(ISNUMBER(MATCH(DATEVALUE($A283),'recurring1_based on steps'!B$1:B$400,0)),B$2,)</f>
        <v>0</v>
      </c>
      <c r="C283" s="155">
        <f ca="1">IF(ISNUMBER(MATCH(DATEVALUE($A283),'recurring1_based on steps'!C$1:C$400,0)),C$2,)</f>
        <v>0</v>
      </c>
      <c r="D283" s="155">
        <f ca="1">IF(ISNUMBER(MATCH(DATEVALUE($A283),'recurring1_based on steps'!D$1:D$400,0)),D$2,)</f>
        <v>0</v>
      </c>
      <c r="E283" s="155">
        <f ca="1">IF(ISNUMBER(MATCH(DATEVALUE($A283),'recurring1_based on steps'!E$1:E$400,0)),E$2,)</f>
        <v>0</v>
      </c>
      <c r="F283" s="155">
        <f ca="1">IF(ISNUMBER(MATCH(DATEVALUE($A283),'recurring1_based on steps'!F$1:F$400,0)),F$2,)</f>
        <v>0</v>
      </c>
      <c r="G283" s="155">
        <f ca="1">IF(ISNUMBER(MATCH(DATEVALUE($A283),'recurring1_based on steps'!G$1:G$400,0)),G$2,)</f>
        <v>0</v>
      </c>
      <c r="H283" s="155">
        <f ca="1">IF(ISNUMBER(MATCH(DATEVALUE($A283),'recurring1_based on steps'!H$1:H$400,0)),H$2,)</f>
        <v>0</v>
      </c>
      <c r="I283" s="155">
        <f ca="1">IF(ISNUMBER(MATCH(DATEVALUE($A283),'recurring1_based on steps'!I$1:I$400,0)),I$2,)</f>
        <v>0</v>
      </c>
      <c r="J283" s="155">
        <f ca="1">IF(ISNUMBER(MATCH(DATEVALUE($A283),'recurring1_based on steps'!J$1:J$400,0)),J$2,)</f>
        <v>0</v>
      </c>
      <c r="K283" s="155">
        <f ca="1">IF(ISNUMBER(MATCH(DATEVALUE($A283),'recurring1_based on steps'!K$1:K$400,0)),K$2,)</f>
        <v>0</v>
      </c>
      <c r="L283" s="155">
        <f ca="1">IF(ISNUMBER(MATCH(DATEVALUE($A283),'recurring1_based on steps'!L$1:L$400,0)),L$2,)</f>
        <v>0</v>
      </c>
      <c r="M283" s="155">
        <f ca="1">IF(ISNUMBER(MATCH(DATEVALUE($A283),'recurring1_based on steps'!M$1:M$400,0)),M$2,)</f>
        <v>0</v>
      </c>
      <c r="N283" s="155">
        <f ca="1">IF(ISNUMBER(MATCH(DATEVALUE($A283),'recurring1_based on steps'!N$1:N$400,0)),N$2,)</f>
        <v>0</v>
      </c>
      <c r="O283" s="155">
        <f ca="1">IF(ISNUMBER(MATCH(DATEVALUE($A283),'recurring1_based on steps'!O$1:O$400,0)),O$2,)</f>
        <v>0</v>
      </c>
      <c r="P283" s="155">
        <f ca="1">IF(ISNUMBER(MATCH(DATEVALUE($A283),'recurring1_based on steps'!P$1:P$400,0)),P$2,)</f>
        <v>0</v>
      </c>
      <c r="Q283" s="155">
        <f ca="1">IF(ISNUMBER(MATCH(DATEVALUE($A283),'recurring1_based on steps'!Q$1:Q$400,0)),Q$2,)</f>
        <v>100</v>
      </c>
      <c r="R283" s="155">
        <f ca="1">IF(ISNUMBER(MATCH(DATEVALUE($A283),'recurring1_based on steps'!R$1:R$400,0)),R$2,)</f>
        <v>100</v>
      </c>
      <c r="S283" s="155">
        <f ca="1">IF(ISNUMBER(MATCH(DATEVALUE($A283),'recurring1_based on steps'!S$1:S$400,0)),S$2,)</f>
        <v>0</v>
      </c>
      <c r="T283" s="155">
        <f ca="1">IF(ISNUMBER(MATCH(DATEVALUE($A283),'recurring1_based on steps'!T$1:T$400,0)),T$2,)</f>
        <v>0</v>
      </c>
      <c r="U283" s="155">
        <f ca="1">IF(ISNUMBER(MATCH(DATEVALUE($A283),'recurring1_based on steps'!U$1:U$400,0)),U$2,)</f>
        <v>0</v>
      </c>
      <c r="V283" s="155">
        <f ca="1">IF(ISNUMBER(MATCH(DATEVALUE($A283),'recurring1_based on steps'!V$1:V$400,0)),V$2,)</f>
        <v>0</v>
      </c>
      <c r="W283" s="155">
        <f ca="1">IF(ISNUMBER(MATCH(DATEVALUE($A283),'recurring1_based on steps'!W$1:W$400,0)),W$2,)</f>
        <v>0</v>
      </c>
      <c r="X283" s="155">
        <f ca="1">IF(ISNUMBER(MATCH(DATEVALUE($A283),'recurring1_based on steps'!X$1:X$400,0)),X$2,)</f>
        <v>0</v>
      </c>
      <c r="Y283" s="155">
        <f ca="1">IF(ISNUMBER(MATCH(DATEVALUE($A283),'recurring1_based on steps'!Y$1:Y$400,0)),Y$2,)</f>
        <v>0</v>
      </c>
      <c r="Z283" s="155">
        <f ca="1">IF(ISNUMBER(MATCH(DATEVALUE($A283),'recurring1_based on steps'!Z$1:Z$400,0)),Z$2,)</f>
        <v>0</v>
      </c>
      <c r="AA283" s="155">
        <f ca="1">IF(ISNUMBER(MATCH(DATEVALUE($A283),'recurring1_based on steps'!AA$1:AA$400,0)),AA$2,)</f>
        <v>0</v>
      </c>
      <c r="AB283" s="155">
        <f ca="1">IF(ISNUMBER(MATCH(DATEVALUE($A283),'recurring1_based on steps'!AB$1:AB$400,0)),AB$2,)</f>
        <v>0</v>
      </c>
      <c r="AC283" s="155">
        <f ca="1">IF(ISNUMBER(MATCH(DATEVALUE($A283),'recurring1_based on steps'!AC$1:AC$400,0)),AC$2,)</f>
        <v>0</v>
      </c>
      <c r="AD283" s="155">
        <f ca="1">IF(ISNUMBER(MATCH(DATEVALUE($A283),'recurring1_based on steps'!AD$1:AD$400,0)),AD$2,)</f>
        <v>0</v>
      </c>
      <c r="AE283" s="155">
        <f ca="1">IF(ISNUMBER(MATCH(DATEVALUE($A283),'recurring1_based on steps'!AE$1:AE$400,0)),AE$2,)</f>
        <v>0</v>
      </c>
      <c r="AF283" s="155">
        <f ca="1">IF(ISNUMBER(MATCH(DATEVALUE($A283),'recurring1_based on steps'!AF$1:AF$400,0)),AF$2,)</f>
        <v>0</v>
      </c>
      <c r="AG283" s="155">
        <f ca="1">IF(ISNUMBER(MATCH(DATEVALUE($A283),'recurring1_based on steps'!AG$1:AG$400,0)),AG$2,)</f>
        <v>0</v>
      </c>
      <c r="AH283" s="155">
        <f ca="1">IF(ISNUMBER(MATCH(DATEVALUE($A283),'recurring1_based on steps'!AH$1:AH$400,0)),AH$2,)</f>
        <v>0</v>
      </c>
      <c r="AI283" s="155">
        <f ca="1">IF(ISNUMBER(MATCH(DATEVALUE($A283),'recurring1_based on steps'!AI$1:AI$400,0)),AI$2,)</f>
        <v>0</v>
      </c>
      <c r="AJ283" s="155">
        <f ca="1">IF(ISNUMBER(MATCH(DATEVALUE($A283),'recurring1_based on steps'!AJ$1:AJ$400,0)),AJ$2,)</f>
        <v>0</v>
      </c>
      <c r="AK283" s="155">
        <f ca="1">IF(ISNUMBER(MATCH(DATEVALUE($A283),'recurring1_based on steps'!AK$1:AK$400,0)),AK$2,)</f>
        <v>0</v>
      </c>
      <c r="AL283" s="155">
        <f ca="1">IF(ISNUMBER(MATCH(DATEVALUE($A283),'recurring1_based on steps'!AL$1:AL$400,0)),AL$2,)</f>
        <v>0</v>
      </c>
      <c r="AM283" s="155">
        <f ca="1">IF(ISNUMBER(MATCH(DATEVALUE($A283),'recurring1_based on steps'!AM$1:AM$400,0)),AM$2,)</f>
        <v>0</v>
      </c>
      <c r="AN283" s="155">
        <f ca="1">IF(ISNUMBER(MATCH(DATEVALUE($A283),'recurring1_based on steps'!AN$1:AN$400,0)),AN$2,)</f>
        <v>0</v>
      </c>
      <c r="AO283" s="155">
        <f ca="1">IF(ISNUMBER(MATCH(DATEVALUE($A283),'recurring1_based on steps'!AO$1:AO$400,0)),AO$2,)</f>
        <v>0</v>
      </c>
      <c r="AP283" s="155">
        <f ca="1">IF(ISNUMBER(MATCH(DATEVALUE($A283),'recurring1_based on steps'!AP$1:AP$400,0)),AP$2,)</f>
        <v>0</v>
      </c>
      <c r="AQ283" s="155">
        <f ca="1">IF(ISNUMBER(MATCH(DATEVALUE($A283),'recurring1_based on steps'!AQ$1:AQ$400,0)),AQ$2,)</f>
        <v>0</v>
      </c>
      <c r="AR283" s="155">
        <f ca="1">IF(ISNUMBER(MATCH(DATEVALUE($A283),'recurring1_based on steps'!AR$1:AR$400,0)),AR$2,)</f>
        <v>0</v>
      </c>
      <c r="AS283" s="155">
        <f ca="1">IF(ISNUMBER(MATCH(DATEVALUE($A283),'recurring1_based on steps'!AS$1:AS$400,0)),AS$2,)</f>
        <v>0</v>
      </c>
      <c r="AT283" s="155">
        <f ca="1">IF(ISNUMBER(MATCH(DATEVALUE($A283),'recurring1_based on steps'!AT$1:AT$400,0)),AT$2,)</f>
        <v>0</v>
      </c>
      <c r="AU283" s="155">
        <f ca="1">IF(ISNUMBER(MATCH(DATEVALUE($A283),'recurring1_based on steps'!AU$1:AU$400,0)),AU$2,)</f>
        <v>0</v>
      </c>
      <c r="AV283" s="155">
        <f ca="1">IF(ISNUMBER(MATCH(DATEVALUE($A283),'recurring1_based on steps'!AV$1:AV$400,0)),AV$2,)</f>
        <v>0</v>
      </c>
      <c r="AW283" s="155">
        <f ca="1">IF(ISNUMBER(MATCH(DATEVALUE($A283),'recurring1_based on steps'!AW$1:AW$400,0)),AW$2,)</f>
        <v>0</v>
      </c>
      <c r="AX283" s="155">
        <f ca="1">IF(ISNUMBER(MATCH(DATEVALUE($A283),'recurring1_based on steps'!AX$1:AX$400,0)),AX$2,)</f>
        <v>0</v>
      </c>
      <c r="AY283" s="155">
        <f ca="1">IF(ISNUMBER(MATCH(DATEVALUE($A283),'recurring1_based on steps'!AY$1:AY$400,0)),AY$2,)</f>
        <v>0</v>
      </c>
    </row>
    <row r="284" spans="1:51" x14ac:dyDescent="0.2">
      <c r="A284" s="18" t="str">
        <f t="shared" ca="1" si="4"/>
        <v>2025-11-09</v>
      </c>
      <c r="B284" s="155">
        <f ca="1">IF(ISNUMBER(MATCH(DATEVALUE($A284),'recurring1_based on steps'!B$1:B$400,0)),B$2,)</f>
        <v>0</v>
      </c>
      <c r="C284" s="155">
        <f ca="1">IF(ISNUMBER(MATCH(DATEVALUE($A284),'recurring1_based on steps'!C$1:C$400,0)),C$2,)</f>
        <v>0</v>
      </c>
      <c r="D284" s="155">
        <f ca="1">IF(ISNUMBER(MATCH(DATEVALUE($A284),'recurring1_based on steps'!D$1:D$400,0)),D$2,)</f>
        <v>0</v>
      </c>
      <c r="E284" s="155">
        <f ca="1">IF(ISNUMBER(MATCH(DATEVALUE($A284),'recurring1_based on steps'!E$1:E$400,0)),E$2,)</f>
        <v>0</v>
      </c>
      <c r="F284" s="155">
        <f ca="1">IF(ISNUMBER(MATCH(DATEVALUE($A284),'recurring1_based on steps'!F$1:F$400,0)),F$2,)</f>
        <v>0</v>
      </c>
      <c r="G284" s="155">
        <f ca="1">IF(ISNUMBER(MATCH(DATEVALUE($A284),'recurring1_based on steps'!G$1:G$400,0)),G$2,)</f>
        <v>0</v>
      </c>
      <c r="H284" s="155">
        <f ca="1">IF(ISNUMBER(MATCH(DATEVALUE($A284),'recurring1_based on steps'!H$1:H$400,0)),H$2,)</f>
        <v>0</v>
      </c>
      <c r="I284" s="155">
        <f ca="1">IF(ISNUMBER(MATCH(DATEVALUE($A284),'recurring1_based on steps'!I$1:I$400,0)),I$2,)</f>
        <v>0</v>
      </c>
      <c r="J284" s="155">
        <f ca="1">IF(ISNUMBER(MATCH(DATEVALUE($A284),'recurring1_based on steps'!J$1:J$400,0)),J$2,)</f>
        <v>0</v>
      </c>
      <c r="K284" s="155">
        <f ca="1">IF(ISNUMBER(MATCH(DATEVALUE($A284),'recurring1_based on steps'!K$1:K$400,0)),K$2,)</f>
        <v>50</v>
      </c>
      <c r="L284" s="155">
        <f ca="1">IF(ISNUMBER(MATCH(DATEVALUE($A284),'recurring1_based on steps'!L$1:L$400,0)),L$2,)</f>
        <v>0</v>
      </c>
      <c r="M284" s="155">
        <f ca="1">IF(ISNUMBER(MATCH(DATEVALUE($A284),'recurring1_based on steps'!M$1:M$400,0)),M$2,)</f>
        <v>0</v>
      </c>
      <c r="N284" s="155">
        <f ca="1">IF(ISNUMBER(MATCH(DATEVALUE($A284),'recurring1_based on steps'!N$1:N$400,0)),N$2,)</f>
        <v>0</v>
      </c>
      <c r="O284" s="155">
        <f ca="1">IF(ISNUMBER(MATCH(DATEVALUE($A284),'recurring1_based on steps'!O$1:O$400,0)),O$2,)</f>
        <v>0</v>
      </c>
      <c r="P284" s="155">
        <f ca="1">IF(ISNUMBER(MATCH(DATEVALUE($A284),'recurring1_based on steps'!P$1:P$400,0)),P$2,)</f>
        <v>0</v>
      </c>
      <c r="Q284" s="155">
        <f ca="1">IF(ISNUMBER(MATCH(DATEVALUE($A284),'recurring1_based on steps'!Q$1:Q$400,0)),Q$2,)</f>
        <v>0</v>
      </c>
      <c r="R284" s="155">
        <f ca="1">IF(ISNUMBER(MATCH(DATEVALUE($A284),'recurring1_based on steps'!R$1:R$400,0)),R$2,)</f>
        <v>0</v>
      </c>
      <c r="S284" s="155">
        <f ca="1">IF(ISNUMBER(MATCH(DATEVALUE($A284),'recurring1_based on steps'!S$1:S$400,0)),S$2,)</f>
        <v>100</v>
      </c>
      <c r="T284" s="155">
        <f ca="1">IF(ISNUMBER(MATCH(DATEVALUE($A284),'recurring1_based on steps'!T$1:T$400,0)),T$2,)</f>
        <v>0</v>
      </c>
      <c r="U284" s="155">
        <f ca="1">IF(ISNUMBER(MATCH(DATEVALUE($A284),'recurring1_based on steps'!U$1:U$400,0)),U$2,)</f>
        <v>0</v>
      </c>
      <c r="V284" s="155">
        <f ca="1">IF(ISNUMBER(MATCH(DATEVALUE($A284),'recurring1_based on steps'!V$1:V$400,0)),V$2,)</f>
        <v>0</v>
      </c>
      <c r="W284" s="155">
        <f ca="1">IF(ISNUMBER(MATCH(DATEVALUE($A284),'recurring1_based on steps'!W$1:W$400,0)),W$2,)</f>
        <v>0</v>
      </c>
      <c r="X284" s="155">
        <f ca="1">IF(ISNUMBER(MATCH(DATEVALUE($A284),'recurring1_based on steps'!X$1:X$400,0)),X$2,)</f>
        <v>0</v>
      </c>
      <c r="Y284" s="155">
        <f ca="1">IF(ISNUMBER(MATCH(DATEVALUE($A284),'recurring1_based on steps'!Y$1:Y$400,0)),Y$2,)</f>
        <v>0</v>
      </c>
      <c r="Z284" s="155">
        <f ca="1">IF(ISNUMBER(MATCH(DATEVALUE($A284),'recurring1_based on steps'!Z$1:Z$400,0)),Z$2,)</f>
        <v>0</v>
      </c>
      <c r="AA284" s="155">
        <f ca="1">IF(ISNUMBER(MATCH(DATEVALUE($A284),'recurring1_based on steps'!AA$1:AA$400,0)),AA$2,)</f>
        <v>0</v>
      </c>
      <c r="AB284" s="155">
        <f ca="1">IF(ISNUMBER(MATCH(DATEVALUE($A284),'recurring1_based on steps'!AB$1:AB$400,0)),AB$2,)</f>
        <v>0</v>
      </c>
      <c r="AC284" s="155">
        <f ca="1">IF(ISNUMBER(MATCH(DATEVALUE($A284),'recurring1_based on steps'!AC$1:AC$400,0)),AC$2,)</f>
        <v>0</v>
      </c>
      <c r="AD284" s="155">
        <f ca="1">IF(ISNUMBER(MATCH(DATEVALUE($A284),'recurring1_based on steps'!AD$1:AD$400,0)),AD$2,)</f>
        <v>0</v>
      </c>
      <c r="AE284" s="155">
        <f ca="1">IF(ISNUMBER(MATCH(DATEVALUE($A284),'recurring1_based on steps'!AE$1:AE$400,0)),AE$2,)</f>
        <v>0</v>
      </c>
      <c r="AF284" s="155">
        <f ca="1">IF(ISNUMBER(MATCH(DATEVALUE($A284),'recurring1_based on steps'!AF$1:AF$400,0)),AF$2,)</f>
        <v>0</v>
      </c>
      <c r="AG284" s="155">
        <f ca="1">IF(ISNUMBER(MATCH(DATEVALUE($A284),'recurring1_based on steps'!AG$1:AG$400,0)),AG$2,)</f>
        <v>0</v>
      </c>
      <c r="AH284" s="155">
        <f ca="1">IF(ISNUMBER(MATCH(DATEVALUE($A284),'recurring1_based on steps'!AH$1:AH$400,0)),AH$2,)</f>
        <v>0</v>
      </c>
      <c r="AI284" s="155">
        <f ca="1">IF(ISNUMBER(MATCH(DATEVALUE($A284),'recurring1_based on steps'!AI$1:AI$400,0)),AI$2,)</f>
        <v>0</v>
      </c>
      <c r="AJ284" s="155">
        <f ca="1">IF(ISNUMBER(MATCH(DATEVALUE($A284),'recurring1_based on steps'!AJ$1:AJ$400,0)),AJ$2,)</f>
        <v>0</v>
      </c>
      <c r="AK284" s="155">
        <f ca="1">IF(ISNUMBER(MATCH(DATEVALUE($A284),'recurring1_based on steps'!AK$1:AK$400,0)),AK$2,)</f>
        <v>0</v>
      </c>
      <c r="AL284" s="155">
        <f ca="1">IF(ISNUMBER(MATCH(DATEVALUE($A284),'recurring1_based on steps'!AL$1:AL$400,0)),AL$2,)</f>
        <v>0</v>
      </c>
      <c r="AM284" s="155">
        <f ca="1">IF(ISNUMBER(MATCH(DATEVALUE($A284),'recurring1_based on steps'!AM$1:AM$400,0)),AM$2,)</f>
        <v>0</v>
      </c>
      <c r="AN284" s="155">
        <f ca="1">IF(ISNUMBER(MATCH(DATEVALUE($A284),'recurring1_based on steps'!AN$1:AN$400,0)),AN$2,)</f>
        <v>0</v>
      </c>
      <c r="AO284" s="155">
        <f ca="1">IF(ISNUMBER(MATCH(DATEVALUE($A284),'recurring1_based on steps'!AO$1:AO$400,0)),AO$2,)</f>
        <v>0</v>
      </c>
      <c r="AP284" s="155">
        <f ca="1">IF(ISNUMBER(MATCH(DATEVALUE($A284),'recurring1_based on steps'!AP$1:AP$400,0)),AP$2,)</f>
        <v>0</v>
      </c>
      <c r="AQ284" s="155">
        <f ca="1">IF(ISNUMBER(MATCH(DATEVALUE($A284),'recurring1_based on steps'!AQ$1:AQ$400,0)),AQ$2,)</f>
        <v>0</v>
      </c>
      <c r="AR284" s="155">
        <f ca="1">IF(ISNUMBER(MATCH(DATEVALUE($A284),'recurring1_based on steps'!AR$1:AR$400,0)),AR$2,)</f>
        <v>0</v>
      </c>
      <c r="AS284" s="155">
        <f ca="1">IF(ISNUMBER(MATCH(DATEVALUE($A284),'recurring1_based on steps'!AS$1:AS$400,0)),AS$2,)</f>
        <v>0</v>
      </c>
      <c r="AT284" s="155">
        <f ca="1">IF(ISNUMBER(MATCH(DATEVALUE($A284),'recurring1_based on steps'!AT$1:AT$400,0)),AT$2,)</f>
        <v>0</v>
      </c>
      <c r="AU284" s="155">
        <f ca="1">IF(ISNUMBER(MATCH(DATEVALUE($A284),'recurring1_based on steps'!AU$1:AU$400,0)),AU$2,)</f>
        <v>0</v>
      </c>
      <c r="AV284" s="155">
        <f ca="1">IF(ISNUMBER(MATCH(DATEVALUE($A284),'recurring1_based on steps'!AV$1:AV$400,0)),AV$2,)</f>
        <v>0</v>
      </c>
      <c r="AW284" s="155">
        <f ca="1">IF(ISNUMBER(MATCH(DATEVALUE($A284),'recurring1_based on steps'!AW$1:AW$400,0)),AW$2,)</f>
        <v>0</v>
      </c>
      <c r="AX284" s="155">
        <f ca="1">IF(ISNUMBER(MATCH(DATEVALUE($A284),'recurring1_based on steps'!AX$1:AX$400,0)),AX$2,)</f>
        <v>0</v>
      </c>
      <c r="AY284" s="155">
        <f ca="1">IF(ISNUMBER(MATCH(DATEVALUE($A284),'recurring1_based on steps'!AY$1:AY$400,0)),AY$2,)</f>
        <v>0</v>
      </c>
    </row>
    <row r="285" spans="1:51" x14ac:dyDescent="0.2">
      <c r="A285" s="18" t="str">
        <f t="shared" ca="1" si="4"/>
        <v>2025-11-10</v>
      </c>
      <c r="B285" s="155">
        <f ca="1">IF(ISNUMBER(MATCH(DATEVALUE($A285),'recurring1_based on steps'!B$1:B$400,0)),B$2,)</f>
        <v>0</v>
      </c>
      <c r="C285" s="155">
        <f ca="1">IF(ISNUMBER(MATCH(DATEVALUE($A285),'recurring1_based on steps'!C$1:C$400,0)),C$2,)</f>
        <v>0</v>
      </c>
      <c r="D285" s="155">
        <f ca="1">IF(ISNUMBER(MATCH(DATEVALUE($A285),'recurring1_based on steps'!D$1:D$400,0)),D$2,)</f>
        <v>0</v>
      </c>
      <c r="E285" s="155">
        <f ca="1">IF(ISNUMBER(MATCH(DATEVALUE($A285),'recurring1_based on steps'!E$1:E$400,0)),E$2,)</f>
        <v>0</v>
      </c>
      <c r="F285" s="155">
        <f ca="1">IF(ISNUMBER(MATCH(DATEVALUE($A285),'recurring1_based on steps'!F$1:F$400,0)),F$2,)</f>
        <v>0</v>
      </c>
      <c r="G285" s="155">
        <f ca="1">IF(ISNUMBER(MATCH(DATEVALUE($A285),'recurring1_based on steps'!G$1:G$400,0)),G$2,)</f>
        <v>0</v>
      </c>
      <c r="H285" s="155">
        <f ca="1">IF(ISNUMBER(MATCH(DATEVALUE($A285),'recurring1_based on steps'!H$1:H$400,0)),H$2,)</f>
        <v>0</v>
      </c>
      <c r="I285" s="155">
        <f ca="1">IF(ISNUMBER(MATCH(DATEVALUE($A285),'recurring1_based on steps'!I$1:I$400,0)),I$2,)</f>
        <v>0</v>
      </c>
      <c r="J285" s="155">
        <f ca="1">IF(ISNUMBER(MATCH(DATEVALUE($A285),'recurring1_based on steps'!J$1:J$400,0)),J$2,)</f>
        <v>0</v>
      </c>
      <c r="K285" s="155">
        <f ca="1">IF(ISNUMBER(MATCH(DATEVALUE($A285),'recurring1_based on steps'!K$1:K$400,0)),K$2,)</f>
        <v>0</v>
      </c>
      <c r="L285" s="155">
        <f ca="1">IF(ISNUMBER(MATCH(DATEVALUE($A285),'recurring1_based on steps'!L$1:L$400,0)),L$2,)</f>
        <v>0</v>
      </c>
      <c r="M285" s="155">
        <f ca="1">IF(ISNUMBER(MATCH(DATEVALUE($A285),'recurring1_based on steps'!M$1:M$400,0)),M$2,)</f>
        <v>0</v>
      </c>
      <c r="N285" s="155">
        <f ca="1">IF(ISNUMBER(MATCH(DATEVALUE($A285),'recurring1_based on steps'!N$1:N$400,0)),N$2,)</f>
        <v>0</v>
      </c>
      <c r="O285" s="155">
        <f ca="1">IF(ISNUMBER(MATCH(DATEVALUE($A285),'recurring1_based on steps'!O$1:O$400,0)),O$2,)</f>
        <v>0</v>
      </c>
      <c r="P285" s="155">
        <f ca="1">IF(ISNUMBER(MATCH(DATEVALUE($A285),'recurring1_based on steps'!P$1:P$400,0)),P$2,)</f>
        <v>0</v>
      </c>
      <c r="Q285" s="155">
        <f ca="1">IF(ISNUMBER(MATCH(DATEVALUE($A285),'recurring1_based on steps'!Q$1:Q$400,0)),Q$2,)</f>
        <v>0</v>
      </c>
      <c r="R285" s="155">
        <f ca="1">IF(ISNUMBER(MATCH(DATEVALUE($A285),'recurring1_based on steps'!R$1:R$400,0)),R$2,)</f>
        <v>0</v>
      </c>
      <c r="S285" s="155">
        <f ca="1">IF(ISNUMBER(MATCH(DATEVALUE($A285),'recurring1_based on steps'!S$1:S$400,0)),S$2,)</f>
        <v>0</v>
      </c>
      <c r="T285" s="155">
        <f ca="1">IF(ISNUMBER(MATCH(DATEVALUE($A285),'recurring1_based on steps'!T$1:T$400,0)),T$2,)</f>
        <v>0</v>
      </c>
      <c r="U285" s="155">
        <f ca="1">IF(ISNUMBER(MATCH(DATEVALUE($A285),'recurring1_based on steps'!U$1:U$400,0)),U$2,)</f>
        <v>0</v>
      </c>
      <c r="V285" s="155">
        <f ca="1">IF(ISNUMBER(MATCH(DATEVALUE($A285),'recurring1_based on steps'!V$1:V$400,0)),V$2,)</f>
        <v>0</v>
      </c>
      <c r="W285" s="155">
        <f ca="1">IF(ISNUMBER(MATCH(DATEVALUE($A285),'recurring1_based on steps'!W$1:W$400,0)),W$2,)</f>
        <v>0</v>
      </c>
      <c r="X285" s="155">
        <f ca="1">IF(ISNUMBER(MATCH(DATEVALUE($A285),'recurring1_based on steps'!X$1:X$400,0)),X$2,)</f>
        <v>0</v>
      </c>
      <c r="Y285" s="155">
        <f ca="1">IF(ISNUMBER(MATCH(DATEVALUE($A285),'recurring1_based on steps'!Y$1:Y$400,0)),Y$2,)</f>
        <v>0</v>
      </c>
      <c r="Z285" s="155">
        <f ca="1">IF(ISNUMBER(MATCH(DATEVALUE($A285),'recurring1_based on steps'!Z$1:Z$400,0)),Z$2,)</f>
        <v>0</v>
      </c>
      <c r="AA285" s="155">
        <f ca="1">IF(ISNUMBER(MATCH(DATEVALUE($A285),'recurring1_based on steps'!AA$1:AA$400,0)),AA$2,)</f>
        <v>0</v>
      </c>
      <c r="AB285" s="155">
        <f ca="1">IF(ISNUMBER(MATCH(DATEVALUE($A285),'recurring1_based on steps'!AB$1:AB$400,0)),AB$2,)</f>
        <v>0</v>
      </c>
      <c r="AC285" s="155">
        <f ca="1">IF(ISNUMBER(MATCH(DATEVALUE($A285),'recurring1_based on steps'!AC$1:AC$400,0)),AC$2,)</f>
        <v>0</v>
      </c>
      <c r="AD285" s="155">
        <f ca="1">IF(ISNUMBER(MATCH(DATEVALUE($A285),'recurring1_based on steps'!AD$1:AD$400,0)),AD$2,)</f>
        <v>0</v>
      </c>
      <c r="AE285" s="155">
        <f ca="1">IF(ISNUMBER(MATCH(DATEVALUE($A285),'recurring1_based on steps'!AE$1:AE$400,0)),AE$2,)</f>
        <v>0</v>
      </c>
      <c r="AF285" s="155">
        <f ca="1">IF(ISNUMBER(MATCH(DATEVALUE($A285),'recurring1_based on steps'!AF$1:AF$400,0)),AF$2,)</f>
        <v>0</v>
      </c>
      <c r="AG285" s="155">
        <f ca="1">IF(ISNUMBER(MATCH(DATEVALUE($A285),'recurring1_based on steps'!AG$1:AG$400,0)),AG$2,)</f>
        <v>0</v>
      </c>
      <c r="AH285" s="155">
        <f ca="1">IF(ISNUMBER(MATCH(DATEVALUE($A285),'recurring1_based on steps'!AH$1:AH$400,0)),AH$2,)</f>
        <v>0</v>
      </c>
      <c r="AI285" s="155">
        <f ca="1">IF(ISNUMBER(MATCH(DATEVALUE($A285),'recurring1_based on steps'!AI$1:AI$400,0)),AI$2,)</f>
        <v>0</v>
      </c>
      <c r="AJ285" s="155">
        <f ca="1">IF(ISNUMBER(MATCH(DATEVALUE($A285),'recurring1_based on steps'!AJ$1:AJ$400,0)),AJ$2,)</f>
        <v>0</v>
      </c>
      <c r="AK285" s="155">
        <f ca="1">IF(ISNUMBER(MATCH(DATEVALUE($A285),'recurring1_based on steps'!AK$1:AK$400,0)),AK$2,)</f>
        <v>0</v>
      </c>
      <c r="AL285" s="155">
        <f ca="1">IF(ISNUMBER(MATCH(DATEVALUE($A285),'recurring1_based on steps'!AL$1:AL$400,0)),AL$2,)</f>
        <v>0</v>
      </c>
      <c r="AM285" s="155">
        <f ca="1">IF(ISNUMBER(MATCH(DATEVALUE($A285),'recurring1_based on steps'!AM$1:AM$400,0)),AM$2,)</f>
        <v>0</v>
      </c>
      <c r="AN285" s="155">
        <f ca="1">IF(ISNUMBER(MATCH(DATEVALUE($A285),'recurring1_based on steps'!AN$1:AN$400,0)),AN$2,)</f>
        <v>0</v>
      </c>
      <c r="AO285" s="155">
        <f ca="1">IF(ISNUMBER(MATCH(DATEVALUE($A285),'recurring1_based on steps'!AO$1:AO$400,0)),AO$2,)</f>
        <v>0</v>
      </c>
      <c r="AP285" s="155">
        <f ca="1">IF(ISNUMBER(MATCH(DATEVALUE($A285),'recurring1_based on steps'!AP$1:AP$400,0)),AP$2,)</f>
        <v>0</v>
      </c>
      <c r="AQ285" s="155">
        <f ca="1">IF(ISNUMBER(MATCH(DATEVALUE($A285),'recurring1_based on steps'!AQ$1:AQ$400,0)),AQ$2,)</f>
        <v>0</v>
      </c>
      <c r="AR285" s="155">
        <f ca="1">IF(ISNUMBER(MATCH(DATEVALUE($A285),'recurring1_based on steps'!AR$1:AR$400,0)),AR$2,)</f>
        <v>0</v>
      </c>
      <c r="AS285" s="155">
        <f ca="1">IF(ISNUMBER(MATCH(DATEVALUE($A285),'recurring1_based on steps'!AS$1:AS$400,0)),AS$2,)</f>
        <v>0</v>
      </c>
      <c r="AT285" s="155">
        <f ca="1">IF(ISNUMBER(MATCH(DATEVALUE($A285),'recurring1_based on steps'!AT$1:AT$400,0)),AT$2,)</f>
        <v>0</v>
      </c>
      <c r="AU285" s="155">
        <f ca="1">IF(ISNUMBER(MATCH(DATEVALUE($A285),'recurring1_based on steps'!AU$1:AU$400,0)),AU$2,)</f>
        <v>0</v>
      </c>
      <c r="AV285" s="155">
        <f ca="1">IF(ISNUMBER(MATCH(DATEVALUE($A285),'recurring1_based on steps'!AV$1:AV$400,0)),AV$2,)</f>
        <v>0</v>
      </c>
      <c r="AW285" s="155">
        <f ca="1">IF(ISNUMBER(MATCH(DATEVALUE($A285),'recurring1_based on steps'!AW$1:AW$400,0)),AW$2,)</f>
        <v>0</v>
      </c>
      <c r="AX285" s="155">
        <f ca="1">IF(ISNUMBER(MATCH(DATEVALUE($A285),'recurring1_based on steps'!AX$1:AX$400,0)),AX$2,)</f>
        <v>0</v>
      </c>
      <c r="AY285" s="155">
        <f ca="1">IF(ISNUMBER(MATCH(DATEVALUE($A285),'recurring1_based on steps'!AY$1:AY$400,0)),AY$2,)</f>
        <v>0</v>
      </c>
    </row>
    <row r="286" spans="1:51" x14ac:dyDescent="0.2">
      <c r="A286" s="18" t="str">
        <f t="shared" ca="1" si="4"/>
        <v>2025-11-11</v>
      </c>
      <c r="B286" s="155">
        <f ca="1">IF(ISNUMBER(MATCH(DATEVALUE($A286),'recurring1_based on steps'!B$1:B$400,0)),B$2,)</f>
        <v>0</v>
      </c>
      <c r="C286" s="155">
        <f ca="1">IF(ISNUMBER(MATCH(DATEVALUE($A286),'recurring1_based on steps'!C$1:C$400,0)),C$2,)</f>
        <v>0</v>
      </c>
      <c r="D286" s="155">
        <f ca="1">IF(ISNUMBER(MATCH(DATEVALUE($A286),'recurring1_based on steps'!D$1:D$400,0)),D$2,)</f>
        <v>0</v>
      </c>
      <c r="E286" s="155">
        <f ca="1">IF(ISNUMBER(MATCH(DATEVALUE($A286),'recurring1_based on steps'!E$1:E$400,0)),E$2,)</f>
        <v>0</v>
      </c>
      <c r="F286" s="155">
        <f ca="1">IF(ISNUMBER(MATCH(DATEVALUE($A286),'recurring1_based on steps'!F$1:F$400,0)),F$2,)</f>
        <v>0</v>
      </c>
      <c r="G286" s="155">
        <f ca="1">IF(ISNUMBER(MATCH(DATEVALUE($A286),'recurring1_based on steps'!G$1:G$400,0)),G$2,)</f>
        <v>0</v>
      </c>
      <c r="H286" s="155">
        <f ca="1">IF(ISNUMBER(MATCH(DATEVALUE($A286),'recurring1_based on steps'!H$1:H$400,0)),H$2,)</f>
        <v>0</v>
      </c>
      <c r="I286" s="155">
        <f ca="1">IF(ISNUMBER(MATCH(DATEVALUE($A286),'recurring1_based on steps'!I$1:I$400,0)),I$2,)</f>
        <v>0</v>
      </c>
      <c r="J286" s="155">
        <f ca="1">IF(ISNUMBER(MATCH(DATEVALUE($A286),'recurring1_based on steps'!J$1:J$400,0)),J$2,)</f>
        <v>0</v>
      </c>
      <c r="K286" s="155">
        <f ca="1">IF(ISNUMBER(MATCH(DATEVALUE($A286),'recurring1_based on steps'!K$1:K$400,0)),K$2,)</f>
        <v>0</v>
      </c>
      <c r="L286" s="155">
        <f ca="1">IF(ISNUMBER(MATCH(DATEVALUE($A286),'recurring1_based on steps'!L$1:L$400,0)),L$2,)</f>
        <v>0</v>
      </c>
      <c r="M286" s="155">
        <f ca="1">IF(ISNUMBER(MATCH(DATEVALUE($A286),'recurring1_based on steps'!M$1:M$400,0)),M$2,)</f>
        <v>0</v>
      </c>
      <c r="N286" s="155">
        <f ca="1">IF(ISNUMBER(MATCH(DATEVALUE($A286),'recurring1_based on steps'!N$1:N$400,0)),N$2,)</f>
        <v>0</v>
      </c>
      <c r="O286" s="155">
        <f ca="1">IF(ISNUMBER(MATCH(DATEVALUE($A286),'recurring1_based on steps'!O$1:O$400,0)),O$2,)</f>
        <v>0</v>
      </c>
      <c r="P286" s="155">
        <f ca="1">IF(ISNUMBER(MATCH(DATEVALUE($A286),'recurring1_based on steps'!P$1:P$400,0)),P$2,)</f>
        <v>0</v>
      </c>
      <c r="Q286" s="155">
        <f ca="1">IF(ISNUMBER(MATCH(DATEVALUE($A286),'recurring1_based on steps'!Q$1:Q$400,0)),Q$2,)</f>
        <v>0</v>
      </c>
      <c r="R286" s="155">
        <f ca="1">IF(ISNUMBER(MATCH(DATEVALUE($A286),'recurring1_based on steps'!R$1:R$400,0)),R$2,)</f>
        <v>0</v>
      </c>
      <c r="S286" s="155">
        <f ca="1">IF(ISNUMBER(MATCH(DATEVALUE($A286),'recurring1_based on steps'!S$1:S$400,0)),S$2,)</f>
        <v>0</v>
      </c>
      <c r="T286" s="155">
        <f ca="1">IF(ISNUMBER(MATCH(DATEVALUE($A286),'recurring1_based on steps'!T$1:T$400,0)),T$2,)</f>
        <v>0</v>
      </c>
      <c r="U286" s="155">
        <f ca="1">IF(ISNUMBER(MATCH(DATEVALUE($A286),'recurring1_based on steps'!U$1:U$400,0)),U$2,)</f>
        <v>0</v>
      </c>
      <c r="V286" s="155">
        <f ca="1">IF(ISNUMBER(MATCH(DATEVALUE($A286),'recurring1_based on steps'!V$1:V$400,0)),V$2,)</f>
        <v>0</v>
      </c>
      <c r="W286" s="155">
        <f ca="1">IF(ISNUMBER(MATCH(DATEVALUE($A286),'recurring1_based on steps'!W$1:W$400,0)),W$2,)</f>
        <v>0</v>
      </c>
      <c r="X286" s="155">
        <f ca="1">IF(ISNUMBER(MATCH(DATEVALUE($A286),'recurring1_based on steps'!X$1:X$400,0)),X$2,)</f>
        <v>0</v>
      </c>
      <c r="Y286" s="155">
        <f ca="1">IF(ISNUMBER(MATCH(DATEVALUE($A286),'recurring1_based on steps'!Y$1:Y$400,0)),Y$2,)</f>
        <v>0</v>
      </c>
      <c r="Z286" s="155">
        <f ca="1">IF(ISNUMBER(MATCH(DATEVALUE($A286),'recurring1_based on steps'!Z$1:Z$400,0)),Z$2,)</f>
        <v>0</v>
      </c>
      <c r="AA286" s="155">
        <f ca="1">IF(ISNUMBER(MATCH(DATEVALUE($A286),'recurring1_based on steps'!AA$1:AA$400,0)),AA$2,)</f>
        <v>0</v>
      </c>
      <c r="AB286" s="155">
        <f ca="1">IF(ISNUMBER(MATCH(DATEVALUE($A286),'recurring1_based on steps'!AB$1:AB$400,0)),AB$2,)</f>
        <v>0</v>
      </c>
      <c r="AC286" s="155">
        <f ca="1">IF(ISNUMBER(MATCH(DATEVALUE($A286),'recurring1_based on steps'!AC$1:AC$400,0)),AC$2,)</f>
        <v>0</v>
      </c>
      <c r="AD286" s="155">
        <f ca="1">IF(ISNUMBER(MATCH(DATEVALUE($A286),'recurring1_based on steps'!AD$1:AD$400,0)),AD$2,)</f>
        <v>0</v>
      </c>
      <c r="AE286" s="155">
        <f ca="1">IF(ISNUMBER(MATCH(DATEVALUE($A286),'recurring1_based on steps'!AE$1:AE$400,0)),AE$2,)</f>
        <v>0</v>
      </c>
      <c r="AF286" s="155">
        <f ca="1">IF(ISNUMBER(MATCH(DATEVALUE($A286),'recurring1_based on steps'!AF$1:AF$400,0)),AF$2,)</f>
        <v>0</v>
      </c>
      <c r="AG286" s="155">
        <f ca="1">IF(ISNUMBER(MATCH(DATEVALUE($A286),'recurring1_based on steps'!AG$1:AG$400,0)),AG$2,)</f>
        <v>0</v>
      </c>
      <c r="AH286" s="155">
        <f ca="1">IF(ISNUMBER(MATCH(DATEVALUE($A286),'recurring1_based on steps'!AH$1:AH$400,0)),AH$2,)</f>
        <v>0</v>
      </c>
      <c r="AI286" s="155">
        <f ca="1">IF(ISNUMBER(MATCH(DATEVALUE($A286),'recurring1_based on steps'!AI$1:AI$400,0)),AI$2,)</f>
        <v>0</v>
      </c>
      <c r="AJ286" s="155">
        <f ca="1">IF(ISNUMBER(MATCH(DATEVALUE($A286),'recurring1_based on steps'!AJ$1:AJ$400,0)),AJ$2,)</f>
        <v>0</v>
      </c>
      <c r="AK286" s="155">
        <f ca="1">IF(ISNUMBER(MATCH(DATEVALUE($A286),'recurring1_based on steps'!AK$1:AK$400,0)),AK$2,)</f>
        <v>0</v>
      </c>
      <c r="AL286" s="155">
        <f ca="1">IF(ISNUMBER(MATCH(DATEVALUE($A286),'recurring1_based on steps'!AL$1:AL$400,0)),AL$2,)</f>
        <v>0</v>
      </c>
      <c r="AM286" s="155">
        <f ca="1">IF(ISNUMBER(MATCH(DATEVALUE($A286),'recurring1_based on steps'!AM$1:AM$400,0)),AM$2,)</f>
        <v>0</v>
      </c>
      <c r="AN286" s="155">
        <f ca="1">IF(ISNUMBER(MATCH(DATEVALUE($A286),'recurring1_based on steps'!AN$1:AN$400,0)),AN$2,)</f>
        <v>0</v>
      </c>
      <c r="AO286" s="155">
        <f ca="1">IF(ISNUMBER(MATCH(DATEVALUE($A286),'recurring1_based on steps'!AO$1:AO$400,0)),AO$2,)</f>
        <v>0</v>
      </c>
      <c r="AP286" s="155">
        <f ca="1">IF(ISNUMBER(MATCH(DATEVALUE($A286),'recurring1_based on steps'!AP$1:AP$400,0)),AP$2,)</f>
        <v>0</v>
      </c>
      <c r="AQ286" s="155">
        <f ca="1">IF(ISNUMBER(MATCH(DATEVALUE($A286),'recurring1_based on steps'!AQ$1:AQ$400,0)),AQ$2,)</f>
        <v>0</v>
      </c>
      <c r="AR286" s="155">
        <f ca="1">IF(ISNUMBER(MATCH(DATEVALUE($A286),'recurring1_based on steps'!AR$1:AR$400,0)),AR$2,)</f>
        <v>0</v>
      </c>
      <c r="AS286" s="155">
        <f ca="1">IF(ISNUMBER(MATCH(DATEVALUE($A286),'recurring1_based on steps'!AS$1:AS$400,0)),AS$2,)</f>
        <v>0</v>
      </c>
      <c r="AT286" s="155">
        <f ca="1">IF(ISNUMBER(MATCH(DATEVALUE($A286),'recurring1_based on steps'!AT$1:AT$400,0)),AT$2,)</f>
        <v>0</v>
      </c>
      <c r="AU286" s="155">
        <f ca="1">IF(ISNUMBER(MATCH(DATEVALUE($A286),'recurring1_based on steps'!AU$1:AU$400,0)),AU$2,)</f>
        <v>0</v>
      </c>
      <c r="AV286" s="155">
        <f ca="1">IF(ISNUMBER(MATCH(DATEVALUE($A286),'recurring1_based on steps'!AV$1:AV$400,0)),AV$2,)</f>
        <v>0</v>
      </c>
      <c r="AW286" s="155">
        <f ca="1">IF(ISNUMBER(MATCH(DATEVALUE($A286),'recurring1_based on steps'!AW$1:AW$400,0)),AW$2,)</f>
        <v>0</v>
      </c>
      <c r="AX286" s="155">
        <f ca="1">IF(ISNUMBER(MATCH(DATEVALUE($A286),'recurring1_based on steps'!AX$1:AX$400,0)),AX$2,)</f>
        <v>0</v>
      </c>
      <c r="AY286" s="155">
        <f ca="1">IF(ISNUMBER(MATCH(DATEVALUE($A286),'recurring1_based on steps'!AY$1:AY$400,0)),AY$2,)</f>
        <v>0</v>
      </c>
    </row>
    <row r="287" spans="1:51" x14ac:dyDescent="0.2">
      <c r="A287" s="18" t="str">
        <f t="shared" ca="1" si="4"/>
        <v>2025-11-12</v>
      </c>
      <c r="B287" s="155">
        <f ca="1">IF(ISNUMBER(MATCH(DATEVALUE($A287),'recurring1_based on steps'!B$1:B$400,0)),B$2,)</f>
        <v>0</v>
      </c>
      <c r="C287" s="155">
        <f ca="1">IF(ISNUMBER(MATCH(DATEVALUE($A287),'recurring1_based on steps'!C$1:C$400,0)),C$2,)</f>
        <v>0</v>
      </c>
      <c r="D287" s="155">
        <f ca="1">IF(ISNUMBER(MATCH(DATEVALUE($A287),'recurring1_based on steps'!D$1:D$400,0)),D$2,)</f>
        <v>0</v>
      </c>
      <c r="E287" s="155">
        <f ca="1">IF(ISNUMBER(MATCH(DATEVALUE($A287),'recurring1_based on steps'!E$1:E$400,0)),E$2,)</f>
        <v>0</v>
      </c>
      <c r="F287" s="155">
        <f ca="1">IF(ISNUMBER(MATCH(DATEVALUE($A287),'recurring1_based on steps'!F$1:F$400,0)),F$2,)</f>
        <v>0</v>
      </c>
      <c r="G287" s="155">
        <f ca="1">IF(ISNUMBER(MATCH(DATEVALUE($A287),'recurring1_based on steps'!G$1:G$400,0)),G$2,)</f>
        <v>0</v>
      </c>
      <c r="H287" s="155">
        <f ca="1">IF(ISNUMBER(MATCH(DATEVALUE($A287),'recurring1_based on steps'!H$1:H$400,0)),H$2,)</f>
        <v>0</v>
      </c>
      <c r="I287" s="155">
        <f ca="1">IF(ISNUMBER(MATCH(DATEVALUE($A287),'recurring1_based on steps'!I$1:I$400,0)),I$2,)</f>
        <v>0</v>
      </c>
      <c r="J287" s="155">
        <f ca="1">IF(ISNUMBER(MATCH(DATEVALUE($A287),'recurring1_based on steps'!J$1:J$400,0)),J$2,)</f>
        <v>0</v>
      </c>
      <c r="K287" s="155">
        <f ca="1">IF(ISNUMBER(MATCH(DATEVALUE($A287),'recurring1_based on steps'!K$1:K$400,0)),K$2,)</f>
        <v>0</v>
      </c>
      <c r="L287" s="155">
        <f ca="1">IF(ISNUMBER(MATCH(DATEVALUE($A287),'recurring1_based on steps'!L$1:L$400,0)),L$2,)</f>
        <v>0</v>
      </c>
      <c r="M287" s="155">
        <f ca="1">IF(ISNUMBER(MATCH(DATEVALUE($A287),'recurring1_based on steps'!M$1:M$400,0)),M$2,)</f>
        <v>0</v>
      </c>
      <c r="N287" s="155">
        <f ca="1">IF(ISNUMBER(MATCH(DATEVALUE($A287),'recurring1_based on steps'!N$1:N$400,0)),N$2,)</f>
        <v>0</v>
      </c>
      <c r="O287" s="155">
        <f ca="1">IF(ISNUMBER(MATCH(DATEVALUE($A287),'recurring1_based on steps'!O$1:O$400,0)),O$2,)</f>
        <v>0</v>
      </c>
      <c r="P287" s="155">
        <f ca="1">IF(ISNUMBER(MATCH(DATEVALUE($A287),'recurring1_based on steps'!P$1:P$400,0)),P$2,)</f>
        <v>0</v>
      </c>
      <c r="Q287" s="155">
        <f ca="1">IF(ISNUMBER(MATCH(DATEVALUE($A287),'recurring1_based on steps'!Q$1:Q$400,0)),Q$2,)</f>
        <v>0</v>
      </c>
      <c r="R287" s="155">
        <f ca="1">IF(ISNUMBER(MATCH(DATEVALUE($A287),'recurring1_based on steps'!R$1:R$400,0)),R$2,)</f>
        <v>0</v>
      </c>
      <c r="S287" s="155">
        <f ca="1">IF(ISNUMBER(MATCH(DATEVALUE($A287),'recurring1_based on steps'!S$1:S$400,0)),S$2,)</f>
        <v>0</v>
      </c>
      <c r="T287" s="155">
        <f ca="1">IF(ISNUMBER(MATCH(DATEVALUE($A287),'recurring1_based on steps'!T$1:T$400,0)),T$2,)</f>
        <v>0</v>
      </c>
      <c r="U287" s="155">
        <f ca="1">IF(ISNUMBER(MATCH(DATEVALUE($A287),'recurring1_based on steps'!U$1:U$400,0)),U$2,)</f>
        <v>0</v>
      </c>
      <c r="V287" s="155">
        <f ca="1">IF(ISNUMBER(MATCH(DATEVALUE($A287),'recurring1_based on steps'!V$1:V$400,0)),V$2,)</f>
        <v>0</v>
      </c>
      <c r="W287" s="155">
        <f ca="1">IF(ISNUMBER(MATCH(DATEVALUE($A287),'recurring1_based on steps'!W$1:W$400,0)),W$2,)</f>
        <v>0</v>
      </c>
      <c r="X287" s="155">
        <f ca="1">IF(ISNUMBER(MATCH(DATEVALUE($A287),'recurring1_based on steps'!X$1:X$400,0)),X$2,)</f>
        <v>0</v>
      </c>
      <c r="Y287" s="155">
        <f ca="1">IF(ISNUMBER(MATCH(DATEVALUE($A287),'recurring1_based on steps'!Y$1:Y$400,0)),Y$2,)</f>
        <v>0</v>
      </c>
      <c r="Z287" s="155">
        <f ca="1">IF(ISNUMBER(MATCH(DATEVALUE($A287),'recurring1_based on steps'!Z$1:Z$400,0)),Z$2,)</f>
        <v>0</v>
      </c>
      <c r="AA287" s="155">
        <f ca="1">IF(ISNUMBER(MATCH(DATEVALUE($A287),'recurring1_based on steps'!AA$1:AA$400,0)),AA$2,)</f>
        <v>0</v>
      </c>
      <c r="AB287" s="155">
        <f ca="1">IF(ISNUMBER(MATCH(DATEVALUE($A287),'recurring1_based on steps'!AB$1:AB$400,0)),AB$2,)</f>
        <v>0</v>
      </c>
      <c r="AC287" s="155">
        <f ca="1">IF(ISNUMBER(MATCH(DATEVALUE($A287),'recurring1_based on steps'!AC$1:AC$400,0)),AC$2,)</f>
        <v>0</v>
      </c>
      <c r="AD287" s="155">
        <f ca="1">IF(ISNUMBER(MATCH(DATEVALUE($A287),'recurring1_based on steps'!AD$1:AD$400,0)),AD$2,)</f>
        <v>0</v>
      </c>
      <c r="AE287" s="155">
        <f ca="1">IF(ISNUMBER(MATCH(DATEVALUE($A287),'recurring1_based on steps'!AE$1:AE$400,0)),AE$2,)</f>
        <v>0</v>
      </c>
      <c r="AF287" s="155">
        <f ca="1">IF(ISNUMBER(MATCH(DATEVALUE($A287),'recurring1_based on steps'!AF$1:AF$400,0)),AF$2,)</f>
        <v>0</v>
      </c>
      <c r="AG287" s="155">
        <f ca="1">IF(ISNUMBER(MATCH(DATEVALUE($A287),'recurring1_based on steps'!AG$1:AG$400,0)),AG$2,)</f>
        <v>0</v>
      </c>
      <c r="AH287" s="155">
        <f ca="1">IF(ISNUMBER(MATCH(DATEVALUE($A287),'recurring1_based on steps'!AH$1:AH$400,0)),AH$2,)</f>
        <v>0</v>
      </c>
      <c r="AI287" s="155">
        <f ca="1">IF(ISNUMBER(MATCH(DATEVALUE($A287),'recurring1_based on steps'!AI$1:AI$400,0)),AI$2,)</f>
        <v>0</v>
      </c>
      <c r="AJ287" s="155">
        <f ca="1">IF(ISNUMBER(MATCH(DATEVALUE($A287),'recurring1_based on steps'!AJ$1:AJ$400,0)),AJ$2,)</f>
        <v>0</v>
      </c>
      <c r="AK287" s="155">
        <f ca="1">IF(ISNUMBER(MATCH(DATEVALUE($A287),'recurring1_based on steps'!AK$1:AK$400,0)),AK$2,)</f>
        <v>0</v>
      </c>
      <c r="AL287" s="155">
        <f ca="1">IF(ISNUMBER(MATCH(DATEVALUE($A287),'recurring1_based on steps'!AL$1:AL$400,0)),AL$2,)</f>
        <v>0</v>
      </c>
      <c r="AM287" s="155">
        <f ca="1">IF(ISNUMBER(MATCH(DATEVALUE($A287),'recurring1_based on steps'!AM$1:AM$400,0)),AM$2,)</f>
        <v>0</v>
      </c>
      <c r="AN287" s="155">
        <f ca="1">IF(ISNUMBER(MATCH(DATEVALUE($A287),'recurring1_based on steps'!AN$1:AN$400,0)),AN$2,)</f>
        <v>0</v>
      </c>
      <c r="AO287" s="155">
        <f ca="1">IF(ISNUMBER(MATCH(DATEVALUE($A287),'recurring1_based on steps'!AO$1:AO$400,0)),AO$2,)</f>
        <v>0</v>
      </c>
      <c r="AP287" s="155">
        <f ca="1">IF(ISNUMBER(MATCH(DATEVALUE($A287),'recurring1_based on steps'!AP$1:AP$400,0)),AP$2,)</f>
        <v>0</v>
      </c>
      <c r="AQ287" s="155">
        <f ca="1">IF(ISNUMBER(MATCH(DATEVALUE($A287),'recurring1_based on steps'!AQ$1:AQ$400,0)),AQ$2,)</f>
        <v>0</v>
      </c>
      <c r="AR287" s="155">
        <f ca="1">IF(ISNUMBER(MATCH(DATEVALUE($A287),'recurring1_based on steps'!AR$1:AR$400,0)),AR$2,)</f>
        <v>0</v>
      </c>
      <c r="AS287" s="155">
        <f ca="1">IF(ISNUMBER(MATCH(DATEVALUE($A287),'recurring1_based on steps'!AS$1:AS$400,0)),AS$2,)</f>
        <v>0</v>
      </c>
      <c r="AT287" s="155">
        <f ca="1">IF(ISNUMBER(MATCH(DATEVALUE($A287),'recurring1_based on steps'!AT$1:AT$400,0)),AT$2,)</f>
        <v>0</v>
      </c>
      <c r="AU287" s="155">
        <f ca="1">IF(ISNUMBER(MATCH(DATEVALUE($A287),'recurring1_based on steps'!AU$1:AU$400,0)),AU$2,)</f>
        <v>0</v>
      </c>
      <c r="AV287" s="155">
        <f ca="1">IF(ISNUMBER(MATCH(DATEVALUE($A287),'recurring1_based on steps'!AV$1:AV$400,0)),AV$2,)</f>
        <v>0</v>
      </c>
      <c r="AW287" s="155">
        <f ca="1">IF(ISNUMBER(MATCH(DATEVALUE($A287),'recurring1_based on steps'!AW$1:AW$400,0)),AW$2,)</f>
        <v>0</v>
      </c>
      <c r="AX287" s="155">
        <f ca="1">IF(ISNUMBER(MATCH(DATEVALUE($A287),'recurring1_based on steps'!AX$1:AX$400,0)),AX$2,)</f>
        <v>0</v>
      </c>
      <c r="AY287" s="155">
        <f ca="1">IF(ISNUMBER(MATCH(DATEVALUE($A287),'recurring1_based on steps'!AY$1:AY$400,0)),AY$2,)</f>
        <v>0</v>
      </c>
    </row>
    <row r="288" spans="1:51" x14ac:dyDescent="0.2">
      <c r="A288" s="18" t="str">
        <f t="shared" ca="1" si="4"/>
        <v>2025-11-13</v>
      </c>
      <c r="B288" s="155">
        <f ca="1">IF(ISNUMBER(MATCH(DATEVALUE($A288),'recurring1_based on steps'!B$1:B$400,0)),B$2,)</f>
        <v>0</v>
      </c>
      <c r="C288" s="155">
        <f ca="1">IF(ISNUMBER(MATCH(DATEVALUE($A288),'recurring1_based on steps'!C$1:C$400,0)),C$2,)</f>
        <v>0</v>
      </c>
      <c r="D288" s="155">
        <f ca="1">IF(ISNUMBER(MATCH(DATEVALUE($A288),'recurring1_based on steps'!D$1:D$400,0)),D$2,)</f>
        <v>0</v>
      </c>
      <c r="E288" s="155">
        <f ca="1">IF(ISNUMBER(MATCH(DATEVALUE($A288),'recurring1_based on steps'!E$1:E$400,0)),E$2,)</f>
        <v>0</v>
      </c>
      <c r="F288" s="155">
        <f ca="1">IF(ISNUMBER(MATCH(DATEVALUE($A288),'recurring1_based on steps'!F$1:F$400,0)),F$2,)</f>
        <v>0</v>
      </c>
      <c r="G288" s="155">
        <f ca="1">IF(ISNUMBER(MATCH(DATEVALUE($A288),'recurring1_based on steps'!G$1:G$400,0)),G$2,)</f>
        <v>0</v>
      </c>
      <c r="H288" s="155">
        <f ca="1">IF(ISNUMBER(MATCH(DATEVALUE($A288),'recurring1_based on steps'!H$1:H$400,0)),H$2,)</f>
        <v>0</v>
      </c>
      <c r="I288" s="155">
        <f ca="1">IF(ISNUMBER(MATCH(DATEVALUE($A288),'recurring1_based on steps'!I$1:I$400,0)),I$2,)</f>
        <v>0</v>
      </c>
      <c r="J288" s="155">
        <f ca="1">IF(ISNUMBER(MATCH(DATEVALUE($A288),'recurring1_based on steps'!J$1:J$400,0)),J$2,)</f>
        <v>0</v>
      </c>
      <c r="K288" s="155">
        <f ca="1">IF(ISNUMBER(MATCH(DATEVALUE($A288),'recurring1_based on steps'!K$1:K$400,0)),K$2,)</f>
        <v>0</v>
      </c>
      <c r="L288" s="155">
        <f ca="1">IF(ISNUMBER(MATCH(DATEVALUE($A288),'recurring1_based on steps'!L$1:L$400,0)),L$2,)</f>
        <v>0</v>
      </c>
      <c r="M288" s="155">
        <f ca="1">IF(ISNUMBER(MATCH(DATEVALUE($A288),'recurring1_based on steps'!M$1:M$400,0)),M$2,)</f>
        <v>0</v>
      </c>
      <c r="N288" s="155">
        <f ca="1">IF(ISNUMBER(MATCH(DATEVALUE($A288),'recurring1_based on steps'!N$1:N$400,0)),N$2,)</f>
        <v>0</v>
      </c>
      <c r="O288" s="155">
        <f ca="1">IF(ISNUMBER(MATCH(DATEVALUE($A288),'recurring1_based on steps'!O$1:O$400,0)),O$2,)</f>
        <v>0</v>
      </c>
      <c r="P288" s="155">
        <f ca="1">IF(ISNUMBER(MATCH(DATEVALUE($A288),'recurring1_based on steps'!P$1:P$400,0)),P$2,)</f>
        <v>0</v>
      </c>
      <c r="Q288" s="155">
        <f ca="1">IF(ISNUMBER(MATCH(DATEVALUE($A288),'recurring1_based on steps'!Q$1:Q$400,0)),Q$2,)</f>
        <v>0</v>
      </c>
      <c r="R288" s="155">
        <f ca="1">IF(ISNUMBER(MATCH(DATEVALUE($A288),'recurring1_based on steps'!R$1:R$400,0)),R$2,)</f>
        <v>0</v>
      </c>
      <c r="S288" s="155">
        <f ca="1">IF(ISNUMBER(MATCH(DATEVALUE($A288),'recurring1_based on steps'!S$1:S$400,0)),S$2,)</f>
        <v>0</v>
      </c>
      <c r="T288" s="155">
        <f ca="1">IF(ISNUMBER(MATCH(DATEVALUE($A288),'recurring1_based on steps'!T$1:T$400,0)),T$2,)</f>
        <v>0</v>
      </c>
      <c r="U288" s="155">
        <f ca="1">IF(ISNUMBER(MATCH(DATEVALUE($A288),'recurring1_based on steps'!U$1:U$400,0)),U$2,)</f>
        <v>0</v>
      </c>
      <c r="V288" s="155">
        <f ca="1">IF(ISNUMBER(MATCH(DATEVALUE($A288),'recurring1_based on steps'!V$1:V$400,0)),V$2,)</f>
        <v>0</v>
      </c>
      <c r="W288" s="155">
        <f ca="1">IF(ISNUMBER(MATCH(DATEVALUE($A288),'recurring1_based on steps'!W$1:W$400,0)),W$2,)</f>
        <v>0</v>
      </c>
      <c r="X288" s="155">
        <f ca="1">IF(ISNUMBER(MATCH(DATEVALUE($A288),'recurring1_based on steps'!X$1:X$400,0)),X$2,)</f>
        <v>0</v>
      </c>
      <c r="Y288" s="155">
        <f ca="1">IF(ISNUMBER(MATCH(DATEVALUE($A288),'recurring1_based on steps'!Y$1:Y$400,0)),Y$2,)</f>
        <v>0</v>
      </c>
      <c r="Z288" s="155">
        <f ca="1">IF(ISNUMBER(MATCH(DATEVALUE($A288),'recurring1_based on steps'!Z$1:Z$400,0)),Z$2,)</f>
        <v>0</v>
      </c>
      <c r="AA288" s="155">
        <f ca="1">IF(ISNUMBER(MATCH(DATEVALUE($A288),'recurring1_based on steps'!AA$1:AA$400,0)),AA$2,)</f>
        <v>0</v>
      </c>
      <c r="AB288" s="155">
        <f ca="1">IF(ISNUMBER(MATCH(DATEVALUE($A288),'recurring1_based on steps'!AB$1:AB$400,0)),AB$2,)</f>
        <v>0</v>
      </c>
      <c r="AC288" s="155">
        <f ca="1">IF(ISNUMBER(MATCH(DATEVALUE($A288),'recurring1_based on steps'!AC$1:AC$400,0)),AC$2,)</f>
        <v>0</v>
      </c>
      <c r="AD288" s="155">
        <f ca="1">IF(ISNUMBER(MATCH(DATEVALUE($A288),'recurring1_based on steps'!AD$1:AD$400,0)),AD$2,)</f>
        <v>0</v>
      </c>
      <c r="AE288" s="155">
        <f ca="1">IF(ISNUMBER(MATCH(DATEVALUE($A288),'recurring1_based on steps'!AE$1:AE$400,0)),AE$2,)</f>
        <v>0</v>
      </c>
      <c r="AF288" s="155">
        <f ca="1">IF(ISNUMBER(MATCH(DATEVALUE($A288),'recurring1_based on steps'!AF$1:AF$400,0)),AF$2,)</f>
        <v>0</v>
      </c>
      <c r="AG288" s="155">
        <f ca="1">IF(ISNUMBER(MATCH(DATEVALUE($A288),'recurring1_based on steps'!AG$1:AG$400,0)),AG$2,)</f>
        <v>0</v>
      </c>
      <c r="AH288" s="155">
        <f ca="1">IF(ISNUMBER(MATCH(DATEVALUE($A288),'recurring1_based on steps'!AH$1:AH$400,0)),AH$2,)</f>
        <v>0</v>
      </c>
      <c r="AI288" s="155">
        <f ca="1">IF(ISNUMBER(MATCH(DATEVALUE($A288),'recurring1_based on steps'!AI$1:AI$400,0)),AI$2,)</f>
        <v>0</v>
      </c>
      <c r="AJ288" s="155">
        <f ca="1">IF(ISNUMBER(MATCH(DATEVALUE($A288),'recurring1_based on steps'!AJ$1:AJ$400,0)),AJ$2,)</f>
        <v>0</v>
      </c>
      <c r="AK288" s="155">
        <f ca="1">IF(ISNUMBER(MATCH(DATEVALUE($A288),'recurring1_based on steps'!AK$1:AK$400,0)),AK$2,)</f>
        <v>0</v>
      </c>
      <c r="AL288" s="155">
        <f ca="1">IF(ISNUMBER(MATCH(DATEVALUE($A288),'recurring1_based on steps'!AL$1:AL$400,0)),AL$2,)</f>
        <v>0</v>
      </c>
      <c r="AM288" s="155">
        <f ca="1">IF(ISNUMBER(MATCH(DATEVALUE($A288),'recurring1_based on steps'!AM$1:AM$400,0)),AM$2,)</f>
        <v>0</v>
      </c>
      <c r="AN288" s="155">
        <f ca="1">IF(ISNUMBER(MATCH(DATEVALUE($A288),'recurring1_based on steps'!AN$1:AN$400,0)),AN$2,)</f>
        <v>0</v>
      </c>
      <c r="AO288" s="155">
        <f ca="1">IF(ISNUMBER(MATCH(DATEVALUE($A288),'recurring1_based on steps'!AO$1:AO$400,0)),AO$2,)</f>
        <v>0</v>
      </c>
      <c r="AP288" s="155">
        <f ca="1">IF(ISNUMBER(MATCH(DATEVALUE($A288),'recurring1_based on steps'!AP$1:AP$400,0)),AP$2,)</f>
        <v>0</v>
      </c>
      <c r="AQ288" s="155">
        <f ca="1">IF(ISNUMBER(MATCH(DATEVALUE($A288),'recurring1_based on steps'!AQ$1:AQ$400,0)),AQ$2,)</f>
        <v>0</v>
      </c>
      <c r="AR288" s="155">
        <f ca="1">IF(ISNUMBER(MATCH(DATEVALUE($A288),'recurring1_based on steps'!AR$1:AR$400,0)),AR$2,)</f>
        <v>0</v>
      </c>
      <c r="AS288" s="155">
        <f ca="1">IF(ISNUMBER(MATCH(DATEVALUE($A288),'recurring1_based on steps'!AS$1:AS$400,0)),AS$2,)</f>
        <v>0</v>
      </c>
      <c r="AT288" s="155">
        <f ca="1">IF(ISNUMBER(MATCH(DATEVALUE($A288),'recurring1_based on steps'!AT$1:AT$400,0)),AT$2,)</f>
        <v>0</v>
      </c>
      <c r="AU288" s="155">
        <f ca="1">IF(ISNUMBER(MATCH(DATEVALUE($A288),'recurring1_based on steps'!AU$1:AU$400,0)),AU$2,)</f>
        <v>0</v>
      </c>
      <c r="AV288" s="155">
        <f ca="1">IF(ISNUMBER(MATCH(DATEVALUE($A288),'recurring1_based on steps'!AV$1:AV$400,0)),AV$2,)</f>
        <v>0</v>
      </c>
      <c r="AW288" s="155">
        <f ca="1">IF(ISNUMBER(MATCH(DATEVALUE($A288),'recurring1_based on steps'!AW$1:AW$400,0)),AW$2,)</f>
        <v>0</v>
      </c>
      <c r="AX288" s="155">
        <f ca="1">IF(ISNUMBER(MATCH(DATEVALUE($A288),'recurring1_based on steps'!AX$1:AX$400,0)),AX$2,)</f>
        <v>0</v>
      </c>
      <c r="AY288" s="155">
        <f ca="1">IF(ISNUMBER(MATCH(DATEVALUE($A288),'recurring1_based on steps'!AY$1:AY$400,0)),AY$2,)</f>
        <v>0</v>
      </c>
    </row>
    <row r="289" spans="1:51" x14ac:dyDescent="0.2">
      <c r="A289" s="18" t="str">
        <f t="shared" ca="1" si="4"/>
        <v>2025-11-14</v>
      </c>
      <c r="B289" s="155">
        <f ca="1">IF(ISNUMBER(MATCH(DATEVALUE($A289),'recurring1_based on steps'!B$1:B$400,0)),B$2,)</f>
        <v>4000</v>
      </c>
      <c r="C289" s="155">
        <f ca="1">IF(ISNUMBER(MATCH(DATEVALUE($A289),'recurring1_based on steps'!C$1:C$400,0)),C$2,)</f>
        <v>200</v>
      </c>
      <c r="D289" s="155">
        <f ca="1">IF(ISNUMBER(MATCH(DATEVALUE($A289),'recurring1_based on steps'!D$1:D$400,0)),D$2,)</f>
        <v>2</v>
      </c>
      <c r="E289" s="155">
        <f ca="1">IF(ISNUMBER(MATCH(DATEVALUE($A289),'recurring1_based on steps'!E$1:E$400,0)),E$2,)</f>
        <v>40</v>
      </c>
      <c r="F289" s="155">
        <f ca="1">IF(ISNUMBER(MATCH(DATEVALUE($A289),'recurring1_based on steps'!F$1:F$400,0)),F$2,)</f>
        <v>50</v>
      </c>
      <c r="G289" s="155">
        <f ca="1">IF(ISNUMBER(MATCH(DATEVALUE($A289),'recurring1_based on steps'!G$1:G$400,0)),G$2,)</f>
        <v>4</v>
      </c>
      <c r="H289" s="155">
        <f ca="1">IF(ISNUMBER(MATCH(DATEVALUE($A289),'recurring1_based on steps'!H$1:H$400,0)),H$2,)</f>
        <v>0</v>
      </c>
      <c r="I289" s="155">
        <f ca="1">IF(ISNUMBER(MATCH(DATEVALUE($A289),'recurring1_based on steps'!I$1:I$400,0)),I$2,)</f>
        <v>0</v>
      </c>
      <c r="J289" s="155">
        <f ca="1">IF(ISNUMBER(MATCH(DATEVALUE($A289),'recurring1_based on steps'!J$1:J$400,0)),J$2,)</f>
        <v>0</v>
      </c>
      <c r="K289" s="155">
        <f ca="1">IF(ISNUMBER(MATCH(DATEVALUE($A289),'recurring1_based on steps'!K$1:K$400,0)),K$2,)</f>
        <v>0</v>
      </c>
      <c r="L289" s="155">
        <f ca="1">IF(ISNUMBER(MATCH(DATEVALUE($A289),'recurring1_based on steps'!L$1:L$400,0)),L$2,)</f>
        <v>0</v>
      </c>
      <c r="M289" s="155">
        <f ca="1">IF(ISNUMBER(MATCH(DATEVALUE($A289),'recurring1_based on steps'!M$1:M$400,0)),M$2,)</f>
        <v>0</v>
      </c>
      <c r="N289" s="155">
        <f ca="1">IF(ISNUMBER(MATCH(DATEVALUE($A289),'recurring1_based on steps'!N$1:N$400,0)),N$2,)</f>
        <v>0</v>
      </c>
      <c r="O289" s="155">
        <f ca="1">IF(ISNUMBER(MATCH(DATEVALUE($A289),'recurring1_based on steps'!O$1:O$400,0)),O$2,)</f>
        <v>0</v>
      </c>
      <c r="P289" s="155">
        <f ca="1">IF(ISNUMBER(MATCH(DATEVALUE($A289),'recurring1_based on steps'!P$1:P$400,0)),P$2,)</f>
        <v>0</v>
      </c>
      <c r="Q289" s="155">
        <f ca="1">IF(ISNUMBER(MATCH(DATEVALUE($A289),'recurring1_based on steps'!Q$1:Q$400,0)),Q$2,)</f>
        <v>0</v>
      </c>
      <c r="R289" s="155">
        <f ca="1">IF(ISNUMBER(MATCH(DATEVALUE($A289),'recurring1_based on steps'!R$1:R$400,0)),R$2,)</f>
        <v>0</v>
      </c>
      <c r="S289" s="155">
        <f ca="1">IF(ISNUMBER(MATCH(DATEVALUE($A289),'recurring1_based on steps'!S$1:S$400,0)),S$2,)</f>
        <v>0</v>
      </c>
      <c r="T289" s="155">
        <f ca="1">IF(ISNUMBER(MATCH(DATEVALUE($A289),'recurring1_based on steps'!T$1:T$400,0)),T$2,)</f>
        <v>0</v>
      </c>
      <c r="U289" s="155">
        <f ca="1">IF(ISNUMBER(MATCH(DATEVALUE($A289),'recurring1_based on steps'!U$1:U$400,0)),U$2,)</f>
        <v>0</v>
      </c>
      <c r="V289" s="155">
        <f ca="1">IF(ISNUMBER(MATCH(DATEVALUE($A289),'recurring1_based on steps'!V$1:V$400,0)),V$2,)</f>
        <v>0</v>
      </c>
      <c r="W289" s="155">
        <f ca="1">IF(ISNUMBER(MATCH(DATEVALUE($A289),'recurring1_based on steps'!W$1:W$400,0)),W$2,)</f>
        <v>0</v>
      </c>
      <c r="X289" s="155">
        <f ca="1">IF(ISNUMBER(MATCH(DATEVALUE($A289),'recurring1_based on steps'!X$1:X$400,0)),X$2,)</f>
        <v>50</v>
      </c>
      <c r="Y289" s="155">
        <f ca="1">IF(ISNUMBER(MATCH(DATEVALUE($A289),'recurring1_based on steps'!Y$1:Y$400,0)),Y$2,)</f>
        <v>0</v>
      </c>
      <c r="Z289" s="155">
        <f ca="1">IF(ISNUMBER(MATCH(DATEVALUE($A289),'recurring1_based on steps'!Z$1:Z$400,0)),Z$2,)</f>
        <v>0</v>
      </c>
      <c r="AA289" s="155">
        <f ca="1">IF(ISNUMBER(MATCH(DATEVALUE($A289),'recurring1_based on steps'!AA$1:AA$400,0)),AA$2,)</f>
        <v>0</v>
      </c>
      <c r="AB289" s="155">
        <f ca="1">IF(ISNUMBER(MATCH(DATEVALUE($A289),'recurring1_based on steps'!AB$1:AB$400,0)),AB$2,)</f>
        <v>0</v>
      </c>
      <c r="AC289" s="155">
        <f ca="1">IF(ISNUMBER(MATCH(DATEVALUE($A289),'recurring1_based on steps'!AC$1:AC$400,0)),AC$2,)</f>
        <v>0</v>
      </c>
      <c r="AD289" s="155">
        <f ca="1">IF(ISNUMBER(MATCH(DATEVALUE($A289),'recurring1_based on steps'!AD$1:AD$400,0)),AD$2,)</f>
        <v>0</v>
      </c>
      <c r="AE289" s="155">
        <f ca="1">IF(ISNUMBER(MATCH(DATEVALUE($A289),'recurring1_based on steps'!AE$1:AE$400,0)),AE$2,)</f>
        <v>0</v>
      </c>
      <c r="AF289" s="155">
        <f ca="1">IF(ISNUMBER(MATCH(DATEVALUE($A289),'recurring1_based on steps'!AF$1:AF$400,0)),AF$2,)</f>
        <v>0</v>
      </c>
      <c r="AG289" s="155">
        <f ca="1">IF(ISNUMBER(MATCH(DATEVALUE($A289),'recurring1_based on steps'!AG$1:AG$400,0)),AG$2,)</f>
        <v>0</v>
      </c>
      <c r="AH289" s="155">
        <f ca="1">IF(ISNUMBER(MATCH(DATEVALUE($A289),'recurring1_based on steps'!AH$1:AH$400,0)),AH$2,)</f>
        <v>0</v>
      </c>
      <c r="AI289" s="155">
        <f ca="1">IF(ISNUMBER(MATCH(DATEVALUE($A289),'recurring1_based on steps'!AI$1:AI$400,0)),AI$2,)</f>
        <v>0</v>
      </c>
      <c r="AJ289" s="155">
        <f ca="1">IF(ISNUMBER(MATCH(DATEVALUE($A289),'recurring1_based on steps'!AJ$1:AJ$400,0)),AJ$2,)</f>
        <v>0</v>
      </c>
      <c r="AK289" s="155">
        <f ca="1">IF(ISNUMBER(MATCH(DATEVALUE($A289),'recurring1_based on steps'!AK$1:AK$400,0)),AK$2,)</f>
        <v>0</v>
      </c>
      <c r="AL289" s="155">
        <f ca="1">IF(ISNUMBER(MATCH(DATEVALUE($A289),'recurring1_based on steps'!AL$1:AL$400,0)),AL$2,)</f>
        <v>0</v>
      </c>
      <c r="AM289" s="155">
        <f ca="1">IF(ISNUMBER(MATCH(DATEVALUE($A289),'recurring1_based on steps'!AM$1:AM$400,0)),AM$2,)</f>
        <v>0</v>
      </c>
      <c r="AN289" s="155">
        <f ca="1">IF(ISNUMBER(MATCH(DATEVALUE($A289),'recurring1_based on steps'!AN$1:AN$400,0)),AN$2,)</f>
        <v>0</v>
      </c>
      <c r="AO289" s="155">
        <f ca="1">IF(ISNUMBER(MATCH(DATEVALUE($A289),'recurring1_based on steps'!AO$1:AO$400,0)),AO$2,)</f>
        <v>0</v>
      </c>
      <c r="AP289" s="155">
        <f ca="1">IF(ISNUMBER(MATCH(DATEVALUE($A289),'recurring1_based on steps'!AP$1:AP$400,0)),AP$2,)</f>
        <v>0</v>
      </c>
      <c r="AQ289" s="155">
        <f ca="1">IF(ISNUMBER(MATCH(DATEVALUE($A289),'recurring1_based on steps'!AQ$1:AQ$400,0)),AQ$2,)</f>
        <v>0</v>
      </c>
      <c r="AR289" s="155">
        <f ca="1">IF(ISNUMBER(MATCH(DATEVALUE($A289),'recurring1_based on steps'!AR$1:AR$400,0)),AR$2,)</f>
        <v>0</v>
      </c>
      <c r="AS289" s="155">
        <f ca="1">IF(ISNUMBER(MATCH(DATEVALUE($A289),'recurring1_based on steps'!AS$1:AS$400,0)),AS$2,)</f>
        <v>0</v>
      </c>
      <c r="AT289" s="155">
        <f ca="1">IF(ISNUMBER(MATCH(DATEVALUE($A289),'recurring1_based on steps'!AT$1:AT$400,0)),AT$2,)</f>
        <v>0</v>
      </c>
      <c r="AU289" s="155">
        <f ca="1">IF(ISNUMBER(MATCH(DATEVALUE($A289),'recurring1_based on steps'!AU$1:AU$400,0)),AU$2,)</f>
        <v>0</v>
      </c>
      <c r="AV289" s="155">
        <f ca="1">IF(ISNUMBER(MATCH(DATEVALUE($A289),'recurring1_based on steps'!AV$1:AV$400,0)),AV$2,)</f>
        <v>0</v>
      </c>
      <c r="AW289" s="155">
        <f ca="1">IF(ISNUMBER(MATCH(DATEVALUE($A289),'recurring1_based on steps'!AW$1:AW$400,0)),AW$2,)</f>
        <v>0</v>
      </c>
      <c r="AX289" s="155">
        <f ca="1">IF(ISNUMBER(MATCH(DATEVALUE($A289),'recurring1_based on steps'!AX$1:AX$400,0)),AX$2,)</f>
        <v>0</v>
      </c>
      <c r="AY289" s="155">
        <f ca="1">IF(ISNUMBER(MATCH(DATEVALUE($A289),'recurring1_based on steps'!AY$1:AY$400,0)),AY$2,)</f>
        <v>0</v>
      </c>
    </row>
    <row r="290" spans="1:51" x14ac:dyDescent="0.2">
      <c r="A290" s="18" t="str">
        <f t="shared" ca="1" si="4"/>
        <v>2025-11-15</v>
      </c>
      <c r="B290" s="155">
        <f ca="1">IF(ISNUMBER(MATCH(DATEVALUE($A290),'recurring1_based on steps'!B$1:B$400,0)),B$2,)</f>
        <v>0</v>
      </c>
      <c r="C290" s="155">
        <f ca="1">IF(ISNUMBER(MATCH(DATEVALUE($A290),'recurring1_based on steps'!C$1:C$400,0)),C$2,)</f>
        <v>0</v>
      </c>
      <c r="D290" s="155">
        <f ca="1">IF(ISNUMBER(MATCH(DATEVALUE($A290),'recurring1_based on steps'!D$1:D$400,0)),D$2,)</f>
        <v>0</v>
      </c>
      <c r="E290" s="155">
        <f ca="1">IF(ISNUMBER(MATCH(DATEVALUE($A290),'recurring1_based on steps'!E$1:E$400,0)),E$2,)</f>
        <v>0</v>
      </c>
      <c r="F290" s="155">
        <f ca="1">IF(ISNUMBER(MATCH(DATEVALUE($A290),'recurring1_based on steps'!F$1:F$400,0)),F$2,)</f>
        <v>0</v>
      </c>
      <c r="G290" s="155">
        <f ca="1">IF(ISNUMBER(MATCH(DATEVALUE($A290),'recurring1_based on steps'!G$1:G$400,0)),G$2,)</f>
        <v>0</v>
      </c>
      <c r="H290" s="155">
        <f ca="1">IF(ISNUMBER(MATCH(DATEVALUE($A290),'recurring1_based on steps'!H$1:H$400,0)),H$2,)</f>
        <v>0</v>
      </c>
      <c r="I290" s="155">
        <f ca="1">IF(ISNUMBER(MATCH(DATEVALUE($A290),'recurring1_based on steps'!I$1:I$400,0)),I$2,)</f>
        <v>0</v>
      </c>
      <c r="J290" s="155">
        <f ca="1">IF(ISNUMBER(MATCH(DATEVALUE($A290),'recurring1_based on steps'!J$1:J$400,0)),J$2,)</f>
        <v>0</v>
      </c>
      <c r="K290" s="155">
        <f ca="1">IF(ISNUMBER(MATCH(DATEVALUE($A290),'recurring1_based on steps'!K$1:K$400,0)),K$2,)</f>
        <v>0</v>
      </c>
      <c r="L290" s="155">
        <f ca="1">IF(ISNUMBER(MATCH(DATEVALUE($A290),'recurring1_based on steps'!L$1:L$400,0)),L$2,)</f>
        <v>0</v>
      </c>
      <c r="M290" s="155">
        <f ca="1">IF(ISNUMBER(MATCH(DATEVALUE($A290),'recurring1_based on steps'!M$1:M$400,0)),M$2,)</f>
        <v>0</v>
      </c>
      <c r="N290" s="155">
        <f ca="1">IF(ISNUMBER(MATCH(DATEVALUE($A290),'recurring1_based on steps'!N$1:N$400,0)),N$2,)</f>
        <v>0</v>
      </c>
      <c r="O290" s="155">
        <f ca="1">IF(ISNUMBER(MATCH(DATEVALUE($A290),'recurring1_based on steps'!O$1:O$400,0)),O$2,)</f>
        <v>0</v>
      </c>
      <c r="P290" s="155">
        <f ca="1">IF(ISNUMBER(MATCH(DATEVALUE($A290),'recurring1_based on steps'!P$1:P$400,0)),P$2,)</f>
        <v>0</v>
      </c>
      <c r="Q290" s="155">
        <f ca="1">IF(ISNUMBER(MATCH(DATEVALUE($A290),'recurring1_based on steps'!Q$1:Q$400,0)),Q$2,)</f>
        <v>100</v>
      </c>
      <c r="R290" s="155">
        <f ca="1">IF(ISNUMBER(MATCH(DATEVALUE($A290),'recurring1_based on steps'!R$1:R$400,0)),R$2,)</f>
        <v>100</v>
      </c>
      <c r="S290" s="155">
        <f ca="1">IF(ISNUMBER(MATCH(DATEVALUE($A290),'recurring1_based on steps'!S$1:S$400,0)),S$2,)</f>
        <v>0</v>
      </c>
      <c r="T290" s="155">
        <f ca="1">IF(ISNUMBER(MATCH(DATEVALUE($A290),'recurring1_based on steps'!T$1:T$400,0)),T$2,)</f>
        <v>0</v>
      </c>
      <c r="U290" s="155">
        <f ca="1">IF(ISNUMBER(MATCH(DATEVALUE($A290),'recurring1_based on steps'!U$1:U$400,0)),U$2,)</f>
        <v>0</v>
      </c>
      <c r="V290" s="155">
        <f ca="1">IF(ISNUMBER(MATCH(DATEVALUE($A290),'recurring1_based on steps'!V$1:V$400,0)),V$2,)</f>
        <v>0</v>
      </c>
      <c r="W290" s="155">
        <f ca="1">IF(ISNUMBER(MATCH(DATEVALUE($A290),'recurring1_based on steps'!W$1:W$400,0)),W$2,)</f>
        <v>0</v>
      </c>
      <c r="X290" s="155">
        <f ca="1">IF(ISNUMBER(MATCH(DATEVALUE($A290),'recurring1_based on steps'!X$1:X$400,0)),X$2,)</f>
        <v>0</v>
      </c>
      <c r="Y290" s="155">
        <f ca="1">IF(ISNUMBER(MATCH(DATEVALUE($A290),'recurring1_based on steps'!Y$1:Y$400,0)),Y$2,)</f>
        <v>0</v>
      </c>
      <c r="Z290" s="155">
        <f ca="1">IF(ISNUMBER(MATCH(DATEVALUE($A290),'recurring1_based on steps'!Z$1:Z$400,0)),Z$2,)</f>
        <v>0</v>
      </c>
      <c r="AA290" s="155">
        <f ca="1">IF(ISNUMBER(MATCH(DATEVALUE($A290),'recurring1_based on steps'!AA$1:AA$400,0)),AA$2,)</f>
        <v>0</v>
      </c>
      <c r="AB290" s="155">
        <f ca="1">IF(ISNUMBER(MATCH(DATEVALUE($A290),'recurring1_based on steps'!AB$1:AB$400,0)),AB$2,)</f>
        <v>0</v>
      </c>
      <c r="AC290" s="155">
        <f ca="1">IF(ISNUMBER(MATCH(DATEVALUE($A290),'recurring1_based on steps'!AC$1:AC$400,0)),AC$2,)</f>
        <v>0</v>
      </c>
      <c r="AD290" s="155">
        <f ca="1">IF(ISNUMBER(MATCH(DATEVALUE($A290),'recurring1_based on steps'!AD$1:AD$400,0)),AD$2,)</f>
        <v>0</v>
      </c>
      <c r="AE290" s="155">
        <f ca="1">IF(ISNUMBER(MATCH(DATEVALUE($A290),'recurring1_based on steps'!AE$1:AE$400,0)),AE$2,)</f>
        <v>0</v>
      </c>
      <c r="AF290" s="155">
        <f ca="1">IF(ISNUMBER(MATCH(DATEVALUE($A290),'recurring1_based on steps'!AF$1:AF$400,0)),AF$2,)</f>
        <v>0</v>
      </c>
      <c r="AG290" s="155">
        <f ca="1">IF(ISNUMBER(MATCH(DATEVALUE($A290),'recurring1_based on steps'!AG$1:AG$400,0)),AG$2,)</f>
        <v>0</v>
      </c>
      <c r="AH290" s="155">
        <f ca="1">IF(ISNUMBER(MATCH(DATEVALUE($A290),'recurring1_based on steps'!AH$1:AH$400,0)),AH$2,)</f>
        <v>0</v>
      </c>
      <c r="AI290" s="155">
        <f ca="1">IF(ISNUMBER(MATCH(DATEVALUE($A290),'recurring1_based on steps'!AI$1:AI$400,0)),AI$2,)</f>
        <v>0</v>
      </c>
      <c r="AJ290" s="155">
        <f ca="1">IF(ISNUMBER(MATCH(DATEVALUE($A290),'recurring1_based on steps'!AJ$1:AJ$400,0)),AJ$2,)</f>
        <v>0</v>
      </c>
      <c r="AK290" s="155">
        <f ca="1">IF(ISNUMBER(MATCH(DATEVALUE($A290),'recurring1_based on steps'!AK$1:AK$400,0)),AK$2,)</f>
        <v>0</v>
      </c>
      <c r="AL290" s="155">
        <f ca="1">IF(ISNUMBER(MATCH(DATEVALUE($A290),'recurring1_based on steps'!AL$1:AL$400,0)),AL$2,)</f>
        <v>0</v>
      </c>
      <c r="AM290" s="155">
        <f ca="1">IF(ISNUMBER(MATCH(DATEVALUE($A290),'recurring1_based on steps'!AM$1:AM$400,0)),AM$2,)</f>
        <v>0</v>
      </c>
      <c r="AN290" s="155">
        <f ca="1">IF(ISNUMBER(MATCH(DATEVALUE($A290),'recurring1_based on steps'!AN$1:AN$400,0)),AN$2,)</f>
        <v>0</v>
      </c>
      <c r="AO290" s="155">
        <f ca="1">IF(ISNUMBER(MATCH(DATEVALUE($A290),'recurring1_based on steps'!AO$1:AO$400,0)),AO$2,)</f>
        <v>0</v>
      </c>
      <c r="AP290" s="155">
        <f ca="1">IF(ISNUMBER(MATCH(DATEVALUE($A290),'recurring1_based on steps'!AP$1:AP$400,0)),AP$2,)</f>
        <v>0</v>
      </c>
      <c r="AQ290" s="155">
        <f ca="1">IF(ISNUMBER(MATCH(DATEVALUE($A290),'recurring1_based on steps'!AQ$1:AQ$400,0)),AQ$2,)</f>
        <v>0</v>
      </c>
      <c r="AR290" s="155">
        <f ca="1">IF(ISNUMBER(MATCH(DATEVALUE($A290),'recurring1_based on steps'!AR$1:AR$400,0)),AR$2,)</f>
        <v>0</v>
      </c>
      <c r="AS290" s="155">
        <f ca="1">IF(ISNUMBER(MATCH(DATEVALUE($A290),'recurring1_based on steps'!AS$1:AS$400,0)),AS$2,)</f>
        <v>0</v>
      </c>
      <c r="AT290" s="155">
        <f ca="1">IF(ISNUMBER(MATCH(DATEVALUE($A290),'recurring1_based on steps'!AT$1:AT$400,0)),AT$2,)</f>
        <v>0</v>
      </c>
      <c r="AU290" s="155">
        <f ca="1">IF(ISNUMBER(MATCH(DATEVALUE($A290),'recurring1_based on steps'!AU$1:AU$400,0)),AU$2,)</f>
        <v>0</v>
      </c>
      <c r="AV290" s="155">
        <f ca="1">IF(ISNUMBER(MATCH(DATEVALUE($A290),'recurring1_based on steps'!AV$1:AV$400,0)),AV$2,)</f>
        <v>0</v>
      </c>
      <c r="AW290" s="155">
        <f ca="1">IF(ISNUMBER(MATCH(DATEVALUE($A290),'recurring1_based on steps'!AW$1:AW$400,0)),AW$2,)</f>
        <v>0</v>
      </c>
      <c r="AX290" s="155">
        <f ca="1">IF(ISNUMBER(MATCH(DATEVALUE($A290),'recurring1_based on steps'!AX$1:AX$400,0)),AX$2,)</f>
        <v>0</v>
      </c>
      <c r="AY290" s="155">
        <f ca="1">IF(ISNUMBER(MATCH(DATEVALUE($A290),'recurring1_based on steps'!AY$1:AY$400,0)),AY$2,)</f>
        <v>0</v>
      </c>
    </row>
    <row r="291" spans="1:51" x14ac:dyDescent="0.2">
      <c r="A291" s="18" t="str">
        <f t="shared" ca="1" si="4"/>
        <v>2025-11-16</v>
      </c>
      <c r="B291" s="155">
        <f ca="1">IF(ISNUMBER(MATCH(DATEVALUE($A291),'recurring1_based on steps'!B$1:B$400,0)),B$2,)</f>
        <v>0</v>
      </c>
      <c r="C291" s="155">
        <f ca="1">IF(ISNUMBER(MATCH(DATEVALUE($A291),'recurring1_based on steps'!C$1:C$400,0)),C$2,)</f>
        <v>0</v>
      </c>
      <c r="D291" s="155">
        <f ca="1">IF(ISNUMBER(MATCH(DATEVALUE($A291),'recurring1_based on steps'!D$1:D$400,0)),D$2,)</f>
        <v>0</v>
      </c>
      <c r="E291" s="155">
        <f ca="1">IF(ISNUMBER(MATCH(DATEVALUE($A291),'recurring1_based on steps'!E$1:E$400,0)),E$2,)</f>
        <v>0</v>
      </c>
      <c r="F291" s="155">
        <f ca="1">IF(ISNUMBER(MATCH(DATEVALUE($A291),'recurring1_based on steps'!F$1:F$400,0)),F$2,)</f>
        <v>0</v>
      </c>
      <c r="G291" s="155">
        <f ca="1">IF(ISNUMBER(MATCH(DATEVALUE($A291),'recurring1_based on steps'!G$1:G$400,0)),G$2,)</f>
        <v>0</v>
      </c>
      <c r="H291" s="155">
        <f ca="1">IF(ISNUMBER(MATCH(DATEVALUE($A291),'recurring1_based on steps'!H$1:H$400,0)),H$2,)</f>
        <v>0</v>
      </c>
      <c r="I291" s="155">
        <f ca="1">IF(ISNUMBER(MATCH(DATEVALUE($A291),'recurring1_based on steps'!I$1:I$400,0)),I$2,)</f>
        <v>0</v>
      </c>
      <c r="J291" s="155">
        <f ca="1">IF(ISNUMBER(MATCH(DATEVALUE($A291),'recurring1_based on steps'!J$1:J$400,0)),J$2,)</f>
        <v>0</v>
      </c>
      <c r="K291" s="155">
        <f ca="1">IF(ISNUMBER(MATCH(DATEVALUE($A291),'recurring1_based on steps'!K$1:K$400,0)),K$2,)</f>
        <v>50</v>
      </c>
      <c r="L291" s="155">
        <f ca="1">IF(ISNUMBER(MATCH(DATEVALUE($A291),'recurring1_based on steps'!L$1:L$400,0)),L$2,)</f>
        <v>0</v>
      </c>
      <c r="M291" s="155">
        <f ca="1">IF(ISNUMBER(MATCH(DATEVALUE($A291),'recurring1_based on steps'!M$1:M$400,0)),M$2,)</f>
        <v>0</v>
      </c>
      <c r="N291" s="155">
        <f ca="1">IF(ISNUMBER(MATCH(DATEVALUE($A291),'recurring1_based on steps'!N$1:N$400,0)),N$2,)</f>
        <v>0</v>
      </c>
      <c r="O291" s="155">
        <f ca="1">IF(ISNUMBER(MATCH(DATEVALUE($A291),'recurring1_based on steps'!O$1:O$400,0)),O$2,)</f>
        <v>0</v>
      </c>
      <c r="P291" s="155">
        <f ca="1">IF(ISNUMBER(MATCH(DATEVALUE($A291),'recurring1_based on steps'!P$1:P$400,0)),P$2,)</f>
        <v>0</v>
      </c>
      <c r="Q291" s="155">
        <f ca="1">IF(ISNUMBER(MATCH(DATEVALUE($A291),'recurring1_based on steps'!Q$1:Q$400,0)),Q$2,)</f>
        <v>0</v>
      </c>
      <c r="R291" s="155">
        <f ca="1">IF(ISNUMBER(MATCH(DATEVALUE($A291),'recurring1_based on steps'!R$1:R$400,0)),R$2,)</f>
        <v>0</v>
      </c>
      <c r="S291" s="155">
        <f ca="1">IF(ISNUMBER(MATCH(DATEVALUE($A291),'recurring1_based on steps'!S$1:S$400,0)),S$2,)</f>
        <v>100</v>
      </c>
      <c r="T291" s="155">
        <f ca="1">IF(ISNUMBER(MATCH(DATEVALUE($A291),'recurring1_based on steps'!T$1:T$400,0)),T$2,)</f>
        <v>0</v>
      </c>
      <c r="U291" s="155">
        <f ca="1">IF(ISNUMBER(MATCH(DATEVALUE($A291),'recurring1_based on steps'!U$1:U$400,0)),U$2,)</f>
        <v>0</v>
      </c>
      <c r="V291" s="155">
        <f ca="1">IF(ISNUMBER(MATCH(DATEVALUE($A291),'recurring1_based on steps'!V$1:V$400,0)),V$2,)</f>
        <v>0</v>
      </c>
      <c r="W291" s="155">
        <f ca="1">IF(ISNUMBER(MATCH(DATEVALUE($A291),'recurring1_based on steps'!W$1:W$400,0)),W$2,)</f>
        <v>0</v>
      </c>
      <c r="X291" s="155">
        <f ca="1">IF(ISNUMBER(MATCH(DATEVALUE($A291),'recurring1_based on steps'!X$1:X$400,0)),X$2,)</f>
        <v>0</v>
      </c>
      <c r="Y291" s="155">
        <f ca="1">IF(ISNUMBER(MATCH(DATEVALUE($A291),'recurring1_based on steps'!Y$1:Y$400,0)),Y$2,)</f>
        <v>0</v>
      </c>
      <c r="Z291" s="155">
        <f ca="1">IF(ISNUMBER(MATCH(DATEVALUE($A291),'recurring1_based on steps'!Z$1:Z$400,0)),Z$2,)</f>
        <v>0</v>
      </c>
      <c r="AA291" s="155">
        <f ca="1">IF(ISNUMBER(MATCH(DATEVALUE($A291),'recurring1_based on steps'!AA$1:AA$400,0)),AA$2,)</f>
        <v>0</v>
      </c>
      <c r="AB291" s="155">
        <f ca="1">IF(ISNUMBER(MATCH(DATEVALUE($A291),'recurring1_based on steps'!AB$1:AB$400,0)),AB$2,)</f>
        <v>0</v>
      </c>
      <c r="AC291" s="155">
        <f ca="1">IF(ISNUMBER(MATCH(DATEVALUE($A291),'recurring1_based on steps'!AC$1:AC$400,0)),AC$2,)</f>
        <v>0</v>
      </c>
      <c r="AD291" s="155">
        <f ca="1">IF(ISNUMBER(MATCH(DATEVALUE($A291),'recurring1_based on steps'!AD$1:AD$400,0)),AD$2,)</f>
        <v>0</v>
      </c>
      <c r="AE291" s="155">
        <f ca="1">IF(ISNUMBER(MATCH(DATEVALUE($A291),'recurring1_based on steps'!AE$1:AE$400,0)),AE$2,)</f>
        <v>0</v>
      </c>
      <c r="AF291" s="155">
        <f ca="1">IF(ISNUMBER(MATCH(DATEVALUE($A291),'recurring1_based on steps'!AF$1:AF$400,0)),AF$2,)</f>
        <v>0</v>
      </c>
      <c r="AG291" s="155">
        <f ca="1">IF(ISNUMBER(MATCH(DATEVALUE($A291),'recurring1_based on steps'!AG$1:AG$400,0)),AG$2,)</f>
        <v>0</v>
      </c>
      <c r="AH291" s="155">
        <f ca="1">IF(ISNUMBER(MATCH(DATEVALUE($A291),'recurring1_based on steps'!AH$1:AH$400,0)),AH$2,)</f>
        <v>0</v>
      </c>
      <c r="AI291" s="155">
        <f ca="1">IF(ISNUMBER(MATCH(DATEVALUE($A291),'recurring1_based on steps'!AI$1:AI$400,0)),AI$2,)</f>
        <v>0</v>
      </c>
      <c r="AJ291" s="155">
        <f ca="1">IF(ISNUMBER(MATCH(DATEVALUE($A291),'recurring1_based on steps'!AJ$1:AJ$400,0)),AJ$2,)</f>
        <v>0</v>
      </c>
      <c r="AK291" s="155">
        <f ca="1">IF(ISNUMBER(MATCH(DATEVALUE($A291),'recurring1_based on steps'!AK$1:AK$400,0)),AK$2,)</f>
        <v>0</v>
      </c>
      <c r="AL291" s="155">
        <f ca="1">IF(ISNUMBER(MATCH(DATEVALUE($A291),'recurring1_based on steps'!AL$1:AL$400,0)),AL$2,)</f>
        <v>0</v>
      </c>
      <c r="AM291" s="155">
        <f ca="1">IF(ISNUMBER(MATCH(DATEVALUE($A291),'recurring1_based on steps'!AM$1:AM$400,0)),AM$2,)</f>
        <v>0</v>
      </c>
      <c r="AN291" s="155">
        <f ca="1">IF(ISNUMBER(MATCH(DATEVALUE($A291),'recurring1_based on steps'!AN$1:AN$400,0)),AN$2,)</f>
        <v>0</v>
      </c>
      <c r="AO291" s="155">
        <f ca="1">IF(ISNUMBER(MATCH(DATEVALUE($A291),'recurring1_based on steps'!AO$1:AO$400,0)),AO$2,)</f>
        <v>0</v>
      </c>
      <c r="AP291" s="155">
        <f ca="1">IF(ISNUMBER(MATCH(DATEVALUE($A291),'recurring1_based on steps'!AP$1:AP$400,0)),AP$2,)</f>
        <v>0</v>
      </c>
      <c r="AQ291" s="155">
        <f ca="1">IF(ISNUMBER(MATCH(DATEVALUE($A291),'recurring1_based on steps'!AQ$1:AQ$400,0)),AQ$2,)</f>
        <v>0</v>
      </c>
      <c r="AR291" s="155">
        <f ca="1">IF(ISNUMBER(MATCH(DATEVALUE($A291),'recurring1_based on steps'!AR$1:AR$400,0)),AR$2,)</f>
        <v>0</v>
      </c>
      <c r="AS291" s="155">
        <f ca="1">IF(ISNUMBER(MATCH(DATEVALUE($A291),'recurring1_based on steps'!AS$1:AS$400,0)),AS$2,)</f>
        <v>0</v>
      </c>
      <c r="AT291" s="155">
        <f ca="1">IF(ISNUMBER(MATCH(DATEVALUE($A291),'recurring1_based on steps'!AT$1:AT$400,0)),AT$2,)</f>
        <v>0</v>
      </c>
      <c r="AU291" s="155">
        <f ca="1">IF(ISNUMBER(MATCH(DATEVALUE($A291),'recurring1_based on steps'!AU$1:AU$400,0)),AU$2,)</f>
        <v>0</v>
      </c>
      <c r="AV291" s="155">
        <f ca="1">IF(ISNUMBER(MATCH(DATEVALUE($A291),'recurring1_based on steps'!AV$1:AV$400,0)),AV$2,)</f>
        <v>0</v>
      </c>
      <c r="AW291" s="155">
        <f ca="1">IF(ISNUMBER(MATCH(DATEVALUE($A291),'recurring1_based on steps'!AW$1:AW$400,0)),AW$2,)</f>
        <v>0</v>
      </c>
      <c r="AX291" s="155">
        <f ca="1">IF(ISNUMBER(MATCH(DATEVALUE($A291),'recurring1_based on steps'!AX$1:AX$400,0)),AX$2,)</f>
        <v>0</v>
      </c>
      <c r="AY291" s="155">
        <f ca="1">IF(ISNUMBER(MATCH(DATEVALUE($A291),'recurring1_based on steps'!AY$1:AY$400,0)),AY$2,)</f>
        <v>0</v>
      </c>
    </row>
    <row r="292" spans="1:51" x14ac:dyDescent="0.2">
      <c r="A292" s="18" t="str">
        <f t="shared" ca="1" si="4"/>
        <v>2025-11-17</v>
      </c>
      <c r="B292" s="155">
        <f ca="1">IF(ISNUMBER(MATCH(DATEVALUE($A292),'recurring1_based on steps'!B$1:B$400,0)),B$2,)</f>
        <v>0</v>
      </c>
      <c r="C292" s="155">
        <f ca="1">IF(ISNUMBER(MATCH(DATEVALUE($A292),'recurring1_based on steps'!C$1:C$400,0)),C$2,)</f>
        <v>0</v>
      </c>
      <c r="D292" s="155">
        <f ca="1">IF(ISNUMBER(MATCH(DATEVALUE($A292),'recurring1_based on steps'!D$1:D$400,0)),D$2,)</f>
        <v>0</v>
      </c>
      <c r="E292" s="155">
        <f ca="1">IF(ISNUMBER(MATCH(DATEVALUE($A292),'recurring1_based on steps'!E$1:E$400,0)),E$2,)</f>
        <v>0</v>
      </c>
      <c r="F292" s="155">
        <f ca="1">IF(ISNUMBER(MATCH(DATEVALUE($A292),'recurring1_based on steps'!F$1:F$400,0)),F$2,)</f>
        <v>0</v>
      </c>
      <c r="G292" s="155">
        <f ca="1">IF(ISNUMBER(MATCH(DATEVALUE($A292),'recurring1_based on steps'!G$1:G$400,0)),G$2,)</f>
        <v>0</v>
      </c>
      <c r="H292" s="155">
        <f ca="1">IF(ISNUMBER(MATCH(DATEVALUE($A292),'recurring1_based on steps'!H$1:H$400,0)),H$2,)</f>
        <v>0</v>
      </c>
      <c r="I292" s="155">
        <f ca="1">IF(ISNUMBER(MATCH(DATEVALUE($A292),'recurring1_based on steps'!I$1:I$400,0)),I$2,)</f>
        <v>0</v>
      </c>
      <c r="J292" s="155">
        <f ca="1">IF(ISNUMBER(MATCH(DATEVALUE($A292),'recurring1_based on steps'!J$1:J$400,0)),J$2,)</f>
        <v>0</v>
      </c>
      <c r="K292" s="155">
        <f ca="1">IF(ISNUMBER(MATCH(DATEVALUE($A292),'recurring1_based on steps'!K$1:K$400,0)),K$2,)</f>
        <v>0</v>
      </c>
      <c r="L292" s="155">
        <f ca="1">IF(ISNUMBER(MATCH(DATEVALUE($A292),'recurring1_based on steps'!L$1:L$400,0)),L$2,)</f>
        <v>0</v>
      </c>
      <c r="M292" s="155">
        <f ca="1">IF(ISNUMBER(MATCH(DATEVALUE($A292),'recurring1_based on steps'!M$1:M$400,0)),M$2,)</f>
        <v>0</v>
      </c>
      <c r="N292" s="155">
        <f ca="1">IF(ISNUMBER(MATCH(DATEVALUE($A292),'recurring1_based on steps'!N$1:N$400,0)),N$2,)</f>
        <v>15.49</v>
      </c>
      <c r="O292" s="155">
        <f ca="1">IF(ISNUMBER(MATCH(DATEVALUE($A292),'recurring1_based on steps'!O$1:O$400,0)),O$2,)</f>
        <v>0</v>
      </c>
      <c r="P292" s="155">
        <f ca="1">IF(ISNUMBER(MATCH(DATEVALUE($A292),'recurring1_based on steps'!P$1:P$400,0)),P$2,)</f>
        <v>0</v>
      </c>
      <c r="Q292" s="155">
        <f ca="1">IF(ISNUMBER(MATCH(DATEVALUE($A292),'recurring1_based on steps'!Q$1:Q$400,0)),Q$2,)</f>
        <v>0</v>
      </c>
      <c r="R292" s="155">
        <f ca="1">IF(ISNUMBER(MATCH(DATEVALUE($A292),'recurring1_based on steps'!R$1:R$400,0)),R$2,)</f>
        <v>0</v>
      </c>
      <c r="S292" s="155">
        <f ca="1">IF(ISNUMBER(MATCH(DATEVALUE($A292),'recurring1_based on steps'!S$1:S$400,0)),S$2,)</f>
        <v>0</v>
      </c>
      <c r="T292" s="155">
        <f ca="1">IF(ISNUMBER(MATCH(DATEVALUE($A292),'recurring1_based on steps'!T$1:T$400,0)),T$2,)</f>
        <v>0</v>
      </c>
      <c r="U292" s="155">
        <f ca="1">IF(ISNUMBER(MATCH(DATEVALUE($A292),'recurring1_based on steps'!U$1:U$400,0)),U$2,)</f>
        <v>0</v>
      </c>
      <c r="V292" s="155">
        <f ca="1">IF(ISNUMBER(MATCH(DATEVALUE($A292),'recurring1_based on steps'!V$1:V$400,0)),V$2,)</f>
        <v>200</v>
      </c>
      <c r="W292" s="155">
        <f ca="1">IF(ISNUMBER(MATCH(DATEVALUE($A292),'recurring1_based on steps'!W$1:W$400,0)),W$2,)</f>
        <v>0</v>
      </c>
      <c r="X292" s="155">
        <f ca="1">IF(ISNUMBER(MATCH(DATEVALUE($A292),'recurring1_based on steps'!X$1:X$400,0)),X$2,)</f>
        <v>0</v>
      </c>
      <c r="Y292" s="155">
        <f ca="1">IF(ISNUMBER(MATCH(DATEVALUE($A292),'recurring1_based on steps'!Y$1:Y$400,0)),Y$2,)</f>
        <v>0</v>
      </c>
      <c r="Z292" s="155">
        <f ca="1">IF(ISNUMBER(MATCH(DATEVALUE($A292),'recurring1_based on steps'!Z$1:Z$400,0)),Z$2,)</f>
        <v>0</v>
      </c>
      <c r="AA292" s="155">
        <f ca="1">IF(ISNUMBER(MATCH(DATEVALUE($A292),'recurring1_based on steps'!AA$1:AA$400,0)),AA$2,)</f>
        <v>0</v>
      </c>
      <c r="AB292" s="155">
        <f ca="1">IF(ISNUMBER(MATCH(DATEVALUE($A292),'recurring1_based on steps'!AB$1:AB$400,0)),AB$2,)</f>
        <v>0</v>
      </c>
      <c r="AC292" s="155">
        <f ca="1">IF(ISNUMBER(MATCH(DATEVALUE($A292),'recurring1_based on steps'!AC$1:AC$400,0)),AC$2,)</f>
        <v>0</v>
      </c>
      <c r="AD292" s="155">
        <f ca="1">IF(ISNUMBER(MATCH(DATEVALUE($A292),'recurring1_based on steps'!AD$1:AD$400,0)),AD$2,)</f>
        <v>0</v>
      </c>
      <c r="AE292" s="155">
        <f ca="1">IF(ISNUMBER(MATCH(DATEVALUE($A292),'recurring1_based on steps'!AE$1:AE$400,0)),AE$2,)</f>
        <v>0</v>
      </c>
      <c r="AF292" s="155">
        <f ca="1">IF(ISNUMBER(MATCH(DATEVALUE($A292),'recurring1_based on steps'!AF$1:AF$400,0)),AF$2,)</f>
        <v>0</v>
      </c>
      <c r="AG292" s="155">
        <f ca="1">IF(ISNUMBER(MATCH(DATEVALUE($A292),'recurring1_based on steps'!AG$1:AG$400,0)),AG$2,)</f>
        <v>0</v>
      </c>
      <c r="AH292" s="155">
        <f ca="1">IF(ISNUMBER(MATCH(DATEVALUE($A292),'recurring1_based on steps'!AH$1:AH$400,0)),AH$2,)</f>
        <v>0</v>
      </c>
      <c r="AI292" s="155">
        <f ca="1">IF(ISNUMBER(MATCH(DATEVALUE($A292),'recurring1_based on steps'!AI$1:AI$400,0)),AI$2,)</f>
        <v>0</v>
      </c>
      <c r="AJ292" s="155">
        <f ca="1">IF(ISNUMBER(MATCH(DATEVALUE($A292),'recurring1_based on steps'!AJ$1:AJ$400,0)),AJ$2,)</f>
        <v>0</v>
      </c>
      <c r="AK292" s="155">
        <f ca="1">IF(ISNUMBER(MATCH(DATEVALUE($A292),'recurring1_based on steps'!AK$1:AK$400,0)),AK$2,)</f>
        <v>0</v>
      </c>
      <c r="AL292" s="155">
        <f ca="1">IF(ISNUMBER(MATCH(DATEVALUE($A292),'recurring1_based on steps'!AL$1:AL$400,0)),AL$2,)</f>
        <v>0</v>
      </c>
      <c r="AM292" s="155">
        <f ca="1">IF(ISNUMBER(MATCH(DATEVALUE($A292),'recurring1_based on steps'!AM$1:AM$400,0)),AM$2,)</f>
        <v>0</v>
      </c>
      <c r="AN292" s="155">
        <f ca="1">IF(ISNUMBER(MATCH(DATEVALUE($A292),'recurring1_based on steps'!AN$1:AN$400,0)),AN$2,)</f>
        <v>0</v>
      </c>
      <c r="AO292" s="155">
        <f ca="1">IF(ISNUMBER(MATCH(DATEVALUE($A292),'recurring1_based on steps'!AO$1:AO$400,0)),AO$2,)</f>
        <v>0</v>
      </c>
      <c r="AP292" s="155">
        <f ca="1">IF(ISNUMBER(MATCH(DATEVALUE($A292),'recurring1_based on steps'!AP$1:AP$400,0)),AP$2,)</f>
        <v>0</v>
      </c>
      <c r="AQ292" s="155">
        <f ca="1">IF(ISNUMBER(MATCH(DATEVALUE($A292),'recurring1_based on steps'!AQ$1:AQ$400,0)),AQ$2,)</f>
        <v>0</v>
      </c>
      <c r="AR292" s="155">
        <f ca="1">IF(ISNUMBER(MATCH(DATEVALUE($A292),'recurring1_based on steps'!AR$1:AR$400,0)),AR$2,)</f>
        <v>0</v>
      </c>
      <c r="AS292" s="155">
        <f ca="1">IF(ISNUMBER(MATCH(DATEVALUE($A292),'recurring1_based on steps'!AS$1:AS$400,0)),AS$2,)</f>
        <v>0</v>
      </c>
      <c r="AT292" s="155">
        <f ca="1">IF(ISNUMBER(MATCH(DATEVALUE($A292),'recurring1_based on steps'!AT$1:AT$400,0)),AT$2,)</f>
        <v>0</v>
      </c>
      <c r="AU292" s="155">
        <f ca="1">IF(ISNUMBER(MATCH(DATEVALUE($A292),'recurring1_based on steps'!AU$1:AU$400,0)),AU$2,)</f>
        <v>0</v>
      </c>
      <c r="AV292" s="155">
        <f ca="1">IF(ISNUMBER(MATCH(DATEVALUE($A292),'recurring1_based on steps'!AV$1:AV$400,0)),AV$2,)</f>
        <v>0</v>
      </c>
      <c r="AW292" s="155">
        <f ca="1">IF(ISNUMBER(MATCH(DATEVALUE($A292),'recurring1_based on steps'!AW$1:AW$400,0)),AW$2,)</f>
        <v>0</v>
      </c>
      <c r="AX292" s="155">
        <f ca="1">IF(ISNUMBER(MATCH(DATEVALUE($A292),'recurring1_based on steps'!AX$1:AX$400,0)),AX$2,)</f>
        <v>0</v>
      </c>
      <c r="AY292" s="155">
        <f ca="1">IF(ISNUMBER(MATCH(DATEVALUE($A292),'recurring1_based on steps'!AY$1:AY$400,0)),AY$2,)</f>
        <v>0</v>
      </c>
    </row>
    <row r="293" spans="1:51" x14ac:dyDescent="0.2">
      <c r="A293" s="18" t="str">
        <f t="shared" ca="1" si="4"/>
        <v>2025-11-18</v>
      </c>
      <c r="B293" s="155">
        <f ca="1">IF(ISNUMBER(MATCH(DATEVALUE($A293),'recurring1_based on steps'!B$1:B$400,0)),B$2,)</f>
        <v>0</v>
      </c>
      <c r="C293" s="155">
        <f ca="1">IF(ISNUMBER(MATCH(DATEVALUE($A293),'recurring1_based on steps'!C$1:C$400,0)),C$2,)</f>
        <v>0</v>
      </c>
      <c r="D293" s="155">
        <f ca="1">IF(ISNUMBER(MATCH(DATEVALUE($A293),'recurring1_based on steps'!D$1:D$400,0)),D$2,)</f>
        <v>0</v>
      </c>
      <c r="E293" s="155">
        <f ca="1">IF(ISNUMBER(MATCH(DATEVALUE($A293),'recurring1_based on steps'!E$1:E$400,0)),E$2,)</f>
        <v>0</v>
      </c>
      <c r="F293" s="155">
        <f ca="1">IF(ISNUMBER(MATCH(DATEVALUE($A293),'recurring1_based on steps'!F$1:F$400,0)),F$2,)</f>
        <v>0</v>
      </c>
      <c r="G293" s="155">
        <f ca="1">IF(ISNUMBER(MATCH(DATEVALUE($A293),'recurring1_based on steps'!G$1:G$400,0)),G$2,)</f>
        <v>0</v>
      </c>
      <c r="H293" s="155">
        <f ca="1">IF(ISNUMBER(MATCH(DATEVALUE($A293),'recurring1_based on steps'!H$1:H$400,0)),H$2,)</f>
        <v>0</v>
      </c>
      <c r="I293" s="155">
        <f ca="1">IF(ISNUMBER(MATCH(DATEVALUE($A293),'recurring1_based on steps'!I$1:I$400,0)),I$2,)</f>
        <v>0</v>
      </c>
      <c r="J293" s="155">
        <f ca="1">IF(ISNUMBER(MATCH(DATEVALUE($A293),'recurring1_based on steps'!J$1:J$400,0)),J$2,)</f>
        <v>0</v>
      </c>
      <c r="K293" s="155">
        <f ca="1">IF(ISNUMBER(MATCH(DATEVALUE($A293),'recurring1_based on steps'!K$1:K$400,0)),K$2,)</f>
        <v>0</v>
      </c>
      <c r="L293" s="155">
        <f ca="1">IF(ISNUMBER(MATCH(DATEVALUE($A293),'recurring1_based on steps'!L$1:L$400,0)),L$2,)</f>
        <v>0</v>
      </c>
      <c r="M293" s="155">
        <f ca="1">IF(ISNUMBER(MATCH(DATEVALUE($A293),'recurring1_based on steps'!M$1:M$400,0)),M$2,)</f>
        <v>0</v>
      </c>
      <c r="N293" s="155">
        <f ca="1">IF(ISNUMBER(MATCH(DATEVALUE($A293),'recurring1_based on steps'!N$1:N$400,0)),N$2,)</f>
        <v>0</v>
      </c>
      <c r="O293" s="155">
        <f ca="1">IF(ISNUMBER(MATCH(DATEVALUE($A293),'recurring1_based on steps'!O$1:O$400,0)),O$2,)</f>
        <v>10.99</v>
      </c>
      <c r="P293" s="155">
        <f ca="1">IF(ISNUMBER(MATCH(DATEVALUE($A293),'recurring1_based on steps'!P$1:P$400,0)),P$2,)</f>
        <v>0</v>
      </c>
      <c r="Q293" s="155">
        <f ca="1">IF(ISNUMBER(MATCH(DATEVALUE($A293),'recurring1_based on steps'!Q$1:Q$400,0)),Q$2,)</f>
        <v>0</v>
      </c>
      <c r="R293" s="155">
        <f ca="1">IF(ISNUMBER(MATCH(DATEVALUE($A293),'recurring1_based on steps'!R$1:R$400,0)),R$2,)</f>
        <v>0</v>
      </c>
      <c r="S293" s="155">
        <f ca="1">IF(ISNUMBER(MATCH(DATEVALUE($A293),'recurring1_based on steps'!S$1:S$400,0)),S$2,)</f>
        <v>0</v>
      </c>
      <c r="T293" s="155">
        <f ca="1">IF(ISNUMBER(MATCH(DATEVALUE($A293),'recurring1_based on steps'!T$1:T$400,0)),T$2,)</f>
        <v>0</v>
      </c>
      <c r="U293" s="155">
        <f ca="1">IF(ISNUMBER(MATCH(DATEVALUE($A293),'recurring1_based on steps'!U$1:U$400,0)),U$2,)</f>
        <v>0</v>
      </c>
      <c r="V293" s="155">
        <f ca="1">IF(ISNUMBER(MATCH(DATEVALUE($A293),'recurring1_based on steps'!V$1:V$400,0)),V$2,)</f>
        <v>0</v>
      </c>
      <c r="W293" s="155">
        <f ca="1">IF(ISNUMBER(MATCH(DATEVALUE($A293),'recurring1_based on steps'!W$1:W$400,0)),W$2,)</f>
        <v>0</v>
      </c>
      <c r="X293" s="155">
        <f ca="1">IF(ISNUMBER(MATCH(DATEVALUE($A293),'recurring1_based on steps'!X$1:X$400,0)),X$2,)</f>
        <v>0</v>
      </c>
      <c r="Y293" s="155">
        <f ca="1">IF(ISNUMBER(MATCH(DATEVALUE($A293),'recurring1_based on steps'!Y$1:Y$400,0)),Y$2,)</f>
        <v>0</v>
      </c>
      <c r="Z293" s="155">
        <f ca="1">IF(ISNUMBER(MATCH(DATEVALUE($A293),'recurring1_based on steps'!Z$1:Z$400,0)),Z$2,)</f>
        <v>0</v>
      </c>
      <c r="AA293" s="155">
        <f ca="1">IF(ISNUMBER(MATCH(DATEVALUE($A293),'recurring1_based on steps'!AA$1:AA$400,0)),AA$2,)</f>
        <v>0</v>
      </c>
      <c r="AB293" s="155">
        <f ca="1">IF(ISNUMBER(MATCH(DATEVALUE($A293),'recurring1_based on steps'!AB$1:AB$400,0)),AB$2,)</f>
        <v>0</v>
      </c>
      <c r="AC293" s="155">
        <f ca="1">IF(ISNUMBER(MATCH(DATEVALUE($A293),'recurring1_based on steps'!AC$1:AC$400,0)),AC$2,)</f>
        <v>0</v>
      </c>
      <c r="AD293" s="155">
        <f ca="1">IF(ISNUMBER(MATCH(DATEVALUE($A293),'recurring1_based on steps'!AD$1:AD$400,0)),AD$2,)</f>
        <v>0</v>
      </c>
      <c r="AE293" s="155">
        <f ca="1">IF(ISNUMBER(MATCH(DATEVALUE($A293),'recurring1_based on steps'!AE$1:AE$400,0)),AE$2,)</f>
        <v>0</v>
      </c>
      <c r="AF293" s="155">
        <f ca="1">IF(ISNUMBER(MATCH(DATEVALUE($A293),'recurring1_based on steps'!AF$1:AF$400,0)),AF$2,)</f>
        <v>0</v>
      </c>
      <c r="AG293" s="155">
        <f ca="1">IF(ISNUMBER(MATCH(DATEVALUE($A293),'recurring1_based on steps'!AG$1:AG$400,0)),AG$2,)</f>
        <v>0</v>
      </c>
      <c r="AH293" s="155">
        <f ca="1">IF(ISNUMBER(MATCH(DATEVALUE($A293),'recurring1_based on steps'!AH$1:AH$400,0)),AH$2,)</f>
        <v>0</v>
      </c>
      <c r="AI293" s="155">
        <f ca="1">IF(ISNUMBER(MATCH(DATEVALUE($A293),'recurring1_based on steps'!AI$1:AI$400,0)),AI$2,)</f>
        <v>0</v>
      </c>
      <c r="AJ293" s="155">
        <f ca="1">IF(ISNUMBER(MATCH(DATEVALUE($A293),'recurring1_based on steps'!AJ$1:AJ$400,0)),AJ$2,)</f>
        <v>0</v>
      </c>
      <c r="AK293" s="155">
        <f ca="1">IF(ISNUMBER(MATCH(DATEVALUE($A293),'recurring1_based on steps'!AK$1:AK$400,0)),AK$2,)</f>
        <v>0</v>
      </c>
      <c r="AL293" s="155">
        <f ca="1">IF(ISNUMBER(MATCH(DATEVALUE($A293),'recurring1_based on steps'!AL$1:AL$400,0)),AL$2,)</f>
        <v>0</v>
      </c>
      <c r="AM293" s="155">
        <f ca="1">IF(ISNUMBER(MATCH(DATEVALUE($A293),'recurring1_based on steps'!AM$1:AM$400,0)),AM$2,)</f>
        <v>0</v>
      </c>
      <c r="AN293" s="155">
        <f ca="1">IF(ISNUMBER(MATCH(DATEVALUE($A293),'recurring1_based on steps'!AN$1:AN$400,0)),AN$2,)</f>
        <v>0</v>
      </c>
      <c r="AO293" s="155">
        <f ca="1">IF(ISNUMBER(MATCH(DATEVALUE($A293),'recurring1_based on steps'!AO$1:AO$400,0)),AO$2,)</f>
        <v>0</v>
      </c>
      <c r="AP293" s="155">
        <f ca="1">IF(ISNUMBER(MATCH(DATEVALUE($A293),'recurring1_based on steps'!AP$1:AP$400,0)),AP$2,)</f>
        <v>0</v>
      </c>
      <c r="AQ293" s="155">
        <f ca="1">IF(ISNUMBER(MATCH(DATEVALUE($A293),'recurring1_based on steps'!AQ$1:AQ$400,0)),AQ$2,)</f>
        <v>0</v>
      </c>
      <c r="AR293" s="155">
        <f ca="1">IF(ISNUMBER(MATCH(DATEVALUE($A293),'recurring1_based on steps'!AR$1:AR$400,0)),AR$2,)</f>
        <v>0</v>
      </c>
      <c r="AS293" s="155">
        <f ca="1">IF(ISNUMBER(MATCH(DATEVALUE($A293),'recurring1_based on steps'!AS$1:AS$400,0)),AS$2,)</f>
        <v>0</v>
      </c>
      <c r="AT293" s="155">
        <f ca="1">IF(ISNUMBER(MATCH(DATEVALUE($A293),'recurring1_based on steps'!AT$1:AT$400,0)),AT$2,)</f>
        <v>0</v>
      </c>
      <c r="AU293" s="155">
        <f ca="1">IF(ISNUMBER(MATCH(DATEVALUE($A293),'recurring1_based on steps'!AU$1:AU$400,0)),AU$2,)</f>
        <v>0</v>
      </c>
      <c r="AV293" s="155">
        <f ca="1">IF(ISNUMBER(MATCH(DATEVALUE($A293),'recurring1_based on steps'!AV$1:AV$400,0)),AV$2,)</f>
        <v>0</v>
      </c>
      <c r="AW293" s="155">
        <f ca="1">IF(ISNUMBER(MATCH(DATEVALUE($A293),'recurring1_based on steps'!AW$1:AW$400,0)),AW$2,)</f>
        <v>0</v>
      </c>
      <c r="AX293" s="155">
        <f ca="1">IF(ISNUMBER(MATCH(DATEVALUE($A293),'recurring1_based on steps'!AX$1:AX$400,0)),AX$2,)</f>
        <v>0</v>
      </c>
      <c r="AY293" s="155">
        <f ca="1">IF(ISNUMBER(MATCH(DATEVALUE($A293),'recurring1_based on steps'!AY$1:AY$400,0)),AY$2,)</f>
        <v>0</v>
      </c>
    </row>
    <row r="294" spans="1:51" x14ac:dyDescent="0.2">
      <c r="A294" s="18" t="str">
        <f t="shared" ca="1" si="4"/>
        <v>2025-11-19</v>
      </c>
      <c r="B294" s="155">
        <f ca="1">IF(ISNUMBER(MATCH(DATEVALUE($A294),'recurring1_based on steps'!B$1:B$400,0)),B$2,)</f>
        <v>0</v>
      </c>
      <c r="C294" s="155">
        <f ca="1">IF(ISNUMBER(MATCH(DATEVALUE($A294),'recurring1_based on steps'!C$1:C$400,0)),C$2,)</f>
        <v>0</v>
      </c>
      <c r="D294" s="155">
        <f ca="1">IF(ISNUMBER(MATCH(DATEVALUE($A294),'recurring1_based on steps'!D$1:D$400,0)),D$2,)</f>
        <v>0</v>
      </c>
      <c r="E294" s="155">
        <f ca="1">IF(ISNUMBER(MATCH(DATEVALUE($A294),'recurring1_based on steps'!E$1:E$400,0)),E$2,)</f>
        <v>0</v>
      </c>
      <c r="F294" s="155">
        <f ca="1">IF(ISNUMBER(MATCH(DATEVALUE($A294),'recurring1_based on steps'!F$1:F$400,0)),F$2,)</f>
        <v>0</v>
      </c>
      <c r="G294" s="155">
        <f ca="1">IF(ISNUMBER(MATCH(DATEVALUE($A294),'recurring1_based on steps'!G$1:G$400,0)),G$2,)</f>
        <v>0</v>
      </c>
      <c r="H294" s="155">
        <f ca="1">IF(ISNUMBER(MATCH(DATEVALUE($A294),'recurring1_based on steps'!H$1:H$400,0)),H$2,)</f>
        <v>0</v>
      </c>
      <c r="I294" s="155">
        <f ca="1">IF(ISNUMBER(MATCH(DATEVALUE($A294),'recurring1_based on steps'!I$1:I$400,0)),I$2,)</f>
        <v>0</v>
      </c>
      <c r="J294" s="155">
        <f ca="1">IF(ISNUMBER(MATCH(DATEVALUE($A294),'recurring1_based on steps'!J$1:J$400,0)),J$2,)</f>
        <v>0</v>
      </c>
      <c r="K294" s="155">
        <f ca="1">IF(ISNUMBER(MATCH(DATEVALUE($A294),'recurring1_based on steps'!K$1:K$400,0)),K$2,)</f>
        <v>0</v>
      </c>
      <c r="L294" s="155">
        <f ca="1">IF(ISNUMBER(MATCH(DATEVALUE($A294),'recurring1_based on steps'!L$1:L$400,0)),L$2,)</f>
        <v>0</v>
      </c>
      <c r="M294" s="155">
        <f ca="1">IF(ISNUMBER(MATCH(DATEVALUE($A294),'recurring1_based on steps'!M$1:M$400,0)),M$2,)</f>
        <v>0</v>
      </c>
      <c r="N294" s="155">
        <f ca="1">IF(ISNUMBER(MATCH(DATEVALUE($A294),'recurring1_based on steps'!N$1:N$400,0)),N$2,)</f>
        <v>0</v>
      </c>
      <c r="O294" s="155">
        <f ca="1">IF(ISNUMBER(MATCH(DATEVALUE($A294),'recurring1_based on steps'!O$1:O$400,0)),O$2,)</f>
        <v>0</v>
      </c>
      <c r="P294" s="155">
        <f ca="1">IF(ISNUMBER(MATCH(DATEVALUE($A294),'recurring1_based on steps'!P$1:P$400,0)),P$2,)</f>
        <v>0</v>
      </c>
      <c r="Q294" s="155">
        <f ca="1">IF(ISNUMBER(MATCH(DATEVALUE($A294),'recurring1_based on steps'!Q$1:Q$400,0)),Q$2,)</f>
        <v>0</v>
      </c>
      <c r="R294" s="155">
        <f ca="1">IF(ISNUMBER(MATCH(DATEVALUE($A294),'recurring1_based on steps'!R$1:R$400,0)),R$2,)</f>
        <v>0</v>
      </c>
      <c r="S294" s="155">
        <f ca="1">IF(ISNUMBER(MATCH(DATEVALUE($A294),'recurring1_based on steps'!S$1:S$400,0)),S$2,)</f>
        <v>0</v>
      </c>
      <c r="T294" s="155">
        <f ca="1">IF(ISNUMBER(MATCH(DATEVALUE($A294),'recurring1_based on steps'!T$1:T$400,0)),T$2,)</f>
        <v>0</v>
      </c>
      <c r="U294" s="155">
        <f ca="1">IF(ISNUMBER(MATCH(DATEVALUE($A294),'recurring1_based on steps'!U$1:U$400,0)),U$2,)</f>
        <v>0</v>
      </c>
      <c r="V294" s="155">
        <f ca="1">IF(ISNUMBER(MATCH(DATEVALUE($A294),'recurring1_based on steps'!V$1:V$400,0)),V$2,)</f>
        <v>0</v>
      </c>
      <c r="W294" s="155">
        <f ca="1">IF(ISNUMBER(MATCH(DATEVALUE($A294),'recurring1_based on steps'!W$1:W$400,0)),W$2,)</f>
        <v>0</v>
      </c>
      <c r="X294" s="155">
        <f ca="1">IF(ISNUMBER(MATCH(DATEVALUE($A294),'recurring1_based on steps'!X$1:X$400,0)),X$2,)</f>
        <v>0</v>
      </c>
      <c r="Y294" s="155">
        <f ca="1">IF(ISNUMBER(MATCH(DATEVALUE($A294),'recurring1_based on steps'!Y$1:Y$400,0)),Y$2,)</f>
        <v>0</v>
      </c>
      <c r="Z294" s="155">
        <f ca="1">IF(ISNUMBER(MATCH(DATEVALUE($A294),'recurring1_based on steps'!Z$1:Z$400,0)),Z$2,)</f>
        <v>0</v>
      </c>
      <c r="AA294" s="155">
        <f ca="1">IF(ISNUMBER(MATCH(DATEVALUE($A294),'recurring1_based on steps'!AA$1:AA$400,0)),AA$2,)</f>
        <v>0</v>
      </c>
      <c r="AB294" s="155">
        <f ca="1">IF(ISNUMBER(MATCH(DATEVALUE($A294),'recurring1_based on steps'!AB$1:AB$400,0)),AB$2,)</f>
        <v>0</v>
      </c>
      <c r="AC294" s="155">
        <f ca="1">IF(ISNUMBER(MATCH(DATEVALUE($A294),'recurring1_based on steps'!AC$1:AC$400,0)),AC$2,)</f>
        <v>0</v>
      </c>
      <c r="AD294" s="155">
        <f ca="1">IF(ISNUMBER(MATCH(DATEVALUE($A294),'recurring1_based on steps'!AD$1:AD$400,0)),AD$2,)</f>
        <v>0</v>
      </c>
      <c r="AE294" s="155">
        <f ca="1">IF(ISNUMBER(MATCH(DATEVALUE($A294),'recurring1_based on steps'!AE$1:AE$400,0)),AE$2,)</f>
        <v>0</v>
      </c>
      <c r="AF294" s="155">
        <f ca="1">IF(ISNUMBER(MATCH(DATEVALUE($A294),'recurring1_based on steps'!AF$1:AF$400,0)),AF$2,)</f>
        <v>0</v>
      </c>
      <c r="AG294" s="155">
        <f ca="1">IF(ISNUMBER(MATCH(DATEVALUE($A294),'recurring1_based on steps'!AG$1:AG$400,0)),AG$2,)</f>
        <v>0</v>
      </c>
      <c r="AH294" s="155">
        <f ca="1">IF(ISNUMBER(MATCH(DATEVALUE($A294),'recurring1_based on steps'!AH$1:AH$400,0)),AH$2,)</f>
        <v>0</v>
      </c>
      <c r="AI294" s="155">
        <f ca="1">IF(ISNUMBER(MATCH(DATEVALUE($A294),'recurring1_based on steps'!AI$1:AI$400,0)),AI$2,)</f>
        <v>0</v>
      </c>
      <c r="AJ294" s="155">
        <f ca="1">IF(ISNUMBER(MATCH(DATEVALUE($A294),'recurring1_based on steps'!AJ$1:AJ$400,0)),AJ$2,)</f>
        <v>0</v>
      </c>
      <c r="AK294" s="155">
        <f ca="1">IF(ISNUMBER(MATCH(DATEVALUE($A294),'recurring1_based on steps'!AK$1:AK$400,0)),AK$2,)</f>
        <v>0</v>
      </c>
      <c r="AL294" s="155">
        <f ca="1">IF(ISNUMBER(MATCH(DATEVALUE($A294),'recurring1_based on steps'!AL$1:AL$400,0)),AL$2,)</f>
        <v>0</v>
      </c>
      <c r="AM294" s="155">
        <f ca="1">IF(ISNUMBER(MATCH(DATEVALUE($A294),'recurring1_based on steps'!AM$1:AM$400,0)),AM$2,)</f>
        <v>0</v>
      </c>
      <c r="AN294" s="155">
        <f ca="1">IF(ISNUMBER(MATCH(DATEVALUE($A294),'recurring1_based on steps'!AN$1:AN$400,0)),AN$2,)</f>
        <v>0</v>
      </c>
      <c r="AO294" s="155">
        <f ca="1">IF(ISNUMBER(MATCH(DATEVALUE($A294),'recurring1_based on steps'!AO$1:AO$400,0)),AO$2,)</f>
        <v>0</v>
      </c>
      <c r="AP294" s="155">
        <f ca="1">IF(ISNUMBER(MATCH(DATEVALUE($A294),'recurring1_based on steps'!AP$1:AP$400,0)),AP$2,)</f>
        <v>0</v>
      </c>
      <c r="AQ294" s="155">
        <f ca="1">IF(ISNUMBER(MATCH(DATEVALUE($A294),'recurring1_based on steps'!AQ$1:AQ$400,0)),AQ$2,)</f>
        <v>0</v>
      </c>
      <c r="AR294" s="155">
        <f ca="1">IF(ISNUMBER(MATCH(DATEVALUE($A294),'recurring1_based on steps'!AR$1:AR$400,0)),AR$2,)</f>
        <v>0</v>
      </c>
      <c r="AS294" s="155">
        <f ca="1">IF(ISNUMBER(MATCH(DATEVALUE($A294),'recurring1_based on steps'!AS$1:AS$400,0)),AS$2,)</f>
        <v>0</v>
      </c>
      <c r="AT294" s="155">
        <f ca="1">IF(ISNUMBER(MATCH(DATEVALUE($A294),'recurring1_based on steps'!AT$1:AT$400,0)),AT$2,)</f>
        <v>0</v>
      </c>
      <c r="AU294" s="155">
        <f ca="1">IF(ISNUMBER(MATCH(DATEVALUE($A294),'recurring1_based on steps'!AU$1:AU$400,0)),AU$2,)</f>
        <v>0</v>
      </c>
      <c r="AV294" s="155">
        <f ca="1">IF(ISNUMBER(MATCH(DATEVALUE($A294),'recurring1_based on steps'!AV$1:AV$400,0)),AV$2,)</f>
        <v>0</v>
      </c>
      <c r="AW294" s="155">
        <f ca="1">IF(ISNUMBER(MATCH(DATEVALUE($A294),'recurring1_based on steps'!AW$1:AW$400,0)),AW$2,)</f>
        <v>0</v>
      </c>
      <c r="AX294" s="155">
        <f ca="1">IF(ISNUMBER(MATCH(DATEVALUE($A294),'recurring1_based on steps'!AX$1:AX$400,0)),AX$2,)</f>
        <v>0</v>
      </c>
      <c r="AY294" s="155">
        <f ca="1">IF(ISNUMBER(MATCH(DATEVALUE($A294),'recurring1_based on steps'!AY$1:AY$400,0)),AY$2,)</f>
        <v>0</v>
      </c>
    </row>
    <row r="295" spans="1:51" x14ac:dyDescent="0.2">
      <c r="A295" s="18" t="str">
        <f t="shared" ca="1" si="4"/>
        <v>2025-11-20</v>
      </c>
      <c r="B295" s="155">
        <f ca="1">IF(ISNUMBER(MATCH(DATEVALUE($A295),'recurring1_based on steps'!B$1:B$400,0)),B$2,)</f>
        <v>0</v>
      </c>
      <c r="C295" s="155">
        <f ca="1">IF(ISNUMBER(MATCH(DATEVALUE($A295),'recurring1_based on steps'!C$1:C$400,0)),C$2,)</f>
        <v>0</v>
      </c>
      <c r="D295" s="155">
        <f ca="1">IF(ISNUMBER(MATCH(DATEVALUE($A295),'recurring1_based on steps'!D$1:D$400,0)),D$2,)</f>
        <v>0</v>
      </c>
      <c r="E295" s="155">
        <f ca="1">IF(ISNUMBER(MATCH(DATEVALUE($A295),'recurring1_based on steps'!E$1:E$400,0)),E$2,)</f>
        <v>0</v>
      </c>
      <c r="F295" s="155">
        <f ca="1">IF(ISNUMBER(MATCH(DATEVALUE($A295),'recurring1_based on steps'!F$1:F$400,0)),F$2,)</f>
        <v>0</v>
      </c>
      <c r="G295" s="155">
        <f ca="1">IF(ISNUMBER(MATCH(DATEVALUE($A295),'recurring1_based on steps'!G$1:G$400,0)),G$2,)</f>
        <v>0</v>
      </c>
      <c r="H295" s="155">
        <f ca="1">IF(ISNUMBER(MATCH(DATEVALUE($A295),'recurring1_based on steps'!H$1:H$400,0)),H$2,)</f>
        <v>0</v>
      </c>
      <c r="I295" s="155">
        <f ca="1">IF(ISNUMBER(MATCH(DATEVALUE($A295),'recurring1_based on steps'!I$1:I$400,0)),I$2,)</f>
        <v>0</v>
      </c>
      <c r="J295" s="155">
        <f ca="1">IF(ISNUMBER(MATCH(DATEVALUE($A295),'recurring1_based on steps'!J$1:J$400,0)),J$2,)</f>
        <v>0</v>
      </c>
      <c r="K295" s="155">
        <f ca="1">IF(ISNUMBER(MATCH(DATEVALUE($A295),'recurring1_based on steps'!K$1:K$400,0)),K$2,)</f>
        <v>0</v>
      </c>
      <c r="L295" s="155">
        <f ca="1">IF(ISNUMBER(MATCH(DATEVALUE($A295),'recurring1_based on steps'!L$1:L$400,0)),L$2,)</f>
        <v>0</v>
      </c>
      <c r="M295" s="155">
        <f ca="1">IF(ISNUMBER(MATCH(DATEVALUE($A295),'recurring1_based on steps'!M$1:M$400,0)),M$2,)</f>
        <v>0</v>
      </c>
      <c r="N295" s="155">
        <f ca="1">IF(ISNUMBER(MATCH(DATEVALUE($A295),'recurring1_based on steps'!N$1:N$400,0)),N$2,)</f>
        <v>0</v>
      </c>
      <c r="O295" s="155">
        <f ca="1">IF(ISNUMBER(MATCH(DATEVALUE($A295),'recurring1_based on steps'!O$1:O$400,0)),O$2,)</f>
        <v>0</v>
      </c>
      <c r="P295" s="155">
        <f ca="1">IF(ISNUMBER(MATCH(DATEVALUE($A295),'recurring1_based on steps'!P$1:P$400,0)),P$2,)</f>
        <v>0</v>
      </c>
      <c r="Q295" s="155">
        <f ca="1">IF(ISNUMBER(MATCH(DATEVALUE($A295),'recurring1_based on steps'!Q$1:Q$400,0)),Q$2,)</f>
        <v>0</v>
      </c>
      <c r="R295" s="155">
        <f ca="1">IF(ISNUMBER(MATCH(DATEVALUE($A295),'recurring1_based on steps'!R$1:R$400,0)),R$2,)</f>
        <v>0</v>
      </c>
      <c r="S295" s="155">
        <f ca="1">IF(ISNUMBER(MATCH(DATEVALUE($A295),'recurring1_based on steps'!S$1:S$400,0)),S$2,)</f>
        <v>0</v>
      </c>
      <c r="T295" s="155">
        <f ca="1">IF(ISNUMBER(MATCH(DATEVALUE($A295),'recurring1_based on steps'!T$1:T$400,0)),T$2,)</f>
        <v>0</v>
      </c>
      <c r="U295" s="155">
        <f ca="1">IF(ISNUMBER(MATCH(DATEVALUE($A295),'recurring1_based on steps'!U$1:U$400,0)),U$2,)</f>
        <v>0</v>
      </c>
      <c r="V295" s="155">
        <f ca="1">IF(ISNUMBER(MATCH(DATEVALUE($A295),'recurring1_based on steps'!V$1:V$400,0)),V$2,)</f>
        <v>0</v>
      </c>
      <c r="W295" s="155">
        <f ca="1">IF(ISNUMBER(MATCH(DATEVALUE($A295),'recurring1_based on steps'!W$1:W$400,0)),W$2,)</f>
        <v>0</v>
      </c>
      <c r="X295" s="155">
        <f ca="1">IF(ISNUMBER(MATCH(DATEVALUE($A295),'recurring1_based on steps'!X$1:X$400,0)),X$2,)</f>
        <v>0</v>
      </c>
      <c r="Y295" s="155">
        <f ca="1">IF(ISNUMBER(MATCH(DATEVALUE($A295),'recurring1_based on steps'!Y$1:Y$400,0)),Y$2,)</f>
        <v>0</v>
      </c>
      <c r="Z295" s="155">
        <f ca="1">IF(ISNUMBER(MATCH(DATEVALUE($A295),'recurring1_based on steps'!Z$1:Z$400,0)),Z$2,)</f>
        <v>0</v>
      </c>
      <c r="AA295" s="155">
        <f ca="1">IF(ISNUMBER(MATCH(DATEVALUE($A295),'recurring1_based on steps'!AA$1:AA$400,0)),AA$2,)</f>
        <v>0</v>
      </c>
      <c r="AB295" s="155">
        <f ca="1">IF(ISNUMBER(MATCH(DATEVALUE($A295),'recurring1_based on steps'!AB$1:AB$400,0)),AB$2,)</f>
        <v>0</v>
      </c>
      <c r="AC295" s="155">
        <f ca="1">IF(ISNUMBER(MATCH(DATEVALUE($A295),'recurring1_based on steps'!AC$1:AC$400,0)),AC$2,)</f>
        <v>0</v>
      </c>
      <c r="AD295" s="155">
        <f ca="1">IF(ISNUMBER(MATCH(DATEVALUE($A295),'recurring1_based on steps'!AD$1:AD$400,0)),AD$2,)</f>
        <v>0</v>
      </c>
      <c r="AE295" s="155">
        <f ca="1">IF(ISNUMBER(MATCH(DATEVALUE($A295),'recurring1_based on steps'!AE$1:AE$400,0)),AE$2,)</f>
        <v>0</v>
      </c>
      <c r="AF295" s="155">
        <f ca="1">IF(ISNUMBER(MATCH(DATEVALUE($A295),'recurring1_based on steps'!AF$1:AF$400,0)),AF$2,)</f>
        <v>0</v>
      </c>
      <c r="AG295" s="155">
        <f ca="1">IF(ISNUMBER(MATCH(DATEVALUE($A295),'recurring1_based on steps'!AG$1:AG$400,0)),AG$2,)</f>
        <v>0</v>
      </c>
      <c r="AH295" s="155">
        <f ca="1">IF(ISNUMBER(MATCH(DATEVALUE($A295),'recurring1_based on steps'!AH$1:AH$400,0)),AH$2,)</f>
        <v>0</v>
      </c>
      <c r="AI295" s="155">
        <f ca="1">IF(ISNUMBER(MATCH(DATEVALUE($A295),'recurring1_based on steps'!AI$1:AI$400,0)),AI$2,)</f>
        <v>0</v>
      </c>
      <c r="AJ295" s="155">
        <f ca="1">IF(ISNUMBER(MATCH(DATEVALUE($A295),'recurring1_based on steps'!AJ$1:AJ$400,0)),AJ$2,)</f>
        <v>0</v>
      </c>
      <c r="AK295" s="155">
        <f ca="1">IF(ISNUMBER(MATCH(DATEVALUE($A295),'recurring1_based on steps'!AK$1:AK$400,0)),AK$2,)</f>
        <v>0</v>
      </c>
      <c r="AL295" s="155">
        <f ca="1">IF(ISNUMBER(MATCH(DATEVALUE($A295),'recurring1_based on steps'!AL$1:AL$400,0)),AL$2,)</f>
        <v>0</v>
      </c>
      <c r="AM295" s="155">
        <f ca="1">IF(ISNUMBER(MATCH(DATEVALUE($A295),'recurring1_based on steps'!AM$1:AM$400,0)),AM$2,)</f>
        <v>0</v>
      </c>
      <c r="AN295" s="155">
        <f ca="1">IF(ISNUMBER(MATCH(DATEVALUE($A295),'recurring1_based on steps'!AN$1:AN$400,0)),AN$2,)</f>
        <v>0</v>
      </c>
      <c r="AO295" s="155">
        <f ca="1">IF(ISNUMBER(MATCH(DATEVALUE($A295),'recurring1_based on steps'!AO$1:AO$400,0)),AO$2,)</f>
        <v>0</v>
      </c>
      <c r="AP295" s="155">
        <f ca="1">IF(ISNUMBER(MATCH(DATEVALUE($A295),'recurring1_based on steps'!AP$1:AP$400,0)),AP$2,)</f>
        <v>0</v>
      </c>
      <c r="AQ295" s="155">
        <f ca="1">IF(ISNUMBER(MATCH(DATEVALUE($A295),'recurring1_based on steps'!AQ$1:AQ$400,0)),AQ$2,)</f>
        <v>0</v>
      </c>
      <c r="AR295" s="155">
        <f ca="1">IF(ISNUMBER(MATCH(DATEVALUE($A295),'recurring1_based on steps'!AR$1:AR$400,0)),AR$2,)</f>
        <v>0</v>
      </c>
      <c r="AS295" s="155">
        <f ca="1">IF(ISNUMBER(MATCH(DATEVALUE($A295),'recurring1_based on steps'!AS$1:AS$400,0)),AS$2,)</f>
        <v>0</v>
      </c>
      <c r="AT295" s="155">
        <f ca="1">IF(ISNUMBER(MATCH(DATEVALUE($A295),'recurring1_based on steps'!AT$1:AT$400,0)),AT$2,)</f>
        <v>0</v>
      </c>
      <c r="AU295" s="155">
        <f ca="1">IF(ISNUMBER(MATCH(DATEVALUE($A295),'recurring1_based on steps'!AU$1:AU$400,0)),AU$2,)</f>
        <v>0</v>
      </c>
      <c r="AV295" s="155">
        <f ca="1">IF(ISNUMBER(MATCH(DATEVALUE($A295),'recurring1_based on steps'!AV$1:AV$400,0)),AV$2,)</f>
        <v>0</v>
      </c>
      <c r="AW295" s="155">
        <f ca="1">IF(ISNUMBER(MATCH(DATEVALUE($A295),'recurring1_based on steps'!AW$1:AW$400,0)),AW$2,)</f>
        <v>0</v>
      </c>
      <c r="AX295" s="155">
        <f ca="1">IF(ISNUMBER(MATCH(DATEVALUE($A295),'recurring1_based on steps'!AX$1:AX$400,0)),AX$2,)</f>
        <v>0</v>
      </c>
      <c r="AY295" s="155">
        <f ca="1">IF(ISNUMBER(MATCH(DATEVALUE($A295),'recurring1_based on steps'!AY$1:AY$400,0)),AY$2,)</f>
        <v>0</v>
      </c>
    </row>
    <row r="296" spans="1:51" x14ac:dyDescent="0.2">
      <c r="A296" s="18" t="str">
        <f t="shared" ca="1" si="4"/>
        <v>2025-11-21</v>
      </c>
      <c r="B296" s="155">
        <f ca="1">IF(ISNUMBER(MATCH(DATEVALUE($A296),'recurring1_based on steps'!B$1:B$400,0)),B$2,)</f>
        <v>0</v>
      </c>
      <c r="C296" s="155">
        <f ca="1">IF(ISNUMBER(MATCH(DATEVALUE($A296),'recurring1_based on steps'!C$1:C$400,0)),C$2,)</f>
        <v>0</v>
      </c>
      <c r="D296" s="155">
        <f ca="1">IF(ISNUMBER(MATCH(DATEVALUE($A296),'recurring1_based on steps'!D$1:D$400,0)),D$2,)</f>
        <v>0</v>
      </c>
      <c r="E296" s="155">
        <f ca="1">IF(ISNUMBER(MATCH(DATEVALUE($A296),'recurring1_based on steps'!E$1:E$400,0)),E$2,)</f>
        <v>0</v>
      </c>
      <c r="F296" s="155">
        <f ca="1">IF(ISNUMBER(MATCH(DATEVALUE($A296),'recurring1_based on steps'!F$1:F$400,0)),F$2,)</f>
        <v>0</v>
      </c>
      <c r="G296" s="155">
        <f ca="1">IF(ISNUMBER(MATCH(DATEVALUE($A296),'recurring1_based on steps'!G$1:G$400,0)),G$2,)</f>
        <v>0</v>
      </c>
      <c r="H296" s="155">
        <f ca="1">IF(ISNUMBER(MATCH(DATEVALUE($A296),'recurring1_based on steps'!H$1:H$400,0)),H$2,)</f>
        <v>0</v>
      </c>
      <c r="I296" s="155">
        <f ca="1">IF(ISNUMBER(MATCH(DATEVALUE($A296),'recurring1_based on steps'!I$1:I$400,0)),I$2,)</f>
        <v>0</v>
      </c>
      <c r="J296" s="155">
        <f ca="1">IF(ISNUMBER(MATCH(DATEVALUE($A296),'recurring1_based on steps'!J$1:J$400,0)),J$2,)</f>
        <v>0</v>
      </c>
      <c r="K296" s="155">
        <f ca="1">IF(ISNUMBER(MATCH(DATEVALUE($A296),'recurring1_based on steps'!K$1:K$400,0)),K$2,)</f>
        <v>0</v>
      </c>
      <c r="L296" s="155">
        <f ca="1">IF(ISNUMBER(MATCH(DATEVALUE($A296),'recurring1_based on steps'!L$1:L$400,0)),L$2,)</f>
        <v>0</v>
      </c>
      <c r="M296" s="155">
        <f ca="1">IF(ISNUMBER(MATCH(DATEVALUE($A296),'recurring1_based on steps'!M$1:M$400,0)),M$2,)</f>
        <v>0</v>
      </c>
      <c r="N296" s="155">
        <f ca="1">IF(ISNUMBER(MATCH(DATEVALUE($A296),'recurring1_based on steps'!N$1:N$400,0)),N$2,)</f>
        <v>0</v>
      </c>
      <c r="O296" s="155">
        <f ca="1">IF(ISNUMBER(MATCH(DATEVALUE($A296),'recurring1_based on steps'!O$1:O$400,0)),O$2,)</f>
        <v>0</v>
      </c>
      <c r="P296" s="155">
        <f ca="1">IF(ISNUMBER(MATCH(DATEVALUE($A296),'recurring1_based on steps'!P$1:P$400,0)),P$2,)</f>
        <v>0</v>
      </c>
      <c r="Q296" s="155">
        <f ca="1">IF(ISNUMBER(MATCH(DATEVALUE($A296),'recurring1_based on steps'!Q$1:Q$400,0)),Q$2,)</f>
        <v>0</v>
      </c>
      <c r="R296" s="155">
        <f ca="1">IF(ISNUMBER(MATCH(DATEVALUE($A296),'recurring1_based on steps'!R$1:R$400,0)),R$2,)</f>
        <v>0</v>
      </c>
      <c r="S296" s="155">
        <f ca="1">IF(ISNUMBER(MATCH(DATEVALUE($A296),'recurring1_based on steps'!S$1:S$400,0)),S$2,)</f>
        <v>0</v>
      </c>
      <c r="T296" s="155">
        <f ca="1">IF(ISNUMBER(MATCH(DATEVALUE($A296),'recurring1_based on steps'!T$1:T$400,0)),T$2,)</f>
        <v>0</v>
      </c>
      <c r="U296" s="155">
        <f ca="1">IF(ISNUMBER(MATCH(DATEVALUE($A296),'recurring1_based on steps'!U$1:U$400,0)),U$2,)</f>
        <v>0</v>
      </c>
      <c r="V296" s="155">
        <f ca="1">IF(ISNUMBER(MATCH(DATEVALUE($A296),'recurring1_based on steps'!V$1:V$400,0)),V$2,)</f>
        <v>0</v>
      </c>
      <c r="W296" s="155">
        <f ca="1">IF(ISNUMBER(MATCH(DATEVALUE($A296),'recurring1_based on steps'!W$1:W$400,0)),W$2,)</f>
        <v>0</v>
      </c>
      <c r="X296" s="155">
        <f ca="1">IF(ISNUMBER(MATCH(DATEVALUE($A296),'recurring1_based on steps'!X$1:X$400,0)),X$2,)</f>
        <v>0</v>
      </c>
      <c r="Y296" s="155">
        <f ca="1">IF(ISNUMBER(MATCH(DATEVALUE($A296),'recurring1_based on steps'!Y$1:Y$400,0)),Y$2,)</f>
        <v>0</v>
      </c>
      <c r="Z296" s="155">
        <f ca="1">IF(ISNUMBER(MATCH(DATEVALUE($A296),'recurring1_based on steps'!Z$1:Z$400,0)),Z$2,)</f>
        <v>0</v>
      </c>
      <c r="AA296" s="155">
        <f ca="1">IF(ISNUMBER(MATCH(DATEVALUE($A296),'recurring1_based on steps'!AA$1:AA$400,0)),AA$2,)</f>
        <v>0</v>
      </c>
      <c r="AB296" s="155">
        <f ca="1">IF(ISNUMBER(MATCH(DATEVALUE($A296),'recurring1_based on steps'!AB$1:AB$400,0)),AB$2,)</f>
        <v>0</v>
      </c>
      <c r="AC296" s="155">
        <f ca="1">IF(ISNUMBER(MATCH(DATEVALUE($A296),'recurring1_based on steps'!AC$1:AC$400,0)),AC$2,)</f>
        <v>0</v>
      </c>
      <c r="AD296" s="155">
        <f ca="1">IF(ISNUMBER(MATCH(DATEVALUE($A296),'recurring1_based on steps'!AD$1:AD$400,0)),AD$2,)</f>
        <v>0</v>
      </c>
      <c r="AE296" s="155">
        <f ca="1">IF(ISNUMBER(MATCH(DATEVALUE($A296),'recurring1_based on steps'!AE$1:AE$400,0)),AE$2,)</f>
        <v>0</v>
      </c>
      <c r="AF296" s="155">
        <f ca="1">IF(ISNUMBER(MATCH(DATEVALUE($A296),'recurring1_based on steps'!AF$1:AF$400,0)),AF$2,)</f>
        <v>0</v>
      </c>
      <c r="AG296" s="155">
        <f ca="1">IF(ISNUMBER(MATCH(DATEVALUE($A296),'recurring1_based on steps'!AG$1:AG$400,0)),AG$2,)</f>
        <v>0</v>
      </c>
      <c r="AH296" s="155">
        <f ca="1">IF(ISNUMBER(MATCH(DATEVALUE($A296),'recurring1_based on steps'!AH$1:AH$400,0)),AH$2,)</f>
        <v>0</v>
      </c>
      <c r="AI296" s="155">
        <f ca="1">IF(ISNUMBER(MATCH(DATEVALUE($A296),'recurring1_based on steps'!AI$1:AI$400,0)),AI$2,)</f>
        <v>0</v>
      </c>
      <c r="AJ296" s="155">
        <f ca="1">IF(ISNUMBER(MATCH(DATEVALUE($A296),'recurring1_based on steps'!AJ$1:AJ$400,0)),AJ$2,)</f>
        <v>0</v>
      </c>
      <c r="AK296" s="155">
        <f ca="1">IF(ISNUMBER(MATCH(DATEVALUE($A296),'recurring1_based on steps'!AK$1:AK$400,0)),AK$2,)</f>
        <v>0</v>
      </c>
      <c r="AL296" s="155">
        <f ca="1">IF(ISNUMBER(MATCH(DATEVALUE($A296),'recurring1_based on steps'!AL$1:AL$400,0)),AL$2,)</f>
        <v>0</v>
      </c>
      <c r="AM296" s="155">
        <f ca="1">IF(ISNUMBER(MATCH(DATEVALUE($A296),'recurring1_based on steps'!AM$1:AM$400,0)),AM$2,)</f>
        <v>0</v>
      </c>
      <c r="AN296" s="155">
        <f ca="1">IF(ISNUMBER(MATCH(DATEVALUE($A296),'recurring1_based on steps'!AN$1:AN$400,0)),AN$2,)</f>
        <v>0</v>
      </c>
      <c r="AO296" s="155">
        <f ca="1">IF(ISNUMBER(MATCH(DATEVALUE($A296),'recurring1_based on steps'!AO$1:AO$400,0)),AO$2,)</f>
        <v>0</v>
      </c>
      <c r="AP296" s="155">
        <f ca="1">IF(ISNUMBER(MATCH(DATEVALUE($A296),'recurring1_based on steps'!AP$1:AP$400,0)),AP$2,)</f>
        <v>0</v>
      </c>
      <c r="AQ296" s="155">
        <f ca="1">IF(ISNUMBER(MATCH(DATEVALUE($A296),'recurring1_based on steps'!AQ$1:AQ$400,0)),AQ$2,)</f>
        <v>0</v>
      </c>
      <c r="AR296" s="155">
        <f ca="1">IF(ISNUMBER(MATCH(DATEVALUE($A296),'recurring1_based on steps'!AR$1:AR$400,0)),AR$2,)</f>
        <v>0</v>
      </c>
      <c r="AS296" s="155">
        <f ca="1">IF(ISNUMBER(MATCH(DATEVALUE($A296),'recurring1_based on steps'!AS$1:AS$400,0)),AS$2,)</f>
        <v>0</v>
      </c>
      <c r="AT296" s="155">
        <f ca="1">IF(ISNUMBER(MATCH(DATEVALUE($A296),'recurring1_based on steps'!AT$1:AT$400,0)),AT$2,)</f>
        <v>0</v>
      </c>
      <c r="AU296" s="155">
        <f ca="1">IF(ISNUMBER(MATCH(DATEVALUE($A296),'recurring1_based on steps'!AU$1:AU$400,0)),AU$2,)</f>
        <v>0</v>
      </c>
      <c r="AV296" s="155">
        <f ca="1">IF(ISNUMBER(MATCH(DATEVALUE($A296),'recurring1_based on steps'!AV$1:AV$400,0)),AV$2,)</f>
        <v>0</v>
      </c>
      <c r="AW296" s="155">
        <f ca="1">IF(ISNUMBER(MATCH(DATEVALUE($A296),'recurring1_based on steps'!AW$1:AW$400,0)),AW$2,)</f>
        <v>0</v>
      </c>
      <c r="AX296" s="155">
        <f ca="1">IF(ISNUMBER(MATCH(DATEVALUE($A296),'recurring1_based on steps'!AX$1:AX$400,0)),AX$2,)</f>
        <v>0</v>
      </c>
      <c r="AY296" s="155">
        <f ca="1">IF(ISNUMBER(MATCH(DATEVALUE($A296),'recurring1_based on steps'!AY$1:AY$400,0)),AY$2,)</f>
        <v>0</v>
      </c>
    </row>
    <row r="297" spans="1:51" x14ac:dyDescent="0.2">
      <c r="A297" s="18" t="str">
        <f t="shared" ca="1" si="4"/>
        <v>2025-11-22</v>
      </c>
      <c r="B297" s="155">
        <f ca="1">IF(ISNUMBER(MATCH(DATEVALUE($A297),'recurring1_based on steps'!B$1:B$400,0)),B$2,)</f>
        <v>0</v>
      </c>
      <c r="C297" s="155">
        <f ca="1">IF(ISNUMBER(MATCH(DATEVALUE($A297),'recurring1_based on steps'!C$1:C$400,0)),C$2,)</f>
        <v>0</v>
      </c>
      <c r="D297" s="155">
        <f ca="1">IF(ISNUMBER(MATCH(DATEVALUE($A297),'recurring1_based on steps'!D$1:D$400,0)),D$2,)</f>
        <v>0</v>
      </c>
      <c r="E297" s="155">
        <f ca="1">IF(ISNUMBER(MATCH(DATEVALUE($A297),'recurring1_based on steps'!E$1:E$400,0)),E$2,)</f>
        <v>0</v>
      </c>
      <c r="F297" s="155">
        <f ca="1">IF(ISNUMBER(MATCH(DATEVALUE($A297),'recurring1_based on steps'!F$1:F$400,0)),F$2,)</f>
        <v>0</v>
      </c>
      <c r="G297" s="155">
        <f ca="1">IF(ISNUMBER(MATCH(DATEVALUE($A297),'recurring1_based on steps'!G$1:G$400,0)),G$2,)</f>
        <v>0</v>
      </c>
      <c r="H297" s="155">
        <f ca="1">IF(ISNUMBER(MATCH(DATEVALUE($A297),'recurring1_based on steps'!H$1:H$400,0)),H$2,)</f>
        <v>0</v>
      </c>
      <c r="I297" s="155">
        <f ca="1">IF(ISNUMBER(MATCH(DATEVALUE($A297),'recurring1_based on steps'!I$1:I$400,0)),I$2,)</f>
        <v>0</v>
      </c>
      <c r="J297" s="155">
        <f ca="1">IF(ISNUMBER(MATCH(DATEVALUE($A297),'recurring1_based on steps'!J$1:J$400,0)),J$2,)</f>
        <v>0</v>
      </c>
      <c r="K297" s="155">
        <f ca="1">IF(ISNUMBER(MATCH(DATEVALUE($A297),'recurring1_based on steps'!K$1:K$400,0)),K$2,)</f>
        <v>0</v>
      </c>
      <c r="L297" s="155">
        <f ca="1">IF(ISNUMBER(MATCH(DATEVALUE($A297),'recurring1_based on steps'!L$1:L$400,0)),L$2,)</f>
        <v>0</v>
      </c>
      <c r="M297" s="155">
        <f ca="1">IF(ISNUMBER(MATCH(DATEVALUE($A297),'recurring1_based on steps'!M$1:M$400,0)),M$2,)</f>
        <v>0</v>
      </c>
      <c r="N297" s="155">
        <f ca="1">IF(ISNUMBER(MATCH(DATEVALUE($A297),'recurring1_based on steps'!N$1:N$400,0)),N$2,)</f>
        <v>0</v>
      </c>
      <c r="O297" s="155">
        <f ca="1">IF(ISNUMBER(MATCH(DATEVALUE($A297),'recurring1_based on steps'!O$1:O$400,0)),O$2,)</f>
        <v>0</v>
      </c>
      <c r="P297" s="155">
        <f ca="1">IF(ISNUMBER(MATCH(DATEVALUE($A297),'recurring1_based on steps'!P$1:P$400,0)),P$2,)</f>
        <v>0</v>
      </c>
      <c r="Q297" s="155">
        <f ca="1">IF(ISNUMBER(MATCH(DATEVALUE($A297),'recurring1_based on steps'!Q$1:Q$400,0)),Q$2,)</f>
        <v>100</v>
      </c>
      <c r="R297" s="155">
        <f ca="1">IF(ISNUMBER(MATCH(DATEVALUE($A297),'recurring1_based on steps'!R$1:R$400,0)),R$2,)</f>
        <v>100</v>
      </c>
      <c r="S297" s="155">
        <f ca="1">IF(ISNUMBER(MATCH(DATEVALUE($A297),'recurring1_based on steps'!S$1:S$400,0)),S$2,)</f>
        <v>0</v>
      </c>
      <c r="T297" s="155">
        <f ca="1">IF(ISNUMBER(MATCH(DATEVALUE($A297),'recurring1_based on steps'!T$1:T$400,0)),T$2,)</f>
        <v>0</v>
      </c>
      <c r="U297" s="155">
        <f ca="1">IF(ISNUMBER(MATCH(DATEVALUE($A297),'recurring1_based on steps'!U$1:U$400,0)),U$2,)</f>
        <v>0</v>
      </c>
      <c r="V297" s="155">
        <f ca="1">IF(ISNUMBER(MATCH(DATEVALUE($A297),'recurring1_based on steps'!V$1:V$400,0)),V$2,)</f>
        <v>0</v>
      </c>
      <c r="W297" s="155">
        <f ca="1">IF(ISNUMBER(MATCH(DATEVALUE($A297),'recurring1_based on steps'!W$1:W$400,0)),W$2,)</f>
        <v>0</v>
      </c>
      <c r="X297" s="155">
        <f ca="1">IF(ISNUMBER(MATCH(DATEVALUE($A297),'recurring1_based on steps'!X$1:X$400,0)),X$2,)</f>
        <v>0</v>
      </c>
      <c r="Y297" s="155">
        <f ca="1">IF(ISNUMBER(MATCH(DATEVALUE($A297),'recurring1_based on steps'!Y$1:Y$400,0)),Y$2,)</f>
        <v>0</v>
      </c>
      <c r="Z297" s="155">
        <f ca="1">IF(ISNUMBER(MATCH(DATEVALUE($A297),'recurring1_based on steps'!Z$1:Z$400,0)),Z$2,)</f>
        <v>0</v>
      </c>
      <c r="AA297" s="155">
        <f ca="1">IF(ISNUMBER(MATCH(DATEVALUE($A297),'recurring1_based on steps'!AA$1:AA$400,0)),AA$2,)</f>
        <v>0</v>
      </c>
      <c r="AB297" s="155">
        <f ca="1">IF(ISNUMBER(MATCH(DATEVALUE($A297),'recurring1_based on steps'!AB$1:AB$400,0)),AB$2,)</f>
        <v>0</v>
      </c>
      <c r="AC297" s="155">
        <f ca="1">IF(ISNUMBER(MATCH(DATEVALUE($A297),'recurring1_based on steps'!AC$1:AC$400,0)),AC$2,)</f>
        <v>0</v>
      </c>
      <c r="AD297" s="155">
        <f ca="1">IF(ISNUMBER(MATCH(DATEVALUE($A297),'recurring1_based on steps'!AD$1:AD$400,0)),AD$2,)</f>
        <v>0</v>
      </c>
      <c r="AE297" s="155">
        <f ca="1">IF(ISNUMBER(MATCH(DATEVALUE($A297),'recurring1_based on steps'!AE$1:AE$400,0)),AE$2,)</f>
        <v>0</v>
      </c>
      <c r="AF297" s="155">
        <f ca="1">IF(ISNUMBER(MATCH(DATEVALUE($A297),'recurring1_based on steps'!AF$1:AF$400,0)),AF$2,)</f>
        <v>0</v>
      </c>
      <c r="AG297" s="155">
        <f ca="1">IF(ISNUMBER(MATCH(DATEVALUE($A297),'recurring1_based on steps'!AG$1:AG$400,0)),AG$2,)</f>
        <v>0</v>
      </c>
      <c r="AH297" s="155">
        <f ca="1">IF(ISNUMBER(MATCH(DATEVALUE($A297),'recurring1_based on steps'!AH$1:AH$400,0)),AH$2,)</f>
        <v>0</v>
      </c>
      <c r="AI297" s="155">
        <f ca="1">IF(ISNUMBER(MATCH(DATEVALUE($A297),'recurring1_based on steps'!AI$1:AI$400,0)),AI$2,)</f>
        <v>0</v>
      </c>
      <c r="AJ297" s="155">
        <f ca="1">IF(ISNUMBER(MATCH(DATEVALUE($A297),'recurring1_based on steps'!AJ$1:AJ$400,0)),AJ$2,)</f>
        <v>0</v>
      </c>
      <c r="AK297" s="155">
        <f ca="1">IF(ISNUMBER(MATCH(DATEVALUE($A297),'recurring1_based on steps'!AK$1:AK$400,0)),AK$2,)</f>
        <v>0</v>
      </c>
      <c r="AL297" s="155">
        <f ca="1">IF(ISNUMBER(MATCH(DATEVALUE($A297),'recurring1_based on steps'!AL$1:AL$400,0)),AL$2,)</f>
        <v>0</v>
      </c>
      <c r="AM297" s="155">
        <f ca="1">IF(ISNUMBER(MATCH(DATEVALUE($A297),'recurring1_based on steps'!AM$1:AM$400,0)),AM$2,)</f>
        <v>0</v>
      </c>
      <c r="AN297" s="155">
        <f ca="1">IF(ISNUMBER(MATCH(DATEVALUE($A297),'recurring1_based on steps'!AN$1:AN$400,0)),AN$2,)</f>
        <v>0</v>
      </c>
      <c r="AO297" s="155">
        <f ca="1">IF(ISNUMBER(MATCH(DATEVALUE($A297),'recurring1_based on steps'!AO$1:AO$400,0)),AO$2,)</f>
        <v>0</v>
      </c>
      <c r="AP297" s="155">
        <f ca="1">IF(ISNUMBER(MATCH(DATEVALUE($A297),'recurring1_based on steps'!AP$1:AP$400,0)),AP$2,)</f>
        <v>0</v>
      </c>
      <c r="AQ297" s="155">
        <f ca="1">IF(ISNUMBER(MATCH(DATEVALUE($A297),'recurring1_based on steps'!AQ$1:AQ$400,0)),AQ$2,)</f>
        <v>0</v>
      </c>
      <c r="AR297" s="155">
        <f ca="1">IF(ISNUMBER(MATCH(DATEVALUE($A297),'recurring1_based on steps'!AR$1:AR$400,0)),AR$2,)</f>
        <v>0</v>
      </c>
      <c r="AS297" s="155">
        <f ca="1">IF(ISNUMBER(MATCH(DATEVALUE($A297),'recurring1_based on steps'!AS$1:AS$400,0)),AS$2,)</f>
        <v>0</v>
      </c>
      <c r="AT297" s="155">
        <f ca="1">IF(ISNUMBER(MATCH(DATEVALUE($A297),'recurring1_based on steps'!AT$1:AT$400,0)),AT$2,)</f>
        <v>0</v>
      </c>
      <c r="AU297" s="155">
        <f ca="1">IF(ISNUMBER(MATCH(DATEVALUE($A297),'recurring1_based on steps'!AU$1:AU$400,0)),AU$2,)</f>
        <v>0</v>
      </c>
      <c r="AV297" s="155">
        <f ca="1">IF(ISNUMBER(MATCH(DATEVALUE($A297),'recurring1_based on steps'!AV$1:AV$400,0)),AV$2,)</f>
        <v>0</v>
      </c>
      <c r="AW297" s="155">
        <f ca="1">IF(ISNUMBER(MATCH(DATEVALUE($A297),'recurring1_based on steps'!AW$1:AW$400,0)),AW$2,)</f>
        <v>0</v>
      </c>
      <c r="AX297" s="155">
        <f ca="1">IF(ISNUMBER(MATCH(DATEVALUE($A297),'recurring1_based on steps'!AX$1:AX$400,0)),AX$2,)</f>
        <v>0</v>
      </c>
      <c r="AY297" s="155">
        <f ca="1">IF(ISNUMBER(MATCH(DATEVALUE($A297),'recurring1_based on steps'!AY$1:AY$400,0)),AY$2,)</f>
        <v>0</v>
      </c>
    </row>
    <row r="298" spans="1:51" x14ac:dyDescent="0.2">
      <c r="A298" s="18" t="str">
        <f t="shared" ca="1" si="4"/>
        <v>2025-11-23</v>
      </c>
      <c r="B298" s="155">
        <f ca="1">IF(ISNUMBER(MATCH(DATEVALUE($A298),'recurring1_based on steps'!B$1:B$400,0)),B$2,)</f>
        <v>0</v>
      </c>
      <c r="C298" s="155">
        <f ca="1">IF(ISNUMBER(MATCH(DATEVALUE($A298),'recurring1_based on steps'!C$1:C$400,0)),C$2,)</f>
        <v>0</v>
      </c>
      <c r="D298" s="155">
        <f ca="1">IF(ISNUMBER(MATCH(DATEVALUE($A298),'recurring1_based on steps'!D$1:D$400,0)),D$2,)</f>
        <v>0</v>
      </c>
      <c r="E298" s="155">
        <f ca="1">IF(ISNUMBER(MATCH(DATEVALUE($A298),'recurring1_based on steps'!E$1:E$400,0)),E$2,)</f>
        <v>0</v>
      </c>
      <c r="F298" s="155">
        <f ca="1">IF(ISNUMBER(MATCH(DATEVALUE($A298),'recurring1_based on steps'!F$1:F$400,0)),F$2,)</f>
        <v>0</v>
      </c>
      <c r="G298" s="155">
        <f ca="1">IF(ISNUMBER(MATCH(DATEVALUE($A298),'recurring1_based on steps'!G$1:G$400,0)),G$2,)</f>
        <v>0</v>
      </c>
      <c r="H298" s="155">
        <f ca="1">IF(ISNUMBER(MATCH(DATEVALUE($A298),'recurring1_based on steps'!H$1:H$400,0)),H$2,)</f>
        <v>0</v>
      </c>
      <c r="I298" s="155">
        <f ca="1">IF(ISNUMBER(MATCH(DATEVALUE($A298),'recurring1_based on steps'!I$1:I$400,0)),I$2,)</f>
        <v>0</v>
      </c>
      <c r="J298" s="155">
        <f ca="1">IF(ISNUMBER(MATCH(DATEVALUE($A298),'recurring1_based on steps'!J$1:J$400,0)),J$2,)</f>
        <v>0</v>
      </c>
      <c r="K298" s="155">
        <f ca="1">IF(ISNUMBER(MATCH(DATEVALUE($A298),'recurring1_based on steps'!K$1:K$400,0)),K$2,)</f>
        <v>50</v>
      </c>
      <c r="L298" s="155">
        <f ca="1">IF(ISNUMBER(MATCH(DATEVALUE($A298),'recurring1_based on steps'!L$1:L$400,0)),L$2,)</f>
        <v>0</v>
      </c>
      <c r="M298" s="155">
        <f ca="1">IF(ISNUMBER(MATCH(DATEVALUE($A298),'recurring1_based on steps'!M$1:M$400,0)),M$2,)</f>
        <v>0</v>
      </c>
      <c r="N298" s="155">
        <f ca="1">IF(ISNUMBER(MATCH(DATEVALUE($A298),'recurring1_based on steps'!N$1:N$400,0)),N$2,)</f>
        <v>0</v>
      </c>
      <c r="O298" s="155">
        <f ca="1">IF(ISNUMBER(MATCH(DATEVALUE($A298),'recurring1_based on steps'!O$1:O$400,0)),O$2,)</f>
        <v>0</v>
      </c>
      <c r="P298" s="155">
        <f ca="1">IF(ISNUMBER(MATCH(DATEVALUE($A298),'recurring1_based on steps'!P$1:P$400,0)),P$2,)</f>
        <v>0</v>
      </c>
      <c r="Q298" s="155">
        <f ca="1">IF(ISNUMBER(MATCH(DATEVALUE($A298),'recurring1_based on steps'!Q$1:Q$400,0)),Q$2,)</f>
        <v>0</v>
      </c>
      <c r="R298" s="155">
        <f ca="1">IF(ISNUMBER(MATCH(DATEVALUE($A298),'recurring1_based on steps'!R$1:R$400,0)),R$2,)</f>
        <v>0</v>
      </c>
      <c r="S298" s="155">
        <f ca="1">IF(ISNUMBER(MATCH(DATEVALUE($A298),'recurring1_based on steps'!S$1:S$400,0)),S$2,)</f>
        <v>100</v>
      </c>
      <c r="T298" s="155">
        <f ca="1">IF(ISNUMBER(MATCH(DATEVALUE($A298),'recurring1_based on steps'!T$1:T$400,0)),T$2,)</f>
        <v>0</v>
      </c>
      <c r="U298" s="155">
        <f ca="1">IF(ISNUMBER(MATCH(DATEVALUE($A298),'recurring1_based on steps'!U$1:U$400,0)),U$2,)</f>
        <v>0</v>
      </c>
      <c r="V298" s="155">
        <f ca="1">IF(ISNUMBER(MATCH(DATEVALUE($A298),'recurring1_based on steps'!V$1:V$400,0)),V$2,)</f>
        <v>0</v>
      </c>
      <c r="W298" s="155">
        <f ca="1">IF(ISNUMBER(MATCH(DATEVALUE($A298),'recurring1_based on steps'!W$1:W$400,0)),W$2,)</f>
        <v>0</v>
      </c>
      <c r="X298" s="155">
        <f ca="1">IF(ISNUMBER(MATCH(DATEVALUE($A298),'recurring1_based on steps'!X$1:X$400,0)),X$2,)</f>
        <v>0</v>
      </c>
      <c r="Y298" s="155">
        <f ca="1">IF(ISNUMBER(MATCH(DATEVALUE($A298),'recurring1_based on steps'!Y$1:Y$400,0)),Y$2,)</f>
        <v>0</v>
      </c>
      <c r="Z298" s="155">
        <f ca="1">IF(ISNUMBER(MATCH(DATEVALUE($A298),'recurring1_based on steps'!Z$1:Z$400,0)),Z$2,)</f>
        <v>0</v>
      </c>
      <c r="AA298" s="155">
        <f ca="1">IF(ISNUMBER(MATCH(DATEVALUE($A298),'recurring1_based on steps'!AA$1:AA$400,0)),AA$2,)</f>
        <v>0</v>
      </c>
      <c r="AB298" s="155">
        <f ca="1">IF(ISNUMBER(MATCH(DATEVALUE($A298),'recurring1_based on steps'!AB$1:AB$400,0)),AB$2,)</f>
        <v>0</v>
      </c>
      <c r="AC298" s="155">
        <f ca="1">IF(ISNUMBER(MATCH(DATEVALUE($A298),'recurring1_based on steps'!AC$1:AC$400,0)),AC$2,)</f>
        <v>0</v>
      </c>
      <c r="AD298" s="155">
        <f ca="1">IF(ISNUMBER(MATCH(DATEVALUE($A298),'recurring1_based on steps'!AD$1:AD$400,0)),AD$2,)</f>
        <v>0</v>
      </c>
      <c r="AE298" s="155">
        <f ca="1">IF(ISNUMBER(MATCH(DATEVALUE($A298),'recurring1_based on steps'!AE$1:AE$400,0)),AE$2,)</f>
        <v>0</v>
      </c>
      <c r="AF298" s="155">
        <f ca="1">IF(ISNUMBER(MATCH(DATEVALUE($A298),'recurring1_based on steps'!AF$1:AF$400,0)),AF$2,)</f>
        <v>0</v>
      </c>
      <c r="AG298" s="155">
        <f ca="1">IF(ISNUMBER(MATCH(DATEVALUE($A298),'recurring1_based on steps'!AG$1:AG$400,0)),AG$2,)</f>
        <v>0</v>
      </c>
      <c r="AH298" s="155">
        <f ca="1">IF(ISNUMBER(MATCH(DATEVALUE($A298),'recurring1_based on steps'!AH$1:AH$400,0)),AH$2,)</f>
        <v>0</v>
      </c>
      <c r="AI298" s="155">
        <f ca="1">IF(ISNUMBER(MATCH(DATEVALUE($A298),'recurring1_based on steps'!AI$1:AI$400,0)),AI$2,)</f>
        <v>0</v>
      </c>
      <c r="AJ298" s="155">
        <f ca="1">IF(ISNUMBER(MATCH(DATEVALUE($A298),'recurring1_based on steps'!AJ$1:AJ$400,0)),AJ$2,)</f>
        <v>0</v>
      </c>
      <c r="AK298" s="155">
        <f ca="1">IF(ISNUMBER(MATCH(DATEVALUE($A298),'recurring1_based on steps'!AK$1:AK$400,0)),AK$2,)</f>
        <v>0</v>
      </c>
      <c r="AL298" s="155">
        <f ca="1">IF(ISNUMBER(MATCH(DATEVALUE($A298),'recurring1_based on steps'!AL$1:AL$400,0)),AL$2,)</f>
        <v>0</v>
      </c>
      <c r="AM298" s="155">
        <f ca="1">IF(ISNUMBER(MATCH(DATEVALUE($A298),'recurring1_based on steps'!AM$1:AM$400,0)),AM$2,)</f>
        <v>0</v>
      </c>
      <c r="AN298" s="155">
        <f ca="1">IF(ISNUMBER(MATCH(DATEVALUE($A298),'recurring1_based on steps'!AN$1:AN$400,0)),AN$2,)</f>
        <v>0</v>
      </c>
      <c r="AO298" s="155">
        <f ca="1">IF(ISNUMBER(MATCH(DATEVALUE($A298),'recurring1_based on steps'!AO$1:AO$400,0)),AO$2,)</f>
        <v>0</v>
      </c>
      <c r="AP298" s="155">
        <f ca="1">IF(ISNUMBER(MATCH(DATEVALUE($A298),'recurring1_based on steps'!AP$1:AP$400,0)),AP$2,)</f>
        <v>0</v>
      </c>
      <c r="AQ298" s="155">
        <f ca="1">IF(ISNUMBER(MATCH(DATEVALUE($A298),'recurring1_based on steps'!AQ$1:AQ$400,0)),AQ$2,)</f>
        <v>0</v>
      </c>
      <c r="AR298" s="155">
        <f ca="1">IF(ISNUMBER(MATCH(DATEVALUE($A298),'recurring1_based on steps'!AR$1:AR$400,0)),AR$2,)</f>
        <v>0</v>
      </c>
      <c r="AS298" s="155">
        <f ca="1">IF(ISNUMBER(MATCH(DATEVALUE($A298),'recurring1_based on steps'!AS$1:AS$400,0)),AS$2,)</f>
        <v>0</v>
      </c>
      <c r="AT298" s="155">
        <f ca="1">IF(ISNUMBER(MATCH(DATEVALUE($A298),'recurring1_based on steps'!AT$1:AT$400,0)),AT$2,)</f>
        <v>0</v>
      </c>
      <c r="AU298" s="155">
        <f ca="1">IF(ISNUMBER(MATCH(DATEVALUE($A298),'recurring1_based on steps'!AU$1:AU$400,0)),AU$2,)</f>
        <v>0</v>
      </c>
      <c r="AV298" s="155">
        <f ca="1">IF(ISNUMBER(MATCH(DATEVALUE($A298),'recurring1_based on steps'!AV$1:AV$400,0)),AV$2,)</f>
        <v>0</v>
      </c>
      <c r="AW298" s="155">
        <f ca="1">IF(ISNUMBER(MATCH(DATEVALUE($A298),'recurring1_based on steps'!AW$1:AW$400,0)),AW$2,)</f>
        <v>0</v>
      </c>
      <c r="AX298" s="155">
        <f ca="1">IF(ISNUMBER(MATCH(DATEVALUE($A298),'recurring1_based on steps'!AX$1:AX$400,0)),AX$2,)</f>
        <v>0</v>
      </c>
      <c r="AY298" s="155">
        <f ca="1">IF(ISNUMBER(MATCH(DATEVALUE($A298),'recurring1_based on steps'!AY$1:AY$400,0)),AY$2,)</f>
        <v>0</v>
      </c>
    </row>
    <row r="299" spans="1:51" x14ac:dyDescent="0.2">
      <c r="A299" s="18" t="str">
        <f t="shared" ca="1" si="4"/>
        <v>2025-11-24</v>
      </c>
      <c r="B299" s="155">
        <f ca="1">IF(ISNUMBER(MATCH(DATEVALUE($A299),'recurring1_based on steps'!B$1:B$400,0)),B$2,)</f>
        <v>0</v>
      </c>
      <c r="C299" s="155">
        <f ca="1">IF(ISNUMBER(MATCH(DATEVALUE($A299),'recurring1_based on steps'!C$1:C$400,0)),C$2,)</f>
        <v>0</v>
      </c>
      <c r="D299" s="155">
        <f ca="1">IF(ISNUMBER(MATCH(DATEVALUE($A299),'recurring1_based on steps'!D$1:D$400,0)),D$2,)</f>
        <v>0</v>
      </c>
      <c r="E299" s="155">
        <f ca="1">IF(ISNUMBER(MATCH(DATEVALUE($A299),'recurring1_based on steps'!E$1:E$400,0)),E$2,)</f>
        <v>0</v>
      </c>
      <c r="F299" s="155">
        <f ca="1">IF(ISNUMBER(MATCH(DATEVALUE($A299),'recurring1_based on steps'!F$1:F$400,0)),F$2,)</f>
        <v>0</v>
      </c>
      <c r="G299" s="155">
        <f ca="1">IF(ISNUMBER(MATCH(DATEVALUE($A299),'recurring1_based on steps'!G$1:G$400,0)),G$2,)</f>
        <v>0</v>
      </c>
      <c r="H299" s="155">
        <f ca="1">IF(ISNUMBER(MATCH(DATEVALUE($A299),'recurring1_based on steps'!H$1:H$400,0)),H$2,)</f>
        <v>0</v>
      </c>
      <c r="I299" s="155">
        <f ca="1">IF(ISNUMBER(MATCH(DATEVALUE($A299),'recurring1_based on steps'!I$1:I$400,0)),I$2,)</f>
        <v>0</v>
      </c>
      <c r="J299" s="155">
        <f ca="1">IF(ISNUMBER(MATCH(DATEVALUE($A299),'recurring1_based on steps'!J$1:J$400,0)),J$2,)</f>
        <v>0</v>
      </c>
      <c r="K299" s="155">
        <f ca="1">IF(ISNUMBER(MATCH(DATEVALUE($A299),'recurring1_based on steps'!K$1:K$400,0)),K$2,)</f>
        <v>0</v>
      </c>
      <c r="L299" s="155">
        <f ca="1">IF(ISNUMBER(MATCH(DATEVALUE($A299),'recurring1_based on steps'!L$1:L$400,0)),L$2,)</f>
        <v>0</v>
      </c>
      <c r="M299" s="155">
        <f ca="1">IF(ISNUMBER(MATCH(DATEVALUE($A299),'recurring1_based on steps'!M$1:M$400,0)),M$2,)</f>
        <v>0</v>
      </c>
      <c r="N299" s="155">
        <f ca="1">IF(ISNUMBER(MATCH(DATEVALUE($A299),'recurring1_based on steps'!N$1:N$400,0)),N$2,)</f>
        <v>0</v>
      </c>
      <c r="O299" s="155">
        <f ca="1">IF(ISNUMBER(MATCH(DATEVALUE($A299),'recurring1_based on steps'!O$1:O$400,0)),O$2,)</f>
        <v>0</v>
      </c>
      <c r="P299" s="155">
        <f ca="1">IF(ISNUMBER(MATCH(DATEVALUE($A299),'recurring1_based on steps'!P$1:P$400,0)),P$2,)</f>
        <v>0</v>
      </c>
      <c r="Q299" s="155">
        <f ca="1">IF(ISNUMBER(MATCH(DATEVALUE($A299),'recurring1_based on steps'!Q$1:Q$400,0)),Q$2,)</f>
        <v>0</v>
      </c>
      <c r="R299" s="155">
        <f ca="1">IF(ISNUMBER(MATCH(DATEVALUE($A299),'recurring1_based on steps'!R$1:R$400,0)),R$2,)</f>
        <v>0</v>
      </c>
      <c r="S299" s="155">
        <f ca="1">IF(ISNUMBER(MATCH(DATEVALUE($A299),'recurring1_based on steps'!S$1:S$400,0)),S$2,)</f>
        <v>0</v>
      </c>
      <c r="T299" s="155">
        <f ca="1">IF(ISNUMBER(MATCH(DATEVALUE($A299),'recurring1_based on steps'!T$1:T$400,0)),T$2,)</f>
        <v>50</v>
      </c>
      <c r="U299" s="155">
        <f ca="1">IF(ISNUMBER(MATCH(DATEVALUE($A299),'recurring1_based on steps'!U$1:U$400,0)),U$2,)</f>
        <v>0</v>
      </c>
      <c r="V299" s="155">
        <f ca="1">IF(ISNUMBER(MATCH(DATEVALUE($A299),'recurring1_based on steps'!V$1:V$400,0)),V$2,)</f>
        <v>0</v>
      </c>
      <c r="W299" s="155">
        <f ca="1">IF(ISNUMBER(MATCH(DATEVALUE($A299),'recurring1_based on steps'!W$1:W$400,0)),W$2,)</f>
        <v>0</v>
      </c>
      <c r="X299" s="155">
        <f ca="1">IF(ISNUMBER(MATCH(DATEVALUE($A299),'recurring1_based on steps'!X$1:X$400,0)),X$2,)</f>
        <v>0</v>
      </c>
      <c r="Y299" s="155">
        <f ca="1">IF(ISNUMBER(MATCH(DATEVALUE($A299),'recurring1_based on steps'!Y$1:Y$400,0)),Y$2,)</f>
        <v>0</v>
      </c>
      <c r="Z299" s="155">
        <f ca="1">IF(ISNUMBER(MATCH(DATEVALUE($A299),'recurring1_based on steps'!Z$1:Z$400,0)),Z$2,)</f>
        <v>0</v>
      </c>
      <c r="AA299" s="155">
        <f ca="1">IF(ISNUMBER(MATCH(DATEVALUE($A299),'recurring1_based on steps'!AA$1:AA$400,0)),AA$2,)</f>
        <v>0</v>
      </c>
      <c r="AB299" s="155">
        <f ca="1">IF(ISNUMBER(MATCH(DATEVALUE($A299),'recurring1_based on steps'!AB$1:AB$400,0)),AB$2,)</f>
        <v>0</v>
      </c>
      <c r="AC299" s="155">
        <f ca="1">IF(ISNUMBER(MATCH(DATEVALUE($A299),'recurring1_based on steps'!AC$1:AC$400,0)),AC$2,)</f>
        <v>0</v>
      </c>
      <c r="AD299" s="155">
        <f ca="1">IF(ISNUMBER(MATCH(DATEVALUE($A299),'recurring1_based on steps'!AD$1:AD$400,0)),AD$2,)</f>
        <v>0</v>
      </c>
      <c r="AE299" s="155">
        <f ca="1">IF(ISNUMBER(MATCH(DATEVALUE($A299),'recurring1_based on steps'!AE$1:AE$400,0)),AE$2,)</f>
        <v>0</v>
      </c>
      <c r="AF299" s="155">
        <f ca="1">IF(ISNUMBER(MATCH(DATEVALUE($A299),'recurring1_based on steps'!AF$1:AF$400,0)),AF$2,)</f>
        <v>0</v>
      </c>
      <c r="AG299" s="155">
        <f ca="1">IF(ISNUMBER(MATCH(DATEVALUE($A299),'recurring1_based on steps'!AG$1:AG$400,0)),AG$2,)</f>
        <v>0</v>
      </c>
      <c r="AH299" s="155">
        <f ca="1">IF(ISNUMBER(MATCH(DATEVALUE($A299),'recurring1_based on steps'!AH$1:AH$400,0)),AH$2,)</f>
        <v>0</v>
      </c>
      <c r="AI299" s="155">
        <f ca="1">IF(ISNUMBER(MATCH(DATEVALUE($A299),'recurring1_based on steps'!AI$1:AI$400,0)),AI$2,)</f>
        <v>0</v>
      </c>
      <c r="AJ299" s="155">
        <f ca="1">IF(ISNUMBER(MATCH(DATEVALUE($A299),'recurring1_based on steps'!AJ$1:AJ$400,0)),AJ$2,)</f>
        <v>0</v>
      </c>
      <c r="AK299" s="155">
        <f ca="1">IF(ISNUMBER(MATCH(DATEVALUE($A299),'recurring1_based on steps'!AK$1:AK$400,0)),AK$2,)</f>
        <v>0</v>
      </c>
      <c r="AL299" s="155">
        <f ca="1">IF(ISNUMBER(MATCH(DATEVALUE($A299),'recurring1_based on steps'!AL$1:AL$400,0)),AL$2,)</f>
        <v>0</v>
      </c>
      <c r="AM299" s="155">
        <f ca="1">IF(ISNUMBER(MATCH(DATEVALUE($A299),'recurring1_based on steps'!AM$1:AM$400,0)),AM$2,)</f>
        <v>0</v>
      </c>
      <c r="AN299" s="155">
        <f ca="1">IF(ISNUMBER(MATCH(DATEVALUE($A299),'recurring1_based on steps'!AN$1:AN$400,0)),AN$2,)</f>
        <v>0</v>
      </c>
      <c r="AO299" s="155">
        <f ca="1">IF(ISNUMBER(MATCH(DATEVALUE($A299),'recurring1_based on steps'!AO$1:AO$400,0)),AO$2,)</f>
        <v>0</v>
      </c>
      <c r="AP299" s="155">
        <f ca="1">IF(ISNUMBER(MATCH(DATEVALUE($A299),'recurring1_based on steps'!AP$1:AP$400,0)),AP$2,)</f>
        <v>0</v>
      </c>
      <c r="AQ299" s="155">
        <f ca="1">IF(ISNUMBER(MATCH(DATEVALUE($A299),'recurring1_based on steps'!AQ$1:AQ$400,0)),AQ$2,)</f>
        <v>0</v>
      </c>
      <c r="AR299" s="155">
        <f ca="1">IF(ISNUMBER(MATCH(DATEVALUE($A299),'recurring1_based on steps'!AR$1:AR$400,0)),AR$2,)</f>
        <v>0</v>
      </c>
      <c r="AS299" s="155">
        <f ca="1">IF(ISNUMBER(MATCH(DATEVALUE($A299),'recurring1_based on steps'!AS$1:AS$400,0)),AS$2,)</f>
        <v>0</v>
      </c>
      <c r="AT299" s="155">
        <f ca="1">IF(ISNUMBER(MATCH(DATEVALUE($A299),'recurring1_based on steps'!AT$1:AT$400,0)),AT$2,)</f>
        <v>0</v>
      </c>
      <c r="AU299" s="155">
        <f ca="1">IF(ISNUMBER(MATCH(DATEVALUE($A299),'recurring1_based on steps'!AU$1:AU$400,0)),AU$2,)</f>
        <v>0</v>
      </c>
      <c r="AV299" s="155">
        <f ca="1">IF(ISNUMBER(MATCH(DATEVALUE($A299),'recurring1_based on steps'!AV$1:AV$400,0)),AV$2,)</f>
        <v>0</v>
      </c>
      <c r="AW299" s="155">
        <f ca="1">IF(ISNUMBER(MATCH(DATEVALUE($A299),'recurring1_based on steps'!AW$1:AW$400,0)),AW$2,)</f>
        <v>0</v>
      </c>
      <c r="AX299" s="155">
        <f ca="1">IF(ISNUMBER(MATCH(DATEVALUE($A299),'recurring1_based on steps'!AX$1:AX$400,0)),AX$2,)</f>
        <v>0</v>
      </c>
      <c r="AY299" s="155">
        <f ca="1">IF(ISNUMBER(MATCH(DATEVALUE($A299),'recurring1_based on steps'!AY$1:AY$400,0)),AY$2,)</f>
        <v>0</v>
      </c>
    </row>
    <row r="300" spans="1:51" x14ac:dyDescent="0.2">
      <c r="A300" s="18" t="str">
        <f t="shared" ca="1" si="4"/>
        <v>2025-11-25</v>
      </c>
      <c r="B300" s="155">
        <f ca="1">IF(ISNUMBER(MATCH(DATEVALUE($A300),'recurring1_based on steps'!B$1:B$400,0)),B$2,)</f>
        <v>0</v>
      </c>
      <c r="C300" s="155">
        <f ca="1">IF(ISNUMBER(MATCH(DATEVALUE($A300),'recurring1_based on steps'!C$1:C$400,0)),C$2,)</f>
        <v>0</v>
      </c>
      <c r="D300" s="155">
        <f ca="1">IF(ISNUMBER(MATCH(DATEVALUE($A300),'recurring1_based on steps'!D$1:D$400,0)),D$2,)</f>
        <v>0</v>
      </c>
      <c r="E300" s="155">
        <f ca="1">IF(ISNUMBER(MATCH(DATEVALUE($A300),'recurring1_based on steps'!E$1:E$400,0)),E$2,)</f>
        <v>0</v>
      </c>
      <c r="F300" s="155">
        <f ca="1">IF(ISNUMBER(MATCH(DATEVALUE($A300),'recurring1_based on steps'!F$1:F$400,0)),F$2,)</f>
        <v>0</v>
      </c>
      <c r="G300" s="155">
        <f ca="1">IF(ISNUMBER(MATCH(DATEVALUE($A300),'recurring1_based on steps'!G$1:G$400,0)),G$2,)</f>
        <v>0</v>
      </c>
      <c r="H300" s="155">
        <f ca="1">IF(ISNUMBER(MATCH(DATEVALUE($A300),'recurring1_based on steps'!H$1:H$400,0)),H$2,)</f>
        <v>0</v>
      </c>
      <c r="I300" s="155">
        <f ca="1">IF(ISNUMBER(MATCH(DATEVALUE($A300),'recurring1_based on steps'!I$1:I$400,0)),I$2,)</f>
        <v>0</v>
      </c>
      <c r="J300" s="155">
        <f ca="1">IF(ISNUMBER(MATCH(DATEVALUE($A300),'recurring1_based on steps'!J$1:J$400,0)),J$2,)</f>
        <v>0</v>
      </c>
      <c r="K300" s="155">
        <f ca="1">IF(ISNUMBER(MATCH(DATEVALUE($A300),'recurring1_based on steps'!K$1:K$400,0)),K$2,)</f>
        <v>0</v>
      </c>
      <c r="L300" s="155">
        <f ca="1">IF(ISNUMBER(MATCH(DATEVALUE($A300),'recurring1_based on steps'!L$1:L$400,0)),L$2,)</f>
        <v>0</v>
      </c>
      <c r="M300" s="155">
        <f ca="1">IF(ISNUMBER(MATCH(DATEVALUE($A300),'recurring1_based on steps'!M$1:M$400,0)),M$2,)</f>
        <v>0</v>
      </c>
      <c r="N300" s="155">
        <f ca="1">IF(ISNUMBER(MATCH(DATEVALUE($A300),'recurring1_based on steps'!N$1:N$400,0)),N$2,)</f>
        <v>0</v>
      </c>
      <c r="O300" s="155">
        <f ca="1">IF(ISNUMBER(MATCH(DATEVALUE($A300),'recurring1_based on steps'!O$1:O$400,0)),O$2,)</f>
        <v>0</v>
      </c>
      <c r="P300" s="155">
        <f ca="1">IF(ISNUMBER(MATCH(DATEVALUE($A300),'recurring1_based on steps'!P$1:P$400,0)),P$2,)</f>
        <v>0</v>
      </c>
      <c r="Q300" s="155">
        <f ca="1">IF(ISNUMBER(MATCH(DATEVALUE($A300),'recurring1_based on steps'!Q$1:Q$400,0)),Q$2,)</f>
        <v>0</v>
      </c>
      <c r="R300" s="155">
        <f ca="1">IF(ISNUMBER(MATCH(DATEVALUE($A300),'recurring1_based on steps'!R$1:R$400,0)),R$2,)</f>
        <v>0</v>
      </c>
      <c r="S300" s="155">
        <f ca="1">IF(ISNUMBER(MATCH(DATEVALUE($A300),'recurring1_based on steps'!S$1:S$400,0)),S$2,)</f>
        <v>0</v>
      </c>
      <c r="T300" s="155">
        <f ca="1">IF(ISNUMBER(MATCH(DATEVALUE($A300),'recurring1_based on steps'!T$1:T$400,0)),T$2,)</f>
        <v>0</v>
      </c>
      <c r="U300" s="155">
        <f ca="1">IF(ISNUMBER(MATCH(DATEVALUE($A300),'recurring1_based on steps'!U$1:U$400,0)),U$2,)</f>
        <v>0</v>
      </c>
      <c r="V300" s="155">
        <f ca="1">IF(ISNUMBER(MATCH(DATEVALUE($A300),'recurring1_based on steps'!V$1:V$400,0)),V$2,)</f>
        <v>0</v>
      </c>
      <c r="W300" s="155">
        <f ca="1">IF(ISNUMBER(MATCH(DATEVALUE($A300),'recurring1_based on steps'!W$1:W$400,0)),W$2,)</f>
        <v>0</v>
      </c>
      <c r="X300" s="155">
        <f ca="1">IF(ISNUMBER(MATCH(DATEVALUE($A300),'recurring1_based on steps'!X$1:X$400,0)),X$2,)</f>
        <v>0</v>
      </c>
      <c r="Y300" s="155">
        <f ca="1">IF(ISNUMBER(MATCH(DATEVALUE($A300),'recurring1_based on steps'!Y$1:Y$400,0)),Y$2,)</f>
        <v>0</v>
      </c>
      <c r="Z300" s="155">
        <f ca="1">IF(ISNUMBER(MATCH(DATEVALUE($A300),'recurring1_based on steps'!Z$1:Z$400,0)),Z$2,)</f>
        <v>0</v>
      </c>
      <c r="AA300" s="155">
        <f ca="1">IF(ISNUMBER(MATCH(DATEVALUE($A300),'recurring1_based on steps'!AA$1:AA$400,0)),AA$2,)</f>
        <v>0</v>
      </c>
      <c r="AB300" s="155">
        <f ca="1">IF(ISNUMBER(MATCH(DATEVALUE($A300),'recurring1_based on steps'!AB$1:AB$400,0)),AB$2,)</f>
        <v>0</v>
      </c>
      <c r="AC300" s="155">
        <f ca="1">IF(ISNUMBER(MATCH(DATEVALUE($A300),'recurring1_based on steps'!AC$1:AC$400,0)),AC$2,)</f>
        <v>0</v>
      </c>
      <c r="AD300" s="155">
        <f ca="1">IF(ISNUMBER(MATCH(DATEVALUE($A300),'recurring1_based on steps'!AD$1:AD$400,0)),AD$2,)</f>
        <v>0</v>
      </c>
      <c r="AE300" s="155">
        <f ca="1">IF(ISNUMBER(MATCH(DATEVALUE($A300),'recurring1_based on steps'!AE$1:AE$400,0)),AE$2,)</f>
        <v>0</v>
      </c>
      <c r="AF300" s="155">
        <f ca="1">IF(ISNUMBER(MATCH(DATEVALUE($A300),'recurring1_based on steps'!AF$1:AF$400,0)),AF$2,)</f>
        <v>0</v>
      </c>
      <c r="AG300" s="155">
        <f ca="1">IF(ISNUMBER(MATCH(DATEVALUE($A300),'recurring1_based on steps'!AG$1:AG$400,0)),AG$2,)</f>
        <v>0</v>
      </c>
      <c r="AH300" s="155">
        <f ca="1">IF(ISNUMBER(MATCH(DATEVALUE($A300),'recurring1_based on steps'!AH$1:AH$400,0)),AH$2,)</f>
        <v>0</v>
      </c>
      <c r="AI300" s="155">
        <f ca="1">IF(ISNUMBER(MATCH(DATEVALUE($A300),'recurring1_based on steps'!AI$1:AI$400,0)),AI$2,)</f>
        <v>0</v>
      </c>
      <c r="AJ300" s="155">
        <f ca="1">IF(ISNUMBER(MATCH(DATEVALUE($A300),'recurring1_based on steps'!AJ$1:AJ$400,0)),AJ$2,)</f>
        <v>0</v>
      </c>
      <c r="AK300" s="155">
        <f ca="1">IF(ISNUMBER(MATCH(DATEVALUE($A300),'recurring1_based on steps'!AK$1:AK$400,0)),AK$2,)</f>
        <v>0</v>
      </c>
      <c r="AL300" s="155">
        <f ca="1">IF(ISNUMBER(MATCH(DATEVALUE($A300),'recurring1_based on steps'!AL$1:AL$400,0)),AL$2,)</f>
        <v>0</v>
      </c>
      <c r="AM300" s="155">
        <f ca="1">IF(ISNUMBER(MATCH(DATEVALUE($A300),'recurring1_based on steps'!AM$1:AM$400,0)),AM$2,)</f>
        <v>0</v>
      </c>
      <c r="AN300" s="155">
        <f ca="1">IF(ISNUMBER(MATCH(DATEVALUE($A300),'recurring1_based on steps'!AN$1:AN$400,0)),AN$2,)</f>
        <v>0</v>
      </c>
      <c r="AO300" s="155">
        <f ca="1">IF(ISNUMBER(MATCH(DATEVALUE($A300),'recurring1_based on steps'!AO$1:AO$400,0)),AO$2,)</f>
        <v>0</v>
      </c>
      <c r="AP300" s="155">
        <f ca="1">IF(ISNUMBER(MATCH(DATEVALUE($A300),'recurring1_based on steps'!AP$1:AP$400,0)),AP$2,)</f>
        <v>0</v>
      </c>
      <c r="AQ300" s="155">
        <f ca="1">IF(ISNUMBER(MATCH(DATEVALUE($A300),'recurring1_based on steps'!AQ$1:AQ$400,0)),AQ$2,)</f>
        <v>0</v>
      </c>
      <c r="AR300" s="155">
        <f ca="1">IF(ISNUMBER(MATCH(DATEVALUE($A300),'recurring1_based on steps'!AR$1:AR$400,0)),AR$2,)</f>
        <v>0</v>
      </c>
      <c r="AS300" s="155">
        <f ca="1">IF(ISNUMBER(MATCH(DATEVALUE($A300),'recurring1_based on steps'!AS$1:AS$400,0)),AS$2,)</f>
        <v>0</v>
      </c>
      <c r="AT300" s="155">
        <f ca="1">IF(ISNUMBER(MATCH(DATEVALUE($A300),'recurring1_based on steps'!AT$1:AT$400,0)),AT$2,)</f>
        <v>0</v>
      </c>
      <c r="AU300" s="155">
        <f ca="1">IF(ISNUMBER(MATCH(DATEVALUE($A300),'recurring1_based on steps'!AU$1:AU$400,0)),AU$2,)</f>
        <v>0</v>
      </c>
      <c r="AV300" s="155">
        <f ca="1">IF(ISNUMBER(MATCH(DATEVALUE($A300),'recurring1_based on steps'!AV$1:AV$400,0)),AV$2,)</f>
        <v>0</v>
      </c>
      <c r="AW300" s="155">
        <f ca="1">IF(ISNUMBER(MATCH(DATEVALUE($A300),'recurring1_based on steps'!AW$1:AW$400,0)),AW$2,)</f>
        <v>0</v>
      </c>
      <c r="AX300" s="155">
        <f ca="1">IF(ISNUMBER(MATCH(DATEVALUE($A300),'recurring1_based on steps'!AX$1:AX$400,0)),AX$2,)</f>
        <v>0</v>
      </c>
      <c r="AY300" s="155">
        <f ca="1">IF(ISNUMBER(MATCH(DATEVALUE($A300),'recurring1_based on steps'!AY$1:AY$400,0)),AY$2,)</f>
        <v>0</v>
      </c>
    </row>
    <row r="301" spans="1:51" x14ac:dyDescent="0.2">
      <c r="A301" s="18" t="str">
        <f t="shared" ca="1" si="4"/>
        <v>2025-11-26</v>
      </c>
      <c r="B301" s="155">
        <f ca="1">IF(ISNUMBER(MATCH(DATEVALUE($A301),'recurring1_based on steps'!B$1:B$400,0)),B$2,)</f>
        <v>0</v>
      </c>
      <c r="C301" s="155">
        <f ca="1">IF(ISNUMBER(MATCH(DATEVALUE($A301),'recurring1_based on steps'!C$1:C$400,0)),C$2,)</f>
        <v>0</v>
      </c>
      <c r="D301" s="155">
        <f ca="1">IF(ISNUMBER(MATCH(DATEVALUE($A301),'recurring1_based on steps'!D$1:D$400,0)),D$2,)</f>
        <v>0</v>
      </c>
      <c r="E301" s="155">
        <f ca="1">IF(ISNUMBER(MATCH(DATEVALUE($A301),'recurring1_based on steps'!E$1:E$400,0)),E$2,)</f>
        <v>0</v>
      </c>
      <c r="F301" s="155">
        <f ca="1">IF(ISNUMBER(MATCH(DATEVALUE($A301),'recurring1_based on steps'!F$1:F$400,0)),F$2,)</f>
        <v>0</v>
      </c>
      <c r="G301" s="155">
        <f ca="1">IF(ISNUMBER(MATCH(DATEVALUE($A301),'recurring1_based on steps'!G$1:G$400,0)),G$2,)</f>
        <v>0</v>
      </c>
      <c r="H301" s="155">
        <f ca="1">IF(ISNUMBER(MATCH(DATEVALUE($A301),'recurring1_based on steps'!H$1:H$400,0)),H$2,)</f>
        <v>0</v>
      </c>
      <c r="I301" s="155">
        <f ca="1">IF(ISNUMBER(MATCH(DATEVALUE($A301),'recurring1_based on steps'!I$1:I$400,0)),I$2,)</f>
        <v>0</v>
      </c>
      <c r="J301" s="155">
        <f ca="1">IF(ISNUMBER(MATCH(DATEVALUE($A301),'recurring1_based on steps'!J$1:J$400,0)),J$2,)</f>
        <v>0</v>
      </c>
      <c r="K301" s="155">
        <f ca="1">IF(ISNUMBER(MATCH(DATEVALUE($A301),'recurring1_based on steps'!K$1:K$400,0)),K$2,)</f>
        <v>0</v>
      </c>
      <c r="L301" s="155">
        <f ca="1">IF(ISNUMBER(MATCH(DATEVALUE($A301),'recurring1_based on steps'!L$1:L$400,0)),L$2,)</f>
        <v>0</v>
      </c>
      <c r="M301" s="155">
        <f ca="1">IF(ISNUMBER(MATCH(DATEVALUE($A301),'recurring1_based on steps'!M$1:M$400,0)),M$2,)</f>
        <v>0</v>
      </c>
      <c r="N301" s="155">
        <f ca="1">IF(ISNUMBER(MATCH(DATEVALUE($A301),'recurring1_based on steps'!N$1:N$400,0)),N$2,)</f>
        <v>0</v>
      </c>
      <c r="O301" s="155">
        <f ca="1">IF(ISNUMBER(MATCH(DATEVALUE($A301),'recurring1_based on steps'!O$1:O$400,0)),O$2,)</f>
        <v>0</v>
      </c>
      <c r="P301" s="155">
        <f ca="1">IF(ISNUMBER(MATCH(DATEVALUE($A301),'recurring1_based on steps'!P$1:P$400,0)),P$2,)</f>
        <v>0</v>
      </c>
      <c r="Q301" s="155">
        <f ca="1">IF(ISNUMBER(MATCH(DATEVALUE($A301),'recurring1_based on steps'!Q$1:Q$400,0)),Q$2,)</f>
        <v>0</v>
      </c>
      <c r="R301" s="155">
        <f ca="1">IF(ISNUMBER(MATCH(DATEVALUE($A301),'recurring1_based on steps'!R$1:R$400,0)),R$2,)</f>
        <v>0</v>
      </c>
      <c r="S301" s="155">
        <f ca="1">IF(ISNUMBER(MATCH(DATEVALUE($A301),'recurring1_based on steps'!S$1:S$400,0)),S$2,)</f>
        <v>0</v>
      </c>
      <c r="T301" s="155">
        <f ca="1">IF(ISNUMBER(MATCH(DATEVALUE($A301),'recurring1_based on steps'!T$1:T$400,0)),T$2,)</f>
        <v>0</v>
      </c>
      <c r="U301" s="155">
        <f ca="1">IF(ISNUMBER(MATCH(DATEVALUE($A301),'recurring1_based on steps'!U$1:U$400,0)),U$2,)</f>
        <v>0</v>
      </c>
      <c r="V301" s="155">
        <f ca="1">IF(ISNUMBER(MATCH(DATEVALUE($A301),'recurring1_based on steps'!V$1:V$400,0)),V$2,)</f>
        <v>0</v>
      </c>
      <c r="W301" s="155">
        <f ca="1">IF(ISNUMBER(MATCH(DATEVALUE($A301),'recurring1_based on steps'!W$1:W$400,0)),W$2,)</f>
        <v>0</v>
      </c>
      <c r="X301" s="155">
        <f ca="1">IF(ISNUMBER(MATCH(DATEVALUE($A301),'recurring1_based on steps'!X$1:X$400,0)),X$2,)</f>
        <v>0</v>
      </c>
      <c r="Y301" s="155">
        <f ca="1">IF(ISNUMBER(MATCH(DATEVALUE($A301),'recurring1_based on steps'!Y$1:Y$400,0)),Y$2,)</f>
        <v>0</v>
      </c>
      <c r="Z301" s="155">
        <f ca="1">IF(ISNUMBER(MATCH(DATEVALUE($A301),'recurring1_based on steps'!Z$1:Z$400,0)),Z$2,)</f>
        <v>0</v>
      </c>
      <c r="AA301" s="155">
        <f ca="1">IF(ISNUMBER(MATCH(DATEVALUE($A301),'recurring1_based on steps'!AA$1:AA$400,0)),AA$2,)</f>
        <v>0</v>
      </c>
      <c r="AB301" s="155">
        <f ca="1">IF(ISNUMBER(MATCH(DATEVALUE($A301),'recurring1_based on steps'!AB$1:AB$400,0)),AB$2,)</f>
        <v>0</v>
      </c>
      <c r="AC301" s="155">
        <f ca="1">IF(ISNUMBER(MATCH(DATEVALUE($A301),'recurring1_based on steps'!AC$1:AC$400,0)),AC$2,)</f>
        <v>0</v>
      </c>
      <c r="AD301" s="155">
        <f ca="1">IF(ISNUMBER(MATCH(DATEVALUE($A301),'recurring1_based on steps'!AD$1:AD$400,0)),AD$2,)</f>
        <v>0</v>
      </c>
      <c r="AE301" s="155">
        <f ca="1">IF(ISNUMBER(MATCH(DATEVALUE($A301),'recurring1_based on steps'!AE$1:AE$400,0)),AE$2,)</f>
        <v>0</v>
      </c>
      <c r="AF301" s="155">
        <f ca="1">IF(ISNUMBER(MATCH(DATEVALUE($A301),'recurring1_based on steps'!AF$1:AF$400,0)),AF$2,)</f>
        <v>0</v>
      </c>
      <c r="AG301" s="155">
        <f ca="1">IF(ISNUMBER(MATCH(DATEVALUE($A301),'recurring1_based on steps'!AG$1:AG$400,0)),AG$2,)</f>
        <v>0</v>
      </c>
      <c r="AH301" s="155">
        <f ca="1">IF(ISNUMBER(MATCH(DATEVALUE($A301),'recurring1_based on steps'!AH$1:AH$400,0)),AH$2,)</f>
        <v>0</v>
      </c>
      <c r="AI301" s="155">
        <f ca="1">IF(ISNUMBER(MATCH(DATEVALUE($A301),'recurring1_based on steps'!AI$1:AI$400,0)),AI$2,)</f>
        <v>0</v>
      </c>
      <c r="AJ301" s="155">
        <f ca="1">IF(ISNUMBER(MATCH(DATEVALUE($A301),'recurring1_based on steps'!AJ$1:AJ$400,0)),AJ$2,)</f>
        <v>0</v>
      </c>
      <c r="AK301" s="155">
        <f ca="1">IF(ISNUMBER(MATCH(DATEVALUE($A301),'recurring1_based on steps'!AK$1:AK$400,0)),AK$2,)</f>
        <v>0</v>
      </c>
      <c r="AL301" s="155">
        <f ca="1">IF(ISNUMBER(MATCH(DATEVALUE($A301),'recurring1_based on steps'!AL$1:AL$400,0)),AL$2,)</f>
        <v>0</v>
      </c>
      <c r="AM301" s="155">
        <f ca="1">IF(ISNUMBER(MATCH(DATEVALUE($A301),'recurring1_based on steps'!AM$1:AM$400,0)),AM$2,)</f>
        <v>0</v>
      </c>
      <c r="AN301" s="155">
        <f ca="1">IF(ISNUMBER(MATCH(DATEVALUE($A301),'recurring1_based on steps'!AN$1:AN$400,0)),AN$2,)</f>
        <v>0</v>
      </c>
      <c r="AO301" s="155">
        <f ca="1">IF(ISNUMBER(MATCH(DATEVALUE($A301),'recurring1_based on steps'!AO$1:AO$400,0)),AO$2,)</f>
        <v>0</v>
      </c>
      <c r="AP301" s="155">
        <f ca="1">IF(ISNUMBER(MATCH(DATEVALUE($A301),'recurring1_based on steps'!AP$1:AP$400,0)),AP$2,)</f>
        <v>0</v>
      </c>
      <c r="AQ301" s="155">
        <f ca="1">IF(ISNUMBER(MATCH(DATEVALUE($A301),'recurring1_based on steps'!AQ$1:AQ$400,0)),AQ$2,)</f>
        <v>0</v>
      </c>
      <c r="AR301" s="155">
        <f ca="1">IF(ISNUMBER(MATCH(DATEVALUE($A301),'recurring1_based on steps'!AR$1:AR$400,0)),AR$2,)</f>
        <v>0</v>
      </c>
      <c r="AS301" s="155">
        <f ca="1">IF(ISNUMBER(MATCH(DATEVALUE($A301),'recurring1_based on steps'!AS$1:AS$400,0)),AS$2,)</f>
        <v>0</v>
      </c>
      <c r="AT301" s="155">
        <f ca="1">IF(ISNUMBER(MATCH(DATEVALUE($A301),'recurring1_based on steps'!AT$1:AT$400,0)),AT$2,)</f>
        <v>0</v>
      </c>
      <c r="AU301" s="155">
        <f ca="1">IF(ISNUMBER(MATCH(DATEVALUE($A301),'recurring1_based on steps'!AU$1:AU$400,0)),AU$2,)</f>
        <v>0</v>
      </c>
      <c r="AV301" s="155">
        <f ca="1">IF(ISNUMBER(MATCH(DATEVALUE($A301),'recurring1_based on steps'!AV$1:AV$400,0)),AV$2,)</f>
        <v>0</v>
      </c>
      <c r="AW301" s="155">
        <f ca="1">IF(ISNUMBER(MATCH(DATEVALUE($A301),'recurring1_based on steps'!AW$1:AW$400,0)),AW$2,)</f>
        <v>0</v>
      </c>
      <c r="AX301" s="155">
        <f ca="1">IF(ISNUMBER(MATCH(DATEVALUE($A301),'recurring1_based on steps'!AX$1:AX$400,0)),AX$2,)</f>
        <v>0</v>
      </c>
      <c r="AY301" s="155">
        <f ca="1">IF(ISNUMBER(MATCH(DATEVALUE($A301),'recurring1_based on steps'!AY$1:AY$400,0)),AY$2,)</f>
        <v>0</v>
      </c>
    </row>
    <row r="302" spans="1:51" x14ac:dyDescent="0.2">
      <c r="A302" s="18" t="str">
        <f t="shared" ca="1" si="4"/>
        <v>2025-11-27</v>
      </c>
      <c r="B302" s="155">
        <f ca="1">IF(ISNUMBER(MATCH(DATEVALUE($A302),'recurring1_based on steps'!B$1:B$400,0)),B$2,)</f>
        <v>0</v>
      </c>
      <c r="C302" s="155">
        <f ca="1">IF(ISNUMBER(MATCH(DATEVALUE($A302),'recurring1_based on steps'!C$1:C$400,0)),C$2,)</f>
        <v>0</v>
      </c>
      <c r="D302" s="155">
        <f ca="1">IF(ISNUMBER(MATCH(DATEVALUE($A302),'recurring1_based on steps'!D$1:D$400,0)),D$2,)</f>
        <v>0</v>
      </c>
      <c r="E302" s="155">
        <f ca="1">IF(ISNUMBER(MATCH(DATEVALUE($A302),'recurring1_based on steps'!E$1:E$400,0)),E$2,)</f>
        <v>0</v>
      </c>
      <c r="F302" s="155">
        <f ca="1">IF(ISNUMBER(MATCH(DATEVALUE($A302),'recurring1_based on steps'!F$1:F$400,0)),F$2,)</f>
        <v>0</v>
      </c>
      <c r="G302" s="155">
        <f ca="1">IF(ISNUMBER(MATCH(DATEVALUE($A302),'recurring1_based on steps'!G$1:G$400,0)),G$2,)</f>
        <v>0</v>
      </c>
      <c r="H302" s="155">
        <f ca="1">IF(ISNUMBER(MATCH(DATEVALUE($A302),'recurring1_based on steps'!H$1:H$400,0)),H$2,)</f>
        <v>0</v>
      </c>
      <c r="I302" s="155">
        <f ca="1">IF(ISNUMBER(MATCH(DATEVALUE($A302),'recurring1_based on steps'!I$1:I$400,0)),I$2,)</f>
        <v>0</v>
      </c>
      <c r="J302" s="155">
        <f ca="1">IF(ISNUMBER(MATCH(DATEVALUE($A302),'recurring1_based on steps'!J$1:J$400,0)),J$2,)</f>
        <v>0</v>
      </c>
      <c r="K302" s="155">
        <f ca="1">IF(ISNUMBER(MATCH(DATEVALUE($A302),'recurring1_based on steps'!K$1:K$400,0)),K$2,)</f>
        <v>0</v>
      </c>
      <c r="L302" s="155">
        <f ca="1">IF(ISNUMBER(MATCH(DATEVALUE($A302),'recurring1_based on steps'!L$1:L$400,0)),L$2,)</f>
        <v>0</v>
      </c>
      <c r="M302" s="155">
        <f ca="1">IF(ISNUMBER(MATCH(DATEVALUE($A302),'recurring1_based on steps'!M$1:M$400,0)),M$2,)</f>
        <v>0</v>
      </c>
      <c r="N302" s="155">
        <f ca="1">IF(ISNUMBER(MATCH(DATEVALUE($A302),'recurring1_based on steps'!N$1:N$400,0)),N$2,)</f>
        <v>0</v>
      </c>
      <c r="O302" s="155">
        <f ca="1">IF(ISNUMBER(MATCH(DATEVALUE($A302),'recurring1_based on steps'!O$1:O$400,0)),O$2,)</f>
        <v>0</v>
      </c>
      <c r="P302" s="155">
        <f ca="1">IF(ISNUMBER(MATCH(DATEVALUE($A302),'recurring1_based on steps'!P$1:P$400,0)),P$2,)</f>
        <v>2.99</v>
      </c>
      <c r="Q302" s="155">
        <f ca="1">IF(ISNUMBER(MATCH(DATEVALUE($A302),'recurring1_based on steps'!Q$1:Q$400,0)),Q$2,)</f>
        <v>0</v>
      </c>
      <c r="R302" s="155">
        <f ca="1">IF(ISNUMBER(MATCH(DATEVALUE($A302),'recurring1_based on steps'!R$1:R$400,0)),R$2,)</f>
        <v>0</v>
      </c>
      <c r="S302" s="155">
        <f ca="1">IF(ISNUMBER(MATCH(DATEVALUE($A302),'recurring1_based on steps'!S$1:S$400,0)),S$2,)</f>
        <v>0</v>
      </c>
      <c r="T302" s="155">
        <f ca="1">IF(ISNUMBER(MATCH(DATEVALUE($A302),'recurring1_based on steps'!T$1:T$400,0)),T$2,)</f>
        <v>0</v>
      </c>
      <c r="U302" s="155">
        <f ca="1">IF(ISNUMBER(MATCH(DATEVALUE($A302),'recurring1_based on steps'!U$1:U$400,0)),U$2,)</f>
        <v>0</v>
      </c>
      <c r="V302" s="155">
        <f ca="1">IF(ISNUMBER(MATCH(DATEVALUE($A302),'recurring1_based on steps'!V$1:V$400,0)),V$2,)</f>
        <v>0</v>
      </c>
      <c r="W302" s="155">
        <f ca="1">IF(ISNUMBER(MATCH(DATEVALUE($A302),'recurring1_based on steps'!W$1:W$400,0)),W$2,)</f>
        <v>0</v>
      </c>
      <c r="X302" s="155">
        <f ca="1">IF(ISNUMBER(MATCH(DATEVALUE($A302),'recurring1_based on steps'!X$1:X$400,0)),X$2,)</f>
        <v>0</v>
      </c>
      <c r="Y302" s="155">
        <f ca="1">IF(ISNUMBER(MATCH(DATEVALUE($A302),'recurring1_based on steps'!Y$1:Y$400,0)),Y$2,)</f>
        <v>0</v>
      </c>
      <c r="Z302" s="155">
        <f ca="1">IF(ISNUMBER(MATCH(DATEVALUE($A302),'recurring1_based on steps'!Z$1:Z$400,0)),Z$2,)</f>
        <v>0</v>
      </c>
      <c r="AA302" s="155">
        <f ca="1">IF(ISNUMBER(MATCH(DATEVALUE($A302),'recurring1_based on steps'!AA$1:AA$400,0)),AA$2,)</f>
        <v>0</v>
      </c>
      <c r="AB302" s="155">
        <f ca="1">IF(ISNUMBER(MATCH(DATEVALUE($A302),'recurring1_based on steps'!AB$1:AB$400,0)),AB$2,)</f>
        <v>0</v>
      </c>
      <c r="AC302" s="155">
        <f ca="1">IF(ISNUMBER(MATCH(DATEVALUE($A302),'recurring1_based on steps'!AC$1:AC$400,0)),AC$2,)</f>
        <v>0</v>
      </c>
      <c r="AD302" s="155">
        <f ca="1">IF(ISNUMBER(MATCH(DATEVALUE($A302),'recurring1_based on steps'!AD$1:AD$400,0)),AD$2,)</f>
        <v>0</v>
      </c>
      <c r="AE302" s="155">
        <f ca="1">IF(ISNUMBER(MATCH(DATEVALUE($A302),'recurring1_based on steps'!AE$1:AE$400,0)),AE$2,)</f>
        <v>0</v>
      </c>
      <c r="AF302" s="155">
        <f ca="1">IF(ISNUMBER(MATCH(DATEVALUE($A302),'recurring1_based on steps'!AF$1:AF$400,0)),AF$2,)</f>
        <v>0</v>
      </c>
      <c r="AG302" s="155">
        <f ca="1">IF(ISNUMBER(MATCH(DATEVALUE($A302),'recurring1_based on steps'!AG$1:AG$400,0)),AG$2,)</f>
        <v>0</v>
      </c>
      <c r="AH302" s="155">
        <f ca="1">IF(ISNUMBER(MATCH(DATEVALUE($A302),'recurring1_based on steps'!AH$1:AH$400,0)),AH$2,)</f>
        <v>0</v>
      </c>
      <c r="AI302" s="155">
        <f ca="1">IF(ISNUMBER(MATCH(DATEVALUE($A302),'recurring1_based on steps'!AI$1:AI$400,0)),AI$2,)</f>
        <v>0</v>
      </c>
      <c r="AJ302" s="155">
        <f ca="1">IF(ISNUMBER(MATCH(DATEVALUE($A302),'recurring1_based on steps'!AJ$1:AJ$400,0)),AJ$2,)</f>
        <v>0</v>
      </c>
      <c r="AK302" s="155">
        <f ca="1">IF(ISNUMBER(MATCH(DATEVALUE($A302),'recurring1_based on steps'!AK$1:AK$400,0)),AK$2,)</f>
        <v>0</v>
      </c>
      <c r="AL302" s="155">
        <f ca="1">IF(ISNUMBER(MATCH(DATEVALUE($A302),'recurring1_based on steps'!AL$1:AL$400,0)),AL$2,)</f>
        <v>0</v>
      </c>
      <c r="AM302" s="155">
        <f ca="1">IF(ISNUMBER(MATCH(DATEVALUE($A302),'recurring1_based on steps'!AM$1:AM$400,0)),AM$2,)</f>
        <v>0</v>
      </c>
      <c r="AN302" s="155">
        <f ca="1">IF(ISNUMBER(MATCH(DATEVALUE($A302),'recurring1_based on steps'!AN$1:AN$400,0)),AN$2,)</f>
        <v>0</v>
      </c>
      <c r="AO302" s="155">
        <f ca="1">IF(ISNUMBER(MATCH(DATEVALUE($A302),'recurring1_based on steps'!AO$1:AO$400,0)),AO$2,)</f>
        <v>0</v>
      </c>
      <c r="AP302" s="155">
        <f ca="1">IF(ISNUMBER(MATCH(DATEVALUE($A302),'recurring1_based on steps'!AP$1:AP$400,0)),AP$2,)</f>
        <v>0</v>
      </c>
      <c r="AQ302" s="155">
        <f ca="1">IF(ISNUMBER(MATCH(DATEVALUE($A302),'recurring1_based on steps'!AQ$1:AQ$400,0)),AQ$2,)</f>
        <v>0</v>
      </c>
      <c r="AR302" s="155">
        <f ca="1">IF(ISNUMBER(MATCH(DATEVALUE($A302),'recurring1_based on steps'!AR$1:AR$400,0)),AR$2,)</f>
        <v>0</v>
      </c>
      <c r="AS302" s="155">
        <f ca="1">IF(ISNUMBER(MATCH(DATEVALUE($A302),'recurring1_based on steps'!AS$1:AS$400,0)),AS$2,)</f>
        <v>0</v>
      </c>
      <c r="AT302" s="155">
        <f ca="1">IF(ISNUMBER(MATCH(DATEVALUE($A302),'recurring1_based on steps'!AT$1:AT$400,0)),AT$2,)</f>
        <v>0</v>
      </c>
      <c r="AU302" s="155">
        <f ca="1">IF(ISNUMBER(MATCH(DATEVALUE($A302),'recurring1_based on steps'!AU$1:AU$400,0)),AU$2,)</f>
        <v>0</v>
      </c>
      <c r="AV302" s="155">
        <f ca="1">IF(ISNUMBER(MATCH(DATEVALUE($A302),'recurring1_based on steps'!AV$1:AV$400,0)),AV$2,)</f>
        <v>0</v>
      </c>
      <c r="AW302" s="155">
        <f ca="1">IF(ISNUMBER(MATCH(DATEVALUE($A302),'recurring1_based on steps'!AW$1:AW$400,0)),AW$2,)</f>
        <v>0</v>
      </c>
      <c r="AX302" s="155">
        <f ca="1">IF(ISNUMBER(MATCH(DATEVALUE($A302),'recurring1_based on steps'!AX$1:AX$400,0)),AX$2,)</f>
        <v>0</v>
      </c>
      <c r="AY302" s="155">
        <f ca="1">IF(ISNUMBER(MATCH(DATEVALUE($A302),'recurring1_based on steps'!AY$1:AY$400,0)),AY$2,)</f>
        <v>0</v>
      </c>
    </row>
    <row r="303" spans="1:51" x14ac:dyDescent="0.2">
      <c r="A303" s="18" t="str">
        <f t="shared" ca="1" si="4"/>
        <v>2025-11-28</v>
      </c>
      <c r="B303" s="155">
        <f ca="1">IF(ISNUMBER(MATCH(DATEVALUE($A303),'recurring1_based on steps'!B$1:B$400,0)),B$2,)</f>
        <v>4000</v>
      </c>
      <c r="C303" s="155">
        <f ca="1">IF(ISNUMBER(MATCH(DATEVALUE($A303),'recurring1_based on steps'!C$1:C$400,0)),C$2,)</f>
        <v>200</v>
      </c>
      <c r="D303" s="155">
        <f ca="1">IF(ISNUMBER(MATCH(DATEVALUE($A303),'recurring1_based on steps'!D$1:D$400,0)),D$2,)</f>
        <v>2</v>
      </c>
      <c r="E303" s="155">
        <f ca="1">IF(ISNUMBER(MATCH(DATEVALUE($A303),'recurring1_based on steps'!E$1:E$400,0)),E$2,)</f>
        <v>40</v>
      </c>
      <c r="F303" s="155">
        <f ca="1">IF(ISNUMBER(MATCH(DATEVALUE($A303),'recurring1_based on steps'!F$1:F$400,0)),F$2,)</f>
        <v>50</v>
      </c>
      <c r="G303" s="155">
        <f ca="1">IF(ISNUMBER(MATCH(DATEVALUE($A303),'recurring1_based on steps'!G$1:G$400,0)),G$2,)</f>
        <v>4</v>
      </c>
      <c r="H303" s="155">
        <f ca="1">IF(ISNUMBER(MATCH(DATEVALUE($A303),'recurring1_based on steps'!H$1:H$400,0)),H$2,)</f>
        <v>40</v>
      </c>
      <c r="I303" s="155">
        <f ca="1">IF(ISNUMBER(MATCH(DATEVALUE($A303),'recurring1_based on steps'!I$1:I$400,0)),I$2,)</f>
        <v>0</v>
      </c>
      <c r="J303" s="155">
        <f ca="1">IF(ISNUMBER(MATCH(DATEVALUE($A303),'recurring1_based on steps'!J$1:J$400,0)),J$2,)</f>
        <v>0</v>
      </c>
      <c r="K303" s="155">
        <f ca="1">IF(ISNUMBER(MATCH(DATEVALUE($A303),'recurring1_based on steps'!K$1:K$400,0)),K$2,)</f>
        <v>0</v>
      </c>
      <c r="L303" s="155">
        <f ca="1">IF(ISNUMBER(MATCH(DATEVALUE($A303),'recurring1_based on steps'!L$1:L$400,0)),L$2,)</f>
        <v>0</v>
      </c>
      <c r="M303" s="155">
        <f ca="1">IF(ISNUMBER(MATCH(DATEVALUE($A303),'recurring1_based on steps'!M$1:M$400,0)),M$2,)</f>
        <v>0</v>
      </c>
      <c r="N303" s="155">
        <f ca="1">IF(ISNUMBER(MATCH(DATEVALUE($A303),'recurring1_based on steps'!N$1:N$400,0)),N$2,)</f>
        <v>0</v>
      </c>
      <c r="O303" s="155">
        <f ca="1">IF(ISNUMBER(MATCH(DATEVALUE($A303),'recurring1_based on steps'!O$1:O$400,0)),O$2,)</f>
        <v>0</v>
      </c>
      <c r="P303" s="155">
        <f ca="1">IF(ISNUMBER(MATCH(DATEVALUE($A303),'recurring1_based on steps'!P$1:P$400,0)),P$2,)</f>
        <v>0</v>
      </c>
      <c r="Q303" s="155">
        <f ca="1">IF(ISNUMBER(MATCH(DATEVALUE($A303),'recurring1_based on steps'!Q$1:Q$400,0)),Q$2,)</f>
        <v>0</v>
      </c>
      <c r="R303" s="155">
        <f ca="1">IF(ISNUMBER(MATCH(DATEVALUE($A303),'recurring1_based on steps'!R$1:R$400,0)),R$2,)</f>
        <v>0</v>
      </c>
      <c r="S303" s="155">
        <f ca="1">IF(ISNUMBER(MATCH(DATEVALUE($A303),'recurring1_based on steps'!S$1:S$400,0)),S$2,)</f>
        <v>0</v>
      </c>
      <c r="T303" s="155">
        <f ca="1">IF(ISNUMBER(MATCH(DATEVALUE($A303),'recurring1_based on steps'!T$1:T$400,0)),T$2,)</f>
        <v>0</v>
      </c>
      <c r="U303" s="155">
        <f ca="1">IF(ISNUMBER(MATCH(DATEVALUE($A303),'recurring1_based on steps'!U$1:U$400,0)),U$2,)</f>
        <v>0</v>
      </c>
      <c r="V303" s="155">
        <f ca="1">IF(ISNUMBER(MATCH(DATEVALUE($A303),'recurring1_based on steps'!V$1:V$400,0)),V$2,)</f>
        <v>0</v>
      </c>
      <c r="W303" s="155">
        <f ca="1">IF(ISNUMBER(MATCH(DATEVALUE($A303),'recurring1_based on steps'!W$1:W$400,0)),W$2,)</f>
        <v>100</v>
      </c>
      <c r="X303" s="155">
        <f ca="1">IF(ISNUMBER(MATCH(DATEVALUE($A303),'recurring1_based on steps'!X$1:X$400,0)),X$2,)</f>
        <v>50</v>
      </c>
      <c r="Y303" s="155">
        <f ca="1">IF(ISNUMBER(MATCH(DATEVALUE($A303),'recurring1_based on steps'!Y$1:Y$400,0)),Y$2,)</f>
        <v>0</v>
      </c>
      <c r="Z303" s="155">
        <f ca="1">IF(ISNUMBER(MATCH(DATEVALUE($A303),'recurring1_based on steps'!Z$1:Z$400,0)),Z$2,)</f>
        <v>0</v>
      </c>
      <c r="AA303" s="155">
        <f ca="1">IF(ISNUMBER(MATCH(DATEVALUE($A303),'recurring1_based on steps'!AA$1:AA$400,0)),AA$2,)</f>
        <v>0</v>
      </c>
      <c r="AB303" s="155">
        <f ca="1">IF(ISNUMBER(MATCH(DATEVALUE($A303),'recurring1_based on steps'!AB$1:AB$400,0)),AB$2,)</f>
        <v>0</v>
      </c>
      <c r="AC303" s="155">
        <f ca="1">IF(ISNUMBER(MATCH(DATEVALUE($A303),'recurring1_based on steps'!AC$1:AC$400,0)),AC$2,)</f>
        <v>0</v>
      </c>
      <c r="AD303" s="155">
        <f ca="1">IF(ISNUMBER(MATCH(DATEVALUE($A303),'recurring1_based on steps'!AD$1:AD$400,0)),AD$2,)</f>
        <v>0</v>
      </c>
      <c r="AE303" s="155">
        <f ca="1">IF(ISNUMBER(MATCH(DATEVALUE($A303),'recurring1_based on steps'!AE$1:AE$400,0)),AE$2,)</f>
        <v>0</v>
      </c>
      <c r="AF303" s="155">
        <f ca="1">IF(ISNUMBER(MATCH(DATEVALUE($A303),'recurring1_based on steps'!AF$1:AF$400,0)),AF$2,)</f>
        <v>0</v>
      </c>
      <c r="AG303" s="155">
        <f ca="1">IF(ISNUMBER(MATCH(DATEVALUE($A303),'recurring1_based on steps'!AG$1:AG$400,0)),AG$2,)</f>
        <v>0</v>
      </c>
      <c r="AH303" s="155">
        <f ca="1">IF(ISNUMBER(MATCH(DATEVALUE($A303),'recurring1_based on steps'!AH$1:AH$400,0)),AH$2,)</f>
        <v>0</v>
      </c>
      <c r="AI303" s="155">
        <f ca="1">IF(ISNUMBER(MATCH(DATEVALUE($A303),'recurring1_based on steps'!AI$1:AI$400,0)),AI$2,)</f>
        <v>0</v>
      </c>
      <c r="AJ303" s="155">
        <f ca="1">IF(ISNUMBER(MATCH(DATEVALUE($A303),'recurring1_based on steps'!AJ$1:AJ$400,0)),AJ$2,)</f>
        <v>0</v>
      </c>
      <c r="AK303" s="155">
        <f ca="1">IF(ISNUMBER(MATCH(DATEVALUE($A303),'recurring1_based on steps'!AK$1:AK$400,0)),AK$2,)</f>
        <v>0</v>
      </c>
      <c r="AL303" s="155">
        <f ca="1">IF(ISNUMBER(MATCH(DATEVALUE($A303),'recurring1_based on steps'!AL$1:AL$400,0)),AL$2,)</f>
        <v>0</v>
      </c>
      <c r="AM303" s="155">
        <f ca="1">IF(ISNUMBER(MATCH(DATEVALUE($A303),'recurring1_based on steps'!AM$1:AM$400,0)),AM$2,)</f>
        <v>0</v>
      </c>
      <c r="AN303" s="155">
        <f ca="1">IF(ISNUMBER(MATCH(DATEVALUE($A303),'recurring1_based on steps'!AN$1:AN$400,0)),AN$2,)</f>
        <v>0</v>
      </c>
      <c r="AO303" s="155">
        <f ca="1">IF(ISNUMBER(MATCH(DATEVALUE($A303),'recurring1_based on steps'!AO$1:AO$400,0)),AO$2,)</f>
        <v>0</v>
      </c>
      <c r="AP303" s="155">
        <f ca="1">IF(ISNUMBER(MATCH(DATEVALUE($A303),'recurring1_based on steps'!AP$1:AP$400,0)),AP$2,)</f>
        <v>0</v>
      </c>
      <c r="AQ303" s="155">
        <f ca="1">IF(ISNUMBER(MATCH(DATEVALUE($A303),'recurring1_based on steps'!AQ$1:AQ$400,0)),AQ$2,)</f>
        <v>0</v>
      </c>
      <c r="AR303" s="155">
        <f ca="1">IF(ISNUMBER(MATCH(DATEVALUE($A303),'recurring1_based on steps'!AR$1:AR$400,0)),AR$2,)</f>
        <v>0</v>
      </c>
      <c r="AS303" s="155">
        <f ca="1">IF(ISNUMBER(MATCH(DATEVALUE($A303),'recurring1_based on steps'!AS$1:AS$400,0)),AS$2,)</f>
        <v>0</v>
      </c>
      <c r="AT303" s="155">
        <f ca="1">IF(ISNUMBER(MATCH(DATEVALUE($A303),'recurring1_based on steps'!AT$1:AT$400,0)),AT$2,)</f>
        <v>0</v>
      </c>
      <c r="AU303" s="155">
        <f ca="1">IF(ISNUMBER(MATCH(DATEVALUE($A303),'recurring1_based on steps'!AU$1:AU$400,0)),AU$2,)</f>
        <v>0</v>
      </c>
      <c r="AV303" s="155">
        <f ca="1">IF(ISNUMBER(MATCH(DATEVALUE($A303),'recurring1_based on steps'!AV$1:AV$400,0)),AV$2,)</f>
        <v>0</v>
      </c>
      <c r="AW303" s="155">
        <f ca="1">IF(ISNUMBER(MATCH(DATEVALUE($A303),'recurring1_based on steps'!AW$1:AW$400,0)),AW$2,)</f>
        <v>0</v>
      </c>
      <c r="AX303" s="155">
        <f ca="1">IF(ISNUMBER(MATCH(DATEVALUE($A303),'recurring1_based on steps'!AX$1:AX$400,0)),AX$2,)</f>
        <v>0</v>
      </c>
      <c r="AY303" s="155">
        <f ca="1">IF(ISNUMBER(MATCH(DATEVALUE($A303),'recurring1_based on steps'!AY$1:AY$400,0)),AY$2,)</f>
        <v>0</v>
      </c>
    </row>
    <row r="304" spans="1:51" x14ac:dyDescent="0.2">
      <c r="A304" s="18" t="str">
        <f t="shared" ca="1" si="4"/>
        <v>2025-11-29</v>
      </c>
      <c r="B304" s="155">
        <f ca="1">IF(ISNUMBER(MATCH(DATEVALUE($A304),'recurring1_based on steps'!B$1:B$400,0)),B$2,)</f>
        <v>0</v>
      </c>
      <c r="C304" s="155">
        <f ca="1">IF(ISNUMBER(MATCH(DATEVALUE($A304),'recurring1_based on steps'!C$1:C$400,0)),C$2,)</f>
        <v>0</v>
      </c>
      <c r="D304" s="155">
        <f ca="1">IF(ISNUMBER(MATCH(DATEVALUE($A304),'recurring1_based on steps'!D$1:D$400,0)),D$2,)</f>
        <v>0</v>
      </c>
      <c r="E304" s="155">
        <f ca="1">IF(ISNUMBER(MATCH(DATEVALUE($A304),'recurring1_based on steps'!E$1:E$400,0)),E$2,)</f>
        <v>0</v>
      </c>
      <c r="F304" s="155">
        <f ca="1">IF(ISNUMBER(MATCH(DATEVALUE($A304),'recurring1_based on steps'!F$1:F$400,0)),F$2,)</f>
        <v>0</v>
      </c>
      <c r="G304" s="155">
        <f ca="1">IF(ISNUMBER(MATCH(DATEVALUE($A304),'recurring1_based on steps'!G$1:G$400,0)),G$2,)</f>
        <v>0</v>
      </c>
      <c r="H304" s="155">
        <f ca="1">IF(ISNUMBER(MATCH(DATEVALUE($A304),'recurring1_based on steps'!H$1:H$400,0)),H$2,)</f>
        <v>0</v>
      </c>
      <c r="I304" s="155">
        <f ca="1">IF(ISNUMBER(MATCH(DATEVALUE($A304),'recurring1_based on steps'!I$1:I$400,0)),I$2,)</f>
        <v>0</v>
      </c>
      <c r="J304" s="155">
        <f ca="1">IF(ISNUMBER(MATCH(DATEVALUE($A304),'recurring1_based on steps'!J$1:J$400,0)),J$2,)</f>
        <v>0</v>
      </c>
      <c r="K304" s="155">
        <f ca="1">IF(ISNUMBER(MATCH(DATEVALUE($A304),'recurring1_based on steps'!K$1:K$400,0)),K$2,)</f>
        <v>0</v>
      </c>
      <c r="L304" s="155">
        <f ca="1">IF(ISNUMBER(MATCH(DATEVALUE($A304),'recurring1_based on steps'!L$1:L$400,0)),L$2,)</f>
        <v>0</v>
      </c>
      <c r="M304" s="155">
        <f ca="1">IF(ISNUMBER(MATCH(DATEVALUE($A304),'recurring1_based on steps'!M$1:M$400,0)),M$2,)</f>
        <v>0</v>
      </c>
      <c r="N304" s="155">
        <f ca="1">IF(ISNUMBER(MATCH(DATEVALUE($A304),'recurring1_based on steps'!N$1:N$400,0)),N$2,)</f>
        <v>0</v>
      </c>
      <c r="O304" s="155">
        <f ca="1">IF(ISNUMBER(MATCH(DATEVALUE($A304),'recurring1_based on steps'!O$1:O$400,0)),O$2,)</f>
        <v>0</v>
      </c>
      <c r="P304" s="155">
        <f ca="1">IF(ISNUMBER(MATCH(DATEVALUE($A304),'recurring1_based on steps'!P$1:P$400,0)),P$2,)</f>
        <v>0</v>
      </c>
      <c r="Q304" s="155">
        <f ca="1">IF(ISNUMBER(MATCH(DATEVALUE($A304),'recurring1_based on steps'!Q$1:Q$400,0)),Q$2,)</f>
        <v>100</v>
      </c>
      <c r="R304" s="155">
        <f ca="1">IF(ISNUMBER(MATCH(DATEVALUE($A304),'recurring1_based on steps'!R$1:R$400,0)),R$2,)</f>
        <v>100</v>
      </c>
      <c r="S304" s="155">
        <f ca="1">IF(ISNUMBER(MATCH(DATEVALUE($A304),'recurring1_based on steps'!S$1:S$400,0)),S$2,)</f>
        <v>0</v>
      </c>
      <c r="T304" s="155">
        <f ca="1">IF(ISNUMBER(MATCH(DATEVALUE($A304),'recurring1_based on steps'!T$1:T$400,0)),T$2,)</f>
        <v>0</v>
      </c>
      <c r="U304" s="155">
        <f ca="1">IF(ISNUMBER(MATCH(DATEVALUE($A304),'recurring1_based on steps'!U$1:U$400,0)),U$2,)</f>
        <v>0</v>
      </c>
      <c r="V304" s="155">
        <f ca="1">IF(ISNUMBER(MATCH(DATEVALUE($A304),'recurring1_based on steps'!V$1:V$400,0)),V$2,)</f>
        <v>0</v>
      </c>
      <c r="W304" s="155">
        <f ca="1">IF(ISNUMBER(MATCH(DATEVALUE($A304),'recurring1_based on steps'!W$1:W$400,0)),W$2,)</f>
        <v>0</v>
      </c>
      <c r="X304" s="155">
        <f ca="1">IF(ISNUMBER(MATCH(DATEVALUE($A304),'recurring1_based on steps'!X$1:X$400,0)),X$2,)</f>
        <v>0</v>
      </c>
      <c r="Y304" s="155">
        <f ca="1">IF(ISNUMBER(MATCH(DATEVALUE($A304),'recurring1_based on steps'!Y$1:Y$400,0)),Y$2,)</f>
        <v>0</v>
      </c>
      <c r="Z304" s="155">
        <f ca="1">IF(ISNUMBER(MATCH(DATEVALUE($A304),'recurring1_based on steps'!Z$1:Z$400,0)),Z$2,)</f>
        <v>0</v>
      </c>
      <c r="AA304" s="155">
        <f ca="1">IF(ISNUMBER(MATCH(DATEVALUE($A304),'recurring1_based on steps'!AA$1:AA$400,0)),AA$2,)</f>
        <v>0</v>
      </c>
      <c r="AB304" s="155">
        <f ca="1">IF(ISNUMBER(MATCH(DATEVALUE($A304),'recurring1_based on steps'!AB$1:AB$400,0)),AB$2,)</f>
        <v>0</v>
      </c>
      <c r="AC304" s="155">
        <f ca="1">IF(ISNUMBER(MATCH(DATEVALUE($A304),'recurring1_based on steps'!AC$1:AC$400,0)),AC$2,)</f>
        <v>0</v>
      </c>
      <c r="AD304" s="155">
        <f ca="1">IF(ISNUMBER(MATCH(DATEVALUE($A304),'recurring1_based on steps'!AD$1:AD$400,0)),AD$2,)</f>
        <v>0</v>
      </c>
      <c r="AE304" s="155">
        <f ca="1">IF(ISNUMBER(MATCH(DATEVALUE($A304),'recurring1_based on steps'!AE$1:AE$400,0)),AE$2,)</f>
        <v>0</v>
      </c>
      <c r="AF304" s="155">
        <f ca="1">IF(ISNUMBER(MATCH(DATEVALUE($A304),'recurring1_based on steps'!AF$1:AF$400,0)),AF$2,)</f>
        <v>0</v>
      </c>
      <c r="AG304" s="155">
        <f ca="1">IF(ISNUMBER(MATCH(DATEVALUE($A304),'recurring1_based on steps'!AG$1:AG$400,0)),AG$2,)</f>
        <v>0</v>
      </c>
      <c r="AH304" s="155">
        <f ca="1">IF(ISNUMBER(MATCH(DATEVALUE($A304),'recurring1_based on steps'!AH$1:AH$400,0)),AH$2,)</f>
        <v>0</v>
      </c>
      <c r="AI304" s="155">
        <f ca="1">IF(ISNUMBER(MATCH(DATEVALUE($A304),'recurring1_based on steps'!AI$1:AI$400,0)),AI$2,)</f>
        <v>0</v>
      </c>
      <c r="AJ304" s="155">
        <f ca="1">IF(ISNUMBER(MATCH(DATEVALUE($A304),'recurring1_based on steps'!AJ$1:AJ$400,0)),AJ$2,)</f>
        <v>0</v>
      </c>
      <c r="AK304" s="155">
        <f ca="1">IF(ISNUMBER(MATCH(DATEVALUE($A304),'recurring1_based on steps'!AK$1:AK$400,0)),AK$2,)</f>
        <v>0</v>
      </c>
      <c r="AL304" s="155">
        <f ca="1">IF(ISNUMBER(MATCH(DATEVALUE($A304),'recurring1_based on steps'!AL$1:AL$400,0)),AL$2,)</f>
        <v>0</v>
      </c>
      <c r="AM304" s="155">
        <f ca="1">IF(ISNUMBER(MATCH(DATEVALUE($A304),'recurring1_based on steps'!AM$1:AM$400,0)),AM$2,)</f>
        <v>0</v>
      </c>
      <c r="AN304" s="155">
        <f ca="1">IF(ISNUMBER(MATCH(DATEVALUE($A304),'recurring1_based on steps'!AN$1:AN$400,0)),AN$2,)</f>
        <v>0</v>
      </c>
      <c r="AO304" s="155">
        <f ca="1">IF(ISNUMBER(MATCH(DATEVALUE($A304),'recurring1_based on steps'!AO$1:AO$400,0)),AO$2,)</f>
        <v>0</v>
      </c>
      <c r="AP304" s="155">
        <f ca="1">IF(ISNUMBER(MATCH(DATEVALUE($A304),'recurring1_based on steps'!AP$1:AP$400,0)),AP$2,)</f>
        <v>0</v>
      </c>
      <c r="AQ304" s="155">
        <f ca="1">IF(ISNUMBER(MATCH(DATEVALUE($A304),'recurring1_based on steps'!AQ$1:AQ$400,0)),AQ$2,)</f>
        <v>0</v>
      </c>
      <c r="AR304" s="155">
        <f ca="1">IF(ISNUMBER(MATCH(DATEVALUE($A304),'recurring1_based on steps'!AR$1:AR$400,0)),AR$2,)</f>
        <v>0</v>
      </c>
      <c r="AS304" s="155">
        <f ca="1">IF(ISNUMBER(MATCH(DATEVALUE($A304),'recurring1_based on steps'!AS$1:AS$400,0)),AS$2,)</f>
        <v>0</v>
      </c>
      <c r="AT304" s="155">
        <f ca="1">IF(ISNUMBER(MATCH(DATEVALUE($A304),'recurring1_based on steps'!AT$1:AT$400,0)),AT$2,)</f>
        <v>0</v>
      </c>
      <c r="AU304" s="155">
        <f ca="1">IF(ISNUMBER(MATCH(DATEVALUE($A304),'recurring1_based on steps'!AU$1:AU$400,0)),AU$2,)</f>
        <v>0</v>
      </c>
      <c r="AV304" s="155">
        <f ca="1">IF(ISNUMBER(MATCH(DATEVALUE($A304),'recurring1_based on steps'!AV$1:AV$400,0)),AV$2,)</f>
        <v>0</v>
      </c>
      <c r="AW304" s="155">
        <f ca="1">IF(ISNUMBER(MATCH(DATEVALUE($A304),'recurring1_based on steps'!AW$1:AW$400,0)),AW$2,)</f>
        <v>0</v>
      </c>
      <c r="AX304" s="155">
        <f ca="1">IF(ISNUMBER(MATCH(DATEVALUE($A304),'recurring1_based on steps'!AX$1:AX$400,0)),AX$2,)</f>
        <v>0</v>
      </c>
      <c r="AY304" s="155">
        <f ca="1">IF(ISNUMBER(MATCH(DATEVALUE($A304),'recurring1_based on steps'!AY$1:AY$400,0)),AY$2,)</f>
        <v>0</v>
      </c>
    </row>
    <row r="305" spans="1:51" x14ac:dyDescent="0.2">
      <c r="A305" s="18" t="str">
        <f t="shared" ca="1" si="4"/>
        <v>2025-11-30</v>
      </c>
      <c r="B305" s="155">
        <f ca="1">IF(ISNUMBER(MATCH(DATEVALUE($A305),'recurring1_based on steps'!B$1:B$400,0)),B$2,)</f>
        <v>0</v>
      </c>
      <c r="C305" s="155">
        <f ca="1">IF(ISNUMBER(MATCH(DATEVALUE($A305),'recurring1_based on steps'!C$1:C$400,0)),C$2,)</f>
        <v>0</v>
      </c>
      <c r="D305" s="155">
        <f ca="1">IF(ISNUMBER(MATCH(DATEVALUE($A305),'recurring1_based on steps'!D$1:D$400,0)),D$2,)</f>
        <v>0</v>
      </c>
      <c r="E305" s="155">
        <f ca="1">IF(ISNUMBER(MATCH(DATEVALUE($A305),'recurring1_based on steps'!E$1:E$400,0)),E$2,)</f>
        <v>0</v>
      </c>
      <c r="F305" s="155">
        <f ca="1">IF(ISNUMBER(MATCH(DATEVALUE($A305),'recurring1_based on steps'!F$1:F$400,0)),F$2,)</f>
        <v>0</v>
      </c>
      <c r="G305" s="155">
        <f ca="1">IF(ISNUMBER(MATCH(DATEVALUE($A305),'recurring1_based on steps'!G$1:G$400,0)),G$2,)</f>
        <v>0</v>
      </c>
      <c r="H305" s="155">
        <f ca="1">IF(ISNUMBER(MATCH(DATEVALUE($A305),'recurring1_based on steps'!H$1:H$400,0)),H$2,)</f>
        <v>0</v>
      </c>
      <c r="I305" s="155">
        <f ca="1">IF(ISNUMBER(MATCH(DATEVALUE($A305),'recurring1_based on steps'!I$1:I$400,0)),I$2,)</f>
        <v>0</v>
      </c>
      <c r="J305" s="155">
        <f ca="1">IF(ISNUMBER(MATCH(DATEVALUE($A305),'recurring1_based on steps'!J$1:J$400,0)),J$2,)</f>
        <v>0</v>
      </c>
      <c r="K305" s="155">
        <f ca="1">IF(ISNUMBER(MATCH(DATEVALUE($A305),'recurring1_based on steps'!K$1:K$400,0)),K$2,)</f>
        <v>50</v>
      </c>
      <c r="L305" s="155">
        <f ca="1">IF(ISNUMBER(MATCH(DATEVALUE($A305),'recurring1_based on steps'!L$1:L$400,0)),L$2,)</f>
        <v>0</v>
      </c>
      <c r="M305" s="155">
        <f ca="1">IF(ISNUMBER(MATCH(DATEVALUE($A305),'recurring1_based on steps'!M$1:M$400,0)),M$2,)</f>
        <v>0</v>
      </c>
      <c r="N305" s="155">
        <f ca="1">IF(ISNUMBER(MATCH(DATEVALUE($A305),'recurring1_based on steps'!N$1:N$400,0)),N$2,)</f>
        <v>0</v>
      </c>
      <c r="O305" s="155">
        <f ca="1">IF(ISNUMBER(MATCH(DATEVALUE($A305),'recurring1_based on steps'!O$1:O$400,0)),O$2,)</f>
        <v>0</v>
      </c>
      <c r="P305" s="155">
        <f ca="1">IF(ISNUMBER(MATCH(DATEVALUE($A305),'recurring1_based on steps'!P$1:P$400,0)),P$2,)</f>
        <v>0</v>
      </c>
      <c r="Q305" s="155">
        <f ca="1">IF(ISNUMBER(MATCH(DATEVALUE($A305),'recurring1_based on steps'!Q$1:Q$400,0)),Q$2,)</f>
        <v>0</v>
      </c>
      <c r="R305" s="155">
        <f ca="1">IF(ISNUMBER(MATCH(DATEVALUE($A305),'recurring1_based on steps'!R$1:R$400,0)),R$2,)</f>
        <v>0</v>
      </c>
      <c r="S305" s="155">
        <f ca="1">IF(ISNUMBER(MATCH(DATEVALUE($A305),'recurring1_based on steps'!S$1:S$400,0)),S$2,)</f>
        <v>100</v>
      </c>
      <c r="T305" s="155">
        <f ca="1">IF(ISNUMBER(MATCH(DATEVALUE($A305),'recurring1_based on steps'!T$1:T$400,0)),T$2,)</f>
        <v>0</v>
      </c>
      <c r="U305" s="155">
        <f ca="1">IF(ISNUMBER(MATCH(DATEVALUE($A305),'recurring1_based on steps'!U$1:U$400,0)),U$2,)</f>
        <v>0</v>
      </c>
      <c r="V305" s="155">
        <f ca="1">IF(ISNUMBER(MATCH(DATEVALUE($A305),'recurring1_based on steps'!V$1:V$400,0)),V$2,)</f>
        <v>0</v>
      </c>
      <c r="W305" s="155">
        <f ca="1">IF(ISNUMBER(MATCH(DATEVALUE($A305),'recurring1_based on steps'!W$1:W$400,0)),W$2,)</f>
        <v>0</v>
      </c>
      <c r="X305" s="155">
        <f ca="1">IF(ISNUMBER(MATCH(DATEVALUE($A305),'recurring1_based on steps'!X$1:X$400,0)),X$2,)</f>
        <v>0</v>
      </c>
      <c r="Y305" s="155">
        <f ca="1">IF(ISNUMBER(MATCH(DATEVALUE($A305),'recurring1_based on steps'!Y$1:Y$400,0)),Y$2,)</f>
        <v>0</v>
      </c>
      <c r="Z305" s="155">
        <f ca="1">IF(ISNUMBER(MATCH(DATEVALUE($A305),'recurring1_based on steps'!Z$1:Z$400,0)),Z$2,)</f>
        <v>0</v>
      </c>
      <c r="AA305" s="155">
        <f ca="1">IF(ISNUMBER(MATCH(DATEVALUE($A305),'recurring1_based on steps'!AA$1:AA$400,0)),AA$2,)</f>
        <v>0</v>
      </c>
      <c r="AB305" s="155">
        <f ca="1">IF(ISNUMBER(MATCH(DATEVALUE($A305),'recurring1_based on steps'!AB$1:AB$400,0)),AB$2,)</f>
        <v>0</v>
      </c>
      <c r="AC305" s="155">
        <f ca="1">IF(ISNUMBER(MATCH(DATEVALUE($A305),'recurring1_based on steps'!AC$1:AC$400,0)),AC$2,)</f>
        <v>0</v>
      </c>
      <c r="AD305" s="155">
        <f ca="1">IF(ISNUMBER(MATCH(DATEVALUE($A305),'recurring1_based on steps'!AD$1:AD$400,0)),AD$2,)</f>
        <v>0</v>
      </c>
      <c r="AE305" s="155">
        <f ca="1">IF(ISNUMBER(MATCH(DATEVALUE($A305),'recurring1_based on steps'!AE$1:AE$400,0)),AE$2,)</f>
        <v>0</v>
      </c>
      <c r="AF305" s="155">
        <f ca="1">IF(ISNUMBER(MATCH(DATEVALUE($A305),'recurring1_based on steps'!AF$1:AF$400,0)),AF$2,)</f>
        <v>0</v>
      </c>
      <c r="AG305" s="155">
        <f ca="1">IF(ISNUMBER(MATCH(DATEVALUE($A305),'recurring1_based on steps'!AG$1:AG$400,0)),AG$2,)</f>
        <v>0</v>
      </c>
      <c r="AH305" s="155">
        <f ca="1">IF(ISNUMBER(MATCH(DATEVALUE($A305),'recurring1_based on steps'!AH$1:AH$400,0)),AH$2,)</f>
        <v>0</v>
      </c>
      <c r="AI305" s="155">
        <f ca="1">IF(ISNUMBER(MATCH(DATEVALUE($A305),'recurring1_based on steps'!AI$1:AI$400,0)),AI$2,)</f>
        <v>0</v>
      </c>
      <c r="AJ305" s="155">
        <f ca="1">IF(ISNUMBER(MATCH(DATEVALUE($A305),'recurring1_based on steps'!AJ$1:AJ$400,0)),AJ$2,)</f>
        <v>0</v>
      </c>
      <c r="AK305" s="155">
        <f ca="1">IF(ISNUMBER(MATCH(DATEVALUE($A305),'recurring1_based on steps'!AK$1:AK$400,0)),AK$2,)</f>
        <v>0</v>
      </c>
      <c r="AL305" s="155">
        <f ca="1">IF(ISNUMBER(MATCH(DATEVALUE($A305),'recurring1_based on steps'!AL$1:AL$400,0)),AL$2,)</f>
        <v>0</v>
      </c>
      <c r="AM305" s="155">
        <f ca="1">IF(ISNUMBER(MATCH(DATEVALUE($A305),'recurring1_based on steps'!AM$1:AM$400,0)),AM$2,)</f>
        <v>0</v>
      </c>
      <c r="AN305" s="155">
        <f ca="1">IF(ISNUMBER(MATCH(DATEVALUE($A305),'recurring1_based on steps'!AN$1:AN$400,0)),AN$2,)</f>
        <v>0</v>
      </c>
      <c r="AO305" s="155">
        <f ca="1">IF(ISNUMBER(MATCH(DATEVALUE($A305),'recurring1_based on steps'!AO$1:AO$400,0)),AO$2,)</f>
        <v>0</v>
      </c>
      <c r="AP305" s="155">
        <f ca="1">IF(ISNUMBER(MATCH(DATEVALUE($A305),'recurring1_based on steps'!AP$1:AP$400,0)),AP$2,)</f>
        <v>0</v>
      </c>
      <c r="AQ305" s="155">
        <f ca="1">IF(ISNUMBER(MATCH(DATEVALUE($A305),'recurring1_based on steps'!AQ$1:AQ$400,0)),AQ$2,)</f>
        <v>0</v>
      </c>
      <c r="AR305" s="155">
        <f ca="1">IF(ISNUMBER(MATCH(DATEVALUE($A305),'recurring1_based on steps'!AR$1:AR$400,0)),AR$2,)</f>
        <v>0</v>
      </c>
      <c r="AS305" s="155">
        <f ca="1">IF(ISNUMBER(MATCH(DATEVALUE($A305),'recurring1_based on steps'!AS$1:AS$400,0)),AS$2,)</f>
        <v>0</v>
      </c>
      <c r="AT305" s="155">
        <f ca="1">IF(ISNUMBER(MATCH(DATEVALUE($A305),'recurring1_based on steps'!AT$1:AT$400,0)),AT$2,)</f>
        <v>0</v>
      </c>
      <c r="AU305" s="155">
        <f ca="1">IF(ISNUMBER(MATCH(DATEVALUE($A305),'recurring1_based on steps'!AU$1:AU$400,0)),AU$2,)</f>
        <v>0</v>
      </c>
      <c r="AV305" s="155">
        <f ca="1">IF(ISNUMBER(MATCH(DATEVALUE($A305),'recurring1_based on steps'!AV$1:AV$400,0)),AV$2,)</f>
        <v>0</v>
      </c>
      <c r="AW305" s="155">
        <f ca="1">IF(ISNUMBER(MATCH(DATEVALUE($A305),'recurring1_based on steps'!AW$1:AW$400,0)),AW$2,)</f>
        <v>0</v>
      </c>
      <c r="AX305" s="155">
        <f ca="1">IF(ISNUMBER(MATCH(DATEVALUE($A305),'recurring1_based on steps'!AX$1:AX$400,0)),AX$2,)</f>
        <v>0</v>
      </c>
      <c r="AY305" s="155">
        <f ca="1">IF(ISNUMBER(MATCH(DATEVALUE($A305),'recurring1_based on steps'!AY$1:AY$400,0)),AY$2,)</f>
        <v>0</v>
      </c>
    </row>
    <row r="306" spans="1:51" x14ac:dyDescent="0.2">
      <c r="A306" s="18" t="str">
        <f t="shared" ca="1" si="4"/>
        <v>2025-12-01</v>
      </c>
      <c r="B306" s="155">
        <f ca="1">IF(ISNUMBER(MATCH(DATEVALUE($A306),'recurring1_based on steps'!B$1:B$400,0)),B$2,)</f>
        <v>0</v>
      </c>
      <c r="C306" s="155">
        <f ca="1">IF(ISNUMBER(MATCH(DATEVALUE($A306),'recurring1_based on steps'!C$1:C$400,0)),C$2,)</f>
        <v>0</v>
      </c>
      <c r="D306" s="155">
        <f ca="1">IF(ISNUMBER(MATCH(DATEVALUE($A306),'recurring1_based on steps'!D$1:D$400,0)),D$2,)</f>
        <v>0</v>
      </c>
      <c r="E306" s="155">
        <f ca="1">IF(ISNUMBER(MATCH(DATEVALUE($A306),'recurring1_based on steps'!E$1:E$400,0)),E$2,)</f>
        <v>0</v>
      </c>
      <c r="F306" s="155">
        <f ca="1">IF(ISNUMBER(MATCH(DATEVALUE($A306),'recurring1_based on steps'!F$1:F$400,0)),F$2,)</f>
        <v>0</v>
      </c>
      <c r="G306" s="155">
        <f ca="1">IF(ISNUMBER(MATCH(DATEVALUE($A306),'recurring1_based on steps'!G$1:G$400,0)),G$2,)</f>
        <v>0</v>
      </c>
      <c r="H306" s="155">
        <f ca="1">IF(ISNUMBER(MATCH(DATEVALUE($A306),'recurring1_based on steps'!H$1:H$400,0)),H$2,)</f>
        <v>0</v>
      </c>
      <c r="I306" s="155">
        <f ca="1">IF(ISNUMBER(MATCH(DATEVALUE($A306),'recurring1_based on steps'!I$1:I$400,0)),I$2,)</f>
        <v>2000</v>
      </c>
      <c r="J306" s="155">
        <f ca="1">IF(ISNUMBER(MATCH(DATEVALUE($A306),'recurring1_based on steps'!J$1:J$400,0)),J$2,)</f>
        <v>0</v>
      </c>
      <c r="K306" s="155">
        <f ca="1">IF(ISNUMBER(MATCH(DATEVALUE($A306),'recurring1_based on steps'!K$1:K$400,0)),K$2,)</f>
        <v>0</v>
      </c>
      <c r="L306" s="155">
        <f ca="1">IF(ISNUMBER(MATCH(DATEVALUE($A306),'recurring1_based on steps'!L$1:L$400,0)),L$2,)</f>
        <v>0</v>
      </c>
      <c r="M306" s="155">
        <f ca="1">IF(ISNUMBER(MATCH(DATEVALUE($A306),'recurring1_based on steps'!M$1:M$400,0)),M$2,)</f>
        <v>0</v>
      </c>
      <c r="N306" s="155">
        <f ca="1">IF(ISNUMBER(MATCH(DATEVALUE($A306),'recurring1_based on steps'!N$1:N$400,0)),N$2,)</f>
        <v>0</v>
      </c>
      <c r="O306" s="155">
        <f ca="1">IF(ISNUMBER(MATCH(DATEVALUE($A306),'recurring1_based on steps'!O$1:O$400,0)),O$2,)</f>
        <v>0</v>
      </c>
      <c r="P306" s="155">
        <f ca="1">IF(ISNUMBER(MATCH(DATEVALUE($A306),'recurring1_based on steps'!P$1:P$400,0)),P$2,)</f>
        <v>0</v>
      </c>
      <c r="Q306" s="155">
        <f ca="1">IF(ISNUMBER(MATCH(DATEVALUE($A306),'recurring1_based on steps'!Q$1:Q$400,0)),Q$2,)</f>
        <v>0</v>
      </c>
      <c r="R306" s="155">
        <f ca="1">IF(ISNUMBER(MATCH(DATEVALUE($A306),'recurring1_based on steps'!R$1:R$400,0)),R$2,)</f>
        <v>0</v>
      </c>
      <c r="S306" s="155">
        <f ca="1">IF(ISNUMBER(MATCH(DATEVALUE($A306),'recurring1_based on steps'!S$1:S$400,0)),S$2,)</f>
        <v>0</v>
      </c>
      <c r="T306" s="155">
        <f ca="1">IF(ISNUMBER(MATCH(DATEVALUE($A306),'recurring1_based on steps'!T$1:T$400,0)),T$2,)</f>
        <v>0</v>
      </c>
      <c r="U306" s="155">
        <f ca="1">IF(ISNUMBER(MATCH(DATEVALUE($A306),'recurring1_based on steps'!U$1:U$400,0)),U$2,)</f>
        <v>0</v>
      </c>
      <c r="V306" s="155">
        <f ca="1">IF(ISNUMBER(MATCH(DATEVALUE($A306),'recurring1_based on steps'!V$1:V$400,0)),V$2,)</f>
        <v>0</v>
      </c>
      <c r="W306" s="155">
        <f ca="1">IF(ISNUMBER(MATCH(DATEVALUE($A306),'recurring1_based on steps'!W$1:W$400,0)),W$2,)</f>
        <v>0</v>
      </c>
      <c r="X306" s="155">
        <f ca="1">IF(ISNUMBER(MATCH(DATEVALUE($A306),'recurring1_based on steps'!X$1:X$400,0)),X$2,)</f>
        <v>0</v>
      </c>
      <c r="Y306" s="155">
        <f ca="1">IF(ISNUMBER(MATCH(DATEVALUE($A306),'recurring1_based on steps'!Y$1:Y$400,0)),Y$2,)</f>
        <v>0</v>
      </c>
      <c r="Z306" s="155">
        <f ca="1">IF(ISNUMBER(MATCH(DATEVALUE($A306),'recurring1_based on steps'!Z$1:Z$400,0)),Z$2,)</f>
        <v>0</v>
      </c>
      <c r="AA306" s="155">
        <f ca="1">IF(ISNUMBER(MATCH(DATEVALUE($A306),'recurring1_based on steps'!AA$1:AA$400,0)),AA$2,)</f>
        <v>0</v>
      </c>
      <c r="AB306" s="155">
        <f ca="1">IF(ISNUMBER(MATCH(DATEVALUE($A306),'recurring1_based on steps'!AB$1:AB$400,0)),AB$2,)</f>
        <v>0</v>
      </c>
      <c r="AC306" s="155">
        <f ca="1">IF(ISNUMBER(MATCH(DATEVALUE($A306),'recurring1_based on steps'!AC$1:AC$400,0)),AC$2,)</f>
        <v>0</v>
      </c>
      <c r="AD306" s="155">
        <f ca="1">IF(ISNUMBER(MATCH(DATEVALUE($A306),'recurring1_based on steps'!AD$1:AD$400,0)),AD$2,)</f>
        <v>0</v>
      </c>
      <c r="AE306" s="155">
        <f ca="1">IF(ISNUMBER(MATCH(DATEVALUE($A306),'recurring1_based on steps'!AE$1:AE$400,0)),AE$2,)</f>
        <v>0</v>
      </c>
      <c r="AF306" s="155">
        <f ca="1">IF(ISNUMBER(MATCH(DATEVALUE($A306),'recurring1_based on steps'!AF$1:AF$400,0)),AF$2,)</f>
        <v>0</v>
      </c>
      <c r="AG306" s="155">
        <f ca="1">IF(ISNUMBER(MATCH(DATEVALUE($A306),'recurring1_based on steps'!AG$1:AG$400,0)),AG$2,)</f>
        <v>0</v>
      </c>
      <c r="AH306" s="155">
        <f ca="1">IF(ISNUMBER(MATCH(DATEVALUE($A306),'recurring1_based on steps'!AH$1:AH$400,0)),AH$2,)</f>
        <v>0</v>
      </c>
      <c r="AI306" s="155">
        <f ca="1">IF(ISNUMBER(MATCH(DATEVALUE($A306),'recurring1_based on steps'!AI$1:AI$400,0)),AI$2,)</f>
        <v>0</v>
      </c>
      <c r="AJ306" s="155">
        <f ca="1">IF(ISNUMBER(MATCH(DATEVALUE($A306),'recurring1_based on steps'!AJ$1:AJ$400,0)),AJ$2,)</f>
        <v>0</v>
      </c>
      <c r="AK306" s="155">
        <f ca="1">IF(ISNUMBER(MATCH(DATEVALUE($A306),'recurring1_based on steps'!AK$1:AK$400,0)),AK$2,)</f>
        <v>0</v>
      </c>
      <c r="AL306" s="155">
        <f ca="1">IF(ISNUMBER(MATCH(DATEVALUE($A306),'recurring1_based on steps'!AL$1:AL$400,0)),AL$2,)</f>
        <v>0</v>
      </c>
      <c r="AM306" s="155">
        <f ca="1">IF(ISNUMBER(MATCH(DATEVALUE($A306),'recurring1_based on steps'!AM$1:AM$400,0)),AM$2,)</f>
        <v>0</v>
      </c>
      <c r="AN306" s="155">
        <f ca="1">IF(ISNUMBER(MATCH(DATEVALUE($A306),'recurring1_based on steps'!AN$1:AN$400,0)),AN$2,)</f>
        <v>0</v>
      </c>
      <c r="AO306" s="155">
        <f ca="1">IF(ISNUMBER(MATCH(DATEVALUE($A306),'recurring1_based on steps'!AO$1:AO$400,0)),AO$2,)</f>
        <v>0</v>
      </c>
      <c r="AP306" s="155">
        <f ca="1">IF(ISNUMBER(MATCH(DATEVALUE($A306),'recurring1_based on steps'!AP$1:AP$400,0)),AP$2,)</f>
        <v>0</v>
      </c>
      <c r="AQ306" s="155">
        <f ca="1">IF(ISNUMBER(MATCH(DATEVALUE($A306),'recurring1_based on steps'!AQ$1:AQ$400,0)),AQ$2,)</f>
        <v>0</v>
      </c>
      <c r="AR306" s="155">
        <f ca="1">IF(ISNUMBER(MATCH(DATEVALUE($A306),'recurring1_based on steps'!AR$1:AR$400,0)),AR$2,)</f>
        <v>0</v>
      </c>
      <c r="AS306" s="155">
        <f ca="1">IF(ISNUMBER(MATCH(DATEVALUE($A306),'recurring1_based on steps'!AS$1:AS$400,0)),AS$2,)</f>
        <v>0</v>
      </c>
      <c r="AT306" s="155">
        <f ca="1">IF(ISNUMBER(MATCH(DATEVALUE($A306),'recurring1_based on steps'!AT$1:AT$400,0)),AT$2,)</f>
        <v>0</v>
      </c>
      <c r="AU306" s="155">
        <f ca="1">IF(ISNUMBER(MATCH(DATEVALUE($A306),'recurring1_based on steps'!AU$1:AU$400,0)),AU$2,)</f>
        <v>0</v>
      </c>
      <c r="AV306" s="155">
        <f ca="1">IF(ISNUMBER(MATCH(DATEVALUE($A306),'recurring1_based on steps'!AV$1:AV$400,0)),AV$2,)</f>
        <v>0</v>
      </c>
      <c r="AW306" s="155">
        <f ca="1">IF(ISNUMBER(MATCH(DATEVALUE($A306),'recurring1_based on steps'!AW$1:AW$400,0)),AW$2,)</f>
        <v>0</v>
      </c>
      <c r="AX306" s="155">
        <f ca="1">IF(ISNUMBER(MATCH(DATEVALUE($A306),'recurring1_based on steps'!AX$1:AX$400,0)),AX$2,)</f>
        <v>0</v>
      </c>
      <c r="AY306" s="155">
        <f ca="1">IF(ISNUMBER(MATCH(DATEVALUE($A306),'recurring1_based on steps'!AY$1:AY$400,0)),AY$2,)</f>
        <v>0</v>
      </c>
    </row>
    <row r="307" spans="1:51" x14ac:dyDescent="0.2">
      <c r="A307" s="18" t="str">
        <f t="shared" ca="1" si="4"/>
        <v>2025-12-02</v>
      </c>
      <c r="B307" s="155">
        <f ca="1">IF(ISNUMBER(MATCH(DATEVALUE($A307),'recurring1_based on steps'!B$1:B$400,0)),B$2,)</f>
        <v>0</v>
      </c>
      <c r="C307" s="155">
        <f ca="1">IF(ISNUMBER(MATCH(DATEVALUE($A307),'recurring1_based on steps'!C$1:C$400,0)),C$2,)</f>
        <v>0</v>
      </c>
      <c r="D307" s="155">
        <f ca="1">IF(ISNUMBER(MATCH(DATEVALUE($A307),'recurring1_based on steps'!D$1:D$400,0)),D$2,)</f>
        <v>0</v>
      </c>
      <c r="E307" s="155">
        <f ca="1">IF(ISNUMBER(MATCH(DATEVALUE($A307),'recurring1_based on steps'!E$1:E$400,0)),E$2,)</f>
        <v>0</v>
      </c>
      <c r="F307" s="155">
        <f ca="1">IF(ISNUMBER(MATCH(DATEVALUE($A307),'recurring1_based on steps'!F$1:F$400,0)),F$2,)</f>
        <v>0</v>
      </c>
      <c r="G307" s="155">
        <f ca="1">IF(ISNUMBER(MATCH(DATEVALUE($A307),'recurring1_based on steps'!G$1:G$400,0)),G$2,)</f>
        <v>0</v>
      </c>
      <c r="H307" s="155">
        <f ca="1">IF(ISNUMBER(MATCH(DATEVALUE($A307),'recurring1_based on steps'!H$1:H$400,0)),H$2,)</f>
        <v>0</v>
      </c>
      <c r="I307" s="155">
        <f ca="1">IF(ISNUMBER(MATCH(DATEVALUE($A307),'recurring1_based on steps'!I$1:I$400,0)),I$2,)</f>
        <v>0</v>
      </c>
      <c r="J307" s="155">
        <f ca="1">IF(ISNUMBER(MATCH(DATEVALUE($A307),'recurring1_based on steps'!J$1:J$400,0)),J$2,)</f>
        <v>0</v>
      </c>
      <c r="K307" s="155">
        <f ca="1">IF(ISNUMBER(MATCH(DATEVALUE($A307),'recurring1_based on steps'!K$1:K$400,0)),K$2,)</f>
        <v>0</v>
      </c>
      <c r="L307" s="155">
        <f ca="1">IF(ISNUMBER(MATCH(DATEVALUE($A307),'recurring1_based on steps'!L$1:L$400,0)),L$2,)</f>
        <v>0</v>
      </c>
      <c r="M307" s="155">
        <f ca="1">IF(ISNUMBER(MATCH(DATEVALUE($A307),'recurring1_based on steps'!M$1:M$400,0)),M$2,)</f>
        <v>0</v>
      </c>
      <c r="N307" s="155">
        <f ca="1">IF(ISNUMBER(MATCH(DATEVALUE($A307),'recurring1_based on steps'!N$1:N$400,0)),N$2,)</f>
        <v>0</v>
      </c>
      <c r="O307" s="155">
        <f ca="1">IF(ISNUMBER(MATCH(DATEVALUE($A307),'recurring1_based on steps'!O$1:O$400,0)),O$2,)</f>
        <v>0</v>
      </c>
      <c r="P307" s="155">
        <f ca="1">IF(ISNUMBER(MATCH(DATEVALUE($A307),'recurring1_based on steps'!P$1:P$400,0)),P$2,)</f>
        <v>0</v>
      </c>
      <c r="Q307" s="155">
        <f ca="1">IF(ISNUMBER(MATCH(DATEVALUE($A307),'recurring1_based on steps'!Q$1:Q$400,0)),Q$2,)</f>
        <v>0</v>
      </c>
      <c r="R307" s="155">
        <f ca="1">IF(ISNUMBER(MATCH(DATEVALUE($A307),'recurring1_based on steps'!R$1:R$400,0)),R$2,)</f>
        <v>0</v>
      </c>
      <c r="S307" s="155">
        <f ca="1">IF(ISNUMBER(MATCH(DATEVALUE($A307),'recurring1_based on steps'!S$1:S$400,0)),S$2,)</f>
        <v>0</v>
      </c>
      <c r="T307" s="155">
        <f ca="1">IF(ISNUMBER(MATCH(DATEVALUE($A307),'recurring1_based on steps'!T$1:T$400,0)),T$2,)</f>
        <v>0</v>
      </c>
      <c r="U307" s="155">
        <f ca="1">IF(ISNUMBER(MATCH(DATEVALUE($A307),'recurring1_based on steps'!U$1:U$400,0)),U$2,)</f>
        <v>0</v>
      </c>
      <c r="V307" s="155">
        <f ca="1">IF(ISNUMBER(MATCH(DATEVALUE($A307),'recurring1_based on steps'!V$1:V$400,0)),V$2,)</f>
        <v>0</v>
      </c>
      <c r="W307" s="155">
        <f ca="1">IF(ISNUMBER(MATCH(DATEVALUE($A307),'recurring1_based on steps'!W$1:W$400,0)),W$2,)</f>
        <v>0</v>
      </c>
      <c r="X307" s="155">
        <f ca="1">IF(ISNUMBER(MATCH(DATEVALUE($A307),'recurring1_based on steps'!X$1:X$400,0)),X$2,)</f>
        <v>0</v>
      </c>
      <c r="Y307" s="155">
        <f ca="1">IF(ISNUMBER(MATCH(DATEVALUE($A307),'recurring1_based on steps'!Y$1:Y$400,0)),Y$2,)</f>
        <v>0</v>
      </c>
      <c r="Z307" s="155">
        <f ca="1">IF(ISNUMBER(MATCH(DATEVALUE($A307),'recurring1_based on steps'!Z$1:Z$400,0)),Z$2,)</f>
        <v>0</v>
      </c>
      <c r="AA307" s="155">
        <f ca="1">IF(ISNUMBER(MATCH(DATEVALUE($A307),'recurring1_based on steps'!AA$1:AA$400,0)),AA$2,)</f>
        <v>0</v>
      </c>
      <c r="AB307" s="155">
        <f ca="1">IF(ISNUMBER(MATCH(DATEVALUE($A307),'recurring1_based on steps'!AB$1:AB$400,0)),AB$2,)</f>
        <v>0</v>
      </c>
      <c r="AC307" s="155">
        <f ca="1">IF(ISNUMBER(MATCH(DATEVALUE($A307),'recurring1_based on steps'!AC$1:AC$400,0)),AC$2,)</f>
        <v>0</v>
      </c>
      <c r="AD307" s="155">
        <f ca="1">IF(ISNUMBER(MATCH(DATEVALUE($A307),'recurring1_based on steps'!AD$1:AD$400,0)),AD$2,)</f>
        <v>0</v>
      </c>
      <c r="AE307" s="155">
        <f ca="1">IF(ISNUMBER(MATCH(DATEVALUE($A307),'recurring1_based on steps'!AE$1:AE$400,0)),AE$2,)</f>
        <v>0</v>
      </c>
      <c r="AF307" s="155">
        <f ca="1">IF(ISNUMBER(MATCH(DATEVALUE($A307),'recurring1_based on steps'!AF$1:AF$400,0)),AF$2,)</f>
        <v>0</v>
      </c>
      <c r="AG307" s="155">
        <f ca="1">IF(ISNUMBER(MATCH(DATEVALUE($A307),'recurring1_based on steps'!AG$1:AG$400,0)),AG$2,)</f>
        <v>0</v>
      </c>
      <c r="AH307" s="155">
        <f ca="1">IF(ISNUMBER(MATCH(DATEVALUE($A307),'recurring1_based on steps'!AH$1:AH$400,0)),AH$2,)</f>
        <v>0</v>
      </c>
      <c r="AI307" s="155">
        <f ca="1">IF(ISNUMBER(MATCH(DATEVALUE($A307),'recurring1_based on steps'!AI$1:AI$400,0)),AI$2,)</f>
        <v>0</v>
      </c>
      <c r="AJ307" s="155">
        <f ca="1">IF(ISNUMBER(MATCH(DATEVALUE($A307),'recurring1_based on steps'!AJ$1:AJ$400,0)),AJ$2,)</f>
        <v>0</v>
      </c>
      <c r="AK307" s="155">
        <f ca="1">IF(ISNUMBER(MATCH(DATEVALUE($A307),'recurring1_based on steps'!AK$1:AK$400,0)),AK$2,)</f>
        <v>0</v>
      </c>
      <c r="AL307" s="155">
        <f ca="1">IF(ISNUMBER(MATCH(DATEVALUE($A307),'recurring1_based on steps'!AL$1:AL$400,0)),AL$2,)</f>
        <v>0</v>
      </c>
      <c r="AM307" s="155">
        <f ca="1">IF(ISNUMBER(MATCH(DATEVALUE($A307),'recurring1_based on steps'!AM$1:AM$400,0)),AM$2,)</f>
        <v>0</v>
      </c>
      <c r="AN307" s="155">
        <f ca="1">IF(ISNUMBER(MATCH(DATEVALUE($A307),'recurring1_based on steps'!AN$1:AN$400,0)),AN$2,)</f>
        <v>0</v>
      </c>
      <c r="AO307" s="155">
        <f ca="1">IF(ISNUMBER(MATCH(DATEVALUE($A307),'recurring1_based on steps'!AO$1:AO$400,0)),AO$2,)</f>
        <v>0</v>
      </c>
      <c r="AP307" s="155">
        <f ca="1">IF(ISNUMBER(MATCH(DATEVALUE($A307),'recurring1_based on steps'!AP$1:AP$400,0)),AP$2,)</f>
        <v>0</v>
      </c>
      <c r="AQ307" s="155">
        <f ca="1">IF(ISNUMBER(MATCH(DATEVALUE($A307),'recurring1_based on steps'!AQ$1:AQ$400,0)),AQ$2,)</f>
        <v>0</v>
      </c>
      <c r="AR307" s="155">
        <f ca="1">IF(ISNUMBER(MATCH(DATEVALUE($A307),'recurring1_based on steps'!AR$1:AR$400,0)),AR$2,)</f>
        <v>0</v>
      </c>
      <c r="AS307" s="155">
        <f ca="1">IF(ISNUMBER(MATCH(DATEVALUE($A307),'recurring1_based on steps'!AS$1:AS$400,0)),AS$2,)</f>
        <v>0</v>
      </c>
      <c r="AT307" s="155">
        <f ca="1">IF(ISNUMBER(MATCH(DATEVALUE($A307),'recurring1_based on steps'!AT$1:AT$400,0)),AT$2,)</f>
        <v>0</v>
      </c>
      <c r="AU307" s="155">
        <f ca="1">IF(ISNUMBER(MATCH(DATEVALUE($A307),'recurring1_based on steps'!AU$1:AU$400,0)),AU$2,)</f>
        <v>0</v>
      </c>
      <c r="AV307" s="155">
        <f ca="1">IF(ISNUMBER(MATCH(DATEVALUE($A307),'recurring1_based on steps'!AV$1:AV$400,0)),AV$2,)</f>
        <v>0</v>
      </c>
      <c r="AW307" s="155">
        <f ca="1">IF(ISNUMBER(MATCH(DATEVALUE($A307),'recurring1_based on steps'!AW$1:AW$400,0)),AW$2,)</f>
        <v>0</v>
      </c>
      <c r="AX307" s="155">
        <f ca="1">IF(ISNUMBER(MATCH(DATEVALUE($A307),'recurring1_based on steps'!AX$1:AX$400,0)),AX$2,)</f>
        <v>0</v>
      </c>
      <c r="AY307" s="155">
        <f ca="1">IF(ISNUMBER(MATCH(DATEVALUE($A307),'recurring1_based on steps'!AY$1:AY$400,0)),AY$2,)</f>
        <v>0</v>
      </c>
    </row>
    <row r="308" spans="1:51" x14ac:dyDescent="0.2">
      <c r="A308" s="18" t="str">
        <f t="shared" ca="1" si="4"/>
        <v>2025-12-03</v>
      </c>
      <c r="B308" s="155">
        <f ca="1">IF(ISNUMBER(MATCH(DATEVALUE($A308),'recurring1_based on steps'!B$1:B$400,0)),B$2,)</f>
        <v>0</v>
      </c>
      <c r="C308" s="155">
        <f ca="1">IF(ISNUMBER(MATCH(DATEVALUE($A308),'recurring1_based on steps'!C$1:C$400,0)),C$2,)</f>
        <v>0</v>
      </c>
      <c r="D308" s="155">
        <f ca="1">IF(ISNUMBER(MATCH(DATEVALUE($A308),'recurring1_based on steps'!D$1:D$400,0)),D$2,)</f>
        <v>0</v>
      </c>
      <c r="E308" s="155">
        <f ca="1">IF(ISNUMBER(MATCH(DATEVALUE($A308),'recurring1_based on steps'!E$1:E$400,0)),E$2,)</f>
        <v>0</v>
      </c>
      <c r="F308" s="155">
        <f ca="1">IF(ISNUMBER(MATCH(DATEVALUE($A308),'recurring1_based on steps'!F$1:F$400,0)),F$2,)</f>
        <v>0</v>
      </c>
      <c r="G308" s="155">
        <f ca="1">IF(ISNUMBER(MATCH(DATEVALUE($A308),'recurring1_based on steps'!G$1:G$400,0)),G$2,)</f>
        <v>0</v>
      </c>
      <c r="H308" s="155">
        <f ca="1">IF(ISNUMBER(MATCH(DATEVALUE($A308),'recurring1_based on steps'!H$1:H$400,0)),H$2,)</f>
        <v>0</v>
      </c>
      <c r="I308" s="155">
        <f ca="1">IF(ISNUMBER(MATCH(DATEVALUE($A308),'recurring1_based on steps'!I$1:I$400,0)),I$2,)</f>
        <v>0</v>
      </c>
      <c r="J308" s="155">
        <f ca="1">IF(ISNUMBER(MATCH(DATEVALUE($A308),'recurring1_based on steps'!J$1:J$400,0)),J$2,)</f>
        <v>0</v>
      </c>
      <c r="K308" s="155">
        <f ca="1">IF(ISNUMBER(MATCH(DATEVALUE($A308),'recurring1_based on steps'!K$1:K$400,0)),K$2,)</f>
        <v>0</v>
      </c>
      <c r="L308" s="155">
        <f ca="1">IF(ISNUMBER(MATCH(DATEVALUE($A308),'recurring1_based on steps'!L$1:L$400,0)),L$2,)</f>
        <v>0</v>
      </c>
      <c r="M308" s="155">
        <f ca="1">IF(ISNUMBER(MATCH(DATEVALUE($A308),'recurring1_based on steps'!M$1:M$400,0)),M$2,)</f>
        <v>0</v>
      </c>
      <c r="N308" s="155">
        <f ca="1">IF(ISNUMBER(MATCH(DATEVALUE($A308),'recurring1_based on steps'!N$1:N$400,0)),N$2,)</f>
        <v>0</v>
      </c>
      <c r="O308" s="155">
        <f ca="1">IF(ISNUMBER(MATCH(DATEVALUE($A308),'recurring1_based on steps'!O$1:O$400,0)),O$2,)</f>
        <v>0</v>
      </c>
      <c r="P308" s="155">
        <f ca="1">IF(ISNUMBER(MATCH(DATEVALUE($A308),'recurring1_based on steps'!P$1:P$400,0)),P$2,)</f>
        <v>0</v>
      </c>
      <c r="Q308" s="155">
        <f ca="1">IF(ISNUMBER(MATCH(DATEVALUE($A308),'recurring1_based on steps'!Q$1:Q$400,0)),Q$2,)</f>
        <v>0</v>
      </c>
      <c r="R308" s="155">
        <f ca="1">IF(ISNUMBER(MATCH(DATEVALUE($A308),'recurring1_based on steps'!R$1:R$400,0)),R$2,)</f>
        <v>0</v>
      </c>
      <c r="S308" s="155">
        <f ca="1">IF(ISNUMBER(MATCH(DATEVALUE($A308),'recurring1_based on steps'!S$1:S$400,0)),S$2,)</f>
        <v>0</v>
      </c>
      <c r="T308" s="155">
        <f ca="1">IF(ISNUMBER(MATCH(DATEVALUE($A308),'recurring1_based on steps'!T$1:T$400,0)),T$2,)</f>
        <v>0</v>
      </c>
      <c r="U308" s="155">
        <f ca="1">IF(ISNUMBER(MATCH(DATEVALUE($A308),'recurring1_based on steps'!U$1:U$400,0)),U$2,)</f>
        <v>0</v>
      </c>
      <c r="V308" s="155">
        <f ca="1">IF(ISNUMBER(MATCH(DATEVALUE($A308),'recurring1_based on steps'!V$1:V$400,0)),V$2,)</f>
        <v>0</v>
      </c>
      <c r="W308" s="155">
        <f ca="1">IF(ISNUMBER(MATCH(DATEVALUE($A308),'recurring1_based on steps'!W$1:W$400,0)),W$2,)</f>
        <v>0</v>
      </c>
      <c r="X308" s="155">
        <f ca="1">IF(ISNUMBER(MATCH(DATEVALUE($A308),'recurring1_based on steps'!X$1:X$400,0)),X$2,)</f>
        <v>0</v>
      </c>
      <c r="Y308" s="155">
        <f ca="1">IF(ISNUMBER(MATCH(DATEVALUE($A308),'recurring1_based on steps'!Y$1:Y$400,0)),Y$2,)</f>
        <v>0</v>
      </c>
      <c r="Z308" s="155">
        <f ca="1">IF(ISNUMBER(MATCH(DATEVALUE($A308),'recurring1_based on steps'!Z$1:Z$400,0)),Z$2,)</f>
        <v>0</v>
      </c>
      <c r="AA308" s="155">
        <f ca="1">IF(ISNUMBER(MATCH(DATEVALUE($A308),'recurring1_based on steps'!AA$1:AA$400,0)),AA$2,)</f>
        <v>0</v>
      </c>
      <c r="AB308" s="155">
        <f ca="1">IF(ISNUMBER(MATCH(DATEVALUE($A308),'recurring1_based on steps'!AB$1:AB$400,0)),AB$2,)</f>
        <v>0</v>
      </c>
      <c r="AC308" s="155">
        <f ca="1">IF(ISNUMBER(MATCH(DATEVALUE($A308),'recurring1_based on steps'!AC$1:AC$400,0)),AC$2,)</f>
        <v>0</v>
      </c>
      <c r="AD308" s="155">
        <f ca="1">IF(ISNUMBER(MATCH(DATEVALUE($A308),'recurring1_based on steps'!AD$1:AD$400,0)),AD$2,)</f>
        <v>0</v>
      </c>
      <c r="AE308" s="155">
        <f ca="1">IF(ISNUMBER(MATCH(DATEVALUE($A308),'recurring1_based on steps'!AE$1:AE$400,0)),AE$2,)</f>
        <v>0</v>
      </c>
      <c r="AF308" s="155">
        <f ca="1">IF(ISNUMBER(MATCH(DATEVALUE($A308),'recurring1_based on steps'!AF$1:AF$400,0)),AF$2,)</f>
        <v>0</v>
      </c>
      <c r="AG308" s="155">
        <f ca="1">IF(ISNUMBER(MATCH(DATEVALUE($A308),'recurring1_based on steps'!AG$1:AG$400,0)),AG$2,)</f>
        <v>0</v>
      </c>
      <c r="AH308" s="155">
        <f ca="1">IF(ISNUMBER(MATCH(DATEVALUE($A308),'recurring1_based on steps'!AH$1:AH$400,0)),AH$2,)</f>
        <v>0</v>
      </c>
      <c r="AI308" s="155">
        <f ca="1">IF(ISNUMBER(MATCH(DATEVALUE($A308),'recurring1_based on steps'!AI$1:AI$400,0)),AI$2,)</f>
        <v>0</v>
      </c>
      <c r="AJ308" s="155">
        <f ca="1">IF(ISNUMBER(MATCH(DATEVALUE($A308),'recurring1_based on steps'!AJ$1:AJ$400,0)),AJ$2,)</f>
        <v>0</v>
      </c>
      <c r="AK308" s="155">
        <f ca="1">IF(ISNUMBER(MATCH(DATEVALUE($A308),'recurring1_based on steps'!AK$1:AK$400,0)),AK$2,)</f>
        <v>0</v>
      </c>
      <c r="AL308" s="155">
        <f ca="1">IF(ISNUMBER(MATCH(DATEVALUE($A308),'recurring1_based on steps'!AL$1:AL$400,0)),AL$2,)</f>
        <v>0</v>
      </c>
      <c r="AM308" s="155">
        <f ca="1">IF(ISNUMBER(MATCH(DATEVALUE($A308),'recurring1_based on steps'!AM$1:AM$400,0)),AM$2,)</f>
        <v>0</v>
      </c>
      <c r="AN308" s="155">
        <f ca="1">IF(ISNUMBER(MATCH(DATEVALUE($A308),'recurring1_based on steps'!AN$1:AN$400,0)),AN$2,)</f>
        <v>0</v>
      </c>
      <c r="AO308" s="155">
        <f ca="1">IF(ISNUMBER(MATCH(DATEVALUE($A308),'recurring1_based on steps'!AO$1:AO$400,0)),AO$2,)</f>
        <v>0</v>
      </c>
      <c r="AP308" s="155">
        <f ca="1">IF(ISNUMBER(MATCH(DATEVALUE($A308),'recurring1_based on steps'!AP$1:AP$400,0)),AP$2,)</f>
        <v>0</v>
      </c>
      <c r="AQ308" s="155">
        <f ca="1">IF(ISNUMBER(MATCH(DATEVALUE($A308),'recurring1_based on steps'!AQ$1:AQ$400,0)),AQ$2,)</f>
        <v>0</v>
      </c>
      <c r="AR308" s="155">
        <f ca="1">IF(ISNUMBER(MATCH(DATEVALUE($A308),'recurring1_based on steps'!AR$1:AR$400,0)),AR$2,)</f>
        <v>0</v>
      </c>
      <c r="AS308" s="155">
        <f ca="1">IF(ISNUMBER(MATCH(DATEVALUE($A308),'recurring1_based on steps'!AS$1:AS$400,0)),AS$2,)</f>
        <v>0</v>
      </c>
      <c r="AT308" s="155">
        <f ca="1">IF(ISNUMBER(MATCH(DATEVALUE($A308),'recurring1_based on steps'!AT$1:AT$400,0)),AT$2,)</f>
        <v>0</v>
      </c>
      <c r="AU308" s="155">
        <f ca="1">IF(ISNUMBER(MATCH(DATEVALUE($A308),'recurring1_based on steps'!AU$1:AU$400,0)),AU$2,)</f>
        <v>0</v>
      </c>
      <c r="AV308" s="155">
        <f ca="1">IF(ISNUMBER(MATCH(DATEVALUE($A308),'recurring1_based on steps'!AV$1:AV$400,0)),AV$2,)</f>
        <v>0</v>
      </c>
      <c r="AW308" s="155">
        <f ca="1">IF(ISNUMBER(MATCH(DATEVALUE($A308),'recurring1_based on steps'!AW$1:AW$400,0)),AW$2,)</f>
        <v>0</v>
      </c>
      <c r="AX308" s="155">
        <f ca="1">IF(ISNUMBER(MATCH(DATEVALUE($A308),'recurring1_based on steps'!AX$1:AX$400,0)),AX$2,)</f>
        <v>0</v>
      </c>
      <c r="AY308" s="155">
        <f ca="1">IF(ISNUMBER(MATCH(DATEVALUE($A308),'recurring1_based on steps'!AY$1:AY$400,0)),AY$2,)</f>
        <v>0</v>
      </c>
    </row>
    <row r="309" spans="1:51" x14ac:dyDescent="0.2">
      <c r="A309" s="18" t="str">
        <f t="shared" ca="1" si="4"/>
        <v>2025-12-04</v>
      </c>
      <c r="B309" s="155">
        <f ca="1">IF(ISNUMBER(MATCH(DATEVALUE($A309),'recurring1_based on steps'!B$1:B$400,0)),B$2,)</f>
        <v>0</v>
      </c>
      <c r="C309" s="155">
        <f ca="1">IF(ISNUMBER(MATCH(DATEVALUE($A309),'recurring1_based on steps'!C$1:C$400,0)),C$2,)</f>
        <v>0</v>
      </c>
      <c r="D309" s="155">
        <f ca="1">IF(ISNUMBER(MATCH(DATEVALUE($A309),'recurring1_based on steps'!D$1:D$400,0)),D$2,)</f>
        <v>0</v>
      </c>
      <c r="E309" s="155">
        <f ca="1">IF(ISNUMBER(MATCH(DATEVALUE($A309),'recurring1_based on steps'!E$1:E$400,0)),E$2,)</f>
        <v>0</v>
      </c>
      <c r="F309" s="155">
        <f ca="1">IF(ISNUMBER(MATCH(DATEVALUE($A309),'recurring1_based on steps'!F$1:F$400,0)),F$2,)</f>
        <v>0</v>
      </c>
      <c r="G309" s="155">
        <f ca="1">IF(ISNUMBER(MATCH(DATEVALUE($A309),'recurring1_based on steps'!G$1:G$400,0)),G$2,)</f>
        <v>0</v>
      </c>
      <c r="H309" s="155">
        <f ca="1">IF(ISNUMBER(MATCH(DATEVALUE($A309),'recurring1_based on steps'!H$1:H$400,0)),H$2,)</f>
        <v>0</v>
      </c>
      <c r="I309" s="155">
        <f ca="1">IF(ISNUMBER(MATCH(DATEVALUE($A309),'recurring1_based on steps'!I$1:I$400,0)),I$2,)</f>
        <v>0</v>
      </c>
      <c r="J309" s="155">
        <f ca="1">IF(ISNUMBER(MATCH(DATEVALUE($A309),'recurring1_based on steps'!J$1:J$400,0)),J$2,)</f>
        <v>0</v>
      </c>
      <c r="K309" s="155">
        <f ca="1">IF(ISNUMBER(MATCH(DATEVALUE($A309),'recurring1_based on steps'!K$1:K$400,0)),K$2,)</f>
        <v>0</v>
      </c>
      <c r="L309" s="155">
        <f ca="1">IF(ISNUMBER(MATCH(DATEVALUE($A309),'recurring1_based on steps'!L$1:L$400,0)),L$2,)</f>
        <v>0</v>
      </c>
      <c r="M309" s="155">
        <f ca="1">IF(ISNUMBER(MATCH(DATEVALUE($A309),'recurring1_based on steps'!M$1:M$400,0)),M$2,)</f>
        <v>15</v>
      </c>
      <c r="N309" s="155">
        <f ca="1">IF(ISNUMBER(MATCH(DATEVALUE($A309),'recurring1_based on steps'!N$1:N$400,0)),N$2,)</f>
        <v>0</v>
      </c>
      <c r="O309" s="155">
        <f ca="1">IF(ISNUMBER(MATCH(DATEVALUE($A309),'recurring1_based on steps'!O$1:O$400,0)),O$2,)</f>
        <v>0</v>
      </c>
      <c r="P309" s="155">
        <f ca="1">IF(ISNUMBER(MATCH(DATEVALUE($A309),'recurring1_based on steps'!P$1:P$400,0)),P$2,)</f>
        <v>0</v>
      </c>
      <c r="Q309" s="155">
        <f ca="1">IF(ISNUMBER(MATCH(DATEVALUE($A309),'recurring1_based on steps'!Q$1:Q$400,0)),Q$2,)</f>
        <v>0</v>
      </c>
      <c r="R309" s="155">
        <f ca="1">IF(ISNUMBER(MATCH(DATEVALUE($A309),'recurring1_based on steps'!R$1:R$400,0)),R$2,)</f>
        <v>0</v>
      </c>
      <c r="S309" s="155">
        <f ca="1">IF(ISNUMBER(MATCH(DATEVALUE($A309),'recurring1_based on steps'!S$1:S$400,0)),S$2,)</f>
        <v>0</v>
      </c>
      <c r="T309" s="155">
        <f ca="1">IF(ISNUMBER(MATCH(DATEVALUE($A309),'recurring1_based on steps'!T$1:T$400,0)),T$2,)</f>
        <v>0</v>
      </c>
      <c r="U309" s="155">
        <f ca="1">IF(ISNUMBER(MATCH(DATEVALUE($A309),'recurring1_based on steps'!U$1:U$400,0)),U$2,)</f>
        <v>0</v>
      </c>
      <c r="V309" s="155">
        <f ca="1">IF(ISNUMBER(MATCH(DATEVALUE($A309),'recurring1_based on steps'!V$1:V$400,0)),V$2,)</f>
        <v>0</v>
      </c>
      <c r="W309" s="155">
        <f ca="1">IF(ISNUMBER(MATCH(DATEVALUE($A309),'recurring1_based on steps'!W$1:W$400,0)),W$2,)</f>
        <v>0</v>
      </c>
      <c r="X309" s="155">
        <f ca="1">IF(ISNUMBER(MATCH(DATEVALUE($A309),'recurring1_based on steps'!X$1:X$400,0)),X$2,)</f>
        <v>0</v>
      </c>
      <c r="Y309" s="155">
        <f ca="1">IF(ISNUMBER(MATCH(DATEVALUE($A309),'recurring1_based on steps'!Y$1:Y$400,0)),Y$2,)</f>
        <v>0</v>
      </c>
      <c r="Z309" s="155">
        <f ca="1">IF(ISNUMBER(MATCH(DATEVALUE($A309),'recurring1_based on steps'!Z$1:Z$400,0)),Z$2,)</f>
        <v>0</v>
      </c>
      <c r="AA309" s="155">
        <f ca="1">IF(ISNUMBER(MATCH(DATEVALUE($A309),'recurring1_based on steps'!AA$1:AA$400,0)),AA$2,)</f>
        <v>0</v>
      </c>
      <c r="AB309" s="155">
        <f ca="1">IF(ISNUMBER(MATCH(DATEVALUE($A309),'recurring1_based on steps'!AB$1:AB$400,0)),AB$2,)</f>
        <v>0</v>
      </c>
      <c r="AC309" s="155">
        <f ca="1">IF(ISNUMBER(MATCH(DATEVALUE($A309),'recurring1_based on steps'!AC$1:AC$400,0)),AC$2,)</f>
        <v>0</v>
      </c>
      <c r="AD309" s="155">
        <f ca="1">IF(ISNUMBER(MATCH(DATEVALUE($A309),'recurring1_based on steps'!AD$1:AD$400,0)),AD$2,)</f>
        <v>0</v>
      </c>
      <c r="AE309" s="155">
        <f ca="1">IF(ISNUMBER(MATCH(DATEVALUE($A309),'recurring1_based on steps'!AE$1:AE$400,0)),AE$2,)</f>
        <v>0</v>
      </c>
      <c r="AF309" s="155">
        <f ca="1">IF(ISNUMBER(MATCH(DATEVALUE($A309),'recurring1_based on steps'!AF$1:AF$400,0)),AF$2,)</f>
        <v>0</v>
      </c>
      <c r="AG309" s="155">
        <f ca="1">IF(ISNUMBER(MATCH(DATEVALUE($A309),'recurring1_based on steps'!AG$1:AG$400,0)),AG$2,)</f>
        <v>0</v>
      </c>
      <c r="AH309" s="155">
        <f ca="1">IF(ISNUMBER(MATCH(DATEVALUE($A309),'recurring1_based on steps'!AH$1:AH$400,0)),AH$2,)</f>
        <v>0</v>
      </c>
      <c r="AI309" s="155">
        <f ca="1">IF(ISNUMBER(MATCH(DATEVALUE($A309),'recurring1_based on steps'!AI$1:AI$400,0)),AI$2,)</f>
        <v>0</v>
      </c>
      <c r="AJ309" s="155">
        <f ca="1">IF(ISNUMBER(MATCH(DATEVALUE($A309),'recurring1_based on steps'!AJ$1:AJ$400,0)),AJ$2,)</f>
        <v>0</v>
      </c>
      <c r="AK309" s="155">
        <f ca="1">IF(ISNUMBER(MATCH(DATEVALUE($A309),'recurring1_based on steps'!AK$1:AK$400,0)),AK$2,)</f>
        <v>0</v>
      </c>
      <c r="AL309" s="155">
        <f ca="1">IF(ISNUMBER(MATCH(DATEVALUE($A309),'recurring1_based on steps'!AL$1:AL$400,0)),AL$2,)</f>
        <v>0</v>
      </c>
      <c r="AM309" s="155">
        <f ca="1">IF(ISNUMBER(MATCH(DATEVALUE($A309),'recurring1_based on steps'!AM$1:AM$400,0)),AM$2,)</f>
        <v>0</v>
      </c>
      <c r="AN309" s="155">
        <f ca="1">IF(ISNUMBER(MATCH(DATEVALUE($A309),'recurring1_based on steps'!AN$1:AN$400,0)),AN$2,)</f>
        <v>0</v>
      </c>
      <c r="AO309" s="155">
        <f ca="1">IF(ISNUMBER(MATCH(DATEVALUE($A309),'recurring1_based on steps'!AO$1:AO$400,0)),AO$2,)</f>
        <v>0</v>
      </c>
      <c r="AP309" s="155">
        <f ca="1">IF(ISNUMBER(MATCH(DATEVALUE($A309),'recurring1_based on steps'!AP$1:AP$400,0)),AP$2,)</f>
        <v>0</v>
      </c>
      <c r="AQ309" s="155">
        <f ca="1">IF(ISNUMBER(MATCH(DATEVALUE($A309),'recurring1_based on steps'!AQ$1:AQ$400,0)),AQ$2,)</f>
        <v>0</v>
      </c>
      <c r="AR309" s="155">
        <f ca="1">IF(ISNUMBER(MATCH(DATEVALUE($A309),'recurring1_based on steps'!AR$1:AR$400,0)),AR$2,)</f>
        <v>0</v>
      </c>
      <c r="AS309" s="155">
        <f ca="1">IF(ISNUMBER(MATCH(DATEVALUE($A309),'recurring1_based on steps'!AS$1:AS$400,0)),AS$2,)</f>
        <v>0</v>
      </c>
      <c r="AT309" s="155">
        <f ca="1">IF(ISNUMBER(MATCH(DATEVALUE($A309),'recurring1_based on steps'!AT$1:AT$400,0)),AT$2,)</f>
        <v>0</v>
      </c>
      <c r="AU309" s="155">
        <f ca="1">IF(ISNUMBER(MATCH(DATEVALUE($A309),'recurring1_based on steps'!AU$1:AU$400,0)),AU$2,)</f>
        <v>0</v>
      </c>
      <c r="AV309" s="155">
        <f ca="1">IF(ISNUMBER(MATCH(DATEVALUE($A309),'recurring1_based on steps'!AV$1:AV$400,0)),AV$2,)</f>
        <v>0</v>
      </c>
      <c r="AW309" s="155">
        <f ca="1">IF(ISNUMBER(MATCH(DATEVALUE($A309),'recurring1_based on steps'!AW$1:AW$400,0)),AW$2,)</f>
        <v>0</v>
      </c>
      <c r="AX309" s="155">
        <f ca="1">IF(ISNUMBER(MATCH(DATEVALUE($A309),'recurring1_based on steps'!AX$1:AX$400,0)),AX$2,)</f>
        <v>0</v>
      </c>
      <c r="AY309" s="155">
        <f ca="1">IF(ISNUMBER(MATCH(DATEVALUE($A309),'recurring1_based on steps'!AY$1:AY$400,0)),AY$2,)</f>
        <v>0</v>
      </c>
    </row>
    <row r="310" spans="1:51" x14ac:dyDescent="0.2">
      <c r="A310" s="18" t="str">
        <f t="shared" ca="1" si="4"/>
        <v>2025-12-05</v>
      </c>
      <c r="B310" s="155">
        <f ca="1">IF(ISNUMBER(MATCH(DATEVALUE($A310),'recurring1_based on steps'!B$1:B$400,0)),B$2,)</f>
        <v>0</v>
      </c>
      <c r="C310" s="155">
        <f ca="1">IF(ISNUMBER(MATCH(DATEVALUE($A310),'recurring1_based on steps'!C$1:C$400,0)),C$2,)</f>
        <v>0</v>
      </c>
      <c r="D310" s="155">
        <f ca="1">IF(ISNUMBER(MATCH(DATEVALUE($A310),'recurring1_based on steps'!D$1:D$400,0)),D$2,)</f>
        <v>0</v>
      </c>
      <c r="E310" s="155">
        <f ca="1">IF(ISNUMBER(MATCH(DATEVALUE($A310),'recurring1_based on steps'!E$1:E$400,0)),E$2,)</f>
        <v>0</v>
      </c>
      <c r="F310" s="155">
        <f ca="1">IF(ISNUMBER(MATCH(DATEVALUE($A310),'recurring1_based on steps'!F$1:F$400,0)),F$2,)</f>
        <v>0</v>
      </c>
      <c r="G310" s="155">
        <f ca="1">IF(ISNUMBER(MATCH(DATEVALUE($A310),'recurring1_based on steps'!G$1:G$400,0)),G$2,)</f>
        <v>0</v>
      </c>
      <c r="H310" s="155">
        <f ca="1">IF(ISNUMBER(MATCH(DATEVALUE($A310),'recurring1_based on steps'!H$1:H$400,0)),H$2,)</f>
        <v>0</v>
      </c>
      <c r="I310" s="155">
        <f ca="1">IF(ISNUMBER(MATCH(DATEVALUE($A310),'recurring1_based on steps'!I$1:I$400,0)),I$2,)</f>
        <v>0</v>
      </c>
      <c r="J310" s="155">
        <f ca="1">IF(ISNUMBER(MATCH(DATEVALUE($A310),'recurring1_based on steps'!J$1:J$400,0)),J$2,)</f>
        <v>0</v>
      </c>
      <c r="K310" s="155">
        <f ca="1">IF(ISNUMBER(MATCH(DATEVALUE($A310),'recurring1_based on steps'!K$1:K$400,0)),K$2,)</f>
        <v>0</v>
      </c>
      <c r="L310" s="155">
        <f ca="1">IF(ISNUMBER(MATCH(DATEVALUE($A310),'recurring1_based on steps'!L$1:L$400,0)),L$2,)</f>
        <v>0</v>
      </c>
      <c r="M310" s="155">
        <f ca="1">IF(ISNUMBER(MATCH(DATEVALUE($A310),'recurring1_based on steps'!M$1:M$400,0)),M$2,)</f>
        <v>0</v>
      </c>
      <c r="N310" s="155">
        <f ca="1">IF(ISNUMBER(MATCH(DATEVALUE($A310),'recurring1_based on steps'!N$1:N$400,0)),N$2,)</f>
        <v>0</v>
      </c>
      <c r="O310" s="155">
        <f ca="1">IF(ISNUMBER(MATCH(DATEVALUE($A310),'recurring1_based on steps'!O$1:O$400,0)),O$2,)</f>
        <v>0</v>
      </c>
      <c r="P310" s="155">
        <f ca="1">IF(ISNUMBER(MATCH(DATEVALUE($A310),'recurring1_based on steps'!P$1:P$400,0)),P$2,)</f>
        <v>0</v>
      </c>
      <c r="Q310" s="155">
        <f ca="1">IF(ISNUMBER(MATCH(DATEVALUE($A310),'recurring1_based on steps'!Q$1:Q$400,0)),Q$2,)</f>
        <v>0</v>
      </c>
      <c r="R310" s="155">
        <f ca="1">IF(ISNUMBER(MATCH(DATEVALUE($A310),'recurring1_based on steps'!R$1:R$400,0)),R$2,)</f>
        <v>0</v>
      </c>
      <c r="S310" s="155">
        <f ca="1">IF(ISNUMBER(MATCH(DATEVALUE($A310),'recurring1_based on steps'!S$1:S$400,0)),S$2,)</f>
        <v>0</v>
      </c>
      <c r="T310" s="155">
        <f ca="1">IF(ISNUMBER(MATCH(DATEVALUE($A310),'recurring1_based on steps'!T$1:T$400,0)),T$2,)</f>
        <v>0</v>
      </c>
      <c r="U310" s="155">
        <f ca="1">IF(ISNUMBER(MATCH(DATEVALUE($A310),'recurring1_based on steps'!U$1:U$400,0)),U$2,)</f>
        <v>0</v>
      </c>
      <c r="V310" s="155">
        <f ca="1">IF(ISNUMBER(MATCH(DATEVALUE($A310),'recurring1_based on steps'!V$1:V$400,0)),V$2,)</f>
        <v>0</v>
      </c>
      <c r="W310" s="155">
        <f ca="1">IF(ISNUMBER(MATCH(DATEVALUE($A310),'recurring1_based on steps'!W$1:W$400,0)),W$2,)</f>
        <v>0</v>
      </c>
      <c r="X310" s="155">
        <f ca="1">IF(ISNUMBER(MATCH(DATEVALUE($A310),'recurring1_based on steps'!X$1:X$400,0)),X$2,)</f>
        <v>0</v>
      </c>
      <c r="Y310" s="155">
        <f ca="1">IF(ISNUMBER(MATCH(DATEVALUE($A310),'recurring1_based on steps'!Y$1:Y$400,0)),Y$2,)</f>
        <v>0</v>
      </c>
      <c r="Z310" s="155">
        <f ca="1">IF(ISNUMBER(MATCH(DATEVALUE($A310),'recurring1_based on steps'!Z$1:Z$400,0)),Z$2,)</f>
        <v>0</v>
      </c>
      <c r="AA310" s="155">
        <f ca="1">IF(ISNUMBER(MATCH(DATEVALUE($A310),'recurring1_based on steps'!AA$1:AA$400,0)),AA$2,)</f>
        <v>0</v>
      </c>
      <c r="AB310" s="155">
        <f ca="1">IF(ISNUMBER(MATCH(DATEVALUE($A310),'recurring1_based on steps'!AB$1:AB$400,0)),AB$2,)</f>
        <v>0</v>
      </c>
      <c r="AC310" s="155">
        <f ca="1">IF(ISNUMBER(MATCH(DATEVALUE($A310),'recurring1_based on steps'!AC$1:AC$400,0)),AC$2,)</f>
        <v>0</v>
      </c>
      <c r="AD310" s="155">
        <f ca="1">IF(ISNUMBER(MATCH(DATEVALUE($A310),'recurring1_based on steps'!AD$1:AD$400,0)),AD$2,)</f>
        <v>0</v>
      </c>
      <c r="AE310" s="155">
        <f ca="1">IF(ISNUMBER(MATCH(DATEVALUE($A310),'recurring1_based on steps'!AE$1:AE$400,0)),AE$2,)</f>
        <v>0</v>
      </c>
      <c r="AF310" s="155">
        <f ca="1">IF(ISNUMBER(MATCH(DATEVALUE($A310),'recurring1_based on steps'!AF$1:AF$400,0)),AF$2,)</f>
        <v>0</v>
      </c>
      <c r="AG310" s="155">
        <f ca="1">IF(ISNUMBER(MATCH(DATEVALUE($A310),'recurring1_based on steps'!AG$1:AG$400,0)),AG$2,)</f>
        <v>0</v>
      </c>
      <c r="AH310" s="155">
        <f ca="1">IF(ISNUMBER(MATCH(DATEVALUE($A310),'recurring1_based on steps'!AH$1:AH$400,0)),AH$2,)</f>
        <v>0</v>
      </c>
      <c r="AI310" s="155">
        <f ca="1">IF(ISNUMBER(MATCH(DATEVALUE($A310),'recurring1_based on steps'!AI$1:AI$400,0)),AI$2,)</f>
        <v>0</v>
      </c>
      <c r="AJ310" s="155">
        <f ca="1">IF(ISNUMBER(MATCH(DATEVALUE($A310),'recurring1_based on steps'!AJ$1:AJ$400,0)),AJ$2,)</f>
        <v>0</v>
      </c>
      <c r="AK310" s="155">
        <f ca="1">IF(ISNUMBER(MATCH(DATEVALUE($A310),'recurring1_based on steps'!AK$1:AK$400,0)),AK$2,)</f>
        <v>0</v>
      </c>
      <c r="AL310" s="155">
        <f ca="1">IF(ISNUMBER(MATCH(DATEVALUE($A310),'recurring1_based on steps'!AL$1:AL$400,0)),AL$2,)</f>
        <v>0</v>
      </c>
      <c r="AM310" s="155">
        <f ca="1">IF(ISNUMBER(MATCH(DATEVALUE($A310),'recurring1_based on steps'!AM$1:AM$400,0)),AM$2,)</f>
        <v>0</v>
      </c>
      <c r="AN310" s="155">
        <f ca="1">IF(ISNUMBER(MATCH(DATEVALUE($A310),'recurring1_based on steps'!AN$1:AN$400,0)),AN$2,)</f>
        <v>0</v>
      </c>
      <c r="AO310" s="155">
        <f ca="1">IF(ISNUMBER(MATCH(DATEVALUE($A310),'recurring1_based on steps'!AO$1:AO$400,0)),AO$2,)</f>
        <v>0</v>
      </c>
      <c r="AP310" s="155">
        <f ca="1">IF(ISNUMBER(MATCH(DATEVALUE($A310),'recurring1_based on steps'!AP$1:AP$400,0)),AP$2,)</f>
        <v>0</v>
      </c>
      <c r="AQ310" s="155">
        <f ca="1">IF(ISNUMBER(MATCH(DATEVALUE($A310),'recurring1_based on steps'!AQ$1:AQ$400,0)),AQ$2,)</f>
        <v>0</v>
      </c>
      <c r="AR310" s="155">
        <f ca="1">IF(ISNUMBER(MATCH(DATEVALUE($A310),'recurring1_based on steps'!AR$1:AR$400,0)),AR$2,)</f>
        <v>0</v>
      </c>
      <c r="AS310" s="155">
        <f ca="1">IF(ISNUMBER(MATCH(DATEVALUE($A310),'recurring1_based on steps'!AS$1:AS$400,0)),AS$2,)</f>
        <v>0</v>
      </c>
      <c r="AT310" s="155">
        <f ca="1">IF(ISNUMBER(MATCH(DATEVALUE($A310),'recurring1_based on steps'!AT$1:AT$400,0)),AT$2,)</f>
        <v>0</v>
      </c>
      <c r="AU310" s="155">
        <f ca="1">IF(ISNUMBER(MATCH(DATEVALUE($A310),'recurring1_based on steps'!AU$1:AU$400,0)),AU$2,)</f>
        <v>0</v>
      </c>
      <c r="AV310" s="155">
        <f ca="1">IF(ISNUMBER(MATCH(DATEVALUE($A310),'recurring1_based on steps'!AV$1:AV$400,0)),AV$2,)</f>
        <v>0</v>
      </c>
      <c r="AW310" s="155">
        <f ca="1">IF(ISNUMBER(MATCH(DATEVALUE($A310),'recurring1_based on steps'!AW$1:AW$400,0)),AW$2,)</f>
        <v>0</v>
      </c>
      <c r="AX310" s="155">
        <f ca="1">IF(ISNUMBER(MATCH(DATEVALUE($A310),'recurring1_based on steps'!AX$1:AX$400,0)),AX$2,)</f>
        <v>0</v>
      </c>
      <c r="AY310" s="155">
        <f ca="1">IF(ISNUMBER(MATCH(DATEVALUE($A310),'recurring1_based on steps'!AY$1:AY$400,0)),AY$2,)</f>
        <v>0</v>
      </c>
    </row>
    <row r="311" spans="1:51" x14ac:dyDescent="0.2">
      <c r="A311" s="18" t="str">
        <f t="shared" ca="1" si="4"/>
        <v>2025-12-06</v>
      </c>
      <c r="B311" s="155">
        <f ca="1">IF(ISNUMBER(MATCH(DATEVALUE($A311),'recurring1_based on steps'!B$1:B$400,0)),B$2,)</f>
        <v>0</v>
      </c>
      <c r="C311" s="155">
        <f ca="1">IF(ISNUMBER(MATCH(DATEVALUE($A311),'recurring1_based on steps'!C$1:C$400,0)),C$2,)</f>
        <v>0</v>
      </c>
      <c r="D311" s="155">
        <f ca="1">IF(ISNUMBER(MATCH(DATEVALUE($A311),'recurring1_based on steps'!D$1:D$400,0)),D$2,)</f>
        <v>0</v>
      </c>
      <c r="E311" s="155">
        <f ca="1">IF(ISNUMBER(MATCH(DATEVALUE($A311),'recurring1_based on steps'!E$1:E$400,0)),E$2,)</f>
        <v>0</v>
      </c>
      <c r="F311" s="155">
        <f ca="1">IF(ISNUMBER(MATCH(DATEVALUE($A311),'recurring1_based on steps'!F$1:F$400,0)),F$2,)</f>
        <v>0</v>
      </c>
      <c r="G311" s="155">
        <f ca="1">IF(ISNUMBER(MATCH(DATEVALUE($A311),'recurring1_based on steps'!G$1:G$400,0)),G$2,)</f>
        <v>0</v>
      </c>
      <c r="H311" s="155">
        <f ca="1">IF(ISNUMBER(MATCH(DATEVALUE($A311),'recurring1_based on steps'!H$1:H$400,0)),H$2,)</f>
        <v>0</v>
      </c>
      <c r="I311" s="155">
        <f ca="1">IF(ISNUMBER(MATCH(DATEVALUE($A311),'recurring1_based on steps'!I$1:I$400,0)),I$2,)</f>
        <v>0</v>
      </c>
      <c r="J311" s="155">
        <f ca="1">IF(ISNUMBER(MATCH(DATEVALUE($A311),'recurring1_based on steps'!J$1:J$400,0)),J$2,)</f>
        <v>0</v>
      </c>
      <c r="K311" s="155">
        <f ca="1">IF(ISNUMBER(MATCH(DATEVALUE($A311),'recurring1_based on steps'!K$1:K$400,0)),K$2,)</f>
        <v>0</v>
      </c>
      <c r="L311" s="155">
        <f ca="1">IF(ISNUMBER(MATCH(DATEVALUE($A311),'recurring1_based on steps'!L$1:L$400,0)),L$2,)</f>
        <v>0</v>
      </c>
      <c r="M311" s="155">
        <f ca="1">IF(ISNUMBER(MATCH(DATEVALUE($A311),'recurring1_based on steps'!M$1:M$400,0)),M$2,)</f>
        <v>0</v>
      </c>
      <c r="N311" s="155">
        <f ca="1">IF(ISNUMBER(MATCH(DATEVALUE($A311),'recurring1_based on steps'!N$1:N$400,0)),N$2,)</f>
        <v>0</v>
      </c>
      <c r="O311" s="155">
        <f ca="1">IF(ISNUMBER(MATCH(DATEVALUE($A311),'recurring1_based on steps'!O$1:O$400,0)),O$2,)</f>
        <v>0</v>
      </c>
      <c r="P311" s="155">
        <f ca="1">IF(ISNUMBER(MATCH(DATEVALUE($A311),'recurring1_based on steps'!P$1:P$400,0)),P$2,)</f>
        <v>0</v>
      </c>
      <c r="Q311" s="155">
        <f ca="1">IF(ISNUMBER(MATCH(DATEVALUE($A311),'recurring1_based on steps'!Q$1:Q$400,0)),Q$2,)</f>
        <v>100</v>
      </c>
      <c r="R311" s="155">
        <f ca="1">IF(ISNUMBER(MATCH(DATEVALUE($A311),'recurring1_based on steps'!R$1:R$400,0)),R$2,)</f>
        <v>100</v>
      </c>
      <c r="S311" s="155">
        <f ca="1">IF(ISNUMBER(MATCH(DATEVALUE($A311),'recurring1_based on steps'!S$1:S$400,0)),S$2,)</f>
        <v>0</v>
      </c>
      <c r="T311" s="155">
        <f ca="1">IF(ISNUMBER(MATCH(DATEVALUE($A311),'recurring1_based on steps'!T$1:T$400,0)),T$2,)</f>
        <v>0</v>
      </c>
      <c r="U311" s="155">
        <f ca="1">IF(ISNUMBER(MATCH(DATEVALUE($A311),'recurring1_based on steps'!U$1:U$400,0)),U$2,)</f>
        <v>0</v>
      </c>
      <c r="V311" s="155">
        <f ca="1">IF(ISNUMBER(MATCH(DATEVALUE($A311),'recurring1_based on steps'!V$1:V$400,0)),V$2,)</f>
        <v>0</v>
      </c>
      <c r="W311" s="155">
        <f ca="1">IF(ISNUMBER(MATCH(DATEVALUE($A311),'recurring1_based on steps'!W$1:W$400,0)),W$2,)</f>
        <v>0</v>
      </c>
      <c r="X311" s="155">
        <f ca="1">IF(ISNUMBER(MATCH(DATEVALUE($A311),'recurring1_based on steps'!X$1:X$400,0)),X$2,)</f>
        <v>0</v>
      </c>
      <c r="Y311" s="155">
        <f ca="1">IF(ISNUMBER(MATCH(DATEVALUE($A311),'recurring1_based on steps'!Y$1:Y$400,0)),Y$2,)</f>
        <v>0</v>
      </c>
      <c r="Z311" s="155">
        <f ca="1">IF(ISNUMBER(MATCH(DATEVALUE($A311),'recurring1_based on steps'!Z$1:Z$400,0)),Z$2,)</f>
        <v>0</v>
      </c>
      <c r="AA311" s="155">
        <f ca="1">IF(ISNUMBER(MATCH(DATEVALUE($A311),'recurring1_based on steps'!AA$1:AA$400,0)),AA$2,)</f>
        <v>0</v>
      </c>
      <c r="AB311" s="155">
        <f ca="1">IF(ISNUMBER(MATCH(DATEVALUE($A311),'recurring1_based on steps'!AB$1:AB$400,0)),AB$2,)</f>
        <v>0</v>
      </c>
      <c r="AC311" s="155">
        <f ca="1">IF(ISNUMBER(MATCH(DATEVALUE($A311),'recurring1_based on steps'!AC$1:AC$400,0)),AC$2,)</f>
        <v>0</v>
      </c>
      <c r="AD311" s="155">
        <f ca="1">IF(ISNUMBER(MATCH(DATEVALUE($A311),'recurring1_based on steps'!AD$1:AD$400,0)),AD$2,)</f>
        <v>0</v>
      </c>
      <c r="AE311" s="155">
        <f ca="1">IF(ISNUMBER(MATCH(DATEVALUE($A311),'recurring1_based on steps'!AE$1:AE$400,0)),AE$2,)</f>
        <v>0</v>
      </c>
      <c r="AF311" s="155">
        <f ca="1">IF(ISNUMBER(MATCH(DATEVALUE($A311),'recurring1_based on steps'!AF$1:AF$400,0)),AF$2,)</f>
        <v>0</v>
      </c>
      <c r="AG311" s="155">
        <f ca="1">IF(ISNUMBER(MATCH(DATEVALUE($A311),'recurring1_based on steps'!AG$1:AG$400,0)),AG$2,)</f>
        <v>0</v>
      </c>
      <c r="AH311" s="155">
        <f ca="1">IF(ISNUMBER(MATCH(DATEVALUE($A311),'recurring1_based on steps'!AH$1:AH$400,0)),AH$2,)</f>
        <v>0</v>
      </c>
      <c r="AI311" s="155">
        <f ca="1">IF(ISNUMBER(MATCH(DATEVALUE($A311),'recurring1_based on steps'!AI$1:AI$400,0)),AI$2,)</f>
        <v>0</v>
      </c>
      <c r="AJ311" s="155">
        <f ca="1">IF(ISNUMBER(MATCH(DATEVALUE($A311),'recurring1_based on steps'!AJ$1:AJ$400,0)),AJ$2,)</f>
        <v>0</v>
      </c>
      <c r="AK311" s="155">
        <f ca="1">IF(ISNUMBER(MATCH(DATEVALUE($A311),'recurring1_based on steps'!AK$1:AK$400,0)),AK$2,)</f>
        <v>0</v>
      </c>
      <c r="AL311" s="155">
        <f ca="1">IF(ISNUMBER(MATCH(DATEVALUE($A311),'recurring1_based on steps'!AL$1:AL$400,0)),AL$2,)</f>
        <v>0</v>
      </c>
      <c r="AM311" s="155">
        <f ca="1">IF(ISNUMBER(MATCH(DATEVALUE($A311),'recurring1_based on steps'!AM$1:AM$400,0)),AM$2,)</f>
        <v>0</v>
      </c>
      <c r="AN311" s="155">
        <f ca="1">IF(ISNUMBER(MATCH(DATEVALUE($A311),'recurring1_based on steps'!AN$1:AN$400,0)),AN$2,)</f>
        <v>0</v>
      </c>
      <c r="AO311" s="155">
        <f ca="1">IF(ISNUMBER(MATCH(DATEVALUE($A311),'recurring1_based on steps'!AO$1:AO$400,0)),AO$2,)</f>
        <v>0</v>
      </c>
      <c r="AP311" s="155">
        <f ca="1">IF(ISNUMBER(MATCH(DATEVALUE($A311),'recurring1_based on steps'!AP$1:AP$400,0)),AP$2,)</f>
        <v>0</v>
      </c>
      <c r="AQ311" s="155">
        <f ca="1">IF(ISNUMBER(MATCH(DATEVALUE($A311),'recurring1_based on steps'!AQ$1:AQ$400,0)),AQ$2,)</f>
        <v>0</v>
      </c>
      <c r="AR311" s="155">
        <f ca="1">IF(ISNUMBER(MATCH(DATEVALUE($A311),'recurring1_based on steps'!AR$1:AR$400,0)),AR$2,)</f>
        <v>0</v>
      </c>
      <c r="AS311" s="155">
        <f ca="1">IF(ISNUMBER(MATCH(DATEVALUE($A311),'recurring1_based on steps'!AS$1:AS$400,0)),AS$2,)</f>
        <v>0</v>
      </c>
      <c r="AT311" s="155">
        <f ca="1">IF(ISNUMBER(MATCH(DATEVALUE($A311),'recurring1_based on steps'!AT$1:AT$400,0)),AT$2,)</f>
        <v>0</v>
      </c>
      <c r="AU311" s="155">
        <f ca="1">IF(ISNUMBER(MATCH(DATEVALUE($A311),'recurring1_based on steps'!AU$1:AU$400,0)),AU$2,)</f>
        <v>0</v>
      </c>
      <c r="AV311" s="155">
        <f ca="1">IF(ISNUMBER(MATCH(DATEVALUE($A311),'recurring1_based on steps'!AV$1:AV$400,0)),AV$2,)</f>
        <v>0</v>
      </c>
      <c r="AW311" s="155">
        <f ca="1">IF(ISNUMBER(MATCH(DATEVALUE($A311),'recurring1_based on steps'!AW$1:AW$400,0)),AW$2,)</f>
        <v>0</v>
      </c>
      <c r="AX311" s="155">
        <f ca="1">IF(ISNUMBER(MATCH(DATEVALUE($A311),'recurring1_based on steps'!AX$1:AX$400,0)),AX$2,)</f>
        <v>0</v>
      </c>
      <c r="AY311" s="155">
        <f ca="1">IF(ISNUMBER(MATCH(DATEVALUE($A311),'recurring1_based on steps'!AY$1:AY$400,0)),AY$2,)</f>
        <v>0</v>
      </c>
    </row>
    <row r="312" spans="1:51" x14ac:dyDescent="0.2">
      <c r="A312" s="18" t="str">
        <f t="shared" ca="1" si="4"/>
        <v>2025-12-07</v>
      </c>
      <c r="B312" s="155">
        <f ca="1">IF(ISNUMBER(MATCH(DATEVALUE($A312),'recurring1_based on steps'!B$1:B$400,0)),B$2,)</f>
        <v>0</v>
      </c>
      <c r="C312" s="155">
        <f ca="1">IF(ISNUMBER(MATCH(DATEVALUE($A312),'recurring1_based on steps'!C$1:C$400,0)),C$2,)</f>
        <v>0</v>
      </c>
      <c r="D312" s="155">
        <f ca="1">IF(ISNUMBER(MATCH(DATEVALUE($A312),'recurring1_based on steps'!D$1:D$400,0)),D$2,)</f>
        <v>0</v>
      </c>
      <c r="E312" s="155">
        <f ca="1">IF(ISNUMBER(MATCH(DATEVALUE($A312),'recurring1_based on steps'!E$1:E$400,0)),E$2,)</f>
        <v>0</v>
      </c>
      <c r="F312" s="155">
        <f ca="1">IF(ISNUMBER(MATCH(DATEVALUE($A312),'recurring1_based on steps'!F$1:F$400,0)),F$2,)</f>
        <v>0</v>
      </c>
      <c r="G312" s="155">
        <f ca="1">IF(ISNUMBER(MATCH(DATEVALUE($A312),'recurring1_based on steps'!G$1:G$400,0)),G$2,)</f>
        <v>0</v>
      </c>
      <c r="H312" s="155">
        <f ca="1">IF(ISNUMBER(MATCH(DATEVALUE($A312),'recurring1_based on steps'!H$1:H$400,0)),H$2,)</f>
        <v>0</v>
      </c>
      <c r="I312" s="155">
        <f ca="1">IF(ISNUMBER(MATCH(DATEVALUE($A312),'recurring1_based on steps'!I$1:I$400,0)),I$2,)</f>
        <v>0</v>
      </c>
      <c r="J312" s="155">
        <f ca="1">IF(ISNUMBER(MATCH(DATEVALUE($A312),'recurring1_based on steps'!J$1:J$400,0)),J$2,)</f>
        <v>0</v>
      </c>
      <c r="K312" s="155">
        <f ca="1">IF(ISNUMBER(MATCH(DATEVALUE($A312),'recurring1_based on steps'!K$1:K$400,0)),K$2,)</f>
        <v>50</v>
      </c>
      <c r="L312" s="155">
        <f ca="1">IF(ISNUMBER(MATCH(DATEVALUE($A312),'recurring1_based on steps'!L$1:L$400,0)),L$2,)</f>
        <v>0</v>
      </c>
      <c r="M312" s="155">
        <f ca="1">IF(ISNUMBER(MATCH(DATEVALUE($A312),'recurring1_based on steps'!M$1:M$400,0)),M$2,)</f>
        <v>0</v>
      </c>
      <c r="N312" s="155">
        <f ca="1">IF(ISNUMBER(MATCH(DATEVALUE($A312),'recurring1_based on steps'!N$1:N$400,0)),N$2,)</f>
        <v>0</v>
      </c>
      <c r="O312" s="155">
        <f ca="1">IF(ISNUMBER(MATCH(DATEVALUE($A312),'recurring1_based on steps'!O$1:O$400,0)),O$2,)</f>
        <v>0</v>
      </c>
      <c r="P312" s="155">
        <f ca="1">IF(ISNUMBER(MATCH(DATEVALUE($A312),'recurring1_based on steps'!P$1:P$400,0)),P$2,)</f>
        <v>0</v>
      </c>
      <c r="Q312" s="155">
        <f ca="1">IF(ISNUMBER(MATCH(DATEVALUE($A312),'recurring1_based on steps'!Q$1:Q$400,0)),Q$2,)</f>
        <v>0</v>
      </c>
      <c r="R312" s="155">
        <f ca="1">IF(ISNUMBER(MATCH(DATEVALUE($A312),'recurring1_based on steps'!R$1:R$400,0)),R$2,)</f>
        <v>0</v>
      </c>
      <c r="S312" s="155">
        <f ca="1">IF(ISNUMBER(MATCH(DATEVALUE($A312),'recurring1_based on steps'!S$1:S$400,0)),S$2,)</f>
        <v>100</v>
      </c>
      <c r="T312" s="155">
        <f ca="1">IF(ISNUMBER(MATCH(DATEVALUE($A312),'recurring1_based on steps'!T$1:T$400,0)),T$2,)</f>
        <v>0</v>
      </c>
      <c r="U312" s="155">
        <f ca="1">IF(ISNUMBER(MATCH(DATEVALUE($A312),'recurring1_based on steps'!U$1:U$400,0)),U$2,)</f>
        <v>0</v>
      </c>
      <c r="V312" s="155">
        <f ca="1">IF(ISNUMBER(MATCH(DATEVALUE($A312),'recurring1_based on steps'!V$1:V$400,0)),V$2,)</f>
        <v>0</v>
      </c>
      <c r="W312" s="155">
        <f ca="1">IF(ISNUMBER(MATCH(DATEVALUE($A312),'recurring1_based on steps'!W$1:W$400,0)),W$2,)</f>
        <v>0</v>
      </c>
      <c r="X312" s="155">
        <f ca="1">IF(ISNUMBER(MATCH(DATEVALUE($A312),'recurring1_based on steps'!X$1:X$400,0)),X$2,)</f>
        <v>0</v>
      </c>
      <c r="Y312" s="155">
        <f ca="1">IF(ISNUMBER(MATCH(DATEVALUE($A312),'recurring1_based on steps'!Y$1:Y$400,0)),Y$2,)</f>
        <v>0</v>
      </c>
      <c r="Z312" s="155">
        <f ca="1">IF(ISNUMBER(MATCH(DATEVALUE($A312),'recurring1_based on steps'!Z$1:Z$400,0)),Z$2,)</f>
        <v>0</v>
      </c>
      <c r="AA312" s="155">
        <f ca="1">IF(ISNUMBER(MATCH(DATEVALUE($A312),'recurring1_based on steps'!AA$1:AA$400,0)),AA$2,)</f>
        <v>0</v>
      </c>
      <c r="AB312" s="155">
        <f ca="1">IF(ISNUMBER(MATCH(DATEVALUE($A312),'recurring1_based on steps'!AB$1:AB$400,0)),AB$2,)</f>
        <v>0</v>
      </c>
      <c r="AC312" s="155">
        <f ca="1">IF(ISNUMBER(MATCH(DATEVALUE($A312),'recurring1_based on steps'!AC$1:AC$400,0)),AC$2,)</f>
        <v>0</v>
      </c>
      <c r="AD312" s="155">
        <f ca="1">IF(ISNUMBER(MATCH(DATEVALUE($A312),'recurring1_based on steps'!AD$1:AD$400,0)),AD$2,)</f>
        <v>0</v>
      </c>
      <c r="AE312" s="155">
        <f ca="1">IF(ISNUMBER(MATCH(DATEVALUE($A312),'recurring1_based on steps'!AE$1:AE$400,0)),AE$2,)</f>
        <v>0</v>
      </c>
      <c r="AF312" s="155">
        <f ca="1">IF(ISNUMBER(MATCH(DATEVALUE($A312),'recurring1_based on steps'!AF$1:AF$400,0)),AF$2,)</f>
        <v>0</v>
      </c>
      <c r="AG312" s="155">
        <f ca="1">IF(ISNUMBER(MATCH(DATEVALUE($A312),'recurring1_based on steps'!AG$1:AG$400,0)),AG$2,)</f>
        <v>0</v>
      </c>
      <c r="AH312" s="155">
        <f ca="1">IF(ISNUMBER(MATCH(DATEVALUE($A312),'recurring1_based on steps'!AH$1:AH$400,0)),AH$2,)</f>
        <v>0</v>
      </c>
      <c r="AI312" s="155">
        <f ca="1">IF(ISNUMBER(MATCH(DATEVALUE($A312),'recurring1_based on steps'!AI$1:AI$400,0)),AI$2,)</f>
        <v>0</v>
      </c>
      <c r="AJ312" s="155">
        <f ca="1">IF(ISNUMBER(MATCH(DATEVALUE($A312),'recurring1_based on steps'!AJ$1:AJ$400,0)),AJ$2,)</f>
        <v>0</v>
      </c>
      <c r="AK312" s="155">
        <f ca="1">IF(ISNUMBER(MATCH(DATEVALUE($A312),'recurring1_based on steps'!AK$1:AK$400,0)),AK$2,)</f>
        <v>0</v>
      </c>
      <c r="AL312" s="155">
        <f ca="1">IF(ISNUMBER(MATCH(DATEVALUE($A312),'recurring1_based on steps'!AL$1:AL$400,0)),AL$2,)</f>
        <v>0</v>
      </c>
      <c r="AM312" s="155">
        <f ca="1">IF(ISNUMBER(MATCH(DATEVALUE($A312),'recurring1_based on steps'!AM$1:AM$400,0)),AM$2,)</f>
        <v>0</v>
      </c>
      <c r="AN312" s="155">
        <f ca="1">IF(ISNUMBER(MATCH(DATEVALUE($A312),'recurring1_based on steps'!AN$1:AN$400,0)),AN$2,)</f>
        <v>0</v>
      </c>
      <c r="AO312" s="155">
        <f ca="1">IF(ISNUMBER(MATCH(DATEVALUE($A312),'recurring1_based on steps'!AO$1:AO$400,0)),AO$2,)</f>
        <v>0</v>
      </c>
      <c r="AP312" s="155">
        <f ca="1">IF(ISNUMBER(MATCH(DATEVALUE($A312),'recurring1_based on steps'!AP$1:AP$400,0)),AP$2,)</f>
        <v>0</v>
      </c>
      <c r="AQ312" s="155">
        <f ca="1">IF(ISNUMBER(MATCH(DATEVALUE($A312),'recurring1_based on steps'!AQ$1:AQ$400,0)),AQ$2,)</f>
        <v>0</v>
      </c>
      <c r="AR312" s="155">
        <f ca="1">IF(ISNUMBER(MATCH(DATEVALUE($A312),'recurring1_based on steps'!AR$1:AR$400,0)),AR$2,)</f>
        <v>0</v>
      </c>
      <c r="AS312" s="155">
        <f ca="1">IF(ISNUMBER(MATCH(DATEVALUE($A312),'recurring1_based on steps'!AS$1:AS$400,0)),AS$2,)</f>
        <v>0</v>
      </c>
      <c r="AT312" s="155">
        <f ca="1">IF(ISNUMBER(MATCH(DATEVALUE($A312),'recurring1_based on steps'!AT$1:AT$400,0)),AT$2,)</f>
        <v>0</v>
      </c>
      <c r="AU312" s="155">
        <f ca="1">IF(ISNUMBER(MATCH(DATEVALUE($A312),'recurring1_based on steps'!AU$1:AU$400,0)),AU$2,)</f>
        <v>0</v>
      </c>
      <c r="AV312" s="155">
        <f ca="1">IF(ISNUMBER(MATCH(DATEVALUE($A312),'recurring1_based on steps'!AV$1:AV$400,0)),AV$2,)</f>
        <v>0</v>
      </c>
      <c r="AW312" s="155">
        <f ca="1">IF(ISNUMBER(MATCH(DATEVALUE($A312),'recurring1_based on steps'!AW$1:AW$400,0)),AW$2,)</f>
        <v>0</v>
      </c>
      <c r="AX312" s="155">
        <f ca="1">IF(ISNUMBER(MATCH(DATEVALUE($A312),'recurring1_based on steps'!AX$1:AX$400,0)),AX$2,)</f>
        <v>0</v>
      </c>
      <c r="AY312" s="155">
        <f ca="1">IF(ISNUMBER(MATCH(DATEVALUE($A312),'recurring1_based on steps'!AY$1:AY$400,0)),AY$2,)</f>
        <v>0</v>
      </c>
    </row>
    <row r="313" spans="1:51" x14ac:dyDescent="0.2">
      <c r="A313" s="18" t="str">
        <f t="shared" ca="1" si="4"/>
        <v>2025-12-08</v>
      </c>
      <c r="B313" s="155">
        <f ca="1">IF(ISNUMBER(MATCH(DATEVALUE($A313),'recurring1_based on steps'!B$1:B$400,0)),B$2,)</f>
        <v>0</v>
      </c>
      <c r="C313" s="155">
        <f ca="1">IF(ISNUMBER(MATCH(DATEVALUE($A313),'recurring1_based on steps'!C$1:C$400,0)),C$2,)</f>
        <v>0</v>
      </c>
      <c r="D313" s="155">
        <f ca="1">IF(ISNUMBER(MATCH(DATEVALUE($A313),'recurring1_based on steps'!D$1:D$400,0)),D$2,)</f>
        <v>0</v>
      </c>
      <c r="E313" s="155">
        <f ca="1">IF(ISNUMBER(MATCH(DATEVALUE($A313),'recurring1_based on steps'!E$1:E$400,0)),E$2,)</f>
        <v>0</v>
      </c>
      <c r="F313" s="155">
        <f ca="1">IF(ISNUMBER(MATCH(DATEVALUE($A313),'recurring1_based on steps'!F$1:F$400,0)),F$2,)</f>
        <v>0</v>
      </c>
      <c r="G313" s="155">
        <f ca="1">IF(ISNUMBER(MATCH(DATEVALUE($A313),'recurring1_based on steps'!G$1:G$400,0)),G$2,)</f>
        <v>0</v>
      </c>
      <c r="H313" s="155">
        <f ca="1">IF(ISNUMBER(MATCH(DATEVALUE($A313),'recurring1_based on steps'!H$1:H$400,0)),H$2,)</f>
        <v>0</v>
      </c>
      <c r="I313" s="155">
        <f ca="1">IF(ISNUMBER(MATCH(DATEVALUE($A313),'recurring1_based on steps'!I$1:I$400,0)),I$2,)</f>
        <v>0</v>
      </c>
      <c r="J313" s="155">
        <f ca="1">IF(ISNUMBER(MATCH(DATEVALUE($A313),'recurring1_based on steps'!J$1:J$400,0)),J$2,)</f>
        <v>0</v>
      </c>
      <c r="K313" s="155">
        <f ca="1">IF(ISNUMBER(MATCH(DATEVALUE($A313),'recurring1_based on steps'!K$1:K$400,0)),K$2,)</f>
        <v>0</v>
      </c>
      <c r="L313" s="155">
        <f ca="1">IF(ISNUMBER(MATCH(DATEVALUE($A313),'recurring1_based on steps'!L$1:L$400,0)),L$2,)</f>
        <v>0</v>
      </c>
      <c r="M313" s="155">
        <f ca="1">IF(ISNUMBER(MATCH(DATEVALUE($A313),'recurring1_based on steps'!M$1:M$400,0)),M$2,)</f>
        <v>0</v>
      </c>
      <c r="N313" s="155">
        <f ca="1">IF(ISNUMBER(MATCH(DATEVALUE($A313),'recurring1_based on steps'!N$1:N$400,0)),N$2,)</f>
        <v>0</v>
      </c>
      <c r="O313" s="155">
        <f ca="1">IF(ISNUMBER(MATCH(DATEVALUE($A313),'recurring1_based on steps'!O$1:O$400,0)),O$2,)</f>
        <v>0</v>
      </c>
      <c r="P313" s="155">
        <f ca="1">IF(ISNUMBER(MATCH(DATEVALUE($A313),'recurring1_based on steps'!P$1:P$400,0)),P$2,)</f>
        <v>0</v>
      </c>
      <c r="Q313" s="155">
        <f ca="1">IF(ISNUMBER(MATCH(DATEVALUE($A313),'recurring1_based on steps'!Q$1:Q$400,0)),Q$2,)</f>
        <v>0</v>
      </c>
      <c r="R313" s="155">
        <f ca="1">IF(ISNUMBER(MATCH(DATEVALUE($A313),'recurring1_based on steps'!R$1:R$400,0)),R$2,)</f>
        <v>0</v>
      </c>
      <c r="S313" s="155">
        <f ca="1">IF(ISNUMBER(MATCH(DATEVALUE($A313),'recurring1_based on steps'!S$1:S$400,0)),S$2,)</f>
        <v>0</v>
      </c>
      <c r="T313" s="155">
        <f ca="1">IF(ISNUMBER(MATCH(DATEVALUE($A313),'recurring1_based on steps'!T$1:T$400,0)),T$2,)</f>
        <v>0</v>
      </c>
      <c r="U313" s="155">
        <f ca="1">IF(ISNUMBER(MATCH(DATEVALUE($A313),'recurring1_based on steps'!U$1:U$400,0)),U$2,)</f>
        <v>0</v>
      </c>
      <c r="V313" s="155">
        <f ca="1">IF(ISNUMBER(MATCH(DATEVALUE($A313),'recurring1_based on steps'!V$1:V$400,0)),V$2,)</f>
        <v>0</v>
      </c>
      <c r="W313" s="155">
        <f ca="1">IF(ISNUMBER(MATCH(DATEVALUE($A313),'recurring1_based on steps'!W$1:W$400,0)),W$2,)</f>
        <v>0</v>
      </c>
      <c r="X313" s="155">
        <f ca="1">IF(ISNUMBER(MATCH(DATEVALUE($A313),'recurring1_based on steps'!X$1:X$400,0)),X$2,)</f>
        <v>0</v>
      </c>
      <c r="Y313" s="155">
        <f ca="1">IF(ISNUMBER(MATCH(DATEVALUE($A313),'recurring1_based on steps'!Y$1:Y$400,0)),Y$2,)</f>
        <v>0</v>
      </c>
      <c r="Z313" s="155">
        <f ca="1">IF(ISNUMBER(MATCH(DATEVALUE($A313),'recurring1_based on steps'!Z$1:Z$400,0)),Z$2,)</f>
        <v>0</v>
      </c>
      <c r="AA313" s="155">
        <f ca="1">IF(ISNUMBER(MATCH(DATEVALUE($A313),'recurring1_based on steps'!AA$1:AA$400,0)),AA$2,)</f>
        <v>0</v>
      </c>
      <c r="AB313" s="155">
        <f ca="1">IF(ISNUMBER(MATCH(DATEVALUE($A313),'recurring1_based on steps'!AB$1:AB$400,0)),AB$2,)</f>
        <v>0</v>
      </c>
      <c r="AC313" s="155">
        <f ca="1">IF(ISNUMBER(MATCH(DATEVALUE($A313),'recurring1_based on steps'!AC$1:AC$400,0)),AC$2,)</f>
        <v>0</v>
      </c>
      <c r="AD313" s="155">
        <f ca="1">IF(ISNUMBER(MATCH(DATEVALUE($A313),'recurring1_based on steps'!AD$1:AD$400,0)),AD$2,)</f>
        <v>0</v>
      </c>
      <c r="AE313" s="155">
        <f ca="1">IF(ISNUMBER(MATCH(DATEVALUE($A313),'recurring1_based on steps'!AE$1:AE$400,0)),AE$2,)</f>
        <v>0</v>
      </c>
      <c r="AF313" s="155">
        <f ca="1">IF(ISNUMBER(MATCH(DATEVALUE($A313),'recurring1_based on steps'!AF$1:AF$400,0)),AF$2,)</f>
        <v>0</v>
      </c>
      <c r="AG313" s="155">
        <f ca="1">IF(ISNUMBER(MATCH(DATEVALUE($A313),'recurring1_based on steps'!AG$1:AG$400,0)),AG$2,)</f>
        <v>0</v>
      </c>
      <c r="AH313" s="155">
        <f ca="1">IF(ISNUMBER(MATCH(DATEVALUE($A313),'recurring1_based on steps'!AH$1:AH$400,0)),AH$2,)</f>
        <v>0</v>
      </c>
      <c r="AI313" s="155">
        <f ca="1">IF(ISNUMBER(MATCH(DATEVALUE($A313),'recurring1_based on steps'!AI$1:AI$400,0)),AI$2,)</f>
        <v>0</v>
      </c>
      <c r="AJ313" s="155">
        <f ca="1">IF(ISNUMBER(MATCH(DATEVALUE($A313),'recurring1_based on steps'!AJ$1:AJ$400,0)),AJ$2,)</f>
        <v>0</v>
      </c>
      <c r="AK313" s="155">
        <f ca="1">IF(ISNUMBER(MATCH(DATEVALUE($A313),'recurring1_based on steps'!AK$1:AK$400,0)),AK$2,)</f>
        <v>0</v>
      </c>
      <c r="AL313" s="155">
        <f ca="1">IF(ISNUMBER(MATCH(DATEVALUE($A313),'recurring1_based on steps'!AL$1:AL$400,0)),AL$2,)</f>
        <v>0</v>
      </c>
      <c r="AM313" s="155">
        <f ca="1">IF(ISNUMBER(MATCH(DATEVALUE($A313),'recurring1_based on steps'!AM$1:AM$400,0)),AM$2,)</f>
        <v>0</v>
      </c>
      <c r="AN313" s="155">
        <f ca="1">IF(ISNUMBER(MATCH(DATEVALUE($A313),'recurring1_based on steps'!AN$1:AN$400,0)),AN$2,)</f>
        <v>0</v>
      </c>
      <c r="AO313" s="155">
        <f ca="1">IF(ISNUMBER(MATCH(DATEVALUE($A313),'recurring1_based on steps'!AO$1:AO$400,0)),AO$2,)</f>
        <v>0</v>
      </c>
      <c r="AP313" s="155">
        <f ca="1">IF(ISNUMBER(MATCH(DATEVALUE($A313),'recurring1_based on steps'!AP$1:AP$400,0)),AP$2,)</f>
        <v>0</v>
      </c>
      <c r="AQ313" s="155">
        <f ca="1">IF(ISNUMBER(MATCH(DATEVALUE($A313),'recurring1_based on steps'!AQ$1:AQ$400,0)),AQ$2,)</f>
        <v>0</v>
      </c>
      <c r="AR313" s="155">
        <f ca="1">IF(ISNUMBER(MATCH(DATEVALUE($A313),'recurring1_based on steps'!AR$1:AR$400,0)),AR$2,)</f>
        <v>0</v>
      </c>
      <c r="AS313" s="155">
        <f ca="1">IF(ISNUMBER(MATCH(DATEVALUE($A313),'recurring1_based on steps'!AS$1:AS$400,0)),AS$2,)</f>
        <v>0</v>
      </c>
      <c r="AT313" s="155">
        <f ca="1">IF(ISNUMBER(MATCH(DATEVALUE($A313),'recurring1_based on steps'!AT$1:AT$400,0)),AT$2,)</f>
        <v>0</v>
      </c>
      <c r="AU313" s="155">
        <f ca="1">IF(ISNUMBER(MATCH(DATEVALUE($A313),'recurring1_based on steps'!AU$1:AU$400,0)),AU$2,)</f>
        <v>0</v>
      </c>
      <c r="AV313" s="155">
        <f ca="1">IF(ISNUMBER(MATCH(DATEVALUE($A313),'recurring1_based on steps'!AV$1:AV$400,0)),AV$2,)</f>
        <v>0</v>
      </c>
      <c r="AW313" s="155">
        <f ca="1">IF(ISNUMBER(MATCH(DATEVALUE($A313),'recurring1_based on steps'!AW$1:AW$400,0)),AW$2,)</f>
        <v>0</v>
      </c>
      <c r="AX313" s="155">
        <f ca="1">IF(ISNUMBER(MATCH(DATEVALUE($A313),'recurring1_based on steps'!AX$1:AX$400,0)),AX$2,)</f>
        <v>0</v>
      </c>
      <c r="AY313" s="155">
        <f ca="1">IF(ISNUMBER(MATCH(DATEVALUE($A313),'recurring1_based on steps'!AY$1:AY$400,0)),AY$2,)</f>
        <v>0</v>
      </c>
    </row>
    <row r="314" spans="1:51" x14ac:dyDescent="0.2">
      <c r="A314" s="18" t="str">
        <f t="shared" ca="1" si="4"/>
        <v>2025-12-09</v>
      </c>
      <c r="B314" s="155">
        <f ca="1">IF(ISNUMBER(MATCH(DATEVALUE($A314),'recurring1_based on steps'!B$1:B$400,0)),B$2,)</f>
        <v>0</v>
      </c>
      <c r="C314" s="155">
        <f ca="1">IF(ISNUMBER(MATCH(DATEVALUE($A314),'recurring1_based on steps'!C$1:C$400,0)),C$2,)</f>
        <v>0</v>
      </c>
      <c r="D314" s="155">
        <f ca="1">IF(ISNUMBER(MATCH(DATEVALUE($A314),'recurring1_based on steps'!D$1:D$400,0)),D$2,)</f>
        <v>0</v>
      </c>
      <c r="E314" s="155">
        <f ca="1">IF(ISNUMBER(MATCH(DATEVALUE($A314),'recurring1_based on steps'!E$1:E$400,0)),E$2,)</f>
        <v>0</v>
      </c>
      <c r="F314" s="155">
        <f ca="1">IF(ISNUMBER(MATCH(DATEVALUE($A314),'recurring1_based on steps'!F$1:F$400,0)),F$2,)</f>
        <v>0</v>
      </c>
      <c r="G314" s="155">
        <f ca="1">IF(ISNUMBER(MATCH(DATEVALUE($A314),'recurring1_based on steps'!G$1:G$400,0)),G$2,)</f>
        <v>0</v>
      </c>
      <c r="H314" s="155">
        <f ca="1">IF(ISNUMBER(MATCH(DATEVALUE($A314),'recurring1_based on steps'!H$1:H$400,0)),H$2,)</f>
        <v>0</v>
      </c>
      <c r="I314" s="155">
        <f ca="1">IF(ISNUMBER(MATCH(DATEVALUE($A314),'recurring1_based on steps'!I$1:I$400,0)),I$2,)</f>
        <v>0</v>
      </c>
      <c r="J314" s="155">
        <f ca="1">IF(ISNUMBER(MATCH(DATEVALUE($A314),'recurring1_based on steps'!J$1:J$400,0)),J$2,)</f>
        <v>0</v>
      </c>
      <c r="K314" s="155">
        <f ca="1">IF(ISNUMBER(MATCH(DATEVALUE($A314),'recurring1_based on steps'!K$1:K$400,0)),K$2,)</f>
        <v>0</v>
      </c>
      <c r="L314" s="155">
        <f ca="1">IF(ISNUMBER(MATCH(DATEVALUE($A314),'recurring1_based on steps'!L$1:L$400,0)),L$2,)</f>
        <v>0</v>
      </c>
      <c r="M314" s="155">
        <f ca="1">IF(ISNUMBER(MATCH(DATEVALUE($A314),'recurring1_based on steps'!M$1:M$400,0)),M$2,)</f>
        <v>0</v>
      </c>
      <c r="N314" s="155">
        <f ca="1">IF(ISNUMBER(MATCH(DATEVALUE($A314),'recurring1_based on steps'!N$1:N$400,0)),N$2,)</f>
        <v>0</v>
      </c>
      <c r="O314" s="155">
        <f ca="1">IF(ISNUMBER(MATCH(DATEVALUE($A314),'recurring1_based on steps'!O$1:O$400,0)),O$2,)</f>
        <v>0</v>
      </c>
      <c r="P314" s="155">
        <f ca="1">IF(ISNUMBER(MATCH(DATEVALUE($A314),'recurring1_based on steps'!P$1:P$400,0)),P$2,)</f>
        <v>0</v>
      </c>
      <c r="Q314" s="155">
        <f ca="1">IF(ISNUMBER(MATCH(DATEVALUE($A314),'recurring1_based on steps'!Q$1:Q$400,0)),Q$2,)</f>
        <v>0</v>
      </c>
      <c r="R314" s="155">
        <f ca="1">IF(ISNUMBER(MATCH(DATEVALUE($A314),'recurring1_based on steps'!R$1:R$400,0)),R$2,)</f>
        <v>0</v>
      </c>
      <c r="S314" s="155">
        <f ca="1">IF(ISNUMBER(MATCH(DATEVALUE($A314),'recurring1_based on steps'!S$1:S$400,0)),S$2,)</f>
        <v>0</v>
      </c>
      <c r="T314" s="155">
        <f ca="1">IF(ISNUMBER(MATCH(DATEVALUE($A314),'recurring1_based on steps'!T$1:T$400,0)),T$2,)</f>
        <v>0</v>
      </c>
      <c r="U314" s="155">
        <f ca="1">IF(ISNUMBER(MATCH(DATEVALUE($A314),'recurring1_based on steps'!U$1:U$400,0)),U$2,)</f>
        <v>0</v>
      </c>
      <c r="V314" s="155">
        <f ca="1">IF(ISNUMBER(MATCH(DATEVALUE($A314),'recurring1_based on steps'!V$1:V$400,0)),V$2,)</f>
        <v>0</v>
      </c>
      <c r="W314" s="155">
        <f ca="1">IF(ISNUMBER(MATCH(DATEVALUE($A314),'recurring1_based on steps'!W$1:W$400,0)),W$2,)</f>
        <v>0</v>
      </c>
      <c r="X314" s="155">
        <f ca="1">IF(ISNUMBER(MATCH(DATEVALUE($A314),'recurring1_based on steps'!X$1:X$400,0)),X$2,)</f>
        <v>0</v>
      </c>
      <c r="Y314" s="155">
        <f ca="1">IF(ISNUMBER(MATCH(DATEVALUE($A314),'recurring1_based on steps'!Y$1:Y$400,0)),Y$2,)</f>
        <v>0</v>
      </c>
      <c r="Z314" s="155">
        <f ca="1">IF(ISNUMBER(MATCH(DATEVALUE($A314),'recurring1_based on steps'!Z$1:Z$400,0)),Z$2,)</f>
        <v>0</v>
      </c>
      <c r="AA314" s="155">
        <f ca="1">IF(ISNUMBER(MATCH(DATEVALUE($A314),'recurring1_based on steps'!AA$1:AA$400,0)),AA$2,)</f>
        <v>0</v>
      </c>
      <c r="AB314" s="155">
        <f ca="1">IF(ISNUMBER(MATCH(DATEVALUE($A314),'recurring1_based on steps'!AB$1:AB$400,0)),AB$2,)</f>
        <v>0</v>
      </c>
      <c r="AC314" s="155">
        <f ca="1">IF(ISNUMBER(MATCH(DATEVALUE($A314),'recurring1_based on steps'!AC$1:AC$400,0)),AC$2,)</f>
        <v>0</v>
      </c>
      <c r="AD314" s="155">
        <f ca="1">IF(ISNUMBER(MATCH(DATEVALUE($A314),'recurring1_based on steps'!AD$1:AD$400,0)),AD$2,)</f>
        <v>0</v>
      </c>
      <c r="AE314" s="155">
        <f ca="1">IF(ISNUMBER(MATCH(DATEVALUE($A314),'recurring1_based on steps'!AE$1:AE$400,0)),AE$2,)</f>
        <v>0</v>
      </c>
      <c r="AF314" s="155">
        <f ca="1">IF(ISNUMBER(MATCH(DATEVALUE($A314),'recurring1_based on steps'!AF$1:AF$400,0)),AF$2,)</f>
        <v>0</v>
      </c>
      <c r="AG314" s="155">
        <f ca="1">IF(ISNUMBER(MATCH(DATEVALUE($A314),'recurring1_based on steps'!AG$1:AG$400,0)),AG$2,)</f>
        <v>0</v>
      </c>
      <c r="AH314" s="155">
        <f ca="1">IF(ISNUMBER(MATCH(DATEVALUE($A314),'recurring1_based on steps'!AH$1:AH$400,0)),AH$2,)</f>
        <v>0</v>
      </c>
      <c r="AI314" s="155">
        <f ca="1">IF(ISNUMBER(MATCH(DATEVALUE($A314),'recurring1_based on steps'!AI$1:AI$400,0)),AI$2,)</f>
        <v>0</v>
      </c>
      <c r="AJ314" s="155">
        <f ca="1">IF(ISNUMBER(MATCH(DATEVALUE($A314),'recurring1_based on steps'!AJ$1:AJ$400,0)),AJ$2,)</f>
        <v>0</v>
      </c>
      <c r="AK314" s="155">
        <f ca="1">IF(ISNUMBER(MATCH(DATEVALUE($A314),'recurring1_based on steps'!AK$1:AK$400,0)),AK$2,)</f>
        <v>0</v>
      </c>
      <c r="AL314" s="155">
        <f ca="1">IF(ISNUMBER(MATCH(DATEVALUE($A314),'recurring1_based on steps'!AL$1:AL$400,0)),AL$2,)</f>
        <v>0</v>
      </c>
      <c r="AM314" s="155">
        <f ca="1">IF(ISNUMBER(MATCH(DATEVALUE($A314),'recurring1_based on steps'!AM$1:AM$400,0)),AM$2,)</f>
        <v>0</v>
      </c>
      <c r="AN314" s="155">
        <f ca="1">IF(ISNUMBER(MATCH(DATEVALUE($A314),'recurring1_based on steps'!AN$1:AN$400,0)),AN$2,)</f>
        <v>0</v>
      </c>
      <c r="AO314" s="155">
        <f ca="1">IF(ISNUMBER(MATCH(DATEVALUE($A314),'recurring1_based on steps'!AO$1:AO$400,0)),AO$2,)</f>
        <v>0</v>
      </c>
      <c r="AP314" s="155">
        <f ca="1">IF(ISNUMBER(MATCH(DATEVALUE($A314),'recurring1_based on steps'!AP$1:AP$400,0)),AP$2,)</f>
        <v>0</v>
      </c>
      <c r="AQ314" s="155">
        <f ca="1">IF(ISNUMBER(MATCH(DATEVALUE($A314),'recurring1_based on steps'!AQ$1:AQ$400,0)),AQ$2,)</f>
        <v>0</v>
      </c>
      <c r="AR314" s="155">
        <f ca="1">IF(ISNUMBER(MATCH(DATEVALUE($A314),'recurring1_based on steps'!AR$1:AR$400,0)),AR$2,)</f>
        <v>0</v>
      </c>
      <c r="AS314" s="155">
        <f ca="1">IF(ISNUMBER(MATCH(DATEVALUE($A314),'recurring1_based on steps'!AS$1:AS$400,0)),AS$2,)</f>
        <v>0</v>
      </c>
      <c r="AT314" s="155">
        <f ca="1">IF(ISNUMBER(MATCH(DATEVALUE($A314),'recurring1_based on steps'!AT$1:AT$400,0)),AT$2,)</f>
        <v>0</v>
      </c>
      <c r="AU314" s="155">
        <f ca="1">IF(ISNUMBER(MATCH(DATEVALUE($A314),'recurring1_based on steps'!AU$1:AU$400,0)),AU$2,)</f>
        <v>0</v>
      </c>
      <c r="AV314" s="155">
        <f ca="1">IF(ISNUMBER(MATCH(DATEVALUE($A314),'recurring1_based on steps'!AV$1:AV$400,0)),AV$2,)</f>
        <v>0</v>
      </c>
      <c r="AW314" s="155">
        <f ca="1">IF(ISNUMBER(MATCH(DATEVALUE($A314),'recurring1_based on steps'!AW$1:AW$400,0)),AW$2,)</f>
        <v>0</v>
      </c>
      <c r="AX314" s="155">
        <f ca="1">IF(ISNUMBER(MATCH(DATEVALUE($A314),'recurring1_based on steps'!AX$1:AX$400,0)),AX$2,)</f>
        <v>0</v>
      </c>
      <c r="AY314" s="155">
        <f ca="1">IF(ISNUMBER(MATCH(DATEVALUE($A314),'recurring1_based on steps'!AY$1:AY$400,0)),AY$2,)</f>
        <v>0</v>
      </c>
    </row>
    <row r="315" spans="1:51" x14ac:dyDescent="0.2">
      <c r="A315" s="18" t="str">
        <f t="shared" ca="1" si="4"/>
        <v>2025-12-10</v>
      </c>
      <c r="B315" s="155">
        <f ca="1">IF(ISNUMBER(MATCH(DATEVALUE($A315),'recurring1_based on steps'!B$1:B$400,0)),B$2,)</f>
        <v>0</v>
      </c>
      <c r="C315" s="155">
        <f ca="1">IF(ISNUMBER(MATCH(DATEVALUE($A315),'recurring1_based on steps'!C$1:C$400,0)),C$2,)</f>
        <v>0</v>
      </c>
      <c r="D315" s="155">
        <f ca="1">IF(ISNUMBER(MATCH(DATEVALUE($A315),'recurring1_based on steps'!D$1:D$400,0)),D$2,)</f>
        <v>0</v>
      </c>
      <c r="E315" s="155">
        <f ca="1">IF(ISNUMBER(MATCH(DATEVALUE($A315),'recurring1_based on steps'!E$1:E$400,0)),E$2,)</f>
        <v>0</v>
      </c>
      <c r="F315" s="155">
        <f ca="1">IF(ISNUMBER(MATCH(DATEVALUE($A315),'recurring1_based on steps'!F$1:F$400,0)),F$2,)</f>
        <v>0</v>
      </c>
      <c r="G315" s="155">
        <f ca="1">IF(ISNUMBER(MATCH(DATEVALUE($A315),'recurring1_based on steps'!G$1:G$400,0)),G$2,)</f>
        <v>0</v>
      </c>
      <c r="H315" s="155">
        <f ca="1">IF(ISNUMBER(MATCH(DATEVALUE($A315),'recurring1_based on steps'!H$1:H$400,0)),H$2,)</f>
        <v>0</v>
      </c>
      <c r="I315" s="155">
        <f ca="1">IF(ISNUMBER(MATCH(DATEVALUE($A315),'recurring1_based on steps'!I$1:I$400,0)),I$2,)</f>
        <v>0</v>
      </c>
      <c r="J315" s="155">
        <f ca="1">IF(ISNUMBER(MATCH(DATEVALUE($A315),'recurring1_based on steps'!J$1:J$400,0)),J$2,)</f>
        <v>0</v>
      </c>
      <c r="K315" s="155">
        <f ca="1">IF(ISNUMBER(MATCH(DATEVALUE($A315),'recurring1_based on steps'!K$1:K$400,0)),K$2,)</f>
        <v>0</v>
      </c>
      <c r="L315" s="155">
        <f ca="1">IF(ISNUMBER(MATCH(DATEVALUE($A315),'recurring1_based on steps'!L$1:L$400,0)),L$2,)</f>
        <v>0</v>
      </c>
      <c r="M315" s="155">
        <f ca="1">IF(ISNUMBER(MATCH(DATEVALUE($A315),'recurring1_based on steps'!M$1:M$400,0)),M$2,)</f>
        <v>0</v>
      </c>
      <c r="N315" s="155">
        <f ca="1">IF(ISNUMBER(MATCH(DATEVALUE($A315),'recurring1_based on steps'!N$1:N$400,0)),N$2,)</f>
        <v>0</v>
      </c>
      <c r="O315" s="155">
        <f ca="1">IF(ISNUMBER(MATCH(DATEVALUE($A315),'recurring1_based on steps'!O$1:O$400,0)),O$2,)</f>
        <v>0</v>
      </c>
      <c r="P315" s="155">
        <f ca="1">IF(ISNUMBER(MATCH(DATEVALUE($A315),'recurring1_based on steps'!P$1:P$400,0)),P$2,)</f>
        <v>0</v>
      </c>
      <c r="Q315" s="155">
        <f ca="1">IF(ISNUMBER(MATCH(DATEVALUE($A315),'recurring1_based on steps'!Q$1:Q$400,0)),Q$2,)</f>
        <v>0</v>
      </c>
      <c r="R315" s="155">
        <f ca="1">IF(ISNUMBER(MATCH(DATEVALUE($A315),'recurring1_based on steps'!R$1:R$400,0)),R$2,)</f>
        <v>0</v>
      </c>
      <c r="S315" s="155">
        <f ca="1">IF(ISNUMBER(MATCH(DATEVALUE($A315),'recurring1_based on steps'!S$1:S$400,0)),S$2,)</f>
        <v>0</v>
      </c>
      <c r="T315" s="155">
        <f ca="1">IF(ISNUMBER(MATCH(DATEVALUE($A315),'recurring1_based on steps'!T$1:T$400,0)),T$2,)</f>
        <v>0</v>
      </c>
      <c r="U315" s="155">
        <f ca="1">IF(ISNUMBER(MATCH(DATEVALUE($A315),'recurring1_based on steps'!U$1:U$400,0)),U$2,)</f>
        <v>0</v>
      </c>
      <c r="V315" s="155">
        <f ca="1">IF(ISNUMBER(MATCH(DATEVALUE($A315),'recurring1_based on steps'!V$1:V$400,0)),V$2,)</f>
        <v>0</v>
      </c>
      <c r="W315" s="155">
        <f ca="1">IF(ISNUMBER(MATCH(DATEVALUE($A315),'recurring1_based on steps'!W$1:W$400,0)),W$2,)</f>
        <v>0</v>
      </c>
      <c r="X315" s="155">
        <f ca="1">IF(ISNUMBER(MATCH(DATEVALUE($A315),'recurring1_based on steps'!X$1:X$400,0)),X$2,)</f>
        <v>0</v>
      </c>
      <c r="Y315" s="155">
        <f ca="1">IF(ISNUMBER(MATCH(DATEVALUE($A315),'recurring1_based on steps'!Y$1:Y$400,0)),Y$2,)</f>
        <v>0</v>
      </c>
      <c r="Z315" s="155">
        <f ca="1">IF(ISNUMBER(MATCH(DATEVALUE($A315),'recurring1_based on steps'!Z$1:Z$400,0)),Z$2,)</f>
        <v>0</v>
      </c>
      <c r="AA315" s="155">
        <f ca="1">IF(ISNUMBER(MATCH(DATEVALUE($A315),'recurring1_based on steps'!AA$1:AA$400,0)),AA$2,)</f>
        <v>0</v>
      </c>
      <c r="AB315" s="155">
        <f ca="1">IF(ISNUMBER(MATCH(DATEVALUE($A315),'recurring1_based on steps'!AB$1:AB$400,0)),AB$2,)</f>
        <v>0</v>
      </c>
      <c r="AC315" s="155">
        <f ca="1">IF(ISNUMBER(MATCH(DATEVALUE($A315),'recurring1_based on steps'!AC$1:AC$400,0)),AC$2,)</f>
        <v>0</v>
      </c>
      <c r="AD315" s="155">
        <f ca="1">IF(ISNUMBER(MATCH(DATEVALUE($A315),'recurring1_based on steps'!AD$1:AD$400,0)),AD$2,)</f>
        <v>0</v>
      </c>
      <c r="AE315" s="155">
        <f ca="1">IF(ISNUMBER(MATCH(DATEVALUE($A315),'recurring1_based on steps'!AE$1:AE$400,0)),AE$2,)</f>
        <v>0</v>
      </c>
      <c r="AF315" s="155">
        <f ca="1">IF(ISNUMBER(MATCH(DATEVALUE($A315),'recurring1_based on steps'!AF$1:AF$400,0)),AF$2,)</f>
        <v>0</v>
      </c>
      <c r="AG315" s="155">
        <f ca="1">IF(ISNUMBER(MATCH(DATEVALUE($A315),'recurring1_based on steps'!AG$1:AG$400,0)),AG$2,)</f>
        <v>0</v>
      </c>
      <c r="AH315" s="155">
        <f ca="1">IF(ISNUMBER(MATCH(DATEVALUE($A315),'recurring1_based on steps'!AH$1:AH$400,0)),AH$2,)</f>
        <v>0</v>
      </c>
      <c r="AI315" s="155">
        <f ca="1">IF(ISNUMBER(MATCH(DATEVALUE($A315),'recurring1_based on steps'!AI$1:AI$400,0)),AI$2,)</f>
        <v>0</v>
      </c>
      <c r="AJ315" s="155">
        <f ca="1">IF(ISNUMBER(MATCH(DATEVALUE($A315),'recurring1_based on steps'!AJ$1:AJ$400,0)),AJ$2,)</f>
        <v>0</v>
      </c>
      <c r="AK315" s="155">
        <f ca="1">IF(ISNUMBER(MATCH(DATEVALUE($A315),'recurring1_based on steps'!AK$1:AK$400,0)),AK$2,)</f>
        <v>0</v>
      </c>
      <c r="AL315" s="155">
        <f ca="1">IF(ISNUMBER(MATCH(DATEVALUE($A315),'recurring1_based on steps'!AL$1:AL$400,0)),AL$2,)</f>
        <v>0</v>
      </c>
      <c r="AM315" s="155">
        <f ca="1">IF(ISNUMBER(MATCH(DATEVALUE($A315),'recurring1_based on steps'!AM$1:AM$400,0)),AM$2,)</f>
        <v>0</v>
      </c>
      <c r="AN315" s="155">
        <f ca="1">IF(ISNUMBER(MATCH(DATEVALUE($A315),'recurring1_based on steps'!AN$1:AN$400,0)),AN$2,)</f>
        <v>0</v>
      </c>
      <c r="AO315" s="155">
        <f ca="1">IF(ISNUMBER(MATCH(DATEVALUE($A315),'recurring1_based on steps'!AO$1:AO$400,0)),AO$2,)</f>
        <v>0</v>
      </c>
      <c r="AP315" s="155">
        <f ca="1">IF(ISNUMBER(MATCH(DATEVALUE($A315),'recurring1_based on steps'!AP$1:AP$400,0)),AP$2,)</f>
        <v>0</v>
      </c>
      <c r="AQ315" s="155">
        <f ca="1">IF(ISNUMBER(MATCH(DATEVALUE($A315),'recurring1_based on steps'!AQ$1:AQ$400,0)),AQ$2,)</f>
        <v>0</v>
      </c>
      <c r="AR315" s="155">
        <f ca="1">IF(ISNUMBER(MATCH(DATEVALUE($A315),'recurring1_based on steps'!AR$1:AR$400,0)),AR$2,)</f>
        <v>0</v>
      </c>
      <c r="AS315" s="155">
        <f ca="1">IF(ISNUMBER(MATCH(DATEVALUE($A315),'recurring1_based on steps'!AS$1:AS$400,0)),AS$2,)</f>
        <v>0</v>
      </c>
      <c r="AT315" s="155">
        <f ca="1">IF(ISNUMBER(MATCH(DATEVALUE($A315),'recurring1_based on steps'!AT$1:AT$400,0)),AT$2,)</f>
        <v>0</v>
      </c>
      <c r="AU315" s="155">
        <f ca="1">IF(ISNUMBER(MATCH(DATEVALUE($A315),'recurring1_based on steps'!AU$1:AU$400,0)),AU$2,)</f>
        <v>0</v>
      </c>
      <c r="AV315" s="155">
        <f ca="1">IF(ISNUMBER(MATCH(DATEVALUE($A315),'recurring1_based on steps'!AV$1:AV$400,0)),AV$2,)</f>
        <v>0</v>
      </c>
      <c r="AW315" s="155">
        <f ca="1">IF(ISNUMBER(MATCH(DATEVALUE($A315),'recurring1_based on steps'!AW$1:AW$400,0)),AW$2,)</f>
        <v>0</v>
      </c>
      <c r="AX315" s="155">
        <f ca="1">IF(ISNUMBER(MATCH(DATEVALUE($A315),'recurring1_based on steps'!AX$1:AX$400,0)),AX$2,)</f>
        <v>0</v>
      </c>
      <c r="AY315" s="155">
        <f ca="1">IF(ISNUMBER(MATCH(DATEVALUE($A315),'recurring1_based on steps'!AY$1:AY$400,0)),AY$2,)</f>
        <v>0</v>
      </c>
    </row>
    <row r="316" spans="1:51" x14ac:dyDescent="0.2">
      <c r="A316" s="18" t="str">
        <f t="shared" ca="1" si="4"/>
        <v>2025-12-11</v>
      </c>
      <c r="B316" s="155">
        <f ca="1">IF(ISNUMBER(MATCH(DATEVALUE($A316),'recurring1_based on steps'!B$1:B$400,0)),B$2,)</f>
        <v>0</v>
      </c>
      <c r="C316" s="155">
        <f ca="1">IF(ISNUMBER(MATCH(DATEVALUE($A316),'recurring1_based on steps'!C$1:C$400,0)),C$2,)</f>
        <v>0</v>
      </c>
      <c r="D316" s="155">
        <f ca="1">IF(ISNUMBER(MATCH(DATEVALUE($A316),'recurring1_based on steps'!D$1:D$400,0)),D$2,)</f>
        <v>0</v>
      </c>
      <c r="E316" s="155">
        <f ca="1">IF(ISNUMBER(MATCH(DATEVALUE($A316),'recurring1_based on steps'!E$1:E$400,0)),E$2,)</f>
        <v>0</v>
      </c>
      <c r="F316" s="155">
        <f ca="1">IF(ISNUMBER(MATCH(DATEVALUE($A316),'recurring1_based on steps'!F$1:F$400,0)),F$2,)</f>
        <v>0</v>
      </c>
      <c r="G316" s="155">
        <f ca="1">IF(ISNUMBER(MATCH(DATEVALUE($A316),'recurring1_based on steps'!G$1:G$400,0)),G$2,)</f>
        <v>0</v>
      </c>
      <c r="H316" s="155">
        <f ca="1">IF(ISNUMBER(MATCH(DATEVALUE($A316),'recurring1_based on steps'!H$1:H$400,0)),H$2,)</f>
        <v>0</v>
      </c>
      <c r="I316" s="155">
        <f ca="1">IF(ISNUMBER(MATCH(DATEVALUE($A316),'recurring1_based on steps'!I$1:I$400,0)),I$2,)</f>
        <v>0</v>
      </c>
      <c r="J316" s="155">
        <f ca="1">IF(ISNUMBER(MATCH(DATEVALUE($A316),'recurring1_based on steps'!J$1:J$400,0)),J$2,)</f>
        <v>500</v>
      </c>
      <c r="K316" s="155">
        <f ca="1">IF(ISNUMBER(MATCH(DATEVALUE($A316),'recurring1_based on steps'!K$1:K$400,0)),K$2,)</f>
        <v>0</v>
      </c>
      <c r="L316" s="155">
        <f ca="1">IF(ISNUMBER(MATCH(DATEVALUE($A316),'recurring1_based on steps'!L$1:L$400,0)),L$2,)</f>
        <v>0</v>
      </c>
      <c r="M316" s="155">
        <f ca="1">IF(ISNUMBER(MATCH(DATEVALUE($A316),'recurring1_based on steps'!M$1:M$400,0)),M$2,)</f>
        <v>0</v>
      </c>
      <c r="N316" s="155">
        <f ca="1">IF(ISNUMBER(MATCH(DATEVALUE($A316),'recurring1_based on steps'!N$1:N$400,0)),N$2,)</f>
        <v>0</v>
      </c>
      <c r="O316" s="155">
        <f ca="1">IF(ISNUMBER(MATCH(DATEVALUE($A316),'recurring1_based on steps'!O$1:O$400,0)),O$2,)</f>
        <v>0</v>
      </c>
      <c r="P316" s="155">
        <f ca="1">IF(ISNUMBER(MATCH(DATEVALUE($A316),'recurring1_based on steps'!P$1:P$400,0)),P$2,)</f>
        <v>0</v>
      </c>
      <c r="Q316" s="155">
        <f ca="1">IF(ISNUMBER(MATCH(DATEVALUE($A316),'recurring1_based on steps'!Q$1:Q$400,0)),Q$2,)</f>
        <v>0</v>
      </c>
      <c r="R316" s="155">
        <f ca="1">IF(ISNUMBER(MATCH(DATEVALUE($A316),'recurring1_based on steps'!R$1:R$400,0)),R$2,)</f>
        <v>0</v>
      </c>
      <c r="S316" s="155">
        <f ca="1">IF(ISNUMBER(MATCH(DATEVALUE($A316),'recurring1_based on steps'!S$1:S$400,0)),S$2,)</f>
        <v>0</v>
      </c>
      <c r="T316" s="155">
        <f ca="1">IF(ISNUMBER(MATCH(DATEVALUE($A316),'recurring1_based on steps'!T$1:T$400,0)),T$2,)</f>
        <v>0</v>
      </c>
      <c r="U316" s="155">
        <f ca="1">IF(ISNUMBER(MATCH(DATEVALUE($A316),'recurring1_based on steps'!U$1:U$400,0)),U$2,)</f>
        <v>0</v>
      </c>
      <c r="V316" s="155">
        <f ca="1">IF(ISNUMBER(MATCH(DATEVALUE($A316),'recurring1_based on steps'!V$1:V$400,0)),V$2,)</f>
        <v>0</v>
      </c>
      <c r="W316" s="155">
        <f ca="1">IF(ISNUMBER(MATCH(DATEVALUE($A316),'recurring1_based on steps'!W$1:W$400,0)),W$2,)</f>
        <v>0</v>
      </c>
      <c r="X316" s="155">
        <f ca="1">IF(ISNUMBER(MATCH(DATEVALUE($A316),'recurring1_based on steps'!X$1:X$400,0)),X$2,)</f>
        <v>0</v>
      </c>
      <c r="Y316" s="155">
        <f ca="1">IF(ISNUMBER(MATCH(DATEVALUE($A316),'recurring1_based on steps'!Y$1:Y$400,0)),Y$2,)</f>
        <v>0</v>
      </c>
      <c r="Z316" s="155">
        <f ca="1">IF(ISNUMBER(MATCH(DATEVALUE($A316),'recurring1_based on steps'!Z$1:Z$400,0)),Z$2,)</f>
        <v>0</v>
      </c>
      <c r="AA316" s="155">
        <f ca="1">IF(ISNUMBER(MATCH(DATEVALUE($A316),'recurring1_based on steps'!AA$1:AA$400,0)),AA$2,)</f>
        <v>0</v>
      </c>
      <c r="AB316" s="155">
        <f ca="1">IF(ISNUMBER(MATCH(DATEVALUE($A316),'recurring1_based on steps'!AB$1:AB$400,0)),AB$2,)</f>
        <v>0</v>
      </c>
      <c r="AC316" s="155">
        <f ca="1">IF(ISNUMBER(MATCH(DATEVALUE($A316),'recurring1_based on steps'!AC$1:AC$400,0)),AC$2,)</f>
        <v>0</v>
      </c>
      <c r="AD316" s="155">
        <f ca="1">IF(ISNUMBER(MATCH(DATEVALUE($A316),'recurring1_based on steps'!AD$1:AD$400,0)),AD$2,)</f>
        <v>0</v>
      </c>
      <c r="AE316" s="155">
        <f ca="1">IF(ISNUMBER(MATCH(DATEVALUE($A316),'recurring1_based on steps'!AE$1:AE$400,0)),AE$2,)</f>
        <v>0</v>
      </c>
      <c r="AF316" s="155">
        <f ca="1">IF(ISNUMBER(MATCH(DATEVALUE($A316),'recurring1_based on steps'!AF$1:AF$400,0)),AF$2,)</f>
        <v>0</v>
      </c>
      <c r="AG316" s="155">
        <f ca="1">IF(ISNUMBER(MATCH(DATEVALUE($A316),'recurring1_based on steps'!AG$1:AG$400,0)),AG$2,)</f>
        <v>0</v>
      </c>
      <c r="AH316" s="155">
        <f ca="1">IF(ISNUMBER(MATCH(DATEVALUE($A316),'recurring1_based on steps'!AH$1:AH$400,0)),AH$2,)</f>
        <v>0</v>
      </c>
      <c r="AI316" s="155">
        <f ca="1">IF(ISNUMBER(MATCH(DATEVALUE($A316),'recurring1_based on steps'!AI$1:AI$400,0)),AI$2,)</f>
        <v>0</v>
      </c>
      <c r="AJ316" s="155">
        <f ca="1">IF(ISNUMBER(MATCH(DATEVALUE($A316),'recurring1_based on steps'!AJ$1:AJ$400,0)),AJ$2,)</f>
        <v>0</v>
      </c>
      <c r="AK316" s="155">
        <f ca="1">IF(ISNUMBER(MATCH(DATEVALUE($A316),'recurring1_based on steps'!AK$1:AK$400,0)),AK$2,)</f>
        <v>0</v>
      </c>
      <c r="AL316" s="155">
        <f ca="1">IF(ISNUMBER(MATCH(DATEVALUE($A316),'recurring1_based on steps'!AL$1:AL$400,0)),AL$2,)</f>
        <v>0</v>
      </c>
      <c r="AM316" s="155">
        <f ca="1">IF(ISNUMBER(MATCH(DATEVALUE($A316),'recurring1_based on steps'!AM$1:AM$400,0)),AM$2,)</f>
        <v>0</v>
      </c>
      <c r="AN316" s="155">
        <f ca="1">IF(ISNUMBER(MATCH(DATEVALUE($A316),'recurring1_based on steps'!AN$1:AN$400,0)),AN$2,)</f>
        <v>0</v>
      </c>
      <c r="AO316" s="155">
        <f ca="1">IF(ISNUMBER(MATCH(DATEVALUE($A316),'recurring1_based on steps'!AO$1:AO$400,0)),AO$2,)</f>
        <v>0</v>
      </c>
      <c r="AP316" s="155">
        <f ca="1">IF(ISNUMBER(MATCH(DATEVALUE($A316),'recurring1_based on steps'!AP$1:AP$400,0)),AP$2,)</f>
        <v>0</v>
      </c>
      <c r="AQ316" s="155">
        <f ca="1">IF(ISNUMBER(MATCH(DATEVALUE($A316),'recurring1_based on steps'!AQ$1:AQ$400,0)),AQ$2,)</f>
        <v>0</v>
      </c>
      <c r="AR316" s="155">
        <f ca="1">IF(ISNUMBER(MATCH(DATEVALUE($A316),'recurring1_based on steps'!AR$1:AR$400,0)),AR$2,)</f>
        <v>0</v>
      </c>
      <c r="AS316" s="155">
        <f ca="1">IF(ISNUMBER(MATCH(DATEVALUE($A316),'recurring1_based on steps'!AS$1:AS$400,0)),AS$2,)</f>
        <v>0</v>
      </c>
      <c r="AT316" s="155">
        <f ca="1">IF(ISNUMBER(MATCH(DATEVALUE($A316),'recurring1_based on steps'!AT$1:AT$400,0)),AT$2,)</f>
        <v>0</v>
      </c>
      <c r="AU316" s="155">
        <f ca="1">IF(ISNUMBER(MATCH(DATEVALUE($A316),'recurring1_based on steps'!AU$1:AU$400,0)),AU$2,)</f>
        <v>0</v>
      </c>
      <c r="AV316" s="155">
        <f ca="1">IF(ISNUMBER(MATCH(DATEVALUE($A316),'recurring1_based on steps'!AV$1:AV$400,0)),AV$2,)</f>
        <v>0</v>
      </c>
      <c r="AW316" s="155">
        <f ca="1">IF(ISNUMBER(MATCH(DATEVALUE($A316),'recurring1_based on steps'!AW$1:AW$400,0)),AW$2,)</f>
        <v>0</v>
      </c>
      <c r="AX316" s="155">
        <f ca="1">IF(ISNUMBER(MATCH(DATEVALUE($A316),'recurring1_based on steps'!AX$1:AX$400,0)),AX$2,)</f>
        <v>0</v>
      </c>
      <c r="AY316" s="155">
        <f ca="1">IF(ISNUMBER(MATCH(DATEVALUE($A316),'recurring1_based on steps'!AY$1:AY$400,0)),AY$2,)</f>
        <v>0</v>
      </c>
    </row>
    <row r="317" spans="1:51" x14ac:dyDescent="0.2">
      <c r="A317" s="18" t="str">
        <f t="shared" ca="1" si="4"/>
        <v>2025-12-12</v>
      </c>
      <c r="B317" s="155">
        <f ca="1">IF(ISNUMBER(MATCH(DATEVALUE($A317),'recurring1_based on steps'!B$1:B$400,0)),B$2,)</f>
        <v>4000</v>
      </c>
      <c r="C317" s="155">
        <f ca="1">IF(ISNUMBER(MATCH(DATEVALUE($A317),'recurring1_based on steps'!C$1:C$400,0)),C$2,)</f>
        <v>200</v>
      </c>
      <c r="D317" s="155">
        <f ca="1">IF(ISNUMBER(MATCH(DATEVALUE($A317),'recurring1_based on steps'!D$1:D$400,0)),D$2,)</f>
        <v>2</v>
      </c>
      <c r="E317" s="155">
        <f ca="1">IF(ISNUMBER(MATCH(DATEVALUE($A317),'recurring1_based on steps'!E$1:E$400,0)),E$2,)</f>
        <v>40</v>
      </c>
      <c r="F317" s="155">
        <f ca="1">IF(ISNUMBER(MATCH(DATEVALUE($A317),'recurring1_based on steps'!F$1:F$400,0)),F$2,)</f>
        <v>50</v>
      </c>
      <c r="G317" s="155">
        <f ca="1">IF(ISNUMBER(MATCH(DATEVALUE($A317),'recurring1_based on steps'!G$1:G$400,0)),G$2,)</f>
        <v>4</v>
      </c>
      <c r="H317" s="155">
        <f ca="1">IF(ISNUMBER(MATCH(DATEVALUE($A317),'recurring1_based on steps'!H$1:H$400,0)),H$2,)</f>
        <v>0</v>
      </c>
      <c r="I317" s="155">
        <f ca="1">IF(ISNUMBER(MATCH(DATEVALUE($A317),'recurring1_based on steps'!I$1:I$400,0)),I$2,)</f>
        <v>0</v>
      </c>
      <c r="J317" s="155">
        <f ca="1">IF(ISNUMBER(MATCH(DATEVALUE($A317),'recurring1_based on steps'!J$1:J$400,0)),J$2,)</f>
        <v>0</v>
      </c>
      <c r="K317" s="155">
        <f ca="1">IF(ISNUMBER(MATCH(DATEVALUE($A317),'recurring1_based on steps'!K$1:K$400,0)),K$2,)</f>
        <v>0</v>
      </c>
      <c r="L317" s="155">
        <f ca="1">IF(ISNUMBER(MATCH(DATEVALUE($A317),'recurring1_based on steps'!L$1:L$400,0)),L$2,)</f>
        <v>0</v>
      </c>
      <c r="M317" s="155">
        <f ca="1">IF(ISNUMBER(MATCH(DATEVALUE($A317),'recurring1_based on steps'!M$1:M$400,0)),M$2,)</f>
        <v>0</v>
      </c>
      <c r="N317" s="155">
        <f ca="1">IF(ISNUMBER(MATCH(DATEVALUE($A317),'recurring1_based on steps'!N$1:N$400,0)),N$2,)</f>
        <v>0</v>
      </c>
      <c r="O317" s="155">
        <f ca="1">IF(ISNUMBER(MATCH(DATEVALUE($A317),'recurring1_based on steps'!O$1:O$400,0)),O$2,)</f>
        <v>0</v>
      </c>
      <c r="P317" s="155">
        <f ca="1">IF(ISNUMBER(MATCH(DATEVALUE($A317),'recurring1_based on steps'!P$1:P$400,0)),P$2,)</f>
        <v>0</v>
      </c>
      <c r="Q317" s="155">
        <f ca="1">IF(ISNUMBER(MATCH(DATEVALUE($A317),'recurring1_based on steps'!Q$1:Q$400,0)),Q$2,)</f>
        <v>0</v>
      </c>
      <c r="R317" s="155">
        <f ca="1">IF(ISNUMBER(MATCH(DATEVALUE($A317),'recurring1_based on steps'!R$1:R$400,0)),R$2,)</f>
        <v>0</v>
      </c>
      <c r="S317" s="155">
        <f ca="1">IF(ISNUMBER(MATCH(DATEVALUE($A317),'recurring1_based on steps'!S$1:S$400,0)),S$2,)</f>
        <v>0</v>
      </c>
      <c r="T317" s="155">
        <f ca="1">IF(ISNUMBER(MATCH(DATEVALUE($A317),'recurring1_based on steps'!T$1:T$400,0)),T$2,)</f>
        <v>0</v>
      </c>
      <c r="U317" s="155">
        <f ca="1">IF(ISNUMBER(MATCH(DATEVALUE($A317),'recurring1_based on steps'!U$1:U$400,0)),U$2,)</f>
        <v>0</v>
      </c>
      <c r="V317" s="155">
        <f ca="1">IF(ISNUMBER(MATCH(DATEVALUE($A317),'recurring1_based on steps'!V$1:V$400,0)),V$2,)</f>
        <v>0</v>
      </c>
      <c r="W317" s="155">
        <f ca="1">IF(ISNUMBER(MATCH(DATEVALUE($A317),'recurring1_based on steps'!W$1:W$400,0)),W$2,)</f>
        <v>0</v>
      </c>
      <c r="X317" s="155">
        <f ca="1">IF(ISNUMBER(MATCH(DATEVALUE($A317),'recurring1_based on steps'!X$1:X$400,0)),X$2,)</f>
        <v>50</v>
      </c>
      <c r="Y317" s="155">
        <f ca="1">IF(ISNUMBER(MATCH(DATEVALUE($A317),'recurring1_based on steps'!Y$1:Y$400,0)),Y$2,)</f>
        <v>0</v>
      </c>
      <c r="Z317" s="155">
        <f ca="1">IF(ISNUMBER(MATCH(DATEVALUE($A317),'recurring1_based on steps'!Z$1:Z$400,0)),Z$2,)</f>
        <v>0</v>
      </c>
      <c r="AA317" s="155">
        <f ca="1">IF(ISNUMBER(MATCH(DATEVALUE($A317),'recurring1_based on steps'!AA$1:AA$400,0)),AA$2,)</f>
        <v>0</v>
      </c>
      <c r="AB317" s="155">
        <f ca="1">IF(ISNUMBER(MATCH(DATEVALUE($A317),'recurring1_based on steps'!AB$1:AB$400,0)),AB$2,)</f>
        <v>0</v>
      </c>
      <c r="AC317" s="155">
        <f ca="1">IF(ISNUMBER(MATCH(DATEVALUE($A317),'recurring1_based on steps'!AC$1:AC$400,0)),AC$2,)</f>
        <v>0</v>
      </c>
      <c r="AD317" s="155">
        <f ca="1">IF(ISNUMBER(MATCH(DATEVALUE($A317),'recurring1_based on steps'!AD$1:AD$400,0)),AD$2,)</f>
        <v>0</v>
      </c>
      <c r="AE317" s="155">
        <f ca="1">IF(ISNUMBER(MATCH(DATEVALUE($A317),'recurring1_based on steps'!AE$1:AE$400,0)),AE$2,)</f>
        <v>0</v>
      </c>
      <c r="AF317" s="155">
        <f ca="1">IF(ISNUMBER(MATCH(DATEVALUE($A317),'recurring1_based on steps'!AF$1:AF$400,0)),AF$2,)</f>
        <v>0</v>
      </c>
      <c r="AG317" s="155">
        <f ca="1">IF(ISNUMBER(MATCH(DATEVALUE($A317),'recurring1_based on steps'!AG$1:AG$400,0)),AG$2,)</f>
        <v>0</v>
      </c>
      <c r="AH317" s="155">
        <f ca="1">IF(ISNUMBER(MATCH(DATEVALUE($A317),'recurring1_based on steps'!AH$1:AH$400,0)),AH$2,)</f>
        <v>0</v>
      </c>
      <c r="AI317" s="155">
        <f ca="1">IF(ISNUMBER(MATCH(DATEVALUE($A317),'recurring1_based on steps'!AI$1:AI$400,0)),AI$2,)</f>
        <v>0</v>
      </c>
      <c r="AJ317" s="155">
        <f ca="1">IF(ISNUMBER(MATCH(DATEVALUE($A317),'recurring1_based on steps'!AJ$1:AJ$400,0)),AJ$2,)</f>
        <v>0</v>
      </c>
      <c r="AK317" s="155">
        <f ca="1">IF(ISNUMBER(MATCH(DATEVALUE($A317),'recurring1_based on steps'!AK$1:AK$400,0)),AK$2,)</f>
        <v>0</v>
      </c>
      <c r="AL317" s="155">
        <f ca="1">IF(ISNUMBER(MATCH(DATEVALUE($A317),'recurring1_based on steps'!AL$1:AL$400,0)),AL$2,)</f>
        <v>0</v>
      </c>
      <c r="AM317" s="155">
        <f ca="1">IF(ISNUMBER(MATCH(DATEVALUE($A317),'recurring1_based on steps'!AM$1:AM$400,0)),AM$2,)</f>
        <v>0</v>
      </c>
      <c r="AN317" s="155">
        <f ca="1">IF(ISNUMBER(MATCH(DATEVALUE($A317),'recurring1_based on steps'!AN$1:AN$400,0)),AN$2,)</f>
        <v>0</v>
      </c>
      <c r="AO317" s="155">
        <f ca="1">IF(ISNUMBER(MATCH(DATEVALUE($A317),'recurring1_based on steps'!AO$1:AO$400,0)),AO$2,)</f>
        <v>0</v>
      </c>
      <c r="AP317" s="155">
        <f ca="1">IF(ISNUMBER(MATCH(DATEVALUE($A317),'recurring1_based on steps'!AP$1:AP$400,0)),AP$2,)</f>
        <v>0</v>
      </c>
      <c r="AQ317" s="155">
        <f ca="1">IF(ISNUMBER(MATCH(DATEVALUE($A317),'recurring1_based on steps'!AQ$1:AQ$400,0)),AQ$2,)</f>
        <v>0</v>
      </c>
      <c r="AR317" s="155">
        <f ca="1">IF(ISNUMBER(MATCH(DATEVALUE($A317),'recurring1_based on steps'!AR$1:AR$400,0)),AR$2,)</f>
        <v>0</v>
      </c>
      <c r="AS317" s="155">
        <f ca="1">IF(ISNUMBER(MATCH(DATEVALUE($A317),'recurring1_based on steps'!AS$1:AS$400,0)),AS$2,)</f>
        <v>0</v>
      </c>
      <c r="AT317" s="155">
        <f ca="1">IF(ISNUMBER(MATCH(DATEVALUE($A317),'recurring1_based on steps'!AT$1:AT$400,0)),AT$2,)</f>
        <v>0</v>
      </c>
      <c r="AU317" s="155">
        <f ca="1">IF(ISNUMBER(MATCH(DATEVALUE($A317),'recurring1_based on steps'!AU$1:AU$400,0)),AU$2,)</f>
        <v>0</v>
      </c>
      <c r="AV317" s="155">
        <f ca="1">IF(ISNUMBER(MATCH(DATEVALUE($A317),'recurring1_based on steps'!AV$1:AV$400,0)),AV$2,)</f>
        <v>0</v>
      </c>
      <c r="AW317" s="155">
        <f ca="1">IF(ISNUMBER(MATCH(DATEVALUE($A317),'recurring1_based on steps'!AW$1:AW$400,0)),AW$2,)</f>
        <v>0</v>
      </c>
      <c r="AX317" s="155">
        <f ca="1">IF(ISNUMBER(MATCH(DATEVALUE($A317),'recurring1_based on steps'!AX$1:AX$400,0)),AX$2,)</f>
        <v>0</v>
      </c>
      <c r="AY317" s="155">
        <f ca="1">IF(ISNUMBER(MATCH(DATEVALUE($A317),'recurring1_based on steps'!AY$1:AY$400,0)),AY$2,)</f>
        <v>0</v>
      </c>
    </row>
    <row r="318" spans="1:51" x14ac:dyDescent="0.2">
      <c r="A318" s="18" t="str">
        <f t="shared" ca="1" si="4"/>
        <v>2025-12-13</v>
      </c>
      <c r="B318" s="155">
        <f ca="1">IF(ISNUMBER(MATCH(DATEVALUE($A318),'recurring1_based on steps'!B$1:B$400,0)),B$2,)</f>
        <v>0</v>
      </c>
      <c r="C318" s="155">
        <f ca="1">IF(ISNUMBER(MATCH(DATEVALUE($A318),'recurring1_based on steps'!C$1:C$400,0)),C$2,)</f>
        <v>0</v>
      </c>
      <c r="D318" s="155">
        <f ca="1">IF(ISNUMBER(MATCH(DATEVALUE($A318),'recurring1_based on steps'!D$1:D$400,0)),D$2,)</f>
        <v>0</v>
      </c>
      <c r="E318" s="155">
        <f ca="1">IF(ISNUMBER(MATCH(DATEVALUE($A318),'recurring1_based on steps'!E$1:E$400,0)),E$2,)</f>
        <v>0</v>
      </c>
      <c r="F318" s="155">
        <f ca="1">IF(ISNUMBER(MATCH(DATEVALUE($A318),'recurring1_based on steps'!F$1:F$400,0)),F$2,)</f>
        <v>0</v>
      </c>
      <c r="G318" s="155">
        <f ca="1">IF(ISNUMBER(MATCH(DATEVALUE($A318),'recurring1_based on steps'!G$1:G$400,0)),G$2,)</f>
        <v>0</v>
      </c>
      <c r="H318" s="155">
        <f ca="1">IF(ISNUMBER(MATCH(DATEVALUE($A318),'recurring1_based on steps'!H$1:H$400,0)),H$2,)</f>
        <v>0</v>
      </c>
      <c r="I318" s="155">
        <f ca="1">IF(ISNUMBER(MATCH(DATEVALUE($A318),'recurring1_based on steps'!I$1:I$400,0)),I$2,)</f>
        <v>0</v>
      </c>
      <c r="J318" s="155">
        <f ca="1">IF(ISNUMBER(MATCH(DATEVALUE($A318),'recurring1_based on steps'!J$1:J$400,0)),J$2,)</f>
        <v>0</v>
      </c>
      <c r="K318" s="155">
        <f ca="1">IF(ISNUMBER(MATCH(DATEVALUE($A318),'recurring1_based on steps'!K$1:K$400,0)),K$2,)</f>
        <v>0</v>
      </c>
      <c r="L318" s="155">
        <f ca="1">IF(ISNUMBER(MATCH(DATEVALUE($A318),'recurring1_based on steps'!L$1:L$400,0)),L$2,)</f>
        <v>0</v>
      </c>
      <c r="M318" s="155">
        <f ca="1">IF(ISNUMBER(MATCH(DATEVALUE($A318),'recurring1_based on steps'!M$1:M$400,0)),M$2,)</f>
        <v>0</v>
      </c>
      <c r="N318" s="155">
        <f ca="1">IF(ISNUMBER(MATCH(DATEVALUE($A318),'recurring1_based on steps'!N$1:N$400,0)),N$2,)</f>
        <v>0</v>
      </c>
      <c r="O318" s="155">
        <f ca="1">IF(ISNUMBER(MATCH(DATEVALUE($A318),'recurring1_based on steps'!O$1:O$400,0)),O$2,)</f>
        <v>0</v>
      </c>
      <c r="P318" s="155">
        <f ca="1">IF(ISNUMBER(MATCH(DATEVALUE($A318),'recurring1_based on steps'!P$1:P$400,0)),P$2,)</f>
        <v>0</v>
      </c>
      <c r="Q318" s="155">
        <f ca="1">IF(ISNUMBER(MATCH(DATEVALUE($A318),'recurring1_based on steps'!Q$1:Q$400,0)),Q$2,)</f>
        <v>100</v>
      </c>
      <c r="R318" s="155">
        <f ca="1">IF(ISNUMBER(MATCH(DATEVALUE($A318),'recurring1_based on steps'!R$1:R$400,0)),R$2,)</f>
        <v>100</v>
      </c>
      <c r="S318" s="155">
        <f ca="1">IF(ISNUMBER(MATCH(DATEVALUE($A318),'recurring1_based on steps'!S$1:S$400,0)),S$2,)</f>
        <v>0</v>
      </c>
      <c r="T318" s="155">
        <f ca="1">IF(ISNUMBER(MATCH(DATEVALUE($A318),'recurring1_based on steps'!T$1:T$400,0)),T$2,)</f>
        <v>0</v>
      </c>
      <c r="U318" s="155">
        <f ca="1">IF(ISNUMBER(MATCH(DATEVALUE($A318),'recurring1_based on steps'!U$1:U$400,0)),U$2,)</f>
        <v>0</v>
      </c>
      <c r="V318" s="155">
        <f ca="1">IF(ISNUMBER(MATCH(DATEVALUE($A318),'recurring1_based on steps'!V$1:V$400,0)),V$2,)</f>
        <v>0</v>
      </c>
      <c r="W318" s="155">
        <f ca="1">IF(ISNUMBER(MATCH(DATEVALUE($A318),'recurring1_based on steps'!W$1:W$400,0)),W$2,)</f>
        <v>0</v>
      </c>
      <c r="X318" s="155">
        <f ca="1">IF(ISNUMBER(MATCH(DATEVALUE($A318),'recurring1_based on steps'!X$1:X$400,0)),X$2,)</f>
        <v>0</v>
      </c>
      <c r="Y318" s="155">
        <f ca="1">IF(ISNUMBER(MATCH(DATEVALUE($A318),'recurring1_based on steps'!Y$1:Y$400,0)),Y$2,)</f>
        <v>0</v>
      </c>
      <c r="Z318" s="155">
        <f ca="1">IF(ISNUMBER(MATCH(DATEVALUE($A318),'recurring1_based on steps'!Z$1:Z$400,0)),Z$2,)</f>
        <v>0</v>
      </c>
      <c r="AA318" s="155">
        <f ca="1">IF(ISNUMBER(MATCH(DATEVALUE($A318),'recurring1_based on steps'!AA$1:AA$400,0)),AA$2,)</f>
        <v>0</v>
      </c>
      <c r="AB318" s="155">
        <f ca="1">IF(ISNUMBER(MATCH(DATEVALUE($A318),'recurring1_based on steps'!AB$1:AB$400,0)),AB$2,)</f>
        <v>0</v>
      </c>
      <c r="AC318" s="155">
        <f ca="1">IF(ISNUMBER(MATCH(DATEVALUE($A318),'recurring1_based on steps'!AC$1:AC$400,0)),AC$2,)</f>
        <v>0</v>
      </c>
      <c r="AD318" s="155">
        <f ca="1">IF(ISNUMBER(MATCH(DATEVALUE($A318),'recurring1_based on steps'!AD$1:AD$400,0)),AD$2,)</f>
        <v>0</v>
      </c>
      <c r="AE318" s="155">
        <f ca="1">IF(ISNUMBER(MATCH(DATEVALUE($A318),'recurring1_based on steps'!AE$1:AE$400,0)),AE$2,)</f>
        <v>0</v>
      </c>
      <c r="AF318" s="155">
        <f ca="1">IF(ISNUMBER(MATCH(DATEVALUE($A318),'recurring1_based on steps'!AF$1:AF$400,0)),AF$2,)</f>
        <v>0</v>
      </c>
      <c r="AG318" s="155">
        <f ca="1">IF(ISNUMBER(MATCH(DATEVALUE($A318),'recurring1_based on steps'!AG$1:AG$400,0)),AG$2,)</f>
        <v>0</v>
      </c>
      <c r="AH318" s="155">
        <f ca="1">IF(ISNUMBER(MATCH(DATEVALUE($A318),'recurring1_based on steps'!AH$1:AH$400,0)),AH$2,)</f>
        <v>0</v>
      </c>
      <c r="AI318" s="155">
        <f ca="1">IF(ISNUMBER(MATCH(DATEVALUE($A318),'recurring1_based on steps'!AI$1:AI$400,0)),AI$2,)</f>
        <v>0</v>
      </c>
      <c r="AJ318" s="155">
        <f ca="1">IF(ISNUMBER(MATCH(DATEVALUE($A318),'recurring1_based on steps'!AJ$1:AJ$400,0)),AJ$2,)</f>
        <v>0</v>
      </c>
      <c r="AK318" s="155">
        <f ca="1">IF(ISNUMBER(MATCH(DATEVALUE($A318),'recurring1_based on steps'!AK$1:AK$400,0)),AK$2,)</f>
        <v>0</v>
      </c>
      <c r="AL318" s="155">
        <f ca="1">IF(ISNUMBER(MATCH(DATEVALUE($A318),'recurring1_based on steps'!AL$1:AL$400,0)),AL$2,)</f>
        <v>0</v>
      </c>
      <c r="AM318" s="155">
        <f ca="1">IF(ISNUMBER(MATCH(DATEVALUE($A318),'recurring1_based on steps'!AM$1:AM$400,0)),AM$2,)</f>
        <v>0</v>
      </c>
      <c r="AN318" s="155">
        <f ca="1">IF(ISNUMBER(MATCH(DATEVALUE($A318),'recurring1_based on steps'!AN$1:AN$400,0)),AN$2,)</f>
        <v>0</v>
      </c>
      <c r="AO318" s="155">
        <f ca="1">IF(ISNUMBER(MATCH(DATEVALUE($A318),'recurring1_based on steps'!AO$1:AO$400,0)),AO$2,)</f>
        <v>0</v>
      </c>
      <c r="AP318" s="155">
        <f ca="1">IF(ISNUMBER(MATCH(DATEVALUE($A318),'recurring1_based on steps'!AP$1:AP$400,0)),AP$2,)</f>
        <v>0</v>
      </c>
      <c r="AQ318" s="155">
        <f ca="1">IF(ISNUMBER(MATCH(DATEVALUE($A318),'recurring1_based on steps'!AQ$1:AQ$400,0)),AQ$2,)</f>
        <v>0</v>
      </c>
      <c r="AR318" s="155">
        <f ca="1">IF(ISNUMBER(MATCH(DATEVALUE($A318),'recurring1_based on steps'!AR$1:AR$400,0)),AR$2,)</f>
        <v>0</v>
      </c>
      <c r="AS318" s="155">
        <f ca="1">IF(ISNUMBER(MATCH(DATEVALUE($A318),'recurring1_based on steps'!AS$1:AS$400,0)),AS$2,)</f>
        <v>0</v>
      </c>
      <c r="AT318" s="155">
        <f ca="1">IF(ISNUMBER(MATCH(DATEVALUE($A318),'recurring1_based on steps'!AT$1:AT$400,0)),AT$2,)</f>
        <v>0</v>
      </c>
      <c r="AU318" s="155">
        <f ca="1">IF(ISNUMBER(MATCH(DATEVALUE($A318),'recurring1_based on steps'!AU$1:AU$400,0)),AU$2,)</f>
        <v>0</v>
      </c>
      <c r="AV318" s="155">
        <f ca="1">IF(ISNUMBER(MATCH(DATEVALUE($A318),'recurring1_based on steps'!AV$1:AV$400,0)),AV$2,)</f>
        <v>0</v>
      </c>
      <c r="AW318" s="155">
        <f ca="1">IF(ISNUMBER(MATCH(DATEVALUE($A318),'recurring1_based on steps'!AW$1:AW$400,0)),AW$2,)</f>
        <v>0</v>
      </c>
      <c r="AX318" s="155">
        <f ca="1">IF(ISNUMBER(MATCH(DATEVALUE($A318),'recurring1_based on steps'!AX$1:AX$400,0)),AX$2,)</f>
        <v>0</v>
      </c>
      <c r="AY318" s="155">
        <f ca="1">IF(ISNUMBER(MATCH(DATEVALUE($A318),'recurring1_based on steps'!AY$1:AY$400,0)),AY$2,)</f>
        <v>0</v>
      </c>
    </row>
    <row r="319" spans="1:51" x14ac:dyDescent="0.2">
      <c r="A319" s="18" t="str">
        <f t="shared" ca="1" si="4"/>
        <v>2025-12-14</v>
      </c>
      <c r="B319" s="155">
        <f ca="1">IF(ISNUMBER(MATCH(DATEVALUE($A319),'recurring1_based on steps'!B$1:B$400,0)),B$2,)</f>
        <v>0</v>
      </c>
      <c r="C319" s="155">
        <f ca="1">IF(ISNUMBER(MATCH(DATEVALUE($A319),'recurring1_based on steps'!C$1:C$400,0)),C$2,)</f>
        <v>0</v>
      </c>
      <c r="D319" s="155">
        <f ca="1">IF(ISNUMBER(MATCH(DATEVALUE($A319),'recurring1_based on steps'!D$1:D$400,0)),D$2,)</f>
        <v>0</v>
      </c>
      <c r="E319" s="155">
        <f ca="1">IF(ISNUMBER(MATCH(DATEVALUE($A319),'recurring1_based on steps'!E$1:E$400,0)),E$2,)</f>
        <v>0</v>
      </c>
      <c r="F319" s="155">
        <f ca="1">IF(ISNUMBER(MATCH(DATEVALUE($A319),'recurring1_based on steps'!F$1:F$400,0)),F$2,)</f>
        <v>0</v>
      </c>
      <c r="G319" s="155">
        <f ca="1">IF(ISNUMBER(MATCH(DATEVALUE($A319),'recurring1_based on steps'!G$1:G$400,0)),G$2,)</f>
        <v>0</v>
      </c>
      <c r="H319" s="155">
        <f ca="1">IF(ISNUMBER(MATCH(DATEVALUE($A319),'recurring1_based on steps'!H$1:H$400,0)),H$2,)</f>
        <v>0</v>
      </c>
      <c r="I319" s="155">
        <f ca="1">IF(ISNUMBER(MATCH(DATEVALUE($A319),'recurring1_based on steps'!I$1:I$400,0)),I$2,)</f>
        <v>0</v>
      </c>
      <c r="J319" s="155">
        <f ca="1">IF(ISNUMBER(MATCH(DATEVALUE($A319),'recurring1_based on steps'!J$1:J$400,0)),J$2,)</f>
        <v>0</v>
      </c>
      <c r="K319" s="155">
        <f ca="1">IF(ISNUMBER(MATCH(DATEVALUE($A319),'recurring1_based on steps'!K$1:K$400,0)),K$2,)</f>
        <v>50</v>
      </c>
      <c r="L319" s="155">
        <f ca="1">IF(ISNUMBER(MATCH(DATEVALUE($A319),'recurring1_based on steps'!L$1:L$400,0)),L$2,)</f>
        <v>0</v>
      </c>
      <c r="M319" s="155">
        <f ca="1">IF(ISNUMBER(MATCH(DATEVALUE($A319),'recurring1_based on steps'!M$1:M$400,0)),M$2,)</f>
        <v>0</v>
      </c>
      <c r="N319" s="155">
        <f ca="1">IF(ISNUMBER(MATCH(DATEVALUE($A319),'recurring1_based on steps'!N$1:N$400,0)),N$2,)</f>
        <v>0</v>
      </c>
      <c r="O319" s="155">
        <f ca="1">IF(ISNUMBER(MATCH(DATEVALUE($A319),'recurring1_based on steps'!O$1:O$400,0)),O$2,)</f>
        <v>0</v>
      </c>
      <c r="P319" s="155">
        <f ca="1">IF(ISNUMBER(MATCH(DATEVALUE($A319),'recurring1_based on steps'!P$1:P$400,0)),P$2,)</f>
        <v>0</v>
      </c>
      <c r="Q319" s="155">
        <f ca="1">IF(ISNUMBER(MATCH(DATEVALUE($A319),'recurring1_based on steps'!Q$1:Q$400,0)),Q$2,)</f>
        <v>0</v>
      </c>
      <c r="R319" s="155">
        <f ca="1">IF(ISNUMBER(MATCH(DATEVALUE($A319),'recurring1_based on steps'!R$1:R$400,0)),R$2,)</f>
        <v>0</v>
      </c>
      <c r="S319" s="155">
        <f ca="1">IF(ISNUMBER(MATCH(DATEVALUE($A319),'recurring1_based on steps'!S$1:S$400,0)),S$2,)</f>
        <v>100</v>
      </c>
      <c r="T319" s="155">
        <f ca="1">IF(ISNUMBER(MATCH(DATEVALUE($A319),'recurring1_based on steps'!T$1:T$400,0)),T$2,)</f>
        <v>0</v>
      </c>
      <c r="U319" s="155">
        <f ca="1">IF(ISNUMBER(MATCH(DATEVALUE($A319),'recurring1_based on steps'!U$1:U$400,0)),U$2,)</f>
        <v>0</v>
      </c>
      <c r="V319" s="155">
        <f ca="1">IF(ISNUMBER(MATCH(DATEVALUE($A319),'recurring1_based on steps'!V$1:V$400,0)),V$2,)</f>
        <v>0</v>
      </c>
      <c r="W319" s="155">
        <f ca="1">IF(ISNUMBER(MATCH(DATEVALUE($A319),'recurring1_based on steps'!W$1:W$400,0)),W$2,)</f>
        <v>0</v>
      </c>
      <c r="X319" s="155">
        <f ca="1">IF(ISNUMBER(MATCH(DATEVALUE($A319),'recurring1_based on steps'!X$1:X$400,0)),X$2,)</f>
        <v>0</v>
      </c>
      <c r="Y319" s="155">
        <f ca="1">IF(ISNUMBER(MATCH(DATEVALUE($A319),'recurring1_based on steps'!Y$1:Y$400,0)),Y$2,)</f>
        <v>0</v>
      </c>
      <c r="Z319" s="155">
        <f ca="1">IF(ISNUMBER(MATCH(DATEVALUE($A319),'recurring1_based on steps'!Z$1:Z$400,0)),Z$2,)</f>
        <v>0</v>
      </c>
      <c r="AA319" s="155">
        <f ca="1">IF(ISNUMBER(MATCH(DATEVALUE($A319),'recurring1_based on steps'!AA$1:AA$400,0)),AA$2,)</f>
        <v>0</v>
      </c>
      <c r="AB319" s="155">
        <f ca="1">IF(ISNUMBER(MATCH(DATEVALUE($A319),'recurring1_based on steps'!AB$1:AB$400,0)),AB$2,)</f>
        <v>0</v>
      </c>
      <c r="AC319" s="155">
        <f ca="1">IF(ISNUMBER(MATCH(DATEVALUE($A319),'recurring1_based on steps'!AC$1:AC$400,0)),AC$2,)</f>
        <v>0</v>
      </c>
      <c r="AD319" s="155">
        <f ca="1">IF(ISNUMBER(MATCH(DATEVALUE($A319),'recurring1_based on steps'!AD$1:AD$400,0)),AD$2,)</f>
        <v>0</v>
      </c>
      <c r="AE319" s="155">
        <f ca="1">IF(ISNUMBER(MATCH(DATEVALUE($A319),'recurring1_based on steps'!AE$1:AE$400,0)),AE$2,)</f>
        <v>0</v>
      </c>
      <c r="AF319" s="155">
        <f ca="1">IF(ISNUMBER(MATCH(DATEVALUE($A319),'recurring1_based on steps'!AF$1:AF$400,0)),AF$2,)</f>
        <v>0</v>
      </c>
      <c r="AG319" s="155">
        <f ca="1">IF(ISNUMBER(MATCH(DATEVALUE($A319),'recurring1_based on steps'!AG$1:AG$400,0)),AG$2,)</f>
        <v>0</v>
      </c>
      <c r="AH319" s="155">
        <f ca="1">IF(ISNUMBER(MATCH(DATEVALUE($A319),'recurring1_based on steps'!AH$1:AH$400,0)),AH$2,)</f>
        <v>0</v>
      </c>
      <c r="AI319" s="155">
        <f ca="1">IF(ISNUMBER(MATCH(DATEVALUE($A319),'recurring1_based on steps'!AI$1:AI$400,0)),AI$2,)</f>
        <v>0</v>
      </c>
      <c r="AJ319" s="155">
        <f ca="1">IF(ISNUMBER(MATCH(DATEVALUE($A319),'recurring1_based on steps'!AJ$1:AJ$400,0)),AJ$2,)</f>
        <v>0</v>
      </c>
      <c r="AK319" s="155">
        <f ca="1">IF(ISNUMBER(MATCH(DATEVALUE($A319),'recurring1_based on steps'!AK$1:AK$400,0)),AK$2,)</f>
        <v>0</v>
      </c>
      <c r="AL319" s="155">
        <f ca="1">IF(ISNUMBER(MATCH(DATEVALUE($A319),'recurring1_based on steps'!AL$1:AL$400,0)),AL$2,)</f>
        <v>0</v>
      </c>
      <c r="AM319" s="155">
        <f ca="1">IF(ISNUMBER(MATCH(DATEVALUE($A319),'recurring1_based on steps'!AM$1:AM$400,0)),AM$2,)</f>
        <v>0</v>
      </c>
      <c r="AN319" s="155">
        <f ca="1">IF(ISNUMBER(MATCH(DATEVALUE($A319),'recurring1_based on steps'!AN$1:AN$400,0)),AN$2,)</f>
        <v>0</v>
      </c>
      <c r="AO319" s="155">
        <f ca="1">IF(ISNUMBER(MATCH(DATEVALUE($A319),'recurring1_based on steps'!AO$1:AO$400,0)),AO$2,)</f>
        <v>0</v>
      </c>
      <c r="AP319" s="155">
        <f ca="1">IF(ISNUMBER(MATCH(DATEVALUE($A319),'recurring1_based on steps'!AP$1:AP$400,0)),AP$2,)</f>
        <v>0</v>
      </c>
      <c r="AQ319" s="155">
        <f ca="1">IF(ISNUMBER(MATCH(DATEVALUE($A319),'recurring1_based on steps'!AQ$1:AQ$400,0)),AQ$2,)</f>
        <v>0</v>
      </c>
      <c r="AR319" s="155">
        <f ca="1">IF(ISNUMBER(MATCH(DATEVALUE($A319),'recurring1_based on steps'!AR$1:AR$400,0)),AR$2,)</f>
        <v>0</v>
      </c>
      <c r="AS319" s="155">
        <f ca="1">IF(ISNUMBER(MATCH(DATEVALUE($A319),'recurring1_based on steps'!AS$1:AS$400,0)),AS$2,)</f>
        <v>0</v>
      </c>
      <c r="AT319" s="155">
        <f ca="1">IF(ISNUMBER(MATCH(DATEVALUE($A319),'recurring1_based on steps'!AT$1:AT$400,0)),AT$2,)</f>
        <v>0</v>
      </c>
      <c r="AU319" s="155">
        <f ca="1">IF(ISNUMBER(MATCH(DATEVALUE($A319),'recurring1_based on steps'!AU$1:AU$400,0)),AU$2,)</f>
        <v>0</v>
      </c>
      <c r="AV319" s="155">
        <f ca="1">IF(ISNUMBER(MATCH(DATEVALUE($A319),'recurring1_based on steps'!AV$1:AV$400,0)),AV$2,)</f>
        <v>0</v>
      </c>
      <c r="AW319" s="155">
        <f ca="1">IF(ISNUMBER(MATCH(DATEVALUE($A319),'recurring1_based on steps'!AW$1:AW$400,0)),AW$2,)</f>
        <v>0</v>
      </c>
      <c r="AX319" s="155">
        <f ca="1">IF(ISNUMBER(MATCH(DATEVALUE($A319),'recurring1_based on steps'!AX$1:AX$400,0)),AX$2,)</f>
        <v>0</v>
      </c>
      <c r="AY319" s="155">
        <f ca="1">IF(ISNUMBER(MATCH(DATEVALUE($A319),'recurring1_based on steps'!AY$1:AY$400,0)),AY$2,)</f>
        <v>0</v>
      </c>
    </row>
    <row r="320" spans="1:51" x14ac:dyDescent="0.2">
      <c r="A320" s="18" t="str">
        <f t="shared" ca="1" si="4"/>
        <v>2025-12-15</v>
      </c>
      <c r="B320" s="155">
        <f ca="1">IF(ISNUMBER(MATCH(DATEVALUE($A320),'recurring1_based on steps'!B$1:B$400,0)),B$2,)</f>
        <v>0</v>
      </c>
      <c r="C320" s="155">
        <f ca="1">IF(ISNUMBER(MATCH(DATEVALUE($A320),'recurring1_based on steps'!C$1:C$400,0)),C$2,)</f>
        <v>0</v>
      </c>
      <c r="D320" s="155">
        <f ca="1">IF(ISNUMBER(MATCH(DATEVALUE($A320),'recurring1_based on steps'!D$1:D$400,0)),D$2,)</f>
        <v>0</v>
      </c>
      <c r="E320" s="155">
        <f ca="1">IF(ISNUMBER(MATCH(DATEVALUE($A320),'recurring1_based on steps'!E$1:E$400,0)),E$2,)</f>
        <v>0</v>
      </c>
      <c r="F320" s="155">
        <f ca="1">IF(ISNUMBER(MATCH(DATEVALUE($A320),'recurring1_based on steps'!F$1:F$400,0)),F$2,)</f>
        <v>0</v>
      </c>
      <c r="G320" s="155">
        <f ca="1">IF(ISNUMBER(MATCH(DATEVALUE($A320),'recurring1_based on steps'!G$1:G$400,0)),G$2,)</f>
        <v>0</v>
      </c>
      <c r="H320" s="155">
        <f ca="1">IF(ISNUMBER(MATCH(DATEVALUE($A320),'recurring1_based on steps'!H$1:H$400,0)),H$2,)</f>
        <v>0</v>
      </c>
      <c r="I320" s="155">
        <f ca="1">IF(ISNUMBER(MATCH(DATEVALUE($A320),'recurring1_based on steps'!I$1:I$400,0)),I$2,)</f>
        <v>0</v>
      </c>
      <c r="J320" s="155">
        <f ca="1">IF(ISNUMBER(MATCH(DATEVALUE($A320),'recurring1_based on steps'!J$1:J$400,0)),J$2,)</f>
        <v>0</v>
      </c>
      <c r="K320" s="155">
        <f ca="1">IF(ISNUMBER(MATCH(DATEVALUE($A320),'recurring1_based on steps'!K$1:K$400,0)),K$2,)</f>
        <v>0</v>
      </c>
      <c r="L320" s="155">
        <f ca="1">IF(ISNUMBER(MATCH(DATEVALUE($A320),'recurring1_based on steps'!L$1:L$400,0)),L$2,)</f>
        <v>0</v>
      </c>
      <c r="M320" s="155">
        <f ca="1">IF(ISNUMBER(MATCH(DATEVALUE($A320),'recurring1_based on steps'!M$1:M$400,0)),M$2,)</f>
        <v>0</v>
      </c>
      <c r="N320" s="155">
        <f ca="1">IF(ISNUMBER(MATCH(DATEVALUE($A320),'recurring1_based on steps'!N$1:N$400,0)),N$2,)</f>
        <v>0</v>
      </c>
      <c r="O320" s="155">
        <f ca="1">IF(ISNUMBER(MATCH(DATEVALUE($A320),'recurring1_based on steps'!O$1:O$400,0)),O$2,)</f>
        <v>0</v>
      </c>
      <c r="P320" s="155">
        <f ca="1">IF(ISNUMBER(MATCH(DATEVALUE($A320),'recurring1_based on steps'!P$1:P$400,0)),P$2,)</f>
        <v>0</v>
      </c>
      <c r="Q320" s="155">
        <f ca="1">IF(ISNUMBER(MATCH(DATEVALUE($A320),'recurring1_based on steps'!Q$1:Q$400,0)),Q$2,)</f>
        <v>0</v>
      </c>
      <c r="R320" s="155">
        <f ca="1">IF(ISNUMBER(MATCH(DATEVALUE($A320),'recurring1_based on steps'!R$1:R$400,0)),R$2,)</f>
        <v>0</v>
      </c>
      <c r="S320" s="155">
        <f ca="1">IF(ISNUMBER(MATCH(DATEVALUE($A320),'recurring1_based on steps'!S$1:S$400,0)),S$2,)</f>
        <v>0</v>
      </c>
      <c r="T320" s="155">
        <f ca="1">IF(ISNUMBER(MATCH(DATEVALUE($A320),'recurring1_based on steps'!T$1:T$400,0)),T$2,)</f>
        <v>50</v>
      </c>
      <c r="U320" s="155">
        <f ca="1">IF(ISNUMBER(MATCH(DATEVALUE($A320),'recurring1_based on steps'!U$1:U$400,0)),U$2,)</f>
        <v>0</v>
      </c>
      <c r="V320" s="155">
        <f ca="1">IF(ISNUMBER(MATCH(DATEVALUE($A320),'recurring1_based on steps'!V$1:V$400,0)),V$2,)</f>
        <v>0</v>
      </c>
      <c r="W320" s="155">
        <f ca="1">IF(ISNUMBER(MATCH(DATEVALUE($A320),'recurring1_based on steps'!W$1:W$400,0)),W$2,)</f>
        <v>0</v>
      </c>
      <c r="X320" s="155">
        <f ca="1">IF(ISNUMBER(MATCH(DATEVALUE($A320),'recurring1_based on steps'!X$1:X$400,0)),X$2,)</f>
        <v>0</v>
      </c>
      <c r="Y320" s="155">
        <f ca="1">IF(ISNUMBER(MATCH(DATEVALUE($A320),'recurring1_based on steps'!Y$1:Y$400,0)),Y$2,)</f>
        <v>0</v>
      </c>
      <c r="Z320" s="155">
        <f ca="1">IF(ISNUMBER(MATCH(DATEVALUE($A320),'recurring1_based on steps'!Z$1:Z$400,0)),Z$2,)</f>
        <v>0</v>
      </c>
      <c r="AA320" s="155">
        <f ca="1">IF(ISNUMBER(MATCH(DATEVALUE($A320),'recurring1_based on steps'!AA$1:AA$400,0)),AA$2,)</f>
        <v>0</v>
      </c>
      <c r="AB320" s="155">
        <f ca="1">IF(ISNUMBER(MATCH(DATEVALUE($A320),'recurring1_based on steps'!AB$1:AB$400,0)),AB$2,)</f>
        <v>0</v>
      </c>
      <c r="AC320" s="155">
        <f ca="1">IF(ISNUMBER(MATCH(DATEVALUE($A320),'recurring1_based on steps'!AC$1:AC$400,0)),AC$2,)</f>
        <v>0</v>
      </c>
      <c r="AD320" s="155">
        <f ca="1">IF(ISNUMBER(MATCH(DATEVALUE($A320),'recurring1_based on steps'!AD$1:AD$400,0)),AD$2,)</f>
        <v>0</v>
      </c>
      <c r="AE320" s="155">
        <f ca="1">IF(ISNUMBER(MATCH(DATEVALUE($A320),'recurring1_based on steps'!AE$1:AE$400,0)),AE$2,)</f>
        <v>0</v>
      </c>
      <c r="AF320" s="155">
        <f ca="1">IF(ISNUMBER(MATCH(DATEVALUE($A320),'recurring1_based on steps'!AF$1:AF$400,0)),AF$2,)</f>
        <v>0</v>
      </c>
      <c r="AG320" s="155">
        <f ca="1">IF(ISNUMBER(MATCH(DATEVALUE($A320),'recurring1_based on steps'!AG$1:AG$400,0)),AG$2,)</f>
        <v>0</v>
      </c>
      <c r="AH320" s="155">
        <f ca="1">IF(ISNUMBER(MATCH(DATEVALUE($A320),'recurring1_based on steps'!AH$1:AH$400,0)),AH$2,)</f>
        <v>0</v>
      </c>
      <c r="AI320" s="155">
        <f ca="1">IF(ISNUMBER(MATCH(DATEVALUE($A320),'recurring1_based on steps'!AI$1:AI$400,0)),AI$2,)</f>
        <v>0</v>
      </c>
      <c r="AJ320" s="155">
        <f ca="1">IF(ISNUMBER(MATCH(DATEVALUE($A320),'recurring1_based on steps'!AJ$1:AJ$400,0)),AJ$2,)</f>
        <v>0</v>
      </c>
      <c r="AK320" s="155">
        <f ca="1">IF(ISNUMBER(MATCH(DATEVALUE($A320),'recurring1_based on steps'!AK$1:AK$400,0)),AK$2,)</f>
        <v>0</v>
      </c>
      <c r="AL320" s="155">
        <f ca="1">IF(ISNUMBER(MATCH(DATEVALUE($A320),'recurring1_based on steps'!AL$1:AL$400,0)),AL$2,)</f>
        <v>0</v>
      </c>
      <c r="AM320" s="155">
        <f ca="1">IF(ISNUMBER(MATCH(DATEVALUE($A320),'recurring1_based on steps'!AM$1:AM$400,0)),AM$2,)</f>
        <v>0</v>
      </c>
      <c r="AN320" s="155">
        <f ca="1">IF(ISNUMBER(MATCH(DATEVALUE($A320),'recurring1_based on steps'!AN$1:AN$400,0)),AN$2,)</f>
        <v>0</v>
      </c>
      <c r="AO320" s="155">
        <f ca="1">IF(ISNUMBER(MATCH(DATEVALUE($A320),'recurring1_based on steps'!AO$1:AO$400,0)),AO$2,)</f>
        <v>0</v>
      </c>
      <c r="AP320" s="155">
        <f ca="1">IF(ISNUMBER(MATCH(DATEVALUE($A320),'recurring1_based on steps'!AP$1:AP$400,0)),AP$2,)</f>
        <v>0</v>
      </c>
      <c r="AQ320" s="155">
        <f ca="1">IF(ISNUMBER(MATCH(DATEVALUE($A320),'recurring1_based on steps'!AQ$1:AQ$400,0)),AQ$2,)</f>
        <v>0</v>
      </c>
      <c r="AR320" s="155">
        <f ca="1">IF(ISNUMBER(MATCH(DATEVALUE($A320),'recurring1_based on steps'!AR$1:AR$400,0)),AR$2,)</f>
        <v>0</v>
      </c>
      <c r="AS320" s="155">
        <f ca="1">IF(ISNUMBER(MATCH(DATEVALUE($A320),'recurring1_based on steps'!AS$1:AS$400,0)),AS$2,)</f>
        <v>0</v>
      </c>
      <c r="AT320" s="155">
        <f ca="1">IF(ISNUMBER(MATCH(DATEVALUE($A320),'recurring1_based on steps'!AT$1:AT$400,0)),AT$2,)</f>
        <v>0</v>
      </c>
      <c r="AU320" s="155">
        <f ca="1">IF(ISNUMBER(MATCH(DATEVALUE($A320),'recurring1_based on steps'!AU$1:AU$400,0)),AU$2,)</f>
        <v>0</v>
      </c>
      <c r="AV320" s="155">
        <f ca="1">IF(ISNUMBER(MATCH(DATEVALUE($A320),'recurring1_based on steps'!AV$1:AV$400,0)),AV$2,)</f>
        <v>0</v>
      </c>
      <c r="AW320" s="155">
        <f ca="1">IF(ISNUMBER(MATCH(DATEVALUE($A320),'recurring1_based on steps'!AW$1:AW$400,0)),AW$2,)</f>
        <v>0</v>
      </c>
      <c r="AX320" s="155">
        <f ca="1">IF(ISNUMBER(MATCH(DATEVALUE($A320),'recurring1_based on steps'!AX$1:AX$400,0)),AX$2,)</f>
        <v>0</v>
      </c>
      <c r="AY320" s="155">
        <f ca="1">IF(ISNUMBER(MATCH(DATEVALUE($A320),'recurring1_based on steps'!AY$1:AY$400,0)),AY$2,)</f>
        <v>0</v>
      </c>
    </row>
    <row r="321" spans="1:51" x14ac:dyDescent="0.2">
      <c r="A321" s="18" t="str">
        <f t="shared" ca="1" si="4"/>
        <v>2025-12-16</v>
      </c>
      <c r="B321" s="155">
        <f ca="1">IF(ISNUMBER(MATCH(DATEVALUE($A321),'recurring1_based on steps'!B$1:B$400,0)),B$2,)</f>
        <v>0</v>
      </c>
      <c r="C321" s="155">
        <f ca="1">IF(ISNUMBER(MATCH(DATEVALUE($A321),'recurring1_based on steps'!C$1:C$400,0)),C$2,)</f>
        <v>0</v>
      </c>
      <c r="D321" s="155">
        <f ca="1">IF(ISNUMBER(MATCH(DATEVALUE($A321),'recurring1_based on steps'!D$1:D$400,0)),D$2,)</f>
        <v>0</v>
      </c>
      <c r="E321" s="155">
        <f ca="1">IF(ISNUMBER(MATCH(DATEVALUE($A321),'recurring1_based on steps'!E$1:E$400,0)),E$2,)</f>
        <v>0</v>
      </c>
      <c r="F321" s="155">
        <f ca="1">IF(ISNUMBER(MATCH(DATEVALUE($A321),'recurring1_based on steps'!F$1:F$400,0)),F$2,)</f>
        <v>0</v>
      </c>
      <c r="G321" s="155">
        <f ca="1">IF(ISNUMBER(MATCH(DATEVALUE($A321),'recurring1_based on steps'!G$1:G$400,0)),G$2,)</f>
        <v>0</v>
      </c>
      <c r="H321" s="155">
        <f ca="1">IF(ISNUMBER(MATCH(DATEVALUE($A321),'recurring1_based on steps'!H$1:H$400,0)),H$2,)</f>
        <v>0</v>
      </c>
      <c r="I321" s="155">
        <f ca="1">IF(ISNUMBER(MATCH(DATEVALUE($A321),'recurring1_based on steps'!I$1:I$400,0)),I$2,)</f>
        <v>0</v>
      </c>
      <c r="J321" s="155">
        <f ca="1">IF(ISNUMBER(MATCH(DATEVALUE($A321),'recurring1_based on steps'!J$1:J$400,0)),J$2,)</f>
        <v>0</v>
      </c>
      <c r="K321" s="155">
        <f ca="1">IF(ISNUMBER(MATCH(DATEVALUE($A321),'recurring1_based on steps'!K$1:K$400,0)),K$2,)</f>
        <v>0</v>
      </c>
      <c r="L321" s="155">
        <f ca="1">IF(ISNUMBER(MATCH(DATEVALUE($A321),'recurring1_based on steps'!L$1:L$400,0)),L$2,)</f>
        <v>0</v>
      </c>
      <c r="M321" s="155">
        <f ca="1">IF(ISNUMBER(MATCH(DATEVALUE($A321),'recurring1_based on steps'!M$1:M$400,0)),M$2,)</f>
        <v>0</v>
      </c>
      <c r="N321" s="155">
        <f ca="1">IF(ISNUMBER(MATCH(DATEVALUE($A321),'recurring1_based on steps'!N$1:N$400,0)),N$2,)</f>
        <v>0</v>
      </c>
      <c r="O321" s="155">
        <f ca="1">IF(ISNUMBER(MATCH(DATEVALUE($A321),'recurring1_based on steps'!O$1:O$400,0)),O$2,)</f>
        <v>0</v>
      </c>
      <c r="P321" s="155">
        <f ca="1">IF(ISNUMBER(MATCH(DATEVALUE($A321),'recurring1_based on steps'!P$1:P$400,0)),P$2,)</f>
        <v>0</v>
      </c>
      <c r="Q321" s="155">
        <f ca="1">IF(ISNUMBER(MATCH(DATEVALUE($A321),'recurring1_based on steps'!Q$1:Q$400,0)),Q$2,)</f>
        <v>0</v>
      </c>
      <c r="R321" s="155">
        <f ca="1">IF(ISNUMBER(MATCH(DATEVALUE($A321),'recurring1_based on steps'!R$1:R$400,0)),R$2,)</f>
        <v>0</v>
      </c>
      <c r="S321" s="155">
        <f ca="1">IF(ISNUMBER(MATCH(DATEVALUE($A321),'recurring1_based on steps'!S$1:S$400,0)),S$2,)</f>
        <v>0</v>
      </c>
      <c r="T321" s="155">
        <f ca="1">IF(ISNUMBER(MATCH(DATEVALUE($A321),'recurring1_based on steps'!T$1:T$400,0)),T$2,)</f>
        <v>0</v>
      </c>
      <c r="U321" s="155">
        <f ca="1">IF(ISNUMBER(MATCH(DATEVALUE($A321),'recurring1_based on steps'!U$1:U$400,0)),U$2,)</f>
        <v>0</v>
      </c>
      <c r="V321" s="155">
        <f ca="1">IF(ISNUMBER(MATCH(DATEVALUE($A321),'recurring1_based on steps'!V$1:V$400,0)),V$2,)</f>
        <v>0</v>
      </c>
      <c r="W321" s="155">
        <f ca="1">IF(ISNUMBER(MATCH(DATEVALUE($A321),'recurring1_based on steps'!W$1:W$400,0)),W$2,)</f>
        <v>0</v>
      </c>
      <c r="X321" s="155">
        <f ca="1">IF(ISNUMBER(MATCH(DATEVALUE($A321),'recurring1_based on steps'!X$1:X$400,0)),X$2,)</f>
        <v>0</v>
      </c>
      <c r="Y321" s="155">
        <f ca="1">IF(ISNUMBER(MATCH(DATEVALUE($A321),'recurring1_based on steps'!Y$1:Y$400,0)),Y$2,)</f>
        <v>0</v>
      </c>
      <c r="Z321" s="155">
        <f ca="1">IF(ISNUMBER(MATCH(DATEVALUE($A321),'recurring1_based on steps'!Z$1:Z$400,0)),Z$2,)</f>
        <v>0</v>
      </c>
      <c r="AA321" s="155">
        <f ca="1">IF(ISNUMBER(MATCH(DATEVALUE($A321),'recurring1_based on steps'!AA$1:AA$400,0)),AA$2,)</f>
        <v>0</v>
      </c>
      <c r="AB321" s="155">
        <f ca="1">IF(ISNUMBER(MATCH(DATEVALUE($A321),'recurring1_based on steps'!AB$1:AB$400,0)),AB$2,)</f>
        <v>0</v>
      </c>
      <c r="AC321" s="155">
        <f ca="1">IF(ISNUMBER(MATCH(DATEVALUE($A321),'recurring1_based on steps'!AC$1:AC$400,0)),AC$2,)</f>
        <v>0</v>
      </c>
      <c r="AD321" s="155">
        <f ca="1">IF(ISNUMBER(MATCH(DATEVALUE($A321),'recurring1_based on steps'!AD$1:AD$400,0)),AD$2,)</f>
        <v>0</v>
      </c>
      <c r="AE321" s="155">
        <f ca="1">IF(ISNUMBER(MATCH(DATEVALUE($A321),'recurring1_based on steps'!AE$1:AE$400,0)),AE$2,)</f>
        <v>0</v>
      </c>
      <c r="AF321" s="155">
        <f ca="1">IF(ISNUMBER(MATCH(DATEVALUE($A321),'recurring1_based on steps'!AF$1:AF$400,0)),AF$2,)</f>
        <v>0</v>
      </c>
      <c r="AG321" s="155">
        <f ca="1">IF(ISNUMBER(MATCH(DATEVALUE($A321),'recurring1_based on steps'!AG$1:AG$400,0)),AG$2,)</f>
        <v>0</v>
      </c>
      <c r="AH321" s="155">
        <f ca="1">IF(ISNUMBER(MATCH(DATEVALUE($A321),'recurring1_based on steps'!AH$1:AH$400,0)),AH$2,)</f>
        <v>0</v>
      </c>
      <c r="AI321" s="155">
        <f ca="1">IF(ISNUMBER(MATCH(DATEVALUE($A321),'recurring1_based on steps'!AI$1:AI$400,0)),AI$2,)</f>
        <v>0</v>
      </c>
      <c r="AJ321" s="155">
        <f ca="1">IF(ISNUMBER(MATCH(DATEVALUE($A321),'recurring1_based on steps'!AJ$1:AJ$400,0)),AJ$2,)</f>
        <v>0</v>
      </c>
      <c r="AK321" s="155">
        <f ca="1">IF(ISNUMBER(MATCH(DATEVALUE($A321),'recurring1_based on steps'!AK$1:AK$400,0)),AK$2,)</f>
        <v>0</v>
      </c>
      <c r="AL321" s="155">
        <f ca="1">IF(ISNUMBER(MATCH(DATEVALUE($A321),'recurring1_based on steps'!AL$1:AL$400,0)),AL$2,)</f>
        <v>0</v>
      </c>
      <c r="AM321" s="155">
        <f ca="1">IF(ISNUMBER(MATCH(DATEVALUE($A321),'recurring1_based on steps'!AM$1:AM$400,0)),AM$2,)</f>
        <v>0</v>
      </c>
      <c r="AN321" s="155">
        <f ca="1">IF(ISNUMBER(MATCH(DATEVALUE($A321),'recurring1_based on steps'!AN$1:AN$400,0)),AN$2,)</f>
        <v>0</v>
      </c>
      <c r="AO321" s="155">
        <f ca="1">IF(ISNUMBER(MATCH(DATEVALUE($A321),'recurring1_based on steps'!AO$1:AO$400,0)),AO$2,)</f>
        <v>0</v>
      </c>
      <c r="AP321" s="155">
        <f ca="1">IF(ISNUMBER(MATCH(DATEVALUE($A321),'recurring1_based on steps'!AP$1:AP$400,0)),AP$2,)</f>
        <v>0</v>
      </c>
      <c r="AQ321" s="155">
        <f ca="1">IF(ISNUMBER(MATCH(DATEVALUE($A321),'recurring1_based on steps'!AQ$1:AQ$400,0)),AQ$2,)</f>
        <v>0</v>
      </c>
      <c r="AR321" s="155">
        <f ca="1">IF(ISNUMBER(MATCH(DATEVALUE($A321),'recurring1_based on steps'!AR$1:AR$400,0)),AR$2,)</f>
        <v>0</v>
      </c>
      <c r="AS321" s="155">
        <f ca="1">IF(ISNUMBER(MATCH(DATEVALUE($A321),'recurring1_based on steps'!AS$1:AS$400,0)),AS$2,)</f>
        <v>0</v>
      </c>
      <c r="AT321" s="155">
        <f ca="1">IF(ISNUMBER(MATCH(DATEVALUE($A321),'recurring1_based on steps'!AT$1:AT$400,0)),AT$2,)</f>
        <v>0</v>
      </c>
      <c r="AU321" s="155">
        <f ca="1">IF(ISNUMBER(MATCH(DATEVALUE($A321),'recurring1_based on steps'!AU$1:AU$400,0)),AU$2,)</f>
        <v>0</v>
      </c>
      <c r="AV321" s="155">
        <f ca="1">IF(ISNUMBER(MATCH(DATEVALUE($A321),'recurring1_based on steps'!AV$1:AV$400,0)),AV$2,)</f>
        <v>0</v>
      </c>
      <c r="AW321" s="155">
        <f ca="1">IF(ISNUMBER(MATCH(DATEVALUE($A321),'recurring1_based on steps'!AW$1:AW$400,0)),AW$2,)</f>
        <v>0</v>
      </c>
      <c r="AX321" s="155">
        <f ca="1">IF(ISNUMBER(MATCH(DATEVALUE($A321),'recurring1_based on steps'!AX$1:AX$400,0)),AX$2,)</f>
        <v>0</v>
      </c>
      <c r="AY321" s="155">
        <f ca="1">IF(ISNUMBER(MATCH(DATEVALUE($A321),'recurring1_based on steps'!AY$1:AY$400,0)),AY$2,)</f>
        <v>0</v>
      </c>
    </row>
    <row r="322" spans="1:51" x14ac:dyDescent="0.2">
      <c r="A322" s="18" t="str">
        <f t="shared" ca="1" si="4"/>
        <v>2025-12-17</v>
      </c>
      <c r="B322" s="155">
        <f ca="1">IF(ISNUMBER(MATCH(DATEVALUE($A322),'recurring1_based on steps'!B$1:B$400,0)),B$2,)</f>
        <v>0</v>
      </c>
      <c r="C322" s="155">
        <f ca="1">IF(ISNUMBER(MATCH(DATEVALUE($A322),'recurring1_based on steps'!C$1:C$400,0)),C$2,)</f>
        <v>0</v>
      </c>
      <c r="D322" s="155">
        <f ca="1">IF(ISNUMBER(MATCH(DATEVALUE($A322),'recurring1_based on steps'!D$1:D$400,0)),D$2,)</f>
        <v>0</v>
      </c>
      <c r="E322" s="155">
        <f ca="1">IF(ISNUMBER(MATCH(DATEVALUE($A322),'recurring1_based on steps'!E$1:E$400,0)),E$2,)</f>
        <v>0</v>
      </c>
      <c r="F322" s="155">
        <f ca="1">IF(ISNUMBER(MATCH(DATEVALUE($A322),'recurring1_based on steps'!F$1:F$400,0)),F$2,)</f>
        <v>0</v>
      </c>
      <c r="G322" s="155">
        <f ca="1">IF(ISNUMBER(MATCH(DATEVALUE($A322),'recurring1_based on steps'!G$1:G$400,0)),G$2,)</f>
        <v>0</v>
      </c>
      <c r="H322" s="155">
        <f ca="1">IF(ISNUMBER(MATCH(DATEVALUE($A322),'recurring1_based on steps'!H$1:H$400,0)),H$2,)</f>
        <v>0</v>
      </c>
      <c r="I322" s="155">
        <f ca="1">IF(ISNUMBER(MATCH(DATEVALUE($A322),'recurring1_based on steps'!I$1:I$400,0)),I$2,)</f>
        <v>0</v>
      </c>
      <c r="J322" s="155">
        <f ca="1">IF(ISNUMBER(MATCH(DATEVALUE($A322),'recurring1_based on steps'!J$1:J$400,0)),J$2,)</f>
        <v>0</v>
      </c>
      <c r="K322" s="155">
        <f ca="1">IF(ISNUMBER(MATCH(DATEVALUE($A322),'recurring1_based on steps'!K$1:K$400,0)),K$2,)</f>
        <v>0</v>
      </c>
      <c r="L322" s="155">
        <f ca="1">IF(ISNUMBER(MATCH(DATEVALUE($A322),'recurring1_based on steps'!L$1:L$400,0)),L$2,)</f>
        <v>0</v>
      </c>
      <c r="M322" s="155">
        <f ca="1">IF(ISNUMBER(MATCH(DATEVALUE($A322),'recurring1_based on steps'!M$1:M$400,0)),M$2,)</f>
        <v>0</v>
      </c>
      <c r="N322" s="155">
        <f ca="1">IF(ISNUMBER(MATCH(DATEVALUE($A322),'recurring1_based on steps'!N$1:N$400,0)),N$2,)</f>
        <v>15.49</v>
      </c>
      <c r="O322" s="155">
        <f ca="1">IF(ISNUMBER(MATCH(DATEVALUE($A322),'recurring1_based on steps'!O$1:O$400,0)),O$2,)</f>
        <v>0</v>
      </c>
      <c r="P322" s="155">
        <f ca="1">IF(ISNUMBER(MATCH(DATEVALUE($A322),'recurring1_based on steps'!P$1:P$400,0)),P$2,)</f>
        <v>0</v>
      </c>
      <c r="Q322" s="155">
        <f ca="1">IF(ISNUMBER(MATCH(DATEVALUE($A322),'recurring1_based on steps'!Q$1:Q$400,0)),Q$2,)</f>
        <v>0</v>
      </c>
      <c r="R322" s="155">
        <f ca="1">IF(ISNUMBER(MATCH(DATEVALUE($A322),'recurring1_based on steps'!R$1:R$400,0)),R$2,)</f>
        <v>0</v>
      </c>
      <c r="S322" s="155">
        <f ca="1">IF(ISNUMBER(MATCH(DATEVALUE($A322),'recurring1_based on steps'!S$1:S$400,0)),S$2,)</f>
        <v>0</v>
      </c>
      <c r="T322" s="155">
        <f ca="1">IF(ISNUMBER(MATCH(DATEVALUE($A322),'recurring1_based on steps'!T$1:T$400,0)),T$2,)</f>
        <v>0</v>
      </c>
      <c r="U322" s="155">
        <f ca="1">IF(ISNUMBER(MATCH(DATEVALUE($A322),'recurring1_based on steps'!U$1:U$400,0)),U$2,)</f>
        <v>0</v>
      </c>
      <c r="V322" s="155">
        <f ca="1">IF(ISNUMBER(MATCH(DATEVALUE($A322),'recurring1_based on steps'!V$1:V$400,0)),V$2,)</f>
        <v>200</v>
      </c>
      <c r="W322" s="155">
        <f ca="1">IF(ISNUMBER(MATCH(DATEVALUE($A322),'recurring1_based on steps'!W$1:W$400,0)),W$2,)</f>
        <v>0</v>
      </c>
      <c r="X322" s="155">
        <f ca="1">IF(ISNUMBER(MATCH(DATEVALUE($A322),'recurring1_based on steps'!X$1:X$400,0)),X$2,)</f>
        <v>0</v>
      </c>
      <c r="Y322" s="155">
        <f ca="1">IF(ISNUMBER(MATCH(DATEVALUE($A322),'recurring1_based on steps'!Y$1:Y$400,0)),Y$2,)</f>
        <v>0</v>
      </c>
      <c r="Z322" s="155">
        <f ca="1">IF(ISNUMBER(MATCH(DATEVALUE($A322),'recurring1_based on steps'!Z$1:Z$400,0)),Z$2,)</f>
        <v>0</v>
      </c>
      <c r="AA322" s="155">
        <f ca="1">IF(ISNUMBER(MATCH(DATEVALUE($A322),'recurring1_based on steps'!AA$1:AA$400,0)),AA$2,)</f>
        <v>0</v>
      </c>
      <c r="AB322" s="155">
        <f ca="1">IF(ISNUMBER(MATCH(DATEVALUE($A322),'recurring1_based on steps'!AB$1:AB$400,0)),AB$2,)</f>
        <v>0</v>
      </c>
      <c r="AC322" s="155">
        <f ca="1">IF(ISNUMBER(MATCH(DATEVALUE($A322),'recurring1_based on steps'!AC$1:AC$400,0)),AC$2,)</f>
        <v>0</v>
      </c>
      <c r="AD322" s="155">
        <f ca="1">IF(ISNUMBER(MATCH(DATEVALUE($A322),'recurring1_based on steps'!AD$1:AD$400,0)),AD$2,)</f>
        <v>0</v>
      </c>
      <c r="AE322" s="155">
        <f ca="1">IF(ISNUMBER(MATCH(DATEVALUE($A322),'recurring1_based on steps'!AE$1:AE$400,0)),AE$2,)</f>
        <v>0</v>
      </c>
      <c r="AF322" s="155">
        <f ca="1">IF(ISNUMBER(MATCH(DATEVALUE($A322),'recurring1_based on steps'!AF$1:AF$400,0)),AF$2,)</f>
        <v>0</v>
      </c>
      <c r="AG322" s="155">
        <f ca="1">IF(ISNUMBER(MATCH(DATEVALUE($A322),'recurring1_based on steps'!AG$1:AG$400,0)),AG$2,)</f>
        <v>0</v>
      </c>
      <c r="AH322" s="155">
        <f ca="1">IF(ISNUMBER(MATCH(DATEVALUE($A322),'recurring1_based on steps'!AH$1:AH$400,0)),AH$2,)</f>
        <v>0</v>
      </c>
      <c r="AI322" s="155">
        <f ca="1">IF(ISNUMBER(MATCH(DATEVALUE($A322),'recurring1_based on steps'!AI$1:AI$400,0)),AI$2,)</f>
        <v>0</v>
      </c>
      <c r="AJ322" s="155">
        <f ca="1">IF(ISNUMBER(MATCH(DATEVALUE($A322),'recurring1_based on steps'!AJ$1:AJ$400,0)),AJ$2,)</f>
        <v>0</v>
      </c>
      <c r="AK322" s="155">
        <f ca="1">IF(ISNUMBER(MATCH(DATEVALUE($A322),'recurring1_based on steps'!AK$1:AK$400,0)),AK$2,)</f>
        <v>0</v>
      </c>
      <c r="AL322" s="155">
        <f ca="1">IF(ISNUMBER(MATCH(DATEVALUE($A322),'recurring1_based on steps'!AL$1:AL$400,0)),AL$2,)</f>
        <v>0</v>
      </c>
      <c r="AM322" s="155">
        <f ca="1">IF(ISNUMBER(MATCH(DATEVALUE($A322),'recurring1_based on steps'!AM$1:AM$400,0)),AM$2,)</f>
        <v>0</v>
      </c>
      <c r="AN322" s="155">
        <f ca="1">IF(ISNUMBER(MATCH(DATEVALUE($A322),'recurring1_based on steps'!AN$1:AN$400,0)),AN$2,)</f>
        <v>0</v>
      </c>
      <c r="AO322" s="155">
        <f ca="1">IF(ISNUMBER(MATCH(DATEVALUE($A322),'recurring1_based on steps'!AO$1:AO$400,0)),AO$2,)</f>
        <v>0</v>
      </c>
      <c r="AP322" s="155">
        <f ca="1">IF(ISNUMBER(MATCH(DATEVALUE($A322),'recurring1_based on steps'!AP$1:AP$400,0)),AP$2,)</f>
        <v>0</v>
      </c>
      <c r="AQ322" s="155">
        <f ca="1">IF(ISNUMBER(MATCH(DATEVALUE($A322),'recurring1_based on steps'!AQ$1:AQ$400,0)),AQ$2,)</f>
        <v>0</v>
      </c>
      <c r="AR322" s="155">
        <f ca="1">IF(ISNUMBER(MATCH(DATEVALUE($A322),'recurring1_based on steps'!AR$1:AR$400,0)),AR$2,)</f>
        <v>0</v>
      </c>
      <c r="AS322" s="155">
        <f ca="1">IF(ISNUMBER(MATCH(DATEVALUE($A322),'recurring1_based on steps'!AS$1:AS$400,0)),AS$2,)</f>
        <v>0</v>
      </c>
      <c r="AT322" s="155">
        <f ca="1">IF(ISNUMBER(MATCH(DATEVALUE($A322),'recurring1_based on steps'!AT$1:AT$400,0)),AT$2,)</f>
        <v>0</v>
      </c>
      <c r="AU322" s="155">
        <f ca="1">IF(ISNUMBER(MATCH(DATEVALUE($A322),'recurring1_based on steps'!AU$1:AU$400,0)),AU$2,)</f>
        <v>0</v>
      </c>
      <c r="AV322" s="155">
        <f ca="1">IF(ISNUMBER(MATCH(DATEVALUE($A322),'recurring1_based on steps'!AV$1:AV$400,0)),AV$2,)</f>
        <v>0</v>
      </c>
      <c r="AW322" s="155">
        <f ca="1">IF(ISNUMBER(MATCH(DATEVALUE($A322),'recurring1_based on steps'!AW$1:AW$400,0)),AW$2,)</f>
        <v>0</v>
      </c>
      <c r="AX322" s="155">
        <f ca="1">IF(ISNUMBER(MATCH(DATEVALUE($A322),'recurring1_based on steps'!AX$1:AX$400,0)),AX$2,)</f>
        <v>0</v>
      </c>
      <c r="AY322" s="155">
        <f ca="1">IF(ISNUMBER(MATCH(DATEVALUE($A322),'recurring1_based on steps'!AY$1:AY$400,0)),AY$2,)</f>
        <v>0</v>
      </c>
    </row>
    <row r="323" spans="1:51" x14ac:dyDescent="0.2">
      <c r="A323" s="18" t="str">
        <f t="shared" ca="1" si="4"/>
        <v>2025-12-18</v>
      </c>
      <c r="B323" s="155">
        <f ca="1">IF(ISNUMBER(MATCH(DATEVALUE($A323),'recurring1_based on steps'!B$1:B$400,0)),B$2,)</f>
        <v>0</v>
      </c>
      <c r="C323" s="155">
        <f ca="1">IF(ISNUMBER(MATCH(DATEVALUE($A323),'recurring1_based on steps'!C$1:C$400,0)),C$2,)</f>
        <v>0</v>
      </c>
      <c r="D323" s="155">
        <f ca="1">IF(ISNUMBER(MATCH(DATEVALUE($A323),'recurring1_based on steps'!D$1:D$400,0)),D$2,)</f>
        <v>0</v>
      </c>
      <c r="E323" s="155">
        <f ca="1">IF(ISNUMBER(MATCH(DATEVALUE($A323),'recurring1_based on steps'!E$1:E$400,0)),E$2,)</f>
        <v>0</v>
      </c>
      <c r="F323" s="155">
        <f ca="1">IF(ISNUMBER(MATCH(DATEVALUE($A323),'recurring1_based on steps'!F$1:F$400,0)),F$2,)</f>
        <v>0</v>
      </c>
      <c r="G323" s="155">
        <f ca="1">IF(ISNUMBER(MATCH(DATEVALUE($A323),'recurring1_based on steps'!G$1:G$400,0)),G$2,)</f>
        <v>0</v>
      </c>
      <c r="H323" s="155">
        <f ca="1">IF(ISNUMBER(MATCH(DATEVALUE($A323),'recurring1_based on steps'!H$1:H$400,0)),H$2,)</f>
        <v>0</v>
      </c>
      <c r="I323" s="155">
        <f ca="1">IF(ISNUMBER(MATCH(DATEVALUE($A323),'recurring1_based on steps'!I$1:I$400,0)),I$2,)</f>
        <v>0</v>
      </c>
      <c r="J323" s="155">
        <f ca="1">IF(ISNUMBER(MATCH(DATEVALUE($A323),'recurring1_based on steps'!J$1:J$400,0)),J$2,)</f>
        <v>0</v>
      </c>
      <c r="K323" s="155">
        <f ca="1">IF(ISNUMBER(MATCH(DATEVALUE($A323),'recurring1_based on steps'!K$1:K$400,0)),K$2,)</f>
        <v>0</v>
      </c>
      <c r="L323" s="155">
        <f ca="1">IF(ISNUMBER(MATCH(DATEVALUE($A323),'recurring1_based on steps'!L$1:L$400,0)),L$2,)</f>
        <v>0</v>
      </c>
      <c r="M323" s="155">
        <f ca="1">IF(ISNUMBER(MATCH(DATEVALUE($A323),'recurring1_based on steps'!M$1:M$400,0)),M$2,)</f>
        <v>0</v>
      </c>
      <c r="N323" s="155">
        <f ca="1">IF(ISNUMBER(MATCH(DATEVALUE($A323),'recurring1_based on steps'!N$1:N$400,0)),N$2,)</f>
        <v>0</v>
      </c>
      <c r="O323" s="155">
        <f ca="1">IF(ISNUMBER(MATCH(DATEVALUE($A323),'recurring1_based on steps'!O$1:O$400,0)),O$2,)</f>
        <v>10.99</v>
      </c>
      <c r="P323" s="155">
        <f ca="1">IF(ISNUMBER(MATCH(DATEVALUE($A323),'recurring1_based on steps'!P$1:P$400,0)),P$2,)</f>
        <v>0</v>
      </c>
      <c r="Q323" s="155">
        <f ca="1">IF(ISNUMBER(MATCH(DATEVALUE($A323),'recurring1_based on steps'!Q$1:Q$400,0)),Q$2,)</f>
        <v>0</v>
      </c>
      <c r="R323" s="155">
        <f ca="1">IF(ISNUMBER(MATCH(DATEVALUE($A323),'recurring1_based on steps'!R$1:R$400,0)),R$2,)</f>
        <v>0</v>
      </c>
      <c r="S323" s="155">
        <f ca="1">IF(ISNUMBER(MATCH(DATEVALUE($A323),'recurring1_based on steps'!S$1:S$400,0)),S$2,)</f>
        <v>0</v>
      </c>
      <c r="T323" s="155">
        <f ca="1">IF(ISNUMBER(MATCH(DATEVALUE($A323),'recurring1_based on steps'!T$1:T$400,0)),T$2,)</f>
        <v>0</v>
      </c>
      <c r="U323" s="155">
        <f ca="1">IF(ISNUMBER(MATCH(DATEVALUE($A323),'recurring1_based on steps'!U$1:U$400,0)),U$2,)</f>
        <v>0</v>
      </c>
      <c r="V323" s="155">
        <f ca="1">IF(ISNUMBER(MATCH(DATEVALUE($A323),'recurring1_based on steps'!V$1:V$400,0)),V$2,)</f>
        <v>0</v>
      </c>
      <c r="W323" s="155">
        <f ca="1">IF(ISNUMBER(MATCH(DATEVALUE($A323),'recurring1_based on steps'!W$1:W$400,0)),W$2,)</f>
        <v>0</v>
      </c>
      <c r="X323" s="155">
        <f ca="1">IF(ISNUMBER(MATCH(DATEVALUE($A323),'recurring1_based on steps'!X$1:X$400,0)),X$2,)</f>
        <v>0</v>
      </c>
      <c r="Y323" s="155">
        <f ca="1">IF(ISNUMBER(MATCH(DATEVALUE($A323),'recurring1_based on steps'!Y$1:Y$400,0)),Y$2,)</f>
        <v>0</v>
      </c>
      <c r="Z323" s="155">
        <f ca="1">IF(ISNUMBER(MATCH(DATEVALUE($A323),'recurring1_based on steps'!Z$1:Z$400,0)),Z$2,)</f>
        <v>0</v>
      </c>
      <c r="AA323" s="155">
        <f ca="1">IF(ISNUMBER(MATCH(DATEVALUE($A323),'recurring1_based on steps'!AA$1:AA$400,0)),AA$2,)</f>
        <v>0</v>
      </c>
      <c r="AB323" s="155">
        <f ca="1">IF(ISNUMBER(MATCH(DATEVALUE($A323),'recurring1_based on steps'!AB$1:AB$400,0)),AB$2,)</f>
        <v>0</v>
      </c>
      <c r="AC323" s="155">
        <f ca="1">IF(ISNUMBER(MATCH(DATEVALUE($A323),'recurring1_based on steps'!AC$1:AC$400,0)),AC$2,)</f>
        <v>0</v>
      </c>
      <c r="AD323" s="155">
        <f ca="1">IF(ISNUMBER(MATCH(DATEVALUE($A323),'recurring1_based on steps'!AD$1:AD$400,0)),AD$2,)</f>
        <v>0</v>
      </c>
      <c r="AE323" s="155">
        <f ca="1">IF(ISNUMBER(MATCH(DATEVALUE($A323),'recurring1_based on steps'!AE$1:AE$400,0)),AE$2,)</f>
        <v>0</v>
      </c>
      <c r="AF323" s="155">
        <f ca="1">IF(ISNUMBER(MATCH(DATEVALUE($A323),'recurring1_based on steps'!AF$1:AF$400,0)),AF$2,)</f>
        <v>0</v>
      </c>
      <c r="AG323" s="155">
        <f ca="1">IF(ISNUMBER(MATCH(DATEVALUE($A323),'recurring1_based on steps'!AG$1:AG$400,0)),AG$2,)</f>
        <v>0</v>
      </c>
      <c r="AH323" s="155">
        <f ca="1">IF(ISNUMBER(MATCH(DATEVALUE($A323),'recurring1_based on steps'!AH$1:AH$400,0)),AH$2,)</f>
        <v>0</v>
      </c>
      <c r="AI323" s="155">
        <f ca="1">IF(ISNUMBER(MATCH(DATEVALUE($A323),'recurring1_based on steps'!AI$1:AI$400,0)),AI$2,)</f>
        <v>0</v>
      </c>
      <c r="AJ323" s="155">
        <f ca="1">IF(ISNUMBER(MATCH(DATEVALUE($A323),'recurring1_based on steps'!AJ$1:AJ$400,0)),AJ$2,)</f>
        <v>0</v>
      </c>
      <c r="AK323" s="155">
        <f ca="1">IF(ISNUMBER(MATCH(DATEVALUE($A323),'recurring1_based on steps'!AK$1:AK$400,0)),AK$2,)</f>
        <v>0</v>
      </c>
      <c r="AL323" s="155">
        <f ca="1">IF(ISNUMBER(MATCH(DATEVALUE($A323),'recurring1_based on steps'!AL$1:AL$400,0)),AL$2,)</f>
        <v>0</v>
      </c>
      <c r="AM323" s="155">
        <f ca="1">IF(ISNUMBER(MATCH(DATEVALUE($A323),'recurring1_based on steps'!AM$1:AM$400,0)),AM$2,)</f>
        <v>0</v>
      </c>
      <c r="AN323" s="155">
        <f ca="1">IF(ISNUMBER(MATCH(DATEVALUE($A323),'recurring1_based on steps'!AN$1:AN$400,0)),AN$2,)</f>
        <v>0</v>
      </c>
      <c r="AO323" s="155">
        <f ca="1">IF(ISNUMBER(MATCH(DATEVALUE($A323),'recurring1_based on steps'!AO$1:AO$400,0)),AO$2,)</f>
        <v>0</v>
      </c>
      <c r="AP323" s="155">
        <f ca="1">IF(ISNUMBER(MATCH(DATEVALUE($A323),'recurring1_based on steps'!AP$1:AP$400,0)),AP$2,)</f>
        <v>0</v>
      </c>
      <c r="AQ323" s="155">
        <f ca="1">IF(ISNUMBER(MATCH(DATEVALUE($A323),'recurring1_based on steps'!AQ$1:AQ$400,0)),AQ$2,)</f>
        <v>0</v>
      </c>
      <c r="AR323" s="155">
        <f ca="1">IF(ISNUMBER(MATCH(DATEVALUE($A323),'recurring1_based on steps'!AR$1:AR$400,0)),AR$2,)</f>
        <v>0</v>
      </c>
      <c r="AS323" s="155">
        <f ca="1">IF(ISNUMBER(MATCH(DATEVALUE($A323),'recurring1_based on steps'!AS$1:AS$400,0)),AS$2,)</f>
        <v>0</v>
      </c>
      <c r="AT323" s="155">
        <f ca="1">IF(ISNUMBER(MATCH(DATEVALUE($A323),'recurring1_based on steps'!AT$1:AT$400,0)),AT$2,)</f>
        <v>0</v>
      </c>
      <c r="AU323" s="155">
        <f ca="1">IF(ISNUMBER(MATCH(DATEVALUE($A323),'recurring1_based on steps'!AU$1:AU$400,0)),AU$2,)</f>
        <v>0</v>
      </c>
      <c r="AV323" s="155">
        <f ca="1">IF(ISNUMBER(MATCH(DATEVALUE($A323),'recurring1_based on steps'!AV$1:AV$400,0)),AV$2,)</f>
        <v>0</v>
      </c>
      <c r="AW323" s="155">
        <f ca="1">IF(ISNUMBER(MATCH(DATEVALUE($A323),'recurring1_based on steps'!AW$1:AW$400,0)),AW$2,)</f>
        <v>0</v>
      </c>
      <c r="AX323" s="155">
        <f ca="1">IF(ISNUMBER(MATCH(DATEVALUE($A323),'recurring1_based on steps'!AX$1:AX$400,0)),AX$2,)</f>
        <v>0</v>
      </c>
      <c r="AY323" s="155">
        <f ca="1">IF(ISNUMBER(MATCH(DATEVALUE($A323),'recurring1_based on steps'!AY$1:AY$400,0)),AY$2,)</f>
        <v>0</v>
      </c>
    </row>
    <row r="324" spans="1:51" x14ac:dyDescent="0.2">
      <c r="A324" s="18" t="str">
        <f t="shared" ca="1" si="4"/>
        <v>2025-12-19</v>
      </c>
      <c r="B324" s="155">
        <f ca="1">IF(ISNUMBER(MATCH(DATEVALUE($A324),'recurring1_based on steps'!B$1:B$400,0)),B$2,)</f>
        <v>0</v>
      </c>
      <c r="C324" s="155">
        <f ca="1">IF(ISNUMBER(MATCH(DATEVALUE($A324),'recurring1_based on steps'!C$1:C$400,0)),C$2,)</f>
        <v>0</v>
      </c>
      <c r="D324" s="155">
        <f ca="1">IF(ISNUMBER(MATCH(DATEVALUE($A324),'recurring1_based on steps'!D$1:D$400,0)),D$2,)</f>
        <v>0</v>
      </c>
      <c r="E324" s="155">
        <f ca="1">IF(ISNUMBER(MATCH(DATEVALUE($A324),'recurring1_based on steps'!E$1:E$400,0)),E$2,)</f>
        <v>0</v>
      </c>
      <c r="F324" s="155">
        <f ca="1">IF(ISNUMBER(MATCH(DATEVALUE($A324),'recurring1_based on steps'!F$1:F$400,0)),F$2,)</f>
        <v>0</v>
      </c>
      <c r="G324" s="155">
        <f ca="1">IF(ISNUMBER(MATCH(DATEVALUE($A324),'recurring1_based on steps'!G$1:G$400,0)),G$2,)</f>
        <v>0</v>
      </c>
      <c r="H324" s="155">
        <f ca="1">IF(ISNUMBER(MATCH(DATEVALUE($A324),'recurring1_based on steps'!H$1:H$400,0)),H$2,)</f>
        <v>0</v>
      </c>
      <c r="I324" s="155">
        <f ca="1">IF(ISNUMBER(MATCH(DATEVALUE($A324),'recurring1_based on steps'!I$1:I$400,0)),I$2,)</f>
        <v>0</v>
      </c>
      <c r="J324" s="155">
        <f ca="1">IF(ISNUMBER(MATCH(DATEVALUE($A324),'recurring1_based on steps'!J$1:J$400,0)),J$2,)</f>
        <v>0</v>
      </c>
      <c r="K324" s="155">
        <f ca="1">IF(ISNUMBER(MATCH(DATEVALUE($A324),'recurring1_based on steps'!K$1:K$400,0)),K$2,)</f>
        <v>0</v>
      </c>
      <c r="L324" s="155">
        <f ca="1">IF(ISNUMBER(MATCH(DATEVALUE($A324),'recurring1_based on steps'!L$1:L$400,0)),L$2,)</f>
        <v>0</v>
      </c>
      <c r="M324" s="155">
        <f ca="1">IF(ISNUMBER(MATCH(DATEVALUE($A324),'recurring1_based on steps'!M$1:M$400,0)),M$2,)</f>
        <v>0</v>
      </c>
      <c r="N324" s="155">
        <f ca="1">IF(ISNUMBER(MATCH(DATEVALUE($A324),'recurring1_based on steps'!N$1:N$400,0)),N$2,)</f>
        <v>0</v>
      </c>
      <c r="O324" s="155">
        <f ca="1">IF(ISNUMBER(MATCH(DATEVALUE($A324),'recurring1_based on steps'!O$1:O$400,0)),O$2,)</f>
        <v>0</v>
      </c>
      <c r="P324" s="155">
        <f ca="1">IF(ISNUMBER(MATCH(DATEVALUE($A324),'recurring1_based on steps'!P$1:P$400,0)),P$2,)</f>
        <v>0</v>
      </c>
      <c r="Q324" s="155">
        <f ca="1">IF(ISNUMBER(MATCH(DATEVALUE($A324),'recurring1_based on steps'!Q$1:Q$400,0)),Q$2,)</f>
        <v>0</v>
      </c>
      <c r="R324" s="155">
        <f ca="1">IF(ISNUMBER(MATCH(DATEVALUE($A324),'recurring1_based on steps'!R$1:R$400,0)),R$2,)</f>
        <v>0</v>
      </c>
      <c r="S324" s="155">
        <f ca="1">IF(ISNUMBER(MATCH(DATEVALUE($A324),'recurring1_based on steps'!S$1:S$400,0)),S$2,)</f>
        <v>0</v>
      </c>
      <c r="T324" s="155">
        <f ca="1">IF(ISNUMBER(MATCH(DATEVALUE($A324),'recurring1_based on steps'!T$1:T$400,0)),T$2,)</f>
        <v>0</v>
      </c>
      <c r="U324" s="155">
        <f ca="1">IF(ISNUMBER(MATCH(DATEVALUE($A324),'recurring1_based on steps'!U$1:U$400,0)),U$2,)</f>
        <v>0</v>
      </c>
      <c r="V324" s="155">
        <f ca="1">IF(ISNUMBER(MATCH(DATEVALUE($A324),'recurring1_based on steps'!V$1:V$400,0)),V$2,)</f>
        <v>0</v>
      </c>
      <c r="W324" s="155">
        <f ca="1">IF(ISNUMBER(MATCH(DATEVALUE($A324),'recurring1_based on steps'!W$1:W$400,0)),W$2,)</f>
        <v>0</v>
      </c>
      <c r="X324" s="155">
        <f ca="1">IF(ISNUMBER(MATCH(DATEVALUE($A324),'recurring1_based on steps'!X$1:X$400,0)),X$2,)</f>
        <v>0</v>
      </c>
      <c r="Y324" s="155">
        <f ca="1">IF(ISNUMBER(MATCH(DATEVALUE($A324),'recurring1_based on steps'!Y$1:Y$400,0)),Y$2,)</f>
        <v>0</v>
      </c>
      <c r="Z324" s="155">
        <f ca="1">IF(ISNUMBER(MATCH(DATEVALUE($A324),'recurring1_based on steps'!Z$1:Z$400,0)),Z$2,)</f>
        <v>0</v>
      </c>
      <c r="AA324" s="155">
        <f ca="1">IF(ISNUMBER(MATCH(DATEVALUE($A324),'recurring1_based on steps'!AA$1:AA$400,0)),AA$2,)</f>
        <v>0</v>
      </c>
      <c r="AB324" s="155">
        <f ca="1">IF(ISNUMBER(MATCH(DATEVALUE($A324),'recurring1_based on steps'!AB$1:AB$400,0)),AB$2,)</f>
        <v>0</v>
      </c>
      <c r="AC324" s="155">
        <f ca="1">IF(ISNUMBER(MATCH(DATEVALUE($A324),'recurring1_based on steps'!AC$1:AC$400,0)),AC$2,)</f>
        <v>0</v>
      </c>
      <c r="AD324" s="155">
        <f ca="1">IF(ISNUMBER(MATCH(DATEVALUE($A324),'recurring1_based on steps'!AD$1:AD$400,0)),AD$2,)</f>
        <v>0</v>
      </c>
      <c r="AE324" s="155">
        <f ca="1">IF(ISNUMBER(MATCH(DATEVALUE($A324),'recurring1_based on steps'!AE$1:AE$400,0)),AE$2,)</f>
        <v>0</v>
      </c>
      <c r="AF324" s="155">
        <f ca="1">IF(ISNUMBER(MATCH(DATEVALUE($A324),'recurring1_based on steps'!AF$1:AF$400,0)),AF$2,)</f>
        <v>0</v>
      </c>
      <c r="AG324" s="155">
        <f ca="1">IF(ISNUMBER(MATCH(DATEVALUE($A324),'recurring1_based on steps'!AG$1:AG$400,0)),AG$2,)</f>
        <v>0</v>
      </c>
      <c r="AH324" s="155">
        <f ca="1">IF(ISNUMBER(MATCH(DATEVALUE($A324),'recurring1_based on steps'!AH$1:AH$400,0)),AH$2,)</f>
        <v>0</v>
      </c>
      <c r="AI324" s="155">
        <f ca="1">IF(ISNUMBER(MATCH(DATEVALUE($A324),'recurring1_based on steps'!AI$1:AI$400,0)),AI$2,)</f>
        <v>0</v>
      </c>
      <c r="AJ324" s="155">
        <f ca="1">IF(ISNUMBER(MATCH(DATEVALUE($A324),'recurring1_based on steps'!AJ$1:AJ$400,0)),AJ$2,)</f>
        <v>0</v>
      </c>
      <c r="AK324" s="155">
        <f ca="1">IF(ISNUMBER(MATCH(DATEVALUE($A324),'recurring1_based on steps'!AK$1:AK$400,0)),AK$2,)</f>
        <v>0</v>
      </c>
      <c r="AL324" s="155">
        <f ca="1">IF(ISNUMBER(MATCH(DATEVALUE($A324),'recurring1_based on steps'!AL$1:AL$400,0)),AL$2,)</f>
        <v>0</v>
      </c>
      <c r="AM324" s="155">
        <f ca="1">IF(ISNUMBER(MATCH(DATEVALUE($A324),'recurring1_based on steps'!AM$1:AM$400,0)),AM$2,)</f>
        <v>0</v>
      </c>
      <c r="AN324" s="155">
        <f ca="1">IF(ISNUMBER(MATCH(DATEVALUE($A324),'recurring1_based on steps'!AN$1:AN$400,0)),AN$2,)</f>
        <v>0</v>
      </c>
      <c r="AO324" s="155">
        <f ca="1">IF(ISNUMBER(MATCH(DATEVALUE($A324),'recurring1_based on steps'!AO$1:AO$400,0)),AO$2,)</f>
        <v>0</v>
      </c>
      <c r="AP324" s="155">
        <f ca="1">IF(ISNUMBER(MATCH(DATEVALUE($A324),'recurring1_based on steps'!AP$1:AP$400,0)),AP$2,)</f>
        <v>0</v>
      </c>
      <c r="AQ324" s="155">
        <f ca="1">IF(ISNUMBER(MATCH(DATEVALUE($A324),'recurring1_based on steps'!AQ$1:AQ$400,0)),AQ$2,)</f>
        <v>0</v>
      </c>
      <c r="AR324" s="155">
        <f ca="1">IF(ISNUMBER(MATCH(DATEVALUE($A324),'recurring1_based on steps'!AR$1:AR$400,0)),AR$2,)</f>
        <v>0</v>
      </c>
      <c r="AS324" s="155">
        <f ca="1">IF(ISNUMBER(MATCH(DATEVALUE($A324),'recurring1_based on steps'!AS$1:AS$400,0)),AS$2,)</f>
        <v>0</v>
      </c>
      <c r="AT324" s="155">
        <f ca="1">IF(ISNUMBER(MATCH(DATEVALUE($A324),'recurring1_based on steps'!AT$1:AT$400,0)),AT$2,)</f>
        <v>0</v>
      </c>
      <c r="AU324" s="155">
        <f ca="1">IF(ISNUMBER(MATCH(DATEVALUE($A324),'recurring1_based on steps'!AU$1:AU$400,0)),AU$2,)</f>
        <v>0</v>
      </c>
      <c r="AV324" s="155">
        <f ca="1">IF(ISNUMBER(MATCH(DATEVALUE($A324),'recurring1_based on steps'!AV$1:AV$400,0)),AV$2,)</f>
        <v>0</v>
      </c>
      <c r="AW324" s="155">
        <f ca="1">IF(ISNUMBER(MATCH(DATEVALUE($A324),'recurring1_based on steps'!AW$1:AW$400,0)),AW$2,)</f>
        <v>0</v>
      </c>
      <c r="AX324" s="155">
        <f ca="1">IF(ISNUMBER(MATCH(DATEVALUE($A324),'recurring1_based on steps'!AX$1:AX$400,0)),AX$2,)</f>
        <v>0</v>
      </c>
      <c r="AY324" s="155">
        <f ca="1">IF(ISNUMBER(MATCH(DATEVALUE($A324),'recurring1_based on steps'!AY$1:AY$400,0)),AY$2,)</f>
        <v>0</v>
      </c>
    </row>
    <row r="325" spans="1:51" x14ac:dyDescent="0.2">
      <c r="A325" s="18" t="str">
        <f t="shared" ref="A325:A369" ca="1" si="5">TEXT(DATEVALUE(A324)+1,"yyyy-mm-dd")</f>
        <v>2025-12-20</v>
      </c>
      <c r="B325" s="155">
        <f ca="1">IF(ISNUMBER(MATCH(DATEVALUE($A325),'recurring1_based on steps'!B$1:B$400,0)),B$2,)</f>
        <v>0</v>
      </c>
      <c r="C325" s="155">
        <f ca="1">IF(ISNUMBER(MATCH(DATEVALUE($A325),'recurring1_based on steps'!C$1:C$400,0)),C$2,)</f>
        <v>0</v>
      </c>
      <c r="D325" s="155">
        <f ca="1">IF(ISNUMBER(MATCH(DATEVALUE($A325),'recurring1_based on steps'!D$1:D$400,0)),D$2,)</f>
        <v>0</v>
      </c>
      <c r="E325" s="155">
        <f ca="1">IF(ISNUMBER(MATCH(DATEVALUE($A325),'recurring1_based on steps'!E$1:E$400,0)),E$2,)</f>
        <v>0</v>
      </c>
      <c r="F325" s="155">
        <f ca="1">IF(ISNUMBER(MATCH(DATEVALUE($A325),'recurring1_based on steps'!F$1:F$400,0)),F$2,)</f>
        <v>0</v>
      </c>
      <c r="G325" s="155">
        <f ca="1">IF(ISNUMBER(MATCH(DATEVALUE($A325),'recurring1_based on steps'!G$1:G$400,0)),G$2,)</f>
        <v>0</v>
      </c>
      <c r="H325" s="155">
        <f ca="1">IF(ISNUMBER(MATCH(DATEVALUE($A325),'recurring1_based on steps'!H$1:H$400,0)),H$2,)</f>
        <v>0</v>
      </c>
      <c r="I325" s="155">
        <f ca="1">IF(ISNUMBER(MATCH(DATEVALUE($A325),'recurring1_based on steps'!I$1:I$400,0)),I$2,)</f>
        <v>0</v>
      </c>
      <c r="J325" s="155">
        <f ca="1">IF(ISNUMBER(MATCH(DATEVALUE($A325),'recurring1_based on steps'!J$1:J$400,0)),J$2,)</f>
        <v>0</v>
      </c>
      <c r="K325" s="155">
        <f ca="1">IF(ISNUMBER(MATCH(DATEVALUE($A325),'recurring1_based on steps'!K$1:K$400,0)),K$2,)</f>
        <v>0</v>
      </c>
      <c r="L325" s="155">
        <f ca="1">IF(ISNUMBER(MATCH(DATEVALUE($A325),'recurring1_based on steps'!L$1:L$400,0)),L$2,)</f>
        <v>0</v>
      </c>
      <c r="M325" s="155">
        <f ca="1">IF(ISNUMBER(MATCH(DATEVALUE($A325),'recurring1_based on steps'!M$1:M$400,0)),M$2,)</f>
        <v>0</v>
      </c>
      <c r="N325" s="155">
        <f ca="1">IF(ISNUMBER(MATCH(DATEVALUE($A325),'recurring1_based on steps'!N$1:N$400,0)),N$2,)</f>
        <v>0</v>
      </c>
      <c r="O325" s="155">
        <f ca="1">IF(ISNUMBER(MATCH(DATEVALUE($A325),'recurring1_based on steps'!O$1:O$400,0)),O$2,)</f>
        <v>0</v>
      </c>
      <c r="P325" s="155">
        <f ca="1">IF(ISNUMBER(MATCH(DATEVALUE($A325),'recurring1_based on steps'!P$1:P$400,0)),P$2,)</f>
        <v>0</v>
      </c>
      <c r="Q325" s="155">
        <f ca="1">IF(ISNUMBER(MATCH(DATEVALUE($A325),'recurring1_based on steps'!Q$1:Q$400,0)),Q$2,)</f>
        <v>100</v>
      </c>
      <c r="R325" s="155">
        <f ca="1">IF(ISNUMBER(MATCH(DATEVALUE($A325),'recurring1_based on steps'!R$1:R$400,0)),R$2,)</f>
        <v>100</v>
      </c>
      <c r="S325" s="155">
        <f ca="1">IF(ISNUMBER(MATCH(DATEVALUE($A325),'recurring1_based on steps'!S$1:S$400,0)),S$2,)</f>
        <v>0</v>
      </c>
      <c r="T325" s="155">
        <f ca="1">IF(ISNUMBER(MATCH(DATEVALUE($A325),'recurring1_based on steps'!T$1:T$400,0)),T$2,)</f>
        <v>0</v>
      </c>
      <c r="U325" s="155">
        <f ca="1">IF(ISNUMBER(MATCH(DATEVALUE($A325),'recurring1_based on steps'!U$1:U$400,0)),U$2,)</f>
        <v>0</v>
      </c>
      <c r="V325" s="155">
        <f ca="1">IF(ISNUMBER(MATCH(DATEVALUE($A325),'recurring1_based on steps'!V$1:V$400,0)),V$2,)</f>
        <v>0</v>
      </c>
      <c r="W325" s="155">
        <f ca="1">IF(ISNUMBER(MATCH(DATEVALUE($A325),'recurring1_based on steps'!W$1:W$400,0)),W$2,)</f>
        <v>0</v>
      </c>
      <c r="X325" s="155">
        <f ca="1">IF(ISNUMBER(MATCH(DATEVALUE($A325),'recurring1_based on steps'!X$1:X$400,0)),X$2,)</f>
        <v>0</v>
      </c>
      <c r="Y325" s="155">
        <f ca="1">IF(ISNUMBER(MATCH(DATEVALUE($A325),'recurring1_based on steps'!Y$1:Y$400,0)),Y$2,)</f>
        <v>0</v>
      </c>
      <c r="Z325" s="155">
        <f ca="1">IF(ISNUMBER(MATCH(DATEVALUE($A325),'recurring1_based on steps'!Z$1:Z$400,0)),Z$2,)</f>
        <v>0</v>
      </c>
      <c r="AA325" s="155">
        <f ca="1">IF(ISNUMBER(MATCH(DATEVALUE($A325),'recurring1_based on steps'!AA$1:AA$400,0)),AA$2,)</f>
        <v>0</v>
      </c>
      <c r="AB325" s="155">
        <f ca="1">IF(ISNUMBER(MATCH(DATEVALUE($A325),'recurring1_based on steps'!AB$1:AB$400,0)),AB$2,)</f>
        <v>0</v>
      </c>
      <c r="AC325" s="155">
        <f ca="1">IF(ISNUMBER(MATCH(DATEVALUE($A325),'recurring1_based on steps'!AC$1:AC$400,0)),AC$2,)</f>
        <v>0</v>
      </c>
      <c r="AD325" s="155">
        <f ca="1">IF(ISNUMBER(MATCH(DATEVALUE($A325),'recurring1_based on steps'!AD$1:AD$400,0)),AD$2,)</f>
        <v>0</v>
      </c>
      <c r="AE325" s="155">
        <f ca="1">IF(ISNUMBER(MATCH(DATEVALUE($A325),'recurring1_based on steps'!AE$1:AE$400,0)),AE$2,)</f>
        <v>0</v>
      </c>
      <c r="AF325" s="155">
        <f ca="1">IF(ISNUMBER(MATCH(DATEVALUE($A325),'recurring1_based on steps'!AF$1:AF$400,0)),AF$2,)</f>
        <v>0</v>
      </c>
      <c r="AG325" s="155">
        <f ca="1">IF(ISNUMBER(MATCH(DATEVALUE($A325),'recurring1_based on steps'!AG$1:AG$400,0)),AG$2,)</f>
        <v>0</v>
      </c>
      <c r="AH325" s="155">
        <f ca="1">IF(ISNUMBER(MATCH(DATEVALUE($A325),'recurring1_based on steps'!AH$1:AH$400,0)),AH$2,)</f>
        <v>0</v>
      </c>
      <c r="AI325" s="155">
        <f ca="1">IF(ISNUMBER(MATCH(DATEVALUE($A325),'recurring1_based on steps'!AI$1:AI$400,0)),AI$2,)</f>
        <v>0</v>
      </c>
      <c r="AJ325" s="155">
        <f ca="1">IF(ISNUMBER(MATCH(DATEVALUE($A325),'recurring1_based on steps'!AJ$1:AJ$400,0)),AJ$2,)</f>
        <v>0</v>
      </c>
      <c r="AK325" s="155">
        <f ca="1">IF(ISNUMBER(MATCH(DATEVALUE($A325),'recurring1_based on steps'!AK$1:AK$400,0)),AK$2,)</f>
        <v>0</v>
      </c>
      <c r="AL325" s="155">
        <f ca="1">IF(ISNUMBER(MATCH(DATEVALUE($A325),'recurring1_based on steps'!AL$1:AL$400,0)),AL$2,)</f>
        <v>0</v>
      </c>
      <c r="AM325" s="155">
        <f ca="1">IF(ISNUMBER(MATCH(DATEVALUE($A325),'recurring1_based on steps'!AM$1:AM$400,0)),AM$2,)</f>
        <v>0</v>
      </c>
      <c r="AN325" s="155">
        <f ca="1">IF(ISNUMBER(MATCH(DATEVALUE($A325),'recurring1_based on steps'!AN$1:AN$400,0)),AN$2,)</f>
        <v>0</v>
      </c>
      <c r="AO325" s="155">
        <f ca="1">IF(ISNUMBER(MATCH(DATEVALUE($A325),'recurring1_based on steps'!AO$1:AO$400,0)),AO$2,)</f>
        <v>0</v>
      </c>
      <c r="AP325" s="155">
        <f ca="1">IF(ISNUMBER(MATCH(DATEVALUE($A325),'recurring1_based on steps'!AP$1:AP$400,0)),AP$2,)</f>
        <v>0</v>
      </c>
      <c r="AQ325" s="155">
        <f ca="1">IF(ISNUMBER(MATCH(DATEVALUE($A325),'recurring1_based on steps'!AQ$1:AQ$400,0)),AQ$2,)</f>
        <v>0</v>
      </c>
      <c r="AR325" s="155">
        <f ca="1">IF(ISNUMBER(MATCH(DATEVALUE($A325),'recurring1_based on steps'!AR$1:AR$400,0)),AR$2,)</f>
        <v>0</v>
      </c>
      <c r="AS325" s="155">
        <f ca="1">IF(ISNUMBER(MATCH(DATEVALUE($A325),'recurring1_based on steps'!AS$1:AS$400,0)),AS$2,)</f>
        <v>0</v>
      </c>
      <c r="AT325" s="155">
        <f ca="1">IF(ISNUMBER(MATCH(DATEVALUE($A325),'recurring1_based on steps'!AT$1:AT$400,0)),AT$2,)</f>
        <v>0</v>
      </c>
      <c r="AU325" s="155">
        <f ca="1">IF(ISNUMBER(MATCH(DATEVALUE($A325),'recurring1_based on steps'!AU$1:AU$400,0)),AU$2,)</f>
        <v>0</v>
      </c>
      <c r="AV325" s="155">
        <f ca="1">IF(ISNUMBER(MATCH(DATEVALUE($A325),'recurring1_based on steps'!AV$1:AV$400,0)),AV$2,)</f>
        <v>0</v>
      </c>
      <c r="AW325" s="155">
        <f ca="1">IF(ISNUMBER(MATCH(DATEVALUE($A325),'recurring1_based on steps'!AW$1:AW$400,0)),AW$2,)</f>
        <v>0</v>
      </c>
      <c r="AX325" s="155">
        <f ca="1">IF(ISNUMBER(MATCH(DATEVALUE($A325),'recurring1_based on steps'!AX$1:AX$400,0)),AX$2,)</f>
        <v>0</v>
      </c>
      <c r="AY325" s="155">
        <f ca="1">IF(ISNUMBER(MATCH(DATEVALUE($A325),'recurring1_based on steps'!AY$1:AY$400,0)),AY$2,)</f>
        <v>0</v>
      </c>
    </row>
    <row r="326" spans="1:51" x14ac:dyDescent="0.2">
      <c r="A326" s="18" t="str">
        <f t="shared" ca="1" si="5"/>
        <v>2025-12-21</v>
      </c>
      <c r="B326" s="155">
        <f ca="1">IF(ISNUMBER(MATCH(DATEVALUE($A326),'recurring1_based on steps'!B$1:B$400,0)),B$2,)</f>
        <v>0</v>
      </c>
      <c r="C326" s="155">
        <f ca="1">IF(ISNUMBER(MATCH(DATEVALUE($A326),'recurring1_based on steps'!C$1:C$400,0)),C$2,)</f>
        <v>0</v>
      </c>
      <c r="D326" s="155">
        <f ca="1">IF(ISNUMBER(MATCH(DATEVALUE($A326),'recurring1_based on steps'!D$1:D$400,0)),D$2,)</f>
        <v>0</v>
      </c>
      <c r="E326" s="155">
        <f ca="1">IF(ISNUMBER(MATCH(DATEVALUE($A326),'recurring1_based on steps'!E$1:E$400,0)),E$2,)</f>
        <v>0</v>
      </c>
      <c r="F326" s="155">
        <f ca="1">IF(ISNUMBER(MATCH(DATEVALUE($A326),'recurring1_based on steps'!F$1:F$400,0)),F$2,)</f>
        <v>0</v>
      </c>
      <c r="G326" s="155">
        <f ca="1">IF(ISNUMBER(MATCH(DATEVALUE($A326),'recurring1_based on steps'!G$1:G$400,0)),G$2,)</f>
        <v>0</v>
      </c>
      <c r="H326" s="155">
        <f ca="1">IF(ISNUMBER(MATCH(DATEVALUE($A326),'recurring1_based on steps'!H$1:H$400,0)),H$2,)</f>
        <v>0</v>
      </c>
      <c r="I326" s="155">
        <f ca="1">IF(ISNUMBER(MATCH(DATEVALUE($A326),'recurring1_based on steps'!I$1:I$400,0)),I$2,)</f>
        <v>0</v>
      </c>
      <c r="J326" s="155">
        <f ca="1">IF(ISNUMBER(MATCH(DATEVALUE($A326),'recurring1_based on steps'!J$1:J$400,0)),J$2,)</f>
        <v>0</v>
      </c>
      <c r="K326" s="155">
        <f ca="1">IF(ISNUMBER(MATCH(DATEVALUE($A326),'recurring1_based on steps'!K$1:K$400,0)),K$2,)</f>
        <v>50</v>
      </c>
      <c r="L326" s="155">
        <f ca="1">IF(ISNUMBER(MATCH(DATEVALUE($A326),'recurring1_based on steps'!L$1:L$400,0)),L$2,)</f>
        <v>0</v>
      </c>
      <c r="M326" s="155">
        <f ca="1">IF(ISNUMBER(MATCH(DATEVALUE($A326),'recurring1_based on steps'!M$1:M$400,0)),M$2,)</f>
        <v>0</v>
      </c>
      <c r="N326" s="155">
        <f ca="1">IF(ISNUMBER(MATCH(DATEVALUE($A326),'recurring1_based on steps'!N$1:N$400,0)),N$2,)</f>
        <v>0</v>
      </c>
      <c r="O326" s="155">
        <f ca="1">IF(ISNUMBER(MATCH(DATEVALUE($A326),'recurring1_based on steps'!O$1:O$400,0)),O$2,)</f>
        <v>0</v>
      </c>
      <c r="P326" s="155">
        <f ca="1">IF(ISNUMBER(MATCH(DATEVALUE($A326),'recurring1_based on steps'!P$1:P$400,0)),P$2,)</f>
        <v>0</v>
      </c>
      <c r="Q326" s="155">
        <f ca="1">IF(ISNUMBER(MATCH(DATEVALUE($A326),'recurring1_based on steps'!Q$1:Q$400,0)),Q$2,)</f>
        <v>0</v>
      </c>
      <c r="R326" s="155">
        <f ca="1">IF(ISNUMBER(MATCH(DATEVALUE($A326),'recurring1_based on steps'!R$1:R$400,0)),R$2,)</f>
        <v>0</v>
      </c>
      <c r="S326" s="155">
        <f ca="1">IF(ISNUMBER(MATCH(DATEVALUE($A326),'recurring1_based on steps'!S$1:S$400,0)),S$2,)</f>
        <v>100</v>
      </c>
      <c r="T326" s="155">
        <f ca="1">IF(ISNUMBER(MATCH(DATEVALUE($A326),'recurring1_based on steps'!T$1:T$400,0)),T$2,)</f>
        <v>0</v>
      </c>
      <c r="U326" s="155">
        <f ca="1">IF(ISNUMBER(MATCH(DATEVALUE($A326),'recurring1_based on steps'!U$1:U$400,0)),U$2,)</f>
        <v>0</v>
      </c>
      <c r="V326" s="155">
        <f ca="1">IF(ISNUMBER(MATCH(DATEVALUE($A326),'recurring1_based on steps'!V$1:V$400,0)),V$2,)</f>
        <v>0</v>
      </c>
      <c r="W326" s="155">
        <f ca="1">IF(ISNUMBER(MATCH(DATEVALUE($A326),'recurring1_based on steps'!W$1:W$400,0)),W$2,)</f>
        <v>0</v>
      </c>
      <c r="X326" s="155">
        <f ca="1">IF(ISNUMBER(MATCH(DATEVALUE($A326),'recurring1_based on steps'!X$1:X$400,0)),X$2,)</f>
        <v>0</v>
      </c>
      <c r="Y326" s="155">
        <f ca="1">IF(ISNUMBER(MATCH(DATEVALUE($A326),'recurring1_based on steps'!Y$1:Y$400,0)),Y$2,)</f>
        <v>0</v>
      </c>
      <c r="Z326" s="155">
        <f ca="1">IF(ISNUMBER(MATCH(DATEVALUE($A326),'recurring1_based on steps'!Z$1:Z$400,0)),Z$2,)</f>
        <v>0</v>
      </c>
      <c r="AA326" s="155">
        <f ca="1">IF(ISNUMBER(MATCH(DATEVALUE($A326),'recurring1_based on steps'!AA$1:AA$400,0)),AA$2,)</f>
        <v>0</v>
      </c>
      <c r="AB326" s="155">
        <f ca="1">IF(ISNUMBER(MATCH(DATEVALUE($A326),'recurring1_based on steps'!AB$1:AB$400,0)),AB$2,)</f>
        <v>0</v>
      </c>
      <c r="AC326" s="155">
        <f ca="1">IF(ISNUMBER(MATCH(DATEVALUE($A326),'recurring1_based on steps'!AC$1:AC$400,0)),AC$2,)</f>
        <v>0</v>
      </c>
      <c r="AD326" s="155">
        <f ca="1">IF(ISNUMBER(MATCH(DATEVALUE($A326),'recurring1_based on steps'!AD$1:AD$400,0)),AD$2,)</f>
        <v>0</v>
      </c>
      <c r="AE326" s="155">
        <f ca="1">IF(ISNUMBER(MATCH(DATEVALUE($A326),'recurring1_based on steps'!AE$1:AE$400,0)),AE$2,)</f>
        <v>0</v>
      </c>
      <c r="AF326" s="155">
        <f ca="1">IF(ISNUMBER(MATCH(DATEVALUE($A326),'recurring1_based on steps'!AF$1:AF$400,0)),AF$2,)</f>
        <v>0</v>
      </c>
      <c r="AG326" s="155">
        <f ca="1">IF(ISNUMBER(MATCH(DATEVALUE($A326),'recurring1_based on steps'!AG$1:AG$400,0)),AG$2,)</f>
        <v>0</v>
      </c>
      <c r="AH326" s="155">
        <f ca="1">IF(ISNUMBER(MATCH(DATEVALUE($A326),'recurring1_based on steps'!AH$1:AH$400,0)),AH$2,)</f>
        <v>0</v>
      </c>
      <c r="AI326" s="155">
        <f ca="1">IF(ISNUMBER(MATCH(DATEVALUE($A326),'recurring1_based on steps'!AI$1:AI$400,0)),AI$2,)</f>
        <v>0</v>
      </c>
      <c r="AJ326" s="155">
        <f ca="1">IF(ISNUMBER(MATCH(DATEVALUE($A326),'recurring1_based on steps'!AJ$1:AJ$400,0)),AJ$2,)</f>
        <v>0</v>
      </c>
      <c r="AK326" s="155">
        <f ca="1">IF(ISNUMBER(MATCH(DATEVALUE($A326),'recurring1_based on steps'!AK$1:AK$400,0)),AK$2,)</f>
        <v>0</v>
      </c>
      <c r="AL326" s="155">
        <f ca="1">IF(ISNUMBER(MATCH(DATEVALUE($A326),'recurring1_based on steps'!AL$1:AL$400,0)),AL$2,)</f>
        <v>0</v>
      </c>
      <c r="AM326" s="155">
        <f ca="1">IF(ISNUMBER(MATCH(DATEVALUE($A326),'recurring1_based on steps'!AM$1:AM$400,0)),AM$2,)</f>
        <v>0</v>
      </c>
      <c r="AN326" s="155">
        <f ca="1">IF(ISNUMBER(MATCH(DATEVALUE($A326),'recurring1_based on steps'!AN$1:AN$400,0)),AN$2,)</f>
        <v>0</v>
      </c>
      <c r="AO326" s="155">
        <f ca="1">IF(ISNUMBER(MATCH(DATEVALUE($A326),'recurring1_based on steps'!AO$1:AO$400,0)),AO$2,)</f>
        <v>0</v>
      </c>
      <c r="AP326" s="155">
        <f ca="1">IF(ISNUMBER(MATCH(DATEVALUE($A326),'recurring1_based on steps'!AP$1:AP$400,0)),AP$2,)</f>
        <v>0</v>
      </c>
      <c r="AQ326" s="155">
        <f ca="1">IF(ISNUMBER(MATCH(DATEVALUE($A326),'recurring1_based on steps'!AQ$1:AQ$400,0)),AQ$2,)</f>
        <v>0</v>
      </c>
      <c r="AR326" s="155">
        <f ca="1">IF(ISNUMBER(MATCH(DATEVALUE($A326),'recurring1_based on steps'!AR$1:AR$400,0)),AR$2,)</f>
        <v>0</v>
      </c>
      <c r="AS326" s="155">
        <f ca="1">IF(ISNUMBER(MATCH(DATEVALUE($A326),'recurring1_based on steps'!AS$1:AS$400,0)),AS$2,)</f>
        <v>0</v>
      </c>
      <c r="AT326" s="155">
        <f ca="1">IF(ISNUMBER(MATCH(DATEVALUE($A326),'recurring1_based on steps'!AT$1:AT$400,0)),AT$2,)</f>
        <v>0</v>
      </c>
      <c r="AU326" s="155">
        <f ca="1">IF(ISNUMBER(MATCH(DATEVALUE($A326),'recurring1_based on steps'!AU$1:AU$400,0)),AU$2,)</f>
        <v>0</v>
      </c>
      <c r="AV326" s="155">
        <f ca="1">IF(ISNUMBER(MATCH(DATEVALUE($A326),'recurring1_based on steps'!AV$1:AV$400,0)),AV$2,)</f>
        <v>0</v>
      </c>
      <c r="AW326" s="155">
        <f ca="1">IF(ISNUMBER(MATCH(DATEVALUE($A326),'recurring1_based on steps'!AW$1:AW$400,0)),AW$2,)</f>
        <v>0</v>
      </c>
      <c r="AX326" s="155">
        <f ca="1">IF(ISNUMBER(MATCH(DATEVALUE($A326),'recurring1_based on steps'!AX$1:AX$400,0)),AX$2,)</f>
        <v>0</v>
      </c>
      <c r="AY326" s="155">
        <f ca="1">IF(ISNUMBER(MATCH(DATEVALUE($A326),'recurring1_based on steps'!AY$1:AY$400,0)),AY$2,)</f>
        <v>0</v>
      </c>
    </row>
    <row r="327" spans="1:51" x14ac:dyDescent="0.2">
      <c r="A327" s="18" t="str">
        <f t="shared" ca="1" si="5"/>
        <v>2025-12-22</v>
      </c>
      <c r="B327" s="155">
        <f ca="1">IF(ISNUMBER(MATCH(DATEVALUE($A327),'recurring1_based on steps'!B$1:B$400,0)),B$2,)</f>
        <v>0</v>
      </c>
      <c r="C327" s="155">
        <f ca="1">IF(ISNUMBER(MATCH(DATEVALUE($A327),'recurring1_based on steps'!C$1:C$400,0)),C$2,)</f>
        <v>0</v>
      </c>
      <c r="D327" s="155">
        <f ca="1">IF(ISNUMBER(MATCH(DATEVALUE($A327),'recurring1_based on steps'!D$1:D$400,0)),D$2,)</f>
        <v>0</v>
      </c>
      <c r="E327" s="155">
        <f ca="1">IF(ISNUMBER(MATCH(DATEVALUE($A327),'recurring1_based on steps'!E$1:E$400,0)),E$2,)</f>
        <v>0</v>
      </c>
      <c r="F327" s="155">
        <f ca="1">IF(ISNUMBER(MATCH(DATEVALUE($A327),'recurring1_based on steps'!F$1:F$400,0)),F$2,)</f>
        <v>0</v>
      </c>
      <c r="G327" s="155">
        <f ca="1">IF(ISNUMBER(MATCH(DATEVALUE($A327),'recurring1_based on steps'!G$1:G$400,0)),G$2,)</f>
        <v>0</v>
      </c>
      <c r="H327" s="155">
        <f ca="1">IF(ISNUMBER(MATCH(DATEVALUE($A327),'recurring1_based on steps'!H$1:H$400,0)),H$2,)</f>
        <v>0</v>
      </c>
      <c r="I327" s="155">
        <f ca="1">IF(ISNUMBER(MATCH(DATEVALUE($A327),'recurring1_based on steps'!I$1:I$400,0)),I$2,)</f>
        <v>0</v>
      </c>
      <c r="J327" s="155">
        <f ca="1">IF(ISNUMBER(MATCH(DATEVALUE($A327),'recurring1_based on steps'!J$1:J$400,0)),J$2,)</f>
        <v>0</v>
      </c>
      <c r="K327" s="155">
        <f ca="1">IF(ISNUMBER(MATCH(DATEVALUE($A327),'recurring1_based on steps'!K$1:K$400,0)),K$2,)</f>
        <v>0</v>
      </c>
      <c r="L327" s="155">
        <f ca="1">IF(ISNUMBER(MATCH(DATEVALUE($A327),'recurring1_based on steps'!L$1:L$400,0)),L$2,)</f>
        <v>0</v>
      </c>
      <c r="M327" s="155">
        <f ca="1">IF(ISNUMBER(MATCH(DATEVALUE($A327),'recurring1_based on steps'!M$1:M$400,0)),M$2,)</f>
        <v>0</v>
      </c>
      <c r="N327" s="155">
        <f ca="1">IF(ISNUMBER(MATCH(DATEVALUE($A327),'recurring1_based on steps'!N$1:N$400,0)),N$2,)</f>
        <v>0</v>
      </c>
      <c r="O327" s="155">
        <f ca="1">IF(ISNUMBER(MATCH(DATEVALUE($A327),'recurring1_based on steps'!O$1:O$400,0)),O$2,)</f>
        <v>0</v>
      </c>
      <c r="P327" s="155">
        <f ca="1">IF(ISNUMBER(MATCH(DATEVALUE($A327),'recurring1_based on steps'!P$1:P$400,0)),P$2,)</f>
        <v>0</v>
      </c>
      <c r="Q327" s="155">
        <f ca="1">IF(ISNUMBER(MATCH(DATEVALUE($A327),'recurring1_based on steps'!Q$1:Q$400,0)),Q$2,)</f>
        <v>0</v>
      </c>
      <c r="R327" s="155">
        <f ca="1">IF(ISNUMBER(MATCH(DATEVALUE($A327),'recurring1_based on steps'!R$1:R$400,0)),R$2,)</f>
        <v>0</v>
      </c>
      <c r="S327" s="155">
        <f ca="1">IF(ISNUMBER(MATCH(DATEVALUE($A327),'recurring1_based on steps'!S$1:S$400,0)),S$2,)</f>
        <v>0</v>
      </c>
      <c r="T327" s="155">
        <f ca="1">IF(ISNUMBER(MATCH(DATEVALUE($A327),'recurring1_based on steps'!T$1:T$400,0)),T$2,)</f>
        <v>0</v>
      </c>
      <c r="U327" s="155">
        <f ca="1">IF(ISNUMBER(MATCH(DATEVALUE($A327),'recurring1_based on steps'!U$1:U$400,0)),U$2,)</f>
        <v>0</v>
      </c>
      <c r="V327" s="155">
        <f ca="1">IF(ISNUMBER(MATCH(DATEVALUE($A327),'recurring1_based on steps'!V$1:V$400,0)),V$2,)</f>
        <v>0</v>
      </c>
      <c r="W327" s="155">
        <f ca="1">IF(ISNUMBER(MATCH(DATEVALUE($A327),'recurring1_based on steps'!W$1:W$400,0)),W$2,)</f>
        <v>0</v>
      </c>
      <c r="X327" s="155">
        <f ca="1">IF(ISNUMBER(MATCH(DATEVALUE($A327),'recurring1_based on steps'!X$1:X$400,0)),X$2,)</f>
        <v>0</v>
      </c>
      <c r="Y327" s="155">
        <f ca="1">IF(ISNUMBER(MATCH(DATEVALUE($A327),'recurring1_based on steps'!Y$1:Y$400,0)),Y$2,)</f>
        <v>0</v>
      </c>
      <c r="Z327" s="155">
        <f ca="1">IF(ISNUMBER(MATCH(DATEVALUE($A327),'recurring1_based on steps'!Z$1:Z$400,0)),Z$2,)</f>
        <v>0</v>
      </c>
      <c r="AA327" s="155">
        <f ca="1">IF(ISNUMBER(MATCH(DATEVALUE($A327),'recurring1_based on steps'!AA$1:AA$400,0)),AA$2,)</f>
        <v>0</v>
      </c>
      <c r="AB327" s="155">
        <f ca="1">IF(ISNUMBER(MATCH(DATEVALUE($A327),'recurring1_based on steps'!AB$1:AB$400,0)),AB$2,)</f>
        <v>0</v>
      </c>
      <c r="AC327" s="155">
        <f ca="1">IF(ISNUMBER(MATCH(DATEVALUE($A327),'recurring1_based on steps'!AC$1:AC$400,0)),AC$2,)</f>
        <v>0</v>
      </c>
      <c r="AD327" s="155">
        <f ca="1">IF(ISNUMBER(MATCH(DATEVALUE($A327),'recurring1_based on steps'!AD$1:AD$400,0)),AD$2,)</f>
        <v>0</v>
      </c>
      <c r="AE327" s="155">
        <f ca="1">IF(ISNUMBER(MATCH(DATEVALUE($A327),'recurring1_based on steps'!AE$1:AE$400,0)),AE$2,)</f>
        <v>0</v>
      </c>
      <c r="AF327" s="155">
        <f ca="1">IF(ISNUMBER(MATCH(DATEVALUE($A327),'recurring1_based on steps'!AF$1:AF$400,0)),AF$2,)</f>
        <v>0</v>
      </c>
      <c r="AG327" s="155">
        <f ca="1">IF(ISNUMBER(MATCH(DATEVALUE($A327),'recurring1_based on steps'!AG$1:AG$400,0)),AG$2,)</f>
        <v>0</v>
      </c>
      <c r="AH327" s="155">
        <f ca="1">IF(ISNUMBER(MATCH(DATEVALUE($A327),'recurring1_based on steps'!AH$1:AH$400,0)),AH$2,)</f>
        <v>0</v>
      </c>
      <c r="AI327" s="155">
        <f ca="1">IF(ISNUMBER(MATCH(DATEVALUE($A327),'recurring1_based on steps'!AI$1:AI$400,0)),AI$2,)</f>
        <v>0</v>
      </c>
      <c r="AJ327" s="155">
        <f ca="1">IF(ISNUMBER(MATCH(DATEVALUE($A327),'recurring1_based on steps'!AJ$1:AJ$400,0)),AJ$2,)</f>
        <v>0</v>
      </c>
      <c r="AK327" s="155">
        <f ca="1">IF(ISNUMBER(MATCH(DATEVALUE($A327),'recurring1_based on steps'!AK$1:AK$400,0)),AK$2,)</f>
        <v>0</v>
      </c>
      <c r="AL327" s="155">
        <f ca="1">IF(ISNUMBER(MATCH(DATEVALUE($A327),'recurring1_based on steps'!AL$1:AL$400,0)),AL$2,)</f>
        <v>0</v>
      </c>
      <c r="AM327" s="155">
        <f ca="1">IF(ISNUMBER(MATCH(DATEVALUE($A327),'recurring1_based on steps'!AM$1:AM$400,0)),AM$2,)</f>
        <v>0</v>
      </c>
      <c r="AN327" s="155">
        <f ca="1">IF(ISNUMBER(MATCH(DATEVALUE($A327),'recurring1_based on steps'!AN$1:AN$400,0)),AN$2,)</f>
        <v>0</v>
      </c>
      <c r="AO327" s="155">
        <f ca="1">IF(ISNUMBER(MATCH(DATEVALUE($A327),'recurring1_based on steps'!AO$1:AO$400,0)),AO$2,)</f>
        <v>0</v>
      </c>
      <c r="AP327" s="155">
        <f ca="1">IF(ISNUMBER(MATCH(DATEVALUE($A327),'recurring1_based on steps'!AP$1:AP$400,0)),AP$2,)</f>
        <v>0</v>
      </c>
      <c r="AQ327" s="155">
        <f ca="1">IF(ISNUMBER(MATCH(DATEVALUE($A327),'recurring1_based on steps'!AQ$1:AQ$400,0)),AQ$2,)</f>
        <v>0</v>
      </c>
      <c r="AR327" s="155">
        <f ca="1">IF(ISNUMBER(MATCH(DATEVALUE($A327),'recurring1_based on steps'!AR$1:AR$400,0)),AR$2,)</f>
        <v>0</v>
      </c>
      <c r="AS327" s="155">
        <f ca="1">IF(ISNUMBER(MATCH(DATEVALUE($A327),'recurring1_based on steps'!AS$1:AS$400,0)),AS$2,)</f>
        <v>0</v>
      </c>
      <c r="AT327" s="155">
        <f ca="1">IF(ISNUMBER(MATCH(DATEVALUE($A327),'recurring1_based on steps'!AT$1:AT$400,0)),AT$2,)</f>
        <v>0</v>
      </c>
      <c r="AU327" s="155">
        <f ca="1">IF(ISNUMBER(MATCH(DATEVALUE($A327),'recurring1_based on steps'!AU$1:AU$400,0)),AU$2,)</f>
        <v>0</v>
      </c>
      <c r="AV327" s="155">
        <f ca="1">IF(ISNUMBER(MATCH(DATEVALUE($A327),'recurring1_based on steps'!AV$1:AV$400,0)),AV$2,)</f>
        <v>0</v>
      </c>
      <c r="AW327" s="155">
        <f ca="1">IF(ISNUMBER(MATCH(DATEVALUE($A327),'recurring1_based on steps'!AW$1:AW$400,0)),AW$2,)</f>
        <v>0</v>
      </c>
      <c r="AX327" s="155">
        <f ca="1">IF(ISNUMBER(MATCH(DATEVALUE($A327),'recurring1_based on steps'!AX$1:AX$400,0)),AX$2,)</f>
        <v>0</v>
      </c>
      <c r="AY327" s="155">
        <f ca="1">IF(ISNUMBER(MATCH(DATEVALUE($A327),'recurring1_based on steps'!AY$1:AY$400,0)),AY$2,)</f>
        <v>0</v>
      </c>
    </row>
    <row r="328" spans="1:51" x14ac:dyDescent="0.2">
      <c r="A328" s="18" t="str">
        <f t="shared" ca="1" si="5"/>
        <v>2025-12-23</v>
      </c>
      <c r="B328" s="155">
        <f ca="1">IF(ISNUMBER(MATCH(DATEVALUE($A328),'recurring1_based on steps'!B$1:B$400,0)),B$2,)</f>
        <v>0</v>
      </c>
      <c r="C328" s="155">
        <f ca="1">IF(ISNUMBER(MATCH(DATEVALUE($A328),'recurring1_based on steps'!C$1:C$400,0)),C$2,)</f>
        <v>0</v>
      </c>
      <c r="D328" s="155">
        <f ca="1">IF(ISNUMBER(MATCH(DATEVALUE($A328),'recurring1_based on steps'!D$1:D$400,0)),D$2,)</f>
        <v>0</v>
      </c>
      <c r="E328" s="155">
        <f ca="1">IF(ISNUMBER(MATCH(DATEVALUE($A328),'recurring1_based on steps'!E$1:E$400,0)),E$2,)</f>
        <v>0</v>
      </c>
      <c r="F328" s="155">
        <f ca="1">IF(ISNUMBER(MATCH(DATEVALUE($A328),'recurring1_based on steps'!F$1:F$400,0)),F$2,)</f>
        <v>0</v>
      </c>
      <c r="G328" s="155">
        <f ca="1">IF(ISNUMBER(MATCH(DATEVALUE($A328),'recurring1_based on steps'!G$1:G$400,0)),G$2,)</f>
        <v>0</v>
      </c>
      <c r="H328" s="155">
        <f ca="1">IF(ISNUMBER(MATCH(DATEVALUE($A328),'recurring1_based on steps'!H$1:H$400,0)),H$2,)</f>
        <v>0</v>
      </c>
      <c r="I328" s="155">
        <f ca="1">IF(ISNUMBER(MATCH(DATEVALUE($A328),'recurring1_based on steps'!I$1:I$400,0)),I$2,)</f>
        <v>0</v>
      </c>
      <c r="J328" s="155">
        <f ca="1">IF(ISNUMBER(MATCH(DATEVALUE($A328),'recurring1_based on steps'!J$1:J$400,0)),J$2,)</f>
        <v>0</v>
      </c>
      <c r="K328" s="155">
        <f ca="1">IF(ISNUMBER(MATCH(DATEVALUE($A328),'recurring1_based on steps'!K$1:K$400,0)),K$2,)</f>
        <v>0</v>
      </c>
      <c r="L328" s="155">
        <f ca="1">IF(ISNUMBER(MATCH(DATEVALUE($A328),'recurring1_based on steps'!L$1:L$400,0)),L$2,)</f>
        <v>0</v>
      </c>
      <c r="M328" s="155">
        <f ca="1">IF(ISNUMBER(MATCH(DATEVALUE($A328),'recurring1_based on steps'!M$1:M$400,0)),M$2,)</f>
        <v>0</v>
      </c>
      <c r="N328" s="155">
        <f ca="1">IF(ISNUMBER(MATCH(DATEVALUE($A328),'recurring1_based on steps'!N$1:N$400,0)),N$2,)</f>
        <v>0</v>
      </c>
      <c r="O328" s="155">
        <f ca="1">IF(ISNUMBER(MATCH(DATEVALUE($A328),'recurring1_based on steps'!O$1:O$400,0)),O$2,)</f>
        <v>0</v>
      </c>
      <c r="P328" s="155">
        <f ca="1">IF(ISNUMBER(MATCH(DATEVALUE($A328),'recurring1_based on steps'!P$1:P$400,0)),P$2,)</f>
        <v>0</v>
      </c>
      <c r="Q328" s="155">
        <f ca="1">IF(ISNUMBER(MATCH(DATEVALUE($A328),'recurring1_based on steps'!Q$1:Q$400,0)),Q$2,)</f>
        <v>0</v>
      </c>
      <c r="R328" s="155">
        <f ca="1">IF(ISNUMBER(MATCH(DATEVALUE($A328),'recurring1_based on steps'!R$1:R$400,0)),R$2,)</f>
        <v>0</v>
      </c>
      <c r="S328" s="155">
        <f ca="1">IF(ISNUMBER(MATCH(DATEVALUE($A328),'recurring1_based on steps'!S$1:S$400,0)),S$2,)</f>
        <v>0</v>
      </c>
      <c r="T328" s="155">
        <f ca="1">IF(ISNUMBER(MATCH(DATEVALUE($A328),'recurring1_based on steps'!T$1:T$400,0)),T$2,)</f>
        <v>0</v>
      </c>
      <c r="U328" s="155">
        <f ca="1">IF(ISNUMBER(MATCH(DATEVALUE($A328),'recurring1_based on steps'!U$1:U$400,0)),U$2,)</f>
        <v>0</v>
      </c>
      <c r="V328" s="155">
        <f ca="1">IF(ISNUMBER(MATCH(DATEVALUE($A328),'recurring1_based on steps'!V$1:V$400,0)),V$2,)</f>
        <v>0</v>
      </c>
      <c r="W328" s="155">
        <f ca="1">IF(ISNUMBER(MATCH(DATEVALUE($A328),'recurring1_based on steps'!W$1:W$400,0)),W$2,)</f>
        <v>0</v>
      </c>
      <c r="X328" s="155">
        <f ca="1">IF(ISNUMBER(MATCH(DATEVALUE($A328),'recurring1_based on steps'!X$1:X$400,0)),X$2,)</f>
        <v>0</v>
      </c>
      <c r="Y328" s="155">
        <f ca="1">IF(ISNUMBER(MATCH(DATEVALUE($A328),'recurring1_based on steps'!Y$1:Y$400,0)),Y$2,)</f>
        <v>0</v>
      </c>
      <c r="Z328" s="155">
        <f ca="1">IF(ISNUMBER(MATCH(DATEVALUE($A328),'recurring1_based on steps'!Z$1:Z$400,0)),Z$2,)</f>
        <v>0</v>
      </c>
      <c r="AA328" s="155">
        <f ca="1">IF(ISNUMBER(MATCH(DATEVALUE($A328),'recurring1_based on steps'!AA$1:AA$400,0)),AA$2,)</f>
        <v>0</v>
      </c>
      <c r="AB328" s="155">
        <f ca="1">IF(ISNUMBER(MATCH(DATEVALUE($A328),'recurring1_based on steps'!AB$1:AB$400,0)),AB$2,)</f>
        <v>0</v>
      </c>
      <c r="AC328" s="155">
        <f ca="1">IF(ISNUMBER(MATCH(DATEVALUE($A328),'recurring1_based on steps'!AC$1:AC$400,0)),AC$2,)</f>
        <v>0</v>
      </c>
      <c r="AD328" s="155">
        <f ca="1">IF(ISNUMBER(MATCH(DATEVALUE($A328),'recurring1_based on steps'!AD$1:AD$400,0)),AD$2,)</f>
        <v>0</v>
      </c>
      <c r="AE328" s="155">
        <f ca="1">IF(ISNUMBER(MATCH(DATEVALUE($A328),'recurring1_based on steps'!AE$1:AE$400,0)),AE$2,)</f>
        <v>0</v>
      </c>
      <c r="AF328" s="155">
        <f ca="1">IF(ISNUMBER(MATCH(DATEVALUE($A328),'recurring1_based on steps'!AF$1:AF$400,0)),AF$2,)</f>
        <v>0</v>
      </c>
      <c r="AG328" s="155">
        <f ca="1">IF(ISNUMBER(MATCH(DATEVALUE($A328),'recurring1_based on steps'!AG$1:AG$400,0)),AG$2,)</f>
        <v>0</v>
      </c>
      <c r="AH328" s="155">
        <f ca="1">IF(ISNUMBER(MATCH(DATEVALUE($A328),'recurring1_based on steps'!AH$1:AH$400,0)),AH$2,)</f>
        <v>0</v>
      </c>
      <c r="AI328" s="155">
        <f ca="1">IF(ISNUMBER(MATCH(DATEVALUE($A328),'recurring1_based on steps'!AI$1:AI$400,0)),AI$2,)</f>
        <v>0</v>
      </c>
      <c r="AJ328" s="155">
        <f ca="1">IF(ISNUMBER(MATCH(DATEVALUE($A328),'recurring1_based on steps'!AJ$1:AJ$400,0)),AJ$2,)</f>
        <v>0</v>
      </c>
      <c r="AK328" s="155">
        <f ca="1">IF(ISNUMBER(MATCH(DATEVALUE($A328),'recurring1_based on steps'!AK$1:AK$400,0)),AK$2,)</f>
        <v>0</v>
      </c>
      <c r="AL328" s="155">
        <f ca="1">IF(ISNUMBER(MATCH(DATEVALUE($A328),'recurring1_based on steps'!AL$1:AL$400,0)),AL$2,)</f>
        <v>0</v>
      </c>
      <c r="AM328" s="155">
        <f ca="1">IF(ISNUMBER(MATCH(DATEVALUE($A328),'recurring1_based on steps'!AM$1:AM$400,0)),AM$2,)</f>
        <v>0</v>
      </c>
      <c r="AN328" s="155">
        <f ca="1">IF(ISNUMBER(MATCH(DATEVALUE($A328),'recurring1_based on steps'!AN$1:AN$400,0)),AN$2,)</f>
        <v>0</v>
      </c>
      <c r="AO328" s="155">
        <f ca="1">IF(ISNUMBER(MATCH(DATEVALUE($A328),'recurring1_based on steps'!AO$1:AO$400,0)),AO$2,)</f>
        <v>0</v>
      </c>
      <c r="AP328" s="155">
        <f ca="1">IF(ISNUMBER(MATCH(DATEVALUE($A328),'recurring1_based on steps'!AP$1:AP$400,0)),AP$2,)</f>
        <v>0</v>
      </c>
      <c r="AQ328" s="155">
        <f ca="1">IF(ISNUMBER(MATCH(DATEVALUE($A328),'recurring1_based on steps'!AQ$1:AQ$400,0)),AQ$2,)</f>
        <v>0</v>
      </c>
      <c r="AR328" s="155">
        <f ca="1">IF(ISNUMBER(MATCH(DATEVALUE($A328),'recurring1_based on steps'!AR$1:AR$400,0)),AR$2,)</f>
        <v>0</v>
      </c>
      <c r="AS328" s="155">
        <f ca="1">IF(ISNUMBER(MATCH(DATEVALUE($A328),'recurring1_based on steps'!AS$1:AS$400,0)),AS$2,)</f>
        <v>0</v>
      </c>
      <c r="AT328" s="155">
        <f ca="1">IF(ISNUMBER(MATCH(DATEVALUE($A328),'recurring1_based on steps'!AT$1:AT$400,0)),AT$2,)</f>
        <v>0</v>
      </c>
      <c r="AU328" s="155">
        <f ca="1">IF(ISNUMBER(MATCH(DATEVALUE($A328),'recurring1_based on steps'!AU$1:AU$400,0)),AU$2,)</f>
        <v>0</v>
      </c>
      <c r="AV328" s="155">
        <f ca="1">IF(ISNUMBER(MATCH(DATEVALUE($A328),'recurring1_based on steps'!AV$1:AV$400,0)),AV$2,)</f>
        <v>0</v>
      </c>
      <c r="AW328" s="155">
        <f ca="1">IF(ISNUMBER(MATCH(DATEVALUE($A328),'recurring1_based on steps'!AW$1:AW$400,0)),AW$2,)</f>
        <v>0</v>
      </c>
      <c r="AX328" s="155">
        <f ca="1">IF(ISNUMBER(MATCH(DATEVALUE($A328),'recurring1_based on steps'!AX$1:AX$400,0)),AX$2,)</f>
        <v>0</v>
      </c>
      <c r="AY328" s="155">
        <f ca="1">IF(ISNUMBER(MATCH(DATEVALUE($A328),'recurring1_based on steps'!AY$1:AY$400,0)),AY$2,)</f>
        <v>0</v>
      </c>
    </row>
    <row r="329" spans="1:51" x14ac:dyDescent="0.2">
      <c r="A329" s="18" t="str">
        <f t="shared" ca="1" si="5"/>
        <v>2025-12-24</v>
      </c>
      <c r="B329" s="155">
        <f ca="1">IF(ISNUMBER(MATCH(DATEVALUE($A329),'recurring1_based on steps'!B$1:B$400,0)),B$2,)</f>
        <v>0</v>
      </c>
      <c r="C329" s="155">
        <f ca="1">IF(ISNUMBER(MATCH(DATEVALUE($A329),'recurring1_based on steps'!C$1:C$400,0)),C$2,)</f>
        <v>0</v>
      </c>
      <c r="D329" s="155">
        <f ca="1">IF(ISNUMBER(MATCH(DATEVALUE($A329),'recurring1_based on steps'!D$1:D$400,0)),D$2,)</f>
        <v>0</v>
      </c>
      <c r="E329" s="155">
        <f ca="1">IF(ISNUMBER(MATCH(DATEVALUE($A329),'recurring1_based on steps'!E$1:E$400,0)),E$2,)</f>
        <v>0</v>
      </c>
      <c r="F329" s="155">
        <f ca="1">IF(ISNUMBER(MATCH(DATEVALUE($A329),'recurring1_based on steps'!F$1:F$400,0)),F$2,)</f>
        <v>0</v>
      </c>
      <c r="G329" s="155">
        <f ca="1">IF(ISNUMBER(MATCH(DATEVALUE($A329),'recurring1_based on steps'!G$1:G$400,0)),G$2,)</f>
        <v>0</v>
      </c>
      <c r="H329" s="155">
        <f ca="1">IF(ISNUMBER(MATCH(DATEVALUE($A329),'recurring1_based on steps'!H$1:H$400,0)),H$2,)</f>
        <v>0</v>
      </c>
      <c r="I329" s="155">
        <f ca="1">IF(ISNUMBER(MATCH(DATEVALUE($A329),'recurring1_based on steps'!I$1:I$400,0)),I$2,)</f>
        <v>0</v>
      </c>
      <c r="J329" s="155">
        <f ca="1">IF(ISNUMBER(MATCH(DATEVALUE($A329),'recurring1_based on steps'!J$1:J$400,0)),J$2,)</f>
        <v>0</v>
      </c>
      <c r="K329" s="155">
        <f ca="1">IF(ISNUMBER(MATCH(DATEVALUE($A329),'recurring1_based on steps'!K$1:K$400,0)),K$2,)</f>
        <v>0</v>
      </c>
      <c r="L329" s="155">
        <f ca="1">IF(ISNUMBER(MATCH(DATEVALUE($A329),'recurring1_based on steps'!L$1:L$400,0)),L$2,)</f>
        <v>0</v>
      </c>
      <c r="M329" s="155">
        <f ca="1">IF(ISNUMBER(MATCH(DATEVALUE($A329),'recurring1_based on steps'!M$1:M$400,0)),M$2,)</f>
        <v>0</v>
      </c>
      <c r="N329" s="155">
        <f ca="1">IF(ISNUMBER(MATCH(DATEVALUE($A329),'recurring1_based on steps'!N$1:N$400,0)),N$2,)</f>
        <v>0</v>
      </c>
      <c r="O329" s="155">
        <f ca="1">IF(ISNUMBER(MATCH(DATEVALUE($A329),'recurring1_based on steps'!O$1:O$400,0)),O$2,)</f>
        <v>0</v>
      </c>
      <c r="P329" s="155">
        <f ca="1">IF(ISNUMBER(MATCH(DATEVALUE($A329),'recurring1_based on steps'!P$1:P$400,0)),P$2,)</f>
        <v>0</v>
      </c>
      <c r="Q329" s="155">
        <f ca="1">IF(ISNUMBER(MATCH(DATEVALUE($A329),'recurring1_based on steps'!Q$1:Q$400,0)),Q$2,)</f>
        <v>0</v>
      </c>
      <c r="R329" s="155">
        <f ca="1">IF(ISNUMBER(MATCH(DATEVALUE($A329),'recurring1_based on steps'!R$1:R$400,0)),R$2,)</f>
        <v>0</v>
      </c>
      <c r="S329" s="155">
        <f ca="1">IF(ISNUMBER(MATCH(DATEVALUE($A329),'recurring1_based on steps'!S$1:S$400,0)),S$2,)</f>
        <v>0</v>
      </c>
      <c r="T329" s="155">
        <f ca="1">IF(ISNUMBER(MATCH(DATEVALUE($A329),'recurring1_based on steps'!T$1:T$400,0)),T$2,)</f>
        <v>0</v>
      </c>
      <c r="U329" s="155">
        <f ca="1">IF(ISNUMBER(MATCH(DATEVALUE($A329),'recurring1_based on steps'!U$1:U$400,0)),U$2,)</f>
        <v>50</v>
      </c>
      <c r="V329" s="155">
        <f ca="1">IF(ISNUMBER(MATCH(DATEVALUE($A329),'recurring1_based on steps'!V$1:V$400,0)),V$2,)</f>
        <v>0</v>
      </c>
      <c r="W329" s="155">
        <f ca="1">IF(ISNUMBER(MATCH(DATEVALUE($A329),'recurring1_based on steps'!W$1:W$400,0)),W$2,)</f>
        <v>0</v>
      </c>
      <c r="X329" s="155">
        <f ca="1">IF(ISNUMBER(MATCH(DATEVALUE($A329),'recurring1_based on steps'!X$1:X$400,0)),X$2,)</f>
        <v>0</v>
      </c>
      <c r="Y329" s="155">
        <f ca="1">IF(ISNUMBER(MATCH(DATEVALUE($A329),'recurring1_based on steps'!Y$1:Y$400,0)),Y$2,)</f>
        <v>0</v>
      </c>
      <c r="Z329" s="155">
        <f ca="1">IF(ISNUMBER(MATCH(DATEVALUE($A329),'recurring1_based on steps'!Z$1:Z$400,0)),Z$2,)</f>
        <v>0</v>
      </c>
      <c r="AA329" s="155">
        <f ca="1">IF(ISNUMBER(MATCH(DATEVALUE($A329),'recurring1_based on steps'!AA$1:AA$400,0)),AA$2,)</f>
        <v>0</v>
      </c>
      <c r="AB329" s="155">
        <f ca="1">IF(ISNUMBER(MATCH(DATEVALUE($A329),'recurring1_based on steps'!AB$1:AB$400,0)),AB$2,)</f>
        <v>0</v>
      </c>
      <c r="AC329" s="155">
        <f ca="1">IF(ISNUMBER(MATCH(DATEVALUE($A329),'recurring1_based on steps'!AC$1:AC$400,0)),AC$2,)</f>
        <v>0</v>
      </c>
      <c r="AD329" s="155">
        <f ca="1">IF(ISNUMBER(MATCH(DATEVALUE($A329),'recurring1_based on steps'!AD$1:AD$400,0)),AD$2,)</f>
        <v>0</v>
      </c>
      <c r="AE329" s="155">
        <f ca="1">IF(ISNUMBER(MATCH(DATEVALUE($A329),'recurring1_based on steps'!AE$1:AE$400,0)),AE$2,)</f>
        <v>0</v>
      </c>
      <c r="AF329" s="155">
        <f ca="1">IF(ISNUMBER(MATCH(DATEVALUE($A329),'recurring1_based on steps'!AF$1:AF$400,0)),AF$2,)</f>
        <v>0</v>
      </c>
      <c r="AG329" s="155">
        <f ca="1">IF(ISNUMBER(MATCH(DATEVALUE($A329),'recurring1_based on steps'!AG$1:AG$400,0)),AG$2,)</f>
        <v>0</v>
      </c>
      <c r="AH329" s="155">
        <f ca="1">IF(ISNUMBER(MATCH(DATEVALUE($A329),'recurring1_based on steps'!AH$1:AH$400,0)),AH$2,)</f>
        <v>0</v>
      </c>
      <c r="AI329" s="155">
        <f ca="1">IF(ISNUMBER(MATCH(DATEVALUE($A329),'recurring1_based on steps'!AI$1:AI$400,0)),AI$2,)</f>
        <v>0</v>
      </c>
      <c r="AJ329" s="155">
        <f ca="1">IF(ISNUMBER(MATCH(DATEVALUE($A329),'recurring1_based on steps'!AJ$1:AJ$400,0)),AJ$2,)</f>
        <v>0</v>
      </c>
      <c r="AK329" s="155">
        <f ca="1">IF(ISNUMBER(MATCH(DATEVALUE($A329),'recurring1_based on steps'!AK$1:AK$400,0)),AK$2,)</f>
        <v>0</v>
      </c>
      <c r="AL329" s="155">
        <f ca="1">IF(ISNUMBER(MATCH(DATEVALUE($A329),'recurring1_based on steps'!AL$1:AL$400,0)),AL$2,)</f>
        <v>0</v>
      </c>
      <c r="AM329" s="155">
        <f ca="1">IF(ISNUMBER(MATCH(DATEVALUE($A329),'recurring1_based on steps'!AM$1:AM$400,0)),AM$2,)</f>
        <v>0</v>
      </c>
      <c r="AN329" s="155">
        <f ca="1">IF(ISNUMBER(MATCH(DATEVALUE($A329),'recurring1_based on steps'!AN$1:AN$400,0)),AN$2,)</f>
        <v>0</v>
      </c>
      <c r="AO329" s="155">
        <f ca="1">IF(ISNUMBER(MATCH(DATEVALUE($A329),'recurring1_based on steps'!AO$1:AO$400,0)),AO$2,)</f>
        <v>0</v>
      </c>
      <c r="AP329" s="155">
        <f ca="1">IF(ISNUMBER(MATCH(DATEVALUE($A329),'recurring1_based on steps'!AP$1:AP$400,0)),AP$2,)</f>
        <v>0</v>
      </c>
      <c r="AQ329" s="155">
        <f ca="1">IF(ISNUMBER(MATCH(DATEVALUE($A329),'recurring1_based on steps'!AQ$1:AQ$400,0)),AQ$2,)</f>
        <v>0</v>
      </c>
      <c r="AR329" s="155">
        <f ca="1">IF(ISNUMBER(MATCH(DATEVALUE($A329),'recurring1_based on steps'!AR$1:AR$400,0)),AR$2,)</f>
        <v>0</v>
      </c>
      <c r="AS329" s="155">
        <f ca="1">IF(ISNUMBER(MATCH(DATEVALUE($A329),'recurring1_based on steps'!AS$1:AS$400,0)),AS$2,)</f>
        <v>0</v>
      </c>
      <c r="AT329" s="155">
        <f ca="1">IF(ISNUMBER(MATCH(DATEVALUE($A329),'recurring1_based on steps'!AT$1:AT$400,0)),AT$2,)</f>
        <v>0</v>
      </c>
      <c r="AU329" s="155">
        <f ca="1">IF(ISNUMBER(MATCH(DATEVALUE($A329),'recurring1_based on steps'!AU$1:AU$400,0)),AU$2,)</f>
        <v>0</v>
      </c>
      <c r="AV329" s="155">
        <f ca="1">IF(ISNUMBER(MATCH(DATEVALUE($A329),'recurring1_based on steps'!AV$1:AV$400,0)),AV$2,)</f>
        <v>0</v>
      </c>
      <c r="AW329" s="155">
        <f ca="1">IF(ISNUMBER(MATCH(DATEVALUE($A329),'recurring1_based on steps'!AW$1:AW$400,0)),AW$2,)</f>
        <v>0</v>
      </c>
      <c r="AX329" s="155">
        <f ca="1">IF(ISNUMBER(MATCH(DATEVALUE($A329),'recurring1_based on steps'!AX$1:AX$400,0)),AX$2,)</f>
        <v>0</v>
      </c>
      <c r="AY329" s="155">
        <f ca="1">IF(ISNUMBER(MATCH(DATEVALUE($A329),'recurring1_based on steps'!AY$1:AY$400,0)),AY$2,)</f>
        <v>0</v>
      </c>
    </row>
    <row r="330" spans="1:51" x14ac:dyDescent="0.2">
      <c r="A330" s="18" t="str">
        <f t="shared" ca="1" si="5"/>
        <v>2025-12-25</v>
      </c>
      <c r="B330" s="155">
        <f ca="1">IF(ISNUMBER(MATCH(DATEVALUE($A330),'recurring1_based on steps'!B$1:B$400,0)),B$2,)</f>
        <v>0</v>
      </c>
      <c r="C330" s="155">
        <f ca="1">IF(ISNUMBER(MATCH(DATEVALUE($A330),'recurring1_based on steps'!C$1:C$400,0)),C$2,)</f>
        <v>0</v>
      </c>
      <c r="D330" s="155">
        <f ca="1">IF(ISNUMBER(MATCH(DATEVALUE($A330),'recurring1_based on steps'!D$1:D$400,0)),D$2,)</f>
        <v>0</v>
      </c>
      <c r="E330" s="155">
        <f ca="1">IF(ISNUMBER(MATCH(DATEVALUE($A330),'recurring1_based on steps'!E$1:E$400,0)),E$2,)</f>
        <v>0</v>
      </c>
      <c r="F330" s="155">
        <f ca="1">IF(ISNUMBER(MATCH(DATEVALUE($A330),'recurring1_based on steps'!F$1:F$400,0)),F$2,)</f>
        <v>0</v>
      </c>
      <c r="G330" s="155">
        <f ca="1">IF(ISNUMBER(MATCH(DATEVALUE($A330),'recurring1_based on steps'!G$1:G$400,0)),G$2,)</f>
        <v>0</v>
      </c>
      <c r="H330" s="155">
        <f ca="1">IF(ISNUMBER(MATCH(DATEVALUE($A330),'recurring1_based on steps'!H$1:H$400,0)),H$2,)</f>
        <v>0</v>
      </c>
      <c r="I330" s="155">
        <f ca="1">IF(ISNUMBER(MATCH(DATEVALUE($A330),'recurring1_based on steps'!I$1:I$400,0)),I$2,)</f>
        <v>0</v>
      </c>
      <c r="J330" s="155">
        <f ca="1">IF(ISNUMBER(MATCH(DATEVALUE($A330),'recurring1_based on steps'!J$1:J$400,0)),J$2,)</f>
        <v>0</v>
      </c>
      <c r="K330" s="155">
        <f ca="1">IF(ISNUMBER(MATCH(DATEVALUE($A330),'recurring1_based on steps'!K$1:K$400,0)),K$2,)</f>
        <v>0</v>
      </c>
      <c r="L330" s="155">
        <f ca="1">IF(ISNUMBER(MATCH(DATEVALUE($A330),'recurring1_based on steps'!L$1:L$400,0)),L$2,)</f>
        <v>0</v>
      </c>
      <c r="M330" s="155">
        <f ca="1">IF(ISNUMBER(MATCH(DATEVALUE($A330),'recurring1_based on steps'!M$1:M$400,0)),M$2,)</f>
        <v>0</v>
      </c>
      <c r="N330" s="155">
        <f ca="1">IF(ISNUMBER(MATCH(DATEVALUE($A330),'recurring1_based on steps'!N$1:N$400,0)),N$2,)</f>
        <v>0</v>
      </c>
      <c r="O330" s="155">
        <f ca="1">IF(ISNUMBER(MATCH(DATEVALUE($A330),'recurring1_based on steps'!O$1:O$400,0)),O$2,)</f>
        <v>0</v>
      </c>
      <c r="P330" s="155">
        <f ca="1">IF(ISNUMBER(MATCH(DATEVALUE($A330),'recurring1_based on steps'!P$1:P$400,0)),P$2,)</f>
        <v>0</v>
      </c>
      <c r="Q330" s="155">
        <f ca="1">IF(ISNUMBER(MATCH(DATEVALUE($A330),'recurring1_based on steps'!Q$1:Q$400,0)),Q$2,)</f>
        <v>0</v>
      </c>
      <c r="R330" s="155">
        <f ca="1">IF(ISNUMBER(MATCH(DATEVALUE($A330),'recurring1_based on steps'!R$1:R$400,0)),R$2,)</f>
        <v>0</v>
      </c>
      <c r="S330" s="155">
        <f ca="1">IF(ISNUMBER(MATCH(DATEVALUE($A330),'recurring1_based on steps'!S$1:S$400,0)),S$2,)</f>
        <v>0</v>
      </c>
      <c r="T330" s="155">
        <f ca="1">IF(ISNUMBER(MATCH(DATEVALUE($A330),'recurring1_based on steps'!T$1:T$400,0)),T$2,)</f>
        <v>0</v>
      </c>
      <c r="U330" s="155">
        <f ca="1">IF(ISNUMBER(MATCH(DATEVALUE($A330),'recurring1_based on steps'!U$1:U$400,0)),U$2,)</f>
        <v>0</v>
      </c>
      <c r="V330" s="155">
        <f ca="1">IF(ISNUMBER(MATCH(DATEVALUE($A330),'recurring1_based on steps'!V$1:V$400,0)),V$2,)</f>
        <v>0</v>
      </c>
      <c r="W330" s="155">
        <f ca="1">IF(ISNUMBER(MATCH(DATEVALUE($A330),'recurring1_based on steps'!W$1:W$400,0)),W$2,)</f>
        <v>0</v>
      </c>
      <c r="X330" s="155">
        <f ca="1">IF(ISNUMBER(MATCH(DATEVALUE($A330),'recurring1_based on steps'!X$1:X$400,0)),X$2,)</f>
        <v>0</v>
      </c>
      <c r="Y330" s="155">
        <f ca="1">IF(ISNUMBER(MATCH(DATEVALUE($A330),'recurring1_based on steps'!Y$1:Y$400,0)),Y$2,)</f>
        <v>0</v>
      </c>
      <c r="Z330" s="155">
        <f ca="1">IF(ISNUMBER(MATCH(DATEVALUE($A330),'recurring1_based on steps'!Z$1:Z$400,0)),Z$2,)</f>
        <v>0</v>
      </c>
      <c r="AA330" s="155">
        <f ca="1">IF(ISNUMBER(MATCH(DATEVALUE($A330),'recurring1_based on steps'!AA$1:AA$400,0)),AA$2,)</f>
        <v>0</v>
      </c>
      <c r="AB330" s="155">
        <f ca="1">IF(ISNUMBER(MATCH(DATEVALUE($A330),'recurring1_based on steps'!AB$1:AB$400,0)),AB$2,)</f>
        <v>0</v>
      </c>
      <c r="AC330" s="155">
        <f ca="1">IF(ISNUMBER(MATCH(DATEVALUE($A330),'recurring1_based on steps'!AC$1:AC$400,0)),AC$2,)</f>
        <v>0</v>
      </c>
      <c r="AD330" s="155">
        <f ca="1">IF(ISNUMBER(MATCH(DATEVALUE($A330),'recurring1_based on steps'!AD$1:AD$400,0)),AD$2,)</f>
        <v>0</v>
      </c>
      <c r="AE330" s="155">
        <f ca="1">IF(ISNUMBER(MATCH(DATEVALUE($A330),'recurring1_based on steps'!AE$1:AE$400,0)),AE$2,)</f>
        <v>0</v>
      </c>
      <c r="AF330" s="155">
        <f ca="1">IF(ISNUMBER(MATCH(DATEVALUE($A330),'recurring1_based on steps'!AF$1:AF$400,0)),AF$2,)</f>
        <v>0</v>
      </c>
      <c r="AG330" s="155">
        <f ca="1">IF(ISNUMBER(MATCH(DATEVALUE($A330),'recurring1_based on steps'!AG$1:AG$400,0)),AG$2,)</f>
        <v>0</v>
      </c>
      <c r="AH330" s="155">
        <f ca="1">IF(ISNUMBER(MATCH(DATEVALUE($A330),'recurring1_based on steps'!AH$1:AH$400,0)),AH$2,)</f>
        <v>0</v>
      </c>
      <c r="AI330" s="155">
        <f ca="1">IF(ISNUMBER(MATCH(DATEVALUE($A330),'recurring1_based on steps'!AI$1:AI$400,0)),AI$2,)</f>
        <v>0</v>
      </c>
      <c r="AJ330" s="155">
        <f ca="1">IF(ISNUMBER(MATCH(DATEVALUE($A330),'recurring1_based on steps'!AJ$1:AJ$400,0)),AJ$2,)</f>
        <v>0</v>
      </c>
      <c r="AK330" s="155">
        <f ca="1">IF(ISNUMBER(MATCH(DATEVALUE($A330),'recurring1_based on steps'!AK$1:AK$400,0)),AK$2,)</f>
        <v>0</v>
      </c>
      <c r="AL330" s="155">
        <f ca="1">IF(ISNUMBER(MATCH(DATEVALUE($A330),'recurring1_based on steps'!AL$1:AL$400,0)),AL$2,)</f>
        <v>0</v>
      </c>
      <c r="AM330" s="155">
        <f ca="1">IF(ISNUMBER(MATCH(DATEVALUE($A330),'recurring1_based on steps'!AM$1:AM$400,0)),AM$2,)</f>
        <v>0</v>
      </c>
      <c r="AN330" s="155">
        <f ca="1">IF(ISNUMBER(MATCH(DATEVALUE($A330),'recurring1_based on steps'!AN$1:AN$400,0)),AN$2,)</f>
        <v>0</v>
      </c>
      <c r="AO330" s="155">
        <f ca="1">IF(ISNUMBER(MATCH(DATEVALUE($A330),'recurring1_based on steps'!AO$1:AO$400,0)),AO$2,)</f>
        <v>0</v>
      </c>
      <c r="AP330" s="155">
        <f ca="1">IF(ISNUMBER(MATCH(DATEVALUE($A330),'recurring1_based on steps'!AP$1:AP$400,0)),AP$2,)</f>
        <v>0</v>
      </c>
      <c r="AQ330" s="155">
        <f ca="1">IF(ISNUMBER(MATCH(DATEVALUE($A330),'recurring1_based on steps'!AQ$1:AQ$400,0)),AQ$2,)</f>
        <v>0</v>
      </c>
      <c r="AR330" s="155">
        <f ca="1">IF(ISNUMBER(MATCH(DATEVALUE($A330),'recurring1_based on steps'!AR$1:AR$400,0)),AR$2,)</f>
        <v>0</v>
      </c>
      <c r="AS330" s="155">
        <f ca="1">IF(ISNUMBER(MATCH(DATEVALUE($A330),'recurring1_based on steps'!AS$1:AS$400,0)),AS$2,)</f>
        <v>0</v>
      </c>
      <c r="AT330" s="155">
        <f ca="1">IF(ISNUMBER(MATCH(DATEVALUE($A330),'recurring1_based on steps'!AT$1:AT$400,0)),AT$2,)</f>
        <v>0</v>
      </c>
      <c r="AU330" s="155">
        <f ca="1">IF(ISNUMBER(MATCH(DATEVALUE($A330),'recurring1_based on steps'!AU$1:AU$400,0)),AU$2,)</f>
        <v>0</v>
      </c>
      <c r="AV330" s="155">
        <f ca="1">IF(ISNUMBER(MATCH(DATEVALUE($A330),'recurring1_based on steps'!AV$1:AV$400,0)),AV$2,)</f>
        <v>0</v>
      </c>
      <c r="AW330" s="155">
        <f ca="1">IF(ISNUMBER(MATCH(DATEVALUE($A330),'recurring1_based on steps'!AW$1:AW$400,0)),AW$2,)</f>
        <v>0</v>
      </c>
      <c r="AX330" s="155">
        <f ca="1">IF(ISNUMBER(MATCH(DATEVALUE($A330),'recurring1_based on steps'!AX$1:AX$400,0)),AX$2,)</f>
        <v>0</v>
      </c>
      <c r="AY330" s="155">
        <f ca="1">IF(ISNUMBER(MATCH(DATEVALUE($A330),'recurring1_based on steps'!AY$1:AY$400,0)),AY$2,)</f>
        <v>0</v>
      </c>
    </row>
    <row r="331" spans="1:51" x14ac:dyDescent="0.2">
      <c r="A331" s="18" t="str">
        <f t="shared" ca="1" si="5"/>
        <v>2025-12-26</v>
      </c>
      <c r="B331" s="155">
        <f ca="1">IF(ISNUMBER(MATCH(DATEVALUE($A331),'recurring1_based on steps'!B$1:B$400,0)),B$2,)</f>
        <v>4000</v>
      </c>
      <c r="C331" s="155">
        <f ca="1">IF(ISNUMBER(MATCH(DATEVALUE($A331),'recurring1_based on steps'!C$1:C$400,0)),C$2,)</f>
        <v>200</v>
      </c>
      <c r="D331" s="155">
        <f ca="1">IF(ISNUMBER(MATCH(DATEVALUE($A331),'recurring1_based on steps'!D$1:D$400,0)),D$2,)</f>
        <v>2</v>
      </c>
      <c r="E331" s="155">
        <f ca="1">IF(ISNUMBER(MATCH(DATEVALUE($A331),'recurring1_based on steps'!E$1:E$400,0)),E$2,)</f>
        <v>40</v>
      </c>
      <c r="F331" s="155">
        <f ca="1">IF(ISNUMBER(MATCH(DATEVALUE($A331),'recurring1_based on steps'!F$1:F$400,0)),F$2,)</f>
        <v>50</v>
      </c>
      <c r="G331" s="155">
        <f ca="1">IF(ISNUMBER(MATCH(DATEVALUE($A331),'recurring1_based on steps'!G$1:G$400,0)),G$2,)</f>
        <v>4</v>
      </c>
      <c r="H331" s="155">
        <f ca="1">IF(ISNUMBER(MATCH(DATEVALUE($A331),'recurring1_based on steps'!H$1:H$400,0)),H$2,)</f>
        <v>0</v>
      </c>
      <c r="I331" s="155">
        <f ca="1">IF(ISNUMBER(MATCH(DATEVALUE($A331),'recurring1_based on steps'!I$1:I$400,0)),I$2,)</f>
        <v>0</v>
      </c>
      <c r="J331" s="155">
        <f ca="1">IF(ISNUMBER(MATCH(DATEVALUE($A331),'recurring1_based on steps'!J$1:J$400,0)),J$2,)</f>
        <v>0</v>
      </c>
      <c r="K331" s="155">
        <f ca="1">IF(ISNUMBER(MATCH(DATEVALUE($A331),'recurring1_based on steps'!K$1:K$400,0)),K$2,)</f>
        <v>0</v>
      </c>
      <c r="L331" s="155">
        <f ca="1">IF(ISNUMBER(MATCH(DATEVALUE($A331),'recurring1_based on steps'!L$1:L$400,0)),L$2,)</f>
        <v>0</v>
      </c>
      <c r="M331" s="155">
        <f ca="1">IF(ISNUMBER(MATCH(DATEVALUE($A331),'recurring1_based on steps'!M$1:M$400,0)),M$2,)</f>
        <v>0</v>
      </c>
      <c r="N331" s="155">
        <f ca="1">IF(ISNUMBER(MATCH(DATEVALUE($A331),'recurring1_based on steps'!N$1:N$400,0)),N$2,)</f>
        <v>0</v>
      </c>
      <c r="O331" s="155">
        <f ca="1">IF(ISNUMBER(MATCH(DATEVALUE($A331),'recurring1_based on steps'!O$1:O$400,0)),O$2,)</f>
        <v>0</v>
      </c>
      <c r="P331" s="155">
        <f ca="1">IF(ISNUMBER(MATCH(DATEVALUE($A331),'recurring1_based on steps'!P$1:P$400,0)),P$2,)</f>
        <v>0</v>
      </c>
      <c r="Q331" s="155">
        <f ca="1">IF(ISNUMBER(MATCH(DATEVALUE($A331),'recurring1_based on steps'!Q$1:Q$400,0)),Q$2,)</f>
        <v>0</v>
      </c>
      <c r="R331" s="155">
        <f ca="1">IF(ISNUMBER(MATCH(DATEVALUE($A331),'recurring1_based on steps'!R$1:R$400,0)),R$2,)</f>
        <v>0</v>
      </c>
      <c r="S331" s="155">
        <f ca="1">IF(ISNUMBER(MATCH(DATEVALUE($A331),'recurring1_based on steps'!S$1:S$400,0)),S$2,)</f>
        <v>0</v>
      </c>
      <c r="T331" s="155">
        <f ca="1">IF(ISNUMBER(MATCH(DATEVALUE($A331),'recurring1_based on steps'!T$1:T$400,0)),T$2,)</f>
        <v>0</v>
      </c>
      <c r="U331" s="155">
        <f ca="1">IF(ISNUMBER(MATCH(DATEVALUE($A331),'recurring1_based on steps'!U$1:U$400,0)),U$2,)</f>
        <v>0</v>
      </c>
      <c r="V331" s="155">
        <f ca="1">IF(ISNUMBER(MATCH(DATEVALUE($A331),'recurring1_based on steps'!V$1:V$400,0)),V$2,)</f>
        <v>0</v>
      </c>
      <c r="W331" s="155">
        <f ca="1">IF(ISNUMBER(MATCH(DATEVALUE($A331),'recurring1_based on steps'!W$1:W$400,0)),W$2,)</f>
        <v>0</v>
      </c>
      <c r="X331" s="155">
        <f ca="1">IF(ISNUMBER(MATCH(DATEVALUE($A331),'recurring1_based on steps'!X$1:X$400,0)),X$2,)</f>
        <v>50</v>
      </c>
      <c r="Y331" s="155">
        <f ca="1">IF(ISNUMBER(MATCH(DATEVALUE($A331),'recurring1_based on steps'!Y$1:Y$400,0)),Y$2,)</f>
        <v>0</v>
      </c>
      <c r="Z331" s="155">
        <f ca="1">IF(ISNUMBER(MATCH(DATEVALUE($A331),'recurring1_based on steps'!Z$1:Z$400,0)),Z$2,)</f>
        <v>0</v>
      </c>
      <c r="AA331" s="155">
        <f ca="1">IF(ISNUMBER(MATCH(DATEVALUE($A331),'recurring1_based on steps'!AA$1:AA$400,0)),AA$2,)</f>
        <v>0</v>
      </c>
      <c r="AB331" s="155">
        <f ca="1">IF(ISNUMBER(MATCH(DATEVALUE($A331),'recurring1_based on steps'!AB$1:AB$400,0)),AB$2,)</f>
        <v>0</v>
      </c>
      <c r="AC331" s="155">
        <f ca="1">IF(ISNUMBER(MATCH(DATEVALUE($A331),'recurring1_based on steps'!AC$1:AC$400,0)),AC$2,)</f>
        <v>0</v>
      </c>
      <c r="AD331" s="155">
        <f ca="1">IF(ISNUMBER(MATCH(DATEVALUE($A331),'recurring1_based on steps'!AD$1:AD$400,0)),AD$2,)</f>
        <v>0</v>
      </c>
      <c r="AE331" s="155">
        <f ca="1">IF(ISNUMBER(MATCH(DATEVALUE($A331),'recurring1_based on steps'!AE$1:AE$400,0)),AE$2,)</f>
        <v>0</v>
      </c>
      <c r="AF331" s="155">
        <f ca="1">IF(ISNUMBER(MATCH(DATEVALUE($A331),'recurring1_based on steps'!AF$1:AF$400,0)),AF$2,)</f>
        <v>0</v>
      </c>
      <c r="AG331" s="155">
        <f ca="1">IF(ISNUMBER(MATCH(DATEVALUE($A331),'recurring1_based on steps'!AG$1:AG$400,0)),AG$2,)</f>
        <v>0</v>
      </c>
      <c r="AH331" s="155">
        <f ca="1">IF(ISNUMBER(MATCH(DATEVALUE($A331),'recurring1_based on steps'!AH$1:AH$400,0)),AH$2,)</f>
        <v>0</v>
      </c>
      <c r="AI331" s="155">
        <f ca="1">IF(ISNUMBER(MATCH(DATEVALUE($A331),'recurring1_based on steps'!AI$1:AI$400,0)),AI$2,)</f>
        <v>0</v>
      </c>
      <c r="AJ331" s="155">
        <f ca="1">IF(ISNUMBER(MATCH(DATEVALUE($A331),'recurring1_based on steps'!AJ$1:AJ$400,0)),AJ$2,)</f>
        <v>0</v>
      </c>
      <c r="AK331" s="155">
        <f ca="1">IF(ISNUMBER(MATCH(DATEVALUE($A331),'recurring1_based on steps'!AK$1:AK$400,0)),AK$2,)</f>
        <v>0</v>
      </c>
      <c r="AL331" s="155">
        <f ca="1">IF(ISNUMBER(MATCH(DATEVALUE($A331),'recurring1_based on steps'!AL$1:AL$400,0)),AL$2,)</f>
        <v>0</v>
      </c>
      <c r="AM331" s="155">
        <f ca="1">IF(ISNUMBER(MATCH(DATEVALUE($A331),'recurring1_based on steps'!AM$1:AM$400,0)),AM$2,)</f>
        <v>0</v>
      </c>
      <c r="AN331" s="155">
        <f ca="1">IF(ISNUMBER(MATCH(DATEVALUE($A331),'recurring1_based on steps'!AN$1:AN$400,0)),AN$2,)</f>
        <v>0</v>
      </c>
      <c r="AO331" s="155">
        <f ca="1">IF(ISNUMBER(MATCH(DATEVALUE($A331),'recurring1_based on steps'!AO$1:AO$400,0)),AO$2,)</f>
        <v>0</v>
      </c>
      <c r="AP331" s="155">
        <f ca="1">IF(ISNUMBER(MATCH(DATEVALUE($A331),'recurring1_based on steps'!AP$1:AP$400,0)),AP$2,)</f>
        <v>0</v>
      </c>
      <c r="AQ331" s="155">
        <f ca="1">IF(ISNUMBER(MATCH(DATEVALUE($A331),'recurring1_based on steps'!AQ$1:AQ$400,0)),AQ$2,)</f>
        <v>0</v>
      </c>
      <c r="AR331" s="155">
        <f ca="1">IF(ISNUMBER(MATCH(DATEVALUE($A331),'recurring1_based on steps'!AR$1:AR$400,0)),AR$2,)</f>
        <v>0</v>
      </c>
      <c r="AS331" s="155">
        <f ca="1">IF(ISNUMBER(MATCH(DATEVALUE($A331),'recurring1_based on steps'!AS$1:AS$400,0)),AS$2,)</f>
        <v>0</v>
      </c>
      <c r="AT331" s="155">
        <f ca="1">IF(ISNUMBER(MATCH(DATEVALUE($A331),'recurring1_based on steps'!AT$1:AT$400,0)),AT$2,)</f>
        <v>0</v>
      </c>
      <c r="AU331" s="155">
        <f ca="1">IF(ISNUMBER(MATCH(DATEVALUE($A331),'recurring1_based on steps'!AU$1:AU$400,0)),AU$2,)</f>
        <v>0</v>
      </c>
      <c r="AV331" s="155">
        <f ca="1">IF(ISNUMBER(MATCH(DATEVALUE($A331),'recurring1_based on steps'!AV$1:AV$400,0)),AV$2,)</f>
        <v>0</v>
      </c>
      <c r="AW331" s="155">
        <f ca="1">IF(ISNUMBER(MATCH(DATEVALUE($A331),'recurring1_based on steps'!AW$1:AW$400,0)),AW$2,)</f>
        <v>0</v>
      </c>
      <c r="AX331" s="155">
        <f ca="1">IF(ISNUMBER(MATCH(DATEVALUE($A331),'recurring1_based on steps'!AX$1:AX$400,0)),AX$2,)</f>
        <v>0</v>
      </c>
      <c r="AY331" s="155">
        <f ca="1">IF(ISNUMBER(MATCH(DATEVALUE($A331),'recurring1_based on steps'!AY$1:AY$400,0)),AY$2,)</f>
        <v>0</v>
      </c>
    </row>
    <row r="332" spans="1:51" x14ac:dyDescent="0.2">
      <c r="A332" s="18" t="str">
        <f t="shared" ca="1" si="5"/>
        <v>2025-12-27</v>
      </c>
      <c r="B332" s="155">
        <f ca="1">IF(ISNUMBER(MATCH(DATEVALUE($A332),'recurring1_based on steps'!B$1:B$400,0)),B$2,)</f>
        <v>0</v>
      </c>
      <c r="C332" s="155">
        <f ca="1">IF(ISNUMBER(MATCH(DATEVALUE($A332),'recurring1_based on steps'!C$1:C$400,0)),C$2,)</f>
        <v>0</v>
      </c>
      <c r="D332" s="155">
        <f ca="1">IF(ISNUMBER(MATCH(DATEVALUE($A332),'recurring1_based on steps'!D$1:D$400,0)),D$2,)</f>
        <v>0</v>
      </c>
      <c r="E332" s="155">
        <f ca="1">IF(ISNUMBER(MATCH(DATEVALUE($A332),'recurring1_based on steps'!E$1:E$400,0)),E$2,)</f>
        <v>0</v>
      </c>
      <c r="F332" s="155">
        <f ca="1">IF(ISNUMBER(MATCH(DATEVALUE($A332),'recurring1_based on steps'!F$1:F$400,0)),F$2,)</f>
        <v>0</v>
      </c>
      <c r="G332" s="155">
        <f ca="1">IF(ISNUMBER(MATCH(DATEVALUE($A332),'recurring1_based on steps'!G$1:G$400,0)),G$2,)</f>
        <v>0</v>
      </c>
      <c r="H332" s="155">
        <f ca="1">IF(ISNUMBER(MATCH(DATEVALUE($A332),'recurring1_based on steps'!H$1:H$400,0)),H$2,)</f>
        <v>0</v>
      </c>
      <c r="I332" s="155">
        <f ca="1">IF(ISNUMBER(MATCH(DATEVALUE($A332),'recurring1_based on steps'!I$1:I$400,0)),I$2,)</f>
        <v>0</v>
      </c>
      <c r="J332" s="155">
        <f ca="1">IF(ISNUMBER(MATCH(DATEVALUE($A332),'recurring1_based on steps'!J$1:J$400,0)),J$2,)</f>
        <v>0</v>
      </c>
      <c r="K332" s="155">
        <f ca="1">IF(ISNUMBER(MATCH(DATEVALUE($A332),'recurring1_based on steps'!K$1:K$400,0)),K$2,)</f>
        <v>0</v>
      </c>
      <c r="L332" s="155">
        <f ca="1">IF(ISNUMBER(MATCH(DATEVALUE($A332),'recurring1_based on steps'!L$1:L$400,0)),L$2,)</f>
        <v>0</v>
      </c>
      <c r="M332" s="155">
        <f ca="1">IF(ISNUMBER(MATCH(DATEVALUE($A332),'recurring1_based on steps'!M$1:M$400,0)),M$2,)</f>
        <v>0</v>
      </c>
      <c r="N332" s="155">
        <f ca="1">IF(ISNUMBER(MATCH(DATEVALUE($A332),'recurring1_based on steps'!N$1:N$400,0)),N$2,)</f>
        <v>0</v>
      </c>
      <c r="O332" s="155">
        <f ca="1">IF(ISNUMBER(MATCH(DATEVALUE($A332),'recurring1_based on steps'!O$1:O$400,0)),O$2,)</f>
        <v>0</v>
      </c>
      <c r="P332" s="155">
        <f ca="1">IF(ISNUMBER(MATCH(DATEVALUE($A332),'recurring1_based on steps'!P$1:P$400,0)),P$2,)</f>
        <v>2.99</v>
      </c>
      <c r="Q332" s="155">
        <f ca="1">IF(ISNUMBER(MATCH(DATEVALUE($A332),'recurring1_based on steps'!Q$1:Q$400,0)),Q$2,)</f>
        <v>100</v>
      </c>
      <c r="R332" s="155">
        <f ca="1">IF(ISNUMBER(MATCH(DATEVALUE($A332),'recurring1_based on steps'!R$1:R$400,0)),R$2,)</f>
        <v>100</v>
      </c>
      <c r="S332" s="155">
        <f ca="1">IF(ISNUMBER(MATCH(DATEVALUE($A332),'recurring1_based on steps'!S$1:S$400,0)),S$2,)</f>
        <v>0</v>
      </c>
      <c r="T332" s="155">
        <f ca="1">IF(ISNUMBER(MATCH(DATEVALUE($A332),'recurring1_based on steps'!T$1:T$400,0)),T$2,)</f>
        <v>0</v>
      </c>
      <c r="U332" s="155">
        <f ca="1">IF(ISNUMBER(MATCH(DATEVALUE($A332),'recurring1_based on steps'!U$1:U$400,0)),U$2,)</f>
        <v>0</v>
      </c>
      <c r="V332" s="155">
        <f ca="1">IF(ISNUMBER(MATCH(DATEVALUE($A332),'recurring1_based on steps'!V$1:V$400,0)),V$2,)</f>
        <v>0</v>
      </c>
      <c r="W332" s="155">
        <f ca="1">IF(ISNUMBER(MATCH(DATEVALUE($A332),'recurring1_based on steps'!W$1:W$400,0)),W$2,)</f>
        <v>0</v>
      </c>
      <c r="X332" s="155">
        <f ca="1">IF(ISNUMBER(MATCH(DATEVALUE($A332),'recurring1_based on steps'!X$1:X$400,0)),X$2,)</f>
        <v>0</v>
      </c>
      <c r="Y332" s="155">
        <f ca="1">IF(ISNUMBER(MATCH(DATEVALUE($A332),'recurring1_based on steps'!Y$1:Y$400,0)),Y$2,)</f>
        <v>0</v>
      </c>
      <c r="Z332" s="155">
        <f ca="1">IF(ISNUMBER(MATCH(DATEVALUE($A332),'recurring1_based on steps'!Z$1:Z$400,0)),Z$2,)</f>
        <v>0</v>
      </c>
      <c r="AA332" s="155">
        <f ca="1">IF(ISNUMBER(MATCH(DATEVALUE($A332),'recurring1_based on steps'!AA$1:AA$400,0)),AA$2,)</f>
        <v>0</v>
      </c>
      <c r="AB332" s="155">
        <f ca="1">IF(ISNUMBER(MATCH(DATEVALUE($A332),'recurring1_based on steps'!AB$1:AB$400,0)),AB$2,)</f>
        <v>0</v>
      </c>
      <c r="AC332" s="155">
        <f ca="1">IF(ISNUMBER(MATCH(DATEVALUE($A332),'recurring1_based on steps'!AC$1:AC$400,0)),AC$2,)</f>
        <v>0</v>
      </c>
      <c r="AD332" s="155">
        <f ca="1">IF(ISNUMBER(MATCH(DATEVALUE($A332),'recurring1_based on steps'!AD$1:AD$400,0)),AD$2,)</f>
        <v>0</v>
      </c>
      <c r="AE332" s="155">
        <f ca="1">IF(ISNUMBER(MATCH(DATEVALUE($A332),'recurring1_based on steps'!AE$1:AE$400,0)),AE$2,)</f>
        <v>0</v>
      </c>
      <c r="AF332" s="155">
        <f ca="1">IF(ISNUMBER(MATCH(DATEVALUE($A332),'recurring1_based on steps'!AF$1:AF$400,0)),AF$2,)</f>
        <v>0</v>
      </c>
      <c r="AG332" s="155">
        <f ca="1">IF(ISNUMBER(MATCH(DATEVALUE($A332),'recurring1_based on steps'!AG$1:AG$400,0)),AG$2,)</f>
        <v>0</v>
      </c>
      <c r="AH332" s="155">
        <f ca="1">IF(ISNUMBER(MATCH(DATEVALUE($A332),'recurring1_based on steps'!AH$1:AH$400,0)),AH$2,)</f>
        <v>0</v>
      </c>
      <c r="AI332" s="155">
        <f ca="1">IF(ISNUMBER(MATCH(DATEVALUE($A332),'recurring1_based on steps'!AI$1:AI$400,0)),AI$2,)</f>
        <v>0</v>
      </c>
      <c r="AJ332" s="155">
        <f ca="1">IF(ISNUMBER(MATCH(DATEVALUE($A332),'recurring1_based on steps'!AJ$1:AJ$400,0)),AJ$2,)</f>
        <v>0</v>
      </c>
      <c r="AK332" s="155">
        <f ca="1">IF(ISNUMBER(MATCH(DATEVALUE($A332),'recurring1_based on steps'!AK$1:AK$400,0)),AK$2,)</f>
        <v>0</v>
      </c>
      <c r="AL332" s="155">
        <f ca="1">IF(ISNUMBER(MATCH(DATEVALUE($A332),'recurring1_based on steps'!AL$1:AL$400,0)),AL$2,)</f>
        <v>0</v>
      </c>
      <c r="AM332" s="155">
        <f ca="1">IF(ISNUMBER(MATCH(DATEVALUE($A332),'recurring1_based on steps'!AM$1:AM$400,0)),AM$2,)</f>
        <v>0</v>
      </c>
      <c r="AN332" s="155">
        <f ca="1">IF(ISNUMBER(MATCH(DATEVALUE($A332),'recurring1_based on steps'!AN$1:AN$400,0)),AN$2,)</f>
        <v>0</v>
      </c>
      <c r="AO332" s="155">
        <f ca="1">IF(ISNUMBER(MATCH(DATEVALUE($A332),'recurring1_based on steps'!AO$1:AO$400,0)),AO$2,)</f>
        <v>0</v>
      </c>
      <c r="AP332" s="155">
        <f ca="1">IF(ISNUMBER(MATCH(DATEVALUE($A332),'recurring1_based on steps'!AP$1:AP$400,0)),AP$2,)</f>
        <v>0</v>
      </c>
      <c r="AQ332" s="155">
        <f ca="1">IF(ISNUMBER(MATCH(DATEVALUE($A332),'recurring1_based on steps'!AQ$1:AQ$400,0)),AQ$2,)</f>
        <v>0</v>
      </c>
      <c r="AR332" s="155">
        <f ca="1">IF(ISNUMBER(MATCH(DATEVALUE($A332),'recurring1_based on steps'!AR$1:AR$400,0)),AR$2,)</f>
        <v>0</v>
      </c>
      <c r="AS332" s="155">
        <f ca="1">IF(ISNUMBER(MATCH(DATEVALUE($A332),'recurring1_based on steps'!AS$1:AS$400,0)),AS$2,)</f>
        <v>0</v>
      </c>
      <c r="AT332" s="155">
        <f ca="1">IF(ISNUMBER(MATCH(DATEVALUE($A332),'recurring1_based on steps'!AT$1:AT$400,0)),AT$2,)</f>
        <v>0</v>
      </c>
      <c r="AU332" s="155">
        <f ca="1">IF(ISNUMBER(MATCH(DATEVALUE($A332),'recurring1_based on steps'!AU$1:AU$400,0)),AU$2,)</f>
        <v>0</v>
      </c>
      <c r="AV332" s="155">
        <f ca="1">IF(ISNUMBER(MATCH(DATEVALUE($A332),'recurring1_based on steps'!AV$1:AV$400,0)),AV$2,)</f>
        <v>0</v>
      </c>
      <c r="AW332" s="155">
        <f ca="1">IF(ISNUMBER(MATCH(DATEVALUE($A332),'recurring1_based on steps'!AW$1:AW$400,0)),AW$2,)</f>
        <v>0</v>
      </c>
      <c r="AX332" s="155">
        <f ca="1">IF(ISNUMBER(MATCH(DATEVALUE($A332),'recurring1_based on steps'!AX$1:AX$400,0)),AX$2,)</f>
        <v>0</v>
      </c>
      <c r="AY332" s="155">
        <f ca="1">IF(ISNUMBER(MATCH(DATEVALUE($A332),'recurring1_based on steps'!AY$1:AY$400,0)),AY$2,)</f>
        <v>0</v>
      </c>
    </row>
    <row r="333" spans="1:51" x14ac:dyDescent="0.2">
      <c r="A333" s="18" t="str">
        <f t="shared" ca="1" si="5"/>
        <v>2025-12-28</v>
      </c>
      <c r="B333" s="155">
        <f ca="1">IF(ISNUMBER(MATCH(DATEVALUE($A333),'recurring1_based on steps'!B$1:B$400,0)),B$2,)</f>
        <v>0</v>
      </c>
      <c r="C333" s="155">
        <f ca="1">IF(ISNUMBER(MATCH(DATEVALUE($A333),'recurring1_based on steps'!C$1:C$400,0)),C$2,)</f>
        <v>0</v>
      </c>
      <c r="D333" s="155">
        <f ca="1">IF(ISNUMBER(MATCH(DATEVALUE($A333),'recurring1_based on steps'!D$1:D$400,0)),D$2,)</f>
        <v>0</v>
      </c>
      <c r="E333" s="155">
        <f ca="1">IF(ISNUMBER(MATCH(DATEVALUE($A333),'recurring1_based on steps'!E$1:E$400,0)),E$2,)</f>
        <v>0</v>
      </c>
      <c r="F333" s="155">
        <f ca="1">IF(ISNUMBER(MATCH(DATEVALUE($A333),'recurring1_based on steps'!F$1:F$400,0)),F$2,)</f>
        <v>0</v>
      </c>
      <c r="G333" s="155">
        <f ca="1">IF(ISNUMBER(MATCH(DATEVALUE($A333),'recurring1_based on steps'!G$1:G$400,0)),G$2,)</f>
        <v>0</v>
      </c>
      <c r="H333" s="155">
        <f ca="1">IF(ISNUMBER(MATCH(DATEVALUE($A333),'recurring1_based on steps'!H$1:H$400,0)),H$2,)</f>
        <v>40</v>
      </c>
      <c r="I333" s="155">
        <f ca="1">IF(ISNUMBER(MATCH(DATEVALUE($A333),'recurring1_based on steps'!I$1:I$400,0)),I$2,)</f>
        <v>0</v>
      </c>
      <c r="J333" s="155">
        <f ca="1">IF(ISNUMBER(MATCH(DATEVALUE($A333),'recurring1_based on steps'!J$1:J$400,0)),J$2,)</f>
        <v>0</v>
      </c>
      <c r="K333" s="155">
        <f ca="1">IF(ISNUMBER(MATCH(DATEVALUE($A333),'recurring1_based on steps'!K$1:K$400,0)),K$2,)</f>
        <v>50</v>
      </c>
      <c r="L333" s="155">
        <f ca="1">IF(ISNUMBER(MATCH(DATEVALUE($A333),'recurring1_based on steps'!L$1:L$400,0)),L$2,)</f>
        <v>0</v>
      </c>
      <c r="M333" s="155">
        <f ca="1">IF(ISNUMBER(MATCH(DATEVALUE($A333),'recurring1_based on steps'!M$1:M$400,0)),M$2,)</f>
        <v>0</v>
      </c>
      <c r="N333" s="155">
        <f ca="1">IF(ISNUMBER(MATCH(DATEVALUE($A333),'recurring1_based on steps'!N$1:N$400,0)),N$2,)</f>
        <v>0</v>
      </c>
      <c r="O333" s="155">
        <f ca="1">IF(ISNUMBER(MATCH(DATEVALUE($A333),'recurring1_based on steps'!O$1:O$400,0)),O$2,)</f>
        <v>0</v>
      </c>
      <c r="P333" s="155">
        <f ca="1">IF(ISNUMBER(MATCH(DATEVALUE($A333),'recurring1_based on steps'!P$1:P$400,0)),P$2,)</f>
        <v>0</v>
      </c>
      <c r="Q333" s="155">
        <f ca="1">IF(ISNUMBER(MATCH(DATEVALUE($A333),'recurring1_based on steps'!Q$1:Q$400,0)),Q$2,)</f>
        <v>0</v>
      </c>
      <c r="R333" s="155">
        <f ca="1">IF(ISNUMBER(MATCH(DATEVALUE($A333),'recurring1_based on steps'!R$1:R$400,0)),R$2,)</f>
        <v>0</v>
      </c>
      <c r="S333" s="155">
        <f ca="1">IF(ISNUMBER(MATCH(DATEVALUE($A333),'recurring1_based on steps'!S$1:S$400,0)),S$2,)</f>
        <v>100</v>
      </c>
      <c r="T333" s="155">
        <f ca="1">IF(ISNUMBER(MATCH(DATEVALUE($A333),'recurring1_based on steps'!T$1:T$400,0)),T$2,)</f>
        <v>0</v>
      </c>
      <c r="U333" s="155">
        <f ca="1">IF(ISNUMBER(MATCH(DATEVALUE($A333),'recurring1_based on steps'!U$1:U$400,0)),U$2,)</f>
        <v>0</v>
      </c>
      <c r="V333" s="155">
        <f ca="1">IF(ISNUMBER(MATCH(DATEVALUE($A333),'recurring1_based on steps'!V$1:V$400,0)),V$2,)</f>
        <v>0</v>
      </c>
      <c r="W333" s="155">
        <f ca="1">IF(ISNUMBER(MATCH(DATEVALUE($A333),'recurring1_based on steps'!W$1:W$400,0)),W$2,)</f>
        <v>100</v>
      </c>
      <c r="X333" s="155">
        <f ca="1">IF(ISNUMBER(MATCH(DATEVALUE($A333),'recurring1_based on steps'!X$1:X$400,0)),X$2,)</f>
        <v>0</v>
      </c>
      <c r="Y333" s="155">
        <f ca="1">IF(ISNUMBER(MATCH(DATEVALUE($A333),'recurring1_based on steps'!Y$1:Y$400,0)),Y$2,)</f>
        <v>0</v>
      </c>
      <c r="Z333" s="155">
        <f ca="1">IF(ISNUMBER(MATCH(DATEVALUE($A333),'recurring1_based on steps'!Z$1:Z$400,0)),Z$2,)</f>
        <v>0</v>
      </c>
      <c r="AA333" s="155">
        <f ca="1">IF(ISNUMBER(MATCH(DATEVALUE($A333),'recurring1_based on steps'!AA$1:AA$400,0)),AA$2,)</f>
        <v>0</v>
      </c>
      <c r="AB333" s="155">
        <f ca="1">IF(ISNUMBER(MATCH(DATEVALUE($A333),'recurring1_based on steps'!AB$1:AB$400,0)),AB$2,)</f>
        <v>0</v>
      </c>
      <c r="AC333" s="155">
        <f ca="1">IF(ISNUMBER(MATCH(DATEVALUE($A333),'recurring1_based on steps'!AC$1:AC$400,0)),AC$2,)</f>
        <v>0</v>
      </c>
      <c r="AD333" s="155">
        <f ca="1">IF(ISNUMBER(MATCH(DATEVALUE($A333),'recurring1_based on steps'!AD$1:AD$400,0)),AD$2,)</f>
        <v>0</v>
      </c>
      <c r="AE333" s="155">
        <f ca="1">IF(ISNUMBER(MATCH(DATEVALUE($A333),'recurring1_based on steps'!AE$1:AE$400,0)),AE$2,)</f>
        <v>0</v>
      </c>
      <c r="AF333" s="155">
        <f ca="1">IF(ISNUMBER(MATCH(DATEVALUE($A333),'recurring1_based on steps'!AF$1:AF$400,0)),AF$2,)</f>
        <v>0</v>
      </c>
      <c r="AG333" s="155">
        <f ca="1">IF(ISNUMBER(MATCH(DATEVALUE($A333),'recurring1_based on steps'!AG$1:AG$400,0)),AG$2,)</f>
        <v>0</v>
      </c>
      <c r="AH333" s="155">
        <f ca="1">IF(ISNUMBER(MATCH(DATEVALUE($A333),'recurring1_based on steps'!AH$1:AH$400,0)),AH$2,)</f>
        <v>0</v>
      </c>
      <c r="AI333" s="155">
        <f ca="1">IF(ISNUMBER(MATCH(DATEVALUE($A333),'recurring1_based on steps'!AI$1:AI$400,0)),AI$2,)</f>
        <v>0</v>
      </c>
      <c r="AJ333" s="155">
        <f ca="1">IF(ISNUMBER(MATCH(DATEVALUE($A333),'recurring1_based on steps'!AJ$1:AJ$400,0)),AJ$2,)</f>
        <v>0</v>
      </c>
      <c r="AK333" s="155">
        <f ca="1">IF(ISNUMBER(MATCH(DATEVALUE($A333),'recurring1_based on steps'!AK$1:AK$400,0)),AK$2,)</f>
        <v>0</v>
      </c>
      <c r="AL333" s="155">
        <f ca="1">IF(ISNUMBER(MATCH(DATEVALUE($A333),'recurring1_based on steps'!AL$1:AL$400,0)),AL$2,)</f>
        <v>0</v>
      </c>
      <c r="AM333" s="155">
        <f ca="1">IF(ISNUMBER(MATCH(DATEVALUE($A333),'recurring1_based on steps'!AM$1:AM$400,0)),AM$2,)</f>
        <v>0</v>
      </c>
      <c r="AN333" s="155">
        <f ca="1">IF(ISNUMBER(MATCH(DATEVALUE($A333),'recurring1_based on steps'!AN$1:AN$400,0)),AN$2,)</f>
        <v>0</v>
      </c>
      <c r="AO333" s="155">
        <f ca="1">IF(ISNUMBER(MATCH(DATEVALUE($A333),'recurring1_based on steps'!AO$1:AO$400,0)),AO$2,)</f>
        <v>0</v>
      </c>
      <c r="AP333" s="155">
        <f ca="1">IF(ISNUMBER(MATCH(DATEVALUE($A333),'recurring1_based on steps'!AP$1:AP$400,0)),AP$2,)</f>
        <v>0</v>
      </c>
      <c r="AQ333" s="155">
        <f ca="1">IF(ISNUMBER(MATCH(DATEVALUE($A333),'recurring1_based on steps'!AQ$1:AQ$400,0)),AQ$2,)</f>
        <v>0</v>
      </c>
      <c r="AR333" s="155">
        <f ca="1">IF(ISNUMBER(MATCH(DATEVALUE($A333),'recurring1_based on steps'!AR$1:AR$400,0)),AR$2,)</f>
        <v>0</v>
      </c>
      <c r="AS333" s="155">
        <f ca="1">IF(ISNUMBER(MATCH(DATEVALUE($A333),'recurring1_based on steps'!AS$1:AS$400,0)),AS$2,)</f>
        <v>0</v>
      </c>
      <c r="AT333" s="155">
        <f ca="1">IF(ISNUMBER(MATCH(DATEVALUE($A333),'recurring1_based on steps'!AT$1:AT$400,0)),AT$2,)</f>
        <v>0</v>
      </c>
      <c r="AU333" s="155">
        <f ca="1">IF(ISNUMBER(MATCH(DATEVALUE($A333),'recurring1_based on steps'!AU$1:AU$400,0)),AU$2,)</f>
        <v>0</v>
      </c>
      <c r="AV333" s="155">
        <f ca="1">IF(ISNUMBER(MATCH(DATEVALUE($A333),'recurring1_based on steps'!AV$1:AV$400,0)),AV$2,)</f>
        <v>0</v>
      </c>
      <c r="AW333" s="155">
        <f ca="1">IF(ISNUMBER(MATCH(DATEVALUE($A333),'recurring1_based on steps'!AW$1:AW$400,0)),AW$2,)</f>
        <v>0</v>
      </c>
      <c r="AX333" s="155">
        <f ca="1">IF(ISNUMBER(MATCH(DATEVALUE($A333),'recurring1_based on steps'!AX$1:AX$400,0)),AX$2,)</f>
        <v>0</v>
      </c>
      <c r="AY333" s="155">
        <f ca="1">IF(ISNUMBER(MATCH(DATEVALUE($A333),'recurring1_based on steps'!AY$1:AY$400,0)),AY$2,)</f>
        <v>0</v>
      </c>
    </row>
    <row r="334" spans="1:51" x14ac:dyDescent="0.2">
      <c r="A334" s="18" t="str">
        <f t="shared" ca="1" si="5"/>
        <v>2025-12-29</v>
      </c>
      <c r="B334" s="155">
        <f ca="1">IF(ISNUMBER(MATCH(DATEVALUE($A334),'recurring1_based on steps'!B$1:B$400,0)),B$2,)</f>
        <v>0</v>
      </c>
      <c r="C334" s="155">
        <f ca="1">IF(ISNUMBER(MATCH(DATEVALUE($A334),'recurring1_based on steps'!C$1:C$400,0)),C$2,)</f>
        <v>0</v>
      </c>
      <c r="D334" s="155">
        <f ca="1">IF(ISNUMBER(MATCH(DATEVALUE($A334),'recurring1_based on steps'!D$1:D$400,0)),D$2,)</f>
        <v>0</v>
      </c>
      <c r="E334" s="155">
        <f ca="1">IF(ISNUMBER(MATCH(DATEVALUE($A334),'recurring1_based on steps'!E$1:E$400,0)),E$2,)</f>
        <v>0</v>
      </c>
      <c r="F334" s="155">
        <f ca="1">IF(ISNUMBER(MATCH(DATEVALUE($A334),'recurring1_based on steps'!F$1:F$400,0)),F$2,)</f>
        <v>0</v>
      </c>
      <c r="G334" s="155">
        <f ca="1">IF(ISNUMBER(MATCH(DATEVALUE($A334),'recurring1_based on steps'!G$1:G$400,0)),G$2,)</f>
        <v>0</v>
      </c>
      <c r="H334" s="155">
        <f ca="1">IF(ISNUMBER(MATCH(DATEVALUE($A334),'recurring1_based on steps'!H$1:H$400,0)),H$2,)</f>
        <v>0</v>
      </c>
      <c r="I334" s="155">
        <f ca="1">IF(ISNUMBER(MATCH(DATEVALUE($A334),'recurring1_based on steps'!I$1:I$400,0)),I$2,)</f>
        <v>0</v>
      </c>
      <c r="J334" s="155">
        <f ca="1">IF(ISNUMBER(MATCH(DATEVALUE($A334),'recurring1_based on steps'!J$1:J$400,0)),J$2,)</f>
        <v>0</v>
      </c>
      <c r="K334" s="155">
        <f ca="1">IF(ISNUMBER(MATCH(DATEVALUE($A334),'recurring1_based on steps'!K$1:K$400,0)),K$2,)</f>
        <v>0</v>
      </c>
      <c r="L334" s="155">
        <f ca="1">IF(ISNUMBER(MATCH(DATEVALUE($A334),'recurring1_based on steps'!L$1:L$400,0)),L$2,)</f>
        <v>0</v>
      </c>
      <c r="M334" s="155">
        <f ca="1">IF(ISNUMBER(MATCH(DATEVALUE($A334),'recurring1_based on steps'!M$1:M$400,0)),M$2,)</f>
        <v>0</v>
      </c>
      <c r="N334" s="155">
        <f ca="1">IF(ISNUMBER(MATCH(DATEVALUE($A334),'recurring1_based on steps'!N$1:N$400,0)),N$2,)</f>
        <v>0</v>
      </c>
      <c r="O334" s="155">
        <f ca="1">IF(ISNUMBER(MATCH(DATEVALUE($A334),'recurring1_based on steps'!O$1:O$400,0)),O$2,)</f>
        <v>0</v>
      </c>
      <c r="P334" s="155">
        <f ca="1">IF(ISNUMBER(MATCH(DATEVALUE($A334),'recurring1_based on steps'!P$1:P$400,0)),P$2,)</f>
        <v>0</v>
      </c>
      <c r="Q334" s="155">
        <f ca="1">IF(ISNUMBER(MATCH(DATEVALUE($A334),'recurring1_based on steps'!Q$1:Q$400,0)),Q$2,)</f>
        <v>0</v>
      </c>
      <c r="R334" s="155">
        <f ca="1">IF(ISNUMBER(MATCH(DATEVALUE($A334),'recurring1_based on steps'!R$1:R$400,0)),R$2,)</f>
        <v>0</v>
      </c>
      <c r="S334" s="155">
        <f ca="1">IF(ISNUMBER(MATCH(DATEVALUE($A334),'recurring1_based on steps'!S$1:S$400,0)),S$2,)</f>
        <v>0</v>
      </c>
      <c r="T334" s="155">
        <f ca="1">IF(ISNUMBER(MATCH(DATEVALUE($A334),'recurring1_based on steps'!T$1:T$400,0)),T$2,)</f>
        <v>0</v>
      </c>
      <c r="U334" s="155">
        <f ca="1">IF(ISNUMBER(MATCH(DATEVALUE($A334),'recurring1_based on steps'!U$1:U$400,0)),U$2,)</f>
        <v>0</v>
      </c>
      <c r="V334" s="155">
        <f ca="1">IF(ISNUMBER(MATCH(DATEVALUE($A334),'recurring1_based on steps'!V$1:V$400,0)),V$2,)</f>
        <v>0</v>
      </c>
      <c r="W334" s="155">
        <f ca="1">IF(ISNUMBER(MATCH(DATEVALUE($A334),'recurring1_based on steps'!W$1:W$400,0)),W$2,)</f>
        <v>0</v>
      </c>
      <c r="X334" s="155">
        <f ca="1">IF(ISNUMBER(MATCH(DATEVALUE($A334),'recurring1_based on steps'!X$1:X$400,0)),X$2,)</f>
        <v>0</v>
      </c>
      <c r="Y334" s="155">
        <f ca="1">IF(ISNUMBER(MATCH(DATEVALUE($A334),'recurring1_based on steps'!Y$1:Y$400,0)),Y$2,)</f>
        <v>0</v>
      </c>
      <c r="Z334" s="155">
        <f ca="1">IF(ISNUMBER(MATCH(DATEVALUE($A334),'recurring1_based on steps'!Z$1:Z$400,0)),Z$2,)</f>
        <v>0</v>
      </c>
      <c r="AA334" s="155">
        <f ca="1">IF(ISNUMBER(MATCH(DATEVALUE($A334),'recurring1_based on steps'!AA$1:AA$400,0)),AA$2,)</f>
        <v>0</v>
      </c>
      <c r="AB334" s="155">
        <f ca="1">IF(ISNUMBER(MATCH(DATEVALUE($A334),'recurring1_based on steps'!AB$1:AB$400,0)),AB$2,)</f>
        <v>0</v>
      </c>
      <c r="AC334" s="155">
        <f ca="1">IF(ISNUMBER(MATCH(DATEVALUE($A334),'recurring1_based on steps'!AC$1:AC$400,0)),AC$2,)</f>
        <v>0</v>
      </c>
      <c r="AD334" s="155">
        <f ca="1">IF(ISNUMBER(MATCH(DATEVALUE($A334),'recurring1_based on steps'!AD$1:AD$400,0)),AD$2,)</f>
        <v>0</v>
      </c>
      <c r="AE334" s="155">
        <f ca="1">IF(ISNUMBER(MATCH(DATEVALUE($A334),'recurring1_based on steps'!AE$1:AE$400,0)),AE$2,)</f>
        <v>0</v>
      </c>
      <c r="AF334" s="155">
        <f ca="1">IF(ISNUMBER(MATCH(DATEVALUE($A334),'recurring1_based on steps'!AF$1:AF$400,0)),AF$2,)</f>
        <v>0</v>
      </c>
      <c r="AG334" s="155">
        <f ca="1">IF(ISNUMBER(MATCH(DATEVALUE($A334),'recurring1_based on steps'!AG$1:AG$400,0)),AG$2,)</f>
        <v>0</v>
      </c>
      <c r="AH334" s="155">
        <f ca="1">IF(ISNUMBER(MATCH(DATEVALUE($A334),'recurring1_based on steps'!AH$1:AH$400,0)),AH$2,)</f>
        <v>0</v>
      </c>
      <c r="AI334" s="155">
        <f ca="1">IF(ISNUMBER(MATCH(DATEVALUE($A334),'recurring1_based on steps'!AI$1:AI$400,0)),AI$2,)</f>
        <v>0</v>
      </c>
      <c r="AJ334" s="155">
        <f ca="1">IF(ISNUMBER(MATCH(DATEVALUE($A334),'recurring1_based on steps'!AJ$1:AJ$400,0)),AJ$2,)</f>
        <v>0</v>
      </c>
      <c r="AK334" s="155">
        <f ca="1">IF(ISNUMBER(MATCH(DATEVALUE($A334),'recurring1_based on steps'!AK$1:AK$400,0)),AK$2,)</f>
        <v>0</v>
      </c>
      <c r="AL334" s="155">
        <f ca="1">IF(ISNUMBER(MATCH(DATEVALUE($A334),'recurring1_based on steps'!AL$1:AL$400,0)),AL$2,)</f>
        <v>0</v>
      </c>
      <c r="AM334" s="155">
        <f ca="1">IF(ISNUMBER(MATCH(DATEVALUE($A334),'recurring1_based on steps'!AM$1:AM$400,0)),AM$2,)</f>
        <v>0</v>
      </c>
      <c r="AN334" s="155">
        <f ca="1">IF(ISNUMBER(MATCH(DATEVALUE($A334),'recurring1_based on steps'!AN$1:AN$400,0)),AN$2,)</f>
        <v>0</v>
      </c>
      <c r="AO334" s="155">
        <f ca="1">IF(ISNUMBER(MATCH(DATEVALUE($A334),'recurring1_based on steps'!AO$1:AO$400,0)),AO$2,)</f>
        <v>0</v>
      </c>
      <c r="AP334" s="155">
        <f ca="1">IF(ISNUMBER(MATCH(DATEVALUE($A334),'recurring1_based on steps'!AP$1:AP$400,0)),AP$2,)</f>
        <v>0</v>
      </c>
      <c r="AQ334" s="155">
        <f ca="1">IF(ISNUMBER(MATCH(DATEVALUE($A334),'recurring1_based on steps'!AQ$1:AQ$400,0)),AQ$2,)</f>
        <v>0</v>
      </c>
      <c r="AR334" s="155">
        <f ca="1">IF(ISNUMBER(MATCH(DATEVALUE($A334),'recurring1_based on steps'!AR$1:AR$400,0)),AR$2,)</f>
        <v>0</v>
      </c>
      <c r="AS334" s="155">
        <f ca="1">IF(ISNUMBER(MATCH(DATEVALUE($A334),'recurring1_based on steps'!AS$1:AS$400,0)),AS$2,)</f>
        <v>0</v>
      </c>
      <c r="AT334" s="155">
        <f ca="1">IF(ISNUMBER(MATCH(DATEVALUE($A334),'recurring1_based on steps'!AT$1:AT$400,0)),AT$2,)</f>
        <v>0</v>
      </c>
      <c r="AU334" s="155">
        <f ca="1">IF(ISNUMBER(MATCH(DATEVALUE($A334),'recurring1_based on steps'!AU$1:AU$400,0)),AU$2,)</f>
        <v>0</v>
      </c>
      <c r="AV334" s="155">
        <f ca="1">IF(ISNUMBER(MATCH(DATEVALUE($A334),'recurring1_based on steps'!AV$1:AV$400,0)),AV$2,)</f>
        <v>0</v>
      </c>
      <c r="AW334" s="155">
        <f ca="1">IF(ISNUMBER(MATCH(DATEVALUE($A334),'recurring1_based on steps'!AW$1:AW$400,0)),AW$2,)</f>
        <v>0</v>
      </c>
      <c r="AX334" s="155">
        <f ca="1">IF(ISNUMBER(MATCH(DATEVALUE($A334),'recurring1_based on steps'!AX$1:AX$400,0)),AX$2,)</f>
        <v>0</v>
      </c>
      <c r="AY334" s="155">
        <f ca="1">IF(ISNUMBER(MATCH(DATEVALUE($A334),'recurring1_based on steps'!AY$1:AY$400,0)),AY$2,)</f>
        <v>0</v>
      </c>
    </row>
    <row r="335" spans="1:51" x14ac:dyDescent="0.2">
      <c r="A335" s="18" t="str">
        <f t="shared" ca="1" si="5"/>
        <v>2025-12-30</v>
      </c>
      <c r="B335" s="155">
        <f ca="1">IF(ISNUMBER(MATCH(DATEVALUE($A335),'recurring1_based on steps'!B$1:B$400,0)),B$2,)</f>
        <v>0</v>
      </c>
      <c r="C335" s="155">
        <f ca="1">IF(ISNUMBER(MATCH(DATEVALUE($A335),'recurring1_based on steps'!C$1:C$400,0)),C$2,)</f>
        <v>0</v>
      </c>
      <c r="D335" s="155">
        <f ca="1">IF(ISNUMBER(MATCH(DATEVALUE($A335),'recurring1_based on steps'!D$1:D$400,0)),D$2,)</f>
        <v>0</v>
      </c>
      <c r="E335" s="155">
        <f ca="1">IF(ISNUMBER(MATCH(DATEVALUE($A335),'recurring1_based on steps'!E$1:E$400,0)),E$2,)</f>
        <v>0</v>
      </c>
      <c r="F335" s="155">
        <f ca="1">IF(ISNUMBER(MATCH(DATEVALUE($A335),'recurring1_based on steps'!F$1:F$400,0)),F$2,)</f>
        <v>0</v>
      </c>
      <c r="G335" s="155">
        <f ca="1">IF(ISNUMBER(MATCH(DATEVALUE($A335),'recurring1_based on steps'!G$1:G$400,0)),G$2,)</f>
        <v>0</v>
      </c>
      <c r="H335" s="155">
        <f ca="1">IF(ISNUMBER(MATCH(DATEVALUE($A335),'recurring1_based on steps'!H$1:H$400,0)),H$2,)</f>
        <v>0</v>
      </c>
      <c r="I335" s="155">
        <f ca="1">IF(ISNUMBER(MATCH(DATEVALUE($A335),'recurring1_based on steps'!I$1:I$400,0)),I$2,)</f>
        <v>0</v>
      </c>
      <c r="J335" s="155">
        <f ca="1">IF(ISNUMBER(MATCH(DATEVALUE($A335),'recurring1_based on steps'!J$1:J$400,0)),J$2,)</f>
        <v>0</v>
      </c>
      <c r="K335" s="155">
        <f ca="1">IF(ISNUMBER(MATCH(DATEVALUE($A335),'recurring1_based on steps'!K$1:K$400,0)),K$2,)</f>
        <v>0</v>
      </c>
      <c r="L335" s="155">
        <f ca="1">IF(ISNUMBER(MATCH(DATEVALUE($A335),'recurring1_based on steps'!L$1:L$400,0)),L$2,)</f>
        <v>0</v>
      </c>
      <c r="M335" s="155">
        <f ca="1">IF(ISNUMBER(MATCH(DATEVALUE($A335),'recurring1_based on steps'!M$1:M$400,0)),M$2,)</f>
        <v>0</v>
      </c>
      <c r="N335" s="155">
        <f ca="1">IF(ISNUMBER(MATCH(DATEVALUE($A335),'recurring1_based on steps'!N$1:N$400,0)),N$2,)</f>
        <v>0</v>
      </c>
      <c r="O335" s="155">
        <f ca="1">IF(ISNUMBER(MATCH(DATEVALUE($A335),'recurring1_based on steps'!O$1:O$400,0)),O$2,)</f>
        <v>0</v>
      </c>
      <c r="P335" s="155">
        <f ca="1">IF(ISNUMBER(MATCH(DATEVALUE($A335),'recurring1_based on steps'!P$1:P$400,0)),P$2,)</f>
        <v>0</v>
      </c>
      <c r="Q335" s="155">
        <f ca="1">IF(ISNUMBER(MATCH(DATEVALUE($A335),'recurring1_based on steps'!Q$1:Q$400,0)),Q$2,)</f>
        <v>0</v>
      </c>
      <c r="R335" s="155">
        <f ca="1">IF(ISNUMBER(MATCH(DATEVALUE($A335),'recurring1_based on steps'!R$1:R$400,0)),R$2,)</f>
        <v>0</v>
      </c>
      <c r="S335" s="155">
        <f ca="1">IF(ISNUMBER(MATCH(DATEVALUE($A335),'recurring1_based on steps'!S$1:S$400,0)),S$2,)</f>
        <v>0</v>
      </c>
      <c r="T335" s="155">
        <f ca="1">IF(ISNUMBER(MATCH(DATEVALUE($A335),'recurring1_based on steps'!T$1:T$400,0)),T$2,)</f>
        <v>0</v>
      </c>
      <c r="U335" s="155">
        <f ca="1">IF(ISNUMBER(MATCH(DATEVALUE($A335),'recurring1_based on steps'!U$1:U$400,0)),U$2,)</f>
        <v>0</v>
      </c>
      <c r="V335" s="155">
        <f ca="1">IF(ISNUMBER(MATCH(DATEVALUE($A335),'recurring1_based on steps'!V$1:V$400,0)),V$2,)</f>
        <v>0</v>
      </c>
      <c r="W335" s="155">
        <f ca="1">IF(ISNUMBER(MATCH(DATEVALUE($A335),'recurring1_based on steps'!W$1:W$400,0)),W$2,)</f>
        <v>0</v>
      </c>
      <c r="X335" s="155">
        <f ca="1">IF(ISNUMBER(MATCH(DATEVALUE($A335),'recurring1_based on steps'!X$1:X$400,0)),X$2,)</f>
        <v>0</v>
      </c>
      <c r="Y335" s="155">
        <f ca="1">IF(ISNUMBER(MATCH(DATEVALUE($A335),'recurring1_based on steps'!Y$1:Y$400,0)),Y$2,)</f>
        <v>0</v>
      </c>
      <c r="Z335" s="155">
        <f ca="1">IF(ISNUMBER(MATCH(DATEVALUE($A335),'recurring1_based on steps'!Z$1:Z$400,0)),Z$2,)</f>
        <v>0</v>
      </c>
      <c r="AA335" s="155">
        <f ca="1">IF(ISNUMBER(MATCH(DATEVALUE($A335),'recurring1_based on steps'!AA$1:AA$400,0)),AA$2,)</f>
        <v>0</v>
      </c>
      <c r="AB335" s="155">
        <f ca="1">IF(ISNUMBER(MATCH(DATEVALUE($A335),'recurring1_based on steps'!AB$1:AB$400,0)),AB$2,)</f>
        <v>0</v>
      </c>
      <c r="AC335" s="155">
        <f ca="1">IF(ISNUMBER(MATCH(DATEVALUE($A335),'recurring1_based on steps'!AC$1:AC$400,0)),AC$2,)</f>
        <v>0</v>
      </c>
      <c r="AD335" s="155">
        <f ca="1">IF(ISNUMBER(MATCH(DATEVALUE($A335),'recurring1_based on steps'!AD$1:AD$400,0)),AD$2,)</f>
        <v>0</v>
      </c>
      <c r="AE335" s="155">
        <f ca="1">IF(ISNUMBER(MATCH(DATEVALUE($A335),'recurring1_based on steps'!AE$1:AE$400,0)),AE$2,)</f>
        <v>0</v>
      </c>
      <c r="AF335" s="155">
        <f ca="1">IF(ISNUMBER(MATCH(DATEVALUE($A335),'recurring1_based on steps'!AF$1:AF$400,0)),AF$2,)</f>
        <v>0</v>
      </c>
      <c r="AG335" s="155">
        <f ca="1">IF(ISNUMBER(MATCH(DATEVALUE($A335),'recurring1_based on steps'!AG$1:AG$400,0)),AG$2,)</f>
        <v>0</v>
      </c>
      <c r="AH335" s="155">
        <f ca="1">IF(ISNUMBER(MATCH(DATEVALUE($A335),'recurring1_based on steps'!AH$1:AH$400,0)),AH$2,)</f>
        <v>0</v>
      </c>
      <c r="AI335" s="155">
        <f ca="1">IF(ISNUMBER(MATCH(DATEVALUE($A335),'recurring1_based on steps'!AI$1:AI$400,0)),AI$2,)</f>
        <v>0</v>
      </c>
      <c r="AJ335" s="155">
        <f ca="1">IF(ISNUMBER(MATCH(DATEVALUE($A335),'recurring1_based on steps'!AJ$1:AJ$400,0)),AJ$2,)</f>
        <v>0</v>
      </c>
      <c r="AK335" s="155">
        <f ca="1">IF(ISNUMBER(MATCH(DATEVALUE($A335),'recurring1_based on steps'!AK$1:AK$400,0)),AK$2,)</f>
        <v>0</v>
      </c>
      <c r="AL335" s="155">
        <f ca="1">IF(ISNUMBER(MATCH(DATEVALUE($A335),'recurring1_based on steps'!AL$1:AL$400,0)),AL$2,)</f>
        <v>0</v>
      </c>
      <c r="AM335" s="155">
        <f ca="1">IF(ISNUMBER(MATCH(DATEVALUE($A335),'recurring1_based on steps'!AM$1:AM$400,0)),AM$2,)</f>
        <v>0</v>
      </c>
      <c r="AN335" s="155">
        <f ca="1">IF(ISNUMBER(MATCH(DATEVALUE($A335),'recurring1_based on steps'!AN$1:AN$400,0)),AN$2,)</f>
        <v>0</v>
      </c>
      <c r="AO335" s="155">
        <f ca="1">IF(ISNUMBER(MATCH(DATEVALUE($A335),'recurring1_based on steps'!AO$1:AO$400,0)),AO$2,)</f>
        <v>0</v>
      </c>
      <c r="AP335" s="155">
        <f ca="1">IF(ISNUMBER(MATCH(DATEVALUE($A335),'recurring1_based on steps'!AP$1:AP$400,0)),AP$2,)</f>
        <v>0</v>
      </c>
      <c r="AQ335" s="155">
        <f ca="1">IF(ISNUMBER(MATCH(DATEVALUE($A335),'recurring1_based on steps'!AQ$1:AQ$400,0)),AQ$2,)</f>
        <v>0</v>
      </c>
      <c r="AR335" s="155">
        <f ca="1">IF(ISNUMBER(MATCH(DATEVALUE($A335),'recurring1_based on steps'!AR$1:AR$400,0)),AR$2,)</f>
        <v>0</v>
      </c>
      <c r="AS335" s="155">
        <f ca="1">IF(ISNUMBER(MATCH(DATEVALUE($A335),'recurring1_based on steps'!AS$1:AS$400,0)),AS$2,)</f>
        <v>0</v>
      </c>
      <c r="AT335" s="155">
        <f ca="1">IF(ISNUMBER(MATCH(DATEVALUE($A335),'recurring1_based on steps'!AT$1:AT$400,0)),AT$2,)</f>
        <v>0</v>
      </c>
      <c r="AU335" s="155">
        <f ca="1">IF(ISNUMBER(MATCH(DATEVALUE($A335),'recurring1_based on steps'!AU$1:AU$400,0)),AU$2,)</f>
        <v>0</v>
      </c>
      <c r="AV335" s="155">
        <f ca="1">IF(ISNUMBER(MATCH(DATEVALUE($A335),'recurring1_based on steps'!AV$1:AV$400,0)),AV$2,)</f>
        <v>0</v>
      </c>
      <c r="AW335" s="155">
        <f ca="1">IF(ISNUMBER(MATCH(DATEVALUE($A335),'recurring1_based on steps'!AW$1:AW$400,0)),AW$2,)</f>
        <v>0</v>
      </c>
      <c r="AX335" s="155">
        <f ca="1">IF(ISNUMBER(MATCH(DATEVALUE($A335),'recurring1_based on steps'!AX$1:AX$400,0)),AX$2,)</f>
        <v>0</v>
      </c>
      <c r="AY335" s="155">
        <f ca="1">IF(ISNUMBER(MATCH(DATEVALUE($A335),'recurring1_based on steps'!AY$1:AY$400,0)),AY$2,)</f>
        <v>0</v>
      </c>
    </row>
    <row r="336" spans="1:51" x14ac:dyDescent="0.2">
      <c r="A336" s="18" t="str">
        <f t="shared" ca="1" si="5"/>
        <v>2025-12-31</v>
      </c>
      <c r="B336" s="155">
        <f ca="1">IF(ISNUMBER(MATCH(DATEVALUE($A336),'recurring1_based on steps'!B$1:B$400,0)),B$2,)</f>
        <v>0</v>
      </c>
      <c r="C336" s="155">
        <f ca="1">IF(ISNUMBER(MATCH(DATEVALUE($A336),'recurring1_based on steps'!C$1:C$400,0)),C$2,)</f>
        <v>0</v>
      </c>
      <c r="D336" s="155">
        <f ca="1">IF(ISNUMBER(MATCH(DATEVALUE($A336),'recurring1_based on steps'!D$1:D$400,0)),D$2,)</f>
        <v>0</v>
      </c>
      <c r="E336" s="155">
        <f ca="1">IF(ISNUMBER(MATCH(DATEVALUE($A336),'recurring1_based on steps'!E$1:E$400,0)),E$2,)</f>
        <v>0</v>
      </c>
      <c r="F336" s="155">
        <f ca="1">IF(ISNUMBER(MATCH(DATEVALUE($A336),'recurring1_based on steps'!F$1:F$400,0)),F$2,)</f>
        <v>0</v>
      </c>
      <c r="G336" s="155">
        <f ca="1">IF(ISNUMBER(MATCH(DATEVALUE($A336),'recurring1_based on steps'!G$1:G$400,0)),G$2,)</f>
        <v>0</v>
      </c>
      <c r="H336" s="155">
        <f ca="1">IF(ISNUMBER(MATCH(DATEVALUE($A336),'recurring1_based on steps'!H$1:H$400,0)),H$2,)</f>
        <v>0</v>
      </c>
      <c r="I336" s="155">
        <f ca="1">IF(ISNUMBER(MATCH(DATEVALUE($A336),'recurring1_based on steps'!I$1:I$400,0)),I$2,)</f>
        <v>0</v>
      </c>
      <c r="J336" s="155">
        <f ca="1">IF(ISNUMBER(MATCH(DATEVALUE($A336),'recurring1_based on steps'!J$1:J$400,0)),J$2,)</f>
        <v>0</v>
      </c>
      <c r="K336" s="155">
        <f ca="1">IF(ISNUMBER(MATCH(DATEVALUE($A336),'recurring1_based on steps'!K$1:K$400,0)),K$2,)</f>
        <v>0</v>
      </c>
      <c r="L336" s="155">
        <f ca="1">IF(ISNUMBER(MATCH(DATEVALUE($A336),'recurring1_based on steps'!L$1:L$400,0)),L$2,)</f>
        <v>0</v>
      </c>
      <c r="M336" s="155">
        <f ca="1">IF(ISNUMBER(MATCH(DATEVALUE($A336),'recurring1_based on steps'!M$1:M$400,0)),M$2,)</f>
        <v>0</v>
      </c>
      <c r="N336" s="155">
        <f ca="1">IF(ISNUMBER(MATCH(DATEVALUE($A336),'recurring1_based on steps'!N$1:N$400,0)),N$2,)</f>
        <v>0</v>
      </c>
      <c r="O336" s="155">
        <f ca="1">IF(ISNUMBER(MATCH(DATEVALUE($A336),'recurring1_based on steps'!O$1:O$400,0)),O$2,)</f>
        <v>0</v>
      </c>
      <c r="P336" s="155">
        <f ca="1">IF(ISNUMBER(MATCH(DATEVALUE($A336),'recurring1_based on steps'!P$1:P$400,0)),P$2,)</f>
        <v>0</v>
      </c>
      <c r="Q336" s="155">
        <f ca="1">IF(ISNUMBER(MATCH(DATEVALUE($A336),'recurring1_based on steps'!Q$1:Q$400,0)),Q$2,)</f>
        <v>0</v>
      </c>
      <c r="R336" s="155">
        <f ca="1">IF(ISNUMBER(MATCH(DATEVALUE($A336),'recurring1_based on steps'!R$1:R$400,0)),R$2,)</f>
        <v>0</v>
      </c>
      <c r="S336" s="155">
        <f ca="1">IF(ISNUMBER(MATCH(DATEVALUE($A336),'recurring1_based on steps'!S$1:S$400,0)),S$2,)</f>
        <v>0</v>
      </c>
      <c r="T336" s="155">
        <f ca="1">IF(ISNUMBER(MATCH(DATEVALUE($A336),'recurring1_based on steps'!T$1:T$400,0)),T$2,)</f>
        <v>0</v>
      </c>
      <c r="U336" s="155">
        <f ca="1">IF(ISNUMBER(MATCH(DATEVALUE($A336),'recurring1_based on steps'!U$1:U$400,0)),U$2,)</f>
        <v>0</v>
      </c>
      <c r="V336" s="155">
        <f ca="1">IF(ISNUMBER(MATCH(DATEVALUE($A336),'recurring1_based on steps'!V$1:V$400,0)),V$2,)</f>
        <v>0</v>
      </c>
      <c r="W336" s="155">
        <f ca="1">IF(ISNUMBER(MATCH(DATEVALUE($A336),'recurring1_based on steps'!W$1:W$400,0)),W$2,)</f>
        <v>0</v>
      </c>
      <c r="X336" s="155">
        <f ca="1">IF(ISNUMBER(MATCH(DATEVALUE($A336),'recurring1_based on steps'!X$1:X$400,0)),X$2,)</f>
        <v>0</v>
      </c>
      <c r="Y336" s="155">
        <f ca="1">IF(ISNUMBER(MATCH(DATEVALUE($A336),'recurring1_based on steps'!Y$1:Y$400,0)),Y$2,)</f>
        <v>0</v>
      </c>
      <c r="Z336" s="155">
        <f ca="1">IF(ISNUMBER(MATCH(DATEVALUE($A336),'recurring1_based on steps'!Z$1:Z$400,0)),Z$2,)</f>
        <v>0</v>
      </c>
      <c r="AA336" s="155">
        <f ca="1">IF(ISNUMBER(MATCH(DATEVALUE($A336),'recurring1_based on steps'!AA$1:AA$400,0)),AA$2,)</f>
        <v>0</v>
      </c>
      <c r="AB336" s="155">
        <f ca="1">IF(ISNUMBER(MATCH(DATEVALUE($A336),'recurring1_based on steps'!AB$1:AB$400,0)),AB$2,)</f>
        <v>0</v>
      </c>
      <c r="AC336" s="155">
        <f ca="1">IF(ISNUMBER(MATCH(DATEVALUE($A336),'recurring1_based on steps'!AC$1:AC$400,0)),AC$2,)</f>
        <v>0</v>
      </c>
      <c r="AD336" s="155">
        <f ca="1">IF(ISNUMBER(MATCH(DATEVALUE($A336),'recurring1_based on steps'!AD$1:AD$400,0)),AD$2,)</f>
        <v>0</v>
      </c>
      <c r="AE336" s="155">
        <f ca="1">IF(ISNUMBER(MATCH(DATEVALUE($A336),'recurring1_based on steps'!AE$1:AE$400,0)),AE$2,)</f>
        <v>0</v>
      </c>
      <c r="AF336" s="155">
        <f ca="1">IF(ISNUMBER(MATCH(DATEVALUE($A336),'recurring1_based on steps'!AF$1:AF$400,0)),AF$2,)</f>
        <v>0</v>
      </c>
      <c r="AG336" s="155">
        <f ca="1">IF(ISNUMBER(MATCH(DATEVALUE($A336),'recurring1_based on steps'!AG$1:AG$400,0)),AG$2,)</f>
        <v>0</v>
      </c>
      <c r="AH336" s="155">
        <f ca="1">IF(ISNUMBER(MATCH(DATEVALUE($A336),'recurring1_based on steps'!AH$1:AH$400,0)),AH$2,)</f>
        <v>0</v>
      </c>
      <c r="AI336" s="155">
        <f ca="1">IF(ISNUMBER(MATCH(DATEVALUE($A336),'recurring1_based on steps'!AI$1:AI$400,0)),AI$2,)</f>
        <v>0</v>
      </c>
      <c r="AJ336" s="155">
        <f ca="1">IF(ISNUMBER(MATCH(DATEVALUE($A336),'recurring1_based on steps'!AJ$1:AJ$400,0)),AJ$2,)</f>
        <v>0</v>
      </c>
      <c r="AK336" s="155">
        <f ca="1">IF(ISNUMBER(MATCH(DATEVALUE($A336),'recurring1_based on steps'!AK$1:AK$400,0)),AK$2,)</f>
        <v>0</v>
      </c>
      <c r="AL336" s="155">
        <f ca="1">IF(ISNUMBER(MATCH(DATEVALUE($A336),'recurring1_based on steps'!AL$1:AL$400,0)),AL$2,)</f>
        <v>0</v>
      </c>
      <c r="AM336" s="155">
        <f ca="1">IF(ISNUMBER(MATCH(DATEVALUE($A336),'recurring1_based on steps'!AM$1:AM$400,0)),AM$2,)</f>
        <v>0</v>
      </c>
      <c r="AN336" s="155">
        <f ca="1">IF(ISNUMBER(MATCH(DATEVALUE($A336),'recurring1_based on steps'!AN$1:AN$400,0)),AN$2,)</f>
        <v>0</v>
      </c>
      <c r="AO336" s="155">
        <f ca="1">IF(ISNUMBER(MATCH(DATEVALUE($A336),'recurring1_based on steps'!AO$1:AO$400,0)),AO$2,)</f>
        <v>0</v>
      </c>
      <c r="AP336" s="155">
        <f ca="1">IF(ISNUMBER(MATCH(DATEVALUE($A336),'recurring1_based on steps'!AP$1:AP$400,0)),AP$2,)</f>
        <v>0</v>
      </c>
      <c r="AQ336" s="155">
        <f ca="1">IF(ISNUMBER(MATCH(DATEVALUE($A336),'recurring1_based on steps'!AQ$1:AQ$400,0)),AQ$2,)</f>
        <v>0</v>
      </c>
      <c r="AR336" s="155">
        <f ca="1">IF(ISNUMBER(MATCH(DATEVALUE($A336),'recurring1_based on steps'!AR$1:AR$400,0)),AR$2,)</f>
        <v>0</v>
      </c>
      <c r="AS336" s="155">
        <f ca="1">IF(ISNUMBER(MATCH(DATEVALUE($A336),'recurring1_based on steps'!AS$1:AS$400,0)),AS$2,)</f>
        <v>0</v>
      </c>
      <c r="AT336" s="155">
        <f ca="1">IF(ISNUMBER(MATCH(DATEVALUE($A336),'recurring1_based on steps'!AT$1:AT$400,0)),AT$2,)</f>
        <v>0</v>
      </c>
      <c r="AU336" s="155">
        <f ca="1">IF(ISNUMBER(MATCH(DATEVALUE($A336),'recurring1_based on steps'!AU$1:AU$400,0)),AU$2,)</f>
        <v>0</v>
      </c>
      <c r="AV336" s="155">
        <f ca="1">IF(ISNUMBER(MATCH(DATEVALUE($A336),'recurring1_based on steps'!AV$1:AV$400,0)),AV$2,)</f>
        <v>0</v>
      </c>
      <c r="AW336" s="155">
        <f ca="1">IF(ISNUMBER(MATCH(DATEVALUE($A336),'recurring1_based on steps'!AW$1:AW$400,0)),AW$2,)</f>
        <v>0</v>
      </c>
      <c r="AX336" s="155">
        <f ca="1">IF(ISNUMBER(MATCH(DATEVALUE($A336),'recurring1_based on steps'!AX$1:AX$400,0)),AX$2,)</f>
        <v>0</v>
      </c>
      <c r="AY336" s="155">
        <f ca="1">IF(ISNUMBER(MATCH(DATEVALUE($A336),'recurring1_based on steps'!AY$1:AY$400,0)),AY$2,)</f>
        <v>0</v>
      </c>
    </row>
    <row r="337" spans="1:51" x14ac:dyDescent="0.2">
      <c r="A337" s="18" t="str">
        <f t="shared" ca="1" si="5"/>
        <v>2026-01-01</v>
      </c>
      <c r="B337" s="155">
        <f ca="1">IF(ISNUMBER(MATCH(DATEVALUE($A337),'recurring1_based on steps'!B$1:B$400,0)),B$2,)</f>
        <v>0</v>
      </c>
      <c r="C337" s="155">
        <f ca="1">IF(ISNUMBER(MATCH(DATEVALUE($A337),'recurring1_based on steps'!C$1:C$400,0)),C$2,)</f>
        <v>0</v>
      </c>
      <c r="D337" s="155">
        <f ca="1">IF(ISNUMBER(MATCH(DATEVALUE($A337),'recurring1_based on steps'!D$1:D$400,0)),D$2,)</f>
        <v>0</v>
      </c>
      <c r="E337" s="155">
        <f ca="1">IF(ISNUMBER(MATCH(DATEVALUE($A337),'recurring1_based on steps'!E$1:E$400,0)),E$2,)</f>
        <v>0</v>
      </c>
      <c r="F337" s="155">
        <f ca="1">IF(ISNUMBER(MATCH(DATEVALUE($A337),'recurring1_based on steps'!F$1:F$400,0)),F$2,)</f>
        <v>0</v>
      </c>
      <c r="G337" s="155">
        <f ca="1">IF(ISNUMBER(MATCH(DATEVALUE($A337),'recurring1_based on steps'!G$1:G$400,0)),G$2,)</f>
        <v>0</v>
      </c>
      <c r="H337" s="155">
        <f ca="1">IF(ISNUMBER(MATCH(DATEVALUE($A337),'recurring1_based on steps'!H$1:H$400,0)),H$2,)</f>
        <v>0</v>
      </c>
      <c r="I337" s="155">
        <f ca="1">IF(ISNUMBER(MATCH(DATEVALUE($A337),'recurring1_based on steps'!I$1:I$400,0)),I$2,)</f>
        <v>2000</v>
      </c>
      <c r="J337" s="155">
        <f ca="1">IF(ISNUMBER(MATCH(DATEVALUE($A337),'recurring1_based on steps'!J$1:J$400,0)),J$2,)</f>
        <v>0</v>
      </c>
      <c r="K337" s="155">
        <f ca="1">IF(ISNUMBER(MATCH(DATEVALUE($A337),'recurring1_based on steps'!K$1:K$400,0)),K$2,)</f>
        <v>0</v>
      </c>
      <c r="L337" s="155">
        <f ca="1">IF(ISNUMBER(MATCH(DATEVALUE($A337),'recurring1_based on steps'!L$1:L$400,0)),L$2,)</f>
        <v>0</v>
      </c>
      <c r="M337" s="155">
        <f ca="1">IF(ISNUMBER(MATCH(DATEVALUE($A337),'recurring1_based on steps'!M$1:M$400,0)),M$2,)</f>
        <v>0</v>
      </c>
      <c r="N337" s="155">
        <f ca="1">IF(ISNUMBER(MATCH(DATEVALUE($A337),'recurring1_based on steps'!N$1:N$400,0)),N$2,)</f>
        <v>0</v>
      </c>
      <c r="O337" s="155">
        <f ca="1">IF(ISNUMBER(MATCH(DATEVALUE($A337),'recurring1_based on steps'!O$1:O$400,0)),O$2,)</f>
        <v>0</v>
      </c>
      <c r="P337" s="155">
        <f ca="1">IF(ISNUMBER(MATCH(DATEVALUE($A337),'recurring1_based on steps'!P$1:P$400,0)),P$2,)</f>
        <v>0</v>
      </c>
      <c r="Q337" s="155">
        <f ca="1">IF(ISNUMBER(MATCH(DATEVALUE($A337),'recurring1_based on steps'!Q$1:Q$400,0)),Q$2,)</f>
        <v>0</v>
      </c>
      <c r="R337" s="155">
        <f ca="1">IF(ISNUMBER(MATCH(DATEVALUE($A337),'recurring1_based on steps'!R$1:R$400,0)),R$2,)</f>
        <v>0</v>
      </c>
      <c r="S337" s="155">
        <f ca="1">IF(ISNUMBER(MATCH(DATEVALUE($A337),'recurring1_based on steps'!S$1:S$400,0)),S$2,)</f>
        <v>0</v>
      </c>
      <c r="T337" s="155">
        <f ca="1">IF(ISNUMBER(MATCH(DATEVALUE($A337),'recurring1_based on steps'!T$1:T$400,0)),T$2,)</f>
        <v>0</v>
      </c>
      <c r="U337" s="155">
        <f ca="1">IF(ISNUMBER(MATCH(DATEVALUE($A337),'recurring1_based on steps'!U$1:U$400,0)),U$2,)</f>
        <v>0</v>
      </c>
      <c r="V337" s="155">
        <f ca="1">IF(ISNUMBER(MATCH(DATEVALUE($A337),'recurring1_based on steps'!V$1:V$400,0)),V$2,)</f>
        <v>0</v>
      </c>
      <c r="W337" s="155">
        <f ca="1">IF(ISNUMBER(MATCH(DATEVALUE($A337),'recurring1_based on steps'!W$1:W$400,0)),W$2,)</f>
        <v>0</v>
      </c>
      <c r="X337" s="155">
        <f ca="1">IF(ISNUMBER(MATCH(DATEVALUE($A337),'recurring1_based on steps'!X$1:X$400,0)),X$2,)</f>
        <v>0</v>
      </c>
      <c r="Y337" s="155">
        <f ca="1">IF(ISNUMBER(MATCH(DATEVALUE($A337),'recurring1_based on steps'!Y$1:Y$400,0)),Y$2,)</f>
        <v>0</v>
      </c>
      <c r="Z337" s="155">
        <f ca="1">IF(ISNUMBER(MATCH(DATEVALUE($A337),'recurring1_based on steps'!Z$1:Z$400,0)),Z$2,)</f>
        <v>0</v>
      </c>
      <c r="AA337" s="155">
        <f ca="1">IF(ISNUMBER(MATCH(DATEVALUE($A337),'recurring1_based on steps'!AA$1:AA$400,0)),AA$2,)</f>
        <v>0</v>
      </c>
      <c r="AB337" s="155">
        <f ca="1">IF(ISNUMBER(MATCH(DATEVALUE($A337),'recurring1_based on steps'!AB$1:AB$400,0)),AB$2,)</f>
        <v>0</v>
      </c>
      <c r="AC337" s="155">
        <f ca="1">IF(ISNUMBER(MATCH(DATEVALUE($A337),'recurring1_based on steps'!AC$1:AC$400,0)),AC$2,)</f>
        <v>0</v>
      </c>
      <c r="AD337" s="155">
        <f ca="1">IF(ISNUMBER(MATCH(DATEVALUE($A337),'recurring1_based on steps'!AD$1:AD$400,0)),AD$2,)</f>
        <v>0</v>
      </c>
      <c r="AE337" s="155">
        <f ca="1">IF(ISNUMBER(MATCH(DATEVALUE($A337),'recurring1_based on steps'!AE$1:AE$400,0)),AE$2,)</f>
        <v>0</v>
      </c>
      <c r="AF337" s="155">
        <f ca="1">IF(ISNUMBER(MATCH(DATEVALUE($A337),'recurring1_based on steps'!AF$1:AF$400,0)),AF$2,)</f>
        <v>0</v>
      </c>
      <c r="AG337" s="155">
        <f ca="1">IF(ISNUMBER(MATCH(DATEVALUE($A337),'recurring1_based on steps'!AG$1:AG$400,0)),AG$2,)</f>
        <v>0</v>
      </c>
      <c r="AH337" s="155">
        <f ca="1">IF(ISNUMBER(MATCH(DATEVALUE($A337),'recurring1_based on steps'!AH$1:AH$400,0)),AH$2,)</f>
        <v>0</v>
      </c>
      <c r="AI337" s="155">
        <f ca="1">IF(ISNUMBER(MATCH(DATEVALUE($A337),'recurring1_based on steps'!AI$1:AI$400,0)),AI$2,)</f>
        <v>0</v>
      </c>
      <c r="AJ337" s="155">
        <f ca="1">IF(ISNUMBER(MATCH(DATEVALUE($A337),'recurring1_based on steps'!AJ$1:AJ$400,0)),AJ$2,)</f>
        <v>0</v>
      </c>
      <c r="AK337" s="155">
        <f ca="1">IF(ISNUMBER(MATCH(DATEVALUE($A337),'recurring1_based on steps'!AK$1:AK$400,0)),AK$2,)</f>
        <v>0</v>
      </c>
      <c r="AL337" s="155">
        <f ca="1">IF(ISNUMBER(MATCH(DATEVALUE($A337),'recurring1_based on steps'!AL$1:AL$400,0)),AL$2,)</f>
        <v>0</v>
      </c>
      <c r="AM337" s="155">
        <f ca="1">IF(ISNUMBER(MATCH(DATEVALUE($A337),'recurring1_based on steps'!AM$1:AM$400,0)),AM$2,)</f>
        <v>0</v>
      </c>
      <c r="AN337" s="155">
        <f ca="1">IF(ISNUMBER(MATCH(DATEVALUE($A337),'recurring1_based on steps'!AN$1:AN$400,0)),AN$2,)</f>
        <v>0</v>
      </c>
      <c r="AO337" s="155">
        <f ca="1">IF(ISNUMBER(MATCH(DATEVALUE($A337),'recurring1_based on steps'!AO$1:AO$400,0)),AO$2,)</f>
        <v>0</v>
      </c>
      <c r="AP337" s="155">
        <f ca="1">IF(ISNUMBER(MATCH(DATEVALUE($A337),'recurring1_based on steps'!AP$1:AP$400,0)),AP$2,)</f>
        <v>0</v>
      </c>
      <c r="AQ337" s="155">
        <f ca="1">IF(ISNUMBER(MATCH(DATEVALUE($A337),'recurring1_based on steps'!AQ$1:AQ$400,0)),AQ$2,)</f>
        <v>0</v>
      </c>
      <c r="AR337" s="155">
        <f ca="1">IF(ISNUMBER(MATCH(DATEVALUE($A337),'recurring1_based on steps'!AR$1:AR$400,0)),AR$2,)</f>
        <v>0</v>
      </c>
      <c r="AS337" s="155">
        <f ca="1">IF(ISNUMBER(MATCH(DATEVALUE($A337),'recurring1_based on steps'!AS$1:AS$400,0)),AS$2,)</f>
        <v>0</v>
      </c>
      <c r="AT337" s="155">
        <f ca="1">IF(ISNUMBER(MATCH(DATEVALUE($A337),'recurring1_based on steps'!AT$1:AT$400,0)),AT$2,)</f>
        <v>0</v>
      </c>
      <c r="AU337" s="155">
        <f ca="1">IF(ISNUMBER(MATCH(DATEVALUE($A337),'recurring1_based on steps'!AU$1:AU$400,0)),AU$2,)</f>
        <v>0</v>
      </c>
      <c r="AV337" s="155">
        <f ca="1">IF(ISNUMBER(MATCH(DATEVALUE($A337),'recurring1_based on steps'!AV$1:AV$400,0)),AV$2,)</f>
        <v>0</v>
      </c>
      <c r="AW337" s="155">
        <f ca="1">IF(ISNUMBER(MATCH(DATEVALUE($A337),'recurring1_based on steps'!AW$1:AW$400,0)),AW$2,)</f>
        <v>0</v>
      </c>
      <c r="AX337" s="155">
        <f ca="1">IF(ISNUMBER(MATCH(DATEVALUE($A337),'recurring1_based on steps'!AX$1:AX$400,0)),AX$2,)</f>
        <v>0</v>
      </c>
      <c r="AY337" s="155">
        <f ca="1">IF(ISNUMBER(MATCH(DATEVALUE($A337),'recurring1_based on steps'!AY$1:AY$400,0)),AY$2,)</f>
        <v>0</v>
      </c>
    </row>
    <row r="338" spans="1:51" x14ac:dyDescent="0.2">
      <c r="A338" s="18" t="str">
        <f t="shared" ca="1" si="5"/>
        <v>2026-01-02</v>
      </c>
      <c r="B338" s="155">
        <f ca="1">IF(ISNUMBER(MATCH(DATEVALUE($A338),'recurring1_based on steps'!B$1:B$400,0)),B$2,)</f>
        <v>0</v>
      </c>
      <c r="C338" s="155">
        <f ca="1">IF(ISNUMBER(MATCH(DATEVALUE($A338),'recurring1_based on steps'!C$1:C$400,0)),C$2,)</f>
        <v>0</v>
      </c>
      <c r="D338" s="155">
        <f ca="1">IF(ISNUMBER(MATCH(DATEVALUE($A338),'recurring1_based on steps'!D$1:D$400,0)),D$2,)</f>
        <v>0</v>
      </c>
      <c r="E338" s="155">
        <f ca="1">IF(ISNUMBER(MATCH(DATEVALUE($A338),'recurring1_based on steps'!E$1:E$400,0)),E$2,)</f>
        <v>0</v>
      </c>
      <c r="F338" s="155">
        <f ca="1">IF(ISNUMBER(MATCH(DATEVALUE($A338),'recurring1_based on steps'!F$1:F$400,0)),F$2,)</f>
        <v>0</v>
      </c>
      <c r="G338" s="155">
        <f ca="1">IF(ISNUMBER(MATCH(DATEVALUE($A338),'recurring1_based on steps'!G$1:G$400,0)),G$2,)</f>
        <v>0</v>
      </c>
      <c r="H338" s="155">
        <f ca="1">IF(ISNUMBER(MATCH(DATEVALUE($A338),'recurring1_based on steps'!H$1:H$400,0)),H$2,)</f>
        <v>0</v>
      </c>
      <c r="I338" s="155">
        <f ca="1">IF(ISNUMBER(MATCH(DATEVALUE($A338),'recurring1_based on steps'!I$1:I$400,0)),I$2,)</f>
        <v>0</v>
      </c>
      <c r="J338" s="155">
        <f ca="1">IF(ISNUMBER(MATCH(DATEVALUE($A338),'recurring1_based on steps'!J$1:J$400,0)),J$2,)</f>
        <v>0</v>
      </c>
      <c r="K338" s="155">
        <f ca="1">IF(ISNUMBER(MATCH(DATEVALUE($A338),'recurring1_based on steps'!K$1:K$400,0)),K$2,)</f>
        <v>0</v>
      </c>
      <c r="L338" s="155">
        <f ca="1">IF(ISNUMBER(MATCH(DATEVALUE($A338),'recurring1_based on steps'!L$1:L$400,0)),L$2,)</f>
        <v>0</v>
      </c>
      <c r="M338" s="155">
        <f ca="1">IF(ISNUMBER(MATCH(DATEVALUE($A338),'recurring1_based on steps'!M$1:M$400,0)),M$2,)</f>
        <v>0</v>
      </c>
      <c r="N338" s="155">
        <f ca="1">IF(ISNUMBER(MATCH(DATEVALUE($A338),'recurring1_based on steps'!N$1:N$400,0)),N$2,)</f>
        <v>0</v>
      </c>
      <c r="O338" s="155">
        <f ca="1">IF(ISNUMBER(MATCH(DATEVALUE($A338),'recurring1_based on steps'!O$1:O$400,0)),O$2,)</f>
        <v>0</v>
      </c>
      <c r="P338" s="155">
        <f ca="1">IF(ISNUMBER(MATCH(DATEVALUE($A338),'recurring1_based on steps'!P$1:P$400,0)),P$2,)</f>
        <v>0</v>
      </c>
      <c r="Q338" s="155">
        <f ca="1">IF(ISNUMBER(MATCH(DATEVALUE($A338),'recurring1_based on steps'!Q$1:Q$400,0)),Q$2,)</f>
        <v>0</v>
      </c>
      <c r="R338" s="155">
        <f ca="1">IF(ISNUMBER(MATCH(DATEVALUE($A338),'recurring1_based on steps'!R$1:R$400,0)),R$2,)</f>
        <v>0</v>
      </c>
      <c r="S338" s="155">
        <f ca="1">IF(ISNUMBER(MATCH(DATEVALUE($A338),'recurring1_based on steps'!S$1:S$400,0)),S$2,)</f>
        <v>0</v>
      </c>
      <c r="T338" s="155">
        <f ca="1">IF(ISNUMBER(MATCH(DATEVALUE($A338),'recurring1_based on steps'!T$1:T$400,0)),T$2,)</f>
        <v>0</v>
      </c>
      <c r="U338" s="155">
        <f ca="1">IF(ISNUMBER(MATCH(DATEVALUE($A338),'recurring1_based on steps'!U$1:U$400,0)),U$2,)</f>
        <v>0</v>
      </c>
      <c r="V338" s="155">
        <f ca="1">IF(ISNUMBER(MATCH(DATEVALUE($A338),'recurring1_based on steps'!V$1:V$400,0)),V$2,)</f>
        <v>0</v>
      </c>
      <c r="W338" s="155">
        <f ca="1">IF(ISNUMBER(MATCH(DATEVALUE($A338),'recurring1_based on steps'!W$1:W$400,0)),W$2,)</f>
        <v>0</v>
      </c>
      <c r="X338" s="155">
        <f ca="1">IF(ISNUMBER(MATCH(DATEVALUE($A338),'recurring1_based on steps'!X$1:X$400,0)),X$2,)</f>
        <v>0</v>
      </c>
      <c r="Y338" s="155">
        <f ca="1">IF(ISNUMBER(MATCH(DATEVALUE($A338),'recurring1_based on steps'!Y$1:Y$400,0)),Y$2,)</f>
        <v>0</v>
      </c>
      <c r="Z338" s="155">
        <f ca="1">IF(ISNUMBER(MATCH(DATEVALUE($A338),'recurring1_based on steps'!Z$1:Z$400,0)),Z$2,)</f>
        <v>0</v>
      </c>
      <c r="AA338" s="155">
        <f ca="1">IF(ISNUMBER(MATCH(DATEVALUE($A338),'recurring1_based on steps'!AA$1:AA$400,0)),AA$2,)</f>
        <v>0</v>
      </c>
      <c r="AB338" s="155">
        <f ca="1">IF(ISNUMBER(MATCH(DATEVALUE($A338),'recurring1_based on steps'!AB$1:AB$400,0)),AB$2,)</f>
        <v>0</v>
      </c>
      <c r="AC338" s="155">
        <f ca="1">IF(ISNUMBER(MATCH(DATEVALUE($A338),'recurring1_based on steps'!AC$1:AC$400,0)),AC$2,)</f>
        <v>0</v>
      </c>
      <c r="AD338" s="155">
        <f ca="1">IF(ISNUMBER(MATCH(DATEVALUE($A338),'recurring1_based on steps'!AD$1:AD$400,0)),AD$2,)</f>
        <v>0</v>
      </c>
      <c r="AE338" s="155">
        <f ca="1">IF(ISNUMBER(MATCH(DATEVALUE($A338),'recurring1_based on steps'!AE$1:AE$400,0)),AE$2,)</f>
        <v>0</v>
      </c>
      <c r="AF338" s="155">
        <f ca="1">IF(ISNUMBER(MATCH(DATEVALUE($A338),'recurring1_based on steps'!AF$1:AF$400,0)),AF$2,)</f>
        <v>0</v>
      </c>
      <c r="AG338" s="155">
        <f ca="1">IF(ISNUMBER(MATCH(DATEVALUE($A338),'recurring1_based on steps'!AG$1:AG$400,0)),AG$2,)</f>
        <v>0</v>
      </c>
      <c r="AH338" s="155">
        <f ca="1">IF(ISNUMBER(MATCH(DATEVALUE($A338),'recurring1_based on steps'!AH$1:AH$400,0)),AH$2,)</f>
        <v>0</v>
      </c>
      <c r="AI338" s="155">
        <f ca="1">IF(ISNUMBER(MATCH(DATEVALUE($A338),'recurring1_based on steps'!AI$1:AI$400,0)),AI$2,)</f>
        <v>0</v>
      </c>
      <c r="AJ338" s="155">
        <f ca="1">IF(ISNUMBER(MATCH(DATEVALUE($A338),'recurring1_based on steps'!AJ$1:AJ$400,0)),AJ$2,)</f>
        <v>0</v>
      </c>
      <c r="AK338" s="155">
        <f ca="1">IF(ISNUMBER(MATCH(DATEVALUE($A338),'recurring1_based on steps'!AK$1:AK$400,0)),AK$2,)</f>
        <v>0</v>
      </c>
      <c r="AL338" s="155">
        <f ca="1">IF(ISNUMBER(MATCH(DATEVALUE($A338),'recurring1_based on steps'!AL$1:AL$400,0)),AL$2,)</f>
        <v>0</v>
      </c>
      <c r="AM338" s="155">
        <f ca="1">IF(ISNUMBER(MATCH(DATEVALUE($A338),'recurring1_based on steps'!AM$1:AM$400,0)),AM$2,)</f>
        <v>0</v>
      </c>
      <c r="AN338" s="155">
        <f ca="1">IF(ISNUMBER(MATCH(DATEVALUE($A338),'recurring1_based on steps'!AN$1:AN$400,0)),AN$2,)</f>
        <v>0</v>
      </c>
      <c r="AO338" s="155">
        <f ca="1">IF(ISNUMBER(MATCH(DATEVALUE($A338),'recurring1_based on steps'!AO$1:AO$400,0)),AO$2,)</f>
        <v>0</v>
      </c>
      <c r="AP338" s="155">
        <f ca="1">IF(ISNUMBER(MATCH(DATEVALUE($A338),'recurring1_based on steps'!AP$1:AP$400,0)),AP$2,)</f>
        <v>0</v>
      </c>
      <c r="AQ338" s="155">
        <f ca="1">IF(ISNUMBER(MATCH(DATEVALUE($A338),'recurring1_based on steps'!AQ$1:AQ$400,0)),AQ$2,)</f>
        <v>0</v>
      </c>
      <c r="AR338" s="155">
        <f ca="1">IF(ISNUMBER(MATCH(DATEVALUE($A338),'recurring1_based on steps'!AR$1:AR$400,0)),AR$2,)</f>
        <v>0</v>
      </c>
      <c r="AS338" s="155">
        <f ca="1">IF(ISNUMBER(MATCH(DATEVALUE($A338),'recurring1_based on steps'!AS$1:AS$400,0)),AS$2,)</f>
        <v>0</v>
      </c>
      <c r="AT338" s="155">
        <f ca="1">IF(ISNUMBER(MATCH(DATEVALUE($A338),'recurring1_based on steps'!AT$1:AT$400,0)),AT$2,)</f>
        <v>0</v>
      </c>
      <c r="AU338" s="155">
        <f ca="1">IF(ISNUMBER(MATCH(DATEVALUE($A338),'recurring1_based on steps'!AU$1:AU$400,0)),AU$2,)</f>
        <v>0</v>
      </c>
      <c r="AV338" s="155">
        <f ca="1">IF(ISNUMBER(MATCH(DATEVALUE($A338),'recurring1_based on steps'!AV$1:AV$400,0)),AV$2,)</f>
        <v>0</v>
      </c>
      <c r="AW338" s="155">
        <f ca="1">IF(ISNUMBER(MATCH(DATEVALUE($A338),'recurring1_based on steps'!AW$1:AW$400,0)),AW$2,)</f>
        <v>0</v>
      </c>
      <c r="AX338" s="155">
        <f ca="1">IF(ISNUMBER(MATCH(DATEVALUE($A338),'recurring1_based on steps'!AX$1:AX$400,0)),AX$2,)</f>
        <v>0</v>
      </c>
      <c r="AY338" s="155">
        <f ca="1">IF(ISNUMBER(MATCH(DATEVALUE($A338),'recurring1_based on steps'!AY$1:AY$400,0)),AY$2,)</f>
        <v>0</v>
      </c>
    </row>
    <row r="339" spans="1:51" x14ac:dyDescent="0.2">
      <c r="A339" s="18" t="str">
        <f t="shared" ca="1" si="5"/>
        <v>2026-01-03</v>
      </c>
      <c r="B339" s="155">
        <f ca="1">IF(ISNUMBER(MATCH(DATEVALUE($A339),'recurring1_based on steps'!B$1:B$400,0)),B$2,)</f>
        <v>0</v>
      </c>
      <c r="C339" s="155">
        <f ca="1">IF(ISNUMBER(MATCH(DATEVALUE($A339),'recurring1_based on steps'!C$1:C$400,0)),C$2,)</f>
        <v>0</v>
      </c>
      <c r="D339" s="155">
        <f ca="1">IF(ISNUMBER(MATCH(DATEVALUE($A339),'recurring1_based on steps'!D$1:D$400,0)),D$2,)</f>
        <v>0</v>
      </c>
      <c r="E339" s="155">
        <f ca="1">IF(ISNUMBER(MATCH(DATEVALUE($A339),'recurring1_based on steps'!E$1:E$400,0)),E$2,)</f>
        <v>0</v>
      </c>
      <c r="F339" s="155">
        <f ca="1">IF(ISNUMBER(MATCH(DATEVALUE($A339),'recurring1_based on steps'!F$1:F$400,0)),F$2,)</f>
        <v>0</v>
      </c>
      <c r="G339" s="155">
        <f ca="1">IF(ISNUMBER(MATCH(DATEVALUE($A339),'recurring1_based on steps'!G$1:G$400,0)),G$2,)</f>
        <v>0</v>
      </c>
      <c r="H339" s="155">
        <f ca="1">IF(ISNUMBER(MATCH(DATEVALUE($A339),'recurring1_based on steps'!H$1:H$400,0)),H$2,)</f>
        <v>0</v>
      </c>
      <c r="I339" s="155">
        <f ca="1">IF(ISNUMBER(MATCH(DATEVALUE($A339),'recurring1_based on steps'!I$1:I$400,0)),I$2,)</f>
        <v>0</v>
      </c>
      <c r="J339" s="155">
        <f ca="1">IF(ISNUMBER(MATCH(DATEVALUE($A339),'recurring1_based on steps'!J$1:J$400,0)),J$2,)</f>
        <v>0</v>
      </c>
      <c r="K339" s="155">
        <f ca="1">IF(ISNUMBER(MATCH(DATEVALUE($A339),'recurring1_based on steps'!K$1:K$400,0)),K$2,)</f>
        <v>0</v>
      </c>
      <c r="L339" s="155">
        <f ca="1">IF(ISNUMBER(MATCH(DATEVALUE($A339),'recurring1_based on steps'!L$1:L$400,0)),L$2,)</f>
        <v>0</v>
      </c>
      <c r="M339" s="155">
        <f ca="1">IF(ISNUMBER(MATCH(DATEVALUE($A339),'recurring1_based on steps'!M$1:M$400,0)),M$2,)</f>
        <v>0</v>
      </c>
      <c r="N339" s="155">
        <f ca="1">IF(ISNUMBER(MATCH(DATEVALUE($A339),'recurring1_based on steps'!N$1:N$400,0)),N$2,)</f>
        <v>0</v>
      </c>
      <c r="O339" s="155">
        <f ca="1">IF(ISNUMBER(MATCH(DATEVALUE($A339),'recurring1_based on steps'!O$1:O$400,0)),O$2,)</f>
        <v>0</v>
      </c>
      <c r="P339" s="155">
        <f ca="1">IF(ISNUMBER(MATCH(DATEVALUE($A339),'recurring1_based on steps'!P$1:P$400,0)),P$2,)</f>
        <v>0</v>
      </c>
      <c r="Q339" s="155">
        <f ca="1">IF(ISNUMBER(MATCH(DATEVALUE($A339),'recurring1_based on steps'!Q$1:Q$400,0)),Q$2,)</f>
        <v>100</v>
      </c>
      <c r="R339" s="155">
        <f ca="1">IF(ISNUMBER(MATCH(DATEVALUE($A339),'recurring1_based on steps'!R$1:R$400,0)),R$2,)</f>
        <v>100</v>
      </c>
      <c r="S339" s="155">
        <f ca="1">IF(ISNUMBER(MATCH(DATEVALUE($A339),'recurring1_based on steps'!S$1:S$400,0)),S$2,)</f>
        <v>0</v>
      </c>
      <c r="T339" s="155">
        <f ca="1">IF(ISNUMBER(MATCH(DATEVALUE($A339),'recurring1_based on steps'!T$1:T$400,0)),T$2,)</f>
        <v>0</v>
      </c>
      <c r="U339" s="155">
        <f ca="1">IF(ISNUMBER(MATCH(DATEVALUE($A339),'recurring1_based on steps'!U$1:U$400,0)),U$2,)</f>
        <v>0</v>
      </c>
      <c r="V339" s="155">
        <f ca="1">IF(ISNUMBER(MATCH(DATEVALUE($A339),'recurring1_based on steps'!V$1:V$400,0)),V$2,)</f>
        <v>0</v>
      </c>
      <c r="W339" s="155">
        <f ca="1">IF(ISNUMBER(MATCH(DATEVALUE($A339),'recurring1_based on steps'!W$1:W$400,0)),W$2,)</f>
        <v>0</v>
      </c>
      <c r="X339" s="155">
        <f ca="1">IF(ISNUMBER(MATCH(DATEVALUE($A339),'recurring1_based on steps'!X$1:X$400,0)),X$2,)</f>
        <v>0</v>
      </c>
      <c r="Y339" s="155">
        <f ca="1">IF(ISNUMBER(MATCH(DATEVALUE($A339),'recurring1_based on steps'!Y$1:Y$400,0)),Y$2,)</f>
        <v>0</v>
      </c>
      <c r="Z339" s="155">
        <f ca="1">IF(ISNUMBER(MATCH(DATEVALUE($A339),'recurring1_based on steps'!Z$1:Z$400,0)),Z$2,)</f>
        <v>0</v>
      </c>
      <c r="AA339" s="155">
        <f ca="1">IF(ISNUMBER(MATCH(DATEVALUE($A339),'recurring1_based on steps'!AA$1:AA$400,0)),AA$2,)</f>
        <v>0</v>
      </c>
      <c r="AB339" s="155">
        <f ca="1">IF(ISNUMBER(MATCH(DATEVALUE($A339),'recurring1_based on steps'!AB$1:AB$400,0)),AB$2,)</f>
        <v>0</v>
      </c>
      <c r="AC339" s="155">
        <f ca="1">IF(ISNUMBER(MATCH(DATEVALUE($A339),'recurring1_based on steps'!AC$1:AC$400,0)),AC$2,)</f>
        <v>0</v>
      </c>
      <c r="AD339" s="155">
        <f ca="1">IF(ISNUMBER(MATCH(DATEVALUE($A339),'recurring1_based on steps'!AD$1:AD$400,0)),AD$2,)</f>
        <v>0</v>
      </c>
      <c r="AE339" s="155">
        <f ca="1">IF(ISNUMBER(MATCH(DATEVALUE($A339),'recurring1_based on steps'!AE$1:AE$400,0)),AE$2,)</f>
        <v>0</v>
      </c>
      <c r="AF339" s="155">
        <f ca="1">IF(ISNUMBER(MATCH(DATEVALUE($A339),'recurring1_based on steps'!AF$1:AF$400,0)),AF$2,)</f>
        <v>0</v>
      </c>
      <c r="AG339" s="155">
        <f ca="1">IF(ISNUMBER(MATCH(DATEVALUE($A339),'recurring1_based on steps'!AG$1:AG$400,0)),AG$2,)</f>
        <v>0</v>
      </c>
      <c r="AH339" s="155">
        <f ca="1">IF(ISNUMBER(MATCH(DATEVALUE($A339),'recurring1_based on steps'!AH$1:AH$400,0)),AH$2,)</f>
        <v>0</v>
      </c>
      <c r="AI339" s="155">
        <f ca="1">IF(ISNUMBER(MATCH(DATEVALUE($A339),'recurring1_based on steps'!AI$1:AI$400,0)),AI$2,)</f>
        <v>0</v>
      </c>
      <c r="AJ339" s="155">
        <f ca="1">IF(ISNUMBER(MATCH(DATEVALUE($A339),'recurring1_based on steps'!AJ$1:AJ$400,0)),AJ$2,)</f>
        <v>0</v>
      </c>
      <c r="AK339" s="155">
        <f ca="1">IF(ISNUMBER(MATCH(DATEVALUE($A339),'recurring1_based on steps'!AK$1:AK$400,0)),AK$2,)</f>
        <v>0</v>
      </c>
      <c r="AL339" s="155">
        <f ca="1">IF(ISNUMBER(MATCH(DATEVALUE($A339),'recurring1_based on steps'!AL$1:AL$400,0)),AL$2,)</f>
        <v>0</v>
      </c>
      <c r="AM339" s="155">
        <f ca="1">IF(ISNUMBER(MATCH(DATEVALUE($A339),'recurring1_based on steps'!AM$1:AM$400,0)),AM$2,)</f>
        <v>0</v>
      </c>
      <c r="AN339" s="155">
        <f ca="1">IF(ISNUMBER(MATCH(DATEVALUE($A339),'recurring1_based on steps'!AN$1:AN$400,0)),AN$2,)</f>
        <v>0</v>
      </c>
      <c r="AO339" s="155">
        <f ca="1">IF(ISNUMBER(MATCH(DATEVALUE($A339),'recurring1_based on steps'!AO$1:AO$400,0)),AO$2,)</f>
        <v>0</v>
      </c>
      <c r="AP339" s="155">
        <f ca="1">IF(ISNUMBER(MATCH(DATEVALUE($A339),'recurring1_based on steps'!AP$1:AP$400,0)),AP$2,)</f>
        <v>0</v>
      </c>
      <c r="AQ339" s="155">
        <f ca="1">IF(ISNUMBER(MATCH(DATEVALUE($A339),'recurring1_based on steps'!AQ$1:AQ$400,0)),AQ$2,)</f>
        <v>0</v>
      </c>
      <c r="AR339" s="155">
        <f ca="1">IF(ISNUMBER(MATCH(DATEVALUE($A339),'recurring1_based on steps'!AR$1:AR$400,0)),AR$2,)</f>
        <v>0</v>
      </c>
      <c r="AS339" s="155">
        <f ca="1">IF(ISNUMBER(MATCH(DATEVALUE($A339),'recurring1_based on steps'!AS$1:AS$400,0)),AS$2,)</f>
        <v>0</v>
      </c>
      <c r="AT339" s="155">
        <f ca="1">IF(ISNUMBER(MATCH(DATEVALUE($A339),'recurring1_based on steps'!AT$1:AT$400,0)),AT$2,)</f>
        <v>0</v>
      </c>
      <c r="AU339" s="155">
        <f ca="1">IF(ISNUMBER(MATCH(DATEVALUE($A339),'recurring1_based on steps'!AU$1:AU$400,0)),AU$2,)</f>
        <v>0</v>
      </c>
      <c r="AV339" s="155">
        <f ca="1">IF(ISNUMBER(MATCH(DATEVALUE($A339),'recurring1_based on steps'!AV$1:AV$400,0)),AV$2,)</f>
        <v>0</v>
      </c>
      <c r="AW339" s="155">
        <f ca="1">IF(ISNUMBER(MATCH(DATEVALUE($A339),'recurring1_based on steps'!AW$1:AW$400,0)),AW$2,)</f>
        <v>0</v>
      </c>
      <c r="AX339" s="155">
        <f ca="1">IF(ISNUMBER(MATCH(DATEVALUE($A339),'recurring1_based on steps'!AX$1:AX$400,0)),AX$2,)</f>
        <v>0</v>
      </c>
      <c r="AY339" s="155">
        <f ca="1">IF(ISNUMBER(MATCH(DATEVALUE($A339),'recurring1_based on steps'!AY$1:AY$400,0)),AY$2,)</f>
        <v>0</v>
      </c>
    </row>
    <row r="340" spans="1:51" x14ac:dyDescent="0.2">
      <c r="A340" s="18" t="str">
        <f t="shared" ca="1" si="5"/>
        <v>2026-01-04</v>
      </c>
      <c r="B340" s="155">
        <f ca="1">IF(ISNUMBER(MATCH(DATEVALUE($A340),'recurring1_based on steps'!B$1:B$400,0)),B$2,)</f>
        <v>0</v>
      </c>
      <c r="C340" s="155">
        <f ca="1">IF(ISNUMBER(MATCH(DATEVALUE($A340),'recurring1_based on steps'!C$1:C$400,0)),C$2,)</f>
        <v>0</v>
      </c>
      <c r="D340" s="155">
        <f ca="1">IF(ISNUMBER(MATCH(DATEVALUE($A340),'recurring1_based on steps'!D$1:D$400,0)),D$2,)</f>
        <v>0</v>
      </c>
      <c r="E340" s="155">
        <f ca="1">IF(ISNUMBER(MATCH(DATEVALUE($A340),'recurring1_based on steps'!E$1:E$400,0)),E$2,)</f>
        <v>0</v>
      </c>
      <c r="F340" s="155">
        <f ca="1">IF(ISNUMBER(MATCH(DATEVALUE($A340),'recurring1_based on steps'!F$1:F$400,0)),F$2,)</f>
        <v>0</v>
      </c>
      <c r="G340" s="155">
        <f ca="1">IF(ISNUMBER(MATCH(DATEVALUE($A340),'recurring1_based on steps'!G$1:G$400,0)),G$2,)</f>
        <v>0</v>
      </c>
      <c r="H340" s="155">
        <f ca="1">IF(ISNUMBER(MATCH(DATEVALUE($A340),'recurring1_based on steps'!H$1:H$400,0)),H$2,)</f>
        <v>0</v>
      </c>
      <c r="I340" s="155">
        <f ca="1">IF(ISNUMBER(MATCH(DATEVALUE($A340),'recurring1_based on steps'!I$1:I$400,0)),I$2,)</f>
        <v>0</v>
      </c>
      <c r="J340" s="155">
        <f ca="1">IF(ISNUMBER(MATCH(DATEVALUE($A340),'recurring1_based on steps'!J$1:J$400,0)),J$2,)</f>
        <v>0</v>
      </c>
      <c r="K340" s="155">
        <f ca="1">IF(ISNUMBER(MATCH(DATEVALUE($A340),'recurring1_based on steps'!K$1:K$400,0)),K$2,)</f>
        <v>50</v>
      </c>
      <c r="L340" s="155">
        <f ca="1">IF(ISNUMBER(MATCH(DATEVALUE($A340),'recurring1_based on steps'!L$1:L$400,0)),L$2,)</f>
        <v>0</v>
      </c>
      <c r="M340" s="155">
        <f ca="1">IF(ISNUMBER(MATCH(DATEVALUE($A340),'recurring1_based on steps'!M$1:M$400,0)),M$2,)</f>
        <v>15</v>
      </c>
      <c r="N340" s="155">
        <f ca="1">IF(ISNUMBER(MATCH(DATEVALUE($A340),'recurring1_based on steps'!N$1:N$400,0)),N$2,)</f>
        <v>0</v>
      </c>
      <c r="O340" s="155">
        <f ca="1">IF(ISNUMBER(MATCH(DATEVALUE($A340),'recurring1_based on steps'!O$1:O$400,0)),O$2,)</f>
        <v>0</v>
      </c>
      <c r="P340" s="155">
        <f ca="1">IF(ISNUMBER(MATCH(DATEVALUE($A340),'recurring1_based on steps'!P$1:P$400,0)),P$2,)</f>
        <v>0</v>
      </c>
      <c r="Q340" s="155">
        <f ca="1">IF(ISNUMBER(MATCH(DATEVALUE($A340),'recurring1_based on steps'!Q$1:Q$400,0)),Q$2,)</f>
        <v>0</v>
      </c>
      <c r="R340" s="155">
        <f ca="1">IF(ISNUMBER(MATCH(DATEVALUE($A340),'recurring1_based on steps'!R$1:R$400,0)),R$2,)</f>
        <v>0</v>
      </c>
      <c r="S340" s="155">
        <f ca="1">IF(ISNUMBER(MATCH(DATEVALUE($A340),'recurring1_based on steps'!S$1:S$400,0)),S$2,)</f>
        <v>100</v>
      </c>
      <c r="T340" s="155">
        <f ca="1">IF(ISNUMBER(MATCH(DATEVALUE($A340),'recurring1_based on steps'!T$1:T$400,0)),T$2,)</f>
        <v>0</v>
      </c>
      <c r="U340" s="155">
        <f ca="1">IF(ISNUMBER(MATCH(DATEVALUE($A340),'recurring1_based on steps'!U$1:U$400,0)),U$2,)</f>
        <v>0</v>
      </c>
      <c r="V340" s="155">
        <f ca="1">IF(ISNUMBER(MATCH(DATEVALUE($A340),'recurring1_based on steps'!V$1:V$400,0)),V$2,)</f>
        <v>0</v>
      </c>
      <c r="W340" s="155">
        <f ca="1">IF(ISNUMBER(MATCH(DATEVALUE($A340),'recurring1_based on steps'!W$1:W$400,0)),W$2,)</f>
        <v>0</v>
      </c>
      <c r="X340" s="155">
        <f ca="1">IF(ISNUMBER(MATCH(DATEVALUE($A340),'recurring1_based on steps'!X$1:X$400,0)),X$2,)</f>
        <v>0</v>
      </c>
      <c r="Y340" s="155">
        <f ca="1">IF(ISNUMBER(MATCH(DATEVALUE($A340),'recurring1_based on steps'!Y$1:Y$400,0)),Y$2,)</f>
        <v>0</v>
      </c>
      <c r="Z340" s="155">
        <f ca="1">IF(ISNUMBER(MATCH(DATEVALUE($A340),'recurring1_based on steps'!Z$1:Z$400,0)),Z$2,)</f>
        <v>0</v>
      </c>
      <c r="AA340" s="155">
        <f ca="1">IF(ISNUMBER(MATCH(DATEVALUE($A340),'recurring1_based on steps'!AA$1:AA$400,0)),AA$2,)</f>
        <v>0</v>
      </c>
      <c r="AB340" s="155">
        <f ca="1">IF(ISNUMBER(MATCH(DATEVALUE($A340),'recurring1_based on steps'!AB$1:AB$400,0)),AB$2,)</f>
        <v>0</v>
      </c>
      <c r="AC340" s="155">
        <f ca="1">IF(ISNUMBER(MATCH(DATEVALUE($A340),'recurring1_based on steps'!AC$1:AC$400,0)),AC$2,)</f>
        <v>0</v>
      </c>
      <c r="AD340" s="155">
        <f ca="1">IF(ISNUMBER(MATCH(DATEVALUE($A340),'recurring1_based on steps'!AD$1:AD$400,0)),AD$2,)</f>
        <v>0</v>
      </c>
      <c r="AE340" s="155">
        <f ca="1">IF(ISNUMBER(MATCH(DATEVALUE($A340),'recurring1_based on steps'!AE$1:AE$400,0)),AE$2,)</f>
        <v>0</v>
      </c>
      <c r="AF340" s="155">
        <f ca="1">IF(ISNUMBER(MATCH(DATEVALUE($A340),'recurring1_based on steps'!AF$1:AF$400,0)),AF$2,)</f>
        <v>0</v>
      </c>
      <c r="AG340" s="155">
        <f ca="1">IF(ISNUMBER(MATCH(DATEVALUE($A340),'recurring1_based on steps'!AG$1:AG$400,0)),AG$2,)</f>
        <v>0</v>
      </c>
      <c r="AH340" s="155">
        <f ca="1">IF(ISNUMBER(MATCH(DATEVALUE($A340),'recurring1_based on steps'!AH$1:AH$400,0)),AH$2,)</f>
        <v>0</v>
      </c>
      <c r="AI340" s="155">
        <f ca="1">IF(ISNUMBER(MATCH(DATEVALUE($A340),'recurring1_based on steps'!AI$1:AI$400,0)),AI$2,)</f>
        <v>0</v>
      </c>
      <c r="AJ340" s="155">
        <f ca="1">IF(ISNUMBER(MATCH(DATEVALUE($A340),'recurring1_based on steps'!AJ$1:AJ$400,0)),AJ$2,)</f>
        <v>0</v>
      </c>
      <c r="AK340" s="155">
        <f ca="1">IF(ISNUMBER(MATCH(DATEVALUE($A340),'recurring1_based on steps'!AK$1:AK$400,0)),AK$2,)</f>
        <v>0</v>
      </c>
      <c r="AL340" s="155">
        <f ca="1">IF(ISNUMBER(MATCH(DATEVALUE($A340),'recurring1_based on steps'!AL$1:AL$400,0)),AL$2,)</f>
        <v>0</v>
      </c>
      <c r="AM340" s="155">
        <f ca="1">IF(ISNUMBER(MATCH(DATEVALUE($A340),'recurring1_based on steps'!AM$1:AM$400,0)),AM$2,)</f>
        <v>0</v>
      </c>
      <c r="AN340" s="155">
        <f ca="1">IF(ISNUMBER(MATCH(DATEVALUE($A340),'recurring1_based on steps'!AN$1:AN$400,0)),AN$2,)</f>
        <v>0</v>
      </c>
      <c r="AO340" s="155">
        <f ca="1">IF(ISNUMBER(MATCH(DATEVALUE($A340),'recurring1_based on steps'!AO$1:AO$400,0)),AO$2,)</f>
        <v>0</v>
      </c>
      <c r="AP340" s="155">
        <f ca="1">IF(ISNUMBER(MATCH(DATEVALUE($A340),'recurring1_based on steps'!AP$1:AP$400,0)),AP$2,)</f>
        <v>0</v>
      </c>
      <c r="AQ340" s="155">
        <f ca="1">IF(ISNUMBER(MATCH(DATEVALUE($A340),'recurring1_based on steps'!AQ$1:AQ$400,0)),AQ$2,)</f>
        <v>0</v>
      </c>
      <c r="AR340" s="155">
        <f ca="1">IF(ISNUMBER(MATCH(DATEVALUE($A340),'recurring1_based on steps'!AR$1:AR$400,0)),AR$2,)</f>
        <v>0</v>
      </c>
      <c r="AS340" s="155">
        <f ca="1">IF(ISNUMBER(MATCH(DATEVALUE($A340),'recurring1_based on steps'!AS$1:AS$400,0)),AS$2,)</f>
        <v>0</v>
      </c>
      <c r="AT340" s="155">
        <f ca="1">IF(ISNUMBER(MATCH(DATEVALUE($A340),'recurring1_based on steps'!AT$1:AT$400,0)),AT$2,)</f>
        <v>0</v>
      </c>
      <c r="AU340" s="155">
        <f ca="1">IF(ISNUMBER(MATCH(DATEVALUE($A340),'recurring1_based on steps'!AU$1:AU$400,0)),AU$2,)</f>
        <v>0</v>
      </c>
      <c r="AV340" s="155">
        <f ca="1">IF(ISNUMBER(MATCH(DATEVALUE($A340),'recurring1_based on steps'!AV$1:AV$400,0)),AV$2,)</f>
        <v>0</v>
      </c>
      <c r="AW340" s="155">
        <f ca="1">IF(ISNUMBER(MATCH(DATEVALUE($A340),'recurring1_based on steps'!AW$1:AW$400,0)),AW$2,)</f>
        <v>0</v>
      </c>
      <c r="AX340" s="155">
        <f ca="1">IF(ISNUMBER(MATCH(DATEVALUE($A340),'recurring1_based on steps'!AX$1:AX$400,0)),AX$2,)</f>
        <v>0</v>
      </c>
      <c r="AY340" s="155">
        <f ca="1">IF(ISNUMBER(MATCH(DATEVALUE($A340),'recurring1_based on steps'!AY$1:AY$400,0)),AY$2,)</f>
        <v>0</v>
      </c>
    </row>
    <row r="341" spans="1:51" x14ac:dyDescent="0.2">
      <c r="A341" s="18" t="str">
        <f t="shared" ca="1" si="5"/>
        <v>2026-01-05</v>
      </c>
      <c r="B341" s="155">
        <f ca="1">IF(ISNUMBER(MATCH(DATEVALUE($A341),'recurring1_based on steps'!B$1:B$400,0)),B$2,)</f>
        <v>0</v>
      </c>
      <c r="C341" s="155">
        <f ca="1">IF(ISNUMBER(MATCH(DATEVALUE($A341),'recurring1_based on steps'!C$1:C$400,0)),C$2,)</f>
        <v>0</v>
      </c>
      <c r="D341" s="155">
        <f ca="1">IF(ISNUMBER(MATCH(DATEVALUE($A341),'recurring1_based on steps'!D$1:D$400,0)),D$2,)</f>
        <v>0</v>
      </c>
      <c r="E341" s="155">
        <f ca="1">IF(ISNUMBER(MATCH(DATEVALUE($A341),'recurring1_based on steps'!E$1:E$400,0)),E$2,)</f>
        <v>0</v>
      </c>
      <c r="F341" s="155">
        <f ca="1">IF(ISNUMBER(MATCH(DATEVALUE($A341),'recurring1_based on steps'!F$1:F$400,0)),F$2,)</f>
        <v>0</v>
      </c>
      <c r="G341" s="155">
        <f ca="1">IF(ISNUMBER(MATCH(DATEVALUE($A341),'recurring1_based on steps'!G$1:G$400,0)),G$2,)</f>
        <v>0</v>
      </c>
      <c r="H341" s="155">
        <f ca="1">IF(ISNUMBER(MATCH(DATEVALUE($A341),'recurring1_based on steps'!H$1:H$400,0)),H$2,)</f>
        <v>0</v>
      </c>
      <c r="I341" s="155">
        <f ca="1">IF(ISNUMBER(MATCH(DATEVALUE($A341),'recurring1_based on steps'!I$1:I$400,0)),I$2,)</f>
        <v>0</v>
      </c>
      <c r="J341" s="155">
        <f ca="1">IF(ISNUMBER(MATCH(DATEVALUE($A341),'recurring1_based on steps'!J$1:J$400,0)),J$2,)</f>
        <v>0</v>
      </c>
      <c r="K341" s="155">
        <f ca="1">IF(ISNUMBER(MATCH(DATEVALUE($A341),'recurring1_based on steps'!K$1:K$400,0)),K$2,)</f>
        <v>0</v>
      </c>
      <c r="L341" s="155">
        <f ca="1">IF(ISNUMBER(MATCH(DATEVALUE($A341),'recurring1_based on steps'!L$1:L$400,0)),L$2,)</f>
        <v>0</v>
      </c>
      <c r="M341" s="155">
        <f ca="1">IF(ISNUMBER(MATCH(DATEVALUE($A341),'recurring1_based on steps'!M$1:M$400,0)),M$2,)</f>
        <v>0</v>
      </c>
      <c r="N341" s="155">
        <f ca="1">IF(ISNUMBER(MATCH(DATEVALUE($A341),'recurring1_based on steps'!N$1:N$400,0)),N$2,)</f>
        <v>0</v>
      </c>
      <c r="O341" s="155">
        <f ca="1">IF(ISNUMBER(MATCH(DATEVALUE($A341),'recurring1_based on steps'!O$1:O$400,0)),O$2,)</f>
        <v>0</v>
      </c>
      <c r="P341" s="155">
        <f ca="1">IF(ISNUMBER(MATCH(DATEVALUE($A341),'recurring1_based on steps'!P$1:P$400,0)),P$2,)</f>
        <v>0</v>
      </c>
      <c r="Q341" s="155">
        <f ca="1">IF(ISNUMBER(MATCH(DATEVALUE($A341),'recurring1_based on steps'!Q$1:Q$400,0)),Q$2,)</f>
        <v>0</v>
      </c>
      <c r="R341" s="155">
        <f ca="1">IF(ISNUMBER(MATCH(DATEVALUE($A341),'recurring1_based on steps'!R$1:R$400,0)),R$2,)</f>
        <v>0</v>
      </c>
      <c r="S341" s="155">
        <f ca="1">IF(ISNUMBER(MATCH(DATEVALUE($A341),'recurring1_based on steps'!S$1:S$400,0)),S$2,)</f>
        <v>0</v>
      </c>
      <c r="T341" s="155">
        <f ca="1">IF(ISNUMBER(MATCH(DATEVALUE($A341),'recurring1_based on steps'!T$1:T$400,0)),T$2,)</f>
        <v>50</v>
      </c>
      <c r="U341" s="155">
        <f ca="1">IF(ISNUMBER(MATCH(DATEVALUE($A341),'recurring1_based on steps'!U$1:U$400,0)),U$2,)</f>
        <v>0</v>
      </c>
      <c r="V341" s="155">
        <f ca="1">IF(ISNUMBER(MATCH(DATEVALUE($A341),'recurring1_based on steps'!V$1:V$400,0)),V$2,)</f>
        <v>0</v>
      </c>
      <c r="W341" s="155">
        <f ca="1">IF(ISNUMBER(MATCH(DATEVALUE($A341),'recurring1_based on steps'!W$1:W$400,0)),W$2,)</f>
        <v>0</v>
      </c>
      <c r="X341" s="155">
        <f ca="1">IF(ISNUMBER(MATCH(DATEVALUE($A341),'recurring1_based on steps'!X$1:X$400,0)),X$2,)</f>
        <v>0</v>
      </c>
      <c r="Y341" s="155">
        <f ca="1">IF(ISNUMBER(MATCH(DATEVALUE($A341),'recurring1_based on steps'!Y$1:Y$400,0)),Y$2,)</f>
        <v>0</v>
      </c>
      <c r="Z341" s="155">
        <f ca="1">IF(ISNUMBER(MATCH(DATEVALUE($A341),'recurring1_based on steps'!Z$1:Z$400,0)),Z$2,)</f>
        <v>0</v>
      </c>
      <c r="AA341" s="155">
        <f ca="1">IF(ISNUMBER(MATCH(DATEVALUE($A341),'recurring1_based on steps'!AA$1:AA$400,0)),AA$2,)</f>
        <v>0</v>
      </c>
      <c r="AB341" s="155">
        <f ca="1">IF(ISNUMBER(MATCH(DATEVALUE($A341),'recurring1_based on steps'!AB$1:AB$400,0)),AB$2,)</f>
        <v>0</v>
      </c>
      <c r="AC341" s="155">
        <f ca="1">IF(ISNUMBER(MATCH(DATEVALUE($A341),'recurring1_based on steps'!AC$1:AC$400,0)),AC$2,)</f>
        <v>0</v>
      </c>
      <c r="AD341" s="155">
        <f ca="1">IF(ISNUMBER(MATCH(DATEVALUE($A341),'recurring1_based on steps'!AD$1:AD$400,0)),AD$2,)</f>
        <v>0</v>
      </c>
      <c r="AE341" s="155">
        <f ca="1">IF(ISNUMBER(MATCH(DATEVALUE($A341),'recurring1_based on steps'!AE$1:AE$400,0)),AE$2,)</f>
        <v>0</v>
      </c>
      <c r="AF341" s="155">
        <f ca="1">IF(ISNUMBER(MATCH(DATEVALUE($A341),'recurring1_based on steps'!AF$1:AF$400,0)),AF$2,)</f>
        <v>0</v>
      </c>
      <c r="AG341" s="155">
        <f ca="1">IF(ISNUMBER(MATCH(DATEVALUE($A341),'recurring1_based on steps'!AG$1:AG$400,0)),AG$2,)</f>
        <v>0</v>
      </c>
      <c r="AH341" s="155">
        <f ca="1">IF(ISNUMBER(MATCH(DATEVALUE($A341),'recurring1_based on steps'!AH$1:AH$400,0)),AH$2,)</f>
        <v>0</v>
      </c>
      <c r="AI341" s="155">
        <f ca="1">IF(ISNUMBER(MATCH(DATEVALUE($A341),'recurring1_based on steps'!AI$1:AI$400,0)),AI$2,)</f>
        <v>0</v>
      </c>
      <c r="AJ341" s="155">
        <f ca="1">IF(ISNUMBER(MATCH(DATEVALUE($A341),'recurring1_based on steps'!AJ$1:AJ$400,0)),AJ$2,)</f>
        <v>0</v>
      </c>
      <c r="AK341" s="155">
        <f ca="1">IF(ISNUMBER(MATCH(DATEVALUE($A341),'recurring1_based on steps'!AK$1:AK$400,0)),AK$2,)</f>
        <v>0</v>
      </c>
      <c r="AL341" s="155">
        <f ca="1">IF(ISNUMBER(MATCH(DATEVALUE($A341),'recurring1_based on steps'!AL$1:AL$400,0)),AL$2,)</f>
        <v>0</v>
      </c>
      <c r="AM341" s="155">
        <f ca="1">IF(ISNUMBER(MATCH(DATEVALUE($A341),'recurring1_based on steps'!AM$1:AM$400,0)),AM$2,)</f>
        <v>0</v>
      </c>
      <c r="AN341" s="155">
        <f ca="1">IF(ISNUMBER(MATCH(DATEVALUE($A341),'recurring1_based on steps'!AN$1:AN$400,0)),AN$2,)</f>
        <v>0</v>
      </c>
      <c r="AO341" s="155">
        <f ca="1">IF(ISNUMBER(MATCH(DATEVALUE($A341),'recurring1_based on steps'!AO$1:AO$400,0)),AO$2,)</f>
        <v>0</v>
      </c>
      <c r="AP341" s="155">
        <f ca="1">IF(ISNUMBER(MATCH(DATEVALUE($A341),'recurring1_based on steps'!AP$1:AP$400,0)),AP$2,)</f>
        <v>0</v>
      </c>
      <c r="AQ341" s="155">
        <f ca="1">IF(ISNUMBER(MATCH(DATEVALUE($A341),'recurring1_based on steps'!AQ$1:AQ$400,0)),AQ$2,)</f>
        <v>0</v>
      </c>
      <c r="AR341" s="155">
        <f ca="1">IF(ISNUMBER(MATCH(DATEVALUE($A341),'recurring1_based on steps'!AR$1:AR$400,0)),AR$2,)</f>
        <v>0</v>
      </c>
      <c r="AS341" s="155">
        <f ca="1">IF(ISNUMBER(MATCH(DATEVALUE($A341),'recurring1_based on steps'!AS$1:AS$400,0)),AS$2,)</f>
        <v>0</v>
      </c>
      <c r="AT341" s="155">
        <f ca="1">IF(ISNUMBER(MATCH(DATEVALUE($A341),'recurring1_based on steps'!AT$1:AT$400,0)),AT$2,)</f>
        <v>0</v>
      </c>
      <c r="AU341" s="155">
        <f ca="1">IF(ISNUMBER(MATCH(DATEVALUE($A341),'recurring1_based on steps'!AU$1:AU$400,0)),AU$2,)</f>
        <v>0</v>
      </c>
      <c r="AV341" s="155">
        <f ca="1">IF(ISNUMBER(MATCH(DATEVALUE($A341),'recurring1_based on steps'!AV$1:AV$400,0)),AV$2,)</f>
        <v>0</v>
      </c>
      <c r="AW341" s="155">
        <f ca="1">IF(ISNUMBER(MATCH(DATEVALUE($A341),'recurring1_based on steps'!AW$1:AW$400,0)),AW$2,)</f>
        <v>0</v>
      </c>
      <c r="AX341" s="155">
        <f ca="1">IF(ISNUMBER(MATCH(DATEVALUE($A341),'recurring1_based on steps'!AX$1:AX$400,0)),AX$2,)</f>
        <v>0</v>
      </c>
      <c r="AY341" s="155">
        <f ca="1">IF(ISNUMBER(MATCH(DATEVALUE($A341),'recurring1_based on steps'!AY$1:AY$400,0)),AY$2,)</f>
        <v>0</v>
      </c>
    </row>
    <row r="342" spans="1:51" x14ac:dyDescent="0.2">
      <c r="A342" s="18" t="str">
        <f t="shared" ca="1" si="5"/>
        <v>2026-01-06</v>
      </c>
      <c r="B342" s="155">
        <f ca="1">IF(ISNUMBER(MATCH(DATEVALUE($A342),'recurring1_based on steps'!B$1:B$400,0)),B$2,)</f>
        <v>0</v>
      </c>
      <c r="C342" s="155">
        <f ca="1">IF(ISNUMBER(MATCH(DATEVALUE($A342),'recurring1_based on steps'!C$1:C$400,0)),C$2,)</f>
        <v>0</v>
      </c>
      <c r="D342" s="155">
        <f ca="1">IF(ISNUMBER(MATCH(DATEVALUE($A342),'recurring1_based on steps'!D$1:D$400,0)),D$2,)</f>
        <v>0</v>
      </c>
      <c r="E342" s="155">
        <f ca="1">IF(ISNUMBER(MATCH(DATEVALUE($A342),'recurring1_based on steps'!E$1:E$400,0)),E$2,)</f>
        <v>0</v>
      </c>
      <c r="F342" s="155">
        <f ca="1">IF(ISNUMBER(MATCH(DATEVALUE($A342),'recurring1_based on steps'!F$1:F$400,0)),F$2,)</f>
        <v>0</v>
      </c>
      <c r="G342" s="155">
        <f ca="1">IF(ISNUMBER(MATCH(DATEVALUE($A342),'recurring1_based on steps'!G$1:G$400,0)),G$2,)</f>
        <v>0</v>
      </c>
      <c r="H342" s="155">
        <f ca="1">IF(ISNUMBER(MATCH(DATEVALUE($A342),'recurring1_based on steps'!H$1:H$400,0)),H$2,)</f>
        <v>0</v>
      </c>
      <c r="I342" s="155">
        <f ca="1">IF(ISNUMBER(MATCH(DATEVALUE($A342),'recurring1_based on steps'!I$1:I$400,0)),I$2,)</f>
        <v>0</v>
      </c>
      <c r="J342" s="155">
        <f ca="1">IF(ISNUMBER(MATCH(DATEVALUE($A342),'recurring1_based on steps'!J$1:J$400,0)),J$2,)</f>
        <v>0</v>
      </c>
      <c r="K342" s="155">
        <f ca="1">IF(ISNUMBER(MATCH(DATEVALUE($A342),'recurring1_based on steps'!K$1:K$400,0)),K$2,)</f>
        <v>0</v>
      </c>
      <c r="L342" s="155">
        <f ca="1">IF(ISNUMBER(MATCH(DATEVALUE($A342),'recurring1_based on steps'!L$1:L$400,0)),L$2,)</f>
        <v>0</v>
      </c>
      <c r="M342" s="155">
        <f ca="1">IF(ISNUMBER(MATCH(DATEVALUE($A342),'recurring1_based on steps'!M$1:M$400,0)),M$2,)</f>
        <v>0</v>
      </c>
      <c r="N342" s="155">
        <f ca="1">IF(ISNUMBER(MATCH(DATEVALUE($A342),'recurring1_based on steps'!N$1:N$400,0)),N$2,)</f>
        <v>0</v>
      </c>
      <c r="O342" s="155">
        <f ca="1">IF(ISNUMBER(MATCH(DATEVALUE($A342),'recurring1_based on steps'!O$1:O$400,0)),O$2,)</f>
        <v>0</v>
      </c>
      <c r="P342" s="155">
        <f ca="1">IF(ISNUMBER(MATCH(DATEVALUE($A342),'recurring1_based on steps'!P$1:P$400,0)),P$2,)</f>
        <v>0</v>
      </c>
      <c r="Q342" s="155">
        <f ca="1">IF(ISNUMBER(MATCH(DATEVALUE($A342),'recurring1_based on steps'!Q$1:Q$400,0)),Q$2,)</f>
        <v>0</v>
      </c>
      <c r="R342" s="155">
        <f ca="1">IF(ISNUMBER(MATCH(DATEVALUE($A342),'recurring1_based on steps'!R$1:R$400,0)),R$2,)</f>
        <v>0</v>
      </c>
      <c r="S342" s="155">
        <f ca="1">IF(ISNUMBER(MATCH(DATEVALUE($A342),'recurring1_based on steps'!S$1:S$400,0)),S$2,)</f>
        <v>0</v>
      </c>
      <c r="T342" s="155">
        <f ca="1">IF(ISNUMBER(MATCH(DATEVALUE($A342),'recurring1_based on steps'!T$1:T$400,0)),T$2,)</f>
        <v>0</v>
      </c>
      <c r="U342" s="155">
        <f ca="1">IF(ISNUMBER(MATCH(DATEVALUE($A342),'recurring1_based on steps'!U$1:U$400,0)),U$2,)</f>
        <v>0</v>
      </c>
      <c r="V342" s="155">
        <f ca="1">IF(ISNUMBER(MATCH(DATEVALUE($A342),'recurring1_based on steps'!V$1:V$400,0)),V$2,)</f>
        <v>0</v>
      </c>
      <c r="W342" s="155">
        <f ca="1">IF(ISNUMBER(MATCH(DATEVALUE($A342),'recurring1_based on steps'!W$1:W$400,0)),W$2,)</f>
        <v>0</v>
      </c>
      <c r="X342" s="155">
        <f ca="1">IF(ISNUMBER(MATCH(DATEVALUE($A342),'recurring1_based on steps'!X$1:X$400,0)),X$2,)</f>
        <v>0</v>
      </c>
      <c r="Y342" s="155">
        <f ca="1">IF(ISNUMBER(MATCH(DATEVALUE($A342),'recurring1_based on steps'!Y$1:Y$400,0)),Y$2,)</f>
        <v>0</v>
      </c>
      <c r="Z342" s="155">
        <f ca="1">IF(ISNUMBER(MATCH(DATEVALUE($A342),'recurring1_based on steps'!Z$1:Z$400,0)),Z$2,)</f>
        <v>0</v>
      </c>
      <c r="AA342" s="155">
        <f ca="1">IF(ISNUMBER(MATCH(DATEVALUE($A342),'recurring1_based on steps'!AA$1:AA$400,0)),AA$2,)</f>
        <v>0</v>
      </c>
      <c r="AB342" s="155">
        <f ca="1">IF(ISNUMBER(MATCH(DATEVALUE($A342),'recurring1_based on steps'!AB$1:AB$400,0)),AB$2,)</f>
        <v>0</v>
      </c>
      <c r="AC342" s="155">
        <f ca="1">IF(ISNUMBER(MATCH(DATEVALUE($A342),'recurring1_based on steps'!AC$1:AC$400,0)),AC$2,)</f>
        <v>0</v>
      </c>
      <c r="AD342" s="155">
        <f ca="1">IF(ISNUMBER(MATCH(DATEVALUE($A342),'recurring1_based on steps'!AD$1:AD$400,0)),AD$2,)</f>
        <v>0</v>
      </c>
      <c r="AE342" s="155">
        <f ca="1">IF(ISNUMBER(MATCH(DATEVALUE($A342),'recurring1_based on steps'!AE$1:AE$400,0)),AE$2,)</f>
        <v>0</v>
      </c>
      <c r="AF342" s="155">
        <f ca="1">IF(ISNUMBER(MATCH(DATEVALUE($A342),'recurring1_based on steps'!AF$1:AF$400,0)),AF$2,)</f>
        <v>0</v>
      </c>
      <c r="AG342" s="155">
        <f ca="1">IF(ISNUMBER(MATCH(DATEVALUE($A342),'recurring1_based on steps'!AG$1:AG$400,0)),AG$2,)</f>
        <v>0</v>
      </c>
      <c r="AH342" s="155">
        <f ca="1">IF(ISNUMBER(MATCH(DATEVALUE($A342),'recurring1_based on steps'!AH$1:AH$400,0)),AH$2,)</f>
        <v>0</v>
      </c>
      <c r="AI342" s="155">
        <f ca="1">IF(ISNUMBER(MATCH(DATEVALUE($A342),'recurring1_based on steps'!AI$1:AI$400,0)),AI$2,)</f>
        <v>0</v>
      </c>
      <c r="AJ342" s="155">
        <f ca="1">IF(ISNUMBER(MATCH(DATEVALUE($A342),'recurring1_based on steps'!AJ$1:AJ$400,0)),AJ$2,)</f>
        <v>0</v>
      </c>
      <c r="AK342" s="155">
        <f ca="1">IF(ISNUMBER(MATCH(DATEVALUE($A342),'recurring1_based on steps'!AK$1:AK$400,0)),AK$2,)</f>
        <v>0</v>
      </c>
      <c r="AL342" s="155">
        <f ca="1">IF(ISNUMBER(MATCH(DATEVALUE($A342),'recurring1_based on steps'!AL$1:AL$400,0)),AL$2,)</f>
        <v>0</v>
      </c>
      <c r="AM342" s="155">
        <f ca="1">IF(ISNUMBER(MATCH(DATEVALUE($A342),'recurring1_based on steps'!AM$1:AM$400,0)),AM$2,)</f>
        <v>0</v>
      </c>
      <c r="AN342" s="155">
        <f ca="1">IF(ISNUMBER(MATCH(DATEVALUE($A342),'recurring1_based on steps'!AN$1:AN$400,0)),AN$2,)</f>
        <v>0</v>
      </c>
      <c r="AO342" s="155">
        <f ca="1">IF(ISNUMBER(MATCH(DATEVALUE($A342),'recurring1_based on steps'!AO$1:AO$400,0)),AO$2,)</f>
        <v>0</v>
      </c>
      <c r="AP342" s="155">
        <f ca="1">IF(ISNUMBER(MATCH(DATEVALUE($A342),'recurring1_based on steps'!AP$1:AP$400,0)),AP$2,)</f>
        <v>0</v>
      </c>
      <c r="AQ342" s="155">
        <f ca="1">IF(ISNUMBER(MATCH(DATEVALUE($A342),'recurring1_based on steps'!AQ$1:AQ$400,0)),AQ$2,)</f>
        <v>0</v>
      </c>
      <c r="AR342" s="155">
        <f ca="1">IF(ISNUMBER(MATCH(DATEVALUE($A342),'recurring1_based on steps'!AR$1:AR$400,0)),AR$2,)</f>
        <v>0</v>
      </c>
      <c r="AS342" s="155">
        <f ca="1">IF(ISNUMBER(MATCH(DATEVALUE($A342),'recurring1_based on steps'!AS$1:AS$400,0)),AS$2,)</f>
        <v>0</v>
      </c>
      <c r="AT342" s="155">
        <f ca="1">IF(ISNUMBER(MATCH(DATEVALUE($A342),'recurring1_based on steps'!AT$1:AT$400,0)),AT$2,)</f>
        <v>0</v>
      </c>
      <c r="AU342" s="155">
        <f ca="1">IF(ISNUMBER(MATCH(DATEVALUE($A342),'recurring1_based on steps'!AU$1:AU$400,0)),AU$2,)</f>
        <v>0</v>
      </c>
      <c r="AV342" s="155">
        <f ca="1">IF(ISNUMBER(MATCH(DATEVALUE($A342),'recurring1_based on steps'!AV$1:AV$400,0)),AV$2,)</f>
        <v>0</v>
      </c>
      <c r="AW342" s="155">
        <f ca="1">IF(ISNUMBER(MATCH(DATEVALUE($A342),'recurring1_based on steps'!AW$1:AW$400,0)),AW$2,)</f>
        <v>0</v>
      </c>
      <c r="AX342" s="155">
        <f ca="1">IF(ISNUMBER(MATCH(DATEVALUE($A342),'recurring1_based on steps'!AX$1:AX$400,0)),AX$2,)</f>
        <v>0</v>
      </c>
      <c r="AY342" s="155">
        <f ca="1">IF(ISNUMBER(MATCH(DATEVALUE($A342),'recurring1_based on steps'!AY$1:AY$400,0)),AY$2,)</f>
        <v>0</v>
      </c>
    </row>
    <row r="343" spans="1:51" x14ac:dyDescent="0.2">
      <c r="A343" s="18" t="str">
        <f t="shared" ca="1" si="5"/>
        <v>2026-01-07</v>
      </c>
      <c r="B343" s="155">
        <f ca="1">IF(ISNUMBER(MATCH(DATEVALUE($A343),'recurring1_based on steps'!B$1:B$400,0)),B$2,)</f>
        <v>0</v>
      </c>
      <c r="C343" s="155">
        <f ca="1">IF(ISNUMBER(MATCH(DATEVALUE($A343),'recurring1_based on steps'!C$1:C$400,0)),C$2,)</f>
        <v>0</v>
      </c>
      <c r="D343" s="155">
        <f ca="1">IF(ISNUMBER(MATCH(DATEVALUE($A343),'recurring1_based on steps'!D$1:D$400,0)),D$2,)</f>
        <v>0</v>
      </c>
      <c r="E343" s="155">
        <f ca="1">IF(ISNUMBER(MATCH(DATEVALUE($A343),'recurring1_based on steps'!E$1:E$400,0)),E$2,)</f>
        <v>0</v>
      </c>
      <c r="F343" s="155">
        <f ca="1">IF(ISNUMBER(MATCH(DATEVALUE($A343),'recurring1_based on steps'!F$1:F$400,0)),F$2,)</f>
        <v>0</v>
      </c>
      <c r="G343" s="155">
        <f ca="1">IF(ISNUMBER(MATCH(DATEVALUE($A343),'recurring1_based on steps'!G$1:G$400,0)),G$2,)</f>
        <v>0</v>
      </c>
      <c r="H343" s="155">
        <f ca="1">IF(ISNUMBER(MATCH(DATEVALUE($A343),'recurring1_based on steps'!H$1:H$400,0)),H$2,)</f>
        <v>0</v>
      </c>
      <c r="I343" s="155">
        <f ca="1">IF(ISNUMBER(MATCH(DATEVALUE($A343),'recurring1_based on steps'!I$1:I$400,0)),I$2,)</f>
        <v>0</v>
      </c>
      <c r="J343" s="155">
        <f ca="1">IF(ISNUMBER(MATCH(DATEVALUE($A343),'recurring1_based on steps'!J$1:J$400,0)),J$2,)</f>
        <v>0</v>
      </c>
      <c r="K343" s="155">
        <f ca="1">IF(ISNUMBER(MATCH(DATEVALUE($A343),'recurring1_based on steps'!K$1:K$400,0)),K$2,)</f>
        <v>0</v>
      </c>
      <c r="L343" s="155">
        <f ca="1">IF(ISNUMBER(MATCH(DATEVALUE($A343),'recurring1_based on steps'!L$1:L$400,0)),L$2,)</f>
        <v>0</v>
      </c>
      <c r="M343" s="155">
        <f ca="1">IF(ISNUMBER(MATCH(DATEVALUE($A343),'recurring1_based on steps'!M$1:M$400,0)),M$2,)</f>
        <v>0</v>
      </c>
      <c r="N343" s="155">
        <f ca="1">IF(ISNUMBER(MATCH(DATEVALUE($A343),'recurring1_based on steps'!N$1:N$400,0)),N$2,)</f>
        <v>0</v>
      </c>
      <c r="O343" s="155">
        <f ca="1">IF(ISNUMBER(MATCH(DATEVALUE($A343),'recurring1_based on steps'!O$1:O$400,0)),O$2,)</f>
        <v>0</v>
      </c>
      <c r="P343" s="155">
        <f ca="1">IF(ISNUMBER(MATCH(DATEVALUE($A343),'recurring1_based on steps'!P$1:P$400,0)),P$2,)</f>
        <v>0</v>
      </c>
      <c r="Q343" s="155">
        <f ca="1">IF(ISNUMBER(MATCH(DATEVALUE($A343),'recurring1_based on steps'!Q$1:Q$400,0)),Q$2,)</f>
        <v>0</v>
      </c>
      <c r="R343" s="155">
        <f ca="1">IF(ISNUMBER(MATCH(DATEVALUE($A343),'recurring1_based on steps'!R$1:R$400,0)),R$2,)</f>
        <v>0</v>
      </c>
      <c r="S343" s="155">
        <f ca="1">IF(ISNUMBER(MATCH(DATEVALUE($A343),'recurring1_based on steps'!S$1:S$400,0)),S$2,)</f>
        <v>0</v>
      </c>
      <c r="T343" s="155">
        <f ca="1">IF(ISNUMBER(MATCH(DATEVALUE($A343),'recurring1_based on steps'!T$1:T$400,0)),T$2,)</f>
        <v>0</v>
      </c>
      <c r="U343" s="155">
        <f ca="1">IF(ISNUMBER(MATCH(DATEVALUE($A343),'recurring1_based on steps'!U$1:U$400,0)),U$2,)</f>
        <v>0</v>
      </c>
      <c r="V343" s="155">
        <f ca="1">IF(ISNUMBER(MATCH(DATEVALUE($A343),'recurring1_based on steps'!V$1:V$400,0)),V$2,)</f>
        <v>0</v>
      </c>
      <c r="W343" s="155">
        <f ca="1">IF(ISNUMBER(MATCH(DATEVALUE($A343),'recurring1_based on steps'!W$1:W$400,0)),W$2,)</f>
        <v>0</v>
      </c>
      <c r="X343" s="155">
        <f ca="1">IF(ISNUMBER(MATCH(DATEVALUE($A343),'recurring1_based on steps'!X$1:X$400,0)),X$2,)</f>
        <v>0</v>
      </c>
      <c r="Y343" s="155">
        <f ca="1">IF(ISNUMBER(MATCH(DATEVALUE($A343),'recurring1_based on steps'!Y$1:Y$400,0)),Y$2,)</f>
        <v>0</v>
      </c>
      <c r="Z343" s="155">
        <f ca="1">IF(ISNUMBER(MATCH(DATEVALUE($A343),'recurring1_based on steps'!Z$1:Z$400,0)),Z$2,)</f>
        <v>0</v>
      </c>
      <c r="AA343" s="155">
        <f ca="1">IF(ISNUMBER(MATCH(DATEVALUE($A343),'recurring1_based on steps'!AA$1:AA$400,0)),AA$2,)</f>
        <v>0</v>
      </c>
      <c r="AB343" s="155">
        <f ca="1">IF(ISNUMBER(MATCH(DATEVALUE($A343),'recurring1_based on steps'!AB$1:AB$400,0)),AB$2,)</f>
        <v>0</v>
      </c>
      <c r="AC343" s="155">
        <f ca="1">IF(ISNUMBER(MATCH(DATEVALUE($A343),'recurring1_based on steps'!AC$1:AC$400,0)),AC$2,)</f>
        <v>0</v>
      </c>
      <c r="AD343" s="155">
        <f ca="1">IF(ISNUMBER(MATCH(DATEVALUE($A343),'recurring1_based on steps'!AD$1:AD$400,0)),AD$2,)</f>
        <v>0</v>
      </c>
      <c r="AE343" s="155">
        <f ca="1">IF(ISNUMBER(MATCH(DATEVALUE($A343),'recurring1_based on steps'!AE$1:AE$400,0)),AE$2,)</f>
        <v>0</v>
      </c>
      <c r="AF343" s="155">
        <f ca="1">IF(ISNUMBER(MATCH(DATEVALUE($A343),'recurring1_based on steps'!AF$1:AF$400,0)),AF$2,)</f>
        <v>0</v>
      </c>
      <c r="AG343" s="155">
        <f ca="1">IF(ISNUMBER(MATCH(DATEVALUE($A343),'recurring1_based on steps'!AG$1:AG$400,0)),AG$2,)</f>
        <v>0</v>
      </c>
      <c r="AH343" s="155">
        <f ca="1">IF(ISNUMBER(MATCH(DATEVALUE($A343),'recurring1_based on steps'!AH$1:AH$400,0)),AH$2,)</f>
        <v>0</v>
      </c>
      <c r="AI343" s="155">
        <f ca="1">IF(ISNUMBER(MATCH(DATEVALUE($A343),'recurring1_based on steps'!AI$1:AI$400,0)),AI$2,)</f>
        <v>0</v>
      </c>
      <c r="AJ343" s="155">
        <f ca="1">IF(ISNUMBER(MATCH(DATEVALUE($A343),'recurring1_based on steps'!AJ$1:AJ$400,0)),AJ$2,)</f>
        <v>0</v>
      </c>
      <c r="AK343" s="155">
        <f ca="1">IF(ISNUMBER(MATCH(DATEVALUE($A343),'recurring1_based on steps'!AK$1:AK$400,0)),AK$2,)</f>
        <v>0</v>
      </c>
      <c r="AL343" s="155">
        <f ca="1">IF(ISNUMBER(MATCH(DATEVALUE($A343),'recurring1_based on steps'!AL$1:AL$400,0)),AL$2,)</f>
        <v>0</v>
      </c>
      <c r="AM343" s="155">
        <f ca="1">IF(ISNUMBER(MATCH(DATEVALUE($A343),'recurring1_based on steps'!AM$1:AM$400,0)),AM$2,)</f>
        <v>0</v>
      </c>
      <c r="AN343" s="155">
        <f ca="1">IF(ISNUMBER(MATCH(DATEVALUE($A343),'recurring1_based on steps'!AN$1:AN$400,0)),AN$2,)</f>
        <v>0</v>
      </c>
      <c r="AO343" s="155">
        <f ca="1">IF(ISNUMBER(MATCH(DATEVALUE($A343),'recurring1_based on steps'!AO$1:AO$400,0)),AO$2,)</f>
        <v>0</v>
      </c>
      <c r="AP343" s="155">
        <f ca="1">IF(ISNUMBER(MATCH(DATEVALUE($A343),'recurring1_based on steps'!AP$1:AP$400,0)),AP$2,)</f>
        <v>0</v>
      </c>
      <c r="AQ343" s="155">
        <f ca="1">IF(ISNUMBER(MATCH(DATEVALUE($A343),'recurring1_based on steps'!AQ$1:AQ$400,0)),AQ$2,)</f>
        <v>0</v>
      </c>
      <c r="AR343" s="155">
        <f ca="1">IF(ISNUMBER(MATCH(DATEVALUE($A343),'recurring1_based on steps'!AR$1:AR$400,0)),AR$2,)</f>
        <v>0</v>
      </c>
      <c r="AS343" s="155">
        <f ca="1">IF(ISNUMBER(MATCH(DATEVALUE($A343),'recurring1_based on steps'!AS$1:AS$400,0)),AS$2,)</f>
        <v>0</v>
      </c>
      <c r="AT343" s="155">
        <f ca="1">IF(ISNUMBER(MATCH(DATEVALUE($A343),'recurring1_based on steps'!AT$1:AT$400,0)),AT$2,)</f>
        <v>0</v>
      </c>
      <c r="AU343" s="155">
        <f ca="1">IF(ISNUMBER(MATCH(DATEVALUE($A343),'recurring1_based on steps'!AU$1:AU$400,0)),AU$2,)</f>
        <v>0</v>
      </c>
      <c r="AV343" s="155">
        <f ca="1">IF(ISNUMBER(MATCH(DATEVALUE($A343),'recurring1_based on steps'!AV$1:AV$400,0)),AV$2,)</f>
        <v>0</v>
      </c>
      <c r="AW343" s="155">
        <f ca="1">IF(ISNUMBER(MATCH(DATEVALUE($A343),'recurring1_based on steps'!AW$1:AW$400,0)),AW$2,)</f>
        <v>0</v>
      </c>
      <c r="AX343" s="155">
        <f ca="1">IF(ISNUMBER(MATCH(DATEVALUE($A343),'recurring1_based on steps'!AX$1:AX$400,0)),AX$2,)</f>
        <v>0</v>
      </c>
      <c r="AY343" s="155">
        <f ca="1">IF(ISNUMBER(MATCH(DATEVALUE($A343),'recurring1_based on steps'!AY$1:AY$400,0)),AY$2,)</f>
        <v>0</v>
      </c>
    </row>
    <row r="344" spans="1:51" x14ac:dyDescent="0.2">
      <c r="A344" s="18" t="str">
        <f t="shared" ca="1" si="5"/>
        <v>2026-01-08</v>
      </c>
      <c r="B344" s="155">
        <f ca="1">IF(ISNUMBER(MATCH(DATEVALUE($A344),'recurring1_based on steps'!B$1:B$400,0)),B$2,)</f>
        <v>0</v>
      </c>
      <c r="C344" s="155">
        <f ca="1">IF(ISNUMBER(MATCH(DATEVALUE($A344),'recurring1_based on steps'!C$1:C$400,0)),C$2,)</f>
        <v>0</v>
      </c>
      <c r="D344" s="155">
        <f ca="1">IF(ISNUMBER(MATCH(DATEVALUE($A344),'recurring1_based on steps'!D$1:D$400,0)),D$2,)</f>
        <v>0</v>
      </c>
      <c r="E344" s="155">
        <f ca="1">IF(ISNUMBER(MATCH(DATEVALUE($A344),'recurring1_based on steps'!E$1:E$400,0)),E$2,)</f>
        <v>0</v>
      </c>
      <c r="F344" s="155">
        <f ca="1">IF(ISNUMBER(MATCH(DATEVALUE($A344),'recurring1_based on steps'!F$1:F$400,0)),F$2,)</f>
        <v>0</v>
      </c>
      <c r="G344" s="155">
        <f ca="1">IF(ISNUMBER(MATCH(DATEVALUE($A344),'recurring1_based on steps'!G$1:G$400,0)),G$2,)</f>
        <v>0</v>
      </c>
      <c r="H344" s="155">
        <f ca="1">IF(ISNUMBER(MATCH(DATEVALUE($A344),'recurring1_based on steps'!H$1:H$400,0)),H$2,)</f>
        <v>0</v>
      </c>
      <c r="I344" s="155">
        <f ca="1">IF(ISNUMBER(MATCH(DATEVALUE($A344),'recurring1_based on steps'!I$1:I$400,0)),I$2,)</f>
        <v>0</v>
      </c>
      <c r="J344" s="155">
        <f ca="1">IF(ISNUMBER(MATCH(DATEVALUE($A344),'recurring1_based on steps'!J$1:J$400,0)),J$2,)</f>
        <v>0</v>
      </c>
      <c r="K344" s="155">
        <f ca="1">IF(ISNUMBER(MATCH(DATEVALUE($A344),'recurring1_based on steps'!K$1:K$400,0)),K$2,)</f>
        <v>0</v>
      </c>
      <c r="L344" s="155">
        <f ca="1">IF(ISNUMBER(MATCH(DATEVALUE($A344),'recurring1_based on steps'!L$1:L$400,0)),L$2,)</f>
        <v>0</v>
      </c>
      <c r="M344" s="155">
        <f ca="1">IF(ISNUMBER(MATCH(DATEVALUE($A344),'recurring1_based on steps'!M$1:M$400,0)),M$2,)</f>
        <v>0</v>
      </c>
      <c r="N344" s="155">
        <f ca="1">IF(ISNUMBER(MATCH(DATEVALUE($A344),'recurring1_based on steps'!N$1:N$400,0)),N$2,)</f>
        <v>0</v>
      </c>
      <c r="O344" s="155">
        <f ca="1">IF(ISNUMBER(MATCH(DATEVALUE($A344),'recurring1_based on steps'!O$1:O$400,0)),O$2,)</f>
        <v>0</v>
      </c>
      <c r="P344" s="155">
        <f ca="1">IF(ISNUMBER(MATCH(DATEVALUE($A344),'recurring1_based on steps'!P$1:P$400,0)),P$2,)</f>
        <v>0</v>
      </c>
      <c r="Q344" s="155">
        <f ca="1">IF(ISNUMBER(MATCH(DATEVALUE($A344),'recurring1_based on steps'!Q$1:Q$400,0)),Q$2,)</f>
        <v>0</v>
      </c>
      <c r="R344" s="155">
        <f ca="1">IF(ISNUMBER(MATCH(DATEVALUE($A344),'recurring1_based on steps'!R$1:R$400,0)),R$2,)</f>
        <v>0</v>
      </c>
      <c r="S344" s="155">
        <f ca="1">IF(ISNUMBER(MATCH(DATEVALUE($A344),'recurring1_based on steps'!S$1:S$400,0)),S$2,)</f>
        <v>0</v>
      </c>
      <c r="T344" s="155">
        <f ca="1">IF(ISNUMBER(MATCH(DATEVALUE($A344),'recurring1_based on steps'!T$1:T$400,0)),T$2,)</f>
        <v>0</v>
      </c>
      <c r="U344" s="155">
        <f ca="1">IF(ISNUMBER(MATCH(DATEVALUE($A344),'recurring1_based on steps'!U$1:U$400,0)),U$2,)</f>
        <v>0</v>
      </c>
      <c r="V344" s="155">
        <f ca="1">IF(ISNUMBER(MATCH(DATEVALUE($A344),'recurring1_based on steps'!V$1:V$400,0)),V$2,)</f>
        <v>0</v>
      </c>
      <c r="W344" s="155">
        <f ca="1">IF(ISNUMBER(MATCH(DATEVALUE($A344),'recurring1_based on steps'!W$1:W$400,0)),W$2,)</f>
        <v>0</v>
      </c>
      <c r="X344" s="155">
        <f ca="1">IF(ISNUMBER(MATCH(DATEVALUE($A344),'recurring1_based on steps'!X$1:X$400,0)),X$2,)</f>
        <v>0</v>
      </c>
      <c r="Y344" s="155">
        <f ca="1">IF(ISNUMBER(MATCH(DATEVALUE($A344),'recurring1_based on steps'!Y$1:Y$400,0)),Y$2,)</f>
        <v>0</v>
      </c>
      <c r="Z344" s="155">
        <f ca="1">IF(ISNUMBER(MATCH(DATEVALUE($A344),'recurring1_based on steps'!Z$1:Z$400,0)),Z$2,)</f>
        <v>0</v>
      </c>
      <c r="AA344" s="155">
        <f ca="1">IF(ISNUMBER(MATCH(DATEVALUE($A344),'recurring1_based on steps'!AA$1:AA$400,0)),AA$2,)</f>
        <v>0</v>
      </c>
      <c r="AB344" s="155">
        <f ca="1">IF(ISNUMBER(MATCH(DATEVALUE($A344),'recurring1_based on steps'!AB$1:AB$400,0)),AB$2,)</f>
        <v>0</v>
      </c>
      <c r="AC344" s="155">
        <f ca="1">IF(ISNUMBER(MATCH(DATEVALUE($A344),'recurring1_based on steps'!AC$1:AC$400,0)),AC$2,)</f>
        <v>0</v>
      </c>
      <c r="AD344" s="155">
        <f ca="1">IF(ISNUMBER(MATCH(DATEVALUE($A344),'recurring1_based on steps'!AD$1:AD$400,0)),AD$2,)</f>
        <v>0</v>
      </c>
      <c r="AE344" s="155">
        <f ca="1">IF(ISNUMBER(MATCH(DATEVALUE($A344),'recurring1_based on steps'!AE$1:AE$400,0)),AE$2,)</f>
        <v>0</v>
      </c>
      <c r="AF344" s="155">
        <f ca="1">IF(ISNUMBER(MATCH(DATEVALUE($A344),'recurring1_based on steps'!AF$1:AF$400,0)),AF$2,)</f>
        <v>0</v>
      </c>
      <c r="AG344" s="155">
        <f ca="1">IF(ISNUMBER(MATCH(DATEVALUE($A344),'recurring1_based on steps'!AG$1:AG$400,0)),AG$2,)</f>
        <v>0</v>
      </c>
      <c r="AH344" s="155">
        <f ca="1">IF(ISNUMBER(MATCH(DATEVALUE($A344),'recurring1_based on steps'!AH$1:AH$400,0)),AH$2,)</f>
        <v>0</v>
      </c>
      <c r="AI344" s="155">
        <f ca="1">IF(ISNUMBER(MATCH(DATEVALUE($A344),'recurring1_based on steps'!AI$1:AI$400,0)),AI$2,)</f>
        <v>0</v>
      </c>
      <c r="AJ344" s="155">
        <f ca="1">IF(ISNUMBER(MATCH(DATEVALUE($A344),'recurring1_based on steps'!AJ$1:AJ$400,0)),AJ$2,)</f>
        <v>0</v>
      </c>
      <c r="AK344" s="155">
        <f ca="1">IF(ISNUMBER(MATCH(DATEVALUE($A344),'recurring1_based on steps'!AK$1:AK$400,0)),AK$2,)</f>
        <v>0</v>
      </c>
      <c r="AL344" s="155">
        <f ca="1">IF(ISNUMBER(MATCH(DATEVALUE($A344),'recurring1_based on steps'!AL$1:AL$400,0)),AL$2,)</f>
        <v>0</v>
      </c>
      <c r="AM344" s="155">
        <f ca="1">IF(ISNUMBER(MATCH(DATEVALUE($A344),'recurring1_based on steps'!AM$1:AM$400,0)),AM$2,)</f>
        <v>0</v>
      </c>
      <c r="AN344" s="155">
        <f ca="1">IF(ISNUMBER(MATCH(DATEVALUE($A344),'recurring1_based on steps'!AN$1:AN$400,0)),AN$2,)</f>
        <v>0</v>
      </c>
      <c r="AO344" s="155">
        <f ca="1">IF(ISNUMBER(MATCH(DATEVALUE($A344),'recurring1_based on steps'!AO$1:AO$400,0)),AO$2,)</f>
        <v>0</v>
      </c>
      <c r="AP344" s="155">
        <f ca="1">IF(ISNUMBER(MATCH(DATEVALUE($A344),'recurring1_based on steps'!AP$1:AP$400,0)),AP$2,)</f>
        <v>0</v>
      </c>
      <c r="AQ344" s="155">
        <f ca="1">IF(ISNUMBER(MATCH(DATEVALUE($A344),'recurring1_based on steps'!AQ$1:AQ$400,0)),AQ$2,)</f>
        <v>0</v>
      </c>
      <c r="AR344" s="155">
        <f ca="1">IF(ISNUMBER(MATCH(DATEVALUE($A344),'recurring1_based on steps'!AR$1:AR$400,0)),AR$2,)</f>
        <v>0</v>
      </c>
      <c r="AS344" s="155">
        <f ca="1">IF(ISNUMBER(MATCH(DATEVALUE($A344),'recurring1_based on steps'!AS$1:AS$400,0)),AS$2,)</f>
        <v>0</v>
      </c>
      <c r="AT344" s="155">
        <f ca="1">IF(ISNUMBER(MATCH(DATEVALUE($A344),'recurring1_based on steps'!AT$1:AT$400,0)),AT$2,)</f>
        <v>0</v>
      </c>
      <c r="AU344" s="155">
        <f ca="1">IF(ISNUMBER(MATCH(DATEVALUE($A344),'recurring1_based on steps'!AU$1:AU$400,0)),AU$2,)</f>
        <v>0</v>
      </c>
      <c r="AV344" s="155">
        <f ca="1">IF(ISNUMBER(MATCH(DATEVALUE($A344),'recurring1_based on steps'!AV$1:AV$400,0)),AV$2,)</f>
        <v>0</v>
      </c>
      <c r="AW344" s="155">
        <f ca="1">IF(ISNUMBER(MATCH(DATEVALUE($A344),'recurring1_based on steps'!AW$1:AW$400,0)),AW$2,)</f>
        <v>0</v>
      </c>
      <c r="AX344" s="155">
        <f ca="1">IF(ISNUMBER(MATCH(DATEVALUE($A344),'recurring1_based on steps'!AX$1:AX$400,0)),AX$2,)</f>
        <v>0</v>
      </c>
      <c r="AY344" s="155">
        <f ca="1">IF(ISNUMBER(MATCH(DATEVALUE($A344),'recurring1_based on steps'!AY$1:AY$400,0)),AY$2,)</f>
        <v>0</v>
      </c>
    </row>
    <row r="345" spans="1:51" x14ac:dyDescent="0.2">
      <c r="A345" s="18" t="str">
        <f t="shared" ca="1" si="5"/>
        <v>2026-01-09</v>
      </c>
      <c r="B345" s="155">
        <f ca="1">IF(ISNUMBER(MATCH(DATEVALUE($A345),'recurring1_based on steps'!B$1:B$400,0)),B$2,)</f>
        <v>4000</v>
      </c>
      <c r="C345" s="155">
        <f ca="1">IF(ISNUMBER(MATCH(DATEVALUE($A345),'recurring1_based on steps'!C$1:C$400,0)),C$2,)</f>
        <v>200</v>
      </c>
      <c r="D345" s="155">
        <f ca="1">IF(ISNUMBER(MATCH(DATEVALUE($A345),'recurring1_based on steps'!D$1:D$400,0)),D$2,)</f>
        <v>2</v>
      </c>
      <c r="E345" s="155">
        <f ca="1">IF(ISNUMBER(MATCH(DATEVALUE($A345),'recurring1_based on steps'!E$1:E$400,0)),E$2,)</f>
        <v>40</v>
      </c>
      <c r="F345" s="155">
        <f ca="1">IF(ISNUMBER(MATCH(DATEVALUE($A345),'recurring1_based on steps'!F$1:F$400,0)),F$2,)</f>
        <v>50</v>
      </c>
      <c r="G345" s="155">
        <f ca="1">IF(ISNUMBER(MATCH(DATEVALUE($A345),'recurring1_based on steps'!G$1:G$400,0)),G$2,)</f>
        <v>4</v>
      </c>
      <c r="H345" s="155">
        <f ca="1">IF(ISNUMBER(MATCH(DATEVALUE($A345),'recurring1_based on steps'!H$1:H$400,0)),H$2,)</f>
        <v>0</v>
      </c>
      <c r="I345" s="155">
        <f ca="1">IF(ISNUMBER(MATCH(DATEVALUE($A345),'recurring1_based on steps'!I$1:I$400,0)),I$2,)</f>
        <v>0</v>
      </c>
      <c r="J345" s="155">
        <f ca="1">IF(ISNUMBER(MATCH(DATEVALUE($A345),'recurring1_based on steps'!J$1:J$400,0)),J$2,)</f>
        <v>0</v>
      </c>
      <c r="K345" s="155">
        <f ca="1">IF(ISNUMBER(MATCH(DATEVALUE($A345),'recurring1_based on steps'!K$1:K$400,0)),K$2,)</f>
        <v>0</v>
      </c>
      <c r="L345" s="155">
        <f ca="1">IF(ISNUMBER(MATCH(DATEVALUE($A345),'recurring1_based on steps'!L$1:L$400,0)),L$2,)</f>
        <v>0</v>
      </c>
      <c r="M345" s="155">
        <f ca="1">IF(ISNUMBER(MATCH(DATEVALUE($A345),'recurring1_based on steps'!M$1:M$400,0)),M$2,)</f>
        <v>0</v>
      </c>
      <c r="N345" s="155">
        <f ca="1">IF(ISNUMBER(MATCH(DATEVALUE($A345),'recurring1_based on steps'!N$1:N$400,0)),N$2,)</f>
        <v>0</v>
      </c>
      <c r="O345" s="155">
        <f ca="1">IF(ISNUMBER(MATCH(DATEVALUE($A345),'recurring1_based on steps'!O$1:O$400,0)),O$2,)</f>
        <v>0</v>
      </c>
      <c r="P345" s="155">
        <f ca="1">IF(ISNUMBER(MATCH(DATEVALUE($A345),'recurring1_based on steps'!P$1:P$400,0)),P$2,)</f>
        <v>0</v>
      </c>
      <c r="Q345" s="155">
        <f ca="1">IF(ISNUMBER(MATCH(DATEVALUE($A345),'recurring1_based on steps'!Q$1:Q$400,0)),Q$2,)</f>
        <v>0</v>
      </c>
      <c r="R345" s="155">
        <f ca="1">IF(ISNUMBER(MATCH(DATEVALUE($A345),'recurring1_based on steps'!R$1:R$400,0)),R$2,)</f>
        <v>0</v>
      </c>
      <c r="S345" s="155">
        <f ca="1">IF(ISNUMBER(MATCH(DATEVALUE($A345),'recurring1_based on steps'!S$1:S$400,0)),S$2,)</f>
        <v>0</v>
      </c>
      <c r="T345" s="155">
        <f ca="1">IF(ISNUMBER(MATCH(DATEVALUE($A345),'recurring1_based on steps'!T$1:T$400,0)),T$2,)</f>
        <v>0</v>
      </c>
      <c r="U345" s="155">
        <f ca="1">IF(ISNUMBER(MATCH(DATEVALUE($A345),'recurring1_based on steps'!U$1:U$400,0)),U$2,)</f>
        <v>0</v>
      </c>
      <c r="V345" s="155">
        <f ca="1">IF(ISNUMBER(MATCH(DATEVALUE($A345),'recurring1_based on steps'!V$1:V$400,0)),V$2,)</f>
        <v>0</v>
      </c>
      <c r="W345" s="155">
        <f ca="1">IF(ISNUMBER(MATCH(DATEVALUE($A345),'recurring1_based on steps'!W$1:W$400,0)),W$2,)</f>
        <v>0</v>
      </c>
      <c r="X345" s="155">
        <f ca="1">IF(ISNUMBER(MATCH(DATEVALUE($A345),'recurring1_based on steps'!X$1:X$400,0)),X$2,)</f>
        <v>50</v>
      </c>
      <c r="Y345" s="155">
        <f ca="1">IF(ISNUMBER(MATCH(DATEVALUE($A345),'recurring1_based on steps'!Y$1:Y$400,0)),Y$2,)</f>
        <v>0</v>
      </c>
      <c r="Z345" s="155">
        <f ca="1">IF(ISNUMBER(MATCH(DATEVALUE($A345),'recurring1_based on steps'!Z$1:Z$400,0)),Z$2,)</f>
        <v>0</v>
      </c>
      <c r="AA345" s="155">
        <f ca="1">IF(ISNUMBER(MATCH(DATEVALUE($A345),'recurring1_based on steps'!AA$1:AA$400,0)),AA$2,)</f>
        <v>0</v>
      </c>
      <c r="AB345" s="155">
        <f ca="1">IF(ISNUMBER(MATCH(DATEVALUE($A345),'recurring1_based on steps'!AB$1:AB$400,0)),AB$2,)</f>
        <v>0</v>
      </c>
      <c r="AC345" s="155">
        <f ca="1">IF(ISNUMBER(MATCH(DATEVALUE($A345),'recurring1_based on steps'!AC$1:AC$400,0)),AC$2,)</f>
        <v>0</v>
      </c>
      <c r="AD345" s="155">
        <f ca="1">IF(ISNUMBER(MATCH(DATEVALUE($A345),'recurring1_based on steps'!AD$1:AD$400,0)),AD$2,)</f>
        <v>0</v>
      </c>
      <c r="AE345" s="155">
        <f ca="1">IF(ISNUMBER(MATCH(DATEVALUE($A345),'recurring1_based on steps'!AE$1:AE$400,0)),AE$2,)</f>
        <v>0</v>
      </c>
      <c r="AF345" s="155">
        <f ca="1">IF(ISNUMBER(MATCH(DATEVALUE($A345),'recurring1_based on steps'!AF$1:AF$400,0)),AF$2,)</f>
        <v>0</v>
      </c>
      <c r="AG345" s="155">
        <f ca="1">IF(ISNUMBER(MATCH(DATEVALUE($A345),'recurring1_based on steps'!AG$1:AG$400,0)),AG$2,)</f>
        <v>0</v>
      </c>
      <c r="AH345" s="155">
        <f ca="1">IF(ISNUMBER(MATCH(DATEVALUE($A345),'recurring1_based on steps'!AH$1:AH$400,0)),AH$2,)</f>
        <v>0</v>
      </c>
      <c r="AI345" s="155">
        <f ca="1">IF(ISNUMBER(MATCH(DATEVALUE($A345),'recurring1_based on steps'!AI$1:AI$400,0)),AI$2,)</f>
        <v>0</v>
      </c>
      <c r="AJ345" s="155">
        <f ca="1">IF(ISNUMBER(MATCH(DATEVALUE($A345),'recurring1_based on steps'!AJ$1:AJ$400,0)),AJ$2,)</f>
        <v>0</v>
      </c>
      <c r="AK345" s="155">
        <f ca="1">IF(ISNUMBER(MATCH(DATEVALUE($A345),'recurring1_based on steps'!AK$1:AK$400,0)),AK$2,)</f>
        <v>0</v>
      </c>
      <c r="AL345" s="155">
        <f ca="1">IF(ISNUMBER(MATCH(DATEVALUE($A345),'recurring1_based on steps'!AL$1:AL$400,0)),AL$2,)</f>
        <v>0</v>
      </c>
      <c r="AM345" s="155">
        <f ca="1">IF(ISNUMBER(MATCH(DATEVALUE($A345),'recurring1_based on steps'!AM$1:AM$400,0)),AM$2,)</f>
        <v>0</v>
      </c>
      <c r="AN345" s="155">
        <f ca="1">IF(ISNUMBER(MATCH(DATEVALUE($A345),'recurring1_based on steps'!AN$1:AN$400,0)),AN$2,)</f>
        <v>0</v>
      </c>
      <c r="AO345" s="155">
        <f ca="1">IF(ISNUMBER(MATCH(DATEVALUE($A345),'recurring1_based on steps'!AO$1:AO$400,0)),AO$2,)</f>
        <v>0</v>
      </c>
      <c r="AP345" s="155">
        <f ca="1">IF(ISNUMBER(MATCH(DATEVALUE($A345),'recurring1_based on steps'!AP$1:AP$400,0)),AP$2,)</f>
        <v>0</v>
      </c>
      <c r="AQ345" s="155">
        <f ca="1">IF(ISNUMBER(MATCH(DATEVALUE($A345),'recurring1_based on steps'!AQ$1:AQ$400,0)),AQ$2,)</f>
        <v>0</v>
      </c>
      <c r="AR345" s="155">
        <f ca="1">IF(ISNUMBER(MATCH(DATEVALUE($A345),'recurring1_based on steps'!AR$1:AR$400,0)),AR$2,)</f>
        <v>0</v>
      </c>
      <c r="AS345" s="155">
        <f ca="1">IF(ISNUMBER(MATCH(DATEVALUE($A345),'recurring1_based on steps'!AS$1:AS$400,0)),AS$2,)</f>
        <v>0</v>
      </c>
      <c r="AT345" s="155">
        <f ca="1">IF(ISNUMBER(MATCH(DATEVALUE($A345),'recurring1_based on steps'!AT$1:AT$400,0)),AT$2,)</f>
        <v>0</v>
      </c>
      <c r="AU345" s="155">
        <f ca="1">IF(ISNUMBER(MATCH(DATEVALUE($A345),'recurring1_based on steps'!AU$1:AU$400,0)),AU$2,)</f>
        <v>0</v>
      </c>
      <c r="AV345" s="155">
        <f ca="1">IF(ISNUMBER(MATCH(DATEVALUE($A345),'recurring1_based on steps'!AV$1:AV$400,0)),AV$2,)</f>
        <v>0</v>
      </c>
      <c r="AW345" s="155">
        <f ca="1">IF(ISNUMBER(MATCH(DATEVALUE($A345),'recurring1_based on steps'!AW$1:AW$400,0)),AW$2,)</f>
        <v>0</v>
      </c>
      <c r="AX345" s="155">
        <f ca="1">IF(ISNUMBER(MATCH(DATEVALUE($A345),'recurring1_based on steps'!AX$1:AX$400,0)),AX$2,)</f>
        <v>0</v>
      </c>
      <c r="AY345" s="155">
        <f ca="1">IF(ISNUMBER(MATCH(DATEVALUE($A345),'recurring1_based on steps'!AY$1:AY$400,0)),AY$2,)</f>
        <v>0</v>
      </c>
    </row>
    <row r="346" spans="1:51" x14ac:dyDescent="0.2">
      <c r="A346" s="18" t="str">
        <f t="shared" ca="1" si="5"/>
        <v>2026-01-10</v>
      </c>
      <c r="B346" s="155">
        <f ca="1">IF(ISNUMBER(MATCH(DATEVALUE($A346),'recurring1_based on steps'!B$1:B$400,0)),B$2,)</f>
        <v>0</v>
      </c>
      <c r="C346" s="155">
        <f ca="1">IF(ISNUMBER(MATCH(DATEVALUE($A346),'recurring1_based on steps'!C$1:C$400,0)),C$2,)</f>
        <v>0</v>
      </c>
      <c r="D346" s="155">
        <f ca="1">IF(ISNUMBER(MATCH(DATEVALUE($A346),'recurring1_based on steps'!D$1:D$400,0)),D$2,)</f>
        <v>0</v>
      </c>
      <c r="E346" s="155">
        <f ca="1">IF(ISNUMBER(MATCH(DATEVALUE($A346),'recurring1_based on steps'!E$1:E$400,0)),E$2,)</f>
        <v>0</v>
      </c>
      <c r="F346" s="155">
        <f ca="1">IF(ISNUMBER(MATCH(DATEVALUE($A346),'recurring1_based on steps'!F$1:F$400,0)),F$2,)</f>
        <v>0</v>
      </c>
      <c r="G346" s="155">
        <f ca="1">IF(ISNUMBER(MATCH(DATEVALUE($A346),'recurring1_based on steps'!G$1:G$400,0)),G$2,)</f>
        <v>0</v>
      </c>
      <c r="H346" s="155">
        <f ca="1">IF(ISNUMBER(MATCH(DATEVALUE($A346),'recurring1_based on steps'!H$1:H$400,0)),H$2,)</f>
        <v>0</v>
      </c>
      <c r="I346" s="155">
        <f ca="1">IF(ISNUMBER(MATCH(DATEVALUE($A346),'recurring1_based on steps'!I$1:I$400,0)),I$2,)</f>
        <v>0</v>
      </c>
      <c r="J346" s="155">
        <f ca="1">IF(ISNUMBER(MATCH(DATEVALUE($A346),'recurring1_based on steps'!J$1:J$400,0)),J$2,)</f>
        <v>0</v>
      </c>
      <c r="K346" s="155">
        <f ca="1">IF(ISNUMBER(MATCH(DATEVALUE($A346),'recurring1_based on steps'!K$1:K$400,0)),K$2,)</f>
        <v>0</v>
      </c>
      <c r="L346" s="155">
        <f ca="1">IF(ISNUMBER(MATCH(DATEVALUE($A346),'recurring1_based on steps'!L$1:L$400,0)),L$2,)</f>
        <v>0</v>
      </c>
      <c r="M346" s="155">
        <f ca="1">IF(ISNUMBER(MATCH(DATEVALUE($A346),'recurring1_based on steps'!M$1:M$400,0)),M$2,)</f>
        <v>0</v>
      </c>
      <c r="N346" s="155">
        <f ca="1">IF(ISNUMBER(MATCH(DATEVALUE($A346),'recurring1_based on steps'!N$1:N$400,0)),N$2,)</f>
        <v>0</v>
      </c>
      <c r="O346" s="155">
        <f ca="1">IF(ISNUMBER(MATCH(DATEVALUE($A346),'recurring1_based on steps'!O$1:O$400,0)),O$2,)</f>
        <v>0</v>
      </c>
      <c r="P346" s="155">
        <f ca="1">IF(ISNUMBER(MATCH(DATEVALUE($A346),'recurring1_based on steps'!P$1:P$400,0)),P$2,)</f>
        <v>0</v>
      </c>
      <c r="Q346" s="155">
        <f ca="1">IF(ISNUMBER(MATCH(DATEVALUE($A346),'recurring1_based on steps'!Q$1:Q$400,0)),Q$2,)</f>
        <v>100</v>
      </c>
      <c r="R346" s="155">
        <f ca="1">IF(ISNUMBER(MATCH(DATEVALUE($A346),'recurring1_based on steps'!R$1:R$400,0)),R$2,)</f>
        <v>100</v>
      </c>
      <c r="S346" s="155">
        <f ca="1">IF(ISNUMBER(MATCH(DATEVALUE($A346),'recurring1_based on steps'!S$1:S$400,0)),S$2,)</f>
        <v>0</v>
      </c>
      <c r="T346" s="155">
        <f ca="1">IF(ISNUMBER(MATCH(DATEVALUE($A346),'recurring1_based on steps'!T$1:T$400,0)),T$2,)</f>
        <v>0</v>
      </c>
      <c r="U346" s="155">
        <f ca="1">IF(ISNUMBER(MATCH(DATEVALUE($A346),'recurring1_based on steps'!U$1:U$400,0)),U$2,)</f>
        <v>0</v>
      </c>
      <c r="V346" s="155">
        <f ca="1">IF(ISNUMBER(MATCH(DATEVALUE($A346),'recurring1_based on steps'!V$1:V$400,0)),V$2,)</f>
        <v>0</v>
      </c>
      <c r="W346" s="155">
        <f ca="1">IF(ISNUMBER(MATCH(DATEVALUE($A346),'recurring1_based on steps'!W$1:W$400,0)),W$2,)</f>
        <v>0</v>
      </c>
      <c r="X346" s="155">
        <f ca="1">IF(ISNUMBER(MATCH(DATEVALUE($A346),'recurring1_based on steps'!X$1:X$400,0)),X$2,)</f>
        <v>0</v>
      </c>
      <c r="Y346" s="155">
        <f ca="1">IF(ISNUMBER(MATCH(DATEVALUE($A346),'recurring1_based on steps'!Y$1:Y$400,0)),Y$2,)</f>
        <v>0</v>
      </c>
      <c r="Z346" s="155">
        <f ca="1">IF(ISNUMBER(MATCH(DATEVALUE($A346),'recurring1_based on steps'!Z$1:Z$400,0)),Z$2,)</f>
        <v>0</v>
      </c>
      <c r="AA346" s="155">
        <f ca="1">IF(ISNUMBER(MATCH(DATEVALUE($A346),'recurring1_based on steps'!AA$1:AA$400,0)),AA$2,)</f>
        <v>0</v>
      </c>
      <c r="AB346" s="155">
        <f ca="1">IF(ISNUMBER(MATCH(DATEVALUE($A346),'recurring1_based on steps'!AB$1:AB$400,0)),AB$2,)</f>
        <v>0</v>
      </c>
      <c r="AC346" s="155">
        <f ca="1">IF(ISNUMBER(MATCH(DATEVALUE($A346),'recurring1_based on steps'!AC$1:AC$400,0)),AC$2,)</f>
        <v>0</v>
      </c>
      <c r="AD346" s="155">
        <f ca="1">IF(ISNUMBER(MATCH(DATEVALUE($A346),'recurring1_based on steps'!AD$1:AD$400,0)),AD$2,)</f>
        <v>0</v>
      </c>
      <c r="AE346" s="155">
        <f ca="1">IF(ISNUMBER(MATCH(DATEVALUE($A346),'recurring1_based on steps'!AE$1:AE$400,0)),AE$2,)</f>
        <v>0</v>
      </c>
      <c r="AF346" s="155">
        <f ca="1">IF(ISNUMBER(MATCH(DATEVALUE($A346),'recurring1_based on steps'!AF$1:AF$400,0)),AF$2,)</f>
        <v>0</v>
      </c>
      <c r="AG346" s="155">
        <f ca="1">IF(ISNUMBER(MATCH(DATEVALUE($A346),'recurring1_based on steps'!AG$1:AG$400,0)),AG$2,)</f>
        <v>0</v>
      </c>
      <c r="AH346" s="155">
        <f ca="1">IF(ISNUMBER(MATCH(DATEVALUE($A346),'recurring1_based on steps'!AH$1:AH$400,0)),AH$2,)</f>
        <v>0</v>
      </c>
      <c r="AI346" s="155">
        <f ca="1">IF(ISNUMBER(MATCH(DATEVALUE($A346),'recurring1_based on steps'!AI$1:AI$400,0)),AI$2,)</f>
        <v>0</v>
      </c>
      <c r="AJ346" s="155">
        <f ca="1">IF(ISNUMBER(MATCH(DATEVALUE($A346),'recurring1_based on steps'!AJ$1:AJ$400,0)),AJ$2,)</f>
        <v>0</v>
      </c>
      <c r="AK346" s="155">
        <f ca="1">IF(ISNUMBER(MATCH(DATEVALUE($A346),'recurring1_based on steps'!AK$1:AK$400,0)),AK$2,)</f>
        <v>0</v>
      </c>
      <c r="AL346" s="155">
        <f ca="1">IF(ISNUMBER(MATCH(DATEVALUE($A346),'recurring1_based on steps'!AL$1:AL$400,0)),AL$2,)</f>
        <v>0</v>
      </c>
      <c r="AM346" s="155">
        <f ca="1">IF(ISNUMBER(MATCH(DATEVALUE($A346),'recurring1_based on steps'!AM$1:AM$400,0)),AM$2,)</f>
        <v>0</v>
      </c>
      <c r="AN346" s="155">
        <f ca="1">IF(ISNUMBER(MATCH(DATEVALUE($A346),'recurring1_based on steps'!AN$1:AN$400,0)),AN$2,)</f>
        <v>0</v>
      </c>
      <c r="AO346" s="155">
        <f ca="1">IF(ISNUMBER(MATCH(DATEVALUE($A346),'recurring1_based on steps'!AO$1:AO$400,0)),AO$2,)</f>
        <v>0</v>
      </c>
      <c r="AP346" s="155">
        <f ca="1">IF(ISNUMBER(MATCH(DATEVALUE($A346),'recurring1_based on steps'!AP$1:AP$400,0)),AP$2,)</f>
        <v>0</v>
      </c>
      <c r="AQ346" s="155">
        <f ca="1">IF(ISNUMBER(MATCH(DATEVALUE($A346),'recurring1_based on steps'!AQ$1:AQ$400,0)),AQ$2,)</f>
        <v>0</v>
      </c>
      <c r="AR346" s="155">
        <f ca="1">IF(ISNUMBER(MATCH(DATEVALUE($A346),'recurring1_based on steps'!AR$1:AR$400,0)),AR$2,)</f>
        <v>0</v>
      </c>
      <c r="AS346" s="155">
        <f ca="1">IF(ISNUMBER(MATCH(DATEVALUE($A346),'recurring1_based on steps'!AS$1:AS$400,0)),AS$2,)</f>
        <v>0</v>
      </c>
      <c r="AT346" s="155">
        <f ca="1">IF(ISNUMBER(MATCH(DATEVALUE($A346),'recurring1_based on steps'!AT$1:AT$400,0)),AT$2,)</f>
        <v>0</v>
      </c>
      <c r="AU346" s="155">
        <f ca="1">IF(ISNUMBER(MATCH(DATEVALUE($A346),'recurring1_based on steps'!AU$1:AU$400,0)),AU$2,)</f>
        <v>0</v>
      </c>
      <c r="AV346" s="155">
        <f ca="1">IF(ISNUMBER(MATCH(DATEVALUE($A346),'recurring1_based on steps'!AV$1:AV$400,0)),AV$2,)</f>
        <v>0</v>
      </c>
      <c r="AW346" s="155">
        <f ca="1">IF(ISNUMBER(MATCH(DATEVALUE($A346),'recurring1_based on steps'!AW$1:AW$400,0)),AW$2,)</f>
        <v>0</v>
      </c>
      <c r="AX346" s="155">
        <f ca="1">IF(ISNUMBER(MATCH(DATEVALUE($A346),'recurring1_based on steps'!AX$1:AX$400,0)),AX$2,)</f>
        <v>0</v>
      </c>
      <c r="AY346" s="155">
        <f ca="1">IF(ISNUMBER(MATCH(DATEVALUE($A346),'recurring1_based on steps'!AY$1:AY$400,0)),AY$2,)</f>
        <v>0</v>
      </c>
    </row>
    <row r="347" spans="1:51" x14ac:dyDescent="0.2">
      <c r="A347" s="18" t="str">
        <f t="shared" ca="1" si="5"/>
        <v>2026-01-11</v>
      </c>
      <c r="B347" s="155">
        <f ca="1">IF(ISNUMBER(MATCH(DATEVALUE($A347),'recurring1_based on steps'!B$1:B$400,0)),B$2,)</f>
        <v>0</v>
      </c>
      <c r="C347" s="155">
        <f ca="1">IF(ISNUMBER(MATCH(DATEVALUE($A347),'recurring1_based on steps'!C$1:C$400,0)),C$2,)</f>
        <v>0</v>
      </c>
      <c r="D347" s="155">
        <f ca="1">IF(ISNUMBER(MATCH(DATEVALUE($A347),'recurring1_based on steps'!D$1:D$400,0)),D$2,)</f>
        <v>0</v>
      </c>
      <c r="E347" s="155">
        <f ca="1">IF(ISNUMBER(MATCH(DATEVALUE($A347),'recurring1_based on steps'!E$1:E$400,0)),E$2,)</f>
        <v>0</v>
      </c>
      <c r="F347" s="155">
        <f ca="1">IF(ISNUMBER(MATCH(DATEVALUE($A347),'recurring1_based on steps'!F$1:F$400,0)),F$2,)</f>
        <v>0</v>
      </c>
      <c r="G347" s="155">
        <f ca="1">IF(ISNUMBER(MATCH(DATEVALUE($A347),'recurring1_based on steps'!G$1:G$400,0)),G$2,)</f>
        <v>0</v>
      </c>
      <c r="H347" s="155">
        <f ca="1">IF(ISNUMBER(MATCH(DATEVALUE($A347),'recurring1_based on steps'!H$1:H$400,0)),H$2,)</f>
        <v>0</v>
      </c>
      <c r="I347" s="155">
        <f ca="1">IF(ISNUMBER(MATCH(DATEVALUE($A347),'recurring1_based on steps'!I$1:I$400,0)),I$2,)</f>
        <v>0</v>
      </c>
      <c r="J347" s="155">
        <f ca="1">IF(ISNUMBER(MATCH(DATEVALUE($A347),'recurring1_based on steps'!J$1:J$400,0)),J$2,)</f>
        <v>0</v>
      </c>
      <c r="K347" s="155">
        <f ca="1">IF(ISNUMBER(MATCH(DATEVALUE($A347),'recurring1_based on steps'!K$1:K$400,0)),K$2,)</f>
        <v>50</v>
      </c>
      <c r="L347" s="155">
        <f ca="1">IF(ISNUMBER(MATCH(DATEVALUE($A347),'recurring1_based on steps'!L$1:L$400,0)),L$2,)</f>
        <v>0</v>
      </c>
      <c r="M347" s="155">
        <f ca="1">IF(ISNUMBER(MATCH(DATEVALUE($A347),'recurring1_based on steps'!M$1:M$400,0)),M$2,)</f>
        <v>0</v>
      </c>
      <c r="N347" s="155">
        <f ca="1">IF(ISNUMBER(MATCH(DATEVALUE($A347),'recurring1_based on steps'!N$1:N$400,0)),N$2,)</f>
        <v>0</v>
      </c>
      <c r="O347" s="155">
        <f ca="1">IF(ISNUMBER(MATCH(DATEVALUE($A347),'recurring1_based on steps'!O$1:O$400,0)),O$2,)</f>
        <v>0</v>
      </c>
      <c r="P347" s="155">
        <f ca="1">IF(ISNUMBER(MATCH(DATEVALUE($A347),'recurring1_based on steps'!P$1:P$400,0)),P$2,)</f>
        <v>0</v>
      </c>
      <c r="Q347" s="155">
        <f ca="1">IF(ISNUMBER(MATCH(DATEVALUE($A347),'recurring1_based on steps'!Q$1:Q$400,0)),Q$2,)</f>
        <v>0</v>
      </c>
      <c r="R347" s="155">
        <f ca="1">IF(ISNUMBER(MATCH(DATEVALUE($A347),'recurring1_based on steps'!R$1:R$400,0)),R$2,)</f>
        <v>0</v>
      </c>
      <c r="S347" s="155">
        <f ca="1">IF(ISNUMBER(MATCH(DATEVALUE($A347),'recurring1_based on steps'!S$1:S$400,0)),S$2,)</f>
        <v>100</v>
      </c>
      <c r="T347" s="155">
        <f ca="1">IF(ISNUMBER(MATCH(DATEVALUE($A347),'recurring1_based on steps'!T$1:T$400,0)),T$2,)</f>
        <v>0</v>
      </c>
      <c r="U347" s="155">
        <f ca="1">IF(ISNUMBER(MATCH(DATEVALUE($A347),'recurring1_based on steps'!U$1:U$400,0)),U$2,)</f>
        <v>0</v>
      </c>
      <c r="V347" s="155">
        <f ca="1">IF(ISNUMBER(MATCH(DATEVALUE($A347),'recurring1_based on steps'!V$1:V$400,0)),V$2,)</f>
        <v>0</v>
      </c>
      <c r="W347" s="155">
        <f ca="1">IF(ISNUMBER(MATCH(DATEVALUE($A347),'recurring1_based on steps'!W$1:W$400,0)),W$2,)</f>
        <v>0</v>
      </c>
      <c r="X347" s="155">
        <f ca="1">IF(ISNUMBER(MATCH(DATEVALUE($A347),'recurring1_based on steps'!X$1:X$400,0)),X$2,)</f>
        <v>0</v>
      </c>
      <c r="Y347" s="155">
        <f ca="1">IF(ISNUMBER(MATCH(DATEVALUE($A347),'recurring1_based on steps'!Y$1:Y$400,0)),Y$2,)</f>
        <v>0</v>
      </c>
      <c r="Z347" s="155">
        <f ca="1">IF(ISNUMBER(MATCH(DATEVALUE($A347),'recurring1_based on steps'!Z$1:Z$400,0)),Z$2,)</f>
        <v>0</v>
      </c>
      <c r="AA347" s="155">
        <f ca="1">IF(ISNUMBER(MATCH(DATEVALUE($A347),'recurring1_based on steps'!AA$1:AA$400,0)),AA$2,)</f>
        <v>0</v>
      </c>
      <c r="AB347" s="155">
        <f ca="1">IF(ISNUMBER(MATCH(DATEVALUE($A347),'recurring1_based on steps'!AB$1:AB$400,0)),AB$2,)</f>
        <v>0</v>
      </c>
      <c r="AC347" s="155">
        <f ca="1">IF(ISNUMBER(MATCH(DATEVALUE($A347),'recurring1_based on steps'!AC$1:AC$400,0)),AC$2,)</f>
        <v>0</v>
      </c>
      <c r="AD347" s="155">
        <f ca="1">IF(ISNUMBER(MATCH(DATEVALUE($A347),'recurring1_based on steps'!AD$1:AD$400,0)),AD$2,)</f>
        <v>0</v>
      </c>
      <c r="AE347" s="155">
        <f ca="1">IF(ISNUMBER(MATCH(DATEVALUE($A347),'recurring1_based on steps'!AE$1:AE$400,0)),AE$2,)</f>
        <v>0</v>
      </c>
      <c r="AF347" s="155">
        <f ca="1">IF(ISNUMBER(MATCH(DATEVALUE($A347),'recurring1_based on steps'!AF$1:AF$400,0)),AF$2,)</f>
        <v>0</v>
      </c>
      <c r="AG347" s="155">
        <f ca="1">IF(ISNUMBER(MATCH(DATEVALUE($A347),'recurring1_based on steps'!AG$1:AG$400,0)),AG$2,)</f>
        <v>0</v>
      </c>
      <c r="AH347" s="155">
        <f ca="1">IF(ISNUMBER(MATCH(DATEVALUE($A347),'recurring1_based on steps'!AH$1:AH$400,0)),AH$2,)</f>
        <v>0</v>
      </c>
      <c r="AI347" s="155">
        <f ca="1">IF(ISNUMBER(MATCH(DATEVALUE($A347),'recurring1_based on steps'!AI$1:AI$400,0)),AI$2,)</f>
        <v>0</v>
      </c>
      <c r="AJ347" s="155">
        <f ca="1">IF(ISNUMBER(MATCH(DATEVALUE($A347),'recurring1_based on steps'!AJ$1:AJ$400,0)),AJ$2,)</f>
        <v>0</v>
      </c>
      <c r="AK347" s="155">
        <f ca="1">IF(ISNUMBER(MATCH(DATEVALUE($A347),'recurring1_based on steps'!AK$1:AK$400,0)),AK$2,)</f>
        <v>0</v>
      </c>
      <c r="AL347" s="155">
        <f ca="1">IF(ISNUMBER(MATCH(DATEVALUE($A347),'recurring1_based on steps'!AL$1:AL$400,0)),AL$2,)</f>
        <v>0</v>
      </c>
      <c r="AM347" s="155">
        <f ca="1">IF(ISNUMBER(MATCH(DATEVALUE($A347),'recurring1_based on steps'!AM$1:AM$400,0)),AM$2,)</f>
        <v>0</v>
      </c>
      <c r="AN347" s="155">
        <f ca="1">IF(ISNUMBER(MATCH(DATEVALUE($A347),'recurring1_based on steps'!AN$1:AN$400,0)),AN$2,)</f>
        <v>0</v>
      </c>
      <c r="AO347" s="155">
        <f ca="1">IF(ISNUMBER(MATCH(DATEVALUE($A347),'recurring1_based on steps'!AO$1:AO$400,0)),AO$2,)</f>
        <v>0</v>
      </c>
      <c r="AP347" s="155">
        <f ca="1">IF(ISNUMBER(MATCH(DATEVALUE($A347),'recurring1_based on steps'!AP$1:AP$400,0)),AP$2,)</f>
        <v>0</v>
      </c>
      <c r="AQ347" s="155">
        <f ca="1">IF(ISNUMBER(MATCH(DATEVALUE($A347),'recurring1_based on steps'!AQ$1:AQ$400,0)),AQ$2,)</f>
        <v>0</v>
      </c>
      <c r="AR347" s="155">
        <f ca="1">IF(ISNUMBER(MATCH(DATEVALUE($A347),'recurring1_based on steps'!AR$1:AR$400,0)),AR$2,)</f>
        <v>0</v>
      </c>
      <c r="AS347" s="155">
        <f ca="1">IF(ISNUMBER(MATCH(DATEVALUE($A347),'recurring1_based on steps'!AS$1:AS$400,0)),AS$2,)</f>
        <v>0</v>
      </c>
      <c r="AT347" s="155">
        <f ca="1">IF(ISNUMBER(MATCH(DATEVALUE($A347),'recurring1_based on steps'!AT$1:AT$400,0)),AT$2,)</f>
        <v>0</v>
      </c>
      <c r="AU347" s="155">
        <f ca="1">IF(ISNUMBER(MATCH(DATEVALUE($A347),'recurring1_based on steps'!AU$1:AU$400,0)),AU$2,)</f>
        <v>0</v>
      </c>
      <c r="AV347" s="155">
        <f ca="1">IF(ISNUMBER(MATCH(DATEVALUE($A347),'recurring1_based on steps'!AV$1:AV$400,0)),AV$2,)</f>
        <v>0</v>
      </c>
      <c r="AW347" s="155">
        <f ca="1">IF(ISNUMBER(MATCH(DATEVALUE($A347),'recurring1_based on steps'!AW$1:AW$400,0)),AW$2,)</f>
        <v>0</v>
      </c>
      <c r="AX347" s="155">
        <f ca="1">IF(ISNUMBER(MATCH(DATEVALUE($A347),'recurring1_based on steps'!AX$1:AX$400,0)),AX$2,)</f>
        <v>0</v>
      </c>
      <c r="AY347" s="155">
        <f ca="1">IF(ISNUMBER(MATCH(DATEVALUE($A347),'recurring1_based on steps'!AY$1:AY$400,0)),AY$2,)</f>
        <v>0</v>
      </c>
    </row>
    <row r="348" spans="1:51" x14ac:dyDescent="0.2">
      <c r="A348" s="18" t="str">
        <f t="shared" ca="1" si="5"/>
        <v>2026-01-12</v>
      </c>
      <c r="B348" s="155">
        <f ca="1">IF(ISNUMBER(MATCH(DATEVALUE($A348),'recurring1_based on steps'!B$1:B$400,0)),B$2,)</f>
        <v>0</v>
      </c>
      <c r="C348" s="155">
        <f ca="1">IF(ISNUMBER(MATCH(DATEVALUE($A348),'recurring1_based on steps'!C$1:C$400,0)),C$2,)</f>
        <v>0</v>
      </c>
      <c r="D348" s="155">
        <f ca="1">IF(ISNUMBER(MATCH(DATEVALUE($A348),'recurring1_based on steps'!D$1:D$400,0)),D$2,)</f>
        <v>0</v>
      </c>
      <c r="E348" s="155">
        <f ca="1">IF(ISNUMBER(MATCH(DATEVALUE($A348),'recurring1_based on steps'!E$1:E$400,0)),E$2,)</f>
        <v>0</v>
      </c>
      <c r="F348" s="155">
        <f ca="1">IF(ISNUMBER(MATCH(DATEVALUE($A348),'recurring1_based on steps'!F$1:F$400,0)),F$2,)</f>
        <v>0</v>
      </c>
      <c r="G348" s="155">
        <f ca="1">IF(ISNUMBER(MATCH(DATEVALUE($A348),'recurring1_based on steps'!G$1:G$400,0)),G$2,)</f>
        <v>0</v>
      </c>
      <c r="H348" s="155">
        <f ca="1">IF(ISNUMBER(MATCH(DATEVALUE($A348),'recurring1_based on steps'!H$1:H$400,0)),H$2,)</f>
        <v>0</v>
      </c>
      <c r="I348" s="155">
        <f ca="1">IF(ISNUMBER(MATCH(DATEVALUE($A348),'recurring1_based on steps'!I$1:I$400,0)),I$2,)</f>
        <v>0</v>
      </c>
      <c r="J348" s="155">
        <f ca="1">IF(ISNUMBER(MATCH(DATEVALUE($A348),'recurring1_based on steps'!J$1:J$400,0)),J$2,)</f>
        <v>0</v>
      </c>
      <c r="K348" s="155">
        <f ca="1">IF(ISNUMBER(MATCH(DATEVALUE($A348),'recurring1_based on steps'!K$1:K$400,0)),K$2,)</f>
        <v>0</v>
      </c>
      <c r="L348" s="155">
        <f ca="1">IF(ISNUMBER(MATCH(DATEVALUE($A348),'recurring1_based on steps'!L$1:L$400,0)),L$2,)</f>
        <v>0</v>
      </c>
      <c r="M348" s="155">
        <f ca="1">IF(ISNUMBER(MATCH(DATEVALUE($A348),'recurring1_based on steps'!M$1:M$400,0)),M$2,)</f>
        <v>0</v>
      </c>
      <c r="N348" s="155">
        <f ca="1">IF(ISNUMBER(MATCH(DATEVALUE($A348),'recurring1_based on steps'!N$1:N$400,0)),N$2,)</f>
        <v>0</v>
      </c>
      <c r="O348" s="155">
        <f ca="1">IF(ISNUMBER(MATCH(DATEVALUE($A348),'recurring1_based on steps'!O$1:O$400,0)),O$2,)</f>
        <v>0</v>
      </c>
      <c r="P348" s="155">
        <f ca="1">IF(ISNUMBER(MATCH(DATEVALUE($A348),'recurring1_based on steps'!P$1:P$400,0)),P$2,)</f>
        <v>0</v>
      </c>
      <c r="Q348" s="155">
        <f ca="1">IF(ISNUMBER(MATCH(DATEVALUE($A348),'recurring1_based on steps'!Q$1:Q$400,0)),Q$2,)</f>
        <v>0</v>
      </c>
      <c r="R348" s="155">
        <f ca="1">IF(ISNUMBER(MATCH(DATEVALUE($A348),'recurring1_based on steps'!R$1:R$400,0)),R$2,)</f>
        <v>0</v>
      </c>
      <c r="S348" s="155">
        <f ca="1">IF(ISNUMBER(MATCH(DATEVALUE($A348),'recurring1_based on steps'!S$1:S$400,0)),S$2,)</f>
        <v>0</v>
      </c>
      <c r="T348" s="155">
        <f ca="1">IF(ISNUMBER(MATCH(DATEVALUE($A348),'recurring1_based on steps'!T$1:T$400,0)),T$2,)</f>
        <v>0</v>
      </c>
      <c r="U348" s="155">
        <f ca="1">IF(ISNUMBER(MATCH(DATEVALUE($A348),'recurring1_based on steps'!U$1:U$400,0)),U$2,)</f>
        <v>0</v>
      </c>
      <c r="V348" s="155">
        <f ca="1">IF(ISNUMBER(MATCH(DATEVALUE($A348),'recurring1_based on steps'!V$1:V$400,0)),V$2,)</f>
        <v>0</v>
      </c>
      <c r="W348" s="155">
        <f ca="1">IF(ISNUMBER(MATCH(DATEVALUE($A348),'recurring1_based on steps'!W$1:W$400,0)),W$2,)</f>
        <v>0</v>
      </c>
      <c r="X348" s="155">
        <f ca="1">IF(ISNUMBER(MATCH(DATEVALUE($A348),'recurring1_based on steps'!X$1:X$400,0)),X$2,)</f>
        <v>0</v>
      </c>
      <c r="Y348" s="155">
        <f ca="1">IF(ISNUMBER(MATCH(DATEVALUE($A348),'recurring1_based on steps'!Y$1:Y$400,0)),Y$2,)</f>
        <v>0</v>
      </c>
      <c r="Z348" s="155">
        <f ca="1">IF(ISNUMBER(MATCH(DATEVALUE($A348),'recurring1_based on steps'!Z$1:Z$400,0)),Z$2,)</f>
        <v>0</v>
      </c>
      <c r="AA348" s="155">
        <f ca="1">IF(ISNUMBER(MATCH(DATEVALUE($A348),'recurring1_based on steps'!AA$1:AA$400,0)),AA$2,)</f>
        <v>0</v>
      </c>
      <c r="AB348" s="155">
        <f ca="1">IF(ISNUMBER(MATCH(DATEVALUE($A348),'recurring1_based on steps'!AB$1:AB$400,0)),AB$2,)</f>
        <v>0</v>
      </c>
      <c r="AC348" s="155">
        <f ca="1">IF(ISNUMBER(MATCH(DATEVALUE($A348),'recurring1_based on steps'!AC$1:AC$400,0)),AC$2,)</f>
        <v>0</v>
      </c>
      <c r="AD348" s="155">
        <f ca="1">IF(ISNUMBER(MATCH(DATEVALUE($A348),'recurring1_based on steps'!AD$1:AD$400,0)),AD$2,)</f>
        <v>0</v>
      </c>
      <c r="AE348" s="155">
        <f ca="1">IF(ISNUMBER(MATCH(DATEVALUE($A348),'recurring1_based on steps'!AE$1:AE$400,0)),AE$2,)</f>
        <v>0</v>
      </c>
      <c r="AF348" s="155">
        <f ca="1">IF(ISNUMBER(MATCH(DATEVALUE($A348),'recurring1_based on steps'!AF$1:AF$400,0)),AF$2,)</f>
        <v>0</v>
      </c>
      <c r="AG348" s="155">
        <f ca="1">IF(ISNUMBER(MATCH(DATEVALUE($A348),'recurring1_based on steps'!AG$1:AG$400,0)),AG$2,)</f>
        <v>0</v>
      </c>
      <c r="AH348" s="155">
        <f ca="1">IF(ISNUMBER(MATCH(DATEVALUE($A348),'recurring1_based on steps'!AH$1:AH$400,0)),AH$2,)</f>
        <v>0</v>
      </c>
      <c r="AI348" s="155">
        <f ca="1">IF(ISNUMBER(MATCH(DATEVALUE($A348),'recurring1_based on steps'!AI$1:AI$400,0)),AI$2,)</f>
        <v>0</v>
      </c>
      <c r="AJ348" s="155">
        <f ca="1">IF(ISNUMBER(MATCH(DATEVALUE($A348),'recurring1_based on steps'!AJ$1:AJ$400,0)),AJ$2,)</f>
        <v>0</v>
      </c>
      <c r="AK348" s="155">
        <f ca="1">IF(ISNUMBER(MATCH(DATEVALUE($A348),'recurring1_based on steps'!AK$1:AK$400,0)),AK$2,)</f>
        <v>0</v>
      </c>
      <c r="AL348" s="155">
        <f ca="1">IF(ISNUMBER(MATCH(DATEVALUE($A348),'recurring1_based on steps'!AL$1:AL$400,0)),AL$2,)</f>
        <v>0</v>
      </c>
      <c r="AM348" s="155">
        <f ca="1">IF(ISNUMBER(MATCH(DATEVALUE($A348),'recurring1_based on steps'!AM$1:AM$400,0)),AM$2,)</f>
        <v>0</v>
      </c>
      <c r="AN348" s="155">
        <f ca="1">IF(ISNUMBER(MATCH(DATEVALUE($A348),'recurring1_based on steps'!AN$1:AN$400,0)),AN$2,)</f>
        <v>0</v>
      </c>
      <c r="AO348" s="155">
        <f ca="1">IF(ISNUMBER(MATCH(DATEVALUE($A348),'recurring1_based on steps'!AO$1:AO$400,0)),AO$2,)</f>
        <v>0</v>
      </c>
      <c r="AP348" s="155">
        <f ca="1">IF(ISNUMBER(MATCH(DATEVALUE($A348),'recurring1_based on steps'!AP$1:AP$400,0)),AP$2,)</f>
        <v>0</v>
      </c>
      <c r="AQ348" s="155">
        <f ca="1">IF(ISNUMBER(MATCH(DATEVALUE($A348),'recurring1_based on steps'!AQ$1:AQ$400,0)),AQ$2,)</f>
        <v>0</v>
      </c>
      <c r="AR348" s="155">
        <f ca="1">IF(ISNUMBER(MATCH(DATEVALUE($A348),'recurring1_based on steps'!AR$1:AR$400,0)),AR$2,)</f>
        <v>0</v>
      </c>
      <c r="AS348" s="155">
        <f ca="1">IF(ISNUMBER(MATCH(DATEVALUE($A348),'recurring1_based on steps'!AS$1:AS$400,0)),AS$2,)</f>
        <v>0</v>
      </c>
      <c r="AT348" s="155">
        <f ca="1">IF(ISNUMBER(MATCH(DATEVALUE($A348),'recurring1_based on steps'!AT$1:AT$400,0)),AT$2,)</f>
        <v>0</v>
      </c>
      <c r="AU348" s="155">
        <f ca="1">IF(ISNUMBER(MATCH(DATEVALUE($A348),'recurring1_based on steps'!AU$1:AU$400,0)),AU$2,)</f>
        <v>0</v>
      </c>
      <c r="AV348" s="155">
        <f ca="1">IF(ISNUMBER(MATCH(DATEVALUE($A348),'recurring1_based on steps'!AV$1:AV$400,0)),AV$2,)</f>
        <v>0</v>
      </c>
      <c r="AW348" s="155">
        <f ca="1">IF(ISNUMBER(MATCH(DATEVALUE($A348),'recurring1_based on steps'!AW$1:AW$400,0)),AW$2,)</f>
        <v>0</v>
      </c>
      <c r="AX348" s="155">
        <f ca="1">IF(ISNUMBER(MATCH(DATEVALUE($A348),'recurring1_based on steps'!AX$1:AX$400,0)),AX$2,)</f>
        <v>0</v>
      </c>
      <c r="AY348" s="155">
        <f ca="1">IF(ISNUMBER(MATCH(DATEVALUE($A348),'recurring1_based on steps'!AY$1:AY$400,0)),AY$2,)</f>
        <v>0</v>
      </c>
    </row>
    <row r="349" spans="1:51" x14ac:dyDescent="0.2">
      <c r="A349" s="18" t="str">
        <f t="shared" ca="1" si="5"/>
        <v>2026-01-13</v>
      </c>
      <c r="B349" s="155">
        <f ca="1">IF(ISNUMBER(MATCH(DATEVALUE($A349),'recurring1_based on steps'!B$1:B$400,0)),B$2,)</f>
        <v>0</v>
      </c>
      <c r="C349" s="155">
        <f ca="1">IF(ISNUMBER(MATCH(DATEVALUE($A349),'recurring1_based on steps'!C$1:C$400,0)),C$2,)</f>
        <v>0</v>
      </c>
      <c r="D349" s="155">
        <f ca="1">IF(ISNUMBER(MATCH(DATEVALUE($A349),'recurring1_based on steps'!D$1:D$400,0)),D$2,)</f>
        <v>0</v>
      </c>
      <c r="E349" s="155">
        <f ca="1">IF(ISNUMBER(MATCH(DATEVALUE($A349),'recurring1_based on steps'!E$1:E$400,0)),E$2,)</f>
        <v>0</v>
      </c>
      <c r="F349" s="155">
        <f ca="1">IF(ISNUMBER(MATCH(DATEVALUE($A349),'recurring1_based on steps'!F$1:F$400,0)),F$2,)</f>
        <v>0</v>
      </c>
      <c r="G349" s="155">
        <f ca="1">IF(ISNUMBER(MATCH(DATEVALUE($A349),'recurring1_based on steps'!G$1:G$400,0)),G$2,)</f>
        <v>0</v>
      </c>
      <c r="H349" s="155">
        <f ca="1">IF(ISNUMBER(MATCH(DATEVALUE($A349),'recurring1_based on steps'!H$1:H$400,0)),H$2,)</f>
        <v>0</v>
      </c>
      <c r="I349" s="155">
        <f ca="1">IF(ISNUMBER(MATCH(DATEVALUE($A349),'recurring1_based on steps'!I$1:I$400,0)),I$2,)</f>
        <v>0</v>
      </c>
      <c r="J349" s="155">
        <f ca="1">IF(ISNUMBER(MATCH(DATEVALUE($A349),'recurring1_based on steps'!J$1:J$400,0)),J$2,)</f>
        <v>0</v>
      </c>
      <c r="K349" s="155">
        <f ca="1">IF(ISNUMBER(MATCH(DATEVALUE($A349),'recurring1_based on steps'!K$1:K$400,0)),K$2,)</f>
        <v>0</v>
      </c>
      <c r="L349" s="155">
        <f ca="1">IF(ISNUMBER(MATCH(DATEVALUE($A349),'recurring1_based on steps'!L$1:L$400,0)),L$2,)</f>
        <v>0</v>
      </c>
      <c r="M349" s="155">
        <f ca="1">IF(ISNUMBER(MATCH(DATEVALUE($A349),'recurring1_based on steps'!M$1:M$400,0)),M$2,)</f>
        <v>0</v>
      </c>
      <c r="N349" s="155">
        <f ca="1">IF(ISNUMBER(MATCH(DATEVALUE($A349),'recurring1_based on steps'!N$1:N$400,0)),N$2,)</f>
        <v>0</v>
      </c>
      <c r="O349" s="155">
        <f ca="1">IF(ISNUMBER(MATCH(DATEVALUE($A349),'recurring1_based on steps'!O$1:O$400,0)),O$2,)</f>
        <v>0</v>
      </c>
      <c r="P349" s="155">
        <f ca="1">IF(ISNUMBER(MATCH(DATEVALUE($A349),'recurring1_based on steps'!P$1:P$400,0)),P$2,)</f>
        <v>0</v>
      </c>
      <c r="Q349" s="155">
        <f ca="1">IF(ISNUMBER(MATCH(DATEVALUE($A349),'recurring1_based on steps'!Q$1:Q$400,0)),Q$2,)</f>
        <v>0</v>
      </c>
      <c r="R349" s="155">
        <f ca="1">IF(ISNUMBER(MATCH(DATEVALUE($A349),'recurring1_based on steps'!R$1:R$400,0)),R$2,)</f>
        <v>0</v>
      </c>
      <c r="S349" s="155">
        <f ca="1">IF(ISNUMBER(MATCH(DATEVALUE($A349),'recurring1_based on steps'!S$1:S$400,0)),S$2,)</f>
        <v>0</v>
      </c>
      <c r="T349" s="155">
        <f ca="1">IF(ISNUMBER(MATCH(DATEVALUE($A349),'recurring1_based on steps'!T$1:T$400,0)),T$2,)</f>
        <v>0</v>
      </c>
      <c r="U349" s="155">
        <f ca="1">IF(ISNUMBER(MATCH(DATEVALUE($A349),'recurring1_based on steps'!U$1:U$400,0)),U$2,)</f>
        <v>0</v>
      </c>
      <c r="V349" s="155">
        <f ca="1">IF(ISNUMBER(MATCH(DATEVALUE($A349),'recurring1_based on steps'!V$1:V$400,0)),V$2,)</f>
        <v>0</v>
      </c>
      <c r="W349" s="155">
        <f ca="1">IF(ISNUMBER(MATCH(DATEVALUE($A349),'recurring1_based on steps'!W$1:W$400,0)),W$2,)</f>
        <v>0</v>
      </c>
      <c r="X349" s="155">
        <f ca="1">IF(ISNUMBER(MATCH(DATEVALUE($A349),'recurring1_based on steps'!X$1:X$400,0)),X$2,)</f>
        <v>0</v>
      </c>
      <c r="Y349" s="155">
        <f ca="1">IF(ISNUMBER(MATCH(DATEVALUE($A349),'recurring1_based on steps'!Y$1:Y$400,0)),Y$2,)</f>
        <v>0</v>
      </c>
      <c r="Z349" s="155">
        <f ca="1">IF(ISNUMBER(MATCH(DATEVALUE($A349),'recurring1_based on steps'!Z$1:Z$400,0)),Z$2,)</f>
        <v>0</v>
      </c>
      <c r="AA349" s="155">
        <f ca="1">IF(ISNUMBER(MATCH(DATEVALUE($A349),'recurring1_based on steps'!AA$1:AA$400,0)),AA$2,)</f>
        <v>0</v>
      </c>
      <c r="AB349" s="155">
        <f ca="1">IF(ISNUMBER(MATCH(DATEVALUE($A349),'recurring1_based on steps'!AB$1:AB$400,0)),AB$2,)</f>
        <v>0</v>
      </c>
      <c r="AC349" s="155">
        <f ca="1">IF(ISNUMBER(MATCH(DATEVALUE($A349),'recurring1_based on steps'!AC$1:AC$400,0)),AC$2,)</f>
        <v>0</v>
      </c>
      <c r="AD349" s="155">
        <f ca="1">IF(ISNUMBER(MATCH(DATEVALUE($A349),'recurring1_based on steps'!AD$1:AD$400,0)),AD$2,)</f>
        <v>0</v>
      </c>
      <c r="AE349" s="155">
        <f ca="1">IF(ISNUMBER(MATCH(DATEVALUE($A349),'recurring1_based on steps'!AE$1:AE$400,0)),AE$2,)</f>
        <v>0</v>
      </c>
      <c r="AF349" s="155">
        <f ca="1">IF(ISNUMBER(MATCH(DATEVALUE($A349),'recurring1_based on steps'!AF$1:AF$400,0)),AF$2,)</f>
        <v>0</v>
      </c>
      <c r="AG349" s="155">
        <f ca="1">IF(ISNUMBER(MATCH(DATEVALUE($A349),'recurring1_based on steps'!AG$1:AG$400,0)),AG$2,)</f>
        <v>0</v>
      </c>
      <c r="AH349" s="155">
        <f ca="1">IF(ISNUMBER(MATCH(DATEVALUE($A349),'recurring1_based on steps'!AH$1:AH$400,0)),AH$2,)</f>
        <v>0</v>
      </c>
      <c r="AI349" s="155">
        <f ca="1">IF(ISNUMBER(MATCH(DATEVALUE($A349),'recurring1_based on steps'!AI$1:AI$400,0)),AI$2,)</f>
        <v>0</v>
      </c>
      <c r="AJ349" s="155">
        <f ca="1">IF(ISNUMBER(MATCH(DATEVALUE($A349),'recurring1_based on steps'!AJ$1:AJ$400,0)),AJ$2,)</f>
        <v>0</v>
      </c>
      <c r="AK349" s="155">
        <f ca="1">IF(ISNUMBER(MATCH(DATEVALUE($A349),'recurring1_based on steps'!AK$1:AK$400,0)),AK$2,)</f>
        <v>0</v>
      </c>
      <c r="AL349" s="155">
        <f ca="1">IF(ISNUMBER(MATCH(DATEVALUE($A349),'recurring1_based on steps'!AL$1:AL$400,0)),AL$2,)</f>
        <v>0</v>
      </c>
      <c r="AM349" s="155">
        <f ca="1">IF(ISNUMBER(MATCH(DATEVALUE($A349),'recurring1_based on steps'!AM$1:AM$400,0)),AM$2,)</f>
        <v>0</v>
      </c>
      <c r="AN349" s="155">
        <f ca="1">IF(ISNUMBER(MATCH(DATEVALUE($A349),'recurring1_based on steps'!AN$1:AN$400,0)),AN$2,)</f>
        <v>0</v>
      </c>
      <c r="AO349" s="155">
        <f ca="1">IF(ISNUMBER(MATCH(DATEVALUE($A349),'recurring1_based on steps'!AO$1:AO$400,0)),AO$2,)</f>
        <v>0</v>
      </c>
      <c r="AP349" s="155">
        <f ca="1">IF(ISNUMBER(MATCH(DATEVALUE($A349),'recurring1_based on steps'!AP$1:AP$400,0)),AP$2,)</f>
        <v>0</v>
      </c>
      <c r="AQ349" s="155">
        <f ca="1">IF(ISNUMBER(MATCH(DATEVALUE($A349),'recurring1_based on steps'!AQ$1:AQ$400,0)),AQ$2,)</f>
        <v>0</v>
      </c>
      <c r="AR349" s="155">
        <f ca="1">IF(ISNUMBER(MATCH(DATEVALUE($A349),'recurring1_based on steps'!AR$1:AR$400,0)),AR$2,)</f>
        <v>0</v>
      </c>
      <c r="AS349" s="155">
        <f ca="1">IF(ISNUMBER(MATCH(DATEVALUE($A349),'recurring1_based on steps'!AS$1:AS$400,0)),AS$2,)</f>
        <v>0</v>
      </c>
      <c r="AT349" s="155">
        <f ca="1">IF(ISNUMBER(MATCH(DATEVALUE($A349),'recurring1_based on steps'!AT$1:AT$400,0)),AT$2,)</f>
        <v>0</v>
      </c>
      <c r="AU349" s="155">
        <f ca="1">IF(ISNUMBER(MATCH(DATEVALUE($A349),'recurring1_based on steps'!AU$1:AU$400,0)),AU$2,)</f>
        <v>0</v>
      </c>
      <c r="AV349" s="155">
        <f ca="1">IF(ISNUMBER(MATCH(DATEVALUE($A349),'recurring1_based on steps'!AV$1:AV$400,0)),AV$2,)</f>
        <v>0</v>
      </c>
      <c r="AW349" s="155">
        <f ca="1">IF(ISNUMBER(MATCH(DATEVALUE($A349),'recurring1_based on steps'!AW$1:AW$400,0)),AW$2,)</f>
        <v>0</v>
      </c>
      <c r="AX349" s="155">
        <f ca="1">IF(ISNUMBER(MATCH(DATEVALUE($A349),'recurring1_based on steps'!AX$1:AX$400,0)),AX$2,)</f>
        <v>0</v>
      </c>
      <c r="AY349" s="155">
        <f ca="1">IF(ISNUMBER(MATCH(DATEVALUE($A349),'recurring1_based on steps'!AY$1:AY$400,0)),AY$2,)</f>
        <v>0</v>
      </c>
    </row>
    <row r="350" spans="1:51" x14ac:dyDescent="0.2">
      <c r="A350" s="18" t="str">
        <f t="shared" ca="1" si="5"/>
        <v>2026-01-14</v>
      </c>
      <c r="B350" s="155">
        <f ca="1">IF(ISNUMBER(MATCH(DATEVALUE($A350),'recurring1_based on steps'!B$1:B$400,0)),B$2,)</f>
        <v>0</v>
      </c>
      <c r="C350" s="155">
        <f ca="1">IF(ISNUMBER(MATCH(DATEVALUE($A350),'recurring1_based on steps'!C$1:C$400,0)),C$2,)</f>
        <v>0</v>
      </c>
      <c r="D350" s="155">
        <f ca="1">IF(ISNUMBER(MATCH(DATEVALUE($A350),'recurring1_based on steps'!D$1:D$400,0)),D$2,)</f>
        <v>0</v>
      </c>
      <c r="E350" s="155">
        <f ca="1">IF(ISNUMBER(MATCH(DATEVALUE($A350),'recurring1_based on steps'!E$1:E$400,0)),E$2,)</f>
        <v>0</v>
      </c>
      <c r="F350" s="155">
        <f ca="1">IF(ISNUMBER(MATCH(DATEVALUE($A350),'recurring1_based on steps'!F$1:F$400,0)),F$2,)</f>
        <v>0</v>
      </c>
      <c r="G350" s="155">
        <f ca="1">IF(ISNUMBER(MATCH(DATEVALUE($A350),'recurring1_based on steps'!G$1:G$400,0)),G$2,)</f>
        <v>0</v>
      </c>
      <c r="H350" s="155">
        <f ca="1">IF(ISNUMBER(MATCH(DATEVALUE($A350),'recurring1_based on steps'!H$1:H$400,0)),H$2,)</f>
        <v>0</v>
      </c>
      <c r="I350" s="155">
        <f ca="1">IF(ISNUMBER(MATCH(DATEVALUE($A350),'recurring1_based on steps'!I$1:I$400,0)),I$2,)</f>
        <v>0</v>
      </c>
      <c r="J350" s="155">
        <f ca="1">IF(ISNUMBER(MATCH(DATEVALUE($A350),'recurring1_based on steps'!J$1:J$400,0)),J$2,)</f>
        <v>0</v>
      </c>
      <c r="K350" s="155">
        <f ca="1">IF(ISNUMBER(MATCH(DATEVALUE($A350),'recurring1_based on steps'!K$1:K$400,0)),K$2,)</f>
        <v>0</v>
      </c>
      <c r="L350" s="155">
        <f ca="1">IF(ISNUMBER(MATCH(DATEVALUE($A350),'recurring1_based on steps'!L$1:L$400,0)),L$2,)</f>
        <v>0</v>
      </c>
      <c r="M350" s="155">
        <f ca="1">IF(ISNUMBER(MATCH(DATEVALUE($A350),'recurring1_based on steps'!M$1:M$400,0)),M$2,)</f>
        <v>0</v>
      </c>
      <c r="N350" s="155">
        <f ca="1">IF(ISNUMBER(MATCH(DATEVALUE($A350),'recurring1_based on steps'!N$1:N$400,0)),N$2,)</f>
        <v>0</v>
      </c>
      <c r="O350" s="155">
        <f ca="1">IF(ISNUMBER(MATCH(DATEVALUE($A350),'recurring1_based on steps'!O$1:O$400,0)),O$2,)</f>
        <v>0</v>
      </c>
      <c r="P350" s="155">
        <f ca="1">IF(ISNUMBER(MATCH(DATEVALUE($A350),'recurring1_based on steps'!P$1:P$400,0)),P$2,)</f>
        <v>0</v>
      </c>
      <c r="Q350" s="155">
        <f ca="1">IF(ISNUMBER(MATCH(DATEVALUE($A350),'recurring1_based on steps'!Q$1:Q$400,0)),Q$2,)</f>
        <v>0</v>
      </c>
      <c r="R350" s="155">
        <f ca="1">IF(ISNUMBER(MATCH(DATEVALUE($A350),'recurring1_based on steps'!R$1:R$400,0)),R$2,)</f>
        <v>0</v>
      </c>
      <c r="S350" s="155">
        <f ca="1">IF(ISNUMBER(MATCH(DATEVALUE($A350),'recurring1_based on steps'!S$1:S$400,0)),S$2,)</f>
        <v>0</v>
      </c>
      <c r="T350" s="155">
        <f ca="1">IF(ISNUMBER(MATCH(DATEVALUE($A350),'recurring1_based on steps'!T$1:T$400,0)),T$2,)</f>
        <v>0</v>
      </c>
      <c r="U350" s="155">
        <f ca="1">IF(ISNUMBER(MATCH(DATEVALUE($A350),'recurring1_based on steps'!U$1:U$400,0)),U$2,)</f>
        <v>0</v>
      </c>
      <c r="V350" s="155">
        <f ca="1">IF(ISNUMBER(MATCH(DATEVALUE($A350),'recurring1_based on steps'!V$1:V$400,0)),V$2,)</f>
        <v>0</v>
      </c>
      <c r="W350" s="155">
        <f ca="1">IF(ISNUMBER(MATCH(DATEVALUE($A350),'recurring1_based on steps'!W$1:W$400,0)),W$2,)</f>
        <v>0</v>
      </c>
      <c r="X350" s="155">
        <f ca="1">IF(ISNUMBER(MATCH(DATEVALUE($A350),'recurring1_based on steps'!X$1:X$400,0)),X$2,)</f>
        <v>0</v>
      </c>
      <c r="Y350" s="155">
        <f ca="1">IF(ISNUMBER(MATCH(DATEVALUE($A350),'recurring1_based on steps'!Y$1:Y$400,0)),Y$2,)</f>
        <v>0</v>
      </c>
      <c r="Z350" s="155">
        <f ca="1">IF(ISNUMBER(MATCH(DATEVALUE($A350),'recurring1_based on steps'!Z$1:Z$400,0)),Z$2,)</f>
        <v>0</v>
      </c>
      <c r="AA350" s="155">
        <f ca="1">IF(ISNUMBER(MATCH(DATEVALUE($A350),'recurring1_based on steps'!AA$1:AA$400,0)),AA$2,)</f>
        <v>0</v>
      </c>
      <c r="AB350" s="155">
        <f ca="1">IF(ISNUMBER(MATCH(DATEVALUE($A350),'recurring1_based on steps'!AB$1:AB$400,0)),AB$2,)</f>
        <v>0</v>
      </c>
      <c r="AC350" s="155">
        <f ca="1">IF(ISNUMBER(MATCH(DATEVALUE($A350),'recurring1_based on steps'!AC$1:AC$400,0)),AC$2,)</f>
        <v>0</v>
      </c>
      <c r="AD350" s="155">
        <f ca="1">IF(ISNUMBER(MATCH(DATEVALUE($A350),'recurring1_based on steps'!AD$1:AD$400,0)),AD$2,)</f>
        <v>0</v>
      </c>
      <c r="AE350" s="155">
        <f ca="1">IF(ISNUMBER(MATCH(DATEVALUE($A350),'recurring1_based on steps'!AE$1:AE$400,0)),AE$2,)</f>
        <v>0</v>
      </c>
      <c r="AF350" s="155">
        <f ca="1">IF(ISNUMBER(MATCH(DATEVALUE($A350),'recurring1_based on steps'!AF$1:AF$400,0)),AF$2,)</f>
        <v>0</v>
      </c>
      <c r="AG350" s="155">
        <f ca="1">IF(ISNUMBER(MATCH(DATEVALUE($A350),'recurring1_based on steps'!AG$1:AG$400,0)),AG$2,)</f>
        <v>0</v>
      </c>
      <c r="AH350" s="155">
        <f ca="1">IF(ISNUMBER(MATCH(DATEVALUE($A350),'recurring1_based on steps'!AH$1:AH$400,0)),AH$2,)</f>
        <v>0</v>
      </c>
      <c r="AI350" s="155">
        <f ca="1">IF(ISNUMBER(MATCH(DATEVALUE($A350),'recurring1_based on steps'!AI$1:AI$400,0)),AI$2,)</f>
        <v>0</v>
      </c>
      <c r="AJ350" s="155">
        <f ca="1">IF(ISNUMBER(MATCH(DATEVALUE($A350),'recurring1_based on steps'!AJ$1:AJ$400,0)),AJ$2,)</f>
        <v>0</v>
      </c>
      <c r="AK350" s="155">
        <f ca="1">IF(ISNUMBER(MATCH(DATEVALUE($A350),'recurring1_based on steps'!AK$1:AK$400,0)),AK$2,)</f>
        <v>0</v>
      </c>
      <c r="AL350" s="155">
        <f ca="1">IF(ISNUMBER(MATCH(DATEVALUE($A350),'recurring1_based on steps'!AL$1:AL$400,0)),AL$2,)</f>
        <v>0</v>
      </c>
      <c r="AM350" s="155">
        <f ca="1">IF(ISNUMBER(MATCH(DATEVALUE($A350),'recurring1_based on steps'!AM$1:AM$400,0)),AM$2,)</f>
        <v>0</v>
      </c>
      <c r="AN350" s="155">
        <f ca="1">IF(ISNUMBER(MATCH(DATEVALUE($A350),'recurring1_based on steps'!AN$1:AN$400,0)),AN$2,)</f>
        <v>0</v>
      </c>
      <c r="AO350" s="155">
        <f ca="1">IF(ISNUMBER(MATCH(DATEVALUE($A350),'recurring1_based on steps'!AO$1:AO$400,0)),AO$2,)</f>
        <v>0</v>
      </c>
      <c r="AP350" s="155">
        <f ca="1">IF(ISNUMBER(MATCH(DATEVALUE($A350),'recurring1_based on steps'!AP$1:AP$400,0)),AP$2,)</f>
        <v>0</v>
      </c>
      <c r="AQ350" s="155">
        <f ca="1">IF(ISNUMBER(MATCH(DATEVALUE($A350),'recurring1_based on steps'!AQ$1:AQ$400,0)),AQ$2,)</f>
        <v>0</v>
      </c>
      <c r="AR350" s="155">
        <f ca="1">IF(ISNUMBER(MATCH(DATEVALUE($A350),'recurring1_based on steps'!AR$1:AR$400,0)),AR$2,)</f>
        <v>0</v>
      </c>
      <c r="AS350" s="155">
        <f ca="1">IF(ISNUMBER(MATCH(DATEVALUE($A350),'recurring1_based on steps'!AS$1:AS$400,0)),AS$2,)</f>
        <v>0</v>
      </c>
      <c r="AT350" s="155">
        <f ca="1">IF(ISNUMBER(MATCH(DATEVALUE($A350),'recurring1_based on steps'!AT$1:AT$400,0)),AT$2,)</f>
        <v>0</v>
      </c>
      <c r="AU350" s="155">
        <f ca="1">IF(ISNUMBER(MATCH(DATEVALUE($A350),'recurring1_based on steps'!AU$1:AU$400,0)),AU$2,)</f>
        <v>0</v>
      </c>
      <c r="AV350" s="155">
        <f ca="1">IF(ISNUMBER(MATCH(DATEVALUE($A350),'recurring1_based on steps'!AV$1:AV$400,0)),AV$2,)</f>
        <v>0</v>
      </c>
      <c r="AW350" s="155">
        <f ca="1">IF(ISNUMBER(MATCH(DATEVALUE($A350),'recurring1_based on steps'!AW$1:AW$400,0)),AW$2,)</f>
        <v>0</v>
      </c>
      <c r="AX350" s="155">
        <f ca="1">IF(ISNUMBER(MATCH(DATEVALUE($A350),'recurring1_based on steps'!AX$1:AX$400,0)),AX$2,)</f>
        <v>0</v>
      </c>
      <c r="AY350" s="155">
        <f ca="1">IF(ISNUMBER(MATCH(DATEVALUE($A350),'recurring1_based on steps'!AY$1:AY$400,0)),AY$2,)</f>
        <v>0</v>
      </c>
    </row>
    <row r="351" spans="1:51" x14ac:dyDescent="0.2">
      <c r="A351" s="18" t="str">
        <f t="shared" ca="1" si="5"/>
        <v>2026-01-15</v>
      </c>
      <c r="B351" s="155">
        <f ca="1">IF(ISNUMBER(MATCH(DATEVALUE($A351),'recurring1_based on steps'!B$1:B$400,0)),B$2,)</f>
        <v>0</v>
      </c>
      <c r="C351" s="155">
        <f ca="1">IF(ISNUMBER(MATCH(DATEVALUE($A351),'recurring1_based on steps'!C$1:C$400,0)),C$2,)</f>
        <v>0</v>
      </c>
      <c r="D351" s="155">
        <f ca="1">IF(ISNUMBER(MATCH(DATEVALUE($A351),'recurring1_based on steps'!D$1:D$400,0)),D$2,)</f>
        <v>0</v>
      </c>
      <c r="E351" s="155">
        <f ca="1">IF(ISNUMBER(MATCH(DATEVALUE($A351),'recurring1_based on steps'!E$1:E$400,0)),E$2,)</f>
        <v>0</v>
      </c>
      <c r="F351" s="155">
        <f ca="1">IF(ISNUMBER(MATCH(DATEVALUE($A351),'recurring1_based on steps'!F$1:F$400,0)),F$2,)</f>
        <v>0</v>
      </c>
      <c r="G351" s="155">
        <f ca="1">IF(ISNUMBER(MATCH(DATEVALUE($A351),'recurring1_based on steps'!G$1:G$400,0)),G$2,)</f>
        <v>0</v>
      </c>
      <c r="H351" s="155">
        <f ca="1">IF(ISNUMBER(MATCH(DATEVALUE($A351),'recurring1_based on steps'!H$1:H$400,0)),H$2,)</f>
        <v>0</v>
      </c>
      <c r="I351" s="155">
        <f ca="1">IF(ISNUMBER(MATCH(DATEVALUE($A351),'recurring1_based on steps'!I$1:I$400,0)),I$2,)</f>
        <v>0</v>
      </c>
      <c r="J351" s="155">
        <f ca="1">IF(ISNUMBER(MATCH(DATEVALUE($A351),'recurring1_based on steps'!J$1:J$400,0)),J$2,)</f>
        <v>0</v>
      </c>
      <c r="K351" s="155">
        <f ca="1">IF(ISNUMBER(MATCH(DATEVALUE($A351),'recurring1_based on steps'!K$1:K$400,0)),K$2,)</f>
        <v>0</v>
      </c>
      <c r="L351" s="155">
        <f ca="1">IF(ISNUMBER(MATCH(DATEVALUE($A351),'recurring1_based on steps'!L$1:L$400,0)),L$2,)</f>
        <v>0</v>
      </c>
      <c r="M351" s="155">
        <f ca="1">IF(ISNUMBER(MATCH(DATEVALUE($A351),'recurring1_based on steps'!M$1:M$400,0)),M$2,)</f>
        <v>0</v>
      </c>
      <c r="N351" s="155">
        <f ca="1">IF(ISNUMBER(MATCH(DATEVALUE($A351),'recurring1_based on steps'!N$1:N$400,0)),N$2,)</f>
        <v>0</v>
      </c>
      <c r="O351" s="155">
        <f ca="1">IF(ISNUMBER(MATCH(DATEVALUE($A351),'recurring1_based on steps'!O$1:O$400,0)),O$2,)</f>
        <v>0</v>
      </c>
      <c r="P351" s="155">
        <f ca="1">IF(ISNUMBER(MATCH(DATEVALUE($A351),'recurring1_based on steps'!P$1:P$400,0)),P$2,)</f>
        <v>0</v>
      </c>
      <c r="Q351" s="155">
        <f ca="1">IF(ISNUMBER(MATCH(DATEVALUE($A351),'recurring1_based on steps'!Q$1:Q$400,0)),Q$2,)</f>
        <v>0</v>
      </c>
      <c r="R351" s="155">
        <f ca="1">IF(ISNUMBER(MATCH(DATEVALUE($A351),'recurring1_based on steps'!R$1:R$400,0)),R$2,)</f>
        <v>0</v>
      </c>
      <c r="S351" s="155">
        <f ca="1">IF(ISNUMBER(MATCH(DATEVALUE($A351),'recurring1_based on steps'!S$1:S$400,0)),S$2,)</f>
        <v>0</v>
      </c>
      <c r="T351" s="155">
        <f ca="1">IF(ISNUMBER(MATCH(DATEVALUE($A351),'recurring1_based on steps'!T$1:T$400,0)),T$2,)</f>
        <v>0</v>
      </c>
      <c r="U351" s="155">
        <f ca="1">IF(ISNUMBER(MATCH(DATEVALUE($A351),'recurring1_based on steps'!U$1:U$400,0)),U$2,)</f>
        <v>0</v>
      </c>
      <c r="V351" s="155">
        <f ca="1">IF(ISNUMBER(MATCH(DATEVALUE($A351),'recurring1_based on steps'!V$1:V$400,0)),V$2,)</f>
        <v>0</v>
      </c>
      <c r="W351" s="155">
        <f ca="1">IF(ISNUMBER(MATCH(DATEVALUE($A351),'recurring1_based on steps'!W$1:W$400,0)),W$2,)</f>
        <v>0</v>
      </c>
      <c r="X351" s="155">
        <f ca="1">IF(ISNUMBER(MATCH(DATEVALUE($A351),'recurring1_based on steps'!X$1:X$400,0)),X$2,)</f>
        <v>0</v>
      </c>
      <c r="Y351" s="155">
        <f ca="1">IF(ISNUMBER(MATCH(DATEVALUE($A351),'recurring1_based on steps'!Y$1:Y$400,0)),Y$2,)</f>
        <v>0</v>
      </c>
      <c r="Z351" s="155">
        <f ca="1">IF(ISNUMBER(MATCH(DATEVALUE($A351),'recurring1_based on steps'!Z$1:Z$400,0)),Z$2,)</f>
        <v>0</v>
      </c>
      <c r="AA351" s="155">
        <f ca="1">IF(ISNUMBER(MATCH(DATEVALUE($A351),'recurring1_based on steps'!AA$1:AA$400,0)),AA$2,)</f>
        <v>0</v>
      </c>
      <c r="AB351" s="155">
        <f ca="1">IF(ISNUMBER(MATCH(DATEVALUE($A351),'recurring1_based on steps'!AB$1:AB$400,0)),AB$2,)</f>
        <v>0</v>
      </c>
      <c r="AC351" s="155">
        <f ca="1">IF(ISNUMBER(MATCH(DATEVALUE($A351),'recurring1_based on steps'!AC$1:AC$400,0)),AC$2,)</f>
        <v>0</v>
      </c>
      <c r="AD351" s="155">
        <f ca="1">IF(ISNUMBER(MATCH(DATEVALUE($A351),'recurring1_based on steps'!AD$1:AD$400,0)),AD$2,)</f>
        <v>0</v>
      </c>
      <c r="AE351" s="155">
        <f ca="1">IF(ISNUMBER(MATCH(DATEVALUE($A351),'recurring1_based on steps'!AE$1:AE$400,0)),AE$2,)</f>
        <v>0</v>
      </c>
      <c r="AF351" s="155">
        <f ca="1">IF(ISNUMBER(MATCH(DATEVALUE($A351),'recurring1_based on steps'!AF$1:AF$400,0)),AF$2,)</f>
        <v>0</v>
      </c>
      <c r="AG351" s="155">
        <f ca="1">IF(ISNUMBER(MATCH(DATEVALUE($A351),'recurring1_based on steps'!AG$1:AG$400,0)),AG$2,)</f>
        <v>0</v>
      </c>
      <c r="AH351" s="155">
        <f ca="1">IF(ISNUMBER(MATCH(DATEVALUE($A351),'recurring1_based on steps'!AH$1:AH$400,0)),AH$2,)</f>
        <v>0</v>
      </c>
      <c r="AI351" s="155">
        <f ca="1">IF(ISNUMBER(MATCH(DATEVALUE($A351),'recurring1_based on steps'!AI$1:AI$400,0)),AI$2,)</f>
        <v>0</v>
      </c>
      <c r="AJ351" s="155">
        <f ca="1">IF(ISNUMBER(MATCH(DATEVALUE($A351),'recurring1_based on steps'!AJ$1:AJ$400,0)),AJ$2,)</f>
        <v>0</v>
      </c>
      <c r="AK351" s="155">
        <f ca="1">IF(ISNUMBER(MATCH(DATEVALUE($A351),'recurring1_based on steps'!AK$1:AK$400,0)),AK$2,)</f>
        <v>0</v>
      </c>
      <c r="AL351" s="155">
        <f ca="1">IF(ISNUMBER(MATCH(DATEVALUE($A351),'recurring1_based on steps'!AL$1:AL$400,0)),AL$2,)</f>
        <v>0</v>
      </c>
      <c r="AM351" s="155">
        <f ca="1">IF(ISNUMBER(MATCH(DATEVALUE($A351),'recurring1_based on steps'!AM$1:AM$400,0)),AM$2,)</f>
        <v>0</v>
      </c>
      <c r="AN351" s="155">
        <f ca="1">IF(ISNUMBER(MATCH(DATEVALUE($A351),'recurring1_based on steps'!AN$1:AN$400,0)),AN$2,)</f>
        <v>0</v>
      </c>
      <c r="AO351" s="155">
        <f ca="1">IF(ISNUMBER(MATCH(DATEVALUE($A351),'recurring1_based on steps'!AO$1:AO$400,0)),AO$2,)</f>
        <v>0</v>
      </c>
      <c r="AP351" s="155">
        <f ca="1">IF(ISNUMBER(MATCH(DATEVALUE($A351),'recurring1_based on steps'!AP$1:AP$400,0)),AP$2,)</f>
        <v>0</v>
      </c>
      <c r="AQ351" s="155">
        <f ca="1">IF(ISNUMBER(MATCH(DATEVALUE($A351),'recurring1_based on steps'!AQ$1:AQ$400,0)),AQ$2,)</f>
        <v>0</v>
      </c>
      <c r="AR351" s="155">
        <f ca="1">IF(ISNUMBER(MATCH(DATEVALUE($A351),'recurring1_based on steps'!AR$1:AR$400,0)),AR$2,)</f>
        <v>0</v>
      </c>
      <c r="AS351" s="155">
        <f ca="1">IF(ISNUMBER(MATCH(DATEVALUE($A351),'recurring1_based on steps'!AS$1:AS$400,0)),AS$2,)</f>
        <v>0</v>
      </c>
      <c r="AT351" s="155">
        <f ca="1">IF(ISNUMBER(MATCH(DATEVALUE($A351),'recurring1_based on steps'!AT$1:AT$400,0)),AT$2,)</f>
        <v>0</v>
      </c>
      <c r="AU351" s="155">
        <f ca="1">IF(ISNUMBER(MATCH(DATEVALUE($A351),'recurring1_based on steps'!AU$1:AU$400,0)),AU$2,)</f>
        <v>0</v>
      </c>
      <c r="AV351" s="155">
        <f ca="1">IF(ISNUMBER(MATCH(DATEVALUE($A351),'recurring1_based on steps'!AV$1:AV$400,0)),AV$2,)</f>
        <v>0</v>
      </c>
      <c r="AW351" s="155">
        <f ca="1">IF(ISNUMBER(MATCH(DATEVALUE($A351),'recurring1_based on steps'!AW$1:AW$400,0)),AW$2,)</f>
        <v>0</v>
      </c>
      <c r="AX351" s="155">
        <f ca="1">IF(ISNUMBER(MATCH(DATEVALUE($A351),'recurring1_based on steps'!AX$1:AX$400,0)),AX$2,)</f>
        <v>0</v>
      </c>
      <c r="AY351" s="155">
        <f ca="1">IF(ISNUMBER(MATCH(DATEVALUE($A351),'recurring1_based on steps'!AY$1:AY$400,0)),AY$2,)</f>
        <v>0</v>
      </c>
    </row>
    <row r="352" spans="1:51" x14ac:dyDescent="0.2">
      <c r="A352" s="18" t="str">
        <f t="shared" ca="1" si="5"/>
        <v>2026-01-16</v>
      </c>
      <c r="B352" s="155">
        <f ca="1">IF(ISNUMBER(MATCH(DATEVALUE($A352),'recurring1_based on steps'!B$1:B$400,0)),B$2,)</f>
        <v>0</v>
      </c>
      <c r="C352" s="155">
        <f ca="1">IF(ISNUMBER(MATCH(DATEVALUE($A352),'recurring1_based on steps'!C$1:C$400,0)),C$2,)</f>
        <v>0</v>
      </c>
      <c r="D352" s="155">
        <f ca="1">IF(ISNUMBER(MATCH(DATEVALUE($A352),'recurring1_based on steps'!D$1:D$400,0)),D$2,)</f>
        <v>0</v>
      </c>
      <c r="E352" s="155">
        <f ca="1">IF(ISNUMBER(MATCH(DATEVALUE($A352),'recurring1_based on steps'!E$1:E$400,0)),E$2,)</f>
        <v>0</v>
      </c>
      <c r="F352" s="155">
        <f ca="1">IF(ISNUMBER(MATCH(DATEVALUE($A352),'recurring1_based on steps'!F$1:F$400,0)),F$2,)</f>
        <v>0</v>
      </c>
      <c r="G352" s="155">
        <f ca="1">IF(ISNUMBER(MATCH(DATEVALUE($A352),'recurring1_based on steps'!G$1:G$400,0)),G$2,)</f>
        <v>0</v>
      </c>
      <c r="H352" s="155">
        <f ca="1">IF(ISNUMBER(MATCH(DATEVALUE($A352),'recurring1_based on steps'!H$1:H$400,0)),H$2,)</f>
        <v>0</v>
      </c>
      <c r="I352" s="155">
        <f ca="1">IF(ISNUMBER(MATCH(DATEVALUE($A352),'recurring1_based on steps'!I$1:I$400,0)),I$2,)</f>
        <v>0</v>
      </c>
      <c r="J352" s="155">
        <f ca="1">IF(ISNUMBER(MATCH(DATEVALUE($A352),'recurring1_based on steps'!J$1:J$400,0)),J$2,)</f>
        <v>0</v>
      </c>
      <c r="K352" s="155">
        <f ca="1">IF(ISNUMBER(MATCH(DATEVALUE($A352),'recurring1_based on steps'!K$1:K$400,0)),K$2,)</f>
        <v>0</v>
      </c>
      <c r="L352" s="155">
        <f ca="1">IF(ISNUMBER(MATCH(DATEVALUE($A352),'recurring1_based on steps'!L$1:L$400,0)),L$2,)</f>
        <v>0</v>
      </c>
      <c r="M352" s="155">
        <f ca="1">IF(ISNUMBER(MATCH(DATEVALUE($A352),'recurring1_based on steps'!M$1:M$400,0)),M$2,)</f>
        <v>0</v>
      </c>
      <c r="N352" s="155">
        <f ca="1">IF(ISNUMBER(MATCH(DATEVALUE($A352),'recurring1_based on steps'!N$1:N$400,0)),N$2,)</f>
        <v>0</v>
      </c>
      <c r="O352" s="155">
        <f ca="1">IF(ISNUMBER(MATCH(DATEVALUE($A352),'recurring1_based on steps'!O$1:O$400,0)),O$2,)</f>
        <v>0</v>
      </c>
      <c r="P352" s="155">
        <f ca="1">IF(ISNUMBER(MATCH(DATEVALUE($A352),'recurring1_based on steps'!P$1:P$400,0)),P$2,)</f>
        <v>0</v>
      </c>
      <c r="Q352" s="155">
        <f ca="1">IF(ISNUMBER(MATCH(DATEVALUE($A352),'recurring1_based on steps'!Q$1:Q$400,0)),Q$2,)</f>
        <v>0</v>
      </c>
      <c r="R352" s="155">
        <f ca="1">IF(ISNUMBER(MATCH(DATEVALUE($A352),'recurring1_based on steps'!R$1:R$400,0)),R$2,)</f>
        <v>0</v>
      </c>
      <c r="S352" s="155">
        <f ca="1">IF(ISNUMBER(MATCH(DATEVALUE($A352),'recurring1_based on steps'!S$1:S$400,0)),S$2,)</f>
        <v>0</v>
      </c>
      <c r="T352" s="155">
        <f ca="1">IF(ISNUMBER(MATCH(DATEVALUE($A352),'recurring1_based on steps'!T$1:T$400,0)),T$2,)</f>
        <v>0</v>
      </c>
      <c r="U352" s="155">
        <f ca="1">IF(ISNUMBER(MATCH(DATEVALUE($A352),'recurring1_based on steps'!U$1:U$400,0)),U$2,)</f>
        <v>0</v>
      </c>
      <c r="V352" s="155">
        <f ca="1">IF(ISNUMBER(MATCH(DATEVALUE($A352),'recurring1_based on steps'!V$1:V$400,0)),V$2,)</f>
        <v>0</v>
      </c>
      <c r="W352" s="155">
        <f ca="1">IF(ISNUMBER(MATCH(DATEVALUE($A352),'recurring1_based on steps'!W$1:W$400,0)),W$2,)</f>
        <v>0</v>
      </c>
      <c r="X352" s="155">
        <f ca="1">IF(ISNUMBER(MATCH(DATEVALUE($A352),'recurring1_based on steps'!X$1:X$400,0)),X$2,)</f>
        <v>0</v>
      </c>
      <c r="Y352" s="155">
        <f ca="1">IF(ISNUMBER(MATCH(DATEVALUE($A352),'recurring1_based on steps'!Y$1:Y$400,0)),Y$2,)</f>
        <v>0</v>
      </c>
      <c r="Z352" s="155">
        <f ca="1">IF(ISNUMBER(MATCH(DATEVALUE($A352),'recurring1_based on steps'!Z$1:Z$400,0)),Z$2,)</f>
        <v>0</v>
      </c>
      <c r="AA352" s="155">
        <f ca="1">IF(ISNUMBER(MATCH(DATEVALUE($A352),'recurring1_based on steps'!AA$1:AA$400,0)),AA$2,)</f>
        <v>0</v>
      </c>
      <c r="AB352" s="155">
        <f ca="1">IF(ISNUMBER(MATCH(DATEVALUE($A352),'recurring1_based on steps'!AB$1:AB$400,0)),AB$2,)</f>
        <v>0</v>
      </c>
      <c r="AC352" s="155">
        <f ca="1">IF(ISNUMBER(MATCH(DATEVALUE($A352),'recurring1_based on steps'!AC$1:AC$400,0)),AC$2,)</f>
        <v>0</v>
      </c>
      <c r="AD352" s="155">
        <f ca="1">IF(ISNUMBER(MATCH(DATEVALUE($A352),'recurring1_based on steps'!AD$1:AD$400,0)),AD$2,)</f>
        <v>0</v>
      </c>
      <c r="AE352" s="155">
        <f ca="1">IF(ISNUMBER(MATCH(DATEVALUE($A352),'recurring1_based on steps'!AE$1:AE$400,0)),AE$2,)</f>
        <v>0</v>
      </c>
      <c r="AF352" s="155">
        <f ca="1">IF(ISNUMBER(MATCH(DATEVALUE($A352),'recurring1_based on steps'!AF$1:AF$400,0)),AF$2,)</f>
        <v>0</v>
      </c>
      <c r="AG352" s="155">
        <f ca="1">IF(ISNUMBER(MATCH(DATEVALUE($A352),'recurring1_based on steps'!AG$1:AG$400,0)),AG$2,)</f>
        <v>0</v>
      </c>
      <c r="AH352" s="155">
        <f ca="1">IF(ISNUMBER(MATCH(DATEVALUE($A352),'recurring1_based on steps'!AH$1:AH$400,0)),AH$2,)</f>
        <v>0</v>
      </c>
      <c r="AI352" s="155">
        <f ca="1">IF(ISNUMBER(MATCH(DATEVALUE($A352),'recurring1_based on steps'!AI$1:AI$400,0)),AI$2,)</f>
        <v>0</v>
      </c>
      <c r="AJ352" s="155">
        <f ca="1">IF(ISNUMBER(MATCH(DATEVALUE($A352),'recurring1_based on steps'!AJ$1:AJ$400,0)),AJ$2,)</f>
        <v>0</v>
      </c>
      <c r="AK352" s="155">
        <f ca="1">IF(ISNUMBER(MATCH(DATEVALUE($A352),'recurring1_based on steps'!AK$1:AK$400,0)),AK$2,)</f>
        <v>0</v>
      </c>
      <c r="AL352" s="155">
        <f ca="1">IF(ISNUMBER(MATCH(DATEVALUE($A352),'recurring1_based on steps'!AL$1:AL$400,0)),AL$2,)</f>
        <v>0</v>
      </c>
      <c r="AM352" s="155">
        <f ca="1">IF(ISNUMBER(MATCH(DATEVALUE($A352),'recurring1_based on steps'!AM$1:AM$400,0)),AM$2,)</f>
        <v>0</v>
      </c>
      <c r="AN352" s="155">
        <f ca="1">IF(ISNUMBER(MATCH(DATEVALUE($A352),'recurring1_based on steps'!AN$1:AN$400,0)),AN$2,)</f>
        <v>0</v>
      </c>
      <c r="AO352" s="155">
        <f ca="1">IF(ISNUMBER(MATCH(DATEVALUE($A352),'recurring1_based on steps'!AO$1:AO$400,0)),AO$2,)</f>
        <v>0</v>
      </c>
      <c r="AP352" s="155">
        <f ca="1">IF(ISNUMBER(MATCH(DATEVALUE($A352),'recurring1_based on steps'!AP$1:AP$400,0)),AP$2,)</f>
        <v>0</v>
      </c>
      <c r="AQ352" s="155">
        <f ca="1">IF(ISNUMBER(MATCH(DATEVALUE($A352),'recurring1_based on steps'!AQ$1:AQ$400,0)),AQ$2,)</f>
        <v>0</v>
      </c>
      <c r="AR352" s="155">
        <f ca="1">IF(ISNUMBER(MATCH(DATEVALUE($A352),'recurring1_based on steps'!AR$1:AR$400,0)),AR$2,)</f>
        <v>0</v>
      </c>
      <c r="AS352" s="155">
        <f ca="1">IF(ISNUMBER(MATCH(DATEVALUE($A352),'recurring1_based on steps'!AS$1:AS$400,0)),AS$2,)</f>
        <v>0</v>
      </c>
      <c r="AT352" s="155">
        <f ca="1">IF(ISNUMBER(MATCH(DATEVALUE($A352),'recurring1_based on steps'!AT$1:AT$400,0)),AT$2,)</f>
        <v>0</v>
      </c>
      <c r="AU352" s="155">
        <f ca="1">IF(ISNUMBER(MATCH(DATEVALUE($A352),'recurring1_based on steps'!AU$1:AU$400,0)),AU$2,)</f>
        <v>0</v>
      </c>
      <c r="AV352" s="155">
        <f ca="1">IF(ISNUMBER(MATCH(DATEVALUE($A352),'recurring1_based on steps'!AV$1:AV$400,0)),AV$2,)</f>
        <v>0</v>
      </c>
      <c r="AW352" s="155">
        <f ca="1">IF(ISNUMBER(MATCH(DATEVALUE($A352),'recurring1_based on steps'!AW$1:AW$400,0)),AW$2,)</f>
        <v>0</v>
      </c>
      <c r="AX352" s="155">
        <f ca="1">IF(ISNUMBER(MATCH(DATEVALUE($A352),'recurring1_based on steps'!AX$1:AX$400,0)),AX$2,)</f>
        <v>0</v>
      </c>
      <c r="AY352" s="155">
        <f ca="1">IF(ISNUMBER(MATCH(DATEVALUE($A352),'recurring1_based on steps'!AY$1:AY$400,0)),AY$2,)</f>
        <v>0</v>
      </c>
    </row>
    <row r="353" spans="1:51" x14ac:dyDescent="0.2">
      <c r="A353" s="18" t="str">
        <f t="shared" ca="1" si="5"/>
        <v>2026-01-17</v>
      </c>
      <c r="B353" s="155">
        <f ca="1">IF(ISNUMBER(MATCH(DATEVALUE($A353),'recurring1_based on steps'!B$1:B$400,0)),B$2,)</f>
        <v>0</v>
      </c>
      <c r="C353" s="155">
        <f ca="1">IF(ISNUMBER(MATCH(DATEVALUE($A353),'recurring1_based on steps'!C$1:C$400,0)),C$2,)</f>
        <v>0</v>
      </c>
      <c r="D353" s="155">
        <f ca="1">IF(ISNUMBER(MATCH(DATEVALUE($A353),'recurring1_based on steps'!D$1:D$400,0)),D$2,)</f>
        <v>0</v>
      </c>
      <c r="E353" s="155">
        <f ca="1">IF(ISNUMBER(MATCH(DATEVALUE($A353),'recurring1_based on steps'!E$1:E$400,0)),E$2,)</f>
        <v>0</v>
      </c>
      <c r="F353" s="155">
        <f ca="1">IF(ISNUMBER(MATCH(DATEVALUE($A353),'recurring1_based on steps'!F$1:F$400,0)),F$2,)</f>
        <v>0</v>
      </c>
      <c r="G353" s="155">
        <f ca="1">IF(ISNUMBER(MATCH(DATEVALUE($A353),'recurring1_based on steps'!G$1:G$400,0)),G$2,)</f>
        <v>0</v>
      </c>
      <c r="H353" s="155">
        <f ca="1">IF(ISNUMBER(MATCH(DATEVALUE($A353),'recurring1_based on steps'!H$1:H$400,0)),H$2,)</f>
        <v>0</v>
      </c>
      <c r="I353" s="155">
        <f ca="1">IF(ISNUMBER(MATCH(DATEVALUE($A353),'recurring1_based on steps'!I$1:I$400,0)),I$2,)</f>
        <v>0</v>
      </c>
      <c r="J353" s="155">
        <f ca="1">IF(ISNUMBER(MATCH(DATEVALUE($A353),'recurring1_based on steps'!J$1:J$400,0)),J$2,)</f>
        <v>0</v>
      </c>
      <c r="K353" s="155">
        <f ca="1">IF(ISNUMBER(MATCH(DATEVALUE($A353),'recurring1_based on steps'!K$1:K$400,0)),K$2,)</f>
        <v>0</v>
      </c>
      <c r="L353" s="155">
        <f ca="1">IF(ISNUMBER(MATCH(DATEVALUE($A353),'recurring1_based on steps'!L$1:L$400,0)),L$2,)</f>
        <v>0</v>
      </c>
      <c r="M353" s="155">
        <f ca="1">IF(ISNUMBER(MATCH(DATEVALUE($A353),'recurring1_based on steps'!M$1:M$400,0)),M$2,)</f>
        <v>0</v>
      </c>
      <c r="N353" s="155">
        <f ca="1">IF(ISNUMBER(MATCH(DATEVALUE($A353),'recurring1_based on steps'!N$1:N$400,0)),N$2,)</f>
        <v>15.49</v>
      </c>
      <c r="O353" s="155">
        <f ca="1">IF(ISNUMBER(MATCH(DATEVALUE($A353),'recurring1_based on steps'!O$1:O$400,0)),O$2,)</f>
        <v>0</v>
      </c>
      <c r="P353" s="155">
        <f ca="1">IF(ISNUMBER(MATCH(DATEVALUE($A353),'recurring1_based on steps'!P$1:P$400,0)),P$2,)</f>
        <v>0</v>
      </c>
      <c r="Q353" s="155">
        <f ca="1">IF(ISNUMBER(MATCH(DATEVALUE($A353),'recurring1_based on steps'!Q$1:Q$400,0)),Q$2,)</f>
        <v>100</v>
      </c>
      <c r="R353" s="155">
        <f ca="1">IF(ISNUMBER(MATCH(DATEVALUE($A353),'recurring1_based on steps'!R$1:R$400,0)),R$2,)</f>
        <v>100</v>
      </c>
      <c r="S353" s="155">
        <f ca="1">IF(ISNUMBER(MATCH(DATEVALUE($A353),'recurring1_based on steps'!S$1:S$400,0)),S$2,)</f>
        <v>0</v>
      </c>
      <c r="T353" s="155">
        <f ca="1">IF(ISNUMBER(MATCH(DATEVALUE($A353),'recurring1_based on steps'!T$1:T$400,0)),T$2,)</f>
        <v>0</v>
      </c>
      <c r="U353" s="155">
        <f ca="1">IF(ISNUMBER(MATCH(DATEVALUE($A353),'recurring1_based on steps'!U$1:U$400,0)),U$2,)</f>
        <v>0</v>
      </c>
      <c r="V353" s="155">
        <f ca="1">IF(ISNUMBER(MATCH(DATEVALUE($A353),'recurring1_based on steps'!V$1:V$400,0)),V$2,)</f>
        <v>200</v>
      </c>
      <c r="W353" s="155">
        <f ca="1">IF(ISNUMBER(MATCH(DATEVALUE($A353),'recurring1_based on steps'!W$1:W$400,0)),W$2,)</f>
        <v>0</v>
      </c>
      <c r="X353" s="155">
        <f ca="1">IF(ISNUMBER(MATCH(DATEVALUE($A353),'recurring1_based on steps'!X$1:X$400,0)),X$2,)</f>
        <v>0</v>
      </c>
      <c r="Y353" s="155">
        <f ca="1">IF(ISNUMBER(MATCH(DATEVALUE($A353),'recurring1_based on steps'!Y$1:Y$400,0)),Y$2,)</f>
        <v>0</v>
      </c>
      <c r="Z353" s="155">
        <f ca="1">IF(ISNUMBER(MATCH(DATEVALUE($A353),'recurring1_based on steps'!Z$1:Z$400,0)),Z$2,)</f>
        <v>0</v>
      </c>
      <c r="AA353" s="155">
        <f ca="1">IF(ISNUMBER(MATCH(DATEVALUE($A353),'recurring1_based on steps'!AA$1:AA$400,0)),AA$2,)</f>
        <v>0</v>
      </c>
      <c r="AB353" s="155">
        <f ca="1">IF(ISNUMBER(MATCH(DATEVALUE($A353),'recurring1_based on steps'!AB$1:AB$400,0)),AB$2,)</f>
        <v>0</v>
      </c>
      <c r="AC353" s="155">
        <f ca="1">IF(ISNUMBER(MATCH(DATEVALUE($A353),'recurring1_based on steps'!AC$1:AC$400,0)),AC$2,)</f>
        <v>0</v>
      </c>
      <c r="AD353" s="155">
        <f ca="1">IF(ISNUMBER(MATCH(DATEVALUE($A353),'recurring1_based on steps'!AD$1:AD$400,0)),AD$2,)</f>
        <v>0</v>
      </c>
      <c r="AE353" s="155">
        <f ca="1">IF(ISNUMBER(MATCH(DATEVALUE($A353),'recurring1_based on steps'!AE$1:AE$400,0)),AE$2,)</f>
        <v>0</v>
      </c>
      <c r="AF353" s="155">
        <f ca="1">IF(ISNUMBER(MATCH(DATEVALUE($A353),'recurring1_based on steps'!AF$1:AF$400,0)),AF$2,)</f>
        <v>0</v>
      </c>
      <c r="AG353" s="155">
        <f ca="1">IF(ISNUMBER(MATCH(DATEVALUE($A353),'recurring1_based on steps'!AG$1:AG$400,0)),AG$2,)</f>
        <v>0</v>
      </c>
      <c r="AH353" s="155">
        <f ca="1">IF(ISNUMBER(MATCH(DATEVALUE($A353),'recurring1_based on steps'!AH$1:AH$400,0)),AH$2,)</f>
        <v>0</v>
      </c>
      <c r="AI353" s="155">
        <f ca="1">IF(ISNUMBER(MATCH(DATEVALUE($A353),'recurring1_based on steps'!AI$1:AI$400,0)),AI$2,)</f>
        <v>0</v>
      </c>
      <c r="AJ353" s="155">
        <f ca="1">IF(ISNUMBER(MATCH(DATEVALUE($A353),'recurring1_based on steps'!AJ$1:AJ$400,0)),AJ$2,)</f>
        <v>0</v>
      </c>
      <c r="AK353" s="155">
        <f ca="1">IF(ISNUMBER(MATCH(DATEVALUE($A353),'recurring1_based on steps'!AK$1:AK$400,0)),AK$2,)</f>
        <v>0</v>
      </c>
      <c r="AL353" s="155">
        <f ca="1">IF(ISNUMBER(MATCH(DATEVALUE($A353),'recurring1_based on steps'!AL$1:AL$400,0)),AL$2,)</f>
        <v>0</v>
      </c>
      <c r="AM353" s="155">
        <f ca="1">IF(ISNUMBER(MATCH(DATEVALUE($A353),'recurring1_based on steps'!AM$1:AM$400,0)),AM$2,)</f>
        <v>0</v>
      </c>
      <c r="AN353" s="155">
        <f ca="1">IF(ISNUMBER(MATCH(DATEVALUE($A353),'recurring1_based on steps'!AN$1:AN$400,0)),AN$2,)</f>
        <v>0</v>
      </c>
      <c r="AO353" s="155">
        <f ca="1">IF(ISNUMBER(MATCH(DATEVALUE($A353),'recurring1_based on steps'!AO$1:AO$400,0)),AO$2,)</f>
        <v>0</v>
      </c>
      <c r="AP353" s="155">
        <f ca="1">IF(ISNUMBER(MATCH(DATEVALUE($A353),'recurring1_based on steps'!AP$1:AP$400,0)),AP$2,)</f>
        <v>0</v>
      </c>
      <c r="AQ353" s="155">
        <f ca="1">IF(ISNUMBER(MATCH(DATEVALUE($A353),'recurring1_based on steps'!AQ$1:AQ$400,0)),AQ$2,)</f>
        <v>0</v>
      </c>
      <c r="AR353" s="155">
        <f ca="1">IF(ISNUMBER(MATCH(DATEVALUE($A353),'recurring1_based on steps'!AR$1:AR$400,0)),AR$2,)</f>
        <v>0</v>
      </c>
      <c r="AS353" s="155">
        <f ca="1">IF(ISNUMBER(MATCH(DATEVALUE($A353),'recurring1_based on steps'!AS$1:AS$400,0)),AS$2,)</f>
        <v>0</v>
      </c>
      <c r="AT353" s="155">
        <f ca="1">IF(ISNUMBER(MATCH(DATEVALUE($A353),'recurring1_based on steps'!AT$1:AT$400,0)),AT$2,)</f>
        <v>0</v>
      </c>
      <c r="AU353" s="155">
        <f ca="1">IF(ISNUMBER(MATCH(DATEVALUE($A353),'recurring1_based on steps'!AU$1:AU$400,0)),AU$2,)</f>
        <v>0</v>
      </c>
      <c r="AV353" s="155">
        <f ca="1">IF(ISNUMBER(MATCH(DATEVALUE($A353),'recurring1_based on steps'!AV$1:AV$400,0)),AV$2,)</f>
        <v>0</v>
      </c>
      <c r="AW353" s="155">
        <f ca="1">IF(ISNUMBER(MATCH(DATEVALUE($A353),'recurring1_based on steps'!AW$1:AW$400,0)),AW$2,)</f>
        <v>0</v>
      </c>
      <c r="AX353" s="155">
        <f ca="1">IF(ISNUMBER(MATCH(DATEVALUE($A353),'recurring1_based on steps'!AX$1:AX$400,0)),AX$2,)</f>
        <v>0</v>
      </c>
      <c r="AY353" s="155">
        <f ca="1">IF(ISNUMBER(MATCH(DATEVALUE($A353),'recurring1_based on steps'!AY$1:AY$400,0)),AY$2,)</f>
        <v>0</v>
      </c>
    </row>
    <row r="354" spans="1:51" x14ac:dyDescent="0.2">
      <c r="A354" s="18" t="str">
        <f t="shared" ca="1" si="5"/>
        <v>2026-01-18</v>
      </c>
      <c r="B354" s="155">
        <f ca="1">IF(ISNUMBER(MATCH(DATEVALUE($A354),'recurring1_based on steps'!B$1:B$400,0)),B$2,)</f>
        <v>0</v>
      </c>
      <c r="C354" s="155">
        <f ca="1">IF(ISNUMBER(MATCH(DATEVALUE($A354),'recurring1_based on steps'!C$1:C$400,0)),C$2,)</f>
        <v>0</v>
      </c>
      <c r="D354" s="155">
        <f ca="1">IF(ISNUMBER(MATCH(DATEVALUE($A354),'recurring1_based on steps'!D$1:D$400,0)),D$2,)</f>
        <v>0</v>
      </c>
      <c r="E354" s="155">
        <f ca="1">IF(ISNUMBER(MATCH(DATEVALUE($A354),'recurring1_based on steps'!E$1:E$400,0)),E$2,)</f>
        <v>0</v>
      </c>
      <c r="F354" s="155">
        <f ca="1">IF(ISNUMBER(MATCH(DATEVALUE($A354),'recurring1_based on steps'!F$1:F$400,0)),F$2,)</f>
        <v>0</v>
      </c>
      <c r="G354" s="155">
        <f ca="1">IF(ISNUMBER(MATCH(DATEVALUE($A354),'recurring1_based on steps'!G$1:G$400,0)),G$2,)</f>
        <v>0</v>
      </c>
      <c r="H354" s="155">
        <f ca="1">IF(ISNUMBER(MATCH(DATEVALUE($A354),'recurring1_based on steps'!H$1:H$400,0)),H$2,)</f>
        <v>0</v>
      </c>
      <c r="I354" s="155">
        <f ca="1">IF(ISNUMBER(MATCH(DATEVALUE($A354),'recurring1_based on steps'!I$1:I$400,0)),I$2,)</f>
        <v>0</v>
      </c>
      <c r="J354" s="155">
        <f ca="1">IF(ISNUMBER(MATCH(DATEVALUE($A354),'recurring1_based on steps'!J$1:J$400,0)),J$2,)</f>
        <v>0</v>
      </c>
      <c r="K354" s="155">
        <f ca="1">IF(ISNUMBER(MATCH(DATEVALUE($A354),'recurring1_based on steps'!K$1:K$400,0)),K$2,)</f>
        <v>50</v>
      </c>
      <c r="L354" s="155">
        <f ca="1">IF(ISNUMBER(MATCH(DATEVALUE($A354),'recurring1_based on steps'!L$1:L$400,0)),L$2,)</f>
        <v>0</v>
      </c>
      <c r="M354" s="155">
        <f ca="1">IF(ISNUMBER(MATCH(DATEVALUE($A354),'recurring1_based on steps'!M$1:M$400,0)),M$2,)</f>
        <v>0</v>
      </c>
      <c r="N354" s="155">
        <f ca="1">IF(ISNUMBER(MATCH(DATEVALUE($A354),'recurring1_based on steps'!N$1:N$400,0)),N$2,)</f>
        <v>0</v>
      </c>
      <c r="O354" s="155">
        <f ca="1">IF(ISNUMBER(MATCH(DATEVALUE($A354),'recurring1_based on steps'!O$1:O$400,0)),O$2,)</f>
        <v>10.99</v>
      </c>
      <c r="P354" s="155">
        <f ca="1">IF(ISNUMBER(MATCH(DATEVALUE($A354),'recurring1_based on steps'!P$1:P$400,0)),P$2,)</f>
        <v>0</v>
      </c>
      <c r="Q354" s="155">
        <f ca="1">IF(ISNUMBER(MATCH(DATEVALUE($A354),'recurring1_based on steps'!Q$1:Q$400,0)),Q$2,)</f>
        <v>0</v>
      </c>
      <c r="R354" s="155">
        <f ca="1">IF(ISNUMBER(MATCH(DATEVALUE($A354),'recurring1_based on steps'!R$1:R$400,0)),R$2,)</f>
        <v>0</v>
      </c>
      <c r="S354" s="155">
        <f ca="1">IF(ISNUMBER(MATCH(DATEVALUE($A354),'recurring1_based on steps'!S$1:S$400,0)),S$2,)</f>
        <v>100</v>
      </c>
      <c r="T354" s="155">
        <f ca="1">IF(ISNUMBER(MATCH(DATEVALUE($A354),'recurring1_based on steps'!T$1:T$400,0)),T$2,)</f>
        <v>0</v>
      </c>
      <c r="U354" s="155">
        <f ca="1">IF(ISNUMBER(MATCH(DATEVALUE($A354),'recurring1_based on steps'!U$1:U$400,0)),U$2,)</f>
        <v>0</v>
      </c>
      <c r="V354" s="155">
        <f ca="1">IF(ISNUMBER(MATCH(DATEVALUE($A354),'recurring1_based on steps'!V$1:V$400,0)),V$2,)</f>
        <v>0</v>
      </c>
      <c r="W354" s="155">
        <f ca="1">IF(ISNUMBER(MATCH(DATEVALUE($A354),'recurring1_based on steps'!W$1:W$400,0)),W$2,)</f>
        <v>0</v>
      </c>
      <c r="X354" s="155">
        <f ca="1">IF(ISNUMBER(MATCH(DATEVALUE($A354),'recurring1_based on steps'!X$1:X$400,0)),X$2,)</f>
        <v>0</v>
      </c>
      <c r="Y354" s="155">
        <f ca="1">IF(ISNUMBER(MATCH(DATEVALUE($A354),'recurring1_based on steps'!Y$1:Y$400,0)),Y$2,)</f>
        <v>0</v>
      </c>
      <c r="Z354" s="155">
        <f ca="1">IF(ISNUMBER(MATCH(DATEVALUE($A354),'recurring1_based on steps'!Z$1:Z$400,0)),Z$2,)</f>
        <v>0</v>
      </c>
      <c r="AA354" s="155">
        <f ca="1">IF(ISNUMBER(MATCH(DATEVALUE($A354),'recurring1_based on steps'!AA$1:AA$400,0)),AA$2,)</f>
        <v>0</v>
      </c>
      <c r="AB354" s="155">
        <f ca="1">IF(ISNUMBER(MATCH(DATEVALUE($A354),'recurring1_based on steps'!AB$1:AB$400,0)),AB$2,)</f>
        <v>0</v>
      </c>
      <c r="AC354" s="155">
        <f ca="1">IF(ISNUMBER(MATCH(DATEVALUE($A354),'recurring1_based on steps'!AC$1:AC$400,0)),AC$2,)</f>
        <v>0</v>
      </c>
      <c r="AD354" s="155">
        <f ca="1">IF(ISNUMBER(MATCH(DATEVALUE($A354),'recurring1_based on steps'!AD$1:AD$400,0)),AD$2,)</f>
        <v>0</v>
      </c>
      <c r="AE354" s="155">
        <f ca="1">IF(ISNUMBER(MATCH(DATEVALUE($A354),'recurring1_based on steps'!AE$1:AE$400,0)),AE$2,)</f>
        <v>0</v>
      </c>
      <c r="AF354" s="155">
        <f ca="1">IF(ISNUMBER(MATCH(DATEVALUE($A354),'recurring1_based on steps'!AF$1:AF$400,0)),AF$2,)</f>
        <v>0</v>
      </c>
      <c r="AG354" s="155">
        <f ca="1">IF(ISNUMBER(MATCH(DATEVALUE($A354),'recurring1_based on steps'!AG$1:AG$400,0)),AG$2,)</f>
        <v>0</v>
      </c>
      <c r="AH354" s="155">
        <f ca="1">IF(ISNUMBER(MATCH(DATEVALUE($A354),'recurring1_based on steps'!AH$1:AH$400,0)),AH$2,)</f>
        <v>0</v>
      </c>
      <c r="AI354" s="155">
        <f ca="1">IF(ISNUMBER(MATCH(DATEVALUE($A354),'recurring1_based on steps'!AI$1:AI$400,0)),AI$2,)</f>
        <v>0</v>
      </c>
      <c r="AJ354" s="155">
        <f ca="1">IF(ISNUMBER(MATCH(DATEVALUE($A354),'recurring1_based on steps'!AJ$1:AJ$400,0)),AJ$2,)</f>
        <v>0</v>
      </c>
      <c r="AK354" s="155">
        <f ca="1">IF(ISNUMBER(MATCH(DATEVALUE($A354),'recurring1_based on steps'!AK$1:AK$400,0)),AK$2,)</f>
        <v>0</v>
      </c>
      <c r="AL354" s="155">
        <f ca="1">IF(ISNUMBER(MATCH(DATEVALUE($A354),'recurring1_based on steps'!AL$1:AL$400,0)),AL$2,)</f>
        <v>0</v>
      </c>
      <c r="AM354" s="155">
        <f ca="1">IF(ISNUMBER(MATCH(DATEVALUE($A354),'recurring1_based on steps'!AM$1:AM$400,0)),AM$2,)</f>
        <v>0</v>
      </c>
      <c r="AN354" s="155">
        <f ca="1">IF(ISNUMBER(MATCH(DATEVALUE($A354),'recurring1_based on steps'!AN$1:AN$400,0)),AN$2,)</f>
        <v>0</v>
      </c>
      <c r="AO354" s="155">
        <f ca="1">IF(ISNUMBER(MATCH(DATEVALUE($A354),'recurring1_based on steps'!AO$1:AO$400,0)),AO$2,)</f>
        <v>0</v>
      </c>
      <c r="AP354" s="155">
        <f ca="1">IF(ISNUMBER(MATCH(DATEVALUE($A354),'recurring1_based on steps'!AP$1:AP$400,0)),AP$2,)</f>
        <v>0</v>
      </c>
      <c r="AQ354" s="155">
        <f ca="1">IF(ISNUMBER(MATCH(DATEVALUE($A354),'recurring1_based on steps'!AQ$1:AQ$400,0)),AQ$2,)</f>
        <v>0</v>
      </c>
      <c r="AR354" s="155">
        <f ca="1">IF(ISNUMBER(MATCH(DATEVALUE($A354),'recurring1_based on steps'!AR$1:AR$400,0)),AR$2,)</f>
        <v>0</v>
      </c>
      <c r="AS354" s="155">
        <f ca="1">IF(ISNUMBER(MATCH(DATEVALUE($A354),'recurring1_based on steps'!AS$1:AS$400,0)),AS$2,)</f>
        <v>0</v>
      </c>
      <c r="AT354" s="155">
        <f ca="1">IF(ISNUMBER(MATCH(DATEVALUE($A354),'recurring1_based on steps'!AT$1:AT$400,0)),AT$2,)</f>
        <v>0</v>
      </c>
      <c r="AU354" s="155">
        <f ca="1">IF(ISNUMBER(MATCH(DATEVALUE($A354),'recurring1_based on steps'!AU$1:AU$400,0)),AU$2,)</f>
        <v>0</v>
      </c>
      <c r="AV354" s="155">
        <f ca="1">IF(ISNUMBER(MATCH(DATEVALUE($A354),'recurring1_based on steps'!AV$1:AV$400,0)),AV$2,)</f>
        <v>0</v>
      </c>
      <c r="AW354" s="155">
        <f ca="1">IF(ISNUMBER(MATCH(DATEVALUE($A354),'recurring1_based on steps'!AW$1:AW$400,0)),AW$2,)</f>
        <v>0</v>
      </c>
      <c r="AX354" s="155">
        <f ca="1">IF(ISNUMBER(MATCH(DATEVALUE($A354),'recurring1_based on steps'!AX$1:AX$400,0)),AX$2,)</f>
        <v>0</v>
      </c>
      <c r="AY354" s="155">
        <f ca="1">IF(ISNUMBER(MATCH(DATEVALUE($A354),'recurring1_based on steps'!AY$1:AY$400,0)),AY$2,)</f>
        <v>0</v>
      </c>
    </row>
    <row r="355" spans="1:51" x14ac:dyDescent="0.2">
      <c r="A355" s="18" t="str">
        <f t="shared" ca="1" si="5"/>
        <v>2026-01-19</v>
      </c>
      <c r="B355" s="155">
        <f ca="1">IF(ISNUMBER(MATCH(DATEVALUE($A355),'recurring1_based on steps'!B$1:B$400,0)),B$2,)</f>
        <v>0</v>
      </c>
      <c r="C355" s="155">
        <f ca="1">IF(ISNUMBER(MATCH(DATEVALUE($A355),'recurring1_based on steps'!C$1:C$400,0)),C$2,)</f>
        <v>0</v>
      </c>
      <c r="D355" s="155">
        <f ca="1">IF(ISNUMBER(MATCH(DATEVALUE($A355),'recurring1_based on steps'!D$1:D$400,0)),D$2,)</f>
        <v>0</v>
      </c>
      <c r="E355" s="155">
        <f ca="1">IF(ISNUMBER(MATCH(DATEVALUE($A355),'recurring1_based on steps'!E$1:E$400,0)),E$2,)</f>
        <v>0</v>
      </c>
      <c r="F355" s="155">
        <f ca="1">IF(ISNUMBER(MATCH(DATEVALUE($A355),'recurring1_based on steps'!F$1:F$400,0)),F$2,)</f>
        <v>0</v>
      </c>
      <c r="G355" s="155">
        <f ca="1">IF(ISNUMBER(MATCH(DATEVALUE($A355),'recurring1_based on steps'!G$1:G$400,0)),G$2,)</f>
        <v>0</v>
      </c>
      <c r="H355" s="155">
        <f ca="1">IF(ISNUMBER(MATCH(DATEVALUE($A355),'recurring1_based on steps'!H$1:H$400,0)),H$2,)</f>
        <v>0</v>
      </c>
      <c r="I355" s="155">
        <f ca="1">IF(ISNUMBER(MATCH(DATEVALUE($A355),'recurring1_based on steps'!I$1:I$400,0)),I$2,)</f>
        <v>0</v>
      </c>
      <c r="J355" s="155">
        <f ca="1">IF(ISNUMBER(MATCH(DATEVALUE($A355),'recurring1_based on steps'!J$1:J$400,0)),J$2,)</f>
        <v>0</v>
      </c>
      <c r="K355" s="155">
        <f ca="1">IF(ISNUMBER(MATCH(DATEVALUE($A355),'recurring1_based on steps'!K$1:K$400,0)),K$2,)</f>
        <v>0</v>
      </c>
      <c r="L355" s="155">
        <f ca="1">IF(ISNUMBER(MATCH(DATEVALUE($A355),'recurring1_based on steps'!L$1:L$400,0)),L$2,)</f>
        <v>0</v>
      </c>
      <c r="M355" s="155">
        <f ca="1">IF(ISNUMBER(MATCH(DATEVALUE($A355),'recurring1_based on steps'!M$1:M$400,0)),M$2,)</f>
        <v>0</v>
      </c>
      <c r="N355" s="155">
        <f ca="1">IF(ISNUMBER(MATCH(DATEVALUE($A355),'recurring1_based on steps'!N$1:N$400,0)),N$2,)</f>
        <v>0</v>
      </c>
      <c r="O355" s="155">
        <f ca="1">IF(ISNUMBER(MATCH(DATEVALUE($A355),'recurring1_based on steps'!O$1:O$400,0)),O$2,)</f>
        <v>0</v>
      </c>
      <c r="P355" s="155">
        <f ca="1">IF(ISNUMBER(MATCH(DATEVALUE($A355),'recurring1_based on steps'!P$1:P$400,0)),P$2,)</f>
        <v>0</v>
      </c>
      <c r="Q355" s="155">
        <f ca="1">IF(ISNUMBER(MATCH(DATEVALUE($A355),'recurring1_based on steps'!Q$1:Q$400,0)),Q$2,)</f>
        <v>0</v>
      </c>
      <c r="R355" s="155">
        <f ca="1">IF(ISNUMBER(MATCH(DATEVALUE($A355),'recurring1_based on steps'!R$1:R$400,0)),R$2,)</f>
        <v>0</v>
      </c>
      <c r="S355" s="155">
        <f ca="1">IF(ISNUMBER(MATCH(DATEVALUE($A355),'recurring1_based on steps'!S$1:S$400,0)),S$2,)</f>
        <v>0</v>
      </c>
      <c r="T355" s="155">
        <f ca="1">IF(ISNUMBER(MATCH(DATEVALUE($A355),'recurring1_based on steps'!T$1:T$400,0)),T$2,)</f>
        <v>0</v>
      </c>
      <c r="U355" s="155">
        <f ca="1">IF(ISNUMBER(MATCH(DATEVALUE($A355),'recurring1_based on steps'!U$1:U$400,0)),U$2,)</f>
        <v>0</v>
      </c>
      <c r="V355" s="155">
        <f ca="1">IF(ISNUMBER(MATCH(DATEVALUE($A355),'recurring1_based on steps'!V$1:V$400,0)),V$2,)</f>
        <v>0</v>
      </c>
      <c r="W355" s="155">
        <f ca="1">IF(ISNUMBER(MATCH(DATEVALUE($A355),'recurring1_based on steps'!W$1:W$400,0)),W$2,)</f>
        <v>0</v>
      </c>
      <c r="X355" s="155">
        <f ca="1">IF(ISNUMBER(MATCH(DATEVALUE($A355),'recurring1_based on steps'!X$1:X$400,0)),X$2,)</f>
        <v>0</v>
      </c>
      <c r="Y355" s="155">
        <f ca="1">IF(ISNUMBER(MATCH(DATEVALUE($A355),'recurring1_based on steps'!Y$1:Y$400,0)),Y$2,)</f>
        <v>0</v>
      </c>
      <c r="Z355" s="155">
        <f ca="1">IF(ISNUMBER(MATCH(DATEVALUE($A355),'recurring1_based on steps'!Z$1:Z$400,0)),Z$2,)</f>
        <v>0</v>
      </c>
      <c r="AA355" s="155">
        <f ca="1">IF(ISNUMBER(MATCH(DATEVALUE($A355),'recurring1_based on steps'!AA$1:AA$400,0)),AA$2,)</f>
        <v>0</v>
      </c>
      <c r="AB355" s="155">
        <f ca="1">IF(ISNUMBER(MATCH(DATEVALUE($A355),'recurring1_based on steps'!AB$1:AB$400,0)),AB$2,)</f>
        <v>0</v>
      </c>
      <c r="AC355" s="155">
        <f ca="1">IF(ISNUMBER(MATCH(DATEVALUE($A355),'recurring1_based on steps'!AC$1:AC$400,0)),AC$2,)</f>
        <v>0</v>
      </c>
      <c r="AD355" s="155">
        <f ca="1">IF(ISNUMBER(MATCH(DATEVALUE($A355),'recurring1_based on steps'!AD$1:AD$400,0)),AD$2,)</f>
        <v>0</v>
      </c>
      <c r="AE355" s="155">
        <f ca="1">IF(ISNUMBER(MATCH(DATEVALUE($A355),'recurring1_based on steps'!AE$1:AE$400,0)),AE$2,)</f>
        <v>0</v>
      </c>
      <c r="AF355" s="155">
        <f ca="1">IF(ISNUMBER(MATCH(DATEVALUE($A355),'recurring1_based on steps'!AF$1:AF$400,0)),AF$2,)</f>
        <v>0</v>
      </c>
      <c r="AG355" s="155">
        <f ca="1">IF(ISNUMBER(MATCH(DATEVALUE($A355),'recurring1_based on steps'!AG$1:AG$400,0)),AG$2,)</f>
        <v>0</v>
      </c>
      <c r="AH355" s="155">
        <f ca="1">IF(ISNUMBER(MATCH(DATEVALUE($A355),'recurring1_based on steps'!AH$1:AH$400,0)),AH$2,)</f>
        <v>0</v>
      </c>
      <c r="AI355" s="155">
        <f ca="1">IF(ISNUMBER(MATCH(DATEVALUE($A355),'recurring1_based on steps'!AI$1:AI$400,0)),AI$2,)</f>
        <v>0</v>
      </c>
      <c r="AJ355" s="155">
        <f ca="1">IF(ISNUMBER(MATCH(DATEVALUE($A355),'recurring1_based on steps'!AJ$1:AJ$400,0)),AJ$2,)</f>
        <v>0</v>
      </c>
      <c r="AK355" s="155">
        <f ca="1">IF(ISNUMBER(MATCH(DATEVALUE($A355),'recurring1_based on steps'!AK$1:AK$400,0)),AK$2,)</f>
        <v>0</v>
      </c>
      <c r="AL355" s="155">
        <f ca="1">IF(ISNUMBER(MATCH(DATEVALUE($A355),'recurring1_based on steps'!AL$1:AL$400,0)),AL$2,)</f>
        <v>0</v>
      </c>
      <c r="AM355" s="155">
        <f ca="1">IF(ISNUMBER(MATCH(DATEVALUE($A355),'recurring1_based on steps'!AM$1:AM$400,0)),AM$2,)</f>
        <v>0</v>
      </c>
      <c r="AN355" s="155">
        <f ca="1">IF(ISNUMBER(MATCH(DATEVALUE($A355),'recurring1_based on steps'!AN$1:AN$400,0)),AN$2,)</f>
        <v>0</v>
      </c>
      <c r="AO355" s="155">
        <f ca="1">IF(ISNUMBER(MATCH(DATEVALUE($A355),'recurring1_based on steps'!AO$1:AO$400,0)),AO$2,)</f>
        <v>0</v>
      </c>
      <c r="AP355" s="155">
        <f ca="1">IF(ISNUMBER(MATCH(DATEVALUE($A355),'recurring1_based on steps'!AP$1:AP$400,0)),AP$2,)</f>
        <v>0</v>
      </c>
      <c r="AQ355" s="155">
        <f ca="1">IF(ISNUMBER(MATCH(DATEVALUE($A355),'recurring1_based on steps'!AQ$1:AQ$400,0)),AQ$2,)</f>
        <v>0</v>
      </c>
      <c r="AR355" s="155">
        <f ca="1">IF(ISNUMBER(MATCH(DATEVALUE($A355),'recurring1_based on steps'!AR$1:AR$400,0)),AR$2,)</f>
        <v>0</v>
      </c>
      <c r="AS355" s="155">
        <f ca="1">IF(ISNUMBER(MATCH(DATEVALUE($A355),'recurring1_based on steps'!AS$1:AS$400,0)),AS$2,)</f>
        <v>0</v>
      </c>
      <c r="AT355" s="155">
        <f ca="1">IF(ISNUMBER(MATCH(DATEVALUE($A355),'recurring1_based on steps'!AT$1:AT$400,0)),AT$2,)</f>
        <v>0</v>
      </c>
      <c r="AU355" s="155">
        <f ca="1">IF(ISNUMBER(MATCH(DATEVALUE($A355),'recurring1_based on steps'!AU$1:AU$400,0)),AU$2,)</f>
        <v>0</v>
      </c>
      <c r="AV355" s="155">
        <f ca="1">IF(ISNUMBER(MATCH(DATEVALUE($A355),'recurring1_based on steps'!AV$1:AV$400,0)),AV$2,)</f>
        <v>0</v>
      </c>
      <c r="AW355" s="155">
        <f ca="1">IF(ISNUMBER(MATCH(DATEVALUE($A355),'recurring1_based on steps'!AW$1:AW$400,0)),AW$2,)</f>
        <v>0</v>
      </c>
      <c r="AX355" s="155">
        <f ca="1">IF(ISNUMBER(MATCH(DATEVALUE($A355),'recurring1_based on steps'!AX$1:AX$400,0)),AX$2,)</f>
        <v>0</v>
      </c>
      <c r="AY355" s="155">
        <f ca="1">IF(ISNUMBER(MATCH(DATEVALUE($A355),'recurring1_based on steps'!AY$1:AY$400,0)),AY$2,)</f>
        <v>0</v>
      </c>
    </row>
    <row r="356" spans="1:51" x14ac:dyDescent="0.2">
      <c r="A356" s="18" t="str">
        <f t="shared" ca="1" si="5"/>
        <v>2026-01-20</v>
      </c>
      <c r="B356" s="155">
        <f ca="1">IF(ISNUMBER(MATCH(DATEVALUE($A356),'recurring1_based on steps'!B$1:B$400,0)),B$2,)</f>
        <v>0</v>
      </c>
      <c r="C356" s="155">
        <f ca="1">IF(ISNUMBER(MATCH(DATEVALUE($A356),'recurring1_based on steps'!C$1:C$400,0)),C$2,)</f>
        <v>0</v>
      </c>
      <c r="D356" s="155">
        <f ca="1">IF(ISNUMBER(MATCH(DATEVALUE($A356),'recurring1_based on steps'!D$1:D$400,0)),D$2,)</f>
        <v>0</v>
      </c>
      <c r="E356" s="155">
        <f ca="1">IF(ISNUMBER(MATCH(DATEVALUE($A356),'recurring1_based on steps'!E$1:E$400,0)),E$2,)</f>
        <v>0</v>
      </c>
      <c r="F356" s="155">
        <f ca="1">IF(ISNUMBER(MATCH(DATEVALUE($A356),'recurring1_based on steps'!F$1:F$400,0)),F$2,)</f>
        <v>0</v>
      </c>
      <c r="G356" s="155">
        <f ca="1">IF(ISNUMBER(MATCH(DATEVALUE($A356),'recurring1_based on steps'!G$1:G$400,0)),G$2,)</f>
        <v>0</v>
      </c>
      <c r="H356" s="155">
        <f ca="1">IF(ISNUMBER(MATCH(DATEVALUE($A356),'recurring1_based on steps'!H$1:H$400,0)),H$2,)</f>
        <v>0</v>
      </c>
      <c r="I356" s="155">
        <f ca="1">IF(ISNUMBER(MATCH(DATEVALUE($A356),'recurring1_based on steps'!I$1:I$400,0)),I$2,)</f>
        <v>0</v>
      </c>
      <c r="J356" s="155">
        <f ca="1">IF(ISNUMBER(MATCH(DATEVALUE($A356),'recurring1_based on steps'!J$1:J$400,0)),J$2,)</f>
        <v>0</v>
      </c>
      <c r="K356" s="155">
        <f ca="1">IF(ISNUMBER(MATCH(DATEVALUE($A356),'recurring1_based on steps'!K$1:K$400,0)),K$2,)</f>
        <v>0</v>
      </c>
      <c r="L356" s="155">
        <f ca="1">IF(ISNUMBER(MATCH(DATEVALUE($A356),'recurring1_based on steps'!L$1:L$400,0)),L$2,)</f>
        <v>0</v>
      </c>
      <c r="M356" s="155">
        <f ca="1">IF(ISNUMBER(MATCH(DATEVALUE($A356),'recurring1_based on steps'!M$1:M$400,0)),M$2,)</f>
        <v>0</v>
      </c>
      <c r="N356" s="155">
        <f ca="1">IF(ISNUMBER(MATCH(DATEVALUE($A356),'recurring1_based on steps'!N$1:N$400,0)),N$2,)</f>
        <v>0</v>
      </c>
      <c r="O356" s="155">
        <f ca="1">IF(ISNUMBER(MATCH(DATEVALUE($A356),'recurring1_based on steps'!O$1:O$400,0)),O$2,)</f>
        <v>0</v>
      </c>
      <c r="P356" s="155">
        <f ca="1">IF(ISNUMBER(MATCH(DATEVALUE($A356),'recurring1_based on steps'!P$1:P$400,0)),P$2,)</f>
        <v>0</v>
      </c>
      <c r="Q356" s="155">
        <f ca="1">IF(ISNUMBER(MATCH(DATEVALUE($A356),'recurring1_based on steps'!Q$1:Q$400,0)),Q$2,)</f>
        <v>0</v>
      </c>
      <c r="R356" s="155">
        <f ca="1">IF(ISNUMBER(MATCH(DATEVALUE($A356),'recurring1_based on steps'!R$1:R$400,0)),R$2,)</f>
        <v>0</v>
      </c>
      <c r="S356" s="155">
        <f ca="1">IF(ISNUMBER(MATCH(DATEVALUE($A356),'recurring1_based on steps'!S$1:S$400,0)),S$2,)</f>
        <v>0</v>
      </c>
      <c r="T356" s="155">
        <f ca="1">IF(ISNUMBER(MATCH(DATEVALUE($A356),'recurring1_based on steps'!T$1:T$400,0)),T$2,)</f>
        <v>0</v>
      </c>
      <c r="U356" s="155">
        <f ca="1">IF(ISNUMBER(MATCH(DATEVALUE($A356),'recurring1_based on steps'!U$1:U$400,0)),U$2,)</f>
        <v>0</v>
      </c>
      <c r="V356" s="155">
        <f ca="1">IF(ISNUMBER(MATCH(DATEVALUE($A356),'recurring1_based on steps'!V$1:V$400,0)),V$2,)</f>
        <v>0</v>
      </c>
      <c r="W356" s="155">
        <f ca="1">IF(ISNUMBER(MATCH(DATEVALUE($A356),'recurring1_based on steps'!W$1:W$400,0)),W$2,)</f>
        <v>0</v>
      </c>
      <c r="X356" s="155">
        <f ca="1">IF(ISNUMBER(MATCH(DATEVALUE($A356),'recurring1_based on steps'!X$1:X$400,0)),X$2,)</f>
        <v>0</v>
      </c>
      <c r="Y356" s="155">
        <f ca="1">IF(ISNUMBER(MATCH(DATEVALUE($A356),'recurring1_based on steps'!Y$1:Y$400,0)),Y$2,)</f>
        <v>0</v>
      </c>
      <c r="Z356" s="155">
        <f ca="1">IF(ISNUMBER(MATCH(DATEVALUE($A356),'recurring1_based on steps'!Z$1:Z$400,0)),Z$2,)</f>
        <v>0</v>
      </c>
      <c r="AA356" s="155">
        <f ca="1">IF(ISNUMBER(MATCH(DATEVALUE($A356),'recurring1_based on steps'!AA$1:AA$400,0)),AA$2,)</f>
        <v>0</v>
      </c>
      <c r="AB356" s="155">
        <f ca="1">IF(ISNUMBER(MATCH(DATEVALUE($A356),'recurring1_based on steps'!AB$1:AB$400,0)),AB$2,)</f>
        <v>0</v>
      </c>
      <c r="AC356" s="155">
        <f ca="1">IF(ISNUMBER(MATCH(DATEVALUE($A356),'recurring1_based on steps'!AC$1:AC$400,0)),AC$2,)</f>
        <v>0</v>
      </c>
      <c r="AD356" s="155">
        <f ca="1">IF(ISNUMBER(MATCH(DATEVALUE($A356),'recurring1_based on steps'!AD$1:AD$400,0)),AD$2,)</f>
        <v>0</v>
      </c>
      <c r="AE356" s="155">
        <f ca="1">IF(ISNUMBER(MATCH(DATEVALUE($A356),'recurring1_based on steps'!AE$1:AE$400,0)),AE$2,)</f>
        <v>0</v>
      </c>
      <c r="AF356" s="155">
        <f ca="1">IF(ISNUMBER(MATCH(DATEVALUE($A356),'recurring1_based on steps'!AF$1:AF$400,0)),AF$2,)</f>
        <v>0</v>
      </c>
      <c r="AG356" s="155">
        <f ca="1">IF(ISNUMBER(MATCH(DATEVALUE($A356),'recurring1_based on steps'!AG$1:AG$400,0)),AG$2,)</f>
        <v>0</v>
      </c>
      <c r="AH356" s="155">
        <f ca="1">IF(ISNUMBER(MATCH(DATEVALUE($A356),'recurring1_based on steps'!AH$1:AH$400,0)),AH$2,)</f>
        <v>0</v>
      </c>
      <c r="AI356" s="155">
        <f ca="1">IF(ISNUMBER(MATCH(DATEVALUE($A356),'recurring1_based on steps'!AI$1:AI$400,0)),AI$2,)</f>
        <v>0</v>
      </c>
      <c r="AJ356" s="155">
        <f ca="1">IF(ISNUMBER(MATCH(DATEVALUE($A356),'recurring1_based on steps'!AJ$1:AJ$400,0)),AJ$2,)</f>
        <v>0</v>
      </c>
      <c r="AK356" s="155">
        <f ca="1">IF(ISNUMBER(MATCH(DATEVALUE($A356),'recurring1_based on steps'!AK$1:AK$400,0)),AK$2,)</f>
        <v>0</v>
      </c>
      <c r="AL356" s="155">
        <f ca="1">IF(ISNUMBER(MATCH(DATEVALUE($A356),'recurring1_based on steps'!AL$1:AL$400,0)),AL$2,)</f>
        <v>0</v>
      </c>
      <c r="AM356" s="155">
        <f ca="1">IF(ISNUMBER(MATCH(DATEVALUE($A356),'recurring1_based on steps'!AM$1:AM$400,0)),AM$2,)</f>
        <v>0</v>
      </c>
      <c r="AN356" s="155">
        <f ca="1">IF(ISNUMBER(MATCH(DATEVALUE($A356),'recurring1_based on steps'!AN$1:AN$400,0)),AN$2,)</f>
        <v>0</v>
      </c>
      <c r="AO356" s="155">
        <f ca="1">IF(ISNUMBER(MATCH(DATEVALUE($A356),'recurring1_based on steps'!AO$1:AO$400,0)),AO$2,)</f>
        <v>0</v>
      </c>
      <c r="AP356" s="155">
        <f ca="1">IF(ISNUMBER(MATCH(DATEVALUE($A356),'recurring1_based on steps'!AP$1:AP$400,0)),AP$2,)</f>
        <v>0</v>
      </c>
      <c r="AQ356" s="155">
        <f ca="1">IF(ISNUMBER(MATCH(DATEVALUE($A356),'recurring1_based on steps'!AQ$1:AQ$400,0)),AQ$2,)</f>
        <v>0</v>
      </c>
      <c r="AR356" s="155">
        <f ca="1">IF(ISNUMBER(MATCH(DATEVALUE($A356),'recurring1_based on steps'!AR$1:AR$400,0)),AR$2,)</f>
        <v>0</v>
      </c>
      <c r="AS356" s="155">
        <f ca="1">IF(ISNUMBER(MATCH(DATEVALUE($A356),'recurring1_based on steps'!AS$1:AS$400,0)),AS$2,)</f>
        <v>0</v>
      </c>
      <c r="AT356" s="155">
        <f ca="1">IF(ISNUMBER(MATCH(DATEVALUE($A356),'recurring1_based on steps'!AT$1:AT$400,0)),AT$2,)</f>
        <v>0</v>
      </c>
      <c r="AU356" s="155">
        <f ca="1">IF(ISNUMBER(MATCH(DATEVALUE($A356),'recurring1_based on steps'!AU$1:AU$400,0)),AU$2,)</f>
        <v>0</v>
      </c>
      <c r="AV356" s="155">
        <f ca="1">IF(ISNUMBER(MATCH(DATEVALUE($A356),'recurring1_based on steps'!AV$1:AV$400,0)),AV$2,)</f>
        <v>0</v>
      </c>
      <c r="AW356" s="155">
        <f ca="1">IF(ISNUMBER(MATCH(DATEVALUE($A356),'recurring1_based on steps'!AW$1:AW$400,0)),AW$2,)</f>
        <v>0</v>
      </c>
      <c r="AX356" s="155">
        <f ca="1">IF(ISNUMBER(MATCH(DATEVALUE($A356),'recurring1_based on steps'!AX$1:AX$400,0)),AX$2,)</f>
        <v>0</v>
      </c>
      <c r="AY356" s="155">
        <f ca="1">IF(ISNUMBER(MATCH(DATEVALUE($A356),'recurring1_based on steps'!AY$1:AY$400,0)),AY$2,)</f>
        <v>0</v>
      </c>
    </row>
    <row r="357" spans="1:51" x14ac:dyDescent="0.2">
      <c r="A357" s="18" t="str">
        <f t="shared" ca="1" si="5"/>
        <v>2026-01-21</v>
      </c>
      <c r="B357" s="155">
        <f ca="1">IF(ISNUMBER(MATCH(DATEVALUE($A357),'recurring1_based on steps'!B$1:B$400,0)),B$2,)</f>
        <v>0</v>
      </c>
      <c r="C357" s="155">
        <f ca="1">IF(ISNUMBER(MATCH(DATEVALUE($A357),'recurring1_based on steps'!C$1:C$400,0)),C$2,)</f>
        <v>0</v>
      </c>
      <c r="D357" s="155">
        <f ca="1">IF(ISNUMBER(MATCH(DATEVALUE($A357),'recurring1_based on steps'!D$1:D$400,0)),D$2,)</f>
        <v>0</v>
      </c>
      <c r="E357" s="155">
        <f ca="1">IF(ISNUMBER(MATCH(DATEVALUE($A357),'recurring1_based on steps'!E$1:E$400,0)),E$2,)</f>
        <v>0</v>
      </c>
      <c r="F357" s="155">
        <f ca="1">IF(ISNUMBER(MATCH(DATEVALUE($A357),'recurring1_based on steps'!F$1:F$400,0)),F$2,)</f>
        <v>0</v>
      </c>
      <c r="G357" s="155">
        <f ca="1">IF(ISNUMBER(MATCH(DATEVALUE($A357),'recurring1_based on steps'!G$1:G$400,0)),G$2,)</f>
        <v>0</v>
      </c>
      <c r="H357" s="155">
        <f ca="1">IF(ISNUMBER(MATCH(DATEVALUE($A357),'recurring1_based on steps'!H$1:H$400,0)),H$2,)</f>
        <v>0</v>
      </c>
      <c r="I357" s="155">
        <f ca="1">IF(ISNUMBER(MATCH(DATEVALUE($A357),'recurring1_based on steps'!I$1:I$400,0)),I$2,)</f>
        <v>0</v>
      </c>
      <c r="J357" s="155">
        <f ca="1">IF(ISNUMBER(MATCH(DATEVALUE($A357),'recurring1_based on steps'!J$1:J$400,0)),J$2,)</f>
        <v>0</v>
      </c>
      <c r="K357" s="155">
        <f ca="1">IF(ISNUMBER(MATCH(DATEVALUE($A357),'recurring1_based on steps'!K$1:K$400,0)),K$2,)</f>
        <v>0</v>
      </c>
      <c r="L357" s="155">
        <f ca="1">IF(ISNUMBER(MATCH(DATEVALUE($A357),'recurring1_based on steps'!L$1:L$400,0)),L$2,)</f>
        <v>0</v>
      </c>
      <c r="M357" s="155">
        <f ca="1">IF(ISNUMBER(MATCH(DATEVALUE($A357),'recurring1_based on steps'!M$1:M$400,0)),M$2,)</f>
        <v>0</v>
      </c>
      <c r="N357" s="155">
        <f ca="1">IF(ISNUMBER(MATCH(DATEVALUE($A357),'recurring1_based on steps'!N$1:N$400,0)),N$2,)</f>
        <v>0</v>
      </c>
      <c r="O357" s="155">
        <f ca="1">IF(ISNUMBER(MATCH(DATEVALUE($A357),'recurring1_based on steps'!O$1:O$400,0)),O$2,)</f>
        <v>0</v>
      </c>
      <c r="P357" s="155">
        <f ca="1">IF(ISNUMBER(MATCH(DATEVALUE($A357),'recurring1_based on steps'!P$1:P$400,0)),P$2,)</f>
        <v>0</v>
      </c>
      <c r="Q357" s="155">
        <f ca="1">IF(ISNUMBER(MATCH(DATEVALUE($A357),'recurring1_based on steps'!Q$1:Q$400,0)),Q$2,)</f>
        <v>0</v>
      </c>
      <c r="R357" s="155">
        <f ca="1">IF(ISNUMBER(MATCH(DATEVALUE($A357),'recurring1_based on steps'!R$1:R$400,0)),R$2,)</f>
        <v>0</v>
      </c>
      <c r="S357" s="155">
        <f ca="1">IF(ISNUMBER(MATCH(DATEVALUE($A357),'recurring1_based on steps'!S$1:S$400,0)),S$2,)</f>
        <v>0</v>
      </c>
      <c r="T357" s="155">
        <f ca="1">IF(ISNUMBER(MATCH(DATEVALUE($A357),'recurring1_based on steps'!T$1:T$400,0)),T$2,)</f>
        <v>0</v>
      </c>
      <c r="U357" s="155">
        <f ca="1">IF(ISNUMBER(MATCH(DATEVALUE($A357),'recurring1_based on steps'!U$1:U$400,0)),U$2,)</f>
        <v>0</v>
      </c>
      <c r="V357" s="155">
        <f ca="1">IF(ISNUMBER(MATCH(DATEVALUE($A357),'recurring1_based on steps'!V$1:V$400,0)),V$2,)</f>
        <v>0</v>
      </c>
      <c r="W357" s="155">
        <f ca="1">IF(ISNUMBER(MATCH(DATEVALUE($A357),'recurring1_based on steps'!W$1:W$400,0)),W$2,)</f>
        <v>0</v>
      </c>
      <c r="X357" s="155">
        <f ca="1">IF(ISNUMBER(MATCH(DATEVALUE($A357),'recurring1_based on steps'!X$1:X$400,0)),X$2,)</f>
        <v>0</v>
      </c>
      <c r="Y357" s="155">
        <f ca="1">IF(ISNUMBER(MATCH(DATEVALUE($A357),'recurring1_based on steps'!Y$1:Y$400,0)),Y$2,)</f>
        <v>0</v>
      </c>
      <c r="Z357" s="155">
        <f ca="1">IF(ISNUMBER(MATCH(DATEVALUE($A357),'recurring1_based on steps'!Z$1:Z$400,0)),Z$2,)</f>
        <v>0</v>
      </c>
      <c r="AA357" s="155">
        <f ca="1">IF(ISNUMBER(MATCH(DATEVALUE($A357),'recurring1_based on steps'!AA$1:AA$400,0)),AA$2,)</f>
        <v>0</v>
      </c>
      <c r="AB357" s="155">
        <f ca="1">IF(ISNUMBER(MATCH(DATEVALUE($A357),'recurring1_based on steps'!AB$1:AB$400,0)),AB$2,)</f>
        <v>0</v>
      </c>
      <c r="AC357" s="155">
        <f ca="1">IF(ISNUMBER(MATCH(DATEVALUE($A357),'recurring1_based on steps'!AC$1:AC$400,0)),AC$2,)</f>
        <v>0</v>
      </c>
      <c r="AD357" s="155">
        <f ca="1">IF(ISNUMBER(MATCH(DATEVALUE($A357),'recurring1_based on steps'!AD$1:AD$400,0)),AD$2,)</f>
        <v>0</v>
      </c>
      <c r="AE357" s="155">
        <f ca="1">IF(ISNUMBER(MATCH(DATEVALUE($A357),'recurring1_based on steps'!AE$1:AE$400,0)),AE$2,)</f>
        <v>0</v>
      </c>
      <c r="AF357" s="155">
        <f ca="1">IF(ISNUMBER(MATCH(DATEVALUE($A357),'recurring1_based on steps'!AF$1:AF$400,0)),AF$2,)</f>
        <v>0</v>
      </c>
      <c r="AG357" s="155">
        <f ca="1">IF(ISNUMBER(MATCH(DATEVALUE($A357),'recurring1_based on steps'!AG$1:AG$400,0)),AG$2,)</f>
        <v>0</v>
      </c>
      <c r="AH357" s="155">
        <f ca="1">IF(ISNUMBER(MATCH(DATEVALUE($A357),'recurring1_based on steps'!AH$1:AH$400,0)),AH$2,)</f>
        <v>0</v>
      </c>
      <c r="AI357" s="155">
        <f ca="1">IF(ISNUMBER(MATCH(DATEVALUE($A357),'recurring1_based on steps'!AI$1:AI$400,0)),AI$2,)</f>
        <v>0</v>
      </c>
      <c r="AJ357" s="155">
        <f ca="1">IF(ISNUMBER(MATCH(DATEVALUE($A357),'recurring1_based on steps'!AJ$1:AJ$400,0)),AJ$2,)</f>
        <v>0</v>
      </c>
      <c r="AK357" s="155">
        <f ca="1">IF(ISNUMBER(MATCH(DATEVALUE($A357),'recurring1_based on steps'!AK$1:AK$400,0)),AK$2,)</f>
        <v>0</v>
      </c>
      <c r="AL357" s="155">
        <f ca="1">IF(ISNUMBER(MATCH(DATEVALUE($A357),'recurring1_based on steps'!AL$1:AL$400,0)),AL$2,)</f>
        <v>0</v>
      </c>
      <c r="AM357" s="155">
        <f ca="1">IF(ISNUMBER(MATCH(DATEVALUE($A357),'recurring1_based on steps'!AM$1:AM$400,0)),AM$2,)</f>
        <v>0</v>
      </c>
      <c r="AN357" s="155">
        <f ca="1">IF(ISNUMBER(MATCH(DATEVALUE($A357),'recurring1_based on steps'!AN$1:AN$400,0)),AN$2,)</f>
        <v>0</v>
      </c>
      <c r="AO357" s="155">
        <f ca="1">IF(ISNUMBER(MATCH(DATEVALUE($A357),'recurring1_based on steps'!AO$1:AO$400,0)),AO$2,)</f>
        <v>0</v>
      </c>
      <c r="AP357" s="155">
        <f ca="1">IF(ISNUMBER(MATCH(DATEVALUE($A357),'recurring1_based on steps'!AP$1:AP$400,0)),AP$2,)</f>
        <v>0</v>
      </c>
      <c r="AQ357" s="155">
        <f ca="1">IF(ISNUMBER(MATCH(DATEVALUE($A357),'recurring1_based on steps'!AQ$1:AQ$400,0)),AQ$2,)</f>
        <v>0</v>
      </c>
      <c r="AR357" s="155">
        <f ca="1">IF(ISNUMBER(MATCH(DATEVALUE($A357),'recurring1_based on steps'!AR$1:AR$400,0)),AR$2,)</f>
        <v>0</v>
      </c>
      <c r="AS357" s="155">
        <f ca="1">IF(ISNUMBER(MATCH(DATEVALUE($A357),'recurring1_based on steps'!AS$1:AS$400,0)),AS$2,)</f>
        <v>0</v>
      </c>
      <c r="AT357" s="155">
        <f ca="1">IF(ISNUMBER(MATCH(DATEVALUE($A357),'recurring1_based on steps'!AT$1:AT$400,0)),AT$2,)</f>
        <v>0</v>
      </c>
      <c r="AU357" s="155">
        <f ca="1">IF(ISNUMBER(MATCH(DATEVALUE($A357),'recurring1_based on steps'!AU$1:AU$400,0)),AU$2,)</f>
        <v>0</v>
      </c>
      <c r="AV357" s="155">
        <f ca="1">IF(ISNUMBER(MATCH(DATEVALUE($A357),'recurring1_based on steps'!AV$1:AV$400,0)),AV$2,)</f>
        <v>0</v>
      </c>
      <c r="AW357" s="155">
        <f ca="1">IF(ISNUMBER(MATCH(DATEVALUE($A357),'recurring1_based on steps'!AW$1:AW$400,0)),AW$2,)</f>
        <v>0</v>
      </c>
      <c r="AX357" s="155">
        <f ca="1">IF(ISNUMBER(MATCH(DATEVALUE($A357),'recurring1_based on steps'!AX$1:AX$400,0)),AX$2,)</f>
        <v>0</v>
      </c>
      <c r="AY357" s="155">
        <f ca="1">IF(ISNUMBER(MATCH(DATEVALUE($A357),'recurring1_based on steps'!AY$1:AY$400,0)),AY$2,)</f>
        <v>0</v>
      </c>
    </row>
    <row r="358" spans="1:51" x14ac:dyDescent="0.2">
      <c r="A358" s="18" t="str">
        <f t="shared" ca="1" si="5"/>
        <v>2026-01-22</v>
      </c>
      <c r="B358" s="155">
        <f ca="1">IF(ISNUMBER(MATCH(DATEVALUE($A358),'recurring1_based on steps'!B$1:B$400,0)),B$2,)</f>
        <v>0</v>
      </c>
      <c r="C358" s="155">
        <f ca="1">IF(ISNUMBER(MATCH(DATEVALUE($A358),'recurring1_based on steps'!C$1:C$400,0)),C$2,)</f>
        <v>0</v>
      </c>
      <c r="D358" s="155">
        <f ca="1">IF(ISNUMBER(MATCH(DATEVALUE($A358),'recurring1_based on steps'!D$1:D$400,0)),D$2,)</f>
        <v>0</v>
      </c>
      <c r="E358" s="155">
        <f ca="1">IF(ISNUMBER(MATCH(DATEVALUE($A358),'recurring1_based on steps'!E$1:E$400,0)),E$2,)</f>
        <v>0</v>
      </c>
      <c r="F358" s="155">
        <f ca="1">IF(ISNUMBER(MATCH(DATEVALUE($A358),'recurring1_based on steps'!F$1:F$400,0)),F$2,)</f>
        <v>0</v>
      </c>
      <c r="G358" s="155">
        <f ca="1">IF(ISNUMBER(MATCH(DATEVALUE($A358),'recurring1_based on steps'!G$1:G$400,0)),G$2,)</f>
        <v>0</v>
      </c>
      <c r="H358" s="155">
        <f ca="1">IF(ISNUMBER(MATCH(DATEVALUE($A358),'recurring1_based on steps'!H$1:H$400,0)),H$2,)</f>
        <v>0</v>
      </c>
      <c r="I358" s="155">
        <f ca="1">IF(ISNUMBER(MATCH(DATEVALUE($A358),'recurring1_based on steps'!I$1:I$400,0)),I$2,)</f>
        <v>0</v>
      </c>
      <c r="J358" s="155">
        <f ca="1">IF(ISNUMBER(MATCH(DATEVALUE($A358),'recurring1_based on steps'!J$1:J$400,0)),J$2,)</f>
        <v>0</v>
      </c>
      <c r="K358" s="155">
        <f ca="1">IF(ISNUMBER(MATCH(DATEVALUE($A358),'recurring1_based on steps'!K$1:K$400,0)),K$2,)</f>
        <v>0</v>
      </c>
      <c r="L358" s="155">
        <f ca="1">IF(ISNUMBER(MATCH(DATEVALUE($A358),'recurring1_based on steps'!L$1:L$400,0)),L$2,)</f>
        <v>0</v>
      </c>
      <c r="M358" s="155">
        <f ca="1">IF(ISNUMBER(MATCH(DATEVALUE($A358),'recurring1_based on steps'!M$1:M$400,0)),M$2,)</f>
        <v>0</v>
      </c>
      <c r="N358" s="155">
        <f ca="1">IF(ISNUMBER(MATCH(DATEVALUE($A358),'recurring1_based on steps'!N$1:N$400,0)),N$2,)</f>
        <v>0</v>
      </c>
      <c r="O358" s="155">
        <f ca="1">IF(ISNUMBER(MATCH(DATEVALUE($A358),'recurring1_based on steps'!O$1:O$400,0)),O$2,)</f>
        <v>0</v>
      </c>
      <c r="P358" s="155">
        <f ca="1">IF(ISNUMBER(MATCH(DATEVALUE($A358),'recurring1_based on steps'!P$1:P$400,0)),P$2,)</f>
        <v>0</v>
      </c>
      <c r="Q358" s="155">
        <f ca="1">IF(ISNUMBER(MATCH(DATEVALUE($A358),'recurring1_based on steps'!Q$1:Q$400,0)),Q$2,)</f>
        <v>0</v>
      </c>
      <c r="R358" s="155">
        <f ca="1">IF(ISNUMBER(MATCH(DATEVALUE($A358),'recurring1_based on steps'!R$1:R$400,0)),R$2,)</f>
        <v>0</v>
      </c>
      <c r="S358" s="155">
        <f ca="1">IF(ISNUMBER(MATCH(DATEVALUE($A358),'recurring1_based on steps'!S$1:S$400,0)),S$2,)</f>
        <v>0</v>
      </c>
      <c r="T358" s="155">
        <f ca="1">IF(ISNUMBER(MATCH(DATEVALUE($A358),'recurring1_based on steps'!T$1:T$400,0)),T$2,)</f>
        <v>0</v>
      </c>
      <c r="U358" s="155">
        <f ca="1">IF(ISNUMBER(MATCH(DATEVALUE($A358),'recurring1_based on steps'!U$1:U$400,0)),U$2,)</f>
        <v>0</v>
      </c>
      <c r="V358" s="155">
        <f ca="1">IF(ISNUMBER(MATCH(DATEVALUE($A358),'recurring1_based on steps'!V$1:V$400,0)),V$2,)</f>
        <v>0</v>
      </c>
      <c r="W358" s="155">
        <f ca="1">IF(ISNUMBER(MATCH(DATEVALUE($A358),'recurring1_based on steps'!W$1:W$400,0)),W$2,)</f>
        <v>0</v>
      </c>
      <c r="X358" s="155">
        <f ca="1">IF(ISNUMBER(MATCH(DATEVALUE($A358),'recurring1_based on steps'!X$1:X$400,0)),X$2,)</f>
        <v>0</v>
      </c>
      <c r="Y358" s="155">
        <f ca="1">IF(ISNUMBER(MATCH(DATEVALUE($A358),'recurring1_based on steps'!Y$1:Y$400,0)),Y$2,)</f>
        <v>0</v>
      </c>
      <c r="Z358" s="155">
        <f ca="1">IF(ISNUMBER(MATCH(DATEVALUE($A358),'recurring1_based on steps'!Z$1:Z$400,0)),Z$2,)</f>
        <v>0</v>
      </c>
      <c r="AA358" s="155">
        <f ca="1">IF(ISNUMBER(MATCH(DATEVALUE($A358),'recurring1_based on steps'!AA$1:AA$400,0)),AA$2,)</f>
        <v>0</v>
      </c>
      <c r="AB358" s="155">
        <f ca="1">IF(ISNUMBER(MATCH(DATEVALUE($A358),'recurring1_based on steps'!AB$1:AB$400,0)),AB$2,)</f>
        <v>0</v>
      </c>
      <c r="AC358" s="155">
        <f ca="1">IF(ISNUMBER(MATCH(DATEVALUE($A358),'recurring1_based on steps'!AC$1:AC$400,0)),AC$2,)</f>
        <v>0</v>
      </c>
      <c r="AD358" s="155">
        <f ca="1">IF(ISNUMBER(MATCH(DATEVALUE($A358),'recurring1_based on steps'!AD$1:AD$400,0)),AD$2,)</f>
        <v>0</v>
      </c>
      <c r="AE358" s="155">
        <f ca="1">IF(ISNUMBER(MATCH(DATEVALUE($A358),'recurring1_based on steps'!AE$1:AE$400,0)),AE$2,)</f>
        <v>0</v>
      </c>
      <c r="AF358" s="155">
        <f ca="1">IF(ISNUMBER(MATCH(DATEVALUE($A358),'recurring1_based on steps'!AF$1:AF$400,0)),AF$2,)</f>
        <v>0</v>
      </c>
      <c r="AG358" s="155">
        <f ca="1">IF(ISNUMBER(MATCH(DATEVALUE($A358),'recurring1_based on steps'!AG$1:AG$400,0)),AG$2,)</f>
        <v>0</v>
      </c>
      <c r="AH358" s="155">
        <f ca="1">IF(ISNUMBER(MATCH(DATEVALUE($A358),'recurring1_based on steps'!AH$1:AH$400,0)),AH$2,)</f>
        <v>0</v>
      </c>
      <c r="AI358" s="155">
        <f ca="1">IF(ISNUMBER(MATCH(DATEVALUE($A358),'recurring1_based on steps'!AI$1:AI$400,0)),AI$2,)</f>
        <v>0</v>
      </c>
      <c r="AJ358" s="155">
        <f ca="1">IF(ISNUMBER(MATCH(DATEVALUE($A358),'recurring1_based on steps'!AJ$1:AJ$400,0)),AJ$2,)</f>
        <v>0</v>
      </c>
      <c r="AK358" s="155">
        <f ca="1">IF(ISNUMBER(MATCH(DATEVALUE($A358),'recurring1_based on steps'!AK$1:AK$400,0)),AK$2,)</f>
        <v>0</v>
      </c>
      <c r="AL358" s="155">
        <f ca="1">IF(ISNUMBER(MATCH(DATEVALUE($A358),'recurring1_based on steps'!AL$1:AL$400,0)),AL$2,)</f>
        <v>0</v>
      </c>
      <c r="AM358" s="155">
        <f ca="1">IF(ISNUMBER(MATCH(DATEVALUE($A358),'recurring1_based on steps'!AM$1:AM$400,0)),AM$2,)</f>
        <v>0</v>
      </c>
      <c r="AN358" s="155">
        <f ca="1">IF(ISNUMBER(MATCH(DATEVALUE($A358),'recurring1_based on steps'!AN$1:AN$400,0)),AN$2,)</f>
        <v>0</v>
      </c>
      <c r="AO358" s="155">
        <f ca="1">IF(ISNUMBER(MATCH(DATEVALUE($A358),'recurring1_based on steps'!AO$1:AO$400,0)),AO$2,)</f>
        <v>0</v>
      </c>
      <c r="AP358" s="155">
        <f ca="1">IF(ISNUMBER(MATCH(DATEVALUE($A358),'recurring1_based on steps'!AP$1:AP$400,0)),AP$2,)</f>
        <v>0</v>
      </c>
      <c r="AQ358" s="155">
        <f ca="1">IF(ISNUMBER(MATCH(DATEVALUE($A358),'recurring1_based on steps'!AQ$1:AQ$400,0)),AQ$2,)</f>
        <v>0</v>
      </c>
      <c r="AR358" s="155">
        <f ca="1">IF(ISNUMBER(MATCH(DATEVALUE($A358),'recurring1_based on steps'!AR$1:AR$400,0)),AR$2,)</f>
        <v>0</v>
      </c>
      <c r="AS358" s="155">
        <f ca="1">IF(ISNUMBER(MATCH(DATEVALUE($A358),'recurring1_based on steps'!AS$1:AS$400,0)),AS$2,)</f>
        <v>0</v>
      </c>
      <c r="AT358" s="155">
        <f ca="1">IF(ISNUMBER(MATCH(DATEVALUE($A358),'recurring1_based on steps'!AT$1:AT$400,0)),AT$2,)</f>
        <v>0</v>
      </c>
      <c r="AU358" s="155">
        <f ca="1">IF(ISNUMBER(MATCH(DATEVALUE($A358),'recurring1_based on steps'!AU$1:AU$400,0)),AU$2,)</f>
        <v>0</v>
      </c>
      <c r="AV358" s="155">
        <f ca="1">IF(ISNUMBER(MATCH(DATEVALUE($A358),'recurring1_based on steps'!AV$1:AV$400,0)),AV$2,)</f>
        <v>0</v>
      </c>
      <c r="AW358" s="155">
        <f ca="1">IF(ISNUMBER(MATCH(DATEVALUE($A358),'recurring1_based on steps'!AW$1:AW$400,0)),AW$2,)</f>
        <v>0</v>
      </c>
      <c r="AX358" s="155">
        <f ca="1">IF(ISNUMBER(MATCH(DATEVALUE($A358),'recurring1_based on steps'!AX$1:AX$400,0)),AX$2,)</f>
        <v>0</v>
      </c>
      <c r="AY358" s="155">
        <f ca="1">IF(ISNUMBER(MATCH(DATEVALUE($A358),'recurring1_based on steps'!AY$1:AY$400,0)),AY$2,)</f>
        <v>0</v>
      </c>
    </row>
    <row r="359" spans="1:51" x14ac:dyDescent="0.2">
      <c r="A359" s="18" t="str">
        <f t="shared" ca="1" si="5"/>
        <v>2026-01-23</v>
      </c>
      <c r="B359" s="155">
        <f ca="1">IF(ISNUMBER(MATCH(DATEVALUE($A359),'recurring1_based on steps'!B$1:B$400,0)),B$2,)</f>
        <v>4000</v>
      </c>
      <c r="C359" s="155">
        <f ca="1">IF(ISNUMBER(MATCH(DATEVALUE($A359),'recurring1_based on steps'!C$1:C$400,0)),C$2,)</f>
        <v>200</v>
      </c>
      <c r="D359" s="155">
        <f ca="1">IF(ISNUMBER(MATCH(DATEVALUE($A359),'recurring1_based on steps'!D$1:D$400,0)),D$2,)</f>
        <v>2</v>
      </c>
      <c r="E359" s="155">
        <f ca="1">IF(ISNUMBER(MATCH(DATEVALUE($A359),'recurring1_based on steps'!E$1:E$400,0)),E$2,)</f>
        <v>40</v>
      </c>
      <c r="F359" s="155">
        <f ca="1">IF(ISNUMBER(MATCH(DATEVALUE($A359),'recurring1_based on steps'!F$1:F$400,0)),F$2,)</f>
        <v>50</v>
      </c>
      <c r="G359" s="155">
        <f ca="1">IF(ISNUMBER(MATCH(DATEVALUE($A359),'recurring1_based on steps'!G$1:G$400,0)),G$2,)</f>
        <v>4</v>
      </c>
      <c r="H359" s="155">
        <f ca="1">IF(ISNUMBER(MATCH(DATEVALUE($A359),'recurring1_based on steps'!H$1:H$400,0)),H$2,)</f>
        <v>0</v>
      </c>
      <c r="I359" s="155">
        <f ca="1">IF(ISNUMBER(MATCH(DATEVALUE($A359),'recurring1_based on steps'!I$1:I$400,0)),I$2,)</f>
        <v>0</v>
      </c>
      <c r="J359" s="155">
        <f ca="1">IF(ISNUMBER(MATCH(DATEVALUE($A359),'recurring1_based on steps'!J$1:J$400,0)),J$2,)</f>
        <v>0</v>
      </c>
      <c r="K359" s="155">
        <f ca="1">IF(ISNUMBER(MATCH(DATEVALUE($A359),'recurring1_based on steps'!K$1:K$400,0)),K$2,)</f>
        <v>0</v>
      </c>
      <c r="L359" s="155">
        <f ca="1">IF(ISNUMBER(MATCH(DATEVALUE($A359),'recurring1_based on steps'!L$1:L$400,0)),L$2,)</f>
        <v>0</v>
      </c>
      <c r="M359" s="155">
        <f ca="1">IF(ISNUMBER(MATCH(DATEVALUE($A359),'recurring1_based on steps'!M$1:M$400,0)),M$2,)</f>
        <v>0</v>
      </c>
      <c r="N359" s="155">
        <f ca="1">IF(ISNUMBER(MATCH(DATEVALUE($A359),'recurring1_based on steps'!N$1:N$400,0)),N$2,)</f>
        <v>0</v>
      </c>
      <c r="O359" s="155">
        <f ca="1">IF(ISNUMBER(MATCH(DATEVALUE($A359),'recurring1_based on steps'!O$1:O$400,0)),O$2,)</f>
        <v>0</v>
      </c>
      <c r="P359" s="155">
        <f ca="1">IF(ISNUMBER(MATCH(DATEVALUE($A359),'recurring1_based on steps'!P$1:P$400,0)),P$2,)</f>
        <v>0</v>
      </c>
      <c r="Q359" s="155">
        <f ca="1">IF(ISNUMBER(MATCH(DATEVALUE($A359),'recurring1_based on steps'!Q$1:Q$400,0)),Q$2,)</f>
        <v>0</v>
      </c>
      <c r="R359" s="155">
        <f ca="1">IF(ISNUMBER(MATCH(DATEVALUE($A359),'recurring1_based on steps'!R$1:R$400,0)),R$2,)</f>
        <v>0</v>
      </c>
      <c r="S359" s="155">
        <f ca="1">IF(ISNUMBER(MATCH(DATEVALUE($A359),'recurring1_based on steps'!S$1:S$400,0)),S$2,)</f>
        <v>0</v>
      </c>
      <c r="T359" s="155">
        <f ca="1">IF(ISNUMBER(MATCH(DATEVALUE($A359),'recurring1_based on steps'!T$1:T$400,0)),T$2,)</f>
        <v>0</v>
      </c>
      <c r="U359" s="155">
        <f ca="1">IF(ISNUMBER(MATCH(DATEVALUE($A359),'recurring1_based on steps'!U$1:U$400,0)),U$2,)</f>
        <v>0</v>
      </c>
      <c r="V359" s="155">
        <f ca="1">IF(ISNUMBER(MATCH(DATEVALUE($A359),'recurring1_based on steps'!V$1:V$400,0)),V$2,)</f>
        <v>0</v>
      </c>
      <c r="W359" s="155">
        <f ca="1">IF(ISNUMBER(MATCH(DATEVALUE($A359),'recurring1_based on steps'!W$1:W$400,0)),W$2,)</f>
        <v>0</v>
      </c>
      <c r="X359" s="155">
        <f ca="1">IF(ISNUMBER(MATCH(DATEVALUE($A359),'recurring1_based on steps'!X$1:X$400,0)),X$2,)</f>
        <v>50</v>
      </c>
      <c r="Y359" s="155">
        <f ca="1">IF(ISNUMBER(MATCH(DATEVALUE($A359),'recurring1_based on steps'!Y$1:Y$400,0)),Y$2,)</f>
        <v>0</v>
      </c>
      <c r="Z359" s="155">
        <f ca="1">IF(ISNUMBER(MATCH(DATEVALUE($A359),'recurring1_based on steps'!Z$1:Z$400,0)),Z$2,)</f>
        <v>0</v>
      </c>
      <c r="AA359" s="155">
        <f ca="1">IF(ISNUMBER(MATCH(DATEVALUE($A359),'recurring1_based on steps'!AA$1:AA$400,0)),AA$2,)</f>
        <v>0</v>
      </c>
      <c r="AB359" s="155">
        <f ca="1">IF(ISNUMBER(MATCH(DATEVALUE($A359),'recurring1_based on steps'!AB$1:AB$400,0)),AB$2,)</f>
        <v>0</v>
      </c>
      <c r="AC359" s="155">
        <f ca="1">IF(ISNUMBER(MATCH(DATEVALUE($A359),'recurring1_based on steps'!AC$1:AC$400,0)),AC$2,)</f>
        <v>0</v>
      </c>
      <c r="AD359" s="155">
        <f ca="1">IF(ISNUMBER(MATCH(DATEVALUE($A359),'recurring1_based on steps'!AD$1:AD$400,0)),AD$2,)</f>
        <v>0</v>
      </c>
      <c r="AE359" s="155">
        <f ca="1">IF(ISNUMBER(MATCH(DATEVALUE($A359),'recurring1_based on steps'!AE$1:AE$400,0)),AE$2,)</f>
        <v>0</v>
      </c>
      <c r="AF359" s="155">
        <f ca="1">IF(ISNUMBER(MATCH(DATEVALUE($A359),'recurring1_based on steps'!AF$1:AF$400,0)),AF$2,)</f>
        <v>0</v>
      </c>
      <c r="AG359" s="155">
        <f ca="1">IF(ISNUMBER(MATCH(DATEVALUE($A359),'recurring1_based on steps'!AG$1:AG$400,0)),AG$2,)</f>
        <v>0</v>
      </c>
      <c r="AH359" s="155">
        <f ca="1">IF(ISNUMBER(MATCH(DATEVALUE($A359),'recurring1_based on steps'!AH$1:AH$400,0)),AH$2,)</f>
        <v>0</v>
      </c>
      <c r="AI359" s="155">
        <f ca="1">IF(ISNUMBER(MATCH(DATEVALUE($A359),'recurring1_based on steps'!AI$1:AI$400,0)),AI$2,)</f>
        <v>0</v>
      </c>
      <c r="AJ359" s="155">
        <f ca="1">IF(ISNUMBER(MATCH(DATEVALUE($A359),'recurring1_based on steps'!AJ$1:AJ$400,0)),AJ$2,)</f>
        <v>0</v>
      </c>
      <c r="AK359" s="155">
        <f ca="1">IF(ISNUMBER(MATCH(DATEVALUE($A359),'recurring1_based on steps'!AK$1:AK$400,0)),AK$2,)</f>
        <v>0</v>
      </c>
      <c r="AL359" s="155">
        <f ca="1">IF(ISNUMBER(MATCH(DATEVALUE($A359),'recurring1_based on steps'!AL$1:AL$400,0)),AL$2,)</f>
        <v>0</v>
      </c>
      <c r="AM359" s="155">
        <f ca="1">IF(ISNUMBER(MATCH(DATEVALUE($A359),'recurring1_based on steps'!AM$1:AM$400,0)),AM$2,)</f>
        <v>0</v>
      </c>
      <c r="AN359" s="155">
        <f ca="1">IF(ISNUMBER(MATCH(DATEVALUE($A359),'recurring1_based on steps'!AN$1:AN$400,0)),AN$2,)</f>
        <v>0</v>
      </c>
      <c r="AO359" s="155">
        <f ca="1">IF(ISNUMBER(MATCH(DATEVALUE($A359),'recurring1_based on steps'!AO$1:AO$400,0)),AO$2,)</f>
        <v>0</v>
      </c>
      <c r="AP359" s="155">
        <f ca="1">IF(ISNUMBER(MATCH(DATEVALUE($A359),'recurring1_based on steps'!AP$1:AP$400,0)),AP$2,)</f>
        <v>0</v>
      </c>
      <c r="AQ359" s="155">
        <f ca="1">IF(ISNUMBER(MATCH(DATEVALUE($A359),'recurring1_based on steps'!AQ$1:AQ$400,0)),AQ$2,)</f>
        <v>0</v>
      </c>
      <c r="AR359" s="155">
        <f ca="1">IF(ISNUMBER(MATCH(DATEVALUE($A359),'recurring1_based on steps'!AR$1:AR$400,0)),AR$2,)</f>
        <v>0</v>
      </c>
      <c r="AS359" s="155">
        <f ca="1">IF(ISNUMBER(MATCH(DATEVALUE($A359),'recurring1_based on steps'!AS$1:AS$400,0)),AS$2,)</f>
        <v>0</v>
      </c>
      <c r="AT359" s="155">
        <f ca="1">IF(ISNUMBER(MATCH(DATEVALUE($A359),'recurring1_based on steps'!AT$1:AT$400,0)),AT$2,)</f>
        <v>0</v>
      </c>
      <c r="AU359" s="155">
        <f ca="1">IF(ISNUMBER(MATCH(DATEVALUE($A359),'recurring1_based on steps'!AU$1:AU$400,0)),AU$2,)</f>
        <v>0</v>
      </c>
      <c r="AV359" s="155">
        <f ca="1">IF(ISNUMBER(MATCH(DATEVALUE($A359),'recurring1_based on steps'!AV$1:AV$400,0)),AV$2,)</f>
        <v>0</v>
      </c>
      <c r="AW359" s="155">
        <f ca="1">IF(ISNUMBER(MATCH(DATEVALUE($A359),'recurring1_based on steps'!AW$1:AW$400,0)),AW$2,)</f>
        <v>0</v>
      </c>
      <c r="AX359" s="155">
        <f ca="1">IF(ISNUMBER(MATCH(DATEVALUE($A359),'recurring1_based on steps'!AX$1:AX$400,0)),AX$2,)</f>
        <v>0</v>
      </c>
      <c r="AY359" s="155">
        <f ca="1">IF(ISNUMBER(MATCH(DATEVALUE($A359),'recurring1_based on steps'!AY$1:AY$400,0)),AY$2,)</f>
        <v>0</v>
      </c>
    </row>
    <row r="360" spans="1:51" x14ac:dyDescent="0.2">
      <c r="A360" s="18" t="str">
        <f t="shared" ca="1" si="5"/>
        <v>2026-01-24</v>
      </c>
      <c r="B360" s="155">
        <f ca="1">IF(ISNUMBER(MATCH(DATEVALUE($A360),'recurring1_based on steps'!B$1:B$400,0)),B$2,)</f>
        <v>0</v>
      </c>
      <c r="C360" s="155">
        <f ca="1">IF(ISNUMBER(MATCH(DATEVALUE($A360),'recurring1_based on steps'!C$1:C$400,0)),C$2,)</f>
        <v>0</v>
      </c>
      <c r="D360" s="155">
        <f ca="1">IF(ISNUMBER(MATCH(DATEVALUE($A360),'recurring1_based on steps'!D$1:D$400,0)),D$2,)</f>
        <v>0</v>
      </c>
      <c r="E360" s="155">
        <f ca="1">IF(ISNUMBER(MATCH(DATEVALUE($A360),'recurring1_based on steps'!E$1:E$400,0)),E$2,)</f>
        <v>0</v>
      </c>
      <c r="F360" s="155">
        <f ca="1">IF(ISNUMBER(MATCH(DATEVALUE($A360),'recurring1_based on steps'!F$1:F$400,0)),F$2,)</f>
        <v>0</v>
      </c>
      <c r="G360" s="155">
        <f ca="1">IF(ISNUMBER(MATCH(DATEVALUE($A360),'recurring1_based on steps'!G$1:G$400,0)),G$2,)</f>
        <v>0</v>
      </c>
      <c r="H360" s="155">
        <f ca="1">IF(ISNUMBER(MATCH(DATEVALUE($A360),'recurring1_based on steps'!H$1:H$400,0)),H$2,)</f>
        <v>0</v>
      </c>
      <c r="I360" s="155">
        <f ca="1">IF(ISNUMBER(MATCH(DATEVALUE($A360),'recurring1_based on steps'!I$1:I$400,0)),I$2,)</f>
        <v>0</v>
      </c>
      <c r="J360" s="155">
        <f ca="1">IF(ISNUMBER(MATCH(DATEVALUE($A360),'recurring1_based on steps'!J$1:J$400,0)),J$2,)</f>
        <v>0</v>
      </c>
      <c r="K360" s="155">
        <f ca="1">IF(ISNUMBER(MATCH(DATEVALUE($A360),'recurring1_based on steps'!K$1:K$400,0)),K$2,)</f>
        <v>0</v>
      </c>
      <c r="L360" s="155">
        <f ca="1">IF(ISNUMBER(MATCH(DATEVALUE($A360),'recurring1_based on steps'!L$1:L$400,0)),L$2,)</f>
        <v>0</v>
      </c>
      <c r="M360" s="155">
        <f ca="1">IF(ISNUMBER(MATCH(DATEVALUE($A360),'recurring1_based on steps'!M$1:M$400,0)),M$2,)</f>
        <v>0</v>
      </c>
      <c r="N360" s="155">
        <f ca="1">IF(ISNUMBER(MATCH(DATEVALUE($A360),'recurring1_based on steps'!N$1:N$400,0)),N$2,)</f>
        <v>0</v>
      </c>
      <c r="O360" s="155">
        <f ca="1">IF(ISNUMBER(MATCH(DATEVALUE($A360),'recurring1_based on steps'!O$1:O$400,0)),O$2,)</f>
        <v>0</v>
      </c>
      <c r="P360" s="155">
        <f ca="1">IF(ISNUMBER(MATCH(DATEVALUE($A360),'recurring1_based on steps'!P$1:P$400,0)),P$2,)</f>
        <v>0</v>
      </c>
      <c r="Q360" s="155">
        <f ca="1">IF(ISNUMBER(MATCH(DATEVALUE($A360),'recurring1_based on steps'!Q$1:Q$400,0)),Q$2,)</f>
        <v>100</v>
      </c>
      <c r="R360" s="155">
        <f ca="1">IF(ISNUMBER(MATCH(DATEVALUE($A360),'recurring1_based on steps'!R$1:R$400,0)),R$2,)</f>
        <v>100</v>
      </c>
      <c r="S360" s="155">
        <f ca="1">IF(ISNUMBER(MATCH(DATEVALUE($A360),'recurring1_based on steps'!S$1:S$400,0)),S$2,)</f>
        <v>0</v>
      </c>
      <c r="T360" s="155">
        <f ca="1">IF(ISNUMBER(MATCH(DATEVALUE($A360),'recurring1_based on steps'!T$1:T$400,0)),T$2,)</f>
        <v>0</v>
      </c>
      <c r="U360" s="155">
        <f ca="1">IF(ISNUMBER(MATCH(DATEVALUE($A360),'recurring1_based on steps'!U$1:U$400,0)),U$2,)</f>
        <v>0</v>
      </c>
      <c r="V360" s="155">
        <f ca="1">IF(ISNUMBER(MATCH(DATEVALUE($A360),'recurring1_based on steps'!V$1:V$400,0)),V$2,)</f>
        <v>0</v>
      </c>
      <c r="W360" s="155">
        <f ca="1">IF(ISNUMBER(MATCH(DATEVALUE($A360),'recurring1_based on steps'!W$1:W$400,0)),W$2,)</f>
        <v>0</v>
      </c>
      <c r="X360" s="155">
        <f ca="1">IF(ISNUMBER(MATCH(DATEVALUE($A360),'recurring1_based on steps'!X$1:X$400,0)),X$2,)</f>
        <v>0</v>
      </c>
      <c r="Y360" s="155">
        <f ca="1">IF(ISNUMBER(MATCH(DATEVALUE($A360),'recurring1_based on steps'!Y$1:Y$400,0)),Y$2,)</f>
        <v>0</v>
      </c>
      <c r="Z360" s="155">
        <f ca="1">IF(ISNUMBER(MATCH(DATEVALUE($A360),'recurring1_based on steps'!Z$1:Z$400,0)),Z$2,)</f>
        <v>0</v>
      </c>
      <c r="AA360" s="155">
        <f ca="1">IF(ISNUMBER(MATCH(DATEVALUE($A360),'recurring1_based on steps'!AA$1:AA$400,0)),AA$2,)</f>
        <v>0</v>
      </c>
      <c r="AB360" s="155">
        <f ca="1">IF(ISNUMBER(MATCH(DATEVALUE($A360),'recurring1_based on steps'!AB$1:AB$400,0)),AB$2,)</f>
        <v>0</v>
      </c>
      <c r="AC360" s="155">
        <f ca="1">IF(ISNUMBER(MATCH(DATEVALUE($A360),'recurring1_based on steps'!AC$1:AC$400,0)),AC$2,)</f>
        <v>0</v>
      </c>
      <c r="AD360" s="155">
        <f ca="1">IF(ISNUMBER(MATCH(DATEVALUE($A360),'recurring1_based on steps'!AD$1:AD$400,0)),AD$2,)</f>
        <v>0</v>
      </c>
      <c r="AE360" s="155">
        <f ca="1">IF(ISNUMBER(MATCH(DATEVALUE($A360),'recurring1_based on steps'!AE$1:AE$400,0)),AE$2,)</f>
        <v>0</v>
      </c>
      <c r="AF360" s="155">
        <f ca="1">IF(ISNUMBER(MATCH(DATEVALUE($A360),'recurring1_based on steps'!AF$1:AF$400,0)),AF$2,)</f>
        <v>0</v>
      </c>
      <c r="AG360" s="155">
        <f ca="1">IF(ISNUMBER(MATCH(DATEVALUE($A360),'recurring1_based on steps'!AG$1:AG$400,0)),AG$2,)</f>
        <v>0</v>
      </c>
      <c r="AH360" s="155">
        <f ca="1">IF(ISNUMBER(MATCH(DATEVALUE($A360),'recurring1_based on steps'!AH$1:AH$400,0)),AH$2,)</f>
        <v>0</v>
      </c>
      <c r="AI360" s="155">
        <f ca="1">IF(ISNUMBER(MATCH(DATEVALUE($A360),'recurring1_based on steps'!AI$1:AI$400,0)),AI$2,)</f>
        <v>0</v>
      </c>
      <c r="AJ360" s="155">
        <f ca="1">IF(ISNUMBER(MATCH(DATEVALUE($A360),'recurring1_based on steps'!AJ$1:AJ$400,0)),AJ$2,)</f>
        <v>0</v>
      </c>
      <c r="AK360" s="155">
        <f ca="1">IF(ISNUMBER(MATCH(DATEVALUE($A360),'recurring1_based on steps'!AK$1:AK$400,0)),AK$2,)</f>
        <v>0</v>
      </c>
      <c r="AL360" s="155">
        <f ca="1">IF(ISNUMBER(MATCH(DATEVALUE($A360),'recurring1_based on steps'!AL$1:AL$400,0)),AL$2,)</f>
        <v>0</v>
      </c>
      <c r="AM360" s="155">
        <f ca="1">IF(ISNUMBER(MATCH(DATEVALUE($A360),'recurring1_based on steps'!AM$1:AM$400,0)),AM$2,)</f>
        <v>0</v>
      </c>
      <c r="AN360" s="155">
        <f ca="1">IF(ISNUMBER(MATCH(DATEVALUE($A360),'recurring1_based on steps'!AN$1:AN$400,0)),AN$2,)</f>
        <v>0</v>
      </c>
      <c r="AO360" s="155">
        <f ca="1">IF(ISNUMBER(MATCH(DATEVALUE($A360),'recurring1_based on steps'!AO$1:AO$400,0)),AO$2,)</f>
        <v>0</v>
      </c>
      <c r="AP360" s="155">
        <f ca="1">IF(ISNUMBER(MATCH(DATEVALUE($A360),'recurring1_based on steps'!AP$1:AP$400,0)),AP$2,)</f>
        <v>0</v>
      </c>
      <c r="AQ360" s="155">
        <f ca="1">IF(ISNUMBER(MATCH(DATEVALUE($A360),'recurring1_based on steps'!AQ$1:AQ$400,0)),AQ$2,)</f>
        <v>0</v>
      </c>
      <c r="AR360" s="155">
        <f ca="1">IF(ISNUMBER(MATCH(DATEVALUE($A360),'recurring1_based on steps'!AR$1:AR$400,0)),AR$2,)</f>
        <v>0</v>
      </c>
      <c r="AS360" s="155">
        <f ca="1">IF(ISNUMBER(MATCH(DATEVALUE($A360),'recurring1_based on steps'!AS$1:AS$400,0)),AS$2,)</f>
        <v>0</v>
      </c>
      <c r="AT360" s="155">
        <f ca="1">IF(ISNUMBER(MATCH(DATEVALUE($A360),'recurring1_based on steps'!AT$1:AT$400,0)),AT$2,)</f>
        <v>0</v>
      </c>
      <c r="AU360" s="155">
        <f ca="1">IF(ISNUMBER(MATCH(DATEVALUE($A360),'recurring1_based on steps'!AU$1:AU$400,0)),AU$2,)</f>
        <v>0</v>
      </c>
      <c r="AV360" s="155">
        <f ca="1">IF(ISNUMBER(MATCH(DATEVALUE($A360),'recurring1_based on steps'!AV$1:AV$400,0)),AV$2,)</f>
        <v>0</v>
      </c>
      <c r="AW360" s="155">
        <f ca="1">IF(ISNUMBER(MATCH(DATEVALUE($A360),'recurring1_based on steps'!AW$1:AW$400,0)),AW$2,)</f>
        <v>0</v>
      </c>
      <c r="AX360" s="155">
        <f ca="1">IF(ISNUMBER(MATCH(DATEVALUE($A360),'recurring1_based on steps'!AX$1:AX$400,0)),AX$2,)</f>
        <v>0</v>
      </c>
      <c r="AY360" s="155">
        <f ca="1">IF(ISNUMBER(MATCH(DATEVALUE($A360),'recurring1_based on steps'!AY$1:AY$400,0)),AY$2,)</f>
        <v>0</v>
      </c>
    </row>
    <row r="361" spans="1:51" x14ac:dyDescent="0.2">
      <c r="A361" s="18" t="str">
        <f t="shared" ca="1" si="5"/>
        <v>2026-01-25</v>
      </c>
      <c r="B361" s="155">
        <f ca="1">IF(ISNUMBER(MATCH(DATEVALUE($A361),'recurring1_based on steps'!B$1:B$400,0)),B$2,)</f>
        <v>0</v>
      </c>
      <c r="C361" s="155">
        <f ca="1">IF(ISNUMBER(MATCH(DATEVALUE($A361),'recurring1_based on steps'!C$1:C$400,0)),C$2,)</f>
        <v>0</v>
      </c>
      <c r="D361" s="155">
        <f ca="1">IF(ISNUMBER(MATCH(DATEVALUE($A361),'recurring1_based on steps'!D$1:D$400,0)),D$2,)</f>
        <v>0</v>
      </c>
      <c r="E361" s="155">
        <f ca="1">IF(ISNUMBER(MATCH(DATEVALUE($A361),'recurring1_based on steps'!E$1:E$400,0)),E$2,)</f>
        <v>0</v>
      </c>
      <c r="F361" s="155">
        <f ca="1">IF(ISNUMBER(MATCH(DATEVALUE($A361),'recurring1_based on steps'!F$1:F$400,0)),F$2,)</f>
        <v>0</v>
      </c>
      <c r="G361" s="155">
        <f ca="1">IF(ISNUMBER(MATCH(DATEVALUE($A361),'recurring1_based on steps'!G$1:G$400,0)),G$2,)</f>
        <v>0</v>
      </c>
      <c r="H361" s="155">
        <f ca="1">IF(ISNUMBER(MATCH(DATEVALUE($A361),'recurring1_based on steps'!H$1:H$400,0)),H$2,)</f>
        <v>0</v>
      </c>
      <c r="I361" s="155">
        <f ca="1">IF(ISNUMBER(MATCH(DATEVALUE($A361),'recurring1_based on steps'!I$1:I$400,0)),I$2,)</f>
        <v>0</v>
      </c>
      <c r="J361" s="155">
        <f ca="1">IF(ISNUMBER(MATCH(DATEVALUE($A361),'recurring1_based on steps'!J$1:J$400,0)),J$2,)</f>
        <v>0</v>
      </c>
      <c r="K361" s="155">
        <f ca="1">IF(ISNUMBER(MATCH(DATEVALUE($A361),'recurring1_based on steps'!K$1:K$400,0)),K$2,)</f>
        <v>50</v>
      </c>
      <c r="L361" s="155">
        <f ca="1">IF(ISNUMBER(MATCH(DATEVALUE($A361),'recurring1_based on steps'!L$1:L$400,0)),L$2,)</f>
        <v>0</v>
      </c>
      <c r="M361" s="155">
        <f ca="1">IF(ISNUMBER(MATCH(DATEVALUE($A361),'recurring1_based on steps'!M$1:M$400,0)),M$2,)</f>
        <v>0</v>
      </c>
      <c r="N361" s="155">
        <f ca="1">IF(ISNUMBER(MATCH(DATEVALUE($A361),'recurring1_based on steps'!N$1:N$400,0)),N$2,)</f>
        <v>0</v>
      </c>
      <c r="O361" s="155">
        <f ca="1">IF(ISNUMBER(MATCH(DATEVALUE($A361),'recurring1_based on steps'!O$1:O$400,0)),O$2,)</f>
        <v>0</v>
      </c>
      <c r="P361" s="155">
        <f ca="1">IF(ISNUMBER(MATCH(DATEVALUE($A361),'recurring1_based on steps'!P$1:P$400,0)),P$2,)</f>
        <v>0</v>
      </c>
      <c r="Q361" s="155">
        <f ca="1">IF(ISNUMBER(MATCH(DATEVALUE($A361),'recurring1_based on steps'!Q$1:Q$400,0)),Q$2,)</f>
        <v>0</v>
      </c>
      <c r="R361" s="155">
        <f ca="1">IF(ISNUMBER(MATCH(DATEVALUE($A361),'recurring1_based on steps'!R$1:R$400,0)),R$2,)</f>
        <v>0</v>
      </c>
      <c r="S361" s="155">
        <f ca="1">IF(ISNUMBER(MATCH(DATEVALUE($A361),'recurring1_based on steps'!S$1:S$400,0)),S$2,)</f>
        <v>100</v>
      </c>
      <c r="T361" s="155">
        <f ca="1">IF(ISNUMBER(MATCH(DATEVALUE($A361),'recurring1_based on steps'!T$1:T$400,0)),T$2,)</f>
        <v>0</v>
      </c>
      <c r="U361" s="155">
        <f ca="1">IF(ISNUMBER(MATCH(DATEVALUE($A361),'recurring1_based on steps'!U$1:U$400,0)),U$2,)</f>
        <v>0</v>
      </c>
      <c r="V361" s="155">
        <f ca="1">IF(ISNUMBER(MATCH(DATEVALUE($A361),'recurring1_based on steps'!V$1:V$400,0)),V$2,)</f>
        <v>0</v>
      </c>
      <c r="W361" s="155">
        <f ca="1">IF(ISNUMBER(MATCH(DATEVALUE($A361),'recurring1_based on steps'!W$1:W$400,0)),W$2,)</f>
        <v>0</v>
      </c>
      <c r="X361" s="155">
        <f ca="1">IF(ISNUMBER(MATCH(DATEVALUE($A361),'recurring1_based on steps'!X$1:X$400,0)),X$2,)</f>
        <v>0</v>
      </c>
      <c r="Y361" s="155">
        <f ca="1">IF(ISNUMBER(MATCH(DATEVALUE($A361),'recurring1_based on steps'!Y$1:Y$400,0)),Y$2,)</f>
        <v>0</v>
      </c>
      <c r="Z361" s="155">
        <f ca="1">IF(ISNUMBER(MATCH(DATEVALUE($A361),'recurring1_based on steps'!Z$1:Z$400,0)),Z$2,)</f>
        <v>0</v>
      </c>
      <c r="AA361" s="155">
        <f ca="1">IF(ISNUMBER(MATCH(DATEVALUE($A361),'recurring1_based on steps'!AA$1:AA$400,0)),AA$2,)</f>
        <v>0</v>
      </c>
      <c r="AB361" s="155">
        <f ca="1">IF(ISNUMBER(MATCH(DATEVALUE($A361),'recurring1_based on steps'!AB$1:AB$400,0)),AB$2,)</f>
        <v>0</v>
      </c>
      <c r="AC361" s="155">
        <f ca="1">IF(ISNUMBER(MATCH(DATEVALUE($A361),'recurring1_based on steps'!AC$1:AC$400,0)),AC$2,)</f>
        <v>0</v>
      </c>
      <c r="AD361" s="155">
        <f ca="1">IF(ISNUMBER(MATCH(DATEVALUE($A361),'recurring1_based on steps'!AD$1:AD$400,0)),AD$2,)</f>
        <v>0</v>
      </c>
      <c r="AE361" s="155">
        <f ca="1">IF(ISNUMBER(MATCH(DATEVALUE($A361),'recurring1_based on steps'!AE$1:AE$400,0)),AE$2,)</f>
        <v>0</v>
      </c>
      <c r="AF361" s="155">
        <f ca="1">IF(ISNUMBER(MATCH(DATEVALUE($A361),'recurring1_based on steps'!AF$1:AF$400,0)),AF$2,)</f>
        <v>0</v>
      </c>
      <c r="AG361" s="155">
        <f ca="1">IF(ISNUMBER(MATCH(DATEVALUE($A361),'recurring1_based on steps'!AG$1:AG$400,0)),AG$2,)</f>
        <v>0</v>
      </c>
      <c r="AH361" s="155">
        <f ca="1">IF(ISNUMBER(MATCH(DATEVALUE($A361),'recurring1_based on steps'!AH$1:AH$400,0)),AH$2,)</f>
        <v>0</v>
      </c>
      <c r="AI361" s="155">
        <f ca="1">IF(ISNUMBER(MATCH(DATEVALUE($A361),'recurring1_based on steps'!AI$1:AI$400,0)),AI$2,)</f>
        <v>0</v>
      </c>
      <c r="AJ361" s="155">
        <f ca="1">IF(ISNUMBER(MATCH(DATEVALUE($A361),'recurring1_based on steps'!AJ$1:AJ$400,0)),AJ$2,)</f>
        <v>0</v>
      </c>
      <c r="AK361" s="155">
        <f ca="1">IF(ISNUMBER(MATCH(DATEVALUE($A361),'recurring1_based on steps'!AK$1:AK$400,0)),AK$2,)</f>
        <v>0</v>
      </c>
      <c r="AL361" s="155">
        <f ca="1">IF(ISNUMBER(MATCH(DATEVALUE($A361),'recurring1_based on steps'!AL$1:AL$400,0)),AL$2,)</f>
        <v>0</v>
      </c>
      <c r="AM361" s="155">
        <f ca="1">IF(ISNUMBER(MATCH(DATEVALUE($A361),'recurring1_based on steps'!AM$1:AM$400,0)),AM$2,)</f>
        <v>0</v>
      </c>
      <c r="AN361" s="155">
        <f ca="1">IF(ISNUMBER(MATCH(DATEVALUE($A361),'recurring1_based on steps'!AN$1:AN$400,0)),AN$2,)</f>
        <v>0</v>
      </c>
      <c r="AO361" s="155">
        <f ca="1">IF(ISNUMBER(MATCH(DATEVALUE($A361),'recurring1_based on steps'!AO$1:AO$400,0)),AO$2,)</f>
        <v>0</v>
      </c>
      <c r="AP361" s="155">
        <f ca="1">IF(ISNUMBER(MATCH(DATEVALUE($A361),'recurring1_based on steps'!AP$1:AP$400,0)),AP$2,)</f>
        <v>0</v>
      </c>
      <c r="AQ361" s="155">
        <f ca="1">IF(ISNUMBER(MATCH(DATEVALUE($A361),'recurring1_based on steps'!AQ$1:AQ$400,0)),AQ$2,)</f>
        <v>0</v>
      </c>
      <c r="AR361" s="155">
        <f ca="1">IF(ISNUMBER(MATCH(DATEVALUE($A361),'recurring1_based on steps'!AR$1:AR$400,0)),AR$2,)</f>
        <v>0</v>
      </c>
      <c r="AS361" s="155">
        <f ca="1">IF(ISNUMBER(MATCH(DATEVALUE($A361),'recurring1_based on steps'!AS$1:AS$400,0)),AS$2,)</f>
        <v>0</v>
      </c>
      <c r="AT361" s="155">
        <f ca="1">IF(ISNUMBER(MATCH(DATEVALUE($A361),'recurring1_based on steps'!AT$1:AT$400,0)),AT$2,)</f>
        <v>0</v>
      </c>
      <c r="AU361" s="155">
        <f ca="1">IF(ISNUMBER(MATCH(DATEVALUE($A361),'recurring1_based on steps'!AU$1:AU$400,0)),AU$2,)</f>
        <v>0</v>
      </c>
      <c r="AV361" s="155">
        <f ca="1">IF(ISNUMBER(MATCH(DATEVALUE($A361),'recurring1_based on steps'!AV$1:AV$400,0)),AV$2,)</f>
        <v>0</v>
      </c>
      <c r="AW361" s="155">
        <f ca="1">IF(ISNUMBER(MATCH(DATEVALUE($A361),'recurring1_based on steps'!AW$1:AW$400,0)),AW$2,)</f>
        <v>0</v>
      </c>
      <c r="AX361" s="155">
        <f ca="1">IF(ISNUMBER(MATCH(DATEVALUE($A361),'recurring1_based on steps'!AX$1:AX$400,0)),AX$2,)</f>
        <v>0</v>
      </c>
      <c r="AY361" s="155">
        <f ca="1">IF(ISNUMBER(MATCH(DATEVALUE($A361),'recurring1_based on steps'!AY$1:AY$400,0)),AY$2,)</f>
        <v>0</v>
      </c>
    </row>
    <row r="362" spans="1:51" x14ac:dyDescent="0.2">
      <c r="A362" s="18" t="str">
        <f t="shared" ca="1" si="5"/>
        <v>2026-01-26</v>
      </c>
      <c r="B362" s="155">
        <f ca="1">IF(ISNUMBER(MATCH(DATEVALUE($A362),'recurring1_based on steps'!B$1:B$400,0)),B$2,)</f>
        <v>0</v>
      </c>
      <c r="C362" s="155">
        <f ca="1">IF(ISNUMBER(MATCH(DATEVALUE($A362),'recurring1_based on steps'!C$1:C$400,0)),C$2,)</f>
        <v>0</v>
      </c>
      <c r="D362" s="155">
        <f ca="1">IF(ISNUMBER(MATCH(DATEVALUE($A362),'recurring1_based on steps'!D$1:D$400,0)),D$2,)</f>
        <v>0</v>
      </c>
      <c r="E362" s="155">
        <f ca="1">IF(ISNUMBER(MATCH(DATEVALUE($A362),'recurring1_based on steps'!E$1:E$400,0)),E$2,)</f>
        <v>0</v>
      </c>
      <c r="F362" s="155">
        <f ca="1">IF(ISNUMBER(MATCH(DATEVALUE($A362),'recurring1_based on steps'!F$1:F$400,0)),F$2,)</f>
        <v>0</v>
      </c>
      <c r="G362" s="155">
        <f ca="1">IF(ISNUMBER(MATCH(DATEVALUE($A362),'recurring1_based on steps'!G$1:G$400,0)),G$2,)</f>
        <v>0</v>
      </c>
      <c r="H362" s="155">
        <f ca="1">IF(ISNUMBER(MATCH(DATEVALUE($A362),'recurring1_based on steps'!H$1:H$400,0)),H$2,)</f>
        <v>0</v>
      </c>
      <c r="I362" s="155">
        <f ca="1">IF(ISNUMBER(MATCH(DATEVALUE($A362),'recurring1_based on steps'!I$1:I$400,0)),I$2,)</f>
        <v>0</v>
      </c>
      <c r="J362" s="155">
        <f ca="1">IF(ISNUMBER(MATCH(DATEVALUE($A362),'recurring1_based on steps'!J$1:J$400,0)),J$2,)</f>
        <v>0</v>
      </c>
      <c r="K362" s="155">
        <f ca="1">IF(ISNUMBER(MATCH(DATEVALUE($A362),'recurring1_based on steps'!K$1:K$400,0)),K$2,)</f>
        <v>0</v>
      </c>
      <c r="L362" s="155">
        <f ca="1">IF(ISNUMBER(MATCH(DATEVALUE($A362),'recurring1_based on steps'!L$1:L$400,0)),L$2,)</f>
        <v>0</v>
      </c>
      <c r="M362" s="155">
        <f ca="1">IF(ISNUMBER(MATCH(DATEVALUE($A362),'recurring1_based on steps'!M$1:M$400,0)),M$2,)</f>
        <v>0</v>
      </c>
      <c r="N362" s="155">
        <f ca="1">IF(ISNUMBER(MATCH(DATEVALUE($A362),'recurring1_based on steps'!N$1:N$400,0)),N$2,)</f>
        <v>0</v>
      </c>
      <c r="O362" s="155">
        <f ca="1">IF(ISNUMBER(MATCH(DATEVALUE($A362),'recurring1_based on steps'!O$1:O$400,0)),O$2,)</f>
        <v>0</v>
      </c>
      <c r="P362" s="155">
        <f ca="1">IF(ISNUMBER(MATCH(DATEVALUE($A362),'recurring1_based on steps'!P$1:P$400,0)),P$2,)</f>
        <v>0</v>
      </c>
      <c r="Q362" s="155">
        <f ca="1">IF(ISNUMBER(MATCH(DATEVALUE($A362),'recurring1_based on steps'!Q$1:Q$400,0)),Q$2,)</f>
        <v>0</v>
      </c>
      <c r="R362" s="155">
        <f ca="1">IF(ISNUMBER(MATCH(DATEVALUE($A362),'recurring1_based on steps'!R$1:R$400,0)),R$2,)</f>
        <v>0</v>
      </c>
      <c r="S362" s="155">
        <f ca="1">IF(ISNUMBER(MATCH(DATEVALUE($A362),'recurring1_based on steps'!S$1:S$400,0)),S$2,)</f>
        <v>0</v>
      </c>
      <c r="T362" s="155">
        <f ca="1">IF(ISNUMBER(MATCH(DATEVALUE($A362),'recurring1_based on steps'!T$1:T$400,0)),T$2,)</f>
        <v>50</v>
      </c>
      <c r="U362" s="155">
        <f ca="1">IF(ISNUMBER(MATCH(DATEVALUE($A362),'recurring1_based on steps'!U$1:U$400,0)),U$2,)</f>
        <v>0</v>
      </c>
      <c r="V362" s="155">
        <f ca="1">IF(ISNUMBER(MATCH(DATEVALUE($A362),'recurring1_based on steps'!V$1:V$400,0)),V$2,)</f>
        <v>0</v>
      </c>
      <c r="W362" s="155">
        <f ca="1">IF(ISNUMBER(MATCH(DATEVALUE($A362),'recurring1_based on steps'!W$1:W$400,0)),W$2,)</f>
        <v>0</v>
      </c>
      <c r="X362" s="155">
        <f ca="1">IF(ISNUMBER(MATCH(DATEVALUE($A362),'recurring1_based on steps'!X$1:X$400,0)),X$2,)</f>
        <v>0</v>
      </c>
      <c r="Y362" s="155">
        <f ca="1">IF(ISNUMBER(MATCH(DATEVALUE($A362),'recurring1_based on steps'!Y$1:Y$400,0)),Y$2,)</f>
        <v>0</v>
      </c>
      <c r="Z362" s="155">
        <f ca="1">IF(ISNUMBER(MATCH(DATEVALUE($A362),'recurring1_based on steps'!Z$1:Z$400,0)),Z$2,)</f>
        <v>0</v>
      </c>
      <c r="AA362" s="155">
        <f ca="1">IF(ISNUMBER(MATCH(DATEVALUE($A362),'recurring1_based on steps'!AA$1:AA$400,0)),AA$2,)</f>
        <v>0</v>
      </c>
      <c r="AB362" s="155">
        <f ca="1">IF(ISNUMBER(MATCH(DATEVALUE($A362),'recurring1_based on steps'!AB$1:AB$400,0)),AB$2,)</f>
        <v>0</v>
      </c>
      <c r="AC362" s="155">
        <f ca="1">IF(ISNUMBER(MATCH(DATEVALUE($A362),'recurring1_based on steps'!AC$1:AC$400,0)),AC$2,)</f>
        <v>0</v>
      </c>
      <c r="AD362" s="155">
        <f ca="1">IF(ISNUMBER(MATCH(DATEVALUE($A362),'recurring1_based on steps'!AD$1:AD$400,0)),AD$2,)</f>
        <v>0</v>
      </c>
      <c r="AE362" s="155">
        <f ca="1">IF(ISNUMBER(MATCH(DATEVALUE($A362),'recurring1_based on steps'!AE$1:AE$400,0)),AE$2,)</f>
        <v>0</v>
      </c>
      <c r="AF362" s="155">
        <f ca="1">IF(ISNUMBER(MATCH(DATEVALUE($A362),'recurring1_based on steps'!AF$1:AF$400,0)),AF$2,)</f>
        <v>0</v>
      </c>
      <c r="AG362" s="155">
        <f ca="1">IF(ISNUMBER(MATCH(DATEVALUE($A362),'recurring1_based on steps'!AG$1:AG$400,0)),AG$2,)</f>
        <v>0</v>
      </c>
      <c r="AH362" s="155">
        <f ca="1">IF(ISNUMBER(MATCH(DATEVALUE($A362),'recurring1_based on steps'!AH$1:AH$400,0)),AH$2,)</f>
        <v>0</v>
      </c>
      <c r="AI362" s="155">
        <f ca="1">IF(ISNUMBER(MATCH(DATEVALUE($A362),'recurring1_based on steps'!AI$1:AI$400,0)),AI$2,)</f>
        <v>0</v>
      </c>
      <c r="AJ362" s="155">
        <f ca="1">IF(ISNUMBER(MATCH(DATEVALUE($A362),'recurring1_based on steps'!AJ$1:AJ$400,0)),AJ$2,)</f>
        <v>0</v>
      </c>
      <c r="AK362" s="155">
        <f ca="1">IF(ISNUMBER(MATCH(DATEVALUE($A362),'recurring1_based on steps'!AK$1:AK$400,0)),AK$2,)</f>
        <v>0</v>
      </c>
      <c r="AL362" s="155">
        <f ca="1">IF(ISNUMBER(MATCH(DATEVALUE($A362),'recurring1_based on steps'!AL$1:AL$400,0)),AL$2,)</f>
        <v>0</v>
      </c>
      <c r="AM362" s="155">
        <f ca="1">IF(ISNUMBER(MATCH(DATEVALUE($A362),'recurring1_based on steps'!AM$1:AM$400,0)),AM$2,)</f>
        <v>0</v>
      </c>
      <c r="AN362" s="155">
        <f ca="1">IF(ISNUMBER(MATCH(DATEVALUE($A362),'recurring1_based on steps'!AN$1:AN$400,0)),AN$2,)</f>
        <v>0</v>
      </c>
      <c r="AO362" s="155">
        <f ca="1">IF(ISNUMBER(MATCH(DATEVALUE($A362),'recurring1_based on steps'!AO$1:AO$400,0)),AO$2,)</f>
        <v>0</v>
      </c>
      <c r="AP362" s="155">
        <f ca="1">IF(ISNUMBER(MATCH(DATEVALUE($A362),'recurring1_based on steps'!AP$1:AP$400,0)),AP$2,)</f>
        <v>0</v>
      </c>
      <c r="AQ362" s="155">
        <f ca="1">IF(ISNUMBER(MATCH(DATEVALUE($A362),'recurring1_based on steps'!AQ$1:AQ$400,0)),AQ$2,)</f>
        <v>0</v>
      </c>
      <c r="AR362" s="155">
        <f ca="1">IF(ISNUMBER(MATCH(DATEVALUE($A362),'recurring1_based on steps'!AR$1:AR$400,0)),AR$2,)</f>
        <v>0</v>
      </c>
      <c r="AS362" s="155">
        <f ca="1">IF(ISNUMBER(MATCH(DATEVALUE($A362),'recurring1_based on steps'!AS$1:AS$400,0)),AS$2,)</f>
        <v>0</v>
      </c>
      <c r="AT362" s="155">
        <f ca="1">IF(ISNUMBER(MATCH(DATEVALUE($A362),'recurring1_based on steps'!AT$1:AT$400,0)),AT$2,)</f>
        <v>0</v>
      </c>
      <c r="AU362" s="155">
        <f ca="1">IF(ISNUMBER(MATCH(DATEVALUE($A362),'recurring1_based on steps'!AU$1:AU$400,0)),AU$2,)</f>
        <v>0</v>
      </c>
      <c r="AV362" s="155">
        <f ca="1">IF(ISNUMBER(MATCH(DATEVALUE($A362),'recurring1_based on steps'!AV$1:AV$400,0)),AV$2,)</f>
        <v>0</v>
      </c>
      <c r="AW362" s="155">
        <f ca="1">IF(ISNUMBER(MATCH(DATEVALUE($A362),'recurring1_based on steps'!AW$1:AW$400,0)),AW$2,)</f>
        <v>0</v>
      </c>
      <c r="AX362" s="155">
        <f ca="1">IF(ISNUMBER(MATCH(DATEVALUE($A362),'recurring1_based on steps'!AX$1:AX$400,0)),AX$2,)</f>
        <v>0</v>
      </c>
      <c r="AY362" s="155">
        <f ca="1">IF(ISNUMBER(MATCH(DATEVALUE($A362),'recurring1_based on steps'!AY$1:AY$400,0)),AY$2,)</f>
        <v>0</v>
      </c>
    </row>
    <row r="363" spans="1:51" x14ac:dyDescent="0.2">
      <c r="A363" s="18" t="str">
        <f t="shared" ca="1" si="5"/>
        <v>2026-01-27</v>
      </c>
      <c r="B363" s="155">
        <f ca="1">IF(ISNUMBER(MATCH(DATEVALUE($A363),'recurring1_based on steps'!B$1:B$400,0)),B$2,)</f>
        <v>0</v>
      </c>
      <c r="C363" s="155">
        <f ca="1">IF(ISNUMBER(MATCH(DATEVALUE($A363),'recurring1_based on steps'!C$1:C$400,0)),C$2,)</f>
        <v>0</v>
      </c>
      <c r="D363" s="155">
        <f ca="1">IF(ISNUMBER(MATCH(DATEVALUE($A363),'recurring1_based on steps'!D$1:D$400,0)),D$2,)</f>
        <v>0</v>
      </c>
      <c r="E363" s="155">
        <f ca="1">IF(ISNUMBER(MATCH(DATEVALUE($A363),'recurring1_based on steps'!E$1:E$400,0)),E$2,)</f>
        <v>0</v>
      </c>
      <c r="F363" s="155">
        <f ca="1">IF(ISNUMBER(MATCH(DATEVALUE($A363),'recurring1_based on steps'!F$1:F$400,0)),F$2,)</f>
        <v>0</v>
      </c>
      <c r="G363" s="155">
        <f ca="1">IF(ISNUMBER(MATCH(DATEVALUE($A363),'recurring1_based on steps'!G$1:G$400,0)),G$2,)</f>
        <v>0</v>
      </c>
      <c r="H363" s="155">
        <f ca="1">IF(ISNUMBER(MATCH(DATEVALUE($A363),'recurring1_based on steps'!H$1:H$400,0)),H$2,)</f>
        <v>0</v>
      </c>
      <c r="I363" s="155">
        <f ca="1">IF(ISNUMBER(MATCH(DATEVALUE($A363),'recurring1_based on steps'!I$1:I$400,0)),I$2,)</f>
        <v>0</v>
      </c>
      <c r="J363" s="155">
        <f ca="1">IF(ISNUMBER(MATCH(DATEVALUE($A363),'recurring1_based on steps'!J$1:J$400,0)),J$2,)</f>
        <v>0</v>
      </c>
      <c r="K363" s="155">
        <f ca="1">IF(ISNUMBER(MATCH(DATEVALUE($A363),'recurring1_based on steps'!K$1:K$400,0)),K$2,)</f>
        <v>0</v>
      </c>
      <c r="L363" s="155">
        <f ca="1">IF(ISNUMBER(MATCH(DATEVALUE($A363),'recurring1_based on steps'!L$1:L$400,0)),L$2,)</f>
        <v>0</v>
      </c>
      <c r="M363" s="155">
        <f ca="1">IF(ISNUMBER(MATCH(DATEVALUE($A363),'recurring1_based on steps'!M$1:M$400,0)),M$2,)</f>
        <v>0</v>
      </c>
      <c r="N363" s="155">
        <f ca="1">IF(ISNUMBER(MATCH(DATEVALUE($A363),'recurring1_based on steps'!N$1:N$400,0)),N$2,)</f>
        <v>0</v>
      </c>
      <c r="O363" s="155">
        <f ca="1">IF(ISNUMBER(MATCH(DATEVALUE($A363),'recurring1_based on steps'!O$1:O$400,0)),O$2,)</f>
        <v>0</v>
      </c>
      <c r="P363" s="155">
        <f ca="1">IF(ISNUMBER(MATCH(DATEVALUE($A363),'recurring1_based on steps'!P$1:P$400,0)),P$2,)</f>
        <v>2.99</v>
      </c>
      <c r="Q363" s="155">
        <f ca="1">IF(ISNUMBER(MATCH(DATEVALUE($A363),'recurring1_based on steps'!Q$1:Q$400,0)),Q$2,)</f>
        <v>0</v>
      </c>
      <c r="R363" s="155">
        <f ca="1">IF(ISNUMBER(MATCH(DATEVALUE($A363),'recurring1_based on steps'!R$1:R$400,0)),R$2,)</f>
        <v>0</v>
      </c>
      <c r="S363" s="155">
        <f ca="1">IF(ISNUMBER(MATCH(DATEVALUE($A363),'recurring1_based on steps'!S$1:S$400,0)),S$2,)</f>
        <v>0</v>
      </c>
      <c r="T363" s="155">
        <f ca="1">IF(ISNUMBER(MATCH(DATEVALUE($A363),'recurring1_based on steps'!T$1:T$400,0)),T$2,)</f>
        <v>0</v>
      </c>
      <c r="U363" s="155">
        <f ca="1">IF(ISNUMBER(MATCH(DATEVALUE($A363),'recurring1_based on steps'!U$1:U$400,0)),U$2,)</f>
        <v>0</v>
      </c>
      <c r="V363" s="155">
        <f ca="1">IF(ISNUMBER(MATCH(DATEVALUE($A363),'recurring1_based on steps'!V$1:V$400,0)),V$2,)</f>
        <v>0</v>
      </c>
      <c r="W363" s="155">
        <f ca="1">IF(ISNUMBER(MATCH(DATEVALUE($A363),'recurring1_based on steps'!W$1:W$400,0)),W$2,)</f>
        <v>0</v>
      </c>
      <c r="X363" s="155">
        <f ca="1">IF(ISNUMBER(MATCH(DATEVALUE($A363),'recurring1_based on steps'!X$1:X$400,0)),X$2,)</f>
        <v>0</v>
      </c>
      <c r="Y363" s="155">
        <f ca="1">IF(ISNUMBER(MATCH(DATEVALUE($A363),'recurring1_based on steps'!Y$1:Y$400,0)),Y$2,)</f>
        <v>0</v>
      </c>
      <c r="Z363" s="155">
        <f ca="1">IF(ISNUMBER(MATCH(DATEVALUE($A363),'recurring1_based on steps'!Z$1:Z$400,0)),Z$2,)</f>
        <v>0</v>
      </c>
      <c r="AA363" s="155">
        <f ca="1">IF(ISNUMBER(MATCH(DATEVALUE($A363),'recurring1_based on steps'!AA$1:AA$400,0)),AA$2,)</f>
        <v>0</v>
      </c>
      <c r="AB363" s="155">
        <f ca="1">IF(ISNUMBER(MATCH(DATEVALUE($A363),'recurring1_based on steps'!AB$1:AB$400,0)),AB$2,)</f>
        <v>0</v>
      </c>
      <c r="AC363" s="155">
        <f ca="1">IF(ISNUMBER(MATCH(DATEVALUE($A363),'recurring1_based on steps'!AC$1:AC$400,0)),AC$2,)</f>
        <v>0</v>
      </c>
      <c r="AD363" s="155">
        <f ca="1">IF(ISNUMBER(MATCH(DATEVALUE($A363),'recurring1_based on steps'!AD$1:AD$400,0)),AD$2,)</f>
        <v>0</v>
      </c>
      <c r="AE363" s="155">
        <f ca="1">IF(ISNUMBER(MATCH(DATEVALUE($A363),'recurring1_based on steps'!AE$1:AE$400,0)),AE$2,)</f>
        <v>0</v>
      </c>
      <c r="AF363" s="155">
        <f ca="1">IF(ISNUMBER(MATCH(DATEVALUE($A363),'recurring1_based on steps'!AF$1:AF$400,0)),AF$2,)</f>
        <v>0</v>
      </c>
      <c r="AG363" s="155">
        <f ca="1">IF(ISNUMBER(MATCH(DATEVALUE($A363),'recurring1_based on steps'!AG$1:AG$400,0)),AG$2,)</f>
        <v>0</v>
      </c>
      <c r="AH363" s="155">
        <f ca="1">IF(ISNUMBER(MATCH(DATEVALUE($A363),'recurring1_based on steps'!AH$1:AH$400,0)),AH$2,)</f>
        <v>0</v>
      </c>
      <c r="AI363" s="155">
        <f ca="1">IF(ISNUMBER(MATCH(DATEVALUE($A363),'recurring1_based on steps'!AI$1:AI$400,0)),AI$2,)</f>
        <v>0</v>
      </c>
      <c r="AJ363" s="155">
        <f ca="1">IF(ISNUMBER(MATCH(DATEVALUE($A363),'recurring1_based on steps'!AJ$1:AJ$400,0)),AJ$2,)</f>
        <v>0</v>
      </c>
      <c r="AK363" s="155">
        <f ca="1">IF(ISNUMBER(MATCH(DATEVALUE($A363),'recurring1_based on steps'!AK$1:AK$400,0)),AK$2,)</f>
        <v>0</v>
      </c>
      <c r="AL363" s="155">
        <f ca="1">IF(ISNUMBER(MATCH(DATEVALUE($A363),'recurring1_based on steps'!AL$1:AL$400,0)),AL$2,)</f>
        <v>0</v>
      </c>
      <c r="AM363" s="155">
        <f ca="1">IF(ISNUMBER(MATCH(DATEVALUE($A363),'recurring1_based on steps'!AM$1:AM$400,0)),AM$2,)</f>
        <v>0</v>
      </c>
      <c r="AN363" s="155">
        <f ca="1">IF(ISNUMBER(MATCH(DATEVALUE($A363),'recurring1_based on steps'!AN$1:AN$400,0)),AN$2,)</f>
        <v>0</v>
      </c>
      <c r="AO363" s="155">
        <f ca="1">IF(ISNUMBER(MATCH(DATEVALUE($A363),'recurring1_based on steps'!AO$1:AO$400,0)),AO$2,)</f>
        <v>0</v>
      </c>
      <c r="AP363" s="155">
        <f ca="1">IF(ISNUMBER(MATCH(DATEVALUE($A363),'recurring1_based on steps'!AP$1:AP$400,0)),AP$2,)</f>
        <v>0</v>
      </c>
      <c r="AQ363" s="155">
        <f ca="1">IF(ISNUMBER(MATCH(DATEVALUE($A363),'recurring1_based on steps'!AQ$1:AQ$400,0)),AQ$2,)</f>
        <v>0</v>
      </c>
      <c r="AR363" s="155">
        <f ca="1">IF(ISNUMBER(MATCH(DATEVALUE($A363),'recurring1_based on steps'!AR$1:AR$400,0)),AR$2,)</f>
        <v>0</v>
      </c>
      <c r="AS363" s="155">
        <f ca="1">IF(ISNUMBER(MATCH(DATEVALUE($A363),'recurring1_based on steps'!AS$1:AS$400,0)),AS$2,)</f>
        <v>0</v>
      </c>
      <c r="AT363" s="155">
        <f ca="1">IF(ISNUMBER(MATCH(DATEVALUE($A363),'recurring1_based on steps'!AT$1:AT$400,0)),AT$2,)</f>
        <v>0</v>
      </c>
      <c r="AU363" s="155">
        <f ca="1">IF(ISNUMBER(MATCH(DATEVALUE($A363),'recurring1_based on steps'!AU$1:AU$400,0)),AU$2,)</f>
        <v>0</v>
      </c>
      <c r="AV363" s="155">
        <f ca="1">IF(ISNUMBER(MATCH(DATEVALUE($A363),'recurring1_based on steps'!AV$1:AV$400,0)),AV$2,)</f>
        <v>0</v>
      </c>
      <c r="AW363" s="155">
        <f ca="1">IF(ISNUMBER(MATCH(DATEVALUE($A363),'recurring1_based on steps'!AW$1:AW$400,0)),AW$2,)</f>
        <v>0</v>
      </c>
      <c r="AX363" s="155">
        <f ca="1">IF(ISNUMBER(MATCH(DATEVALUE($A363),'recurring1_based on steps'!AX$1:AX$400,0)),AX$2,)</f>
        <v>0</v>
      </c>
      <c r="AY363" s="155">
        <f ca="1">IF(ISNUMBER(MATCH(DATEVALUE($A363),'recurring1_based on steps'!AY$1:AY$400,0)),AY$2,)</f>
        <v>0</v>
      </c>
    </row>
    <row r="364" spans="1:51" x14ac:dyDescent="0.2">
      <c r="A364" s="18" t="str">
        <f t="shared" ca="1" si="5"/>
        <v>2026-01-28</v>
      </c>
      <c r="B364" s="155">
        <f ca="1">IF(ISNUMBER(MATCH(DATEVALUE($A364),'recurring1_based on steps'!B$1:B$400,0)),B$2,)</f>
        <v>0</v>
      </c>
      <c r="C364" s="155">
        <f ca="1">IF(ISNUMBER(MATCH(DATEVALUE($A364),'recurring1_based on steps'!C$1:C$400,0)),C$2,)</f>
        <v>0</v>
      </c>
      <c r="D364" s="155">
        <f ca="1">IF(ISNUMBER(MATCH(DATEVALUE($A364),'recurring1_based on steps'!D$1:D$400,0)),D$2,)</f>
        <v>0</v>
      </c>
      <c r="E364" s="155">
        <f ca="1">IF(ISNUMBER(MATCH(DATEVALUE($A364),'recurring1_based on steps'!E$1:E$400,0)),E$2,)</f>
        <v>0</v>
      </c>
      <c r="F364" s="155">
        <f ca="1">IF(ISNUMBER(MATCH(DATEVALUE($A364),'recurring1_based on steps'!F$1:F$400,0)),F$2,)</f>
        <v>0</v>
      </c>
      <c r="G364" s="155">
        <f ca="1">IF(ISNUMBER(MATCH(DATEVALUE($A364),'recurring1_based on steps'!G$1:G$400,0)),G$2,)</f>
        <v>0</v>
      </c>
      <c r="H364" s="155">
        <f ca="1">IF(ISNUMBER(MATCH(DATEVALUE($A364),'recurring1_based on steps'!H$1:H$400,0)),H$2,)</f>
        <v>40</v>
      </c>
      <c r="I364" s="155">
        <f ca="1">IF(ISNUMBER(MATCH(DATEVALUE($A364),'recurring1_based on steps'!I$1:I$400,0)),I$2,)</f>
        <v>0</v>
      </c>
      <c r="J364" s="155">
        <f ca="1">IF(ISNUMBER(MATCH(DATEVALUE($A364),'recurring1_based on steps'!J$1:J$400,0)),J$2,)</f>
        <v>0</v>
      </c>
      <c r="K364" s="155">
        <f ca="1">IF(ISNUMBER(MATCH(DATEVALUE($A364),'recurring1_based on steps'!K$1:K$400,0)),K$2,)</f>
        <v>0</v>
      </c>
      <c r="L364" s="155">
        <f ca="1">IF(ISNUMBER(MATCH(DATEVALUE($A364),'recurring1_based on steps'!L$1:L$400,0)),L$2,)</f>
        <v>0</v>
      </c>
      <c r="M364" s="155">
        <f ca="1">IF(ISNUMBER(MATCH(DATEVALUE($A364),'recurring1_based on steps'!M$1:M$400,0)),M$2,)</f>
        <v>0</v>
      </c>
      <c r="N364" s="155">
        <f ca="1">IF(ISNUMBER(MATCH(DATEVALUE($A364),'recurring1_based on steps'!N$1:N$400,0)),N$2,)</f>
        <v>0</v>
      </c>
      <c r="O364" s="155">
        <f ca="1">IF(ISNUMBER(MATCH(DATEVALUE($A364),'recurring1_based on steps'!O$1:O$400,0)),O$2,)</f>
        <v>0</v>
      </c>
      <c r="P364" s="155">
        <f ca="1">IF(ISNUMBER(MATCH(DATEVALUE($A364),'recurring1_based on steps'!P$1:P$400,0)),P$2,)</f>
        <v>0</v>
      </c>
      <c r="Q364" s="155">
        <f ca="1">IF(ISNUMBER(MATCH(DATEVALUE($A364),'recurring1_based on steps'!Q$1:Q$400,0)),Q$2,)</f>
        <v>0</v>
      </c>
      <c r="R364" s="155">
        <f ca="1">IF(ISNUMBER(MATCH(DATEVALUE($A364),'recurring1_based on steps'!R$1:R$400,0)),R$2,)</f>
        <v>0</v>
      </c>
      <c r="S364" s="155">
        <f ca="1">IF(ISNUMBER(MATCH(DATEVALUE($A364),'recurring1_based on steps'!S$1:S$400,0)),S$2,)</f>
        <v>0</v>
      </c>
      <c r="T364" s="155">
        <f ca="1">IF(ISNUMBER(MATCH(DATEVALUE($A364),'recurring1_based on steps'!T$1:T$400,0)),T$2,)</f>
        <v>0</v>
      </c>
      <c r="U364" s="155">
        <f ca="1">IF(ISNUMBER(MATCH(DATEVALUE($A364),'recurring1_based on steps'!U$1:U$400,0)),U$2,)</f>
        <v>0</v>
      </c>
      <c r="V364" s="155">
        <f ca="1">IF(ISNUMBER(MATCH(DATEVALUE($A364),'recurring1_based on steps'!V$1:V$400,0)),V$2,)</f>
        <v>0</v>
      </c>
      <c r="W364" s="155">
        <f ca="1">IF(ISNUMBER(MATCH(DATEVALUE($A364),'recurring1_based on steps'!W$1:W$400,0)),W$2,)</f>
        <v>100</v>
      </c>
      <c r="X364" s="155">
        <f ca="1">IF(ISNUMBER(MATCH(DATEVALUE($A364),'recurring1_based on steps'!X$1:X$400,0)),X$2,)</f>
        <v>0</v>
      </c>
      <c r="Y364" s="155">
        <f ca="1">IF(ISNUMBER(MATCH(DATEVALUE($A364),'recurring1_based on steps'!Y$1:Y$400,0)),Y$2,)</f>
        <v>0</v>
      </c>
      <c r="Z364" s="155">
        <f ca="1">IF(ISNUMBER(MATCH(DATEVALUE($A364),'recurring1_based on steps'!Z$1:Z$400,0)),Z$2,)</f>
        <v>0</v>
      </c>
      <c r="AA364" s="155">
        <f ca="1">IF(ISNUMBER(MATCH(DATEVALUE($A364),'recurring1_based on steps'!AA$1:AA$400,0)),AA$2,)</f>
        <v>0</v>
      </c>
      <c r="AB364" s="155">
        <f ca="1">IF(ISNUMBER(MATCH(DATEVALUE($A364),'recurring1_based on steps'!AB$1:AB$400,0)),AB$2,)</f>
        <v>0</v>
      </c>
      <c r="AC364" s="155">
        <f ca="1">IF(ISNUMBER(MATCH(DATEVALUE($A364),'recurring1_based on steps'!AC$1:AC$400,0)),AC$2,)</f>
        <v>0</v>
      </c>
      <c r="AD364" s="155">
        <f ca="1">IF(ISNUMBER(MATCH(DATEVALUE($A364),'recurring1_based on steps'!AD$1:AD$400,0)),AD$2,)</f>
        <v>0</v>
      </c>
      <c r="AE364" s="155">
        <f ca="1">IF(ISNUMBER(MATCH(DATEVALUE($A364),'recurring1_based on steps'!AE$1:AE$400,0)),AE$2,)</f>
        <v>0</v>
      </c>
      <c r="AF364" s="155">
        <f ca="1">IF(ISNUMBER(MATCH(DATEVALUE($A364),'recurring1_based on steps'!AF$1:AF$400,0)),AF$2,)</f>
        <v>0</v>
      </c>
      <c r="AG364" s="155">
        <f ca="1">IF(ISNUMBER(MATCH(DATEVALUE($A364),'recurring1_based on steps'!AG$1:AG$400,0)),AG$2,)</f>
        <v>0</v>
      </c>
      <c r="AH364" s="155">
        <f ca="1">IF(ISNUMBER(MATCH(DATEVALUE($A364),'recurring1_based on steps'!AH$1:AH$400,0)),AH$2,)</f>
        <v>0</v>
      </c>
      <c r="AI364" s="155">
        <f ca="1">IF(ISNUMBER(MATCH(DATEVALUE($A364),'recurring1_based on steps'!AI$1:AI$400,0)),AI$2,)</f>
        <v>0</v>
      </c>
      <c r="AJ364" s="155">
        <f ca="1">IF(ISNUMBER(MATCH(DATEVALUE($A364),'recurring1_based on steps'!AJ$1:AJ$400,0)),AJ$2,)</f>
        <v>0</v>
      </c>
      <c r="AK364" s="155">
        <f ca="1">IF(ISNUMBER(MATCH(DATEVALUE($A364),'recurring1_based on steps'!AK$1:AK$400,0)),AK$2,)</f>
        <v>0</v>
      </c>
      <c r="AL364" s="155">
        <f ca="1">IF(ISNUMBER(MATCH(DATEVALUE($A364),'recurring1_based on steps'!AL$1:AL$400,0)),AL$2,)</f>
        <v>0</v>
      </c>
      <c r="AM364" s="155">
        <f ca="1">IF(ISNUMBER(MATCH(DATEVALUE($A364),'recurring1_based on steps'!AM$1:AM$400,0)),AM$2,)</f>
        <v>0</v>
      </c>
      <c r="AN364" s="155">
        <f ca="1">IF(ISNUMBER(MATCH(DATEVALUE($A364),'recurring1_based on steps'!AN$1:AN$400,0)),AN$2,)</f>
        <v>0</v>
      </c>
      <c r="AO364" s="155">
        <f ca="1">IF(ISNUMBER(MATCH(DATEVALUE($A364),'recurring1_based on steps'!AO$1:AO$400,0)),AO$2,)</f>
        <v>0</v>
      </c>
      <c r="AP364" s="155">
        <f ca="1">IF(ISNUMBER(MATCH(DATEVALUE($A364),'recurring1_based on steps'!AP$1:AP$400,0)),AP$2,)</f>
        <v>0</v>
      </c>
      <c r="AQ364" s="155">
        <f ca="1">IF(ISNUMBER(MATCH(DATEVALUE($A364),'recurring1_based on steps'!AQ$1:AQ$400,0)),AQ$2,)</f>
        <v>0</v>
      </c>
      <c r="AR364" s="155">
        <f ca="1">IF(ISNUMBER(MATCH(DATEVALUE($A364),'recurring1_based on steps'!AR$1:AR$400,0)),AR$2,)</f>
        <v>0</v>
      </c>
      <c r="AS364" s="155">
        <f ca="1">IF(ISNUMBER(MATCH(DATEVALUE($A364),'recurring1_based on steps'!AS$1:AS$400,0)),AS$2,)</f>
        <v>0</v>
      </c>
      <c r="AT364" s="155">
        <f ca="1">IF(ISNUMBER(MATCH(DATEVALUE($A364),'recurring1_based on steps'!AT$1:AT$400,0)),AT$2,)</f>
        <v>0</v>
      </c>
      <c r="AU364" s="155">
        <f ca="1">IF(ISNUMBER(MATCH(DATEVALUE($A364),'recurring1_based on steps'!AU$1:AU$400,0)),AU$2,)</f>
        <v>0</v>
      </c>
      <c r="AV364" s="155">
        <f ca="1">IF(ISNUMBER(MATCH(DATEVALUE($A364),'recurring1_based on steps'!AV$1:AV$400,0)),AV$2,)</f>
        <v>0</v>
      </c>
      <c r="AW364" s="155">
        <f ca="1">IF(ISNUMBER(MATCH(DATEVALUE($A364),'recurring1_based on steps'!AW$1:AW$400,0)),AW$2,)</f>
        <v>0</v>
      </c>
      <c r="AX364" s="155">
        <f ca="1">IF(ISNUMBER(MATCH(DATEVALUE($A364),'recurring1_based on steps'!AX$1:AX$400,0)),AX$2,)</f>
        <v>0</v>
      </c>
      <c r="AY364" s="155">
        <f ca="1">IF(ISNUMBER(MATCH(DATEVALUE($A364),'recurring1_based on steps'!AY$1:AY$400,0)),AY$2,)</f>
        <v>0</v>
      </c>
    </row>
    <row r="365" spans="1:51" x14ac:dyDescent="0.2">
      <c r="A365" s="18" t="str">
        <f t="shared" ca="1" si="5"/>
        <v>2026-01-29</v>
      </c>
      <c r="B365" s="155">
        <f ca="1">IF(ISNUMBER(MATCH(DATEVALUE($A365),'recurring1_based on steps'!B$1:B$400,0)),B$2,)</f>
        <v>0</v>
      </c>
      <c r="C365" s="155">
        <f ca="1">IF(ISNUMBER(MATCH(DATEVALUE($A365),'recurring1_based on steps'!C$1:C$400,0)),C$2,)</f>
        <v>0</v>
      </c>
      <c r="D365" s="155">
        <f ca="1">IF(ISNUMBER(MATCH(DATEVALUE($A365),'recurring1_based on steps'!D$1:D$400,0)),D$2,)</f>
        <v>0</v>
      </c>
      <c r="E365" s="155">
        <f ca="1">IF(ISNUMBER(MATCH(DATEVALUE($A365),'recurring1_based on steps'!E$1:E$400,0)),E$2,)</f>
        <v>0</v>
      </c>
      <c r="F365" s="155">
        <f ca="1">IF(ISNUMBER(MATCH(DATEVALUE($A365),'recurring1_based on steps'!F$1:F$400,0)),F$2,)</f>
        <v>0</v>
      </c>
      <c r="G365" s="155">
        <f ca="1">IF(ISNUMBER(MATCH(DATEVALUE($A365),'recurring1_based on steps'!G$1:G$400,0)),G$2,)</f>
        <v>0</v>
      </c>
      <c r="H365" s="155">
        <f ca="1">IF(ISNUMBER(MATCH(DATEVALUE($A365),'recurring1_based on steps'!H$1:H$400,0)),H$2,)</f>
        <v>0</v>
      </c>
      <c r="I365" s="155">
        <f ca="1">IF(ISNUMBER(MATCH(DATEVALUE($A365),'recurring1_based on steps'!I$1:I$400,0)),I$2,)</f>
        <v>0</v>
      </c>
      <c r="J365" s="155">
        <f ca="1">IF(ISNUMBER(MATCH(DATEVALUE($A365),'recurring1_based on steps'!J$1:J$400,0)),J$2,)</f>
        <v>0</v>
      </c>
      <c r="K365" s="155">
        <f ca="1">IF(ISNUMBER(MATCH(DATEVALUE($A365),'recurring1_based on steps'!K$1:K$400,0)),K$2,)</f>
        <v>0</v>
      </c>
      <c r="L365" s="155">
        <f ca="1">IF(ISNUMBER(MATCH(DATEVALUE($A365),'recurring1_based on steps'!L$1:L$400,0)),L$2,)</f>
        <v>0</v>
      </c>
      <c r="M365" s="155">
        <f ca="1">IF(ISNUMBER(MATCH(DATEVALUE($A365),'recurring1_based on steps'!M$1:M$400,0)),M$2,)</f>
        <v>0</v>
      </c>
      <c r="N365" s="155">
        <f ca="1">IF(ISNUMBER(MATCH(DATEVALUE($A365),'recurring1_based on steps'!N$1:N$400,0)),N$2,)</f>
        <v>0</v>
      </c>
      <c r="O365" s="155">
        <f ca="1">IF(ISNUMBER(MATCH(DATEVALUE($A365),'recurring1_based on steps'!O$1:O$400,0)),O$2,)</f>
        <v>0</v>
      </c>
      <c r="P365" s="155">
        <f ca="1">IF(ISNUMBER(MATCH(DATEVALUE($A365),'recurring1_based on steps'!P$1:P$400,0)),P$2,)</f>
        <v>0</v>
      </c>
      <c r="Q365" s="155">
        <f ca="1">IF(ISNUMBER(MATCH(DATEVALUE($A365),'recurring1_based on steps'!Q$1:Q$400,0)),Q$2,)</f>
        <v>0</v>
      </c>
      <c r="R365" s="155">
        <f ca="1">IF(ISNUMBER(MATCH(DATEVALUE($A365),'recurring1_based on steps'!R$1:R$400,0)),R$2,)</f>
        <v>0</v>
      </c>
      <c r="S365" s="155">
        <f ca="1">IF(ISNUMBER(MATCH(DATEVALUE($A365),'recurring1_based on steps'!S$1:S$400,0)),S$2,)</f>
        <v>0</v>
      </c>
      <c r="T365" s="155">
        <f ca="1">IF(ISNUMBER(MATCH(DATEVALUE($A365),'recurring1_based on steps'!T$1:T$400,0)),T$2,)</f>
        <v>0</v>
      </c>
      <c r="U365" s="155">
        <f ca="1">IF(ISNUMBER(MATCH(DATEVALUE($A365),'recurring1_based on steps'!U$1:U$400,0)),U$2,)</f>
        <v>0</v>
      </c>
      <c r="V365" s="155">
        <f ca="1">IF(ISNUMBER(MATCH(DATEVALUE($A365),'recurring1_based on steps'!V$1:V$400,0)),V$2,)</f>
        <v>0</v>
      </c>
      <c r="W365" s="155">
        <f ca="1">IF(ISNUMBER(MATCH(DATEVALUE($A365),'recurring1_based on steps'!W$1:W$400,0)),W$2,)</f>
        <v>0</v>
      </c>
      <c r="X365" s="155">
        <f ca="1">IF(ISNUMBER(MATCH(DATEVALUE($A365),'recurring1_based on steps'!X$1:X$400,0)),X$2,)</f>
        <v>0</v>
      </c>
      <c r="Y365" s="155">
        <f ca="1">IF(ISNUMBER(MATCH(DATEVALUE($A365),'recurring1_based on steps'!Y$1:Y$400,0)),Y$2,)</f>
        <v>0</v>
      </c>
      <c r="Z365" s="155">
        <f ca="1">IF(ISNUMBER(MATCH(DATEVALUE($A365),'recurring1_based on steps'!Z$1:Z$400,0)),Z$2,)</f>
        <v>0</v>
      </c>
      <c r="AA365" s="155">
        <f ca="1">IF(ISNUMBER(MATCH(DATEVALUE($A365),'recurring1_based on steps'!AA$1:AA$400,0)),AA$2,)</f>
        <v>0</v>
      </c>
      <c r="AB365" s="155">
        <f ca="1">IF(ISNUMBER(MATCH(DATEVALUE($A365),'recurring1_based on steps'!AB$1:AB$400,0)),AB$2,)</f>
        <v>0</v>
      </c>
      <c r="AC365" s="155">
        <f ca="1">IF(ISNUMBER(MATCH(DATEVALUE($A365),'recurring1_based on steps'!AC$1:AC$400,0)),AC$2,)</f>
        <v>0</v>
      </c>
      <c r="AD365" s="155">
        <f ca="1">IF(ISNUMBER(MATCH(DATEVALUE($A365),'recurring1_based on steps'!AD$1:AD$400,0)),AD$2,)</f>
        <v>0</v>
      </c>
      <c r="AE365" s="155">
        <f ca="1">IF(ISNUMBER(MATCH(DATEVALUE($A365),'recurring1_based on steps'!AE$1:AE$400,0)),AE$2,)</f>
        <v>0</v>
      </c>
      <c r="AF365" s="155">
        <f ca="1">IF(ISNUMBER(MATCH(DATEVALUE($A365),'recurring1_based on steps'!AF$1:AF$400,0)),AF$2,)</f>
        <v>0</v>
      </c>
      <c r="AG365" s="155">
        <f ca="1">IF(ISNUMBER(MATCH(DATEVALUE($A365),'recurring1_based on steps'!AG$1:AG$400,0)),AG$2,)</f>
        <v>0</v>
      </c>
      <c r="AH365" s="155">
        <f ca="1">IF(ISNUMBER(MATCH(DATEVALUE($A365),'recurring1_based on steps'!AH$1:AH$400,0)),AH$2,)</f>
        <v>0</v>
      </c>
      <c r="AI365" s="155">
        <f ca="1">IF(ISNUMBER(MATCH(DATEVALUE($A365),'recurring1_based on steps'!AI$1:AI$400,0)),AI$2,)</f>
        <v>0</v>
      </c>
      <c r="AJ365" s="155">
        <f ca="1">IF(ISNUMBER(MATCH(DATEVALUE($A365),'recurring1_based on steps'!AJ$1:AJ$400,0)),AJ$2,)</f>
        <v>0</v>
      </c>
      <c r="AK365" s="155">
        <f ca="1">IF(ISNUMBER(MATCH(DATEVALUE($A365),'recurring1_based on steps'!AK$1:AK$400,0)),AK$2,)</f>
        <v>0</v>
      </c>
      <c r="AL365" s="155">
        <f ca="1">IF(ISNUMBER(MATCH(DATEVALUE($A365),'recurring1_based on steps'!AL$1:AL$400,0)),AL$2,)</f>
        <v>0</v>
      </c>
      <c r="AM365" s="155">
        <f ca="1">IF(ISNUMBER(MATCH(DATEVALUE($A365),'recurring1_based on steps'!AM$1:AM$400,0)),AM$2,)</f>
        <v>0</v>
      </c>
      <c r="AN365" s="155">
        <f ca="1">IF(ISNUMBER(MATCH(DATEVALUE($A365),'recurring1_based on steps'!AN$1:AN$400,0)),AN$2,)</f>
        <v>0</v>
      </c>
      <c r="AO365" s="155">
        <f ca="1">IF(ISNUMBER(MATCH(DATEVALUE($A365),'recurring1_based on steps'!AO$1:AO$400,0)),AO$2,)</f>
        <v>0</v>
      </c>
      <c r="AP365" s="155">
        <f ca="1">IF(ISNUMBER(MATCH(DATEVALUE($A365),'recurring1_based on steps'!AP$1:AP$400,0)),AP$2,)</f>
        <v>0</v>
      </c>
      <c r="AQ365" s="155">
        <f ca="1">IF(ISNUMBER(MATCH(DATEVALUE($A365),'recurring1_based on steps'!AQ$1:AQ$400,0)),AQ$2,)</f>
        <v>0</v>
      </c>
      <c r="AR365" s="155">
        <f ca="1">IF(ISNUMBER(MATCH(DATEVALUE($A365),'recurring1_based on steps'!AR$1:AR$400,0)),AR$2,)</f>
        <v>0</v>
      </c>
      <c r="AS365" s="155">
        <f ca="1">IF(ISNUMBER(MATCH(DATEVALUE($A365),'recurring1_based on steps'!AS$1:AS$400,0)),AS$2,)</f>
        <v>0</v>
      </c>
      <c r="AT365" s="155">
        <f ca="1">IF(ISNUMBER(MATCH(DATEVALUE($A365),'recurring1_based on steps'!AT$1:AT$400,0)),AT$2,)</f>
        <v>0</v>
      </c>
      <c r="AU365" s="155">
        <f ca="1">IF(ISNUMBER(MATCH(DATEVALUE($A365),'recurring1_based on steps'!AU$1:AU$400,0)),AU$2,)</f>
        <v>0</v>
      </c>
      <c r="AV365" s="155">
        <f ca="1">IF(ISNUMBER(MATCH(DATEVALUE($A365),'recurring1_based on steps'!AV$1:AV$400,0)),AV$2,)</f>
        <v>0</v>
      </c>
      <c r="AW365" s="155">
        <f ca="1">IF(ISNUMBER(MATCH(DATEVALUE($A365),'recurring1_based on steps'!AW$1:AW$400,0)),AW$2,)</f>
        <v>0</v>
      </c>
      <c r="AX365" s="155">
        <f ca="1">IF(ISNUMBER(MATCH(DATEVALUE($A365),'recurring1_based on steps'!AX$1:AX$400,0)),AX$2,)</f>
        <v>0</v>
      </c>
      <c r="AY365" s="155">
        <f ca="1">IF(ISNUMBER(MATCH(DATEVALUE($A365),'recurring1_based on steps'!AY$1:AY$400,0)),AY$2,)</f>
        <v>0</v>
      </c>
    </row>
    <row r="366" spans="1:51" x14ac:dyDescent="0.2">
      <c r="A366" s="18" t="str">
        <f t="shared" ca="1" si="5"/>
        <v>2026-01-30</v>
      </c>
      <c r="B366" s="155">
        <f ca="1">IF(ISNUMBER(MATCH(DATEVALUE($A366),'recurring1_based on steps'!B$1:B$400,0)),B$2,)</f>
        <v>0</v>
      </c>
      <c r="C366" s="155">
        <f ca="1">IF(ISNUMBER(MATCH(DATEVALUE($A366),'recurring1_based on steps'!C$1:C$400,0)),C$2,)</f>
        <v>0</v>
      </c>
      <c r="D366" s="155">
        <f ca="1">IF(ISNUMBER(MATCH(DATEVALUE($A366),'recurring1_based on steps'!D$1:D$400,0)),D$2,)</f>
        <v>0</v>
      </c>
      <c r="E366" s="155">
        <f ca="1">IF(ISNUMBER(MATCH(DATEVALUE($A366),'recurring1_based on steps'!E$1:E$400,0)),E$2,)</f>
        <v>0</v>
      </c>
      <c r="F366" s="155">
        <f ca="1">IF(ISNUMBER(MATCH(DATEVALUE($A366),'recurring1_based on steps'!F$1:F$400,0)),F$2,)</f>
        <v>0</v>
      </c>
      <c r="G366" s="155">
        <f ca="1">IF(ISNUMBER(MATCH(DATEVALUE($A366),'recurring1_based on steps'!G$1:G$400,0)),G$2,)</f>
        <v>0</v>
      </c>
      <c r="H366" s="155">
        <f ca="1">IF(ISNUMBER(MATCH(DATEVALUE($A366),'recurring1_based on steps'!H$1:H$400,0)),H$2,)</f>
        <v>0</v>
      </c>
      <c r="I366" s="155">
        <f ca="1">IF(ISNUMBER(MATCH(DATEVALUE($A366),'recurring1_based on steps'!I$1:I$400,0)),I$2,)</f>
        <v>0</v>
      </c>
      <c r="J366" s="155">
        <f ca="1">IF(ISNUMBER(MATCH(DATEVALUE($A366),'recurring1_based on steps'!J$1:J$400,0)),J$2,)</f>
        <v>0</v>
      </c>
      <c r="K366" s="155">
        <f ca="1">IF(ISNUMBER(MATCH(DATEVALUE($A366),'recurring1_based on steps'!K$1:K$400,0)),K$2,)</f>
        <v>0</v>
      </c>
      <c r="L366" s="155">
        <f ca="1">IF(ISNUMBER(MATCH(DATEVALUE($A366),'recurring1_based on steps'!L$1:L$400,0)),L$2,)</f>
        <v>0</v>
      </c>
      <c r="M366" s="155">
        <f ca="1">IF(ISNUMBER(MATCH(DATEVALUE($A366),'recurring1_based on steps'!M$1:M$400,0)),M$2,)</f>
        <v>0</v>
      </c>
      <c r="N366" s="155">
        <f ca="1">IF(ISNUMBER(MATCH(DATEVALUE($A366),'recurring1_based on steps'!N$1:N$400,0)),N$2,)</f>
        <v>0</v>
      </c>
      <c r="O366" s="155">
        <f ca="1">IF(ISNUMBER(MATCH(DATEVALUE($A366),'recurring1_based on steps'!O$1:O$400,0)),O$2,)</f>
        <v>0</v>
      </c>
      <c r="P366" s="155">
        <f ca="1">IF(ISNUMBER(MATCH(DATEVALUE($A366),'recurring1_based on steps'!P$1:P$400,0)),P$2,)</f>
        <v>0</v>
      </c>
      <c r="Q366" s="155">
        <f ca="1">IF(ISNUMBER(MATCH(DATEVALUE($A366),'recurring1_based on steps'!Q$1:Q$400,0)),Q$2,)</f>
        <v>0</v>
      </c>
      <c r="R366" s="155">
        <f ca="1">IF(ISNUMBER(MATCH(DATEVALUE($A366),'recurring1_based on steps'!R$1:R$400,0)),R$2,)</f>
        <v>0</v>
      </c>
      <c r="S366" s="155">
        <f ca="1">IF(ISNUMBER(MATCH(DATEVALUE($A366),'recurring1_based on steps'!S$1:S$400,0)),S$2,)</f>
        <v>0</v>
      </c>
      <c r="T366" s="155">
        <f ca="1">IF(ISNUMBER(MATCH(DATEVALUE($A366),'recurring1_based on steps'!T$1:T$400,0)),T$2,)</f>
        <v>0</v>
      </c>
      <c r="U366" s="155">
        <f ca="1">IF(ISNUMBER(MATCH(DATEVALUE($A366),'recurring1_based on steps'!U$1:U$400,0)),U$2,)</f>
        <v>0</v>
      </c>
      <c r="V366" s="155">
        <f ca="1">IF(ISNUMBER(MATCH(DATEVALUE($A366),'recurring1_based on steps'!V$1:V$400,0)),V$2,)</f>
        <v>0</v>
      </c>
      <c r="W366" s="155">
        <f ca="1">IF(ISNUMBER(MATCH(DATEVALUE($A366),'recurring1_based on steps'!W$1:W$400,0)),W$2,)</f>
        <v>0</v>
      </c>
      <c r="X366" s="155">
        <f ca="1">IF(ISNUMBER(MATCH(DATEVALUE($A366),'recurring1_based on steps'!X$1:X$400,0)),X$2,)</f>
        <v>0</v>
      </c>
      <c r="Y366" s="155">
        <f ca="1">IF(ISNUMBER(MATCH(DATEVALUE($A366),'recurring1_based on steps'!Y$1:Y$400,0)),Y$2,)</f>
        <v>0</v>
      </c>
      <c r="Z366" s="155">
        <f ca="1">IF(ISNUMBER(MATCH(DATEVALUE($A366),'recurring1_based on steps'!Z$1:Z$400,0)),Z$2,)</f>
        <v>0</v>
      </c>
      <c r="AA366" s="155">
        <f ca="1">IF(ISNUMBER(MATCH(DATEVALUE($A366),'recurring1_based on steps'!AA$1:AA$400,0)),AA$2,)</f>
        <v>0</v>
      </c>
      <c r="AB366" s="155">
        <f ca="1">IF(ISNUMBER(MATCH(DATEVALUE($A366),'recurring1_based on steps'!AB$1:AB$400,0)),AB$2,)</f>
        <v>0</v>
      </c>
      <c r="AC366" s="155">
        <f ca="1">IF(ISNUMBER(MATCH(DATEVALUE($A366),'recurring1_based on steps'!AC$1:AC$400,0)),AC$2,)</f>
        <v>0</v>
      </c>
      <c r="AD366" s="155">
        <f ca="1">IF(ISNUMBER(MATCH(DATEVALUE($A366),'recurring1_based on steps'!AD$1:AD$400,0)),AD$2,)</f>
        <v>0</v>
      </c>
      <c r="AE366" s="155">
        <f ca="1">IF(ISNUMBER(MATCH(DATEVALUE($A366),'recurring1_based on steps'!AE$1:AE$400,0)),AE$2,)</f>
        <v>0</v>
      </c>
      <c r="AF366" s="155">
        <f ca="1">IF(ISNUMBER(MATCH(DATEVALUE($A366),'recurring1_based on steps'!AF$1:AF$400,0)),AF$2,)</f>
        <v>0</v>
      </c>
      <c r="AG366" s="155">
        <f ca="1">IF(ISNUMBER(MATCH(DATEVALUE($A366),'recurring1_based on steps'!AG$1:AG$400,0)),AG$2,)</f>
        <v>0</v>
      </c>
      <c r="AH366" s="155">
        <f ca="1">IF(ISNUMBER(MATCH(DATEVALUE($A366),'recurring1_based on steps'!AH$1:AH$400,0)),AH$2,)</f>
        <v>0</v>
      </c>
      <c r="AI366" s="155">
        <f ca="1">IF(ISNUMBER(MATCH(DATEVALUE($A366),'recurring1_based on steps'!AI$1:AI$400,0)),AI$2,)</f>
        <v>0</v>
      </c>
      <c r="AJ366" s="155">
        <f ca="1">IF(ISNUMBER(MATCH(DATEVALUE($A366),'recurring1_based on steps'!AJ$1:AJ$400,0)),AJ$2,)</f>
        <v>0</v>
      </c>
      <c r="AK366" s="155">
        <f ca="1">IF(ISNUMBER(MATCH(DATEVALUE($A366),'recurring1_based on steps'!AK$1:AK$400,0)),AK$2,)</f>
        <v>0</v>
      </c>
      <c r="AL366" s="155">
        <f ca="1">IF(ISNUMBER(MATCH(DATEVALUE($A366),'recurring1_based on steps'!AL$1:AL$400,0)),AL$2,)</f>
        <v>0</v>
      </c>
      <c r="AM366" s="155">
        <f ca="1">IF(ISNUMBER(MATCH(DATEVALUE($A366),'recurring1_based on steps'!AM$1:AM$400,0)),AM$2,)</f>
        <v>0</v>
      </c>
      <c r="AN366" s="155">
        <f ca="1">IF(ISNUMBER(MATCH(DATEVALUE($A366),'recurring1_based on steps'!AN$1:AN$400,0)),AN$2,)</f>
        <v>0</v>
      </c>
      <c r="AO366" s="155">
        <f ca="1">IF(ISNUMBER(MATCH(DATEVALUE($A366),'recurring1_based on steps'!AO$1:AO$400,0)),AO$2,)</f>
        <v>0</v>
      </c>
      <c r="AP366" s="155">
        <f ca="1">IF(ISNUMBER(MATCH(DATEVALUE($A366),'recurring1_based on steps'!AP$1:AP$400,0)),AP$2,)</f>
        <v>0</v>
      </c>
      <c r="AQ366" s="155">
        <f ca="1">IF(ISNUMBER(MATCH(DATEVALUE($A366),'recurring1_based on steps'!AQ$1:AQ$400,0)),AQ$2,)</f>
        <v>0</v>
      </c>
      <c r="AR366" s="155">
        <f ca="1">IF(ISNUMBER(MATCH(DATEVALUE($A366),'recurring1_based on steps'!AR$1:AR$400,0)),AR$2,)</f>
        <v>0</v>
      </c>
      <c r="AS366" s="155">
        <f ca="1">IF(ISNUMBER(MATCH(DATEVALUE($A366),'recurring1_based on steps'!AS$1:AS$400,0)),AS$2,)</f>
        <v>0</v>
      </c>
      <c r="AT366" s="155">
        <f ca="1">IF(ISNUMBER(MATCH(DATEVALUE($A366),'recurring1_based on steps'!AT$1:AT$400,0)),AT$2,)</f>
        <v>0</v>
      </c>
      <c r="AU366" s="155">
        <f ca="1">IF(ISNUMBER(MATCH(DATEVALUE($A366),'recurring1_based on steps'!AU$1:AU$400,0)),AU$2,)</f>
        <v>0</v>
      </c>
      <c r="AV366" s="155">
        <f ca="1">IF(ISNUMBER(MATCH(DATEVALUE($A366),'recurring1_based on steps'!AV$1:AV$400,0)),AV$2,)</f>
        <v>0</v>
      </c>
      <c r="AW366" s="155">
        <f ca="1">IF(ISNUMBER(MATCH(DATEVALUE($A366),'recurring1_based on steps'!AW$1:AW$400,0)),AW$2,)</f>
        <v>0</v>
      </c>
      <c r="AX366" s="155">
        <f ca="1">IF(ISNUMBER(MATCH(DATEVALUE($A366),'recurring1_based on steps'!AX$1:AX$400,0)),AX$2,)</f>
        <v>0</v>
      </c>
      <c r="AY366" s="155">
        <f ca="1">IF(ISNUMBER(MATCH(DATEVALUE($A366),'recurring1_based on steps'!AY$1:AY$400,0)),AY$2,)</f>
        <v>0</v>
      </c>
    </row>
    <row r="367" spans="1:51" x14ac:dyDescent="0.2">
      <c r="A367" s="18" t="str">
        <f t="shared" ca="1" si="5"/>
        <v>2026-01-31</v>
      </c>
      <c r="B367" s="155">
        <f ca="1">IF(ISNUMBER(MATCH(DATEVALUE($A367),'recurring1_based on steps'!B$1:B$400,0)),B$2,)</f>
        <v>0</v>
      </c>
      <c r="C367" s="155">
        <f ca="1">IF(ISNUMBER(MATCH(DATEVALUE($A367),'recurring1_based on steps'!C$1:C$400,0)),C$2,)</f>
        <v>0</v>
      </c>
      <c r="D367" s="155">
        <f ca="1">IF(ISNUMBER(MATCH(DATEVALUE($A367),'recurring1_based on steps'!D$1:D$400,0)),D$2,)</f>
        <v>0</v>
      </c>
      <c r="E367" s="155">
        <f ca="1">IF(ISNUMBER(MATCH(DATEVALUE($A367),'recurring1_based on steps'!E$1:E$400,0)),E$2,)</f>
        <v>0</v>
      </c>
      <c r="F367" s="155">
        <f ca="1">IF(ISNUMBER(MATCH(DATEVALUE($A367),'recurring1_based on steps'!F$1:F$400,0)),F$2,)</f>
        <v>0</v>
      </c>
      <c r="G367" s="155">
        <f ca="1">IF(ISNUMBER(MATCH(DATEVALUE($A367),'recurring1_based on steps'!G$1:G$400,0)),G$2,)</f>
        <v>0</v>
      </c>
      <c r="H367" s="155">
        <f ca="1">IF(ISNUMBER(MATCH(DATEVALUE($A367),'recurring1_based on steps'!H$1:H$400,0)),H$2,)</f>
        <v>0</v>
      </c>
      <c r="I367" s="155">
        <f ca="1">IF(ISNUMBER(MATCH(DATEVALUE($A367),'recurring1_based on steps'!I$1:I$400,0)),I$2,)</f>
        <v>0</v>
      </c>
      <c r="J367" s="155">
        <f ca="1">IF(ISNUMBER(MATCH(DATEVALUE($A367),'recurring1_based on steps'!J$1:J$400,0)),J$2,)</f>
        <v>0</v>
      </c>
      <c r="K367" s="155">
        <f ca="1">IF(ISNUMBER(MATCH(DATEVALUE($A367),'recurring1_based on steps'!K$1:K$400,0)),K$2,)</f>
        <v>0</v>
      </c>
      <c r="L367" s="155">
        <f ca="1">IF(ISNUMBER(MATCH(DATEVALUE($A367),'recurring1_based on steps'!L$1:L$400,0)),L$2,)</f>
        <v>0</v>
      </c>
      <c r="M367" s="155">
        <f ca="1">IF(ISNUMBER(MATCH(DATEVALUE($A367),'recurring1_based on steps'!M$1:M$400,0)),M$2,)</f>
        <v>0</v>
      </c>
      <c r="N367" s="155">
        <f ca="1">IF(ISNUMBER(MATCH(DATEVALUE($A367),'recurring1_based on steps'!N$1:N$400,0)),N$2,)</f>
        <v>0</v>
      </c>
      <c r="O367" s="155">
        <f ca="1">IF(ISNUMBER(MATCH(DATEVALUE($A367),'recurring1_based on steps'!O$1:O$400,0)),O$2,)</f>
        <v>0</v>
      </c>
      <c r="P367" s="155">
        <f ca="1">IF(ISNUMBER(MATCH(DATEVALUE($A367),'recurring1_based on steps'!P$1:P$400,0)),P$2,)</f>
        <v>0</v>
      </c>
      <c r="Q367" s="155">
        <f ca="1">IF(ISNUMBER(MATCH(DATEVALUE($A367),'recurring1_based on steps'!Q$1:Q$400,0)),Q$2,)</f>
        <v>0</v>
      </c>
      <c r="R367" s="155">
        <f ca="1">IF(ISNUMBER(MATCH(DATEVALUE($A367),'recurring1_based on steps'!R$1:R$400,0)),R$2,)</f>
        <v>0</v>
      </c>
      <c r="S367" s="155">
        <f ca="1">IF(ISNUMBER(MATCH(DATEVALUE($A367),'recurring1_based on steps'!S$1:S$400,0)),S$2,)</f>
        <v>0</v>
      </c>
      <c r="T367" s="155">
        <f ca="1">IF(ISNUMBER(MATCH(DATEVALUE($A367),'recurring1_based on steps'!T$1:T$400,0)),T$2,)</f>
        <v>0</v>
      </c>
      <c r="U367" s="155">
        <f ca="1">IF(ISNUMBER(MATCH(DATEVALUE($A367),'recurring1_based on steps'!U$1:U$400,0)),U$2,)</f>
        <v>0</v>
      </c>
      <c r="V367" s="155">
        <f ca="1">IF(ISNUMBER(MATCH(DATEVALUE($A367),'recurring1_based on steps'!V$1:V$400,0)),V$2,)</f>
        <v>0</v>
      </c>
      <c r="W367" s="155">
        <f ca="1">IF(ISNUMBER(MATCH(DATEVALUE($A367),'recurring1_based on steps'!W$1:W$400,0)),W$2,)</f>
        <v>0</v>
      </c>
      <c r="X367" s="155">
        <f ca="1">IF(ISNUMBER(MATCH(DATEVALUE($A367),'recurring1_based on steps'!X$1:X$400,0)),X$2,)</f>
        <v>0</v>
      </c>
      <c r="Y367" s="155">
        <f ca="1">IF(ISNUMBER(MATCH(DATEVALUE($A367),'recurring1_based on steps'!Y$1:Y$400,0)),Y$2,)</f>
        <v>0</v>
      </c>
      <c r="Z367" s="155">
        <f ca="1">IF(ISNUMBER(MATCH(DATEVALUE($A367),'recurring1_based on steps'!Z$1:Z$400,0)),Z$2,)</f>
        <v>0</v>
      </c>
      <c r="AA367" s="155">
        <f ca="1">IF(ISNUMBER(MATCH(DATEVALUE($A367),'recurring1_based on steps'!AA$1:AA$400,0)),AA$2,)</f>
        <v>0</v>
      </c>
      <c r="AB367" s="155">
        <f ca="1">IF(ISNUMBER(MATCH(DATEVALUE($A367),'recurring1_based on steps'!AB$1:AB$400,0)),AB$2,)</f>
        <v>0</v>
      </c>
      <c r="AC367" s="155">
        <f ca="1">IF(ISNUMBER(MATCH(DATEVALUE($A367),'recurring1_based on steps'!AC$1:AC$400,0)),AC$2,)</f>
        <v>0</v>
      </c>
      <c r="AD367" s="155">
        <f ca="1">IF(ISNUMBER(MATCH(DATEVALUE($A367),'recurring1_based on steps'!AD$1:AD$400,0)),AD$2,)</f>
        <v>0</v>
      </c>
      <c r="AE367" s="155">
        <f ca="1">IF(ISNUMBER(MATCH(DATEVALUE($A367),'recurring1_based on steps'!AE$1:AE$400,0)),AE$2,)</f>
        <v>0</v>
      </c>
      <c r="AF367" s="155">
        <f ca="1">IF(ISNUMBER(MATCH(DATEVALUE($A367),'recurring1_based on steps'!AF$1:AF$400,0)),AF$2,)</f>
        <v>0</v>
      </c>
      <c r="AG367" s="155">
        <f ca="1">IF(ISNUMBER(MATCH(DATEVALUE($A367),'recurring1_based on steps'!AG$1:AG$400,0)),AG$2,)</f>
        <v>0</v>
      </c>
      <c r="AH367" s="155">
        <f ca="1">IF(ISNUMBER(MATCH(DATEVALUE($A367),'recurring1_based on steps'!AH$1:AH$400,0)),AH$2,)</f>
        <v>0</v>
      </c>
      <c r="AI367" s="155">
        <f ca="1">IF(ISNUMBER(MATCH(DATEVALUE($A367),'recurring1_based on steps'!AI$1:AI$400,0)),AI$2,)</f>
        <v>0</v>
      </c>
      <c r="AJ367" s="155">
        <f ca="1">IF(ISNUMBER(MATCH(DATEVALUE($A367),'recurring1_based on steps'!AJ$1:AJ$400,0)),AJ$2,)</f>
        <v>0</v>
      </c>
      <c r="AK367" s="155">
        <f ca="1">IF(ISNUMBER(MATCH(DATEVALUE($A367),'recurring1_based on steps'!AK$1:AK$400,0)),AK$2,)</f>
        <v>0</v>
      </c>
      <c r="AL367" s="155">
        <f ca="1">IF(ISNUMBER(MATCH(DATEVALUE($A367),'recurring1_based on steps'!AL$1:AL$400,0)),AL$2,)</f>
        <v>0</v>
      </c>
      <c r="AM367" s="155">
        <f ca="1">IF(ISNUMBER(MATCH(DATEVALUE($A367),'recurring1_based on steps'!AM$1:AM$400,0)),AM$2,)</f>
        <v>0</v>
      </c>
      <c r="AN367" s="155">
        <f ca="1">IF(ISNUMBER(MATCH(DATEVALUE($A367),'recurring1_based on steps'!AN$1:AN$400,0)),AN$2,)</f>
        <v>0</v>
      </c>
      <c r="AO367" s="155">
        <f ca="1">IF(ISNUMBER(MATCH(DATEVALUE($A367),'recurring1_based on steps'!AO$1:AO$400,0)),AO$2,)</f>
        <v>0</v>
      </c>
      <c r="AP367" s="155">
        <f ca="1">IF(ISNUMBER(MATCH(DATEVALUE($A367),'recurring1_based on steps'!AP$1:AP$400,0)),AP$2,)</f>
        <v>0</v>
      </c>
      <c r="AQ367" s="155">
        <f ca="1">IF(ISNUMBER(MATCH(DATEVALUE($A367),'recurring1_based on steps'!AQ$1:AQ$400,0)),AQ$2,)</f>
        <v>0</v>
      </c>
      <c r="AR367" s="155">
        <f ca="1">IF(ISNUMBER(MATCH(DATEVALUE($A367),'recurring1_based on steps'!AR$1:AR$400,0)),AR$2,)</f>
        <v>0</v>
      </c>
      <c r="AS367" s="155">
        <f ca="1">IF(ISNUMBER(MATCH(DATEVALUE($A367),'recurring1_based on steps'!AS$1:AS$400,0)),AS$2,)</f>
        <v>0</v>
      </c>
      <c r="AT367" s="155">
        <f ca="1">IF(ISNUMBER(MATCH(DATEVALUE($A367),'recurring1_based on steps'!AT$1:AT$400,0)),AT$2,)</f>
        <v>0</v>
      </c>
      <c r="AU367" s="155">
        <f ca="1">IF(ISNUMBER(MATCH(DATEVALUE($A367),'recurring1_based on steps'!AU$1:AU$400,0)),AU$2,)</f>
        <v>0</v>
      </c>
      <c r="AV367" s="155">
        <f ca="1">IF(ISNUMBER(MATCH(DATEVALUE($A367),'recurring1_based on steps'!AV$1:AV$400,0)),AV$2,)</f>
        <v>0</v>
      </c>
      <c r="AW367" s="155">
        <f ca="1">IF(ISNUMBER(MATCH(DATEVALUE($A367),'recurring1_based on steps'!AW$1:AW$400,0)),AW$2,)</f>
        <v>0</v>
      </c>
      <c r="AX367" s="155">
        <f ca="1">IF(ISNUMBER(MATCH(DATEVALUE($A367),'recurring1_based on steps'!AX$1:AX$400,0)),AX$2,)</f>
        <v>0</v>
      </c>
      <c r="AY367" s="155">
        <f ca="1">IF(ISNUMBER(MATCH(DATEVALUE($A367),'recurring1_based on steps'!AY$1:AY$400,0)),AY$2,)</f>
        <v>0</v>
      </c>
    </row>
    <row r="368" spans="1:51" x14ac:dyDescent="0.2">
      <c r="A368" s="18" t="str">
        <f t="shared" ca="1" si="5"/>
        <v>2026-02-01</v>
      </c>
      <c r="B368" s="155">
        <f ca="1">IF(ISNUMBER(MATCH(DATEVALUE($A368),'recurring1_based on steps'!B$1:B$400,0)),B$2,)</f>
        <v>0</v>
      </c>
      <c r="C368" s="155">
        <f ca="1">IF(ISNUMBER(MATCH(DATEVALUE($A368),'recurring1_based on steps'!C$1:C$400,0)),C$2,)</f>
        <v>0</v>
      </c>
      <c r="D368" s="155">
        <f ca="1">IF(ISNUMBER(MATCH(DATEVALUE($A368),'recurring1_based on steps'!D$1:D$400,0)),D$2,)</f>
        <v>0</v>
      </c>
      <c r="E368" s="155">
        <f ca="1">IF(ISNUMBER(MATCH(DATEVALUE($A368),'recurring1_based on steps'!E$1:E$400,0)),E$2,)</f>
        <v>0</v>
      </c>
      <c r="F368" s="155">
        <f ca="1">IF(ISNUMBER(MATCH(DATEVALUE($A368),'recurring1_based on steps'!F$1:F$400,0)),F$2,)</f>
        <v>0</v>
      </c>
      <c r="G368" s="155">
        <f ca="1">IF(ISNUMBER(MATCH(DATEVALUE($A368),'recurring1_based on steps'!G$1:G$400,0)),G$2,)</f>
        <v>0</v>
      </c>
      <c r="H368" s="155">
        <f ca="1">IF(ISNUMBER(MATCH(DATEVALUE($A368),'recurring1_based on steps'!H$1:H$400,0)),H$2,)</f>
        <v>0</v>
      </c>
      <c r="I368" s="155">
        <f ca="1">IF(ISNUMBER(MATCH(DATEVALUE($A368),'recurring1_based on steps'!I$1:I$400,0)),I$2,)</f>
        <v>0</v>
      </c>
      <c r="J368" s="155">
        <f ca="1">IF(ISNUMBER(MATCH(DATEVALUE($A368),'recurring1_based on steps'!J$1:J$400,0)),J$2,)</f>
        <v>0</v>
      </c>
      <c r="K368" s="155">
        <f ca="1">IF(ISNUMBER(MATCH(DATEVALUE($A368),'recurring1_based on steps'!K$1:K$400,0)),K$2,)</f>
        <v>0</v>
      </c>
      <c r="L368" s="155">
        <f ca="1">IF(ISNUMBER(MATCH(DATEVALUE($A368),'recurring1_based on steps'!L$1:L$400,0)),L$2,)</f>
        <v>0</v>
      </c>
      <c r="M368" s="155">
        <f ca="1">IF(ISNUMBER(MATCH(DATEVALUE($A368),'recurring1_based on steps'!M$1:M$400,0)),M$2,)</f>
        <v>0</v>
      </c>
      <c r="N368" s="155">
        <f ca="1">IF(ISNUMBER(MATCH(DATEVALUE($A368),'recurring1_based on steps'!N$1:N$400,0)),N$2,)</f>
        <v>0</v>
      </c>
      <c r="O368" s="155">
        <f ca="1">IF(ISNUMBER(MATCH(DATEVALUE($A368),'recurring1_based on steps'!O$1:O$400,0)),O$2,)</f>
        <v>0</v>
      </c>
      <c r="P368" s="155">
        <f ca="1">IF(ISNUMBER(MATCH(DATEVALUE($A368),'recurring1_based on steps'!P$1:P$400,0)),P$2,)</f>
        <v>0</v>
      </c>
      <c r="Q368" s="155">
        <f ca="1">IF(ISNUMBER(MATCH(DATEVALUE($A368),'recurring1_based on steps'!Q$1:Q$400,0)),Q$2,)</f>
        <v>0</v>
      </c>
      <c r="R368" s="155">
        <f ca="1">IF(ISNUMBER(MATCH(DATEVALUE($A368),'recurring1_based on steps'!R$1:R$400,0)),R$2,)</f>
        <v>0</v>
      </c>
      <c r="S368" s="155">
        <f ca="1">IF(ISNUMBER(MATCH(DATEVALUE($A368),'recurring1_based on steps'!S$1:S$400,0)),S$2,)</f>
        <v>0</v>
      </c>
      <c r="T368" s="155">
        <f ca="1">IF(ISNUMBER(MATCH(DATEVALUE($A368),'recurring1_based on steps'!T$1:T$400,0)),T$2,)</f>
        <v>0</v>
      </c>
      <c r="U368" s="155">
        <f ca="1">IF(ISNUMBER(MATCH(DATEVALUE($A368),'recurring1_based on steps'!U$1:U$400,0)),U$2,)</f>
        <v>0</v>
      </c>
      <c r="V368" s="155">
        <f ca="1">IF(ISNUMBER(MATCH(DATEVALUE($A368),'recurring1_based on steps'!V$1:V$400,0)),V$2,)</f>
        <v>0</v>
      </c>
      <c r="W368" s="155">
        <f ca="1">IF(ISNUMBER(MATCH(DATEVALUE($A368),'recurring1_based on steps'!W$1:W$400,0)),W$2,)</f>
        <v>0</v>
      </c>
      <c r="X368" s="155">
        <f ca="1">IF(ISNUMBER(MATCH(DATEVALUE($A368),'recurring1_based on steps'!X$1:X$400,0)),X$2,)</f>
        <v>0</v>
      </c>
      <c r="Y368" s="155">
        <f ca="1">IF(ISNUMBER(MATCH(DATEVALUE($A368),'recurring1_based on steps'!Y$1:Y$400,0)),Y$2,)</f>
        <v>0</v>
      </c>
      <c r="Z368" s="155">
        <f ca="1">IF(ISNUMBER(MATCH(DATEVALUE($A368),'recurring1_based on steps'!Z$1:Z$400,0)),Z$2,)</f>
        <v>0</v>
      </c>
      <c r="AA368" s="155">
        <f ca="1">IF(ISNUMBER(MATCH(DATEVALUE($A368),'recurring1_based on steps'!AA$1:AA$400,0)),AA$2,)</f>
        <v>0</v>
      </c>
      <c r="AB368" s="155">
        <f ca="1">IF(ISNUMBER(MATCH(DATEVALUE($A368),'recurring1_based on steps'!AB$1:AB$400,0)),AB$2,)</f>
        <v>0</v>
      </c>
      <c r="AC368" s="155">
        <f ca="1">IF(ISNUMBER(MATCH(DATEVALUE($A368),'recurring1_based on steps'!AC$1:AC$400,0)),AC$2,)</f>
        <v>0</v>
      </c>
      <c r="AD368" s="155">
        <f ca="1">IF(ISNUMBER(MATCH(DATEVALUE($A368),'recurring1_based on steps'!AD$1:AD$400,0)),AD$2,)</f>
        <v>0</v>
      </c>
      <c r="AE368" s="155">
        <f ca="1">IF(ISNUMBER(MATCH(DATEVALUE($A368),'recurring1_based on steps'!AE$1:AE$400,0)),AE$2,)</f>
        <v>0</v>
      </c>
      <c r="AF368" s="155">
        <f ca="1">IF(ISNUMBER(MATCH(DATEVALUE($A368),'recurring1_based on steps'!AF$1:AF$400,0)),AF$2,)</f>
        <v>0</v>
      </c>
      <c r="AG368" s="155">
        <f ca="1">IF(ISNUMBER(MATCH(DATEVALUE($A368),'recurring1_based on steps'!AG$1:AG$400,0)),AG$2,)</f>
        <v>0</v>
      </c>
      <c r="AH368" s="155">
        <f ca="1">IF(ISNUMBER(MATCH(DATEVALUE($A368),'recurring1_based on steps'!AH$1:AH$400,0)),AH$2,)</f>
        <v>0</v>
      </c>
      <c r="AI368" s="155">
        <f ca="1">IF(ISNUMBER(MATCH(DATEVALUE($A368),'recurring1_based on steps'!AI$1:AI$400,0)),AI$2,)</f>
        <v>0</v>
      </c>
      <c r="AJ368" s="155">
        <f ca="1">IF(ISNUMBER(MATCH(DATEVALUE($A368),'recurring1_based on steps'!AJ$1:AJ$400,0)),AJ$2,)</f>
        <v>0</v>
      </c>
      <c r="AK368" s="155">
        <f ca="1">IF(ISNUMBER(MATCH(DATEVALUE($A368),'recurring1_based on steps'!AK$1:AK$400,0)),AK$2,)</f>
        <v>0</v>
      </c>
      <c r="AL368" s="155">
        <f ca="1">IF(ISNUMBER(MATCH(DATEVALUE($A368),'recurring1_based on steps'!AL$1:AL$400,0)),AL$2,)</f>
        <v>0</v>
      </c>
      <c r="AM368" s="155">
        <f ca="1">IF(ISNUMBER(MATCH(DATEVALUE($A368),'recurring1_based on steps'!AM$1:AM$400,0)),AM$2,)</f>
        <v>0</v>
      </c>
      <c r="AN368" s="155">
        <f ca="1">IF(ISNUMBER(MATCH(DATEVALUE($A368),'recurring1_based on steps'!AN$1:AN$400,0)),AN$2,)</f>
        <v>0</v>
      </c>
      <c r="AO368" s="155">
        <f ca="1">IF(ISNUMBER(MATCH(DATEVALUE($A368),'recurring1_based on steps'!AO$1:AO$400,0)),AO$2,)</f>
        <v>0</v>
      </c>
      <c r="AP368" s="155">
        <f ca="1">IF(ISNUMBER(MATCH(DATEVALUE($A368),'recurring1_based on steps'!AP$1:AP$400,0)),AP$2,)</f>
        <v>0</v>
      </c>
      <c r="AQ368" s="155">
        <f ca="1">IF(ISNUMBER(MATCH(DATEVALUE($A368),'recurring1_based on steps'!AQ$1:AQ$400,0)),AQ$2,)</f>
        <v>0</v>
      </c>
      <c r="AR368" s="155">
        <f ca="1">IF(ISNUMBER(MATCH(DATEVALUE($A368),'recurring1_based on steps'!AR$1:AR$400,0)),AR$2,)</f>
        <v>0</v>
      </c>
      <c r="AS368" s="155">
        <f ca="1">IF(ISNUMBER(MATCH(DATEVALUE($A368),'recurring1_based on steps'!AS$1:AS$400,0)),AS$2,)</f>
        <v>0</v>
      </c>
      <c r="AT368" s="155">
        <f ca="1">IF(ISNUMBER(MATCH(DATEVALUE($A368),'recurring1_based on steps'!AT$1:AT$400,0)),AT$2,)</f>
        <v>0</v>
      </c>
      <c r="AU368" s="155">
        <f ca="1">IF(ISNUMBER(MATCH(DATEVALUE($A368),'recurring1_based on steps'!AU$1:AU$400,0)),AU$2,)</f>
        <v>0</v>
      </c>
      <c r="AV368" s="155">
        <f ca="1">IF(ISNUMBER(MATCH(DATEVALUE($A368),'recurring1_based on steps'!AV$1:AV$400,0)),AV$2,)</f>
        <v>0</v>
      </c>
      <c r="AW368" s="155">
        <f ca="1">IF(ISNUMBER(MATCH(DATEVALUE($A368),'recurring1_based on steps'!AW$1:AW$400,0)),AW$2,)</f>
        <v>0</v>
      </c>
      <c r="AX368" s="155">
        <f ca="1">IF(ISNUMBER(MATCH(DATEVALUE($A368),'recurring1_based on steps'!AX$1:AX$400,0)),AX$2,)</f>
        <v>0</v>
      </c>
      <c r="AY368" s="155">
        <f ca="1">IF(ISNUMBER(MATCH(DATEVALUE($A368),'recurring1_based on steps'!AY$1:AY$400,0)),AY$2,)</f>
        <v>0</v>
      </c>
    </row>
    <row r="369" spans="1:51" x14ac:dyDescent="0.2">
      <c r="A369" s="18" t="str">
        <f t="shared" ca="1" si="5"/>
        <v>2026-02-02</v>
      </c>
      <c r="B369" s="155">
        <f ca="1">IF(ISNUMBER(MATCH(DATEVALUE($A369),'recurring1_based on steps'!B$1:B$400,0)),B$2,)</f>
        <v>0</v>
      </c>
      <c r="C369" s="155">
        <f ca="1">IF(ISNUMBER(MATCH(DATEVALUE($A369),'recurring1_based on steps'!C$1:C$400,0)),C$2,)</f>
        <v>0</v>
      </c>
      <c r="D369" s="155">
        <f ca="1">IF(ISNUMBER(MATCH(DATEVALUE($A369),'recurring1_based on steps'!D$1:D$400,0)),D$2,)</f>
        <v>0</v>
      </c>
      <c r="E369" s="155">
        <f ca="1">IF(ISNUMBER(MATCH(DATEVALUE($A369),'recurring1_based on steps'!E$1:E$400,0)),E$2,)</f>
        <v>0</v>
      </c>
      <c r="F369" s="155">
        <f ca="1">IF(ISNUMBER(MATCH(DATEVALUE($A369),'recurring1_based on steps'!F$1:F$400,0)),F$2,)</f>
        <v>0</v>
      </c>
      <c r="G369" s="155">
        <f ca="1">IF(ISNUMBER(MATCH(DATEVALUE($A369),'recurring1_based on steps'!G$1:G$400,0)),G$2,)</f>
        <v>0</v>
      </c>
      <c r="H369" s="155">
        <f ca="1">IF(ISNUMBER(MATCH(DATEVALUE($A369),'recurring1_based on steps'!H$1:H$400,0)),H$2,)</f>
        <v>0</v>
      </c>
      <c r="I369" s="155">
        <f ca="1">IF(ISNUMBER(MATCH(DATEVALUE($A369),'recurring1_based on steps'!I$1:I$400,0)),I$2,)</f>
        <v>0</v>
      </c>
      <c r="J369" s="155">
        <f ca="1">IF(ISNUMBER(MATCH(DATEVALUE($A369),'recurring1_based on steps'!J$1:J$400,0)),J$2,)</f>
        <v>0</v>
      </c>
      <c r="K369" s="155">
        <f ca="1">IF(ISNUMBER(MATCH(DATEVALUE($A369),'recurring1_based on steps'!K$1:K$400,0)),K$2,)</f>
        <v>0</v>
      </c>
      <c r="L369" s="155">
        <f ca="1">IF(ISNUMBER(MATCH(DATEVALUE($A369),'recurring1_based on steps'!L$1:L$400,0)),L$2,)</f>
        <v>0</v>
      </c>
      <c r="M369" s="155">
        <f ca="1">IF(ISNUMBER(MATCH(DATEVALUE($A369),'recurring1_based on steps'!M$1:M$400,0)),M$2,)</f>
        <v>0</v>
      </c>
      <c r="N369" s="155">
        <f ca="1">IF(ISNUMBER(MATCH(DATEVALUE($A369),'recurring1_based on steps'!N$1:N$400,0)),N$2,)</f>
        <v>0</v>
      </c>
      <c r="O369" s="155">
        <f ca="1">IF(ISNUMBER(MATCH(DATEVALUE($A369),'recurring1_based on steps'!O$1:O$400,0)),O$2,)</f>
        <v>0</v>
      </c>
      <c r="P369" s="155">
        <f ca="1">IF(ISNUMBER(MATCH(DATEVALUE($A369),'recurring1_based on steps'!P$1:P$400,0)),P$2,)</f>
        <v>0</v>
      </c>
      <c r="Q369" s="155">
        <f ca="1">IF(ISNUMBER(MATCH(DATEVALUE($A369),'recurring1_based on steps'!Q$1:Q$400,0)),Q$2,)</f>
        <v>0</v>
      </c>
      <c r="R369" s="155">
        <f ca="1">IF(ISNUMBER(MATCH(DATEVALUE($A369),'recurring1_based on steps'!R$1:R$400,0)),R$2,)</f>
        <v>0</v>
      </c>
      <c r="S369" s="155">
        <f ca="1">IF(ISNUMBER(MATCH(DATEVALUE($A369),'recurring1_based on steps'!S$1:S$400,0)),S$2,)</f>
        <v>0</v>
      </c>
      <c r="T369" s="155">
        <f ca="1">IF(ISNUMBER(MATCH(DATEVALUE($A369),'recurring1_based on steps'!T$1:T$400,0)),T$2,)</f>
        <v>0</v>
      </c>
      <c r="U369" s="155">
        <f ca="1">IF(ISNUMBER(MATCH(DATEVALUE($A369),'recurring1_based on steps'!U$1:U$400,0)),U$2,)</f>
        <v>0</v>
      </c>
      <c r="V369" s="155">
        <f ca="1">IF(ISNUMBER(MATCH(DATEVALUE($A369),'recurring1_based on steps'!V$1:V$400,0)),V$2,)</f>
        <v>0</v>
      </c>
      <c r="W369" s="155">
        <f ca="1">IF(ISNUMBER(MATCH(DATEVALUE($A369),'recurring1_based on steps'!W$1:W$400,0)),W$2,)</f>
        <v>0</v>
      </c>
      <c r="X369" s="155">
        <f ca="1">IF(ISNUMBER(MATCH(DATEVALUE($A369),'recurring1_based on steps'!X$1:X$400,0)),X$2,)</f>
        <v>0</v>
      </c>
      <c r="Y369" s="155">
        <f ca="1">IF(ISNUMBER(MATCH(DATEVALUE($A369),'recurring1_based on steps'!Y$1:Y$400,0)),Y$2,)</f>
        <v>0</v>
      </c>
      <c r="Z369" s="155">
        <f ca="1">IF(ISNUMBER(MATCH(DATEVALUE($A369),'recurring1_based on steps'!Z$1:Z$400,0)),Z$2,)</f>
        <v>0</v>
      </c>
      <c r="AA369" s="155">
        <f ca="1">IF(ISNUMBER(MATCH(DATEVALUE($A369),'recurring1_based on steps'!AA$1:AA$400,0)),AA$2,)</f>
        <v>0</v>
      </c>
      <c r="AB369" s="155">
        <f ca="1">IF(ISNUMBER(MATCH(DATEVALUE($A369),'recurring1_based on steps'!AB$1:AB$400,0)),AB$2,)</f>
        <v>0</v>
      </c>
      <c r="AC369" s="155">
        <f ca="1">IF(ISNUMBER(MATCH(DATEVALUE($A369),'recurring1_based on steps'!AC$1:AC$400,0)),AC$2,)</f>
        <v>0</v>
      </c>
      <c r="AD369" s="155">
        <f ca="1">IF(ISNUMBER(MATCH(DATEVALUE($A369),'recurring1_based on steps'!AD$1:AD$400,0)),AD$2,)</f>
        <v>0</v>
      </c>
      <c r="AE369" s="155">
        <f ca="1">IF(ISNUMBER(MATCH(DATEVALUE($A369),'recurring1_based on steps'!AE$1:AE$400,0)),AE$2,)</f>
        <v>0</v>
      </c>
      <c r="AF369" s="155">
        <f ca="1">IF(ISNUMBER(MATCH(DATEVALUE($A369),'recurring1_based on steps'!AF$1:AF$400,0)),AF$2,)</f>
        <v>0</v>
      </c>
      <c r="AG369" s="155">
        <f ca="1">IF(ISNUMBER(MATCH(DATEVALUE($A369),'recurring1_based on steps'!AG$1:AG$400,0)),AG$2,)</f>
        <v>0</v>
      </c>
      <c r="AH369" s="155">
        <f ca="1">IF(ISNUMBER(MATCH(DATEVALUE($A369),'recurring1_based on steps'!AH$1:AH$400,0)),AH$2,)</f>
        <v>0</v>
      </c>
      <c r="AI369" s="155">
        <f ca="1">IF(ISNUMBER(MATCH(DATEVALUE($A369),'recurring1_based on steps'!AI$1:AI$400,0)),AI$2,)</f>
        <v>0</v>
      </c>
      <c r="AJ369" s="155">
        <f ca="1">IF(ISNUMBER(MATCH(DATEVALUE($A369),'recurring1_based on steps'!AJ$1:AJ$400,0)),AJ$2,)</f>
        <v>0</v>
      </c>
      <c r="AK369" s="155">
        <f ca="1">IF(ISNUMBER(MATCH(DATEVALUE($A369),'recurring1_based on steps'!AK$1:AK$400,0)),AK$2,)</f>
        <v>0</v>
      </c>
      <c r="AL369" s="155">
        <f ca="1">IF(ISNUMBER(MATCH(DATEVALUE($A369),'recurring1_based on steps'!AL$1:AL$400,0)),AL$2,)</f>
        <v>0</v>
      </c>
      <c r="AM369" s="155">
        <f ca="1">IF(ISNUMBER(MATCH(DATEVALUE($A369),'recurring1_based on steps'!AM$1:AM$400,0)),AM$2,)</f>
        <v>0</v>
      </c>
      <c r="AN369" s="155">
        <f ca="1">IF(ISNUMBER(MATCH(DATEVALUE($A369),'recurring1_based on steps'!AN$1:AN$400,0)),AN$2,)</f>
        <v>0</v>
      </c>
      <c r="AO369" s="155">
        <f ca="1">IF(ISNUMBER(MATCH(DATEVALUE($A369),'recurring1_based on steps'!AO$1:AO$400,0)),AO$2,)</f>
        <v>0</v>
      </c>
      <c r="AP369" s="155">
        <f ca="1">IF(ISNUMBER(MATCH(DATEVALUE($A369),'recurring1_based on steps'!AP$1:AP$400,0)),AP$2,)</f>
        <v>0</v>
      </c>
      <c r="AQ369" s="155">
        <f ca="1">IF(ISNUMBER(MATCH(DATEVALUE($A369),'recurring1_based on steps'!AQ$1:AQ$400,0)),AQ$2,)</f>
        <v>0</v>
      </c>
      <c r="AR369" s="155">
        <f ca="1">IF(ISNUMBER(MATCH(DATEVALUE($A369),'recurring1_based on steps'!AR$1:AR$400,0)),AR$2,)</f>
        <v>0</v>
      </c>
      <c r="AS369" s="155">
        <f ca="1">IF(ISNUMBER(MATCH(DATEVALUE($A369),'recurring1_based on steps'!AS$1:AS$400,0)),AS$2,)</f>
        <v>0</v>
      </c>
      <c r="AT369" s="155">
        <f ca="1">IF(ISNUMBER(MATCH(DATEVALUE($A369),'recurring1_based on steps'!AT$1:AT$400,0)),AT$2,)</f>
        <v>0</v>
      </c>
      <c r="AU369" s="155">
        <f ca="1">IF(ISNUMBER(MATCH(DATEVALUE($A369),'recurring1_based on steps'!AU$1:AU$400,0)),AU$2,)</f>
        <v>0</v>
      </c>
      <c r="AV369" s="155">
        <f ca="1">IF(ISNUMBER(MATCH(DATEVALUE($A369),'recurring1_based on steps'!AV$1:AV$400,0)),AV$2,)</f>
        <v>0</v>
      </c>
      <c r="AW369" s="155">
        <f ca="1">IF(ISNUMBER(MATCH(DATEVALUE($A369),'recurring1_based on steps'!AW$1:AW$400,0)),AW$2,)</f>
        <v>0</v>
      </c>
      <c r="AX369" s="155">
        <f ca="1">IF(ISNUMBER(MATCH(DATEVALUE($A369),'recurring1_based on steps'!AX$1:AX$400,0)),AX$2,)</f>
        <v>0</v>
      </c>
      <c r="AY369" s="155">
        <f ca="1">IF(ISNUMBER(MATCH(DATEVALUE($A369),'recurring1_based on steps'!AY$1:AY$400,0)),AY$2,)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F6EF3-0F27-4A2C-A824-871E4302F699}">
  <sheetPr codeName="Sheet35">
    <tabColor theme="9"/>
  </sheetPr>
  <dimension ref="A1:U32"/>
  <sheetViews>
    <sheetView workbookViewId="0"/>
  </sheetViews>
  <sheetFormatPr defaultColWidth="8" defaultRowHeight="11.25" x14ac:dyDescent="0.2"/>
  <cols>
    <col min="1" max="1" width="17.28515625" style="157" bestFit="1" customWidth="1"/>
    <col min="2" max="21" width="15.28515625" style="157" customWidth="1"/>
    <col min="22" max="16384" width="8" style="157"/>
  </cols>
  <sheetData>
    <row r="1" spans="1:21" x14ac:dyDescent="0.2">
      <c r="B1" s="157">
        <v>1</v>
      </c>
      <c r="C1" s="157">
        <f>B1+1</f>
        <v>2</v>
      </c>
      <c r="D1" s="157">
        <f t="shared" ref="D1:U1" si="0">C1+1</f>
        <v>3</v>
      </c>
      <c r="E1" s="157">
        <f t="shared" si="0"/>
        <v>4</v>
      </c>
      <c r="F1" s="157">
        <f t="shared" si="0"/>
        <v>5</v>
      </c>
      <c r="G1" s="157">
        <f t="shared" si="0"/>
        <v>6</v>
      </c>
      <c r="H1" s="157">
        <f t="shared" si="0"/>
        <v>7</v>
      </c>
      <c r="I1" s="157">
        <f t="shared" si="0"/>
        <v>8</v>
      </c>
      <c r="J1" s="157">
        <f t="shared" si="0"/>
        <v>9</v>
      </c>
      <c r="K1" s="157">
        <f t="shared" si="0"/>
        <v>10</v>
      </c>
      <c r="L1" s="157">
        <f t="shared" si="0"/>
        <v>11</v>
      </c>
      <c r="M1" s="157">
        <f t="shared" si="0"/>
        <v>12</v>
      </c>
      <c r="N1" s="157">
        <f t="shared" si="0"/>
        <v>13</v>
      </c>
      <c r="O1" s="157">
        <f t="shared" si="0"/>
        <v>14</v>
      </c>
      <c r="P1" s="157">
        <f t="shared" si="0"/>
        <v>15</v>
      </c>
      <c r="Q1" s="157">
        <f t="shared" si="0"/>
        <v>16</v>
      </c>
      <c r="R1" s="157">
        <f t="shared" si="0"/>
        <v>17</v>
      </c>
      <c r="S1" s="157">
        <f t="shared" si="0"/>
        <v>18</v>
      </c>
      <c r="T1" s="157">
        <f t="shared" si="0"/>
        <v>19</v>
      </c>
      <c r="U1" s="157">
        <f t="shared" si="0"/>
        <v>20</v>
      </c>
    </row>
    <row r="2" spans="1:21" x14ac:dyDescent="0.2">
      <c r="A2" s="157" t="s">
        <v>226</v>
      </c>
      <c r="B2" s="177" t="str" cm="1">
        <f t="array" ref="B2:D2">TRANSPOSE(_xlfn._xlws.FILTER(Changes!$B$4:$B$23,ISNUMBER(Changes!$G$4:$G$23)))</f>
        <v>Salary</v>
      </c>
      <c r="C2" s="157" t="str">
        <v>Housing</v>
      </c>
      <c r="D2" s="157" t="str">
        <v>Loans</v>
      </c>
    </row>
    <row r="3" spans="1:21" x14ac:dyDescent="0.2">
      <c r="A3" s="157" t="s">
        <v>330</v>
      </c>
      <c r="B3" s="158" t="str" cm="1">
        <f t="array" ref="B3:D3">TRANSPOSE(_xlfn._xlws.FILTER(Changes!$E$4:$E$23,ISNUMBER(Changes!$G$4:$G$23)))</f>
        <v>Week</v>
      </c>
      <c r="C3" s="157" t="str">
        <v>Month</v>
      </c>
      <c r="D3" s="157" t="str">
        <v>Month</v>
      </c>
    </row>
    <row r="4" spans="1:21" s="159" customFormat="1" x14ac:dyDescent="0.2">
      <c r="A4" s="159" t="s">
        <v>331</v>
      </c>
      <c r="B4" s="160" cm="1">
        <f t="array" ref="B4:D4">TRANSPOSE(_xlfn._xlws.FILTER(Changes!$G$4:$G$23,ISNUMBER(Changes!$G$4:$G$23)))</f>
        <v>2</v>
      </c>
      <c r="C4" s="159">
        <v>1</v>
      </c>
      <c r="D4" s="159">
        <v>1</v>
      </c>
    </row>
    <row r="5" spans="1:21" s="161" customFormat="1" x14ac:dyDescent="0.2">
      <c r="A5" s="161" t="s">
        <v>227</v>
      </c>
      <c r="B5" s="162" cm="1">
        <f t="array" aca="1" ref="B5:D5" ca="1">TRANSPOSE(_xlfn._xlws.FILTER(Changes!$F$4:$F$23,ISNUMBER(Changes!$G$4:$G$23)))</f>
        <v>45714</v>
      </c>
      <c r="C5" s="161">
        <f ca="1"/>
        <v>45747</v>
      </c>
      <c r="D5" s="161">
        <f ca="1"/>
        <v>45808</v>
      </c>
    </row>
    <row r="6" spans="1:21" s="161" customFormat="1" x14ac:dyDescent="0.2"/>
    <row r="7" spans="1:21" s="161" customFormat="1" x14ac:dyDescent="0.2">
      <c r="A7" s="161" t="s">
        <v>228</v>
      </c>
      <c r="B7" s="163" cm="1">
        <f t="array" aca="1" ref="B7:B32" ca="1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45714</v>
      </c>
      <c r="C7" s="163" cm="1">
        <f t="array" aca="1" ref="C7:C18" ca="1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45747</v>
      </c>
      <c r="D7" s="163" cm="1">
        <f t="array" aca="1" ref="D7:D18" ca="1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45808</v>
      </c>
      <c r="E7" s="163" t="str" cm="1">
        <f t="array" ref="E7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F7" s="163" t="str" cm="1">
        <f t="array" ref="F7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G7" s="163" t="str" cm="1">
        <f t="array" ref="G7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H7" s="163" t="str" cm="1">
        <f t="array" ref="H7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I7" s="163" t="str" cm="1">
        <f t="array" ref="I7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J7" s="163" t="str" cm="1">
        <f t="array" ref="J7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K7" s="163" t="str" cm="1">
        <f t="array" ref="K7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L7" s="163" t="str" cm="1">
        <f t="array" ref="L7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M7" s="163" t="str" cm="1">
        <f t="array" ref="M7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N7" s="163" t="str" cm="1">
        <f t="array" ref="N7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O7" s="163" t="str" cm="1">
        <f t="array" ref="O7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P7" s="163" t="str" cm="1">
        <f t="array" ref="P7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Q7" s="163" t="str" cm="1">
        <f t="array" ref="Q7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R7" s="163" t="str" cm="1">
        <f t="array" ref="R7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S7" s="163" t="str" cm="1">
        <f t="array" ref="S7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T7" s="163" t="str" cm="1">
        <f t="array" ref="T7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U7" s="163" t="str" cm="1">
        <f t="array" ref="U7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21" s="161" customFormat="1" x14ac:dyDescent="0.2">
      <c r="B8" s="164">
        <f ca="1"/>
        <v>45728</v>
      </c>
      <c r="C8" s="164">
        <f ca="1"/>
        <v>45777</v>
      </c>
      <c r="D8" s="164">
        <f ca="1"/>
        <v>45838</v>
      </c>
      <c r="E8" s="164"/>
      <c r="F8" s="164"/>
      <c r="G8" s="164"/>
    </row>
    <row r="9" spans="1:21" s="161" customFormat="1" x14ac:dyDescent="0.2">
      <c r="B9" s="161">
        <f ca="1"/>
        <v>45742</v>
      </c>
      <c r="C9" s="161">
        <f ca="1"/>
        <v>45808</v>
      </c>
      <c r="D9" s="161">
        <f ca="1"/>
        <v>45869</v>
      </c>
    </row>
    <row r="10" spans="1:21" s="161" customFormat="1" x14ac:dyDescent="0.2">
      <c r="B10" s="161">
        <f ca="1"/>
        <v>45756</v>
      </c>
      <c r="C10" s="161">
        <f ca="1"/>
        <v>45838</v>
      </c>
      <c r="D10" s="161">
        <f ca="1"/>
        <v>45900</v>
      </c>
    </row>
    <row r="11" spans="1:21" s="161" customFormat="1" x14ac:dyDescent="0.2">
      <c r="B11" s="161">
        <f ca="1"/>
        <v>45770</v>
      </c>
      <c r="C11" s="161">
        <f ca="1"/>
        <v>45869</v>
      </c>
      <c r="D11" s="161">
        <f ca="1"/>
        <v>45930</v>
      </c>
    </row>
    <row r="12" spans="1:21" s="161" customFormat="1" x14ac:dyDescent="0.2">
      <c r="B12" s="161">
        <f ca="1"/>
        <v>45784</v>
      </c>
      <c r="C12" s="161">
        <f ca="1"/>
        <v>45900</v>
      </c>
      <c r="D12" s="161">
        <f ca="1"/>
        <v>45961</v>
      </c>
      <c r="G12" s="165"/>
    </row>
    <row r="13" spans="1:21" s="161" customFormat="1" x14ac:dyDescent="0.2">
      <c r="B13" s="161">
        <f ca="1"/>
        <v>45798</v>
      </c>
      <c r="C13" s="161">
        <f ca="1"/>
        <v>45930</v>
      </c>
      <c r="D13" s="161">
        <f ca="1"/>
        <v>45991</v>
      </c>
    </row>
    <row r="14" spans="1:21" s="161" customFormat="1" x14ac:dyDescent="0.2">
      <c r="B14" s="161">
        <f ca="1"/>
        <v>45812</v>
      </c>
      <c r="C14" s="161">
        <f ca="1"/>
        <v>45961</v>
      </c>
      <c r="D14" s="161">
        <f ca="1"/>
        <v>46022</v>
      </c>
    </row>
    <row r="15" spans="1:21" s="161" customFormat="1" x14ac:dyDescent="0.2">
      <c r="B15" s="161">
        <f ca="1"/>
        <v>45826</v>
      </c>
      <c r="C15" s="161">
        <f ca="1"/>
        <v>45991</v>
      </c>
      <c r="D15" s="161">
        <f ca="1"/>
        <v>46053</v>
      </c>
    </row>
    <row r="16" spans="1:21" s="161" customFormat="1" x14ac:dyDescent="0.2">
      <c r="B16" s="161">
        <f ca="1"/>
        <v>45840</v>
      </c>
      <c r="C16" s="161">
        <f ca="1"/>
        <v>46022</v>
      </c>
      <c r="D16" s="161">
        <f ca="1"/>
        <v>46081</v>
      </c>
    </row>
    <row r="17" spans="2:4" s="161" customFormat="1" x14ac:dyDescent="0.2">
      <c r="B17" s="161">
        <f ca="1"/>
        <v>45854</v>
      </c>
      <c r="C17" s="161">
        <f ca="1"/>
        <v>46053</v>
      </c>
      <c r="D17" s="161">
        <f ca="1"/>
        <v>46112</v>
      </c>
    </row>
    <row r="18" spans="2:4" s="161" customFormat="1" x14ac:dyDescent="0.2">
      <c r="B18" s="161">
        <f ca="1"/>
        <v>45868</v>
      </c>
      <c r="C18" s="161">
        <f ca="1"/>
        <v>46081</v>
      </c>
      <c r="D18" s="161">
        <f ca="1"/>
        <v>46142</v>
      </c>
    </row>
    <row r="19" spans="2:4" s="161" customFormat="1" x14ac:dyDescent="0.2">
      <c r="B19" s="161">
        <f ca="1"/>
        <v>45882</v>
      </c>
    </row>
    <row r="20" spans="2:4" s="161" customFormat="1" x14ac:dyDescent="0.2">
      <c r="B20" s="161">
        <f ca="1"/>
        <v>45896</v>
      </c>
    </row>
    <row r="21" spans="2:4" s="161" customFormat="1" x14ac:dyDescent="0.2">
      <c r="B21" s="161">
        <f ca="1"/>
        <v>45910</v>
      </c>
    </row>
    <row r="22" spans="2:4" s="161" customFormat="1" x14ac:dyDescent="0.2">
      <c r="B22" s="161">
        <f ca="1"/>
        <v>45924</v>
      </c>
    </row>
    <row r="23" spans="2:4" s="161" customFormat="1" x14ac:dyDescent="0.2">
      <c r="B23" s="161">
        <f ca="1"/>
        <v>45938</v>
      </c>
    </row>
    <row r="24" spans="2:4" s="161" customFormat="1" x14ac:dyDescent="0.2">
      <c r="B24" s="161">
        <f ca="1"/>
        <v>45952</v>
      </c>
    </row>
    <row r="25" spans="2:4" s="161" customFormat="1" x14ac:dyDescent="0.2">
      <c r="B25" s="161">
        <f ca="1"/>
        <v>45966</v>
      </c>
    </row>
    <row r="26" spans="2:4" s="161" customFormat="1" x14ac:dyDescent="0.2">
      <c r="B26" s="161">
        <f ca="1"/>
        <v>45980</v>
      </c>
    </row>
    <row r="27" spans="2:4" s="161" customFormat="1" x14ac:dyDescent="0.2">
      <c r="B27" s="161">
        <f ca="1"/>
        <v>45994</v>
      </c>
    </row>
    <row r="28" spans="2:4" s="161" customFormat="1" x14ac:dyDescent="0.2">
      <c r="B28" s="161">
        <f ca="1"/>
        <v>46008</v>
      </c>
    </row>
    <row r="29" spans="2:4" s="161" customFormat="1" x14ac:dyDescent="0.2">
      <c r="B29" s="161">
        <f ca="1"/>
        <v>46022</v>
      </c>
    </row>
    <row r="30" spans="2:4" s="161" customFormat="1" x14ac:dyDescent="0.2">
      <c r="B30" s="161">
        <f ca="1"/>
        <v>46036</v>
      </c>
    </row>
    <row r="31" spans="2:4" s="161" customFormat="1" x14ac:dyDescent="0.2">
      <c r="B31" s="161">
        <f ca="1"/>
        <v>46050</v>
      </c>
    </row>
    <row r="32" spans="2:4" s="161" customFormat="1" x14ac:dyDescent="0.2">
      <c r="B32" s="161">
        <f ca="1"/>
        <v>46064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703D-FF14-4185-9D34-747099C817D0}">
  <sheetPr codeName="Sheet39">
    <tabColor theme="9"/>
  </sheetPr>
  <dimension ref="A1:U371"/>
  <sheetViews>
    <sheetView workbookViewId="0"/>
  </sheetViews>
  <sheetFormatPr defaultColWidth="8" defaultRowHeight="12.75" x14ac:dyDescent="0.2"/>
  <cols>
    <col min="1" max="26" width="10.140625" style="19" bestFit="1" customWidth="1"/>
    <col min="27" max="16384" width="8" style="19"/>
  </cols>
  <sheetData>
    <row r="1" spans="1:21" x14ac:dyDescent="0.2">
      <c r="B1" s="19" t="str" cm="1">
        <f t="array" ref="B1:D1">TRANSPOSE(_xlfn._xlws.FILTER(Changes!$B$4:$B$23,ISNUMBER(Changes!$G$4:$G$23)))</f>
        <v>Salary</v>
      </c>
      <c r="C1" s="19" t="str">
        <v>Housing</v>
      </c>
      <c r="D1" s="19" t="str">
        <v>Loans</v>
      </c>
    </row>
    <row r="2" spans="1:21" s="155" customFormat="1" x14ac:dyDescent="0.2">
      <c r="B2" s="155" cm="1">
        <f t="array" ref="B2:D2">TRANSPOSE(_xlfn._xlws.FILTER(Changes!$D$4:$D$23,ISNUMBER(Changes!$G$4:$G$23)))</f>
        <v>100</v>
      </c>
      <c r="C2" s="155">
        <v>50</v>
      </c>
      <c r="D2" s="155">
        <v>-100</v>
      </c>
    </row>
    <row r="3" spans="1:21" x14ac:dyDescent="0.2">
      <c r="A3" s="18" t="str">
        <f ca="1">TEXT(TODAY(),"yyyy-mm-dd")</f>
        <v>2025-02-01</v>
      </c>
      <c r="B3" s="155">
        <f ca="1">IF(ISNUMBER(MATCH(DATEVALUE($A3),'changes1_based on steps'!B$1:B$400,0)),B$2,)</f>
        <v>0</v>
      </c>
      <c r="C3" s="155">
        <f ca="1">IF(ISNUMBER(MATCH(DATEVALUE($A3),'changes1_based on steps'!C$1:C$400,0)),C$2,)</f>
        <v>0</v>
      </c>
      <c r="D3" s="155">
        <f ca="1">IF(ISNUMBER(MATCH(DATEVALUE($A3),'changes1_based on steps'!D$1:D$400,0)),D$2,)</f>
        <v>0</v>
      </c>
      <c r="E3" s="155">
        <f ca="1">IF(ISNUMBER(MATCH(DATEVALUE($A3),'changes1_based on steps'!E$1:E$400,0)),E$2,)</f>
        <v>0</v>
      </c>
      <c r="F3" s="155">
        <f ca="1">IF(ISNUMBER(MATCH(DATEVALUE($A3),'changes1_based on steps'!F$1:F$400,0)),F$2,)</f>
        <v>0</v>
      </c>
      <c r="G3" s="155">
        <f ca="1">IF(ISNUMBER(MATCH(DATEVALUE($A3),'changes1_based on steps'!G$1:G$400,0)),G$2,)</f>
        <v>0</v>
      </c>
      <c r="H3" s="155">
        <f ca="1">IF(ISNUMBER(MATCH(DATEVALUE($A3),'changes1_based on steps'!H$1:H$400,0)),H$2,)</f>
        <v>0</v>
      </c>
      <c r="I3" s="155">
        <f ca="1">IF(ISNUMBER(MATCH(DATEVALUE($A3),'changes1_based on steps'!I$1:I$400,0)),I$2,)</f>
        <v>0</v>
      </c>
      <c r="J3" s="155">
        <f ca="1">IF(ISNUMBER(MATCH(DATEVALUE($A3),'changes1_based on steps'!J$1:J$400,0)),J$2,)</f>
        <v>0</v>
      </c>
      <c r="K3" s="155">
        <f ca="1">IF(ISNUMBER(MATCH(DATEVALUE($A3),'changes1_based on steps'!K$1:K$400,0)),K$2,)</f>
        <v>0</v>
      </c>
      <c r="L3" s="155">
        <f ca="1">IF(ISNUMBER(MATCH(DATEVALUE($A3),'changes1_based on steps'!L$1:L$400,0)),L$2,)</f>
        <v>0</v>
      </c>
      <c r="M3" s="155">
        <f ca="1">IF(ISNUMBER(MATCH(DATEVALUE($A3),'changes1_based on steps'!M$1:M$400,0)),M$2,)</f>
        <v>0</v>
      </c>
      <c r="N3" s="155">
        <f ca="1">IF(ISNUMBER(MATCH(DATEVALUE($A3),'changes1_based on steps'!N$1:N$400,0)),N$2,)</f>
        <v>0</v>
      </c>
      <c r="O3" s="155">
        <f ca="1">IF(ISNUMBER(MATCH(DATEVALUE($A3),'changes1_based on steps'!O$1:O$400,0)),O$2,)</f>
        <v>0</v>
      </c>
      <c r="P3" s="155">
        <f ca="1">IF(ISNUMBER(MATCH(DATEVALUE($A3),'changes1_based on steps'!P$1:P$400,0)),P$2,)</f>
        <v>0</v>
      </c>
      <c r="Q3" s="155">
        <f ca="1">IF(ISNUMBER(MATCH(DATEVALUE($A3),'changes1_based on steps'!Q$1:Q$400,0)),Q$2,)</f>
        <v>0</v>
      </c>
      <c r="R3" s="155">
        <f ca="1">IF(ISNUMBER(MATCH(DATEVALUE($A3),'changes1_based on steps'!R$1:R$400,0)),R$2,)</f>
        <v>0</v>
      </c>
      <c r="S3" s="155">
        <f ca="1">IF(ISNUMBER(MATCH(DATEVALUE($A3),'changes1_based on steps'!S$1:S$400,0)),S$2,)</f>
        <v>0</v>
      </c>
      <c r="T3" s="155">
        <f ca="1">IF(ISNUMBER(MATCH(DATEVALUE($A3),'changes1_based on steps'!T$1:T$400,0)),T$2,)</f>
        <v>0</v>
      </c>
      <c r="U3" s="155">
        <f ca="1">IF(ISNUMBER(MATCH(DATEVALUE($A3),'changes1_based on steps'!U$1:U$400,0)),U$2,)</f>
        <v>0</v>
      </c>
    </row>
    <row r="4" spans="1:21" x14ac:dyDescent="0.2">
      <c r="A4" s="18" t="str">
        <f ca="1">TEXT(DATEVALUE(A3)+1,"yyyy-mm-dd")</f>
        <v>2025-02-02</v>
      </c>
      <c r="B4" s="155">
        <f ca="1">IF(ISNUMBER(MATCH(DATEVALUE($A4),'changes1_based on steps'!B$1:B$400,0)),B$2,)</f>
        <v>0</v>
      </c>
      <c r="C4" s="155">
        <f ca="1">IF(ISNUMBER(MATCH(DATEVALUE($A4),'changes1_based on steps'!C$1:C$400,0)),C$2,)</f>
        <v>0</v>
      </c>
      <c r="D4" s="155">
        <f ca="1">IF(ISNUMBER(MATCH(DATEVALUE($A4),'changes1_based on steps'!D$1:D$400,0)),D$2,)</f>
        <v>0</v>
      </c>
      <c r="E4" s="155">
        <f ca="1">IF(ISNUMBER(MATCH(DATEVALUE($A4),'changes1_based on steps'!E$1:E$400,0)),E$2,)</f>
        <v>0</v>
      </c>
      <c r="F4" s="155">
        <f ca="1">IF(ISNUMBER(MATCH(DATEVALUE($A4),'changes1_based on steps'!F$1:F$400,0)),F$2,)</f>
        <v>0</v>
      </c>
      <c r="G4" s="155">
        <f ca="1">IF(ISNUMBER(MATCH(DATEVALUE($A4),'changes1_based on steps'!G$1:G$400,0)),G$2,)</f>
        <v>0</v>
      </c>
      <c r="H4" s="155">
        <f ca="1">IF(ISNUMBER(MATCH(DATEVALUE($A4),'changes1_based on steps'!H$1:H$400,0)),H$2,)</f>
        <v>0</v>
      </c>
      <c r="I4" s="155">
        <f ca="1">IF(ISNUMBER(MATCH(DATEVALUE($A4),'changes1_based on steps'!I$1:I$400,0)),I$2,)</f>
        <v>0</v>
      </c>
      <c r="J4" s="155">
        <f ca="1">IF(ISNUMBER(MATCH(DATEVALUE($A4),'changes1_based on steps'!J$1:J$400,0)),J$2,)</f>
        <v>0</v>
      </c>
      <c r="K4" s="155">
        <f ca="1">IF(ISNUMBER(MATCH(DATEVALUE($A4),'changes1_based on steps'!K$1:K$400,0)),K$2,)</f>
        <v>0</v>
      </c>
      <c r="L4" s="155">
        <f ca="1">IF(ISNUMBER(MATCH(DATEVALUE($A4),'changes1_based on steps'!L$1:L$400,0)),L$2,)</f>
        <v>0</v>
      </c>
      <c r="M4" s="155">
        <f ca="1">IF(ISNUMBER(MATCH(DATEVALUE($A4),'changes1_based on steps'!M$1:M$400,0)),M$2,)</f>
        <v>0</v>
      </c>
      <c r="N4" s="155">
        <f ca="1">IF(ISNUMBER(MATCH(DATEVALUE($A4),'changes1_based on steps'!N$1:N$400,0)),N$2,)</f>
        <v>0</v>
      </c>
      <c r="O4" s="155">
        <f ca="1">IF(ISNUMBER(MATCH(DATEVALUE($A4),'changes1_based on steps'!O$1:O$400,0)),O$2,)</f>
        <v>0</v>
      </c>
      <c r="P4" s="155">
        <f ca="1">IF(ISNUMBER(MATCH(DATEVALUE($A4),'changes1_based on steps'!P$1:P$400,0)),P$2,)</f>
        <v>0</v>
      </c>
      <c r="Q4" s="155">
        <f ca="1">IF(ISNUMBER(MATCH(DATEVALUE($A4),'changes1_based on steps'!Q$1:Q$400,0)),Q$2,)</f>
        <v>0</v>
      </c>
      <c r="R4" s="155">
        <f ca="1">IF(ISNUMBER(MATCH(DATEVALUE($A4),'changes1_based on steps'!R$1:R$400,0)),R$2,)</f>
        <v>0</v>
      </c>
      <c r="S4" s="155">
        <f ca="1">IF(ISNUMBER(MATCH(DATEVALUE($A4),'changes1_based on steps'!S$1:S$400,0)),S$2,)</f>
        <v>0</v>
      </c>
      <c r="T4" s="155">
        <f ca="1">IF(ISNUMBER(MATCH(DATEVALUE($A4),'changes1_based on steps'!T$1:T$400,0)),T$2,)</f>
        <v>0</v>
      </c>
      <c r="U4" s="155">
        <f ca="1">IF(ISNUMBER(MATCH(DATEVALUE($A4),'changes1_based on steps'!U$1:U$400,0)),U$2,)</f>
        <v>0</v>
      </c>
    </row>
    <row r="5" spans="1:21" x14ac:dyDescent="0.2">
      <c r="A5" s="18" t="str">
        <f t="shared" ref="A5:A68" ca="1" si="0">TEXT(DATEVALUE(A4)+1,"yyyy-mm-dd")</f>
        <v>2025-02-03</v>
      </c>
      <c r="B5" s="155">
        <f ca="1">IF(ISNUMBER(MATCH(DATEVALUE($A5),'changes1_based on steps'!B$1:B$400,0)),B$2,)</f>
        <v>0</v>
      </c>
      <c r="C5" s="155">
        <f ca="1">IF(ISNUMBER(MATCH(DATEVALUE($A5),'changes1_based on steps'!C$1:C$400,0)),C$2,)</f>
        <v>0</v>
      </c>
      <c r="D5" s="155">
        <f ca="1">IF(ISNUMBER(MATCH(DATEVALUE($A5),'changes1_based on steps'!D$1:D$400,0)),D$2,)</f>
        <v>0</v>
      </c>
      <c r="E5" s="155">
        <f ca="1">IF(ISNUMBER(MATCH(DATEVALUE($A5),'changes1_based on steps'!E$1:E$400,0)),E$2,)</f>
        <v>0</v>
      </c>
      <c r="F5" s="155">
        <f ca="1">IF(ISNUMBER(MATCH(DATEVALUE($A5),'changes1_based on steps'!F$1:F$400,0)),F$2,)</f>
        <v>0</v>
      </c>
      <c r="G5" s="155">
        <f ca="1">IF(ISNUMBER(MATCH(DATEVALUE($A5),'changes1_based on steps'!G$1:G$400,0)),G$2,)</f>
        <v>0</v>
      </c>
      <c r="H5" s="155">
        <f ca="1">IF(ISNUMBER(MATCH(DATEVALUE($A5),'changes1_based on steps'!H$1:H$400,0)),H$2,)</f>
        <v>0</v>
      </c>
      <c r="I5" s="155">
        <f ca="1">IF(ISNUMBER(MATCH(DATEVALUE($A5),'changes1_based on steps'!I$1:I$400,0)),I$2,)</f>
        <v>0</v>
      </c>
      <c r="J5" s="155">
        <f ca="1">IF(ISNUMBER(MATCH(DATEVALUE($A5),'changes1_based on steps'!J$1:J$400,0)),J$2,)</f>
        <v>0</v>
      </c>
      <c r="K5" s="155">
        <f ca="1">IF(ISNUMBER(MATCH(DATEVALUE($A5),'changes1_based on steps'!K$1:K$400,0)),K$2,)</f>
        <v>0</v>
      </c>
      <c r="L5" s="155">
        <f ca="1">IF(ISNUMBER(MATCH(DATEVALUE($A5),'changes1_based on steps'!L$1:L$400,0)),L$2,)</f>
        <v>0</v>
      </c>
      <c r="M5" s="155">
        <f ca="1">IF(ISNUMBER(MATCH(DATEVALUE($A5),'changes1_based on steps'!M$1:M$400,0)),M$2,)</f>
        <v>0</v>
      </c>
      <c r="N5" s="155">
        <f ca="1">IF(ISNUMBER(MATCH(DATEVALUE($A5),'changes1_based on steps'!N$1:N$400,0)),N$2,)</f>
        <v>0</v>
      </c>
      <c r="O5" s="155">
        <f ca="1">IF(ISNUMBER(MATCH(DATEVALUE($A5),'changes1_based on steps'!O$1:O$400,0)),O$2,)</f>
        <v>0</v>
      </c>
      <c r="P5" s="155">
        <f ca="1">IF(ISNUMBER(MATCH(DATEVALUE($A5),'changes1_based on steps'!P$1:P$400,0)),P$2,)</f>
        <v>0</v>
      </c>
      <c r="Q5" s="155">
        <f ca="1">IF(ISNUMBER(MATCH(DATEVALUE($A5),'changes1_based on steps'!Q$1:Q$400,0)),Q$2,)</f>
        <v>0</v>
      </c>
      <c r="R5" s="155">
        <f ca="1">IF(ISNUMBER(MATCH(DATEVALUE($A5),'changes1_based on steps'!R$1:R$400,0)),R$2,)</f>
        <v>0</v>
      </c>
      <c r="S5" s="155">
        <f ca="1">IF(ISNUMBER(MATCH(DATEVALUE($A5),'changes1_based on steps'!S$1:S$400,0)),S$2,)</f>
        <v>0</v>
      </c>
      <c r="T5" s="155">
        <f ca="1">IF(ISNUMBER(MATCH(DATEVALUE($A5),'changes1_based on steps'!T$1:T$400,0)),T$2,)</f>
        <v>0</v>
      </c>
      <c r="U5" s="155">
        <f ca="1">IF(ISNUMBER(MATCH(DATEVALUE($A5),'changes1_based on steps'!U$1:U$400,0)),U$2,)</f>
        <v>0</v>
      </c>
    </row>
    <row r="6" spans="1:21" x14ac:dyDescent="0.2">
      <c r="A6" s="18" t="str">
        <f t="shared" ca="1" si="0"/>
        <v>2025-02-04</v>
      </c>
      <c r="B6" s="155">
        <f ca="1">IF(ISNUMBER(MATCH(DATEVALUE($A6),'changes1_based on steps'!B$1:B$400,0)),B$2,)</f>
        <v>0</v>
      </c>
      <c r="C6" s="155">
        <f ca="1">IF(ISNUMBER(MATCH(DATEVALUE($A6),'changes1_based on steps'!C$1:C$400,0)),C$2,)</f>
        <v>0</v>
      </c>
      <c r="D6" s="155">
        <f ca="1">IF(ISNUMBER(MATCH(DATEVALUE($A6),'changes1_based on steps'!D$1:D$400,0)),D$2,)</f>
        <v>0</v>
      </c>
      <c r="E6" s="155">
        <f ca="1">IF(ISNUMBER(MATCH(DATEVALUE($A6),'changes1_based on steps'!E$1:E$400,0)),E$2,)</f>
        <v>0</v>
      </c>
      <c r="F6" s="155">
        <f ca="1">IF(ISNUMBER(MATCH(DATEVALUE($A6),'changes1_based on steps'!F$1:F$400,0)),F$2,)</f>
        <v>0</v>
      </c>
      <c r="G6" s="155">
        <f ca="1">IF(ISNUMBER(MATCH(DATEVALUE($A6),'changes1_based on steps'!G$1:G$400,0)),G$2,)</f>
        <v>0</v>
      </c>
      <c r="H6" s="155">
        <f ca="1">IF(ISNUMBER(MATCH(DATEVALUE($A6),'changes1_based on steps'!H$1:H$400,0)),H$2,)</f>
        <v>0</v>
      </c>
      <c r="I6" s="155">
        <f ca="1">IF(ISNUMBER(MATCH(DATEVALUE($A6),'changes1_based on steps'!I$1:I$400,0)),I$2,)</f>
        <v>0</v>
      </c>
      <c r="J6" s="155">
        <f ca="1">IF(ISNUMBER(MATCH(DATEVALUE($A6),'changes1_based on steps'!J$1:J$400,0)),J$2,)</f>
        <v>0</v>
      </c>
      <c r="K6" s="155">
        <f ca="1">IF(ISNUMBER(MATCH(DATEVALUE($A6),'changes1_based on steps'!K$1:K$400,0)),K$2,)</f>
        <v>0</v>
      </c>
      <c r="L6" s="155">
        <f ca="1">IF(ISNUMBER(MATCH(DATEVALUE($A6),'changes1_based on steps'!L$1:L$400,0)),L$2,)</f>
        <v>0</v>
      </c>
      <c r="M6" s="155">
        <f ca="1">IF(ISNUMBER(MATCH(DATEVALUE($A6),'changes1_based on steps'!M$1:M$400,0)),M$2,)</f>
        <v>0</v>
      </c>
      <c r="N6" s="155">
        <f ca="1">IF(ISNUMBER(MATCH(DATEVALUE($A6),'changes1_based on steps'!N$1:N$400,0)),N$2,)</f>
        <v>0</v>
      </c>
      <c r="O6" s="155">
        <f ca="1">IF(ISNUMBER(MATCH(DATEVALUE($A6),'changes1_based on steps'!O$1:O$400,0)),O$2,)</f>
        <v>0</v>
      </c>
      <c r="P6" s="155">
        <f ca="1">IF(ISNUMBER(MATCH(DATEVALUE($A6),'changes1_based on steps'!P$1:P$400,0)),P$2,)</f>
        <v>0</v>
      </c>
      <c r="Q6" s="155">
        <f ca="1">IF(ISNUMBER(MATCH(DATEVALUE($A6),'changes1_based on steps'!Q$1:Q$400,0)),Q$2,)</f>
        <v>0</v>
      </c>
      <c r="R6" s="155">
        <f ca="1">IF(ISNUMBER(MATCH(DATEVALUE($A6),'changes1_based on steps'!R$1:R$400,0)),R$2,)</f>
        <v>0</v>
      </c>
      <c r="S6" s="155">
        <f ca="1">IF(ISNUMBER(MATCH(DATEVALUE($A6),'changes1_based on steps'!S$1:S$400,0)),S$2,)</f>
        <v>0</v>
      </c>
      <c r="T6" s="155">
        <f ca="1">IF(ISNUMBER(MATCH(DATEVALUE($A6),'changes1_based on steps'!T$1:T$400,0)),T$2,)</f>
        <v>0</v>
      </c>
      <c r="U6" s="155">
        <f ca="1">IF(ISNUMBER(MATCH(DATEVALUE($A6),'changes1_based on steps'!U$1:U$400,0)),U$2,)</f>
        <v>0</v>
      </c>
    </row>
    <row r="7" spans="1:21" x14ac:dyDescent="0.2">
      <c r="A7" s="18" t="str">
        <f t="shared" ca="1" si="0"/>
        <v>2025-02-05</v>
      </c>
      <c r="B7" s="155">
        <f ca="1">IF(ISNUMBER(MATCH(DATEVALUE($A7),'changes1_based on steps'!B$1:B$400,0)),B$2,)</f>
        <v>0</v>
      </c>
      <c r="C7" s="155">
        <f ca="1">IF(ISNUMBER(MATCH(DATEVALUE($A7),'changes1_based on steps'!C$1:C$400,0)),C$2,)</f>
        <v>0</v>
      </c>
      <c r="D7" s="155">
        <f ca="1">IF(ISNUMBER(MATCH(DATEVALUE($A7),'changes1_based on steps'!D$1:D$400,0)),D$2,)</f>
        <v>0</v>
      </c>
      <c r="E7" s="155">
        <f ca="1">IF(ISNUMBER(MATCH(DATEVALUE($A7),'changes1_based on steps'!E$1:E$400,0)),E$2,)</f>
        <v>0</v>
      </c>
      <c r="F7" s="155">
        <f ca="1">IF(ISNUMBER(MATCH(DATEVALUE($A7),'changes1_based on steps'!F$1:F$400,0)),F$2,)</f>
        <v>0</v>
      </c>
      <c r="G7" s="155">
        <f ca="1">IF(ISNUMBER(MATCH(DATEVALUE($A7),'changes1_based on steps'!G$1:G$400,0)),G$2,)</f>
        <v>0</v>
      </c>
      <c r="H7" s="155">
        <f ca="1">IF(ISNUMBER(MATCH(DATEVALUE($A7),'changes1_based on steps'!H$1:H$400,0)),H$2,)</f>
        <v>0</v>
      </c>
      <c r="I7" s="155">
        <f ca="1">IF(ISNUMBER(MATCH(DATEVALUE($A7),'changes1_based on steps'!I$1:I$400,0)),I$2,)</f>
        <v>0</v>
      </c>
      <c r="J7" s="155">
        <f ca="1">IF(ISNUMBER(MATCH(DATEVALUE($A7),'changes1_based on steps'!J$1:J$400,0)),J$2,)</f>
        <v>0</v>
      </c>
      <c r="K7" s="155">
        <f ca="1">IF(ISNUMBER(MATCH(DATEVALUE($A7),'changes1_based on steps'!K$1:K$400,0)),K$2,)</f>
        <v>0</v>
      </c>
      <c r="L7" s="155">
        <f ca="1">IF(ISNUMBER(MATCH(DATEVALUE($A7),'changes1_based on steps'!L$1:L$400,0)),L$2,)</f>
        <v>0</v>
      </c>
      <c r="M7" s="155">
        <f ca="1">IF(ISNUMBER(MATCH(DATEVALUE($A7),'changes1_based on steps'!M$1:M$400,0)),M$2,)</f>
        <v>0</v>
      </c>
      <c r="N7" s="155">
        <f ca="1">IF(ISNUMBER(MATCH(DATEVALUE($A7),'changes1_based on steps'!N$1:N$400,0)),N$2,)</f>
        <v>0</v>
      </c>
      <c r="O7" s="155">
        <f ca="1">IF(ISNUMBER(MATCH(DATEVALUE($A7),'changes1_based on steps'!O$1:O$400,0)),O$2,)</f>
        <v>0</v>
      </c>
      <c r="P7" s="155">
        <f ca="1">IF(ISNUMBER(MATCH(DATEVALUE($A7),'changes1_based on steps'!P$1:P$400,0)),P$2,)</f>
        <v>0</v>
      </c>
      <c r="Q7" s="155">
        <f ca="1">IF(ISNUMBER(MATCH(DATEVALUE($A7),'changes1_based on steps'!Q$1:Q$400,0)),Q$2,)</f>
        <v>0</v>
      </c>
      <c r="R7" s="155">
        <f ca="1">IF(ISNUMBER(MATCH(DATEVALUE($A7),'changes1_based on steps'!R$1:R$400,0)),R$2,)</f>
        <v>0</v>
      </c>
      <c r="S7" s="155">
        <f ca="1">IF(ISNUMBER(MATCH(DATEVALUE($A7),'changes1_based on steps'!S$1:S$400,0)),S$2,)</f>
        <v>0</v>
      </c>
      <c r="T7" s="155">
        <f ca="1">IF(ISNUMBER(MATCH(DATEVALUE($A7),'changes1_based on steps'!T$1:T$400,0)),T$2,)</f>
        <v>0</v>
      </c>
      <c r="U7" s="155">
        <f ca="1">IF(ISNUMBER(MATCH(DATEVALUE($A7),'changes1_based on steps'!U$1:U$400,0)),U$2,)</f>
        <v>0</v>
      </c>
    </row>
    <row r="8" spans="1:21" x14ac:dyDescent="0.2">
      <c r="A8" s="18" t="str">
        <f t="shared" ca="1" si="0"/>
        <v>2025-02-06</v>
      </c>
      <c r="B8" s="155">
        <f ca="1">IF(ISNUMBER(MATCH(DATEVALUE($A8),'changes1_based on steps'!B$1:B$400,0)),B$2,)</f>
        <v>0</v>
      </c>
      <c r="C8" s="155">
        <f ca="1">IF(ISNUMBER(MATCH(DATEVALUE($A8),'changes1_based on steps'!C$1:C$400,0)),C$2,)</f>
        <v>0</v>
      </c>
      <c r="D8" s="155">
        <f ca="1">IF(ISNUMBER(MATCH(DATEVALUE($A8),'changes1_based on steps'!D$1:D$400,0)),D$2,)</f>
        <v>0</v>
      </c>
      <c r="E8" s="155">
        <f ca="1">IF(ISNUMBER(MATCH(DATEVALUE($A8),'changes1_based on steps'!E$1:E$400,0)),E$2,)</f>
        <v>0</v>
      </c>
      <c r="F8" s="155">
        <f ca="1">IF(ISNUMBER(MATCH(DATEVALUE($A8),'changes1_based on steps'!F$1:F$400,0)),F$2,)</f>
        <v>0</v>
      </c>
      <c r="G8" s="155">
        <f ca="1">IF(ISNUMBER(MATCH(DATEVALUE($A8),'changes1_based on steps'!G$1:G$400,0)),G$2,)</f>
        <v>0</v>
      </c>
      <c r="H8" s="155">
        <f ca="1">IF(ISNUMBER(MATCH(DATEVALUE($A8),'changes1_based on steps'!H$1:H$400,0)),H$2,)</f>
        <v>0</v>
      </c>
      <c r="I8" s="155">
        <f ca="1">IF(ISNUMBER(MATCH(DATEVALUE($A8),'changes1_based on steps'!I$1:I$400,0)),I$2,)</f>
        <v>0</v>
      </c>
      <c r="J8" s="155">
        <f ca="1">IF(ISNUMBER(MATCH(DATEVALUE($A8),'changes1_based on steps'!J$1:J$400,0)),J$2,)</f>
        <v>0</v>
      </c>
      <c r="K8" s="155">
        <f ca="1">IF(ISNUMBER(MATCH(DATEVALUE($A8),'changes1_based on steps'!K$1:K$400,0)),K$2,)</f>
        <v>0</v>
      </c>
      <c r="L8" s="155">
        <f ca="1">IF(ISNUMBER(MATCH(DATEVALUE($A8),'changes1_based on steps'!L$1:L$400,0)),L$2,)</f>
        <v>0</v>
      </c>
      <c r="M8" s="155">
        <f ca="1">IF(ISNUMBER(MATCH(DATEVALUE($A8),'changes1_based on steps'!M$1:M$400,0)),M$2,)</f>
        <v>0</v>
      </c>
      <c r="N8" s="155">
        <f ca="1">IF(ISNUMBER(MATCH(DATEVALUE($A8),'changes1_based on steps'!N$1:N$400,0)),N$2,)</f>
        <v>0</v>
      </c>
      <c r="O8" s="155">
        <f ca="1">IF(ISNUMBER(MATCH(DATEVALUE($A8),'changes1_based on steps'!O$1:O$400,0)),O$2,)</f>
        <v>0</v>
      </c>
      <c r="P8" s="155">
        <f ca="1">IF(ISNUMBER(MATCH(DATEVALUE($A8),'changes1_based on steps'!P$1:P$400,0)),P$2,)</f>
        <v>0</v>
      </c>
      <c r="Q8" s="155">
        <f ca="1">IF(ISNUMBER(MATCH(DATEVALUE($A8),'changes1_based on steps'!Q$1:Q$400,0)),Q$2,)</f>
        <v>0</v>
      </c>
      <c r="R8" s="155">
        <f ca="1">IF(ISNUMBER(MATCH(DATEVALUE($A8),'changes1_based on steps'!R$1:R$400,0)),R$2,)</f>
        <v>0</v>
      </c>
      <c r="S8" s="155">
        <f ca="1">IF(ISNUMBER(MATCH(DATEVALUE($A8),'changes1_based on steps'!S$1:S$400,0)),S$2,)</f>
        <v>0</v>
      </c>
      <c r="T8" s="155">
        <f ca="1">IF(ISNUMBER(MATCH(DATEVALUE($A8),'changes1_based on steps'!T$1:T$400,0)),T$2,)</f>
        <v>0</v>
      </c>
      <c r="U8" s="155">
        <f ca="1">IF(ISNUMBER(MATCH(DATEVALUE($A8),'changes1_based on steps'!U$1:U$400,0)),U$2,)</f>
        <v>0</v>
      </c>
    </row>
    <row r="9" spans="1:21" x14ac:dyDescent="0.2">
      <c r="A9" s="18" t="str">
        <f t="shared" ca="1" si="0"/>
        <v>2025-02-07</v>
      </c>
      <c r="B9" s="155">
        <f ca="1">IF(ISNUMBER(MATCH(DATEVALUE($A9),'changes1_based on steps'!B$1:B$400,0)),B$2,)</f>
        <v>0</v>
      </c>
      <c r="C9" s="155">
        <f ca="1">IF(ISNUMBER(MATCH(DATEVALUE($A9),'changes1_based on steps'!C$1:C$400,0)),C$2,)</f>
        <v>0</v>
      </c>
      <c r="D9" s="155">
        <f ca="1">IF(ISNUMBER(MATCH(DATEVALUE($A9),'changes1_based on steps'!D$1:D$400,0)),D$2,)</f>
        <v>0</v>
      </c>
      <c r="E9" s="155">
        <f ca="1">IF(ISNUMBER(MATCH(DATEVALUE($A9),'changes1_based on steps'!E$1:E$400,0)),E$2,)</f>
        <v>0</v>
      </c>
      <c r="F9" s="155">
        <f ca="1">IF(ISNUMBER(MATCH(DATEVALUE($A9),'changes1_based on steps'!F$1:F$400,0)),F$2,)</f>
        <v>0</v>
      </c>
      <c r="G9" s="155">
        <f ca="1">IF(ISNUMBER(MATCH(DATEVALUE($A9),'changes1_based on steps'!G$1:G$400,0)),G$2,)</f>
        <v>0</v>
      </c>
      <c r="H9" s="155">
        <f ca="1">IF(ISNUMBER(MATCH(DATEVALUE($A9),'changes1_based on steps'!H$1:H$400,0)),H$2,)</f>
        <v>0</v>
      </c>
      <c r="I9" s="155">
        <f ca="1">IF(ISNUMBER(MATCH(DATEVALUE($A9),'changes1_based on steps'!I$1:I$400,0)),I$2,)</f>
        <v>0</v>
      </c>
      <c r="J9" s="155">
        <f ca="1">IF(ISNUMBER(MATCH(DATEVALUE($A9),'changes1_based on steps'!J$1:J$400,0)),J$2,)</f>
        <v>0</v>
      </c>
      <c r="K9" s="155">
        <f ca="1">IF(ISNUMBER(MATCH(DATEVALUE($A9),'changes1_based on steps'!K$1:K$400,0)),K$2,)</f>
        <v>0</v>
      </c>
      <c r="L9" s="155">
        <f ca="1">IF(ISNUMBER(MATCH(DATEVALUE($A9),'changes1_based on steps'!L$1:L$400,0)),L$2,)</f>
        <v>0</v>
      </c>
      <c r="M9" s="155">
        <f ca="1">IF(ISNUMBER(MATCH(DATEVALUE($A9),'changes1_based on steps'!M$1:M$400,0)),M$2,)</f>
        <v>0</v>
      </c>
      <c r="N9" s="155">
        <f ca="1">IF(ISNUMBER(MATCH(DATEVALUE($A9),'changes1_based on steps'!N$1:N$400,0)),N$2,)</f>
        <v>0</v>
      </c>
      <c r="O9" s="155">
        <f ca="1">IF(ISNUMBER(MATCH(DATEVALUE($A9),'changes1_based on steps'!O$1:O$400,0)),O$2,)</f>
        <v>0</v>
      </c>
      <c r="P9" s="155">
        <f ca="1">IF(ISNUMBER(MATCH(DATEVALUE($A9),'changes1_based on steps'!P$1:P$400,0)),P$2,)</f>
        <v>0</v>
      </c>
      <c r="Q9" s="155">
        <f ca="1">IF(ISNUMBER(MATCH(DATEVALUE($A9),'changes1_based on steps'!Q$1:Q$400,0)),Q$2,)</f>
        <v>0</v>
      </c>
      <c r="R9" s="155">
        <f ca="1">IF(ISNUMBER(MATCH(DATEVALUE($A9),'changes1_based on steps'!R$1:R$400,0)),R$2,)</f>
        <v>0</v>
      </c>
      <c r="S9" s="155">
        <f ca="1">IF(ISNUMBER(MATCH(DATEVALUE($A9),'changes1_based on steps'!S$1:S$400,0)),S$2,)</f>
        <v>0</v>
      </c>
      <c r="T9" s="155">
        <f ca="1">IF(ISNUMBER(MATCH(DATEVALUE($A9),'changes1_based on steps'!T$1:T$400,0)),T$2,)</f>
        <v>0</v>
      </c>
      <c r="U9" s="155">
        <f ca="1">IF(ISNUMBER(MATCH(DATEVALUE($A9),'changes1_based on steps'!U$1:U$400,0)),U$2,)</f>
        <v>0</v>
      </c>
    </row>
    <row r="10" spans="1:21" x14ac:dyDescent="0.2">
      <c r="A10" s="18" t="str">
        <f t="shared" ca="1" si="0"/>
        <v>2025-02-08</v>
      </c>
      <c r="B10" s="155">
        <f ca="1">IF(ISNUMBER(MATCH(DATEVALUE($A10),'changes1_based on steps'!B$1:B$400,0)),B$2,)</f>
        <v>0</v>
      </c>
      <c r="C10" s="155">
        <f ca="1">IF(ISNUMBER(MATCH(DATEVALUE($A10),'changes1_based on steps'!C$1:C$400,0)),C$2,)</f>
        <v>0</v>
      </c>
      <c r="D10" s="155">
        <f ca="1">IF(ISNUMBER(MATCH(DATEVALUE($A10),'changes1_based on steps'!D$1:D$400,0)),D$2,)</f>
        <v>0</v>
      </c>
      <c r="E10" s="155">
        <f ca="1">IF(ISNUMBER(MATCH(DATEVALUE($A10),'changes1_based on steps'!E$1:E$400,0)),E$2,)</f>
        <v>0</v>
      </c>
      <c r="F10" s="155">
        <f ca="1">IF(ISNUMBER(MATCH(DATEVALUE($A10),'changes1_based on steps'!F$1:F$400,0)),F$2,)</f>
        <v>0</v>
      </c>
      <c r="G10" s="155">
        <f ca="1">IF(ISNUMBER(MATCH(DATEVALUE($A10),'changes1_based on steps'!G$1:G$400,0)),G$2,)</f>
        <v>0</v>
      </c>
      <c r="H10" s="155">
        <f ca="1">IF(ISNUMBER(MATCH(DATEVALUE($A10),'changes1_based on steps'!H$1:H$400,0)),H$2,)</f>
        <v>0</v>
      </c>
      <c r="I10" s="155">
        <f ca="1">IF(ISNUMBER(MATCH(DATEVALUE($A10),'changes1_based on steps'!I$1:I$400,0)),I$2,)</f>
        <v>0</v>
      </c>
      <c r="J10" s="155">
        <f ca="1">IF(ISNUMBER(MATCH(DATEVALUE($A10),'changes1_based on steps'!J$1:J$400,0)),J$2,)</f>
        <v>0</v>
      </c>
      <c r="K10" s="155">
        <f ca="1">IF(ISNUMBER(MATCH(DATEVALUE($A10),'changes1_based on steps'!K$1:K$400,0)),K$2,)</f>
        <v>0</v>
      </c>
      <c r="L10" s="155">
        <f ca="1">IF(ISNUMBER(MATCH(DATEVALUE($A10),'changes1_based on steps'!L$1:L$400,0)),L$2,)</f>
        <v>0</v>
      </c>
      <c r="M10" s="155">
        <f ca="1">IF(ISNUMBER(MATCH(DATEVALUE($A10),'changes1_based on steps'!M$1:M$400,0)),M$2,)</f>
        <v>0</v>
      </c>
      <c r="N10" s="155">
        <f ca="1">IF(ISNUMBER(MATCH(DATEVALUE($A10),'changes1_based on steps'!N$1:N$400,0)),N$2,)</f>
        <v>0</v>
      </c>
      <c r="O10" s="155">
        <f ca="1">IF(ISNUMBER(MATCH(DATEVALUE($A10),'changes1_based on steps'!O$1:O$400,0)),O$2,)</f>
        <v>0</v>
      </c>
      <c r="P10" s="155">
        <f ca="1">IF(ISNUMBER(MATCH(DATEVALUE($A10),'changes1_based on steps'!P$1:P$400,0)),P$2,)</f>
        <v>0</v>
      </c>
      <c r="Q10" s="155">
        <f ca="1">IF(ISNUMBER(MATCH(DATEVALUE($A10),'changes1_based on steps'!Q$1:Q$400,0)),Q$2,)</f>
        <v>0</v>
      </c>
      <c r="R10" s="155">
        <f ca="1">IF(ISNUMBER(MATCH(DATEVALUE($A10),'changes1_based on steps'!R$1:R$400,0)),R$2,)</f>
        <v>0</v>
      </c>
      <c r="S10" s="155">
        <f ca="1">IF(ISNUMBER(MATCH(DATEVALUE($A10),'changes1_based on steps'!S$1:S$400,0)),S$2,)</f>
        <v>0</v>
      </c>
      <c r="T10" s="155">
        <f ca="1">IF(ISNUMBER(MATCH(DATEVALUE($A10),'changes1_based on steps'!T$1:T$400,0)),T$2,)</f>
        <v>0</v>
      </c>
      <c r="U10" s="155">
        <f ca="1">IF(ISNUMBER(MATCH(DATEVALUE($A10),'changes1_based on steps'!U$1:U$400,0)),U$2,)</f>
        <v>0</v>
      </c>
    </row>
    <row r="11" spans="1:21" x14ac:dyDescent="0.2">
      <c r="A11" s="18" t="str">
        <f t="shared" ca="1" si="0"/>
        <v>2025-02-09</v>
      </c>
      <c r="B11" s="155">
        <f ca="1">IF(ISNUMBER(MATCH(DATEVALUE($A11),'changes1_based on steps'!B$1:B$400,0)),B$2,)</f>
        <v>0</v>
      </c>
      <c r="C11" s="155">
        <f ca="1">IF(ISNUMBER(MATCH(DATEVALUE($A11),'changes1_based on steps'!C$1:C$400,0)),C$2,)</f>
        <v>0</v>
      </c>
      <c r="D11" s="155">
        <f ca="1">IF(ISNUMBER(MATCH(DATEVALUE($A11),'changes1_based on steps'!D$1:D$400,0)),D$2,)</f>
        <v>0</v>
      </c>
      <c r="E11" s="155">
        <f ca="1">IF(ISNUMBER(MATCH(DATEVALUE($A11),'changes1_based on steps'!E$1:E$400,0)),E$2,)</f>
        <v>0</v>
      </c>
      <c r="F11" s="155">
        <f ca="1">IF(ISNUMBER(MATCH(DATEVALUE($A11),'changes1_based on steps'!F$1:F$400,0)),F$2,)</f>
        <v>0</v>
      </c>
      <c r="G11" s="155">
        <f ca="1">IF(ISNUMBER(MATCH(DATEVALUE($A11),'changes1_based on steps'!G$1:G$400,0)),G$2,)</f>
        <v>0</v>
      </c>
      <c r="H11" s="155">
        <f ca="1">IF(ISNUMBER(MATCH(DATEVALUE($A11),'changes1_based on steps'!H$1:H$400,0)),H$2,)</f>
        <v>0</v>
      </c>
      <c r="I11" s="155">
        <f ca="1">IF(ISNUMBER(MATCH(DATEVALUE($A11),'changes1_based on steps'!I$1:I$400,0)),I$2,)</f>
        <v>0</v>
      </c>
      <c r="J11" s="155">
        <f ca="1">IF(ISNUMBER(MATCH(DATEVALUE($A11),'changes1_based on steps'!J$1:J$400,0)),J$2,)</f>
        <v>0</v>
      </c>
      <c r="K11" s="155">
        <f ca="1">IF(ISNUMBER(MATCH(DATEVALUE($A11),'changes1_based on steps'!K$1:K$400,0)),K$2,)</f>
        <v>0</v>
      </c>
      <c r="L11" s="155">
        <f ca="1">IF(ISNUMBER(MATCH(DATEVALUE($A11),'changes1_based on steps'!L$1:L$400,0)),L$2,)</f>
        <v>0</v>
      </c>
      <c r="M11" s="155">
        <f ca="1">IF(ISNUMBER(MATCH(DATEVALUE($A11),'changes1_based on steps'!M$1:M$400,0)),M$2,)</f>
        <v>0</v>
      </c>
      <c r="N11" s="155">
        <f ca="1">IF(ISNUMBER(MATCH(DATEVALUE($A11),'changes1_based on steps'!N$1:N$400,0)),N$2,)</f>
        <v>0</v>
      </c>
      <c r="O11" s="155">
        <f ca="1">IF(ISNUMBER(MATCH(DATEVALUE($A11),'changes1_based on steps'!O$1:O$400,0)),O$2,)</f>
        <v>0</v>
      </c>
      <c r="P11" s="155">
        <f ca="1">IF(ISNUMBER(MATCH(DATEVALUE($A11),'changes1_based on steps'!P$1:P$400,0)),P$2,)</f>
        <v>0</v>
      </c>
      <c r="Q11" s="155">
        <f ca="1">IF(ISNUMBER(MATCH(DATEVALUE($A11),'changes1_based on steps'!Q$1:Q$400,0)),Q$2,)</f>
        <v>0</v>
      </c>
      <c r="R11" s="155">
        <f ca="1">IF(ISNUMBER(MATCH(DATEVALUE($A11),'changes1_based on steps'!R$1:R$400,0)),R$2,)</f>
        <v>0</v>
      </c>
      <c r="S11" s="155">
        <f ca="1">IF(ISNUMBER(MATCH(DATEVALUE($A11),'changes1_based on steps'!S$1:S$400,0)),S$2,)</f>
        <v>0</v>
      </c>
      <c r="T11" s="155">
        <f ca="1">IF(ISNUMBER(MATCH(DATEVALUE($A11),'changes1_based on steps'!T$1:T$400,0)),T$2,)</f>
        <v>0</v>
      </c>
      <c r="U11" s="155">
        <f ca="1">IF(ISNUMBER(MATCH(DATEVALUE($A11),'changes1_based on steps'!U$1:U$400,0)),U$2,)</f>
        <v>0</v>
      </c>
    </row>
    <row r="12" spans="1:21" x14ac:dyDescent="0.2">
      <c r="A12" s="18" t="str">
        <f t="shared" ca="1" si="0"/>
        <v>2025-02-10</v>
      </c>
      <c r="B12" s="155">
        <f ca="1">IF(ISNUMBER(MATCH(DATEVALUE($A12),'changes1_based on steps'!B$1:B$400,0)),B$2,)</f>
        <v>0</v>
      </c>
      <c r="C12" s="155">
        <f ca="1">IF(ISNUMBER(MATCH(DATEVALUE($A12),'changes1_based on steps'!C$1:C$400,0)),C$2,)</f>
        <v>0</v>
      </c>
      <c r="D12" s="155">
        <f ca="1">IF(ISNUMBER(MATCH(DATEVALUE($A12),'changes1_based on steps'!D$1:D$400,0)),D$2,)</f>
        <v>0</v>
      </c>
      <c r="E12" s="155">
        <f ca="1">IF(ISNUMBER(MATCH(DATEVALUE($A12),'changes1_based on steps'!E$1:E$400,0)),E$2,)</f>
        <v>0</v>
      </c>
      <c r="F12" s="155">
        <f ca="1">IF(ISNUMBER(MATCH(DATEVALUE($A12),'changes1_based on steps'!F$1:F$400,0)),F$2,)</f>
        <v>0</v>
      </c>
      <c r="G12" s="155">
        <f ca="1">IF(ISNUMBER(MATCH(DATEVALUE($A12),'changes1_based on steps'!G$1:G$400,0)),G$2,)</f>
        <v>0</v>
      </c>
      <c r="H12" s="155">
        <f ca="1">IF(ISNUMBER(MATCH(DATEVALUE($A12),'changes1_based on steps'!H$1:H$400,0)),H$2,)</f>
        <v>0</v>
      </c>
      <c r="I12" s="155">
        <f ca="1">IF(ISNUMBER(MATCH(DATEVALUE($A12),'changes1_based on steps'!I$1:I$400,0)),I$2,)</f>
        <v>0</v>
      </c>
      <c r="J12" s="155">
        <f ca="1">IF(ISNUMBER(MATCH(DATEVALUE($A12),'changes1_based on steps'!J$1:J$400,0)),J$2,)</f>
        <v>0</v>
      </c>
      <c r="K12" s="155">
        <f ca="1">IF(ISNUMBER(MATCH(DATEVALUE($A12),'changes1_based on steps'!K$1:K$400,0)),K$2,)</f>
        <v>0</v>
      </c>
      <c r="L12" s="155">
        <f ca="1">IF(ISNUMBER(MATCH(DATEVALUE($A12),'changes1_based on steps'!L$1:L$400,0)),L$2,)</f>
        <v>0</v>
      </c>
      <c r="M12" s="155">
        <f ca="1">IF(ISNUMBER(MATCH(DATEVALUE($A12),'changes1_based on steps'!M$1:M$400,0)),M$2,)</f>
        <v>0</v>
      </c>
      <c r="N12" s="155">
        <f ca="1">IF(ISNUMBER(MATCH(DATEVALUE($A12),'changes1_based on steps'!N$1:N$400,0)),N$2,)</f>
        <v>0</v>
      </c>
      <c r="O12" s="155">
        <f ca="1">IF(ISNUMBER(MATCH(DATEVALUE($A12),'changes1_based on steps'!O$1:O$400,0)),O$2,)</f>
        <v>0</v>
      </c>
      <c r="P12" s="155">
        <f ca="1">IF(ISNUMBER(MATCH(DATEVALUE($A12),'changes1_based on steps'!P$1:P$400,0)),P$2,)</f>
        <v>0</v>
      </c>
      <c r="Q12" s="155">
        <f ca="1">IF(ISNUMBER(MATCH(DATEVALUE($A12),'changes1_based on steps'!Q$1:Q$400,0)),Q$2,)</f>
        <v>0</v>
      </c>
      <c r="R12" s="155">
        <f ca="1">IF(ISNUMBER(MATCH(DATEVALUE($A12),'changes1_based on steps'!R$1:R$400,0)),R$2,)</f>
        <v>0</v>
      </c>
      <c r="S12" s="155">
        <f ca="1">IF(ISNUMBER(MATCH(DATEVALUE($A12),'changes1_based on steps'!S$1:S$400,0)),S$2,)</f>
        <v>0</v>
      </c>
      <c r="T12" s="155">
        <f ca="1">IF(ISNUMBER(MATCH(DATEVALUE($A12),'changes1_based on steps'!T$1:T$400,0)),T$2,)</f>
        <v>0</v>
      </c>
      <c r="U12" s="155">
        <f ca="1">IF(ISNUMBER(MATCH(DATEVALUE($A12),'changes1_based on steps'!U$1:U$400,0)),U$2,)</f>
        <v>0</v>
      </c>
    </row>
    <row r="13" spans="1:21" x14ac:dyDescent="0.2">
      <c r="A13" s="18" t="str">
        <f t="shared" ca="1" si="0"/>
        <v>2025-02-11</v>
      </c>
      <c r="B13" s="155">
        <f ca="1">IF(ISNUMBER(MATCH(DATEVALUE($A13),'changes1_based on steps'!B$1:B$400,0)),B$2,)</f>
        <v>0</v>
      </c>
      <c r="C13" s="155">
        <f ca="1">IF(ISNUMBER(MATCH(DATEVALUE($A13),'changes1_based on steps'!C$1:C$400,0)),C$2,)</f>
        <v>0</v>
      </c>
      <c r="D13" s="155">
        <f ca="1">IF(ISNUMBER(MATCH(DATEVALUE($A13),'changes1_based on steps'!D$1:D$400,0)),D$2,)</f>
        <v>0</v>
      </c>
      <c r="E13" s="155">
        <f ca="1">IF(ISNUMBER(MATCH(DATEVALUE($A13),'changes1_based on steps'!E$1:E$400,0)),E$2,)</f>
        <v>0</v>
      </c>
      <c r="F13" s="155">
        <f ca="1">IF(ISNUMBER(MATCH(DATEVALUE($A13),'changes1_based on steps'!F$1:F$400,0)),F$2,)</f>
        <v>0</v>
      </c>
      <c r="G13" s="155">
        <f ca="1">IF(ISNUMBER(MATCH(DATEVALUE($A13),'changes1_based on steps'!G$1:G$400,0)),G$2,)</f>
        <v>0</v>
      </c>
      <c r="H13" s="155">
        <f ca="1">IF(ISNUMBER(MATCH(DATEVALUE($A13),'changes1_based on steps'!H$1:H$400,0)),H$2,)</f>
        <v>0</v>
      </c>
      <c r="I13" s="155">
        <f ca="1">IF(ISNUMBER(MATCH(DATEVALUE($A13),'changes1_based on steps'!I$1:I$400,0)),I$2,)</f>
        <v>0</v>
      </c>
      <c r="J13" s="155">
        <f ca="1">IF(ISNUMBER(MATCH(DATEVALUE($A13),'changes1_based on steps'!J$1:J$400,0)),J$2,)</f>
        <v>0</v>
      </c>
      <c r="K13" s="155">
        <f ca="1">IF(ISNUMBER(MATCH(DATEVALUE($A13),'changes1_based on steps'!K$1:K$400,0)),K$2,)</f>
        <v>0</v>
      </c>
      <c r="L13" s="155">
        <f ca="1">IF(ISNUMBER(MATCH(DATEVALUE($A13),'changes1_based on steps'!L$1:L$400,0)),L$2,)</f>
        <v>0</v>
      </c>
      <c r="M13" s="155">
        <f ca="1">IF(ISNUMBER(MATCH(DATEVALUE($A13),'changes1_based on steps'!M$1:M$400,0)),M$2,)</f>
        <v>0</v>
      </c>
      <c r="N13" s="155">
        <f ca="1">IF(ISNUMBER(MATCH(DATEVALUE($A13),'changes1_based on steps'!N$1:N$400,0)),N$2,)</f>
        <v>0</v>
      </c>
      <c r="O13" s="155">
        <f ca="1">IF(ISNUMBER(MATCH(DATEVALUE($A13),'changes1_based on steps'!O$1:O$400,0)),O$2,)</f>
        <v>0</v>
      </c>
      <c r="P13" s="155">
        <f ca="1">IF(ISNUMBER(MATCH(DATEVALUE($A13),'changes1_based on steps'!P$1:P$400,0)),P$2,)</f>
        <v>0</v>
      </c>
      <c r="Q13" s="155">
        <f ca="1">IF(ISNUMBER(MATCH(DATEVALUE($A13),'changes1_based on steps'!Q$1:Q$400,0)),Q$2,)</f>
        <v>0</v>
      </c>
      <c r="R13" s="155">
        <f ca="1">IF(ISNUMBER(MATCH(DATEVALUE($A13),'changes1_based on steps'!R$1:R$400,0)),R$2,)</f>
        <v>0</v>
      </c>
      <c r="S13" s="155">
        <f ca="1">IF(ISNUMBER(MATCH(DATEVALUE($A13),'changes1_based on steps'!S$1:S$400,0)),S$2,)</f>
        <v>0</v>
      </c>
      <c r="T13" s="155">
        <f ca="1">IF(ISNUMBER(MATCH(DATEVALUE($A13),'changes1_based on steps'!T$1:T$400,0)),T$2,)</f>
        <v>0</v>
      </c>
      <c r="U13" s="155">
        <f ca="1">IF(ISNUMBER(MATCH(DATEVALUE($A13),'changes1_based on steps'!U$1:U$400,0)),U$2,)</f>
        <v>0</v>
      </c>
    </row>
    <row r="14" spans="1:21" x14ac:dyDescent="0.2">
      <c r="A14" s="18" t="str">
        <f t="shared" ca="1" si="0"/>
        <v>2025-02-12</v>
      </c>
      <c r="B14" s="155">
        <f ca="1">IF(ISNUMBER(MATCH(DATEVALUE($A14),'changes1_based on steps'!B$1:B$400,0)),B$2,)</f>
        <v>0</v>
      </c>
      <c r="C14" s="155">
        <f ca="1">IF(ISNUMBER(MATCH(DATEVALUE($A14),'changes1_based on steps'!C$1:C$400,0)),C$2,)</f>
        <v>0</v>
      </c>
      <c r="D14" s="155">
        <f ca="1">IF(ISNUMBER(MATCH(DATEVALUE($A14),'changes1_based on steps'!D$1:D$400,0)),D$2,)</f>
        <v>0</v>
      </c>
      <c r="E14" s="155">
        <f ca="1">IF(ISNUMBER(MATCH(DATEVALUE($A14),'changes1_based on steps'!E$1:E$400,0)),E$2,)</f>
        <v>0</v>
      </c>
      <c r="F14" s="155">
        <f ca="1">IF(ISNUMBER(MATCH(DATEVALUE($A14),'changes1_based on steps'!F$1:F$400,0)),F$2,)</f>
        <v>0</v>
      </c>
      <c r="G14" s="155">
        <f ca="1">IF(ISNUMBER(MATCH(DATEVALUE($A14),'changes1_based on steps'!G$1:G$400,0)),G$2,)</f>
        <v>0</v>
      </c>
      <c r="H14" s="155">
        <f ca="1">IF(ISNUMBER(MATCH(DATEVALUE($A14),'changes1_based on steps'!H$1:H$400,0)),H$2,)</f>
        <v>0</v>
      </c>
      <c r="I14" s="155">
        <f ca="1">IF(ISNUMBER(MATCH(DATEVALUE($A14),'changes1_based on steps'!I$1:I$400,0)),I$2,)</f>
        <v>0</v>
      </c>
      <c r="J14" s="155">
        <f ca="1">IF(ISNUMBER(MATCH(DATEVALUE($A14),'changes1_based on steps'!J$1:J$400,0)),J$2,)</f>
        <v>0</v>
      </c>
      <c r="K14" s="155">
        <f ca="1">IF(ISNUMBER(MATCH(DATEVALUE($A14),'changes1_based on steps'!K$1:K$400,0)),K$2,)</f>
        <v>0</v>
      </c>
      <c r="L14" s="155">
        <f ca="1">IF(ISNUMBER(MATCH(DATEVALUE($A14),'changes1_based on steps'!L$1:L$400,0)),L$2,)</f>
        <v>0</v>
      </c>
      <c r="M14" s="155">
        <f ca="1">IF(ISNUMBER(MATCH(DATEVALUE($A14),'changes1_based on steps'!M$1:M$400,0)),M$2,)</f>
        <v>0</v>
      </c>
      <c r="N14" s="155">
        <f ca="1">IF(ISNUMBER(MATCH(DATEVALUE($A14),'changes1_based on steps'!N$1:N$400,0)),N$2,)</f>
        <v>0</v>
      </c>
      <c r="O14" s="155">
        <f ca="1">IF(ISNUMBER(MATCH(DATEVALUE($A14),'changes1_based on steps'!O$1:O$400,0)),O$2,)</f>
        <v>0</v>
      </c>
      <c r="P14" s="155">
        <f ca="1">IF(ISNUMBER(MATCH(DATEVALUE($A14),'changes1_based on steps'!P$1:P$400,0)),P$2,)</f>
        <v>0</v>
      </c>
      <c r="Q14" s="155">
        <f ca="1">IF(ISNUMBER(MATCH(DATEVALUE($A14),'changes1_based on steps'!Q$1:Q$400,0)),Q$2,)</f>
        <v>0</v>
      </c>
      <c r="R14" s="155">
        <f ca="1">IF(ISNUMBER(MATCH(DATEVALUE($A14),'changes1_based on steps'!R$1:R$400,0)),R$2,)</f>
        <v>0</v>
      </c>
      <c r="S14" s="155">
        <f ca="1">IF(ISNUMBER(MATCH(DATEVALUE($A14),'changes1_based on steps'!S$1:S$400,0)),S$2,)</f>
        <v>0</v>
      </c>
      <c r="T14" s="155">
        <f ca="1">IF(ISNUMBER(MATCH(DATEVALUE($A14),'changes1_based on steps'!T$1:T$400,0)),T$2,)</f>
        <v>0</v>
      </c>
      <c r="U14" s="155">
        <f ca="1">IF(ISNUMBER(MATCH(DATEVALUE($A14),'changes1_based on steps'!U$1:U$400,0)),U$2,)</f>
        <v>0</v>
      </c>
    </row>
    <row r="15" spans="1:21" x14ac:dyDescent="0.2">
      <c r="A15" s="18" t="str">
        <f t="shared" ca="1" si="0"/>
        <v>2025-02-13</v>
      </c>
      <c r="B15" s="155">
        <f ca="1">IF(ISNUMBER(MATCH(DATEVALUE($A15),'changes1_based on steps'!B$1:B$400,0)),B$2,)</f>
        <v>0</v>
      </c>
      <c r="C15" s="155">
        <f ca="1">IF(ISNUMBER(MATCH(DATEVALUE($A15),'changes1_based on steps'!C$1:C$400,0)),C$2,)</f>
        <v>0</v>
      </c>
      <c r="D15" s="155">
        <f ca="1">IF(ISNUMBER(MATCH(DATEVALUE($A15),'changes1_based on steps'!D$1:D$400,0)),D$2,)</f>
        <v>0</v>
      </c>
      <c r="E15" s="155">
        <f ca="1">IF(ISNUMBER(MATCH(DATEVALUE($A15),'changes1_based on steps'!E$1:E$400,0)),E$2,)</f>
        <v>0</v>
      </c>
      <c r="F15" s="155">
        <f ca="1">IF(ISNUMBER(MATCH(DATEVALUE($A15),'changes1_based on steps'!F$1:F$400,0)),F$2,)</f>
        <v>0</v>
      </c>
      <c r="G15" s="155">
        <f ca="1">IF(ISNUMBER(MATCH(DATEVALUE($A15),'changes1_based on steps'!G$1:G$400,0)),G$2,)</f>
        <v>0</v>
      </c>
      <c r="H15" s="155">
        <f ca="1">IF(ISNUMBER(MATCH(DATEVALUE($A15),'changes1_based on steps'!H$1:H$400,0)),H$2,)</f>
        <v>0</v>
      </c>
      <c r="I15" s="155">
        <f ca="1">IF(ISNUMBER(MATCH(DATEVALUE($A15),'changes1_based on steps'!I$1:I$400,0)),I$2,)</f>
        <v>0</v>
      </c>
      <c r="J15" s="155">
        <f ca="1">IF(ISNUMBER(MATCH(DATEVALUE($A15),'changes1_based on steps'!J$1:J$400,0)),J$2,)</f>
        <v>0</v>
      </c>
      <c r="K15" s="155">
        <f ca="1">IF(ISNUMBER(MATCH(DATEVALUE($A15),'changes1_based on steps'!K$1:K$400,0)),K$2,)</f>
        <v>0</v>
      </c>
      <c r="L15" s="155">
        <f ca="1">IF(ISNUMBER(MATCH(DATEVALUE($A15),'changes1_based on steps'!L$1:L$400,0)),L$2,)</f>
        <v>0</v>
      </c>
      <c r="M15" s="155">
        <f ca="1">IF(ISNUMBER(MATCH(DATEVALUE($A15),'changes1_based on steps'!M$1:M$400,0)),M$2,)</f>
        <v>0</v>
      </c>
      <c r="N15" s="155">
        <f ca="1">IF(ISNUMBER(MATCH(DATEVALUE($A15),'changes1_based on steps'!N$1:N$400,0)),N$2,)</f>
        <v>0</v>
      </c>
      <c r="O15" s="155">
        <f ca="1">IF(ISNUMBER(MATCH(DATEVALUE($A15),'changes1_based on steps'!O$1:O$400,0)),O$2,)</f>
        <v>0</v>
      </c>
      <c r="P15" s="155">
        <f ca="1">IF(ISNUMBER(MATCH(DATEVALUE($A15),'changes1_based on steps'!P$1:P$400,0)),P$2,)</f>
        <v>0</v>
      </c>
      <c r="Q15" s="155">
        <f ca="1">IF(ISNUMBER(MATCH(DATEVALUE($A15),'changes1_based on steps'!Q$1:Q$400,0)),Q$2,)</f>
        <v>0</v>
      </c>
      <c r="R15" s="155">
        <f ca="1">IF(ISNUMBER(MATCH(DATEVALUE($A15),'changes1_based on steps'!R$1:R$400,0)),R$2,)</f>
        <v>0</v>
      </c>
      <c r="S15" s="155">
        <f ca="1">IF(ISNUMBER(MATCH(DATEVALUE($A15),'changes1_based on steps'!S$1:S$400,0)),S$2,)</f>
        <v>0</v>
      </c>
      <c r="T15" s="155">
        <f ca="1">IF(ISNUMBER(MATCH(DATEVALUE($A15),'changes1_based on steps'!T$1:T$400,0)),T$2,)</f>
        <v>0</v>
      </c>
      <c r="U15" s="155">
        <f ca="1">IF(ISNUMBER(MATCH(DATEVALUE($A15),'changes1_based on steps'!U$1:U$400,0)),U$2,)</f>
        <v>0</v>
      </c>
    </row>
    <row r="16" spans="1:21" x14ac:dyDescent="0.2">
      <c r="A16" s="18" t="str">
        <f t="shared" ca="1" si="0"/>
        <v>2025-02-14</v>
      </c>
      <c r="B16" s="155">
        <f ca="1">IF(ISNUMBER(MATCH(DATEVALUE($A16),'changes1_based on steps'!B$1:B$400,0)),B$2,)</f>
        <v>0</v>
      </c>
      <c r="C16" s="155">
        <f ca="1">IF(ISNUMBER(MATCH(DATEVALUE($A16),'changes1_based on steps'!C$1:C$400,0)),C$2,)</f>
        <v>0</v>
      </c>
      <c r="D16" s="155">
        <f ca="1">IF(ISNUMBER(MATCH(DATEVALUE($A16),'changes1_based on steps'!D$1:D$400,0)),D$2,)</f>
        <v>0</v>
      </c>
      <c r="E16" s="155">
        <f ca="1">IF(ISNUMBER(MATCH(DATEVALUE($A16),'changes1_based on steps'!E$1:E$400,0)),E$2,)</f>
        <v>0</v>
      </c>
      <c r="F16" s="155">
        <f ca="1">IF(ISNUMBER(MATCH(DATEVALUE($A16),'changes1_based on steps'!F$1:F$400,0)),F$2,)</f>
        <v>0</v>
      </c>
      <c r="G16" s="155">
        <f ca="1">IF(ISNUMBER(MATCH(DATEVALUE($A16),'changes1_based on steps'!G$1:G$400,0)),G$2,)</f>
        <v>0</v>
      </c>
      <c r="H16" s="155">
        <f ca="1">IF(ISNUMBER(MATCH(DATEVALUE($A16),'changes1_based on steps'!H$1:H$400,0)),H$2,)</f>
        <v>0</v>
      </c>
      <c r="I16" s="155">
        <f ca="1">IF(ISNUMBER(MATCH(DATEVALUE($A16),'changes1_based on steps'!I$1:I$400,0)),I$2,)</f>
        <v>0</v>
      </c>
      <c r="J16" s="155">
        <f ca="1">IF(ISNUMBER(MATCH(DATEVALUE($A16),'changes1_based on steps'!J$1:J$400,0)),J$2,)</f>
        <v>0</v>
      </c>
      <c r="K16" s="155">
        <f ca="1">IF(ISNUMBER(MATCH(DATEVALUE($A16),'changes1_based on steps'!K$1:K$400,0)),K$2,)</f>
        <v>0</v>
      </c>
      <c r="L16" s="155">
        <f ca="1">IF(ISNUMBER(MATCH(DATEVALUE($A16),'changes1_based on steps'!L$1:L$400,0)),L$2,)</f>
        <v>0</v>
      </c>
      <c r="M16" s="155">
        <f ca="1">IF(ISNUMBER(MATCH(DATEVALUE($A16),'changes1_based on steps'!M$1:M$400,0)),M$2,)</f>
        <v>0</v>
      </c>
      <c r="N16" s="155">
        <f ca="1">IF(ISNUMBER(MATCH(DATEVALUE($A16),'changes1_based on steps'!N$1:N$400,0)),N$2,)</f>
        <v>0</v>
      </c>
      <c r="O16" s="155">
        <f ca="1">IF(ISNUMBER(MATCH(DATEVALUE($A16),'changes1_based on steps'!O$1:O$400,0)),O$2,)</f>
        <v>0</v>
      </c>
      <c r="P16" s="155">
        <f ca="1">IF(ISNUMBER(MATCH(DATEVALUE($A16),'changes1_based on steps'!P$1:P$400,0)),P$2,)</f>
        <v>0</v>
      </c>
      <c r="Q16" s="155">
        <f ca="1">IF(ISNUMBER(MATCH(DATEVALUE($A16),'changes1_based on steps'!Q$1:Q$400,0)),Q$2,)</f>
        <v>0</v>
      </c>
      <c r="R16" s="155">
        <f ca="1">IF(ISNUMBER(MATCH(DATEVALUE($A16),'changes1_based on steps'!R$1:R$400,0)),R$2,)</f>
        <v>0</v>
      </c>
      <c r="S16" s="155">
        <f ca="1">IF(ISNUMBER(MATCH(DATEVALUE($A16),'changes1_based on steps'!S$1:S$400,0)),S$2,)</f>
        <v>0</v>
      </c>
      <c r="T16" s="155">
        <f ca="1">IF(ISNUMBER(MATCH(DATEVALUE($A16),'changes1_based on steps'!T$1:T$400,0)),T$2,)</f>
        <v>0</v>
      </c>
      <c r="U16" s="155">
        <f ca="1">IF(ISNUMBER(MATCH(DATEVALUE($A16),'changes1_based on steps'!U$1:U$400,0)),U$2,)</f>
        <v>0</v>
      </c>
    </row>
    <row r="17" spans="1:21" x14ac:dyDescent="0.2">
      <c r="A17" s="18" t="str">
        <f t="shared" ca="1" si="0"/>
        <v>2025-02-15</v>
      </c>
      <c r="B17" s="155">
        <f ca="1">IF(ISNUMBER(MATCH(DATEVALUE($A17),'changes1_based on steps'!B$1:B$400,0)),B$2,)</f>
        <v>0</v>
      </c>
      <c r="C17" s="155">
        <f ca="1">IF(ISNUMBER(MATCH(DATEVALUE($A17),'changes1_based on steps'!C$1:C$400,0)),C$2,)</f>
        <v>0</v>
      </c>
      <c r="D17" s="155">
        <f ca="1">IF(ISNUMBER(MATCH(DATEVALUE($A17),'changes1_based on steps'!D$1:D$400,0)),D$2,)</f>
        <v>0</v>
      </c>
      <c r="E17" s="155">
        <f ca="1">IF(ISNUMBER(MATCH(DATEVALUE($A17),'changes1_based on steps'!E$1:E$400,0)),E$2,)</f>
        <v>0</v>
      </c>
      <c r="F17" s="155">
        <f ca="1">IF(ISNUMBER(MATCH(DATEVALUE($A17),'changes1_based on steps'!F$1:F$400,0)),F$2,)</f>
        <v>0</v>
      </c>
      <c r="G17" s="155">
        <f ca="1">IF(ISNUMBER(MATCH(DATEVALUE($A17),'changes1_based on steps'!G$1:G$400,0)),G$2,)</f>
        <v>0</v>
      </c>
      <c r="H17" s="155">
        <f ca="1">IF(ISNUMBER(MATCH(DATEVALUE($A17),'changes1_based on steps'!H$1:H$400,0)),H$2,)</f>
        <v>0</v>
      </c>
      <c r="I17" s="155">
        <f ca="1">IF(ISNUMBER(MATCH(DATEVALUE($A17),'changes1_based on steps'!I$1:I$400,0)),I$2,)</f>
        <v>0</v>
      </c>
      <c r="J17" s="155">
        <f ca="1">IF(ISNUMBER(MATCH(DATEVALUE($A17),'changes1_based on steps'!J$1:J$400,0)),J$2,)</f>
        <v>0</v>
      </c>
      <c r="K17" s="155">
        <f ca="1">IF(ISNUMBER(MATCH(DATEVALUE($A17),'changes1_based on steps'!K$1:K$400,0)),K$2,)</f>
        <v>0</v>
      </c>
      <c r="L17" s="155">
        <f ca="1">IF(ISNUMBER(MATCH(DATEVALUE($A17),'changes1_based on steps'!L$1:L$400,0)),L$2,)</f>
        <v>0</v>
      </c>
      <c r="M17" s="155">
        <f ca="1">IF(ISNUMBER(MATCH(DATEVALUE($A17),'changes1_based on steps'!M$1:M$400,0)),M$2,)</f>
        <v>0</v>
      </c>
      <c r="N17" s="155">
        <f ca="1">IF(ISNUMBER(MATCH(DATEVALUE($A17),'changes1_based on steps'!N$1:N$400,0)),N$2,)</f>
        <v>0</v>
      </c>
      <c r="O17" s="155">
        <f ca="1">IF(ISNUMBER(MATCH(DATEVALUE($A17),'changes1_based on steps'!O$1:O$400,0)),O$2,)</f>
        <v>0</v>
      </c>
      <c r="P17" s="155">
        <f ca="1">IF(ISNUMBER(MATCH(DATEVALUE($A17),'changes1_based on steps'!P$1:P$400,0)),P$2,)</f>
        <v>0</v>
      </c>
      <c r="Q17" s="155">
        <f ca="1">IF(ISNUMBER(MATCH(DATEVALUE($A17),'changes1_based on steps'!Q$1:Q$400,0)),Q$2,)</f>
        <v>0</v>
      </c>
      <c r="R17" s="155">
        <f ca="1">IF(ISNUMBER(MATCH(DATEVALUE($A17),'changes1_based on steps'!R$1:R$400,0)),R$2,)</f>
        <v>0</v>
      </c>
      <c r="S17" s="155">
        <f ca="1">IF(ISNUMBER(MATCH(DATEVALUE($A17),'changes1_based on steps'!S$1:S$400,0)),S$2,)</f>
        <v>0</v>
      </c>
      <c r="T17" s="155">
        <f ca="1">IF(ISNUMBER(MATCH(DATEVALUE($A17),'changes1_based on steps'!T$1:T$400,0)),T$2,)</f>
        <v>0</v>
      </c>
      <c r="U17" s="155">
        <f ca="1">IF(ISNUMBER(MATCH(DATEVALUE($A17),'changes1_based on steps'!U$1:U$400,0)),U$2,)</f>
        <v>0</v>
      </c>
    </row>
    <row r="18" spans="1:21" x14ac:dyDescent="0.2">
      <c r="A18" s="18" t="str">
        <f t="shared" ca="1" si="0"/>
        <v>2025-02-16</v>
      </c>
      <c r="B18" s="155">
        <f ca="1">IF(ISNUMBER(MATCH(DATEVALUE($A18),'changes1_based on steps'!B$1:B$400,0)),B$2,)</f>
        <v>0</v>
      </c>
      <c r="C18" s="155">
        <f ca="1">IF(ISNUMBER(MATCH(DATEVALUE($A18),'changes1_based on steps'!C$1:C$400,0)),C$2,)</f>
        <v>0</v>
      </c>
      <c r="D18" s="155">
        <f ca="1">IF(ISNUMBER(MATCH(DATEVALUE($A18),'changes1_based on steps'!D$1:D$400,0)),D$2,)</f>
        <v>0</v>
      </c>
      <c r="E18" s="155">
        <f ca="1">IF(ISNUMBER(MATCH(DATEVALUE($A18),'changes1_based on steps'!E$1:E$400,0)),E$2,)</f>
        <v>0</v>
      </c>
      <c r="F18" s="155">
        <f ca="1">IF(ISNUMBER(MATCH(DATEVALUE($A18),'changes1_based on steps'!F$1:F$400,0)),F$2,)</f>
        <v>0</v>
      </c>
      <c r="G18" s="155">
        <f ca="1">IF(ISNUMBER(MATCH(DATEVALUE($A18),'changes1_based on steps'!G$1:G$400,0)),G$2,)</f>
        <v>0</v>
      </c>
      <c r="H18" s="155">
        <f ca="1">IF(ISNUMBER(MATCH(DATEVALUE($A18),'changes1_based on steps'!H$1:H$400,0)),H$2,)</f>
        <v>0</v>
      </c>
      <c r="I18" s="155">
        <f ca="1">IF(ISNUMBER(MATCH(DATEVALUE($A18),'changes1_based on steps'!I$1:I$400,0)),I$2,)</f>
        <v>0</v>
      </c>
      <c r="J18" s="155">
        <f ca="1">IF(ISNUMBER(MATCH(DATEVALUE($A18),'changes1_based on steps'!J$1:J$400,0)),J$2,)</f>
        <v>0</v>
      </c>
      <c r="K18" s="155">
        <f ca="1">IF(ISNUMBER(MATCH(DATEVALUE($A18),'changes1_based on steps'!K$1:K$400,0)),K$2,)</f>
        <v>0</v>
      </c>
      <c r="L18" s="155">
        <f ca="1">IF(ISNUMBER(MATCH(DATEVALUE($A18),'changes1_based on steps'!L$1:L$400,0)),L$2,)</f>
        <v>0</v>
      </c>
      <c r="M18" s="155">
        <f ca="1">IF(ISNUMBER(MATCH(DATEVALUE($A18),'changes1_based on steps'!M$1:M$400,0)),M$2,)</f>
        <v>0</v>
      </c>
      <c r="N18" s="155">
        <f ca="1">IF(ISNUMBER(MATCH(DATEVALUE($A18),'changes1_based on steps'!N$1:N$400,0)),N$2,)</f>
        <v>0</v>
      </c>
      <c r="O18" s="155">
        <f ca="1">IF(ISNUMBER(MATCH(DATEVALUE($A18),'changes1_based on steps'!O$1:O$400,0)),O$2,)</f>
        <v>0</v>
      </c>
      <c r="P18" s="155">
        <f ca="1">IF(ISNUMBER(MATCH(DATEVALUE($A18),'changes1_based on steps'!P$1:P$400,0)),P$2,)</f>
        <v>0</v>
      </c>
      <c r="Q18" s="155">
        <f ca="1">IF(ISNUMBER(MATCH(DATEVALUE($A18),'changes1_based on steps'!Q$1:Q$400,0)),Q$2,)</f>
        <v>0</v>
      </c>
      <c r="R18" s="155">
        <f ca="1">IF(ISNUMBER(MATCH(DATEVALUE($A18),'changes1_based on steps'!R$1:R$400,0)),R$2,)</f>
        <v>0</v>
      </c>
      <c r="S18" s="155">
        <f ca="1">IF(ISNUMBER(MATCH(DATEVALUE($A18),'changes1_based on steps'!S$1:S$400,0)),S$2,)</f>
        <v>0</v>
      </c>
      <c r="T18" s="155">
        <f ca="1">IF(ISNUMBER(MATCH(DATEVALUE($A18),'changes1_based on steps'!T$1:T$400,0)),T$2,)</f>
        <v>0</v>
      </c>
      <c r="U18" s="155">
        <f ca="1">IF(ISNUMBER(MATCH(DATEVALUE($A18),'changes1_based on steps'!U$1:U$400,0)),U$2,)</f>
        <v>0</v>
      </c>
    </row>
    <row r="19" spans="1:21" x14ac:dyDescent="0.2">
      <c r="A19" s="18" t="str">
        <f t="shared" ca="1" si="0"/>
        <v>2025-02-17</v>
      </c>
      <c r="B19" s="155">
        <f ca="1">IF(ISNUMBER(MATCH(DATEVALUE($A19),'changes1_based on steps'!B$1:B$400,0)),B$2,)</f>
        <v>0</v>
      </c>
      <c r="C19" s="155">
        <f ca="1">IF(ISNUMBER(MATCH(DATEVALUE($A19),'changes1_based on steps'!C$1:C$400,0)),C$2,)</f>
        <v>0</v>
      </c>
      <c r="D19" s="155">
        <f ca="1">IF(ISNUMBER(MATCH(DATEVALUE($A19),'changes1_based on steps'!D$1:D$400,0)),D$2,)</f>
        <v>0</v>
      </c>
      <c r="E19" s="155">
        <f ca="1">IF(ISNUMBER(MATCH(DATEVALUE($A19),'changes1_based on steps'!E$1:E$400,0)),E$2,)</f>
        <v>0</v>
      </c>
      <c r="F19" s="155">
        <f ca="1">IF(ISNUMBER(MATCH(DATEVALUE($A19),'changes1_based on steps'!F$1:F$400,0)),F$2,)</f>
        <v>0</v>
      </c>
      <c r="G19" s="155">
        <f ca="1">IF(ISNUMBER(MATCH(DATEVALUE($A19),'changes1_based on steps'!G$1:G$400,0)),G$2,)</f>
        <v>0</v>
      </c>
      <c r="H19" s="155">
        <f ca="1">IF(ISNUMBER(MATCH(DATEVALUE($A19),'changes1_based on steps'!H$1:H$400,0)),H$2,)</f>
        <v>0</v>
      </c>
      <c r="I19" s="155">
        <f ca="1">IF(ISNUMBER(MATCH(DATEVALUE($A19),'changes1_based on steps'!I$1:I$400,0)),I$2,)</f>
        <v>0</v>
      </c>
      <c r="J19" s="155">
        <f ca="1">IF(ISNUMBER(MATCH(DATEVALUE($A19),'changes1_based on steps'!J$1:J$400,0)),J$2,)</f>
        <v>0</v>
      </c>
      <c r="K19" s="155">
        <f ca="1">IF(ISNUMBER(MATCH(DATEVALUE($A19),'changes1_based on steps'!K$1:K$400,0)),K$2,)</f>
        <v>0</v>
      </c>
      <c r="L19" s="155">
        <f ca="1">IF(ISNUMBER(MATCH(DATEVALUE($A19),'changes1_based on steps'!L$1:L$400,0)),L$2,)</f>
        <v>0</v>
      </c>
      <c r="M19" s="155">
        <f ca="1">IF(ISNUMBER(MATCH(DATEVALUE($A19),'changes1_based on steps'!M$1:M$400,0)),M$2,)</f>
        <v>0</v>
      </c>
      <c r="N19" s="155">
        <f ca="1">IF(ISNUMBER(MATCH(DATEVALUE($A19),'changes1_based on steps'!N$1:N$400,0)),N$2,)</f>
        <v>0</v>
      </c>
      <c r="O19" s="155">
        <f ca="1">IF(ISNUMBER(MATCH(DATEVALUE($A19),'changes1_based on steps'!O$1:O$400,0)),O$2,)</f>
        <v>0</v>
      </c>
      <c r="P19" s="155">
        <f ca="1">IF(ISNUMBER(MATCH(DATEVALUE($A19),'changes1_based on steps'!P$1:P$400,0)),P$2,)</f>
        <v>0</v>
      </c>
      <c r="Q19" s="155">
        <f ca="1">IF(ISNUMBER(MATCH(DATEVALUE($A19),'changes1_based on steps'!Q$1:Q$400,0)),Q$2,)</f>
        <v>0</v>
      </c>
      <c r="R19" s="155">
        <f ca="1">IF(ISNUMBER(MATCH(DATEVALUE($A19),'changes1_based on steps'!R$1:R$400,0)),R$2,)</f>
        <v>0</v>
      </c>
      <c r="S19" s="155">
        <f ca="1">IF(ISNUMBER(MATCH(DATEVALUE($A19),'changes1_based on steps'!S$1:S$400,0)),S$2,)</f>
        <v>0</v>
      </c>
      <c r="T19" s="155">
        <f ca="1">IF(ISNUMBER(MATCH(DATEVALUE($A19),'changes1_based on steps'!T$1:T$400,0)),T$2,)</f>
        <v>0</v>
      </c>
      <c r="U19" s="155">
        <f ca="1">IF(ISNUMBER(MATCH(DATEVALUE($A19),'changes1_based on steps'!U$1:U$400,0)),U$2,)</f>
        <v>0</v>
      </c>
    </row>
    <row r="20" spans="1:21" x14ac:dyDescent="0.2">
      <c r="A20" s="18" t="str">
        <f t="shared" ca="1" si="0"/>
        <v>2025-02-18</v>
      </c>
      <c r="B20" s="155">
        <f ca="1">IF(ISNUMBER(MATCH(DATEVALUE($A20),'changes1_based on steps'!B$1:B$400,0)),B$2,)</f>
        <v>0</v>
      </c>
      <c r="C20" s="155">
        <f ca="1">IF(ISNUMBER(MATCH(DATEVALUE($A20),'changes1_based on steps'!C$1:C$400,0)),C$2,)</f>
        <v>0</v>
      </c>
      <c r="D20" s="155">
        <f ca="1">IF(ISNUMBER(MATCH(DATEVALUE($A20),'changes1_based on steps'!D$1:D$400,0)),D$2,)</f>
        <v>0</v>
      </c>
      <c r="E20" s="155">
        <f ca="1">IF(ISNUMBER(MATCH(DATEVALUE($A20),'changes1_based on steps'!E$1:E$400,0)),E$2,)</f>
        <v>0</v>
      </c>
      <c r="F20" s="155">
        <f ca="1">IF(ISNUMBER(MATCH(DATEVALUE($A20),'changes1_based on steps'!F$1:F$400,0)),F$2,)</f>
        <v>0</v>
      </c>
      <c r="G20" s="155">
        <f ca="1">IF(ISNUMBER(MATCH(DATEVALUE($A20),'changes1_based on steps'!G$1:G$400,0)),G$2,)</f>
        <v>0</v>
      </c>
      <c r="H20" s="155">
        <f ca="1">IF(ISNUMBER(MATCH(DATEVALUE($A20),'changes1_based on steps'!H$1:H$400,0)),H$2,)</f>
        <v>0</v>
      </c>
      <c r="I20" s="155">
        <f ca="1">IF(ISNUMBER(MATCH(DATEVALUE($A20),'changes1_based on steps'!I$1:I$400,0)),I$2,)</f>
        <v>0</v>
      </c>
      <c r="J20" s="155">
        <f ca="1">IF(ISNUMBER(MATCH(DATEVALUE($A20),'changes1_based on steps'!J$1:J$400,0)),J$2,)</f>
        <v>0</v>
      </c>
      <c r="K20" s="155">
        <f ca="1">IF(ISNUMBER(MATCH(DATEVALUE($A20),'changes1_based on steps'!K$1:K$400,0)),K$2,)</f>
        <v>0</v>
      </c>
      <c r="L20" s="155">
        <f ca="1">IF(ISNUMBER(MATCH(DATEVALUE($A20),'changes1_based on steps'!L$1:L$400,0)),L$2,)</f>
        <v>0</v>
      </c>
      <c r="M20" s="155">
        <f ca="1">IF(ISNUMBER(MATCH(DATEVALUE($A20),'changes1_based on steps'!M$1:M$400,0)),M$2,)</f>
        <v>0</v>
      </c>
      <c r="N20" s="155">
        <f ca="1">IF(ISNUMBER(MATCH(DATEVALUE($A20),'changes1_based on steps'!N$1:N$400,0)),N$2,)</f>
        <v>0</v>
      </c>
      <c r="O20" s="155">
        <f ca="1">IF(ISNUMBER(MATCH(DATEVALUE($A20),'changes1_based on steps'!O$1:O$400,0)),O$2,)</f>
        <v>0</v>
      </c>
      <c r="P20" s="155">
        <f ca="1">IF(ISNUMBER(MATCH(DATEVALUE($A20),'changes1_based on steps'!P$1:P$400,0)),P$2,)</f>
        <v>0</v>
      </c>
      <c r="Q20" s="155">
        <f ca="1">IF(ISNUMBER(MATCH(DATEVALUE($A20),'changes1_based on steps'!Q$1:Q$400,0)),Q$2,)</f>
        <v>0</v>
      </c>
      <c r="R20" s="155">
        <f ca="1">IF(ISNUMBER(MATCH(DATEVALUE($A20),'changes1_based on steps'!R$1:R$400,0)),R$2,)</f>
        <v>0</v>
      </c>
      <c r="S20" s="155">
        <f ca="1">IF(ISNUMBER(MATCH(DATEVALUE($A20),'changes1_based on steps'!S$1:S$400,0)),S$2,)</f>
        <v>0</v>
      </c>
      <c r="T20" s="155">
        <f ca="1">IF(ISNUMBER(MATCH(DATEVALUE($A20),'changes1_based on steps'!T$1:T$400,0)),T$2,)</f>
        <v>0</v>
      </c>
      <c r="U20" s="155">
        <f ca="1">IF(ISNUMBER(MATCH(DATEVALUE($A20),'changes1_based on steps'!U$1:U$400,0)),U$2,)</f>
        <v>0</v>
      </c>
    </row>
    <row r="21" spans="1:21" x14ac:dyDescent="0.2">
      <c r="A21" s="18" t="str">
        <f t="shared" ca="1" si="0"/>
        <v>2025-02-19</v>
      </c>
      <c r="B21" s="155">
        <f ca="1">IF(ISNUMBER(MATCH(DATEVALUE($A21),'changes1_based on steps'!B$1:B$400,0)),B$2,)</f>
        <v>0</v>
      </c>
      <c r="C21" s="155">
        <f ca="1">IF(ISNUMBER(MATCH(DATEVALUE($A21),'changes1_based on steps'!C$1:C$400,0)),C$2,)</f>
        <v>0</v>
      </c>
      <c r="D21" s="155">
        <f ca="1">IF(ISNUMBER(MATCH(DATEVALUE($A21),'changes1_based on steps'!D$1:D$400,0)),D$2,)</f>
        <v>0</v>
      </c>
      <c r="E21" s="155">
        <f ca="1">IF(ISNUMBER(MATCH(DATEVALUE($A21),'changes1_based on steps'!E$1:E$400,0)),E$2,)</f>
        <v>0</v>
      </c>
      <c r="F21" s="155">
        <f ca="1">IF(ISNUMBER(MATCH(DATEVALUE($A21),'changes1_based on steps'!F$1:F$400,0)),F$2,)</f>
        <v>0</v>
      </c>
      <c r="G21" s="155">
        <f ca="1">IF(ISNUMBER(MATCH(DATEVALUE($A21),'changes1_based on steps'!G$1:G$400,0)),G$2,)</f>
        <v>0</v>
      </c>
      <c r="H21" s="155">
        <f ca="1">IF(ISNUMBER(MATCH(DATEVALUE($A21),'changes1_based on steps'!H$1:H$400,0)),H$2,)</f>
        <v>0</v>
      </c>
      <c r="I21" s="155">
        <f ca="1">IF(ISNUMBER(MATCH(DATEVALUE($A21),'changes1_based on steps'!I$1:I$400,0)),I$2,)</f>
        <v>0</v>
      </c>
      <c r="J21" s="155">
        <f ca="1">IF(ISNUMBER(MATCH(DATEVALUE($A21),'changes1_based on steps'!J$1:J$400,0)),J$2,)</f>
        <v>0</v>
      </c>
      <c r="K21" s="155">
        <f ca="1">IF(ISNUMBER(MATCH(DATEVALUE($A21),'changes1_based on steps'!K$1:K$400,0)),K$2,)</f>
        <v>0</v>
      </c>
      <c r="L21" s="155">
        <f ca="1">IF(ISNUMBER(MATCH(DATEVALUE($A21),'changes1_based on steps'!L$1:L$400,0)),L$2,)</f>
        <v>0</v>
      </c>
      <c r="M21" s="155">
        <f ca="1">IF(ISNUMBER(MATCH(DATEVALUE($A21),'changes1_based on steps'!M$1:M$400,0)),M$2,)</f>
        <v>0</v>
      </c>
      <c r="N21" s="155">
        <f ca="1">IF(ISNUMBER(MATCH(DATEVALUE($A21),'changes1_based on steps'!N$1:N$400,0)),N$2,)</f>
        <v>0</v>
      </c>
      <c r="O21" s="155">
        <f ca="1">IF(ISNUMBER(MATCH(DATEVALUE($A21),'changes1_based on steps'!O$1:O$400,0)),O$2,)</f>
        <v>0</v>
      </c>
      <c r="P21" s="155">
        <f ca="1">IF(ISNUMBER(MATCH(DATEVALUE($A21),'changes1_based on steps'!P$1:P$400,0)),P$2,)</f>
        <v>0</v>
      </c>
      <c r="Q21" s="155">
        <f ca="1">IF(ISNUMBER(MATCH(DATEVALUE($A21),'changes1_based on steps'!Q$1:Q$400,0)),Q$2,)</f>
        <v>0</v>
      </c>
      <c r="R21" s="155">
        <f ca="1">IF(ISNUMBER(MATCH(DATEVALUE($A21),'changes1_based on steps'!R$1:R$400,0)),R$2,)</f>
        <v>0</v>
      </c>
      <c r="S21" s="155">
        <f ca="1">IF(ISNUMBER(MATCH(DATEVALUE($A21),'changes1_based on steps'!S$1:S$400,0)),S$2,)</f>
        <v>0</v>
      </c>
      <c r="T21" s="155">
        <f ca="1">IF(ISNUMBER(MATCH(DATEVALUE($A21),'changes1_based on steps'!T$1:T$400,0)),T$2,)</f>
        <v>0</v>
      </c>
      <c r="U21" s="155">
        <f ca="1">IF(ISNUMBER(MATCH(DATEVALUE($A21),'changes1_based on steps'!U$1:U$400,0)),U$2,)</f>
        <v>0</v>
      </c>
    </row>
    <row r="22" spans="1:21" x14ac:dyDescent="0.2">
      <c r="A22" s="18" t="str">
        <f t="shared" ca="1" si="0"/>
        <v>2025-02-20</v>
      </c>
      <c r="B22" s="155">
        <f ca="1">IF(ISNUMBER(MATCH(DATEVALUE($A22),'changes1_based on steps'!B$1:B$400,0)),B$2,)</f>
        <v>0</v>
      </c>
      <c r="C22" s="155">
        <f ca="1">IF(ISNUMBER(MATCH(DATEVALUE($A22),'changes1_based on steps'!C$1:C$400,0)),C$2,)</f>
        <v>0</v>
      </c>
      <c r="D22" s="155">
        <f ca="1">IF(ISNUMBER(MATCH(DATEVALUE($A22),'changes1_based on steps'!D$1:D$400,0)),D$2,)</f>
        <v>0</v>
      </c>
      <c r="E22" s="155">
        <f ca="1">IF(ISNUMBER(MATCH(DATEVALUE($A22),'changes1_based on steps'!E$1:E$400,0)),E$2,)</f>
        <v>0</v>
      </c>
      <c r="F22" s="155">
        <f ca="1">IF(ISNUMBER(MATCH(DATEVALUE($A22),'changes1_based on steps'!F$1:F$400,0)),F$2,)</f>
        <v>0</v>
      </c>
      <c r="G22" s="155">
        <f ca="1">IF(ISNUMBER(MATCH(DATEVALUE($A22),'changes1_based on steps'!G$1:G$400,0)),G$2,)</f>
        <v>0</v>
      </c>
      <c r="H22" s="155">
        <f ca="1">IF(ISNUMBER(MATCH(DATEVALUE($A22),'changes1_based on steps'!H$1:H$400,0)),H$2,)</f>
        <v>0</v>
      </c>
      <c r="I22" s="155">
        <f ca="1">IF(ISNUMBER(MATCH(DATEVALUE($A22),'changes1_based on steps'!I$1:I$400,0)),I$2,)</f>
        <v>0</v>
      </c>
      <c r="J22" s="155">
        <f ca="1">IF(ISNUMBER(MATCH(DATEVALUE($A22),'changes1_based on steps'!J$1:J$400,0)),J$2,)</f>
        <v>0</v>
      </c>
      <c r="K22" s="155">
        <f ca="1">IF(ISNUMBER(MATCH(DATEVALUE($A22),'changes1_based on steps'!K$1:K$400,0)),K$2,)</f>
        <v>0</v>
      </c>
      <c r="L22" s="155">
        <f ca="1">IF(ISNUMBER(MATCH(DATEVALUE($A22),'changes1_based on steps'!L$1:L$400,0)),L$2,)</f>
        <v>0</v>
      </c>
      <c r="M22" s="155">
        <f ca="1">IF(ISNUMBER(MATCH(DATEVALUE($A22),'changes1_based on steps'!M$1:M$400,0)),M$2,)</f>
        <v>0</v>
      </c>
      <c r="N22" s="155">
        <f ca="1">IF(ISNUMBER(MATCH(DATEVALUE($A22),'changes1_based on steps'!N$1:N$400,0)),N$2,)</f>
        <v>0</v>
      </c>
      <c r="O22" s="155">
        <f ca="1">IF(ISNUMBER(MATCH(DATEVALUE($A22),'changes1_based on steps'!O$1:O$400,0)),O$2,)</f>
        <v>0</v>
      </c>
      <c r="P22" s="155">
        <f ca="1">IF(ISNUMBER(MATCH(DATEVALUE($A22),'changes1_based on steps'!P$1:P$400,0)),P$2,)</f>
        <v>0</v>
      </c>
      <c r="Q22" s="155">
        <f ca="1">IF(ISNUMBER(MATCH(DATEVALUE($A22),'changes1_based on steps'!Q$1:Q$400,0)),Q$2,)</f>
        <v>0</v>
      </c>
      <c r="R22" s="155">
        <f ca="1">IF(ISNUMBER(MATCH(DATEVALUE($A22),'changes1_based on steps'!R$1:R$400,0)),R$2,)</f>
        <v>0</v>
      </c>
      <c r="S22" s="155">
        <f ca="1">IF(ISNUMBER(MATCH(DATEVALUE($A22),'changes1_based on steps'!S$1:S$400,0)),S$2,)</f>
        <v>0</v>
      </c>
      <c r="T22" s="155">
        <f ca="1">IF(ISNUMBER(MATCH(DATEVALUE($A22),'changes1_based on steps'!T$1:T$400,0)),T$2,)</f>
        <v>0</v>
      </c>
      <c r="U22" s="155">
        <f ca="1">IF(ISNUMBER(MATCH(DATEVALUE($A22),'changes1_based on steps'!U$1:U$400,0)),U$2,)</f>
        <v>0</v>
      </c>
    </row>
    <row r="23" spans="1:21" x14ac:dyDescent="0.2">
      <c r="A23" s="18" t="str">
        <f t="shared" ca="1" si="0"/>
        <v>2025-02-21</v>
      </c>
      <c r="B23" s="155">
        <f ca="1">IF(ISNUMBER(MATCH(DATEVALUE($A23),'changes1_based on steps'!B$1:B$400,0)),B$2,)</f>
        <v>0</v>
      </c>
      <c r="C23" s="155">
        <f ca="1">IF(ISNUMBER(MATCH(DATEVALUE($A23),'changes1_based on steps'!C$1:C$400,0)),C$2,)</f>
        <v>0</v>
      </c>
      <c r="D23" s="155">
        <f ca="1">IF(ISNUMBER(MATCH(DATEVALUE($A23),'changes1_based on steps'!D$1:D$400,0)),D$2,)</f>
        <v>0</v>
      </c>
      <c r="E23" s="155">
        <f ca="1">IF(ISNUMBER(MATCH(DATEVALUE($A23),'changes1_based on steps'!E$1:E$400,0)),E$2,)</f>
        <v>0</v>
      </c>
      <c r="F23" s="155">
        <f ca="1">IF(ISNUMBER(MATCH(DATEVALUE($A23),'changes1_based on steps'!F$1:F$400,0)),F$2,)</f>
        <v>0</v>
      </c>
      <c r="G23" s="155">
        <f ca="1">IF(ISNUMBER(MATCH(DATEVALUE($A23),'changes1_based on steps'!G$1:G$400,0)),G$2,)</f>
        <v>0</v>
      </c>
      <c r="H23" s="155">
        <f ca="1">IF(ISNUMBER(MATCH(DATEVALUE($A23),'changes1_based on steps'!H$1:H$400,0)),H$2,)</f>
        <v>0</v>
      </c>
      <c r="I23" s="155">
        <f ca="1">IF(ISNUMBER(MATCH(DATEVALUE($A23),'changes1_based on steps'!I$1:I$400,0)),I$2,)</f>
        <v>0</v>
      </c>
      <c r="J23" s="155">
        <f ca="1">IF(ISNUMBER(MATCH(DATEVALUE($A23),'changes1_based on steps'!J$1:J$400,0)),J$2,)</f>
        <v>0</v>
      </c>
      <c r="K23" s="155">
        <f ca="1">IF(ISNUMBER(MATCH(DATEVALUE($A23),'changes1_based on steps'!K$1:K$400,0)),K$2,)</f>
        <v>0</v>
      </c>
      <c r="L23" s="155">
        <f ca="1">IF(ISNUMBER(MATCH(DATEVALUE($A23),'changes1_based on steps'!L$1:L$400,0)),L$2,)</f>
        <v>0</v>
      </c>
      <c r="M23" s="155">
        <f ca="1">IF(ISNUMBER(MATCH(DATEVALUE($A23),'changes1_based on steps'!M$1:M$400,0)),M$2,)</f>
        <v>0</v>
      </c>
      <c r="N23" s="155">
        <f ca="1">IF(ISNUMBER(MATCH(DATEVALUE($A23),'changes1_based on steps'!N$1:N$400,0)),N$2,)</f>
        <v>0</v>
      </c>
      <c r="O23" s="155">
        <f ca="1">IF(ISNUMBER(MATCH(DATEVALUE($A23),'changes1_based on steps'!O$1:O$400,0)),O$2,)</f>
        <v>0</v>
      </c>
      <c r="P23" s="155">
        <f ca="1">IF(ISNUMBER(MATCH(DATEVALUE($A23),'changes1_based on steps'!P$1:P$400,0)),P$2,)</f>
        <v>0</v>
      </c>
      <c r="Q23" s="155">
        <f ca="1">IF(ISNUMBER(MATCH(DATEVALUE($A23),'changes1_based on steps'!Q$1:Q$400,0)),Q$2,)</f>
        <v>0</v>
      </c>
      <c r="R23" s="155">
        <f ca="1">IF(ISNUMBER(MATCH(DATEVALUE($A23),'changes1_based on steps'!R$1:R$400,0)),R$2,)</f>
        <v>0</v>
      </c>
      <c r="S23" s="155">
        <f ca="1">IF(ISNUMBER(MATCH(DATEVALUE($A23),'changes1_based on steps'!S$1:S$400,0)),S$2,)</f>
        <v>0</v>
      </c>
      <c r="T23" s="155">
        <f ca="1">IF(ISNUMBER(MATCH(DATEVALUE($A23),'changes1_based on steps'!T$1:T$400,0)),T$2,)</f>
        <v>0</v>
      </c>
      <c r="U23" s="155">
        <f ca="1">IF(ISNUMBER(MATCH(DATEVALUE($A23),'changes1_based on steps'!U$1:U$400,0)),U$2,)</f>
        <v>0</v>
      </c>
    </row>
    <row r="24" spans="1:21" x14ac:dyDescent="0.2">
      <c r="A24" s="18" t="str">
        <f t="shared" ca="1" si="0"/>
        <v>2025-02-22</v>
      </c>
      <c r="B24" s="155">
        <f ca="1">IF(ISNUMBER(MATCH(DATEVALUE($A24),'changes1_based on steps'!B$1:B$400,0)),B$2,)</f>
        <v>0</v>
      </c>
      <c r="C24" s="155">
        <f ca="1">IF(ISNUMBER(MATCH(DATEVALUE($A24),'changes1_based on steps'!C$1:C$400,0)),C$2,)</f>
        <v>0</v>
      </c>
      <c r="D24" s="155">
        <f ca="1">IF(ISNUMBER(MATCH(DATEVALUE($A24),'changes1_based on steps'!D$1:D$400,0)),D$2,)</f>
        <v>0</v>
      </c>
      <c r="E24" s="155">
        <f ca="1">IF(ISNUMBER(MATCH(DATEVALUE($A24),'changes1_based on steps'!E$1:E$400,0)),E$2,)</f>
        <v>0</v>
      </c>
      <c r="F24" s="155">
        <f ca="1">IF(ISNUMBER(MATCH(DATEVALUE($A24),'changes1_based on steps'!F$1:F$400,0)),F$2,)</f>
        <v>0</v>
      </c>
      <c r="G24" s="155">
        <f ca="1">IF(ISNUMBER(MATCH(DATEVALUE($A24),'changes1_based on steps'!G$1:G$400,0)),G$2,)</f>
        <v>0</v>
      </c>
      <c r="H24" s="155">
        <f ca="1">IF(ISNUMBER(MATCH(DATEVALUE($A24),'changes1_based on steps'!H$1:H$400,0)),H$2,)</f>
        <v>0</v>
      </c>
      <c r="I24" s="155">
        <f ca="1">IF(ISNUMBER(MATCH(DATEVALUE($A24),'changes1_based on steps'!I$1:I$400,0)),I$2,)</f>
        <v>0</v>
      </c>
      <c r="J24" s="155">
        <f ca="1">IF(ISNUMBER(MATCH(DATEVALUE($A24),'changes1_based on steps'!J$1:J$400,0)),J$2,)</f>
        <v>0</v>
      </c>
      <c r="K24" s="155">
        <f ca="1">IF(ISNUMBER(MATCH(DATEVALUE($A24),'changes1_based on steps'!K$1:K$400,0)),K$2,)</f>
        <v>0</v>
      </c>
      <c r="L24" s="155">
        <f ca="1">IF(ISNUMBER(MATCH(DATEVALUE($A24),'changes1_based on steps'!L$1:L$400,0)),L$2,)</f>
        <v>0</v>
      </c>
      <c r="M24" s="155">
        <f ca="1">IF(ISNUMBER(MATCH(DATEVALUE($A24),'changes1_based on steps'!M$1:M$400,0)),M$2,)</f>
        <v>0</v>
      </c>
      <c r="N24" s="155">
        <f ca="1">IF(ISNUMBER(MATCH(DATEVALUE($A24),'changes1_based on steps'!N$1:N$400,0)),N$2,)</f>
        <v>0</v>
      </c>
      <c r="O24" s="155">
        <f ca="1">IF(ISNUMBER(MATCH(DATEVALUE($A24),'changes1_based on steps'!O$1:O$400,0)),O$2,)</f>
        <v>0</v>
      </c>
      <c r="P24" s="155">
        <f ca="1">IF(ISNUMBER(MATCH(DATEVALUE($A24),'changes1_based on steps'!P$1:P$400,0)),P$2,)</f>
        <v>0</v>
      </c>
      <c r="Q24" s="155">
        <f ca="1">IF(ISNUMBER(MATCH(DATEVALUE($A24),'changes1_based on steps'!Q$1:Q$400,0)),Q$2,)</f>
        <v>0</v>
      </c>
      <c r="R24" s="155">
        <f ca="1">IF(ISNUMBER(MATCH(DATEVALUE($A24),'changes1_based on steps'!R$1:R$400,0)),R$2,)</f>
        <v>0</v>
      </c>
      <c r="S24" s="155">
        <f ca="1">IF(ISNUMBER(MATCH(DATEVALUE($A24),'changes1_based on steps'!S$1:S$400,0)),S$2,)</f>
        <v>0</v>
      </c>
      <c r="T24" s="155">
        <f ca="1">IF(ISNUMBER(MATCH(DATEVALUE($A24),'changes1_based on steps'!T$1:T$400,0)),T$2,)</f>
        <v>0</v>
      </c>
      <c r="U24" s="155">
        <f ca="1">IF(ISNUMBER(MATCH(DATEVALUE($A24),'changes1_based on steps'!U$1:U$400,0)),U$2,)</f>
        <v>0</v>
      </c>
    </row>
    <row r="25" spans="1:21" x14ac:dyDescent="0.2">
      <c r="A25" s="18" t="str">
        <f t="shared" ca="1" si="0"/>
        <v>2025-02-23</v>
      </c>
      <c r="B25" s="155">
        <f ca="1">IF(ISNUMBER(MATCH(DATEVALUE($A25),'changes1_based on steps'!B$1:B$400,0)),B$2,)</f>
        <v>0</v>
      </c>
      <c r="C25" s="155">
        <f ca="1">IF(ISNUMBER(MATCH(DATEVALUE($A25),'changes1_based on steps'!C$1:C$400,0)),C$2,)</f>
        <v>0</v>
      </c>
      <c r="D25" s="155">
        <f ca="1">IF(ISNUMBER(MATCH(DATEVALUE($A25),'changes1_based on steps'!D$1:D$400,0)),D$2,)</f>
        <v>0</v>
      </c>
      <c r="E25" s="155">
        <f ca="1">IF(ISNUMBER(MATCH(DATEVALUE($A25),'changes1_based on steps'!E$1:E$400,0)),E$2,)</f>
        <v>0</v>
      </c>
      <c r="F25" s="155">
        <f ca="1">IF(ISNUMBER(MATCH(DATEVALUE($A25),'changes1_based on steps'!F$1:F$400,0)),F$2,)</f>
        <v>0</v>
      </c>
      <c r="G25" s="155">
        <f ca="1">IF(ISNUMBER(MATCH(DATEVALUE($A25),'changes1_based on steps'!G$1:G$400,0)),G$2,)</f>
        <v>0</v>
      </c>
      <c r="H25" s="155">
        <f ca="1">IF(ISNUMBER(MATCH(DATEVALUE($A25),'changes1_based on steps'!H$1:H$400,0)),H$2,)</f>
        <v>0</v>
      </c>
      <c r="I25" s="155">
        <f ca="1">IF(ISNUMBER(MATCH(DATEVALUE($A25),'changes1_based on steps'!I$1:I$400,0)),I$2,)</f>
        <v>0</v>
      </c>
      <c r="J25" s="155">
        <f ca="1">IF(ISNUMBER(MATCH(DATEVALUE($A25),'changes1_based on steps'!J$1:J$400,0)),J$2,)</f>
        <v>0</v>
      </c>
      <c r="K25" s="155">
        <f ca="1">IF(ISNUMBER(MATCH(DATEVALUE($A25),'changes1_based on steps'!K$1:K$400,0)),K$2,)</f>
        <v>0</v>
      </c>
      <c r="L25" s="155">
        <f ca="1">IF(ISNUMBER(MATCH(DATEVALUE($A25),'changes1_based on steps'!L$1:L$400,0)),L$2,)</f>
        <v>0</v>
      </c>
      <c r="M25" s="155">
        <f ca="1">IF(ISNUMBER(MATCH(DATEVALUE($A25),'changes1_based on steps'!M$1:M$400,0)),M$2,)</f>
        <v>0</v>
      </c>
      <c r="N25" s="155">
        <f ca="1">IF(ISNUMBER(MATCH(DATEVALUE($A25),'changes1_based on steps'!N$1:N$400,0)),N$2,)</f>
        <v>0</v>
      </c>
      <c r="O25" s="155">
        <f ca="1">IF(ISNUMBER(MATCH(DATEVALUE($A25),'changes1_based on steps'!O$1:O$400,0)),O$2,)</f>
        <v>0</v>
      </c>
      <c r="P25" s="155">
        <f ca="1">IF(ISNUMBER(MATCH(DATEVALUE($A25),'changes1_based on steps'!P$1:P$400,0)),P$2,)</f>
        <v>0</v>
      </c>
      <c r="Q25" s="155">
        <f ca="1">IF(ISNUMBER(MATCH(DATEVALUE($A25),'changes1_based on steps'!Q$1:Q$400,0)),Q$2,)</f>
        <v>0</v>
      </c>
      <c r="R25" s="155">
        <f ca="1">IF(ISNUMBER(MATCH(DATEVALUE($A25),'changes1_based on steps'!R$1:R$400,0)),R$2,)</f>
        <v>0</v>
      </c>
      <c r="S25" s="155">
        <f ca="1">IF(ISNUMBER(MATCH(DATEVALUE($A25),'changes1_based on steps'!S$1:S$400,0)),S$2,)</f>
        <v>0</v>
      </c>
      <c r="T25" s="155">
        <f ca="1">IF(ISNUMBER(MATCH(DATEVALUE($A25),'changes1_based on steps'!T$1:T$400,0)),T$2,)</f>
        <v>0</v>
      </c>
      <c r="U25" s="155">
        <f ca="1">IF(ISNUMBER(MATCH(DATEVALUE($A25),'changes1_based on steps'!U$1:U$400,0)),U$2,)</f>
        <v>0</v>
      </c>
    </row>
    <row r="26" spans="1:21" x14ac:dyDescent="0.2">
      <c r="A26" s="18" t="str">
        <f t="shared" ca="1" si="0"/>
        <v>2025-02-24</v>
      </c>
      <c r="B26" s="155">
        <f ca="1">IF(ISNUMBER(MATCH(DATEVALUE($A26),'changes1_based on steps'!B$1:B$400,0)),B$2,)</f>
        <v>0</v>
      </c>
      <c r="C26" s="155">
        <f ca="1">IF(ISNUMBER(MATCH(DATEVALUE($A26),'changes1_based on steps'!C$1:C$400,0)),C$2,)</f>
        <v>0</v>
      </c>
      <c r="D26" s="155">
        <f ca="1">IF(ISNUMBER(MATCH(DATEVALUE($A26),'changes1_based on steps'!D$1:D$400,0)),D$2,)</f>
        <v>0</v>
      </c>
      <c r="E26" s="155">
        <f ca="1">IF(ISNUMBER(MATCH(DATEVALUE($A26),'changes1_based on steps'!E$1:E$400,0)),E$2,)</f>
        <v>0</v>
      </c>
      <c r="F26" s="155">
        <f ca="1">IF(ISNUMBER(MATCH(DATEVALUE($A26),'changes1_based on steps'!F$1:F$400,0)),F$2,)</f>
        <v>0</v>
      </c>
      <c r="G26" s="155">
        <f ca="1">IF(ISNUMBER(MATCH(DATEVALUE($A26),'changes1_based on steps'!G$1:G$400,0)),G$2,)</f>
        <v>0</v>
      </c>
      <c r="H26" s="155">
        <f ca="1">IF(ISNUMBER(MATCH(DATEVALUE($A26),'changes1_based on steps'!H$1:H$400,0)),H$2,)</f>
        <v>0</v>
      </c>
      <c r="I26" s="155">
        <f ca="1">IF(ISNUMBER(MATCH(DATEVALUE($A26),'changes1_based on steps'!I$1:I$400,0)),I$2,)</f>
        <v>0</v>
      </c>
      <c r="J26" s="155">
        <f ca="1">IF(ISNUMBER(MATCH(DATEVALUE($A26),'changes1_based on steps'!J$1:J$400,0)),J$2,)</f>
        <v>0</v>
      </c>
      <c r="K26" s="155">
        <f ca="1">IF(ISNUMBER(MATCH(DATEVALUE($A26),'changes1_based on steps'!K$1:K$400,0)),K$2,)</f>
        <v>0</v>
      </c>
      <c r="L26" s="155">
        <f ca="1">IF(ISNUMBER(MATCH(DATEVALUE($A26),'changes1_based on steps'!L$1:L$400,0)),L$2,)</f>
        <v>0</v>
      </c>
      <c r="M26" s="155">
        <f ca="1">IF(ISNUMBER(MATCH(DATEVALUE($A26),'changes1_based on steps'!M$1:M$400,0)),M$2,)</f>
        <v>0</v>
      </c>
      <c r="N26" s="155">
        <f ca="1">IF(ISNUMBER(MATCH(DATEVALUE($A26),'changes1_based on steps'!N$1:N$400,0)),N$2,)</f>
        <v>0</v>
      </c>
      <c r="O26" s="155">
        <f ca="1">IF(ISNUMBER(MATCH(DATEVALUE($A26),'changes1_based on steps'!O$1:O$400,0)),O$2,)</f>
        <v>0</v>
      </c>
      <c r="P26" s="155">
        <f ca="1">IF(ISNUMBER(MATCH(DATEVALUE($A26),'changes1_based on steps'!P$1:P$400,0)),P$2,)</f>
        <v>0</v>
      </c>
      <c r="Q26" s="155">
        <f ca="1">IF(ISNUMBER(MATCH(DATEVALUE($A26),'changes1_based on steps'!Q$1:Q$400,0)),Q$2,)</f>
        <v>0</v>
      </c>
      <c r="R26" s="155">
        <f ca="1">IF(ISNUMBER(MATCH(DATEVALUE($A26),'changes1_based on steps'!R$1:R$400,0)),R$2,)</f>
        <v>0</v>
      </c>
      <c r="S26" s="155">
        <f ca="1">IF(ISNUMBER(MATCH(DATEVALUE($A26),'changes1_based on steps'!S$1:S$400,0)),S$2,)</f>
        <v>0</v>
      </c>
      <c r="T26" s="155">
        <f ca="1">IF(ISNUMBER(MATCH(DATEVALUE($A26),'changes1_based on steps'!T$1:T$400,0)),T$2,)</f>
        <v>0</v>
      </c>
      <c r="U26" s="155">
        <f ca="1">IF(ISNUMBER(MATCH(DATEVALUE($A26),'changes1_based on steps'!U$1:U$400,0)),U$2,)</f>
        <v>0</v>
      </c>
    </row>
    <row r="27" spans="1:21" x14ac:dyDescent="0.2">
      <c r="A27" s="18" t="str">
        <f t="shared" ca="1" si="0"/>
        <v>2025-02-25</v>
      </c>
      <c r="B27" s="155">
        <f ca="1">IF(ISNUMBER(MATCH(DATEVALUE($A27),'changes1_based on steps'!B$1:B$400,0)),B$2,)</f>
        <v>0</v>
      </c>
      <c r="C27" s="155">
        <f ca="1">IF(ISNUMBER(MATCH(DATEVALUE($A27),'changes1_based on steps'!C$1:C$400,0)),C$2,)</f>
        <v>0</v>
      </c>
      <c r="D27" s="155">
        <f ca="1">IF(ISNUMBER(MATCH(DATEVALUE($A27),'changes1_based on steps'!D$1:D$400,0)),D$2,)</f>
        <v>0</v>
      </c>
      <c r="E27" s="155">
        <f ca="1">IF(ISNUMBER(MATCH(DATEVALUE($A27),'changes1_based on steps'!E$1:E$400,0)),E$2,)</f>
        <v>0</v>
      </c>
      <c r="F27" s="155">
        <f ca="1">IF(ISNUMBER(MATCH(DATEVALUE($A27),'changes1_based on steps'!F$1:F$400,0)),F$2,)</f>
        <v>0</v>
      </c>
      <c r="G27" s="155">
        <f ca="1">IF(ISNUMBER(MATCH(DATEVALUE($A27),'changes1_based on steps'!G$1:G$400,0)),G$2,)</f>
        <v>0</v>
      </c>
      <c r="H27" s="155">
        <f ca="1">IF(ISNUMBER(MATCH(DATEVALUE($A27),'changes1_based on steps'!H$1:H$400,0)),H$2,)</f>
        <v>0</v>
      </c>
      <c r="I27" s="155">
        <f ca="1">IF(ISNUMBER(MATCH(DATEVALUE($A27),'changes1_based on steps'!I$1:I$400,0)),I$2,)</f>
        <v>0</v>
      </c>
      <c r="J27" s="155">
        <f ca="1">IF(ISNUMBER(MATCH(DATEVALUE($A27),'changes1_based on steps'!J$1:J$400,0)),J$2,)</f>
        <v>0</v>
      </c>
      <c r="K27" s="155">
        <f ca="1">IF(ISNUMBER(MATCH(DATEVALUE($A27),'changes1_based on steps'!K$1:K$400,0)),K$2,)</f>
        <v>0</v>
      </c>
      <c r="L27" s="155">
        <f ca="1">IF(ISNUMBER(MATCH(DATEVALUE($A27),'changes1_based on steps'!L$1:L$400,0)),L$2,)</f>
        <v>0</v>
      </c>
      <c r="M27" s="155">
        <f ca="1">IF(ISNUMBER(MATCH(DATEVALUE($A27),'changes1_based on steps'!M$1:M$400,0)),M$2,)</f>
        <v>0</v>
      </c>
      <c r="N27" s="155">
        <f ca="1">IF(ISNUMBER(MATCH(DATEVALUE($A27),'changes1_based on steps'!N$1:N$400,0)),N$2,)</f>
        <v>0</v>
      </c>
      <c r="O27" s="155">
        <f ca="1">IF(ISNUMBER(MATCH(DATEVALUE($A27),'changes1_based on steps'!O$1:O$400,0)),O$2,)</f>
        <v>0</v>
      </c>
      <c r="P27" s="155">
        <f ca="1">IF(ISNUMBER(MATCH(DATEVALUE($A27),'changes1_based on steps'!P$1:P$400,0)),P$2,)</f>
        <v>0</v>
      </c>
      <c r="Q27" s="155">
        <f ca="1">IF(ISNUMBER(MATCH(DATEVALUE($A27),'changes1_based on steps'!Q$1:Q$400,0)),Q$2,)</f>
        <v>0</v>
      </c>
      <c r="R27" s="155">
        <f ca="1">IF(ISNUMBER(MATCH(DATEVALUE($A27),'changes1_based on steps'!R$1:R$400,0)),R$2,)</f>
        <v>0</v>
      </c>
      <c r="S27" s="155">
        <f ca="1">IF(ISNUMBER(MATCH(DATEVALUE($A27),'changes1_based on steps'!S$1:S$400,0)),S$2,)</f>
        <v>0</v>
      </c>
      <c r="T27" s="155">
        <f ca="1">IF(ISNUMBER(MATCH(DATEVALUE($A27),'changes1_based on steps'!T$1:T$400,0)),T$2,)</f>
        <v>0</v>
      </c>
      <c r="U27" s="155">
        <f ca="1">IF(ISNUMBER(MATCH(DATEVALUE($A27),'changes1_based on steps'!U$1:U$400,0)),U$2,)</f>
        <v>0</v>
      </c>
    </row>
    <row r="28" spans="1:21" x14ac:dyDescent="0.2">
      <c r="A28" s="18" t="str">
        <f t="shared" ca="1" si="0"/>
        <v>2025-02-26</v>
      </c>
      <c r="B28" s="155">
        <f ca="1">IF(ISNUMBER(MATCH(DATEVALUE($A28),'changes1_based on steps'!B$1:B$400,0)),B$2,)</f>
        <v>100</v>
      </c>
      <c r="C28" s="155">
        <f ca="1">IF(ISNUMBER(MATCH(DATEVALUE($A28),'changes1_based on steps'!C$1:C$400,0)),C$2,)</f>
        <v>0</v>
      </c>
      <c r="D28" s="155">
        <f ca="1">IF(ISNUMBER(MATCH(DATEVALUE($A28),'changes1_based on steps'!D$1:D$400,0)),D$2,)</f>
        <v>0</v>
      </c>
      <c r="E28" s="155">
        <f ca="1">IF(ISNUMBER(MATCH(DATEVALUE($A28),'changes1_based on steps'!E$1:E$400,0)),E$2,)</f>
        <v>0</v>
      </c>
      <c r="F28" s="155">
        <f ca="1">IF(ISNUMBER(MATCH(DATEVALUE($A28),'changes1_based on steps'!F$1:F$400,0)),F$2,)</f>
        <v>0</v>
      </c>
      <c r="G28" s="155">
        <f ca="1">IF(ISNUMBER(MATCH(DATEVALUE($A28),'changes1_based on steps'!G$1:G$400,0)),G$2,)</f>
        <v>0</v>
      </c>
      <c r="H28" s="155">
        <f ca="1">IF(ISNUMBER(MATCH(DATEVALUE($A28),'changes1_based on steps'!H$1:H$400,0)),H$2,)</f>
        <v>0</v>
      </c>
      <c r="I28" s="155">
        <f ca="1">IF(ISNUMBER(MATCH(DATEVALUE($A28),'changes1_based on steps'!I$1:I$400,0)),I$2,)</f>
        <v>0</v>
      </c>
      <c r="J28" s="155">
        <f ca="1">IF(ISNUMBER(MATCH(DATEVALUE($A28),'changes1_based on steps'!J$1:J$400,0)),J$2,)</f>
        <v>0</v>
      </c>
      <c r="K28" s="155">
        <f ca="1">IF(ISNUMBER(MATCH(DATEVALUE($A28),'changes1_based on steps'!K$1:K$400,0)),K$2,)</f>
        <v>0</v>
      </c>
      <c r="L28" s="155">
        <f ca="1">IF(ISNUMBER(MATCH(DATEVALUE($A28),'changes1_based on steps'!L$1:L$400,0)),L$2,)</f>
        <v>0</v>
      </c>
      <c r="M28" s="155">
        <f ca="1">IF(ISNUMBER(MATCH(DATEVALUE($A28),'changes1_based on steps'!M$1:M$400,0)),M$2,)</f>
        <v>0</v>
      </c>
      <c r="N28" s="155">
        <f ca="1">IF(ISNUMBER(MATCH(DATEVALUE($A28),'changes1_based on steps'!N$1:N$400,0)),N$2,)</f>
        <v>0</v>
      </c>
      <c r="O28" s="155">
        <f ca="1">IF(ISNUMBER(MATCH(DATEVALUE($A28),'changes1_based on steps'!O$1:O$400,0)),O$2,)</f>
        <v>0</v>
      </c>
      <c r="P28" s="155">
        <f ca="1">IF(ISNUMBER(MATCH(DATEVALUE($A28),'changes1_based on steps'!P$1:P$400,0)),P$2,)</f>
        <v>0</v>
      </c>
      <c r="Q28" s="155">
        <f ca="1">IF(ISNUMBER(MATCH(DATEVALUE($A28),'changes1_based on steps'!Q$1:Q$400,0)),Q$2,)</f>
        <v>0</v>
      </c>
      <c r="R28" s="155">
        <f ca="1">IF(ISNUMBER(MATCH(DATEVALUE($A28),'changes1_based on steps'!R$1:R$400,0)),R$2,)</f>
        <v>0</v>
      </c>
      <c r="S28" s="155">
        <f ca="1">IF(ISNUMBER(MATCH(DATEVALUE($A28),'changes1_based on steps'!S$1:S$400,0)),S$2,)</f>
        <v>0</v>
      </c>
      <c r="T28" s="155">
        <f ca="1">IF(ISNUMBER(MATCH(DATEVALUE($A28),'changes1_based on steps'!T$1:T$400,0)),T$2,)</f>
        <v>0</v>
      </c>
      <c r="U28" s="155">
        <f ca="1">IF(ISNUMBER(MATCH(DATEVALUE($A28),'changes1_based on steps'!U$1:U$400,0)),U$2,)</f>
        <v>0</v>
      </c>
    </row>
    <row r="29" spans="1:21" x14ac:dyDescent="0.2">
      <c r="A29" s="18" t="str">
        <f t="shared" ca="1" si="0"/>
        <v>2025-02-27</v>
      </c>
      <c r="B29" s="155">
        <f ca="1">IF(ISNUMBER(MATCH(DATEVALUE($A29),'changes1_based on steps'!B$1:B$400,0)),B$2,)</f>
        <v>0</v>
      </c>
      <c r="C29" s="155">
        <f ca="1">IF(ISNUMBER(MATCH(DATEVALUE($A29),'changes1_based on steps'!C$1:C$400,0)),C$2,)</f>
        <v>0</v>
      </c>
      <c r="D29" s="155">
        <f ca="1">IF(ISNUMBER(MATCH(DATEVALUE($A29),'changes1_based on steps'!D$1:D$400,0)),D$2,)</f>
        <v>0</v>
      </c>
      <c r="E29" s="155">
        <f ca="1">IF(ISNUMBER(MATCH(DATEVALUE($A29),'changes1_based on steps'!E$1:E$400,0)),E$2,)</f>
        <v>0</v>
      </c>
      <c r="F29" s="155">
        <f ca="1">IF(ISNUMBER(MATCH(DATEVALUE($A29),'changes1_based on steps'!F$1:F$400,0)),F$2,)</f>
        <v>0</v>
      </c>
      <c r="G29" s="155">
        <f ca="1">IF(ISNUMBER(MATCH(DATEVALUE($A29),'changes1_based on steps'!G$1:G$400,0)),G$2,)</f>
        <v>0</v>
      </c>
      <c r="H29" s="155">
        <f ca="1">IF(ISNUMBER(MATCH(DATEVALUE($A29),'changes1_based on steps'!H$1:H$400,0)),H$2,)</f>
        <v>0</v>
      </c>
      <c r="I29" s="155">
        <f ca="1">IF(ISNUMBER(MATCH(DATEVALUE($A29),'changes1_based on steps'!I$1:I$400,0)),I$2,)</f>
        <v>0</v>
      </c>
      <c r="J29" s="155">
        <f ca="1">IF(ISNUMBER(MATCH(DATEVALUE($A29),'changes1_based on steps'!J$1:J$400,0)),J$2,)</f>
        <v>0</v>
      </c>
      <c r="K29" s="155">
        <f ca="1">IF(ISNUMBER(MATCH(DATEVALUE($A29),'changes1_based on steps'!K$1:K$400,0)),K$2,)</f>
        <v>0</v>
      </c>
      <c r="L29" s="155">
        <f ca="1">IF(ISNUMBER(MATCH(DATEVALUE($A29),'changes1_based on steps'!L$1:L$400,0)),L$2,)</f>
        <v>0</v>
      </c>
      <c r="M29" s="155">
        <f ca="1">IF(ISNUMBER(MATCH(DATEVALUE($A29),'changes1_based on steps'!M$1:M$400,0)),M$2,)</f>
        <v>0</v>
      </c>
      <c r="N29" s="155">
        <f ca="1">IF(ISNUMBER(MATCH(DATEVALUE($A29),'changes1_based on steps'!N$1:N$400,0)),N$2,)</f>
        <v>0</v>
      </c>
      <c r="O29" s="155">
        <f ca="1">IF(ISNUMBER(MATCH(DATEVALUE($A29),'changes1_based on steps'!O$1:O$400,0)),O$2,)</f>
        <v>0</v>
      </c>
      <c r="P29" s="155">
        <f ca="1">IF(ISNUMBER(MATCH(DATEVALUE($A29),'changes1_based on steps'!P$1:P$400,0)),P$2,)</f>
        <v>0</v>
      </c>
      <c r="Q29" s="155">
        <f ca="1">IF(ISNUMBER(MATCH(DATEVALUE($A29),'changes1_based on steps'!Q$1:Q$400,0)),Q$2,)</f>
        <v>0</v>
      </c>
      <c r="R29" s="155">
        <f ca="1">IF(ISNUMBER(MATCH(DATEVALUE($A29),'changes1_based on steps'!R$1:R$400,0)),R$2,)</f>
        <v>0</v>
      </c>
      <c r="S29" s="155">
        <f ca="1">IF(ISNUMBER(MATCH(DATEVALUE($A29),'changes1_based on steps'!S$1:S$400,0)),S$2,)</f>
        <v>0</v>
      </c>
      <c r="T29" s="155">
        <f ca="1">IF(ISNUMBER(MATCH(DATEVALUE($A29),'changes1_based on steps'!T$1:T$400,0)),T$2,)</f>
        <v>0</v>
      </c>
      <c r="U29" s="155">
        <f ca="1">IF(ISNUMBER(MATCH(DATEVALUE($A29),'changes1_based on steps'!U$1:U$400,0)),U$2,)</f>
        <v>0</v>
      </c>
    </row>
    <row r="30" spans="1:21" x14ac:dyDescent="0.2">
      <c r="A30" s="18" t="str">
        <f t="shared" ca="1" si="0"/>
        <v>2025-02-28</v>
      </c>
      <c r="B30" s="155">
        <f ca="1">IF(ISNUMBER(MATCH(DATEVALUE($A30),'changes1_based on steps'!B$1:B$400,0)),B$2,)</f>
        <v>0</v>
      </c>
      <c r="C30" s="155">
        <f ca="1">IF(ISNUMBER(MATCH(DATEVALUE($A30),'changes1_based on steps'!C$1:C$400,0)),C$2,)</f>
        <v>0</v>
      </c>
      <c r="D30" s="155">
        <f ca="1">IF(ISNUMBER(MATCH(DATEVALUE($A30),'changes1_based on steps'!D$1:D$400,0)),D$2,)</f>
        <v>0</v>
      </c>
      <c r="E30" s="155">
        <f ca="1">IF(ISNUMBER(MATCH(DATEVALUE($A30),'changes1_based on steps'!E$1:E$400,0)),E$2,)</f>
        <v>0</v>
      </c>
      <c r="F30" s="155">
        <f ca="1">IF(ISNUMBER(MATCH(DATEVALUE($A30),'changes1_based on steps'!F$1:F$400,0)),F$2,)</f>
        <v>0</v>
      </c>
      <c r="G30" s="155">
        <f ca="1">IF(ISNUMBER(MATCH(DATEVALUE($A30),'changes1_based on steps'!G$1:G$400,0)),G$2,)</f>
        <v>0</v>
      </c>
      <c r="H30" s="155">
        <f ca="1">IF(ISNUMBER(MATCH(DATEVALUE($A30),'changes1_based on steps'!H$1:H$400,0)),H$2,)</f>
        <v>0</v>
      </c>
      <c r="I30" s="155">
        <f ca="1">IF(ISNUMBER(MATCH(DATEVALUE($A30),'changes1_based on steps'!I$1:I$400,0)),I$2,)</f>
        <v>0</v>
      </c>
      <c r="J30" s="155">
        <f ca="1">IF(ISNUMBER(MATCH(DATEVALUE($A30),'changes1_based on steps'!J$1:J$400,0)),J$2,)</f>
        <v>0</v>
      </c>
      <c r="K30" s="155">
        <f ca="1">IF(ISNUMBER(MATCH(DATEVALUE($A30),'changes1_based on steps'!K$1:K$400,0)),K$2,)</f>
        <v>0</v>
      </c>
      <c r="L30" s="155">
        <f ca="1">IF(ISNUMBER(MATCH(DATEVALUE($A30),'changes1_based on steps'!L$1:L$400,0)),L$2,)</f>
        <v>0</v>
      </c>
      <c r="M30" s="155">
        <f ca="1">IF(ISNUMBER(MATCH(DATEVALUE($A30),'changes1_based on steps'!M$1:M$400,0)),M$2,)</f>
        <v>0</v>
      </c>
      <c r="N30" s="155">
        <f ca="1">IF(ISNUMBER(MATCH(DATEVALUE($A30),'changes1_based on steps'!N$1:N$400,0)),N$2,)</f>
        <v>0</v>
      </c>
      <c r="O30" s="155">
        <f ca="1">IF(ISNUMBER(MATCH(DATEVALUE($A30),'changes1_based on steps'!O$1:O$400,0)),O$2,)</f>
        <v>0</v>
      </c>
      <c r="P30" s="155">
        <f ca="1">IF(ISNUMBER(MATCH(DATEVALUE($A30),'changes1_based on steps'!P$1:P$400,0)),P$2,)</f>
        <v>0</v>
      </c>
      <c r="Q30" s="155">
        <f ca="1">IF(ISNUMBER(MATCH(DATEVALUE($A30),'changes1_based on steps'!Q$1:Q$400,0)),Q$2,)</f>
        <v>0</v>
      </c>
      <c r="R30" s="155">
        <f ca="1">IF(ISNUMBER(MATCH(DATEVALUE($A30),'changes1_based on steps'!R$1:R$400,0)),R$2,)</f>
        <v>0</v>
      </c>
      <c r="S30" s="155">
        <f ca="1">IF(ISNUMBER(MATCH(DATEVALUE($A30),'changes1_based on steps'!S$1:S$400,0)),S$2,)</f>
        <v>0</v>
      </c>
      <c r="T30" s="155">
        <f ca="1">IF(ISNUMBER(MATCH(DATEVALUE($A30),'changes1_based on steps'!T$1:T$400,0)),T$2,)</f>
        <v>0</v>
      </c>
      <c r="U30" s="155">
        <f ca="1">IF(ISNUMBER(MATCH(DATEVALUE($A30),'changes1_based on steps'!U$1:U$400,0)),U$2,)</f>
        <v>0</v>
      </c>
    </row>
    <row r="31" spans="1:21" x14ac:dyDescent="0.2">
      <c r="A31" s="18" t="str">
        <f t="shared" ca="1" si="0"/>
        <v>2025-03-01</v>
      </c>
      <c r="B31" s="155">
        <f ca="1">IF(ISNUMBER(MATCH(DATEVALUE($A31),'changes1_based on steps'!B$1:B$400,0)),B$2,)</f>
        <v>0</v>
      </c>
      <c r="C31" s="155">
        <f ca="1">IF(ISNUMBER(MATCH(DATEVALUE($A31),'changes1_based on steps'!C$1:C$400,0)),C$2,)</f>
        <v>0</v>
      </c>
      <c r="D31" s="155">
        <f ca="1">IF(ISNUMBER(MATCH(DATEVALUE($A31),'changes1_based on steps'!D$1:D$400,0)),D$2,)</f>
        <v>0</v>
      </c>
      <c r="E31" s="155">
        <f ca="1">IF(ISNUMBER(MATCH(DATEVALUE($A31),'changes1_based on steps'!E$1:E$400,0)),E$2,)</f>
        <v>0</v>
      </c>
      <c r="F31" s="155">
        <f ca="1">IF(ISNUMBER(MATCH(DATEVALUE($A31),'changes1_based on steps'!F$1:F$400,0)),F$2,)</f>
        <v>0</v>
      </c>
      <c r="G31" s="155">
        <f ca="1">IF(ISNUMBER(MATCH(DATEVALUE($A31),'changes1_based on steps'!G$1:G$400,0)),G$2,)</f>
        <v>0</v>
      </c>
      <c r="H31" s="155">
        <f ca="1">IF(ISNUMBER(MATCH(DATEVALUE($A31),'changes1_based on steps'!H$1:H$400,0)),H$2,)</f>
        <v>0</v>
      </c>
      <c r="I31" s="155">
        <f ca="1">IF(ISNUMBER(MATCH(DATEVALUE($A31),'changes1_based on steps'!I$1:I$400,0)),I$2,)</f>
        <v>0</v>
      </c>
      <c r="J31" s="155">
        <f ca="1">IF(ISNUMBER(MATCH(DATEVALUE($A31),'changes1_based on steps'!J$1:J$400,0)),J$2,)</f>
        <v>0</v>
      </c>
      <c r="K31" s="155">
        <f ca="1">IF(ISNUMBER(MATCH(DATEVALUE($A31),'changes1_based on steps'!K$1:K$400,0)),K$2,)</f>
        <v>0</v>
      </c>
      <c r="L31" s="155">
        <f ca="1">IF(ISNUMBER(MATCH(DATEVALUE($A31),'changes1_based on steps'!L$1:L$400,0)),L$2,)</f>
        <v>0</v>
      </c>
      <c r="M31" s="155">
        <f ca="1">IF(ISNUMBER(MATCH(DATEVALUE($A31),'changes1_based on steps'!M$1:M$400,0)),M$2,)</f>
        <v>0</v>
      </c>
      <c r="N31" s="155">
        <f ca="1">IF(ISNUMBER(MATCH(DATEVALUE($A31),'changes1_based on steps'!N$1:N$400,0)),N$2,)</f>
        <v>0</v>
      </c>
      <c r="O31" s="155">
        <f ca="1">IF(ISNUMBER(MATCH(DATEVALUE($A31),'changes1_based on steps'!O$1:O$400,0)),O$2,)</f>
        <v>0</v>
      </c>
      <c r="P31" s="155">
        <f ca="1">IF(ISNUMBER(MATCH(DATEVALUE($A31),'changes1_based on steps'!P$1:P$400,0)),P$2,)</f>
        <v>0</v>
      </c>
      <c r="Q31" s="155">
        <f ca="1">IF(ISNUMBER(MATCH(DATEVALUE($A31),'changes1_based on steps'!Q$1:Q$400,0)),Q$2,)</f>
        <v>0</v>
      </c>
      <c r="R31" s="155">
        <f ca="1">IF(ISNUMBER(MATCH(DATEVALUE($A31),'changes1_based on steps'!R$1:R$400,0)),R$2,)</f>
        <v>0</v>
      </c>
      <c r="S31" s="155">
        <f ca="1">IF(ISNUMBER(MATCH(DATEVALUE($A31),'changes1_based on steps'!S$1:S$400,0)),S$2,)</f>
        <v>0</v>
      </c>
      <c r="T31" s="155">
        <f ca="1">IF(ISNUMBER(MATCH(DATEVALUE($A31),'changes1_based on steps'!T$1:T$400,0)),T$2,)</f>
        <v>0</v>
      </c>
      <c r="U31" s="155">
        <f ca="1">IF(ISNUMBER(MATCH(DATEVALUE($A31),'changes1_based on steps'!U$1:U$400,0)),U$2,)</f>
        <v>0</v>
      </c>
    </row>
    <row r="32" spans="1:21" x14ac:dyDescent="0.2">
      <c r="A32" s="18" t="str">
        <f t="shared" ca="1" si="0"/>
        <v>2025-03-02</v>
      </c>
      <c r="B32" s="155">
        <f ca="1">IF(ISNUMBER(MATCH(DATEVALUE($A32),'changes1_based on steps'!B$1:B$400,0)),B$2,)</f>
        <v>0</v>
      </c>
      <c r="C32" s="155">
        <f ca="1">IF(ISNUMBER(MATCH(DATEVALUE($A32),'changes1_based on steps'!C$1:C$400,0)),C$2,)</f>
        <v>0</v>
      </c>
      <c r="D32" s="155">
        <f ca="1">IF(ISNUMBER(MATCH(DATEVALUE($A32),'changes1_based on steps'!D$1:D$400,0)),D$2,)</f>
        <v>0</v>
      </c>
      <c r="E32" s="155">
        <f ca="1">IF(ISNUMBER(MATCH(DATEVALUE($A32),'changes1_based on steps'!E$1:E$400,0)),E$2,)</f>
        <v>0</v>
      </c>
      <c r="F32" s="155">
        <f ca="1">IF(ISNUMBER(MATCH(DATEVALUE($A32),'changes1_based on steps'!F$1:F$400,0)),F$2,)</f>
        <v>0</v>
      </c>
      <c r="G32" s="155">
        <f ca="1">IF(ISNUMBER(MATCH(DATEVALUE($A32),'changes1_based on steps'!G$1:G$400,0)),G$2,)</f>
        <v>0</v>
      </c>
      <c r="H32" s="155">
        <f ca="1">IF(ISNUMBER(MATCH(DATEVALUE($A32),'changes1_based on steps'!H$1:H$400,0)),H$2,)</f>
        <v>0</v>
      </c>
      <c r="I32" s="155">
        <f ca="1">IF(ISNUMBER(MATCH(DATEVALUE($A32),'changes1_based on steps'!I$1:I$400,0)),I$2,)</f>
        <v>0</v>
      </c>
      <c r="J32" s="155">
        <f ca="1">IF(ISNUMBER(MATCH(DATEVALUE($A32),'changes1_based on steps'!J$1:J$400,0)),J$2,)</f>
        <v>0</v>
      </c>
      <c r="K32" s="155">
        <f ca="1">IF(ISNUMBER(MATCH(DATEVALUE($A32),'changes1_based on steps'!K$1:K$400,0)),K$2,)</f>
        <v>0</v>
      </c>
      <c r="L32" s="155">
        <f ca="1">IF(ISNUMBER(MATCH(DATEVALUE($A32),'changes1_based on steps'!L$1:L$400,0)),L$2,)</f>
        <v>0</v>
      </c>
      <c r="M32" s="155">
        <f ca="1">IF(ISNUMBER(MATCH(DATEVALUE($A32),'changes1_based on steps'!M$1:M$400,0)),M$2,)</f>
        <v>0</v>
      </c>
      <c r="N32" s="155">
        <f ca="1">IF(ISNUMBER(MATCH(DATEVALUE($A32),'changes1_based on steps'!N$1:N$400,0)),N$2,)</f>
        <v>0</v>
      </c>
      <c r="O32" s="155">
        <f ca="1">IF(ISNUMBER(MATCH(DATEVALUE($A32),'changes1_based on steps'!O$1:O$400,0)),O$2,)</f>
        <v>0</v>
      </c>
      <c r="P32" s="155">
        <f ca="1">IF(ISNUMBER(MATCH(DATEVALUE($A32),'changes1_based on steps'!P$1:P$400,0)),P$2,)</f>
        <v>0</v>
      </c>
      <c r="Q32" s="155">
        <f ca="1">IF(ISNUMBER(MATCH(DATEVALUE($A32),'changes1_based on steps'!Q$1:Q$400,0)),Q$2,)</f>
        <v>0</v>
      </c>
      <c r="R32" s="155">
        <f ca="1">IF(ISNUMBER(MATCH(DATEVALUE($A32),'changes1_based on steps'!R$1:R$400,0)),R$2,)</f>
        <v>0</v>
      </c>
      <c r="S32" s="155">
        <f ca="1">IF(ISNUMBER(MATCH(DATEVALUE($A32),'changes1_based on steps'!S$1:S$400,0)),S$2,)</f>
        <v>0</v>
      </c>
      <c r="T32" s="155">
        <f ca="1">IF(ISNUMBER(MATCH(DATEVALUE($A32),'changes1_based on steps'!T$1:T$400,0)),T$2,)</f>
        <v>0</v>
      </c>
      <c r="U32" s="155">
        <f ca="1">IF(ISNUMBER(MATCH(DATEVALUE($A32),'changes1_based on steps'!U$1:U$400,0)),U$2,)</f>
        <v>0</v>
      </c>
    </row>
    <row r="33" spans="1:21" x14ac:dyDescent="0.2">
      <c r="A33" s="18" t="str">
        <f t="shared" ca="1" si="0"/>
        <v>2025-03-03</v>
      </c>
      <c r="B33" s="155">
        <f ca="1">IF(ISNUMBER(MATCH(DATEVALUE($A33),'changes1_based on steps'!B$1:B$400,0)),B$2,)</f>
        <v>0</v>
      </c>
      <c r="C33" s="155">
        <f ca="1">IF(ISNUMBER(MATCH(DATEVALUE($A33),'changes1_based on steps'!C$1:C$400,0)),C$2,)</f>
        <v>0</v>
      </c>
      <c r="D33" s="155">
        <f ca="1">IF(ISNUMBER(MATCH(DATEVALUE($A33),'changes1_based on steps'!D$1:D$400,0)),D$2,)</f>
        <v>0</v>
      </c>
      <c r="E33" s="155">
        <f ca="1">IF(ISNUMBER(MATCH(DATEVALUE($A33),'changes1_based on steps'!E$1:E$400,0)),E$2,)</f>
        <v>0</v>
      </c>
      <c r="F33" s="155">
        <f ca="1">IF(ISNUMBER(MATCH(DATEVALUE($A33),'changes1_based on steps'!F$1:F$400,0)),F$2,)</f>
        <v>0</v>
      </c>
      <c r="G33" s="155">
        <f ca="1">IF(ISNUMBER(MATCH(DATEVALUE($A33),'changes1_based on steps'!G$1:G$400,0)),G$2,)</f>
        <v>0</v>
      </c>
      <c r="H33" s="155">
        <f ca="1">IF(ISNUMBER(MATCH(DATEVALUE($A33),'changes1_based on steps'!H$1:H$400,0)),H$2,)</f>
        <v>0</v>
      </c>
      <c r="I33" s="155">
        <f ca="1">IF(ISNUMBER(MATCH(DATEVALUE($A33),'changes1_based on steps'!I$1:I$400,0)),I$2,)</f>
        <v>0</v>
      </c>
      <c r="J33" s="155">
        <f ca="1">IF(ISNUMBER(MATCH(DATEVALUE($A33),'changes1_based on steps'!J$1:J$400,0)),J$2,)</f>
        <v>0</v>
      </c>
      <c r="K33" s="155">
        <f ca="1">IF(ISNUMBER(MATCH(DATEVALUE($A33),'changes1_based on steps'!K$1:K$400,0)),K$2,)</f>
        <v>0</v>
      </c>
      <c r="L33" s="155">
        <f ca="1">IF(ISNUMBER(MATCH(DATEVALUE($A33),'changes1_based on steps'!L$1:L$400,0)),L$2,)</f>
        <v>0</v>
      </c>
      <c r="M33" s="155">
        <f ca="1">IF(ISNUMBER(MATCH(DATEVALUE($A33),'changes1_based on steps'!M$1:M$400,0)),M$2,)</f>
        <v>0</v>
      </c>
      <c r="N33" s="155">
        <f ca="1">IF(ISNUMBER(MATCH(DATEVALUE($A33),'changes1_based on steps'!N$1:N$400,0)),N$2,)</f>
        <v>0</v>
      </c>
      <c r="O33" s="155">
        <f ca="1">IF(ISNUMBER(MATCH(DATEVALUE($A33),'changes1_based on steps'!O$1:O$400,0)),O$2,)</f>
        <v>0</v>
      </c>
      <c r="P33" s="155">
        <f ca="1">IF(ISNUMBER(MATCH(DATEVALUE($A33),'changes1_based on steps'!P$1:P$400,0)),P$2,)</f>
        <v>0</v>
      </c>
      <c r="Q33" s="155">
        <f ca="1">IF(ISNUMBER(MATCH(DATEVALUE($A33),'changes1_based on steps'!Q$1:Q$400,0)),Q$2,)</f>
        <v>0</v>
      </c>
      <c r="R33" s="155">
        <f ca="1">IF(ISNUMBER(MATCH(DATEVALUE($A33),'changes1_based on steps'!R$1:R$400,0)),R$2,)</f>
        <v>0</v>
      </c>
      <c r="S33" s="155">
        <f ca="1">IF(ISNUMBER(MATCH(DATEVALUE($A33),'changes1_based on steps'!S$1:S$400,0)),S$2,)</f>
        <v>0</v>
      </c>
      <c r="T33" s="155">
        <f ca="1">IF(ISNUMBER(MATCH(DATEVALUE($A33),'changes1_based on steps'!T$1:T$400,0)),T$2,)</f>
        <v>0</v>
      </c>
      <c r="U33" s="155">
        <f ca="1">IF(ISNUMBER(MATCH(DATEVALUE($A33),'changes1_based on steps'!U$1:U$400,0)),U$2,)</f>
        <v>0</v>
      </c>
    </row>
    <row r="34" spans="1:21" x14ac:dyDescent="0.2">
      <c r="A34" s="18" t="str">
        <f t="shared" ca="1" si="0"/>
        <v>2025-03-04</v>
      </c>
      <c r="B34" s="155">
        <f ca="1">IF(ISNUMBER(MATCH(DATEVALUE($A34),'changes1_based on steps'!B$1:B$400,0)),B$2,)</f>
        <v>0</v>
      </c>
      <c r="C34" s="155">
        <f ca="1">IF(ISNUMBER(MATCH(DATEVALUE($A34),'changes1_based on steps'!C$1:C$400,0)),C$2,)</f>
        <v>0</v>
      </c>
      <c r="D34" s="155">
        <f ca="1">IF(ISNUMBER(MATCH(DATEVALUE($A34),'changes1_based on steps'!D$1:D$400,0)),D$2,)</f>
        <v>0</v>
      </c>
      <c r="E34" s="155">
        <f ca="1">IF(ISNUMBER(MATCH(DATEVALUE($A34),'changes1_based on steps'!E$1:E$400,0)),E$2,)</f>
        <v>0</v>
      </c>
      <c r="F34" s="155">
        <f ca="1">IF(ISNUMBER(MATCH(DATEVALUE($A34),'changes1_based on steps'!F$1:F$400,0)),F$2,)</f>
        <v>0</v>
      </c>
      <c r="G34" s="155">
        <f ca="1">IF(ISNUMBER(MATCH(DATEVALUE($A34),'changes1_based on steps'!G$1:G$400,0)),G$2,)</f>
        <v>0</v>
      </c>
      <c r="H34" s="155">
        <f ca="1">IF(ISNUMBER(MATCH(DATEVALUE($A34),'changes1_based on steps'!H$1:H$400,0)),H$2,)</f>
        <v>0</v>
      </c>
      <c r="I34" s="155">
        <f ca="1">IF(ISNUMBER(MATCH(DATEVALUE($A34),'changes1_based on steps'!I$1:I$400,0)),I$2,)</f>
        <v>0</v>
      </c>
      <c r="J34" s="155">
        <f ca="1">IF(ISNUMBER(MATCH(DATEVALUE($A34),'changes1_based on steps'!J$1:J$400,0)),J$2,)</f>
        <v>0</v>
      </c>
      <c r="K34" s="155">
        <f ca="1">IF(ISNUMBER(MATCH(DATEVALUE($A34),'changes1_based on steps'!K$1:K$400,0)),K$2,)</f>
        <v>0</v>
      </c>
      <c r="L34" s="155">
        <f ca="1">IF(ISNUMBER(MATCH(DATEVALUE($A34),'changes1_based on steps'!L$1:L$400,0)),L$2,)</f>
        <v>0</v>
      </c>
      <c r="M34" s="155">
        <f ca="1">IF(ISNUMBER(MATCH(DATEVALUE($A34),'changes1_based on steps'!M$1:M$400,0)),M$2,)</f>
        <v>0</v>
      </c>
      <c r="N34" s="155">
        <f ca="1">IF(ISNUMBER(MATCH(DATEVALUE($A34),'changes1_based on steps'!N$1:N$400,0)),N$2,)</f>
        <v>0</v>
      </c>
      <c r="O34" s="155">
        <f ca="1">IF(ISNUMBER(MATCH(DATEVALUE($A34),'changes1_based on steps'!O$1:O$400,0)),O$2,)</f>
        <v>0</v>
      </c>
      <c r="P34" s="155">
        <f ca="1">IF(ISNUMBER(MATCH(DATEVALUE($A34),'changes1_based on steps'!P$1:P$400,0)),P$2,)</f>
        <v>0</v>
      </c>
      <c r="Q34" s="155">
        <f ca="1">IF(ISNUMBER(MATCH(DATEVALUE($A34),'changes1_based on steps'!Q$1:Q$400,0)),Q$2,)</f>
        <v>0</v>
      </c>
      <c r="R34" s="155">
        <f ca="1">IF(ISNUMBER(MATCH(DATEVALUE($A34),'changes1_based on steps'!R$1:R$400,0)),R$2,)</f>
        <v>0</v>
      </c>
      <c r="S34" s="155">
        <f ca="1">IF(ISNUMBER(MATCH(DATEVALUE($A34),'changes1_based on steps'!S$1:S$400,0)),S$2,)</f>
        <v>0</v>
      </c>
      <c r="T34" s="155">
        <f ca="1">IF(ISNUMBER(MATCH(DATEVALUE($A34),'changes1_based on steps'!T$1:T$400,0)),T$2,)</f>
        <v>0</v>
      </c>
      <c r="U34" s="155">
        <f ca="1">IF(ISNUMBER(MATCH(DATEVALUE($A34),'changes1_based on steps'!U$1:U$400,0)),U$2,)</f>
        <v>0</v>
      </c>
    </row>
    <row r="35" spans="1:21" x14ac:dyDescent="0.2">
      <c r="A35" s="18" t="str">
        <f t="shared" ca="1" si="0"/>
        <v>2025-03-05</v>
      </c>
      <c r="B35" s="155">
        <f ca="1">IF(ISNUMBER(MATCH(DATEVALUE($A35),'changes1_based on steps'!B$1:B$400,0)),B$2,)</f>
        <v>0</v>
      </c>
      <c r="C35" s="155">
        <f ca="1">IF(ISNUMBER(MATCH(DATEVALUE($A35),'changes1_based on steps'!C$1:C$400,0)),C$2,)</f>
        <v>0</v>
      </c>
      <c r="D35" s="155">
        <f ca="1">IF(ISNUMBER(MATCH(DATEVALUE($A35),'changes1_based on steps'!D$1:D$400,0)),D$2,)</f>
        <v>0</v>
      </c>
      <c r="E35" s="155">
        <f ca="1">IF(ISNUMBER(MATCH(DATEVALUE($A35),'changes1_based on steps'!E$1:E$400,0)),E$2,)</f>
        <v>0</v>
      </c>
      <c r="F35" s="155">
        <f ca="1">IF(ISNUMBER(MATCH(DATEVALUE($A35),'changes1_based on steps'!F$1:F$400,0)),F$2,)</f>
        <v>0</v>
      </c>
      <c r="G35" s="155">
        <f ca="1">IF(ISNUMBER(MATCH(DATEVALUE($A35),'changes1_based on steps'!G$1:G$400,0)),G$2,)</f>
        <v>0</v>
      </c>
      <c r="H35" s="155">
        <f ca="1">IF(ISNUMBER(MATCH(DATEVALUE($A35),'changes1_based on steps'!H$1:H$400,0)),H$2,)</f>
        <v>0</v>
      </c>
      <c r="I35" s="155">
        <f ca="1">IF(ISNUMBER(MATCH(DATEVALUE($A35),'changes1_based on steps'!I$1:I$400,0)),I$2,)</f>
        <v>0</v>
      </c>
      <c r="J35" s="155">
        <f ca="1">IF(ISNUMBER(MATCH(DATEVALUE($A35),'changes1_based on steps'!J$1:J$400,0)),J$2,)</f>
        <v>0</v>
      </c>
      <c r="K35" s="155">
        <f ca="1">IF(ISNUMBER(MATCH(DATEVALUE($A35),'changes1_based on steps'!K$1:K$400,0)),K$2,)</f>
        <v>0</v>
      </c>
      <c r="L35" s="155">
        <f ca="1">IF(ISNUMBER(MATCH(DATEVALUE($A35),'changes1_based on steps'!L$1:L$400,0)),L$2,)</f>
        <v>0</v>
      </c>
      <c r="M35" s="155">
        <f ca="1">IF(ISNUMBER(MATCH(DATEVALUE($A35),'changes1_based on steps'!M$1:M$400,0)),M$2,)</f>
        <v>0</v>
      </c>
      <c r="N35" s="155">
        <f ca="1">IF(ISNUMBER(MATCH(DATEVALUE($A35),'changes1_based on steps'!N$1:N$400,0)),N$2,)</f>
        <v>0</v>
      </c>
      <c r="O35" s="155">
        <f ca="1">IF(ISNUMBER(MATCH(DATEVALUE($A35),'changes1_based on steps'!O$1:O$400,0)),O$2,)</f>
        <v>0</v>
      </c>
      <c r="P35" s="155">
        <f ca="1">IF(ISNUMBER(MATCH(DATEVALUE($A35),'changes1_based on steps'!P$1:P$400,0)),P$2,)</f>
        <v>0</v>
      </c>
      <c r="Q35" s="155">
        <f ca="1">IF(ISNUMBER(MATCH(DATEVALUE($A35),'changes1_based on steps'!Q$1:Q$400,0)),Q$2,)</f>
        <v>0</v>
      </c>
      <c r="R35" s="155">
        <f ca="1">IF(ISNUMBER(MATCH(DATEVALUE($A35),'changes1_based on steps'!R$1:R$400,0)),R$2,)</f>
        <v>0</v>
      </c>
      <c r="S35" s="155">
        <f ca="1">IF(ISNUMBER(MATCH(DATEVALUE($A35),'changes1_based on steps'!S$1:S$400,0)),S$2,)</f>
        <v>0</v>
      </c>
      <c r="T35" s="155">
        <f ca="1">IF(ISNUMBER(MATCH(DATEVALUE($A35),'changes1_based on steps'!T$1:T$400,0)),T$2,)</f>
        <v>0</v>
      </c>
      <c r="U35" s="155">
        <f ca="1">IF(ISNUMBER(MATCH(DATEVALUE($A35),'changes1_based on steps'!U$1:U$400,0)),U$2,)</f>
        <v>0</v>
      </c>
    </row>
    <row r="36" spans="1:21" x14ac:dyDescent="0.2">
      <c r="A36" s="18" t="str">
        <f t="shared" ca="1" si="0"/>
        <v>2025-03-06</v>
      </c>
      <c r="B36" s="155">
        <f ca="1">IF(ISNUMBER(MATCH(DATEVALUE($A36),'changes1_based on steps'!B$1:B$400,0)),B$2,)</f>
        <v>0</v>
      </c>
      <c r="C36" s="155">
        <f ca="1">IF(ISNUMBER(MATCH(DATEVALUE($A36),'changes1_based on steps'!C$1:C$400,0)),C$2,)</f>
        <v>0</v>
      </c>
      <c r="D36" s="155">
        <f ca="1">IF(ISNUMBER(MATCH(DATEVALUE($A36),'changes1_based on steps'!D$1:D$400,0)),D$2,)</f>
        <v>0</v>
      </c>
      <c r="E36" s="155">
        <f ca="1">IF(ISNUMBER(MATCH(DATEVALUE($A36),'changes1_based on steps'!E$1:E$400,0)),E$2,)</f>
        <v>0</v>
      </c>
      <c r="F36" s="155">
        <f ca="1">IF(ISNUMBER(MATCH(DATEVALUE($A36),'changes1_based on steps'!F$1:F$400,0)),F$2,)</f>
        <v>0</v>
      </c>
      <c r="G36" s="155">
        <f ca="1">IF(ISNUMBER(MATCH(DATEVALUE($A36),'changes1_based on steps'!G$1:G$400,0)),G$2,)</f>
        <v>0</v>
      </c>
      <c r="H36" s="155">
        <f ca="1">IF(ISNUMBER(MATCH(DATEVALUE($A36),'changes1_based on steps'!H$1:H$400,0)),H$2,)</f>
        <v>0</v>
      </c>
      <c r="I36" s="155">
        <f ca="1">IF(ISNUMBER(MATCH(DATEVALUE($A36),'changes1_based on steps'!I$1:I$400,0)),I$2,)</f>
        <v>0</v>
      </c>
      <c r="J36" s="155">
        <f ca="1">IF(ISNUMBER(MATCH(DATEVALUE($A36),'changes1_based on steps'!J$1:J$400,0)),J$2,)</f>
        <v>0</v>
      </c>
      <c r="K36" s="155">
        <f ca="1">IF(ISNUMBER(MATCH(DATEVALUE($A36),'changes1_based on steps'!K$1:K$400,0)),K$2,)</f>
        <v>0</v>
      </c>
      <c r="L36" s="155">
        <f ca="1">IF(ISNUMBER(MATCH(DATEVALUE($A36),'changes1_based on steps'!L$1:L$400,0)),L$2,)</f>
        <v>0</v>
      </c>
      <c r="M36" s="155">
        <f ca="1">IF(ISNUMBER(MATCH(DATEVALUE($A36),'changes1_based on steps'!M$1:M$400,0)),M$2,)</f>
        <v>0</v>
      </c>
      <c r="N36" s="155">
        <f ca="1">IF(ISNUMBER(MATCH(DATEVALUE($A36),'changes1_based on steps'!N$1:N$400,0)),N$2,)</f>
        <v>0</v>
      </c>
      <c r="O36" s="155">
        <f ca="1">IF(ISNUMBER(MATCH(DATEVALUE($A36),'changes1_based on steps'!O$1:O$400,0)),O$2,)</f>
        <v>0</v>
      </c>
      <c r="P36" s="155">
        <f ca="1">IF(ISNUMBER(MATCH(DATEVALUE($A36),'changes1_based on steps'!P$1:P$400,0)),P$2,)</f>
        <v>0</v>
      </c>
      <c r="Q36" s="155">
        <f ca="1">IF(ISNUMBER(MATCH(DATEVALUE($A36),'changes1_based on steps'!Q$1:Q$400,0)),Q$2,)</f>
        <v>0</v>
      </c>
      <c r="R36" s="155">
        <f ca="1">IF(ISNUMBER(MATCH(DATEVALUE($A36),'changes1_based on steps'!R$1:R$400,0)),R$2,)</f>
        <v>0</v>
      </c>
      <c r="S36" s="155">
        <f ca="1">IF(ISNUMBER(MATCH(DATEVALUE($A36),'changes1_based on steps'!S$1:S$400,0)),S$2,)</f>
        <v>0</v>
      </c>
      <c r="T36" s="155">
        <f ca="1">IF(ISNUMBER(MATCH(DATEVALUE($A36),'changes1_based on steps'!T$1:T$400,0)),T$2,)</f>
        <v>0</v>
      </c>
      <c r="U36" s="155">
        <f ca="1">IF(ISNUMBER(MATCH(DATEVALUE($A36),'changes1_based on steps'!U$1:U$400,0)),U$2,)</f>
        <v>0</v>
      </c>
    </row>
    <row r="37" spans="1:21" x14ac:dyDescent="0.2">
      <c r="A37" s="18" t="str">
        <f t="shared" ca="1" si="0"/>
        <v>2025-03-07</v>
      </c>
      <c r="B37" s="155">
        <f ca="1">IF(ISNUMBER(MATCH(DATEVALUE($A37),'changes1_based on steps'!B$1:B$400,0)),B$2,)</f>
        <v>0</v>
      </c>
      <c r="C37" s="155">
        <f ca="1">IF(ISNUMBER(MATCH(DATEVALUE($A37),'changes1_based on steps'!C$1:C$400,0)),C$2,)</f>
        <v>0</v>
      </c>
      <c r="D37" s="155">
        <f ca="1">IF(ISNUMBER(MATCH(DATEVALUE($A37),'changes1_based on steps'!D$1:D$400,0)),D$2,)</f>
        <v>0</v>
      </c>
      <c r="E37" s="155">
        <f ca="1">IF(ISNUMBER(MATCH(DATEVALUE($A37),'changes1_based on steps'!E$1:E$400,0)),E$2,)</f>
        <v>0</v>
      </c>
      <c r="F37" s="155">
        <f ca="1">IF(ISNUMBER(MATCH(DATEVALUE($A37),'changes1_based on steps'!F$1:F$400,0)),F$2,)</f>
        <v>0</v>
      </c>
      <c r="G37" s="155">
        <f ca="1">IF(ISNUMBER(MATCH(DATEVALUE($A37),'changes1_based on steps'!G$1:G$400,0)),G$2,)</f>
        <v>0</v>
      </c>
      <c r="H37" s="155">
        <f ca="1">IF(ISNUMBER(MATCH(DATEVALUE($A37),'changes1_based on steps'!H$1:H$400,0)),H$2,)</f>
        <v>0</v>
      </c>
      <c r="I37" s="155">
        <f ca="1">IF(ISNUMBER(MATCH(DATEVALUE($A37),'changes1_based on steps'!I$1:I$400,0)),I$2,)</f>
        <v>0</v>
      </c>
      <c r="J37" s="155">
        <f ca="1">IF(ISNUMBER(MATCH(DATEVALUE($A37),'changes1_based on steps'!J$1:J$400,0)),J$2,)</f>
        <v>0</v>
      </c>
      <c r="K37" s="155">
        <f ca="1">IF(ISNUMBER(MATCH(DATEVALUE($A37),'changes1_based on steps'!K$1:K$400,0)),K$2,)</f>
        <v>0</v>
      </c>
      <c r="L37" s="155">
        <f ca="1">IF(ISNUMBER(MATCH(DATEVALUE($A37),'changes1_based on steps'!L$1:L$400,0)),L$2,)</f>
        <v>0</v>
      </c>
      <c r="M37" s="155">
        <f ca="1">IF(ISNUMBER(MATCH(DATEVALUE($A37),'changes1_based on steps'!M$1:M$400,0)),M$2,)</f>
        <v>0</v>
      </c>
      <c r="N37" s="155">
        <f ca="1">IF(ISNUMBER(MATCH(DATEVALUE($A37),'changes1_based on steps'!N$1:N$400,0)),N$2,)</f>
        <v>0</v>
      </c>
      <c r="O37" s="155">
        <f ca="1">IF(ISNUMBER(MATCH(DATEVALUE($A37),'changes1_based on steps'!O$1:O$400,0)),O$2,)</f>
        <v>0</v>
      </c>
      <c r="P37" s="155">
        <f ca="1">IF(ISNUMBER(MATCH(DATEVALUE($A37),'changes1_based on steps'!P$1:P$400,0)),P$2,)</f>
        <v>0</v>
      </c>
      <c r="Q37" s="155">
        <f ca="1">IF(ISNUMBER(MATCH(DATEVALUE($A37),'changes1_based on steps'!Q$1:Q$400,0)),Q$2,)</f>
        <v>0</v>
      </c>
      <c r="R37" s="155">
        <f ca="1">IF(ISNUMBER(MATCH(DATEVALUE($A37),'changes1_based on steps'!R$1:R$400,0)),R$2,)</f>
        <v>0</v>
      </c>
      <c r="S37" s="155">
        <f ca="1">IF(ISNUMBER(MATCH(DATEVALUE($A37),'changes1_based on steps'!S$1:S$400,0)),S$2,)</f>
        <v>0</v>
      </c>
      <c r="T37" s="155">
        <f ca="1">IF(ISNUMBER(MATCH(DATEVALUE($A37),'changes1_based on steps'!T$1:T$400,0)),T$2,)</f>
        <v>0</v>
      </c>
      <c r="U37" s="155">
        <f ca="1">IF(ISNUMBER(MATCH(DATEVALUE($A37),'changes1_based on steps'!U$1:U$400,0)),U$2,)</f>
        <v>0</v>
      </c>
    </row>
    <row r="38" spans="1:21" x14ac:dyDescent="0.2">
      <c r="A38" s="18" t="str">
        <f t="shared" ca="1" si="0"/>
        <v>2025-03-08</v>
      </c>
      <c r="B38" s="155">
        <f ca="1">IF(ISNUMBER(MATCH(DATEVALUE($A38),'changes1_based on steps'!B$1:B$400,0)),B$2,)</f>
        <v>0</v>
      </c>
      <c r="C38" s="155">
        <f ca="1">IF(ISNUMBER(MATCH(DATEVALUE($A38),'changes1_based on steps'!C$1:C$400,0)),C$2,)</f>
        <v>0</v>
      </c>
      <c r="D38" s="155">
        <f ca="1">IF(ISNUMBER(MATCH(DATEVALUE($A38),'changes1_based on steps'!D$1:D$400,0)),D$2,)</f>
        <v>0</v>
      </c>
      <c r="E38" s="155">
        <f ca="1">IF(ISNUMBER(MATCH(DATEVALUE($A38),'changes1_based on steps'!E$1:E$400,0)),E$2,)</f>
        <v>0</v>
      </c>
      <c r="F38" s="155">
        <f ca="1">IF(ISNUMBER(MATCH(DATEVALUE($A38),'changes1_based on steps'!F$1:F$400,0)),F$2,)</f>
        <v>0</v>
      </c>
      <c r="G38" s="155">
        <f ca="1">IF(ISNUMBER(MATCH(DATEVALUE($A38),'changes1_based on steps'!G$1:G$400,0)),G$2,)</f>
        <v>0</v>
      </c>
      <c r="H38" s="155">
        <f ca="1">IF(ISNUMBER(MATCH(DATEVALUE($A38),'changes1_based on steps'!H$1:H$400,0)),H$2,)</f>
        <v>0</v>
      </c>
      <c r="I38" s="155">
        <f ca="1">IF(ISNUMBER(MATCH(DATEVALUE($A38),'changes1_based on steps'!I$1:I$400,0)),I$2,)</f>
        <v>0</v>
      </c>
      <c r="J38" s="155">
        <f ca="1">IF(ISNUMBER(MATCH(DATEVALUE($A38),'changes1_based on steps'!J$1:J$400,0)),J$2,)</f>
        <v>0</v>
      </c>
      <c r="K38" s="155">
        <f ca="1">IF(ISNUMBER(MATCH(DATEVALUE($A38),'changes1_based on steps'!K$1:K$400,0)),K$2,)</f>
        <v>0</v>
      </c>
      <c r="L38" s="155">
        <f ca="1">IF(ISNUMBER(MATCH(DATEVALUE($A38),'changes1_based on steps'!L$1:L$400,0)),L$2,)</f>
        <v>0</v>
      </c>
      <c r="M38" s="155">
        <f ca="1">IF(ISNUMBER(MATCH(DATEVALUE($A38),'changes1_based on steps'!M$1:M$400,0)),M$2,)</f>
        <v>0</v>
      </c>
      <c r="N38" s="155">
        <f ca="1">IF(ISNUMBER(MATCH(DATEVALUE($A38),'changes1_based on steps'!N$1:N$400,0)),N$2,)</f>
        <v>0</v>
      </c>
      <c r="O38" s="155">
        <f ca="1">IF(ISNUMBER(MATCH(DATEVALUE($A38),'changes1_based on steps'!O$1:O$400,0)),O$2,)</f>
        <v>0</v>
      </c>
      <c r="P38" s="155">
        <f ca="1">IF(ISNUMBER(MATCH(DATEVALUE($A38),'changes1_based on steps'!P$1:P$400,0)),P$2,)</f>
        <v>0</v>
      </c>
      <c r="Q38" s="155">
        <f ca="1">IF(ISNUMBER(MATCH(DATEVALUE($A38),'changes1_based on steps'!Q$1:Q$400,0)),Q$2,)</f>
        <v>0</v>
      </c>
      <c r="R38" s="155">
        <f ca="1">IF(ISNUMBER(MATCH(DATEVALUE($A38),'changes1_based on steps'!R$1:R$400,0)),R$2,)</f>
        <v>0</v>
      </c>
      <c r="S38" s="155">
        <f ca="1">IF(ISNUMBER(MATCH(DATEVALUE($A38),'changes1_based on steps'!S$1:S$400,0)),S$2,)</f>
        <v>0</v>
      </c>
      <c r="T38" s="155">
        <f ca="1">IF(ISNUMBER(MATCH(DATEVALUE($A38),'changes1_based on steps'!T$1:T$400,0)),T$2,)</f>
        <v>0</v>
      </c>
      <c r="U38" s="155">
        <f ca="1">IF(ISNUMBER(MATCH(DATEVALUE($A38),'changes1_based on steps'!U$1:U$400,0)),U$2,)</f>
        <v>0</v>
      </c>
    </row>
    <row r="39" spans="1:21" x14ac:dyDescent="0.2">
      <c r="A39" s="18" t="str">
        <f t="shared" ca="1" si="0"/>
        <v>2025-03-09</v>
      </c>
      <c r="B39" s="155">
        <f ca="1">IF(ISNUMBER(MATCH(DATEVALUE($A39),'changes1_based on steps'!B$1:B$400,0)),B$2,)</f>
        <v>0</v>
      </c>
      <c r="C39" s="155">
        <f ca="1">IF(ISNUMBER(MATCH(DATEVALUE($A39),'changes1_based on steps'!C$1:C$400,0)),C$2,)</f>
        <v>0</v>
      </c>
      <c r="D39" s="155">
        <f ca="1">IF(ISNUMBER(MATCH(DATEVALUE($A39),'changes1_based on steps'!D$1:D$400,0)),D$2,)</f>
        <v>0</v>
      </c>
      <c r="E39" s="155">
        <f ca="1">IF(ISNUMBER(MATCH(DATEVALUE($A39),'changes1_based on steps'!E$1:E$400,0)),E$2,)</f>
        <v>0</v>
      </c>
      <c r="F39" s="155">
        <f ca="1">IF(ISNUMBER(MATCH(DATEVALUE($A39),'changes1_based on steps'!F$1:F$400,0)),F$2,)</f>
        <v>0</v>
      </c>
      <c r="G39" s="155">
        <f ca="1">IF(ISNUMBER(MATCH(DATEVALUE($A39),'changes1_based on steps'!G$1:G$400,0)),G$2,)</f>
        <v>0</v>
      </c>
      <c r="H39" s="155">
        <f ca="1">IF(ISNUMBER(MATCH(DATEVALUE($A39),'changes1_based on steps'!H$1:H$400,0)),H$2,)</f>
        <v>0</v>
      </c>
      <c r="I39" s="155">
        <f ca="1">IF(ISNUMBER(MATCH(DATEVALUE($A39),'changes1_based on steps'!I$1:I$400,0)),I$2,)</f>
        <v>0</v>
      </c>
      <c r="J39" s="155">
        <f ca="1">IF(ISNUMBER(MATCH(DATEVALUE($A39),'changes1_based on steps'!J$1:J$400,0)),J$2,)</f>
        <v>0</v>
      </c>
      <c r="K39" s="155">
        <f ca="1">IF(ISNUMBER(MATCH(DATEVALUE($A39),'changes1_based on steps'!K$1:K$400,0)),K$2,)</f>
        <v>0</v>
      </c>
      <c r="L39" s="155">
        <f ca="1">IF(ISNUMBER(MATCH(DATEVALUE($A39),'changes1_based on steps'!L$1:L$400,0)),L$2,)</f>
        <v>0</v>
      </c>
      <c r="M39" s="155">
        <f ca="1">IF(ISNUMBER(MATCH(DATEVALUE($A39),'changes1_based on steps'!M$1:M$400,0)),M$2,)</f>
        <v>0</v>
      </c>
      <c r="N39" s="155">
        <f ca="1">IF(ISNUMBER(MATCH(DATEVALUE($A39),'changes1_based on steps'!N$1:N$400,0)),N$2,)</f>
        <v>0</v>
      </c>
      <c r="O39" s="155">
        <f ca="1">IF(ISNUMBER(MATCH(DATEVALUE($A39),'changes1_based on steps'!O$1:O$400,0)),O$2,)</f>
        <v>0</v>
      </c>
      <c r="P39" s="155">
        <f ca="1">IF(ISNUMBER(MATCH(DATEVALUE($A39),'changes1_based on steps'!P$1:P$400,0)),P$2,)</f>
        <v>0</v>
      </c>
      <c r="Q39" s="155">
        <f ca="1">IF(ISNUMBER(MATCH(DATEVALUE($A39),'changes1_based on steps'!Q$1:Q$400,0)),Q$2,)</f>
        <v>0</v>
      </c>
      <c r="R39" s="155">
        <f ca="1">IF(ISNUMBER(MATCH(DATEVALUE($A39),'changes1_based on steps'!R$1:R$400,0)),R$2,)</f>
        <v>0</v>
      </c>
      <c r="S39" s="155">
        <f ca="1">IF(ISNUMBER(MATCH(DATEVALUE($A39),'changes1_based on steps'!S$1:S$400,0)),S$2,)</f>
        <v>0</v>
      </c>
      <c r="T39" s="155">
        <f ca="1">IF(ISNUMBER(MATCH(DATEVALUE($A39),'changes1_based on steps'!T$1:T$400,0)),T$2,)</f>
        <v>0</v>
      </c>
      <c r="U39" s="155">
        <f ca="1">IF(ISNUMBER(MATCH(DATEVALUE($A39),'changes1_based on steps'!U$1:U$400,0)),U$2,)</f>
        <v>0</v>
      </c>
    </row>
    <row r="40" spans="1:21" x14ac:dyDescent="0.2">
      <c r="A40" s="18" t="str">
        <f t="shared" ca="1" si="0"/>
        <v>2025-03-10</v>
      </c>
      <c r="B40" s="155">
        <f ca="1">IF(ISNUMBER(MATCH(DATEVALUE($A40),'changes1_based on steps'!B$1:B$400,0)),B$2,)</f>
        <v>0</v>
      </c>
      <c r="C40" s="155">
        <f ca="1">IF(ISNUMBER(MATCH(DATEVALUE($A40),'changes1_based on steps'!C$1:C$400,0)),C$2,)</f>
        <v>0</v>
      </c>
      <c r="D40" s="155">
        <f ca="1">IF(ISNUMBER(MATCH(DATEVALUE($A40),'changes1_based on steps'!D$1:D$400,0)),D$2,)</f>
        <v>0</v>
      </c>
      <c r="E40" s="155">
        <f ca="1">IF(ISNUMBER(MATCH(DATEVALUE($A40),'changes1_based on steps'!E$1:E$400,0)),E$2,)</f>
        <v>0</v>
      </c>
      <c r="F40" s="155">
        <f ca="1">IF(ISNUMBER(MATCH(DATEVALUE($A40),'changes1_based on steps'!F$1:F$400,0)),F$2,)</f>
        <v>0</v>
      </c>
      <c r="G40" s="155">
        <f ca="1">IF(ISNUMBER(MATCH(DATEVALUE($A40),'changes1_based on steps'!G$1:G$400,0)),G$2,)</f>
        <v>0</v>
      </c>
      <c r="H40" s="155">
        <f ca="1">IF(ISNUMBER(MATCH(DATEVALUE($A40),'changes1_based on steps'!H$1:H$400,0)),H$2,)</f>
        <v>0</v>
      </c>
      <c r="I40" s="155">
        <f ca="1">IF(ISNUMBER(MATCH(DATEVALUE($A40),'changes1_based on steps'!I$1:I$400,0)),I$2,)</f>
        <v>0</v>
      </c>
      <c r="J40" s="155">
        <f ca="1">IF(ISNUMBER(MATCH(DATEVALUE($A40),'changes1_based on steps'!J$1:J$400,0)),J$2,)</f>
        <v>0</v>
      </c>
      <c r="K40" s="155">
        <f ca="1">IF(ISNUMBER(MATCH(DATEVALUE($A40),'changes1_based on steps'!K$1:K$400,0)),K$2,)</f>
        <v>0</v>
      </c>
      <c r="L40" s="155">
        <f ca="1">IF(ISNUMBER(MATCH(DATEVALUE($A40),'changes1_based on steps'!L$1:L$400,0)),L$2,)</f>
        <v>0</v>
      </c>
      <c r="M40" s="155">
        <f ca="1">IF(ISNUMBER(MATCH(DATEVALUE($A40),'changes1_based on steps'!M$1:M$400,0)),M$2,)</f>
        <v>0</v>
      </c>
      <c r="N40" s="155">
        <f ca="1">IF(ISNUMBER(MATCH(DATEVALUE($A40),'changes1_based on steps'!N$1:N$400,0)),N$2,)</f>
        <v>0</v>
      </c>
      <c r="O40" s="155">
        <f ca="1">IF(ISNUMBER(MATCH(DATEVALUE($A40),'changes1_based on steps'!O$1:O$400,0)),O$2,)</f>
        <v>0</v>
      </c>
      <c r="P40" s="155">
        <f ca="1">IF(ISNUMBER(MATCH(DATEVALUE($A40),'changes1_based on steps'!P$1:P$400,0)),P$2,)</f>
        <v>0</v>
      </c>
      <c r="Q40" s="155">
        <f ca="1">IF(ISNUMBER(MATCH(DATEVALUE($A40),'changes1_based on steps'!Q$1:Q$400,0)),Q$2,)</f>
        <v>0</v>
      </c>
      <c r="R40" s="155">
        <f ca="1">IF(ISNUMBER(MATCH(DATEVALUE($A40),'changes1_based on steps'!R$1:R$400,0)),R$2,)</f>
        <v>0</v>
      </c>
      <c r="S40" s="155">
        <f ca="1">IF(ISNUMBER(MATCH(DATEVALUE($A40),'changes1_based on steps'!S$1:S$400,0)),S$2,)</f>
        <v>0</v>
      </c>
      <c r="T40" s="155">
        <f ca="1">IF(ISNUMBER(MATCH(DATEVALUE($A40),'changes1_based on steps'!T$1:T$400,0)),T$2,)</f>
        <v>0</v>
      </c>
      <c r="U40" s="155">
        <f ca="1">IF(ISNUMBER(MATCH(DATEVALUE($A40),'changes1_based on steps'!U$1:U$400,0)),U$2,)</f>
        <v>0</v>
      </c>
    </row>
    <row r="41" spans="1:21" x14ac:dyDescent="0.2">
      <c r="A41" s="18" t="str">
        <f t="shared" ca="1" si="0"/>
        <v>2025-03-11</v>
      </c>
      <c r="B41" s="155">
        <f ca="1">IF(ISNUMBER(MATCH(DATEVALUE($A41),'changes1_based on steps'!B$1:B$400,0)),B$2,)</f>
        <v>0</v>
      </c>
      <c r="C41" s="155">
        <f ca="1">IF(ISNUMBER(MATCH(DATEVALUE($A41),'changes1_based on steps'!C$1:C$400,0)),C$2,)</f>
        <v>0</v>
      </c>
      <c r="D41" s="155">
        <f ca="1">IF(ISNUMBER(MATCH(DATEVALUE($A41),'changes1_based on steps'!D$1:D$400,0)),D$2,)</f>
        <v>0</v>
      </c>
      <c r="E41" s="155">
        <f ca="1">IF(ISNUMBER(MATCH(DATEVALUE($A41),'changes1_based on steps'!E$1:E$400,0)),E$2,)</f>
        <v>0</v>
      </c>
      <c r="F41" s="155">
        <f ca="1">IF(ISNUMBER(MATCH(DATEVALUE($A41),'changes1_based on steps'!F$1:F$400,0)),F$2,)</f>
        <v>0</v>
      </c>
      <c r="G41" s="155">
        <f ca="1">IF(ISNUMBER(MATCH(DATEVALUE($A41),'changes1_based on steps'!G$1:G$400,0)),G$2,)</f>
        <v>0</v>
      </c>
      <c r="H41" s="155">
        <f ca="1">IF(ISNUMBER(MATCH(DATEVALUE($A41),'changes1_based on steps'!H$1:H$400,0)),H$2,)</f>
        <v>0</v>
      </c>
      <c r="I41" s="155">
        <f ca="1">IF(ISNUMBER(MATCH(DATEVALUE($A41),'changes1_based on steps'!I$1:I$400,0)),I$2,)</f>
        <v>0</v>
      </c>
      <c r="J41" s="155">
        <f ca="1">IF(ISNUMBER(MATCH(DATEVALUE($A41),'changes1_based on steps'!J$1:J$400,0)),J$2,)</f>
        <v>0</v>
      </c>
      <c r="K41" s="155">
        <f ca="1">IF(ISNUMBER(MATCH(DATEVALUE($A41),'changes1_based on steps'!K$1:K$400,0)),K$2,)</f>
        <v>0</v>
      </c>
      <c r="L41" s="155">
        <f ca="1">IF(ISNUMBER(MATCH(DATEVALUE($A41),'changes1_based on steps'!L$1:L$400,0)),L$2,)</f>
        <v>0</v>
      </c>
      <c r="M41" s="155">
        <f ca="1">IF(ISNUMBER(MATCH(DATEVALUE($A41),'changes1_based on steps'!M$1:M$400,0)),M$2,)</f>
        <v>0</v>
      </c>
      <c r="N41" s="155">
        <f ca="1">IF(ISNUMBER(MATCH(DATEVALUE($A41),'changes1_based on steps'!N$1:N$400,0)),N$2,)</f>
        <v>0</v>
      </c>
      <c r="O41" s="155">
        <f ca="1">IF(ISNUMBER(MATCH(DATEVALUE($A41),'changes1_based on steps'!O$1:O$400,0)),O$2,)</f>
        <v>0</v>
      </c>
      <c r="P41" s="155">
        <f ca="1">IF(ISNUMBER(MATCH(DATEVALUE($A41),'changes1_based on steps'!P$1:P$400,0)),P$2,)</f>
        <v>0</v>
      </c>
      <c r="Q41" s="155">
        <f ca="1">IF(ISNUMBER(MATCH(DATEVALUE($A41),'changes1_based on steps'!Q$1:Q$400,0)),Q$2,)</f>
        <v>0</v>
      </c>
      <c r="R41" s="155">
        <f ca="1">IF(ISNUMBER(MATCH(DATEVALUE($A41),'changes1_based on steps'!R$1:R$400,0)),R$2,)</f>
        <v>0</v>
      </c>
      <c r="S41" s="155">
        <f ca="1">IF(ISNUMBER(MATCH(DATEVALUE($A41),'changes1_based on steps'!S$1:S$400,0)),S$2,)</f>
        <v>0</v>
      </c>
      <c r="T41" s="155">
        <f ca="1">IF(ISNUMBER(MATCH(DATEVALUE($A41),'changes1_based on steps'!T$1:T$400,0)),T$2,)</f>
        <v>0</v>
      </c>
      <c r="U41" s="155">
        <f ca="1">IF(ISNUMBER(MATCH(DATEVALUE($A41),'changes1_based on steps'!U$1:U$400,0)),U$2,)</f>
        <v>0</v>
      </c>
    </row>
    <row r="42" spans="1:21" x14ac:dyDescent="0.2">
      <c r="A42" s="18" t="str">
        <f t="shared" ca="1" si="0"/>
        <v>2025-03-12</v>
      </c>
      <c r="B42" s="155">
        <f ca="1">IF(ISNUMBER(MATCH(DATEVALUE($A42),'changes1_based on steps'!B$1:B$400,0)),B$2,)</f>
        <v>100</v>
      </c>
      <c r="C42" s="155">
        <f ca="1">IF(ISNUMBER(MATCH(DATEVALUE($A42),'changes1_based on steps'!C$1:C$400,0)),C$2,)</f>
        <v>0</v>
      </c>
      <c r="D42" s="155">
        <f ca="1">IF(ISNUMBER(MATCH(DATEVALUE($A42),'changes1_based on steps'!D$1:D$400,0)),D$2,)</f>
        <v>0</v>
      </c>
      <c r="E42" s="155">
        <f ca="1">IF(ISNUMBER(MATCH(DATEVALUE($A42),'changes1_based on steps'!E$1:E$400,0)),E$2,)</f>
        <v>0</v>
      </c>
      <c r="F42" s="155">
        <f ca="1">IF(ISNUMBER(MATCH(DATEVALUE($A42),'changes1_based on steps'!F$1:F$400,0)),F$2,)</f>
        <v>0</v>
      </c>
      <c r="G42" s="155">
        <f ca="1">IF(ISNUMBER(MATCH(DATEVALUE($A42),'changes1_based on steps'!G$1:G$400,0)),G$2,)</f>
        <v>0</v>
      </c>
      <c r="H42" s="155">
        <f ca="1">IF(ISNUMBER(MATCH(DATEVALUE($A42),'changes1_based on steps'!H$1:H$400,0)),H$2,)</f>
        <v>0</v>
      </c>
      <c r="I42" s="155">
        <f ca="1">IF(ISNUMBER(MATCH(DATEVALUE($A42),'changes1_based on steps'!I$1:I$400,0)),I$2,)</f>
        <v>0</v>
      </c>
      <c r="J42" s="155">
        <f ca="1">IF(ISNUMBER(MATCH(DATEVALUE($A42),'changes1_based on steps'!J$1:J$400,0)),J$2,)</f>
        <v>0</v>
      </c>
      <c r="K42" s="155">
        <f ca="1">IF(ISNUMBER(MATCH(DATEVALUE($A42),'changes1_based on steps'!K$1:K$400,0)),K$2,)</f>
        <v>0</v>
      </c>
      <c r="L42" s="155">
        <f ca="1">IF(ISNUMBER(MATCH(DATEVALUE($A42),'changes1_based on steps'!L$1:L$400,0)),L$2,)</f>
        <v>0</v>
      </c>
      <c r="M42" s="155">
        <f ca="1">IF(ISNUMBER(MATCH(DATEVALUE($A42),'changes1_based on steps'!M$1:M$400,0)),M$2,)</f>
        <v>0</v>
      </c>
      <c r="N42" s="155">
        <f ca="1">IF(ISNUMBER(MATCH(DATEVALUE($A42),'changes1_based on steps'!N$1:N$400,0)),N$2,)</f>
        <v>0</v>
      </c>
      <c r="O42" s="155">
        <f ca="1">IF(ISNUMBER(MATCH(DATEVALUE($A42),'changes1_based on steps'!O$1:O$400,0)),O$2,)</f>
        <v>0</v>
      </c>
      <c r="P42" s="155">
        <f ca="1">IF(ISNUMBER(MATCH(DATEVALUE($A42),'changes1_based on steps'!P$1:P$400,0)),P$2,)</f>
        <v>0</v>
      </c>
      <c r="Q42" s="155">
        <f ca="1">IF(ISNUMBER(MATCH(DATEVALUE($A42),'changes1_based on steps'!Q$1:Q$400,0)),Q$2,)</f>
        <v>0</v>
      </c>
      <c r="R42" s="155">
        <f ca="1">IF(ISNUMBER(MATCH(DATEVALUE($A42),'changes1_based on steps'!R$1:R$400,0)),R$2,)</f>
        <v>0</v>
      </c>
      <c r="S42" s="155">
        <f ca="1">IF(ISNUMBER(MATCH(DATEVALUE($A42),'changes1_based on steps'!S$1:S$400,0)),S$2,)</f>
        <v>0</v>
      </c>
      <c r="T42" s="155">
        <f ca="1">IF(ISNUMBER(MATCH(DATEVALUE($A42),'changes1_based on steps'!T$1:T$400,0)),T$2,)</f>
        <v>0</v>
      </c>
      <c r="U42" s="155">
        <f ca="1">IF(ISNUMBER(MATCH(DATEVALUE($A42),'changes1_based on steps'!U$1:U$400,0)),U$2,)</f>
        <v>0</v>
      </c>
    </row>
    <row r="43" spans="1:21" x14ac:dyDescent="0.2">
      <c r="A43" s="18" t="str">
        <f t="shared" ca="1" si="0"/>
        <v>2025-03-13</v>
      </c>
      <c r="B43" s="155">
        <f ca="1">IF(ISNUMBER(MATCH(DATEVALUE($A43),'changes1_based on steps'!B$1:B$400,0)),B$2,)</f>
        <v>0</v>
      </c>
      <c r="C43" s="155">
        <f ca="1">IF(ISNUMBER(MATCH(DATEVALUE($A43),'changes1_based on steps'!C$1:C$400,0)),C$2,)</f>
        <v>0</v>
      </c>
      <c r="D43" s="155">
        <f ca="1">IF(ISNUMBER(MATCH(DATEVALUE($A43),'changes1_based on steps'!D$1:D$400,0)),D$2,)</f>
        <v>0</v>
      </c>
      <c r="E43" s="155">
        <f ca="1">IF(ISNUMBER(MATCH(DATEVALUE($A43),'changes1_based on steps'!E$1:E$400,0)),E$2,)</f>
        <v>0</v>
      </c>
      <c r="F43" s="155">
        <f ca="1">IF(ISNUMBER(MATCH(DATEVALUE($A43),'changes1_based on steps'!F$1:F$400,0)),F$2,)</f>
        <v>0</v>
      </c>
      <c r="G43" s="155">
        <f ca="1">IF(ISNUMBER(MATCH(DATEVALUE($A43),'changes1_based on steps'!G$1:G$400,0)),G$2,)</f>
        <v>0</v>
      </c>
      <c r="H43" s="155">
        <f ca="1">IF(ISNUMBER(MATCH(DATEVALUE($A43),'changes1_based on steps'!H$1:H$400,0)),H$2,)</f>
        <v>0</v>
      </c>
      <c r="I43" s="155">
        <f ca="1">IF(ISNUMBER(MATCH(DATEVALUE($A43),'changes1_based on steps'!I$1:I$400,0)),I$2,)</f>
        <v>0</v>
      </c>
      <c r="J43" s="155">
        <f ca="1">IF(ISNUMBER(MATCH(DATEVALUE($A43),'changes1_based on steps'!J$1:J$400,0)),J$2,)</f>
        <v>0</v>
      </c>
      <c r="K43" s="155">
        <f ca="1">IF(ISNUMBER(MATCH(DATEVALUE($A43),'changes1_based on steps'!K$1:K$400,0)),K$2,)</f>
        <v>0</v>
      </c>
      <c r="L43" s="155">
        <f ca="1">IF(ISNUMBER(MATCH(DATEVALUE($A43),'changes1_based on steps'!L$1:L$400,0)),L$2,)</f>
        <v>0</v>
      </c>
      <c r="M43" s="155">
        <f ca="1">IF(ISNUMBER(MATCH(DATEVALUE($A43),'changes1_based on steps'!M$1:M$400,0)),M$2,)</f>
        <v>0</v>
      </c>
      <c r="N43" s="155">
        <f ca="1">IF(ISNUMBER(MATCH(DATEVALUE($A43),'changes1_based on steps'!N$1:N$400,0)),N$2,)</f>
        <v>0</v>
      </c>
      <c r="O43" s="155">
        <f ca="1">IF(ISNUMBER(MATCH(DATEVALUE($A43),'changes1_based on steps'!O$1:O$400,0)),O$2,)</f>
        <v>0</v>
      </c>
      <c r="P43" s="155">
        <f ca="1">IF(ISNUMBER(MATCH(DATEVALUE($A43),'changes1_based on steps'!P$1:P$400,0)),P$2,)</f>
        <v>0</v>
      </c>
      <c r="Q43" s="155">
        <f ca="1">IF(ISNUMBER(MATCH(DATEVALUE($A43),'changes1_based on steps'!Q$1:Q$400,0)),Q$2,)</f>
        <v>0</v>
      </c>
      <c r="R43" s="155">
        <f ca="1">IF(ISNUMBER(MATCH(DATEVALUE($A43),'changes1_based on steps'!R$1:R$400,0)),R$2,)</f>
        <v>0</v>
      </c>
      <c r="S43" s="155">
        <f ca="1">IF(ISNUMBER(MATCH(DATEVALUE($A43),'changes1_based on steps'!S$1:S$400,0)),S$2,)</f>
        <v>0</v>
      </c>
      <c r="T43" s="155">
        <f ca="1">IF(ISNUMBER(MATCH(DATEVALUE($A43),'changes1_based on steps'!T$1:T$400,0)),T$2,)</f>
        <v>0</v>
      </c>
      <c r="U43" s="155">
        <f ca="1">IF(ISNUMBER(MATCH(DATEVALUE($A43),'changes1_based on steps'!U$1:U$400,0)),U$2,)</f>
        <v>0</v>
      </c>
    </row>
    <row r="44" spans="1:21" x14ac:dyDescent="0.2">
      <c r="A44" s="18" t="str">
        <f t="shared" ca="1" si="0"/>
        <v>2025-03-14</v>
      </c>
      <c r="B44" s="155">
        <f ca="1">IF(ISNUMBER(MATCH(DATEVALUE($A44),'changes1_based on steps'!B$1:B$400,0)),B$2,)</f>
        <v>0</v>
      </c>
      <c r="C44" s="155">
        <f ca="1">IF(ISNUMBER(MATCH(DATEVALUE($A44),'changes1_based on steps'!C$1:C$400,0)),C$2,)</f>
        <v>0</v>
      </c>
      <c r="D44" s="155">
        <f ca="1">IF(ISNUMBER(MATCH(DATEVALUE($A44),'changes1_based on steps'!D$1:D$400,0)),D$2,)</f>
        <v>0</v>
      </c>
      <c r="E44" s="155">
        <f ca="1">IF(ISNUMBER(MATCH(DATEVALUE($A44),'changes1_based on steps'!E$1:E$400,0)),E$2,)</f>
        <v>0</v>
      </c>
      <c r="F44" s="155">
        <f ca="1">IF(ISNUMBER(MATCH(DATEVALUE($A44),'changes1_based on steps'!F$1:F$400,0)),F$2,)</f>
        <v>0</v>
      </c>
      <c r="G44" s="155">
        <f ca="1">IF(ISNUMBER(MATCH(DATEVALUE($A44),'changes1_based on steps'!G$1:G$400,0)),G$2,)</f>
        <v>0</v>
      </c>
      <c r="H44" s="155">
        <f ca="1">IF(ISNUMBER(MATCH(DATEVALUE($A44),'changes1_based on steps'!H$1:H$400,0)),H$2,)</f>
        <v>0</v>
      </c>
      <c r="I44" s="155">
        <f ca="1">IF(ISNUMBER(MATCH(DATEVALUE($A44),'changes1_based on steps'!I$1:I$400,0)),I$2,)</f>
        <v>0</v>
      </c>
      <c r="J44" s="155">
        <f ca="1">IF(ISNUMBER(MATCH(DATEVALUE($A44),'changes1_based on steps'!J$1:J$400,0)),J$2,)</f>
        <v>0</v>
      </c>
      <c r="K44" s="155">
        <f ca="1">IF(ISNUMBER(MATCH(DATEVALUE($A44),'changes1_based on steps'!K$1:K$400,0)),K$2,)</f>
        <v>0</v>
      </c>
      <c r="L44" s="155">
        <f ca="1">IF(ISNUMBER(MATCH(DATEVALUE($A44),'changes1_based on steps'!L$1:L$400,0)),L$2,)</f>
        <v>0</v>
      </c>
      <c r="M44" s="155">
        <f ca="1">IF(ISNUMBER(MATCH(DATEVALUE($A44),'changes1_based on steps'!M$1:M$400,0)),M$2,)</f>
        <v>0</v>
      </c>
      <c r="N44" s="155">
        <f ca="1">IF(ISNUMBER(MATCH(DATEVALUE($A44),'changes1_based on steps'!N$1:N$400,0)),N$2,)</f>
        <v>0</v>
      </c>
      <c r="O44" s="155">
        <f ca="1">IF(ISNUMBER(MATCH(DATEVALUE($A44),'changes1_based on steps'!O$1:O$400,0)),O$2,)</f>
        <v>0</v>
      </c>
      <c r="P44" s="155">
        <f ca="1">IF(ISNUMBER(MATCH(DATEVALUE($A44),'changes1_based on steps'!P$1:P$400,0)),P$2,)</f>
        <v>0</v>
      </c>
      <c r="Q44" s="155">
        <f ca="1">IF(ISNUMBER(MATCH(DATEVALUE($A44),'changes1_based on steps'!Q$1:Q$400,0)),Q$2,)</f>
        <v>0</v>
      </c>
      <c r="R44" s="155">
        <f ca="1">IF(ISNUMBER(MATCH(DATEVALUE($A44),'changes1_based on steps'!R$1:R$400,0)),R$2,)</f>
        <v>0</v>
      </c>
      <c r="S44" s="155">
        <f ca="1">IF(ISNUMBER(MATCH(DATEVALUE($A44),'changes1_based on steps'!S$1:S$400,0)),S$2,)</f>
        <v>0</v>
      </c>
      <c r="T44" s="155">
        <f ca="1">IF(ISNUMBER(MATCH(DATEVALUE($A44),'changes1_based on steps'!T$1:T$400,0)),T$2,)</f>
        <v>0</v>
      </c>
      <c r="U44" s="155">
        <f ca="1">IF(ISNUMBER(MATCH(DATEVALUE($A44),'changes1_based on steps'!U$1:U$400,0)),U$2,)</f>
        <v>0</v>
      </c>
    </row>
    <row r="45" spans="1:21" x14ac:dyDescent="0.2">
      <c r="A45" s="18" t="str">
        <f t="shared" ca="1" si="0"/>
        <v>2025-03-15</v>
      </c>
      <c r="B45" s="155">
        <f ca="1">IF(ISNUMBER(MATCH(DATEVALUE($A45),'changes1_based on steps'!B$1:B$400,0)),B$2,)</f>
        <v>0</v>
      </c>
      <c r="C45" s="155">
        <f ca="1">IF(ISNUMBER(MATCH(DATEVALUE($A45),'changes1_based on steps'!C$1:C$400,0)),C$2,)</f>
        <v>0</v>
      </c>
      <c r="D45" s="155">
        <f ca="1">IF(ISNUMBER(MATCH(DATEVALUE($A45),'changes1_based on steps'!D$1:D$400,0)),D$2,)</f>
        <v>0</v>
      </c>
      <c r="E45" s="155">
        <f ca="1">IF(ISNUMBER(MATCH(DATEVALUE($A45),'changes1_based on steps'!E$1:E$400,0)),E$2,)</f>
        <v>0</v>
      </c>
      <c r="F45" s="155">
        <f ca="1">IF(ISNUMBER(MATCH(DATEVALUE($A45),'changes1_based on steps'!F$1:F$400,0)),F$2,)</f>
        <v>0</v>
      </c>
      <c r="G45" s="155">
        <f ca="1">IF(ISNUMBER(MATCH(DATEVALUE($A45),'changes1_based on steps'!G$1:G$400,0)),G$2,)</f>
        <v>0</v>
      </c>
      <c r="H45" s="155">
        <f ca="1">IF(ISNUMBER(MATCH(DATEVALUE($A45),'changes1_based on steps'!H$1:H$400,0)),H$2,)</f>
        <v>0</v>
      </c>
      <c r="I45" s="155">
        <f ca="1">IF(ISNUMBER(MATCH(DATEVALUE($A45),'changes1_based on steps'!I$1:I$400,0)),I$2,)</f>
        <v>0</v>
      </c>
      <c r="J45" s="155">
        <f ca="1">IF(ISNUMBER(MATCH(DATEVALUE($A45),'changes1_based on steps'!J$1:J$400,0)),J$2,)</f>
        <v>0</v>
      </c>
      <c r="K45" s="155">
        <f ca="1">IF(ISNUMBER(MATCH(DATEVALUE($A45),'changes1_based on steps'!K$1:K$400,0)),K$2,)</f>
        <v>0</v>
      </c>
      <c r="L45" s="155">
        <f ca="1">IF(ISNUMBER(MATCH(DATEVALUE($A45),'changes1_based on steps'!L$1:L$400,0)),L$2,)</f>
        <v>0</v>
      </c>
      <c r="M45" s="155">
        <f ca="1">IF(ISNUMBER(MATCH(DATEVALUE($A45),'changes1_based on steps'!M$1:M$400,0)),M$2,)</f>
        <v>0</v>
      </c>
      <c r="N45" s="155">
        <f ca="1">IF(ISNUMBER(MATCH(DATEVALUE($A45),'changes1_based on steps'!N$1:N$400,0)),N$2,)</f>
        <v>0</v>
      </c>
      <c r="O45" s="155">
        <f ca="1">IF(ISNUMBER(MATCH(DATEVALUE($A45),'changes1_based on steps'!O$1:O$400,0)),O$2,)</f>
        <v>0</v>
      </c>
      <c r="P45" s="155">
        <f ca="1">IF(ISNUMBER(MATCH(DATEVALUE($A45),'changes1_based on steps'!P$1:P$400,0)),P$2,)</f>
        <v>0</v>
      </c>
      <c r="Q45" s="155">
        <f ca="1">IF(ISNUMBER(MATCH(DATEVALUE($A45),'changes1_based on steps'!Q$1:Q$400,0)),Q$2,)</f>
        <v>0</v>
      </c>
      <c r="R45" s="155">
        <f ca="1">IF(ISNUMBER(MATCH(DATEVALUE($A45),'changes1_based on steps'!R$1:R$400,0)),R$2,)</f>
        <v>0</v>
      </c>
      <c r="S45" s="155">
        <f ca="1">IF(ISNUMBER(MATCH(DATEVALUE($A45),'changes1_based on steps'!S$1:S$400,0)),S$2,)</f>
        <v>0</v>
      </c>
      <c r="T45" s="155">
        <f ca="1">IF(ISNUMBER(MATCH(DATEVALUE($A45),'changes1_based on steps'!T$1:T$400,0)),T$2,)</f>
        <v>0</v>
      </c>
      <c r="U45" s="155">
        <f ca="1">IF(ISNUMBER(MATCH(DATEVALUE($A45),'changes1_based on steps'!U$1:U$400,0)),U$2,)</f>
        <v>0</v>
      </c>
    </row>
    <row r="46" spans="1:21" x14ac:dyDescent="0.2">
      <c r="A46" s="18" t="str">
        <f t="shared" ca="1" si="0"/>
        <v>2025-03-16</v>
      </c>
      <c r="B46" s="155">
        <f ca="1">IF(ISNUMBER(MATCH(DATEVALUE($A46),'changes1_based on steps'!B$1:B$400,0)),B$2,)</f>
        <v>0</v>
      </c>
      <c r="C46" s="155">
        <f ca="1">IF(ISNUMBER(MATCH(DATEVALUE($A46),'changes1_based on steps'!C$1:C$400,0)),C$2,)</f>
        <v>0</v>
      </c>
      <c r="D46" s="155">
        <f ca="1">IF(ISNUMBER(MATCH(DATEVALUE($A46),'changes1_based on steps'!D$1:D$400,0)),D$2,)</f>
        <v>0</v>
      </c>
      <c r="E46" s="155">
        <f ca="1">IF(ISNUMBER(MATCH(DATEVALUE($A46),'changes1_based on steps'!E$1:E$400,0)),E$2,)</f>
        <v>0</v>
      </c>
      <c r="F46" s="155">
        <f ca="1">IF(ISNUMBER(MATCH(DATEVALUE($A46),'changes1_based on steps'!F$1:F$400,0)),F$2,)</f>
        <v>0</v>
      </c>
      <c r="G46" s="155">
        <f ca="1">IF(ISNUMBER(MATCH(DATEVALUE($A46),'changes1_based on steps'!G$1:G$400,0)),G$2,)</f>
        <v>0</v>
      </c>
      <c r="H46" s="155">
        <f ca="1">IF(ISNUMBER(MATCH(DATEVALUE($A46),'changes1_based on steps'!H$1:H$400,0)),H$2,)</f>
        <v>0</v>
      </c>
      <c r="I46" s="155">
        <f ca="1">IF(ISNUMBER(MATCH(DATEVALUE($A46),'changes1_based on steps'!I$1:I$400,0)),I$2,)</f>
        <v>0</v>
      </c>
      <c r="J46" s="155">
        <f ca="1">IF(ISNUMBER(MATCH(DATEVALUE($A46),'changes1_based on steps'!J$1:J$400,0)),J$2,)</f>
        <v>0</v>
      </c>
      <c r="K46" s="155">
        <f ca="1">IF(ISNUMBER(MATCH(DATEVALUE($A46),'changes1_based on steps'!K$1:K$400,0)),K$2,)</f>
        <v>0</v>
      </c>
      <c r="L46" s="155">
        <f ca="1">IF(ISNUMBER(MATCH(DATEVALUE($A46),'changes1_based on steps'!L$1:L$400,0)),L$2,)</f>
        <v>0</v>
      </c>
      <c r="M46" s="155">
        <f ca="1">IF(ISNUMBER(MATCH(DATEVALUE($A46),'changes1_based on steps'!M$1:M$400,0)),M$2,)</f>
        <v>0</v>
      </c>
      <c r="N46" s="155">
        <f ca="1">IF(ISNUMBER(MATCH(DATEVALUE($A46),'changes1_based on steps'!N$1:N$400,0)),N$2,)</f>
        <v>0</v>
      </c>
      <c r="O46" s="155">
        <f ca="1">IF(ISNUMBER(MATCH(DATEVALUE($A46),'changes1_based on steps'!O$1:O$400,0)),O$2,)</f>
        <v>0</v>
      </c>
      <c r="P46" s="155">
        <f ca="1">IF(ISNUMBER(MATCH(DATEVALUE($A46),'changes1_based on steps'!P$1:P$400,0)),P$2,)</f>
        <v>0</v>
      </c>
      <c r="Q46" s="155">
        <f ca="1">IF(ISNUMBER(MATCH(DATEVALUE($A46),'changes1_based on steps'!Q$1:Q$400,0)),Q$2,)</f>
        <v>0</v>
      </c>
      <c r="R46" s="155">
        <f ca="1">IF(ISNUMBER(MATCH(DATEVALUE($A46),'changes1_based on steps'!R$1:R$400,0)),R$2,)</f>
        <v>0</v>
      </c>
      <c r="S46" s="155">
        <f ca="1">IF(ISNUMBER(MATCH(DATEVALUE($A46),'changes1_based on steps'!S$1:S$400,0)),S$2,)</f>
        <v>0</v>
      </c>
      <c r="T46" s="155">
        <f ca="1">IF(ISNUMBER(MATCH(DATEVALUE($A46),'changes1_based on steps'!T$1:T$400,0)),T$2,)</f>
        <v>0</v>
      </c>
      <c r="U46" s="155">
        <f ca="1">IF(ISNUMBER(MATCH(DATEVALUE($A46),'changes1_based on steps'!U$1:U$400,0)),U$2,)</f>
        <v>0</v>
      </c>
    </row>
    <row r="47" spans="1:21" x14ac:dyDescent="0.2">
      <c r="A47" s="18" t="str">
        <f t="shared" ca="1" si="0"/>
        <v>2025-03-17</v>
      </c>
      <c r="B47" s="155">
        <f ca="1">IF(ISNUMBER(MATCH(DATEVALUE($A47),'changes1_based on steps'!B$1:B$400,0)),B$2,)</f>
        <v>0</v>
      </c>
      <c r="C47" s="155">
        <f ca="1">IF(ISNUMBER(MATCH(DATEVALUE($A47),'changes1_based on steps'!C$1:C$400,0)),C$2,)</f>
        <v>0</v>
      </c>
      <c r="D47" s="155">
        <f ca="1">IF(ISNUMBER(MATCH(DATEVALUE($A47),'changes1_based on steps'!D$1:D$400,0)),D$2,)</f>
        <v>0</v>
      </c>
      <c r="E47" s="155">
        <f ca="1">IF(ISNUMBER(MATCH(DATEVALUE($A47),'changes1_based on steps'!E$1:E$400,0)),E$2,)</f>
        <v>0</v>
      </c>
      <c r="F47" s="155">
        <f ca="1">IF(ISNUMBER(MATCH(DATEVALUE($A47),'changes1_based on steps'!F$1:F$400,0)),F$2,)</f>
        <v>0</v>
      </c>
      <c r="G47" s="155">
        <f ca="1">IF(ISNUMBER(MATCH(DATEVALUE($A47),'changes1_based on steps'!G$1:G$400,0)),G$2,)</f>
        <v>0</v>
      </c>
      <c r="H47" s="155">
        <f ca="1">IF(ISNUMBER(MATCH(DATEVALUE($A47),'changes1_based on steps'!H$1:H$400,0)),H$2,)</f>
        <v>0</v>
      </c>
      <c r="I47" s="155">
        <f ca="1">IF(ISNUMBER(MATCH(DATEVALUE($A47),'changes1_based on steps'!I$1:I$400,0)),I$2,)</f>
        <v>0</v>
      </c>
      <c r="J47" s="155">
        <f ca="1">IF(ISNUMBER(MATCH(DATEVALUE($A47),'changes1_based on steps'!J$1:J$400,0)),J$2,)</f>
        <v>0</v>
      </c>
      <c r="K47" s="155">
        <f ca="1">IF(ISNUMBER(MATCH(DATEVALUE($A47),'changes1_based on steps'!K$1:K$400,0)),K$2,)</f>
        <v>0</v>
      </c>
      <c r="L47" s="155">
        <f ca="1">IF(ISNUMBER(MATCH(DATEVALUE($A47),'changes1_based on steps'!L$1:L$400,0)),L$2,)</f>
        <v>0</v>
      </c>
      <c r="M47" s="155">
        <f ca="1">IF(ISNUMBER(MATCH(DATEVALUE($A47),'changes1_based on steps'!M$1:M$400,0)),M$2,)</f>
        <v>0</v>
      </c>
      <c r="N47" s="155">
        <f ca="1">IF(ISNUMBER(MATCH(DATEVALUE($A47),'changes1_based on steps'!N$1:N$400,0)),N$2,)</f>
        <v>0</v>
      </c>
      <c r="O47" s="155">
        <f ca="1">IF(ISNUMBER(MATCH(DATEVALUE($A47),'changes1_based on steps'!O$1:O$400,0)),O$2,)</f>
        <v>0</v>
      </c>
      <c r="P47" s="155">
        <f ca="1">IF(ISNUMBER(MATCH(DATEVALUE($A47),'changes1_based on steps'!P$1:P$400,0)),P$2,)</f>
        <v>0</v>
      </c>
      <c r="Q47" s="155">
        <f ca="1">IF(ISNUMBER(MATCH(DATEVALUE($A47),'changes1_based on steps'!Q$1:Q$400,0)),Q$2,)</f>
        <v>0</v>
      </c>
      <c r="R47" s="155">
        <f ca="1">IF(ISNUMBER(MATCH(DATEVALUE($A47),'changes1_based on steps'!R$1:R$400,0)),R$2,)</f>
        <v>0</v>
      </c>
      <c r="S47" s="155">
        <f ca="1">IF(ISNUMBER(MATCH(DATEVALUE($A47),'changes1_based on steps'!S$1:S$400,0)),S$2,)</f>
        <v>0</v>
      </c>
      <c r="T47" s="155">
        <f ca="1">IF(ISNUMBER(MATCH(DATEVALUE($A47),'changes1_based on steps'!T$1:T$400,0)),T$2,)</f>
        <v>0</v>
      </c>
      <c r="U47" s="155">
        <f ca="1">IF(ISNUMBER(MATCH(DATEVALUE($A47),'changes1_based on steps'!U$1:U$400,0)),U$2,)</f>
        <v>0</v>
      </c>
    </row>
    <row r="48" spans="1:21" x14ac:dyDescent="0.2">
      <c r="A48" s="18" t="str">
        <f t="shared" ca="1" si="0"/>
        <v>2025-03-18</v>
      </c>
      <c r="B48" s="155">
        <f ca="1">IF(ISNUMBER(MATCH(DATEVALUE($A48),'changes1_based on steps'!B$1:B$400,0)),B$2,)</f>
        <v>0</v>
      </c>
      <c r="C48" s="155">
        <f ca="1">IF(ISNUMBER(MATCH(DATEVALUE($A48),'changes1_based on steps'!C$1:C$400,0)),C$2,)</f>
        <v>0</v>
      </c>
      <c r="D48" s="155">
        <f ca="1">IF(ISNUMBER(MATCH(DATEVALUE($A48),'changes1_based on steps'!D$1:D$400,0)),D$2,)</f>
        <v>0</v>
      </c>
      <c r="E48" s="155">
        <f ca="1">IF(ISNUMBER(MATCH(DATEVALUE($A48),'changes1_based on steps'!E$1:E$400,0)),E$2,)</f>
        <v>0</v>
      </c>
      <c r="F48" s="155">
        <f ca="1">IF(ISNUMBER(MATCH(DATEVALUE($A48),'changes1_based on steps'!F$1:F$400,0)),F$2,)</f>
        <v>0</v>
      </c>
      <c r="G48" s="155">
        <f ca="1">IF(ISNUMBER(MATCH(DATEVALUE($A48),'changes1_based on steps'!G$1:G$400,0)),G$2,)</f>
        <v>0</v>
      </c>
      <c r="H48" s="155">
        <f ca="1">IF(ISNUMBER(MATCH(DATEVALUE($A48),'changes1_based on steps'!H$1:H$400,0)),H$2,)</f>
        <v>0</v>
      </c>
      <c r="I48" s="155">
        <f ca="1">IF(ISNUMBER(MATCH(DATEVALUE($A48),'changes1_based on steps'!I$1:I$400,0)),I$2,)</f>
        <v>0</v>
      </c>
      <c r="J48" s="155">
        <f ca="1">IF(ISNUMBER(MATCH(DATEVALUE($A48),'changes1_based on steps'!J$1:J$400,0)),J$2,)</f>
        <v>0</v>
      </c>
      <c r="K48" s="155">
        <f ca="1">IF(ISNUMBER(MATCH(DATEVALUE($A48),'changes1_based on steps'!K$1:K$400,0)),K$2,)</f>
        <v>0</v>
      </c>
      <c r="L48" s="155">
        <f ca="1">IF(ISNUMBER(MATCH(DATEVALUE($A48),'changes1_based on steps'!L$1:L$400,0)),L$2,)</f>
        <v>0</v>
      </c>
      <c r="M48" s="155">
        <f ca="1">IF(ISNUMBER(MATCH(DATEVALUE($A48),'changes1_based on steps'!M$1:M$400,0)),M$2,)</f>
        <v>0</v>
      </c>
      <c r="N48" s="155">
        <f ca="1">IF(ISNUMBER(MATCH(DATEVALUE($A48),'changes1_based on steps'!N$1:N$400,0)),N$2,)</f>
        <v>0</v>
      </c>
      <c r="O48" s="155">
        <f ca="1">IF(ISNUMBER(MATCH(DATEVALUE($A48),'changes1_based on steps'!O$1:O$400,0)),O$2,)</f>
        <v>0</v>
      </c>
      <c r="P48" s="155">
        <f ca="1">IF(ISNUMBER(MATCH(DATEVALUE($A48),'changes1_based on steps'!P$1:P$400,0)),P$2,)</f>
        <v>0</v>
      </c>
      <c r="Q48" s="155">
        <f ca="1">IF(ISNUMBER(MATCH(DATEVALUE($A48),'changes1_based on steps'!Q$1:Q$400,0)),Q$2,)</f>
        <v>0</v>
      </c>
      <c r="R48" s="155">
        <f ca="1">IF(ISNUMBER(MATCH(DATEVALUE($A48),'changes1_based on steps'!R$1:R$400,0)),R$2,)</f>
        <v>0</v>
      </c>
      <c r="S48" s="155">
        <f ca="1">IF(ISNUMBER(MATCH(DATEVALUE($A48),'changes1_based on steps'!S$1:S$400,0)),S$2,)</f>
        <v>0</v>
      </c>
      <c r="T48" s="155">
        <f ca="1">IF(ISNUMBER(MATCH(DATEVALUE($A48),'changes1_based on steps'!T$1:T$400,0)),T$2,)</f>
        <v>0</v>
      </c>
      <c r="U48" s="155">
        <f ca="1">IF(ISNUMBER(MATCH(DATEVALUE($A48),'changes1_based on steps'!U$1:U$400,0)),U$2,)</f>
        <v>0</v>
      </c>
    </row>
    <row r="49" spans="1:21" x14ac:dyDescent="0.2">
      <c r="A49" s="18" t="str">
        <f t="shared" ca="1" si="0"/>
        <v>2025-03-19</v>
      </c>
      <c r="B49" s="155">
        <f ca="1">IF(ISNUMBER(MATCH(DATEVALUE($A49),'changes1_based on steps'!B$1:B$400,0)),B$2,)</f>
        <v>0</v>
      </c>
      <c r="C49" s="155">
        <f ca="1">IF(ISNUMBER(MATCH(DATEVALUE($A49),'changes1_based on steps'!C$1:C$400,0)),C$2,)</f>
        <v>0</v>
      </c>
      <c r="D49" s="155">
        <f ca="1">IF(ISNUMBER(MATCH(DATEVALUE($A49),'changes1_based on steps'!D$1:D$400,0)),D$2,)</f>
        <v>0</v>
      </c>
      <c r="E49" s="155">
        <f ca="1">IF(ISNUMBER(MATCH(DATEVALUE($A49),'changes1_based on steps'!E$1:E$400,0)),E$2,)</f>
        <v>0</v>
      </c>
      <c r="F49" s="155">
        <f ca="1">IF(ISNUMBER(MATCH(DATEVALUE($A49),'changes1_based on steps'!F$1:F$400,0)),F$2,)</f>
        <v>0</v>
      </c>
      <c r="G49" s="155">
        <f ca="1">IF(ISNUMBER(MATCH(DATEVALUE($A49),'changes1_based on steps'!G$1:G$400,0)),G$2,)</f>
        <v>0</v>
      </c>
      <c r="H49" s="155">
        <f ca="1">IF(ISNUMBER(MATCH(DATEVALUE($A49),'changes1_based on steps'!H$1:H$400,0)),H$2,)</f>
        <v>0</v>
      </c>
      <c r="I49" s="155">
        <f ca="1">IF(ISNUMBER(MATCH(DATEVALUE($A49),'changes1_based on steps'!I$1:I$400,0)),I$2,)</f>
        <v>0</v>
      </c>
      <c r="J49" s="155">
        <f ca="1">IF(ISNUMBER(MATCH(DATEVALUE($A49),'changes1_based on steps'!J$1:J$400,0)),J$2,)</f>
        <v>0</v>
      </c>
      <c r="K49" s="155">
        <f ca="1">IF(ISNUMBER(MATCH(DATEVALUE($A49),'changes1_based on steps'!K$1:K$400,0)),K$2,)</f>
        <v>0</v>
      </c>
      <c r="L49" s="155">
        <f ca="1">IF(ISNUMBER(MATCH(DATEVALUE($A49),'changes1_based on steps'!L$1:L$400,0)),L$2,)</f>
        <v>0</v>
      </c>
      <c r="M49" s="155">
        <f ca="1">IF(ISNUMBER(MATCH(DATEVALUE($A49),'changes1_based on steps'!M$1:M$400,0)),M$2,)</f>
        <v>0</v>
      </c>
      <c r="N49" s="155">
        <f ca="1">IF(ISNUMBER(MATCH(DATEVALUE($A49),'changes1_based on steps'!N$1:N$400,0)),N$2,)</f>
        <v>0</v>
      </c>
      <c r="O49" s="155">
        <f ca="1">IF(ISNUMBER(MATCH(DATEVALUE($A49),'changes1_based on steps'!O$1:O$400,0)),O$2,)</f>
        <v>0</v>
      </c>
      <c r="P49" s="155">
        <f ca="1">IF(ISNUMBER(MATCH(DATEVALUE($A49),'changes1_based on steps'!P$1:P$400,0)),P$2,)</f>
        <v>0</v>
      </c>
      <c r="Q49" s="155">
        <f ca="1">IF(ISNUMBER(MATCH(DATEVALUE($A49),'changes1_based on steps'!Q$1:Q$400,0)),Q$2,)</f>
        <v>0</v>
      </c>
      <c r="R49" s="155">
        <f ca="1">IF(ISNUMBER(MATCH(DATEVALUE($A49),'changes1_based on steps'!R$1:R$400,0)),R$2,)</f>
        <v>0</v>
      </c>
      <c r="S49" s="155">
        <f ca="1">IF(ISNUMBER(MATCH(DATEVALUE($A49),'changes1_based on steps'!S$1:S$400,0)),S$2,)</f>
        <v>0</v>
      </c>
      <c r="T49" s="155">
        <f ca="1">IF(ISNUMBER(MATCH(DATEVALUE($A49),'changes1_based on steps'!T$1:T$400,0)),T$2,)</f>
        <v>0</v>
      </c>
      <c r="U49" s="155">
        <f ca="1">IF(ISNUMBER(MATCH(DATEVALUE($A49),'changes1_based on steps'!U$1:U$400,0)),U$2,)</f>
        <v>0</v>
      </c>
    </row>
    <row r="50" spans="1:21" x14ac:dyDescent="0.2">
      <c r="A50" s="18" t="str">
        <f t="shared" ca="1" si="0"/>
        <v>2025-03-20</v>
      </c>
      <c r="B50" s="155">
        <f ca="1">IF(ISNUMBER(MATCH(DATEVALUE($A50),'changes1_based on steps'!B$1:B$400,0)),B$2,)</f>
        <v>0</v>
      </c>
      <c r="C50" s="155">
        <f ca="1">IF(ISNUMBER(MATCH(DATEVALUE($A50),'changes1_based on steps'!C$1:C$400,0)),C$2,)</f>
        <v>0</v>
      </c>
      <c r="D50" s="155">
        <f ca="1">IF(ISNUMBER(MATCH(DATEVALUE($A50),'changes1_based on steps'!D$1:D$400,0)),D$2,)</f>
        <v>0</v>
      </c>
      <c r="E50" s="155">
        <f ca="1">IF(ISNUMBER(MATCH(DATEVALUE($A50),'changes1_based on steps'!E$1:E$400,0)),E$2,)</f>
        <v>0</v>
      </c>
      <c r="F50" s="155">
        <f ca="1">IF(ISNUMBER(MATCH(DATEVALUE($A50),'changes1_based on steps'!F$1:F$400,0)),F$2,)</f>
        <v>0</v>
      </c>
      <c r="G50" s="155">
        <f ca="1">IF(ISNUMBER(MATCH(DATEVALUE($A50),'changes1_based on steps'!G$1:G$400,0)),G$2,)</f>
        <v>0</v>
      </c>
      <c r="H50" s="155">
        <f ca="1">IF(ISNUMBER(MATCH(DATEVALUE($A50),'changes1_based on steps'!H$1:H$400,0)),H$2,)</f>
        <v>0</v>
      </c>
      <c r="I50" s="155">
        <f ca="1">IF(ISNUMBER(MATCH(DATEVALUE($A50),'changes1_based on steps'!I$1:I$400,0)),I$2,)</f>
        <v>0</v>
      </c>
      <c r="J50" s="155">
        <f ca="1">IF(ISNUMBER(MATCH(DATEVALUE($A50),'changes1_based on steps'!J$1:J$400,0)),J$2,)</f>
        <v>0</v>
      </c>
      <c r="K50" s="155">
        <f ca="1">IF(ISNUMBER(MATCH(DATEVALUE($A50),'changes1_based on steps'!K$1:K$400,0)),K$2,)</f>
        <v>0</v>
      </c>
      <c r="L50" s="155">
        <f ca="1">IF(ISNUMBER(MATCH(DATEVALUE($A50),'changes1_based on steps'!L$1:L$400,0)),L$2,)</f>
        <v>0</v>
      </c>
      <c r="M50" s="155">
        <f ca="1">IF(ISNUMBER(MATCH(DATEVALUE($A50),'changes1_based on steps'!M$1:M$400,0)),M$2,)</f>
        <v>0</v>
      </c>
      <c r="N50" s="155">
        <f ca="1">IF(ISNUMBER(MATCH(DATEVALUE($A50),'changes1_based on steps'!N$1:N$400,0)),N$2,)</f>
        <v>0</v>
      </c>
      <c r="O50" s="155">
        <f ca="1">IF(ISNUMBER(MATCH(DATEVALUE($A50),'changes1_based on steps'!O$1:O$400,0)),O$2,)</f>
        <v>0</v>
      </c>
      <c r="P50" s="155">
        <f ca="1">IF(ISNUMBER(MATCH(DATEVALUE($A50),'changes1_based on steps'!P$1:P$400,0)),P$2,)</f>
        <v>0</v>
      </c>
      <c r="Q50" s="155">
        <f ca="1">IF(ISNUMBER(MATCH(DATEVALUE($A50),'changes1_based on steps'!Q$1:Q$400,0)),Q$2,)</f>
        <v>0</v>
      </c>
      <c r="R50" s="155">
        <f ca="1">IF(ISNUMBER(MATCH(DATEVALUE($A50),'changes1_based on steps'!R$1:R$400,0)),R$2,)</f>
        <v>0</v>
      </c>
      <c r="S50" s="155">
        <f ca="1">IF(ISNUMBER(MATCH(DATEVALUE($A50),'changes1_based on steps'!S$1:S$400,0)),S$2,)</f>
        <v>0</v>
      </c>
      <c r="T50" s="155">
        <f ca="1">IF(ISNUMBER(MATCH(DATEVALUE($A50),'changes1_based on steps'!T$1:T$400,0)),T$2,)</f>
        <v>0</v>
      </c>
      <c r="U50" s="155">
        <f ca="1">IF(ISNUMBER(MATCH(DATEVALUE($A50),'changes1_based on steps'!U$1:U$400,0)),U$2,)</f>
        <v>0</v>
      </c>
    </row>
    <row r="51" spans="1:21" x14ac:dyDescent="0.2">
      <c r="A51" s="18" t="str">
        <f t="shared" ca="1" si="0"/>
        <v>2025-03-21</v>
      </c>
      <c r="B51" s="155">
        <f ca="1">IF(ISNUMBER(MATCH(DATEVALUE($A51),'changes1_based on steps'!B$1:B$400,0)),B$2,)</f>
        <v>0</v>
      </c>
      <c r="C51" s="155">
        <f ca="1">IF(ISNUMBER(MATCH(DATEVALUE($A51),'changes1_based on steps'!C$1:C$400,0)),C$2,)</f>
        <v>0</v>
      </c>
      <c r="D51" s="155">
        <f ca="1">IF(ISNUMBER(MATCH(DATEVALUE($A51),'changes1_based on steps'!D$1:D$400,0)),D$2,)</f>
        <v>0</v>
      </c>
      <c r="E51" s="155">
        <f ca="1">IF(ISNUMBER(MATCH(DATEVALUE($A51),'changes1_based on steps'!E$1:E$400,0)),E$2,)</f>
        <v>0</v>
      </c>
      <c r="F51" s="155">
        <f ca="1">IF(ISNUMBER(MATCH(DATEVALUE($A51),'changes1_based on steps'!F$1:F$400,0)),F$2,)</f>
        <v>0</v>
      </c>
      <c r="G51" s="155">
        <f ca="1">IF(ISNUMBER(MATCH(DATEVALUE($A51),'changes1_based on steps'!G$1:G$400,0)),G$2,)</f>
        <v>0</v>
      </c>
      <c r="H51" s="155">
        <f ca="1">IF(ISNUMBER(MATCH(DATEVALUE($A51),'changes1_based on steps'!H$1:H$400,0)),H$2,)</f>
        <v>0</v>
      </c>
      <c r="I51" s="155">
        <f ca="1">IF(ISNUMBER(MATCH(DATEVALUE($A51),'changes1_based on steps'!I$1:I$400,0)),I$2,)</f>
        <v>0</v>
      </c>
      <c r="J51" s="155">
        <f ca="1">IF(ISNUMBER(MATCH(DATEVALUE($A51),'changes1_based on steps'!J$1:J$400,0)),J$2,)</f>
        <v>0</v>
      </c>
      <c r="K51" s="155">
        <f ca="1">IF(ISNUMBER(MATCH(DATEVALUE($A51),'changes1_based on steps'!K$1:K$400,0)),K$2,)</f>
        <v>0</v>
      </c>
      <c r="L51" s="155">
        <f ca="1">IF(ISNUMBER(MATCH(DATEVALUE($A51),'changes1_based on steps'!L$1:L$400,0)),L$2,)</f>
        <v>0</v>
      </c>
      <c r="M51" s="155">
        <f ca="1">IF(ISNUMBER(MATCH(DATEVALUE($A51),'changes1_based on steps'!M$1:M$400,0)),M$2,)</f>
        <v>0</v>
      </c>
      <c r="N51" s="155">
        <f ca="1">IF(ISNUMBER(MATCH(DATEVALUE($A51),'changes1_based on steps'!N$1:N$400,0)),N$2,)</f>
        <v>0</v>
      </c>
      <c r="O51" s="155">
        <f ca="1">IF(ISNUMBER(MATCH(DATEVALUE($A51),'changes1_based on steps'!O$1:O$400,0)),O$2,)</f>
        <v>0</v>
      </c>
      <c r="P51" s="155">
        <f ca="1">IF(ISNUMBER(MATCH(DATEVALUE($A51),'changes1_based on steps'!P$1:P$400,0)),P$2,)</f>
        <v>0</v>
      </c>
      <c r="Q51" s="155">
        <f ca="1">IF(ISNUMBER(MATCH(DATEVALUE($A51),'changes1_based on steps'!Q$1:Q$400,0)),Q$2,)</f>
        <v>0</v>
      </c>
      <c r="R51" s="155">
        <f ca="1">IF(ISNUMBER(MATCH(DATEVALUE($A51),'changes1_based on steps'!R$1:R$400,0)),R$2,)</f>
        <v>0</v>
      </c>
      <c r="S51" s="155">
        <f ca="1">IF(ISNUMBER(MATCH(DATEVALUE($A51),'changes1_based on steps'!S$1:S$400,0)),S$2,)</f>
        <v>0</v>
      </c>
      <c r="T51" s="155">
        <f ca="1">IF(ISNUMBER(MATCH(DATEVALUE($A51),'changes1_based on steps'!T$1:T$400,0)),T$2,)</f>
        <v>0</v>
      </c>
      <c r="U51" s="155">
        <f ca="1">IF(ISNUMBER(MATCH(DATEVALUE($A51),'changes1_based on steps'!U$1:U$400,0)),U$2,)</f>
        <v>0</v>
      </c>
    </row>
    <row r="52" spans="1:21" x14ac:dyDescent="0.2">
      <c r="A52" s="18" t="str">
        <f t="shared" ca="1" si="0"/>
        <v>2025-03-22</v>
      </c>
      <c r="B52" s="155">
        <f ca="1">IF(ISNUMBER(MATCH(DATEVALUE($A52),'changes1_based on steps'!B$1:B$400,0)),B$2,)</f>
        <v>0</v>
      </c>
      <c r="C52" s="155">
        <f ca="1">IF(ISNUMBER(MATCH(DATEVALUE($A52),'changes1_based on steps'!C$1:C$400,0)),C$2,)</f>
        <v>0</v>
      </c>
      <c r="D52" s="155">
        <f ca="1">IF(ISNUMBER(MATCH(DATEVALUE($A52),'changes1_based on steps'!D$1:D$400,0)),D$2,)</f>
        <v>0</v>
      </c>
      <c r="E52" s="155">
        <f ca="1">IF(ISNUMBER(MATCH(DATEVALUE($A52),'changes1_based on steps'!E$1:E$400,0)),E$2,)</f>
        <v>0</v>
      </c>
      <c r="F52" s="155">
        <f ca="1">IF(ISNUMBER(MATCH(DATEVALUE($A52),'changes1_based on steps'!F$1:F$400,0)),F$2,)</f>
        <v>0</v>
      </c>
      <c r="G52" s="155">
        <f ca="1">IF(ISNUMBER(MATCH(DATEVALUE($A52),'changes1_based on steps'!G$1:G$400,0)),G$2,)</f>
        <v>0</v>
      </c>
      <c r="H52" s="155">
        <f ca="1">IF(ISNUMBER(MATCH(DATEVALUE($A52),'changes1_based on steps'!H$1:H$400,0)),H$2,)</f>
        <v>0</v>
      </c>
      <c r="I52" s="155">
        <f ca="1">IF(ISNUMBER(MATCH(DATEVALUE($A52),'changes1_based on steps'!I$1:I$400,0)),I$2,)</f>
        <v>0</v>
      </c>
      <c r="J52" s="155">
        <f ca="1">IF(ISNUMBER(MATCH(DATEVALUE($A52),'changes1_based on steps'!J$1:J$400,0)),J$2,)</f>
        <v>0</v>
      </c>
      <c r="K52" s="155">
        <f ca="1">IF(ISNUMBER(MATCH(DATEVALUE($A52),'changes1_based on steps'!K$1:K$400,0)),K$2,)</f>
        <v>0</v>
      </c>
      <c r="L52" s="155">
        <f ca="1">IF(ISNUMBER(MATCH(DATEVALUE($A52),'changes1_based on steps'!L$1:L$400,0)),L$2,)</f>
        <v>0</v>
      </c>
      <c r="M52" s="155">
        <f ca="1">IF(ISNUMBER(MATCH(DATEVALUE($A52),'changes1_based on steps'!M$1:M$400,0)),M$2,)</f>
        <v>0</v>
      </c>
      <c r="N52" s="155">
        <f ca="1">IF(ISNUMBER(MATCH(DATEVALUE($A52),'changes1_based on steps'!N$1:N$400,0)),N$2,)</f>
        <v>0</v>
      </c>
      <c r="O52" s="155">
        <f ca="1">IF(ISNUMBER(MATCH(DATEVALUE($A52),'changes1_based on steps'!O$1:O$400,0)),O$2,)</f>
        <v>0</v>
      </c>
      <c r="P52" s="155">
        <f ca="1">IF(ISNUMBER(MATCH(DATEVALUE($A52),'changes1_based on steps'!P$1:P$400,0)),P$2,)</f>
        <v>0</v>
      </c>
      <c r="Q52" s="155">
        <f ca="1">IF(ISNUMBER(MATCH(DATEVALUE($A52),'changes1_based on steps'!Q$1:Q$400,0)),Q$2,)</f>
        <v>0</v>
      </c>
      <c r="R52" s="155">
        <f ca="1">IF(ISNUMBER(MATCH(DATEVALUE($A52),'changes1_based on steps'!R$1:R$400,0)),R$2,)</f>
        <v>0</v>
      </c>
      <c r="S52" s="155">
        <f ca="1">IF(ISNUMBER(MATCH(DATEVALUE($A52),'changes1_based on steps'!S$1:S$400,0)),S$2,)</f>
        <v>0</v>
      </c>
      <c r="T52" s="155">
        <f ca="1">IF(ISNUMBER(MATCH(DATEVALUE($A52),'changes1_based on steps'!T$1:T$400,0)),T$2,)</f>
        <v>0</v>
      </c>
      <c r="U52" s="155">
        <f ca="1">IF(ISNUMBER(MATCH(DATEVALUE($A52),'changes1_based on steps'!U$1:U$400,0)),U$2,)</f>
        <v>0</v>
      </c>
    </row>
    <row r="53" spans="1:21" x14ac:dyDescent="0.2">
      <c r="A53" s="18" t="str">
        <f t="shared" ca="1" si="0"/>
        <v>2025-03-23</v>
      </c>
      <c r="B53" s="155">
        <f ca="1">IF(ISNUMBER(MATCH(DATEVALUE($A53),'changes1_based on steps'!B$1:B$400,0)),B$2,)</f>
        <v>0</v>
      </c>
      <c r="C53" s="155">
        <f ca="1">IF(ISNUMBER(MATCH(DATEVALUE($A53),'changes1_based on steps'!C$1:C$400,0)),C$2,)</f>
        <v>0</v>
      </c>
      <c r="D53" s="155">
        <f ca="1">IF(ISNUMBER(MATCH(DATEVALUE($A53),'changes1_based on steps'!D$1:D$400,0)),D$2,)</f>
        <v>0</v>
      </c>
      <c r="E53" s="155">
        <f ca="1">IF(ISNUMBER(MATCH(DATEVALUE($A53),'changes1_based on steps'!E$1:E$400,0)),E$2,)</f>
        <v>0</v>
      </c>
      <c r="F53" s="155">
        <f ca="1">IF(ISNUMBER(MATCH(DATEVALUE($A53),'changes1_based on steps'!F$1:F$400,0)),F$2,)</f>
        <v>0</v>
      </c>
      <c r="G53" s="155">
        <f ca="1">IF(ISNUMBER(MATCH(DATEVALUE($A53),'changes1_based on steps'!G$1:G$400,0)),G$2,)</f>
        <v>0</v>
      </c>
      <c r="H53" s="155">
        <f ca="1">IF(ISNUMBER(MATCH(DATEVALUE($A53),'changes1_based on steps'!H$1:H$400,0)),H$2,)</f>
        <v>0</v>
      </c>
      <c r="I53" s="155">
        <f ca="1">IF(ISNUMBER(MATCH(DATEVALUE($A53),'changes1_based on steps'!I$1:I$400,0)),I$2,)</f>
        <v>0</v>
      </c>
      <c r="J53" s="155">
        <f ca="1">IF(ISNUMBER(MATCH(DATEVALUE($A53),'changes1_based on steps'!J$1:J$400,0)),J$2,)</f>
        <v>0</v>
      </c>
      <c r="K53" s="155">
        <f ca="1">IF(ISNUMBER(MATCH(DATEVALUE($A53),'changes1_based on steps'!K$1:K$400,0)),K$2,)</f>
        <v>0</v>
      </c>
      <c r="L53" s="155">
        <f ca="1">IF(ISNUMBER(MATCH(DATEVALUE($A53),'changes1_based on steps'!L$1:L$400,0)),L$2,)</f>
        <v>0</v>
      </c>
      <c r="M53" s="155">
        <f ca="1">IF(ISNUMBER(MATCH(DATEVALUE($A53),'changes1_based on steps'!M$1:M$400,0)),M$2,)</f>
        <v>0</v>
      </c>
      <c r="N53" s="155">
        <f ca="1">IF(ISNUMBER(MATCH(DATEVALUE($A53),'changes1_based on steps'!N$1:N$400,0)),N$2,)</f>
        <v>0</v>
      </c>
      <c r="O53" s="155">
        <f ca="1">IF(ISNUMBER(MATCH(DATEVALUE($A53),'changes1_based on steps'!O$1:O$400,0)),O$2,)</f>
        <v>0</v>
      </c>
      <c r="P53" s="155">
        <f ca="1">IF(ISNUMBER(MATCH(DATEVALUE($A53),'changes1_based on steps'!P$1:P$400,0)),P$2,)</f>
        <v>0</v>
      </c>
      <c r="Q53" s="155">
        <f ca="1">IF(ISNUMBER(MATCH(DATEVALUE($A53),'changes1_based on steps'!Q$1:Q$400,0)),Q$2,)</f>
        <v>0</v>
      </c>
      <c r="R53" s="155">
        <f ca="1">IF(ISNUMBER(MATCH(DATEVALUE($A53),'changes1_based on steps'!R$1:R$400,0)),R$2,)</f>
        <v>0</v>
      </c>
      <c r="S53" s="155">
        <f ca="1">IF(ISNUMBER(MATCH(DATEVALUE($A53),'changes1_based on steps'!S$1:S$400,0)),S$2,)</f>
        <v>0</v>
      </c>
      <c r="T53" s="155">
        <f ca="1">IF(ISNUMBER(MATCH(DATEVALUE($A53),'changes1_based on steps'!T$1:T$400,0)),T$2,)</f>
        <v>0</v>
      </c>
      <c r="U53" s="155">
        <f ca="1">IF(ISNUMBER(MATCH(DATEVALUE($A53),'changes1_based on steps'!U$1:U$400,0)),U$2,)</f>
        <v>0</v>
      </c>
    </row>
    <row r="54" spans="1:21" x14ac:dyDescent="0.2">
      <c r="A54" s="18" t="str">
        <f t="shared" ca="1" si="0"/>
        <v>2025-03-24</v>
      </c>
      <c r="B54" s="155">
        <f ca="1">IF(ISNUMBER(MATCH(DATEVALUE($A54),'changes1_based on steps'!B$1:B$400,0)),B$2,)</f>
        <v>0</v>
      </c>
      <c r="C54" s="155">
        <f ca="1">IF(ISNUMBER(MATCH(DATEVALUE($A54),'changes1_based on steps'!C$1:C$400,0)),C$2,)</f>
        <v>0</v>
      </c>
      <c r="D54" s="155">
        <f ca="1">IF(ISNUMBER(MATCH(DATEVALUE($A54),'changes1_based on steps'!D$1:D$400,0)),D$2,)</f>
        <v>0</v>
      </c>
      <c r="E54" s="155">
        <f ca="1">IF(ISNUMBER(MATCH(DATEVALUE($A54),'changes1_based on steps'!E$1:E$400,0)),E$2,)</f>
        <v>0</v>
      </c>
      <c r="F54" s="155">
        <f ca="1">IF(ISNUMBER(MATCH(DATEVALUE($A54),'changes1_based on steps'!F$1:F$400,0)),F$2,)</f>
        <v>0</v>
      </c>
      <c r="G54" s="155">
        <f ca="1">IF(ISNUMBER(MATCH(DATEVALUE($A54),'changes1_based on steps'!G$1:G$400,0)),G$2,)</f>
        <v>0</v>
      </c>
      <c r="H54" s="155">
        <f ca="1">IF(ISNUMBER(MATCH(DATEVALUE($A54),'changes1_based on steps'!H$1:H$400,0)),H$2,)</f>
        <v>0</v>
      </c>
      <c r="I54" s="155">
        <f ca="1">IF(ISNUMBER(MATCH(DATEVALUE($A54),'changes1_based on steps'!I$1:I$400,0)),I$2,)</f>
        <v>0</v>
      </c>
      <c r="J54" s="155">
        <f ca="1">IF(ISNUMBER(MATCH(DATEVALUE($A54),'changes1_based on steps'!J$1:J$400,0)),J$2,)</f>
        <v>0</v>
      </c>
      <c r="K54" s="155">
        <f ca="1">IF(ISNUMBER(MATCH(DATEVALUE($A54),'changes1_based on steps'!K$1:K$400,0)),K$2,)</f>
        <v>0</v>
      </c>
      <c r="L54" s="155">
        <f ca="1">IF(ISNUMBER(MATCH(DATEVALUE($A54),'changes1_based on steps'!L$1:L$400,0)),L$2,)</f>
        <v>0</v>
      </c>
      <c r="M54" s="155">
        <f ca="1">IF(ISNUMBER(MATCH(DATEVALUE($A54),'changes1_based on steps'!M$1:M$400,0)),M$2,)</f>
        <v>0</v>
      </c>
      <c r="N54" s="155">
        <f ca="1">IF(ISNUMBER(MATCH(DATEVALUE($A54),'changes1_based on steps'!N$1:N$400,0)),N$2,)</f>
        <v>0</v>
      </c>
      <c r="O54" s="155">
        <f ca="1">IF(ISNUMBER(MATCH(DATEVALUE($A54),'changes1_based on steps'!O$1:O$400,0)),O$2,)</f>
        <v>0</v>
      </c>
      <c r="P54" s="155">
        <f ca="1">IF(ISNUMBER(MATCH(DATEVALUE($A54),'changes1_based on steps'!P$1:P$400,0)),P$2,)</f>
        <v>0</v>
      </c>
      <c r="Q54" s="155">
        <f ca="1">IF(ISNUMBER(MATCH(DATEVALUE($A54),'changes1_based on steps'!Q$1:Q$400,0)),Q$2,)</f>
        <v>0</v>
      </c>
      <c r="R54" s="155">
        <f ca="1">IF(ISNUMBER(MATCH(DATEVALUE($A54),'changes1_based on steps'!R$1:R$400,0)),R$2,)</f>
        <v>0</v>
      </c>
      <c r="S54" s="155">
        <f ca="1">IF(ISNUMBER(MATCH(DATEVALUE($A54),'changes1_based on steps'!S$1:S$400,0)),S$2,)</f>
        <v>0</v>
      </c>
      <c r="T54" s="155">
        <f ca="1">IF(ISNUMBER(MATCH(DATEVALUE($A54),'changes1_based on steps'!T$1:T$400,0)),T$2,)</f>
        <v>0</v>
      </c>
      <c r="U54" s="155">
        <f ca="1">IF(ISNUMBER(MATCH(DATEVALUE($A54),'changes1_based on steps'!U$1:U$400,0)),U$2,)</f>
        <v>0</v>
      </c>
    </row>
    <row r="55" spans="1:21" x14ac:dyDescent="0.2">
      <c r="A55" s="18" t="str">
        <f t="shared" ca="1" si="0"/>
        <v>2025-03-25</v>
      </c>
      <c r="B55" s="155">
        <f ca="1">IF(ISNUMBER(MATCH(DATEVALUE($A55),'changes1_based on steps'!B$1:B$400,0)),B$2,)</f>
        <v>0</v>
      </c>
      <c r="C55" s="155">
        <f ca="1">IF(ISNUMBER(MATCH(DATEVALUE($A55),'changes1_based on steps'!C$1:C$400,0)),C$2,)</f>
        <v>0</v>
      </c>
      <c r="D55" s="155">
        <f ca="1">IF(ISNUMBER(MATCH(DATEVALUE($A55),'changes1_based on steps'!D$1:D$400,0)),D$2,)</f>
        <v>0</v>
      </c>
      <c r="E55" s="155">
        <f ca="1">IF(ISNUMBER(MATCH(DATEVALUE($A55),'changes1_based on steps'!E$1:E$400,0)),E$2,)</f>
        <v>0</v>
      </c>
      <c r="F55" s="155">
        <f ca="1">IF(ISNUMBER(MATCH(DATEVALUE($A55),'changes1_based on steps'!F$1:F$400,0)),F$2,)</f>
        <v>0</v>
      </c>
      <c r="G55" s="155">
        <f ca="1">IF(ISNUMBER(MATCH(DATEVALUE($A55),'changes1_based on steps'!G$1:G$400,0)),G$2,)</f>
        <v>0</v>
      </c>
      <c r="H55" s="155">
        <f ca="1">IF(ISNUMBER(MATCH(DATEVALUE($A55),'changes1_based on steps'!H$1:H$400,0)),H$2,)</f>
        <v>0</v>
      </c>
      <c r="I55" s="155">
        <f ca="1">IF(ISNUMBER(MATCH(DATEVALUE($A55),'changes1_based on steps'!I$1:I$400,0)),I$2,)</f>
        <v>0</v>
      </c>
      <c r="J55" s="155">
        <f ca="1">IF(ISNUMBER(MATCH(DATEVALUE($A55),'changes1_based on steps'!J$1:J$400,0)),J$2,)</f>
        <v>0</v>
      </c>
      <c r="K55" s="155">
        <f ca="1">IF(ISNUMBER(MATCH(DATEVALUE($A55),'changes1_based on steps'!K$1:K$400,0)),K$2,)</f>
        <v>0</v>
      </c>
      <c r="L55" s="155">
        <f ca="1">IF(ISNUMBER(MATCH(DATEVALUE($A55),'changes1_based on steps'!L$1:L$400,0)),L$2,)</f>
        <v>0</v>
      </c>
      <c r="M55" s="155">
        <f ca="1">IF(ISNUMBER(MATCH(DATEVALUE($A55),'changes1_based on steps'!M$1:M$400,0)),M$2,)</f>
        <v>0</v>
      </c>
      <c r="N55" s="155">
        <f ca="1">IF(ISNUMBER(MATCH(DATEVALUE($A55),'changes1_based on steps'!N$1:N$400,0)),N$2,)</f>
        <v>0</v>
      </c>
      <c r="O55" s="155">
        <f ca="1">IF(ISNUMBER(MATCH(DATEVALUE($A55),'changes1_based on steps'!O$1:O$400,0)),O$2,)</f>
        <v>0</v>
      </c>
      <c r="P55" s="155">
        <f ca="1">IF(ISNUMBER(MATCH(DATEVALUE($A55),'changes1_based on steps'!P$1:P$400,0)),P$2,)</f>
        <v>0</v>
      </c>
      <c r="Q55" s="155">
        <f ca="1">IF(ISNUMBER(MATCH(DATEVALUE($A55),'changes1_based on steps'!Q$1:Q$400,0)),Q$2,)</f>
        <v>0</v>
      </c>
      <c r="R55" s="155">
        <f ca="1">IF(ISNUMBER(MATCH(DATEVALUE($A55),'changes1_based on steps'!R$1:R$400,0)),R$2,)</f>
        <v>0</v>
      </c>
      <c r="S55" s="155">
        <f ca="1">IF(ISNUMBER(MATCH(DATEVALUE($A55),'changes1_based on steps'!S$1:S$400,0)),S$2,)</f>
        <v>0</v>
      </c>
      <c r="T55" s="155">
        <f ca="1">IF(ISNUMBER(MATCH(DATEVALUE($A55),'changes1_based on steps'!T$1:T$400,0)),T$2,)</f>
        <v>0</v>
      </c>
      <c r="U55" s="155">
        <f ca="1">IF(ISNUMBER(MATCH(DATEVALUE($A55),'changes1_based on steps'!U$1:U$400,0)),U$2,)</f>
        <v>0</v>
      </c>
    </row>
    <row r="56" spans="1:21" x14ac:dyDescent="0.2">
      <c r="A56" s="18" t="str">
        <f t="shared" ca="1" si="0"/>
        <v>2025-03-26</v>
      </c>
      <c r="B56" s="155">
        <f ca="1">IF(ISNUMBER(MATCH(DATEVALUE($A56),'changes1_based on steps'!B$1:B$400,0)),B$2,)</f>
        <v>100</v>
      </c>
      <c r="C56" s="155">
        <f ca="1">IF(ISNUMBER(MATCH(DATEVALUE($A56),'changes1_based on steps'!C$1:C$400,0)),C$2,)</f>
        <v>0</v>
      </c>
      <c r="D56" s="155">
        <f ca="1">IF(ISNUMBER(MATCH(DATEVALUE($A56),'changes1_based on steps'!D$1:D$400,0)),D$2,)</f>
        <v>0</v>
      </c>
      <c r="E56" s="155">
        <f ca="1">IF(ISNUMBER(MATCH(DATEVALUE($A56),'changes1_based on steps'!E$1:E$400,0)),E$2,)</f>
        <v>0</v>
      </c>
      <c r="F56" s="155">
        <f ca="1">IF(ISNUMBER(MATCH(DATEVALUE($A56),'changes1_based on steps'!F$1:F$400,0)),F$2,)</f>
        <v>0</v>
      </c>
      <c r="G56" s="155">
        <f ca="1">IF(ISNUMBER(MATCH(DATEVALUE($A56),'changes1_based on steps'!G$1:G$400,0)),G$2,)</f>
        <v>0</v>
      </c>
      <c r="H56" s="155">
        <f ca="1">IF(ISNUMBER(MATCH(DATEVALUE($A56),'changes1_based on steps'!H$1:H$400,0)),H$2,)</f>
        <v>0</v>
      </c>
      <c r="I56" s="155">
        <f ca="1">IF(ISNUMBER(MATCH(DATEVALUE($A56),'changes1_based on steps'!I$1:I$400,0)),I$2,)</f>
        <v>0</v>
      </c>
      <c r="J56" s="155">
        <f ca="1">IF(ISNUMBER(MATCH(DATEVALUE($A56),'changes1_based on steps'!J$1:J$400,0)),J$2,)</f>
        <v>0</v>
      </c>
      <c r="K56" s="155">
        <f ca="1">IF(ISNUMBER(MATCH(DATEVALUE($A56),'changes1_based on steps'!K$1:K$400,0)),K$2,)</f>
        <v>0</v>
      </c>
      <c r="L56" s="155">
        <f ca="1">IF(ISNUMBER(MATCH(DATEVALUE($A56),'changes1_based on steps'!L$1:L$400,0)),L$2,)</f>
        <v>0</v>
      </c>
      <c r="M56" s="155">
        <f ca="1">IF(ISNUMBER(MATCH(DATEVALUE($A56),'changes1_based on steps'!M$1:M$400,0)),M$2,)</f>
        <v>0</v>
      </c>
      <c r="N56" s="155">
        <f ca="1">IF(ISNUMBER(MATCH(DATEVALUE($A56),'changes1_based on steps'!N$1:N$400,0)),N$2,)</f>
        <v>0</v>
      </c>
      <c r="O56" s="155">
        <f ca="1">IF(ISNUMBER(MATCH(DATEVALUE($A56),'changes1_based on steps'!O$1:O$400,0)),O$2,)</f>
        <v>0</v>
      </c>
      <c r="P56" s="155">
        <f ca="1">IF(ISNUMBER(MATCH(DATEVALUE($A56),'changes1_based on steps'!P$1:P$400,0)),P$2,)</f>
        <v>0</v>
      </c>
      <c r="Q56" s="155">
        <f ca="1">IF(ISNUMBER(MATCH(DATEVALUE($A56),'changes1_based on steps'!Q$1:Q$400,0)),Q$2,)</f>
        <v>0</v>
      </c>
      <c r="R56" s="155">
        <f ca="1">IF(ISNUMBER(MATCH(DATEVALUE($A56),'changes1_based on steps'!R$1:R$400,0)),R$2,)</f>
        <v>0</v>
      </c>
      <c r="S56" s="155">
        <f ca="1">IF(ISNUMBER(MATCH(DATEVALUE($A56),'changes1_based on steps'!S$1:S$400,0)),S$2,)</f>
        <v>0</v>
      </c>
      <c r="T56" s="155">
        <f ca="1">IF(ISNUMBER(MATCH(DATEVALUE($A56),'changes1_based on steps'!T$1:T$400,0)),T$2,)</f>
        <v>0</v>
      </c>
      <c r="U56" s="155">
        <f ca="1">IF(ISNUMBER(MATCH(DATEVALUE($A56),'changes1_based on steps'!U$1:U$400,0)),U$2,)</f>
        <v>0</v>
      </c>
    </row>
    <row r="57" spans="1:21" x14ac:dyDescent="0.2">
      <c r="A57" s="18" t="str">
        <f t="shared" ca="1" si="0"/>
        <v>2025-03-27</v>
      </c>
      <c r="B57" s="155">
        <f ca="1">IF(ISNUMBER(MATCH(DATEVALUE($A57),'changes1_based on steps'!B$1:B$400,0)),B$2,)</f>
        <v>0</v>
      </c>
      <c r="C57" s="155">
        <f ca="1">IF(ISNUMBER(MATCH(DATEVALUE($A57),'changes1_based on steps'!C$1:C$400,0)),C$2,)</f>
        <v>0</v>
      </c>
      <c r="D57" s="155">
        <f ca="1">IF(ISNUMBER(MATCH(DATEVALUE($A57),'changes1_based on steps'!D$1:D$400,0)),D$2,)</f>
        <v>0</v>
      </c>
      <c r="E57" s="155">
        <f ca="1">IF(ISNUMBER(MATCH(DATEVALUE($A57),'changes1_based on steps'!E$1:E$400,0)),E$2,)</f>
        <v>0</v>
      </c>
      <c r="F57" s="155">
        <f ca="1">IF(ISNUMBER(MATCH(DATEVALUE($A57),'changes1_based on steps'!F$1:F$400,0)),F$2,)</f>
        <v>0</v>
      </c>
      <c r="G57" s="155">
        <f ca="1">IF(ISNUMBER(MATCH(DATEVALUE($A57),'changes1_based on steps'!G$1:G$400,0)),G$2,)</f>
        <v>0</v>
      </c>
      <c r="H57" s="155">
        <f ca="1">IF(ISNUMBER(MATCH(DATEVALUE($A57),'changes1_based on steps'!H$1:H$400,0)),H$2,)</f>
        <v>0</v>
      </c>
      <c r="I57" s="155">
        <f ca="1">IF(ISNUMBER(MATCH(DATEVALUE($A57),'changes1_based on steps'!I$1:I$400,0)),I$2,)</f>
        <v>0</v>
      </c>
      <c r="J57" s="155">
        <f ca="1">IF(ISNUMBER(MATCH(DATEVALUE($A57),'changes1_based on steps'!J$1:J$400,0)),J$2,)</f>
        <v>0</v>
      </c>
      <c r="K57" s="155">
        <f ca="1">IF(ISNUMBER(MATCH(DATEVALUE($A57),'changes1_based on steps'!K$1:K$400,0)),K$2,)</f>
        <v>0</v>
      </c>
      <c r="L57" s="155">
        <f ca="1">IF(ISNUMBER(MATCH(DATEVALUE($A57),'changes1_based on steps'!L$1:L$400,0)),L$2,)</f>
        <v>0</v>
      </c>
      <c r="M57" s="155">
        <f ca="1">IF(ISNUMBER(MATCH(DATEVALUE($A57),'changes1_based on steps'!M$1:M$400,0)),M$2,)</f>
        <v>0</v>
      </c>
      <c r="N57" s="155">
        <f ca="1">IF(ISNUMBER(MATCH(DATEVALUE($A57),'changes1_based on steps'!N$1:N$400,0)),N$2,)</f>
        <v>0</v>
      </c>
      <c r="O57" s="155">
        <f ca="1">IF(ISNUMBER(MATCH(DATEVALUE($A57),'changes1_based on steps'!O$1:O$400,0)),O$2,)</f>
        <v>0</v>
      </c>
      <c r="P57" s="155">
        <f ca="1">IF(ISNUMBER(MATCH(DATEVALUE($A57),'changes1_based on steps'!P$1:P$400,0)),P$2,)</f>
        <v>0</v>
      </c>
      <c r="Q57" s="155">
        <f ca="1">IF(ISNUMBER(MATCH(DATEVALUE($A57),'changes1_based on steps'!Q$1:Q$400,0)),Q$2,)</f>
        <v>0</v>
      </c>
      <c r="R57" s="155">
        <f ca="1">IF(ISNUMBER(MATCH(DATEVALUE($A57),'changes1_based on steps'!R$1:R$400,0)),R$2,)</f>
        <v>0</v>
      </c>
      <c r="S57" s="155">
        <f ca="1">IF(ISNUMBER(MATCH(DATEVALUE($A57),'changes1_based on steps'!S$1:S$400,0)),S$2,)</f>
        <v>0</v>
      </c>
      <c r="T57" s="155">
        <f ca="1">IF(ISNUMBER(MATCH(DATEVALUE($A57),'changes1_based on steps'!T$1:T$400,0)),T$2,)</f>
        <v>0</v>
      </c>
      <c r="U57" s="155">
        <f ca="1">IF(ISNUMBER(MATCH(DATEVALUE($A57),'changes1_based on steps'!U$1:U$400,0)),U$2,)</f>
        <v>0</v>
      </c>
    </row>
    <row r="58" spans="1:21" x14ac:dyDescent="0.2">
      <c r="A58" s="18" t="str">
        <f t="shared" ca="1" si="0"/>
        <v>2025-03-28</v>
      </c>
      <c r="B58" s="155">
        <f ca="1">IF(ISNUMBER(MATCH(DATEVALUE($A58),'changes1_based on steps'!B$1:B$400,0)),B$2,)</f>
        <v>0</v>
      </c>
      <c r="C58" s="155">
        <f ca="1">IF(ISNUMBER(MATCH(DATEVALUE($A58),'changes1_based on steps'!C$1:C$400,0)),C$2,)</f>
        <v>0</v>
      </c>
      <c r="D58" s="155">
        <f ca="1">IF(ISNUMBER(MATCH(DATEVALUE($A58),'changes1_based on steps'!D$1:D$400,0)),D$2,)</f>
        <v>0</v>
      </c>
      <c r="E58" s="155">
        <f ca="1">IF(ISNUMBER(MATCH(DATEVALUE($A58),'changes1_based on steps'!E$1:E$400,0)),E$2,)</f>
        <v>0</v>
      </c>
      <c r="F58" s="155">
        <f ca="1">IF(ISNUMBER(MATCH(DATEVALUE($A58),'changes1_based on steps'!F$1:F$400,0)),F$2,)</f>
        <v>0</v>
      </c>
      <c r="G58" s="155">
        <f ca="1">IF(ISNUMBER(MATCH(DATEVALUE($A58),'changes1_based on steps'!G$1:G$400,0)),G$2,)</f>
        <v>0</v>
      </c>
      <c r="H58" s="155">
        <f ca="1">IF(ISNUMBER(MATCH(DATEVALUE($A58),'changes1_based on steps'!H$1:H$400,0)),H$2,)</f>
        <v>0</v>
      </c>
      <c r="I58" s="155">
        <f ca="1">IF(ISNUMBER(MATCH(DATEVALUE($A58),'changes1_based on steps'!I$1:I$400,0)),I$2,)</f>
        <v>0</v>
      </c>
      <c r="J58" s="155">
        <f ca="1">IF(ISNUMBER(MATCH(DATEVALUE($A58),'changes1_based on steps'!J$1:J$400,0)),J$2,)</f>
        <v>0</v>
      </c>
      <c r="K58" s="155">
        <f ca="1">IF(ISNUMBER(MATCH(DATEVALUE($A58),'changes1_based on steps'!K$1:K$400,0)),K$2,)</f>
        <v>0</v>
      </c>
      <c r="L58" s="155">
        <f ca="1">IF(ISNUMBER(MATCH(DATEVALUE($A58),'changes1_based on steps'!L$1:L$400,0)),L$2,)</f>
        <v>0</v>
      </c>
      <c r="M58" s="155">
        <f ca="1">IF(ISNUMBER(MATCH(DATEVALUE($A58),'changes1_based on steps'!M$1:M$400,0)),M$2,)</f>
        <v>0</v>
      </c>
      <c r="N58" s="155">
        <f ca="1">IF(ISNUMBER(MATCH(DATEVALUE($A58),'changes1_based on steps'!N$1:N$400,0)),N$2,)</f>
        <v>0</v>
      </c>
      <c r="O58" s="155">
        <f ca="1">IF(ISNUMBER(MATCH(DATEVALUE($A58),'changes1_based on steps'!O$1:O$400,0)),O$2,)</f>
        <v>0</v>
      </c>
      <c r="P58" s="155">
        <f ca="1">IF(ISNUMBER(MATCH(DATEVALUE($A58),'changes1_based on steps'!P$1:P$400,0)),P$2,)</f>
        <v>0</v>
      </c>
      <c r="Q58" s="155">
        <f ca="1">IF(ISNUMBER(MATCH(DATEVALUE($A58),'changes1_based on steps'!Q$1:Q$400,0)),Q$2,)</f>
        <v>0</v>
      </c>
      <c r="R58" s="155">
        <f ca="1">IF(ISNUMBER(MATCH(DATEVALUE($A58),'changes1_based on steps'!R$1:R$400,0)),R$2,)</f>
        <v>0</v>
      </c>
      <c r="S58" s="155">
        <f ca="1">IF(ISNUMBER(MATCH(DATEVALUE($A58),'changes1_based on steps'!S$1:S$400,0)),S$2,)</f>
        <v>0</v>
      </c>
      <c r="T58" s="155">
        <f ca="1">IF(ISNUMBER(MATCH(DATEVALUE($A58),'changes1_based on steps'!T$1:T$400,0)),T$2,)</f>
        <v>0</v>
      </c>
      <c r="U58" s="155">
        <f ca="1">IF(ISNUMBER(MATCH(DATEVALUE($A58),'changes1_based on steps'!U$1:U$400,0)),U$2,)</f>
        <v>0</v>
      </c>
    </row>
    <row r="59" spans="1:21" x14ac:dyDescent="0.2">
      <c r="A59" s="18" t="str">
        <f t="shared" ca="1" si="0"/>
        <v>2025-03-29</v>
      </c>
      <c r="B59" s="155">
        <f ca="1">IF(ISNUMBER(MATCH(DATEVALUE($A59),'changes1_based on steps'!B$1:B$400,0)),B$2,)</f>
        <v>0</v>
      </c>
      <c r="C59" s="155">
        <f ca="1">IF(ISNUMBER(MATCH(DATEVALUE($A59),'changes1_based on steps'!C$1:C$400,0)),C$2,)</f>
        <v>0</v>
      </c>
      <c r="D59" s="155">
        <f ca="1">IF(ISNUMBER(MATCH(DATEVALUE($A59),'changes1_based on steps'!D$1:D$400,0)),D$2,)</f>
        <v>0</v>
      </c>
      <c r="E59" s="155">
        <f ca="1">IF(ISNUMBER(MATCH(DATEVALUE($A59),'changes1_based on steps'!E$1:E$400,0)),E$2,)</f>
        <v>0</v>
      </c>
      <c r="F59" s="155">
        <f ca="1">IF(ISNUMBER(MATCH(DATEVALUE($A59),'changes1_based on steps'!F$1:F$400,0)),F$2,)</f>
        <v>0</v>
      </c>
      <c r="G59" s="155">
        <f ca="1">IF(ISNUMBER(MATCH(DATEVALUE($A59),'changes1_based on steps'!G$1:G$400,0)),G$2,)</f>
        <v>0</v>
      </c>
      <c r="H59" s="155">
        <f ca="1">IF(ISNUMBER(MATCH(DATEVALUE($A59),'changes1_based on steps'!H$1:H$400,0)),H$2,)</f>
        <v>0</v>
      </c>
      <c r="I59" s="155">
        <f ca="1">IF(ISNUMBER(MATCH(DATEVALUE($A59),'changes1_based on steps'!I$1:I$400,0)),I$2,)</f>
        <v>0</v>
      </c>
      <c r="J59" s="155">
        <f ca="1">IF(ISNUMBER(MATCH(DATEVALUE($A59),'changes1_based on steps'!J$1:J$400,0)),J$2,)</f>
        <v>0</v>
      </c>
      <c r="K59" s="155">
        <f ca="1">IF(ISNUMBER(MATCH(DATEVALUE($A59),'changes1_based on steps'!K$1:K$400,0)),K$2,)</f>
        <v>0</v>
      </c>
      <c r="L59" s="155">
        <f ca="1">IF(ISNUMBER(MATCH(DATEVALUE($A59),'changes1_based on steps'!L$1:L$400,0)),L$2,)</f>
        <v>0</v>
      </c>
      <c r="M59" s="155">
        <f ca="1">IF(ISNUMBER(MATCH(DATEVALUE($A59),'changes1_based on steps'!M$1:M$400,0)),M$2,)</f>
        <v>0</v>
      </c>
      <c r="N59" s="155">
        <f ca="1">IF(ISNUMBER(MATCH(DATEVALUE($A59),'changes1_based on steps'!N$1:N$400,0)),N$2,)</f>
        <v>0</v>
      </c>
      <c r="O59" s="155">
        <f ca="1">IF(ISNUMBER(MATCH(DATEVALUE($A59),'changes1_based on steps'!O$1:O$400,0)),O$2,)</f>
        <v>0</v>
      </c>
      <c r="P59" s="155">
        <f ca="1">IF(ISNUMBER(MATCH(DATEVALUE($A59),'changes1_based on steps'!P$1:P$400,0)),P$2,)</f>
        <v>0</v>
      </c>
      <c r="Q59" s="155">
        <f ca="1">IF(ISNUMBER(MATCH(DATEVALUE($A59),'changes1_based on steps'!Q$1:Q$400,0)),Q$2,)</f>
        <v>0</v>
      </c>
      <c r="R59" s="155">
        <f ca="1">IF(ISNUMBER(MATCH(DATEVALUE($A59),'changes1_based on steps'!R$1:R$400,0)),R$2,)</f>
        <v>0</v>
      </c>
      <c r="S59" s="155">
        <f ca="1">IF(ISNUMBER(MATCH(DATEVALUE($A59),'changes1_based on steps'!S$1:S$400,0)),S$2,)</f>
        <v>0</v>
      </c>
      <c r="T59" s="155">
        <f ca="1">IF(ISNUMBER(MATCH(DATEVALUE($A59),'changes1_based on steps'!T$1:T$400,0)),T$2,)</f>
        <v>0</v>
      </c>
      <c r="U59" s="155">
        <f ca="1">IF(ISNUMBER(MATCH(DATEVALUE($A59),'changes1_based on steps'!U$1:U$400,0)),U$2,)</f>
        <v>0</v>
      </c>
    </row>
    <row r="60" spans="1:21" x14ac:dyDescent="0.2">
      <c r="A60" s="18" t="str">
        <f t="shared" ca="1" si="0"/>
        <v>2025-03-30</v>
      </c>
      <c r="B60" s="155">
        <f ca="1">IF(ISNUMBER(MATCH(DATEVALUE($A60),'changes1_based on steps'!B$1:B$400,0)),B$2,)</f>
        <v>0</v>
      </c>
      <c r="C60" s="155">
        <f ca="1">IF(ISNUMBER(MATCH(DATEVALUE($A60),'changes1_based on steps'!C$1:C$400,0)),C$2,)</f>
        <v>0</v>
      </c>
      <c r="D60" s="155">
        <f ca="1">IF(ISNUMBER(MATCH(DATEVALUE($A60),'changes1_based on steps'!D$1:D$400,0)),D$2,)</f>
        <v>0</v>
      </c>
      <c r="E60" s="155">
        <f ca="1">IF(ISNUMBER(MATCH(DATEVALUE($A60),'changes1_based on steps'!E$1:E$400,0)),E$2,)</f>
        <v>0</v>
      </c>
      <c r="F60" s="155">
        <f ca="1">IF(ISNUMBER(MATCH(DATEVALUE($A60),'changes1_based on steps'!F$1:F$400,0)),F$2,)</f>
        <v>0</v>
      </c>
      <c r="G60" s="155">
        <f ca="1">IF(ISNUMBER(MATCH(DATEVALUE($A60),'changes1_based on steps'!G$1:G$400,0)),G$2,)</f>
        <v>0</v>
      </c>
      <c r="H60" s="155">
        <f ca="1">IF(ISNUMBER(MATCH(DATEVALUE($A60),'changes1_based on steps'!H$1:H$400,0)),H$2,)</f>
        <v>0</v>
      </c>
      <c r="I60" s="155">
        <f ca="1">IF(ISNUMBER(MATCH(DATEVALUE($A60),'changes1_based on steps'!I$1:I$400,0)),I$2,)</f>
        <v>0</v>
      </c>
      <c r="J60" s="155">
        <f ca="1">IF(ISNUMBER(MATCH(DATEVALUE($A60),'changes1_based on steps'!J$1:J$400,0)),J$2,)</f>
        <v>0</v>
      </c>
      <c r="K60" s="155">
        <f ca="1">IF(ISNUMBER(MATCH(DATEVALUE($A60),'changes1_based on steps'!K$1:K$400,0)),K$2,)</f>
        <v>0</v>
      </c>
      <c r="L60" s="155">
        <f ca="1">IF(ISNUMBER(MATCH(DATEVALUE($A60),'changes1_based on steps'!L$1:L$400,0)),L$2,)</f>
        <v>0</v>
      </c>
      <c r="M60" s="155">
        <f ca="1">IF(ISNUMBER(MATCH(DATEVALUE($A60),'changes1_based on steps'!M$1:M$400,0)),M$2,)</f>
        <v>0</v>
      </c>
      <c r="N60" s="155">
        <f ca="1">IF(ISNUMBER(MATCH(DATEVALUE($A60),'changes1_based on steps'!N$1:N$400,0)),N$2,)</f>
        <v>0</v>
      </c>
      <c r="O60" s="155">
        <f ca="1">IF(ISNUMBER(MATCH(DATEVALUE($A60),'changes1_based on steps'!O$1:O$400,0)),O$2,)</f>
        <v>0</v>
      </c>
      <c r="P60" s="155">
        <f ca="1">IF(ISNUMBER(MATCH(DATEVALUE($A60),'changes1_based on steps'!P$1:P$400,0)),P$2,)</f>
        <v>0</v>
      </c>
      <c r="Q60" s="155">
        <f ca="1">IF(ISNUMBER(MATCH(DATEVALUE($A60),'changes1_based on steps'!Q$1:Q$400,0)),Q$2,)</f>
        <v>0</v>
      </c>
      <c r="R60" s="155">
        <f ca="1">IF(ISNUMBER(MATCH(DATEVALUE($A60),'changes1_based on steps'!R$1:R$400,0)),R$2,)</f>
        <v>0</v>
      </c>
      <c r="S60" s="155">
        <f ca="1">IF(ISNUMBER(MATCH(DATEVALUE($A60),'changes1_based on steps'!S$1:S$400,0)),S$2,)</f>
        <v>0</v>
      </c>
      <c r="T60" s="155">
        <f ca="1">IF(ISNUMBER(MATCH(DATEVALUE($A60),'changes1_based on steps'!T$1:T$400,0)),T$2,)</f>
        <v>0</v>
      </c>
      <c r="U60" s="155">
        <f ca="1">IF(ISNUMBER(MATCH(DATEVALUE($A60),'changes1_based on steps'!U$1:U$400,0)),U$2,)</f>
        <v>0</v>
      </c>
    </row>
    <row r="61" spans="1:21" x14ac:dyDescent="0.2">
      <c r="A61" s="18" t="str">
        <f t="shared" ca="1" si="0"/>
        <v>2025-03-31</v>
      </c>
      <c r="B61" s="155">
        <f ca="1">IF(ISNUMBER(MATCH(DATEVALUE($A61),'changes1_based on steps'!B$1:B$400,0)),B$2,)</f>
        <v>0</v>
      </c>
      <c r="C61" s="155">
        <f ca="1">IF(ISNUMBER(MATCH(DATEVALUE($A61),'changes1_based on steps'!C$1:C$400,0)),C$2,)</f>
        <v>50</v>
      </c>
      <c r="D61" s="155">
        <f ca="1">IF(ISNUMBER(MATCH(DATEVALUE($A61),'changes1_based on steps'!D$1:D$400,0)),D$2,)</f>
        <v>0</v>
      </c>
      <c r="E61" s="155">
        <f ca="1">IF(ISNUMBER(MATCH(DATEVALUE($A61),'changes1_based on steps'!E$1:E$400,0)),E$2,)</f>
        <v>0</v>
      </c>
      <c r="F61" s="155">
        <f ca="1">IF(ISNUMBER(MATCH(DATEVALUE($A61),'changes1_based on steps'!F$1:F$400,0)),F$2,)</f>
        <v>0</v>
      </c>
      <c r="G61" s="155">
        <f ca="1">IF(ISNUMBER(MATCH(DATEVALUE($A61),'changes1_based on steps'!G$1:G$400,0)),G$2,)</f>
        <v>0</v>
      </c>
      <c r="H61" s="155">
        <f ca="1">IF(ISNUMBER(MATCH(DATEVALUE($A61),'changes1_based on steps'!H$1:H$400,0)),H$2,)</f>
        <v>0</v>
      </c>
      <c r="I61" s="155">
        <f ca="1">IF(ISNUMBER(MATCH(DATEVALUE($A61),'changes1_based on steps'!I$1:I$400,0)),I$2,)</f>
        <v>0</v>
      </c>
      <c r="J61" s="155">
        <f ca="1">IF(ISNUMBER(MATCH(DATEVALUE($A61),'changes1_based on steps'!J$1:J$400,0)),J$2,)</f>
        <v>0</v>
      </c>
      <c r="K61" s="155">
        <f ca="1">IF(ISNUMBER(MATCH(DATEVALUE($A61),'changes1_based on steps'!K$1:K$400,0)),K$2,)</f>
        <v>0</v>
      </c>
      <c r="L61" s="155">
        <f ca="1">IF(ISNUMBER(MATCH(DATEVALUE($A61),'changes1_based on steps'!L$1:L$400,0)),L$2,)</f>
        <v>0</v>
      </c>
      <c r="M61" s="155">
        <f ca="1">IF(ISNUMBER(MATCH(DATEVALUE($A61),'changes1_based on steps'!M$1:M$400,0)),M$2,)</f>
        <v>0</v>
      </c>
      <c r="N61" s="155">
        <f ca="1">IF(ISNUMBER(MATCH(DATEVALUE($A61),'changes1_based on steps'!N$1:N$400,0)),N$2,)</f>
        <v>0</v>
      </c>
      <c r="O61" s="155">
        <f ca="1">IF(ISNUMBER(MATCH(DATEVALUE($A61),'changes1_based on steps'!O$1:O$400,0)),O$2,)</f>
        <v>0</v>
      </c>
      <c r="P61" s="155">
        <f ca="1">IF(ISNUMBER(MATCH(DATEVALUE($A61),'changes1_based on steps'!P$1:P$400,0)),P$2,)</f>
        <v>0</v>
      </c>
      <c r="Q61" s="155">
        <f ca="1">IF(ISNUMBER(MATCH(DATEVALUE($A61),'changes1_based on steps'!Q$1:Q$400,0)),Q$2,)</f>
        <v>0</v>
      </c>
      <c r="R61" s="155">
        <f ca="1">IF(ISNUMBER(MATCH(DATEVALUE($A61),'changes1_based on steps'!R$1:R$400,0)),R$2,)</f>
        <v>0</v>
      </c>
      <c r="S61" s="155">
        <f ca="1">IF(ISNUMBER(MATCH(DATEVALUE($A61),'changes1_based on steps'!S$1:S$400,0)),S$2,)</f>
        <v>0</v>
      </c>
      <c r="T61" s="155">
        <f ca="1">IF(ISNUMBER(MATCH(DATEVALUE($A61),'changes1_based on steps'!T$1:T$400,0)),T$2,)</f>
        <v>0</v>
      </c>
      <c r="U61" s="155">
        <f ca="1">IF(ISNUMBER(MATCH(DATEVALUE($A61),'changes1_based on steps'!U$1:U$400,0)),U$2,)</f>
        <v>0</v>
      </c>
    </row>
    <row r="62" spans="1:21" x14ac:dyDescent="0.2">
      <c r="A62" s="18" t="str">
        <f t="shared" ca="1" si="0"/>
        <v>2025-04-01</v>
      </c>
      <c r="B62" s="155">
        <f ca="1">IF(ISNUMBER(MATCH(DATEVALUE($A62),'changes1_based on steps'!B$1:B$400,0)),B$2,)</f>
        <v>0</v>
      </c>
      <c r="C62" s="155">
        <f ca="1">IF(ISNUMBER(MATCH(DATEVALUE($A62),'changes1_based on steps'!C$1:C$400,0)),C$2,)</f>
        <v>0</v>
      </c>
      <c r="D62" s="155">
        <f ca="1">IF(ISNUMBER(MATCH(DATEVALUE($A62),'changes1_based on steps'!D$1:D$400,0)),D$2,)</f>
        <v>0</v>
      </c>
      <c r="E62" s="155">
        <f ca="1">IF(ISNUMBER(MATCH(DATEVALUE($A62),'changes1_based on steps'!E$1:E$400,0)),E$2,)</f>
        <v>0</v>
      </c>
      <c r="F62" s="155">
        <f ca="1">IF(ISNUMBER(MATCH(DATEVALUE($A62),'changes1_based on steps'!F$1:F$400,0)),F$2,)</f>
        <v>0</v>
      </c>
      <c r="G62" s="155">
        <f ca="1">IF(ISNUMBER(MATCH(DATEVALUE($A62),'changes1_based on steps'!G$1:G$400,0)),G$2,)</f>
        <v>0</v>
      </c>
      <c r="H62" s="155">
        <f ca="1">IF(ISNUMBER(MATCH(DATEVALUE($A62),'changes1_based on steps'!H$1:H$400,0)),H$2,)</f>
        <v>0</v>
      </c>
      <c r="I62" s="155">
        <f ca="1">IF(ISNUMBER(MATCH(DATEVALUE($A62),'changes1_based on steps'!I$1:I$400,0)),I$2,)</f>
        <v>0</v>
      </c>
      <c r="J62" s="155">
        <f ca="1">IF(ISNUMBER(MATCH(DATEVALUE($A62),'changes1_based on steps'!J$1:J$400,0)),J$2,)</f>
        <v>0</v>
      </c>
      <c r="K62" s="155">
        <f ca="1">IF(ISNUMBER(MATCH(DATEVALUE($A62),'changes1_based on steps'!K$1:K$400,0)),K$2,)</f>
        <v>0</v>
      </c>
      <c r="L62" s="155">
        <f ca="1">IF(ISNUMBER(MATCH(DATEVALUE($A62),'changes1_based on steps'!L$1:L$400,0)),L$2,)</f>
        <v>0</v>
      </c>
      <c r="M62" s="155">
        <f ca="1">IF(ISNUMBER(MATCH(DATEVALUE($A62),'changes1_based on steps'!M$1:M$400,0)),M$2,)</f>
        <v>0</v>
      </c>
      <c r="N62" s="155">
        <f ca="1">IF(ISNUMBER(MATCH(DATEVALUE($A62),'changes1_based on steps'!N$1:N$400,0)),N$2,)</f>
        <v>0</v>
      </c>
      <c r="O62" s="155">
        <f ca="1">IF(ISNUMBER(MATCH(DATEVALUE($A62),'changes1_based on steps'!O$1:O$400,0)),O$2,)</f>
        <v>0</v>
      </c>
      <c r="P62" s="155">
        <f ca="1">IF(ISNUMBER(MATCH(DATEVALUE($A62),'changes1_based on steps'!P$1:P$400,0)),P$2,)</f>
        <v>0</v>
      </c>
      <c r="Q62" s="155">
        <f ca="1">IF(ISNUMBER(MATCH(DATEVALUE($A62),'changes1_based on steps'!Q$1:Q$400,0)),Q$2,)</f>
        <v>0</v>
      </c>
      <c r="R62" s="155">
        <f ca="1">IF(ISNUMBER(MATCH(DATEVALUE($A62),'changes1_based on steps'!R$1:R$400,0)),R$2,)</f>
        <v>0</v>
      </c>
      <c r="S62" s="155">
        <f ca="1">IF(ISNUMBER(MATCH(DATEVALUE($A62),'changes1_based on steps'!S$1:S$400,0)),S$2,)</f>
        <v>0</v>
      </c>
      <c r="T62" s="155">
        <f ca="1">IF(ISNUMBER(MATCH(DATEVALUE($A62),'changes1_based on steps'!T$1:T$400,0)),T$2,)</f>
        <v>0</v>
      </c>
      <c r="U62" s="155">
        <f ca="1">IF(ISNUMBER(MATCH(DATEVALUE($A62),'changes1_based on steps'!U$1:U$400,0)),U$2,)</f>
        <v>0</v>
      </c>
    </row>
    <row r="63" spans="1:21" x14ac:dyDescent="0.2">
      <c r="A63" s="18" t="str">
        <f t="shared" ca="1" si="0"/>
        <v>2025-04-02</v>
      </c>
      <c r="B63" s="155">
        <f ca="1">IF(ISNUMBER(MATCH(DATEVALUE($A63),'changes1_based on steps'!B$1:B$400,0)),B$2,)</f>
        <v>0</v>
      </c>
      <c r="C63" s="155">
        <f ca="1">IF(ISNUMBER(MATCH(DATEVALUE($A63),'changes1_based on steps'!C$1:C$400,0)),C$2,)</f>
        <v>0</v>
      </c>
      <c r="D63" s="155">
        <f ca="1">IF(ISNUMBER(MATCH(DATEVALUE($A63),'changes1_based on steps'!D$1:D$400,0)),D$2,)</f>
        <v>0</v>
      </c>
      <c r="E63" s="155">
        <f ca="1">IF(ISNUMBER(MATCH(DATEVALUE($A63),'changes1_based on steps'!E$1:E$400,0)),E$2,)</f>
        <v>0</v>
      </c>
      <c r="F63" s="155">
        <f ca="1">IF(ISNUMBER(MATCH(DATEVALUE($A63),'changes1_based on steps'!F$1:F$400,0)),F$2,)</f>
        <v>0</v>
      </c>
      <c r="G63" s="155">
        <f ca="1">IF(ISNUMBER(MATCH(DATEVALUE($A63),'changes1_based on steps'!G$1:G$400,0)),G$2,)</f>
        <v>0</v>
      </c>
      <c r="H63" s="155">
        <f ca="1">IF(ISNUMBER(MATCH(DATEVALUE($A63),'changes1_based on steps'!H$1:H$400,0)),H$2,)</f>
        <v>0</v>
      </c>
      <c r="I63" s="155">
        <f ca="1">IF(ISNUMBER(MATCH(DATEVALUE($A63),'changes1_based on steps'!I$1:I$400,0)),I$2,)</f>
        <v>0</v>
      </c>
      <c r="J63" s="155">
        <f ca="1">IF(ISNUMBER(MATCH(DATEVALUE($A63),'changes1_based on steps'!J$1:J$400,0)),J$2,)</f>
        <v>0</v>
      </c>
      <c r="K63" s="155">
        <f ca="1">IF(ISNUMBER(MATCH(DATEVALUE($A63),'changes1_based on steps'!K$1:K$400,0)),K$2,)</f>
        <v>0</v>
      </c>
      <c r="L63" s="155">
        <f ca="1">IF(ISNUMBER(MATCH(DATEVALUE($A63),'changes1_based on steps'!L$1:L$400,0)),L$2,)</f>
        <v>0</v>
      </c>
      <c r="M63" s="155">
        <f ca="1">IF(ISNUMBER(MATCH(DATEVALUE($A63),'changes1_based on steps'!M$1:M$400,0)),M$2,)</f>
        <v>0</v>
      </c>
      <c r="N63" s="155">
        <f ca="1">IF(ISNUMBER(MATCH(DATEVALUE($A63),'changes1_based on steps'!N$1:N$400,0)),N$2,)</f>
        <v>0</v>
      </c>
      <c r="O63" s="155">
        <f ca="1">IF(ISNUMBER(MATCH(DATEVALUE($A63),'changes1_based on steps'!O$1:O$400,0)),O$2,)</f>
        <v>0</v>
      </c>
      <c r="P63" s="155">
        <f ca="1">IF(ISNUMBER(MATCH(DATEVALUE($A63),'changes1_based on steps'!P$1:P$400,0)),P$2,)</f>
        <v>0</v>
      </c>
      <c r="Q63" s="155">
        <f ca="1">IF(ISNUMBER(MATCH(DATEVALUE($A63),'changes1_based on steps'!Q$1:Q$400,0)),Q$2,)</f>
        <v>0</v>
      </c>
      <c r="R63" s="155">
        <f ca="1">IF(ISNUMBER(MATCH(DATEVALUE($A63),'changes1_based on steps'!R$1:R$400,0)),R$2,)</f>
        <v>0</v>
      </c>
      <c r="S63" s="155">
        <f ca="1">IF(ISNUMBER(MATCH(DATEVALUE($A63),'changes1_based on steps'!S$1:S$400,0)),S$2,)</f>
        <v>0</v>
      </c>
      <c r="T63" s="155">
        <f ca="1">IF(ISNUMBER(MATCH(DATEVALUE($A63),'changes1_based on steps'!T$1:T$400,0)),T$2,)</f>
        <v>0</v>
      </c>
      <c r="U63" s="155">
        <f ca="1">IF(ISNUMBER(MATCH(DATEVALUE($A63),'changes1_based on steps'!U$1:U$400,0)),U$2,)</f>
        <v>0</v>
      </c>
    </row>
    <row r="64" spans="1:21" x14ac:dyDescent="0.2">
      <c r="A64" s="18" t="str">
        <f t="shared" ca="1" si="0"/>
        <v>2025-04-03</v>
      </c>
      <c r="B64" s="155">
        <f ca="1">IF(ISNUMBER(MATCH(DATEVALUE($A64),'changes1_based on steps'!B$1:B$400,0)),B$2,)</f>
        <v>0</v>
      </c>
      <c r="C64" s="155">
        <f ca="1">IF(ISNUMBER(MATCH(DATEVALUE($A64),'changes1_based on steps'!C$1:C$400,0)),C$2,)</f>
        <v>0</v>
      </c>
      <c r="D64" s="155">
        <f ca="1">IF(ISNUMBER(MATCH(DATEVALUE($A64),'changes1_based on steps'!D$1:D$400,0)),D$2,)</f>
        <v>0</v>
      </c>
      <c r="E64" s="155">
        <f ca="1">IF(ISNUMBER(MATCH(DATEVALUE($A64),'changes1_based on steps'!E$1:E$400,0)),E$2,)</f>
        <v>0</v>
      </c>
      <c r="F64" s="155">
        <f ca="1">IF(ISNUMBER(MATCH(DATEVALUE($A64),'changes1_based on steps'!F$1:F$400,0)),F$2,)</f>
        <v>0</v>
      </c>
      <c r="G64" s="155">
        <f ca="1">IF(ISNUMBER(MATCH(DATEVALUE($A64),'changes1_based on steps'!G$1:G$400,0)),G$2,)</f>
        <v>0</v>
      </c>
      <c r="H64" s="155">
        <f ca="1">IF(ISNUMBER(MATCH(DATEVALUE($A64),'changes1_based on steps'!H$1:H$400,0)),H$2,)</f>
        <v>0</v>
      </c>
      <c r="I64" s="155">
        <f ca="1">IF(ISNUMBER(MATCH(DATEVALUE($A64),'changes1_based on steps'!I$1:I$400,0)),I$2,)</f>
        <v>0</v>
      </c>
      <c r="J64" s="155">
        <f ca="1">IF(ISNUMBER(MATCH(DATEVALUE($A64),'changes1_based on steps'!J$1:J$400,0)),J$2,)</f>
        <v>0</v>
      </c>
      <c r="K64" s="155">
        <f ca="1">IF(ISNUMBER(MATCH(DATEVALUE($A64),'changes1_based on steps'!K$1:K$400,0)),K$2,)</f>
        <v>0</v>
      </c>
      <c r="L64" s="155">
        <f ca="1">IF(ISNUMBER(MATCH(DATEVALUE($A64),'changes1_based on steps'!L$1:L$400,0)),L$2,)</f>
        <v>0</v>
      </c>
      <c r="M64" s="155">
        <f ca="1">IF(ISNUMBER(MATCH(DATEVALUE($A64),'changes1_based on steps'!M$1:M$400,0)),M$2,)</f>
        <v>0</v>
      </c>
      <c r="N64" s="155">
        <f ca="1">IF(ISNUMBER(MATCH(DATEVALUE($A64),'changes1_based on steps'!N$1:N$400,0)),N$2,)</f>
        <v>0</v>
      </c>
      <c r="O64" s="155">
        <f ca="1">IF(ISNUMBER(MATCH(DATEVALUE($A64),'changes1_based on steps'!O$1:O$400,0)),O$2,)</f>
        <v>0</v>
      </c>
      <c r="P64" s="155">
        <f ca="1">IF(ISNUMBER(MATCH(DATEVALUE($A64),'changes1_based on steps'!P$1:P$400,0)),P$2,)</f>
        <v>0</v>
      </c>
      <c r="Q64" s="155">
        <f ca="1">IF(ISNUMBER(MATCH(DATEVALUE($A64),'changes1_based on steps'!Q$1:Q$400,0)),Q$2,)</f>
        <v>0</v>
      </c>
      <c r="R64" s="155">
        <f ca="1">IF(ISNUMBER(MATCH(DATEVALUE($A64),'changes1_based on steps'!R$1:R$400,0)),R$2,)</f>
        <v>0</v>
      </c>
      <c r="S64" s="155">
        <f ca="1">IF(ISNUMBER(MATCH(DATEVALUE($A64),'changes1_based on steps'!S$1:S$400,0)),S$2,)</f>
        <v>0</v>
      </c>
      <c r="T64" s="155">
        <f ca="1">IF(ISNUMBER(MATCH(DATEVALUE($A64),'changes1_based on steps'!T$1:T$400,0)),T$2,)</f>
        <v>0</v>
      </c>
      <c r="U64" s="155">
        <f ca="1">IF(ISNUMBER(MATCH(DATEVALUE($A64),'changes1_based on steps'!U$1:U$400,0)),U$2,)</f>
        <v>0</v>
      </c>
    </row>
    <row r="65" spans="1:21" x14ac:dyDescent="0.2">
      <c r="A65" s="18" t="str">
        <f t="shared" ca="1" si="0"/>
        <v>2025-04-04</v>
      </c>
      <c r="B65" s="155">
        <f ca="1">IF(ISNUMBER(MATCH(DATEVALUE($A65),'changes1_based on steps'!B$1:B$400,0)),B$2,)</f>
        <v>0</v>
      </c>
      <c r="C65" s="155">
        <f ca="1">IF(ISNUMBER(MATCH(DATEVALUE($A65),'changes1_based on steps'!C$1:C$400,0)),C$2,)</f>
        <v>0</v>
      </c>
      <c r="D65" s="155">
        <f ca="1">IF(ISNUMBER(MATCH(DATEVALUE($A65),'changes1_based on steps'!D$1:D$400,0)),D$2,)</f>
        <v>0</v>
      </c>
      <c r="E65" s="155">
        <f ca="1">IF(ISNUMBER(MATCH(DATEVALUE($A65),'changes1_based on steps'!E$1:E$400,0)),E$2,)</f>
        <v>0</v>
      </c>
      <c r="F65" s="155">
        <f ca="1">IF(ISNUMBER(MATCH(DATEVALUE($A65),'changes1_based on steps'!F$1:F$400,0)),F$2,)</f>
        <v>0</v>
      </c>
      <c r="G65" s="155">
        <f ca="1">IF(ISNUMBER(MATCH(DATEVALUE($A65),'changes1_based on steps'!G$1:G$400,0)),G$2,)</f>
        <v>0</v>
      </c>
      <c r="H65" s="155">
        <f ca="1">IF(ISNUMBER(MATCH(DATEVALUE($A65),'changes1_based on steps'!H$1:H$400,0)),H$2,)</f>
        <v>0</v>
      </c>
      <c r="I65" s="155">
        <f ca="1">IF(ISNUMBER(MATCH(DATEVALUE($A65),'changes1_based on steps'!I$1:I$400,0)),I$2,)</f>
        <v>0</v>
      </c>
      <c r="J65" s="155">
        <f ca="1">IF(ISNUMBER(MATCH(DATEVALUE($A65),'changes1_based on steps'!J$1:J$400,0)),J$2,)</f>
        <v>0</v>
      </c>
      <c r="K65" s="155">
        <f ca="1">IF(ISNUMBER(MATCH(DATEVALUE($A65),'changes1_based on steps'!K$1:K$400,0)),K$2,)</f>
        <v>0</v>
      </c>
      <c r="L65" s="155">
        <f ca="1">IF(ISNUMBER(MATCH(DATEVALUE($A65),'changes1_based on steps'!L$1:L$400,0)),L$2,)</f>
        <v>0</v>
      </c>
      <c r="M65" s="155">
        <f ca="1">IF(ISNUMBER(MATCH(DATEVALUE($A65),'changes1_based on steps'!M$1:M$400,0)),M$2,)</f>
        <v>0</v>
      </c>
      <c r="N65" s="155">
        <f ca="1">IF(ISNUMBER(MATCH(DATEVALUE($A65),'changes1_based on steps'!N$1:N$400,0)),N$2,)</f>
        <v>0</v>
      </c>
      <c r="O65" s="155">
        <f ca="1">IF(ISNUMBER(MATCH(DATEVALUE($A65),'changes1_based on steps'!O$1:O$400,0)),O$2,)</f>
        <v>0</v>
      </c>
      <c r="P65" s="155">
        <f ca="1">IF(ISNUMBER(MATCH(DATEVALUE($A65),'changes1_based on steps'!P$1:P$400,0)),P$2,)</f>
        <v>0</v>
      </c>
      <c r="Q65" s="155">
        <f ca="1">IF(ISNUMBER(MATCH(DATEVALUE($A65),'changes1_based on steps'!Q$1:Q$400,0)),Q$2,)</f>
        <v>0</v>
      </c>
      <c r="R65" s="155">
        <f ca="1">IF(ISNUMBER(MATCH(DATEVALUE($A65),'changes1_based on steps'!R$1:R$400,0)),R$2,)</f>
        <v>0</v>
      </c>
      <c r="S65" s="155">
        <f ca="1">IF(ISNUMBER(MATCH(DATEVALUE($A65),'changes1_based on steps'!S$1:S$400,0)),S$2,)</f>
        <v>0</v>
      </c>
      <c r="T65" s="155">
        <f ca="1">IF(ISNUMBER(MATCH(DATEVALUE($A65),'changes1_based on steps'!T$1:T$400,0)),T$2,)</f>
        <v>0</v>
      </c>
      <c r="U65" s="155">
        <f ca="1">IF(ISNUMBER(MATCH(DATEVALUE($A65),'changes1_based on steps'!U$1:U$400,0)),U$2,)</f>
        <v>0</v>
      </c>
    </row>
    <row r="66" spans="1:21" x14ac:dyDescent="0.2">
      <c r="A66" s="18" t="str">
        <f t="shared" ca="1" si="0"/>
        <v>2025-04-05</v>
      </c>
      <c r="B66" s="155">
        <f ca="1">IF(ISNUMBER(MATCH(DATEVALUE($A66),'changes1_based on steps'!B$1:B$400,0)),B$2,)</f>
        <v>0</v>
      </c>
      <c r="C66" s="155">
        <f ca="1">IF(ISNUMBER(MATCH(DATEVALUE($A66),'changes1_based on steps'!C$1:C$400,0)),C$2,)</f>
        <v>0</v>
      </c>
      <c r="D66" s="155">
        <f ca="1">IF(ISNUMBER(MATCH(DATEVALUE($A66),'changes1_based on steps'!D$1:D$400,0)),D$2,)</f>
        <v>0</v>
      </c>
      <c r="E66" s="155">
        <f ca="1">IF(ISNUMBER(MATCH(DATEVALUE($A66),'changes1_based on steps'!E$1:E$400,0)),E$2,)</f>
        <v>0</v>
      </c>
      <c r="F66" s="155">
        <f ca="1">IF(ISNUMBER(MATCH(DATEVALUE($A66),'changes1_based on steps'!F$1:F$400,0)),F$2,)</f>
        <v>0</v>
      </c>
      <c r="G66" s="155">
        <f ca="1">IF(ISNUMBER(MATCH(DATEVALUE($A66),'changes1_based on steps'!G$1:G$400,0)),G$2,)</f>
        <v>0</v>
      </c>
      <c r="H66" s="155">
        <f ca="1">IF(ISNUMBER(MATCH(DATEVALUE($A66),'changes1_based on steps'!H$1:H$400,0)),H$2,)</f>
        <v>0</v>
      </c>
      <c r="I66" s="155">
        <f ca="1">IF(ISNUMBER(MATCH(DATEVALUE($A66),'changes1_based on steps'!I$1:I$400,0)),I$2,)</f>
        <v>0</v>
      </c>
      <c r="J66" s="155">
        <f ca="1">IF(ISNUMBER(MATCH(DATEVALUE($A66),'changes1_based on steps'!J$1:J$400,0)),J$2,)</f>
        <v>0</v>
      </c>
      <c r="K66" s="155">
        <f ca="1">IF(ISNUMBER(MATCH(DATEVALUE($A66),'changes1_based on steps'!K$1:K$400,0)),K$2,)</f>
        <v>0</v>
      </c>
      <c r="L66" s="155">
        <f ca="1">IF(ISNUMBER(MATCH(DATEVALUE($A66),'changes1_based on steps'!L$1:L$400,0)),L$2,)</f>
        <v>0</v>
      </c>
      <c r="M66" s="155">
        <f ca="1">IF(ISNUMBER(MATCH(DATEVALUE($A66),'changes1_based on steps'!M$1:M$400,0)),M$2,)</f>
        <v>0</v>
      </c>
      <c r="N66" s="155">
        <f ca="1">IF(ISNUMBER(MATCH(DATEVALUE($A66),'changes1_based on steps'!N$1:N$400,0)),N$2,)</f>
        <v>0</v>
      </c>
      <c r="O66" s="155">
        <f ca="1">IF(ISNUMBER(MATCH(DATEVALUE($A66),'changes1_based on steps'!O$1:O$400,0)),O$2,)</f>
        <v>0</v>
      </c>
      <c r="P66" s="155">
        <f ca="1">IF(ISNUMBER(MATCH(DATEVALUE($A66),'changes1_based on steps'!P$1:P$400,0)),P$2,)</f>
        <v>0</v>
      </c>
      <c r="Q66" s="155">
        <f ca="1">IF(ISNUMBER(MATCH(DATEVALUE($A66),'changes1_based on steps'!Q$1:Q$400,0)),Q$2,)</f>
        <v>0</v>
      </c>
      <c r="R66" s="155">
        <f ca="1">IF(ISNUMBER(MATCH(DATEVALUE($A66),'changes1_based on steps'!R$1:R$400,0)),R$2,)</f>
        <v>0</v>
      </c>
      <c r="S66" s="155">
        <f ca="1">IF(ISNUMBER(MATCH(DATEVALUE($A66),'changes1_based on steps'!S$1:S$400,0)),S$2,)</f>
        <v>0</v>
      </c>
      <c r="T66" s="155">
        <f ca="1">IF(ISNUMBER(MATCH(DATEVALUE($A66),'changes1_based on steps'!T$1:T$400,0)),T$2,)</f>
        <v>0</v>
      </c>
      <c r="U66" s="155">
        <f ca="1">IF(ISNUMBER(MATCH(DATEVALUE($A66),'changes1_based on steps'!U$1:U$400,0)),U$2,)</f>
        <v>0</v>
      </c>
    </row>
    <row r="67" spans="1:21" x14ac:dyDescent="0.2">
      <c r="A67" s="18" t="str">
        <f t="shared" ca="1" si="0"/>
        <v>2025-04-06</v>
      </c>
      <c r="B67" s="155">
        <f ca="1">IF(ISNUMBER(MATCH(DATEVALUE($A67),'changes1_based on steps'!B$1:B$400,0)),B$2,)</f>
        <v>0</v>
      </c>
      <c r="C67" s="155">
        <f ca="1">IF(ISNUMBER(MATCH(DATEVALUE($A67),'changes1_based on steps'!C$1:C$400,0)),C$2,)</f>
        <v>0</v>
      </c>
      <c r="D67" s="155">
        <f ca="1">IF(ISNUMBER(MATCH(DATEVALUE($A67),'changes1_based on steps'!D$1:D$400,0)),D$2,)</f>
        <v>0</v>
      </c>
      <c r="E67" s="155">
        <f ca="1">IF(ISNUMBER(MATCH(DATEVALUE($A67),'changes1_based on steps'!E$1:E$400,0)),E$2,)</f>
        <v>0</v>
      </c>
      <c r="F67" s="155">
        <f ca="1">IF(ISNUMBER(MATCH(DATEVALUE($A67),'changes1_based on steps'!F$1:F$400,0)),F$2,)</f>
        <v>0</v>
      </c>
      <c r="G67" s="155">
        <f ca="1">IF(ISNUMBER(MATCH(DATEVALUE($A67),'changes1_based on steps'!G$1:G$400,0)),G$2,)</f>
        <v>0</v>
      </c>
      <c r="H67" s="155">
        <f ca="1">IF(ISNUMBER(MATCH(DATEVALUE($A67),'changes1_based on steps'!H$1:H$400,0)),H$2,)</f>
        <v>0</v>
      </c>
      <c r="I67" s="155">
        <f ca="1">IF(ISNUMBER(MATCH(DATEVALUE($A67),'changes1_based on steps'!I$1:I$400,0)),I$2,)</f>
        <v>0</v>
      </c>
      <c r="J67" s="155">
        <f ca="1">IF(ISNUMBER(MATCH(DATEVALUE($A67),'changes1_based on steps'!J$1:J$400,0)),J$2,)</f>
        <v>0</v>
      </c>
      <c r="K67" s="155">
        <f ca="1">IF(ISNUMBER(MATCH(DATEVALUE($A67),'changes1_based on steps'!K$1:K$400,0)),K$2,)</f>
        <v>0</v>
      </c>
      <c r="L67" s="155">
        <f ca="1">IF(ISNUMBER(MATCH(DATEVALUE($A67),'changes1_based on steps'!L$1:L$400,0)),L$2,)</f>
        <v>0</v>
      </c>
      <c r="M67" s="155">
        <f ca="1">IF(ISNUMBER(MATCH(DATEVALUE($A67),'changes1_based on steps'!M$1:M$400,0)),M$2,)</f>
        <v>0</v>
      </c>
      <c r="N67" s="155">
        <f ca="1">IF(ISNUMBER(MATCH(DATEVALUE($A67),'changes1_based on steps'!N$1:N$400,0)),N$2,)</f>
        <v>0</v>
      </c>
      <c r="O67" s="155">
        <f ca="1">IF(ISNUMBER(MATCH(DATEVALUE($A67),'changes1_based on steps'!O$1:O$400,0)),O$2,)</f>
        <v>0</v>
      </c>
      <c r="P67" s="155">
        <f ca="1">IF(ISNUMBER(MATCH(DATEVALUE($A67),'changes1_based on steps'!P$1:P$400,0)),P$2,)</f>
        <v>0</v>
      </c>
      <c r="Q67" s="155">
        <f ca="1">IF(ISNUMBER(MATCH(DATEVALUE($A67),'changes1_based on steps'!Q$1:Q$400,0)),Q$2,)</f>
        <v>0</v>
      </c>
      <c r="R67" s="155">
        <f ca="1">IF(ISNUMBER(MATCH(DATEVALUE($A67),'changes1_based on steps'!R$1:R$400,0)),R$2,)</f>
        <v>0</v>
      </c>
      <c r="S67" s="155">
        <f ca="1">IF(ISNUMBER(MATCH(DATEVALUE($A67),'changes1_based on steps'!S$1:S$400,0)),S$2,)</f>
        <v>0</v>
      </c>
      <c r="T67" s="155">
        <f ca="1">IF(ISNUMBER(MATCH(DATEVALUE($A67),'changes1_based on steps'!T$1:T$400,0)),T$2,)</f>
        <v>0</v>
      </c>
      <c r="U67" s="155">
        <f ca="1">IF(ISNUMBER(MATCH(DATEVALUE($A67),'changes1_based on steps'!U$1:U$400,0)),U$2,)</f>
        <v>0</v>
      </c>
    </row>
    <row r="68" spans="1:21" x14ac:dyDescent="0.2">
      <c r="A68" s="18" t="str">
        <f t="shared" ca="1" si="0"/>
        <v>2025-04-07</v>
      </c>
      <c r="B68" s="155">
        <f ca="1">IF(ISNUMBER(MATCH(DATEVALUE($A68),'changes1_based on steps'!B$1:B$400,0)),B$2,)</f>
        <v>0</v>
      </c>
      <c r="C68" s="155">
        <f ca="1">IF(ISNUMBER(MATCH(DATEVALUE($A68),'changes1_based on steps'!C$1:C$400,0)),C$2,)</f>
        <v>0</v>
      </c>
      <c r="D68" s="155">
        <f ca="1">IF(ISNUMBER(MATCH(DATEVALUE($A68),'changes1_based on steps'!D$1:D$400,0)),D$2,)</f>
        <v>0</v>
      </c>
      <c r="E68" s="155">
        <f ca="1">IF(ISNUMBER(MATCH(DATEVALUE($A68),'changes1_based on steps'!E$1:E$400,0)),E$2,)</f>
        <v>0</v>
      </c>
      <c r="F68" s="155">
        <f ca="1">IF(ISNUMBER(MATCH(DATEVALUE($A68),'changes1_based on steps'!F$1:F$400,0)),F$2,)</f>
        <v>0</v>
      </c>
      <c r="G68" s="155">
        <f ca="1">IF(ISNUMBER(MATCH(DATEVALUE($A68),'changes1_based on steps'!G$1:G$400,0)),G$2,)</f>
        <v>0</v>
      </c>
      <c r="H68" s="155">
        <f ca="1">IF(ISNUMBER(MATCH(DATEVALUE($A68),'changes1_based on steps'!H$1:H$400,0)),H$2,)</f>
        <v>0</v>
      </c>
      <c r="I68" s="155">
        <f ca="1">IF(ISNUMBER(MATCH(DATEVALUE($A68),'changes1_based on steps'!I$1:I$400,0)),I$2,)</f>
        <v>0</v>
      </c>
      <c r="J68" s="155">
        <f ca="1">IF(ISNUMBER(MATCH(DATEVALUE($A68),'changes1_based on steps'!J$1:J$400,0)),J$2,)</f>
        <v>0</v>
      </c>
      <c r="K68" s="155">
        <f ca="1">IF(ISNUMBER(MATCH(DATEVALUE($A68),'changes1_based on steps'!K$1:K$400,0)),K$2,)</f>
        <v>0</v>
      </c>
      <c r="L68" s="155">
        <f ca="1">IF(ISNUMBER(MATCH(DATEVALUE($A68),'changes1_based on steps'!L$1:L$400,0)),L$2,)</f>
        <v>0</v>
      </c>
      <c r="M68" s="155">
        <f ca="1">IF(ISNUMBER(MATCH(DATEVALUE($A68),'changes1_based on steps'!M$1:M$400,0)),M$2,)</f>
        <v>0</v>
      </c>
      <c r="N68" s="155">
        <f ca="1">IF(ISNUMBER(MATCH(DATEVALUE($A68),'changes1_based on steps'!N$1:N$400,0)),N$2,)</f>
        <v>0</v>
      </c>
      <c r="O68" s="155">
        <f ca="1">IF(ISNUMBER(MATCH(DATEVALUE($A68),'changes1_based on steps'!O$1:O$400,0)),O$2,)</f>
        <v>0</v>
      </c>
      <c r="P68" s="155">
        <f ca="1">IF(ISNUMBER(MATCH(DATEVALUE($A68),'changes1_based on steps'!P$1:P$400,0)),P$2,)</f>
        <v>0</v>
      </c>
      <c r="Q68" s="155">
        <f ca="1">IF(ISNUMBER(MATCH(DATEVALUE($A68),'changes1_based on steps'!Q$1:Q$400,0)),Q$2,)</f>
        <v>0</v>
      </c>
      <c r="R68" s="155">
        <f ca="1">IF(ISNUMBER(MATCH(DATEVALUE($A68),'changes1_based on steps'!R$1:R$400,0)),R$2,)</f>
        <v>0</v>
      </c>
      <c r="S68" s="155">
        <f ca="1">IF(ISNUMBER(MATCH(DATEVALUE($A68),'changes1_based on steps'!S$1:S$400,0)),S$2,)</f>
        <v>0</v>
      </c>
      <c r="T68" s="155">
        <f ca="1">IF(ISNUMBER(MATCH(DATEVALUE($A68),'changes1_based on steps'!T$1:T$400,0)),T$2,)</f>
        <v>0</v>
      </c>
      <c r="U68" s="155">
        <f ca="1">IF(ISNUMBER(MATCH(DATEVALUE($A68),'changes1_based on steps'!U$1:U$400,0)),U$2,)</f>
        <v>0</v>
      </c>
    </row>
    <row r="69" spans="1:21" x14ac:dyDescent="0.2">
      <c r="A69" s="18" t="str">
        <f t="shared" ref="A69:A132" ca="1" si="1">TEXT(DATEVALUE(A68)+1,"yyyy-mm-dd")</f>
        <v>2025-04-08</v>
      </c>
      <c r="B69" s="155">
        <f ca="1">IF(ISNUMBER(MATCH(DATEVALUE($A69),'changes1_based on steps'!B$1:B$400,0)),B$2,)</f>
        <v>0</v>
      </c>
      <c r="C69" s="155">
        <f ca="1">IF(ISNUMBER(MATCH(DATEVALUE($A69),'changes1_based on steps'!C$1:C$400,0)),C$2,)</f>
        <v>0</v>
      </c>
      <c r="D69" s="155">
        <f ca="1">IF(ISNUMBER(MATCH(DATEVALUE($A69),'changes1_based on steps'!D$1:D$400,0)),D$2,)</f>
        <v>0</v>
      </c>
      <c r="E69" s="155">
        <f ca="1">IF(ISNUMBER(MATCH(DATEVALUE($A69),'changes1_based on steps'!E$1:E$400,0)),E$2,)</f>
        <v>0</v>
      </c>
      <c r="F69" s="155">
        <f ca="1">IF(ISNUMBER(MATCH(DATEVALUE($A69),'changes1_based on steps'!F$1:F$400,0)),F$2,)</f>
        <v>0</v>
      </c>
      <c r="G69" s="155">
        <f ca="1">IF(ISNUMBER(MATCH(DATEVALUE($A69),'changes1_based on steps'!G$1:G$400,0)),G$2,)</f>
        <v>0</v>
      </c>
      <c r="H69" s="155">
        <f ca="1">IF(ISNUMBER(MATCH(DATEVALUE($A69),'changes1_based on steps'!H$1:H$400,0)),H$2,)</f>
        <v>0</v>
      </c>
      <c r="I69" s="155">
        <f ca="1">IF(ISNUMBER(MATCH(DATEVALUE($A69),'changes1_based on steps'!I$1:I$400,0)),I$2,)</f>
        <v>0</v>
      </c>
      <c r="J69" s="155">
        <f ca="1">IF(ISNUMBER(MATCH(DATEVALUE($A69),'changes1_based on steps'!J$1:J$400,0)),J$2,)</f>
        <v>0</v>
      </c>
      <c r="K69" s="155">
        <f ca="1">IF(ISNUMBER(MATCH(DATEVALUE($A69),'changes1_based on steps'!K$1:K$400,0)),K$2,)</f>
        <v>0</v>
      </c>
      <c r="L69" s="155">
        <f ca="1">IF(ISNUMBER(MATCH(DATEVALUE($A69),'changes1_based on steps'!L$1:L$400,0)),L$2,)</f>
        <v>0</v>
      </c>
      <c r="M69" s="155">
        <f ca="1">IF(ISNUMBER(MATCH(DATEVALUE($A69),'changes1_based on steps'!M$1:M$400,0)),M$2,)</f>
        <v>0</v>
      </c>
      <c r="N69" s="155">
        <f ca="1">IF(ISNUMBER(MATCH(DATEVALUE($A69),'changes1_based on steps'!N$1:N$400,0)),N$2,)</f>
        <v>0</v>
      </c>
      <c r="O69" s="155">
        <f ca="1">IF(ISNUMBER(MATCH(DATEVALUE($A69),'changes1_based on steps'!O$1:O$400,0)),O$2,)</f>
        <v>0</v>
      </c>
      <c r="P69" s="155">
        <f ca="1">IF(ISNUMBER(MATCH(DATEVALUE($A69),'changes1_based on steps'!P$1:P$400,0)),P$2,)</f>
        <v>0</v>
      </c>
      <c r="Q69" s="155">
        <f ca="1">IF(ISNUMBER(MATCH(DATEVALUE($A69),'changes1_based on steps'!Q$1:Q$400,0)),Q$2,)</f>
        <v>0</v>
      </c>
      <c r="R69" s="155">
        <f ca="1">IF(ISNUMBER(MATCH(DATEVALUE($A69),'changes1_based on steps'!R$1:R$400,0)),R$2,)</f>
        <v>0</v>
      </c>
      <c r="S69" s="155">
        <f ca="1">IF(ISNUMBER(MATCH(DATEVALUE($A69),'changes1_based on steps'!S$1:S$400,0)),S$2,)</f>
        <v>0</v>
      </c>
      <c r="T69" s="155">
        <f ca="1">IF(ISNUMBER(MATCH(DATEVALUE($A69),'changes1_based on steps'!T$1:T$400,0)),T$2,)</f>
        <v>0</v>
      </c>
      <c r="U69" s="155">
        <f ca="1">IF(ISNUMBER(MATCH(DATEVALUE($A69),'changes1_based on steps'!U$1:U$400,0)),U$2,)</f>
        <v>0</v>
      </c>
    </row>
    <row r="70" spans="1:21" x14ac:dyDescent="0.2">
      <c r="A70" s="18" t="str">
        <f t="shared" ca="1" si="1"/>
        <v>2025-04-09</v>
      </c>
      <c r="B70" s="155">
        <f ca="1">IF(ISNUMBER(MATCH(DATEVALUE($A70),'changes1_based on steps'!B$1:B$400,0)),B$2,)</f>
        <v>100</v>
      </c>
      <c r="C70" s="155">
        <f ca="1">IF(ISNUMBER(MATCH(DATEVALUE($A70),'changes1_based on steps'!C$1:C$400,0)),C$2,)</f>
        <v>0</v>
      </c>
      <c r="D70" s="155">
        <f ca="1">IF(ISNUMBER(MATCH(DATEVALUE($A70),'changes1_based on steps'!D$1:D$400,0)),D$2,)</f>
        <v>0</v>
      </c>
      <c r="E70" s="155">
        <f ca="1">IF(ISNUMBER(MATCH(DATEVALUE($A70),'changes1_based on steps'!E$1:E$400,0)),E$2,)</f>
        <v>0</v>
      </c>
      <c r="F70" s="155">
        <f ca="1">IF(ISNUMBER(MATCH(DATEVALUE($A70),'changes1_based on steps'!F$1:F$400,0)),F$2,)</f>
        <v>0</v>
      </c>
      <c r="G70" s="155">
        <f ca="1">IF(ISNUMBER(MATCH(DATEVALUE($A70),'changes1_based on steps'!G$1:G$400,0)),G$2,)</f>
        <v>0</v>
      </c>
      <c r="H70" s="155">
        <f ca="1">IF(ISNUMBER(MATCH(DATEVALUE($A70),'changes1_based on steps'!H$1:H$400,0)),H$2,)</f>
        <v>0</v>
      </c>
      <c r="I70" s="155">
        <f ca="1">IF(ISNUMBER(MATCH(DATEVALUE($A70),'changes1_based on steps'!I$1:I$400,0)),I$2,)</f>
        <v>0</v>
      </c>
      <c r="J70" s="155">
        <f ca="1">IF(ISNUMBER(MATCH(DATEVALUE($A70),'changes1_based on steps'!J$1:J$400,0)),J$2,)</f>
        <v>0</v>
      </c>
      <c r="K70" s="155">
        <f ca="1">IF(ISNUMBER(MATCH(DATEVALUE($A70),'changes1_based on steps'!K$1:K$400,0)),K$2,)</f>
        <v>0</v>
      </c>
      <c r="L70" s="155">
        <f ca="1">IF(ISNUMBER(MATCH(DATEVALUE($A70),'changes1_based on steps'!L$1:L$400,0)),L$2,)</f>
        <v>0</v>
      </c>
      <c r="M70" s="155">
        <f ca="1">IF(ISNUMBER(MATCH(DATEVALUE($A70),'changes1_based on steps'!M$1:M$400,0)),M$2,)</f>
        <v>0</v>
      </c>
      <c r="N70" s="155">
        <f ca="1">IF(ISNUMBER(MATCH(DATEVALUE($A70),'changes1_based on steps'!N$1:N$400,0)),N$2,)</f>
        <v>0</v>
      </c>
      <c r="O70" s="155">
        <f ca="1">IF(ISNUMBER(MATCH(DATEVALUE($A70),'changes1_based on steps'!O$1:O$400,0)),O$2,)</f>
        <v>0</v>
      </c>
      <c r="P70" s="155">
        <f ca="1">IF(ISNUMBER(MATCH(DATEVALUE($A70),'changes1_based on steps'!P$1:P$400,0)),P$2,)</f>
        <v>0</v>
      </c>
      <c r="Q70" s="155">
        <f ca="1">IF(ISNUMBER(MATCH(DATEVALUE($A70),'changes1_based on steps'!Q$1:Q$400,0)),Q$2,)</f>
        <v>0</v>
      </c>
      <c r="R70" s="155">
        <f ca="1">IF(ISNUMBER(MATCH(DATEVALUE($A70),'changes1_based on steps'!R$1:R$400,0)),R$2,)</f>
        <v>0</v>
      </c>
      <c r="S70" s="155">
        <f ca="1">IF(ISNUMBER(MATCH(DATEVALUE($A70),'changes1_based on steps'!S$1:S$400,0)),S$2,)</f>
        <v>0</v>
      </c>
      <c r="T70" s="155">
        <f ca="1">IF(ISNUMBER(MATCH(DATEVALUE($A70),'changes1_based on steps'!T$1:T$400,0)),T$2,)</f>
        <v>0</v>
      </c>
      <c r="U70" s="155">
        <f ca="1">IF(ISNUMBER(MATCH(DATEVALUE($A70),'changes1_based on steps'!U$1:U$400,0)),U$2,)</f>
        <v>0</v>
      </c>
    </row>
    <row r="71" spans="1:21" x14ac:dyDescent="0.2">
      <c r="A71" s="18" t="str">
        <f t="shared" ca="1" si="1"/>
        <v>2025-04-10</v>
      </c>
      <c r="B71" s="155">
        <f ca="1">IF(ISNUMBER(MATCH(DATEVALUE($A71),'changes1_based on steps'!B$1:B$400,0)),B$2,)</f>
        <v>0</v>
      </c>
      <c r="C71" s="155">
        <f ca="1">IF(ISNUMBER(MATCH(DATEVALUE($A71),'changes1_based on steps'!C$1:C$400,0)),C$2,)</f>
        <v>0</v>
      </c>
      <c r="D71" s="155">
        <f ca="1">IF(ISNUMBER(MATCH(DATEVALUE($A71),'changes1_based on steps'!D$1:D$400,0)),D$2,)</f>
        <v>0</v>
      </c>
      <c r="E71" s="155">
        <f ca="1">IF(ISNUMBER(MATCH(DATEVALUE($A71),'changes1_based on steps'!E$1:E$400,0)),E$2,)</f>
        <v>0</v>
      </c>
      <c r="F71" s="155">
        <f ca="1">IF(ISNUMBER(MATCH(DATEVALUE($A71),'changes1_based on steps'!F$1:F$400,0)),F$2,)</f>
        <v>0</v>
      </c>
      <c r="G71" s="155">
        <f ca="1">IF(ISNUMBER(MATCH(DATEVALUE($A71),'changes1_based on steps'!G$1:G$400,0)),G$2,)</f>
        <v>0</v>
      </c>
      <c r="H71" s="155">
        <f ca="1">IF(ISNUMBER(MATCH(DATEVALUE($A71),'changes1_based on steps'!H$1:H$400,0)),H$2,)</f>
        <v>0</v>
      </c>
      <c r="I71" s="155">
        <f ca="1">IF(ISNUMBER(MATCH(DATEVALUE($A71),'changes1_based on steps'!I$1:I$400,0)),I$2,)</f>
        <v>0</v>
      </c>
      <c r="J71" s="155">
        <f ca="1">IF(ISNUMBER(MATCH(DATEVALUE($A71),'changes1_based on steps'!J$1:J$400,0)),J$2,)</f>
        <v>0</v>
      </c>
      <c r="K71" s="155">
        <f ca="1">IF(ISNUMBER(MATCH(DATEVALUE($A71),'changes1_based on steps'!K$1:K$400,0)),K$2,)</f>
        <v>0</v>
      </c>
      <c r="L71" s="155">
        <f ca="1">IF(ISNUMBER(MATCH(DATEVALUE($A71),'changes1_based on steps'!L$1:L$400,0)),L$2,)</f>
        <v>0</v>
      </c>
      <c r="M71" s="155">
        <f ca="1">IF(ISNUMBER(MATCH(DATEVALUE($A71),'changes1_based on steps'!M$1:M$400,0)),M$2,)</f>
        <v>0</v>
      </c>
      <c r="N71" s="155">
        <f ca="1">IF(ISNUMBER(MATCH(DATEVALUE($A71),'changes1_based on steps'!N$1:N$400,0)),N$2,)</f>
        <v>0</v>
      </c>
      <c r="O71" s="155">
        <f ca="1">IF(ISNUMBER(MATCH(DATEVALUE($A71),'changes1_based on steps'!O$1:O$400,0)),O$2,)</f>
        <v>0</v>
      </c>
      <c r="P71" s="155">
        <f ca="1">IF(ISNUMBER(MATCH(DATEVALUE($A71),'changes1_based on steps'!P$1:P$400,0)),P$2,)</f>
        <v>0</v>
      </c>
      <c r="Q71" s="155">
        <f ca="1">IF(ISNUMBER(MATCH(DATEVALUE($A71),'changes1_based on steps'!Q$1:Q$400,0)),Q$2,)</f>
        <v>0</v>
      </c>
      <c r="R71" s="155">
        <f ca="1">IF(ISNUMBER(MATCH(DATEVALUE($A71),'changes1_based on steps'!R$1:R$400,0)),R$2,)</f>
        <v>0</v>
      </c>
      <c r="S71" s="155">
        <f ca="1">IF(ISNUMBER(MATCH(DATEVALUE($A71),'changes1_based on steps'!S$1:S$400,0)),S$2,)</f>
        <v>0</v>
      </c>
      <c r="T71" s="155">
        <f ca="1">IF(ISNUMBER(MATCH(DATEVALUE($A71),'changes1_based on steps'!T$1:T$400,0)),T$2,)</f>
        <v>0</v>
      </c>
      <c r="U71" s="155">
        <f ca="1">IF(ISNUMBER(MATCH(DATEVALUE($A71),'changes1_based on steps'!U$1:U$400,0)),U$2,)</f>
        <v>0</v>
      </c>
    </row>
    <row r="72" spans="1:21" x14ac:dyDescent="0.2">
      <c r="A72" s="18" t="str">
        <f t="shared" ca="1" si="1"/>
        <v>2025-04-11</v>
      </c>
      <c r="B72" s="155">
        <f ca="1">IF(ISNUMBER(MATCH(DATEVALUE($A72),'changes1_based on steps'!B$1:B$400,0)),B$2,)</f>
        <v>0</v>
      </c>
      <c r="C72" s="155">
        <f ca="1">IF(ISNUMBER(MATCH(DATEVALUE($A72),'changes1_based on steps'!C$1:C$400,0)),C$2,)</f>
        <v>0</v>
      </c>
      <c r="D72" s="155">
        <f ca="1">IF(ISNUMBER(MATCH(DATEVALUE($A72),'changes1_based on steps'!D$1:D$400,0)),D$2,)</f>
        <v>0</v>
      </c>
      <c r="E72" s="155">
        <f ca="1">IF(ISNUMBER(MATCH(DATEVALUE($A72),'changes1_based on steps'!E$1:E$400,0)),E$2,)</f>
        <v>0</v>
      </c>
      <c r="F72" s="155">
        <f ca="1">IF(ISNUMBER(MATCH(DATEVALUE($A72),'changes1_based on steps'!F$1:F$400,0)),F$2,)</f>
        <v>0</v>
      </c>
      <c r="G72" s="155">
        <f ca="1">IF(ISNUMBER(MATCH(DATEVALUE($A72),'changes1_based on steps'!G$1:G$400,0)),G$2,)</f>
        <v>0</v>
      </c>
      <c r="H72" s="155">
        <f ca="1">IF(ISNUMBER(MATCH(DATEVALUE($A72),'changes1_based on steps'!H$1:H$400,0)),H$2,)</f>
        <v>0</v>
      </c>
      <c r="I72" s="155">
        <f ca="1">IF(ISNUMBER(MATCH(DATEVALUE($A72),'changes1_based on steps'!I$1:I$400,0)),I$2,)</f>
        <v>0</v>
      </c>
      <c r="J72" s="155">
        <f ca="1">IF(ISNUMBER(MATCH(DATEVALUE($A72),'changes1_based on steps'!J$1:J$400,0)),J$2,)</f>
        <v>0</v>
      </c>
      <c r="K72" s="155">
        <f ca="1">IF(ISNUMBER(MATCH(DATEVALUE($A72),'changes1_based on steps'!K$1:K$400,0)),K$2,)</f>
        <v>0</v>
      </c>
      <c r="L72" s="155">
        <f ca="1">IF(ISNUMBER(MATCH(DATEVALUE($A72),'changes1_based on steps'!L$1:L$400,0)),L$2,)</f>
        <v>0</v>
      </c>
      <c r="M72" s="155">
        <f ca="1">IF(ISNUMBER(MATCH(DATEVALUE($A72),'changes1_based on steps'!M$1:M$400,0)),M$2,)</f>
        <v>0</v>
      </c>
      <c r="N72" s="155">
        <f ca="1">IF(ISNUMBER(MATCH(DATEVALUE($A72),'changes1_based on steps'!N$1:N$400,0)),N$2,)</f>
        <v>0</v>
      </c>
      <c r="O72" s="155">
        <f ca="1">IF(ISNUMBER(MATCH(DATEVALUE($A72),'changes1_based on steps'!O$1:O$400,0)),O$2,)</f>
        <v>0</v>
      </c>
      <c r="P72" s="155">
        <f ca="1">IF(ISNUMBER(MATCH(DATEVALUE($A72),'changes1_based on steps'!P$1:P$400,0)),P$2,)</f>
        <v>0</v>
      </c>
      <c r="Q72" s="155">
        <f ca="1">IF(ISNUMBER(MATCH(DATEVALUE($A72),'changes1_based on steps'!Q$1:Q$400,0)),Q$2,)</f>
        <v>0</v>
      </c>
      <c r="R72" s="155">
        <f ca="1">IF(ISNUMBER(MATCH(DATEVALUE($A72),'changes1_based on steps'!R$1:R$400,0)),R$2,)</f>
        <v>0</v>
      </c>
      <c r="S72" s="155">
        <f ca="1">IF(ISNUMBER(MATCH(DATEVALUE($A72),'changes1_based on steps'!S$1:S$400,0)),S$2,)</f>
        <v>0</v>
      </c>
      <c r="T72" s="155">
        <f ca="1">IF(ISNUMBER(MATCH(DATEVALUE($A72),'changes1_based on steps'!T$1:T$400,0)),T$2,)</f>
        <v>0</v>
      </c>
      <c r="U72" s="155">
        <f ca="1">IF(ISNUMBER(MATCH(DATEVALUE($A72),'changes1_based on steps'!U$1:U$400,0)),U$2,)</f>
        <v>0</v>
      </c>
    </row>
    <row r="73" spans="1:21" x14ac:dyDescent="0.2">
      <c r="A73" s="18" t="str">
        <f t="shared" ca="1" si="1"/>
        <v>2025-04-12</v>
      </c>
      <c r="B73" s="155">
        <f ca="1">IF(ISNUMBER(MATCH(DATEVALUE($A73),'changes1_based on steps'!B$1:B$400,0)),B$2,)</f>
        <v>0</v>
      </c>
      <c r="C73" s="155">
        <f ca="1">IF(ISNUMBER(MATCH(DATEVALUE($A73),'changes1_based on steps'!C$1:C$400,0)),C$2,)</f>
        <v>0</v>
      </c>
      <c r="D73" s="155">
        <f ca="1">IF(ISNUMBER(MATCH(DATEVALUE($A73),'changes1_based on steps'!D$1:D$400,0)),D$2,)</f>
        <v>0</v>
      </c>
      <c r="E73" s="155">
        <f ca="1">IF(ISNUMBER(MATCH(DATEVALUE($A73),'changes1_based on steps'!E$1:E$400,0)),E$2,)</f>
        <v>0</v>
      </c>
      <c r="F73" s="155">
        <f ca="1">IF(ISNUMBER(MATCH(DATEVALUE($A73),'changes1_based on steps'!F$1:F$400,0)),F$2,)</f>
        <v>0</v>
      </c>
      <c r="G73" s="155">
        <f ca="1">IF(ISNUMBER(MATCH(DATEVALUE($A73),'changes1_based on steps'!G$1:G$400,0)),G$2,)</f>
        <v>0</v>
      </c>
      <c r="H73" s="155">
        <f ca="1">IF(ISNUMBER(MATCH(DATEVALUE($A73),'changes1_based on steps'!H$1:H$400,0)),H$2,)</f>
        <v>0</v>
      </c>
      <c r="I73" s="155">
        <f ca="1">IF(ISNUMBER(MATCH(DATEVALUE($A73),'changes1_based on steps'!I$1:I$400,0)),I$2,)</f>
        <v>0</v>
      </c>
      <c r="J73" s="155">
        <f ca="1">IF(ISNUMBER(MATCH(DATEVALUE($A73),'changes1_based on steps'!J$1:J$400,0)),J$2,)</f>
        <v>0</v>
      </c>
      <c r="K73" s="155">
        <f ca="1">IF(ISNUMBER(MATCH(DATEVALUE($A73),'changes1_based on steps'!K$1:K$400,0)),K$2,)</f>
        <v>0</v>
      </c>
      <c r="L73" s="155">
        <f ca="1">IF(ISNUMBER(MATCH(DATEVALUE($A73),'changes1_based on steps'!L$1:L$400,0)),L$2,)</f>
        <v>0</v>
      </c>
      <c r="M73" s="155">
        <f ca="1">IF(ISNUMBER(MATCH(DATEVALUE($A73),'changes1_based on steps'!M$1:M$400,0)),M$2,)</f>
        <v>0</v>
      </c>
      <c r="N73" s="155">
        <f ca="1">IF(ISNUMBER(MATCH(DATEVALUE($A73),'changes1_based on steps'!N$1:N$400,0)),N$2,)</f>
        <v>0</v>
      </c>
      <c r="O73" s="155">
        <f ca="1">IF(ISNUMBER(MATCH(DATEVALUE($A73),'changes1_based on steps'!O$1:O$400,0)),O$2,)</f>
        <v>0</v>
      </c>
      <c r="P73" s="155">
        <f ca="1">IF(ISNUMBER(MATCH(DATEVALUE($A73),'changes1_based on steps'!P$1:P$400,0)),P$2,)</f>
        <v>0</v>
      </c>
      <c r="Q73" s="155">
        <f ca="1">IF(ISNUMBER(MATCH(DATEVALUE($A73),'changes1_based on steps'!Q$1:Q$400,0)),Q$2,)</f>
        <v>0</v>
      </c>
      <c r="R73" s="155">
        <f ca="1">IF(ISNUMBER(MATCH(DATEVALUE($A73),'changes1_based on steps'!R$1:R$400,0)),R$2,)</f>
        <v>0</v>
      </c>
      <c r="S73" s="155">
        <f ca="1">IF(ISNUMBER(MATCH(DATEVALUE($A73),'changes1_based on steps'!S$1:S$400,0)),S$2,)</f>
        <v>0</v>
      </c>
      <c r="T73" s="155">
        <f ca="1">IF(ISNUMBER(MATCH(DATEVALUE($A73),'changes1_based on steps'!T$1:T$400,0)),T$2,)</f>
        <v>0</v>
      </c>
      <c r="U73" s="155">
        <f ca="1">IF(ISNUMBER(MATCH(DATEVALUE($A73),'changes1_based on steps'!U$1:U$400,0)),U$2,)</f>
        <v>0</v>
      </c>
    </row>
    <row r="74" spans="1:21" x14ac:dyDescent="0.2">
      <c r="A74" s="18" t="str">
        <f t="shared" ca="1" si="1"/>
        <v>2025-04-13</v>
      </c>
      <c r="B74" s="155">
        <f ca="1">IF(ISNUMBER(MATCH(DATEVALUE($A74),'changes1_based on steps'!B$1:B$400,0)),B$2,)</f>
        <v>0</v>
      </c>
      <c r="C74" s="155">
        <f ca="1">IF(ISNUMBER(MATCH(DATEVALUE($A74),'changes1_based on steps'!C$1:C$400,0)),C$2,)</f>
        <v>0</v>
      </c>
      <c r="D74" s="155">
        <f ca="1">IF(ISNUMBER(MATCH(DATEVALUE($A74),'changes1_based on steps'!D$1:D$400,0)),D$2,)</f>
        <v>0</v>
      </c>
      <c r="E74" s="155">
        <f ca="1">IF(ISNUMBER(MATCH(DATEVALUE($A74),'changes1_based on steps'!E$1:E$400,0)),E$2,)</f>
        <v>0</v>
      </c>
      <c r="F74" s="155">
        <f ca="1">IF(ISNUMBER(MATCH(DATEVALUE($A74),'changes1_based on steps'!F$1:F$400,0)),F$2,)</f>
        <v>0</v>
      </c>
      <c r="G74" s="155">
        <f ca="1">IF(ISNUMBER(MATCH(DATEVALUE($A74),'changes1_based on steps'!G$1:G$400,0)),G$2,)</f>
        <v>0</v>
      </c>
      <c r="H74" s="155">
        <f ca="1">IF(ISNUMBER(MATCH(DATEVALUE($A74),'changes1_based on steps'!H$1:H$400,0)),H$2,)</f>
        <v>0</v>
      </c>
      <c r="I74" s="155">
        <f ca="1">IF(ISNUMBER(MATCH(DATEVALUE($A74),'changes1_based on steps'!I$1:I$400,0)),I$2,)</f>
        <v>0</v>
      </c>
      <c r="J74" s="155">
        <f ca="1">IF(ISNUMBER(MATCH(DATEVALUE($A74),'changes1_based on steps'!J$1:J$400,0)),J$2,)</f>
        <v>0</v>
      </c>
      <c r="K74" s="155">
        <f ca="1">IF(ISNUMBER(MATCH(DATEVALUE($A74),'changes1_based on steps'!K$1:K$400,0)),K$2,)</f>
        <v>0</v>
      </c>
      <c r="L74" s="155">
        <f ca="1">IF(ISNUMBER(MATCH(DATEVALUE($A74),'changes1_based on steps'!L$1:L$400,0)),L$2,)</f>
        <v>0</v>
      </c>
      <c r="M74" s="155">
        <f ca="1">IF(ISNUMBER(MATCH(DATEVALUE($A74),'changes1_based on steps'!M$1:M$400,0)),M$2,)</f>
        <v>0</v>
      </c>
      <c r="N74" s="155">
        <f ca="1">IF(ISNUMBER(MATCH(DATEVALUE($A74),'changes1_based on steps'!N$1:N$400,0)),N$2,)</f>
        <v>0</v>
      </c>
      <c r="O74" s="155">
        <f ca="1">IF(ISNUMBER(MATCH(DATEVALUE($A74),'changes1_based on steps'!O$1:O$400,0)),O$2,)</f>
        <v>0</v>
      </c>
      <c r="P74" s="155">
        <f ca="1">IF(ISNUMBER(MATCH(DATEVALUE($A74),'changes1_based on steps'!P$1:P$400,0)),P$2,)</f>
        <v>0</v>
      </c>
      <c r="Q74" s="155">
        <f ca="1">IF(ISNUMBER(MATCH(DATEVALUE($A74),'changes1_based on steps'!Q$1:Q$400,0)),Q$2,)</f>
        <v>0</v>
      </c>
      <c r="R74" s="155">
        <f ca="1">IF(ISNUMBER(MATCH(DATEVALUE($A74),'changes1_based on steps'!R$1:R$400,0)),R$2,)</f>
        <v>0</v>
      </c>
      <c r="S74" s="155">
        <f ca="1">IF(ISNUMBER(MATCH(DATEVALUE($A74),'changes1_based on steps'!S$1:S$400,0)),S$2,)</f>
        <v>0</v>
      </c>
      <c r="T74" s="155">
        <f ca="1">IF(ISNUMBER(MATCH(DATEVALUE($A74),'changes1_based on steps'!T$1:T$400,0)),T$2,)</f>
        <v>0</v>
      </c>
      <c r="U74" s="155">
        <f ca="1">IF(ISNUMBER(MATCH(DATEVALUE($A74),'changes1_based on steps'!U$1:U$400,0)),U$2,)</f>
        <v>0</v>
      </c>
    </row>
    <row r="75" spans="1:21" x14ac:dyDescent="0.2">
      <c r="A75" s="18" t="str">
        <f t="shared" ca="1" si="1"/>
        <v>2025-04-14</v>
      </c>
      <c r="B75" s="155">
        <f ca="1">IF(ISNUMBER(MATCH(DATEVALUE($A75),'changes1_based on steps'!B$1:B$400,0)),B$2,)</f>
        <v>0</v>
      </c>
      <c r="C75" s="155">
        <f ca="1">IF(ISNUMBER(MATCH(DATEVALUE($A75),'changes1_based on steps'!C$1:C$400,0)),C$2,)</f>
        <v>0</v>
      </c>
      <c r="D75" s="155">
        <f ca="1">IF(ISNUMBER(MATCH(DATEVALUE($A75),'changes1_based on steps'!D$1:D$400,0)),D$2,)</f>
        <v>0</v>
      </c>
      <c r="E75" s="155">
        <f ca="1">IF(ISNUMBER(MATCH(DATEVALUE($A75),'changes1_based on steps'!E$1:E$400,0)),E$2,)</f>
        <v>0</v>
      </c>
      <c r="F75" s="155">
        <f ca="1">IF(ISNUMBER(MATCH(DATEVALUE($A75),'changes1_based on steps'!F$1:F$400,0)),F$2,)</f>
        <v>0</v>
      </c>
      <c r="G75" s="155">
        <f ca="1">IF(ISNUMBER(MATCH(DATEVALUE($A75),'changes1_based on steps'!G$1:G$400,0)),G$2,)</f>
        <v>0</v>
      </c>
      <c r="H75" s="155">
        <f ca="1">IF(ISNUMBER(MATCH(DATEVALUE($A75),'changes1_based on steps'!H$1:H$400,0)),H$2,)</f>
        <v>0</v>
      </c>
      <c r="I75" s="155">
        <f ca="1">IF(ISNUMBER(MATCH(DATEVALUE($A75),'changes1_based on steps'!I$1:I$400,0)),I$2,)</f>
        <v>0</v>
      </c>
      <c r="J75" s="155">
        <f ca="1">IF(ISNUMBER(MATCH(DATEVALUE($A75),'changes1_based on steps'!J$1:J$400,0)),J$2,)</f>
        <v>0</v>
      </c>
      <c r="K75" s="155">
        <f ca="1">IF(ISNUMBER(MATCH(DATEVALUE($A75),'changes1_based on steps'!K$1:K$400,0)),K$2,)</f>
        <v>0</v>
      </c>
      <c r="L75" s="155">
        <f ca="1">IF(ISNUMBER(MATCH(DATEVALUE($A75),'changes1_based on steps'!L$1:L$400,0)),L$2,)</f>
        <v>0</v>
      </c>
      <c r="M75" s="155">
        <f ca="1">IF(ISNUMBER(MATCH(DATEVALUE($A75),'changes1_based on steps'!M$1:M$400,0)),M$2,)</f>
        <v>0</v>
      </c>
      <c r="N75" s="155">
        <f ca="1">IF(ISNUMBER(MATCH(DATEVALUE($A75),'changes1_based on steps'!N$1:N$400,0)),N$2,)</f>
        <v>0</v>
      </c>
      <c r="O75" s="155">
        <f ca="1">IF(ISNUMBER(MATCH(DATEVALUE($A75),'changes1_based on steps'!O$1:O$400,0)),O$2,)</f>
        <v>0</v>
      </c>
      <c r="P75" s="155">
        <f ca="1">IF(ISNUMBER(MATCH(DATEVALUE($A75),'changes1_based on steps'!P$1:P$400,0)),P$2,)</f>
        <v>0</v>
      </c>
      <c r="Q75" s="155">
        <f ca="1">IF(ISNUMBER(MATCH(DATEVALUE($A75),'changes1_based on steps'!Q$1:Q$400,0)),Q$2,)</f>
        <v>0</v>
      </c>
      <c r="R75" s="155">
        <f ca="1">IF(ISNUMBER(MATCH(DATEVALUE($A75),'changes1_based on steps'!R$1:R$400,0)),R$2,)</f>
        <v>0</v>
      </c>
      <c r="S75" s="155">
        <f ca="1">IF(ISNUMBER(MATCH(DATEVALUE($A75),'changes1_based on steps'!S$1:S$400,0)),S$2,)</f>
        <v>0</v>
      </c>
      <c r="T75" s="155">
        <f ca="1">IF(ISNUMBER(MATCH(DATEVALUE($A75),'changes1_based on steps'!T$1:T$400,0)),T$2,)</f>
        <v>0</v>
      </c>
      <c r="U75" s="155">
        <f ca="1">IF(ISNUMBER(MATCH(DATEVALUE($A75),'changes1_based on steps'!U$1:U$400,0)),U$2,)</f>
        <v>0</v>
      </c>
    </row>
    <row r="76" spans="1:21" x14ac:dyDescent="0.2">
      <c r="A76" s="18" t="str">
        <f t="shared" ca="1" si="1"/>
        <v>2025-04-15</v>
      </c>
      <c r="B76" s="155">
        <f ca="1">IF(ISNUMBER(MATCH(DATEVALUE($A76),'changes1_based on steps'!B$1:B$400,0)),B$2,)</f>
        <v>0</v>
      </c>
      <c r="C76" s="155">
        <f ca="1">IF(ISNUMBER(MATCH(DATEVALUE($A76),'changes1_based on steps'!C$1:C$400,0)),C$2,)</f>
        <v>0</v>
      </c>
      <c r="D76" s="155">
        <f ca="1">IF(ISNUMBER(MATCH(DATEVALUE($A76),'changes1_based on steps'!D$1:D$400,0)),D$2,)</f>
        <v>0</v>
      </c>
      <c r="E76" s="155">
        <f ca="1">IF(ISNUMBER(MATCH(DATEVALUE($A76),'changes1_based on steps'!E$1:E$400,0)),E$2,)</f>
        <v>0</v>
      </c>
      <c r="F76" s="155">
        <f ca="1">IF(ISNUMBER(MATCH(DATEVALUE($A76),'changes1_based on steps'!F$1:F$400,0)),F$2,)</f>
        <v>0</v>
      </c>
      <c r="G76" s="155">
        <f ca="1">IF(ISNUMBER(MATCH(DATEVALUE($A76),'changes1_based on steps'!G$1:G$400,0)),G$2,)</f>
        <v>0</v>
      </c>
      <c r="H76" s="155">
        <f ca="1">IF(ISNUMBER(MATCH(DATEVALUE($A76),'changes1_based on steps'!H$1:H$400,0)),H$2,)</f>
        <v>0</v>
      </c>
      <c r="I76" s="155">
        <f ca="1">IF(ISNUMBER(MATCH(DATEVALUE($A76),'changes1_based on steps'!I$1:I$400,0)),I$2,)</f>
        <v>0</v>
      </c>
      <c r="J76" s="155">
        <f ca="1">IF(ISNUMBER(MATCH(DATEVALUE($A76),'changes1_based on steps'!J$1:J$400,0)),J$2,)</f>
        <v>0</v>
      </c>
      <c r="K76" s="155">
        <f ca="1">IF(ISNUMBER(MATCH(DATEVALUE($A76),'changes1_based on steps'!K$1:K$400,0)),K$2,)</f>
        <v>0</v>
      </c>
      <c r="L76" s="155">
        <f ca="1">IF(ISNUMBER(MATCH(DATEVALUE($A76),'changes1_based on steps'!L$1:L$400,0)),L$2,)</f>
        <v>0</v>
      </c>
      <c r="M76" s="155">
        <f ca="1">IF(ISNUMBER(MATCH(DATEVALUE($A76),'changes1_based on steps'!M$1:M$400,0)),M$2,)</f>
        <v>0</v>
      </c>
      <c r="N76" s="155">
        <f ca="1">IF(ISNUMBER(MATCH(DATEVALUE($A76),'changes1_based on steps'!N$1:N$400,0)),N$2,)</f>
        <v>0</v>
      </c>
      <c r="O76" s="155">
        <f ca="1">IF(ISNUMBER(MATCH(DATEVALUE($A76),'changes1_based on steps'!O$1:O$400,0)),O$2,)</f>
        <v>0</v>
      </c>
      <c r="P76" s="155">
        <f ca="1">IF(ISNUMBER(MATCH(DATEVALUE($A76),'changes1_based on steps'!P$1:P$400,0)),P$2,)</f>
        <v>0</v>
      </c>
      <c r="Q76" s="155">
        <f ca="1">IF(ISNUMBER(MATCH(DATEVALUE($A76),'changes1_based on steps'!Q$1:Q$400,0)),Q$2,)</f>
        <v>0</v>
      </c>
      <c r="R76" s="155">
        <f ca="1">IF(ISNUMBER(MATCH(DATEVALUE($A76),'changes1_based on steps'!R$1:R$400,0)),R$2,)</f>
        <v>0</v>
      </c>
      <c r="S76" s="155">
        <f ca="1">IF(ISNUMBER(MATCH(DATEVALUE($A76),'changes1_based on steps'!S$1:S$400,0)),S$2,)</f>
        <v>0</v>
      </c>
      <c r="T76" s="155">
        <f ca="1">IF(ISNUMBER(MATCH(DATEVALUE($A76),'changes1_based on steps'!T$1:T$400,0)),T$2,)</f>
        <v>0</v>
      </c>
      <c r="U76" s="155">
        <f ca="1">IF(ISNUMBER(MATCH(DATEVALUE($A76),'changes1_based on steps'!U$1:U$400,0)),U$2,)</f>
        <v>0</v>
      </c>
    </row>
    <row r="77" spans="1:21" x14ac:dyDescent="0.2">
      <c r="A77" s="18" t="str">
        <f t="shared" ca="1" si="1"/>
        <v>2025-04-16</v>
      </c>
      <c r="B77" s="155">
        <f ca="1">IF(ISNUMBER(MATCH(DATEVALUE($A77),'changes1_based on steps'!B$1:B$400,0)),B$2,)</f>
        <v>0</v>
      </c>
      <c r="C77" s="155">
        <f ca="1">IF(ISNUMBER(MATCH(DATEVALUE($A77),'changes1_based on steps'!C$1:C$400,0)),C$2,)</f>
        <v>0</v>
      </c>
      <c r="D77" s="155">
        <f ca="1">IF(ISNUMBER(MATCH(DATEVALUE($A77),'changes1_based on steps'!D$1:D$400,0)),D$2,)</f>
        <v>0</v>
      </c>
      <c r="E77" s="155">
        <f ca="1">IF(ISNUMBER(MATCH(DATEVALUE($A77),'changes1_based on steps'!E$1:E$400,0)),E$2,)</f>
        <v>0</v>
      </c>
      <c r="F77" s="155">
        <f ca="1">IF(ISNUMBER(MATCH(DATEVALUE($A77),'changes1_based on steps'!F$1:F$400,0)),F$2,)</f>
        <v>0</v>
      </c>
      <c r="G77" s="155">
        <f ca="1">IF(ISNUMBER(MATCH(DATEVALUE($A77),'changes1_based on steps'!G$1:G$400,0)),G$2,)</f>
        <v>0</v>
      </c>
      <c r="H77" s="155">
        <f ca="1">IF(ISNUMBER(MATCH(DATEVALUE($A77),'changes1_based on steps'!H$1:H$400,0)),H$2,)</f>
        <v>0</v>
      </c>
      <c r="I77" s="155">
        <f ca="1">IF(ISNUMBER(MATCH(DATEVALUE($A77),'changes1_based on steps'!I$1:I$400,0)),I$2,)</f>
        <v>0</v>
      </c>
      <c r="J77" s="155">
        <f ca="1">IF(ISNUMBER(MATCH(DATEVALUE($A77),'changes1_based on steps'!J$1:J$400,0)),J$2,)</f>
        <v>0</v>
      </c>
      <c r="K77" s="155">
        <f ca="1">IF(ISNUMBER(MATCH(DATEVALUE($A77),'changes1_based on steps'!K$1:K$400,0)),K$2,)</f>
        <v>0</v>
      </c>
      <c r="L77" s="155">
        <f ca="1">IF(ISNUMBER(MATCH(DATEVALUE($A77),'changes1_based on steps'!L$1:L$400,0)),L$2,)</f>
        <v>0</v>
      </c>
      <c r="M77" s="155">
        <f ca="1">IF(ISNUMBER(MATCH(DATEVALUE($A77),'changes1_based on steps'!M$1:M$400,0)),M$2,)</f>
        <v>0</v>
      </c>
      <c r="N77" s="155">
        <f ca="1">IF(ISNUMBER(MATCH(DATEVALUE($A77),'changes1_based on steps'!N$1:N$400,0)),N$2,)</f>
        <v>0</v>
      </c>
      <c r="O77" s="155">
        <f ca="1">IF(ISNUMBER(MATCH(DATEVALUE($A77),'changes1_based on steps'!O$1:O$400,0)),O$2,)</f>
        <v>0</v>
      </c>
      <c r="P77" s="155">
        <f ca="1">IF(ISNUMBER(MATCH(DATEVALUE($A77),'changes1_based on steps'!P$1:P$400,0)),P$2,)</f>
        <v>0</v>
      </c>
      <c r="Q77" s="155">
        <f ca="1">IF(ISNUMBER(MATCH(DATEVALUE($A77),'changes1_based on steps'!Q$1:Q$400,0)),Q$2,)</f>
        <v>0</v>
      </c>
      <c r="R77" s="155">
        <f ca="1">IF(ISNUMBER(MATCH(DATEVALUE($A77),'changes1_based on steps'!R$1:R$400,0)),R$2,)</f>
        <v>0</v>
      </c>
      <c r="S77" s="155">
        <f ca="1">IF(ISNUMBER(MATCH(DATEVALUE($A77),'changes1_based on steps'!S$1:S$400,0)),S$2,)</f>
        <v>0</v>
      </c>
      <c r="T77" s="155">
        <f ca="1">IF(ISNUMBER(MATCH(DATEVALUE($A77),'changes1_based on steps'!T$1:T$400,0)),T$2,)</f>
        <v>0</v>
      </c>
      <c r="U77" s="155">
        <f ca="1">IF(ISNUMBER(MATCH(DATEVALUE($A77),'changes1_based on steps'!U$1:U$400,0)),U$2,)</f>
        <v>0</v>
      </c>
    </row>
    <row r="78" spans="1:21" x14ac:dyDescent="0.2">
      <c r="A78" s="18" t="str">
        <f t="shared" ca="1" si="1"/>
        <v>2025-04-17</v>
      </c>
      <c r="B78" s="155">
        <f ca="1">IF(ISNUMBER(MATCH(DATEVALUE($A78),'changes1_based on steps'!B$1:B$400,0)),B$2,)</f>
        <v>0</v>
      </c>
      <c r="C78" s="155">
        <f ca="1">IF(ISNUMBER(MATCH(DATEVALUE($A78),'changes1_based on steps'!C$1:C$400,0)),C$2,)</f>
        <v>0</v>
      </c>
      <c r="D78" s="155">
        <f ca="1">IF(ISNUMBER(MATCH(DATEVALUE($A78),'changes1_based on steps'!D$1:D$400,0)),D$2,)</f>
        <v>0</v>
      </c>
      <c r="E78" s="155">
        <f ca="1">IF(ISNUMBER(MATCH(DATEVALUE($A78),'changes1_based on steps'!E$1:E$400,0)),E$2,)</f>
        <v>0</v>
      </c>
      <c r="F78" s="155">
        <f ca="1">IF(ISNUMBER(MATCH(DATEVALUE($A78),'changes1_based on steps'!F$1:F$400,0)),F$2,)</f>
        <v>0</v>
      </c>
      <c r="G78" s="155">
        <f ca="1">IF(ISNUMBER(MATCH(DATEVALUE($A78),'changes1_based on steps'!G$1:G$400,0)),G$2,)</f>
        <v>0</v>
      </c>
      <c r="H78" s="155">
        <f ca="1">IF(ISNUMBER(MATCH(DATEVALUE($A78),'changes1_based on steps'!H$1:H$400,0)),H$2,)</f>
        <v>0</v>
      </c>
      <c r="I78" s="155">
        <f ca="1">IF(ISNUMBER(MATCH(DATEVALUE($A78),'changes1_based on steps'!I$1:I$400,0)),I$2,)</f>
        <v>0</v>
      </c>
      <c r="J78" s="155">
        <f ca="1">IF(ISNUMBER(MATCH(DATEVALUE($A78),'changes1_based on steps'!J$1:J$400,0)),J$2,)</f>
        <v>0</v>
      </c>
      <c r="K78" s="155">
        <f ca="1">IF(ISNUMBER(MATCH(DATEVALUE($A78),'changes1_based on steps'!K$1:K$400,0)),K$2,)</f>
        <v>0</v>
      </c>
      <c r="L78" s="155">
        <f ca="1">IF(ISNUMBER(MATCH(DATEVALUE($A78),'changes1_based on steps'!L$1:L$400,0)),L$2,)</f>
        <v>0</v>
      </c>
      <c r="M78" s="155">
        <f ca="1">IF(ISNUMBER(MATCH(DATEVALUE($A78),'changes1_based on steps'!M$1:M$400,0)),M$2,)</f>
        <v>0</v>
      </c>
      <c r="N78" s="155">
        <f ca="1">IF(ISNUMBER(MATCH(DATEVALUE($A78),'changes1_based on steps'!N$1:N$400,0)),N$2,)</f>
        <v>0</v>
      </c>
      <c r="O78" s="155">
        <f ca="1">IF(ISNUMBER(MATCH(DATEVALUE($A78),'changes1_based on steps'!O$1:O$400,0)),O$2,)</f>
        <v>0</v>
      </c>
      <c r="P78" s="155">
        <f ca="1">IF(ISNUMBER(MATCH(DATEVALUE($A78),'changes1_based on steps'!P$1:P$400,0)),P$2,)</f>
        <v>0</v>
      </c>
      <c r="Q78" s="155">
        <f ca="1">IF(ISNUMBER(MATCH(DATEVALUE($A78),'changes1_based on steps'!Q$1:Q$400,0)),Q$2,)</f>
        <v>0</v>
      </c>
      <c r="R78" s="155">
        <f ca="1">IF(ISNUMBER(MATCH(DATEVALUE($A78),'changes1_based on steps'!R$1:R$400,0)),R$2,)</f>
        <v>0</v>
      </c>
      <c r="S78" s="155">
        <f ca="1">IF(ISNUMBER(MATCH(DATEVALUE($A78),'changes1_based on steps'!S$1:S$400,0)),S$2,)</f>
        <v>0</v>
      </c>
      <c r="T78" s="155">
        <f ca="1">IF(ISNUMBER(MATCH(DATEVALUE($A78),'changes1_based on steps'!T$1:T$400,0)),T$2,)</f>
        <v>0</v>
      </c>
      <c r="U78" s="155">
        <f ca="1">IF(ISNUMBER(MATCH(DATEVALUE($A78),'changes1_based on steps'!U$1:U$400,0)),U$2,)</f>
        <v>0</v>
      </c>
    </row>
    <row r="79" spans="1:21" x14ac:dyDescent="0.2">
      <c r="A79" s="18" t="str">
        <f t="shared" ca="1" si="1"/>
        <v>2025-04-18</v>
      </c>
      <c r="B79" s="155">
        <f ca="1">IF(ISNUMBER(MATCH(DATEVALUE($A79),'changes1_based on steps'!B$1:B$400,0)),B$2,)</f>
        <v>0</v>
      </c>
      <c r="C79" s="155">
        <f ca="1">IF(ISNUMBER(MATCH(DATEVALUE($A79),'changes1_based on steps'!C$1:C$400,0)),C$2,)</f>
        <v>0</v>
      </c>
      <c r="D79" s="155">
        <f ca="1">IF(ISNUMBER(MATCH(DATEVALUE($A79),'changes1_based on steps'!D$1:D$400,0)),D$2,)</f>
        <v>0</v>
      </c>
      <c r="E79" s="155">
        <f ca="1">IF(ISNUMBER(MATCH(DATEVALUE($A79),'changes1_based on steps'!E$1:E$400,0)),E$2,)</f>
        <v>0</v>
      </c>
      <c r="F79" s="155">
        <f ca="1">IF(ISNUMBER(MATCH(DATEVALUE($A79),'changes1_based on steps'!F$1:F$400,0)),F$2,)</f>
        <v>0</v>
      </c>
      <c r="G79" s="155">
        <f ca="1">IF(ISNUMBER(MATCH(DATEVALUE($A79),'changes1_based on steps'!G$1:G$400,0)),G$2,)</f>
        <v>0</v>
      </c>
      <c r="H79" s="155">
        <f ca="1">IF(ISNUMBER(MATCH(DATEVALUE($A79),'changes1_based on steps'!H$1:H$400,0)),H$2,)</f>
        <v>0</v>
      </c>
      <c r="I79" s="155">
        <f ca="1">IF(ISNUMBER(MATCH(DATEVALUE($A79),'changes1_based on steps'!I$1:I$400,0)),I$2,)</f>
        <v>0</v>
      </c>
      <c r="J79" s="155">
        <f ca="1">IF(ISNUMBER(MATCH(DATEVALUE($A79),'changes1_based on steps'!J$1:J$400,0)),J$2,)</f>
        <v>0</v>
      </c>
      <c r="K79" s="155">
        <f ca="1">IF(ISNUMBER(MATCH(DATEVALUE($A79),'changes1_based on steps'!K$1:K$400,0)),K$2,)</f>
        <v>0</v>
      </c>
      <c r="L79" s="155">
        <f ca="1">IF(ISNUMBER(MATCH(DATEVALUE($A79),'changes1_based on steps'!L$1:L$400,0)),L$2,)</f>
        <v>0</v>
      </c>
      <c r="M79" s="155">
        <f ca="1">IF(ISNUMBER(MATCH(DATEVALUE($A79),'changes1_based on steps'!M$1:M$400,0)),M$2,)</f>
        <v>0</v>
      </c>
      <c r="N79" s="155">
        <f ca="1">IF(ISNUMBER(MATCH(DATEVALUE($A79),'changes1_based on steps'!N$1:N$400,0)),N$2,)</f>
        <v>0</v>
      </c>
      <c r="O79" s="155">
        <f ca="1">IF(ISNUMBER(MATCH(DATEVALUE($A79),'changes1_based on steps'!O$1:O$400,0)),O$2,)</f>
        <v>0</v>
      </c>
      <c r="P79" s="155">
        <f ca="1">IF(ISNUMBER(MATCH(DATEVALUE($A79),'changes1_based on steps'!P$1:P$400,0)),P$2,)</f>
        <v>0</v>
      </c>
      <c r="Q79" s="155">
        <f ca="1">IF(ISNUMBER(MATCH(DATEVALUE($A79),'changes1_based on steps'!Q$1:Q$400,0)),Q$2,)</f>
        <v>0</v>
      </c>
      <c r="R79" s="155">
        <f ca="1">IF(ISNUMBER(MATCH(DATEVALUE($A79),'changes1_based on steps'!R$1:R$400,0)),R$2,)</f>
        <v>0</v>
      </c>
      <c r="S79" s="155">
        <f ca="1">IF(ISNUMBER(MATCH(DATEVALUE($A79),'changes1_based on steps'!S$1:S$400,0)),S$2,)</f>
        <v>0</v>
      </c>
      <c r="T79" s="155">
        <f ca="1">IF(ISNUMBER(MATCH(DATEVALUE($A79),'changes1_based on steps'!T$1:T$400,0)),T$2,)</f>
        <v>0</v>
      </c>
      <c r="U79" s="155">
        <f ca="1">IF(ISNUMBER(MATCH(DATEVALUE($A79),'changes1_based on steps'!U$1:U$400,0)),U$2,)</f>
        <v>0</v>
      </c>
    </row>
    <row r="80" spans="1:21" x14ac:dyDescent="0.2">
      <c r="A80" s="18" t="str">
        <f t="shared" ca="1" si="1"/>
        <v>2025-04-19</v>
      </c>
      <c r="B80" s="155">
        <f ca="1">IF(ISNUMBER(MATCH(DATEVALUE($A80),'changes1_based on steps'!B$1:B$400,0)),B$2,)</f>
        <v>0</v>
      </c>
      <c r="C80" s="155">
        <f ca="1">IF(ISNUMBER(MATCH(DATEVALUE($A80),'changes1_based on steps'!C$1:C$400,0)),C$2,)</f>
        <v>0</v>
      </c>
      <c r="D80" s="155">
        <f ca="1">IF(ISNUMBER(MATCH(DATEVALUE($A80),'changes1_based on steps'!D$1:D$400,0)),D$2,)</f>
        <v>0</v>
      </c>
      <c r="E80" s="155">
        <f ca="1">IF(ISNUMBER(MATCH(DATEVALUE($A80),'changes1_based on steps'!E$1:E$400,0)),E$2,)</f>
        <v>0</v>
      </c>
      <c r="F80" s="155">
        <f ca="1">IF(ISNUMBER(MATCH(DATEVALUE($A80),'changes1_based on steps'!F$1:F$400,0)),F$2,)</f>
        <v>0</v>
      </c>
      <c r="G80" s="155">
        <f ca="1">IF(ISNUMBER(MATCH(DATEVALUE($A80),'changes1_based on steps'!G$1:G$400,0)),G$2,)</f>
        <v>0</v>
      </c>
      <c r="H80" s="155">
        <f ca="1">IF(ISNUMBER(MATCH(DATEVALUE($A80),'changes1_based on steps'!H$1:H$400,0)),H$2,)</f>
        <v>0</v>
      </c>
      <c r="I80" s="155">
        <f ca="1">IF(ISNUMBER(MATCH(DATEVALUE($A80),'changes1_based on steps'!I$1:I$400,0)),I$2,)</f>
        <v>0</v>
      </c>
      <c r="J80" s="155">
        <f ca="1">IF(ISNUMBER(MATCH(DATEVALUE($A80),'changes1_based on steps'!J$1:J$400,0)),J$2,)</f>
        <v>0</v>
      </c>
      <c r="K80" s="155">
        <f ca="1">IF(ISNUMBER(MATCH(DATEVALUE($A80),'changes1_based on steps'!K$1:K$400,0)),K$2,)</f>
        <v>0</v>
      </c>
      <c r="L80" s="155">
        <f ca="1">IF(ISNUMBER(MATCH(DATEVALUE($A80),'changes1_based on steps'!L$1:L$400,0)),L$2,)</f>
        <v>0</v>
      </c>
      <c r="M80" s="155">
        <f ca="1">IF(ISNUMBER(MATCH(DATEVALUE($A80),'changes1_based on steps'!M$1:M$400,0)),M$2,)</f>
        <v>0</v>
      </c>
      <c r="N80" s="155">
        <f ca="1">IF(ISNUMBER(MATCH(DATEVALUE($A80),'changes1_based on steps'!N$1:N$400,0)),N$2,)</f>
        <v>0</v>
      </c>
      <c r="O80" s="155">
        <f ca="1">IF(ISNUMBER(MATCH(DATEVALUE($A80),'changes1_based on steps'!O$1:O$400,0)),O$2,)</f>
        <v>0</v>
      </c>
      <c r="P80" s="155">
        <f ca="1">IF(ISNUMBER(MATCH(DATEVALUE($A80),'changes1_based on steps'!P$1:P$400,0)),P$2,)</f>
        <v>0</v>
      </c>
      <c r="Q80" s="155">
        <f ca="1">IF(ISNUMBER(MATCH(DATEVALUE($A80),'changes1_based on steps'!Q$1:Q$400,0)),Q$2,)</f>
        <v>0</v>
      </c>
      <c r="R80" s="155">
        <f ca="1">IF(ISNUMBER(MATCH(DATEVALUE($A80),'changes1_based on steps'!R$1:R$400,0)),R$2,)</f>
        <v>0</v>
      </c>
      <c r="S80" s="155">
        <f ca="1">IF(ISNUMBER(MATCH(DATEVALUE($A80),'changes1_based on steps'!S$1:S$400,0)),S$2,)</f>
        <v>0</v>
      </c>
      <c r="T80" s="155">
        <f ca="1">IF(ISNUMBER(MATCH(DATEVALUE($A80),'changes1_based on steps'!T$1:T$400,0)),T$2,)</f>
        <v>0</v>
      </c>
      <c r="U80" s="155">
        <f ca="1">IF(ISNUMBER(MATCH(DATEVALUE($A80),'changes1_based on steps'!U$1:U$400,0)),U$2,)</f>
        <v>0</v>
      </c>
    </row>
    <row r="81" spans="1:21" x14ac:dyDescent="0.2">
      <c r="A81" s="18" t="str">
        <f t="shared" ca="1" si="1"/>
        <v>2025-04-20</v>
      </c>
      <c r="B81" s="155">
        <f ca="1">IF(ISNUMBER(MATCH(DATEVALUE($A81),'changes1_based on steps'!B$1:B$400,0)),B$2,)</f>
        <v>0</v>
      </c>
      <c r="C81" s="155">
        <f ca="1">IF(ISNUMBER(MATCH(DATEVALUE($A81),'changes1_based on steps'!C$1:C$400,0)),C$2,)</f>
        <v>0</v>
      </c>
      <c r="D81" s="155">
        <f ca="1">IF(ISNUMBER(MATCH(DATEVALUE($A81),'changes1_based on steps'!D$1:D$400,0)),D$2,)</f>
        <v>0</v>
      </c>
      <c r="E81" s="155">
        <f ca="1">IF(ISNUMBER(MATCH(DATEVALUE($A81),'changes1_based on steps'!E$1:E$400,0)),E$2,)</f>
        <v>0</v>
      </c>
      <c r="F81" s="155">
        <f ca="1">IF(ISNUMBER(MATCH(DATEVALUE($A81),'changes1_based on steps'!F$1:F$400,0)),F$2,)</f>
        <v>0</v>
      </c>
      <c r="G81" s="155">
        <f ca="1">IF(ISNUMBER(MATCH(DATEVALUE($A81),'changes1_based on steps'!G$1:G$400,0)),G$2,)</f>
        <v>0</v>
      </c>
      <c r="H81" s="155">
        <f ca="1">IF(ISNUMBER(MATCH(DATEVALUE($A81),'changes1_based on steps'!H$1:H$400,0)),H$2,)</f>
        <v>0</v>
      </c>
      <c r="I81" s="155">
        <f ca="1">IF(ISNUMBER(MATCH(DATEVALUE($A81),'changes1_based on steps'!I$1:I$400,0)),I$2,)</f>
        <v>0</v>
      </c>
      <c r="J81" s="155">
        <f ca="1">IF(ISNUMBER(MATCH(DATEVALUE($A81),'changes1_based on steps'!J$1:J$400,0)),J$2,)</f>
        <v>0</v>
      </c>
      <c r="K81" s="155">
        <f ca="1">IF(ISNUMBER(MATCH(DATEVALUE($A81),'changes1_based on steps'!K$1:K$400,0)),K$2,)</f>
        <v>0</v>
      </c>
      <c r="L81" s="155">
        <f ca="1">IF(ISNUMBER(MATCH(DATEVALUE($A81),'changes1_based on steps'!L$1:L$400,0)),L$2,)</f>
        <v>0</v>
      </c>
      <c r="M81" s="155">
        <f ca="1">IF(ISNUMBER(MATCH(DATEVALUE($A81),'changes1_based on steps'!M$1:M$400,0)),M$2,)</f>
        <v>0</v>
      </c>
      <c r="N81" s="155">
        <f ca="1">IF(ISNUMBER(MATCH(DATEVALUE($A81),'changes1_based on steps'!N$1:N$400,0)),N$2,)</f>
        <v>0</v>
      </c>
      <c r="O81" s="155">
        <f ca="1">IF(ISNUMBER(MATCH(DATEVALUE($A81),'changes1_based on steps'!O$1:O$400,0)),O$2,)</f>
        <v>0</v>
      </c>
      <c r="P81" s="155">
        <f ca="1">IF(ISNUMBER(MATCH(DATEVALUE($A81),'changes1_based on steps'!P$1:P$400,0)),P$2,)</f>
        <v>0</v>
      </c>
      <c r="Q81" s="155">
        <f ca="1">IF(ISNUMBER(MATCH(DATEVALUE($A81),'changes1_based on steps'!Q$1:Q$400,0)),Q$2,)</f>
        <v>0</v>
      </c>
      <c r="R81" s="155">
        <f ca="1">IF(ISNUMBER(MATCH(DATEVALUE($A81),'changes1_based on steps'!R$1:R$400,0)),R$2,)</f>
        <v>0</v>
      </c>
      <c r="S81" s="155">
        <f ca="1">IF(ISNUMBER(MATCH(DATEVALUE($A81),'changes1_based on steps'!S$1:S$400,0)),S$2,)</f>
        <v>0</v>
      </c>
      <c r="T81" s="155">
        <f ca="1">IF(ISNUMBER(MATCH(DATEVALUE($A81),'changes1_based on steps'!T$1:T$400,0)),T$2,)</f>
        <v>0</v>
      </c>
      <c r="U81" s="155">
        <f ca="1">IF(ISNUMBER(MATCH(DATEVALUE($A81),'changes1_based on steps'!U$1:U$400,0)),U$2,)</f>
        <v>0</v>
      </c>
    </row>
    <row r="82" spans="1:21" x14ac:dyDescent="0.2">
      <c r="A82" s="18" t="str">
        <f t="shared" ca="1" si="1"/>
        <v>2025-04-21</v>
      </c>
      <c r="B82" s="155">
        <f ca="1">IF(ISNUMBER(MATCH(DATEVALUE($A82),'changes1_based on steps'!B$1:B$400,0)),B$2,)</f>
        <v>0</v>
      </c>
      <c r="C82" s="155">
        <f ca="1">IF(ISNUMBER(MATCH(DATEVALUE($A82),'changes1_based on steps'!C$1:C$400,0)),C$2,)</f>
        <v>0</v>
      </c>
      <c r="D82" s="155">
        <f ca="1">IF(ISNUMBER(MATCH(DATEVALUE($A82),'changes1_based on steps'!D$1:D$400,0)),D$2,)</f>
        <v>0</v>
      </c>
      <c r="E82" s="155">
        <f ca="1">IF(ISNUMBER(MATCH(DATEVALUE($A82),'changes1_based on steps'!E$1:E$400,0)),E$2,)</f>
        <v>0</v>
      </c>
      <c r="F82" s="155">
        <f ca="1">IF(ISNUMBER(MATCH(DATEVALUE($A82),'changes1_based on steps'!F$1:F$400,0)),F$2,)</f>
        <v>0</v>
      </c>
      <c r="G82" s="155">
        <f ca="1">IF(ISNUMBER(MATCH(DATEVALUE($A82),'changes1_based on steps'!G$1:G$400,0)),G$2,)</f>
        <v>0</v>
      </c>
      <c r="H82" s="155">
        <f ca="1">IF(ISNUMBER(MATCH(DATEVALUE($A82),'changes1_based on steps'!H$1:H$400,0)),H$2,)</f>
        <v>0</v>
      </c>
      <c r="I82" s="155">
        <f ca="1">IF(ISNUMBER(MATCH(DATEVALUE($A82),'changes1_based on steps'!I$1:I$400,0)),I$2,)</f>
        <v>0</v>
      </c>
      <c r="J82" s="155">
        <f ca="1">IF(ISNUMBER(MATCH(DATEVALUE($A82),'changes1_based on steps'!J$1:J$400,0)),J$2,)</f>
        <v>0</v>
      </c>
      <c r="K82" s="155">
        <f ca="1">IF(ISNUMBER(MATCH(DATEVALUE($A82),'changes1_based on steps'!K$1:K$400,0)),K$2,)</f>
        <v>0</v>
      </c>
      <c r="L82" s="155">
        <f ca="1">IF(ISNUMBER(MATCH(DATEVALUE($A82),'changes1_based on steps'!L$1:L$400,0)),L$2,)</f>
        <v>0</v>
      </c>
      <c r="M82" s="155">
        <f ca="1">IF(ISNUMBER(MATCH(DATEVALUE($A82),'changes1_based on steps'!M$1:M$400,0)),M$2,)</f>
        <v>0</v>
      </c>
      <c r="N82" s="155">
        <f ca="1">IF(ISNUMBER(MATCH(DATEVALUE($A82),'changes1_based on steps'!N$1:N$400,0)),N$2,)</f>
        <v>0</v>
      </c>
      <c r="O82" s="155">
        <f ca="1">IF(ISNUMBER(MATCH(DATEVALUE($A82),'changes1_based on steps'!O$1:O$400,0)),O$2,)</f>
        <v>0</v>
      </c>
      <c r="P82" s="155">
        <f ca="1">IF(ISNUMBER(MATCH(DATEVALUE($A82),'changes1_based on steps'!P$1:P$400,0)),P$2,)</f>
        <v>0</v>
      </c>
      <c r="Q82" s="155">
        <f ca="1">IF(ISNUMBER(MATCH(DATEVALUE($A82),'changes1_based on steps'!Q$1:Q$400,0)),Q$2,)</f>
        <v>0</v>
      </c>
      <c r="R82" s="155">
        <f ca="1">IF(ISNUMBER(MATCH(DATEVALUE($A82),'changes1_based on steps'!R$1:R$400,0)),R$2,)</f>
        <v>0</v>
      </c>
      <c r="S82" s="155">
        <f ca="1">IF(ISNUMBER(MATCH(DATEVALUE($A82),'changes1_based on steps'!S$1:S$400,0)),S$2,)</f>
        <v>0</v>
      </c>
      <c r="T82" s="155">
        <f ca="1">IF(ISNUMBER(MATCH(DATEVALUE($A82),'changes1_based on steps'!T$1:T$400,0)),T$2,)</f>
        <v>0</v>
      </c>
      <c r="U82" s="155">
        <f ca="1">IF(ISNUMBER(MATCH(DATEVALUE($A82),'changes1_based on steps'!U$1:U$400,0)),U$2,)</f>
        <v>0</v>
      </c>
    </row>
    <row r="83" spans="1:21" x14ac:dyDescent="0.2">
      <c r="A83" s="18" t="str">
        <f t="shared" ca="1" si="1"/>
        <v>2025-04-22</v>
      </c>
      <c r="B83" s="155">
        <f ca="1">IF(ISNUMBER(MATCH(DATEVALUE($A83),'changes1_based on steps'!B$1:B$400,0)),B$2,)</f>
        <v>0</v>
      </c>
      <c r="C83" s="155">
        <f ca="1">IF(ISNUMBER(MATCH(DATEVALUE($A83),'changes1_based on steps'!C$1:C$400,0)),C$2,)</f>
        <v>0</v>
      </c>
      <c r="D83" s="155">
        <f ca="1">IF(ISNUMBER(MATCH(DATEVALUE($A83),'changes1_based on steps'!D$1:D$400,0)),D$2,)</f>
        <v>0</v>
      </c>
      <c r="E83" s="155">
        <f ca="1">IF(ISNUMBER(MATCH(DATEVALUE($A83),'changes1_based on steps'!E$1:E$400,0)),E$2,)</f>
        <v>0</v>
      </c>
      <c r="F83" s="155">
        <f ca="1">IF(ISNUMBER(MATCH(DATEVALUE($A83),'changes1_based on steps'!F$1:F$400,0)),F$2,)</f>
        <v>0</v>
      </c>
      <c r="G83" s="155">
        <f ca="1">IF(ISNUMBER(MATCH(DATEVALUE($A83),'changes1_based on steps'!G$1:G$400,0)),G$2,)</f>
        <v>0</v>
      </c>
      <c r="H83" s="155">
        <f ca="1">IF(ISNUMBER(MATCH(DATEVALUE($A83),'changes1_based on steps'!H$1:H$400,0)),H$2,)</f>
        <v>0</v>
      </c>
      <c r="I83" s="155">
        <f ca="1">IF(ISNUMBER(MATCH(DATEVALUE($A83),'changes1_based on steps'!I$1:I$400,0)),I$2,)</f>
        <v>0</v>
      </c>
      <c r="J83" s="155">
        <f ca="1">IF(ISNUMBER(MATCH(DATEVALUE($A83),'changes1_based on steps'!J$1:J$400,0)),J$2,)</f>
        <v>0</v>
      </c>
      <c r="K83" s="155">
        <f ca="1">IF(ISNUMBER(MATCH(DATEVALUE($A83),'changes1_based on steps'!K$1:K$400,0)),K$2,)</f>
        <v>0</v>
      </c>
      <c r="L83" s="155">
        <f ca="1">IF(ISNUMBER(MATCH(DATEVALUE($A83),'changes1_based on steps'!L$1:L$400,0)),L$2,)</f>
        <v>0</v>
      </c>
      <c r="M83" s="155">
        <f ca="1">IF(ISNUMBER(MATCH(DATEVALUE($A83),'changes1_based on steps'!M$1:M$400,0)),M$2,)</f>
        <v>0</v>
      </c>
      <c r="N83" s="155">
        <f ca="1">IF(ISNUMBER(MATCH(DATEVALUE($A83),'changes1_based on steps'!N$1:N$400,0)),N$2,)</f>
        <v>0</v>
      </c>
      <c r="O83" s="155">
        <f ca="1">IF(ISNUMBER(MATCH(DATEVALUE($A83),'changes1_based on steps'!O$1:O$400,0)),O$2,)</f>
        <v>0</v>
      </c>
      <c r="P83" s="155">
        <f ca="1">IF(ISNUMBER(MATCH(DATEVALUE($A83),'changes1_based on steps'!P$1:P$400,0)),P$2,)</f>
        <v>0</v>
      </c>
      <c r="Q83" s="155">
        <f ca="1">IF(ISNUMBER(MATCH(DATEVALUE($A83),'changes1_based on steps'!Q$1:Q$400,0)),Q$2,)</f>
        <v>0</v>
      </c>
      <c r="R83" s="155">
        <f ca="1">IF(ISNUMBER(MATCH(DATEVALUE($A83),'changes1_based on steps'!R$1:R$400,0)),R$2,)</f>
        <v>0</v>
      </c>
      <c r="S83" s="155">
        <f ca="1">IF(ISNUMBER(MATCH(DATEVALUE($A83),'changes1_based on steps'!S$1:S$400,0)),S$2,)</f>
        <v>0</v>
      </c>
      <c r="T83" s="155">
        <f ca="1">IF(ISNUMBER(MATCH(DATEVALUE($A83),'changes1_based on steps'!T$1:T$400,0)),T$2,)</f>
        <v>0</v>
      </c>
      <c r="U83" s="155">
        <f ca="1">IF(ISNUMBER(MATCH(DATEVALUE($A83),'changes1_based on steps'!U$1:U$400,0)),U$2,)</f>
        <v>0</v>
      </c>
    </row>
    <row r="84" spans="1:21" x14ac:dyDescent="0.2">
      <c r="A84" s="18" t="str">
        <f t="shared" ca="1" si="1"/>
        <v>2025-04-23</v>
      </c>
      <c r="B84" s="155">
        <f ca="1">IF(ISNUMBER(MATCH(DATEVALUE($A84),'changes1_based on steps'!B$1:B$400,0)),B$2,)</f>
        <v>100</v>
      </c>
      <c r="C84" s="155">
        <f ca="1">IF(ISNUMBER(MATCH(DATEVALUE($A84),'changes1_based on steps'!C$1:C$400,0)),C$2,)</f>
        <v>0</v>
      </c>
      <c r="D84" s="155">
        <f ca="1">IF(ISNUMBER(MATCH(DATEVALUE($A84),'changes1_based on steps'!D$1:D$400,0)),D$2,)</f>
        <v>0</v>
      </c>
      <c r="E84" s="155">
        <f ca="1">IF(ISNUMBER(MATCH(DATEVALUE($A84),'changes1_based on steps'!E$1:E$400,0)),E$2,)</f>
        <v>0</v>
      </c>
      <c r="F84" s="155">
        <f ca="1">IF(ISNUMBER(MATCH(DATEVALUE($A84),'changes1_based on steps'!F$1:F$400,0)),F$2,)</f>
        <v>0</v>
      </c>
      <c r="G84" s="155">
        <f ca="1">IF(ISNUMBER(MATCH(DATEVALUE($A84),'changes1_based on steps'!G$1:G$400,0)),G$2,)</f>
        <v>0</v>
      </c>
      <c r="H84" s="155">
        <f ca="1">IF(ISNUMBER(MATCH(DATEVALUE($A84),'changes1_based on steps'!H$1:H$400,0)),H$2,)</f>
        <v>0</v>
      </c>
      <c r="I84" s="155">
        <f ca="1">IF(ISNUMBER(MATCH(DATEVALUE($A84),'changes1_based on steps'!I$1:I$400,0)),I$2,)</f>
        <v>0</v>
      </c>
      <c r="J84" s="155">
        <f ca="1">IF(ISNUMBER(MATCH(DATEVALUE($A84),'changes1_based on steps'!J$1:J$400,0)),J$2,)</f>
        <v>0</v>
      </c>
      <c r="K84" s="155">
        <f ca="1">IF(ISNUMBER(MATCH(DATEVALUE($A84),'changes1_based on steps'!K$1:K$400,0)),K$2,)</f>
        <v>0</v>
      </c>
      <c r="L84" s="155">
        <f ca="1">IF(ISNUMBER(MATCH(DATEVALUE($A84),'changes1_based on steps'!L$1:L$400,0)),L$2,)</f>
        <v>0</v>
      </c>
      <c r="M84" s="155">
        <f ca="1">IF(ISNUMBER(MATCH(DATEVALUE($A84),'changes1_based on steps'!M$1:M$400,0)),M$2,)</f>
        <v>0</v>
      </c>
      <c r="N84" s="155">
        <f ca="1">IF(ISNUMBER(MATCH(DATEVALUE($A84),'changes1_based on steps'!N$1:N$400,0)),N$2,)</f>
        <v>0</v>
      </c>
      <c r="O84" s="155">
        <f ca="1">IF(ISNUMBER(MATCH(DATEVALUE($A84),'changes1_based on steps'!O$1:O$400,0)),O$2,)</f>
        <v>0</v>
      </c>
      <c r="P84" s="155">
        <f ca="1">IF(ISNUMBER(MATCH(DATEVALUE($A84),'changes1_based on steps'!P$1:P$400,0)),P$2,)</f>
        <v>0</v>
      </c>
      <c r="Q84" s="155">
        <f ca="1">IF(ISNUMBER(MATCH(DATEVALUE($A84),'changes1_based on steps'!Q$1:Q$400,0)),Q$2,)</f>
        <v>0</v>
      </c>
      <c r="R84" s="155">
        <f ca="1">IF(ISNUMBER(MATCH(DATEVALUE($A84),'changes1_based on steps'!R$1:R$400,0)),R$2,)</f>
        <v>0</v>
      </c>
      <c r="S84" s="155">
        <f ca="1">IF(ISNUMBER(MATCH(DATEVALUE($A84),'changes1_based on steps'!S$1:S$400,0)),S$2,)</f>
        <v>0</v>
      </c>
      <c r="T84" s="155">
        <f ca="1">IF(ISNUMBER(MATCH(DATEVALUE($A84),'changes1_based on steps'!T$1:T$400,0)),T$2,)</f>
        <v>0</v>
      </c>
      <c r="U84" s="155">
        <f ca="1">IF(ISNUMBER(MATCH(DATEVALUE($A84),'changes1_based on steps'!U$1:U$400,0)),U$2,)</f>
        <v>0</v>
      </c>
    </row>
    <row r="85" spans="1:21" x14ac:dyDescent="0.2">
      <c r="A85" s="18" t="str">
        <f t="shared" ca="1" si="1"/>
        <v>2025-04-24</v>
      </c>
      <c r="B85" s="155">
        <f ca="1">IF(ISNUMBER(MATCH(DATEVALUE($A85),'changes1_based on steps'!B$1:B$400,0)),B$2,)</f>
        <v>0</v>
      </c>
      <c r="C85" s="155">
        <f ca="1">IF(ISNUMBER(MATCH(DATEVALUE($A85),'changes1_based on steps'!C$1:C$400,0)),C$2,)</f>
        <v>0</v>
      </c>
      <c r="D85" s="155">
        <f ca="1">IF(ISNUMBER(MATCH(DATEVALUE($A85),'changes1_based on steps'!D$1:D$400,0)),D$2,)</f>
        <v>0</v>
      </c>
      <c r="E85" s="155">
        <f ca="1">IF(ISNUMBER(MATCH(DATEVALUE($A85),'changes1_based on steps'!E$1:E$400,0)),E$2,)</f>
        <v>0</v>
      </c>
      <c r="F85" s="155">
        <f ca="1">IF(ISNUMBER(MATCH(DATEVALUE($A85),'changes1_based on steps'!F$1:F$400,0)),F$2,)</f>
        <v>0</v>
      </c>
      <c r="G85" s="155">
        <f ca="1">IF(ISNUMBER(MATCH(DATEVALUE($A85),'changes1_based on steps'!G$1:G$400,0)),G$2,)</f>
        <v>0</v>
      </c>
      <c r="H85" s="155">
        <f ca="1">IF(ISNUMBER(MATCH(DATEVALUE($A85),'changes1_based on steps'!H$1:H$400,0)),H$2,)</f>
        <v>0</v>
      </c>
      <c r="I85" s="155">
        <f ca="1">IF(ISNUMBER(MATCH(DATEVALUE($A85),'changes1_based on steps'!I$1:I$400,0)),I$2,)</f>
        <v>0</v>
      </c>
      <c r="J85" s="155">
        <f ca="1">IF(ISNUMBER(MATCH(DATEVALUE($A85),'changes1_based on steps'!J$1:J$400,0)),J$2,)</f>
        <v>0</v>
      </c>
      <c r="K85" s="155">
        <f ca="1">IF(ISNUMBER(MATCH(DATEVALUE($A85),'changes1_based on steps'!K$1:K$400,0)),K$2,)</f>
        <v>0</v>
      </c>
      <c r="L85" s="155">
        <f ca="1">IF(ISNUMBER(MATCH(DATEVALUE($A85),'changes1_based on steps'!L$1:L$400,0)),L$2,)</f>
        <v>0</v>
      </c>
      <c r="M85" s="155">
        <f ca="1">IF(ISNUMBER(MATCH(DATEVALUE($A85),'changes1_based on steps'!M$1:M$400,0)),M$2,)</f>
        <v>0</v>
      </c>
      <c r="N85" s="155">
        <f ca="1">IF(ISNUMBER(MATCH(DATEVALUE($A85),'changes1_based on steps'!N$1:N$400,0)),N$2,)</f>
        <v>0</v>
      </c>
      <c r="O85" s="155">
        <f ca="1">IF(ISNUMBER(MATCH(DATEVALUE($A85),'changes1_based on steps'!O$1:O$400,0)),O$2,)</f>
        <v>0</v>
      </c>
      <c r="P85" s="155">
        <f ca="1">IF(ISNUMBER(MATCH(DATEVALUE($A85),'changes1_based on steps'!P$1:P$400,0)),P$2,)</f>
        <v>0</v>
      </c>
      <c r="Q85" s="155">
        <f ca="1">IF(ISNUMBER(MATCH(DATEVALUE($A85),'changes1_based on steps'!Q$1:Q$400,0)),Q$2,)</f>
        <v>0</v>
      </c>
      <c r="R85" s="155">
        <f ca="1">IF(ISNUMBER(MATCH(DATEVALUE($A85),'changes1_based on steps'!R$1:R$400,0)),R$2,)</f>
        <v>0</v>
      </c>
      <c r="S85" s="155">
        <f ca="1">IF(ISNUMBER(MATCH(DATEVALUE($A85),'changes1_based on steps'!S$1:S$400,0)),S$2,)</f>
        <v>0</v>
      </c>
      <c r="T85" s="155">
        <f ca="1">IF(ISNUMBER(MATCH(DATEVALUE($A85),'changes1_based on steps'!T$1:T$400,0)),T$2,)</f>
        <v>0</v>
      </c>
      <c r="U85" s="155">
        <f ca="1">IF(ISNUMBER(MATCH(DATEVALUE($A85),'changes1_based on steps'!U$1:U$400,0)),U$2,)</f>
        <v>0</v>
      </c>
    </row>
    <row r="86" spans="1:21" x14ac:dyDescent="0.2">
      <c r="A86" s="18" t="str">
        <f t="shared" ca="1" si="1"/>
        <v>2025-04-25</v>
      </c>
      <c r="B86" s="155">
        <f ca="1">IF(ISNUMBER(MATCH(DATEVALUE($A86),'changes1_based on steps'!B$1:B$400,0)),B$2,)</f>
        <v>0</v>
      </c>
      <c r="C86" s="155">
        <f ca="1">IF(ISNUMBER(MATCH(DATEVALUE($A86),'changes1_based on steps'!C$1:C$400,0)),C$2,)</f>
        <v>0</v>
      </c>
      <c r="D86" s="155">
        <f ca="1">IF(ISNUMBER(MATCH(DATEVALUE($A86),'changes1_based on steps'!D$1:D$400,0)),D$2,)</f>
        <v>0</v>
      </c>
      <c r="E86" s="155">
        <f ca="1">IF(ISNUMBER(MATCH(DATEVALUE($A86),'changes1_based on steps'!E$1:E$400,0)),E$2,)</f>
        <v>0</v>
      </c>
      <c r="F86" s="155">
        <f ca="1">IF(ISNUMBER(MATCH(DATEVALUE($A86),'changes1_based on steps'!F$1:F$400,0)),F$2,)</f>
        <v>0</v>
      </c>
      <c r="G86" s="155">
        <f ca="1">IF(ISNUMBER(MATCH(DATEVALUE($A86),'changes1_based on steps'!G$1:G$400,0)),G$2,)</f>
        <v>0</v>
      </c>
      <c r="H86" s="155">
        <f ca="1">IF(ISNUMBER(MATCH(DATEVALUE($A86),'changes1_based on steps'!H$1:H$400,0)),H$2,)</f>
        <v>0</v>
      </c>
      <c r="I86" s="155">
        <f ca="1">IF(ISNUMBER(MATCH(DATEVALUE($A86),'changes1_based on steps'!I$1:I$400,0)),I$2,)</f>
        <v>0</v>
      </c>
      <c r="J86" s="155">
        <f ca="1">IF(ISNUMBER(MATCH(DATEVALUE($A86),'changes1_based on steps'!J$1:J$400,0)),J$2,)</f>
        <v>0</v>
      </c>
      <c r="K86" s="155">
        <f ca="1">IF(ISNUMBER(MATCH(DATEVALUE($A86),'changes1_based on steps'!K$1:K$400,0)),K$2,)</f>
        <v>0</v>
      </c>
      <c r="L86" s="155">
        <f ca="1">IF(ISNUMBER(MATCH(DATEVALUE($A86),'changes1_based on steps'!L$1:L$400,0)),L$2,)</f>
        <v>0</v>
      </c>
      <c r="M86" s="155">
        <f ca="1">IF(ISNUMBER(MATCH(DATEVALUE($A86),'changes1_based on steps'!M$1:M$400,0)),M$2,)</f>
        <v>0</v>
      </c>
      <c r="N86" s="155">
        <f ca="1">IF(ISNUMBER(MATCH(DATEVALUE($A86),'changes1_based on steps'!N$1:N$400,0)),N$2,)</f>
        <v>0</v>
      </c>
      <c r="O86" s="155">
        <f ca="1">IF(ISNUMBER(MATCH(DATEVALUE($A86),'changes1_based on steps'!O$1:O$400,0)),O$2,)</f>
        <v>0</v>
      </c>
      <c r="P86" s="155">
        <f ca="1">IF(ISNUMBER(MATCH(DATEVALUE($A86),'changes1_based on steps'!P$1:P$400,0)),P$2,)</f>
        <v>0</v>
      </c>
      <c r="Q86" s="155">
        <f ca="1">IF(ISNUMBER(MATCH(DATEVALUE($A86),'changes1_based on steps'!Q$1:Q$400,0)),Q$2,)</f>
        <v>0</v>
      </c>
      <c r="R86" s="155">
        <f ca="1">IF(ISNUMBER(MATCH(DATEVALUE($A86),'changes1_based on steps'!R$1:R$400,0)),R$2,)</f>
        <v>0</v>
      </c>
      <c r="S86" s="155">
        <f ca="1">IF(ISNUMBER(MATCH(DATEVALUE($A86),'changes1_based on steps'!S$1:S$400,0)),S$2,)</f>
        <v>0</v>
      </c>
      <c r="T86" s="155">
        <f ca="1">IF(ISNUMBER(MATCH(DATEVALUE($A86),'changes1_based on steps'!T$1:T$400,0)),T$2,)</f>
        <v>0</v>
      </c>
      <c r="U86" s="155">
        <f ca="1">IF(ISNUMBER(MATCH(DATEVALUE($A86),'changes1_based on steps'!U$1:U$400,0)),U$2,)</f>
        <v>0</v>
      </c>
    </row>
    <row r="87" spans="1:21" x14ac:dyDescent="0.2">
      <c r="A87" s="18" t="str">
        <f t="shared" ca="1" si="1"/>
        <v>2025-04-26</v>
      </c>
      <c r="B87" s="155">
        <f ca="1">IF(ISNUMBER(MATCH(DATEVALUE($A87),'changes1_based on steps'!B$1:B$400,0)),B$2,)</f>
        <v>0</v>
      </c>
      <c r="C87" s="155">
        <f ca="1">IF(ISNUMBER(MATCH(DATEVALUE($A87),'changes1_based on steps'!C$1:C$400,0)),C$2,)</f>
        <v>0</v>
      </c>
      <c r="D87" s="155">
        <f ca="1">IF(ISNUMBER(MATCH(DATEVALUE($A87),'changes1_based on steps'!D$1:D$400,0)),D$2,)</f>
        <v>0</v>
      </c>
      <c r="E87" s="155">
        <f ca="1">IF(ISNUMBER(MATCH(DATEVALUE($A87),'changes1_based on steps'!E$1:E$400,0)),E$2,)</f>
        <v>0</v>
      </c>
      <c r="F87" s="155">
        <f ca="1">IF(ISNUMBER(MATCH(DATEVALUE($A87),'changes1_based on steps'!F$1:F$400,0)),F$2,)</f>
        <v>0</v>
      </c>
      <c r="G87" s="155">
        <f ca="1">IF(ISNUMBER(MATCH(DATEVALUE($A87),'changes1_based on steps'!G$1:G$400,0)),G$2,)</f>
        <v>0</v>
      </c>
      <c r="H87" s="155">
        <f ca="1">IF(ISNUMBER(MATCH(DATEVALUE($A87),'changes1_based on steps'!H$1:H$400,0)),H$2,)</f>
        <v>0</v>
      </c>
      <c r="I87" s="155">
        <f ca="1">IF(ISNUMBER(MATCH(DATEVALUE($A87),'changes1_based on steps'!I$1:I$400,0)),I$2,)</f>
        <v>0</v>
      </c>
      <c r="J87" s="155">
        <f ca="1">IF(ISNUMBER(MATCH(DATEVALUE($A87),'changes1_based on steps'!J$1:J$400,0)),J$2,)</f>
        <v>0</v>
      </c>
      <c r="K87" s="155">
        <f ca="1">IF(ISNUMBER(MATCH(DATEVALUE($A87),'changes1_based on steps'!K$1:K$400,0)),K$2,)</f>
        <v>0</v>
      </c>
      <c r="L87" s="155">
        <f ca="1">IF(ISNUMBER(MATCH(DATEVALUE($A87),'changes1_based on steps'!L$1:L$400,0)),L$2,)</f>
        <v>0</v>
      </c>
      <c r="M87" s="155">
        <f ca="1">IF(ISNUMBER(MATCH(DATEVALUE($A87),'changes1_based on steps'!M$1:M$400,0)),M$2,)</f>
        <v>0</v>
      </c>
      <c r="N87" s="155">
        <f ca="1">IF(ISNUMBER(MATCH(DATEVALUE($A87),'changes1_based on steps'!N$1:N$400,0)),N$2,)</f>
        <v>0</v>
      </c>
      <c r="O87" s="155">
        <f ca="1">IF(ISNUMBER(MATCH(DATEVALUE($A87),'changes1_based on steps'!O$1:O$400,0)),O$2,)</f>
        <v>0</v>
      </c>
      <c r="P87" s="155">
        <f ca="1">IF(ISNUMBER(MATCH(DATEVALUE($A87),'changes1_based on steps'!P$1:P$400,0)),P$2,)</f>
        <v>0</v>
      </c>
      <c r="Q87" s="155">
        <f ca="1">IF(ISNUMBER(MATCH(DATEVALUE($A87),'changes1_based on steps'!Q$1:Q$400,0)),Q$2,)</f>
        <v>0</v>
      </c>
      <c r="R87" s="155">
        <f ca="1">IF(ISNUMBER(MATCH(DATEVALUE($A87),'changes1_based on steps'!R$1:R$400,0)),R$2,)</f>
        <v>0</v>
      </c>
      <c r="S87" s="155">
        <f ca="1">IF(ISNUMBER(MATCH(DATEVALUE($A87),'changes1_based on steps'!S$1:S$400,0)),S$2,)</f>
        <v>0</v>
      </c>
      <c r="T87" s="155">
        <f ca="1">IF(ISNUMBER(MATCH(DATEVALUE($A87),'changes1_based on steps'!T$1:T$400,0)),T$2,)</f>
        <v>0</v>
      </c>
      <c r="U87" s="155">
        <f ca="1">IF(ISNUMBER(MATCH(DATEVALUE($A87),'changes1_based on steps'!U$1:U$400,0)),U$2,)</f>
        <v>0</v>
      </c>
    </row>
    <row r="88" spans="1:21" x14ac:dyDescent="0.2">
      <c r="A88" s="18" t="str">
        <f t="shared" ca="1" si="1"/>
        <v>2025-04-27</v>
      </c>
      <c r="B88" s="155">
        <f ca="1">IF(ISNUMBER(MATCH(DATEVALUE($A88),'changes1_based on steps'!B$1:B$400,0)),B$2,)</f>
        <v>0</v>
      </c>
      <c r="C88" s="155">
        <f ca="1">IF(ISNUMBER(MATCH(DATEVALUE($A88),'changes1_based on steps'!C$1:C$400,0)),C$2,)</f>
        <v>0</v>
      </c>
      <c r="D88" s="155">
        <f ca="1">IF(ISNUMBER(MATCH(DATEVALUE($A88),'changes1_based on steps'!D$1:D$400,0)),D$2,)</f>
        <v>0</v>
      </c>
      <c r="E88" s="155">
        <f ca="1">IF(ISNUMBER(MATCH(DATEVALUE($A88),'changes1_based on steps'!E$1:E$400,0)),E$2,)</f>
        <v>0</v>
      </c>
      <c r="F88" s="155">
        <f ca="1">IF(ISNUMBER(MATCH(DATEVALUE($A88),'changes1_based on steps'!F$1:F$400,0)),F$2,)</f>
        <v>0</v>
      </c>
      <c r="G88" s="155">
        <f ca="1">IF(ISNUMBER(MATCH(DATEVALUE($A88),'changes1_based on steps'!G$1:G$400,0)),G$2,)</f>
        <v>0</v>
      </c>
      <c r="H88" s="155">
        <f ca="1">IF(ISNUMBER(MATCH(DATEVALUE($A88),'changes1_based on steps'!H$1:H$400,0)),H$2,)</f>
        <v>0</v>
      </c>
      <c r="I88" s="155">
        <f ca="1">IF(ISNUMBER(MATCH(DATEVALUE($A88),'changes1_based on steps'!I$1:I$400,0)),I$2,)</f>
        <v>0</v>
      </c>
      <c r="J88" s="155">
        <f ca="1">IF(ISNUMBER(MATCH(DATEVALUE($A88),'changes1_based on steps'!J$1:J$400,0)),J$2,)</f>
        <v>0</v>
      </c>
      <c r="K88" s="155">
        <f ca="1">IF(ISNUMBER(MATCH(DATEVALUE($A88),'changes1_based on steps'!K$1:K$400,0)),K$2,)</f>
        <v>0</v>
      </c>
      <c r="L88" s="155">
        <f ca="1">IF(ISNUMBER(MATCH(DATEVALUE($A88),'changes1_based on steps'!L$1:L$400,0)),L$2,)</f>
        <v>0</v>
      </c>
      <c r="M88" s="155">
        <f ca="1">IF(ISNUMBER(MATCH(DATEVALUE($A88),'changes1_based on steps'!M$1:M$400,0)),M$2,)</f>
        <v>0</v>
      </c>
      <c r="N88" s="155">
        <f ca="1">IF(ISNUMBER(MATCH(DATEVALUE($A88),'changes1_based on steps'!N$1:N$400,0)),N$2,)</f>
        <v>0</v>
      </c>
      <c r="O88" s="155">
        <f ca="1">IF(ISNUMBER(MATCH(DATEVALUE($A88),'changes1_based on steps'!O$1:O$400,0)),O$2,)</f>
        <v>0</v>
      </c>
      <c r="P88" s="155">
        <f ca="1">IF(ISNUMBER(MATCH(DATEVALUE($A88),'changes1_based on steps'!P$1:P$400,0)),P$2,)</f>
        <v>0</v>
      </c>
      <c r="Q88" s="155">
        <f ca="1">IF(ISNUMBER(MATCH(DATEVALUE($A88),'changes1_based on steps'!Q$1:Q$400,0)),Q$2,)</f>
        <v>0</v>
      </c>
      <c r="R88" s="155">
        <f ca="1">IF(ISNUMBER(MATCH(DATEVALUE($A88),'changes1_based on steps'!R$1:R$400,0)),R$2,)</f>
        <v>0</v>
      </c>
      <c r="S88" s="155">
        <f ca="1">IF(ISNUMBER(MATCH(DATEVALUE($A88),'changes1_based on steps'!S$1:S$400,0)),S$2,)</f>
        <v>0</v>
      </c>
      <c r="T88" s="155">
        <f ca="1">IF(ISNUMBER(MATCH(DATEVALUE($A88),'changes1_based on steps'!T$1:T$400,0)),T$2,)</f>
        <v>0</v>
      </c>
      <c r="U88" s="155">
        <f ca="1">IF(ISNUMBER(MATCH(DATEVALUE($A88),'changes1_based on steps'!U$1:U$400,0)),U$2,)</f>
        <v>0</v>
      </c>
    </row>
    <row r="89" spans="1:21" x14ac:dyDescent="0.2">
      <c r="A89" s="18" t="str">
        <f t="shared" ca="1" si="1"/>
        <v>2025-04-28</v>
      </c>
      <c r="B89" s="155">
        <f ca="1">IF(ISNUMBER(MATCH(DATEVALUE($A89),'changes1_based on steps'!B$1:B$400,0)),B$2,)</f>
        <v>0</v>
      </c>
      <c r="C89" s="155">
        <f ca="1">IF(ISNUMBER(MATCH(DATEVALUE($A89),'changes1_based on steps'!C$1:C$400,0)),C$2,)</f>
        <v>0</v>
      </c>
      <c r="D89" s="155">
        <f ca="1">IF(ISNUMBER(MATCH(DATEVALUE($A89),'changes1_based on steps'!D$1:D$400,0)),D$2,)</f>
        <v>0</v>
      </c>
      <c r="E89" s="155">
        <f ca="1">IF(ISNUMBER(MATCH(DATEVALUE($A89),'changes1_based on steps'!E$1:E$400,0)),E$2,)</f>
        <v>0</v>
      </c>
      <c r="F89" s="155">
        <f ca="1">IF(ISNUMBER(MATCH(DATEVALUE($A89),'changes1_based on steps'!F$1:F$400,0)),F$2,)</f>
        <v>0</v>
      </c>
      <c r="G89" s="155">
        <f ca="1">IF(ISNUMBER(MATCH(DATEVALUE($A89),'changes1_based on steps'!G$1:G$400,0)),G$2,)</f>
        <v>0</v>
      </c>
      <c r="H89" s="155">
        <f ca="1">IF(ISNUMBER(MATCH(DATEVALUE($A89),'changes1_based on steps'!H$1:H$400,0)),H$2,)</f>
        <v>0</v>
      </c>
      <c r="I89" s="155">
        <f ca="1">IF(ISNUMBER(MATCH(DATEVALUE($A89),'changes1_based on steps'!I$1:I$400,0)),I$2,)</f>
        <v>0</v>
      </c>
      <c r="J89" s="155">
        <f ca="1">IF(ISNUMBER(MATCH(DATEVALUE($A89),'changes1_based on steps'!J$1:J$400,0)),J$2,)</f>
        <v>0</v>
      </c>
      <c r="K89" s="155">
        <f ca="1">IF(ISNUMBER(MATCH(DATEVALUE($A89),'changes1_based on steps'!K$1:K$400,0)),K$2,)</f>
        <v>0</v>
      </c>
      <c r="L89" s="155">
        <f ca="1">IF(ISNUMBER(MATCH(DATEVALUE($A89),'changes1_based on steps'!L$1:L$400,0)),L$2,)</f>
        <v>0</v>
      </c>
      <c r="M89" s="155">
        <f ca="1">IF(ISNUMBER(MATCH(DATEVALUE($A89),'changes1_based on steps'!M$1:M$400,0)),M$2,)</f>
        <v>0</v>
      </c>
      <c r="N89" s="155">
        <f ca="1">IF(ISNUMBER(MATCH(DATEVALUE($A89),'changes1_based on steps'!N$1:N$400,0)),N$2,)</f>
        <v>0</v>
      </c>
      <c r="O89" s="155">
        <f ca="1">IF(ISNUMBER(MATCH(DATEVALUE($A89),'changes1_based on steps'!O$1:O$400,0)),O$2,)</f>
        <v>0</v>
      </c>
      <c r="P89" s="155">
        <f ca="1">IF(ISNUMBER(MATCH(DATEVALUE($A89),'changes1_based on steps'!P$1:P$400,0)),P$2,)</f>
        <v>0</v>
      </c>
      <c r="Q89" s="155">
        <f ca="1">IF(ISNUMBER(MATCH(DATEVALUE($A89),'changes1_based on steps'!Q$1:Q$400,0)),Q$2,)</f>
        <v>0</v>
      </c>
      <c r="R89" s="155">
        <f ca="1">IF(ISNUMBER(MATCH(DATEVALUE($A89),'changes1_based on steps'!R$1:R$400,0)),R$2,)</f>
        <v>0</v>
      </c>
      <c r="S89" s="155">
        <f ca="1">IF(ISNUMBER(MATCH(DATEVALUE($A89),'changes1_based on steps'!S$1:S$400,0)),S$2,)</f>
        <v>0</v>
      </c>
      <c r="T89" s="155">
        <f ca="1">IF(ISNUMBER(MATCH(DATEVALUE($A89),'changes1_based on steps'!T$1:T$400,0)),T$2,)</f>
        <v>0</v>
      </c>
      <c r="U89" s="155">
        <f ca="1">IF(ISNUMBER(MATCH(DATEVALUE($A89),'changes1_based on steps'!U$1:U$400,0)),U$2,)</f>
        <v>0</v>
      </c>
    </row>
    <row r="90" spans="1:21" x14ac:dyDescent="0.2">
      <c r="A90" s="18" t="str">
        <f t="shared" ca="1" si="1"/>
        <v>2025-04-29</v>
      </c>
      <c r="B90" s="155">
        <f ca="1">IF(ISNUMBER(MATCH(DATEVALUE($A90),'changes1_based on steps'!B$1:B$400,0)),B$2,)</f>
        <v>0</v>
      </c>
      <c r="C90" s="155">
        <f ca="1">IF(ISNUMBER(MATCH(DATEVALUE($A90),'changes1_based on steps'!C$1:C$400,0)),C$2,)</f>
        <v>0</v>
      </c>
      <c r="D90" s="155">
        <f ca="1">IF(ISNUMBER(MATCH(DATEVALUE($A90),'changes1_based on steps'!D$1:D$400,0)),D$2,)</f>
        <v>0</v>
      </c>
      <c r="E90" s="155">
        <f ca="1">IF(ISNUMBER(MATCH(DATEVALUE($A90),'changes1_based on steps'!E$1:E$400,0)),E$2,)</f>
        <v>0</v>
      </c>
      <c r="F90" s="155">
        <f ca="1">IF(ISNUMBER(MATCH(DATEVALUE($A90),'changes1_based on steps'!F$1:F$400,0)),F$2,)</f>
        <v>0</v>
      </c>
      <c r="G90" s="155">
        <f ca="1">IF(ISNUMBER(MATCH(DATEVALUE($A90),'changes1_based on steps'!G$1:G$400,0)),G$2,)</f>
        <v>0</v>
      </c>
      <c r="H90" s="155">
        <f ca="1">IF(ISNUMBER(MATCH(DATEVALUE($A90),'changes1_based on steps'!H$1:H$400,0)),H$2,)</f>
        <v>0</v>
      </c>
      <c r="I90" s="155">
        <f ca="1">IF(ISNUMBER(MATCH(DATEVALUE($A90),'changes1_based on steps'!I$1:I$400,0)),I$2,)</f>
        <v>0</v>
      </c>
      <c r="J90" s="155">
        <f ca="1">IF(ISNUMBER(MATCH(DATEVALUE($A90),'changes1_based on steps'!J$1:J$400,0)),J$2,)</f>
        <v>0</v>
      </c>
      <c r="K90" s="155">
        <f ca="1">IF(ISNUMBER(MATCH(DATEVALUE($A90),'changes1_based on steps'!K$1:K$400,0)),K$2,)</f>
        <v>0</v>
      </c>
      <c r="L90" s="155">
        <f ca="1">IF(ISNUMBER(MATCH(DATEVALUE($A90),'changes1_based on steps'!L$1:L$400,0)),L$2,)</f>
        <v>0</v>
      </c>
      <c r="M90" s="155">
        <f ca="1">IF(ISNUMBER(MATCH(DATEVALUE($A90),'changes1_based on steps'!M$1:M$400,0)),M$2,)</f>
        <v>0</v>
      </c>
      <c r="N90" s="155">
        <f ca="1">IF(ISNUMBER(MATCH(DATEVALUE($A90),'changes1_based on steps'!N$1:N$400,0)),N$2,)</f>
        <v>0</v>
      </c>
      <c r="O90" s="155">
        <f ca="1">IF(ISNUMBER(MATCH(DATEVALUE($A90),'changes1_based on steps'!O$1:O$400,0)),O$2,)</f>
        <v>0</v>
      </c>
      <c r="P90" s="155">
        <f ca="1">IF(ISNUMBER(MATCH(DATEVALUE($A90),'changes1_based on steps'!P$1:P$400,0)),P$2,)</f>
        <v>0</v>
      </c>
      <c r="Q90" s="155">
        <f ca="1">IF(ISNUMBER(MATCH(DATEVALUE($A90),'changes1_based on steps'!Q$1:Q$400,0)),Q$2,)</f>
        <v>0</v>
      </c>
      <c r="R90" s="155">
        <f ca="1">IF(ISNUMBER(MATCH(DATEVALUE($A90),'changes1_based on steps'!R$1:R$400,0)),R$2,)</f>
        <v>0</v>
      </c>
      <c r="S90" s="155">
        <f ca="1">IF(ISNUMBER(MATCH(DATEVALUE($A90),'changes1_based on steps'!S$1:S$400,0)),S$2,)</f>
        <v>0</v>
      </c>
      <c r="T90" s="155">
        <f ca="1">IF(ISNUMBER(MATCH(DATEVALUE($A90),'changes1_based on steps'!T$1:T$400,0)),T$2,)</f>
        <v>0</v>
      </c>
      <c r="U90" s="155">
        <f ca="1">IF(ISNUMBER(MATCH(DATEVALUE($A90),'changes1_based on steps'!U$1:U$400,0)),U$2,)</f>
        <v>0</v>
      </c>
    </row>
    <row r="91" spans="1:21" x14ac:dyDescent="0.2">
      <c r="A91" s="18" t="str">
        <f t="shared" ca="1" si="1"/>
        <v>2025-04-30</v>
      </c>
      <c r="B91" s="155">
        <f ca="1">IF(ISNUMBER(MATCH(DATEVALUE($A91),'changes1_based on steps'!B$1:B$400,0)),B$2,)</f>
        <v>0</v>
      </c>
      <c r="C91" s="155">
        <f ca="1">IF(ISNUMBER(MATCH(DATEVALUE($A91),'changes1_based on steps'!C$1:C$400,0)),C$2,)</f>
        <v>50</v>
      </c>
      <c r="D91" s="155">
        <f ca="1">IF(ISNUMBER(MATCH(DATEVALUE($A91),'changes1_based on steps'!D$1:D$400,0)),D$2,)</f>
        <v>0</v>
      </c>
      <c r="E91" s="155">
        <f ca="1">IF(ISNUMBER(MATCH(DATEVALUE($A91),'changes1_based on steps'!E$1:E$400,0)),E$2,)</f>
        <v>0</v>
      </c>
      <c r="F91" s="155">
        <f ca="1">IF(ISNUMBER(MATCH(DATEVALUE($A91),'changes1_based on steps'!F$1:F$400,0)),F$2,)</f>
        <v>0</v>
      </c>
      <c r="G91" s="155">
        <f ca="1">IF(ISNUMBER(MATCH(DATEVALUE($A91),'changes1_based on steps'!G$1:G$400,0)),G$2,)</f>
        <v>0</v>
      </c>
      <c r="H91" s="155">
        <f ca="1">IF(ISNUMBER(MATCH(DATEVALUE($A91),'changes1_based on steps'!H$1:H$400,0)),H$2,)</f>
        <v>0</v>
      </c>
      <c r="I91" s="155">
        <f ca="1">IF(ISNUMBER(MATCH(DATEVALUE($A91),'changes1_based on steps'!I$1:I$400,0)),I$2,)</f>
        <v>0</v>
      </c>
      <c r="J91" s="155">
        <f ca="1">IF(ISNUMBER(MATCH(DATEVALUE($A91),'changes1_based on steps'!J$1:J$400,0)),J$2,)</f>
        <v>0</v>
      </c>
      <c r="K91" s="155">
        <f ca="1">IF(ISNUMBER(MATCH(DATEVALUE($A91),'changes1_based on steps'!K$1:K$400,0)),K$2,)</f>
        <v>0</v>
      </c>
      <c r="L91" s="155">
        <f ca="1">IF(ISNUMBER(MATCH(DATEVALUE($A91),'changes1_based on steps'!L$1:L$400,0)),L$2,)</f>
        <v>0</v>
      </c>
      <c r="M91" s="155">
        <f ca="1">IF(ISNUMBER(MATCH(DATEVALUE($A91),'changes1_based on steps'!M$1:M$400,0)),M$2,)</f>
        <v>0</v>
      </c>
      <c r="N91" s="155">
        <f ca="1">IF(ISNUMBER(MATCH(DATEVALUE($A91),'changes1_based on steps'!N$1:N$400,0)),N$2,)</f>
        <v>0</v>
      </c>
      <c r="O91" s="155">
        <f ca="1">IF(ISNUMBER(MATCH(DATEVALUE($A91),'changes1_based on steps'!O$1:O$400,0)),O$2,)</f>
        <v>0</v>
      </c>
      <c r="P91" s="155">
        <f ca="1">IF(ISNUMBER(MATCH(DATEVALUE($A91),'changes1_based on steps'!P$1:P$400,0)),P$2,)</f>
        <v>0</v>
      </c>
      <c r="Q91" s="155">
        <f ca="1">IF(ISNUMBER(MATCH(DATEVALUE($A91),'changes1_based on steps'!Q$1:Q$400,0)),Q$2,)</f>
        <v>0</v>
      </c>
      <c r="R91" s="155">
        <f ca="1">IF(ISNUMBER(MATCH(DATEVALUE($A91),'changes1_based on steps'!R$1:R$400,0)),R$2,)</f>
        <v>0</v>
      </c>
      <c r="S91" s="155">
        <f ca="1">IF(ISNUMBER(MATCH(DATEVALUE($A91),'changes1_based on steps'!S$1:S$400,0)),S$2,)</f>
        <v>0</v>
      </c>
      <c r="T91" s="155">
        <f ca="1">IF(ISNUMBER(MATCH(DATEVALUE($A91),'changes1_based on steps'!T$1:T$400,0)),T$2,)</f>
        <v>0</v>
      </c>
      <c r="U91" s="155">
        <f ca="1">IF(ISNUMBER(MATCH(DATEVALUE($A91),'changes1_based on steps'!U$1:U$400,0)),U$2,)</f>
        <v>0</v>
      </c>
    </row>
    <row r="92" spans="1:21" x14ac:dyDescent="0.2">
      <c r="A92" s="18" t="str">
        <f t="shared" ca="1" si="1"/>
        <v>2025-05-01</v>
      </c>
      <c r="B92" s="155">
        <f ca="1">IF(ISNUMBER(MATCH(DATEVALUE($A92),'changes1_based on steps'!B$1:B$400,0)),B$2,)</f>
        <v>0</v>
      </c>
      <c r="C92" s="155">
        <f ca="1">IF(ISNUMBER(MATCH(DATEVALUE($A92),'changes1_based on steps'!C$1:C$400,0)),C$2,)</f>
        <v>0</v>
      </c>
      <c r="D92" s="155">
        <f ca="1">IF(ISNUMBER(MATCH(DATEVALUE($A92),'changes1_based on steps'!D$1:D$400,0)),D$2,)</f>
        <v>0</v>
      </c>
      <c r="E92" s="155">
        <f ca="1">IF(ISNUMBER(MATCH(DATEVALUE($A92),'changes1_based on steps'!E$1:E$400,0)),E$2,)</f>
        <v>0</v>
      </c>
      <c r="F92" s="155">
        <f ca="1">IF(ISNUMBER(MATCH(DATEVALUE($A92),'changes1_based on steps'!F$1:F$400,0)),F$2,)</f>
        <v>0</v>
      </c>
      <c r="G92" s="155">
        <f ca="1">IF(ISNUMBER(MATCH(DATEVALUE($A92),'changes1_based on steps'!G$1:G$400,0)),G$2,)</f>
        <v>0</v>
      </c>
      <c r="H92" s="155">
        <f ca="1">IF(ISNUMBER(MATCH(DATEVALUE($A92),'changes1_based on steps'!H$1:H$400,0)),H$2,)</f>
        <v>0</v>
      </c>
      <c r="I92" s="155">
        <f ca="1">IF(ISNUMBER(MATCH(DATEVALUE($A92),'changes1_based on steps'!I$1:I$400,0)),I$2,)</f>
        <v>0</v>
      </c>
      <c r="J92" s="155">
        <f ca="1">IF(ISNUMBER(MATCH(DATEVALUE($A92),'changes1_based on steps'!J$1:J$400,0)),J$2,)</f>
        <v>0</v>
      </c>
      <c r="K92" s="155">
        <f ca="1">IF(ISNUMBER(MATCH(DATEVALUE($A92),'changes1_based on steps'!K$1:K$400,0)),K$2,)</f>
        <v>0</v>
      </c>
      <c r="L92" s="155">
        <f ca="1">IF(ISNUMBER(MATCH(DATEVALUE($A92),'changes1_based on steps'!L$1:L$400,0)),L$2,)</f>
        <v>0</v>
      </c>
      <c r="M92" s="155">
        <f ca="1">IF(ISNUMBER(MATCH(DATEVALUE($A92),'changes1_based on steps'!M$1:M$400,0)),M$2,)</f>
        <v>0</v>
      </c>
      <c r="N92" s="155">
        <f ca="1">IF(ISNUMBER(MATCH(DATEVALUE($A92),'changes1_based on steps'!N$1:N$400,0)),N$2,)</f>
        <v>0</v>
      </c>
      <c r="O92" s="155">
        <f ca="1">IF(ISNUMBER(MATCH(DATEVALUE($A92),'changes1_based on steps'!O$1:O$400,0)),O$2,)</f>
        <v>0</v>
      </c>
      <c r="P92" s="155">
        <f ca="1">IF(ISNUMBER(MATCH(DATEVALUE($A92),'changes1_based on steps'!P$1:P$400,0)),P$2,)</f>
        <v>0</v>
      </c>
      <c r="Q92" s="155">
        <f ca="1">IF(ISNUMBER(MATCH(DATEVALUE($A92),'changes1_based on steps'!Q$1:Q$400,0)),Q$2,)</f>
        <v>0</v>
      </c>
      <c r="R92" s="155">
        <f ca="1">IF(ISNUMBER(MATCH(DATEVALUE($A92),'changes1_based on steps'!R$1:R$400,0)),R$2,)</f>
        <v>0</v>
      </c>
      <c r="S92" s="155">
        <f ca="1">IF(ISNUMBER(MATCH(DATEVALUE($A92),'changes1_based on steps'!S$1:S$400,0)),S$2,)</f>
        <v>0</v>
      </c>
      <c r="T92" s="155">
        <f ca="1">IF(ISNUMBER(MATCH(DATEVALUE($A92),'changes1_based on steps'!T$1:T$400,0)),T$2,)</f>
        <v>0</v>
      </c>
      <c r="U92" s="155">
        <f ca="1">IF(ISNUMBER(MATCH(DATEVALUE($A92),'changes1_based on steps'!U$1:U$400,0)),U$2,)</f>
        <v>0</v>
      </c>
    </row>
    <row r="93" spans="1:21" x14ac:dyDescent="0.2">
      <c r="A93" s="18" t="str">
        <f t="shared" ca="1" si="1"/>
        <v>2025-05-02</v>
      </c>
      <c r="B93" s="155">
        <f ca="1">IF(ISNUMBER(MATCH(DATEVALUE($A93),'changes1_based on steps'!B$1:B$400,0)),B$2,)</f>
        <v>0</v>
      </c>
      <c r="C93" s="155">
        <f ca="1">IF(ISNUMBER(MATCH(DATEVALUE($A93),'changes1_based on steps'!C$1:C$400,0)),C$2,)</f>
        <v>0</v>
      </c>
      <c r="D93" s="155">
        <f ca="1">IF(ISNUMBER(MATCH(DATEVALUE($A93),'changes1_based on steps'!D$1:D$400,0)),D$2,)</f>
        <v>0</v>
      </c>
      <c r="E93" s="155">
        <f ca="1">IF(ISNUMBER(MATCH(DATEVALUE($A93),'changes1_based on steps'!E$1:E$400,0)),E$2,)</f>
        <v>0</v>
      </c>
      <c r="F93" s="155">
        <f ca="1">IF(ISNUMBER(MATCH(DATEVALUE($A93),'changes1_based on steps'!F$1:F$400,0)),F$2,)</f>
        <v>0</v>
      </c>
      <c r="G93" s="155">
        <f ca="1">IF(ISNUMBER(MATCH(DATEVALUE($A93),'changes1_based on steps'!G$1:G$400,0)),G$2,)</f>
        <v>0</v>
      </c>
      <c r="H93" s="155">
        <f ca="1">IF(ISNUMBER(MATCH(DATEVALUE($A93),'changes1_based on steps'!H$1:H$400,0)),H$2,)</f>
        <v>0</v>
      </c>
      <c r="I93" s="155">
        <f ca="1">IF(ISNUMBER(MATCH(DATEVALUE($A93),'changes1_based on steps'!I$1:I$400,0)),I$2,)</f>
        <v>0</v>
      </c>
      <c r="J93" s="155">
        <f ca="1">IF(ISNUMBER(MATCH(DATEVALUE($A93),'changes1_based on steps'!J$1:J$400,0)),J$2,)</f>
        <v>0</v>
      </c>
      <c r="K93" s="155">
        <f ca="1">IF(ISNUMBER(MATCH(DATEVALUE($A93),'changes1_based on steps'!K$1:K$400,0)),K$2,)</f>
        <v>0</v>
      </c>
      <c r="L93" s="155">
        <f ca="1">IF(ISNUMBER(MATCH(DATEVALUE($A93),'changes1_based on steps'!L$1:L$400,0)),L$2,)</f>
        <v>0</v>
      </c>
      <c r="M93" s="155">
        <f ca="1">IF(ISNUMBER(MATCH(DATEVALUE($A93),'changes1_based on steps'!M$1:M$400,0)),M$2,)</f>
        <v>0</v>
      </c>
      <c r="N93" s="155">
        <f ca="1">IF(ISNUMBER(MATCH(DATEVALUE($A93),'changes1_based on steps'!N$1:N$400,0)),N$2,)</f>
        <v>0</v>
      </c>
      <c r="O93" s="155">
        <f ca="1">IF(ISNUMBER(MATCH(DATEVALUE($A93),'changes1_based on steps'!O$1:O$400,0)),O$2,)</f>
        <v>0</v>
      </c>
      <c r="P93" s="155">
        <f ca="1">IF(ISNUMBER(MATCH(DATEVALUE($A93),'changes1_based on steps'!P$1:P$400,0)),P$2,)</f>
        <v>0</v>
      </c>
      <c r="Q93" s="155">
        <f ca="1">IF(ISNUMBER(MATCH(DATEVALUE($A93),'changes1_based on steps'!Q$1:Q$400,0)),Q$2,)</f>
        <v>0</v>
      </c>
      <c r="R93" s="155">
        <f ca="1">IF(ISNUMBER(MATCH(DATEVALUE($A93),'changes1_based on steps'!R$1:R$400,0)),R$2,)</f>
        <v>0</v>
      </c>
      <c r="S93" s="155">
        <f ca="1">IF(ISNUMBER(MATCH(DATEVALUE($A93),'changes1_based on steps'!S$1:S$400,0)),S$2,)</f>
        <v>0</v>
      </c>
      <c r="T93" s="155">
        <f ca="1">IF(ISNUMBER(MATCH(DATEVALUE($A93),'changes1_based on steps'!T$1:T$400,0)),T$2,)</f>
        <v>0</v>
      </c>
      <c r="U93" s="155">
        <f ca="1">IF(ISNUMBER(MATCH(DATEVALUE($A93),'changes1_based on steps'!U$1:U$400,0)),U$2,)</f>
        <v>0</v>
      </c>
    </row>
    <row r="94" spans="1:21" x14ac:dyDescent="0.2">
      <c r="A94" s="18" t="str">
        <f t="shared" ca="1" si="1"/>
        <v>2025-05-03</v>
      </c>
      <c r="B94" s="155">
        <f ca="1">IF(ISNUMBER(MATCH(DATEVALUE($A94),'changes1_based on steps'!B$1:B$400,0)),B$2,)</f>
        <v>0</v>
      </c>
      <c r="C94" s="155">
        <f ca="1">IF(ISNUMBER(MATCH(DATEVALUE($A94),'changes1_based on steps'!C$1:C$400,0)),C$2,)</f>
        <v>0</v>
      </c>
      <c r="D94" s="155">
        <f ca="1">IF(ISNUMBER(MATCH(DATEVALUE($A94),'changes1_based on steps'!D$1:D$400,0)),D$2,)</f>
        <v>0</v>
      </c>
      <c r="E94" s="155">
        <f ca="1">IF(ISNUMBER(MATCH(DATEVALUE($A94),'changes1_based on steps'!E$1:E$400,0)),E$2,)</f>
        <v>0</v>
      </c>
      <c r="F94" s="155">
        <f ca="1">IF(ISNUMBER(MATCH(DATEVALUE($A94),'changes1_based on steps'!F$1:F$400,0)),F$2,)</f>
        <v>0</v>
      </c>
      <c r="G94" s="155">
        <f ca="1">IF(ISNUMBER(MATCH(DATEVALUE($A94),'changes1_based on steps'!G$1:G$400,0)),G$2,)</f>
        <v>0</v>
      </c>
      <c r="H94" s="155">
        <f ca="1">IF(ISNUMBER(MATCH(DATEVALUE($A94),'changes1_based on steps'!H$1:H$400,0)),H$2,)</f>
        <v>0</v>
      </c>
      <c r="I94" s="155">
        <f ca="1">IF(ISNUMBER(MATCH(DATEVALUE($A94),'changes1_based on steps'!I$1:I$400,0)),I$2,)</f>
        <v>0</v>
      </c>
      <c r="J94" s="155">
        <f ca="1">IF(ISNUMBER(MATCH(DATEVALUE($A94),'changes1_based on steps'!J$1:J$400,0)),J$2,)</f>
        <v>0</v>
      </c>
      <c r="K94" s="155">
        <f ca="1">IF(ISNUMBER(MATCH(DATEVALUE($A94),'changes1_based on steps'!K$1:K$400,0)),K$2,)</f>
        <v>0</v>
      </c>
      <c r="L94" s="155">
        <f ca="1">IF(ISNUMBER(MATCH(DATEVALUE($A94),'changes1_based on steps'!L$1:L$400,0)),L$2,)</f>
        <v>0</v>
      </c>
      <c r="M94" s="155">
        <f ca="1">IF(ISNUMBER(MATCH(DATEVALUE($A94),'changes1_based on steps'!M$1:M$400,0)),M$2,)</f>
        <v>0</v>
      </c>
      <c r="N94" s="155">
        <f ca="1">IF(ISNUMBER(MATCH(DATEVALUE($A94),'changes1_based on steps'!N$1:N$400,0)),N$2,)</f>
        <v>0</v>
      </c>
      <c r="O94" s="155">
        <f ca="1">IF(ISNUMBER(MATCH(DATEVALUE($A94),'changes1_based on steps'!O$1:O$400,0)),O$2,)</f>
        <v>0</v>
      </c>
      <c r="P94" s="155">
        <f ca="1">IF(ISNUMBER(MATCH(DATEVALUE($A94),'changes1_based on steps'!P$1:P$400,0)),P$2,)</f>
        <v>0</v>
      </c>
      <c r="Q94" s="155">
        <f ca="1">IF(ISNUMBER(MATCH(DATEVALUE($A94),'changes1_based on steps'!Q$1:Q$400,0)),Q$2,)</f>
        <v>0</v>
      </c>
      <c r="R94" s="155">
        <f ca="1">IF(ISNUMBER(MATCH(DATEVALUE($A94),'changes1_based on steps'!R$1:R$400,0)),R$2,)</f>
        <v>0</v>
      </c>
      <c r="S94" s="155">
        <f ca="1">IF(ISNUMBER(MATCH(DATEVALUE($A94),'changes1_based on steps'!S$1:S$400,0)),S$2,)</f>
        <v>0</v>
      </c>
      <c r="T94" s="155">
        <f ca="1">IF(ISNUMBER(MATCH(DATEVALUE($A94),'changes1_based on steps'!T$1:T$400,0)),T$2,)</f>
        <v>0</v>
      </c>
      <c r="U94" s="155">
        <f ca="1">IF(ISNUMBER(MATCH(DATEVALUE($A94),'changes1_based on steps'!U$1:U$400,0)),U$2,)</f>
        <v>0</v>
      </c>
    </row>
    <row r="95" spans="1:21" x14ac:dyDescent="0.2">
      <c r="A95" s="18" t="str">
        <f t="shared" ca="1" si="1"/>
        <v>2025-05-04</v>
      </c>
      <c r="B95" s="155">
        <f ca="1">IF(ISNUMBER(MATCH(DATEVALUE($A95),'changes1_based on steps'!B$1:B$400,0)),B$2,)</f>
        <v>0</v>
      </c>
      <c r="C95" s="155">
        <f ca="1">IF(ISNUMBER(MATCH(DATEVALUE($A95),'changes1_based on steps'!C$1:C$400,0)),C$2,)</f>
        <v>0</v>
      </c>
      <c r="D95" s="155">
        <f ca="1">IF(ISNUMBER(MATCH(DATEVALUE($A95),'changes1_based on steps'!D$1:D$400,0)),D$2,)</f>
        <v>0</v>
      </c>
      <c r="E95" s="155">
        <f ca="1">IF(ISNUMBER(MATCH(DATEVALUE($A95),'changes1_based on steps'!E$1:E$400,0)),E$2,)</f>
        <v>0</v>
      </c>
      <c r="F95" s="155">
        <f ca="1">IF(ISNUMBER(MATCH(DATEVALUE($A95),'changes1_based on steps'!F$1:F$400,0)),F$2,)</f>
        <v>0</v>
      </c>
      <c r="G95" s="155">
        <f ca="1">IF(ISNUMBER(MATCH(DATEVALUE($A95),'changes1_based on steps'!G$1:G$400,0)),G$2,)</f>
        <v>0</v>
      </c>
      <c r="H95" s="155">
        <f ca="1">IF(ISNUMBER(MATCH(DATEVALUE($A95),'changes1_based on steps'!H$1:H$400,0)),H$2,)</f>
        <v>0</v>
      </c>
      <c r="I95" s="155">
        <f ca="1">IF(ISNUMBER(MATCH(DATEVALUE($A95),'changes1_based on steps'!I$1:I$400,0)),I$2,)</f>
        <v>0</v>
      </c>
      <c r="J95" s="155">
        <f ca="1">IF(ISNUMBER(MATCH(DATEVALUE($A95),'changes1_based on steps'!J$1:J$400,0)),J$2,)</f>
        <v>0</v>
      </c>
      <c r="K95" s="155">
        <f ca="1">IF(ISNUMBER(MATCH(DATEVALUE($A95),'changes1_based on steps'!K$1:K$400,0)),K$2,)</f>
        <v>0</v>
      </c>
      <c r="L95" s="155">
        <f ca="1">IF(ISNUMBER(MATCH(DATEVALUE($A95),'changes1_based on steps'!L$1:L$400,0)),L$2,)</f>
        <v>0</v>
      </c>
      <c r="M95" s="155">
        <f ca="1">IF(ISNUMBER(MATCH(DATEVALUE($A95),'changes1_based on steps'!M$1:M$400,0)),M$2,)</f>
        <v>0</v>
      </c>
      <c r="N95" s="155">
        <f ca="1">IF(ISNUMBER(MATCH(DATEVALUE($A95),'changes1_based on steps'!N$1:N$400,0)),N$2,)</f>
        <v>0</v>
      </c>
      <c r="O95" s="155">
        <f ca="1">IF(ISNUMBER(MATCH(DATEVALUE($A95),'changes1_based on steps'!O$1:O$400,0)),O$2,)</f>
        <v>0</v>
      </c>
      <c r="P95" s="155">
        <f ca="1">IF(ISNUMBER(MATCH(DATEVALUE($A95),'changes1_based on steps'!P$1:P$400,0)),P$2,)</f>
        <v>0</v>
      </c>
      <c r="Q95" s="155">
        <f ca="1">IF(ISNUMBER(MATCH(DATEVALUE($A95),'changes1_based on steps'!Q$1:Q$400,0)),Q$2,)</f>
        <v>0</v>
      </c>
      <c r="R95" s="155">
        <f ca="1">IF(ISNUMBER(MATCH(DATEVALUE($A95),'changes1_based on steps'!R$1:R$400,0)),R$2,)</f>
        <v>0</v>
      </c>
      <c r="S95" s="155">
        <f ca="1">IF(ISNUMBER(MATCH(DATEVALUE($A95),'changes1_based on steps'!S$1:S$400,0)),S$2,)</f>
        <v>0</v>
      </c>
      <c r="T95" s="155">
        <f ca="1">IF(ISNUMBER(MATCH(DATEVALUE($A95),'changes1_based on steps'!T$1:T$400,0)),T$2,)</f>
        <v>0</v>
      </c>
      <c r="U95" s="155">
        <f ca="1">IF(ISNUMBER(MATCH(DATEVALUE($A95),'changes1_based on steps'!U$1:U$400,0)),U$2,)</f>
        <v>0</v>
      </c>
    </row>
    <row r="96" spans="1:21" x14ac:dyDescent="0.2">
      <c r="A96" s="18" t="str">
        <f t="shared" ca="1" si="1"/>
        <v>2025-05-05</v>
      </c>
      <c r="B96" s="155">
        <f ca="1">IF(ISNUMBER(MATCH(DATEVALUE($A96),'changes1_based on steps'!B$1:B$400,0)),B$2,)</f>
        <v>0</v>
      </c>
      <c r="C96" s="155">
        <f ca="1">IF(ISNUMBER(MATCH(DATEVALUE($A96),'changes1_based on steps'!C$1:C$400,0)),C$2,)</f>
        <v>0</v>
      </c>
      <c r="D96" s="155">
        <f ca="1">IF(ISNUMBER(MATCH(DATEVALUE($A96),'changes1_based on steps'!D$1:D$400,0)),D$2,)</f>
        <v>0</v>
      </c>
      <c r="E96" s="155">
        <f ca="1">IF(ISNUMBER(MATCH(DATEVALUE($A96),'changes1_based on steps'!E$1:E$400,0)),E$2,)</f>
        <v>0</v>
      </c>
      <c r="F96" s="155">
        <f ca="1">IF(ISNUMBER(MATCH(DATEVALUE($A96),'changes1_based on steps'!F$1:F$400,0)),F$2,)</f>
        <v>0</v>
      </c>
      <c r="G96" s="155">
        <f ca="1">IF(ISNUMBER(MATCH(DATEVALUE($A96),'changes1_based on steps'!G$1:G$400,0)),G$2,)</f>
        <v>0</v>
      </c>
      <c r="H96" s="155">
        <f ca="1">IF(ISNUMBER(MATCH(DATEVALUE($A96),'changes1_based on steps'!H$1:H$400,0)),H$2,)</f>
        <v>0</v>
      </c>
      <c r="I96" s="155">
        <f ca="1">IF(ISNUMBER(MATCH(DATEVALUE($A96),'changes1_based on steps'!I$1:I$400,0)),I$2,)</f>
        <v>0</v>
      </c>
      <c r="J96" s="155">
        <f ca="1">IF(ISNUMBER(MATCH(DATEVALUE($A96),'changes1_based on steps'!J$1:J$400,0)),J$2,)</f>
        <v>0</v>
      </c>
      <c r="K96" s="155">
        <f ca="1">IF(ISNUMBER(MATCH(DATEVALUE($A96),'changes1_based on steps'!K$1:K$400,0)),K$2,)</f>
        <v>0</v>
      </c>
      <c r="L96" s="155">
        <f ca="1">IF(ISNUMBER(MATCH(DATEVALUE($A96),'changes1_based on steps'!L$1:L$400,0)),L$2,)</f>
        <v>0</v>
      </c>
      <c r="M96" s="155">
        <f ca="1">IF(ISNUMBER(MATCH(DATEVALUE($A96),'changes1_based on steps'!M$1:M$400,0)),M$2,)</f>
        <v>0</v>
      </c>
      <c r="N96" s="155">
        <f ca="1">IF(ISNUMBER(MATCH(DATEVALUE($A96),'changes1_based on steps'!N$1:N$400,0)),N$2,)</f>
        <v>0</v>
      </c>
      <c r="O96" s="155">
        <f ca="1">IF(ISNUMBER(MATCH(DATEVALUE($A96),'changes1_based on steps'!O$1:O$400,0)),O$2,)</f>
        <v>0</v>
      </c>
      <c r="P96" s="155">
        <f ca="1">IF(ISNUMBER(MATCH(DATEVALUE($A96),'changes1_based on steps'!P$1:P$400,0)),P$2,)</f>
        <v>0</v>
      </c>
      <c r="Q96" s="155">
        <f ca="1">IF(ISNUMBER(MATCH(DATEVALUE($A96),'changes1_based on steps'!Q$1:Q$400,0)),Q$2,)</f>
        <v>0</v>
      </c>
      <c r="R96" s="155">
        <f ca="1">IF(ISNUMBER(MATCH(DATEVALUE($A96),'changes1_based on steps'!R$1:R$400,0)),R$2,)</f>
        <v>0</v>
      </c>
      <c r="S96" s="155">
        <f ca="1">IF(ISNUMBER(MATCH(DATEVALUE($A96),'changes1_based on steps'!S$1:S$400,0)),S$2,)</f>
        <v>0</v>
      </c>
      <c r="T96" s="155">
        <f ca="1">IF(ISNUMBER(MATCH(DATEVALUE($A96),'changes1_based on steps'!T$1:T$400,0)),T$2,)</f>
        <v>0</v>
      </c>
      <c r="U96" s="155">
        <f ca="1">IF(ISNUMBER(MATCH(DATEVALUE($A96),'changes1_based on steps'!U$1:U$400,0)),U$2,)</f>
        <v>0</v>
      </c>
    </row>
    <row r="97" spans="1:21" x14ac:dyDescent="0.2">
      <c r="A97" s="18" t="str">
        <f t="shared" ca="1" si="1"/>
        <v>2025-05-06</v>
      </c>
      <c r="B97" s="155">
        <f ca="1">IF(ISNUMBER(MATCH(DATEVALUE($A97),'changes1_based on steps'!B$1:B$400,0)),B$2,)</f>
        <v>0</v>
      </c>
      <c r="C97" s="155">
        <f ca="1">IF(ISNUMBER(MATCH(DATEVALUE($A97),'changes1_based on steps'!C$1:C$400,0)),C$2,)</f>
        <v>0</v>
      </c>
      <c r="D97" s="155">
        <f ca="1">IF(ISNUMBER(MATCH(DATEVALUE($A97),'changes1_based on steps'!D$1:D$400,0)),D$2,)</f>
        <v>0</v>
      </c>
      <c r="E97" s="155">
        <f ca="1">IF(ISNUMBER(MATCH(DATEVALUE($A97),'changes1_based on steps'!E$1:E$400,0)),E$2,)</f>
        <v>0</v>
      </c>
      <c r="F97" s="155">
        <f ca="1">IF(ISNUMBER(MATCH(DATEVALUE($A97),'changes1_based on steps'!F$1:F$400,0)),F$2,)</f>
        <v>0</v>
      </c>
      <c r="G97" s="155">
        <f ca="1">IF(ISNUMBER(MATCH(DATEVALUE($A97),'changes1_based on steps'!G$1:G$400,0)),G$2,)</f>
        <v>0</v>
      </c>
      <c r="H97" s="155">
        <f ca="1">IF(ISNUMBER(MATCH(DATEVALUE($A97),'changes1_based on steps'!H$1:H$400,0)),H$2,)</f>
        <v>0</v>
      </c>
      <c r="I97" s="155">
        <f ca="1">IF(ISNUMBER(MATCH(DATEVALUE($A97),'changes1_based on steps'!I$1:I$400,0)),I$2,)</f>
        <v>0</v>
      </c>
      <c r="J97" s="155">
        <f ca="1">IF(ISNUMBER(MATCH(DATEVALUE($A97),'changes1_based on steps'!J$1:J$400,0)),J$2,)</f>
        <v>0</v>
      </c>
      <c r="K97" s="155">
        <f ca="1">IF(ISNUMBER(MATCH(DATEVALUE($A97),'changes1_based on steps'!K$1:K$400,0)),K$2,)</f>
        <v>0</v>
      </c>
      <c r="L97" s="155">
        <f ca="1">IF(ISNUMBER(MATCH(DATEVALUE($A97),'changes1_based on steps'!L$1:L$400,0)),L$2,)</f>
        <v>0</v>
      </c>
      <c r="M97" s="155">
        <f ca="1">IF(ISNUMBER(MATCH(DATEVALUE($A97),'changes1_based on steps'!M$1:M$400,0)),M$2,)</f>
        <v>0</v>
      </c>
      <c r="N97" s="155">
        <f ca="1">IF(ISNUMBER(MATCH(DATEVALUE($A97),'changes1_based on steps'!N$1:N$400,0)),N$2,)</f>
        <v>0</v>
      </c>
      <c r="O97" s="155">
        <f ca="1">IF(ISNUMBER(MATCH(DATEVALUE($A97),'changes1_based on steps'!O$1:O$400,0)),O$2,)</f>
        <v>0</v>
      </c>
      <c r="P97" s="155">
        <f ca="1">IF(ISNUMBER(MATCH(DATEVALUE($A97),'changes1_based on steps'!P$1:P$400,0)),P$2,)</f>
        <v>0</v>
      </c>
      <c r="Q97" s="155">
        <f ca="1">IF(ISNUMBER(MATCH(DATEVALUE($A97),'changes1_based on steps'!Q$1:Q$400,0)),Q$2,)</f>
        <v>0</v>
      </c>
      <c r="R97" s="155">
        <f ca="1">IF(ISNUMBER(MATCH(DATEVALUE($A97),'changes1_based on steps'!R$1:R$400,0)),R$2,)</f>
        <v>0</v>
      </c>
      <c r="S97" s="155">
        <f ca="1">IF(ISNUMBER(MATCH(DATEVALUE($A97),'changes1_based on steps'!S$1:S$400,0)),S$2,)</f>
        <v>0</v>
      </c>
      <c r="T97" s="155">
        <f ca="1">IF(ISNUMBER(MATCH(DATEVALUE($A97),'changes1_based on steps'!T$1:T$400,0)),T$2,)</f>
        <v>0</v>
      </c>
      <c r="U97" s="155">
        <f ca="1">IF(ISNUMBER(MATCH(DATEVALUE($A97),'changes1_based on steps'!U$1:U$400,0)),U$2,)</f>
        <v>0</v>
      </c>
    </row>
    <row r="98" spans="1:21" x14ac:dyDescent="0.2">
      <c r="A98" s="18" t="str">
        <f t="shared" ca="1" si="1"/>
        <v>2025-05-07</v>
      </c>
      <c r="B98" s="155">
        <f ca="1">IF(ISNUMBER(MATCH(DATEVALUE($A98),'changes1_based on steps'!B$1:B$400,0)),B$2,)</f>
        <v>100</v>
      </c>
      <c r="C98" s="155">
        <f ca="1">IF(ISNUMBER(MATCH(DATEVALUE($A98),'changes1_based on steps'!C$1:C$400,0)),C$2,)</f>
        <v>0</v>
      </c>
      <c r="D98" s="155">
        <f ca="1">IF(ISNUMBER(MATCH(DATEVALUE($A98),'changes1_based on steps'!D$1:D$400,0)),D$2,)</f>
        <v>0</v>
      </c>
      <c r="E98" s="155">
        <f ca="1">IF(ISNUMBER(MATCH(DATEVALUE($A98),'changes1_based on steps'!E$1:E$400,0)),E$2,)</f>
        <v>0</v>
      </c>
      <c r="F98" s="155">
        <f ca="1">IF(ISNUMBER(MATCH(DATEVALUE($A98),'changes1_based on steps'!F$1:F$400,0)),F$2,)</f>
        <v>0</v>
      </c>
      <c r="G98" s="155">
        <f ca="1">IF(ISNUMBER(MATCH(DATEVALUE($A98),'changes1_based on steps'!G$1:G$400,0)),G$2,)</f>
        <v>0</v>
      </c>
      <c r="H98" s="155">
        <f ca="1">IF(ISNUMBER(MATCH(DATEVALUE($A98),'changes1_based on steps'!H$1:H$400,0)),H$2,)</f>
        <v>0</v>
      </c>
      <c r="I98" s="155">
        <f ca="1">IF(ISNUMBER(MATCH(DATEVALUE($A98),'changes1_based on steps'!I$1:I$400,0)),I$2,)</f>
        <v>0</v>
      </c>
      <c r="J98" s="155">
        <f ca="1">IF(ISNUMBER(MATCH(DATEVALUE($A98),'changes1_based on steps'!J$1:J$400,0)),J$2,)</f>
        <v>0</v>
      </c>
      <c r="K98" s="155">
        <f ca="1">IF(ISNUMBER(MATCH(DATEVALUE($A98),'changes1_based on steps'!K$1:K$400,0)),K$2,)</f>
        <v>0</v>
      </c>
      <c r="L98" s="155">
        <f ca="1">IF(ISNUMBER(MATCH(DATEVALUE($A98),'changes1_based on steps'!L$1:L$400,0)),L$2,)</f>
        <v>0</v>
      </c>
      <c r="M98" s="155">
        <f ca="1">IF(ISNUMBER(MATCH(DATEVALUE($A98),'changes1_based on steps'!M$1:M$400,0)),M$2,)</f>
        <v>0</v>
      </c>
      <c r="N98" s="155">
        <f ca="1">IF(ISNUMBER(MATCH(DATEVALUE($A98),'changes1_based on steps'!N$1:N$400,0)),N$2,)</f>
        <v>0</v>
      </c>
      <c r="O98" s="155">
        <f ca="1">IF(ISNUMBER(MATCH(DATEVALUE($A98),'changes1_based on steps'!O$1:O$400,0)),O$2,)</f>
        <v>0</v>
      </c>
      <c r="P98" s="155">
        <f ca="1">IF(ISNUMBER(MATCH(DATEVALUE($A98),'changes1_based on steps'!P$1:P$400,0)),P$2,)</f>
        <v>0</v>
      </c>
      <c r="Q98" s="155">
        <f ca="1">IF(ISNUMBER(MATCH(DATEVALUE($A98),'changes1_based on steps'!Q$1:Q$400,0)),Q$2,)</f>
        <v>0</v>
      </c>
      <c r="R98" s="155">
        <f ca="1">IF(ISNUMBER(MATCH(DATEVALUE($A98),'changes1_based on steps'!R$1:R$400,0)),R$2,)</f>
        <v>0</v>
      </c>
      <c r="S98" s="155">
        <f ca="1">IF(ISNUMBER(MATCH(DATEVALUE($A98),'changes1_based on steps'!S$1:S$400,0)),S$2,)</f>
        <v>0</v>
      </c>
      <c r="T98" s="155">
        <f ca="1">IF(ISNUMBER(MATCH(DATEVALUE($A98),'changes1_based on steps'!T$1:T$400,0)),T$2,)</f>
        <v>0</v>
      </c>
      <c r="U98" s="155">
        <f ca="1">IF(ISNUMBER(MATCH(DATEVALUE($A98),'changes1_based on steps'!U$1:U$400,0)),U$2,)</f>
        <v>0</v>
      </c>
    </row>
    <row r="99" spans="1:21" x14ac:dyDescent="0.2">
      <c r="A99" s="18" t="str">
        <f t="shared" ca="1" si="1"/>
        <v>2025-05-08</v>
      </c>
      <c r="B99" s="155">
        <f ca="1">IF(ISNUMBER(MATCH(DATEVALUE($A99),'changes1_based on steps'!B$1:B$400,0)),B$2,)</f>
        <v>0</v>
      </c>
      <c r="C99" s="155">
        <f ca="1">IF(ISNUMBER(MATCH(DATEVALUE($A99),'changes1_based on steps'!C$1:C$400,0)),C$2,)</f>
        <v>0</v>
      </c>
      <c r="D99" s="155">
        <f ca="1">IF(ISNUMBER(MATCH(DATEVALUE($A99),'changes1_based on steps'!D$1:D$400,0)),D$2,)</f>
        <v>0</v>
      </c>
      <c r="E99" s="155">
        <f ca="1">IF(ISNUMBER(MATCH(DATEVALUE($A99),'changes1_based on steps'!E$1:E$400,0)),E$2,)</f>
        <v>0</v>
      </c>
      <c r="F99" s="155">
        <f ca="1">IF(ISNUMBER(MATCH(DATEVALUE($A99),'changes1_based on steps'!F$1:F$400,0)),F$2,)</f>
        <v>0</v>
      </c>
      <c r="G99" s="155">
        <f ca="1">IF(ISNUMBER(MATCH(DATEVALUE($A99),'changes1_based on steps'!G$1:G$400,0)),G$2,)</f>
        <v>0</v>
      </c>
      <c r="H99" s="155">
        <f ca="1">IF(ISNUMBER(MATCH(DATEVALUE($A99),'changes1_based on steps'!H$1:H$400,0)),H$2,)</f>
        <v>0</v>
      </c>
      <c r="I99" s="155">
        <f ca="1">IF(ISNUMBER(MATCH(DATEVALUE($A99),'changes1_based on steps'!I$1:I$400,0)),I$2,)</f>
        <v>0</v>
      </c>
      <c r="J99" s="155">
        <f ca="1">IF(ISNUMBER(MATCH(DATEVALUE($A99),'changes1_based on steps'!J$1:J$400,0)),J$2,)</f>
        <v>0</v>
      </c>
      <c r="K99" s="155">
        <f ca="1">IF(ISNUMBER(MATCH(DATEVALUE($A99),'changes1_based on steps'!K$1:K$400,0)),K$2,)</f>
        <v>0</v>
      </c>
      <c r="L99" s="155">
        <f ca="1">IF(ISNUMBER(MATCH(DATEVALUE($A99),'changes1_based on steps'!L$1:L$400,0)),L$2,)</f>
        <v>0</v>
      </c>
      <c r="M99" s="155">
        <f ca="1">IF(ISNUMBER(MATCH(DATEVALUE($A99),'changes1_based on steps'!M$1:M$400,0)),M$2,)</f>
        <v>0</v>
      </c>
      <c r="N99" s="155">
        <f ca="1">IF(ISNUMBER(MATCH(DATEVALUE($A99),'changes1_based on steps'!N$1:N$400,0)),N$2,)</f>
        <v>0</v>
      </c>
      <c r="O99" s="155">
        <f ca="1">IF(ISNUMBER(MATCH(DATEVALUE($A99),'changes1_based on steps'!O$1:O$400,0)),O$2,)</f>
        <v>0</v>
      </c>
      <c r="P99" s="155">
        <f ca="1">IF(ISNUMBER(MATCH(DATEVALUE($A99),'changes1_based on steps'!P$1:P$400,0)),P$2,)</f>
        <v>0</v>
      </c>
      <c r="Q99" s="155">
        <f ca="1">IF(ISNUMBER(MATCH(DATEVALUE($A99),'changes1_based on steps'!Q$1:Q$400,0)),Q$2,)</f>
        <v>0</v>
      </c>
      <c r="R99" s="155">
        <f ca="1">IF(ISNUMBER(MATCH(DATEVALUE($A99),'changes1_based on steps'!R$1:R$400,0)),R$2,)</f>
        <v>0</v>
      </c>
      <c r="S99" s="155">
        <f ca="1">IF(ISNUMBER(MATCH(DATEVALUE($A99),'changes1_based on steps'!S$1:S$400,0)),S$2,)</f>
        <v>0</v>
      </c>
      <c r="T99" s="155">
        <f ca="1">IF(ISNUMBER(MATCH(DATEVALUE($A99),'changes1_based on steps'!T$1:T$400,0)),T$2,)</f>
        <v>0</v>
      </c>
      <c r="U99" s="155">
        <f ca="1">IF(ISNUMBER(MATCH(DATEVALUE($A99),'changes1_based on steps'!U$1:U$400,0)),U$2,)</f>
        <v>0</v>
      </c>
    </row>
    <row r="100" spans="1:21" x14ac:dyDescent="0.2">
      <c r="A100" s="18" t="str">
        <f t="shared" ca="1" si="1"/>
        <v>2025-05-09</v>
      </c>
      <c r="B100" s="155">
        <f ca="1">IF(ISNUMBER(MATCH(DATEVALUE($A100),'changes1_based on steps'!B$1:B$400,0)),B$2,)</f>
        <v>0</v>
      </c>
      <c r="C100" s="155">
        <f ca="1">IF(ISNUMBER(MATCH(DATEVALUE($A100),'changes1_based on steps'!C$1:C$400,0)),C$2,)</f>
        <v>0</v>
      </c>
      <c r="D100" s="155">
        <f ca="1">IF(ISNUMBER(MATCH(DATEVALUE($A100),'changes1_based on steps'!D$1:D$400,0)),D$2,)</f>
        <v>0</v>
      </c>
      <c r="E100" s="155">
        <f ca="1">IF(ISNUMBER(MATCH(DATEVALUE($A100),'changes1_based on steps'!E$1:E$400,0)),E$2,)</f>
        <v>0</v>
      </c>
      <c r="F100" s="155">
        <f ca="1">IF(ISNUMBER(MATCH(DATEVALUE($A100),'changes1_based on steps'!F$1:F$400,0)),F$2,)</f>
        <v>0</v>
      </c>
      <c r="G100" s="155">
        <f ca="1">IF(ISNUMBER(MATCH(DATEVALUE($A100),'changes1_based on steps'!G$1:G$400,0)),G$2,)</f>
        <v>0</v>
      </c>
      <c r="H100" s="155">
        <f ca="1">IF(ISNUMBER(MATCH(DATEVALUE($A100),'changes1_based on steps'!H$1:H$400,0)),H$2,)</f>
        <v>0</v>
      </c>
      <c r="I100" s="155">
        <f ca="1">IF(ISNUMBER(MATCH(DATEVALUE($A100),'changes1_based on steps'!I$1:I$400,0)),I$2,)</f>
        <v>0</v>
      </c>
      <c r="J100" s="155">
        <f ca="1">IF(ISNUMBER(MATCH(DATEVALUE($A100),'changes1_based on steps'!J$1:J$400,0)),J$2,)</f>
        <v>0</v>
      </c>
      <c r="K100" s="155">
        <f ca="1">IF(ISNUMBER(MATCH(DATEVALUE($A100),'changes1_based on steps'!K$1:K$400,0)),K$2,)</f>
        <v>0</v>
      </c>
      <c r="L100" s="155">
        <f ca="1">IF(ISNUMBER(MATCH(DATEVALUE($A100),'changes1_based on steps'!L$1:L$400,0)),L$2,)</f>
        <v>0</v>
      </c>
      <c r="M100" s="155">
        <f ca="1">IF(ISNUMBER(MATCH(DATEVALUE($A100),'changes1_based on steps'!M$1:M$400,0)),M$2,)</f>
        <v>0</v>
      </c>
      <c r="N100" s="155">
        <f ca="1">IF(ISNUMBER(MATCH(DATEVALUE($A100),'changes1_based on steps'!N$1:N$400,0)),N$2,)</f>
        <v>0</v>
      </c>
      <c r="O100" s="155">
        <f ca="1">IF(ISNUMBER(MATCH(DATEVALUE($A100),'changes1_based on steps'!O$1:O$400,0)),O$2,)</f>
        <v>0</v>
      </c>
      <c r="P100" s="155">
        <f ca="1">IF(ISNUMBER(MATCH(DATEVALUE($A100),'changes1_based on steps'!P$1:P$400,0)),P$2,)</f>
        <v>0</v>
      </c>
      <c r="Q100" s="155">
        <f ca="1">IF(ISNUMBER(MATCH(DATEVALUE($A100),'changes1_based on steps'!Q$1:Q$400,0)),Q$2,)</f>
        <v>0</v>
      </c>
      <c r="R100" s="155">
        <f ca="1">IF(ISNUMBER(MATCH(DATEVALUE($A100),'changes1_based on steps'!R$1:R$400,0)),R$2,)</f>
        <v>0</v>
      </c>
      <c r="S100" s="155">
        <f ca="1">IF(ISNUMBER(MATCH(DATEVALUE($A100),'changes1_based on steps'!S$1:S$400,0)),S$2,)</f>
        <v>0</v>
      </c>
      <c r="T100" s="155">
        <f ca="1">IF(ISNUMBER(MATCH(DATEVALUE($A100),'changes1_based on steps'!T$1:T$400,0)),T$2,)</f>
        <v>0</v>
      </c>
      <c r="U100" s="155">
        <f ca="1">IF(ISNUMBER(MATCH(DATEVALUE($A100),'changes1_based on steps'!U$1:U$400,0)),U$2,)</f>
        <v>0</v>
      </c>
    </row>
    <row r="101" spans="1:21" x14ac:dyDescent="0.2">
      <c r="A101" s="18" t="str">
        <f t="shared" ca="1" si="1"/>
        <v>2025-05-10</v>
      </c>
      <c r="B101" s="155">
        <f ca="1">IF(ISNUMBER(MATCH(DATEVALUE($A101),'changes1_based on steps'!B$1:B$400,0)),B$2,)</f>
        <v>0</v>
      </c>
      <c r="C101" s="155">
        <f ca="1">IF(ISNUMBER(MATCH(DATEVALUE($A101),'changes1_based on steps'!C$1:C$400,0)),C$2,)</f>
        <v>0</v>
      </c>
      <c r="D101" s="155">
        <f ca="1">IF(ISNUMBER(MATCH(DATEVALUE($A101),'changes1_based on steps'!D$1:D$400,0)),D$2,)</f>
        <v>0</v>
      </c>
      <c r="E101" s="155">
        <f ca="1">IF(ISNUMBER(MATCH(DATEVALUE($A101),'changes1_based on steps'!E$1:E$400,0)),E$2,)</f>
        <v>0</v>
      </c>
      <c r="F101" s="155">
        <f ca="1">IF(ISNUMBER(MATCH(DATEVALUE($A101),'changes1_based on steps'!F$1:F$400,0)),F$2,)</f>
        <v>0</v>
      </c>
      <c r="G101" s="155">
        <f ca="1">IF(ISNUMBER(MATCH(DATEVALUE($A101),'changes1_based on steps'!G$1:G$400,0)),G$2,)</f>
        <v>0</v>
      </c>
      <c r="H101" s="155">
        <f ca="1">IF(ISNUMBER(MATCH(DATEVALUE($A101),'changes1_based on steps'!H$1:H$400,0)),H$2,)</f>
        <v>0</v>
      </c>
      <c r="I101" s="155">
        <f ca="1">IF(ISNUMBER(MATCH(DATEVALUE($A101),'changes1_based on steps'!I$1:I$400,0)),I$2,)</f>
        <v>0</v>
      </c>
      <c r="J101" s="155">
        <f ca="1">IF(ISNUMBER(MATCH(DATEVALUE($A101),'changes1_based on steps'!J$1:J$400,0)),J$2,)</f>
        <v>0</v>
      </c>
      <c r="K101" s="155">
        <f ca="1">IF(ISNUMBER(MATCH(DATEVALUE($A101),'changes1_based on steps'!K$1:K$400,0)),K$2,)</f>
        <v>0</v>
      </c>
      <c r="L101" s="155">
        <f ca="1">IF(ISNUMBER(MATCH(DATEVALUE($A101),'changes1_based on steps'!L$1:L$400,0)),L$2,)</f>
        <v>0</v>
      </c>
      <c r="M101" s="155">
        <f ca="1">IF(ISNUMBER(MATCH(DATEVALUE($A101),'changes1_based on steps'!M$1:M$400,0)),M$2,)</f>
        <v>0</v>
      </c>
      <c r="N101" s="155">
        <f ca="1">IF(ISNUMBER(MATCH(DATEVALUE($A101),'changes1_based on steps'!N$1:N$400,0)),N$2,)</f>
        <v>0</v>
      </c>
      <c r="O101" s="155">
        <f ca="1">IF(ISNUMBER(MATCH(DATEVALUE($A101),'changes1_based on steps'!O$1:O$400,0)),O$2,)</f>
        <v>0</v>
      </c>
      <c r="P101" s="155">
        <f ca="1">IF(ISNUMBER(MATCH(DATEVALUE($A101),'changes1_based on steps'!P$1:P$400,0)),P$2,)</f>
        <v>0</v>
      </c>
      <c r="Q101" s="155">
        <f ca="1">IF(ISNUMBER(MATCH(DATEVALUE($A101),'changes1_based on steps'!Q$1:Q$400,0)),Q$2,)</f>
        <v>0</v>
      </c>
      <c r="R101" s="155">
        <f ca="1">IF(ISNUMBER(MATCH(DATEVALUE($A101),'changes1_based on steps'!R$1:R$400,0)),R$2,)</f>
        <v>0</v>
      </c>
      <c r="S101" s="155">
        <f ca="1">IF(ISNUMBER(MATCH(DATEVALUE($A101),'changes1_based on steps'!S$1:S$400,0)),S$2,)</f>
        <v>0</v>
      </c>
      <c r="T101" s="155">
        <f ca="1">IF(ISNUMBER(MATCH(DATEVALUE($A101),'changes1_based on steps'!T$1:T$400,0)),T$2,)</f>
        <v>0</v>
      </c>
      <c r="U101" s="155">
        <f ca="1">IF(ISNUMBER(MATCH(DATEVALUE($A101),'changes1_based on steps'!U$1:U$400,0)),U$2,)</f>
        <v>0</v>
      </c>
    </row>
    <row r="102" spans="1:21" x14ac:dyDescent="0.2">
      <c r="A102" s="18" t="str">
        <f t="shared" ca="1" si="1"/>
        <v>2025-05-11</v>
      </c>
      <c r="B102" s="155">
        <f ca="1">IF(ISNUMBER(MATCH(DATEVALUE($A102),'changes1_based on steps'!B$1:B$400,0)),B$2,)</f>
        <v>0</v>
      </c>
      <c r="C102" s="155">
        <f ca="1">IF(ISNUMBER(MATCH(DATEVALUE($A102),'changes1_based on steps'!C$1:C$400,0)),C$2,)</f>
        <v>0</v>
      </c>
      <c r="D102" s="155">
        <f ca="1">IF(ISNUMBER(MATCH(DATEVALUE($A102),'changes1_based on steps'!D$1:D$400,0)),D$2,)</f>
        <v>0</v>
      </c>
      <c r="E102" s="155">
        <f ca="1">IF(ISNUMBER(MATCH(DATEVALUE($A102),'changes1_based on steps'!E$1:E$400,0)),E$2,)</f>
        <v>0</v>
      </c>
      <c r="F102" s="155">
        <f ca="1">IF(ISNUMBER(MATCH(DATEVALUE($A102),'changes1_based on steps'!F$1:F$400,0)),F$2,)</f>
        <v>0</v>
      </c>
      <c r="G102" s="155">
        <f ca="1">IF(ISNUMBER(MATCH(DATEVALUE($A102),'changes1_based on steps'!G$1:G$400,0)),G$2,)</f>
        <v>0</v>
      </c>
      <c r="H102" s="155">
        <f ca="1">IF(ISNUMBER(MATCH(DATEVALUE($A102),'changes1_based on steps'!H$1:H$400,0)),H$2,)</f>
        <v>0</v>
      </c>
      <c r="I102" s="155">
        <f ca="1">IF(ISNUMBER(MATCH(DATEVALUE($A102),'changes1_based on steps'!I$1:I$400,0)),I$2,)</f>
        <v>0</v>
      </c>
      <c r="J102" s="155">
        <f ca="1">IF(ISNUMBER(MATCH(DATEVALUE($A102),'changes1_based on steps'!J$1:J$400,0)),J$2,)</f>
        <v>0</v>
      </c>
      <c r="K102" s="155">
        <f ca="1">IF(ISNUMBER(MATCH(DATEVALUE($A102),'changes1_based on steps'!K$1:K$400,0)),K$2,)</f>
        <v>0</v>
      </c>
      <c r="L102" s="155">
        <f ca="1">IF(ISNUMBER(MATCH(DATEVALUE($A102),'changes1_based on steps'!L$1:L$400,0)),L$2,)</f>
        <v>0</v>
      </c>
      <c r="M102" s="155">
        <f ca="1">IF(ISNUMBER(MATCH(DATEVALUE($A102),'changes1_based on steps'!M$1:M$400,0)),M$2,)</f>
        <v>0</v>
      </c>
      <c r="N102" s="155">
        <f ca="1">IF(ISNUMBER(MATCH(DATEVALUE($A102),'changes1_based on steps'!N$1:N$400,0)),N$2,)</f>
        <v>0</v>
      </c>
      <c r="O102" s="155">
        <f ca="1">IF(ISNUMBER(MATCH(DATEVALUE($A102),'changes1_based on steps'!O$1:O$400,0)),O$2,)</f>
        <v>0</v>
      </c>
      <c r="P102" s="155">
        <f ca="1">IF(ISNUMBER(MATCH(DATEVALUE($A102),'changes1_based on steps'!P$1:P$400,0)),P$2,)</f>
        <v>0</v>
      </c>
      <c r="Q102" s="155">
        <f ca="1">IF(ISNUMBER(MATCH(DATEVALUE($A102),'changes1_based on steps'!Q$1:Q$400,0)),Q$2,)</f>
        <v>0</v>
      </c>
      <c r="R102" s="155">
        <f ca="1">IF(ISNUMBER(MATCH(DATEVALUE($A102),'changes1_based on steps'!R$1:R$400,0)),R$2,)</f>
        <v>0</v>
      </c>
      <c r="S102" s="155">
        <f ca="1">IF(ISNUMBER(MATCH(DATEVALUE($A102),'changes1_based on steps'!S$1:S$400,0)),S$2,)</f>
        <v>0</v>
      </c>
      <c r="T102" s="155">
        <f ca="1">IF(ISNUMBER(MATCH(DATEVALUE($A102),'changes1_based on steps'!T$1:T$400,0)),T$2,)</f>
        <v>0</v>
      </c>
      <c r="U102" s="155">
        <f ca="1">IF(ISNUMBER(MATCH(DATEVALUE($A102),'changes1_based on steps'!U$1:U$400,0)),U$2,)</f>
        <v>0</v>
      </c>
    </row>
    <row r="103" spans="1:21" x14ac:dyDescent="0.2">
      <c r="A103" s="18" t="str">
        <f t="shared" ca="1" si="1"/>
        <v>2025-05-12</v>
      </c>
      <c r="B103" s="155">
        <f ca="1">IF(ISNUMBER(MATCH(DATEVALUE($A103),'changes1_based on steps'!B$1:B$400,0)),B$2,)</f>
        <v>0</v>
      </c>
      <c r="C103" s="155">
        <f ca="1">IF(ISNUMBER(MATCH(DATEVALUE($A103),'changes1_based on steps'!C$1:C$400,0)),C$2,)</f>
        <v>0</v>
      </c>
      <c r="D103" s="155">
        <f ca="1">IF(ISNUMBER(MATCH(DATEVALUE($A103),'changes1_based on steps'!D$1:D$400,0)),D$2,)</f>
        <v>0</v>
      </c>
      <c r="E103" s="155">
        <f ca="1">IF(ISNUMBER(MATCH(DATEVALUE($A103),'changes1_based on steps'!E$1:E$400,0)),E$2,)</f>
        <v>0</v>
      </c>
      <c r="F103" s="155">
        <f ca="1">IF(ISNUMBER(MATCH(DATEVALUE($A103),'changes1_based on steps'!F$1:F$400,0)),F$2,)</f>
        <v>0</v>
      </c>
      <c r="G103" s="155">
        <f ca="1">IF(ISNUMBER(MATCH(DATEVALUE($A103),'changes1_based on steps'!G$1:G$400,0)),G$2,)</f>
        <v>0</v>
      </c>
      <c r="H103" s="155">
        <f ca="1">IF(ISNUMBER(MATCH(DATEVALUE($A103),'changes1_based on steps'!H$1:H$400,0)),H$2,)</f>
        <v>0</v>
      </c>
      <c r="I103" s="155">
        <f ca="1">IF(ISNUMBER(MATCH(DATEVALUE($A103),'changes1_based on steps'!I$1:I$400,0)),I$2,)</f>
        <v>0</v>
      </c>
      <c r="J103" s="155">
        <f ca="1">IF(ISNUMBER(MATCH(DATEVALUE($A103),'changes1_based on steps'!J$1:J$400,0)),J$2,)</f>
        <v>0</v>
      </c>
      <c r="K103" s="155">
        <f ca="1">IF(ISNUMBER(MATCH(DATEVALUE($A103),'changes1_based on steps'!K$1:K$400,0)),K$2,)</f>
        <v>0</v>
      </c>
      <c r="L103" s="155">
        <f ca="1">IF(ISNUMBER(MATCH(DATEVALUE($A103),'changes1_based on steps'!L$1:L$400,0)),L$2,)</f>
        <v>0</v>
      </c>
      <c r="M103" s="155">
        <f ca="1">IF(ISNUMBER(MATCH(DATEVALUE($A103),'changes1_based on steps'!M$1:M$400,0)),M$2,)</f>
        <v>0</v>
      </c>
      <c r="N103" s="155">
        <f ca="1">IF(ISNUMBER(MATCH(DATEVALUE($A103),'changes1_based on steps'!N$1:N$400,0)),N$2,)</f>
        <v>0</v>
      </c>
      <c r="O103" s="155">
        <f ca="1">IF(ISNUMBER(MATCH(DATEVALUE($A103),'changes1_based on steps'!O$1:O$400,0)),O$2,)</f>
        <v>0</v>
      </c>
      <c r="P103" s="155">
        <f ca="1">IF(ISNUMBER(MATCH(DATEVALUE($A103),'changes1_based on steps'!P$1:P$400,0)),P$2,)</f>
        <v>0</v>
      </c>
      <c r="Q103" s="155">
        <f ca="1">IF(ISNUMBER(MATCH(DATEVALUE($A103),'changes1_based on steps'!Q$1:Q$400,0)),Q$2,)</f>
        <v>0</v>
      </c>
      <c r="R103" s="155">
        <f ca="1">IF(ISNUMBER(MATCH(DATEVALUE($A103),'changes1_based on steps'!R$1:R$400,0)),R$2,)</f>
        <v>0</v>
      </c>
      <c r="S103" s="155">
        <f ca="1">IF(ISNUMBER(MATCH(DATEVALUE($A103),'changes1_based on steps'!S$1:S$400,0)),S$2,)</f>
        <v>0</v>
      </c>
      <c r="T103" s="155">
        <f ca="1">IF(ISNUMBER(MATCH(DATEVALUE($A103),'changes1_based on steps'!T$1:T$400,0)),T$2,)</f>
        <v>0</v>
      </c>
      <c r="U103" s="155">
        <f ca="1">IF(ISNUMBER(MATCH(DATEVALUE($A103),'changes1_based on steps'!U$1:U$400,0)),U$2,)</f>
        <v>0</v>
      </c>
    </row>
    <row r="104" spans="1:21" x14ac:dyDescent="0.2">
      <c r="A104" s="18" t="str">
        <f t="shared" ca="1" si="1"/>
        <v>2025-05-13</v>
      </c>
      <c r="B104" s="155">
        <f ca="1">IF(ISNUMBER(MATCH(DATEVALUE($A104),'changes1_based on steps'!B$1:B$400,0)),B$2,)</f>
        <v>0</v>
      </c>
      <c r="C104" s="155">
        <f ca="1">IF(ISNUMBER(MATCH(DATEVALUE($A104),'changes1_based on steps'!C$1:C$400,0)),C$2,)</f>
        <v>0</v>
      </c>
      <c r="D104" s="155">
        <f ca="1">IF(ISNUMBER(MATCH(DATEVALUE($A104),'changes1_based on steps'!D$1:D$400,0)),D$2,)</f>
        <v>0</v>
      </c>
      <c r="E104" s="155">
        <f ca="1">IF(ISNUMBER(MATCH(DATEVALUE($A104),'changes1_based on steps'!E$1:E$400,0)),E$2,)</f>
        <v>0</v>
      </c>
      <c r="F104" s="155">
        <f ca="1">IF(ISNUMBER(MATCH(DATEVALUE($A104),'changes1_based on steps'!F$1:F$400,0)),F$2,)</f>
        <v>0</v>
      </c>
      <c r="G104" s="155">
        <f ca="1">IF(ISNUMBER(MATCH(DATEVALUE($A104),'changes1_based on steps'!G$1:G$400,0)),G$2,)</f>
        <v>0</v>
      </c>
      <c r="H104" s="155">
        <f ca="1">IF(ISNUMBER(MATCH(DATEVALUE($A104),'changes1_based on steps'!H$1:H$400,0)),H$2,)</f>
        <v>0</v>
      </c>
      <c r="I104" s="155">
        <f ca="1">IF(ISNUMBER(MATCH(DATEVALUE($A104),'changes1_based on steps'!I$1:I$400,0)),I$2,)</f>
        <v>0</v>
      </c>
      <c r="J104" s="155">
        <f ca="1">IF(ISNUMBER(MATCH(DATEVALUE($A104),'changes1_based on steps'!J$1:J$400,0)),J$2,)</f>
        <v>0</v>
      </c>
      <c r="K104" s="155">
        <f ca="1">IF(ISNUMBER(MATCH(DATEVALUE($A104),'changes1_based on steps'!K$1:K$400,0)),K$2,)</f>
        <v>0</v>
      </c>
      <c r="L104" s="155">
        <f ca="1">IF(ISNUMBER(MATCH(DATEVALUE($A104),'changes1_based on steps'!L$1:L$400,0)),L$2,)</f>
        <v>0</v>
      </c>
      <c r="M104" s="155">
        <f ca="1">IF(ISNUMBER(MATCH(DATEVALUE($A104),'changes1_based on steps'!M$1:M$400,0)),M$2,)</f>
        <v>0</v>
      </c>
      <c r="N104" s="155">
        <f ca="1">IF(ISNUMBER(MATCH(DATEVALUE($A104),'changes1_based on steps'!N$1:N$400,0)),N$2,)</f>
        <v>0</v>
      </c>
      <c r="O104" s="155">
        <f ca="1">IF(ISNUMBER(MATCH(DATEVALUE($A104),'changes1_based on steps'!O$1:O$400,0)),O$2,)</f>
        <v>0</v>
      </c>
      <c r="P104" s="155">
        <f ca="1">IF(ISNUMBER(MATCH(DATEVALUE($A104),'changes1_based on steps'!P$1:P$400,0)),P$2,)</f>
        <v>0</v>
      </c>
      <c r="Q104" s="155">
        <f ca="1">IF(ISNUMBER(MATCH(DATEVALUE($A104),'changes1_based on steps'!Q$1:Q$400,0)),Q$2,)</f>
        <v>0</v>
      </c>
      <c r="R104" s="155">
        <f ca="1">IF(ISNUMBER(MATCH(DATEVALUE($A104),'changes1_based on steps'!R$1:R$400,0)),R$2,)</f>
        <v>0</v>
      </c>
      <c r="S104" s="155">
        <f ca="1">IF(ISNUMBER(MATCH(DATEVALUE($A104),'changes1_based on steps'!S$1:S$400,0)),S$2,)</f>
        <v>0</v>
      </c>
      <c r="T104" s="155">
        <f ca="1">IF(ISNUMBER(MATCH(DATEVALUE($A104),'changes1_based on steps'!T$1:T$400,0)),T$2,)</f>
        <v>0</v>
      </c>
      <c r="U104" s="155">
        <f ca="1">IF(ISNUMBER(MATCH(DATEVALUE($A104),'changes1_based on steps'!U$1:U$400,0)),U$2,)</f>
        <v>0</v>
      </c>
    </row>
    <row r="105" spans="1:21" x14ac:dyDescent="0.2">
      <c r="A105" s="18" t="str">
        <f t="shared" ca="1" si="1"/>
        <v>2025-05-14</v>
      </c>
      <c r="B105" s="155">
        <f ca="1">IF(ISNUMBER(MATCH(DATEVALUE($A105),'changes1_based on steps'!B$1:B$400,0)),B$2,)</f>
        <v>0</v>
      </c>
      <c r="C105" s="155">
        <f ca="1">IF(ISNUMBER(MATCH(DATEVALUE($A105),'changes1_based on steps'!C$1:C$400,0)),C$2,)</f>
        <v>0</v>
      </c>
      <c r="D105" s="155">
        <f ca="1">IF(ISNUMBER(MATCH(DATEVALUE($A105),'changes1_based on steps'!D$1:D$400,0)),D$2,)</f>
        <v>0</v>
      </c>
      <c r="E105" s="155">
        <f ca="1">IF(ISNUMBER(MATCH(DATEVALUE($A105),'changes1_based on steps'!E$1:E$400,0)),E$2,)</f>
        <v>0</v>
      </c>
      <c r="F105" s="155">
        <f ca="1">IF(ISNUMBER(MATCH(DATEVALUE($A105),'changes1_based on steps'!F$1:F$400,0)),F$2,)</f>
        <v>0</v>
      </c>
      <c r="G105" s="155">
        <f ca="1">IF(ISNUMBER(MATCH(DATEVALUE($A105),'changes1_based on steps'!G$1:G$400,0)),G$2,)</f>
        <v>0</v>
      </c>
      <c r="H105" s="155">
        <f ca="1">IF(ISNUMBER(MATCH(DATEVALUE($A105),'changes1_based on steps'!H$1:H$400,0)),H$2,)</f>
        <v>0</v>
      </c>
      <c r="I105" s="155">
        <f ca="1">IF(ISNUMBER(MATCH(DATEVALUE($A105),'changes1_based on steps'!I$1:I$400,0)),I$2,)</f>
        <v>0</v>
      </c>
      <c r="J105" s="155">
        <f ca="1">IF(ISNUMBER(MATCH(DATEVALUE($A105),'changes1_based on steps'!J$1:J$400,0)),J$2,)</f>
        <v>0</v>
      </c>
      <c r="K105" s="155">
        <f ca="1">IF(ISNUMBER(MATCH(DATEVALUE($A105),'changes1_based on steps'!K$1:K$400,0)),K$2,)</f>
        <v>0</v>
      </c>
      <c r="L105" s="155">
        <f ca="1">IF(ISNUMBER(MATCH(DATEVALUE($A105),'changes1_based on steps'!L$1:L$400,0)),L$2,)</f>
        <v>0</v>
      </c>
      <c r="M105" s="155">
        <f ca="1">IF(ISNUMBER(MATCH(DATEVALUE($A105),'changes1_based on steps'!M$1:M$400,0)),M$2,)</f>
        <v>0</v>
      </c>
      <c r="N105" s="155">
        <f ca="1">IF(ISNUMBER(MATCH(DATEVALUE($A105),'changes1_based on steps'!N$1:N$400,0)),N$2,)</f>
        <v>0</v>
      </c>
      <c r="O105" s="155">
        <f ca="1">IF(ISNUMBER(MATCH(DATEVALUE($A105),'changes1_based on steps'!O$1:O$400,0)),O$2,)</f>
        <v>0</v>
      </c>
      <c r="P105" s="155">
        <f ca="1">IF(ISNUMBER(MATCH(DATEVALUE($A105),'changes1_based on steps'!P$1:P$400,0)),P$2,)</f>
        <v>0</v>
      </c>
      <c r="Q105" s="155">
        <f ca="1">IF(ISNUMBER(MATCH(DATEVALUE($A105),'changes1_based on steps'!Q$1:Q$400,0)),Q$2,)</f>
        <v>0</v>
      </c>
      <c r="R105" s="155">
        <f ca="1">IF(ISNUMBER(MATCH(DATEVALUE($A105),'changes1_based on steps'!R$1:R$400,0)),R$2,)</f>
        <v>0</v>
      </c>
      <c r="S105" s="155">
        <f ca="1">IF(ISNUMBER(MATCH(DATEVALUE($A105),'changes1_based on steps'!S$1:S$400,0)),S$2,)</f>
        <v>0</v>
      </c>
      <c r="T105" s="155">
        <f ca="1">IF(ISNUMBER(MATCH(DATEVALUE($A105),'changes1_based on steps'!T$1:T$400,0)),T$2,)</f>
        <v>0</v>
      </c>
      <c r="U105" s="155">
        <f ca="1">IF(ISNUMBER(MATCH(DATEVALUE($A105),'changes1_based on steps'!U$1:U$400,0)),U$2,)</f>
        <v>0</v>
      </c>
    </row>
    <row r="106" spans="1:21" x14ac:dyDescent="0.2">
      <c r="A106" s="18" t="str">
        <f t="shared" ca="1" si="1"/>
        <v>2025-05-15</v>
      </c>
      <c r="B106" s="155">
        <f ca="1">IF(ISNUMBER(MATCH(DATEVALUE($A106),'changes1_based on steps'!B$1:B$400,0)),B$2,)</f>
        <v>0</v>
      </c>
      <c r="C106" s="155">
        <f ca="1">IF(ISNUMBER(MATCH(DATEVALUE($A106),'changes1_based on steps'!C$1:C$400,0)),C$2,)</f>
        <v>0</v>
      </c>
      <c r="D106" s="155">
        <f ca="1">IF(ISNUMBER(MATCH(DATEVALUE($A106),'changes1_based on steps'!D$1:D$400,0)),D$2,)</f>
        <v>0</v>
      </c>
      <c r="E106" s="155">
        <f ca="1">IF(ISNUMBER(MATCH(DATEVALUE($A106),'changes1_based on steps'!E$1:E$400,0)),E$2,)</f>
        <v>0</v>
      </c>
      <c r="F106" s="155">
        <f ca="1">IF(ISNUMBER(MATCH(DATEVALUE($A106),'changes1_based on steps'!F$1:F$400,0)),F$2,)</f>
        <v>0</v>
      </c>
      <c r="G106" s="155">
        <f ca="1">IF(ISNUMBER(MATCH(DATEVALUE($A106),'changes1_based on steps'!G$1:G$400,0)),G$2,)</f>
        <v>0</v>
      </c>
      <c r="H106" s="155">
        <f ca="1">IF(ISNUMBER(MATCH(DATEVALUE($A106),'changes1_based on steps'!H$1:H$400,0)),H$2,)</f>
        <v>0</v>
      </c>
      <c r="I106" s="155">
        <f ca="1">IF(ISNUMBER(MATCH(DATEVALUE($A106),'changes1_based on steps'!I$1:I$400,0)),I$2,)</f>
        <v>0</v>
      </c>
      <c r="J106" s="155">
        <f ca="1">IF(ISNUMBER(MATCH(DATEVALUE($A106),'changes1_based on steps'!J$1:J$400,0)),J$2,)</f>
        <v>0</v>
      </c>
      <c r="K106" s="155">
        <f ca="1">IF(ISNUMBER(MATCH(DATEVALUE($A106),'changes1_based on steps'!K$1:K$400,0)),K$2,)</f>
        <v>0</v>
      </c>
      <c r="L106" s="155">
        <f ca="1">IF(ISNUMBER(MATCH(DATEVALUE($A106),'changes1_based on steps'!L$1:L$400,0)),L$2,)</f>
        <v>0</v>
      </c>
      <c r="M106" s="155">
        <f ca="1">IF(ISNUMBER(MATCH(DATEVALUE($A106),'changes1_based on steps'!M$1:M$400,0)),M$2,)</f>
        <v>0</v>
      </c>
      <c r="N106" s="155">
        <f ca="1">IF(ISNUMBER(MATCH(DATEVALUE($A106),'changes1_based on steps'!N$1:N$400,0)),N$2,)</f>
        <v>0</v>
      </c>
      <c r="O106" s="155">
        <f ca="1">IF(ISNUMBER(MATCH(DATEVALUE($A106),'changes1_based on steps'!O$1:O$400,0)),O$2,)</f>
        <v>0</v>
      </c>
      <c r="P106" s="155">
        <f ca="1">IF(ISNUMBER(MATCH(DATEVALUE($A106),'changes1_based on steps'!P$1:P$400,0)),P$2,)</f>
        <v>0</v>
      </c>
      <c r="Q106" s="155">
        <f ca="1">IF(ISNUMBER(MATCH(DATEVALUE($A106),'changes1_based on steps'!Q$1:Q$400,0)),Q$2,)</f>
        <v>0</v>
      </c>
      <c r="R106" s="155">
        <f ca="1">IF(ISNUMBER(MATCH(DATEVALUE($A106),'changes1_based on steps'!R$1:R$400,0)),R$2,)</f>
        <v>0</v>
      </c>
      <c r="S106" s="155">
        <f ca="1">IF(ISNUMBER(MATCH(DATEVALUE($A106),'changes1_based on steps'!S$1:S$400,0)),S$2,)</f>
        <v>0</v>
      </c>
      <c r="T106" s="155">
        <f ca="1">IF(ISNUMBER(MATCH(DATEVALUE($A106),'changes1_based on steps'!T$1:T$400,0)),T$2,)</f>
        <v>0</v>
      </c>
      <c r="U106" s="155">
        <f ca="1">IF(ISNUMBER(MATCH(DATEVALUE($A106),'changes1_based on steps'!U$1:U$400,0)),U$2,)</f>
        <v>0</v>
      </c>
    </row>
    <row r="107" spans="1:21" x14ac:dyDescent="0.2">
      <c r="A107" s="18" t="str">
        <f t="shared" ca="1" si="1"/>
        <v>2025-05-16</v>
      </c>
      <c r="B107" s="155">
        <f ca="1">IF(ISNUMBER(MATCH(DATEVALUE($A107),'changes1_based on steps'!B$1:B$400,0)),B$2,)</f>
        <v>0</v>
      </c>
      <c r="C107" s="155">
        <f ca="1">IF(ISNUMBER(MATCH(DATEVALUE($A107),'changes1_based on steps'!C$1:C$400,0)),C$2,)</f>
        <v>0</v>
      </c>
      <c r="D107" s="155">
        <f ca="1">IF(ISNUMBER(MATCH(DATEVALUE($A107),'changes1_based on steps'!D$1:D$400,0)),D$2,)</f>
        <v>0</v>
      </c>
      <c r="E107" s="155">
        <f ca="1">IF(ISNUMBER(MATCH(DATEVALUE($A107),'changes1_based on steps'!E$1:E$400,0)),E$2,)</f>
        <v>0</v>
      </c>
      <c r="F107" s="155">
        <f ca="1">IF(ISNUMBER(MATCH(DATEVALUE($A107),'changes1_based on steps'!F$1:F$400,0)),F$2,)</f>
        <v>0</v>
      </c>
      <c r="G107" s="155">
        <f ca="1">IF(ISNUMBER(MATCH(DATEVALUE($A107),'changes1_based on steps'!G$1:G$400,0)),G$2,)</f>
        <v>0</v>
      </c>
      <c r="H107" s="155">
        <f ca="1">IF(ISNUMBER(MATCH(DATEVALUE($A107),'changes1_based on steps'!H$1:H$400,0)),H$2,)</f>
        <v>0</v>
      </c>
      <c r="I107" s="155">
        <f ca="1">IF(ISNUMBER(MATCH(DATEVALUE($A107),'changes1_based on steps'!I$1:I$400,0)),I$2,)</f>
        <v>0</v>
      </c>
      <c r="J107" s="155">
        <f ca="1">IF(ISNUMBER(MATCH(DATEVALUE($A107),'changes1_based on steps'!J$1:J$400,0)),J$2,)</f>
        <v>0</v>
      </c>
      <c r="K107" s="155">
        <f ca="1">IF(ISNUMBER(MATCH(DATEVALUE($A107),'changes1_based on steps'!K$1:K$400,0)),K$2,)</f>
        <v>0</v>
      </c>
      <c r="L107" s="155">
        <f ca="1">IF(ISNUMBER(MATCH(DATEVALUE($A107),'changes1_based on steps'!L$1:L$400,0)),L$2,)</f>
        <v>0</v>
      </c>
      <c r="M107" s="155">
        <f ca="1">IF(ISNUMBER(MATCH(DATEVALUE($A107),'changes1_based on steps'!M$1:M$400,0)),M$2,)</f>
        <v>0</v>
      </c>
      <c r="N107" s="155">
        <f ca="1">IF(ISNUMBER(MATCH(DATEVALUE($A107),'changes1_based on steps'!N$1:N$400,0)),N$2,)</f>
        <v>0</v>
      </c>
      <c r="O107" s="155">
        <f ca="1">IF(ISNUMBER(MATCH(DATEVALUE($A107),'changes1_based on steps'!O$1:O$400,0)),O$2,)</f>
        <v>0</v>
      </c>
      <c r="P107" s="155">
        <f ca="1">IF(ISNUMBER(MATCH(DATEVALUE($A107),'changes1_based on steps'!P$1:P$400,0)),P$2,)</f>
        <v>0</v>
      </c>
      <c r="Q107" s="155">
        <f ca="1">IF(ISNUMBER(MATCH(DATEVALUE($A107),'changes1_based on steps'!Q$1:Q$400,0)),Q$2,)</f>
        <v>0</v>
      </c>
      <c r="R107" s="155">
        <f ca="1">IF(ISNUMBER(MATCH(DATEVALUE($A107),'changes1_based on steps'!R$1:R$400,0)),R$2,)</f>
        <v>0</v>
      </c>
      <c r="S107" s="155">
        <f ca="1">IF(ISNUMBER(MATCH(DATEVALUE($A107),'changes1_based on steps'!S$1:S$400,0)),S$2,)</f>
        <v>0</v>
      </c>
      <c r="T107" s="155">
        <f ca="1">IF(ISNUMBER(MATCH(DATEVALUE($A107),'changes1_based on steps'!T$1:T$400,0)),T$2,)</f>
        <v>0</v>
      </c>
      <c r="U107" s="155">
        <f ca="1">IF(ISNUMBER(MATCH(DATEVALUE($A107),'changes1_based on steps'!U$1:U$400,0)),U$2,)</f>
        <v>0</v>
      </c>
    </row>
    <row r="108" spans="1:21" x14ac:dyDescent="0.2">
      <c r="A108" s="18" t="str">
        <f t="shared" ca="1" si="1"/>
        <v>2025-05-17</v>
      </c>
      <c r="B108" s="155">
        <f ca="1">IF(ISNUMBER(MATCH(DATEVALUE($A108),'changes1_based on steps'!B$1:B$400,0)),B$2,)</f>
        <v>0</v>
      </c>
      <c r="C108" s="155">
        <f ca="1">IF(ISNUMBER(MATCH(DATEVALUE($A108),'changes1_based on steps'!C$1:C$400,0)),C$2,)</f>
        <v>0</v>
      </c>
      <c r="D108" s="155">
        <f ca="1">IF(ISNUMBER(MATCH(DATEVALUE($A108),'changes1_based on steps'!D$1:D$400,0)),D$2,)</f>
        <v>0</v>
      </c>
      <c r="E108" s="155">
        <f ca="1">IF(ISNUMBER(MATCH(DATEVALUE($A108),'changes1_based on steps'!E$1:E$400,0)),E$2,)</f>
        <v>0</v>
      </c>
      <c r="F108" s="155">
        <f ca="1">IF(ISNUMBER(MATCH(DATEVALUE($A108),'changes1_based on steps'!F$1:F$400,0)),F$2,)</f>
        <v>0</v>
      </c>
      <c r="G108" s="155">
        <f ca="1">IF(ISNUMBER(MATCH(DATEVALUE($A108),'changes1_based on steps'!G$1:G$400,0)),G$2,)</f>
        <v>0</v>
      </c>
      <c r="H108" s="155">
        <f ca="1">IF(ISNUMBER(MATCH(DATEVALUE($A108),'changes1_based on steps'!H$1:H$400,0)),H$2,)</f>
        <v>0</v>
      </c>
      <c r="I108" s="155">
        <f ca="1">IF(ISNUMBER(MATCH(DATEVALUE($A108),'changes1_based on steps'!I$1:I$400,0)),I$2,)</f>
        <v>0</v>
      </c>
      <c r="J108" s="155">
        <f ca="1">IF(ISNUMBER(MATCH(DATEVALUE($A108),'changes1_based on steps'!J$1:J$400,0)),J$2,)</f>
        <v>0</v>
      </c>
      <c r="K108" s="155">
        <f ca="1">IF(ISNUMBER(MATCH(DATEVALUE($A108),'changes1_based on steps'!K$1:K$400,0)),K$2,)</f>
        <v>0</v>
      </c>
      <c r="L108" s="155">
        <f ca="1">IF(ISNUMBER(MATCH(DATEVALUE($A108),'changes1_based on steps'!L$1:L$400,0)),L$2,)</f>
        <v>0</v>
      </c>
      <c r="M108" s="155">
        <f ca="1">IF(ISNUMBER(MATCH(DATEVALUE($A108),'changes1_based on steps'!M$1:M$400,0)),M$2,)</f>
        <v>0</v>
      </c>
      <c r="N108" s="155">
        <f ca="1">IF(ISNUMBER(MATCH(DATEVALUE($A108),'changes1_based on steps'!N$1:N$400,0)),N$2,)</f>
        <v>0</v>
      </c>
      <c r="O108" s="155">
        <f ca="1">IF(ISNUMBER(MATCH(DATEVALUE($A108),'changes1_based on steps'!O$1:O$400,0)),O$2,)</f>
        <v>0</v>
      </c>
      <c r="P108" s="155">
        <f ca="1">IF(ISNUMBER(MATCH(DATEVALUE($A108),'changes1_based on steps'!P$1:P$400,0)),P$2,)</f>
        <v>0</v>
      </c>
      <c r="Q108" s="155">
        <f ca="1">IF(ISNUMBER(MATCH(DATEVALUE($A108),'changes1_based on steps'!Q$1:Q$400,0)),Q$2,)</f>
        <v>0</v>
      </c>
      <c r="R108" s="155">
        <f ca="1">IF(ISNUMBER(MATCH(DATEVALUE($A108),'changes1_based on steps'!R$1:R$400,0)),R$2,)</f>
        <v>0</v>
      </c>
      <c r="S108" s="155">
        <f ca="1">IF(ISNUMBER(MATCH(DATEVALUE($A108),'changes1_based on steps'!S$1:S$400,0)),S$2,)</f>
        <v>0</v>
      </c>
      <c r="T108" s="155">
        <f ca="1">IF(ISNUMBER(MATCH(DATEVALUE($A108),'changes1_based on steps'!T$1:T$400,0)),T$2,)</f>
        <v>0</v>
      </c>
      <c r="U108" s="155">
        <f ca="1">IF(ISNUMBER(MATCH(DATEVALUE($A108),'changes1_based on steps'!U$1:U$400,0)),U$2,)</f>
        <v>0</v>
      </c>
    </row>
    <row r="109" spans="1:21" x14ac:dyDescent="0.2">
      <c r="A109" s="18" t="str">
        <f t="shared" ca="1" si="1"/>
        <v>2025-05-18</v>
      </c>
      <c r="B109" s="155">
        <f ca="1">IF(ISNUMBER(MATCH(DATEVALUE($A109),'changes1_based on steps'!B$1:B$400,0)),B$2,)</f>
        <v>0</v>
      </c>
      <c r="C109" s="155">
        <f ca="1">IF(ISNUMBER(MATCH(DATEVALUE($A109),'changes1_based on steps'!C$1:C$400,0)),C$2,)</f>
        <v>0</v>
      </c>
      <c r="D109" s="155">
        <f ca="1">IF(ISNUMBER(MATCH(DATEVALUE($A109),'changes1_based on steps'!D$1:D$400,0)),D$2,)</f>
        <v>0</v>
      </c>
      <c r="E109" s="155">
        <f ca="1">IF(ISNUMBER(MATCH(DATEVALUE($A109),'changes1_based on steps'!E$1:E$400,0)),E$2,)</f>
        <v>0</v>
      </c>
      <c r="F109" s="155">
        <f ca="1">IF(ISNUMBER(MATCH(DATEVALUE($A109),'changes1_based on steps'!F$1:F$400,0)),F$2,)</f>
        <v>0</v>
      </c>
      <c r="G109" s="155">
        <f ca="1">IF(ISNUMBER(MATCH(DATEVALUE($A109),'changes1_based on steps'!G$1:G$400,0)),G$2,)</f>
        <v>0</v>
      </c>
      <c r="H109" s="155">
        <f ca="1">IF(ISNUMBER(MATCH(DATEVALUE($A109),'changes1_based on steps'!H$1:H$400,0)),H$2,)</f>
        <v>0</v>
      </c>
      <c r="I109" s="155">
        <f ca="1">IF(ISNUMBER(MATCH(DATEVALUE($A109),'changes1_based on steps'!I$1:I$400,0)),I$2,)</f>
        <v>0</v>
      </c>
      <c r="J109" s="155">
        <f ca="1">IF(ISNUMBER(MATCH(DATEVALUE($A109),'changes1_based on steps'!J$1:J$400,0)),J$2,)</f>
        <v>0</v>
      </c>
      <c r="K109" s="155">
        <f ca="1">IF(ISNUMBER(MATCH(DATEVALUE($A109),'changes1_based on steps'!K$1:K$400,0)),K$2,)</f>
        <v>0</v>
      </c>
      <c r="L109" s="155">
        <f ca="1">IF(ISNUMBER(MATCH(DATEVALUE($A109),'changes1_based on steps'!L$1:L$400,0)),L$2,)</f>
        <v>0</v>
      </c>
      <c r="M109" s="155">
        <f ca="1">IF(ISNUMBER(MATCH(DATEVALUE($A109),'changes1_based on steps'!M$1:M$400,0)),M$2,)</f>
        <v>0</v>
      </c>
      <c r="N109" s="155">
        <f ca="1">IF(ISNUMBER(MATCH(DATEVALUE($A109),'changes1_based on steps'!N$1:N$400,0)),N$2,)</f>
        <v>0</v>
      </c>
      <c r="O109" s="155">
        <f ca="1">IF(ISNUMBER(MATCH(DATEVALUE($A109),'changes1_based on steps'!O$1:O$400,0)),O$2,)</f>
        <v>0</v>
      </c>
      <c r="P109" s="155">
        <f ca="1">IF(ISNUMBER(MATCH(DATEVALUE($A109),'changes1_based on steps'!P$1:P$400,0)),P$2,)</f>
        <v>0</v>
      </c>
      <c r="Q109" s="155">
        <f ca="1">IF(ISNUMBER(MATCH(DATEVALUE($A109),'changes1_based on steps'!Q$1:Q$400,0)),Q$2,)</f>
        <v>0</v>
      </c>
      <c r="R109" s="155">
        <f ca="1">IF(ISNUMBER(MATCH(DATEVALUE($A109),'changes1_based on steps'!R$1:R$400,0)),R$2,)</f>
        <v>0</v>
      </c>
      <c r="S109" s="155">
        <f ca="1">IF(ISNUMBER(MATCH(DATEVALUE($A109),'changes1_based on steps'!S$1:S$400,0)),S$2,)</f>
        <v>0</v>
      </c>
      <c r="T109" s="155">
        <f ca="1">IF(ISNUMBER(MATCH(DATEVALUE($A109),'changes1_based on steps'!T$1:T$400,0)),T$2,)</f>
        <v>0</v>
      </c>
      <c r="U109" s="155">
        <f ca="1">IF(ISNUMBER(MATCH(DATEVALUE($A109),'changes1_based on steps'!U$1:U$400,0)),U$2,)</f>
        <v>0</v>
      </c>
    </row>
    <row r="110" spans="1:21" x14ac:dyDescent="0.2">
      <c r="A110" s="18" t="str">
        <f t="shared" ca="1" si="1"/>
        <v>2025-05-19</v>
      </c>
      <c r="B110" s="155">
        <f ca="1">IF(ISNUMBER(MATCH(DATEVALUE($A110),'changes1_based on steps'!B$1:B$400,0)),B$2,)</f>
        <v>0</v>
      </c>
      <c r="C110" s="155">
        <f ca="1">IF(ISNUMBER(MATCH(DATEVALUE($A110),'changes1_based on steps'!C$1:C$400,0)),C$2,)</f>
        <v>0</v>
      </c>
      <c r="D110" s="155">
        <f ca="1">IF(ISNUMBER(MATCH(DATEVALUE($A110),'changes1_based on steps'!D$1:D$400,0)),D$2,)</f>
        <v>0</v>
      </c>
      <c r="E110" s="155">
        <f ca="1">IF(ISNUMBER(MATCH(DATEVALUE($A110),'changes1_based on steps'!E$1:E$400,0)),E$2,)</f>
        <v>0</v>
      </c>
      <c r="F110" s="155">
        <f ca="1">IF(ISNUMBER(MATCH(DATEVALUE($A110),'changes1_based on steps'!F$1:F$400,0)),F$2,)</f>
        <v>0</v>
      </c>
      <c r="G110" s="155">
        <f ca="1">IF(ISNUMBER(MATCH(DATEVALUE($A110),'changes1_based on steps'!G$1:G$400,0)),G$2,)</f>
        <v>0</v>
      </c>
      <c r="H110" s="155">
        <f ca="1">IF(ISNUMBER(MATCH(DATEVALUE($A110),'changes1_based on steps'!H$1:H$400,0)),H$2,)</f>
        <v>0</v>
      </c>
      <c r="I110" s="155">
        <f ca="1">IF(ISNUMBER(MATCH(DATEVALUE($A110),'changes1_based on steps'!I$1:I$400,0)),I$2,)</f>
        <v>0</v>
      </c>
      <c r="J110" s="155">
        <f ca="1">IF(ISNUMBER(MATCH(DATEVALUE($A110),'changes1_based on steps'!J$1:J$400,0)),J$2,)</f>
        <v>0</v>
      </c>
      <c r="K110" s="155">
        <f ca="1">IF(ISNUMBER(MATCH(DATEVALUE($A110),'changes1_based on steps'!K$1:K$400,0)),K$2,)</f>
        <v>0</v>
      </c>
      <c r="L110" s="155">
        <f ca="1">IF(ISNUMBER(MATCH(DATEVALUE($A110),'changes1_based on steps'!L$1:L$400,0)),L$2,)</f>
        <v>0</v>
      </c>
      <c r="M110" s="155">
        <f ca="1">IF(ISNUMBER(MATCH(DATEVALUE($A110),'changes1_based on steps'!M$1:M$400,0)),M$2,)</f>
        <v>0</v>
      </c>
      <c r="N110" s="155">
        <f ca="1">IF(ISNUMBER(MATCH(DATEVALUE($A110),'changes1_based on steps'!N$1:N$400,0)),N$2,)</f>
        <v>0</v>
      </c>
      <c r="O110" s="155">
        <f ca="1">IF(ISNUMBER(MATCH(DATEVALUE($A110),'changes1_based on steps'!O$1:O$400,0)),O$2,)</f>
        <v>0</v>
      </c>
      <c r="P110" s="155">
        <f ca="1">IF(ISNUMBER(MATCH(DATEVALUE($A110),'changes1_based on steps'!P$1:P$400,0)),P$2,)</f>
        <v>0</v>
      </c>
      <c r="Q110" s="155">
        <f ca="1">IF(ISNUMBER(MATCH(DATEVALUE($A110),'changes1_based on steps'!Q$1:Q$400,0)),Q$2,)</f>
        <v>0</v>
      </c>
      <c r="R110" s="155">
        <f ca="1">IF(ISNUMBER(MATCH(DATEVALUE($A110),'changes1_based on steps'!R$1:R$400,0)),R$2,)</f>
        <v>0</v>
      </c>
      <c r="S110" s="155">
        <f ca="1">IF(ISNUMBER(MATCH(DATEVALUE($A110),'changes1_based on steps'!S$1:S$400,0)),S$2,)</f>
        <v>0</v>
      </c>
      <c r="T110" s="155">
        <f ca="1">IF(ISNUMBER(MATCH(DATEVALUE($A110),'changes1_based on steps'!T$1:T$400,0)),T$2,)</f>
        <v>0</v>
      </c>
      <c r="U110" s="155">
        <f ca="1">IF(ISNUMBER(MATCH(DATEVALUE($A110),'changes1_based on steps'!U$1:U$400,0)),U$2,)</f>
        <v>0</v>
      </c>
    </row>
    <row r="111" spans="1:21" x14ac:dyDescent="0.2">
      <c r="A111" s="18" t="str">
        <f t="shared" ca="1" si="1"/>
        <v>2025-05-20</v>
      </c>
      <c r="B111" s="155">
        <f ca="1">IF(ISNUMBER(MATCH(DATEVALUE($A111),'changes1_based on steps'!B$1:B$400,0)),B$2,)</f>
        <v>0</v>
      </c>
      <c r="C111" s="155">
        <f ca="1">IF(ISNUMBER(MATCH(DATEVALUE($A111),'changes1_based on steps'!C$1:C$400,0)),C$2,)</f>
        <v>0</v>
      </c>
      <c r="D111" s="155">
        <f ca="1">IF(ISNUMBER(MATCH(DATEVALUE($A111),'changes1_based on steps'!D$1:D$400,0)),D$2,)</f>
        <v>0</v>
      </c>
      <c r="E111" s="155">
        <f ca="1">IF(ISNUMBER(MATCH(DATEVALUE($A111),'changes1_based on steps'!E$1:E$400,0)),E$2,)</f>
        <v>0</v>
      </c>
      <c r="F111" s="155">
        <f ca="1">IF(ISNUMBER(MATCH(DATEVALUE($A111),'changes1_based on steps'!F$1:F$400,0)),F$2,)</f>
        <v>0</v>
      </c>
      <c r="G111" s="155">
        <f ca="1">IF(ISNUMBER(MATCH(DATEVALUE($A111),'changes1_based on steps'!G$1:G$400,0)),G$2,)</f>
        <v>0</v>
      </c>
      <c r="H111" s="155">
        <f ca="1">IF(ISNUMBER(MATCH(DATEVALUE($A111),'changes1_based on steps'!H$1:H$400,0)),H$2,)</f>
        <v>0</v>
      </c>
      <c r="I111" s="155">
        <f ca="1">IF(ISNUMBER(MATCH(DATEVALUE($A111),'changes1_based on steps'!I$1:I$400,0)),I$2,)</f>
        <v>0</v>
      </c>
      <c r="J111" s="155">
        <f ca="1">IF(ISNUMBER(MATCH(DATEVALUE($A111),'changes1_based on steps'!J$1:J$400,0)),J$2,)</f>
        <v>0</v>
      </c>
      <c r="K111" s="155">
        <f ca="1">IF(ISNUMBER(MATCH(DATEVALUE($A111),'changes1_based on steps'!K$1:K$400,0)),K$2,)</f>
        <v>0</v>
      </c>
      <c r="L111" s="155">
        <f ca="1">IF(ISNUMBER(MATCH(DATEVALUE($A111),'changes1_based on steps'!L$1:L$400,0)),L$2,)</f>
        <v>0</v>
      </c>
      <c r="M111" s="155">
        <f ca="1">IF(ISNUMBER(MATCH(DATEVALUE($A111),'changes1_based on steps'!M$1:M$400,0)),M$2,)</f>
        <v>0</v>
      </c>
      <c r="N111" s="155">
        <f ca="1">IF(ISNUMBER(MATCH(DATEVALUE($A111),'changes1_based on steps'!N$1:N$400,0)),N$2,)</f>
        <v>0</v>
      </c>
      <c r="O111" s="155">
        <f ca="1">IF(ISNUMBER(MATCH(DATEVALUE($A111),'changes1_based on steps'!O$1:O$400,0)),O$2,)</f>
        <v>0</v>
      </c>
      <c r="P111" s="155">
        <f ca="1">IF(ISNUMBER(MATCH(DATEVALUE($A111),'changes1_based on steps'!P$1:P$400,0)),P$2,)</f>
        <v>0</v>
      </c>
      <c r="Q111" s="155">
        <f ca="1">IF(ISNUMBER(MATCH(DATEVALUE($A111),'changes1_based on steps'!Q$1:Q$400,0)),Q$2,)</f>
        <v>0</v>
      </c>
      <c r="R111" s="155">
        <f ca="1">IF(ISNUMBER(MATCH(DATEVALUE($A111),'changes1_based on steps'!R$1:R$400,0)),R$2,)</f>
        <v>0</v>
      </c>
      <c r="S111" s="155">
        <f ca="1">IF(ISNUMBER(MATCH(DATEVALUE($A111),'changes1_based on steps'!S$1:S$400,0)),S$2,)</f>
        <v>0</v>
      </c>
      <c r="T111" s="155">
        <f ca="1">IF(ISNUMBER(MATCH(DATEVALUE($A111),'changes1_based on steps'!T$1:T$400,0)),T$2,)</f>
        <v>0</v>
      </c>
      <c r="U111" s="155">
        <f ca="1">IF(ISNUMBER(MATCH(DATEVALUE($A111),'changes1_based on steps'!U$1:U$400,0)),U$2,)</f>
        <v>0</v>
      </c>
    </row>
    <row r="112" spans="1:21" x14ac:dyDescent="0.2">
      <c r="A112" s="18" t="str">
        <f t="shared" ca="1" si="1"/>
        <v>2025-05-21</v>
      </c>
      <c r="B112" s="155">
        <f ca="1">IF(ISNUMBER(MATCH(DATEVALUE($A112),'changes1_based on steps'!B$1:B$400,0)),B$2,)</f>
        <v>100</v>
      </c>
      <c r="C112" s="155">
        <f ca="1">IF(ISNUMBER(MATCH(DATEVALUE($A112),'changes1_based on steps'!C$1:C$400,0)),C$2,)</f>
        <v>0</v>
      </c>
      <c r="D112" s="155">
        <f ca="1">IF(ISNUMBER(MATCH(DATEVALUE($A112),'changes1_based on steps'!D$1:D$400,0)),D$2,)</f>
        <v>0</v>
      </c>
      <c r="E112" s="155">
        <f ca="1">IF(ISNUMBER(MATCH(DATEVALUE($A112),'changes1_based on steps'!E$1:E$400,0)),E$2,)</f>
        <v>0</v>
      </c>
      <c r="F112" s="155">
        <f ca="1">IF(ISNUMBER(MATCH(DATEVALUE($A112),'changes1_based on steps'!F$1:F$400,0)),F$2,)</f>
        <v>0</v>
      </c>
      <c r="G112" s="155">
        <f ca="1">IF(ISNUMBER(MATCH(DATEVALUE($A112),'changes1_based on steps'!G$1:G$400,0)),G$2,)</f>
        <v>0</v>
      </c>
      <c r="H112" s="155">
        <f ca="1">IF(ISNUMBER(MATCH(DATEVALUE($A112),'changes1_based on steps'!H$1:H$400,0)),H$2,)</f>
        <v>0</v>
      </c>
      <c r="I112" s="155">
        <f ca="1">IF(ISNUMBER(MATCH(DATEVALUE($A112),'changes1_based on steps'!I$1:I$400,0)),I$2,)</f>
        <v>0</v>
      </c>
      <c r="J112" s="155">
        <f ca="1">IF(ISNUMBER(MATCH(DATEVALUE($A112),'changes1_based on steps'!J$1:J$400,0)),J$2,)</f>
        <v>0</v>
      </c>
      <c r="K112" s="155">
        <f ca="1">IF(ISNUMBER(MATCH(DATEVALUE($A112),'changes1_based on steps'!K$1:K$400,0)),K$2,)</f>
        <v>0</v>
      </c>
      <c r="L112" s="155">
        <f ca="1">IF(ISNUMBER(MATCH(DATEVALUE($A112),'changes1_based on steps'!L$1:L$400,0)),L$2,)</f>
        <v>0</v>
      </c>
      <c r="M112" s="155">
        <f ca="1">IF(ISNUMBER(MATCH(DATEVALUE($A112),'changes1_based on steps'!M$1:M$400,0)),M$2,)</f>
        <v>0</v>
      </c>
      <c r="N112" s="155">
        <f ca="1">IF(ISNUMBER(MATCH(DATEVALUE($A112),'changes1_based on steps'!N$1:N$400,0)),N$2,)</f>
        <v>0</v>
      </c>
      <c r="O112" s="155">
        <f ca="1">IF(ISNUMBER(MATCH(DATEVALUE($A112),'changes1_based on steps'!O$1:O$400,0)),O$2,)</f>
        <v>0</v>
      </c>
      <c r="P112" s="155">
        <f ca="1">IF(ISNUMBER(MATCH(DATEVALUE($A112),'changes1_based on steps'!P$1:P$400,0)),P$2,)</f>
        <v>0</v>
      </c>
      <c r="Q112" s="155">
        <f ca="1">IF(ISNUMBER(MATCH(DATEVALUE($A112),'changes1_based on steps'!Q$1:Q$400,0)),Q$2,)</f>
        <v>0</v>
      </c>
      <c r="R112" s="155">
        <f ca="1">IF(ISNUMBER(MATCH(DATEVALUE($A112),'changes1_based on steps'!R$1:R$400,0)),R$2,)</f>
        <v>0</v>
      </c>
      <c r="S112" s="155">
        <f ca="1">IF(ISNUMBER(MATCH(DATEVALUE($A112),'changes1_based on steps'!S$1:S$400,0)),S$2,)</f>
        <v>0</v>
      </c>
      <c r="T112" s="155">
        <f ca="1">IF(ISNUMBER(MATCH(DATEVALUE($A112),'changes1_based on steps'!T$1:T$400,0)),T$2,)</f>
        <v>0</v>
      </c>
      <c r="U112" s="155">
        <f ca="1">IF(ISNUMBER(MATCH(DATEVALUE($A112),'changes1_based on steps'!U$1:U$400,0)),U$2,)</f>
        <v>0</v>
      </c>
    </row>
    <row r="113" spans="1:21" x14ac:dyDescent="0.2">
      <c r="A113" s="18" t="str">
        <f t="shared" ca="1" si="1"/>
        <v>2025-05-22</v>
      </c>
      <c r="B113" s="155">
        <f ca="1">IF(ISNUMBER(MATCH(DATEVALUE($A113),'changes1_based on steps'!B$1:B$400,0)),B$2,)</f>
        <v>0</v>
      </c>
      <c r="C113" s="155">
        <f ca="1">IF(ISNUMBER(MATCH(DATEVALUE($A113),'changes1_based on steps'!C$1:C$400,0)),C$2,)</f>
        <v>0</v>
      </c>
      <c r="D113" s="155">
        <f ca="1">IF(ISNUMBER(MATCH(DATEVALUE($A113),'changes1_based on steps'!D$1:D$400,0)),D$2,)</f>
        <v>0</v>
      </c>
      <c r="E113" s="155">
        <f ca="1">IF(ISNUMBER(MATCH(DATEVALUE($A113),'changes1_based on steps'!E$1:E$400,0)),E$2,)</f>
        <v>0</v>
      </c>
      <c r="F113" s="155">
        <f ca="1">IF(ISNUMBER(MATCH(DATEVALUE($A113),'changes1_based on steps'!F$1:F$400,0)),F$2,)</f>
        <v>0</v>
      </c>
      <c r="G113" s="155">
        <f ca="1">IF(ISNUMBER(MATCH(DATEVALUE($A113),'changes1_based on steps'!G$1:G$400,0)),G$2,)</f>
        <v>0</v>
      </c>
      <c r="H113" s="155">
        <f ca="1">IF(ISNUMBER(MATCH(DATEVALUE($A113),'changes1_based on steps'!H$1:H$400,0)),H$2,)</f>
        <v>0</v>
      </c>
      <c r="I113" s="155">
        <f ca="1">IF(ISNUMBER(MATCH(DATEVALUE($A113),'changes1_based on steps'!I$1:I$400,0)),I$2,)</f>
        <v>0</v>
      </c>
      <c r="J113" s="155">
        <f ca="1">IF(ISNUMBER(MATCH(DATEVALUE($A113),'changes1_based on steps'!J$1:J$400,0)),J$2,)</f>
        <v>0</v>
      </c>
      <c r="K113" s="155">
        <f ca="1">IF(ISNUMBER(MATCH(DATEVALUE($A113),'changes1_based on steps'!K$1:K$400,0)),K$2,)</f>
        <v>0</v>
      </c>
      <c r="L113" s="155">
        <f ca="1">IF(ISNUMBER(MATCH(DATEVALUE($A113),'changes1_based on steps'!L$1:L$400,0)),L$2,)</f>
        <v>0</v>
      </c>
      <c r="M113" s="155">
        <f ca="1">IF(ISNUMBER(MATCH(DATEVALUE($A113),'changes1_based on steps'!M$1:M$400,0)),M$2,)</f>
        <v>0</v>
      </c>
      <c r="N113" s="155">
        <f ca="1">IF(ISNUMBER(MATCH(DATEVALUE($A113),'changes1_based on steps'!N$1:N$400,0)),N$2,)</f>
        <v>0</v>
      </c>
      <c r="O113" s="155">
        <f ca="1">IF(ISNUMBER(MATCH(DATEVALUE($A113),'changes1_based on steps'!O$1:O$400,0)),O$2,)</f>
        <v>0</v>
      </c>
      <c r="P113" s="155">
        <f ca="1">IF(ISNUMBER(MATCH(DATEVALUE($A113),'changes1_based on steps'!P$1:P$400,0)),P$2,)</f>
        <v>0</v>
      </c>
      <c r="Q113" s="155">
        <f ca="1">IF(ISNUMBER(MATCH(DATEVALUE($A113),'changes1_based on steps'!Q$1:Q$400,0)),Q$2,)</f>
        <v>0</v>
      </c>
      <c r="R113" s="155">
        <f ca="1">IF(ISNUMBER(MATCH(DATEVALUE($A113),'changes1_based on steps'!R$1:R$400,0)),R$2,)</f>
        <v>0</v>
      </c>
      <c r="S113" s="155">
        <f ca="1">IF(ISNUMBER(MATCH(DATEVALUE($A113),'changes1_based on steps'!S$1:S$400,0)),S$2,)</f>
        <v>0</v>
      </c>
      <c r="T113" s="155">
        <f ca="1">IF(ISNUMBER(MATCH(DATEVALUE($A113),'changes1_based on steps'!T$1:T$400,0)),T$2,)</f>
        <v>0</v>
      </c>
      <c r="U113" s="155">
        <f ca="1">IF(ISNUMBER(MATCH(DATEVALUE($A113),'changes1_based on steps'!U$1:U$400,0)),U$2,)</f>
        <v>0</v>
      </c>
    </row>
    <row r="114" spans="1:21" x14ac:dyDescent="0.2">
      <c r="A114" s="18" t="str">
        <f t="shared" ca="1" si="1"/>
        <v>2025-05-23</v>
      </c>
      <c r="B114" s="155">
        <f ca="1">IF(ISNUMBER(MATCH(DATEVALUE($A114),'changes1_based on steps'!B$1:B$400,0)),B$2,)</f>
        <v>0</v>
      </c>
      <c r="C114" s="155">
        <f ca="1">IF(ISNUMBER(MATCH(DATEVALUE($A114),'changes1_based on steps'!C$1:C$400,0)),C$2,)</f>
        <v>0</v>
      </c>
      <c r="D114" s="155">
        <f ca="1">IF(ISNUMBER(MATCH(DATEVALUE($A114),'changes1_based on steps'!D$1:D$400,0)),D$2,)</f>
        <v>0</v>
      </c>
      <c r="E114" s="155">
        <f ca="1">IF(ISNUMBER(MATCH(DATEVALUE($A114),'changes1_based on steps'!E$1:E$400,0)),E$2,)</f>
        <v>0</v>
      </c>
      <c r="F114" s="155">
        <f ca="1">IF(ISNUMBER(MATCH(DATEVALUE($A114),'changes1_based on steps'!F$1:F$400,0)),F$2,)</f>
        <v>0</v>
      </c>
      <c r="G114" s="155">
        <f ca="1">IF(ISNUMBER(MATCH(DATEVALUE($A114),'changes1_based on steps'!G$1:G$400,0)),G$2,)</f>
        <v>0</v>
      </c>
      <c r="H114" s="155">
        <f ca="1">IF(ISNUMBER(MATCH(DATEVALUE($A114),'changes1_based on steps'!H$1:H$400,0)),H$2,)</f>
        <v>0</v>
      </c>
      <c r="I114" s="155">
        <f ca="1">IF(ISNUMBER(MATCH(DATEVALUE($A114),'changes1_based on steps'!I$1:I$400,0)),I$2,)</f>
        <v>0</v>
      </c>
      <c r="J114" s="155">
        <f ca="1">IF(ISNUMBER(MATCH(DATEVALUE($A114),'changes1_based on steps'!J$1:J$400,0)),J$2,)</f>
        <v>0</v>
      </c>
      <c r="K114" s="155">
        <f ca="1">IF(ISNUMBER(MATCH(DATEVALUE($A114),'changes1_based on steps'!K$1:K$400,0)),K$2,)</f>
        <v>0</v>
      </c>
      <c r="L114" s="155">
        <f ca="1">IF(ISNUMBER(MATCH(DATEVALUE($A114),'changes1_based on steps'!L$1:L$400,0)),L$2,)</f>
        <v>0</v>
      </c>
      <c r="M114" s="155">
        <f ca="1">IF(ISNUMBER(MATCH(DATEVALUE($A114),'changes1_based on steps'!M$1:M$400,0)),M$2,)</f>
        <v>0</v>
      </c>
      <c r="N114" s="155">
        <f ca="1">IF(ISNUMBER(MATCH(DATEVALUE($A114),'changes1_based on steps'!N$1:N$400,0)),N$2,)</f>
        <v>0</v>
      </c>
      <c r="O114" s="155">
        <f ca="1">IF(ISNUMBER(MATCH(DATEVALUE($A114),'changes1_based on steps'!O$1:O$400,0)),O$2,)</f>
        <v>0</v>
      </c>
      <c r="P114" s="155">
        <f ca="1">IF(ISNUMBER(MATCH(DATEVALUE($A114),'changes1_based on steps'!P$1:P$400,0)),P$2,)</f>
        <v>0</v>
      </c>
      <c r="Q114" s="155">
        <f ca="1">IF(ISNUMBER(MATCH(DATEVALUE($A114),'changes1_based on steps'!Q$1:Q$400,0)),Q$2,)</f>
        <v>0</v>
      </c>
      <c r="R114" s="155">
        <f ca="1">IF(ISNUMBER(MATCH(DATEVALUE($A114),'changes1_based on steps'!R$1:R$400,0)),R$2,)</f>
        <v>0</v>
      </c>
      <c r="S114" s="155">
        <f ca="1">IF(ISNUMBER(MATCH(DATEVALUE($A114),'changes1_based on steps'!S$1:S$400,0)),S$2,)</f>
        <v>0</v>
      </c>
      <c r="T114" s="155">
        <f ca="1">IF(ISNUMBER(MATCH(DATEVALUE($A114),'changes1_based on steps'!T$1:T$400,0)),T$2,)</f>
        <v>0</v>
      </c>
      <c r="U114" s="155">
        <f ca="1">IF(ISNUMBER(MATCH(DATEVALUE($A114),'changes1_based on steps'!U$1:U$400,0)),U$2,)</f>
        <v>0</v>
      </c>
    </row>
    <row r="115" spans="1:21" x14ac:dyDescent="0.2">
      <c r="A115" s="18" t="str">
        <f t="shared" ca="1" si="1"/>
        <v>2025-05-24</v>
      </c>
      <c r="B115" s="155">
        <f ca="1">IF(ISNUMBER(MATCH(DATEVALUE($A115),'changes1_based on steps'!B$1:B$400,0)),B$2,)</f>
        <v>0</v>
      </c>
      <c r="C115" s="155">
        <f ca="1">IF(ISNUMBER(MATCH(DATEVALUE($A115),'changes1_based on steps'!C$1:C$400,0)),C$2,)</f>
        <v>0</v>
      </c>
      <c r="D115" s="155">
        <f ca="1">IF(ISNUMBER(MATCH(DATEVALUE($A115),'changes1_based on steps'!D$1:D$400,0)),D$2,)</f>
        <v>0</v>
      </c>
      <c r="E115" s="155">
        <f ca="1">IF(ISNUMBER(MATCH(DATEVALUE($A115),'changes1_based on steps'!E$1:E$400,0)),E$2,)</f>
        <v>0</v>
      </c>
      <c r="F115" s="155">
        <f ca="1">IF(ISNUMBER(MATCH(DATEVALUE($A115),'changes1_based on steps'!F$1:F$400,0)),F$2,)</f>
        <v>0</v>
      </c>
      <c r="G115" s="155">
        <f ca="1">IF(ISNUMBER(MATCH(DATEVALUE($A115),'changes1_based on steps'!G$1:G$400,0)),G$2,)</f>
        <v>0</v>
      </c>
      <c r="H115" s="155">
        <f ca="1">IF(ISNUMBER(MATCH(DATEVALUE($A115),'changes1_based on steps'!H$1:H$400,0)),H$2,)</f>
        <v>0</v>
      </c>
      <c r="I115" s="155">
        <f ca="1">IF(ISNUMBER(MATCH(DATEVALUE($A115),'changes1_based on steps'!I$1:I$400,0)),I$2,)</f>
        <v>0</v>
      </c>
      <c r="J115" s="155">
        <f ca="1">IF(ISNUMBER(MATCH(DATEVALUE($A115),'changes1_based on steps'!J$1:J$400,0)),J$2,)</f>
        <v>0</v>
      </c>
      <c r="K115" s="155">
        <f ca="1">IF(ISNUMBER(MATCH(DATEVALUE($A115),'changes1_based on steps'!K$1:K$400,0)),K$2,)</f>
        <v>0</v>
      </c>
      <c r="L115" s="155">
        <f ca="1">IF(ISNUMBER(MATCH(DATEVALUE($A115),'changes1_based on steps'!L$1:L$400,0)),L$2,)</f>
        <v>0</v>
      </c>
      <c r="M115" s="155">
        <f ca="1">IF(ISNUMBER(MATCH(DATEVALUE($A115),'changes1_based on steps'!M$1:M$400,0)),M$2,)</f>
        <v>0</v>
      </c>
      <c r="N115" s="155">
        <f ca="1">IF(ISNUMBER(MATCH(DATEVALUE($A115),'changes1_based on steps'!N$1:N$400,0)),N$2,)</f>
        <v>0</v>
      </c>
      <c r="O115" s="155">
        <f ca="1">IF(ISNUMBER(MATCH(DATEVALUE($A115),'changes1_based on steps'!O$1:O$400,0)),O$2,)</f>
        <v>0</v>
      </c>
      <c r="P115" s="155">
        <f ca="1">IF(ISNUMBER(MATCH(DATEVALUE($A115),'changes1_based on steps'!P$1:P$400,0)),P$2,)</f>
        <v>0</v>
      </c>
      <c r="Q115" s="155">
        <f ca="1">IF(ISNUMBER(MATCH(DATEVALUE($A115),'changes1_based on steps'!Q$1:Q$400,0)),Q$2,)</f>
        <v>0</v>
      </c>
      <c r="R115" s="155">
        <f ca="1">IF(ISNUMBER(MATCH(DATEVALUE($A115),'changes1_based on steps'!R$1:R$400,0)),R$2,)</f>
        <v>0</v>
      </c>
      <c r="S115" s="155">
        <f ca="1">IF(ISNUMBER(MATCH(DATEVALUE($A115),'changes1_based on steps'!S$1:S$400,0)),S$2,)</f>
        <v>0</v>
      </c>
      <c r="T115" s="155">
        <f ca="1">IF(ISNUMBER(MATCH(DATEVALUE($A115),'changes1_based on steps'!T$1:T$400,0)),T$2,)</f>
        <v>0</v>
      </c>
      <c r="U115" s="155">
        <f ca="1">IF(ISNUMBER(MATCH(DATEVALUE($A115),'changes1_based on steps'!U$1:U$400,0)),U$2,)</f>
        <v>0</v>
      </c>
    </row>
    <row r="116" spans="1:21" x14ac:dyDescent="0.2">
      <c r="A116" s="18" t="str">
        <f t="shared" ca="1" si="1"/>
        <v>2025-05-25</v>
      </c>
      <c r="B116" s="155">
        <f ca="1">IF(ISNUMBER(MATCH(DATEVALUE($A116),'changes1_based on steps'!B$1:B$400,0)),B$2,)</f>
        <v>0</v>
      </c>
      <c r="C116" s="155">
        <f ca="1">IF(ISNUMBER(MATCH(DATEVALUE($A116),'changes1_based on steps'!C$1:C$400,0)),C$2,)</f>
        <v>0</v>
      </c>
      <c r="D116" s="155">
        <f ca="1">IF(ISNUMBER(MATCH(DATEVALUE($A116),'changes1_based on steps'!D$1:D$400,0)),D$2,)</f>
        <v>0</v>
      </c>
      <c r="E116" s="155">
        <f ca="1">IF(ISNUMBER(MATCH(DATEVALUE($A116),'changes1_based on steps'!E$1:E$400,0)),E$2,)</f>
        <v>0</v>
      </c>
      <c r="F116" s="155">
        <f ca="1">IF(ISNUMBER(MATCH(DATEVALUE($A116),'changes1_based on steps'!F$1:F$400,0)),F$2,)</f>
        <v>0</v>
      </c>
      <c r="G116" s="155">
        <f ca="1">IF(ISNUMBER(MATCH(DATEVALUE($A116),'changes1_based on steps'!G$1:G$400,0)),G$2,)</f>
        <v>0</v>
      </c>
      <c r="H116" s="155">
        <f ca="1">IF(ISNUMBER(MATCH(DATEVALUE($A116),'changes1_based on steps'!H$1:H$400,0)),H$2,)</f>
        <v>0</v>
      </c>
      <c r="I116" s="155">
        <f ca="1">IF(ISNUMBER(MATCH(DATEVALUE($A116),'changes1_based on steps'!I$1:I$400,0)),I$2,)</f>
        <v>0</v>
      </c>
      <c r="J116" s="155">
        <f ca="1">IF(ISNUMBER(MATCH(DATEVALUE($A116),'changes1_based on steps'!J$1:J$400,0)),J$2,)</f>
        <v>0</v>
      </c>
      <c r="K116" s="155">
        <f ca="1">IF(ISNUMBER(MATCH(DATEVALUE($A116),'changes1_based on steps'!K$1:K$400,0)),K$2,)</f>
        <v>0</v>
      </c>
      <c r="L116" s="155">
        <f ca="1">IF(ISNUMBER(MATCH(DATEVALUE($A116),'changes1_based on steps'!L$1:L$400,0)),L$2,)</f>
        <v>0</v>
      </c>
      <c r="M116" s="155">
        <f ca="1">IF(ISNUMBER(MATCH(DATEVALUE($A116),'changes1_based on steps'!M$1:M$400,0)),M$2,)</f>
        <v>0</v>
      </c>
      <c r="N116" s="155">
        <f ca="1">IF(ISNUMBER(MATCH(DATEVALUE($A116),'changes1_based on steps'!N$1:N$400,0)),N$2,)</f>
        <v>0</v>
      </c>
      <c r="O116" s="155">
        <f ca="1">IF(ISNUMBER(MATCH(DATEVALUE($A116),'changes1_based on steps'!O$1:O$400,0)),O$2,)</f>
        <v>0</v>
      </c>
      <c r="P116" s="155">
        <f ca="1">IF(ISNUMBER(MATCH(DATEVALUE($A116),'changes1_based on steps'!P$1:P$400,0)),P$2,)</f>
        <v>0</v>
      </c>
      <c r="Q116" s="155">
        <f ca="1">IF(ISNUMBER(MATCH(DATEVALUE($A116),'changes1_based on steps'!Q$1:Q$400,0)),Q$2,)</f>
        <v>0</v>
      </c>
      <c r="R116" s="155">
        <f ca="1">IF(ISNUMBER(MATCH(DATEVALUE($A116),'changes1_based on steps'!R$1:R$400,0)),R$2,)</f>
        <v>0</v>
      </c>
      <c r="S116" s="155">
        <f ca="1">IF(ISNUMBER(MATCH(DATEVALUE($A116),'changes1_based on steps'!S$1:S$400,0)),S$2,)</f>
        <v>0</v>
      </c>
      <c r="T116" s="155">
        <f ca="1">IF(ISNUMBER(MATCH(DATEVALUE($A116),'changes1_based on steps'!T$1:T$400,0)),T$2,)</f>
        <v>0</v>
      </c>
      <c r="U116" s="155">
        <f ca="1">IF(ISNUMBER(MATCH(DATEVALUE($A116),'changes1_based on steps'!U$1:U$400,0)),U$2,)</f>
        <v>0</v>
      </c>
    </row>
    <row r="117" spans="1:21" x14ac:dyDescent="0.2">
      <c r="A117" s="18" t="str">
        <f t="shared" ca="1" si="1"/>
        <v>2025-05-26</v>
      </c>
      <c r="B117" s="155">
        <f ca="1">IF(ISNUMBER(MATCH(DATEVALUE($A117),'changes1_based on steps'!B$1:B$400,0)),B$2,)</f>
        <v>0</v>
      </c>
      <c r="C117" s="155">
        <f ca="1">IF(ISNUMBER(MATCH(DATEVALUE($A117),'changes1_based on steps'!C$1:C$400,0)),C$2,)</f>
        <v>0</v>
      </c>
      <c r="D117" s="155">
        <f ca="1">IF(ISNUMBER(MATCH(DATEVALUE($A117),'changes1_based on steps'!D$1:D$400,0)),D$2,)</f>
        <v>0</v>
      </c>
      <c r="E117" s="155">
        <f ca="1">IF(ISNUMBER(MATCH(DATEVALUE($A117),'changes1_based on steps'!E$1:E$400,0)),E$2,)</f>
        <v>0</v>
      </c>
      <c r="F117" s="155">
        <f ca="1">IF(ISNUMBER(MATCH(DATEVALUE($A117),'changes1_based on steps'!F$1:F$400,0)),F$2,)</f>
        <v>0</v>
      </c>
      <c r="G117" s="155">
        <f ca="1">IF(ISNUMBER(MATCH(DATEVALUE($A117),'changes1_based on steps'!G$1:G$400,0)),G$2,)</f>
        <v>0</v>
      </c>
      <c r="H117" s="155">
        <f ca="1">IF(ISNUMBER(MATCH(DATEVALUE($A117),'changes1_based on steps'!H$1:H$400,0)),H$2,)</f>
        <v>0</v>
      </c>
      <c r="I117" s="155">
        <f ca="1">IF(ISNUMBER(MATCH(DATEVALUE($A117),'changes1_based on steps'!I$1:I$400,0)),I$2,)</f>
        <v>0</v>
      </c>
      <c r="J117" s="155">
        <f ca="1">IF(ISNUMBER(MATCH(DATEVALUE($A117),'changes1_based on steps'!J$1:J$400,0)),J$2,)</f>
        <v>0</v>
      </c>
      <c r="K117" s="155">
        <f ca="1">IF(ISNUMBER(MATCH(DATEVALUE($A117),'changes1_based on steps'!K$1:K$400,0)),K$2,)</f>
        <v>0</v>
      </c>
      <c r="L117" s="155">
        <f ca="1">IF(ISNUMBER(MATCH(DATEVALUE($A117),'changes1_based on steps'!L$1:L$400,0)),L$2,)</f>
        <v>0</v>
      </c>
      <c r="M117" s="155">
        <f ca="1">IF(ISNUMBER(MATCH(DATEVALUE($A117),'changes1_based on steps'!M$1:M$400,0)),M$2,)</f>
        <v>0</v>
      </c>
      <c r="N117" s="155">
        <f ca="1">IF(ISNUMBER(MATCH(DATEVALUE($A117),'changes1_based on steps'!N$1:N$400,0)),N$2,)</f>
        <v>0</v>
      </c>
      <c r="O117" s="155">
        <f ca="1">IF(ISNUMBER(MATCH(DATEVALUE($A117),'changes1_based on steps'!O$1:O$400,0)),O$2,)</f>
        <v>0</v>
      </c>
      <c r="P117" s="155">
        <f ca="1">IF(ISNUMBER(MATCH(DATEVALUE($A117),'changes1_based on steps'!P$1:P$400,0)),P$2,)</f>
        <v>0</v>
      </c>
      <c r="Q117" s="155">
        <f ca="1">IF(ISNUMBER(MATCH(DATEVALUE($A117),'changes1_based on steps'!Q$1:Q$400,0)),Q$2,)</f>
        <v>0</v>
      </c>
      <c r="R117" s="155">
        <f ca="1">IF(ISNUMBER(MATCH(DATEVALUE($A117),'changes1_based on steps'!R$1:R$400,0)),R$2,)</f>
        <v>0</v>
      </c>
      <c r="S117" s="155">
        <f ca="1">IF(ISNUMBER(MATCH(DATEVALUE($A117),'changes1_based on steps'!S$1:S$400,0)),S$2,)</f>
        <v>0</v>
      </c>
      <c r="T117" s="155">
        <f ca="1">IF(ISNUMBER(MATCH(DATEVALUE($A117),'changes1_based on steps'!T$1:T$400,0)),T$2,)</f>
        <v>0</v>
      </c>
      <c r="U117" s="155">
        <f ca="1">IF(ISNUMBER(MATCH(DATEVALUE($A117),'changes1_based on steps'!U$1:U$400,0)),U$2,)</f>
        <v>0</v>
      </c>
    </row>
    <row r="118" spans="1:21" x14ac:dyDescent="0.2">
      <c r="A118" s="18" t="str">
        <f t="shared" ca="1" si="1"/>
        <v>2025-05-27</v>
      </c>
      <c r="B118" s="155">
        <f ca="1">IF(ISNUMBER(MATCH(DATEVALUE($A118),'changes1_based on steps'!B$1:B$400,0)),B$2,)</f>
        <v>0</v>
      </c>
      <c r="C118" s="155">
        <f ca="1">IF(ISNUMBER(MATCH(DATEVALUE($A118),'changes1_based on steps'!C$1:C$400,0)),C$2,)</f>
        <v>0</v>
      </c>
      <c r="D118" s="155">
        <f ca="1">IF(ISNUMBER(MATCH(DATEVALUE($A118),'changes1_based on steps'!D$1:D$400,0)),D$2,)</f>
        <v>0</v>
      </c>
      <c r="E118" s="155">
        <f ca="1">IF(ISNUMBER(MATCH(DATEVALUE($A118),'changes1_based on steps'!E$1:E$400,0)),E$2,)</f>
        <v>0</v>
      </c>
      <c r="F118" s="155">
        <f ca="1">IF(ISNUMBER(MATCH(DATEVALUE($A118),'changes1_based on steps'!F$1:F$400,0)),F$2,)</f>
        <v>0</v>
      </c>
      <c r="G118" s="155">
        <f ca="1">IF(ISNUMBER(MATCH(DATEVALUE($A118),'changes1_based on steps'!G$1:G$400,0)),G$2,)</f>
        <v>0</v>
      </c>
      <c r="H118" s="155">
        <f ca="1">IF(ISNUMBER(MATCH(DATEVALUE($A118),'changes1_based on steps'!H$1:H$400,0)),H$2,)</f>
        <v>0</v>
      </c>
      <c r="I118" s="155">
        <f ca="1">IF(ISNUMBER(MATCH(DATEVALUE($A118),'changes1_based on steps'!I$1:I$400,0)),I$2,)</f>
        <v>0</v>
      </c>
      <c r="J118" s="155">
        <f ca="1">IF(ISNUMBER(MATCH(DATEVALUE($A118),'changes1_based on steps'!J$1:J$400,0)),J$2,)</f>
        <v>0</v>
      </c>
      <c r="K118" s="155">
        <f ca="1">IF(ISNUMBER(MATCH(DATEVALUE($A118),'changes1_based on steps'!K$1:K$400,0)),K$2,)</f>
        <v>0</v>
      </c>
      <c r="L118" s="155">
        <f ca="1">IF(ISNUMBER(MATCH(DATEVALUE($A118),'changes1_based on steps'!L$1:L$400,0)),L$2,)</f>
        <v>0</v>
      </c>
      <c r="M118" s="155">
        <f ca="1">IF(ISNUMBER(MATCH(DATEVALUE($A118),'changes1_based on steps'!M$1:M$400,0)),M$2,)</f>
        <v>0</v>
      </c>
      <c r="N118" s="155">
        <f ca="1">IF(ISNUMBER(MATCH(DATEVALUE($A118),'changes1_based on steps'!N$1:N$400,0)),N$2,)</f>
        <v>0</v>
      </c>
      <c r="O118" s="155">
        <f ca="1">IF(ISNUMBER(MATCH(DATEVALUE($A118),'changes1_based on steps'!O$1:O$400,0)),O$2,)</f>
        <v>0</v>
      </c>
      <c r="P118" s="155">
        <f ca="1">IF(ISNUMBER(MATCH(DATEVALUE($A118),'changes1_based on steps'!P$1:P$400,0)),P$2,)</f>
        <v>0</v>
      </c>
      <c r="Q118" s="155">
        <f ca="1">IF(ISNUMBER(MATCH(DATEVALUE($A118),'changes1_based on steps'!Q$1:Q$400,0)),Q$2,)</f>
        <v>0</v>
      </c>
      <c r="R118" s="155">
        <f ca="1">IF(ISNUMBER(MATCH(DATEVALUE($A118),'changes1_based on steps'!R$1:R$400,0)),R$2,)</f>
        <v>0</v>
      </c>
      <c r="S118" s="155">
        <f ca="1">IF(ISNUMBER(MATCH(DATEVALUE($A118),'changes1_based on steps'!S$1:S$400,0)),S$2,)</f>
        <v>0</v>
      </c>
      <c r="T118" s="155">
        <f ca="1">IF(ISNUMBER(MATCH(DATEVALUE($A118),'changes1_based on steps'!T$1:T$400,0)),T$2,)</f>
        <v>0</v>
      </c>
      <c r="U118" s="155">
        <f ca="1">IF(ISNUMBER(MATCH(DATEVALUE($A118),'changes1_based on steps'!U$1:U$400,0)),U$2,)</f>
        <v>0</v>
      </c>
    </row>
    <row r="119" spans="1:21" x14ac:dyDescent="0.2">
      <c r="A119" s="18" t="str">
        <f t="shared" ca="1" si="1"/>
        <v>2025-05-28</v>
      </c>
      <c r="B119" s="155">
        <f ca="1">IF(ISNUMBER(MATCH(DATEVALUE($A119),'changes1_based on steps'!B$1:B$400,0)),B$2,)</f>
        <v>0</v>
      </c>
      <c r="C119" s="155">
        <f ca="1">IF(ISNUMBER(MATCH(DATEVALUE($A119),'changes1_based on steps'!C$1:C$400,0)),C$2,)</f>
        <v>0</v>
      </c>
      <c r="D119" s="155">
        <f ca="1">IF(ISNUMBER(MATCH(DATEVALUE($A119),'changes1_based on steps'!D$1:D$400,0)),D$2,)</f>
        <v>0</v>
      </c>
      <c r="E119" s="155">
        <f ca="1">IF(ISNUMBER(MATCH(DATEVALUE($A119),'changes1_based on steps'!E$1:E$400,0)),E$2,)</f>
        <v>0</v>
      </c>
      <c r="F119" s="155">
        <f ca="1">IF(ISNUMBER(MATCH(DATEVALUE($A119),'changes1_based on steps'!F$1:F$400,0)),F$2,)</f>
        <v>0</v>
      </c>
      <c r="G119" s="155">
        <f ca="1">IF(ISNUMBER(MATCH(DATEVALUE($A119),'changes1_based on steps'!G$1:G$400,0)),G$2,)</f>
        <v>0</v>
      </c>
      <c r="H119" s="155">
        <f ca="1">IF(ISNUMBER(MATCH(DATEVALUE($A119),'changes1_based on steps'!H$1:H$400,0)),H$2,)</f>
        <v>0</v>
      </c>
      <c r="I119" s="155">
        <f ca="1">IF(ISNUMBER(MATCH(DATEVALUE($A119),'changes1_based on steps'!I$1:I$400,0)),I$2,)</f>
        <v>0</v>
      </c>
      <c r="J119" s="155">
        <f ca="1">IF(ISNUMBER(MATCH(DATEVALUE($A119),'changes1_based on steps'!J$1:J$400,0)),J$2,)</f>
        <v>0</v>
      </c>
      <c r="K119" s="155">
        <f ca="1">IF(ISNUMBER(MATCH(DATEVALUE($A119),'changes1_based on steps'!K$1:K$400,0)),K$2,)</f>
        <v>0</v>
      </c>
      <c r="L119" s="155">
        <f ca="1">IF(ISNUMBER(MATCH(DATEVALUE($A119),'changes1_based on steps'!L$1:L$400,0)),L$2,)</f>
        <v>0</v>
      </c>
      <c r="M119" s="155">
        <f ca="1">IF(ISNUMBER(MATCH(DATEVALUE($A119),'changes1_based on steps'!M$1:M$400,0)),M$2,)</f>
        <v>0</v>
      </c>
      <c r="N119" s="155">
        <f ca="1">IF(ISNUMBER(MATCH(DATEVALUE($A119),'changes1_based on steps'!N$1:N$400,0)),N$2,)</f>
        <v>0</v>
      </c>
      <c r="O119" s="155">
        <f ca="1">IF(ISNUMBER(MATCH(DATEVALUE($A119),'changes1_based on steps'!O$1:O$400,0)),O$2,)</f>
        <v>0</v>
      </c>
      <c r="P119" s="155">
        <f ca="1">IF(ISNUMBER(MATCH(DATEVALUE($A119),'changes1_based on steps'!P$1:P$400,0)),P$2,)</f>
        <v>0</v>
      </c>
      <c r="Q119" s="155">
        <f ca="1">IF(ISNUMBER(MATCH(DATEVALUE($A119),'changes1_based on steps'!Q$1:Q$400,0)),Q$2,)</f>
        <v>0</v>
      </c>
      <c r="R119" s="155">
        <f ca="1">IF(ISNUMBER(MATCH(DATEVALUE($A119),'changes1_based on steps'!R$1:R$400,0)),R$2,)</f>
        <v>0</v>
      </c>
      <c r="S119" s="155">
        <f ca="1">IF(ISNUMBER(MATCH(DATEVALUE($A119),'changes1_based on steps'!S$1:S$400,0)),S$2,)</f>
        <v>0</v>
      </c>
      <c r="T119" s="155">
        <f ca="1">IF(ISNUMBER(MATCH(DATEVALUE($A119),'changes1_based on steps'!T$1:T$400,0)),T$2,)</f>
        <v>0</v>
      </c>
      <c r="U119" s="155">
        <f ca="1">IF(ISNUMBER(MATCH(DATEVALUE($A119),'changes1_based on steps'!U$1:U$400,0)),U$2,)</f>
        <v>0</v>
      </c>
    </row>
    <row r="120" spans="1:21" x14ac:dyDescent="0.2">
      <c r="A120" s="18" t="str">
        <f t="shared" ca="1" si="1"/>
        <v>2025-05-29</v>
      </c>
      <c r="B120" s="155">
        <f ca="1">IF(ISNUMBER(MATCH(DATEVALUE($A120),'changes1_based on steps'!B$1:B$400,0)),B$2,)</f>
        <v>0</v>
      </c>
      <c r="C120" s="155">
        <f ca="1">IF(ISNUMBER(MATCH(DATEVALUE($A120),'changes1_based on steps'!C$1:C$400,0)),C$2,)</f>
        <v>0</v>
      </c>
      <c r="D120" s="155">
        <f ca="1">IF(ISNUMBER(MATCH(DATEVALUE($A120),'changes1_based on steps'!D$1:D$400,0)),D$2,)</f>
        <v>0</v>
      </c>
      <c r="E120" s="155">
        <f ca="1">IF(ISNUMBER(MATCH(DATEVALUE($A120),'changes1_based on steps'!E$1:E$400,0)),E$2,)</f>
        <v>0</v>
      </c>
      <c r="F120" s="155">
        <f ca="1">IF(ISNUMBER(MATCH(DATEVALUE($A120),'changes1_based on steps'!F$1:F$400,0)),F$2,)</f>
        <v>0</v>
      </c>
      <c r="G120" s="155">
        <f ca="1">IF(ISNUMBER(MATCH(DATEVALUE($A120),'changes1_based on steps'!G$1:G$400,0)),G$2,)</f>
        <v>0</v>
      </c>
      <c r="H120" s="155">
        <f ca="1">IF(ISNUMBER(MATCH(DATEVALUE($A120),'changes1_based on steps'!H$1:H$400,0)),H$2,)</f>
        <v>0</v>
      </c>
      <c r="I120" s="155">
        <f ca="1">IF(ISNUMBER(MATCH(DATEVALUE($A120),'changes1_based on steps'!I$1:I$400,0)),I$2,)</f>
        <v>0</v>
      </c>
      <c r="J120" s="155">
        <f ca="1">IF(ISNUMBER(MATCH(DATEVALUE($A120),'changes1_based on steps'!J$1:J$400,0)),J$2,)</f>
        <v>0</v>
      </c>
      <c r="K120" s="155">
        <f ca="1">IF(ISNUMBER(MATCH(DATEVALUE($A120),'changes1_based on steps'!K$1:K$400,0)),K$2,)</f>
        <v>0</v>
      </c>
      <c r="L120" s="155">
        <f ca="1">IF(ISNUMBER(MATCH(DATEVALUE($A120),'changes1_based on steps'!L$1:L$400,0)),L$2,)</f>
        <v>0</v>
      </c>
      <c r="M120" s="155">
        <f ca="1">IF(ISNUMBER(MATCH(DATEVALUE($A120),'changes1_based on steps'!M$1:M$400,0)),M$2,)</f>
        <v>0</v>
      </c>
      <c r="N120" s="155">
        <f ca="1">IF(ISNUMBER(MATCH(DATEVALUE($A120),'changes1_based on steps'!N$1:N$400,0)),N$2,)</f>
        <v>0</v>
      </c>
      <c r="O120" s="155">
        <f ca="1">IF(ISNUMBER(MATCH(DATEVALUE($A120),'changes1_based on steps'!O$1:O$400,0)),O$2,)</f>
        <v>0</v>
      </c>
      <c r="P120" s="155">
        <f ca="1">IF(ISNUMBER(MATCH(DATEVALUE($A120),'changes1_based on steps'!P$1:P$400,0)),P$2,)</f>
        <v>0</v>
      </c>
      <c r="Q120" s="155">
        <f ca="1">IF(ISNUMBER(MATCH(DATEVALUE($A120),'changes1_based on steps'!Q$1:Q$400,0)),Q$2,)</f>
        <v>0</v>
      </c>
      <c r="R120" s="155">
        <f ca="1">IF(ISNUMBER(MATCH(DATEVALUE($A120),'changes1_based on steps'!R$1:R$400,0)),R$2,)</f>
        <v>0</v>
      </c>
      <c r="S120" s="155">
        <f ca="1">IF(ISNUMBER(MATCH(DATEVALUE($A120),'changes1_based on steps'!S$1:S$400,0)),S$2,)</f>
        <v>0</v>
      </c>
      <c r="T120" s="155">
        <f ca="1">IF(ISNUMBER(MATCH(DATEVALUE($A120),'changes1_based on steps'!T$1:T$400,0)),T$2,)</f>
        <v>0</v>
      </c>
      <c r="U120" s="155">
        <f ca="1">IF(ISNUMBER(MATCH(DATEVALUE($A120),'changes1_based on steps'!U$1:U$400,0)),U$2,)</f>
        <v>0</v>
      </c>
    </row>
    <row r="121" spans="1:21" x14ac:dyDescent="0.2">
      <c r="A121" s="18" t="str">
        <f t="shared" ca="1" si="1"/>
        <v>2025-05-30</v>
      </c>
      <c r="B121" s="155">
        <f ca="1">IF(ISNUMBER(MATCH(DATEVALUE($A121),'changes1_based on steps'!B$1:B$400,0)),B$2,)</f>
        <v>0</v>
      </c>
      <c r="C121" s="155">
        <f ca="1">IF(ISNUMBER(MATCH(DATEVALUE($A121),'changes1_based on steps'!C$1:C$400,0)),C$2,)</f>
        <v>0</v>
      </c>
      <c r="D121" s="155">
        <f ca="1">IF(ISNUMBER(MATCH(DATEVALUE($A121),'changes1_based on steps'!D$1:D$400,0)),D$2,)</f>
        <v>0</v>
      </c>
      <c r="E121" s="155">
        <f ca="1">IF(ISNUMBER(MATCH(DATEVALUE($A121),'changes1_based on steps'!E$1:E$400,0)),E$2,)</f>
        <v>0</v>
      </c>
      <c r="F121" s="155">
        <f ca="1">IF(ISNUMBER(MATCH(DATEVALUE($A121),'changes1_based on steps'!F$1:F$400,0)),F$2,)</f>
        <v>0</v>
      </c>
      <c r="G121" s="155">
        <f ca="1">IF(ISNUMBER(MATCH(DATEVALUE($A121),'changes1_based on steps'!G$1:G$400,0)),G$2,)</f>
        <v>0</v>
      </c>
      <c r="H121" s="155">
        <f ca="1">IF(ISNUMBER(MATCH(DATEVALUE($A121),'changes1_based on steps'!H$1:H$400,0)),H$2,)</f>
        <v>0</v>
      </c>
      <c r="I121" s="155">
        <f ca="1">IF(ISNUMBER(MATCH(DATEVALUE($A121),'changes1_based on steps'!I$1:I$400,0)),I$2,)</f>
        <v>0</v>
      </c>
      <c r="J121" s="155">
        <f ca="1">IF(ISNUMBER(MATCH(DATEVALUE($A121),'changes1_based on steps'!J$1:J$400,0)),J$2,)</f>
        <v>0</v>
      </c>
      <c r="K121" s="155">
        <f ca="1">IF(ISNUMBER(MATCH(DATEVALUE($A121),'changes1_based on steps'!K$1:K$400,0)),K$2,)</f>
        <v>0</v>
      </c>
      <c r="L121" s="155">
        <f ca="1">IF(ISNUMBER(MATCH(DATEVALUE($A121),'changes1_based on steps'!L$1:L$400,0)),L$2,)</f>
        <v>0</v>
      </c>
      <c r="M121" s="155">
        <f ca="1">IF(ISNUMBER(MATCH(DATEVALUE($A121),'changes1_based on steps'!M$1:M$400,0)),M$2,)</f>
        <v>0</v>
      </c>
      <c r="N121" s="155">
        <f ca="1">IF(ISNUMBER(MATCH(DATEVALUE($A121),'changes1_based on steps'!N$1:N$400,0)),N$2,)</f>
        <v>0</v>
      </c>
      <c r="O121" s="155">
        <f ca="1">IF(ISNUMBER(MATCH(DATEVALUE($A121),'changes1_based on steps'!O$1:O$400,0)),O$2,)</f>
        <v>0</v>
      </c>
      <c r="P121" s="155">
        <f ca="1">IF(ISNUMBER(MATCH(DATEVALUE($A121),'changes1_based on steps'!P$1:P$400,0)),P$2,)</f>
        <v>0</v>
      </c>
      <c r="Q121" s="155">
        <f ca="1">IF(ISNUMBER(MATCH(DATEVALUE($A121),'changes1_based on steps'!Q$1:Q$400,0)),Q$2,)</f>
        <v>0</v>
      </c>
      <c r="R121" s="155">
        <f ca="1">IF(ISNUMBER(MATCH(DATEVALUE($A121),'changes1_based on steps'!R$1:R$400,0)),R$2,)</f>
        <v>0</v>
      </c>
      <c r="S121" s="155">
        <f ca="1">IF(ISNUMBER(MATCH(DATEVALUE($A121),'changes1_based on steps'!S$1:S$400,0)),S$2,)</f>
        <v>0</v>
      </c>
      <c r="T121" s="155">
        <f ca="1">IF(ISNUMBER(MATCH(DATEVALUE($A121),'changes1_based on steps'!T$1:T$400,0)),T$2,)</f>
        <v>0</v>
      </c>
      <c r="U121" s="155">
        <f ca="1">IF(ISNUMBER(MATCH(DATEVALUE($A121),'changes1_based on steps'!U$1:U$400,0)),U$2,)</f>
        <v>0</v>
      </c>
    </row>
    <row r="122" spans="1:21" x14ac:dyDescent="0.2">
      <c r="A122" s="18" t="str">
        <f t="shared" ca="1" si="1"/>
        <v>2025-05-31</v>
      </c>
      <c r="B122" s="155">
        <f ca="1">IF(ISNUMBER(MATCH(DATEVALUE($A122),'changes1_based on steps'!B$1:B$400,0)),B$2,)</f>
        <v>0</v>
      </c>
      <c r="C122" s="155">
        <f ca="1">IF(ISNUMBER(MATCH(DATEVALUE($A122),'changes1_based on steps'!C$1:C$400,0)),C$2,)</f>
        <v>50</v>
      </c>
      <c r="D122" s="155">
        <f ca="1">IF(ISNUMBER(MATCH(DATEVALUE($A122),'changes1_based on steps'!D$1:D$400,0)),D$2,)</f>
        <v>-100</v>
      </c>
      <c r="E122" s="155">
        <f ca="1">IF(ISNUMBER(MATCH(DATEVALUE($A122),'changes1_based on steps'!E$1:E$400,0)),E$2,)</f>
        <v>0</v>
      </c>
      <c r="F122" s="155">
        <f ca="1">IF(ISNUMBER(MATCH(DATEVALUE($A122),'changes1_based on steps'!F$1:F$400,0)),F$2,)</f>
        <v>0</v>
      </c>
      <c r="G122" s="155">
        <f ca="1">IF(ISNUMBER(MATCH(DATEVALUE($A122),'changes1_based on steps'!G$1:G$400,0)),G$2,)</f>
        <v>0</v>
      </c>
      <c r="H122" s="155">
        <f ca="1">IF(ISNUMBER(MATCH(DATEVALUE($A122),'changes1_based on steps'!H$1:H$400,0)),H$2,)</f>
        <v>0</v>
      </c>
      <c r="I122" s="155">
        <f ca="1">IF(ISNUMBER(MATCH(DATEVALUE($A122),'changes1_based on steps'!I$1:I$400,0)),I$2,)</f>
        <v>0</v>
      </c>
      <c r="J122" s="155">
        <f ca="1">IF(ISNUMBER(MATCH(DATEVALUE($A122),'changes1_based on steps'!J$1:J$400,0)),J$2,)</f>
        <v>0</v>
      </c>
      <c r="K122" s="155">
        <f ca="1">IF(ISNUMBER(MATCH(DATEVALUE($A122),'changes1_based on steps'!K$1:K$400,0)),K$2,)</f>
        <v>0</v>
      </c>
      <c r="L122" s="155">
        <f ca="1">IF(ISNUMBER(MATCH(DATEVALUE($A122),'changes1_based on steps'!L$1:L$400,0)),L$2,)</f>
        <v>0</v>
      </c>
      <c r="M122" s="155">
        <f ca="1">IF(ISNUMBER(MATCH(DATEVALUE($A122),'changes1_based on steps'!M$1:M$400,0)),M$2,)</f>
        <v>0</v>
      </c>
      <c r="N122" s="155">
        <f ca="1">IF(ISNUMBER(MATCH(DATEVALUE($A122),'changes1_based on steps'!N$1:N$400,0)),N$2,)</f>
        <v>0</v>
      </c>
      <c r="O122" s="155">
        <f ca="1">IF(ISNUMBER(MATCH(DATEVALUE($A122),'changes1_based on steps'!O$1:O$400,0)),O$2,)</f>
        <v>0</v>
      </c>
      <c r="P122" s="155">
        <f ca="1">IF(ISNUMBER(MATCH(DATEVALUE($A122),'changes1_based on steps'!P$1:P$400,0)),P$2,)</f>
        <v>0</v>
      </c>
      <c r="Q122" s="155">
        <f ca="1">IF(ISNUMBER(MATCH(DATEVALUE($A122),'changes1_based on steps'!Q$1:Q$400,0)),Q$2,)</f>
        <v>0</v>
      </c>
      <c r="R122" s="155">
        <f ca="1">IF(ISNUMBER(MATCH(DATEVALUE($A122),'changes1_based on steps'!R$1:R$400,0)),R$2,)</f>
        <v>0</v>
      </c>
      <c r="S122" s="155">
        <f ca="1">IF(ISNUMBER(MATCH(DATEVALUE($A122),'changes1_based on steps'!S$1:S$400,0)),S$2,)</f>
        <v>0</v>
      </c>
      <c r="T122" s="155">
        <f ca="1">IF(ISNUMBER(MATCH(DATEVALUE($A122),'changes1_based on steps'!T$1:T$400,0)),T$2,)</f>
        <v>0</v>
      </c>
      <c r="U122" s="155">
        <f ca="1">IF(ISNUMBER(MATCH(DATEVALUE($A122),'changes1_based on steps'!U$1:U$400,0)),U$2,)</f>
        <v>0</v>
      </c>
    </row>
    <row r="123" spans="1:21" x14ac:dyDescent="0.2">
      <c r="A123" s="18" t="str">
        <f t="shared" ca="1" si="1"/>
        <v>2025-06-01</v>
      </c>
      <c r="B123" s="155">
        <f ca="1">IF(ISNUMBER(MATCH(DATEVALUE($A123),'changes1_based on steps'!B$1:B$400,0)),B$2,)</f>
        <v>0</v>
      </c>
      <c r="C123" s="155">
        <f ca="1">IF(ISNUMBER(MATCH(DATEVALUE($A123),'changes1_based on steps'!C$1:C$400,0)),C$2,)</f>
        <v>0</v>
      </c>
      <c r="D123" s="155">
        <f ca="1">IF(ISNUMBER(MATCH(DATEVALUE($A123),'changes1_based on steps'!D$1:D$400,0)),D$2,)</f>
        <v>0</v>
      </c>
      <c r="E123" s="155">
        <f ca="1">IF(ISNUMBER(MATCH(DATEVALUE($A123),'changes1_based on steps'!E$1:E$400,0)),E$2,)</f>
        <v>0</v>
      </c>
      <c r="F123" s="155">
        <f ca="1">IF(ISNUMBER(MATCH(DATEVALUE($A123),'changes1_based on steps'!F$1:F$400,0)),F$2,)</f>
        <v>0</v>
      </c>
      <c r="G123" s="155">
        <f ca="1">IF(ISNUMBER(MATCH(DATEVALUE($A123),'changes1_based on steps'!G$1:G$400,0)),G$2,)</f>
        <v>0</v>
      </c>
      <c r="H123" s="155">
        <f ca="1">IF(ISNUMBER(MATCH(DATEVALUE($A123),'changes1_based on steps'!H$1:H$400,0)),H$2,)</f>
        <v>0</v>
      </c>
      <c r="I123" s="155">
        <f ca="1">IF(ISNUMBER(MATCH(DATEVALUE($A123),'changes1_based on steps'!I$1:I$400,0)),I$2,)</f>
        <v>0</v>
      </c>
      <c r="J123" s="155">
        <f ca="1">IF(ISNUMBER(MATCH(DATEVALUE($A123),'changes1_based on steps'!J$1:J$400,0)),J$2,)</f>
        <v>0</v>
      </c>
      <c r="K123" s="155">
        <f ca="1">IF(ISNUMBER(MATCH(DATEVALUE($A123),'changes1_based on steps'!K$1:K$400,0)),K$2,)</f>
        <v>0</v>
      </c>
      <c r="L123" s="155">
        <f ca="1">IF(ISNUMBER(MATCH(DATEVALUE($A123),'changes1_based on steps'!L$1:L$400,0)),L$2,)</f>
        <v>0</v>
      </c>
      <c r="M123" s="155">
        <f ca="1">IF(ISNUMBER(MATCH(DATEVALUE($A123),'changes1_based on steps'!M$1:M$400,0)),M$2,)</f>
        <v>0</v>
      </c>
      <c r="N123" s="155">
        <f ca="1">IF(ISNUMBER(MATCH(DATEVALUE($A123),'changes1_based on steps'!N$1:N$400,0)),N$2,)</f>
        <v>0</v>
      </c>
      <c r="O123" s="155">
        <f ca="1">IF(ISNUMBER(MATCH(DATEVALUE($A123),'changes1_based on steps'!O$1:O$400,0)),O$2,)</f>
        <v>0</v>
      </c>
      <c r="P123" s="155">
        <f ca="1">IF(ISNUMBER(MATCH(DATEVALUE($A123),'changes1_based on steps'!P$1:P$400,0)),P$2,)</f>
        <v>0</v>
      </c>
      <c r="Q123" s="155">
        <f ca="1">IF(ISNUMBER(MATCH(DATEVALUE($A123),'changes1_based on steps'!Q$1:Q$400,0)),Q$2,)</f>
        <v>0</v>
      </c>
      <c r="R123" s="155">
        <f ca="1">IF(ISNUMBER(MATCH(DATEVALUE($A123),'changes1_based on steps'!R$1:R$400,0)),R$2,)</f>
        <v>0</v>
      </c>
      <c r="S123" s="155">
        <f ca="1">IF(ISNUMBER(MATCH(DATEVALUE($A123),'changes1_based on steps'!S$1:S$400,0)),S$2,)</f>
        <v>0</v>
      </c>
      <c r="T123" s="155">
        <f ca="1">IF(ISNUMBER(MATCH(DATEVALUE($A123),'changes1_based on steps'!T$1:T$400,0)),T$2,)</f>
        <v>0</v>
      </c>
      <c r="U123" s="155">
        <f ca="1">IF(ISNUMBER(MATCH(DATEVALUE($A123),'changes1_based on steps'!U$1:U$400,0)),U$2,)</f>
        <v>0</v>
      </c>
    </row>
    <row r="124" spans="1:21" x14ac:dyDescent="0.2">
      <c r="A124" s="18" t="str">
        <f t="shared" ca="1" si="1"/>
        <v>2025-06-02</v>
      </c>
      <c r="B124" s="155">
        <f ca="1">IF(ISNUMBER(MATCH(DATEVALUE($A124),'changes1_based on steps'!B$1:B$400,0)),B$2,)</f>
        <v>0</v>
      </c>
      <c r="C124" s="155">
        <f ca="1">IF(ISNUMBER(MATCH(DATEVALUE($A124),'changes1_based on steps'!C$1:C$400,0)),C$2,)</f>
        <v>0</v>
      </c>
      <c r="D124" s="155">
        <f ca="1">IF(ISNUMBER(MATCH(DATEVALUE($A124),'changes1_based on steps'!D$1:D$400,0)),D$2,)</f>
        <v>0</v>
      </c>
      <c r="E124" s="155">
        <f ca="1">IF(ISNUMBER(MATCH(DATEVALUE($A124),'changes1_based on steps'!E$1:E$400,0)),E$2,)</f>
        <v>0</v>
      </c>
      <c r="F124" s="155">
        <f ca="1">IF(ISNUMBER(MATCH(DATEVALUE($A124),'changes1_based on steps'!F$1:F$400,0)),F$2,)</f>
        <v>0</v>
      </c>
      <c r="G124" s="155">
        <f ca="1">IF(ISNUMBER(MATCH(DATEVALUE($A124),'changes1_based on steps'!G$1:G$400,0)),G$2,)</f>
        <v>0</v>
      </c>
      <c r="H124" s="155">
        <f ca="1">IF(ISNUMBER(MATCH(DATEVALUE($A124),'changes1_based on steps'!H$1:H$400,0)),H$2,)</f>
        <v>0</v>
      </c>
      <c r="I124" s="155">
        <f ca="1">IF(ISNUMBER(MATCH(DATEVALUE($A124),'changes1_based on steps'!I$1:I$400,0)),I$2,)</f>
        <v>0</v>
      </c>
      <c r="J124" s="155">
        <f ca="1">IF(ISNUMBER(MATCH(DATEVALUE($A124),'changes1_based on steps'!J$1:J$400,0)),J$2,)</f>
        <v>0</v>
      </c>
      <c r="K124" s="155">
        <f ca="1">IF(ISNUMBER(MATCH(DATEVALUE($A124),'changes1_based on steps'!K$1:K$400,0)),K$2,)</f>
        <v>0</v>
      </c>
      <c r="L124" s="155">
        <f ca="1">IF(ISNUMBER(MATCH(DATEVALUE($A124),'changes1_based on steps'!L$1:L$400,0)),L$2,)</f>
        <v>0</v>
      </c>
      <c r="M124" s="155">
        <f ca="1">IF(ISNUMBER(MATCH(DATEVALUE($A124),'changes1_based on steps'!M$1:M$400,0)),M$2,)</f>
        <v>0</v>
      </c>
      <c r="N124" s="155">
        <f ca="1">IF(ISNUMBER(MATCH(DATEVALUE($A124),'changes1_based on steps'!N$1:N$400,0)),N$2,)</f>
        <v>0</v>
      </c>
      <c r="O124" s="155">
        <f ca="1">IF(ISNUMBER(MATCH(DATEVALUE($A124),'changes1_based on steps'!O$1:O$400,0)),O$2,)</f>
        <v>0</v>
      </c>
      <c r="P124" s="155">
        <f ca="1">IF(ISNUMBER(MATCH(DATEVALUE($A124),'changes1_based on steps'!P$1:P$400,0)),P$2,)</f>
        <v>0</v>
      </c>
      <c r="Q124" s="155">
        <f ca="1">IF(ISNUMBER(MATCH(DATEVALUE($A124),'changes1_based on steps'!Q$1:Q$400,0)),Q$2,)</f>
        <v>0</v>
      </c>
      <c r="R124" s="155">
        <f ca="1">IF(ISNUMBER(MATCH(DATEVALUE($A124),'changes1_based on steps'!R$1:R$400,0)),R$2,)</f>
        <v>0</v>
      </c>
      <c r="S124" s="155">
        <f ca="1">IF(ISNUMBER(MATCH(DATEVALUE($A124),'changes1_based on steps'!S$1:S$400,0)),S$2,)</f>
        <v>0</v>
      </c>
      <c r="T124" s="155">
        <f ca="1">IF(ISNUMBER(MATCH(DATEVALUE($A124),'changes1_based on steps'!T$1:T$400,0)),T$2,)</f>
        <v>0</v>
      </c>
      <c r="U124" s="155">
        <f ca="1">IF(ISNUMBER(MATCH(DATEVALUE($A124),'changes1_based on steps'!U$1:U$400,0)),U$2,)</f>
        <v>0</v>
      </c>
    </row>
    <row r="125" spans="1:21" x14ac:dyDescent="0.2">
      <c r="A125" s="18" t="str">
        <f t="shared" ca="1" si="1"/>
        <v>2025-06-03</v>
      </c>
      <c r="B125" s="155">
        <f ca="1">IF(ISNUMBER(MATCH(DATEVALUE($A125),'changes1_based on steps'!B$1:B$400,0)),B$2,)</f>
        <v>0</v>
      </c>
      <c r="C125" s="155">
        <f ca="1">IF(ISNUMBER(MATCH(DATEVALUE($A125),'changes1_based on steps'!C$1:C$400,0)),C$2,)</f>
        <v>0</v>
      </c>
      <c r="D125" s="155">
        <f ca="1">IF(ISNUMBER(MATCH(DATEVALUE($A125),'changes1_based on steps'!D$1:D$400,0)),D$2,)</f>
        <v>0</v>
      </c>
      <c r="E125" s="155">
        <f ca="1">IF(ISNUMBER(MATCH(DATEVALUE($A125),'changes1_based on steps'!E$1:E$400,0)),E$2,)</f>
        <v>0</v>
      </c>
      <c r="F125" s="155">
        <f ca="1">IF(ISNUMBER(MATCH(DATEVALUE($A125),'changes1_based on steps'!F$1:F$400,0)),F$2,)</f>
        <v>0</v>
      </c>
      <c r="G125" s="155">
        <f ca="1">IF(ISNUMBER(MATCH(DATEVALUE($A125),'changes1_based on steps'!G$1:G$400,0)),G$2,)</f>
        <v>0</v>
      </c>
      <c r="H125" s="155">
        <f ca="1">IF(ISNUMBER(MATCH(DATEVALUE($A125),'changes1_based on steps'!H$1:H$400,0)),H$2,)</f>
        <v>0</v>
      </c>
      <c r="I125" s="155">
        <f ca="1">IF(ISNUMBER(MATCH(DATEVALUE($A125),'changes1_based on steps'!I$1:I$400,0)),I$2,)</f>
        <v>0</v>
      </c>
      <c r="J125" s="155">
        <f ca="1">IF(ISNUMBER(MATCH(DATEVALUE($A125),'changes1_based on steps'!J$1:J$400,0)),J$2,)</f>
        <v>0</v>
      </c>
      <c r="K125" s="155">
        <f ca="1">IF(ISNUMBER(MATCH(DATEVALUE($A125),'changes1_based on steps'!K$1:K$400,0)),K$2,)</f>
        <v>0</v>
      </c>
      <c r="L125" s="155">
        <f ca="1">IF(ISNUMBER(MATCH(DATEVALUE($A125),'changes1_based on steps'!L$1:L$400,0)),L$2,)</f>
        <v>0</v>
      </c>
      <c r="M125" s="155">
        <f ca="1">IF(ISNUMBER(MATCH(DATEVALUE($A125),'changes1_based on steps'!M$1:M$400,0)),M$2,)</f>
        <v>0</v>
      </c>
      <c r="N125" s="155">
        <f ca="1">IF(ISNUMBER(MATCH(DATEVALUE($A125),'changes1_based on steps'!N$1:N$400,0)),N$2,)</f>
        <v>0</v>
      </c>
      <c r="O125" s="155">
        <f ca="1">IF(ISNUMBER(MATCH(DATEVALUE($A125),'changes1_based on steps'!O$1:O$400,0)),O$2,)</f>
        <v>0</v>
      </c>
      <c r="P125" s="155">
        <f ca="1">IF(ISNUMBER(MATCH(DATEVALUE($A125),'changes1_based on steps'!P$1:P$400,0)),P$2,)</f>
        <v>0</v>
      </c>
      <c r="Q125" s="155">
        <f ca="1">IF(ISNUMBER(MATCH(DATEVALUE($A125),'changes1_based on steps'!Q$1:Q$400,0)),Q$2,)</f>
        <v>0</v>
      </c>
      <c r="R125" s="155">
        <f ca="1">IF(ISNUMBER(MATCH(DATEVALUE($A125),'changes1_based on steps'!R$1:R$400,0)),R$2,)</f>
        <v>0</v>
      </c>
      <c r="S125" s="155">
        <f ca="1">IF(ISNUMBER(MATCH(DATEVALUE($A125),'changes1_based on steps'!S$1:S$400,0)),S$2,)</f>
        <v>0</v>
      </c>
      <c r="T125" s="155">
        <f ca="1">IF(ISNUMBER(MATCH(DATEVALUE($A125),'changes1_based on steps'!T$1:T$400,0)),T$2,)</f>
        <v>0</v>
      </c>
      <c r="U125" s="155">
        <f ca="1">IF(ISNUMBER(MATCH(DATEVALUE($A125),'changes1_based on steps'!U$1:U$400,0)),U$2,)</f>
        <v>0</v>
      </c>
    </row>
    <row r="126" spans="1:21" x14ac:dyDescent="0.2">
      <c r="A126" s="18" t="str">
        <f t="shared" ca="1" si="1"/>
        <v>2025-06-04</v>
      </c>
      <c r="B126" s="155">
        <f ca="1">IF(ISNUMBER(MATCH(DATEVALUE($A126),'changes1_based on steps'!B$1:B$400,0)),B$2,)</f>
        <v>100</v>
      </c>
      <c r="C126" s="155">
        <f ca="1">IF(ISNUMBER(MATCH(DATEVALUE($A126),'changes1_based on steps'!C$1:C$400,0)),C$2,)</f>
        <v>0</v>
      </c>
      <c r="D126" s="155">
        <f ca="1">IF(ISNUMBER(MATCH(DATEVALUE($A126),'changes1_based on steps'!D$1:D$400,0)),D$2,)</f>
        <v>0</v>
      </c>
      <c r="E126" s="155">
        <f ca="1">IF(ISNUMBER(MATCH(DATEVALUE($A126),'changes1_based on steps'!E$1:E$400,0)),E$2,)</f>
        <v>0</v>
      </c>
      <c r="F126" s="155">
        <f ca="1">IF(ISNUMBER(MATCH(DATEVALUE($A126),'changes1_based on steps'!F$1:F$400,0)),F$2,)</f>
        <v>0</v>
      </c>
      <c r="G126" s="155">
        <f ca="1">IF(ISNUMBER(MATCH(DATEVALUE($A126),'changes1_based on steps'!G$1:G$400,0)),G$2,)</f>
        <v>0</v>
      </c>
      <c r="H126" s="155">
        <f ca="1">IF(ISNUMBER(MATCH(DATEVALUE($A126),'changes1_based on steps'!H$1:H$400,0)),H$2,)</f>
        <v>0</v>
      </c>
      <c r="I126" s="155">
        <f ca="1">IF(ISNUMBER(MATCH(DATEVALUE($A126),'changes1_based on steps'!I$1:I$400,0)),I$2,)</f>
        <v>0</v>
      </c>
      <c r="J126" s="155">
        <f ca="1">IF(ISNUMBER(MATCH(DATEVALUE($A126),'changes1_based on steps'!J$1:J$400,0)),J$2,)</f>
        <v>0</v>
      </c>
      <c r="K126" s="155">
        <f ca="1">IF(ISNUMBER(MATCH(DATEVALUE($A126),'changes1_based on steps'!K$1:K$400,0)),K$2,)</f>
        <v>0</v>
      </c>
      <c r="L126" s="155">
        <f ca="1">IF(ISNUMBER(MATCH(DATEVALUE($A126),'changes1_based on steps'!L$1:L$400,0)),L$2,)</f>
        <v>0</v>
      </c>
      <c r="M126" s="155">
        <f ca="1">IF(ISNUMBER(MATCH(DATEVALUE($A126),'changes1_based on steps'!M$1:M$400,0)),M$2,)</f>
        <v>0</v>
      </c>
      <c r="N126" s="155">
        <f ca="1">IF(ISNUMBER(MATCH(DATEVALUE($A126),'changes1_based on steps'!N$1:N$400,0)),N$2,)</f>
        <v>0</v>
      </c>
      <c r="O126" s="155">
        <f ca="1">IF(ISNUMBER(MATCH(DATEVALUE($A126),'changes1_based on steps'!O$1:O$400,0)),O$2,)</f>
        <v>0</v>
      </c>
      <c r="P126" s="155">
        <f ca="1">IF(ISNUMBER(MATCH(DATEVALUE($A126),'changes1_based on steps'!P$1:P$400,0)),P$2,)</f>
        <v>0</v>
      </c>
      <c r="Q126" s="155">
        <f ca="1">IF(ISNUMBER(MATCH(DATEVALUE($A126),'changes1_based on steps'!Q$1:Q$400,0)),Q$2,)</f>
        <v>0</v>
      </c>
      <c r="R126" s="155">
        <f ca="1">IF(ISNUMBER(MATCH(DATEVALUE($A126),'changes1_based on steps'!R$1:R$400,0)),R$2,)</f>
        <v>0</v>
      </c>
      <c r="S126" s="155">
        <f ca="1">IF(ISNUMBER(MATCH(DATEVALUE($A126),'changes1_based on steps'!S$1:S$400,0)),S$2,)</f>
        <v>0</v>
      </c>
      <c r="T126" s="155">
        <f ca="1">IF(ISNUMBER(MATCH(DATEVALUE($A126),'changes1_based on steps'!T$1:T$400,0)),T$2,)</f>
        <v>0</v>
      </c>
      <c r="U126" s="155">
        <f ca="1">IF(ISNUMBER(MATCH(DATEVALUE($A126),'changes1_based on steps'!U$1:U$400,0)),U$2,)</f>
        <v>0</v>
      </c>
    </row>
    <row r="127" spans="1:21" x14ac:dyDescent="0.2">
      <c r="A127" s="18" t="str">
        <f t="shared" ca="1" si="1"/>
        <v>2025-06-05</v>
      </c>
      <c r="B127" s="155">
        <f ca="1">IF(ISNUMBER(MATCH(DATEVALUE($A127),'changes1_based on steps'!B$1:B$400,0)),B$2,)</f>
        <v>0</v>
      </c>
      <c r="C127" s="155">
        <f ca="1">IF(ISNUMBER(MATCH(DATEVALUE($A127),'changes1_based on steps'!C$1:C$400,0)),C$2,)</f>
        <v>0</v>
      </c>
      <c r="D127" s="155">
        <f ca="1">IF(ISNUMBER(MATCH(DATEVALUE($A127),'changes1_based on steps'!D$1:D$400,0)),D$2,)</f>
        <v>0</v>
      </c>
      <c r="E127" s="155">
        <f ca="1">IF(ISNUMBER(MATCH(DATEVALUE($A127),'changes1_based on steps'!E$1:E$400,0)),E$2,)</f>
        <v>0</v>
      </c>
      <c r="F127" s="155">
        <f ca="1">IF(ISNUMBER(MATCH(DATEVALUE($A127),'changes1_based on steps'!F$1:F$400,0)),F$2,)</f>
        <v>0</v>
      </c>
      <c r="G127" s="155">
        <f ca="1">IF(ISNUMBER(MATCH(DATEVALUE($A127),'changes1_based on steps'!G$1:G$400,0)),G$2,)</f>
        <v>0</v>
      </c>
      <c r="H127" s="155">
        <f ca="1">IF(ISNUMBER(MATCH(DATEVALUE($A127),'changes1_based on steps'!H$1:H$400,0)),H$2,)</f>
        <v>0</v>
      </c>
      <c r="I127" s="155">
        <f ca="1">IF(ISNUMBER(MATCH(DATEVALUE($A127),'changes1_based on steps'!I$1:I$400,0)),I$2,)</f>
        <v>0</v>
      </c>
      <c r="J127" s="155">
        <f ca="1">IF(ISNUMBER(MATCH(DATEVALUE($A127),'changes1_based on steps'!J$1:J$400,0)),J$2,)</f>
        <v>0</v>
      </c>
      <c r="K127" s="155">
        <f ca="1">IF(ISNUMBER(MATCH(DATEVALUE($A127),'changes1_based on steps'!K$1:K$400,0)),K$2,)</f>
        <v>0</v>
      </c>
      <c r="L127" s="155">
        <f ca="1">IF(ISNUMBER(MATCH(DATEVALUE($A127),'changes1_based on steps'!L$1:L$400,0)),L$2,)</f>
        <v>0</v>
      </c>
      <c r="M127" s="155">
        <f ca="1">IF(ISNUMBER(MATCH(DATEVALUE($A127),'changes1_based on steps'!M$1:M$400,0)),M$2,)</f>
        <v>0</v>
      </c>
      <c r="N127" s="155">
        <f ca="1">IF(ISNUMBER(MATCH(DATEVALUE($A127),'changes1_based on steps'!N$1:N$400,0)),N$2,)</f>
        <v>0</v>
      </c>
      <c r="O127" s="155">
        <f ca="1">IF(ISNUMBER(MATCH(DATEVALUE($A127),'changes1_based on steps'!O$1:O$400,0)),O$2,)</f>
        <v>0</v>
      </c>
      <c r="P127" s="155">
        <f ca="1">IF(ISNUMBER(MATCH(DATEVALUE($A127),'changes1_based on steps'!P$1:P$400,0)),P$2,)</f>
        <v>0</v>
      </c>
      <c r="Q127" s="155">
        <f ca="1">IF(ISNUMBER(MATCH(DATEVALUE($A127),'changes1_based on steps'!Q$1:Q$400,0)),Q$2,)</f>
        <v>0</v>
      </c>
      <c r="R127" s="155">
        <f ca="1">IF(ISNUMBER(MATCH(DATEVALUE($A127),'changes1_based on steps'!R$1:R$400,0)),R$2,)</f>
        <v>0</v>
      </c>
      <c r="S127" s="155">
        <f ca="1">IF(ISNUMBER(MATCH(DATEVALUE($A127),'changes1_based on steps'!S$1:S$400,0)),S$2,)</f>
        <v>0</v>
      </c>
      <c r="T127" s="155">
        <f ca="1">IF(ISNUMBER(MATCH(DATEVALUE($A127),'changes1_based on steps'!T$1:T$400,0)),T$2,)</f>
        <v>0</v>
      </c>
      <c r="U127" s="155">
        <f ca="1">IF(ISNUMBER(MATCH(DATEVALUE($A127),'changes1_based on steps'!U$1:U$400,0)),U$2,)</f>
        <v>0</v>
      </c>
    </row>
    <row r="128" spans="1:21" x14ac:dyDescent="0.2">
      <c r="A128" s="18" t="str">
        <f t="shared" ca="1" si="1"/>
        <v>2025-06-06</v>
      </c>
      <c r="B128" s="155">
        <f ca="1">IF(ISNUMBER(MATCH(DATEVALUE($A128),'changes1_based on steps'!B$1:B$400,0)),B$2,)</f>
        <v>0</v>
      </c>
      <c r="C128" s="155">
        <f ca="1">IF(ISNUMBER(MATCH(DATEVALUE($A128),'changes1_based on steps'!C$1:C$400,0)),C$2,)</f>
        <v>0</v>
      </c>
      <c r="D128" s="155">
        <f ca="1">IF(ISNUMBER(MATCH(DATEVALUE($A128),'changes1_based on steps'!D$1:D$400,0)),D$2,)</f>
        <v>0</v>
      </c>
      <c r="E128" s="155">
        <f ca="1">IF(ISNUMBER(MATCH(DATEVALUE($A128),'changes1_based on steps'!E$1:E$400,0)),E$2,)</f>
        <v>0</v>
      </c>
      <c r="F128" s="155">
        <f ca="1">IF(ISNUMBER(MATCH(DATEVALUE($A128),'changes1_based on steps'!F$1:F$400,0)),F$2,)</f>
        <v>0</v>
      </c>
      <c r="G128" s="155">
        <f ca="1">IF(ISNUMBER(MATCH(DATEVALUE($A128),'changes1_based on steps'!G$1:G$400,0)),G$2,)</f>
        <v>0</v>
      </c>
      <c r="H128" s="155">
        <f ca="1">IF(ISNUMBER(MATCH(DATEVALUE($A128),'changes1_based on steps'!H$1:H$400,0)),H$2,)</f>
        <v>0</v>
      </c>
      <c r="I128" s="155">
        <f ca="1">IF(ISNUMBER(MATCH(DATEVALUE($A128),'changes1_based on steps'!I$1:I$400,0)),I$2,)</f>
        <v>0</v>
      </c>
      <c r="J128" s="155">
        <f ca="1">IF(ISNUMBER(MATCH(DATEVALUE($A128),'changes1_based on steps'!J$1:J$400,0)),J$2,)</f>
        <v>0</v>
      </c>
      <c r="K128" s="155">
        <f ca="1">IF(ISNUMBER(MATCH(DATEVALUE($A128),'changes1_based on steps'!K$1:K$400,0)),K$2,)</f>
        <v>0</v>
      </c>
      <c r="L128" s="155">
        <f ca="1">IF(ISNUMBER(MATCH(DATEVALUE($A128),'changes1_based on steps'!L$1:L$400,0)),L$2,)</f>
        <v>0</v>
      </c>
      <c r="M128" s="155">
        <f ca="1">IF(ISNUMBER(MATCH(DATEVALUE($A128),'changes1_based on steps'!M$1:M$400,0)),M$2,)</f>
        <v>0</v>
      </c>
      <c r="N128" s="155">
        <f ca="1">IF(ISNUMBER(MATCH(DATEVALUE($A128),'changes1_based on steps'!N$1:N$400,0)),N$2,)</f>
        <v>0</v>
      </c>
      <c r="O128" s="155">
        <f ca="1">IF(ISNUMBER(MATCH(DATEVALUE($A128),'changes1_based on steps'!O$1:O$400,0)),O$2,)</f>
        <v>0</v>
      </c>
      <c r="P128" s="155">
        <f ca="1">IF(ISNUMBER(MATCH(DATEVALUE($A128),'changes1_based on steps'!P$1:P$400,0)),P$2,)</f>
        <v>0</v>
      </c>
      <c r="Q128" s="155">
        <f ca="1">IF(ISNUMBER(MATCH(DATEVALUE($A128),'changes1_based on steps'!Q$1:Q$400,0)),Q$2,)</f>
        <v>0</v>
      </c>
      <c r="R128" s="155">
        <f ca="1">IF(ISNUMBER(MATCH(DATEVALUE($A128),'changes1_based on steps'!R$1:R$400,0)),R$2,)</f>
        <v>0</v>
      </c>
      <c r="S128" s="155">
        <f ca="1">IF(ISNUMBER(MATCH(DATEVALUE($A128),'changes1_based on steps'!S$1:S$400,0)),S$2,)</f>
        <v>0</v>
      </c>
      <c r="T128" s="155">
        <f ca="1">IF(ISNUMBER(MATCH(DATEVALUE($A128),'changes1_based on steps'!T$1:T$400,0)),T$2,)</f>
        <v>0</v>
      </c>
      <c r="U128" s="155">
        <f ca="1">IF(ISNUMBER(MATCH(DATEVALUE($A128),'changes1_based on steps'!U$1:U$400,0)),U$2,)</f>
        <v>0</v>
      </c>
    </row>
    <row r="129" spans="1:21" x14ac:dyDescent="0.2">
      <c r="A129" s="18" t="str">
        <f t="shared" ca="1" si="1"/>
        <v>2025-06-07</v>
      </c>
      <c r="B129" s="155">
        <f ca="1">IF(ISNUMBER(MATCH(DATEVALUE($A129),'changes1_based on steps'!B$1:B$400,0)),B$2,)</f>
        <v>0</v>
      </c>
      <c r="C129" s="155">
        <f ca="1">IF(ISNUMBER(MATCH(DATEVALUE($A129),'changes1_based on steps'!C$1:C$400,0)),C$2,)</f>
        <v>0</v>
      </c>
      <c r="D129" s="155">
        <f ca="1">IF(ISNUMBER(MATCH(DATEVALUE($A129),'changes1_based on steps'!D$1:D$400,0)),D$2,)</f>
        <v>0</v>
      </c>
      <c r="E129" s="155">
        <f ca="1">IF(ISNUMBER(MATCH(DATEVALUE($A129),'changes1_based on steps'!E$1:E$400,0)),E$2,)</f>
        <v>0</v>
      </c>
      <c r="F129" s="155">
        <f ca="1">IF(ISNUMBER(MATCH(DATEVALUE($A129),'changes1_based on steps'!F$1:F$400,0)),F$2,)</f>
        <v>0</v>
      </c>
      <c r="G129" s="155">
        <f ca="1">IF(ISNUMBER(MATCH(DATEVALUE($A129),'changes1_based on steps'!G$1:G$400,0)),G$2,)</f>
        <v>0</v>
      </c>
      <c r="H129" s="155">
        <f ca="1">IF(ISNUMBER(MATCH(DATEVALUE($A129),'changes1_based on steps'!H$1:H$400,0)),H$2,)</f>
        <v>0</v>
      </c>
      <c r="I129" s="155">
        <f ca="1">IF(ISNUMBER(MATCH(DATEVALUE($A129),'changes1_based on steps'!I$1:I$400,0)),I$2,)</f>
        <v>0</v>
      </c>
      <c r="J129" s="155">
        <f ca="1">IF(ISNUMBER(MATCH(DATEVALUE($A129),'changes1_based on steps'!J$1:J$400,0)),J$2,)</f>
        <v>0</v>
      </c>
      <c r="K129" s="155">
        <f ca="1">IF(ISNUMBER(MATCH(DATEVALUE($A129),'changes1_based on steps'!K$1:K$400,0)),K$2,)</f>
        <v>0</v>
      </c>
      <c r="L129" s="155">
        <f ca="1">IF(ISNUMBER(MATCH(DATEVALUE($A129),'changes1_based on steps'!L$1:L$400,0)),L$2,)</f>
        <v>0</v>
      </c>
      <c r="M129" s="155">
        <f ca="1">IF(ISNUMBER(MATCH(DATEVALUE($A129),'changes1_based on steps'!M$1:M$400,0)),M$2,)</f>
        <v>0</v>
      </c>
      <c r="N129" s="155">
        <f ca="1">IF(ISNUMBER(MATCH(DATEVALUE($A129),'changes1_based on steps'!N$1:N$400,0)),N$2,)</f>
        <v>0</v>
      </c>
      <c r="O129" s="155">
        <f ca="1">IF(ISNUMBER(MATCH(DATEVALUE($A129),'changes1_based on steps'!O$1:O$400,0)),O$2,)</f>
        <v>0</v>
      </c>
      <c r="P129" s="155">
        <f ca="1">IF(ISNUMBER(MATCH(DATEVALUE($A129),'changes1_based on steps'!P$1:P$400,0)),P$2,)</f>
        <v>0</v>
      </c>
      <c r="Q129" s="155">
        <f ca="1">IF(ISNUMBER(MATCH(DATEVALUE($A129),'changes1_based on steps'!Q$1:Q$400,0)),Q$2,)</f>
        <v>0</v>
      </c>
      <c r="R129" s="155">
        <f ca="1">IF(ISNUMBER(MATCH(DATEVALUE($A129),'changes1_based on steps'!R$1:R$400,0)),R$2,)</f>
        <v>0</v>
      </c>
      <c r="S129" s="155">
        <f ca="1">IF(ISNUMBER(MATCH(DATEVALUE($A129),'changes1_based on steps'!S$1:S$400,0)),S$2,)</f>
        <v>0</v>
      </c>
      <c r="T129" s="155">
        <f ca="1">IF(ISNUMBER(MATCH(DATEVALUE($A129),'changes1_based on steps'!T$1:T$400,0)),T$2,)</f>
        <v>0</v>
      </c>
      <c r="U129" s="155">
        <f ca="1">IF(ISNUMBER(MATCH(DATEVALUE($A129),'changes1_based on steps'!U$1:U$400,0)),U$2,)</f>
        <v>0</v>
      </c>
    </row>
    <row r="130" spans="1:21" x14ac:dyDescent="0.2">
      <c r="A130" s="18" t="str">
        <f t="shared" ca="1" si="1"/>
        <v>2025-06-08</v>
      </c>
      <c r="B130" s="155">
        <f ca="1">IF(ISNUMBER(MATCH(DATEVALUE($A130),'changes1_based on steps'!B$1:B$400,0)),B$2,)</f>
        <v>0</v>
      </c>
      <c r="C130" s="155">
        <f ca="1">IF(ISNUMBER(MATCH(DATEVALUE($A130),'changes1_based on steps'!C$1:C$400,0)),C$2,)</f>
        <v>0</v>
      </c>
      <c r="D130" s="155">
        <f ca="1">IF(ISNUMBER(MATCH(DATEVALUE($A130),'changes1_based on steps'!D$1:D$400,0)),D$2,)</f>
        <v>0</v>
      </c>
      <c r="E130" s="155">
        <f ca="1">IF(ISNUMBER(MATCH(DATEVALUE($A130),'changes1_based on steps'!E$1:E$400,0)),E$2,)</f>
        <v>0</v>
      </c>
      <c r="F130" s="155">
        <f ca="1">IF(ISNUMBER(MATCH(DATEVALUE($A130),'changes1_based on steps'!F$1:F$400,0)),F$2,)</f>
        <v>0</v>
      </c>
      <c r="G130" s="155">
        <f ca="1">IF(ISNUMBER(MATCH(DATEVALUE($A130),'changes1_based on steps'!G$1:G$400,0)),G$2,)</f>
        <v>0</v>
      </c>
      <c r="H130" s="155">
        <f ca="1">IF(ISNUMBER(MATCH(DATEVALUE($A130),'changes1_based on steps'!H$1:H$400,0)),H$2,)</f>
        <v>0</v>
      </c>
      <c r="I130" s="155">
        <f ca="1">IF(ISNUMBER(MATCH(DATEVALUE($A130),'changes1_based on steps'!I$1:I$400,0)),I$2,)</f>
        <v>0</v>
      </c>
      <c r="J130" s="155">
        <f ca="1">IF(ISNUMBER(MATCH(DATEVALUE($A130),'changes1_based on steps'!J$1:J$400,0)),J$2,)</f>
        <v>0</v>
      </c>
      <c r="K130" s="155">
        <f ca="1">IF(ISNUMBER(MATCH(DATEVALUE($A130),'changes1_based on steps'!K$1:K$400,0)),K$2,)</f>
        <v>0</v>
      </c>
      <c r="L130" s="155">
        <f ca="1">IF(ISNUMBER(MATCH(DATEVALUE($A130),'changes1_based on steps'!L$1:L$400,0)),L$2,)</f>
        <v>0</v>
      </c>
      <c r="M130" s="155">
        <f ca="1">IF(ISNUMBER(MATCH(DATEVALUE($A130),'changes1_based on steps'!M$1:M$400,0)),M$2,)</f>
        <v>0</v>
      </c>
      <c r="N130" s="155">
        <f ca="1">IF(ISNUMBER(MATCH(DATEVALUE($A130),'changes1_based on steps'!N$1:N$400,0)),N$2,)</f>
        <v>0</v>
      </c>
      <c r="O130" s="155">
        <f ca="1">IF(ISNUMBER(MATCH(DATEVALUE($A130),'changes1_based on steps'!O$1:O$400,0)),O$2,)</f>
        <v>0</v>
      </c>
      <c r="P130" s="155">
        <f ca="1">IF(ISNUMBER(MATCH(DATEVALUE($A130),'changes1_based on steps'!P$1:P$400,0)),P$2,)</f>
        <v>0</v>
      </c>
      <c r="Q130" s="155">
        <f ca="1">IF(ISNUMBER(MATCH(DATEVALUE($A130),'changes1_based on steps'!Q$1:Q$400,0)),Q$2,)</f>
        <v>0</v>
      </c>
      <c r="R130" s="155">
        <f ca="1">IF(ISNUMBER(MATCH(DATEVALUE($A130),'changes1_based on steps'!R$1:R$400,0)),R$2,)</f>
        <v>0</v>
      </c>
      <c r="S130" s="155">
        <f ca="1">IF(ISNUMBER(MATCH(DATEVALUE($A130),'changes1_based on steps'!S$1:S$400,0)),S$2,)</f>
        <v>0</v>
      </c>
      <c r="T130" s="155">
        <f ca="1">IF(ISNUMBER(MATCH(DATEVALUE($A130),'changes1_based on steps'!T$1:T$400,0)),T$2,)</f>
        <v>0</v>
      </c>
      <c r="U130" s="155">
        <f ca="1">IF(ISNUMBER(MATCH(DATEVALUE($A130),'changes1_based on steps'!U$1:U$400,0)),U$2,)</f>
        <v>0</v>
      </c>
    </row>
    <row r="131" spans="1:21" x14ac:dyDescent="0.2">
      <c r="A131" s="18" t="str">
        <f t="shared" ca="1" si="1"/>
        <v>2025-06-09</v>
      </c>
      <c r="B131" s="155">
        <f ca="1">IF(ISNUMBER(MATCH(DATEVALUE($A131),'changes1_based on steps'!B$1:B$400,0)),B$2,)</f>
        <v>0</v>
      </c>
      <c r="C131" s="155">
        <f ca="1">IF(ISNUMBER(MATCH(DATEVALUE($A131),'changes1_based on steps'!C$1:C$400,0)),C$2,)</f>
        <v>0</v>
      </c>
      <c r="D131" s="155">
        <f ca="1">IF(ISNUMBER(MATCH(DATEVALUE($A131),'changes1_based on steps'!D$1:D$400,0)),D$2,)</f>
        <v>0</v>
      </c>
      <c r="E131" s="155">
        <f ca="1">IF(ISNUMBER(MATCH(DATEVALUE($A131),'changes1_based on steps'!E$1:E$400,0)),E$2,)</f>
        <v>0</v>
      </c>
      <c r="F131" s="155">
        <f ca="1">IF(ISNUMBER(MATCH(DATEVALUE($A131),'changes1_based on steps'!F$1:F$400,0)),F$2,)</f>
        <v>0</v>
      </c>
      <c r="G131" s="155">
        <f ca="1">IF(ISNUMBER(MATCH(DATEVALUE($A131),'changes1_based on steps'!G$1:G$400,0)),G$2,)</f>
        <v>0</v>
      </c>
      <c r="H131" s="155">
        <f ca="1">IF(ISNUMBER(MATCH(DATEVALUE($A131),'changes1_based on steps'!H$1:H$400,0)),H$2,)</f>
        <v>0</v>
      </c>
      <c r="I131" s="155">
        <f ca="1">IF(ISNUMBER(MATCH(DATEVALUE($A131),'changes1_based on steps'!I$1:I$400,0)),I$2,)</f>
        <v>0</v>
      </c>
      <c r="J131" s="155">
        <f ca="1">IF(ISNUMBER(MATCH(DATEVALUE($A131),'changes1_based on steps'!J$1:J$400,0)),J$2,)</f>
        <v>0</v>
      </c>
      <c r="K131" s="155">
        <f ca="1">IF(ISNUMBER(MATCH(DATEVALUE($A131),'changes1_based on steps'!K$1:K$400,0)),K$2,)</f>
        <v>0</v>
      </c>
      <c r="L131" s="155">
        <f ca="1">IF(ISNUMBER(MATCH(DATEVALUE($A131),'changes1_based on steps'!L$1:L$400,0)),L$2,)</f>
        <v>0</v>
      </c>
      <c r="M131" s="155">
        <f ca="1">IF(ISNUMBER(MATCH(DATEVALUE($A131),'changes1_based on steps'!M$1:M$400,0)),M$2,)</f>
        <v>0</v>
      </c>
      <c r="N131" s="155">
        <f ca="1">IF(ISNUMBER(MATCH(DATEVALUE($A131),'changes1_based on steps'!N$1:N$400,0)),N$2,)</f>
        <v>0</v>
      </c>
      <c r="O131" s="155">
        <f ca="1">IF(ISNUMBER(MATCH(DATEVALUE($A131),'changes1_based on steps'!O$1:O$400,0)),O$2,)</f>
        <v>0</v>
      </c>
      <c r="P131" s="155">
        <f ca="1">IF(ISNUMBER(MATCH(DATEVALUE($A131),'changes1_based on steps'!P$1:P$400,0)),P$2,)</f>
        <v>0</v>
      </c>
      <c r="Q131" s="155">
        <f ca="1">IF(ISNUMBER(MATCH(DATEVALUE($A131),'changes1_based on steps'!Q$1:Q$400,0)),Q$2,)</f>
        <v>0</v>
      </c>
      <c r="R131" s="155">
        <f ca="1">IF(ISNUMBER(MATCH(DATEVALUE($A131),'changes1_based on steps'!R$1:R$400,0)),R$2,)</f>
        <v>0</v>
      </c>
      <c r="S131" s="155">
        <f ca="1">IF(ISNUMBER(MATCH(DATEVALUE($A131),'changes1_based on steps'!S$1:S$400,0)),S$2,)</f>
        <v>0</v>
      </c>
      <c r="T131" s="155">
        <f ca="1">IF(ISNUMBER(MATCH(DATEVALUE($A131),'changes1_based on steps'!T$1:T$400,0)),T$2,)</f>
        <v>0</v>
      </c>
      <c r="U131" s="155">
        <f ca="1">IF(ISNUMBER(MATCH(DATEVALUE($A131),'changes1_based on steps'!U$1:U$400,0)),U$2,)</f>
        <v>0</v>
      </c>
    </row>
    <row r="132" spans="1:21" x14ac:dyDescent="0.2">
      <c r="A132" s="18" t="str">
        <f t="shared" ca="1" si="1"/>
        <v>2025-06-10</v>
      </c>
      <c r="B132" s="155">
        <f ca="1">IF(ISNUMBER(MATCH(DATEVALUE($A132),'changes1_based on steps'!B$1:B$400,0)),B$2,)</f>
        <v>0</v>
      </c>
      <c r="C132" s="155">
        <f ca="1">IF(ISNUMBER(MATCH(DATEVALUE($A132),'changes1_based on steps'!C$1:C$400,0)),C$2,)</f>
        <v>0</v>
      </c>
      <c r="D132" s="155">
        <f ca="1">IF(ISNUMBER(MATCH(DATEVALUE($A132),'changes1_based on steps'!D$1:D$400,0)),D$2,)</f>
        <v>0</v>
      </c>
      <c r="E132" s="155">
        <f ca="1">IF(ISNUMBER(MATCH(DATEVALUE($A132),'changes1_based on steps'!E$1:E$400,0)),E$2,)</f>
        <v>0</v>
      </c>
      <c r="F132" s="155">
        <f ca="1">IF(ISNUMBER(MATCH(DATEVALUE($A132),'changes1_based on steps'!F$1:F$400,0)),F$2,)</f>
        <v>0</v>
      </c>
      <c r="G132" s="155">
        <f ca="1">IF(ISNUMBER(MATCH(DATEVALUE($A132),'changes1_based on steps'!G$1:G$400,0)),G$2,)</f>
        <v>0</v>
      </c>
      <c r="H132" s="155">
        <f ca="1">IF(ISNUMBER(MATCH(DATEVALUE($A132),'changes1_based on steps'!H$1:H$400,0)),H$2,)</f>
        <v>0</v>
      </c>
      <c r="I132" s="155">
        <f ca="1">IF(ISNUMBER(MATCH(DATEVALUE($A132),'changes1_based on steps'!I$1:I$400,0)),I$2,)</f>
        <v>0</v>
      </c>
      <c r="J132" s="155">
        <f ca="1">IF(ISNUMBER(MATCH(DATEVALUE($A132),'changes1_based on steps'!J$1:J$400,0)),J$2,)</f>
        <v>0</v>
      </c>
      <c r="K132" s="155">
        <f ca="1">IF(ISNUMBER(MATCH(DATEVALUE($A132),'changes1_based on steps'!K$1:K$400,0)),K$2,)</f>
        <v>0</v>
      </c>
      <c r="L132" s="155">
        <f ca="1">IF(ISNUMBER(MATCH(DATEVALUE($A132),'changes1_based on steps'!L$1:L$400,0)),L$2,)</f>
        <v>0</v>
      </c>
      <c r="M132" s="155">
        <f ca="1">IF(ISNUMBER(MATCH(DATEVALUE($A132),'changes1_based on steps'!M$1:M$400,0)),M$2,)</f>
        <v>0</v>
      </c>
      <c r="N132" s="155">
        <f ca="1">IF(ISNUMBER(MATCH(DATEVALUE($A132),'changes1_based on steps'!N$1:N$400,0)),N$2,)</f>
        <v>0</v>
      </c>
      <c r="O132" s="155">
        <f ca="1">IF(ISNUMBER(MATCH(DATEVALUE($A132),'changes1_based on steps'!O$1:O$400,0)),O$2,)</f>
        <v>0</v>
      </c>
      <c r="P132" s="155">
        <f ca="1">IF(ISNUMBER(MATCH(DATEVALUE($A132),'changes1_based on steps'!P$1:P$400,0)),P$2,)</f>
        <v>0</v>
      </c>
      <c r="Q132" s="155">
        <f ca="1">IF(ISNUMBER(MATCH(DATEVALUE($A132),'changes1_based on steps'!Q$1:Q$400,0)),Q$2,)</f>
        <v>0</v>
      </c>
      <c r="R132" s="155">
        <f ca="1">IF(ISNUMBER(MATCH(DATEVALUE($A132),'changes1_based on steps'!R$1:R$400,0)),R$2,)</f>
        <v>0</v>
      </c>
      <c r="S132" s="155">
        <f ca="1">IF(ISNUMBER(MATCH(DATEVALUE($A132),'changes1_based on steps'!S$1:S$400,0)),S$2,)</f>
        <v>0</v>
      </c>
      <c r="T132" s="155">
        <f ca="1">IF(ISNUMBER(MATCH(DATEVALUE($A132),'changes1_based on steps'!T$1:T$400,0)),T$2,)</f>
        <v>0</v>
      </c>
      <c r="U132" s="155">
        <f ca="1">IF(ISNUMBER(MATCH(DATEVALUE($A132),'changes1_based on steps'!U$1:U$400,0)),U$2,)</f>
        <v>0</v>
      </c>
    </row>
    <row r="133" spans="1:21" x14ac:dyDescent="0.2">
      <c r="A133" s="18" t="str">
        <f t="shared" ref="A133:A196" ca="1" si="2">TEXT(DATEVALUE(A132)+1,"yyyy-mm-dd")</f>
        <v>2025-06-11</v>
      </c>
      <c r="B133" s="155">
        <f ca="1">IF(ISNUMBER(MATCH(DATEVALUE($A133),'changes1_based on steps'!B$1:B$400,0)),B$2,)</f>
        <v>0</v>
      </c>
      <c r="C133" s="155">
        <f ca="1">IF(ISNUMBER(MATCH(DATEVALUE($A133),'changes1_based on steps'!C$1:C$400,0)),C$2,)</f>
        <v>0</v>
      </c>
      <c r="D133" s="155">
        <f ca="1">IF(ISNUMBER(MATCH(DATEVALUE($A133),'changes1_based on steps'!D$1:D$400,0)),D$2,)</f>
        <v>0</v>
      </c>
      <c r="E133" s="155">
        <f ca="1">IF(ISNUMBER(MATCH(DATEVALUE($A133),'changes1_based on steps'!E$1:E$400,0)),E$2,)</f>
        <v>0</v>
      </c>
      <c r="F133" s="155">
        <f ca="1">IF(ISNUMBER(MATCH(DATEVALUE($A133),'changes1_based on steps'!F$1:F$400,0)),F$2,)</f>
        <v>0</v>
      </c>
      <c r="G133" s="155">
        <f ca="1">IF(ISNUMBER(MATCH(DATEVALUE($A133),'changes1_based on steps'!G$1:G$400,0)),G$2,)</f>
        <v>0</v>
      </c>
      <c r="H133" s="155">
        <f ca="1">IF(ISNUMBER(MATCH(DATEVALUE($A133),'changes1_based on steps'!H$1:H$400,0)),H$2,)</f>
        <v>0</v>
      </c>
      <c r="I133" s="155">
        <f ca="1">IF(ISNUMBER(MATCH(DATEVALUE($A133),'changes1_based on steps'!I$1:I$400,0)),I$2,)</f>
        <v>0</v>
      </c>
      <c r="J133" s="155">
        <f ca="1">IF(ISNUMBER(MATCH(DATEVALUE($A133),'changes1_based on steps'!J$1:J$400,0)),J$2,)</f>
        <v>0</v>
      </c>
      <c r="K133" s="155">
        <f ca="1">IF(ISNUMBER(MATCH(DATEVALUE($A133),'changes1_based on steps'!K$1:K$400,0)),K$2,)</f>
        <v>0</v>
      </c>
      <c r="L133" s="155">
        <f ca="1">IF(ISNUMBER(MATCH(DATEVALUE($A133),'changes1_based on steps'!L$1:L$400,0)),L$2,)</f>
        <v>0</v>
      </c>
      <c r="M133" s="155">
        <f ca="1">IF(ISNUMBER(MATCH(DATEVALUE($A133),'changes1_based on steps'!M$1:M$400,0)),M$2,)</f>
        <v>0</v>
      </c>
      <c r="N133" s="155">
        <f ca="1">IF(ISNUMBER(MATCH(DATEVALUE($A133),'changes1_based on steps'!N$1:N$400,0)),N$2,)</f>
        <v>0</v>
      </c>
      <c r="O133" s="155">
        <f ca="1">IF(ISNUMBER(MATCH(DATEVALUE($A133),'changes1_based on steps'!O$1:O$400,0)),O$2,)</f>
        <v>0</v>
      </c>
      <c r="P133" s="155">
        <f ca="1">IF(ISNUMBER(MATCH(DATEVALUE($A133),'changes1_based on steps'!P$1:P$400,0)),P$2,)</f>
        <v>0</v>
      </c>
      <c r="Q133" s="155">
        <f ca="1">IF(ISNUMBER(MATCH(DATEVALUE($A133),'changes1_based on steps'!Q$1:Q$400,0)),Q$2,)</f>
        <v>0</v>
      </c>
      <c r="R133" s="155">
        <f ca="1">IF(ISNUMBER(MATCH(DATEVALUE($A133),'changes1_based on steps'!R$1:R$400,0)),R$2,)</f>
        <v>0</v>
      </c>
      <c r="S133" s="155">
        <f ca="1">IF(ISNUMBER(MATCH(DATEVALUE($A133),'changes1_based on steps'!S$1:S$400,0)),S$2,)</f>
        <v>0</v>
      </c>
      <c r="T133" s="155">
        <f ca="1">IF(ISNUMBER(MATCH(DATEVALUE($A133),'changes1_based on steps'!T$1:T$400,0)),T$2,)</f>
        <v>0</v>
      </c>
      <c r="U133" s="155">
        <f ca="1">IF(ISNUMBER(MATCH(DATEVALUE($A133),'changes1_based on steps'!U$1:U$400,0)),U$2,)</f>
        <v>0</v>
      </c>
    </row>
    <row r="134" spans="1:21" x14ac:dyDescent="0.2">
      <c r="A134" s="18" t="str">
        <f t="shared" ca="1" si="2"/>
        <v>2025-06-12</v>
      </c>
      <c r="B134" s="155">
        <f ca="1">IF(ISNUMBER(MATCH(DATEVALUE($A134),'changes1_based on steps'!B$1:B$400,0)),B$2,)</f>
        <v>0</v>
      </c>
      <c r="C134" s="155">
        <f ca="1">IF(ISNUMBER(MATCH(DATEVALUE($A134),'changes1_based on steps'!C$1:C$400,0)),C$2,)</f>
        <v>0</v>
      </c>
      <c r="D134" s="155">
        <f ca="1">IF(ISNUMBER(MATCH(DATEVALUE($A134),'changes1_based on steps'!D$1:D$400,0)),D$2,)</f>
        <v>0</v>
      </c>
      <c r="E134" s="155">
        <f ca="1">IF(ISNUMBER(MATCH(DATEVALUE($A134),'changes1_based on steps'!E$1:E$400,0)),E$2,)</f>
        <v>0</v>
      </c>
      <c r="F134" s="155">
        <f ca="1">IF(ISNUMBER(MATCH(DATEVALUE($A134),'changes1_based on steps'!F$1:F$400,0)),F$2,)</f>
        <v>0</v>
      </c>
      <c r="G134" s="155">
        <f ca="1">IF(ISNUMBER(MATCH(DATEVALUE($A134),'changes1_based on steps'!G$1:G$400,0)),G$2,)</f>
        <v>0</v>
      </c>
      <c r="H134" s="155">
        <f ca="1">IF(ISNUMBER(MATCH(DATEVALUE($A134),'changes1_based on steps'!H$1:H$400,0)),H$2,)</f>
        <v>0</v>
      </c>
      <c r="I134" s="155">
        <f ca="1">IF(ISNUMBER(MATCH(DATEVALUE($A134),'changes1_based on steps'!I$1:I$400,0)),I$2,)</f>
        <v>0</v>
      </c>
      <c r="J134" s="155">
        <f ca="1">IF(ISNUMBER(MATCH(DATEVALUE($A134),'changes1_based on steps'!J$1:J$400,0)),J$2,)</f>
        <v>0</v>
      </c>
      <c r="K134" s="155">
        <f ca="1">IF(ISNUMBER(MATCH(DATEVALUE($A134),'changes1_based on steps'!K$1:K$400,0)),K$2,)</f>
        <v>0</v>
      </c>
      <c r="L134" s="155">
        <f ca="1">IF(ISNUMBER(MATCH(DATEVALUE($A134),'changes1_based on steps'!L$1:L$400,0)),L$2,)</f>
        <v>0</v>
      </c>
      <c r="M134" s="155">
        <f ca="1">IF(ISNUMBER(MATCH(DATEVALUE($A134),'changes1_based on steps'!M$1:M$400,0)),M$2,)</f>
        <v>0</v>
      </c>
      <c r="N134" s="155">
        <f ca="1">IF(ISNUMBER(MATCH(DATEVALUE($A134),'changes1_based on steps'!N$1:N$400,0)),N$2,)</f>
        <v>0</v>
      </c>
      <c r="O134" s="155">
        <f ca="1">IF(ISNUMBER(MATCH(DATEVALUE($A134),'changes1_based on steps'!O$1:O$400,0)),O$2,)</f>
        <v>0</v>
      </c>
      <c r="P134" s="155">
        <f ca="1">IF(ISNUMBER(MATCH(DATEVALUE($A134),'changes1_based on steps'!P$1:P$400,0)),P$2,)</f>
        <v>0</v>
      </c>
      <c r="Q134" s="155">
        <f ca="1">IF(ISNUMBER(MATCH(DATEVALUE($A134),'changes1_based on steps'!Q$1:Q$400,0)),Q$2,)</f>
        <v>0</v>
      </c>
      <c r="R134" s="155">
        <f ca="1">IF(ISNUMBER(MATCH(DATEVALUE($A134),'changes1_based on steps'!R$1:R$400,0)),R$2,)</f>
        <v>0</v>
      </c>
      <c r="S134" s="155">
        <f ca="1">IF(ISNUMBER(MATCH(DATEVALUE($A134),'changes1_based on steps'!S$1:S$400,0)),S$2,)</f>
        <v>0</v>
      </c>
      <c r="T134" s="155">
        <f ca="1">IF(ISNUMBER(MATCH(DATEVALUE($A134),'changes1_based on steps'!T$1:T$400,0)),T$2,)</f>
        <v>0</v>
      </c>
      <c r="U134" s="155">
        <f ca="1">IF(ISNUMBER(MATCH(DATEVALUE($A134),'changes1_based on steps'!U$1:U$400,0)),U$2,)</f>
        <v>0</v>
      </c>
    </row>
    <row r="135" spans="1:21" x14ac:dyDescent="0.2">
      <c r="A135" s="18" t="str">
        <f t="shared" ca="1" si="2"/>
        <v>2025-06-13</v>
      </c>
      <c r="B135" s="155">
        <f ca="1">IF(ISNUMBER(MATCH(DATEVALUE($A135),'changes1_based on steps'!B$1:B$400,0)),B$2,)</f>
        <v>0</v>
      </c>
      <c r="C135" s="155">
        <f ca="1">IF(ISNUMBER(MATCH(DATEVALUE($A135),'changes1_based on steps'!C$1:C$400,0)),C$2,)</f>
        <v>0</v>
      </c>
      <c r="D135" s="155">
        <f ca="1">IF(ISNUMBER(MATCH(DATEVALUE($A135),'changes1_based on steps'!D$1:D$400,0)),D$2,)</f>
        <v>0</v>
      </c>
      <c r="E135" s="155">
        <f ca="1">IF(ISNUMBER(MATCH(DATEVALUE($A135),'changes1_based on steps'!E$1:E$400,0)),E$2,)</f>
        <v>0</v>
      </c>
      <c r="F135" s="155">
        <f ca="1">IF(ISNUMBER(MATCH(DATEVALUE($A135),'changes1_based on steps'!F$1:F$400,0)),F$2,)</f>
        <v>0</v>
      </c>
      <c r="G135" s="155">
        <f ca="1">IF(ISNUMBER(MATCH(DATEVALUE($A135),'changes1_based on steps'!G$1:G$400,0)),G$2,)</f>
        <v>0</v>
      </c>
      <c r="H135" s="155">
        <f ca="1">IF(ISNUMBER(MATCH(DATEVALUE($A135),'changes1_based on steps'!H$1:H$400,0)),H$2,)</f>
        <v>0</v>
      </c>
      <c r="I135" s="155">
        <f ca="1">IF(ISNUMBER(MATCH(DATEVALUE($A135),'changes1_based on steps'!I$1:I$400,0)),I$2,)</f>
        <v>0</v>
      </c>
      <c r="J135" s="155">
        <f ca="1">IF(ISNUMBER(MATCH(DATEVALUE($A135),'changes1_based on steps'!J$1:J$400,0)),J$2,)</f>
        <v>0</v>
      </c>
      <c r="K135" s="155">
        <f ca="1">IF(ISNUMBER(MATCH(DATEVALUE($A135),'changes1_based on steps'!K$1:K$400,0)),K$2,)</f>
        <v>0</v>
      </c>
      <c r="L135" s="155">
        <f ca="1">IF(ISNUMBER(MATCH(DATEVALUE($A135),'changes1_based on steps'!L$1:L$400,0)),L$2,)</f>
        <v>0</v>
      </c>
      <c r="M135" s="155">
        <f ca="1">IF(ISNUMBER(MATCH(DATEVALUE($A135),'changes1_based on steps'!M$1:M$400,0)),M$2,)</f>
        <v>0</v>
      </c>
      <c r="N135" s="155">
        <f ca="1">IF(ISNUMBER(MATCH(DATEVALUE($A135),'changes1_based on steps'!N$1:N$400,0)),N$2,)</f>
        <v>0</v>
      </c>
      <c r="O135" s="155">
        <f ca="1">IF(ISNUMBER(MATCH(DATEVALUE($A135),'changes1_based on steps'!O$1:O$400,0)),O$2,)</f>
        <v>0</v>
      </c>
      <c r="P135" s="155">
        <f ca="1">IF(ISNUMBER(MATCH(DATEVALUE($A135),'changes1_based on steps'!P$1:P$400,0)),P$2,)</f>
        <v>0</v>
      </c>
      <c r="Q135" s="155">
        <f ca="1">IF(ISNUMBER(MATCH(DATEVALUE($A135),'changes1_based on steps'!Q$1:Q$400,0)),Q$2,)</f>
        <v>0</v>
      </c>
      <c r="R135" s="155">
        <f ca="1">IF(ISNUMBER(MATCH(DATEVALUE($A135),'changes1_based on steps'!R$1:R$400,0)),R$2,)</f>
        <v>0</v>
      </c>
      <c r="S135" s="155">
        <f ca="1">IF(ISNUMBER(MATCH(DATEVALUE($A135),'changes1_based on steps'!S$1:S$400,0)),S$2,)</f>
        <v>0</v>
      </c>
      <c r="T135" s="155">
        <f ca="1">IF(ISNUMBER(MATCH(DATEVALUE($A135),'changes1_based on steps'!T$1:T$400,0)),T$2,)</f>
        <v>0</v>
      </c>
      <c r="U135" s="155">
        <f ca="1">IF(ISNUMBER(MATCH(DATEVALUE($A135),'changes1_based on steps'!U$1:U$400,0)),U$2,)</f>
        <v>0</v>
      </c>
    </row>
    <row r="136" spans="1:21" x14ac:dyDescent="0.2">
      <c r="A136" s="18" t="str">
        <f t="shared" ca="1" si="2"/>
        <v>2025-06-14</v>
      </c>
      <c r="B136" s="155">
        <f ca="1">IF(ISNUMBER(MATCH(DATEVALUE($A136),'changes1_based on steps'!B$1:B$400,0)),B$2,)</f>
        <v>0</v>
      </c>
      <c r="C136" s="155">
        <f ca="1">IF(ISNUMBER(MATCH(DATEVALUE($A136),'changes1_based on steps'!C$1:C$400,0)),C$2,)</f>
        <v>0</v>
      </c>
      <c r="D136" s="155">
        <f ca="1">IF(ISNUMBER(MATCH(DATEVALUE($A136),'changes1_based on steps'!D$1:D$400,0)),D$2,)</f>
        <v>0</v>
      </c>
      <c r="E136" s="155">
        <f ca="1">IF(ISNUMBER(MATCH(DATEVALUE($A136),'changes1_based on steps'!E$1:E$400,0)),E$2,)</f>
        <v>0</v>
      </c>
      <c r="F136" s="155">
        <f ca="1">IF(ISNUMBER(MATCH(DATEVALUE($A136),'changes1_based on steps'!F$1:F$400,0)),F$2,)</f>
        <v>0</v>
      </c>
      <c r="G136" s="155">
        <f ca="1">IF(ISNUMBER(MATCH(DATEVALUE($A136),'changes1_based on steps'!G$1:G$400,0)),G$2,)</f>
        <v>0</v>
      </c>
      <c r="H136" s="155">
        <f ca="1">IF(ISNUMBER(MATCH(DATEVALUE($A136),'changes1_based on steps'!H$1:H$400,0)),H$2,)</f>
        <v>0</v>
      </c>
      <c r="I136" s="155">
        <f ca="1">IF(ISNUMBER(MATCH(DATEVALUE($A136),'changes1_based on steps'!I$1:I$400,0)),I$2,)</f>
        <v>0</v>
      </c>
      <c r="J136" s="155">
        <f ca="1">IF(ISNUMBER(MATCH(DATEVALUE($A136),'changes1_based on steps'!J$1:J$400,0)),J$2,)</f>
        <v>0</v>
      </c>
      <c r="K136" s="155">
        <f ca="1">IF(ISNUMBER(MATCH(DATEVALUE($A136),'changes1_based on steps'!K$1:K$400,0)),K$2,)</f>
        <v>0</v>
      </c>
      <c r="L136" s="155">
        <f ca="1">IF(ISNUMBER(MATCH(DATEVALUE($A136),'changes1_based on steps'!L$1:L$400,0)),L$2,)</f>
        <v>0</v>
      </c>
      <c r="M136" s="155">
        <f ca="1">IF(ISNUMBER(MATCH(DATEVALUE($A136),'changes1_based on steps'!M$1:M$400,0)),M$2,)</f>
        <v>0</v>
      </c>
      <c r="N136" s="155">
        <f ca="1">IF(ISNUMBER(MATCH(DATEVALUE($A136),'changes1_based on steps'!N$1:N$400,0)),N$2,)</f>
        <v>0</v>
      </c>
      <c r="O136" s="155">
        <f ca="1">IF(ISNUMBER(MATCH(DATEVALUE($A136),'changes1_based on steps'!O$1:O$400,0)),O$2,)</f>
        <v>0</v>
      </c>
      <c r="P136" s="155">
        <f ca="1">IF(ISNUMBER(MATCH(DATEVALUE($A136),'changes1_based on steps'!P$1:P$400,0)),P$2,)</f>
        <v>0</v>
      </c>
      <c r="Q136" s="155">
        <f ca="1">IF(ISNUMBER(MATCH(DATEVALUE($A136),'changes1_based on steps'!Q$1:Q$400,0)),Q$2,)</f>
        <v>0</v>
      </c>
      <c r="R136" s="155">
        <f ca="1">IF(ISNUMBER(MATCH(DATEVALUE($A136),'changes1_based on steps'!R$1:R$400,0)),R$2,)</f>
        <v>0</v>
      </c>
      <c r="S136" s="155">
        <f ca="1">IF(ISNUMBER(MATCH(DATEVALUE($A136),'changes1_based on steps'!S$1:S$400,0)),S$2,)</f>
        <v>0</v>
      </c>
      <c r="T136" s="155">
        <f ca="1">IF(ISNUMBER(MATCH(DATEVALUE($A136),'changes1_based on steps'!T$1:T$400,0)),T$2,)</f>
        <v>0</v>
      </c>
      <c r="U136" s="155">
        <f ca="1">IF(ISNUMBER(MATCH(DATEVALUE($A136),'changes1_based on steps'!U$1:U$400,0)),U$2,)</f>
        <v>0</v>
      </c>
    </row>
    <row r="137" spans="1:21" x14ac:dyDescent="0.2">
      <c r="A137" s="18" t="str">
        <f t="shared" ca="1" si="2"/>
        <v>2025-06-15</v>
      </c>
      <c r="B137" s="155">
        <f ca="1">IF(ISNUMBER(MATCH(DATEVALUE($A137),'changes1_based on steps'!B$1:B$400,0)),B$2,)</f>
        <v>0</v>
      </c>
      <c r="C137" s="155">
        <f ca="1">IF(ISNUMBER(MATCH(DATEVALUE($A137),'changes1_based on steps'!C$1:C$400,0)),C$2,)</f>
        <v>0</v>
      </c>
      <c r="D137" s="155">
        <f ca="1">IF(ISNUMBER(MATCH(DATEVALUE($A137),'changes1_based on steps'!D$1:D$400,0)),D$2,)</f>
        <v>0</v>
      </c>
      <c r="E137" s="155">
        <f ca="1">IF(ISNUMBER(MATCH(DATEVALUE($A137),'changes1_based on steps'!E$1:E$400,0)),E$2,)</f>
        <v>0</v>
      </c>
      <c r="F137" s="155">
        <f ca="1">IF(ISNUMBER(MATCH(DATEVALUE($A137),'changes1_based on steps'!F$1:F$400,0)),F$2,)</f>
        <v>0</v>
      </c>
      <c r="G137" s="155">
        <f ca="1">IF(ISNUMBER(MATCH(DATEVALUE($A137),'changes1_based on steps'!G$1:G$400,0)),G$2,)</f>
        <v>0</v>
      </c>
      <c r="H137" s="155">
        <f ca="1">IF(ISNUMBER(MATCH(DATEVALUE($A137),'changes1_based on steps'!H$1:H$400,0)),H$2,)</f>
        <v>0</v>
      </c>
      <c r="I137" s="155">
        <f ca="1">IF(ISNUMBER(MATCH(DATEVALUE($A137),'changes1_based on steps'!I$1:I$400,0)),I$2,)</f>
        <v>0</v>
      </c>
      <c r="J137" s="155">
        <f ca="1">IF(ISNUMBER(MATCH(DATEVALUE($A137),'changes1_based on steps'!J$1:J$400,0)),J$2,)</f>
        <v>0</v>
      </c>
      <c r="K137" s="155">
        <f ca="1">IF(ISNUMBER(MATCH(DATEVALUE($A137),'changes1_based on steps'!K$1:K$400,0)),K$2,)</f>
        <v>0</v>
      </c>
      <c r="L137" s="155">
        <f ca="1">IF(ISNUMBER(MATCH(DATEVALUE($A137),'changes1_based on steps'!L$1:L$400,0)),L$2,)</f>
        <v>0</v>
      </c>
      <c r="M137" s="155">
        <f ca="1">IF(ISNUMBER(MATCH(DATEVALUE($A137),'changes1_based on steps'!M$1:M$400,0)),M$2,)</f>
        <v>0</v>
      </c>
      <c r="N137" s="155">
        <f ca="1">IF(ISNUMBER(MATCH(DATEVALUE($A137),'changes1_based on steps'!N$1:N$400,0)),N$2,)</f>
        <v>0</v>
      </c>
      <c r="O137" s="155">
        <f ca="1">IF(ISNUMBER(MATCH(DATEVALUE($A137),'changes1_based on steps'!O$1:O$400,0)),O$2,)</f>
        <v>0</v>
      </c>
      <c r="P137" s="155">
        <f ca="1">IF(ISNUMBER(MATCH(DATEVALUE($A137),'changes1_based on steps'!P$1:P$400,0)),P$2,)</f>
        <v>0</v>
      </c>
      <c r="Q137" s="155">
        <f ca="1">IF(ISNUMBER(MATCH(DATEVALUE($A137),'changes1_based on steps'!Q$1:Q$400,0)),Q$2,)</f>
        <v>0</v>
      </c>
      <c r="R137" s="155">
        <f ca="1">IF(ISNUMBER(MATCH(DATEVALUE($A137),'changes1_based on steps'!R$1:R$400,0)),R$2,)</f>
        <v>0</v>
      </c>
      <c r="S137" s="155">
        <f ca="1">IF(ISNUMBER(MATCH(DATEVALUE($A137),'changes1_based on steps'!S$1:S$400,0)),S$2,)</f>
        <v>0</v>
      </c>
      <c r="T137" s="155">
        <f ca="1">IF(ISNUMBER(MATCH(DATEVALUE($A137),'changes1_based on steps'!T$1:T$400,0)),T$2,)</f>
        <v>0</v>
      </c>
      <c r="U137" s="155">
        <f ca="1">IF(ISNUMBER(MATCH(DATEVALUE($A137),'changes1_based on steps'!U$1:U$400,0)),U$2,)</f>
        <v>0</v>
      </c>
    </row>
    <row r="138" spans="1:21" x14ac:dyDescent="0.2">
      <c r="A138" s="18" t="str">
        <f t="shared" ca="1" si="2"/>
        <v>2025-06-16</v>
      </c>
      <c r="B138" s="155">
        <f ca="1">IF(ISNUMBER(MATCH(DATEVALUE($A138),'changes1_based on steps'!B$1:B$400,0)),B$2,)</f>
        <v>0</v>
      </c>
      <c r="C138" s="155">
        <f ca="1">IF(ISNUMBER(MATCH(DATEVALUE($A138),'changes1_based on steps'!C$1:C$400,0)),C$2,)</f>
        <v>0</v>
      </c>
      <c r="D138" s="155">
        <f ca="1">IF(ISNUMBER(MATCH(DATEVALUE($A138),'changes1_based on steps'!D$1:D$400,0)),D$2,)</f>
        <v>0</v>
      </c>
      <c r="E138" s="155">
        <f ca="1">IF(ISNUMBER(MATCH(DATEVALUE($A138),'changes1_based on steps'!E$1:E$400,0)),E$2,)</f>
        <v>0</v>
      </c>
      <c r="F138" s="155">
        <f ca="1">IF(ISNUMBER(MATCH(DATEVALUE($A138),'changes1_based on steps'!F$1:F$400,0)),F$2,)</f>
        <v>0</v>
      </c>
      <c r="G138" s="155">
        <f ca="1">IF(ISNUMBER(MATCH(DATEVALUE($A138),'changes1_based on steps'!G$1:G$400,0)),G$2,)</f>
        <v>0</v>
      </c>
      <c r="H138" s="155">
        <f ca="1">IF(ISNUMBER(MATCH(DATEVALUE($A138),'changes1_based on steps'!H$1:H$400,0)),H$2,)</f>
        <v>0</v>
      </c>
      <c r="I138" s="155">
        <f ca="1">IF(ISNUMBER(MATCH(DATEVALUE($A138),'changes1_based on steps'!I$1:I$400,0)),I$2,)</f>
        <v>0</v>
      </c>
      <c r="J138" s="155">
        <f ca="1">IF(ISNUMBER(MATCH(DATEVALUE($A138),'changes1_based on steps'!J$1:J$400,0)),J$2,)</f>
        <v>0</v>
      </c>
      <c r="K138" s="155">
        <f ca="1">IF(ISNUMBER(MATCH(DATEVALUE($A138),'changes1_based on steps'!K$1:K$400,0)),K$2,)</f>
        <v>0</v>
      </c>
      <c r="L138" s="155">
        <f ca="1">IF(ISNUMBER(MATCH(DATEVALUE($A138),'changes1_based on steps'!L$1:L$400,0)),L$2,)</f>
        <v>0</v>
      </c>
      <c r="M138" s="155">
        <f ca="1">IF(ISNUMBER(MATCH(DATEVALUE($A138),'changes1_based on steps'!M$1:M$400,0)),M$2,)</f>
        <v>0</v>
      </c>
      <c r="N138" s="155">
        <f ca="1">IF(ISNUMBER(MATCH(DATEVALUE($A138),'changes1_based on steps'!N$1:N$400,0)),N$2,)</f>
        <v>0</v>
      </c>
      <c r="O138" s="155">
        <f ca="1">IF(ISNUMBER(MATCH(DATEVALUE($A138),'changes1_based on steps'!O$1:O$400,0)),O$2,)</f>
        <v>0</v>
      </c>
      <c r="P138" s="155">
        <f ca="1">IF(ISNUMBER(MATCH(DATEVALUE($A138),'changes1_based on steps'!P$1:P$400,0)),P$2,)</f>
        <v>0</v>
      </c>
      <c r="Q138" s="155">
        <f ca="1">IF(ISNUMBER(MATCH(DATEVALUE($A138),'changes1_based on steps'!Q$1:Q$400,0)),Q$2,)</f>
        <v>0</v>
      </c>
      <c r="R138" s="155">
        <f ca="1">IF(ISNUMBER(MATCH(DATEVALUE($A138),'changes1_based on steps'!R$1:R$400,0)),R$2,)</f>
        <v>0</v>
      </c>
      <c r="S138" s="155">
        <f ca="1">IF(ISNUMBER(MATCH(DATEVALUE($A138),'changes1_based on steps'!S$1:S$400,0)),S$2,)</f>
        <v>0</v>
      </c>
      <c r="T138" s="155">
        <f ca="1">IF(ISNUMBER(MATCH(DATEVALUE($A138),'changes1_based on steps'!T$1:T$400,0)),T$2,)</f>
        <v>0</v>
      </c>
      <c r="U138" s="155">
        <f ca="1">IF(ISNUMBER(MATCH(DATEVALUE($A138),'changes1_based on steps'!U$1:U$400,0)),U$2,)</f>
        <v>0</v>
      </c>
    </row>
    <row r="139" spans="1:21" x14ac:dyDescent="0.2">
      <c r="A139" s="18" t="str">
        <f t="shared" ca="1" si="2"/>
        <v>2025-06-17</v>
      </c>
      <c r="B139" s="155">
        <f ca="1">IF(ISNUMBER(MATCH(DATEVALUE($A139),'changes1_based on steps'!B$1:B$400,0)),B$2,)</f>
        <v>0</v>
      </c>
      <c r="C139" s="155">
        <f ca="1">IF(ISNUMBER(MATCH(DATEVALUE($A139),'changes1_based on steps'!C$1:C$400,0)),C$2,)</f>
        <v>0</v>
      </c>
      <c r="D139" s="155">
        <f ca="1">IF(ISNUMBER(MATCH(DATEVALUE($A139),'changes1_based on steps'!D$1:D$400,0)),D$2,)</f>
        <v>0</v>
      </c>
      <c r="E139" s="155">
        <f ca="1">IF(ISNUMBER(MATCH(DATEVALUE($A139),'changes1_based on steps'!E$1:E$400,0)),E$2,)</f>
        <v>0</v>
      </c>
      <c r="F139" s="155">
        <f ca="1">IF(ISNUMBER(MATCH(DATEVALUE($A139),'changes1_based on steps'!F$1:F$400,0)),F$2,)</f>
        <v>0</v>
      </c>
      <c r="G139" s="155">
        <f ca="1">IF(ISNUMBER(MATCH(DATEVALUE($A139),'changes1_based on steps'!G$1:G$400,0)),G$2,)</f>
        <v>0</v>
      </c>
      <c r="H139" s="155">
        <f ca="1">IF(ISNUMBER(MATCH(DATEVALUE($A139),'changes1_based on steps'!H$1:H$400,0)),H$2,)</f>
        <v>0</v>
      </c>
      <c r="I139" s="155">
        <f ca="1">IF(ISNUMBER(MATCH(DATEVALUE($A139),'changes1_based on steps'!I$1:I$400,0)),I$2,)</f>
        <v>0</v>
      </c>
      <c r="J139" s="155">
        <f ca="1">IF(ISNUMBER(MATCH(DATEVALUE($A139),'changes1_based on steps'!J$1:J$400,0)),J$2,)</f>
        <v>0</v>
      </c>
      <c r="K139" s="155">
        <f ca="1">IF(ISNUMBER(MATCH(DATEVALUE($A139),'changes1_based on steps'!K$1:K$400,0)),K$2,)</f>
        <v>0</v>
      </c>
      <c r="L139" s="155">
        <f ca="1">IF(ISNUMBER(MATCH(DATEVALUE($A139),'changes1_based on steps'!L$1:L$400,0)),L$2,)</f>
        <v>0</v>
      </c>
      <c r="M139" s="155">
        <f ca="1">IF(ISNUMBER(MATCH(DATEVALUE($A139),'changes1_based on steps'!M$1:M$400,0)),M$2,)</f>
        <v>0</v>
      </c>
      <c r="N139" s="155">
        <f ca="1">IF(ISNUMBER(MATCH(DATEVALUE($A139),'changes1_based on steps'!N$1:N$400,0)),N$2,)</f>
        <v>0</v>
      </c>
      <c r="O139" s="155">
        <f ca="1">IF(ISNUMBER(MATCH(DATEVALUE($A139),'changes1_based on steps'!O$1:O$400,0)),O$2,)</f>
        <v>0</v>
      </c>
      <c r="P139" s="155">
        <f ca="1">IF(ISNUMBER(MATCH(DATEVALUE($A139),'changes1_based on steps'!P$1:P$400,0)),P$2,)</f>
        <v>0</v>
      </c>
      <c r="Q139" s="155">
        <f ca="1">IF(ISNUMBER(MATCH(DATEVALUE($A139),'changes1_based on steps'!Q$1:Q$400,0)),Q$2,)</f>
        <v>0</v>
      </c>
      <c r="R139" s="155">
        <f ca="1">IF(ISNUMBER(MATCH(DATEVALUE($A139),'changes1_based on steps'!R$1:R$400,0)),R$2,)</f>
        <v>0</v>
      </c>
      <c r="S139" s="155">
        <f ca="1">IF(ISNUMBER(MATCH(DATEVALUE($A139),'changes1_based on steps'!S$1:S$400,0)),S$2,)</f>
        <v>0</v>
      </c>
      <c r="T139" s="155">
        <f ca="1">IF(ISNUMBER(MATCH(DATEVALUE($A139),'changes1_based on steps'!T$1:T$400,0)),T$2,)</f>
        <v>0</v>
      </c>
      <c r="U139" s="155">
        <f ca="1">IF(ISNUMBER(MATCH(DATEVALUE($A139),'changes1_based on steps'!U$1:U$400,0)),U$2,)</f>
        <v>0</v>
      </c>
    </row>
    <row r="140" spans="1:21" x14ac:dyDescent="0.2">
      <c r="A140" s="18" t="str">
        <f t="shared" ca="1" si="2"/>
        <v>2025-06-18</v>
      </c>
      <c r="B140" s="155">
        <f ca="1">IF(ISNUMBER(MATCH(DATEVALUE($A140),'changes1_based on steps'!B$1:B$400,0)),B$2,)</f>
        <v>100</v>
      </c>
      <c r="C140" s="155">
        <f ca="1">IF(ISNUMBER(MATCH(DATEVALUE($A140),'changes1_based on steps'!C$1:C$400,0)),C$2,)</f>
        <v>0</v>
      </c>
      <c r="D140" s="155">
        <f ca="1">IF(ISNUMBER(MATCH(DATEVALUE($A140),'changes1_based on steps'!D$1:D$400,0)),D$2,)</f>
        <v>0</v>
      </c>
      <c r="E140" s="155">
        <f ca="1">IF(ISNUMBER(MATCH(DATEVALUE($A140),'changes1_based on steps'!E$1:E$400,0)),E$2,)</f>
        <v>0</v>
      </c>
      <c r="F140" s="155">
        <f ca="1">IF(ISNUMBER(MATCH(DATEVALUE($A140),'changes1_based on steps'!F$1:F$400,0)),F$2,)</f>
        <v>0</v>
      </c>
      <c r="G140" s="155">
        <f ca="1">IF(ISNUMBER(MATCH(DATEVALUE($A140),'changes1_based on steps'!G$1:G$400,0)),G$2,)</f>
        <v>0</v>
      </c>
      <c r="H140" s="155">
        <f ca="1">IF(ISNUMBER(MATCH(DATEVALUE($A140),'changes1_based on steps'!H$1:H$400,0)),H$2,)</f>
        <v>0</v>
      </c>
      <c r="I140" s="155">
        <f ca="1">IF(ISNUMBER(MATCH(DATEVALUE($A140),'changes1_based on steps'!I$1:I$400,0)),I$2,)</f>
        <v>0</v>
      </c>
      <c r="J140" s="155">
        <f ca="1">IF(ISNUMBER(MATCH(DATEVALUE($A140),'changes1_based on steps'!J$1:J$400,0)),J$2,)</f>
        <v>0</v>
      </c>
      <c r="K140" s="155">
        <f ca="1">IF(ISNUMBER(MATCH(DATEVALUE($A140),'changes1_based on steps'!K$1:K$400,0)),K$2,)</f>
        <v>0</v>
      </c>
      <c r="L140" s="155">
        <f ca="1">IF(ISNUMBER(MATCH(DATEVALUE($A140),'changes1_based on steps'!L$1:L$400,0)),L$2,)</f>
        <v>0</v>
      </c>
      <c r="M140" s="155">
        <f ca="1">IF(ISNUMBER(MATCH(DATEVALUE($A140),'changes1_based on steps'!M$1:M$400,0)),M$2,)</f>
        <v>0</v>
      </c>
      <c r="N140" s="155">
        <f ca="1">IF(ISNUMBER(MATCH(DATEVALUE($A140),'changes1_based on steps'!N$1:N$400,0)),N$2,)</f>
        <v>0</v>
      </c>
      <c r="O140" s="155">
        <f ca="1">IF(ISNUMBER(MATCH(DATEVALUE($A140),'changes1_based on steps'!O$1:O$400,0)),O$2,)</f>
        <v>0</v>
      </c>
      <c r="P140" s="155">
        <f ca="1">IF(ISNUMBER(MATCH(DATEVALUE($A140),'changes1_based on steps'!P$1:P$400,0)),P$2,)</f>
        <v>0</v>
      </c>
      <c r="Q140" s="155">
        <f ca="1">IF(ISNUMBER(MATCH(DATEVALUE($A140),'changes1_based on steps'!Q$1:Q$400,0)),Q$2,)</f>
        <v>0</v>
      </c>
      <c r="R140" s="155">
        <f ca="1">IF(ISNUMBER(MATCH(DATEVALUE($A140),'changes1_based on steps'!R$1:R$400,0)),R$2,)</f>
        <v>0</v>
      </c>
      <c r="S140" s="155">
        <f ca="1">IF(ISNUMBER(MATCH(DATEVALUE($A140),'changes1_based on steps'!S$1:S$400,0)),S$2,)</f>
        <v>0</v>
      </c>
      <c r="T140" s="155">
        <f ca="1">IF(ISNUMBER(MATCH(DATEVALUE($A140),'changes1_based on steps'!T$1:T$400,0)),T$2,)</f>
        <v>0</v>
      </c>
      <c r="U140" s="155">
        <f ca="1">IF(ISNUMBER(MATCH(DATEVALUE($A140),'changes1_based on steps'!U$1:U$400,0)),U$2,)</f>
        <v>0</v>
      </c>
    </row>
    <row r="141" spans="1:21" x14ac:dyDescent="0.2">
      <c r="A141" s="18" t="str">
        <f t="shared" ca="1" si="2"/>
        <v>2025-06-19</v>
      </c>
      <c r="B141" s="155">
        <f ca="1">IF(ISNUMBER(MATCH(DATEVALUE($A141),'changes1_based on steps'!B$1:B$400,0)),B$2,)</f>
        <v>0</v>
      </c>
      <c r="C141" s="155">
        <f ca="1">IF(ISNUMBER(MATCH(DATEVALUE($A141),'changes1_based on steps'!C$1:C$400,0)),C$2,)</f>
        <v>0</v>
      </c>
      <c r="D141" s="155">
        <f ca="1">IF(ISNUMBER(MATCH(DATEVALUE($A141),'changes1_based on steps'!D$1:D$400,0)),D$2,)</f>
        <v>0</v>
      </c>
      <c r="E141" s="155">
        <f ca="1">IF(ISNUMBER(MATCH(DATEVALUE($A141),'changes1_based on steps'!E$1:E$400,0)),E$2,)</f>
        <v>0</v>
      </c>
      <c r="F141" s="155">
        <f ca="1">IF(ISNUMBER(MATCH(DATEVALUE($A141),'changes1_based on steps'!F$1:F$400,0)),F$2,)</f>
        <v>0</v>
      </c>
      <c r="G141" s="155">
        <f ca="1">IF(ISNUMBER(MATCH(DATEVALUE($A141),'changes1_based on steps'!G$1:G$400,0)),G$2,)</f>
        <v>0</v>
      </c>
      <c r="H141" s="155">
        <f ca="1">IF(ISNUMBER(MATCH(DATEVALUE($A141),'changes1_based on steps'!H$1:H$400,0)),H$2,)</f>
        <v>0</v>
      </c>
      <c r="I141" s="155">
        <f ca="1">IF(ISNUMBER(MATCH(DATEVALUE($A141),'changes1_based on steps'!I$1:I$400,0)),I$2,)</f>
        <v>0</v>
      </c>
      <c r="J141" s="155">
        <f ca="1">IF(ISNUMBER(MATCH(DATEVALUE($A141),'changes1_based on steps'!J$1:J$400,0)),J$2,)</f>
        <v>0</v>
      </c>
      <c r="K141" s="155">
        <f ca="1">IF(ISNUMBER(MATCH(DATEVALUE($A141),'changes1_based on steps'!K$1:K$400,0)),K$2,)</f>
        <v>0</v>
      </c>
      <c r="L141" s="155">
        <f ca="1">IF(ISNUMBER(MATCH(DATEVALUE($A141),'changes1_based on steps'!L$1:L$400,0)),L$2,)</f>
        <v>0</v>
      </c>
      <c r="M141" s="155">
        <f ca="1">IF(ISNUMBER(MATCH(DATEVALUE($A141),'changes1_based on steps'!M$1:M$400,0)),M$2,)</f>
        <v>0</v>
      </c>
      <c r="N141" s="155">
        <f ca="1">IF(ISNUMBER(MATCH(DATEVALUE($A141),'changes1_based on steps'!N$1:N$400,0)),N$2,)</f>
        <v>0</v>
      </c>
      <c r="O141" s="155">
        <f ca="1">IF(ISNUMBER(MATCH(DATEVALUE($A141),'changes1_based on steps'!O$1:O$400,0)),O$2,)</f>
        <v>0</v>
      </c>
      <c r="P141" s="155">
        <f ca="1">IF(ISNUMBER(MATCH(DATEVALUE($A141),'changes1_based on steps'!P$1:P$400,0)),P$2,)</f>
        <v>0</v>
      </c>
      <c r="Q141" s="155">
        <f ca="1">IF(ISNUMBER(MATCH(DATEVALUE($A141),'changes1_based on steps'!Q$1:Q$400,0)),Q$2,)</f>
        <v>0</v>
      </c>
      <c r="R141" s="155">
        <f ca="1">IF(ISNUMBER(MATCH(DATEVALUE($A141),'changes1_based on steps'!R$1:R$400,0)),R$2,)</f>
        <v>0</v>
      </c>
      <c r="S141" s="155">
        <f ca="1">IF(ISNUMBER(MATCH(DATEVALUE($A141),'changes1_based on steps'!S$1:S$400,0)),S$2,)</f>
        <v>0</v>
      </c>
      <c r="T141" s="155">
        <f ca="1">IF(ISNUMBER(MATCH(DATEVALUE($A141),'changes1_based on steps'!T$1:T$400,0)),T$2,)</f>
        <v>0</v>
      </c>
      <c r="U141" s="155">
        <f ca="1">IF(ISNUMBER(MATCH(DATEVALUE($A141),'changes1_based on steps'!U$1:U$400,0)),U$2,)</f>
        <v>0</v>
      </c>
    </row>
    <row r="142" spans="1:21" x14ac:dyDescent="0.2">
      <c r="A142" s="18" t="str">
        <f t="shared" ca="1" si="2"/>
        <v>2025-06-20</v>
      </c>
      <c r="B142" s="155">
        <f ca="1">IF(ISNUMBER(MATCH(DATEVALUE($A142),'changes1_based on steps'!B$1:B$400,0)),B$2,)</f>
        <v>0</v>
      </c>
      <c r="C142" s="155">
        <f ca="1">IF(ISNUMBER(MATCH(DATEVALUE($A142),'changes1_based on steps'!C$1:C$400,0)),C$2,)</f>
        <v>0</v>
      </c>
      <c r="D142" s="155">
        <f ca="1">IF(ISNUMBER(MATCH(DATEVALUE($A142),'changes1_based on steps'!D$1:D$400,0)),D$2,)</f>
        <v>0</v>
      </c>
      <c r="E142" s="155">
        <f ca="1">IF(ISNUMBER(MATCH(DATEVALUE($A142),'changes1_based on steps'!E$1:E$400,0)),E$2,)</f>
        <v>0</v>
      </c>
      <c r="F142" s="155">
        <f ca="1">IF(ISNUMBER(MATCH(DATEVALUE($A142),'changes1_based on steps'!F$1:F$400,0)),F$2,)</f>
        <v>0</v>
      </c>
      <c r="G142" s="155">
        <f ca="1">IF(ISNUMBER(MATCH(DATEVALUE($A142),'changes1_based on steps'!G$1:G$400,0)),G$2,)</f>
        <v>0</v>
      </c>
      <c r="H142" s="155">
        <f ca="1">IF(ISNUMBER(MATCH(DATEVALUE($A142),'changes1_based on steps'!H$1:H$400,0)),H$2,)</f>
        <v>0</v>
      </c>
      <c r="I142" s="155">
        <f ca="1">IF(ISNUMBER(MATCH(DATEVALUE($A142),'changes1_based on steps'!I$1:I$400,0)),I$2,)</f>
        <v>0</v>
      </c>
      <c r="J142" s="155">
        <f ca="1">IF(ISNUMBER(MATCH(DATEVALUE($A142),'changes1_based on steps'!J$1:J$400,0)),J$2,)</f>
        <v>0</v>
      </c>
      <c r="K142" s="155">
        <f ca="1">IF(ISNUMBER(MATCH(DATEVALUE($A142),'changes1_based on steps'!K$1:K$400,0)),K$2,)</f>
        <v>0</v>
      </c>
      <c r="L142" s="155">
        <f ca="1">IF(ISNUMBER(MATCH(DATEVALUE($A142),'changes1_based on steps'!L$1:L$400,0)),L$2,)</f>
        <v>0</v>
      </c>
      <c r="M142" s="155">
        <f ca="1">IF(ISNUMBER(MATCH(DATEVALUE($A142),'changes1_based on steps'!M$1:M$400,0)),M$2,)</f>
        <v>0</v>
      </c>
      <c r="N142" s="155">
        <f ca="1">IF(ISNUMBER(MATCH(DATEVALUE($A142),'changes1_based on steps'!N$1:N$400,0)),N$2,)</f>
        <v>0</v>
      </c>
      <c r="O142" s="155">
        <f ca="1">IF(ISNUMBER(MATCH(DATEVALUE($A142),'changes1_based on steps'!O$1:O$400,0)),O$2,)</f>
        <v>0</v>
      </c>
      <c r="P142" s="155">
        <f ca="1">IF(ISNUMBER(MATCH(DATEVALUE($A142),'changes1_based on steps'!P$1:P$400,0)),P$2,)</f>
        <v>0</v>
      </c>
      <c r="Q142" s="155">
        <f ca="1">IF(ISNUMBER(MATCH(DATEVALUE($A142),'changes1_based on steps'!Q$1:Q$400,0)),Q$2,)</f>
        <v>0</v>
      </c>
      <c r="R142" s="155">
        <f ca="1">IF(ISNUMBER(MATCH(DATEVALUE($A142),'changes1_based on steps'!R$1:R$400,0)),R$2,)</f>
        <v>0</v>
      </c>
      <c r="S142" s="155">
        <f ca="1">IF(ISNUMBER(MATCH(DATEVALUE($A142),'changes1_based on steps'!S$1:S$400,0)),S$2,)</f>
        <v>0</v>
      </c>
      <c r="T142" s="155">
        <f ca="1">IF(ISNUMBER(MATCH(DATEVALUE($A142),'changes1_based on steps'!T$1:T$400,0)),T$2,)</f>
        <v>0</v>
      </c>
      <c r="U142" s="155">
        <f ca="1">IF(ISNUMBER(MATCH(DATEVALUE($A142),'changes1_based on steps'!U$1:U$400,0)),U$2,)</f>
        <v>0</v>
      </c>
    </row>
    <row r="143" spans="1:21" x14ac:dyDescent="0.2">
      <c r="A143" s="18" t="str">
        <f t="shared" ca="1" si="2"/>
        <v>2025-06-21</v>
      </c>
      <c r="B143" s="155">
        <f ca="1">IF(ISNUMBER(MATCH(DATEVALUE($A143),'changes1_based on steps'!B$1:B$400,0)),B$2,)</f>
        <v>0</v>
      </c>
      <c r="C143" s="155">
        <f ca="1">IF(ISNUMBER(MATCH(DATEVALUE($A143),'changes1_based on steps'!C$1:C$400,0)),C$2,)</f>
        <v>0</v>
      </c>
      <c r="D143" s="155">
        <f ca="1">IF(ISNUMBER(MATCH(DATEVALUE($A143),'changes1_based on steps'!D$1:D$400,0)),D$2,)</f>
        <v>0</v>
      </c>
      <c r="E143" s="155">
        <f ca="1">IF(ISNUMBER(MATCH(DATEVALUE($A143),'changes1_based on steps'!E$1:E$400,0)),E$2,)</f>
        <v>0</v>
      </c>
      <c r="F143" s="155">
        <f ca="1">IF(ISNUMBER(MATCH(DATEVALUE($A143),'changes1_based on steps'!F$1:F$400,0)),F$2,)</f>
        <v>0</v>
      </c>
      <c r="G143" s="155">
        <f ca="1">IF(ISNUMBER(MATCH(DATEVALUE($A143),'changes1_based on steps'!G$1:G$400,0)),G$2,)</f>
        <v>0</v>
      </c>
      <c r="H143" s="155">
        <f ca="1">IF(ISNUMBER(MATCH(DATEVALUE($A143),'changes1_based on steps'!H$1:H$400,0)),H$2,)</f>
        <v>0</v>
      </c>
      <c r="I143" s="155">
        <f ca="1">IF(ISNUMBER(MATCH(DATEVALUE($A143),'changes1_based on steps'!I$1:I$400,0)),I$2,)</f>
        <v>0</v>
      </c>
      <c r="J143" s="155">
        <f ca="1">IF(ISNUMBER(MATCH(DATEVALUE($A143),'changes1_based on steps'!J$1:J$400,0)),J$2,)</f>
        <v>0</v>
      </c>
      <c r="K143" s="155">
        <f ca="1">IF(ISNUMBER(MATCH(DATEVALUE($A143),'changes1_based on steps'!K$1:K$400,0)),K$2,)</f>
        <v>0</v>
      </c>
      <c r="L143" s="155">
        <f ca="1">IF(ISNUMBER(MATCH(DATEVALUE($A143),'changes1_based on steps'!L$1:L$400,0)),L$2,)</f>
        <v>0</v>
      </c>
      <c r="M143" s="155">
        <f ca="1">IF(ISNUMBER(MATCH(DATEVALUE($A143),'changes1_based on steps'!M$1:M$400,0)),M$2,)</f>
        <v>0</v>
      </c>
      <c r="N143" s="155">
        <f ca="1">IF(ISNUMBER(MATCH(DATEVALUE($A143),'changes1_based on steps'!N$1:N$400,0)),N$2,)</f>
        <v>0</v>
      </c>
      <c r="O143" s="155">
        <f ca="1">IF(ISNUMBER(MATCH(DATEVALUE($A143),'changes1_based on steps'!O$1:O$400,0)),O$2,)</f>
        <v>0</v>
      </c>
      <c r="P143" s="155">
        <f ca="1">IF(ISNUMBER(MATCH(DATEVALUE($A143),'changes1_based on steps'!P$1:P$400,0)),P$2,)</f>
        <v>0</v>
      </c>
      <c r="Q143" s="155">
        <f ca="1">IF(ISNUMBER(MATCH(DATEVALUE($A143),'changes1_based on steps'!Q$1:Q$400,0)),Q$2,)</f>
        <v>0</v>
      </c>
      <c r="R143" s="155">
        <f ca="1">IF(ISNUMBER(MATCH(DATEVALUE($A143),'changes1_based on steps'!R$1:R$400,0)),R$2,)</f>
        <v>0</v>
      </c>
      <c r="S143" s="155">
        <f ca="1">IF(ISNUMBER(MATCH(DATEVALUE($A143),'changes1_based on steps'!S$1:S$400,0)),S$2,)</f>
        <v>0</v>
      </c>
      <c r="T143" s="155">
        <f ca="1">IF(ISNUMBER(MATCH(DATEVALUE($A143),'changes1_based on steps'!T$1:T$400,0)),T$2,)</f>
        <v>0</v>
      </c>
      <c r="U143" s="155">
        <f ca="1">IF(ISNUMBER(MATCH(DATEVALUE($A143),'changes1_based on steps'!U$1:U$400,0)),U$2,)</f>
        <v>0</v>
      </c>
    </row>
    <row r="144" spans="1:21" x14ac:dyDescent="0.2">
      <c r="A144" s="18" t="str">
        <f t="shared" ca="1" si="2"/>
        <v>2025-06-22</v>
      </c>
      <c r="B144" s="155">
        <f ca="1">IF(ISNUMBER(MATCH(DATEVALUE($A144),'changes1_based on steps'!B$1:B$400,0)),B$2,)</f>
        <v>0</v>
      </c>
      <c r="C144" s="155">
        <f ca="1">IF(ISNUMBER(MATCH(DATEVALUE($A144),'changes1_based on steps'!C$1:C$400,0)),C$2,)</f>
        <v>0</v>
      </c>
      <c r="D144" s="155">
        <f ca="1">IF(ISNUMBER(MATCH(DATEVALUE($A144),'changes1_based on steps'!D$1:D$400,0)),D$2,)</f>
        <v>0</v>
      </c>
      <c r="E144" s="155">
        <f ca="1">IF(ISNUMBER(MATCH(DATEVALUE($A144),'changes1_based on steps'!E$1:E$400,0)),E$2,)</f>
        <v>0</v>
      </c>
      <c r="F144" s="155">
        <f ca="1">IF(ISNUMBER(MATCH(DATEVALUE($A144),'changes1_based on steps'!F$1:F$400,0)),F$2,)</f>
        <v>0</v>
      </c>
      <c r="G144" s="155">
        <f ca="1">IF(ISNUMBER(MATCH(DATEVALUE($A144),'changes1_based on steps'!G$1:G$400,0)),G$2,)</f>
        <v>0</v>
      </c>
      <c r="H144" s="155">
        <f ca="1">IF(ISNUMBER(MATCH(DATEVALUE($A144),'changes1_based on steps'!H$1:H$400,0)),H$2,)</f>
        <v>0</v>
      </c>
      <c r="I144" s="155">
        <f ca="1">IF(ISNUMBER(MATCH(DATEVALUE($A144),'changes1_based on steps'!I$1:I$400,0)),I$2,)</f>
        <v>0</v>
      </c>
      <c r="J144" s="155">
        <f ca="1">IF(ISNUMBER(MATCH(DATEVALUE($A144),'changes1_based on steps'!J$1:J$400,0)),J$2,)</f>
        <v>0</v>
      </c>
      <c r="K144" s="155">
        <f ca="1">IF(ISNUMBER(MATCH(DATEVALUE($A144),'changes1_based on steps'!K$1:K$400,0)),K$2,)</f>
        <v>0</v>
      </c>
      <c r="L144" s="155">
        <f ca="1">IF(ISNUMBER(MATCH(DATEVALUE($A144),'changes1_based on steps'!L$1:L$400,0)),L$2,)</f>
        <v>0</v>
      </c>
      <c r="M144" s="155">
        <f ca="1">IF(ISNUMBER(MATCH(DATEVALUE($A144),'changes1_based on steps'!M$1:M$400,0)),M$2,)</f>
        <v>0</v>
      </c>
      <c r="N144" s="155">
        <f ca="1">IF(ISNUMBER(MATCH(DATEVALUE($A144),'changes1_based on steps'!N$1:N$400,0)),N$2,)</f>
        <v>0</v>
      </c>
      <c r="O144" s="155">
        <f ca="1">IF(ISNUMBER(MATCH(DATEVALUE($A144),'changes1_based on steps'!O$1:O$400,0)),O$2,)</f>
        <v>0</v>
      </c>
      <c r="P144" s="155">
        <f ca="1">IF(ISNUMBER(MATCH(DATEVALUE($A144),'changes1_based on steps'!P$1:P$400,0)),P$2,)</f>
        <v>0</v>
      </c>
      <c r="Q144" s="155">
        <f ca="1">IF(ISNUMBER(MATCH(DATEVALUE($A144),'changes1_based on steps'!Q$1:Q$400,0)),Q$2,)</f>
        <v>0</v>
      </c>
      <c r="R144" s="155">
        <f ca="1">IF(ISNUMBER(MATCH(DATEVALUE($A144),'changes1_based on steps'!R$1:R$400,0)),R$2,)</f>
        <v>0</v>
      </c>
      <c r="S144" s="155">
        <f ca="1">IF(ISNUMBER(MATCH(DATEVALUE($A144),'changes1_based on steps'!S$1:S$400,0)),S$2,)</f>
        <v>0</v>
      </c>
      <c r="T144" s="155">
        <f ca="1">IF(ISNUMBER(MATCH(DATEVALUE($A144),'changes1_based on steps'!T$1:T$400,0)),T$2,)</f>
        <v>0</v>
      </c>
      <c r="U144" s="155">
        <f ca="1">IF(ISNUMBER(MATCH(DATEVALUE($A144),'changes1_based on steps'!U$1:U$400,0)),U$2,)</f>
        <v>0</v>
      </c>
    </row>
    <row r="145" spans="1:21" x14ac:dyDescent="0.2">
      <c r="A145" s="18" t="str">
        <f t="shared" ca="1" si="2"/>
        <v>2025-06-23</v>
      </c>
      <c r="B145" s="155">
        <f ca="1">IF(ISNUMBER(MATCH(DATEVALUE($A145),'changes1_based on steps'!B$1:B$400,0)),B$2,)</f>
        <v>0</v>
      </c>
      <c r="C145" s="155">
        <f ca="1">IF(ISNUMBER(MATCH(DATEVALUE($A145),'changes1_based on steps'!C$1:C$400,0)),C$2,)</f>
        <v>0</v>
      </c>
      <c r="D145" s="155">
        <f ca="1">IF(ISNUMBER(MATCH(DATEVALUE($A145),'changes1_based on steps'!D$1:D$400,0)),D$2,)</f>
        <v>0</v>
      </c>
      <c r="E145" s="155">
        <f ca="1">IF(ISNUMBER(MATCH(DATEVALUE($A145),'changes1_based on steps'!E$1:E$400,0)),E$2,)</f>
        <v>0</v>
      </c>
      <c r="F145" s="155">
        <f ca="1">IF(ISNUMBER(MATCH(DATEVALUE($A145),'changes1_based on steps'!F$1:F$400,0)),F$2,)</f>
        <v>0</v>
      </c>
      <c r="G145" s="155">
        <f ca="1">IF(ISNUMBER(MATCH(DATEVALUE($A145),'changes1_based on steps'!G$1:G$400,0)),G$2,)</f>
        <v>0</v>
      </c>
      <c r="H145" s="155">
        <f ca="1">IF(ISNUMBER(MATCH(DATEVALUE($A145),'changes1_based on steps'!H$1:H$400,0)),H$2,)</f>
        <v>0</v>
      </c>
      <c r="I145" s="155">
        <f ca="1">IF(ISNUMBER(MATCH(DATEVALUE($A145),'changes1_based on steps'!I$1:I$400,0)),I$2,)</f>
        <v>0</v>
      </c>
      <c r="J145" s="155">
        <f ca="1">IF(ISNUMBER(MATCH(DATEVALUE($A145),'changes1_based on steps'!J$1:J$400,0)),J$2,)</f>
        <v>0</v>
      </c>
      <c r="K145" s="155">
        <f ca="1">IF(ISNUMBER(MATCH(DATEVALUE($A145),'changes1_based on steps'!K$1:K$400,0)),K$2,)</f>
        <v>0</v>
      </c>
      <c r="L145" s="155">
        <f ca="1">IF(ISNUMBER(MATCH(DATEVALUE($A145),'changes1_based on steps'!L$1:L$400,0)),L$2,)</f>
        <v>0</v>
      </c>
      <c r="M145" s="155">
        <f ca="1">IF(ISNUMBER(MATCH(DATEVALUE($A145),'changes1_based on steps'!M$1:M$400,0)),M$2,)</f>
        <v>0</v>
      </c>
      <c r="N145" s="155">
        <f ca="1">IF(ISNUMBER(MATCH(DATEVALUE($A145),'changes1_based on steps'!N$1:N$400,0)),N$2,)</f>
        <v>0</v>
      </c>
      <c r="O145" s="155">
        <f ca="1">IF(ISNUMBER(MATCH(DATEVALUE($A145),'changes1_based on steps'!O$1:O$400,0)),O$2,)</f>
        <v>0</v>
      </c>
      <c r="P145" s="155">
        <f ca="1">IF(ISNUMBER(MATCH(DATEVALUE($A145),'changes1_based on steps'!P$1:P$400,0)),P$2,)</f>
        <v>0</v>
      </c>
      <c r="Q145" s="155">
        <f ca="1">IF(ISNUMBER(MATCH(DATEVALUE($A145),'changes1_based on steps'!Q$1:Q$400,0)),Q$2,)</f>
        <v>0</v>
      </c>
      <c r="R145" s="155">
        <f ca="1">IF(ISNUMBER(MATCH(DATEVALUE($A145),'changes1_based on steps'!R$1:R$400,0)),R$2,)</f>
        <v>0</v>
      </c>
      <c r="S145" s="155">
        <f ca="1">IF(ISNUMBER(MATCH(DATEVALUE($A145),'changes1_based on steps'!S$1:S$400,0)),S$2,)</f>
        <v>0</v>
      </c>
      <c r="T145" s="155">
        <f ca="1">IF(ISNUMBER(MATCH(DATEVALUE($A145),'changes1_based on steps'!T$1:T$400,0)),T$2,)</f>
        <v>0</v>
      </c>
      <c r="U145" s="155">
        <f ca="1">IF(ISNUMBER(MATCH(DATEVALUE($A145),'changes1_based on steps'!U$1:U$400,0)),U$2,)</f>
        <v>0</v>
      </c>
    </row>
    <row r="146" spans="1:21" x14ac:dyDescent="0.2">
      <c r="A146" s="18" t="str">
        <f t="shared" ca="1" si="2"/>
        <v>2025-06-24</v>
      </c>
      <c r="B146" s="155">
        <f ca="1">IF(ISNUMBER(MATCH(DATEVALUE($A146),'changes1_based on steps'!B$1:B$400,0)),B$2,)</f>
        <v>0</v>
      </c>
      <c r="C146" s="155">
        <f ca="1">IF(ISNUMBER(MATCH(DATEVALUE($A146),'changes1_based on steps'!C$1:C$400,0)),C$2,)</f>
        <v>0</v>
      </c>
      <c r="D146" s="155">
        <f ca="1">IF(ISNUMBER(MATCH(DATEVALUE($A146),'changes1_based on steps'!D$1:D$400,0)),D$2,)</f>
        <v>0</v>
      </c>
      <c r="E146" s="155">
        <f ca="1">IF(ISNUMBER(MATCH(DATEVALUE($A146),'changes1_based on steps'!E$1:E$400,0)),E$2,)</f>
        <v>0</v>
      </c>
      <c r="F146" s="155">
        <f ca="1">IF(ISNUMBER(MATCH(DATEVALUE($A146),'changes1_based on steps'!F$1:F$400,0)),F$2,)</f>
        <v>0</v>
      </c>
      <c r="G146" s="155">
        <f ca="1">IF(ISNUMBER(MATCH(DATEVALUE($A146),'changes1_based on steps'!G$1:G$400,0)),G$2,)</f>
        <v>0</v>
      </c>
      <c r="H146" s="155">
        <f ca="1">IF(ISNUMBER(MATCH(DATEVALUE($A146),'changes1_based on steps'!H$1:H$400,0)),H$2,)</f>
        <v>0</v>
      </c>
      <c r="I146" s="155">
        <f ca="1">IF(ISNUMBER(MATCH(DATEVALUE($A146),'changes1_based on steps'!I$1:I$400,0)),I$2,)</f>
        <v>0</v>
      </c>
      <c r="J146" s="155">
        <f ca="1">IF(ISNUMBER(MATCH(DATEVALUE($A146),'changes1_based on steps'!J$1:J$400,0)),J$2,)</f>
        <v>0</v>
      </c>
      <c r="K146" s="155">
        <f ca="1">IF(ISNUMBER(MATCH(DATEVALUE($A146),'changes1_based on steps'!K$1:K$400,0)),K$2,)</f>
        <v>0</v>
      </c>
      <c r="L146" s="155">
        <f ca="1">IF(ISNUMBER(MATCH(DATEVALUE($A146),'changes1_based on steps'!L$1:L$400,0)),L$2,)</f>
        <v>0</v>
      </c>
      <c r="M146" s="155">
        <f ca="1">IF(ISNUMBER(MATCH(DATEVALUE($A146),'changes1_based on steps'!M$1:M$400,0)),M$2,)</f>
        <v>0</v>
      </c>
      <c r="N146" s="155">
        <f ca="1">IF(ISNUMBER(MATCH(DATEVALUE($A146),'changes1_based on steps'!N$1:N$400,0)),N$2,)</f>
        <v>0</v>
      </c>
      <c r="O146" s="155">
        <f ca="1">IF(ISNUMBER(MATCH(DATEVALUE($A146),'changes1_based on steps'!O$1:O$400,0)),O$2,)</f>
        <v>0</v>
      </c>
      <c r="P146" s="155">
        <f ca="1">IF(ISNUMBER(MATCH(DATEVALUE($A146),'changes1_based on steps'!P$1:P$400,0)),P$2,)</f>
        <v>0</v>
      </c>
      <c r="Q146" s="155">
        <f ca="1">IF(ISNUMBER(MATCH(DATEVALUE($A146),'changes1_based on steps'!Q$1:Q$400,0)),Q$2,)</f>
        <v>0</v>
      </c>
      <c r="R146" s="155">
        <f ca="1">IF(ISNUMBER(MATCH(DATEVALUE($A146),'changes1_based on steps'!R$1:R$400,0)),R$2,)</f>
        <v>0</v>
      </c>
      <c r="S146" s="155">
        <f ca="1">IF(ISNUMBER(MATCH(DATEVALUE($A146),'changes1_based on steps'!S$1:S$400,0)),S$2,)</f>
        <v>0</v>
      </c>
      <c r="T146" s="155">
        <f ca="1">IF(ISNUMBER(MATCH(DATEVALUE($A146),'changes1_based on steps'!T$1:T$400,0)),T$2,)</f>
        <v>0</v>
      </c>
      <c r="U146" s="155">
        <f ca="1">IF(ISNUMBER(MATCH(DATEVALUE($A146),'changes1_based on steps'!U$1:U$400,0)),U$2,)</f>
        <v>0</v>
      </c>
    </row>
    <row r="147" spans="1:21" x14ac:dyDescent="0.2">
      <c r="A147" s="18" t="str">
        <f t="shared" ca="1" si="2"/>
        <v>2025-06-25</v>
      </c>
      <c r="B147" s="155">
        <f ca="1">IF(ISNUMBER(MATCH(DATEVALUE($A147),'changes1_based on steps'!B$1:B$400,0)),B$2,)</f>
        <v>0</v>
      </c>
      <c r="C147" s="155">
        <f ca="1">IF(ISNUMBER(MATCH(DATEVALUE($A147),'changes1_based on steps'!C$1:C$400,0)),C$2,)</f>
        <v>0</v>
      </c>
      <c r="D147" s="155">
        <f ca="1">IF(ISNUMBER(MATCH(DATEVALUE($A147),'changes1_based on steps'!D$1:D$400,0)),D$2,)</f>
        <v>0</v>
      </c>
      <c r="E147" s="155">
        <f ca="1">IF(ISNUMBER(MATCH(DATEVALUE($A147),'changes1_based on steps'!E$1:E$400,0)),E$2,)</f>
        <v>0</v>
      </c>
      <c r="F147" s="155">
        <f ca="1">IF(ISNUMBER(MATCH(DATEVALUE($A147),'changes1_based on steps'!F$1:F$400,0)),F$2,)</f>
        <v>0</v>
      </c>
      <c r="G147" s="155">
        <f ca="1">IF(ISNUMBER(MATCH(DATEVALUE($A147),'changes1_based on steps'!G$1:G$400,0)),G$2,)</f>
        <v>0</v>
      </c>
      <c r="H147" s="155">
        <f ca="1">IF(ISNUMBER(MATCH(DATEVALUE($A147),'changes1_based on steps'!H$1:H$400,0)),H$2,)</f>
        <v>0</v>
      </c>
      <c r="I147" s="155">
        <f ca="1">IF(ISNUMBER(MATCH(DATEVALUE($A147),'changes1_based on steps'!I$1:I$400,0)),I$2,)</f>
        <v>0</v>
      </c>
      <c r="J147" s="155">
        <f ca="1">IF(ISNUMBER(MATCH(DATEVALUE($A147),'changes1_based on steps'!J$1:J$400,0)),J$2,)</f>
        <v>0</v>
      </c>
      <c r="K147" s="155">
        <f ca="1">IF(ISNUMBER(MATCH(DATEVALUE($A147),'changes1_based on steps'!K$1:K$400,0)),K$2,)</f>
        <v>0</v>
      </c>
      <c r="L147" s="155">
        <f ca="1">IF(ISNUMBER(MATCH(DATEVALUE($A147),'changes1_based on steps'!L$1:L$400,0)),L$2,)</f>
        <v>0</v>
      </c>
      <c r="M147" s="155">
        <f ca="1">IF(ISNUMBER(MATCH(DATEVALUE($A147),'changes1_based on steps'!M$1:M$400,0)),M$2,)</f>
        <v>0</v>
      </c>
      <c r="N147" s="155">
        <f ca="1">IF(ISNUMBER(MATCH(DATEVALUE($A147),'changes1_based on steps'!N$1:N$400,0)),N$2,)</f>
        <v>0</v>
      </c>
      <c r="O147" s="155">
        <f ca="1">IF(ISNUMBER(MATCH(DATEVALUE($A147),'changes1_based on steps'!O$1:O$400,0)),O$2,)</f>
        <v>0</v>
      </c>
      <c r="P147" s="155">
        <f ca="1">IF(ISNUMBER(MATCH(DATEVALUE($A147),'changes1_based on steps'!P$1:P$400,0)),P$2,)</f>
        <v>0</v>
      </c>
      <c r="Q147" s="155">
        <f ca="1">IF(ISNUMBER(MATCH(DATEVALUE($A147),'changes1_based on steps'!Q$1:Q$400,0)),Q$2,)</f>
        <v>0</v>
      </c>
      <c r="R147" s="155">
        <f ca="1">IF(ISNUMBER(MATCH(DATEVALUE($A147),'changes1_based on steps'!R$1:R$400,0)),R$2,)</f>
        <v>0</v>
      </c>
      <c r="S147" s="155">
        <f ca="1">IF(ISNUMBER(MATCH(DATEVALUE($A147),'changes1_based on steps'!S$1:S$400,0)),S$2,)</f>
        <v>0</v>
      </c>
      <c r="T147" s="155">
        <f ca="1">IF(ISNUMBER(MATCH(DATEVALUE($A147),'changes1_based on steps'!T$1:T$400,0)),T$2,)</f>
        <v>0</v>
      </c>
      <c r="U147" s="155">
        <f ca="1">IF(ISNUMBER(MATCH(DATEVALUE($A147),'changes1_based on steps'!U$1:U$400,0)),U$2,)</f>
        <v>0</v>
      </c>
    </row>
    <row r="148" spans="1:21" x14ac:dyDescent="0.2">
      <c r="A148" s="18" t="str">
        <f t="shared" ca="1" si="2"/>
        <v>2025-06-26</v>
      </c>
      <c r="B148" s="155">
        <f ca="1">IF(ISNUMBER(MATCH(DATEVALUE($A148),'changes1_based on steps'!B$1:B$400,0)),B$2,)</f>
        <v>0</v>
      </c>
      <c r="C148" s="155">
        <f ca="1">IF(ISNUMBER(MATCH(DATEVALUE($A148),'changes1_based on steps'!C$1:C$400,0)),C$2,)</f>
        <v>0</v>
      </c>
      <c r="D148" s="155">
        <f ca="1">IF(ISNUMBER(MATCH(DATEVALUE($A148),'changes1_based on steps'!D$1:D$400,0)),D$2,)</f>
        <v>0</v>
      </c>
      <c r="E148" s="155">
        <f ca="1">IF(ISNUMBER(MATCH(DATEVALUE($A148),'changes1_based on steps'!E$1:E$400,0)),E$2,)</f>
        <v>0</v>
      </c>
      <c r="F148" s="155">
        <f ca="1">IF(ISNUMBER(MATCH(DATEVALUE($A148),'changes1_based on steps'!F$1:F$400,0)),F$2,)</f>
        <v>0</v>
      </c>
      <c r="G148" s="155">
        <f ca="1">IF(ISNUMBER(MATCH(DATEVALUE($A148),'changes1_based on steps'!G$1:G$400,0)),G$2,)</f>
        <v>0</v>
      </c>
      <c r="H148" s="155">
        <f ca="1">IF(ISNUMBER(MATCH(DATEVALUE($A148),'changes1_based on steps'!H$1:H$400,0)),H$2,)</f>
        <v>0</v>
      </c>
      <c r="I148" s="155">
        <f ca="1">IF(ISNUMBER(MATCH(DATEVALUE($A148),'changes1_based on steps'!I$1:I$400,0)),I$2,)</f>
        <v>0</v>
      </c>
      <c r="J148" s="155">
        <f ca="1">IF(ISNUMBER(MATCH(DATEVALUE($A148),'changes1_based on steps'!J$1:J$400,0)),J$2,)</f>
        <v>0</v>
      </c>
      <c r="K148" s="155">
        <f ca="1">IF(ISNUMBER(MATCH(DATEVALUE($A148),'changes1_based on steps'!K$1:K$400,0)),K$2,)</f>
        <v>0</v>
      </c>
      <c r="L148" s="155">
        <f ca="1">IF(ISNUMBER(MATCH(DATEVALUE($A148),'changes1_based on steps'!L$1:L$400,0)),L$2,)</f>
        <v>0</v>
      </c>
      <c r="M148" s="155">
        <f ca="1">IF(ISNUMBER(MATCH(DATEVALUE($A148),'changes1_based on steps'!M$1:M$400,0)),M$2,)</f>
        <v>0</v>
      </c>
      <c r="N148" s="155">
        <f ca="1">IF(ISNUMBER(MATCH(DATEVALUE($A148),'changes1_based on steps'!N$1:N$400,0)),N$2,)</f>
        <v>0</v>
      </c>
      <c r="O148" s="155">
        <f ca="1">IF(ISNUMBER(MATCH(DATEVALUE($A148),'changes1_based on steps'!O$1:O$400,0)),O$2,)</f>
        <v>0</v>
      </c>
      <c r="P148" s="155">
        <f ca="1">IF(ISNUMBER(MATCH(DATEVALUE($A148),'changes1_based on steps'!P$1:P$400,0)),P$2,)</f>
        <v>0</v>
      </c>
      <c r="Q148" s="155">
        <f ca="1">IF(ISNUMBER(MATCH(DATEVALUE($A148),'changes1_based on steps'!Q$1:Q$400,0)),Q$2,)</f>
        <v>0</v>
      </c>
      <c r="R148" s="155">
        <f ca="1">IF(ISNUMBER(MATCH(DATEVALUE($A148),'changes1_based on steps'!R$1:R$400,0)),R$2,)</f>
        <v>0</v>
      </c>
      <c r="S148" s="155">
        <f ca="1">IF(ISNUMBER(MATCH(DATEVALUE($A148),'changes1_based on steps'!S$1:S$400,0)),S$2,)</f>
        <v>0</v>
      </c>
      <c r="T148" s="155">
        <f ca="1">IF(ISNUMBER(MATCH(DATEVALUE($A148),'changes1_based on steps'!T$1:T$400,0)),T$2,)</f>
        <v>0</v>
      </c>
      <c r="U148" s="155">
        <f ca="1">IF(ISNUMBER(MATCH(DATEVALUE($A148),'changes1_based on steps'!U$1:U$400,0)),U$2,)</f>
        <v>0</v>
      </c>
    </row>
    <row r="149" spans="1:21" x14ac:dyDescent="0.2">
      <c r="A149" s="18" t="str">
        <f t="shared" ca="1" si="2"/>
        <v>2025-06-27</v>
      </c>
      <c r="B149" s="155">
        <f ca="1">IF(ISNUMBER(MATCH(DATEVALUE($A149),'changes1_based on steps'!B$1:B$400,0)),B$2,)</f>
        <v>0</v>
      </c>
      <c r="C149" s="155">
        <f ca="1">IF(ISNUMBER(MATCH(DATEVALUE($A149),'changes1_based on steps'!C$1:C$400,0)),C$2,)</f>
        <v>0</v>
      </c>
      <c r="D149" s="155">
        <f ca="1">IF(ISNUMBER(MATCH(DATEVALUE($A149),'changes1_based on steps'!D$1:D$400,0)),D$2,)</f>
        <v>0</v>
      </c>
      <c r="E149" s="155">
        <f ca="1">IF(ISNUMBER(MATCH(DATEVALUE($A149),'changes1_based on steps'!E$1:E$400,0)),E$2,)</f>
        <v>0</v>
      </c>
      <c r="F149" s="155">
        <f ca="1">IF(ISNUMBER(MATCH(DATEVALUE($A149),'changes1_based on steps'!F$1:F$400,0)),F$2,)</f>
        <v>0</v>
      </c>
      <c r="G149" s="155">
        <f ca="1">IF(ISNUMBER(MATCH(DATEVALUE($A149),'changes1_based on steps'!G$1:G$400,0)),G$2,)</f>
        <v>0</v>
      </c>
      <c r="H149" s="155">
        <f ca="1">IF(ISNUMBER(MATCH(DATEVALUE($A149),'changes1_based on steps'!H$1:H$400,0)),H$2,)</f>
        <v>0</v>
      </c>
      <c r="I149" s="155">
        <f ca="1">IF(ISNUMBER(MATCH(DATEVALUE($A149),'changes1_based on steps'!I$1:I$400,0)),I$2,)</f>
        <v>0</v>
      </c>
      <c r="J149" s="155">
        <f ca="1">IF(ISNUMBER(MATCH(DATEVALUE($A149),'changes1_based on steps'!J$1:J$400,0)),J$2,)</f>
        <v>0</v>
      </c>
      <c r="K149" s="155">
        <f ca="1">IF(ISNUMBER(MATCH(DATEVALUE($A149),'changes1_based on steps'!K$1:K$400,0)),K$2,)</f>
        <v>0</v>
      </c>
      <c r="L149" s="155">
        <f ca="1">IF(ISNUMBER(MATCH(DATEVALUE($A149),'changes1_based on steps'!L$1:L$400,0)),L$2,)</f>
        <v>0</v>
      </c>
      <c r="M149" s="155">
        <f ca="1">IF(ISNUMBER(MATCH(DATEVALUE($A149),'changes1_based on steps'!M$1:M$400,0)),M$2,)</f>
        <v>0</v>
      </c>
      <c r="N149" s="155">
        <f ca="1">IF(ISNUMBER(MATCH(DATEVALUE($A149),'changes1_based on steps'!N$1:N$400,0)),N$2,)</f>
        <v>0</v>
      </c>
      <c r="O149" s="155">
        <f ca="1">IF(ISNUMBER(MATCH(DATEVALUE($A149),'changes1_based on steps'!O$1:O$400,0)),O$2,)</f>
        <v>0</v>
      </c>
      <c r="P149" s="155">
        <f ca="1">IF(ISNUMBER(MATCH(DATEVALUE($A149),'changes1_based on steps'!P$1:P$400,0)),P$2,)</f>
        <v>0</v>
      </c>
      <c r="Q149" s="155">
        <f ca="1">IF(ISNUMBER(MATCH(DATEVALUE($A149),'changes1_based on steps'!Q$1:Q$400,0)),Q$2,)</f>
        <v>0</v>
      </c>
      <c r="R149" s="155">
        <f ca="1">IF(ISNUMBER(MATCH(DATEVALUE($A149),'changes1_based on steps'!R$1:R$400,0)),R$2,)</f>
        <v>0</v>
      </c>
      <c r="S149" s="155">
        <f ca="1">IF(ISNUMBER(MATCH(DATEVALUE($A149),'changes1_based on steps'!S$1:S$400,0)),S$2,)</f>
        <v>0</v>
      </c>
      <c r="T149" s="155">
        <f ca="1">IF(ISNUMBER(MATCH(DATEVALUE($A149),'changes1_based on steps'!T$1:T$400,0)),T$2,)</f>
        <v>0</v>
      </c>
      <c r="U149" s="155">
        <f ca="1">IF(ISNUMBER(MATCH(DATEVALUE($A149),'changes1_based on steps'!U$1:U$400,0)),U$2,)</f>
        <v>0</v>
      </c>
    </row>
    <row r="150" spans="1:21" x14ac:dyDescent="0.2">
      <c r="A150" s="18" t="str">
        <f t="shared" ca="1" si="2"/>
        <v>2025-06-28</v>
      </c>
      <c r="B150" s="155">
        <f ca="1">IF(ISNUMBER(MATCH(DATEVALUE($A150),'changes1_based on steps'!B$1:B$400,0)),B$2,)</f>
        <v>0</v>
      </c>
      <c r="C150" s="155">
        <f ca="1">IF(ISNUMBER(MATCH(DATEVALUE($A150),'changes1_based on steps'!C$1:C$400,0)),C$2,)</f>
        <v>0</v>
      </c>
      <c r="D150" s="155">
        <f ca="1">IF(ISNUMBER(MATCH(DATEVALUE($A150),'changes1_based on steps'!D$1:D$400,0)),D$2,)</f>
        <v>0</v>
      </c>
      <c r="E150" s="155">
        <f ca="1">IF(ISNUMBER(MATCH(DATEVALUE($A150),'changes1_based on steps'!E$1:E$400,0)),E$2,)</f>
        <v>0</v>
      </c>
      <c r="F150" s="155">
        <f ca="1">IF(ISNUMBER(MATCH(DATEVALUE($A150),'changes1_based on steps'!F$1:F$400,0)),F$2,)</f>
        <v>0</v>
      </c>
      <c r="G150" s="155">
        <f ca="1">IF(ISNUMBER(MATCH(DATEVALUE($A150),'changes1_based on steps'!G$1:G$400,0)),G$2,)</f>
        <v>0</v>
      </c>
      <c r="H150" s="155">
        <f ca="1">IF(ISNUMBER(MATCH(DATEVALUE($A150),'changes1_based on steps'!H$1:H$400,0)),H$2,)</f>
        <v>0</v>
      </c>
      <c r="I150" s="155">
        <f ca="1">IF(ISNUMBER(MATCH(DATEVALUE($A150),'changes1_based on steps'!I$1:I$400,0)),I$2,)</f>
        <v>0</v>
      </c>
      <c r="J150" s="155">
        <f ca="1">IF(ISNUMBER(MATCH(DATEVALUE($A150),'changes1_based on steps'!J$1:J$400,0)),J$2,)</f>
        <v>0</v>
      </c>
      <c r="K150" s="155">
        <f ca="1">IF(ISNUMBER(MATCH(DATEVALUE($A150),'changes1_based on steps'!K$1:K$400,0)),K$2,)</f>
        <v>0</v>
      </c>
      <c r="L150" s="155">
        <f ca="1">IF(ISNUMBER(MATCH(DATEVALUE($A150),'changes1_based on steps'!L$1:L$400,0)),L$2,)</f>
        <v>0</v>
      </c>
      <c r="M150" s="155">
        <f ca="1">IF(ISNUMBER(MATCH(DATEVALUE($A150),'changes1_based on steps'!M$1:M$400,0)),M$2,)</f>
        <v>0</v>
      </c>
      <c r="N150" s="155">
        <f ca="1">IF(ISNUMBER(MATCH(DATEVALUE($A150),'changes1_based on steps'!N$1:N$400,0)),N$2,)</f>
        <v>0</v>
      </c>
      <c r="O150" s="155">
        <f ca="1">IF(ISNUMBER(MATCH(DATEVALUE($A150),'changes1_based on steps'!O$1:O$400,0)),O$2,)</f>
        <v>0</v>
      </c>
      <c r="P150" s="155">
        <f ca="1">IF(ISNUMBER(MATCH(DATEVALUE($A150),'changes1_based on steps'!P$1:P$400,0)),P$2,)</f>
        <v>0</v>
      </c>
      <c r="Q150" s="155">
        <f ca="1">IF(ISNUMBER(MATCH(DATEVALUE($A150),'changes1_based on steps'!Q$1:Q$400,0)),Q$2,)</f>
        <v>0</v>
      </c>
      <c r="R150" s="155">
        <f ca="1">IF(ISNUMBER(MATCH(DATEVALUE($A150),'changes1_based on steps'!R$1:R$400,0)),R$2,)</f>
        <v>0</v>
      </c>
      <c r="S150" s="155">
        <f ca="1">IF(ISNUMBER(MATCH(DATEVALUE($A150),'changes1_based on steps'!S$1:S$400,0)),S$2,)</f>
        <v>0</v>
      </c>
      <c r="T150" s="155">
        <f ca="1">IF(ISNUMBER(MATCH(DATEVALUE($A150),'changes1_based on steps'!T$1:T$400,0)),T$2,)</f>
        <v>0</v>
      </c>
      <c r="U150" s="155">
        <f ca="1">IF(ISNUMBER(MATCH(DATEVALUE($A150),'changes1_based on steps'!U$1:U$400,0)),U$2,)</f>
        <v>0</v>
      </c>
    </row>
    <row r="151" spans="1:21" x14ac:dyDescent="0.2">
      <c r="A151" s="18" t="str">
        <f t="shared" ca="1" si="2"/>
        <v>2025-06-29</v>
      </c>
      <c r="B151" s="155">
        <f ca="1">IF(ISNUMBER(MATCH(DATEVALUE($A151),'changes1_based on steps'!B$1:B$400,0)),B$2,)</f>
        <v>0</v>
      </c>
      <c r="C151" s="155">
        <f ca="1">IF(ISNUMBER(MATCH(DATEVALUE($A151),'changes1_based on steps'!C$1:C$400,0)),C$2,)</f>
        <v>0</v>
      </c>
      <c r="D151" s="155">
        <f ca="1">IF(ISNUMBER(MATCH(DATEVALUE($A151),'changes1_based on steps'!D$1:D$400,0)),D$2,)</f>
        <v>0</v>
      </c>
      <c r="E151" s="155">
        <f ca="1">IF(ISNUMBER(MATCH(DATEVALUE($A151),'changes1_based on steps'!E$1:E$400,0)),E$2,)</f>
        <v>0</v>
      </c>
      <c r="F151" s="155">
        <f ca="1">IF(ISNUMBER(MATCH(DATEVALUE($A151),'changes1_based on steps'!F$1:F$400,0)),F$2,)</f>
        <v>0</v>
      </c>
      <c r="G151" s="155">
        <f ca="1">IF(ISNUMBER(MATCH(DATEVALUE($A151),'changes1_based on steps'!G$1:G$400,0)),G$2,)</f>
        <v>0</v>
      </c>
      <c r="H151" s="155">
        <f ca="1">IF(ISNUMBER(MATCH(DATEVALUE($A151),'changes1_based on steps'!H$1:H$400,0)),H$2,)</f>
        <v>0</v>
      </c>
      <c r="I151" s="155">
        <f ca="1">IF(ISNUMBER(MATCH(DATEVALUE($A151),'changes1_based on steps'!I$1:I$400,0)),I$2,)</f>
        <v>0</v>
      </c>
      <c r="J151" s="155">
        <f ca="1">IF(ISNUMBER(MATCH(DATEVALUE($A151),'changes1_based on steps'!J$1:J$400,0)),J$2,)</f>
        <v>0</v>
      </c>
      <c r="K151" s="155">
        <f ca="1">IF(ISNUMBER(MATCH(DATEVALUE($A151),'changes1_based on steps'!K$1:K$400,0)),K$2,)</f>
        <v>0</v>
      </c>
      <c r="L151" s="155">
        <f ca="1">IF(ISNUMBER(MATCH(DATEVALUE($A151),'changes1_based on steps'!L$1:L$400,0)),L$2,)</f>
        <v>0</v>
      </c>
      <c r="M151" s="155">
        <f ca="1">IF(ISNUMBER(MATCH(DATEVALUE($A151),'changes1_based on steps'!M$1:M$400,0)),M$2,)</f>
        <v>0</v>
      </c>
      <c r="N151" s="155">
        <f ca="1">IF(ISNUMBER(MATCH(DATEVALUE($A151),'changes1_based on steps'!N$1:N$400,0)),N$2,)</f>
        <v>0</v>
      </c>
      <c r="O151" s="155">
        <f ca="1">IF(ISNUMBER(MATCH(DATEVALUE($A151),'changes1_based on steps'!O$1:O$400,0)),O$2,)</f>
        <v>0</v>
      </c>
      <c r="P151" s="155">
        <f ca="1">IF(ISNUMBER(MATCH(DATEVALUE($A151),'changes1_based on steps'!P$1:P$400,0)),P$2,)</f>
        <v>0</v>
      </c>
      <c r="Q151" s="155">
        <f ca="1">IF(ISNUMBER(MATCH(DATEVALUE($A151),'changes1_based on steps'!Q$1:Q$400,0)),Q$2,)</f>
        <v>0</v>
      </c>
      <c r="R151" s="155">
        <f ca="1">IF(ISNUMBER(MATCH(DATEVALUE($A151),'changes1_based on steps'!R$1:R$400,0)),R$2,)</f>
        <v>0</v>
      </c>
      <c r="S151" s="155">
        <f ca="1">IF(ISNUMBER(MATCH(DATEVALUE($A151),'changes1_based on steps'!S$1:S$400,0)),S$2,)</f>
        <v>0</v>
      </c>
      <c r="T151" s="155">
        <f ca="1">IF(ISNUMBER(MATCH(DATEVALUE($A151),'changes1_based on steps'!T$1:T$400,0)),T$2,)</f>
        <v>0</v>
      </c>
      <c r="U151" s="155">
        <f ca="1">IF(ISNUMBER(MATCH(DATEVALUE($A151),'changes1_based on steps'!U$1:U$400,0)),U$2,)</f>
        <v>0</v>
      </c>
    </row>
    <row r="152" spans="1:21" x14ac:dyDescent="0.2">
      <c r="A152" s="18" t="str">
        <f t="shared" ca="1" si="2"/>
        <v>2025-06-30</v>
      </c>
      <c r="B152" s="155">
        <f ca="1">IF(ISNUMBER(MATCH(DATEVALUE($A152),'changes1_based on steps'!B$1:B$400,0)),B$2,)</f>
        <v>0</v>
      </c>
      <c r="C152" s="155">
        <f ca="1">IF(ISNUMBER(MATCH(DATEVALUE($A152),'changes1_based on steps'!C$1:C$400,0)),C$2,)</f>
        <v>50</v>
      </c>
      <c r="D152" s="155">
        <f ca="1">IF(ISNUMBER(MATCH(DATEVALUE($A152),'changes1_based on steps'!D$1:D$400,0)),D$2,)</f>
        <v>-100</v>
      </c>
      <c r="E152" s="155">
        <f ca="1">IF(ISNUMBER(MATCH(DATEVALUE($A152),'changes1_based on steps'!E$1:E$400,0)),E$2,)</f>
        <v>0</v>
      </c>
      <c r="F152" s="155">
        <f ca="1">IF(ISNUMBER(MATCH(DATEVALUE($A152),'changes1_based on steps'!F$1:F$400,0)),F$2,)</f>
        <v>0</v>
      </c>
      <c r="G152" s="155">
        <f ca="1">IF(ISNUMBER(MATCH(DATEVALUE($A152),'changes1_based on steps'!G$1:G$400,0)),G$2,)</f>
        <v>0</v>
      </c>
      <c r="H152" s="155">
        <f ca="1">IF(ISNUMBER(MATCH(DATEVALUE($A152),'changes1_based on steps'!H$1:H$400,0)),H$2,)</f>
        <v>0</v>
      </c>
      <c r="I152" s="155">
        <f ca="1">IF(ISNUMBER(MATCH(DATEVALUE($A152),'changes1_based on steps'!I$1:I$400,0)),I$2,)</f>
        <v>0</v>
      </c>
      <c r="J152" s="155">
        <f ca="1">IF(ISNUMBER(MATCH(DATEVALUE($A152),'changes1_based on steps'!J$1:J$400,0)),J$2,)</f>
        <v>0</v>
      </c>
      <c r="K152" s="155">
        <f ca="1">IF(ISNUMBER(MATCH(DATEVALUE($A152),'changes1_based on steps'!K$1:K$400,0)),K$2,)</f>
        <v>0</v>
      </c>
      <c r="L152" s="155">
        <f ca="1">IF(ISNUMBER(MATCH(DATEVALUE($A152),'changes1_based on steps'!L$1:L$400,0)),L$2,)</f>
        <v>0</v>
      </c>
      <c r="M152" s="155">
        <f ca="1">IF(ISNUMBER(MATCH(DATEVALUE($A152),'changes1_based on steps'!M$1:M$400,0)),M$2,)</f>
        <v>0</v>
      </c>
      <c r="N152" s="155">
        <f ca="1">IF(ISNUMBER(MATCH(DATEVALUE($A152),'changes1_based on steps'!N$1:N$400,0)),N$2,)</f>
        <v>0</v>
      </c>
      <c r="O152" s="155">
        <f ca="1">IF(ISNUMBER(MATCH(DATEVALUE($A152),'changes1_based on steps'!O$1:O$400,0)),O$2,)</f>
        <v>0</v>
      </c>
      <c r="P152" s="155">
        <f ca="1">IF(ISNUMBER(MATCH(DATEVALUE($A152),'changes1_based on steps'!P$1:P$400,0)),P$2,)</f>
        <v>0</v>
      </c>
      <c r="Q152" s="155">
        <f ca="1">IF(ISNUMBER(MATCH(DATEVALUE($A152),'changes1_based on steps'!Q$1:Q$400,0)),Q$2,)</f>
        <v>0</v>
      </c>
      <c r="R152" s="155">
        <f ca="1">IF(ISNUMBER(MATCH(DATEVALUE($A152),'changes1_based on steps'!R$1:R$400,0)),R$2,)</f>
        <v>0</v>
      </c>
      <c r="S152" s="155">
        <f ca="1">IF(ISNUMBER(MATCH(DATEVALUE($A152),'changes1_based on steps'!S$1:S$400,0)),S$2,)</f>
        <v>0</v>
      </c>
      <c r="T152" s="155">
        <f ca="1">IF(ISNUMBER(MATCH(DATEVALUE($A152),'changes1_based on steps'!T$1:T$400,0)),T$2,)</f>
        <v>0</v>
      </c>
      <c r="U152" s="155">
        <f ca="1">IF(ISNUMBER(MATCH(DATEVALUE($A152),'changes1_based on steps'!U$1:U$400,0)),U$2,)</f>
        <v>0</v>
      </c>
    </row>
    <row r="153" spans="1:21" x14ac:dyDescent="0.2">
      <c r="A153" s="18" t="str">
        <f t="shared" ca="1" si="2"/>
        <v>2025-07-01</v>
      </c>
      <c r="B153" s="155">
        <f ca="1">IF(ISNUMBER(MATCH(DATEVALUE($A153),'changes1_based on steps'!B$1:B$400,0)),B$2,)</f>
        <v>0</v>
      </c>
      <c r="C153" s="155">
        <f ca="1">IF(ISNUMBER(MATCH(DATEVALUE($A153),'changes1_based on steps'!C$1:C$400,0)),C$2,)</f>
        <v>0</v>
      </c>
      <c r="D153" s="155">
        <f ca="1">IF(ISNUMBER(MATCH(DATEVALUE($A153),'changes1_based on steps'!D$1:D$400,0)),D$2,)</f>
        <v>0</v>
      </c>
      <c r="E153" s="155">
        <f ca="1">IF(ISNUMBER(MATCH(DATEVALUE($A153),'changes1_based on steps'!E$1:E$400,0)),E$2,)</f>
        <v>0</v>
      </c>
      <c r="F153" s="155">
        <f ca="1">IF(ISNUMBER(MATCH(DATEVALUE($A153),'changes1_based on steps'!F$1:F$400,0)),F$2,)</f>
        <v>0</v>
      </c>
      <c r="G153" s="155">
        <f ca="1">IF(ISNUMBER(MATCH(DATEVALUE($A153),'changes1_based on steps'!G$1:G$400,0)),G$2,)</f>
        <v>0</v>
      </c>
      <c r="H153" s="155">
        <f ca="1">IF(ISNUMBER(MATCH(DATEVALUE($A153),'changes1_based on steps'!H$1:H$400,0)),H$2,)</f>
        <v>0</v>
      </c>
      <c r="I153" s="155">
        <f ca="1">IF(ISNUMBER(MATCH(DATEVALUE($A153),'changes1_based on steps'!I$1:I$400,0)),I$2,)</f>
        <v>0</v>
      </c>
      <c r="J153" s="155">
        <f ca="1">IF(ISNUMBER(MATCH(DATEVALUE($A153),'changes1_based on steps'!J$1:J$400,0)),J$2,)</f>
        <v>0</v>
      </c>
      <c r="K153" s="155">
        <f ca="1">IF(ISNUMBER(MATCH(DATEVALUE($A153),'changes1_based on steps'!K$1:K$400,0)),K$2,)</f>
        <v>0</v>
      </c>
      <c r="L153" s="155">
        <f ca="1">IF(ISNUMBER(MATCH(DATEVALUE($A153),'changes1_based on steps'!L$1:L$400,0)),L$2,)</f>
        <v>0</v>
      </c>
      <c r="M153" s="155">
        <f ca="1">IF(ISNUMBER(MATCH(DATEVALUE($A153),'changes1_based on steps'!M$1:M$400,0)),M$2,)</f>
        <v>0</v>
      </c>
      <c r="N153" s="155">
        <f ca="1">IF(ISNUMBER(MATCH(DATEVALUE($A153),'changes1_based on steps'!N$1:N$400,0)),N$2,)</f>
        <v>0</v>
      </c>
      <c r="O153" s="155">
        <f ca="1">IF(ISNUMBER(MATCH(DATEVALUE($A153),'changes1_based on steps'!O$1:O$400,0)),O$2,)</f>
        <v>0</v>
      </c>
      <c r="P153" s="155">
        <f ca="1">IF(ISNUMBER(MATCH(DATEVALUE($A153),'changes1_based on steps'!P$1:P$400,0)),P$2,)</f>
        <v>0</v>
      </c>
      <c r="Q153" s="155">
        <f ca="1">IF(ISNUMBER(MATCH(DATEVALUE($A153),'changes1_based on steps'!Q$1:Q$400,0)),Q$2,)</f>
        <v>0</v>
      </c>
      <c r="R153" s="155">
        <f ca="1">IF(ISNUMBER(MATCH(DATEVALUE($A153),'changes1_based on steps'!R$1:R$400,0)),R$2,)</f>
        <v>0</v>
      </c>
      <c r="S153" s="155">
        <f ca="1">IF(ISNUMBER(MATCH(DATEVALUE($A153),'changes1_based on steps'!S$1:S$400,0)),S$2,)</f>
        <v>0</v>
      </c>
      <c r="T153" s="155">
        <f ca="1">IF(ISNUMBER(MATCH(DATEVALUE($A153),'changes1_based on steps'!T$1:T$400,0)),T$2,)</f>
        <v>0</v>
      </c>
      <c r="U153" s="155">
        <f ca="1">IF(ISNUMBER(MATCH(DATEVALUE($A153),'changes1_based on steps'!U$1:U$400,0)),U$2,)</f>
        <v>0</v>
      </c>
    </row>
    <row r="154" spans="1:21" x14ac:dyDescent="0.2">
      <c r="A154" s="18" t="str">
        <f t="shared" ca="1" si="2"/>
        <v>2025-07-02</v>
      </c>
      <c r="B154" s="155">
        <f ca="1">IF(ISNUMBER(MATCH(DATEVALUE($A154),'changes1_based on steps'!B$1:B$400,0)),B$2,)</f>
        <v>100</v>
      </c>
      <c r="C154" s="155">
        <f ca="1">IF(ISNUMBER(MATCH(DATEVALUE($A154),'changes1_based on steps'!C$1:C$400,0)),C$2,)</f>
        <v>0</v>
      </c>
      <c r="D154" s="155">
        <f ca="1">IF(ISNUMBER(MATCH(DATEVALUE($A154),'changes1_based on steps'!D$1:D$400,0)),D$2,)</f>
        <v>0</v>
      </c>
      <c r="E154" s="155">
        <f ca="1">IF(ISNUMBER(MATCH(DATEVALUE($A154),'changes1_based on steps'!E$1:E$400,0)),E$2,)</f>
        <v>0</v>
      </c>
      <c r="F154" s="155">
        <f ca="1">IF(ISNUMBER(MATCH(DATEVALUE($A154),'changes1_based on steps'!F$1:F$400,0)),F$2,)</f>
        <v>0</v>
      </c>
      <c r="G154" s="155">
        <f ca="1">IF(ISNUMBER(MATCH(DATEVALUE($A154),'changes1_based on steps'!G$1:G$400,0)),G$2,)</f>
        <v>0</v>
      </c>
      <c r="H154" s="155">
        <f ca="1">IF(ISNUMBER(MATCH(DATEVALUE($A154),'changes1_based on steps'!H$1:H$400,0)),H$2,)</f>
        <v>0</v>
      </c>
      <c r="I154" s="155">
        <f ca="1">IF(ISNUMBER(MATCH(DATEVALUE($A154),'changes1_based on steps'!I$1:I$400,0)),I$2,)</f>
        <v>0</v>
      </c>
      <c r="J154" s="155">
        <f ca="1">IF(ISNUMBER(MATCH(DATEVALUE($A154),'changes1_based on steps'!J$1:J$400,0)),J$2,)</f>
        <v>0</v>
      </c>
      <c r="K154" s="155">
        <f ca="1">IF(ISNUMBER(MATCH(DATEVALUE($A154),'changes1_based on steps'!K$1:K$400,0)),K$2,)</f>
        <v>0</v>
      </c>
      <c r="L154" s="155">
        <f ca="1">IF(ISNUMBER(MATCH(DATEVALUE($A154),'changes1_based on steps'!L$1:L$400,0)),L$2,)</f>
        <v>0</v>
      </c>
      <c r="M154" s="155">
        <f ca="1">IF(ISNUMBER(MATCH(DATEVALUE($A154),'changes1_based on steps'!M$1:M$400,0)),M$2,)</f>
        <v>0</v>
      </c>
      <c r="N154" s="155">
        <f ca="1">IF(ISNUMBER(MATCH(DATEVALUE($A154),'changes1_based on steps'!N$1:N$400,0)),N$2,)</f>
        <v>0</v>
      </c>
      <c r="O154" s="155">
        <f ca="1">IF(ISNUMBER(MATCH(DATEVALUE($A154),'changes1_based on steps'!O$1:O$400,0)),O$2,)</f>
        <v>0</v>
      </c>
      <c r="P154" s="155">
        <f ca="1">IF(ISNUMBER(MATCH(DATEVALUE($A154),'changes1_based on steps'!P$1:P$400,0)),P$2,)</f>
        <v>0</v>
      </c>
      <c r="Q154" s="155">
        <f ca="1">IF(ISNUMBER(MATCH(DATEVALUE($A154),'changes1_based on steps'!Q$1:Q$400,0)),Q$2,)</f>
        <v>0</v>
      </c>
      <c r="R154" s="155">
        <f ca="1">IF(ISNUMBER(MATCH(DATEVALUE($A154),'changes1_based on steps'!R$1:R$400,0)),R$2,)</f>
        <v>0</v>
      </c>
      <c r="S154" s="155">
        <f ca="1">IF(ISNUMBER(MATCH(DATEVALUE($A154),'changes1_based on steps'!S$1:S$400,0)),S$2,)</f>
        <v>0</v>
      </c>
      <c r="T154" s="155">
        <f ca="1">IF(ISNUMBER(MATCH(DATEVALUE($A154),'changes1_based on steps'!T$1:T$400,0)),T$2,)</f>
        <v>0</v>
      </c>
      <c r="U154" s="155">
        <f ca="1">IF(ISNUMBER(MATCH(DATEVALUE($A154),'changes1_based on steps'!U$1:U$400,0)),U$2,)</f>
        <v>0</v>
      </c>
    </row>
    <row r="155" spans="1:21" x14ac:dyDescent="0.2">
      <c r="A155" s="18" t="str">
        <f t="shared" ca="1" si="2"/>
        <v>2025-07-03</v>
      </c>
      <c r="B155" s="155">
        <f ca="1">IF(ISNUMBER(MATCH(DATEVALUE($A155),'changes1_based on steps'!B$1:B$400,0)),B$2,)</f>
        <v>0</v>
      </c>
      <c r="C155" s="155">
        <f ca="1">IF(ISNUMBER(MATCH(DATEVALUE($A155),'changes1_based on steps'!C$1:C$400,0)),C$2,)</f>
        <v>0</v>
      </c>
      <c r="D155" s="155">
        <f ca="1">IF(ISNUMBER(MATCH(DATEVALUE($A155),'changes1_based on steps'!D$1:D$400,0)),D$2,)</f>
        <v>0</v>
      </c>
      <c r="E155" s="155">
        <f ca="1">IF(ISNUMBER(MATCH(DATEVALUE($A155),'changes1_based on steps'!E$1:E$400,0)),E$2,)</f>
        <v>0</v>
      </c>
      <c r="F155" s="155">
        <f ca="1">IF(ISNUMBER(MATCH(DATEVALUE($A155),'changes1_based on steps'!F$1:F$400,0)),F$2,)</f>
        <v>0</v>
      </c>
      <c r="G155" s="155">
        <f ca="1">IF(ISNUMBER(MATCH(DATEVALUE($A155),'changes1_based on steps'!G$1:G$400,0)),G$2,)</f>
        <v>0</v>
      </c>
      <c r="H155" s="155">
        <f ca="1">IF(ISNUMBER(MATCH(DATEVALUE($A155),'changes1_based on steps'!H$1:H$400,0)),H$2,)</f>
        <v>0</v>
      </c>
      <c r="I155" s="155">
        <f ca="1">IF(ISNUMBER(MATCH(DATEVALUE($A155),'changes1_based on steps'!I$1:I$400,0)),I$2,)</f>
        <v>0</v>
      </c>
      <c r="J155" s="155">
        <f ca="1">IF(ISNUMBER(MATCH(DATEVALUE($A155),'changes1_based on steps'!J$1:J$400,0)),J$2,)</f>
        <v>0</v>
      </c>
      <c r="K155" s="155">
        <f ca="1">IF(ISNUMBER(MATCH(DATEVALUE($A155),'changes1_based on steps'!K$1:K$400,0)),K$2,)</f>
        <v>0</v>
      </c>
      <c r="L155" s="155">
        <f ca="1">IF(ISNUMBER(MATCH(DATEVALUE($A155),'changes1_based on steps'!L$1:L$400,0)),L$2,)</f>
        <v>0</v>
      </c>
      <c r="M155" s="155">
        <f ca="1">IF(ISNUMBER(MATCH(DATEVALUE($A155),'changes1_based on steps'!M$1:M$400,0)),M$2,)</f>
        <v>0</v>
      </c>
      <c r="N155" s="155">
        <f ca="1">IF(ISNUMBER(MATCH(DATEVALUE($A155),'changes1_based on steps'!N$1:N$400,0)),N$2,)</f>
        <v>0</v>
      </c>
      <c r="O155" s="155">
        <f ca="1">IF(ISNUMBER(MATCH(DATEVALUE($A155),'changes1_based on steps'!O$1:O$400,0)),O$2,)</f>
        <v>0</v>
      </c>
      <c r="P155" s="155">
        <f ca="1">IF(ISNUMBER(MATCH(DATEVALUE($A155),'changes1_based on steps'!P$1:P$400,0)),P$2,)</f>
        <v>0</v>
      </c>
      <c r="Q155" s="155">
        <f ca="1">IF(ISNUMBER(MATCH(DATEVALUE($A155),'changes1_based on steps'!Q$1:Q$400,0)),Q$2,)</f>
        <v>0</v>
      </c>
      <c r="R155" s="155">
        <f ca="1">IF(ISNUMBER(MATCH(DATEVALUE($A155),'changes1_based on steps'!R$1:R$400,0)),R$2,)</f>
        <v>0</v>
      </c>
      <c r="S155" s="155">
        <f ca="1">IF(ISNUMBER(MATCH(DATEVALUE($A155),'changes1_based on steps'!S$1:S$400,0)),S$2,)</f>
        <v>0</v>
      </c>
      <c r="T155" s="155">
        <f ca="1">IF(ISNUMBER(MATCH(DATEVALUE($A155),'changes1_based on steps'!T$1:T$400,0)),T$2,)</f>
        <v>0</v>
      </c>
      <c r="U155" s="155">
        <f ca="1">IF(ISNUMBER(MATCH(DATEVALUE($A155),'changes1_based on steps'!U$1:U$400,0)),U$2,)</f>
        <v>0</v>
      </c>
    </row>
    <row r="156" spans="1:21" x14ac:dyDescent="0.2">
      <c r="A156" s="18" t="str">
        <f t="shared" ca="1" si="2"/>
        <v>2025-07-04</v>
      </c>
      <c r="B156" s="155">
        <f ca="1">IF(ISNUMBER(MATCH(DATEVALUE($A156),'changes1_based on steps'!B$1:B$400,0)),B$2,)</f>
        <v>0</v>
      </c>
      <c r="C156" s="155">
        <f ca="1">IF(ISNUMBER(MATCH(DATEVALUE($A156),'changes1_based on steps'!C$1:C$400,0)),C$2,)</f>
        <v>0</v>
      </c>
      <c r="D156" s="155">
        <f ca="1">IF(ISNUMBER(MATCH(DATEVALUE($A156),'changes1_based on steps'!D$1:D$400,0)),D$2,)</f>
        <v>0</v>
      </c>
      <c r="E156" s="155">
        <f ca="1">IF(ISNUMBER(MATCH(DATEVALUE($A156),'changes1_based on steps'!E$1:E$400,0)),E$2,)</f>
        <v>0</v>
      </c>
      <c r="F156" s="155">
        <f ca="1">IF(ISNUMBER(MATCH(DATEVALUE($A156),'changes1_based on steps'!F$1:F$400,0)),F$2,)</f>
        <v>0</v>
      </c>
      <c r="G156" s="155">
        <f ca="1">IF(ISNUMBER(MATCH(DATEVALUE($A156),'changes1_based on steps'!G$1:G$400,0)),G$2,)</f>
        <v>0</v>
      </c>
      <c r="H156" s="155">
        <f ca="1">IF(ISNUMBER(MATCH(DATEVALUE($A156),'changes1_based on steps'!H$1:H$400,0)),H$2,)</f>
        <v>0</v>
      </c>
      <c r="I156" s="155">
        <f ca="1">IF(ISNUMBER(MATCH(DATEVALUE($A156),'changes1_based on steps'!I$1:I$400,0)),I$2,)</f>
        <v>0</v>
      </c>
      <c r="J156" s="155">
        <f ca="1">IF(ISNUMBER(MATCH(DATEVALUE($A156),'changes1_based on steps'!J$1:J$400,0)),J$2,)</f>
        <v>0</v>
      </c>
      <c r="K156" s="155">
        <f ca="1">IF(ISNUMBER(MATCH(DATEVALUE($A156),'changes1_based on steps'!K$1:K$400,0)),K$2,)</f>
        <v>0</v>
      </c>
      <c r="L156" s="155">
        <f ca="1">IF(ISNUMBER(MATCH(DATEVALUE($A156),'changes1_based on steps'!L$1:L$400,0)),L$2,)</f>
        <v>0</v>
      </c>
      <c r="M156" s="155">
        <f ca="1">IF(ISNUMBER(MATCH(DATEVALUE($A156),'changes1_based on steps'!M$1:M$400,0)),M$2,)</f>
        <v>0</v>
      </c>
      <c r="N156" s="155">
        <f ca="1">IF(ISNUMBER(MATCH(DATEVALUE($A156),'changes1_based on steps'!N$1:N$400,0)),N$2,)</f>
        <v>0</v>
      </c>
      <c r="O156" s="155">
        <f ca="1">IF(ISNUMBER(MATCH(DATEVALUE($A156),'changes1_based on steps'!O$1:O$400,0)),O$2,)</f>
        <v>0</v>
      </c>
      <c r="P156" s="155">
        <f ca="1">IF(ISNUMBER(MATCH(DATEVALUE($A156),'changes1_based on steps'!P$1:P$400,0)),P$2,)</f>
        <v>0</v>
      </c>
      <c r="Q156" s="155">
        <f ca="1">IF(ISNUMBER(MATCH(DATEVALUE($A156),'changes1_based on steps'!Q$1:Q$400,0)),Q$2,)</f>
        <v>0</v>
      </c>
      <c r="R156" s="155">
        <f ca="1">IF(ISNUMBER(MATCH(DATEVALUE($A156),'changes1_based on steps'!R$1:R$400,0)),R$2,)</f>
        <v>0</v>
      </c>
      <c r="S156" s="155">
        <f ca="1">IF(ISNUMBER(MATCH(DATEVALUE($A156),'changes1_based on steps'!S$1:S$400,0)),S$2,)</f>
        <v>0</v>
      </c>
      <c r="T156" s="155">
        <f ca="1">IF(ISNUMBER(MATCH(DATEVALUE($A156),'changes1_based on steps'!T$1:T$400,0)),T$2,)</f>
        <v>0</v>
      </c>
      <c r="U156" s="155">
        <f ca="1">IF(ISNUMBER(MATCH(DATEVALUE($A156),'changes1_based on steps'!U$1:U$400,0)),U$2,)</f>
        <v>0</v>
      </c>
    </row>
    <row r="157" spans="1:21" x14ac:dyDescent="0.2">
      <c r="A157" s="18" t="str">
        <f t="shared" ca="1" si="2"/>
        <v>2025-07-05</v>
      </c>
      <c r="B157" s="155">
        <f ca="1">IF(ISNUMBER(MATCH(DATEVALUE($A157),'changes1_based on steps'!B$1:B$400,0)),B$2,)</f>
        <v>0</v>
      </c>
      <c r="C157" s="155">
        <f ca="1">IF(ISNUMBER(MATCH(DATEVALUE($A157),'changes1_based on steps'!C$1:C$400,0)),C$2,)</f>
        <v>0</v>
      </c>
      <c r="D157" s="155">
        <f ca="1">IF(ISNUMBER(MATCH(DATEVALUE($A157),'changes1_based on steps'!D$1:D$400,0)),D$2,)</f>
        <v>0</v>
      </c>
      <c r="E157" s="155">
        <f ca="1">IF(ISNUMBER(MATCH(DATEVALUE($A157),'changes1_based on steps'!E$1:E$400,0)),E$2,)</f>
        <v>0</v>
      </c>
      <c r="F157" s="155">
        <f ca="1">IF(ISNUMBER(MATCH(DATEVALUE($A157),'changes1_based on steps'!F$1:F$400,0)),F$2,)</f>
        <v>0</v>
      </c>
      <c r="G157" s="155">
        <f ca="1">IF(ISNUMBER(MATCH(DATEVALUE($A157),'changes1_based on steps'!G$1:G$400,0)),G$2,)</f>
        <v>0</v>
      </c>
      <c r="H157" s="155">
        <f ca="1">IF(ISNUMBER(MATCH(DATEVALUE($A157),'changes1_based on steps'!H$1:H$400,0)),H$2,)</f>
        <v>0</v>
      </c>
      <c r="I157" s="155">
        <f ca="1">IF(ISNUMBER(MATCH(DATEVALUE($A157),'changes1_based on steps'!I$1:I$400,0)),I$2,)</f>
        <v>0</v>
      </c>
      <c r="J157" s="155">
        <f ca="1">IF(ISNUMBER(MATCH(DATEVALUE($A157),'changes1_based on steps'!J$1:J$400,0)),J$2,)</f>
        <v>0</v>
      </c>
      <c r="K157" s="155">
        <f ca="1">IF(ISNUMBER(MATCH(DATEVALUE($A157),'changes1_based on steps'!K$1:K$400,0)),K$2,)</f>
        <v>0</v>
      </c>
      <c r="L157" s="155">
        <f ca="1">IF(ISNUMBER(MATCH(DATEVALUE($A157),'changes1_based on steps'!L$1:L$400,0)),L$2,)</f>
        <v>0</v>
      </c>
      <c r="M157" s="155">
        <f ca="1">IF(ISNUMBER(MATCH(DATEVALUE($A157),'changes1_based on steps'!M$1:M$400,0)),M$2,)</f>
        <v>0</v>
      </c>
      <c r="N157" s="155">
        <f ca="1">IF(ISNUMBER(MATCH(DATEVALUE($A157),'changes1_based on steps'!N$1:N$400,0)),N$2,)</f>
        <v>0</v>
      </c>
      <c r="O157" s="155">
        <f ca="1">IF(ISNUMBER(MATCH(DATEVALUE($A157),'changes1_based on steps'!O$1:O$400,0)),O$2,)</f>
        <v>0</v>
      </c>
      <c r="P157" s="155">
        <f ca="1">IF(ISNUMBER(MATCH(DATEVALUE($A157),'changes1_based on steps'!P$1:P$400,0)),P$2,)</f>
        <v>0</v>
      </c>
      <c r="Q157" s="155">
        <f ca="1">IF(ISNUMBER(MATCH(DATEVALUE($A157),'changes1_based on steps'!Q$1:Q$400,0)),Q$2,)</f>
        <v>0</v>
      </c>
      <c r="R157" s="155">
        <f ca="1">IF(ISNUMBER(MATCH(DATEVALUE($A157),'changes1_based on steps'!R$1:R$400,0)),R$2,)</f>
        <v>0</v>
      </c>
      <c r="S157" s="155">
        <f ca="1">IF(ISNUMBER(MATCH(DATEVALUE($A157),'changes1_based on steps'!S$1:S$400,0)),S$2,)</f>
        <v>0</v>
      </c>
      <c r="T157" s="155">
        <f ca="1">IF(ISNUMBER(MATCH(DATEVALUE($A157),'changes1_based on steps'!T$1:T$400,0)),T$2,)</f>
        <v>0</v>
      </c>
      <c r="U157" s="155">
        <f ca="1">IF(ISNUMBER(MATCH(DATEVALUE($A157),'changes1_based on steps'!U$1:U$400,0)),U$2,)</f>
        <v>0</v>
      </c>
    </row>
    <row r="158" spans="1:21" x14ac:dyDescent="0.2">
      <c r="A158" s="18" t="str">
        <f t="shared" ca="1" si="2"/>
        <v>2025-07-06</v>
      </c>
      <c r="B158" s="155">
        <f ca="1">IF(ISNUMBER(MATCH(DATEVALUE($A158),'changes1_based on steps'!B$1:B$400,0)),B$2,)</f>
        <v>0</v>
      </c>
      <c r="C158" s="155">
        <f ca="1">IF(ISNUMBER(MATCH(DATEVALUE($A158),'changes1_based on steps'!C$1:C$400,0)),C$2,)</f>
        <v>0</v>
      </c>
      <c r="D158" s="155">
        <f ca="1">IF(ISNUMBER(MATCH(DATEVALUE($A158),'changes1_based on steps'!D$1:D$400,0)),D$2,)</f>
        <v>0</v>
      </c>
      <c r="E158" s="155">
        <f ca="1">IF(ISNUMBER(MATCH(DATEVALUE($A158),'changes1_based on steps'!E$1:E$400,0)),E$2,)</f>
        <v>0</v>
      </c>
      <c r="F158" s="155">
        <f ca="1">IF(ISNUMBER(MATCH(DATEVALUE($A158),'changes1_based on steps'!F$1:F$400,0)),F$2,)</f>
        <v>0</v>
      </c>
      <c r="G158" s="155">
        <f ca="1">IF(ISNUMBER(MATCH(DATEVALUE($A158),'changes1_based on steps'!G$1:G$400,0)),G$2,)</f>
        <v>0</v>
      </c>
      <c r="H158" s="155">
        <f ca="1">IF(ISNUMBER(MATCH(DATEVALUE($A158),'changes1_based on steps'!H$1:H$400,0)),H$2,)</f>
        <v>0</v>
      </c>
      <c r="I158" s="155">
        <f ca="1">IF(ISNUMBER(MATCH(DATEVALUE($A158),'changes1_based on steps'!I$1:I$400,0)),I$2,)</f>
        <v>0</v>
      </c>
      <c r="J158" s="155">
        <f ca="1">IF(ISNUMBER(MATCH(DATEVALUE($A158),'changes1_based on steps'!J$1:J$400,0)),J$2,)</f>
        <v>0</v>
      </c>
      <c r="K158" s="155">
        <f ca="1">IF(ISNUMBER(MATCH(DATEVALUE($A158),'changes1_based on steps'!K$1:K$400,0)),K$2,)</f>
        <v>0</v>
      </c>
      <c r="L158" s="155">
        <f ca="1">IF(ISNUMBER(MATCH(DATEVALUE($A158),'changes1_based on steps'!L$1:L$400,0)),L$2,)</f>
        <v>0</v>
      </c>
      <c r="M158" s="155">
        <f ca="1">IF(ISNUMBER(MATCH(DATEVALUE($A158),'changes1_based on steps'!M$1:M$400,0)),M$2,)</f>
        <v>0</v>
      </c>
      <c r="N158" s="155">
        <f ca="1">IF(ISNUMBER(MATCH(DATEVALUE($A158),'changes1_based on steps'!N$1:N$400,0)),N$2,)</f>
        <v>0</v>
      </c>
      <c r="O158" s="155">
        <f ca="1">IF(ISNUMBER(MATCH(DATEVALUE($A158),'changes1_based on steps'!O$1:O$400,0)),O$2,)</f>
        <v>0</v>
      </c>
      <c r="P158" s="155">
        <f ca="1">IF(ISNUMBER(MATCH(DATEVALUE($A158),'changes1_based on steps'!P$1:P$400,0)),P$2,)</f>
        <v>0</v>
      </c>
      <c r="Q158" s="155">
        <f ca="1">IF(ISNUMBER(MATCH(DATEVALUE($A158),'changes1_based on steps'!Q$1:Q$400,0)),Q$2,)</f>
        <v>0</v>
      </c>
      <c r="R158" s="155">
        <f ca="1">IF(ISNUMBER(MATCH(DATEVALUE($A158),'changes1_based on steps'!R$1:R$400,0)),R$2,)</f>
        <v>0</v>
      </c>
      <c r="S158" s="155">
        <f ca="1">IF(ISNUMBER(MATCH(DATEVALUE($A158),'changes1_based on steps'!S$1:S$400,0)),S$2,)</f>
        <v>0</v>
      </c>
      <c r="T158" s="155">
        <f ca="1">IF(ISNUMBER(MATCH(DATEVALUE($A158),'changes1_based on steps'!T$1:T$400,0)),T$2,)</f>
        <v>0</v>
      </c>
      <c r="U158" s="155">
        <f ca="1">IF(ISNUMBER(MATCH(DATEVALUE($A158),'changes1_based on steps'!U$1:U$400,0)),U$2,)</f>
        <v>0</v>
      </c>
    </row>
    <row r="159" spans="1:21" x14ac:dyDescent="0.2">
      <c r="A159" s="18" t="str">
        <f t="shared" ca="1" si="2"/>
        <v>2025-07-07</v>
      </c>
      <c r="B159" s="155">
        <f ca="1">IF(ISNUMBER(MATCH(DATEVALUE($A159),'changes1_based on steps'!B$1:B$400,0)),B$2,)</f>
        <v>0</v>
      </c>
      <c r="C159" s="155">
        <f ca="1">IF(ISNUMBER(MATCH(DATEVALUE($A159),'changes1_based on steps'!C$1:C$400,0)),C$2,)</f>
        <v>0</v>
      </c>
      <c r="D159" s="155">
        <f ca="1">IF(ISNUMBER(MATCH(DATEVALUE($A159),'changes1_based on steps'!D$1:D$400,0)),D$2,)</f>
        <v>0</v>
      </c>
      <c r="E159" s="155">
        <f ca="1">IF(ISNUMBER(MATCH(DATEVALUE($A159),'changes1_based on steps'!E$1:E$400,0)),E$2,)</f>
        <v>0</v>
      </c>
      <c r="F159" s="155">
        <f ca="1">IF(ISNUMBER(MATCH(DATEVALUE($A159),'changes1_based on steps'!F$1:F$400,0)),F$2,)</f>
        <v>0</v>
      </c>
      <c r="G159" s="155">
        <f ca="1">IF(ISNUMBER(MATCH(DATEVALUE($A159),'changes1_based on steps'!G$1:G$400,0)),G$2,)</f>
        <v>0</v>
      </c>
      <c r="H159" s="155">
        <f ca="1">IF(ISNUMBER(MATCH(DATEVALUE($A159),'changes1_based on steps'!H$1:H$400,0)),H$2,)</f>
        <v>0</v>
      </c>
      <c r="I159" s="155">
        <f ca="1">IF(ISNUMBER(MATCH(DATEVALUE($A159),'changes1_based on steps'!I$1:I$400,0)),I$2,)</f>
        <v>0</v>
      </c>
      <c r="J159" s="155">
        <f ca="1">IF(ISNUMBER(MATCH(DATEVALUE($A159),'changes1_based on steps'!J$1:J$400,0)),J$2,)</f>
        <v>0</v>
      </c>
      <c r="K159" s="155">
        <f ca="1">IF(ISNUMBER(MATCH(DATEVALUE($A159),'changes1_based on steps'!K$1:K$400,0)),K$2,)</f>
        <v>0</v>
      </c>
      <c r="L159" s="155">
        <f ca="1">IF(ISNUMBER(MATCH(DATEVALUE($A159),'changes1_based on steps'!L$1:L$400,0)),L$2,)</f>
        <v>0</v>
      </c>
      <c r="M159" s="155">
        <f ca="1">IF(ISNUMBER(MATCH(DATEVALUE($A159),'changes1_based on steps'!M$1:M$400,0)),M$2,)</f>
        <v>0</v>
      </c>
      <c r="N159" s="155">
        <f ca="1">IF(ISNUMBER(MATCH(DATEVALUE($A159),'changes1_based on steps'!N$1:N$400,0)),N$2,)</f>
        <v>0</v>
      </c>
      <c r="O159" s="155">
        <f ca="1">IF(ISNUMBER(MATCH(DATEVALUE($A159),'changes1_based on steps'!O$1:O$400,0)),O$2,)</f>
        <v>0</v>
      </c>
      <c r="P159" s="155">
        <f ca="1">IF(ISNUMBER(MATCH(DATEVALUE($A159),'changes1_based on steps'!P$1:P$400,0)),P$2,)</f>
        <v>0</v>
      </c>
      <c r="Q159" s="155">
        <f ca="1">IF(ISNUMBER(MATCH(DATEVALUE($A159),'changes1_based on steps'!Q$1:Q$400,0)),Q$2,)</f>
        <v>0</v>
      </c>
      <c r="R159" s="155">
        <f ca="1">IF(ISNUMBER(MATCH(DATEVALUE($A159),'changes1_based on steps'!R$1:R$400,0)),R$2,)</f>
        <v>0</v>
      </c>
      <c r="S159" s="155">
        <f ca="1">IF(ISNUMBER(MATCH(DATEVALUE($A159),'changes1_based on steps'!S$1:S$400,0)),S$2,)</f>
        <v>0</v>
      </c>
      <c r="T159" s="155">
        <f ca="1">IF(ISNUMBER(MATCH(DATEVALUE($A159),'changes1_based on steps'!T$1:T$400,0)),T$2,)</f>
        <v>0</v>
      </c>
      <c r="U159" s="155">
        <f ca="1">IF(ISNUMBER(MATCH(DATEVALUE($A159),'changes1_based on steps'!U$1:U$400,0)),U$2,)</f>
        <v>0</v>
      </c>
    </row>
    <row r="160" spans="1:21" x14ac:dyDescent="0.2">
      <c r="A160" s="18" t="str">
        <f t="shared" ca="1" si="2"/>
        <v>2025-07-08</v>
      </c>
      <c r="B160" s="155">
        <f ca="1">IF(ISNUMBER(MATCH(DATEVALUE($A160),'changes1_based on steps'!B$1:B$400,0)),B$2,)</f>
        <v>0</v>
      </c>
      <c r="C160" s="155">
        <f ca="1">IF(ISNUMBER(MATCH(DATEVALUE($A160),'changes1_based on steps'!C$1:C$400,0)),C$2,)</f>
        <v>0</v>
      </c>
      <c r="D160" s="155">
        <f ca="1">IF(ISNUMBER(MATCH(DATEVALUE($A160),'changes1_based on steps'!D$1:D$400,0)),D$2,)</f>
        <v>0</v>
      </c>
      <c r="E160" s="155">
        <f ca="1">IF(ISNUMBER(MATCH(DATEVALUE($A160),'changes1_based on steps'!E$1:E$400,0)),E$2,)</f>
        <v>0</v>
      </c>
      <c r="F160" s="155">
        <f ca="1">IF(ISNUMBER(MATCH(DATEVALUE($A160),'changes1_based on steps'!F$1:F$400,0)),F$2,)</f>
        <v>0</v>
      </c>
      <c r="G160" s="155">
        <f ca="1">IF(ISNUMBER(MATCH(DATEVALUE($A160),'changes1_based on steps'!G$1:G$400,0)),G$2,)</f>
        <v>0</v>
      </c>
      <c r="H160" s="155">
        <f ca="1">IF(ISNUMBER(MATCH(DATEVALUE($A160),'changes1_based on steps'!H$1:H$400,0)),H$2,)</f>
        <v>0</v>
      </c>
      <c r="I160" s="155">
        <f ca="1">IF(ISNUMBER(MATCH(DATEVALUE($A160),'changes1_based on steps'!I$1:I$400,0)),I$2,)</f>
        <v>0</v>
      </c>
      <c r="J160" s="155">
        <f ca="1">IF(ISNUMBER(MATCH(DATEVALUE($A160),'changes1_based on steps'!J$1:J$400,0)),J$2,)</f>
        <v>0</v>
      </c>
      <c r="K160" s="155">
        <f ca="1">IF(ISNUMBER(MATCH(DATEVALUE($A160),'changes1_based on steps'!K$1:K$400,0)),K$2,)</f>
        <v>0</v>
      </c>
      <c r="L160" s="155">
        <f ca="1">IF(ISNUMBER(MATCH(DATEVALUE($A160),'changes1_based on steps'!L$1:L$400,0)),L$2,)</f>
        <v>0</v>
      </c>
      <c r="M160" s="155">
        <f ca="1">IF(ISNUMBER(MATCH(DATEVALUE($A160),'changes1_based on steps'!M$1:M$400,0)),M$2,)</f>
        <v>0</v>
      </c>
      <c r="N160" s="155">
        <f ca="1">IF(ISNUMBER(MATCH(DATEVALUE($A160),'changes1_based on steps'!N$1:N$400,0)),N$2,)</f>
        <v>0</v>
      </c>
      <c r="O160" s="155">
        <f ca="1">IF(ISNUMBER(MATCH(DATEVALUE($A160),'changes1_based on steps'!O$1:O$400,0)),O$2,)</f>
        <v>0</v>
      </c>
      <c r="P160" s="155">
        <f ca="1">IF(ISNUMBER(MATCH(DATEVALUE($A160),'changes1_based on steps'!P$1:P$400,0)),P$2,)</f>
        <v>0</v>
      </c>
      <c r="Q160" s="155">
        <f ca="1">IF(ISNUMBER(MATCH(DATEVALUE($A160),'changes1_based on steps'!Q$1:Q$400,0)),Q$2,)</f>
        <v>0</v>
      </c>
      <c r="R160" s="155">
        <f ca="1">IF(ISNUMBER(MATCH(DATEVALUE($A160),'changes1_based on steps'!R$1:R$400,0)),R$2,)</f>
        <v>0</v>
      </c>
      <c r="S160" s="155">
        <f ca="1">IF(ISNUMBER(MATCH(DATEVALUE($A160),'changes1_based on steps'!S$1:S$400,0)),S$2,)</f>
        <v>0</v>
      </c>
      <c r="T160" s="155">
        <f ca="1">IF(ISNUMBER(MATCH(DATEVALUE($A160),'changes1_based on steps'!T$1:T$400,0)),T$2,)</f>
        <v>0</v>
      </c>
      <c r="U160" s="155">
        <f ca="1">IF(ISNUMBER(MATCH(DATEVALUE($A160),'changes1_based on steps'!U$1:U$400,0)),U$2,)</f>
        <v>0</v>
      </c>
    </row>
    <row r="161" spans="1:21" x14ac:dyDescent="0.2">
      <c r="A161" s="18" t="str">
        <f t="shared" ca="1" si="2"/>
        <v>2025-07-09</v>
      </c>
      <c r="B161" s="155">
        <f ca="1">IF(ISNUMBER(MATCH(DATEVALUE($A161),'changes1_based on steps'!B$1:B$400,0)),B$2,)</f>
        <v>0</v>
      </c>
      <c r="C161" s="155">
        <f ca="1">IF(ISNUMBER(MATCH(DATEVALUE($A161),'changes1_based on steps'!C$1:C$400,0)),C$2,)</f>
        <v>0</v>
      </c>
      <c r="D161" s="155">
        <f ca="1">IF(ISNUMBER(MATCH(DATEVALUE($A161),'changes1_based on steps'!D$1:D$400,0)),D$2,)</f>
        <v>0</v>
      </c>
      <c r="E161" s="155">
        <f ca="1">IF(ISNUMBER(MATCH(DATEVALUE($A161),'changes1_based on steps'!E$1:E$400,0)),E$2,)</f>
        <v>0</v>
      </c>
      <c r="F161" s="155">
        <f ca="1">IF(ISNUMBER(MATCH(DATEVALUE($A161),'changes1_based on steps'!F$1:F$400,0)),F$2,)</f>
        <v>0</v>
      </c>
      <c r="G161" s="155">
        <f ca="1">IF(ISNUMBER(MATCH(DATEVALUE($A161),'changes1_based on steps'!G$1:G$400,0)),G$2,)</f>
        <v>0</v>
      </c>
      <c r="H161" s="155">
        <f ca="1">IF(ISNUMBER(MATCH(DATEVALUE($A161),'changes1_based on steps'!H$1:H$400,0)),H$2,)</f>
        <v>0</v>
      </c>
      <c r="I161" s="155">
        <f ca="1">IF(ISNUMBER(MATCH(DATEVALUE($A161),'changes1_based on steps'!I$1:I$400,0)),I$2,)</f>
        <v>0</v>
      </c>
      <c r="J161" s="155">
        <f ca="1">IF(ISNUMBER(MATCH(DATEVALUE($A161),'changes1_based on steps'!J$1:J$400,0)),J$2,)</f>
        <v>0</v>
      </c>
      <c r="K161" s="155">
        <f ca="1">IF(ISNUMBER(MATCH(DATEVALUE($A161),'changes1_based on steps'!K$1:K$400,0)),K$2,)</f>
        <v>0</v>
      </c>
      <c r="L161" s="155">
        <f ca="1">IF(ISNUMBER(MATCH(DATEVALUE($A161),'changes1_based on steps'!L$1:L$400,0)),L$2,)</f>
        <v>0</v>
      </c>
      <c r="M161" s="155">
        <f ca="1">IF(ISNUMBER(MATCH(DATEVALUE($A161),'changes1_based on steps'!M$1:M$400,0)),M$2,)</f>
        <v>0</v>
      </c>
      <c r="N161" s="155">
        <f ca="1">IF(ISNUMBER(MATCH(DATEVALUE($A161),'changes1_based on steps'!N$1:N$400,0)),N$2,)</f>
        <v>0</v>
      </c>
      <c r="O161" s="155">
        <f ca="1">IF(ISNUMBER(MATCH(DATEVALUE($A161),'changes1_based on steps'!O$1:O$400,0)),O$2,)</f>
        <v>0</v>
      </c>
      <c r="P161" s="155">
        <f ca="1">IF(ISNUMBER(MATCH(DATEVALUE($A161),'changes1_based on steps'!P$1:P$400,0)),P$2,)</f>
        <v>0</v>
      </c>
      <c r="Q161" s="155">
        <f ca="1">IF(ISNUMBER(MATCH(DATEVALUE($A161),'changes1_based on steps'!Q$1:Q$400,0)),Q$2,)</f>
        <v>0</v>
      </c>
      <c r="R161" s="155">
        <f ca="1">IF(ISNUMBER(MATCH(DATEVALUE($A161),'changes1_based on steps'!R$1:R$400,0)),R$2,)</f>
        <v>0</v>
      </c>
      <c r="S161" s="155">
        <f ca="1">IF(ISNUMBER(MATCH(DATEVALUE($A161),'changes1_based on steps'!S$1:S$400,0)),S$2,)</f>
        <v>0</v>
      </c>
      <c r="T161" s="155">
        <f ca="1">IF(ISNUMBER(MATCH(DATEVALUE($A161),'changes1_based on steps'!T$1:T$400,0)),T$2,)</f>
        <v>0</v>
      </c>
      <c r="U161" s="155">
        <f ca="1">IF(ISNUMBER(MATCH(DATEVALUE($A161),'changes1_based on steps'!U$1:U$400,0)),U$2,)</f>
        <v>0</v>
      </c>
    </row>
    <row r="162" spans="1:21" x14ac:dyDescent="0.2">
      <c r="A162" s="18" t="str">
        <f t="shared" ca="1" si="2"/>
        <v>2025-07-10</v>
      </c>
      <c r="B162" s="155">
        <f ca="1">IF(ISNUMBER(MATCH(DATEVALUE($A162),'changes1_based on steps'!B$1:B$400,0)),B$2,)</f>
        <v>0</v>
      </c>
      <c r="C162" s="155">
        <f ca="1">IF(ISNUMBER(MATCH(DATEVALUE($A162),'changes1_based on steps'!C$1:C$400,0)),C$2,)</f>
        <v>0</v>
      </c>
      <c r="D162" s="155">
        <f ca="1">IF(ISNUMBER(MATCH(DATEVALUE($A162),'changes1_based on steps'!D$1:D$400,0)),D$2,)</f>
        <v>0</v>
      </c>
      <c r="E162" s="155">
        <f ca="1">IF(ISNUMBER(MATCH(DATEVALUE($A162),'changes1_based on steps'!E$1:E$400,0)),E$2,)</f>
        <v>0</v>
      </c>
      <c r="F162" s="155">
        <f ca="1">IF(ISNUMBER(MATCH(DATEVALUE($A162),'changes1_based on steps'!F$1:F$400,0)),F$2,)</f>
        <v>0</v>
      </c>
      <c r="G162" s="155">
        <f ca="1">IF(ISNUMBER(MATCH(DATEVALUE($A162),'changes1_based on steps'!G$1:G$400,0)),G$2,)</f>
        <v>0</v>
      </c>
      <c r="H162" s="155">
        <f ca="1">IF(ISNUMBER(MATCH(DATEVALUE($A162),'changes1_based on steps'!H$1:H$400,0)),H$2,)</f>
        <v>0</v>
      </c>
      <c r="I162" s="155">
        <f ca="1">IF(ISNUMBER(MATCH(DATEVALUE($A162),'changes1_based on steps'!I$1:I$400,0)),I$2,)</f>
        <v>0</v>
      </c>
      <c r="J162" s="155">
        <f ca="1">IF(ISNUMBER(MATCH(DATEVALUE($A162),'changes1_based on steps'!J$1:J$400,0)),J$2,)</f>
        <v>0</v>
      </c>
      <c r="K162" s="155">
        <f ca="1">IF(ISNUMBER(MATCH(DATEVALUE($A162),'changes1_based on steps'!K$1:K$400,0)),K$2,)</f>
        <v>0</v>
      </c>
      <c r="L162" s="155">
        <f ca="1">IF(ISNUMBER(MATCH(DATEVALUE($A162),'changes1_based on steps'!L$1:L$400,0)),L$2,)</f>
        <v>0</v>
      </c>
      <c r="M162" s="155">
        <f ca="1">IF(ISNUMBER(MATCH(DATEVALUE($A162),'changes1_based on steps'!M$1:M$400,0)),M$2,)</f>
        <v>0</v>
      </c>
      <c r="N162" s="155">
        <f ca="1">IF(ISNUMBER(MATCH(DATEVALUE($A162),'changes1_based on steps'!N$1:N$400,0)),N$2,)</f>
        <v>0</v>
      </c>
      <c r="O162" s="155">
        <f ca="1">IF(ISNUMBER(MATCH(DATEVALUE($A162),'changes1_based on steps'!O$1:O$400,0)),O$2,)</f>
        <v>0</v>
      </c>
      <c r="P162" s="155">
        <f ca="1">IF(ISNUMBER(MATCH(DATEVALUE($A162),'changes1_based on steps'!P$1:P$400,0)),P$2,)</f>
        <v>0</v>
      </c>
      <c r="Q162" s="155">
        <f ca="1">IF(ISNUMBER(MATCH(DATEVALUE($A162),'changes1_based on steps'!Q$1:Q$400,0)),Q$2,)</f>
        <v>0</v>
      </c>
      <c r="R162" s="155">
        <f ca="1">IF(ISNUMBER(MATCH(DATEVALUE($A162),'changes1_based on steps'!R$1:R$400,0)),R$2,)</f>
        <v>0</v>
      </c>
      <c r="S162" s="155">
        <f ca="1">IF(ISNUMBER(MATCH(DATEVALUE($A162),'changes1_based on steps'!S$1:S$400,0)),S$2,)</f>
        <v>0</v>
      </c>
      <c r="T162" s="155">
        <f ca="1">IF(ISNUMBER(MATCH(DATEVALUE($A162),'changes1_based on steps'!T$1:T$400,0)),T$2,)</f>
        <v>0</v>
      </c>
      <c r="U162" s="155">
        <f ca="1">IF(ISNUMBER(MATCH(DATEVALUE($A162),'changes1_based on steps'!U$1:U$400,0)),U$2,)</f>
        <v>0</v>
      </c>
    </row>
    <row r="163" spans="1:21" x14ac:dyDescent="0.2">
      <c r="A163" s="18" t="str">
        <f t="shared" ca="1" si="2"/>
        <v>2025-07-11</v>
      </c>
      <c r="B163" s="155">
        <f ca="1">IF(ISNUMBER(MATCH(DATEVALUE($A163),'changes1_based on steps'!B$1:B$400,0)),B$2,)</f>
        <v>0</v>
      </c>
      <c r="C163" s="155">
        <f ca="1">IF(ISNUMBER(MATCH(DATEVALUE($A163),'changes1_based on steps'!C$1:C$400,0)),C$2,)</f>
        <v>0</v>
      </c>
      <c r="D163" s="155">
        <f ca="1">IF(ISNUMBER(MATCH(DATEVALUE($A163),'changes1_based on steps'!D$1:D$400,0)),D$2,)</f>
        <v>0</v>
      </c>
      <c r="E163" s="155">
        <f ca="1">IF(ISNUMBER(MATCH(DATEVALUE($A163),'changes1_based on steps'!E$1:E$400,0)),E$2,)</f>
        <v>0</v>
      </c>
      <c r="F163" s="155">
        <f ca="1">IF(ISNUMBER(MATCH(DATEVALUE($A163),'changes1_based on steps'!F$1:F$400,0)),F$2,)</f>
        <v>0</v>
      </c>
      <c r="G163" s="155">
        <f ca="1">IF(ISNUMBER(MATCH(DATEVALUE($A163),'changes1_based on steps'!G$1:G$400,0)),G$2,)</f>
        <v>0</v>
      </c>
      <c r="H163" s="155">
        <f ca="1">IF(ISNUMBER(MATCH(DATEVALUE($A163),'changes1_based on steps'!H$1:H$400,0)),H$2,)</f>
        <v>0</v>
      </c>
      <c r="I163" s="155">
        <f ca="1">IF(ISNUMBER(MATCH(DATEVALUE($A163),'changes1_based on steps'!I$1:I$400,0)),I$2,)</f>
        <v>0</v>
      </c>
      <c r="J163" s="155">
        <f ca="1">IF(ISNUMBER(MATCH(DATEVALUE($A163),'changes1_based on steps'!J$1:J$400,0)),J$2,)</f>
        <v>0</v>
      </c>
      <c r="K163" s="155">
        <f ca="1">IF(ISNUMBER(MATCH(DATEVALUE($A163),'changes1_based on steps'!K$1:K$400,0)),K$2,)</f>
        <v>0</v>
      </c>
      <c r="L163" s="155">
        <f ca="1">IF(ISNUMBER(MATCH(DATEVALUE($A163),'changes1_based on steps'!L$1:L$400,0)),L$2,)</f>
        <v>0</v>
      </c>
      <c r="M163" s="155">
        <f ca="1">IF(ISNUMBER(MATCH(DATEVALUE($A163),'changes1_based on steps'!M$1:M$400,0)),M$2,)</f>
        <v>0</v>
      </c>
      <c r="N163" s="155">
        <f ca="1">IF(ISNUMBER(MATCH(DATEVALUE($A163),'changes1_based on steps'!N$1:N$400,0)),N$2,)</f>
        <v>0</v>
      </c>
      <c r="O163" s="155">
        <f ca="1">IF(ISNUMBER(MATCH(DATEVALUE($A163),'changes1_based on steps'!O$1:O$400,0)),O$2,)</f>
        <v>0</v>
      </c>
      <c r="P163" s="155">
        <f ca="1">IF(ISNUMBER(MATCH(DATEVALUE($A163),'changes1_based on steps'!P$1:P$400,0)),P$2,)</f>
        <v>0</v>
      </c>
      <c r="Q163" s="155">
        <f ca="1">IF(ISNUMBER(MATCH(DATEVALUE($A163),'changes1_based on steps'!Q$1:Q$400,0)),Q$2,)</f>
        <v>0</v>
      </c>
      <c r="R163" s="155">
        <f ca="1">IF(ISNUMBER(MATCH(DATEVALUE($A163),'changes1_based on steps'!R$1:R$400,0)),R$2,)</f>
        <v>0</v>
      </c>
      <c r="S163" s="155">
        <f ca="1">IF(ISNUMBER(MATCH(DATEVALUE($A163),'changes1_based on steps'!S$1:S$400,0)),S$2,)</f>
        <v>0</v>
      </c>
      <c r="T163" s="155">
        <f ca="1">IF(ISNUMBER(MATCH(DATEVALUE($A163),'changes1_based on steps'!T$1:T$400,0)),T$2,)</f>
        <v>0</v>
      </c>
      <c r="U163" s="155">
        <f ca="1">IF(ISNUMBER(MATCH(DATEVALUE($A163),'changes1_based on steps'!U$1:U$400,0)),U$2,)</f>
        <v>0</v>
      </c>
    </row>
    <row r="164" spans="1:21" x14ac:dyDescent="0.2">
      <c r="A164" s="18" t="str">
        <f t="shared" ca="1" si="2"/>
        <v>2025-07-12</v>
      </c>
      <c r="B164" s="155">
        <f ca="1">IF(ISNUMBER(MATCH(DATEVALUE($A164),'changes1_based on steps'!B$1:B$400,0)),B$2,)</f>
        <v>0</v>
      </c>
      <c r="C164" s="155">
        <f ca="1">IF(ISNUMBER(MATCH(DATEVALUE($A164),'changes1_based on steps'!C$1:C$400,0)),C$2,)</f>
        <v>0</v>
      </c>
      <c r="D164" s="155">
        <f ca="1">IF(ISNUMBER(MATCH(DATEVALUE($A164),'changes1_based on steps'!D$1:D$400,0)),D$2,)</f>
        <v>0</v>
      </c>
      <c r="E164" s="155">
        <f ca="1">IF(ISNUMBER(MATCH(DATEVALUE($A164),'changes1_based on steps'!E$1:E$400,0)),E$2,)</f>
        <v>0</v>
      </c>
      <c r="F164" s="155">
        <f ca="1">IF(ISNUMBER(MATCH(DATEVALUE($A164),'changes1_based on steps'!F$1:F$400,0)),F$2,)</f>
        <v>0</v>
      </c>
      <c r="G164" s="155">
        <f ca="1">IF(ISNUMBER(MATCH(DATEVALUE($A164),'changes1_based on steps'!G$1:G$400,0)),G$2,)</f>
        <v>0</v>
      </c>
      <c r="H164" s="155">
        <f ca="1">IF(ISNUMBER(MATCH(DATEVALUE($A164),'changes1_based on steps'!H$1:H$400,0)),H$2,)</f>
        <v>0</v>
      </c>
      <c r="I164" s="155">
        <f ca="1">IF(ISNUMBER(MATCH(DATEVALUE($A164),'changes1_based on steps'!I$1:I$400,0)),I$2,)</f>
        <v>0</v>
      </c>
      <c r="J164" s="155">
        <f ca="1">IF(ISNUMBER(MATCH(DATEVALUE($A164),'changes1_based on steps'!J$1:J$400,0)),J$2,)</f>
        <v>0</v>
      </c>
      <c r="K164" s="155">
        <f ca="1">IF(ISNUMBER(MATCH(DATEVALUE($A164),'changes1_based on steps'!K$1:K$400,0)),K$2,)</f>
        <v>0</v>
      </c>
      <c r="L164" s="155">
        <f ca="1">IF(ISNUMBER(MATCH(DATEVALUE($A164),'changes1_based on steps'!L$1:L$400,0)),L$2,)</f>
        <v>0</v>
      </c>
      <c r="M164" s="155">
        <f ca="1">IF(ISNUMBER(MATCH(DATEVALUE($A164),'changes1_based on steps'!M$1:M$400,0)),M$2,)</f>
        <v>0</v>
      </c>
      <c r="N164" s="155">
        <f ca="1">IF(ISNUMBER(MATCH(DATEVALUE($A164),'changes1_based on steps'!N$1:N$400,0)),N$2,)</f>
        <v>0</v>
      </c>
      <c r="O164" s="155">
        <f ca="1">IF(ISNUMBER(MATCH(DATEVALUE($A164),'changes1_based on steps'!O$1:O$400,0)),O$2,)</f>
        <v>0</v>
      </c>
      <c r="P164" s="155">
        <f ca="1">IF(ISNUMBER(MATCH(DATEVALUE($A164),'changes1_based on steps'!P$1:P$400,0)),P$2,)</f>
        <v>0</v>
      </c>
      <c r="Q164" s="155">
        <f ca="1">IF(ISNUMBER(MATCH(DATEVALUE($A164),'changes1_based on steps'!Q$1:Q$400,0)),Q$2,)</f>
        <v>0</v>
      </c>
      <c r="R164" s="155">
        <f ca="1">IF(ISNUMBER(MATCH(DATEVALUE($A164),'changes1_based on steps'!R$1:R$400,0)),R$2,)</f>
        <v>0</v>
      </c>
      <c r="S164" s="155">
        <f ca="1">IF(ISNUMBER(MATCH(DATEVALUE($A164),'changes1_based on steps'!S$1:S$400,0)),S$2,)</f>
        <v>0</v>
      </c>
      <c r="T164" s="155">
        <f ca="1">IF(ISNUMBER(MATCH(DATEVALUE($A164),'changes1_based on steps'!T$1:T$400,0)),T$2,)</f>
        <v>0</v>
      </c>
      <c r="U164" s="155">
        <f ca="1">IF(ISNUMBER(MATCH(DATEVALUE($A164),'changes1_based on steps'!U$1:U$400,0)),U$2,)</f>
        <v>0</v>
      </c>
    </row>
    <row r="165" spans="1:21" x14ac:dyDescent="0.2">
      <c r="A165" s="18" t="str">
        <f t="shared" ca="1" si="2"/>
        <v>2025-07-13</v>
      </c>
      <c r="B165" s="155">
        <f ca="1">IF(ISNUMBER(MATCH(DATEVALUE($A165),'changes1_based on steps'!B$1:B$400,0)),B$2,)</f>
        <v>0</v>
      </c>
      <c r="C165" s="155">
        <f ca="1">IF(ISNUMBER(MATCH(DATEVALUE($A165),'changes1_based on steps'!C$1:C$400,0)),C$2,)</f>
        <v>0</v>
      </c>
      <c r="D165" s="155">
        <f ca="1">IF(ISNUMBER(MATCH(DATEVALUE($A165),'changes1_based on steps'!D$1:D$400,0)),D$2,)</f>
        <v>0</v>
      </c>
      <c r="E165" s="155">
        <f ca="1">IF(ISNUMBER(MATCH(DATEVALUE($A165),'changes1_based on steps'!E$1:E$400,0)),E$2,)</f>
        <v>0</v>
      </c>
      <c r="F165" s="155">
        <f ca="1">IF(ISNUMBER(MATCH(DATEVALUE($A165),'changes1_based on steps'!F$1:F$400,0)),F$2,)</f>
        <v>0</v>
      </c>
      <c r="G165" s="155">
        <f ca="1">IF(ISNUMBER(MATCH(DATEVALUE($A165),'changes1_based on steps'!G$1:G$400,0)),G$2,)</f>
        <v>0</v>
      </c>
      <c r="H165" s="155">
        <f ca="1">IF(ISNUMBER(MATCH(DATEVALUE($A165),'changes1_based on steps'!H$1:H$400,0)),H$2,)</f>
        <v>0</v>
      </c>
      <c r="I165" s="155">
        <f ca="1">IF(ISNUMBER(MATCH(DATEVALUE($A165),'changes1_based on steps'!I$1:I$400,0)),I$2,)</f>
        <v>0</v>
      </c>
      <c r="J165" s="155">
        <f ca="1">IF(ISNUMBER(MATCH(DATEVALUE($A165),'changes1_based on steps'!J$1:J$400,0)),J$2,)</f>
        <v>0</v>
      </c>
      <c r="K165" s="155">
        <f ca="1">IF(ISNUMBER(MATCH(DATEVALUE($A165),'changes1_based on steps'!K$1:K$400,0)),K$2,)</f>
        <v>0</v>
      </c>
      <c r="L165" s="155">
        <f ca="1">IF(ISNUMBER(MATCH(DATEVALUE($A165),'changes1_based on steps'!L$1:L$400,0)),L$2,)</f>
        <v>0</v>
      </c>
      <c r="M165" s="155">
        <f ca="1">IF(ISNUMBER(MATCH(DATEVALUE($A165),'changes1_based on steps'!M$1:M$400,0)),M$2,)</f>
        <v>0</v>
      </c>
      <c r="N165" s="155">
        <f ca="1">IF(ISNUMBER(MATCH(DATEVALUE($A165),'changes1_based on steps'!N$1:N$400,0)),N$2,)</f>
        <v>0</v>
      </c>
      <c r="O165" s="155">
        <f ca="1">IF(ISNUMBER(MATCH(DATEVALUE($A165),'changes1_based on steps'!O$1:O$400,0)),O$2,)</f>
        <v>0</v>
      </c>
      <c r="P165" s="155">
        <f ca="1">IF(ISNUMBER(MATCH(DATEVALUE($A165),'changes1_based on steps'!P$1:P$400,0)),P$2,)</f>
        <v>0</v>
      </c>
      <c r="Q165" s="155">
        <f ca="1">IF(ISNUMBER(MATCH(DATEVALUE($A165),'changes1_based on steps'!Q$1:Q$400,0)),Q$2,)</f>
        <v>0</v>
      </c>
      <c r="R165" s="155">
        <f ca="1">IF(ISNUMBER(MATCH(DATEVALUE($A165),'changes1_based on steps'!R$1:R$400,0)),R$2,)</f>
        <v>0</v>
      </c>
      <c r="S165" s="155">
        <f ca="1">IF(ISNUMBER(MATCH(DATEVALUE($A165),'changes1_based on steps'!S$1:S$400,0)),S$2,)</f>
        <v>0</v>
      </c>
      <c r="T165" s="155">
        <f ca="1">IF(ISNUMBER(MATCH(DATEVALUE($A165),'changes1_based on steps'!T$1:T$400,0)),T$2,)</f>
        <v>0</v>
      </c>
      <c r="U165" s="155">
        <f ca="1">IF(ISNUMBER(MATCH(DATEVALUE($A165),'changes1_based on steps'!U$1:U$400,0)),U$2,)</f>
        <v>0</v>
      </c>
    </row>
    <row r="166" spans="1:21" x14ac:dyDescent="0.2">
      <c r="A166" s="18" t="str">
        <f t="shared" ca="1" si="2"/>
        <v>2025-07-14</v>
      </c>
      <c r="B166" s="155">
        <f ca="1">IF(ISNUMBER(MATCH(DATEVALUE($A166),'changes1_based on steps'!B$1:B$400,0)),B$2,)</f>
        <v>0</v>
      </c>
      <c r="C166" s="155">
        <f ca="1">IF(ISNUMBER(MATCH(DATEVALUE($A166),'changes1_based on steps'!C$1:C$400,0)),C$2,)</f>
        <v>0</v>
      </c>
      <c r="D166" s="155">
        <f ca="1">IF(ISNUMBER(MATCH(DATEVALUE($A166),'changes1_based on steps'!D$1:D$400,0)),D$2,)</f>
        <v>0</v>
      </c>
      <c r="E166" s="155">
        <f ca="1">IF(ISNUMBER(MATCH(DATEVALUE($A166),'changes1_based on steps'!E$1:E$400,0)),E$2,)</f>
        <v>0</v>
      </c>
      <c r="F166" s="155">
        <f ca="1">IF(ISNUMBER(MATCH(DATEVALUE($A166),'changes1_based on steps'!F$1:F$400,0)),F$2,)</f>
        <v>0</v>
      </c>
      <c r="G166" s="155">
        <f ca="1">IF(ISNUMBER(MATCH(DATEVALUE($A166),'changes1_based on steps'!G$1:G$400,0)),G$2,)</f>
        <v>0</v>
      </c>
      <c r="H166" s="155">
        <f ca="1">IF(ISNUMBER(MATCH(DATEVALUE($A166),'changes1_based on steps'!H$1:H$400,0)),H$2,)</f>
        <v>0</v>
      </c>
      <c r="I166" s="155">
        <f ca="1">IF(ISNUMBER(MATCH(DATEVALUE($A166),'changes1_based on steps'!I$1:I$400,0)),I$2,)</f>
        <v>0</v>
      </c>
      <c r="J166" s="155">
        <f ca="1">IF(ISNUMBER(MATCH(DATEVALUE($A166),'changes1_based on steps'!J$1:J$400,0)),J$2,)</f>
        <v>0</v>
      </c>
      <c r="K166" s="155">
        <f ca="1">IF(ISNUMBER(MATCH(DATEVALUE($A166),'changes1_based on steps'!K$1:K$400,0)),K$2,)</f>
        <v>0</v>
      </c>
      <c r="L166" s="155">
        <f ca="1">IF(ISNUMBER(MATCH(DATEVALUE($A166),'changes1_based on steps'!L$1:L$400,0)),L$2,)</f>
        <v>0</v>
      </c>
      <c r="M166" s="155">
        <f ca="1">IF(ISNUMBER(MATCH(DATEVALUE($A166),'changes1_based on steps'!M$1:M$400,0)),M$2,)</f>
        <v>0</v>
      </c>
      <c r="N166" s="155">
        <f ca="1">IF(ISNUMBER(MATCH(DATEVALUE($A166),'changes1_based on steps'!N$1:N$400,0)),N$2,)</f>
        <v>0</v>
      </c>
      <c r="O166" s="155">
        <f ca="1">IF(ISNUMBER(MATCH(DATEVALUE($A166),'changes1_based on steps'!O$1:O$400,0)),O$2,)</f>
        <v>0</v>
      </c>
      <c r="P166" s="155">
        <f ca="1">IF(ISNUMBER(MATCH(DATEVALUE($A166),'changes1_based on steps'!P$1:P$400,0)),P$2,)</f>
        <v>0</v>
      </c>
      <c r="Q166" s="155">
        <f ca="1">IF(ISNUMBER(MATCH(DATEVALUE($A166),'changes1_based on steps'!Q$1:Q$400,0)),Q$2,)</f>
        <v>0</v>
      </c>
      <c r="R166" s="155">
        <f ca="1">IF(ISNUMBER(MATCH(DATEVALUE($A166),'changes1_based on steps'!R$1:R$400,0)),R$2,)</f>
        <v>0</v>
      </c>
      <c r="S166" s="155">
        <f ca="1">IF(ISNUMBER(MATCH(DATEVALUE($A166),'changes1_based on steps'!S$1:S$400,0)),S$2,)</f>
        <v>0</v>
      </c>
      <c r="T166" s="155">
        <f ca="1">IF(ISNUMBER(MATCH(DATEVALUE($A166),'changes1_based on steps'!T$1:T$400,0)),T$2,)</f>
        <v>0</v>
      </c>
      <c r="U166" s="155">
        <f ca="1">IF(ISNUMBER(MATCH(DATEVALUE($A166),'changes1_based on steps'!U$1:U$400,0)),U$2,)</f>
        <v>0</v>
      </c>
    </row>
    <row r="167" spans="1:21" x14ac:dyDescent="0.2">
      <c r="A167" s="18" t="str">
        <f t="shared" ca="1" si="2"/>
        <v>2025-07-15</v>
      </c>
      <c r="B167" s="155">
        <f ca="1">IF(ISNUMBER(MATCH(DATEVALUE($A167),'changes1_based on steps'!B$1:B$400,0)),B$2,)</f>
        <v>0</v>
      </c>
      <c r="C167" s="155">
        <f ca="1">IF(ISNUMBER(MATCH(DATEVALUE($A167),'changes1_based on steps'!C$1:C$400,0)),C$2,)</f>
        <v>0</v>
      </c>
      <c r="D167" s="155">
        <f ca="1">IF(ISNUMBER(MATCH(DATEVALUE($A167),'changes1_based on steps'!D$1:D$400,0)),D$2,)</f>
        <v>0</v>
      </c>
      <c r="E167" s="155">
        <f ca="1">IF(ISNUMBER(MATCH(DATEVALUE($A167),'changes1_based on steps'!E$1:E$400,0)),E$2,)</f>
        <v>0</v>
      </c>
      <c r="F167" s="155">
        <f ca="1">IF(ISNUMBER(MATCH(DATEVALUE($A167),'changes1_based on steps'!F$1:F$400,0)),F$2,)</f>
        <v>0</v>
      </c>
      <c r="G167" s="155">
        <f ca="1">IF(ISNUMBER(MATCH(DATEVALUE($A167),'changes1_based on steps'!G$1:G$400,0)),G$2,)</f>
        <v>0</v>
      </c>
      <c r="H167" s="155">
        <f ca="1">IF(ISNUMBER(MATCH(DATEVALUE($A167),'changes1_based on steps'!H$1:H$400,0)),H$2,)</f>
        <v>0</v>
      </c>
      <c r="I167" s="155">
        <f ca="1">IF(ISNUMBER(MATCH(DATEVALUE($A167),'changes1_based on steps'!I$1:I$400,0)),I$2,)</f>
        <v>0</v>
      </c>
      <c r="J167" s="155">
        <f ca="1">IF(ISNUMBER(MATCH(DATEVALUE($A167),'changes1_based on steps'!J$1:J$400,0)),J$2,)</f>
        <v>0</v>
      </c>
      <c r="K167" s="155">
        <f ca="1">IF(ISNUMBER(MATCH(DATEVALUE($A167),'changes1_based on steps'!K$1:K$400,0)),K$2,)</f>
        <v>0</v>
      </c>
      <c r="L167" s="155">
        <f ca="1">IF(ISNUMBER(MATCH(DATEVALUE($A167),'changes1_based on steps'!L$1:L$400,0)),L$2,)</f>
        <v>0</v>
      </c>
      <c r="M167" s="155">
        <f ca="1">IF(ISNUMBER(MATCH(DATEVALUE($A167),'changes1_based on steps'!M$1:M$400,0)),M$2,)</f>
        <v>0</v>
      </c>
      <c r="N167" s="155">
        <f ca="1">IF(ISNUMBER(MATCH(DATEVALUE($A167),'changes1_based on steps'!N$1:N$400,0)),N$2,)</f>
        <v>0</v>
      </c>
      <c r="O167" s="155">
        <f ca="1">IF(ISNUMBER(MATCH(DATEVALUE($A167),'changes1_based on steps'!O$1:O$400,0)),O$2,)</f>
        <v>0</v>
      </c>
      <c r="P167" s="155">
        <f ca="1">IF(ISNUMBER(MATCH(DATEVALUE($A167),'changes1_based on steps'!P$1:P$400,0)),P$2,)</f>
        <v>0</v>
      </c>
      <c r="Q167" s="155">
        <f ca="1">IF(ISNUMBER(MATCH(DATEVALUE($A167),'changes1_based on steps'!Q$1:Q$400,0)),Q$2,)</f>
        <v>0</v>
      </c>
      <c r="R167" s="155">
        <f ca="1">IF(ISNUMBER(MATCH(DATEVALUE($A167),'changes1_based on steps'!R$1:R$400,0)),R$2,)</f>
        <v>0</v>
      </c>
      <c r="S167" s="155">
        <f ca="1">IF(ISNUMBER(MATCH(DATEVALUE($A167),'changes1_based on steps'!S$1:S$400,0)),S$2,)</f>
        <v>0</v>
      </c>
      <c r="T167" s="155">
        <f ca="1">IF(ISNUMBER(MATCH(DATEVALUE($A167),'changes1_based on steps'!T$1:T$400,0)),T$2,)</f>
        <v>0</v>
      </c>
      <c r="U167" s="155">
        <f ca="1">IF(ISNUMBER(MATCH(DATEVALUE($A167),'changes1_based on steps'!U$1:U$400,0)),U$2,)</f>
        <v>0</v>
      </c>
    </row>
    <row r="168" spans="1:21" x14ac:dyDescent="0.2">
      <c r="A168" s="18" t="str">
        <f t="shared" ca="1" si="2"/>
        <v>2025-07-16</v>
      </c>
      <c r="B168" s="155">
        <f ca="1">IF(ISNUMBER(MATCH(DATEVALUE($A168),'changes1_based on steps'!B$1:B$400,0)),B$2,)</f>
        <v>100</v>
      </c>
      <c r="C168" s="155">
        <f ca="1">IF(ISNUMBER(MATCH(DATEVALUE($A168),'changes1_based on steps'!C$1:C$400,0)),C$2,)</f>
        <v>0</v>
      </c>
      <c r="D168" s="155">
        <f ca="1">IF(ISNUMBER(MATCH(DATEVALUE($A168),'changes1_based on steps'!D$1:D$400,0)),D$2,)</f>
        <v>0</v>
      </c>
      <c r="E168" s="155">
        <f ca="1">IF(ISNUMBER(MATCH(DATEVALUE($A168),'changes1_based on steps'!E$1:E$400,0)),E$2,)</f>
        <v>0</v>
      </c>
      <c r="F168" s="155">
        <f ca="1">IF(ISNUMBER(MATCH(DATEVALUE($A168),'changes1_based on steps'!F$1:F$400,0)),F$2,)</f>
        <v>0</v>
      </c>
      <c r="G168" s="155">
        <f ca="1">IF(ISNUMBER(MATCH(DATEVALUE($A168),'changes1_based on steps'!G$1:G$400,0)),G$2,)</f>
        <v>0</v>
      </c>
      <c r="H168" s="155">
        <f ca="1">IF(ISNUMBER(MATCH(DATEVALUE($A168),'changes1_based on steps'!H$1:H$400,0)),H$2,)</f>
        <v>0</v>
      </c>
      <c r="I168" s="155">
        <f ca="1">IF(ISNUMBER(MATCH(DATEVALUE($A168),'changes1_based on steps'!I$1:I$400,0)),I$2,)</f>
        <v>0</v>
      </c>
      <c r="J168" s="155">
        <f ca="1">IF(ISNUMBER(MATCH(DATEVALUE($A168),'changes1_based on steps'!J$1:J$400,0)),J$2,)</f>
        <v>0</v>
      </c>
      <c r="K168" s="155">
        <f ca="1">IF(ISNUMBER(MATCH(DATEVALUE($A168),'changes1_based on steps'!K$1:K$400,0)),K$2,)</f>
        <v>0</v>
      </c>
      <c r="L168" s="155">
        <f ca="1">IF(ISNUMBER(MATCH(DATEVALUE($A168),'changes1_based on steps'!L$1:L$400,0)),L$2,)</f>
        <v>0</v>
      </c>
      <c r="M168" s="155">
        <f ca="1">IF(ISNUMBER(MATCH(DATEVALUE($A168),'changes1_based on steps'!M$1:M$400,0)),M$2,)</f>
        <v>0</v>
      </c>
      <c r="N168" s="155">
        <f ca="1">IF(ISNUMBER(MATCH(DATEVALUE($A168),'changes1_based on steps'!N$1:N$400,0)),N$2,)</f>
        <v>0</v>
      </c>
      <c r="O168" s="155">
        <f ca="1">IF(ISNUMBER(MATCH(DATEVALUE($A168),'changes1_based on steps'!O$1:O$400,0)),O$2,)</f>
        <v>0</v>
      </c>
      <c r="P168" s="155">
        <f ca="1">IF(ISNUMBER(MATCH(DATEVALUE($A168),'changes1_based on steps'!P$1:P$400,0)),P$2,)</f>
        <v>0</v>
      </c>
      <c r="Q168" s="155">
        <f ca="1">IF(ISNUMBER(MATCH(DATEVALUE($A168),'changes1_based on steps'!Q$1:Q$400,0)),Q$2,)</f>
        <v>0</v>
      </c>
      <c r="R168" s="155">
        <f ca="1">IF(ISNUMBER(MATCH(DATEVALUE($A168),'changes1_based on steps'!R$1:R$400,0)),R$2,)</f>
        <v>0</v>
      </c>
      <c r="S168" s="155">
        <f ca="1">IF(ISNUMBER(MATCH(DATEVALUE($A168),'changes1_based on steps'!S$1:S$400,0)),S$2,)</f>
        <v>0</v>
      </c>
      <c r="T168" s="155">
        <f ca="1">IF(ISNUMBER(MATCH(DATEVALUE($A168),'changes1_based on steps'!T$1:T$400,0)),T$2,)</f>
        <v>0</v>
      </c>
      <c r="U168" s="155">
        <f ca="1">IF(ISNUMBER(MATCH(DATEVALUE($A168),'changes1_based on steps'!U$1:U$400,0)),U$2,)</f>
        <v>0</v>
      </c>
    </row>
    <row r="169" spans="1:21" x14ac:dyDescent="0.2">
      <c r="A169" s="18" t="str">
        <f t="shared" ca="1" si="2"/>
        <v>2025-07-17</v>
      </c>
      <c r="B169" s="155">
        <f ca="1">IF(ISNUMBER(MATCH(DATEVALUE($A169),'changes1_based on steps'!B$1:B$400,0)),B$2,)</f>
        <v>0</v>
      </c>
      <c r="C169" s="155">
        <f ca="1">IF(ISNUMBER(MATCH(DATEVALUE($A169),'changes1_based on steps'!C$1:C$400,0)),C$2,)</f>
        <v>0</v>
      </c>
      <c r="D169" s="155">
        <f ca="1">IF(ISNUMBER(MATCH(DATEVALUE($A169),'changes1_based on steps'!D$1:D$400,0)),D$2,)</f>
        <v>0</v>
      </c>
      <c r="E169" s="155">
        <f ca="1">IF(ISNUMBER(MATCH(DATEVALUE($A169),'changes1_based on steps'!E$1:E$400,0)),E$2,)</f>
        <v>0</v>
      </c>
      <c r="F169" s="155">
        <f ca="1">IF(ISNUMBER(MATCH(DATEVALUE($A169),'changes1_based on steps'!F$1:F$400,0)),F$2,)</f>
        <v>0</v>
      </c>
      <c r="G169" s="155">
        <f ca="1">IF(ISNUMBER(MATCH(DATEVALUE($A169),'changes1_based on steps'!G$1:G$400,0)),G$2,)</f>
        <v>0</v>
      </c>
      <c r="H169" s="155">
        <f ca="1">IF(ISNUMBER(MATCH(DATEVALUE($A169),'changes1_based on steps'!H$1:H$400,0)),H$2,)</f>
        <v>0</v>
      </c>
      <c r="I169" s="155">
        <f ca="1">IF(ISNUMBER(MATCH(DATEVALUE($A169),'changes1_based on steps'!I$1:I$400,0)),I$2,)</f>
        <v>0</v>
      </c>
      <c r="J169" s="155">
        <f ca="1">IF(ISNUMBER(MATCH(DATEVALUE($A169),'changes1_based on steps'!J$1:J$400,0)),J$2,)</f>
        <v>0</v>
      </c>
      <c r="K169" s="155">
        <f ca="1">IF(ISNUMBER(MATCH(DATEVALUE($A169),'changes1_based on steps'!K$1:K$400,0)),K$2,)</f>
        <v>0</v>
      </c>
      <c r="L169" s="155">
        <f ca="1">IF(ISNUMBER(MATCH(DATEVALUE($A169),'changes1_based on steps'!L$1:L$400,0)),L$2,)</f>
        <v>0</v>
      </c>
      <c r="M169" s="155">
        <f ca="1">IF(ISNUMBER(MATCH(DATEVALUE($A169),'changes1_based on steps'!M$1:M$400,0)),M$2,)</f>
        <v>0</v>
      </c>
      <c r="N169" s="155">
        <f ca="1">IF(ISNUMBER(MATCH(DATEVALUE($A169),'changes1_based on steps'!N$1:N$400,0)),N$2,)</f>
        <v>0</v>
      </c>
      <c r="O169" s="155">
        <f ca="1">IF(ISNUMBER(MATCH(DATEVALUE($A169),'changes1_based on steps'!O$1:O$400,0)),O$2,)</f>
        <v>0</v>
      </c>
      <c r="P169" s="155">
        <f ca="1">IF(ISNUMBER(MATCH(DATEVALUE($A169),'changes1_based on steps'!P$1:P$400,0)),P$2,)</f>
        <v>0</v>
      </c>
      <c r="Q169" s="155">
        <f ca="1">IF(ISNUMBER(MATCH(DATEVALUE($A169),'changes1_based on steps'!Q$1:Q$400,0)),Q$2,)</f>
        <v>0</v>
      </c>
      <c r="R169" s="155">
        <f ca="1">IF(ISNUMBER(MATCH(DATEVALUE($A169),'changes1_based on steps'!R$1:R$400,0)),R$2,)</f>
        <v>0</v>
      </c>
      <c r="S169" s="155">
        <f ca="1">IF(ISNUMBER(MATCH(DATEVALUE($A169),'changes1_based on steps'!S$1:S$400,0)),S$2,)</f>
        <v>0</v>
      </c>
      <c r="T169" s="155">
        <f ca="1">IF(ISNUMBER(MATCH(DATEVALUE($A169),'changes1_based on steps'!T$1:T$400,0)),T$2,)</f>
        <v>0</v>
      </c>
      <c r="U169" s="155">
        <f ca="1">IF(ISNUMBER(MATCH(DATEVALUE($A169),'changes1_based on steps'!U$1:U$400,0)),U$2,)</f>
        <v>0</v>
      </c>
    </row>
    <row r="170" spans="1:21" x14ac:dyDescent="0.2">
      <c r="A170" s="18" t="str">
        <f t="shared" ca="1" si="2"/>
        <v>2025-07-18</v>
      </c>
      <c r="B170" s="155">
        <f ca="1">IF(ISNUMBER(MATCH(DATEVALUE($A170),'changes1_based on steps'!B$1:B$400,0)),B$2,)</f>
        <v>0</v>
      </c>
      <c r="C170" s="155">
        <f ca="1">IF(ISNUMBER(MATCH(DATEVALUE($A170),'changes1_based on steps'!C$1:C$400,0)),C$2,)</f>
        <v>0</v>
      </c>
      <c r="D170" s="155">
        <f ca="1">IF(ISNUMBER(MATCH(DATEVALUE($A170),'changes1_based on steps'!D$1:D$400,0)),D$2,)</f>
        <v>0</v>
      </c>
      <c r="E170" s="155">
        <f ca="1">IF(ISNUMBER(MATCH(DATEVALUE($A170),'changes1_based on steps'!E$1:E$400,0)),E$2,)</f>
        <v>0</v>
      </c>
      <c r="F170" s="155">
        <f ca="1">IF(ISNUMBER(MATCH(DATEVALUE($A170),'changes1_based on steps'!F$1:F$400,0)),F$2,)</f>
        <v>0</v>
      </c>
      <c r="G170" s="155">
        <f ca="1">IF(ISNUMBER(MATCH(DATEVALUE($A170),'changes1_based on steps'!G$1:G$400,0)),G$2,)</f>
        <v>0</v>
      </c>
      <c r="H170" s="155">
        <f ca="1">IF(ISNUMBER(MATCH(DATEVALUE($A170),'changes1_based on steps'!H$1:H$400,0)),H$2,)</f>
        <v>0</v>
      </c>
      <c r="I170" s="155">
        <f ca="1">IF(ISNUMBER(MATCH(DATEVALUE($A170),'changes1_based on steps'!I$1:I$400,0)),I$2,)</f>
        <v>0</v>
      </c>
      <c r="J170" s="155">
        <f ca="1">IF(ISNUMBER(MATCH(DATEVALUE($A170),'changes1_based on steps'!J$1:J$400,0)),J$2,)</f>
        <v>0</v>
      </c>
      <c r="K170" s="155">
        <f ca="1">IF(ISNUMBER(MATCH(DATEVALUE($A170),'changes1_based on steps'!K$1:K$400,0)),K$2,)</f>
        <v>0</v>
      </c>
      <c r="L170" s="155">
        <f ca="1">IF(ISNUMBER(MATCH(DATEVALUE($A170),'changes1_based on steps'!L$1:L$400,0)),L$2,)</f>
        <v>0</v>
      </c>
      <c r="M170" s="155">
        <f ca="1">IF(ISNUMBER(MATCH(DATEVALUE($A170),'changes1_based on steps'!M$1:M$400,0)),M$2,)</f>
        <v>0</v>
      </c>
      <c r="N170" s="155">
        <f ca="1">IF(ISNUMBER(MATCH(DATEVALUE($A170),'changes1_based on steps'!N$1:N$400,0)),N$2,)</f>
        <v>0</v>
      </c>
      <c r="O170" s="155">
        <f ca="1">IF(ISNUMBER(MATCH(DATEVALUE($A170),'changes1_based on steps'!O$1:O$400,0)),O$2,)</f>
        <v>0</v>
      </c>
      <c r="P170" s="155">
        <f ca="1">IF(ISNUMBER(MATCH(DATEVALUE($A170),'changes1_based on steps'!P$1:P$400,0)),P$2,)</f>
        <v>0</v>
      </c>
      <c r="Q170" s="155">
        <f ca="1">IF(ISNUMBER(MATCH(DATEVALUE($A170),'changes1_based on steps'!Q$1:Q$400,0)),Q$2,)</f>
        <v>0</v>
      </c>
      <c r="R170" s="155">
        <f ca="1">IF(ISNUMBER(MATCH(DATEVALUE($A170),'changes1_based on steps'!R$1:R$400,0)),R$2,)</f>
        <v>0</v>
      </c>
      <c r="S170" s="155">
        <f ca="1">IF(ISNUMBER(MATCH(DATEVALUE($A170),'changes1_based on steps'!S$1:S$400,0)),S$2,)</f>
        <v>0</v>
      </c>
      <c r="T170" s="155">
        <f ca="1">IF(ISNUMBER(MATCH(DATEVALUE($A170),'changes1_based on steps'!T$1:T$400,0)),T$2,)</f>
        <v>0</v>
      </c>
      <c r="U170" s="155">
        <f ca="1">IF(ISNUMBER(MATCH(DATEVALUE($A170),'changes1_based on steps'!U$1:U$400,0)),U$2,)</f>
        <v>0</v>
      </c>
    </row>
    <row r="171" spans="1:21" x14ac:dyDescent="0.2">
      <c r="A171" s="18" t="str">
        <f t="shared" ca="1" si="2"/>
        <v>2025-07-19</v>
      </c>
      <c r="B171" s="155">
        <f ca="1">IF(ISNUMBER(MATCH(DATEVALUE($A171),'changes1_based on steps'!B$1:B$400,0)),B$2,)</f>
        <v>0</v>
      </c>
      <c r="C171" s="155">
        <f ca="1">IF(ISNUMBER(MATCH(DATEVALUE($A171),'changes1_based on steps'!C$1:C$400,0)),C$2,)</f>
        <v>0</v>
      </c>
      <c r="D171" s="155">
        <f ca="1">IF(ISNUMBER(MATCH(DATEVALUE($A171),'changes1_based on steps'!D$1:D$400,0)),D$2,)</f>
        <v>0</v>
      </c>
      <c r="E171" s="155">
        <f ca="1">IF(ISNUMBER(MATCH(DATEVALUE($A171),'changes1_based on steps'!E$1:E$400,0)),E$2,)</f>
        <v>0</v>
      </c>
      <c r="F171" s="155">
        <f ca="1">IF(ISNUMBER(MATCH(DATEVALUE($A171),'changes1_based on steps'!F$1:F$400,0)),F$2,)</f>
        <v>0</v>
      </c>
      <c r="G171" s="155">
        <f ca="1">IF(ISNUMBER(MATCH(DATEVALUE($A171),'changes1_based on steps'!G$1:G$400,0)),G$2,)</f>
        <v>0</v>
      </c>
      <c r="H171" s="155">
        <f ca="1">IF(ISNUMBER(MATCH(DATEVALUE($A171),'changes1_based on steps'!H$1:H$400,0)),H$2,)</f>
        <v>0</v>
      </c>
      <c r="I171" s="155">
        <f ca="1">IF(ISNUMBER(MATCH(DATEVALUE($A171),'changes1_based on steps'!I$1:I$400,0)),I$2,)</f>
        <v>0</v>
      </c>
      <c r="J171" s="155">
        <f ca="1">IF(ISNUMBER(MATCH(DATEVALUE($A171),'changes1_based on steps'!J$1:J$400,0)),J$2,)</f>
        <v>0</v>
      </c>
      <c r="K171" s="155">
        <f ca="1">IF(ISNUMBER(MATCH(DATEVALUE($A171),'changes1_based on steps'!K$1:K$400,0)),K$2,)</f>
        <v>0</v>
      </c>
      <c r="L171" s="155">
        <f ca="1">IF(ISNUMBER(MATCH(DATEVALUE($A171),'changes1_based on steps'!L$1:L$400,0)),L$2,)</f>
        <v>0</v>
      </c>
      <c r="M171" s="155">
        <f ca="1">IF(ISNUMBER(MATCH(DATEVALUE($A171),'changes1_based on steps'!M$1:M$400,0)),M$2,)</f>
        <v>0</v>
      </c>
      <c r="N171" s="155">
        <f ca="1">IF(ISNUMBER(MATCH(DATEVALUE($A171),'changes1_based on steps'!N$1:N$400,0)),N$2,)</f>
        <v>0</v>
      </c>
      <c r="O171" s="155">
        <f ca="1">IF(ISNUMBER(MATCH(DATEVALUE($A171),'changes1_based on steps'!O$1:O$400,0)),O$2,)</f>
        <v>0</v>
      </c>
      <c r="P171" s="155">
        <f ca="1">IF(ISNUMBER(MATCH(DATEVALUE($A171),'changes1_based on steps'!P$1:P$400,0)),P$2,)</f>
        <v>0</v>
      </c>
      <c r="Q171" s="155">
        <f ca="1">IF(ISNUMBER(MATCH(DATEVALUE($A171),'changes1_based on steps'!Q$1:Q$400,0)),Q$2,)</f>
        <v>0</v>
      </c>
      <c r="R171" s="155">
        <f ca="1">IF(ISNUMBER(MATCH(DATEVALUE($A171),'changes1_based on steps'!R$1:R$400,0)),R$2,)</f>
        <v>0</v>
      </c>
      <c r="S171" s="155">
        <f ca="1">IF(ISNUMBER(MATCH(DATEVALUE($A171),'changes1_based on steps'!S$1:S$400,0)),S$2,)</f>
        <v>0</v>
      </c>
      <c r="T171" s="155">
        <f ca="1">IF(ISNUMBER(MATCH(DATEVALUE($A171),'changes1_based on steps'!T$1:T$400,0)),T$2,)</f>
        <v>0</v>
      </c>
      <c r="U171" s="155">
        <f ca="1">IF(ISNUMBER(MATCH(DATEVALUE($A171),'changes1_based on steps'!U$1:U$400,0)),U$2,)</f>
        <v>0</v>
      </c>
    </row>
    <row r="172" spans="1:21" x14ac:dyDescent="0.2">
      <c r="A172" s="18" t="str">
        <f t="shared" ca="1" si="2"/>
        <v>2025-07-20</v>
      </c>
      <c r="B172" s="155">
        <f ca="1">IF(ISNUMBER(MATCH(DATEVALUE($A172),'changes1_based on steps'!B$1:B$400,0)),B$2,)</f>
        <v>0</v>
      </c>
      <c r="C172" s="155">
        <f ca="1">IF(ISNUMBER(MATCH(DATEVALUE($A172),'changes1_based on steps'!C$1:C$400,0)),C$2,)</f>
        <v>0</v>
      </c>
      <c r="D172" s="155">
        <f ca="1">IF(ISNUMBER(MATCH(DATEVALUE($A172),'changes1_based on steps'!D$1:D$400,0)),D$2,)</f>
        <v>0</v>
      </c>
      <c r="E172" s="155">
        <f ca="1">IF(ISNUMBER(MATCH(DATEVALUE($A172),'changes1_based on steps'!E$1:E$400,0)),E$2,)</f>
        <v>0</v>
      </c>
      <c r="F172" s="155">
        <f ca="1">IF(ISNUMBER(MATCH(DATEVALUE($A172),'changes1_based on steps'!F$1:F$400,0)),F$2,)</f>
        <v>0</v>
      </c>
      <c r="G172" s="155">
        <f ca="1">IF(ISNUMBER(MATCH(DATEVALUE($A172),'changes1_based on steps'!G$1:G$400,0)),G$2,)</f>
        <v>0</v>
      </c>
      <c r="H172" s="155">
        <f ca="1">IF(ISNUMBER(MATCH(DATEVALUE($A172),'changes1_based on steps'!H$1:H$400,0)),H$2,)</f>
        <v>0</v>
      </c>
      <c r="I172" s="155">
        <f ca="1">IF(ISNUMBER(MATCH(DATEVALUE($A172),'changes1_based on steps'!I$1:I$400,0)),I$2,)</f>
        <v>0</v>
      </c>
      <c r="J172" s="155">
        <f ca="1">IF(ISNUMBER(MATCH(DATEVALUE($A172),'changes1_based on steps'!J$1:J$400,0)),J$2,)</f>
        <v>0</v>
      </c>
      <c r="K172" s="155">
        <f ca="1">IF(ISNUMBER(MATCH(DATEVALUE($A172),'changes1_based on steps'!K$1:K$400,0)),K$2,)</f>
        <v>0</v>
      </c>
      <c r="L172" s="155">
        <f ca="1">IF(ISNUMBER(MATCH(DATEVALUE($A172),'changes1_based on steps'!L$1:L$400,0)),L$2,)</f>
        <v>0</v>
      </c>
      <c r="M172" s="155">
        <f ca="1">IF(ISNUMBER(MATCH(DATEVALUE($A172),'changes1_based on steps'!M$1:M$400,0)),M$2,)</f>
        <v>0</v>
      </c>
      <c r="N172" s="155">
        <f ca="1">IF(ISNUMBER(MATCH(DATEVALUE($A172),'changes1_based on steps'!N$1:N$400,0)),N$2,)</f>
        <v>0</v>
      </c>
      <c r="O172" s="155">
        <f ca="1">IF(ISNUMBER(MATCH(DATEVALUE($A172),'changes1_based on steps'!O$1:O$400,0)),O$2,)</f>
        <v>0</v>
      </c>
      <c r="P172" s="155">
        <f ca="1">IF(ISNUMBER(MATCH(DATEVALUE($A172),'changes1_based on steps'!P$1:P$400,0)),P$2,)</f>
        <v>0</v>
      </c>
      <c r="Q172" s="155">
        <f ca="1">IF(ISNUMBER(MATCH(DATEVALUE($A172),'changes1_based on steps'!Q$1:Q$400,0)),Q$2,)</f>
        <v>0</v>
      </c>
      <c r="R172" s="155">
        <f ca="1">IF(ISNUMBER(MATCH(DATEVALUE($A172),'changes1_based on steps'!R$1:R$400,0)),R$2,)</f>
        <v>0</v>
      </c>
      <c r="S172" s="155">
        <f ca="1">IF(ISNUMBER(MATCH(DATEVALUE($A172),'changes1_based on steps'!S$1:S$400,0)),S$2,)</f>
        <v>0</v>
      </c>
      <c r="T172" s="155">
        <f ca="1">IF(ISNUMBER(MATCH(DATEVALUE($A172),'changes1_based on steps'!T$1:T$400,0)),T$2,)</f>
        <v>0</v>
      </c>
      <c r="U172" s="155">
        <f ca="1">IF(ISNUMBER(MATCH(DATEVALUE($A172),'changes1_based on steps'!U$1:U$400,0)),U$2,)</f>
        <v>0</v>
      </c>
    </row>
    <row r="173" spans="1:21" x14ac:dyDescent="0.2">
      <c r="A173" s="18" t="str">
        <f t="shared" ca="1" si="2"/>
        <v>2025-07-21</v>
      </c>
      <c r="B173" s="155">
        <f ca="1">IF(ISNUMBER(MATCH(DATEVALUE($A173),'changes1_based on steps'!B$1:B$400,0)),B$2,)</f>
        <v>0</v>
      </c>
      <c r="C173" s="155">
        <f ca="1">IF(ISNUMBER(MATCH(DATEVALUE($A173),'changes1_based on steps'!C$1:C$400,0)),C$2,)</f>
        <v>0</v>
      </c>
      <c r="D173" s="155">
        <f ca="1">IF(ISNUMBER(MATCH(DATEVALUE($A173),'changes1_based on steps'!D$1:D$400,0)),D$2,)</f>
        <v>0</v>
      </c>
      <c r="E173" s="155">
        <f ca="1">IF(ISNUMBER(MATCH(DATEVALUE($A173),'changes1_based on steps'!E$1:E$400,0)),E$2,)</f>
        <v>0</v>
      </c>
      <c r="F173" s="155">
        <f ca="1">IF(ISNUMBER(MATCH(DATEVALUE($A173),'changes1_based on steps'!F$1:F$400,0)),F$2,)</f>
        <v>0</v>
      </c>
      <c r="G173" s="155">
        <f ca="1">IF(ISNUMBER(MATCH(DATEVALUE($A173),'changes1_based on steps'!G$1:G$400,0)),G$2,)</f>
        <v>0</v>
      </c>
      <c r="H173" s="155">
        <f ca="1">IF(ISNUMBER(MATCH(DATEVALUE($A173),'changes1_based on steps'!H$1:H$400,0)),H$2,)</f>
        <v>0</v>
      </c>
      <c r="I173" s="155">
        <f ca="1">IF(ISNUMBER(MATCH(DATEVALUE($A173),'changes1_based on steps'!I$1:I$400,0)),I$2,)</f>
        <v>0</v>
      </c>
      <c r="J173" s="155">
        <f ca="1">IF(ISNUMBER(MATCH(DATEVALUE($A173),'changes1_based on steps'!J$1:J$400,0)),J$2,)</f>
        <v>0</v>
      </c>
      <c r="K173" s="155">
        <f ca="1">IF(ISNUMBER(MATCH(DATEVALUE($A173),'changes1_based on steps'!K$1:K$400,0)),K$2,)</f>
        <v>0</v>
      </c>
      <c r="L173" s="155">
        <f ca="1">IF(ISNUMBER(MATCH(DATEVALUE($A173),'changes1_based on steps'!L$1:L$400,0)),L$2,)</f>
        <v>0</v>
      </c>
      <c r="M173" s="155">
        <f ca="1">IF(ISNUMBER(MATCH(DATEVALUE($A173),'changes1_based on steps'!M$1:M$400,0)),M$2,)</f>
        <v>0</v>
      </c>
      <c r="N173" s="155">
        <f ca="1">IF(ISNUMBER(MATCH(DATEVALUE($A173),'changes1_based on steps'!N$1:N$400,0)),N$2,)</f>
        <v>0</v>
      </c>
      <c r="O173" s="155">
        <f ca="1">IF(ISNUMBER(MATCH(DATEVALUE($A173),'changes1_based on steps'!O$1:O$400,0)),O$2,)</f>
        <v>0</v>
      </c>
      <c r="P173" s="155">
        <f ca="1">IF(ISNUMBER(MATCH(DATEVALUE($A173),'changes1_based on steps'!P$1:P$400,0)),P$2,)</f>
        <v>0</v>
      </c>
      <c r="Q173" s="155">
        <f ca="1">IF(ISNUMBER(MATCH(DATEVALUE($A173),'changes1_based on steps'!Q$1:Q$400,0)),Q$2,)</f>
        <v>0</v>
      </c>
      <c r="R173" s="155">
        <f ca="1">IF(ISNUMBER(MATCH(DATEVALUE($A173),'changes1_based on steps'!R$1:R$400,0)),R$2,)</f>
        <v>0</v>
      </c>
      <c r="S173" s="155">
        <f ca="1">IF(ISNUMBER(MATCH(DATEVALUE($A173),'changes1_based on steps'!S$1:S$400,0)),S$2,)</f>
        <v>0</v>
      </c>
      <c r="T173" s="155">
        <f ca="1">IF(ISNUMBER(MATCH(DATEVALUE($A173),'changes1_based on steps'!T$1:T$400,0)),T$2,)</f>
        <v>0</v>
      </c>
      <c r="U173" s="155">
        <f ca="1">IF(ISNUMBER(MATCH(DATEVALUE($A173),'changes1_based on steps'!U$1:U$400,0)),U$2,)</f>
        <v>0</v>
      </c>
    </row>
    <row r="174" spans="1:21" x14ac:dyDescent="0.2">
      <c r="A174" s="18" t="str">
        <f t="shared" ca="1" si="2"/>
        <v>2025-07-22</v>
      </c>
      <c r="B174" s="155">
        <f ca="1">IF(ISNUMBER(MATCH(DATEVALUE($A174),'changes1_based on steps'!B$1:B$400,0)),B$2,)</f>
        <v>0</v>
      </c>
      <c r="C174" s="155">
        <f ca="1">IF(ISNUMBER(MATCH(DATEVALUE($A174),'changes1_based on steps'!C$1:C$400,0)),C$2,)</f>
        <v>0</v>
      </c>
      <c r="D174" s="155">
        <f ca="1">IF(ISNUMBER(MATCH(DATEVALUE($A174),'changes1_based on steps'!D$1:D$400,0)),D$2,)</f>
        <v>0</v>
      </c>
      <c r="E174" s="155">
        <f ca="1">IF(ISNUMBER(MATCH(DATEVALUE($A174),'changes1_based on steps'!E$1:E$400,0)),E$2,)</f>
        <v>0</v>
      </c>
      <c r="F174" s="155">
        <f ca="1">IF(ISNUMBER(MATCH(DATEVALUE($A174),'changes1_based on steps'!F$1:F$400,0)),F$2,)</f>
        <v>0</v>
      </c>
      <c r="G174" s="155">
        <f ca="1">IF(ISNUMBER(MATCH(DATEVALUE($A174),'changes1_based on steps'!G$1:G$400,0)),G$2,)</f>
        <v>0</v>
      </c>
      <c r="H174" s="155">
        <f ca="1">IF(ISNUMBER(MATCH(DATEVALUE($A174),'changes1_based on steps'!H$1:H$400,0)),H$2,)</f>
        <v>0</v>
      </c>
      <c r="I174" s="155">
        <f ca="1">IF(ISNUMBER(MATCH(DATEVALUE($A174),'changes1_based on steps'!I$1:I$400,0)),I$2,)</f>
        <v>0</v>
      </c>
      <c r="J174" s="155">
        <f ca="1">IF(ISNUMBER(MATCH(DATEVALUE($A174),'changes1_based on steps'!J$1:J$400,0)),J$2,)</f>
        <v>0</v>
      </c>
      <c r="K174" s="155">
        <f ca="1">IF(ISNUMBER(MATCH(DATEVALUE($A174),'changes1_based on steps'!K$1:K$400,0)),K$2,)</f>
        <v>0</v>
      </c>
      <c r="L174" s="155">
        <f ca="1">IF(ISNUMBER(MATCH(DATEVALUE($A174),'changes1_based on steps'!L$1:L$400,0)),L$2,)</f>
        <v>0</v>
      </c>
      <c r="M174" s="155">
        <f ca="1">IF(ISNUMBER(MATCH(DATEVALUE($A174),'changes1_based on steps'!M$1:M$400,0)),M$2,)</f>
        <v>0</v>
      </c>
      <c r="N174" s="155">
        <f ca="1">IF(ISNUMBER(MATCH(DATEVALUE($A174),'changes1_based on steps'!N$1:N$400,0)),N$2,)</f>
        <v>0</v>
      </c>
      <c r="O174" s="155">
        <f ca="1">IF(ISNUMBER(MATCH(DATEVALUE($A174),'changes1_based on steps'!O$1:O$400,0)),O$2,)</f>
        <v>0</v>
      </c>
      <c r="P174" s="155">
        <f ca="1">IF(ISNUMBER(MATCH(DATEVALUE($A174),'changes1_based on steps'!P$1:P$400,0)),P$2,)</f>
        <v>0</v>
      </c>
      <c r="Q174" s="155">
        <f ca="1">IF(ISNUMBER(MATCH(DATEVALUE($A174),'changes1_based on steps'!Q$1:Q$400,0)),Q$2,)</f>
        <v>0</v>
      </c>
      <c r="R174" s="155">
        <f ca="1">IF(ISNUMBER(MATCH(DATEVALUE($A174),'changes1_based on steps'!R$1:R$400,0)),R$2,)</f>
        <v>0</v>
      </c>
      <c r="S174" s="155">
        <f ca="1">IF(ISNUMBER(MATCH(DATEVALUE($A174),'changes1_based on steps'!S$1:S$400,0)),S$2,)</f>
        <v>0</v>
      </c>
      <c r="T174" s="155">
        <f ca="1">IF(ISNUMBER(MATCH(DATEVALUE($A174),'changes1_based on steps'!T$1:T$400,0)),T$2,)</f>
        <v>0</v>
      </c>
      <c r="U174" s="155">
        <f ca="1">IF(ISNUMBER(MATCH(DATEVALUE($A174),'changes1_based on steps'!U$1:U$400,0)),U$2,)</f>
        <v>0</v>
      </c>
    </row>
    <row r="175" spans="1:21" x14ac:dyDescent="0.2">
      <c r="A175" s="18" t="str">
        <f t="shared" ca="1" si="2"/>
        <v>2025-07-23</v>
      </c>
      <c r="B175" s="155">
        <f ca="1">IF(ISNUMBER(MATCH(DATEVALUE($A175),'changes1_based on steps'!B$1:B$400,0)),B$2,)</f>
        <v>0</v>
      </c>
      <c r="C175" s="155">
        <f ca="1">IF(ISNUMBER(MATCH(DATEVALUE($A175),'changes1_based on steps'!C$1:C$400,0)),C$2,)</f>
        <v>0</v>
      </c>
      <c r="D175" s="155">
        <f ca="1">IF(ISNUMBER(MATCH(DATEVALUE($A175),'changes1_based on steps'!D$1:D$400,0)),D$2,)</f>
        <v>0</v>
      </c>
      <c r="E175" s="155">
        <f ca="1">IF(ISNUMBER(MATCH(DATEVALUE($A175),'changes1_based on steps'!E$1:E$400,0)),E$2,)</f>
        <v>0</v>
      </c>
      <c r="F175" s="155">
        <f ca="1">IF(ISNUMBER(MATCH(DATEVALUE($A175),'changes1_based on steps'!F$1:F$400,0)),F$2,)</f>
        <v>0</v>
      </c>
      <c r="G175" s="155">
        <f ca="1">IF(ISNUMBER(MATCH(DATEVALUE($A175),'changes1_based on steps'!G$1:G$400,0)),G$2,)</f>
        <v>0</v>
      </c>
      <c r="H175" s="155">
        <f ca="1">IF(ISNUMBER(MATCH(DATEVALUE($A175),'changes1_based on steps'!H$1:H$400,0)),H$2,)</f>
        <v>0</v>
      </c>
      <c r="I175" s="155">
        <f ca="1">IF(ISNUMBER(MATCH(DATEVALUE($A175),'changes1_based on steps'!I$1:I$400,0)),I$2,)</f>
        <v>0</v>
      </c>
      <c r="J175" s="155">
        <f ca="1">IF(ISNUMBER(MATCH(DATEVALUE($A175),'changes1_based on steps'!J$1:J$400,0)),J$2,)</f>
        <v>0</v>
      </c>
      <c r="K175" s="155">
        <f ca="1">IF(ISNUMBER(MATCH(DATEVALUE($A175),'changes1_based on steps'!K$1:K$400,0)),K$2,)</f>
        <v>0</v>
      </c>
      <c r="L175" s="155">
        <f ca="1">IF(ISNUMBER(MATCH(DATEVALUE($A175),'changes1_based on steps'!L$1:L$400,0)),L$2,)</f>
        <v>0</v>
      </c>
      <c r="M175" s="155">
        <f ca="1">IF(ISNUMBER(MATCH(DATEVALUE($A175),'changes1_based on steps'!M$1:M$400,0)),M$2,)</f>
        <v>0</v>
      </c>
      <c r="N175" s="155">
        <f ca="1">IF(ISNUMBER(MATCH(DATEVALUE($A175),'changes1_based on steps'!N$1:N$400,0)),N$2,)</f>
        <v>0</v>
      </c>
      <c r="O175" s="155">
        <f ca="1">IF(ISNUMBER(MATCH(DATEVALUE($A175),'changes1_based on steps'!O$1:O$400,0)),O$2,)</f>
        <v>0</v>
      </c>
      <c r="P175" s="155">
        <f ca="1">IF(ISNUMBER(MATCH(DATEVALUE($A175),'changes1_based on steps'!P$1:P$400,0)),P$2,)</f>
        <v>0</v>
      </c>
      <c r="Q175" s="155">
        <f ca="1">IF(ISNUMBER(MATCH(DATEVALUE($A175),'changes1_based on steps'!Q$1:Q$400,0)),Q$2,)</f>
        <v>0</v>
      </c>
      <c r="R175" s="155">
        <f ca="1">IF(ISNUMBER(MATCH(DATEVALUE($A175),'changes1_based on steps'!R$1:R$400,0)),R$2,)</f>
        <v>0</v>
      </c>
      <c r="S175" s="155">
        <f ca="1">IF(ISNUMBER(MATCH(DATEVALUE($A175),'changes1_based on steps'!S$1:S$400,0)),S$2,)</f>
        <v>0</v>
      </c>
      <c r="T175" s="155">
        <f ca="1">IF(ISNUMBER(MATCH(DATEVALUE($A175),'changes1_based on steps'!T$1:T$400,0)),T$2,)</f>
        <v>0</v>
      </c>
      <c r="U175" s="155">
        <f ca="1">IF(ISNUMBER(MATCH(DATEVALUE($A175),'changes1_based on steps'!U$1:U$400,0)),U$2,)</f>
        <v>0</v>
      </c>
    </row>
    <row r="176" spans="1:21" x14ac:dyDescent="0.2">
      <c r="A176" s="18" t="str">
        <f t="shared" ca="1" si="2"/>
        <v>2025-07-24</v>
      </c>
      <c r="B176" s="155">
        <f ca="1">IF(ISNUMBER(MATCH(DATEVALUE($A176),'changes1_based on steps'!B$1:B$400,0)),B$2,)</f>
        <v>0</v>
      </c>
      <c r="C176" s="155">
        <f ca="1">IF(ISNUMBER(MATCH(DATEVALUE($A176),'changes1_based on steps'!C$1:C$400,0)),C$2,)</f>
        <v>0</v>
      </c>
      <c r="D176" s="155">
        <f ca="1">IF(ISNUMBER(MATCH(DATEVALUE($A176),'changes1_based on steps'!D$1:D$400,0)),D$2,)</f>
        <v>0</v>
      </c>
      <c r="E176" s="155">
        <f ca="1">IF(ISNUMBER(MATCH(DATEVALUE($A176),'changes1_based on steps'!E$1:E$400,0)),E$2,)</f>
        <v>0</v>
      </c>
      <c r="F176" s="155">
        <f ca="1">IF(ISNUMBER(MATCH(DATEVALUE($A176),'changes1_based on steps'!F$1:F$400,0)),F$2,)</f>
        <v>0</v>
      </c>
      <c r="G176" s="155">
        <f ca="1">IF(ISNUMBER(MATCH(DATEVALUE($A176),'changes1_based on steps'!G$1:G$400,0)),G$2,)</f>
        <v>0</v>
      </c>
      <c r="H176" s="155">
        <f ca="1">IF(ISNUMBER(MATCH(DATEVALUE($A176),'changes1_based on steps'!H$1:H$400,0)),H$2,)</f>
        <v>0</v>
      </c>
      <c r="I176" s="155">
        <f ca="1">IF(ISNUMBER(MATCH(DATEVALUE($A176),'changes1_based on steps'!I$1:I$400,0)),I$2,)</f>
        <v>0</v>
      </c>
      <c r="J176" s="155">
        <f ca="1">IF(ISNUMBER(MATCH(DATEVALUE($A176),'changes1_based on steps'!J$1:J$400,0)),J$2,)</f>
        <v>0</v>
      </c>
      <c r="K176" s="155">
        <f ca="1">IF(ISNUMBER(MATCH(DATEVALUE($A176),'changes1_based on steps'!K$1:K$400,0)),K$2,)</f>
        <v>0</v>
      </c>
      <c r="L176" s="155">
        <f ca="1">IF(ISNUMBER(MATCH(DATEVALUE($A176),'changes1_based on steps'!L$1:L$400,0)),L$2,)</f>
        <v>0</v>
      </c>
      <c r="M176" s="155">
        <f ca="1">IF(ISNUMBER(MATCH(DATEVALUE($A176),'changes1_based on steps'!M$1:M$400,0)),M$2,)</f>
        <v>0</v>
      </c>
      <c r="N176" s="155">
        <f ca="1">IF(ISNUMBER(MATCH(DATEVALUE($A176),'changes1_based on steps'!N$1:N$400,0)),N$2,)</f>
        <v>0</v>
      </c>
      <c r="O176" s="155">
        <f ca="1">IF(ISNUMBER(MATCH(DATEVALUE($A176),'changes1_based on steps'!O$1:O$400,0)),O$2,)</f>
        <v>0</v>
      </c>
      <c r="P176" s="155">
        <f ca="1">IF(ISNUMBER(MATCH(DATEVALUE($A176),'changes1_based on steps'!P$1:P$400,0)),P$2,)</f>
        <v>0</v>
      </c>
      <c r="Q176" s="155">
        <f ca="1">IF(ISNUMBER(MATCH(DATEVALUE($A176),'changes1_based on steps'!Q$1:Q$400,0)),Q$2,)</f>
        <v>0</v>
      </c>
      <c r="R176" s="155">
        <f ca="1">IF(ISNUMBER(MATCH(DATEVALUE($A176),'changes1_based on steps'!R$1:R$400,0)),R$2,)</f>
        <v>0</v>
      </c>
      <c r="S176" s="155">
        <f ca="1">IF(ISNUMBER(MATCH(DATEVALUE($A176),'changes1_based on steps'!S$1:S$400,0)),S$2,)</f>
        <v>0</v>
      </c>
      <c r="T176" s="155">
        <f ca="1">IF(ISNUMBER(MATCH(DATEVALUE($A176),'changes1_based on steps'!T$1:T$400,0)),T$2,)</f>
        <v>0</v>
      </c>
      <c r="U176" s="155">
        <f ca="1">IF(ISNUMBER(MATCH(DATEVALUE($A176),'changes1_based on steps'!U$1:U$400,0)),U$2,)</f>
        <v>0</v>
      </c>
    </row>
    <row r="177" spans="1:21" x14ac:dyDescent="0.2">
      <c r="A177" s="18" t="str">
        <f t="shared" ca="1" si="2"/>
        <v>2025-07-25</v>
      </c>
      <c r="B177" s="155">
        <f ca="1">IF(ISNUMBER(MATCH(DATEVALUE($A177),'changes1_based on steps'!B$1:B$400,0)),B$2,)</f>
        <v>0</v>
      </c>
      <c r="C177" s="155">
        <f ca="1">IF(ISNUMBER(MATCH(DATEVALUE($A177),'changes1_based on steps'!C$1:C$400,0)),C$2,)</f>
        <v>0</v>
      </c>
      <c r="D177" s="155">
        <f ca="1">IF(ISNUMBER(MATCH(DATEVALUE($A177),'changes1_based on steps'!D$1:D$400,0)),D$2,)</f>
        <v>0</v>
      </c>
      <c r="E177" s="155">
        <f ca="1">IF(ISNUMBER(MATCH(DATEVALUE($A177),'changes1_based on steps'!E$1:E$400,0)),E$2,)</f>
        <v>0</v>
      </c>
      <c r="F177" s="155">
        <f ca="1">IF(ISNUMBER(MATCH(DATEVALUE($A177),'changes1_based on steps'!F$1:F$400,0)),F$2,)</f>
        <v>0</v>
      </c>
      <c r="G177" s="155">
        <f ca="1">IF(ISNUMBER(MATCH(DATEVALUE($A177),'changes1_based on steps'!G$1:G$400,0)),G$2,)</f>
        <v>0</v>
      </c>
      <c r="H177" s="155">
        <f ca="1">IF(ISNUMBER(MATCH(DATEVALUE($A177),'changes1_based on steps'!H$1:H$400,0)),H$2,)</f>
        <v>0</v>
      </c>
      <c r="I177" s="155">
        <f ca="1">IF(ISNUMBER(MATCH(DATEVALUE($A177),'changes1_based on steps'!I$1:I$400,0)),I$2,)</f>
        <v>0</v>
      </c>
      <c r="J177" s="155">
        <f ca="1">IF(ISNUMBER(MATCH(DATEVALUE($A177),'changes1_based on steps'!J$1:J$400,0)),J$2,)</f>
        <v>0</v>
      </c>
      <c r="K177" s="155">
        <f ca="1">IF(ISNUMBER(MATCH(DATEVALUE($A177),'changes1_based on steps'!K$1:K$400,0)),K$2,)</f>
        <v>0</v>
      </c>
      <c r="L177" s="155">
        <f ca="1">IF(ISNUMBER(MATCH(DATEVALUE($A177),'changes1_based on steps'!L$1:L$400,0)),L$2,)</f>
        <v>0</v>
      </c>
      <c r="M177" s="155">
        <f ca="1">IF(ISNUMBER(MATCH(DATEVALUE($A177),'changes1_based on steps'!M$1:M$400,0)),M$2,)</f>
        <v>0</v>
      </c>
      <c r="N177" s="155">
        <f ca="1">IF(ISNUMBER(MATCH(DATEVALUE($A177),'changes1_based on steps'!N$1:N$400,0)),N$2,)</f>
        <v>0</v>
      </c>
      <c r="O177" s="155">
        <f ca="1">IF(ISNUMBER(MATCH(DATEVALUE($A177),'changes1_based on steps'!O$1:O$400,0)),O$2,)</f>
        <v>0</v>
      </c>
      <c r="P177" s="155">
        <f ca="1">IF(ISNUMBER(MATCH(DATEVALUE($A177),'changes1_based on steps'!P$1:P$400,0)),P$2,)</f>
        <v>0</v>
      </c>
      <c r="Q177" s="155">
        <f ca="1">IF(ISNUMBER(MATCH(DATEVALUE($A177),'changes1_based on steps'!Q$1:Q$400,0)),Q$2,)</f>
        <v>0</v>
      </c>
      <c r="R177" s="155">
        <f ca="1">IF(ISNUMBER(MATCH(DATEVALUE($A177),'changes1_based on steps'!R$1:R$400,0)),R$2,)</f>
        <v>0</v>
      </c>
      <c r="S177" s="155">
        <f ca="1">IF(ISNUMBER(MATCH(DATEVALUE($A177),'changes1_based on steps'!S$1:S$400,0)),S$2,)</f>
        <v>0</v>
      </c>
      <c r="T177" s="155">
        <f ca="1">IF(ISNUMBER(MATCH(DATEVALUE($A177),'changes1_based on steps'!T$1:T$400,0)),T$2,)</f>
        <v>0</v>
      </c>
      <c r="U177" s="155">
        <f ca="1">IF(ISNUMBER(MATCH(DATEVALUE($A177),'changes1_based on steps'!U$1:U$400,0)),U$2,)</f>
        <v>0</v>
      </c>
    </row>
    <row r="178" spans="1:21" x14ac:dyDescent="0.2">
      <c r="A178" s="18" t="str">
        <f t="shared" ca="1" si="2"/>
        <v>2025-07-26</v>
      </c>
      <c r="B178" s="155">
        <f ca="1">IF(ISNUMBER(MATCH(DATEVALUE($A178),'changes1_based on steps'!B$1:B$400,0)),B$2,)</f>
        <v>0</v>
      </c>
      <c r="C178" s="155">
        <f ca="1">IF(ISNUMBER(MATCH(DATEVALUE($A178),'changes1_based on steps'!C$1:C$400,0)),C$2,)</f>
        <v>0</v>
      </c>
      <c r="D178" s="155">
        <f ca="1">IF(ISNUMBER(MATCH(DATEVALUE($A178),'changes1_based on steps'!D$1:D$400,0)),D$2,)</f>
        <v>0</v>
      </c>
      <c r="E178" s="155">
        <f ca="1">IF(ISNUMBER(MATCH(DATEVALUE($A178),'changes1_based on steps'!E$1:E$400,0)),E$2,)</f>
        <v>0</v>
      </c>
      <c r="F178" s="155">
        <f ca="1">IF(ISNUMBER(MATCH(DATEVALUE($A178),'changes1_based on steps'!F$1:F$400,0)),F$2,)</f>
        <v>0</v>
      </c>
      <c r="G178" s="155">
        <f ca="1">IF(ISNUMBER(MATCH(DATEVALUE($A178),'changes1_based on steps'!G$1:G$400,0)),G$2,)</f>
        <v>0</v>
      </c>
      <c r="H178" s="155">
        <f ca="1">IF(ISNUMBER(MATCH(DATEVALUE($A178),'changes1_based on steps'!H$1:H$400,0)),H$2,)</f>
        <v>0</v>
      </c>
      <c r="I178" s="155">
        <f ca="1">IF(ISNUMBER(MATCH(DATEVALUE($A178),'changes1_based on steps'!I$1:I$400,0)),I$2,)</f>
        <v>0</v>
      </c>
      <c r="J178" s="155">
        <f ca="1">IF(ISNUMBER(MATCH(DATEVALUE($A178),'changes1_based on steps'!J$1:J$400,0)),J$2,)</f>
        <v>0</v>
      </c>
      <c r="K178" s="155">
        <f ca="1">IF(ISNUMBER(MATCH(DATEVALUE($A178),'changes1_based on steps'!K$1:K$400,0)),K$2,)</f>
        <v>0</v>
      </c>
      <c r="L178" s="155">
        <f ca="1">IF(ISNUMBER(MATCH(DATEVALUE($A178),'changes1_based on steps'!L$1:L$400,0)),L$2,)</f>
        <v>0</v>
      </c>
      <c r="M178" s="155">
        <f ca="1">IF(ISNUMBER(MATCH(DATEVALUE($A178),'changes1_based on steps'!M$1:M$400,0)),M$2,)</f>
        <v>0</v>
      </c>
      <c r="N178" s="155">
        <f ca="1">IF(ISNUMBER(MATCH(DATEVALUE($A178),'changes1_based on steps'!N$1:N$400,0)),N$2,)</f>
        <v>0</v>
      </c>
      <c r="O178" s="155">
        <f ca="1">IF(ISNUMBER(MATCH(DATEVALUE($A178),'changes1_based on steps'!O$1:O$400,0)),O$2,)</f>
        <v>0</v>
      </c>
      <c r="P178" s="155">
        <f ca="1">IF(ISNUMBER(MATCH(DATEVALUE($A178),'changes1_based on steps'!P$1:P$400,0)),P$2,)</f>
        <v>0</v>
      </c>
      <c r="Q178" s="155">
        <f ca="1">IF(ISNUMBER(MATCH(DATEVALUE($A178),'changes1_based on steps'!Q$1:Q$400,0)),Q$2,)</f>
        <v>0</v>
      </c>
      <c r="R178" s="155">
        <f ca="1">IF(ISNUMBER(MATCH(DATEVALUE($A178),'changes1_based on steps'!R$1:R$400,0)),R$2,)</f>
        <v>0</v>
      </c>
      <c r="S178" s="155">
        <f ca="1">IF(ISNUMBER(MATCH(DATEVALUE($A178),'changes1_based on steps'!S$1:S$400,0)),S$2,)</f>
        <v>0</v>
      </c>
      <c r="T178" s="155">
        <f ca="1">IF(ISNUMBER(MATCH(DATEVALUE($A178),'changes1_based on steps'!T$1:T$400,0)),T$2,)</f>
        <v>0</v>
      </c>
      <c r="U178" s="155">
        <f ca="1">IF(ISNUMBER(MATCH(DATEVALUE($A178),'changes1_based on steps'!U$1:U$400,0)),U$2,)</f>
        <v>0</v>
      </c>
    </row>
    <row r="179" spans="1:21" x14ac:dyDescent="0.2">
      <c r="A179" s="18" t="str">
        <f t="shared" ca="1" si="2"/>
        <v>2025-07-27</v>
      </c>
      <c r="B179" s="155">
        <f ca="1">IF(ISNUMBER(MATCH(DATEVALUE($A179),'changes1_based on steps'!B$1:B$400,0)),B$2,)</f>
        <v>0</v>
      </c>
      <c r="C179" s="155">
        <f ca="1">IF(ISNUMBER(MATCH(DATEVALUE($A179),'changes1_based on steps'!C$1:C$400,0)),C$2,)</f>
        <v>0</v>
      </c>
      <c r="D179" s="155">
        <f ca="1">IF(ISNUMBER(MATCH(DATEVALUE($A179),'changes1_based on steps'!D$1:D$400,0)),D$2,)</f>
        <v>0</v>
      </c>
      <c r="E179" s="155">
        <f ca="1">IF(ISNUMBER(MATCH(DATEVALUE($A179),'changes1_based on steps'!E$1:E$400,0)),E$2,)</f>
        <v>0</v>
      </c>
      <c r="F179" s="155">
        <f ca="1">IF(ISNUMBER(MATCH(DATEVALUE($A179),'changes1_based on steps'!F$1:F$400,0)),F$2,)</f>
        <v>0</v>
      </c>
      <c r="G179" s="155">
        <f ca="1">IF(ISNUMBER(MATCH(DATEVALUE($A179),'changes1_based on steps'!G$1:G$400,0)),G$2,)</f>
        <v>0</v>
      </c>
      <c r="H179" s="155">
        <f ca="1">IF(ISNUMBER(MATCH(DATEVALUE($A179),'changes1_based on steps'!H$1:H$400,0)),H$2,)</f>
        <v>0</v>
      </c>
      <c r="I179" s="155">
        <f ca="1">IF(ISNUMBER(MATCH(DATEVALUE($A179),'changes1_based on steps'!I$1:I$400,0)),I$2,)</f>
        <v>0</v>
      </c>
      <c r="J179" s="155">
        <f ca="1">IF(ISNUMBER(MATCH(DATEVALUE($A179),'changes1_based on steps'!J$1:J$400,0)),J$2,)</f>
        <v>0</v>
      </c>
      <c r="K179" s="155">
        <f ca="1">IF(ISNUMBER(MATCH(DATEVALUE($A179),'changes1_based on steps'!K$1:K$400,0)),K$2,)</f>
        <v>0</v>
      </c>
      <c r="L179" s="155">
        <f ca="1">IF(ISNUMBER(MATCH(DATEVALUE($A179),'changes1_based on steps'!L$1:L$400,0)),L$2,)</f>
        <v>0</v>
      </c>
      <c r="M179" s="155">
        <f ca="1">IF(ISNUMBER(MATCH(DATEVALUE($A179),'changes1_based on steps'!M$1:M$400,0)),M$2,)</f>
        <v>0</v>
      </c>
      <c r="N179" s="155">
        <f ca="1">IF(ISNUMBER(MATCH(DATEVALUE($A179),'changes1_based on steps'!N$1:N$400,0)),N$2,)</f>
        <v>0</v>
      </c>
      <c r="O179" s="155">
        <f ca="1">IF(ISNUMBER(MATCH(DATEVALUE($A179),'changes1_based on steps'!O$1:O$400,0)),O$2,)</f>
        <v>0</v>
      </c>
      <c r="P179" s="155">
        <f ca="1">IF(ISNUMBER(MATCH(DATEVALUE($A179),'changes1_based on steps'!P$1:P$400,0)),P$2,)</f>
        <v>0</v>
      </c>
      <c r="Q179" s="155">
        <f ca="1">IF(ISNUMBER(MATCH(DATEVALUE($A179),'changes1_based on steps'!Q$1:Q$400,0)),Q$2,)</f>
        <v>0</v>
      </c>
      <c r="R179" s="155">
        <f ca="1">IF(ISNUMBER(MATCH(DATEVALUE($A179),'changes1_based on steps'!R$1:R$400,0)),R$2,)</f>
        <v>0</v>
      </c>
      <c r="S179" s="155">
        <f ca="1">IF(ISNUMBER(MATCH(DATEVALUE($A179),'changes1_based on steps'!S$1:S$400,0)),S$2,)</f>
        <v>0</v>
      </c>
      <c r="T179" s="155">
        <f ca="1">IF(ISNUMBER(MATCH(DATEVALUE($A179),'changes1_based on steps'!T$1:T$400,0)),T$2,)</f>
        <v>0</v>
      </c>
      <c r="U179" s="155">
        <f ca="1">IF(ISNUMBER(MATCH(DATEVALUE($A179),'changes1_based on steps'!U$1:U$400,0)),U$2,)</f>
        <v>0</v>
      </c>
    </row>
    <row r="180" spans="1:21" x14ac:dyDescent="0.2">
      <c r="A180" s="18" t="str">
        <f t="shared" ca="1" si="2"/>
        <v>2025-07-28</v>
      </c>
      <c r="B180" s="155">
        <f ca="1">IF(ISNUMBER(MATCH(DATEVALUE($A180),'changes1_based on steps'!B$1:B$400,0)),B$2,)</f>
        <v>0</v>
      </c>
      <c r="C180" s="155">
        <f ca="1">IF(ISNUMBER(MATCH(DATEVALUE($A180),'changes1_based on steps'!C$1:C$400,0)),C$2,)</f>
        <v>0</v>
      </c>
      <c r="D180" s="155">
        <f ca="1">IF(ISNUMBER(MATCH(DATEVALUE($A180),'changes1_based on steps'!D$1:D$400,0)),D$2,)</f>
        <v>0</v>
      </c>
      <c r="E180" s="155">
        <f ca="1">IF(ISNUMBER(MATCH(DATEVALUE($A180),'changes1_based on steps'!E$1:E$400,0)),E$2,)</f>
        <v>0</v>
      </c>
      <c r="F180" s="155">
        <f ca="1">IF(ISNUMBER(MATCH(DATEVALUE($A180),'changes1_based on steps'!F$1:F$400,0)),F$2,)</f>
        <v>0</v>
      </c>
      <c r="G180" s="155">
        <f ca="1">IF(ISNUMBER(MATCH(DATEVALUE($A180),'changes1_based on steps'!G$1:G$400,0)),G$2,)</f>
        <v>0</v>
      </c>
      <c r="H180" s="155">
        <f ca="1">IF(ISNUMBER(MATCH(DATEVALUE($A180),'changes1_based on steps'!H$1:H$400,0)),H$2,)</f>
        <v>0</v>
      </c>
      <c r="I180" s="155">
        <f ca="1">IF(ISNUMBER(MATCH(DATEVALUE($A180),'changes1_based on steps'!I$1:I$400,0)),I$2,)</f>
        <v>0</v>
      </c>
      <c r="J180" s="155">
        <f ca="1">IF(ISNUMBER(MATCH(DATEVALUE($A180),'changes1_based on steps'!J$1:J$400,0)),J$2,)</f>
        <v>0</v>
      </c>
      <c r="K180" s="155">
        <f ca="1">IF(ISNUMBER(MATCH(DATEVALUE($A180),'changes1_based on steps'!K$1:K$400,0)),K$2,)</f>
        <v>0</v>
      </c>
      <c r="L180" s="155">
        <f ca="1">IF(ISNUMBER(MATCH(DATEVALUE($A180),'changes1_based on steps'!L$1:L$400,0)),L$2,)</f>
        <v>0</v>
      </c>
      <c r="M180" s="155">
        <f ca="1">IF(ISNUMBER(MATCH(DATEVALUE($A180),'changes1_based on steps'!M$1:M$400,0)),M$2,)</f>
        <v>0</v>
      </c>
      <c r="N180" s="155">
        <f ca="1">IF(ISNUMBER(MATCH(DATEVALUE($A180),'changes1_based on steps'!N$1:N$400,0)),N$2,)</f>
        <v>0</v>
      </c>
      <c r="O180" s="155">
        <f ca="1">IF(ISNUMBER(MATCH(DATEVALUE($A180),'changes1_based on steps'!O$1:O$400,0)),O$2,)</f>
        <v>0</v>
      </c>
      <c r="P180" s="155">
        <f ca="1">IF(ISNUMBER(MATCH(DATEVALUE($A180),'changes1_based on steps'!P$1:P$400,0)),P$2,)</f>
        <v>0</v>
      </c>
      <c r="Q180" s="155">
        <f ca="1">IF(ISNUMBER(MATCH(DATEVALUE($A180),'changes1_based on steps'!Q$1:Q$400,0)),Q$2,)</f>
        <v>0</v>
      </c>
      <c r="R180" s="155">
        <f ca="1">IF(ISNUMBER(MATCH(DATEVALUE($A180),'changes1_based on steps'!R$1:R$400,0)),R$2,)</f>
        <v>0</v>
      </c>
      <c r="S180" s="155">
        <f ca="1">IF(ISNUMBER(MATCH(DATEVALUE($A180),'changes1_based on steps'!S$1:S$400,0)),S$2,)</f>
        <v>0</v>
      </c>
      <c r="T180" s="155">
        <f ca="1">IF(ISNUMBER(MATCH(DATEVALUE($A180),'changes1_based on steps'!T$1:T$400,0)),T$2,)</f>
        <v>0</v>
      </c>
      <c r="U180" s="155">
        <f ca="1">IF(ISNUMBER(MATCH(DATEVALUE($A180),'changes1_based on steps'!U$1:U$400,0)),U$2,)</f>
        <v>0</v>
      </c>
    </row>
    <row r="181" spans="1:21" x14ac:dyDescent="0.2">
      <c r="A181" s="18" t="str">
        <f t="shared" ca="1" si="2"/>
        <v>2025-07-29</v>
      </c>
      <c r="B181" s="155">
        <f ca="1">IF(ISNUMBER(MATCH(DATEVALUE($A181),'changes1_based on steps'!B$1:B$400,0)),B$2,)</f>
        <v>0</v>
      </c>
      <c r="C181" s="155">
        <f ca="1">IF(ISNUMBER(MATCH(DATEVALUE($A181),'changes1_based on steps'!C$1:C$400,0)),C$2,)</f>
        <v>0</v>
      </c>
      <c r="D181" s="155">
        <f ca="1">IF(ISNUMBER(MATCH(DATEVALUE($A181),'changes1_based on steps'!D$1:D$400,0)),D$2,)</f>
        <v>0</v>
      </c>
      <c r="E181" s="155">
        <f ca="1">IF(ISNUMBER(MATCH(DATEVALUE($A181),'changes1_based on steps'!E$1:E$400,0)),E$2,)</f>
        <v>0</v>
      </c>
      <c r="F181" s="155">
        <f ca="1">IF(ISNUMBER(MATCH(DATEVALUE($A181),'changes1_based on steps'!F$1:F$400,0)),F$2,)</f>
        <v>0</v>
      </c>
      <c r="G181" s="155">
        <f ca="1">IF(ISNUMBER(MATCH(DATEVALUE($A181),'changes1_based on steps'!G$1:G$400,0)),G$2,)</f>
        <v>0</v>
      </c>
      <c r="H181" s="155">
        <f ca="1">IF(ISNUMBER(MATCH(DATEVALUE($A181),'changes1_based on steps'!H$1:H$400,0)),H$2,)</f>
        <v>0</v>
      </c>
      <c r="I181" s="155">
        <f ca="1">IF(ISNUMBER(MATCH(DATEVALUE($A181),'changes1_based on steps'!I$1:I$400,0)),I$2,)</f>
        <v>0</v>
      </c>
      <c r="J181" s="155">
        <f ca="1">IF(ISNUMBER(MATCH(DATEVALUE($A181),'changes1_based on steps'!J$1:J$400,0)),J$2,)</f>
        <v>0</v>
      </c>
      <c r="K181" s="155">
        <f ca="1">IF(ISNUMBER(MATCH(DATEVALUE($A181),'changes1_based on steps'!K$1:K$400,0)),K$2,)</f>
        <v>0</v>
      </c>
      <c r="L181" s="155">
        <f ca="1">IF(ISNUMBER(MATCH(DATEVALUE($A181),'changes1_based on steps'!L$1:L$400,0)),L$2,)</f>
        <v>0</v>
      </c>
      <c r="M181" s="155">
        <f ca="1">IF(ISNUMBER(MATCH(DATEVALUE($A181),'changes1_based on steps'!M$1:M$400,0)),M$2,)</f>
        <v>0</v>
      </c>
      <c r="N181" s="155">
        <f ca="1">IF(ISNUMBER(MATCH(DATEVALUE($A181),'changes1_based on steps'!N$1:N$400,0)),N$2,)</f>
        <v>0</v>
      </c>
      <c r="O181" s="155">
        <f ca="1">IF(ISNUMBER(MATCH(DATEVALUE($A181),'changes1_based on steps'!O$1:O$400,0)),O$2,)</f>
        <v>0</v>
      </c>
      <c r="P181" s="155">
        <f ca="1">IF(ISNUMBER(MATCH(DATEVALUE($A181),'changes1_based on steps'!P$1:P$400,0)),P$2,)</f>
        <v>0</v>
      </c>
      <c r="Q181" s="155">
        <f ca="1">IF(ISNUMBER(MATCH(DATEVALUE($A181),'changes1_based on steps'!Q$1:Q$400,0)),Q$2,)</f>
        <v>0</v>
      </c>
      <c r="R181" s="155">
        <f ca="1">IF(ISNUMBER(MATCH(DATEVALUE($A181),'changes1_based on steps'!R$1:R$400,0)),R$2,)</f>
        <v>0</v>
      </c>
      <c r="S181" s="155">
        <f ca="1">IF(ISNUMBER(MATCH(DATEVALUE($A181),'changes1_based on steps'!S$1:S$400,0)),S$2,)</f>
        <v>0</v>
      </c>
      <c r="T181" s="155">
        <f ca="1">IF(ISNUMBER(MATCH(DATEVALUE($A181),'changes1_based on steps'!T$1:T$400,0)),T$2,)</f>
        <v>0</v>
      </c>
      <c r="U181" s="155">
        <f ca="1">IF(ISNUMBER(MATCH(DATEVALUE($A181),'changes1_based on steps'!U$1:U$400,0)),U$2,)</f>
        <v>0</v>
      </c>
    </row>
    <row r="182" spans="1:21" x14ac:dyDescent="0.2">
      <c r="A182" s="18" t="str">
        <f t="shared" ca="1" si="2"/>
        <v>2025-07-30</v>
      </c>
      <c r="B182" s="155">
        <f ca="1">IF(ISNUMBER(MATCH(DATEVALUE($A182),'changes1_based on steps'!B$1:B$400,0)),B$2,)</f>
        <v>100</v>
      </c>
      <c r="C182" s="155">
        <f ca="1">IF(ISNUMBER(MATCH(DATEVALUE($A182),'changes1_based on steps'!C$1:C$400,0)),C$2,)</f>
        <v>0</v>
      </c>
      <c r="D182" s="155">
        <f ca="1">IF(ISNUMBER(MATCH(DATEVALUE($A182),'changes1_based on steps'!D$1:D$400,0)),D$2,)</f>
        <v>0</v>
      </c>
      <c r="E182" s="155">
        <f ca="1">IF(ISNUMBER(MATCH(DATEVALUE($A182),'changes1_based on steps'!E$1:E$400,0)),E$2,)</f>
        <v>0</v>
      </c>
      <c r="F182" s="155">
        <f ca="1">IF(ISNUMBER(MATCH(DATEVALUE($A182),'changes1_based on steps'!F$1:F$400,0)),F$2,)</f>
        <v>0</v>
      </c>
      <c r="G182" s="155">
        <f ca="1">IF(ISNUMBER(MATCH(DATEVALUE($A182),'changes1_based on steps'!G$1:G$400,0)),G$2,)</f>
        <v>0</v>
      </c>
      <c r="H182" s="155">
        <f ca="1">IF(ISNUMBER(MATCH(DATEVALUE($A182),'changes1_based on steps'!H$1:H$400,0)),H$2,)</f>
        <v>0</v>
      </c>
      <c r="I182" s="155">
        <f ca="1">IF(ISNUMBER(MATCH(DATEVALUE($A182),'changes1_based on steps'!I$1:I$400,0)),I$2,)</f>
        <v>0</v>
      </c>
      <c r="J182" s="155">
        <f ca="1">IF(ISNUMBER(MATCH(DATEVALUE($A182),'changes1_based on steps'!J$1:J$400,0)),J$2,)</f>
        <v>0</v>
      </c>
      <c r="K182" s="155">
        <f ca="1">IF(ISNUMBER(MATCH(DATEVALUE($A182),'changes1_based on steps'!K$1:K$400,0)),K$2,)</f>
        <v>0</v>
      </c>
      <c r="L182" s="155">
        <f ca="1">IF(ISNUMBER(MATCH(DATEVALUE($A182),'changes1_based on steps'!L$1:L$400,0)),L$2,)</f>
        <v>0</v>
      </c>
      <c r="M182" s="155">
        <f ca="1">IF(ISNUMBER(MATCH(DATEVALUE($A182),'changes1_based on steps'!M$1:M$400,0)),M$2,)</f>
        <v>0</v>
      </c>
      <c r="N182" s="155">
        <f ca="1">IF(ISNUMBER(MATCH(DATEVALUE($A182),'changes1_based on steps'!N$1:N$400,0)),N$2,)</f>
        <v>0</v>
      </c>
      <c r="O182" s="155">
        <f ca="1">IF(ISNUMBER(MATCH(DATEVALUE($A182),'changes1_based on steps'!O$1:O$400,0)),O$2,)</f>
        <v>0</v>
      </c>
      <c r="P182" s="155">
        <f ca="1">IF(ISNUMBER(MATCH(DATEVALUE($A182),'changes1_based on steps'!P$1:P$400,0)),P$2,)</f>
        <v>0</v>
      </c>
      <c r="Q182" s="155">
        <f ca="1">IF(ISNUMBER(MATCH(DATEVALUE($A182),'changes1_based on steps'!Q$1:Q$400,0)),Q$2,)</f>
        <v>0</v>
      </c>
      <c r="R182" s="155">
        <f ca="1">IF(ISNUMBER(MATCH(DATEVALUE($A182),'changes1_based on steps'!R$1:R$400,0)),R$2,)</f>
        <v>0</v>
      </c>
      <c r="S182" s="155">
        <f ca="1">IF(ISNUMBER(MATCH(DATEVALUE($A182),'changes1_based on steps'!S$1:S$400,0)),S$2,)</f>
        <v>0</v>
      </c>
      <c r="T182" s="155">
        <f ca="1">IF(ISNUMBER(MATCH(DATEVALUE($A182),'changes1_based on steps'!T$1:T$400,0)),T$2,)</f>
        <v>0</v>
      </c>
      <c r="U182" s="155">
        <f ca="1">IF(ISNUMBER(MATCH(DATEVALUE($A182),'changes1_based on steps'!U$1:U$400,0)),U$2,)</f>
        <v>0</v>
      </c>
    </row>
    <row r="183" spans="1:21" x14ac:dyDescent="0.2">
      <c r="A183" s="18" t="str">
        <f t="shared" ca="1" si="2"/>
        <v>2025-07-31</v>
      </c>
      <c r="B183" s="155">
        <f ca="1">IF(ISNUMBER(MATCH(DATEVALUE($A183),'changes1_based on steps'!B$1:B$400,0)),B$2,)</f>
        <v>0</v>
      </c>
      <c r="C183" s="155">
        <f ca="1">IF(ISNUMBER(MATCH(DATEVALUE($A183),'changes1_based on steps'!C$1:C$400,0)),C$2,)</f>
        <v>50</v>
      </c>
      <c r="D183" s="155">
        <f ca="1">IF(ISNUMBER(MATCH(DATEVALUE($A183),'changes1_based on steps'!D$1:D$400,0)),D$2,)</f>
        <v>-100</v>
      </c>
      <c r="E183" s="155">
        <f ca="1">IF(ISNUMBER(MATCH(DATEVALUE($A183),'changes1_based on steps'!E$1:E$400,0)),E$2,)</f>
        <v>0</v>
      </c>
      <c r="F183" s="155">
        <f ca="1">IF(ISNUMBER(MATCH(DATEVALUE($A183),'changes1_based on steps'!F$1:F$400,0)),F$2,)</f>
        <v>0</v>
      </c>
      <c r="G183" s="155">
        <f ca="1">IF(ISNUMBER(MATCH(DATEVALUE($A183),'changes1_based on steps'!G$1:G$400,0)),G$2,)</f>
        <v>0</v>
      </c>
      <c r="H183" s="155">
        <f ca="1">IF(ISNUMBER(MATCH(DATEVALUE($A183),'changes1_based on steps'!H$1:H$400,0)),H$2,)</f>
        <v>0</v>
      </c>
      <c r="I183" s="155">
        <f ca="1">IF(ISNUMBER(MATCH(DATEVALUE($A183),'changes1_based on steps'!I$1:I$400,0)),I$2,)</f>
        <v>0</v>
      </c>
      <c r="J183" s="155">
        <f ca="1">IF(ISNUMBER(MATCH(DATEVALUE($A183),'changes1_based on steps'!J$1:J$400,0)),J$2,)</f>
        <v>0</v>
      </c>
      <c r="K183" s="155">
        <f ca="1">IF(ISNUMBER(MATCH(DATEVALUE($A183),'changes1_based on steps'!K$1:K$400,0)),K$2,)</f>
        <v>0</v>
      </c>
      <c r="L183" s="155">
        <f ca="1">IF(ISNUMBER(MATCH(DATEVALUE($A183),'changes1_based on steps'!L$1:L$400,0)),L$2,)</f>
        <v>0</v>
      </c>
      <c r="M183" s="155">
        <f ca="1">IF(ISNUMBER(MATCH(DATEVALUE($A183),'changes1_based on steps'!M$1:M$400,0)),M$2,)</f>
        <v>0</v>
      </c>
      <c r="N183" s="155">
        <f ca="1">IF(ISNUMBER(MATCH(DATEVALUE($A183),'changes1_based on steps'!N$1:N$400,0)),N$2,)</f>
        <v>0</v>
      </c>
      <c r="O183" s="155">
        <f ca="1">IF(ISNUMBER(MATCH(DATEVALUE($A183),'changes1_based on steps'!O$1:O$400,0)),O$2,)</f>
        <v>0</v>
      </c>
      <c r="P183" s="155">
        <f ca="1">IF(ISNUMBER(MATCH(DATEVALUE($A183),'changes1_based on steps'!P$1:P$400,0)),P$2,)</f>
        <v>0</v>
      </c>
      <c r="Q183" s="155">
        <f ca="1">IF(ISNUMBER(MATCH(DATEVALUE($A183),'changes1_based on steps'!Q$1:Q$400,0)),Q$2,)</f>
        <v>0</v>
      </c>
      <c r="R183" s="155">
        <f ca="1">IF(ISNUMBER(MATCH(DATEVALUE($A183),'changes1_based on steps'!R$1:R$400,0)),R$2,)</f>
        <v>0</v>
      </c>
      <c r="S183" s="155">
        <f ca="1">IF(ISNUMBER(MATCH(DATEVALUE($A183),'changes1_based on steps'!S$1:S$400,0)),S$2,)</f>
        <v>0</v>
      </c>
      <c r="T183" s="155">
        <f ca="1">IF(ISNUMBER(MATCH(DATEVALUE($A183),'changes1_based on steps'!T$1:T$400,0)),T$2,)</f>
        <v>0</v>
      </c>
      <c r="U183" s="155">
        <f ca="1">IF(ISNUMBER(MATCH(DATEVALUE($A183),'changes1_based on steps'!U$1:U$400,0)),U$2,)</f>
        <v>0</v>
      </c>
    </row>
    <row r="184" spans="1:21" x14ac:dyDescent="0.2">
      <c r="A184" s="18" t="str">
        <f t="shared" ca="1" si="2"/>
        <v>2025-08-01</v>
      </c>
      <c r="B184" s="155">
        <f ca="1">IF(ISNUMBER(MATCH(DATEVALUE($A184),'changes1_based on steps'!B$1:B$400,0)),B$2,)</f>
        <v>0</v>
      </c>
      <c r="C184" s="155">
        <f ca="1">IF(ISNUMBER(MATCH(DATEVALUE($A184),'changes1_based on steps'!C$1:C$400,0)),C$2,)</f>
        <v>0</v>
      </c>
      <c r="D184" s="155">
        <f ca="1">IF(ISNUMBER(MATCH(DATEVALUE($A184),'changes1_based on steps'!D$1:D$400,0)),D$2,)</f>
        <v>0</v>
      </c>
      <c r="E184" s="155">
        <f ca="1">IF(ISNUMBER(MATCH(DATEVALUE($A184),'changes1_based on steps'!E$1:E$400,0)),E$2,)</f>
        <v>0</v>
      </c>
      <c r="F184" s="155">
        <f ca="1">IF(ISNUMBER(MATCH(DATEVALUE($A184),'changes1_based on steps'!F$1:F$400,0)),F$2,)</f>
        <v>0</v>
      </c>
      <c r="G184" s="155">
        <f ca="1">IF(ISNUMBER(MATCH(DATEVALUE($A184),'changes1_based on steps'!G$1:G$400,0)),G$2,)</f>
        <v>0</v>
      </c>
      <c r="H184" s="155">
        <f ca="1">IF(ISNUMBER(MATCH(DATEVALUE($A184),'changes1_based on steps'!H$1:H$400,0)),H$2,)</f>
        <v>0</v>
      </c>
      <c r="I184" s="155">
        <f ca="1">IF(ISNUMBER(MATCH(DATEVALUE($A184),'changes1_based on steps'!I$1:I$400,0)),I$2,)</f>
        <v>0</v>
      </c>
      <c r="J184" s="155">
        <f ca="1">IF(ISNUMBER(MATCH(DATEVALUE($A184),'changes1_based on steps'!J$1:J$400,0)),J$2,)</f>
        <v>0</v>
      </c>
      <c r="K184" s="155">
        <f ca="1">IF(ISNUMBER(MATCH(DATEVALUE($A184),'changes1_based on steps'!K$1:K$400,0)),K$2,)</f>
        <v>0</v>
      </c>
      <c r="L184" s="155">
        <f ca="1">IF(ISNUMBER(MATCH(DATEVALUE($A184),'changes1_based on steps'!L$1:L$400,0)),L$2,)</f>
        <v>0</v>
      </c>
      <c r="M184" s="155">
        <f ca="1">IF(ISNUMBER(MATCH(DATEVALUE($A184),'changes1_based on steps'!M$1:M$400,0)),M$2,)</f>
        <v>0</v>
      </c>
      <c r="N184" s="155">
        <f ca="1">IF(ISNUMBER(MATCH(DATEVALUE($A184),'changes1_based on steps'!N$1:N$400,0)),N$2,)</f>
        <v>0</v>
      </c>
      <c r="O184" s="155">
        <f ca="1">IF(ISNUMBER(MATCH(DATEVALUE($A184),'changes1_based on steps'!O$1:O$400,0)),O$2,)</f>
        <v>0</v>
      </c>
      <c r="P184" s="155">
        <f ca="1">IF(ISNUMBER(MATCH(DATEVALUE($A184),'changes1_based on steps'!P$1:P$400,0)),P$2,)</f>
        <v>0</v>
      </c>
      <c r="Q184" s="155">
        <f ca="1">IF(ISNUMBER(MATCH(DATEVALUE($A184),'changes1_based on steps'!Q$1:Q$400,0)),Q$2,)</f>
        <v>0</v>
      </c>
      <c r="R184" s="155">
        <f ca="1">IF(ISNUMBER(MATCH(DATEVALUE($A184),'changes1_based on steps'!R$1:R$400,0)),R$2,)</f>
        <v>0</v>
      </c>
      <c r="S184" s="155">
        <f ca="1">IF(ISNUMBER(MATCH(DATEVALUE($A184),'changes1_based on steps'!S$1:S$400,0)),S$2,)</f>
        <v>0</v>
      </c>
      <c r="T184" s="155">
        <f ca="1">IF(ISNUMBER(MATCH(DATEVALUE($A184),'changes1_based on steps'!T$1:T$400,0)),T$2,)</f>
        <v>0</v>
      </c>
      <c r="U184" s="155">
        <f ca="1">IF(ISNUMBER(MATCH(DATEVALUE($A184),'changes1_based on steps'!U$1:U$400,0)),U$2,)</f>
        <v>0</v>
      </c>
    </row>
    <row r="185" spans="1:21" x14ac:dyDescent="0.2">
      <c r="A185" s="18" t="str">
        <f t="shared" ca="1" si="2"/>
        <v>2025-08-02</v>
      </c>
      <c r="B185" s="155">
        <f ca="1">IF(ISNUMBER(MATCH(DATEVALUE($A185),'changes1_based on steps'!B$1:B$400,0)),B$2,)</f>
        <v>0</v>
      </c>
      <c r="C185" s="155">
        <f ca="1">IF(ISNUMBER(MATCH(DATEVALUE($A185),'changes1_based on steps'!C$1:C$400,0)),C$2,)</f>
        <v>0</v>
      </c>
      <c r="D185" s="155">
        <f ca="1">IF(ISNUMBER(MATCH(DATEVALUE($A185),'changes1_based on steps'!D$1:D$400,0)),D$2,)</f>
        <v>0</v>
      </c>
      <c r="E185" s="155">
        <f ca="1">IF(ISNUMBER(MATCH(DATEVALUE($A185),'changes1_based on steps'!E$1:E$400,0)),E$2,)</f>
        <v>0</v>
      </c>
      <c r="F185" s="155">
        <f ca="1">IF(ISNUMBER(MATCH(DATEVALUE($A185),'changes1_based on steps'!F$1:F$400,0)),F$2,)</f>
        <v>0</v>
      </c>
      <c r="G185" s="155">
        <f ca="1">IF(ISNUMBER(MATCH(DATEVALUE($A185),'changes1_based on steps'!G$1:G$400,0)),G$2,)</f>
        <v>0</v>
      </c>
      <c r="H185" s="155">
        <f ca="1">IF(ISNUMBER(MATCH(DATEVALUE($A185),'changes1_based on steps'!H$1:H$400,0)),H$2,)</f>
        <v>0</v>
      </c>
      <c r="I185" s="155">
        <f ca="1">IF(ISNUMBER(MATCH(DATEVALUE($A185),'changes1_based on steps'!I$1:I$400,0)),I$2,)</f>
        <v>0</v>
      </c>
      <c r="J185" s="155">
        <f ca="1">IF(ISNUMBER(MATCH(DATEVALUE($A185),'changes1_based on steps'!J$1:J$400,0)),J$2,)</f>
        <v>0</v>
      </c>
      <c r="K185" s="155">
        <f ca="1">IF(ISNUMBER(MATCH(DATEVALUE($A185),'changes1_based on steps'!K$1:K$400,0)),K$2,)</f>
        <v>0</v>
      </c>
      <c r="L185" s="155">
        <f ca="1">IF(ISNUMBER(MATCH(DATEVALUE($A185),'changes1_based on steps'!L$1:L$400,0)),L$2,)</f>
        <v>0</v>
      </c>
      <c r="M185" s="155">
        <f ca="1">IF(ISNUMBER(MATCH(DATEVALUE($A185),'changes1_based on steps'!M$1:M$400,0)),M$2,)</f>
        <v>0</v>
      </c>
      <c r="N185" s="155">
        <f ca="1">IF(ISNUMBER(MATCH(DATEVALUE($A185),'changes1_based on steps'!N$1:N$400,0)),N$2,)</f>
        <v>0</v>
      </c>
      <c r="O185" s="155">
        <f ca="1">IF(ISNUMBER(MATCH(DATEVALUE($A185),'changes1_based on steps'!O$1:O$400,0)),O$2,)</f>
        <v>0</v>
      </c>
      <c r="P185" s="155">
        <f ca="1">IF(ISNUMBER(MATCH(DATEVALUE($A185),'changes1_based on steps'!P$1:P$400,0)),P$2,)</f>
        <v>0</v>
      </c>
      <c r="Q185" s="155">
        <f ca="1">IF(ISNUMBER(MATCH(DATEVALUE($A185),'changes1_based on steps'!Q$1:Q$400,0)),Q$2,)</f>
        <v>0</v>
      </c>
      <c r="R185" s="155">
        <f ca="1">IF(ISNUMBER(MATCH(DATEVALUE($A185),'changes1_based on steps'!R$1:R$400,0)),R$2,)</f>
        <v>0</v>
      </c>
      <c r="S185" s="155">
        <f ca="1">IF(ISNUMBER(MATCH(DATEVALUE($A185),'changes1_based on steps'!S$1:S$400,0)),S$2,)</f>
        <v>0</v>
      </c>
      <c r="T185" s="155">
        <f ca="1">IF(ISNUMBER(MATCH(DATEVALUE($A185),'changes1_based on steps'!T$1:T$400,0)),T$2,)</f>
        <v>0</v>
      </c>
      <c r="U185" s="155">
        <f ca="1">IF(ISNUMBER(MATCH(DATEVALUE($A185),'changes1_based on steps'!U$1:U$400,0)),U$2,)</f>
        <v>0</v>
      </c>
    </row>
    <row r="186" spans="1:21" x14ac:dyDescent="0.2">
      <c r="A186" s="18" t="str">
        <f t="shared" ca="1" si="2"/>
        <v>2025-08-03</v>
      </c>
      <c r="B186" s="155">
        <f ca="1">IF(ISNUMBER(MATCH(DATEVALUE($A186),'changes1_based on steps'!B$1:B$400,0)),B$2,)</f>
        <v>0</v>
      </c>
      <c r="C186" s="155">
        <f ca="1">IF(ISNUMBER(MATCH(DATEVALUE($A186),'changes1_based on steps'!C$1:C$400,0)),C$2,)</f>
        <v>0</v>
      </c>
      <c r="D186" s="155">
        <f ca="1">IF(ISNUMBER(MATCH(DATEVALUE($A186),'changes1_based on steps'!D$1:D$400,0)),D$2,)</f>
        <v>0</v>
      </c>
      <c r="E186" s="155">
        <f ca="1">IF(ISNUMBER(MATCH(DATEVALUE($A186),'changes1_based on steps'!E$1:E$400,0)),E$2,)</f>
        <v>0</v>
      </c>
      <c r="F186" s="155">
        <f ca="1">IF(ISNUMBER(MATCH(DATEVALUE($A186),'changes1_based on steps'!F$1:F$400,0)),F$2,)</f>
        <v>0</v>
      </c>
      <c r="G186" s="155">
        <f ca="1">IF(ISNUMBER(MATCH(DATEVALUE($A186),'changes1_based on steps'!G$1:G$400,0)),G$2,)</f>
        <v>0</v>
      </c>
      <c r="H186" s="155">
        <f ca="1">IF(ISNUMBER(MATCH(DATEVALUE($A186),'changes1_based on steps'!H$1:H$400,0)),H$2,)</f>
        <v>0</v>
      </c>
      <c r="I186" s="155">
        <f ca="1">IF(ISNUMBER(MATCH(DATEVALUE($A186),'changes1_based on steps'!I$1:I$400,0)),I$2,)</f>
        <v>0</v>
      </c>
      <c r="J186" s="155">
        <f ca="1">IF(ISNUMBER(MATCH(DATEVALUE($A186),'changes1_based on steps'!J$1:J$400,0)),J$2,)</f>
        <v>0</v>
      </c>
      <c r="K186" s="155">
        <f ca="1">IF(ISNUMBER(MATCH(DATEVALUE($A186),'changes1_based on steps'!K$1:K$400,0)),K$2,)</f>
        <v>0</v>
      </c>
      <c r="L186" s="155">
        <f ca="1">IF(ISNUMBER(MATCH(DATEVALUE($A186),'changes1_based on steps'!L$1:L$400,0)),L$2,)</f>
        <v>0</v>
      </c>
      <c r="M186" s="155">
        <f ca="1">IF(ISNUMBER(MATCH(DATEVALUE($A186),'changes1_based on steps'!M$1:M$400,0)),M$2,)</f>
        <v>0</v>
      </c>
      <c r="N186" s="155">
        <f ca="1">IF(ISNUMBER(MATCH(DATEVALUE($A186),'changes1_based on steps'!N$1:N$400,0)),N$2,)</f>
        <v>0</v>
      </c>
      <c r="O186" s="155">
        <f ca="1">IF(ISNUMBER(MATCH(DATEVALUE($A186),'changes1_based on steps'!O$1:O$400,0)),O$2,)</f>
        <v>0</v>
      </c>
      <c r="P186" s="155">
        <f ca="1">IF(ISNUMBER(MATCH(DATEVALUE($A186),'changes1_based on steps'!P$1:P$400,0)),P$2,)</f>
        <v>0</v>
      </c>
      <c r="Q186" s="155">
        <f ca="1">IF(ISNUMBER(MATCH(DATEVALUE($A186),'changes1_based on steps'!Q$1:Q$400,0)),Q$2,)</f>
        <v>0</v>
      </c>
      <c r="R186" s="155">
        <f ca="1">IF(ISNUMBER(MATCH(DATEVALUE($A186),'changes1_based on steps'!R$1:R$400,0)),R$2,)</f>
        <v>0</v>
      </c>
      <c r="S186" s="155">
        <f ca="1">IF(ISNUMBER(MATCH(DATEVALUE($A186),'changes1_based on steps'!S$1:S$400,0)),S$2,)</f>
        <v>0</v>
      </c>
      <c r="T186" s="155">
        <f ca="1">IF(ISNUMBER(MATCH(DATEVALUE($A186),'changes1_based on steps'!T$1:T$400,0)),T$2,)</f>
        <v>0</v>
      </c>
      <c r="U186" s="155">
        <f ca="1">IF(ISNUMBER(MATCH(DATEVALUE($A186),'changes1_based on steps'!U$1:U$400,0)),U$2,)</f>
        <v>0</v>
      </c>
    </row>
    <row r="187" spans="1:21" x14ac:dyDescent="0.2">
      <c r="A187" s="18" t="str">
        <f t="shared" ca="1" si="2"/>
        <v>2025-08-04</v>
      </c>
      <c r="B187" s="155">
        <f ca="1">IF(ISNUMBER(MATCH(DATEVALUE($A187),'changes1_based on steps'!B$1:B$400,0)),B$2,)</f>
        <v>0</v>
      </c>
      <c r="C187" s="155">
        <f ca="1">IF(ISNUMBER(MATCH(DATEVALUE($A187),'changes1_based on steps'!C$1:C$400,0)),C$2,)</f>
        <v>0</v>
      </c>
      <c r="D187" s="155">
        <f ca="1">IF(ISNUMBER(MATCH(DATEVALUE($A187),'changes1_based on steps'!D$1:D$400,0)),D$2,)</f>
        <v>0</v>
      </c>
      <c r="E187" s="155">
        <f ca="1">IF(ISNUMBER(MATCH(DATEVALUE($A187),'changes1_based on steps'!E$1:E$400,0)),E$2,)</f>
        <v>0</v>
      </c>
      <c r="F187" s="155">
        <f ca="1">IF(ISNUMBER(MATCH(DATEVALUE($A187),'changes1_based on steps'!F$1:F$400,0)),F$2,)</f>
        <v>0</v>
      </c>
      <c r="G187" s="155">
        <f ca="1">IF(ISNUMBER(MATCH(DATEVALUE($A187),'changes1_based on steps'!G$1:G$400,0)),G$2,)</f>
        <v>0</v>
      </c>
      <c r="H187" s="155">
        <f ca="1">IF(ISNUMBER(MATCH(DATEVALUE($A187),'changes1_based on steps'!H$1:H$400,0)),H$2,)</f>
        <v>0</v>
      </c>
      <c r="I187" s="155">
        <f ca="1">IF(ISNUMBER(MATCH(DATEVALUE($A187),'changes1_based on steps'!I$1:I$400,0)),I$2,)</f>
        <v>0</v>
      </c>
      <c r="J187" s="155">
        <f ca="1">IF(ISNUMBER(MATCH(DATEVALUE($A187),'changes1_based on steps'!J$1:J$400,0)),J$2,)</f>
        <v>0</v>
      </c>
      <c r="K187" s="155">
        <f ca="1">IF(ISNUMBER(MATCH(DATEVALUE($A187),'changes1_based on steps'!K$1:K$400,0)),K$2,)</f>
        <v>0</v>
      </c>
      <c r="L187" s="155">
        <f ca="1">IF(ISNUMBER(MATCH(DATEVALUE($A187),'changes1_based on steps'!L$1:L$400,0)),L$2,)</f>
        <v>0</v>
      </c>
      <c r="M187" s="155">
        <f ca="1">IF(ISNUMBER(MATCH(DATEVALUE($A187),'changes1_based on steps'!M$1:M$400,0)),M$2,)</f>
        <v>0</v>
      </c>
      <c r="N187" s="155">
        <f ca="1">IF(ISNUMBER(MATCH(DATEVALUE($A187),'changes1_based on steps'!N$1:N$400,0)),N$2,)</f>
        <v>0</v>
      </c>
      <c r="O187" s="155">
        <f ca="1">IF(ISNUMBER(MATCH(DATEVALUE($A187),'changes1_based on steps'!O$1:O$400,0)),O$2,)</f>
        <v>0</v>
      </c>
      <c r="P187" s="155">
        <f ca="1">IF(ISNUMBER(MATCH(DATEVALUE($A187),'changes1_based on steps'!P$1:P$400,0)),P$2,)</f>
        <v>0</v>
      </c>
      <c r="Q187" s="155">
        <f ca="1">IF(ISNUMBER(MATCH(DATEVALUE($A187),'changes1_based on steps'!Q$1:Q$400,0)),Q$2,)</f>
        <v>0</v>
      </c>
      <c r="R187" s="155">
        <f ca="1">IF(ISNUMBER(MATCH(DATEVALUE($A187),'changes1_based on steps'!R$1:R$400,0)),R$2,)</f>
        <v>0</v>
      </c>
      <c r="S187" s="155">
        <f ca="1">IF(ISNUMBER(MATCH(DATEVALUE($A187),'changes1_based on steps'!S$1:S$400,0)),S$2,)</f>
        <v>0</v>
      </c>
      <c r="T187" s="155">
        <f ca="1">IF(ISNUMBER(MATCH(DATEVALUE($A187),'changes1_based on steps'!T$1:T$400,0)),T$2,)</f>
        <v>0</v>
      </c>
      <c r="U187" s="155">
        <f ca="1">IF(ISNUMBER(MATCH(DATEVALUE($A187),'changes1_based on steps'!U$1:U$400,0)),U$2,)</f>
        <v>0</v>
      </c>
    </row>
    <row r="188" spans="1:21" x14ac:dyDescent="0.2">
      <c r="A188" s="18" t="str">
        <f t="shared" ca="1" si="2"/>
        <v>2025-08-05</v>
      </c>
      <c r="B188" s="155">
        <f ca="1">IF(ISNUMBER(MATCH(DATEVALUE($A188),'changes1_based on steps'!B$1:B$400,0)),B$2,)</f>
        <v>0</v>
      </c>
      <c r="C188" s="155">
        <f ca="1">IF(ISNUMBER(MATCH(DATEVALUE($A188),'changes1_based on steps'!C$1:C$400,0)),C$2,)</f>
        <v>0</v>
      </c>
      <c r="D188" s="155">
        <f ca="1">IF(ISNUMBER(MATCH(DATEVALUE($A188),'changes1_based on steps'!D$1:D$400,0)),D$2,)</f>
        <v>0</v>
      </c>
      <c r="E188" s="155">
        <f ca="1">IF(ISNUMBER(MATCH(DATEVALUE($A188),'changes1_based on steps'!E$1:E$400,0)),E$2,)</f>
        <v>0</v>
      </c>
      <c r="F188" s="155">
        <f ca="1">IF(ISNUMBER(MATCH(DATEVALUE($A188),'changes1_based on steps'!F$1:F$400,0)),F$2,)</f>
        <v>0</v>
      </c>
      <c r="G188" s="155">
        <f ca="1">IF(ISNUMBER(MATCH(DATEVALUE($A188),'changes1_based on steps'!G$1:G$400,0)),G$2,)</f>
        <v>0</v>
      </c>
      <c r="H188" s="155">
        <f ca="1">IF(ISNUMBER(MATCH(DATEVALUE($A188),'changes1_based on steps'!H$1:H$400,0)),H$2,)</f>
        <v>0</v>
      </c>
      <c r="I188" s="155">
        <f ca="1">IF(ISNUMBER(MATCH(DATEVALUE($A188),'changes1_based on steps'!I$1:I$400,0)),I$2,)</f>
        <v>0</v>
      </c>
      <c r="J188" s="155">
        <f ca="1">IF(ISNUMBER(MATCH(DATEVALUE($A188),'changes1_based on steps'!J$1:J$400,0)),J$2,)</f>
        <v>0</v>
      </c>
      <c r="K188" s="155">
        <f ca="1">IF(ISNUMBER(MATCH(DATEVALUE($A188),'changes1_based on steps'!K$1:K$400,0)),K$2,)</f>
        <v>0</v>
      </c>
      <c r="L188" s="155">
        <f ca="1">IF(ISNUMBER(MATCH(DATEVALUE($A188),'changes1_based on steps'!L$1:L$400,0)),L$2,)</f>
        <v>0</v>
      </c>
      <c r="M188" s="155">
        <f ca="1">IF(ISNUMBER(MATCH(DATEVALUE($A188),'changes1_based on steps'!M$1:M$400,0)),M$2,)</f>
        <v>0</v>
      </c>
      <c r="N188" s="155">
        <f ca="1">IF(ISNUMBER(MATCH(DATEVALUE($A188),'changes1_based on steps'!N$1:N$400,0)),N$2,)</f>
        <v>0</v>
      </c>
      <c r="O188" s="155">
        <f ca="1">IF(ISNUMBER(MATCH(DATEVALUE($A188),'changes1_based on steps'!O$1:O$400,0)),O$2,)</f>
        <v>0</v>
      </c>
      <c r="P188" s="155">
        <f ca="1">IF(ISNUMBER(MATCH(DATEVALUE($A188),'changes1_based on steps'!P$1:P$400,0)),P$2,)</f>
        <v>0</v>
      </c>
      <c r="Q188" s="155">
        <f ca="1">IF(ISNUMBER(MATCH(DATEVALUE($A188),'changes1_based on steps'!Q$1:Q$400,0)),Q$2,)</f>
        <v>0</v>
      </c>
      <c r="R188" s="155">
        <f ca="1">IF(ISNUMBER(MATCH(DATEVALUE($A188),'changes1_based on steps'!R$1:R$400,0)),R$2,)</f>
        <v>0</v>
      </c>
      <c r="S188" s="155">
        <f ca="1">IF(ISNUMBER(MATCH(DATEVALUE($A188),'changes1_based on steps'!S$1:S$400,0)),S$2,)</f>
        <v>0</v>
      </c>
      <c r="T188" s="155">
        <f ca="1">IF(ISNUMBER(MATCH(DATEVALUE($A188),'changes1_based on steps'!T$1:T$400,0)),T$2,)</f>
        <v>0</v>
      </c>
      <c r="U188" s="155">
        <f ca="1">IF(ISNUMBER(MATCH(DATEVALUE($A188),'changes1_based on steps'!U$1:U$400,0)),U$2,)</f>
        <v>0</v>
      </c>
    </row>
    <row r="189" spans="1:21" x14ac:dyDescent="0.2">
      <c r="A189" s="18" t="str">
        <f t="shared" ca="1" si="2"/>
        <v>2025-08-06</v>
      </c>
      <c r="B189" s="155">
        <f ca="1">IF(ISNUMBER(MATCH(DATEVALUE($A189),'changes1_based on steps'!B$1:B$400,0)),B$2,)</f>
        <v>0</v>
      </c>
      <c r="C189" s="155">
        <f ca="1">IF(ISNUMBER(MATCH(DATEVALUE($A189),'changes1_based on steps'!C$1:C$400,0)),C$2,)</f>
        <v>0</v>
      </c>
      <c r="D189" s="155">
        <f ca="1">IF(ISNUMBER(MATCH(DATEVALUE($A189),'changes1_based on steps'!D$1:D$400,0)),D$2,)</f>
        <v>0</v>
      </c>
      <c r="E189" s="155">
        <f ca="1">IF(ISNUMBER(MATCH(DATEVALUE($A189),'changes1_based on steps'!E$1:E$400,0)),E$2,)</f>
        <v>0</v>
      </c>
      <c r="F189" s="155">
        <f ca="1">IF(ISNUMBER(MATCH(DATEVALUE($A189),'changes1_based on steps'!F$1:F$400,0)),F$2,)</f>
        <v>0</v>
      </c>
      <c r="G189" s="155">
        <f ca="1">IF(ISNUMBER(MATCH(DATEVALUE($A189),'changes1_based on steps'!G$1:G$400,0)),G$2,)</f>
        <v>0</v>
      </c>
      <c r="H189" s="155">
        <f ca="1">IF(ISNUMBER(MATCH(DATEVALUE($A189),'changes1_based on steps'!H$1:H$400,0)),H$2,)</f>
        <v>0</v>
      </c>
      <c r="I189" s="155">
        <f ca="1">IF(ISNUMBER(MATCH(DATEVALUE($A189),'changes1_based on steps'!I$1:I$400,0)),I$2,)</f>
        <v>0</v>
      </c>
      <c r="J189" s="155">
        <f ca="1">IF(ISNUMBER(MATCH(DATEVALUE($A189),'changes1_based on steps'!J$1:J$400,0)),J$2,)</f>
        <v>0</v>
      </c>
      <c r="K189" s="155">
        <f ca="1">IF(ISNUMBER(MATCH(DATEVALUE($A189),'changes1_based on steps'!K$1:K$400,0)),K$2,)</f>
        <v>0</v>
      </c>
      <c r="L189" s="155">
        <f ca="1">IF(ISNUMBER(MATCH(DATEVALUE($A189),'changes1_based on steps'!L$1:L$400,0)),L$2,)</f>
        <v>0</v>
      </c>
      <c r="M189" s="155">
        <f ca="1">IF(ISNUMBER(MATCH(DATEVALUE($A189),'changes1_based on steps'!M$1:M$400,0)),M$2,)</f>
        <v>0</v>
      </c>
      <c r="N189" s="155">
        <f ca="1">IF(ISNUMBER(MATCH(DATEVALUE($A189),'changes1_based on steps'!N$1:N$400,0)),N$2,)</f>
        <v>0</v>
      </c>
      <c r="O189" s="155">
        <f ca="1">IF(ISNUMBER(MATCH(DATEVALUE($A189),'changes1_based on steps'!O$1:O$400,0)),O$2,)</f>
        <v>0</v>
      </c>
      <c r="P189" s="155">
        <f ca="1">IF(ISNUMBER(MATCH(DATEVALUE($A189),'changes1_based on steps'!P$1:P$400,0)),P$2,)</f>
        <v>0</v>
      </c>
      <c r="Q189" s="155">
        <f ca="1">IF(ISNUMBER(MATCH(DATEVALUE($A189),'changes1_based on steps'!Q$1:Q$400,0)),Q$2,)</f>
        <v>0</v>
      </c>
      <c r="R189" s="155">
        <f ca="1">IF(ISNUMBER(MATCH(DATEVALUE($A189),'changes1_based on steps'!R$1:R$400,0)),R$2,)</f>
        <v>0</v>
      </c>
      <c r="S189" s="155">
        <f ca="1">IF(ISNUMBER(MATCH(DATEVALUE($A189),'changes1_based on steps'!S$1:S$400,0)),S$2,)</f>
        <v>0</v>
      </c>
      <c r="T189" s="155">
        <f ca="1">IF(ISNUMBER(MATCH(DATEVALUE($A189),'changes1_based on steps'!T$1:T$400,0)),T$2,)</f>
        <v>0</v>
      </c>
      <c r="U189" s="155">
        <f ca="1">IF(ISNUMBER(MATCH(DATEVALUE($A189),'changes1_based on steps'!U$1:U$400,0)),U$2,)</f>
        <v>0</v>
      </c>
    </row>
    <row r="190" spans="1:21" x14ac:dyDescent="0.2">
      <c r="A190" s="18" t="str">
        <f t="shared" ca="1" si="2"/>
        <v>2025-08-07</v>
      </c>
      <c r="B190" s="155">
        <f ca="1">IF(ISNUMBER(MATCH(DATEVALUE($A190),'changes1_based on steps'!B$1:B$400,0)),B$2,)</f>
        <v>0</v>
      </c>
      <c r="C190" s="155">
        <f ca="1">IF(ISNUMBER(MATCH(DATEVALUE($A190),'changes1_based on steps'!C$1:C$400,0)),C$2,)</f>
        <v>0</v>
      </c>
      <c r="D190" s="155">
        <f ca="1">IF(ISNUMBER(MATCH(DATEVALUE($A190),'changes1_based on steps'!D$1:D$400,0)),D$2,)</f>
        <v>0</v>
      </c>
      <c r="E190" s="155">
        <f ca="1">IF(ISNUMBER(MATCH(DATEVALUE($A190),'changes1_based on steps'!E$1:E$400,0)),E$2,)</f>
        <v>0</v>
      </c>
      <c r="F190" s="155">
        <f ca="1">IF(ISNUMBER(MATCH(DATEVALUE($A190),'changes1_based on steps'!F$1:F$400,0)),F$2,)</f>
        <v>0</v>
      </c>
      <c r="G190" s="155">
        <f ca="1">IF(ISNUMBER(MATCH(DATEVALUE($A190),'changes1_based on steps'!G$1:G$400,0)),G$2,)</f>
        <v>0</v>
      </c>
      <c r="H190" s="155">
        <f ca="1">IF(ISNUMBER(MATCH(DATEVALUE($A190),'changes1_based on steps'!H$1:H$400,0)),H$2,)</f>
        <v>0</v>
      </c>
      <c r="I190" s="155">
        <f ca="1">IF(ISNUMBER(MATCH(DATEVALUE($A190),'changes1_based on steps'!I$1:I$400,0)),I$2,)</f>
        <v>0</v>
      </c>
      <c r="J190" s="155">
        <f ca="1">IF(ISNUMBER(MATCH(DATEVALUE($A190),'changes1_based on steps'!J$1:J$400,0)),J$2,)</f>
        <v>0</v>
      </c>
      <c r="K190" s="155">
        <f ca="1">IF(ISNUMBER(MATCH(DATEVALUE($A190),'changes1_based on steps'!K$1:K$400,0)),K$2,)</f>
        <v>0</v>
      </c>
      <c r="L190" s="155">
        <f ca="1">IF(ISNUMBER(MATCH(DATEVALUE($A190),'changes1_based on steps'!L$1:L$400,0)),L$2,)</f>
        <v>0</v>
      </c>
      <c r="M190" s="155">
        <f ca="1">IF(ISNUMBER(MATCH(DATEVALUE($A190),'changes1_based on steps'!M$1:M$400,0)),M$2,)</f>
        <v>0</v>
      </c>
      <c r="N190" s="155">
        <f ca="1">IF(ISNUMBER(MATCH(DATEVALUE($A190),'changes1_based on steps'!N$1:N$400,0)),N$2,)</f>
        <v>0</v>
      </c>
      <c r="O190" s="155">
        <f ca="1">IF(ISNUMBER(MATCH(DATEVALUE($A190),'changes1_based on steps'!O$1:O$400,0)),O$2,)</f>
        <v>0</v>
      </c>
      <c r="P190" s="155">
        <f ca="1">IF(ISNUMBER(MATCH(DATEVALUE($A190),'changes1_based on steps'!P$1:P$400,0)),P$2,)</f>
        <v>0</v>
      </c>
      <c r="Q190" s="155">
        <f ca="1">IF(ISNUMBER(MATCH(DATEVALUE($A190),'changes1_based on steps'!Q$1:Q$400,0)),Q$2,)</f>
        <v>0</v>
      </c>
      <c r="R190" s="155">
        <f ca="1">IF(ISNUMBER(MATCH(DATEVALUE($A190),'changes1_based on steps'!R$1:R$400,0)),R$2,)</f>
        <v>0</v>
      </c>
      <c r="S190" s="155">
        <f ca="1">IF(ISNUMBER(MATCH(DATEVALUE($A190),'changes1_based on steps'!S$1:S$400,0)),S$2,)</f>
        <v>0</v>
      </c>
      <c r="T190" s="155">
        <f ca="1">IF(ISNUMBER(MATCH(DATEVALUE($A190),'changes1_based on steps'!T$1:T$400,0)),T$2,)</f>
        <v>0</v>
      </c>
      <c r="U190" s="155">
        <f ca="1">IF(ISNUMBER(MATCH(DATEVALUE($A190),'changes1_based on steps'!U$1:U$400,0)),U$2,)</f>
        <v>0</v>
      </c>
    </row>
    <row r="191" spans="1:21" x14ac:dyDescent="0.2">
      <c r="A191" s="18" t="str">
        <f t="shared" ca="1" si="2"/>
        <v>2025-08-08</v>
      </c>
      <c r="B191" s="155">
        <f ca="1">IF(ISNUMBER(MATCH(DATEVALUE($A191),'changes1_based on steps'!B$1:B$400,0)),B$2,)</f>
        <v>0</v>
      </c>
      <c r="C191" s="155">
        <f ca="1">IF(ISNUMBER(MATCH(DATEVALUE($A191),'changes1_based on steps'!C$1:C$400,0)),C$2,)</f>
        <v>0</v>
      </c>
      <c r="D191" s="155">
        <f ca="1">IF(ISNUMBER(MATCH(DATEVALUE($A191),'changes1_based on steps'!D$1:D$400,0)),D$2,)</f>
        <v>0</v>
      </c>
      <c r="E191" s="155">
        <f ca="1">IF(ISNUMBER(MATCH(DATEVALUE($A191),'changes1_based on steps'!E$1:E$400,0)),E$2,)</f>
        <v>0</v>
      </c>
      <c r="F191" s="155">
        <f ca="1">IF(ISNUMBER(MATCH(DATEVALUE($A191),'changes1_based on steps'!F$1:F$400,0)),F$2,)</f>
        <v>0</v>
      </c>
      <c r="G191" s="155">
        <f ca="1">IF(ISNUMBER(MATCH(DATEVALUE($A191),'changes1_based on steps'!G$1:G$400,0)),G$2,)</f>
        <v>0</v>
      </c>
      <c r="H191" s="155">
        <f ca="1">IF(ISNUMBER(MATCH(DATEVALUE($A191),'changes1_based on steps'!H$1:H$400,0)),H$2,)</f>
        <v>0</v>
      </c>
      <c r="I191" s="155">
        <f ca="1">IF(ISNUMBER(MATCH(DATEVALUE($A191),'changes1_based on steps'!I$1:I$400,0)),I$2,)</f>
        <v>0</v>
      </c>
      <c r="J191" s="155">
        <f ca="1">IF(ISNUMBER(MATCH(DATEVALUE($A191),'changes1_based on steps'!J$1:J$400,0)),J$2,)</f>
        <v>0</v>
      </c>
      <c r="K191" s="155">
        <f ca="1">IF(ISNUMBER(MATCH(DATEVALUE($A191),'changes1_based on steps'!K$1:K$400,0)),K$2,)</f>
        <v>0</v>
      </c>
      <c r="L191" s="155">
        <f ca="1">IF(ISNUMBER(MATCH(DATEVALUE($A191),'changes1_based on steps'!L$1:L$400,0)),L$2,)</f>
        <v>0</v>
      </c>
      <c r="M191" s="155">
        <f ca="1">IF(ISNUMBER(MATCH(DATEVALUE($A191),'changes1_based on steps'!M$1:M$400,0)),M$2,)</f>
        <v>0</v>
      </c>
      <c r="N191" s="155">
        <f ca="1">IF(ISNUMBER(MATCH(DATEVALUE($A191),'changes1_based on steps'!N$1:N$400,0)),N$2,)</f>
        <v>0</v>
      </c>
      <c r="O191" s="155">
        <f ca="1">IF(ISNUMBER(MATCH(DATEVALUE($A191),'changes1_based on steps'!O$1:O$400,0)),O$2,)</f>
        <v>0</v>
      </c>
      <c r="P191" s="155">
        <f ca="1">IF(ISNUMBER(MATCH(DATEVALUE($A191),'changes1_based on steps'!P$1:P$400,0)),P$2,)</f>
        <v>0</v>
      </c>
      <c r="Q191" s="155">
        <f ca="1">IF(ISNUMBER(MATCH(DATEVALUE($A191),'changes1_based on steps'!Q$1:Q$400,0)),Q$2,)</f>
        <v>0</v>
      </c>
      <c r="R191" s="155">
        <f ca="1">IF(ISNUMBER(MATCH(DATEVALUE($A191),'changes1_based on steps'!R$1:R$400,0)),R$2,)</f>
        <v>0</v>
      </c>
      <c r="S191" s="155">
        <f ca="1">IF(ISNUMBER(MATCH(DATEVALUE($A191),'changes1_based on steps'!S$1:S$400,0)),S$2,)</f>
        <v>0</v>
      </c>
      <c r="T191" s="155">
        <f ca="1">IF(ISNUMBER(MATCH(DATEVALUE($A191),'changes1_based on steps'!T$1:T$400,0)),T$2,)</f>
        <v>0</v>
      </c>
      <c r="U191" s="155">
        <f ca="1">IF(ISNUMBER(MATCH(DATEVALUE($A191),'changes1_based on steps'!U$1:U$400,0)),U$2,)</f>
        <v>0</v>
      </c>
    </row>
    <row r="192" spans="1:21" x14ac:dyDescent="0.2">
      <c r="A192" s="18" t="str">
        <f t="shared" ca="1" si="2"/>
        <v>2025-08-09</v>
      </c>
      <c r="B192" s="155">
        <f ca="1">IF(ISNUMBER(MATCH(DATEVALUE($A192),'changes1_based on steps'!B$1:B$400,0)),B$2,)</f>
        <v>0</v>
      </c>
      <c r="C192" s="155">
        <f ca="1">IF(ISNUMBER(MATCH(DATEVALUE($A192),'changes1_based on steps'!C$1:C$400,0)),C$2,)</f>
        <v>0</v>
      </c>
      <c r="D192" s="155">
        <f ca="1">IF(ISNUMBER(MATCH(DATEVALUE($A192),'changes1_based on steps'!D$1:D$400,0)),D$2,)</f>
        <v>0</v>
      </c>
      <c r="E192" s="155">
        <f ca="1">IF(ISNUMBER(MATCH(DATEVALUE($A192),'changes1_based on steps'!E$1:E$400,0)),E$2,)</f>
        <v>0</v>
      </c>
      <c r="F192" s="155">
        <f ca="1">IF(ISNUMBER(MATCH(DATEVALUE($A192),'changes1_based on steps'!F$1:F$400,0)),F$2,)</f>
        <v>0</v>
      </c>
      <c r="G192" s="155">
        <f ca="1">IF(ISNUMBER(MATCH(DATEVALUE($A192),'changes1_based on steps'!G$1:G$400,0)),G$2,)</f>
        <v>0</v>
      </c>
      <c r="H192" s="155">
        <f ca="1">IF(ISNUMBER(MATCH(DATEVALUE($A192),'changes1_based on steps'!H$1:H$400,0)),H$2,)</f>
        <v>0</v>
      </c>
      <c r="I192" s="155">
        <f ca="1">IF(ISNUMBER(MATCH(DATEVALUE($A192),'changes1_based on steps'!I$1:I$400,0)),I$2,)</f>
        <v>0</v>
      </c>
      <c r="J192" s="155">
        <f ca="1">IF(ISNUMBER(MATCH(DATEVALUE($A192),'changes1_based on steps'!J$1:J$400,0)),J$2,)</f>
        <v>0</v>
      </c>
      <c r="K192" s="155">
        <f ca="1">IF(ISNUMBER(MATCH(DATEVALUE($A192),'changes1_based on steps'!K$1:K$400,0)),K$2,)</f>
        <v>0</v>
      </c>
      <c r="L192" s="155">
        <f ca="1">IF(ISNUMBER(MATCH(DATEVALUE($A192),'changes1_based on steps'!L$1:L$400,0)),L$2,)</f>
        <v>0</v>
      </c>
      <c r="M192" s="155">
        <f ca="1">IF(ISNUMBER(MATCH(DATEVALUE($A192),'changes1_based on steps'!M$1:M$400,0)),M$2,)</f>
        <v>0</v>
      </c>
      <c r="N192" s="155">
        <f ca="1">IF(ISNUMBER(MATCH(DATEVALUE($A192),'changes1_based on steps'!N$1:N$400,0)),N$2,)</f>
        <v>0</v>
      </c>
      <c r="O192" s="155">
        <f ca="1">IF(ISNUMBER(MATCH(DATEVALUE($A192),'changes1_based on steps'!O$1:O$400,0)),O$2,)</f>
        <v>0</v>
      </c>
      <c r="P192" s="155">
        <f ca="1">IF(ISNUMBER(MATCH(DATEVALUE($A192),'changes1_based on steps'!P$1:P$400,0)),P$2,)</f>
        <v>0</v>
      </c>
      <c r="Q192" s="155">
        <f ca="1">IF(ISNUMBER(MATCH(DATEVALUE($A192),'changes1_based on steps'!Q$1:Q$400,0)),Q$2,)</f>
        <v>0</v>
      </c>
      <c r="R192" s="155">
        <f ca="1">IF(ISNUMBER(MATCH(DATEVALUE($A192),'changes1_based on steps'!R$1:R$400,0)),R$2,)</f>
        <v>0</v>
      </c>
      <c r="S192" s="155">
        <f ca="1">IF(ISNUMBER(MATCH(DATEVALUE($A192),'changes1_based on steps'!S$1:S$400,0)),S$2,)</f>
        <v>0</v>
      </c>
      <c r="T192" s="155">
        <f ca="1">IF(ISNUMBER(MATCH(DATEVALUE($A192),'changes1_based on steps'!T$1:T$400,0)),T$2,)</f>
        <v>0</v>
      </c>
      <c r="U192" s="155">
        <f ca="1">IF(ISNUMBER(MATCH(DATEVALUE($A192),'changes1_based on steps'!U$1:U$400,0)),U$2,)</f>
        <v>0</v>
      </c>
    </row>
    <row r="193" spans="1:21" x14ac:dyDescent="0.2">
      <c r="A193" s="18" t="str">
        <f t="shared" ca="1" si="2"/>
        <v>2025-08-10</v>
      </c>
      <c r="B193" s="155">
        <f ca="1">IF(ISNUMBER(MATCH(DATEVALUE($A193),'changes1_based on steps'!B$1:B$400,0)),B$2,)</f>
        <v>0</v>
      </c>
      <c r="C193" s="155">
        <f ca="1">IF(ISNUMBER(MATCH(DATEVALUE($A193),'changes1_based on steps'!C$1:C$400,0)),C$2,)</f>
        <v>0</v>
      </c>
      <c r="D193" s="155">
        <f ca="1">IF(ISNUMBER(MATCH(DATEVALUE($A193),'changes1_based on steps'!D$1:D$400,0)),D$2,)</f>
        <v>0</v>
      </c>
      <c r="E193" s="155">
        <f ca="1">IF(ISNUMBER(MATCH(DATEVALUE($A193),'changes1_based on steps'!E$1:E$400,0)),E$2,)</f>
        <v>0</v>
      </c>
      <c r="F193" s="155">
        <f ca="1">IF(ISNUMBER(MATCH(DATEVALUE($A193),'changes1_based on steps'!F$1:F$400,0)),F$2,)</f>
        <v>0</v>
      </c>
      <c r="G193" s="155">
        <f ca="1">IF(ISNUMBER(MATCH(DATEVALUE($A193),'changes1_based on steps'!G$1:G$400,0)),G$2,)</f>
        <v>0</v>
      </c>
      <c r="H193" s="155">
        <f ca="1">IF(ISNUMBER(MATCH(DATEVALUE($A193),'changes1_based on steps'!H$1:H$400,0)),H$2,)</f>
        <v>0</v>
      </c>
      <c r="I193" s="155">
        <f ca="1">IF(ISNUMBER(MATCH(DATEVALUE($A193),'changes1_based on steps'!I$1:I$400,0)),I$2,)</f>
        <v>0</v>
      </c>
      <c r="J193" s="155">
        <f ca="1">IF(ISNUMBER(MATCH(DATEVALUE($A193),'changes1_based on steps'!J$1:J$400,0)),J$2,)</f>
        <v>0</v>
      </c>
      <c r="K193" s="155">
        <f ca="1">IF(ISNUMBER(MATCH(DATEVALUE($A193),'changes1_based on steps'!K$1:K$400,0)),K$2,)</f>
        <v>0</v>
      </c>
      <c r="L193" s="155">
        <f ca="1">IF(ISNUMBER(MATCH(DATEVALUE($A193),'changes1_based on steps'!L$1:L$400,0)),L$2,)</f>
        <v>0</v>
      </c>
      <c r="M193" s="155">
        <f ca="1">IF(ISNUMBER(MATCH(DATEVALUE($A193),'changes1_based on steps'!M$1:M$400,0)),M$2,)</f>
        <v>0</v>
      </c>
      <c r="N193" s="155">
        <f ca="1">IF(ISNUMBER(MATCH(DATEVALUE($A193),'changes1_based on steps'!N$1:N$400,0)),N$2,)</f>
        <v>0</v>
      </c>
      <c r="O193" s="155">
        <f ca="1">IF(ISNUMBER(MATCH(DATEVALUE($A193),'changes1_based on steps'!O$1:O$400,0)),O$2,)</f>
        <v>0</v>
      </c>
      <c r="P193" s="155">
        <f ca="1">IF(ISNUMBER(MATCH(DATEVALUE($A193),'changes1_based on steps'!P$1:P$400,0)),P$2,)</f>
        <v>0</v>
      </c>
      <c r="Q193" s="155">
        <f ca="1">IF(ISNUMBER(MATCH(DATEVALUE($A193),'changes1_based on steps'!Q$1:Q$400,0)),Q$2,)</f>
        <v>0</v>
      </c>
      <c r="R193" s="155">
        <f ca="1">IF(ISNUMBER(MATCH(DATEVALUE($A193),'changes1_based on steps'!R$1:R$400,0)),R$2,)</f>
        <v>0</v>
      </c>
      <c r="S193" s="155">
        <f ca="1">IF(ISNUMBER(MATCH(DATEVALUE($A193),'changes1_based on steps'!S$1:S$400,0)),S$2,)</f>
        <v>0</v>
      </c>
      <c r="T193" s="155">
        <f ca="1">IF(ISNUMBER(MATCH(DATEVALUE($A193),'changes1_based on steps'!T$1:T$400,0)),T$2,)</f>
        <v>0</v>
      </c>
      <c r="U193" s="155">
        <f ca="1">IF(ISNUMBER(MATCH(DATEVALUE($A193),'changes1_based on steps'!U$1:U$400,0)),U$2,)</f>
        <v>0</v>
      </c>
    </row>
    <row r="194" spans="1:21" x14ac:dyDescent="0.2">
      <c r="A194" s="18" t="str">
        <f t="shared" ca="1" si="2"/>
        <v>2025-08-11</v>
      </c>
      <c r="B194" s="155">
        <f ca="1">IF(ISNUMBER(MATCH(DATEVALUE($A194),'changes1_based on steps'!B$1:B$400,0)),B$2,)</f>
        <v>0</v>
      </c>
      <c r="C194" s="155">
        <f ca="1">IF(ISNUMBER(MATCH(DATEVALUE($A194),'changes1_based on steps'!C$1:C$400,0)),C$2,)</f>
        <v>0</v>
      </c>
      <c r="D194" s="155">
        <f ca="1">IF(ISNUMBER(MATCH(DATEVALUE($A194),'changes1_based on steps'!D$1:D$400,0)),D$2,)</f>
        <v>0</v>
      </c>
      <c r="E194" s="155">
        <f ca="1">IF(ISNUMBER(MATCH(DATEVALUE($A194),'changes1_based on steps'!E$1:E$400,0)),E$2,)</f>
        <v>0</v>
      </c>
      <c r="F194" s="155">
        <f ca="1">IF(ISNUMBER(MATCH(DATEVALUE($A194),'changes1_based on steps'!F$1:F$400,0)),F$2,)</f>
        <v>0</v>
      </c>
      <c r="G194" s="155">
        <f ca="1">IF(ISNUMBER(MATCH(DATEVALUE($A194),'changes1_based on steps'!G$1:G$400,0)),G$2,)</f>
        <v>0</v>
      </c>
      <c r="H194" s="155">
        <f ca="1">IF(ISNUMBER(MATCH(DATEVALUE($A194),'changes1_based on steps'!H$1:H$400,0)),H$2,)</f>
        <v>0</v>
      </c>
      <c r="I194" s="155">
        <f ca="1">IF(ISNUMBER(MATCH(DATEVALUE($A194),'changes1_based on steps'!I$1:I$400,0)),I$2,)</f>
        <v>0</v>
      </c>
      <c r="J194" s="155">
        <f ca="1">IF(ISNUMBER(MATCH(DATEVALUE($A194),'changes1_based on steps'!J$1:J$400,0)),J$2,)</f>
        <v>0</v>
      </c>
      <c r="K194" s="155">
        <f ca="1">IF(ISNUMBER(MATCH(DATEVALUE($A194),'changes1_based on steps'!K$1:K$400,0)),K$2,)</f>
        <v>0</v>
      </c>
      <c r="L194" s="155">
        <f ca="1">IF(ISNUMBER(MATCH(DATEVALUE($A194),'changes1_based on steps'!L$1:L$400,0)),L$2,)</f>
        <v>0</v>
      </c>
      <c r="M194" s="155">
        <f ca="1">IF(ISNUMBER(MATCH(DATEVALUE($A194),'changes1_based on steps'!M$1:M$400,0)),M$2,)</f>
        <v>0</v>
      </c>
      <c r="N194" s="155">
        <f ca="1">IF(ISNUMBER(MATCH(DATEVALUE($A194),'changes1_based on steps'!N$1:N$400,0)),N$2,)</f>
        <v>0</v>
      </c>
      <c r="O194" s="155">
        <f ca="1">IF(ISNUMBER(MATCH(DATEVALUE($A194),'changes1_based on steps'!O$1:O$400,0)),O$2,)</f>
        <v>0</v>
      </c>
      <c r="P194" s="155">
        <f ca="1">IF(ISNUMBER(MATCH(DATEVALUE($A194),'changes1_based on steps'!P$1:P$400,0)),P$2,)</f>
        <v>0</v>
      </c>
      <c r="Q194" s="155">
        <f ca="1">IF(ISNUMBER(MATCH(DATEVALUE($A194),'changes1_based on steps'!Q$1:Q$400,0)),Q$2,)</f>
        <v>0</v>
      </c>
      <c r="R194" s="155">
        <f ca="1">IF(ISNUMBER(MATCH(DATEVALUE($A194),'changes1_based on steps'!R$1:R$400,0)),R$2,)</f>
        <v>0</v>
      </c>
      <c r="S194" s="155">
        <f ca="1">IF(ISNUMBER(MATCH(DATEVALUE($A194),'changes1_based on steps'!S$1:S$400,0)),S$2,)</f>
        <v>0</v>
      </c>
      <c r="T194" s="155">
        <f ca="1">IF(ISNUMBER(MATCH(DATEVALUE($A194),'changes1_based on steps'!T$1:T$400,0)),T$2,)</f>
        <v>0</v>
      </c>
      <c r="U194" s="155">
        <f ca="1">IF(ISNUMBER(MATCH(DATEVALUE($A194),'changes1_based on steps'!U$1:U$400,0)),U$2,)</f>
        <v>0</v>
      </c>
    </row>
    <row r="195" spans="1:21" x14ac:dyDescent="0.2">
      <c r="A195" s="18" t="str">
        <f t="shared" ca="1" si="2"/>
        <v>2025-08-12</v>
      </c>
      <c r="B195" s="155">
        <f ca="1">IF(ISNUMBER(MATCH(DATEVALUE($A195),'changes1_based on steps'!B$1:B$400,0)),B$2,)</f>
        <v>0</v>
      </c>
      <c r="C195" s="155">
        <f ca="1">IF(ISNUMBER(MATCH(DATEVALUE($A195),'changes1_based on steps'!C$1:C$400,0)),C$2,)</f>
        <v>0</v>
      </c>
      <c r="D195" s="155">
        <f ca="1">IF(ISNUMBER(MATCH(DATEVALUE($A195),'changes1_based on steps'!D$1:D$400,0)),D$2,)</f>
        <v>0</v>
      </c>
      <c r="E195" s="155">
        <f ca="1">IF(ISNUMBER(MATCH(DATEVALUE($A195),'changes1_based on steps'!E$1:E$400,0)),E$2,)</f>
        <v>0</v>
      </c>
      <c r="F195" s="155">
        <f ca="1">IF(ISNUMBER(MATCH(DATEVALUE($A195),'changes1_based on steps'!F$1:F$400,0)),F$2,)</f>
        <v>0</v>
      </c>
      <c r="G195" s="155">
        <f ca="1">IF(ISNUMBER(MATCH(DATEVALUE($A195),'changes1_based on steps'!G$1:G$400,0)),G$2,)</f>
        <v>0</v>
      </c>
      <c r="H195" s="155">
        <f ca="1">IF(ISNUMBER(MATCH(DATEVALUE($A195),'changes1_based on steps'!H$1:H$400,0)),H$2,)</f>
        <v>0</v>
      </c>
      <c r="I195" s="155">
        <f ca="1">IF(ISNUMBER(MATCH(DATEVALUE($A195),'changes1_based on steps'!I$1:I$400,0)),I$2,)</f>
        <v>0</v>
      </c>
      <c r="J195" s="155">
        <f ca="1">IF(ISNUMBER(MATCH(DATEVALUE($A195),'changes1_based on steps'!J$1:J$400,0)),J$2,)</f>
        <v>0</v>
      </c>
      <c r="K195" s="155">
        <f ca="1">IF(ISNUMBER(MATCH(DATEVALUE($A195),'changes1_based on steps'!K$1:K$400,0)),K$2,)</f>
        <v>0</v>
      </c>
      <c r="L195" s="155">
        <f ca="1">IF(ISNUMBER(MATCH(DATEVALUE($A195),'changes1_based on steps'!L$1:L$400,0)),L$2,)</f>
        <v>0</v>
      </c>
      <c r="M195" s="155">
        <f ca="1">IF(ISNUMBER(MATCH(DATEVALUE($A195),'changes1_based on steps'!M$1:M$400,0)),M$2,)</f>
        <v>0</v>
      </c>
      <c r="N195" s="155">
        <f ca="1">IF(ISNUMBER(MATCH(DATEVALUE($A195),'changes1_based on steps'!N$1:N$400,0)),N$2,)</f>
        <v>0</v>
      </c>
      <c r="O195" s="155">
        <f ca="1">IF(ISNUMBER(MATCH(DATEVALUE($A195),'changes1_based on steps'!O$1:O$400,0)),O$2,)</f>
        <v>0</v>
      </c>
      <c r="P195" s="155">
        <f ca="1">IF(ISNUMBER(MATCH(DATEVALUE($A195),'changes1_based on steps'!P$1:P$400,0)),P$2,)</f>
        <v>0</v>
      </c>
      <c r="Q195" s="155">
        <f ca="1">IF(ISNUMBER(MATCH(DATEVALUE($A195),'changes1_based on steps'!Q$1:Q$400,0)),Q$2,)</f>
        <v>0</v>
      </c>
      <c r="R195" s="155">
        <f ca="1">IF(ISNUMBER(MATCH(DATEVALUE($A195),'changes1_based on steps'!R$1:R$400,0)),R$2,)</f>
        <v>0</v>
      </c>
      <c r="S195" s="155">
        <f ca="1">IF(ISNUMBER(MATCH(DATEVALUE($A195),'changes1_based on steps'!S$1:S$400,0)),S$2,)</f>
        <v>0</v>
      </c>
      <c r="T195" s="155">
        <f ca="1">IF(ISNUMBER(MATCH(DATEVALUE($A195),'changes1_based on steps'!T$1:T$400,0)),T$2,)</f>
        <v>0</v>
      </c>
      <c r="U195" s="155">
        <f ca="1">IF(ISNUMBER(MATCH(DATEVALUE($A195),'changes1_based on steps'!U$1:U$400,0)),U$2,)</f>
        <v>0</v>
      </c>
    </row>
    <row r="196" spans="1:21" x14ac:dyDescent="0.2">
      <c r="A196" s="18" t="str">
        <f t="shared" ca="1" si="2"/>
        <v>2025-08-13</v>
      </c>
      <c r="B196" s="155">
        <f ca="1">IF(ISNUMBER(MATCH(DATEVALUE($A196),'changes1_based on steps'!B$1:B$400,0)),B$2,)</f>
        <v>100</v>
      </c>
      <c r="C196" s="155">
        <f ca="1">IF(ISNUMBER(MATCH(DATEVALUE($A196),'changes1_based on steps'!C$1:C$400,0)),C$2,)</f>
        <v>0</v>
      </c>
      <c r="D196" s="155">
        <f ca="1">IF(ISNUMBER(MATCH(DATEVALUE($A196),'changes1_based on steps'!D$1:D$400,0)),D$2,)</f>
        <v>0</v>
      </c>
      <c r="E196" s="155">
        <f ca="1">IF(ISNUMBER(MATCH(DATEVALUE($A196),'changes1_based on steps'!E$1:E$400,0)),E$2,)</f>
        <v>0</v>
      </c>
      <c r="F196" s="155">
        <f ca="1">IF(ISNUMBER(MATCH(DATEVALUE($A196),'changes1_based on steps'!F$1:F$400,0)),F$2,)</f>
        <v>0</v>
      </c>
      <c r="G196" s="155">
        <f ca="1">IF(ISNUMBER(MATCH(DATEVALUE($A196),'changes1_based on steps'!G$1:G$400,0)),G$2,)</f>
        <v>0</v>
      </c>
      <c r="H196" s="155">
        <f ca="1">IF(ISNUMBER(MATCH(DATEVALUE($A196),'changes1_based on steps'!H$1:H$400,0)),H$2,)</f>
        <v>0</v>
      </c>
      <c r="I196" s="155">
        <f ca="1">IF(ISNUMBER(MATCH(DATEVALUE($A196),'changes1_based on steps'!I$1:I$400,0)),I$2,)</f>
        <v>0</v>
      </c>
      <c r="J196" s="155">
        <f ca="1">IF(ISNUMBER(MATCH(DATEVALUE($A196),'changes1_based on steps'!J$1:J$400,0)),J$2,)</f>
        <v>0</v>
      </c>
      <c r="K196" s="155">
        <f ca="1">IF(ISNUMBER(MATCH(DATEVALUE($A196),'changes1_based on steps'!K$1:K$400,0)),K$2,)</f>
        <v>0</v>
      </c>
      <c r="L196" s="155">
        <f ca="1">IF(ISNUMBER(MATCH(DATEVALUE($A196),'changes1_based on steps'!L$1:L$400,0)),L$2,)</f>
        <v>0</v>
      </c>
      <c r="M196" s="155">
        <f ca="1">IF(ISNUMBER(MATCH(DATEVALUE($A196),'changes1_based on steps'!M$1:M$400,0)),M$2,)</f>
        <v>0</v>
      </c>
      <c r="N196" s="155">
        <f ca="1">IF(ISNUMBER(MATCH(DATEVALUE($A196),'changes1_based on steps'!N$1:N$400,0)),N$2,)</f>
        <v>0</v>
      </c>
      <c r="O196" s="155">
        <f ca="1">IF(ISNUMBER(MATCH(DATEVALUE($A196),'changes1_based on steps'!O$1:O$400,0)),O$2,)</f>
        <v>0</v>
      </c>
      <c r="P196" s="155">
        <f ca="1">IF(ISNUMBER(MATCH(DATEVALUE($A196),'changes1_based on steps'!P$1:P$400,0)),P$2,)</f>
        <v>0</v>
      </c>
      <c r="Q196" s="155">
        <f ca="1">IF(ISNUMBER(MATCH(DATEVALUE($A196),'changes1_based on steps'!Q$1:Q$400,0)),Q$2,)</f>
        <v>0</v>
      </c>
      <c r="R196" s="155">
        <f ca="1">IF(ISNUMBER(MATCH(DATEVALUE($A196),'changes1_based on steps'!R$1:R$400,0)),R$2,)</f>
        <v>0</v>
      </c>
      <c r="S196" s="155">
        <f ca="1">IF(ISNUMBER(MATCH(DATEVALUE($A196),'changes1_based on steps'!S$1:S$400,0)),S$2,)</f>
        <v>0</v>
      </c>
      <c r="T196" s="155">
        <f ca="1">IF(ISNUMBER(MATCH(DATEVALUE($A196),'changes1_based on steps'!T$1:T$400,0)),T$2,)</f>
        <v>0</v>
      </c>
      <c r="U196" s="155">
        <f ca="1">IF(ISNUMBER(MATCH(DATEVALUE($A196),'changes1_based on steps'!U$1:U$400,0)),U$2,)</f>
        <v>0</v>
      </c>
    </row>
    <row r="197" spans="1:21" x14ac:dyDescent="0.2">
      <c r="A197" s="18" t="str">
        <f t="shared" ref="A197:A260" ca="1" si="3">TEXT(DATEVALUE(A196)+1,"yyyy-mm-dd")</f>
        <v>2025-08-14</v>
      </c>
      <c r="B197" s="155">
        <f ca="1">IF(ISNUMBER(MATCH(DATEVALUE($A197),'changes1_based on steps'!B$1:B$400,0)),B$2,)</f>
        <v>0</v>
      </c>
      <c r="C197" s="155">
        <f ca="1">IF(ISNUMBER(MATCH(DATEVALUE($A197),'changes1_based on steps'!C$1:C$400,0)),C$2,)</f>
        <v>0</v>
      </c>
      <c r="D197" s="155">
        <f ca="1">IF(ISNUMBER(MATCH(DATEVALUE($A197),'changes1_based on steps'!D$1:D$400,0)),D$2,)</f>
        <v>0</v>
      </c>
      <c r="E197" s="155">
        <f ca="1">IF(ISNUMBER(MATCH(DATEVALUE($A197),'changes1_based on steps'!E$1:E$400,0)),E$2,)</f>
        <v>0</v>
      </c>
      <c r="F197" s="155">
        <f ca="1">IF(ISNUMBER(MATCH(DATEVALUE($A197),'changes1_based on steps'!F$1:F$400,0)),F$2,)</f>
        <v>0</v>
      </c>
      <c r="G197" s="155">
        <f ca="1">IF(ISNUMBER(MATCH(DATEVALUE($A197),'changes1_based on steps'!G$1:G$400,0)),G$2,)</f>
        <v>0</v>
      </c>
      <c r="H197" s="155">
        <f ca="1">IF(ISNUMBER(MATCH(DATEVALUE($A197),'changes1_based on steps'!H$1:H$400,0)),H$2,)</f>
        <v>0</v>
      </c>
      <c r="I197" s="155">
        <f ca="1">IF(ISNUMBER(MATCH(DATEVALUE($A197),'changes1_based on steps'!I$1:I$400,0)),I$2,)</f>
        <v>0</v>
      </c>
      <c r="J197" s="155">
        <f ca="1">IF(ISNUMBER(MATCH(DATEVALUE($A197),'changes1_based on steps'!J$1:J$400,0)),J$2,)</f>
        <v>0</v>
      </c>
      <c r="K197" s="155">
        <f ca="1">IF(ISNUMBER(MATCH(DATEVALUE($A197),'changes1_based on steps'!K$1:K$400,0)),K$2,)</f>
        <v>0</v>
      </c>
      <c r="L197" s="155">
        <f ca="1">IF(ISNUMBER(MATCH(DATEVALUE($A197),'changes1_based on steps'!L$1:L$400,0)),L$2,)</f>
        <v>0</v>
      </c>
      <c r="M197" s="155">
        <f ca="1">IF(ISNUMBER(MATCH(DATEVALUE($A197),'changes1_based on steps'!M$1:M$400,0)),M$2,)</f>
        <v>0</v>
      </c>
      <c r="N197" s="155">
        <f ca="1">IF(ISNUMBER(MATCH(DATEVALUE($A197),'changes1_based on steps'!N$1:N$400,0)),N$2,)</f>
        <v>0</v>
      </c>
      <c r="O197" s="155">
        <f ca="1">IF(ISNUMBER(MATCH(DATEVALUE($A197),'changes1_based on steps'!O$1:O$400,0)),O$2,)</f>
        <v>0</v>
      </c>
      <c r="P197" s="155">
        <f ca="1">IF(ISNUMBER(MATCH(DATEVALUE($A197),'changes1_based on steps'!P$1:P$400,0)),P$2,)</f>
        <v>0</v>
      </c>
      <c r="Q197" s="155">
        <f ca="1">IF(ISNUMBER(MATCH(DATEVALUE($A197),'changes1_based on steps'!Q$1:Q$400,0)),Q$2,)</f>
        <v>0</v>
      </c>
      <c r="R197" s="155">
        <f ca="1">IF(ISNUMBER(MATCH(DATEVALUE($A197),'changes1_based on steps'!R$1:R$400,0)),R$2,)</f>
        <v>0</v>
      </c>
      <c r="S197" s="155">
        <f ca="1">IF(ISNUMBER(MATCH(DATEVALUE($A197),'changes1_based on steps'!S$1:S$400,0)),S$2,)</f>
        <v>0</v>
      </c>
      <c r="T197" s="155">
        <f ca="1">IF(ISNUMBER(MATCH(DATEVALUE($A197),'changes1_based on steps'!T$1:T$400,0)),T$2,)</f>
        <v>0</v>
      </c>
      <c r="U197" s="155">
        <f ca="1">IF(ISNUMBER(MATCH(DATEVALUE($A197),'changes1_based on steps'!U$1:U$400,0)),U$2,)</f>
        <v>0</v>
      </c>
    </row>
    <row r="198" spans="1:21" x14ac:dyDescent="0.2">
      <c r="A198" s="18" t="str">
        <f t="shared" ca="1" si="3"/>
        <v>2025-08-15</v>
      </c>
      <c r="B198" s="155">
        <f ca="1">IF(ISNUMBER(MATCH(DATEVALUE($A198),'changes1_based on steps'!B$1:B$400,0)),B$2,)</f>
        <v>0</v>
      </c>
      <c r="C198" s="155">
        <f ca="1">IF(ISNUMBER(MATCH(DATEVALUE($A198),'changes1_based on steps'!C$1:C$400,0)),C$2,)</f>
        <v>0</v>
      </c>
      <c r="D198" s="155">
        <f ca="1">IF(ISNUMBER(MATCH(DATEVALUE($A198),'changes1_based on steps'!D$1:D$400,0)),D$2,)</f>
        <v>0</v>
      </c>
      <c r="E198" s="155">
        <f ca="1">IF(ISNUMBER(MATCH(DATEVALUE($A198),'changes1_based on steps'!E$1:E$400,0)),E$2,)</f>
        <v>0</v>
      </c>
      <c r="F198" s="155">
        <f ca="1">IF(ISNUMBER(MATCH(DATEVALUE($A198),'changes1_based on steps'!F$1:F$400,0)),F$2,)</f>
        <v>0</v>
      </c>
      <c r="G198" s="155">
        <f ca="1">IF(ISNUMBER(MATCH(DATEVALUE($A198),'changes1_based on steps'!G$1:G$400,0)),G$2,)</f>
        <v>0</v>
      </c>
      <c r="H198" s="155">
        <f ca="1">IF(ISNUMBER(MATCH(DATEVALUE($A198),'changes1_based on steps'!H$1:H$400,0)),H$2,)</f>
        <v>0</v>
      </c>
      <c r="I198" s="155">
        <f ca="1">IF(ISNUMBER(MATCH(DATEVALUE($A198),'changes1_based on steps'!I$1:I$400,0)),I$2,)</f>
        <v>0</v>
      </c>
      <c r="J198" s="155">
        <f ca="1">IF(ISNUMBER(MATCH(DATEVALUE($A198),'changes1_based on steps'!J$1:J$400,0)),J$2,)</f>
        <v>0</v>
      </c>
      <c r="K198" s="155">
        <f ca="1">IF(ISNUMBER(MATCH(DATEVALUE($A198),'changes1_based on steps'!K$1:K$400,0)),K$2,)</f>
        <v>0</v>
      </c>
      <c r="L198" s="155">
        <f ca="1">IF(ISNUMBER(MATCH(DATEVALUE($A198),'changes1_based on steps'!L$1:L$400,0)),L$2,)</f>
        <v>0</v>
      </c>
      <c r="M198" s="155">
        <f ca="1">IF(ISNUMBER(MATCH(DATEVALUE($A198),'changes1_based on steps'!M$1:M$400,0)),M$2,)</f>
        <v>0</v>
      </c>
      <c r="N198" s="155">
        <f ca="1">IF(ISNUMBER(MATCH(DATEVALUE($A198),'changes1_based on steps'!N$1:N$400,0)),N$2,)</f>
        <v>0</v>
      </c>
      <c r="O198" s="155">
        <f ca="1">IF(ISNUMBER(MATCH(DATEVALUE($A198),'changes1_based on steps'!O$1:O$400,0)),O$2,)</f>
        <v>0</v>
      </c>
      <c r="P198" s="155">
        <f ca="1">IF(ISNUMBER(MATCH(DATEVALUE($A198),'changes1_based on steps'!P$1:P$400,0)),P$2,)</f>
        <v>0</v>
      </c>
      <c r="Q198" s="155">
        <f ca="1">IF(ISNUMBER(MATCH(DATEVALUE($A198),'changes1_based on steps'!Q$1:Q$400,0)),Q$2,)</f>
        <v>0</v>
      </c>
      <c r="R198" s="155">
        <f ca="1">IF(ISNUMBER(MATCH(DATEVALUE($A198),'changes1_based on steps'!R$1:R$400,0)),R$2,)</f>
        <v>0</v>
      </c>
      <c r="S198" s="155">
        <f ca="1">IF(ISNUMBER(MATCH(DATEVALUE($A198),'changes1_based on steps'!S$1:S$400,0)),S$2,)</f>
        <v>0</v>
      </c>
      <c r="T198" s="155">
        <f ca="1">IF(ISNUMBER(MATCH(DATEVALUE($A198),'changes1_based on steps'!T$1:T$400,0)),T$2,)</f>
        <v>0</v>
      </c>
      <c r="U198" s="155">
        <f ca="1">IF(ISNUMBER(MATCH(DATEVALUE($A198),'changes1_based on steps'!U$1:U$400,0)),U$2,)</f>
        <v>0</v>
      </c>
    </row>
    <row r="199" spans="1:21" x14ac:dyDescent="0.2">
      <c r="A199" s="18" t="str">
        <f t="shared" ca="1" si="3"/>
        <v>2025-08-16</v>
      </c>
      <c r="B199" s="155">
        <f ca="1">IF(ISNUMBER(MATCH(DATEVALUE($A199),'changes1_based on steps'!B$1:B$400,0)),B$2,)</f>
        <v>0</v>
      </c>
      <c r="C199" s="155">
        <f ca="1">IF(ISNUMBER(MATCH(DATEVALUE($A199),'changes1_based on steps'!C$1:C$400,0)),C$2,)</f>
        <v>0</v>
      </c>
      <c r="D199" s="155">
        <f ca="1">IF(ISNUMBER(MATCH(DATEVALUE($A199),'changes1_based on steps'!D$1:D$400,0)),D$2,)</f>
        <v>0</v>
      </c>
      <c r="E199" s="155">
        <f ca="1">IF(ISNUMBER(MATCH(DATEVALUE($A199),'changes1_based on steps'!E$1:E$400,0)),E$2,)</f>
        <v>0</v>
      </c>
      <c r="F199" s="155">
        <f ca="1">IF(ISNUMBER(MATCH(DATEVALUE($A199),'changes1_based on steps'!F$1:F$400,0)),F$2,)</f>
        <v>0</v>
      </c>
      <c r="G199" s="155">
        <f ca="1">IF(ISNUMBER(MATCH(DATEVALUE($A199),'changes1_based on steps'!G$1:G$400,0)),G$2,)</f>
        <v>0</v>
      </c>
      <c r="H199" s="155">
        <f ca="1">IF(ISNUMBER(MATCH(DATEVALUE($A199),'changes1_based on steps'!H$1:H$400,0)),H$2,)</f>
        <v>0</v>
      </c>
      <c r="I199" s="155">
        <f ca="1">IF(ISNUMBER(MATCH(DATEVALUE($A199),'changes1_based on steps'!I$1:I$400,0)),I$2,)</f>
        <v>0</v>
      </c>
      <c r="J199" s="155">
        <f ca="1">IF(ISNUMBER(MATCH(DATEVALUE($A199),'changes1_based on steps'!J$1:J$400,0)),J$2,)</f>
        <v>0</v>
      </c>
      <c r="K199" s="155">
        <f ca="1">IF(ISNUMBER(MATCH(DATEVALUE($A199),'changes1_based on steps'!K$1:K$400,0)),K$2,)</f>
        <v>0</v>
      </c>
      <c r="L199" s="155">
        <f ca="1">IF(ISNUMBER(MATCH(DATEVALUE($A199),'changes1_based on steps'!L$1:L$400,0)),L$2,)</f>
        <v>0</v>
      </c>
      <c r="M199" s="155">
        <f ca="1">IF(ISNUMBER(MATCH(DATEVALUE($A199),'changes1_based on steps'!M$1:M$400,0)),M$2,)</f>
        <v>0</v>
      </c>
      <c r="N199" s="155">
        <f ca="1">IF(ISNUMBER(MATCH(DATEVALUE($A199),'changes1_based on steps'!N$1:N$400,0)),N$2,)</f>
        <v>0</v>
      </c>
      <c r="O199" s="155">
        <f ca="1">IF(ISNUMBER(MATCH(DATEVALUE($A199),'changes1_based on steps'!O$1:O$400,0)),O$2,)</f>
        <v>0</v>
      </c>
      <c r="P199" s="155">
        <f ca="1">IF(ISNUMBER(MATCH(DATEVALUE($A199),'changes1_based on steps'!P$1:P$400,0)),P$2,)</f>
        <v>0</v>
      </c>
      <c r="Q199" s="155">
        <f ca="1">IF(ISNUMBER(MATCH(DATEVALUE($A199),'changes1_based on steps'!Q$1:Q$400,0)),Q$2,)</f>
        <v>0</v>
      </c>
      <c r="R199" s="155">
        <f ca="1">IF(ISNUMBER(MATCH(DATEVALUE($A199),'changes1_based on steps'!R$1:R$400,0)),R$2,)</f>
        <v>0</v>
      </c>
      <c r="S199" s="155">
        <f ca="1">IF(ISNUMBER(MATCH(DATEVALUE($A199),'changes1_based on steps'!S$1:S$400,0)),S$2,)</f>
        <v>0</v>
      </c>
      <c r="T199" s="155">
        <f ca="1">IF(ISNUMBER(MATCH(DATEVALUE($A199),'changes1_based on steps'!T$1:T$400,0)),T$2,)</f>
        <v>0</v>
      </c>
      <c r="U199" s="155">
        <f ca="1">IF(ISNUMBER(MATCH(DATEVALUE($A199),'changes1_based on steps'!U$1:U$400,0)),U$2,)</f>
        <v>0</v>
      </c>
    </row>
    <row r="200" spans="1:21" x14ac:dyDescent="0.2">
      <c r="A200" s="18" t="str">
        <f t="shared" ca="1" si="3"/>
        <v>2025-08-17</v>
      </c>
      <c r="B200" s="155">
        <f ca="1">IF(ISNUMBER(MATCH(DATEVALUE($A200),'changes1_based on steps'!B$1:B$400,0)),B$2,)</f>
        <v>0</v>
      </c>
      <c r="C200" s="155">
        <f ca="1">IF(ISNUMBER(MATCH(DATEVALUE($A200),'changes1_based on steps'!C$1:C$400,0)),C$2,)</f>
        <v>0</v>
      </c>
      <c r="D200" s="155">
        <f ca="1">IF(ISNUMBER(MATCH(DATEVALUE($A200),'changes1_based on steps'!D$1:D$400,0)),D$2,)</f>
        <v>0</v>
      </c>
      <c r="E200" s="155">
        <f ca="1">IF(ISNUMBER(MATCH(DATEVALUE($A200),'changes1_based on steps'!E$1:E$400,0)),E$2,)</f>
        <v>0</v>
      </c>
      <c r="F200" s="155">
        <f ca="1">IF(ISNUMBER(MATCH(DATEVALUE($A200),'changes1_based on steps'!F$1:F$400,0)),F$2,)</f>
        <v>0</v>
      </c>
      <c r="G200" s="155">
        <f ca="1">IF(ISNUMBER(MATCH(DATEVALUE($A200),'changes1_based on steps'!G$1:G$400,0)),G$2,)</f>
        <v>0</v>
      </c>
      <c r="H200" s="155">
        <f ca="1">IF(ISNUMBER(MATCH(DATEVALUE($A200),'changes1_based on steps'!H$1:H$400,0)),H$2,)</f>
        <v>0</v>
      </c>
      <c r="I200" s="155">
        <f ca="1">IF(ISNUMBER(MATCH(DATEVALUE($A200),'changes1_based on steps'!I$1:I$400,0)),I$2,)</f>
        <v>0</v>
      </c>
      <c r="J200" s="155">
        <f ca="1">IF(ISNUMBER(MATCH(DATEVALUE($A200),'changes1_based on steps'!J$1:J$400,0)),J$2,)</f>
        <v>0</v>
      </c>
      <c r="K200" s="155">
        <f ca="1">IF(ISNUMBER(MATCH(DATEVALUE($A200),'changes1_based on steps'!K$1:K$400,0)),K$2,)</f>
        <v>0</v>
      </c>
      <c r="L200" s="155">
        <f ca="1">IF(ISNUMBER(MATCH(DATEVALUE($A200),'changes1_based on steps'!L$1:L$400,0)),L$2,)</f>
        <v>0</v>
      </c>
      <c r="M200" s="155">
        <f ca="1">IF(ISNUMBER(MATCH(DATEVALUE($A200),'changes1_based on steps'!M$1:M$400,0)),M$2,)</f>
        <v>0</v>
      </c>
      <c r="N200" s="155">
        <f ca="1">IF(ISNUMBER(MATCH(DATEVALUE($A200),'changes1_based on steps'!N$1:N$400,0)),N$2,)</f>
        <v>0</v>
      </c>
      <c r="O200" s="155">
        <f ca="1">IF(ISNUMBER(MATCH(DATEVALUE($A200),'changes1_based on steps'!O$1:O$400,0)),O$2,)</f>
        <v>0</v>
      </c>
      <c r="P200" s="155">
        <f ca="1">IF(ISNUMBER(MATCH(DATEVALUE($A200),'changes1_based on steps'!P$1:P$400,0)),P$2,)</f>
        <v>0</v>
      </c>
      <c r="Q200" s="155">
        <f ca="1">IF(ISNUMBER(MATCH(DATEVALUE($A200),'changes1_based on steps'!Q$1:Q$400,0)),Q$2,)</f>
        <v>0</v>
      </c>
      <c r="R200" s="155">
        <f ca="1">IF(ISNUMBER(MATCH(DATEVALUE($A200),'changes1_based on steps'!R$1:R$400,0)),R$2,)</f>
        <v>0</v>
      </c>
      <c r="S200" s="155">
        <f ca="1">IF(ISNUMBER(MATCH(DATEVALUE($A200),'changes1_based on steps'!S$1:S$400,0)),S$2,)</f>
        <v>0</v>
      </c>
      <c r="T200" s="155">
        <f ca="1">IF(ISNUMBER(MATCH(DATEVALUE($A200),'changes1_based on steps'!T$1:T$400,0)),T$2,)</f>
        <v>0</v>
      </c>
      <c r="U200" s="155">
        <f ca="1">IF(ISNUMBER(MATCH(DATEVALUE($A200),'changes1_based on steps'!U$1:U$400,0)),U$2,)</f>
        <v>0</v>
      </c>
    </row>
    <row r="201" spans="1:21" x14ac:dyDescent="0.2">
      <c r="A201" s="18" t="str">
        <f t="shared" ca="1" si="3"/>
        <v>2025-08-18</v>
      </c>
      <c r="B201" s="155">
        <f ca="1">IF(ISNUMBER(MATCH(DATEVALUE($A201),'changes1_based on steps'!B$1:B$400,0)),B$2,)</f>
        <v>0</v>
      </c>
      <c r="C201" s="155">
        <f ca="1">IF(ISNUMBER(MATCH(DATEVALUE($A201),'changes1_based on steps'!C$1:C$400,0)),C$2,)</f>
        <v>0</v>
      </c>
      <c r="D201" s="155">
        <f ca="1">IF(ISNUMBER(MATCH(DATEVALUE($A201),'changes1_based on steps'!D$1:D$400,0)),D$2,)</f>
        <v>0</v>
      </c>
      <c r="E201" s="155">
        <f ca="1">IF(ISNUMBER(MATCH(DATEVALUE($A201),'changes1_based on steps'!E$1:E$400,0)),E$2,)</f>
        <v>0</v>
      </c>
      <c r="F201" s="155">
        <f ca="1">IF(ISNUMBER(MATCH(DATEVALUE($A201),'changes1_based on steps'!F$1:F$400,0)),F$2,)</f>
        <v>0</v>
      </c>
      <c r="G201" s="155">
        <f ca="1">IF(ISNUMBER(MATCH(DATEVALUE($A201),'changes1_based on steps'!G$1:G$400,0)),G$2,)</f>
        <v>0</v>
      </c>
      <c r="H201" s="155">
        <f ca="1">IF(ISNUMBER(MATCH(DATEVALUE($A201),'changes1_based on steps'!H$1:H$400,0)),H$2,)</f>
        <v>0</v>
      </c>
      <c r="I201" s="155">
        <f ca="1">IF(ISNUMBER(MATCH(DATEVALUE($A201),'changes1_based on steps'!I$1:I$400,0)),I$2,)</f>
        <v>0</v>
      </c>
      <c r="J201" s="155">
        <f ca="1">IF(ISNUMBER(MATCH(DATEVALUE($A201),'changes1_based on steps'!J$1:J$400,0)),J$2,)</f>
        <v>0</v>
      </c>
      <c r="K201" s="155">
        <f ca="1">IF(ISNUMBER(MATCH(DATEVALUE($A201),'changes1_based on steps'!K$1:K$400,0)),K$2,)</f>
        <v>0</v>
      </c>
      <c r="L201" s="155">
        <f ca="1">IF(ISNUMBER(MATCH(DATEVALUE($A201),'changes1_based on steps'!L$1:L$400,0)),L$2,)</f>
        <v>0</v>
      </c>
      <c r="M201" s="155">
        <f ca="1">IF(ISNUMBER(MATCH(DATEVALUE($A201),'changes1_based on steps'!M$1:M$400,0)),M$2,)</f>
        <v>0</v>
      </c>
      <c r="N201" s="155">
        <f ca="1">IF(ISNUMBER(MATCH(DATEVALUE($A201),'changes1_based on steps'!N$1:N$400,0)),N$2,)</f>
        <v>0</v>
      </c>
      <c r="O201" s="155">
        <f ca="1">IF(ISNUMBER(MATCH(DATEVALUE($A201),'changes1_based on steps'!O$1:O$400,0)),O$2,)</f>
        <v>0</v>
      </c>
      <c r="P201" s="155">
        <f ca="1">IF(ISNUMBER(MATCH(DATEVALUE($A201),'changes1_based on steps'!P$1:P$400,0)),P$2,)</f>
        <v>0</v>
      </c>
      <c r="Q201" s="155">
        <f ca="1">IF(ISNUMBER(MATCH(DATEVALUE($A201),'changes1_based on steps'!Q$1:Q$400,0)),Q$2,)</f>
        <v>0</v>
      </c>
      <c r="R201" s="155">
        <f ca="1">IF(ISNUMBER(MATCH(DATEVALUE($A201),'changes1_based on steps'!R$1:R$400,0)),R$2,)</f>
        <v>0</v>
      </c>
      <c r="S201" s="155">
        <f ca="1">IF(ISNUMBER(MATCH(DATEVALUE($A201),'changes1_based on steps'!S$1:S$400,0)),S$2,)</f>
        <v>0</v>
      </c>
      <c r="T201" s="155">
        <f ca="1">IF(ISNUMBER(MATCH(DATEVALUE($A201),'changes1_based on steps'!T$1:T$400,0)),T$2,)</f>
        <v>0</v>
      </c>
      <c r="U201" s="155">
        <f ca="1">IF(ISNUMBER(MATCH(DATEVALUE($A201),'changes1_based on steps'!U$1:U$400,0)),U$2,)</f>
        <v>0</v>
      </c>
    </row>
    <row r="202" spans="1:21" x14ac:dyDescent="0.2">
      <c r="A202" s="18" t="str">
        <f t="shared" ca="1" si="3"/>
        <v>2025-08-19</v>
      </c>
      <c r="B202" s="155">
        <f ca="1">IF(ISNUMBER(MATCH(DATEVALUE($A202),'changes1_based on steps'!B$1:B$400,0)),B$2,)</f>
        <v>0</v>
      </c>
      <c r="C202" s="155">
        <f ca="1">IF(ISNUMBER(MATCH(DATEVALUE($A202),'changes1_based on steps'!C$1:C$400,0)),C$2,)</f>
        <v>0</v>
      </c>
      <c r="D202" s="155">
        <f ca="1">IF(ISNUMBER(MATCH(DATEVALUE($A202),'changes1_based on steps'!D$1:D$400,0)),D$2,)</f>
        <v>0</v>
      </c>
      <c r="E202" s="155">
        <f ca="1">IF(ISNUMBER(MATCH(DATEVALUE($A202),'changes1_based on steps'!E$1:E$400,0)),E$2,)</f>
        <v>0</v>
      </c>
      <c r="F202" s="155">
        <f ca="1">IF(ISNUMBER(MATCH(DATEVALUE($A202),'changes1_based on steps'!F$1:F$400,0)),F$2,)</f>
        <v>0</v>
      </c>
      <c r="G202" s="155">
        <f ca="1">IF(ISNUMBER(MATCH(DATEVALUE($A202),'changes1_based on steps'!G$1:G$400,0)),G$2,)</f>
        <v>0</v>
      </c>
      <c r="H202" s="155">
        <f ca="1">IF(ISNUMBER(MATCH(DATEVALUE($A202),'changes1_based on steps'!H$1:H$400,0)),H$2,)</f>
        <v>0</v>
      </c>
      <c r="I202" s="155">
        <f ca="1">IF(ISNUMBER(MATCH(DATEVALUE($A202),'changes1_based on steps'!I$1:I$400,0)),I$2,)</f>
        <v>0</v>
      </c>
      <c r="J202" s="155">
        <f ca="1">IF(ISNUMBER(MATCH(DATEVALUE($A202),'changes1_based on steps'!J$1:J$400,0)),J$2,)</f>
        <v>0</v>
      </c>
      <c r="K202" s="155">
        <f ca="1">IF(ISNUMBER(MATCH(DATEVALUE($A202),'changes1_based on steps'!K$1:K$400,0)),K$2,)</f>
        <v>0</v>
      </c>
      <c r="L202" s="155">
        <f ca="1">IF(ISNUMBER(MATCH(DATEVALUE($A202),'changes1_based on steps'!L$1:L$400,0)),L$2,)</f>
        <v>0</v>
      </c>
      <c r="M202" s="155">
        <f ca="1">IF(ISNUMBER(MATCH(DATEVALUE($A202),'changes1_based on steps'!M$1:M$400,0)),M$2,)</f>
        <v>0</v>
      </c>
      <c r="N202" s="155">
        <f ca="1">IF(ISNUMBER(MATCH(DATEVALUE($A202),'changes1_based on steps'!N$1:N$400,0)),N$2,)</f>
        <v>0</v>
      </c>
      <c r="O202" s="155">
        <f ca="1">IF(ISNUMBER(MATCH(DATEVALUE($A202),'changes1_based on steps'!O$1:O$400,0)),O$2,)</f>
        <v>0</v>
      </c>
      <c r="P202" s="155">
        <f ca="1">IF(ISNUMBER(MATCH(DATEVALUE($A202),'changes1_based on steps'!P$1:P$400,0)),P$2,)</f>
        <v>0</v>
      </c>
      <c r="Q202" s="155">
        <f ca="1">IF(ISNUMBER(MATCH(DATEVALUE($A202),'changes1_based on steps'!Q$1:Q$400,0)),Q$2,)</f>
        <v>0</v>
      </c>
      <c r="R202" s="155">
        <f ca="1">IF(ISNUMBER(MATCH(DATEVALUE($A202),'changes1_based on steps'!R$1:R$400,0)),R$2,)</f>
        <v>0</v>
      </c>
      <c r="S202" s="155">
        <f ca="1">IF(ISNUMBER(MATCH(DATEVALUE($A202),'changes1_based on steps'!S$1:S$400,0)),S$2,)</f>
        <v>0</v>
      </c>
      <c r="T202" s="155">
        <f ca="1">IF(ISNUMBER(MATCH(DATEVALUE($A202),'changes1_based on steps'!T$1:T$400,0)),T$2,)</f>
        <v>0</v>
      </c>
      <c r="U202" s="155">
        <f ca="1">IF(ISNUMBER(MATCH(DATEVALUE($A202),'changes1_based on steps'!U$1:U$400,0)),U$2,)</f>
        <v>0</v>
      </c>
    </row>
    <row r="203" spans="1:21" x14ac:dyDescent="0.2">
      <c r="A203" s="18" t="str">
        <f t="shared" ca="1" si="3"/>
        <v>2025-08-20</v>
      </c>
      <c r="B203" s="155">
        <f ca="1">IF(ISNUMBER(MATCH(DATEVALUE($A203),'changes1_based on steps'!B$1:B$400,0)),B$2,)</f>
        <v>0</v>
      </c>
      <c r="C203" s="155">
        <f ca="1">IF(ISNUMBER(MATCH(DATEVALUE($A203),'changes1_based on steps'!C$1:C$400,0)),C$2,)</f>
        <v>0</v>
      </c>
      <c r="D203" s="155">
        <f ca="1">IF(ISNUMBER(MATCH(DATEVALUE($A203),'changes1_based on steps'!D$1:D$400,0)),D$2,)</f>
        <v>0</v>
      </c>
      <c r="E203" s="155">
        <f ca="1">IF(ISNUMBER(MATCH(DATEVALUE($A203),'changes1_based on steps'!E$1:E$400,0)),E$2,)</f>
        <v>0</v>
      </c>
      <c r="F203" s="155">
        <f ca="1">IF(ISNUMBER(MATCH(DATEVALUE($A203),'changes1_based on steps'!F$1:F$400,0)),F$2,)</f>
        <v>0</v>
      </c>
      <c r="G203" s="155">
        <f ca="1">IF(ISNUMBER(MATCH(DATEVALUE($A203),'changes1_based on steps'!G$1:G$400,0)),G$2,)</f>
        <v>0</v>
      </c>
      <c r="H203" s="155">
        <f ca="1">IF(ISNUMBER(MATCH(DATEVALUE($A203),'changes1_based on steps'!H$1:H$400,0)),H$2,)</f>
        <v>0</v>
      </c>
      <c r="I203" s="155">
        <f ca="1">IF(ISNUMBER(MATCH(DATEVALUE($A203),'changes1_based on steps'!I$1:I$400,0)),I$2,)</f>
        <v>0</v>
      </c>
      <c r="J203" s="155">
        <f ca="1">IF(ISNUMBER(MATCH(DATEVALUE($A203),'changes1_based on steps'!J$1:J$400,0)),J$2,)</f>
        <v>0</v>
      </c>
      <c r="K203" s="155">
        <f ca="1">IF(ISNUMBER(MATCH(DATEVALUE($A203),'changes1_based on steps'!K$1:K$400,0)),K$2,)</f>
        <v>0</v>
      </c>
      <c r="L203" s="155">
        <f ca="1">IF(ISNUMBER(MATCH(DATEVALUE($A203),'changes1_based on steps'!L$1:L$400,0)),L$2,)</f>
        <v>0</v>
      </c>
      <c r="M203" s="155">
        <f ca="1">IF(ISNUMBER(MATCH(DATEVALUE($A203),'changes1_based on steps'!M$1:M$400,0)),M$2,)</f>
        <v>0</v>
      </c>
      <c r="N203" s="155">
        <f ca="1">IF(ISNUMBER(MATCH(DATEVALUE($A203),'changes1_based on steps'!N$1:N$400,0)),N$2,)</f>
        <v>0</v>
      </c>
      <c r="O203" s="155">
        <f ca="1">IF(ISNUMBER(MATCH(DATEVALUE($A203),'changes1_based on steps'!O$1:O$400,0)),O$2,)</f>
        <v>0</v>
      </c>
      <c r="P203" s="155">
        <f ca="1">IF(ISNUMBER(MATCH(DATEVALUE($A203),'changes1_based on steps'!P$1:P$400,0)),P$2,)</f>
        <v>0</v>
      </c>
      <c r="Q203" s="155">
        <f ca="1">IF(ISNUMBER(MATCH(DATEVALUE($A203),'changes1_based on steps'!Q$1:Q$400,0)),Q$2,)</f>
        <v>0</v>
      </c>
      <c r="R203" s="155">
        <f ca="1">IF(ISNUMBER(MATCH(DATEVALUE($A203),'changes1_based on steps'!R$1:R$400,0)),R$2,)</f>
        <v>0</v>
      </c>
      <c r="S203" s="155">
        <f ca="1">IF(ISNUMBER(MATCH(DATEVALUE($A203),'changes1_based on steps'!S$1:S$400,0)),S$2,)</f>
        <v>0</v>
      </c>
      <c r="T203" s="155">
        <f ca="1">IF(ISNUMBER(MATCH(DATEVALUE($A203),'changes1_based on steps'!T$1:T$400,0)),T$2,)</f>
        <v>0</v>
      </c>
      <c r="U203" s="155">
        <f ca="1">IF(ISNUMBER(MATCH(DATEVALUE($A203),'changes1_based on steps'!U$1:U$400,0)),U$2,)</f>
        <v>0</v>
      </c>
    </row>
    <row r="204" spans="1:21" x14ac:dyDescent="0.2">
      <c r="A204" s="18" t="str">
        <f t="shared" ca="1" si="3"/>
        <v>2025-08-21</v>
      </c>
      <c r="B204" s="155">
        <f ca="1">IF(ISNUMBER(MATCH(DATEVALUE($A204),'changes1_based on steps'!B$1:B$400,0)),B$2,)</f>
        <v>0</v>
      </c>
      <c r="C204" s="155">
        <f ca="1">IF(ISNUMBER(MATCH(DATEVALUE($A204),'changes1_based on steps'!C$1:C$400,0)),C$2,)</f>
        <v>0</v>
      </c>
      <c r="D204" s="155">
        <f ca="1">IF(ISNUMBER(MATCH(DATEVALUE($A204),'changes1_based on steps'!D$1:D$400,0)),D$2,)</f>
        <v>0</v>
      </c>
      <c r="E204" s="155">
        <f ca="1">IF(ISNUMBER(MATCH(DATEVALUE($A204),'changes1_based on steps'!E$1:E$400,0)),E$2,)</f>
        <v>0</v>
      </c>
      <c r="F204" s="155">
        <f ca="1">IF(ISNUMBER(MATCH(DATEVALUE($A204),'changes1_based on steps'!F$1:F$400,0)),F$2,)</f>
        <v>0</v>
      </c>
      <c r="G204" s="155">
        <f ca="1">IF(ISNUMBER(MATCH(DATEVALUE($A204),'changes1_based on steps'!G$1:G$400,0)),G$2,)</f>
        <v>0</v>
      </c>
      <c r="H204" s="155">
        <f ca="1">IF(ISNUMBER(MATCH(DATEVALUE($A204),'changes1_based on steps'!H$1:H$400,0)),H$2,)</f>
        <v>0</v>
      </c>
      <c r="I204" s="155">
        <f ca="1">IF(ISNUMBER(MATCH(DATEVALUE($A204),'changes1_based on steps'!I$1:I$400,0)),I$2,)</f>
        <v>0</v>
      </c>
      <c r="J204" s="155">
        <f ca="1">IF(ISNUMBER(MATCH(DATEVALUE($A204),'changes1_based on steps'!J$1:J$400,0)),J$2,)</f>
        <v>0</v>
      </c>
      <c r="K204" s="155">
        <f ca="1">IF(ISNUMBER(MATCH(DATEVALUE($A204),'changes1_based on steps'!K$1:K$400,0)),K$2,)</f>
        <v>0</v>
      </c>
      <c r="L204" s="155">
        <f ca="1">IF(ISNUMBER(MATCH(DATEVALUE($A204),'changes1_based on steps'!L$1:L$400,0)),L$2,)</f>
        <v>0</v>
      </c>
      <c r="M204" s="155">
        <f ca="1">IF(ISNUMBER(MATCH(DATEVALUE($A204),'changes1_based on steps'!M$1:M$400,0)),M$2,)</f>
        <v>0</v>
      </c>
      <c r="N204" s="155">
        <f ca="1">IF(ISNUMBER(MATCH(DATEVALUE($A204),'changes1_based on steps'!N$1:N$400,0)),N$2,)</f>
        <v>0</v>
      </c>
      <c r="O204" s="155">
        <f ca="1">IF(ISNUMBER(MATCH(DATEVALUE($A204),'changes1_based on steps'!O$1:O$400,0)),O$2,)</f>
        <v>0</v>
      </c>
      <c r="P204" s="155">
        <f ca="1">IF(ISNUMBER(MATCH(DATEVALUE($A204),'changes1_based on steps'!P$1:P$400,0)),P$2,)</f>
        <v>0</v>
      </c>
      <c r="Q204" s="155">
        <f ca="1">IF(ISNUMBER(MATCH(DATEVALUE($A204),'changes1_based on steps'!Q$1:Q$400,0)),Q$2,)</f>
        <v>0</v>
      </c>
      <c r="R204" s="155">
        <f ca="1">IF(ISNUMBER(MATCH(DATEVALUE($A204),'changes1_based on steps'!R$1:R$400,0)),R$2,)</f>
        <v>0</v>
      </c>
      <c r="S204" s="155">
        <f ca="1">IF(ISNUMBER(MATCH(DATEVALUE($A204),'changes1_based on steps'!S$1:S$400,0)),S$2,)</f>
        <v>0</v>
      </c>
      <c r="T204" s="155">
        <f ca="1">IF(ISNUMBER(MATCH(DATEVALUE($A204),'changes1_based on steps'!T$1:T$400,0)),T$2,)</f>
        <v>0</v>
      </c>
      <c r="U204" s="155">
        <f ca="1">IF(ISNUMBER(MATCH(DATEVALUE($A204),'changes1_based on steps'!U$1:U$400,0)),U$2,)</f>
        <v>0</v>
      </c>
    </row>
    <row r="205" spans="1:21" x14ac:dyDescent="0.2">
      <c r="A205" s="18" t="str">
        <f t="shared" ca="1" si="3"/>
        <v>2025-08-22</v>
      </c>
      <c r="B205" s="155">
        <f ca="1">IF(ISNUMBER(MATCH(DATEVALUE($A205),'changes1_based on steps'!B$1:B$400,0)),B$2,)</f>
        <v>0</v>
      </c>
      <c r="C205" s="155">
        <f ca="1">IF(ISNUMBER(MATCH(DATEVALUE($A205),'changes1_based on steps'!C$1:C$400,0)),C$2,)</f>
        <v>0</v>
      </c>
      <c r="D205" s="155">
        <f ca="1">IF(ISNUMBER(MATCH(DATEVALUE($A205),'changes1_based on steps'!D$1:D$400,0)),D$2,)</f>
        <v>0</v>
      </c>
      <c r="E205" s="155">
        <f ca="1">IF(ISNUMBER(MATCH(DATEVALUE($A205),'changes1_based on steps'!E$1:E$400,0)),E$2,)</f>
        <v>0</v>
      </c>
      <c r="F205" s="155">
        <f ca="1">IF(ISNUMBER(MATCH(DATEVALUE($A205),'changes1_based on steps'!F$1:F$400,0)),F$2,)</f>
        <v>0</v>
      </c>
      <c r="G205" s="155">
        <f ca="1">IF(ISNUMBER(MATCH(DATEVALUE($A205),'changes1_based on steps'!G$1:G$400,0)),G$2,)</f>
        <v>0</v>
      </c>
      <c r="H205" s="155">
        <f ca="1">IF(ISNUMBER(MATCH(DATEVALUE($A205),'changes1_based on steps'!H$1:H$400,0)),H$2,)</f>
        <v>0</v>
      </c>
      <c r="I205" s="155">
        <f ca="1">IF(ISNUMBER(MATCH(DATEVALUE($A205),'changes1_based on steps'!I$1:I$400,0)),I$2,)</f>
        <v>0</v>
      </c>
      <c r="J205" s="155">
        <f ca="1">IF(ISNUMBER(MATCH(DATEVALUE($A205),'changes1_based on steps'!J$1:J$400,0)),J$2,)</f>
        <v>0</v>
      </c>
      <c r="K205" s="155">
        <f ca="1">IF(ISNUMBER(MATCH(DATEVALUE($A205),'changes1_based on steps'!K$1:K$400,0)),K$2,)</f>
        <v>0</v>
      </c>
      <c r="L205" s="155">
        <f ca="1">IF(ISNUMBER(MATCH(DATEVALUE($A205),'changes1_based on steps'!L$1:L$400,0)),L$2,)</f>
        <v>0</v>
      </c>
      <c r="M205" s="155">
        <f ca="1">IF(ISNUMBER(MATCH(DATEVALUE($A205),'changes1_based on steps'!M$1:M$400,0)),M$2,)</f>
        <v>0</v>
      </c>
      <c r="N205" s="155">
        <f ca="1">IF(ISNUMBER(MATCH(DATEVALUE($A205),'changes1_based on steps'!N$1:N$400,0)),N$2,)</f>
        <v>0</v>
      </c>
      <c r="O205" s="155">
        <f ca="1">IF(ISNUMBER(MATCH(DATEVALUE($A205),'changes1_based on steps'!O$1:O$400,0)),O$2,)</f>
        <v>0</v>
      </c>
      <c r="P205" s="155">
        <f ca="1">IF(ISNUMBER(MATCH(DATEVALUE($A205),'changes1_based on steps'!P$1:P$400,0)),P$2,)</f>
        <v>0</v>
      </c>
      <c r="Q205" s="155">
        <f ca="1">IF(ISNUMBER(MATCH(DATEVALUE($A205),'changes1_based on steps'!Q$1:Q$400,0)),Q$2,)</f>
        <v>0</v>
      </c>
      <c r="R205" s="155">
        <f ca="1">IF(ISNUMBER(MATCH(DATEVALUE($A205),'changes1_based on steps'!R$1:R$400,0)),R$2,)</f>
        <v>0</v>
      </c>
      <c r="S205" s="155">
        <f ca="1">IF(ISNUMBER(MATCH(DATEVALUE($A205),'changes1_based on steps'!S$1:S$400,0)),S$2,)</f>
        <v>0</v>
      </c>
      <c r="T205" s="155">
        <f ca="1">IF(ISNUMBER(MATCH(DATEVALUE($A205),'changes1_based on steps'!T$1:T$400,0)),T$2,)</f>
        <v>0</v>
      </c>
      <c r="U205" s="155">
        <f ca="1">IF(ISNUMBER(MATCH(DATEVALUE($A205),'changes1_based on steps'!U$1:U$400,0)),U$2,)</f>
        <v>0</v>
      </c>
    </row>
    <row r="206" spans="1:21" x14ac:dyDescent="0.2">
      <c r="A206" s="18" t="str">
        <f t="shared" ca="1" si="3"/>
        <v>2025-08-23</v>
      </c>
      <c r="B206" s="155">
        <f ca="1">IF(ISNUMBER(MATCH(DATEVALUE($A206),'changes1_based on steps'!B$1:B$400,0)),B$2,)</f>
        <v>0</v>
      </c>
      <c r="C206" s="155">
        <f ca="1">IF(ISNUMBER(MATCH(DATEVALUE($A206),'changes1_based on steps'!C$1:C$400,0)),C$2,)</f>
        <v>0</v>
      </c>
      <c r="D206" s="155">
        <f ca="1">IF(ISNUMBER(MATCH(DATEVALUE($A206),'changes1_based on steps'!D$1:D$400,0)),D$2,)</f>
        <v>0</v>
      </c>
      <c r="E206" s="155">
        <f ca="1">IF(ISNUMBER(MATCH(DATEVALUE($A206),'changes1_based on steps'!E$1:E$400,0)),E$2,)</f>
        <v>0</v>
      </c>
      <c r="F206" s="155">
        <f ca="1">IF(ISNUMBER(MATCH(DATEVALUE($A206),'changes1_based on steps'!F$1:F$400,0)),F$2,)</f>
        <v>0</v>
      </c>
      <c r="G206" s="155">
        <f ca="1">IF(ISNUMBER(MATCH(DATEVALUE($A206),'changes1_based on steps'!G$1:G$400,0)),G$2,)</f>
        <v>0</v>
      </c>
      <c r="H206" s="155">
        <f ca="1">IF(ISNUMBER(MATCH(DATEVALUE($A206),'changes1_based on steps'!H$1:H$400,0)),H$2,)</f>
        <v>0</v>
      </c>
      <c r="I206" s="155">
        <f ca="1">IF(ISNUMBER(MATCH(DATEVALUE($A206),'changes1_based on steps'!I$1:I$400,0)),I$2,)</f>
        <v>0</v>
      </c>
      <c r="J206" s="155">
        <f ca="1">IF(ISNUMBER(MATCH(DATEVALUE($A206),'changes1_based on steps'!J$1:J$400,0)),J$2,)</f>
        <v>0</v>
      </c>
      <c r="K206" s="155">
        <f ca="1">IF(ISNUMBER(MATCH(DATEVALUE($A206),'changes1_based on steps'!K$1:K$400,0)),K$2,)</f>
        <v>0</v>
      </c>
      <c r="L206" s="155">
        <f ca="1">IF(ISNUMBER(MATCH(DATEVALUE($A206),'changes1_based on steps'!L$1:L$400,0)),L$2,)</f>
        <v>0</v>
      </c>
      <c r="M206" s="155">
        <f ca="1">IF(ISNUMBER(MATCH(DATEVALUE($A206),'changes1_based on steps'!M$1:M$400,0)),M$2,)</f>
        <v>0</v>
      </c>
      <c r="N206" s="155">
        <f ca="1">IF(ISNUMBER(MATCH(DATEVALUE($A206),'changes1_based on steps'!N$1:N$400,0)),N$2,)</f>
        <v>0</v>
      </c>
      <c r="O206" s="155">
        <f ca="1">IF(ISNUMBER(MATCH(DATEVALUE($A206),'changes1_based on steps'!O$1:O$400,0)),O$2,)</f>
        <v>0</v>
      </c>
      <c r="P206" s="155">
        <f ca="1">IF(ISNUMBER(MATCH(DATEVALUE($A206),'changes1_based on steps'!P$1:P$400,0)),P$2,)</f>
        <v>0</v>
      </c>
      <c r="Q206" s="155">
        <f ca="1">IF(ISNUMBER(MATCH(DATEVALUE($A206),'changes1_based on steps'!Q$1:Q$400,0)),Q$2,)</f>
        <v>0</v>
      </c>
      <c r="R206" s="155">
        <f ca="1">IF(ISNUMBER(MATCH(DATEVALUE($A206),'changes1_based on steps'!R$1:R$400,0)),R$2,)</f>
        <v>0</v>
      </c>
      <c r="S206" s="155">
        <f ca="1">IF(ISNUMBER(MATCH(DATEVALUE($A206),'changes1_based on steps'!S$1:S$400,0)),S$2,)</f>
        <v>0</v>
      </c>
      <c r="T206" s="155">
        <f ca="1">IF(ISNUMBER(MATCH(DATEVALUE($A206),'changes1_based on steps'!T$1:T$400,0)),T$2,)</f>
        <v>0</v>
      </c>
      <c r="U206" s="155">
        <f ca="1">IF(ISNUMBER(MATCH(DATEVALUE($A206),'changes1_based on steps'!U$1:U$400,0)),U$2,)</f>
        <v>0</v>
      </c>
    </row>
    <row r="207" spans="1:21" x14ac:dyDescent="0.2">
      <c r="A207" s="18" t="str">
        <f t="shared" ca="1" si="3"/>
        <v>2025-08-24</v>
      </c>
      <c r="B207" s="155">
        <f ca="1">IF(ISNUMBER(MATCH(DATEVALUE($A207),'changes1_based on steps'!B$1:B$400,0)),B$2,)</f>
        <v>0</v>
      </c>
      <c r="C207" s="155">
        <f ca="1">IF(ISNUMBER(MATCH(DATEVALUE($A207),'changes1_based on steps'!C$1:C$400,0)),C$2,)</f>
        <v>0</v>
      </c>
      <c r="D207" s="155">
        <f ca="1">IF(ISNUMBER(MATCH(DATEVALUE($A207),'changes1_based on steps'!D$1:D$400,0)),D$2,)</f>
        <v>0</v>
      </c>
      <c r="E207" s="155">
        <f ca="1">IF(ISNUMBER(MATCH(DATEVALUE($A207),'changes1_based on steps'!E$1:E$400,0)),E$2,)</f>
        <v>0</v>
      </c>
      <c r="F207" s="155">
        <f ca="1">IF(ISNUMBER(MATCH(DATEVALUE($A207),'changes1_based on steps'!F$1:F$400,0)),F$2,)</f>
        <v>0</v>
      </c>
      <c r="G207" s="155">
        <f ca="1">IF(ISNUMBER(MATCH(DATEVALUE($A207),'changes1_based on steps'!G$1:G$400,0)),G$2,)</f>
        <v>0</v>
      </c>
      <c r="H207" s="155">
        <f ca="1">IF(ISNUMBER(MATCH(DATEVALUE($A207),'changes1_based on steps'!H$1:H$400,0)),H$2,)</f>
        <v>0</v>
      </c>
      <c r="I207" s="155">
        <f ca="1">IF(ISNUMBER(MATCH(DATEVALUE($A207),'changes1_based on steps'!I$1:I$400,0)),I$2,)</f>
        <v>0</v>
      </c>
      <c r="J207" s="155">
        <f ca="1">IF(ISNUMBER(MATCH(DATEVALUE($A207),'changes1_based on steps'!J$1:J$400,0)),J$2,)</f>
        <v>0</v>
      </c>
      <c r="K207" s="155">
        <f ca="1">IF(ISNUMBER(MATCH(DATEVALUE($A207),'changes1_based on steps'!K$1:K$400,0)),K$2,)</f>
        <v>0</v>
      </c>
      <c r="L207" s="155">
        <f ca="1">IF(ISNUMBER(MATCH(DATEVALUE($A207),'changes1_based on steps'!L$1:L$400,0)),L$2,)</f>
        <v>0</v>
      </c>
      <c r="M207" s="155">
        <f ca="1">IF(ISNUMBER(MATCH(DATEVALUE($A207),'changes1_based on steps'!M$1:M$400,0)),M$2,)</f>
        <v>0</v>
      </c>
      <c r="N207" s="155">
        <f ca="1">IF(ISNUMBER(MATCH(DATEVALUE($A207),'changes1_based on steps'!N$1:N$400,0)),N$2,)</f>
        <v>0</v>
      </c>
      <c r="O207" s="155">
        <f ca="1">IF(ISNUMBER(MATCH(DATEVALUE($A207),'changes1_based on steps'!O$1:O$400,0)),O$2,)</f>
        <v>0</v>
      </c>
      <c r="P207" s="155">
        <f ca="1">IF(ISNUMBER(MATCH(DATEVALUE($A207),'changes1_based on steps'!P$1:P$400,0)),P$2,)</f>
        <v>0</v>
      </c>
      <c r="Q207" s="155">
        <f ca="1">IF(ISNUMBER(MATCH(DATEVALUE($A207),'changes1_based on steps'!Q$1:Q$400,0)),Q$2,)</f>
        <v>0</v>
      </c>
      <c r="R207" s="155">
        <f ca="1">IF(ISNUMBER(MATCH(DATEVALUE($A207),'changes1_based on steps'!R$1:R$400,0)),R$2,)</f>
        <v>0</v>
      </c>
      <c r="S207" s="155">
        <f ca="1">IF(ISNUMBER(MATCH(DATEVALUE($A207),'changes1_based on steps'!S$1:S$400,0)),S$2,)</f>
        <v>0</v>
      </c>
      <c r="T207" s="155">
        <f ca="1">IF(ISNUMBER(MATCH(DATEVALUE($A207),'changes1_based on steps'!T$1:T$400,0)),T$2,)</f>
        <v>0</v>
      </c>
      <c r="U207" s="155">
        <f ca="1">IF(ISNUMBER(MATCH(DATEVALUE($A207),'changes1_based on steps'!U$1:U$400,0)),U$2,)</f>
        <v>0</v>
      </c>
    </row>
    <row r="208" spans="1:21" x14ac:dyDescent="0.2">
      <c r="A208" s="18" t="str">
        <f t="shared" ca="1" si="3"/>
        <v>2025-08-25</v>
      </c>
      <c r="B208" s="155">
        <f ca="1">IF(ISNUMBER(MATCH(DATEVALUE($A208),'changes1_based on steps'!B$1:B$400,0)),B$2,)</f>
        <v>0</v>
      </c>
      <c r="C208" s="155">
        <f ca="1">IF(ISNUMBER(MATCH(DATEVALUE($A208),'changes1_based on steps'!C$1:C$400,0)),C$2,)</f>
        <v>0</v>
      </c>
      <c r="D208" s="155">
        <f ca="1">IF(ISNUMBER(MATCH(DATEVALUE($A208),'changes1_based on steps'!D$1:D$400,0)),D$2,)</f>
        <v>0</v>
      </c>
      <c r="E208" s="155">
        <f ca="1">IF(ISNUMBER(MATCH(DATEVALUE($A208),'changes1_based on steps'!E$1:E$400,0)),E$2,)</f>
        <v>0</v>
      </c>
      <c r="F208" s="155">
        <f ca="1">IF(ISNUMBER(MATCH(DATEVALUE($A208),'changes1_based on steps'!F$1:F$400,0)),F$2,)</f>
        <v>0</v>
      </c>
      <c r="G208" s="155">
        <f ca="1">IF(ISNUMBER(MATCH(DATEVALUE($A208),'changes1_based on steps'!G$1:G$400,0)),G$2,)</f>
        <v>0</v>
      </c>
      <c r="H208" s="155">
        <f ca="1">IF(ISNUMBER(MATCH(DATEVALUE($A208),'changes1_based on steps'!H$1:H$400,0)),H$2,)</f>
        <v>0</v>
      </c>
      <c r="I208" s="155">
        <f ca="1">IF(ISNUMBER(MATCH(DATEVALUE($A208),'changes1_based on steps'!I$1:I$400,0)),I$2,)</f>
        <v>0</v>
      </c>
      <c r="J208" s="155">
        <f ca="1">IF(ISNUMBER(MATCH(DATEVALUE($A208),'changes1_based on steps'!J$1:J$400,0)),J$2,)</f>
        <v>0</v>
      </c>
      <c r="K208" s="155">
        <f ca="1">IF(ISNUMBER(MATCH(DATEVALUE($A208),'changes1_based on steps'!K$1:K$400,0)),K$2,)</f>
        <v>0</v>
      </c>
      <c r="L208" s="155">
        <f ca="1">IF(ISNUMBER(MATCH(DATEVALUE($A208),'changes1_based on steps'!L$1:L$400,0)),L$2,)</f>
        <v>0</v>
      </c>
      <c r="M208" s="155">
        <f ca="1">IF(ISNUMBER(MATCH(DATEVALUE($A208),'changes1_based on steps'!M$1:M$400,0)),M$2,)</f>
        <v>0</v>
      </c>
      <c r="N208" s="155">
        <f ca="1">IF(ISNUMBER(MATCH(DATEVALUE($A208),'changes1_based on steps'!N$1:N$400,0)),N$2,)</f>
        <v>0</v>
      </c>
      <c r="O208" s="155">
        <f ca="1">IF(ISNUMBER(MATCH(DATEVALUE($A208),'changes1_based on steps'!O$1:O$400,0)),O$2,)</f>
        <v>0</v>
      </c>
      <c r="P208" s="155">
        <f ca="1">IF(ISNUMBER(MATCH(DATEVALUE($A208),'changes1_based on steps'!P$1:P$400,0)),P$2,)</f>
        <v>0</v>
      </c>
      <c r="Q208" s="155">
        <f ca="1">IF(ISNUMBER(MATCH(DATEVALUE($A208),'changes1_based on steps'!Q$1:Q$400,0)),Q$2,)</f>
        <v>0</v>
      </c>
      <c r="R208" s="155">
        <f ca="1">IF(ISNUMBER(MATCH(DATEVALUE($A208),'changes1_based on steps'!R$1:R$400,0)),R$2,)</f>
        <v>0</v>
      </c>
      <c r="S208" s="155">
        <f ca="1">IF(ISNUMBER(MATCH(DATEVALUE($A208),'changes1_based on steps'!S$1:S$400,0)),S$2,)</f>
        <v>0</v>
      </c>
      <c r="T208" s="155">
        <f ca="1">IF(ISNUMBER(MATCH(DATEVALUE($A208),'changes1_based on steps'!T$1:T$400,0)),T$2,)</f>
        <v>0</v>
      </c>
      <c r="U208" s="155">
        <f ca="1">IF(ISNUMBER(MATCH(DATEVALUE($A208),'changes1_based on steps'!U$1:U$400,0)),U$2,)</f>
        <v>0</v>
      </c>
    </row>
    <row r="209" spans="1:21" x14ac:dyDescent="0.2">
      <c r="A209" s="18" t="str">
        <f t="shared" ca="1" si="3"/>
        <v>2025-08-26</v>
      </c>
      <c r="B209" s="155">
        <f ca="1">IF(ISNUMBER(MATCH(DATEVALUE($A209),'changes1_based on steps'!B$1:B$400,0)),B$2,)</f>
        <v>0</v>
      </c>
      <c r="C209" s="155">
        <f ca="1">IF(ISNUMBER(MATCH(DATEVALUE($A209),'changes1_based on steps'!C$1:C$400,0)),C$2,)</f>
        <v>0</v>
      </c>
      <c r="D209" s="155">
        <f ca="1">IF(ISNUMBER(MATCH(DATEVALUE($A209),'changes1_based on steps'!D$1:D$400,0)),D$2,)</f>
        <v>0</v>
      </c>
      <c r="E209" s="155">
        <f ca="1">IF(ISNUMBER(MATCH(DATEVALUE($A209),'changes1_based on steps'!E$1:E$400,0)),E$2,)</f>
        <v>0</v>
      </c>
      <c r="F209" s="155">
        <f ca="1">IF(ISNUMBER(MATCH(DATEVALUE($A209),'changes1_based on steps'!F$1:F$400,0)),F$2,)</f>
        <v>0</v>
      </c>
      <c r="G209" s="155">
        <f ca="1">IF(ISNUMBER(MATCH(DATEVALUE($A209),'changes1_based on steps'!G$1:G$400,0)),G$2,)</f>
        <v>0</v>
      </c>
      <c r="H209" s="155">
        <f ca="1">IF(ISNUMBER(MATCH(DATEVALUE($A209),'changes1_based on steps'!H$1:H$400,0)),H$2,)</f>
        <v>0</v>
      </c>
      <c r="I209" s="155">
        <f ca="1">IF(ISNUMBER(MATCH(DATEVALUE($A209),'changes1_based on steps'!I$1:I$400,0)),I$2,)</f>
        <v>0</v>
      </c>
      <c r="J209" s="155">
        <f ca="1">IF(ISNUMBER(MATCH(DATEVALUE($A209),'changes1_based on steps'!J$1:J$400,0)),J$2,)</f>
        <v>0</v>
      </c>
      <c r="K209" s="155">
        <f ca="1">IF(ISNUMBER(MATCH(DATEVALUE($A209),'changes1_based on steps'!K$1:K$400,0)),K$2,)</f>
        <v>0</v>
      </c>
      <c r="L209" s="155">
        <f ca="1">IF(ISNUMBER(MATCH(DATEVALUE($A209),'changes1_based on steps'!L$1:L$400,0)),L$2,)</f>
        <v>0</v>
      </c>
      <c r="M209" s="155">
        <f ca="1">IF(ISNUMBER(MATCH(DATEVALUE($A209),'changes1_based on steps'!M$1:M$400,0)),M$2,)</f>
        <v>0</v>
      </c>
      <c r="N209" s="155">
        <f ca="1">IF(ISNUMBER(MATCH(DATEVALUE($A209),'changes1_based on steps'!N$1:N$400,0)),N$2,)</f>
        <v>0</v>
      </c>
      <c r="O209" s="155">
        <f ca="1">IF(ISNUMBER(MATCH(DATEVALUE($A209),'changes1_based on steps'!O$1:O$400,0)),O$2,)</f>
        <v>0</v>
      </c>
      <c r="P209" s="155">
        <f ca="1">IF(ISNUMBER(MATCH(DATEVALUE($A209),'changes1_based on steps'!P$1:P$400,0)),P$2,)</f>
        <v>0</v>
      </c>
      <c r="Q209" s="155">
        <f ca="1">IF(ISNUMBER(MATCH(DATEVALUE($A209),'changes1_based on steps'!Q$1:Q$400,0)),Q$2,)</f>
        <v>0</v>
      </c>
      <c r="R209" s="155">
        <f ca="1">IF(ISNUMBER(MATCH(DATEVALUE($A209),'changes1_based on steps'!R$1:R$400,0)),R$2,)</f>
        <v>0</v>
      </c>
      <c r="S209" s="155">
        <f ca="1">IF(ISNUMBER(MATCH(DATEVALUE($A209),'changes1_based on steps'!S$1:S$400,0)),S$2,)</f>
        <v>0</v>
      </c>
      <c r="T209" s="155">
        <f ca="1">IF(ISNUMBER(MATCH(DATEVALUE($A209),'changes1_based on steps'!T$1:T$400,0)),T$2,)</f>
        <v>0</v>
      </c>
      <c r="U209" s="155">
        <f ca="1">IF(ISNUMBER(MATCH(DATEVALUE($A209),'changes1_based on steps'!U$1:U$400,0)),U$2,)</f>
        <v>0</v>
      </c>
    </row>
    <row r="210" spans="1:21" x14ac:dyDescent="0.2">
      <c r="A210" s="18" t="str">
        <f t="shared" ca="1" si="3"/>
        <v>2025-08-27</v>
      </c>
      <c r="B210" s="155">
        <f ca="1">IF(ISNUMBER(MATCH(DATEVALUE($A210),'changes1_based on steps'!B$1:B$400,0)),B$2,)</f>
        <v>100</v>
      </c>
      <c r="C210" s="155">
        <f ca="1">IF(ISNUMBER(MATCH(DATEVALUE($A210),'changes1_based on steps'!C$1:C$400,0)),C$2,)</f>
        <v>0</v>
      </c>
      <c r="D210" s="155">
        <f ca="1">IF(ISNUMBER(MATCH(DATEVALUE($A210),'changes1_based on steps'!D$1:D$400,0)),D$2,)</f>
        <v>0</v>
      </c>
      <c r="E210" s="155">
        <f ca="1">IF(ISNUMBER(MATCH(DATEVALUE($A210),'changes1_based on steps'!E$1:E$400,0)),E$2,)</f>
        <v>0</v>
      </c>
      <c r="F210" s="155">
        <f ca="1">IF(ISNUMBER(MATCH(DATEVALUE($A210),'changes1_based on steps'!F$1:F$400,0)),F$2,)</f>
        <v>0</v>
      </c>
      <c r="G210" s="155">
        <f ca="1">IF(ISNUMBER(MATCH(DATEVALUE($A210),'changes1_based on steps'!G$1:G$400,0)),G$2,)</f>
        <v>0</v>
      </c>
      <c r="H210" s="155">
        <f ca="1">IF(ISNUMBER(MATCH(DATEVALUE($A210),'changes1_based on steps'!H$1:H$400,0)),H$2,)</f>
        <v>0</v>
      </c>
      <c r="I210" s="155">
        <f ca="1">IF(ISNUMBER(MATCH(DATEVALUE($A210),'changes1_based on steps'!I$1:I$400,0)),I$2,)</f>
        <v>0</v>
      </c>
      <c r="J210" s="155">
        <f ca="1">IF(ISNUMBER(MATCH(DATEVALUE($A210),'changes1_based on steps'!J$1:J$400,0)),J$2,)</f>
        <v>0</v>
      </c>
      <c r="K210" s="155">
        <f ca="1">IF(ISNUMBER(MATCH(DATEVALUE($A210),'changes1_based on steps'!K$1:K$400,0)),K$2,)</f>
        <v>0</v>
      </c>
      <c r="L210" s="155">
        <f ca="1">IF(ISNUMBER(MATCH(DATEVALUE($A210),'changes1_based on steps'!L$1:L$400,0)),L$2,)</f>
        <v>0</v>
      </c>
      <c r="M210" s="155">
        <f ca="1">IF(ISNUMBER(MATCH(DATEVALUE($A210),'changes1_based on steps'!M$1:M$400,0)),M$2,)</f>
        <v>0</v>
      </c>
      <c r="N210" s="155">
        <f ca="1">IF(ISNUMBER(MATCH(DATEVALUE($A210),'changes1_based on steps'!N$1:N$400,0)),N$2,)</f>
        <v>0</v>
      </c>
      <c r="O210" s="155">
        <f ca="1">IF(ISNUMBER(MATCH(DATEVALUE($A210),'changes1_based on steps'!O$1:O$400,0)),O$2,)</f>
        <v>0</v>
      </c>
      <c r="P210" s="155">
        <f ca="1">IF(ISNUMBER(MATCH(DATEVALUE($A210),'changes1_based on steps'!P$1:P$400,0)),P$2,)</f>
        <v>0</v>
      </c>
      <c r="Q210" s="155">
        <f ca="1">IF(ISNUMBER(MATCH(DATEVALUE($A210),'changes1_based on steps'!Q$1:Q$400,0)),Q$2,)</f>
        <v>0</v>
      </c>
      <c r="R210" s="155">
        <f ca="1">IF(ISNUMBER(MATCH(DATEVALUE($A210),'changes1_based on steps'!R$1:R$400,0)),R$2,)</f>
        <v>0</v>
      </c>
      <c r="S210" s="155">
        <f ca="1">IF(ISNUMBER(MATCH(DATEVALUE($A210),'changes1_based on steps'!S$1:S$400,0)),S$2,)</f>
        <v>0</v>
      </c>
      <c r="T210" s="155">
        <f ca="1">IF(ISNUMBER(MATCH(DATEVALUE($A210),'changes1_based on steps'!T$1:T$400,0)),T$2,)</f>
        <v>0</v>
      </c>
      <c r="U210" s="155">
        <f ca="1">IF(ISNUMBER(MATCH(DATEVALUE($A210),'changes1_based on steps'!U$1:U$400,0)),U$2,)</f>
        <v>0</v>
      </c>
    </row>
    <row r="211" spans="1:21" x14ac:dyDescent="0.2">
      <c r="A211" s="18" t="str">
        <f t="shared" ca="1" si="3"/>
        <v>2025-08-28</v>
      </c>
      <c r="B211" s="155">
        <f ca="1">IF(ISNUMBER(MATCH(DATEVALUE($A211),'changes1_based on steps'!B$1:B$400,0)),B$2,)</f>
        <v>0</v>
      </c>
      <c r="C211" s="155">
        <f ca="1">IF(ISNUMBER(MATCH(DATEVALUE($A211),'changes1_based on steps'!C$1:C$400,0)),C$2,)</f>
        <v>0</v>
      </c>
      <c r="D211" s="155">
        <f ca="1">IF(ISNUMBER(MATCH(DATEVALUE($A211),'changes1_based on steps'!D$1:D$400,0)),D$2,)</f>
        <v>0</v>
      </c>
      <c r="E211" s="155">
        <f ca="1">IF(ISNUMBER(MATCH(DATEVALUE($A211),'changes1_based on steps'!E$1:E$400,0)),E$2,)</f>
        <v>0</v>
      </c>
      <c r="F211" s="155">
        <f ca="1">IF(ISNUMBER(MATCH(DATEVALUE($A211),'changes1_based on steps'!F$1:F$400,0)),F$2,)</f>
        <v>0</v>
      </c>
      <c r="G211" s="155">
        <f ca="1">IF(ISNUMBER(MATCH(DATEVALUE($A211),'changes1_based on steps'!G$1:G$400,0)),G$2,)</f>
        <v>0</v>
      </c>
      <c r="H211" s="155">
        <f ca="1">IF(ISNUMBER(MATCH(DATEVALUE($A211),'changes1_based on steps'!H$1:H$400,0)),H$2,)</f>
        <v>0</v>
      </c>
      <c r="I211" s="155">
        <f ca="1">IF(ISNUMBER(MATCH(DATEVALUE($A211),'changes1_based on steps'!I$1:I$400,0)),I$2,)</f>
        <v>0</v>
      </c>
      <c r="J211" s="155">
        <f ca="1">IF(ISNUMBER(MATCH(DATEVALUE($A211),'changes1_based on steps'!J$1:J$400,0)),J$2,)</f>
        <v>0</v>
      </c>
      <c r="K211" s="155">
        <f ca="1">IF(ISNUMBER(MATCH(DATEVALUE($A211),'changes1_based on steps'!K$1:K$400,0)),K$2,)</f>
        <v>0</v>
      </c>
      <c r="L211" s="155">
        <f ca="1">IF(ISNUMBER(MATCH(DATEVALUE($A211),'changes1_based on steps'!L$1:L$400,0)),L$2,)</f>
        <v>0</v>
      </c>
      <c r="M211" s="155">
        <f ca="1">IF(ISNUMBER(MATCH(DATEVALUE($A211),'changes1_based on steps'!M$1:M$400,0)),M$2,)</f>
        <v>0</v>
      </c>
      <c r="N211" s="155">
        <f ca="1">IF(ISNUMBER(MATCH(DATEVALUE($A211),'changes1_based on steps'!N$1:N$400,0)),N$2,)</f>
        <v>0</v>
      </c>
      <c r="O211" s="155">
        <f ca="1">IF(ISNUMBER(MATCH(DATEVALUE($A211),'changes1_based on steps'!O$1:O$400,0)),O$2,)</f>
        <v>0</v>
      </c>
      <c r="P211" s="155">
        <f ca="1">IF(ISNUMBER(MATCH(DATEVALUE($A211),'changes1_based on steps'!P$1:P$400,0)),P$2,)</f>
        <v>0</v>
      </c>
      <c r="Q211" s="155">
        <f ca="1">IF(ISNUMBER(MATCH(DATEVALUE($A211),'changes1_based on steps'!Q$1:Q$400,0)),Q$2,)</f>
        <v>0</v>
      </c>
      <c r="R211" s="155">
        <f ca="1">IF(ISNUMBER(MATCH(DATEVALUE($A211),'changes1_based on steps'!R$1:R$400,0)),R$2,)</f>
        <v>0</v>
      </c>
      <c r="S211" s="155">
        <f ca="1">IF(ISNUMBER(MATCH(DATEVALUE($A211),'changes1_based on steps'!S$1:S$400,0)),S$2,)</f>
        <v>0</v>
      </c>
      <c r="T211" s="155">
        <f ca="1">IF(ISNUMBER(MATCH(DATEVALUE($A211),'changes1_based on steps'!T$1:T$400,0)),T$2,)</f>
        <v>0</v>
      </c>
      <c r="U211" s="155">
        <f ca="1">IF(ISNUMBER(MATCH(DATEVALUE($A211),'changes1_based on steps'!U$1:U$400,0)),U$2,)</f>
        <v>0</v>
      </c>
    </row>
    <row r="212" spans="1:21" x14ac:dyDescent="0.2">
      <c r="A212" s="18" t="str">
        <f t="shared" ca="1" si="3"/>
        <v>2025-08-29</v>
      </c>
      <c r="B212" s="155">
        <f ca="1">IF(ISNUMBER(MATCH(DATEVALUE($A212),'changes1_based on steps'!B$1:B$400,0)),B$2,)</f>
        <v>0</v>
      </c>
      <c r="C212" s="155">
        <f ca="1">IF(ISNUMBER(MATCH(DATEVALUE($A212),'changes1_based on steps'!C$1:C$400,0)),C$2,)</f>
        <v>0</v>
      </c>
      <c r="D212" s="155">
        <f ca="1">IF(ISNUMBER(MATCH(DATEVALUE($A212),'changes1_based on steps'!D$1:D$400,0)),D$2,)</f>
        <v>0</v>
      </c>
      <c r="E212" s="155">
        <f ca="1">IF(ISNUMBER(MATCH(DATEVALUE($A212),'changes1_based on steps'!E$1:E$400,0)),E$2,)</f>
        <v>0</v>
      </c>
      <c r="F212" s="155">
        <f ca="1">IF(ISNUMBER(MATCH(DATEVALUE($A212),'changes1_based on steps'!F$1:F$400,0)),F$2,)</f>
        <v>0</v>
      </c>
      <c r="G212" s="155">
        <f ca="1">IF(ISNUMBER(MATCH(DATEVALUE($A212),'changes1_based on steps'!G$1:G$400,0)),G$2,)</f>
        <v>0</v>
      </c>
      <c r="H212" s="155">
        <f ca="1">IF(ISNUMBER(MATCH(DATEVALUE($A212),'changes1_based on steps'!H$1:H$400,0)),H$2,)</f>
        <v>0</v>
      </c>
      <c r="I212" s="155">
        <f ca="1">IF(ISNUMBER(MATCH(DATEVALUE($A212),'changes1_based on steps'!I$1:I$400,0)),I$2,)</f>
        <v>0</v>
      </c>
      <c r="J212" s="155">
        <f ca="1">IF(ISNUMBER(MATCH(DATEVALUE($A212),'changes1_based on steps'!J$1:J$400,0)),J$2,)</f>
        <v>0</v>
      </c>
      <c r="K212" s="155">
        <f ca="1">IF(ISNUMBER(MATCH(DATEVALUE($A212),'changes1_based on steps'!K$1:K$400,0)),K$2,)</f>
        <v>0</v>
      </c>
      <c r="L212" s="155">
        <f ca="1">IF(ISNUMBER(MATCH(DATEVALUE($A212),'changes1_based on steps'!L$1:L$400,0)),L$2,)</f>
        <v>0</v>
      </c>
      <c r="M212" s="155">
        <f ca="1">IF(ISNUMBER(MATCH(DATEVALUE($A212),'changes1_based on steps'!M$1:M$400,0)),M$2,)</f>
        <v>0</v>
      </c>
      <c r="N212" s="155">
        <f ca="1">IF(ISNUMBER(MATCH(DATEVALUE($A212),'changes1_based on steps'!N$1:N$400,0)),N$2,)</f>
        <v>0</v>
      </c>
      <c r="O212" s="155">
        <f ca="1">IF(ISNUMBER(MATCH(DATEVALUE($A212),'changes1_based on steps'!O$1:O$400,0)),O$2,)</f>
        <v>0</v>
      </c>
      <c r="P212" s="155">
        <f ca="1">IF(ISNUMBER(MATCH(DATEVALUE($A212),'changes1_based on steps'!P$1:P$400,0)),P$2,)</f>
        <v>0</v>
      </c>
      <c r="Q212" s="155">
        <f ca="1">IF(ISNUMBER(MATCH(DATEVALUE($A212),'changes1_based on steps'!Q$1:Q$400,0)),Q$2,)</f>
        <v>0</v>
      </c>
      <c r="R212" s="155">
        <f ca="1">IF(ISNUMBER(MATCH(DATEVALUE($A212),'changes1_based on steps'!R$1:R$400,0)),R$2,)</f>
        <v>0</v>
      </c>
      <c r="S212" s="155">
        <f ca="1">IF(ISNUMBER(MATCH(DATEVALUE($A212),'changes1_based on steps'!S$1:S$400,0)),S$2,)</f>
        <v>0</v>
      </c>
      <c r="T212" s="155">
        <f ca="1">IF(ISNUMBER(MATCH(DATEVALUE($A212),'changes1_based on steps'!T$1:T$400,0)),T$2,)</f>
        <v>0</v>
      </c>
      <c r="U212" s="155">
        <f ca="1">IF(ISNUMBER(MATCH(DATEVALUE($A212),'changes1_based on steps'!U$1:U$400,0)),U$2,)</f>
        <v>0</v>
      </c>
    </row>
    <row r="213" spans="1:21" x14ac:dyDescent="0.2">
      <c r="A213" s="18" t="str">
        <f t="shared" ca="1" si="3"/>
        <v>2025-08-30</v>
      </c>
      <c r="B213" s="155">
        <f ca="1">IF(ISNUMBER(MATCH(DATEVALUE($A213),'changes1_based on steps'!B$1:B$400,0)),B$2,)</f>
        <v>0</v>
      </c>
      <c r="C213" s="155">
        <f ca="1">IF(ISNUMBER(MATCH(DATEVALUE($A213),'changes1_based on steps'!C$1:C$400,0)),C$2,)</f>
        <v>0</v>
      </c>
      <c r="D213" s="155">
        <f ca="1">IF(ISNUMBER(MATCH(DATEVALUE($A213),'changes1_based on steps'!D$1:D$400,0)),D$2,)</f>
        <v>0</v>
      </c>
      <c r="E213" s="155">
        <f ca="1">IF(ISNUMBER(MATCH(DATEVALUE($A213),'changes1_based on steps'!E$1:E$400,0)),E$2,)</f>
        <v>0</v>
      </c>
      <c r="F213" s="155">
        <f ca="1">IF(ISNUMBER(MATCH(DATEVALUE($A213),'changes1_based on steps'!F$1:F$400,0)),F$2,)</f>
        <v>0</v>
      </c>
      <c r="G213" s="155">
        <f ca="1">IF(ISNUMBER(MATCH(DATEVALUE($A213),'changes1_based on steps'!G$1:G$400,0)),G$2,)</f>
        <v>0</v>
      </c>
      <c r="H213" s="155">
        <f ca="1">IF(ISNUMBER(MATCH(DATEVALUE($A213),'changes1_based on steps'!H$1:H$400,0)),H$2,)</f>
        <v>0</v>
      </c>
      <c r="I213" s="155">
        <f ca="1">IF(ISNUMBER(MATCH(DATEVALUE($A213),'changes1_based on steps'!I$1:I$400,0)),I$2,)</f>
        <v>0</v>
      </c>
      <c r="J213" s="155">
        <f ca="1">IF(ISNUMBER(MATCH(DATEVALUE($A213),'changes1_based on steps'!J$1:J$400,0)),J$2,)</f>
        <v>0</v>
      </c>
      <c r="K213" s="155">
        <f ca="1">IF(ISNUMBER(MATCH(DATEVALUE($A213),'changes1_based on steps'!K$1:K$400,0)),K$2,)</f>
        <v>0</v>
      </c>
      <c r="L213" s="155">
        <f ca="1">IF(ISNUMBER(MATCH(DATEVALUE($A213),'changes1_based on steps'!L$1:L$400,0)),L$2,)</f>
        <v>0</v>
      </c>
      <c r="M213" s="155">
        <f ca="1">IF(ISNUMBER(MATCH(DATEVALUE($A213),'changes1_based on steps'!M$1:M$400,0)),M$2,)</f>
        <v>0</v>
      </c>
      <c r="N213" s="155">
        <f ca="1">IF(ISNUMBER(MATCH(DATEVALUE($A213),'changes1_based on steps'!N$1:N$400,0)),N$2,)</f>
        <v>0</v>
      </c>
      <c r="O213" s="155">
        <f ca="1">IF(ISNUMBER(MATCH(DATEVALUE($A213),'changes1_based on steps'!O$1:O$400,0)),O$2,)</f>
        <v>0</v>
      </c>
      <c r="P213" s="155">
        <f ca="1">IF(ISNUMBER(MATCH(DATEVALUE($A213),'changes1_based on steps'!P$1:P$400,0)),P$2,)</f>
        <v>0</v>
      </c>
      <c r="Q213" s="155">
        <f ca="1">IF(ISNUMBER(MATCH(DATEVALUE($A213),'changes1_based on steps'!Q$1:Q$400,0)),Q$2,)</f>
        <v>0</v>
      </c>
      <c r="R213" s="155">
        <f ca="1">IF(ISNUMBER(MATCH(DATEVALUE($A213),'changes1_based on steps'!R$1:R$400,0)),R$2,)</f>
        <v>0</v>
      </c>
      <c r="S213" s="155">
        <f ca="1">IF(ISNUMBER(MATCH(DATEVALUE($A213),'changes1_based on steps'!S$1:S$400,0)),S$2,)</f>
        <v>0</v>
      </c>
      <c r="T213" s="155">
        <f ca="1">IF(ISNUMBER(MATCH(DATEVALUE($A213),'changes1_based on steps'!T$1:T$400,0)),T$2,)</f>
        <v>0</v>
      </c>
      <c r="U213" s="155">
        <f ca="1">IF(ISNUMBER(MATCH(DATEVALUE($A213),'changes1_based on steps'!U$1:U$400,0)),U$2,)</f>
        <v>0</v>
      </c>
    </row>
    <row r="214" spans="1:21" x14ac:dyDescent="0.2">
      <c r="A214" s="18" t="str">
        <f t="shared" ca="1" si="3"/>
        <v>2025-08-31</v>
      </c>
      <c r="B214" s="155">
        <f ca="1">IF(ISNUMBER(MATCH(DATEVALUE($A214),'changes1_based on steps'!B$1:B$400,0)),B$2,)</f>
        <v>0</v>
      </c>
      <c r="C214" s="155">
        <f ca="1">IF(ISNUMBER(MATCH(DATEVALUE($A214),'changes1_based on steps'!C$1:C$400,0)),C$2,)</f>
        <v>50</v>
      </c>
      <c r="D214" s="155">
        <f ca="1">IF(ISNUMBER(MATCH(DATEVALUE($A214),'changes1_based on steps'!D$1:D$400,0)),D$2,)</f>
        <v>-100</v>
      </c>
      <c r="E214" s="155">
        <f ca="1">IF(ISNUMBER(MATCH(DATEVALUE($A214),'changes1_based on steps'!E$1:E$400,0)),E$2,)</f>
        <v>0</v>
      </c>
      <c r="F214" s="155">
        <f ca="1">IF(ISNUMBER(MATCH(DATEVALUE($A214),'changes1_based on steps'!F$1:F$400,0)),F$2,)</f>
        <v>0</v>
      </c>
      <c r="G214" s="155">
        <f ca="1">IF(ISNUMBER(MATCH(DATEVALUE($A214),'changes1_based on steps'!G$1:G$400,0)),G$2,)</f>
        <v>0</v>
      </c>
      <c r="H214" s="155">
        <f ca="1">IF(ISNUMBER(MATCH(DATEVALUE($A214),'changes1_based on steps'!H$1:H$400,0)),H$2,)</f>
        <v>0</v>
      </c>
      <c r="I214" s="155">
        <f ca="1">IF(ISNUMBER(MATCH(DATEVALUE($A214),'changes1_based on steps'!I$1:I$400,0)),I$2,)</f>
        <v>0</v>
      </c>
      <c r="J214" s="155">
        <f ca="1">IF(ISNUMBER(MATCH(DATEVALUE($A214),'changes1_based on steps'!J$1:J$400,0)),J$2,)</f>
        <v>0</v>
      </c>
      <c r="K214" s="155">
        <f ca="1">IF(ISNUMBER(MATCH(DATEVALUE($A214),'changes1_based on steps'!K$1:K$400,0)),K$2,)</f>
        <v>0</v>
      </c>
      <c r="L214" s="155">
        <f ca="1">IF(ISNUMBER(MATCH(DATEVALUE($A214),'changes1_based on steps'!L$1:L$400,0)),L$2,)</f>
        <v>0</v>
      </c>
      <c r="M214" s="155">
        <f ca="1">IF(ISNUMBER(MATCH(DATEVALUE($A214),'changes1_based on steps'!M$1:M$400,0)),M$2,)</f>
        <v>0</v>
      </c>
      <c r="N214" s="155">
        <f ca="1">IF(ISNUMBER(MATCH(DATEVALUE($A214),'changes1_based on steps'!N$1:N$400,0)),N$2,)</f>
        <v>0</v>
      </c>
      <c r="O214" s="155">
        <f ca="1">IF(ISNUMBER(MATCH(DATEVALUE($A214),'changes1_based on steps'!O$1:O$400,0)),O$2,)</f>
        <v>0</v>
      </c>
      <c r="P214" s="155">
        <f ca="1">IF(ISNUMBER(MATCH(DATEVALUE($A214),'changes1_based on steps'!P$1:P$400,0)),P$2,)</f>
        <v>0</v>
      </c>
      <c r="Q214" s="155">
        <f ca="1">IF(ISNUMBER(MATCH(DATEVALUE($A214),'changes1_based on steps'!Q$1:Q$400,0)),Q$2,)</f>
        <v>0</v>
      </c>
      <c r="R214" s="155">
        <f ca="1">IF(ISNUMBER(MATCH(DATEVALUE($A214),'changes1_based on steps'!R$1:R$400,0)),R$2,)</f>
        <v>0</v>
      </c>
      <c r="S214" s="155">
        <f ca="1">IF(ISNUMBER(MATCH(DATEVALUE($A214),'changes1_based on steps'!S$1:S$400,0)),S$2,)</f>
        <v>0</v>
      </c>
      <c r="T214" s="155">
        <f ca="1">IF(ISNUMBER(MATCH(DATEVALUE($A214),'changes1_based on steps'!T$1:T$400,0)),T$2,)</f>
        <v>0</v>
      </c>
      <c r="U214" s="155">
        <f ca="1">IF(ISNUMBER(MATCH(DATEVALUE($A214),'changes1_based on steps'!U$1:U$400,0)),U$2,)</f>
        <v>0</v>
      </c>
    </row>
    <row r="215" spans="1:21" x14ac:dyDescent="0.2">
      <c r="A215" s="18" t="str">
        <f t="shared" ca="1" si="3"/>
        <v>2025-09-01</v>
      </c>
      <c r="B215" s="155">
        <f ca="1">IF(ISNUMBER(MATCH(DATEVALUE($A215),'changes1_based on steps'!B$1:B$400,0)),B$2,)</f>
        <v>0</v>
      </c>
      <c r="C215" s="155">
        <f ca="1">IF(ISNUMBER(MATCH(DATEVALUE($A215),'changes1_based on steps'!C$1:C$400,0)),C$2,)</f>
        <v>0</v>
      </c>
      <c r="D215" s="155">
        <f ca="1">IF(ISNUMBER(MATCH(DATEVALUE($A215),'changes1_based on steps'!D$1:D$400,0)),D$2,)</f>
        <v>0</v>
      </c>
      <c r="E215" s="155">
        <f ca="1">IF(ISNUMBER(MATCH(DATEVALUE($A215),'changes1_based on steps'!E$1:E$400,0)),E$2,)</f>
        <v>0</v>
      </c>
      <c r="F215" s="155">
        <f ca="1">IF(ISNUMBER(MATCH(DATEVALUE($A215),'changes1_based on steps'!F$1:F$400,0)),F$2,)</f>
        <v>0</v>
      </c>
      <c r="G215" s="155">
        <f ca="1">IF(ISNUMBER(MATCH(DATEVALUE($A215),'changes1_based on steps'!G$1:G$400,0)),G$2,)</f>
        <v>0</v>
      </c>
      <c r="H215" s="155">
        <f ca="1">IF(ISNUMBER(MATCH(DATEVALUE($A215),'changes1_based on steps'!H$1:H$400,0)),H$2,)</f>
        <v>0</v>
      </c>
      <c r="I215" s="155">
        <f ca="1">IF(ISNUMBER(MATCH(DATEVALUE($A215),'changes1_based on steps'!I$1:I$400,0)),I$2,)</f>
        <v>0</v>
      </c>
      <c r="J215" s="155">
        <f ca="1">IF(ISNUMBER(MATCH(DATEVALUE($A215),'changes1_based on steps'!J$1:J$400,0)),J$2,)</f>
        <v>0</v>
      </c>
      <c r="K215" s="155">
        <f ca="1">IF(ISNUMBER(MATCH(DATEVALUE($A215),'changes1_based on steps'!K$1:K$400,0)),K$2,)</f>
        <v>0</v>
      </c>
      <c r="L215" s="155">
        <f ca="1">IF(ISNUMBER(MATCH(DATEVALUE($A215),'changes1_based on steps'!L$1:L$400,0)),L$2,)</f>
        <v>0</v>
      </c>
      <c r="M215" s="155">
        <f ca="1">IF(ISNUMBER(MATCH(DATEVALUE($A215),'changes1_based on steps'!M$1:M$400,0)),M$2,)</f>
        <v>0</v>
      </c>
      <c r="N215" s="155">
        <f ca="1">IF(ISNUMBER(MATCH(DATEVALUE($A215),'changes1_based on steps'!N$1:N$400,0)),N$2,)</f>
        <v>0</v>
      </c>
      <c r="O215" s="155">
        <f ca="1">IF(ISNUMBER(MATCH(DATEVALUE($A215),'changes1_based on steps'!O$1:O$400,0)),O$2,)</f>
        <v>0</v>
      </c>
      <c r="P215" s="155">
        <f ca="1">IF(ISNUMBER(MATCH(DATEVALUE($A215),'changes1_based on steps'!P$1:P$400,0)),P$2,)</f>
        <v>0</v>
      </c>
      <c r="Q215" s="155">
        <f ca="1">IF(ISNUMBER(MATCH(DATEVALUE($A215),'changes1_based on steps'!Q$1:Q$400,0)),Q$2,)</f>
        <v>0</v>
      </c>
      <c r="R215" s="155">
        <f ca="1">IF(ISNUMBER(MATCH(DATEVALUE($A215),'changes1_based on steps'!R$1:R$400,0)),R$2,)</f>
        <v>0</v>
      </c>
      <c r="S215" s="155">
        <f ca="1">IF(ISNUMBER(MATCH(DATEVALUE($A215),'changes1_based on steps'!S$1:S$400,0)),S$2,)</f>
        <v>0</v>
      </c>
      <c r="T215" s="155">
        <f ca="1">IF(ISNUMBER(MATCH(DATEVALUE($A215),'changes1_based on steps'!T$1:T$400,0)),T$2,)</f>
        <v>0</v>
      </c>
      <c r="U215" s="155">
        <f ca="1">IF(ISNUMBER(MATCH(DATEVALUE($A215),'changes1_based on steps'!U$1:U$400,0)),U$2,)</f>
        <v>0</v>
      </c>
    </row>
    <row r="216" spans="1:21" x14ac:dyDescent="0.2">
      <c r="A216" s="18" t="str">
        <f t="shared" ca="1" si="3"/>
        <v>2025-09-02</v>
      </c>
      <c r="B216" s="155">
        <f ca="1">IF(ISNUMBER(MATCH(DATEVALUE($A216),'changes1_based on steps'!B$1:B$400,0)),B$2,)</f>
        <v>0</v>
      </c>
      <c r="C216" s="155">
        <f ca="1">IF(ISNUMBER(MATCH(DATEVALUE($A216),'changes1_based on steps'!C$1:C$400,0)),C$2,)</f>
        <v>0</v>
      </c>
      <c r="D216" s="155">
        <f ca="1">IF(ISNUMBER(MATCH(DATEVALUE($A216),'changes1_based on steps'!D$1:D$400,0)),D$2,)</f>
        <v>0</v>
      </c>
      <c r="E216" s="155">
        <f ca="1">IF(ISNUMBER(MATCH(DATEVALUE($A216),'changes1_based on steps'!E$1:E$400,0)),E$2,)</f>
        <v>0</v>
      </c>
      <c r="F216" s="155">
        <f ca="1">IF(ISNUMBER(MATCH(DATEVALUE($A216),'changes1_based on steps'!F$1:F$400,0)),F$2,)</f>
        <v>0</v>
      </c>
      <c r="G216" s="155">
        <f ca="1">IF(ISNUMBER(MATCH(DATEVALUE($A216),'changes1_based on steps'!G$1:G$400,0)),G$2,)</f>
        <v>0</v>
      </c>
      <c r="H216" s="155">
        <f ca="1">IF(ISNUMBER(MATCH(DATEVALUE($A216),'changes1_based on steps'!H$1:H$400,0)),H$2,)</f>
        <v>0</v>
      </c>
      <c r="I216" s="155">
        <f ca="1">IF(ISNUMBER(MATCH(DATEVALUE($A216),'changes1_based on steps'!I$1:I$400,0)),I$2,)</f>
        <v>0</v>
      </c>
      <c r="J216" s="155">
        <f ca="1">IF(ISNUMBER(MATCH(DATEVALUE($A216),'changes1_based on steps'!J$1:J$400,0)),J$2,)</f>
        <v>0</v>
      </c>
      <c r="K216" s="155">
        <f ca="1">IF(ISNUMBER(MATCH(DATEVALUE($A216),'changes1_based on steps'!K$1:K$400,0)),K$2,)</f>
        <v>0</v>
      </c>
      <c r="L216" s="155">
        <f ca="1">IF(ISNUMBER(MATCH(DATEVALUE($A216),'changes1_based on steps'!L$1:L$400,0)),L$2,)</f>
        <v>0</v>
      </c>
      <c r="M216" s="155">
        <f ca="1">IF(ISNUMBER(MATCH(DATEVALUE($A216),'changes1_based on steps'!M$1:M$400,0)),M$2,)</f>
        <v>0</v>
      </c>
      <c r="N216" s="155">
        <f ca="1">IF(ISNUMBER(MATCH(DATEVALUE($A216),'changes1_based on steps'!N$1:N$400,0)),N$2,)</f>
        <v>0</v>
      </c>
      <c r="O216" s="155">
        <f ca="1">IF(ISNUMBER(MATCH(DATEVALUE($A216),'changes1_based on steps'!O$1:O$400,0)),O$2,)</f>
        <v>0</v>
      </c>
      <c r="P216" s="155">
        <f ca="1">IF(ISNUMBER(MATCH(DATEVALUE($A216),'changes1_based on steps'!P$1:P$400,0)),P$2,)</f>
        <v>0</v>
      </c>
      <c r="Q216" s="155">
        <f ca="1">IF(ISNUMBER(MATCH(DATEVALUE($A216),'changes1_based on steps'!Q$1:Q$400,0)),Q$2,)</f>
        <v>0</v>
      </c>
      <c r="R216" s="155">
        <f ca="1">IF(ISNUMBER(MATCH(DATEVALUE($A216),'changes1_based on steps'!R$1:R$400,0)),R$2,)</f>
        <v>0</v>
      </c>
      <c r="S216" s="155">
        <f ca="1">IF(ISNUMBER(MATCH(DATEVALUE($A216),'changes1_based on steps'!S$1:S$400,0)),S$2,)</f>
        <v>0</v>
      </c>
      <c r="T216" s="155">
        <f ca="1">IF(ISNUMBER(MATCH(DATEVALUE($A216),'changes1_based on steps'!T$1:T$400,0)),T$2,)</f>
        <v>0</v>
      </c>
      <c r="U216" s="155">
        <f ca="1">IF(ISNUMBER(MATCH(DATEVALUE($A216),'changes1_based on steps'!U$1:U$400,0)),U$2,)</f>
        <v>0</v>
      </c>
    </row>
    <row r="217" spans="1:21" x14ac:dyDescent="0.2">
      <c r="A217" s="18" t="str">
        <f t="shared" ca="1" si="3"/>
        <v>2025-09-03</v>
      </c>
      <c r="B217" s="155">
        <f ca="1">IF(ISNUMBER(MATCH(DATEVALUE($A217),'changes1_based on steps'!B$1:B$400,0)),B$2,)</f>
        <v>0</v>
      </c>
      <c r="C217" s="155">
        <f ca="1">IF(ISNUMBER(MATCH(DATEVALUE($A217),'changes1_based on steps'!C$1:C$400,0)),C$2,)</f>
        <v>0</v>
      </c>
      <c r="D217" s="155">
        <f ca="1">IF(ISNUMBER(MATCH(DATEVALUE($A217),'changes1_based on steps'!D$1:D$400,0)),D$2,)</f>
        <v>0</v>
      </c>
      <c r="E217" s="155">
        <f ca="1">IF(ISNUMBER(MATCH(DATEVALUE($A217),'changes1_based on steps'!E$1:E$400,0)),E$2,)</f>
        <v>0</v>
      </c>
      <c r="F217" s="155">
        <f ca="1">IF(ISNUMBER(MATCH(DATEVALUE($A217),'changes1_based on steps'!F$1:F$400,0)),F$2,)</f>
        <v>0</v>
      </c>
      <c r="G217" s="155">
        <f ca="1">IF(ISNUMBER(MATCH(DATEVALUE($A217),'changes1_based on steps'!G$1:G$400,0)),G$2,)</f>
        <v>0</v>
      </c>
      <c r="H217" s="155">
        <f ca="1">IF(ISNUMBER(MATCH(DATEVALUE($A217),'changes1_based on steps'!H$1:H$400,0)),H$2,)</f>
        <v>0</v>
      </c>
      <c r="I217" s="155">
        <f ca="1">IF(ISNUMBER(MATCH(DATEVALUE($A217),'changes1_based on steps'!I$1:I$400,0)),I$2,)</f>
        <v>0</v>
      </c>
      <c r="J217" s="155">
        <f ca="1">IF(ISNUMBER(MATCH(DATEVALUE($A217),'changes1_based on steps'!J$1:J$400,0)),J$2,)</f>
        <v>0</v>
      </c>
      <c r="K217" s="155">
        <f ca="1">IF(ISNUMBER(MATCH(DATEVALUE($A217),'changes1_based on steps'!K$1:K$400,0)),K$2,)</f>
        <v>0</v>
      </c>
      <c r="L217" s="155">
        <f ca="1">IF(ISNUMBER(MATCH(DATEVALUE($A217),'changes1_based on steps'!L$1:L$400,0)),L$2,)</f>
        <v>0</v>
      </c>
      <c r="M217" s="155">
        <f ca="1">IF(ISNUMBER(MATCH(DATEVALUE($A217),'changes1_based on steps'!M$1:M$400,0)),M$2,)</f>
        <v>0</v>
      </c>
      <c r="N217" s="155">
        <f ca="1">IF(ISNUMBER(MATCH(DATEVALUE($A217),'changes1_based on steps'!N$1:N$400,0)),N$2,)</f>
        <v>0</v>
      </c>
      <c r="O217" s="155">
        <f ca="1">IF(ISNUMBER(MATCH(DATEVALUE($A217),'changes1_based on steps'!O$1:O$400,0)),O$2,)</f>
        <v>0</v>
      </c>
      <c r="P217" s="155">
        <f ca="1">IF(ISNUMBER(MATCH(DATEVALUE($A217),'changes1_based on steps'!P$1:P$400,0)),P$2,)</f>
        <v>0</v>
      </c>
      <c r="Q217" s="155">
        <f ca="1">IF(ISNUMBER(MATCH(DATEVALUE($A217),'changes1_based on steps'!Q$1:Q$400,0)),Q$2,)</f>
        <v>0</v>
      </c>
      <c r="R217" s="155">
        <f ca="1">IF(ISNUMBER(MATCH(DATEVALUE($A217),'changes1_based on steps'!R$1:R$400,0)),R$2,)</f>
        <v>0</v>
      </c>
      <c r="S217" s="155">
        <f ca="1">IF(ISNUMBER(MATCH(DATEVALUE($A217),'changes1_based on steps'!S$1:S$400,0)),S$2,)</f>
        <v>0</v>
      </c>
      <c r="T217" s="155">
        <f ca="1">IF(ISNUMBER(MATCH(DATEVALUE($A217),'changes1_based on steps'!T$1:T$400,0)),T$2,)</f>
        <v>0</v>
      </c>
      <c r="U217" s="155">
        <f ca="1">IF(ISNUMBER(MATCH(DATEVALUE($A217),'changes1_based on steps'!U$1:U$400,0)),U$2,)</f>
        <v>0</v>
      </c>
    </row>
    <row r="218" spans="1:21" x14ac:dyDescent="0.2">
      <c r="A218" s="18" t="str">
        <f t="shared" ca="1" si="3"/>
        <v>2025-09-04</v>
      </c>
      <c r="B218" s="155">
        <f ca="1">IF(ISNUMBER(MATCH(DATEVALUE($A218),'changes1_based on steps'!B$1:B$400,0)),B$2,)</f>
        <v>0</v>
      </c>
      <c r="C218" s="155">
        <f ca="1">IF(ISNUMBER(MATCH(DATEVALUE($A218),'changes1_based on steps'!C$1:C$400,0)),C$2,)</f>
        <v>0</v>
      </c>
      <c r="D218" s="155">
        <f ca="1">IF(ISNUMBER(MATCH(DATEVALUE($A218),'changes1_based on steps'!D$1:D$400,0)),D$2,)</f>
        <v>0</v>
      </c>
      <c r="E218" s="155">
        <f ca="1">IF(ISNUMBER(MATCH(DATEVALUE($A218),'changes1_based on steps'!E$1:E$400,0)),E$2,)</f>
        <v>0</v>
      </c>
      <c r="F218" s="155">
        <f ca="1">IF(ISNUMBER(MATCH(DATEVALUE($A218),'changes1_based on steps'!F$1:F$400,0)),F$2,)</f>
        <v>0</v>
      </c>
      <c r="G218" s="155">
        <f ca="1">IF(ISNUMBER(MATCH(DATEVALUE($A218),'changes1_based on steps'!G$1:G$400,0)),G$2,)</f>
        <v>0</v>
      </c>
      <c r="H218" s="155">
        <f ca="1">IF(ISNUMBER(MATCH(DATEVALUE($A218),'changes1_based on steps'!H$1:H$400,0)),H$2,)</f>
        <v>0</v>
      </c>
      <c r="I218" s="155">
        <f ca="1">IF(ISNUMBER(MATCH(DATEVALUE($A218),'changes1_based on steps'!I$1:I$400,0)),I$2,)</f>
        <v>0</v>
      </c>
      <c r="J218" s="155">
        <f ca="1">IF(ISNUMBER(MATCH(DATEVALUE($A218),'changes1_based on steps'!J$1:J$400,0)),J$2,)</f>
        <v>0</v>
      </c>
      <c r="K218" s="155">
        <f ca="1">IF(ISNUMBER(MATCH(DATEVALUE($A218),'changes1_based on steps'!K$1:K$400,0)),K$2,)</f>
        <v>0</v>
      </c>
      <c r="L218" s="155">
        <f ca="1">IF(ISNUMBER(MATCH(DATEVALUE($A218),'changes1_based on steps'!L$1:L$400,0)),L$2,)</f>
        <v>0</v>
      </c>
      <c r="M218" s="155">
        <f ca="1">IF(ISNUMBER(MATCH(DATEVALUE($A218),'changes1_based on steps'!M$1:M$400,0)),M$2,)</f>
        <v>0</v>
      </c>
      <c r="N218" s="155">
        <f ca="1">IF(ISNUMBER(MATCH(DATEVALUE($A218),'changes1_based on steps'!N$1:N$400,0)),N$2,)</f>
        <v>0</v>
      </c>
      <c r="O218" s="155">
        <f ca="1">IF(ISNUMBER(MATCH(DATEVALUE($A218),'changes1_based on steps'!O$1:O$400,0)),O$2,)</f>
        <v>0</v>
      </c>
      <c r="P218" s="155">
        <f ca="1">IF(ISNUMBER(MATCH(DATEVALUE($A218),'changes1_based on steps'!P$1:P$400,0)),P$2,)</f>
        <v>0</v>
      </c>
      <c r="Q218" s="155">
        <f ca="1">IF(ISNUMBER(MATCH(DATEVALUE($A218),'changes1_based on steps'!Q$1:Q$400,0)),Q$2,)</f>
        <v>0</v>
      </c>
      <c r="R218" s="155">
        <f ca="1">IF(ISNUMBER(MATCH(DATEVALUE($A218),'changes1_based on steps'!R$1:R$400,0)),R$2,)</f>
        <v>0</v>
      </c>
      <c r="S218" s="155">
        <f ca="1">IF(ISNUMBER(MATCH(DATEVALUE($A218),'changes1_based on steps'!S$1:S$400,0)),S$2,)</f>
        <v>0</v>
      </c>
      <c r="T218" s="155">
        <f ca="1">IF(ISNUMBER(MATCH(DATEVALUE($A218),'changes1_based on steps'!T$1:T$400,0)),T$2,)</f>
        <v>0</v>
      </c>
      <c r="U218" s="155">
        <f ca="1">IF(ISNUMBER(MATCH(DATEVALUE($A218),'changes1_based on steps'!U$1:U$400,0)),U$2,)</f>
        <v>0</v>
      </c>
    </row>
    <row r="219" spans="1:21" x14ac:dyDescent="0.2">
      <c r="A219" s="18" t="str">
        <f t="shared" ca="1" si="3"/>
        <v>2025-09-05</v>
      </c>
      <c r="B219" s="155">
        <f ca="1">IF(ISNUMBER(MATCH(DATEVALUE($A219),'changes1_based on steps'!B$1:B$400,0)),B$2,)</f>
        <v>0</v>
      </c>
      <c r="C219" s="155">
        <f ca="1">IF(ISNUMBER(MATCH(DATEVALUE($A219),'changes1_based on steps'!C$1:C$400,0)),C$2,)</f>
        <v>0</v>
      </c>
      <c r="D219" s="155">
        <f ca="1">IF(ISNUMBER(MATCH(DATEVALUE($A219),'changes1_based on steps'!D$1:D$400,0)),D$2,)</f>
        <v>0</v>
      </c>
      <c r="E219" s="155">
        <f ca="1">IF(ISNUMBER(MATCH(DATEVALUE($A219),'changes1_based on steps'!E$1:E$400,0)),E$2,)</f>
        <v>0</v>
      </c>
      <c r="F219" s="155">
        <f ca="1">IF(ISNUMBER(MATCH(DATEVALUE($A219),'changes1_based on steps'!F$1:F$400,0)),F$2,)</f>
        <v>0</v>
      </c>
      <c r="G219" s="155">
        <f ca="1">IF(ISNUMBER(MATCH(DATEVALUE($A219),'changes1_based on steps'!G$1:G$400,0)),G$2,)</f>
        <v>0</v>
      </c>
      <c r="H219" s="155">
        <f ca="1">IF(ISNUMBER(MATCH(DATEVALUE($A219),'changes1_based on steps'!H$1:H$400,0)),H$2,)</f>
        <v>0</v>
      </c>
      <c r="I219" s="155">
        <f ca="1">IF(ISNUMBER(MATCH(DATEVALUE($A219),'changes1_based on steps'!I$1:I$400,0)),I$2,)</f>
        <v>0</v>
      </c>
      <c r="J219" s="155">
        <f ca="1">IF(ISNUMBER(MATCH(DATEVALUE($A219),'changes1_based on steps'!J$1:J$400,0)),J$2,)</f>
        <v>0</v>
      </c>
      <c r="K219" s="155">
        <f ca="1">IF(ISNUMBER(MATCH(DATEVALUE($A219),'changes1_based on steps'!K$1:K$400,0)),K$2,)</f>
        <v>0</v>
      </c>
      <c r="L219" s="155">
        <f ca="1">IF(ISNUMBER(MATCH(DATEVALUE($A219),'changes1_based on steps'!L$1:L$400,0)),L$2,)</f>
        <v>0</v>
      </c>
      <c r="M219" s="155">
        <f ca="1">IF(ISNUMBER(MATCH(DATEVALUE($A219),'changes1_based on steps'!M$1:M$400,0)),M$2,)</f>
        <v>0</v>
      </c>
      <c r="N219" s="155">
        <f ca="1">IF(ISNUMBER(MATCH(DATEVALUE($A219),'changes1_based on steps'!N$1:N$400,0)),N$2,)</f>
        <v>0</v>
      </c>
      <c r="O219" s="155">
        <f ca="1">IF(ISNUMBER(MATCH(DATEVALUE($A219),'changes1_based on steps'!O$1:O$400,0)),O$2,)</f>
        <v>0</v>
      </c>
      <c r="P219" s="155">
        <f ca="1">IF(ISNUMBER(MATCH(DATEVALUE($A219),'changes1_based on steps'!P$1:P$400,0)),P$2,)</f>
        <v>0</v>
      </c>
      <c r="Q219" s="155">
        <f ca="1">IF(ISNUMBER(MATCH(DATEVALUE($A219),'changes1_based on steps'!Q$1:Q$400,0)),Q$2,)</f>
        <v>0</v>
      </c>
      <c r="R219" s="155">
        <f ca="1">IF(ISNUMBER(MATCH(DATEVALUE($A219),'changes1_based on steps'!R$1:R$400,0)),R$2,)</f>
        <v>0</v>
      </c>
      <c r="S219" s="155">
        <f ca="1">IF(ISNUMBER(MATCH(DATEVALUE($A219),'changes1_based on steps'!S$1:S$400,0)),S$2,)</f>
        <v>0</v>
      </c>
      <c r="T219" s="155">
        <f ca="1">IF(ISNUMBER(MATCH(DATEVALUE($A219),'changes1_based on steps'!T$1:T$400,0)),T$2,)</f>
        <v>0</v>
      </c>
      <c r="U219" s="155">
        <f ca="1">IF(ISNUMBER(MATCH(DATEVALUE($A219),'changes1_based on steps'!U$1:U$400,0)),U$2,)</f>
        <v>0</v>
      </c>
    </row>
    <row r="220" spans="1:21" x14ac:dyDescent="0.2">
      <c r="A220" s="18" t="str">
        <f t="shared" ca="1" si="3"/>
        <v>2025-09-06</v>
      </c>
      <c r="B220" s="155">
        <f ca="1">IF(ISNUMBER(MATCH(DATEVALUE($A220),'changes1_based on steps'!B$1:B$400,0)),B$2,)</f>
        <v>0</v>
      </c>
      <c r="C220" s="155">
        <f ca="1">IF(ISNUMBER(MATCH(DATEVALUE($A220),'changes1_based on steps'!C$1:C$400,0)),C$2,)</f>
        <v>0</v>
      </c>
      <c r="D220" s="155">
        <f ca="1">IF(ISNUMBER(MATCH(DATEVALUE($A220),'changes1_based on steps'!D$1:D$400,0)),D$2,)</f>
        <v>0</v>
      </c>
      <c r="E220" s="155">
        <f ca="1">IF(ISNUMBER(MATCH(DATEVALUE($A220),'changes1_based on steps'!E$1:E$400,0)),E$2,)</f>
        <v>0</v>
      </c>
      <c r="F220" s="155">
        <f ca="1">IF(ISNUMBER(MATCH(DATEVALUE($A220),'changes1_based on steps'!F$1:F$400,0)),F$2,)</f>
        <v>0</v>
      </c>
      <c r="G220" s="155">
        <f ca="1">IF(ISNUMBER(MATCH(DATEVALUE($A220),'changes1_based on steps'!G$1:G$400,0)),G$2,)</f>
        <v>0</v>
      </c>
      <c r="H220" s="155">
        <f ca="1">IF(ISNUMBER(MATCH(DATEVALUE($A220),'changes1_based on steps'!H$1:H$400,0)),H$2,)</f>
        <v>0</v>
      </c>
      <c r="I220" s="155">
        <f ca="1">IF(ISNUMBER(MATCH(DATEVALUE($A220),'changes1_based on steps'!I$1:I$400,0)),I$2,)</f>
        <v>0</v>
      </c>
      <c r="J220" s="155">
        <f ca="1">IF(ISNUMBER(MATCH(DATEVALUE($A220),'changes1_based on steps'!J$1:J$400,0)),J$2,)</f>
        <v>0</v>
      </c>
      <c r="K220" s="155">
        <f ca="1">IF(ISNUMBER(MATCH(DATEVALUE($A220),'changes1_based on steps'!K$1:K$400,0)),K$2,)</f>
        <v>0</v>
      </c>
      <c r="L220" s="155">
        <f ca="1">IF(ISNUMBER(MATCH(DATEVALUE($A220),'changes1_based on steps'!L$1:L$400,0)),L$2,)</f>
        <v>0</v>
      </c>
      <c r="M220" s="155">
        <f ca="1">IF(ISNUMBER(MATCH(DATEVALUE($A220),'changes1_based on steps'!M$1:M$400,0)),M$2,)</f>
        <v>0</v>
      </c>
      <c r="N220" s="155">
        <f ca="1">IF(ISNUMBER(MATCH(DATEVALUE($A220),'changes1_based on steps'!N$1:N$400,0)),N$2,)</f>
        <v>0</v>
      </c>
      <c r="O220" s="155">
        <f ca="1">IF(ISNUMBER(MATCH(DATEVALUE($A220),'changes1_based on steps'!O$1:O$400,0)),O$2,)</f>
        <v>0</v>
      </c>
      <c r="P220" s="155">
        <f ca="1">IF(ISNUMBER(MATCH(DATEVALUE($A220),'changes1_based on steps'!P$1:P$400,0)),P$2,)</f>
        <v>0</v>
      </c>
      <c r="Q220" s="155">
        <f ca="1">IF(ISNUMBER(MATCH(DATEVALUE($A220),'changes1_based on steps'!Q$1:Q$400,0)),Q$2,)</f>
        <v>0</v>
      </c>
      <c r="R220" s="155">
        <f ca="1">IF(ISNUMBER(MATCH(DATEVALUE($A220),'changes1_based on steps'!R$1:R$400,0)),R$2,)</f>
        <v>0</v>
      </c>
      <c r="S220" s="155">
        <f ca="1">IF(ISNUMBER(MATCH(DATEVALUE($A220),'changes1_based on steps'!S$1:S$400,0)),S$2,)</f>
        <v>0</v>
      </c>
      <c r="T220" s="155">
        <f ca="1">IF(ISNUMBER(MATCH(DATEVALUE($A220),'changes1_based on steps'!T$1:T$400,0)),T$2,)</f>
        <v>0</v>
      </c>
      <c r="U220" s="155">
        <f ca="1">IF(ISNUMBER(MATCH(DATEVALUE($A220),'changes1_based on steps'!U$1:U$400,0)),U$2,)</f>
        <v>0</v>
      </c>
    </row>
    <row r="221" spans="1:21" x14ac:dyDescent="0.2">
      <c r="A221" s="18" t="str">
        <f t="shared" ca="1" si="3"/>
        <v>2025-09-07</v>
      </c>
      <c r="B221" s="155">
        <f ca="1">IF(ISNUMBER(MATCH(DATEVALUE($A221),'changes1_based on steps'!B$1:B$400,0)),B$2,)</f>
        <v>0</v>
      </c>
      <c r="C221" s="155">
        <f ca="1">IF(ISNUMBER(MATCH(DATEVALUE($A221),'changes1_based on steps'!C$1:C$400,0)),C$2,)</f>
        <v>0</v>
      </c>
      <c r="D221" s="155">
        <f ca="1">IF(ISNUMBER(MATCH(DATEVALUE($A221),'changes1_based on steps'!D$1:D$400,0)),D$2,)</f>
        <v>0</v>
      </c>
      <c r="E221" s="155">
        <f ca="1">IF(ISNUMBER(MATCH(DATEVALUE($A221),'changes1_based on steps'!E$1:E$400,0)),E$2,)</f>
        <v>0</v>
      </c>
      <c r="F221" s="155">
        <f ca="1">IF(ISNUMBER(MATCH(DATEVALUE($A221),'changes1_based on steps'!F$1:F$400,0)),F$2,)</f>
        <v>0</v>
      </c>
      <c r="G221" s="155">
        <f ca="1">IF(ISNUMBER(MATCH(DATEVALUE($A221),'changes1_based on steps'!G$1:G$400,0)),G$2,)</f>
        <v>0</v>
      </c>
      <c r="H221" s="155">
        <f ca="1">IF(ISNUMBER(MATCH(DATEVALUE($A221),'changes1_based on steps'!H$1:H$400,0)),H$2,)</f>
        <v>0</v>
      </c>
      <c r="I221" s="155">
        <f ca="1">IF(ISNUMBER(MATCH(DATEVALUE($A221),'changes1_based on steps'!I$1:I$400,0)),I$2,)</f>
        <v>0</v>
      </c>
      <c r="J221" s="155">
        <f ca="1">IF(ISNUMBER(MATCH(DATEVALUE($A221),'changes1_based on steps'!J$1:J$400,0)),J$2,)</f>
        <v>0</v>
      </c>
      <c r="K221" s="155">
        <f ca="1">IF(ISNUMBER(MATCH(DATEVALUE($A221),'changes1_based on steps'!K$1:K$400,0)),K$2,)</f>
        <v>0</v>
      </c>
      <c r="L221" s="155">
        <f ca="1">IF(ISNUMBER(MATCH(DATEVALUE($A221),'changes1_based on steps'!L$1:L$400,0)),L$2,)</f>
        <v>0</v>
      </c>
      <c r="M221" s="155">
        <f ca="1">IF(ISNUMBER(MATCH(DATEVALUE($A221),'changes1_based on steps'!M$1:M$400,0)),M$2,)</f>
        <v>0</v>
      </c>
      <c r="N221" s="155">
        <f ca="1">IF(ISNUMBER(MATCH(DATEVALUE($A221),'changes1_based on steps'!N$1:N$400,0)),N$2,)</f>
        <v>0</v>
      </c>
      <c r="O221" s="155">
        <f ca="1">IF(ISNUMBER(MATCH(DATEVALUE($A221),'changes1_based on steps'!O$1:O$400,0)),O$2,)</f>
        <v>0</v>
      </c>
      <c r="P221" s="155">
        <f ca="1">IF(ISNUMBER(MATCH(DATEVALUE($A221),'changes1_based on steps'!P$1:P$400,0)),P$2,)</f>
        <v>0</v>
      </c>
      <c r="Q221" s="155">
        <f ca="1">IF(ISNUMBER(MATCH(DATEVALUE($A221),'changes1_based on steps'!Q$1:Q$400,0)),Q$2,)</f>
        <v>0</v>
      </c>
      <c r="R221" s="155">
        <f ca="1">IF(ISNUMBER(MATCH(DATEVALUE($A221),'changes1_based on steps'!R$1:R$400,0)),R$2,)</f>
        <v>0</v>
      </c>
      <c r="S221" s="155">
        <f ca="1">IF(ISNUMBER(MATCH(DATEVALUE($A221),'changes1_based on steps'!S$1:S$400,0)),S$2,)</f>
        <v>0</v>
      </c>
      <c r="T221" s="155">
        <f ca="1">IF(ISNUMBER(MATCH(DATEVALUE($A221),'changes1_based on steps'!T$1:T$400,0)),T$2,)</f>
        <v>0</v>
      </c>
      <c r="U221" s="155">
        <f ca="1">IF(ISNUMBER(MATCH(DATEVALUE($A221),'changes1_based on steps'!U$1:U$400,0)),U$2,)</f>
        <v>0</v>
      </c>
    </row>
    <row r="222" spans="1:21" x14ac:dyDescent="0.2">
      <c r="A222" s="18" t="str">
        <f t="shared" ca="1" si="3"/>
        <v>2025-09-08</v>
      </c>
      <c r="B222" s="155">
        <f ca="1">IF(ISNUMBER(MATCH(DATEVALUE($A222),'changes1_based on steps'!B$1:B$400,0)),B$2,)</f>
        <v>0</v>
      </c>
      <c r="C222" s="155">
        <f ca="1">IF(ISNUMBER(MATCH(DATEVALUE($A222),'changes1_based on steps'!C$1:C$400,0)),C$2,)</f>
        <v>0</v>
      </c>
      <c r="D222" s="155">
        <f ca="1">IF(ISNUMBER(MATCH(DATEVALUE($A222),'changes1_based on steps'!D$1:D$400,0)),D$2,)</f>
        <v>0</v>
      </c>
      <c r="E222" s="155">
        <f ca="1">IF(ISNUMBER(MATCH(DATEVALUE($A222),'changes1_based on steps'!E$1:E$400,0)),E$2,)</f>
        <v>0</v>
      </c>
      <c r="F222" s="155">
        <f ca="1">IF(ISNUMBER(MATCH(DATEVALUE($A222),'changes1_based on steps'!F$1:F$400,0)),F$2,)</f>
        <v>0</v>
      </c>
      <c r="G222" s="155">
        <f ca="1">IF(ISNUMBER(MATCH(DATEVALUE($A222),'changes1_based on steps'!G$1:G$400,0)),G$2,)</f>
        <v>0</v>
      </c>
      <c r="H222" s="155">
        <f ca="1">IF(ISNUMBER(MATCH(DATEVALUE($A222),'changes1_based on steps'!H$1:H$400,0)),H$2,)</f>
        <v>0</v>
      </c>
      <c r="I222" s="155">
        <f ca="1">IF(ISNUMBER(MATCH(DATEVALUE($A222),'changes1_based on steps'!I$1:I$400,0)),I$2,)</f>
        <v>0</v>
      </c>
      <c r="J222" s="155">
        <f ca="1">IF(ISNUMBER(MATCH(DATEVALUE($A222),'changes1_based on steps'!J$1:J$400,0)),J$2,)</f>
        <v>0</v>
      </c>
      <c r="K222" s="155">
        <f ca="1">IF(ISNUMBER(MATCH(DATEVALUE($A222),'changes1_based on steps'!K$1:K$400,0)),K$2,)</f>
        <v>0</v>
      </c>
      <c r="L222" s="155">
        <f ca="1">IF(ISNUMBER(MATCH(DATEVALUE($A222),'changes1_based on steps'!L$1:L$400,0)),L$2,)</f>
        <v>0</v>
      </c>
      <c r="M222" s="155">
        <f ca="1">IF(ISNUMBER(MATCH(DATEVALUE($A222),'changes1_based on steps'!M$1:M$400,0)),M$2,)</f>
        <v>0</v>
      </c>
      <c r="N222" s="155">
        <f ca="1">IF(ISNUMBER(MATCH(DATEVALUE($A222),'changes1_based on steps'!N$1:N$400,0)),N$2,)</f>
        <v>0</v>
      </c>
      <c r="O222" s="155">
        <f ca="1">IF(ISNUMBER(MATCH(DATEVALUE($A222),'changes1_based on steps'!O$1:O$400,0)),O$2,)</f>
        <v>0</v>
      </c>
      <c r="P222" s="155">
        <f ca="1">IF(ISNUMBER(MATCH(DATEVALUE($A222),'changes1_based on steps'!P$1:P$400,0)),P$2,)</f>
        <v>0</v>
      </c>
      <c r="Q222" s="155">
        <f ca="1">IF(ISNUMBER(MATCH(DATEVALUE($A222),'changes1_based on steps'!Q$1:Q$400,0)),Q$2,)</f>
        <v>0</v>
      </c>
      <c r="R222" s="155">
        <f ca="1">IF(ISNUMBER(MATCH(DATEVALUE($A222),'changes1_based on steps'!R$1:R$400,0)),R$2,)</f>
        <v>0</v>
      </c>
      <c r="S222" s="155">
        <f ca="1">IF(ISNUMBER(MATCH(DATEVALUE($A222),'changes1_based on steps'!S$1:S$400,0)),S$2,)</f>
        <v>0</v>
      </c>
      <c r="T222" s="155">
        <f ca="1">IF(ISNUMBER(MATCH(DATEVALUE($A222),'changes1_based on steps'!T$1:T$400,0)),T$2,)</f>
        <v>0</v>
      </c>
      <c r="U222" s="155">
        <f ca="1">IF(ISNUMBER(MATCH(DATEVALUE($A222),'changes1_based on steps'!U$1:U$400,0)),U$2,)</f>
        <v>0</v>
      </c>
    </row>
    <row r="223" spans="1:21" x14ac:dyDescent="0.2">
      <c r="A223" s="18" t="str">
        <f t="shared" ca="1" si="3"/>
        <v>2025-09-09</v>
      </c>
      <c r="B223" s="155">
        <f ca="1">IF(ISNUMBER(MATCH(DATEVALUE($A223),'changes1_based on steps'!B$1:B$400,0)),B$2,)</f>
        <v>0</v>
      </c>
      <c r="C223" s="155">
        <f ca="1">IF(ISNUMBER(MATCH(DATEVALUE($A223),'changes1_based on steps'!C$1:C$400,0)),C$2,)</f>
        <v>0</v>
      </c>
      <c r="D223" s="155">
        <f ca="1">IF(ISNUMBER(MATCH(DATEVALUE($A223),'changes1_based on steps'!D$1:D$400,0)),D$2,)</f>
        <v>0</v>
      </c>
      <c r="E223" s="155">
        <f ca="1">IF(ISNUMBER(MATCH(DATEVALUE($A223),'changes1_based on steps'!E$1:E$400,0)),E$2,)</f>
        <v>0</v>
      </c>
      <c r="F223" s="155">
        <f ca="1">IF(ISNUMBER(MATCH(DATEVALUE($A223),'changes1_based on steps'!F$1:F$400,0)),F$2,)</f>
        <v>0</v>
      </c>
      <c r="G223" s="155">
        <f ca="1">IF(ISNUMBER(MATCH(DATEVALUE($A223),'changes1_based on steps'!G$1:G$400,0)),G$2,)</f>
        <v>0</v>
      </c>
      <c r="H223" s="155">
        <f ca="1">IF(ISNUMBER(MATCH(DATEVALUE($A223),'changes1_based on steps'!H$1:H$400,0)),H$2,)</f>
        <v>0</v>
      </c>
      <c r="I223" s="155">
        <f ca="1">IF(ISNUMBER(MATCH(DATEVALUE($A223),'changes1_based on steps'!I$1:I$400,0)),I$2,)</f>
        <v>0</v>
      </c>
      <c r="J223" s="155">
        <f ca="1">IF(ISNUMBER(MATCH(DATEVALUE($A223),'changes1_based on steps'!J$1:J$400,0)),J$2,)</f>
        <v>0</v>
      </c>
      <c r="K223" s="155">
        <f ca="1">IF(ISNUMBER(MATCH(DATEVALUE($A223),'changes1_based on steps'!K$1:K$400,0)),K$2,)</f>
        <v>0</v>
      </c>
      <c r="L223" s="155">
        <f ca="1">IF(ISNUMBER(MATCH(DATEVALUE($A223),'changes1_based on steps'!L$1:L$400,0)),L$2,)</f>
        <v>0</v>
      </c>
      <c r="M223" s="155">
        <f ca="1">IF(ISNUMBER(MATCH(DATEVALUE($A223),'changes1_based on steps'!M$1:M$400,0)),M$2,)</f>
        <v>0</v>
      </c>
      <c r="N223" s="155">
        <f ca="1">IF(ISNUMBER(MATCH(DATEVALUE($A223),'changes1_based on steps'!N$1:N$400,0)),N$2,)</f>
        <v>0</v>
      </c>
      <c r="O223" s="155">
        <f ca="1">IF(ISNUMBER(MATCH(DATEVALUE($A223),'changes1_based on steps'!O$1:O$400,0)),O$2,)</f>
        <v>0</v>
      </c>
      <c r="P223" s="155">
        <f ca="1">IF(ISNUMBER(MATCH(DATEVALUE($A223),'changes1_based on steps'!P$1:P$400,0)),P$2,)</f>
        <v>0</v>
      </c>
      <c r="Q223" s="155">
        <f ca="1">IF(ISNUMBER(MATCH(DATEVALUE($A223),'changes1_based on steps'!Q$1:Q$400,0)),Q$2,)</f>
        <v>0</v>
      </c>
      <c r="R223" s="155">
        <f ca="1">IF(ISNUMBER(MATCH(DATEVALUE($A223),'changes1_based on steps'!R$1:R$400,0)),R$2,)</f>
        <v>0</v>
      </c>
      <c r="S223" s="155">
        <f ca="1">IF(ISNUMBER(MATCH(DATEVALUE($A223),'changes1_based on steps'!S$1:S$400,0)),S$2,)</f>
        <v>0</v>
      </c>
      <c r="T223" s="155">
        <f ca="1">IF(ISNUMBER(MATCH(DATEVALUE($A223),'changes1_based on steps'!T$1:T$400,0)),T$2,)</f>
        <v>0</v>
      </c>
      <c r="U223" s="155">
        <f ca="1">IF(ISNUMBER(MATCH(DATEVALUE($A223),'changes1_based on steps'!U$1:U$400,0)),U$2,)</f>
        <v>0</v>
      </c>
    </row>
    <row r="224" spans="1:21" x14ac:dyDescent="0.2">
      <c r="A224" s="18" t="str">
        <f t="shared" ca="1" si="3"/>
        <v>2025-09-10</v>
      </c>
      <c r="B224" s="155">
        <f ca="1">IF(ISNUMBER(MATCH(DATEVALUE($A224),'changes1_based on steps'!B$1:B$400,0)),B$2,)</f>
        <v>100</v>
      </c>
      <c r="C224" s="155">
        <f ca="1">IF(ISNUMBER(MATCH(DATEVALUE($A224),'changes1_based on steps'!C$1:C$400,0)),C$2,)</f>
        <v>0</v>
      </c>
      <c r="D224" s="155">
        <f ca="1">IF(ISNUMBER(MATCH(DATEVALUE($A224),'changes1_based on steps'!D$1:D$400,0)),D$2,)</f>
        <v>0</v>
      </c>
      <c r="E224" s="155">
        <f ca="1">IF(ISNUMBER(MATCH(DATEVALUE($A224),'changes1_based on steps'!E$1:E$400,0)),E$2,)</f>
        <v>0</v>
      </c>
      <c r="F224" s="155">
        <f ca="1">IF(ISNUMBER(MATCH(DATEVALUE($A224),'changes1_based on steps'!F$1:F$400,0)),F$2,)</f>
        <v>0</v>
      </c>
      <c r="G224" s="155">
        <f ca="1">IF(ISNUMBER(MATCH(DATEVALUE($A224),'changes1_based on steps'!G$1:G$400,0)),G$2,)</f>
        <v>0</v>
      </c>
      <c r="H224" s="155">
        <f ca="1">IF(ISNUMBER(MATCH(DATEVALUE($A224),'changes1_based on steps'!H$1:H$400,0)),H$2,)</f>
        <v>0</v>
      </c>
      <c r="I224" s="155">
        <f ca="1">IF(ISNUMBER(MATCH(DATEVALUE($A224),'changes1_based on steps'!I$1:I$400,0)),I$2,)</f>
        <v>0</v>
      </c>
      <c r="J224" s="155">
        <f ca="1">IF(ISNUMBER(MATCH(DATEVALUE($A224),'changes1_based on steps'!J$1:J$400,0)),J$2,)</f>
        <v>0</v>
      </c>
      <c r="K224" s="155">
        <f ca="1">IF(ISNUMBER(MATCH(DATEVALUE($A224),'changes1_based on steps'!K$1:K$400,0)),K$2,)</f>
        <v>0</v>
      </c>
      <c r="L224" s="155">
        <f ca="1">IF(ISNUMBER(MATCH(DATEVALUE($A224),'changes1_based on steps'!L$1:L$400,0)),L$2,)</f>
        <v>0</v>
      </c>
      <c r="M224" s="155">
        <f ca="1">IF(ISNUMBER(MATCH(DATEVALUE($A224),'changes1_based on steps'!M$1:M$400,0)),M$2,)</f>
        <v>0</v>
      </c>
      <c r="N224" s="155">
        <f ca="1">IF(ISNUMBER(MATCH(DATEVALUE($A224),'changes1_based on steps'!N$1:N$400,0)),N$2,)</f>
        <v>0</v>
      </c>
      <c r="O224" s="155">
        <f ca="1">IF(ISNUMBER(MATCH(DATEVALUE($A224),'changes1_based on steps'!O$1:O$400,0)),O$2,)</f>
        <v>0</v>
      </c>
      <c r="P224" s="155">
        <f ca="1">IF(ISNUMBER(MATCH(DATEVALUE($A224),'changes1_based on steps'!P$1:P$400,0)),P$2,)</f>
        <v>0</v>
      </c>
      <c r="Q224" s="155">
        <f ca="1">IF(ISNUMBER(MATCH(DATEVALUE($A224),'changes1_based on steps'!Q$1:Q$400,0)),Q$2,)</f>
        <v>0</v>
      </c>
      <c r="R224" s="155">
        <f ca="1">IF(ISNUMBER(MATCH(DATEVALUE($A224),'changes1_based on steps'!R$1:R$400,0)),R$2,)</f>
        <v>0</v>
      </c>
      <c r="S224" s="155">
        <f ca="1">IF(ISNUMBER(MATCH(DATEVALUE($A224),'changes1_based on steps'!S$1:S$400,0)),S$2,)</f>
        <v>0</v>
      </c>
      <c r="T224" s="155">
        <f ca="1">IF(ISNUMBER(MATCH(DATEVALUE($A224),'changes1_based on steps'!T$1:T$400,0)),T$2,)</f>
        <v>0</v>
      </c>
      <c r="U224" s="155">
        <f ca="1">IF(ISNUMBER(MATCH(DATEVALUE($A224),'changes1_based on steps'!U$1:U$400,0)),U$2,)</f>
        <v>0</v>
      </c>
    </row>
    <row r="225" spans="1:21" x14ac:dyDescent="0.2">
      <c r="A225" s="18" t="str">
        <f t="shared" ca="1" si="3"/>
        <v>2025-09-11</v>
      </c>
      <c r="B225" s="155">
        <f ca="1">IF(ISNUMBER(MATCH(DATEVALUE($A225),'changes1_based on steps'!B$1:B$400,0)),B$2,)</f>
        <v>0</v>
      </c>
      <c r="C225" s="155">
        <f ca="1">IF(ISNUMBER(MATCH(DATEVALUE($A225),'changes1_based on steps'!C$1:C$400,0)),C$2,)</f>
        <v>0</v>
      </c>
      <c r="D225" s="155">
        <f ca="1">IF(ISNUMBER(MATCH(DATEVALUE($A225),'changes1_based on steps'!D$1:D$400,0)),D$2,)</f>
        <v>0</v>
      </c>
      <c r="E225" s="155">
        <f ca="1">IF(ISNUMBER(MATCH(DATEVALUE($A225),'changes1_based on steps'!E$1:E$400,0)),E$2,)</f>
        <v>0</v>
      </c>
      <c r="F225" s="155">
        <f ca="1">IF(ISNUMBER(MATCH(DATEVALUE($A225),'changes1_based on steps'!F$1:F$400,0)),F$2,)</f>
        <v>0</v>
      </c>
      <c r="G225" s="155">
        <f ca="1">IF(ISNUMBER(MATCH(DATEVALUE($A225),'changes1_based on steps'!G$1:G$400,0)),G$2,)</f>
        <v>0</v>
      </c>
      <c r="H225" s="155">
        <f ca="1">IF(ISNUMBER(MATCH(DATEVALUE($A225),'changes1_based on steps'!H$1:H$400,0)),H$2,)</f>
        <v>0</v>
      </c>
      <c r="I225" s="155">
        <f ca="1">IF(ISNUMBER(MATCH(DATEVALUE($A225),'changes1_based on steps'!I$1:I$400,0)),I$2,)</f>
        <v>0</v>
      </c>
      <c r="J225" s="155">
        <f ca="1">IF(ISNUMBER(MATCH(DATEVALUE($A225),'changes1_based on steps'!J$1:J$400,0)),J$2,)</f>
        <v>0</v>
      </c>
      <c r="K225" s="155">
        <f ca="1">IF(ISNUMBER(MATCH(DATEVALUE($A225),'changes1_based on steps'!K$1:K$400,0)),K$2,)</f>
        <v>0</v>
      </c>
      <c r="L225" s="155">
        <f ca="1">IF(ISNUMBER(MATCH(DATEVALUE($A225),'changes1_based on steps'!L$1:L$400,0)),L$2,)</f>
        <v>0</v>
      </c>
      <c r="M225" s="155">
        <f ca="1">IF(ISNUMBER(MATCH(DATEVALUE($A225),'changes1_based on steps'!M$1:M$400,0)),M$2,)</f>
        <v>0</v>
      </c>
      <c r="N225" s="155">
        <f ca="1">IF(ISNUMBER(MATCH(DATEVALUE($A225),'changes1_based on steps'!N$1:N$400,0)),N$2,)</f>
        <v>0</v>
      </c>
      <c r="O225" s="155">
        <f ca="1">IF(ISNUMBER(MATCH(DATEVALUE($A225),'changes1_based on steps'!O$1:O$400,0)),O$2,)</f>
        <v>0</v>
      </c>
      <c r="P225" s="155">
        <f ca="1">IF(ISNUMBER(MATCH(DATEVALUE($A225),'changes1_based on steps'!P$1:P$400,0)),P$2,)</f>
        <v>0</v>
      </c>
      <c r="Q225" s="155">
        <f ca="1">IF(ISNUMBER(MATCH(DATEVALUE($A225),'changes1_based on steps'!Q$1:Q$400,0)),Q$2,)</f>
        <v>0</v>
      </c>
      <c r="R225" s="155">
        <f ca="1">IF(ISNUMBER(MATCH(DATEVALUE($A225),'changes1_based on steps'!R$1:R$400,0)),R$2,)</f>
        <v>0</v>
      </c>
      <c r="S225" s="155">
        <f ca="1">IF(ISNUMBER(MATCH(DATEVALUE($A225),'changes1_based on steps'!S$1:S$400,0)),S$2,)</f>
        <v>0</v>
      </c>
      <c r="T225" s="155">
        <f ca="1">IF(ISNUMBER(MATCH(DATEVALUE($A225),'changes1_based on steps'!T$1:T$400,0)),T$2,)</f>
        <v>0</v>
      </c>
      <c r="U225" s="155">
        <f ca="1">IF(ISNUMBER(MATCH(DATEVALUE($A225),'changes1_based on steps'!U$1:U$400,0)),U$2,)</f>
        <v>0</v>
      </c>
    </row>
    <row r="226" spans="1:21" x14ac:dyDescent="0.2">
      <c r="A226" s="18" t="str">
        <f t="shared" ca="1" si="3"/>
        <v>2025-09-12</v>
      </c>
      <c r="B226" s="155">
        <f ca="1">IF(ISNUMBER(MATCH(DATEVALUE($A226),'changes1_based on steps'!B$1:B$400,0)),B$2,)</f>
        <v>0</v>
      </c>
      <c r="C226" s="155">
        <f ca="1">IF(ISNUMBER(MATCH(DATEVALUE($A226),'changes1_based on steps'!C$1:C$400,0)),C$2,)</f>
        <v>0</v>
      </c>
      <c r="D226" s="155">
        <f ca="1">IF(ISNUMBER(MATCH(DATEVALUE($A226),'changes1_based on steps'!D$1:D$400,0)),D$2,)</f>
        <v>0</v>
      </c>
      <c r="E226" s="155">
        <f ca="1">IF(ISNUMBER(MATCH(DATEVALUE($A226),'changes1_based on steps'!E$1:E$400,0)),E$2,)</f>
        <v>0</v>
      </c>
      <c r="F226" s="155">
        <f ca="1">IF(ISNUMBER(MATCH(DATEVALUE($A226),'changes1_based on steps'!F$1:F$400,0)),F$2,)</f>
        <v>0</v>
      </c>
      <c r="G226" s="155">
        <f ca="1">IF(ISNUMBER(MATCH(DATEVALUE($A226),'changes1_based on steps'!G$1:G$400,0)),G$2,)</f>
        <v>0</v>
      </c>
      <c r="H226" s="155">
        <f ca="1">IF(ISNUMBER(MATCH(DATEVALUE($A226),'changes1_based on steps'!H$1:H$400,0)),H$2,)</f>
        <v>0</v>
      </c>
      <c r="I226" s="155">
        <f ca="1">IF(ISNUMBER(MATCH(DATEVALUE($A226),'changes1_based on steps'!I$1:I$400,0)),I$2,)</f>
        <v>0</v>
      </c>
      <c r="J226" s="155">
        <f ca="1">IF(ISNUMBER(MATCH(DATEVALUE($A226),'changes1_based on steps'!J$1:J$400,0)),J$2,)</f>
        <v>0</v>
      </c>
      <c r="K226" s="155">
        <f ca="1">IF(ISNUMBER(MATCH(DATEVALUE($A226),'changes1_based on steps'!K$1:K$400,0)),K$2,)</f>
        <v>0</v>
      </c>
      <c r="L226" s="155">
        <f ca="1">IF(ISNUMBER(MATCH(DATEVALUE($A226),'changes1_based on steps'!L$1:L$400,0)),L$2,)</f>
        <v>0</v>
      </c>
      <c r="M226" s="155">
        <f ca="1">IF(ISNUMBER(MATCH(DATEVALUE($A226),'changes1_based on steps'!M$1:M$400,0)),M$2,)</f>
        <v>0</v>
      </c>
      <c r="N226" s="155">
        <f ca="1">IF(ISNUMBER(MATCH(DATEVALUE($A226),'changes1_based on steps'!N$1:N$400,0)),N$2,)</f>
        <v>0</v>
      </c>
      <c r="O226" s="155">
        <f ca="1">IF(ISNUMBER(MATCH(DATEVALUE($A226),'changes1_based on steps'!O$1:O$400,0)),O$2,)</f>
        <v>0</v>
      </c>
      <c r="P226" s="155">
        <f ca="1">IF(ISNUMBER(MATCH(DATEVALUE($A226),'changes1_based on steps'!P$1:P$400,0)),P$2,)</f>
        <v>0</v>
      </c>
      <c r="Q226" s="155">
        <f ca="1">IF(ISNUMBER(MATCH(DATEVALUE($A226),'changes1_based on steps'!Q$1:Q$400,0)),Q$2,)</f>
        <v>0</v>
      </c>
      <c r="R226" s="155">
        <f ca="1">IF(ISNUMBER(MATCH(DATEVALUE($A226),'changes1_based on steps'!R$1:R$400,0)),R$2,)</f>
        <v>0</v>
      </c>
      <c r="S226" s="155">
        <f ca="1">IF(ISNUMBER(MATCH(DATEVALUE($A226),'changes1_based on steps'!S$1:S$400,0)),S$2,)</f>
        <v>0</v>
      </c>
      <c r="T226" s="155">
        <f ca="1">IF(ISNUMBER(MATCH(DATEVALUE($A226),'changes1_based on steps'!T$1:T$400,0)),T$2,)</f>
        <v>0</v>
      </c>
      <c r="U226" s="155">
        <f ca="1">IF(ISNUMBER(MATCH(DATEVALUE($A226),'changes1_based on steps'!U$1:U$400,0)),U$2,)</f>
        <v>0</v>
      </c>
    </row>
    <row r="227" spans="1:21" x14ac:dyDescent="0.2">
      <c r="A227" s="18" t="str">
        <f t="shared" ca="1" si="3"/>
        <v>2025-09-13</v>
      </c>
      <c r="B227" s="155">
        <f ca="1">IF(ISNUMBER(MATCH(DATEVALUE($A227),'changes1_based on steps'!B$1:B$400,0)),B$2,)</f>
        <v>0</v>
      </c>
      <c r="C227" s="155">
        <f ca="1">IF(ISNUMBER(MATCH(DATEVALUE($A227),'changes1_based on steps'!C$1:C$400,0)),C$2,)</f>
        <v>0</v>
      </c>
      <c r="D227" s="155">
        <f ca="1">IF(ISNUMBER(MATCH(DATEVALUE($A227),'changes1_based on steps'!D$1:D$400,0)),D$2,)</f>
        <v>0</v>
      </c>
      <c r="E227" s="155">
        <f ca="1">IF(ISNUMBER(MATCH(DATEVALUE($A227),'changes1_based on steps'!E$1:E$400,0)),E$2,)</f>
        <v>0</v>
      </c>
      <c r="F227" s="155">
        <f ca="1">IF(ISNUMBER(MATCH(DATEVALUE($A227),'changes1_based on steps'!F$1:F$400,0)),F$2,)</f>
        <v>0</v>
      </c>
      <c r="G227" s="155">
        <f ca="1">IF(ISNUMBER(MATCH(DATEVALUE($A227),'changes1_based on steps'!G$1:G$400,0)),G$2,)</f>
        <v>0</v>
      </c>
      <c r="H227" s="155">
        <f ca="1">IF(ISNUMBER(MATCH(DATEVALUE($A227),'changes1_based on steps'!H$1:H$400,0)),H$2,)</f>
        <v>0</v>
      </c>
      <c r="I227" s="155">
        <f ca="1">IF(ISNUMBER(MATCH(DATEVALUE($A227),'changes1_based on steps'!I$1:I$400,0)),I$2,)</f>
        <v>0</v>
      </c>
      <c r="J227" s="155">
        <f ca="1">IF(ISNUMBER(MATCH(DATEVALUE($A227),'changes1_based on steps'!J$1:J$400,0)),J$2,)</f>
        <v>0</v>
      </c>
      <c r="K227" s="155">
        <f ca="1">IF(ISNUMBER(MATCH(DATEVALUE($A227),'changes1_based on steps'!K$1:K$400,0)),K$2,)</f>
        <v>0</v>
      </c>
      <c r="L227" s="155">
        <f ca="1">IF(ISNUMBER(MATCH(DATEVALUE($A227),'changes1_based on steps'!L$1:L$400,0)),L$2,)</f>
        <v>0</v>
      </c>
      <c r="M227" s="155">
        <f ca="1">IF(ISNUMBER(MATCH(DATEVALUE($A227),'changes1_based on steps'!M$1:M$400,0)),M$2,)</f>
        <v>0</v>
      </c>
      <c r="N227" s="155">
        <f ca="1">IF(ISNUMBER(MATCH(DATEVALUE($A227),'changes1_based on steps'!N$1:N$400,0)),N$2,)</f>
        <v>0</v>
      </c>
      <c r="O227" s="155">
        <f ca="1">IF(ISNUMBER(MATCH(DATEVALUE($A227),'changes1_based on steps'!O$1:O$400,0)),O$2,)</f>
        <v>0</v>
      </c>
      <c r="P227" s="155">
        <f ca="1">IF(ISNUMBER(MATCH(DATEVALUE($A227),'changes1_based on steps'!P$1:P$400,0)),P$2,)</f>
        <v>0</v>
      </c>
      <c r="Q227" s="155">
        <f ca="1">IF(ISNUMBER(MATCH(DATEVALUE($A227),'changes1_based on steps'!Q$1:Q$400,0)),Q$2,)</f>
        <v>0</v>
      </c>
      <c r="R227" s="155">
        <f ca="1">IF(ISNUMBER(MATCH(DATEVALUE($A227),'changes1_based on steps'!R$1:R$400,0)),R$2,)</f>
        <v>0</v>
      </c>
      <c r="S227" s="155">
        <f ca="1">IF(ISNUMBER(MATCH(DATEVALUE($A227),'changes1_based on steps'!S$1:S$400,0)),S$2,)</f>
        <v>0</v>
      </c>
      <c r="T227" s="155">
        <f ca="1">IF(ISNUMBER(MATCH(DATEVALUE($A227),'changes1_based on steps'!T$1:T$400,0)),T$2,)</f>
        <v>0</v>
      </c>
      <c r="U227" s="155">
        <f ca="1">IF(ISNUMBER(MATCH(DATEVALUE($A227),'changes1_based on steps'!U$1:U$400,0)),U$2,)</f>
        <v>0</v>
      </c>
    </row>
    <row r="228" spans="1:21" x14ac:dyDescent="0.2">
      <c r="A228" s="18" t="str">
        <f t="shared" ca="1" si="3"/>
        <v>2025-09-14</v>
      </c>
      <c r="B228" s="155">
        <f ca="1">IF(ISNUMBER(MATCH(DATEVALUE($A228),'changes1_based on steps'!B$1:B$400,0)),B$2,)</f>
        <v>0</v>
      </c>
      <c r="C228" s="155">
        <f ca="1">IF(ISNUMBER(MATCH(DATEVALUE($A228),'changes1_based on steps'!C$1:C$400,0)),C$2,)</f>
        <v>0</v>
      </c>
      <c r="D228" s="155">
        <f ca="1">IF(ISNUMBER(MATCH(DATEVALUE($A228),'changes1_based on steps'!D$1:D$400,0)),D$2,)</f>
        <v>0</v>
      </c>
      <c r="E228" s="155">
        <f ca="1">IF(ISNUMBER(MATCH(DATEVALUE($A228),'changes1_based on steps'!E$1:E$400,0)),E$2,)</f>
        <v>0</v>
      </c>
      <c r="F228" s="155">
        <f ca="1">IF(ISNUMBER(MATCH(DATEVALUE($A228),'changes1_based on steps'!F$1:F$400,0)),F$2,)</f>
        <v>0</v>
      </c>
      <c r="G228" s="155">
        <f ca="1">IF(ISNUMBER(MATCH(DATEVALUE($A228),'changes1_based on steps'!G$1:G$400,0)),G$2,)</f>
        <v>0</v>
      </c>
      <c r="H228" s="155">
        <f ca="1">IF(ISNUMBER(MATCH(DATEVALUE($A228),'changes1_based on steps'!H$1:H$400,0)),H$2,)</f>
        <v>0</v>
      </c>
      <c r="I228" s="155">
        <f ca="1">IF(ISNUMBER(MATCH(DATEVALUE($A228),'changes1_based on steps'!I$1:I$400,0)),I$2,)</f>
        <v>0</v>
      </c>
      <c r="J228" s="155">
        <f ca="1">IF(ISNUMBER(MATCH(DATEVALUE($A228),'changes1_based on steps'!J$1:J$400,0)),J$2,)</f>
        <v>0</v>
      </c>
      <c r="K228" s="155">
        <f ca="1">IF(ISNUMBER(MATCH(DATEVALUE($A228),'changes1_based on steps'!K$1:K$400,0)),K$2,)</f>
        <v>0</v>
      </c>
      <c r="L228" s="155">
        <f ca="1">IF(ISNUMBER(MATCH(DATEVALUE($A228),'changes1_based on steps'!L$1:L$400,0)),L$2,)</f>
        <v>0</v>
      </c>
      <c r="M228" s="155">
        <f ca="1">IF(ISNUMBER(MATCH(DATEVALUE($A228),'changes1_based on steps'!M$1:M$400,0)),M$2,)</f>
        <v>0</v>
      </c>
      <c r="N228" s="155">
        <f ca="1">IF(ISNUMBER(MATCH(DATEVALUE($A228),'changes1_based on steps'!N$1:N$400,0)),N$2,)</f>
        <v>0</v>
      </c>
      <c r="O228" s="155">
        <f ca="1">IF(ISNUMBER(MATCH(DATEVALUE($A228),'changes1_based on steps'!O$1:O$400,0)),O$2,)</f>
        <v>0</v>
      </c>
      <c r="P228" s="155">
        <f ca="1">IF(ISNUMBER(MATCH(DATEVALUE($A228),'changes1_based on steps'!P$1:P$400,0)),P$2,)</f>
        <v>0</v>
      </c>
      <c r="Q228" s="155">
        <f ca="1">IF(ISNUMBER(MATCH(DATEVALUE($A228),'changes1_based on steps'!Q$1:Q$400,0)),Q$2,)</f>
        <v>0</v>
      </c>
      <c r="R228" s="155">
        <f ca="1">IF(ISNUMBER(MATCH(DATEVALUE($A228),'changes1_based on steps'!R$1:R$400,0)),R$2,)</f>
        <v>0</v>
      </c>
      <c r="S228" s="155">
        <f ca="1">IF(ISNUMBER(MATCH(DATEVALUE($A228),'changes1_based on steps'!S$1:S$400,0)),S$2,)</f>
        <v>0</v>
      </c>
      <c r="T228" s="155">
        <f ca="1">IF(ISNUMBER(MATCH(DATEVALUE($A228),'changes1_based on steps'!T$1:T$400,0)),T$2,)</f>
        <v>0</v>
      </c>
      <c r="U228" s="155">
        <f ca="1">IF(ISNUMBER(MATCH(DATEVALUE($A228),'changes1_based on steps'!U$1:U$400,0)),U$2,)</f>
        <v>0</v>
      </c>
    </row>
    <row r="229" spans="1:21" x14ac:dyDescent="0.2">
      <c r="A229" s="18" t="str">
        <f t="shared" ca="1" si="3"/>
        <v>2025-09-15</v>
      </c>
      <c r="B229" s="155">
        <f ca="1">IF(ISNUMBER(MATCH(DATEVALUE($A229),'changes1_based on steps'!B$1:B$400,0)),B$2,)</f>
        <v>0</v>
      </c>
      <c r="C229" s="155">
        <f ca="1">IF(ISNUMBER(MATCH(DATEVALUE($A229),'changes1_based on steps'!C$1:C$400,0)),C$2,)</f>
        <v>0</v>
      </c>
      <c r="D229" s="155">
        <f ca="1">IF(ISNUMBER(MATCH(DATEVALUE($A229),'changes1_based on steps'!D$1:D$400,0)),D$2,)</f>
        <v>0</v>
      </c>
      <c r="E229" s="155">
        <f ca="1">IF(ISNUMBER(MATCH(DATEVALUE($A229),'changes1_based on steps'!E$1:E$400,0)),E$2,)</f>
        <v>0</v>
      </c>
      <c r="F229" s="155">
        <f ca="1">IF(ISNUMBER(MATCH(DATEVALUE($A229),'changes1_based on steps'!F$1:F$400,0)),F$2,)</f>
        <v>0</v>
      </c>
      <c r="G229" s="155">
        <f ca="1">IF(ISNUMBER(MATCH(DATEVALUE($A229),'changes1_based on steps'!G$1:G$400,0)),G$2,)</f>
        <v>0</v>
      </c>
      <c r="H229" s="155">
        <f ca="1">IF(ISNUMBER(MATCH(DATEVALUE($A229),'changes1_based on steps'!H$1:H$400,0)),H$2,)</f>
        <v>0</v>
      </c>
      <c r="I229" s="155">
        <f ca="1">IF(ISNUMBER(MATCH(DATEVALUE($A229),'changes1_based on steps'!I$1:I$400,0)),I$2,)</f>
        <v>0</v>
      </c>
      <c r="J229" s="155">
        <f ca="1">IF(ISNUMBER(MATCH(DATEVALUE($A229),'changes1_based on steps'!J$1:J$400,0)),J$2,)</f>
        <v>0</v>
      </c>
      <c r="K229" s="155">
        <f ca="1">IF(ISNUMBER(MATCH(DATEVALUE($A229),'changes1_based on steps'!K$1:K$400,0)),K$2,)</f>
        <v>0</v>
      </c>
      <c r="L229" s="155">
        <f ca="1">IF(ISNUMBER(MATCH(DATEVALUE($A229),'changes1_based on steps'!L$1:L$400,0)),L$2,)</f>
        <v>0</v>
      </c>
      <c r="M229" s="155">
        <f ca="1">IF(ISNUMBER(MATCH(DATEVALUE($A229),'changes1_based on steps'!M$1:M$400,0)),M$2,)</f>
        <v>0</v>
      </c>
      <c r="N229" s="155">
        <f ca="1">IF(ISNUMBER(MATCH(DATEVALUE($A229),'changes1_based on steps'!N$1:N$400,0)),N$2,)</f>
        <v>0</v>
      </c>
      <c r="O229" s="155">
        <f ca="1">IF(ISNUMBER(MATCH(DATEVALUE($A229),'changes1_based on steps'!O$1:O$400,0)),O$2,)</f>
        <v>0</v>
      </c>
      <c r="P229" s="155">
        <f ca="1">IF(ISNUMBER(MATCH(DATEVALUE($A229),'changes1_based on steps'!P$1:P$400,0)),P$2,)</f>
        <v>0</v>
      </c>
      <c r="Q229" s="155">
        <f ca="1">IF(ISNUMBER(MATCH(DATEVALUE($A229),'changes1_based on steps'!Q$1:Q$400,0)),Q$2,)</f>
        <v>0</v>
      </c>
      <c r="R229" s="155">
        <f ca="1">IF(ISNUMBER(MATCH(DATEVALUE($A229),'changes1_based on steps'!R$1:R$400,0)),R$2,)</f>
        <v>0</v>
      </c>
      <c r="S229" s="155">
        <f ca="1">IF(ISNUMBER(MATCH(DATEVALUE($A229),'changes1_based on steps'!S$1:S$400,0)),S$2,)</f>
        <v>0</v>
      </c>
      <c r="T229" s="155">
        <f ca="1">IF(ISNUMBER(MATCH(DATEVALUE($A229),'changes1_based on steps'!T$1:T$400,0)),T$2,)</f>
        <v>0</v>
      </c>
      <c r="U229" s="155">
        <f ca="1">IF(ISNUMBER(MATCH(DATEVALUE($A229),'changes1_based on steps'!U$1:U$400,0)),U$2,)</f>
        <v>0</v>
      </c>
    </row>
    <row r="230" spans="1:21" x14ac:dyDescent="0.2">
      <c r="A230" s="18" t="str">
        <f t="shared" ca="1" si="3"/>
        <v>2025-09-16</v>
      </c>
      <c r="B230" s="155">
        <f ca="1">IF(ISNUMBER(MATCH(DATEVALUE($A230),'changes1_based on steps'!B$1:B$400,0)),B$2,)</f>
        <v>0</v>
      </c>
      <c r="C230" s="155">
        <f ca="1">IF(ISNUMBER(MATCH(DATEVALUE($A230),'changes1_based on steps'!C$1:C$400,0)),C$2,)</f>
        <v>0</v>
      </c>
      <c r="D230" s="155">
        <f ca="1">IF(ISNUMBER(MATCH(DATEVALUE($A230),'changes1_based on steps'!D$1:D$400,0)),D$2,)</f>
        <v>0</v>
      </c>
      <c r="E230" s="155">
        <f ca="1">IF(ISNUMBER(MATCH(DATEVALUE($A230),'changes1_based on steps'!E$1:E$400,0)),E$2,)</f>
        <v>0</v>
      </c>
      <c r="F230" s="155">
        <f ca="1">IF(ISNUMBER(MATCH(DATEVALUE($A230),'changes1_based on steps'!F$1:F$400,0)),F$2,)</f>
        <v>0</v>
      </c>
      <c r="G230" s="155">
        <f ca="1">IF(ISNUMBER(MATCH(DATEVALUE($A230),'changes1_based on steps'!G$1:G$400,0)),G$2,)</f>
        <v>0</v>
      </c>
      <c r="H230" s="155">
        <f ca="1">IF(ISNUMBER(MATCH(DATEVALUE($A230),'changes1_based on steps'!H$1:H$400,0)),H$2,)</f>
        <v>0</v>
      </c>
      <c r="I230" s="155">
        <f ca="1">IF(ISNUMBER(MATCH(DATEVALUE($A230),'changes1_based on steps'!I$1:I$400,0)),I$2,)</f>
        <v>0</v>
      </c>
      <c r="J230" s="155">
        <f ca="1">IF(ISNUMBER(MATCH(DATEVALUE($A230),'changes1_based on steps'!J$1:J$400,0)),J$2,)</f>
        <v>0</v>
      </c>
      <c r="K230" s="155">
        <f ca="1">IF(ISNUMBER(MATCH(DATEVALUE($A230),'changes1_based on steps'!K$1:K$400,0)),K$2,)</f>
        <v>0</v>
      </c>
      <c r="L230" s="155">
        <f ca="1">IF(ISNUMBER(MATCH(DATEVALUE($A230),'changes1_based on steps'!L$1:L$400,0)),L$2,)</f>
        <v>0</v>
      </c>
      <c r="M230" s="155">
        <f ca="1">IF(ISNUMBER(MATCH(DATEVALUE($A230),'changes1_based on steps'!M$1:M$400,0)),M$2,)</f>
        <v>0</v>
      </c>
      <c r="N230" s="155">
        <f ca="1">IF(ISNUMBER(MATCH(DATEVALUE($A230),'changes1_based on steps'!N$1:N$400,0)),N$2,)</f>
        <v>0</v>
      </c>
      <c r="O230" s="155">
        <f ca="1">IF(ISNUMBER(MATCH(DATEVALUE($A230),'changes1_based on steps'!O$1:O$400,0)),O$2,)</f>
        <v>0</v>
      </c>
      <c r="P230" s="155">
        <f ca="1">IF(ISNUMBER(MATCH(DATEVALUE($A230),'changes1_based on steps'!P$1:P$400,0)),P$2,)</f>
        <v>0</v>
      </c>
      <c r="Q230" s="155">
        <f ca="1">IF(ISNUMBER(MATCH(DATEVALUE($A230),'changes1_based on steps'!Q$1:Q$400,0)),Q$2,)</f>
        <v>0</v>
      </c>
      <c r="R230" s="155">
        <f ca="1">IF(ISNUMBER(MATCH(DATEVALUE($A230),'changes1_based on steps'!R$1:R$400,0)),R$2,)</f>
        <v>0</v>
      </c>
      <c r="S230" s="155">
        <f ca="1">IF(ISNUMBER(MATCH(DATEVALUE($A230),'changes1_based on steps'!S$1:S$400,0)),S$2,)</f>
        <v>0</v>
      </c>
      <c r="T230" s="155">
        <f ca="1">IF(ISNUMBER(MATCH(DATEVALUE($A230),'changes1_based on steps'!T$1:T$400,0)),T$2,)</f>
        <v>0</v>
      </c>
      <c r="U230" s="155">
        <f ca="1">IF(ISNUMBER(MATCH(DATEVALUE($A230),'changes1_based on steps'!U$1:U$400,0)),U$2,)</f>
        <v>0</v>
      </c>
    </row>
    <row r="231" spans="1:21" x14ac:dyDescent="0.2">
      <c r="A231" s="18" t="str">
        <f t="shared" ca="1" si="3"/>
        <v>2025-09-17</v>
      </c>
      <c r="B231" s="155">
        <f ca="1">IF(ISNUMBER(MATCH(DATEVALUE($A231),'changes1_based on steps'!B$1:B$400,0)),B$2,)</f>
        <v>0</v>
      </c>
      <c r="C231" s="155">
        <f ca="1">IF(ISNUMBER(MATCH(DATEVALUE($A231),'changes1_based on steps'!C$1:C$400,0)),C$2,)</f>
        <v>0</v>
      </c>
      <c r="D231" s="155">
        <f ca="1">IF(ISNUMBER(MATCH(DATEVALUE($A231),'changes1_based on steps'!D$1:D$400,0)),D$2,)</f>
        <v>0</v>
      </c>
      <c r="E231" s="155">
        <f ca="1">IF(ISNUMBER(MATCH(DATEVALUE($A231),'changes1_based on steps'!E$1:E$400,0)),E$2,)</f>
        <v>0</v>
      </c>
      <c r="F231" s="155">
        <f ca="1">IF(ISNUMBER(MATCH(DATEVALUE($A231),'changes1_based on steps'!F$1:F$400,0)),F$2,)</f>
        <v>0</v>
      </c>
      <c r="G231" s="155">
        <f ca="1">IF(ISNUMBER(MATCH(DATEVALUE($A231),'changes1_based on steps'!G$1:G$400,0)),G$2,)</f>
        <v>0</v>
      </c>
      <c r="H231" s="155">
        <f ca="1">IF(ISNUMBER(MATCH(DATEVALUE($A231),'changes1_based on steps'!H$1:H$400,0)),H$2,)</f>
        <v>0</v>
      </c>
      <c r="I231" s="155">
        <f ca="1">IF(ISNUMBER(MATCH(DATEVALUE($A231),'changes1_based on steps'!I$1:I$400,0)),I$2,)</f>
        <v>0</v>
      </c>
      <c r="J231" s="155">
        <f ca="1">IF(ISNUMBER(MATCH(DATEVALUE($A231),'changes1_based on steps'!J$1:J$400,0)),J$2,)</f>
        <v>0</v>
      </c>
      <c r="K231" s="155">
        <f ca="1">IF(ISNUMBER(MATCH(DATEVALUE($A231),'changes1_based on steps'!K$1:K$400,0)),K$2,)</f>
        <v>0</v>
      </c>
      <c r="L231" s="155">
        <f ca="1">IF(ISNUMBER(MATCH(DATEVALUE($A231),'changes1_based on steps'!L$1:L$400,0)),L$2,)</f>
        <v>0</v>
      </c>
      <c r="M231" s="155">
        <f ca="1">IF(ISNUMBER(MATCH(DATEVALUE($A231),'changes1_based on steps'!M$1:M$400,0)),M$2,)</f>
        <v>0</v>
      </c>
      <c r="N231" s="155">
        <f ca="1">IF(ISNUMBER(MATCH(DATEVALUE($A231),'changes1_based on steps'!N$1:N$400,0)),N$2,)</f>
        <v>0</v>
      </c>
      <c r="O231" s="155">
        <f ca="1">IF(ISNUMBER(MATCH(DATEVALUE($A231),'changes1_based on steps'!O$1:O$400,0)),O$2,)</f>
        <v>0</v>
      </c>
      <c r="P231" s="155">
        <f ca="1">IF(ISNUMBER(MATCH(DATEVALUE($A231),'changes1_based on steps'!P$1:P$400,0)),P$2,)</f>
        <v>0</v>
      </c>
      <c r="Q231" s="155">
        <f ca="1">IF(ISNUMBER(MATCH(DATEVALUE($A231),'changes1_based on steps'!Q$1:Q$400,0)),Q$2,)</f>
        <v>0</v>
      </c>
      <c r="R231" s="155">
        <f ca="1">IF(ISNUMBER(MATCH(DATEVALUE($A231),'changes1_based on steps'!R$1:R$400,0)),R$2,)</f>
        <v>0</v>
      </c>
      <c r="S231" s="155">
        <f ca="1">IF(ISNUMBER(MATCH(DATEVALUE($A231),'changes1_based on steps'!S$1:S$400,0)),S$2,)</f>
        <v>0</v>
      </c>
      <c r="T231" s="155">
        <f ca="1">IF(ISNUMBER(MATCH(DATEVALUE($A231),'changes1_based on steps'!T$1:T$400,0)),T$2,)</f>
        <v>0</v>
      </c>
      <c r="U231" s="155">
        <f ca="1">IF(ISNUMBER(MATCH(DATEVALUE($A231),'changes1_based on steps'!U$1:U$400,0)),U$2,)</f>
        <v>0</v>
      </c>
    </row>
    <row r="232" spans="1:21" x14ac:dyDescent="0.2">
      <c r="A232" s="18" t="str">
        <f t="shared" ca="1" si="3"/>
        <v>2025-09-18</v>
      </c>
      <c r="B232" s="155">
        <f ca="1">IF(ISNUMBER(MATCH(DATEVALUE($A232),'changes1_based on steps'!B$1:B$400,0)),B$2,)</f>
        <v>0</v>
      </c>
      <c r="C232" s="155">
        <f ca="1">IF(ISNUMBER(MATCH(DATEVALUE($A232),'changes1_based on steps'!C$1:C$400,0)),C$2,)</f>
        <v>0</v>
      </c>
      <c r="D232" s="155">
        <f ca="1">IF(ISNUMBER(MATCH(DATEVALUE($A232),'changes1_based on steps'!D$1:D$400,0)),D$2,)</f>
        <v>0</v>
      </c>
      <c r="E232" s="155">
        <f ca="1">IF(ISNUMBER(MATCH(DATEVALUE($A232),'changes1_based on steps'!E$1:E$400,0)),E$2,)</f>
        <v>0</v>
      </c>
      <c r="F232" s="155">
        <f ca="1">IF(ISNUMBER(MATCH(DATEVALUE($A232),'changes1_based on steps'!F$1:F$400,0)),F$2,)</f>
        <v>0</v>
      </c>
      <c r="G232" s="155">
        <f ca="1">IF(ISNUMBER(MATCH(DATEVALUE($A232),'changes1_based on steps'!G$1:G$400,0)),G$2,)</f>
        <v>0</v>
      </c>
      <c r="H232" s="155">
        <f ca="1">IF(ISNUMBER(MATCH(DATEVALUE($A232),'changes1_based on steps'!H$1:H$400,0)),H$2,)</f>
        <v>0</v>
      </c>
      <c r="I232" s="155">
        <f ca="1">IF(ISNUMBER(MATCH(DATEVALUE($A232),'changes1_based on steps'!I$1:I$400,0)),I$2,)</f>
        <v>0</v>
      </c>
      <c r="J232" s="155">
        <f ca="1">IF(ISNUMBER(MATCH(DATEVALUE($A232),'changes1_based on steps'!J$1:J$400,0)),J$2,)</f>
        <v>0</v>
      </c>
      <c r="K232" s="155">
        <f ca="1">IF(ISNUMBER(MATCH(DATEVALUE($A232),'changes1_based on steps'!K$1:K$400,0)),K$2,)</f>
        <v>0</v>
      </c>
      <c r="L232" s="155">
        <f ca="1">IF(ISNUMBER(MATCH(DATEVALUE($A232),'changes1_based on steps'!L$1:L$400,0)),L$2,)</f>
        <v>0</v>
      </c>
      <c r="M232" s="155">
        <f ca="1">IF(ISNUMBER(MATCH(DATEVALUE($A232),'changes1_based on steps'!M$1:M$400,0)),M$2,)</f>
        <v>0</v>
      </c>
      <c r="N232" s="155">
        <f ca="1">IF(ISNUMBER(MATCH(DATEVALUE($A232),'changes1_based on steps'!N$1:N$400,0)),N$2,)</f>
        <v>0</v>
      </c>
      <c r="O232" s="155">
        <f ca="1">IF(ISNUMBER(MATCH(DATEVALUE($A232),'changes1_based on steps'!O$1:O$400,0)),O$2,)</f>
        <v>0</v>
      </c>
      <c r="P232" s="155">
        <f ca="1">IF(ISNUMBER(MATCH(DATEVALUE($A232),'changes1_based on steps'!P$1:P$400,0)),P$2,)</f>
        <v>0</v>
      </c>
      <c r="Q232" s="155">
        <f ca="1">IF(ISNUMBER(MATCH(DATEVALUE($A232),'changes1_based on steps'!Q$1:Q$400,0)),Q$2,)</f>
        <v>0</v>
      </c>
      <c r="R232" s="155">
        <f ca="1">IF(ISNUMBER(MATCH(DATEVALUE($A232),'changes1_based on steps'!R$1:R$400,0)),R$2,)</f>
        <v>0</v>
      </c>
      <c r="S232" s="155">
        <f ca="1">IF(ISNUMBER(MATCH(DATEVALUE($A232),'changes1_based on steps'!S$1:S$400,0)),S$2,)</f>
        <v>0</v>
      </c>
      <c r="T232" s="155">
        <f ca="1">IF(ISNUMBER(MATCH(DATEVALUE($A232),'changes1_based on steps'!T$1:T$400,0)),T$2,)</f>
        <v>0</v>
      </c>
      <c r="U232" s="155">
        <f ca="1">IF(ISNUMBER(MATCH(DATEVALUE($A232),'changes1_based on steps'!U$1:U$400,0)),U$2,)</f>
        <v>0</v>
      </c>
    </row>
    <row r="233" spans="1:21" x14ac:dyDescent="0.2">
      <c r="A233" s="18" t="str">
        <f t="shared" ca="1" si="3"/>
        <v>2025-09-19</v>
      </c>
      <c r="B233" s="155">
        <f ca="1">IF(ISNUMBER(MATCH(DATEVALUE($A233),'changes1_based on steps'!B$1:B$400,0)),B$2,)</f>
        <v>0</v>
      </c>
      <c r="C233" s="155">
        <f ca="1">IF(ISNUMBER(MATCH(DATEVALUE($A233),'changes1_based on steps'!C$1:C$400,0)),C$2,)</f>
        <v>0</v>
      </c>
      <c r="D233" s="155">
        <f ca="1">IF(ISNUMBER(MATCH(DATEVALUE($A233),'changes1_based on steps'!D$1:D$400,0)),D$2,)</f>
        <v>0</v>
      </c>
      <c r="E233" s="155">
        <f ca="1">IF(ISNUMBER(MATCH(DATEVALUE($A233),'changes1_based on steps'!E$1:E$400,0)),E$2,)</f>
        <v>0</v>
      </c>
      <c r="F233" s="155">
        <f ca="1">IF(ISNUMBER(MATCH(DATEVALUE($A233),'changes1_based on steps'!F$1:F$400,0)),F$2,)</f>
        <v>0</v>
      </c>
      <c r="G233" s="155">
        <f ca="1">IF(ISNUMBER(MATCH(DATEVALUE($A233),'changes1_based on steps'!G$1:G$400,0)),G$2,)</f>
        <v>0</v>
      </c>
      <c r="H233" s="155">
        <f ca="1">IF(ISNUMBER(MATCH(DATEVALUE($A233),'changes1_based on steps'!H$1:H$400,0)),H$2,)</f>
        <v>0</v>
      </c>
      <c r="I233" s="155">
        <f ca="1">IF(ISNUMBER(MATCH(DATEVALUE($A233),'changes1_based on steps'!I$1:I$400,0)),I$2,)</f>
        <v>0</v>
      </c>
      <c r="J233" s="155">
        <f ca="1">IF(ISNUMBER(MATCH(DATEVALUE($A233),'changes1_based on steps'!J$1:J$400,0)),J$2,)</f>
        <v>0</v>
      </c>
      <c r="K233" s="155">
        <f ca="1">IF(ISNUMBER(MATCH(DATEVALUE($A233),'changes1_based on steps'!K$1:K$400,0)),K$2,)</f>
        <v>0</v>
      </c>
      <c r="L233" s="155">
        <f ca="1">IF(ISNUMBER(MATCH(DATEVALUE($A233),'changes1_based on steps'!L$1:L$400,0)),L$2,)</f>
        <v>0</v>
      </c>
      <c r="M233" s="155">
        <f ca="1">IF(ISNUMBER(MATCH(DATEVALUE($A233),'changes1_based on steps'!M$1:M$400,0)),M$2,)</f>
        <v>0</v>
      </c>
      <c r="N233" s="155">
        <f ca="1">IF(ISNUMBER(MATCH(DATEVALUE($A233),'changes1_based on steps'!N$1:N$400,0)),N$2,)</f>
        <v>0</v>
      </c>
      <c r="O233" s="155">
        <f ca="1">IF(ISNUMBER(MATCH(DATEVALUE($A233),'changes1_based on steps'!O$1:O$400,0)),O$2,)</f>
        <v>0</v>
      </c>
      <c r="P233" s="155">
        <f ca="1">IF(ISNUMBER(MATCH(DATEVALUE($A233),'changes1_based on steps'!P$1:P$400,0)),P$2,)</f>
        <v>0</v>
      </c>
      <c r="Q233" s="155">
        <f ca="1">IF(ISNUMBER(MATCH(DATEVALUE($A233),'changes1_based on steps'!Q$1:Q$400,0)),Q$2,)</f>
        <v>0</v>
      </c>
      <c r="R233" s="155">
        <f ca="1">IF(ISNUMBER(MATCH(DATEVALUE($A233),'changes1_based on steps'!R$1:R$400,0)),R$2,)</f>
        <v>0</v>
      </c>
      <c r="S233" s="155">
        <f ca="1">IF(ISNUMBER(MATCH(DATEVALUE($A233),'changes1_based on steps'!S$1:S$400,0)),S$2,)</f>
        <v>0</v>
      </c>
      <c r="T233" s="155">
        <f ca="1">IF(ISNUMBER(MATCH(DATEVALUE($A233),'changes1_based on steps'!T$1:T$400,0)),T$2,)</f>
        <v>0</v>
      </c>
      <c r="U233" s="155">
        <f ca="1">IF(ISNUMBER(MATCH(DATEVALUE($A233),'changes1_based on steps'!U$1:U$400,0)),U$2,)</f>
        <v>0</v>
      </c>
    </row>
    <row r="234" spans="1:21" x14ac:dyDescent="0.2">
      <c r="A234" s="18" t="str">
        <f t="shared" ca="1" si="3"/>
        <v>2025-09-20</v>
      </c>
      <c r="B234" s="155">
        <f ca="1">IF(ISNUMBER(MATCH(DATEVALUE($A234),'changes1_based on steps'!B$1:B$400,0)),B$2,)</f>
        <v>0</v>
      </c>
      <c r="C234" s="155">
        <f ca="1">IF(ISNUMBER(MATCH(DATEVALUE($A234),'changes1_based on steps'!C$1:C$400,0)),C$2,)</f>
        <v>0</v>
      </c>
      <c r="D234" s="155">
        <f ca="1">IF(ISNUMBER(MATCH(DATEVALUE($A234),'changes1_based on steps'!D$1:D$400,0)),D$2,)</f>
        <v>0</v>
      </c>
      <c r="E234" s="155">
        <f ca="1">IF(ISNUMBER(MATCH(DATEVALUE($A234),'changes1_based on steps'!E$1:E$400,0)),E$2,)</f>
        <v>0</v>
      </c>
      <c r="F234" s="155">
        <f ca="1">IF(ISNUMBER(MATCH(DATEVALUE($A234),'changes1_based on steps'!F$1:F$400,0)),F$2,)</f>
        <v>0</v>
      </c>
      <c r="G234" s="155">
        <f ca="1">IF(ISNUMBER(MATCH(DATEVALUE($A234),'changes1_based on steps'!G$1:G$400,0)),G$2,)</f>
        <v>0</v>
      </c>
      <c r="H234" s="155">
        <f ca="1">IF(ISNUMBER(MATCH(DATEVALUE($A234),'changes1_based on steps'!H$1:H$400,0)),H$2,)</f>
        <v>0</v>
      </c>
      <c r="I234" s="155">
        <f ca="1">IF(ISNUMBER(MATCH(DATEVALUE($A234),'changes1_based on steps'!I$1:I$400,0)),I$2,)</f>
        <v>0</v>
      </c>
      <c r="J234" s="155">
        <f ca="1">IF(ISNUMBER(MATCH(DATEVALUE($A234),'changes1_based on steps'!J$1:J$400,0)),J$2,)</f>
        <v>0</v>
      </c>
      <c r="K234" s="155">
        <f ca="1">IF(ISNUMBER(MATCH(DATEVALUE($A234),'changes1_based on steps'!K$1:K$400,0)),K$2,)</f>
        <v>0</v>
      </c>
      <c r="L234" s="155">
        <f ca="1">IF(ISNUMBER(MATCH(DATEVALUE($A234),'changes1_based on steps'!L$1:L$400,0)),L$2,)</f>
        <v>0</v>
      </c>
      <c r="M234" s="155">
        <f ca="1">IF(ISNUMBER(MATCH(DATEVALUE($A234),'changes1_based on steps'!M$1:M$400,0)),M$2,)</f>
        <v>0</v>
      </c>
      <c r="N234" s="155">
        <f ca="1">IF(ISNUMBER(MATCH(DATEVALUE($A234),'changes1_based on steps'!N$1:N$400,0)),N$2,)</f>
        <v>0</v>
      </c>
      <c r="O234" s="155">
        <f ca="1">IF(ISNUMBER(MATCH(DATEVALUE($A234),'changes1_based on steps'!O$1:O$400,0)),O$2,)</f>
        <v>0</v>
      </c>
      <c r="P234" s="155">
        <f ca="1">IF(ISNUMBER(MATCH(DATEVALUE($A234),'changes1_based on steps'!P$1:P$400,0)),P$2,)</f>
        <v>0</v>
      </c>
      <c r="Q234" s="155">
        <f ca="1">IF(ISNUMBER(MATCH(DATEVALUE($A234),'changes1_based on steps'!Q$1:Q$400,0)),Q$2,)</f>
        <v>0</v>
      </c>
      <c r="R234" s="155">
        <f ca="1">IF(ISNUMBER(MATCH(DATEVALUE($A234),'changes1_based on steps'!R$1:R$400,0)),R$2,)</f>
        <v>0</v>
      </c>
      <c r="S234" s="155">
        <f ca="1">IF(ISNUMBER(MATCH(DATEVALUE($A234),'changes1_based on steps'!S$1:S$400,0)),S$2,)</f>
        <v>0</v>
      </c>
      <c r="T234" s="155">
        <f ca="1">IF(ISNUMBER(MATCH(DATEVALUE($A234),'changes1_based on steps'!T$1:T$400,0)),T$2,)</f>
        <v>0</v>
      </c>
      <c r="U234" s="155">
        <f ca="1">IF(ISNUMBER(MATCH(DATEVALUE($A234),'changes1_based on steps'!U$1:U$400,0)),U$2,)</f>
        <v>0</v>
      </c>
    </row>
    <row r="235" spans="1:21" x14ac:dyDescent="0.2">
      <c r="A235" s="18" t="str">
        <f t="shared" ca="1" si="3"/>
        <v>2025-09-21</v>
      </c>
      <c r="B235" s="155">
        <f ca="1">IF(ISNUMBER(MATCH(DATEVALUE($A235),'changes1_based on steps'!B$1:B$400,0)),B$2,)</f>
        <v>0</v>
      </c>
      <c r="C235" s="155">
        <f ca="1">IF(ISNUMBER(MATCH(DATEVALUE($A235),'changes1_based on steps'!C$1:C$400,0)),C$2,)</f>
        <v>0</v>
      </c>
      <c r="D235" s="155">
        <f ca="1">IF(ISNUMBER(MATCH(DATEVALUE($A235),'changes1_based on steps'!D$1:D$400,0)),D$2,)</f>
        <v>0</v>
      </c>
      <c r="E235" s="155">
        <f ca="1">IF(ISNUMBER(MATCH(DATEVALUE($A235),'changes1_based on steps'!E$1:E$400,0)),E$2,)</f>
        <v>0</v>
      </c>
      <c r="F235" s="155">
        <f ca="1">IF(ISNUMBER(MATCH(DATEVALUE($A235),'changes1_based on steps'!F$1:F$400,0)),F$2,)</f>
        <v>0</v>
      </c>
      <c r="G235" s="155">
        <f ca="1">IF(ISNUMBER(MATCH(DATEVALUE($A235),'changes1_based on steps'!G$1:G$400,0)),G$2,)</f>
        <v>0</v>
      </c>
      <c r="H235" s="155">
        <f ca="1">IF(ISNUMBER(MATCH(DATEVALUE($A235),'changes1_based on steps'!H$1:H$400,0)),H$2,)</f>
        <v>0</v>
      </c>
      <c r="I235" s="155">
        <f ca="1">IF(ISNUMBER(MATCH(DATEVALUE($A235),'changes1_based on steps'!I$1:I$400,0)),I$2,)</f>
        <v>0</v>
      </c>
      <c r="J235" s="155">
        <f ca="1">IF(ISNUMBER(MATCH(DATEVALUE($A235),'changes1_based on steps'!J$1:J$400,0)),J$2,)</f>
        <v>0</v>
      </c>
      <c r="K235" s="155">
        <f ca="1">IF(ISNUMBER(MATCH(DATEVALUE($A235),'changes1_based on steps'!K$1:K$400,0)),K$2,)</f>
        <v>0</v>
      </c>
      <c r="L235" s="155">
        <f ca="1">IF(ISNUMBER(MATCH(DATEVALUE($A235),'changes1_based on steps'!L$1:L$400,0)),L$2,)</f>
        <v>0</v>
      </c>
      <c r="M235" s="155">
        <f ca="1">IF(ISNUMBER(MATCH(DATEVALUE($A235),'changes1_based on steps'!M$1:M$400,0)),M$2,)</f>
        <v>0</v>
      </c>
      <c r="N235" s="155">
        <f ca="1">IF(ISNUMBER(MATCH(DATEVALUE($A235),'changes1_based on steps'!N$1:N$400,0)),N$2,)</f>
        <v>0</v>
      </c>
      <c r="O235" s="155">
        <f ca="1">IF(ISNUMBER(MATCH(DATEVALUE($A235),'changes1_based on steps'!O$1:O$400,0)),O$2,)</f>
        <v>0</v>
      </c>
      <c r="P235" s="155">
        <f ca="1">IF(ISNUMBER(MATCH(DATEVALUE($A235),'changes1_based on steps'!P$1:P$400,0)),P$2,)</f>
        <v>0</v>
      </c>
      <c r="Q235" s="155">
        <f ca="1">IF(ISNUMBER(MATCH(DATEVALUE($A235),'changes1_based on steps'!Q$1:Q$400,0)),Q$2,)</f>
        <v>0</v>
      </c>
      <c r="R235" s="155">
        <f ca="1">IF(ISNUMBER(MATCH(DATEVALUE($A235),'changes1_based on steps'!R$1:R$400,0)),R$2,)</f>
        <v>0</v>
      </c>
      <c r="S235" s="155">
        <f ca="1">IF(ISNUMBER(MATCH(DATEVALUE($A235),'changes1_based on steps'!S$1:S$400,0)),S$2,)</f>
        <v>0</v>
      </c>
      <c r="T235" s="155">
        <f ca="1">IF(ISNUMBER(MATCH(DATEVALUE($A235),'changes1_based on steps'!T$1:T$400,0)),T$2,)</f>
        <v>0</v>
      </c>
      <c r="U235" s="155">
        <f ca="1">IF(ISNUMBER(MATCH(DATEVALUE($A235),'changes1_based on steps'!U$1:U$400,0)),U$2,)</f>
        <v>0</v>
      </c>
    </row>
    <row r="236" spans="1:21" x14ac:dyDescent="0.2">
      <c r="A236" s="18" t="str">
        <f t="shared" ca="1" si="3"/>
        <v>2025-09-22</v>
      </c>
      <c r="B236" s="155">
        <f ca="1">IF(ISNUMBER(MATCH(DATEVALUE($A236),'changes1_based on steps'!B$1:B$400,0)),B$2,)</f>
        <v>0</v>
      </c>
      <c r="C236" s="155">
        <f ca="1">IF(ISNUMBER(MATCH(DATEVALUE($A236),'changes1_based on steps'!C$1:C$400,0)),C$2,)</f>
        <v>0</v>
      </c>
      <c r="D236" s="155">
        <f ca="1">IF(ISNUMBER(MATCH(DATEVALUE($A236),'changes1_based on steps'!D$1:D$400,0)),D$2,)</f>
        <v>0</v>
      </c>
      <c r="E236" s="155">
        <f ca="1">IF(ISNUMBER(MATCH(DATEVALUE($A236),'changes1_based on steps'!E$1:E$400,0)),E$2,)</f>
        <v>0</v>
      </c>
      <c r="F236" s="155">
        <f ca="1">IF(ISNUMBER(MATCH(DATEVALUE($A236),'changes1_based on steps'!F$1:F$400,0)),F$2,)</f>
        <v>0</v>
      </c>
      <c r="G236" s="155">
        <f ca="1">IF(ISNUMBER(MATCH(DATEVALUE($A236),'changes1_based on steps'!G$1:G$400,0)),G$2,)</f>
        <v>0</v>
      </c>
      <c r="H236" s="155">
        <f ca="1">IF(ISNUMBER(MATCH(DATEVALUE($A236),'changes1_based on steps'!H$1:H$400,0)),H$2,)</f>
        <v>0</v>
      </c>
      <c r="I236" s="155">
        <f ca="1">IF(ISNUMBER(MATCH(DATEVALUE($A236),'changes1_based on steps'!I$1:I$400,0)),I$2,)</f>
        <v>0</v>
      </c>
      <c r="J236" s="155">
        <f ca="1">IF(ISNUMBER(MATCH(DATEVALUE($A236),'changes1_based on steps'!J$1:J$400,0)),J$2,)</f>
        <v>0</v>
      </c>
      <c r="K236" s="155">
        <f ca="1">IF(ISNUMBER(MATCH(DATEVALUE($A236),'changes1_based on steps'!K$1:K$400,0)),K$2,)</f>
        <v>0</v>
      </c>
      <c r="L236" s="155">
        <f ca="1">IF(ISNUMBER(MATCH(DATEVALUE($A236),'changes1_based on steps'!L$1:L$400,0)),L$2,)</f>
        <v>0</v>
      </c>
      <c r="M236" s="155">
        <f ca="1">IF(ISNUMBER(MATCH(DATEVALUE($A236),'changes1_based on steps'!M$1:M$400,0)),M$2,)</f>
        <v>0</v>
      </c>
      <c r="N236" s="155">
        <f ca="1">IF(ISNUMBER(MATCH(DATEVALUE($A236),'changes1_based on steps'!N$1:N$400,0)),N$2,)</f>
        <v>0</v>
      </c>
      <c r="O236" s="155">
        <f ca="1">IF(ISNUMBER(MATCH(DATEVALUE($A236),'changes1_based on steps'!O$1:O$400,0)),O$2,)</f>
        <v>0</v>
      </c>
      <c r="P236" s="155">
        <f ca="1">IF(ISNUMBER(MATCH(DATEVALUE($A236),'changes1_based on steps'!P$1:P$400,0)),P$2,)</f>
        <v>0</v>
      </c>
      <c r="Q236" s="155">
        <f ca="1">IF(ISNUMBER(MATCH(DATEVALUE($A236),'changes1_based on steps'!Q$1:Q$400,0)),Q$2,)</f>
        <v>0</v>
      </c>
      <c r="R236" s="155">
        <f ca="1">IF(ISNUMBER(MATCH(DATEVALUE($A236),'changes1_based on steps'!R$1:R$400,0)),R$2,)</f>
        <v>0</v>
      </c>
      <c r="S236" s="155">
        <f ca="1">IF(ISNUMBER(MATCH(DATEVALUE($A236),'changes1_based on steps'!S$1:S$400,0)),S$2,)</f>
        <v>0</v>
      </c>
      <c r="T236" s="155">
        <f ca="1">IF(ISNUMBER(MATCH(DATEVALUE($A236),'changes1_based on steps'!T$1:T$400,0)),T$2,)</f>
        <v>0</v>
      </c>
      <c r="U236" s="155">
        <f ca="1">IF(ISNUMBER(MATCH(DATEVALUE($A236),'changes1_based on steps'!U$1:U$400,0)),U$2,)</f>
        <v>0</v>
      </c>
    </row>
    <row r="237" spans="1:21" x14ac:dyDescent="0.2">
      <c r="A237" s="18" t="str">
        <f t="shared" ca="1" si="3"/>
        <v>2025-09-23</v>
      </c>
      <c r="B237" s="155">
        <f ca="1">IF(ISNUMBER(MATCH(DATEVALUE($A237),'changes1_based on steps'!B$1:B$400,0)),B$2,)</f>
        <v>0</v>
      </c>
      <c r="C237" s="155">
        <f ca="1">IF(ISNUMBER(MATCH(DATEVALUE($A237),'changes1_based on steps'!C$1:C$400,0)),C$2,)</f>
        <v>0</v>
      </c>
      <c r="D237" s="155">
        <f ca="1">IF(ISNUMBER(MATCH(DATEVALUE($A237),'changes1_based on steps'!D$1:D$400,0)),D$2,)</f>
        <v>0</v>
      </c>
      <c r="E237" s="155">
        <f ca="1">IF(ISNUMBER(MATCH(DATEVALUE($A237),'changes1_based on steps'!E$1:E$400,0)),E$2,)</f>
        <v>0</v>
      </c>
      <c r="F237" s="155">
        <f ca="1">IF(ISNUMBER(MATCH(DATEVALUE($A237),'changes1_based on steps'!F$1:F$400,0)),F$2,)</f>
        <v>0</v>
      </c>
      <c r="G237" s="155">
        <f ca="1">IF(ISNUMBER(MATCH(DATEVALUE($A237),'changes1_based on steps'!G$1:G$400,0)),G$2,)</f>
        <v>0</v>
      </c>
      <c r="H237" s="155">
        <f ca="1">IF(ISNUMBER(MATCH(DATEVALUE($A237),'changes1_based on steps'!H$1:H$400,0)),H$2,)</f>
        <v>0</v>
      </c>
      <c r="I237" s="155">
        <f ca="1">IF(ISNUMBER(MATCH(DATEVALUE($A237),'changes1_based on steps'!I$1:I$400,0)),I$2,)</f>
        <v>0</v>
      </c>
      <c r="J237" s="155">
        <f ca="1">IF(ISNUMBER(MATCH(DATEVALUE($A237),'changes1_based on steps'!J$1:J$400,0)),J$2,)</f>
        <v>0</v>
      </c>
      <c r="K237" s="155">
        <f ca="1">IF(ISNUMBER(MATCH(DATEVALUE($A237),'changes1_based on steps'!K$1:K$400,0)),K$2,)</f>
        <v>0</v>
      </c>
      <c r="L237" s="155">
        <f ca="1">IF(ISNUMBER(MATCH(DATEVALUE($A237),'changes1_based on steps'!L$1:L$400,0)),L$2,)</f>
        <v>0</v>
      </c>
      <c r="M237" s="155">
        <f ca="1">IF(ISNUMBER(MATCH(DATEVALUE($A237),'changes1_based on steps'!M$1:M$400,0)),M$2,)</f>
        <v>0</v>
      </c>
      <c r="N237" s="155">
        <f ca="1">IF(ISNUMBER(MATCH(DATEVALUE($A237),'changes1_based on steps'!N$1:N$400,0)),N$2,)</f>
        <v>0</v>
      </c>
      <c r="O237" s="155">
        <f ca="1">IF(ISNUMBER(MATCH(DATEVALUE($A237),'changes1_based on steps'!O$1:O$400,0)),O$2,)</f>
        <v>0</v>
      </c>
      <c r="P237" s="155">
        <f ca="1">IF(ISNUMBER(MATCH(DATEVALUE($A237),'changes1_based on steps'!P$1:P$400,0)),P$2,)</f>
        <v>0</v>
      </c>
      <c r="Q237" s="155">
        <f ca="1">IF(ISNUMBER(MATCH(DATEVALUE($A237),'changes1_based on steps'!Q$1:Q$400,0)),Q$2,)</f>
        <v>0</v>
      </c>
      <c r="R237" s="155">
        <f ca="1">IF(ISNUMBER(MATCH(DATEVALUE($A237),'changes1_based on steps'!R$1:R$400,0)),R$2,)</f>
        <v>0</v>
      </c>
      <c r="S237" s="155">
        <f ca="1">IF(ISNUMBER(MATCH(DATEVALUE($A237),'changes1_based on steps'!S$1:S$400,0)),S$2,)</f>
        <v>0</v>
      </c>
      <c r="T237" s="155">
        <f ca="1">IF(ISNUMBER(MATCH(DATEVALUE($A237),'changes1_based on steps'!T$1:T$400,0)),T$2,)</f>
        <v>0</v>
      </c>
      <c r="U237" s="155">
        <f ca="1">IF(ISNUMBER(MATCH(DATEVALUE($A237),'changes1_based on steps'!U$1:U$400,0)),U$2,)</f>
        <v>0</v>
      </c>
    </row>
    <row r="238" spans="1:21" x14ac:dyDescent="0.2">
      <c r="A238" s="18" t="str">
        <f t="shared" ca="1" si="3"/>
        <v>2025-09-24</v>
      </c>
      <c r="B238" s="155">
        <f ca="1">IF(ISNUMBER(MATCH(DATEVALUE($A238),'changes1_based on steps'!B$1:B$400,0)),B$2,)</f>
        <v>100</v>
      </c>
      <c r="C238" s="155">
        <f ca="1">IF(ISNUMBER(MATCH(DATEVALUE($A238),'changes1_based on steps'!C$1:C$400,0)),C$2,)</f>
        <v>0</v>
      </c>
      <c r="D238" s="155">
        <f ca="1">IF(ISNUMBER(MATCH(DATEVALUE($A238),'changes1_based on steps'!D$1:D$400,0)),D$2,)</f>
        <v>0</v>
      </c>
      <c r="E238" s="155">
        <f ca="1">IF(ISNUMBER(MATCH(DATEVALUE($A238),'changes1_based on steps'!E$1:E$400,0)),E$2,)</f>
        <v>0</v>
      </c>
      <c r="F238" s="155">
        <f ca="1">IF(ISNUMBER(MATCH(DATEVALUE($A238),'changes1_based on steps'!F$1:F$400,0)),F$2,)</f>
        <v>0</v>
      </c>
      <c r="G238" s="155">
        <f ca="1">IF(ISNUMBER(MATCH(DATEVALUE($A238),'changes1_based on steps'!G$1:G$400,0)),G$2,)</f>
        <v>0</v>
      </c>
      <c r="H238" s="155">
        <f ca="1">IF(ISNUMBER(MATCH(DATEVALUE($A238),'changes1_based on steps'!H$1:H$400,0)),H$2,)</f>
        <v>0</v>
      </c>
      <c r="I238" s="155">
        <f ca="1">IF(ISNUMBER(MATCH(DATEVALUE($A238),'changes1_based on steps'!I$1:I$400,0)),I$2,)</f>
        <v>0</v>
      </c>
      <c r="J238" s="155">
        <f ca="1">IF(ISNUMBER(MATCH(DATEVALUE($A238),'changes1_based on steps'!J$1:J$400,0)),J$2,)</f>
        <v>0</v>
      </c>
      <c r="K238" s="155">
        <f ca="1">IF(ISNUMBER(MATCH(DATEVALUE($A238),'changes1_based on steps'!K$1:K$400,0)),K$2,)</f>
        <v>0</v>
      </c>
      <c r="L238" s="155">
        <f ca="1">IF(ISNUMBER(MATCH(DATEVALUE($A238),'changes1_based on steps'!L$1:L$400,0)),L$2,)</f>
        <v>0</v>
      </c>
      <c r="M238" s="155">
        <f ca="1">IF(ISNUMBER(MATCH(DATEVALUE($A238),'changes1_based on steps'!M$1:M$400,0)),M$2,)</f>
        <v>0</v>
      </c>
      <c r="N238" s="155">
        <f ca="1">IF(ISNUMBER(MATCH(DATEVALUE($A238),'changes1_based on steps'!N$1:N$400,0)),N$2,)</f>
        <v>0</v>
      </c>
      <c r="O238" s="155">
        <f ca="1">IF(ISNUMBER(MATCH(DATEVALUE($A238),'changes1_based on steps'!O$1:O$400,0)),O$2,)</f>
        <v>0</v>
      </c>
      <c r="P238" s="155">
        <f ca="1">IF(ISNUMBER(MATCH(DATEVALUE($A238),'changes1_based on steps'!P$1:P$400,0)),P$2,)</f>
        <v>0</v>
      </c>
      <c r="Q238" s="155">
        <f ca="1">IF(ISNUMBER(MATCH(DATEVALUE($A238),'changes1_based on steps'!Q$1:Q$400,0)),Q$2,)</f>
        <v>0</v>
      </c>
      <c r="R238" s="155">
        <f ca="1">IF(ISNUMBER(MATCH(DATEVALUE($A238),'changes1_based on steps'!R$1:R$400,0)),R$2,)</f>
        <v>0</v>
      </c>
      <c r="S238" s="155">
        <f ca="1">IF(ISNUMBER(MATCH(DATEVALUE($A238),'changes1_based on steps'!S$1:S$400,0)),S$2,)</f>
        <v>0</v>
      </c>
      <c r="T238" s="155">
        <f ca="1">IF(ISNUMBER(MATCH(DATEVALUE($A238),'changes1_based on steps'!T$1:T$400,0)),T$2,)</f>
        <v>0</v>
      </c>
      <c r="U238" s="155">
        <f ca="1">IF(ISNUMBER(MATCH(DATEVALUE($A238),'changes1_based on steps'!U$1:U$400,0)),U$2,)</f>
        <v>0</v>
      </c>
    </row>
    <row r="239" spans="1:21" x14ac:dyDescent="0.2">
      <c r="A239" s="18" t="str">
        <f t="shared" ca="1" si="3"/>
        <v>2025-09-25</v>
      </c>
      <c r="B239" s="155">
        <f ca="1">IF(ISNUMBER(MATCH(DATEVALUE($A239),'changes1_based on steps'!B$1:B$400,0)),B$2,)</f>
        <v>0</v>
      </c>
      <c r="C239" s="155">
        <f ca="1">IF(ISNUMBER(MATCH(DATEVALUE($A239),'changes1_based on steps'!C$1:C$400,0)),C$2,)</f>
        <v>0</v>
      </c>
      <c r="D239" s="155">
        <f ca="1">IF(ISNUMBER(MATCH(DATEVALUE($A239),'changes1_based on steps'!D$1:D$400,0)),D$2,)</f>
        <v>0</v>
      </c>
      <c r="E239" s="155">
        <f ca="1">IF(ISNUMBER(MATCH(DATEVALUE($A239),'changes1_based on steps'!E$1:E$400,0)),E$2,)</f>
        <v>0</v>
      </c>
      <c r="F239" s="155">
        <f ca="1">IF(ISNUMBER(MATCH(DATEVALUE($A239),'changes1_based on steps'!F$1:F$400,0)),F$2,)</f>
        <v>0</v>
      </c>
      <c r="G239" s="155">
        <f ca="1">IF(ISNUMBER(MATCH(DATEVALUE($A239),'changes1_based on steps'!G$1:G$400,0)),G$2,)</f>
        <v>0</v>
      </c>
      <c r="H239" s="155">
        <f ca="1">IF(ISNUMBER(MATCH(DATEVALUE($A239),'changes1_based on steps'!H$1:H$400,0)),H$2,)</f>
        <v>0</v>
      </c>
      <c r="I239" s="155">
        <f ca="1">IF(ISNUMBER(MATCH(DATEVALUE($A239),'changes1_based on steps'!I$1:I$400,0)),I$2,)</f>
        <v>0</v>
      </c>
      <c r="J239" s="155">
        <f ca="1">IF(ISNUMBER(MATCH(DATEVALUE($A239),'changes1_based on steps'!J$1:J$400,0)),J$2,)</f>
        <v>0</v>
      </c>
      <c r="K239" s="155">
        <f ca="1">IF(ISNUMBER(MATCH(DATEVALUE($A239),'changes1_based on steps'!K$1:K$400,0)),K$2,)</f>
        <v>0</v>
      </c>
      <c r="L239" s="155">
        <f ca="1">IF(ISNUMBER(MATCH(DATEVALUE($A239),'changes1_based on steps'!L$1:L$400,0)),L$2,)</f>
        <v>0</v>
      </c>
      <c r="M239" s="155">
        <f ca="1">IF(ISNUMBER(MATCH(DATEVALUE($A239),'changes1_based on steps'!M$1:M$400,0)),M$2,)</f>
        <v>0</v>
      </c>
      <c r="N239" s="155">
        <f ca="1">IF(ISNUMBER(MATCH(DATEVALUE($A239),'changes1_based on steps'!N$1:N$400,0)),N$2,)</f>
        <v>0</v>
      </c>
      <c r="O239" s="155">
        <f ca="1">IF(ISNUMBER(MATCH(DATEVALUE($A239),'changes1_based on steps'!O$1:O$400,0)),O$2,)</f>
        <v>0</v>
      </c>
      <c r="P239" s="155">
        <f ca="1">IF(ISNUMBER(MATCH(DATEVALUE($A239),'changes1_based on steps'!P$1:P$400,0)),P$2,)</f>
        <v>0</v>
      </c>
      <c r="Q239" s="155">
        <f ca="1">IF(ISNUMBER(MATCH(DATEVALUE($A239),'changes1_based on steps'!Q$1:Q$400,0)),Q$2,)</f>
        <v>0</v>
      </c>
      <c r="R239" s="155">
        <f ca="1">IF(ISNUMBER(MATCH(DATEVALUE($A239),'changes1_based on steps'!R$1:R$400,0)),R$2,)</f>
        <v>0</v>
      </c>
      <c r="S239" s="155">
        <f ca="1">IF(ISNUMBER(MATCH(DATEVALUE($A239),'changes1_based on steps'!S$1:S$400,0)),S$2,)</f>
        <v>0</v>
      </c>
      <c r="T239" s="155">
        <f ca="1">IF(ISNUMBER(MATCH(DATEVALUE($A239),'changes1_based on steps'!T$1:T$400,0)),T$2,)</f>
        <v>0</v>
      </c>
      <c r="U239" s="155">
        <f ca="1">IF(ISNUMBER(MATCH(DATEVALUE($A239),'changes1_based on steps'!U$1:U$400,0)),U$2,)</f>
        <v>0</v>
      </c>
    </row>
    <row r="240" spans="1:21" x14ac:dyDescent="0.2">
      <c r="A240" s="18" t="str">
        <f t="shared" ca="1" si="3"/>
        <v>2025-09-26</v>
      </c>
      <c r="B240" s="155">
        <f ca="1">IF(ISNUMBER(MATCH(DATEVALUE($A240),'changes1_based on steps'!B$1:B$400,0)),B$2,)</f>
        <v>0</v>
      </c>
      <c r="C240" s="155">
        <f ca="1">IF(ISNUMBER(MATCH(DATEVALUE($A240),'changes1_based on steps'!C$1:C$400,0)),C$2,)</f>
        <v>0</v>
      </c>
      <c r="D240" s="155">
        <f ca="1">IF(ISNUMBER(MATCH(DATEVALUE($A240),'changes1_based on steps'!D$1:D$400,0)),D$2,)</f>
        <v>0</v>
      </c>
      <c r="E240" s="155">
        <f ca="1">IF(ISNUMBER(MATCH(DATEVALUE($A240),'changes1_based on steps'!E$1:E$400,0)),E$2,)</f>
        <v>0</v>
      </c>
      <c r="F240" s="155">
        <f ca="1">IF(ISNUMBER(MATCH(DATEVALUE($A240),'changes1_based on steps'!F$1:F$400,0)),F$2,)</f>
        <v>0</v>
      </c>
      <c r="G240" s="155">
        <f ca="1">IF(ISNUMBER(MATCH(DATEVALUE($A240),'changes1_based on steps'!G$1:G$400,0)),G$2,)</f>
        <v>0</v>
      </c>
      <c r="H240" s="155">
        <f ca="1">IF(ISNUMBER(MATCH(DATEVALUE($A240),'changes1_based on steps'!H$1:H$400,0)),H$2,)</f>
        <v>0</v>
      </c>
      <c r="I240" s="155">
        <f ca="1">IF(ISNUMBER(MATCH(DATEVALUE($A240),'changes1_based on steps'!I$1:I$400,0)),I$2,)</f>
        <v>0</v>
      </c>
      <c r="J240" s="155">
        <f ca="1">IF(ISNUMBER(MATCH(DATEVALUE($A240),'changes1_based on steps'!J$1:J$400,0)),J$2,)</f>
        <v>0</v>
      </c>
      <c r="K240" s="155">
        <f ca="1">IF(ISNUMBER(MATCH(DATEVALUE($A240),'changes1_based on steps'!K$1:K$400,0)),K$2,)</f>
        <v>0</v>
      </c>
      <c r="L240" s="155">
        <f ca="1">IF(ISNUMBER(MATCH(DATEVALUE($A240),'changes1_based on steps'!L$1:L$400,0)),L$2,)</f>
        <v>0</v>
      </c>
      <c r="M240" s="155">
        <f ca="1">IF(ISNUMBER(MATCH(DATEVALUE($A240),'changes1_based on steps'!M$1:M$400,0)),M$2,)</f>
        <v>0</v>
      </c>
      <c r="N240" s="155">
        <f ca="1">IF(ISNUMBER(MATCH(DATEVALUE($A240),'changes1_based on steps'!N$1:N$400,0)),N$2,)</f>
        <v>0</v>
      </c>
      <c r="O240" s="155">
        <f ca="1">IF(ISNUMBER(MATCH(DATEVALUE($A240),'changes1_based on steps'!O$1:O$400,0)),O$2,)</f>
        <v>0</v>
      </c>
      <c r="P240" s="155">
        <f ca="1">IF(ISNUMBER(MATCH(DATEVALUE($A240),'changes1_based on steps'!P$1:P$400,0)),P$2,)</f>
        <v>0</v>
      </c>
      <c r="Q240" s="155">
        <f ca="1">IF(ISNUMBER(MATCH(DATEVALUE($A240),'changes1_based on steps'!Q$1:Q$400,0)),Q$2,)</f>
        <v>0</v>
      </c>
      <c r="R240" s="155">
        <f ca="1">IF(ISNUMBER(MATCH(DATEVALUE($A240),'changes1_based on steps'!R$1:R$400,0)),R$2,)</f>
        <v>0</v>
      </c>
      <c r="S240" s="155">
        <f ca="1">IF(ISNUMBER(MATCH(DATEVALUE($A240),'changes1_based on steps'!S$1:S$400,0)),S$2,)</f>
        <v>0</v>
      </c>
      <c r="T240" s="155">
        <f ca="1">IF(ISNUMBER(MATCH(DATEVALUE($A240),'changes1_based on steps'!T$1:T$400,0)),T$2,)</f>
        <v>0</v>
      </c>
      <c r="U240" s="155">
        <f ca="1">IF(ISNUMBER(MATCH(DATEVALUE($A240),'changes1_based on steps'!U$1:U$400,0)),U$2,)</f>
        <v>0</v>
      </c>
    </row>
    <row r="241" spans="1:21" x14ac:dyDescent="0.2">
      <c r="A241" s="18" t="str">
        <f t="shared" ca="1" si="3"/>
        <v>2025-09-27</v>
      </c>
      <c r="B241" s="155">
        <f ca="1">IF(ISNUMBER(MATCH(DATEVALUE($A241),'changes1_based on steps'!B$1:B$400,0)),B$2,)</f>
        <v>0</v>
      </c>
      <c r="C241" s="155">
        <f ca="1">IF(ISNUMBER(MATCH(DATEVALUE($A241),'changes1_based on steps'!C$1:C$400,0)),C$2,)</f>
        <v>0</v>
      </c>
      <c r="D241" s="155">
        <f ca="1">IF(ISNUMBER(MATCH(DATEVALUE($A241),'changes1_based on steps'!D$1:D$400,0)),D$2,)</f>
        <v>0</v>
      </c>
      <c r="E241" s="155">
        <f ca="1">IF(ISNUMBER(MATCH(DATEVALUE($A241),'changes1_based on steps'!E$1:E$400,0)),E$2,)</f>
        <v>0</v>
      </c>
      <c r="F241" s="155">
        <f ca="1">IF(ISNUMBER(MATCH(DATEVALUE($A241),'changes1_based on steps'!F$1:F$400,0)),F$2,)</f>
        <v>0</v>
      </c>
      <c r="G241" s="155">
        <f ca="1">IF(ISNUMBER(MATCH(DATEVALUE($A241),'changes1_based on steps'!G$1:G$400,0)),G$2,)</f>
        <v>0</v>
      </c>
      <c r="H241" s="155">
        <f ca="1">IF(ISNUMBER(MATCH(DATEVALUE($A241),'changes1_based on steps'!H$1:H$400,0)),H$2,)</f>
        <v>0</v>
      </c>
      <c r="I241" s="155">
        <f ca="1">IF(ISNUMBER(MATCH(DATEVALUE($A241),'changes1_based on steps'!I$1:I$400,0)),I$2,)</f>
        <v>0</v>
      </c>
      <c r="J241" s="155">
        <f ca="1">IF(ISNUMBER(MATCH(DATEVALUE($A241),'changes1_based on steps'!J$1:J$400,0)),J$2,)</f>
        <v>0</v>
      </c>
      <c r="K241" s="155">
        <f ca="1">IF(ISNUMBER(MATCH(DATEVALUE($A241),'changes1_based on steps'!K$1:K$400,0)),K$2,)</f>
        <v>0</v>
      </c>
      <c r="L241" s="155">
        <f ca="1">IF(ISNUMBER(MATCH(DATEVALUE($A241),'changes1_based on steps'!L$1:L$400,0)),L$2,)</f>
        <v>0</v>
      </c>
      <c r="M241" s="155">
        <f ca="1">IF(ISNUMBER(MATCH(DATEVALUE($A241),'changes1_based on steps'!M$1:M$400,0)),M$2,)</f>
        <v>0</v>
      </c>
      <c r="N241" s="155">
        <f ca="1">IF(ISNUMBER(MATCH(DATEVALUE($A241),'changes1_based on steps'!N$1:N$400,0)),N$2,)</f>
        <v>0</v>
      </c>
      <c r="O241" s="155">
        <f ca="1">IF(ISNUMBER(MATCH(DATEVALUE($A241),'changes1_based on steps'!O$1:O$400,0)),O$2,)</f>
        <v>0</v>
      </c>
      <c r="P241" s="155">
        <f ca="1">IF(ISNUMBER(MATCH(DATEVALUE($A241),'changes1_based on steps'!P$1:P$400,0)),P$2,)</f>
        <v>0</v>
      </c>
      <c r="Q241" s="155">
        <f ca="1">IF(ISNUMBER(MATCH(DATEVALUE($A241),'changes1_based on steps'!Q$1:Q$400,0)),Q$2,)</f>
        <v>0</v>
      </c>
      <c r="R241" s="155">
        <f ca="1">IF(ISNUMBER(MATCH(DATEVALUE($A241),'changes1_based on steps'!R$1:R$400,0)),R$2,)</f>
        <v>0</v>
      </c>
      <c r="S241" s="155">
        <f ca="1">IF(ISNUMBER(MATCH(DATEVALUE($A241),'changes1_based on steps'!S$1:S$400,0)),S$2,)</f>
        <v>0</v>
      </c>
      <c r="T241" s="155">
        <f ca="1">IF(ISNUMBER(MATCH(DATEVALUE($A241),'changes1_based on steps'!T$1:T$400,0)),T$2,)</f>
        <v>0</v>
      </c>
      <c r="U241" s="155">
        <f ca="1">IF(ISNUMBER(MATCH(DATEVALUE($A241),'changes1_based on steps'!U$1:U$400,0)),U$2,)</f>
        <v>0</v>
      </c>
    </row>
    <row r="242" spans="1:21" x14ac:dyDescent="0.2">
      <c r="A242" s="18" t="str">
        <f t="shared" ca="1" si="3"/>
        <v>2025-09-28</v>
      </c>
      <c r="B242" s="155">
        <f ca="1">IF(ISNUMBER(MATCH(DATEVALUE($A242),'changes1_based on steps'!B$1:B$400,0)),B$2,)</f>
        <v>0</v>
      </c>
      <c r="C242" s="155">
        <f ca="1">IF(ISNUMBER(MATCH(DATEVALUE($A242),'changes1_based on steps'!C$1:C$400,0)),C$2,)</f>
        <v>0</v>
      </c>
      <c r="D242" s="155">
        <f ca="1">IF(ISNUMBER(MATCH(DATEVALUE($A242),'changes1_based on steps'!D$1:D$400,0)),D$2,)</f>
        <v>0</v>
      </c>
      <c r="E242" s="155">
        <f ca="1">IF(ISNUMBER(MATCH(DATEVALUE($A242),'changes1_based on steps'!E$1:E$400,0)),E$2,)</f>
        <v>0</v>
      </c>
      <c r="F242" s="155">
        <f ca="1">IF(ISNUMBER(MATCH(DATEVALUE($A242),'changes1_based on steps'!F$1:F$400,0)),F$2,)</f>
        <v>0</v>
      </c>
      <c r="G242" s="155">
        <f ca="1">IF(ISNUMBER(MATCH(DATEVALUE($A242),'changes1_based on steps'!G$1:G$400,0)),G$2,)</f>
        <v>0</v>
      </c>
      <c r="H242" s="155">
        <f ca="1">IF(ISNUMBER(MATCH(DATEVALUE($A242),'changes1_based on steps'!H$1:H$400,0)),H$2,)</f>
        <v>0</v>
      </c>
      <c r="I242" s="155">
        <f ca="1">IF(ISNUMBER(MATCH(DATEVALUE($A242),'changes1_based on steps'!I$1:I$400,0)),I$2,)</f>
        <v>0</v>
      </c>
      <c r="J242" s="155">
        <f ca="1">IF(ISNUMBER(MATCH(DATEVALUE($A242),'changes1_based on steps'!J$1:J$400,0)),J$2,)</f>
        <v>0</v>
      </c>
      <c r="K242" s="155">
        <f ca="1">IF(ISNUMBER(MATCH(DATEVALUE($A242),'changes1_based on steps'!K$1:K$400,0)),K$2,)</f>
        <v>0</v>
      </c>
      <c r="L242" s="155">
        <f ca="1">IF(ISNUMBER(MATCH(DATEVALUE($A242),'changes1_based on steps'!L$1:L$400,0)),L$2,)</f>
        <v>0</v>
      </c>
      <c r="M242" s="155">
        <f ca="1">IF(ISNUMBER(MATCH(DATEVALUE($A242),'changes1_based on steps'!M$1:M$400,0)),M$2,)</f>
        <v>0</v>
      </c>
      <c r="N242" s="155">
        <f ca="1">IF(ISNUMBER(MATCH(DATEVALUE($A242),'changes1_based on steps'!N$1:N$400,0)),N$2,)</f>
        <v>0</v>
      </c>
      <c r="O242" s="155">
        <f ca="1">IF(ISNUMBER(MATCH(DATEVALUE($A242),'changes1_based on steps'!O$1:O$400,0)),O$2,)</f>
        <v>0</v>
      </c>
      <c r="P242" s="155">
        <f ca="1">IF(ISNUMBER(MATCH(DATEVALUE($A242),'changes1_based on steps'!P$1:P$400,0)),P$2,)</f>
        <v>0</v>
      </c>
      <c r="Q242" s="155">
        <f ca="1">IF(ISNUMBER(MATCH(DATEVALUE($A242),'changes1_based on steps'!Q$1:Q$400,0)),Q$2,)</f>
        <v>0</v>
      </c>
      <c r="R242" s="155">
        <f ca="1">IF(ISNUMBER(MATCH(DATEVALUE($A242),'changes1_based on steps'!R$1:R$400,0)),R$2,)</f>
        <v>0</v>
      </c>
      <c r="S242" s="155">
        <f ca="1">IF(ISNUMBER(MATCH(DATEVALUE($A242),'changes1_based on steps'!S$1:S$400,0)),S$2,)</f>
        <v>0</v>
      </c>
      <c r="T242" s="155">
        <f ca="1">IF(ISNUMBER(MATCH(DATEVALUE($A242),'changes1_based on steps'!T$1:T$400,0)),T$2,)</f>
        <v>0</v>
      </c>
      <c r="U242" s="155">
        <f ca="1">IF(ISNUMBER(MATCH(DATEVALUE($A242),'changes1_based on steps'!U$1:U$400,0)),U$2,)</f>
        <v>0</v>
      </c>
    </row>
    <row r="243" spans="1:21" x14ac:dyDescent="0.2">
      <c r="A243" s="18" t="str">
        <f t="shared" ca="1" si="3"/>
        <v>2025-09-29</v>
      </c>
      <c r="B243" s="155">
        <f ca="1">IF(ISNUMBER(MATCH(DATEVALUE($A243),'changes1_based on steps'!B$1:B$400,0)),B$2,)</f>
        <v>0</v>
      </c>
      <c r="C243" s="155">
        <f ca="1">IF(ISNUMBER(MATCH(DATEVALUE($A243),'changes1_based on steps'!C$1:C$400,0)),C$2,)</f>
        <v>0</v>
      </c>
      <c r="D243" s="155">
        <f ca="1">IF(ISNUMBER(MATCH(DATEVALUE($A243),'changes1_based on steps'!D$1:D$400,0)),D$2,)</f>
        <v>0</v>
      </c>
      <c r="E243" s="155">
        <f ca="1">IF(ISNUMBER(MATCH(DATEVALUE($A243),'changes1_based on steps'!E$1:E$400,0)),E$2,)</f>
        <v>0</v>
      </c>
      <c r="F243" s="155">
        <f ca="1">IF(ISNUMBER(MATCH(DATEVALUE($A243),'changes1_based on steps'!F$1:F$400,0)),F$2,)</f>
        <v>0</v>
      </c>
      <c r="G243" s="155">
        <f ca="1">IF(ISNUMBER(MATCH(DATEVALUE($A243),'changes1_based on steps'!G$1:G$400,0)),G$2,)</f>
        <v>0</v>
      </c>
      <c r="H243" s="155">
        <f ca="1">IF(ISNUMBER(MATCH(DATEVALUE($A243),'changes1_based on steps'!H$1:H$400,0)),H$2,)</f>
        <v>0</v>
      </c>
      <c r="I243" s="155">
        <f ca="1">IF(ISNUMBER(MATCH(DATEVALUE($A243),'changes1_based on steps'!I$1:I$400,0)),I$2,)</f>
        <v>0</v>
      </c>
      <c r="J243" s="155">
        <f ca="1">IF(ISNUMBER(MATCH(DATEVALUE($A243),'changes1_based on steps'!J$1:J$400,0)),J$2,)</f>
        <v>0</v>
      </c>
      <c r="K243" s="155">
        <f ca="1">IF(ISNUMBER(MATCH(DATEVALUE($A243),'changes1_based on steps'!K$1:K$400,0)),K$2,)</f>
        <v>0</v>
      </c>
      <c r="L243" s="155">
        <f ca="1">IF(ISNUMBER(MATCH(DATEVALUE($A243),'changes1_based on steps'!L$1:L$400,0)),L$2,)</f>
        <v>0</v>
      </c>
      <c r="M243" s="155">
        <f ca="1">IF(ISNUMBER(MATCH(DATEVALUE($A243),'changes1_based on steps'!M$1:M$400,0)),M$2,)</f>
        <v>0</v>
      </c>
      <c r="N243" s="155">
        <f ca="1">IF(ISNUMBER(MATCH(DATEVALUE($A243),'changes1_based on steps'!N$1:N$400,0)),N$2,)</f>
        <v>0</v>
      </c>
      <c r="O243" s="155">
        <f ca="1">IF(ISNUMBER(MATCH(DATEVALUE($A243),'changes1_based on steps'!O$1:O$400,0)),O$2,)</f>
        <v>0</v>
      </c>
      <c r="P243" s="155">
        <f ca="1">IF(ISNUMBER(MATCH(DATEVALUE($A243),'changes1_based on steps'!P$1:P$400,0)),P$2,)</f>
        <v>0</v>
      </c>
      <c r="Q243" s="155">
        <f ca="1">IF(ISNUMBER(MATCH(DATEVALUE($A243),'changes1_based on steps'!Q$1:Q$400,0)),Q$2,)</f>
        <v>0</v>
      </c>
      <c r="R243" s="155">
        <f ca="1">IF(ISNUMBER(MATCH(DATEVALUE($A243),'changes1_based on steps'!R$1:R$400,0)),R$2,)</f>
        <v>0</v>
      </c>
      <c r="S243" s="155">
        <f ca="1">IF(ISNUMBER(MATCH(DATEVALUE($A243),'changes1_based on steps'!S$1:S$400,0)),S$2,)</f>
        <v>0</v>
      </c>
      <c r="T243" s="155">
        <f ca="1">IF(ISNUMBER(MATCH(DATEVALUE($A243),'changes1_based on steps'!T$1:T$400,0)),T$2,)</f>
        <v>0</v>
      </c>
      <c r="U243" s="155">
        <f ca="1">IF(ISNUMBER(MATCH(DATEVALUE($A243),'changes1_based on steps'!U$1:U$400,0)),U$2,)</f>
        <v>0</v>
      </c>
    </row>
    <row r="244" spans="1:21" x14ac:dyDescent="0.2">
      <c r="A244" s="18" t="str">
        <f t="shared" ca="1" si="3"/>
        <v>2025-09-30</v>
      </c>
      <c r="B244" s="155">
        <f ca="1">IF(ISNUMBER(MATCH(DATEVALUE($A244),'changes1_based on steps'!B$1:B$400,0)),B$2,)</f>
        <v>0</v>
      </c>
      <c r="C244" s="155">
        <f ca="1">IF(ISNUMBER(MATCH(DATEVALUE($A244),'changes1_based on steps'!C$1:C$400,0)),C$2,)</f>
        <v>50</v>
      </c>
      <c r="D244" s="155">
        <f ca="1">IF(ISNUMBER(MATCH(DATEVALUE($A244),'changes1_based on steps'!D$1:D$400,0)),D$2,)</f>
        <v>-100</v>
      </c>
      <c r="E244" s="155">
        <f ca="1">IF(ISNUMBER(MATCH(DATEVALUE($A244),'changes1_based on steps'!E$1:E$400,0)),E$2,)</f>
        <v>0</v>
      </c>
      <c r="F244" s="155">
        <f ca="1">IF(ISNUMBER(MATCH(DATEVALUE($A244),'changes1_based on steps'!F$1:F$400,0)),F$2,)</f>
        <v>0</v>
      </c>
      <c r="G244" s="155">
        <f ca="1">IF(ISNUMBER(MATCH(DATEVALUE($A244),'changes1_based on steps'!G$1:G$400,0)),G$2,)</f>
        <v>0</v>
      </c>
      <c r="H244" s="155">
        <f ca="1">IF(ISNUMBER(MATCH(DATEVALUE($A244),'changes1_based on steps'!H$1:H$400,0)),H$2,)</f>
        <v>0</v>
      </c>
      <c r="I244" s="155">
        <f ca="1">IF(ISNUMBER(MATCH(DATEVALUE($A244),'changes1_based on steps'!I$1:I$400,0)),I$2,)</f>
        <v>0</v>
      </c>
      <c r="J244" s="155">
        <f ca="1">IF(ISNUMBER(MATCH(DATEVALUE($A244),'changes1_based on steps'!J$1:J$400,0)),J$2,)</f>
        <v>0</v>
      </c>
      <c r="K244" s="155">
        <f ca="1">IF(ISNUMBER(MATCH(DATEVALUE($A244),'changes1_based on steps'!K$1:K$400,0)),K$2,)</f>
        <v>0</v>
      </c>
      <c r="L244" s="155">
        <f ca="1">IF(ISNUMBER(MATCH(DATEVALUE($A244),'changes1_based on steps'!L$1:L$400,0)),L$2,)</f>
        <v>0</v>
      </c>
      <c r="M244" s="155">
        <f ca="1">IF(ISNUMBER(MATCH(DATEVALUE($A244),'changes1_based on steps'!M$1:M$400,0)),M$2,)</f>
        <v>0</v>
      </c>
      <c r="N244" s="155">
        <f ca="1">IF(ISNUMBER(MATCH(DATEVALUE($A244),'changes1_based on steps'!N$1:N$400,0)),N$2,)</f>
        <v>0</v>
      </c>
      <c r="O244" s="155">
        <f ca="1">IF(ISNUMBER(MATCH(DATEVALUE($A244),'changes1_based on steps'!O$1:O$400,0)),O$2,)</f>
        <v>0</v>
      </c>
      <c r="P244" s="155">
        <f ca="1">IF(ISNUMBER(MATCH(DATEVALUE($A244),'changes1_based on steps'!P$1:P$400,0)),P$2,)</f>
        <v>0</v>
      </c>
      <c r="Q244" s="155">
        <f ca="1">IF(ISNUMBER(MATCH(DATEVALUE($A244),'changes1_based on steps'!Q$1:Q$400,0)),Q$2,)</f>
        <v>0</v>
      </c>
      <c r="R244" s="155">
        <f ca="1">IF(ISNUMBER(MATCH(DATEVALUE($A244),'changes1_based on steps'!R$1:R$400,0)),R$2,)</f>
        <v>0</v>
      </c>
      <c r="S244" s="155">
        <f ca="1">IF(ISNUMBER(MATCH(DATEVALUE($A244),'changes1_based on steps'!S$1:S$400,0)),S$2,)</f>
        <v>0</v>
      </c>
      <c r="T244" s="155">
        <f ca="1">IF(ISNUMBER(MATCH(DATEVALUE($A244),'changes1_based on steps'!T$1:T$400,0)),T$2,)</f>
        <v>0</v>
      </c>
      <c r="U244" s="155">
        <f ca="1">IF(ISNUMBER(MATCH(DATEVALUE($A244),'changes1_based on steps'!U$1:U$400,0)),U$2,)</f>
        <v>0</v>
      </c>
    </row>
    <row r="245" spans="1:21" x14ac:dyDescent="0.2">
      <c r="A245" s="18" t="str">
        <f t="shared" ca="1" si="3"/>
        <v>2025-10-01</v>
      </c>
      <c r="B245" s="155">
        <f ca="1">IF(ISNUMBER(MATCH(DATEVALUE($A245),'changes1_based on steps'!B$1:B$400,0)),B$2,)</f>
        <v>0</v>
      </c>
      <c r="C245" s="155">
        <f ca="1">IF(ISNUMBER(MATCH(DATEVALUE($A245),'changes1_based on steps'!C$1:C$400,0)),C$2,)</f>
        <v>0</v>
      </c>
      <c r="D245" s="155">
        <f ca="1">IF(ISNUMBER(MATCH(DATEVALUE($A245),'changes1_based on steps'!D$1:D$400,0)),D$2,)</f>
        <v>0</v>
      </c>
      <c r="E245" s="155">
        <f ca="1">IF(ISNUMBER(MATCH(DATEVALUE($A245),'changes1_based on steps'!E$1:E$400,0)),E$2,)</f>
        <v>0</v>
      </c>
      <c r="F245" s="155">
        <f ca="1">IF(ISNUMBER(MATCH(DATEVALUE($A245),'changes1_based on steps'!F$1:F$400,0)),F$2,)</f>
        <v>0</v>
      </c>
      <c r="G245" s="155">
        <f ca="1">IF(ISNUMBER(MATCH(DATEVALUE($A245),'changes1_based on steps'!G$1:G$400,0)),G$2,)</f>
        <v>0</v>
      </c>
      <c r="H245" s="155">
        <f ca="1">IF(ISNUMBER(MATCH(DATEVALUE($A245),'changes1_based on steps'!H$1:H$400,0)),H$2,)</f>
        <v>0</v>
      </c>
      <c r="I245" s="155">
        <f ca="1">IF(ISNUMBER(MATCH(DATEVALUE($A245),'changes1_based on steps'!I$1:I$400,0)),I$2,)</f>
        <v>0</v>
      </c>
      <c r="J245" s="155">
        <f ca="1">IF(ISNUMBER(MATCH(DATEVALUE($A245),'changes1_based on steps'!J$1:J$400,0)),J$2,)</f>
        <v>0</v>
      </c>
      <c r="K245" s="155">
        <f ca="1">IF(ISNUMBER(MATCH(DATEVALUE($A245),'changes1_based on steps'!K$1:K$400,0)),K$2,)</f>
        <v>0</v>
      </c>
      <c r="L245" s="155">
        <f ca="1">IF(ISNUMBER(MATCH(DATEVALUE($A245),'changes1_based on steps'!L$1:L$400,0)),L$2,)</f>
        <v>0</v>
      </c>
      <c r="M245" s="155">
        <f ca="1">IF(ISNUMBER(MATCH(DATEVALUE($A245),'changes1_based on steps'!M$1:M$400,0)),M$2,)</f>
        <v>0</v>
      </c>
      <c r="N245" s="155">
        <f ca="1">IF(ISNUMBER(MATCH(DATEVALUE($A245),'changes1_based on steps'!N$1:N$400,0)),N$2,)</f>
        <v>0</v>
      </c>
      <c r="O245" s="155">
        <f ca="1">IF(ISNUMBER(MATCH(DATEVALUE($A245),'changes1_based on steps'!O$1:O$400,0)),O$2,)</f>
        <v>0</v>
      </c>
      <c r="P245" s="155">
        <f ca="1">IF(ISNUMBER(MATCH(DATEVALUE($A245),'changes1_based on steps'!P$1:P$400,0)),P$2,)</f>
        <v>0</v>
      </c>
      <c r="Q245" s="155">
        <f ca="1">IF(ISNUMBER(MATCH(DATEVALUE($A245),'changes1_based on steps'!Q$1:Q$400,0)),Q$2,)</f>
        <v>0</v>
      </c>
      <c r="R245" s="155">
        <f ca="1">IF(ISNUMBER(MATCH(DATEVALUE($A245),'changes1_based on steps'!R$1:R$400,0)),R$2,)</f>
        <v>0</v>
      </c>
      <c r="S245" s="155">
        <f ca="1">IF(ISNUMBER(MATCH(DATEVALUE($A245),'changes1_based on steps'!S$1:S$400,0)),S$2,)</f>
        <v>0</v>
      </c>
      <c r="T245" s="155">
        <f ca="1">IF(ISNUMBER(MATCH(DATEVALUE($A245),'changes1_based on steps'!T$1:T$400,0)),T$2,)</f>
        <v>0</v>
      </c>
      <c r="U245" s="155">
        <f ca="1">IF(ISNUMBER(MATCH(DATEVALUE($A245),'changes1_based on steps'!U$1:U$400,0)),U$2,)</f>
        <v>0</v>
      </c>
    </row>
    <row r="246" spans="1:21" x14ac:dyDescent="0.2">
      <c r="A246" s="18" t="str">
        <f t="shared" ca="1" si="3"/>
        <v>2025-10-02</v>
      </c>
      <c r="B246" s="155">
        <f ca="1">IF(ISNUMBER(MATCH(DATEVALUE($A246),'changes1_based on steps'!B$1:B$400,0)),B$2,)</f>
        <v>0</v>
      </c>
      <c r="C246" s="155">
        <f ca="1">IF(ISNUMBER(MATCH(DATEVALUE($A246),'changes1_based on steps'!C$1:C$400,0)),C$2,)</f>
        <v>0</v>
      </c>
      <c r="D246" s="155">
        <f ca="1">IF(ISNUMBER(MATCH(DATEVALUE($A246),'changes1_based on steps'!D$1:D$400,0)),D$2,)</f>
        <v>0</v>
      </c>
      <c r="E246" s="155">
        <f ca="1">IF(ISNUMBER(MATCH(DATEVALUE($A246),'changes1_based on steps'!E$1:E$400,0)),E$2,)</f>
        <v>0</v>
      </c>
      <c r="F246" s="155">
        <f ca="1">IF(ISNUMBER(MATCH(DATEVALUE($A246),'changes1_based on steps'!F$1:F$400,0)),F$2,)</f>
        <v>0</v>
      </c>
      <c r="G246" s="155">
        <f ca="1">IF(ISNUMBER(MATCH(DATEVALUE($A246),'changes1_based on steps'!G$1:G$400,0)),G$2,)</f>
        <v>0</v>
      </c>
      <c r="H246" s="155">
        <f ca="1">IF(ISNUMBER(MATCH(DATEVALUE($A246),'changes1_based on steps'!H$1:H$400,0)),H$2,)</f>
        <v>0</v>
      </c>
      <c r="I246" s="155">
        <f ca="1">IF(ISNUMBER(MATCH(DATEVALUE($A246),'changes1_based on steps'!I$1:I$400,0)),I$2,)</f>
        <v>0</v>
      </c>
      <c r="J246" s="155">
        <f ca="1">IF(ISNUMBER(MATCH(DATEVALUE($A246),'changes1_based on steps'!J$1:J$400,0)),J$2,)</f>
        <v>0</v>
      </c>
      <c r="K246" s="155">
        <f ca="1">IF(ISNUMBER(MATCH(DATEVALUE($A246),'changes1_based on steps'!K$1:K$400,0)),K$2,)</f>
        <v>0</v>
      </c>
      <c r="L246" s="155">
        <f ca="1">IF(ISNUMBER(MATCH(DATEVALUE($A246),'changes1_based on steps'!L$1:L$400,0)),L$2,)</f>
        <v>0</v>
      </c>
      <c r="M246" s="155">
        <f ca="1">IF(ISNUMBER(MATCH(DATEVALUE($A246),'changes1_based on steps'!M$1:M$400,0)),M$2,)</f>
        <v>0</v>
      </c>
      <c r="N246" s="155">
        <f ca="1">IF(ISNUMBER(MATCH(DATEVALUE($A246),'changes1_based on steps'!N$1:N$400,0)),N$2,)</f>
        <v>0</v>
      </c>
      <c r="O246" s="155">
        <f ca="1">IF(ISNUMBER(MATCH(DATEVALUE($A246),'changes1_based on steps'!O$1:O$400,0)),O$2,)</f>
        <v>0</v>
      </c>
      <c r="P246" s="155">
        <f ca="1">IF(ISNUMBER(MATCH(DATEVALUE($A246),'changes1_based on steps'!P$1:P$400,0)),P$2,)</f>
        <v>0</v>
      </c>
      <c r="Q246" s="155">
        <f ca="1">IF(ISNUMBER(MATCH(DATEVALUE($A246),'changes1_based on steps'!Q$1:Q$400,0)),Q$2,)</f>
        <v>0</v>
      </c>
      <c r="R246" s="155">
        <f ca="1">IF(ISNUMBER(MATCH(DATEVALUE($A246),'changes1_based on steps'!R$1:R$400,0)),R$2,)</f>
        <v>0</v>
      </c>
      <c r="S246" s="155">
        <f ca="1">IF(ISNUMBER(MATCH(DATEVALUE($A246),'changes1_based on steps'!S$1:S$400,0)),S$2,)</f>
        <v>0</v>
      </c>
      <c r="T246" s="155">
        <f ca="1">IF(ISNUMBER(MATCH(DATEVALUE($A246),'changes1_based on steps'!T$1:T$400,0)),T$2,)</f>
        <v>0</v>
      </c>
      <c r="U246" s="155">
        <f ca="1">IF(ISNUMBER(MATCH(DATEVALUE($A246),'changes1_based on steps'!U$1:U$400,0)),U$2,)</f>
        <v>0</v>
      </c>
    </row>
    <row r="247" spans="1:21" x14ac:dyDescent="0.2">
      <c r="A247" s="18" t="str">
        <f t="shared" ca="1" si="3"/>
        <v>2025-10-03</v>
      </c>
      <c r="B247" s="155">
        <f ca="1">IF(ISNUMBER(MATCH(DATEVALUE($A247),'changes1_based on steps'!B$1:B$400,0)),B$2,)</f>
        <v>0</v>
      </c>
      <c r="C247" s="155">
        <f ca="1">IF(ISNUMBER(MATCH(DATEVALUE($A247),'changes1_based on steps'!C$1:C$400,0)),C$2,)</f>
        <v>0</v>
      </c>
      <c r="D247" s="155">
        <f ca="1">IF(ISNUMBER(MATCH(DATEVALUE($A247),'changes1_based on steps'!D$1:D$400,0)),D$2,)</f>
        <v>0</v>
      </c>
      <c r="E247" s="155">
        <f ca="1">IF(ISNUMBER(MATCH(DATEVALUE($A247),'changes1_based on steps'!E$1:E$400,0)),E$2,)</f>
        <v>0</v>
      </c>
      <c r="F247" s="155">
        <f ca="1">IF(ISNUMBER(MATCH(DATEVALUE($A247),'changes1_based on steps'!F$1:F$400,0)),F$2,)</f>
        <v>0</v>
      </c>
      <c r="G247" s="155">
        <f ca="1">IF(ISNUMBER(MATCH(DATEVALUE($A247),'changes1_based on steps'!G$1:G$400,0)),G$2,)</f>
        <v>0</v>
      </c>
      <c r="H247" s="155">
        <f ca="1">IF(ISNUMBER(MATCH(DATEVALUE($A247),'changes1_based on steps'!H$1:H$400,0)),H$2,)</f>
        <v>0</v>
      </c>
      <c r="I247" s="155">
        <f ca="1">IF(ISNUMBER(MATCH(DATEVALUE($A247),'changes1_based on steps'!I$1:I$400,0)),I$2,)</f>
        <v>0</v>
      </c>
      <c r="J247" s="155">
        <f ca="1">IF(ISNUMBER(MATCH(DATEVALUE($A247),'changes1_based on steps'!J$1:J$400,0)),J$2,)</f>
        <v>0</v>
      </c>
      <c r="K247" s="155">
        <f ca="1">IF(ISNUMBER(MATCH(DATEVALUE($A247),'changes1_based on steps'!K$1:K$400,0)),K$2,)</f>
        <v>0</v>
      </c>
      <c r="L247" s="155">
        <f ca="1">IF(ISNUMBER(MATCH(DATEVALUE($A247),'changes1_based on steps'!L$1:L$400,0)),L$2,)</f>
        <v>0</v>
      </c>
      <c r="M247" s="155">
        <f ca="1">IF(ISNUMBER(MATCH(DATEVALUE($A247),'changes1_based on steps'!M$1:M$400,0)),M$2,)</f>
        <v>0</v>
      </c>
      <c r="N247" s="155">
        <f ca="1">IF(ISNUMBER(MATCH(DATEVALUE($A247),'changes1_based on steps'!N$1:N$400,0)),N$2,)</f>
        <v>0</v>
      </c>
      <c r="O247" s="155">
        <f ca="1">IF(ISNUMBER(MATCH(DATEVALUE($A247),'changes1_based on steps'!O$1:O$400,0)),O$2,)</f>
        <v>0</v>
      </c>
      <c r="P247" s="155">
        <f ca="1">IF(ISNUMBER(MATCH(DATEVALUE($A247),'changes1_based on steps'!P$1:P$400,0)),P$2,)</f>
        <v>0</v>
      </c>
      <c r="Q247" s="155">
        <f ca="1">IF(ISNUMBER(MATCH(DATEVALUE($A247),'changes1_based on steps'!Q$1:Q$400,0)),Q$2,)</f>
        <v>0</v>
      </c>
      <c r="R247" s="155">
        <f ca="1">IF(ISNUMBER(MATCH(DATEVALUE($A247),'changes1_based on steps'!R$1:R$400,0)),R$2,)</f>
        <v>0</v>
      </c>
      <c r="S247" s="155">
        <f ca="1">IF(ISNUMBER(MATCH(DATEVALUE($A247),'changes1_based on steps'!S$1:S$400,0)),S$2,)</f>
        <v>0</v>
      </c>
      <c r="T247" s="155">
        <f ca="1">IF(ISNUMBER(MATCH(DATEVALUE($A247),'changes1_based on steps'!T$1:T$400,0)),T$2,)</f>
        <v>0</v>
      </c>
      <c r="U247" s="155">
        <f ca="1">IF(ISNUMBER(MATCH(DATEVALUE($A247),'changes1_based on steps'!U$1:U$400,0)),U$2,)</f>
        <v>0</v>
      </c>
    </row>
    <row r="248" spans="1:21" x14ac:dyDescent="0.2">
      <c r="A248" s="18" t="str">
        <f t="shared" ca="1" si="3"/>
        <v>2025-10-04</v>
      </c>
      <c r="B248" s="155">
        <f ca="1">IF(ISNUMBER(MATCH(DATEVALUE($A248),'changes1_based on steps'!B$1:B$400,0)),B$2,)</f>
        <v>0</v>
      </c>
      <c r="C248" s="155">
        <f ca="1">IF(ISNUMBER(MATCH(DATEVALUE($A248),'changes1_based on steps'!C$1:C$400,0)),C$2,)</f>
        <v>0</v>
      </c>
      <c r="D248" s="155">
        <f ca="1">IF(ISNUMBER(MATCH(DATEVALUE($A248),'changes1_based on steps'!D$1:D$400,0)),D$2,)</f>
        <v>0</v>
      </c>
      <c r="E248" s="155">
        <f ca="1">IF(ISNUMBER(MATCH(DATEVALUE($A248),'changes1_based on steps'!E$1:E$400,0)),E$2,)</f>
        <v>0</v>
      </c>
      <c r="F248" s="155">
        <f ca="1">IF(ISNUMBER(MATCH(DATEVALUE($A248),'changes1_based on steps'!F$1:F$400,0)),F$2,)</f>
        <v>0</v>
      </c>
      <c r="G248" s="155">
        <f ca="1">IF(ISNUMBER(MATCH(DATEVALUE($A248),'changes1_based on steps'!G$1:G$400,0)),G$2,)</f>
        <v>0</v>
      </c>
      <c r="H248" s="155">
        <f ca="1">IF(ISNUMBER(MATCH(DATEVALUE($A248),'changes1_based on steps'!H$1:H$400,0)),H$2,)</f>
        <v>0</v>
      </c>
      <c r="I248" s="155">
        <f ca="1">IF(ISNUMBER(MATCH(DATEVALUE($A248),'changes1_based on steps'!I$1:I$400,0)),I$2,)</f>
        <v>0</v>
      </c>
      <c r="J248" s="155">
        <f ca="1">IF(ISNUMBER(MATCH(DATEVALUE($A248),'changes1_based on steps'!J$1:J$400,0)),J$2,)</f>
        <v>0</v>
      </c>
      <c r="K248" s="155">
        <f ca="1">IF(ISNUMBER(MATCH(DATEVALUE($A248),'changes1_based on steps'!K$1:K$400,0)),K$2,)</f>
        <v>0</v>
      </c>
      <c r="L248" s="155">
        <f ca="1">IF(ISNUMBER(MATCH(DATEVALUE($A248),'changes1_based on steps'!L$1:L$400,0)),L$2,)</f>
        <v>0</v>
      </c>
      <c r="M248" s="155">
        <f ca="1">IF(ISNUMBER(MATCH(DATEVALUE($A248),'changes1_based on steps'!M$1:M$400,0)),M$2,)</f>
        <v>0</v>
      </c>
      <c r="N248" s="155">
        <f ca="1">IF(ISNUMBER(MATCH(DATEVALUE($A248),'changes1_based on steps'!N$1:N$400,0)),N$2,)</f>
        <v>0</v>
      </c>
      <c r="O248" s="155">
        <f ca="1">IF(ISNUMBER(MATCH(DATEVALUE($A248),'changes1_based on steps'!O$1:O$400,0)),O$2,)</f>
        <v>0</v>
      </c>
      <c r="P248" s="155">
        <f ca="1">IF(ISNUMBER(MATCH(DATEVALUE($A248),'changes1_based on steps'!P$1:P$400,0)),P$2,)</f>
        <v>0</v>
      </c>
      <c r="Q248" s="155">
        <f ca="1">IF(ISNUMBER(MATCH(DATEVALUE($A248),'changes1_based on steps'!Q$1:Q$400,0)),Q$2,)</f>
        <v>0</v>
      </c>
      <c r="R248" s="155">
        <f ca="1">IF(ISNUMBER(MATCH(DATEVALUE($A248),'changes1_based on steps'!R$1:R$400,0)),R$2,)</f>
        <v>0</v>
      </c>
      <c r="S248" s="155">
        <f ca="1">IF(ISNUMBER(MATCH(DATEVALUE($A248),'changes1_based on steps'!S$1:S$400,0)),S$2,)</f>
        <v>0</v>
      </c>
      <c r="T248" s="155">
        <f ca="1">IF(ISNUMBER(MATCH(DATEVALUE($A248),'changes1_based on steps'!T$1:T$400,0)),T$2,)</f>
        <v>0</v>
      </c>
      <c r="U248" s="155">
        <f ca="1">IF(ISNUMBER(MATCH(DATEVALUE($A248),'changes1_based on steps'!U$1:U$400,0)),U$2,)</f>
        <v>0</v>
      </c>
    </row>
    <row r="249" spans="1:21" x14ac:dyDescent="0.2">
      <c r="A249" s="18" t="str">
        <f t="shared" ca="1" si="3"/>
        <v>2025-10-05</v>
      </c>
      <c r="B249" s="155">
        <f ca="1">IF(ISNUMBER(MATCH(DATEVALUE($A249),'changes1_based on steps'!B$1:B$400,0)),B$2,)</f>
        <v>0</v>
      </c>
      <c r="C249" s="155">
        <f ca="1">IF(ISNUMBER(MATCH(DATEVALUE($A249),'changes1_based on steps'!C$1:C$400,0)),C$2,)</f>
        <v>0</v>
      </c>
      <c r="D249" s="155">
        <f ca="1">IF(ISNUMBER(MATCH(DATEVALUE($A249),'changes1_based on steps'!D$1:D$400,0)),D$2,)</f>
        <v>0</v>
      </c>
      <c r="E249" s="155">
        <f ca="1">IF(ISNUMBER(MATCH(DATEVALUE($A249),'changes1_based on steps'!E$1:E$400,0)),E$2,)</f>
        <v>0</v>
      </c>
      <c r="F249" s="155">
        <f ca="1">IF(ISNUMBER(MATCH(DATEVALUE($A249),'changes1_based on steps'!F$1:F$400,0)),F$2,)</f>
        <v>0</v>
      </c>
      <c r="G249" s="155">
        <f ca="1">IF(ISNUMBER(MATCH(DATEVALUE($A249),'changes1_based on steps'!G$1:G$400,0)),G$2,)</f>
        <v>0</v>
      </c>
      <c r="H249" s="155">
        <f ca="1">IF(ISNUMBER(MATCH(DATEVALUE($A249),'changes1_based on steps'!H$1:H$400,0)),H$2,)</f>
        <v>0</v>
      </c>
      <c r="I249" s="155">
        <f ca="1">IF(ISNUMBER(MATCH(DATEVALUE($A249),'changes1_based on steps'!I$1:I$400,0)),I$2,)</f>
        <v>0</v>
      </c>
      <c r="J249" s="155">
        <f ca="1">IF(ISNUMBER(MATCH(DATEVALUE($A249),'changes1_based on steps'!J$1:J$400,0)),J$2,)</f>
        <v>0</v>
      </c>
      <c r="K249" s="155">
        <f ca="1">IF(ISNUMBER(MATCH(DATEVALUE($A249),'changes1_based on steps'!K$1:K$400,0)),K$2,)</f>
        <v>0</v>
      </c>
      <c r="L249" s="155">
        <f ca="1">IF(ISNUMBER(MATCH(DATEVALUE($A249),'changes1_based on steps'!L$1:L$400,0)),L$2,)</f>
        <v>0</v>
      </c>
      <c r="M249" s="155">
        <f ca="1">IF(ISNUMBER(MATCH(DATEVALUE($A249),'changes1_based on steps'!M$1:M$400,0)),M$2,)</f>
        <v>0</v>
      </c>
      <c r="N249" s="155">
        <f ca="1">IF(ISNUMBER(MATCH(DATEVALUE($A249),'changes1_based on steps'!N$1:N$400,0)),N$2,)</f>
        <v>0</v>
      </c>
      <c r="O249" s="155">
        <f ca="1">IF(ISNUMBER(MATCH(DATEVALUE($A249),'changes1_based on steps'!O$1:O$400,0)),O$2,)</f>
        <v>0</v>
      </c>
      <c r="P249" s="155">
        <f ca="1">IF(ISNUMBER(MATCH(DATEVALUE($A249),'changes1_based on steps'!P$1:P$400,0)),P$2,)</f>
        <v>0</v>
      </c>
      <c r="Q249" s="155">
        <f ca="1">IF(ISNUMBER(MATCH(DATEVALUE($A249),'changes1_based on steps'!Q$1:Q$400,0)),Q$2,)</f>
        <v>0</v>
      </c>
      <c r="R249" s="155">
        <f ca="1">IF(ISNUMBER(MATCH(DATEVALUE($A249),'changes1_based on steps'!R$1:R$400,0)),R$2,)</f>
        <v>0</v>
      </c>
      <c r="S249" s="155">
        <f ca="1">IF(ISNUMBER(MATCH(DATEVALUE($A249),'changes1_based on steps'!S$1:S$400,0)),S$2,)</f>
        <v>0</v>
      </c>
      <c r="T249" s="155">
        <f ca="1">IF(ISNUMBER(MATCH(DATEVALUE($A249),'changes1_based on steps'!T$1:T$400,0)),T$2,)</f>
        <v>0</v>
      </c>
      <c r="U249" s="155">
        <f ca="1">IF(ISNUMBER(MATCH(DATEVALUE($A249),'changes1_based on steps'!U$1:U$400,0)),U$2,)</f>
        <v>0</v>
      </c>
    </row>
    <row r="250" spans="1:21" x14ac:dyDescent="0.2">
      <c r="A250" s="18" t="str">
        <f t="shared" ca="1" si="3"/>
        <v>2025-10-06</v>
      </c>
      <c r="B250" s="155">
        <f ca="1">IF(ISNUMBER(MATCH(DATEVALUE($A250),'changes1_based on steps'!B$1:B$400,0)),B$2,)</f>
        <v>0</v>
      </c>
      <c r="C250" s="155">
        <f ca="1">IF(ISNUMBER(MATCH(DATEVALUE($A250),'changes1_based on steps'!C$1:C$400,0)),C$2,)</f>
        <v>0</v>
      </c>
      <c r="D250" s="155">
        <f ca="1">IF(ISNUMBER(MATCH(DATEVALUE($A250),'changes1_based on steps'!D$1:D$400,0)),D$2,)</f>
        <v>0</v>
      </c>
      <c r="E250" s="155">
        <f ca="1">IF(ISNUMBER(MATCH(DATEVALUE($A250),'changes1_based on steps'!E$1:E$400,0)),E$2,)</f>
        <v>0</v>
      </c>
      <c r="F250" s="155">
        <f ca="1">IF(ISNUMBER(MATCH(DATEVALUE($A250),'changes1_based on steps'!F$1:F$400,0)),F$2,)</f>
        <v>0</v>
      </c>
      <c r="G250" s="155">
        <f ca="1">IF(ISNUMBER(MATCH(DATEVALUE($A250),'changes1_based on steps'!G$1:G$400,0)),G$2,)</f>
        <v>0</v>
      </c>
      <c r="H250" s="155">
        <f ca="1">IF(ISNUMBER(MATCH(DATEVALUE($A250),'changes1_based on steps'!H$1:H$400,0)),H$2,)</f>
        <v>0</v>
      </c>
      <c r="I250" s="155">
        <f ca="1">IF(ISNUMBER(MATCH(DATEVALUE($A250),'changes1_based on steps'!I$1:I$400,0)),I$2,)</f>
        <v>0</v>
      </c>
      <c r="J250" s="155">
        <f ca="1">IF(ISNUMBER(MATCH(DATEVALUE($A250),'changes1_based on steps'!J$1:J$400,0)),J$2,)</f>
        <v>0</v>
      </c>
      <c r="K250" s="155">
        <f ca="1">IF(ISNUMBER(MATCH(DATEVALUE($A250),'changes1_based on steps'!K$1:K$400,0)),K$2,)</f>
        <v>0</v>
      </c>
      <c r="L250" s="155">
        <f ca="1">IF(ISNUMBER(MATCH(DATEVALUE($A250),'changes1_based on steps'!L$1:L$400,0)),L$2,)</f>
        <v>0</v>
      </c>
      <c r="M250" s="155">
        <f ca="1">IF(ISNUMBER(MATCH(DATEVALUE($A250),'changes1_based on steps'!M$1:M$400,0)),M$2,)</f>
        <v>0</v>
      </c>
      <c r="N250" s="155">
        <f ca="1">IF(ISNUMBER(MATCH(DATEVALUE($A250),'changes1_based on steps'!N$1:N$400,0)),N$2,)</f>
        <v>0</v>
      </c>
      <c r="O250" s="155">
        <f ca="1">IF(ISNUMBER(MATCH(DATEVALUE($A250),'changes1_based on steps'!O$1:O$400,0)),O$2,)</f>
        <v>0</v>
      </c>
      <c r="P250" s="155">
        <f ca="1">IF(ISNUMBER(MATCH(DATEVALUE($A250),'changes1_based on steps'!P$1:P$400,0)),P$2,)</f>
        <v>0</v>
      </c>
      <c r="Q250" s="155">
        <f ca="1">IF(ISNUMBER(MATCH(DATEVALUE($A250),'changes1_based on steps'!Q$1:Q$400,0)),Q$2,)</f>
        <v>0</v>
      </c>
      <c r="R250" s="155">
        <f ca="1">IF(ISNUMBER(MATCH(DATEVALUE($A250),'changes1_based on steps'!R$1:R$400,0)),R$2,)</f>
        <v>0</v>
      </c>
      <c r="S250" s="155">
        <f ca="1">IF(ISNUMBER(MATCH(DATEVALUE($A250),'changes1_based on steps'!S$1:S$400,0)),S$2,)</f>
        <v>0</v>
      </c>
      <c r="T250" s="155">
        <f ca="1">IF(ISNUMBER(MATCH(DATEVALUE($A250),'changes1_based on steps'!T$1:T$400,0)),T$2,)</f>
        <v>0</v>
      </c>
      <c r="U250" s="155">
        <f ca="1">IF(ISNUMBER(MATCH(DATEVALUE($A250),'changes1_based on steps'!U$1:U$400,0)),U$2,)</f>
        <v>0</v>
      </c>
    </row>
    <row r="251" spans="1:21" x14ac:dyDescent="0.2">
      <c r="A251" s="18" t="str">
        <f t="shared" ca="1" si="3"/>
        <v>2025-10-07</v>
      </c>
      <c r="B251" s="155">
        <f ca="1">IF(ISNUMBER(MATCH(DATEVALUE($A251),'changes1_based on steps'!B$1:B$400,0)),B$2,)</f>
        <v>0</v>
      </c>
      <c r="C251" s="155">
        <f ca="1">IF(ISNUMBER(MATCH(DATEVALUE($A251),'changes1_based on steps'!C$1:C$400,0)),C$2,)</f>
        <v>0</v>
      </c>
      <c r="D251" s="155">
        <f ca="1">IF(ISNUMBER(MATCH(DATEVALUE($A251),'changes1_based on steps'!D$1:D$400,0)),D$2,)</f>
        <v>0</v>
      </c>
      <c r="E251" s="155">
        <f ca="1">IF(ISNUMBER(MATCH(DATEVALUE($A251),'changes1_based on steps'!E$1:E$400,0)),E$2,)</f>
        <v>0</v>
      </c>
      <c r="F251" s="155">
        <f ca="1">IF(ISNUMBER(MATCH(DATEVALUE($A251),'changes1_based on steps'!F$1:F$400,0)),F$2,)</f>
        <v>0</v>
      </c>
      <c r="G251" s="155">
        <f ca="1">IF(ISNUMBER(MATCH(DATEVALUE($A251),'changes1_based on steps'!G$1:G$400,0)),G$2,)</f>
        <v>0</v>
      </c>
      <c r="H251" s="155">
        <f ca="1">IF(ISNUMBER(MATCH(DATEVALUE($A251),'changes1_based on steps'!H$1:H$400,0)),H$2,)</f>
        <v>0</v>
      </c>
      <c r="I251" s="155">
        <f ca="1">IF(ISNUMBER(MATCH(DATEVALUE($A251),'changes1_based on steps'!I$1:I$400,0)),I$2,)</f>
        <v>0</v>
      </c>
      <c r="J251" s="155">
        <f ca="1">IF(ISNUMBER(MATCH(DATEVALUE($A251),'changes1_based on steps'!J$1:J$400,0)),J$2,)</f>
        <v>0</v>
      </c>
      <c r="K251" s="155">
        <f ca="1">IF(ISNUMBER(MATCH(DATEVALUE($A251),'changes1_based on steps'!K$1:K$400,0)),K$2,)</f>
        <v>0</v>
      </c>
      <c r="L251" s="155">
        <f ca="1">IF(ISNUMBER(MATCH(DATEVALUE($A251),'changes1_based on steps'!L$1:L$400,0)),L$2,)</f>
        <v>0</v>
      </c>
      <c r="M251" s="155">
        <f ca="1">IF(ISNUMBER(MATCH(DATEVALUE($A251),'changes1_based on steps'!M$1:M$400,0)),M$2,)</f>
        <v>0</v>
      </c>
      <c r="N251" s="155">
        <f ca="1">IF(ISNUMBER(MATCH(DATEVALUE($A251),'changes1_based on steps'!N$1:N$400,0)),N$2,)</f>
        <v>0</v>
      </c>
      <c r="O251" s="155">
        <f ca="1">IF(ISNUMBER(MATCH(DATEVALUE($A251),'changes1_based on steps'!O$1:O$400,0)),O$2,)</f>
        <v>0</v>
      </c>
      <c r="P251" s="155">
        <f ca="1">IF(ISNUMBER(MATCH(DATEVALUE($A251),'changes1_based on steps'!P$1:P$400,0)),P$2,)</f>
        <v>0</v>
      </c>
      <c r="Q251" s="155">
        <f ca="1">IF(ISNUMBER(MATCH(DATEVALUE($A251),'changes1_based on steps'!Q$1:Q$400,0)),Q$2,)</f>
        <v>0</v>
      </c>
      <c r="R251" s="155">
        <f ca="1">IF(ISNUMBER(MATCH(DATEVALUE($A251),'changes1_based on steps'!R$1:R$400,0)),R$2,)</f>
        <v>0</v>
      </c>
      <c r="S251" s="155">
        <f ca="1">IF(ISNUMBER(MATCH(DATEVALUE($A251),'changes1_based on steps'!S$1:S$400,0)),S$2,)</f>
        <v>0</v>
      </c>
      <c r="T251" s="155">
        <f ca="1">IF(ISNUMBER(MATCH(DATEVALUE($A251),'changes1_based on steps'!T$1:T$400,0)),T$2,)</f>
        <v>0</v>
      </c>
      <c r="U251" s="155">
        <f ca="1">IF(ISNUMBER(MATCH(DATEVALUE($A251),'changes1_based on steps'!U$1:U$400,0)),U$2,)</f>
        <v>0</v>
      </c>
    </row>
    <row r="252" spans="1:21" x14ac:dyDescent="0.2">
      <c r="A252" s="18" t="str">
        <f t="shared" ca="1" si="3"/>
        <v>2025-10-08</v>
      </c>
      <c r="B252" s="155">
        <f ca="1">IF(ISNUMBER(MATCH(DATEVALUE($A252),'changes1_based on steps'!B$1:B$400,0)),B$2,)</f>
        <v>100</v>
      </c>
      <c r="C252" s="155">
        <f ca="1">IF(ISNUMBER(MATCH(DATEVALUE($A252),'changes1_based on steps'!C$1:C$400,0)),C$2,)</f>
        <v>0</v>
      </c>
      <c r="D252" s="155">
        <f ca="1">IF(ISNUMBER(MATCH(DATEVALUE($A252),'changes1_based on steps'!D$1:D$400,0)),D$2,)</f>
        <v>0</v>
      </c>
      <c r="E252" s="155">
        <f ca="1">IF(ISNUMBER(MATCH(DATEVALUE($A252),'changes1_based on steps'!E$1:E$400,0)),E$2,)</f>
        <v>0</v>
      </c>
      <c r="F252" s="155">
        <f ca="1">IF(ISNUMBER(MATCH(DATEVALUE($A252),'changes1_based on steps'!F$1:F$400,0)),F$2,)</f>
        <v>0</v>
      </c>
      <c r="G252" s="155">
        <f ca="1">IF(ISNUMBER(MATCH(DATEVALUE($A252),'changes1_based on steps'!G$1:G$400,0)),G$2,)</f>
        <v>0</v>
      </c>
      <c r="H252" s="155">
        <f ca="1">IF(ISNUMBER(MATCH(DATEVALUE($A252),'changes1_based on steps'!H$1:H$400,0)),H$2,)</f>
        <v>0</v>
      </c>
      <c r="I252" s="155">
        <f ca="1">IF(ISNUMBER(MATCH(DATEVALUE($A252),'changes1_based on steps'!I$1:I$400,0)),I$2,)</f>
        <v>0</v>
      </c>
      <c r="J252" s="155">
        <f ca="1">IF(ISNUMBER(MATCH(DATEVALUE($A252),'changes1_based on steps'!J$1:J$400,0)),J$2,)</f>
        <v>0</v>
      </c>
      <c r="K252" s="155">
        <f ca="1">IF(ISNUMBER(MATCH(DATEVALUE($A252),'changes1_based on steps'!K$1:K$400,0)),K$2,)</f>
        <v>0</v>
      </c>
      <c r="L252" s="155">
        <f ca="1">IF(ISNUMBER(MATCH(DATEVALUE($A252),'changes1_based on steps'!L$1:L$400,0)),L$2,)</f>
        <v>0</v>
      </c>
      <c r="M252" s="155">
        <f ca="1">IF(ISNUMBER(MATCH(DATEVALUE($A252),'changes1_based on steps'!M$1:M$400,0)),M$2,)</f>
        <v>0</v>
      </c>
      <c r="N252" s="155">
        <f ca="1">IF(ISNUMBER(MATCH(DATEVALUE($A252),'changes1_based on steps'!N$1:N$400,0)),N$2,)</f>
        <v>0</v>
      </c>
      <c r="O252" s="155">
        <f ca="1">IF(ISNUMBER(MATCH(DATEVALUE($A252),'changes1_based on steps'!O$1:O$400,0)),O$2,)</f>
        <v>0</v>
      </c>
      <c r="P252" s="155">
        <f ca="1">IF(ISNUMBER(MATCH(DATEVALUE($A252),'changes1_based on steps'!P$1:P$400,0)),P$2,)</f>
        <v>0</v>
      </c>
      <c r="Q252" s="155">
        <f ca="1">IF(ISNUMBER(MATCH(DATEVALUE($A252),'changes1_based on steps'!Q$1:Q$400,0)),Q$2,)</f>
        <v>0</v>
      </c>
      <c r="R252" s="155">
        <f ca="1">IF(ISNUMBER(MATCH(DATEVALUE($A252),'changes1_based on steps'!R$1:R$400,0)),R$2,)</f>
        <v>0</v>
      </c>
      <c r="S252" s="155">
        <f ca="1">IF(ISNUMBER(MATCH(DATEVALUE($A252),'changes1_based on steps'!S$1:S$400,0)),S$2,)</f>
        <v>0</v>
      </c>
      <c r="T252" s="155">
        <f ca="1">IF(ISNUMBER(MATCH(DATEVALUE($A252),'changes1_based on steps'!T$1:T$400,0)),T$2,)</f>
        <v>0</v>
      </c>
      <c r="U252" s="155">
        <f ca="1">IF(ISNUMBER(MATCH(DATEVALUE($A252),'changes1_based on steps'!U$1:U$400,0)),U$2,)</f>
        <v>0</v>
      </c>
    </row>
    <row r="253" spans="1:21" x14ac:dyDescent="0.2">
      <c r="A253" s="18" t="str">
        <f t="shared" ca="1" si="3"/>
        <v>2025-10-09</v>
      </c>
      <c r="B253" s="155">
        <f ca="1">IF(ISNUMBER(MATCH(DATEVALUE($A253),'changes1_based on steps'!B$1:B$400,0)),B$2,)</f>
        <v>0</v>
      </c>
      <c r="C253" s="155">
        <f ca="1">IF(ISNUMBER(MATCH(DATEVALUE($A253),'changes1_based on steps'!C$1:C$400,0)),C$2,)</f>
        <v>0</v>
      </c>
      <c r="D253" s="155">
        <f ca="1">IF(ISNUMBER(MATCH(DATEVALUE($A253),'changes1_based on steps'!D$1:D$400,0)),D$2,)</f>
        <v>0</v>
      </c>
      <c r="E253" s="155">
        <f ca="1">IF(ISNUMBER(MATCH(DATEVALUE($A253),'changes1_based on steps'!E$1:E$400,0)),E$2,)</f>
        <v>0</v>
      </c>
      <c r="F253" s="155">
        <f ca="1">IF(ISNUMBER(MATCH(DATEVALUE($A253),'changes1_based on steps'!F$1:F$400,0)),F$2,)</f>
        <v>0</v>
      </c>
      <c r="G253" s="155">
        <f ca="1">IF(ISNUMBER(MATCH(DATEVALUE($A253),'changes1_based on steps'!G$1:G$400,0)),G$2,)</f>
        <v>0</v>
      </c>
      <c r="H253" s="155">
        <f ca="1">IF(ISNUMBER(MATCH(DATEVALUE($A253),'changes1_based on steps'!H$1:H$400,0)),H$2,)</f>
        <v>0</v>
      </c>
      <c r="I253" s="155">
        <f ca="1">IF(ISNUMBER(MATCH(DATEVALUE($A253),'changes1_based on steps'!I$1:I$400,0)),I$2,)</f>
        <v>0</v>
      </c>
      <c r="J253" s="155">
        <f ca="1">IF(ISNUMBER(MATCH(DATEVALUE($A253),'changes1_based on steps'!J$1:J$400,0)),J$2,)</f>
        <v>0</v>
      </c>
      <c r="K253" s="155">
        <f ca="1">IF(ISNUMBER(MATCH(DATEVALUE($A253),'changes1_based on steps'!K$1:K$400,0)),K$2,)</f>
        <v>0</v>
      </c>
      <c r="L253" s="155">
        <f ca="1">IF(ISNUMBER(MATCH(DATEVALUE($A253),'changes1_based on steps'!L$1:L$400,0)),L$2,)</f>
        <v>0</v>
      </c>
      <c r="M253" s="155">
        <f ca="1">IF(ISNUMBER(MATCH(DATEVALUE($A253),'changes1_based on steps'!M$1:M$400,0)),M$2,)</f>
        <v>0</v>
      </c>
      <c r="N253" s="155">
        <f ca="1">IF(ISNUMBER(MATCH(DATEVALUE($A253),'changes1_based on steps'!N$1:N$400,0)),N$2,)</f>
        <v>0</v>
      </c>
      <c r="O253" s="155">
        <f ca="1">IF(ISNUMBER(MATCH(DATEVALUE($A253),'changes1_based on steps'!O$1:O$400,0)),O$2,)</f>
        <v>0</v>
      </c>
      <c r="P253" s="155">
        <f ca="1">IF(ISNUMBER(MATCH(DATEVALUE($A253),'changes1_based on steps'!P$1:P$400,0)),P$2,)</f>
        <v>0</v>
      </c>
      <c r="Q253" s="155">
        <f ca="1">IF(ISNUMBER(MATCH(DATEVALUE($A253),'changes1_based on steps'!Q$1:Q$400,0)),Q$2,)</f>
        <v>0</v>
      </c>
      <c r="R253" s="155">
        <f ca="1">IF(ISNUMBER(MATCH(DATEVALUE($A253),'changes1_based on steps'!R$1:R$400,0)),R$2,)</f>
        <v>0</v>
      </c>
      <c r="S253" s="155">
        <f ca="1">IF(ISNUMBER(MATCH(DATEVALUE($A253),'changes1_based on steps'!S$1:S$400,0)),S$2,)</f>
        <v>0</v>
      </c>
      <c r="T253" s="155">
        <f ca="1">IF(ISNUMBER(MATCH(DATEVALUE($A253),'changes1_based on steps'!T$1:T$400,0)),T$2,)</f>
        <v>0</v>
      </c>
      <c r="U253" s="155">
        <f ca="1">IF(ISNUMBER(MATCH(DATEVALUE($A253),'changes1_based on steps'!U$1:U$400,0)),U$2,)</f>
        <v>0</v>
      </c>
    </row>
    <row r="254" spans="1:21" x14ac:dyDescent="0.2">
      <c r="A254" s="18" t="str">
        <f t="shared" ca="1" si="3"/>
        <v>2025-10-10</v>
      </c>
      <c r="B254" s="155">
        <f ca="1">IF(ISNUMBER(MATCH(DATEVALUE($A254),'changes1_based on steps'!B$1:B$400,0)),B$2,)</f>
        <v>0</v>
      </c>
      <c r="C254" s="155">
        <f ca="1">IF(ISNUMBER(MATCH(DATEVALUE($A254),'changes1_based on steps'!C$1:C$400,0)),C$2,)</f>
        <v>0</v>
      </c>
      <c r="D254" s="155">
        <f ca="1">IF(ISNUMBER(MATCH(DATEVALUE($A254),'changes1_based on steps'!D$1:D$400,0)),D$2,)</f>
        <v>0</v>
      </c>
      <c r="E254" s="155">
        <f ca="1">IF(ISNUMBER(MATCH(DATEVALUE($A254),'changes1_based on steps'!E$1:E$400,0)),E$2,)</f>
        <v>0</v>
      </c>
      <c r="F254" s="155">
        <f ca="1">IF(ISNUMBER(MATCH(DATEVALUE($A254),'changes1_based on steps'!F$1:F$400,0)),F$2,)</f>
        <v>0</v>
      </c>
      <c r="G254" s="155">
        <f ca="1">IF(ISNUMBER(MATCH(DATEVALUE($A254),'changes1_based on steps'!G$1:G$400,0)),G$2,)</f>
        <v>0</v>
      </c>
      <c r="H254" s="155">
        <f ca="1">IF(ISNUMBER(MATCH(DATEVALUE($A254),'changes1_based on steps'!H$1:H$400,0)),H$2,)</f>
        <v>0</v>
      </c>
      <c r="I254" s="155">
        <f ca="1">IF(ISNUMBER(MATCH(DATEVALUE($A254),'changes1_based on steps'!I$1:I$400,0)),I$2,)</f>
        <v>0</v>
      </c>
      <c r="J254" s="155">
        <f ca="1">IF(ISNUMBER(MATCH(DATEVALUE($A254),'changes1_based on steps'!J$1:J$400,0)),J$2,)</f>
        <v>0</v>
      </c>
      <c r="K254" s="155">
        <f ca="1">IF(ISNUMBER(MATCH(DATEVALUE($A254),'changes1_based on steps'!K$1:K$400,0)),K$2,)</f>
        <v>0</v>
      </c>
      <c r="L254" s="155">
        <f ca="1">IF(ISNUMBER(MATCH(DATEVALUE($A254),'changes1_based on steps'!L$1:L$400,0)),L$2,)</f>
        <v>0</v>
      </c>
      <c r="M254" s="155">
        <f ca="1">IF(ISNUMBER(MATCH(DATEVALUE($A254),'changes1_based on steps'!M$1:M$400,0)),M$2,)</f>
        <v>0</v>
      </c>
      <c r="N254" s="155">
        <f ca="1">IF(ISNUMBER(MATCH(DATEVALUE($A254),'changes1_based on steps'!N$1:N$400,0)),N$2,)</f>
        <v>0</v>
      </c>
      <c r="O254" s="155">
        <f ca="1">IF(ISNUMBER(MATCH(DATEVALUE($A254),'changes1_based on steps'!O$1:O$400,0)),O$2,)</f>
        <v>0</v>
      </c>
      <c r="P254" s="155">
        <f ca="1">IF(ISNUMBER(MATCH(DATEVALUE($A254),'changes1_based on steps'!P$1:P$400,0)),P$2,)</f>
        <v>0</v>
      </c>
      <c r="Q254" s="155">
        <f ca="1">IF(ISNUMBER(MATCH(DATEVALUE($A254),'changes1_based on steps'!Q$1:Q$400,0)),Q$2,)</f>
        <v>0</v>
      </c>
      <c r="R254" s="155">
        <f ca="1">IF(ISNUMBER(MATCH(DATEVALUE($A254),'changes1_based on steps'!R$1:R$400,0)),R$2,)</f>
        <v>0</v>
      </c>
      <c r="S254" s="155">
        <f ca="1">IF(ISNUMBER(MATCH(DATEVALUE($A254),'changes1_based on steps'!S$1:S$400,0)),S$2,)</f>
        <v>0</v>
      </c>
      <c r="T254" s="155">
        <f ca="1">IF(ISNUMBER(MATCH(DATEVALUE($A254),'changes1_based on steps'!T$1:T$400,0)),T$2,)</f>
        <v>0</v>
      </c>
      <c r="U254" s="155">
        <f ca="1">IF(ISNUMBER(MATCH(DATEVALUE($A254),'changes1_based on steps'!U$1:U$400,0)),U$2,)</f>
        <v>0</v>
      </c>
    </row>
    <row r="255" spans="1:21" x14ac:dyDescent="0.2">
      <c r="A255" s="18" t="str">
        <f t="shared" ca="1" si="3"/>
        <v>2025-10-11</v>
      </c>
      <c r="B255" s="155">
        <f ca="1">IF(ISNUMBER(MATCH(DATEVALUE($A255),'changes1_based on steps'!B$1:B$400,0)),B$2,)</f>
        <v>0</v>
      </c>
      <c r="C255" s="155">
        <f ca="1">IF(ISNUMBER(MATCH(DATEVALUE($A255),'changes1_based on steps'!C$1:C$400,0)),C$2,)</f>
        <v>0</v>
      </c>
      <c r="D255" s="155">
        <f ca="1">IF(ISNUMBER(MATCH(DATEVALUE($A255),'changes1_based on steps'!D$1:D$400,0)),D$2,)</f>
        <v>0</v>
      </c>
      <c r="E255" s="155">
        <f ca="1">IF(ISNUMBER(MATCH(DATEVALUE($A255),'changes1_based on steps'!E$1:E$400,0)),E$2,)</f>
        <v>0</v>
      </c>
      <c r="F255" s="155">
        <f ca="1">IF(ISNUMBER(MATCH(DATEVALUE($A255),'changes1_based on steps'!F$1:F$400,0)),F$2,)</f>
        <v>0</v>
      </c>
      <c r="G255" s="155">
        <f ca="1">IF(ISNUMBER(MATCH(DATEVALUE($A255),'changes1_based on steps'!G$1:G$400,0)),G$2,)</f>
        <v>0</v>
      </c>
      <c r="H255" s="155">
        <f ca="1">IF(ISNUMBER(MATCH(DATEVALUE($A255),'changes1_based on steps'!H$1:H$400,0)),H$2,)</f>
        <v>0</v>
      </c>
      <c r="I255" s="155">
        <f ca="1">IF(ISNUMBER(MATCH(DATEVALUE($A255),'changes1_based on steps'!I$1:I$400,0)),I$2,)</f>
        <v>0</v>
      </c>
      <c r="J255" s="155">
        <f ca="1">IF(ISNUMBER(MATCH(DATEVALUE($A255),'changes1_based on steps'!J$1:J$400,0)),J$2,)</f>
        <v>0</v>
      </c>
      <c r="K255" s="155">
        <f ca="1">IF(ISNUMBER(MATCH(DATEVALUE($A255),'changes1_based on steps'!K$1:K$400,0)),K$2,)</f>
        <v>0</v>
      </c>
      <c r="L255" s="155">
        <f ca="1">IF(ISNUMBER(MATCH(DATEVALUE($A255),'changes1_based on steps'!L$1:L$400,0)),L$2,)</f>
        <v>0</v>
      </c>
      <c r="M255" s="155">
        <f ca="1">IF(ISNUMBER(MATCH(DATEVALUE($A255),'changes1_based on steps'!M$1:M$400,0)),M$2,)</f>
        <v>0</v>
      </c>
      <c r="N255" s="155">
        <f ca="1">IF(ISNUMBER(MATCH(DATEVALUE($A255),'changes1_based on steps'!N$1:N$400,0)),N$2,)</f>
        <v>0</v>
      </c>
      <c r="O255" s="155">
        <f ca="1">IF(ISNUMBER(MATCH(DATEVALUE($A255),'changes1_based on steps'!O$1:O$400,0)),O$2,)</f>
        <v>0</v>
      </c>
      <c r="P255" s="155">
        <f ca="1">IF(ISNUMBER(MATCH(DATEVALUE($A255),'changes1_based on steps'!P$1:P$400,0)),P$2,)</f>
        <v>0</v>
      </c>
      <c r="Q255" s="155">
        <f ca="1">IF(ISNUMBER(MATCH(DATEVALUE($A255),'changes1_based on steps'!Q$1:Q$400,0)),Q$2,)</f>
        <v>0</v>
      </c>
      <c r="R255" s="155">
        <f ca="1">IF(ISNUMBER(MATCH(DATEVALUE($A255),'changes1_based on steps'!R$1:R$400,0)),R$2,)</f>
        <v>0</v>
      </c>
      <c r="S255" s="155">
        <f ca="1">IF(ISNUMBER(MATCH(DATEVALUE($A255),'changes1_based on steps'!S$1:S$400,0)),S$2,)</f>
        <v>0</v>
      </c>
      <c r="T255" s="155">
        <f ca="1">IF(ISNUMBER(MATCH(DATEVALUE($A255),'changes1_based on steps'!T$1:T$400,0)),T$2,)</f>
        <v>0</v>
      </c>
      <c r="U255" s="155">
        <f ca="1">IF(ISNUMBER(MATCH(DATEVALUE($A255),'changes1_based on steps'!U$1:U$400,0)),U$2,)</f>
        <v>0</v>
      </c>
    </row>
    <row r="256" spans="1:21" x14ac:dyDescent="0.2">
      <c r="A256" s="18" t="str">
        <f t="shared" ca="1" si="3"/>
        <v>2025-10-12</v>
      </c>
      <c r="B256" s="155">
        <f ca="1">IF(ISNUMBER(MATCH(DATEVALUE($A256),'changes1_based on steps'!B$1:B$400,0)),B$2,)</f>
        <v>0</v>
      </c>
      <c r="C256" s="155">
        <f ca="1">IF(ISNUMBER(MATCH(DATEVALUE($A256),'changes1_based on steps'!C$1:C$400,0)),C$2,)</f>
        <v>0</v>
      </c>
      <c r="D256" s="155">
        <f ca="1">IF(ISNUMBER(MATCH(DATEVALUE($A256),'changes1_based on steps'!D$1:D$400,0)),D$2,)</f>
        <v>0</v>
      </c>
      <c r="E256" s="155">
        <f ca="1">IF(ISNUMBER(MATCH(DATEVALUE($A256),'changes1_based on steps'!E$1:E$400,0)),E$2,)</f>
        <v>0</v>
      </c>
      <c r="F256" s="155">
        <f ca="1">IF(ISNUMBER(MATCH(DATEVALUE($A256),'changes1_based on steps'!F$1:F$400,0)),F$2,)</f>
        <v>0</v>
      </c>
      <c r="G256" s="155">
        <f ca="1">IF(ISNUMBER(MATCH(DATEVALUE($A256),'changes1_based on steps'!G$1:G$400,0)),G$2,)</f>
        <v>0</v>
      </c>
      <c r="H256" s="155">
        <f ca="1">IF(ISNUMBER(MATCH(DATEVALUE($A256),'changes1_based on steps'!H$1:H$400,0)),H$2,)</f>
        <v>0</v>
      </c>
      <c r="I256" s="155">
        <f ca="1">IF(ISNUMBER(MATCH(DATEVALUE($A256),'changes1_based on steps'!I$1:I$400,0)),I$2,)</f>
        <v>0</v>
      </c>
      <c r="J256" s="155">
        <f ca="1">IF(ISNUMBER(MATCH(DATEVALUE($A256),'changes1_based on steps'!J$1:J$400,0)),J$2,)</f>
        <v>0</v>
      </c>
      <c r="K256" s="155">
        <f ca="1">IF(ISNUMBER(MATCH(DATEVALUE($A256),'changes1_based on steps'!K$1:K$400,0)),K$2,)</f>
        <v>0</v>
      </c>
      <c r="L256" s="155">
        <f ca="1">IF(ISNUMBER(MATCH(DATEVALUE($A256),'changes1_based on steps'!L$1:L$400,0)),L$2,)</f>
        <v>0</v>
      </c>
      <c r="M256" s="155">
        <f ca="1">IF(ISNUMBER(MATCH(DATEVALUE($A256),'changes1_based on steps'!M$1:M$400,0)),M$2,)</f>
        <v>0</v>
      </c>
      <c r="N256" s="155">
        <f ca="1">IF(ISNUMBER(MATCH(DATEVALUE($A256),'changes1_based on steps'!N$1:N$400,0)),N$2,)</f>
        <v>0</v>
      </c>
      <c r="O256" s="155">
        <f ca="1">IF(ISNUMBER(MATCH(DATEVALUE($A256),'changes1_based on steps'!O$1:O$400,0)),O$2,)</f>
        <v>0</v>
      </c>
      <c r="P256" s="155">
        <f ca="1">IF(ISNUMBER(MATCH(DATEVALUE($A256),'changes1_based on steps'!P$1:P$400,0)),P$2,)</f>
        <v>0</v>
      </c>
      <c r="Q256" s="155">
        <f ca="1">IF(ISNUMBER(MATCH(DATEVALUE($A256),'changes1_based on steps'!Q$1:Q$400,0)),Q$2,)</f>
        <v>0</v>
      </c>
      <c r="R256" s="155">
        <f ca="1">IF(ISNUMBER(MATCH(DATEVALUE($A256),'changes1_based on steps'!R$1:R$400,0)),R$2,)</f>
        <v>0</v>
      </c>
      <c r="S256" s="155">
        <f ca="1">IF(ISNUMBER(MATCH(DATEVALUE($A256),'changes1_based on steps'!S$1:S$400,0)),S$2,)</f>
        <v>0</v>
      </c>
      <c r="T256" s="155">
        <f ca="1">IF(ISNUMBER(MATCH(DATEVALUE($A256),'changes1_based on steps'!T$1:T$400,0)),T$2,)</f>
        <v>0</v>
      </c>
      <c r="U256" s="155">
        <f ca="1">IF(ISNUMBER(MATCH(DATEVALUE($A256),'changes1_based on steps'!U$1:U$400,0)),U$2,)</f>
        <v>0</v>
      </c>
    </row>
    <row r="257" spans="1:21" x14ac:dyDescent="0.2">
      <c r="A257" s="18" t="str">
        <f t="shared" ca="1" si="3"/>
        <v>2025-10-13</v>
      </c>
      <c r="B257" s="155">
        <f ca="1">IF(ISNUMBER(MATCH(DATEVALUE($A257),'changes1_based on steps'!B$1:B$400,0)),B$2,)</f>
        <v>0</v>
      </c>
      <c r="C257" s="155">
        <f ca="1">IF(ISNUMBER(MATCH(DATEVALUE($A257),'changes1_based on steps'!C$1:C$400,0)),C$2,)</f>
        <v>0</v>
      </c>
      <c r="D257" s="155">
        <f ca="1">IF(ISNUMBER(MATCH(DATEVALUE($A257),'changes1_based on steps'!D$1:D$400,0)),D$2,)</f>
        <v>0</v>
      </c>
      <c r="E257" s="155">
        <f ca="1">IF(ISNUMBER(MATCH(DATEVALUE($A257),'changes1_based on steps'!E$1:E$400,0)),E$2,)</f>
        <v>0</v>
      </c>
      <c r="F257" s="155">
        <f ca="1">IF(ISNUMBER(MATCH(DATEVALUE($A257),'changes1_based on steps'!F$1:F$400,0)),F$2,)</f>
        <v>0</v>
      </c>
      <c r="G257" s="155">
        <f ca="1">IF(ISNUMBER(MATCH(DATEVALUE($A257),'changes1_based on steps'!G$1:G$400,0)),G$2,)</f>
        <v>0</v>
      </c>
      <c r="H257" s="155">
        <f ca="1">IF(ISNUMBER(MATCH(DATEVALUE($A257),'changes1_based on steps'!H$1:H$400,0)),H$2,)</f>
        <v>0</v>
      </c>
      <c r="I257" s="155">
        <f ca="1">IF(ISNUMBER(MATCH(DATEVALUE($A257),'changes1_based on steps'!I$1:I$400,0)),I$2,)</f>
        <v>0</v>
      </c>
      <c r="J257" s="155">
        <f ca="1">IF(ISNUMBER(MATCH(DATEVALUE($A257),'changes1_based on steps'!J$1:J$400,0)),J$2,)</f>
        <v>0</v>
      </c>
      <c r="K257" s="155">
        <f ca="1">IF(ISNUMBER(MATCH(DATEVALUE($A257),'changes1_based on steps'!K$1:K$400,0)),K$2,)</f>
        <v>0</v>
      </c>
      <c r="L257" s="155">
        <f ca="1">IF(ISNUMBER(MATCH(DATEVALUE($A257),'changes1_based on steps'!L$1:L$400,0)),L$2,)</f>
        <v>0</v>
      </c>
      <c r="M257" s="155">
        <f ca="1">IF(ISNUMBER(MATCH(DATEVALUE($A257),'changes1_based on steps'!M$1:M$400,0)),M$2,)</f>
        <v>0</v>
      </c>
      <c r="N257" s="155">
        <f ca="1">IF(ISNUMBER(MATCH(DATEVALUE($A257),'changes1_based on steps'!N$1:N$400,0)),N$2,)</f>
        <v>0</v>
      </c>
      <c r="O257" s="155">
        <f ca="1">IF(ISNUMBER(MATCH(DATEVALUE($A257),'changes1_based on steps'!O$1:O$400,0)),O$2,)</f>
        <v>0</v>
      </c>
      <c r="P257" s="155">
        <f ca="1">IF(ISNUMBER(MATCH(DATEVALUE($A257),'changes1_based on steps'!P$1:P$400,0)),P$2,)</f>
        <v>0</v>
      </c>
      <c r="Q257" s="155">
        <f ca="1">IF(ISNUMBER(MATCH(DATEVALUE($A257),'changes1_based on steps'!Q$1:Q$400,0)),Q$2,)</f>
        <v>0</v>
      </c>
      <c r="R257" s="155">
        <f ca="1">IF(ISNUMBER(MATCH(DATEVALUE($A257),'changes1_based on steps'!R$1:R$400,0)),R$2,)</f>
        <v>0</v>
      </c>
      <c r="S257" s="155">
        <f ca="1">IF(ISNUMBER(MATCH(DATEVALUE($A257),'changes1_based on steps'!S$1:S$400,0)),S$2,)</f>
        <v>0</v>
      </c>
      <c r="T257" s="155">
        <f ca="1">IF(ISNUMBER(MATCH(DATEVALUE($A257),'changes1_based on steps'!T$1:T$400,0)),T$2,)</f>
        <v>0</v>
      </c>
      <c r="U257" s="155">
        <f ca="1">IF(ISNUMBER(MATCH(DATEVALUE($A257),'changes1_based on steps'!U$1:U$400,0)),U$2,)</f>
        <v>0</v>
      </c>
    </row>
    <row r="258" spans="1:21" x14ac:dyDescent="0.2">
      <c r="A258" s="18" t="str">
        <f t="shared" ca="1" si="3"/>
        <v>2025-10-14</v>
      </c>
      <c r="B258" s="155">
        <f ca="1">IF(ISNUMBER(MATCH(DATEVALUE($A258),'changes1_based on steps'!B$1:B$400,0)),B$2,)</f>
        <v>0</v>
      </c>
      <c r="C258" s="155">
        <f ca="1">IF(ISNUMBER(MATCH(DATEVALUE($A258),'changes1_based on steps'!C$1:C$400,0)),C$2,)</f>
        <v>0</v>
      </c>
      <c r="D258" s="155">
        <f ca="1">IF(ISNUMBER(MATCH(DATEVALUE($A258),'changes1_based on steps'!D$1:D$400,0)),D$2,)</f>
        <v>0</v>
      </c>
      <c r="E258" s="155">
        <f ca="1">IF(ISNUMBER(MATCH(DATEVALUE($A258),'changes1_based on steps'!E$1:E$400,0)),E$2,)</f>
        <v>0</v>
      </c>
      <c r="F258" s="155">
        <f ca="1">IF(ISNUMBER(MATCH(DATEVALUE($A258),'changes1_based on steps'!F$1:F$400,0)),F$2,)</f>
        <v>0</v>
      </c>
      <c r="G258" s="155">
        <f ca="1">IF(ISNUMBER(MATCH(DATEVALUE($A258),'changes1_based on steps'!G$1:G$400,0)),G$2,)</f>
        <v>0</v>
      </c>
      <c r="H258" s="155">
        <f ca="1">IF(ISNUMBER(MATCH(DATEVALUE($A258),'changes1_based on steps'!H$1:H$400,0)),H$2,)</f>
        <v>0</v>
      </c>
      <c r="I258" s="155">
        <f ca="1">IF(ISNUMBER(MATCH(DATEVALUE($A258),'changes1_based on steps'!I$1:I$400,0)),I$2,)</f>
        <v>0</v>
      </c>
      <c r="J258" s="155">
        <f ca="1">IF(ISNUMBER(MATCH(DATEVALUE($A258),'changes1_based on steps'!J$1:J$400,0)),J$2,)</f>
        <v>0</v>
      </c>
      <c r="K258" s="155">
        <f ca="1">IF(ISNUMBER(MATCH(DATEVALUE($A258),'changes1_based on steps'!K$1:K$400,0)),K$2,)</f>
        <v>0</v>
      </c>
      <c r="L258" s="155">
        <f ca="1">IF(ISNUMBER(MATCH(DATEVALUE($A258),'changes1_based on steps'!L$1:L$400,0)),L$2,)</f>
        <v>0</v>
      </c>
      <c r="M258" s="155">
        <f ca="1">IF(ISNUMBER(MATCH(DATEVALUE($A258),'changes1_based on steps'!M$1:M$400,0)),M$2,)</f>
        <v>0</v>
      </c>
      <c r="N258" s="155">
        <f ca="1">IF(ISNUMBER(MATCH(DATEVALUE($A258),'changes1_based on steps'!N$1:N$400,0)),N$2,)</f>
        <v>0</v>
      </c>
      <c r="O258" s="155">
        <f ca="1">IF(ISNUMBER(MATCH(DATEVALUE($A258),'changes1_based on steps'!O$1:O$400,0)),O$2,)</f>
        <v>0</v>
      </c>
      <c r="P258" s="155">
        <f ca="1">IF(ISNUMBER(MATCH(DATEVALUE($A258),'changes1_based on steps'!P$1:P$400,0)),P$2,)</f>
        <v>0</v>
      </c>
      <c r="Q258" s="155">
        <f ca="1">IF(ISNUMBER(MATCH(DATEVALUE($A258),'changes1_based on steps'!Q$1:Q$400,0)),Q$2,)</f>
        <v>0</v>
      </c>
      <c r="R258" s="155">
        <f ca="1">IF(ISNUMBER(MATCH(DATEVALUE($A258),'changes1_based on steps'!R$1:R$400,0)),R$2,)</f>
        <v>0</v>
      </c>
      <c r="S258" s="155">
        <f ca="1">IF(ISNUMBER(MATCH(DATEVALUE($A258),'changes1_based on steps'!S$1:S$400,0)),S$2,)</f>
        <v>0</v>
      </c>
      <c r="T258" s="155">
        <f ca="1">IF(ISNUMBER(MATCH(DATEVALUE($A258),'changes1_based on steps'!T$1:T$400,0)),T$2,)</f>
        <v>0</v>
      </c>
      <c r="U258" s="155">
        <f ca="1">IF(ISNUMBER(MATCH(DATEVALUE($A258),'changes1_based on steps'!U$1:U$400,0)),U$2,)</f>
        <v>0</v>
      </c>
    </row>
    <row r="259" spans="1:21" x14ac:dyDescent="0.2">
      <c r="A259" s="18" t="str">
        <f t="shared" ca="1" si="3"/>
        <v>2025-10-15</v>
      </c>
      <c r="B259" s="155">
        <f ca="1">IF(ISNUMBER(MATCH(DATEVALUE($A259),'changes1_based on steps'!B$1:B$400,0)),B$2,)</f>
        <v>0</v>
      </c>
      <c r="C259" s="155">
        <f ca="1">IF(ISNUMBER(MATCH(DATEVALUE($A259),'changes1_based on steps'!C$1:C$400,0)),C$2,)</f>
        <v>0</v>
      </c>
      <c r="D259" s="155">
        <f ca="1">IF(ISNUMBER(MATCH(DATEVALUE($A259),'changes1_based on steps'!D$1:D$400,0)),D$2,)</f>
        <v>0</v>
      </c>
      <c r="E259" s="155">
        <f ca="1">IF(ISNUMBER(MATCH(DATEVALUE($A259),'changes1_based on steps'!E$1:E$400,0)),E$2,)</f>
        <v>0</v>
      </c>
      <c r="F259" s="155">
        <f ca="1">IF(ISNUMBER(MATCH(DATEVALUE($A259),'changes1_based on steps'!F$1:F$400,0)),F$2,)</f>
        <v>0</v>
      </c>
      <c r="G259" s="155">
        <f ca="1">IF(ISNUMBER(MATCH(DATEVALUE($A259),'changes1_based on steps'!G$1:G$400,0)),G$2,)</f>
        <v>0</v>
      </c>
      <c r="H259" s="155">
        <f ca="1">IF(ISNUMBER(MATCH(DATEVALUE($A259),'changes1_based on steps'!H$1:H$400,0)),H$2,)</f>
        <v>0</v>
      </c>
      <c r="I259" s="155">
        <f ca="1">IF(ISNUMBER(MATCH(DATEVALUE($A259),'changes1_based on steps'!I$1:I$400,0)),I$2,)</f>
        <v>0</v>
      </c>
      <c r="J259" s="155">
        <f ca="1">IF(ISNUMBER(MATCH(DATEVALUE($A259),'changes1_based on steps'!J$1:J$400,0)),J$2,)</f>
        <v>0</v>
      </c>
      <c r="K259" s="155">
        <f ca="1">IF(ISNUMBER(MATCH(DATEVALUE($A259),'changes1_based on steps'!K$1:K$400,0)),K$2,)</f>
        <v>0</v>
      </c>
      <c r="L259" s="155">
        <f ca="1">IF(ISNUMBER(MATCH(DATEVALUE($A259),'changes1_based on steps'!L$1:L$400,0)),L$2,)</f>
        <v>0</v>
      </c>
      <c r="M259" s="155">
        <f ca="1">IF(ISNUMBER(MATCH(DATEVALUE($A259),'changes1_based on steps'!M$1:M$400,0)),M$2,)</f>
        <v>0</v>
      </c>
      <c r="N259" s="155">
        <f ca="1">IF(ISNUMBER(MATCH(DATEVALUE($A259),'changes1_based on steps'!N$1:N$400,0)),N$2,)</f>
        <v>0</v>
      </c>
      <c r="O259" s="155">
        <f ca="1">IF(ISNUMBER(MATCH(DATEVALUE($A259),'changes1_based on steps'!O$1:O$400,0)),O$2,)</f>
        <v>0</v>
      </c>
      <c r="P259" s="155">
        <f ca="1">IF(ISNUMBER(MATCH(DATEVALUE($A259),'changes1_based on steps'!P$1:P$400,0)),P$2,)</f>
        <v>0</v>
      </c>
      <c r="Q259" s="155">
        <f ca="1">IF(ISNUMBER(MATCH(DATEVALUE($A259),'changes1_based on steps'!Q$1:Q$400,0)),Q$2,)</f>
        <v>0</v>
      </c>
      <c r="R259" s="155">
        <f ca="1">IF(ISNUMBER(MATCH(DATEVALUE($A259),'changes1_based on steps'!R$1:R$400,0)),R$2,)</f>
        <v>0</v>
      </c>
      <c r="S259" s="155">
        <f ca="1">IF(ISNUMBER(MATCH(DATEVALUE($A259),'changes1_based on steps'!S$1:S$400,0)),S$2,)</f>
        <v>0</v>
      </c>
      <c r="T259" s="155">
        <f ca="1">IF(ISNUMBER(MATCH(DATEVALUE($A259),'changes1_based on steps'!T$1:T$400,0)),T$2,)</f>
        <v>0</v>
      </c>
      <c r="U259" s="155">
        <f ca="1">IF(ISNUMBER(MATCH(DATEVALUE($A259),'changes1_based on steps'!U$1:U$400,0)),U$2,)</f>
        <v>0</v>
      </c>
    </row>
    <row r="260" spans="1:21" x14ac:dyDescent="0.2">
      <c r="A260" s="18" t="str">
        <f t="shared" ca="1" si="3"/>
        <v>2025-10-16</v>
      </c>
      <c r="B260" s="155">
        <f ca="1">IF(ISNUMBER(MATCH(DATEVALUE($A260),'changes1_based on steps'!B$1:B$400,0)),B$2,)</f>
        <v>0</v>
      </c>
      <c r="C260" s="155">
        <f ca="1">IF(ISNUMBER(MATCH(DATEVALUE($A260),'changes1_based on steps'!C$1:C$400,0)),C$2,)</f>
        <v>0</v>
      </c>
      <c r="D260" s="155">
        <f ca="1">IF(ISNUMBER(MATCH(DATEVALUE($A260),'changes1_based on steps'!D$1:D$400,0)),D$2,)</f>
        <v>0</v>
      </c>
      <c r="E260" s="155">
        <f ca="1">IF(ISNUMBER(MATCH(DATEVALUE($A260),'changes1_based on steps'!E$1:E$400,0)),E$2,)</f>
        <v>0</v>
      </c>
      <c r="F260" s="155">
        <f ca="1">IF(ISNUMBER(MATCH(DATEVALUE($A260),'changes1_based on steps'!F$1:F$400,0)),F$2,)</f>
        <v>0</v>
      </c>
      <c r="G260" s="155">
        <f ca="1">IF(ISNUMBER(MATCH(DATEVALUE($A260),'changes1_based on steps'!G$1:G$400,0)),G$2,)</f>
        <v>0</v>
      </c>
      <c r="H260" s="155">
        <f ca="1">IF(ISNUMBER(MATCH(DATEVALUE($A260),'changes1_based on steps'!H$1:H$400,0)),H$2,)</f>
        <v>0</v>
      </c>
      <c r="I260" s="155">
        <f ca="1">IF(ISNUMBER(MATCH(DATEVALUE($A260),'changes1_based on steps'!I$1:I$400,0)),I$2,)</f>
        <v>0</v>
      </c>
      <c r="J260" s="155">
        <f ca="1">IF(ISNUMBER(MATCH(DATEVALUE($A260),'changes1_based on steps'!J$1:J$400,0)),J$2,)</f>
        <v>0</v>
      </c>
      <c r="K260" s="155">
        <f ca="1">IF(ISNUMBER(MATCH(DATEVALUE($A260),'changes1_based on steps'!K$1:K$400,0)),K$2,)</f>
        <v>0</v>
      </c>
      <c r="L260" s="155">
        <f ca="1">IF(ISNUMBER(MATCH(DATEVALUE($A260),'changes1_based on steps'!L$1:L$400,0)),L$2,)</f>
        <v>0</v>
      </c>
      <c r="M260" s="155">
        <f ca="1">IF(ISNUMBER(MATCH(DATEVALUE($A260),'changes1_based on steps'!M$1:M$400,0)),M$2,)</f>
        <v>0</v>
      </c>
      <c r="N260" s="155">
        <f ca="1">IF(ISNUMBER(MATCH(DATEVALUE($A260),'changes1_based on steps'!N$1:N$400,0)),N$2,)</f>
        <v>0</v>
      </c>
      <c r="O260" s="155">
        <f ca="1">IF(ISNUMBER(MATCH(DATEVALUE($A260),'changes1_based on steps'!O$1:O$400,0)),O$2,)</f>
        <v>0</v>
      </c>
      <c r="P260" s="155">
        <f ca="1">IF(ISNUMBER(MATCH(DATEVALUE($A260),'changes1_based on steps'!P$1:P$400,0)),P$2,)</f>
        <v>0</v>
      </c>
      <c r="Q260" s="155">
        <f ca="1">IF(ISNUMBER(MATCH(DATEVALUE($A260),'changes1_based on steps'!Q$1:Q$400,0)),Q$2,)</f>
        <v>0</v>
      </c>
      <c r="R260" s="155">
        <f ca="1">IF(ISNUMBER(MATCH(DATEVALUE($A260),'changes1_based on steps'!R$1:R$400,0)),R$2,)</f>
        <v>0</v>
      </c>
      <c r="S260" s="155">
        <f ca="1">IF(ISNUMBER(MATCH(DATEVALUE($A260),'changes1_based on steps'!S$1:S$400,0)),S$2,)</f>
        <v>0</v>
      </c>
      <c r="T260" s="155">
        <f ca="1">IF(ISNUMBER(MATCH(DATEVALUE($A260),'changes1_based on steps'!T$1:T$400,0)),T$2,)</f>
        <v>0</v>
      </c>
      <c r="U260" s="155">
        <f ca="1">IF(ISNUMBER(MATCH(DATEVALUE($A260),'changes1_based on steps'!U$1:U$400,0)),U$2,)</f>
        <v>0</v>
      </c>
    </row>
    <row r="261" spans="1:21" x14ac:dyDescent="0.2">
      <c r="A261" s="18" t="str">
        <f t="shared" ref="A261:A324" ca="1" si="4">TEXT(DATEVALUE(A260)+1,"yyyy-mm-dd")</f>
        <v>2025-10-17</v>
      </c>
      <c r="B261" s="155">
        <f ca="1">IF(ISNUMBER(MATCH(DATEVALUE($A261),'changes1_based on steps'!B$1:B$400,0)),B$2,)</f>
        <v>0</v>
      </c>
      <c r="C261" s="155">
        <f ca="1">IF(ISNUMBER(MATCH(DATEVALUE($A261),'changes1_based on steps'!C$1:C$400,0)),C$2,)</f>
        <v>0</v>
      </c>
      <c r="D261" s="155">
        <f ca="1">IF(ISNUMBER(MATCH(DATEVALUE($A261),'changes1_based on steps'!D$1:D$400,0)),D$2,)</f>
        <v>0</v>
      </c>
      <c r="E261" s="155">
        <f ca="1">IF(ISNUMBER(MATCH(DATEVALUE($A261),'changes1_based on steps'!E$1:E$400,0)),E$2,)</f>
        <v>0</v>
      </c>
      <c r="F261" s="155">
        <f ca="1">IF(ISNUMBER(MATCH(DATEVALUE($A261),'changes1_based on steps'!F$1:F$400,0)),F$2,)</f>
        <v>0</v>
      </c>
      <c r="G261" s="155">
        <f ca="1">IF(ISNUMBER(MATCH(DATEVALUE($A261),'changes1_based on steps'!G$1:G$400,0)),G$2,)</f>
        <v>0</v>
      </c>
      <c r="H261" s="155">
        <f ca="1">IF(ISNUMBER(MATCH(DATEVALUE($A261),'changes1_based on steps'!H$1:H$400,0)),H$2,)</f>
        <v>0</v>
      </c>
      <c r="I261" s="155">
        <f ca="1">IF(ISNUMBER(MATCH(DATEVALUE($A261),'changes1_based on steps'!I$1:I$400,0)),I$2,)</f>
        <v>0</v>
      </c>
      <c r="J261" s="155">
        <f ca="1">IF(ISNUMBER(MATCH(DATEVALUE($A261),'changes1_based on steps'!J$1:J$400,0)),J$2,)</f>
        <v>0</v>
      </c>
      <c r="K261" s="155">
        <f ca="1">IF(ISNUMBER(MATCH(DATEVALUE($A261),'changes1_based on steps'!K$1:K$400,0)),K$2,)</f>
        <v>0</v>
      </c>
      <c r="L261" s="155">
        <f ca="1">IF(ISNUMBER(MATCH(DATEVALUE($A261),'changes1_based on steps'!L$1:L$400,0)),L$2,)</f>
        <v>0</v>
      </c>
      <c r="M261" s="155">
        <f ca="1">IF(ISNUMBER(MATCH(DATEVALUE($A261),'changes1_based on steps'!M$1:M$400,0)),M$2,)</f>
        <v>0</v>
      </c>
      <c r="N261" s="155">
        <f ca="1">IF(ISNUMBER(MATCH(DATEVALUE($A261),'changes1_based on steps'!N$1:N$400,0)),N$2,)</f>
        <v>0</v>
      </c>
      <c r="O261" s="155">
        <f ca="1">IF(ISNUMBER(MATCH(DATEVALUE($A261),'changes1_based on steps'!O$1:O$400,0)),O$2,)</f>
        <v>0</v>
      </c>
      <c r="P261" s="155">
        <f ca="1">IF(ISNUMBER(MATCH(DATEVALUE($A261),'changes1_based on steps'!P$1:P$400,0)),P$2,)</f>
        <v>0</v>
      </c>
      <c r="Q261" s="155">
        <f ca="1">IF(ISNUMBER(MATCH(DATEVALUE($A261),'changes1_based on steps'!Q$1:Q$400,0)),Q$2,)</f>
        <v>0</v>
      </c>
      <c r="R261" s="155">
        <f ca="1">IF(ISNUMBER(MATCH(DATEVALUE($A261),'changes1_based on steps'!R$1:R$400,0)),R$2,)</f>
        <v>0</v>
      </c>
      <c r="S261" s="155">
        <f ca="1">IF(ISNUMBER(MATCH(DATEVALUE($A261),'changes1_based on steps'!S$1:S$400,0)),S$2,)</f>
        <v>0</v>
      </c>
      <c r="T261" s="155">
        <f ca="1">IF(ISNUMBER(MATCH(DATEVALUE($A261),'changes1_based on steps'!T$1:T$400,0)),T$2,)</f>
        <v>0</v>
      </c>
      <c r="U261" s="155">
        <f ca="1">IF(ISNUMBER(MATCH(DATEVALUE($A261),'changes1_based on steps'!U$1:U$400,0)),U$2,)</f>
        <v>0</v>
      </c>
    </row>
    <row r="262" spans="1:21" x14ac:dyDescent="0.2">
      <c r="A262" s="18" t="str">
        <f t="shared" ca="1" si="4"/>
        <v>2025-10-18</v>
      </c>
      <c r="B262" s="155">
        <f ca="1">IF(ISNUMBER(MATCH(DATEVALUE($A262),'changes1_based on steps'!B$1:B$400,0)),B$2,)</f>
        <v>0</v>
      </c>
      <c r="C262" s="155">
        <f ca="1">IF(ISNUMBER(MATCH(DATEVALUE($A262),'changes1_based on steps'!C$1:C$400,0)),C$2,)</f>
        <v>0</v>
      </c>
      <c r="D262" s="155">
        <f ca="1">IF(ISNUMBER(MATCH(DATEVALUE($A262),'changes1_based on steps'!D$1:D$400,0)),D$2,)</f>
        <v>0</v>
      </c>
      <c r="E262" s="155">
        <f ca="1">IF(ISNUMBER(MATCH(DATEVALUE($A262),'changes1_based on steps'!E$1:E$400,0)),E$2,)</f>
        <v>0</v>
      </c>
      <c r="F262" s="155">
        <f ca="1">IF(ISNUMBER(MATCH(DATEVALUE($A262),'changes1_based on steps'!F$1:F$400,0)),F$2,)</f>
        <v>0</v>
      </c>
      <c r="G262" s="155">
        <f ca="1">IF(ISNUMBER(MATCH(DATEVALUE($A262),'changes1_based on steps'!G$1:G$400,0)),G$2,)</f>
        <v>0</v>
      </c>
      <c r="H262" s="155">
        <f ca="1">IF(ISNUMBER(MATCH(DATEVALUE($A262),'changes1_based on steps'!H$1:H$400,0)),H$2,)</f>
        <v>0</v>
      </c>
      <c r="I262" s="155">
        <f ca="1">IF(ISNUMBER(MATCH(DATEVALUE($A262),'changes1_based on steps'!I$1:I$400,0)),I$2,)</f>
        <v>0</v>
      </c>
      <c r="J262" s="155">
        <f ca="1">IF(ISNUMBER(MATCH(DATEVALUE($A262),'changes1_based on steps'!J$1:J$400,0)),J$2,)</f>
        <v>0</v>
      </c>
      <c r="K262" s="155">
        <f ca="1">IF(ISNUMBER(MATCH(DATEVALUE($A262),'changes1_based on steps'!K$1:K$400,0)),K$2,)</f>
        <v>0</v>
      </c>
      <c r="L262" s="155">
        <f ca="1">IF(ISNUMBER(MATCH(DATEVALUE($A262),'changes1_based on steps'!L$1:L$400,0)),L$2,)</f>
        <v>0</v>
      </c>
      <c r="M262" s="155">
        <f ca="1">IF(ISNUMBER(MATCH(DATEVALUE($A262),'changes1_based on steps'!M$1:M$400,0)),M$2,)</f>
        <v>0</v>
      </c>
      <c r="N262" s="155">
        <f ca="1">IF(ISNUMBER(MATCH(DATEVALUE($A262),'changes1_based on steps'!N$1:N$400,0)),N$2,)</f>
        <v>0</v>
      </c>
      <c r="O262" s="155">
        <f ca="1">IF(ISNUMBER(MATCH(DATEVALUE($A262),'changes1_based on steps'!O$1:O$400,0)),O$2,)</f>
        <v>0</v>
      </c>
      <c r="P262" s="155">
        <f ca="1">IF(ISNUMBER(MATCH(DATEVALUE($A262),'changes1_based on steps'!P$1:P$400,0)),P$2,)</f>
        <v>0</v>
      </c>
      <c r="Q262" s="155">
        <f ca="1">IF(ISNUMBER(MATCH(DATEVALUE($A262),'changes1_based on steps'!Q$1:Q$400,0)),Q$2,)</f>
        <v>0</v>
      </c>
      <c r="R262" s="155">
        <f ca="1">IF(ISNUMBER(MATCH(DATEVALUE($A262),'changes1_based on steps'!R$1:R$400,0)),R$2,)</f>
        <v>0</v>
      </c>
      <c r="S262" s="155">
        <f ca="1">IF(ISNUMBER(MATCH(DATEVALUE($A262),'changes1_based on steps'!S$1:S$400,0)),S$2,)</f>
        <v>0</v>
      </c>
      <c r="T262" s="155">
        <f ca="1">IF(ISNUMBER(MATCH(DATEVALUE($A262),'changes1_based on steps'!T$1:T$400,0)),T$2,)</f>
        <v>0</v>
      </c>
      <c r="U262" s="155">
        <f ca="1">IF(ISNUMBER(MATCH(DATEVALUE($A262),'changes1_based on steps'!U$1:U$400,0)),U$2,)</f>
        <v>0</v>
      </c>
    </row>
    <row r="263" spans="1:21" x14ac:dyDescent="0.2">
      <c r="A263" s="18" t="str">
        <f t="shared" ca="1" si="4"/>
        <v>2025-10-19</v>
      </c>
      <c r="B263" s="155">
        <f ca="1">IF(ISNUMBER(MATCH(DATEVALUE($A263),'changes1_based on steps'!B$1:B$400,0)),B$2,)</f>
        <v>0</v>
      </c>
      <c r="C263" s="155">
        <f ca="1">IF(ISNUMBER(MATCH(DATEVALUE($A263),'changes1_based on steps'!C$1:C$400,0)),C$2,)</f>
        <v>0</v>
      </c>
      <c r="D263" s="155">
        <f ca="1">IF(ISNUMBER(MATCH(DATEVALUE($A263),'changes1_based on steps'!D$1:D$400,0)),D$2,)</f>
        <v>0</v>
      </c>
      <c r="E263" s="155">
        <f ca="1">IF(ISNUMBER(MATCH(DATEVALUE($A263),'changes1_based on steps'!E$1:E$400,0)),E$2,)</f>
        <v>0</v>
      </c>
      <c r="F263" s="155">
        <f ca="1">IF(ISNUMBER(MATCH(DATEVALUE($A263),'changes1_based on steps'!F$1:F$400,0)),F$2,)</f>
        <v>0</v>
      </c>
      <c r="G263" s="155">
        <f ca="1">IF(ISNUMBER(MATCH(DATEVALUE($A263),'changes1_based on steps'!G$1:G$400,0)),G$2,)</f>
        <v>0</v>
      </c>
      <c r="H263" s="155">
        <f ca="1">IF(ISNUMBER(MATCH(DATEVALUE($A263),'changes1_based on steps'!H$1:H$400,0)),H$2,)</f>
        <v>0</v>
      </c>
      <c r="I263" s="155">
        <f ca="1">IF(ISNUMBER(MATCH(DATEVALUE($A263),'changes1_based on steps'!I$1:I$400,0)),I$2,)</f>
        <v>0</v>
      </c>
      <c r="J263" s="155">
        <f ca="1">IF(ISNUMBER(MATCH(DATEVALUE($A263),'changes1_based on steps'!J$1:J$400,0)),J$2,)</f>
        <v>0</v>
      </c>
      <c r="K263" s="155">
        <f ca="1">IF(ISNUMBER(MATCH(DATEVALUE($A263),'changes1_based on steps'!K$1:K$400,0)),K$2,)</f>
        <v>0</v>
      </c>
      <c r="L263" s="155">
        <f ca="1">IF(ISNUMBER(MATCH(DATEVALUE($A263),'changes1_based on steps'!L$1:L$400,0)),L$2,)</f>
        <v>0</v>
      </c>
      <c r="M263" s="155">
        <f ca="1">IF(ISNUMBER(MATCH(DATEVALUE($A263),'changes1_based on steps'!M$1:M$400,0)),M$2,)</f>
        <v>0</v>
      </c>
      <c r="N263" s="155">
        <f ca="1">IF(ISNUMBER(MATCH(DATEVALUE($A263),'changes1_based on steps'!N$1:N$400,0)),N$2,)</f>
        <v>0</v>
      </c>
      <c r="O263" s="155">
        <f ca="1">IF(ISNUMBER(MATCH(DATEVALUE($A263),'changes1_based on steps'!O$1:O$400,0)),O$2,)</f>
        <v>0</v>
      </c>
      <c r="P263" s="155">
        <f ca="1">IF(ISNUMBER(MATCH(DATEVALUE($A263),'changes1_based on steps'!P$1:P$400,0)),P$2,)</f>
        <v>0</v>
      </c>
      <c r="Q263" s="155">
        <f ca="1">IF(ISNUMBER(MATCH(DATEVALUE($A263),'changes1_based on steps'!Q$1:Q$400,0)),Q$2,)</f>
        <v>0</v>
      </c>
      <c r="R263" s="155">
        <f ca="1">IF(ISNUMBER(MATCH(DATEVALUE($A263),'changes1_based on steps'!R$1:R$400,0)),R$2,)</f>
        <v>0</v>
      </c>
      <c r="S263" s="155">
        <f ca="1">IF(ISNUMBER(MATCH(DATEVALUE($A263),'changes1_based on steps'!S$1:S$400,0)),S$2,)</f>
        <v>0</v>
      </c>
      <c r="T263" s="155">
        <f ca="1">IF(ISNUMBER(MATCH(DATEVALUE($A263),'changes1_based on steps'!T$1:T$400,0)),T$2,)</f>
        <v>0</v>
      </c>
      <c r="U263" s="155">
        <f ca="1">IF(ISNUMBER(MATCH(DATEVALUE($A263),'changes1_based on steps'!U$1:U$400,0)),U$2,)</f>
        <v>0</v>
      </c>
    </row>
    <row r="264" spans="1:21" x14ac:dyDescent="0.2">
      <c r="A264" s="18" t="str">
        <f t="shared" ca="1" si="4"/>
        <v>2025-10-20</v>
      </c>
      <c r="B264" s="155">
        <f ca="1">IF(ISNUMBER(MATCH(DATEVALUE($A264),'changes1_based on steps'!B$1:B$400,0)),B$2,)</f>
        <v>0</v>
      </c>
      <c r="C264" s="155">
        <f ca="1">IF(ISNUMBER(MATCH(DATEVALUE($A264),'changes1_based on steps'!C$1:C$400,0)),C$2,)</f>
        <v>0</v>
      </c>
      <c r="D264" s="155">
        <f ca="1">IF(ISNUMBER(MATCH(DATEVALUE($A264),'changes1_based on steps'!D$1:D$400,0)),D$2,)</f>
        <v>0</v>
      </c>
      <c r="E264" s="155">
        <f ca="1">IF(ISNUMBER(MATCH(DATEVALUE($A264),'changes1_based on steps'!E$1:E$400,0)),E$2,)</f>
        <v>0</v>
      </c>
      <c r="F264" s="155">
        <f ca="1">IF(ISNUMBER(MATCH(DATEVALUE($A264),'changes1_based on steps'!F$1:F$400,0)),F$2,)</f>
        <v>0</v>
      </c>
      <c r="G264" s="155">
        <f ca="1">IF(ISNUMBER(MATCH(DATEVALUE($A264),'changes1_based on steps'!G$1:G$400,0)),G$2,)</f>
        <v>0</v>
      </c>
      <c r="H264" s="155">
        <f ca="1">IF(ISNUMBER(MATCH(DATEVALUE($A264),'changes1_based on steps'!H$1:H$400,0)),H$2,)</f>
        <v>0</v>
      </c>
      <c r="I264" s="155">
        <f ca="1">IF(ISNUMBER(MATCH(DATEVALUE($A264),'changes1_based on steps'!I$1:I$400,0)),I$2,)</f>
        <v>0</v>
      </c>
      <c r="J264" s="155">
        <f ca="1">IF(ISNUMBER(MATCH(DATEVALUE($A264),'changes1_based on steps'!J$1:J$400,0)),J$2,)</f>
        <v>0</v>
      </c>
      <c r="K264" s="155">
        <f ca="1">IF(ISNUMBER(MATCH(DATEVALUE($A264),'changes1_based on steps'!K$1:K$400,0)),K$2,)</f>
        <v>0</v>
      </c>
      <c r="L264" s="155">
        <f ca="1">IF(ISNUMBER(MATCH(DATEVALUE($A264),'changes1_based on steps'!L$1:L$400,0)),L$2,)</f>
        <v>0</v>
      </c>
      <c r="M264" s="155">
        <f ca="1">IF(ISNUMBER(MATCH(DATEVALUE($A264),'changes1_based on steps'!M$1:M$400,0)),M$2,)</f>
        <v>0</v>
      </c>
      <c r="N264" s="155">
        <f ca="1">IF(ISNUMBER(MATCH(DATEVALUE($A264),'changes1_based on steps'!N$1:N$400,0)),N$2,)</f>
        <v>0</v>
      </c>
      <c r="O264" s="155">
        <f ca="1">IF(ISNUMBER(MATCH(DATEVALUE($A264),'changes1_based on steps'!O$1:O$400,0)),O$2,)</f>
        <v>0</v>
      </c>
      <c r="P264" s="155">
        <f ca="1">IF(ISNUMBER(MATCH(DATEVALUE($A264),'changes1_based on steps'!P$1:P$400,0)),P$2,)</f>
        <v>0</v>
      </c>
      <c r="Q264" s="155">
        <f ca="1">IF(ISNUMBER(MATCH(DATEVALUE($A264),'changes1_based on steps'!Q$1:Q$400,0)),Q$2,)</f>
        <v>0</v>
      </c>
      <c r="R264" s="155">
        <f ca="1">IF(ISNUMBER(MATCH(DATEVALUE($A264),'changes1_based on steps'!R$1:R$400,0)),R$2,)</f>
        <v>0</v>
      </c>
      <c r="S264" s="155">
        <f ca="1">IF(ISNUMBER(MATCH(DATEVALUE($A264),'changes1_based on steps'!S$1:S$400,0)),S$2,)</f>
        <v>0</v>
      </c>
      <c r="T264" s="155">
        <f ca="1">IF(ISNUMBER(MATCH(DATEVALUE($A264),'changes1_based on steps'!T$1:T$400,0)),T$2,)</f>
        <v>0</v>
      </c>
      <c r="U264" s="155">
        <f ca="1">IF(ISNUMBER(MATCH(DATEVALUE($A264),'changes1_based on steps'!U$1:U$400,0)),U$2,)</f>
        <v>0</v>
      </c>
    </row>
    <row r="265" spans="1:21" x14ac:dyDescent="0.2">
      <c r="A265" s="18" t="str">
        <f t="shared" ca="1" si="4"/>
        <v>2025-10-21</v>
      </c>
      <c r="B265" s="155">
        <f ca="1">IF(ISNUMBER(MATCH(DATEVALUE($A265),'changes1_based on steps'!B$1:B$400,0)),B$2,)</f>
        <v>0</v>
      </c>
      <c r="C265" s="155">
        <f ca="1">IF(ISNUMBER(MATCH(DATEVALUE($A265),'changes1_based on steps'!C$1:C$400,0)),C$2,)</f>
        <v>0</v>
      </c>
      <c r="D265" s="155">
        <f ca="1">IF(ISNUMBER(MATCH(DATEVALUE($A265),'changes1_based on steps'!D$1:D$400,0)),D$2,)</f>
        <v>0</v>
      </c>
      <c r="E265" s="155">
        <f ca="1">IF(ISNUMBER(MATCH(DATEVALUE($A265),'changes1_based on steps'!E$1:E$400,0)),E$2,)</f>
        <v>0</v>
      </c>
      <c r="F265" s="155">
        <f ca="1">IF(ISNUMBER(MATCH(DATEVALUE($A265),'changes1_based on steps'!F$1:F$400,0)),F$2,)</f>
        <v>0</v>
      </c>
      <c r="G265" s="155">
        <f ca="1">IF(ISNUMBER(MATCH(DATEVALUE($A265),'changes1_based on steps'!G$1:G$400,0)),G$2,)</f>
        <v>0</v>
      </c>
      <c r="H265" s="155">
        <f ca="1">IF(ISNUMBER(MATCH(DATEVALUE($A265),'changes1_based on steps'!H$1:H$400,0)),H$2,)</f>
        <v>0</v>
      </c>
      <c r="I265" s="155">
        <f ca="1">IF(ISNUMBER(MATCH(DATEVALUE($A265),'changes1_based on steps'!I$1:I$400,0)),I$2,)</f>
        <v>0</v>
      </c>
      <c r="J265" s="155">
        <f ca="1">IF(ISNUMBER(MATCH(DATEVALUE($A265),'changes1_based on steps'!J$1:J$400,0)),J$2,)</f>
        <v>0</v>
      </c>
      <c r="K265" s="155">
        <f ca="1">IF(ISNUMBER(MATCH(DATEVALUE($A265),'changes1_based on steps'!K$1:K$400,0)),K$2,)</f>
        <v>0</v>
      </c>
      <c r="L265" s="155">
        <f ca="1">IF(ISNUMBER(MATCH(DATEVALUE($A265),'changes1_based on steps'!L$1:L$400,0)),L$2,)</f>
        <v>0</v>
      </c>
      <c r="M265" s="155">
        <f ca="1">IF(ISNUMBER(MATCH(DATEVALUE($A265),'changes1_based on steps'!M$1:M$400,0)),M$2,)</f>
        <v>0</v>
      </c>
      <c r="N265" s="155">
        <f ca="1">IF(ISNUMBER(MATCH(DATEVALUE($A265),'changes1_based on steps'!N$1:N$400,0)),N$2,)</f>
        <v>0</v>
      </c>
      <c r="O265" s="155">
        <f ca="1">IF(ISNUMBER(MATCH(DATEVALUE($A265),'changes1_based on steps'!O$1:O$400,0)),O$2,)</f>
        <v>0</v>
      </c>
      <c r="P265" s="155">
        <f ca="1">IF(ISNUMBER(MATCH(DATEVALUE($A265),'changes1_based on steps'!P$1:P$400,0)),P$2,)</f>
        <v>0</v>
      </c>
      <c r="Q265" s="155">
        <f ca="1">IF(ISNUMBER(MATCH(DATEVALUE($A265),'changes1_based on steps'!Q$1:Q$400,0)),Q$2,)</f>
        <v>0</v>
      </c>
      <c r="R265" s="155">
        <f ca="1">IF(ISNUMBER(MATCH(DATEVALUE($A265),'changes1_based on steps'!R$1:R$400,0)),R$2,)</f>
        <v>0</v>
      </c>
      <c r="S265" s="155">
        <f ca="1">IF(ISNUMBER(MATCH(DATEVALUE($A265),'changes1_based on steps'!S$1:S$400,0)),S$2,)</f>
        <v>0</v>
      </c>
      <c r="T265" s="155">
        <f ca="1">IF(ISNUMBER(MATCH(DATEVALUE($A265),'changes1_based on steps'!T$1:T$400,0)),T$2,)</f>
        <v>0</v>
      </c>
      <c r="U265" s="155">
        <f ca="1">IF(ISNUMBER(MATCH(DATEVALUE($A265),'changes1_based on steps'!U$1:U$400,0)),U$2,)</f>
        <v>0</v>
      </c>
    </row>
    <row r="266" spans="1:21" x14ac:dyDescent="0.2">
      <c r="A266" s="18" t="str">
        <f t="shared" ca="1" si="4"/>
        <v>2025-10-22</v>
      </c>
      <c r="B266" s="155">
        <f ca="1">IF(ISNUMBER(MATCH(DATEVALUE($A266),'changes1_based on steps'!B$1:B$400,0)),B$2,)</f>
        <v>100</v>
      </c>
      <c r="C266" s="155">
        <f ca="1">IF(ISNUMBER(MATCH(DATEVALUE($A266),'changes1_based on steps'!C$1:C$400,0)),C$2,)</f>
        <v>0</v>
      </c>
      <c r="D266" s="155">
        <f ca="1">IF(ISNUMBER(MATCH(DATEVALUE($A266),'changes1_based on steps'!D$1:D$400,0)),D$2,)</f>
        <v>0</v>
      </c>
      <c r="E266" s="155">
        <f ca="1">IF(ISNUMBER(MATCH(DATEVALUE($A266),'changes1_based on steps'!E$1:E$400,0)),E$2,)</f>
        <v>0</v>
      </c>
      <c r="F266" s="155">
        <f ca="1">IF(ISNUMBER(MATCH(DATEVALUE($A266),'changes1_based on steps'!F$1:F$400,0)),F$2,)</f>
        <v>0</v>
      </c>
      <c r="G266" s="155">
        <f ca="1">IF(ISNUMBER(MATCH(DATEVALUE($A266),'changes1_based on steps'!G$1:G$400,0)),G$2,)</f>
        <v>0</v>
      </c>
      <c r="H266" s="155">
        <f ca="1">IF(ISNUMBER(MATCH(DATEVALUE($A266),'changes1_based on steps'!H$1:H$400,0)),H$2,)</f>
        <v>0</v>
      </c>
      <c r="I266" s="155">
        <f ca="1">IF(ISNUMBER(MATCH(DATEVALUE($A266),'changes1_based on steps'!I$1:I$400,0)),I$2,)</f>
        <v>0</v>
      </c>
      <c r="J266" s="155">
        <f ca="1">IF(ISNUMBER(MATCH(DATEVALUE($A266),'changes1_based on steps'!J$1:J$400,0)),J$2,)</f>
        <v>0</v>
      </c>
      <c r="K266" s="155">
        <f ca="1">IF(ISNUMBER(MATCH(DATEVALUE($A266),'changes1_based on steps'!K$1:K$400,0)),K$2,)</f>
        <v>0</v>
      </c>
      <c r="L266" s="155">
        <f ca="1">IF(ISNUMBER(MATCH(DATEVALUE($A266),'changes1_based on steps'!L$1:L$400,0)),L$2,)</f>
        <v>0</v>
      </c>
      <c r="M266" s="155">
        <f ca="1">IF(ISNUMBER(MATCH(DATEVALUE($A266),'changes1_based on steps'!M$1:M$400,0)),M$2,)</f>
        <v>0</v>
      </c>
      <c r="N266" s="155">
        <f ca="1">IF(ISNUMBER(MATCH(DATEVALUE($A266),'changes1_based on steps'!N$1:N$400,0)),N$2,)</f>
        <v>0</v>
      </c>
      <c r="O266" s="155">
        <f ca="1">IF(ISNUMBER(MATCH(DATEVALUE($A266),'changes1_based on steps'!O$1:O$400,0)),O$2,)</f>
        <v>0</v>
      </c>
      <c r="P266" s="155">
        <f ca="1">IF(ISNUMBER(MATCH(DATEVALUE($A266),'changes1_based on steps'!P$1:P$400,0)),P$2,)</f>
        <v>0</v>
      </c>
      <c r="Q266" s="155">
        <f ca="1">IF(ISNUMBER(MATCH(DATEVALUE($A266),'changes1_based on steps'!Q$1:Q$400,0)),Q$2,)</f>
        <v>0</v>
      </c>
      <c r="R266" s="155">
        <f ca="1">IF(ISNUMBER(MATCH(DATEVALUE($A266),'changes1_based on steps'!R$1:R$400,0)),R$2,)</f>
        <v>0</v>
      </c>
      <c r="S266" s="155">
        <f ca="1">IF(ISNUMBER(MATCH(DATEVALUE($A266),'changes1_based on steps'!S$1:S$400,0)),S$2,)</f>
        <v>0</v>
      </c>
      <c r="T266" s="155">
        <f ca="1">IF(ISNUMBER(MATCH(DATEVALUE($A266),'changes1_based on steps'!T$1:T$400,0)),T$2,)</f>
        <v>0</v>
      </c>
      <c r="U266" s="155">
        <f ca="1">IF(ISNUMBER(MATCH(DATEVALUE($A266),'changes1_based on steps'!U$1:U$400,0)),U$2,)</f>
        <v>0</v>
      </c>
    </row>
    <row r="267" spans="1:21" x14ac:dyDescent="0.2">
      <c r="A267" s="18" t="str">
        <f t="shared" ca="1" si="4"/>
        <v>2025-10-23</v>
      </c>
      <c r="B267" s="155">
        <f ca="1">IF(ISNUMBER(MATCH(DATEVALUE($A267),'changes1_based on steps'!B$1:B$400,0)),B$2,)</f>
        <v>0</v>
      </c>
      <c r="C267" s="155">
        <f ca="1">IF(ISNUMBER(MATCH(DATEVALUE($A267),'changes1_based on steps'!C$1:C$400,0)),C$2,)</f>
        <v>0</v>
      </c>
      <c r="D267" s="155">
        <f ca="1">IF(ISNUMBER(MATCH(DATEVALUE($A267),'changes1_based on steps'!D$1:D$400,0)),D$2,)</f>
        <v>0</v>
      </c>
      <c r="E267" s="155">
        <f ca="1">IF(ISNUMBER(MATCH(DATEVALUE($A267),'changes1_based on steps'!E$1:E$400,0)),E$2,)</f>
        <v>0</v>
      </c>
      <c r="F267" s="155">
        <f ca="1">IF(ISNUMBER(MATCH(DATEVALUE($A267),'changes1_based on steps'!F$1:F$400,0)),F$2,)</f>
        <v>0</v>
      </c>
      <c r="G267" s="155">
        <f ca="1">IF(ISNUMBER(MATCH(DATEVALUE($A267),'changes1_based on steps'!G$1:G$400,0)),G$2,)</f>
        <v>0</v>
      </c>
      <c r="H267" s="155">
        <f ca="1">IF(ISNUMBER(MATCH(DATEVALUE($A267),'changes1_based on steps'!H$1:H$400,0)),H$2,)</f>
        <v>0</v>
      </c>
      <c r="I267" s="155">
        <f ca="1">IF(ISNUMBER(MATCH(DATEVALUE($A267),'changes1_based on steps'!I$1:I$400,0)),I$2,)</f>
        <v>0</v>
      </c>
      <c r="J267" s="155">
        <f ca="1">IF(ISNUMBER(MATCH(DATEVALUE($A267),'changes1_based on steps'!J$1:J$400,0)),J$2,)</f>
        <v>0</v>
      </c>
      <c r="K267" s="155">
        <f ca="1">IF(ISNUMBER(MATCH(DATEVALUE($A267),'changes1_based on steps'!K$1:K$400,0)),K$2,)</f>
        <v>0</v>
      </c>
      <c r="L267" s="155">
        <f ca="1">IF(ISNUMBER(MATCH(DATEVALUE($A267),'changes1_based on steps'!L$1:L$400,0)),L$2,)</f>
        <v>0</v>
      </c>
      <c r="M267" s="155">
        <f ca="1">IF(ISNUMBER(MATCH(DATEVALUE($A267),'changes1_based on steps'!M$1:M$400,0)),M$2,)</f>
        <v>0</v>
      </c>
      <c r="N267" s="155">
        <f ca="1">IF(ISNUMBER(MATCH(DATEVALUE($A267),'changes1_based on steps'!N$1:N$400,0)),N$2,)</f>
        <v>0</v>
      </c>
      <c r="O267" s="155">
        <f ca="1">IF(ISNUMBER(MATCH(DATEVALUE($A267),'changes1_based on steps'!O$1:O$400,0)),O$2,)</f>
        <v>0</v>
      </c>
      <c r="P267" s="155">
        <f ca="1">IF(ISNUMBER(MATCH(DATEVALUE($A267),'changes1_based on steps'!P$1:P$400,0)),P$2,)</f>
        <v>0</v>
      </c>
      <c r="Q267" s="155">
        <f ca="1">IF(ISNUMBER(MATCH(DATEVALUE($A267),'changes1_based on steps'!Q$1:Q$400,0)),Q$2,)</f>
        <v>0</v>
      </c>
      <c r="R267" s="155">
        <f ca="1">IF(ISNUMBER(MATCH(DATEVALUE($A267),'changes1_based on steps'!R$1:R$400,0)),R$2,)</f>
        <v>0</v>
      </c>
      <c r="S267" s="155">
        <f ca="1">IF(ISNUMBER(MATCH(DATEVALUE($A267),'changes1_based on steps'!S$1:S$400,0)),S$2,)</f>
        <v>0</v>
      </c>
      <c r="T267" s="155">
        <f ca="1">IF(ISNUMBER(MATCH(DATEVALUE($A267),'changes1_based on steps'!T$1:T$400,0)),T$2,)</f>
        <v>0</v>
      </c>
      <c r="U267" s="155">
        <f ca="1">IF(ISNUMBER(MATCH(DATEVALUE($A267),'changes1_based on steps'!U$1:U$400,0)),U$2,)</f>
        <v>0</v>
      </c>
    </row>
    <row r="268" spans="1:21" x14ac:dyDescent="0.2">
      <c r="A268" s="18" t="str">
        <f t="shared" ca="1" si="4"/>
        <v>2025-10-24</v>
      </c>
      <c r="B268" s="155">
        <f ca="1">IF(ISNUMBER(MATCH(DATEVALUE($A268),'changes1_based on steps'!B$1:B$400,0)),B$2,)</f>
        <v>0</v>
      </c>
      <c r="C268" s="155">
        <f ca="1">IF(ISNUMBER(MATCH(DATEVALUE($A268),'changes1_based on steps'!C$1:C$400,0)),C$2,)</f>
        <v>0</v>
      </c>
      <c r="D268" s="155">
        <f ca="1">IF(ISNUMBER(MATCH(DATEVALUE($A268),'changes1_based on steps'!D$1:D$400,0)),D$2,)</f>
        <v>0</v>
      </c>
      <c r="E268" s="155">
        <f ca="1">IF(ISNUMBER(MATCH(DATEVALUE($A268),'changes1_based on steps'!E$1:E$400,0)),E$2,)</f>
        <v>0</v>
      </c>
      <c r="F268" s="155">
        <f ca="1">IF(ISNUMBER(MATCH(DATEVALUE($A268),'changes1_based on steps'!F$1:F$400,0)),F$2,)</f>
        <v>0</v>
      </c>
      <c r="G268" s="155">
        <f ca="1">IF(ISNUMBER(MATCH(DATEVALUE($A268),'changes1_based on steps'!G$1:G$400,0)),G$2,)</f>
        <v>0</v>
      </c>
      <c r="H268" s="155">
        <f ca="1">IF(ISNUMBER(MATCH(DATEVALUE($A268),'changes1_based on steps'!H$1:H$400,0)),H$2,)</f>
        <v>0</v>
      </c>
      <c r="I268" s="155">
        <f ca="1">IF(ISNUMBER(MATCH(DATEVALUE($A268),'changes1_based on steps'!I$1:I$400,0)),I$2,)</f>
        <v>0</v>
      </c>
      <c r="J268" s="155">
        <f ca="1">IF(ISNUMBER(MATCH(DATEVALUE($A268),'changes1_based on steps'!J$1:J$400,0)),J$2,)</f>
        <v>0</v>
      </c>
      <c r="K268" s="155">
        <f ca="1">IF(ISNUMBER(MATCH(DATEVALUE($A268),'changes1_based on steps'!K$1:K$400,0)),K$2,)</f>
        <v>0</v>
      </c>
      <c r="L268" s="155">
        <f ca="1">IF(ISNUMBER(MATCH(DATEVALUE($A268),'changes1_based on steps'!L$1:L$400,0)),L$2,)</f>
        <v>0</v>
      </c>
      <c r="M268" s="155">
        <f ca="1">IF(ISNUMBER(MATCH(DATEVALUE($A268),'changes1_based on steps'!M$1:M$400,0)),M$2,)</f>
        <v>0</v>
      </c>
      <c r="N268" s="155">
        <f ca="1">IF(ISNUMBER(MATCH(DATEVALUE($A268),'changes1_based on steps'!N$1:N$400,0)),N$2,)</f>
        <v>0</v>
      </c>
      <c r="O268" s="155">
        <f ca="1">IF(ISNUMBER(MATCH(DATEVALUE($A268),'changes1_based on steps'!O$1:O$400,0)),O$2,)</f>
        <v>0</v>
      </c>
      <c r="P268" s="155">
        <f ca="1">IF(ISNUMBER(MATCH(DATEVALUE($A268),'changes1_based on steps'!P$1:P$400,0)),P$2,)</f>
        <v>0</v>
      </c>
      <c r="Q268" s="155">
        <f ca="1">IF(ISNUMBER(MATCH(DATEVALUE($A268),'changes1_based on steps'!Q$1:Q$400,0)),Q$2,)</f>
        <v>0</v>
      </c>
      <c r="R268" s="155">
        <f ca="1">IF(ISNUMBER(MATCH(DATEVALUE($A268),'changes1_based on steps'!R$1:R$400,0)),R$2,)</f>
        <v>0</v>
      </c>
      <c r="S268" s="155">
        <f ca="1">IF(ISNUMBER(MATCH(DATEVALUE($A268),'changes1_based on steps'!S$1:S$400,0)),S$2,)</f>
        <v>0</v>
      </c>
      <c r="T268" s="155">
        <f ca="1">IF(ISNUMBER(MATCH(DATEVALUE($A268),'changes1_based on steps'!T$1:T$400,0)),T$2,)</f>
        <v>0</v>
      </c>
      <c r="U268" s="155">
        <f ca="1">IF(ISNUMBER(MATCH(DATEVALUE($A268),'changes1_based on steps'!U$1:U$400,0)),U$2,)</f>
        <v>0</v>
      </c>
    </row>
    <row r="269" spans="1:21" x14ac:dyDescent="0.2">
      <c r="A269" s="18" t="str">
        <f t="shared" ca="1" si="4"/>
        <v>2025-10-25</v>
      </c>
      <c r="B269" s="155">
        <f ca="1">IF(ISNUMBER(MATCH(DATEVALUE($A269),'changes1_based on steps'!B$1:B$400,0)),B$2,)</f>
        <v>0</v>
      </c>
      <c r="C269" s="155">
        <f ca="1">IF(ISNUMBER(MATCH(DATEVALUE($A269),'changes1_based on steps'!C$1:C$400,0)),C$2,)</f>
        <v>0</v>
      </c>
      <c r="D269" s="155">
        <f ca="1">IF(ISNUMBER(MATCH(DATEVALUE($A269),'changes1_based on steps'!D$1:D$400,0)),D$2,)</f>
        <v>0</v>
      </c>
      <c r="E269" s="155">
        <f ca="1">IF(ISNUMBER(MATCH(DATEVALUE($A269),'changes1_based on steps'!E$1:E$400,0)),E$2,)</f>
        <v>0</v>
      </c>
      <c r="F269" s="155">
        <f ca="1">IF(ISNUMBER(MATCH(DATEVALUE($A269),'changes1_based on steps'!F$1:F$400,0)),F$2,)</f>
        <v>0</v>
      </c>
      <c r="G269" s="155">
        <f ca="1">IF(ISNUMBER(MATCH(DATEVALUE($A269),'changes1_based on steps'!G$1:G$400,0)),G$2,)</f>
        <v>0</v>
      </c>
      <c r="H269" s="155">
        <f ca="1">IF(ISNUMBER(MATCH(DATEVALUE($A269),'changes1_based on steps'!H$1:H$400,0)),H$2,)</f>
        <v>0</v>
      </c>
      <c r="I269" s="155">
        <f ca="1">IF(ISNUMBER(MATCH(DATEVALUE($A269),'changes1_based on steps'!I$1:I$400,0)),I$2,)</f>
        <v>0</v>
      </c>
      <c r="J269" s="155">
        <f ca="1">IF(ISNUMBER(MATCH(DATEVALUE($A269),'changes1_based on steps'!J$1:J$400,0)),J$2,)</f>
        <v>0</v>
      </c>
      <c r="K269" s="155">
        <f ca="1">IF(ISNUMBER(MATCH(DATEVALUE($A269),'changes1_based on steps'!K$1:K$400,0)),K$2,)</f>
        <v>0</v>
      </c>
      <c r="L269" s="155">
        <f ca="1">IF(ISNUMBER(MATCH(DATEVALUE($A269),'changes1_based on steps'!L$1:L$400,0)),L$2,)</f>
        <v>0</v>
      </c>
      <c r="M269" s="155">
        <f ca="1">IF(ISNUMBER(MATCH(DATEVALUE($A269),'changes1_based on steps'!M$1:M$400,0)),M$2,)</f>
        <v>0</v>
      </c>
      <c r="N269" s="155">
        <f ca="1">IF(ISNUMBER(MATCH(DATEVALUE($A269),'changes1_based on steps'!N$1:N$400,0)),N$2,)</f>
        <v>0</v>
      </c>
      <c r="O269" s="155">
        <f ca="1">IF(ISNUMBER(MATCH(DATEVALUE($A269),'changes1_based on steps'!O$1:O$400,0)),O$2,)</f>
        <v>0</v>
      </c>
      <c r="P269" s="155">
        <f ca="1">IF(ISNUMBER(MATCH(DATEVALUE($A269),'changes1_based on steps'!P$1:P$400,0)),P$2,)</f>
        <v>0</v>
      </c>
      <c r="Q269" s="155">
        <f ca="1">IF(ISNUMBER(MATCH(DATEVALUE($A269),'changes1_based on steps'!Q$1:Q$400,0)),Q$2,)</f>
        <v>0</v>
      </c>
      <c r="R269" s="155">
        <f ca="1">IF(ISNUMBER(MATCH(DATEVALUE($A269),'changes1_based on steps'!R$1:R$400,0)),R$2,)</f>
        <v>0</v>
      </c>
      <c r="S269" s="155">
        <f ca="1">IF(ISNUMBER(MATCH(DATEVALUE($A269),'changes1_based on steps'!S$1:S$400,0)),S$2,)</f>
        <v>0</v>
      </c>
      <c r="T269" s="155">
        <f ca="1">IF(ISNUMBER(MATCH(DATEVALUE($A269),'changes1_based on steps'!T$1:T$400,0)),T$2,)</f>
        <v>0</v>
      </c>
      <c r="U269" s="155">
        <f ca="1">IF(ISNUMBER(MATCH(DATEVALUE($A269),'changes1_based on steps'!U$1:U$400,0)),U$2,)</f>
        <v>0</v>
      </c>
    </row>
    <row r="270" spans="1:21" x14ac:dyDescent="0.2">
      <c r="A270" s="18" t="str">
        <f t="shared" ca="1" si="4"/>
        <v>2025-10-26</v>
      </c>
      <c r="B270" s="155">
        <f ca="1">IF(ISNUMBER(MATCH(DATEVALUE($A270),'changes1_based on steps'!B$1:B$400,0)),B$2,)</f>
        <v>0</v>
      </c>
      <c r="C270" s="155">
        <f ca="1">IF(ISNUMBER(MATCH(DATEVALUE($A270),'changes1_based on steps'!C$1:C$400,0)),C$2,)</f>
        <v>0</v>
      </c>
      <c r="D270" s="155">
        <f ca="1">IF(ISNUMBER(MATCH(DATEVALUE($A270),'changes1_based on steps'!D$1:D$400,0)),D$2,)</f>
        <v>0</v>
      </c>
      <c r="E270" s="155">
        <f ca="1">IF(ISNUMBER(MATCH(DATEVALUE($A270),'changes1_based on steps'!E$1:E$400,0)),E$2,)</f>
        <v>0</v>
      </c>
      <c r="F270" s="155">
        <f ca="1">IF(ISNUMBER(MATCH(DATEVALUE($A270),'changes1_based on steps'!F$1:F$400,0)),F$2,)</f>
        <v>0</v>
      </c>
      <c r="G270" s="155">
        <f ca="1">IF(ISNUMBER(MATCH(DATEVALUE($A270),'changes1_based on steps'!G$1:G$400,0)),G$2,)</f>
        <v>0</v>
      </c>
      <c r="H270" s="155">
        <f ca="1">IF(ISNUMBER(MATCH(DATEVALUE($A270),'changes1_based on steps'!H$1:H$400,0)),H$2,)</f>
        <v>0</v>
      </c>
      <c r="I270" s="155">
        <f ca="1">IF(ISNUMBER(MATCH(DATEVALUE($A270),'changes1_based on steps'!I$1:I$400,0)),I$2,)</f>
        <v>0</v>
      </c>
      <c r="J270" s="155">
        <f ca="1">IF(ISNUMBER(MATCH(DATEVALUE($A270),'changes1_based on steps'!J$1:J$400,0)),J$2,)</f>
        <v>0</v>
      </c>
      <c r="K270" s="155">
        <f ca="1">IF(ISNUMBER(MATCH(DATEVALUE($A270),'changes1_based on steps'!K$1:K$400,0)),K$2,)</f>
        <v>0</v>
      </c>
      <c r="L270" s="155">
        <f ca="1">IF(ISNUMBER(MATCH(DATEVALUE($A270),'changes1_based on steps'!L$1:L$400,0)),L$2,)</f>
        <v>0</v>
      </c>
      <c r="M270" s="155">
        <f ca="1">IF(ISNUMBER(MATCH(DATEVALUE($A270),'changes1_based on steps'!M$1:M$400,0)),M$2,)</f>
        <v>0</v>
      </c>
      <c r="N270" s="155">
        <f ca="1">IF(ISNUMBER(MATCH(DATEVALUE($A270),'changes1_based on steps'!N$1:N$400,0)),N$2,)</f>
        <v>0</v>
      </c>
      <c r="O270" s="155">
        <f ca="1">IF(ISNUMBER(MATCH(DATEVALUE($A270),'changes1_based on steps'!O$1:O$400,0)),O$2,)</f>
        <v>0</v>
      </c>
      <c r="P270" s="155">
        <f ca="1">IF(ISNUMBER(MATCH(DATEVALUE($A270),'changes1_based on steps'!P$1:P$400,0)),P$2,)</f>
        <v>0</v>
      </c>
      <c r="Q270" s="155">
        <f ca="1">IF(ISNUMBER(MATCH(DATEVALUE($A270),'changes1_based on steps'!Q$1:Q$400,0)),Q$2,)</f>
        <v>0</v>
      </c>
      <c r="R270" s="155">
        <f ca="1">IF(ISNUMBER(MATCH(DATEVALUE($A270),'changes1_based on steps'!R$1:R$400,0)),R$2,)</f>
        <v>0</v>
      </c>
      <c r="S270" s="155">
        <f ca="1">IF(ISNUMBER(MATCH(DATEVALUE($A270),'changes1_based on steps'!S$1:S$400,0)),S$2,)</f>
        <v>0</v>
      </c>
      <c r="T270" s="155">
        <f ca="1">IF(ISNUMBER(MATCH(DATEVALUE($A270),'changes1_based on steps'!T$1:T$400,0)),T$2,)</f>
        <v>0</v>
      </c>
      <c r="U270" s="155">
        <f ca="1">IF(ISNUMBER(MATCH(DATEVALUE($A270),'changes1_based on steps'!U$1:U$400,0)),U$2,)</f>
        <v>0</v>
      </c>
    </row>
    <row r="271" spans="1:21" x14ac:dyDescent="0.2">
      <c r="A271" s="18" t="str">
        <f t="shared" ca="1" si="4"/>
        <v>2025-10-27</v>
      </c>
      <c r="B271" s="155">
        <f ca="1">IF(ISNUMBER(MATCH(DATEVALUE($A271),'changes1_based on steps'!B$1:B$400,0)),B$2,)</f>
        <v>0</v>
      </c>
      <c r="C271" s="155">
        <f ca="1">IF(ISNUMBER(MATCH(DATEVALUE($A271),'changes1_based on steps'!C$1:C$400,0)),C$2,)</f>
        <v>0</v>
      </c>
      <c r="D271" s="155">
        <f ca="1">IF(ISNUMBER(MATCH(DATEVALUE($A271),'changes1_based on steps'!D$1:D$400,0)),D$2,)</f>
        <v>0</v>
      </c>
      <c r="E271" s="155">
        <f ca="1">IF(ISNUMBER(MATCH(DATEVALUE($A271),'changes1_based on steps'!E$1:E$400,0)),E$2,)</f>
        <v>0</v>
      </c>
      <c r="F271" s="155">
        <f ca="1">IF(ISNUMBER(MATCH(DATEVALUE($A271),'changes1_based on steps'!F$1:F$400,0)),F$2,)</f>
        <v>0</v>
      </c>
      <c r="G271" s="155">
        <f ca="1">IF(ISNUMBER(MATCH(DATEVALUE($A271),'changes1_based on steps'!G$1:G$400,0)),G$2,)</f>
        <v>0</v>
      </c>
      <c r="H271" s="155">
        <f ca="1">IF(ISNUMBER(MATCH(DATEVALUE($A271),'changes1_based on steps'!H$1:H$400,0)),H$2,)</f>
        <v>0</v>
      </c>
      <c r="I271" s="155">
        <f ca="1">IF(ISNUMBER(MATCH(DATEVALUE($A271),'changes1_based on steps'!I$1:I$400,0)),I$2,)</f>
        <v>0</v>
      </c>
      <c r="J271" s="155">
        <f ca="1">IF(ISNUMBER(MATCH(DATEVALUE($A271),'changes1_based on steps'!J$1:J$400,0)),J$2,)</f>
        <v>0</v>
      </c>
      <c r="K271" s="155">
        <f ca="1">IF(ISNUMBER(MATCH(DATEVALUE($A271),'changes1_based on steps'!K$1:K$400,0)),K$2,)</f>
        <v>0</v>
      </c>
      <c r="L271" s="155">
        <f ca="1">IF(ISNUMBER(MATCH(DATEVALUE($A271),'changes1_based on steps'!L$1:L$400,0)),L$2,)</f>
        <v>0</v>
      </c>
      <c r="M271" s="155">
        <f ca="1">IF(ISNUMBER(MATCH(DATEVALUE($A271),'changes1_based on steps'!M$1:M$400,0)),M$2,)</f>
        <v>0</v>
      </c>
      <c r="N271" s="155">
        <f ca="1">IF(ISNUMBER(MATCH(DATEVALUE($A271),'changes1_based on steps'!N$1:N$400,0)),N$2,)</f>
        <v>0</v>
      </c>
      <c r="O271" s="155">
        <f ca="1">IF(ISNUMBER(MATCH(DATEVALUE($A271),'changes1_based on steps'!O$1:O$400,0)),O$2,)</f>
        <v>0</v>
      </c>
      <c r="P271" s="155">
        <f ca="1">IF(ISNUMBER(MATCH(DATEVALUE($A271),'changes1_based on steps'!P$1:P$400,0)),P$2,)</f>
        <v>0</v>
      </c>
      <c r="Q271" s="155">
        <f ca="1">IF(ISNUMBER(MATCH(DATEVALUE($A271),'changes1_based on steps'!Q$1:Q$400,0)),Q$2,)</f>
        <v>0</v>
      </c>
      <c r="R271" s="155">
        <f ca="1">IF(ISNUMBER(MATCH(DATEVALUE($A271),'changes1_based on steps'!R$1:R$400,0)),R$2,)</f>
        <v>0</v>
      </c>
      <c r="S271" s="155">
        <f ca="1">IF(ISNUMBER(MATCH(DATEVALUE($A271),'changes1_based on steps'!S$1:S$400,0)),S$2,)</f>
        <v>0</v>
      </c>
      <c r="T271" s="155">
        <f ca="1">IF(ISNUMBER(MATCH(DATEVALUE($A271),'changes1_based on steps'!T$1:T$400,0)),T$2,)</f>
        <v>0</v>
      </c>
      <c r="U271" s="155">
        <f ca="1">IF(ISNUMBER(MATCH(DATEVALUE($A271),'changes1_based on steps'!U$1:U$400,0)),U$2,)</f>
        <v>0</v>
      </c>
    </row>
    <row r="272" spans="1:21" x14ac:dyDescent="0.2">
      <c r="A272" s="18" t="str">
        <f t="shared" ca="1" si="4"/>
        <v>2025-10-28</v>
      </c>
      <c r="B272" s="155">
        <f ca="1">IF(ISNUMBER(MATCH(DATEVALUE($A272),'changes1_based on steps'!B$1:B$400,0)),B$2,)</f>
        <v>0</v>
      </c>
      <c r="C272" s="155">
        <f ca="1">IF(ISNUMBER(MATCH(DATEVALUE($A272),'changes1_based on steps'!C$1:C$400,0)),C$2,)</f>
        <v>0</v>
      </c>
      <c r="D272" s="155">
        <f ca="1">IF(ISNUMBER(MATCH(DATEVALUE($A272),'changes1_based on steps'!D$1:D$400,0)),D$2,)</f>
        <v>0</v>
      </c>
      <c r="E272" s="155">
        <f ca="1">IF(ISNUMBER(MATCH(DATEVALUE($A272),'changes1_based on steps'!E$1:E$400,0)),E$2,)</f>
        <v>0</v>
      </c>
      <c r="F272" s="155">
        <f ca="1">IF(ISNUMBER(MATCH(DATEVALUE($A272),'changes1_based on steps'!F$1:F$400,0)),F$2,)</f>
        <v>0</v>
      </c>
      <c r="G272" s="155">
        <f ca="1">IF(ISNUMBER(MATCH(DATEVALUE($A272),'changes1_based on steps'!G$1:G$400,0)),G$2,)</f>
        <v>0</v>
      </c>
      <c r="H272" s="155">
        <f ca="1">IF(ISNUMBER(MATCH(DATEVALUE($A272),'changes1_based on steps'!H$1:H$400,0)),H$2,)</f>
        <v>0</v>
      </c>
      <c r="I272" s="155">
        <f ca="1">IF(ISNUMBER(MATCH(DATEVALUE($A272),'changes1_based on steps'!I$1:I$400,0)),I$2,)</f>
        <v>0</v>
      </c>
      <c r="J272" s="155">
        <f ca="1">IF(ISNUMBER(MATCH(DATEVALUE($A272),'changes1_based on steps'!J$1:J$400,0)),J$2,)</f>
        <v>0</v>
      </c>
      <c r="K272" s="155">
        <f ca="1">IF(ISNUMBER(MATCH(DATEVALUE($A272),'changes1_based on steps'!K$1:K$400,0)),K$2,)</f>
        <v>0</v>
      </c>
      <c r="L272" s="155">
        <f ca="1">IF(ISNUMBER(MATCH(DATEVALUE($A272),'changes1_based on steps'!L$1:L$400,0)),L$2,)</f>
        <v>0</v>
      </c>
      <c r="M272" s="155">
        <f ca="1">IF(ISNUMBER(MATCH(DATEVALUE($A272),'changes1_based on steps'!M$1:M$400,0)),M$2,)</f>
        <v>0</v>
      </c>
      <c r="N272" s="155">
        <f ca="1">IF(ISNUMBER(MATCH(DATEVALUE($A272),'changes1_based on steps'!N$1:N$400,0)),N$2,)</f>
        <v>0</v>
      </c>
      <c r="O272" s="155">
        <f ca="1">IF(ISNUMBER(MATCH(DATEVALUE($A272),'changes1_based on steps'!O$1:O$400,0)),O$2,)</f>
        <v>0</v>
      </c>
      <c r="P272" s="155">
        <f ca="1">IF(ISNUMBER(MATCH(DATEVALUE($A272),'changes1_based on steps'!P$1:P$400,0)),P$2,)</f>
        <v>0</v>
      </c>
      <c r="Q272" s="155">
        <f ca="1">IF(ISNUMBER(MATCH(DATEVALUE($A272),'changes1_based on steps'!Q$1:Q$400,0)),Q$2,)</f>
        <v>0</v>
      </c>
      <c r="R272" s="155">
        <f ca="1">IF(ISNUMBER(MATCH(DATEVALUE($A272),'changes1_based on steps'!R$1:R$400,0)),R$2,)</f>
        <v>0</v>
      </c>
      <c r="S272" s="155">
        <f ca="1">IF(ISNUMBER(MATCH(DATEVALUE($A272),'changes1_based on steps'!S$1:S$400,0)),S$2,)</f>
        <v>0</v>
      </c>
      <c r="T272" s="155">
        <f ca="1">IF(ISNUMBER(MATCH(DATEVALUE($A272),'changes1_based on steps'!T$1:T$400,0)),T$2,)</f>
        <v>0</v>
      </c>
      <c r="U272" s="155">
        <f ca="1">IF(ISNUMBER(MATCH(DATEVALUE($A272),'changes1_based on steps'!U$1:U$400,0)),U$2,)</f>
        <v>0</v>
      </c>
    </row>
    <row r="273" spans="1:21" x14ac:dyDescent="0.2">
      <c r="A273" s="18" t="str">
        <f t="shared" ca="1" si="4"/>
        <v>2025-10-29</v>
      </c>
      <c r="B273" s="155">
        <f ca="1">IF(ISNUMBER(MATCH(DATEVALUE($A273),'changes1_based on steps'!B$1:B$400,0)),B$2,)</f>
        <v>0</v>
      </c>
      <c r="C273" s="155">
        <f ca="1">IF(ISNUMBER(MATCH(DATEVALUE($A273),'changes1_based on steps'!C$1:C$400,0)),C$2,)</f>
        <v>0</v>
      </c>
      <c r="D273" s="155">
        <f ca="1">IF(ISNUMBER(MATCH(DATEVALUE($A273),'changes1_based on steps'!D$1:D$400,0)),D$2,)</f>
        <v>0</v>
      </c>
      <c r="E273" s="155">
        <f ca="1">IF(ISNUMBER(MATCH(DATEVALUE($A273),'changes1_based on steps'!E$1:E$400,0)),E$2,)</f>
        <v>0</v>
      </c>
      <c r="F273" s="155">
        <f ca="1">IF(ISNUMBER(MATCH(DATEVALUE($A273),'changes1_based on steps'!F$1:F$400,0)),F$2,)</f>
        <v>0</v>
      </c>
      <c r="G273" s="155">
        <f ca="1">IF(ISNUMBER(MATCH(DATEVALUE($A273),'changes1_based on steps'!G$1:G$400,0)),G$2,)</f>
        <v>0</v>
      </c>
      <c r="H273" s="155">
        <f ca="1">IF(ISNUMBER(MATCH(DATEVALUE($A273),'changes1_based on steps'!H$1:H$400,0)),H$2,)</f>
        <v>0</v>
      </c>
      <c r="I273" s="155">
        <f ca="1">IF(ISNUMBER(MATCH(DATEVALUE($A273),'changes1_based on steps'!I$1:I$400,0)),I$2,)</f>
        <v>0</v>
      </c>
      <c r="J273" s="155">
        <f ca="1">IF(ISNUMBER(MATCH(DATEVALUE($A273),'changes1_based on steps'!J$1:J$400,0)),J$2,)</f>
        <v>0</v>
      </c>
      <c r="K273" s="155">
        <f ca="1">IF(ISNUMBER(MATCH(DATEVALUE($A273),'changes1_based on steps'!K$1:K$400,0)),K$2,)</f>
        <v>0</v>
      </c>
      <c r="L273" s="155">
        <f ca="1">IF(ISNUMBER(MATCH(DATEVALUE($A273),'changes1_based on steps'!L$1:L$400,0)),L$2,)</f>
        <v>0</v>
      </c>
      <c r="M273" s="155">
        <f ca="1">IF(ISNUMBER(MATCH(DATEVALUE($A273),'changes1_based on steps'!M$1:M$400,0)),M$2,)</f>
        <v>0</v>
      </c>
      <c r="N273" s="155">
        <f ca="1">IF(ISNUMBER(MATCH(DATEVALUE($A273),'changes1_based on steps'!N$1:N$400,0)),N$2,)</f>
        <v>0</v>
      </c>
      <c r="O273" s="155">
        <f ca="1">IF(ISNUMBER(MATCH(DATEVALUE($A273),'changes1_based on steps'!O$1:O$400,0)),O$2,)</f>
        <v>0</v>
      </c>
      <c r="P273" s="155">
        <f ca="1">IF(ISNUMBER(MATCH(DATEVALUE($A273),'changes1_based on steps'!P$1:P$400,0)),P$2,)</f>
        <v>0</v>
      </c>
      <c r="Q273" s="155">
        <f ca="1">IF(ISNUMBER(MATCH(DATEVALUE($A273),'changes1_based on steps'!Q$1:Q$400,0)),Q$2,)</f>
        <v>0</v>
      </c>
      <c r="R273" s="155">
        <f ca="1">IF(ISNUMBER(MATCH(DATEVALUE($A273),'changes1_based on steps'!R$1:R$400,0)),R$2,)</f>
        <v>0</v>
      </c>
      <c r="S273" s="155">
        <f ca="1">IF(ISNUMBER(MATCH(DATEVALUE($A273),'changes1_based on steps'!S$1:S$400,0)),S$2,)</f>
        <v>0</v>
      </c>
      <c r="T273" s="155">
        <f ca="1">IF(ISNUMBER(MATCH(DATEVALUE($A273),'changes1_based on steps'!T$1:T$400,0)),T$2,)</f>
        <v>0</v>
      </c>
      <c r="U273" s="155">
        <f ca="1">IF(ISNUMBER(MATCH(DATEVALUE($A273),'changes1_based on steps'!U$1:U$400,0)),U$2,)</f>
        <v>0</v>
      </c>
    </row>
    <row r="274" spans="1:21" x14ac:dyDescent="0.2">
      <c r="A274" s="18" t="str">
        <f t="shared" ca="1" si="4"/>
        <v>2025-10-30</v>
      </c>
      <c r="B274" s="155">
        <f ca="1">IF(ISNUMBER(MATCH(DATEVALUE($A274),'changes1_based on steps'!B$1:B$400,0)),B$2,)</f>
        <v>0</v>
      </c>
      <c r="C274" s="155">
        <f ca="1">IF(ISNUMBER(MATCH(DATEVALUE($A274),'changes1_based on steps'!C$1:C$400,0)),C$2,)</f>
        <v>0</v>
      </c>
      <c r="D274" s="155">
        <f ca="1">IF(ISNUMBER(MATCH(DATEVALUE($A274),'changes1_based on steps'!D$1:D$400,0)),D$2,)</f>
        <v>0</v>
      </c>
      <c r="E274" s="155">
        <f ca="1">IF(ISNUMBER(MATCH(DATEVALUE($A274),'changes1_based on steps'!E$1:E$400,0)),E$2,)</f>
        <v>0</v>
      </c>
      <c r="F274" s="155">
        <f ca="1">IF(ISNUMBER(MATCH(DATEVALUE($A274),'changes1_based on steps'!F$1:F$400,0)),F$2,)</f>
        <v>0</v>
      </c>
      <c r="G274" s="155">
        <f ca="1">IF(ISNUMBER(MATCH(DATEVALUE($A274),'changes1_based on steps'!G$1:G$400,0)),G$2,)</f>
        <v>0</v>
      </c>
      <c r="H274" s="155">
        <f ca="1">IF(ISNUMBER(MATCH(DATEVALUE($A274),'changes1_based on steps'!H$1:H$400,0)),H$2,)</f>
        <v>0</v>
      </c>
      <c r="I274" s="155">
        <f ca="1">IF(ISNUMBER(MATCH(DATEVALUE($A274),'changes1_based on steps'!I$1:I$400,0)),I$2,)</f>
        <v>0</v>
      </c>
      <c r="J274" s="155">
        <f ca="1">IF(ISNUMBER(MATCH(DATEVALUE($A274),'changes1_based on steps'!J$1:J$400,0)),J$2,)</f>
        <v>0</v>
      </c>
      <c r="K274" s="155">
        <f ca="1">IF(ISNUMBER(MATCH(DATEVALUE($A274),'changes1_based on steps'!K$1:K$400,0)),K$2,)</f>
        <v>0</v>
      </c>
      <c r="L274" s="155">
        <f ca="1">IF(ISNUMBER(MATCH(DATEVALUE($A274),'changes1_based on steps'!L$1:L$400,0)),L$2,)</f>
        <v>0</v>
      </c>
      <c r="M274" s="155">
        <f ca="1">IF(ISNUMBER(MATCH(DATEVALUE($A274),'changes1_based on steps'!M$1:M$400,0)),M$2,)</f>
        <v>0</v>
      </c>
      <c r="N274" s="155">
        <f ca="1">IF(ISNUMBER(MATCH(DATEVALUE($A274),'changes1_based on steps'!N$1:N$400,0)),N$2,)</f>
        <v>0</v>
      </c>
      <c r="O274" s="155">
        <f ca="1">IF(ISNUMBER(MATCH(DATEVALUE($A274),'changes1_based on steps'!O$1:O$400,0)),O$2,)</f>
        <v>0</v>
      </c>
      <c r="P274" s="155">
        <f ca="1">IF(ISNUMBER(MATCH(DATEVALUE($A274),'changes1_based on steps'!P$1:P$400,0)),P$2,)</f>
        <v>0</v>
      </c>
      <c r="Q274" s="155">
        <f ca="1">IF(ISNUMBER(MATCH(DATEVALUE($A274),'changes1_based on steps'!Q$1:Q$400,0)),Q$2,)</f>
        <v>0</v>
      </c>
      <c r="R274" s="155">
        <f ca="1">IF(ISNUMBER(MATCH(DATEVALUE($A274),'changes1_based on steps'!R$1:R$400,0)),R$2,)</f>
        <v>0</v>
      </c>
      <c r="S274" s="155">
        <f ca="1">IF(ISNUMBER(MATCH(DATEVALUE($A274),'changes1_based on steps'!S$1:S$400,0)),S$2,)</f>
        <v>0</v>
      </c>
      <c r="T274" s="155">
        <f ca="1">IF(ISNUMBER(MATCH(DATEVALUE($A274),'changes1_based on steps'!T$1:T$400,0)),T$2,)</f>
        <v>0</v>
      </c>
      <c r="U274" s="155">
        <f ca="1">IF(ISNUMBER(MATCH(DATEVALUE($A274),'changes1_based on steps'!U$1:U$400,0)),U$2,)</f>
        <v>0</v>
      </c>
    </row>
    <row r="275" spans="1:21" x14ac:dyDescent="0.2">
      <c r="A275" s="18" t="str">
        <f t="shared" ca="1" si="4"/>
        <v>2025-10-31</v>
      </c>
      <c r="B275" s="155">
        <f ca="1">IF(ISNUMBER(MATCH(DATEVALUE($A275),'changes1_based on steps'!B$1:B$400,0)),B$2,)</f>
        <v>0</v>
      </c>
      <c r="C275" s="155">
        <f ca="1">IF(ISNUMBER(MATCH(DATEVALUE($A275),'changes1_based on steps'!C$1:C$400,0)),C$2,)</f>
        <v>50</v>
      </c>
      <c r="D275" s="155">
        <f ca="1">IF(ISNUMBER(MATCH(DATEVALUE($A275),'changes1_based on steps'!D$1:D$400,0)),D$2,)</f>
        <v>-100</v>
      </c>
      <c r="E275" s="155">
        <f ca="1">IF(ISNUMBER(MATCH(DATEVALUE($A275),'changes1_based on steps'!E$1:E$400,0)),E$2,)</f>
        <v>0</v>
      </c>
      <c r="F275" s="155">
        <f ca="1">IF(ISNUMBER(MATCH(DATEVALUE($A275),'changes1_based on steps'!F$1:F$400,0)),F$2,)</f>
        <v>0</v>
      </c>
      <c r="G275" s="155">
        <f ca="1">IF(ISNUMBER(MATCH(DATEVALUE($A275),'changes1_based on steps'!G$1:G$400,0)),G$2,)</f>
        <v>0</v>
      </c>
      <c r="H275" s="155">
        <f ca="1">IF(ISNUMBER(MATCH(DATEVALUE($A275),'changes1_based on steps'!H$1:H$400,0)),H$2,)</f>
        <v>0</v>
      </c>
      <c r="I275" s="155">
        <f ca="1">IF(ISNUMBER(MATCH(DATEVALUE($A275),'changes1_based on steps'!I$1:I$400,0)),I$2,)</f>
        <v>0</v>
      </c>
      <c r="J275" s="155">
        <f ca="1">IF(ISNUMBER(MATCH(DATEVALUE($A275),'changes1_based on steps'!J$1:J$400,0)),J$2,)</f>
        <v>0</v>
      </c>
      <c r="K275" s="155">
        <f ca="1">IF(ISNUMBER(MATCH(DATEVALUE($A275),'changes1_based on steps'!K$1:K$400,0)),K$2,)</f>
        <v>0</v>
      </c>
      <c r="L275" s="155">
        <f ca="1">IF(ISNUMBER(MATCH(DATEVALUE($A275),'changes1_based on steps'!L$1:L$400,0)),L$2,)</f>
        <v>0</v>
      </c>
      <c r="M275" s="155">
        <f ca="1">IF(ISNUMBER(MATCH(DATEVALUE($A275),'changes1_based on steps'!M$1:M$400,0)),M$2,)</f>
        <v>0</v>
      </c>
      <c r="N275" s="155">
        <f ca="1">IF(ISNUMBER(MATCH(DATEVALUE($A275),'changes1_based on steps'!N$1:N$400,0)),N$2,)</f>
        <v>0</v>
      </c>
      <c r="O275" s="155">
        <f ca="1">IF(ISNUMBER(MATCH(DATEVALUE($A275),'changes1_based on steps'!O$1:O$400,0)),O$2,)</f>
        <v>0</v>
      </c>
      <c r="P275" s="155">
        <f ca="1">IF(ISNUMBER(MATCH(DATEVALUE($A275),'changes1_based on steps'!P$1:P$400,0)),P$2,)</f>
        <v>0</v>
      </c>
      <c r="Q275" s="155">
        <f ca="1">IF(ISNUMBER(MATCH(DATEVALUE($A275),'changes1_based on steps'!Q$1:Q$400,0)),Q$2,)</f>
        <v>0</v>
      </c>
      <c r="R275" s="155">
        <f ca="1">IF(ISNUMBER(MATCH(DATEVALUE($A275),'changes1_based on steps'!R$1:R$400,0)),R$2,)</f>
        <v>0</v>
      </c>
      <c r="S275" s="155">
        <f ca="1">IF(ISNUMBER(MATCH(DATEVALUE($A275),'changes1_based on steps'!S$1:S$400,0)),S$2,)</f>
        <v>0</v>
      </c>
      <c r="T275" s="155">
        <f ca="1">IF(ISNUMBER(MATCH(DATEVALUE($A275),'changes1_based on steps'!T$1:T$400,0)),T$2,)</f>
        <v>0</v>
      </c>
      <c r="U275" s="155">
        <f ca="1">IF(ISNUMBER(MATCH(DATEVALUE($A275),'changes1_based on steps'!U$1:U$400,0)),U$2,)</f>
        <v>0</v>
      </c>
    </row>
    <row r="276" spans="1:21" x14ac:dyDescent="0.2">
      <c r="A276" s="18" t="str">
        <f t="shared" ca="1" si="4"/>
        <v>2025-11-01</v>
      </c>
      <c r="B276" s="155">
        <f ca="1">IF(ISNUMBER(MATCH(DATEVALUE($A276),'changes1_based on steps'!B$1:B$400,0)),B$2,)</f>
        <v>0</v>
      </c>
      <c r="C276" s="155">
        <f ca="1">IF(ISNUMBER(MATCH(DATEVALUE($A276),'changes1_based on steps'!C$1:C$400,0)),C$2,)</f>
        <v>0</v>
      </c>
      <c r="D276" s="155">
        <f ca="1">IF(ISNUMBER(MATCH(DATEVALUE($A276),'changes1_based on steps'!D$1:D$400,0)),D$2,)</f>
        <v>0</v>
      </c>
      <c r="E276" s="155">
        <f ca="1">IF(ISNUMBER(MATCH(DATEVALUE($A276),'changes1_based on steps'!E$1:E$400,0)),E$2,)</f>
        <v>0</v>
      </c>
      <c r="F276" s="155">
        <f ca="1">IF(ISNUMBER(MATCH(DATEVALUE($A276),'changes1_based on steps'!F$1:F$400,0)),F$2,)</f>
        <v>0</v>
      </c>
      <c r="G276" s="155">
        <f ca="1">IF(ISNUMBER(MATCH(DATEVALUE($A276),'changes1_based on steps'!G$1:G$400,0)),G$2,)</f>
        <v>0</v>
      </c>
      <c r="H276" s="155">
        <f ca="1">IF(ISNUMBER(MATCH(DATEVALUE($A276),'changes1_based on steps'!H$1:H$400,0)),H$2,)</f>
        <v>0</v>
      </c>
      <c r="I276" s="155">
        <f ca="1">IF(ISNUMBER(MATCH(DATEVALUE($A276),'changes1_based on steps'!I$1:I$400,0)),I$2,)</f>
        <v>0</v>
      </c>
      <c r="J276" s="155">
        <f ca="1">IF(ISNUMBER(MATCH(DATEVALUE($A276),'changes1_based on steps'!J$1:J$400,0)),J$2,)</f>
        <v>0</v>
      </c>
      <c r="K276" s="155">
        <f ca="1">IF(ISNUMBER(MATCH(DATEVALUE($A276),'changes1_based on steps'!K$1:K$400,0)),K$2,)</f>
        <v>0</v>
      </c>
      <c r="L276" s="155">
        <f ca="1">IF(ISNUMBER(MATCH(DATEVALUE($A276),'changes1_based on steps'!L$1:L$400,0)),L$2,)</f>
        <v>0</v>
      </c>
      <c r="M276" s="155">
        <f ca="1">IF(ISNUMBER(MATCH(DATEVALUE($A276),'changes1_based on steps'!M$1:M$400,0)),M$2,)</f>
        <v>0</v>
      </c>
      <c r="N276" s="155">
        <f ca="1">IF(ISNUMBER(MATCH(DATEVALUE($A276),'changes1_based on steps'!N$1:N$400,0)),N$2,)</f>
        <v>0</v>
      </c>
      <c r="O276" s="155">
        <f ca="1">IF(ISNUMBER(MATCH(DATEVALUE($A276),'changes1_based on steps'!O$1:O$400,0)),O$2,)</f>
        <v>0</v>
      </c>
      <c r="P276" s="155">
        <f ca="1">IF(ISNUMBER(MATCH(DATEVALUE($A276),'changes1_based on steps'!P$1:P$400,0)),P$2,)</f>
        <v>0</v>
      </c>
      <c r="Q276" s="155">
        <f ca="1">IF(ISNUMBER(MATCH(DATEVALUE($A276),'changes1_based on steps'!Q$1:Q$400,0)),Q$2,)</f>
        <v>0</v>
      </c>
      <c r="R276" s="155">
        <f ca="1">IF(ISNUMBER(MATCH(DATEVALUE($A276),'changes1_based on steps'!R$1:R$400,0)),R$2,)</f>
        <v>0</v>
      </c>
      <c r="S276" s="155">
        <f ca="1">IF(ISNUMBER(MATCH(DATEVALUE($A276),'changes1_based on steps'!S$1:S$400,0)),S$2,)</f>
        <v>0</v>
      </c>
      <c r="T276" s="155">
        <f ca="1">IF(ISNUMBER(MATCH(DATEVALUE($A276),'changes1_based on steps'!T$1:T$400,0)),T$2,)</f>
        <v>0</v>
      </c>
      <c r="U276" s="155">
        <f ca="1">IF(ISNUMBER(MATCH(DATEVALUE($A276),'changes1_based on steps'!U$1:U$400,0)),U$2,)</f>
        <v>0</v>
      </c>
    </row>
    <row r="277" spans="1:21" x14ac:dyDescent="0.2">
      <c r="A277" s="18" t="str">
        <f t="shared" ca="1" si="4"/>
        <v>2025-11-02</v>
      </c>
      <c r="B277" s="155">
        <f ca="1">IF(ISNUMBER(MATCH(DATEVALUE($A277),'changes1_based on steps'!B$1:B$400,0)),B$2,)</f>
        <v>0</v>
      </c>
      <c r="C277" s="155">
        <f ca="1">IF(ISNUMBER(MATCH(DATEVALUE($A277),'changes1_based on steps'!C$1:C$400,0)),C$2,)</f>
        <v>0</v>
      </c>
      <c r="D277" s="155">
        <f ca="1">IF(ISNUMBER(MATCH(DATEVALUE($A277),'changes1_based on steps'!D$1:D$400,0)),D$2,)</f>
        <v>0</v>
      </c>
      <c r="E277" s="155">
        <f ca="1">IF(ISNUMBER(MATCH(DATEVALUE($A277),'changes1_based on steps'!E$1:E$400,0)),E$2,)</f>
        <v>0</v>
      </c>
      <c r="F277" s="155">
        <f ca="1">IF(ISNUMBER(MATCH(DATEVALUE($A277),'changes1_based on steps'!F$1:F$400,0)),F$2,)</f>
        <v>0</v>
      </c>
      <c r="G277" s="155">
        <f ca="1">IF(ISNUMBER(MATCH(DATEVALUE($A277),'changes1_based on steps'!G$1:G$400,0)),G$2,)</f>
        <v>0</v>
      </c>
      <c r="H277" s="155">
        <f ca="1">IF(ISNUMBER(MATCH(DATEVALUE($A277),'changes1_based on steps'!H$1:H$400,0)),H$2,)</f>
        <v>0</v>
      </c>
      <c r="I277" s="155">
        <f ca="1">IF(ISNUMBER(MATCH(DATEVALUE($A277),'changes1_based on steps'!I$1:I$400,0)),I$2,)</f>
        <v>0</v>
      </c>
      <c r="J277" s="155">
        <f ca="1">IF(ISNUMBER(MATCH(DATEVALUE($A277),'changes1_based on steps'!J$1:J$400,0)),J$2,)</f>
        <v>0</v>
      </c>
      <c r="K277" s="155">
        <f ca="1">IF(ISNUMBER(MATCH(DATEVALUE($A277),'changes1_based on steps'!K$1:K$400,0)),K$2,)</f>
        <v>0</v>
      </c>
      <c r="L277" s="155">
        <f ca="1">IF(ISNUMBER(MATCH(DATEVALUE($A277),'changes1_based on steps'!L$1:L$400,0)),L$2,)</f>
        <v>0</v>
      </c>
      <c r="M277" s="155">
        <f ca="1">IF(ISNUMBER(MATCH(DATEVALUE($A277),'changes1_based on steps'!M$1:M$400,0)),M$2,)</f>
        <v>0</v>
      </c>
      <c r="N277" s="155">
        <f ca="1">IF(ISNUMBER(MATCH(DATEVALUE($A277),'changes1_based on steps'!N$1:N$400,0)),N$2,)</f>
        <v>0</v>
      </c>
      <c r="O277" s="155">
        <f ca="1">IF(ISNUMBER(MATCH(DATEVALUE($A277),'changes1_based on steps'!O$1:O$400,0)),O$2,)</f>
        <v>0</v>
      </c>
      <c r="P277" s="155">
        <f ca="1">IF(ISNUMBER(MATCH(DATEVALUE($A277),'changes1_based on steps'!P$1:P$400,0)),P$2,)</f>
        <v>0</v>
      </c>
      <c r="Q277" s="155">
        <f ca="1">IF(ISNUMBER(MATCH(DATEVALUE($A277),'changes1_based on steps'!Q$1:Q$400,0)),Q$2,)</f>
        <v>0</v>
      </c>
      <c r="R277" s="155">
        <f ca="1">IF(ISNUMBER(MATCH(DATEVALUE($A277),'changes1_based on steps'!R$1:R$400,0)),R$2,)</f>
        <v>0</v>
      </c>
      <c r="S277" s="155">
        <f ca="1">IF(ISNUMBER(MATCH(DATEVALUE($A277),'changes1_based on steps'!S$1:S$400,0)),S$2,)</f>
        <v>0</v>
      </c>
      <c r="T277" s="155">
        <f ca="1">IF(ISNUMBER(MATCH(DATEVALUE($A277),'changes1_based on steps'!T$1:T$400,0)),T$2,)</f>
        <v>0</v>
      </c>
      <c r="U277" s="155">
        <f ca="1">IF(ISNUMBER(MATCH(DATEVALUE($A277),'changes1_based on steps'!U$1:U$400,0)),U$2,)</f>
        <v>0</v>
      </c>
    </row>
    <row r="278" spans="1:21" x14ac:dyDescent="0.2">
      <c r="A278" s="18" t="str">
        <f t="shared" ca="1" si="4"/>
        <v>2025-11-03</v>
      </c>
      <c r="B278" s="155">
        <f ca="1">IF(ISNUMBER(MATCH(DATEVALUE($A278),'changes1_based on steps'!B$1:B$400,0)),B$2,)</f>
        <v>0</v>
      </c>
      <c r="C278" s="155">
        <f ca="1">IF(ISNUMBER(MATCH(DATEVALUE($A278),'changes1_based on steps'!C$1:C$400,0)),C$2,)</f>
        <v>0</v>
      </c>
      <c r="D278" s="155">
        <f ca="1">IF(ISNUMBER(MATCH(DATEVALUE($A278),'changes1_based on steps'!D$1:D$400,0)),D$2,)</f>
        <v>0</v>
      </c>
      <c r="E278" s="155">
        <f ca="1">IF(ISNUMBER(MATCH(DATEVALUE($A278),'changes1_based on steps'!E$1:E$400,0)),E$2,)</f>
        <v>0</v>
      </c>
      <c r="F278" s="155">
        <f ca="1">IF(ISNUMBER(MATCH(DATEVALUE($A278),'changes1_based on steps'!F$1:F$400,0)),F$2,)</f>
        <v>0</v>
      </c>
      <c r="G278" s="155">
        <f ca="1">IF(ISNUMBER(MATCH(DATEVALUE($A278),'changes1_based on steps'!G$1:G$400,0)),G$2,)</f>
        <v>0</v>
      </c>
      <c r="H278" s="155">
        <f ca="1">IF(ISNUMBER(MATCH(DATEVALUE($A278),'changes1_based on steps'!H$1:H$400,0)),H$2,)</f>
        <v>0</v>
      </c>
      <c r="I278" s="155">
        <f ca="1">IF(ISNUMBER(MATCH(DATEVALUE($A278),'changes1_based on steps'!I$1:I$400,0)),I$2,)</f>
        <v>0</v>
      </c>
      <c r="J278" s="155">
        <f ca="1">IF(ISNUMBER(MATCH(DATEVALUE($A278),'changes1_based on steps'!J$1:J$400,0)),J$2,)</f>
        <v>0</v>
      </c>
      <c r="K278" s="155">
        <f ca="1">IF(ISNUMBER(MATCH(DATEVALUE($A278),'changes1_based on steps'!K$1:K$400,0)),K$2,)</f>
        <v>0</v>
      </c>
      <c r="L278" s="155">
        <f ca="1">IF(ISNUMBER(MATCH(DATEVALUE($A278),'changes1_based on steps'!L$1:L$400,0)),L$2,)</f>
        <v>0</v>
      </c>
      <c r="M278" s="155">
        <f ca="1">IF(ISNUMBER(MATCH(DATEVALUE($A278),'changes1_based on steps'!M$1:M$400,0)),M$2,)</f>
        <v>0</v>
      </c>
      <c r="N278" s="155">
        <f ca="1">IF(ISNUMBER(MATCH(DATEVALUE($A278),'changes1_based on steps'!N$1:N$400,0)),N$2,)</f>
        <v>0</v>
      </c>
      <c r="O278" s="155">
        <f ca="1">IF(ISNUMBER(MATCH(DATEVALUE($A278),'changes1_based on steps'!O$1:O$400,0)),O$2,)</f>
        <v>0</v>
      </c>
      <c r="P278" s="155">
        <f ca="1">IF(ISNUMBER(MATCH(DATEVALUE($A278),'changes1_based on steps'!P$1:P$400,0)),P$2,)</f>
        <v>0</v>
      </c>
      <c r="Q278" s="155">
        <f ca="1">IF(ISNUMBER(MATCH(DATEVALUE($A278),'changes1_based on steps'!Q$1:Q$400,0)),Q$2,)</f>
        <v>0</v>
      </c>
      <c r="R278" s="155">
        <f ca="1">IF(ISNUMBER(MATCH(DATEVALUE($A278),'changes1_based on steps'!R$1:R$400,0)),R$2,)</f>
        <v>0</v>
      </c>
      <c r="S278" s="155">
        <f ca="1">IF(ISNUMBER(MATCH(DATEVALUE($A278),'changes1_based on steps'!S$1:S$400,0)),S$2,)</f>
        <v>0</v>
      </c>
      <c r="T278" s="155">
        <f ca="1">IF(ISNUMBER(MATCH(DATEVALUE($A278),'changes1_based on steps'!T$1:T$400,0)),T$2,)</f>
        <v>0</v>
      </c>
      <c r="U278" s="155">
        <f ca="1">IF(ISNUMBER(MATCH(DATEVALUE($A278),'changes1_based on steps'!U$1:U$400,0)),U$2,)</f>
        <v>0</v>
      </c>
    </row>
    <row r="279" spans="1:21" x14ac:dyDescent="0.2">
      <c r="A279" s="18" t="str">
        <f t="shared" ca="1" si="4"/>
        <v>2025-11-04</v>
      </c>
      <c r="B279" s="155">
        <f ca="1">IF(ISNUMBER(MATCH(DATEVALUE($A279),'changes1_based on steps'!B$1:B$400,0)),B$2,)</f>
        <v>0</v>
      </c>
      <c r="C279" s="155">
        <f ca="1">IF(ISNUMBER(MATCH(DATEVALUE($A279),'changes1_based on steps'!C$1:C$400,0)),C$2,)</f>
        <v>0</v>
      </c>
      <c r="D279" s="155">
        <f ca="1">IF(ISNUMBER(MATCH(DATEVALUE($A279),'changes1_based on steps'!D$1:D$400,0)),D$2,)</f>
        <v>0</v>
      </c>
      <c r="E279" s="155">
        <f ca="1">IF(ISNUMBER(MATCH(DATEVALUE($A279),'changes1_based on steps'!E$1:E$400,0)),E$2,)</f>
        <v>0</v>
      </c>
      <c r="F279" s="155">
        <f ca="1">IF(ISNUMBER(MATCH(DATEVALUE($A279),'changes1_based on steps'!F$1:F$400,0)),F$2,)</f>
        <v>0</v>
      </c>
      <c r="G279" s="155">
        <f ca="1">IF(ISNUMBER(MATCH(DATEVALUE($A279),'changes1_based on steps'!G$1:G$400,0)),G$2,)</f>
        <v>0</v>
      </c>
      <c r="H279" s="155">
        <f ca="1">IF(ISNUMBER(MATCH(DATEVALUE($A279),'changes1_based on steps'!H$1:H$400,0)),H$2,)</f>
        <v>0</v>
      </c>
      <c r="I279" s="155">
        <f ca="1">IF(ISNUMBER(MATCH(DATEVALUE($A279),'changes1_based on steps'!I$1:I$400,0)),I$2,)</f>
        <v>0</v>
      </c>
      <c r="J279" s="155">
        <f ca="1">IF(ISNUMBER(MATCH(DATEVALUE($A279),'changes1_based on steps'!J$1:J$400,0)),J$2,)</f>
        <v>0</v>
      </c>
      <c r="K279" s="155">
        <f ca="1">IF(ISNUMBER(MATCH(DATEVALUE($A279),'changes1_based on steps'!K$1:K$400,0)),K$2,)</f>
        <v>0</v>
      </c>
      <c r="L279" s="155">
        <f ca="1">IF(ISNUMBER(MATCH(DATEVALUE($A279),'changes1_based on steps'!L$1:L$400,0)),L$2,)</f>
        <v>0</v>
      </c>
      <c r="M279" s="155">
        <f ca="1">IF(ISNUMBER(MATCH(DATEVALUE($A279),'changes1_based on steps'!M$1:M$400,0)),M$2,)</f>
        <v>0</v>
      </c>
      <c r="N279" s="155">
        <f ca="1">IF(ISNUMBER(MATCH(DATEVALUE($A279),'changes1_based on steps'!N$1:N$400,0)),N$2,)</f>
        <v>0</v>
      </c>
      <c r="O279" s="155">
        <f ca="1">IF(ISNUMBER(MATCH(DATEVALUE($A279),'changes1_based on steps'!O$1:O$400,0)),O$2,)</f>
        <v>0</v>
      </c>
      <c r="P279" s="155">
        <f ca="1">IF(ISNUMBER(MATCH(DATEVALUE($A279),'changes1_based on steps'!P$1:P$400,0)),P$2,)</f>
        <v>0</v>
      </c>
      <c r="Q279" s="155">
        <f ca="1">IF(ISNUMBER(MATCH(DATEVALUE($A279),'changes1_based on steps'!Q$1:Q$400,0)),Q$2,)</f>
        <v>0</v>
      </c>
      <c r="R279" s="155">
        <f ca="1">IF(ISNUMBER(MATCH(DATEVALUE($A279),'changes1_based on steps'!R$1:R$400,0)),R$2,)</f>
        <v>0</v>
      </c>
      <c r="S279" s="155">
        <f ca="1">IF(ISNUMBER(MATCH(DATEVALUE($A279),'changes1_based on steps'!S$1:S$400,0)),S$2,)</f>
        <v>0</v>
      </c>
      <c r="T279" s="155">
        <f ca="1">IF(ISNUMBER(MATCH(DATEVALUE($A279),'changes1_based on steps'!T$1:T$400,0)),T$2,)</f>
        <v>0</v>
      </c>
      <c r="U279" s="155">
        <f ca="1">IF(ISNUMBER(MATCH(DATEVALUE($A279),'changes1_based on steps'!U$1:U$400,0)),U$2,)</f>
        <v>0</v>
      </c>
    </row>
    <row r="280" spans="1:21" x14ac:dyDescent="0.2">
      <c r="A280" s="18" t="str">
        <f t="shared" ca="1" si="4"/>
        <v>2025-11-05</v>
      </c>
      <c r="B280" s="155">
        <f ca="1">IF(ISNUMBER(MATCH(DATEVALUE($A280),'changes1_based on steps'!B$1:B$400,0)),B$2,)</f>
        <v>100</v>
      </c>
      <c r="C280" s="155">
        <f ca="1">IF(ISNUMBER(MATCH(DATEVALUE($A280),'changes1_based on steps'!C$1:C$400,0)),C$2,)</f>
        <v>0</v>
      </c>
      <c r="D280" s="155">
        <f ca="1">IF(ISNUMBER(MATCH(DATEVALUE($A280),'changes1_based on steps'!D$1:D$400,0)),D$2,)</f>
        <v>0</v>
      </c>
      <c r="E280" s="155">
        <f ca="1">IF(ISNUMBER(MATCH(DATEVALUE($A280),'changes1_based on steps'!E$1:E$400,0)),E$2,)</f>
        <v>0</v>
      </c>
      <c r="F280" s="155">
        <f ca="1">IF(ISNUMBER(MATCH(DATEVALUE($A280),'changes1_based on steps'!F$1:F$400,0)),F$2,)</f>
        <v>0</v>
      </c>
      <c r="G280" s="155">
        <f ca="1">IF(ISNUMBER(MATCH(DATEVALUE($A280),'changes1_based on steps'!G$1:G$400,0)),G$2,)</f>
        <v>0</v>
      </c>
      <c r="H280" s="155">
        <f ca="1">IF(ISNUMBER(MATCH(DATEVALUE($A280),'changes1_based on steps'!H$1:H$400,0)),H$2,)</f>
        <v>0</v>
      </c>
      <c r="I280" s="155">
        <f ca="1">IF(ISNUMBER(MATCH(DATEVALUE($A280),'changes1_based on steps'!I$1:I$400,0)),I$2,)</f>
        <v>0</v>
      </c>
      <c r="J280" s="155">
        <f ca="1">IF(ISNUMBER(MATCH(DATEVALUE($A280),'changes1_based on steps'!J$1:J$400,0)),J$2,)</f>
        <v>0</v>
      </c>
      <c r="K280" s="155">
        <f ca="1">IF(ISNUMBER(MATCH(DATEVALUE($A280),'changes1_based on steps'!K$1:K$400,0)),K$2,)</f>
        <v>0</v>
      </c>
      <c r="L280" s="155">
        <f ca="1">IF(ISNUMBER(MATCH(DATEVALUE($A280),'changes1_based on steps'!L$1:L$400,0)),L$2,)</f>
        <v>0</v>
      </c>
      <c r="M280" s="155">
        <f ca="1">IF(ISNUMBER(MATCH(DATEVALUE($A280),'changes1_based on steps'!M$1:M$400,0)),M$2,)</f>
        <v>0</v>
      </c>
      <c r="N280" s="155">
        <f ca="1">IF(ISNUMBER(MATCH(DATEVALUE($A280),'changes1_based on steps'!N$1:N$400,0)),N$2,)</f>
        <v>0</v>
      </c>
      <c r="O280" s="155">
        <f ca="1">IF(ISNUMBER(MATCH(DATEVALUE($A280),'changes1_based on steps'!O$1:O$400,0)),O$2,)</f>
        <v>0</v>
      </c>
      <c r="P280" s="155">
        <f ca="1">IF(ISNUMBER(MATCH(DATEVALUE($A280),'changes1_based on steps'!P$1:P$400,0)),P$2,)</f>
        <v>0</v>
      </c>
      <c r="Q280" s="155">
        <f ca="1">IF(ISNUMBER(MATCH(DATEVALUE($A280),'changes1_based on steps'!Q$1:Q$400,0)),Q$2,)</f>
        <v>0</v>
      </c>
      <c r="R280" s="155">
        <f ca="1">IF(ISNUMBER(MATCH(DATEVALUE($A280),'changes1_based on steps'!R$1:R$400,0)),R$2,)</f>
        <v>0</v>
      </c>
      <c r="S280" s="155">
        <f ca="1">IF(ISNUMBER(MATCH(DATEVALUE($A280),'changes1_based on steps'!S$1:S$400,0)),S$2,)</f>
        <v>0</v>
      </c>
      <c r="T280" s="155">
        <f ca="1">IF(ISNUMBER(MATCH(DATEVALUE($A280),'changes1_based on steps'!T$1:T$400,0)),T$2,)</f>
        <v>0</v>
      </c>
      <c r="U280" s="155">
        <f ca="1">IF(ISNUMBER(MATCH(DATEVALUE($A280),'changes1_based on steps'!U$1:U$400,0)),U$2,)</f>
        <v>0</v>
      </c>
    </row>
    <row r="281" spans="1:21" x14ac:dyDescent="0.2">
      <c r="A281" s="18" t="str">
        <f t="shared" ca="1" si="4"/>
        <v>2025-11-06</v>
      </c>
      <c r="B281" s="155">
        <f ca="1">IF(ISNUMBER(MATCH(DATEVALUE($A281),'changes1_based on steps'!B$1:B$400,0)),B$2,)</f>
        <v>0</v>
      </c>
      <c r="C281" s="155">
        <f ca="1">IF(ISNUMBER(MATCH(DATEVALUE($A281),'changes1_based on steps'!C$1:C$400,0)),C$2,)</f>
        <v>0</v>
      </c>
      <c r="D281" s="155">
        <f ca="1">IF(ISNUMBER(MATCH(DATEVALUE($A281),'changes1_based on steps'!D$1:D$400,0)),D$2,)</f>
        <v>0</v>
      </c>
      <c r="E281" s="155">
        <f ca="1">IF(ISNUMBER(MATCH(DATEVALUE($A281),'changes1_based on steps'!E$1:E$400,0)),E$2,)</f>
        <v>0</v>
      </c>
      <c r="F281" s="155">
        <f ca="1">IF(ISNUMBER(MATCH(DATEVALUE($A281),'changes1_based on steps'!F$1:F$400,0)),F$2,)</f>
        <v>0</v>
      </c>
      <c r="G281" s="155">
        <f ca="1">IF(ISNUMBER(MATCH(DATEVALUE($A281),'changes1_based on steps'!G$1:G$400,0)),G$2,)</f>
        <v>0</v>
      </c>
      <c r="H281" s="155">
        <f ca="1">IF(ISNUMBER(MATCH(DATEVALUE($A281),'changes1_based on steps'!H$1:H$400,0)),H$2,)</f>
        <v>0</v>
      </c>
      <c r="I281" s="155">
        <f ca="1">IF(ISNUMBER(MATCH(DATEVALUE($A281),'changes1_based on steps'!I$1:I$400,0)),I$2,)</f>
        <v>0</v>
      </c>
      <c r="J281" s="155">
        <f ca="1">IF(ISNUMBER(MATCH(DATEVALUE($A281),'changes1_based on steps'!J$1:J$400,0)),J$2,)</f>
        <v>0</v>
      </c>
      <c r="K281" s="155">
        <f ca="1">IF(ISNUMBER(MATCH(DATEVALUE($A281),'changes1_based on steps'!K$1:K$400,0)),K$2,)</f>
        <v>0</v>
      </c>
      <c r="L281" s="155">
        <f ca="1">IF(ISNUMBER(MATCH(DATEVALUE($A281),'changes1_based on steps'!L$1:L$400,0)),L$2,)</f>
        <v>0</v>
      </c>
      <c r="M281" s="155">
        <f ca="1">IF(ISNUMBER(MATCH(DATEVALUE($A281),'changes1_based on steps'!M$1:M$400,0)),M$2,)</f>
        <v>0</v>
      </c>
      <c r="N281" s="155">
        <f ca="1">IF(ISNUMBER(MATCH(DATEVALUE($A281),'changes1_based on steps'!N$1:N$400,0)),N$2,)</f>
        <v>0</v>
      </c>
      <c r="O281" s="155">
        <f ca="1">IF(ISNUMBER(MATCH(DATEVALUE($A281),'changes1_based on steps'!O$1:O$400,0)),O$2,)</f>
        <v>0</v>
      </c>
      <c r="P281" s="155">
        <f ca="1">IF(ISNUMBER(MATCH(DATEVALUE($A281),'changes1_based on steps'!P$1:P$400,0)),P$2,)</f>
        <v>0</v>
      </c>
      <c r="Q281" s="155">
        <f ca="1">IF(ISNUMBER(MATCH(DATEVALUE($A281),'changes1_based on steps'!Q$1:Q$400,0)),Q$2,)</f>
        <v>0</v>
      </c>
      <c r="R281" s="155">
        <f ca="1">IF(ISNUMBER(MATCH(DATEVALUE($A281),'changes1_based on steps'!R$1:R$400,0)),R$2,)</f>
        <v>0</v>
      </c>
      <c r="S281" s="155">
        <f ca="1">IF(ISNUMBER(MATCH(DATEVALUE($A281),'changes1_based on steps'!S$1:S$400,0)),S$2,)</f>
        <v>0</v>
      </c>
      <c r="T281" s="155">
        <f ca="1">IF(ISNUMBER(MATCH(DATEVALUE($A281),'changes1_based on steps'!T$1:T$400,0)),T$2,)</f>
        <v>0</v>
      </c>
      <c r="U281" s="155">
        <f ca="1">IF(ISNUMBER(MATCH(DATEVALUE($A281),'changes1_based on steps'!U$1:U$400,0)),U$2,)</f>
        <v>0</v>
      </c>
    </row>
    <row r="282" spans="1:21" x14ac:dyDescent="0.2">
      <c r="A282" s="18" t="str">
        <f t="shared" ca="1" si="4"/>
        <v>2025-11-07</v>
      </c>
      <c r="B282" s="155">
        <f ca="1">IF(ISNUMBER(MATCH(DATEVALUE($A282),'changes1_based on steps'!B$1:B$400,0)),B$2,)</f>
        <v>0</v>
      </c>
      <c r="C282" s="155">
        <f ca="1">IF(ISNUMBER(MATCH(DATEVALUE($A282),'changes1_based on steps'!C$1:C$400,0)),C$2,)</f>
        <v>0</v>
      </c>
      <c r="D282" s="155">
        <f ca="1">IF(ISNUMBER(MATCH(DATEVALUE($A282),'changes1_based on steps'!D$1:D$400,0)),D$2,)</f>
        <v>0</v>
      </c>
      <c r="E282" s="155">
        <f ca="1">IF(ISNUMBER(MATCH(DATEVALUE($A282),'changes1_based on steps'!E$1:E$400,0)),E$2,)</f>
        <v>0</v>
      </c>
      <c r="F282" s="155">
        <f ca="1">IF(ISNUMBER(MATCH(DATEVALUE($A282),'changes1_based on steps'!F$1:F$400,0)),F$2,)</f>
        <v>0</v>
      </c>
      <c r="G282" s="155">
        <f ca="1">IF(ISNUMBER(MATCH(DATEVALUE($A282),'changes1_based on steps'!G$1:G$400,0)),G$2,)</f>
        <v>0</v>
      </c>
      <c r="H282" s="155">
        <f ca="1">IF(ISNUMBER(MATCH(DATEVALUE($A282),'changes1_based on steps'!H$1:H$400,0)),H$2,)</f>
        <v>0</v>
      </c>
      <c r="I282" s="155">
        <f ca="1">IF(ISNUMBER(MATCH(DATEVALUE($A282),'changes1_based on steps'!I$1:I$400,0)),I$2,)</f>
        <v>0</v>
      </c>
      <c r="J282" s="155">
        <f ca="1">IF(ISNUMBER(MATCH(DATEVALUE($A282),'changes1_based on steps'!J$1:J$400,0)),J$2,)</f>
        <v>0</v>
      </c>
      <c r="K282" s="155">
        <f ca="1">IF(ISNUMBER(MATCH(DATEVALUE($A282),'changes1_based on steps'!K$1:K$400,0)),K$2,)</f>
        <v>0</v>
      </c>
      <c r="L282" s="155">
        <f ca="1">IF(ISNUMBER(MATCH(DATEVALUE($A282),'changes1_based on steps'!L$1:L$400,0)),L$2,)</f>
        <v>0</v>
      </c>
      <c r="M282" s="155">
        <f ca="1">IF(ISNUMBER(MATCH(DATEVALUE($A282),'changes1_based on steps'!M$1:M$400,0)),M$2,)</f>
        <v>0</v>
      </c>
      <c r="N282" s="155">
        <f ca="1">IF(ISNUMBER(MATCH(DATEVALUE($A282),'changes1_based on steps'!N$1:N$400,0)),N$2,)</f>
        <v>0</v>
      </c>
      <c r="O282" s="155">
        <f ca="1">IF(ISNUMBER(MATCH(DATEVALUE($A282),'changes1_based on steps'!O$1:O$400,0)),O$2,)</f>
        <v>0</v>
      </c>
      <c r="P282" s="155">
        <f ca="1">IF(ISNUMBER(MATCH(DATEVALUE($A282),'changes1_based on steps'!P$1:P$400,0)),P$2,)</f>
        <v>0</v>
      </c>
      <c r="Q282" s="155">
        <f ca="1">IF(ISNUMBER(MATCH(DATEVALUE($A282),'changes1_based on steps'!Q$1:Q$400,0)),Q$2,)</f>
        <v>0</v>
      </c>
      <c r="R282" s="155">
        <f ca="1">IF(ISNUMBER(MATCH(DATEVALUE($A282),'changes1_based on steps'!R$1:R$400,0)),R$2,)</f>
        <v>0</v>
      </c>
      <c r="S282" s="155">
        <f ca="1">IF(ISNUMBER(MATCH(DATEVALUE($A282),'changes1_based on steps'!S$1:S$400,0)),S$2,)</f>
        <v>0</v>
      </c>
      <c r="T282" s="155">
        <f ca="1">IF(ISNUMBER(MATCH(DATEVALUE($A282),'changes1_based on steps'!T$1:T$400,0)),T$2,)</f>
        <v>0</v>
      </c>
      <c r="U282" s="155">
        <f ca="1">IF(ISNUMBER(MATCH(DATEVALUE($A282),'changes1_based on steps'!U$1:U$400,0)),U$2,)</f>
        <v>0</v>
      </c>
    </row>
    <row r="283" spans="1:21" x14ac:dyDescent="0.2">
      <c r="A283" s="18" t="str">
        <f t="shared" ca="1" si="4"/>
        <v>2025-11-08</v>
      </c>
      <c r="B283" s="155">
        <f ca="1">IF(ISNUMBER(MATCH(DATEVALUE($A283),'changes1_based on steps'!B$1:B$400,0)),B$2,)</f>
        <v>0</v>
      </c>
      <c r="C283" s="155">
        <f ca="1">IF(ISNUMBER(MATCH(DATEVALUE($A283),'changes1_based on steps'!C$1:C$400,0)),C$2,)</f>
        <v>0</v>
      </c>
      <c r="D283" s="155">
        <f ca="1">IF(ISNUMBER(MATCH(DATEVALUE($A283),'changes1_based on steps'!D$1:D$400,0)),D$2,)</f>
        <v>0</v>
      </c>
      <c r="E283" s="155">
        <f ca="1">IF(ISNUMBER(MATCH(DATEVALUE($A283),'changes1_based on steps'!E$1:E$400,0)),E$2,)</f>
        <v>0</v>
      </c>
      <c r="F283" s="155">
        <f ca="1">IF(ISNUMBER(MATCH(DATEVALUE($A283),'changes1_based on steps'!F$1:F$400,0)),F$2,)</f>
        <v>0</v>
      </c>
      <c r="G283" s="155">
        <f ca="1">IF(ISNUMBER(MATCH(DATEVALUE($A283),'changes1_based on steps'!G$1:G$400,0)),G$2,)</f>
        <v>0</v>
      </c>
      <c r="H283" s="155">
        <f ca="1">IF(ISNUMBER(MATCH(DATEVALUE($A283),'changes1_based on steps'!H$1:H$400,0)),H$2,)</f>
        <v>0</v>
      </c>
      <c r="I283" s="155">
        <f ca="1">IF(ISNUMBER(MATCH(DATEVALUE($A283),'changes1_based on steps'!I$1:I$400,0)),I$2,)</f>
        <v>0</v>
      </c>
      <c r="J283" s="155">
        <f ca="1">IF(ISNUMBER(MATCH(DATEVALUE($A283),'changes1_based on steps'!J$1:J$400,0)),J$2,)</f>
        <v>0</v>
      </c>
      <c r="K283" s="155">
        <f ca="1">IF(ISNUMBER(MATCH(DATEVALUE($A283),'changes1_based on steps'!K$1:K$400,0)),K$2,)</f>
        <v>0</v>
      </c>
      <c r="L283" s="155">
        <f ca="1">IF(ISNUMBER(MATCH(DATEVALUE($A283),'changes1_based on steps'!L$1:L$400,0)),L$2,)</f>
        <v>0</v>
      </c>
      <c r="M283" s="155">
        <f ca="1">IF(ISNUMBER(MATCH(DATEVALUE($A283),'changes1_based on steps'!M$1:M$400,0)),M$2,)</f>
        <v>0</v>
      </c>
      <c r="N283" s="155">
        <f ca="1">IF(ISNUMBER(MATCH(DATEVALUE($A283),'changes1_based on steps'!N$1:N$400,0)),N$2,)</f>
        <v>0</v>
      </c>
      <c r="O283" s="155">
        <f ca="1">IF(ISNUMBER(MATCH(DATEVALUE($A283),'changes1_based on steps'!O$1:O$400,0)),O$2,)</f>
        <v>0</v>
      </c>
      <c r="P283" s="155">
        <f ca="1">IF(ISNUMBER(MATCH(DATEVALUE($A283),'changes1_based on steps'!P$1:P$400,0)),P$2,)</f>
        <v>0</v>
      </c>
      <c r="Q283" s="155">
        <f ca="1">IF(ISNUMBER(MATCH(DATEVALUE($A283),'changes1_based on steps'!Q$1:Q$400,0)),Q$2,)</f>
        <v>0</v>
      </c>
      <c r="R283" s="155">
        <f ca="1">IF(ISNUMBER(MATCH(DATEVALUE($A283),'changes1_based on steps'!R$1:R$400,0)),R$2,)</f>
        <v>0</v>
      </c>
      <c r="S283" s="155">
        <f ca="1">IF(ISNUMBER(MATCH(DATEVALUE($A283),'changes1_based on steps'!S$1:S$400,0)),S$2,)</f>
        <v>0</v>
      </c>
      <c r="T283" s="155">
        <f ca="1">IF(ISNUMBER(MATCH(DATEVALUE($A283),'changes1_based on steps'!T$1:T$400,0)),T$2,)</f>
        <v>0</v>
      </c>
      <c r="U283" s="155">
        <f ca="1">IF(ISNUMBER(MATCH(DATEVALUE($A283),'changes1_based on steps'!U$1:U$400,0)),U$2,)</f>
        <v>0</v>
      </c>
    </row>
    <row r="284" spans="1:21" x14ac:dyDescent="0.2">
      <c r="A284" s="18" t="str">
        <f t="shared" ca="1" si="4"/>
        <v>2025-11-09</v>
      </c>
      <c r="B284" s="155">
        <f ca="1">IF(ISNUMBER(MATCH(DATEVALUE($A284),'changes1_based on steps'!B$1:B$400,0)),B$2,)</f>
        <v>0</v>
      </c>
      <c r="C284" s="155">
        <f ca="1">IF(ISNUMBER(MATCH(DATEVALUE($A284),'changes1_based on steps'!C$1:C$400,0)),C$2,)</f>
        <v>0</v>
      </c>
      <c r="D284" s="155">
        <f ca="1">IF(ISNUMBER(MATCH(DATEVALUE($A284),'changes1_based on steps'!D$1:D$400,0)),D$2,)</f>
        <v>0</v>
      </c>
      <c r="E284" s="155">
        <f ca="1">IF(ISNUMBER(MATCH(DATEVALUE($A284),'changes1_based on steps'!E$1:E$400,0)),E$2,)</f>
        <v>0</v>
      </c>
      <c r="F284" s="155">
        <f ca="1">IF(ISNUMBER(MATCH(DATEVALUE($A284),'changes1_based on steps'!F$1:F$400,0)),F$2,)</f>
        <v>0</v>
      </c>
      <c r="G284" s="155">
        <f ca="1">IF(ISNUMBER(MATCH(DATEVALUE($A284),'changes1_based on steps'!G$1:G$400,0)),G$2,)</f>
        <v>0</v>
      </c>
      <c r="H284" s="155">
        <f ca="1">IF(ISNUMBER(MATCH(DATEVALUE($A284),'changes1_based on steps'!H$1:H$400,0)),H$2,)</f>
        <v>0</v>
      </c>
      <c r="I284" s="155">
        <f ca="1">IF(ISNUMBER(MATCH(DATEVALUE($A284),'changes1_based on steps'!I$1:I$400,0)),I$2,)</f>
        <v>0</v>
      </c>
      <c r="J284" s="155">
        <f ca="1">IF(ISNUMBER(MATCH(DATEVALUE($A284),'changes1_based on steps'!J$1:J$400,0)),J$2,)</f>
        <v>0</v>
      </c>
      <c r="K284" s="155">
        <f ca="1">IF(ISNUMBER(MATCH(DATEVALUE($A284),'changes1_based on steps'!K$1:K$400,0)),K$2,)</f>
        <v>0</v>
      </c>
      <c r="L284" s="155">
        <f ca="1">IF(ISNUMBER(MATCH(DATEVALUE($A284),'changes1_based on steps'!L$1:L$400,0)),L$2,)</f>
        <v>0</v>
      </c>
      <c r="M284" s="155">
        <f ca="1">IF(ISNUMBER(MATCH(DATEVALUE($A284),'changes1_based on steps'!M$1:M$400,0)),M$2,)</f>
        <v>0</v>
      </c>
      <c r="N284" s="155">
        <f ca="1">IF(ISNUMBER(MATCH(DATEVALUE($A284),'changes1_based on steps'!N$1:N$400,0)),N$2,)</f>
        <v>0</v>
      </c>
      <c r="O284" s="155">
        <f ca="1">IF(ISNUMBER(MATCH(DATEVALUE($A284),'changes1_based on steps'!O$1:O$400,0)),O$2,)</f>
        <v>0</v>
      </c>
      <c r="P284" s="155">
        <f ca="1">IF(ISNUMBER(MATCH(DATEVALUE($A284),'changes1_based on steps'!P$1:P$400,0)),P$2,)</f>
        <v>0</v>
      </c>
      <c r="Q284" s="155">
        <f ca="1">IF(ISNUMBER(MATCH(DATEVALUE($A284),'changes1_based on steps'!Q$1:Q$400,0)),Q$2,)</f>
        <v>0</v>
      </c>
      <c r="R284" s="155">
        <f ca="1">IF(ISNUMBER(MATCH(DATEVALUE($A284),'changes1_based on steps'!R$1:R$400,0)),R$2,)</f>
        <v>0</v>
      </c>
      <c r="S284" s="155">
        <f ca="1">IF(ISNUMBER(MATCH(DATEVALUE($A284),'changes1_based on steps'!S$1:S$400,0)),S$2,)</f>
        <v>0</v>
      </c>
      <c r="T284" s="155">
        <f ca="1">IF(ISNUMBER(MATCH(DATEVALUE($A284),'changes1_based on steps'!T$1:T$400,0)),T$2,)</f>
        <v>0</v>
      </c>
      <c r="U284" s="155">
        <f ca="1">IF(ISNUMBER(MATCH(DATEVALUE($A284),'changes1_based on steps'!U$1:U$400,0)),U$2,)</f>
        <v>0</v>
      </c>
    </row>
    <row r="285" spans="1:21" x14ac:dyDescent="0.2">
      <c r="A285" s="18" t="str">
        <f t="shared" ca="1" si="4"/>
        <v>2025-11-10</v>
      </c>
      <c r="B285" s="155">
        <f ca="1">IF(ISNUMBER(MATCH(DATEVALUE($A285),'changes1_based on steps'!B$1:B$400,0)),B$2,)</f>
        <v>0</v>
      </c>
      <c r="C285" s="155">
        <f ca="1">IF(ISNUMBER(MATCH(DATEVALUE($A285),'changes1_based on steps'!C$1:C$400,0)),C$2,)</f>
        <v>0</v>
      </c>
      <c r="D285" s="155">
        <f ca="1">IF(ISNUMBER(MATCH(DATEVALUE($A285),'changes1_based on steps'!D$1:D$400,0)),D$2,)</f>
        <v>0</v>
      </c>
      <c r="E285" s="155">
        <f ca="1">IF(ISNUMBER(MATCH(DATEVALUE($A285),'changes1_based on steps'!E$1:E$400,0)),E$2,)</f>
        <v>0</v>
      </c>
      <c r="F285" s="155">
        <f ca="1">IF(ISNUMBER(MATCH(DATEVALUE($A285),'changes1_based on steps'!F$1:F$400,0)),F$2,)</f>
        <v>0</v>
      </c>
      <c r="G285" s="155">
        <f ca="1">IF(ISNUMBER(MATCH(DATEVALUE($A285),'changes1_based on steps'!G$1:G$400,0)),G$2,)</f>
        <v>0</v>
      </c>
      <c r="H285" s="155">
        <f ca="1">IF(ISNUMBER(MATCH(DATEVALUE($A285),'changes1_based on steps'!H$1:H$400,0)),H$2,)</f>
        <v>0</v>
      </c>
      <c r="I285" s="155">
        <f ca="1">IF(ISNUMBER(MATCH(DATEVALUE($A285),'changes1_based on steps'!I$1:I$400,0)),I$2,)</f>
        <v>0</v>
      </c>
      <c r="J285" s="155">
        <f ca="1">IF(ISNUMBER(MATCH(DATEVALUE($A285),'changes1_based on steps'!J$1:J$400,0)),J$2,)</f>
        <v>0</v>
      </c>
      <c r="K285" s="155">
        <f ca="1">IF(ISNUMBER(MATCH(DATEVALUE($A285),'changes1_based on steps'!K$1:K$400,0)),K$2,)</f>
        <v>0</v>
      </c>
      <c r="L285" s="155">
        <f ca="1">IF(ISNUMBER(MATCH(DATEVALUE($A285),'changes1_based on steps'!L$1:L$400,0)),L$2,)</f>
        <v>0</v>
      </c>
      <c r="M285" s="155">
        <f ca="1">IF(ISNUMBER(MATCH(DATEVALUE($A285),'changes1_based on steps'!M$1:M$400,0)),M$2,)</f>
        <v>0</v>
      </c>
      <c r="N285" s="155">
        <f ca="1">IF(ISNUMBER(MATCH(DATEVALUE($A285),'changes1_based on steps'!N$1:N$400,0)),N$2,)</f>
        <v>0</v>
      </c>
      <c r="O285" s="155">
        <f ca="1">IF(ISNUMBER(MATCH(DATEVALUE($A285),'changes1_based on steps'!O$1:O$400,0)),O$2,)</f>
        <v>0</v>
      </c>
      <c r="P285" s="155">
        <f ca="1">IF(ISNUMBER(MATCH(DATEVALUE($A285),'changes1_based on steps'!P$1:P$400,0)),P$2,)</f>
        <v>0</v>
      </c>
      <c r="Q285" s="155">
        <f ca="1">IF(ISNUMBER(MATCH(DATEVALUE($A285),'changes1_based on steps'!Q$1:Q$400,0)),Q$2,)</f>
        <v>0</v>
      </c>
      <c r="R285" s="155">
        <f ca="1">IF(ISNUMBER(MATCH(DATEVALUE($A285),'changes1_based on steps'!R$1:R$400,0)),R$2,)</f>
        <v>0</v>
      </c>
      <c r="S285" s="155">
        <f ca="1">IF(ISNUMBER(MATCH(DATEVALUE($A285),'changes1_based on steps'!S$1:S$400,0)),S$2,)</f>
        <v>0</v>
      </c>
      <c r="T285" s="155">
        <f ca="1">IF(ISNUMBER(MATCH(DATEVALUE($A285),'changes1_based on steps'!T$1:T$400,0)),T$2,)</f>
        <v>0</v>
      </c>
      <c r="U285" s="155">
        <f ca="1">IF(ISNUMBER(MATCH(DATEVALUE($A285),'changes1_based on steps'!U$1:U$400,0)),U$2,)</f>
        <v>0</v>
      </c>
    </row>
    <row r="286" spans="1:21" x14ac:dyDescent="0.2">
      <c r="A286" s="18" t="str">
        <f t="shared" ca="1" si="4"/>
        <v>2025-11-11</v>
      </c>
      <c r="B286" s="155">
        <f ca="1">IF(ISNUMBER(MATCH(DATEVALUE($A286),'changes1_based on steps'!B$1:B$400,0)),B$2,)</f>
        <v>0</v>
      </c>
      <c r="C286" s="155">
        <f ca="1">IF(ISNUMBER(MATCH(DATEVALUE($A286),'changes1_based on steps'!C$1:C$400,0)),C$2,)</f>
        <v>0</v>
      </c>
      <c r="D286" s="155">
        <f ca="1">IF(ISNUMBER(MATCH(DATEVALUE($A286),'changes1_based on steps'!D$1:D$400,0)),D$2,)</f>
        <v>0</v>
      </c>
      <c r="E286" s="155">
        <f ca="1">IF(ISNUMBER(MATCH(DATEVALUE($A286),'changes1_based on steps'!E$1:E$400,0)),E$2,)</f>
        <v>0</v>
      </c>
      <c r="F286" s="155">
        <f ca="1">IF(ISNUMBER(MATCH(DATEVALUE($A286),'changes1_based on steps'!F$1:F$400,0)),F$2,)</f>
        <v>0</v>
      </c>
      <c r="G286" s="155">
        <f ca="1">IF(ISNUMBER(MATCH(DATEVALUE($A286),'changes1_based on steps'!G$1:G$400,0)),G$2,)</f>
        <v>0</v>
      </c>
      <c r="H286" s="155">
        <f ca="1">IF(ISNUMBER(MATCH(DATEVALUE($A286),'changes1_based on steps'!H$1:H$400,0)),H$2,)</f>
        <v>0</v>
      </c>
      <c r="I286" s="155">
        <f ca="1">IF(ISNUMBER(MATCH(DATEVALUE($A286),'changes1_based on steps'!I$1:I$400,0)),I$2,)</f>
        <v>0</v>
      </c>
      <c r="J286" s="155">
        <f ca="1">IF(ISNUMBER(MATCH(DATEVALUE($A286),'changes1_based on steps'!J$1:J$400,0)),J$2,)</f>
        <v>0</v>
      </c>
      <c r="K286" s="155">
        <f ca="1">IF(ISNUMBER(MATCH(DATEVALUE($A286),'changes1_based on steps'!K$1:K$400,0)),K$2,)</f>
        <v>0</v>
      </c>
      <c r="L286" s="155">
        <f ca="1">IF(ISNUMBER(MATCH(DATEVALUE($A286),'changes1_based on steps'!L$1:L$400,0)),L$2,)</f>
        <v>0</v>
      </c>
      <c r="M286" s="155">
        <f ca="1">IF(ISNUMBER(MATCH(DATEVALUE($A286),'changes1_based on steps'!M$1:M$400,0)),M$2,)</f>
        <v>0</v>
      </c>
      <c r="N286" s="155">
        <f ca="1">IF(ISNUMBER(MATCH(DATEVALUE($A286),'changes1_based on steps'!N$1:N$400,0)),N$2,)</f>
        <v>0</v>
      </c>
      <c r="O286" s="155">
        <f ca="1">IF(ISNUMBER(MATCH(DATEVALUE($A286),'changes1_based on steps'!O$1:O$400,0)),O$2,)</f>
        <v>0</v>
      </c>
      <c r="P286" s="155">
        <f ca="1">IF(ISNUMBER(MATCH(DATEVALUE($A286),'changes1_based on steps'!P$1:P$400,0)),P$2,)</f>
        <v>0</v>
      </c>
      <c r="Q286" s="155">
        <f ca="1">IF(ISNUMBER(MATCH(DATEVALUE($A286),'changes1_based on steps'!Q$1:Q$400,0)),Q$2,)</f>
        <v>0</v>
      </c>
      <c r="R286" s="155">
        <f ca="1">IF(ISNUMBER(MATCH(DATEVALUE($A286),'changes1_based on steps'!R$1:R$400,0)),R$2,)</f>
        <v>0</v>
      </c>
      <c r="S286" s="155">
        <f ca="1">IF(ISNUMBER(MATCH(DATEVALUE($A286),'changes1_based on steps'!S$1:S$400,0)),S$2,)</f>
        <v>0</v>
      </c>
      <c r="T286" s="155">
        <f ca="1">IF(ISNUMBER(MATCH(DATEVALUE($A286),'changes1_based on steps'!T$1:T$400,0)),T$2,)</f>
        <v>0</v>
      </c>
      <c r="U286" s="155">
        <f ca="1">IF(ISNUMBER(MATCH(DATEVALUE($A286),'changes1_based on steps'!U$1:U$400,0)),U$2,)</f>
        <v>0</v>
      </c>
    </row>
    <row r="287" spans="1:21" x14ac:dyDescent="0.2">
      <c r="A287" s="18" t="str">
        <f t="shared" ca="1" si="4"/>
        <v>2025-11-12</v>
      </c>
      <c r="B287" s="155">
        <f ca="1">IF(ISNUMBER(MATCH(DATEVALUE($A287),'changes1_based on steps'!B$1:B$400,0)),B$2,)</f>
        <v>0</v>
      </c>
      <c r="C287" s="155">
        <f ca="1">IF(ISNUMBER(MATCH(DATEVALUE($A287),'changes1_based on steps'!C$1:C$400,0)),C$2,)</f>
        <v>0</v>
      </c>
      <c r="D287" s="155">
        <f ca="1">IF(ISNUMBER(MATCH(DATEVALUE($A287),'changes1_based on steps'!D$1:D$400,0)),D$2,)</f>
        <v>0</v>
      </c>
      <c r="E287" s="155">
        <f ca="1">IF(ISNUMBER(MATCH(DATEVALUE($A287),'changes1_based on steps'!E$1:E$400,0)),E$2,)</f>
        <v>0</v>
      </c>
      <c r="F287" s="155">
        <f ca="1">IF(ISNUMBER(MATCH(DATEVALUE($A287),'changes1_based on steps'!F$1:F$400,0)),F$2,)</f>
        <v>0</v>
      </c>
      <c r="G287" s="155">
        <f ca="1">IF(ISNUMBER(MATCH(DATEVALUE($A287),'changes1_based on steps'!G$1:G$400,0)),G$2,)</f>
        <v>0</v>
      </c>
      <c r="H287" s="155">
        <f ca="1">IF(ISNUMBER(MATCH(DATEVALUE($A287),'changes1_based on steps'!H$1:H$400,0)),H$2,)</f>
        <v>0</v>
      </c>
      <c r="I287" s="155">
        <f ca="1">IF(ISNUMBER(MATCH(DATEVALUE($A287),'changes1_based on steps'!I$1:I$400,0)),I$2,)</f>
        <v>0</v>
      </c>
      <c r="J287" s="155">
        <f ca="1">IF(ISNUMBER(MATCH(DATEVALUE($A287),'changes1_based on steps'!J$1:J$400,0)),J$2,)</f>
        <v>0</v>
      </c>
      <c r="K287" s="155">
        <f ca="1">IF(ISNUMBER(MATCH(DATEVALUE($A287),'changes1_based on steps'!K$1:K$400,0)),K$2,)</f>
        <v>0</v>
      </c>
      <c r="L287" s="155">
        <f ca="1">IF(ISNUMBER(MATCH(DATEVALUE($A287),'changes1_based on steps'!L$1:L$400,0)),L$2,)</f>
        <v>0</v>
      </c>
      <c r="M287" s="155">
        <f ca="1">IF(ISNUMBER(MATCH(DATEVALUE($A287),'changes1_based on steps'!M$1:M$400,0)),M$2,)</f>
        <v>0</v>
      </c>
      <c r="N287" s="155">
        <f ca="1">IF(ISNUMBER(MATCH(DATEVALUE($A287),'changes1_based on steps'!N$1:N$400,0)),N$2,)</f>
        <v>0</v>
      </c>
      <c r="O287" s="155">
        <f ca="1">IF(ISNUMBER(MATCH(DATEVALUE($A287),'changes1_based on steps'!O$1:O$400,0)),O$2,)</f>
        <v>0</v>
      </c>
      <c r="P287" s="155">
        <f ca="1">IF(ISNUMBER(MATCH(DATEVALUE($A287),'changes1_based on steps'!P$1:P$400,0)),P$2,)</f>
        <v>0</v>
      </c>
      <c r="Q287" s="155">
        <f ca="1">IF(ISNUMBER(MATCH(DATEVALUE($A287),'changes1_based on steps'!Q$1:Q$400,0)),Q$2,)</f>
        <v>0</v>
      </c>
      <c r="R287" s="155">
        <f ca="1">IF(ISNUMBER(MATCH(DATEVALUE($A287),'changes1_based on steps'!R$1:R$400,0)),R$2,)</f>
        <v>0</v>
      </c>
      <c r="S287" s="155">
        <f ca="1">IF(ISNUMBER(MATCH(DATEVALUE($A287),'changes1_based on steps'!S$1:S$400,0)),S$2,)</f>
        <v>0</v>
      </c>
      <c r="T287" s="155">
        <f ca="1">IF(ISNUMBER(MATCH(DATEVALUE($A287),'changes1_based on steps'!T$1:T$400,0)),T$2,)</f>
        <v>0</v>
      </c>
      <c r="U287" s="155">
        <f ca="1">IF(ISNUMBER(MATCH(DATEVALUE($A287),'changes1_based on steps'!U$1:U$400,0)),U$2,)</f>
        <v>0</v>
      </c>
    </row>
    <row r="288" spans="1:21" x14ac:dyDescent="0.2">
      <c r="A288" s="18" t="str">
        <f t="shared" ca="1" si="4"/>
        <v>2025-11-13</v>
      </c>
      <c r="B288" s="155">
        <f ca="1">IF(ISNUMBER(MATCH(DATEVALUE($A288),'changes1_based on steps'!B$1:B$400,0)),B$2,)</f>
        <v>0</v>
      </c>
      <c r="C288" s="155">
        <f ca="1">IF(ISNUMBER(MATCH(DATEVALUE($A288),'changes1_based on steps'!C$1:C$400,0)),C$2,)</f>
        <v>0</v>
      </c>
      <c r="D288" s="155">
        <f ca="1">IF(ISNUMBER(MATCH(DATEVALUE($A288),'changes1_based on steps'!D$1:D$400,0)),D$2,)</f>
        <v>0</v>
      </c>
      <c r="E288" s="155">
        <f ca="1">IF(ISNUMBER(MATCH(DATEVALUE($A288),'changes1_based on steps'!E$1:E$400,0)),E$2,)</f>
        <v>0</v>
      </c>
      <c r="F288" s="155">
        <f ca="1">IF(ISNUMBER(MATCH(DATEVALUE($A288),'changes1_based on steps'!F$1:F$400,0)),F$2,)</f>
        <v>0</v>
      </c>
      <c r="G288" s="155">
        <f ca="1">IF(ISNUMBER(MATCH(DATEVALUE($A288),'changes1_based on steps'!G$1:G$400,0)),G$2,)</f>
        <v>0</v>
      </c>
      <c r="H288" s="155">
        <f ca="1">IF(ISNUMBER(MATCH(DATEVALUE($A288),'changes1_based on steps'!H$1:H$400,0)),H$2,)</f>
        <v>0</v>
      </c>
      <c r="I288" s="155">
        <f ca="1">IF(ISNUMBER(MATCH(DATEVALUE($A288),'changes1_based on steps'!I$1:I$400,0)),I$2,)</f>
        <v>0</v>
      </c>
      <c r="J288" s="155">
        <f ca="1">IF(ISNUMBER(MATCH(DATEVALUE($A288),'changes1_based on steps'!J$1:J$400,0)),J$2,)</f>
        <v>0</v>
      </c>
      <c r="K288" s="155">
        <f ca="1">IF(ISNUMBER(MATCH(DATEVALUE($A288),'changes1_based on steps'!K$1:K$400,0)),K$2,)</f>
        <v>0</v>
      </c>
      <c r="L288" s="155">
        <f ca="1">IF(ISNUMBER(MATCH(DATEVALUE($A288),'changes1_based on steps'!L$1:L$400,0)),L$2,)</f>
        <v>0</v>
      </c>
      <c r="M288" s="155">
        <f ca="1">IF(ISNUMBER(MATCH(DATEVALUE($A288),'changes1_based on steps'!M$1:M$400,0)),M$2,)</f>
        <v>0</v>
      </c>
      <c r="N288" s="155">
        <f ca="1">IF(ISNUMBER(MATCH(DATEVALUE($A288),'changes1_based on steps'!N$1:N$400,0)),N$2,)</f>
        <v>0</v>
      </c>
      <c r="O288" s="155">
        <f ca="1">IF(ISNUMBER(MATCH(DATEVALUE($A288),'changes1_based on steps'!O$1:O$400,0)),O$2,)</f>
        <v>0</v>
      </c>
      <c r="P288" s="155">
        <f ca="1">IF(ISNUMBER(MATCH(DATEVALUE($A288),'changes1_based on steps'!P$1:P$400,0)),P$2,)</f>
        <v>0</v>
      </c>
      <c r="Q288" s="155">
        <f ca="1">IF(ISNUMBER(MATCH(DATEVALUE($A288),'changes1_based on steps'!Q$1:Q$400,0)),Q$2,)</f>
        <v>0</v>
      </c>
      <c r="R288" s="155">
        <f ca="1">IF(ISNUMBER(MATCH(DATEVALUE($A288),'changes1_based on steps'!R$1:R$400,0)),R$2,)</f>
        <v>0</v>
      </c>
      <c r="S288" s="155">
        <f ca="1">IF(ISNUMBER(MATCH(DATEVALUE($A288),'changes1_based on steps'!S$1:S$400,0)),S$2,)</f>
        <v>0</v>
      </c>
      <c r="T288" s="155">
        <f ca="1">IF(ISNUMBER(MATCH(DATEVALUE($A288),'changes1_based on steps'!T$1:T$400,0)),T$2,)</f>
        <v>0</v>
      </c>
      <c r="U288" s="155">
        <f ca="1">IF(ISNUMBER(MATCH(DATEVALUE($A288),'changes1_based on steps'!U$1:U$400,0)),U$2,)</f>
        <v>0</v>
      </c>
    </row>
    <row r="289" spans="1:21" x14ac:dyDescent="0.2">
      <c r="A289" s="18" t="str">
        <f t="shared" ca="1" si="4"/>
        <v>2025-11-14</v>
      </c>
      <c r="B289" s="155">
        <f ca="1">IF(ISNUMBER(MATCH(DATEVALUE($A289),'changes1_based on steps'!B$1:B$400,0)),B$2,)</f>
        <v>0</v>
      </c>
      <c r="C289" s="155">
        <f ca="1">IF(ISNUMBER(MATCH(DATEVALUE($A289),'changes1_based on steps'!C$1:C$400,0)),C$2,)</f>
        <v>0</v>
      </c>
      <c r="D289" s="155">
        <f ca="1">IF(ISNUMBER(MATCH(DATEVALUE($A289),'changes1_based on steps'!D$1:D$400,0)),D$2,)</f>
        <v>0</v>
      </c>
      <c r="E289" s="155">
        <f ca="1">IF(ISNUMBER(MATCH(DATEVALUE($A289),'changes1_based on steps'!E$1:E$400,0)),E$2,)</f>
        <v>0</v>
      </c>
      <c r="F289" s="155">
        <f ca="1">IF(ISNUMBER(MATCH(DATEVALUE($A289),'changes1_based on steps'!F$1:F$400,0)),F$2,)</f>
        <v>0</v>
      </c>
      <c r="G289" s="155">
        <f ca="1">IF(ISNUMBER(MATCH(DATEVALUE($A289),'changes1_based on steps'!G$1:G$400,0)),G$2,)</f>
        <v>0</v>
      </c>
      <c r="H289" s="155">
        <f ca="1">IF(ISNUMBER(MATCH(DATEVALUE($A289),'changes1_based on steps'!H$1:H$400,0)),H$2,)</f>
        <v>0</v>
      </c>
      <c r="I289" s="155">
        <f ca="1">IF(ISNUMBER(MATCH(DATEVALUE($A289),'changes1_based on steps'!I$1:I$400,0)),I$2,)</f>
        <v>0</v>
      </c>
      <c r="J289" s="155">
        <f ca="1">IF(ISNUMBER(MATCH(DATEVALUE($A289),'changes1_based on steps'!J$1:J$400,0)),J$2,)</f>
        <v>0</v>
      </c>
      <c r="K289" s="155">
        <f ca="1">IF(ISNUMBER(MATCH(DATEVALUE($A289),'changes1_based on steps'!K$1:K$400,0)),K$2,)</f>
        <v>0</v>
      </c>
      <c r="L289" s="155">
        <f ca="1">IF(ISNUMBER(MATCH(DATEVALUE($A289),'changes1_based on steps'!L$1:L$400,0)),L$2,)</f>
        <v>0</v>
      </c>
      <c r="M289" s="155">
        <f ca="1">IF(ISNUMBER(MATCH(DATEVALUE($A289),'changes1_based on steps'!M$1:M$400,0)),M$2,)</f>
        <v>0</v>
      </c>
      <c r="N289" s="155">
        <f ca="1">IF(ISNUMBER(MATCH(DATEVALUE($A289),'changes1_based on steps'!N$1:N$400,0)),N$2,)</f>
        <v>0</v>
      </c>
      <c r="O289" s="155">
        <f ca="1">IF(ISNUMBER(MATCH(DATEVALUE($A289),'changes1_based on steps'!O$1:O$400,0)),O$2,)</f>
        <v>0</v>
      </c>
      <c r="P289" s="155">
        <f ca="1">IF(ISNUMBER(MATCH(DATEVALUE($A289),'changes1_based on steps'!P$1:P$400,0)),P$2,)</f>
        <v>0</v>
      </c>
      <c r="Q289" s="155">
        <f ca="1">IF(ISNUMBER(MATCH(DATEVALUE($A289),'changes1_based on steps'!Q$1:Q$400,0)),Q$2,)</f>
        <v>0</v>
      </c>
      <c r="R289" s="155">
        <f ca="1">IF(ISNUMBER(MATCH(DATEVALUE($A289),'changes1_based on steps'!R$1:R$400,0)),R$2,)</f>
        <v>0</v>
      </c>
      <c r="S289" s="155">
        <f ca="1">IF(ISNUMBER(MATCH(DATEVALUE($A289),'changes1_based on steps'!S$1:S$400,0)),S$2,)</f>
        <v>0</v>
      </c>
      <c r="T289" s="155">
        <f ca="1">IF(ISNUMBER(MATCH(DATEVALUE($A289),'changes1_based on steps'!T$1:T$400,0)),T$2,)</f>
        <v>0</v>
      </c>
      <c r="U289" s="155">
        <f ca="1">IF(ISNUMBER(MATCH(DATEVALUE($A289),'changes1_based on steps'!U$1:U$400,0)),U$2,)</f>
        <v>0</v>
      </c>
    </row>
    <row r="290" spans="1:21" x14ac:dyDescent="0.2">
      <c r="A290" s="18" t="str">
        <f t="shared" ca="1" si="4"/>
        <v>2025-11-15</v>
      </c>
      <c r="B290" s="155">
        <f ca="1">IF(ISNUMBER(MATCH(DATEVALUE($A290),'changes1_based on steps'!B$1:B$400,0)),B$2,)</f>
        <v>0</v>
      </c>
      <c r="C290" s="155">
        <f ca="1">IF(ISNUMBER(MATCH(DATEVALUE($A290),'changes1_based on steps'!C$1:C$400,0)),C$2,)</f>
        <v>0</v>
      </c>
      <c r="D290" s="155">
        <f ca="1">IF(ISNUMBER(MATCH(DATEVALUE($A290),'changes1_based on steps'!D$1:D$400,0)),D$2,)</f>
        <v>0</v>
      </c>
      <c r="E290" s="155">
        <f ca="1">IF(ISNUMBER(MATCH(DATEVALUE($A290),'changes1_based on steps'!E$1:E$400,0)),E$2,)</f>
        <v>0</v>
      </c>
      <c r="F290" s="155">
        <f ca="1">IF(ISNUMBER(MATCH(DATEVALUE($A290),'changes1_based on steps'!F$1:F$400,0)),F$2,)</f>
        <v>0</v>
      </c>
      <c r="G290" s="155">
        <f ca="1">IF(ISNUMBER(MATCH(DATEVALUE($A290),'changes1_based on steps'!G$1:G$400,0)),G$2,)</f>
        <v>0</v>
      </c>
      <c r="H290" s="155">
        <f ca="1">IF(ISNUMBER(MATCH(DATEVALUE($A290),'changes1_based on steps'!H$1:H$400,0)),H$2,)</f>
        <v>0</v>
      </c>
      <c r="I290" s="155">
        <f ca="1">IF(ISNUMBER(MATCH(DATEVALUE($A290),'changes1_based on steps'!I$1:I$400,0)),I$2,)</f>
        <v>0</v>
      </c>
      <c r="J290" s="155">
        <f ca="1">IF(ISNUMBER(MATCH(DATEVALUE($A290),'changes1_based on steps'!J$1:J$400,0)),J$2,)</f>
        <v>0</v>
      </c>
      <c r="K290" s="155">
        <f ca="1">IF(ISNUMBER(MATCH(DATEVALUE($A290),'changes1_based on steps'!K$1:K$400,0)),K$2,)</f>
        <v>0</v>
      </c>
      <c r="L290" s="155">
        <f ca="1">IF(ISNUMBER(MATCH(DATEVALUE($A290),'changes1_based on steps'!L$1:L$400,0)),L$2,)</f>
        <v>0</v>
      </c>
      <c r="M290" s="155">
        <f ca="1">IF(ISNUMBER(MATCH(DATEVALUE($A290),'changes1_based on steps'!M$1:M$400,0)),M$2,)</f>
        <v>0</v>
      </c>
      <c r="N290" s="155">
        <f ca="1">IF(ISNUMBER(MATCH(DATEVALUE($A290),'changes1_based on steps'!N$1:N$400,0)),N$2,)</f>
        <v>0</v>
      </c>
      <c r="O290" s="155">
        <f ca="1">IF(ISNUMBER(MATCH(DATEVALUE($A290),'changes1_based on steps'!O$1:O$400,0)),O$2,)</f>
        <v>0</v>
      </c>
      <c r="P290" s="155">
        <f ca="1">IF(ISNUMBER(MATCH(DATEVALUE($A290),'changes1_based on steps'!P$1:P$400,0)),P$2,)</f>
        <v>0</v>
      </c>
      <c r="Q290" s="155">
        <f ca="1">IF(ISNUMBER(MATCH(DATEVALUE($A290),'changes1_based on steps'!Q$1:Q$400,0)),Q$2,)</f>
        <v>0</v>
      </c>
      <c r="R290" s="155">
        <f ca="1">IF(ISNUMBER(MATCH(DATEVALUE($A290),'changes1_based on steps'!R$1:R$400,0)),R$2,)</f>
        <v>0</v>
      </c>
      <c r="S290" s="155">
        <f ca="1">IF(ISNUMBER(MATCH(DATEVALUE($A290),'changes1_based on steps'!S$1:S$400,0)),S$2,)</f>
        <v>0</v>
      </c>
      <c r="T290" s="155">
        <f ca="1">IF(ISNUMBER(MATCH(DATEVALUE($A290),'changes1_based on steps'!T$1:T$400,0)),T$2,)</f>
        <v>0</v>
      </c>
      <c r="U290" s="155">
        <f ca="1">IF(ISNUMBER(MATCH(DATEVALUE($A290),'changes1_based on steps'!U$1:U$400,0)),U$2,)</f>
        <v>0</v>
      </c>
    </row>
    <row r="291" spans="1:21" x14ac:dyDescent="0.2">
      <c r="A291" s="18" t="str">
        <f t="shared" ca="1" si="4"/>
        <v>2025-11-16</v>
      </c>
      <c r="B291" s="155">
        <f ca="1">IF(ISNUMBER(MATCH(DATEVALUE($A291),'changes1_based on steps'!B$1:B$400,0)),B$2,)</f>
        <v>0</v>
      </c>
      <c r="C291" s="155">
        <f ca="1">IF(ISNUMBER(MATCH(DATEVALUE($A291),'changes1_based on steps'!C$1:C$400,0)),C$2,)</f>
        <v>0</v>
      </c>
      <c r="D291" s="155">
        <f ca="1">IF(ISNUMBER(MATCH(DATEVALUE($A291),'changes1_based on steps'!D$1:D$400,0)),D$2,)</f>
        <v>0</v>
      </c>
      <c r="E291" s="155">
        <f ca="1">IF(ISNUMBER(MATCH(DATEVALUE($A291),'changes1_based on steps'!E$1:E$400,0)),E$2,)</f>
        <v>0</v>
      </c>
      <c r="F291" s="155">
        <f ca="1">IF(ISNUMBER(MATCH(DATEVALUE($A291),'changes1_based on steps'!F$1:F$400,0)),F$2,)</f>
        <v>0</v>
      </c>
      <c r="G291" s="155">
        <f ca="1">IF(ISNUMBER(MATCH(DATEVALUE($A291),'changes1_based on steps'!G$1:G$400,0)),G$2,)</f>
        <v>0</v>
      </c>
      <c r="H291" s="155">
        <f ca="1">IF(ISNUMBER(MATCH(DATEVALUE($A291),'changes1_based on steps'!H$1:H$400,0)),H$2,)</f>
        <v>0</v>
      </c>
      <c r="I291" s="155">
        <f ca="1">IF(ISNUMBER(MATCH(DATEVALUE($A291),'changes1_based on steps'!I$1:I$400,0)),I$2,)</f>
        <v>0</v>
      </c>
      <c r="J291" s="155">
        <f ca="1">IF(ISNUMBER(MATCH(DATEVALUE($A291),'changes1_based on steps'!J$1:J$400,0)),J$2,)</f>
        <v>0</v>
      </c>
      <c r="K291" s="155">
        <f ca="1">IF(ISNUMBER(MATCH(DATEVALUE($A291),'changes1_based on steps'!K$1:K$400,0)),K$2,)</f>
        <v>0</v>
      </c>
      <c r="L291" s="155">
        <f ca="1">IF(ISNUMBER(MATCH(DATEVALUE($A291),'changes1_based on steps'!L$1:L$400,0)),L$2,)</f>
        <v>0</v>
      </c>
      <c r="M291" s="155">
        <f ca="1">IF(ISNUMBER(MATCH(DATEVALUE($A291),'changes1_based on steps'!M$1:M$400,0)),M$2,)</f>
        <v>0</v>
      </c>
      <c r="N291" s="155">
        <f ca="1">IF(ISNUMBER(MATCH(DATEVALUE($A291),'changes1_based on steps'!N$1:N$400,0)),N$2,)</f>
        <v>0</v>
      </c>
      <c r="O291" s="155">
        <f ca="1">IF(ISNUMBER(MATCH(DATEVALUE($A291),'changes1_based on steps'!O$1:O$400,0)),O$2,)</f>
        <v>0</v>
      </c>
      <c r="P291" s="155">
        <f ca="1">IF(ISNUMBER(MATCH(DATEVALUE($A291),'changes1_based on steps'!P$1:P$400,0)),P$2,)</f>
        <v>0</v>
      </c>
      <c r="Q291" s="155">
        <f ca="1">IF(ISNUMBER(MATCH(DATEVALUE($A291),'changes1_based on steps'!Q$1:Q$400,0)),Q$2,)</f>
        <v>0</v>
      </c>
      <c r="R291" s="155">
        <f ca="1">IF(ISNUMBER(MATCH(DATEVALUE($A291),'changes1_based on steps'!R$1:R$400,0)),R$2,)</f>
        <v>0</v>
      </c>
      <c r="S291" s="155">
        <f ca="1">IF(ISNUMBER(MATCH(DATEVALUE($A291),'changes1_based on steps'!S$1:S$400,0)),S$2,)</f>
        <v>0</v>
      </c>
      <c r="T291" s="155">
        <f ca="1">IF(ISNUMBER(MATCH(DATEVALUE($A291),'changes1_based on steps'!T$1:T$400,0)),T$2,)</f>
        <v>0</v>
      </c>
      <c r="U291" s="155">
        <f ca="1">IF(ISNUMBER(MATCH(DATEVALUE($A291),'changes1_based on steps'!U$1:U$400,0)),U$2,)</f>
        <v>0</v>
      </c>
    </row>
    <row r="292" spans="1:21" x14ac:dyDescent="0.2">
      <c r="A292" s="18" t="str">
        <f t="shared" ca="1" si="4"/>
        <v>2025-11-17</v>
      </c>
      <c r="B292" s="155">
        <f ca="1">IF(ISNUMBER(MATCH(DATEVALUE($A292),'changes1_based on steps'!B$1:B$400,0)),B$2,)</f>
        <v>0</v>
      </c>
      <c r="C292" s="155">
        <f ca="1">IF(ISNUMBER(MATCH(DATEVALUE($A292),'changes1_based on steps'!C$1:C$400,0)),C$2,)</f>
        <v>0</v>
      </c>
      <c r="D292" s="155">
        <f ca="1">IF(ISNUMBER(MATCH(DATEVALUE($A292),'changes1_based on steps'!D$1:D$400,0)),D$2,)</f>
        <v>0</v>
      </c>
      <c r="E292" s="155">
        <f ca="1">IF(ISNUMBER(MATCH(DATEVALUE($A292),'changes1_based on steps'!E$1:E$400,0)),E$2,)</f>
        <v>0</v>
      </c>
      <c r="F292" s="155">
        <f ca="1">IF(ISNUMBER(MATCH(DATEVALUE($A292),'changes1_based on steps'!F$1:F$400,0)),F$2,)</f>
        <v>0</v>
      </c>
      <c r="G292" s="155">
        <f ca="1">IF(ISNUMBER(MATCH(DATEVALUE($A292),'changes1_based on steps'!G$1:G$400,0)),G$2,)</f>
        <v>0</v>
      </c>
      <c r="H292" s="155">
        <f ca="1">IF(ISNUMBER(MATCH(DATEVALUE($A292),'changes1_based on steps'!H$1:H$400,0)),H$2,)</f>
        <v>0</v>
      </c>
      <c r="I292" s="155">
        <f ca="1">IF(ISNUMBER(MATCH(DATEVALUE($A292),'changes1_based on steps'!I$1:I$400,0)),I$2,)</f>
        <v>0</v>
      </c>
      <c r="J292" s="155">
        <f ca="1">IF(ISNUMBER(MATCH(DATEVALUE($A292),'changes1_based on steps'!J$1:J$400,0)),J$2,)</f>
        <v>0</v>
      </c>
      <c r="K292" s="155">
        <f ca="1">IF(ISNUMBER(MATCH(DATEVALUE($A292),'changes1_based on steps'!K$1:K$400,0)),K$2,)</f>
        <v>0</v>
      </c>
      <c r="L292" s="155">
        <f ca="1">IF(ISNUMBER(MATCH(DATEVALUE($A292),'changes1_based on steps'!L$1:L$400,0)),L$2,)</f>
        <v>0</v>
      </c>
      <c r="M292" s="155">
        <f ca="1">IF(ISNUMBER(MATCH(DATEVALUE($A292),'changes1_based on steps'!M$1:M$400,0)),M$2,)</f>
        <v>0</v>
      </c>
      <c r="N292" s="155">
        <f ca="1">IF(ISNUMBER(MATCH(DATEVALUE($A292),'changes1_based on steps'!N$1:N$400,0)),N$2,)</f>
        <v>0</v>
      </c>
      <c r="O292" s="155">
        <f ca="1">IF(ISNUMBER(MATCH(DATEVALUE($A292),'changes1_based on steps'!O$1:O$400,0)),O$2,)</f>
        <v>0</v>
      </c>
      <c r="P292" s="155">
        <f ca="1">IF(ISNUMBER(MATCH(DATEVALUE($A292),'changes1_based on steps'!P$1:P$400,0)),P$2,)</f>
        <v>0</v>
      </c>
      <c r="Q292" s="155">
        <f ca="1">IF(ISNUMBER(MATCH(DATEVALUE($A292),'changes1_based on steps'!Q$1:Q$400,0)),Q$2,)</f>
        <v>0</v>
      </c>
      <c r="R292" s="155">
        <f ca="1">IF(ISNUMBER(MATCH(DATEVALUE($A292),'changes1_based on steps'!R$1:R$400,0)),R$2,)</f>
        <v>0</v>
      </c>
      <c r="S292" s="155">
        <f ca="1">IF(ISNUMBER(MATCH(DATEVALUE($A292),'changes1_based on steps'!S$1:S$400,0)),S$2,)</f>
        <v>0</v>
      </c>
      <c r="T292" s="155">
        <f ca="1">IF(ISNUMBER(MATCH(DATEVALUE($A292),'changes1_based on steps'!T$1:T$400,0)),T$2,)</f>
        <v>0</v>
      </c>
      <c r="U292" s="155">
        <f ca="1">IF(ISNUMBER(MATCH(DATEVALUE($A292),'changes1_based on steps'!U$1:U$400,0)),U$2,)</f>
        <v>0</v>
      </c>
    </row>
    <row r="293" spans="1:21" x14ac:dyDescent="0.2">
      <c r="A293" s="18" t="str">
        <f t="shared" ca="1" si="4"/>
        <v>2025-11-18</v>
      </c>
      <c r="B293" s="155">
        <f ca="1">IF(ISNUMBER(MATCH(DATEVALUE($A293),'changes1_based on steps'!B$1:B$400,0)),B$2,)</f>
        <v>0</v>
      </c>
      <c r="C293" s="155">
        <f ca="1">IF(ISNUMBER(MATCH(DATEVALUE($A293),'changes1_based on steps'!C$1:C$400,0)),C$2,)</f>
        <v>0</v>
      </c>
      <c r="D293" s="155">
        <f ca="1">IF(ISNUMBER(MATCH(DATEVALUE($A293),'changes1_based on steps'!D$1:D$400,0)),D$2,)</f>
        <v>0</v>
      </c>
      <c r="E293" s="155">
        <f ca="1">IF(ISNUMBER(MATCH(DATEVALUE($A293),'changes1_based on steps'!E$1:E$400,0)),E$2,)</f>
        <v>0</v>
      </c>
      <c r="F293" s="155">
        <f ca="1">IF(ISNUMBER(MATCH(DATEVALUE($A293),'changes1_based on steps'!F$1:F$400,0)),F$2,)</f>
        <v>0</v>
      </c>
      <c r="G293" s="155">
        <f ca="1">IF(ISNUMBER(MATCH(DATEVALUE($A293),'changes1_based on steps'!G$1:G$400,0)),G$2,)</f>
        <v>0</v>
      </c>
      <c r="H293" s="155">
        <f ca="1">IF(ISNUMBER(MATCH(DATEVALUE($A293),'changes1_based on steps'!H$1:H$400,0)),H$2,)</f>
        <v>0</v>
      </c>
      <c r="I293" s="155">
        <f ca="1">IF(ISNUMBER(MATCH(DATEVALUE($A293),'changes1_based on steps'!I$1:I$400,0)),I$2,)</f>
        <v>0</v>
      </c>
      <c r="J293" s="155">
        <f ca="1">IF(ISNUMBER(MATCH(DATEVALUE($A293),'changes1_based on steps'!J$1:J$400,0)),J$2,)</f>
        <v>0</v>
      </c>
      <c r="K293" s="155">
        <f ca="1">IF(ISNUMBER(MATCH(DATEVALUE($A293),'changes1_based on steps'!K$1:K$400,0)),K$2,)</f>
        <v>0</v>
      </c>
      <c r="L293" s="155">
        <f ca="1">IF(ISNUMBER(MATCH(DATEVALUE($A293),'changes1_based on steps'!L$1:L$400,0)),L$2,)</f>
        <v>0</v>
      </c>
      <c r="M293" s="155">
        <f ca="1">IF(ISNUMBER(MATCH(DATEVALUE($A293),'changes1_based on steps'!M$1:M$400,0)),M$2,)</f>
        <v>0</v>
      </c>
      <c r="N293" s="155">
        <f ca="1">IF(ISNUMBER(MATCH(DATEVALUE($A293),'changes1_based on steps'!N$1:N$400,0)),N$2,)</f>
        <v>0</v>
      </c>
      <c r="O293" s="155">
        <f ca="1">IF(ISNUMBER(MATCH(DATEVALUE($A293),'changes1_based on steps'!O$1:O$400,0)),O$2,)</f>
        <v>0</v>
      </c>
      <c r="P293" s="155">
        <f ca="1">IF(ISNUMBER(MATCH(DATEVALUE($A293),'changes1_based on steps'!P$1:P$400,0)),P$2,)</f>
        <v>0</v>
      </c>
      <c r="Q293" s="155">
        <f ca="1">IF(ISNUMBER(MATCH(DATEVALUE($A293),'changes1_based on steps'!Q$1:Q$400,0)),Q$2,)</f>
        <v>0</v>
      </c>
      <c r="R293" s="155">
        <f ca="1">IF(ISNUMBER(MATCH(DATEVALUE($A293),'changes1_based on steps'!R$1:R$400,0)),R$2,)</f>
        <v>0</v>
      </c>
      <c r="S293" s="155">
        <f ca="1">IF(ISNUMBER(MATCH(DATEVALUE($A293),'changes1_based on steps'!S$1:S$400,0)),S$2,)</f>
        <v>0</v>
      </c>
      <c r="T293" s="155">
        <f ca="1">IF(ISNUMBER(MATCH(DATEVALUE($A293),'changes1_based on steps'!T$1:T$400,0)),T$2,)</f>
        <v>0</v>
      </c>
      <c r="U293" s="155">
        <f ca="1">IF(ISNUMBER(MATCH(DATEVALUE($A293),'changes1_based on steps'!U$1:U$400,0)),U$2,)</f>
        <v>0</v>
      </c>
    </row>
    <row r="294" spans="1:21" x14ac:dyDescent="0.2">
      <c r="A294" s="18" t="str">
        <f t="shared" ca="1" si="4"/>
        <v>2025-11-19</v>
      </c>
      <c r="B294" s="155">
        <f ca="1">IF(ISNUMBER(MATCH(DATEVALUE($A294),'changes1_based on steps'!B$1:B$400,0)),B$2,)</f>
        <v>100</v>
      </c>
      <c r="C294" s="155">
        <f ca="1">IF(ISNUMBER(MATCH(DATEVALUE($A294),'changes1_based on steps'!C$1:C$400,0)),C$2,)</f>
        <v>0</v>
      </c>
      <c r="D294" s="155">
        <f ca="1">IF(ISNUMBER(MATCH(DATEVALUE($A294),'changes1_based on steps'!D$1:D$400,0)),D$2,)</f>
        <v>0</v>
      </c>
      <c r="E294" s="155">
        <f ca="1">IF(ISNUMBER(MATCH(DATEVALUE($A294),'changes1_based on steps'!E$1:E$400,0)),E$2,)</f>
        <v>0</v>
      </c>
      <c r="F294" s="155">
        <f ca="1">IF(ISNUMBER(MATCH(DATEVALUE($A294),'changes1_based on steps'!F$1:F$400,0)),F$2,)</f>
        <v>0</v>
      </c>
      <c r="G294" s="155">
        <f ca="1">IF(ISNUMBER(MATCH(DATEVALUE($A294),'changes1_based on steps'!G$1:G$400,0)),G$2,)</f>
        <v>0</v>
      </c>
      <c r="H294" s="155">
        <f ca="1">IF(ISNUMBER(MATCH(DATEVALUE($A294),'changes1_based on steps'!H$1:H$400,0)),H$2,)</f>
        <v>0</v>
      </c>
      <c r="I294" s="155">
        <f ca="1">IF(ISNUMBER(MATCH(DATEVALUE($A294),'changes1_based on steps'!I$1:I$400,0)),I$2,)</f>
        <v>0</v>
      </c>
      <c r="J294" s="155">
        <f ca="1">IF(ISNUMBER(MATCH(DATEVALUE($A294),'changes1_based on steps'!J$1:J$400,0)),J$2,)</f>
        <v>0</v>
      </c>
      <c r="K294" s="155">
        <f ca="1">IF(ISNUMBER(MATCH(DATEVALUE($A294),'changes1_based on steps'!K$1:K$400,0)),K$2,)</f>
        <v>0</v>
      </c>
      <c r="L294" s="155">
        <f ca="1">IF(ISNUMBER(MATCH(DATEVALUE($A294),'changes1_based on steps'!L$1:L$400,0)),L$2,)</f>
        <v>0</v>
      </c>
      <c r="M294" s="155">
        <f ca="1">IF(ISNUMBER(MATCH(DATEVALUE($A294),'changes1_based on steps'!M$1:M$400,0)),M$2,)</f>
        <v>0</v>
      </c>
      <c r="N294" s="155">
        <f ca="1">IF(ISNUMBER(MATCH(DATEVALUE($A294),'changes1_based on steps'!N$1:N$400,0)),N$2,)</f>
        <v>0</v>
      </c>
      <c r="O294" s="155">
        <f ca="1">IF(ISNUMBER(MATCH(DATEVALUE($A294),'changes1_based on steps'!O$1:O$400,0)),O$2,)</f>
        <v>0</v>
      </c>
      <c r="P294" s="155">
        <f ca="1">IF(ISNUMBER(MATCH(DATEVALUE($A294),'changes1_based on steps'!P$1:P$400,0)),P$2,)</f>
        <v>0</v>
      </c>
      <c r="Q294" s="155">
        <f ca="1">IF(ISNUMBER(MATCH(DATEVALUE($A294),'changes1_based on steps'!Q$1:Q$400,0)),Q$2,)</f>
        <v>0</v>
      </c>
      <c r="R294" s="155">
        <f ca="1">IF(ISNUMBER(MATCH(DATEVALUE($A294),'changes1_based on steps'!R$1:R$400,0)),R$2,)</f>
        <v>0</v>
      </c>
      <c r="S294" s="155">
        <f ca="1">IF(ISNUMBER(MATCH(DATEVALUE($A294),'changes1_based on steps'!S$1:S$400,0)),S$2,)</f>
        <v>0</v>
      </c>
      <c r="T294" s="155">
        <f ca="1">IF(ISNUMBER(MATCH(DATEVALUE($A294),'changes1_based on steps'!T$1:T$400,0)),T$2,)</f>
        <v>0</v>
      </c>
      <c r="U294" s="155">
        <f ca="1">IF(ISNUMBER(MATCH(DATEVALUE($A294),'changes1_based on steps'!U$1:U$400,0)),U$2,)</f>
        <v>0</v>
      </c>
    </row>
    <row r="295" spans="1:21" x14ac:dyDescent="0.2">
      <c r="A295" s="18" t="str">
        <f t="shared" ca="1" si="4"/>
        <v>2025-11-20</v>
      </c>
      <c r="B295" s="155">
        <f ca="1">IF(ISNUMBER(MATCH(DATEVALUE($A295),'changes1_based on steps'!B$1:B$400,0)),B$2,)</f>
        <v>0</v>
      </c>
      <c r="C295" s="155">
        <f ca="1">IF(ISNUMBER(MATCH(DATEVALUE($A295),'changes1_based on steps'!C$1:C$400,0)),C$2,)</f>
        <v>0</v>
      </c>
      <c r="D295" s="155">
        <f ca="1">IF(ISNUMBER(MATCH(DATEVALUE($A295),'changes1_based on steps'!D$1:D$400,0)),D$2,)</f>
        <v>0</v>
      </c>
      <c r="E295" s="155">
        <f ca="1">IF(ISNUMBER(MATCH(DATEVALUE($A295),'changes1_based on steps'!E$1:E$400,0)),E$2,)</f>
        <v>0</v>
      </c>
      <c r="F295" s="155">
        <f ca="1">IF(ISNUMBER(MATCH(DATEVALUE($A295),'changes1_based on steps'!F$1:F$400,0)),F$2,)</f>
        <v>0</v>
      </c>
      <c r="G295" s="155">
        <f ca="1">IF(ISNUMBER(MATCH(DATEVALUE($A295),'changes1_based on steps'!G$1:G$400,0)),G$2,)</f>
        <v>0</v>
      </c>
      <c r="H295" s="155">
        <f ca="1">IF(ISNUMBER(MATCH(DATEVALUE($A295),'changes1_based on steps'!H$1:H$400,0)),H$2,)</f>
        <v>0</v>
      </c>
      <c r="I295" s="155">
        <f ca="1">IF(ISNUMBER(MATCH(DATEVALUE($A295),'changes1_based on steps'!I$1:I$400,0)),I$2,)</f>
        <v>0</v>
      </c>
      <c r="J295" s="155">
        <f ca="1">IF(ISNUMBER(MATCH(DATEVALUE($A295),'changes1_based on steps'!J$1:J$400,0)),J$2,)</f>
        <v>0</v>
      </c>
      <c r="K295" s="155">
        <f ca="1">IF(ISNUMBER(MATCH(DATEVALUE($A295),'changes1_based on steps'!K$1:K$400,0)),K$2,)</f>
        <v>0</v>
      </c>
      <c r="L295" s="155">
        <f ca="1">IF(ISNUMBER(MATCH(DATEVALUE($A295),'changes1_based on steps'!L$1:L$400,0)),L$2,)</f>
        <v>0</v>
      </c>
      <c r="M295" s="155">
        <f ca="1">IF(ISNUMBER(MATCH(DATEVALUE($A295),'changes1_based on steps'!M$1:M$400,0)),M$2,)</f>
        <v>0</v>
      </c>
      <c r="N295" s="155">
        <f ca="1">IF(ISNUMBER(MATCH(DATEVALUE($A295),'changes1_based on steps'!N$1:N$400,0)),N$2,)</f>
        <v>0</v>
      </c>
      <c r="O295" s="155">
        <f ca="1">IF(ISNUMBER(MATCH(DATEVALUE($A295),'changes1_based on steps'!O$1:O$400,0)),O$2,)</f>
        <v>0</v>
      </c>
      <c r="P295" s="155">
        <f ca="1">IF(ISNUMBER(MATCH(DATEVALUE($A295),'changes1_based on steps'!P$1:P$400,0)),P$2,)</f>
        <v>0</v>
      </c>
      <c r="Q295" s="155">
        <f ca="1">IF(ISNUMBER(MATCH(DATEVALUE($A295),'changes1_based on steps'!Q$1:Q$400,0)),Q$2,)</f>
        <v>0</v>
      </c>
      <c r="R295" s="155">
        <f ca="1">IF(ISNUMBER(MATCH(DATEVALUE($A295),'changes1_based on steps'!R$1:R$400,0)),R$2,)</f>
        <v>0</v>
      </c>
      <c r="S295" s="155">
        <f ca="1">IF(ISNUMBER(MATCH(DATEVALUE($A295),'changes1_based on steps'!S$1:S$400,0)),S$2,)</f>
        <v>0</v>
      </c>
      <c r="T295" s="155">
        <f ca="1">IF(ISNUMBER(MATCH(DATEVALUE($A295),'changes1_based on steps'!T$1:T$400,0)),T$2,)</f>
        <v>0</v>
      </c>
      <c r="U295" s="155">
        <f ca="1">IF(ISNUMBER(MATCH(DATEVALUE($A295),'changes1_based on steps'!U$1:U$400,0)),U$2,)</f>
        <v>0</v>
      </c>
    </row>
    <row r="296" spans="1:21" x14ac:dyDescent="0.2">
      <c r="A296" s="18" t="str">
        <f t="shared" ca="1" si="4"/>
        <v>2025-11-21</v>
      </c>
      <c r="B296" s="155">
        <f ca="1">IF(ISNUMBER(MATCH(DATEVALUE($A296),'changes1_based on steps'!B$1:B$400,0)),B$2,)</f>
        <v>0</v>
      </c>
      <c r="C296" s="155">
        <f ca="1">IF(ISNUMBER(MATCH(DATEVALUE($A296),'changes1_based on steps'!C$1:C$400,0)),C$2,)</f>
        <v>0</v>
      </c>
      <c r="D296" s="155">
        <f ca="1">IF(ISNUMBER(MATCH(DATEVALUE($A296),'changes1_based on steps'!D$1:D$400,0)),D$2,)</f>
        <v>0</v>
      </c>
      <c r="E296" s="155">
        <f ca="1">IF(ISNUMBER(MATCH(DATEVALUE($A296),'changes1_based on steps'!E$1:E$400,0)),E$2,)</f>
        <v>0</v>
      </c>
      <c r="F296" s="155">
        <f ca="1">IF(ISNUMBER(MATCH(DATEVALUE($A296),'changes1_based on steps'!F$1:F$400,0)),F$2,)</f>
        <v>0</v>
      </c>
      <c r="G296" s="155">
        <f ca="1">IF(ISNUMBER(MATCH(DATEVALUE($A296),'changes1_based on steps'!G$1:G$400,0)),G$2,)</f>
        <v>0</v>
      </c>
      <c r="H296" s="155">
        <f ca="1">IF(ISNUMBER(MATCH(DATEVALUE($A296),'changes1_based on steps'!H$1:H$400,0)),H$2,)</f>
        <v>0</v>
      </c>
      <c r="I296" s="155">
        <f ca="1">IF(ISNUMBER(MATCH(DATEVALUE($A296),'changes1_based on steps'!I$1:I$400,0)),I$2,)</f>
        <v>0</v>
      </c>
      <c r="J296" s="155">
        <f ca="1">IF(ISNUMBER(MATCH(DATEVALUE($A296),'changes1_based on steps'!J$1:J$400,0)),J$2,)</f>
        <v>0</v>
      </c>
      <c r="K296" s="155">
        <f ca="1">IF(ISNUMBER(MATCH(DATEVALUE($A296),'changes1_based on steps'!K$1:K$400,0)),K$2,)</f>
        <v>0</v>
      </c>
      <c r="L296" s="155">
        <f ca="1">IF(ISNUMBER(MATCH(DATEVALUE($A296),'changes1_based on steps'!L$1:L$400,0)),L$2,)</f>
        <v>0</v>
      </c>
      <c r="M296" s="155">
        <f ca="1">IF(ISNUMBER(MATCH(DATEVALUE($A296),'changes1_based on steps'!M$1:M$400,0)),M$2,)</f>
        <v>0</v>
      </c>
      <c r="N296" s="155">
        <f ca="1">IF(ISNUMBER(MATCH(DATEVALUE($A296),'changes1_based on steps'!N$1:N$400,0)),N$2,)</f>
        <v>0</v>
      </c>
      <c r="O296" s="155">
        <f ca="1">IF(ISNUMBER(MATCH(DATEVALUE($A296),'changes1_based on steps'!O$1:O$400,0)),O$2,)</f>
        <v>0</v>
      </c>
      <c r="P296" s="155">
        <f ca="1">IF(ISNUMBER(MATCH(DATEVALUE($A296),'changes1_based on steps'!P$1:P$400,0)),P$2,)</f>
        <v>0</v>
      </c>
      <c r="Q296" s="155">
        <f ca="1">IF(ISNUMBER(MATCH(DATEVALUE($A296),'changes1_based on steps'!Q$1:Q$400,0)),Q$2,)</f>
        <v>0</v>
      </c>
      <c r="R296" s="155">
        <f ca="1">IF(ISNUMBER(MATCH(DATEVALUE($A296),'changes1_based on steps'!R$1:R$400,0)),R$2,)</f>
        <v>0</v>
      </c>
      <c r="S296" s="155">
        <f ca="1">IF(ISNUMBER(MATCH(DATEVALUE($A296),'changes1_based on steps'!S$1:S$400,0)),S$2,)</f>
        <v>0</v>
      </c>
      <c r="T296" s="155">
        <f ca="1">IF(ISNUMBER(MATCH(DATEVALUE($A296),'changes1_based on steps'!T$1:T$400,0)),T$2,)</f>
        <v>0</v>
      </c>
      <c r="U296" s="155">
        <f ca="1">IF(ISNUMBER(MATCH(DATEVALUE($A296),'changes1_based on steps'!U$1:U$400,0)),U$2,)</f>
        <v>0</v>
      </c>
    </row>
    <row r="297" spans="1:21" x14ac:dyDescent="0.2">
      <c r="A297" s="18" t="str">
        <f t="shared" ca="1" si="4"/>
        <v>2025-11-22</v>
      </c>
      <c r="B297" s="155">
        <f ca="1">IF(ISNUMBER(MATCH(DATEVALUE($A297),'changes1_based on steps'!B$1:B$400,0)),B$2,)</f>
        <v>0</v>
      </c>
      <c r="C297" s="155">
        <f ca="1">IF(ISNUMBER(MATCH(DATEVALUE($A297),'changes1_based on steps'!C$1:C$400,0)),C$2,)</f>
        <v>0</v>
      </c>
      <c r="D297" s="155">
        <f ca="1">IF(ISNUMBER(MATCH(DATEVALUE($A297),'changes1_based on steps'!D$1:D$400,0)),D$2,)</f>
        <v>0</v>
      </c>
      <c r="E297" s="155">
        <f ca="1">IF(ISNUMBER(MATCH(DATEVALUE($A297),'changes1_based on steps'!E$1:E$400,0)),E$2,)</f>
        <v>0</v>
      </c>
      <c r="F297" s="155">
        <f ca="1">IF(ISNUMBER(MATCH(DATEVALUE($A297),'changes1_based on steps'!F$1:F$400,0)),F$2,)</f>
        <v>0</v>
      </c>
      <c r="G297" s="155">
        <f ca="1">IF(ISNUMBER(MATCH(DATEVALUE($A297),'changes1_based on steps'!G$1:G$400,0)),G$2,)</f>
        <v>0</v>
      </c>
      <c r="H297" s="155">
        <f ca="1">IF(ISNUMBER(MATCH(DATEVALUE($A297),'changes1_based on steps'!H$1:H$400,0)),H$2,)</f>
        <v>0</v>
      </c>
      <c r="I297" s="155">
        <f ca="1">IF(ISNUMBER(MATCH(DATEVALUE($A297),'changes1_based on steps'!I$1:I$400,0)),I$2,)</f>
        <v>0</v>
      </c>
      <c r="J297" s="155">
        <f ca="1">IF(ISNUMBER(MATCH(DATEVALUE($A297),'changes1_based on steps'!J$1:J$400,0)),J$2,)</f>
        <v>0</v>
      </c>
      <c r="K297" s="155">
        <f ca="1">IF(ISNUMBER(MATCH(DATEVALUE($A297),'changes1_based on steps'!K$1:K$400,0)),K$2,)</f>
        <v>0</v>
      </c>
      <c r="L297" s="155">
        <f ca="1">IF(ISNUMBER(MATCH(DATEVALUE($A297),'changes1_based on steps'!L$1:L$400,0)),L$2,)</f>
        <v>0</v>
      </c>
      <c r="M297" s="155">
        <f ca="1">IF(ISNUMBER(MATCH(DATEVALUE($A297),'changes1_based on steps'!M$1:M$400,0)),M$2,)</f>
        <v>0</v>
      </c>
      <c r="N297" s="155">
        <f ca="1">IF(ISNUMBER(MATCH(DATEVALUE($A297),'changes1_based on steps'!N$1:N$400,0)),N$2,)</f>
        <v>0</v>
      </c>
      <c r="O297" s="155">
        <f ca="1">IF(ISNUMBER(MATCH(DATEVALUE($A297),'changes1_based on steps'!O$1:O$400,0)),O$2,)</f>
        <v>0</v>
      </c>
      <c r="P297" s="155">
        <f ca="1">IF(ISNUMBER(MATCH(DATEVALUE($A297),'changes1_based on steps'!P$1:P$400,0)),P$2,)</f>
        <v>0</v>
      </c>
      <c r="Q297" s="155">
        <f ca="1">IF(ISNUMBER(MATCH(DATEVALUE($A297),'changes1_based on steps'!Q$1:Q$400,0)),Q$2,)</f>
        <v>0</v>
      </c>
      <c r="R297" s="155">
        <f ca="1">IF(ISNUMBER(MATCH(DATEVALUE($A297),'changes1_based on steps'!R$1:R$400,0)),R$2,)</f>
        <v>0</v>
      </c>
      <c r="S297" s="155">
        <f ca="1">IF(ISNUMBER(MATCH(DATEVALUE($A297),'changes1_based on steps'!S$1:S$400,0)),S$2,)</f>
        <v>0</v>
      </c>
      <c r="T297" s="155">
        <f ca="1">IF(ISNUMBER(MATCH(DATEVALUE($A297),'changes1_based on steps'!T$1:T$400,0)),T$2,)</f>
        <v>0</v>
      </c>
      <c r="U297" s="155">
        <f ca="1">IF(ISNUMBER(MATCH(DATEVALUE($A297),'changes1_based on steps'!U$1:U$400,0)),U$2,)</f>
        <v>0</v>
      </c>
    </row>
    <row r="298" spans="1:21" x14ac:dyDescent="0.2">
      <c r="A298" s="18" t="str">
        <f t="shared" ca="1" si="4"/>
        <v>2025-11-23</v>
      </c>
      <c r="B298" s="155">
        <f ca="1">IF(ISNUMBER(MATCH(DATEVALUE($A298),'changes1_based on steps'!B$1:B$400,0)),B$2,)</f>
        <v>0</v>
      </c>
      <c r="C298" s="155">
        <f ca="1">IF(ISNUMBER(MATCH(DATEVALUE($A298),'changes1_based on steps'!C$1:C$400,0)),C$2,)</f>
        <v>0</v>
      </c>
      <c r="D298" s="155">
        <f ca="1">IF(ISNUMBER(MATCH(DATEVALUE($A298),'changes1_based on steps'!D$1:D$400,0)),D$2,)</f>
        <v>0</v>
      </c>
      <c r="E298" s="155">
        <f ca="1">IF(ISNUMBER(MATCH(DATEVALUE($A298),'changes1_based on steps'!E$1:E$400,0)),E$2,)</f>
        <v>0</v>
      </c>
      <c r="F298" s="155">
        <f ca="1">IF(ISNUMBER(MATCH(DATEVALUE($A298),'changes1_based on steps'!F$1:F$400,0)),F$2,)</f>
        <v>0</v>
      </c>
      <c r="G298" s="155">
        <f ca="1">IF(ISNUMBER(MATCH(DATEVALUE($A298),'changes1_based on steps'!G$1:G$400,0)),G$2,)</f>
        <v>0</v>
      </c>
      <c r="H298" s="155">
        <f ca="1">IF(ISNUMBER(MATCH(DATEVALUE($A298),'changes1_based on steps'!H$1:H$400,0)),H$2,)</f>
        <v>0</v>
      </c>
      <c r="I298" s="155">
        <f ca="1">IF(ISNUMBER(MATCH(DATEVALUE($A298),'changes1_based on steps'!I$1:I$400,0)),I$2,)</f>
        <v>0</v>
      </c>
      <c r="J298" s="155">
        <f ca="1">IF(ISNUMBER(MATCH(DATEVALUE($A298),'changes1_based on steps'!J$1:J$400,0)),J$2,)</f>
        <v>0</v>
      </c>
      <c r="K298" s="155">
        <f ca="1">IF(ISNUMBER(MATCH(DATEVALUE($A298),'changes1_based on steps'!K$1:K$400,0)),K$2,)</f>
        <v>0</v>
      </c>
      <c r="L298" s="155">
        <f ca="1">IF(ISNUMBER(MATCH(DATEVALUE($A298),'changes1_based on steps'!L$1:L$400,0)),L$2,)</f>
        <v>0</v>
      </c>
      <c r="M298" s="155">
        <f ca="1">IF(ISNUMBER(MATCH(DATEVALUE($A298),'changes1_based on steps'!M$1:M$400,0)),M$2,)</f>
        <v>0</v>
      </c>
      <c r="N298" s="155">
        <f ca="1">IF(ISNUMBER(MATCH(DATEVALUE($A298),'changes1_based on steps'!N$1:N$400,0)),N$2,)</f>
        <v>0</v>
      </c>
      <c r="O298" s="155">
        <f ca="1">IF(ISNUMBER(MATCH(DATEVALUE($A298),'changes1_based on steps'!O$1:O$400,0)),O$2,)</f>
        <v>0</v>
      </c>
      <c r="P298" s="155">
        <f ca="1">IF(ISNUMBER(MATCH(DATEVALUE($A298),'changes1_based on steps'!P$1:P$400,0)),P$2,)</f>
        <v>0</v>
      </c>
      <c r="Q298" s="155">
        <f ca="1">IF(ISNUMBER(MATCH(DATEVALUE($A298),'changes1_based on steps'!Q$1:Q$400,0)),Q$2,)</f>
        <v>0</v>
      </c>
      <c r="R298" s="155">
        <f ca="1">IF(ISNUMBER(MATCH(DATEVALUE($A298),'changes1_based on steps'!R$1:R$400,0)),R$2,)</f>
        <v>0</v>
      </c>
      <c r="S298" s="155">
        <f ca="1">IF(ISNUMBER(MATCH(DATEVALUE($A298),'changes1_based on steps'!S$1:S$400,0)),S$2,)</f>
        <v>0</v>
      </c>
      <c r="T298" s="155">
        <f ca="1">IF(ISNUMBER(MATCH(DATEVALUE($A298),'changes1_based on steps'!T$1:T$400,0)),T$2,)</f>
        <v>0</v>
      </c>
      <c r="U298" s="155">
        <f ca="1">IF(ISNUMBER(MATCH(DATEVALUE($A298),'changes1_based on steps'!U$1:U$400,0)),U$2,)</f>
        <v>0</v>
      </c>
    </row>
    <row r="299" spans="1:21" x14ac:dyDescent="0.2">
      <c r="A299" s="18" t="str">
        <f t="shared" ca="1" si="4"/>
        <v>2025-11-24</v>
      </c>
      <c r="B299" s="155">
        <f ca="1">IF(ISNUMBER(MATCH(DATEVALUE($A299),'changes1_based on steps'!B$1:B$400,0)),B$2,)</f>
        <v>0</v>
      </c>
      <c r="C299" s="155">
        <f ca="1">IF(ISNUMBER(MATCH(DATEVALUE($A299),'changes1_based on steps'!C$1:C$400,0)),C$2,)</f>
        <v>0</v>
      </c>
      <c r="D299" s="155">
        <f ca="1">IF(ISNUMBER(MATCH(DATEVALUE($A299),'changes1_based on steps'!D$1:D$400,0)),D$2,)</f>
        <v>0</v>
      </c>
      <c r="E299" s="155">
        <f ca="1">IF(ISNUMBER(MATCH(DATEVALUE($A299),'changes1_based on steps'!E$1:E$400,0)),E$2,)</f>
        <v>0</v>
      </c>
      <c r="F299" s="155">
        <f ca="1">IF(ISNUMBER(MATCH(DATEVALUE($A299),'changes1_based on steps'!F$1:F$400,0)),F$2,)</f>
        <v>0</v>
      </c>
      <c r="G299" s="155">
        <f ca="1">IF(ISNUMBER(MATCH(DATEVALUE($A299),'changes1_based on steps'!G$1:G$400,0)),G$2,)</f>
        <v>0</v>
      </c>
      <c r="H299" s="155">
        <f ca="1">IF(ISNUMBER(MATCH(DATEVALUE($A299),'changes1_based on steps'!H$1:H$400,0)),H$2,)</f>
        <v>0</v>
      </c>
      <c r="I299" s="155">
        <f ca="1">IF(ISNUMBER(MATCH(DATEVALUE($A299),'changes1_based on steps'!I$1:I$400,0)),I$2,)</f>
        <v>0</v>
      </c>
      <c r="J299" s="155">
        <f ca="1">IF(ISNUMBER(MATCH(DATEVALUE($A299),'changes1_based on steps'!J$1:J$400,0)),J$2,)</f>
        <v>0</v>
      </c>
      <c r="K299" s="155">
        <f ca="1">IF(ISNUMBER(MATCH(DATEVALUE($A299),'changes1_based on steps'!K$1:K$400,0)),K$2,)</f>
        <v>0</v>
      </c>
      <c r="L299" s="155">
        <f ca="1">IF(ISNUMBER(MATCH(DATEVALUE($A299),'changes1_based on steps'!L$1:L$400,0)),L$2,)</f>
        <v>0</v>
      </c>
      <c r="M299" s="155">
        <f ca="1">IF(ISNUMBER(MATCH(DATEVALUE($A299),'changes1_based on steps'!M$1:M$400,0)),M$2,)</f>
        <v>0</v>
      </c>
      <c r="N299" s="155">
        <f ca="1">IF(ISNUMBER(MATCH(DATEVALUE($A299),'changes1_based on steps'!N$1:N$400,0)),N$2,)</f>
        <v>0</v>
      </c>
      <c r="O299" s="155">
        <f ca="1">IF(ISNUMBER(MATCH(DATEVALUE($A299),'changes1_based on steps'!O$1:O$400,0)),O$2,)</f>
        <v>0</v>
      </c>
      <c r="P299" s="155">
        <f ca="1">IF(ISNUMBER(MATCH(DATEVALUE($A299),'changes1_based on steps'!P$1:P$400,0)),P$2,)</f>
        <v>0</v>
      </c>
      <c r="Q299" s="155">
        <f ca="1">IF(ISNUMBER(MATCH(DATEVALUE($A299),'changes1_based on steps'!Q$1:Q$400,0)),Q$2,)</f>
        <v>0</v>
      </c>
      <c r="R299" s="155">
        <f ca="1">IF(ISNUMBER(MATCH(DATEVALUE($A299),'changes1_based on steps'!R$1:R$400,0)),R$2,)</f>
        <v>0</v>
      </c>
      <c r="S299" s="155">
        <f ca="1">IF(ISNUMBER(MATCH(DATEVALUE($A299),'changes1_based on steps'!S$1:S$400,0)),S$2,)</f>
        <v>0</v>
      </c>
      <c r="T299" s="155">
        <f ca="1">IF(ISNUMBER(MATCH(DATEVALUE($A299),'changes1_based on steps'!T$1:T$400,0)),T$2,)</f>
        <v>0</v>
      </c>
      <c r="U299" s="155">
        <f ca="1">IF(ISNUMBER(MATCH(DATEVALUE($A299),'changes1_based on steps'!U$1:U$400,0)),U$2,)</f>
        <v>0</v>
      </c>
    </row>
    <row r="300" spans="1:21" x14ac:dyDescent="0.2">
      <c r="A300" s="18" t="str">
        <f t="shared" ca="1" si="4"/>
        <v>2025-11-25</v>
      </c>
      <c r="B300" s="155">
        <f ca="1">IF(ISNUMBER(MATCH(DATEVALUE($A300),'changes1_based on steps'!B$1:B$400,0)),B$2,)</f>
        <v>0</v>
      </c>
      <c r="C300" s="155">
        <f ca="1">IF(ISNUMBER(MATCH(DATEVALUE($A300),'changes1_based on steps'!C$1:C$400,0)),C$2,)</f>
        <v>0</v>
      </c>
      <c r="D300" s="155">
        <f ca="1">IF(ISNUMBER(MATCH(DATEVALUE($A300),'changes1_based on steps'!D$1:D$400,0)),D$2,)</f>
        <v>0</v>
      </c>
      <c r="E300" s="155">
        <f ca="1">IF(ISNUMBER(MATCH(DATEVALUE($A300),'changes1_based on steps'!E$1:E$400,0)),E$2,)</f>
        <v>0</v>
      </c>
      <c r="F300" s="155">
        <f ca="1">IF(ISNUMBER(MATCH(DATEVALUE($A300),'changes1_based on steps'!F$1:F$400,0)),F$2,)</f>
        <v>0</v>
      </c>
      <c r="G300" s="155">
        <f ca="1">IF(ISNUMBER(MATCH(DATEVALUE($A300),'changes1_based on steps'!G$1:G$400,0)),G$2,)</f>
        <v>0</v>
      </c>
      <c r="H300" s="155">
        <f ca="1">IF(ISNUMBER(MATCH(DATEVALUE($A300),'changes1_based on steps'!H$1:H$400,0)),H$2,)</f>
        <v>0</v>
      </c>
      <c r="I300" s="155">
        <f ca="1">IF(ISNUMBER(MATCH(DATEVALUE($A300),'changes1_based on steps'!I$1:I$400,0)),I$2,)</f>
        <v>0</v>
      </c>
      <c r="J300" s="155">
        <f ca="1">IF(ISNUMBER(MATCH(DATEVALUE($A300),'changes1_based on steps'!J$1:J$400,0)),J$2,)</f>
        <v>0</v>
      </c>
      <c r="K300" s="155">
        <f ca="1">IF(ISNUMBER(MATCH(DATEVALUE($A300),'changes1_based on steps'!K$1:K$400,0)),K$2,)</f>
        <v>0</v>
      </c>
      <c r="L300" s="155">
        <f ca="1">IF(ISNUMBER(MATCH(DATEVALUE($A300),'changes1_based on steps'!L$1:L$400,0)),L$2,)</f>
        <v>0</v>
      </c>
      <c r="M300" s="155">
        <f ca="1">IF(ISNUMBER(MATCH(DATEVALUE($A300),'changes1_based on steps'!M$1:M$400,0)),M$2,)</f>
        <v>0</v>
      </c>
      <c r="N300" s="155">
        <f ca="1">IF(ISNUMBER(MATCH(DATEVALUE($A300),'changes1_based on steps'!N$1:N$400,0)),N$2,)</f>
        <v>0</v>
      </c>
      <c r="O300" s="155">
        <f ca="1">IF(ISNUMBER(MATCH(DATEVALUE($A300),'changes1_based on steps'!O$1:O$400,0)),O$2,)</f>
        <v>0</v>
      </c>
      <c r="P300" s="155">
        <f ca="1">IF(ISNUMBER(MATCH(DATEVALUE($A300),'changes1_based on steps'!P$1:P$400,0)),P$2,)</f>
        <v>0</v>
      </c>
      <c r="Q300" s="155">
        <f ca="1">IF(ISNUMBER(MATCH(DATEVALUE($A300),'changes1_based on steps'!Q$1:Q$400,0)),Q$2,)</f>
        <v>0</v>
      </c>
      <c r="R300" s="155">
        <f ca="1">IF(ISNUMBER(MATCH(DATEVALUE($A300),'changes1_based on steps'!R$1:R$400,0)),R$2,)</f>
        <v>0</v>
      </c>
      <c r="S300" s="155">
        <f ca="1">IF(ISNUMBER(MATCH(DATEVALUE($A300),'changes1_based on steps'!S$1:S$400,0)),S$2,)</f>
        <v>0</v>
      </c>
      <c r="T300" s="155">
        <f ca="1">IF(ISNUMBER(MATCH(DATEVALUE($A300),'changes1_based on steps'!T$1:T$400,0)),T$2,)</f>
        <v>0</v>
      </c>
      <c r="U300" s="155">
        <f ca="1">IF(ISNUMBER(MATCH(DATEVALUE($A300),'changes1_based on steps'!U$1:U$400,0)),U$2,)</f>
        <v>0</v>
      </c>
    </row>
    <row r="301" spans="1:21" x14ac:dyDescent="0.2">
      <c r="A301" s="18" t="str">
        <f t="shared" ca="1" si="4"/>
        <v>2025-11-26</v>
      </c>
      <c r="B301" s="155">
        <f ca="1">IF(ISNUMBER(MATCH(DATEVALUE($A301),'changes1_based on steps'!B$1:B$400,0)),B$2,)</f>
        <v>0</v>
      </c>
      <c r="C301" s="155">
        <f ca="1">IF(ISNUMBER(MATCH(DATEVALUE($A301),'changes1_based on steps'!C$1:C$400,0)),C$2,)</f>
        <v>0</v>
      </c>
      <c r="D301" s="155">
        <f ca="1">IF(ISNUMBER(MATCH(DATEVALUE($A301),'changes1_based on steps'!D$1:D$400,0)),D$2,)</f>
        <v>0</v>
      </c>
      <c r="E301" s="155">
        <f ca="1">IF(ISNUMBER(MATCH(DATEVALUE($A301),'changes1_based on steps'!E$1:E$400,0)),E$2,)</f>
        <v>0</v>
      </c>
      <c r="F301" s="155">
        <f ca="1">IF(ISNUMBER(MATCH(DATEVALUE($A301),'changes1_based on steps'!F$1:F$400,0)),F$2,)</f>
        <v>0</v>
      </c>
      <c r="G301" s="155">
        <f ca="1">IF(ISNUMBER(MATCH(DATEVALUE($A301),'changes1_based on steps'!G$1:G$400,0)),G$2,)</f>
        <v>0</v>
      </c>
      <c r="H301" s="155">
        <f ca="1">IF(ISNUMBER(MATCH(DATEVALUE($A301),'changes1_based on steps'!H$1:H$400,0)),H$2,)</f>
        <v>0</v>
      </c>
      <c r="I301" s="155">
        <f ca="1">IF(ISNUMBER(MATCH(DATEVALUE($A301),'changes1_based on steps'!I$1:I$400,0)),I$2,)</f>
        <v>0</v>
      </c>
      <c r="J301" s="155">
        <f ca="1">IF(ISNUMBER(MATCH(DATEVALUE($A301),'changes1_based on steps'!J$1:J$400,0)),J$2,)</f>
        <v>0</v>
      </c>
      <c r="K301" s="155">
        <f ca="1">IF(ISNUMBER(MATCH(DATEVALUE($A301),'changes1_based on steps'!K$1:K$400,0)),K$2,)</f>
        <v>0</v>
      </c>
      <c r="L301" s="155">
        <f ca="1">IF(ISNUMBER(MATCH(DATEVALUE($A301),'changes1_based on steps'!L$1:L$400,0)),L$2,)</f>
        <v>0</v>
      </c>
      <c r="M301" s="155">
        <f ca="1">IF(ISNUMBER(MATCH(DATEVALUE($A301),'changes1_based on steps'!M$1:M$400,0)),M$2,)</f>
        <v>0</v>
      </c>
      <c r="N301" s="155">
        <f ca="1">IF(ISNUMBER(MATCH(DATEVALUE($A301),'changes1_based on steps'!N$1:N$400,0)),N$2,)</f>
        <v>0</v>
      </c>
      <c r="O301" s="155">
        <f ca="1">IF(ISNUMBER(MATCH(DATEVALUE($A301),'changes1_based on steps'!O$1:O$400,0)),O$2,)</f>
        <v>0</v>
      </c>
      <c r="P301" s="155">
        <f ca="1">IF(ISNUMBER(MATCH(DATEVALUE($A301),'changes1_based on steps'!P$1:P$400,0)),P$2,)</f>
        <v>0</v>
      </c>
      <c r="Q301" s="155">
        <f ca="1">IF(ISNUMBER(MATCH(DATEVALUE($A301),'changes1_based on steps'!Q$1:Q$400,0)),Q$2,)</f>
        <v>0</v>
      </c>
      <c r="R301" s="155">
        <f ca="1">IF(ISNUMBER(MATCH(DATEVALUE($A301),'changes1_based on steps'!R$1:R$400,0)),R$2,)</f>
        <v>0</v>
      </c>
      <c r="S301" s="155">
        <f ca="1">IF(ISNUMBER(MATCH(DATEVALUE($A301),'changes1_based on steps'!S$1:S$400,0)),S$2,)</f>
        <v>0</v>
      </c>
      <c r="T301" s="155">
        <f ca="1">IF(ISNUMBER(MATCH(DATEVALUE($A301),'changes1_based on steps'!T$1:T$400,0)),T$2,)</f>
        <v>0</v>
      </c>
      <c r="U301" s="155">
        <f ca="1">IF(ISNUMBER(MATCH(DATEVALUE($A301),'changes1_based on steps'!U$1:U$400,0)),U$2,)</f>
        <v>0</v>
      </c>
    </row>
    <row r="302" spans="1:21" x14ac:dyDescent="0.2">
      <c r="A302" s="18" t="str">
        <f t="shared" ca="1" si="4"/>
        <v>2025-11-27</v>
      </c>
      <c r="B302" s="155">
        <f ca="1">IF(ISNUMBER(MATCH(DATEVALUE($A302),'changes1_based on steps'!B$1:B$400,0)),B$2,)</f>
        <v>0</v>
      </c>
      <c r="C302" s="155">
        <f ca="1">IF(ISNUMBER(MATCH(DATEVALUE($A302),'changes1_based on steps'!C$1:C$400,0)),C$2,)</f>
        <v>0</v>
      </c>
      <c r="D302" s="155">
        <f ca="1">IF(ISNUMBER(MATCH(DATEVALUE($A302),'changes1_based on steps'!D$1:D$400,0)),D$2,)</f>
        <v>0</v>
      </c>
      <c r="E302" s="155">
        <f ca="1">IF(ISNUMBER(MATCH(DATEVALUE($A302),'changes1_based on steps'!E$1:E$400,0)),E$2,)</f>
        <v>0</v>
      </c>
      <c r="F302" s="155">
        <f ca="1">IF(ISNUMBER(MATCH(DATEVALUE($A302),'changes1_based on steps'!F$1:F$400,0)),F$2,)</f>
        <v>0</v>
      </c>
      <c r="G302" s="155">
        <f ca="1">IF(ISNUMBER(MATCH(DATEVALUE($A302),'changes1_based on steps'!G$1:G$400,0)),G$2,)</f>
        <v>0</v>
      </c>
      <c r="H302" s="155">
        <f ca="1">IF(ISNUMBER(MATCH(DATEVALUE($A302),'changes1_based on steps'!H$1:H$400,0)),H$2,)</f>
        <v>0</v>
      </c>
      <c r="I302" s="155">
        <f ca="1">IF(ISNUMBER(MATCH(DATEVALUE($A302),'changes1_based on steps'!I$1:I$400,0)),I$2,)</f>
        <v>0</v>
      </c>
      <c r="J302" s="155">
        <f ca="1">IF(ISNUMBER(MATCH(DATEVALUE($A302),'changes1_based on steps'!J$1:J$400,0)),J$2,)</f>
        <v>0</v>
      </c>
      <c r="K302" s="155">
        <f ca="1">IF(ISNUMBER(MATCH(DATEVALUE($A302),'changes1_based on steps'!K$1:K$400,0)),K$2,)</f>
        <v>0</v>
      </c>
      <c r="L302" s="155">
        <f ca="1">IF(ISNUMBER(MATCH(DATEVALUE($A302),'changes1_based on steps'!L$1:L$400,0)),L$2,)</f>
        <v>0</v>
      </c>
      <c r="M302" s="155">
        <f ca="1">IF(ISNUMBER(MATCH(DATEVALUE($A302),'changes1_based on steps'!M$1:M$400,0)),M$2,)</f>
        <v>0</v>
      </c>
      <c r="N302" s="155">
        <f ca="1">IF(ISNUMBER(MATCH(DATEVALUE($A302),'changes1_based on steps'!N$1:N$400,0)),N$2,)</f>
        <v>0</v>
      </c>
      <c r="O302" s="155">
        <f ca="1">IF(ISNUMBER(MATCH(DATEVALUE($A302),'changes1_based on steps'!O$1:O$400,0)),O$2,)</f>
        <v>0</v>
      </c>
      <c r="P302" s="155">
        <f ca="1">IF(ISNUMBER(MATCH(DATEVALUE($A302),'changes1_based on steps'!P$1:P$400,0)),P$2,)</f>
        <v>0</v>
      </c>
      <c r="Q302" s="155">
        <f ca="1">IF(ISNUMBER(MATCH(DATEVALUE($A302),'changes1_based on steps'!Q$1:Q$400,0)),Q$2,)</f>
        <v>0</v>
      </c>
      <c r="R302" s="155">
        <f ca="1">IF(ISNUMBER(MATCH(DATEVALUE($A302),'changes1_based on steps'!R$1:R$400,0)),R$2,)</f>
        <v>0</v>
      </c>
      <c r="S302" s="155">
        <f ca="1">IF(ISNUMBER(MATCH(DATEVALUE($A302),'changes1_based on steps'!S$1:S$400,0)),S$2,)</f>
        <v>0</v>
      </c>
      <c r="T302" s="155">
        <f ca="1">IF(ISNUMBER(MATCH(DATEVALUE($A302),'changes1_based on steps'!T$1:T$400,0)),T$2,)</f>
        <v>0</v>
      </c>
      <c r="U302" s="155">
        <f ca="1">IF(ISNUMBER(MATCH(DATEVALUE($A302),'changes1_based on steps'!U$1:U$400,0)),U$2,)</f>
        <v>0</v>
      </c>
    </row>
    <row r="303" spans="1:21" x14ac:dyDescent="0.2">
      <c r="A303" s="18" t="str">
        <f t="shared" ca="1" si="4"/>
        <v>2025-11-28</v>
      </c>
      <c r="B303" s="155">
        <f ca="1">IF(ISNUMBER(MATCH(DATEVALUE($A303),'changes1_based on steps'!B$1:B$400,0)),B$2,)</f>
        <v>0</v>
      </c>
      <c r="C303" s="155">
        <f ca="1">IF(ISNUMBER(MATCH(DATEVALUE($A303),'changes1_based on steps'!C$1:C$400,0)),C$2,)</f>
        <v>0</v>
      </c>
      <c r="D303" s="155">
        <f ca="1">IF(ISNUMBER(MATCH(DATEVALUE($A303),'changes1_based on steps'!D$1:D$400,0)),D$2,)</f>
        <v>0</v>
      </c>
      <c r="E303" s="155">
        <f ca="1">IF(ISNUMBER(MATCH(DATEVALUE($A303),'changes1_based on steps'!E$1:E$400,0)),E$2,)</f>
        <v>0</v>
      </c>
      <c r="F303" s="155">
        <f ca="1">IF(ISNUMBER(MATCH(DATEVALUE($A303),'changes1_based on steps'!F$1:F$400,0)),F$2,)</f>
        <v>0</v>
      </c>
      <c r="G303" s="155">
        <f ca="1">IF(ISNUMBER(MATCH(DATEVALUE($A303),'changes1_based on steps'!G$1:G$400,0)),G$2,)</f>
        <v>0</v>
      </c>
      <c r="H303" s="155">
        <f ca="1">IF(ISNUMBER(MATCH(DATEVALUE($A303),'changes1_based on steps'!H$1:H$400,0)),H$2,)</f>
        <v>0</v>
      </c>
      <c r="I303" s="155">
        <f ca="1">IF(ISNUMBER(MATCH(DATEVALUE($A303),'changes1_based on steps'!I$1:I$400,0)),I$2,)</f>
        <v>0</v>
      </c>
      <c r="J303" s="155">
        <f ca="1">IF(ISNUMBER(MATCH(DATEVALUE($A303),'changes1_based on steps'!J$1:J$400,0)),J$2,)</f>
        <v>0</v>
      </c>
      <c r="K303" s="155">
        <f ca="1">IF(ISNUMBER(MATCH(DATEVALUE($A303),'changes1_based on steps'!K$1:K$400,0)),K$2,)</f>
        <v>0</v>
      </c>
      <c r="L303" s="155">
        <f ca="1">IF(ISNUMBER(MATCH(DATEVALUE($A303),'changes1_based on steps'!L$1:L$400,0)),L$2,)</f>
        <v>0</v>
      </c>
      <c r="M303" s="155">
        <f ca="1">IF(ISNUMBER(MATCH(DATEVALUE($A303),'changes1_based on steps'!M$1:M$400,0)),M$2,)</f>
        <v>0</v>
      </c>
      <c r="N303" s="155">
        <f ca="1">IF(ISNUMBER(MATCH(DATEVALUE($A303),'changes1_based on steps'!N$1:N$400,0)),N$2,)</f>
        <v>0</v>
      </c>
      <c r="O303" s="155">
        <f ca="1">IF(ISNUMBER(MATCH(DATEVALUE($A303),'changes1_based on steps'!O$1:O$400,0)),O$2,)</f>
        <v>0</v>
      </c>
      <c r="P303" s="155">
        <f ca="1">IF(ISNUMBER(MATCH(DATEVALUE($A303),'changes1_based on steps'!P$1:P$400,0)),P$2,)</f>
        <v>0</v>
      </c>
      <c r="Q303" s="155">
        <f ca="1">IF(ISNUMBER(MATCH(DATEVALUE($A303),'changes1_based on steps'!Q$1:Q$400,0)),Q$2,)</f>
        <v>0</v>
      </c>
      <c r="R303" s="155">
        <f ca="1">IF(ISNUMBER(MATCH(DATEVALUE($A303),'changes1_based on steps'!R$1:R$400,0)),R$2,)</f>
        <v>0</v>
      </c>
      <c r="S303" s="155">
        <f ca="1">IF(ISNUMBER(MATCH(DATEVALUE($A303),'changes1_based on steps'!S$1:S$400,0)),S$2,)</f>
        <v>0</v>
      </c>
      <c r="T303" s="155">
        <f ca="1">IF(ISNUMBER(MATCH(DATEVALUE($A303),'changes1_based on steps'!T$1:T$400,0)),T$2,)</f>
        <v>0</v>
      </c>
      <c r="U303" s="155">
        <f ca="1">IF(ISNUMBER(MATCH(DATEVALUE($A303),'changes1_based on steps'!U$1:U$400,0)),U$2,)</f>
        <v>0</v>
      </c>
    </row>
    <row r="304" spans="1:21" x14ac:dyDescent="0.2">
      <c r="A304" s="18" t="str">
        <f t="shared" ca="1" si="4"/>
        <v>2025-11-29</v>
      </c>
      <c r="B304" s="155">
        <f ca="1">IF(ISNUMBER(MATCH(DATEVALUE($A304),'changes1_based on steps'!B$1:B$400,0)),B$2,)</f>
        <v>0</v>
      </c>
      <c r="C304" s="155">
        <f ca="1">IF(ISNUMBER(MATCH(DATEVALUE($A304),'changes1_based on steps'!C$1:C$400,0)),C$2,)</f>
        <v>0</v>
      </c>
      <c r="D304" s="155">
        <f ca="1">IF(ISNUMBER(MATCH(DATEVALUE($A304),'changes1_based on steps'!D$1:D$400,0)),D$2,)</f>
        <v>0</v>
      </c>
      <c r="E304" s="155">
        <f ca="1">IF(ISNUMBER(MATCH(DATEVALUE($A304),'changes1_based on steps'!E$1:E$400,0)),E$2,)</f>
        <v>0</v>
      </c>
      <c r="F304" s="155">
        <f ca="1">IF(ISNUMBER(MATCH(DATEVALUE($A304),'changes1_based on steps'!F$1:F$400,0)),F$2,)</f>
        <v>0</v>
      </c>
      <c r="G304" s="155">
        <f ca="1">IF(ISNUMBER(MATCH(DATEVALUE($A304),'changes1_based on steps'!G$1:G$400,0)),G$2,)</f>
        <v>0</v>
      </c>
      <c r="H304" s="155">
        <f ca="1">IF(ISNUMBER(MATCH(DATEVALUE($A304),'changes1_based on steps'!H$1:H$400,0)),H$2,)</f>
        <v>0</v>
      </c>
      <c r="I304" s="155">
        <f ca="1">IF(ISNUMBER(MATCH(DATEVALUE($A304),'changes1_based on steps'!I$1:I$400,0)),I$2,)</f>
        <v>0</v>
      </c>
      <c r="J304" s="155">
        <f ca="1">IF(ISNUMBER(MATCH(DATEVALUE($A304),'changes1_based on steps'!J$1:J$400,0)),J$2,)</f>
        <v>0</v>
      </c>
      <c r="K304" s="155">
        <f ca="1">IF(ISNUMBER(MATCH(DATEVALUE($A304),'changes1_based on steps'!K$1:K$400,0)),K$2,)</f>
        <v>0</v>
      </c>
      <c r="L304" s="155">
        <f ca="1">IF(ISNUMBER(MATCH(DATEVALUE($A304),'changes1_based on steps'!L$1:L$400,0)),L$2,)</f>
        <v>0</v>
      </c>
      <c r="M304" s="155">
        <f ca="1">IF(ISNUMBER(MATCH(DATEVALUE($A304),'changes1_based on steps'!M$1:M$400,0)),M$2,)</f>
        <v>0</v>
      </c>
      <c r="N304" s="155">
        <f ca="1">IF(ISNUMBER(MATCH(DATEVALUE($A304),'changes1_based on steps'!N$1:N$400,0)),N$2,)</f>
        <v>0</v>
      </c>
      <c r="O304" s="155">
        <f ca="1">IF(ISNUMBER(MATCH(DATEVALUE($A304),'changes1_based on steps'!O$1:O$400,0)),O$2,)</f>
        <v>0</v>
      </c>
      <c r="P304" s="155">
        <f ca="1">IF(ISNUMBER(MATCH(DATEVALUE($A304),'changes1_based on steps'!P$1:P$400,0)),P$2,)</f>
        <v>0</v>
      </c>
      <c r="Q304" s="155">
        <f ca="1">IF(ISNUMBER(MATCH(DATEVALUE($A304),'changes1_based on steps'!Q$1:Q$400,0)),Q$2,)</f>
        <v>0</v>
      </c>
      <c r="R304" s="155">
        <f ca="1">IF(ISNUMBER(MATCH(DATEVALUE($A304),'changes1_based on steps'!R$1:R$400,0)),R$2,)</f>
        <v>0</v>
      </c>
      <c r="S304" s="155">
        <f ca="1">IF(ISNUMBER(MATCH(DATEVALUE($A304),'changes1_based on steps'!S$1:S$400,0)),S$2,)</f>
        <v>0</v>
      </c>
      <c r="T304" s="155">
        <f ca="1">IF(ISNUMBER(MATCH(DATEVALUE($A304),'changes1_based on steps'!T$1:T$400,0)),T$2,)</f>
        <v>0</v>
      </c>
      <c r="U304" s="155">
        <f ca="1">IF(ISNUMBER(MATCH(DATEVALUE($A304),'changes1_based on steps'!U$1:U$400,0)),U$2,)</f>
        <v>0</v>
      </c>
    </row>
    <row r="305" spans="1:21" x14ac:dyDescent="0.2">
      <c r="A305" s="18" t="str">
        <f t="shared" ca="1" si="4"/>
        <v>2025-11-30</v>
      </c>
      <c r="B305" s="155">
        <f ca="1">IF(ISNUMBER(MATCH(DATEVALUE($A305),'changes1_based on steps'!B$1:B$400,0)),B$2,)</f>
        <v>0</v>
      </c>
      <c r="C305" s="155">
        <f ca="1">IF(ISNUMBER(MATCH(DATEVALUE($A305),'changes1_based on steps'!C$1:C$400,0)),C$2,)</f>
        <v>50</v>
      </c>
      <c r="D305" s="155">
        <f ca="1">IF(ISNUMBER(MATCH(DATEVALUE($A305),'changes1_based on steps'!D$1:D$400,0)),D$2,)</f>
        <v>-100</v>
      </c>
      <c r="E305" s="155">
        <f ca="1">IF(ISNUMBER(MATCH(DATEVALUE($A305),'changes1_based on steps'!E$1:E$400,0)),E$2,)</f>
        <v>0</v>
      </c>
      <c r="F305" s="155">
        <f ca="1">IF(ISNUMBER(MATCH(DATEVALUE($A305),'changes1_based on steps'!F$1:F$400,0)),F$2,)</f>
        <v>0</v>
      </c>
      <c r="G305" s="155">
        <f ca="1">IF(ISNUMBER(MATCH(DATEVALUE($A305),'changes1_based on steps'!G$1:G$400,0)),G$2,)</f>
        <v>0</v>
      </c>
      <c r="H305" s="155">
        <f ca="1">IF(ISNUMBER(MATCH(DATEVALUE($A305),'changes1_based on steps'!H$1:H$400,0)),H$2,)</f>
        <v>0</v>
      </c>
      <c r="I305" s="155">
        <f ca="1">IF(ISNUMBER(MATCH(DATEVALUE($A305),'changes1_based on steps'!I$1:I$400,0)),I$2,)</f>
        <v>0</v>
      </c>
      <c r="J305" s="155">
        <f ca="1">IF(ISNUMBER(MATCH(DATEVALUE($A305),'changes1_based on steps'!J$1:J$400,0)),J$2,)</f>
        <v>0</v>
      </c>
      <c r="K305" s="155">
        <f ca="1">IF(ISNUMBER(MATCH(DATEVALUE($A305),'changes1_based on steps'!K$1:K$400,0)),K$2,)</f>
        <v>0</v>
      </c>
      <c r="L305" s="155">
        <f ca="1">IF(ISNUMBER(MATCH(DATEVALUE($A305),'changes1_based on steps'!L$1:L$400,0)),L$2,)</f>
        <v>0</v>
      </c>
      <c r="M305" s="155">
        <f ca="1">IF(ISNUMBER(MATCH(DATEVALUE($A305),'changes1_based on steps'!M$1:M$400,0)),M$2,)</f>
        <v>0</v>
      </c>
      <c r="N305" s="155">
        <f ca="1">IF(ISNUMBER(MATCH(DATEVALUE($A305),'changes1_based on steps'!N$1:N$400,0)),N$2,)</f>
        <v>0</v>
      </c>
      <c r="O305" s="155">
        <f ca="1">IF(ISNUMBER(MATCH(DATEVALUE($A305),'changes1_based on steps'!O$1:O$400,0)),O$2,)</f>
        <v>0</v>
      </c>
      <c r="P305" s="155">
        <f ca="1">IF(ISNUMBER(MATCH(DATEVALUE($A305),'changes1_based on steps'!P$1:P$400,0)),P$2,)</f>
        <v>0</v>
      </c>
      <c r="Q305" s="155">
        <f ca="1">IF(ISNUMBER(MATCH(DATEVALUE($A305),'changes1_based on steps'!Q$1:Q$400,0)),Q$2,)</f>
        <v>0</v>
      </c>
      <c r="R305" s="155">
        <f ca="1">IF(ISNUMBER(MATCH(DATEVALUE($A305),'changes1_based on steps'!R$1:R$400,0)),R$2,)</f>
        <v>0</v>
      </c>
      <c r="S305" s="155">
        <f ca="1">IF(ISNUMBER(MATCH(DATEVALUE($A305),'changes1_based on steps'!S$1:S$400,0)),S$2,)</f>
        <v>0</v>
      </c>
      <c r="T305" s="155">
        <f ca="1">IF(ISNUMBER(MATCH(DATEVALUE($A305),'changes1_based on steps'!T$1:T$400,0)),T$2,)</f>
        <v>0</v>
      </c>
      <c r="U305" s="155">
        <f ca="1">IF(ISNUMBER(MATCH(DATEVALUE($A305),'changes1_based on steps'!U$1:U$400,0)),U$2,)</f>
        <v>0</v>
      </c>
    </row>
    <row r="306" spans="1:21" x14ac:dyDescent="0.2">
      <c r="A306" s="18" t="str">
        <f t="shared" ca="1" si="4"/>
        <v>2025-12-01</v>
      </c>
      <c r="B306" s="155">
        <f ca="1">IF(ISNUMBER(MATCH(DATEVALUE($A306),'changes1_based on steps'!B$1:B$400,0)),B$2,)</f>
        <v>0</v>
      </c>
      <c r="C306" s="155">
        <f ca="1">IF(ISNUMBER(MATCH(DATEVALUE($A306),'changes1_based on steps'!C$1:C$400,0)),C$2,)</f>
        <v>0</v>
      </c>
      <c r="D306" s="155">
        <f ca="1">IF(ISNUMBER(MATCH(DATEVALUE($A306),'changes1_based on steps'!D$1:D$400,0)),D$2,)</f>
        <v>0</v>
      </c>
      <c r="E306" s="155">
        <f ca="1">IF(ISNUMBER(MATCH(DATEVALUE($A306),'changes1_based on steps'!E$1:E$400,0)),E$2,)</f>
        <v>0</v>
      </c>
      <c r="F306" s="155">
        <f ca="1">IF(ISNUMBER(MATCH(DATEVALUE($A306),'changes1_based on steps'!F$1:F$400,0)),F$2,)</f>
        <v>0</v>
      </c>
      <c r="G306" s="155">
        <f ca="1">IF(ISNUMBER(MATCH(DATEVALUE($A306),'changes1_based on steps'!G$1:G$400,0)),G$2,)</f>
        <v>0</v>
      </c>
      <c r="H306" s="155">
        <f ca="1">IF(ISNUMBER(MATCH(DATEVALUE($A306),'changes1_based on steps'!H$1:H$400,0)),H$2,)</f>
        <v>0</v>
      </c>
      <c r="I306" s="155">
        <f ca="1">IF(ISNUMBER(MATCH(DATEVALUE($A306),'changes1_based on steps'!I$1:I$400,0)),I$2,)</f>
        <v>0</v>
      </c>
      <c r="J306" s="155">
        <f ca="1">IF(ISNUMBER(MATCH(DATEVALUE($A306),'changes1_based on steps'!J$1:J$400,0)),J$2,)</f>
        <v>0</v>
      </c>
      <c r="K306" s="155">
        <f ca="1">IF(ISNUMBER(MATCH(DATEVALUE($A306),'changes1_based on steps'!K$1:K$400,0)),K$2,)</f>
        <v>0</v>
      </c>
      <c r="L306" s="155">
        <f ca="1">IF(ISNUMBER(MATCH(DATEVALUE($A306),'changes1_based on steps'!L$1:L$400,0)),L$2,)</f>
        <v>0</v>
      </c>
      <c r="M306" s="155">
        <f ca="1">IF(ISNUMBER(MATCH(DATEVALUE($A306),'changes1_based on steps'!M$1:M$400,0)),M$2,)</f>
        <v>0</v>
      </c>
      <c r="N306" s="155">
        <f ca="1">IF(ISNUMBER(MATCH(DATEVALUE($A306),'changes1_based on steps'!N$1:N$400,0)),N$2,)</f>
        <v>0</v>
      </c>
      <c r="O306" s="155">
        <f ca="1">IF(ISNUMBER(MATCH(DATEVALUE($A306),'changes1_based on steps'!O$1:O$400,0)),O$2,)</f>
        <v>0</v>
      </c>
      <c r="P306" s="155">
        <f ca="1">IF(ISNUMBER(MATCH(DATEVALUE($A306),'changes1_based on steps'!P$1:P$400,0)),P$2,)</f>
        <v>0</v>
      </c>
      <c r="Q306" s="155">
        <f ca="1">IF(ISNUMBER(MATCH(DATEVALUE($A306),'changes1_based on steps'!Q$1:Q$400,0)),Q$2,)</f>
        <v>0</v>
      </c>
      <c r="R306" s="155">
        <f ca="1">IF(ISNUMBER(MATCH(DATEVALUE($A306),'changes1_based on steps'!R$1:R$400,0)),R$2,)</f>
        <v>0</v>
      </c>
      <c r="S306" s="155">
        <f ca="1">IF(ISNUMBER(MATCH(DATEVALUE($A306),'changes1_based on steps'!S$1:S$400,0)),S$2,)</f>
        <v>0</v>
      </c>
      <c r="T306" s="155">
        <f ca="1">IF(ISNUMBER(MATCH(DATEVALUE($A306),'changes1_based on steps'!T$1:T$400,0)),T$2,)</f>
        <v>0</v>
      </c>
      <c r="U306" s="155">
        <f ca="1">IF(ISNUMBER(MATCH(DATEVALUE($A306),'changes1_based on steps'!U$1:U$400,0)),U$2,)</f>
        <v>0</v>
      </c>
    </row>
    <row r="307" spans="1:21" x14ac:dyDescent="0.2">
      <c r="A307" s="18" t="str">
        <f t="shared" ca="1" si="4"/>
        <v>2025-12-02</v>
      </c>
      <c r="B307" s="155">
        <f ca="1">IF(ISNUMBER(MATCH(DATEVALUE($A307),'changes1_based on steps'!B$1:B$400,0)),B$2,)</f>
        <v>0</v>
      </c>
      <c r="C307" s="155">
        <f ca="1">IF(ISNUMBER(MATCH(DATEVALUE($A307),'changes1_based on steps'!C$1:C$400,0)),C$2,)</f>
        <v>0</v>
      </c>
      <c r="D307" s="155">
        <f ca="1">IF(ISNUMBER(MATCH(DATEVALUE($A307),'changes1_based on steps'!D$1:D$400,0)),D$2,)</f>
        <v>0</v>
      </c>
      <c r="E307" s="155">
        <f ca="1">IF(ISNUMBER(MATCH(DATEVALUE($A307),'changes1_based on steps'!E$1:E$400,0)),E$2,)</f>
        <v>0</v>
      </c>
      <c r="F307" s="155">
        <f ca="1">IF(ISNUMBER(MATCH(DATEVALUE($A307),'changes1_based on steps'!F$1:F$400,0)),F$2,)</f>
        <v>0</v>
      </c>
      <c r="G307" s="155">
        <f ca="1">IF(ISNUMBER(MATCH(DATEVALUE($A307),'changes1_based on steps'!G$1:G$400,0)),G$2,)</f>
        <v>0</v>
      </c>
      <c r="H307" s="155">
        <f ca="1">IF(ISNUMBER(MATCH(DATEVALUE($A307),'changes1_based on steps'!H$1:H$400,0)),H$2,)</f>
        <v>0</v>
      </c>
      <c r="I307" s="155">
        <f ca="1">IF(ISNUMBER(MATCH(DATEVALUE($A307),'changes1_based on steps'!I$1:I$400,0)),I$2,)</f>
        <v>0</v>
      </c>
      <c r="J307" s="155">
        <f ca="1">IF(ISNUMBER(MATCH(DATEVALUE($A307),'changes1_based on steps'!J$1:J$400,0)),J$2,)</f>
        <v>0</v>
      </c>
      <c r="K307" s="155">
        <f ca="1">IF(ISNUMBER(MATCH(DATEVALUE($A307),'changes1_based on steps'!K$1:K$400,0)),K$2,)</f>
        <v>0</v>
      </c>
      <c r="L307" s="155">
        <f ca="1">IF(ISNUMBER(MATCH(DATEVALUE($A307),'changes1_based on steps'!L$1:L$400,0)),L$2,)</f>
        <v>0</v>
      </c>
      <c r="M307" s="155">
        <f ca="1">IF(ISNUMBER(MATCH(DATEVALUE($A307),'changes1_based on steps'!M$1:M$400,0)),M$2,)</f>
        <v>0</v>
      </c>
      <c r="N307" s="155">
        <f ca="1">IF(ISNUMBER(MATCH(DATEVALUE($A307),'changes1_based on steps'!N$1:N$400,0)),N$2,)</f>
        <v>0</v>
      </c>
      <c r="O307" s="155">
        <f ca="1">IF(ISNUMBER(MATCH(DATEVALUE($A307),'changes1_based on steps'!O$1:O$400,0)),O$2,)</f>
        <v>0</v>
      </c>
      <c r="P307" s="155">
        <f ca="1">IF(ISNUMBER(MATCH(DATEVALUE($A307),'changes1_based on steps'!P$1:P$400,0)),P$2,)</f>
        <v>0</v>
      </c>
      <c r="Q307" s="155">
        <f ca="1">IF(ISNUMBER(MATCH(DATEVALUE($A307),'changes1_based on steps'!Q$1:Q$400,0)),Q$2,)</f>
        <v>0</v>
      </c>
      <c r="R307" s="155">
        <f ca="1">IF(ISNUMBER(MATCH(DATEVALUE($A307),'changes1_based on steps'!R$1:R$400,0)),R$2,)</f>
        <v>0</v>
      </c>
      <c r="S307" s="155">
        <f ca="1">IF(ISNUMBER(MATCH(DATEVALUE($A307),'changes1_based on steps'!S$1:S$400,0)),S$2,)</f>
        <v>0</v>
      </c>
      <c r="T307" s="155">
        <f ca="1">IF(ISNUMBER(MATCH(DATEVALUE($A307),'changes1_based on steps'!T$1:T$400,0)),T$2,)</f>
        <v>0</v>
      </c>
      <c r="U307" s="155">
        <f ca="1">IF(ISNUMBER(MATCH(DATEVALUE($A307),'changes1_based on steps'!U$1:U$400,0)),U$2,)</f>
        <v>0</v>
      </c>
    </row>
    <row r="308" spans="1:21" x14ac:dyDescent="0.2">
      <c r="A308" s="18" t="str">
        <f t="shared" ca="1" si="4"/>
        <v>2025-12-03</v>
      </c>
      <c r="B308" s="155">
        <f ca="1">IF(ISNUMBER(MATCH(DATEVALUE($A308),'changes1_based on steps'!B$1:B$400,0)),B$2,)</f>
        <v>100</v>
      </c>
      <c r="C308" s="155">
        <f ca="1">IF(ISNUMBER(MATCH(DATEVALUE($A308),'changes1_based on steps'!C$1:C$400,0)),C$2,)</f>
        <v>0</v>
      </c>
      <c r="D308" s="155">
        <f ca="1">IF(ISNUMBER(MATCH(DATEVALUE($A308),'changes1_based on steps'!D$1:D$400,0)),D$2,)</f>
        <v>0</v>
      </c>
      <c r="E308" s="155">
        <f ca="1">IF(ISNUMBER(MATCH(DATEVALUE($A308),'changes1_based on steps'!E$1:E$400,0)),E$2,)</f>
        <v>0</v>
      </c>
      <c r="F308" s="155">
        <f ca="1">IF(ISNUMBER(MATCH(DATEVALUE($A308),'changes1_based on steps'!F$1:F$400,0)),F$2,)</f>
        <v>0</v>
      </c>
      <c r="G308" s="155">
        <f ca="1">IF(ISNUMBER(MATCH(DATEVALUE($A308),'changes1_based on steps'!G$1:G$400,0)),G$2,)</f>
        <v>0</v>
      </c>
      <c r="H308" s="155">
        <f ca="1">IF(ISNUMBER(MATCH(DATEVALUE($A308),'changes1_based on steps'!H$1:H$400,0)),H$2,)</f>
        <v>0</v>
      </c>
      <c r="I308" s="155">
        <f ca="1">IF(ISNUMBER(MATCH(DATEVALUE($A308),'changes1_based on steps'!I$1:I$400,0)),I$2,)</f>
        <v>0</v>
      </c>
      <c r="J308" s="155">
        <f ca="1">IF(ISNUMBER(MATCH(DATEVALUE($A308),'changes1_based on steps'!J$1:J$400,0)),J$2,)</f>
        <v>0</v>
      </c>
      <c r="K308" s="155">
        <f ca="1">IF(ISNUMBER(MATCH(DATEVALUE($A308),'changes1_based on steps'!K$1:K$400,0)),K$2,)</f>
        <v>0</v>
      </c>
      <c r="L308" s="155">
        <f ca="1">IF(ISNUMBER(MATCH(DATEVALUE($A308),'changes1_based on steps'!L$1:L$400,0)),L$2,)</f>
        <v>0</v>
      </c>
      <c r="M308" s="155">
        <f ca="1">IF(ISNUMBER(MATCH(DATEVALUE($A308),'changes1_based on steps'!M$1:M$400,0)),M$2,)</f>
        <v>0</v>
      </c>
      <c r="N308" s="155">
        <f ca="1">IF(ISNUMBER(MATCH(DATEVALUE($A308),'changes1_based on steps'!N$1:N$400,0)),N$2,)</f>
        <v>0</v>
      </c>
      <c r="O308" s="155">
        <f ca="1">IF(ISNUMBER(MATCH(DATEVALUE($A308),'changes1_based on steps'!O$1:O$400,0)),O$2,)</f>
        <v>0</v>
      </c>
      <c r="P308" s="155">
        <f ca="1">IF(ISNUMBER(MATCH(DATEVALUE($A308),'changes1_based on steps'!P$1:P$400,0)),P$2,)</f>
        <v>0</v>
      </c>
      <c r="Q308" s="155">
        <f ca="1">IF(ISNUMBER(MATCH(DATEVALUE($A308),'changes1_based on steps'!Q$1:Q$400,0)),Q$2,)</f>
        <v>0</v>
      </c>
      <c r="R308" s="155">
        <f ca="1">IF(ISNUMBER(MATCH(DATEVALUE($A308),'changes1_based on steps'!R$1:R$400,0)),R$2,)</f>
        <v>0</v>
      </c>
      <c r="S308" s="155">
        <f ca="1">IF(ISNUMBER(MATCH(DATEVALUE($A308),'changes1_based on steps'!S$1:S$400,0)),S$2,)</f>
        <v>0</v>
      </c>
      <c r="T308" s="155">
        <f ca="1">IF(ISNUMBER(MATCH(DATEVALUE($A308),'changes1_based on steps'!T$1:T$400,0)),T$2,)</f>
        <v>0</v>
      </c>
      <c r="U308" s="155">
        <f ca="1">IF(ISNUMBER(MATCH(DATEVALUE($A308),'changes1_based on steps'!U$1:U$400,0)),U$2,)</f>
        <v>0</v>
      </c>
    </row>
    <row r="309" spans="1:21" x14ac:dyDescent="0.2">
      <c r="A309" s="18" t="str">
        <f t="shared" ca="1" si="4"/>
        <v>2025-12-04</v>
      </c>
      <c r="B309" s="155">
        <f ca="1">IF(ISNUMBER(MATCH(DATEVALUE($A309),'changes1_based on steps'!B$1:B$400,0)),B$2,)</f>
        <v>0</v>
      </c>
      <c r="C309" s="155">
        <f ca="1">IF(ISNUMBER(MATCH(DATEVALUE($A309),'changes1_based on steps'!C$1:C$400,0)),C$2,)</f>
        <v>0</v>
      </c>
      <c r="D309" s="155">
        <f ca="1">IF(ISNUMBER(MATCH(DATEVALUE($A309),'changes1_based on steps'!D$1:D$400,0)),D$2,)</f>
        <v>0</v>
      </c>
      <c r="E309" s="155">
        <f ca="1">IF(ISNUMBER(MATCH(DATEVALUE($A309),'changes1_based on steps'!E$1:E$400,0)),E$2,)</f>
        <v>0</v>
      </c>
      <c r="F309" s="155">
        <f ca="1">IF(ISNUMBER(MATCH(DATEVALUE($A309),'changes1_based on steps'!F$1:F$400,0)),F$2,)</f>
        <v>0</v>
      </c>
      <c r="G309" s="155">
        <f ca="1">IF(ISNUMBER(MATCH(DATEVALUE($A309),'changes1_based on steps'!G$1:G$400,0)),G$2,)</f>
        <v>0</v>
      </c>
      <c r="H309" s="155">
        <f ca="1">IF(ISNUMBER(MATCH(DATEVALUE($A309),'changes1_based on steps'!H$1:H$400,0)),H$2,)</f>
        <v>0</v>
      </c>
      <c r="I309" s="155">
        <f ca="1">IF(ISNUMBER(MATCH(DATEVALUE($A309),'changes1_based on steps'!I$1:I$400,0)),I$2,)</f>
        <v>0</v>
      </c>
      <c r="J309" s="155">
        <f ca="1">IF(ISNUMBER(MATCH(DATEVALUE($A309),'changes1_based on steps'!J$1:J$400,0)),J$2,)</f>
        <v>0</v>
      </c>
      <c r="K309" s="155">
        <f ca="1">IF(ISNUMBER(MATCH(DATEVALUE($A309),'changes1_based on steps'!K$1:K$400,0)),K$2,)</f>
        <v>0</v>
      </c>
      <c r="L309" s="155">
        <f ca="1">IF(ISNUMBER(MATCH(DATEVALUE($A309),'changes1_based on steps'!L$1:L$400,0)),L$2,)</f>
        <v>0</v>
      </c>
      <c r="M309" s="155">
        <f ca="1">IF(ISNUMBER(MATCH(DATEVALUE($A309),'changes1_based on steps'!M$1:M$400,0)),M$2,)</f>
        <v>0</v>
      </c>
      <c r="N309" s="155">
        <f ca="1">IF(ISNUMBER(MATCH(DATEVALUE($A309),'changes1_based on steps'!N$1:N$400,0)),N$2,)</f>
        <v>0</v>
      </c>
      <c r="O309" s="155">
        <f ca="1">IF(ISNUMBER(MATCH(DATEVALUE($A309),'changes1_based on steps'!O$1:O$400,0)),O$2,)</f>
        <v>0</v>
      </c>
      <c r="P309" s="155">
        <f ca="1">IF(ISNUMBER(MATCH(DATEVALUE($A309),'changes1_based on steps'!P$1:P$400,0)),P$2,)</f>
        <v>0</v>
      </c>
      <c r="Q309" s="155">
        <f ca="1">IF(ISNUMBER(MATCH(DATEVALUE($A309),'changes1_based on steps'!Q$1:Q$400,0)),Q$2,)</f>
        <v>0</v>
      </c>
      <c r="R309" s="155">
        <f ca="1">IF(ISNUMBER(MATCH(DATEVALUE($A309),'changes1_based on steps'!R$1:R$400,0)),R$2,)</f>
        <v>0</v>
      </c>
      <c r="S309" s="155">
        <f ca="1">IF(ISNUMBER(MATCH(DATEVALUE($A309),'changes1_based on steps'!S$1:S$400,0)),S$2,)</f>
        <v>0</v>
      </c>
      <c r="T309" s="155">
        <f ca="1">IF(ISNUMBER(MATCH(DATEVALUE($A309),'changes1_based on steps'!T$1:T$400,0)),T$2,)</f>
        <v>0</v>
      </c>
      <c r="U309" s="155">
        <f ca="1">IF(ISNUMBER(MATCH(DATEVALUE($A309),'changes1_based on steps'!U$1:U$400,0)),U$2,)</f>
        <v>0</v>
      </c>
    </row>
    <row r="310" spans="1:21" x14ac:dyDescent="0.2">
      <c r="A310" s="18" t="str">
        <f t="shared" ca="1" si="4"/>
        <v>2025-12-05</v>
      </c>
      <c r="B310" s="155">
        <f ca="1">IF(ISNUMBER(MATCH(DATEVALUE($A310),'changes1_based on steps'!B$1:B$400,0)),B$2,)</f>
        <v>0</v>
      </c>
      <c r="C310" s="155">
        <f ca="1">IF(ISNUMBER(MATCH(DATEVALUE($A310),'changes1_based on steps'!C$1:C$400,0)),C$2,)</f>
        <v>0</v>
      </c>
      <c r="D310" s="155">
        <f ca="1">IF(ISNUMBER(MATCH(DATEVALUE($A310),'changes1_based on steps'!D$1:D$400,0)),D$2,)</f>
        <v>0</v>
      </c>
      <c r="E310" s="155">
        <f ca="1">IF(ISNUMBER(MATCH(DATEVALUE($A310),'changes1_based on steps'!E$1:E$400,0)),E$2,)</f>
        <v>0</v>
      </c>
      <c r="F310" s="155">
        <f ca="1">IF(ISNUMBER(MATCH(DATEVALUE($A310),'changes1_based on steps'!F$1:F$400,0)),F$2,)</f>
        <v>0</v>
      </c>
      <c r="G310" s="155">
        <f ca="1">IF(ISNUMBER(MATCH(DATEVALUE($A310),'changes1_based on steps'!G$1:G$400,0)),G$2,)</f>
        <v>0</v>
      </c>
      <c r="H310" s="155">
        <f ca="1">IF(ISNUMBER(MATCH(DATEVALUE($A310),'changes1_based on steps'!H$1:H$400,0)),H$2,)</f>
        <v>0</v>
      </c>
      <c r="I310" s="155">
        <f ca="1">IF(ISNUMBER(MATCH(DATEVALUE($A310),'changes1_based on steps'!I$1:I$400,0)),I$2,)</f>
        <v>0</v>
      </c>
      <c r="J310" s="155">
        <f ca="1">IF(ISNUMBER(MATCH(DATEVALUE($A310),'changes1_based on steps'!J$1:J$400,0)),J$2,)</f>
        <v>0</v>
      </c>
      <c r="K310" s="155">
        <f ca="1">IF(ISNUMBER(MATCH(DATEVALUE($A310),'changes1_based on steps'!K$1:K$400,0)),K$2,)</f>
        <v>0</v>
      </c>
      <c r="L310" s="155">
        <f ca="1">IF(ISNUMBER(MATCH(DATEVALUE($A310),'changes1_based on steps'!L$1:L$400,0)),L$2,)</f>
        <v>0</v>
      </c>
      <c r="M310" s="155">
        <f ca="1">IF(ISNUMBER(MATCH(DATEVALUE($A310),'changes1_based on steps'!M$1:M$400,0)),M$2,)</f>
        <v>0</v>
      </c>
      <c r="N310" s="155">
        <f ca="1">IF(ISNUMBER(MATCH(DATEVALUE($A310),'changes1_based on steps'!N$1:N$400,0)),N$2,)</f>
        <v>0</v>
      </c>
      <c r="O310" s="155">
        <f ca="1">IF(ISNUMBER(MATCH(DATEVALUE($A310),'changes1_based on steps'!O$1:O$400,0)),O$2,)</f>
        <v>0</v>
      </c>
      <c r="P310" s="155">
        <f ca="1">IF(ISNUMBER(MATCH(DATEVALUE($A310),'changes1_based on steps'!P$1:P$400,0)),P$2,)</f>
        <v>0</v>
      </c>
      <c r="Q310" s="155">
        <f ca="1">IF(ISNUMBER(MATCH(DATEVALUE($A310),'changes1_based on steps'!Q$1:Q$400,0)),Q$2,)</f>
        <v>0</v>
      </c>
      <c r="R310" s="155">
        <f ca="1">IF(ISNUMBER(MATCH(DATEVALUE($A310),'changes1_based on steps'!R$1:R$400,0)),R$2,)</f>
        <v>0</v>
      </c>
      <c r="S310" s="155">
        <f ca="1">IF(ISNUMBER(MATCH(DATEVALUE($A310),'changes1_based on steps'!S$1:S$400,0)),S$2,)</f>
        <v>0</v>
      </c>
      <c r="T310" s="155">
        <f ca="1">IF(ISNUMBER(MATCH(DATEVALUE($A310),'changes1_based on steps'!T$1:T$400,0)),T$2,)</f>
        <v>0</v>
      </c>
      <c r="U310" s="155">
        <f ca="1">IF(ISNUMBER(MATCH(DATEVALUE($A310),'changes1_based on steps'!U$1:U$400,0)),U$2,)</f>
        <v>0</v>
      </c>
    </row>
    <row r="311" spans="1:21" x14ac:dyDescent="0.2">
      <c r="A311" s="18" t="str">
        <f t="shared" ca="1" si="4"/>
        <v>2025-12-06</v>
      </c>
      <c r="B311" s="155">
        <f ca="1">IF(ISNUMBER(MATCH(DATEVALUE($A311),'changes1_based on steps'!B$1:B$400,0)),B$2,)</f>
        <v>0</v>
      </c>
      <c r="C311" s="155">
        <f ca="1">IF(ISNUMBER(MATCH(DATEVALUE($A311),'changes1_based on steps'!C$1:C$400,0)),C$2,)</f>
        <v>0</v>
      </c>
      <c r="D311" s="155">
        <f ca="1">IF(ISNUMBER(MATCH(DATEVALUE($A311),'changes1_based on steps'!D$1:D$400,0)),D$2,)</f>
        <v>0</v>
      </c>
      <c r="E311" s="155">
        <f ca="1">IF(ISNUMBER(MATCH(DATEVALUE($A311),'changes1_based on steps'!E$1:E$400,0)),E$2,)</f>
        <v>0</v>
      </c>
      <c r="F311" s="155">
        <f ca="1">IF(ISNUMBER(MATCH(DATEVALUE($A311),'changes1_based on steps'!F$1:F$400,0)),F$2,)</f>
        <v>0</v>
      </c>
      <c r="G311" s="155">
        <f ca="1">IF(ISNUMBER(MATCH(DATEVALUE($A311),'changes1_based on steps'!G$1:G$400,0)),G$2,)</f>
        <v>0</v>
      </c>
      <c r="H311" s="155">
        <f ca="1">IF(ISNUMBER(MATCH(DATEVALUE($A311),'changes1_based on steps'!H$1:H$400,0)),H$2,)</f>
        <v>0</v>
      </c>
      <c r="I311" s="155">
        <f ca="1">IF(ISNUMBER(MATCH(DATEVALUE($A311),'changes1_based on steps'!I$1:I$400,0)),I$2,)</f>
        <v>0</v>
      </c>
      <c r="J311" s="155">
        <f ca="1">IF(ISNUMBER(MATCH(DATEVALUE($A311),'changes1_based on steps'!J$1:J$400,0)),J$2,)</f>
        <v>0</v>
      </c>
      <c r="K311" s="155">
        <f ca="1">IF(ISNUMBER(MATCH(DATEVALUE($A311),'changes1_based on steps'!K$1:K$400,0)),K$2,)</f>
        <v>0</v>
      </c>
      <c r="L311" s="155">
        <f ca="1">IF(ISNUMBER(MATCH(DATEVALUE($A311),'changes1_based on steps'!L$1:L$400,0)),L$2,)</f>
        <v>0</v>
      </c>
      <c r="M311" s="155">
        <f ca="1">IF(ISNUMBER(MATCH(DATEVALUE($A311),'changes1_based on steps'!M$1:M$400,0)),M$2,)</f>
        <v>0</v>
      </c>
      <c r="N311" s="155">
        <f ca="1">IF(ISNUMBER(MATCH(DATEVALUE($A311),'changes1_based on steps'!N$1:N$400,0)),N$2,)</f>
        <v>0</v>
      </c>
      <c r="O311" s="155">
        <f ca="1">IF(ISNUMBER(MATCH(DATEVALUE($A311),'changes1_based on steps'!O$1:O$400,0)),O$2,)</f>
        <v>0</v>
      </c>
      <c r="P311" s="155">
        <f ca="1">IF(ISNUMBER(MATCH(DATEVALUE($A311),'changes1_based on steps'!P$1:P$400,0)),P$2,)</f>
        <v>0</v>
      </c>
      <c r="Q311" s="155">
        <f ca="1">IF(ISNUMBER(MATCH(DATEVALUE($A311),'changes1_based on steps'!Q$1:Q$400,0)),Q$2,)</f>
        <v>0</v>
      </c>
      <c r="R311" s="155">
        <f ca="1">IF(ISNUMBER(MATCH(DATEVALUE($A311),'changes1_based on steps'!R$1:R$400,0)),R$2,)</f>
        <v>0</v>
      </c>
      <c r="S311" s="155">
        <f ca="1">IF(ISNUMBER(MATCH(DATEVALUE($A311),'changes1_based on steps'!S$1:S$400,0)),S$2,)</f>
        <v>0</v>
      </c>
      <c r="T311" s="155">
        <f ca="1">IF(ISNUMBER(MATCH(DATEVALUE($A311),'changes1_based on steps'!T$1:T$400,0)),T$2,)</f>
        <v>0</v>
      </c>
      <c r="U311" s="155">
        <f ca="1">IF(ISNUMBER(MATCH(DATEVALUE($A311),'changes1_based on steps'!U$1:U$400,0)),U$2,)</f>
        <v>0</v>
      </c>
    </row>
    <row r="312" spans="1:21" x14ac:dyDescent="0.2">
      <c r="A312" s="18" t="str">
        <f t="shared" ca="1" si="4"/>
        <v>2025-12-07</v>
      </c>
      <c r="B312" s="155">
        <f ca="1">IF(ISNUMBER(MATCH(DATEVALUE($A312),'changes1_based on steps'!B$1:B$400,0)),B$2,)</f>
        <v>0</v>
      </c>
      <c r="C312" s="155">
        <f ca="1">IF(ISNUMBER(MATCH(DATEVALUE($A312),'changes1_based on steps'!C$1:C$400,0)),C$2,)</f>
        <v>0</v>
      </c>
      <c r="D312" s="155">
        <f ca="1">IF(ISNUMBER(MATCH(DATEVALUE($A312),'changes1_based on steps'!D$1:D$400,0)),D$2,)</f>
        <v>0</v>
      </c>
      <c r="E312" s="155">
        <f ca="1">IF(ISNUMBER(MATCH(DATEVALUE($A312),'changes1_based on steps'!E$1:E$400,0)),E$2,)</f>
        <v>0</v>
      </c>
      <c r="F312" s="155">
        <f ca="1">IF(ISNUMBER(MATCH(DATEVALUE($A312),'changes1_based on steps'!F$1:F$400,0)),F$2,)</f>
        <v>0</v>
      </c>
      <c r="G312" s="155">
        <f ca="1">IF(ISNUMBER(MATCH(DATEVALUE($A312),'changes1_based on steps'!G$1:G$400,0)),G$2,)</f>
        <v>0</v>
      </c>
      <c r="H312" s="155">
        <f ca="1">IF(ISNUMBER(MATCH(DATEVALUE($A312),'changes1_based on steps'!H$1:H$400,0)),H$2,)</f>
        <v>0</v>
      </c>
      <c r="I312" s="155">
        <f ca="1">IF(ISNUMBER(MATCH(DATEVALUE($A312),'changes1_based on steps'!I$1:I$400,0)),I$2,)</f>
        <v>0</v>
      </c>
      <c r="J312" s="155">
        <f ca="1">IF(ISNUMBER(MATCH(DATEVALUE($A312),'changes1_based on steps'!J$1:J$400,0)),J$2,)</f>
        <v>0</v>
      </c>
      <c r="K312" s="155">
        <f ca="1">IF(ISNUMBER(MATCH(DATEVALUE($A312),'changes1_based on steps'!K$1:K$400,0)),K$2,)</f>
        <v>0</v>
      </c>
      <c r="L312" s="155">
        <f ca="1">IF(ISNUMBER(MATCH(DATEVALUE($A312),'changes1_based on steps'!L$1:L$400,0)),L$2,)</f>
        <v>0</v>
      </c>
      <c r="M312" s="155">
        <f ca="1">IF(ISNUMBER(MATCH(DATEVALUE($A312),'changes1_based on steps'!M$1:M$400,0)),M$2,)</f>
        <v>0</v>
      </c>
      <c r="N312" s="155">
        <f ca="1">IF(ISNUMBER(MATCH(DATEVALUE($A312),'changes1_based on steps'!N$1:N$400,0)),N$2,)</f>
        <v>0</v>
      </c>
      <c r="O312" s="155">
        <f ca="1">IF(ISNUMBER(MATCH(DATEVALUE($A312),'changes1_based on steps'!O$1:O$400,0)),O$2,)</f>
        <v>0</v>
      </c>
      <c r="P312" s="155">
        <f ca="1">IF(ISNUMBER(MATCH(DATEVALUE($A312),'changes1_based on steps'!P$1:P$400,0)),P$2,)</f>
        <v>0</v>
      </c>
      <c r="Q312" s="155">
        <f ca="1">IF(ISNUMBER(MATCH(DATEVALUE($A312),'changes1_based on steps'!Q$1:Q$400,0)),Q$2,)</f>
        <v>0</v>
      </c>
      <c r="R312" s="155">
        <f ca="1">IF(ISNUMBER(MATCH(DATEVALUE($A312),'changes1_based on steps'!R$1:R$400,0)),R$2,)</f>
        <v>0</v>
      </c>
      <c r="S312" s="155">
        <f ca="1">IF(ISNUMBER(MATCH(DATEVALUE($A312),'changes1_based on steps'!S$1:S$400,0)),S$2,)</f>
        <v>0</v>
      </c>
      <c r="T312" s="155">
        <f ca="1">IF(ISNUMBER(MATCH(DATEVALUE($A312),'changes1_based on steps'!T$1:T$400,0)),T$2,)</f>
        <v>0</v>
      </c>
      <c r="U312" s="155">
        <f ca="1">IF(ISNUMBER(MATCH(DATEVALUE($A312),'changes1_based on steps'!U$1:U$400,0)),U$2,)</f>
        <v>0</v>
      </c>
    </row>
    <row r="313" spans="1:21" x14ac:dyDescent="0.2">
      <c r="A313" s="18" t="str">
        <f t="shared" ca="1" si="4"/>
        <v>2025-12-08</v>
      </c>
      <c r="B313" s="155">
        <f ca="1">IF(ISNUMBER(MATCH(DATEVALUE($A313),'changes1_based on steps'!B$1:B$400,0)),B$2,)</f>
        <v>0</v>
      </c>
      <c r="C313" s="155">
        <f ca="1">IF(ISNUMBER(MATCH(DATEVALUE($A313),'changes1_based on steps'!C$1:C$400,0)),C$2,)</f>
        <v>0</v>
      </c>
      <c r="D313" s="155">
        <f ca="1">IF(ISNUMBER(MATCH(DATEVALUE($A313),'changes1_based on steps'!D$1:D$400,0)),D$2,)</f>
        <v>0</v>
      </c>
      <c r="E313" s="155">
        <f ca="1">IF(ISNUMBER(MATCH(DATEVALUE($A313),'changes1_based on steps'!E$1:E$400,0)),E$2,)</f>
        <v>0</v>
      </c>
      <c r="F313" s="155">
        <f ca="1">IF(ISNUMBER(MATCH(DATEVALUE($A313),'changes1_based on steps'!F$1:F$400,0)),F$2,)</f>
        <v>0</v>
      </c>
      <c r="G313" s="155">
        <f ca="1">IF(ISNUMBER(MATCH(DATEVALUE($A313),'changes1_based on steps'!G$1:G$400,0)),G$2,)</f>
        <v>0</v>
      </c>
      <c r="H313" s="155">
        <f ca="1">IF(ISNUMBER(MATCH(DATEVALUE($A313),'changes1_based on steps'!H$1:H$400,0)),H$2,)</f>
        <v>0</v>
      </c>
      <c r="I313" s="155">
        <f ca="1">IF(ISNUMBER(MATCH(DATEVALUE($A313),'changes1_based on steps'!I$1:I$400,0)),I$2,)</f>
        <v>0</v>
      </c>
      <c r="J313" s="155">
        <f ca="1">IF(ISNUMBER(MATCH(DATEVALUE($A313),'changes1_based on steps'!J$1:J$400,0)),J$2,)</f>
        <v>0</v>
      </c>
      <c r="K313" s="155">
        <f ca="1">IF(ISNUMBER(MATCH(DATEVALUE($A313),'changes1_based on steps'!K$1:K$400,0)),K$2,)</f>
        <v>0</v>
      </c>
      <c r="L313" s="155">
        <f ca="1">IF(ISNUMBER(MATCH(DATEVALUE($A313),'changes1_based on steps'!L$1:L$400,0)),L$2,)</f>
        <v>0</v>
      </c>
      <c r="M313" s="155">
        <f ca="1">IF(ISNUMBER(MATCH(DATEVALUE($A313),'changes1_based on steps'!M$1:M$400,0)),M$2,)</f>
        <v>0</v>
      </c>
      <c r="N313" s="155">
        <f ca="1">IF(ISNUMBER(MATCH(DATEVALUE($A313),'changes1_based on steps'!N$1:N$400,0)),N$2,)</f>
        <v>0</v>
      </c>
      <c r="O313" s="155">
        <f ca="1">IF(ISNUMBER(MATCH(DATEVALUE($A313),'changes1_based on steps'!O$1:O$400,0)),O$2,)</f>
        <v>0</v>
      </c>
      <c r="P313" s="155">
        <f ca="1">IF(ISNUMBER(MATCH(DATEVALUE($A313),'changes1_based on steps'!P$1:P$400,0)),P$2,)</f>
        <v>0</v>
      </c>
      <c r="Q313" s="155">
        <f ca="1">IF(ISNUMBER(MATCH(DATEVALUE($A313),'changes1_based on steps'!Q$1:Q$400,0)),Q$2,)</f>
        <v>0</v>
      </c>
      <c r="R313" s="155">
        <f ca="1">IF(ISNUMBER(MATCH(DATEVALUE($A313),'changes1_based on steps'!R$1:R$400,0)),R$2,)</f>
        <v>0</v>
      </c>
      <c r="S313" s="155">
        <f ca="1">IF(ISNUMBER(MATCH(DATEVALUE($A313),'changes1_based on steps'!S$1:S$400,0)),S$2,)</f>
        <v>0</v>
      </c>
      <c r="T313" s="155">
        <f ca="1">IF(ISNUMBER(MATCH(DATEVALUE($A313),'changes1_based on steps'!T$1:T$400,0)),T$2,)</f>
        <v>0</v>
      </c>
      <c r="U313" s="155">
        <f ca="1">IF(ISNUMBER(MATCH(DATEVALUE($A313),'changes1_based on steps'!U$1:U$400,0)),U$2,)</f>
        <v>0</v>
      </c>
    </row>
    <row r="314" spans="1:21" x14ac:dyDescent="0.2">
      <c r="A314" s="18" t="str">
        <f t="shared" ca="1" si="4"/>
        <v>2025-12-09</v>
      </c>
      <c r="B314" s="155">
        <f ca="1">IF(ISNUMBER(MATCH(DATEVALUE($A314),'changes1_based on steps'!B$1:B$400,0)),B$2,)</f>
        <v>0</v>
      </c>
      <c r="C314" s="155">
        <f ca="1">IF(ISNUMBER(MATCH(DATEVALUE($A314),'changes1_based on steps'!C$1:C$400,0)),C$2,)</f>
        <v>0</v>
      </c>
      <c r="D314" s="155">
        <f ca="1">IF(ISNUMBER(MATCH(DATEVALUE($A314),'changes1_based on steps'!D$1:D$400,0)),D$2,)</f>
        <v>0</v>
      </c>
      <c r="E314" s="155">
        <f ca="1">IF(ISNUMBER(MATCH(DATEVALUE($A314),'changes1_based on steps'!E$1:E$400,0)),E$2,)</f>
        <v>0</v>
      </c>
      <c r="F314" s="155">
        <f ca="1">IF(ISNUMBER(MATCH(DATEVALUE($A314),'changes1_based on steps'!F$1:F$400,0)),F$2,)</f>
        <v>0</v>
      </c>
      <c r="G314" s="155">
        <f ca="1">IF(ISNUMBER(MATCH(DATEVALUE($A314),'changes1_based on steps'!G$1:G$400,0)),G$2,)</f>
        <v>0</v>
      </c>
      <c r="H314" s="155">
        <f ca="1">IF(ISNUMBER(MATCH(DATEVALUE($A314),'changes1_based on steps'!H$1:H$400,0)),H$2,)</f>
        <v>0</v>
      </c>
      <c r="I314" s="155">
        <f ca="1">IF(ISNUMBER(MATCH(DATEVALUE($A314),'changes1_based on steps'!I$1:I$400,0)),I$2,)</f>
        <v>0</v>
      </c>
      <c r="J314" s="155">
        <f ca="1">IF(ISNUMBER(MATCH(DATEVALUE($A314),'changes1_based on steps'!J$1:J$400,0)),J$2,)</f>
        <v>0</v>
      </c>
      <c r="K314" s="155">
        <f ca="1">IF(ISNUMBER(MATCH(DATEVALUE($A314),'changes1_based on steps'!K$1:K$400,0)),K$2,)</f>
        <v>0</v>
      </c>
      <c r="L314" s="155">
        <f ca="1">IF(ISNUMBER(MATCH(DATEVALUE($A314),'changes1_based on steps'!L$1:L$400,0)),L$2,)</f>
        <v>0</v>
      </c>
      <c r="M314" s="155">
        <f ca="1">IF(ISNUMBER(MATCH(DATEVALUE($A314),'changes1_based on steps'!M$1:M$400,0)),M$2,)</f>
        <v>0</v>
      </c>
      <c r="N314" s="155">
        <f ca="1">IF(ISNUMBER(MATCH(DATEVALUE($A314),'changes1_based on steps'!N$1:N$400,0)),N$2,)</f>
        <v>0</v>
      </c>
      <c r="O314" s="155">
        <f ca="1">IF(ISNUMBER(MATCH(DATEVALUE($A314),'changes1_based on steps'!O$1:O$400,0)),O$2,)</f>
        <v>0</v>
      </c>
      <c r="P314" s="155">
        <f ca="1">IF(ISNUMBER(MATCH(DATEVALUE($A314),'changes1_based on steps'!P$1:P$400,0)),P$2,)</f>
        <v>0</v>
      </c>
      <c r="Q314" s="155">
        <f ca="1">IF(ISNUMBER(MATCH(DATEVALUE($A314),'changes1_based on steps'!Q$1:Q$400,0)),Q$2,)</f>
        <v>0</v>
      </c>
      <c r="R314" s="155">
        <f ca="1">IF(ISNUMBER(MATCH(DATEVALUE($A314),'changes1_based on steps'!R$1:R$400,0)),R$2,)</f>
        <v>0</v>
      </c>
      <c r="S314" s="155">
        <f ca="1">IF(ISNUMBER(MATCH(DATEVALUE($A314),'changes1_based on steps'!S$1:S$400,0)),S$2,)</f>
        <v>0</v>
      </c>
      <c r="T314" s="155">
        <f ca="1">IF(ISNUMBER(MATCH(DATEVALUE($A314),'changes1_based on steps'!T$1:T$400,0)),T$2,)</f>
        <v>0</v>
      </c>
      <c r="U314" s="155">
        <f ca="1">IF(ISNUMBER(MATCH(DATEVALUE($A314),'changes1_based on steps'!U$1:U$400,0)),U$2,)</f>
        <v>0</v>
      </c>
    </row>
    <row r="315" spans="1:21" x14ac:dyDescent="0.2">
      <c r="A315" s="18" t="str">
        <f t="shared" ca="1" si="4"/>
        <v>2025-12-10</v>
      </c>
      <c r="B315" s="155">
        <f ca="1">IF(ISNUMBER(MATCH(DATEVALUE($A315),'changes1_based on steps'!B$1:B$400,0)),B$2,)</f>
        <v>0</v>
      </c>
      <c r="C315" s="155">
        <f ca="1">IF(ISNUMBER(MATCH(DATEVALUE($A315),'changes1_based on steps'!C$1:C$400,0)),C$2,)</f>
        <v>0</v>
      </c>
      <c r="D315" s="155">
        <f ca="1">IF(ISNUMBER(MATCH(DATEVALUE($A315),'changes1_based on steps'!D$1:D$400,0)),D$2,)</f>
        <v>0</v>
      </c>
      <c r="E315" s="155">
        <f ca="1">IF(ISNUMBER(MATCH(DATEVALUE($A315),'changes1_based on steps'!E$1:E$400,0)),E$2,)</f>
        <v>0</v>
      </c>
      <c r="F315" s="155">
        <f ca="1">IF(ISNUMBER(MATCH(DATEVALUE($A315),'changes1_based on steps'!F$1:F$400,0)),F$2,)</f>
        <v>0</v>
      </c>
      <c r="G315" s="155">
        <f ca="1">IF(ISNUMBER(MATCH(DATEVALUE($A315),'changes1_based on steps'!G$1:G$400,0)),G$2,)</f>
        <v>0</v>
      </c>
      <c r="H315" s="155">
        <f ca="1">IF(ISNUMBER(MATCH(DATEVALUE($A315),'changes1_based on steps'!H$1:H$400,0)),H$2,)</f>
        <v>0</v>
      </c>
      <c r="I315" s="155">
        <f ca="1">IF(ISNUMBER(MATCH(DATEVALUE($A315),'changes1_based on steps'!I$1:I$400,0)),I$2,)</f>
        <v>0</v>
      </c>
      <c r="J315" s="155">
        <f ca="1">IF(ISNUMBER(MATCH(DATEVALUE($A315),'changes1_based on steps'!J$1:J$400,0)),J$2,)</f>
        <v>0</v>
      </c>
      <c r="K315" s="155">
        <f ca="1">IF(ISNUMBER(MATCH(DATEVALUE($A315),'changes1_based on steps'!K$1:K$400,0)),K$2,)</f>
        <v>0</v>
      </c>
      <c r="L315" s="155">
        <f ca="1">IF(ISNUMBER(MATCH(DATEVALUE($A315),'changes1_based on steps'!L$1:L$400,0)),L$2,)</f>
        <v>0</v>
      </c>
      <c r="M315" s="155">
        <f ca="1">IF(ISNUMBER(MATCH(DATEVALUE($A315),'changes1_based on steps'!M$1:M$400,0)),M$2,)</f>
        <v>0</v>
      </c>
      <c r="N315" s="155">
        <f ca="1">IF(ISNUMBER(MATCH(DATEVALUE($A315),'changes1_based on steps'!N$1:N$400,0)),N$2,)</f>
        <v>0</v>
      </c>
      <c r="O315" s="155">
        <f ca="1">IF(ISNUMBER(MATCH(DATEVALUE($A315),'changes1_based on steps'!O$1:O$400,0)),O$2,)</f>
        <v>0</v>
      </c>
      <c r="P315" s="155">
        <f ca="1">IF(ISNUMBER(MATCH(DATEVALUE($A315),'changes1_based on steps'!P$1:P$400,0)),P$2,)</f>
        <v>0</v>
      </c>
      <c r="Q315" s="155">
        <f ca="1">IF(ISNUMBER(MATCH(DATEVALUE($A315),'changes1_based on steps'!Q$1:Q$400,0)),Q$2,)</f>
        <v>0</v>
      </c>
      <c r="R315" s="155">
        <f ca="1">IF(ISNUMBER(MATCH(DATEVALUE($A315),'changes1_based on steps'!R$1:R$400,0)),R$2,)</f>
        <v>0</v>
      </c>
      <c r="S315" s="155">
        <f ca="1">IF(ISNUMBER(MATCH(DATEVALUE($A315),'changes1_based on steps'!S$1:S$400,0)),S$2,)</f>
        <v>0</v>
      </c>
      <c r="T315" s="155">
        <f ca="1">IF(ISNUMBER(MATCH(DATEVALUE($A315),'changes1_based on steps'!T$1:T$400,0)),T$2,)</f>
        <v>0</v>
      </c>
      <c r="U315" s="155">
        <f ca="1">IF(ISNUMBER(MATCH(DATEVALUE($A315),'changes1_based on steps'!U$1:U$400,0)),U$2,)</f>
        <v>0</v>
      </c>
    </row>
    <row r="316" spans="1:21" x14ac:dyDescent="0.2">
      <c r="A316" s="18" t="str">
        <f t="shared" ca="1" si="4"/>
        <v>2025-12-11</v>
      </c>
      <c r="B316" s="155">
        <f ca="1">IF(ISNUMBER(MATCH(DATEVALUE($A316),'changes1_based on steps'!B$1:B$400,0)),B$2,)</f>
        <v>0</v>
      </c>
      <c r="C316" s="155">
        <f ca="1">IF(ISNUMBER(MATCH(DATEVALUE($A316),'changes1_based on steps'!C$1:C$400,0)),C$2,)</f>
        <v>0</v>
      </c>
      <c r="D316" s="155">
        <f ca="1">IF(ISNUMBER(MATCH(DATEVALUE($A316),'changes1_based on steps'!D$1:D$400,0)),D$2,)</f>
        <v>0</v>
      </c>
      <c r="E316" s="155">
        <f ca="1">IF(ISNUMBER(MATCH(DATEVALUE($A316),'changes1_based on steps'!E$1:E$400,0)),E$2,)</f>
        <v>0</v>
      </c>
      <c r="F316" s="155">
        <f ca="1">IF(ISNUMBER(MATCH(DATEVALUE($A316),'changes1_based on steps'!F$1:F$400,0)),F$2,)</f>
        <v>0</v>
      </c>
      <c r="G316" s="155">
        <f ca="1">IF(ISNUMBER(MATCH(DATEVALUE($A316),'changes1_based on steps'!G$1:G$400,0)),G$2,)</f>
        <v>0</v>
      </c>
      <c r="H316" s="155">
        <f ca="1">IF(ISNUMBER(MATCH(DATEVALUE($A316),'changes1_based on steps'!H$1:H$400,0)),H$2,)</f>
        <v>0</v>
      </c>
      <c r="I316" s="155">
        <f ca="1">IF(ISNUMBER(MATCH(DATEVALUE($A316),'changes1_based on steps'!I$1:I$400,0)),I$2,)</f>
        <v>0</v>
      </c>
      <c r="J316" s="155">
        <f ca="1">IF(ISNUMBER(MATCH(DATEVALUE($A316),'changes1_based on steps'!J$1:J$400,0)),J$2,)</f>
        <v>0</v>
      </c>
      <c r="K316" s="155">
        <f ca="1">IF(ISNUMBER(MATCH(DATEVALUE($A316),'changes1_based on steps'!K$1:K$400,0)),K$2,)</f>
        <v>0</v>
      </c>
      <c r="L316" s="155">
        <f ca="1">IF(ISNUMBER(MATCH(DATEVALUE($A316),'changes1_based on steps'!L$1:L$400,0)),L$2,)</f>
        <v>0</v>
      </c>
      <c r="M316" s="155">
        <f ca="1">IF(ISNUMBER(MATCH(DATEVALUE($A316),'changes1_based on steps'!M$1:M$400,0)),M$2,)</f>
        <v>0</v>
      </c>
      <c r="N316" s="155">
        <f ca="1">IF(ISNUMBER(MATCH(DATEVALUE($A316),'changes1_based on steps'!N$1:N$400,0)),N$2,)</f>
        <v>0</v>
      </c>
      <c r="O316" s="155">
        <f ca="1">IF(ISNUMBER(MATCH(DATEVALUE($A316),'changes1_based on steps'!O$1:O$400,0)),O$2,)</f>
        <v>0</v>
      </c>
      <c r="P316" s="155">
        <f ca="1">IF(ISNUMBER(MATCH(DATEVALUE($A316),'changes1_based on steps'!P$1:P$400,0)),P$2,)</f>
        <v>0</v>
      </c>
      <c r="Q316" s="155">
        <f ca="1">IF(ISNUMBER(MATCH(DATEVALUE($A316),'changes1_based on steps'!Q$1:Q$400,0)),Q$2,)</f>
        <v>0</v>
      </c>
      <c r="R316" s="155">
        <f ca="1">IF(ISNUMBER(MATCH(DATEVALUE($A316),'changes1_based on steps'!R$1:R$400,0)),R$2,)</f>
        <v>0</v>
      </c>
      <c r="S316" s="155">
        <f ca="1">IF(ISNUMBER(MATCH(DATEVALUE($A316),'changes1_based on steps'!S$1:S$400,0)),S$2,)</f>
        <v>0</v>
      </c>
      <c r="T316" s="155">
        <f ca="1">IF(ISNUMBER(MATCH(DATEVALUE($A316),'changes1_based on steps'!T$1:T$400,0)),T$2,)</f>
        <v>0</v>
      </c>
      <c r="U316" s="155">
        <f ca="1">IF(ISNUMBER(MATCH(DATEVALUE($A316),'changes1_based on steps'!U$1:U$400,0)),U$2,)</f>
        <v>0</v>
      </c>
    </row>
    <row r="317" spans="1:21" x14ac:dyDescent="0.2">
      <c r="A317" s="18" t="str">
        <f t="shared" ca="1" si="4"/>
        <v>2025-12-12</v>
      </c>
      <c r="B317" s="155">
        <f ca="1">IF(ISNUMBER(MATCH(DATEVALUE($A317),'changes1_based on steps'!B$1:B$400,0)),B$2,)</f>
        <v>0</v>
      </c>
      <c r="C317" s="155">
        <f ca="1">IF(ISNUMBER(MATCH(DATEVALUE($A317),'changes1_based on steps'!C$1:C$400,0)),C$2,)</f>
        <v>0</v>
      </c>
      <c r="D317" s="155">
        <f ca="1">IF(ISNUMBER(MATCH(DATEVALUE($A317),'changes1_based on steps'!D$1:D$400,0)),D$2,)</f>
        <v>0</v>
      </c>
      <c r="E317" s="155">
        <f ca="1">IF(ISNUMBER(MATCH(DATEVALUE($A317),'changes1_based on steps'!E$1:E$400,0)),E$2,)</f>
        <v>0</v>
      </c>
      <c r="F317" s="155">
        <f ca="1">IF(ISNUMBER(MATCH(DATEVALUE($A317),'changes1_based on steps'!F$1:F$400,0)),F$2,)</f>
        <v>0</v>
      </c>
      <c r="G317" s="155">
        <f ca="1">IF(ISNUMBER(MATCH(DATEVALUE($A317),'changes1_based on steps'!G$1:G$400,0)),G$2,)</f>
        <v>0</v>
      </c>
      <c r="H317" s="155">
        <f ca="1">IF(ISNUMBER(MATCH(DATEVALUE($A317),'changes1_based on steps'!H$1:H$400,0)),H$2,)</f>
        <v>0</v>
      </c>
      <c r="I317" s="155">
        <f ca="1">IF(ISNUMBER(MATCH(DATEVALUE($A317),'changes1_based on steps'!I$1:I$400,0)),I$2,)</f>
        <v>0</v>
      </c>
      <c r="J317" s="155">
        <f ca="1">IF(ISNUMBER(MATCH(DATEVALUE($A317),'changes1_based on steps'!J$1:J$400,0)),J$2,)</f>
        <v>0</v>
      </c>
      <c r="K317" s="155">
        <f ca="1">IF(ISNUMBER(MATCH(DATEVALUE($A317),'changes1_based on steps'!K$1:K$400,0)),K$2,)</f>
        <v>0</v>
      </c>
      <c r="L317" s="155">
        <f ca="1">IF(ISNUMBER(MATCH(DATEVALUE($A317),'changes1_based on steps'!L$1:L$400,0)),L$2,)</f>
        <v>0</v>
      </c>
      <c r="M317" s="155">
        <f ca="1">IF(ISNUMBER(MATCH(DATEVALUE($A317),'changes1_based on steps'!M$1:M$400,0)),M$2,)</f>
        <v>0</v>
      </c>
      <c r="N317" s="155">
        <f ca="1">IF(ISNUMBER(MATCH(DATEVALUE($A317),'changes1_based on steps'!N$1:N$400,0)),N$2,)</f>
        <v>0</v>
      </c>
      <c r="O317" s="155">
        <f ca="1">IF(ISNUMBER(MATCH(DATEVALUE($A317),'changes1_based on steps'!O$1:O$400,0)),O$2,)</f>
        <v>0</v>
      </c>
      <c r="P317" s="155">
        <f ca="1">IF(ISNUMBER(MATCH(DATEVALUE($A317),'changes1_based on steps'!P$1:P$400,0)),P$2,)</f>
        <v>0</v>
      </c>
      <c r="Q317" s="155">
        <f ca="1">IF(ISNUMBER(MATCH(DATEVALUE($A317),'changes1_based on steps'!Q$1:Q$400,0)),Q$2,)</f>
        <v>0</v>
      </c>
      <c r="R317" s="155">
        <f ca="1">IF(ISNUMBER(MATCH(DATEVALUE($A317),'changes1_based on steps'!R$1:R$400,0)),R$2,)</f>
        <v>0</v>
      </c>
      <c r="S317" s="155">
        <f ca="1">IF(ISNUMBER(MATCH(DATEVALUE($A317),'changes1_based on steps'!S$1:S$400,0)),S$2,)</f>
        <v>0</v>
      </c>
      <c r="T317" s="155">
        <f ca="1">IF(ISNUMBER(MATCH(DATEVALUE($A317),'changes1_based on steps'!T$1:T$400,0)),T$2,)</f>
        <v>0</v>
      </c>
      <c r="U317" s="155">
        <f ca="1">IF(ISNUMBER(MATCH(DATEVALUE($A317),'changes1_based on steps'!U$1:U$400,0)),U$2,)</f>
        <v>0</v>
      </c>
    </row>
    <row r="318" spans="1:21" x14ac:dyDescent="0.2">
      <c r="A318" s="18" t="str">
        <f t="shared" ca="1" si="4"/>
        <v>2025-12-13</v>
      </c>
      <c r="B318" s="155">
        <f ca="1">IF(ISNUMBER(MATCH(DATEVALUE($A318),'changes1_based on steps'!B$1:B$400,0)),B$2,)</f>
        <v>0</v>
      </c>
      <c r="C318" s="155">
        <f ca="1">IF(ISNUMBER(MATCH(DATEVALUE($A318),'changes1_based on steps'!C$1:C$400,0)),C$2,)</f>
        <v>0</v>
      </c>
      <c r="D318" s="155">
        <f ca="1">IF(ISNUMBER(MATCH(DATEVALUE($A318),'changes1_based on steps'!D$1:D$400,0)),D$2,)</f>
        <v>0</v>
      </c>
      <c r="E318" s="155">
        <f ca="1">IF(ISNUMBER(MATCH(DATEVALUE($A318),'changes1_based on steps'!E$1:E$400,0)),E$2,)</f>
        <v>0</v>
      </c>
      <c r="F318" s="155">
        <f ca="1">IF(ISNUMBER(MATCH(DATEVALUE($A318),'changes1_based on steps'!F$1:F$400,0)),F$2,)</f>
        <v>0</v>
      </c>
      <c r="G318" s="155">
        <f ca="1">IF(ISNUMBER(MATCH(DATEVALUE($A318),'changes1_based on steps'!G$1:G$400,0)),G$2,)</f>
        <v>0</v>
      </c>
      <c r="H318" s="155">
        <f ca="1">IF(ISNUMBER(MATCH(DATEVALUE($A318),'changes1_based on steps'!H$1:H$400,0)),H$2,)</f>
        <v>0</v>
      </c>
      <c r="I318" s="155">
        <f ca="1">IF(ISNUMBER(MATCH(DATEVALUE($A318),'changes1_based on steps'!I$1:I$400,0)),I$2,)</f>
        <v>0</v>
      </c>
      <c r="J318" s="155">
        <f ca="1">IF(ISNUMBER(MATCH(DATEVALUE($A318),'changes1_based on steps'!J$1:J$400,0)),J$2,)</f>
        <v>0</v>
      </c>
      <c r="K318" s="155">
        <f ca="1">IF(ISNUMBER(MATCH(DATEVALUE($A318),'changes1_based on steps'!K$1:K$400,0)),K$2,)</f>
        <v>0</v>
      </c>
      <c r="L318" s="155">
        <f ca="1">IF(ISNUMBER(MATCH(DATEVALUE($A318),'changes1_based on steps'!L$1:L$400,0)),L$2,)</f>
        <v>0</v>
      </c>
      <c r="M318" s="155">
        <f ca="1">IF(ISNUMBER(MATCH(DATEVALUE($A318),'changes1_based on steps'!M$1:M$400,0)),M$2,)</f>
        <v>0</v>
      </c>
      <c r="N318" s="155">
        <f ca="1">IF(ISNUMBER(MATCH(DATEVALUE($A318),'changes1_based on steps'!N$1:N$400,0)),N$2,)</f>
        <v>0</v>
      </c>
      <c r="O318" s="155">
        <f ca="1">IF(ISNUMBER(MATCH(DATEVALUE($A318),'changes1_based on steps'!O$1:O$400,0)),O$2,)</f>
        <v>0</v>
      </c>
      <c r="P318" s="155">
        <f ca="1">IF(ISNUMBER(MATCH(DATEVALUE($A318),'changes1_based on steps'!P$1:P$400,0)),P$2,)</f>
        <v>0</v>
      </c>
      <c r="Q318" s="155">
        <f ca="1">IF(ISNUMBER(MATCH(DATEVALUE($A318),'changes1_based on steps'!Q$1:Q$400,0)),Q$2,)</f>
        <v>0</v>
      </c>
      <c r="R318" s="155">
        <f ca="1">IF(ISNUMBER(MATCH(DATEVALUE($A318),'changes1_based on steps'!R$1:R$400,0)),R$2,)</f>
        <v>0</v>
      </c>
      <c r="S318" s="155">
        <f ca="1">IF(ISNUMBER(MATCH(DATEVALUE($A318),'changes1_based on steps'!S$1:S$400,0)),S$2,)</f>
        <v>0</v>
      </c>
      <c r="T318" s="155">
        <f ca="1">IF(ISNUMBER(MATCH(DATEVALUE($A318),'changes1_based on steps'!T$1:T$400,0)),T$2,)</f>
        <v>0</v>
      </c>
      <c r="U318" s="155">
        <f ca="1">IF(ISNUMBER(MATCH(DATEVALUE($A318),'changes1_based on steps'!U$1:U$400,0)),U$2,)</f>
        <v>0</v>
      </c>
    </row>
    <row r="319" spans="1:21" x14ac:dyDescent="0.2">
      <c r="A319" s="18" t="str">
        <f t="shared" ca="1" si="4"/>
        <v>2025-12-14</v>
      </c>
      <c r="B319" s="155">
        <f ca="1">IF(ISNUMBER(MATCH(DATEVALUE($A319),'changes1_based on steps'!B$1:B$400,0)),B$2,)</f>
        <v>0</v>
      </c>
      <c r="C319" s="155">
        <f ca="1">IF(ISNUMBER(MATCH(DATEVALUE($A319),'changes1_based on steps'!C$1:C$400,0)),C$2,)</f>
        <v>0</v>
      </c>
      <c r="D319" s="155">
        <f ca="1">IF(ISNUMBER(MATCH(DATEVALUE($A319),'changes1_based on steps'!D$1:D$400,0)),D$2,)</f>
        <v>0</v>
      </c>
      <c r="E319" s="155">
        <f ca="1">IF(ISNUMBER(MATCH(DATEVALUE($A319),'changes1_based on steps'!E$1:E$400,0)),E$2,)</f>
        <v>0</v>
      </c>
      <c r="F319" s="155">
        <f ca="1">IF(ISNUMBER(MATCH(DATEVALUE($A319),'changes1_based on steps'!F$1:F$400,0)),F$2,)</f>
        <v>0</v>
      </c>
      <c r="G319" s="155">
        <f ca="1">IF(ISNUMBER(MATCH(DATEVALUE($A319),'changes1_based on steps'!G$1:G$400,0)),G$2,)</f>
        <v>0</v>
      </c>
      <c r="H319" s="155">
        <f ca="1">IF(ISNUMBER(MATCH(DATEVALUE($A319),'changes1_based on steps'!H$1:H$400,0)),H$2,)</f>
        <v>0</v>
      </c>
      <c r="I319" s="155">
        <f ca="1">IF(ISNUMBER(MATCH(DATEVALUE($A319),'changes1_based on steps'!I$1:I$400,0)),I$2,)</f>
        <v>0</v>
      </c>
      <c r="J319" s="155">
        <f ca="1">IF(ISNUMBER(MATCH(DATEVALUE($A319),'changes1_based on steps'!J$1:J$400,0)),J$2,)</f>
        <v>0</v>
      </c>
      <c r="K319" s="155">
        <f ca="1">IF(ISNUMBER(MATCH(DATEVALUE($A319),'changes1_based on steps'!K$1:K$400,0)),K$2,)</f>
        <v>0</v>
      </c>
      <c r="L319" s="155">
        <f ca="1">IF(ISNUMBER(MATCH(DATEVALUE($A319),'changes1_based on steps'!L$1:L$400,0)),L$2,)</f>
        <v>0</v>
      </c>
      <c r="M319" s="155">
        <f ca="1">IF(ISNUMBER(MATCH(DATEVALUE($A319),'changes1_based on steps'!M$1:M$400,0)),M$2,)</f>
        <v>0</v>
      </c>
      <c r="N319" s="155">
        <f ca="1">IF(ISNUMBER(MATCH(DATEVALUE($A319),'changes1_based on steps'!N$1:N$400,0)),N$2,)</f>
        <v>0</v>
      </c>
      <c r="O319" s="155">
        <f ca="1">IF(ISNUMBER(MATCH(DATEVALUE($A319),'changes1_based on steps'!O$1:O$400,0)),O$2,)</f>
        <v>0</v>
      </c>
      <c r="P319" s="155">
        <f ca="1">IF(ISNUMBER(MATCH(DATEVALUE($A319),'changes1_based on steps'!P$1:P$400,0)),P$2,)</f>
        <v>0</v>
      </c>
      <c r="Q319" s="155">
        <f ca="1">IF(ISNUMBER(MATCH(DATEVALUE($A319),'changes1_based on steps'!Q$1:Q$400,0)),Q$2,)</f>
        <v>0</v>
      </c>
      <c r="R319" s="155">
        <f ca="1">IF(ISNUMBER(MATCH(DATEVALUE($A319),'changes1_based on steps'!R$1:R$400,0)),R$2,)</f>
        <v>0</v>
      </c>
      <c r="S319" s="155">
        <f ca="1">IF(ISNUMBER(MATCH(DATEVALUE($A319),'changes1_based on steps'!S$1:S$400,0)),S$2,)</f>
        <v>0</v>
      </c>
      <c r="T319" s="155">
        <f ca="1">IF(ISNUMBER(MATCH(DATEVALUE($A319),'changes1_based on steps'!T$1:T$400,0)),T$2,)</f>
        <v>0</v>
      </c>
      <c r="U319" s="155">
        <f ca="1">IF(ISNUMBER(MATCH(DATEVALUE($A319),'changes1_based on steps'!U$1:U$400,0)),U$2,)</f>
        <v>0</v>
      </c>
    </row>
    <row r="320" spans="1:21" x14ac:dyDescent="0.2">
      <c r="A320" s="18" t="str">
        <f t="shared" ca="1" si="4"/>
        <v>2025-12-15</v>
      </c>
      <c r="B320" s="155">
        <f ca="1">IF(ISNUMBER(MATCH(DATEVALUE($A320),'changes1_based on steps'!B$1:B$400,0)),B$2,)</f>
        <v>0</v>
      </c>
      <c r="C320" s="155">
        <f ca="1">IF(ISNUMBER(MATCH(DATEVALUE($A320),'changes1_based on steps'!C$1:C$400,0)),C$2,)</f>
        <v>0</v>
      </c>
      <c r="D320" s="155">
        <f ca="1">IF(ISNUMBER(MATCH(DATEVALUE($A320),'changes1_based on steps'!D$1:D$400,0)),D$2,)</f>
        <v>0</v>
      </c>
      <c r="E320" s="155">
        <f ca="1">IF(ISNUMBER(MATCH(DATEVALUE($A320),'changes1_based on steps'!E$1:E$400,0)),E$2,)</f>
        <v>0</v>
      </c>
      <c r="F320" s="155">
        <f ca="1">IF(ISNUMBER(MATCH(DATEVALUE($A320),'changes1_based on steps'!F$1:F$400,0)),F$2,)</f>
        <v>0</v>
      </c>
      <c r="G320" s="155">
        <f ca="1">IF(ISNUMBER(MATCH(DATEVALUE($A320),'changes1_based on steps'!G$1:G$400,0)),G$2,)</f>
        <v>0</v>
      </c>
      <c r="H320" s="155">
        <f ca="1">IF(ISNUMBER(MATCH(DATEVALUE($A320),'changes1_based on steps'!H$1:H$400,0)),H$2,)</f>
        <v>0</v>
      </c>
      <c r="I320" s="155">
        <f ca="1">IF(ISNUMBER(MATCH(DATEVALUE($A320),'changes1_based on steps'!I$1:I$400,0)),I$2,)</f>
        <v>0</v>
      </c>
      <c r="J320" s="155">
        <f ca="1">IF(ISNUMBER(MATCH(DATEVALUE($A320),'changes1_based on steps'!J$1:J$400,0)),J$2,)</f>
        <v>0</v>
      </c>
      <c r="K320" s="155">
        <f ca="1">IF(ISNUMBER(MATCH(DATEVALUE($A320),'changes1_based on steps'!K$1:K$400,0)),K$2,)</f>
        <v>0</v>
      </c>
      <c r="L320" s="155">
        <f ca="1">IF(ISNUMBER(MATCH(DATEVALUE($A320),'changes1_based on steps'!L$1:L$400,0)),L$2,)</f>
        <v>0</v>
      </c>
      <c r="M320" s="155">
        <f ca="1">IF(ISNUMBER(MATCH(DATEVALUE($A320),'changes1_based on steps'!M$1:M$400,0)),M$2,)</f>
        <v>0</v>
      </c>
      <c r="N320" s="155">
        <f ca="1">IF(ISNUMBER(MATCH(DATEVALUE($A320),'changes1_based on steps'!N$1:N$400,0)),N$2,)</f>
        <v>0</v>
      </c>
      <c r="O320" s="155">
        <f ca="1">IF(ISNUMBER(MATCH(DATEVALUE($A320),'changes1_based on steps'!O$1:O$400,0)),O$2,)</f>
        <v>0</v>
      </c>
      <c r="P320" s="155">
        <f ca="1">IF(ISNUMBER(MATCH(DATEVALUE($A320),'changes1_based on steps'!P$1:P$400,0)),P$2,)</f>
        <v>0</v>
      </c>
      <c r="Q320" s="155">
        <f ca="1">IF(ISNUMBER(MATCH(DATEVALUE($A320),'changes1_based on steps'!Q$1:Q$400,0)),Q$2,)</f>
        <v>0</v>
      </c>
      <c r="R320" s="155">
        <f ca="1">IF(ISNUMBER(MATCH(DATEVALUE($A320),'changes1_based on steps'!R$1:R$400,0)),R$2,)</f>
        <v>0</v>
      </c>
      <c r="S320" s="155">
        <f ca="1">IF(ISNUMBER(MATCH(DATEVALUE($A320),'changes1_based on steps'!S$1:S$400,0)),S$2,)</f>
        <v>0</v>
      </c>
      <c r="T320" s="155">
        <f ca="1">IF(ISNUMBER(MATCH(DATEVALUE($A320),'changes1_based on steps'!T$1:T$400,0)),T$2,)</f>
        <v>0</v>
      </c>
      <c r="U320" s="155">
        <f ca="1">IF(ISNUMBER(MATCH(DATEVALUE($A320),'changes1_based on steps'!U$1:U$400,0)),U$2,)</f>
        <v>0</v>
      </c>
    </row>
    <row r="321" spans="1:21" x14ac:dyDescent="0.2">
      <c r="A321" s="18" t="str">
        <f t="shared" ca="1" si="4"/>
        <v>2025-12-16</v>
      </c>
      <c r="B321" s="155">
        <f ca="1">IF(ISNUMBER(MATCH(DATEVALUE($A321),'changes1_based on steps'!B$1:B$400,0)),B$2,)</f>
        <v>0</v>
      </c>
      <c r="C321" s="155">
        <f ca="1">IF(ISNUMBER(MATCH(DATEVALUE($A321),'changes1_based on steps'!C$1:C$400,0)),C$2,)</f>
        <v>0</v>
      </c>
      <c r="D321" s="155">
        <f ca="1">IF(ISNUMBER(MATCH(DATEVALUE($A321),'changes1_based on steps'!D$1:D$400,0)),D$2,)</f>
        <v>0</v>
      </c>
      <c r="E321" s="155">
        <f ca="1">IF(ISNUMBER(MATCH(DATEVALUE($A321),'changes1_based on steps'!E$1:E$400,0)),E$2,)</f>
        <v>0</v>
      </c>
      <c r="F321" s="155">
        <f ca="1">IF(ISNUMBER(MATCH(DATEVALUE($A321),'changes1_based on steps'!F$1:F$400,0)),F$2,)</f>
        <v>0</v>
      </c>
      <c r="G321" s="155">
        <f ca="1">IF(ISNUMBER(MATCH(DATEVALUE($A321),'changes1_based on steps'!G$1:G$400,0)),G$2,)</f>
        <v>0</v>
      </c>
      <c r="H321" s="155">
        <f ca="1">IF(ISNUMBER(MATCH(DATEVALUE($A321),'changes1_based on steps'!H$1:H$400,0)),H$2,)</f>
        <v>0</v>
      </c>
      <c r="I321" s="155">
        <f ca="1">IF(ISNUMBER(MATCH(DATEVALUE($A321),'changes1_based on steps'!I$1:I$400,0)),I$2,)</f>
        <v>0</v>
      </c>
      <c r="J321" s="155">
        <f ca="1">IF(ISNUMBER(MATCH(DATEVALUE($A321),'changes1_based on steps'!J$1:J$400,0)),J$2,)</f>
        <v>0</v>
      </c>
      <c r="K321" s="155">
        <f ca="1">IF(ISNUMBER(MATCH(DATEVALUE($A321),'changes1_based on steps'!K$1:K$400,0)),K$2,)</f>
        <v>0</v>
      </c>
      <c r="L321" s="155">
        <f ca="1">IF(ISNUMBER(MATCH(DATEVALUE($A321),'changes1_based on steps'!L$1:L$400,0)),L$2,)</f>
        <v>0</v>
      </c>
      <c r="M321" s="155">
        <f ca="1">IF(ISNUMBER(MATCH(DATEVALUE($A321),'changes1_based on steps'!M$1:M$400,0)),M$2,)</f>
        <v>0</v>
      </c>
      <c r="N321" s="155">
        <f ca="1">IF(ISNUMBER(MATCH(DATEVALUE($A321),'changes1_based on steps'!N$1:N$400,0)),N$2,)</f>
        <v>0</v>
      </c>
      <c r="O321" s="155">
        <f ca="1">IF(ISNUMBER(MATCH(DATEVALUE($A321),'changes1_based on steps'!O$1:O$400,0)),O$2,)</f>
        <v>0</v>
      </c>
      <c r="P321" s="155">
        <f ca="1">IF(ISNUMBER(MATCH(DATEVALUE($A321),'changes1_based on steps'!P$1:P$400,0)),P$2,)</f>
        <v>0</v>
      </c>
      <c r="Q321" s="155">
        <f ca="1">IF(ISNUMBER(MATCH(DATEVALUE($A321),'changes1_based on steps'!Q$1:Q$400,0)),Q$2,)</f>
        <v>0</v>
      </c>
      <c r="R321" s="155">
        <f ca="1">IF(ISNUMBER(MATCH(DATEVALUE($A321),'changes1_based on steps'!R$1:R$400,0)),R$2,)</f>
        <v>0</v>
      </c>
      <c r="S321" s="155">
        <f ca="1">IF(ISNUMBER(MATCH(DATEVALUE($A321),'changes1_based on steps'!S$1:S$400,0)),S$2,)</f>
        <v>0</v>
      </c>
      <c r="T321" s="155">
        <f ca="1">IF(ISNUMBER(MATCH(DATEVALUE($A321),'changes1_based on steps'!T$1:T$400,0)),T$2,)</f>
        <v>0</v>
      </c>
      <c r="U321" s="155">
        <f ca="1">IF(ISNUMBER(MATCH(DATEVALUE($A321),'changes1_based on steps'!U$1:U$400,0)),U$2,)</f>
        <v>0</v>
      </c>
    </row>
    <row r="322" spans="1:21" x14ac:dyDescent="0.2">
      <c r="A322" s="18" t="str">
        <f t="shared" ca="1" si="4"/>
        <v>2025-12-17</v>
      </c>
      <c r="B322" s="155">
        <f ca="1">IF(ISNUMBER(MATCH(DATEVALUE($A322),'changes1_based on steps'!B$1:B$400,0)),B$2,)</f>
        <v>100</v>
      </c>
      <c r="C322" s="155">
        <f ca="1">IF(ISNUMBER(MATCH(DATEVALUE($A322),'changes1_based on steps'!C$1:C$400,0)),C$2,)</f>
        <v>0</v>
      </c>
      <c r="D322" s="155">
        <f ca="1">IF(ISNUMBER(MATCH(DATEVALUE($A322),'changes1_based on steps'!D$1:D$400,0)),D$2,)</f>
        <v>0</v>
      </c>
      <c r="E322" s="155">
        <f ca="1">IF(ISNUMBER(MATCH(DATEVALUE($A322),'changes1_based on steps'!E$1:E$400,0)),E$2,)</f>
        <v>0</v>
      </c>
      <c r="F322" s="155">
        <f ca="1">IF(ISNUMBER(MATCH(DATEVALUE($A322),'changes1_based on steps'!F$1:F$400,0)),F$2,)</f>
        <v>0</v>
      </c>
      <c r="G322" s="155">
        <f ca="1">IF(ISNUMBER(MATCH(DATEVALUE($A322),'changes1_based on steps'!G$1:G$400,0)),G$2,)</f>
        <v>0</v>
      </c>
      <c r="H322" s="155">
        <f ca="1">IF(ISNUMBER(MATCH(DATEVALUE($A322),'changes1_based on steps'!H$1:H$400,0)),H$2,)</f>
        <v>0</v>
      </c>
      <c r="I322" s="155">
        <f ca="1">IF(ISNUMBER(MATCH(DATEVALUE($A322),'changes1_based on steps'!I$1:I$400,0)),I$2,)</f>
        <v>0</v>
      </c>
      <c r="J322" s="155">
        <f ca="1">IF(ISNUMBER(MATCH(DATEVALUE($A322),'changes1_based on steps'!J$1:J$400,0)),J$2,)</f>
        <v>0</v>
      </c>
      <c r="K322" s="155">
        <f ca="1">IF(ISNUMBER(MATCH(DATEVALUE($A322),'changes1_based on steps'!K$1:K$400,0)),K$2,)</f>
        <v>0</v>
      </c>
      <c r="L322" s="155">
        <f ca="1">IF(ISNUMBER(MATCH(DATEVALUE($A322),'changes1_based on steps'!L$1:L$400,0)),L$2,)</f>
        <v>0</v>
      </c>
      <c r="M322" s="155">
        <f ca="1">IF(ISNUMBER(MATCH(DATEVALUE($A322),'changes1_based on steps'!M$1:M$400,0)),M$2,)</f>
        <v>0</v>
      </c>
      <c r="N322" s="155">
        <f ca="1">IF(ISNUMBER(MATCH(DATEVALUE($A322),'changes1_based on steps'!N$1:N$400,0)),N$2,)</f>
        <v>0</v>
      </c>
      <c r="O322" s="155">
        <f ca="1">IF(ISNUMBER(MATCH(DATEVALUE($A322),'changes1_based on steps'!O$1:O$400,0)),O$2,)</f>
        <v>0</v>
      </c>
      <c r="P322" s="155">
        <f ca="1">IF(ISNUMBER(MATCH(DATEVALUE($A322),'changes1_based on steps'!P$1:P$400,0)),P$2,)</f>
        <v>0</v>
      </c>
      <c r="Q322" s="155">
        <f ca="1">IF(ISNUMBER(MATCH(DATEVALUE($A322),'changes1_based on steps'!Q$1:Q$400,0)),Q$2,)</f>
        <v>0</v>
      </c>
      <c r="R322" s="155">
        <f ca="1">IF(ISNUMBER(MATCH(DATEVALUE($A322),'changes1_based on steps'!R$1:R$400,0)),R$2,)</f>
        <v>0</v>
      </c>
      <c r="S322" s="155">
        <f ca="1">IF(ISNUMBER(MATCH(DATEVALUE($A322),'changes1_based on steps'!S$1:S$400,0)),S$2,)</f>
        <v>0</v>
      </c>
      <c r="T322" s="155">
        <f ca="1">IF(ISNUMBER(MATCH(DATEVALUE($A322),'changes1_based on steps'!T$1:T$400,0)),T$2,)</f>
        <v>0</v>
      </c>
      <c r="U322" s="155">
        <f ca="1">IF(ISNUMBER(MATCH(DATEVALUE($A322),'changes1_based on steps'!U$1:U$400,0)),U$2,)</f>
        <v>0</v>
      </c>
    </row>
    <row r="323" spans="1:21" x14ac:dyDescent="0.2">
      <c r="A323" s="18" t="str">
        <f t="shared" ca="1" si="4"/>
        <v>2025-12-18</v>
      </c>
      <c r="B323" s="155">
        <f ca="1">IF(ISNUMBER(MATCH(DATEVALUE($A323),'changes1_based on steps'!B$1:B$400,0)),B$2,)</f>
        <v>0</v>
      </c>
      <c r="C323" s="155">
        <f ca="1">IF(ISNUMBER(MATCH(DATEVALUE($A323),'changes1_based on steps'!C$1:C$400,0)),C$2,)</f>
        <v>0</v>
      </c>
      <c r="D323" s="155">
        <f ca="1">IF(ISNUMBER(MATCH(DATEVALUE($A323),'changes1_based on steps'!D$1:D$400,0)),D$2,)</f>
        <v>0</v>
      </c>
      <c r="E323" s="155">
        <f ca="1">IF(ISNUMBER(MATCH(DATEVALUE($A323),'changes1_based on steps'!E$1:E$400,0)),E$2,)</f>
        <v>0</v>
      </c>
      <c r="F323" s="155">
        <f ca="1">IF(ISNUMBER(MATCH(DATEVALUE($A323),'changes1_based on steps'!F$1:F$400,0)),F$2,)</f>
        <v>0</v>
      </c>
      <c r="G323" s="155">
        <f ca="1">IF(ISNUMBER(MATCH(DATEVALUE($A323),'changes1_based on steps'!G$1:G$400,0)),G$2,)</f>
        <v>0</v>
      </c>
      <c r="H323" s="155">
        <f ca="1">IF(ISNUMBER(MATCH(DATEVALUE($A323),'changes1_based on steps'!H$1:H$400,0)),H$2,)</f>
        <v>0</v>
      </c>
      <c r="I323" s="155">
        <f ca="1">IF(ISNUMBER(MATCH(DATEVALUE($A323),'changes1_based on steps'!I$1:I$400,0)),I$2,)</f>
        <v>0</v>
      </c>
      <c r="J323" s="155">
        <f ca="1">IF(ISNUMBER(MATCH(DATEVALUE($A323),'changes1_based on steps'!J$1:J$400,0)),J$2,)</f>
        <v>0</v>
      </c>
      <c r="K323" s="155">
        <f ca="1">IF(ISNUMBER(MATCH(DATEVALUE($A323),'changes1_based on steps'!K$1:K$400,0)),K$2,)</f>
        <v>0</v>
      </c>
      <c r="L323" s="155">
        <f ca="1">IF(ISNUMBER(MATCH(DATEVALUE($A323),'changes1_based on steps'!L$1:L$400,0)),L$2,)</f>
        <v>0</v>
      </c>
      <c r="M323" s="155">
        <f ca="1">IF(ISNUMBER(MATCH(DATEVALUE($A323),'changes1_based on steps'!M$1:M$400,0)),M$2,)</f>
        <v>0</v>
      </c>
      <c r="N323" s="155">
        <f ca="1">IF(ISNUMBER(MATCH(DATEVALUE($A323),'changes1_based on steps'!N$1:N$400,0)),N$2,)</f>
        <v>0</v>
      </c>
      <c r="O323" s="155">
        <f ca="1">IF(ISNUMBER(MATCH(DATEVALUE($A323),'changes1_based on steps'!O$1:O$400,0)),O$2,)</f>
        <v>0</v>
      </c>
      <c r="P323" s="155">
        <f ca="1">IF(ISNUMBER(MATCH(DATEVALUE($A323),'changes1_based on steps'!P$1:P$400,0)),P$2,)</f>
        <v>0</v>
      </c>
      <c r="Q323" s="155">
        <f ca="1">IF(ISNUMBER(MATCH(DATEVALUE($A323),'changes1_based on steps'!Q$1:Q$400,0)),Q$2,)</f>
        <v>0</v>
      </c>
      <c r="R323" s="155">
        <f ca="1">IF(ISNUMBER(MATCH(DATEVALUE($A323),'changes1_based on steps'!R$1:R$400,0)),R$2,)</f>
        <v>0</v>
      </c>
      <c r="S323" s="155">
        <f ca="1">IF(ISNUMBER(MATCH(DATEVALUE($A323),'changes1_based on steps'!S$1:S$400,0)),S$2,)</f>
        <v>0</v>
      </c>
      <c r="T323" s="155">
        <f ca="1">IF(ISNUMBER(MATCH(DATEVALUE($A323),'changes1_based on steps'!T$1:T$400,0)),T$2,)</f>
        <v>0</v>
      </c>
      <c r="U323" s="155">
        <f ca="1">IF(ISNUMBER(MATCH(DATEVALUE($A323),'changes1_based on steps'!U$1:U$400,0)),U$2,)</f>
        <v>0</v>
      </c>
    </row>
    <row r="324" spans="1:21" x14ac:dyDescent="0.2">
      <c r="A324" s="18" t="str">
        <f t="shared" ca="1" si="4"/>
        <v>2025-12-19</v>
      </c>
      <c r="B324" s="155">
        <f ca="1">IF(ISNUMBER(MATCH(DATEVALUE($A324),'changes1_based on steps'!B$1:B$400,0)),B$2,)</f>
        <v>0</v>
      </c>
      <c r="C324" s="155">
        <f ca="1">IF(ISNUMBER(MATCH(DATEVALUE($A324),'changes1_based on steps'!C$1:C$400,0)),C$2,)</f>
        <v>0</v>
      </c>
      <c r="D324" s="155">
        <f ca="1">IF(ISNUMBER(MATCH(DATEVALUE($A324),'changes1_based on steps'!D$1:D$400,0)),D$2,)</f>
        <v>0</v>
      </c>
      <c r="E324" s="155">
        <f ca="1">IF(ISNUMBER(MATCH(DATEVALUE($A324),'changes1_based on steps'!E$1:E$400,0)),E$2,)</f>
        <v>0</v>
      </c>
      <c r="F324" s="155">
        <f ca="1">IF(ISNUMBER(MATCH(DATEVALUE($A324),'changes1_based on steps'!F$1:F$400,0)),F$2,)</f>
        <v>0</v>
      </c>
      <c r="G324" s="155">
        <f ca="1">IF(ISNUMBER(MATCH(DATEVALUE($A324),'changes1_based on steps'!G$1:G$400,0)),G$2,)</f>
        <v>0</v>
      </c>
      <c r="H324" s="155">
        <f ca="1">IF(ISNUMBER(MATCH(DATEVALUE($A324),'changes1_based on steps'!H$1:H$400,0)),H$2,)</f>
        <v>0</v>
      </c>
      <c r="I324" s="155">
        <f ca="1">IF(ISNUMBER(MATCH(DATEVALUE($A324),'changes1_based on steps'!I$1:I$400,0)),I$2,)</f>
        <v>0</v>
      </c>
      <c r="J324" s="155">
        <f ca="1">IF(ISNUMBER(MATCH(DATEVALUE($A324),'changes1_based on steps'!J$1:J$400,0)),J$2,)</f>
        <v>0</v>
      </c>
      <c r="K324" s="155">
        <f ca="1">IF(ISNUMBER(MATCH(DATEVALUE($A324),'changes1_based on steps'!K$1:K$400,0)),K$2,)</f>
        <v>0</v>
      </c>
      <c r="L324" s="155">
        <f ca="1">IF(ISNUMBER(MATCH(DATEVALUE($A324),'changes1_based on steps'!L$1:L$400,0)),L$2,)</f>
        <v>0</v>
      </c>
      <c r="M324" s="155">
        <f ca="1">IF(ISNUMBER(MATCH(DATEVALUE($A324),'changes1_based on steps'!M$1:M$400,0)),M$2,)</f>
        <v>0</v>
      </c>
      <c r="N324" s="155">
        <f ca="1">IF(ISNUMBER(MATCH(DATEVALUE($A324),'changes1_based on steps'!N$1:N$400,0)),N$2,)</f>
        <v>0</v>
      </c>
      <c r="O324" s="155">
        <f ca="1">IF(ISNUMBER(MATCH(DATEVALUE($A324),'changes1_based on steps'!O$1:O$400,0)),O$2,)</f>
        <v>0</v>
      </c>
      <c r="P324" s="155">
        <f ca="1">IF(ISNUMBER(MATCH(DATEVALUE($A324),'changes1_based on steps'!P$1:P$400,0)),P$2,)</f>
        <v>0</v>
      </c>
      <c r="Q324" s="155">
        <f ca="1">IF(ISNUMBER(MATCH(DATEVALUE($A324),'changes1_based on steps'!Q$1:Q$400,0)),Q$2,)</f>
        <v>0</v>
      </c>
      <c r="R324" s="155">
        <f ca="1">IF(ISNUMBER(MATCH(DATEVALUE($A324),'changes1_based on steps'!R$1:R$400,0)),R$2,)</f>
        <v>0</v>
      </c>
      <c r="S324" s="155">
        <f ca="1">IF(ISNUMBER(MATCH(DATEVALUE($A324),'changes1_based on steps'!S$1:S$400,0)),S$2,)</f>
        <v>0</v>
      </c>
      <c r="T324" s="155">
        <f ca="1">IF(ISNUMBER(MATCH(DATEVALUE($A324),'changes1_based on steps'!T$1:T$400,0)),T$2,)</f>
        <v>0</v>
      </c>
      <c r="U324" s="155">
        <f ca="1">IF(ISNUMBER(MATCH(DATEVALUE($A324),'changes1_based on steps'!U$1:U$400,0)),U$2,)</f>
        <v>0</v>
      </c>
    </row>
    <row r="325" spans="1:21" x14ac:dyDescent="0.2">
      <c r="A325" s="18" t="str">
        <f t="shared" ref="A325:A371" ca="1" si="5">TEXT(DATEVALUE(A324)+1,"yyyy-mm-dd")</f>
        <v>2025-12-20</v>
      </c>
      <c r="B325" s="155">
        <f ca="1">IF(ISNUMBER(MATCH(DATEVALUE($A325),'changes1_based on steps'!B$1:B$400,0)),B$2,)</f>
        <v>0</v>
      </c>
      <c r="C325" s="155">
        <f ca="1">IF(ISNUMBER(MATCH(DATEVALUE($A325),'changes1_based on steps'!C$1:C$400,0)),C$2,)</f>
        <v>0</v>
      </c>
      <c r="D325" s="155">
        <f ca="1">IF(ISNUMBER(MATCH(DATEVALUE($A325),'changes1_based on steps'!D$1:D$400,0)),D$2,)</f>
        <v>0</v>
      </c>
      <c r="E325" s="155">
        <f ca="1">IF(ISNUMBER(MATCH(DATEVALUE($A325),'changes1_based on steps'!E$1:E$400,0)),E$2,)</f>
        <v>0</v>
      </c>
      <c r="F325" s="155">
        <f ca="1">IF(ISNUMBER(MATCH(DATEVALUE($A325),'changes1_based on steps'!F$1:F$400,0)),F$2,)</f>
        <v>0</v>
      </c>
      <c r="G325" s="155">
        <f ca="1">IF(ISNUMBER(MATCH(DATEVALUE($A325),'changes1_based on steps'!G$1:G$400,0)),G$2,)</f>
        <v>0</v>
      </c>
      <c r="H325" s="155">
        <f ca="1">IF(ISNUMBER(MATCH(DATEVALUE($A325),'changes1_based on steps'!H$1:H$400,0)),H$2,)</f>
        <v>0</v>
      </c>
      <c r="I325" s="155">
        <f ca="1">IF(ISNUMBER(MATCH(DATEVALUE($A325),'changes1_based on steps'!I$1:I$400,0)),I$2,)</f>
        <v>0</v>
      </c>
      <c r="J325" s="155">
        <f ca="1">IF(ISNUMBER(MATCH(DATEVALUE($A325),'changes1_based on steps'!J$1:J$400,0)),J$2,)</f>
        <v>0</v>
      </c>
      <c r="K325" s="155">
        <f ca="1">IF(ISNUMBER(MATCH(DATEVALUE($A325),'changes1_based on steps'!K$1:K$400,0)),K$2,)</f>
        <v>0</v>
      </c>
      <c r="L325" s="155">
        <f ca="1">IF(ISNUMBER(MATCH(DATEVALUE($A325),'changes1_based on steps'!L$1:L$400,0)),L$2,)</f>
        <v>0</v>
      </c>
      <c r="M325" s="155">
        <f ca="1">IF(ISNUMBER(MATCH(DATEVALUE($A325),'changes1_based on steps'!M$1:M$400,0)),M$2,)</f>
        <v>0</v>
      </c>
      <c r="N325" s="155">
        <f ca="1">IF(ISNUMBER(MATCH(DATEVALUE($A325),'changes1_based on steps'!N$1:N$400,0)),N$2,)</f>
        <v>0</v>
      </c>
      <c r="O325" s="155">
        <f ca="1">IF(ISNUMBER(MATCH(DATEVALUE($A325),'changes1_based on steps'!O$1:O$400,0)),O$2,)</f>
        <v>0</v>
      </c>
      <c r="P325" s="155">
        <f ca="1">IF(ISNUMBER(MATCH(DATEVALUE($A325),'changes1_based on steps'!P$1:P$400,0)),P$2,)</f>
        <v>0</v>
      </c>
      <c r="Q325" s="155">
        <f ca="1">IF(ISNUMBER(MATCH(DATEVALUE($A325),'changes1_based on steps'!Q$1:Q$400,0)),Q$2,)</f>
        <v>0</v>
      </c>
      <c r="R325" s="155">
        <f ca="1">IF(ISNUMBER(MATCH(DATEVALUE($A325),'changes1_based on steps'!R$1:R$400,0)),R$2,)</f>
        <v>0</v>
      </c>
      <c r="S325" s="155">
        <f ca="1">IF(ISNUMBER(MATCH(DATEVALUE($A325),'changes1_based on steps'!S$1:S$400,0)),S$2,)</f>
        <v>0</v>
      </c>
      <c r="T325" s="155">
        <f ca="1">IF(ISNUMBER(MATCH(DATEVALUE($A325),'changes1_based on steps'!T$1:T$400,0)),T$2,)</f>
        <v>0</v>
      </c>
      <c r="U325" s="155">
        <f ca="1">IF(ISNUMBER(MATCH(DATEVALUE($A325),'changes1_based on steps'!U$1:U$400,0)),U$2,)</f>
        <v>0</v>
      </c>
    </row>
    <row r="326" spans="1:21" x14ac:dyDescent="0.2">
      <c r="A326" s="18" t="str">
        <f t="shared" ca="1" si="5"/>
        <v>2025-12-21</v>
      </c>
      <c r="B326" s="155">
        <f ca="1">IF(ISNUMBER(MATCH(DATEVALUE($A326),'changes1_based on steps'!B$1:B$400,0)),B$2,)</f>
        <v>0</v>
      </c>
      <c r="C326" s="155">
        <f ca="1">IF(ISNUMBER(MATCH(DATEVALUE($A326),'changes1_based on steps'!C$1:C$400,0)),C$2,)</f>
        <v>0</v>
      </c>
      <c r="D326" s="155">
        <f ca="1">IF(ISNUMBER(MATCH(DATEVALUE($A326),'changes1_based on steps'!D$1:D$400,0)),D$2,)</f>
        <v>0</v>
      </c>
      <c r="E326" s="155">
        <f ca="1">IF(ISNUMBER(MATCH(DATEVALUE($A326),'changes1_based on steps'!E$1:E$400,0)),E$2,)</f>
        <v>0</v>
      </c>
      <c r="F326" s="155">
        <f ca="1">IF(ISNUMBER(MATCH(DATEVALUE($A326),'changes1_based on steps'!F$1:F$400,0)),F$2,)</f>
        <v>0</v>
      </c>
      <c r="G326" s="155">
        <f ca="1">IF(ISNUMBER(MATCH(DATEVALUE($A326),'changes1_based on steps'!G$1:G$400,0)),G$2,)</f>
        <v>0</v>
      </c>
      <c r="H326" s="155">
        <f ca="1">IF(ISNUMBER(MATCH(DATEVALUE($A326),'changes1_based on steps'!H$1:H$400,0)),H$2,)</f>
        <v>0</v>
      </c>
      <c r="I326" s="155">
        <f ca="1">IF(ISNUMBER(MATCH(DATEVALUE($A326),'changes1_based on steps'!I$1:I$400,0)),I$2,)</f>
        <v>0</v>
      </c>
      <c r="J326" s="155">
        <f ca="1">IF(ISNUMBER(MATCH(DATEVALUE($A326),'changes1_based on steps'!J$1:J$400,0)),J$2,)</f>
        <v>0</v>
      </c>
      <c r="K326" s="155">
        <f ca="1">IF(ISNUMBER(MATCH(DATEVALUE($A326),'changes1_based on steps'!K$1:K$400,0)),K$2,)</f>
        <v>0</v>
      </c>
      <c r="L326" s="155">
        <f ca="1">IF(ISNUMBER(MATCH(DATEVALUE($A326),'changes1_based on steps'!L$1:L$400,0)),L$2,)</f>
        <v>0</v>
      </c>
      <c r="M326" s="155">
        <f ca="1">IF(ISNUMBER(MATCH(DATEVALUE($A326),'changes1_based on steps'!M$1:M$400,0)),M$2,)</f>
        <v>0</v>
      </c>
      <c r="N326" s="155">
        <f ca="1">IF(ISNUMBER(MATCH(DATEVALUE($A326),'changes1_based on steps'!N$1:N$400,0)),N$2,)</f>
        <v>0</v>
      </c>
      <c r="O326" s="155">
        <f ca="1">IF(ISNUMBER(MATCH(DATEVALUE($A326),'changes1_based on steps'!O$1:O$400,0)),O$2,)</f>
        <v>0</v>
      </c>
      <c r="P326" s="155">
        <f ca="1">IF(ISNUMBER(MATCH(DATEVALUE($A326),'changes1_based on steps'!P$1:P$400,0)),P$2,)</f>
        <v>0</v>
      </c>
      <c r="Q326" s="155">
        <f ca="1">IF(ISNUMBER(MATCH(DATEVALUE($A326),'changes1_based on steps'!Q$1:Q$400,0)),Q$2,)</f>
        <v>0</v>
      </c>
      <c r="R326" s="155">
        <f ca="1">IF(ISNUMBER(MATCH(DATEVALUE($A326),'changes1_based on steps'!R$1:R$400,0)),R$2,)</f>
        <v>0</v>
      </c>
      <c r="S326" s="155">
        <f ca="1">IF(ISNUMBER(MATCH(DATEVALUE($A326),'changes1_based on steps'!S$1:S$400,0)),S$2,)</f>
        <v>0</v>
      </c>
      <c r="T326" s="155">
        <f ca="1">IF(ISNUMBER(MATCH(DATEVALUE($A326),'changes1_based on steps'!T$1:T$400,0)),T$2,)</f>
        <v>0</v>
      </c>
      <c r="U326" s="155">
        <f ca="1">IF(ISNUMBER(MATCH(DATEVALUE($A326),'changes1_based on steps'!U$1:U$400,0)),U$2,)</f>
        <v>0</v>
      </c>
    </row>
    <row r="327" spans="1:21" x14ac:dyDescent="0.2">
      <c r="A327" s="18" t="str">
        <f t="shared" ca="1" si="5"/>
        <v>2025-12-22</v>
      </c>
      <c r="B327" s="155">
        <f ca="1">IF(ISNUMBER(MATCH(DATEVALUE($A327),'changes1_based on steps'!B$1:B$400,0)),B$2,)</f>
        <v>0</v>
      </c>
      <c r="C327" s="155">
        <f ca="1">IF(ISNUMBER(MATCH(DATEVALUE($A327),'changes1_based on steps'!C$1:C$400,0)),C$2,)</f>
        <v>0</v>
      </c>
      <c r="D327" s="155">
        <f ca="1">IF(ISNUMBER(MATCH(DATEVALUE($A327),'changes1_based on steps'!D$1:D$400,0)),D$2,)</f>
        <v>0</v>
      </c>
      <c r="E327" s="155">
        <f ca="1">IF(ISNUMBER(MATCH(DATEVALUE($A327),'changes1_based on steps'!E$1:E$400,0)),E$2,)</f>
        <v>0</v>
      </c>
      <c r="F327" s="155">
        <f ca="1">IF(ISNUMBER(MATCH(DATEVALUE($A327),'changes1_based on steps'!F$1:F$400,0)),F$2,)</f>
        <v>0</v>
      </c>
      <c r="G327" s="155">
        <f ca="1">IF(ISNUMBER(MATCH(DATEVALUE($A327),'changes1_based on steps'!G$1:G$400,0)),G$2,)</f>
        <v>0</v>
      </c>
      <c r="H327" s="155">
        <f ca="1">IF(ISNUMBER(MATCH(DATEVALUE($A327),'changes1_based on steps'!H$1:H$400,0)),H$2,)</f>
        <v>0</v>
      </c>
      <c r="I327" s="155">
        <f ca="1">IF(ISNUMBER(MATCH(DATEVALUE($A327),'changes1_based on steps'!I$1:I$400,0)),I$2,)</f>
        <v>0</v>
      </c>
      <c r="J327" s="155">
        <f ca="1">IF(ISNUMBER(MATCH(DATEVALUE($A327),'changes1_based on steps'!J$1:J$400,0)),J$2,)</f>
        <v>0</v>
      </c>
      <c r="K327" s="155">
        <f ca="1">IF(ISNUMBER(MATCH(DATEVALUE($A327),'changes1_based on steps'!K$1:K$400,0)),K$2,)</f>
        <v>0</v>
      </c>
      <c r="L327" s="155">
        <f ca="1">IF(ISNUMBER(MATCH(DATEVALUE($A327),'changes1_based on steps'!L$1:L$400,0)),L$2,)</f>
        <v>0</v>
      </c>
      <c r="M327" s="155">
        <f ca="1">IF(ISNUMBER(MATCH(DATEVALUE($A327),'changes1_based on steps'!M$1:M$400,0)),M$2,)</f>
        <v>0</v>
      </c>
      <c r="N327" s="155">
        <f ca="1">IF(ISNUMBER(MATCH(DATEVALUE($A327),'changes1_based on steps'!N$1:N$400,0)),N$2,)</f>
        <v>0</v>
      </c>
      <c r="O327" s="155">
        <f ca="1">IF(ISNUMBER(MATCH(DATEVALUE($A327),'changes1_based on steps'!O$1:O$400,0)),O$2,)</f>
        <v>0</v>
      </c>
      <c r="P327" s="155">
        <f ca="1">IF(ISNUMBER(MATCH(DATEVALUE($A327),'changes1_based on steps'!P$1:P$400,0)),P$2,)</f>
        <v>0</v>
      </c>
      <c r="Q327" s="155">
        <f ca="1">IF(ISNUMBER(MATCH(DATEVALUE($A327),'changes1_based on steps'!Q$1:Q$400,0)),Q$2,)</f>
        <v>0</v>
      </c>
      <c r="R327" s="155">
        <f ca="1">IF(ISNUMBER(MATCH(DATEVALUE($A327),'changes1_based on steps'!R$1:R$400,0)),R$2,)</f>
        <v>0</v>
      </c>
      <c r="S327" s="155">
        <f ca="1">IF(ISNUMBER(MATCH(DATEVALUE($A327),'changes1_based on steps'!S$1:S$400,0)),S$2,)</f>
        <v>0</v>
      </c>
      <c r="T327" s="155">
        <f ca="1">IF(ISNUMBER(MATCH(DATEVALUE($A327),'changes1_based on steps'!T$1:T$400,0)),T$2,)</f>
        <v>0</v>
      </c>
      <c r="U327" s="155">
        <f ca="1">IF(ISNUMBER(MATCH(DATEVALUE($A327),'changes1_based on steps'!U$1:U$400,0)),U$2,)</f>
        <v>0</v>
      </c>
    </row>
    <row r="328" spans="1:21" x14ac:dyDescent="0.2">
      <c r="A328" s="18" t="str">
        <f t="shared" ca="1" si="5"/>
        <v>2025-12-23</v>
      </c>
      <c r="B328" s="155">
        <f ca="1">IF(ISNUMBER(MATCH(DATEVALUE($A328),'changes1_based on steps'!B$1:B$400,0)),B$2,)</f>
        <v>0</v>
      </c>
      <c r="C328" s="155">
        <f ca="1">IF(ISNUMBER(MATCH(DATEVALUE($A328),'changes1_based on steps'!C$1:C$400,0)),C$2,)</f>
        <v>0</v>
      </c>
      <c r="D328" s="155">
        <f ca="1">IF(ISNUMBER(MATCH(DATEVALUE($A328),'changes1_based on steps'!D$1:D$400,0)),D$2,)</f>
        <v>0</v>
      </c>
      <c r="E328" s="155">
        <f ca="1">IF(ISNUMBER(MATCH(DATEVALUE($A328),'changes1_based on steps'!E$1:E$400,0)),E$2,)</f>
        <v>0</v>
      </c>
      <c r="F328" s="155">
        <f ca="1">IF(ISNUMBER(MATCH(DATEVALUE($A328),'changes1_based on steps'!F$1:F$400,0)),F$2,)</f>
        <v>0</v>
      </c>
      <c r="G328" s="155">
        <f ca="1">IF(ISNUMBER(MATCH(DATEVALUE($A328),'changes1_based on steps'!G$1:G$400,0)),G$2,)</f>
        <v>0</v>
      </c>
      <c r="H328" s="155">
        <f ca="1">IF(ISNUMBER(MATCH(DATEVALUE($A328),'changes1_based on steps'!H$1:H$400,0)),H$2,)</f>
        <v>0</v>
      </c>
      <c r="I328" s="155">
        <f ca="1">IF(ISNUMBER(MATCH(DATEVALUE($A328),'changes1_based on steps'!I$1:I$400,0)),I$2,)</f>
        <v>0</v>
      </c>
      <c r="J328" s="155">
        <f ca="1">IF(ISNUMBER(MATCH(DATEVALUE($A328),'changes1_based on steps'!J$1:J$400,0)),J$2,)</f>
        <v>0</v>
      </c>
      <c r="K328" s="155">
        <f ca="1">IF(ISNUMBER(MATCH(DATEVALUE($A328),'changes1_based on steps'!K$1:K$400,0)),K$2,)</f>
        <v>0</v>
      </c>
      <c r="L328" s="155">
        <f ca="1">IF(ISNUMBER(MATCH(DATEVALUE($A328),'changes1_based on steps'!L$1:L$400,0)),L$2,)</f>
        <v>0</v>
      </c>
      <c r="M328" s="155">
        <f ca="1">IF(ISNUMBER(MATCH(DATEVALUE($A328),'changes1_based on steps'!M$1:M$400,0)),M$2,)</f>
        <v>0</v>
      </c>
      <c r="N328" s="155">
        <f ca="1">IF(ISNUMBER(MATCH(DATEVALUE($A328),'changes1_based on steps'!N$1:N$400,0)),N$2,)</f>
        <v>0</v>
      </c>
      <c r="O328" s="155">
        <f ca="1">IF(ISNUMBER(MATCH(DATEVALUE($A328),'changes1_based on steps'!O$1:O$400,0)),O$2,)</f>
        <v>0</v>
      </c>
      <c r="P328" s="155">
        <f ca="1">IF(ISNUMBER(MATCH(DATEVALUE($A328),'changes1_based on steps'!P$1:P$400,0)),P$2,)</f>
        <v>0</v>
      </c>
      <c r="Q328" s="155">
        <f ca="1">IF(ISNUMBER(MATCH(DATEVALUE($A328),'changes1_based on steps'!Q$1:Q$400,0)),Q$2,)</f>
        <v>0</v>
      </c>
      <c r="R328" s="155">
        <f ca="1">IF(ISNUMBER(MATCH(DATEVALUE($A328),'changes1_based on steps'!R$1:R$400,0)),R$2,)</f>
        <v>0</v>
      </c>
      <c r="S328" s="155">
        <f ca="1">IF(ISNUMBER(MATCH(DATEVALUE($A328),'changes1_based on steps'!S$1:S$400,0)),S$2,)</f>
        <v>0</v>
      </c>
      <c r="T328" s="155">
        <f ca="1">IF(ISNUMBER(MATCH(DATEVALUE($A328),'changes1_based on steps'!T$1:T$400,0)),T$2,)</f>
        <v>0</v>
      </c>
      <c r="U328" s="155">
        <f ca="1">IF(ISNUMBER(MATCH(DATEVALUE($A328),'changes1_based on steps'!U$1:U$400,0)),U$2,)</f>
        <v>0</v>
      </c>
    </row>
    <row r="329" spans="1:21" x14ac:dyDescent="0.2">
      <c r="A329" s="18" t="str">
        <f t="shared" ca="1" si="5"/>
        <v>2025-12-24</v>
      </c>
      <c r="B329" s="155">
        <f ca="1">IF(ISNUMBER(MATCH(DATEVALUE($A329),'changes1_based on steps'!B$1:B$400,0)),B$2,)</f>
        <v>0</v>
      </c>
      <c r="C329" s="155">
        <f ca="1">IF(ISNUMBER(MATCH(DATEVALUE($A329),'changes1_based on steps'!C$1:C$400,0)),C$2,)</f>
        <v>0</v>
      </c>
      <c r="D329" s="155">
        <f ca="1">IF(ISNUMBER(MATCH(DATEVALUE($A329),'changes1_based on steps'!D$1:D$400,0)),D$2,)</f>
        <v>0</v>
      </c>
      <c r="E329" s="155">
        <f ca="1">IF(ISNUMBER(MATCH(DATEVALUE($A329),'changes1_based on steps'!E$1:E$400,0)),E$2,)</f>
        <v>0</v>
      </c>
      <c r="F329" s="155">
        <f ca="1">IF(ISNUMBER(MATCH(DATEVALUE($A329),'changes1_based on steps'!F$1:F$400,0)),F$2,)</f>
        <v>0</v>
      </c>
      <c r="G329" s="155">
        <f ca="1">IF(ISNUMBER(MATCH(DATEVALUE($A329),'changes1_based on steps'!G$1:G$400,0)),G$2,)</f>
        <v>0</v>
      </c>
      <c r="H329" s="155">
        <f ca="1">IF(ISNUMBER(MATCH(DATEVALUE($A329),'changes1_based on steps'!H$1:H$400,0)),H$2,)</f>
        <v>0</v>
      </c>
      <c r="I329" s="155">
        <f ca="1">IF(ISNUMBER(MATCH(DATEVALUE($A329),'changes1_based on steps'!I$1:I$400,0)),I$2,)</f>
        <v>0</v>
      </c>
      <c r="J329" s="155">
        <f ca="1">IF(ISNUMBER(MATCH(DATEVALUE($A329),'changes1_based on steps'!J$1:J$400,0)),J$2,)</f>
        <v>0</v>
      </c>
      <c r="K329" s="155">
        <f ca="1">IF(ISNUMBER(MATCH(DATEVALUE($A329),'changes1_based on steps'!K$1:K$400,0)),K$2,)</f>
        <v>0</v>
      </c>
      <c r="L329" s="155">
        <f ca="1">IF(ISNUMBER(MATCH(DATEVALUE($A329),'changes1_based on steps'!L$1:L$400,0)),L$2,)</f>
        <v>0</v>
      </c>
      <c r="M329" s="155">
        <f ca="1">IF(ISNUMBER(MATCH(DATEVALUE($A329),'changes1_based on steps'!M$1:M$400,0)),M$2,)</f>
        <v>0</v>
      </c>
      <c r="N329" s="155">
        <f ca="1">IF(ISNUMBER(MATCH(DATEVALUE($A329),'changes1_based on steps'!N$1:N$400,0)),N$2,)</f>
        <v>0</v>
      </c>
      <c r="O329" s="155">
        <f ca="1">IF(ISNUMBER(MATCH(DATEVALUE($A329),'changes1_based on steps'!O$1:O$400,0)),O$2,)</f>
        <v>0</v>
      </c>
      <c r="P329" s="155">
        <f ca="1">IF(ISNUMBER(MATCH(DATEVALUE($A329),'changes1_based on steps'!P$1:P$400,0)),P$2,)</f>
        <v>0</v>
      </c>
      <c r="Q329" s="155">
        <f ca="1">IF(ISNUMBER(MATCH(DATEVALUE($A329),'changes1_based on steps'!Q$1:Q$400,0)),Q$2,)</f>
        <v>0</v>
      </c>
      <c r="R329" s="155">
        <f ca="1">IF(ISNUMBER(MATCH(DATEVALUE($A329),'changes1_based on steps'!R$1:R$400,0)),R$2,)</f>
        <v>0</v>
      </c>
      <c r="S329" s="155">
        <f ca="1">IF(ISNUMBER(MATCH(DATEVALUE($A329),'changes1_based on steps'!S$1:S$400,0)),S$2,)</f>
        <v>0</v>
      </c>
      <c r="T329" s="155">
        <f ca="1">IF(ISNUMBER(MATCH(DATEVALUE($A329),'changes1_based on steps'!T$1:T$400,0)),T$2,)</f>
        <v>0</v>
      </c>
      <c r="U329" s="155">
        <f ca="1">IF(ISNUMBER(MATCH(DATEVALUE($A329),'changes1_based on steps'!U$1:U$400,0)),U$2,)</f>
        <v>0</v>
      </c>
    </row>
    <row r="330" spans="1:21" x14ac:dyDescent="0.2">
      <c r="A330" s="18" t="str">
        <f t="shared" ca="1" si="5"/>
        <v>2025-12-25</v>
      </c>
      <c r="B330" s="155">
        <f ca="1">IF(ISNUMBER(MATCH(DATEVALUE($A330),'changes1_based on steps'!B$1:B$400,0)),B$2,)</f>
        <v>0</v>
      </c>
      <c r="C330" s="155">
        <f ca="1">IF(ISNUMBER(MATCH(DATEVALUE($A330),'changes1_based on steps'!C$1:C$400,0)),C$2,)</f>
        <v>0</v>
      </c>
      <c r="D330" s="155">
        <f ca="1">IF(ISNUMBER(MATCH(DATEVALUE($A330),'changes1_based on steps'!D$1:D$400,0)),D$2,)</f>
        <v>0</v>
      </c>
      <c r="E330" s="155">
        <f ca="1">IF(ISNUMBER(MATCH(DATEVALUE($A330),'changes1_based on steps'!E$1:E$400,0)),E$2,)</f>
        <v>0</v>
      </c>
      <c r="F330" s="155">
        <f ca="1">IF(ISNUMBER(MATCH(DATEVALUE($A330),'changes1_based on steps'!F$1:F$400,0)),F$2,)</f>
        <v>0</v>
      </c>
      <c r="G330" s="155">
        <f ca="1">IF(ISNUMBER(MATCH(DATEVALUE($A330),'changes1_based on steps'!G$1:G$400,0)),G$2,)</f>
        <v>0</v>
      </c>
      <c r="H330" s="155">
        <f ca="1">IF(ISNUMBER(MATCH(DATEVALUE($A330),'changes1_based on steps'!H$1:H$400,0)),H$2,)</f>
        <v>0</v>
      </c>
      <c r="I330" s="155">
        <f ca="1">IF(ISNUMBER(MATCH(DATEVALUE($A330),'changes1_based on steps'!I$1:I$400,0)),I$2,)</f>
        <v>0</v>
      </c>
      <c r="J330" s="155">
        <f ca="1">IF(ISNUMBER(MATCH(DATEVALUE($A330),'changes1_based on steps'!J$1:J$400,0)),J$2,)</f>
        <v>0</v>
      </c>
      <c r="K330" s="155">
        <f ca="1">IF(ISNUMBER(MATCH(DATEVALUE($A330),'changes1_based on steps'!K$1:K$400,0)),K$2,)</f>
        <v>0</v>
      </c>
      <c r="L330" s="155">
        <f ca="1">IF(ISNUMBER(MATCH(DATEVALUE($A330),'changes1_based on steps'!L$1:L$400,0)),L$2,)</f>
        <v>0</v>
      </c>
      <c r="M330" s="155">
        <f ca="1">IF(ISNUMBER(MATCH(DATEVALUE($A330),'changes1_based on steps'!M$1:M$400,0)),M$2,)</f>
        <v>0</v>
      </c>
      <c r="N330" s="155">
        <f ca="1">IF(ISNUMBER(MATCH(DATEVALUE($A330),'changes1_based on steps'!N$1:N$400,0)),N$2,)</f>
        <v>0</v>
      </c>
      <c r="O330" s="155">
        <f ca="1">IF(ISNUMBER(MATCH(DATEVALUE($A330),'changes1_based on steps'!O$1:O$400,0)),O$2,)</f>
        <v>0</v>
      </c>
      <c r="P330" s="155">
        <f ca="1">IF(ISNUMBER(MATCH(DATEVALUE($A330),'changes1_based on steps'!P$1:P$400,0)),P$2,)</f>
        <v>0</v>
      </c>
      <c r="Q330" s="155">
        <f ca="1">IF(ISNUMBER(MATCH(DATEVALUE($A330),'changes1_based on steps'!Q$1:Q$400,0)),Q$2,)</f>
        <v>0</v>
      </c>
      <c r="R330" s="155">
        <f ca="1">IF(ISNUMBER(MATCH(DATEVALUE($A330),'changes1_based on steps'!R$1:R$400,0)),R$2,)</f>
        <v>0</v>
      </c>
      <c r="S330" s="155">
        <f ca="1">IF(ISNUMBER(MATCH(DATEVALUE($A330),'changes1_based on steps'!S$1:S$400,0)),S$2,)</f>
        <v>0</v>
      </c>
      <c r="T330" s="155">
        <f ca="1">IF(ISNUMBER(MATCH(DATEVALUE($A330),'changes1_based on steps'!T$1:T$400,0)),T$2,)</f>
        <v>0</v>
      </c>
      <c r="U330" s="155">
        <f ca="1">IF(ISNUMBER(MATCH(DATEVALUE($A330),'changes1_based on steps'!U$1:U$400,0)),U$2,)</f>
        <v>0</v>
      </c>
    </row>
    <row r="331" spans="1:21" x14ac:dyDescent="0.2">
      <c r="A331" s="18" t="str">
        <f t="shared" ca="1" si="5"/>
        <v>2025-12-26</v>
      </c>
      <c r="B331" s="155">
        <f ca="1">IF(ISNUMBER(MATCH(DATEVALUE($A331),'changes1_based on steps'!B$1:B$400,0)),B$2,)</f>
        <v>0</v>
      </c>
      <c r="C331" s="155">
        <f ca="1">IF(ISNUMBER(MATCH(DATEVALUE($A331),'changes1_based on steps'!C$1:C$400,0)),C$2,)</f>
        <v>0</v>
      </c>
      <c r="D331" s="155">
        <f ca="1">IF(ISNUMBER(MATCH(DATEVALUE($A331),'changes1_based on steps'!D$1:D$400,0)),D$2,)</f>
        <v>0</v>
      </c>
      <c r="E331" s="155">
        <f ca="1">IF(ISNUMBER(MATCH(DATEVALUE($A331),'changes1_based on steps'!E$1:E$400,0)),E$2,)</f>
        <v>0</v>
      </c>
      <c r="F331" s="155">
        <f ca="1">IF(ISNUMBER(MATCH(DATEVALUE($A331),'changes1_based on steps'!F$1:F$400,0)),F$2,)</f>
        <v>0</v>
      </c>
      <c r="G331" s="155">
        <f ca="1">IF(ISNUMBER(MATCH(DATEVALUE($A331),'changes1_based on steps'!G$1:G$400,0)),G$2,)</f>
        <v>0</v>
      </c>
      <c r="H331" s="155">
        <f ca="1">IF(ISNUMBER(MATCH(DATEVALUE($A331),'changes1_based on steps'!H$1:H$400,0)),H$2,)</f>
        <v>0</v>
      </c>
      <c r="I331" s="155">
        <f ca="1">IF(ISNUMBER(MATCH(DATEVALUE($A331),'changes1_based on steps'!I$1:I$400,0)),I$2,)</f>
        <v>0</v>
      </c>
      <c r="J331" s="155">
        <f ca="1">IF(ISNUMBER(MATCH(DATEVALUE($A331),'changes1_based on steps'!J$1:J$400,0)),J$2,)</f>
        <v>0</v>
      </c>
      <c r="K331" s="155">
        <f ca="1">IF(ISNUMBER(MATCH(DATEVALUE($A331),'changes1_based on steps'!K$1:K$400,0)),K$2,)</f>
        <v>0</v>
      </c>
      <c r="L331" s="155">
        <f ca="1">IF(ISNUMBER(MATCH(DATEVALUE($A331),'changes1_based on steps'!L$1:L$400,0)),L$2,)</f>
        <v>0</v>
      </c>
      <c r="M331" s="155">
        <f ca="1">IF(ISNUMBER(MATCH(DATEVALUE($A331),'changes1_based on steps'!M$1:M$400,0)),M$2,)</f>
        <v>0</v>
      </c>
      <c r="N331" s="155">
        <f ca="1">IF(ISNUMBER(MATCH(DATEVALUE($A331),'changes1_based on steps'!N$1:N$400,0)),N$2,)</f>
        <v>0</v>
      </c>
      <c r="O331" s="155">
        <f ca="1">IF(ISNUMBER(MATCH(DATEVALUE($A331),'changes1_based on steps'!O$1:O$400,0)),O$2,)</f>
        <v>0</v>
      </c>
      <c r="P331" s="155">
        <f ca="1">IF(ISNUMBER(MATCH(DATEVALUE($A331),'changes1_based on steps'!P$1:P$400,0)),P$2,)</f>
        <v>0</v>
      </c>
      <c r="Q331" s="155">
        <f ca="1">IF(ISNUMBER(MATCH(DATEVALUE($A331),'changes1_based on steps'!Q$1:Q$400,0)),Q$2,)</f>
        <v>0</v>
      </c>
      <c r="R331" s="155">
        <f ca="1">IF(ISNUMBER(MATCH(DATEVALUE($A331),'changes1_based on steps'!R$1:R$400,0)),R$2,)</f>
        <v>0</v>
      </c>
      <c r="S331" s="155">
        <f ca="1">IF(ISNUMBER(MATCH(DATEVALUE($A331),'changes1_based on steps'!S$1:S$400,0)),S$2,)</f>
        <v>0</v>
      </c>
      <c r="T331" s="155">
        <f ca="1">IF(ISNUMBER(MATCH(DATEVALUE($A331),'changes1_based on steps'!T$1:T$400,0)),T$2,)</f>
        <v>0</v>
      </c>
      <c r="U331" s="155">
        <f ca="1">IF(ISNUMBER(MATCH(DATEVALUE($A331),'changes1_based on steps'!U$1:U$400,0)),U$2,)</f>
        <v>0</v>
      </c>
    </row>
    <row r="332" spans="1:21" x14ac:dyDescent="0.2">
      <c r="A332" s="18" t="str">
        <f t="shared" ca="1" si="5"/>
        <v>2025-12-27</v>
      </c>
      <c r="B332" s="155">
        <f ca="1">IF(ISNUMBER(MATCH(DATEVALUE($A332),'changes1_based on steps'!B$1:B$400,0)),B$2,)</f>
        <v>0</v>
      </c>
      <c r="C332" s="155">
        <f ca="1">IF(ISNUMBER(MATCH(DATEVALUE($A332),'changes1_based on steps'!C$1:C$400,0)),C$2,)</f>
        <v>0</v>
      </c>
      <c r="D332" s="155">
        <f ca="1">IF(ISNUMBER(MATCH(DATEVALUE($A332),'changes1_based on steps'!D$1:D$400,0)),D$2,)</f>
        <v>0</v>
      </c>
      <c r="E332" s="155">
        <f ca="1">IF(ISNUMBER(MATCH(DATEVALUE($A332),'changes1_based on steps'!E$1:E$400,0)),E$2,)</f>
        <v>0</v>
      </c>
      <c r="F332" s="155">
        <f ca="1">IF(ISNUMBER(MATCH(DATEVALUE($A332),'changes1_based on steps'!F$1:F$400,0)),F$2,)</f>
        <v>0</v>
      </c>
      <c r="G332" s="155">
        <f ca="1">IF(ISNUMBER(MATCH(DATEVALUE($A332),'changes1_based on steps'!G$1:G$400,0)),G$2,)</f>
        <v>0</v>
      </c>
      <c r="H332" s="155">
        <f ca="1">IF(ISNUMBER(MATCH(DATEVALUE($A332),'changes1_based on steps'!H$1:H$400,0)),H$2,)</f>
        <v>0</v>
      </c>
      <c r="I332" s="155">
        <f ca="1">IF(ISNUMBER(MATCH(DATEVALUE($A332),'changes1_based on steps'!I$1:I$400,0)),I$2,)</f>
        <v>0</v>
      </c>
      <c r="J332" s="155">
        <f ca="1">IF(ISNUMBER(MATCH(DATEVALUE($A332),'changes1_based on steps'!J$1:J$400,0)),J$2,)</f>
        <v>0</v>
      </c>
      <c r="K332" s="155">
        <f ca="1">IF(ISNUMBER(MATCH(DATEVALUE($A332),'changes1_based on steps'!K$1:K$400,0)),K$2,)</f>
        <v>0</v>
      </c>
      <c r="L332" s="155">
        <f ca="1">IF(ISNUMBER(MATCH(DATEVALUE($A332),'changes1_based on steps'!L$1:L$400,0)),L$2,)</f>
        <v>0</v>
      </c>
      <c r="M332" s="155">
        <f ca="1">IF(ISNUMBER(MATCH(DATEVALUE($A332),'changes1_based on steps'!M$1:M$400,0)),M$2,)</f>
        <v>0</v>
      </c>
      <c r="N332" s="155">
        <f ca="1">IF(ISNUMBER(MATCH(DATEVALUE($A332),'changes1_based on steps'!N$1:N$400,0)),N$2,)</f>
        <v>0</v>
      </c>
      <c r="O332" s="155">
        <f ca="1">IF(ISNUMBER(MATCH(DATEVALUE($A332),'changes1_based on steps'!O$1:O$400,0)),O$2,)</f>
        <v>0</v>
      </c>
      <c r="P332" s="155">
        <f ca="1">IF(ISNUMBER(MATCH(DATEVALUE($A332),'changes1_based on steps'!P$1:P$400,0)),P$2,)</f>
        <v>0</v>
      </c>
      <c r="Q332" s="155">
        <f ca="1">IF(ISNUMBER(MATCH(DATEVALUE($A332),'changes1_based on steps'!Q$1:Q$400,0)),Q$2,)</f>
        <v>0</v>
      </c>
      <c r="R332" s="155">
        <f ca="1">IF(ISNUMBER(MATCH(DATEVALUE($A332),'changes1_based on steps'!R$1:R$400,0)),R$2,)</f>
        <v>0</v>
      </c>
      <c r="S332" s="155">
        <f ca="1">IF(ISNUMBER(MATCH(DATEVALUE($A332),'changes1_based on steps'!S$1:S$400,0)),S$2,)</f>
        <v>0</v>
      </c>
      <c r="T332" s="155">
        <f ca="1">IF(ISNUMBER(MATCH(DATEVALUE($A332),'changes1_based on steps'!T$1:T$400,0)),T$2,)</f>
        <v>0</v>
      </c>
      <c r="U332" s="155">
        <f ca="1">IF(ISNUMBER(MATCH(DATEVALUE($A332),'changes1_based on steps'!U$1:U$400,0)),U$2,)</f>
        <v>0</v>
      </c>
    </row>
    <row r="333" spans="1:21" x14ac:dyDescent="0.2">
      <c r="A333" s="18" t="str">
        <f t="shared" ca="1" si="5"/>
        <v>2025-12-28</v>
      </c>
      <c r="B333" s="155">
        <f ca="1">IF(ISNUMBER(MATCH(DATEVALUE($A333),'changes1_based on steps'!B$1:B$400,0)),B$2,)</f>
        <v>0</v>
      </c>
      <c r="C333" s="155">
        <f ca="1">IF(ISNUMBER(MATCH(DATEVALUE($A333),'changes1_based on steps'!C$1:C$400,0)),C$2,)</f>
        <v>0</v>
      </c>
      <c r="D333" s="155">
        <f ca="1">IF(ISNUMBER(MATCH(DATEVALUE($A333),'changes1_based on steps'!D$1:D$400,0)),D$2,)</f>
        <v>0</v>
      </c>
      <c r="E333" s="155">
        <f ca="1">IF(ISNUMBER(MATCH(DATEVALUE($A333),'changes1_based on steps'!E$1:E$400,0)),E$2,)</f>
        <v>0</v>
      </c>
      <c r="F333" s="155">
        <f ca="1">IF(ISNUMBER(MATCH(DATEVALUE($A333),'changes1_based on steps'!F$1:F$400,0)),F$2,)</f>
        <v>0</v>
      </c>
      <c r="G333" s="155">
        <f ca="1">IF(ISNUMBER(MATCH(DATEVALUE($A333),'changes1_based on steps'!G$1:G$400,0)),G$2,)</f>
        <v>0</v>
      </c>
      <c r="H333" s="155">
        <f ca="1">IF(ISNUMBER(MATCH(DATEVALUE($A333),'changes1_based on steps'!H$1:H$400,0)),H$2,)</f>
        <v>0</v>
      </c>
      <c r="I333" s="155">
        <f ca="1">IF(ISNUMBER(MATCH(DATEVALUE($A333),'changes1_based on steps'!I$1:I$400,0)),I$2,)</f>
        <v>0</v>
      </c>
      <c r="J333" s="155">
        <f ca="1">IF(ISNUMBER(MATCH(DATEVALUE($A333),'changes1_based on steps'!J$1:J$400,0)),J$2,)</f>
        <v>0</v>
      </c>
      <c r="K333" s="155">
        <f ca="1">IF(ISNUMBER(MATCH(DATEVALUE($A333),'changes1_based on steps'!K$1:K$400,0)),K$2,)</f>
        <v>0</v>
      </c>
      <c r="L333" s="155">
        <f ca="1">IF(ISNUMBER(MATCH(DATEVALUE($A333),'changes1_based on steps'!L$1:L$400,0)),L$2,)</f>
        <v>0</v>
      </c>
      <c r="M333" s="155">
        <f ca="1">IF(ISNUMBER(MATCH(DATEVALUE($A333),'changes1_based on steps'!M$1:M$400,0)),M$2,)</f>
        <v>0</v>
      </c>
      <c r="N333" s="155">
        <f ca="1">IF(ISNUMBER(MATCH(DATEVALUE($A333),'changes1_based on steps'!N$1:N$400,0)),N$2,)</f>
        <v>0</v>
      </c>
      <c r="O333" s="155">
        <f ca="1">IF(ISNUMBER(MATCH(DATEVALUE($A333),'changes1_based on steps'!O$1:O$400,0)),O$2,)</f>
        <v>0</v>
      </c>
      <c r="P333" s="155">
        <f ca="1">IF(ISNUMBER(MATCH(DATEVALUE($A333),'changes1_based on steps'!P$1:P$400,0)),P$2,)</f>
        <v>0</v>
      </c>
      <c r="Q333" s="155">
        <f ca="1">IF(ISNUMBER(MATCH(DATEVALUE($A333),'changes1_based on steps'!Q$1:Q$400,0)),Q$2,)</f>
        <v>0</v>
      </c>
      <c r="R333" s="155">
        <f ca="1">IF(ISNUMBER(MATCH(DATEVALUE($A333),'changes1_based on steps'!R$1:R$400,0)),R$2,)</f>
        <v>0</v>
      </c>
      <c r="S333" s="155">
        <f ca="1">IF(ISNUMBER(MATCH(DATEVALUE($A333),'changes1_based on steps'!S$1:S$400,0)),S$2,)</f>
        <v>0</v>
      </c>
      <c r="T333" s="155">
        <f ca="1">IF(ISNUMBER(MATCH(DATEVALUE($A333),'changes1_based on steps'!T$1:T$400,0)),T$2,)</f>
        <v>0</v>
      </c>
      <c r="U333" s="155">
        <f ca="1">IF(ISNUMBER(MATCH(DATEVALUE($A333),'changes1_based on steps'!U$1:U$400,0)),U$2,)</f>
        <v>0</v>
      </c>
    </row>
    <row r="334" spans="1:21" x14ac:dyDescent="0.2">
      <c r="A334" s="18" t="str">
        <f t="shared" ca="1" si="5"/>
        <v>2025-12-29</v>
      </c>
      <c r="B334" s="155">
        <f ca="1">IF(ISNUMBER(MATCH(DATEVALUE($A334),'changes1_based on steps'!B$1:B$400,0)),B$2,)</f>
        <v>0</v>
      </c>
      <c r="C334" s="155">
        <f ca="1">IF(ISNUMBER(MATCH(DATEVALUE($A334),'changes1_based on steps'!C$1:C$400,0)),C$2,)</f>
        <v>0</v>
      </c>
      <c r="D334" s="155">
        <f ca="1">IF(ISNUMBER(MATCH(DATEVALUE($A334),'changes1_based on steps'!D$1:D$400,0)),D$2,)</f>
        <v>0</v>
      </c>
      <c r="E334" s="155">
        <f ca="1">IF(ISNUMBER(MATCH(DATEVALUE($A334),'changes1_based on steps'!E$1:E$400,0)),E$2,)</f>
        <v>0</v>
      </c>
      <c r="F334" s="155">
        <f ca="1">IF(ISNUMBER(MATCH(DATEVALUE($A334),'changes1_based on steps'!F$1:F$400,0)),F$2,)</f>
        <v>0</v>
      </c>
      <c r="G334" s="155">
        <f ca="1">IF(ISNUMBER(MATCH(DATEVALUE($A334),'changes1_based on steps'!G$1:G$400,0)),G$2,)</f>
        <v>0</v>
      </c>
      <c r="H334" s="155">
        <f ca="1">IF(ISNUMBER(MATCH(DATEVALUE($A334),'changes1_based on steps'!H$1:H$400,0)),H$2,)</f>
        <v>0</v>
      </c>
      <c r="I334" s="155">
        <f ca="1">IF(ISNUMBER(MATCH(DATEVALUE($A334),'changes1_based on steps'!I$1:I$400,0)),I$2,)</f>
        <v>0</v>
      </c>
      <c r="J334" s="155">
        <f ca="1">IF(ISNUMBER(MATCH(DATEVALUE($A334),'changes1_based on steps'!J$1:J$400,0)),J$2,)</f>
        <v>0</v>
      </c>
      <c r="K334" s="155">
        <f ca="1">IF(ISNUMBER(MATCH(DATEVALUE($A334),'changes1_based on steps'!K$1:K$400,0)),K$2,)</f>
        <v>0</v>
      </c>
      <c r="L334" s="155">
        <f ca="1">IF(ISNUMBER(MATCH(DATEVALUE($A334),'changes1_based on steps'!L$1:L$400,0)),L$2,)</f>
        <v>0</v>
      </c>
      <c r="M334" s="155">
        <f ca="1">IF(ISNUMBER(MATCH(DATEVALUE($A334),'changes1_based on steps'!M$1:M$400,0)),M$2,)</f>
        <v>0</v>
      </c>
      <c r="N334" s="155">
        <f ca="1">IF(ISNUMBER(MATCH(DATEVALUE($A334),'changes1_based on steps'!N$1:N$400,0)),N$2,)</f>
        <v>0</v>
      </c>
      <c r="O334" s="155">
        <f ca="1">IF(ISNUMBER(MATCH(DATEVALUE($A334),'changes1_based on steps'!O$1:O$400,0)),O$2,)</f>
        <v>0</v>
      </c>
      <c r="P334" s="155">
        <f ca="1">IF(ISNUMBER(MATCH(DATEVALUE($A334),'changes1_based on steps'!P$1:P$400,0)),P$2,)</f>
        <v>0</v>
      </c>
      <c r="Q334" s="155">
        <f ca="1">IF(ISNUMBER(MATCH(DATEVALUE($A334),'changes1_based on steps'!Q$1:Q$400,0)),Q$2,)</f>
        <v>0</v>
      </c>
      <c r="R334" s="155">
        <f ca="1">IF(ISNUMBER(MATCH(DATEVALUE($A334),'changes1_based on steps'!R$1:R$400,0)),R$2,)</f>
        <v>0</v>
      </c>
      <c r="S334" s="155">
        <f ca="1">IF(ISNUMBER(MATCH(DATEVALUE($A334),'changes1_based on steps'!S$1:S$400,0)),S$2,)</f>
        <v>0</v>
      </c>
      <c r="T334" s="155">
        <f ca="1">IF(ISNUMBER(MATCH(DATEVALUE($A334),'changes1_based on steps'!T$1:T$400,0)),T$2,)</f>
        <v>0</v>
      </c>
      <c r="U334" s="155">
        <f ca="1">IF(ISNUMBER(MATCH(DATEVALUE($A334),'changes1_based on steps'!U$1:U$400,0)),U$2,)</f>
        <v>0</v>
      </c>
    </row>
    <row r="335" spans="1:21" x14ac:dyDescent="0.2">
      <c r="A335" s="18" t="str">
        <f t="shared" ca="1" si="5"/>
        <v>2025-12-30</v>
      </c>
      <c r="B335" s="155">
        <f ca="1">IF(ISNUMBER(MATCH(DATEVALUE($A335),'changes1_based on steps'!B$1:B$400,0)),B$2,)</f>
        <v>0</v>
      </c>
      <c r="C335" s="155">
        <f ca="1">IF(ISNUMBER(MATCH(DATEVALUE($A335),'changes1_based on steps'!C$1:C$400,0)),C$2,)</f>
        <v>0</v>
      </c>
      <c r="D335" s="155">
        <f ca="1">IF(ISNUMBER(MATCH(DATEVALUE($A335),'changes1_based on steps'!D$1:D$400,0)),D$2,)</f>
        <v>0</v>
      </c>
      <c r="E335" s="155">
        <f ca="1">IF(ISNUMBER(MATCH(DATEVALUE($A335),'changes1_based on steps'!E$1:E$400,0)),E$2,)</f>
        <v>0</v>
      </c>
      <c r="F335" s="155">
        <f ca="1">IF(ISNUMBER(MATCH(DATEVALUE($A335),'changes1_based on steps'!F$1:F$400,0)),F$2,)</f>
        <v>0</v>
      </c>
      <c r="G335" s="155">
        <f ca="1">IF(ISNUMBER(MATCH(DATEVALUE($A335),'changes1_based on steps'!G$1:G$400,0)),G$2,)</f>
        <v>0</v>
      </c>
      <c r="H335" s="155">
        <f ca="1">IF(ISNUMBER(MATCH(DATEVALUE($A335),'changes1_based on steps'!H$1:H$400,0)),H$2,)</f>
        <v>0</v>
      </c>
      <c r="I335" s="155">
        <f ca="1">IF(ISNUMBER(MATCH(DATEVALUE($A335),'changes1_based on steps'!I$1:I$400,0)),I$2,)</f>
        <v>0</v>
      </c>
      <c r="J335" s="155">
        <f ca="1">IF(ISNUMBER(MATCH(DATEVALUE($A335),'changes1_based on steps'!J$1:J$400,0)),J$2,)</f>
        <v>0</v>
      </c>
      <c r="K335" s="155">
        <f ca="1">IF(ISNUMBER(MATCH(DATEVALUE($A335),'changes1_based on steps'!K$1:K$400,0)),K$2,)</f>
        <v>0</v>
      </c>
      <c r="L335" s="155">
        <f ca="1">IF(ISNUMBER(MATCH(DATEVALUE($A335),'changes1_based on steps'!L$1:L$400,0)),L$2,)</f>
        <v>0</v>
      </c>
      <c r="M335" s="155">
        <f ca="1">IF(ISNUMBER(MATCH(DATEVALUE($A335),'changes1_based on steps'!M$1:M$400,0)),M$2,)</f>
        <v>0</v>
      </c>
      <c r="N335" s="155">
        <f ca="1">IF(ISNUMBER(MATCH(DATEVALUE($A335),'changes1_based on steps'!N$1:N$400,0)),N$2,)</f>
        <v>0</v>
      </c>
      <c r="O335" s="155">
        <f ca="1">IF(ISNUMBER(MATCH(DATEVALUE($A335),'changes1_based on steps'!O$1:O$400,0)),O$2,)</f>
        <v>0</v>
      </c>
      <c r="P335" s="155">
        <f ca="1">IF(ISNUMBER(MATCH(DATEVALUE($A335),'changes1_based on steps'!P$1:P$400,0)),P$2,)</f>
        <v>0</v>
      </c>
      <c r="Q335" s="155">
        <f ca="1">IF(ISNUMBER(MATCH(DATEVALUE($A335),'changes1_based on steps'!Q$1:Q$400,0)),Q$2,)</f>
        <v>0</v>
      </c>
      <c r="R335" s="155">
        <f ca="1">IF(ISNUMBER(MATCH(DATEVALUE($A335),'changes1_based on steps'!R$1:R$400,0)),R$2,)</f>
        <v>0</v>
      </c>
      <c r="S335" s="155">
        <f ca="1">IF(ISNUMBER(MATCH(DATEVALUE($A335),'changes1_based on steps'!S$1:S$400,0)),S$2,)</f>
        <v>0</v>
      </c>
      <c r="T335" s="155">
        <f ca="1">IF(ISNUMBER(MATCH(DATEVALUE($A335),'changes1_based on steps'!T$1:T$400,0)),T$2,)</f>
        <v>0</v>
      </c>
      <c r="U335" s="155">
        <f ca="1">IF(ISNUMBER(MATCH(DATEVALUE($A335),'changes1_based on steps'!U$1:U$400,0)),U$2,)</f>
        <v>0</v>
      </c>
    </row>
    <row r="336" spans="1:21" x14ac:dyDescent="0.2">
      <c r="A336" s="18" t="str">
        <f t="shared" ca="1" si="5"/>
        <v>2025-12-31</v>
      </c>
      <c r="B336" s="155">
        <f ca="1">IF(ISNUMBER(MATCH(DATEVALUE($A336),'changes1_based on steps'!B$1:B$400,0)),B$2,)</f>
        <v>100</v>
      </c>
      <c r="C336" s="155">
        <f ca="1">IF(ISNUMBER(MATCH(DATEVALUE($A336),'changes1_based on steps'!C$1:C$400,0)),C$2,)</f>
        <v>50</v>
      </c>
      <c r="D336" s="155">
        <f ca="1">IF(ISNUMBER(MATCH(DATEVALUE($A336),'changes1_based on steps'!D$1:D$400,0)),D$2,)</f>
        <v>-100</v>
      </c>
      <c r="E336" s="155">
        <f ca="1">IF(ISNUMBER(MATCH(DATEVALUE($A336),'changes1_based on steps'!E$1:E$400,0)),E$2,)</f>
        <v>0</v>
      </c>
      <c r="F336" s="155">
        <f ca="1">IF(ISNUMBER(MATCH(DATEVALUE($A336),'changes1_based on steps'!F$1:F$400,0)),F$2,)</f>
        <v>0</v>
      </c>
      <c r="G336" s="155">
        <f ca="1">IF(ISNUMBER(MATCH(DATEVALUE($A336),'changes1_based on steps'!G$1:G$400,0)),G$2,)</f>
        <v>0</v>
      </c>
      <c r="H336" s="155">
        <f ca="1">IF(ISNUMBER(MATCH(DATEVALUE($A336),'changes1_based on steps'!H$1:H$400,0)),H$2,)</f>
        <v>0</v>
      </c>
      <c r="I336" s="155">
        <f ca="1">IF(ISNUMBER(MATCH(DATEVALUE($A336),'changes1_based on steps'!I$1:I$400,0)),I$2,)</f>
        <v>0</v>
      </c>
      <c r="J336" s="155">
        <f ca="1">IF(ISNUMBER(MATCH(DATEVALUE($A336),'changes1_based on steps'!J$1:J$400,0)),J$2,)</f>
        <v>0</v>
      </c>
      <c r="K336" s="155">
        <f ca="1">IF(ISNUMBER(MATCH(DATEVALUE($A336),'changes1_based on steps'!K$1:K$400,0)),K$2,)</f>
        <v>0</v>
      </c>
      <c r="L336" s="155">
        <f ca="1">IF(ISNUMBER(MATCH(DATEVALUE($A336),'changes1_based on steps'!L$1:L$400,0)),L$2,)</f>
        <v>0</v>
      </c>
      <c r="M336" s="155">
        <f ca="1">IF(ISNUMBER(MATCH(DATEVALUE($A336),'changes1_based on steps'!M$1:M$400,0)),M$2,)</f>
        <v>0</v>
      </c>
      <c r="N336" s="155">
        <f ca="1">IF(ISNUMBER(MATCH(DATEVALUE($A336),'changes1_based on steps'!N$1:N$400,0)),N$2,)</f>
        <v>0</v>
      </c>
      <c r="O336" s="155">
        <f ca="1">IF(ISNUMBER(MATCH(DATEVALUE($A336),'changes1_based on steps'!O$1:O$400,0)),O$2,)</f>
        <v>0</v>
      </c>
      <c r="P336" s="155">
        <f ca="1">IF(ISNUMBER(MATCH(DATEVALUE($A336),'changes1_based on steps'!P$1:P$400,0)),P$2,)</f>
        <v>0</v>
      </c>
      <c r="Q336" s="155">
        <f ca="1">IF(ISNUMBER(MATCH(DATEVALUE($A336),'changes1_based on steps'!Q$1:Q$400,0)),Q$2,)</f>
        <v>0</v>
      </c>
      <c r="R336" s="155">
        <f ca="1">IF(ISNUMBER(MATCH(DATEVALUE($A336),'changes1_based on steps'!R$1:R$400,0)),R$2,)</f>
        <v>0</v>
      </c>
      <c r="S336" s="155">
        <f ca="1">IF(ISNUMBER(MATCH(DATEVALUE($A336),'changes1_based on steps'!S$1:S$400,0)),S$2,)</f>
        <v>0</v>
      </c>
      <c r="T336" s="155">
        <f ca="1">IF(ISNUMBER(MATCH(DATEVALUE($A336),'changes1_based on steps'!T$1:T$400,0)),T$2,)</f>
        <v>0</v>
      </c>
      <c r="U336" s="155">
        <f ca="1">IF(ISNUMBER(MATCH(DATEVALUE($A336),'changes1_based on steps'!U$1:U$400,0)),U$2,)</f>
        <v>0</v>
      </c>
    </row>
    <row r="337" spans="1:21" x14ac:dyDescent="0.2">
      <c r="A337" s="18" t="str">
        <f t="shared" ca="1" si="5"/>
        <v>2026-01-01</v>
      </c>
      <c r="B337" s="155">
        <f ca="1">IF(ISNUMBER(MATCH(DATEVALUE($A337),'changes1_based on steps'!B$1:B$400,0)),B$2,)</f>
        <v>0</v>
      </c>
      <c r="C337" s="155">
        <f ca="1">IF(ISNUMBER(MATCH(DATEVALUE($A337),'changes1_based on steps'!C$1:C$400,0)),C$2,)</f>
        <v>0</v>
      </c>
      <c r="D337" s="155">
        <f ca="1">IF(ISNUMBER(MATCH(DATEVALUE($A337),'changes1_based on steps'!D$1:D$400,0)),D$2,)</f>
        <v>0</v>
      </c>
      <c r="E337" s="155">
        <f ca="1">IF(ISNUMBER(MATCH(DATEVALUE($A337),'changes1_based on steps'!E$1:E$400,0)),E$2,)</f>
        <v>0</v>
      </c>
      <c r="F337" s="155">
        <f ca="1">IF(ISNUMBER(MATCH(DATEVALUE($A337),'changes1_based on steps'!F$1:F$400,0)),F$2,)</f>
        <v>0</v>
      </c>
      <c r="G337" s="155">
        <f ca="1">IF(ISNUMBER(MATCH(DATEVALUE($A337),'changes1_based on steps'!G$1:G$400,0)),G$2,)</f>
        <v>0</v>
      </c>
      <c r="H337" s="155">
        <f ca="1">IF(ISNUMBER(MATCH(DATEVALUE($A337),'changes1_based on steps'!H$1:H$400,0)),H$2,)</f>
        <v>0</v>
      </c>
      <c r="I337" s="155">
        <f ca="1">IF(ISNUMBER(MATCH(DATEVALUE($A337),'changes1_based on steps'!I$1:I$400,0)),I$2,)</f>
        <v>0</v>
      </c>
      <c r="J337" s="155">
        <f ca="1">IF(ISNUMBER(MATCH(DATEVALUE($A337),'changes1_based on steps'!J$1:J$400,0)),J$2,)</f>
        <v>0</v>
      </c>
      <c r="K337" s="155">
        <f ca="1">IF(ISNUMBER(MATCH(DATEVALUE($A337),'changes1_based on steps'!K$1:K$400,0)),K$2,)</f>
        <v>0</v>
      </c>
      <c r="L337" s="155">
        <f ca="1">IF(ISNUMBER(MATCH(DATEVALUE($A337),'changes1_based on steps'!L$1:L$400,0)),L$2,)</f>
        <v>0</v>
      </c>
      <c r="M337" s="155">
        <f ca="1">IF(ISNUMBER(MATCH(DATEVALUE($A337),'changes1_based on steps'!M$1:M$400,0)),M$2,)</f>
        <v>0</v>
      </c>
      <c r="N337" s="155">
        <f ca="1">IF(ISNUMBER(MATCH(DATEVALUE($A337),'changes1_based on steps'!N$1:N$400,0)),N$2,)</f>
        <v>0</v>
      </c>
      <c r="O337" s="155">
        <f ca="1">IF(ISNUMBER(MATCH(DATEVALUE($A337),'changes1_based on steps'!O$1:O$400,0)),O$2,)</f>
        <v>0</v>
      </c>
      <c r="P337" s="155">
        <f ca="1">IF(ISNUMBER(MATCH(DATEVALUE($A337),'changes1_based on steps'!P$1:P$400,0)),P$2,)</f>
        <v>0</v>
      </c>
      <c r="Q337" s="155">
        <f ca="1">IF(ISNUMBER(MATCH(DATEVALUE($A337),'changes1_based on steps'!Q$1:Q$400,0)),Q$2,)</f>
        <v>0</v>
      </c>
      <c r="R337" s="155">
        <f ca="1">IF(ISNUMBER(MATCH(DATEVALUE($A337),'changes1_based on steps'!R$1:R$400,0)),R$2,)</f>
        <v>0</v>
      </c>
      <c r="S337" s="155">
        <f ca="1">IF(ISNUMBER(MATCH(DATEVALUE($A337),'changes1_based on steps'!S$1:S$400,0)),S$2,)</f>
        <v>0</v>
      </c>
      <c r="T337" s="155">
        <f ca="1">IF(ISNUMBER(MATCH(DATEVALUE($A337),'changes1_based on steps'!T$1:T$400,0)),T$2,)</f>
        <v>0</v>
      </c>
      <c r="U337" s="155">
        <f ca="1">IF(ISNUMBER(MATCH(DATEVALUE($A337),'changes1_based on steps'!U$1:U$400,0)),U$2,)</f>
        <v>0</v>
      </c>
    </row>
    <row r="338" spans="1:21" x14ac:dyDescent="0.2">
      <c r="A338" s="18" t="str">
        <f t="shared" ca="1" si="5"/>
        <v>2026-01-02</v>
      </c>
      <c r="B338" s="155">
        <f ca="1">IF(ISNUMBER(MATCH(DATEVALUE($A338),'changes1_based on steps'!B$1:B$400,0)),B$2,)</f>
        <v>0</v>
      </c>
      <c r="C338" s="155">
        <f ca="1">IF(ISNUMBER(MATCH(DATEVALUE($A338),'changes1_based on steps'!C$1:C$400,0)),C$2,)</f>
        <v>0</v>
      </c>
      <c r="D338" s="155">
        <f ca="1">IF(ISNUMBER(MATCH(DATEVALUE($A338),'changes1_based on steps'!D$1:D$400,0)),D$2,)</f>
        <v>0</v>
      </c>
      <c r="E338" s="155">
        <f ca="1">IF(ISNUMBER(MATCH(DATEVALUE($A338),'changes1_based on steps'!E$1:E$400,0)),E$2,)</f>
        <v>0</v>
      </c>
      <c r="F338" s="155">
        <f ca="1">IF(ISNUMBER(MATCH(DATEVALUE($A338),'changes1_based on steps'!F$1:F$400,0)),F$2,)</f>
        <v>0</v>
      </c>
      <c r="G338" s="155">
        <f ca="1">IF(ISNUMBER(MATCH(DATEVALUE($A338),'changes1_based on steps'!G$1:G$400,0)),G$2,)</f>
        <v>0</v>
      </c>
      <c r="H338" s="155">
        <f ca="1">IF(ISNUMBER(MATCH(DATEVALUE($A338),'changes1_based on steps'!H$1:H$400,0)),H$2,)</f>
        <v>0</v>
      </c>
      <c r="I338" s="155">
        <f ca="1">IF(ISNUMBER(MATCH(DATEVALUE($A338),'changes1_based on steps'!I$1:I$400,0)),I$2,)</f>
        <v>0</v>
      </c>
      <c r="J338" s="155">
        <f ca="1">IF(ISNUMBER(MATCH(DATEVALUE($A338),'changes1_based on steps'!J$1:J$400,0)),J$2,)</f>
        <v>0</v>
      </c>
      <c r="K338" s="155">
        <f ca="1">IF(ISNUMBER(MATCH(DATEVALUE($A338),'changes1_based on steps'!K$1:K$400,0)),K$2,)</f>
        <v>0</v>
      </c>
      <c r="L338" s="155">
        <f ca="1">IF(ISNUMBER(MATCH(DATEVALUE($A338),'changes1_based on steps'!L$1:L$400,0)),L$2,)</f>
        <v>0</v>
      </c>
      <c r="M338" s="155">
        <f ca="1">IF(ISNUMBER(MATCH(DATEVALUE($A338),'changes1_based on steps'!M$1:M$400,0)),M$2,)</f>
        <v>0</v>
      </c>
      <c r="N338" s="155">
        <f ca="1">IF(ISNUMBER(MATCH(DATEVALUE($A338),'changes1_based on steps'!N$1:N$400,0)),N$2,)</f>
        <v>0</v>
      </c>
      <c r="O338" s="155">
        <f ca="1">IF(ISNUMBER(MATCH(DATEVALUE($A338),'changes1_based on steps'!O$1:O$400,0)),O$2,)</f>
        <v>0</v>
      </c>
      <c r="P338" s="155">
        <f ca="1">IF(ISNUMBER(MATCH(DATEVALUE($A338),'changes1_based on steps'!P$1:P$400,0)),P$2,)</f>
        <v>0</v>
      </c>
      <c r="Q338" s="155">
        <f ca="1">IF(ISNUMBER(MATCH(DATEVALUE($A338),'changes1_based on steps'!Q$1:Q$400,0)),Q$2,)</f>
        <v>0</v>
      </c>
      <c r="R338" s="155">
        <f ca="1">IF(ISNUMBER(MATCH(DATEVALUE($A338),'changes1_based on steps'!R$1:R$400,0)),R$2,)</f>
        <v>0</v>
      </c>
      <c r="S338" s="155">
        <f ca="1">IF(ISNUMBER(MATCH(DATEVALUE($A338),'changes1_based on steps'!S$1:S$400,0)),S$2,)</f>
        <v>0</v>
      </c>
      <c r="T338" s="155">
        <f ca="1">IF(ISNUMBER(MATCH(DATEVALUE($A338),'changes1_based on steps'!T$1:T$400,0)),T$2,)</f>
        <v>0</v>
      </c>
      <c r="U338" s="155">
        <f ca="1">IF(ISNUMBER(MATCH(DATEVALUE($A338),'changes1_based on steps'!U$1:U$400,0)),U$2,)</f>
        <v>0</v>
      </c>
    </row>
    <row r="339" spans="1:21" x14ac:dyDescent="0.2">
      <c r="A339" s="18" t="str">
        <f t="shared" ca="1" si="5"/>
        <v>2026-01-03</v>
      </c>
      <c r="B339" s="155">
        <f ca="1">IF(ISNUMBER(MATCH(DATEVALUE($A339),'changes1_based on steps'!B$1:B$400,0)),B$2,)</f>
        <v>0</v>
      </c>
      <c r="C339" s="155">
        <f ca="1">IF(ISNUMBER(MATCH(DATEVALUE($A339),'changes1_based on steps'!C$1:C$400,0)),C$2,)</f>
        <v>0</v>
      </c>
      <c r="D339" s="155">
        <f ca="1">IF(ISNUMBER(MATCH(DATEVALUE($A339),'changes1_based on steps'!D$1:D$400,0)),D$2,)</f>
        <v>0</v>
      </c>
      <c r="E339" s="155">
        <f ca="1">IF(ISNUMBER(MATCH(DATEVALUE($A339),'changes1_based on steps'!E$1:E$400,0)),E$2,)</f>
        <v>0</v>
      </c>
      <c r="F339" s="155">
        <f ca="1">IF(ISNUMBER(MATCH(DATEVALUE($A339),'changes1_based on steps'!F$1:F$400,0)),F$2,)</f>
        <v>0</v>
      </c>
      <c r="G339" s="155">
        <f ca="1">IF(ISNUMBER(MATCH(DATEVALUE($A339),'changes1_based on steps'!G$1:G$400,0)),G$2,)</f>
        <v>0</v>
      </c>
      <c r="H339" s="155">
        <f ca="1">IF(ISNUMBER(MATCH(DATEVALUE($A339),'changes1_based on steps'!H$1:H$400,0)),H$2,)</f>
        <v>0</v>
      </c>
      <c r="I339" s="155">
        <f ca="1">IF(ISNUMBER(MATCH(DATEVALUE($A339),'changes1_based on steps'!I$1:I$400,0)),I$2,)</f>
        <v>0</v>
      </c>
      <c r="J339" s="155">
        <f ca="1">IF(ISNUMBER(MATCH(DATEVALUE($A339),'changes1_based on steps'!J$1:J$400,0)),J$2,)</f>
        <v>0</v>
      </c>
      <c r="K339" s="155">
        <f ca="1">IF(ISNUMBER(MATCH(DATEVALUE($A339),'changes1_based on steps'!K$1:K$400,0)),K$2,)</f>
        <v>0</v>
      </c>
      <c r="L339" s="155">
        <f ca="1">IF(ISNUMBER(MATCH(DATEVALUE($A339),'changes1_based on steps'!L$1:L$400,0)),L$2,)</f>
        <v>0</v>
      </c>
      <c r="M339" s="155">
        <f ca="1">IF(ISNUMBER(MATCH(DATEVALUE($A339),'changes1_based on steps'!M$1:M$400,0)),M$2,)</f>
        <v>0</v>
      </c>
      <c r="N339" s="155">
        <f ca="1">IF(ISNUMBER(MATCH(DATEVALUE($A339),'changes1_based on steps'!N$1:N$400,0)),N$2,)</f>
        <v>0</v>
      </c>
      <c r="O339" s="155">
        <f ca="1">IF(ISNUMBER(MATCH(DATEVALUE($A339),'changes1_based on steps'!O$1:O$400,0)),O$2,)</f>
        <v>0</v>
      </c>
      <c r="P339" s="155">
        <f ca="1">IF(ISNUMBER(MATCH(DATEVALUE($A339),'changes1_based on steps'!P$1:P$400,0)),P$2,)</f>
        <v>0</v>
      </c>
      <c r="Q339" s="155">
        <f ca="1">IF(ISNUMBER(MATCH(DATEVALUE($A339),'changes1_based on steps'!Q$1:Q$400,0)),Q$2,)</f>
        <v>0</v>
      </c>
      <c r="R339" s="155">
        <f ca="1">IF(ISNUMBER(MATCH(DATEVALUE($A339),'changes1_based on steps'!R$1:R$400,0)),R$2,)</f>
        <v>0</v>
      </c>
      <c r="S339" s="155">
        <f ca="1">IF(ISNUMBER(MATCH(DATEVALUE($A339),'changes1_based on steps'!S$1:S$400,0)),S$2,)</f>
        <v>0</v>
      </c>
      <c r="T339" s="155">
        <f ca="1">IF(ISNUMBER(MATCH(DATEVALUE($A339),'changes1_based on steps'!T$1:T$400,0)),T$2,)</f>
        <v>0</v>
      </c>
      <c r="U339" s="155">
        <f ca="1">IF(ISNUMBER(MATCH(DATEVALUE($A339),'changes1_based on steps'!U$1:U$400,0)),U$2,)</f>
        <v>0</v>
      </c>
    </row>
    <row r="340" spans="1:21" x14ac:dyDescent="0.2">
      <c r="A340" s="18" t="str">
        <f t="shared" ca="1" si="5"/>
        <v>2026-01-04</v>
      </c>
      <c r="B340" s="155">
        <f ca="1">IF(ISNUMBER(MATCH(DATEVALUE($A340),'changes1_based on steps'!B$1:B$400,0)),B$2,)</f>
        <v>0</v>
      </c>
      <c r="C340" s="155">
        <f ca="1">IF(ISNUMBER(MATCH(DATEVALUE($A340),'changes1_based on steps'!C$1:C$400,0)),C$2,)</f>
        <v>0</v>
      </c>
      <c r="D340" s="155">
        <f ca="1">IF(ISNUMBER(MATCH(DATEVALUE($A340),'changes1_based on steps'!D$1:D$400,0)),D$2,)</f>
        <v>0</v>
      </c>
      <c r="E340" s="155">
        <f ca="1">IF(ISNUMBER(MATCH(DATEVALUE($A340),'changes1_based on steps'!E$1:E$400,0)),E$2,)</f>
        <v>0</v>
      </c>
      <c r="F340" s="155">
        <f ca="1">IF(ISNUMBER(MATCH(DATEVALUE($A340),'changes1_based on steps'!F$1:F$400,0)),F$2,)</f>
        <v>0</v>
      </c>
      <c r="G340" s="155">
        <f ca="1">IF(ISNUMBER(MATCH(DATEVALUE($A340),'changes1_based on steps'!G$1:G$400,0)),G$2,)</f>
        <v>0</v>
      </c>
      <c r="H340" s="155">
        <f ca="1">IF(ISNUMBER(MATCH(DATEVALUE($A340),'changes1_based on steps'!H$1:H$400,0)),H$2,)</f>
        <v>0</v>
      </c>
      <c r="I340" s="155">
        <f ca="1">IF(ISNUMBER(MATCH(DATEVALUE($A340),'changes1_based on steps'!I$1:I$400,0)),I$2,)</f>
        <v>0</v>
      </c>
      <c r="J340" s="155">
        <f ca="1">IF(ISNUMBER(MATCH(DATEVALUE($A340),'changes1_based on steps'!J$1:J$400,0)),J$2,)</f>
        <v>0</v>
      </c>
      <c r="K340" s="155">
        <f ca="1">IF(ISNUMBER(MATCH(DATEVALUE($A340),'changes1_based on steps'!K$1:K$400,0)),K$2,)</f>
        <v>0</v>
      </c>
      <c r="L340" s="155">
        <f ca="1">IF(ISNUMBER(MATCH(DATEVALUE($A340),'changes1_based on steps'!L$1:L$400,0)),L$2,)</f>
        <v>0</v>
      </c>
      <c r="M340" s="155">
        <f ca="1">IF(ISNUMBER(MATCH(DATEVALUE($A340),'changes1_based on steps'!M$1:M$400,0)),M$2,)</f>
        <v>0</v>
      </c>
      <c r="N340" s="155">
        <f ca="1">IF(ISNUMBER(MATCH(DATEVALUE($A340),'changes1_based on steps'!N$1:N$400,0)),N$2,)</f>
        <v>0</v>
      </c>
      <c r="O340" s="155">
        <f ca="1">IF(ISNUMBER(MATCH(DATEVALUE($A340),'changes1_based on steps'!O$1:O$400,0)),O$2,)</f>
        <v>0</v>
      </c>
      <c r="P340" s="155">
        <f ca="1">IF(ISNUMBER(MATCH(DATEVALUE($A340),'changes1_based on steps'!P$1:P$400,0)),P$2,)</f>
        <v>0</v>
      </c>
      <c r="Q340" s="155">
        <f ca="1">IF(ISNUMBER(MATCH(DATEVALUE($A340),'changes1_based on steps'!Q$1:Q$400,0)),Q$2,)</f>
        <v>0</v>
      </c>
      <c r="R340" s="155">
        <f ca="1">IF(ISNUMBER(MATCH(DATEVALUE($A340),'changes1_based on steps'!R$1:R$400,0)),R$2,)</f>
        <v>0</v>
      </c>
      <c r="S340" s="155">
        <f ca="1">IF(ISNUMBER(MATCH(DATEVALUE($A340),'changes1_based on steps'!S$1:S$400,0)),S$2,)</f>
        <v>0</v>
      </c>
      <c r="T340" s="155">
        <f ca="1">IF(ISNUMBER(MATCH(DATEVALUE($A340),'changes1_based on steps'!T$1:T$400,0)),T$2,)</f>
        <v>0</v>
      </c>
      <c r="U340" s="155">
        <f ca="1">IF(ISNUMBER(MATCH(DATEVALUE($A340),'changes1_based on steps'!U$1:U$400,0)),U$2,)</f>
        <v>0</v>
      </c>
    </row>
    <row r="341" spans="1:21" x14ac:dyDescent="0.2">
      <c r="A341" s="18" t="str">
        <f t="shared" ca="1" si="5"/>
        <v>2026-01-05</v>
      </c>
      <c r="B341" s="155">
        <f ca="1">IF(ISNUMBER(MATCH(DATEVALUE($A341),'changes1_based on steps'!B$1:B$400,0)),B$2,)</f>
        <v>0</v>
      </c>
      <c r="C341" s="155">
        <f ca="1">IF(ISNUMBER(MATCH(DATEVALUE($A341),'changes1_based on steps'!C$1:C$400,0)),C$2,)</f>
        <v>0</v>
      </c>
      <c r="D341" s="155">
        <f ca="1">IF(ISNUMBER(MATCH(DATEVALUE($A341),'changes1_based on steps'!D$1:D$400,0)),D$2,)</f>
        <v>0</v>
      </c>
      <c r="E341" s="155">
        <f ca="1">IF(ISNUMBER(MATCH(DATEVALUE($A341),'changes1_based on steps'!E$1:E$400,0)),E$2,)</f>
        <v>0</v>
      </c>
      <c r="F341" s="155">
        <f ca="1">IF(ISNUMBER(MATCH(DATEVALUE($A341),'changes1_based on steps'!F$1:F$400,0)),F$2,)</f>
        <v>0</v>
      </c>
      <c r="G341" s="155">
        <f ca="1">IF(ISNUMBER(MATCH(DATEVALUE($A341),'changes1_based on steps'!G$1:G$400,0)),G$2,)</f>
        <v>0</v>
      </c>
      <c r="H341" s="155">
        <f ca="1">IF(ISNUMBER(MATCH(DATEVALUE($A341),'changes1_based on steps'!H$1:H$400,0)),H$2,)</f>
        <v>0</v>
      </c>
      <c r="I341" s="155">
        <f ca="1">IF(ISNUMBER(MATCH(DATEVALUE($A341),'changes1_based on steps'!I$1:I$400,0)),I$2,)</f>
        <v>0</v>
      </c>
      <c r="J341" s="155">
        <f ca="1">IF(ISNUMBER(MATCH(DATEVALUE($A341),'changes1_based on steps'!J$1:J$400,0)),J$2,)</f>
        <v>0</v>
      </c>
      <c r="K341" s="155">
        <f ca="1">IF(ISNUMBER(MATCH(DATEVALUE($A341),'changes1_based on steps'!K$1:K$400,0)),K$2,)</f>
        <v>0</v>
      </c>
      <c r="L341" s="155">
        <f ca="1">IF(ISNUMBER(MATCH(DATEVALUE($A341),'changes1_based on steps'!L$1:L$400,0)),L$2,)</f>
        <v>0</v>
      </c>
      <c r="M341" s="155">
        <f ca="1">IF(ISNUMBER(MATCH(DATEVALUE($A341),'changes1_based on steps'!M$1:M$400,0)),M$2,)</f>
        <v>0</v>
      </c>
      <c r="N341" s="155">
        <f ca="1">IF(ISNUMBER(MATCH(DATEVALUE($A341),'changes1_based on steps'!N$1:N$400,0)),N$2,)</f>
        <v>0</v>
      </c>
      <c r="O341" s="155">
        <f ca="1">IF(ISNUMBER(MATCH(DATEVALUE($A341),'changes1_based on steps'!O$1:O$400,0)),O$2,)</f>
        <v>0</v>
      </c>
      <c r="P341" s="155">
        <f ca="1">IF(ISNUMBER(MATCH(DATEVALUE($A341),'changes1_based on steps'!P$1:P$400,0)),P$2,)</f>
        <v>0</v>
      </c>
      <c r="Q341" s="155">
        <f ca="1">IF(ISNUMBER(MATCH(DATEVALUE($A341),'changes1_based on steps'!Q$1:Q$400,0)),Q$2,)</f>
        <v>0</v>
      </c>
      <c r="R341" s="155">
        <f ca="1">IF(ISNUMBER(MATCH(DATEVALUE($A341),'changes1_based on steps'!R$1:R$400,0)),R$2,)</f>
        <v>0</v>
      </c>
      <c r="S341" s="155">
        <f ca="1">IF(ISNUMBER(MATCH(DATEVALUE($A341),'changes1_based on steps'!S$1:S$400,0)),S$2,)</f>
        <v>0</v>
      </c>
      <c r="T341" s="155">
        <f ca="1">IF(ISNUMBER(MATCH(DATEVALUE($A341),'changes1_based on steps'!T$1:T$400,0)),T$2,)</f>
        <v>0</v>
      </c>
      <c r="U341" s="155">
        <f ca="1">IF(ISNUMBER(MATCH(DATEVALUE($A341),'changes1_based on steps'!U$1:U$400,0)),U$2,)</f>
        <v>0</v>
      </c>
    </row>
    <row r="342" spans="1:21" x14ac:dyDescent="0.2">
      <c r="A342" s="18" t="str">
        <f t="shared" ca="1" si="5"/>
        <v>2026-01-06</v>
      </c>
      <c r="B342" s="155">
        <f ca="1">IF(ISNUMBER(MATCH(DATEVALUE($A342),'changes1_based on steps'!B$1:B$400,0)),B$2,)</f>
        <v>0</v>
      </c>
      <c r="C342" s="155">
        <f ca="1">IF(ISNUMBER(MATCH(DATEVALUE($A342),'changes1_based on steps'!C$1:C$400,0)),C$2,)</f>
        <v>0</v>
      </c>
      <c r="D342" s="155">
        <f ca="1">IF(ISNUMBER(MATCH(DATEVALUE($A342),'changes1_based on steps'!D$1:D$400,0)),D$2,)</f>
        <v>0</v>
      </c>
      <c r="E342" s="155">
        <f ca="1">IF(ISNUMBER(MATCH(DATEVALUE($A342),'changes1_based on steps'!E$1:E$400,0)),E$2,)</f>
        <v>0</v>
      </c>
      <c r="F342" s="155">
        <f ca="1">IF(ISNUMBER(MATCH(DATEVALUE($A342),'changes1_based on steps'!F$1:F$400,0)),F$2,)</f>
        <v>0</v>
      </c>
      <c r="G342" s="155">
        <f ca="1">IF(ISNUMBER(MATCH(DATEVALUE($A342),'changes1_based on steps'!G$1:G$400,0)),G$2,)</f>
        <v>0</v>
      </c>
      <c r="H342" s="155">
        <f ca="1">IF(ISNUMBER(MATCH(DATEVALUE($A342),'changes1_based on steps'!H$1:H$400,0)),H$2,)</f>
        <v>0</v>
      </c>
      <c r="I342" s="155">
        <f ca="1">IF(ISNUMBER(MATCH(DATEVALUE($A342),'changes1_based on steps'!I$1:I$400,0)),I$2,)</f>
        <v>0</v>
      </c>
      <c r="J342" s="155">
        <f ca="1">IF(ISNUMBER(MATCH(DATEVALUE($A342),'changes1_based on steps'!J$1:J$400,0)),J$2,)</f>
        <v>0</v>
      </c>
      <c r="K342" s="155">
        <f ca="1">IF(ISNUMBER(MATCH(DATEVALUE($A342),'changes1_based on steps'!K$1:K$400,0)),K$2,)</f>
        <v>0</v>
      </c>
      <c r="L342" s="155">
        <f ca="1">IF(ISNUMBER(MATCH(DATEVALUE($A342),'changes1_based on steps'!L$1:L$400,0)),L$2,)</f>
        <v>0</v>
      </c>
      <c r="M342" s="155">
        <f ca="1">IF(ISNUMBER(MATCH(DATEVALUE($A342),'changes1_based on steps'!M$1:M$400,0)),M$2,)</f>
        <v>0</v>
      </c>
      <c r="N342" s="155">
        <f ca="1">IF(ISNUMBER(MATCH(DATEVALUE($A342),'changes1_based on steps'!N$1:N$400,0)),N$2,)</f>
        <v>0</v>
      </c>
      <c r="O342" s="155">
        <f ca="1">IF(ISNUMBER(MATCH(DATEVALUE($A342),'changes1_based on steps'!O$1:O$400,0)),O$2,)</f>
        <v>0</v>
      </c>
      <c r="P342" s="155">
        <f ca="1">IF(ISNUMBER(MATCH(DATEVALUE($A342),'changes1_based on steps'!P$1:P$400,0)),P$2,)</f>
        <v>0</v>
      </c>
      <c r="Q342" s="155">
        <f ca="1">IF(ISNUMBER(MATCH(DATEVALUE($A342),'changes1_based on steps'!Q$1:Q$400,0)),Q$2,)</f>
        <v>0</v>
      </c>
      <c r="R342" s="155">
        <f ca="1">IF(ISNUMBER(MATCH(DATEVALUE($A342),'changes1_based on steps'!R$1:R$400,0)),R$2,)</f>
        <v>0</v>
      </c>
      <c r="S342" s="155">
        <f ca="1">IF(ISNUMBER(MATCH(DATEVALUE($A342),'changes1_based on steps'!S$1:S$400,0)),S$2,)</f>
        <v>0</v>
      </c>
      <c r="T342" s="155">
        <f ca="1">IF(ISNUMBER(MATCH(DATEVALUE($A342),'changes1_based on steps'!T$1:T$400,0)),T$2,)</f>
        <v>0</v>
      </c>
      <c r="U342" s="155">
        <f ca="1">IF(ISNUMBER(MATCH(DATEVALUE($A342),'changes1_based on steps'!U$1:U$400,0)),U$2,)</f>
        <v>0</v>
      </c>
    </row>
    <row r="343" spans="1:21" x14ac:dyDescent="0.2">
      <c r="A343" s="18" t="str">
        <f t="shared" ca="1" si="5"/>
        <v>2026-01-07</v>
      </c>
      <c r="B343" s="155">
        <f ca="1">IF(ISNUMBER(MATCH(DATEVALUE($A343),'changes1_based on steps'!B$1:B$400,0)),B$2,)</f>
        <v>0</v>
      </c>
      <c r="C343" s="155">
        <f ca="1">IF(ISNUMBER(MATCH(DATEVALUE($A343),'changes1_based on steps'!C$1:C$400,0)),C$2,)</f>
        <v>0</v>
      </c>
      <c r="D343" s="155">
        <f ca="1">IF(ISNUMBER(MATCH(DATEVALUE($A343),'changes1_based on steps'!D$1:D$400,0)),D$2,)</f>
        <v>0</v>
      </c>
      <c r="E343" s="155">
        <f ca="1">IF(ISNUMBER(MATCH(DATEVALUE($A343),'changes1_based on steps'!E$1:E$400,0)),E$2,)</f>
        <v>0</v>
      </c>
      <c r="F343" s="155">
        <f ca="1">IF(ISNUMBER(MATCH(DATEVALUE($A343),'changes1_based on steps'!F$1:F$400,0)),F$2,)</f>
        <v>0</v>
      </c>
      <c r="G343" s="155">
        <f ca="1">IF(ISNUMBER(MATCH(DATEVALUE($A343),'changes1_based on steps'!G$1:G$400,0)),G$2,)</f>
        <v>0</v>
      </c>
      <c r="H343" s="155">
        <f ca="1">IF(ISNUMBER(MATCH(DATEVALUE($A343),'changes1_based on steps'!H$1:H$400,0)),H$2,)</f>
        <v>0</v>
      </c>
      <c r="I343" s="155">
        <f ca="1">IF(ISNUMBER(MATCH(DATEVALUE($A343),'changes1_based on steps'!I$1:I$400,0)),I$2,)</f>
        <v>0</v>
      </c>
      <c r="J343" s="155">
        <f ca="1">IF(ISNUMBER(MATCH(DATEVALUE($A343),'changes1_based on steps'!J$1:J$400,0)),J$2,)</f>
        <v>0</v>
      </c>
      <c r="K343" s="155">
        <f ca="1">IF(ISNUMBER(MATCH(DATEVALUE($A343),'changes1_based on steps'!K$1:K$400,0)),K$2,)</f>
        <v>0</v>
      </c>
      <c r="L343" s="155">
        <f ca="1">IF(ISNUMBER(MATCH(DATEVALUE($A343),'changes1_based on steps'!L$1:L$400,0)),L$2,)</f>
        <v>0</v>
      </c>
      <c r="M343" s="155">
        <f ca="1">IF(ISNUMBER(MATCH(DATEVALUE($A343),'changes1_based on steps'!M$1:M$400,0)),M$2,)</f>
        <v>0</v>
      </c>
      <c r="N343" s="155">
        <f ca="1">IF(ISNUMBER(MATCH(DATEVALUE($A343),'changes1_based on steps'!N$1:N$400,0)),N$2,)</f>
        <v>0</v>
      </c>
      <c r="O343" s="155">
        <f ca="1">IF(ISNUMBER(MATCH(DATEVALUE($A343),'changes1_based on steps'!O$1:O$400,0)),O$2,)</f>
        <v>0</v>
      </c>
      <c r="P343" s="155">
        <f ca="1">IF(ISNUMBER(MATCH(DATEVALUE($A343),'changes1_based on steps'!P$1:P$400,0)),P$2,)</f>
        <v>0</v>
      </c>
      <c r="Q343" s="155">
        <f ca="1">IF(ISNUMBER(MATCH(DATEVALUE($A343),'changes1_based on steps'!Q$1:Q$400,0)),Q$2,)</f>
        <v>0</v>
      </c>
      <c r="R343" s="155">
        <f ca="1">IF(ISNUMBER(MATCH(DATEVALUE($A343),'changes1_based on steps'!R$1:R$400,0)),R$2,)</f>
        <v>0</v>
      </c>
      <c r="S343" s="155">
        <f ca="1">IF(ISNUMBER(MATCH(DATEVALUE($A343),'changes1_based on steps'!S$1:S$400,0)),S$2,)</f>
        <v>0</v>
      </c>
      <c r="T343" s="155">
        <f ca="1">IF(ISNUMBER(MATCH(DATEVALUE($A343),'changes1_based on steps'!T$1:T$400,0)),T$2,)</f>
        <v>0</v>
      </c>
      <c r="U343" s="155">
        <f ca="1">IF(ISNUMBER(MATCH(DATEVALUE($A343),'changes1_based on steps'!U$1:U$400,0)),U$2,)</f>
        <v>0</v>
      </c>
    </row>
    <row r="344" spans="1:21" x14ac:dyDescent="0.2">
      <c r="A344" s="18" t="str">
        <f t="shared" ca="1" si="5"/>
        <v>2026-01-08</v>
      </c>
      <c r="B344" s="155">
        <f ca="1">IF(ISNUMBER(MATCH(DATEVALUE($A344),'changes1_based on steps'!B$1:B$400,0)),B$2,)</f>
        <v>0</v>
      </c>
      <c r="C344" s="155">
        <f ca="1">IF(ISNUMBER(MATCH(DATEVALUE($A344),'changes1_based on steps'!C$1:C$400,0)),C$2,)</f>
        <v>0</v>
      </c>
      <c r="D344" s="155">
        <f ca="1">IF(ISNUMBER(MATCH(DATEVALUE($A344),'changes1_based on steps'!D$1:D$400,0)),D$2,)</f>
        <v>0</v>
      </c>
      <c r="E344" s="155">
        <f ca="1">IF(ISNUMBER(MATCH(DATEVALUE($A344),'changes1_based on steps'!E$1:E$400,0)),E$2,)</f>
        <v>0</v>
      </c>
      <c r="F344" s="155">
        <f ca="1">IF(ISNUMBER(MATCH(DATEVALUE($A344),'changes1_based on steps'!F$1:F$400,0)),F$2,)</f>
        <v>0</v>
      </c>
      <c r="G344" s="155">
        <f ca="1">IF(ISNUMBER(MATCH(DATEVALUE($A344),'changes1_based on steps'!G$1:G$400,0)),G$2,)</f>
        <v>0</v>
      </c>
      <c r="H344" s="155">
        <f ca="1">IF(ISNUMBER(MATCH(DATEVALUE($A344),'changes1_based on steps'!H$1:H$400,0)),H$2,)</f>
        <v>0</v>
      </c>
      <c r="I344" s="155">
        <f ca="1">IF(ISNUMBER(MATCH(DATEVALUE($A344),'changes1_based on steps'!I$1:I$400,0)),I$2,)</f>
        <v>0</v>
      </c>
      <c r="J344" s="155">
        <f ca="1">IF(ISNUMBER(MATCH(DATEVALUE($A344),'changes1_based on steps'!J$1:J$400,0)),J$2,)</f>
        <v>0</v>
      </c>
      <c r="K344" s="155">
        <f ca="1">IF(ISNUMBER(MATCH(DATEVALUE($A344),'changes1_based on steps'!K$1:K$400,0)),K$2,)</f>
        <v>0</v>
      </c>
      <c r="L344" s="155">
        <f ca="1">IF(ISNUMBER(MATCH(DATEVALUE($A344),'changes1_based on steps'!L$1:L$400,0)),L$2,)</f>
        <v>0</v>
      </c>
      <c r="M344" s="155">
        <f ca="1">IF(ISNUMBER(MATCH(DATEVALUE($A344),'changes1_based on steps'!M$1:M$400,0)),M$2,)</f>
        <v>0</v>
      </c>
      <c r="N344" s="155">
        <f ca="1">IF(ISNUMBER(MATCH(DATEVALUE($A344),'changes1_based on steps'!N$1:N$400,0)),N$2,)</f>
        <v>0</v>
      </c>
      <c r="O344" s="155">
        <f ca="1">IF(ISNUMBER(MATCH(DATEVALUE($A344),'changes1_based on steps'!O$1:O$400,0)),O$2,)</f>
        <v>0</v>
      </c>
      <c r="P344" s="155">
        <f ca="1">IF(ISNUMBER(MATCH(DATEVALUE($A344),'changes1_based on steps'!P$1:P$400,0)),P$2,)</f>
        <v>0</v>
      </c>
      <c r="Q344" s="155">
        <f ca="1">IF(ISNUMBER(MATCH(DATEVALUE($A344),'changes1_based on steps'!Q$1:Q$400,0)),Q$2,)</f>
        <v>0</v>
      </c>
      <c r="R344" s="155">
        <f ca="1">IF(ISNUMBER(MATCH(DATEVALUE($A344),'changes1_based on steps'!R$1:R$400,0)),R$2,)</f>
        <v>0</v>
      </c>
      <c r="S344" s="155">
        <f ca="1">IF(ISNUMBER(MATCH(DATEVALUE($A344),'changes1_based on steps'!S$1:S$400,0)),S$2,)</f>
        <v>0</v>
      </c>
      <c r="T344" s="155">
        <f ca="1">IF(ISNUMBER(MATCH(DATEVALUE($A344),'changes1_based on steps'!T$1:T$400,0)),T$2,)</f>
        <v>0</v>
      </c>
      <c r="U344" s="155">
        <f ca="1">IF(ISNUMBER(MATCH(DATEVALUE($A344),'changes1_based on steps'!U$1:U$400,0)),U$2,)</f>
        <v>0</v>
      </c>
    </row>
    <row r="345" spans="1:21" x14ac:dyDescent="0.2">
      <c r="A345" s="18" t="str">
        <f t="shared" ca="1" si="5"/>
        <v>2026-01-09</v>
      </c>
      <c r="B345" s="155">
        <f ca="1">IF(ISNUMBER(MATCH(DATEVALUE($A345),'changes1_based on steps'!B$1:B$400,0)),B$2,)</f>
        <v>0</v>
      </c>
      <c r="C345" s="155">
        <f ca="1">IF(ISNUMBER(MATCH(DATEVALUE($A345),'changes1_based on steps'!C$1:C$400,0)),C$2,)</f>
        <v>0</v>
      </c>
      <c r="D345" s="155">
        <f ca="1">IF(ISNUMBER(MATCH(DATEVALUE($A345),'changes1_based on steps'!D$1:D$400,0)),D$2,)</f>
        <v>0</v>
      </c>
      <c r="E345" s="155">
        <f ca="1">IF(ISNUMBER(MATCH(DATEVALUE($A345),'changes1_based on steps'!E$1:E$400,0)),E$2,)</f>
        <v>0</v>
      </c>
      <c r="F345" s="155">
        <f ca="1">IF(ISNUMBER(MATCH(DATEVALUE($A345),'changes1_based on steps'!F$1:F$400,0)),F$2,)</f>
        <v>0</v>
      </c>
      <c r="G345" s="155">
        <f ca="1">IF(ISNUMBER(MATCH(DATEVALUE($A345),'changes1_based on steps'!G$1:G$400,0)),G$2,)</f>
        <v>0</v>
      </c>
      <c r="H345" s="155">
        <f ca="1">IF(ISNUMBER(MATCH(DATEVALUE($A345),'changes1_based on steps'!H$1:H$400,0)),H$2,)</f>
        <v>0</v>
      </c>
      <c r="I345" s="155">
        <f ca="1">IF(ISNUMBER(MATCH(DATEVALUE($A345),'changes1_based on steps'!I$1:I$400,0)),I$2,)</f>
        <v>0</v>
      </c>
      <c r="J345" s="155">
        <f ca="1">IF(ISNUMBER(MATCH(DATEVALUE($A345),'changes1_based on steps'!J$1:J$400,0)),J$2,)</f>
        <v>0</v>
      </c>
      <c r="K345" s="155">
        <f ca="1">IF(ISNUMBER(MATCH(DATEVALUE($A345),'changes1_based on steps'!K$1:K$400,0)),K$2,)</f>
        <v>0</v>
      </c>
      <c r="L345" s="155">
        <f ca="1">IF(ISNUMBER(MATCH(DATEVALUE($A345),'changes1_based on steps'!L$1:L$400,0)),L$2,)</f>
        <v>0</v>
      </c>
      <c r="M345" s="155">
        <f ca="1">IF(ISNUMBER(MATCH(DATEVALUE($A345),'changes1_based on steps'!M$1:M$400,0)),M$2,)</f>
        <v>0</v>
      </c>
      <c r="N345" s="155">
        <f ca="1">IF(ISNUMBER(MATCH(DATEVALUE($A345),'changes1_based on steps'!N$1:N$400,0)),N$2,)</f>
        <v>0</v>
      </c>
      <c r="O345" s="155">
        <f ca="1">IF(ISNUMBER(MATCH(DATEVALUE($A345),'changes1_based on steps'!O$1:O$400,0)),O$2,)</f>
        <v>0</v>
      </c>
      <c r="P345" s="155">
        <f ca="1">IF(ISNUMBER(MATCH(DATEVALUE($A345),'changes1_based on steps'!P$1:P$400,0)),P$2,)</f>
        <v>0</v>
      </c>
      <c r="Q345" s="155">
        <f ca="1">IF(ISNUMBER(MATCH(DATEVALUE($A345),'changes1_based on steps'!Q$1:Q$400,0)),Q$2,)</f>
        <v>0</v>
      </c>
      <c r="R345" s="155">
        <f ca="1">IF(ISNUMBER(MATCH(DATEVALUE($A345),'changes1_based on steps'!R$1:R$400,0)),R$2,)</f>
        <v>0</v>
      </c>
      <c r="S345" s="155">
        <f ca="1">IF(ISNUMBER(MATCH(DATEVALUE($A345),'changes1_based on steps'!S$1:S$400,0)),S$2,)</f>
        <v>0</v>
      </c>
      <c r="T345" s="155">
        <f ca="1">IF(ISNUMBER(MATCH(DATEVALUE($A345),'changes1_based on steps'!T$1:T$400,0)),T$2,)</f>
        <v>0</v>
      </c>
      <c r="U345" s="155">
        <f ca="1">IF(ISNUMBER(MATCH(DATEVALUE($A345),'changes1_based on steps'!U$1:U$400,0)),U$2,)</f>
        <v>0</v>
      </c>
    </row>
    <row r="346" spans="1:21" x14ac:dyDescent="0.2">
      <c r="A346" s="18" t="str">
        <f t="shared" ca="1" si="5"/>
        <v>2026-01-10</v>
      </c>
      <c r="B346" s="155">
        <f ca="1">IF(ISNUMBER(MATCH(DATEVALUE($A346),'changes1_based on steps'!B$1:B$400,0)),B$2,)</f>
        <v>0</v>
      </c>
      <c r="C346" s="155">
        <f ca="1">IF(ISNUMBER(MATCH(DATEVALUE($A346),'changes1_based on steps'!C$1:C$400,0)),C$2,)</f>
        <v>0</v>
      </c>
      <c r="D346" s="155">
        <f ca="1">IF(ISNUMBER(MATCH(DATEVALUE($A346),'changes1_based on steps'!D$1:D$400,0)),D$2,)</f>
        <v>0</v>
      </c>
      <c r="E346" s="155">
        <f ca="1">IF(ISNUMBER(MATCH(DATEVALUE($A346),'changes1_based on steps'!E$1:E$400,0)),E$2,)</f>
        <v>0</v>
      </c>
      <c r="F346" s="155">
        <f ca="1">IF(ISNUMBER(MATCH(DATEVALUE($A346),'changes1_based on steps'!F$1:F$400,0)),F$2,)</f>
        <v>0</v>
      </c>
      <c r="G346" s="155">
        <f ca="1">IF(ISNUMBER(MATCH(DATEVALUE($A346),'changes1_based on steps'!G$1:G$400,0)),G$2,)</f>
        <v>0</v>
      </c>
      <c r="H346" s="155">
        <f ca="1">IF(ISNUMBER(MATCH(DATEVALUE($A346),'changes1_based on steps'!H$1:H$400,0)),H$2,)</f>
        <v>0</v>
      </c>
      <c r="I346" s="155">
        <f ca="1">IF(ISNUMBER(MATCH(DATEVALUE($A346),'changes1_based on steps'!I$1:I$400,0)),I$2,)</f>
        <v>0</v>
      </c>
      <c r="J346" s="155">
        <f ca="1">IF(ISNUMBER(MATCH(DATEVALUE($A346),'changes1_based on steps'!J$1:J$400,0)),J$2,)</f>
        <v>0</v>
      </c>
      <c r="K346" s="155">
        <f ca="1">IF(ISNUMBER(MATCH(DATEVALUE($A346),'changes1_based on steps'!K$1:K$400,0)),K$2,)</f>
        <v>0</v>
      </c>
      <c r="L346" s="155">
        <f ca="1">IF(ISNUMBER(MATCH(DATEVALUE($A346),'changes1_based on steps'!L$1:L$400,0)),L$2,)</f>
        <v>0</v>
      </c>
      <c r="M346" s="155">
        <f ca="1">IF(ISNUMBER(MATCH(DATEVALUE($A346),'changes1_based on steps'!M$1:M$400,0)),M$2,)</f>
        <v>0</v>
      </c>
      <c r="N346" s="155">
        <f ca="1">IF(ISNUMBER(MATCH(DATEVALUE($A346),'changes1_based on steps'!N$1:N$400,0)),N$2,)</f>
        <v>0</v>
      </c>
      <c r="O346" s="155">
        <f ca="1">IF(ISNUMBER(MATCH(DATEVALUE($A346),'changes1_based on steps'!O$1:O$400,0)),O$2,)</f>
        <v>0</v>
      </c>
      <c r="P346" s="155">
        <f ca="1">IF(ISNUMBER(MATCH(DATEVALUE($A346),'changes1_based on steps'!P$1:P$400,0)),P$2,)</f>
        <v>0</v>
      </c>
      <c r="Q346" s="155">
        <f ca="1">IF(ISNUMBER(MATCH(DATEVALUE($A346),'changes1_based on steps'!Q$1:Q$400,0)),Q$2,)</f>
        <v>0</v>
      </c>
      <c r="R346" s="155">
        <f ca="1">IF(ISNUMBER(MATCH(DATEVALUE($A346),'changes1_based on steps'!R$1:R$400,0)),R$2,)</f>
        <v>0</v>
      </c>
      <c r="S346" s="155">
        <f ca="1">IF(ISNUMBER(MATCH(DATEVALUE($A346),'changes1_based on steps'!S$1:S$400,0)),S$2,)</f>
        <v>0</v>
      </c>
      <c r="T346" s="155">
        <f ca="1">IF(ISNUMBER(MATCH(DATEVALUE($A346),'changes1_based on steps'!T$1:T$400,0)),T$2,)</f>
        <v>0</v>
      </c>
      <c r="U346" s="155">
        <f ca="1">IF(ISNUMBER(MATCH(DATEVALUE($A346),'changes1_based on steps'!U$1:U$400,0)),U$2,)</f>
        <v>0</v>
      </c>
    </row>
    <row r="347" spans="1:21" x14ac:dyDescent="0.2">
      <c r="A347" s="18" t="str">
        <f t="shared" ca="1" si="5"/>
        <v>2026-01-11</v>
      </c>
      <c r="B347" s="155">
        <f ca="1">IF(ISNUMBER(MATCH(DATEVALUE($A347),'changes1_based on steps'!B$1:B$400,0)),B$2,)</f>
        <v>0</v>
      </c>
      <c r="C347" s="155">
        <f ca="1">IF(ISNUMBER(MATCH(DATEVALUE($A347),'changes1_based on steps'!C$1:C$400,0)),C$2,)</f>
        <v>0</v>
      </c>
      <c r="D347" s="155">
        <f ca="1">IF(ISNUMBER(MATCH(DATEVALUE($A347),'changes1_based on steps'!D$1:D$400,0)),D$2,)</f>
        <v>0</v>
      </c>
      <c r="E347" s="155">
        <f ca="1">IF(ISNUMBER(MATCH(DATEVALUE($A347),'changes1_based on steps'!E$1:E$400,0)),E$2,)</f>
        <v>0</v>
      </c>
      <c r="F347" s="155">
        <f ca="1">IF(ISNUMBER(MATCH(DATEVALUE($A347),'changes1_based on steps'!F$1:F$400,0)),F$2,)</f>
        <v>0</v>
      </c>
      <c r="G347" s="155">
        <f ca="1">IF(ISNUMBER(MATCH(DATEVALUE($A347),'changes1_based on steps'!G$1:G$400,0)),G$2,)</f>
        <v>0</v>
      </c>
      <c r="H347" s="155">
        <f ca="1">IF(ISNUMBER(MATCH(DATEVALUE($A347),'changes1_based on steps'!H$1:H$400,0)),H$2,)</f>
        <v>0</v>
      </c>
      <c r="I347" s="155">
        <f ca="1">IF(ISNUMBER(MATCH(DATEVALUE($A347),'changes1_based on steps'!I$1:I$400,0)),I$2,)</f>
        <v>0</v>
      </c>
      <c r="J347" s="155">
        <f ca="1">IF(ISNUMBER(MATCH(DATEVALUE($A347),'changes1_based on steps'!J$1:J$400,0)),J$2,)</f>
        <v>0</v>
      </c>
      <c r="K347" s="155">
        <f ca="1">IF(ISNUMBER(MATCH(DATEVALUE($A347),'changes1_based on steps'!K$1:K$400,0)),K$2,)</f>
        <v>0</v>
      </c>
      <c r="L347" s="155">
        <f ca="1">IF(ISNUMBER(MATCH(DATEVALUE($A347),'changes1_based on steps'!L$1:L$400,0)),L$2,)</f>
        <v>0</v>
      </c>
      <c r="M347" s="155">
        <f ca="1">IF(ISNUMBER(MATCH(DATEVALUE($A347),'changes1_based on steps'!M$1:M$400,0)),M$2,)</f>
        <v>0</v>
      </c>
      <c r="N347" s="155">
        <f ca="1">IF(ISNUMBER(MATCH(DATEVALUE($A347),'changes1_based on steps'!N$1:N$400,0)),N$2,)</f>
        <v>0</v>
      </c>
      <c r="O347" s="155">
        <f ca="1">IF(ISNUMBER(MATCH(DATEVALUE($A347),'changes1_based on steps'!O$1:O$400,0)),O$2,)</f>
        <v>0</v>
      </c>
      <c r="P347" s="155">
        <f ca="1">IF(ISNUMBER(MATCH(DATEVALUE($A347),'changes1_based on steps'!P$1:P$400,0)),P$2,)</f>
        <v>0</v>
      </c>
      <c r="Q347" s="155">
        <f ca="1">IF(ISNUMBER(MATCH(DATEVALUE($A347),'changes1_based on steps'!Q$1:Q$400,0)),Q$2,)</f>
        <v>0</v>
      </c>
      <c r="R347" s="155">
        <f ca="1">IF(ISNUMBER(MATCH(DATEVALUE($A347),'changes1_based on steps'!R$1:R$400,0)),R$2,)</f>
        <v>0</v>
      </c>
      <c r="S347" s="155">
        <f ca="1">IF(ISNUMBER(MATCH(DATEVALUE($A347),'changes1_based on steps'!S$1:S$400,0)),S$2,)</f>
        <v>0</v>
      </c>
      <c r="T347" s="155">
        <f ca="1">IF(ISNUMBER(MATCH(DATEVALUE($A347),'changes1_based on steps'!T$1:T$400,0)),T$2,)</f>
        <v>0</v>
      </c>
      <c r="U347" s="155">
        <f ca="1">IF(ISNUMBER(MATCH(DATEVALUE($A347),'changes1_based on steps'!U$1:U$400,0)),U$2,)</f>
        <v>0</v>
      </c>
    </row>
    <row r="348" spans="1:21" x14ac:dyDescent="0.2">
      <c r="A348" s="18" t="str">
        <f t="shared" ca="1" si="5"/>
        <v>2026-01-12</v>
      </c>
      <c r="B348" s="155">
        <f ca="1">IF(ISNUMBER(MATCH(DATEVALUE($A348),'changes1_based on steps'!B$1:B$400,0)),B$2,)</f>
        <v>0</v>
      </c>
      <c r="C348" s="155">
        <f ca="1">IF(ISNUMBER(MATCH(DATEVALUE($A348),'changes1_based on steps'!C$1:C$400,0)),C$2,)</f>
        <v>0</v>
      </c>
      <c r="D348" s="155">
        <f ca="1">IF(ISNUMBER(MATCH(DATEVALUE($A348),'changes1_based on steps'!D$1:D$400,0)),D$2,)</f>
        <v>0</v>
      </c>
      <c r="E348" s="155">
        <f ca="1">IF(ISNUMBER(MATCH(DATEVALUE($A348),'changes1_based on steps'!E$1:E$400,0)),E$2,)</f>
        <v>0</v>
      </c>
      <c r="F348" s="155">
        <f ca="1">IF(ISNUMBER(MATCH(DATEVALUE($A348),'changes1_based on steps'!F$1:F$400,0)),F$2,)</f>
        <v>0</v>
      </c>
      <c r="G348" s="155">
        <f ca="1">IF(ISNUMBER(MATCH(DATEVALUE($A348),'changes1_based on steps'!G$1:G$400,0)),G$2,)</f>
        <v>0</v>
      </c>
      <c r="H348" s="155">
        <f ca="1">IF(ISNUMBER(MATCH(DATEVALUE($A348),'changes1_based on steps'!H$1:H$400,0)),H$2,)</f>
        <v>0</v>
      </c>
      <c r="I348" s="155">
        <f ca="1">IF(ISNUMBER(MATCH(DATEVALUE($A348),'changes1_based on steps'!I$1:I$400,0)),I$2,)</f>
        <v>0</v>
      </c>
      <c r="J348" s="155">
        <f ca="1">IF(ISNUMBER(MATCH(DATEVALUE($A348),'changes1_based on steps'!J$1:J$400,0)),J$2,)</f>
        <v>0</v>
      </c>
      <c r="K348" s="155">
        <f ca="1">IF(ISNUMBER(MATCH(DATEVALUE($A348),'changes1_based on steps'!K$1:K$400,0)),K$2,)</f>
        <v>0</v>
      </c>
      <c r="L348" s="155">
        <f ca="1">IF(ISNUMBER(MATCH(DATEVALUE($A348),'changes1_based on steps'!L$1:L$400,0)),L$2,)</f>
        <v>0</v>
      </c>
      <c r="M348" s="155">
        <f ca="1">IF(ISNUMBER(MATCH(DATEVALUE($A348),'changes1_based on steps'!M$1:M$400,0)),M$2,)</f>
        <v>0</v>
      </c>
      <c r="N348" s="155">
        <f ca="1">IF(ISNUMBER(MATCH(DATEVALUE($A348),'changes1_based on steps'!N$1:N$400,0)),N$2,)</f>
        <v>0</v>
      </c>
      <c r="O348" s="155">
        <f ca="1">IF(ISNUMBER(MATCH(DATEVALUE($A348),'changes1_based on steps'!O$1:O$400,0)),O$2,)</f>
        <v>0</v>
      </c>
      <c r="P348" s="155">
        <f ca="1">IF(ISNUMBER(MATCH(DATEVALUE($A348),'changes1_based on steps'!P$1:P$400,0)),P$2,)</f>
        <v>0</v>
      </c>
      <c r="Q348" s="155">
        <f ca="1">IF(ISNUMBER(MATCH(DATEVALUE($A348),'changes1_based on steps'!Q$1:Q$400,0)),Q$2,)</f>
        <v>0</v>
      </c>
      <c r="R348" s="155">
        <f ca="1">IF(ISNUMBER(MATCH(DATEVALUE($A348),'changes1_based on steps'!R$1:R$400,0)),R$2,)</f>
        <v>0</v>
      </c>
      <c r="S348" s="155">
        <f ca="1">IF(ISNUMBER(MATCH(DATEVALUE($A348),'changes1_based on steps'!S$1:S$400,0)),S$2,)</f>
        <v>0</v>
      </c>
      <c r="T348" s="155">
        <f ca="1">IF(ISNUMBER(MATCH(DATEVALUE($A348),'changes1_based on steps'!T$1:T$400,0)),T$2,)</f>
        <v>0</v>
      </c>
      <c r="U348" s="155">
        <f ca="1">IF(ISNUMBER(MATCH(DATEVALUE($A348),'changes1_based on steps'!U$1:U$400,0)),U$2,)</f>
        <v>0</v>
      </c>
    </row>
    <row r="349" spans="1:21" x14ac:dyDescent="0.2">
      <c r="A349" s="18" t="str">
        <f t="shared" ca="1" si="5"/>
        <v>2026-01-13</v>
      </c>
      <c r="B349" s="155">
        <f ca="1">IF(ISNUMBER(MATCH(DATEVALUE($A349),'changes1_based on steps'!B$1:B$400,0)),B$2,)</f>
        <v>0</v>
      </c>
      <c r="C349" s="155">
        <f ca="1">IF(ISNUMBER(MATCH(DATEVALUE($A349),'changes1_based on steps'!C$1:C$400,0)),C$2,)</f>
        <v>0</v>
      </c>
      <c r="D349" s="155">
        <f ca="1">IF(ISNUMBER(MATCH(DATEVALUE($A349),'changes1_based on steps'!D$1:D$400,0)),D$2,)</f>
        <v>0</v>
      </c>
      <c r="E349" s="155">
        <f ca="1">IF(ISNUMBER(MATCH(DATEVALUE($A349),'changes1_based on steps'!E$1:E$400,0)),E$2,)</f>
        <v>0</v>
      </c>
      <c r="F349" s="155">
        <f ca="1">IF(ISNUMBER(MATCH(DATEVALUE($A349),'changes1_based on steps'!F$1:F$400,0)),F$2,)</f>
        <v>0</v>
      </c>
      <c r="G349" s="155">
        <f ca="1">IF(ISNUMBER(MATCH(DATEVALUE($A349),'changes1_based on steps'!G$1:G$400,0)),G$2,)</f>
        <v>0</v>
      </c>
      <c r="H349" s="155">
        <f ca="1">IF(ISNUMBER(MATCH(DATEVALUE($A349),'changes1_based on steps'!H$1:H$400,0)),H$2,)</f>
        <v>0</v>
      </c>
      <c r="I349" s="155">
        <f ca="1">IF(ISNUMBER(MATCH(DATEVALUE($A349),'changes1_based on steps'!I$1:I$400,0)),I$2,)</f>
        <v>0</v>
      </c>
      <c r="J349" s="155">
        <f ca="1">IF(ISNUMBER(MATCH(DATEVALUE($A349),'changes1_based on steps'!J$1:J$400,0)),J$2,)</f>
        <v>0</v>
      </c>
      <c r="K349" s="155">
        <f ca="1">IF(ISNUMBER(MATCH(DATEVALUE($A349),'changes1_based on steps'!K$1:K$400,0)),K$2,)</f>
        <v>0</v>
      </c>
      <c r="L349" s="155">
        <f ca="1">IF(ISNUMBER(MATCH(DATEVALUE($A349),'changes1_based on steps'!L$1:L$400,0)),L$2,)</f>
        <v>0</v>
      </c>
      <c r="M349" s="155">
        <f ca="1">IF(ISNUMBER(MATCH(DATEVALUE($A349),'changes1_based on steps'!M$1:M$400,0)),M$2,)</f>
        <v>0</v>
      </c>
      <c r="N349" s="155">
        <f ca="1">IF(ISNUMBER(MATCH(DATEVALUE($A349),'changes1_based on steps'!N$1:N$400,0)),N$2,)</f>
        <v>0</v>
      </c>
      <c r="O349" s="155">
        <f ca="1">IF(ISNUMBER(MATCH(DATEVALUE($A349),'changes1_based on steps'!O$1:O$400,0)),O$2,)</f>
        <v>0</v>
      </c>
      <c r="P349" s="155">
        <f ca="1">IF(ISNUMBER(MATCH(DATEVALUE($A349),'changes1_based on steps'!P$1:P$400,0)),P$2,)</f>
        <v>0</v>
      </c>
      <c r="Q349" s="155">
        <f ca="1">IF(ISNUMBER(MATCH(DATEVALUE($A349),'changes1_based on steps'!Q$1:Q$400,0)),Q$2,)</f>
        <v>0</v>
      </c>
      <c r="R349" s="155">
        <f ca="1">IF(ISNUMBER(MATCH(DATEVALUE($A349),'changes1_based on steps'!R$1:R$400,0)),R$2,)</f>
        <v>0</v>
      </c>
      <c r="S349" s="155">
        <f ca="1">IF(ISNUMBER(MATCH(DATEVALUE($A349),'changes1_based on steps'!S$1:S$400,0)),S$2,)</f>
        <v>0</v>
      </c>
      <c r="T349" s="155">
        <f ca="1">IF(ISNUMBER(MATCH(DATEVALUE($A349),'changes1_based on steps'!T$1:T$400,0)),T$2,)</f>
        <v>0</v>
      </c>
      <c r="U349" s="155">
        <f ca="1">IF(ISNUMBER(MATCH(DATEVALUE($A349),'changes1_based on steps'!U$1:U$400,0)),U$2,)</f>
        <v>0</v>
      </c>
    </row>
    <row r="350" spans="1:21" x14ac:dyDescent="0.2">
      <c r="A350" s="18" t="str">
        <f t="shared" ca="1" si="5"/>
        <v>2026-01-14</v>
      </c>
      <c r="B350" s="155">
        <f ca="1">IF(ISNUMBER(MATCH(DATEVALUE($A350),'changes1_based on steps'!B$1:B$400,0)),B$2,)</f>
        <v>100</v>
      </c>
      <c r="C350" s="155">
        <f ca="1">IF(ISNUMBER(MATCH(DATEVALUE($A350),'changes1_based on steps'!C$1:C$400,0)),C$2,)</f>
        <v>0</v>
      </c>
      <c r="D350" s="155">
        <f ca="1">IF(ISNUMBER(MATCH(DATEVALUE($A350),'changes1_based on steps'!D$1:D$400,0)),D$2,)</f>
        <v>0</v>
      </c>
      <c r="E350" s="155">
        <f ca="1">IF(ISNUMBER(MATCH(DATEVALUE($A350),'changes1_based on steps'!E$1:E$400,0)),E$2,)</f>
        <v>0</v>
      </c>
      <c r="F350" s="155">
        <f ca="1">IF(ISNUMBER(MATCH(DATEVALUE($A350),'changes1_based on steps'!F$1:F$400,0)),F$2,)</f>
        <v>0</v>
      </c>
      <c r="G350" s="155">
        <f ca="1">IF(ISNUMBER(MATCH(DATEVALUE($A350),'changes1_based on steps'!G$1:G$400,0)),G$2,)</f>
        <v>0</v>
      </c>
      <c r="H350" s="155">
        <f ca="1">IF(ISNUMBER(MATCH(DATEVALUE($A350),'changes1_based on steps'!H$1:H$400,0)),H$2,)</f>
        <v>0</v>
      </c>
      <c r="I350" s="155">
        <f ca="1">IF(ISNUMBER(MATCH(DATEVALUE($A350),'changes1_based on steps'!I$1:I$400,0)),I$2,)</f>
        <v>0</v>
      </c>
      <c r="J350" s="155">
        <f ca="1">IF(ISNUMBER(MATCH(DATEVALUE($A350),'changes1_based on steps'!J$1:J$400,0)),J$2,)</f>
        <v>0</v>
      </c>
      <c r="K350" s="155">
        <f ca="1">IF(ISNUMBER(MATCH(DATEVALUE($A350),'changes1_based on steps'!K$1:K$400,0)),K$2,)</f>
        <v>0</v>
      </c>
      <c r="L350" s="155">
        <f ca="1">IF(ISNUMBER(MATCH(DATEVALUE($A350),'changes1_based on steps'!L$1:L$400,0)),L$2,)</f>
        <v>0</v>
      </c>
      <c r="M350" s="155">
        <f ca="1">IF(ISNUMBER(MATCH(DATEVALUE($A350),'changes1_based on steps'!M$1:M$400,0)),M$2,)</f>
        <v>0</v>
      </c>
      <c r="N350" s="155">
        <f ca="1">IF(ISNUMBER(MATCH(DATEVALUE($A350),'changes1_based on steps'!N$1:N$400,0)),N$2,)</f>
        <v>0</v>
      </c>
      <c r="O350" s="155">
        <f ca="1">IF(ISNUMBER(MATCH(DATEVALUE($A350),'changes1_based on steps'!O$1:O$400,0)),O$2,)</f>
        <v>0</v>
      </c>
      <c r="P350" s="155">
        <f ca="1">IF(ISNUMBER(MATCH(DATEVALUE($A350),'changes1_based on steps'!P$1:P$400,0)),P$2,)</f>
        <v>0</v>
      </c>
      <c r="Q350" s="155">
        <f ca="1">IF(ISNUMBER(MATCH(DATEVALUE($A350),'changes1_based on steps'!Q$1:Q$400,0)),Q$2,)</f>
        <v>0</v>
      </c>
      <c r="R350" s="155">
        <f ca="1">IF(ISNUMBER(MATCH(DATEVALUE($A350),'changes1_based on steps'!R$1:R$400,0)),R$2,)</f>
        <v>0</v>
      </c>
      <c r="S350" s="155">
        <f ca="1">IF(ISNUMBER(MATCH(DATEVALUE($A350),'changes1_based on steps'!S$1:S$400,0)),S$2,)</f>
        <v>0</v>
      </c>
      <c r="T350" s="155">
        <f ca="1">IF(ISNUMBER(MATCH(DATEVALUE($A350),'changes1_based on steps'!T$1:T$400,0)),T$2,)</f>
        <v>0</v>
      </c>
      <c r="U350" s="155">
        <f ca="1">IF(ISNUMBER(MATCH(DATEVALUE($A350),'changes1_based on steps'!U$1:U$400,0)),U$2,)</f>
        <v>0</v>
      </c>
    </row>
    <row r="351" spans="1:21" x14ac:dyDescent="0.2">
      <c r="A351" s="18" t="str">
        <f t="shared" ca="1" si="5"/>
        <v>2026-01-15</v>
      </c>
      <c r="B351" s="155">
        <f ca="1">IF(ISNUMBER(MATCH(DATEVALUE($A351),'changes1_based on steps'!B$1:B$400,0)),B$2,)</f>
        <v>0</v>
      </c>
      <c r="C351" s="155">
        <f ca="1">IF(ISNUMBER(MATCH(DATEVALUE($A351),'changes1_based on steps'!C$1:C$400,0)),C$2,)</f>
        <v>0</v>
      </c>
      <c r="D351" s="155">
        <f ca="1">IF(ISNUMBER(MATCH(DATEVALUE($A351),'changes1_based on steps'!D$1:D$400,0)),D$2,)</f>
        <v>0</v>
      </c>
      <c r="E351" s="155">
        <f ca="1">IF(ISNUMBER(MATCH(DATEVALUE($A351),'changes1_based on steps'!E$1:E$400,0)),E$2,)</f>
        <v>0</v>
      </c>
      <c r="F351" s="155">
        <f ca="1">IF(ISNUMBER(MATCH(DATEVALUE($A351),'changes1_based on steps'!F$1:F$400,0)),F$2,)</f>
        <v>0</v>
      </c>
      <c r="G351" s="155">
        <f ca="1">IF(ISNUMBER(MATCH(DATEVALUE($A351),'changes1_based on steps'!G$1:G$400,0)),G$2,)</f>
        <v>0</v>
      </c>
      <c r="H351" s="155">
        <f ca="1">IF(ISNUMBER(MATCH(DATEVALUE($A351),'changes1_based on steps'!H$1:H$400,0)),H$2,)</f>
        <v>0</v>
      </c>
      <c r="I351" s="155">
        <f ca="1">IF(ISNUMBER(MATCH(DATEVALUE($A351),'changes1_based on steps'!I$1:I$400,0)),I$2,)</f>
        <v>0</v>
      </c>
      <c r="J351" s="155">
        <f ca="1">IF(ISNUMBER(MATCH(DATEVALUE($A351),'changes1_based on steps'!J$1:J$400,0)),J$2,)</f>
        <v>0</v>
      </c>
      <c r="K351" s="155">
        <f ca="1">IF(ISNUMBER(MATCH(DATEVALUE($A351),'changes1_based on steps'!K$1:K$400,0)),K$2,)</f>
        <v>0</v>
      </c>
      <c r="L351" s="155">
        <f ca="1">IF(ISNUMBER(MATCH(DATEVALUE($A351),'changes1_based on steps'!L$1:L$400,0)),L$2,)</f>
        <v>0</v>
      </c>
      <c r="M351" s="155">
        <f ca="1">IF(ISNUMBER(MATCH(DATEVALUE($A351),'changes1_based on steps'!M$1:M$400,0)),M$2,)</f>
        <v>0</v>
      </c>
      <c r="N351" s="155">
        <f ca="1">IF(ISNUMBER(MATCH(DATEVALUE($A351),'changes1_based on steps'!N$1:N$400,0)),N$2,)</f>
        <v>0</v>
      </c>
      <c r="O351" s="155">
        <f ca="1">IF(ISNUMBER(MATCH(DATEVALUE($A351),'changes1_based on steps'!O$1:O$400,0)),O$2,)</f>
        <v>0</v>
      </c>
      <c r="P351" s="155">
        <f ca="1">IF(ISNUMBER(MATCH(DATEVALUE($A351),'changes1_based on steps'!P$1:P$400,0)),P$2,)</f>
        <v>0</v>
      </c>
      <c r="Q351" s="155">
        <f ca="1">IF(ISNUMBER(MATCH(DATEVALUE($A351),'changes1_based on steps'!Q$1:Q$400,0)),Q$2,)</f>
        <v>0</v>
      </c>
      <c r="R351" s="155">
        <f ca="1">IF(ISNUMBER(MATCH(DATEVALUE($A351),'changes1_based on steps'!R$1:R$400,0)),R$2,)</f>
        <v>0</v>
      </c>
      <c r="S351" s="155">
        <f ca="1">IF(ISNUMBER(MATCH(DATEVALUE($A351),'changes1_based on steps'!S$1:S$400,0)),S$2,)</f>
        <v>0</v>
      </c>
      <c r="T351" s="155">
        <f ca="1">IF(ISNUMBER(MATCH(DATEVALUE($A351),'changes1_based on steps'!T$1:T$400,0)),T$2,)</f>
        <v>0</v>
      </c>
      <c r="U351" s="155">
        <f ca="1">IF(ISNUMBER(MATCH(DATEVALUE($A351),'changes1_based on steps'!U$1:U$400,0)),U$2,)</f>
        <v>0</v>
      </c>
    </row>
    <row r="352" spans="1:21" x14ac:dyDescent="0.2">
      <c r="A352" s="18" t="str">
        <f t="shared" ca="1" si="5"/>
        <v>2026-01-16</v>
      </c>
      <c r="B352" s="155">
        <f ca="1">IF(ISNUMBER(MATCH(DATEVALUE($A352),'changes1_based on steps'!B$1:B$400,0)),B$2,)</f>
        <v>0</v>
      </c>
      <c r="C352" s="155">
        <f ca="1">IF(ISNUMBER(MATCH(DATEVALUE($A352),'changes1_based on steps'!C$1:C$400,0)),C$2,)</f>
        <v>0</v>
      </c>
      <c r="D352" s="155">
        <f ca="1">IF(ISNUMBER(MATCH(DATEVALUE($A352),'changes1_based on steps'!D$1:D$400,0)),D$2,)</f>
        <v>0</v>
      </c>
      <c r="E352" s="155">
        <f ca="1">IF(ISNUMBER(MATCH(DATEVALUE($A352),'changes1_based on steps'!E$1:E$400,0)),E$2,)</f>
        <v>0</v>
      </c>
      <c r="F352" s="155">
        <f ca="1">IF(ISNUMBER(MATCH(DATEVALUE($A352),'changes1_based on steps'!F$1:F$400,0)),F$2,)</f>
        <v>0</v>
      </c>
      <c r="G352" s="155">
        <f ca="1">IF(ISNUMBER(MATCH(DATEVALUE($A352),'changes1_based on steps'!G$1:G$400,0)),G$2,)</f>
        <v>0</v>
      </c>
      <c r="H352" s="155">
        <f ca="1">IF(ISNUMBER(MATCH(DATEVALUE($A352),'changes1_based on steps'!H$1:H$400,0)),H$2,)</f>
        <v>0</v>
      </c>
      <c r="I352" s="155">
        <f ca="1">IF(ISNUMBER(MATCH(DATEVALUE($A352),'changes1_based on steps'!I$1:I$400,0)),I$2,)</f>
        <v>0</v>
      </c>
      <c r="J352" s="155">
        <f ca="1">IF(ISNUMBER(MATCH(DATEVALUE($A352),'changes1_based on steps'!J$1:J$400,0)),J$2,)</f>
        <v>0</v>
      </c>
      <c r="K352" s="155">
        <f ca="1">IF(ISNUMBER(MATCH(DATEVALUE($A352),'changes1_based on steps'!K$1:K$400,0)),K$2,)</f>
        <v>0</v>
      </c>
      <c r="L352" s="155">
        <f ca="1">IF(ISNUMBER(MATCH(DATEVALUE($A352),'changes1_based on steps'!L$1:L$400,0)),L$2,)</f>
        <v>0</v>
      </c>
      <c r="M352" s="155">
        <f ca="1">IF(ISNUMBER(MATCH(DATEVALUE($A352),'changes1_based on steps'!M$1:M$400,0)),M$2,)</f>
        <v>0</v>
      </c>
      <c r="N352" s="155">
        <f ca="1">IF(ISNUMBER(MATCH(DATEVALUE($A352),'changes1_based on steps'!N$1:N$400,0)),N$2,)</f>
        <v>0</v>
      </c>
      <c r="O352" s="155">
        <f ca="1">IF(ISNUMBER(MATCH(DATEVALUE($A352),'changes1_based on steps'!O$1:O$400,0)),O$2,)</f>
        <v>0</v>
      </c>
      <c r="P352" s="155">
        <f ca="1">IF(ISNUMBER(MATCH(DATEVALUE($A352),'changes1_based on steps'!P$1:P$400,0)),P$2,)</f>
        <v>0</v>
      </c>
      <c r="Q352" s="155">
        <f ca="1">IF(ISNUMBER(MATCH(DATEVALUE($A352),'changes1_based on steps'!Q$1:Q$400,0)),Q$2,)</f>
        <v>0</v>
      </c>
      <c r="R352" s="155">
        <f ca="1">IF(ISNUMBER(MATCH(DATEVALUE($A352),'changes1_based on steps'!R$1:R$400,0)),R$2,)</f>
        <v>0</v>
      </c>
      <c r="S352" s="155">
        <f ca="1">IF(ISNUMBER(MATCH(DATEVALUE($A352),'changes1_based on steps'!S$1:S$400,0)),S$2,)</f>
        <v>0</v>
      </c>
      <c r="T352" s="155">
        <f ca="1">IF(ISNUMBER(MATCH(DATEVALUE($A352),'changes1_based on steps'!T$1:T$400,0)),T$2,)</f>
        <v>0</v>
      </c>
      <c r="U352" s="155">
        <f ca="1">IF(ISNUMBER(MATCH(DATEVALUE($A352),'changes1_based on steps'!U$1:U$400,0)),U$2,)</f>
        <v>0</v>
      </c>
    </row>
    <row r="353" spans="1:21" x14ac:dyDescent="0.2">
      <c r="A353" s="18" t="str">
        <f t="shared" ca="1" si="5"/>
        <v>2026-01-17</v>
      </c>
      <c r="B353" s="155">
        <f ca="1">IF(ISNUMBER(MATCH(DATEVALUE($A353),'changes1_based on steps'!B$1:B$400,0)),B$2,)</f>
        <v>0</v>
      </c>
      <c r="C353" s="155">
        <f ca="1">IF(ISNUMBER(MATCH(DATEVALUE($A353),'changes1_based on steps'!C$1:C$400,0)),C$2,)</f>
        <v>0</v>
      </c>
      <c r="D353" s="155">
        <f ca="1">IF(ISNUMBER(MATCH(DATEVALUE($A353),'changes1_based on steps'!D$1:D$400,0)),D$2,)</f>
        <v>0</v>
      </c>
      <c r="E353" s="155">
        <f ca="1">IF(ISNUMBER(MATCH(DATEVALUE($A353),'changes1_based on steps'!E$1:E$400,0)),E$2,)</f>
        <v>0</v>
      </c>
      <c r="F353" s="155">
        <f ca="1">IF(ISNUMBER(MATCH(DATEVALUE($A353),'changes1_based on steps'!F$1:F$400,0)),F$2,)</f>
        <v>0</v>
      </c>
      <c r="G353" s="155">
        <f ca="1">IF(ISNUMBER(MATCH(DATEVALUE($A353),'changes1_based on steps'!G$1:G$400,0)),G$2,)</f>
        <v>0</v>
      </c>
      <c r="H353" s="155">
        <f ca="1">IF(ISNUMBER(MATCH(DATEVALUE($A353),'changes1_based on steps'!H$1:H$400,0)),H$2,)</f>
        <v>0</v>
      </c>
      <c r="I353" s="155">
        <f ca="1">IF(ISNUMBER(MATCH(DATEVALUE($A353),'changes1_based on steps'!I$1:I$400,0)),I$2,)</f>
        <v>0</v>
      </c>
      <c r="J353" s="155">
        <f ca="1">IF(ISNUMBER(MATCH(DATEVALUE($A353),'changes1_based on steps'!J$1:J$400,0)),J$2,)</f>
        <v>0</v>
      </c>
      <c r="K353" s="155">
        <f ca="1">IF(ISNUMBER(MATCH(DATEVALUE($A353),'changes1_based on steps'!K$1:K$400,0)),K$2,)</f>
        <v>0</v>
      </c>
      <c r="L353" s="155">
        <f ca="1">IF(ISNUMBER(MATCH(DATEVALUE($A353),'changes1_based on steps'!L$1:L$400,0)),L$2,)</f>
        <v>0</v>
      </c>
      <c r="M353" s="155">
        <f ca="1">IF(ISNUMBER(MATCH(DATEVALUE($A353),'changes1_based on steps'!M$1:M$400,0)),M$2,)</f>
        <v>0</v>
      </c>
      <c r="N353" s="155">
        <f ca="1">IF(ISNUMBER(MATCH(DATEVALUE($A353),'changes1_based on steps'!N$1:N$400,0)),N$2,)</f>
        <v>0</v>
      </c>
      <c r="O353" s="155">
        <f ca="1">IF(ISNUMBER(MATCH(DATEVALUE($A353),'changes1_based on steps'!O$1:O$400,0)),O$2,)</f>
        <v>0</v>
      </c>
      <c r="P353" s="155">
        <f ca="1">IF(ISNUMBER(MATCH(DATEVALUE($A353),'changes1_based on steps'!P$1:P$400,0)),P$2,)</f>
        <v>0</v>
      </c>
      <c r="Q353" s="155">
        <f ca="1">IF(ISNUMBER(MATCH(DATEVALUE($A353),'changes1_based on steps'!Q$1:Q$400,0)),Q$2,)</f>
        <v>0</v>
      </c>
      <c r="R353" s="155">
        <f ca="1">IF(ISNUMBER(MATCH(DATEVALUE($A353),'changes1_based on steps'!R$1:R$400,0)),R$2,)</f>
        <v>0</v>
      </c>
      <c r="S353" s="155">
        <f ca="1">IF(ISNUMBER(MATCH(DATEVALUE($A353),'changes1_based on steps'!S$1:S$400,0)),S$2,)</f>
        <v>0</v>
      </c>
      <c r="T353" s="155">
        <f ca="1">IF(ISNUMBER(MATCH(DATEVALUE($A353),'changes1_based on steps'!T$1:T$400,0)),T$2,)</f>
        <v>0</v>
      </c>
      <c r="U353" s="155">
        <f ca="1">IF(ISNUMBER(MATCH(DATEVALUE($A353),'changes1_based on steps'!U$1:U$400,0)),U$2,)</f>
        <v>0</v>
      </c>
    </row>
    <row r="354" spans="1:21" x14ac:dyDescent="0.2">
      <c r="A354" s="18" t="str">
        <f t="shared" ca="1" si="5"/>
        <v>2026-01-18</v>
      </c>
      <c r="B354" s="155">
        <f ca="1">IF(ISNUMBER(MATCH(DATEVALUE($A354),'changes1_based on steps'!B$1:B$400,0)),B$2,)</f>
        <v>0</v>
      </c>
      <c r="C354" s="155">
        <f ca="1">IF(ISNUMBER(MATCH(DATEVALUE($A354),'changes1_based on steps'!C$1:C$400,0)),C$2,)</f>
        <v>0</v>
      </c>
      <c r="D354" s="155">
        <f ca="1">IF(ISNUMBER(MATCH(DATEVALUE($A354),'changes1_based on steps'!D$1:D$400,0)),D$2,)</f>
        <v>0</v>
      </c>
      <c r="E354" s="155">
        <f ca="1">IF(ISNUMBER(MATCH(DATEVALUE($A354),'changes1_based on steps'!E$1:E$400,0)),E$2,)</f>
        <v>0</v>
      </c>
      <c r="F354" s="155">
        <f ca="1">IF(ISNUMBER(MATCH(DATEVALUE($A354),'changes1_based on steps'!F$1:F$400,0)),F$2,)</f>
        <v>0</v>
      </c>
      <c r="G354" s="155">
        <f ca="1">IF(ISNUMBER(MATCH(DATEVALUE($A354),'changes1_based on steps'!G$1:G$400,0)),G$2,)</f>
        <v>0</v>
      </c>
      <c r="H354" s="155">
        <f ca="1">IF(ISNUMBER(MATCH(DATEVALUE($A354),'changes1_based on steps'!H$1:H$400,0)),H$2,)</f>
        <v>0</v>
      </c>
      <c r="I354" s="155">
        <f ca="1">IF(ISNUMBER(MATCH(DATEVALUE($A354),'changes1_based on steps'!I$1:I$400,0)),I$2,)</f>
        <v>0</v>
      </c>
      <c r="J354" s="155">
        <f ca="1">IF(ISNUMBER(MATCH(DATEVALUE($A354),'changes1_based on steps'!J$1:J$400,0)),J$2,)</f>
        <v>0</v>
      </c>
      <c r="K354" s="155">
        <f ca="1">IF(ISNUMBER(MATCH(DATEVALUE($A354),'changes1_based on steps'!K$1:K$400,0)),K$2,)</f>
        <v>0</v>
      </c>
      <c r="L354" s="155">
        <f ca="1">IF(ISNUMBER(MATCH(DATEVALUE($A354),'changes1_based on steps'!L$1:L$400,0)),L$2,)</f>
        <v>0</v>
      </c>
      <c r="M354" s="155">
        <f ca="1">IF(ISNUMBER(MATCH(DATEVALUE($A354),'changes1_based on steps'!M$1:M$400,0)),M$2,)</f>
        <v>0</v>
      </c>
      <c r="N354" s="155">
        <f ca="1">IF(ISNUMBER(MATCH(DATEVALUE($A354),'changes1_based on steps'!N$1:N$400,0)),N$2,)</f>
        <v>0</v>
      </c>
      <c r="O354" s="155">
        <f ca="1">IF(ISNUMBER(MATCH(DATEVALUE($A354),'changes1_based on steps'!O$1:O$400,0)),O$2,)</f>
        <v>0</v>
      </c>
      <c r="P354" s="155">
        <f ca="1">IF(ISNUMBER(MATCH(DATEVALUE($A354),'changes1_based on steps'!P$1:P$400,0)),P$2,)</f>
        <v>0</v>
      </c>
      <c r="Q354" s="155">
        <f ca="1">IF(ISNUMBER(MATCH(DATEVALUE($A354),'changes1_based on steps'!Q$1:Q$400,0)),Q$2,)</f>
        <v>0</v>
      </c>
      <c r="R354" s="155">
        <f ca="1">IF(ISNUMBER(MATCH(DATEVALUE($A354),'changes1_based on steps'!R$1:R$400,0)),R$2,)</f>
        <v>0</v>
      </c>
      <c r="S354" s="155">
        <f ca="1">IF(ISNUMBER(MATCH(DATEVALUE($A354),'changes1_based on steps'!S$1:S$400,0)),S$2,)</f>
        <v>0</v>
      </c>
      <c r="T354" s="155">
        <f ca="1">IF(ISNUMBER(MATCH(DATEVALUE($A354),'changes1_based on steps'!T$1:T$400,0)),T$2,)</f>
        <v>0</v>
      </c>
      <c r="U354" s="155">
        <f ca="1">IF(ISNUMBER(MATCH(DATEVALUE($A354),'changes1_based on steps'!U$1:U$400,0)),U$2,)</f>
        <v>0</v>
      </c>
    </row>
    <row r="355" spans="1:21" x14ac:dyDescent="0.2">
      <c r="A355" s="18" t="str">
        <f t="shared" ca="1" si="5"/>
        <v>2026-01-19</v>
      </c>
      <c r="B355" s="155">
        <f ca="1">IF(ISNUMBER(MATCH(DATEVALUE($A355),'changes1_based on steps'!B$1:B$400,0)),B$2,)</f>
        <v>0</v>
      </c>
      <c r="C355" s="155">
        <f ca="1">IF(ISNUMBER(MATCH(DATEVALUE($A355),'changes1_based on steps'!C$1:C$400,0)),C$2,)</f>
        <v>0</v>
      </c>
      <c r="D355" s="155">
        <f ca="1">IF(ISNUMBER(MATCH(DATEVALUE($A355),'changes1_based on steps'!D$1:D$400,0)),D$2,)</f>
        <v>0</v>
      </c>
      <c r="E355" s="155">
        <f ca="1">IF(ISNUMBER(MATCH(DATEVALUE($A355),'changes1_based on steps'!E$1:E$400,0)),E$2,)</f>
        <v>0</v>
      </c>
      <c r="F355" s="155">
        <f ca="1">IF(ISNUMBER(MATCH(DATEVALUE($A355),'changes1_based on steps'!F$1:F$400,0)),F$2,)</f>
        <v>0</v>
      </c>
      <c r="G355" s="155">
        <f ca="1">IF(ISNUMBER(MATCH(DATEVALUE($A355),'changes1_based on steps'!G$1:G$400,0)),G$2,)</f>
        <v>0</v>
      </c>
      <c r="H355" s="155">
        <f ca="1">IF(ISNUMBER(MATCH(DATEVALUE($A355),'changes1_based on steps'!H$1:H$400,0)),H$2,)</f>
        <v>0</v>
      </c>
      <c r="I355" s="155">
        <f ca="1">IF(ISNUMBER(MATCH(DATEVALUE($A355),'changes1_based on steps'!I$1:I$400,0)),I$2,)</f>
        <v>0</v>
      </c>
      <c r="J355" s="155">
        <f ca="1">IF(ISNUMBER(MATCH(DATEVALUE($A355),'changes1_based on steps'!J$1:J$400,0)),J$2,)</f>
        <v>0</v>
      </c>
      <c r="K355" s="155">
        <f ca="1">IF(ISNUMBER(MATCH(DATEVALUE($A355),'changes1_based on steps'!K$1:K$400,0)),K$2,)</f>
        <v>0</v>
      </c>
      <c r="L355" s="155">
        <f ca="1">IF(ISNUMBER(MATCH(DATEVALUE($A355),'changes1_based on steps'!L$1:L$400,0)),L$2,)</f>
        <v>0</v>
      </c>
      <c r="M355" s="155">
        <f ca="1">IF(ISNUMBER(MATCH(DATEVALUE($A355),'changes1_based on steps'!M$1:M$400,0)),M$2,)</f>
        <v>0</v>
      </c>
      <c r="N355" s="155">
        <f ca="1">IF(ISNUMBER(MATCH(DATEVALUE($A355),'changes1_based on steps'!N$1:N$400,0)),N$2,)</f>
        <v>0</v>
      </c>
      <c r="O355" s="155">
        <f ca="1">IF(ISNUMBER(MATCH(DATEVALUE($A355),'changes1_based on steps'!O$1:O$400,0)),O$2,)</f>
        <v>0</v>
      </c>
      <c r="P355" s="155">
        <f ca="1">IF(ISNUMBER(MATCH(DATEVALUE($A355),'changes1_based on steps'!P$1:P$400,0)),P$2,)</f>
        <v>0</v>
      </c>
      <c r="Q355" s="155">
        <f ca="1">IF(ISNUMBER(MATCH(DATEVALUE($A355),'changes1_based on steps'!Q$1:Q$400,0)),Q$2,)</f>
        <v>0</v>
      </c>
      <c r="R355" s="155">
        <f ca="1">IF(ISNUMBER(MATCH(DATEVALUE($A355),'changes1_based on steps'!R$1:R$400,0)),R$2,)</f>
        <v>0</v>
      </c>
      <c r="S355" s="155">
        <f ca="1">IF(ISNUMBER(MATCH(DATEVALUE($A355),'changes1_based on steps'!S$1:S$400,0)),S$2,)</f>
        <v>0</v>
      </c>
      <c r="T355" s="155">
        <f ca="1">IF(ISNUMBER(MATCH(DATEVALUE($A355),'changes1_based on steps'!T$1:T$400,0)),T$2,)</f>
        <v>0</v>
      </c>
      <c r="U355" s="155">
        <f ca="1">IF(ISNUMBER(MATCH(DATEVALUE($A355),'changes1_based on steps'!U$1:U$400,0)),U$2,)</f>
        <v>0</v>
      </c>
    </row>
    <row r="356" spans="1:21" x14ac:dyDescent="0.2">
      <c r="A356" s="18" t="str">
        <f t="shared" ca="1" si="5"/>
        <v>2026-01-20</v>
      </c>
      <c r="B356" s="155">
        <f ca="1">IF(ISNUMBER(MATCH(DATEVALUE($A356),'changes1_based on steps'!B$1:B$400,0)),B$2,)</f>
        <v>0</v>
      </c>
      <c r="C356" s="155">
        <f ca="1">IF(ISNUMBER(MATCH(DATEVALUE($A356),'changes1_based on steps'!C$1:C$400,0)),C$2,)</f>
        <v>0</v>
      </c>
      <c r="D356" s="155">
        <f ca="1">IF(ISNUMBER(MATCH(DATEVALUE($A356),'changes1_based on steps'!D$1:D$400,0)),D$2,)</f>
        <v>0</v>
      </c>
      <c r="E356" s="155">
        <f ca="1">IF(ISNUMBER(MATCH(DATEVALUE($A356),'changes1_based on steps'!E$1:E$400,0)),E$2,)</f>
        <v>0</v>
      </c>
      <c r="F356" s="155">
        <f ca="1">IF(ISNUMBER(MATCH(DATEVALUE($A356),'changes1_based on steps'!F$1:F$400,0)),F$2,)</f>
        <v>0</v>
      </c>
      <c r="G356" s="155">
        <f ca="1">IF(ISNUMBER(MATCH(DATEVALUE($A356),'changes1_based on steps'!G$1:G$400,0)),G$2,)</f>
        <v>0</v>
      </c>
      <c r="H356" s="155">
        <f ca="1">IF(ISNUMBER(MATCH(DATEVALUE($A356),'changes1_based on steps'!H$1:H$400,0)),H$2,)</f>
        <v>0</v>
      </c>
      <c r="I356" s="155">
        <f ca="1">IF(ISNUMBER(MATCH(DATEVALUE($A356),'changes1_based on steps'!I$1:I$400,0)),I$2,)</f>
        <v>0</v>
      </c>
      <c r="J356" s="155">
        <f ca="1">IF(ISNUMBER(MATCH(DATEVALUE($A356),'changes1_based on steps'!J$1:J$400,0)),J$2,)</f>
        <v>0</v>
      </c>
      <c r="K356" s="155">
        <f ca="1">IF(ISNUMBER(MATCH(DATEVALUE($A356),'changes1_based on steps'!K$1:K$400,0)),K$2,)</f>
        <v>0</v>
      </c>
      <c r="L356" s="155">
        <f ca="1">IF(ISNUMBER(MATCH(DATEVALUE($A356),'changes1_based on steps'!L$1:L$400,0)),L$2,)</f>
        <v>0</v>
      </c>
      <c r="M356" s="155">
        <f ca="1">IF(ISNUMBER(MATCH(DATEVALUE($A356),'changes1_based on steps'!M$1:M$400,0)),M$2,)</f>
        <v>0</v>
      </c>
      <c r="N356" s="155">
        <f ca="1">IF(ISNUMBER(MATCH(DATEVALUE($A356),'changes1_based on steps'!N$1:N$400,0)),N$2,)</f>
        <v>0</v>
      </c>
      <c r="O356" s="155">
        <f ca="1">IF(ISNUMBER(MATCH(DATEVALUE($A356),'changes1_based on steps'!O$1:O$400,0)),O$2,)</f>
        <v>0</v>
      </c>
      <c r="P356" s="155">
        <f ca="1">IF(ISNUMBER(MATCH(DATEVALUE($A356),'changes1_based on steps'!P$1:P$400,0)),P$2,)</f>
        <v>0</v>
      </c>
      <c r="Q356" s="155">
        <f ca="1">IF(ISNUMBER(MATCH(DATEVALUE($A356),'changes1_based on steps'!Q$1:Q$400,0)),Q$2,)</f>
        <v>0</v>
      </c>
      <c r="R356" s="155">
        <f ca="1">IF(ISNUMBER(MATCH(DATEVALUE($A356),'changes1_based on steps'!R$1:R$400,0)),R$2,)</f>
        <v>0</v>
      </c>
      <c r="S356" s="155">
        <f ca="1">IF(ISNUMBER(MATCH(DATEVALUE($A356),'changes1_based on steps'!S$1:S$400,0)),S$2,)</f>
        <v>0</v>
      </c>
      <c r="T356" s="155">
        <f ca="1">IF(ISNUMBER(MATCH(DATEVALUE($A356),'changes1_based on steps'!T$1:T$400,0)),T$2,)</f>
        <v>0</v>
      </c>
      <c r="U356" s="155">
        <f ca="1">IF(ISNUMBER(MATCH(DATEVALUE($A356),'changes1_based on steps'!U$1:U$400,0)),U$2,)</f>
        <v>0</v>
      </c>
    </row>
    <row r="357" spans="1:21" x14ac:dyDescent="0.2">
      <c r="A357" s="18" t="str">
        <f t="shared" ca="1" si="5"/>
        <v>2026-01-21</v>
      </c>
      <c r="B357" s="155">
        <f ca="1">IF(ISNUMBER(MATCH(DATEVALUE($A357),'changes1_based on steps'!B$1:B$400,0)),B$2,)</f>
        <v>0</v>
      </c>
      <c r="C357" s="155">
        <f ca="1">IF(ISNUMBER(MATCH(DATEVALUE($A357),'changes1_based on steps'!C$1:C$400,0)),C$2,)</f>
        <v>0</v>
      </c>
      <c r="D357" s="155">
        <f ca="1">IF(ISNUMBER(MATCH(DATEVALUE($A357),'changes1_based on steps'!D$1:D$400,0)),D$2,)</f>
        <v>0</v>
      </c>
      <c r="E357" s="155">
        <f ca="1">IF(ISNUMBER(MATCH(DATEVALUE($A357),'changes1_based on steps'!E$1:E$400,0)),E$2,)</f>
        <v>0</v>
      </c>
      <c r="F357" s="155">
        <f ca="1">IF(ISNUMBER(MATCH(DATEVALUE($A357),'changes1_based on steps'!F$1:F$400,0)),F$2,)</f>
        <v>0</v>
      </c>
      <c r="G357" s="155">
        <f ca="1">IF(ISNUMBER(MATCH(DATEVALUE($A357),'changes1_based on steps'!G$1:G$400,0)),G$2,)</f>
        <v>0</v>
      </c>
      <c r="H357" s="155">
        <f ca="1">IF(ISNUMBER(MATCH(DATEVALUE($A357),'changes1_based on steps'!H$1:H$400,0)),H$2,)</f>
        <v>0</v>
      </c>
      <c r="I357" s="155">
        <f ca="1">IF(ISNUMBER(MATCH(DATEVALUE($A357),'changes1_based on steps'!I$1:I$400,0)),I$2,)</f>
        <v>0</v>
      </c>
      <c r="J357" s="155">
        <f ca="1">IF(ISNUMBER(MATCH(DATEVALUE($A357),'changes1_based on steps'!J$1:J$400,0)),J$2,)</f>
        <v>0</v>
      </c>
      <c r="K357" s="155">
        <f ca="1">IF(ISNUMBER(MATCH(DATEVALUE($A357),'changes1_based on steps'!K$1:K$400,0)),K$2,)</f>
        <v>0</v>
      </c>
      <c r="L357" s="155">
        <f ca="1">IF(ISNUMBER(MATCH(DATEVALUE($A357),'changes1_based on steps'!L$1:L$400,0)),L$2,)</f>
        <v>0</v>
      </c>
      <c r="M357" s="155">
        <f ca="1">IF(ISNUMBER(MATCH(DATEVALUE($A357),'changes1_based on steps'!M$1:M$400,0)),M$2,)</f>
        <v>0</v>
      </c>
      <c r="N357" s="155">
        <f ca="1">IF(ISNUMBER(MATCH(DATEVALUE($A357),'changes1_based on steps'!N$1:N$400,0)),N$2,)</f>
        <v>0</v>
      </c>
      <c r="O357" s="155">
        <f ca="1">IF(ISNUMBER(MATCH(DATEVALUE($A357),'changes1_based on steps'!O$1:O$400,0)),O$2,)</f>
        <v>0</v>
      </c>
      <c r="P357" s="155">
        <f ca="1">IF(ISNUMBER(MATCH(DATEVALUE($A357),'changes1_based on steps'!P$1:P$400,0)),P$2,)</f>
        <v>0</v>
      </c>
      <c r="Q357" s="155">
        <f ca="1">IF(ISNUMBER(MATCH(DATEVALUE($A357),'changes1_based on steps'!Q$1:Q$400,0)),Q$2,)</f>
        <v>0</v>
      </c>
      <c r="R357" s="155">
        <f ca="1">IF(ISNUMBER(MATCH(DATEVALUE($A357),'changes1_based on steps'!R$1:R$400,0)),R$2,)</f>
        <v>0</v>
      </c>
      <c r="S357" s="155">
        <f ca="1">IF(ISNUMBER(MATCH(DATEVALUE($A357),'changes1_based on steps'!S$1:S$400,0)),S$2,)</f>
        <v>0</v>
      </c>
      <c r="T357" s="155">
        <f ca="1">IF(ISNUMBER(MATCH(DATEVALUE($A357),'changes1_based on steps'!T$1:T$400,0)),T$2,)</f>
        <v>0</v>
      </c>
      <c r="U357" s="155">
        <f ca="1">IF(ISNUMBER(MATCH(DATEVALUE($A357),'changes1_based on steps'!U$1:U$400,0)),U$2,)</f>
        <v>0</v>
      </c>
    </row>
    <row r="358" spans="1:21" x14ac:dyDescent="0.2">
      <c r="A358" s="18" t="str">
        <f t="shared" ca="1" si="5"/>
        <v>2026-01-22</v>
      </c>
      <c r="B358" s="155">
        <f ca="1">IF(ISNUMBER(MATCH(DATEVALUE($A358),'changes1_based on steps'!B$1:B$400,0)),B$2,)</f>
        <v>0</v>
      </c>
      <c r="C358" s="155">
        <f ca="1">IF(ISNUMBER(MATCH(DATEVALUE($A358),'changes1_based on steps'!C$1:C$400,0)),C$2,)</f>
        <v>0</v>
      </c>
      <c r="D358" s="155">
        <f ca="1">IF(ISNUMBER(MATCH(DATEVALUE($A358),'changes1_based on steps'!D$1:D$400,0)),D$2,)</f>
        <v>0</v>
      </c>
      <c r="E358" s="155">
        <f ca="1">IF(ISNUMBER(MATCH(DATEVALUE($A358),'changes1_based on steps'!E$1:E$400,0)),E$2,)</f>
        <v>0</v>
      </c>
      <c r="F358" s="155">
        <f ca="1">IF(ISNUMBER(MATCH(DATEVALUE($A358),'changes1_based on steps'!F$1:F$400,0)),F$2,)</f>
        <v>0</v>
      </c>
      <c r="G358" s="155">
        <f ca="1">IF(ISNUMBER(MATCH(DATEVALUE($A358),'changes1_based on steps'!G$1:G$400,0)),G$2,)</f>
        <v>0</v>
      </c>
      <c r="H358" s="155">
        <f ca="1">IF(ISNUMBER(MATCH(DATEVALUE($A358),'changes1_based on steps'!H$1:H$400,0)),H$2,)</f>
        <v>0</v>
      </c>
      <c r="I358" s="155">
        <f ca="1">IF(ISNUMBER(MATCH(DATEVALUE($A358),'changes1_based on steps'!I$1:I$400,0)),I$2,)</f>
        <v>0</v>
      </c>
      <c r="J358" s="155">
        <f ca="1">IF(ISNUMBER(MATCH(DATEVALUE($A358),'changes1_based on steps'!J$1:J$400,0)),J$2,)</f>
        <v>0</v>
      </c>
      <c r="K358" s="155">
        <f ca="1">IF(ISNUMBER(MATCH(DATEVALUE($A358),'changes1_based on steps'!K$1:K$400,0)),K$2,)</f>
        <v>0</v>
      </c>
      <c r="L358" s="155">
        <f ca="1">IF(ISNUMBER(MATCH(DATEVALUE($A358),'changes1_based on steps'!L$1:L$400,0)),L$2,)</f>
        <v>0</v>
      </c>
      <c r="M358" s="155">
        <f ca="1">IF(ISNUMBER(MATCH(DATEVALUE($A358),'changes1_based on steps'!M$1:M$400,0)),M$2,)</f>
        <v>0</v>
      </c>
      <c r="N358" s="155">
        <f ca="1">IF(ISNUMBER(MATCH(DATEVALUE($A358),'changes1_based on steps'!N$1:N$400,0)),N$2,)</f>
        <v>0</v>
      </c>
      <c r="O358" s="155">
        <f ca="1">IF(ISNUMBER(MATCH(DATEVALUE($A358),'changes1_based on steps'!O$1:O$400,0)),O$2,)</f>
        <v>0</v>
      </c>
      <c r="P358" s="155">
        <f ca="1">IF(ISNUMBER(MATCH(DATEVALUE($A358),'changes1_based on steps'!P$1:P$400,0)),P$2,)</f>
        <v>0</v>
      </c>
      <c r="Q358" s="155">
        <f ca="1">IF(ISNUMBER(MATCH(DATEVALUE($A358),'changes1_based on steps'!Q$1:Q$400,0)),Q$2,)</f>
        <v>0</v>
      </c>
      <c r="R358" s="155">
        <f ca="1">IF(ISNUMBER(MATCH(DATEVALUE($A358),'changes1_based on steps'!R$1:R$400,0)),R$2,)</f>
        <v>0</v>
      </c>
      <c r="S358" s="155">
        <f ca="1">IF(ISNUMBER(MATCH(DATEVALUE($A358),'changes1_based on steps'!S$1:S$400,0)),S$2,)</f>
        <v>0</v>
      </c>
      <c r="T358" s="155">
        <f ca="1">IF(ISNUMBER(MATCH(DATEVALUE($A358),'changes1_based on steps'!T$1:T$400,0)),T$2,)</f>
        <v>0</v>
      </c>
      <c r="U358" s="155">
        <f ca="1">IF(ISNUMBER(MATCH(DATEVALUE($A358),'changes1_based on steps'!U$1:U$400,0)),U$2,)</f>
        <v>0</v>
      </c>
    </row>
    <row r="359" spans="1:21" x14ac:dyDescent="0.2">
      <c r="A359" s="18" t="str">
        <f t="shared" ca="1" si="5"/>
        <v>2026-01-23</v>
      </c>
      <c r="B359" s="155">
        <f ca="1">IF(ISNUMBER(MATCH(DATEVALUE($A359),'changes1_based on steps'!B$1:B$400,0)),B$2,)</f>
        <v>0</v>
      </c>
      <c r="C359" s="155">
        <f ca="1">IF(ISNUMBER(MATCH(DATEVALUE($A359),'changes1_based on steps'!C$1:C$400,0)),C$2,)</f>
        <v>0</v>
      </c>
      <c r="D359" s="155">
        <f ca="1">IF(ISNUMBER(MATCH(DATEVALUE($A359),'changes1_based on steps'!D$1:D$400,0)),D$2,)</f>
        <v>0</v>
      </c>
      <c r="E359" s="155">
        <f ca="1">IF(ISNUMBER(MATCH(DATEVALUE($A359),'changes1_based on steps'!E$1:E$400,0)),E$2,)</f>
        <v>0</v>
      </c>
      <c r="F359" s="155">
        <f ca="1">IF(ISNUMBER(MATCH(DATEVALUE($A359),'changes1_based on steps'!F$1:F$400,0)),F$2,)</f>
        <v>0</v>
      </c>
      <c r="G359" s="155">
        <f ca="1">IF(ISNUMBER(MATCH(DATEVALUE($A359),'changes1_based on steps'!G$1:G$400,0)),G$2,)</f>
        <v>0</v>
      </c>
      <c r="H359" s="155">
        <f ca="1">IF(ISNUMBER(MATCH(DATEVALUE($A359),'changes1_based on steps'!H$1:H$400,0)),H$2,)</f>
        <v>0</v>
      </c>
      <c r="I359" s="155">
        <f ca="1">IF(ISNUMBER(MATCH(DATEVALUE($A359),'changes1_based on steps'!I$1:I$400,0)),I$2,)</f>
        <v>0</v>
      </c>
      <c r="J359" s="155">
        <f ca="1">IF(ISNUMBER(MATCH(DATEVALUE($A359),'changes1_based on steps'!J$1:J$400,0)),J$2,)</f>
        <v>0</v>
      </c>
      <c r="K359" s="155">
        <f ca="1">IF(ISNUMBER(MATCH(DATEVALUE($A359),'changes1_based on steps'!K$1:K$400,0)),K$2,)</f>
        <v>0</v>
      </c>
      <c r="L359" s="155">
        <f ca="1">IF(ISNUMBER(MATCH(DATEVALUE($A359),'changes1_based on steps'!L$1:L$400,0)),L$2,)</f>
        <v>0</v>
      </c>
      <c r="M359" s="155">
        <f ca="1">IF(ISNUMBER(MATCH(DATEVALUE($A359),'changes1_based on steps'!M$1:M$400,0)),M$2,)</f>
        <v>0</v>
      </c>
      <c r="N359" s="155">
        <f ca="1">IF(ISNUMBER(MATCH(DATEVALUE($A359),'changes1_based on steps'!N$1:N$400,0)),N$2,)</f>
        <v>0</v>
      </c>
      <c r="O359" s="155">
        <f ca="1">IF(ISNUMBER(MATCH(DATEVALUE($A359),'changes1_based on steps'!O$1:O$400,0)),O$2,)</f>
        <v>0</v>
      </c>
      <c r="P359" s="155">
        <f ca="1">IF(ISNUMBER(MATCH(DATEVALUE($A359),'changes1_based on steps'!P$1:P$400,0)),P$2,)</f>
        <v>0</v>
      </c>
      <c r="Q359" s="155">
        <f ca="1">IF(ISNUMBER(MATCH(DATEVALUE($A359),'changes1_based on steps'!Q$1:Q$400,0)),Q$2,)</f>
        <v>0</v>
      </c>
      <c r="R359" s="155">
        <f ca="1">IF(ISNUMBER(MATCH(DATEVALUE($A359),'changes1_based on steps'!R$1:R$400,0)),R$2,)</f>
        <v>0</v>
      </c>
      <c r="S359" s="155">
        <f ca="1">IF(ISNUMBER(MATCH(DATEVALUE($A359),'changes1_based on steps'!S$1:S$400,0)),S$2,)</f>
        <v>0</v>
      </c>
      <c r="T359" s="155">
        <f ca="1">IF(ISNUMBER(MATCH(DATEVALUE($A359),'changes1_based on steps'!T$1:T$400,0)),T$2,)</f>
        <v>0</v>
      </c>
      <c r="U359" s="155">
        <f ca="1">IF(ISNUMBER(MATCH(DATEVALUE($A359),'changes1_based on steps'!U$1:U$400,0)),U$2,)</f>
        <v>0</v>
      </c>
    </row>
    <row r="360" spans="1:21" x14ac:dyDescent="0.2">
      <c r="A360" s="18" t="str">
        <f t="shared" ca="1" si="5"/>
        <v>2026-01-24</v>
      </c>
      <c r="B360" s="155">
        <f ca="1">IF(ISNUMBER(MATCH(DATEVALUE($A360),'changes1_based on steps'!B$1:B$400,0)),B$2,)</f>
        <v>0</v>
      </c>
      <c r="C360" s="155">
        <f ca="1">IF(ISNUMBER(MATCH(DATEVALUE($A360),'changes1_based on steps'!C$1:C$400,0)),C$2,)</f>
        <v>0</v>
      </c>
      <c r="D360" s="155">
        <f ca="1">IF(ISNUMBER(MATCH(DATEVALUE($A360),'changes1_based on steps'!D$1:D$400,0)),D$2,)</f>
        <v>0</v>
      </c>
      <c r="E360" s="155">
        <f ca="1">IF(ISNUMBER(MATCH(DATEVALUE($A360),'changes1_based on steps'!E$1:E$400,0)),E$2,)</f>
        <v>0</v>
      </c>
      <c r="F360" s="155">
        <f ca="1">IF(ISNUMBER(MATCH(DATEVALUE($A360),'changes1_based on steps'!F$1:F$400,0)),F$2,)</f>
        <v>0</v>
      </c>
      <c r="G360" s="155">
        <f ca="1">IF(ISNUMBER(MATCH(DATEVALUE($A360),'changes1_based on steps'!G$1:G$400,0)),G$2,)</f>
        <v>0</v>
      </c>
      <c r="H360" s="155">
        <f ca="1">IF(ISNUMBER(MATCH(DATEVALUE($A360),'changes1_based on steps'!H$1:H$400,0)),H$2,)</f>
        <v>0</v>
      </c>
      <c r="I360" s="155">
        <f ca="1">IF(ISNUMBER(MATCH(DATEVALUE($A360),'changes1_based on steps'!I$1:I$400,0)),I$2,)</f>
        <v>0</v>
      </c>
      <c r="J360" s="155">
        <f ca="1">IF(ISNUMBER(MATCH(DATEVALUE($A360),'changes1_based on steps'!J$1:J$400,0)),J$2,)</f>
        <v>0</v>
      </c>
      <c r="K360" s="155">
        <f ca="1">IF(ISNUMBER(MATCH(DATEVALUE($A360),'changes1_based on steps'!K$1:K$400,0)),K$2,)</f>
        <v>0</v>
      </c>
      <c r="L360" s="155">
        <f ca="1">IF(ISNUMBER(MATCH(DATEVALUE($A360),'changes1_based on steps'!L$1:L$400,0)),L$2,)</f>
        <v>0</v>
      </c>
      <c r="M360" s="155">
        <f ca="1">IF(ISNUMBER(MATCH(DATEVALUE($A360),'changes1_based on steps'!M$1:M$400,0)),M$2,)</f>
        <v>0</v>
      </c>
      <c r="N360" s="155">
        <f ca="1">IF(ISNUMBER(MATCH(DATEVALUE($A360),'changes1_based on steps'!N$1:N$400,0)),N$2,)</f>
        <v>0</v>
      </c>
      <c r="O360" s="155">
        <f ca="1">IF(ISNUMBER(MATCH(DATEVALUE($A360),'changes1_based on steps'!O$1:O$400,0)),O$2,)</f>
        <v>0</v>
      </c>
      <c r="P360" s="155">
        <f ca="1">IF(ISNUMBER(MATCH(DATEVALUE($A360),'changes1_based on steps'!P$1:P$400,0)),P$2,)</f>
        <v>0</v>
      </c>
      <c r="Q360" s="155">
        <f ca="1">IF(ISNUMBER(MATCH(DATEVALUE($A360),'changes1_based on steps'!Q$1:Q$400,0)),Q$2,)</f>
        <v>0</v>
      </c>
      <c r="R360" s="155">
        <f ca="1">IF(ISNUMBER(MATCH(DATEVALUE($A360),'changes1_based on steps'!R$1:R$400,0)),R$2,)</f>
        <v>0</v>
      </c>
      <c r="S360" s="155">
        <f ca="1">IF(ISNUMBER(MATCH(DATEVALUE($A360),'changes1_based on steps'!S$1:S$400,0)),S$2,)</f>
        <v>0</v>
      </c>
      <c r="T360" s="155">
        <f ca="1">IF(ISNUMBER(MATCH(DATEVALUE($A360),'changes1_based on steps'!T$1:T$400,0)),T$2,)</f>
        <v>0</v>
      </c>
      <c r="U360" s="155">
        <f ca="1">IF(ISNUMBER(MATCH(DATEVALUE($A360),'changes1_based on steps'!U$1:U$400,0)),U$2,)</f>
        <v>0</v>
      </c>
    </row>
    <row r="361" spans="1:21" x14ac:dyDescent="0.2">
      <c r="A361" s="18" t="str">
        <f t="shared" ca="1" si="5"/>
        <v>2026-01-25</v>
      </c>
      <c r="B361" s="155">
        <f ca="1">IF(ISNUMBER(MATCH(DATEVALUE($A361),'changes1_based on steps'!B$1:B$400,0)),B$2,)</f>
        <v>0</v>
      </c>
      <c r="C361" s="155">
        <f ca="1">IF(ISNUMBER(MATCH(DATEVALUE($A361),'changes1_based on steps'!C$1:C$400,0)),C$2,)</f>
        <v>0</v>
      </c>
      <c r="D361" s="155">
        <f ca="1">IF(ISNUMBER(MATCH(DATEVALUE($A361),'changes1_based on steps'!D$1:D$400,0)),D$2,)</f>
        <v>0</v>
      </c>
      <c r="E361" s="155">
        <f ca="1">IF(ISNUMBER(MATCH(DATEVALUE($A361),'changes1_based on steps'!E$1:E$400,0)),E$2,)</f>
        <v>0</v>
      </c>
      <c r="F361" s="155">
        <f ca="1">IF(ISNUMBER(MATCH(DATEVALUE($A361),'changes1_based on steps'!F$1:F$400,0)),F$2,)</f>
        <v>0</v>
      </c>
      <c r="G361" s="155">
        <f ca="1">IF(ISNUMBER(MATCH(DATEVALUE($A361),'changes1_based on steps'!G$1:G$400,0)),G$2,)</f>
        <v>0</v>
      </c>
      <c r="H361" s="155">
        <f ca="1">IF(ISNUMBER(MATCH(DATEVALUE($A361),'changes1_based on steps'!H$1:H$400,0)),H$2,)</f>
        <v>0</v>
      </c>
      <c r="I361" s="155">
        <f ca="1">IF(ISNUMBER(MATCH(DATEVALUE($A361),'changes1_based on steps'!I$1:I$400,0)),I$2,)</f>
        <v>0</v>
      </c>
      <c r="J361" s="155">
        <f ca="1">IF(ISNUMBER(MATCH(DATEVALUE($A361),'changes1_based on steps'!J$1:J$400,0)),J$2,)</f>
        <v>0</v>
      </c>
      <c r="K361" s="155">
        <f ca="1">IF(ISNUMBER(MATCH(DATEVALUE($A361),'changes1_based on steps'!K$1:K$400,0)),K$2,)</f>
        <v>0</v>
      </c>
      <c r="L361" s="155">
        <f ca="1">IF(ISNUMBER(MATCH(DATEVALUE($A361),'changes1_based on steps'!L$1:L$400,0)),L$2,)</f>
        <v>0</v>
      </c>
      <c r="M361" s="155">
        <f ca="1">IF(ISNUMBER(MATCH(DATEVALUE($A361),'changes1_based on steps'!M$1:M$400,0)),M$2,)</f>
        <v>0</v>
      </c>
      <c r="N361" s="155">
        <f ca="1">IF(ISNUMBER(MATCH(DATEVALUE($A361),'changes1_based on steps'!N$1:N$400,0)),N$2,)</f>
        <v>0</v>
      </c>
      <c r="O361" s="155">
        <f ca="1">IF(ISNUMBER(MATCH(DATEVALUE($A361),'changes1_based on steps'!O$1:O$400,0)),O$2,)</f>
        <v>0</v>
      </c>
      <c r="P361" s="155">
        <f ca="1">IF(ISNUMBER(MATCH(DATEVALUE($A361),'changes1_based on steps'!P$1:P$400,0)),P$2,)</f>
        <v>0</v>
      </c>
      <c r="Q361" s="155">
        <f ca="1">IF(ISNUMBER(MATCH(DATEVALUE($A361),'changes1_based on steps'!Q$1:Q$400,0)),Q$2,)</f>
        <v>0</v>
      </c>
      <c r="R361" s="155">
        <f ca="1">IF(ISNUMBER(MATCH(DATEVALUE($A361),'changes1_based on steps'!R$1:R$400,0)),R$2,)</f>
        <v>0</v>
      </c>
      <c r="S361" s="155">
        <f ca="1">IF(ISNUMBER(MATCH(DATEVALUE($A361),'changes1_based on steps'!S$1:S$400,0)),S$2,)</f>
        <v>0</v>
      </c>
      <c r="T361" s="155">
        <f ca="1">IF(ISNUMBER(MATCH(DATEVALUE($A361),'changes1_based on steps'!T$1:T$400,0)),T$2,)</f>
        <v>0</v>
      </c>
      <c r="U361" s="155">
        <f ca="1">IF(ISNUMBER(MATCH(DATEVALUE($A361),'changes1_based on steps'!U$1:U$400,0)),U$2,)</f>
        <v>0</v>
      </c>
    </row>
    <row r="362" spans="1:21" x14ac:dyDescent="0.2">
      <c r="A362" s="18" t="str">
        <f t="shared" ca="1" si="5"/>
        <v>2026-01-26</v>
      </c>
      <c r="B362" s="155">
        <f ca="1">IF(ISNUMBER(MATCH(DATEVALUE($A362),'changes1_based on steps'!B$1:B$400,0)),B$2,)</f>
        <v>0</v>
      </c>
      <c r="C362" s="155">
        <f ca="1">IF(ISNUMBER(MATCH(DATEVALUE($A362),'changes1_based on steps'!C$1:C$400,0)),C$2,)</f>
        <v>0</v>
      </c>
      <c r="D362" s="155">
        <f ca="1">IF(ISNUMBER(MATCH(DATEVALUE($A362),'changes1_based on steps'!D$1:D$400,0)),D$2,)</f>
        <v>0</v>
      </c>
      <c r="E362" s="155">
        <f ca="1">IF(ISNUMBER(MATCH(DATEVALUE($A362),'changes1_based on steps'!E$1:E$400,0)),E$2,)</f>
        <v>0</v>
      </c>
      <c r="F362" s="155">
        <f ca="1">IF(ISNUMBER(MATCH(DATEVALUE($A362),'changes1_based on steps'!F$1:F$400,0)),F$2,)</f>
        <v>0</v>
      </c>
      <c r="G362" s="155">
        <f ca="1">IF(ISNUMBER(MATCH(DATEVALUE($A362),'changes1_based on steps'!G$1:G$400,0)),G$2,)</f>
        <v>0</v>
      </c>
      <c r="H362" s="155">
        <f ca="1">IF(ISNUMBER(MATCH(DATEVALUE($A362),'changes1_based on steps'!H$1:H$400,0)),H$2,)</f>
        <v>0</v>
      </c>
      <c r="I362" s="155">
        <f ca="1">IF(ISNUMBER(MATCH(DATEVALUE($A362),'changes1_based on steps'!I$1:I$400,0)),I$2,)</f>
        <v>0</v>
      </c>
      <c r="J362" s="155">
        <f ca="1">IF(ISNUMBER(MATCH(DATEVALUE($A362),'changes1_based on steps'!J$1:J$400,0)),J$2,)</f>
        <v>0</v>
      </c>
      <c r="K362" s="155">
        <f ca="1">IF(ISNUMBER(MATCH(DATEVALUE($A362),'changes1_based on steps'!K$1:K$400,0)),K$2,)</f>
        <v>0</v>
      </c>
      <c r="L362" s="155">
        <f ca="1">IF(ISNUMBER(MATCH(DATEVALUE($A362),'changes1_based on steps'!L$1:L$400,0)),L$2,)</f>
        <v>0</v>
      </c>
      <c r="M362" s="155">
        <f ca="1">IF(ISNUMBER(MATCH(DATEVALUE($A362),'changes1_based on steps'!M$1:M$400,0)),M$2,)</f>
        <v>0</v>
      </c>
      <c r="N362" s="155">
        <f ca="1">IF(ISNUMBER(MATCH(DATEVALUE($A362),'changes1_based on steps'!N$1:N$400,0)),N$2,)</f>
        <v>0</v>
      </c>
      <c r="O362" s="155">
        <f ca="1">IF(ISNUMBER(MATCH(DATEVALUE($A362),'changes1_based on steps'!O$1:O$400,0)),O$2,)</f>
        <v>0</v>
      </c>
      <c r="P362" s="155">
        <f ca="1">IF(ISNUMBER(MATCH(DATEVALUE($A362),'changes1_based on steps'!P$1:P$400,0)),P$2,)</f>
        <v>0</v>
      </c>
      <c r="Q362" s="155">
        <f ca="1">IF(ISNUMBER(MATCH(DATEVALUE($A362),'changes1_based on steps'!Q$1:Q$400,0)),Q$2,)</f>
        <v>0</v>
      </c>
      <c r="R362" s="155">
        <f ca="1">IF(ISNUMBER(MATCH(DATEVALUE($A362),'changes1_based on steps'!R$1:R$400,0)),R$2,)</f>
        <v>0</v>
      </c>
      <c r="S362" s="155">
        <f ca="1">IF(ISNUMBER(MATCH(DATEVALUE($A362),'changes1_based on steps'!S$1:S$400,0)),S$2,)</f>
        <v>0</v>
      </c>
      <c r="T362" s="155">
        <f ca="1">IF(ISNUMBER(MATCH(DATEVALUE($A362),'changes1_based on steps'!T$1:T$400,0)),T$2,)</f>
        <v>0</v>
      </c>
      <c r="U362" s="155">
        <f ca="1">IF(ISNUMBER(MATCH(DATEVALUE($A362),'changes1_based on steps'!U$1:U$400,0)),U$2,)</f>
        <v>0</v>
      </c>
    </row>
    <row r="363" spans="1:21" x14ac:dyDescent="0.2">
      <c r="A363" s="18" t="str">
        <f t="shared" ca="1" si="5"/>
        <v>2026-01-27</v>
      </c>
      <c r="B363" s="155">
        <f ca="1">IF(ISNUMBER(MATCH(DATEVALUE($A363),'changes1_based on steps'!B$1:B$400,0)),B$2,)</f>
        <v>0</v>
      </c>
      <c r="C363" s="155">
        <f ca="1">IF(ISNUMBER(MATCH(DATEVALUE($A363),'changes1_based on steps'!C$1:C$400,0)),C$2,)</f>
        <v>0</v>
      </c>
      <c r="D363" s="155">
        <f ca="1">IF(ISNUMBER(MATCH(DATEVALUE($A363),'changes1_based on steps'!D$1:D$400,0)),D$2,)</f>
        <v>0</v>
      </c>
      <c r="E363" s="155">
        <f ca="1">IF(ISNUMBER(MATCH(DATEVALUE($A363),'changes1_based on steps'!E$1:E$400,0)),E$2,)</f>
        <v>0</v>
      </c>
      <c r="F363" s="155">
        <f ca="1">IF(ISNUMBER(MATCH(DATEVALUE($A363),'changes1_based on steps'!F$1:F$400,0)),F$2,)</f>
        <v>0</v>
      </c>
      <c r="G363" s="155">
        <f ca="1">IF(ISNUMBER(MATCH(DATEVALUE($A363),'changes1_based on steps'!G$1:G$400,0)),G$2,)</f>
        <v>0</v>
      </c>
      <c r="H363" s="155">
        <f ca="1">IF(ISNUMBER(MATCH(DATEVALUE($A363),'changes1_based on steps'!H$1:H$400,0)),H$2,)</f>
        <v>0</v>
      </c>
      <c r="I363" s="155">
        <f ca="1">IF(ISNUMBER(MATCH(DATEVALUE($A363),'changes1_based on steps'!I$1:I$400,0)),I$2,)</f>
        <v>0</v>
      </c>
      <c r="J363" s="155">
        <f ca="1">IF(ISNUMBER(MATCH(DATEVALUE($A363),'changes1_based on steps'!J$1:J$400,0)),J$2,)</f>
        <v>0</v>
      </c>
      <c r="K363" s="155">
        <f ca="1">IF(ISNUMBER(MATCH(DATEVALUE($A363),'changes1_based on steps'!K$1:K$400,0)),K$2,)</f>
        <v>0</v>
      </c>
      <c r="L363" s="155">
        <f ca="1">IF(ISNUMBER(MATCH(DATEVALUE($A363),'changes1_based on steps'!L$1:L$400,0)),L$2,)</f>
        <v>0</v>
      </c>
      <c r="M363" s="155">
        <f ca="1">IF(ISNUMBER(MATCH(DATEVALUE($A363),'changes1_based on steps'!M$1:M$400,0)),M$2,)</f>
        <v>0</v>
      </c>
      <c r="N363" s="155">
        <f ca="1">IF(ISNUMBER(MATCH(DATEVALUE($A363),'changes1_based on steps'!N$1:N$400,0)),N$2,)</f>
        <v>0</v>
      </c>
      <c r="O363" s="155">
        <f ca="1">IF(ISNUMBER(MATCH(DATEVALUE($A363),'changes1_based on steps'!O$1:O$400,0)),O$2,)</f>
        <v>0</v>
      </c>
      <c r="P363" s="155">
        <f ca="1">IF(ISNUMBER(MATCH(DATEVALUE($A363),'changes1_based on steps'!P$1:P$400,0)),P$2,)</f>
        <v>0</v>
      </c>
      <c r="Q363" s="155">
        <f ca="1">IF(ISNUMBER(MATCH(DATEVALUE($A363),'changes1_based on steps'!Q$1:Q$400,0)),Q$2,)</f>
        <v>0</v>
      </c>
      <c r="R363" s="155">
        <f ca="1">IF(ISNUMBER(MATCH(DATEVALUE($A363),'changes1_based on steps'!R$1:R$400,0)),R$2,)</f>
        <v>0</v>
      </c>
      <c r="S363" s="155">
        <f ca="1">IF(ISNUMBER(MATCH(DATEVALUE($A363),'changes1_based on steps'!S$1:S$400,0)),S$2,)</f>
        <v>0</v>
      </c>
      <c r="T363" s="155">
        <f ca="1">IF(ISNUMBER(MATCH(DATEVALUE($A363),'changes1_based on steps'!T$1:T$400,0)),T$2,)</f>
        <v>0</v>
      </c>
      <c r="U363" s="155">
        <f ca="1">IF(ISNUMBER(MATCH(DATEVALUE($A363),'changes1_based on steps'!U$1:U$400,0)),U$2,)</f>
        <v>0</v>
      </c>
    </row>
    <row r="364" spans="1:21" x14ac:dyDescent="0.2">
      <c r="A364" s="18" t="str">
        <f t="shared" ca="1" si="5"/>
        <v>2026-01-28</v>
      </c>
      <c r="B364" s="155">
        <f ca="1">IF(ISNUMBER(MATCH(DATEVALUE($A364),'changes1_based on steps'!B$1:B$400,0)),B$2,)</f>
        <v>100</v>
      </c>
      <c r="C364" s="155">
        <f ca="1">IF(ISNUMBER(MATCH(DATEVALUE($A364),'changes1_based on steps'!C$1:C$400,0)),C$2,)</f>
        <v>0</v>
      </c>
      <c r="D364" s="155">
        <f ca="1">IF(ISNUMBER(MATCH(DATEVALUE($A364),'changes1_based on steps'!D$1:D$400,0)),D$2,)</f>
        <v>0</v>
      </c>
      <c r="E364" s="155">
        <f ca="1">IF(ISNUMBER(MATCH(DATEVALUE($A364),'changes1_based on steps'!E$1:E$400,0)),E$2,)</f>
        <v>0</v>
      </c>
      <c r="F364" s="155">
        <f ca="1">IF(ISNUMBER(MATCH(DATEVALUE($A364),'changes1_based on steps'!F$1:F$400,0)),F$2,)</f>
        <v>0</v>
      </c>
      <c r="G364" s="155">
        <f ca="1">IF(ISNUMBER(MATCH(DATEVALUE($A364),'changes1_based on steps'!G$1:G$400,0)),G$2,)</f>
        <v>0</v>
      </c>
      <c r="H364" s="155">
        <f ca="1">IF(ISNUMBER(MATCH(DATEVALUE($A364),'changes1_based on steps'!H$1:H$400,0)),H$2,)</f>
        <v>0</v>
      </c>
      <c r="I364" s="155">
        <f ca="1">IF(ISNUMBER(MATCH(DATEVALUE($A364),'changes1_based on steps'!I$1:I$400,0)),I$2,)</f>
        <v>0</v>
      </c>
      <c r="J364" s="155">
        <f ca="1">IF(ISNUMBER(MATCH(DATEVALUE($A364),'changes1_based on steps'!J$1:J$400,0)),J$2,)</f>
        <v>0</v>
      </c>
      <c r="K364" s="155">
        <f ca="1">IF(ISNUMBER(MATCH(DATEVALUE($A364),'changes1_based on steps'!K$1:K$400,0)),K$2,)</f>
        <v>0</v>
      </c>
      <c r="L364" s="155">
        <f ca="1">IF(ISNUMBER(MATCH(DATEVALUE($A364),'changes1_based on steps'!L$1:L$400,0)),L$2,)</f>
        <v>0</v>
      </c>
      <c r="M364" s="155">
        <f ca="1">IF(ISNUMBER(MATCH(DATEVALUE($A364),'changes1_based on steps'!M$1:M$400,0)),M$2,)</f>
        <v>0</v>
      </c>
      <c r="N364" s="155">
        <f ca="1">IF(ISNUMBER(MATCH(DATEVALUE($A364),'changes1_based on steps'!N$1:N$400,0)),N$2,)</f>
        <v>0</v>
      </c>
      <c r="O364" s="155">
        <f ca="1">IF(ISNUMBER(MATCH(DATEVALUE($A364),'changes1_based on steps'!O$1:O$400,0)),O$2,)</f>
        <v>0</v>
      </c>
      <c r="P364" s="155">
        <f ca="1">IF(ISNUMBER(MATCH(DATEVALUE($A364),'changes1_based on steps'!P$1:P$400,0)),P$2,)</f>
        <v>0</v>
      </c>
      <c r="Q364" s="155">
        <f ca="1">IF(ISNUMBER(MATCH(DATEVALUE($A364),'changes1_based on steps'!Q$1:Q$400,0)),Q$2,)</f>
        <v>0</v>
      </c>
      <c r="R364" s="155">
        <f ca="1">IF(ISNUMBER(MATCH(DATEVALUE($A364),'changes1_based on steps'!R$1:R$400,0)),R$2,)</f>
        <v>0</v>
      </c>
      <c r="S364" s="155">
        <f ca="1">IF(ISNUMBER(MATCH(DATEVALUE($A364),'changes1_based on steps'!S$1:S$400,0)),S$2,)</f>
        <v>0</v>
      </c>
      <c r="T364" s="155">
        <f ca="1">IF(ISNUMBER(MATCH(DATEVALUE($A364),'changes1_based on steps'!T$1:T$400,0)),T$2,)</f>
        <v>0</v>
      </c>
      <c r="U364" s="155">
        <f ca="1">IF(ISNUMBER(MATCH(DATEVALUE($A364),'changes1_based on steps'!U$1:U$400,0)),U$2,)</f>
        <v>0</v>
      </c>
    </row>
    <row r="365" spans="1:21" x14ac:dyDescent="0.2">
      <c r="A365" s="18" t="str">
        <f t="shared" ca="1" si="5"/>
        <v>2026-01-29</v>
      </c>
      <c r="B365" s="155">
        <f ca="1">IF(ISNUMBER(MATCH(DATEVALUE($A365),'changes1_based on steps'!B$1:B$400,0)),B$2,)</f>
        <v>0</v>
      </c>
      <c r="C365" s="155">
        <f ca="1">IF(ISNUMBER(MATCH(DATEVALUE($A365),'changes1_based on steps'!C$1:C$400,0)),C$2,)</f>
        <v>0</v>
      </c>
      <c r="D365" s="155">
        <f ca="1">IF(ISNUMBER(MATCH(DATEVALUE($A365),'changes1_based on steps'!D$1:D$400,0)),D$2,)</f>
        <v>0</v>
      </c>
      <c r="E365" s="155">
        <f ca="1">IF(ISNUMBER(MATCH(DATEVALUE($A365),'changes1_based on steps'!E$1:E$400,0)),E$2,)</f>
        <v>0</v>
      </c>
      <c r="F365" s="155">
        <f ca="1">IF(ISNUMBER(MATCH(DATEVALUE($A365),'changes1_based on steps'!F$1:F$400,0)),F$2,)</f>
        <v>0</v>
      </c>
      <c r="G365" s="155">
        <f ca="1">IF(ISNUMBER(MATCH(DATEVALUE($A365),'changes1_based on steps'!G$1:G$400,0)),G$2,)</f>
        <v>0</v>
      </c>
      <c r="H365" s="155">
        <f ca="1">IF(ISNUMBER(MATCH(DATEVALUE($A365),'changes1_based on steps'!H$1:H$400,0)),H$2,)</f>
        <v>0</v>
      </c>
      <c r="I365" s="155">
        <f ca="1">IF(ISNUMBER(MATCH(DATEVALUE($A365),'changes1_based on steps'!I$1:I$400,0)),I$2,)</f>
        <v>0</v>
      </c>
      <c r="J365" s="155">
        <f ca="1">IF(ISNUMBER(MATCH(DATEVALUE($A365),'changes1_based on steps'!J$1:J$400,0)),J$2,)</f>
        <v>0</v>
      </c>
      <c r="K365" s="155">
        <f ca="1">IF(ISNUMBER(MATCH(DATEVALUE($A365),'changes1_based on steps'!K$1:K$400,0)),K$2,)</f>
        <v>0</v>
      </c>
      <c r="L365" s="155">
        <f ca="1">IF(ISNUMBER(MATCH(DATEVALUE($A365),'changes1_based on steps'!L$1:L$400,0)),L$2,)</f>
        <v>0</v>
      </c>
      <c r="M365" s="155">
        <f ca="1">IF(ISNUMBER(MATCH(DATEVALUE($A365),'changes1_based on steps'!M$1:M$400,0)),M$2,)</f>
        <v>0</v>
      </c>
      <c r="N365" s="155">
        <f ca="1">IF(ISNUMBER(MATCH(DATEVALUE($A365),'changes1_based on steps'!N$1:N$400,0)),N$2,)</f>
        <v>0</v>
      </c>
      <c r="O365" s="155">
        <f ca="1">IF(ISNUMBER(MATCH(DATEVALUE($A365),'changes1_based on steps'!O$1:O$400,0)),O$2,)</f>
        <v>0</v>
      </c>
      <c r="P365" s="155">
        <f ca="1">IF(ISNUMBER(MATCH(DATEVALUE($A365),'changes1_based on steps'!P$1:P$400,0)),P$2,)</f>
        <v>0</v>
      </c>
      <c r="Q365" s="155">
        <f ca="1">IF(ISNUMBER(MATCH(DATEVALUE($A365),'changes1_based on steps'!Q$1:Q$400,0)),Q$2,)</f>
        <v>0</v>
      </c>
      <c r="R365" s="155">
        <f ca="1">IF(ISNUMBER(MATCH(DATEVALUE($A365),'changes1_based on steps'!R$1:R$400,0)),R$2,)</f>
        <v>0</v>
      </c>
      <c r="S365" s="155">
        <f ca="1">IF(ISNUMBER(MATCH(DATEVALUE($A365),'changes1_based on steps'!S$1:S$400,0)),S$2,)</f>
        <v>0</v>
      </c>
      <c r="T365" s="155">
        <f ca="1">IF(ISNUMBER(MATCH(DATEVALUE($A365),'changes1_based on steps'!T$1:T$400,0)),T$2,)</f>
        <v>0</v>
      </c>
      <c r="U365" s="155">
        <f ca="1">IF(ISNUMBER(MATCH(DATEVALUE($A365),'changes1_based on steps'!U$1:U$400,0)),U$2,)</f>
        <v>0</v>
      </c>
    </row>
    <row r="366" spans="1:21" x14ac:dyDescent="0.2">
      <c r="A366" s="18" t="str">
        <f t="shared" ca="1" si="5"/>
        <v>2026-01-30</v>
      </c>
      <c r="B366" s="155">
        <f ca="1">IF(ISNUMBER(MATCH(DATEVALUE($A366),'changes1_based on steps'!B$1:B$400,0)),B$2,)</f>
        <v>0</v>
      </c>
      <c r="C366" s="155">
        <f ca="1">IF(ISNUMBER(MATCH(DATEVALUE($A366),'changes1_based on steps'!C$1:C$400,0)),C$2,)</f>
        <v>0</v>
      </c>
      <c r="D366" s="155">
        <f ca="1">IF(ISNUMBER(MATCH(DATEVALUE($A366),'changes1_based on steps'!D$1:D$400,0)),D$2,)</f>
        <v>0</v>
      </c>
      <c r="E366" s="155">
        <f ca="1">IF(ISNUMBER(MATCH(DATEVALUE($A366),'changes1_based on steps'!E$1:E$400,0)),E$2,)</f>
        <v>0</v>
      </c>
      <c r="F366" s="155">
        <f ca="1">IF(ISNUMBER(MATCH(DATEVALUE($A366),'changes1_based on steps'!F$1:F$400,0)),F$2,)</f>
        <v>0</v>
      </c>
      <c r="G366" s="155">
        <f ca="1">IF(ISNUMBER(MATCH(DATEVALUE($A366),'changes1_based on steps'!G$1:G$400,0)),G$2,)</f>
        <v>0</v>
      </c>
      <c r="H366" s="155">
        <f ca="1">IF(ISNUMBER(MATCH(DATEVALUE($A366),'changes1_based on steps'!H$1:H$400,0)),H$2,)</f>
        <v>0</v>
      </c>
      <c r="I366" s="155">
        <f ca="1">IF(ISNUMBER(MATCH(DATEVALUE($A366),'changes1_based on steps'!I$1:I$400,0)),I$2,)</f>
        <v>0</v>
      </c>
      <c r="J366" s="155">
        <f ca="1">IF(ISNUMBER(MATCH(DATEVALUE($A366),'changes1_based on steps'!J$1:J$400,0)),J$2,)</f>
        <v>0</v>
      </c>
      <c r="K366" s="155">
        <f ca="1">IF(ISNUMBER(MATCH(DATEVALUE($A366),'changes1_based on steps'!K$1:K$400,0)),K$2,)</f>
        <v>0</v>
      </c>
      <c r="L366" s="155">
        <f ca="1">IF(ISNUMBER(MATCH(DATEVALUE($A366),'changes1_based on steps'!L$1:L$400,0)),L$2,)</f>
        <v>0</v>
      </c>
      <c r="M366" s="155">
        <f ca="1">IF(ISNUMBER(MATCH(DATEVALUE($A366),'changes1_based on steps'!M$1:M$400,0)),M$2,)</f>
        <v>0</v>
      </c>
      <c r="N366" s="155">
        <f ca="1">IF(ISNUMBER(MATCH(DATEVALUE($A366),'changes1_based on steps'!N$1:N$400,0)),N$2,)</f>
        <v>0</v>
      </c>
      <c r="O366" s="155">
        <f ca="1">IF(ISNUMBER(MATCH(DATEVALUE($A366),'changes1_based on steps'!O$1:O$400,0)),O$2,)</f>
        <v>0</v>
      </c>
      <c r="P366" s="155">
        <f ca="1">IF(ISNUMBER(MATCH(DATEVALUE($A366),'changes1_based on steps'!P$1:P$400,0)),P$2,)</f>
        <v>0</v>
      </c>
      <c r="Q366" s="155">
        <f ca="1">IF(ISNUMBER(MATCH(DATEVALUE($A366),'changes1_based on steps'!Q$1:Q$400,0)),Q$2,)</f>
        <v>0</v>
      </c>
      <c r="R366" s="155">
        <f ca="1">IF(ISNUMBER(MATCH(DATEVALUE($A366),'changes1_based on steps'!R$1:R$400,0)),R$2,)</f>
        <v>0</v>
      </c>
      <c r="S366" s="155">
        <f ca="1">IF(ISNUMBER(MATCH(DATEVALUE($A366),'changes1_based on steps'!S$1:S$400,0)),S$2,)</f>
        <v>0</v>
      </c>
      <c r="T366" s="155">
        <f ca="1">IF(ISNUMBER(MATCH(DATEVALUE($A366),'changes1_based on steps'!T$1:T$400,0)),T$2,)</f>
        <v>0</v>
      </c>
      <c r="U366" s="155">
        <f ca="1">IF(ISNUMBER(MATCH(DATEVALUE($A366),'changes1_based on steps'!U$1:U$400,0)),U$2,)</f>
        <v>0</v>
      </c>
    </row>
    <row r="367" spans="1:21" x14ac:dyDescent="0.2">
      <c r="A367" s="18" t="str">
        <f t="shared" ca="1" si="5"/>
        <v>2026-01-31</v>
      </c>
      <c r="B367" s="155">
        <f ca="1">IF(ISNUMBER(MATCH(DATEVALUE($A367),'changes1_based on steps'!B$1:B$400,0)),B$2,)</f>
        <v>0</v>
      </c>
      <c r="C367" s="155">
        <f ca="1">IF(ISNUMBER(MATCH(DATEVALUE($A367),'changes1_based on steps'!C$1:C$400,0)),C$2,)</f>
        <v>50</v>
      </c>
      <c r="D367" s="155">
        <f ca="1">IF(ISNUMBER(MATCH(DATEVALUE($A367),'changes1_based on steps'!D$1:D$400,0)),D$2,)</f>
        <v>-100</v>
      </c>
      <c r="E367" s="155">
        <f ca="1">IF(ISNUMBER(MATCH(DATEVALUE($A367),'changes1_based on steps'!E$1:E$400,0)),E$2,)</f>
        <v>0</v>
      </c>
      <c r="F367" s="155">
        <f ca="1">IF(ISNUMBER(MATCH(DATEVALUE($A367),'changes1_based on steps'!F$1:F$400,0)),F$2,)</f>
        <v>0</v>
      </c>
      <c r="G367" s="155">
        <f ca="1">IF(ISNUMBER(MATCH(DATEVALUE($A367),'changes1_based on steps'!G$1:G$400,0)),G$2,)</f>
        <v>0</v>
      </c>
      <c r="H367" s="155">
        <f ca="1">IF(ISNUMBER(MATCH(DATEVALUE($A367),'changes1_based on steps'!H$1:H$400,0)),H$2,)</f>
        <v>0</v>
      </c>
      <c r="I367" s="155">
        <f ca="1">IF(ISNUMBER(MATCH(DATEVALUE($A367),'changes1_based on steps'!I$1:I$400,0)),I$2,)</f>
        <v>0</v>
      </c>
      <c r="J367" s="155">
        <f ca="1">IF(ISNUMBER(MATCH(DATEVALUE($A367),'changes1_based on steps'!J$1:J$400,0)),J$2,)</f>
        <v>0</v>
      </c>
      <c r="K367" s="155">
        <f ca="1">IF(ISNUMBER(MATCH(DATEVALUE($A367),'changes1_based on steps'!K$1:K$400,0)),K$2,)</f>
        <v>0</v>
      </c>
      <c r="L367" s="155">
        <f ca="1">IF(ISNUMBER(MATCH(DATEVALUE($A367),'changes1_based on steps'!L$1:L$400,0)),L$2,)</f>
        <v>0</v>
      </c>
      <c r="M367" s="155">
        <f ca="1">IF(ISNUMBER(MATCH(DATEVALUE($A367),'changes1_based on steps'!M$1:M$400,0)),M$2,)</f>
        <v>0</v>
      </c>
      <c r="N367" s="155">
        <f ca="1">IF(ISNUMBER(MATCH(DATEVALUE($A367),'changes1_based on steps'!N$1:N$400,0)),N$2,)</f>
        <v>0</v>
      </c>
      <c r="O367" s="155">
        <f ca="1">IF(ISNUMBER(MATCH(DATEVALUE($A367),'changes1_based on steps'!O$1:O$400,0)),O$2,)</f>
        <v>0</v>
      </c>
      <c r="P367" s="155">
        <f ca="1">IF(ISNUMBER(MATCH(DATEVALUE($A367),'changes1_based on steps'!P$1:P$400,0)),P$2,)</f>
        <v>0</v>
      </c>
      <c r="Q367" s="155">
        <f ca="1">IF(ISNUMBER(MATCH(DATEVALUE($A367),'changes1_based on steps'!Q$1:Q$400,0)),Q$2,)</f>
        <v>0</v>
      </c>
      <c r="R367" s="155">
        <f ca="1">IF(ISNUMBER(MATCH(DATEVALUE($A367),'changes1_based on steps'!R$1:R$400,0)),R$2,)</f>
        <v>0</v>
      </c>
      <c r="S367" s="155">
        <f ca="1">IF(ISNUMBER(MATCH(DATEVALUE($A367),'changes1_based on steps'!S$1:S$400,0)),S$2,)</f>
        <v>0</v>
      </c>
      <c r="T367" s="155">
        <f ca="1">IF(ISNUMBER(MATCH(DATEVALUE($A367),'changes1_based on steps'!T$1:T$400,0)),T$2,)</f>
        <v>0</v>
      </c>
      <c r="U367" s="155">
        <f ca="1">IF(ISNUMBER(MATCH(DATEVALUE($A367),'changes1_based on steps'!U$1:U$400,0)),U$2,)</f>
        <v>0</v>
      </c>
    </row>
    <row r="368" spans="1:21" x14ac:dyDescent="0.2">
      <c r="A368" s="18" t="str">
        <f t="shared" ca="1" si="5"/>
        <v>2026-02-01</v>
      </c>
      <c r="B368" s="155">
        <f ca="1">IF(ISNUMBER(MATCH(DATEVALUE($A368),'changes1_based on steps'!B$1:B$400,0)),B$2,)</f>
        <v>0</v>
      </c>
      <c r="C368" s="155">
        <f ca="1">IF(ISNUMBER(MATCH(DATEVALUE($A368),'changes1_based on steps'!C$1:C$400,0)),C$2,)</f>
        <v>0</v>
      </c>
      <c r="D368" s="155">
        <f ca="1">IF(ISNUMBER(MATCH(DATEVALUE($A368),'changes1_based on steps'!D$1:D$400,0)),D$2,)</f>
        <v>0</v>
      </c>
      <c r="E368" s="155">
        <f ca="1">IF(ISNUMBER(MATCH(DATEVALUE($A368),'changes1_based on steps'!E$1:E$400,0)),E$2,)</f>
        <v>0</v>
      </c>
      <c r="F368" s="155">
        <f ca="1">IF(ISNUMBER(MATCH(DATEVALUE($A368),'changes1_based on steps'!F$1:F$400,0)),F$2,)</f>
        <v>0</v>
      </c>
      <c r="G368" s="155">
        <f ca="1">IF(ISNUMBER(MATCH(DATEVALUE($A368),'changes1_based on steps'!G$1:G$400,0)),G$2,)</f>
        <v>0</v>
      </c>
      <c r="H368" s="155">
        <f ca="1">IF(ISNUMBER(MATCH(DATEVALUE($A368),'changes1_based on steps'!H$1:H$400,0)),H$2,)</f>
        <v>0</v>
      </c>
      <c r="I368" s="155">
        <f ca="1">IF(ISNUMBER(MATCH(DATEVALUE($A368),'changes1_based on steps'!I$1:I$400,0)),I$2,)</f>
        <v>0</v>
      </c>
      <c r="J368" s="155">
        <f ca="1">IF(ISNUMBER(MATCH(DATEVALUE($A368),'changes1_based on steps'!J$1:J$400,0)),J$2,)</f>
        <v>0</v>
      </c>
      <c r="K368" s="155">
        <f ca="1">IF(ISNUMBER(MATCH(DATEVALUE($A368),'changes1_based on steps'!K$1:K$400,0)),K$2,)</f>
        <v>0</v>
      </c>
      <c r="L368" s="155">
        <f ca="1">IF(ISNUMBER(MATCH(DATEVALUE($A368),'changes1_based on steps'!L$1:L$400,0)),L$2,)</f>
        <v>0</v>
      </c>
      <c r="M368" s="155">
        <f ca="1">IF(ISNUMBER(MATCH(DATEVALUE($A368),'changes1_based on steps'!M$1:M$400,0)),M$2,)</f>
        <v>0</v>
      </c>
      <c r="N368" s="155">
        <f ca="1">IF(ISNUMBER(MATCH(DATEVALUE($A368),'changes1_based on steps'!N$1:N$400,0)),N$2,)</f>
        <v>0</v>
      </c>
      <c r="O368" s="155">
        <f ca="1">IF(ISNUMBER(MATCH(DATEVALUE($A368),'changes1_based on steps'!O$1:O$400,0)),O$2,)</f>
        <v>0</v>
      </c>
      <c r="P368" s="155">
        <f ca="1">IF(ISNUMBER(MATCH(DATEVALUE($A368),'changes1_based on steps'!P$1:P$400,0)),P$2,)</f>
        <v>0</v>
      </c>
      <c r="Q368" s="155">
        <f ca="1">IF(ISNUMBER(MATCH(DATEVALUE($A368),'changes1_based on steps'!Q$1:Q$400,0)),Q$2,)</f>
        <v>0</v>
      </c>
      <c r="R368" s="155">
        <f ca="1">IF(ISNUMBER(MATCH(DATEVALUE($A368),'changes1_based on steps'!R$1:R$400,0)),R$2,)</f>
        <v>0</v>
      </c>
      <c r="S368" s="155">
        <f ca="1">IF(ISNUMBER(MATCH(DATEVALUE($A368),'changes1_based on steps'!S$1:S$400,0)),S$2,)</f>
        <v>0</v>
      </c>
      <c r="T368" s="155">
        <f ca="1">IF(ISNUMBER(MATCH(DATEVALUE($A368),'changes1_based on steps'!T$1:T$400,0)),T$2,)</f>
        <v>0</v>
      </c>
      <c r="U368" s="155">
        <f ca="1">IF(ISNUMBER(MATCH(DATEVALUE($A368),'changes1_based on steps'!U$1:U$400,0)),U$2,)</f>
        <v>0</v>
      </c>
    </row>
    <row r="369" spans="1:21" x14ac:dyDescent="0.2">
      <c r="A369" s="18" t="str">
        <f t="shared" ca="1" si="5"/>
        <v>2026-02-02</v>
      </c>
      <c r="B369" s="155">
        <f ca="1">IF(ISNUMBER(MATCH(DATEVALUE($A369),'changes1_based on steps'!B$1:B$400,0)),B$2,)</f>
        <v>0</v>
      </c>
      <c r="C369" s="155">
        <f ca="1">IF(ISNUMBER(MATCH(DATEVALUE($A369),'changes1_based on steps'!C$1:C$400,0)),C$2,)</f>
        <v>0</v>
      </c>
      <c r="D369" s="155">
        <f ca="1">IF(ISNUMBER(MATCH(DATEVALUE($A369),'changes1_based on steps'!D$1:D$400,0)),D$2,)</f>
        <v>0</v>
      </c>
      <c r="E369" s="155">
        <f ca="1">IF(ISNUMBER(MATCH(DATEVALUE($A369),'changes1_based on steps'!E$1:E$400,0)),E$2,)</f>
        <v>0</v>
      </c>
      <c r="F369" s="155">
        <f ca="1">IF(ISNUMBER(MATCH(DATEVALUE($A369),'changes1_based on steps'!F$1:F$400,0)),F$2,)</f>
        <v>0</v>
      </c>
      <c r="G369" s="155">
        <f ca="1">IF(ISNUMBER(MATCH(DATEVALUE($A369),'changes1_based on steps'!G$1:G$400,0)),G$2,)</f>
        <v>0</v>
      </c>
      <c r="H369" s="155">
        <f ca="1">IF(ISNUMBER(MATCH(DATEVALUE($A369),'changes1_based on steps'!H$1:H$400,0)),H$2,)</f>
        <v>0</v>
      </c>
      <c r="I369" s="155">
        <f ca="1">IF(ISNUMBER(MATCH(DATEVALUE($A369),'changes1_based on steps'!I$1:I$400,0)),I$2,)</f>
        <v>0</v>
      </c>
      <c r="J369" s="155">
        <f ca="1">IF(ISNUMBER(MATCH(DATEVALUE($A369),'changes1_based on steps'!J$1:J$400,0)),J$2,)</f>
        <v>0</v>
      </c>
      <c r="K369" s="155">
        <f ca="1">IF(ISNUMBER(MATCH(DATEVALUE($A369),'changes1_based on steps'!K$1:K$400,0)),K$2,)</f>
        <v>0</v>
      </c>
      <c r="L369" s="155">
        <f ca="1">IF(ISNUMBER(MATCH(DATEVALUE($A369),'changes1_based on steps'!L$1:L$400,0)),L$2,)</f>
        <v>0</v>
      </c>
      <c r="M369" s="155">
        <f ca="1">IF(ISNUMBER(MATCH(DATEVALUE($A369),'changes1_based on steps'!M$1:M$400,0)),M$2,)</f>
        <v>0</v>
      </c>
      <c r="N369" s="155">
        <f ca="1">IF(ISNUMBER(MATCH(DATEVALUE($A369),'changes1_based on steps'!N$1:N$400,0)),N$2,)</f>
        <v>0</v>
      </c>
      <c r="O369" s="155">
        <f ca="1">IF(ISNUMBER(MATCH(DATEVALUE($A369),'changes1_based on steps'!O$1:O$400,0)),O$2,)</f>
        <v>0</v>
      </c>
      <c r="P369" s="155">
        <f ca="1">IF(ISNUMBER(MATCH(DATEVALUE($A369),'changes1_based on steps'!P$1:P$400,0)),P$2,)</f>
        <v>0</v>
      </c>
      <c r="Q369" s="155">
        <f ca="1">IF(ISNUMBER(MATCH(DATEVALUE($A369),'changes1_based on steps'!Q$1:Q$400,0)),Q$2,)</f>
        <v>0</v>
      </c>
      <c r="R369" s="155">
        <f ca="1">IF(ISNUMBER(MATCH(DATEVALUE($A369),'changes1_based on steps'!R$1:R$400,0)),R$2,)</f>
        <v>0</v>
      </c>
      <c r="S369" s="155">
        <f ca="1">IF(ISNUMBER(MATCH(DATEVALUE($A369),'changes1_based on steps'!S$1:S$400,0)),S$2,)</f>
        <v>0</v>
      </c>
      <c r="T369" s="155">
        <f ca="1">IF(ISNUMBER(MATCH(DATEVALUE($A369),'changes1_based on steps'!T$1:T$400,0)),T$2,)</f>
        <v>0</v>
      </c>
      <c r="U369" s="155">
        <f ca="1">IF(ISNUMBER(MATCH(DATEVALUE($A369),'changes1_based on steps'!U$1:U$400,0)),U$2,)</f>
        <v>0</v>
      </c>
    </row>
    <row r="370" spans="1:21" x14ac:dyDescent="0.2">
      <c r="A370" s="18" t="str">
        <f t="shared" ca="1" si="5"/>
        <v>2026-02-03</v>
      </c>
      <c r="B370" s="155">
        <f ca="1">IF(ISNUMBER(MATCH(DATEVALUE($A370),'changes1_based on steps'!B$1:B$400,0)),B$2,)</f>
        <v>0</v>
      </c>
      <c r="C370" s="155">
        <f ca="1">IF(ISNUMBER(MATCH(DATEVALUE($A370),'changes1_based on steps'!C$1:C$400,0)),C$2,)</f>
        <v>0</v>
      </c>
      <c r="D370" s="155">
        <f ca="1">IF(ISNUMBER(MATCH(DATEVALUE($A370),'changes1_based on steps'!D$1:D$400,0)),D$2,)</f>
        <v>0</v>
      </c>
      <c r="E370" s="155">
        <f ca="1">IF(ISNUMBER(MATCH(DATEVALUE($A370),'changes1_based on steps'!E$1:E$400,0)),E$2,)</f>
        <v>0</v>
      </c>
      <c r="F370" s="155">
        <f ca="1">IF(ISNUMBER(MATCH(DATEVALUE($A370),'changes1_based on steps'!F$1:F$400,0)),F$2,)</f>
        <v>0</v>
      </c>
      <c r="G370" s="155">
        <f ca="1">IF(ISNUMBER(MATCH(DATEVALUE($A370),'changes1_based on steps'!G$1:G$400,0)),G$2,)</f>
        <v>0</v>
      </c>
      <c r="H370" s="155">
        <f ca="1">IF(ISNUMBER(MATCH(DATEVALUE($A370),'changes1_based on steps'!H$1:H$400,0)),H$2,)</f>
        <v>0</v>
      </c>
      <c r="I370" s="155">
        <f ca="1">IF(ISNUMBER(MATCH(DATEVALUE($A370),'changes1_based on steps'!I$1:I$400,0)),I$2,)</f>
        <v>0</v>
      </c>
      <c r="J370" s="155">
        <f ca="1">IF(ISNUMBER(MATCH(DATEVALUE($A370),'changes1_based on steps'!J$1:J$400,0)),J$2,)</f>
        <v>0</v>
      </c>
      <c r="K370" s="155">
        <f ca="1">IF(ISNUMBER(MATCH(DATEVALUE($A370),'changes1_based on steps'!K$1:K$400,0)),K$2,)</f>
        <v>0</v>
      </c>
      <c r="L370" s="155">
        <f ca="1">IF(ISNUMBER(MATCH(DATEVALUE($A370),'changes1_based on steps'!L$1:L$400,0)),L$2,)</f>
        <v>0</v>
      </c>
      <c r="M370" s="155">
        <f ca="1">IF(ISNUMBER(MATCH(DATEVALUE($A370),'changes1_based on steps'!M$1:M$400,0)),M$2,)</f>
        <v>0</v>
      </c>
      <c r="N370" s="155">
        <f ca="1">IF(ISNUMBER(MATCH(DATEVALUE($A370),'changes1_based on steps'!N$1:N$400,0)),N$2,)</f>
        <v>0</v>
      </c>
      <c r="O370" s="155">
        <f ca="1">IF(ISNUMBER(MATCH(DATEVALUE($A370),'changes1_based on steps'!O$1:O$400,0)),O$2,)</f>
        <v>0</v>
      </c>
      <c r="P370" s="155">
        <f ca="1">IF(ISNUMBER(MATCH(DATEVALUE($A370),'changes1_based on steps'!P$1:P$400,0)),P$2,)</f>
        <v>0</v>
      </c>
      <c r="Q370" s="155">
        <f ca="1">IF(ISNUMBER(MATCH(DATEVALUE($A370),'changes1_based on steps'!Q$1:Q$400,0)),Q$2,)</f>
        <v>0</v>
      </c>
      <c r="R370" s="155">
        <f ca="1">IF(ISNUMBER(MATCH(DATEVALUE($A370),'changes1_based on steps'!R$1:R$400,0)),R$2,)</f>
        <v>0</v>
      </c>
      <c r="S370" s="155">
        <f ca="1">IF(ISNUMBER(MATCH(DATEVALUE($A370),'changes1_based on steps'!S$1:S$400,0)),S$2,)</f>
        <v>0</v>
      </c>
      <c r="T370" s="155">
        <f ca="1">IF(ISNUMBER(MATCH(DATEVALUE($A370),'changes1_based on steps'!T$1:T$400,0)),T$2,)</f>
        <v>0</v>
      </c>
      <c r="U370" s="155">
        <f ca="1">IF(ISNUMBER(MATCH(DATEVALUE($A370),'changes1_based on steps'!U$1:U$400,0)),U$2,)</f>
        <v>0</v>
      </c>
    </row>
    <row r="371" spans="1:21" x14ac:dyDescent="0.2">
      <c r="A371" s="18" t="str">
        <f t="shared" ca="1" si="5"/>
        <v>2026-02-04</v>
      </c>
      <c r="B371" s="155">
        <f ca="1">IF(ISNUMBER(MATCH(DATEVALUE($A371),'changes1_based on steps'!B$1:B$400,0)),B$2,)</f>
        <v>0</v>
      </c>
      <c r="C371" s="155">
        <f ca="1">IF(ISNUMBER(MATCH(DATEVALUE($A371),'changes1_based on steps'!C$1:C$400,0)),C$2,)</f>
        <v>0</v>
      </c>
      <c r="D371" s="155">
        <f ca="1">IF(ISNUMBER(MATCH(DATEVALUE($A371),'changes1_based on steps'!D$1:D$400,0)),D$2,)</f>
        <v>0</v>
      </c>
      <c r="E371" s="155">
        <f ca="1">IF(ISNUMBER(MATCH(DATEVALUE($A371),'changes1_based on steps'!E$1:E$400,0)),E$2,)</f>
        <v>0</v>
      </c>
      <c r="F371" s="155">
        <f ca="1">IF(ISNUMBER(MATCH(DATEVALUE($A371),'changes1_based on steps'!F$1:F$400,0)),F$2,)</f>
        <v>0</v>
      </c>
      <c r="G371" s="155">
        <f ca="1">IF(ISNUMBER(MATCH(DATEVALUE($A371),'changes1_based on steps'!G$1:G$400,0)),G$2,)</f>
        <v>0</v>
      </c>
      <c r="H371" s="155">
        <f ca="1">IF(ISNUMBER(MATCH(DATEVALUE($A371),'changes1_based on steps'!H$1:H$400,0)),H$2,)</f>
        <v>0</v>
      </c>
      <c r="I371" s="155">
        <f ca="1">IF(ISNUMBER(MATCH(DATEVALUE($A371),'changes1_based on steps'!I$1:I$400,0)),I$2,)</f>
        <v>0</v>
      </c>
      <c r="J371" s="155">
        <f ca="1">IF(ISNUMBER(MATCH(DATEVALUE($A371),'changes1_based on steps'!J$1:J$400,0)),J$2,)</f>
        <v>0</v>
      </c>
      <c r="K371" s="155">
        <f ca="1">IF(ISNUMBER(MATCH(DATEVALUE($A371),'changes1_based on steps'!K$1:K$400,0)),K$2,)</f>
        <v>0</v>
      </c>
      <c r="L371" s="155">
        <f ca="1">IF(ISNUMBER(MATCH(DATEVALUE($A371),'changes1_based on steps'!L$1:L$400,0)),L$2,)</f>
        <v>0</v>
      </c>
      <c r="M371" s="155">
        <f ca="1">IF(ISNUMBER(MATCH(DATEVALUE($A371),'changes1_based on steps'!M$1:M$400,0)),M$2,)</f>
        <v>0</v>
      </c>
      <c r="N371" s="155">
        <f ca="1">IF(ISNUMBER(MATCH(DATEVALUE($A371),'changes1_based on steps'!N$1:N$400,0)),N$2,)</f>
        <v>0</v>
      </c>
      <c r="O371" s="155">
        <f ca="1">IF(ISNUMBER(MATCH(DATEVALUE($A371),'changes1_based on steps'!O$1:O$400,0)),O$2,)</f>
        <v>0</v>
      </c>
      <c r="P371" s="155">
        <f ca="1">IF(ISNUMBER(MATCH(DATEVALUE($A371),'changes1_based on steps'!P$1:P$400,0)),P$2,)</f>
        <v>0</v>
      </c>
      <c r="Q371" s="155">
        <f ca="1">IF(ISNUMBER(MATCH(DATEVALUE($A371),'changes1_based on steps'!Q$1:Q$400,0)),Q$2,)</f>
        <v>0</v>
      </c>
      <c r="R371" s="155">
        <f ca="1">IF(ISNUMBER(MATCH(DATEVALUE($A371),'changes1_based on steps'!R$1:R$400,0)),R$2,)</f>
        <v>0</v>
      </c>
      <c r="S371" s="155">
        <f ca="1">IF(ISNUMBER(MATCH(DATEVALUE($A371),'changes1_based on steps'!S$1:S$400,0)),S$2,)</f>
        <v>0</v>
      </c>
      <c r="T371" s="155">
        <f ca="1">IF(ISNUMBER(MATCH(DATEVALUE($A371),'changes1_based on steps'!T$1:T$400,0)),T$2,)</f>
        <v>0</v>
      </c>
      <c r="U371" s="155">
        <f ca="1">IF(ISNUMBER(MATCH(DATEVALUE($A371),'changes1_based on steps'!U$1:U$400,0)),U$2,)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B55A9-C0EB-4D6C-8525-FD2115A9D13B}">
  <sheetPr codeName="Sheet24">
    <tabColor theme="9"/>
  </sheetPr>
  <dimension ref="A1:AB369"/>
  <sheetViews>
    <sheetView workbookViewId="0"/>
  </sheetViews>
  <sheetFormatPr defaultColWidth="8" defaultRowHeight="12.75" x14ac:dyDescent="0.2"/>
  <cols>
    <col min="1" max="12" width="10.140625" style="19" bestFit="1" customWidth="1"/>
    <col min="13" max="27" width="10.140625" style="19" customWidth="1"/>
    <col min="28" max="34" width="10.140625" style="19" bestFit="1" customWidth="1"/>
    <col min="35" max="16384" width="8" style="19"/>
  </cols>
  <sheetData>
    <row r="1" spans="1:28" x14ac:dyDescent="0.2">
      <c r="B1" s="179" t="s">
        <v>11</v>
      </c>
      <c r="C1" s="179" t="s">
        <v>12</v>
      </c>
      <c r="D1" s="179" t="s">
        <v>37</v>
      </c>
      <c r="E1" s="179" t="s">
        <v>33</v>
      </c>
      <c r="F1" s="179" t="s">
        <v>108</v>
      </c>
      <c r="G1" s="179" t="s">
        <v>107</v>
      </c>
      <c r="H1" s="179" t="s">
        <v>118</v>
      </c>
      <c r="I1" s="14" t="s">
        <v>211</v>
      </c>
      <c r="J1" s="179" t="s">
        <v>14</v>
      </c>
      <c r="K1" s="179" t="s">
        <v>15</v>
      </c>
      <c r="L1" s="179" t="s">
        <v>38</v>
      </c>
      <c r="M1" s="179" t="s">
        <v>42</v>
      </c>
      <c r="N1" s="179" t="s">
        <v>30</v>
      </c>
      <c r="O1" s="180" t="s">
        <v>265</v>
      </c>
      <c r="P1" s="179" t="s">
        <v>44</v>
      </c>
      <c r="Q1" s="14" t="s">
        <v>210</v>
      </c>
      <c r="R1" s="179" t="s">
        <v>1</v>
      </c>
      <c r="S1" s="179" t="s">
        <v>2</v>
      </c>
      <c r="T1" s="179" t="s">
        <v>45</v>
      </c>
      <c r="U1" s="179" t="s">
        <v>3</v>
      </c>
      <c r="V1" t="s">
        <v>16</v>
      </c>
      <c r="W1" s="179" t="s">
        <v>109</v>
      </c>
      <c r="X1" s="179" t="s">
        <v>110</v>
      </c>
      <c r="Y1" s="179" t="s">
        <v>7</v>
      </c>
      <c r="Z1" s="179" t="s">
        <v>25</v>
      </c>
      <c r="AA1" s="179" t="s">
        <v>111</v>
      </c>
      <c r="AB1" s="181" t="s">
        <v>248</v>
      </c>
    </row>
    <row r="2" spans="1:28" x14ac:dyDescent="0.2">
      <c r="B2" s="179"/>
      <c r="C2" s="179"/>
      <c r="D2" s="179"/>
      <c r="E2" s="179"/>
      <c r="F2" s="179"/>
      <c r="G2" s="179"/>
      <c r="H2" s="179"/>
      <c r="I2" s="14"/>
      <c r="J2" s="179"/>
      <c r="K2" s="179"/>
      <c r="L2" s="179"/>
      <c r="M2" s="179"/>
      <c r="N2" s="179"/>
      <c r="O2" s="180"/>
      <c r="P2" s="179"/>
      <c r="Q2" s="14"/>
      <c r="R2" s="179"/>
      <c r="S2" s="179"/>
      <c r="T2" s="179"/>
      <c r="U2" s="179"/>
      <c r="V2"/>
      <c r="W2" s="179"/>
      <c r="X2" s="179"/>
      <c r="Y2" s="179"/>
      <c r="Z2" s="179"/>
      <c r="AA2" s="179"/>
      <c r="AB2" s="181"/>
    </row>
    <row r="3" spans="1:28" x14ac:dyDescent="0.2">
      <c r="A3" s="18">
        <f ca="1">TODAY()</f>
        <v>45689</v>
      </c>
      <c r="B3" s="155">
        <f ca="1">SUMIFS('recurring2_based on steps'!$B3:$AY3,'recurring2_based on steps'!$B$1:$AY$1,B$1)+SUMIFS('changes2_based on steps'!$B3:$U3,'changes2_based on steps'!$B$1:$U$1,B$1)</f>
        <v>0</v>
      </c>
      <c r="C3" s="155">
        <f>SUMIFS('recurring2_based on steps'!$B3:$AY3,'recurring2_based on steps'!$B$1:$AY$1,C$1)+SUMIFS('changes2_based on steps'!$B3:$U3,'changes2_based on steps'!$B$1:$U$1,C$1)</f>
        <v>0</v>
      </c>
      <c r="D3" s="155">
        <f>SUMIFS('recurring2_based on steps'!$B3:$AY3,'recurring2_based on steps'!$B$1:$AY$1,D$1)+SUMIFS('changes2_based on steps'!$B3:$U3,'changes2_based on steps'!$B$1:$U$1,D$1)</f>
        <v>0</v>
      </c>
      <c r="E3" s="155">
        <f>SUMIFS('recurring2_based on steps'!$B3:$AY3,'recurring2_based on steps'!$B$1:$AY$1,E$1)+SUMIFS('changes2_based on steps'!$B3:$U3,'changes2_based on steps'!$B$1:$U$1,E$1)</f>
        <v>0</v>
      </c>
      <c r="F3" s="155">
        <f>SUMIFS('recurring2_based on steps'!$B3:$AY3,'recurring2_based on steps'!$B$1:$AY$1,F$1)+SUMIFS('changes2_based on steps'!$B3:$U3,'changes2_based on steps'!$B$1:$U$1,F$1)</f>
        <v>0</v>
      </c>
      <c r="G3" s="155">
        <f>SUMIFS('recurring2_based on steps'!$B3:$AY3,'recurring2_based on steps'!$B$1:$AY$1,G$1)+SUMIFS('changes2_based on steps'!$B3:$U3,'changes2_based on steps'!$B$1:$U$1,G$1)</f>
        <v>0</v>
      </c>
      <c r="H3" s="155">
        <f ca="1">SUMIFS('recurring2_based on steps'!$B3:$AY3,'recurring2_based on steps'!$B$1:$AY$1,H$1)+SUMIFS('changes2_based on steps'!$B3:$U3,'changes2_based on steps'!$B$1:$U$1,H$1)</f>
        <v>0</v>
      </c>
      <c r="I3" s="155">
        <f>SUMIFS('recurring2_based on steps'!$B3:$AY3,'recurring2_based on steps'!$B$1:$AY$1,I$1)+SUMIFS('changes2_based on steps'!$B3:$U3,'changes2_based on steps'!$B$1:$U$1,I$1)</f>
        <v>0</v>
      </c>
      <c r="J3" s="155">
        <f>SUMIFS('recurring2_based on steps'!$B3:$AY3,'recurring2_based on steps'!$B$1:$AY$1,J$1)+SUMIFS('changes2_based on steps'!$B3:$U3,'changes2_based on steps'!$B$1:$U$1,J$1)</f>
        <v>0</v>
      </c>
      <c r="K3" s="155">
        <f>SUMIFS('recurring2_based on steps'!$B3:$AY3,'recurring2_based on steps'!$B$1:$AY$1,K$1)+SUMIFS('changes2_based on steps'!$B3:$U3,'changes2_based on steps'!$B$1:$U$1,K$1)</f>
        <v>0</v>
      </c>
      <c r="L3" s="155">
        <f>SUMIFS('recurring2_based on steps'!$B3:$AY3,'recurring2_based on steps'!$B$1:$AY$1,L$1)+SUMIFS('changes2_based on steps'!$B3:$U3,'changes2_based on steps'!$B$1:$U$1,L$1)</f>
        <v>0</v>
      </c>
      <c r="M3" s="155">
        <f ca="1">SUMIFS('recurring2_based on steps'!$B3:$AY3,'recurring2_based on steps'!$B$1:$AY$1,M$1)+SUMIFS('changes2_based on steps'!$B3:$U3,'changes2_based on steps'!$B$1:$U$1,M$1)</f>
        <v>2000</v>
      </c>
      <c r="N3" s="155">
        <f ca="1">SUMIFS('recurring2_based on steps'!$B3:$AY3,'recurring2_based on steps'!$B$1:$AY$1,N$1)+SUMIFS('changes2_based on steps'!$B3:$U3,'changes2_based on steps'!$B$1:$U$1,N$1)</f>
        <v>0</v>
      </c>
      <c r="O3" s="155">
        <f ca="1">SUMIFS('recurring2_based on steps'!$B3:$AY3,'recurring2_based on steps'!$B$1:$AY$1,O$1)+SUMIFS('changes2_based on steps'!$B3:$U3,'changes2_based on steps'!$B$1:$U$1,O$1)</f>
        <v>0</v>
      </c>
      <c r="P3" s="155">
        <f ca="1">SUMIFS('recurring2_based on steps'!$B3:$AY3,'recurring2_based on steps'!$B$1:$AY$1,P$1)+SUMIFS('changes2_based on steps'!$B3:$U3,'changes2_based on steps'!$B$1:$U$1,P$1)</f>
        <v>0</v>
      </c>
      <c r="Q3" s="155">
        <f>SUMIFS('recurring2_based on steps'!$B3:$AY3,'recurring2_based on steps'!$B$1:$AY$1,Q$1)+SUMIFS('changes2_based on steps'!$B3:$U3,'changes2_based on steps'!$B$1:$U$1,Q$1)</f>
        <v>0</v>
      </c>
      <c r="R3" s="155">
        <f ca="1">SUMIFS('recurring2_based on steps'!$B3:$AY3,'recurring2_based on steps'!$B$1:$AY$1,R$1)+SUMIFS('changes2_based on steps'!$B3:$U3,'changes2_based on steps'!$B$1:$U$1,R$1)</f>
        <v>100</v>
      </c>
      <c r="S3" s="155">
        <f ca="1">SUMIFS('recurring2_based on steps'!$B3:$AY3,'recurring2_based on steps'!$B$1:$AY$1,S$1)+SUMIFS('changes2_based on steps'!$B3:$U3,'changes2_based on steps'!$B$1:$U$1,S$1)</f>
        <v>100</v>
      </c>
      <c r="T3" s="155">
        <f>SUMIFS('recurring2_based on steps'!$B3:$AY3,'recurring2_based on steps'!$B$1:$AY$1,T$1)+SUMIFS('changes2_based on steps'!$B3:$U3,'changes2_based on steps'!$B$1:$U$1,T$1)</f>
        <v>0</v>
      </c>
      <c r="U3" s="155">
        <f ca="1">SUMIFS('recurring2_based on steps'!$B3:$AY3,'recurring2_based on steps'!$B$1:$AY$1,U$1)+SUMIFS('changes2_based on steps'!$B3:$U3,'changes2_based on steps'!$B$1:$U$1,U$1)</f>
        <v>0</v>
      </c>
      <c r="V3" s="155">
        <f>SUMIFS('recurring2_based on steps'!$B3:$AY3,'recurring2_based on steps'!$B$1:$AY$1,V$1)+SUMIFS('changes2_based on steps'!$B3:$U3,'changes2_based on steps'!$B$1:$U$1,V$1)</f>
        <v>0</v>
      </c>
      <c r="W3" s="155">
        <f ca="1">SUMIFS('recurring2_based on steps'!$B3:$AY3,'recurring2_based on steps'!$B$1:$AY$1,W$1)+SUMIFS('changes2_based on steps'!$B3:$U3,'changes2_based on steps'!$B$1:$U$1,W$1)</f>
        <v>0</v>
      </c>
      <c r="X3" s="155">
        <f ca="1">SUMIFS('recurring2_based on steps'!$B3:$AY3,'recurring2_based on steps'!$B$1:$AY$1,X$1)+SUMIFS('changes2_based on steps'!$B3:$U3,'changes2_based on steps'!$B$1:$U$1,X$1)</f>
        <v>0</v>
      </c>
      <c r="Y3" s="155">
        <f ca="1">SUMIFS('recurring2_based on steps'!$B3:$AY3,'recurring2_based on steps'!$B$1:$AY$1,Y$1)+SUMIFS('changes2_based on steps'!$B3:$U3,'changes2_based on steps'!$B$1:$U$1,Y$1)</f>
        <v>0</v>
      </c>
      <c r="Z3" s="155">
        <f>SUMIFS('recurring2_based on steps'!$B3:$AY3,'recurring2_based on steps'!$B$1:$AY$1,Z$1)+SUMIFS('changes2_based on steps'!$B3:$U3,'changes2_based on steps'!$B$1:$U$1,Z$1)</f>
        <v>0</v>
      </c>
      <c r="AA3" s="155">
        <f>SUMIFS('recurring2_based on steps'!$B3:$AY3,'recurring2_based on steps'!$B$1:$AY$1,AA$1)+SUMIFS('changes2_based on steps'!$B3:$U3,'changes2_based on steps'!$B$1:$U$1,AA$1)</f>
        <v>0</v>
      </c>
      <c r="AB3" s="155"/>
    </row>
    <row r="4" spans="1:28" x14ac:dyDescent="0.2">
      <c r="A4" s="18">
        <f ca="1">A3+1</f>
        <v>45690</v>
      </c>
      <c r="B4" s="155">
        <f ca="1">SUMIFS('recurring2_based on steps'!$B4:$AY4,'recurring2_based on steps'!$B$1:$AY$1,B$1)+SUMIFS('changes2_based on steps'!$B4:$U4,'changes2_based on steps'!$B$1:$U$1,B$1)</f>
        <v>0</v>
      </c>
      <c r="C4" s="155">
        <f>SUMIFS('recurring2_based on steps'!$B4:$AY4,'recurring2_based on steps'!$B$1:$AY$1,C$1)+SUMIFS('changes2_based on steps'!$B4:$U4,'changes2_based on steps'!$B$1:$U$1,C$1)</f>
        <v>0</v>
      </c>
      <c r="D4" s="155">
        <f>SUMIFS('recurring2_based on steps'!$B4:$AY4,'recurring2_based on steps'!$B$1:$AY$1,D$1)+SUMIFS('changes2_based on steps'!$B4:$U4,'changes2_based on steps'!$B$1:$U$1,D$1)</f>
        <v>0</v>
      </c>
      <c r="E4" s="155">
        <f>SUMIFS('recurring2_based on steps'!$B4:$AY4,'recurring2_based on steps'!$B$1:$AY$1,E$1)+SUMIFS('changes2_based on steps'!$B4:$U4,'changes2_based on steps'!$B$1:$U$1,E$1)</f>
        <v>0</v>
      </c>
      <c r="F4" s="155">
        <f>SUMIFS('recurring2_based on steps'!$B4:$AY4,'recurring2_based on steps'!$B$1:$AY$1,F$1)+SUMIFS('changes2_based on steps'!$B4:$U4,'changes2_based on steps'!$B$1:$U$1,F$1)</f>
        <v>0</v>
      </c>
      <c r="G4" s="155">
        <f>SUMIFS('recurring2_based on steps'!$B4:$AY4,'recurring2_based on steps'!$B$1:$AY$1,G$1)+SUMIFS('changes2_based on steps'!$B4:$U4,'changes2_based on steps'!$B$1:$U$1,G$1)</f>
        <v>0</v>
      </c>
      <c r="H4" s="155">
        <f ca="1">SUMIFS('recurring2_based on steps'!$B4:$AY4,'recurring2_based on steps'!$B$1:$AY$1,H$1)+SUMIFS('changes2_based on steps'!$B4:$U4,'changes2_based on steps'!$B$1:$U$1,H$1)</f>
        <v>0</v>
      </c>
      <c r="I4" s="155">
        <f>SUMIFS('recurring2_based on steps'!$B4:$AY4,'recurring2_based on steps'!$B$1:$AY$1,I$1)+SUMIFS('changes2_based on steps'!$B4:$U4,'changes2_based on steps'!$B$1:$U$1,I$1)</f>
        <v>0</v>
      </c>
      <c r="J4" s="155">
        <f>SUMIFS('recurring2_based on steps'!$B4:$AY4,'recurring2_based on steps'!$B$1:$AY$1,J$1)+SUMIFS('changes2_based on steps'!$B4:$U4,'changes2_based on steps'!$B$1:$U$1,J$1)</f>
        <v>0</v>
      </c>
      <c r="K4" s="155">
        <f>SUMIFS('recurring2_based on steps'!$B4:$AY4,'recurring2_based on steps'!$B$1:$AY$1,K$1)+SUMIFS('changes2_based on steps'!$B4:$U4,'changes2_based on steps'!$B$1:$U$1,K$1)</f>
        <v>0</v>
      </c>
      <c r="L4" s="155">
        <f>SUMIFS('recurring2_based on steps'!$B4:$AY4,'recurring2_based on steps'!$B$1:$AY$1,L$1)+SUMIFS('changes2_based on steps'!$B4:$U4,'changes2_based on steps'!$B$1:$U$1,L$1)</f>
        <v>0</v>
      </c>
      <c r="M4" s="155">
        <f ca="1">SUMIFS('recurring2_based on steps'!$B4:$AY4,'recurring2_based on steps'!$B$1:$AY$1,M$1)+SUMIFS('changes2_based on steps'!$B4:$U4,'changes2_based on steps'!$B$1:$U$1,M$1)</f>
        <v>0</v>
      </c>
      <c r="N4" s="155">
        <f ca="1">SUMIFS('recurring2_based on steps'!$B4:$AY4,'recurring2_based on steps'!$B$1:$AY$1,N$1)+SUMIFS('changes2_based on steps'!$B4:$U4,'changes2_based on steps'!$B$1:$U$1,N$1)</f>
        <v>50</v>
      </c>
      <c r="O4" s="155">
        <f ca="1">SUMIFS('recurring2_based on steps'!$B4:$AY4,'recurring2_based on steps'!$B$1:$AY$1,O$1)+SUMIFS('changes2_based on steps'!$B4:$U4,'changes2_based on steps'!$B$1:$U$1,O$1)</f>
        <v>0</v>
      </c>
      <c r="P4" s="155">
        <f ca="1">SUMIFS('recurring2_based on steps'!$B4:$AY4,'recurring2_based on steps'!$B$1:$AY$1,P$1)+SUMIFS('changes2_based on steps'!$B4:$U4,'changes2_based on steps'!$B$1:$U$1,P$1)</f>
        <v>0</v>
      </c>
      <c r="Q4" s="155">
        <f>SUMIFS('recurring2_based on steps'!$B4:$AY4,'recurring2_based on steps'!$B$1:$AY$1,Q$1)+SUMIFS('changes2_based on steps'!$B4:$U4,'changes2_based on steps'!$B$1:$U$1,Q$1)</f>
        <v>0</v>
      </c>
      <c r="R4" s="155">
        <f ca="1">SUMIFS('recurring2_based on steps'!$B4:$AY4,'recurring2_based on steps'!$B$1:$AY$1,R$1)+SUMIFS('changes2_based on steps'!$B4:$U4,'changes2_based on steps'!$B$1:$U$1,R$1)</f>
        <v>0</v>
      </c>
      <c r="S4" s="155">
        <f ca="1">SUMIFS('recurring2_based on steps'!$B4:$AY4,'recurring2_based on steps'!$B$1:$AY$1,S$1)+SUMIFS('changes2_based on steps'!$B4:$U4,'changes2_based on steps'!$B$1:$U$1,S$1)</f>
        <v>100</v>
      </c>
      <c r="T4" s="155">
        <f>SUMIFS('recurring2_based on steps'!$B4:$AY4,'recurring2_based on steps'!$B$1:$AY$1,T$1)+SUMIFS('changes2_based on steps'!$B4:$U4,'changes2_based on steps'!$B$1:$U$1,T$1)</f>
        <v>0</v>
      </c>
      <c r="U4" s="155">
        <f ca="1">SUMIFS('recurring2_based on steps'!$B4:$AY4,'recurring2_based on steps'!$B$1:$AY$1,U$1)+SUMIFS('changes2_based on steps'!$B4:$U4,'changes2_based on steps'!$B$1:$U$1,U$1)</f>
        <v>0</v>
      </c>
      <c r="V4" s="155">
        <f>SUMIFS('recurring2_based on steps'!$B4:$AY4,'recurring2_based on steps'!$B$1:$AY$1,V$1)+SUMIFS('changes2_based on steps'!$B4:$U4,'changes2_based on steps'!$B$1:$U$1,V$1)</f>
        <v>0</v>
      </c>
      <c r="W4" s="155">
        <f ca="1">SUMIFS('recurring2_based on steps'!$B4:$AY4,'recurring2_based on steps'!$B$1:$AY$1,W$1)+SUMIFS('changes2_based on steps'!$B4:$U4,'changes2_based on steps'!$B$1:$U$1,W$1)</f>
        <v>0</v>
      </c>
      <c r="X4" s="155">
        <f ca="1">SUMIFS('recurring2_based on steps'!$B4:$AY4,'recurring2_based on steps'!$B$1:$AY$1,X$1)+SUMIFS('changes2_based on steps'!$B4:$U4,'changes2_based on steps'!$B$1:$U$1,X$1)</f>
        <v>0</v>
      </c>
      <c r="Y4" s="155">
        <f ca="1">SUMIFS('recurring2_based on steps'!$B4:$AY4,'recurring2_based on steps'!$B$1:$AY$1,Y$1)+SUMIFS('changes2_based on steps'!$B4:$U4,'changes2_based on steps'!$B$1:$U$1,Y$1)</f>
        <v>0</v>
      </c>
      <c r="Z4" s="155">
        <f>SUMIFS('recurring2_based on steps'!$B4:$AY4,'recurring2_based on steps'!$B$1:$AY$1,Z$1)+SUMIFS('changes2_based on steps'!$B4:$U4,'changes2_based on steps'!$B$1:$U$1,Z$1)</f>
        <v>0</v>
      </c>
      <c r="AA4" s="155">
        <f>SUMIFS('recurring2_based on steps'!$B4:$AY4,'recurring2_based on steps'!$B$1:$AY$1,AA$1)+SUMIFS('changes2_based on steps'!$B4:$U4,'changes2_based on steps'!$B$1:$U$1,AA$1)</f>
        <v>0</v>
      </c>
      <c r="AB4" s="155"/>
    </row>
    <row r="5" spans="1:28" x14ac:dyDescent="0.2">
      <c r="A5" s="18">
        <f t="shared" ref="A5:A68" ca="1" si="0">A4+1</f>
        <v>45691</v>
      </c>
      <c r="B5" s="155">
        <f ca="1">SUMIFS('recurring2_based on steps'!$B5:$AY5,'recurring2_based on steps'!$B$1:$AY$1,B$1)+SUMIFS('changes2_based on steps'!$B5:$U5,'changes2_based on steps'!$B$1:$U$1,B$1)</f>
        <v>0</v>
      </c>
      <c r="C5" s="155">
        <f>SUMIFS('recurring2_based on steps'!$B5:$AY5,'recurring2_based on steps'!$B$1:$AY$1,C$1)+SUMIFS('changes2_based on steps'!$B5:$U5,'changes2_based on steps'!$B$1:$U$1,C$1)</f>
        <v>0</v>
      </c>
      <c r="D5" s="155">
        <f>SUMIFS('recurring2_based on steps'!$B5:$AY5,'recurring2_based on steps'!$B$1:$AY$1,D$1)+SUMIFS('changes2_based on steps'!$B5:$U5,'changes2_based on steps'!$B$1:$U$1,D$1)</f>
        <v>0</v>
      </c>
      <c r="E5" s="155">
        <f>SUMIFS('recurring2_based on steps'!$B5:$AY5,'recurring2_based on steps'!$B$1:$AY$1,E$1)+SUMIFS('changes2_based on steps'!$B5:$U5,'changes2_based on steps'!$B$1:$U$1,E$1)</f>
        <v>0</v>
      </c>
      <c r="F5" s="155">
        <f>SUMIFS('recurring2_based on steps'!$B5:$AY5,'recurring2_based on steps'!$B$1:$AY$1,F$1)+SUMIFS('changes2_based on steps'!$B5:$U5,'changes2_based on steps'!$B$1:$U$1,F$1)</f>
        <v>0</v>
      </c>
      <c r="G5" s="155">
        <f>SUMIFS('recurring2_based on steps'!$B5:$AY5,'recurring2_based on steps'!$B$1:$AY$1,G$1)+SUMIFS('changes2_based on steps'!$B5:$U5,'changes2_based on steps'!$B$1:$U$1,G$1)</f>
        <v>0</v>
      </c>
      <c r="H5" s="155">
        <f ca="1">SUMIFS('recurring2_based on steps'!$B5:$AY5,'recurring2_based on steps'!$B$1:$AY$1,H$1)+SUMIFS('changes2_based on steps'!$B5:$U5,'changes2_based on steps'!$B$1:$U$1,H$1)</f>
        <v>0</v>
      </c>
      <c r="I5" s="155">
        <f>SUMIFS('recurring2_based on steps'!$B5:$AY5,'recurring2_based on steps'!$B$1:$AY$1,I$1)+SUMIFS('changes2_based on steps'!$B5:$U5,'changes2_based on steps'!$B$1:$U$1,I$1)</f>
        <v>0</v>
      </c>
      <c r="J5" s="155">
        <f>SUMIFS('recurring2_based on steps'!$B5:$AY5,'recurring2_based on steps'!$B$1:$AY$1,J$1)+SUMIFS('changes2_based on steps'!$B5:$U5,'changes2_based on steps'!$B$1:$U$1,J$1)</f>
        <v>0</v>
      </c>
      <c r="K5" s="155">
        <f>SUMIFS('recurring2_based on steps'!$B5:$AY5,'recurring2_based on steps'!$B$1:$AY$1,K$1)+SUMIFS('changes2_based on steps'!$B5:$U5,'changes2_based on steps'!$B$1:$U$1,K$1)</f>
        <v>0</v>
      </c>
      <c r="L5" s="155">
        <f>SUMIFS('recurring2_based on steps'!$B5:$AY5,'recurring2_based on steps'!$B$1:$AY$1,L$1)+SUMIFS('changes2_based on steps'!$B5:$U5,'changes2_based on steps'!$B$1:$U$1,L$1)</f>
        <v>0</v>
      </c>
      <c r="M5" s="155">
        <f ca="1">SUMIFS('recurring2_based on steps'!$B5:$AY5,'recurring2_based on steps'!$B$1:$AY$1,M$1)+SUMIFS('changes2_based on steps'!$B5:$U5,'changes2_based on steps'!$B$1:$U$1,M$1)</f>
        <v>0</v>
      </c>
      <c r="N5" s="155">
        <f ca="1">SUMIFS('recurring2_based on steps'!$B5:$AY5,'recurring2_based on steps'!$B$1:$AY$1,N$1)+SUMIFS('changes2_based on steps'!$B5:$U5,'changes2_based on steps'!$B$1:$U$1,N$1)</f>
        <v>0</v>
      </c>
      <c r="O5" s="155">
        <f ca="1">SUMIFS('recurring2_based on steps'!$B5:$AY5,'recurring2_based on steps'!$B$1:$AY$1,O$1)+SUMIFS('changes2_based on steps'!$B5:$U5,'changes2_based on steps'!$B$1:$U$1,O$1)</f>
        <v>0</v>
      </c>
      <c r="P5" s="155">
        <f ca="1">SUMIFS('recurring2_based on steps'!$B5:$AY5,'recurring2_based on steps'!$B$1:$AY$1,P$1)+SUMIFS('changes2_based on steps'!$B5:$U5,'changes2_based on steps'!$B$1:$U$1,P$1)</f>
        <v>50</v>
      </c>
      <c r="Q5" s="155">
        <f>SUMIFS('recurring2_based on steps'!$B5:$AY5,'recurring2_based on steps'!$B$1:$AY$1,Q$1)+SUMIFS('changes2_based on steps'!$B5:$U5,'changes2_based on steps'!$B$1:$U$1,Q$1)</f>
        <v>0</v>
      </c>
      <c r="R5" s="155">
        <f ca="1">SUMIFS('recurring2_based on steps'!$B5:$AY5,'recurring2_based on steps'!$B$1:$AY$1,R$1)+SUMIFS('changes2_based on steps'!$B5:$U5,'changes2_based on steps'!$B$1:$U$1,R$1)</f>
        <v>0</v>
      </c>
      <c r="S5" s="155">
        <f ca="1">SUMIFS('recurring2_based on steps'!$B5:$AY5,'recurring2_based on steps'!$B$1:$AY$1,S$1)+SUMIFS('changes2_based on steps'!$B5:$U5,'changes2_based on steps'!$B$1:$U$1,S$1)</f>
        <v>0</v>
      </c>
      <c r="T5" s="155">
        <f>SUMIFS('recurring2_based on steps'!$B5:$AY5,'recurring2_based on steps'!$B$1:$AY$1,T$1)+SUMIFS('changes2_based on steps'!$B5:$U5,'changes2_based on steps'!$B$1:$U$1,T$1)</f>
        <v>0</v>
      </c>
      <c r="U5" s="155">
        <f ca="1">SUMIFS('recurring2_based on steps'!$B5:$AY5,'recurring2_based on steps'!$B$1:$AY$1,U$1)+SUMIFS('changes2_based on steps'!$B5:$U5,'changes2_based on steps'!$B$1:$U$1,U$1)</f>
        <v>0</v>
      </c>
      <c r="V5" s="155">
        <f>SUMIFS('recurring2_based on steps'!$B5:$AY5,'recurring2_based on steps'!$B$1:$AY$1,V$1)+SUMIFS('changes2_based on steps'!$B5:$U5,'changes2_based on steps'!$B$1:$U$1,V$1)</f>
        <v>0</v>
      </c>
      <c r="W5" s="155">
        <f ca="1">SUMIFS('recurring2_based on steps'!$B5:$AY5,'recurring2_based on steps'!$B$1:$AY$1,W$1)+SUMIFS('changes2_based on steps'!$B5:$U5,'changes2_based on steps'!$B$1:$U$1,W$1)</f>
        <v>0</v>
      </c>
      <c r="X5" s="155">
        <f ca="1">SUMIFS('recurring2_based on steps'!$B5:$AY5,'recurring2_based on steps'!$B$1:$AY$1,X$1)+SUMIFS('changes2_based on steps'!$B5:$U5,'changes2_based on steps'!$B$1:$U$1,X$1)</f>
        <v>0</v>
      </c>
      <c r="Y5" s="155">
        <f ca="1">SUMIFS('recurring2_based on steps'!$B5:$AY5,'recurring2_based on steps'!$B$1:$AY$1,Y$1)+SUMIFS('changes2_based on steps'!$B5:$U5,'changes2_based on steps'!$B$1:$U$1,Y$1)</f>
        <v>0</v>
      </c>
      <c r="Z5" s="155">
        <f>SUMIFS('recurring2_based on steps'!$B5:$AY5,'recurring2_based on steps'!$B$1:$AY$1,Z$1)+SUMIFS('changes2_based on steps'!$B5:$U5,'changes2_based on steps'!$B$1:$U$1,Z$1)</f>
        <v>0</v>
      </c>
      <c r="AA5" s="155">
        <f>SUMIFS('recurring2_based on steps'!$B5:$AY5,'recurring2_based on steps'!$B$1:$AY$1,AA$1)+SUMIFS('changes2_based on steps'!$B5:$U5,'changes2_based on steps'!$B$1:$U$1,AA$1)</f>
        <v>0</v>
      </c>
      <c r="AB5" s="155"/>
    </row>
    <row r="6" spans="1:28" x14ac:dyDescent="0.2">
      <c r="A6" s="18">
        <f t="shared" ca="1" si="0"/>
        <v>45692</v>
      </c>
      <c r="B6" s="155">
        <f ca="1">SUMIFS('recurring2_based on steps'!$B6:$AY6,'recurring2_based on steps'!$B$1:$AY$1,B$1)+SUMIFS('changes2_based on steps'!$B6:$U6,'changes2_based on steps'!$B$1:$U$1,B$1)</f>
        <v>0</v>
      </c>
      <c r="C6" s="155">
        <f>SUMIFS('recurring2_based on steps'!$B6:$AY6,'recurring2_based on steps'!$B$1:$AY$1,C$1)+SUMIFS('changes2_based on steps'!$B6:$U6,'changes2_based on steps'!$B$1:$U$1,C$1)</f>
        <v>0</v>
      </c>
      <c r="D6" s="155">
        <f>SUMIFS('recurring2_based on steps'!$B6:$AY6,'recurring2_based on steps'!$B$1:$AY$1,D$1)+SUMIFS('changes2_based on steps'!$B6:$U6,'changes2_based on steps'!$B$1:$U$1,D$1)</f>
        <v>0</v>
      </c>
      <c r="E6" s="155">
        <f>SUMIFS('recurring2_based on steps'!$B6:$AY6,'recurring2_based on steps'!$B$1:$AY$1,E$1)+SUMIFS('changes2_based on steps'!$B6:$U6,'changes2_based on steps'!$B$1:$U$1,E$1)</f>
        <v>0</v>
      </c>
      <c r="F6" s="155">
        <f>SUMIFS('recurring2_based on steps'!$B6:$AY6,'recurring2_based on steps'!$B$1:$AY$1,F$1)+SUMIFS('changes2_based on steps'!$B6:$U6,'changes2_based on steps'!$B$1:$U$1,F$1)</f>
        <v>0</v>
      </c>
      <c r="G6" s="155">
        <f>SUMIFS('recurring2_based on steps'!$B6:$AY6,'recurring2_based on steps'!$B$1:$AY$1,G$1)+SUMIFS('changes2_based on steps'!$B6:$U6,'changes2_based on steps'!$B$1:$U$1,G$1)</f>
        <v>0</v>
      </c>
      <c r="H6" s="155">
        <f ca="1">SUMIFS('recurring2_based on steps'!$B6:$AY6,'recurring2_based on steps'!$B$1:$AY$1,H$1)+SUMIFS('changes2_based on steps'!$B6:$U6,'changes2_based on steps'!$B$1:$U$1,H$1)</f>
        <v>0</v>
      </c>
      <c r="I6" s="155">
        <f>SUMIFS('recurring2_based on steps'!$B6:$AY6,'recurring2_based on steps'!$B$1:$AY$1,I$1)+SUMIFS('changes2_based on steps'!$B6:$U6,'changes2_based on steps'!$B$1:$U$1,I$1)</f>
        <v>0</v>
      </c>
      <c r="J6" s="155">
        <f>SUMIFS('recurring2_based on steps'!$B6:$AY6,'recurring2_based on steps'!$B$1:$AY$1,J$1)+SUMIFS('changes2_based on steps'!$B6:$U6,'changes2_based on steps'!$B$1:$U$1,J$1)</f>
        <v>0</v>
      </c>
      <c r="K6" s="155">
        <f>SUMIFS('recurring2_based on steps'!$B6:$AY6,'recurring2_based on steps'!$B$1:$AY$1,K$1)+SUMIFS('changes2_based on steps'!$B6:$U6,'changes2_based on steps'!$B$1:$U$1,K$1)</f>
        <v>0</v>
      </c>
      <c r="L6" s="155">
        <f>SUMIFS('recurring2_based on steps'!$B6:$AY6,'recurring2_based on steps'!$B$1:$AY$1,L$1)+SUMIFS('changes2_based on steps'!$B6:$U6,'changes2_based on steps'!$B$1:$U$1,L$1)</f>
        <v>0</v>
      </c>
      <c r="M6" s="155">
        <f ca="1">SUMIFS('recurring2_based on steps'!$B6:$AY6,'recurring2_based on steps'!$B$1:$AY$1,M$1)+SUMIFS('changes2_based on steps'!$B6:$U6,'changes2_based on steps'!$B$1:$U$1,M$1)</f>
        <v>0</v>
      </c>
      <c r="N6" s="155">
        <f ca="1">SUMIFS('recurring2_based on steps'!$B6:$AY6,'recurring2_based on steps'!$B$1:$AY$1,N$1)+SUMIFS('changes2_based on steps'!$B6:$U6,'changes2_based on steps'!$B$1:$U$1,N$1)</f>
        <v>0</v>
      </c>
      <c r="O6" s="155">
        <f ca="1">SUMIFS('recurring2_based on steps'!$B6:$AY6,'recurring2_based on steps'!$B$1:$AY$1,O$1)+SUMIFS('changes2_based on steps'!$B6:$U6,'changes2_based on steps'!$B$1:$U$1,O$1)</f>
        <v>0</v>
      </c>
      <c r="P6" s="155">
        <f ca="1">SUMIFS('recurring2_based on steps'!$B6:$AY6,'recurring2_based on steps'!$B$1:$AY$1,P$1)+SUMIFS('changes2_based on steps'!$B6:$U6,'changes2_based on steps'!$B$1:$U$1,P$1)</f>
        <v>0</v>
      </c>
      <c r="Q6" s="155">
        <f>SUMIFS('recurring2_based on steps'!$B6:$AY6,'recurring2_based on steps'!$B$1:$AY$1,Q$1)+SUMIFS('changes2_based on steps'!$B6:$U6,'changes2_based on steps'!$B$1:$U$1,Q$1)</f>
        <v>0</v>
      </c>
      <c r="R6" s="155">
        <f ca="1">SUMIFS('recurring2_based on steps'!$B6:$AY6,'recurring2_based on steps'!$B$1:$AY$1,R$1)+SUMIFS('changes2_based on steps'!$B6:$U6,'changes2_based on steps'!$B$1:$U$1,R$1)</f>
        <v>0</v>
      </c>
      <c r="S6" s="155">
        <f ca="1">SUMIFS('recurring2_based on steps'!$B6:$AY6,'recurring2_based on steps'!$B$1:$AY$1,S$1)+SUMIFS('changes2_based on steps'!$B6:$U6,'changes2_based on steps'!$B$1:$U$1,S$1)</f>
        <v>0</v>
      </c>
      <c r="T6" s="155">
        <f>SUMIFS('recurring2_based on steps'!$B6:$AY6,'recurring2_based on steps'!$B$1:$AY$1,T$1)+SUMIFS('changes2_based on steps'!$B6:$U6,'changes2_based on steps'!$B$1:$U$1,T$1)</f>
        <v>0</v>
      </c>
      <c r="U6" s="155">
        <f ca="1">SUMIFS('recurring2_based on steps'!$B6:$AY6,'recurring2_based on steps'!$B$1:$AY$1,U$1)+SUMIFS('changes2_based on steps'!$B6:$U6,'changes2_based on steps'!$B$1:$U$1,U$1)</f>
        <v>15</v>
      </c>
      <c r="V6" s="155">
        <f>SUMIFS('recurring2_based on steps'!$B6:$AY6,'recurring2_based on steps'!$B$1:$AY$1,V$1)+SUMIFS('changes2_based on steps'!$B6:$U6,'changes2_based on steps'!$B$1:$U$1,V$1)</f>
        <v>0</v>
      </c>
      <c r="W6" s="155">
        <f ca="1">SUMIFS('recurring2_based on steps'!$B6:$AY6,'recurring2_based on steps'!$B$1:$AY$1,W$1)+SUMIFS('changes2_based on steps'!$B6:$U6,'changes2_based on steps'!$B$1:$U$1,W$1)</f>
        <v>0</v>
      </c>
      <c r="X6" s="155">
        <f ca="1">SUMIFS('recurring2_based on steps'!$B6:$AY6,'recurring2_based on steps'!$B$1:$AY$1,X$1)+SUMIFS('changes2_based on steps'!$B6:$U6,'changes2_based on steps'!$B$1:$U$1,X$1)</f>
        <v>0</v>
      </c>
      <c r="Y6" s="155">
        <f ca="1">SUMIFS('recurring2_based on steps'!$B6:$AY6,'recurring2_based on steps'!$B$1:$AY$1,Y$1)+SUMIFS('changes2_based on steps'!$B6:$U6,'changes2_based on steps'!$B$1:$U$1,Y$1)</f>
        <v>0</v>
      </c>
      <c r="Z6" s="155">
        <f>SUMIFS('recurring2_based on steps'!$B6:$AY6,'recurring2_based on steps'!$B$1:$AY$1,Z$1)+SUMIFS('changes2_based on steps'!$B6:$U6,'changes2_based on steps'!$B$1:$U$1,Z$1)</f>
        <v>0</v>
      </c>
      <c r="AA6" s="155">
        <f>SUMIFS('recurring2_based on steps'!$B6:$AY6,'recurring2_based on steps'!$B$1:$AY$1,AA$1)+SUMIFS('changes2_based on steps'!$B6:$U6,'changes2_based on steps'!$B$1:$U$1,AA$1)</f>
        <v>0</v>
      </c>
      <c r="AB6" s="155"/>
    </row>
    <row r="7" spans="1:28" x14ac:dyDescent="0.2">
      <c r="A7" s="18">
        <f t="shared" ca="1" si="0"/>
        <v>45693</v>
      </c>
      <c r="B7" s="155">
        <f ca="1">SUMIFS('recurring2_based on steps'!$B7:$AY7,'recurring2_based on steps'!$B$1:$AY$1,B$1)+SUMIFS('changes2_based on steps'!$B7:$U7,'changes2_based on steps'!$B$1:$U$1,B$1)</f>
        <v>0</v>
      </c>
      <c r="C7" s="155">
        <f>SUMIFS('recurring2_based on steps'!$B7:$AY7,'recurring2_based on steps'!$B$1:$AY$1,C$1)+SUMIFS('changes2_based on steps'!$B7:$U7,'changes2_based on steps'!$B$1:$U$1,C$1)</f>
        <v>0</v>
      </c>
      <c r="D7" s="155">
        <f>SUMIFS('recurring2_based on steps'!$B7:$AY7,'recurring2_based on steps'!$B$1:$AY$1,D$1)+SUMIFS('changes2_based on steps'!$B7:$U7,'changes2_based on steps'!$B$1:$U$1,D$1)</f>
        <v>0</v>
      </c>
      <c r="E7" s="155">
        <f>SUMIFS('recurring2_based on steps'!$B7:$AY7,'recurring2_based on steps'!$B$1:$AY$1,E$1)+SUMIFS('changes2_based on steps'!$B7:$U7,'changes2_based on steps'!$B$1:$U$1,E$1)</f>
        <v>0</v>
      </c>
      <c r="F7" s="155">
        <f>SUMIFS('recurring2_based on steps'!$B7:$AY7,'recurring2_based on steps'!$B$1:$AY$1,F$1)+SUMIFS('changes2_based on steps'!$B7:$U7,'changes2_based on steps'!$B$1:$U$1,F$1)</f>
        <v>0</v>
      </c>
      <c r="G7" s="155">
        <f>SUMIFS('recurring2_based on steps'!$B7:$AY7,'recurring2_based on steps'!$B$1:$AY$1,G$1)+SUMIFS('changes2_based on steps'!$B7:$U7,'changes2_based on steps'!$B$1:$U$1,G$1)</f>
        <v>0</v>
      </c>
      <c r="H7" s="155">
        <f ca="1">SUMIFS('recurring2_based on steps'!$B7:$AY7,'recurring2_based on steps'!$B$1:$AY$1,H$1)+SUMIFS('changes2_based on steps'!$B7:$U7,'changes2_based on steps'!$B$1:$U$1,H$1)</f>
        <v>0</v>
      </c>
      <c r="I7" s="155">
        <f>SUMIFS('recurring2_based on steps'!$B7:$AY7,'recurring2_based on steps'!$B$1:$AY$1,I$1)+SUMIFS('changes2_based on steps'!$B7:$U7,'changes2_based on steps'!$B$1:$U$1,I$1)</f>
        <v>0</v>
      </c>
      <c r="J7" s="155">
        <f>SUMIFS('recurring2_based on steps'!$B7:$AY7,'recurring2_based on steps'!$B$1:$AY$1,J$1)+SUMIFS('changes2_based on steps'!$B7:$U7,'changes2_based on steps'!$B$1:$U$1,J$1)</f>
        <v>0</v>
      </c>
      <c r="K7" s="155">
        <f>SUMIFS('recurring2_based on steps'!$B7:$AY7,'recurring2_based on steps'!$B$1:$AY$1,K$1)+SUMIFS('changes2_based on steps'!$B7:$U7,'changes2_based on steps'!$B$1:$U$1,K$1)</f>
        <v>0</v>
      </c>
      <c r="L7" s="155">
        <f>SUMIFS('recurring2_based on steps'!$B7:$AY7,'recurring2_based on steps'!$B$1:$AY$1,L$1)+SUMIFS('changes2_based on steps'!$B7:$U7,'changes2_based on steps'!$B$1:$U$1,L$1)</f>
        <v>0</v>
      </c>
      <c r="M7" s="155">
        <f ca="1">SUMIFS('recurring2_based on steps'!$B7:$AY7,'recurring2_based on steps'!$B$1:$AY$1,M$1)+SUMIFS('changes2_based on steps'!$B7:$U7,'changes2_based on steps'!$B$1:$U$1,M$1)</f>
        <v>0</v>
      </c>
      <c r="N7" s="155">
        <f ca="1">SUMIFS('recurring2_based on steps'!$B7:$AY7,'recurring2_based on steps'!$B$1:$AY$1,N$1)+SUMIFS('changes2_based on steps'!$B7:$U7,'changes2_based on steps'!$B$1:$U$1,N$1)</f>
        <v>0</v>
      </c>
      <c r="O7" s="155">
        <f ca="1">SUMIFS('recurring2_based on steps'!$B7:$AY7,'recurring2_based on steps'!$B$1:$AY$1,O$1)+SUMIFS('changes2_based on steps'!$B7:$U7,'changes2_based on steps'!$B$1:$U$1,O$1)</f>
        <v>0</v>
      </c>
      <c r="P7" s="155">
        <f ca="1">SUMIFS('recurring2_based on steps'!$B7:$AY7,'recurring2_based on steps'!$B$1:$AY$1,P$1)+SUMIFS('changes2_based on steps'!$B7:$U7,'changes2_based on steps'!$B$1:$U$1,P$1)</f>
        <v>0</v>
      </c>
      <c r="Q7" s="155">
        <f>SUMIFS('recurring2_based on steps'!$B7:$AY7,'recurring2_based on steps'!$B$1:$AY$1,Q$1)+SUMIFS('changes2_based on steps'!$B7:$U7,'changes2_based on steps'!$B$1:$U$1,Q$1)</f>
        <v>0</v>
      </c>
      <c r="R7" s="155">
        <f ca="1">SUMIFS('recurring2_based on steps'!$B7:$AY7,'recurring2_based on steps'!$B$1:$AY$1,R$1)+SUMIFS('changes2_based on steps'!$B7:$U7,'changes2_based on steps'!$B$1:$U$1,R$1)</f>
        <v>0</v>
      </c>
      <c r="S7" s="155">
        <f ca="1">SUMIFS('recurring2_based on steps'!$B7:$AY7,'recurring2_based on steps'!$B$1:$AY$1,S$1)+SUMIFS('changes2_based on steps'!$B7:$U7,'changes2_based on steps'!$B$1:$U$1,S$1)</f>
        <v>0</v>
      </c>
      <c r="T7" s="155">
        <f>SUMIFS('recurring2_based on steps'!$B7:$AY7,'recurring2_based on steps'!$B$1:$AY$1,T$1)+SUMIFS('changes2_based on steps'!$B7:$U7,'changes2_based on steps'!$B$1:$U$1,T$1)</f>
        <v>0</v>
      </c>
      <c r="U7" s="155">
        <f ca="1">SUMIFS('recurring2_based on steps'!$B7:$AY7,'recurring2_based on steps'!$B$1:$AY$1,U$1)+SUMIFS('changes2_based on steps'!$B7:$U7,'changes2_based on steps'!$B$1:$U$1,U$1)</f>
        <v>0</v>
      </c>
      <c r="V7" s="155">
        <f>SUMIFS('recurring2_based on steps'!$B7:$AY7,'recurring2_based on steps'!$B$1:$AY$1,V$1)+SUMIFS('changes2_based on steps'!$B7:$U7,'changes2_based on steps'!$B$1:$U$1,V$1)</f>
        <v>0</v>
      </c>
      <c r="W7" s="155">
        <f ca="1">SUMIFS('recurring2_based on steps'!$B7:$AY7,'recurring2_based on steps'!$B$1:$AY$1,W$1)+SUMIFS('changes2_based on steps'!$B7:$U7,'changes2_based on steps'!$B$1:$U$1,W$1)</f>
        <v>0</v>
      </c>
      <c r="X7" s="155">
        <f ca="1">SUMIFS('recurring2_based on steps'!$B7:$AY7,'recurring2_based on steps'!$B$1:$AY$1,X$1)+SUMIFS('changes2_based on steps'!$B7:$U7,'changes2_based on steps'!$B$1:$U$1,X$1)</f>
        <v>0</v>
      </c>
      <c r="Y7" s="155">
        <f ca="1">SUMIFS('recurring2_based on steps'!$B7:$AY7,'recurring2_based on steps'!$B$1:$AY$1,Y$1)+SUMIFS('changes2_based on steps'!$B7:$U7,'changes2_based on steps'!$B$1:$U$1,Y$1)</f>
        <v>0</v>
      </c>
      <c r="Z7" s="155">
        <f>SUMIFS('recurring2_based on steps'!$B7:$AY7,'recurring2_based on steps'!$B$1:$AY$1,Z$1)+SUMIFS('changes2_based on steps'!$B7:$U7,'changes2_based on steps'!$B$1:$U$1,Z$1)</f>
        <v>0</v>
      </c>
      <c r="AA7" s="155">
        <f>SUMIFS('recurring2_based on steps'!$B7:$AY7,'recurring2_based on steps'!$B$1:$AY$1,AA$1)+SUMIFS('changes2_based on steps'!$B7:$U7,'changes2_based on steps'!$B$1:$U$1,AA$1)</f>
        <v>0</v>
      </c>
      <c r="AB7" s="155"/>
    </row>
    <row r="8" spans="1:28" x14ac:dyDescent="0.2">
      <c r="A8" s="18">
        <f t="shared" ca="1" si="0"/>
        <v>45694</v>
      </c>
      <c r="B8" s="155">
        <f ca="1">SUMIFS('recurring2_based on steps'!$B8:$AY8,'recurring2_based on steps'!$B$1:$AY$1,B$1)+SUMIFS('changes2_based on steps'!$B8:$U8,'changes2_based on steps'!$B$1:$U$1,B$1)</f>
        <v>0</v>
      </c>
      <c r="C8" s="155">
        <f>SUMIFS('recurring2_based on steps'!$B8:$AY8,'recurring2_based on steps'!$B$1:$AY$1,C$1)+SUMIFS('changes2_based on steps'!$B8:$U8,'changes2_based on steps'!$B$1:$U$1,C$1)</f>
        <v>0</v>
      </c>
      <c r="D8" s="155">
        <f>SUMIFS('recurring2_based on steps'!$B8:$AY8,'recurring2_based on steps'!$B$1:$AY$1,D$1)+SUMIFS('changes2_based on steps'!$B8:$U8,'changes2_based on steps'!$B$1:$U$1,D$1)</f>
        <v>0</v>
      </c>
      <c r="E8" s="155">
        <f>SUMIFS('recurring2_based on steps'!$B8:$AY8,'recurring2_based on steps'!$B$1:$AY$1,E$1)+SUMIFS('changes2_based on steps'!$B8:$U8,'changes2_based on steps'!$B$1:$U$1,E$1)</f>
        <v>0</v>
      </c>
      <c r="F8" s="155">
        <f>SUMIFS('recurring2_based on steps'!$B8:$AY8,'recurring2_based on steps'!$B$1:$AY$1,F$1)+SUMIFS('changes2_based on steps'!$B8:$U8,'changes2_based on steps'!$B$1:$U$1,F$1)</f>
        <v>0</v>
      </c>
      <c r="G8" s="155">
        <f>SUMIFS('recurring2_based on steps'!$B8:$AY8,'recurring2_based on steps'!$B$1:$AY$1,G$1)+SUMIFS('changes2_based on steps'!$B8:$U8,'changes2_based on steps'!$B$1:$U$1,G$1)</f>
        <v>0</v>
      </c>
      <c r="H8" s="155">
        <f ca="1">SUMIFS('recurring2_based on steps'!$B8:$AY8,'recurring2_based on steps'!$B$1:$AY$1,H$1)+SUMIFS('changes2_based on steps'!$B8:$U8,'changes2_based on steps'!$B$1:$U$1,H$1)</f>
        <v>0</v>
      </c>
      <c r="I8" s="155">
        <f>SUMIFS('recurring2_based on steps'!$B8:$AY8,'recurring2_based on steps'!$B$1:$AY$1,I$1)+SUMIFS('changes2_based on steps'!$B8:$U8,'changes2_based on steps'!$B$1:$U$1,I$1)</f>
        <v>0</v>
      </c>
      <c r="J8" s="155">
        <f>SUMIFS('recurring2_based on steps'!$B8:$AY8,'recurring2_based on steps'!$B$1:$AY$1,J$1)+SUMIFS('changes2_based on steps'!$B8:$U8,'changes2_based on steps'!$B$1:$U$1,J$1)</f>
        <v>0</v>
      </c>
      <c r="K8" s="155">
        <f>SUMIFS('recurring2_based on steps'!$B8:$AY8,'recurring2_based on steps'!$B$1:$AY$1,K$1)+SUMIFS('changes2_based on steps'!$B8:$U8,'changes2_based on steps'!$B$1:$U$1,K$1)</f>
        <v>0</v>
      </c>
      <c r="L8" s="155">
        <f>SUMIFS('recurring2_based on steps'!$B8:$AY8,'recurring2_based on steps'!$B$1:$AY$1,L$1)+SUMIFS('changes2_based on steps'!$B8:$U8,'changes2_based on steps'!$B$1:$U$1,L$1)</f>
        <v>0</v>
      </c>
      <c r="M8" s="155">
        <f ca="1">SUMIFS('recurring2_based on steps'!$B8:$AY8,'recurring2_based on steps'!$B$1:$AY$1,M$1)+SUMIFS('changes2_based on steps'!$B8:$U8,'changes2_based on steps'!$B$1:$U$1,M$1)</f>
        <v>0</v>
      </c>
      <c r="N8" s="155">
        <f ca="1">SUMIFS('recurring2_based on steps'!$B8:$AY8,'recurring2_based on steps'!$B$1:$AY$1,N$1)+SUMIFS('changes2_based on steps'!$B8:$U8,'changes2_based on steps'!$B$1:$U$1,N$1)</f>
        <v>0</v>
      </c>
      <c r="O8" s="155">
        <f ca="1">SUMIFS('recurring2_based on steps'!$B8:$AY8,'recurring2_based on steps'!$B$1:$AY$1,O$1)+SUMIFS('changes2_based on steps'!$B8:$U8,'changes2_based on steps'!$B$1:$U$1,O$1)</f>
        <v>0</v>
      </c>
      <c r="P8" s="155">
        <f ca="1">SUMIFS('recurring2_based on steps'!$B8:$AY8,'recurring2_based on steps'!$B$1:$AY$1,P$1)+SUMIFS('changes2_based on steps'!$B8:$U8,'changes2_based on steps'!$B$1:$U$1,P$1)</f>
        <v>0</v>
      </c>
      <c r="Q8" s="155">
        <f>SUMIFS('recurring2_based on steps'!$B8:$AY8,'recurring2_based on steps'!$B$1:$AY$1,Q$1)+SUMIFS('changes2_based on steps'!$B8:$U8,'changes2_based on steps'!$B$1:$U$1,Q$1)</f>
        <v>0</v>
      </c>
      <c r="R8" s="155">
        <f ca="1">SUMIFS('recurring2_based on steps'!$B8:$AY8,'recurring2_based on steps'!$B$1:$AY$1,R$1)+SUMIFS('changes2_based on steps'!$B8:$U8,'changes2_based on steps'!$B$1:$U$1,R$1)</f>
        <v>0</v>
      </c>
      <c r="S8" s="155">
        <f ca="1">SUMIFS('recurring2_based on steps'!$B8:$AY8,'recurring2_based on steps'!$B$1:$AY$1,S$1)+SUMIFS('changes2_based on steps'!$B8:$U8,'changes2_based on steps'!$B$1:$U$1,S$1)</f>
        <v>0</v>
      </c>
      <c r="T8" s="155">
        <f>SUMIFS('recurring2_based on steps'!$B8:$AY8,'recurring2_based on steps'!$B$1:$AY$1,T$1)+SUMIFS('changes2_based on steps'!$B8:$U8,'changes2_based on steps'!$B$1:$U$1,T$1)</f>
        <v>0</v>
      </c>
      <c r="U8" s="155">
        <f ca="1">SUMIFS('recurring2_based on steps'!$B8:$AY8,'recurring2_based on steps'!$B$1:$AY$1,U$1)+SUMIFS('changes2_based on steps'!$B8:$U8,'changes2_based on steps'!$B$1:$U$1,U$1)</f>
        <v>0</v>
      </c>
      <c r="V8" s="155">
        <f>SUMIFS('recurring2_based on steps'!$B8:$AY8,'recurring2_based on steps'!$B$1:$AY$1,V$1)+SUMIFS('changes2_based on steps'!$B8:$U8,'changes2_based on steps'!$B$1:$U$1,V$1)</f>
        <v>0</v>
      </c>
      <c r="W8" s="155">
        <f ca="1">SUMIFS('recurring2_based on steps'!$B8:$AY8,'recurring2_based on steps'!$B$1:$AY$1,W$1)+SUMIFS('changes2_based on steps'!$B8:$U8,'changes2_based on steps'!$B$1:$U$1,W$1)</f>
        <v>0</v>
      </c>
      <c r="X8" s="155">
        <f ca="1">SUMIFS('recurring2_based on steps'!$B8:$AY8,'recurring2_based on steps'!$B$1:$AY$1,X$1)+SUMIFS('changes2_based on steps'!$B8:$U8,'changes2_based on steps'!$B$1:$U$1,X$1)</f>
        <v>0</v>
      </c>
      <c r="Y8" s="155">
        <f ca="1">SUMIFS('recurring2_based on steps'!$B8:$AY8,'recurring2_based on steps'!$B$1:$AY$1,Y$1)+SUMIFS('changes2_based on steps'!$B8:$U8,'changes2_based on steps'!$B$1:$U$1,Y$1)</f>
        <v>0</v>
      </c>
      <c r="Z8" s="155">
        <f>SUMIFS('recurring2_based on steps'!$B8:$AY8,'recurring2_based on steps'!$B$1:$AY$1,Z$1)+SUMIFS('changes2_based on steps'!$B8:$U8,'changes2_based on steps'!$B$1:$U$1,Z$1)</f>
        <v>0</v>
      </c>
      <c r="AA8" s="155">
        <f>SUMIFS('recurring2_based on steps'!$B8:$AY8,'recurring2_based on steps'!$B$1:$AY$1,AA$1)+SUMIFS('changes2_based on steps'!$B8:$U8,'changes2_based on steps'!$B$1:$U$1,AA$1)</f>
        <v>0</v>
      </c>
      <c r="AB8" s="155"/>
    </row>
    <row r="9" spans="1:28" x14ac:dyDescent="0.2">
      <c r="A9" s="18">
        <f t="shared" ca="1" si="0"/>
        <v>45695</v>
      </c>
      <c r="B9" s="155">
        <f ca="1">SUMIFS('recurring2_based on steps'!$B9:$AY9,'recurring2_based on steps'!$B$1:$AY$1,B$1)+SUMIFS('changes2_based on steps'!$B9:$U9,'changes2_based on steps'!$B$1:$U$1,B$1)</f>
        <v>4000</v>
      </c>
      <c r="C9" s="155">
        <f>SUMIFS('recurring2_based on steps'!$B9:$AY9,'recurring2_based on steps'!$B$1:$AY$1,C$1)+SUMIFS('changes2_based on steps'!$B9:$U9,'changes2_based on steps'!$B$1:$U$1,C$1)</f>
        <v>0</v>
      </c>
      <c r="D9" s="155">
        <f>SUMIFS('recurring2_based on steps'!$B9:$AY9,'recurring2_based on steps'!$B$1:$AY$1,D$1)+SUMIFS('changes2_based on steps'!$B9:$U9,'changes2_based on steps'!$B$1:$U$1,D$1)</f>
        <v>0</v>
      </c>
      <c r="E9" s="155">
        <f>SUMIFS('recurring2_based on steps'!$B9:$AY9,'recurring2_based on steps'!$B$1:$AY$1,E$1)+SUMIFS('changes2_based on steps'!$B9:$U9,'changes2_based on steps'!$B$1:$U$1,E$1)</f>
        <v>0</v>
      </c>
      <c r="F9" s="155">
        <f>SUMIFS('recurring2_based on steps'!$B9:$AY9,'recurring2_based on steps'!$B$1:$AY$1,F$1)+SUMIFS('changes2_based on steps'!$B9:$U9,'changes2_based on steps'!$B$1:$U$1,F$1)</f>
        <v>0</v>
      </c>
      <c r="G9" s="155">
        <f>SUMIFS('recurring2_based on steps'!$B9:$AY9,'recurring2_based on steps'!$B$1:$AY$1,G$1)+SUMIFS('changes2_based on steps'!$B9:$U9,'changes2_based on steps'!$B$1:$U$1,G$1)</f>
        <v>0</v>
      </c>
      <c r="H9" s="155">
        <f ca="1">SUMIFS('recurring2_based on steps'!$B9:$AY9,'recurring2_based on steps'!$B$1:$AY$1,H$1)+SUMIFS('changes2_based on steps'!$B9:$U9,'changes2_based on steps'!$B$1:$U$1,H$1)</f>
        <v>96</v>
      </c>
      <c r="I9" s="155">
        <f>SUMIFS('recurring2_based on steps'!$B9:$AY9,'recurring2_based on steps'!$B$1:$AY$1,I$1)+SUMIFS('changes2_based on steps'!$B9:$U9,'changes2_based on steps'!$B$1:$U$1,I$1)</f>
        <v>0</v>
      </c>
      <c r="J9" s="155">
        <f>SUMIFS('recurring2_based on steps'!$B9:$AY9,'recurring2_based on steps'!$B$1:$AY$1,J$1)+SUMIFS('changes2_based on steps'!$B9:$U9,'changes2_based on steps'!$B$1:$U$1,J$1)</f>
        <v>0</v>
      </c>
      <c r="K9" s="155">
        <f>SUMIFS('recurring2_based on steps'!$B9:$AY9,'recurring2_based on steps'!$B$1:$AY$1,K$1)+SUMIFS('changes2_based on steps'!$B9:$U9,'changes2_based on steps'!$B$1:$U$1,K$1)</f>
        <v>0</v>
      </c>
      <c r="L9" s="155">
        <f>SUMIFS('recurring2_based on steps'!$B9:$AY9,'recurring2_based on steps'!$B$1:$AY$1,L$1)+SUMIFS('changes2_based on steps'!$B9:$U9,'changes2_based on steps'!$B$1:$U$1,L$1)</f>
        <v>0</v>
      </c>
      <c r="M9" s="155">
        <f ca="1">SUMIFS('recurring2_based on steps'!$B9:$AY9,'recurring2_based on steps'!$B$1:$AY$1,M$1)+SUMIFS('changes2_based on steps'!$B9:$U9,'changes2_based on steps'!$B$1:$U$1,M$1)</f>
        <v>0</v>
      </c>
      <c r="N9" s="155">
        <f ca="1">SUMIFS('recurring2_based on steps'!$B9:$AY9,'recurring2_based on steps'!$B$1:$AY$1,N$1)+SUMIFS('changes2_based on steps'!$B9:$U9,'changes2_based on steps'!$B$1:$U$1,N$1)</f>
        <v>0</v>
      </c>
      <c r="O9" s="155">
        <f ca="1">SUMIFS('recurring2_based on steps'!$B9:$AY9,'recurring2_based on steps'!$B$1:$AY$1,O$1)+SUMIFS('changes2_based on steps'!$B9:$U9,'changes2_based on steps'!$B$1:$U$1,O$1)</f>
        <v>0</v>
      </c>
      <c r="P9" s="155">
        <f ca="1">SUMIFS('recurring2_based on steps'!$B9:$AY9,'recurring2_based on steps'!$B$1:$AY$1,P$1)+SUMIFS('changes2_based on steps'!$B9:$U9,'changes2_based on steps'!$B$1:$U$1,P$1)</f>
        <v>0</v>
      </c>
      <c r="Q9" s="155">
        <f>SUMIFS('recurring2_based on steps'!$B9:$AY9,'recurring2_based on steps'!$B$1:$AY$1,Q$1)+SUMIFS('changes2_based on steps'!$B9:$U9,'changes2_based on steps'!$B$1:$U$1,Q$1)</f>
        <v>0</v>
      </c>
      <c r="R9" s="155">
        <f ca="1">SUMIFS('recurring2_based on steps'!$B9:$AY9,'recurring2_based on steps'!$B$1:$AY$1,R$1)+SUMIFS('changes2_based on steps'!$B9:$U9,'changes2_based on steps'!$B$1:$U$1,R$1)</f>
        <v>0</v>
      </c>
      <c r="S9" s="155">
        <f ca="1">SUMIFS('recurring2_based on steps'!$B9:$AY9,'recurring2_based on steps'!$B$1:$AY$1,S$1)+SUMIFS('changes2_based on steps'!$B9:$U9,'changes2_based on steps'!$B$1:$U$1,S$1)</f>
        <v>0</v>
      </c>
      <c r="T9" s="155">
        <f>SUMIFS('recurring2_based on steps'!$B9:$AY9,'recurring2_based on steps'!$B$1:$AY$1,T$1)+SUMIFS('changes2_based on steps'!$B9:$U9,'changes2_based on steps'!$B$1:$U$1,T$1)</f>
        <v>0</v>
      </c>
      <c r="U9" s="155">
        <f ca="1">SUMIFS('recurring2_based on steps'!$B9:$AY9,'recurring2_based on steps'!$B$1:$AY$1,U$1)+SUMIFS('changes2_based on steps'!$B9:$U9,'changes2_based on steps'!$B$1:$U$1,U$1)</f>
        <v>0</v>
      </c>
      <c r="V9" s="155">
        <f>SUMIFS('recurring2_based on steps'!$B9:$AY9,'recurring2_based on steps'!$B$1:$AY$1,V$1)+SUMIFS('changes2_based on steps'!$B9:$U9,'changes2_based on steps'!$B$1:$U$1,V$1)</f>
        <v>0</v>
      </c>
      <c r="W9" s="155">
        <f ca="1">SUMIFS('recurring2_based on steps'!$B9:$AY9,'recurring2_based on steps'!$B$1:$AY$1,W$1)+SUMIFS('changes2_based on steps'!$B9:$U9,'changes2_based on steps'!$B$1:$U$1,W$1)</f>
        <v>50</v>
      </c>
      <c r="X9" s="155">
        <f ca="1">SUMIFS('recurring2_based on steps'!$B9:$AY9,'recurring2_based on steps'!$B$1:$AY$1,X$1)+SUMIFS('changes2_based on steps'!$B9:$U9,'changes2_based on steps'!$B$1:$U$1,X$1)</f>
        <v>200</v>
      </c>
      <c r="Y9" s="155">
        <f ca="1">SUMIFS('recurring2_based on steps'!$B9:$AY9,'recurring2_based on steps'!$B$1:$AY$1,Y$1)+SUMIFS('changes2_based on steps'!$B9:$U9,'changes2_based on steps'!$B$1:$U$1,Y$1)</f>
        <v>0</v>
      </c>
      <c r="Z9" s="155">
        <f>SUMIFS('recurring2_based on steps'!$B9:$AY9,'recurring2_based on steps'!$B$1:$AY$1,Z$1)+SUMIFS('changes2_based on steps'!$B9:$U9,'changes2_based on steps'!$B$1:$U$1,Z$1)</f>
        <v>0</v>
      </c>
      <c r="AA9" s="155">
        <f>SUMIFS('recurring2_based on steps'!$B9:$AY9,'recurring2_based on steps'!$B$1:$AY$1,AA$1)+SUMIFS('changes2_based on steps'!$B9:$U9,'changes2_based on steps'!$B$1:$U$1,AA$1)</f>
        <v>0</v>
      </c>
      <c r="AB9" s="155"/>
    </row>
    <row r="10" spans="1:28" x14ac:dyDescent="0.2">
      <c r="A10" s="18">
        <f t="shared" ca="1" si="0"/>
        <v>45696</v>
      </c>
      <c r="B10" s="155">
        <f ca="1">SUMIFS('recurring2_based on steps'!$B10:$AY10,'recurring2_based on steps'!$B$1:$AY$1,B$1)+SUMIFS('changes2_based on steps'!$B10:$U10,'changes2_based on steps'!$B$1:$U$1,B$1)</f>
        <v>0</v>
      </c>
      <c r="C10" s="155">
        <f>SUMIFS('recurring2_based on steps'!$B10:$AY10,'recurring2_based on steps'!$B$1:$AY$1,C$1)+SUMIFS('changes2_based on steps'!$B10:$U10,'changes2_based on steps'!$B$1:$U$1,C$1)</f>
        <v>0</v>
      </c>
      <c r="D10" s="155">
        <f>SUMIFS('recurring2_based on steps'!$B10:$AY10,'recurring2_based on steps'!$B$1:$AY$1,D$1)+SUMIFS('changes2_based on steps'!$B10:$U10,'changes2_based on steps'!$B$1:$U$1,D$1)</f>
        <v>0</v>
      </c>
      <c r="E10" s="155">
        <f>SUMIFS('recurring2_based on steps'!$B10:$AY10,'recurring2_based on steps'!$B$1:$AY$1,E$1)+SUMIFS('changes2_based on steps'!$B10:$U10,'changes2_based on steps'!$B$1:$U$1,E$1)</f>
        <v>0</v>
      </c>
      <c r="F10" s="155">
        <f>SUMIFS('recurring2_based on steps'!$B10:$AY10,'recurring2_based on steps'!$B$1:$AY$1,F$1)+SUMIFS('changes2_based on steps'!$B10:$U10,'changes2_based on steps'!$B$1:$U$1,F$1)</f>
        <v>0</v>
      </c>
      <c r="G10" s="155">
        <f>SUMIFS('recurring2_based on steps'!$B10:$AY10,'recurring2_based on steps'!$B$1:$AY$1,G$1)+SUMIFS('changes2_based on steps'!$B10:$U10,'changes2_based on steps'!$B$1:$U$1,G$1)</f>
        <v>0</v>
      </c>
      <c r="H10" s="155">
        <f ca="1">SUMIFS('recurring2_based on steps'!$B10:$AY10,'recurring2_based on steps'!$B$1:$AY$1,H$1)+SUMIFS('changes2_based on steps'!$B10:$U10,'changes2_based on steps'!$B$1:$U$1,H$1)</f>
        <v>0</v>
      </c>
      <c r="I10" s="155">
        <f>SUMIFS('recurring2_based on steps'!$B10:$AY10,'recurring2_based on steps'!$B$1:$AY$1,I$1)+SUMIFS('changes2_based on steps'!$B10:$U10,'changes2_based on steps'!$B$1:$U$1,I$1)</f>
        <v>0</v>
      </c>
      <c r="J10" s="155">
        <f>SUMIFS('recurring2_based on steps'!$B10:$AY10,'recurring2_based on steps'!$B$1:$AY$1,J$1)+SUMIFS('changes2_based on steps'!$B10:$U10,'changes2_based on steps'!$B$1:$U$1,J$1)</f>
        <v>0</v>
      </c>
      <c r="K10" s="155">
        <f>SUMIFS('recurring2_based on steps'!$B10:$AY10,'recurring2_based on steps'!$B$1:$AY$1,K$1)+SUMIFS('changes2_based on steps'!$B10:$U10,'changes2_based on steps'!$B$1:$U$1,K$1)</f>
        <v>0</v>
      </c>
      <c r="L10" s="155">
        <f>SUMIFS('recurring2_based on steps'!$B10:$AY10,'recurring2_based on steps'!$B$1:$AY$1,L$1)+SUMIFS('changes2_based on steps'!$B10:$U10,'changes2_based on steps'!$B$1:$U$1,L$1)</f>
        <v>0</v>
      </c>
      <c r="M10" s="155">
        <f ca="1">SUMIFS('recurring2_based on steps'!$B10:$AY10,'recurring2_based on steps'!$B$1:$AY$1,M$1)+SUMIFS('changes2_based on steps'!$B10:$U10,'changes2_based on steps'!$B$1:$U$1,M$1)</f>
        <v>0</v>
      </c>
      <c r="N10" s="155">
        <f ca="1">SUMIFS('recurring2_based on steps'!$B10:$AY10,'recurring2_based on steps'!$B$1:$AY$1,N$1)+SUMIFS('changes2_based on steps'!$B10:$U10,'changes2_based on steps'!$B$1:$U$1,N$1)</f>
        <v>0</v>
      </c>
      <c r="O10" s="155">
        <f ca="1">SUMIFS('recurring2_based on steps'!$B10:$AY10,'recurring2_based on steps'!$B$1:$AY$1,O$1)+SUMIFS('changes2_based on steps'!$B10:$U10,'changes2_based on steps'!$B$1:$U$1,O$1)</f>
        <v>0</v>
      </c>
      <c r="P10" s="155">
        <f ca="1">SUMIFS('recurring2_based on steps'!$B10:$AY10,'recurring2_based on steps'!$B$1:$AY$1,P$1)+SUMIFS('changes2_based on steps'!$B10:$U10,'changes2_based on steps'!$B$1:$U$1,P$1)</f>
        <v>0</v>
      </c>
      <c r="Q10" s="155">
        <f>SUMIFS('recurring2_based on steps'!$B10:$AY10,'recurring2_based on steps'!$B$1:$AY$1,Q$1)+SUMIFS('changes2_based on steps'!$B10:$U10,'changes2_based on steps'!$B$1:$U$1,Q$1)</f>
        <v>0</v>
      </c>
      <c r="R10" s="155">
        <f ca="1">SUMIFS('recurring2_based on steps'!$B10:$AY10,'recurring2_based on steps'!$B$1:$AY$1,R$1)+SUMIFS('changes2_based on steps'!$B10:$U10,'changes2_based on steps'!$B$1:$U$1,R$1)</f>
        <v>100</v>
      </c>
      <c r="S10" s="155">
        <f ca="1">SUMIFS('recurring2_based on steps'!$B10:$AY10,'recurring2_based on steps'!$B$1:$AY$1,S$1)+SUMIFS('changes2_based on steps'!$B10:$U10,'changes2_based on steps'!$B$1:$U$1,S$1)</f>
        <v>100</v>
      </c>
      <c r="T10" s="155">
        <f>SUMIFS('recurring2_based on steps'!$B10:$AY10,'recurring2_based on steps'!$B$1:$AY$1,T$1)+SUMIFS('changes2_based on steps'!$B10:$U10,'changes2_based on steps'!$B$1:$U$1,T$1)</f>
        <v>0</v>
      </c>
      <c r="U10" s="155">
        <f ca="1">SUMIFS('recurring2_based on steps'!$B10:$AY10,'recurring2_based on steps'!$B$1:$AY$1,U$1)+SUMIFS('changes2_based on steps'!$B10:$U10,'changes2_based on steps'!$B$1:$U$1,U$1)</f>
        <v>0</v>
      </c>
      <c r="V10" s="155">
        <f>SUMIFS('recurring2_based on steps'!$B10:$AY10,'recurring2_based on steps'!$B$1:$AY$1,V$1)+SUMIFS('changes2_based on steps'!$B10:$U10,'changes2_based on steps'!$B$1:$U$1,V$1)</f>
        <v>0</v>
      </c>
      <c r="W10" s="155">
        <f ca="1">SUMIFS('recurring2_based on steps'!$B10:$AY10,'recurring2_based on steps'!$B$1:$AY$1,W$1)+SUMIFS('changes2_based on steps'!$B10:$U10,'changes2_based on steps'!$B$1:$U$1,W$1)</f>
        <v>0</v>
      </c>
      <c r="X10" s="155">
        <f ca="1">SUMIFS('recurring2_based on steps'!$B10:$AY10,'recurring2_based on steps'!$B$1:$AY$1,X$1)+SUMIFS('changes2_based on steps'!$B10:$U10,'changes2_based on steps'!$B$1:$U$1,X$1)</f>
        <v>0</v>
      </c>
      <c r="Y10" s="155">
        <f ca="1">SUMIFS('recurring2_based on steps'!$B10:$AY10,'recurring2_based on steps'!$B$1:$AY$1,Y$1)+SUMIFS('changes2_based on steps'!$B10:$U10,'changes2_based on steps'!$B$1:$U$1,Y$1)</f>
        <v>0</v>
      </c>
      <c r="Z10" s="155">
        <f>SUMIFS('recurring2_based on steps'!$B10:$AY10,'recurring2_based on steps'!$B$1:$AY$1,Z$1)+SUMIFS('changes2_based on steps'!$B10:$U10,'changes2_based on steps'!$B$1:$U$1,Z$1)</f>
        <v>0</v>
      </c>
      <c r="AA10" s="155">
        <f>SUMIFS('recurring2_based on steps'!$B10:$AY10,'recurring2_based on steps'!$B$1:$AY$1,AA$1)+SUMIFS('changes2_based on steps'!$B10:$U10,'changes2_based on steps'!$B$1:$U$1,AA$1)</f>
        <v>0</v>
      </c>
      <c r="AB10" s="155"/>
    </row>
    <row r="11" spans="1:28" x14ac:dyDescent="0.2">
      <c r="A11" s="18">
        <f t="shared" ca="1" si="0"/>
        <v>45697</v>
      </c>
      <c r="B11" s="155">
        <f ca="1">SUMIFS('recurring2_based on steps'!$B11:$AY11,'recurring2_based on steps'!$B$1:$AY$1,B$1)+SUMIFS('changes2_based on steps'!$B11:$U11,'changes2_based on steps'!$B$1:$U$1,B$1)</f>
        <v>0</v>
      </c>
      <c r="C11" s="155">
        <f>SUMIFS('recurring2_based on steps'!$B11:$AY11,'recurring2_based on steps'!$B$1:$AY$1,C$1)+SUMIFS('changes2_based on steps'!$B11:$U11,'changes2_based on steps'!$B$1:$U$1,C$1)</f>
        <v>0</v>
      </c>
      <c r="D11" s="155">
        <f>SUMIFS('recurring2_based on steps'!$B11:$AY11,'recurring2_based on steps'!$B$1:$AY$1,D$1)+SUMIFS('changes2_based on steps'!$B11:$U11,'changes2_based on steps'!$B$1:$U$1,D$1)</f>
        <v>0</v>
      </c>
      <c r="E11" s="155">
        <f>SUMIFS('recurring2_based on steps'!$B11:$AY11,'recurring2_based on steps'!$B$1:$AY$1,E$1)+SUMIFS('changes2_based on steps'!$B11:$U11,'changes2_based on steps'!$B$1:$U$1,E$1)</f>
        <v>0</v>
      </c>
      <c r="F11" s="155">
        <f>SUMIFS('recurring2_based on steps'!$B11:$AY11,'recurring2_based on steps'!$B$1:$AY$1,F$1)+SUMIFS('changes2_based on steps'!$B11:$U11,'changes2_based on steps'!$B$1:$U$1,F$1)</f>
        <v>0</v>
      </c>
      <c r="G11" s="155">
        <f>SUMIFS('recurring2_based on steps'!$B11:$AY11,'recurring2_based on steps'!$B$1:$AY$1,G$1)+SUMIFS('changes2_based on steps'!$B11:$U11,'changes2_based on steps'!$B$1:$U$1,G$1)</f>
        <v>0</v>
      </c>
      <c r="H11" s="155">
        <f ca="1">SUMIFS('recurring2_based on steps'!$B11:$AY11,'recurring2_based on steps'!$B$1:$AY$1,H$1)+SUMIFS('changes2_based on steps'!$B11:$U11,'changes2_based on steps'!$B$1:$U$1,H$1)</f>
        <v>0</v>
      </c>
      <c r="I11" s="155">
        <f>SUMIFS('recurring2_based on steps'!$B11:$AY11,'recurring2_based on steps'!$B$1:$AY$1,I$1)+SUMIFS('changes2_based on steps'!$B11:$U11,'changes2_based on steps'!$B$1:$U$1,I$1)</f>
        <v>0</v>
      </c>
      <c r="J11" s="155">
        <f>SUMIFS('recurring2_based on steps'!$B11:$AY11,'recurring2_based on steps'!$B$1:$AY$1,J$1)+SUMIFS('changes2_based on steps'!$B11:$U11,'changes2_based on steps'!$B$1:$U$1,J$1)</f>
        <v>0</v>
      </c>
      <c r="K11" s="155">
        <f>SUMIFS('recurring2_based on steps'!$B11:$AY11,'recurring2_based on steps'!$B$1:$AY$1,K$1)+SUMIFS('changes2_based on steps'!$B11:$U11,'changes2_based on steps'!$B$1:$U$1,K$1)</f>
        <v>0</v>
      </c>
      <c r="L11" s="155">
        <f>SUMIFS('recurring2_based on steps'!$B11:$AY11,'recurring2_based on steps'!$B$1:$AY$1,L$1)+SUMIFS('changes2_based on steps'!$B11:$U11,'changes2_based on steps'!$B$1:$U$1,L$1)</f>
        <v>0</v>
      </c>
      <c r="M11" s="155">
        <f ca="1">SUMIFS('recurring2_based on steps'!$B11:$AY11,'recurring2_based on steps'!$B$1:$AY$1,M$1)+SUMIFS('changes2_based on steps'!$B11:$U11,'changes2_based on steps'!$B$1:$U$1,M$1)</f>
        <v>0</v>
      </c>
      <c r="N11" s="155">
        <f ca="1">SUMIFS('recurring2_based on steps'!$B11:$AY11,'recurring2_based on steps'!$B$1:$AY$1,N$1)+SUMIFS('changes2_based on steps'!$B11:$U11,'changes2_based on steps'!$B$1:$U$1,N$1)</f>
        <v>50</v>
      </c>
      <c r="O11" s="155">
        <f ca="1">SUMIFS('recurring2_based on steps'!$B11:$AY11,'recurring2_based on steps'!$B$1:$AY$1,O$1)+SUMIFS('changes2_based on steps'!$B11:$U11,'changes2_based on steps'!$B$1:$U$1,O$1)</f>
        <v>0</v>
      </c>
      <c r="P11" s="155">
        <f ca="1">SUMIFS('recurring2_based on steps'!$B11:$AY11,'recurring2_based on steps'!$B$1:$AY$1,P$1)+SUMIFS('changes2_based on steps'!$B11:$U11,'changes2_based on steps'!$B$1:$U$1,P$1)</f>
        <v>0</v>
      </c>
      <c r="Q11" s="155">
        <f>SUMIFS('recurring2_based on steps'!$B11:$AY11,'recurring2_based on steps'!$B$1:$AY$1,Q$1)+SUMIFS('changes2_based on steps'!$B11:$U11,'changes2_based on steps'!$B$1:$U$1,Q$1)</f>
        <v>0</v>
      </c>
      <c r="R11" s="155">
        <f ca="1">SUMIFS('recurring2_based on steps'!$B11:$AY11,'recurring2_based on steps'!$B$1:$AY$1,R$1)+SUMIFS('changes2_based on steps'!$B11:$U11,'changes2_based on steps'!$B$1:$U$1,R$1)</f>
        <v>0</v>
      </c>
      <c r="S11" s="155">
        <f ca="1">SUMIFS('recurring2_based on steps'!$B11:$AY11,'recurring2_based on steps'!$B$1:$AY$1,S$1)+SUMIFS('changes2_based on steps'!$B11:$U11,'changes2_based on steps'!$B$1:$U$1,S$1)</f>
        <v>100</v>
      </c>
      <c r="T11" s="155">
        <f>SUMIFS('recurring2_based on steps'!$B11:$AY11,'recurring2_based on steps'!$B$1:$AY$1,T$1)+SUMIFS('changes2_based on steps'!$B11:$U11,'changes2_based on steps'!$B$1:$U$1,T$1)</f>
        <v>0</v>
      </c>
      <c r="U11" s="155">
        <f ca="1">SUMIFS('recurring2_based on steps'!$B11:$AY11,'recurring2_based on steps'!$B$1:$AY$1,U$1)+SUMIFS('changes2_based on steps'!$B11:$U11,'changes2_based on steps'!$B$1:$U$1,U$1)</f>
        <v>0</v>
      </c>
      <c r="V11" s="155">
        <f>SUMIFS('recurring2_based on steps'!$B11:$AY11,'recurring2_based on steps'!$B$1:$AY$1,V$1)+SUMIFS('changes2_based on steps'!$B11:$U11,'changes2_based on steps'!$B$1:$U$1,V$1)</f>
        <v>0</v>
      </c>
      <c r="W11" s="155">
        <f ca="1">SUMIFS('recurring2_based on steps'!$B11:$AY11,'recurring2_based on steps'!$B$1:$AY$1,W$1)+SUMIFS('changes2_based on steps'!$B11:$U11,'changes2_based on steps'!$B$1:$U$1,W$1)</f>
        <v>0</v>
      </c>
      <c r="X11" s="155">
        <f ca="1">SUMIFS('recurring2_based on steps'!$B11:$AY11,'recurring2_based on steps'!$B$1:$AY$1,X$1)+SUMIFS('changes2_based on steps'!$B11:$U11,'changes2_based on steps'!$B$1:$U$1,X$1)</f>
        <v>0</v>
      </c>
      <c r="Y11" s="155">
        <f ca="1">SUMIFS('recurring2_based on steps'!$B11:$AY11,'recurring2_based on steps'!$B$1:$AY$1,Y$1)+SUMIFS('changes2_based on steps'!$B11:$U11,'changes2_based on steps'!$B$1:$U$1,Y$1)</f>
        <v>0</v>
      </c>
      <c r="Z11" s="155">
        <f>SUMIFS('recurring2_based on steps'!$B11:$AY11,'recurring2_based on steps'!$B$1:$AY$1,Z$1)+SUMIFS('changes2_based on steps'!$B11:$U11,'changes2_based on steps'!$B$1:$U$1,Z$1)</f>
        <v>0</v>
      </c>
      <c r="AA11" s="155">
        <f>SUMIFS('recurring2_based on steps'!$B11:$AY11,'recurring2_based on steps'!$B$1:$AY$1,AA$1)+SUMIFS('changes2_based on steps'!$B11:$U11,'changes2_based on steps'!$B$1:$U$1,AA$1)</f>
        <v>0</v>
      </c>
      <c r="AB11" s="155"/>
    </row>
    <row r="12" spans="1:28" x14ac:dyDescent="0.2">
      <c r="A12" s="18">
        <f t="shared" ca="1" si="0"/>
        <v>45698</v>
      </c>
      <c r="B12" s="155">
        <f ca="1">SUMIFS('recurring2_based on steps'!$B12:$AY12,'recurring2_based on steps'!$B$1:$AY$1,B$1)+SUMIFS('changes2_based on steps'!$B12:$U12,'changes2_based on steps'!$B$1:$U$1,B$1)</f>
        <v>0</v>
      </c>
      <c r="C12" s="155">
        <f>SUMIFS('recurring2_based on steps'!$B12:$AY12,'recurring2_based on steps'!$B$1:$AY$1,C$1)+SUMIFS('changes2_based on steps'!$B12:$U12,'changes2_based on steps'!$B$1:$U$1,C$1)</f>
        <v>0</v>
      </c>
      <c r="D12" s="155">
        <f>SUMIFS('recurring2_based on steps'!$B12:$AY12,'recurring2_based on steps'!$B$1:$AY$1,D$1)+SUMIFS('changes2_based on steps'!$B12:$U12,'changes2_based on steps'!$B$1:$U$1,D$1)</f>
        <v>0</v>
      </c>
      <c r="E12" s="155">
        <f>SUMIFS('recurring2_based on steps'!$B12:$AY12,'recurring2_based on steps'!$B$1:$AY$1,E$1)+SUMIFS('changes2_based on steps'!$B12:$U12,'changes2_based on steps'!$B$1:$U$1,E$1)</f>
        <v>0</v>
      </c>
      <c r="F12" s="155">
        <f>SUMIFS('recurring2_based on steps'!$B12:$AY12,'recurring2_based on steps'!$B$1:$AY$1,F$1)+SUMIFS('changes2_based on steps'!$B12:$U12,'changes2_based on steps'!$B$1:$U$1,F$1)</f>
        <v>0</v>
      </c>
      <c r="G12" s="155">
        <f>SUMIFS('recurring2_based on steps'!$B12:$AY12,'recurring2_based on steps'!$B$1:$AY$1,G$1)+SUMIFS('changes2_based on steps'!$B12:$U12,'changes2_based on steps'!$B$1:$U$1,G$1)</f>
        <v>0</v>
      </c>
      <c r="H12" s="155">
        <f ca="1">SUMIFS('recurring2_based on steps'!$B12:$AY12,'recurring2_based on steps'!$B$1:$AY$1,H$1)+SUMIFS('changes2_based on steps'!$B12:$U12,'changes2_based on steps'!$B$1:$U$1,H$1)</f>
        <v>0</v>
      </c>
      <c r="I12" s="155">
        <f>SUMIFS('recurring2_based on steps'!$B12:$AY12,'recurring2_based on steps'!$B$1:$AY$1,I$1)+SUMIFS('changes2_based on steps'!$B12:$U12,'changes2_based on steps'!$B$1:$U$1,I$1)</f>
        <v>0</v>
      </c>
      <c r="J12" s="155">
        <f>SUMIFS('recurring2_based on steps'!$B12:$AY12,'recurring2_based on steps'!$B$1:$AY$1,J$1)+SUMIFS('changes2_based on steps'!$B12:$U12,'changes2_based on steps'!$B$1:$U$1,J$1)</f>
        <v>0</v>
      </c>
      <c r="K12" s="155">
        <f>SUMIFS('recurring2_based on steps'!$B12:$AY12,'recurring2_based on steps'!$B$1:$AY$1,K$1)+SUMIFS('changes2_based on steps'!$B12:$U12,'changes2_based on steps'!$B$1:$U$1,K$1)</f>
        <v>0</v>
      </c>
      <c r="L12" s="155">
        <f>SUMIFS('recurring2_based on steps'!$B12:$AY12,'recurring2_based on steps'!$B$1:$AY$1,L$1)+SUMIFS('changes2_based on steps'!$B12:$U12,'changes2_based on steps'!$B$1:$U$1,L$1)</f>
        <v>0</v>
      </c>
      <c r="M12" s="155">
        <f ca="1">SUMIFS('recurring2_based on steps'!$B12:$AY12,'recurring2_based on steps'!$B$1:$AY$1,M$1)+SUMIFS('changes2_based on steps'!$B12:$U12,'changes2_based on steps'!$B$1:$U$1,M$1)</f>
        <v>0</v>
      </c>
      <c r="N12" s="155">
        <f ca="1">SUMIFS('recurring2_based on steps'!$B12:$AY12,'recurring2_based on steps'!$B$1:$AY$1,N$1)+SUMIFS('changes2_based on steps'!$B12:$U12,'changes2_based on steps'!$B$1:$U$1,N$1)</f>
        <v>0</v>
      </c>
      <c r="O12" s="155">
        <f ca="1">SUMIFS('recurring2_based on steps'!$B12:$AY12,'recurring2_based on steps'!$B$1:$AY$1,O$1)+SUMIFS('changes2_based on steps'!$B12:$U12,'changes2_based on steps'!$B$1:$U$1,O$1)</f>
        <v>0</v>
      </c>
      <c r="P12" s="155">
        <f ca="1">SUMIFS('recurring2_based on steps'!$B12:$AY12,'recurring2_based on steps'!$B$1:$AY$1,P$1)+SUMIFS('changes2_based on steps'!$B12:$U12,'changes2_based on steps'!$B$1:$U$1,P$1)</f>
        <v>0</v>
      </c>
      <c r="Q12" s="155">
        <f>SUMIFS('recurring2_based on steps'!$B12:$AY12,'recurring2_based on steps'!$B$1:$AY$1,Q$1)+SUMIFS('changes2_based on steps'!$B12:$U12,'changes2_based on steps'!$B$1:$U$1,Q$1)</f>
        <v>0</v>
      </c>
      <c r="R12" s="155">
        <f ca="1">SUMIFS('recurring2_based on steps'!$B12:$AY12,'recurring2_based on steps'!$B$1:$AY$1,R$1)+SUMIFS('changes2_based on steps'!$B12:$U12,'changes2_based on steps'!$B$1:$U$1,R$1)</f>
        <v>0</v>
      </c>
      <c r="S12" s="155">
        <f ca="1">SUMIFS('recurring2_based on steps'!$B12:$AY12,'recurring2_based on steps'!$B$1:$AY$1,S$1)+SUMIFS('changes2_based on steps'!$B12:$U12,'changes2_based on steps'!$B$1:$U$1,S$1)</f>
        <v>0</v>
      </c>
      <c r="T12" s="155">
        <f>SUMIFS('recurring2_based on steps'!$B12:$AY12,'recurring2_based on steps'!$B$1:$AY$1,T$1)+SUMIFS('changes2_based on steps'!$B12:$U12,'changes2_based on steps'!$B$1:$U$1,T$1)</f>
        <v>0</v>
      </c>
      <c r="U12" s="155">
        <f ca="1">SUMIFS('recurring2_based on steps'!$B12:$AY12,'recurring2_based on steps'!$B$1:$AY$1,U$1)+SUMIFS('changes2_based on steps'!$B12:$U12,'changes2_based on steps'!$B$1:$U$1,U$1)</f>
        <v>0</v>
      </c>
      <c r="V12" s="155">
        <f>SUMIFS('recurring2_based on steps'!$B12:$AY12,'recurring2_based on steps'!$B$1:$AY$1,V$1)+SUMIFS('changes2_based on steps'!$B12:$U12,'changes2_based on steps'!$B$1:$U$1,V$1)</f>
        <v>0</v>
      </c>
      <c r="W12" s="155">
        <f ca="1">SUMIFS('recurring2_based on steps'!$B12:$AY12,'recurring2_based on steps'!$B$1:$AY$1,W$1)+SUMIFS('changes2_based on steps'!$B12:$U12,'changes2_based on steps'!$B$1:$U$1,W$1)</f>
        <v>0</v>
      </c>
      <c r="X12" s="155">
        <f ca="1">SUMIFS('recurring2_based on steps'!$B12:$AY12,'recurring2_based on steps'!$B$1:$AY$1,X$1)+SUMIFS('changes2_based on steps'!$B12:$U12,'changes2_based on steps'!$B$1:$U$1,X$1)</f>
        <v>0</v>
      </c>
      <c r="Y12" s="155">
        <f ca="1">SUMIFS('recurring2_based on steps'!$B12:$AY12,'recurring2_based on steps'!$B$1:$AY$1,Y$1)+SUMIFS('changes2_based on steps'!$B12:$U12,'changes2_based on steps'!$B$1:$U$1,Y$1)</f>
        <v>0</v>
      </c>
      <c r="Z12" s="155">
        <f>SUMIFS('recurring2_based on steps'!$B12:$AY12,'recurring2_based on steps'!$B$1:$AY$1,Z$1)+SUMIFS('changes2_based on steps'!$B12:$U12,'changes2_based on steps'!$B$1:$U$1,Z$1)</f>
        <v>0</v>
      </c>
      <c r="AA12" s="155">
        <f>SUMIFS('recurring2_based on steps'!$B12:$AY12,'recurring2_based on steps'!$B$1:$AY$1,AA$1)+SUMIFS('changes2_based on steps'!$B12:$U12,'changes2_based on steps'!$B$1:$U$1,AA$1)</f>
        <v>0</v>
      </c>
      <c r="AB12" s="155"/>
    </row>
    <row r="13" spans="1:28" x14ac:dyDescent="0.2">
      <c r="A13" s="18">
        <f t="shared" ca="1" si="0"/>
        <v>45699</v>
      </c>
      <c r="B13" s="155">
        <f ca="1">SUMIFS('recurring2_based on steps'!$B13:$AY13,'recurring2_based on steps'!$B$1:$AY$1,B$1)+SUMIFS('changes2_based on steps'!$B13:$U13,'changes2_based on steps'!$B$1:$U$1,B$1)</f>
        <v>0</v>
      </c>
      <c r="C13" s="155">
        <f>SUMIFS('recurring2_based on steps'!$B13:$AY13,'recurring2_based on steps'!$B$1:$AY$1,C$1)+SUMIFS('changes2_based on steps'!$B13:$U13,'changes2_based on steps'!$B$1:$U$1,C$1)</f>
        <v>0</v>
      </c>
      <c r="D13" s="155">
        <f>SUMIFS('recurring2_based on steps'!$B13:$AY13,'recurring2_based on steps'!$B$1:$AY$1,D$1)+SUMIFS('changes2_based on steps'!$B13:$U13,'changes2_based on steps'!$B$1:$U$1,D$1)</f>
        <v>0</v>
      </c>
      <c r="E13" s="155">
        <f>SUMIFS('recurring2_based on steps'!$B13:$AY13,'recurring2_based on steps'!$B$1:$AY$1,E$1)+SUMIFS('changes2_based on steps'!$B13:$U13,'changes2_based on steps'!$B$1:$U$1,E$1)</f>
        <v>0</v>
      </c>
      <c r="F13" s="155">
        <f>SUMIFS('recurring2_based on steps'!$B13:$AY13,'recurring2_based on steps'!$B$1:$AY$1,F$1)+SUMIFS('changes2_based on steps'!$B13:$U13,'changes2_based on steps'!$B$1:$U$1,F$1)</f>
        <v>0</v>
      </c>
      <c r="G13" s="155">
        <f>SUMIFS('recurring2_based on steps'!$B13:$AY13,'recurring2_based on steps'!$B$1:$AY$1,G$1)+SUMIFS('changes2_based on steps'!$B13:$U13,'changes2_based on steps'!$B$1:$U$1,G$1)</f>
        <v>0</v>
      </c>
      <c r="H13" s="155">
        <f ca="1">SUMIFS('recurring2_based on steps'!$B13:$AY13,'recurring2_based on steps'!$B$1:$AY$1,H$1)+SUMIFS('changes2_based on steps'!$B13:$U13,'changes2_based on steps'!$B$1:$U$1,H$1)</f>
        <v>0</v>
      </c>
      <c r="I13" s="155">
        <f>SUMIFS('recurring2_based on steps'!$B13:$AY13,'recurring2_based on steps'!$B$1:$AY$1,I$1)+SUMIFS('changes2_based on steps'!$B13:$U13,'changes2_based on steps'!$B$1:$U$1,I$1)</f>
        <v>0</v>
      </c>
      <c r="J13" s="155">
        <f>SUMIFS('recurring2_based on steps'!$B13:$AY13,'recurring2_based on steps'!$B$1:$AY$1,J$1)+SUMIFS('changes2_based on steps'!$B13:$U13,'changes2_based on steps'!$B$1:$U$1,J$1)</f>
        <v>0</v>
      </c>
      <c r="K13" s="155">
        <f>SUMIFS('recurring2_based on steps'!$B13:$AY13,'recurring2_based on steps'!$B$1:$AY$1,K$1)+SUMIFS('changes2_based on steps'!$B13:$U13,'changes2_based on steps'!$B$1:$U$1,K$1)</f>
        <v>0</v>
      </c>
      <c r="L13" s="155">
        <f>SUMIFS('recurring2_based on steps'!$B13:$AY13,'recurring2_based on steps'!$B$1:$AY$1,L$1)+SUMIFS('changes2_based on steps'!$B13:$U13,'changes2_based on steps'!$B$1:$U$1,L$1)</f>
        <v>0</v>
      </c>
      <c r="M13" s="155">
        <f ca="1">SUMIFS('recurring2_based on steps'!$B13:$AY13,'recurring2_based on steps'!$B$1:$AY$1,M$1)+SUMIFS('changes2_based on steps'!$B13:$U13,'changes2_based on steps'!$B$1:$U$1,M$1)</f>
        <v>0</v>
      </c>
      <c r="N13" s="155">
        <f ca="1">SUMIFS('recurring2_based on steps'!$B13:$AY13,'recurring2_based on steps'!$B$1:$AY$1,N$1)+SUMIFS('changes2_based on steps'!$B13:$U13,'changes2_based on steps'!$B$1:$U$1,N$1)</f>
        <v>0</v>
      </c>
      <c r="O13" s="155">
        <f ca="1">SUMIFS('recurring2_based on steps'!$B13:$AY13,'recurring2_based on steps'!$B$1:$AY$1,O$1)+SUMIFS('changes2_based on steps'!$B13:$U13,'changes2_based on steps'!$B$1:$U$1,O$1)</f>
        <v>0</v>
      </c>
      <c r="P13" s="155">
        <f ca="1">SUMIFS('recurring2_based on steps'!$B13:$AY13,'recurring2_based on steps'!$B$1:$AY$1,P$1)+SUMIFS('changes2_based on steps'!$B13:$U13,'changes2_based on steps'!$B$1:$U$1,P$1)</f>
        <v>0</v>
      </c>
      <c r="Q13" s="155">
        <f>SUMIFS('recurring2_based on steps'!$B13:$AY13,'recurring2_based on steps'!$B$1:$AY$1,Q$1)+SUMIFS('changes2_based on steps'!$B13:$U13,'changes2_based on steps'!$B$1:$U$1,Q$1)</f>
        <v>0</v>
      </c>
      <c r="R13" s="155">
        <f ca="1">SUMIFS('recurring2_based on steps'!$B13:$AY13,'recurring2_based on steps'!$B$1:$AY$1,R$1)+SUMIFS('changes2_based on steps'!$B13:$U13,'changes2_based on steps'!$B$1:$U$1,R$1)</f>
        <v>0</v>
      </c>
      <c r="S13" s="155">
        <f ca="1">SUMIFS('recurring2_based on steps'!$B13:$AY13,'recurring2_based on steps'!$B$1:$AY$1,S$1)+SUMIFS('changes2_based on steps'!$B13:$U13,'changes2_based on steps'!$B$1:$U$1,S$1)</f>
        <v>0</v>
      </c>
      <c r="T13" s="155">
        <f>SUMIFS('recurring2_based on steps'!$B13:$AY13,'recurring2_based on steps'!$B$1:$AY$1,T$1)+SUMIFS('changes2_based on steps'!$B13:$U13,'changes2_based on steps'!$B$1:$U$1,T$1)</f>
        <v>0</v>
      </c>
      <c r="U13" s="155">
        <f ca="1">SUMIFS('recurring2_based on steps'!$B13:$AY13,'recurring2_based on steps'!$B$1:$AY$1,U$1)+SUMIFS('changes2_based on steps'!$B13:$U13,'changes2_based on steps'!$B$1:$U$1,U$1)</f>
        <v>0</v>
      </c>
      <c r="V13" s="155">
        <f>SUMIFS('recurring2_based on steps'!$B13:$AY13,'recurring2_based on steps'!$B$1:$AY$1,V$1)+SUMIFS('changes2_based on steps'!$B13:$U13,'changes2_based on steps'!$B$1:$U$1,V$1)</f>
        <v>0</v>
      </c>
      <c r="W13" s="155">
        <f ca="1">SUMIFS('recurring2_based on steps'!$B13:$AY13,'recurring2_based on steps'!$B$1:$AY$1,W$1)+SUMIFS('changes2_based on steps'!$B13:$U13,'changes2_based on steps'!$B$1:$U$1,W$1)</f>
        <v>0</v>
      </c>
      <c r="X13" s="155">
        <f ca="1">SUMIFS('recurring2_based on steps'!$B13:$AY13,'recurring2_based on steps'!$B$1:$AY$1,X$1)+SUMIFS('changes2_based on steps'!$B13:$U13,'changes2_based on steps'!$B$1:$U$1,X$1)</f>
        <v>0</v>
      </c>
      <c r="Y13" s="155">
        <f ca="1">SUMIFS('recurring2_based on steps'!$B13:$AY13,'recurring2_based on steps'!$B$1:$AY$1,Y$1)+SUMIFS('changes2_based on steps'!$B13:$U13,'changes2_based on steps'!$B$1:$U$1,Y$1)</f>
        <v>0</v>
      </c>
      <c r="Z13" s="155">
        <f>SUMIFS('recurring2_based on steps'!$B13:$AY13,'recurring2_based on steps'!$B$1:$AY$1,Z$1)+SUMIFS('changes2_based on steps'!$B13:$U13,'changes2_based on steps'!$B$1:$U$1,Z$1)</f>
        <v>0</v>
      </c>
      <c r="AA13" s="155">
        <f>SUMIFS('recurring2_based on steps'!$B13:$AY13,'recurring2_based on steps'!$B$1:$AY$1,AA$1)+SUMIFS('changes2_based on steps'!$B13:$U13,'changes2_based on steps'!$B$1:$U$1,AA$1)</f>
        <v>0</v>
      </c>
      <c r="AB13" s="155"/>
    </row>
    <row r="14" spans="1:28" x14ac:dyDescent="0.2">
      <c r="A14" s="18">
        <f t="shared" ca="1" si="0"/>
        <v>45700</v>
      </c>
      <c r="B14" s="155">
        <f ca="1">SUMIFS('recurring2_based on steps'!$B14:$AY14,'recurring2_based on steps'!$B$1:$AY$1,B$1)+SUMIFS('changes2_based on steps'!$B14:$U14,'changes2_based on steps'!$B$1:$U$1,B$1)</f>
        <v>0</v>
      </c>
      <c r="C14" s="155">
        <f>SUMIFS('recurring2_based on steps'!$B14:$AY14,'recurring2_based on steps'!$B$1:$AY$1,C$1)+SUMIFS('changes2_based on steps'!$B14:$U14,'changes2_based on steps'!$B$1:$U$1,C$1)</f>
        <v>0</v>
      </c>
      <c r="D14" s="155">
        <f>SUMIFS('recurring2_based on steps'!$B14:$AY14,'recurring2_based on steps'!$B$1:$AY$1,D$1)+SUMIFS('changes2_based on steps'!$B14:$U14,'changes2_based on steps'!$B$1:$U$1,D$1)</f>
        <v>0</v>
      </c>
      <c r="E14" s="155">
        <f>SUMIFS('recurring2_based on steps'!$B14:$AY14,'recurring2_based on steps'!$B$1:$AY$1,E$1)+SUMIFS('changes2_based on steps'!$B14:$U14,'changes2_based on steps'!$B$1:$U$1,E$1)</f>
        <v>0</v>
      </c>
      <c r="F14" s="155">
        <f>SUMIFS('recurring2_based on steps'!$B14:$AY14,'recurring2_based on steps'!$B$1:$AY$1,F$1)+SUMIFS('changes2_based on steps'!$B14:$U14,'changes2_based on steps'!$B$1:$U$1,F$1)</f>
        <v>0</v>
      </c>
      <c r="G14" s="155">
        <f>SUMIFS('recurring2_based on steps'!$B14:$AY14,'recurring2_based on steps'!$B$1:$AY$1,G$1)+SUMIFS('changes2_based on steps'!$B14:$U14,'changes2_based on steps'!$B$1:$U$1,G$1)</f>
        <v>0</v>
      </c>
      <c r="H14" s="155">
        <f ca="1">SUMIFS('recurring2_based on steps'!$B14:$AY14,'recurring2_based on steps'!$B$1:$AY$1,H$1)+SUMIFS('changes2_based on steps'!$B14:$U14,'changes2_based on steps'!$B$1:$U$1,H$1)</f>
        <v>0</v>
      </c>
      <c r="I14" s="155">
        <f>SUMIFS('recurring2_based on steps'!$B14:$AY14,'recurring2_based on steps'!$B$1:$AY$1,I$1)+SUMIFS('changes2_based on steps'!$B14:$U14,'changes2_based on steps'!$B$1:$U$1,I$1)</f>
        <v>0</v>
      </c>
      <c r="J14" s="155">
        <f>SUMIFS('recurring2_based on steps'!$B14:$AY14,'recurring2_based on steps'!$B$1:$AY$1,J$1)+SUMIFS('changes2_based on steps'!$B14:$U14,'changes2_based on steps'!$B$1:$U$1,J$1)</f>
        <v>0</v>
      </c>
      <c r="K14" s="155">
        <f>SUMIFS('recurring2_based on steps'!$B14:$AY14,'recurring2_based on steps'!$B$1:$AY$1,K$1)+SUMIFS('changes2_based on steps'!$B14:$U14,'changes2_based on steps'!$B$1:$U$1,K$1)</f>
        <v>0</v>
      </c>
      <c r="L14" s="155">
        <f>SUMIFS('recurring2_based on steps'!$B14:$AY14,'recurring2_based on steps'!$B$1:$AY$1,L$1)+SUMIFS('changes2_based on steps'!$B14:$U14,'changes2_based on steps'!$B$1:$U$1,L$1)</f>
        <v>0</v>
      </c>
      <c r="M14" s="155">
        <f ca="1">SUMIFS('recurring2_based on steps'!$B14:$AY14,'recurring2_based on steps'!$B$1:$AY$1,M$1)+SUMIFS('changes2_based on steps'!$B14:$U14,'changes2_based on steps'!$B$1:$U$1,M$1)</f>
        <v>0</v>
      </c>
      <c r="N14" s="155">
        <f ca="1">SUMIFS('recurring2_based on steps'!$B14:$AY14,'recurring2_based on steps'!$B$1:$AY$1,N$1)+SUMIFS('changes2_based on steps'!$B14:$U14,'changes2_based on steps'!$B$1:$U$1,N$1)</f>
        <v>0</v>
      </c>
      <c r="O14" s="155">
        <f ca="1">SUMIFS('recurring2_based on steps'!$B14:$AY14,'recurring2_based on steps'!$B$1:$AY$1,O$1)+SUMIFS('changes2_based on steps'!$B14:$U14,'changes2_based on steps'!$B$1:$U$1,O$1)</f>
        <v>0</v>
      </c>
      <c r="P14" s="155">
        <f ca="1">SUMIFS('recurring2_based on steps'!$B14:$AY14,'recurring2_based on steps'!$B$1:$AY$1,P$1)+SUMIFS('changes2_based on steps'!$B14:$U14,'changes2_based on steps'!$B$1:$U$1,P$1)</f>
        <v>0</v>
      </c>
      <c r="Q14" s="155">
        <f>SUMIFS('recurring2_based on steps'!$B14:$AY14,'recurring2_based on steps'!$B$1:$AY$1,Q$1)+SUMIFS('changes2_based on steps'!$B14:$U14,'changes2_based on steps'!$B$1:$U$1,Q$1)</f>
        <v>0</v>
      </c>
      <c r="R14" s="155">
        <f ca="1">SUMIFS('recurring2_based on steps'!$B14:$AY14,'recurring2_based on steps'!$B$1:$AY$1,R$1)+SUMIFS('changes2_based on steps'!$B14:$U14,'changes2_based on steps'!$B$1:$U$1,R$1)</f>
        <v>0</v>
      </c>
      <c r="S14" s="155">
        <f ca="1">SUMIFS('recurring2_based on steps'!$B14:$AY14,'recurring2_based on steps'!$B$1:$AY$1,S$1)+SUMIFS('changes2_based on steps'!$B14:$U14,'changes2_based on steps'!$B$1:$U$1,S$1)</f>
        <v>0</v>
      </c>
      <c r="T14" s="155">
        <f>SUMIFS('recurring2_based on steps'!$B14:$AY14,'recurring2_based on steps'!$B$1:$AY$1,T$1)+SUMIFS('changes2_based on steps'!$B14:$U14,'changes2_based on steps'!$B$1:$U$1,T$1)</f>
        <v>0</v>
      </c>
      <c r="U14" s="155">
        <f ca="1">SUMIFS('recurring2_based on steps'!$B14:$AY14,'recurring2_based on steps'!$B$1:$AY$1,U$1)+SUMIFS('changes2_based on steps'!$B14:$U14,'changes2_based on steps'!$B$1:$U$1,U$1)</f>
        <v>0</v>
      </c>
      <c r="V14" s="155">
        <f>SUMIFS('recurring2_based on steps'!$B14:$AY14,'recurring2_based on steps'!$B$1:$AY$1,V$1)+SUMIFS('changes2_based on steps'!$B14:$U14,'changes2_based on steps'!$B$1:$U$1,V$1)</f>
        <v>0</v>
      </c>
      <c r="W14" s="155">
        <f ca="1">SUMIFS('recurring2_based on steps'!$B14:$AY14,'recurring2_based on steps'!$B$1:$AY$1,W$1)+SUMIFS('changes2_based on steps'!$B14:$U14,'changes2_based on steps'!$B$1:$U$1,W$1)</f>
        <v>0</v>
      </c>
      <c r="X14" s="155">
        <f ca="1">SUMIFS('recurring2_based on steps'!$B14:$AY14,'recurring2_based on steps'!$B$1:$AY$1,X$1)+SUMIFS('changes2_based on steps'!$B14:$U14,'changes2_based on steps'!$B$1:$U$1,X$1)</f>
        <v>0</v>
      </c>
      <c r="Y14" s="155">
        <f ca="1">SUMIFS('recurring2_based on steps'!$B14:$AY14,'recurring2_based on steps'!$B$1:$AY$1,Y$1)+SUMIFS('changes2_based on steps'!$B14:$U14,'changes2_based on steps'!$B$1:$U$1,Y$1)</f>
        <v>0</v>
      </c>
      <c r="Z14" s="155">
        <f>SUMIFS('recurring2_based on steps'!$B14:$AY14,'recurring2_based on steps'!$B$1:$AY$1,Z$1)+SUMIFS('changes2_based on steps'!$B14:$U14,'changes2_based on steps'!$B$1:$U$1,Z$1)</f>
        <v>0</v>
      </c>
      <c r="AA14" s="155">
        <f>SUMIFS('recurring2_based on steps'!$B14:$AY14,'recurring2_based on steps'!$B$1:$AY$1,AA$1)+SUMIFS('changes2_based on steps'!$B14:$U14,'changes2_based on steps'!$B$1:$U$1,AA$1)</f>
        <v>0</v>
      </c>
      <c r="AB14" s="155"/>
    </row>
    <row r="15" spans="1:28" x14ac:dyDescent="0.2">
      <c r="A15" s="18">
        <f t="shared" ca="1" si="0"/>
        <v>45701</v>
      </c>
      <c r="B15" s="155">
        <f ca="1">SUMIFS('recurring2_based on steps'!$B15:$AY15,'recurring2_based on steps'!$B$1:$AY$1,B$1)+SUMIFS('changes2_based on steps'!$B15:$U15,'changes2_based on steps'!$B$1:$U$1,B$1)</f>
        <v>0</v>
      </c>
      <c r="C15" s="155">
        <f>SUMIFS('recurring2_based on steps'!$B15:$AY15,'recurring2_based on steps'!$B$1:$AY$1,C$1)+SUMIFS('changes2_based on steps'!$B15:$U15,'changes2_based on steps'!$B$1:$U$1,C$1)</f>
        <v>0</v>
      </c>
      <c r="D15" s="155">
        <f>SUMIFS('recurring2_based on steps'!$B15:$AY15,'recurring2_based on steps'!$B$1:$AY$1,D$1)+SUMIFS('changes2_based on steps'!$B15:$U15,'changes2_based on steps'!$B$1:$U$1,D$1)</f>
        <v>0</v>
      </c>
      <c r="E15" s="155">
        <f>SUMIFS('recurring2_based on steps'!$B15:$AY15,'recurring2_based on steps'!$B$1:$AY$1,E$1)+SUMIFS('changes2_based on steps'!$B15:$U15,'changes2_based on steps'!$B$1:$U$1,E$1)</f>
        <v>0</v>
      </c>
      <c r="F15" s="155">
        <f>SUMIFS('recurring2_based on steps'!$B15:$AY15,'recurring2_based on steps'!$B$1:$AY$1,F$1)+SUMIFS('changes2_based on steps'!$B15:$U15,'changes2_based on steps'!$B$1:$U$1,F$1)</f>
        <v>0</v>
      </c>
      <c r="G15" s="155">
        <f>SUMIFS('recurring2_based on steps'!$B15:$AY15,'recurring2_based on steps'!$B$1:$AY$1,G$1)+SUMIFS('changes2_based on steps'!$B15:$U15,'changes2_based on steps'!$B$1:$U$1,G$1)</f>
        <v>0</v>
      </c>
      <c r="H15" s="155">
        <f ca="1">SUMIFS('recurring2_based on steps'!$B15:$AY15,'recurring2_based on steps'!$B$1:$AY$1,H$1)+SUMIFS('changes2_based on steps'!$B15:$U15,'changes2_based on steps'!$B$1:$U$1,H$1)</f>
        <v>0</v>
      </c>
      <c r="I15" s="155">
        <f>SUMIFS('recurring2_based on steps'!$B15:$AY15,'recurring2_based on steps'!$B$1:$AY$1,I$1)+SUMIFS('changes2_based on steps'!$B15:$U15,'changes2_based on steps'!$B$1:$U$1,I$1)</f>
        <v>0</v>
      </c>
      <c r="J15" s="155">
        <f>SUMIFS('recurring2_based on steps'!$B15:$AY15,'recurring2_based on steps'!$B$1:$AY$1,J$1)+SUMIFS('changes2_based on steps'!$B15:$U15,'changes2_based on steps'!$B$1:$U$1,J$1)</f>
        <v>0</v>
      </c>
      <c r="K15" s="155">
        <f>SUMIFS('recurring2_based on steps'!$B15:$AY15,'recurring2_based on steps'!$B$1:$AY$1,K$1)+SUMIFS('changes2_based on steps'!$B15:$U15,'changes2_based on steps'!$B$1:$U$1,K$1)</f>
        <v>0</v>
      </c>
      <c r="L15" s="155">
        <f>SUMIFS('recurring2_based on steps'!$B15:$AY15,'recurring2_based on steps'!$B$1:$AY$1,L$1)+SUMIFS('changes2_based on steps'!$B15:$U15,'changes2_based on steps'!$B$1:$U$1,L$1)</f>
        <v>0</v>
      </c>
      <c r="M15" s="155">
        <f ca="1">SUMIFS('recurring2_based on steps'!$B15:$AY15,'recurring2_based on steps'!$B$1:$AY$1,M$1)+SUMIFS('changes2_based on steps'!$B15:$U15,'changes2_based on steps'!$B$1:$U$1,M$1)</f>
        <v>0</v>
      </c>
      <c r="N15" s="155">
        <f ca="1">SUMIFS('recurring2_based on steps'!$B15:$AY15,'recurring2_based on steps'!$B$1:$AY$1,N$1)+SUMIFS('changes2_based on steps'!$B15:$U15,'changes2_based on steps'!$B$1:$U$1,N$1)</f>
        <v>0</v>
      </c>
      <c r="O15" s="155">
        <f ca="1">SUMIFS('recurring2_based on steps'!$B15:$AY15,'recurring2_based on steps'!$B$1:$AY$1,O$1)+SUMIFS('changes2_based on steps'!$B15:$U15,'changes2_based on steps'!$B$1:$U$1,O$1)</f>
        <v>0</v>
      </c>
      <c r="P15" s="155">
        <f ca="1">SUMIFS('recurring2_based on steps'!$B15:$AY15,'recurring2_based on steps'!$B$1:$AY$1,P$1)+SUMIFS('changes2_based on steps'!$B15:$U15,'changes2_based on steps'!$B$1:$U$1,P$1)</f>
        <v>0</v>
      </c>
      <c r="Q15" s="155">
        <f>SUMIFS('recurring2_based on steps'!$B15:$AY15,'recurring2_based on steps'!$B$1:$AY$1,Q$1)+SUMIFS('changes2_based on steps'!$B15:$U15,'changes2_based on steps'!$B$1:$U$1,Q$1)</f>
        <v>0</v>
      </c>
      <c r="R15" s="155">
        <f ca="1">SUMIFS('recurring2_based on steps'!$B15:$AY15,'recurring2_based on steps'!$B$1:$AY$1,R$1)+SUMIFS('changes2_based on steps'!$B15:$U15,'changes2_based on steps'!$B$1:$U$1,R$1)</f>
        <v>0</v>
      </c>
      <c r="S15" s="155">
        <f ca="1">SUMIFS('recurring2_based on steps'!$B15:$AY15,'recurring2_based on steps'!$B$1:$AY$1,S$1)+SUMIFS('changes2_based on steps'!$B15:$U15,'changes2_based on steps'!$B$1:$U$1,S$1)</f>
        <v>0</v>
      </c>
      <c r="T15" s="155">
        <f>SUMIFS('recurring2_based on steps'!$B15:$AY15,'recurring2_based on steps'!$B$1:$AY$1,T$1)+SUMIFS('changes2_based on steps'!$B15:$U15,'changes2_based on steps'!$B$1:$U$1,T$1)</f>
        <v>0</v>
      </c>
      <c r="U15" s="155">
        <f ca="1">SUMIFS('recurring2_based on steps'!$B15:$AY15,'recurring2_based on steps'!$B$1:$AY$1,U$1)+SUMIFS('changes2_based on steps'!$B15:$U15,'changes2_based on steps'!$B$1:$U$1,U$1)</f>
        <v>0</v>
      </c>
      <c r="V15" s="155">
        <f>SUMIFS('recurring2_based on steps'!$B15:$AY15,'recurring2_based on steps'!$B$1:$AY$1,V$1)+SUMIFS('changes2_based on steps'!$B15:$U15,'changes2_based on steps'!$B$1:$U$1,V$1)</f>
        <v>0</v>
      </c>
      <c r="W15" s="155">
        <f ca="1">SUMIFS('recurring2_based on steps'!$B15:$AY15,'recurring2_based on steps'!$B$1:$AY$1,W$1)+SUMIFS('changes2_based on steps'!$B15:$U15,'changes2_based on steps'!$B$1:$U$1,W$1)</f>
        <v>0</v>
      </c>
      <c r="X15" s="155">
        <f ca="1">SUMIFS('recurring2_based on steps'!$B15:$AY15,'recurring2_based on steps'!$B$1:$AY$1,X$1)+SUMIFS('changes2_based on steps'!$B15:$U15,'changes2_based on steps'!$B$1:$U$1,X$1)</f>
        <v>0</v>
      </c>
      <c r="Y15" s="155">
        <f ca="1">SUMIFS('recurring2_based on steps'!$B15:$AY15,'recurring2_based on steps'!$B$1:$AY$1,Y$1)+SUMIFS('changes2_based on steps'!$B15:$U15,'changes2_based on steps'!$B$1:$U$1,Y$1)</f>
        <v>0</v>
      </c>
      <c r="Z15" s="155">
        <f>SUMIFS('recurring2_based on steps'!$B15:$AY15,'recurring2_based on steps'!$B$1:$AY$1,Z$1)+SUMIFS('changes2_based on steps'!$B15:$U15,'changes2_based on steps'!$B$1:$U$1,Z$1)</f>
        <v>0</v>
      </c>
      <c r="AA15" s="155">
        <f>SUMIFS('recurring2_based on steps'!$B15:$AY15,'recurring2_based on steps'!$B$1:$AY$1,AA$1)+SUMIFS('changes2_based on steps'!$B15:$U15,'changes2_based on steps'!$B$1:$U$1,AA$1)</f>
        <v>0</v>
      </c>
      <c r="AB15" s="155"/>
    </row>
    <row r="16" spans="1:28" x14ac:dyDescent="0.2">
      <c r="A16" s="18">
        <f t="shared" ca="1" si="0"/>
        <v>45702</v>
      </c>
      <c r="B16" s="155">
        <f ca="1">SUMIFS('recurring2_based on steps'!$B16:$AY16,'recurring2_based on steps'!$B$1:$AY$1,B$1)+SUMIFS('changes2_based on steps'!$B16:$U16,'changes2_based on steps'!$B$1:$U$1,B$1)</f>
        <v>0</v>
      </c>
      <c r="C16" s="155">
        <f>SUMIFS('recurring2_based on steps'!$B16:$AY16,'recurring2_based on steps'!$B$1:$AY$1,C$1)+SUMIFS('changes2_based on steps'!$B16:$U16,'changes2_based on steps'!$B$1:$U$1,C$1)</f>
        <v>0</v>
      </c>
      <c r="D16" s="155">
        <f>SUMIFS('recurring2_based on steps'!$B16:$AY16,'recurring2_based on steps'!$B$1:$AY$1,D$1)+SUMIFS('changes2_based on steps'!$B16:$U16,'changes2_based on steps'!$B$1:$U$1,D$1)</f>
        <v>0</v>
      </c>
      <c r="E16" s="155">
        <f>SUMIFS('recurring2_based on steps'!$B16:$AY16,'recurring2_based on steps'!$B$1:$AY$1,E$1)+SUMIFS('changes2_based on steps'!$B16:$U16,'changes2_based on steps'!$B$1:$U$1,E$1)</f>
        <v>0</v>
      </c>
      <c r="F16" s="155">
        <f>SUMIFS('recurring2_based on steps'!$B16:$AY16,'recurring2_based on steps'!$B$1:$AY$1,F$1)+SUMIFS('changes2_based on steps'!$B16:$U16,'changes2_based on steps'!$B$1:$U$1,F$1)</f>
        <v>0</v>
      </c>
      <c r="G16" s="155">
        <f>SUMIFS('recurring2_based on steps'!$B16:$AY16,'recurring2_based on steps'!$B$1:$AY$1,G$1)+SUMIFS('changes2_based on steps'!$B16:$U16,'changes2_based on steps'!$B$1:$U$1,G$1)</f>
        <v>0</v>
      </c>
      <c r="H16" s="155">
        <f ca="1">SUMIFS('recurring2_based on steps'!$B16:$AY16,'recurring2_based on steps'!$B$1:$AY$1,H$1)+SUMIFS('changes2_based on steps'!$B16:$U16,'changes2_based on steps'!$B$1:$U$1,H$1)</f>
        <v>0</v>
      </c>
      <c r="I16" s="155">
        <f>SUMIFS('recurring2_based on steps'!$B16:$AY16,'recurring2_based on steps'!$B$1:$AY$1,I$1)+SUMIFS('changes2_based on steps'!$B16:$U16,'changes2_based on steps'!$B$1:$U$1,I$1)</f>
        <v>0</v>
      </c>
      <c r="J16" s="155">
        <f>SUMIFS('recurring2_based on steps'!$B16:$AY16,'recurring2_based on steps'!$B$1:$AY$1,J$1)+SUMIFS('changes2_based on steps'!$B16:$U16,'changes2_based on steps'!$B$1:$U$1,J$1)</f>
        <v>0</v>
      </c>
      <c r="K16" s="155">
        <f>SUMIFS('recurring2_based on steps'!$B16:$AY16,'recurring2_based on steps'!$B$1:$AY$1,K$1)+SUMIFS('changes2_based on steps'!$B16:$U16,'changes2_based on steps'!$B$1:$U$1,K$1)</f>
        <v>0</v>
      </c>
      <c r="L16" s="155">
        <f>SUMIFS('recurring2_based on steps'!$B16:$AY16,'recurring2_based on steps'!$B$1:$AY$1,L$1)+SUMIFS('changes2_based on steps'!$B16:$U16,'changes2_based on steps'!$B$1:$U$1,L$1)</f>
        <v>0</v>
      </c>
      <c r="M16" s="155">
        <f ca="1">SUMIFS('recurring2_based on steps'!$B16:$AY16,'recurring2_based on steps'!$B$1:$AY$1,M$1)+SUMIFS('changes2_based on steps'!$B16:$U16,'changes2_based on steps'!$B$1:$U$1,M$1)</f>
        <v>0</v>
      </c>
      <c r="N16" s="155">
        <f ca="1">SUMIFS('recurring2_based on steps'!$B16:$AY16,'recurring2_based on steps'!$B$1:$AY$1,N$1)+SUMIFS('changes2_based on steps'!$B16:$U16,'changes2_based on steps'!$B$1:$U$1,N$1)</f>
        <v>0</v>
      </c>
      <c r="O16" s="155">
        <f ca="1">SUMIFS('recurring2_based on steps'!$B16:$AY16,'recurring2_based on steps'!$B$1:$AY$1,O$1)+SUMIFS('changes2_based on steps'!$B16:$U16,'changes2_based on steps'!$B$1:$U$1,O$1)</f>
        <v>0</v>
      </c>
      <c r="P16" s="155">
        <f ca="1">SUMIFS('recurring2_based on steps'!$B16:$AY16,'recurring2_based on steps'!$B$1:$AY$1,P$1)+SUMIFS('changes2_based on steps'!$B16:$U16,'changes2_based on steps'!$B$1:$U$1,P$1)</f>
        <v>0</v>
      </c>
      <c r="Q16" s="155">
        <f>SUMIFS('recurring2_based on steps'!$B16:$AY16,'recurring2_based on steps'!$B$1:$AY$1,Q$1)+SUMIFS('changes2_based on steps'!$B16:$U16,'changes2_based on steps'!$B$1:$U$1,Q$1)</f>
        <v>0</v>
      </c>
      <c r="R16" s="155">
        <f ca="1">SUMIFS('recurring2_based on steps'!$B16:$AY16,'recurring2_based on steps'!$B$1:$AY$1,R$1)+SUMIFS('changes2_based on steps'!$B16:$U16,'changes2_based on steps'!$B$1:$U$1,R$1)</f>
        <v>0</v>
      </c>
      <c r="S16" s="155">
        <f ca="1">SUMIFS('recurring2_based on steps'!$B16:$AY16,'recurring2_based on steps'!$B$1:$AY$1,S$1)+SUMIFS('changes2_based on steps'!$B16:$U16,'changes2_based on steps'!$B$1:$U$1,S$1)</f>
        <v>0</v>
      </c>
      <c r="T16" s="155">
        <f>SUMIFS('recurring2_based on steps'!$B16:$AY16,'recurring2_based on steps'!$B$1:$AY$1,T$1)+SUMIFS('changes2_based on steps'!$B16:$U16,'changes2_based on steps'!$B$1:$U$1,T$1)</f>
        <v>0</v>
      </c>
      <c r="U16" s="155">
        <f ca="1">SUMIFS('recurring2_based on steps'!$B16:$AY16,'recurring2_based on steps'!$B$1:$AY$1,U$1)+SUMIFS('changes2_based on steps'!$B16:$U16,'changes2_based on steps'!$B$1:$U$1,U$1)</f>
        <v>0</v>
      </c>
      <c r="V16" s="155">
        <f>SUMIFS('recurring2_based on steps'!$B16:$AY16,'recurring2_based on steps'!$B$1:$AY$1,V$1)+SUMIFS('changes2_based on steps'!$B16:$U16,'changes2_based on steps'!$B$1:$U$1,V$1)</f>
        <v>0</v>
      </c>
      <c r="W16" s="155">
        <f ca="1">SUMIFS('recurring2_based on steps'!$B16:$AY16,'recurring2_based on steps'!$B$1:$AY$1,W$1)+SUMIFS('changes2_based on steps'!$B16:$U16,'changes2_based on steps'!$B$1:$U$1,W$1)</f>
        <v>0</v>
      </c>
      <c r="X16" s="155">
        <f ca="1">SUMIFS('recurring2_based on steps'!$B16:$AY16,'recurring2_based on steps'!$B$1:$AY$1,X$1)+SUMIFS('changes2_based on steps'!$B16:$U16,'changes2_based on steps'!$B$1:$U$1,X$1)</f>
        <v>0</v>
      </c>
      <c r="Y16" s="155">
        <f ca="1">SUMIFS('recurring2_based on steps'!$B16:$AY16,'recurring2_based on steps'!$B$1:$AY$1,Y$1)+SUMIFS('changes2_based on steps'!$B16:$U16,'changes2_based on steps'!$B$1:$U$1,Y$1)</f>
        <v>0</v>
      </c>
      <c r="Z16" s="155">
        <f>SUMIFS('recurring2_based on steps'!$B16:$AY16,'recurring2_based on steps'!$B$1:$AY$1,Z$1)+SUMIFS('changes2_based on steps'!$B16:$U16,'changes2_based on steps'!$B$1:$U$1,Z$1)</f>
        <v>0</v>
      </c>
      <c r="AA16" s="155">
        <f>SUMIFS('recurring2_based on steps'!$B16:$AY16,'recurring2_based on steps'!$B$1:$AY$1,AA$1)+SUMIFS('changes2_based on steps'!$B16:$U16,'changes2_based on steps'!$B$1:$U$1,AA$1)</f>
        <v>0</v>
      </c>
      <c r="AB16" s="155"/>
    </row>
    <row r="17" spans="1:27" x14ac:dyDescent="0.2">
      <c r="A17" s="18">
        <f t="shared" ca="1" si="0"/>
        <v>45703</v>
      </c>
      <c r="B17" s="155">
        <f ca="1">SUMIFS('recurring2_based on steps'!$B17:$AY17,'recurring2_based on steps'!$B$1:$AY$1,B$1)+SUMIFS('changes2_based on steps'!$B17:$U17,'changes2_based on steps'!$B$1:$U$1,B$1)</f>
        <v>0</v>
      </c>
      <c r="C17" s="155">
        <f>SUMIFS('recurring2_based on steps'!$B17:$AY17,'recurring2_based on steps'!$B$1:$AY$1,C$1)+SUMIFS('changes2_based on steps'!$B17:$U17,'changes2_based on steps'!$B$1:$U$1,C$1)</f>
        <v>0</v>
      </c>
      <c r="D17" s="155">
        <f>SUMIFS('recurring2_based on steps'!$B17:$AY17,'recurring2_based on steps'!$B$1:$AY$1,D$1)+SUMIFS('changes2_based on steps'!$B17:$U17,'changes2_based on steps'!$B$1:$U$1,D$1)</f>
        <v>0</v>
      </c>
      <c r="E17" s="155">
        <f>SUMIFS('recurring2_based on steps'!$B17:$AY17,'recurring2_based on steps'!$B$1:$AY$1,E$1)+SUMIFS('changes2_based on steps'!$B17:$U17,'changes2_based on steps'!$B$1:$U$1,E$1)</f>
        <v>0</v>
      </c>
      <c r="F17" s="155">
        <f>SUMIFS('recurring2_based on steps'!$B17:$AY17,'recurring2_based on steps'!$B$1:$AY$1,F$1)+SUMIFS('changes2_based on steps'!$B17:$U17,'changes2_based on steps'!$B$1:$U$1,F$1)</f>
        <v>0</v>
      </c>
      <c r="G17" s="155">
        <f>SUMIFS('recurring2_based on steps'!$B17:$AY17,'recurring2_based on steps'!$B$1:$AY$1,G$1)+SUMIFS('changes2_based on steps'!$B17:$U17,'changes2_based on steps'!$B$1:$U$1,G$1)</f>
        <v>0</v>
      </c>
      <c r="H17" s="155">
        <f ca="1">SUMIFS('recurring2_based on steps'!$B17:$AY17,'recurring2_based on steps'!$B$1:$AY$1,H$1)+SUMIFS('changes2_based on steps'!$B17:$U17,'changes2_based on steps'!$B$1:$U$1,H$1)</f>
        <v>0</v>
      </c>
      <c r="I17" s="155">
        <f>SUMIFS('recurring2_based on steps'!$B17:$AY17,'recurring2_based on steps'!$B$1:$AY$1,I$1)+SUMIFS('changes2_based on steps'!$B17:$U17,'changes2_based on steps'!$B$1:$U$1,I$1)</f>
        <v>0</v>
      </c>
      <c r="J17" s="155">
        <f>SUMIFS('recurring2_based on steps'!$B17:$AY17,'recurring2_based on steps'!$B$1:$AY$1,J$1)+SUMIFS('changes2_based on steps'!$B17:$U17,'changes2_based on steps'!$B$1:$U$1,J$1)</f>
        <v>0</v>
      </c>
      <c r="K17" s="155">
        <f>SUMIFS('recurring2_based on steps'!$B17:$AY17,'recurring2_based on steps'!$B$1:$AY$1,K$1)+SUMIFS('changes2_based on steps'!$B17:$U17,'changes2_based on steps'!$B$1:$U$1,K$1)</f>
        <v>0</v>
      </c>
      <c r="L17" s="155">
        <f>SUMIFS('recurring2_based on steps'!$B17:$AY17,'recurring2_based on steps'!$B$1:$AY$1,L$1)+SUMIFS('changes2_based on steps'!$B17:$U17,'changes2_based on steps'!$B$1:$U$1,L$1)</f>
        <v>0</v>
      </c>
      <c r="M17" s="155">
        <f ca="1">SUMIFS('recurring2_based on steps'!$B17:$AY17,'recurring2_based on steps'!$B$1:$AY$1,M$1)+SUMIFS('changes2_based on steps'!$B17:$U17,'changes2_based on steps'!$B$1:$U$1,M$1)</f>
        <v>0</v>
      </c>
      <c r="N17" s="155">
        <f ca="1">SUMIFS('recurring2_based on steps'!$B17:$AY17,'recurring2_based on steps'!$B$1:$AY$1,N$1)+SUMIFS('changes2_based on steps'!$B17:$U17,'changes2_based on steps'!$B$1:$U$1,N$1)</f>
        <v>0</v>
      </c>
      <c r="O17" s="155">
        <f ca="1">SUMIFS('recurring2_based on steps'!$B17:$AY17,'recurring2_based on steps'!$B$1:$AY$1,O$1)+SUMIFS('changes2_based on steps'!$B17:$U17,'changes2_based on steps'!$B$1:$U$1,O$1)</f>
        <v>0</v>
      </c>
      <c r="P17" s="155">
        <f ca="1">SUMIFS('recurring2_based on steps'!$B17:$AY17,'recurring2_based on steps'!$B$1:$AY$1,P$1)+SUMIFS('changes2_based on steps'!$B17:$U17,'changes2_based on steps'!$B$1:$U$1,P$1)</f>
        <v>0</v>
      </c>
      <c r="Q17" s="155">
        <f>SUMIFS('recurring2_based on steps'!$B17:$AY17,'recurring2_based on steps'!$B$1:$AY$1,Q$1)+SUMIFS('changes2_based on steps'!$B17:$U17,'changes2_based on steps'!$B$1:$U$1,Q$1)</f>
        <v>0</v>
      </c>
      <c r="R17" s="155">
        <f ca="1">SUMIFS('recurring2_based on steps'!$B17:$AY17,'recurring2_based on steps'!$B$1:$AY$1,R$1)+SUMIFS('changes2_based on steps'!$B17:$U17,'changes2_based on steps'!$B$1:$U$1,R$1)</f>
        <v>100</v>
      </c>
      <c r="S17" s="155">
        <f ca="1">SUMIFS('recurring2_based on steps'!$B17:$AY17,'recurring2_based on steps'!$B$1:$AY$1,S$1)+SUMIFS('changes2_based on steps'!$B17:$U17,'changes2_based on steps'!$B$1:$U$1,S$1)</f>
        <v>100</v>
      </c>
      <c r="T17" s="155">
        <f>SUMIFS('recurring2_based on steps'!$B17:$AY17,'recurring2_based on steps'!$B$1:$AY$1,T$1)+SUMIFS('changes2_based on steps'!$B17:$U17,'changes2_based on steps'!$B$1:$U$1,T$1)</f>
        <v>0</v>
      </c>
      <c r="U17" s="155">
        <f ca="1">SUMIFS('recurring2_based on steps'!$B17:$AY17,'recurring2_based on steps'!$B$1:$AY$1,U$1)+SUMIFS('changes2_based on steps'!$B17:$U17,'changes2_based on steps'!$B$1:$U$1,U$1)</f>
        <v>0</v>
      </c>
      <c r="V17" s="155">
        <f>SUMIFS('recurring2_based on steps'!$B17:$AY17,'recurring2_based on steps'!$B$1:$AY$1,V$1)+SUMIFS('changes2_based on steps'!$B17:$U17,'changes2_based on steps'!$B$1:$U$1,V$1)</f>
        <v>0</v>
      </c>
      <c r="W17" s="155">
        <f ca="1">SUMIFS('recurring2_based on steps'!$B17:$AY17,'recurring2_based on steps'!$B$1:$AY$1,W$1)+SUMIFS('changes2_based on steps'!$B17:$U17,'changes2_based on steps'!$B$1:$U$1,W$1)</f>
        <v>0</v>
      </c>
      <c r="X17" s="155">
        <f ca="1">SUMIFS('recurring2_based on steps'!$B17:$AY17,'recurring2_based on steps'!$B$1:$AY$1,X$1)+SUMIFS('changes2_based on steps'!$B17:$U17,'changes2_based on steps'!$B$1:$U$1,X$1)</f>
        <v>0</v>
      </c>
      <c r="Y17" s="155">
        <f ca="1">SUMIFS('recurring2_based on steps'!$B17:$AY17,'recurring2_based on steps'!$B$1:$AY$1,Y$1)+SUMIFS('changes2_based on steps'!$B17:$U17,'changes2_based on steps'!$B$1:$U$1,Y$1)</f>
        <v>0</v>
      </c>
      <c r="Z17" s="155">
        <f>SUMIFS('recurring2_based on steps'!$B17:$AY17,'recurring2_based on steps'!$B$1:$AY$1,Z$1)+SUMIFS('changes2_based on steps'!$B17:$U17,'changes2_based on steps'!$B$1:$U$1,Z$1)</f>
        <v>0</v>
      </c>
      <c r="AA17" s="155">
        <f>SUMIFS('recurring2_based on steps'!$B17:$AY17,'recurring2_based on steps'!$B$1:$AY$1,AA$1)+SUMIFS('changes2_based on steps'!$B17:$U17,'changes2_based on steps'!$B$1:$U$1,AA$1)</f>
        <v>0</v>
      </c>
    </row>
    <row r="18" spans="1:27" x14ac:dyDescent="0.2">
      <c r="A18" s="18">
        <f t="shared" ca="1" si="0"/>
        <v>45704</v>
      </c>
      <c r="B18" s="155">
        <f ca="1">SUMIFS('recurring2_based on steps'!$B18:$AY18,'recurring2_based on steps'!$B$1:$AY$1,B$1)+SUMIFS('changes2_based on steps'!$B18:$U18,'changes2_based on steps'!$B$1:$U$1,B$1)</f>
        <v>0</v>
      </c>
      <c r="C18" s="155">
        <f>SUMIFS('recurring2_based on steps'!$B18:$AY18,'recurring2_based on steps'!$B$1:$AY$1,C$1)+SUMIFS('changes2_based on steps'!$B18:$U18,'changes2_based on steps'!$B$1:$U$1,C$1)</f>
        <v>0</v>
      </c>
      <c r="D18" s="155">
        <f>SUMIFS('recurring2_based on steps'!$B18:$AY18,'recurring2_based on steps'!$B$1:$AY$1,D$1)+SUMIFS('changes2_based on steps'!$B18:$U18,'changes2_based on steps'!$B$1:$U$1,D$1)</f>
        <v>0</v>
      </c>
      <c r="E18" s="155">
        <f>SUMIFS('recurring2_based on steps'!$B18:$AY18,'recurring2_based on steps'!$B$1:$AY$1,E$1)+SUMIFS('changes2_based on steps'!$B18:$U18,'changes2_based on steps'!$B$1:$U$1,E$1)</f>
        <v>0</v>
      </c>
      <c r="F18" s="155">
        <f>SUMIFS('recurring2_based on steps'!$B18:$AY18,'recurring2_based on steps'!$B$1:$AY$1,F$1)+SUMIFS('changes2_based on steps'!$B18:$U18,'changes2_based on steps'!$B$1:$U$1,F$1)</f>
        <v>0</v>
      </c>
      <c r="G18" s="155">
        <f>SUMIFS('recurring2_based on steps'!$B18:$AY18,'recurring2_based on steps'!$B$1:$AY$1,G$1)+SUMIFS('changes2_based on steps'!$B18:$U18,'changes2_based on steps'!$B$1:$U$1,G$1)</f>
        <v>0</v>
      </c>
      <c r="H18" s="155">
        <f ca="1">SUMIFS('recurring2_based on steps'!$B18:$AY18,'recurring2_based on steps'!$B$1:$AY$1,H$1)+SUMIFS('changes2_based on steps'!$B18:$U18,'changes2_based on steps'!$B$1:$U$1,H$1)</f>
        <v>0</v>
      </c>
      <c r="I18" s="155">
        <f>SUMIFS('recurring2_based on steps'!$B18:$AY18,'recurring2_based on steps'!$B$1:$AY$1,I$1)+SUMIFS('changes2_based on steps'!$B18:$U18,'changes2_based on steps'!$B$1:$U$1,I$1)</f>
        <v>0</v>
      </c>
      <c r="J18" s="155">
        <f>SUMIFS('recurring2_based on steps'!$B18:$AY18,'recurring2_based on steps'!$B$1:$AY$1,J$1)+SUMIFS('changes2_based on steps'!$B18:$U18,'changes2_based on steps'!$B$1:$U$1,J$1)</f>
        <v>0</v>
      </c>
      <c r="K18" s="155">
        <f>SUMIFS('recurring2_based on steps'!$B18:$AY18,'recurring2_based on steps'!$B$1:$AY$1,K$1)+SUMIFS('changes2_based on steps'!$B18:$U18,'changes2_based on steps'!$B$1:$U$1,K$1)</f>
        <v>0</v>
      </c>
      <c r="L18" s="155">
        <f>SUMIFS('recurring2_based on steps'!$B18:$AY18,'recurring2_based on steps'!$B$1:$AY$1,L$1)+SUMIFS('changes2_based on steps'!$B18:$U18,'changes2_based on steps'!$B$1:$U$1,L$1)</f>
        <v>0</v>
      </c>
      <c r="M18" s="155">
        <f ca="1">SUMIFS('recurring2_based on steps'!$B18:$AY18,'recurring2_based on steps'!$B$1:$AY$1,M$1)+SUMIFS('changes2_based on steps'!$B18:$U18,'changes2_based on steps'!$B$1:$U$1,M$1)</f>
        <v>0</v>
      </c>
      <c r="N18" s="155">
        <f ca="1">SUMIFS('recurring2_based on steps'!$B18:$AY18,'recurring2_based on steps'!$B$1:$AY$1,N$1)+SUMIFS('changes2_based on steps'!$B18:$U18,'changes2_based on steps'!$B$1:$U$1,N$1)</f>
        <v>50</v>
      </c>
      <c r="O18" s="155">
        <f ca="1">SUMIFS('recurring2_based on steps'!$B18:$AY18,'recurring2_based on steps'!$B$1:$AY$1,O$1)+SUMIFS('changes2_based on steps'!$B18:$U18,'changes2_based on steps'!$B$1:$U$1,O$1)</f>
        <v>0</v>
      </c>
      <c r="P18" s="155">
        <f ca="1">SUMIFS('recurring2_based on steps'!$B18:$AY18,'recurring2_based on steps'!$B$1:$AY$1,P$1)+SUMIFS('changes2_based on steps'!$B18:$U18,'changes2_based on steps'!$B$1:$U$1,P$1)</f>
        <v>0</v>
      </c>
      <c r="Q18" s="155">
        <f>SUMIFS('recurring2_based on steps'!$B18:$AY18,'recurring2_based on steps'!$B$1:$AY$1,Q$1)+SUMIFS('changes2_based on steps'!$B18:$U18,'changes2_based on steps'!$B$1:$U$1,Q$1)</f>
        <v>0</v>
      </c>
      <c r="R18" s="155">
        <f ca="1">SUMIFS('recurring2_based on steps'!$B18:$AY18,'recurring2_based on steps'!$B$1:$AY$1,R$1)+SUMIFS('changes2_based on steps'!$B18:$U18,'changes2_based on steps'!$B$1:$U$1,R$1)</f>
        <v>0</v>
      </c>
      <c r="S18" s="155">
        <f ca="1">SUMIFS('recurring2_based on steps'!$B18:$AY18,'recurring2_based on steps'!$B$1:$AY$1,S$1)+SUMIFS('changes2_based on steps'!$B18:$U18,'changes2_based on steps'!$B$1:$U$1,S$1)</f>
        <v>100</v>
      </c>
      <c r="T18" s="155">
        <f>SUMIFS('recurring2_based on steps'!$B18:$AY18,'recurring2_based on steps'!$B$1:$AY$1,T$1)+SUMIFS('changes2_based on steps'!$B18:$U18,'changes2_based on steps'!$B$1:$U$1,T$1)</f>
        <v>0</v>
      </c>
      <c r="U18" s="155">
        <f ca="1">SUMIFS('recurring2_based on steps'!$B18:$AY18,'recurring2_based on steps'!$B$1:$AY$1,U$1)+SUMIFS('changes2_based on steps'!$B18:$U18,'changes2_based on steps'!$B$1:$U$1,U$1)</f>
        <v>0</v>
      </c>
      <c r="V18" s="155">
        <f>SUMIFS('recurring2_based on steps'!$B18:$AY18,'recurring2_based on steps'!$B$1:$AY$1,V$1)+SUMIFS('changes2_based on steps'!$B18:$U18,'changes2_based on steps'!$B$1:$U$1,V$1)</f>
        <v>0</v>
      </c>
      <c r="W18" s="155">
        <f ca="1">SUMIFS('recurring2_based on steps'!$B18:$AY18,'recurring2_based on steps'!$B$1:$AY$1,W$1)+SUMIFS('changes2_based on steps'!$B18:$U18,'changes2_based on steps'!$B$1:$U$1,W$1)</f>
        <v>0</v>
      </c>
      <c r="X18" s="155">
        <f ca="1">SUMIFS('recurring2_based on steps'!$B18:$AY18,'recurring2_based on steps'!$B$1:$AY$1,X$1)+SUMIFS('changes2_based on steps'!$B18:$U18,'changes2_based on steps'!$B$1:$U$1,X$1)</f>
        <v>0</v>
      </c>
      <c r="Y18" s="155">
        <f ca="1">SUMIFS('recurring2_based on steps'!$B18:$AY18,'recurring2_based on steps'!$B$1:$AY$1,Y$1)+SUMIFS('changes2_based on steps'!$B18:$U18,'changes2_based on steps'!$B$1:$U$1,Y$1)</f>
        <v>0</v>
      </c>
      <c r="Z18" s="155">
        <f>SUMIFS('recurring2_based on steps'!$B18:$AY18,'recurring2_based on steps'!$B$1:$AY$1,Z$1)+SUMIFS('changes2_based on steps'!$B18:$U18,'changes2_based on steps'!$B$1:$U$1,Z$1)</f>
        <v>0</v>
      </c>
      <c r="AA18" s="155">
        <f>SUMIFS('recurring2_based on steps'!$B18:$AY18,'recurring2_based on steps'!$B$1:$AY$1,AA$1)+SUMIFS('changes2_based on steps'!$B18:$U18,'changes2_based on steps'!$B$1:$U$1,AA$1)</f>
        <v>0</v>
      </c>
    </row>
    <row r="19" spans="1:27" x14ac:dyDescent="0.2">
      <c r="A19" s="18">
        <f t="shared" ca="1" si="0"/>
        <v>45705</v>
      </c>
      <c r="B19" s="155">
        <f ca="1">SUMIFS('recurring2_based on steps'!$B19:$AY19,'recurring2_based on steps'!$B$1:$AY$1,B$1)+SUMIFS('changes2_based on steps'!$B19:$U19,'changes2_based on steps'!$B$1:$U$1,B$1)</f>
        <v>0</v>
      </c>
      <c r="C19" s="155">
        <f>SUMIFS('recurring2_based on steps'!$B19:$AY19,'recurring2_based on steps'!$B$1:$AY$1,C$1)+SUMIFS('changes2_based on steps'!$B19:$U19,'changes2_based on steps'!$B$1:$U$1,C$1)</f>
        <v>0</v>
      </c>
      <c r="D19" s="155">
        <f>SUMIFS('recurring2_based on steps'!$B19:$AY19,'recurring2_based on steps'!$B$1:$AY$1,D$1)+SUMIFS('changes2_based on steps'!$B19:$U19,'changes2_based on steps'!$B$1:$U$1,D$1)</f>
        <v>0</v>
      </c>
      <c r="E19" s="155">
        <f>SUMIFS('recurring2_based on steps'!$B19:$AY19,'recurring2_based on steps'!$B$1:$AY$1,E$1)+SUMIFS('changes2_based on steps'!$B19:$U19,'changes2_based on steps'!$B$1:$U$1,E$1)</f>
        <v>0</v>
      </c>
      <c r="F19" s="155">
        <f>SUMIFS('recurring2_based on steps'!$B19:$AY19,'recurring2_based on steps'!$B$1:$AY$1,F$1)+SUMIFS('changes2_based on steps'!$B19:$U19,'changes2_based on steps'!$B$1:$U$1,F$1)</f>
        <v>0</v>
      </c>
      <c r="G19" s="155">
        <f>SUMIFS('recurring2_based on steps'!$B19:$AY19,'recurring2_based on steps'!$B$1:$AY$1,G$1)+SUMIFS('changes2_based on steps'!$B19:$U19,'changes2_based on steps'!$B$1:$U$1,G$1)</f>
        <v>0</v>
      </c>
      <c r="H19" s="155">
        <f ca="1">SUMIFS('recurring2_based on steps'!$B19:$AY19,'recurring2_based on steps'!$B$1:$AY$1,H$1)+SUMIFS('changes2_based on steps'!$B19:$U19,'changes2_based on steps'!$B$1:$U$1,H$1)</f>
        <v>0</v>
      </c>
      <c r="I19" s="155">
        <f>SUMIFS('recurring2_based on steps'!$B19:$AY19,'recurring2_based on steps'!$B$1:$AY$1,I$1)+SUMIFS('changes2_based on steps'!$B19:$U19,'changes2_based on steps'!$B$1:$U$1,I$1)</f>
        <v>0</v>
      </c>
      <c r="J19" s="155">
        <f>SUMIFS('recurring2_based on steps'!$B19:$AY19,'recurring2_based on steps'!$B$1:$AY$1,J$1)+SUMIFS('changes2_based on steps'!$B19:$U19,'changes2_based on steps'!$B$1:$U$1,J$1)</f>
        <v>0</v>
      </c>
      <c r="K19" s="155">
        <f>SUMIFS('recurring2_based on steps'!$B19:$AY19,'recurring2_based on steps'!$B$1:$AY$1,K$1)+SUMIFS('changes2_based on steps'!$B19:$U19,'changes2_based on steps'!$B$1:$U$1,K$1)</f>
        <v>0</v>
      </c>
      <c r="L19" s="155">
        <f>SUMIFS('recurring2_based on steps'!$B19:$AY19,'recurring2_based on steps'!$B$1:$AY$1,L$1)+SUMIFS('changes2_based on steps'!$B19:$U19,'changes2_based on steps'!$B$1:$U$1,L$1)</f>
        <v>0</v>
      </c>
      <c r="M19" s="155">
        <f ca="1">SUMIFS('recurring2_based on steps'!$B19:$AY19,'recurring2_based on steps'!$B$1:$AY$1,M$1)+SUMIFS('changes2_based on steps'!$B19:$U19,'changes2_based on steps'!$B$1:$U$1,M$1)</f>
        <v>0</v>
      </c>
      <c r="N19" s="155">
        <f ca="1">SUMIFS('recurring2_based on steps'!$B19:$AY19,'recurring2_based on steps'!$B$1:$AY$1,N$1)+SUMIFS('changes2_based on steps'!$B19:$U19,'changes2_based on steps'!$B$1:$U$1,N$1)</f>
        <v>0</v>
      </c>
      <c r="O19" s="155">
        <f ca="1">SUMIFS('recurring2_based on steps'!$B19:$AY19,'recurring2_based on steps'!$B$1:$AY$1,O$1)+SUMIFS('changes2_based on steps'!$B19:$U19,'changes2_based on steps'!$B$1:$U$1,O$1)</f>
        <v>0</v>
      </c>
      <c r="P19" s="155">
        <f ca="1">SUMIFS('recurring2_based on steps'!$B19:$AY19,'recurring2_based on steps'!$B$1:$AY$1,P$1)+SUMIFS('changes2_based on steps'!$B19:$U19,'changes2_based on steps'!$B$1:$U$1,P$1)</f>
        <v>0</v>
      </c>
      <c r="Q19" s="155">
        <f>SUMIFS('recurring2_based on steps'!$B19:$AY19,'recurring2_based on steps'!$B$1:$AY$1,Q$1)+SUMIFS('changes2_based on steps'!$B19:$U19,'changes2_based on steps'!$B$1:$U$1,Q$1)</f>
        <v>0</v>
      </c>
      <c r="R19" s="155">
        <f ca="1">SUMIFS('recurring2_based on steps'!$B19:$AY19,'recurring2_based on steps'!$B$1:$AY$1,R$1)+SUMIFS('changes2_based on steps'!$B19:$U19,'changes2_based on steps'!$B$1:$U$1,R$1)</f>
        <v>0</v>
      </c>
      <c r="S19" s="155">
        <f ca="1">SUMIFS('recurring2_based on steps'!$B19:$AY19,'recurring2_based on steps'!$B$1:$AY$1,S$1)+SUMIFS('changes2_based on steps'!$B19:$U19,'changes2_based on steps'!$B$1:$U$1,S$1)</f>
        <v>0</v>
      </c>
      <c r="T19" s="155">
        <f>SUMIFS('recurring2_based on steps'!$B19:$AY19,'recurring2_based on steps'!$B$1:$AY$1,T$1)+SUMIFS('changes2_based on steps'!$B19:$U19,'changes2_based on steps'!$B$1:$U$1,T$1)</f>
        <v>0</v>
      </c>
      <c r="U19" s="155">
        <f ca="1">SUMIFS('recurring2_based on steps'!$B19:$AY19,'recurring2_based on steps'!$B$1:$AY$1,U$1)+SUMIFS('changes2_based on steps'!$B19:$U19,'changes2_based on steps'!$B$1:$U$1,U$1)</f>
        <v>15.49</v>
      </c>
      <c r="V19" s="155">
        <f>SUMIFS('recurring2_based on steps'!$B19:$AY19,'recurring2_based on steps'!$B$1:$AY$1,V$1)+SUMIFS('changes2_based on steps'!$B19:$U19,'changes2_based on steps'!$B$1:$U$1,V$1)</f>
        <v>0</v>
      </c>
      <c r="W19" s="155">
        <f ca="1">SUMIFS('recurring2_based on steps'!$B19:$AY19,'recurring2_based on steps'!$B$1:$AY$1,W$1)+SUMIFS('changes2_based on steps'!$B19:$U19,'changes2_based on steps'!$B$1:$U$1,W$1)</f>
        <v>0</v>
      </c>
      <c r="X19" s="155">
        <f ca="1">SUMIFS('recurring2_based on steps'!$B19:$AY19,'recurring2_based on steps'!$B$1:$AY$1,X$1)+SUMIFS('changes2_based on steps'!$B19:$U19,'changes2_based on steps'!$B$1:$U$1,X$1)</f>
        <v>0</v>
      </c>
      <c r="Y19" s="155">
        <f ca="1">SUMIFS('recurring2_based on steps'!$B19:$AY19,'recurring2_based on steps'!$B$1:$AY$1,Y$1)+SUMIFS('changes2_based on steps'!$B19:$U19,'changes2_based on steps'!$B$1:$U$1,Y$1)</f>
        <v>200</v>
      </c>
      <c r="Z19" s="155">
        <f>SUMIFS('recurring2_based on steps'!$B19:$AY19,'recurring2_based on steps'!$B$1:$AY$1,Z$1)+SUMIFS('changes2_based on steps'!$B19:$U19,'changes2_based on steps'!$B$1:$U$1,Z$1)</f>
        <v>0</v>
      </c>
      <c r="AA19" s="155">
        <f>SUMIFS('recurring2_based on steps'!$B19:$AY19,'recurring2_based on steps'!$B$1:$AY$1,AA$1)+SUMIFS('changes2_based on steps'!$B19:$U19,'changes2_based on steps'!$B$1:$U$1,AA$1)</f>
        <v>0</v>
      </c>
    </row>
    <row r="20" spans="1:27" x14ac:dyDescent="0.2">
      <c r="A20" s="18">
        <f t="shared" ca="1" si="0"/>
        <v>45706</v>
      </c>
      <c r="B20" s="155">
        <f ca="1">SUMIFS('recurring2_based on steps'!$B20:$AY20,'recurring2_based on steps'!$B$1:$AY$1,B$1)+SUMIFS('changes2_based on steps'!$B20:$U20,'changes2_based on steps'!$B$1:$U$1,B$1)</f>
        <v>0</v>
      </c>
      <c r="C20" s="155">
        <f>SUMIFS('recurring2_based on steps'!$B20:$AY20,'recurring2_based on steps'!$B$1:$AY$1,C$1)+SUMIFS('changes2_based on steps'!$B20:$U20,'changes2_based on steps'!$B$1:$U$1,C$1)</f>
        <v>0</v>
      </c>
      <c r="D20" s="155">
        <f>SUMIFS('recurring2_based on steps'!$B20:$AY20,'recurring2_based on steps'!$B$1:$AY$1,D$1)+SUMIFS('changes2_based on steps'!$B20:$U20,'changes2_based on steps'!$B$1:$U$1,D$1)</f>
        <v>0</v>
      </c>
      <c r="E20" s="155">
        <f>SUMIFS('recurring2_based on steps'!$B20:$AY20,'recurring2_based on steps'!$B$1:$AY$1,E$1)+SUMIFS('changes2_based on steps'!$B20:$U20,'changes2_based on steps'!$B$1:$U$1,E$1)</f>
        <v>0</v>
      </c>
      <c r="F20" s="155">
        <f>SUMIFS('recurring2_based on steps'!$B20:$AY20,'recurring2_based on steps'!$B$1:$AY$1,F$1)+SUMIFS('changes2_based on steps'!$B20:$U20,'changes2_based on steps'!$B$1:$U$1,F$1)</f>
        <v>0</v>
      </c>
      <c r="G20" s="155">
        <f>SUMIFS('recurring2_based on steps'!$B20:$AY20,'recurring2_based on steps'!$B$1:$AY$1,G$1)+SUMIFS('changes2_based on steps'!$B20:$U20,'changes2_based on steps'!$B$1:$U$1,G$1)</f>
        <v>0</v>
      </c>
      <c r="H20" s="155">
        <f ca="1">SUMIFS('recurring2_based on steps'!$B20:$AY20,'recurring2_based on steps'!$B$1:$AY$1,H$1)+SUMIFS('changes2_based on steps'!$B20:$U20,'changes2_based on steps'!$B$1:$U$1,H$1)</f>
        <v>0</v>
      </c>
      <c r="I20" s="155">
        <f>SUMIFS('recurring2_based on steps'!$B20:$AY20,'recurring2_based on steps'!$B$1:$AY$1,I$1)+SUMIFS('changes2_based on steps'!$B20:$U20,'changes2_based on steps'!$B$1:$U$1,I$1)</f>
        <v>0</v>
      </c>
      <c r="J20" s="155">
        <f>SUMIFS('recurring2_based on steps'!$B20:$AY20,'recurring2_based on steps'!$B$1:$AY$1,J$1)+SUMIFS('changes2_based on steps'!$B20:$U20,'changes2_based on steps'!$B$1:$U$1,J$1)</f>
        <v>0</v>
      </c>
      <c r="K20" s="155">
        <f>SUMIFS('recurring2_based on steps'!$B20:$AY20,'recurring2_based on steps'!$B$1:$AY$1,K$1)+SUMIFS('changes2_based on steps'!$B20:$U20,'changes2_based on steps'!$B$1:$U$1,K$1)</f>
        <v>0</v>
      </c>
      <c r="L20" s="155">
        <f>SUMIFS('recurring2_based on steps'!$B20:$AY20,'recurring2_based on steps'!$B$1:$AY$1,L$1)+SUMIFS('changes2_based on steps'!$B20:$U20,'changes2_based on steps'!$B$1:$U$1,L$1)</f>
        <v>0</v>
      </c>
      <c r="M20" s="155">
        <f ca="1">SUMIFS('recurring2_based on steps'!$B20:$AY20,'recurring2_based on steps'!$B$1:$AY$1,M$1)+SUMIFS('changes2_based on steps'!$B20:$U20,'changes2_based on steps'!$B$1:$U$1,M$1)</f>
        <v>0</v>
      </c>
      <c r="N20" s="155">
        <f ca="1">SUMIFS('recurring2_based on steps'!$B20:$AY20,'recurring2_based on steps'!$B$1:$AY$1,N$1)+SUMIFS('changes2_based on steps'!$B20:$U20,'changes2_based on steps'!$B$1:$U$1,N$1)</f>
        <v>0</v>
      </c>
      <c r="O20" s="155">
        <f ca="1">SUMIFS('recurring2_based on steps'!$B20:$AY20,'recurring2_based on steps'!$B$1:$AY$1,O$1)+SUMIFS('changes2_based on steps'!$B20:$U20,'changes2_based on steps'!$B$1:$U$1,O$1)</f>
        <v>0</v>
      </c>
      <c r="P20" s="155">
        <f ca="1">SUMIFS('recurring2_based on steps'!$B20:$AY20,'recurring2_based on steps'!$B$1:$AY$1,P$1)+SUMIFS('changes2_based on steps'!$B20:$U20,'changes2_based on steps'!$B$1:$U$1,P$1)</f>
        <v>0</v>
      </c>
      <c r="Q20" s="155">
        <f>SUMIFS('recurring2_based on steps'!$B20:$AY20,'recurring2_based on steps'!$B$1:$AY$1,Q$1)+SUMIFS('changes2_based on steps'!$B20:$U20,'changes2_based on steps'!$B$1:$U$1,Q$1)</f>
        <v>0</v>
      </c>
      <c r="R20" s="155">
        <f ca="1">SUMIFS('recurring2_based on steps'!$B20:$AY20,'recurring2_based on steps'!$B$1:$AY$1,R$1)+SUMIFS('changes2_based on steps'!$B20:$U20,'changes2_based on steps'!$B$1:$U$1,R$1)</f>
        <v>0</v>
      </c>
      <c r="S20" s="155">
        <f ca="1">SUMIFS('recurring2_based on steps'!$B20:$AY20,'recurring2_based on steps'!$B$1:$AY$1,S$1)+SUMIFS('changes2_based on steps'!$B20:$U20,'changes2_based on steps'!$B$1:$U$1,S$1)</f>
        <v>0</v>
      </c>
      <c r="T20" s="155">
        <f>SUMIFS('recurring2_based on steps'!$B20:$AY20,'recurring2_based on steps'!$B$1:$AY$1,T$1)+SUMIFS('changes2_based on steps'!$B20:$U20,'changes2_based on steps'!$B$1:$U$1,T$1)</f>
        <v>0</v>
      </c>
      <c r="U20" s="155">
        <f ca="1">SUMIFS('recurring2_based on steps'!$B20:$AY20,'recurring2_based on steps'!$B$1:$AY$1,U$1)+SUMIFS('changes2_based on steps'!$B20:$U20,'changes2_based on steps'!$B$1:$U$1,U$1)</f>
        <v>10.99</v>
      </c>
      <c r="V20" s="155">
        <f>SUMIFS('recurring2_based on steps'!$B20:$AY20,'recurring2_based on steps'!$B$1:$AY$1,V$1)+SUMIFS('changes2_based on steps'!$B20:$U20,'changes2_based on steps'!$B$1:$U$1,V$1)</f>
        <v>0</v>
      </c>
      <c r="W20" s="155">
        <f ca="1">SUMIFS('recurring2_based on steps'!$B20:$AY20,'recurring2_based on steps'!$B$1:$AY$1,W$1)+SUMIFS('changes2_based on steps'!$B20:$U20,'changes2_based on steps'!$B$1:$U$1,W$1)</f>
        <v>0</v>
      </c>
      <c r="X20" s="155">
        <f ca="1">SUMIFS('recurring2_based on steps'!$B20:$AY20,'recurring2_based on steps'!$B$1:$AY$1,X$1)+SUMIFS('changes2_based on steps'!$B20:$U20,'changes2_based on steps'!$B$1:$U$1,X$1)</f>
        <v>0</v>
      </c>
      <c r="Y20" s="155">
        <f ca="1">SUMIFS('recurring2_based on steps'!$B20:$AY20,'recurring2_based on steps'!$B$1:$AY$1,Y$1)+SUMIFS('changes2_based on steps'!$B20:$U20,'changes2_based on steps'!$B$1:$U$1,Y$1)</f>
        <v>0</v>
      </c>
      <c r="Z20" s="155">
        <f>SUMIFS('recurring2_based on steps'!$B20:$AY20,'recurring2_based on steps'!$B$1:$AY$1,Z$1)+SUMIFS('changes2_based on steps'!$B20:$U20,'changes2_based on steps'!$B$1:$U$1,Z$1)</f>
        <v>0</v>
      </c>
      <c r="AA20" s="155">
        <f>SUMIFS('recurring2_based on steps'!$B20:$AY20,'recurring2_based on steps'!$B$1:$AY$1,AA$1)+SUMIFS('changes2_based on steps'!$B20:$U20,'changes2_based on steps'!$B$1:$U$1,AA$1)</f>
        <v>0</v>
      </c>
    </row>
    <row r="21" spans="1:27" x14ac:dyDescent="0.2">
      <c r="A21" s="18">
        <f t="shared" ca="1" si="0"/>
        <v>45707</v>
      </c>
      <c r="B21" s="155">
        <f ca="1">SUMIFS('recurring2_based on steps'!$B21:$AY21,'recurring2_based on steps'!$B$1:$AY$1,B$1)+SUMIFS('changes2_based on steps'!$B21:$U21,'changes2_based on steps'!$B$1:$U$1,B$1)</f>
        <v>0</v>
      </c>
      <c r="C21" s="155">
        <f>SUMIFS('recurring2_based on steps'!$B21:$AY21,'recurring2_based on steps'!$B$1:$AY$1,C$1)+SUMIFS('changes2_based on steps'!$B21:$U21,'changes2_based on steps'!$B$1:$U$1,C$1)</f>
        <v>0</v>
      </c>
      <c r="D21" s="155">
        <f>SUMIFS('recurring2_based on steps'!$B21:$AY21,'recurring2_based on steps'!$B$1:$AY$1,D$1)+SUMIFS('changes2_based on steps'!$B21:$U21,'changes2_based on steps'!$B$1:$U$1,D$1)</f>
        <v>0</v>
      </c>
      <c r="E21" s="155">
        <f>SUMIFS('recurring2_based on steps'!$B21:$AY21,'recurring2_based on steps'!$B$1:$AY$1,E$1)+SUMIFS('changes2_based on steps'!$B21:$U21,'changes2_based on steps'!$B$1:$U$1,E$1)</f>
        <v>0</v>
      </c>
      <c r="F21" s="155">
        <f>SUMIFS('recurring2_based on steps'!$B21:$AY21,'recurring2_based on steps'!$B$1:$AY$1,F$1)+SUMIFS('changes2_based on steps'!$B21:$U21,'changes2_based on steps'!$B$1:$U$1,F$1)</f>
        <v>0</v>
      </c>
      <c r="G21" s="155">
        <f>SUMIFS('recurring2_based on steps'!$B21:$AY21,'recurring2_based on steps'!$B$1:$AY$1,G$1)+SUMIFS('changes2_based on steps'!$B21:$U21,'changes2_based on steps'!$B$1:$U$1,G$1)</f>
        <v>0</v>
      </c>
      <c r="H21" s="155">
        <f ca="1">SUMIFS('recurring2_based on steps'!$B21:$AY21,'recurring2_based on steps'!$B$1:$AY$1,H$1)+SUMIFS('changes2_based on steps'!$B21:$U21,'changes2_based on steps'!$B$1:$U$1,H$1)</f>
        <v>0</v>
      </c>
      <c r="I21" s="155">
        <f>SUMIFS('recurring2_based on steps'!$B21:$AY21,'recurring2_based on steps'!$B$1:$AY$1,I$1)+SUMIFS('changes2_based on steps'!$B21:$U21,'changes2_based on steps'!$B$1:$U$1,I$1)</f>
        <v>0</v>
      </c>
      <c r="J21" s="155">
        <f>SUMIFS('recurring2_based on steps'!$B21:$AY21,'recurring2_based on steps'!$B$1:$AY$1,J$1)+SUMIFS('changes2_based on steps'!$B21:$U21,'changes2_based on steps'!$B$1:$U$1,J$1)</f>
        <v>0</v>
      </c>
      <c r="K21" s="155">
        <f>SUMIFS('recurring2_based on steps'!$B21:$AY21,'recurring2_based on steps'!$B$1:$AY$1,K$1)+SUMIFS('changes2_based on steps'!$B21:$U21,'changes2_based on steps'!$B$1:$U$1,K$1)</f>
        <v>0</v>
      </c>
      <c r="L21" s="155">
        <f>SUMIFS('recurring2_based on steps'!$B21:$AY21,'recurring2_based on steps'!$B$1:$AY$1,L$1)+SUMIFS('changes2_based on steps'!$B21:$U21,'changes2_based on steps'!$B$1:$U$1,L$1)</f>
        <v>0</v>
      </c>
      <c r="M21" s="155">
        <f ca="1">SUMIFS('recurring2_based on steps'!$B21:$AY21,'recurring2_based on steps'!$B$1:$AY$1,M$1)+SUMIFS('changes2_based on steps'!$B21:$U21,'changes2_based on steps'!$B$1:$U$1,M$1)</f>
        <v>0</v>
      </c>
      <c r="N21" s="155">
        <f ca="1">SUMIFS('recurring2_based on steps'!$B21:$AY21,'recurring2_based on steps'!$B$1:$AY$1,N$1)+SUMIFS('changes2_based on steps'!$B21:$U21,'changes2_based on steps'!$B$1:$U$1,N$1)</f>
        <v>0</v>
      </c>
      <c r="O21" s="155">
        <f ca="1">SUMIFS('recurring2_based on steps'!$B21:$AY21,'recurring2_based on steps'!$B$1:$AY$1,O$1)+SUMIFS('changes2_based on steps'!$B21:$U21,'changes2_based on steps'!$B$1:$U$1,O$1)</f>
        <v>0</v>
      </c>
      <c r="P21" s="155">
        <f ca="1">SUMIFS('recurring2_based on steps'!$B21:$AY21,'recurring2_based on steps'!$B$1:$AY$1,P$1)+SUMIFS('changes2_based on steps'!$B21:$U21,'changes2_based on steps'!$B$1:$U$1,P$1)</f>
        <v>0</v>
      </c>
      <c r="Q21" s="155">
        <f>SUMIFS('recurring2_based on steps'!$B21:$AY21,'recurring2_based on steps'!$B$1:$AY$1,Q$1)+SUMIFS('changes2_based on steps'!$B21:$U21,'changes2_based on steps'!$B$1:$U$1,Q$1)</f>
        <v>0</v>
      </c>
      <c r="R21" s="155">
        <f ca="1">SUMIFS('recurring2_based on steps'!$B21:$AY21,'recurring2_based on steps'!$B$1:$AY$1,R$1)+SUMIFS('changes2_based on steps'!$B21:$U21,'changes2_based on steps'!$B$1:$U$1,R$1)</f>
        <v>0</v>
      </c>
      <c r="S21" s="155">
        <f ca="1">SUMIFS('recurring2_based on steps'!$B21:$AY21,'recurring2_based on steps'!$B$1:$AY$1,S$1)+SUMIFS('changes2_based on steps'!$B21:$U21,'changes2_based on steps'!$B$1:$U$1,S$1)</f>
        <v>0</v>
      </c>
      <c r="T21" s="155">
        <f>SUMIFS('recurring2_based on steps'!$B21:$AY21,'recurring2_based on steps'!$B$1:$AY$1,T$1)+SUMIFS('changes2_based on steps'!$B21:$U21,'changes2_based on steps'!$B$1:$U$1,T$1)</f>
        <v>0</v>
      </c>
      <c r="U21" s="155">
        <f ca="1">SUMIFS('recurring2_based on steps'!$B21:$AY21,'recurring2_based on steps'!$B$1:$AY$1,U$1)+SUMIFS('changes2_based on steps'!$B21:$U21,'changes2_based on steps'!$B$1:$U$1,U$1)</f>
        <v>0</v>
      </c>
      <c r="V21" s="155">
        <f>SUMIFS('recurring2_based on steps'!$B21:$AY21,'recurring2_based on steps'!$B$1:$AY$1,V$1)+SUMIFS('changes2_based on steps'!$B21:$U21,'changes2_based on steps'!$B$1:$U$1,V$1)</f>
        <v>0</v>
      </c>
      <c r="W21" s="155">
        <f ca="1">SUMIFS('recurring2_based on steps'!$B21:$AY21,'recurring2_based on steps'!$B$1:$AY$1,W$1)+SUMIFS('changes2_based on steps'!$B21:$U21,'changes2_based on steps'!$B$1:$U$1,W$1)</f>
        <v>0</v>
      </c>
      <c r="X21" s="155">
        <f ca="1">SUMIFS('recurring2_based on steps'!$B21:$AY21,'recurring2_based on steps'!$B$1:$AY$1,X$1)+SUMIFS('changes2_based on steps'!$B21:$U21,'changes2_based on steps'!$B$1:$U$1,X$1)</f>
        <v>0</v>
      </c>
      <c r="Y21" s="155">
        <f ca="1">SUMIFS('recurring2_based on steps'!$B21:$AY21,'recurring2_based on steps'!$B$1:$AY$1,Y$1)+SUMIFS('changes2_based on steps'!$B21:$U21,'changes2_based on steps'!$B$1:$U$1,Y$1)</f>
        <v>0</v>
      </c>
      <c r="Z21" s="155">
        <f>SUMIFS('recurring2_based on steps'!$B21:$AY21,'recurring2_based on steps'!$B$1:$AY$1,Z$1)+SUMIFS('changes2_based on steps'!$B21:$U21,'changes2_based on steps'!$B$1:$U$1,Z$1)</f>
        <v>0</v>
      </c>
      <c r="AA21" s="155">
        <f>SUMIFS('recurring2_based on steps'!$B21:$AY21,'recurring2_based on steps'!$B$1:$AY$1,AA$1)+SUMIFS('changes2_based on steps'!$B21:$U21,'changes2_based on steps'!$B$1:$U$1,AA$1)</f>
        <v>0</v>
      </c>
    </row>
    <row r="22" spans="1:27" x14ac:dyDescent="0.2">
      <c r="A22" s="18">
        <f t="shared" ca="1" si="0"/>
        <v>45708</v>
      </c>
      <c r="B22" s="155">
        <f ca="1">SUMIFS('recurring2_based on steps'!$B22:$AY22,'recurring2_based on steps'!$B$1:$AY$1,B$1)+SUMIFS('changes2_based on steps'!$B22:$U22,'changes2_based on steps'!$B$1:$U$1,B$1)</f>
        <v>0</v>
      </c>
      <c r="C22" s="155">
        <f>SUMIFS('recurring2_based on steps'!$B22:$AY22,'recurring2_based on steps'!$B$1:$AY$1,C$1)+SUMIFS('changes2_based on steps'!$B22:$U22,'changes2_based on steps'!$B$1:$U$1,C$1)</f>
        <v>0</v>
      </c>
      <c r="D22" s="155">
        <f>SUMIFS('recurring2_based on steps'!$B22:$AY22,'recurring2_based on steps'!$B$1:$AY$1,D$1)+SUMIFS('changes2_based on steps'!$B22:$U22,'changes2_based on steps'!$B$1:$U$1,D$1)</f>
        <v>0</v>
      </c>
      <c r="E22" s="155">
        <f>SUMIFS('recurring2_based on steps'!$B22:$AY22,'recurring2_based on steps'!$B$1:$AY$1,E$1)+SUMIFS('changes2_based on steps'!$B22:$U22,'changes2_based on steps'!$B$1:$U$1,E$1)</f>
        <v>0</v>
      </c>
      <c r="F22" s="155">
        <f>SUMIFS('recurring2_based on steps'!$B22:$AY22,'recurring2_based on steps'!$B$1:$AY$1,F$1)+SUMIFS('changes2_based on steps'!$B22:$U22,'changes2_based on steps'!$B$1:$U$1,F$1)</f>
        <v>0</v>
      </c>
      <c r="G22" s="155">
        <f>SUMIFS('recurring2_based on steps'!$B22:$AY22,'recurring2_based on steps'!$B$1:$AY$1,G$1)+SUMIFS('changes2_based on steps'!$B22:$U22,'changes2_based on steps'!$B$1:$U$1,G$1)</f>
        <v>0</v>
      </c>
      <c r="H22" s="155">
        <f ca="1">SUMIFS('recurring2_based on steps'!$B22:$AY22,'recurring2_based on steps'!$B$1:$AY$1,H$1)+SUMIFS('changes2_based on steps'!$B22:$U22,'changes2_based on steps'!$B$1:$U$1,H$1)</f>
        <v>0</v>
      </c>
      <c r="I22" s="155">
        <f>SUMIFS('recurring2_based on steps'!$B22:$AY22,'recurring2_based on steps'!$B$1:$AY$1,I$1)+SUMIFS('changes2_based on steps'!$B22:$U22,'changes2_based on steps'!$B$1:$U$1,I$1)</f>
        <v>0</v>
      </c>
      <c r="J22" s="155">
        <f>SUMIFS('recurring2_based on steps'!$B22:$AY22,'recurring2_based on steps'!$B$1:$AY$1,J$1)+SUMIFS('changes2_based on steps'!$B22:$U22,'changes2_based on steps'!$B$1:$U$1,J$1)</f>
        <v>0</v>
      </c>
      <c r="K22" s="155">
        <f>SUMIFS('recurring2_based on steps'!$B22:$AY22,'recurring2_based on steps'!$B$1:$AY$1,K$1)+SUMIFS('changes2_based on steps'!$B22:$U22,'changes2_based on steps'!$B$1:$U$1,K$1)</f>
        <v>0</v>
      </c>
      <c r="L22" s="155">
        <f>SUMIFS('recurring2_based on steps'!$B22:$AY22,'recurring2_based on steps'!$B$1:$AY$1,L$1)+SUMIFS('changes2_based on steps'!$B22:$U22,'changes2_based on steps'!$B$1:$U$1,L$1)</f>
        <v>0</v>
      </c>
      <c r="M22" s="155">
        <f ca="1">SUMIFS('recurring2_based on steps'!$B22:$AY22,'recurring2_based on steps'!$B$1:$AY$1,M$1)+SUMIFS('changes2_based on steps'!$B22:$U22,'changes2_based on steps'!$B$1:$U$1,M$1)</f>
        <v>0</v>
      </c>
      <c r="N22" s="155">
        <f ca="1">SUMIFS('recurring2_based on steps'!$B22:$AY22,'recurring2_based on steps'!$B$1:$AY$1,N$1)+SUMIFS('changes2_based on steps'!$B22:$U22,'changes2_based on steps'!$B$1:$U$1,N$1)</f>
        <v>0</v>
      </c>
      <c r="O22" s="155">
        <f ca="1">SUMIFS('recurring2_based on steps'!$B22:$AY22,'recurring2_based on steps'!$B$1:$AY$1,O$1)+SUMIFS('changes2_based on steps'!$B22:$U22,'changes2_based on steps'!$B$1:$U$1,O$1)</f>
        <v>0</v>
      </c>
      <c r="P22" s="155">
        <f ca="1">SUMIFS('recurring2_based on steps'!$B22:$AY22,'recurring2_based on steps'!$B$1:$AY$1,P$1)+SUMIFS('changes2_based on steps'!$B22:$U22,'changes2_based on steps'!$B$1:$U$1,P$1)</f>
        <v>0</v>
      </c>
      <c r="Q22" s="155">
        <f>SUMIFS('recurring2_based on steps'!$B22:$AY22,'recurring2_based on steps'!$B$1:$AY$1,Q$1)+SUMIFS('changes2_based on steps'!$B22:$U22,'changes2_based on steps'!$B$1:$U$1,Q$1)</f>
        <v>0</v>
      </c>
      <c r="R22" s="155">
        <f ca="1">SUMIFS('recurring2_based on steps'!$B22:$AY22,'recurring2_based on steps'!$B$1:$AY$1,R$1)+SUMIFS('changes2_based on steps'!$B22:$U22,'changes2_based on steps'!$B$1:$U$1,R$1)</f>
        <v>0</v>
      </c>
      <c r="S22" s="155">
        <f ca="1">SUMIFS('recurring2_based on steps'!$B22:$AY22,'recurring2_based on steps'!$B$1:$AY$1,S$1)+SUMIFS('changes2_based on steps'!$B22:$U22,'changes2_based on steps'!$B$1:$U$1,S$1)</f>
        <v>0</v>
      </c>
      <c r="T22" s="155">
        <f>SUMIFS('recurring2_based on steps'!$B22:$AY22,'recurring2_based on steps'!$B$1:$AY$1,T$1)+SUMIFS('changes2_based on steps'!$B22:$U22,'changes2_based on steps'!$B$1:$U$1,T$1)</f>
        <v>0</v>
      </c>
      <c r="U22" s="155">
        <f ca="1">SUMIFS('recurring2_based on steps'!$B22:$AY22,'recurring2_based on steps'!$B$1:$AY$1,U$1)+SUMIFS('changes2_based on steps'!$B22:$U22,'changes2_based on steps'!$B$1:$U$1,U$1)</f>
        <v>0</v>
      </c>
      <c r="V22" s="155">
        <f>SUMIFS('recurring2_based on steps'!$B22:$AY22,'recurring2_based on steps'!$B$1:$AY$1,V$1)+SUMIFS('changes2_based on steps'!$B22:$U22,'changes2_based on steps'!$B$1:$U$1,V$1)</f>
        <v>0</v>
      </c>
      <c r="W22" s="155">
        <f ca="1">SUMIFS('recurring2_based on steps'!$B22:$AY22,'recurring2_based on steps'!$B$1:$AY$1,W$1)+SUMIFS('changes2_based on steps'!$B22:$U22,'changes2_based on steps'!$B$1:$U$1,W$1)</f>
        <v>0</v>
      </c>
      <c r="X22" s="155">
        <f ca="1">SUMIFS('recurring2_based on steps'!$B22:$AY22,'recurring2_based on steps'!$B$1:$AY$1,X$1)+SUMIFS('changes2_based on steps'!$B22:$U22,'changes2_based on steps'!$B$1:$U$1,X$1)</f>
        <v>0</v>
      </c>
      <c r="Y22" s="155">
        <f ca="1">SUMIFS('recurring2_based on steps'!$B22:$AY22,'recurring2_based on steps'!$B$1:$AY$1,Y$1)+SUMIFS('changes2_based on steps'!$B22:$U22,'changes2_based on steps'!$B$1:$U$1,Y$1)</f>
        <v>0</v>
      </c>
      <c r="Z22" s="155">
        <f>SUMIFS('recurring2_based on steps'!$B22:$AY22,'recurring2_based on steps'!$B$1:$AY$1,Z$1)+SUMIFS('changes2_based on steps'!$B22:$U22,'changes2_based on steps'!$B$1:$U$1,Z$1)</f>
        <v>0</v>
      </c>
      <c r="AA22" s="155">
        <f>SUMIFS('recurring2_based on steps'!$B22:$AY22,'recurring2_based on steps'!$B$1:$AY$1,AA$1)+SUMIFS('changes2_based on steps'!$B22:$U22,'changes2_based on steps'!$B$1:$U$1,AA$1)</f>
        <v>0</v>
      </c>
    </row>
    <row r="23" spans="1:27" x14ac:dyDescent="0.2">
      <c r="A23" s="18">
        <f t="shared" ca="1" si="0"/>
        <v>45709</v>
      </c>
      <c r="B23" s="155">
        <f ca="1">SUMIFS('recurring2_based on steps'!$B23:$AY23,'recurring2_based on steps'!$B$1:$AY$1,B$1)+SUMIFS('changes2_based on steps'!$B23:$U23,'changes2_based on steps'!$B$1:$U$1,B$1)</f>
        <v>4000</v>
      </c>
      <c r="C23" s="155">
        <f>SUMIFS('recurring2_based on steps'!$B23:$AY23,'recurring2_based on steps'!$B$1:$AY$1,C$1)+SUMIFS('changes2_based on steps'!$B23:$U23,'changes2_based on steps'!$B$1:$U$1,C$1)</f>
        <v>0</v>
      </c>
      <c r="D23" s="155">
        <f>SUMIFS('recurring2_based on steps'!$B23:$AY23,'recurring2_based on steps'!$B$1:$AY$1,D$1)+SUMIFS('changes2_based on steps'!$B23:$U23,'changes2_based on steps'!$B$1:$U$1,D$1)</f>
        <v>0</v>
      </c>
      <c r="E23" s="155">
        <f>SUMIFS('recurring2_based on steps'!$B23:$AY23,'recurring2_based on steps'!$B$1:$AY$1,E$1)+SUMIFS('changes2_based on steps'!$B23:$U23,'changes2_based on steps'!$B$1:$U$1,E$1)</f>
        <v>0</v>
      </c>
      <c r="F23" s="155">
        <f>SUMIFS('recurring2_based on steps'!$B23:$AY23,'recurring2_based on steps'!$B$1:$AY$1,F$1)+SUMIFS('changes2_based on steps'!$B23:$U23,'changes2_based on steps'!$B$1:$U$1,F$1)</f>
        <v>0</v>
      </c>
      <c r="G23" s="155">
        <f>SUMIFS('recurring2_based on steps'!$B23:$AY23,'recurring2_based on steps'!$B$1:$AY$1,G$1)+SUMIFS('changes2_based on steps'!$B23:$U23,'changes2_based on steps'!$B$1:$U$1,G$1)</f>
        <v>0</v>
      </c>
      <c r="H23" s="155">
        <f ca="1">SUMIFS('recurring2_based on steps'!$B23:$AY23,'recurring2_based on steps'!$B$1:$AY$1,H$1)+SUMIFS('changes2_based on steps'!$B23:$U23,'changes2_based on steps'!$B$1:$U$1,H$1)</f>
        <v>96</v>
      </c>
      <c r="I23" s="155">
        <f>SUMIFS('recurring2_based on steps'!$B23:$AY23,'recurring2_based on steps'!$B$1:$AY$1,I$1)+SUMIFS('changes2_based on steps'!$B23:$U23,'changes2_based on steps'!$B$1:$U$1,I$1)</f>
        <v>0</v>
      </c>
      <c r="J23" s="155">
        <f>SUMIFS('recurring2_based on steps'!$B23:$AY23,'recurring2_based on steps'!$B$1:$AY$1,J$1)+SUMIFS('changes2_based on steps'!$B23:$U23,'changes2_based on steps'!$B$1:$U$1,J$1)</f>
        <v>0</v>
      </c>
      <c r="K23" s="155">
        <f>SUMIFS('recurring2_based on steps'!$B23:$AY23,'recurring2_based on steps'!$B$1:$AY$1,K$1)+SUMIFS('changes2_based on steps'!$B23:$U23,'changes2_based on steps'!$B$1:$U$1,K$1)</f>
        <v>0</v>
      </c>
      <c r="L23" s="155">
        <f>SUMIFS('recurring2_based on steps'!$B23:$AY23,'recurring2_based on steps'!$B$1:$AY$1,L$1)+SUMIFS('changes2_based on steps'!$B23:$U23,'changes2_based on steps'!$B$1:$U$1,L$1)</f>
        <v>0</v>
      </c>
      <c r="M23" s="155">
        <f ca="1">SUMIFS('recurring2_based on steps'!$B23:$AY23,'recurring2_based on steps'!$B$1:$AY$1,M$1)+SUMIFS('changes2_based on steps'!$B23:$U23,'changes2_based on steps'!$B$1:$U$1,M$1)</f>
        <v>0</v>
      </c>
      <c r="N23" s="155">
        <f ca="1">SUMIFS('recurring2_based on steps'!$B23:$AY23,'recurring2_based on steps'!$B$1:$AY$1,N$1)+SUMIFS('changes2_based on steps'!$B23:$U23,'changes2_based on steps'!$B$1:$U$1,N$1)</f>
        <v>0</v>
      </c>
      <c r="O23" s="155">
        <f ca="1">SUMIFS('recurring2_based on steps'!$B23:$AY23,'recurring2_based on steps'!$B$1:$AY$1,O$1)+SUMIFS('changes2_based on steps'!$B23:$U23,'changes2_based on steps'!$B$1:$U$1,O$1)</f>
        <v>0</v>
      </c>
      <c r="P23" s="155">
        <f ca="1">SUMIFS('recurring2_based on steps'!$B23:$AY23,'recurring2_based on steps'!$B$1:$AY$1,P$1)+SUMIFS('changes2_based on steps'!$B23:$U23,'changes2_based on steps'!$B$1:$U$1,P$1)</f>
        <v>0</v>
      </c>
      <c r="Q23" s="155">
        <f>SUMIFS('recurring2_based on steps'!$B23:$AY23,'recurring2_based on steps'!$B$1:$AY$1,Q$1)+SUMIFS('changes2_based on steps'!$B23:$U23,'changes2_based on steps'!$B$1:$U$1,Q$1)</f>
        <v>0</v>
      </c>
      <c r="R23" s="155">
        <f ca="1">SUMIFS('recurring2_based on steps'!$B23:$AY23,'recurring2_based on steps'!$B$1:$AY$1,R$1)+SUMIFS('changes2_based on steps'!$B23:$U23,'changes2_based on steps'!$B$1:$U$1,R$1)</f>
        <v>0</v>
      </c>
      <c r="S23" s="155">
        <f ca="1">SUMIFS('recurring2_based on steps'!$B23:$AY23,'recurring2_based on steps'!$B$1:$AY$1,S$1)+SUMIFS('changes2_based on steps'!$B23:$U23,'changes2_based on steps'!$B$1:$U$1,S$1)</f>
        <v>0</v>
      </c>
      <c r="T23" s="155">
        <f>SUMIFS('recurring2_based on steps'!$B23:$AY23,'recurring2_based on steps'!$B$1:$AY$1,T$1)+SUMIFS('changes2_based on steps'!$B23:$U23,'changes2_based on steps'!$B$1:$U$1,T$1)</f>
        <v>0</v>
      </c>
      <c r="U23" s="155">
        <f ca="1">SUMIFS('recurring2_based on steps'!$B23:$AY23,'recurring2_based on steps'!$B$1:$AY$1,U$1)+SUMIFS('changes2_based on steps'!$B23:$U23,'changes2_based on steps'!$B$1:$U$1,U$1)</f>
        <v>0</v>
      </c>
      <c r="V23" s="155">
        <f>SUMIFS('recurring2_based on steps'!$B23:$AY23,'recurring2_based on steps'!$B$1:$AY$1,V$1)+SUMIFS('changes2_based on steps'!$B23:$U23,'changes2_based on steps'!$B$1:$U$1,V$1)</f>
        <v>0</v>
      </c>
      <c r="W23" s="155">
        <f ca="1">SUMIFS('recurring2_based on steps'!$B23:$AY23,'recurring2_based on steps'!$B$1:$AY$1,W$1)+SUMIFS('changes2_based on steps'!$B23:$U23,'changes2_based on steps'!$B$1:$U$1,W$1)</f>
        <v>50</v>
      </c>
      <c r="X23" s="155">
        <f ca="1">SUMIFS('recurring2_based on steps'!$B23:$AY23,'recurring2_based on steps'!$B$1:$AY$1,X$1)+SUMIFS('changes2_based on steps'!$B23:$U23,'changes2_based on steps'!$B$1:$U$1,X$1)</f>
        <v>200</v>
      </c>
      <c r="Y23" s="155">
        <f ca="1">SUMIFS('recurring2_based on steps'!$B23:$AY23,'recurring2_based on steps'!$B$1:$AY$1,Y$1)+SUMIFS('changes2_based on steps'!$B23:$U23,'changes2_based on steps'!$B$1:$U$1,Y$1)</f>
        <v>0</v>
      </c>
      <c r="Z23" s="155">
        <f>SUMIFS('recurring2_based on steps'!$B23:$AY23,'recurring2_based on steps'!$B$1:$AY$1,Z$1)+SUMIFS('changes2_based on steps'!$B23:$U23,'changes2_based on steps'!$B$1:$U$1,Z$1)</f>
        <v>0</v>
      </c>
      <c r="AA23" s="155">
        <f>SUMIFS('recurring2_based on steps'!$B23:$AY23,'recurring2_based on steps'!$B$1:$AY$1,AA$1)+SUMIFS('changes2_based on steps'!$B23:$U23,'changes2_based on steps'!$B$1:$U$1,AA$1)</f>
        <v>0</v>
      </c>
    </row>
    <row r="24" spans="1:27" x14ac:dyDescent="0.2">
      <c r="A24" s="18">
        <f t="shared" ca="1" si="0"/>
        <v>45710</v>
      </c>
      <c r="B24" s="155">
        <f ca="1">SUMIFS('recurring2_based on steps'!$B24:$AY24,'recurring2_based on steps'!$B$1:$AY$1,B$1)+SUMIFS('changes2_based on steps'!$B24:$U24,'changes2_based on steps'!$B$1:$U$1,B$1)</f>
        <v>0</v>
      </c>
      <c r="C24" s="155">
        <f>SUMIFS('recurring2_based on steps'!$B24:$AY24,'recurring2_based on steps'!$B$1:$AY$1,C$1)+SUMIFS('changes2_based on steps'!$B24:$U24,'changes2_based on steps'!$B$1:$U$1,C$1)</f>
        <v>0</v>
      </c>
      <c r="D24" s="155">
        <f>SUMIFS('recurring2_based on steps'!$B24:$AY24,'recurring2_based on steps'!$B$1:$AY$1,D$1)+SUMIFS('changes2_based on steps'!$B24:$U24,'changes2_based on steps'!$B$1:$U$1,D$1)</f>
        <v>0</v>
      </c>
      <c r="E24" s="155">
        <f>SUMIFS('recurring2_based on steps'!$B24:$AY24,'recurring2_based on steps'!$B$1:$AY$1,E$1)+SUMIFS('changes2_based on steps'!$B24:$U24,'changes2_based on steps'!$B$1:$U$1,E$1)</f>
        <v>0</v>
      </c>
      <c r="F24" s="155">
        <f>SUMIFS('recurring2_based on steps'!$B24:$AY24,'recurring2_based on steps'!$B$1:$AY$1,F$1)+SUMIFS('changes2_based on steps'!$B24:$U24,'changes2_based on steps'!$B$1:$U$1,F$1)</f>
        <v>0</v>
      </c>
      <c r="G24" s="155">
        <f>SUMIFS('recurring2_based on steps'!$B24:$AY24,'recurring2_based on steps'!$B$1:$AY$1,G$1)+SUMIFS('changes2_based on steps'!$B24:$U24,'changes2_based on steps'!$B$1:$U$1,G$1)</f>
        <v>0</v>
      </c>
      <c r="H24" s="155">
        <f ca="1">SUMIFS('recurring2_based on steps'!$B24:$AY24,'recurring2_based on steps'!$B$1:$AY$1,H$1)+SUMIFS('changes2_based on steps'!$B24:$U24,'changes2_based on steps'!$B$1:$U$1,H$1)</f>
        <v>0</v>
      </c>
      <c r="I24" s="155">
        <f>SUMIFS('recurring2_based on steps'!$B24:$AY24,'recurring2_based on steps'!$B$1:$AY$1,I$1)+SUMIFS('changes2_based on steps'!$B24:$U24,'changes2_based on steps'!$B$1:$U$1,I$1)</f>
        <v>0</v>
      </c>
      <c r="J24" s="155">
        <f>SUMIFS('recurring2_based on steps'!$B24:$AY24,'recurring2_based on steps'!$B$1:$AY$1,J$1)+SUMIFS('changes2_based on steps'!$B24:$U24,'changes2_based on steps'!$B$1:$U$1,J$1)</f>
        <v>0</v>
      </c>
      <c r="K24" s="155">
        <f>SUMIFS('recurring2_based on steps'!$B24:$AY24,'recurring2_based on steps'!$B$1:$AY$1,K$1)+SUMIFS('changes2_based on steps'!$B24:$U24,'changes2_based on steps'!$B$1:$U$1,K$1)</f>
        <v>0</v>
      </c>
      <c r="L24" s="155">
        <f>SUMIFS('recurring2_based on steps'!$B24:$AY24,'recurring2_based on steps'!$B$1:$AY$1,L$1)+SUMIFS('changes2_based on steps'!$B24:$U24,'changes2_based on steps'!$B$1:$U$1,L$1)</f>
        <v>0</v>
      </c>
      <c r="M24" s="155">
        <f ca="1">SUMIFS('recurring2_based on steps'!$B24:$AY24,'recurring2_based on steps'!$B$1:$AY$1,M$1)+SUMIFS('changes2_based on steps'!$B24:$U24,'changes2_based on steps'!$B$1:$U$1,M$1)</f>
        <v>0</v>
      </c>
      <c r="N24" s="155">
        <f ca="1">SUMIFS('recurring2_based on steps'!$B24:$AY24,'recurring2_based on steps'!$B$1:$AY$1,N$1)+SUMIFS('changes2_based on steps'!$B24:$U24,'changes2_based on steps'!$B$1:$U$1,N$1)</f>
        <v>0</v>
      </c>
      <c r="O24" s="155">
        <f ca="1">SUMIFS('recurring2_based on steps'!$B24:$AY24,'recurring2_based on steps'!$B$1:$AY$1,O$1)+SUMIFS('changes2_based on steps'!$B24:$U24,'changes2_based on steps'!$B$1:$U$1,O$1)</f>
        <v>0</v>
      </c>
      <c r="P24" s="155">
        <f ca="1">SUMIFS('recurring2_based on steps'!$B24:$AY24,'recurring2_based on steps'!$B$1:$AY$1,P$1)+SUMIFS('changes2_based on steps'!$B24:$U24,'changes2_based on steps'!$B$1:$U$1,P$1)</f>
        <v>0</v>
      </c>
      <c r="Q24" s="155">
        <f>SUMIFS('recurring2_based on steps'!$B24:$AY24,'recurring2_based on steps'!$B$1:$AY$1,Q$1)+SUMIFS('changes2_based on steps'!$B24:$U24,'changes2_based on steps'!$B$1:$U$1,Q$1)</f>
        <v>0</v>
      </c>
      <c r="R24" s="155">
        <f ca="1">SUMIFS('recurring2_based on steps'!$B24:$AY24,'recurring2_based on steps'!$B$1:$AY$1,R$1)+SUMIFS('changes2_based on steps'!$B24:$U24,'changes2_based on steps'!$B$1:$U$1,R$1)</f>
        <v>100</v>
      </c>
      <c r="S24" s="155">
        <f ca="1">SUMIFS('recurring2_based on steps'!$B24:$AY24,'recurring2_based on steps'!$B$1:$AY$1,S$1)+SUMIFS('changes2_based on steps'!$B24:$U24,'changes2_based on steps'!$B$1:$U$1,S$1)</f>
        <v>100</v>
      </c>
      <c r="T24" s="155">
        <f>SUMIFS('recurring2_based on steps'!$B24:$AY24,'recurring2_based on steps'!$B$1:$AY$1,T$1)+SUMIFS('changes2_based on steps'!$B24:$U24,'changes2_based on steps'!$B$1:$U$1,T$1)</f>
        <v>0</v>
      </c>
      <c r="U24" s="155">
        <f ca="1">SUMIFS('recurring2_based on steps'!$B24:$AY24,'recurring2_based on steps'!$B$1:$AY$1,U$1)+SUMIFS('changes2_based on steps'!$B24:$U24,'changes2_based on steps'!$B$1:$U$1,U$1)</f>
        <v>0</v>
      </c>
      <c r="V24" s="155">
        <f>SUMIFS('recurring2_based on steps'!$B24:$AY24,'recurring2_based on steps'!$B$1:$AY$1,V$1)+SUMIFS('changes2_based on steps'!$B24:$U24,'changes2_based on steps'!$B$1:$U$1,V$1)</f>
        <v>0</v>
      </c>
      <c r="W24" s="155">
        <f ca="1">SUMIFS('recurring2_based on steps'!$B24:$AY24,'recurring2_based on steps'!$B$1:$AY$1,W$1)+SUMIFS('changes2_based on steps'!$B24:$U24,'changes2_based on steps'!$B$1:$U$1,W$1)</f>
        <v>0</v>
      </c>
      <c r="X24" s="155">
        <f ca="1">SUMIFS('recurring2_based on steps'!$B24:$AY24,'recurring2_based on steps'!$B$1:$AY$1,X$1)+SUMIFS('changes2_based on steps'!$B24:$U24,'changes2_based on steps'!$B$1:$U$1,X$1)</f>
        <v>0</v>
      </c>
      <c r="Y24" s="155">
        <f ca="1">SUMIFS('recurring2_based on steps'!$B24:$AY24,'recurring2_based on steps'!$B$1:$AY$1,Y$1)+SUMIFS('changes2_based on steps'!$B24:$U24,'changes2_based on steps'!$B$1:$U$1,Y$1)</f>
        <v>0</v>
      </c>
      <c r="Z24" s="155">
        <f>SUMIFS('recurring2_based on steps'!$B24:$AY24,'recurring2_based on steps'!$B$1:$AY$1,Z$1)+SUMIFS('changes2_based on steps'!$B24:$U24,'changes2_based on steps'!$B$1:$U$1,Z$1)</f>
        <v>0</v>
      </c>
      <c r="AA24" s="155">
        <f>SUMIFS('recurring2_based on steps'!$B24:$AY24,'recurring2_based on steps'!$B$1:$AY$1,AA$1)+SUMIFS('changes2_based on steps'!$B24:$U24,'changes2_based on steps'!$B$1:$U$1,AA$1)</f>
        <v>0</v>
      </c>
    </row>
    <row r="25" spans="1:27" x14ac:dyDescent="0.2">
      <c r="A25" s="18">
        <f t="shared" ca="1" si="0"/>
        <v>45711</v>
      </c>
      <c r="B25" s="155">
        <f ca="1">SUMIFS('recurring2_based on steps'!$B25:$AY25,'recurring2_based on steps'!$B$1:$AY$1,B$1)+SUMIFS('changes2_based on steps'!$B25:$U25,'changes2_based on steps'!$B$1:$U$1,B$1)</f>
        <v>0</v>
      </c>
      <c r="C25" s="155">
        <f>SUMIFS('recurring2_based on steps'!$B25:$AY25,'recurring2_based on steps'!$B$1:$AY$1,C$1)+SUMIFS('changes2_based on steps'!$B25:$U25,'changes2_based on steps'!$B$1:$U$1,C$1)</f>
        <v>0</v>
      </c>
      <c r="D25" s="155">
        <f>SUMIFS('recurring2_based on steps'!$B25:$AY25,'recurring2_based on steps'!$B$1:$AY$1,D$1)+SUMIFS('changes2_based on steps'!$B25:$U25,'changes2_based on steps'!$B$1:$U$1,D$1)</f>
        <v>0</v>
      </c>
      <c r="E25" s="155">
        <f>SUMIFS('recurring2_based on steps'!$B25:$AY25,'recurring2_based on steps'!$B$1:$AY$1,E$1)+SUMIFS('changes2_based on steps'!$B25:$U25,'changes2_based on steps'!$B$1:$U$1,E$1)</f>
        <v>0</v>
      </c>
      <c r="F25" s="155">
        <f>SUMIFS('recurring2_based on steps'!$B25:$AY25,'recurring2_based on steps'!$B$1:$AY$1,F$1)+SUMIFS('changes2_based on steps'!$B25:$U25,'changes2_based on steps'!$B$1:$U$1,F$1)</f>
        <v>0</v>
      </c>
      <c r="G25" s="155">
        <f>SUMIFS('recurring2_based on steps'!$B25:$AY25,'recurring2_based on steps'!$B$1:$AY$1,G$1)+SUMIFS('changes2_based on steps'!$B25:$U25,'changes2_based on steps'!$B$1:$U$1,G$1)</f>
        <v>0</v>
      </c>
      <c r="H25" s="155">
        <f ca="1">SUMIFS('recurring2_based on steps'!$B25:$AY25,'recurring2_based on steps'!$B$1:$AY$1,H$1)+SUMIFS('changes2_based on steps'!$B25:$U25,'changes2_based on steps'!$B$1:$U$1,H$1)</f>
        <v>0</v>
      </c>
      <c r="I25" s="155">
        <f>SUMIFS('recurring2_based on steps'!$B25:$AY25,'recurring2_based on steps'!$B$1:$AY$1,I$1)+SUMIFS('changes2_based on steps'!$B25:$U25,'changes2_based on steps'!$B$1:$U$1,I$1)</f>
        <v>0</v>
      </c>
      <c r="J25" s="155">
        <f>SUMIFS('recurring2_based on steps'!$B25:$AY25,'recurring2_based on steps'!$B$1:$AY$1,J$1)+SUMIFS('changes2_based on steps'!$B25:$U25,'changes2_based on steps'!$B$1:$U$1,J$1)</f>
        <v>0</v>
      </c>
      <c r="K25" s="155">
        <f>SUMIFS('recurring2_based on steps'!$B25:$AY25,'recurring2_based on steps'!$B$1:$AY$1,K$1)+SUMIFS('changes2_based on steps'!$B25:$U25,'changes2_based on steps'!$B$1:$U$1,K$1)</f>
        <v>0</v>
      </c>
      <c r="L25" s="155">
        <f>SUMIFS('recurring2_based on steps'!$B25:$AY25,'recurring2_based on steps'!$B$1:$AY$1,L$1)+SUMIFS('changes2_based on steps'!$B25:$U25,'changes2_based on steps'!$B$1:$U$1,L$1)</f>
        <v>0</v>
      </c>
      <c r="M25" s="155">
        <f ca="1">SUMIFS('recurring2_based on steps'!$B25:$AY25,'recurring2_based on steps'!$B$1:$AY$1,M$1)+SUMIFS('changes2_based on steps'!$B25:$U25,'changes2_based on steps'!$B$1:$U$1,M$1)</f>
        <v>0</v>
      </c>
      <c r="N25" s="155">
        <f ca="1">SUMIFS('recurring2_based on steps'!$B25:$AY25,'recurring2_based on steps'!$B$1:$AY$1,N$1)+SUMIFS('changes2_based on steps'!$B25:$U25,'changes2_based on steps'!$B$1:$U$1,N$1)</f>
        <v>50</v>
      </c>
      <c r="O25" s="155">
        <f ca="1">SUMIFS('recurring2_based on steps'!$B25:$AY25,'recurring2_based on steps'!$B$1:$AY$1,O$1)+SUMIFS('changes2_based on steps'!$B25:$U25,'changes2_based on steps'!$B$1:$U$1,O$1)</f>
        <v>0</v>
      </c>
      <c r="P25" s="155">
        <f ca="1">SUMIFS('recurring2_based on steps'!$B25:$AY25,'recurring2_based on steps'!$B$1:$AY$1,P$1)+SUMIFS('changes2_based on steps'!$B25:$U25,'changes2_based on steps'!$B$1:$U$1,P$1)</f>
        <v>0</v>
      </c>
      <c r="Q25" s="155">
        <f>SUMIFS('recurring2_based on steps'!$B25:$AY25,'recurring2_based on steps'!$B$1:$AY$1,Q$1)+SUMIFS('changes2_based on steps'!$B25:$U25,'changes2_based on steps'!$B$1:$U$1,Q$1)</f>
        <v>0</v>
      </c>
      <c r="R25" s="155">
        <f ca="1">SUMIFS('recurring2_based on steps'!$B25:$AY25,'recurring2_based on steps'!$B$1:$AY$1,R$1)+SUMIFS('changes2_based on steps'!$B25:$U25,'changes2_based on steps'!$B$1:$U$1,R$1)</f>
        <v>0</v>
      </c>
      <c r="S25" s="155">
        <f ca="1">SUMIFS('recurring2_based on steps'!$B25:$AY25,'recurring2_based on steps'!$B$1:$AY$1,S$1)+SUMIFS('changes2_based on steps'!$B25:$U25,'changes2_based on steps'!$B$1:$U$1,S$1)</f>
        <v>100</v>
      </c>
      <c r="T25" s="155">
        <f>SUMIFS('recurring2_based on steps'!$B25:$AY25,'recurring2_based on steps'!$B$1:$AY$1,T$1)+SUMIFS('changes2_based on steps'!$B25:$U25,'changes2_based on steps'!$B$1:$U$1,T$1)</f>
        <v>0</v>
      </c>
      <c r="U25" s="155">
        <f ca="1">SUMIFS('recurring2_based on steps'!$B25:$AY25,'recurring2_based on steps'!$B$1:$AY$1,U$1)+SUMIFS('changes2_based on steps'!$B25:$U25,'changes2_based on steps'!$B$1:$U$1,U$1)</f>
        <v>0</v>
      </c>
      <c r="V25" s="155">
        <f>SUMIFS('recurring2_based on steps'!$B25:$AY25,'recurring2_based on steps'!$B$1:$AY$1,V$1)+SUMIFS('changes2_based on steps'!$B25:$U25,'changes2_based on steps'!$B$1:$U$1,V$1)</f>
        <v>0</v>
      </c>
      <c r="W25" s="155">
        <f ca="1">SUMIFS('recurring2_based on steps'!$B25:$AY25,'recurring2_based on steps'!$B$1:$AY$1,W$1)+SUMIFS('changes2_based on steps'!$B25:$U25,'changes2_based on steps'!$B$1:$U$1,W$1)</f>
        <v>0</v>
      </c>
      <c r="X25" s="155">
        <f ca="1">SUMIFS('recurring2_based on steps'!$B25:$AY25,'recurring2_based on steps'!$B$1:$AY$1,X$1)+SUMIFS('changes2_based on steps'!$B25:$U25,'changes2_based on steps'!$B$1:$U$1,X$1)</f>
        <v>0</v>
      </c>
      <c r="Y25" s="155">
        <f ca="1">SUMIFS('recurring2_based on steps'!$B25:$AY25,'recurring2_based on steps'!$B$1:$AY$1,Y$1)+SUMIFS('changes2_based on steps'!$B25:$U25,'changes2_based on steps'!$B$1:$U$1,Y$1)</f>
        <v>0</v>
      </c>
      <c r="Z25" s="155">
        <f>SUMIFS('recurring2_based on steps'!$B25:$AY25,'recurring2_based on steps'!$B$1:$AY$1,Z$1)+SUMIFS('changes2_based on steps'!$B25:$U25,'changes2_based on steps'!$B$1:$U$1,Z$1)</f>
        <v>0</v>
      </c>
      <c r="AA25" s="155">
        <f>SUMIFS('recurring2_based on steps'!$B25:$AY25,'recurring2_based on steps'!$B$1:$AY$1,AA$1)+SUMIFS('changes2_based on steps'!$B25:$U25,'changes2_based on steps'!$B$1:$U$1,AA$1)</f>
        <v>0</v>
      </c>
    </row>
    <row r="26" spans="1:27" x14ac:dyDescent="0.2">
      <c r="A26" s="18">
        <f t="shared" ca="1" si="0"/>
        <v>45712</v>
      </c>
      <c r="B26" s="155">
        <f ca="1">SUMIFS('recurring2_based on steps'!$B26:$AY26,'recurring2_based on steps'!$B$1:$AY$1,B$1)+SUMIFS('changes2_based on steps'!$B26:$U26,'changes2_based on steps'!$B$1:$U$1,B$1)</f>
        <v>0</v>
      </c>
      <c r="C26" s="155">
        <f>SUMIFS('recurring2_based on steps'!$B26:$AY26,'recurring2_based on steps'!$B$1:$AY$1,C$1)+SUMIFS('changes2_based on steps'!$B26:$U26,'changes2_based on steps'!$B$1:$U$1,C$1)</f>
        <v>0</v>
      </c>
      <c r="D26" s="155">
        <f>SUMIFS('recurring2_based on steps'!$B26:$AY26,'recurring2_based on steps'!$B$1:$AY$1,D$1)+SUMIFS('changes2_based on steps'!$B26:$U26,'changes2_based on steps'!$B$1:$U$1,D$1)</f>
        <v>0</v>
      </c>
      <c r="E26" s="155">
        <f>SUMIFS('recurring2_based on steps'!$B26:$AY26,'recurring2_based on steps'!$B$1:$AY$1,E$1)+SUMIFS('changes2_based on steps'!$B26:$U26,'changes2_based on steps'!$B$1:$U$1,E$1)</f>
        <v>0</v>
      </c>
      <c r="F26" s="155">
        <f>SUMIFS('recurring2_based on steps'!$B26:$AY26,'recurring2_based on steps'!$B$1:$AY$1,F$1)+SUMIFS('changes2_based on steps'!$B26:$U26,'changes2_based on steps'!$B$1:$U$1,F$1)</f>
        <v>0</v>
      </c>
      <c r="G26" s="155">
        <f>SUMIFS('recurring2_based on steps'!$B26:$AY26,'recurring2_based on steps'!$B$1:$AY$1,G$1)+SUMIFS('changes2_based on steps'!$B26:$U26,'changes2_based on steps'!$B$1:$U$1,G$1)</f>
        <v>0</v>
      </c>
      <c r="H26" s="155">
        <f ca="1">SUMIFS('recurring2_based on steps'!$B26:$AY26,'recurring2_based on steps'!$B$1:$AY$1,H$1)+SUMIFS('changes2_based on steps'!$B26:$U26,'changes2_based on steps'!$B$1:$U$1,H$1)</f>
        <v>0</v>
      </c>
      <c r="I26" s="155">
        <f>SUMIFS('recurring2_based on steps'!$B26:$AY26,'recurring2_based on steps'!$B$1:$AY$1,I$1)+SUMIFS('changes2_based on steps'!$B26:$U26,'changes2_based on steps'!$B$1:$U$1,I$1)</f>
        <v>0</v>
      </c>
      <c r="J26" s="155">
        <f>SUMIFS('recurring2_based on steps'!$B26:$AY26,'recurring2_based on steps'!$B$1:$AY$1,J$1)+SUMIFS('changes2_based on steps'!$B26:$U26,'changes2_based on steps'!$B$1:$U$1,J$1)</f>
        <v>0</v>
      </c>
      <c r="K26" s="155">
        <f>SUMIFS('recurring2_based on steps'!$B26:$AY26,'recurring2_based on steps'!$B$1:$AY$1,K$1)+SUMIFS('changes2_based on steps'!$B26:$U26,'changes2_based on steps'!$B$1:$U$1,K$1)</f>
        <v>0</v>
      </c>
      <c r="L26" s="155">
        <f>SUMIFS('recurring2_based on steps'!$B26:$AY26,'recurring2_based on steps'!$B$1:$AY$1,L$1)+SUMIFS('changes2_based on steps'!$B26:$U26,'changes2_based on steps'!$B$1:$U$1,L$1)</f>
        <v>0</v>
      </c>
      <c r="M26" s="155">
        <f ca="1">SUMIFS('recurring2_based on steps'!$B26:$AY26,'recurring2_based on steps'!$B$1:$AY$1,M$1)+SUMIFS('changes2_based on steps'!$B26:$U26,'changes2_based on steps'!$B$1:$U$1,M$1)</f>
        <v>0</v>
      </c>
      <c r="N26" s="155">
        <f ca="1">SUMIFS('recurring2_based on steps'!$B26:$AY26,'recurring2_based on steps'!$B$1:$AY$1,N$1)+SUMIFS('changes2_based on steps'!$B26:$U26,'changes2_based on steps'!$B$1:$U$1,N$1)</f>
        <v>0</v>
      </c>
      <c r="O26" s="155">
        <f ca="1">SUMIFS('recurring2_based on steps'!$B26:$AY26,'recurring2_based on steps'!$B$1:$AY$1,O$1)+SUMIFS('changes2_based on steps'!$B26:$U26,'changes2_based on steps'!$B$1:$U$1,O$1)</f>
        <v>0</v>
      </c>
      <c r="P26" s="155">
        <f ca="1">SUMIFS('recurring2_based on steps'!$B26:$AY26,'recurring2_based on steps'!$B$1:$AY$1,P$1)+SUMIFS('changes2_based on steps'!$B26:$U26,'changes2_based on steps'!$B$1:$U$1,P$1)</f>
        <v>50</v>
      </c>
      <c r="Q26" s="155">
        <f>SUMIFS('recurring2_based on steps'!$B26:$AY26,'recurring2_based on steps'!$B$1:$AY$1,Q$1)+SUMIFS('changes2_based on steps'!$B26:$U26,'changes2_based on steps'!$B$1:$U$1,Q$1)</f>
        <v>0</v>
      </c>
      <c r="R26" s="155">
        <f ca="1">SUMIFS('recurring2_based on steps'!$B26:$AY26,'recurring2_based on steps'!$B$1:$AY$1,R$1)+SUMIFS('changes2_based on steps'!$B26:$U26,'changes2_based on steps'!$B$1:$U$1,R$1)</f>
        <v>0</v>
      </c>
      <c r="S26" s="155">
        <f ca="1">SUMIFS('recurring2_based on steps'!$B26:$AY26,'recurring2_based on steps'!$B$1:$AY$1,S$1)+SUMIFS('changes2_based on steps'!$B26:$U26,'changes2_based on steps'!$B$1:$U$1,S$1)</f>
        <v>0</v>
      </c>
      <c r="T26" s="155">
        <f>SUMIFS('recurring2_based on steps'!$B26:$AY26,'recurring2_based on steps'!$B$1:$AY$1,T$1)+SUMIFS('changes2_based on steps'!$B26:$U26,'changes2_based on steps'!$B$1:$U$1,T$1)</f>
        <v>0</v>
      </c>
      <c r="U26" s="155">
        <f ca="1">SUMIFS('recurring2_based on steps'!$B26:$AY26,'recurring2_based on steps'!$B$1:$AY$1,U$1)+SUMIFS('changes2_based on steps'!$B26:$U26,'changes2_based on steps'!$B$1:$U$1,U$1)</f>
        <v>0</v>
      </c>
      <c r="V26" s="155">
        <f>SUMIFS('recurring2_based on steps'!$B26:$AY26,'recurring2_based on steps'!$B$1:$AY$1,V$1)+SUMIFS('changes2_based on steps'!$B26:$U26,'changes2_based on steps'!$B$1:$U$1,V$1)</f>
        <v>0</v>
      </c>
      <c r="W26" s="155">
        <f ca="1">SUMIFS('recurring2_based on steps'!$B26:$AY26,'recurring2_based on steps'!$B$1:$AY$1,W$1)+SUMIFS('changes2_based on steps'!$B26:$U26,'changes2_based on steps'!$B$1:$U$1,W$1)</f>
        <v>0</v>
      </c>
      <c r="X26" s="155">
        <f ca="1">SUMIFS('recurring2_based on steps'!$B26:$AY26,'recurring2_based on steps'!$B$1:$AY$1,X$1)+SUMIFS('changes2_based on steps'!$B26:$U26,'changes2_based on steps'!$B$1:$U$1,X$1)</f>
        <v>0</v>
      </c>
      <c r="Y26" s="155">
        <f ca="1">SUMIFS('recurring2_based on steps'!$B26:$AY26,'recurring2_based on steps'!$B$1:$AY$1,Y$1)+SUMIFS('changes2_based on steps'!$B26:$U26,'changes2_based on steps'!$B$1:$U$1,Y$1)</f>
        <v>0</v>
      </c>
      <c r="Z26" s="155">
        <f>SUMIFS('recurring2_based on steps'!$B26:$AY26,'recurring2_based on steps'!$B$1:$AY$1,Z$1)+SUMIFS('changes2_based on steps'!$B26:$U26,'changes2_based on steps'!$B$1:$U$1,Z$1)</f>
        <v>0</v>
      </c>
      <c r="AA26" s="155">
        <f>SUMIFS('recurring2_based on steps'!$B26:$AY26,'recurring2_based on steps'!$B$1:$AY$1,AA$1)+SUMIFS('changes2_based on steps'!$B26:$U26,'changes2_based on steps'!$B$1:$U$1,AA$1)</f>
        <v>0</v>
      </c>
    </row>
    <row r="27" spans="1:27" x14ac:dyDescent="0.2">
      <c r="A27" s="18">
        <f t="shared" ca="1" si="0"/>
        <v>45713</v>
      </c>
      <c r="B27" s="155">
        <f ca="1">SUMIFS('recurring2_based on steps'!$B27:$AY27,'recurring2_based on steps'!$B$1:$AY$1,B$1)+SUMIFS('changes2_based on steps'!$B27:$U27,'changes2_based on steps'!$B$1:$U$1,B$1)</f>
        <v>0</v>
      </c>
      <c r="C27" s="155">
        <f>SUMIFS('recurring2_based on steps'!$B27:$AY27,'recurring2_based on steps'!$B$1:$AY$1,C$1)+SUMIFS('changes2_based on steps'!$B27:$U27,'changes2_based on steps'!$B$1:$U$1,C$1)</f>
        <v>0</v>
      </c>
      <c r="D27" s="155">
        <f>SUMIFS('recurring2_based on steps'!$B27:$AY27,'recurring2_based on steps'!$B$1:$AY$1,D$1)+SUMIFS('changes2_based on steps'!$B27:$U27,'changes2_based on steps'!$B$1:$U$1,D$1)</f>
        <v>0</v>
      </c>
      <c r="E27" s="155">
        <f>SUMIFS('recurring2_based on steps'!$B27:$AY27,'recurring2_based on steps'!$B$1:$AY$1,E$1)+SUMIFS('changes2_based on steps'!$B27:$U27,'changes2_based on steps'!$B$1:$U$1,E$1)</f>
        <v>0</v>
      </c>
      <c r="F27" s="155">
        <f>SUMIFS('recurring2_based on steps'!$B27:$AY27,'recurring2_based on steps'!$B$1:$AY$1,F$1)+SUMIFS('changes2_based on steps'!$B27:$U27,'changes2_based on steps'!$B$1:$U$1,F$1)</f>
        <v>0</v>
      </c>
      <c r="G27" s="155">
        <f>SUMIFS('recurring2_based on steps'!$B27:$AY27,'recurring2_based on steps'!$B$1:$AY$1,G$1)+SUMIFS('changes2_based on steps'!$B27:$U27,'changes2_based on steps'!$B$1:$U$1,G$1)</f>
        <v>0</v>
      </c>
      <c r="H27" s="155">
        <f ca="1">SUMIFS('recurring2_based on steps'!$B27:$AY27,'recurring2_based on steps'!$B$1:$AY$1,H$1)+SUMIFS('changes2_based on steps'!$B27:$U27,'changes2_based on steps'!$B$1:$U$1,H$1)</f>
        <v>0</v>
      </c>
      <c r="I27" s="155">
        <f>SUMIFS('recurring2_based on steps'!$B27:$AY27,'recurring2_based on steps'!$B$1:$AY$1,I$1)+SUMIFS('changes2_based on steps'!$B27:$U27,'changes2_based on steps'!$B$1:$U$1,I$1)</f>
        <v>0</v>
      </c>
      <c r="J27" s="155">
        <f>SUMIFS('recurring2_based on steps'!$B27:$AY27,'recurring2_based on steps'!$B$1:$AY$1,J$1)+SUMIFS('changes2_based on steps'!$B27:$U27,'changes2_based on steps'!$B$1:$U$1,J$1)</f>
        <v>0</v>
      </c>
      <c r="K27" s="155">
        <f>SUMIFS('recurring2_based on steps'!$B27:$AY27,'recurring2_based on steps'!$B$1:$AY$1,K$1)+SUMIFS('changes2_based on steps'!$B27:$U27,'changes2_based on steps'!$B$1:$U$1,K$1)</f>
        <v>0</v>
      </c>
      <c r="L27" s="155">
        <f>SUMIFS('recurring2_based on steps'!$B27:$AY27,'recurring2_based on steps'!$B$1:$AY$1,L$1)+SUMIFS('changes2_based on steps'!$B27:$U27,'changes2_based on steps'!$B$1:$U$1,L$1)</f>
        <v>0</v>
      </c>
      <c r="M27" s="155">
        <f ca="1">SUMIFS('recurring2_based on steps'!$B27:$AY27,'recurring2_based on steps'!$B$1:$AY$1,M$1)+SUMIFS('changes2_based on steps'!$B27:$U27,'changes2_based on steps'!$B$1:$U$1,M$1)</f>
        <v>0</v>
      </c>
      <c r="N27" s="155">
        <f ca="1">SUMIFS('recurring2_based on steps'!$B27:$AY27,'recurring2_based on steps'!$B$1:$AY$1,N$1)+SUMIFS('changes2_based on steps'!$B27:$U27,'changes2_based on steps'!$B$1:$U$1,N$1)</f>
        <v>0</v>
      </c>
      <c r="O27" s="155">
        <f ca="1">SUMIFS('recurring2_based on steps'!$B27:$AY27,'recurring2_based on steps'!$B$1:$AY$1,O$1)+SUMIFS('changes2_based on steps'!$B27:$U27,'changes2_based on steps'!$B$1:$U$1,O$1)</f>
        <v>0</v>
      </c>
      <c r="P27" s="155">
        <f ca="1">SUMIFS('recurring2_based on steps'!$B27:$AY27,'recurring2_based on steps'!$B$1:$AY$1,P$1)+SUMIFS('changes2_based on steps'!$B27:$U27,'changes2_based on steps'!$B$1:$U$1,P$1)</f>
        <v>0</v>
      </c>
      <c r="Q27" s="155">
        <f>SUMIFS('recurring2_based on steps'!$B27:$AY27,'recurring2_based on steps'!$B$1:$AY$1,Q$1)+SUMIFS('changes2_based on steps'!$B27:$U27,'changes2_based on steps'!$B$1:$U$1,Q$1)</f>
        <v>0</v>
      </c>
      <c r="R27" s="155">
        <f ca="1">SUMIFS('recurring2_based on steps'!$B27:$AY27,'recurring2_based on steps'!$B$1:$AY$1,R$1)+SUMIFS('changes2_based on steps'!$B27:$U27,'changes2_based on steps'!$B$1:$U$1,R$1)</f>
        <v>0</v>
      </c>
      <c r="S27" s="155">
        <f ca="1">SUMIFS('recurring2_based on steps'!$B27:$AY27,'recurring2_based on steps'!$B$1:$AY$1,S$1)+SUMIFS('changes2_based on steps'!$B27:$U27,'changes2_based on steps'!$B$1:$U$1,S$1)</f>
        <v>0</v>
      </c>
      <c r="T27" s="155">
        <f>SUMIFS('recurring2_based on steps'!$B27:$AY27,'recurring2_based on steps'!$B$1:$AY$1,T$1)+SUMIFS('changes2_based on steps'!$B27:$U27,'changes2_based on steps'!$B$1:$U$1,T$1)</f>
        <v>0</v>
      </c>
      <c r="U27" s="155">
        <f ca="1">SUMIFS('recurring2_based on steps'!$B27:$AY27,'recurring2_based on steps'!$B$1:$AY$1,U$1)+SUMIFS('changes2_based on steps'!$B27:$U27,'changes2_based on steps'!$B$1:$U$1,U$1)</f>
        <v>0</v>
      </c>
      <c r="V27" s="155">
        <f>SUMIFS('recurring2_based on steps'!$B27:$AY27,'recurring2_based on steps'!$B$1:$AY$1,V$1)+SUMIFS('changes2_based on steps'!$B27:$U27,'changes2_based on steps'!$B$1:$U$1,V$1)</f>
        <v>0</v>
      </c>
      <c r="W27" s="155">
        <f ca="1">SUMIFS('recurring2_based on steps'!$B27:$AY27,'recurring2_based on steps'!$B$1:$AY$1,W$1)+SUMIFS('changes2_based on steps'!$B27:$U27,'changes2_based on steps'!$B$1:$U$1,W$1)</f>
        <v>0</v>
      </c>
      <c r="X27" s="155">
        <f ca="1">SUMIFS('recurring2_based on steps'!$B27:$AY27,'recurring2_based on steps'!$B$1:$AY$1,X$1)+SUMIFS('changes2_based on steps'!$B27:$U27,'changes2_based on steps'!$B$1:$U$1,X$1)</f>
        <v>0</v>
      </c>
      <c r="Y27" s="155">
        <f ca="1">SUMIFS('recurring2_based on steps'!$B27:$AY27,'recurring2_based on steps'!$B$1:$AY$1,Y$1)+SUMIFS('changes2_based on steps'!$B27:$U27,'changes2_based on steps'!$B$1:$U$1,Y$1)</f>
        <v>0</v>
      </c>
      <c r="Z27" s="155">
        <f>SUMIFS('recurring2_based on steps'!$B27:$AY27,'recurring2_based on steps'!$B$1:$AY$1,Z$1)+SUMIFS('changes2_based on steps'!$B27:$U27,'changes2_based on steps'!$B$1:$U$1,Z$1)</f>
        <v>0</v>
      </c>
      <c r="AA27" s="155">
        <f>SUMIFS('recurring2_based on steps'!$B27:$AY27,'recurring2_based on steps'!$B$1:$AY$1,AA$1)+SUMIFS('changes2_based on steps'!$B27:$U27,'changes2_based on steps'!$B$1:$U$1,AA$1)</f>
        <v>0</v>
      </c>
    </row>
    <row r="28" spans="1:27" x14ac:dyDescent="0.2">
      <c r="A28" s="18">
        <f t="shared" ca="1" si="0"/>
        <v>45714</v>
      </c>
      <c r="B28" s="155">
        <f ca="1">SUMIFS('recurring2_based on steps'!$B28:$AY28,'recurring2_based on steps'!$B$1:$AY$1,B$1)+SUMIFS('changes2_based on steps'!$B28:$U28,'changes2_based on steps'!$B$1:$U$1,B$1)</f>
        <v>100</v>
      </c>
      <c r="C28" s="155">
        <f>SUMIFS('recurring2_based on steps'!$B28:$AY28,'recurring2_based on steps'!$B$1:$AY$1,C$1)+SUMIFS('changes2_based on steps'!$B28:$U28,'changes2_based on steps'!$B$1:$U$1,C$1)</f>
        <v>0</v>
      </c>
      <c r="D28" s="155">
        <f>SUMIFS('recurring2_based on steps'!$B28:$AY28,'recurring2_based on steps'!$B$1:$AY$1,D$1)+SUMIFS('changes2_based on steps'!$B28:$U28,'changes2_based on steps'!$B$1:$U$1,D$1)</f>
        <v>0</v>
      </c>
      <c r="E28" s="155">
        <f>SUMIFS('recurring2_based on steps'!$B28:$AY28,'recurring2_based on steps'!$B$1:$AY$1,E$1)+SUMIFS('changes2_based on steps'!$B28:$U28,'changes2_based on steps'!$B$1:$U$1,E$1)</f>
        <v>0</v>
      </c>
      <c r="F28" s="155">
        <f>SUMIFS('recurring2_based on steps'!$B28:$AY28,'recurring2_based on steps'!$B$1:$AY$1,F$1)+SUMIFS('changes2_based on steps'!$B28:$U28,'changes2_based on steps'!$B$1:$U$1,F$1)</f>
        <v>0</v>
      </c>
      <c r="G28" s="155">
        <f>SUMIFS('recurring2_based on steps'!$B28:$AY28,'recurring2_based on steps'!$B$1:$AY$1,G$1)+SUMIFS('changes2_based on steps'!$B28:$U28,'changes2_based on steps'!$B$1:$U$1,G$1)</f>
        <v>0</v>
      </c>
      <c r="H28" s="155">
        <f ca="1">SUMIFS('recurring2_based on steps'!$B28:$AY28,'recurring2_based on steps'!$B$1:$AY$1,H$1)+SUMIFS('changes2_based on steps'!$B28:$U28,'changes2_based on steps'!$B$1:$U$1,H$1)</f>
        <v>0</v>
      </c>
      <c r="I28" s="155">
        <f>SUMIFS('recurring2_based on steps'!$B28:$AY28,'recurring2_based on steps'!$B$1:$AY$1,I$1)+SUMIFS('changes2_based on steps'!$B28:$U28,'changes2_based on steps'!$B$1:$U$1,I$1)</f>
        <v>0</v>
      </c>
      <c r="J28" s="155">
        <f>SUMIFS('recurring2_based on steps'!$B28:$AY28,'recurring2_based on steps'!$B$1:$AY$1,J$1)+SUMIFS('changes2_based on steps'!$B28:$U28,'changes2_based on steps'!$B$1:$U$1,J$1)</f>
        <v>0</v>
      </c>
      <c r="K28" s="155">
        <f>SUMIFS('recurring2_based on steps'!$B28:$AY28,'recurring2_based on steps'!$B$1:$AY$1,K$1)+SUMIFS('changes2_based on steps'!$B28:$U28,'changes2_based on steps'!$B$1:$U$1,K$1)</f>
        <v>0</v>
      </c>
      <c r="L28" s="155">
        <f>SUMIFS('recurring2_based on steps'!$B28:$AY28,'recurring2_based on steps'!$B$1:$AY$1,L$1)+SUMIFS('changes2_based on steps'!$B28:$U28,'changes2_based on steps'!$B$1:$U$1,L$1)</f>
        <v>0</v>
      </c>
      <c r="M28" s="155">
        <f ca="1">SUMIFS('recurring2_based on steps'!$B28:$AY28,'recurring2_based on steps'!$B$1:$AY$1,M$1)+SUMIFS('changes2_based on steps'!$B28:$U28,'changes2_based on steps'!$B$1:$U$1,M$1)</f>
        <v>0</v>
      </c>
      <c r="N28" s="155">
        <f ca="1">SUMIFS('recurring2_based on steps'!$B28:$AY28,'recurring2_based on steps'!$B$1:$AY$1,N$1)+SUMIFS('changes2_based on steps'!$B28:$U28,'changes2_based on steps'!$B$1:$U$1,N$1)</f>
        <v>0</v>
      </c>
      <c r="O28" s="155">
        <f ca="1">SUMIFS('recurring2_based on steps'!$B28:$AY28,'recurring2_based on steps'!$B$1:$AY$1,O$1)+SUMIFS('changes2_based on steps'!$B28:$U28,'changes2_based on steps'!$B$1:$U$1,O$1)</f>
        <v>0</v>
      </c>
      <c r="P28" s="155">
        <f ca="1">SUMIFS('recurring2_based on steps'!$B28:$AY28,'recurring2_based on steps'!$B$1:$AY$1,P$1)+SUMIFS('changes2_based on steps'!$B28:$U28,'changes2_based on steps'!$B$1:$U$1,P$1)</f>
        <v>0</v>
      </c>
      <c r="Q28" s="155">
        <f>SUMIFS('recurring2_based on steps'!$B28:$AY28,'recurring2_based on steps'!$B$1:$AY$1,Q$1)+SUMIFS('changes2_based on steps'!$B28:$U28,'changes2_based on steps'!$B$1:$U$1,Q$1)</f>
        <v>0</v>
      </c>
      <c r="R28" s="155">
        <f ca="1">SUMIFS('recurring2_based on steps'!$B28:$AY28,'recurring2_based on steps'!$B$1:$AY$1,R$1)+SUMIFS('changes2_based on steps'!$B28:$U28,'changes2_based on steps'!$B$1:$U$1,R$1)</f>
        <v>0</v>
      </c>
      <c r="S28" s="155">
        <f ca="1">SUMIFS('recurring2_based on steps'!$B28:$AY28,'recurring2_based on steps'!$B$1:$AY$1,S$1)+SUMIFS('changes2_based on steps'!$B28:$U28,'changes2_based on steps'!$B$1:$U$1,S$1)</f>
        <v>0</v>
      </c>
      <c r="T28" s="155">
        <f>SUMIFS('recurring2_based on steps'!$B28:$AY28,'recurring2_based on steps'!$B$1:$AY$1,T$1)+SUMIFS('changes2_based on steps'!$B28:$U28,'changes2_based on steps'!$B$1:$U$1,T$1)</f>
        <v>0</v>
      </c>
      <c r="U28" s="155">
        <f ca="1">SUMIFS('recurring2_based on steps'!$B28:$AY28,'recurring2_based on steps'!$B$1:$AY$1,U$1)+SUMIFS('changes2_based on steps'!$B28:$U28,'changes2_based on steps'!$B$1:$U$1,U$1)</f>
        <v>0</v>
      </c>
      <c r="V28" s="155">
        <f>SUMIFS('recurring2_based on steps'!$B28:$AY28,'recurring2_based on steps'!$B$1:$AY$1,V$1)+SUMIFS('changes2_based on steps'!$B28:$U28,'changes2_based on steps'!$B$1:$U$1,V$1)</f>
        <v>0</v>
      </c>
      <c r="W28" s="155">
        <f ca="1">SUMIFS('recurring2_based on steps'!$B28:$AY28,'recurring2_based on steps'!$B$1:$AY$1,W$1)+SUMIFS('changes2_based on steps'!$B28:$U28,'changes2_based on steps'!$B$1:$U$1,W$1)</f>
        <v>0</v>
      </c>
      <c r="X28" s="155">
        <f ca="1">SUMIFS('recurring2_based on steps'!$B28:$AY28,'recurring2_based on steps'!$B$1:$AY$1,X$1)+SUMIFS('changes2_based on steps'!$B28:$U28,'changes2_based on steps'!$B$1:$U$1,X$1)</f>
        <v>0</v>
      </c>
      <c r="Y28" s="155">
        <f ca="1">SUMIFS('recurring2_based on steps'!$B28:$AY28,'recurring2_based on steps'!$B$1:$AY$1,Y$1)+SUMIFS('changes2_based on steps'!$B28:$U28,'changes2_based on steps'!$B$1:$U$1,Y$1)</f>
        <v>0</v>
      </c>
      <c r="Z28" s="155">
        <f>SUMIFS('recurring2_based on steps'!$B28:$AY28,'recurring2_based on steps'!$B$1:$AY$1,Z$1)+SUMIFS('changes2_based on steps'!$B28:$U28,'changes2_based on steps'!$B$1:$U$1,Z$1)</f>
        <v>0</v>
      </c>
      <c r="AA28" s="155">
        <f>SUMIFS('recurring2_based on steps'!$B28:$AY28,'recurring2_based on steps'!$B$1:$AY$1,AA$1)+SUMIFS('changes2_based on steps'!$B28:$U28,'changes2_based on steps'!$B$1:$U$1,AA$1)</f>
        <v>0</v>
      </c>
    </row>
    <row r="29" spans="1:27" x14ac:dyDescent="0.2">
      <c r="A29" s="18">
        <f t="shared" ca="1" si="0"/>
        <v>45715</v>
      </c>
      <c r="B29" s="155">
        <f ca="1">SUMIFS('recurring2_based on steps'!$B29:$AY29,'recurring2_based on steps'!$B$1:$AY$1,B$1)+SUMIFS('changes2_based on steps'!$B29:$U29,'changes2_based on steps'!$B$1:$U$1,B$1)</f>
        <v>0</v>
      </c>
      <c r="C29" s="155">
        <f>SUMIFS('recurring2_based on steps'!$B29:$AY29,'recurring2_based on steps'!$B$1:$AY$1,C$1)+SUMIFS('changes2_based on steps'!$B29:$U29,'changes2_based on steps'!$B$1:$U$1,C$1)</f>
        <v>0</v>
      </c>
      <c r="D29" s="155">
        <f>SUMIFS('recurring2_based on steps'!$B29:$AY29,'recurring2_based on steps'!$B$1:$AY$1,D$1)+SUMIFS('changes2_based on steps'!$B29:$U29,'changes2_based on steps'!$B$1:$U$1,D$1)</f>
        <v>0</v>
      </c>
      <c r="E29" s="155">
        <f>SUMIFS('recurring2_based on steps'!$B29:$AY29,'recurring2_based on steps'!$B$1:$AY$1,E$1)+SUMIFS('changes2_based on steps'!$B29:$U29,'changes2_based on steps'!$B$1:$U$1,E$1)</f>
        <v>0</v>
      </c>
      <c r="F29" s="155">
        <f>SUMIFS('recurring2_based on steps'!$B29:$AY29,'recurring2_based on steps'!$B$1:$AY$1,F$1)+SUMIFS('changes2_based on steps'!$B29:$U29,'changes2_based on steps'!$B$1:$U$1,F$1)</f>
        <v>0</v>
      </c>
      <c r="G29" s="155">
        <f>SUMIFS('recurring2_based on steps'!$B29:$AY29,'recurring2_based on steps'!$B$1:$AY$1,G$1)+SUMIFS('changes2_based on steps'!$B29:$U29,'changes2_based on steps'!$B$1:$U$1,G$1)</f>
        <v>0</v>
      </c>
      <c r="H29" s="155">
        <f ca="1">SUMIFS('recurring2_based on steps'!$B29:$AY29,'recurring2_based on steps'!$B$1:$AY$1,H$1)+SUMIFS('changes2_based on steps'!$B29:$U29,'changes2_based on steps'!$B$1:$U$1,H$1)</f>
        <v>0</v>
      </c>
      <c r="I29" s="155">
        <f>SUMIFS('recurring2_based on steps'!$B29:$AY29,'recurring2_based on steps'!$B$1:$AY$1,I$1)+SUMIFS('changes2_based on steps'!$B29:$U29,'changes2_based on steps'!$B$1:$U$1,I$1)</f>
        <v>0</v>
      </c>
      <c r="J29" s="155">
        <f>SUMIFS('recurring2_based on steps'!$B29:$AY29,'recurring2_based on steps'!$B$1:$AY$1,J$1)+SUMIFS('changes2_based on steps'!$B29:$U29,'changes2_based on steps'!$B$1:$U$1,J$1)</f>
        <v>0</v>
      </c>
      <c r="K29" s="155">
        <f>SUMIFS('recurring2_based on steps'!$B29:$AY29,'recurring2_based on steps'!$B$1:$AY$1,K$1)+SUMIFS('changes2_based on steps'!$B29:$U29,'changes2_based on steps'!$B$1:$U$1,K$1)</f>
        <v>0</v>
      </c>
      <c r="L29" s="155">
        <f>SUMIFS('recurring2_based on steps'!$B29:$AY29,'recurring2_based on steps'!$B$1:$AY$1,L$1)+SUMIFS('changes2_based on steps'!$B29:$U29,'changes2_based on steps'!$B$1:$U$1,L$1)</f>
        <v>0</v>
      </c>
      <c r="M29" s="155">
        <f ca="1">SUMIFS('recurring2_based on steps'!$B29:$AY29,'recurring2_based on steps'!$B$1:$AY$1,M$1)+SUMIFS('changes2_based on steps'!$B29:$U29,'changes2_based on steps'!$B$1:$U$1,M$1)</f>
        <v>0</v>
      </c>
      <c r="N29" s="155">
        <f ca="1">SUMIFS('recurring2_based on steps'!$B29:$AY29,'recurring2_based on steps'!$B$1:$AY$1,N$1)+SUMIFS('changes2_based on steps'!$B29:$U29,'changes2_based on steps'!$B$1:$U$1,N$1)</f>
        <v>0</v>
      </c>
      <c r="O29" s="155">
        <f ca="1">SUMIFS('recurring2_based on steps'!$B29:$AY29,'recurring2_based on steps'!$B$1:$AY$1,O$1)+SUMIFS('changes2_based on steps'!$B29:$U29,'changes2_based on steps'!$B$1:$U$1,O$1)</f>
        <v>0</v>
      </c>
      <c r="P29" s="155">
        <f ca="1">SUMIFS('recurring2_based on steps'!$B29:$AY29,'recurring2_based on steps'!$B$1:$AY$1,P$1)+SUMIFS('changes2_based on steps'!$B29:$U29,'changes2_based on steps'!$B$1:$U$1,P$1)</f>
        <v>0</v>
      </c>
      <c r="Q29" s="155">
        <f>SUMIFS('recurring2_based on steps'!$B29:$AY29,'recurring2_based on steps'!$B$1:$AY$1,Q$1)+SUMIFS('changes2_based on steps'!$B29:$U29,'changes2_based on steps'!$B$1:$U$1,Q$1)</f>
        <v>0</v>
      </c>
      <c r="R29" s="155">
        <f ca="1">SUMIFS('recurring2_based on steps'!$B29:$AY29,'recurring2_based on steps'!$B$1:$AY$1,R$1)+SUMIFS('changes2_based on steps'!$B29:$U29,'changes2_based on steps'!$B$1:$U$1,R$1)</f>
        <v>0</v>
      </c>
      <c r="S29" s="155">
        <f ca="1">SUMIFS('recurring2_based on steps'!$B29:$AY29,'recurring2_based on steps'!$B$1:$AY$1,S$1)+SUMIFS('changes2_based on steps'!$B29:$U29,'changes2_based on steps'!$B$1:$U$1,S$1)</f>
        <v>0</v>
      </c>
      <c r="T29" s="155">
        <f>SUMIFS('recurring2_based on steps'!$B29:$AY29,'recurring2_based on steps'!$B$1:$AY$1,T$1)+SUMIFS('changes2_based on steps'!$B29:$U29,'changes2_based on steps'!$B$1:$U$1,T$1)</f>
        <v>0</v>
      </c>
      <c r="U29" s="155">
        <f ca="1">SUMIFS('recurring2_based on steps'!$B29:$AY29,'recurring2_based on steps'!$B$1:$AY$1,U$1)+SUMIFS('changes2_based on steps'!$B29:$U29,'changes2_based on steps'!$B$1:$U$1,U$1)</f>
        <v>2.99</v>
      </c>
      <c r="V29" s="155">
        <f>SUMIFS('recurring2_based on steps'!$B29:$AY29,'recurring2_based on steps'!$B$1:$AY$1,V$1)+SUMIFS('changes2_based on steps'!$B29:$U29,'changes2_based on steps'!$B$1:$U$1,V$1)</f>
        <v>0</v>
      </c>
      <c r="W29" s="155">
        <f ca="1">SUMIFS('recurring2_based on steps'!$B29:$AY29,'recurring2_based on steps'!$B$1:$AY$1,W$1)+SUMIFS('changes2_based on steps'!$B29:$U29,'changes2_based on steps'!$B$1:$U$1,W$1)</f>
        <v>0</v>
      </c>
      <c r="X29" s="155">
        <f ca="1">SUMIFS('recurring2_based on steps'!$B29:$AY29,'recurring2_based on steps'!$B$1:$AY$1,X$1)+SUMIFS('changes2_based on steps'!$B29:$U29,'changes2_based on steps'!$B$1:$U$1,X$1)</f>
        <v>0</v>
      </c>
      <c r="Y29" s="155">
        <f ca="1">SUMIFS('recurring2_based on steps'!$B29:$AY29,'recurring2_based on steps'!$B$1:$AY$1,Y$1)+SUMIFS('changes2_based on steps'!$B29:$U29,'changes2_based on steps'!$B$1:$U$1,Y$1)</f>
        <v>0</v>
      </c>
      <c r="Z29" s="155">
        <f>SUMIFS('recurring2_based on steps'!$B29:$AY29,'recurring2_based on steps'!$B$1:$AY$1,Z$1)+SUMIFS('changes2_based on steps'!$B29:$U29,'changes2_based on steps'!$B$1:$U$1,Z$1)</f>
        <v>0</v>
      </c>
      <c r="AA29" s="155">
        <f>SUMIFS('recurring2_based on steps'!$B29:$AY29,'recurring2_based on steps'!$B$1:$AY$1,AA$1)+SUMIFS('changes2_based on steps'!$B29:$U29,'changes2_based on steps'!$B$1:$U$1,AA$1)</f>
        <v>0</v>
      </c>
    </row>
    <row r="30" spans="1:27" x14ac:dyDescent="0.2">
      <c r="A30" s="18">
        <f t="shared" ca="1" si="0"/>
        <v>45716</v>
      </c>
      <c r="B30" s="155">
        <f ca="1">SUMIFS('recurring2_based on steps'!$B30:$AY30,'recurring2_based on steps'!$B$1:$AY$1,B$1)+SUMIFS('changes2_based on steps'!$B30:$U30,'changes2_based on steps'!$B$1:$U$1,B$1)</f>
        <v>0</v>
      </c>
      <c r="C30" s="155">
        <f>SUMIFS('recurring2_based on steps'!$B30:$AY30,'recurring2_based on steps'!$B$1:$AY$1,C$1)+SUMIFS('changes2_based on steps'!$B30:$U30,'changes2_based on steps'!$B$1:$U$1,C$1)</f>
        <v>0</v>
      </c>
      <c r="D30" s="155">
        <f>SUMIFS('recurring2_based on steps'!$B30:$AY30,'recurring2_based on steps'!$B$1:$AY$1,D$1)+SUMIFS('changes2_based on steps'!$B30:$U30,'changes2_based on steps'!$B$1:$U$1,D$1)</f>
        <v>0</v>
      </c>
      <c r="E30" s="155">
        <f>SUMIFS('recurring2_based on steps'!$B30:$AY30,'recurring2_based on steps'!$B$1:$AY$1,E$1)+SUMIFS('changes2_based on steps'!$B30:$U30,'changes2_based on steps'!$B$1:$U$1,E$1)</f>
        <v>0</v>
      </c>
      <c r="F30" s="155">
        <f>SUMIFS('recurring2_based on steps'!$B30:$AY30,'recurring2_based on steps'!$B$1:$AY$1,F$1)+SUMIFS('changes2_based on steps'!$B30:$U30,'changes2_based on steps'!$B$1:$U$1,F$1)</f>
        <v>0</v>
      </c>
      <c r="G30" s="155">
        <f>SUMIFS('recurring2_based on steps'!$B30:$AY30,'recurring2_based on steps'!$B$1:$AY$1,G$1)+SUMIFS('changes2_based on steps'!$B30:$U30,'changes2_based on steps'!$B$1:$U$1,G$1)</f>
        <v>0</v>
      </c>
      <c r="H30" s="155">
        <f ca="1">SUMIFS('recurring2_based on steps'!$B30:$AY30,'recurring2_based on steps'!$B$1:$AY$1,H$1)+SUMIFS('changes2_based on steps'!$B30:$U30,'changes2_based on steps'!$B$1:$U$1,H$1)</f>
        <v>0</v>
      </c>
      <c r="I30" s="155">
        <f>SUMIFS('recurring2_based on steps'!$B30:$AY30,'recurring2_based on steps'!$B$1:$AY$1,I$1)+SUMIFS('changes2_based on steps'!$B30:$U30,'changes2_based on steps'!$B$1:$U$1,I$1)</f>
        <v>0</v>
      </c>
      <c r="J30" s="155">
        <f>SUMIFS('recurring2_based on steps'!$B30:$AY30,'recurring2_based on steps'!$B$1:$AY$1,J$1)+SUMIFS('changes2_based on steps'!$B30:$U30,'changes2_based on steps'!$B$1:$U$1,J$1)</f>
        <v>0</v>
      </c>
      <c r="K30" s="155">
        <f>SUMIFS('recurring2_based on steps'!$B30:$AY30,'recurring2_based on steps'!$B$1:$AY$1,K$1)+SUMIFS('changes2_based on steps'!$B30:$U30,'changes2_based on steps'!$B$1:$U$1,K$1)</f>
        <v>0</v>
      </c>
      <c r="L30" s="155">
        <f>SUMIFS('recurring2_based on steps'!$B30:$AY30,'recurring2_based on steps'!$B$1:$AY$1,L$1)+SUMIFS('changes2_based on steps'!$B30:$U30,'changes2_based on steps'!$B$1:$U$1,L$1)</f>
        <v>0</v>
      </c>
      <c r="M30" s="155">
        <f ca="1">SUMIFS('recurring2_based on steps'!$B30:$AY30,'recurring2_based on steps'!$B$1:$AY$1,M$1)+SUMIFS('changes2_based on steps'!$B30:$U30,'changes2_based on steps'!$B$1:$U$1,M$1)</f>
        <v>40</v>
      </c>
      <c r="N30" s="155">
        <f ca="1">SUMIFS('recurring2_based on steps'!$B30:$AY30,'recurring2_based on steps'!$B$1:$AY$1,N$1)+SUMIFS('changes2_based on steps'!$B30:$U30,'changes2_based on steps'!$B$1:$U$1,N$1)</f>
        <v>0</v>
      </c>
      <c r="O30" s="155">
        <f ca="1">SUMIFS('recurring2_based on steps'!$B30:$AY30,'recurring2_based on steps'!$B$1:$AY$1,O$1)+SUMIFS('changes2_based on steps'!$B30:$U30,'changes2_based on steps'!$B$1:$U$1,O$1)</f>
        <v>0</v>
      </c>
      <c r="P30" s="155">
        <f ca="1">SUMIFS('recurring2_based on steps'!$B30:$AY30,'recurring2_based on steps'!$B$1:$AY$1,P$1)+SUMIFS('changes2_based on steps'!$B30:$U30,'changes2_based on steps'!$B$1:$U$1,P$1)</f>
        <v>0</v>
      </c>
      <c r="Q30" s="155">
        <f>SUMIFS('recurring2_based on steps'!$B30:$AY30,'recurring2_based on steps'!$B$1:$AY$1,Q$1)+SUMIFS('changes2_based on steps'!$B30:$U30,'changes2_based on steps'!$B$1:$U$1,Q$1)</f>
        <v>0</v>
      </c>
      <c r="R30" s="155">
        <f ca="1">SUMIFS('recurring2_based on steps'!$B30:$AY30,'recurring2_based on steps'!$B$1:$AY$1,R$1)+SUMIFS('changes2_based on steps'!$B30:$U30,'changes2_based on steps'!$B$1:$U$1,R$1)</f>
        <v>0</v>
      </c>
      <c r="S30" s="155">
        <f ca="1">SUMIFS('recurring2_based on steps'!$B30:$AY30,'recurring2_based on steps'!$B$1:$AY$1,S$1)+SUMIFS('changes2_based on steps'!$B30:$U30,'changes2_based on steps'!$B$1:$U$1,S$1)</f>
        <v>0</v>
      </c>
      <c r="T30" s="155">
        <f>SUMIFS('recurring2_based on steps'!$B30:$AY30,'recurring2_based on steps'!$B$1:$AY$1,T$1)+SUMIFS('changes2_based on steps'!$B30:$U30,'changes2_based on steps'!$B$1:$U$1,T$1)</f>
        <v>0</v>
      </c>
      <c r="U30" s="155">
        <f ca="1">SUMIFS('recurring2_based on steps'!$B30:$AY30,'recurring2_based on steps'!$B$1:$AY$1,U$1)+SUMIFS('changes2_based on steps'!$B30:$U30,'changes2_based on steps'!$B$1:$U$1,U$1)</f>
        <v>0</v>
      </c>
      <c r="V30" s="155">
        <f>SUMIFS('recurring2_based on steps'!$B30:$AY30,'recurring2_based on steps'!$B$1:$AY$1,V$1)+SUMIFS('changes2_based on steps'!$B30:$U30,'changes2_based on steps'!$B$1:$U$1,V$1)</f>
        <v>0</v>
      </c>
      <c r="W30" s="155">
        <f ca="1">SUMIFS('recurring2_based on steps'!$B30:$AY30,'recurring2_based on steps'!$B$1:$AY$1,W$1)+SUMIFS('changes2_based on steps'!$B30:$U30,'changes2_based on steps'!$B$1:$U$1,W$1)</f>
        <v>0</v>
      </c>
      <c r="X30" s="155">
        <f ca="1">SUMIFS('recurring2_based on steps'!$B30:$AY30,'recurring2_based on steps'!$B$1:$AY$1,X$1)+SUMIFS('changes2_based on steps'!$B30:$U30,'changes2_based on steps'!$B$1:$U$1,X$1)</f>
        <v>0</v>
      </c>
      <c r="Y30" s="155">
        <f ca="1">SUMIFS('recurring2_based on steps'!$B30:$AY30,'recurring2_based on steps'!$B$1:$AY$1,Y$1)+SUMIFS('changes2_based on steps'!$B30:$U30,'changes2_based on steps'!$B$1:$U$1,Y$1)</f>
        <v>100</v>
      </c>
      <c r="Z30" s="155">
        <f>SUMIFS('recurring2_based on steps'!$B30:$AY30,'recurring2_based on steps'!$B$1:$AY$1,Z$1)+SUMIFS('changes2_based on steps'!$B30:$U30,'changes2_based on steps'!$B$1:$U$1,Z$1)</f>
        <v>0</v>
      </c>
      <c r="AA30" s="155">
        <f>SUMIFS('recurring2_based on steps'!$B30:$AY30,'recurring2_based on steps'!$B$1:$AY$1,AA$1)+SUMIFS('changes2_based on steps'!$B30:$U30,'changes2_based on steps'!$B$1:$U$1,AA$1)</f>
        <v>0</v>
      </c>
    </row>
    <row r="31" spans="1:27" x14ac:dyDescent="0.2">
      <c r="A31" s="18">
        <f t="shared" ca="1" si="0"/>
        <v>45717</v>
      </c>
      <c r="B31" s="155">
        <f ca="1">SUMIFS('recurring2_based on steps'!$B31:$AY31,'recurring2_based on steps'!$B$1:$AY$1,B$1)+SUMIFS('changes2_based on steps'!$B31:$U31,'changes2_based on steps'!$B$1:$U$1,B$1)</f>
        <v>0</v>
      </c>
      <c r="C31" s="155">
        <f>SUMIFS('recurring2_based on steps'!$B31:$AY31,'recurring2_based on steps'!$B$1:$AY$1,C$1)+SUMIFS('changes2_based on steps'!$B31:$U31,'changes2_based on steps'!$B$1:$U$1,C$1)</f>
        <v>0</v>
      </c>
      <c r="D31" s="155">
        <f>SUMIFS('recurring2_based on steps'!$B31:$AY31,'recurring2_based on steps'!$B$1:$AY$1,D$1)+SUMIFS('changes2_based on steps'!$B31:$U31,'changes2_based on steps'!$B$1:$U$1,D$1)</f>
        <v>0</v>
      </c>
      <c r="E31" s="155">
        <f>SUMIFS('recurring2_based on steps'!$B31:$AY31,'recurring2_based on steps'!$B$1:$AY$1,E$1)+SUMIFS('changes2_based on steps'!$B31:$U31,'changes2_based on steps'!$B$1:$U$1,E$1)</f>
        <v>0</v>
      </c>
      <c r="F31" s="155">
        <f>SUMIFS('recurring2_based on steps'!$B31:$AY31,'recurring2_based on steps'!$B$1:$AY$1,F$1)+SUMIFS('changes2_based on steps'!$B31:$U31,'changes2_based on steps'!$B$1:$U$1,F$1)</f>
        <v>0</v>
      </c>
      <c r="G31" s="155">
        <f>SUMIFS('recurring2_based on steps'!$B31:$AY31,'recurring2_based on steps'!$B$1:$AY$1,G$1)+SUMIFS('changes2_based on steps'!$B31:$U31,'changes2_based on steps'!$B$1:$U$1,G$1)</f>
        <v>0</v>
      </c>
      <c r="H31" s="155">
        <f ca="1">SUMIFS('recurring2_based on steps'!$B31:$AY31,'recurring2_based on steps'!$B$1:$AY$1,H$1)+SUMIFS('changes2_based on steps'!$B31:$U31,'changes2_based on steps'!$B$1:$U$1,H$1)</f>
        <v>0</v>
      </c>
      <c r="I31" s="155">
        <f>SUMIFS('recurring2_based on steps'!$B31:$AY31,'recurring2_based on steps'!$B$1:$AY$1,I$1)+SUMIFS('changes2_based on steps'!$B31:$U31,'changes2_based on steps'!$B$1:$U$1,I$1)</f>
        <v>0</v>
      </c>
      <c r="J31" s="155">
        <f>SUMIFS('recurring2_based on steps'!$B31:$AY31,'recurring2_based on steps'!$B$1:$AY$1,J$1)+SUMIFS('changes2_based on steps'!$B31:$U31,'changes2_based on steps'!$B$1:$U$1,J$1)</f>
        <v>0</v>
      </c>
      <c r="K31" s="155">
        <f>SUMIFS('recurring2_based on steps'!$B31:$AY31,'recurring2_based on steps'!$B$1:$AY$1,K$1)+SUMIFS('changes2_based on steps'!$B31:$U31,'changes2_based on steps'!$B$1:$U$1,K$1)</f>
        <v>0</v>
      </c>
      <c r="L31" s="155">
        <f>SUMIFS('recurring2_based on steps'!$B31:$AY31,'recurring2_based on steps'!$B$1:$AY$1,L$1)+SUMIFS('changes2_based on steps'!$B31:$U31,'changes2_based on steps'!$B$1:$U$1,L$1)</f>
        <v>0</v>
      </c>
      <c r="M31" s="155">
        <f ca="1">SUMIFS('recurring2_based on steps'!$B31:$AY31,'recurring2_based on steps'!$B$1:$AY$1,M$1)+SUMIFS('changes2_based on steps'!$B31:$U31,'changes2_based on steps'!$B$1:$U$1,M$1)</f>
        <v>2000</v>
      </c>
      <c r="N31" s="155">
        <f ca="1">SUMIFS('recurring2_based on steps'!$B31:$AY31,'recurring2_based on steps'!$B$1:$AY$1,N$1)+SUMIFS('changes2_based on steps'!$B31:$U31,'changes2_based on steps'!$B$1:$U$1,N$1)</f>
        <v>0</v>
      </c>
      <c r="O31" s="155">
        <f ca="1">SUMIFS('recurring2_based on steps'!$B31:$AY31,'recurring2_based on steps'!$B$1:$AY$1,O$1)+SUMIFS('changes2_based on steps'!$B31:$U31,'changes2_based on steps'!$B$1:$U$1,O$1)</f>
        <v>0</v>
      </c>
      <c r="P31" s="155">
        <f ca="1">SUMIFS('recurring2_based on steps'!$B31:$AY31,'recurring2_based on steps'!$B$1:$AY$1,P$1)+SUMIFS('changes2_based on steps'!$B31:$U31,'changes2_based on steps'!$B$1:$U$1,P$1)</f>
        <v>0</v>
      </c>
      <c r="Q31" s="155">
        <f>SUMIFS('recurring2_based on steps'!$B31:$AY31,'recurring2_based on steps'!$B$1:$AY$1,Q$1)+SUMIFS('changes2_based on steps'!$B31:$U31,'changes2_based on steps'!$B$1:$U$1,Q$1)</f>
        <v>0</v>
      </c>
      <c r="R31" s="155">
        <f ca="1">SUMIFS('recurring2_based on steps'!$B31:$AY31,'recurring2_based on steps'!$B$1:$AY$1,R$1)+SUMIFS('changes2_based on steps'!$B31:$U31,'changes2_based on steps'!$B$1:$U$1,R$1)</f>
        <v>100</v>
      </c>
      <c r="S31" s="155">
        <f ca="1">SUMIFS('recurring2_based on steps'!$B31:$AY31,'recurring2_based on steps'!$B$1:$AY$1,S$1)+SUMIFS('changes2_based on steps'!$B31:$U31,'changes2_based on steps'!$B$1:$U$1,S$1)</f>
        <v>100</v>
      </c>
      <c r="T31" s="155">
        <f>SUMIFS('recurring2_based on steps'!$B31:$AY31,'recurring2_based on steps'!$B$1:$AY$1,T$1)+SUMIFS('changes2_based on steps'!$B31:$U31,'changes2_based on steps'!$B$1:$U$1,T$1)</f>
        <v>0</v>
      </c>
      <c r="U31" s="155">
        <f ca="1">SUMIFS('recurring2_based on steps'!$B31:$AY31,'recurring2_based on steps'!$B$1:$AY$1,U$1)+SUMIFS('changes2_based on steps'!$B31:$U31,'changes2_based on steps'!$B$1:$U$1,U$1)</f>
        <v>0</v>
      </c>
      <c r="V31" s="155">
        <f>SUMIFS('recurring2_based on steps'!$B31:$AY31,'recurring2_based on steps'!$B$1:$AY$1,V$1)+SUMIFS('changes2_based on steps'!$B31:$U31,'changes2_based on steps'!$B$1:$U$1,V$1)</f>
        <v>0</v>
      </c>
      <c r="W31" s="155">
        <f ca="1">SUMIFS('recurring2_based on steps'!$B31:$AY31,'recurring2_based on steps'!$B$1:$AY$1,W$1)+SUMIFS('changes2_based on steps'!$B31:$U31,'changes2_based on steps'!$B$1:$U$1,W$1)</f>
        <v>0</v>
      </c>
      <c r="X31" s="155">
        <f ca="1">SUMIFS('recurring2_based on steps'!$B31:$AY31,'recurring2_based on steps'!$B$1:$AY$1,X$1)+SUMIFS('changes2_based on steps'!$B31:$U31,'changes2_based on steps'!$B$1:$U$1,X$1)</f>
        <v>0</v>
      </c>
      <c r="Y31" s="155">
        <f ca="1">SUMIFS('recurring2_based on steps'!$B31:$AY31,'recurring2_based on steps'!$B$1:$AY$1,Y$1)+SUMIFS('changes2_based on steps'!$B31:$U31,'changes2_based on steps'!$B$1:$U$1,Y$1)</f>
        <v>0</v>
      </c>
      <c r="Z31" s="155">
        <f>SUMIFS('recurring2_based on steps'!$B31:$AY31,'recurring2_based on steps'!$B$1:$AY$1,Z$1)+SUMIFS('changes2_based on steps'!$B31:$U31,'changes2_based on steps'!$B$1:$U$1,Z$1)</f>
        <v>0</v>
      </c>
      <c r="AA31" s="155">
        <f>SUMIFS('recurring2_based on steps'!$B31:$AY31,'recurring2_based on steps'!$B$1:$AY$1,AA$1)+SUMIFS('changes2_based on steps'!$B31:$U31,'changes2_based on steps'!$B$1:$U$1,AA$1)</f>
        <v>0</v>
      </c>
    </row>
    <row r="32" spans="1:27" x14ac:dyDescent="0.2">
      <c r="A32" s="18">
        <f t="shared" ca="1" si="0"/>
        <v>45718</v>
      </c>
      <c r="B32" s="155">
        <f ca="1">SUMIFS('recurring2_based on steps'!$B32:$AY32,'recurring2_based on steps'!$B$1:$AY$1,B$1)+SUMIFS('changes2_based on steps'!$B32:$U32,'changes2_based on steps'!$B$1:$U$1,B$1)</f>
        <v>0</v>
      </c>
      <c r="C32" s="155">
        <f>SUMIFS('recurring2_based on steps'!$B32:$AY32,'recurring2_based on steps'!$B$1:$AY$1,C$1)+SUMIFS('changes2_based on steps'!$B32:$U32,'changes2_based on steps'!$B$1:$U$1,C$1)</f>
        <v>0</v>
      </c>
      <c r="D32" s="155">
        <f>SUMIFS('recurring2_based on steps'!$B32:$AY32,'recurring2_based on steps'!$B$1:$AY$1,D$1)+SUMIFS('changes2_based on steps'!$B32:$U32,'changes2_based on steps'!$B$1:$U$1,D$1)</f>
        <v>0</v>
      </c>
      <c r="E32" s="155">
        <f>SUMIFS('recurring2_based on steps'!$B32:$AY32,'recurring2_based on steps'!$B$1:$AY$1,E$1)+SUMIFS('changes2_based on steps'!$B32:$U32,'changes2_based on steps'!$B$1:$U$1,E$1)</f>
        <v>0</v>
      </c>
      <c r="F32" s="155">
        <f>SUMIFS('recurring2_based on steps'!$B32:$AY32,'recurring2_based on steps'!$B$1:$AY$1,F$1)+SUMIFS('changes2_based on steps'!$B32:$U32,'changes2_based on steps'!$B$1:$U$1,F$1)</f>
        <v>0</v>
      </c>
      <c r="G32" s="155">
        <f>SUMIFS('recurring2_based on steps'!$B32:$AY32,'recurring2_based on steps'!$B$1:$AY$1,G$1)+SUMIFS('changes2_based on steps'!$B32:$U32,'changes2_based on steps'!$B$1:$U$1,G$1)</f>
        <v>0</v>
      </c>
      <c r="H32" s="155">
        <f ca="1">SUMIFS('recurring2_based on steps'!$B32:$AY32,'recurring2_based on steps'!$B$1:$AY$1,H$1)+SUMIFS('changes2_based on steps'!$B32:$U32,'changes2_based on steps'!$B$1:$U$1,H$1)</f>
        <v>0</v>
      </c>
      <c r="I32" s="155">
        <f>SUMIFS('recurring2_based on steps'!$B32:$AY32,'recurring2_based on steps'!$B$1:$AY$1,I$1)+SUMIFS('changes2_based on steps'!$B32:$U32,'changes2_based on steps'!$B$1:$U$1,I$1)</f>
        <v>0</v>
      </c>
      <c r="J32" s="155">
        <f>SUMIFS('recurring2_based on steps'!$B32:$AY32,'recurring2_based on steps'!$B$1:$AY$1,J$1)+SUMIFS('changes2_based on steps'!$B32:$U32,'changes2_based on steps'!$B$1:$U$1,J$1)</f>
        <v>0</v>
      </c>
      <c r="K32" s="155">
        <f>SUMIFS('recurring2_based on steps'!$B32:$AY32,'recurring2_based on steps'!$B$1:$AY$1,K$1)+SUMIFS('changes2_based on steps'!$B32:$U32,'changes2_based on steps'!$B$1:$U$1,K$1)</f>
        <v>0</v>
      </c>
      <c r="L32" s="155">
        <f>SUMIFS('recurring2_based on steps'!$B32:$AY32,'recurring2_based on steps'!$B$1:$AY$1,L$1)+SUMIFS('changes2_based on steps'!$B32:$U32,'changes2_based on steps'!$B$1:$U$1,L$1)</f>
        <v>0</v>
      </c>
      <c r="M32" s="155">
        <f ca="1">SUMIFS('recurring2_based on steps'!$B32:$AY32,'recurring2_based on steps'!$B$1:$AY$1,M$1)+SUMIFS('changes2_based on steps'!$B32:$U32,'changes2_based on steps'!$B$1:$U$1,M$1)</f>
        <v>0</v>
      </c>
      <c r="N32" s="155">
        <f ca="1">SUMIFS('recurring2_based on steps'!$B32:$AY32,'recurring2_based on steps'!$B$1:$AY$1,N$1)+SUMIFS('changes2_based on steps'!$B32:$U32,'changes2_based on steps'!$B$1:$U$1,N$1)</f>
        <v>50</v>
      </c>
      <c r="O32" s="155">
        <f ca="1">SUMIFS('recurring2_based on steps'!$B32:$AY32,'recurring2_based on steps'!$B$1:$AY$1,O$1)+SUMIFS('changes2_based on steps'!$B32:$U32,'changes2_based on steps'!$B$1:$U$1,O$1)</f>
        <v>0</v>
      </c>
      <c r="P32" s="155">
        <f ca="1">SUMIFS('recurring2_based on steps'!$B32:$AY32,'recurring2_based on steps'!$B$1:$AY$1,P$1)+SUMIFS('changes2_based on steps'!$B32:$U32,'changes2_based on steps'!$B$1:$U$1,P$1)</f>
        <v>0</v>
      </c>
      <c r="Q32" s="155">
        <f>SUMIFS('recurring2_based on steps'!$B32:$AY32,'recurring2_based on steps'!$B$1:$AY$1,Q$1)+SUMIFS('changes2_based on steps'!$B32:$U32,'changes2_based on steps'!$B$1:$U$1,Q$1)</f>
        <v>0</v>
      </c>
      <c r="R32" s="155">
        <f ca="1">SUMIFS('recurring2_based on steps'!$B32:$AY32,'recurring2_based on steps'!$B$1:$AY$1,R$1)+SUMIFS('changes2_based on steps'!$B32:$U32,'changes2_based on steps'!$B$1:$U$1,R$1)</f>
        <v>0</v>
      </c>
      <c r="S32" s="155">
        <f ca="1">SUMIFS('recurring2_based on steps'!$B32:$AY32,'recurring2_based on steps'!$B$1:$AY$1,S$1)+SUMIFS('changes2_based on steps'!$B32:$U32,'changes2_based on steps'!$B$1:$U$1,S$1)</f>
        <v>100</v>
      </c>
      <c r="T32" s="155">
        <f>SUMIFS('recurring2_based on steps'!$B32:$AY32,'recurring2_based on steps'!$B$1:$AY$1,T$1)+SUMIFS('changes2_based on steps'!$B32:$U32,'changes2_based on steps'!$B$1:$U$1,T$1)</f>
        <v>0</v>
      </c>
      <c r="U32" s="155">
        <f ca="1">SUMIFS('recurring2_based on steps'!$B32:$AY32,'recurring2_based on steps'!$B$1:$AY$1,U$1)+SUMIFS('changes2_based on steps'!$B32:$U32,'changes2_based on steps'!$B$1:$U$1,U$1)</f>
        <v>0</v>
      </c>
      <c r="V32" s="155">
        <f>SUMIFS('recurring2_based on steps'!$B32:$AY32,'recurring2_based on steps'!$B$1:$AY$1,V$1)+SUMIFS('changes2_based on steps'!$B32:$U32,'changes2_based on steps'!$B$1:$U$1,V$1)</f>
        <v>0</v>
      </c>
      <c r="W32" s="155">
        <f ca="1">SUMIFS('recurring2_based on steps'!$B32:$AY32,'recurring2_based on steps'!$B$1:$AY$1,W$1)+SUMIFS('changes2_based on steps'!$B32:$U32,'changes2_based on steps'!$B$1:$U$1,W$1)</f>
        <v>0</v>
      </c>
      <c r="X32" s="155">
        <f ca="1">SUMIFS('recurring2_based on steps'!$B32:$AY32,'recurring2_based on steps'!$B$1:$AY$1,X$1)+SUMIFS('changes2_based on steps'!$B32:$U32,'changes2_based on steps'!$B$1:$U$1,X$1)</f>
        <v>0</v>
      </c>
      <c r="Y32" s="155">
        <f ca="1">SUMIFS('recurring2_based on steps'!$B32:$AY32,'recurring2_based on steps'!$B$1:$AY$1,Y$1)+SUMIFS('changes2_based on steps'!$B32:$U32,'changes2_based on steps'!$B$1:$U$1,Y$1)</f>
        <v>0</v>
      </c>
      <c r="Z32" s="155">
        <f>SUMIFS('recurring2_based on steps'!$B32:$AY32,'recurring2_based on steps'!$B$1:$AY$1,Z$1)+SUMIFS('changes2_based on steps'!$B32:$U32,'changes2_based on steps'!$B$1:$U$1,Z$1)</f>
        <v>0</v>
      </c>
      <c r="AA32" s="155">
        <f>SUMIFS('recurring2_based on steps'!$B32:$AY32,'recurring2_based on steps'!$B$1:$AY$1,AA$1)+SUMIFS('changes2_based on steps'!$B32:$U32,'changes2_based on steps'!$B$1:$U$1,AA$1)</f>
        <v>0</v>
      </c>
    </row>
    <row r="33" spans="1:27" x14ac:dyDescent="0.2">
      <c r="A33" s="18">
        <f t="shared" ca="1" si="0"/>
        <v>45719</v>
      </c>
      <c r="B33" s="155">
        <f ca="1">SUMIFS('recurring2_based on steps'!$B33:$AY33,'recurring2_based on steps'!$B$1:$AY$1,B$1)+SUMIFS('changes2_based on steps'!$B33:$U33,'changes2_based on steps'!$B$1:$U$1,B$1)</f>
        <v>0</v>
      </c>
      <c r="C33" s="155">
        <f>SUMIFS('recurring2_based on steps'!$B33:$AY33,'recurring2_based on steps'!$B$1:$AY$1,C$1)+SUMIFS('changes2_based on steps'!$B33:$U33,'changes2_based on steps'!$B$1:$U$1,C$1)</f>
        <v>0</v>
      </c>
      <c r="D33" s="155">
        <f>SUMIFS('recurring2_based on steps'!$B33:$AY33,'recurring2_based on steps'!$B$1:$AY$1,D$1)+SUMIFS('changes2_based on steps'!$B33:$U33,'changes2_based on steps'!$B$1:$U$1,D$1)</f>
        <v>0</v>
      </c>
      <c r="E33" s="155">
        <f>SUMIFS('recurring2_based on steps'!$B33:$AY33,'recurring2_based on steps'!$B$1:$AY$1,E$1)+SUMIFS('changes2_based on steps'!$B33:$U33,'changes2_based on steps'!$B$1:$U$1,E$1)</f>
        <v>0</v>
      </c>
      <c r="F33" s="155">
        <f>SUMIFS('recurring2_based on steps'!$B33:$AY33,'recurring2_based on steps'!$B$1:$AY$1,F$1)+SUMIFS('changes2_based on steps'!$B33:$U33,'changes2_based on steps'!$B$1:$U$1,F$1)</f>
        <v>0</v>
      </c>
      <c r="G33" s="155">
        <f>SUMIFS('recurring2_based on steps'!$B33:$AY33,'recurring2_based on steps'!$B$1:$AY$1,G$1)+SUMIFS('changes2_based on steps'!$B33:$U33,'changes2_based on steps'!$B$1:$U$1,G$1)</f>
        <v>0</v>
      </c>
      <c r="H33" s="155">
        <f ca="1">SUMIFS('recurring2_based on steps'!$B33:$AY33,'recurring2_based on steps'!$B$1:$AY$1,H$1)+SUMIFS('changes2_based on steps'!$B33:$U33,'changes2_based on steps'!$B$1:$U$1,H$1)</f>
        <v>0</v>
      </c>
      <c r="I33" s="155">
        <f>SUMIFS('recurring2_based on steps'!$B33:$AY33,'recurring2_based on steps'!$B$1:$AY$1,I$1)+SUMIFS('changes2_based on steps'!$B33:$U33,'changes2_based on steps'!$B$1:$U$1,I$1)</f>
        <v>0</v>
      </c>
      <c r="J33" s="155">
        <f>SUMIFS('recurring2_based on steps'!$B33:$AY33,'recurring2_based on steps'!$B$1:$AY$1,J$1)+SUMIFS('changes2_based on steps'!$B33:$U33,'changes2_based on steps'!$B$1:$U$1,J$1)</f>
        <v>0</v>
      </c>
      <c r="K33" s="155">
        <f>SUMIFS('recurring2_based on steps'!$B33:$AY33,'recurring2_based on steps'!$B$1:$AY$1,K$1)+SUMIFS('changes2_based on steps'!$B33:$U33,'changes2_based on steps'!$B$1:$U$1,K$1)</f>
        <v>0</v>
      </c>
      <c r="L33" s="155">
        <f>SUMIFS('recurring2_based on steps'!$B33:$AY33,'recurring2_based on steps'!$B$1:$AY$1,L$1)+SUMIFS('changes2_based on steps'!$B33:$U33,'changes2_based on steps'!$B$1:$U$1,L$1)</f>
        <v>0</v>
      </c>
      <c r="M33" s="155">
        <f ca="1">SUMIFS('recurring2_based on steps'!$B33:$AY33,'recurring2_based on steps'!$B$1:$AY$1,M$1)+SUMIFS('changes2_based on steps'!$B33:$U33,'changes2_based on steps'!$B$1:$U$1,M$1)</f>
        <v>0</v>
      </c>
      <c r="N33" s="155">
        <f ca="1">SUMIFS('recurring2_based on steps'!$B33:$AY33,'recurring2_based on steps'!$B$1:$AY$1,N$1)+SUMIFS('changes2_based on steps'!$B33:$U33,'changes2_based on steps'!$B$1:$U$1,N$1)</f>
        <v>0</v>
      </c>
      <c r="O33" s="155">
        <f ca="1">SUMIFS('recurring2_based on steps'!$B33:$AY33,'recurring2_based on steps'!$B$1:$AY$1,O$1)+SUMIFS('changes2_based on steps'!$B33:$U33,'changes2_based on steps'!$B$1:$U$1,O$1)</f>
        <v>0</v>
      </c>
      <c r="P33" s="155">
        <f ca="1">SUMIFS('recurring2_based on steps'!$B33:$AY33,'recurring2_based on steps'!$B$1:$AY$1,P$1)+SUMIFS('changes2_based on steps'!$B33:$U33,'changes2_based on steps'!$B$1:$U$1,P$1)</f>
        <v>0</v>
      </c>
      <c r="Q33" s="155">
        <f>SUMIFS('recurring2_based on steps'!$B33:$AY33,'recurring2_based on steps'!$B$1:$AY$1,Q$1)+SUMIFS('changes2_based on steps'!$B33:$U33,'changes2_based on steps'!$B$1:$U$1,Q$1)</f>
        <v>0</v>
      </c>
      <c r="R33" s="155">
        <f ca="1">SUMIFS('recurring2_based on steps'!$B33:$AY33,'recurring2_based on steps'!$B$1:$AY$1,R$1)+SUMIFS('changes2_based on steps'!$B33:$U33,'changes2_based on steps'!$B$1:$U$1,R$1)</f>
        <v>0</v>
      </c>
      <c r="S33" s="155">
        <f ca="1">SUMIFS('recurring2_based on steps'!$B33:$AY33,'recurring2_based on steps'!$B$1:$AY$1,S$1)+SUMIFS('changes2_based on steps'!$B33:$U33,'changes2_based on steps'!$B$1:$U$1,S$1)</f>
        <v>0</v>
      </c>
      <c r="T33" s="155">
        <f>SUMIFS('recurring2_based on steps'!$B33:$AY33,'recurring2_based on steps'!$B$1:$AY$1,T$1)+SUMIFS('changes2_based on steps'!$B33:$U33,'changes2_based on steps'!$B$1:$U$1,T$1)</f>
        <v>0</v>
      </c>
      <c r="U33" s="155">
        <f ca="1">SUMIFS('recurring2_based on steps'!$B33:$AY33,'recurring2_based on steps'!$B$1:$AY$1,U$1)+SUMIFS('changes2_based on steps'!$B33:$U33,'changes2_based on steps'!$B$1:$U$1,U$1)</f>
        <v>0</v>
      </c>
      <c r="V33" s="155">
        <f>SUMIFS('recurring2_based on steps'!$B33:$AY33,'recurring2_based on steps'!$B$1:$AY$1,V$1)+SUMIFS('changes2_based on steps'!$B33:$U33,'changes2_based on steps'!$B$1:$U$1,V$1)</f>
        <v>0</v>
      </c>
      <c r="W33" s="155">
        <f ca="1">SUMIFS('recurring2_based on steps'!$B33:$AY33,'recurring2_based on steps'!$B$1:$AY$1,W$1)+SUMIFS('changes2_based on steps'!$B33:$U33,'changes2_based on steps'!$B$1:$U$1,W$1)</f>
        <v>0</v>
      </c>
      <c r="X33" s="155">
        <f ca="1">SUMIFS('recurring2_based on steps'!$B33:$AY33,'recurring2_based on steps'!$B$1:$AY$1,X$1)+SUMIFS('changes2_based on steps'!$B33:$U33,'changes2_based on steps'!$B$1:$U$1,X$1)</f>
        <v>0</v>
      </c>
      <c r="Y33" s="155">
        <f ca="1">SUMIFS('recurring2_based on steps'!$B33:$AY33,'recurring2_based on steps'!$B$1:$AY$1,Y$1)+SUMIFS('changes2_based on steps'!$B33:$U33,'changes2_based on steps'!$B$1:$U$1,Y$1)</f>
        <v>0</v>
      </c>
      <c r="Z33" s="155">
        <f>SUMIFS('recurring2_based on steps'!$B33:$AY33,'recurring2_based on steps'!$B$1:$AY$1,Z$1)+SUMIFS('changes2_based on steps'!$B33:$U33,'changes2_based on steps'!$B$1:$U$1,Z$1)</f>
        <v>0</v>
      </c>
      <c r="AA33" s="155">
        <f>SUMIFS('recurring2_based on steps'!$B33:$AY33,'recurring2_based on steps'!$B$1:$AY$1,AA$1)+SUMIFS('changes2_based on steps'!$B33:$U33,'changes2_based on steps'!$B$1:$U$1,AA$1)</f>
        <v>0</v>
      </c>
    </row>
    <row r="34" spans="1:27" x14ac:dyDescent="0.2">
      <c r="A34" s="18">
        <f t="shared" ca="1" si="0"/>
        <v>45720</v>
      </c>
      <c r="B34" s="155">
        <f ca="1">SUMIFS('recurring2_based on steps'!$B34:$AY34,'recurring2_based on steps'!$B$1:$AY$1,B$1)+SUMIFS('changes2_based on steps'!$B34:$U34,'changes2_based on steps'!$B$1:$U$1,B$1)</f>
        <v>0</v>
      </c>
      <c r="C34" s="155">
        <f>SUMIFS('recurring2_based on steps'!$B34:$AY34,'recurring2_based on steps'!$B$1:$AY$1,C$1)+SUMIFS('changes2_based on steps'!$B34:$U34,'changes2_based on steps'!$B$1:$U$1,C$1)</f>
        <v>0</v>
      </c>
      <c r="D34" s="155">
        <f>SUMIFS('recurring2_based on steps'!$B34:$AY34,'recurring2_based on steps'!$B$1:$AY$1,D$1)+SUMIFS('changes2_based on steps'!$B34:$U34,'changes2_based on steps'!$B$1:$U$1,D$1)</f>
        <v>0</v>
      </c>
      <c r="E34" s="155">
        <f>SUMIFS('recurring2_based on steps'!$B34:$AY34,'recurring2_based on steps'!$B$1:$AY$1,E$1)+SUMIFS('changes2_based on steps'!$B34:$U34,'changes2_based on steps'!$B$1:$U$1,E$1)</f>
        <v>0</v>
      </c>
      <c r="F34" s="155">
        <f>SUMIFS('recurring2_based on steps'!$B34:$AY34,'recurring2_based on steps'!$B$1:$AY$1,F$1)+SUMIFS('changes2_based on steps'!$B34:$U34,'changes2_based on steps'!$B$1:$U$1,F$1)</f>
        <v>0</v>
      </c>
      <c r="G34" s="155">
        <f>SUMIFS('recurring2_based on steps'!$B34:$AY34,'recurring2_based on steps'!$B$1:$AY$1,G$1)+SUMIFS('changes2_based on steps'!$B34:$U34,'changes2_based on steps'!$B$1:$U$1,G$1)</f>
        <v>0</v>
      </c>
      <c r="H34" s="155">
        <f ca="1">SUMIFS('recurring2_based on steps'!$B34:$AY34,'recurring2_based on steps'!$B$1:$AY$1,H$1)+SUMIFS('changes2_based on steps'!$B34:$U34,'changes2_based on steps'!$B$1:$U$1,H$1)</f>
        <v>0</v>
      </c>
      <c r="I34" s="155">
        <f>SUMIFS('recurring2_based on steps'!$B34:$AY34,'recurring2_based on steps'!$B$1:$AY$1,I$1)+SUMIFS('changes2_based on steps'!$B34:$U34,'changes2_based on steps'!$B$1:$U$1,I$1)</f>
        <v>0</v>
      </c>
      <c r="J34" s="155">
        <f>SUMIFS('recurring2_based on steps'!$B34:$AY34,'recurring2_based on steps'!$B$1:$AY$1,J$1)+SUMIFS('changes2_based on steps'!$B34:$U34,'changes2_based on steps'!$B$1:$U$1,J$1)</f>
        <v>0</v>
      </c>
      <c r="K34" s="155">
        <f>SUMIFS('recurring2_based on steps'!$B34:$AY34,'recurring2_based on steps'!$B$1:$AY$1,K$1)+SUMIFS('changes2_based on steps'!$B34:$U34,'changes2_based on steps'!$B$1:$U$1,K$1)</f>
        <v>0</v>
      </c>
      <c r="L34" s="155">
        <f>SUMIFS('recurring2_based on steps'!$B34:$AY34,'recurring2_based on steps'!$B$1:$AY$1,L$1)+SUMIFS('changes2_based on steps'!$B34:$U34,'changes2_based on steps'!$B$1:$U$1,L$1)</f>
        <v>0</v>
      </c>
      <c r="M34" s="155">
        <f ca="1">SUMIFS('recurring2_based on steps'!$B34:$AY34,'recurring2_based on steps'!$B$1:$AY$1,M$1)+SUMIFS('changes2_based on steps'!$B34:$U34,'changes2_based on steps'!$B$1:$U$1,M$1)</f>
        <v>0</v>
      </c>
      <c r="N34" s="155">
        <f ca="1">SUMIFS('recurring2_based on steps'!$B34:$AY34,'recurring2_based on steps'!$B$1:$AY$1,N$1)+SUMIFS('changes2_based on steps'!$B34:$U34,'changes2_based on steps'!$B$1:$U$1,N$1)</f>
        <v>0</v>
      </c>
      <c r="O34" s="155">
        <f ca="1">SUMIFS('recurring2_based on steps'!$B34:$AY34,'recurring2_based on steps'!$B$1:$AY$1,O$1)+SUMIFS('changes2_based on steps'!$B34:$U34,'changes2_based on steps'!$B$1:$U$1,O$1)</f>
        <v>0</v>
      </c>
      <c r="P34" s="155">
        <f ca="1">SUMIFS('recurring2_based on steps'!$B34:$AY34,'recurring2_based on steps'!$B$1:$AY$1,P$1)+SUMIFS('changes2_based on steps'!$B34:$U34,'changes2_based on steps'!$B$1:$U$1,P$1)</f>
        <v>0</v>
      </c>
      <c r="Q34" s="155">
        <f>SUMIFS('recurring2_based on steps'!$B34:$AY34,'recurring2_based on steps'!$B$1:$AY$1,Q$1)+SUMIFS('changes2_based on steps'!$B34:$U34,'changes2_based on steps'!$B$1:$U$1,Q$1)</f>
        <v>0</v>
      </c>
      <c r="R34" s="155">
        <f ca="1">SUMIFS('recurring2_based on steps'!$B34:$AY34,'recurring2_based on steps'!$B$1:$AY$1,R$1)+SUMIFS('changes2_based on steps'!$B34:$U34,'changes2_based on steps'!$B$1:$U$1,R$1)</f>
        <v>0</v>
      </c>
      <c r="S34" s="155">
        <f ca="1">SUMIFS('recurring2_based on steps'!$B34:$AY34,'recurring2_based on steps'!$B$1:$AY$1,S$1)+SUMIFS('changes2_based on steps'!$B34:$U34,'changes2_based on steps'!$B$1:$U$1,S$1)</f>
        <v>0</v>
      </c>
      <c r="T34" s="155">
        <f>SUMIFS('recurring2_based on steps'!$B34:$AY34,'recurring2_based on steps'!$B$1:$AY$1,T$1)+SUMIFS('changes2_based on steps'!$B34:$U34,'changes2_based on steps'!$B$1:$U$1,T$1)</f>
        <v>0</v>
      </c>
      <c r="U34" s="155">
        <f ca="1">SUMIFS('recurring2_based on steps'!$B34:$AY34,'recurring2_based on steps'!$B$1:$AY$1,U$1)+SUMIFS('changes2_based on steps'!$B34:$U34,'changes2_based on steps'!$B$1:$U$1,U$1)</f>
        <v>15</v>
      </c>
      <c r="V34" s="155">
        <f>SUMIFS('recurring2_based on steps'!$B34:$AY34,'recurring2_based on steps'!$B$1:$AY$1,V$1)+SUMIFS('changes2_based on steps'!$B34:$U34,'changes2_based on steps'!$B$1:$U$1,V$1)</f>
        <v>0</v>
      </c>
      <c r="W34" s="155">
        <f ca="1">SUMIFS('recurring2_based on steps'!$B34:$AY34,'recurring2_based on steps'!$B$1:$AY$1,W$1)+SUMIFS('changes2_based on steps'!$B34:$U34,'changes2_based on steps'!$B$1:$U$1,W$1)</f>
        <v>0</v>
      </c>
      <c r="X34" s="155">
        <f ca="1">SUMIFS('recurring2_based on steps'!$B34:$AY34,'recurring2_based on steps'!$B$1:$AY$1,X$1)+SUMIFS('changes2_based on steps'!$B34:$U34,'changes2_based on steps'!$B$1:$U$1,X$1)</f>
        <v>0</v>
      </c>
      <c r="Y34" s="155">
        <f ca="1">SUMIFS('recurring2_based on steps'!$B34:$AY34,'recurring2_based on steps'!$B$1:$AY$1,Y$1)+SUMIFS('changes2_based on steps'!$B34:$U34,'changes2_based on steps'!$B$1:$U$1,Y$1)</f>
        <v>0</v>
      </c>
      <c r="Z34" s="155">
        <f>SUMIFS('recurring2_based on steps'!$B34:$AY34,'recurring2_based on steps'!$B$1:$AY$1,Z$1)+SUMIFS('changes2_based on steps'!$B34:$U34,'changes2_based on steps'!$B$1:$U$1,Z$1)</f>
        <v>0</v>
      </c>
      <c r="AA34" s="155">
        <f>SUMIFS('recurring2_based on steps'!$B34:$AY34,'recurring2_based on steps'!$B$1:$AY$1,AA$1)+SUMIFS('changes2_based on steps'!$B34:$U34,'changes2_based on steps'!$B$1:$U$1,AA$1)</f>
        <v>0</v>
      </c>
    </row>
    <row r="35" spans="1:27" x14ac:dyDescent="0.2">
      <c r="A35" s="18">
        <f t="shared" ca="1" si="0"/>
        <v>45721</v>
      </c>
      <c r="B35" s="155">
        <f ca="1">SUMIFS('recurring2_based on steps'!$B35:$AY35,'recurring2_based on steps'!$B$1:$AY$1,B$1)+SUMIFS('changes2_based on steps'!$B35:$U35,'changes2_based on steps'!$B$1:$U$1,B$1)</f>
        <v>0</v>
      </c>
      <c r="C35" s="155">
        <f>SUMIFS('recurring2_based on steps'!$B35:$AY35,'recurring2_based on steps'!$B$1:$AY$1,C$1)+SUMIFS('changes2_based on steps'!$B35:$U35,'changes2_based on steps'!$B$1:$U$1,C$1)</f>
        <v>0</v>
      </c>
      <c r="D35" s="155">
        <f>SUMIFS('recurring2_based on steps'!$B35:$AY35,'recurring2_based on steps'!$B$1:$AY$1,D$1)+SUMIFS('changes2_based on steps'!$B35:$U35,'changes2_based on steps'!$B$1:$U$1,D$1)</f>
        <v>0</v>
      </c>
      <c r="E35" s="155">
        <f>SUMIFS('recurring2_based on steps'!$B35:$AY35,'recurring2_based on steps'!$B$1:$AY$1,E$1)+SUMIFS('changes2_based on steps'!$B35:$U35,'changes2_based on steps'!$B$1:$U$1,E$1)</f>
        <v>0</v>
      </c>
      <c r="F35" s="155">
        <f>SUMIFS('recurring2_based on steps'!$B35:$AY35,'recurring2_based on steps'!$B$1:$AY$1,F$1)+SUMIFS('changes2_based on steps'!$B35:$U35,'changes2_based on steps'!$B$1:$U$1,F$1)</f>
        <v>0</v>
      </c>
      <c r="G35" s="155">
        <f>SUMIFS('recurring2_based on steps'!$B35:$AY35,'recurring2_based on steps'!$B$1:$AY$1,G$1)+SUMIFS('changes2_based on steps'!$B35:$U35,'changes2_based on steps'!$B$1:$U$1,G$1)</f>
        <v>0</v>
      </c>
      <c r="H35" s="155">
        <f ca="1">SUMIFS('recurring2_based on steps'!$B35:$AY35,'recurring2_based on steps'!$B$1:$AY$1,H$1)+SUMIFS('changes2_based on steps'!$B35:$U35,'changes2_based on steps'!$B$1:$U$1,H$1)</f>
        <v>0</v>
      </c>
      <c r="I35" s="155">
        <f>SUMIFS('recurring2_based on steps'!$B35:$AY35,'recurring2_based on steps'!$B$1:$AY$1,I$1)+SUMIFS('changes2_based on steps'!$B35:$U35,'changes2_based on steps'!$B$1:$U$1,I$1)</f>
        <v>0</v>
      </c>
      <c r="J35" s="155">
        <f>SUMIFS('recurring2_based on steps'!$B35:$AY35,'recurring2_based on steps'!$B$1:$AY$1,J$1)+SUMIFS('changes2_based on steps'!$B35:$U35,'changes2_based on steps'!$B$1:$U$1,J$1)</f>
        <v>0</v>
      </c>
      <c r="K35" s="155">
        <f>SUMIFS('recurring2_based on steps'!$B35:$AY35,'recurring2_based on steps'!$B$1:$AY$1,K$1)+SUMIFS('changes2_based on steps'!$B35:$U35,'changes2_based on steps'!$B$1:$U$1,K$1)</f>
        <v>0</v>
      </c>
      <c r="L35" s="155">
        <f>SUMIFS('recurring2_based on steps'!$B35:$AY35,'recurring2_based on steps'!$B$1:$AY$1,L$1)+SUMIFS('changes2_based on steps'!$B35:$U35,'changes2_based on steps'!$B$1:$U$1,L$1)</f>
        <v>0</v>
      </c>
      <c r="M35" s="155">
        <f ca="1">SUMIFS('recurring2_based on steps'!$B35:$AY35,'recurring2_based on steps'!$B$1:$AY$1,M$1)+SUMIFS('changes2_based on steps'!$B35:$U35,'changes2_based on steps'!$B$1:$U$1,M$1)</f>
        <v>0</v>
      </c>
      <c r="N35" s="155">
        <f ca="1">SUMIFS('recurring2_based on steps'!$B35:$AY35,'recurring2_based on steps'!$B$1:$AY$1,N$1)+SUMIFS('changes2_based on steps'!$B35:$U35,'changes2_based on steps'!$B$1:$U$1,N$1)</f>
        <v>0</v>
      </c>
      <c r="O35" s="155">
        <f ca="1">SUMIFS('recurring2_based on steps'!$B35:$AY35,'recurring2_based on steps'!$B$1:$AY$1,O$1)+SUMIFS('changes2_based on steps'!$B35:$U35,'changes2_based on steps'!$B$1:$U$1,O$1)</f>
        <v>0</v>
      </c>
      <c r="P35" s="155">
        <f ca="1">SUMIFS('recurring2_based on steps'!$B35:$AY35,'recurring2_based on steps'!$B$1:$AY$1,P$1)+SUMIFS('changes2_based on steps'!$B35:$U35,'changes2_based on steps'!$B$1:$U$1,P$1)</f>
        <v>0</v>
      </c>
      <c r="Q35" s="155">
        <f>SUMIFS('recurring2_based on steps'!$B35:$AY35,'recurring2_based on steps'!$B$1:$AY$1,Q$1)+SUMIFS('changes2_based on steps'!$B35:$U35,'changes2_based on steps'!$B$1:$U$1,Q$1)</f>
        <v>0</v>
      </c>
      <c r="R35" s="155">
        <f ca="1">SUMIFS('recurring2_based on steps'!$B35:$AY35,'recurring2_based on steps'!$B$1:$AY$1,R$1)+SUMIFS('changes2_based on steps'!$B35:$U35,'changes2_based on steps'!$B$1:$U$1,R$1)</f>
        <v>0</v>
      </c>
      <c r="S35" s="155">
        <f ca="1">SUMIFS('recurring2_based on steps'!$B35:$AY35,'recurring2_based on steps'!$B$1:$AY$1,S$1)+SUMIFS('changes2_based on steps'!$B35:$U35,'changes2_based on steps'!$B$1:$U$1,S$1)</f>
        <v>0</v>
      </c>
      <c r="T35" s="155">
        <f>SUMIFS('recurring2_based on steps'!$B35:$AY35,'recurring2_based on steps'!$B$1:$AY$1,T$1)+SUMIFS('changes2_based on steps'!$B35:$U35,'changes2_based on steps'!$B$1:$U$1,T$1)</f>
        <v>0</v>
      </c>
      <c r="U35" s="155">
        <f ca="1">SUMIFS('recurring2_based on steps'!$B35:$AY35,'recurring2_based on steps'!$B$1:$AY$1,U$1)+SUMIFS('changes2_based on steps'!$B35:$U35,'changes2_based on steps'!$B$1:$U$1,U$1)</f>
        <v>0</v>
      </c>
      <c r="V35" s="155">
        <f>SUMIFS('recurring2_based on steps'!$B35:$AY35,'recurring2_based on steps'!$B$1:$AY$1,V$1)+SUMIFS('changes2_based on steps'!$B35:$U35,'changes2_based on steps'!$B$1:$U$1,V$1)</f>
        <v>0</v>
      </c>
      <c r="W35" s="155">
        <f ca="1">SUMIFS('recurring2_based on steps'!$B35:$AY35,'recurring2_based on steps'!$B$1:$AY$1,W$1)+SUMIFS('changes2_based on steps'!$B35:$U35,'changes2_based on steps'!$B$1:$U$1,W$1)</f>
        <v>0</v>
      </c>
      <c r="X35" s="155">
        <f ca="1">SUMIFS('recurring2_based on steps'!$B35:$AY35,'recurring2_based on steps'!$B$1:$AY$1,X$1)+SUMIFS('changes2_based on steps'!$B35:$U35,'changes2_based on steps'!$B$1:$U$1,X$1)</f>
        <v>0</v>
      </c>
      <c r="Y35" s="155">
        <f ca="1">SUMIFS('recurring2_based on steps'!$B35:$AY35,'recurring2_based on steps'!$B$1:$AY$1,Y$1)+SUMIFS('changes2_based on steps'!$B35:$U35,'changes2_based on steps'!$B$1:$U$1,Y$1)</f>
        <v>0</v>
      </c>
      <c r="Z35" s="155">
        <f>SUMIFS('recurring2_based on steps'!$B35:$AY35,'recurring2_based on steps'!$B$1:$AY$1,Z$1)+SUMIFS('changes2_based on steps'!$B35:$U35,'changes2_based on steps'!$B$1:$U$1,Z$1)</f>
        <v>0</v>
      </c>
      <c r="AA35" s="155">
        <f>SUMIFS('recurring2_based on steps'!$B35:$AY35,'recurring2_based on steps'!$B$1:$AY$1,AA$1)+SUMIFS('changes2_based on steps'!$B35:$U35,'changes2_based on steps'!$B$1:$U$1,AA$1)</f>
        <v>0</v>
      </c>
    </row>
    <row r="36" spans="1:27" x14ac:dyDescent="0.2">
      <c r="A36" s="18">
        <f t="shared" ca="1" si="0"/>
        <v>45722</v>
      </c>
      <c r="B36" s="155">
        <f ca="1">SUMIFS('recurring2_based on steps'!$B36:$AY36,'recurring2_based on steps'!$B$1:$AY$1,B$1)+SUMIFS('changes2_based on steps'!$B36:$U36,'changes2_based on steps'!$B$1:$U$1,B$1)</f>
        <v>0</v>
      </c>
      <c r="C36" s="155">
        <f>SUMIFS('recurring2_based on steps'!$B36:$AY36,'recurring2_based on steps'!$B$1:$AY$1,C$1)+SUMIFS('changes2_based on steps'!$B36:$U36,'changes2_based on steps'!$B$1:$U$1,C$1)</f>
        <v>0</v>
      </c>
      <c r="D36" s="155">
        <f>SUMIFS('recurring2_based on steps'!$B36:$AY36,'recurring2_based on steps'!$B$1:$AY$1,D$1)+SUMIFS('changes2_based on steps'!$B36:$U36,'changes2_based on steps'!$B$1:$U$1,D$1)</f>
        <v>0</v>
      </c>
      <c r="E36" s="155">
        <f>SUMIFS('recurring2_based on steps'!$B36:$AY36,'recurring2_based on steps'!$B$1:$AY$1,E$1)+SUMIFS('changes2_based on steps'!$B36:$U36,'changes2_based on steps'!$B$1:$U$1,E$1)</f>
        <v>0</v>
      </c>
      <c r="F36" s="155">
        <f>SUMIFS('recurring2_based on steps'!$B36:$AY36,'recurring2_based on steps'!$B$1:$AY$1,F$1)+SUMIFS('changes2_based on steps'!$B36:$U36,'changes2_based on steps'!$B$1:$U$1,F$1)</f>
        <v>0</v>
      </c>
      <c r="G36" s="155">
        <f>SUMIFS('recurring2_based on steps'!$B36:$AY36,'recurring2_based on steps'!$B$1:$AY$1,G$1)+SUMIFS('changes2_based on steps'!$B36:$U36,'changes2_based on steps'!$B$1:$U$1,G$1)</f>
        <v>0</v>
      </c>
      <c r="H36" s="155">
        <f ca="1">SUMIFS('recurring2_based on steps'!$B36:$AY36,'recurring2_based on steps'!$B$1:$AY$1,H$1)+SUMIFS('changes2_based on steps'!$B36:$U36,'changes2_based on steps'!$B$1:$U$1,H$1)</f>
        <v>0</v>
      </c>
      <c r="I36" s="155">
        <f>SUMIFS('recurring2_based on steps'!$B36:$AY36,'recurring2_based on steps'!$B$1:$AY$1,I$1)+SUMIFS('changes2_based on steps'!$B36:$U36,'changes2_based on steps'!$B$1:$U$1,I$1)</f>
        <v>0</v>
      </c>
      <c r="J36" s="155">
        <f>SUMIFS('recurring2_based on steps'!$B36:$AY36,'recurring2_based on steps'!$B$1:$AY$1,J$1)+SUMIFS('changes2_based on steps'!$B36:$U36,'changes2_based on steps'!$B$1:$U$1,J$1)</f>
        <v>0</v>
      </c>
      <c r="K36" s="155">
        <f>SUMIFS('recurring2_based on steps'!$B36:$AY36,'recurring2_based on steps'!$B$1:$AY$1,K$1)+SUMIFS('changes2_based on steps'!$B36:$U36,'changes2_based on steps'!$B$1:$U$1,K$1)</f>
        <v>0</v>
      </c>
      <c r="L36" s="155">
        <f>SUMIFS('recurring2_based on steps'!$B36:$AY36,'recurring2_based on steps'!$B$1:$AY$1,L$1)+SUMIFS('changes2_based on steps'!$B36:$U36,'changes2_based on steps'!$B$1:$U$1,L$1)</f>
        <v>0</v>
      </c>
      <c r="M36" s="155">
        <f ca="1">SUMIFS('recurring2_based on steps'!$B36:$AY36,'recurring2_based on steps'!$B$1:$AY$1,M$1)+SUMIFS('changes2_based on steps'!$B36:$U36,'changes2_based on steps'!$B$1:$U$1,M$1)</f>
        <v>0</v>
      </c>
      <c r="N36" s="155">
        <f ca="1">SUMIFS('recurring2_based on steps'!$B36:$AY36,'recurring2_based on steps'!$B$1:$AY$1,N$1)+SUMIFS('changes2_based on steps'!$B36:$U36,'changes2_based on steps'!$B$1:$U$1,N$1)</f>
        <v>0</v>
      </c>
      <c r="O36" s="155">
        <f ca="1">SUMIFS('recurring2_based on steps'!$B36:$AY36,'recurring2_based on steps'!$B$1:$AY$1,O$1)+SUMIFS('changes2_based on steps'!$B36:$U36,'changes2_based on steps'!$B$1:$U$1,O$1)</f>
        <v>0</v>
      </c>
      <c r="P36" s="155">
        <f ca="1">SUMIFS('recurring2_based on steps'!$B36:$AY36,'recurring2_based on steps'!$B$1:$AY$1,P$1)+SUMIFS('changes2_based on steps'!$B36:$U36,'changes2_based on steps'!$B$1:$U$1,P$1)</f>
        <v>0</v>
      </c>
      <c r="Q36" s="155">
        <f>SUMIFS('recurring2_based on steps'!$B36:$AY36,'recurring2_based on steps'!$B$1:$AY$1,Q$1)+SUMIFS('changes2_based on steps'!$B36:$U36,'changes2_based on steps'!$B$1:$U$1,Q$1)</f>
        <v>0</v>
      </c>
      <c r="R36" s="155">
        <f ca="1">SUMIFS('recurring2_based on steps'!$B36:$AY36,'recurring2_based on steps'!$B$1:$AY$1,R$1)+SUMIFS('changes2_based on steps'!$B36:$U36,'changes2_based on steps'!$B$1:$U$1,R$1)</f>
        <v>0</v>
      </c>
      <c r="S36" s="155">
        <f ca="1">SUMIFS('recurring2_based on steps'!$B36:$AY36,'recurring2_based on steps'!$B$1:$AY$1,S$1)+SUMIFS('changes2_based on steps'!$B36:$U36,'changes2_based on steps'!$B$1:$U$1,S$1)</f>
        <v>0</v>
      </c>
      <c r="T36" s="155">
        <f>SUMIFS('recurring2_based on steps'!$B36:$AY36,'recurring2_based on steps'!$B$1:$AY$1,T$1)+SUMIFS('changes2_based on steps'!$B36:$U36,'changes2_based on steps'!$B$1:$U$1,T$1)</f>
        <v>0</v>
      </c>
      <c r="U36" s="155">
        <f ca="1">SUMIFS('recurring2_based on steps'!$B36:$AY36,'recurring2_based on steps'!$B$1:$AY$1,U$1)+SUMIFS('changes2_based on steps'!$B36:$U36,'changes2_based on steps'!$B$1:$U$1,U$1)</f>
        <v>0</v>
      </c>
      <c r="V36" s="155">
        <f>SUMIFS('recurring2_based on steps'!$B36:$AY36,'recurring2_based on steps'!$B$1:$AY$1,V$1)+SUMIFS('changes2_based on steps'!$B36:$U36,'changes2_based on steps'!$B$1:$U$1,V$1)</f>
        <v>0</v>
      </c>
      <c r="W36" s="155">
        <f ca="1">SUMIFS('recurring2_based on steps'!$B36:$AY36,'recurring2_based on steps'!$B$1:$AY$1,W$1)+SUMIFS('changes2_based on steps'!$B36:$U36,'changes2_based on steps'!$B$1:$U$1,W$1)</f>
        <v>0</v>
      </c>
      <c r="X36" s="155">
        <f ca="1">SUMIFS('recurring2_based on steps'!$B36:$AY36,'recurring2_based on steps'!$B$1:$AY$1,X$1)+SUMIFS('changes2_based on steps'!$B36:$U36,'changes2_based on steps'!$B$1:$U$1,X$1)</f>
        <v>0</v>
      </c>
      <c r="Y36" s="155">
        <f ca="1">SUMIFS('recurring2_based on steps'!$B36:$AY36,'recurring2_based on steps'!$B$1:$AY$1,Y$1)+SUMIFS('changes2_based on steps'!$B36:$U36,'changes2_based on steps'!$B$1:$U$1,Y$1)</f>
        <v>0</v>
      </c>
      <c r="Z36" s="155">
        <f>SUMIFS('recurring2_based on steps'!$B36:$AY36,'recurring2_based on steps'!$B$1:$AY$1,Z$1)+SUMIFS('changes2_based on steps'!$B36:$U36,'changes2_based on steps'!$B$1:$U$1,Z$1)</f>
        <v>0</v>
      </c>
      <c r="AA36" s="155">
        <f>SUMIFS('recurring2_based on steps'!$B36:$AY36,'recurring2_based on steps'!$B$1:$AY$1,AA$1)+SUMIFS('changes2_based on steps'!$B36:$U36,'changes2_based on steps'!$B$1:$U$1,AA$1)</f>
        <v>0</v>
      </c>
    </row>
    <row r="37" spans="1:27" x14ac:dyDescent="0.2">
      <c r="A37" s="18">
        <f t="shared" ca="1" si="0"/>
        <v>45723</v>
      </c>
      <c r="B37" s="155">
        <f ca="1">SUMIFS('recurring2_based on steps'!$B37:$AY37,'recurring2_based on steps'!$B$1:$AY$1,B$1)+SUMIFS('changes2_based on steps'!$B37:$U37,'changes2_based on steps'!$B$1:$U$1,B$1)</f>
        <v>4000</v>
      </c>
      <c r="C37" s="155">
        <f>SUMIFS('recurring2_based on steps'!$B37:$AY37,'recurring2_based on steps'!$B$1:$AY$1,C$1)+SUMIFS('changes2_based on steps'!$B37:$U37,'changes2_based on steps'!$B$1:$U$1,C$1)</f>
        <v>0</v>
      </c>
      <c r="D37" s="155">
        <f>SUMIFS('recurring2_based on steps'!$B37:$AY37,'recurring2_based on steps'!$B$1:$AY$1,D$1)+SUMIFS('changes2_based on steps'!$B37:$U37,'changes2_based on steps'!$B$1:$U$1,D$1)</f>
        <v>0</v>
      </c>
      <c r="E37" s="155">
        <f>SUMIFS('recurring2_based on steps'!$B37:$AY37,'recurring2_based on steps'!$B$1:$AY$1,E$1)+SUMIFS('changes2_based on steps'!$B37:$U37,'changes2_based on steps'!$B$1:$U$1,E$1)</f>
        <v>0</v>
      </c>
      <c r="F37" s="155">
        <f>SUMIFS('recurring2_based on steps'!$B37:$AY37,'recurring2_based on steps'!$B$1:$AY$1,F$1)+SUMIFS('changes2_based on steps'!$B37:$U37,'changes2_based on steps'!$B$1:$U$1,F$1)</f>
        <v>0</v>
      </c>
      <c r="G37" s="155">
        <f>SUMIFS('recurring2_based on steps'!$B37:$AY37,'recurring2_based on steps'!$B$1:$AY$1,G$1)+SUMIFS('changes2_based on steps'!$B37:$U37,'changes2_based on steps'!$B$1:$U$1,G$1)</f>
        <v>0</v>
      </c>
      <c r="H37" s="155">
        <f ca="1">SUMIFS('recurring2_based on steps'!$B37:$AY37,'recurring2_based on steps'!$B$1:$AY$1,H$1)+SUMIFS('changes2_based on steps'!$B37:$U37,'changes2_based on steps'!$B$1:$U$1,H$1)</f>
        <v>96</v>
      </c>
      <c r="I37" s="155">
        <f>SUMIFS('recurring2_based on steps'!$B37:$AY37,'recurring2_based on steps'!$B$1:$AY$1,I$1)+SUMIFS('changes2_based on steps'!$B37:$U37,'changes2_based on steps'!$B$1:$U$1,I$1)</f>
        <v>0</v>
      </c>
      <c r="J37" s="155">
        <f>SUMIFS('recurring2_based on steps'!$B37:$AY37,'recurring2_based on steps'!$B$1:$AY$1,J$1)+SUMIFS('changes2_based on steps'!$B37:$U37,'changes2_based on steps'!$B$1:$U$1,J$1)</f>
        <v>0</v>
      </c>
      <c r="K37" s="155">
        <f>SUMIFS('recurring2_based on steps'!$B37:$AY37,'recurring2_based on steps'!$B$1:$AY$1,K$1)+SUMIFS('changes2_based on steps'!$B37:$U37,'changes2_based on steps'!$B$1:$U$1,K$1)</f>
        <v>0</v>
      </c>
      <c r="L37" s="155">
        <f>SUMIFS('recurring2_based on steps'!$B37:$AY37,'recurring2_based on steps'!$B$1:$AY$1,L$1)+SUMIFS('changes2_based on steps'!$B37:$U37,'changes2_based on steps'!$B$1:$U$1,L$1)</f>
        <v>0</v>
      </c>
      <c r="M37" s="155">
        <f ca="1">SUMIFS('recurring2_based on steps'!$B37:$AY37,'recurring2_based on steps'!$B$1:$AY$1,M$1)+SUMIFS('changes2_based on steps'!$B37:$U37,'changes2_based on steps'!$B$1:$U$1,M$1)</f>
        <v>0</v>
      </c>
      <c r="N37" s="155">
        <f ca="1">SUMIFS('recurring2_based on steps'!$B37:$AY37,'recurring2_based on steps'!$B$1:$AY$1,N$1)+SUMIFS('changes2_based on steps'!$B37:$U37,'changes2_based on steps'!$B$1:$U$1,N$1)</f>
        <v>0</v>
      </c>
      <c r="O37" s="155">
        <f ca="1">SUMIFS('recurring2_based on steps'!$B37:$AY37,'recurring2_based on steps'!$B$1:$AY$1,O$1)+SUMIFS('changes2_based on steps'!$B37:$U37,'changes2_based on steps'!$B$1:$U$1,O$1)</f>
        <v>0</v>
      </c>
      <c r="P37" s="155">
        <f ca="1">SUMIFS('recurring2_based on steps'!$B37:$AY37,'recurring2_based on steps'!$B$1:$AY$1,P$1)+SUMIFS('changes2_based on steps'!$B37:$U37,'changes2_based on steps'!$B$1:$U$1,P$1)</f>
        <v>0</v>
      </c>
      <c r="Q37" s="155">
        <f>SUMIFS('recurring2_based on steps'!$B37:$AY37,'recurring2_based on steps'!$B$1:$AY$1,Q$1)+SUMIFS('changes2_based on steps'!$B37:$U37,'changes2_based on steps'!$B$1:$U$1,Q$1)</f>
        <v>0</v>
      </c>
      <c r="R37" s="155">
        <f ca="1">SUMIFS('recurring2_based on steps'!$B37:$AY37,'recurring2_based on steps'!$B$1:$AY$1,R$1)+SUMIFS('changes2_based on steps'!$B37:$U37,'changes2_based on steps'!$B$1:$U$1,R$1)</f>
        <v>0</v>
      </c>
      <c r="S37" s="155">
        <f ca="1">SUMIFS('recurring2_based on steps'!$B37:$AY37,'recurring2_based on steps'!$B$1:$AY$1,S$1)+SUMIFS('changes2_based on steps'!$B37:$U37,'changes2_based on steps'!$B$1:$U$1,S$1)</f>
        <v>0</v>
      </c>
      <c r="T37" s="155">
        <f>SUMIFS('recurring2_based on steps'!$B37:$AY37,'recurring2_based on steps'!$B$1:$AY$1,T$1)+SUMIFS('changes2_based on steps'!$B37:$U37,'changes2_based on steps'!$B$1:$U$1,T$1)</f>
        <v>0</v>
      </c>
      <c r="U37" s="155">
        <f ca="1">SUMIFS('recurring2_based on steps'!$B37:$AY37,'recurring2_based on steps'!$B$1:$AY$1,U$1)+SUMIFS('changes2_based on steps'!$B37:$U37,'changes2_based on steps'!$B$1:$U$1,U$1)</f>
        <v>0</v>
      </c>
      <c r="V37" s="155">
        <f>SUMIFS('recurring2_based on steps'!$B37:$AY37,'recurring2_based on steps'!$B$1:$AY$1,V$1)+SUMIFS('changes2_based on steps'!$B37:$U37,'changes2_based on steps'!$B$1:$U$1,V$1)</f>
        <v>0</v>
      </c>
      <c r="W37" s="155">
        <f ca="1">SUMIFS('recurring2_based on steps'!$B37:$AY37,'recurring2_based on steps'!$B$1:$AY$1,W$1)+SUMIFS('changes2_based on steps'!$B37:$U37,'changes2_based on steps'!$B$1:$U$1,W$1)</f>
        <v>50</v>
      </c>
      <c r="X37" s="155">
        <f ca="1">SUMIFS('recurring2_based on steps'!$B37:$AY37,'recurring2_based on steps'!$B$1:$AY$1,X$1)+SUMIFS('changes2_based on steps'!$B37:$U37,'changes2_based on steps'!$B$1:$U$1,X$1)</f>
        <v>200</v>
      </c>
      <c r="Y37" s="155">
        <f ca="1">SUMIFS('recurring2_based on steps'!$B37:$AY37,'recurring2_based on steps'!$B$1:$AY$1,Y$1)+SUMIFS('changes2_based on steps'!$B37:$U37,'changes2_based on steps'!$B$1:$U$1,Y$1)</f>
        <v>0</v>
      </c>
      <c r="Z37" s="155">
        <f>SUMIFS('recurring2_based on steps'!$B37:$AY37,'recurring2_based on steps'!$B$1:$AY$1,Z$1)+SUMIFS('changes2_based on steps'!$B37:$U37,'changes2_based on steps'!$B$1:$U$1,Z$1)</f>
        <v>0</v>
      </c>
      <c r="AA37" s="155">
        <f>SUMIFS('recurring2_based on steps'!$B37:$AY37,'recurring2_based on steps'!$B$1:$AY$1,AA$1)+SUMIFS('changes2_based on steps'!$B37:$U37,'changes2_based on steps'!$B$1:$U$1,AA$1)</f>
        <v>0</v>
      </c>
    </row>
    <row r="38" spans="1:27" x14ac:dyDescent="0.2">
      <c r="A38" s="18">
        <f t="shared" ca="1" si="0"/>
        <v>45724</v>
      </c>
      <c r="B38" s="155">
        <f ca="1">SUMIFS('recurring2_based on steps'!$B38:$AY38,'recurring2_based on steps'!$B$1:$AY$1,B$1)+SUMIFS('changes2_based on steps'!$B38:$U38,'changes2_based on steps'!$B$1:$U$1,B$1)</f>
        <v>0</v>
      </c>
      <c r="C38" s="155">
        <f>SUMIFS('recurring2_based on steps'!$B38:$AY38,'recurring2_based on steps'!$B$1:$AY$1,C$1)+SUMIFS('changes2_based on steps'!$B38:$U38,'changes2_based on steps'!$B$1:$U$1,C$1)</f>
        <v>0</v>
      </c>
      <c r="D38" s="155">
        <f>SUMIFS('recurring2_based on steps'!$B38:$AY38,'recurring2_based on steps'!$B$1:$AY$1,D$1)+SUMIFS('changes2_based on steps'!$B38:$U38,'changes2_based on steps'!$B$1:$U$1,D$1)</f>
        <v>0</v>
      </c>
      <c r="E38" s="155">
        <f>SUMIFS('recurring2_based on steps'!$B38:$AY38,'recurring2_based on steps'!$B$1:$AY$1,E$1)+SUMIFS('changes2_based on steps'!$B38:$U38,'changes2_based on steps'!$B$1:$U$1,E$1)</f>
        <v>0</v>
      </c>
      <c r="F38" s="155">
        <f>SUMIFS('recurring2_based on steps'!$B38:$AY38,'recurring2_based on steps'!$B$1:$AY$1,F$1)+SUMIFS('changes2_based on steps'!$B38:$U38,'changes2_based on steps'!$B$1:$U$1,F$1)</f>
        <v>0</v>
      </c>
      <c r="G38" s="155">
        <f>SUMIFS('recurring2_based on steps'!$B38:$AY38,'recurring2_based on steps'!$B$1:$AY$1,G$1)+SUMIFS('changes2_based on steps'!$B38:$U38,'changes2_based on steps'!$B$1:$U$1,G$1)</f>
        <v>0</v>
      </c>
      <c r="H38" s="155">
        <f ca="1">SUMIFS('recurring2_based on steps'!$B38:$AY38,'recurring2_based on steps'!$B$1:$AY$1,H$1)+SUMIFS('changes2_based on steps'!$B38:$U38,'changes2_based on steps'!$B$1:$U$1,H$1)</f>
        <v>0</v>
      </c>
      <c r="I38" s="155">
        <f>SUMIFS('recurring2_based on steps'!$B38:$AY38,'recurring2_based on steps'!$B$1:$AY$1,I$1)+SUMIFS('changes2_based on steps'!$B38:$U38,'changes2_based on steps'!$B$1:$U$1,I$1)</f>
        <v>0</v>
      </c>
      <c r="J38" s="155">
        <f>SUMIFS('recurring2_based on steps'!$B38:$AY38,'recurring2_based on steps'!$B$1:$AY$1,J$1)+SUMIFS('changes2_based on steps'!$B38:$U38,'changes2_based on steps'!$B$1:$U$1,J$1)</f>
        <v>0</v>
      </c>
      <c r="K38" s="155">
        <f>SUMIFS('recurring2_based on steps'!$B38:$AY38,'recurring2_based on steps'!$B$1:$AY$1,K$1)+SUMIFS('changes2_based on steps'!$B38:$U38,'changes2_based on steps'!$B$1:$U$1,K$1)</f>
        <v>0</v>
      </c>
      <c r="L38" s="155">
        <f>SUMIFS('recurring2_based on steps'!$B38:$AY38,'recurring2_based on steps'!$B$1:$AY$1,L$1)+SUMIFS('changes2_based on steps'!$B38:$U38,'changes2_based on steps'!$B$1:$U$1,L$1)</f>
        <v>0</v>
      </c>
      <c r="M38" s="155">
        <f ca="1">SUMIFS('recurring2_based on steps'!$B38:$AY38,'recurring2_based on steps'!$B$1:$AY$1,M$1)+SUMIFS('changes2_based on steps'!$B38:$U38,'changes2_based on steps'!$B$1:$U$1,M$1)</f>
        <v>0</v>
      </c>
      <c r="N38" s="155">
        <f ca="1">SUMIFS('recurring2_based on steps'!$B38:$AY38,'recurring2_based on steps'!$B$1:$AY$1,N$1)+SUMIFS('changes2_based on steps'!$B38:$U38,'changes2_based on steps'!$B$1:$U$1,N$1)</f>
        <v>0</v>
      </c>
      <c r="O38" s="155">
        <f ca="1">SUMIFS('recurring2_based on steps'!$B38:$AY38,'recurring2_based on steps'!$B$1:$AY$1,O$1)+SUMIFS('changes2_based on steps'!$B38:$U38,'changes2_based on steps'!$B$1:$U$1,O$1)</f>
        <v>0</v>
      </c>
      <c r="P38" s="155">
        <f ca="1">SUMIFS('recurring2_based on steps'!$B38:$AY38,'recurring2_based on steps'!$B$1:$AY$1,P$1)+SUMIFS('changes2_based on steps'!$B38:$U38,'changes2_based on steps'!$B$1:$U$1,P$1)</f>
        <v>0</v>
      </c>
      <c r="Q38" s="155">
        <f>SUMIFS('recurring2_based on steps'!$B38:$AY38,'recurring2_based on steps'!$B$1:$AY$1,Q$1)+SUMIFS('changes2_based on steps'!$B38:$U38,'changes2_based on steps'!$B$1:$U$1,Q$1)</f>
        <v>0</v>
      </c>
      <c r="R38" s="155">
        <f ca="1">SUMIFS('recurring2_based on steps'!$B38:$AY38,'recurring2_based on steps'!$B$1:$AY$1,R$1)+SUMIFS('changes2_based on steps'!$B38:$U38,'changes2_based on steps'!$B$1:$U$1,R$1)</f>
        <v>100</v>
      </c>
      <c r="S38" s="155">
        <f ca="1">SUMIFS('recurring2_based on steps'!$B38:$AY38,'recurring2_based on steps'!$B$1:$AY$1,S$1)+SUMIFS('changes2_based on steps'!$B38:$U38,'changes2_based on steps'!$B$1:$U$1,S$1)</f>
        <v>100</v>
      </c>
      <c r="T38" s="155">
        <f>SUMIFS('recurring2_based on steps'!$B38:$AY38,'recurring2_based on steps'!$B$1:$AY$1,T$1)+SUMIFS('changes2_based on steps'!$B38:$U38,'changes2_based on steps'!$B$1:$U$1,T$1)</f>
        <v>0</v>
      </c>
      <c r="U38" s="155">
        <f ca="1">SUMIFS('recurring2_based on steps'!$B38:$AY38,'recurring2_based on steps'!$B$1:$AY$1,U$1)+SUMIFS('changes2_based on steps'!$B38:$U38,'changes2_based on steps'!$B$1:$U$1,U$1)</f>
        <v>0</v>
      </c>
      <c r="V38" s="155">
        <f>SUMIFS('recurring2_based on steps'!$B38:$AY38,'recurring2_based on steps'!$B$1:$AY$1,V$1)+SUMIFS('changes2_based on steps'!$B38:$U38,'changes2_based on steps'!$B$1:$U$1,V$1)</f>
        <v>0</v>
      </c>
      <c r="W38" s="155">
        <f ca="1">SUMIFS('recurring2_based on steps'!$B38:$AY38,'recurring2_based on steps'!$B$1:$AY$1,W$1)+SUMIFS('changes2_based on steps'!$B38:$U38,'changes2_based on steps'!$B$1:$U$1,W$1)</f>
        <v>0</v>
      </c>
      <c r="X38" s="155">
        <f ca="1">SUMIFS('recurring2_based on steps'!$B38:$AY38,'recurring2_based on steps'!$B$1:$AY$1,X$1)+SUMIFS('changes2_based on steps'!$B38:$U38,'changes2_based on steps'!$B$1:$U$1,X$1)</f>
        <v>0</v>
      </c>
      <c r="Y38" s="155">
        <f ca="1">SUMIFS('recurring2_based on steps'!$B38:$AY38,'recurring2_based on steps'!$B$1:$AY$1,Y$1)+SUMIFS('changes2_based on steps'!$B38:$U38,'changes2_based on steps'!$B$1:$U$1,Y$1)</f>
        <v>0</v>
      </c>
      <c r="Z38" s="155">
        <f>SUMIFS('recurring2_based on steps'!$B38:$AY38,'recurring2_based on steps'!$B$1:$AY$1,Z$1)+SUMIFS('changes2_based on steps'!$B38:$U38,'changes2_based on steps'!$B$1:$U$1,Z$1)</f>
        <v>0</v>
      </c>
      <c r="AA38" s="155">
        <f>SUMIFS('recurring2_based on steps'!$B38:$AY38,'recurring2_based on steps'!$B$1:$AY$1,AA$1)+SUMIFS('changes2_based on steps'!$B38:$U38,'changes2_based on steps'!$B$1:$U$1,AA$1)</f>
        <v>0</v>
      </c>
    </row>
    <row r="39" spans="1:27" x14ac:dyDescent="0.2">
      <c r="A39" s="18">
        <f t="shared" ca="1" si="0"/>
        <v>45725</v>
      </c>
      <c r="B39" s="155">
        <f ca="1">SUMIFS('recurring2_based on steps'!$B39:$AY39,'recurring2_based on steps'!$B$1:$AY$1,B$1)+SUMIFS('changes2_based on steps'!$B39:$U39,'changes2_based on steps'!$B$1:$U$1,B$1)</f>
        <v>0</v>
      </c>
      <c r="C39" s="155">
        <f>SUMIFS('recurring2_based on steps'!$B39:$AY39,'recurring2_based on steps'!$B$1:$AY$1,C$1)+SUMIFS('changes2_based on steps'!$B39:$U39,'changes2_based on steps'!$B$1:$U$1,C$1)</f>
        <v>0</v>
      </c>
      <c r="D39" s="155">
        <f>SUMIFS('recurring2_based on steps'!$B39:$AY39,'recurring2_based on steps'!$B$1:$AY$1,D$1)+SUMIFS('changes2_based on steps'!$B39:$U39,'changes2_based on steps'!$B$1:$U$1,D$1)</f>
        <v>0</v>
      </c>
      <c r="E39" s="155">
        <f>SUMIFS('recurring2_based on steps'!$B39:$AY39,'recurring2_based on steps'!$B$1:$AY$1,E$1)+SUMIFS('changes2_based on steps'!$B39:$U39,'changes2_based on steps'!$B$1:$U$1,E$1)</f>
        <v>0</v>
      </c>
      <c r="F39" s="155">
        <f>SUMIFS('recurring2_based on steps'!$B39:$AY39,'recurring2_based on steps'!$B$1:$AY$1,F$1)+SUMIFS('changes2_based on steps'!$B39:$U39,'changes2_based on steps'!$B$1:$U$1,F$1)</f>
        <v>0</v>
      </c>
      <c r="G39" s="155">
        <f>SUMIFS('recurring2_based on steps'!$B39:$AY39,'recurring2_based on steps'!$B$1:$AY$1,G$1)+SUMIFS('changes2_based on steps'!$B39:$U39,'changes2_based on steps'!$B$1:$U$1,G$1)</f>
        <v>0</v>
      </c>
      <c r="H39" s="155">
        <f ca="1">SUMIFS('recurring2_based on steps'!$B39:$AY39,'recurring2_based on steps'!$B$1:$AY$1,H$1)+SUMIFS('changes2_based on steps'!$B39:$U39,'changes2_based on steps'!$B$1:$U$1,H$1)</f>
        <v>0</v>
      </c>
      <c r="I39" s="155">
        <f>SUMIFS('recurring2_based on steps'!$B39:$AY39,'recurring2_based on steps'!$B$1:$AY$1,I$1)+SUMIFS('changes2_based on steps'!$B39:$U39,'changes2_based on steps'!$B$1:$U$1,I$1)</f>
        <v>0</v>
      </c>
      <c r="J39" s="155">
        <f>SUMIFS('recurring2_based on steps'!$B39:$AY39,'recurring2_based on steps'!$B$1:$AY$1,J$1)+SUMIFS('changes2_based on steps'!$B39:$U39,'changes2_based on steps'!$B$1:$U$1,J$1)</f>
        <v>0</v>
      </c>
      <c r="K39" s="155">
        <f>SUMIFS('recurring2_based on steps'!$B39:$AY39,'recurring2_based on steps'!$B$1:$AY$1,K$1)+SUMIFS('changes2_based on steps'!$B39:$U39,'changes2_based on steps'!$B$1:$U$1,K$1)</f>
        <v>0</v>
      </c>
      <c r="L39" s="155">
        <f>SUMIFS('recurring2_based on steps'!$B39:$AY39,'recurring2_based on steps'!$B$1:$AY$1,L$1)+SUMIFS('changes2_based on steps'!$B39:$U39,'changes2_based on steps'!$B$1:$U$1,L$1)</f>
        <v>0</v>
      </c>
      <c r="M39" s="155">
        <f ca="1">SUMIFS('recurring2_based on steps'!$B39:$AY39,'recurring2_based on steps'!$B$1:$AY$1,M$1)+SUMIFS('changes2_based on steps'!$B39:$U39,'changes2_based on steps'!$B$1:$U$1,M$1)</f>
        <v>0</v>
      </c>
      <c r="N39" s="155">
        <f ca="1">SUMIFS('recurring2_based on steps'!$B39:$AY39,'recurring2_based on steps'!$B$1:$AY$1,N$1)+SUMIFS('changes2_based on steps'!$B39:$U39,'changes2_based on steps'!$B$1:$U$1,N$1)</f>
        <v>50</v>
      </c>
      <c r="O39" s="155">
        <f ca="1">SUMIFS('recurring2_based on steps'!$B39:$AY39,'recurring2_based on steps'!$B$1:$AY$1,O$1)+SUMIFS('changes2_based on steps'!$B39:$U39,'changes2_based on steps'!$B$1:$U$1,O$1)</f>
        <v>0</v>
      </c>
      <c r="P39" s="155">
        <f ca="1">SUMIFS('recurring2_based on steps'!$B39:$AY39,'recurring2_based on steps'!$B$1:$AY$1,P$1)+SUMIFS('changes2_based on steps'!$B39:$U39,'changes2_based on steps'!$B$1:$U$1,P$1)</f>
        <v>0</v>
      </c>
      <c r="Q39" s="155">
        <f>SUMIFS('recurring2_based on steps'!$B39:$AY39,'recurring2_based on steps'!$B$1:$AY$1,Q$1)+SUMIFS('changes2_based on steps'!$B39:$U39,'changes2_based on steps'!$B$1:$U$1,Q$1)</f>
        <v>0</v>
      </c>
      <c r="R39" s="155">
        <f ca="1">SUMIFS('recurring2_based on steps'!$B39:$AY39,'recurring2_based on steps'!$B$1:$AY$1,R$1)+SUMIFS('changes2_based on steps'!$B39:$U39,'changes2_based on steps'!$B$1:$U$1,R$1)</f>
        <v>0</v>
      </c>
      <c r="S39" s="155">
        <f ca="1">SUMIFS('recurring2_based on steps'!$B39:$AY39,'recurring2_based on steps'!$B$1:$AY$1,S$1)+SUMIFS('changes2_based on steps'!$B39:$U39,'changes2_based on steps'!$B$1:$U$1,S$1)</f>
        <v>100</v>
      </c>
      <c r="T39" s="155">
        <f>SUMIFS('recurring2_based on steps'!$B39:$AY39,'recurring2_based on steps'!$B$1:$AY$1,T$1)+SUMIFS('changes2_based on steps'!$B39:$U39,'changes2_based on steps'!$B$1:$U$1,T$1)</f>
        <v>0</v>
      </c>
      <c r="U39" s="155">
        <f ca="1">SUMIFS('recurring2_based on steps'!$B39:$AY39,'recurring2_based on steps'!$B$1:$AY$1,U$1)+SUMIFS('changes2_based on steps'!$B39:$U39,'changes2_based on steps'!$B$1:$U$1,U$1)</f>
        <v>0</v>
      </c>
      <c r="V39" s="155">
        <f>SUMIFS('recurring2_based on steps'!$B39:$AY39,'recurring2_based on steps'!$B$1:$AY$1,V$1)+SUMIFS('changes2_based on steps'!$B39:$U39,'changes2_based on steps'!$B$1:$U$1,V$1)</f>
        <v>0</v>
      </c>
      <c r="W39" s="155">
        <f ca="1">SUMIFS('recurring2_based on steps'!$B39:$AY39,'recurring2_based on steps'!$B$1:$AY$1,W$1)+SUMIFS('changes2_based on steps'!$B39:$U39,'changes2_based on steps'!$B$1:$U$1,W$1)</f>
        <v>0</v>
      </c>
      <c r="X39" s="155">
        <f ca="1">SUMIFS('recurring2_based on steps'!$B39:$AY39,'recurring2_based on steps'!$B$1:$AY$1,X$1)+SUMIFS('changes2_based on steps'!$B39:$U39,'changes2_based on steps'!$B$1:$U$1,X$1)</f>
        <v>0</v>
      </c>
      <c r="Y39" s="155">
        <f ca="1">SUMIFS('recurring2_based on steps'!$B39:$AY39,'recurring2_based on steps'!$B$1:$AY$1,Y$1)+SUMIFS('changes2_based on steps'!$B39:$U39,'changes2_based on steps'!$B$1:$U$1,Y$1)</f>
        <v>0</v>
      </c>
      <c r="Z39" s="155">
        <f>SUMIFS('recurring2_based on steps'!$B39:$AY39,'recurring2_based on steps'!$B$1:$AY$1,Z$1)+SUMIFS('changes2_based on steps'!$B39:$U39,'changes2_based on steps'!$B$1:$U$1,Z$1)</f>
        <v>0</v>
      </c>
      <c r="AA39" s="155">
        <f>SUMIFS('recurring2_based on steps'!$B39:$AY39,'recurring2_based on steps'!$B$1:$AY$1,AA$1)+SUMIFS('changes2_based on steps'!$B39:$U39,'changes2_based on steps'!$B$1:$U$1,AA$1)</f>
        <v>0</v>
      </c>
    </row>
    <row r="40" spans="1:27" x14ac:dyDescent="0.2">
      <c r="A40" s="18">
        <f t="shared" ca="1" si="0"/>
        <v>45726</v>
      </c>
      <c r="B40" s="155">
        <f ca="1">SUMIFS('recurring2_based on steps'!$B40:$AY40,'recurring2_based on steps'!$B$1:$AY$1,B$1)+SUMIFS('changes2_based on steps'!$B40:$U40,'changes2_based on steps'!$B$1:$U$1,B$1)</f>
        <v>0</v>
      </c>
      <c r="C40" s="155">
        <f>SUMIFS('recurring2_based on steps'!$B40:$AY40,'recurring2_based on steps'!$B$1:$AY$1,C$1)+SUMIFS('changes2_based on steps'!$B40:$U40,'changes2_based on steps'!$B$1:$U$1,C$1)</f>
        <v>0</v>
      </c>
      <c r="D40" s="155">
        <f>SUMIFS('recurring2_based on steps'!$B40:$AY40,'recurring2_based on steps'!$B$1:$AY$1,D$1)+SUMIFS('changes2_based on steps'!$B40:$U40,'changes2_based on steps'!$B$1:$U$1,D$1)</f>
        <v>0</v>
      </c>
      <c r="E40" s="155">
        <f>SUMIFS('recurring2_based on steps'!$B40:$AY40,'recurring2_based on steps'!$B$1:$AY$1,E$1)+SUMIFS('changes2_based on steps'!$B40:$U40,'changes2_based on steps'!$B$1:$U$1,E$1)</f>
        <v>0</v>
      </c>
      <c r="F40" s="155">
        <f>SUMIFS('recurring2_based on steps'!$B40:$AY40,'recurring2_based on steps'!$B$1:$AY$1,F$1)+SUMIFS('changes2_based on steps'!$B40:$U40,'changes2_based on steps'!$B$1:$U$1,F$1)</f>
        <v>0</v>
      </c>
      <c r="G40" s="155">
        <f>SUMIFS('recurring2_based on steps'!$B40:$AY40,'recurring2_based on steps'!$B$1:$AY$1,G$1)+SUMIFS('changes2_based on steps'!$B40:$U40,'changes2_based on steps'!$B$1:$U$1,G$1)</f>
        <v>0</v>
      </c>
      <c r="H40" s="155">
        <f ca="1">SUMIFS('recurring2_based on steps'!$B40:$AY40,'recurring2_based on steps'!$B$1:$AY$1,H$1)+SUMIFS('changes2_based on steps'!$B40:$U40,'changes2_based on steps'!$B$1:$U$1,H$1)</f>
        <v>0</v>
      </c>
      <c r="I40" s="155">
        <f>SUMIFS('recurring2_based on steps'!$B40:$AY40,'recurring2_based on steps'!$B$1:$AY$1,I$1)+SUMIFS('changes2_based on steps'!$B40:$U40,'changes2_based on steps'!$B$1:$U$1,I$1)</f>
        <v>0</v>
      </c>
      <c r="J40" s="155">
        <f>SUMIFS('recurring2_based on steps'!$B40:$AY40,'recurring2_based on steps'!$B$1:$AY$1,J$1)+SUMIFS('changes2_based on steps'!$B40:$U40,'changes2_based on steps'!$B$1:$U$1,J$1)</f>
        <v>0</v>
      </c>
      <c r="K40" s="155">
        <f>SUMIFS('recurring2_based on steps'!$B40:$AY40,'recurring2_based on steps'!$B$1:$AY$1,K$1)+SUMIFS('changes2_based on steps'!$B40:$U40,'changes2_based on steps'!$B$1:$U$1,K$1)</f>
        <v>0</v>
      </c>
      <c r="L40" s="155">
        <f>SUMIFS('recurring2_based on steps'!$B40:$AY40,'recurring2_based on steps'!$B$1:$AY$1,L$1)+SUMIFS('changes2_based on steps'!$B40:$U40,'changes2_based on steps'!$B$1:$U$1,L$1)</f>
        <v>0</v>
      </c>
      <c r="M40" s="155">
        <f ca="1">SUMIFS('recurring2_based on steps'!$B40:$AY40,'recurring2_based on steps'!$B$1:$AY$1,M$1)+SUMIFS('changes2_based on steps'!$B40:$U40,'changes2_based on steps'!$B$1:$U$1,M$1)</f>
        <v>0</v>
      </c>
      <c r="N40" s="155">
        <f ca="1">SUMIFS('recurring2_based on steps'!$B40:$AY40,'recurring2_based on steps'!$B$1:$AY$1,N$1)+SUMIFS('changes2_based on steps'!$B40:$U40,'changes2_based on steps'!$B$1:$U$1,N$1)</f>
        <v>0</v>
      </c>
      <c r="O40" s="155">
        <f ca="1">SUMIFS('recurring2_based on steps'!$B40:$AY40,'recurring2_based on steps'!$B$1:$AY$1,O$1)+SUMIFS('changes2_based on steps'!$B40:$U40,'changes2_based on steps'!$B$1:$U$1,O$1)</f>
        <v>0</v>
      </c>
      <c r="P40" s="155">
        <f ca="1">SUMIFS('recurring2_based on steps'!$B40:$AY40,'recurring2_based on steps'!$B$1:$AY$1,P$1)+SUMIFS('changes2_based on steps'!$B40:$U40,'changes2_based on steps'!$B$1:$U$1,P$1)</f>
        <v>0</v>
      </c>
      <c r="Q40" s="155">
        <f>SUMIFS('recurring2_based on steps'!$B40:$AY40,'recurring2_based on steps'!$B$1:$AY$1,Q$1)+SUMIFS('changes2_based on steps'!$B40:$U40,'changes2_based on steps'!$B$1:$U$1,Q$1)</f>
        <v>0</v>
      </c>
      <c r="R40" s="155">
        <f ca="1">SUMIFS('recurring2_based on steps'!$B40:$AY40,'recurring2_based on steps'!$B$1:$AY$1,R$1)+SUMIFS('changes2_based on steps'!$B40:$U40,'changes2_based on steps'!$B$1:$U$1,R$1)</f>
        <v>0</v>
      </c>
      <c r="S40" s="155">
        <f ca="1">SUMIFS('recurring2_based on steps'!$B40:$AY40,'recurring2_based on steps'!$B$1:$AY$1,S$1)+SUMIFS('changes2_based on steps'!$B40:$U40,'changes2_based on steps'!$B$1:$U$1,S$1)</f>
        <v>0</v>
      </c>
      <c r="T40" s="155">
        <f>SUMIFS('recurring2_based on steps'!$B40:$AY40,'recurring2_based on steps'!$B$1:$AY$1,T$1)+SUMIFS('changes2_based on steps'!$B40:$U40,'changes2_based on steps'!$B$1:$U$1,T$1)</f>
        <v>0</v>
      </c>
      <c r="U40" s="155">
        <f ca="1">SUMIFS('recurring2_based on steps'!$B40:$AY40,'recurring2_based on steps'!$B$1:$AY$1,U$1)+SUMIFS('changes2_based on steps'!$B40:$U40,'changes2_based on steps'!$B$1:$U$1,U$1)</f>
        <v>0</v>
      </c>
      <c r="V40" s="155">
        <f>SUMIFS('recurring2_based on steps'!$B40:$AY40,'recurring2_based on steps'!$B$1:$AY$1,V$1)+SUMIFS('changes2_based on steps'!$B40:$U40,'changes2_based on steps'!$B$1:$U$1,V$1)</f>
        <v>0</v>
      </c>
      <c r="W40" s="155">
        <f ca="1">SUMIFS('recurring2_based on steps'!$B40:$AY40,'recurring2_based on steps'!$B$1:$AY$1,W$1)+SUMIFS('changes2_based on steps'!$B40:$U40,'changes2_based on steps'!$B$1:$U$1,W$1)</f>
        <v>0</v>
      </c>
      <c r="X40" s="155">
        <f ca="1">SUMIFS('recurring2_based on steps'!$B40:$AY40,'recurring2_based on steps'!$B$1:$AY$1,X$1)+SUMIFS('changes2_based on steps'!$B40:$U40,'changes2_based on steps'!$B$1:$U$1,X$1)</f>
        <v>0</v>
      </c>
      <c r="Y40" s="155">
        <f ca="1">SUMIFS('recurring2_based on steps'!$B40:$AY40,'recurring2_based on steps'!$B$1:$AY$1,Y$1)+SUMIFS('changes2_based on steps'!$B40:$U40,'changes2_based on steps'!$B$1:$U$1,Y$1)</f>
        <v>0</v>
      </c>
      <c r="Z40" s="155">
        <f>SUMIFS('recurring2_based on steps'!$B40:$AY40,'recurring2_based on steps'!$B$1:$AY$1,Z$1)+SUMIFS('changes2_based on steps'!$B40:$U40,'changes2_based on steps'!$B$1:$U$1,Z$1)</f>
        <v>0</v>
      </c>
      <c r="AA40" s="155">
        <f>SUMIFS('recurring2_based on steps'!$B40:$AY40,'recurring2_based on steps'!$B$1:$AY$1,AA$1)+SUMIFS('changes2_based on steps'!$B40:$U40,'changes2_based on steps'!$B$1:$U$1,AA$1)</f>
        <v>0</v>
      </c>
    </row>
    <row r="41" spans="1:27" x14ac:dyDescent="0.2">
      <c r="A41" s="18">
        <f t="shared" ca="1" si="0"/>
        <v>45727</v>
      </c>
      <c r="B41" s="155">
        <f ca="1">SUMIFS('recurring2_based on steps'!$B41:$AY41,'recurring2_based on steps'!$B$1:$AY$1,B$1)+SUMIFS('changes2_based on steps'!$B41:$U41,'changes2_based on steps'!$B$1:$U$1,B$1)</f>
        <v>0</v>
      </c>
      <c r="C41" s="155">
        <f>SUMIFS('recurring2_based on steps'!$B41:$AY41,'recurring2_based on steps'!$B$1:$AY$1,C$1)+SUMIFS('changes2_based on steps'!$B41:$U41,'changes2_based on steps'!$B$1:$U$1,C$1)</f>
        <v>0</v>
      </c>
      <c r="D41" s="155">
        <f>SUMIFS('recurring2_based on steps'!$B41:$AY41,'recurring2_based on steps'!$B$1:$AY$1,D$1)+SUMIFS('changes2_based on steps'!$B41:$U41,'changes2_based on steps'!$B$1:$U$1,D$1)</f>
        <v>0</v>
      </c>
      <c r="E41" s="155">
        <f>SUMIFS('recurring2_based on steps'!$B41:$AY41,'recurring2_based on steps'!$B$1:$AY$1,E$1)+SUMIFS('changes2_based on steps'!$B41:$U41,'changes2_based on steps'!$B$1:$U$1,E$1)</f>
        <v>0</v>
      </c>
      <c r="F41" s="155">
        <f>SUMIFS('recurring2_based on steps'!$B41:$AY41,'recurring2_based on steps'!$B$1:$AY$1,F$1)+SUMIFS('changes2_based on steps'!$B41:$U41,'changes2_based on steps'!$B$1:$U$1,F$1)</f>
        <v>0</v>
      </c>
      <c r="G41" s="155">
        <f>SUMIFS('recurring2_based on steps'!$B41:$AY41,'recurring2_based on steps'!$B$1:$AY$1,G$1)+SUMIFS('changes2_based on steps'!$B41:$U41,'changes2_based on steps'!$B$1:$U$1,G$1)</f>
        <v>0</v>
      </c>
      <c r="H41" s="155">
        <f ca="1">SUMIFS('recurring2_based on steps'!$B41:$AY41,'recurring2_based on steps'!$B$1:$AY$1,H$1)+SUMIFS('changes2_based on steps'!$B41:$U41,'changes2_based on steps'!$B$1:$U$1,H$1)</f>
        <v>0</v>
      </c>
      <c r="I41" s="155">
        <f>SUMIFS('recurring2_based on steps'!$B41:$AY41,'recurring2_based on steps'!$B$1:$AY$1,I$1)+SUMIFS('changes2_based on steps'!$B41:$U41,'changes2_based on steps'!$B$1:$U$1,I$1)</f>
        <v>0</v>
      </c>
      <c r="J41" s="155">
        <f>SUMIFS('recurring2_based on steps'!$B41:$AY41,'recurring2_based on steps'!$B$1:$AY$1,J$1)+SUMIFS('changes2_based on steps'!$B41:$U41,'changes2_based on steps'!$B$1:$U$1,J$1)</f>
        <v>0</v>
      </c>
      <c r="K41" s="155">
        <f>SUMIFS('recurring2_based on steps'!$B41:$AY41,'recurring2_based on steps'!$B$1:$AY$1,K$1)+SUMIFS('changes2_based on steps'!$B41:$U41,'changes2_based on steps'!$B$1:$U$1,K$1)</f>
        <v>0</v>
      </c>
      <c r="L41" s="155">
        <f>SUMIFS('recurring2_based on steps'!$B41:$AY41,'recurring2_based on steps'!$B$1:$AY$1,L$1)+SUMIFS('changes2_based on steps'!$B41:$U41,'changes2_based on steps'!$B$1:$U$1,L$1)</f>
        <v>0</v>
      </c>
      <c r="M41" s="155">
        <f ca="1">SUMIFS('recurring2_based on steps'!$B41:$AY41,'recurring2_based on steps'!$B$1:$AY$1,M$1)+SUMIFS('changes2_based on steps'!$B41:$U41,'changes2_based on steps'!$B$1:$U$1,M$1)</f>
        <v>0</v>
      </c>
      <c r="N41" s="155">
        <f ca="1">SUMIFS('recurring2_based on steps'!$B41:$AY41,'recurring2_based on steps'!$B$1:$AY$1,N$1)+SUMIFS('changes2_based on steps'!$B41:$U41,'changes2_based on steps'!$B$1:$U$1,N$1)</f>
        <v>0</v>
      </c>
      <c r="O41" s="155">
        <f ca="1">SUMIFS('recurring2_based on steps'!$B41:$AY41,'recurring2_based on steps'!$B$1:$AY$1,O$1)+SUMIFS('changes2_based on steps'!$B41:$U41,'changes2_based on steps'!$B$1:$U$1,O$1)</f>
        <v>0</v>
      </c>
      <c r="P41" s="155">
        <f ca="1">SUMIFS('recurring2_based on steps'!$B41:$AY41,'recurring2_based on steps'!$B$1:$AY$1,P$1)+SUMIFS('changes2_based on steps'!$B41:$U41,'changes2_based on steps'!$B$1:$U$1,P$1)</f>
        <v>0</v>
      </c>
      <c r="Q41" s="155">
        <f>SUMIFS('recurring2_based on steps'!$B41:$AY41,'recurring2_based on steps'!$B$1:$AY$1,Q$1)+SUMIFS('changes2_based on steps'!$B41:$U41,'changes2_based on steps'!$B$1:$U$1,Q$1)</f>
        <v>0</v>
      </c>
      <c r="R41" s="155">
        <f ca="1">SUMIFS('recurring2_based on steps'!$B41:$AY41,'recurring2_based on steps'!$B$1:$AY$1,R$1)+SUMIFS('changes2_based on steps'!$B41:$U41,'changes2_based on steps'!$B$1:$U$1,R$1)</f>
        <v>0</v>
      </c>
      <c r="S41" s="155">
        <f ca="1">SUMIFS('recurring2_based on steps'!$B41:$AY41,'recurring2_based on steps'!$B$1:$AY$1,S$1)+SUMIFS('changes2_based on steps'!$B41:$U41,'changes2_based on steps'!$B$1:$U$1,S$1)</f>
        <v>0</v>
      </c>
      <c r="T41" s="155">
        <f>SUMIFS('recurring2_based on steps'!$B41:$AY41,'recurring2_based on steps'!$B$1:$AY$1,T$1)+SUMIFS('changes2_based on steps'!$B41:$U41,'changes2_based on steps'!$B$1:$U$1,T$1)</f>
        <v>0</v>
      </c>
      <c r="U41" s="155">
        <f ca="1">SUMIFS('recurring2_based on steps'!$B41:$AY41,'recurring2_based on steps'!$B$1:$AY$1,U$1)+SUMIFS('changes2_based on steps'!$B41:$U41,'changes2_based on steps'!$B$1:$U$1,U$1)</f>
        <v>0</v>
      </c>
      <c r="V41" s="155">
        <f>SUMIFS('recurring2_based on steps'!$B41:$AY41,'recurring2_based on steps'!$B$1:$AY$1,V$1)+SUMIFS('changes2_based on steps'!$B41:$U41,'changes2_based on steps'!$B$1:$U$1,V$1)</f>
        <v>0</v>
      </c>
      <c r="W41" s="155">
        <f ca="1">SUMIFS('recurring2_based on steps'!$B41:$AY41,'recurring2_based on steps'!$B$1:$AY$1,W$1)+SUMIFS('changes2_based on steps'!$B41:$U41,'changes2_based on steps'!$B$1:$U$1,W$1)</f>
        <v>0</v>
      </c>
      <c r="X41" s="155">
        <f ca="1">SUMIFS('recurring2_based on steps'!$B41:$AY41,'recurring2_based on steps'!$B$1:$AY$1,X$1)+SUMIFS('changes2_based on steps'!$B41:$U41,'changes2_based on steps'!$B$1:$U$1,X$1)</f>
        <v>0</v>
      </c>
      <c r="Y41" s="155">
        <f ca="1">SUMIFS('recurring2_based on steps'!$B41:$AY41,'recurring2_based on steps'!$B$1:$AY$1,Y$1)+SUMIFS('changes2_based on steps'!$B41:$U41,'changes2_based on steps'!$B$1:$U$1,Y$1)</f>
        <v>0</v>
      </c>
      <c r="Z41" s="155">
        <f>SUMIFS('recurring2_based on steps'!$B41:$AY41,'recurring2_based on steps'!$B$1:$AY$1,Z$1)+SUMIFS('changes2_based on steps'!$B41:$U41,'changes2_based on steps'!$B$1:$U$1,Z$1)</f>
        <v>0</v>
      </c>
      <c r="AA41" s="155">
        <f>SUMIFS('recurring2_based on steps'!$B41:$AY41,'recurring2_based on steps'!$B$1:$AY$1,AA$1)+SUMIFS('changes2_based on steps'!$B41:$U41,'changes2_based on steps'!$B$1:$U$1,AA$1)</f>
        <v>0</v>
      </c>
    </row>
    <row r="42" spans="1:27" x14ac:dyDescent="0.2">
      <c r="A42" s="18">
        <f t="shared" ca="1" si="0"/>
        <v>45728</v>
      </c>
      <c r="B42" s="155">
        <f ca="1">SUMIFS('recurring2_based on steps'!$B42:$AY42,'recurring2_based on steps'!$B$1:$AY$1,B$1)+SUMIFS('changes2_based on steps'!$B42:$U42,'changes2_based on steps'!$B$1:$U$1,B$1)</f>
        <v>100</v>
      </c>
      <c r="C42" s="155">
        <f>SUMIFS('recurring2_based on steps'!$B42:$AY42,'recurring2_based on steps'!$B$1:$AY$1,C$1)+SUMIFS('changes2_based on steps'!$B42:$U42,'changes2_based on steps'!$B$1:$U$1,C$1)</f>
        <v>0</v>
      </c>
      <c r="D42" s="155">
        <f>SUMIFS('recurring2_based on steps'!$B42:$AY42,'recurring2_based on steps'!$B$1:$AY$1,D$1)+SUMIFS('changes2_based on steps'!$B42:$U42,'changes2_based on steps'!$B$1:$U$1,D$1)</f>
        <v>0</v>
      </c>
      <c r="E42" s="155">
        <f>SUMIFS('recurring2_based on steps'!$B42:$AY42,'recurring2_based on steps'!$B$1:$AY$1,E$1)+SUMIFS('changes2_based on steps'!$B42:$U42,'changes2_based on steps'!$B$1:$U$1,E$1)</f>
        <v>0</v>
      </c>
      <c r="F42" s="155">
        <f>SUMIFS('recurring2_based on steps'!$B42:$AY42,'recurring2_based on steps'!$B$1:$AY$1,F$1)+SUMIFS('changes2_based on steps'!$B42:$U42,'changes2_based on steps'!$B$1:$U$1,F$1)</f>
        <v>0</v>
      </c>
      <c r="G42" s="155">
        <f>SUMIFS('recurring2_based on steps'!$B42:$AY42,'recurring2_based on steps'!$B$1:$AY$1,G$1)+SUMIFS('changes2_based on steps'!$B42:$U42,'changes2_based on steps'!$B$1:$U$1,G$1)</f>
        <v>0</v>
      </c>
      <c r="H42" s="155">
        <f ca="1">SUMIFS('recurring2_based on steps'!$B42:$AY42,'recurring2_based on steps'!$B$1:$AY$1,H$1)+SUMIFS('changes2_based on steps'!$B42:$U42,'changes2_based on steps'!$B$1:$U$1,H$1)</f>
        <v>0</v>
      </c>
      <c r="I42" s="155">
        <f>SUMIFS('recurring2_based on steps'!$B42:$AY42,'recurring2_based on steps'!$B$1:$AY$1,I$1)+SUMIFS('changes2_based on steps'!$B42:$U42,'changes2_based on steps'!$B$1:$U$1,I$1)</f>
        <v>0</v>
      </c>
      <c r="J42" s="155">
        <f>SUMIFS('recurring2_based on steps'!$B42:$AY42,'recurring2_based on steps'!$B$1:$AY$1,J$1)+SUMIFS('changes2_based on steps'!$B42:$U42,'changes2_based on steps'!$B$1:$U$1,J$1)</f>
        <v>0</v>
      </c>
      <c r="K42" s="155">
        <f>SUMIFS('recurring2_based on steps'!$B42:$AY42,'recurring2_based on steps'!$B$1:$AY$1,K$1)+SUMIFS('changes2_based on steps'!$B42:$U42,'changes2_based on steps'!$B$1:$U$1,K$1)</f>
        <v>0</v>
      </c>
      <c r="L42" s="155">
        <f>SUMIFS('recurring2_based on steps'!$B42:$AY42,'recurring2_based on steps'!$B$1:$AY$1,L$1)+SUMIFS('changes2_based on steps'!$B42:$U42,'changes2_based on steps'!$B$1:$U$1,L$1)</f>
        <v>0</v>
      </c>
      <c r="M42" s="155">
        <f ca="1">SUMIFS('recurring2_based on steps'!$B42:$AY42,'recurring2_based on steps'!$B$1:$AY$1,M$1)+SUMIFS('changes2_based on steps'!$B42:$U42,'changes2_based on steps'!$B$1:$U$1,M$1)</f>
        <v>0</v>
      </c>
      <c r="N42" s="155">
        <f ca="1">SUMIFS('recurring2_based on steps'!$B42:$AY42,'recurring2_based on steps'!$B$1:$AY$1,N$1)+SUMIFS('changes2_based on steps'!$B42:$U42,'changes2_based on steps'!$B$1:$U$1,N$1)</f>
        <v>0</v>
      </c>
      <c r="O42" s="155">
        <f ca="1">SUMIFS('recurring2_based on steps'!$B42:$AY42,'recurring2_based on steps'!$B$1:$AY$1,O$1)+SUMIFS('changes2_based on steps'!$B42:$U42,'changes2_based on steps'!$B$1:$U$1,O$1)</f>
        <v>0</v>
      </c>
      <c r="P42" s="155">
        <f ca="1">SUMIFS('recurring2_based on steps'!$B42:$AY42,'recurring2_based on steps'!$B$1:$AY$1,P$1)+SUMIFS('changes2_based on steps'!$B42:$U42,'changes2_based on steps'!$B$1:$U$1,P$1)</f>
        <v>0</v>
      </c>
      <c r="Q42" s="155">
        <f>SUMIFS('recurring2_based on steps'!$B42:$AY42,'recurring2_based on steps'!$B$1:$AY$1,Q$1)+SUMIFS('changes2_based on steps'!$B42:$U42,'changes2_based on steps'!$B$1:$U$1,Q$1)</f>
        <v>0</v>
      </c>
      <c r="R42" s="155">
        <f ca="1">SUMIFS('recurring2_based on steps'!$B42:$AY42,'recurring2_based on steps'!$B$1:$AY$1,R$1)+SUMIFS('changes2_based on steps'!$B42:$U42,'changes2_based on steps'!$B$1:$U$1,R$1)</f>
        <v>0</v>
      </c>
      <c r="S42" s="155">
        <f ca="1">SUMIFS('recurring2_based on steps'!$B42:$AY42,'recurring2_based on steps'!$B$1:$AY$1,S$1)+SUMIFS('changes2_based on steps'!$B42:$U42,'changes2_based on steps'!$B$1:$U$1,S$1)</f>
        <v>0</v>
      </c>
      <c r="T42" s="155">
        <f>SUMIFS('recurring2_based on steps'!$B42:$AY42,'recurring2_based on steps'!$B$1:$AY$1,T$1)+SUMIFS('changes2_based on steps'!$B42:$U42,'changes2_based on steps'!$B$1:$U$1,T$1)</f>
        <v>0</v>
      </c>
      <c r="U42" s="155">
        <f ca="1">SUMIFS('recurring2_based on steps'!$B42:$AY42,'recurring2_based on steps'!$B$1:$AY$1,U$1)+SUMIFS('changes2_based on steps'!$B42:$U42,'changes2_based on steps'!$B$1:$U$1,U$1)</f>
        <v>0</v>
      </c>
      <c r="V42" s="155">
        <f>SUMIFS('recurring2_based on steps'!$B42:$AY42,'recurring2_based on steps'!$B$1:$AY$1,V$1)+SUMIFS('changes2_based on steps'!$B42:$U42,'changes2_based on steps'!$B$1:$U$1,V$1)</f>
        <v>0</v>
      </c>
      <c r="W42" s="155">
        <f ca="1">SUMIFS('recurring2_based on steps'!$B42:$AY42,'recurring2_based on steps'!$B$1:$AY$1,W$1)+SUMIFS('changes2_based on steps'!$B42:$U42,'changes2_based on steps'!$B$1:$U$1,W$1)</f>
        <v>0</v>
      </c>
      <c r="X42" s="155">
        <f ca="1">SUMIFS('recurring2_based on steps'!$B42:$AY42,'recurring2_based on steps'!$B$1:$AY$1,X$1)+SUMIFS('changes2_based on steps'!$B42:$U42,'changes2_based on steps'!$B$1:$U$1,X$1)</f>
        <v>0</v>
      </c>
      <c r="Y42" s="155">
        <f ca="1">SUMIFS('recurring2_based on steps'!$B42:$AY42,'recurring2_based on steps'!$B$1:$AY$1,Y$1)+SUMIFS('changes2_based on steps'!$B42:$U42,'changes2_based on steps'!$B$1:$U$1,Y$1)</f>
        <v>0</v>
      </c>
      <c r="Z42" s="155">
        <f>SUMIFS('recurring2_based on steps'!$B42:$AY42,'recurring2_based on steps'!$B$1:$AY$1,Z$1)+SUMIFS('changes2_based on steps'!$B42:$U42,'changes2_based on steps'!$B$1:$U$1,Z$1)</f>
        <v>0</v>
      </c>
      <c r="AA42" s="155">
        <f>SUMIFS('recurring2_based on steps'!$B42:$AY42,'recurring2_based on steps'!$B$1:$AY$1,AA$1)+SUMIFS('changes2_based on steps'!$B42:$U42,'changes2_based on steps'!$B$1:$U$1,AA$1)</f>
        <v>0</v>
      </c>
    </row>
    <row r="43" spans="1:27" x14ac:dyDescent="0.2">
      <c r="A43" s="18">
        <f t="shared" ca="1" si="0"/>
        <v>45729</v>
      </c>
      <c r="B43" s="155">
        <f ca="1">SUMIFS('recurring2_based on steps'!$B43:$AY43,'recurring2_based on steps'!$B$1:$AY$1,B$1)+SUMIFS('changes2_based on steps'!$B43:$U43,'changes2_based on steps'!$B$1:$U$1,B$1)</f>
        <v>0</v>
      </c>
      <c r="C43" s="155">
        <f>SUMIFS('recurring2_based on steps'!$B43:$AY43,'recurring2_based on steps'!$B$1:$AY$1,C$1)+SUMIFS('changes2_based on steps'!$B43:$U43,'changes2_based on steps'!$B$1:$U$1,C$1)</f>
        <v>0</v>
      </c>
      <c r="D43" s="155">
        <f>SUMIFS('recurring2_based on steps'!$B43:$AY43,'recurring2_based on steps'!$B$1:$AY$1,D$1)+SUMIFS('changes2_based on steps'!$B43:$U43,'changes2_based on steps'!$B$1:$U$1,D$1)</f>
        <v>0</v>
      </c>
      <c r="E43" s="155">
        <f>SUMIFS('recurring2_based on steps'!$B43:$AY43,'recurring2_based on steps'!$B$1:$AY$1,E$1)+SUMIFS('changes2_based on steps'!$B43:$U43,'changes2_based on steps'!$B$1:$U$1,E$1)</f>
        <v>0</v>
      </c>
      <c r="F43" s="155">
        <f>SUMIFS('recurring2_based on steps'!$B43:$AY43,'recurring2_based on steps'!$B$1:$AY$1,F$1)+SUMIFS('changes2_based on steps'!$B43:$U43,'changes2_based on steps'!$B$1:$U$1,F$1)</f>
        <v>0</v>
      </c>
      <c r="G43" s="155">
        <f>SUMIFS('recurring2_based on steps'!$B43:$AY43,'recurring2_based on steps'!$B$1:$AY$1,G$1)+SUMIFS('changes2_based on steps'!$B43:$U43,'changes2_based on steps'!$B$1:$U$1,G$1)</f>
        <v>0</v>
      </c>
      <c r="H43" s="155">
        <f ca="1">SUMIFS('recurring2_based on steps'!$B43:$AY43,'recurring2_based on steps'!$B$1:$AY$1,H$1)+SUMIFS('changes2_based on steps'!$B43:$U43,'changes2_based on steps'!$B$1:$U$1,H$1)</f>
        <v>0</v>
      </c>
      <c r="I43" s="155">
        <f>SUMIFS('recurring2_based on steps'!$B43:$AY43,'recurring2_based on steps'!$B$1:$AY$1,I$1)+SUMIFS('changes2_based on steps'!$B43:$U43,'changes2_based on steps'!$B$1:$U$1,I$1)</f>
        <v>0</v>
      </c>
      <c r="J43" s="155">
        <f>SUMIFS('recurring2_based on steps'!$B43:$AY43,'recurring2_based on steps'!$B$1:$AY$1,J$1)+SUMIFS('changes2_based on steps'!$B43:$U43,'changes2_based on steps'!$B$1:$U$1,J$1)</f>
        <v>0</v>
      </c>
      <c r="K43" s="155">
        <f>SUMIFS('recurring2_based on steps'!$B43:$AY43,'recurring2_based on steps'!$B$1:$AY$1,K$1)+SUMIFS('changes2_based on steps'!$B43:$U43,'changes2_based on steps'!$B$1:$U$1,K$1)</f>
        <v>0</v>
      </c>
      <c r="L43" s="155">
        <f>SUMIFS('recurring2_based on steps'!$B43:$AY43,'recurring2_based on steps'!$B$1:$AY$1,L$1)+SUMIFS('changes2_based on steps'!$B43:$U43,'changes2_based on steps'!$B$1:$U$1,L$1)</f>
        <v>0</v>
      </c>
      <c r="M43" s="155">
        <f ca="1">SUMIFS('recurring2_based on steps'!$B43:$AY43,'recurring2_based on steps'!$B$1:$AY$1,M$1)+SUMIFS('changes2_based on steps'!$B43:$U43,'changes2_based on steps'!$B$1:$U$1,M$1)</f>
        <v>0</v>
      </c>
      <c r="N43" s="155">
        <f ca="1">SUMIFS('recurring2_based on steps'!$B43:$AY43,'recurring2_based on steps'!$B$1:$AY$1,N$1)+SUMIFS('changes2_based on steps'!$B43:$U43,'changes2_based on steps'!$B$1:$U$1,N$1)</f>
        <v>0</v>
      </c>
      <c r="O43" s="155">
        <f ca="1">SUMIFS('recurring2_based on steps'!$B43:$AY43,'recurring2_based on steps'!$B$1:$AY$1,O$1)+SUMIFS('changes2_based on steps'!$B43:$U43,'changes2_based on steps'!$B$1:$U$1,O$1)</f>
        <v>0</v>
      </c>
      <c r="P43" s="155">
        <f ca="1">SUMIFS('recurring2_based on steps'!$B43:$AY43,'recurring2_based on steps'!$B$1:$AY$1,P$1)+SUMIFS('changes2_based on steps'!$B43:$U43,'changes2_based on steps'!$B$1:$U$1,P$1)</f>
        <v>0</v>
      </c>
      <c r="Q43" s="155">
        <f>SUMIFS('recurring2_based on steps'!$B43:$AY43,'recurring2_based on steps'!$B$1:$AY$1,Q$1)+SUMIFS('changes2_based on steps'!$B43:$U43,'changes2_based on steps'!$B$1:$U$1,Q$1)</f>
        <v>0</v>
      </c>
      <c r="R43" s="155">
        <f ca="1">SUMIFS('recurring2_based on steps'!$B43:$AY43,'recurring2_based on steps'!$B$1:$AY$1,R$1)+SUMIFS('changes2_based on steps'!$B43:$U43,'changes2_based on steps'!$B$1:$U$1,R$1)</f>
        <v>0</v>
      </c>
      <c r="S43" s="155">
        <f ca="1">SUMIFS('recurring2_based on steps'!$B43:$AY43,'recurring2_based on steps'!$B$1:$AY$1,S$1)+SUMIFS('changes2_based on steps'!$B43:$U43,'changes2_based on steps'!$B$1:$U$1,S$1)</f>
        <v>0</v>
      </c>
      <c r="T43" s="155">
        <f>SUMIFS('recurring2_based on steps'!$B43:$AY43,'recurring2_based on steps'!$B$1:$AY$1,T$1)+SUMIFS('changes2_based on steps'!$B43:$U43,'changes2_based on steps'!$B$1:$U$1,T$1)</f>
        <v>0</v>
      </c>
      <c r="U43" s="155">
        <f ca="1">SUMIFS('recurring2_based on steps'!$B43:$AY43,'recurring2_based on steps'!$B$1:$AY$1,U$1)+SUMIFS('changes2_based on steps'!$B43:$U43,'changes2_based on steps'!$B$1:$U$1,U$1)</f>
        <v>0</v>
      </c>
      <c r="V43" s="155">
        <f>SUMIFS('recurring2_based on steps'!$B43:$AY43,'recurring2_based on steps'!$B$1:$AY$1,V$1)+SUMIFS('changes2_based on steps'!$B43:$U43,'changes2_based on steps'!$B$1:$U$1,V$1)</f>
        <v>0</v>
      </c>
      <c r="W43" s="155">
        <f ca="1">SUMIFS('recurring2_based on steps'!$B43:$AY43,'recurring2_based on steps'!$B$1:$AY$1,W$1)+SUMIFS('changes2_based on steps'!$B43:$U43,'changes2_based on steps'!$B$1:$U$1,W$1)</f>
        <v>0</v>
      </c>
      <c r="X43" s="155">
        <f ca="1">SUMIFS('recurring2_based on steps'!$B43:$AY43,'recurring2_based on steps'!$B$1:$AY$1,X$1)+SUMIFS('changes2_based on steps'!$B43:$U43,'changes2_based on steps'!$B$1:$U$1,X$1)</f>
        <v>0</v>
      </c>
      <c r="Y43" s="155">
        <f ca="1">SUMIFS('recurring2_based on steps'!$B43:$AY43,'recurring2_based on steps'!$B$1:$AY$1,Y$1)+SUMIFS('changes2_based on steps'!$B43:$U43,'changes2_based on steps'!$B$1:$U$1,Y$1)</f>
        <v>0</v>
      </c>
      <c r="Z43" s="155">
        <f>SUMIFS('recurring2_based on steps'!$B43:$AY43,'recurring2_based on steps'!$B$1:$AY$1,Z$1)+SUMIFS('changes2_based on steps'!$B43:$U43,'changes2_based on steps'!$B$1:$U$1,Z$1)</f>
        <v>0</v>
      </c>
      <c r="AA43" s="155">
        <f>SUMIFS('recurring2_based on steps'!$B43:$AY43,'recurring2_based on steps'!$B$1:$AY$1,AA$1)+SUMIFS('changes2_based on steps'!$B43:$U43,'changes2_based on steps'!$B$1:$U$1,AA$1)</f>
        <v>0</v>
      </c>
    </row>
    <row r="44" spans="1:27" x14ac:dyDescent="0.2">
      <c r="A44" s="18">
        <f t="shared" ca="1" si="0"/>
        <v>45730</v>
      </c>
      <c r="B44" s="155">
        <f ca="1">SUMIFS('recurring2_based on steps'!$B44:$AY44,'recurring2_based on steps'!$B$1:$AY$1,B$1)+SUMIFS('changes2_based on steps'!$B44:$U44,'changes2_based on steps'!$B$1:$U$1,B$1)</f>
        <v>0</v>
      </c>
      <c r="C44" s="155">
        <f>SUMIFS('recurring2_based on steps'!$B44:$AY44,'recurring2_based on steps'!$B$1:$AY$1,C$1)+SUMIFS('changes2_based on steps'!$B44:$U44,'changes2_based on steps'!$B$1:$U$1,C$1)</f>
        <v>0</v>
      </c>
      <c r="D44" s="155">
        <f>SUMIFS('recurring2_based on steps'!$B44:$AY44,'recurring2_based on steps'!$B$1:$AY$1,D$1)+SUMIFS('changes2_based on steps'!$B44:$U44,'changes2_based on steps'!$B$1:$U$1,D$1)</f>
        <v>0</v>
      </c>
      <c r="E44" s="155">
        <f>SUMIFS('recurring2_based on steps'!$B44:$AY44,'recurring2_based on steps'!$B$1:$AY$1,E$1)+SUMIFS('changes2_based on steps'!$B44:$U44,'changes2_based on steps'!$B$1:$U$1,E$1)</f>
        <v>0</v>
      </c>
      <c r="F44" s="155">
        <f>SUMIFS('recurring2_based on steps'!$B44:$AY44,'recurring2_based on steps'!$B$1:$AY$1,F$1)+SUMIFS('changes2_based on steps'!$B44:$U44,'changes2_based on steps'!$B$1:$U$1,F$1)</f>
        <v>0</v>
      </c>
      <c r="G44" s="155">
        <f>SUMIFS('recurring2_based on steps'!$B44:$AY44,'recurring2_based on steps'!$B$1:$AY$1,G$1)+SUMIFS('changes2_based on steps'!$B44:$U44,'changes2_based on steps'!$B$1:$U$1,G$1)</f>
        <v>0</v>
      </c>
      <c r="H44" s="155">
        <f ca="1">SUMIFS('recurring2_based on steps'!$B44:$AY44,'recurring2_based on steps'!$B$1:$AY$1,H$1)+SUMIFS('changes2_based on steps'!$B44:$U44,'changes2_based on steps'!$B$1:$U$1,H$1)</f>
        <v>0</v>
      </c>
      <c r="I44" s="155">
        <f>SUMIFS('recurring2_based on steps'!$B44:$AY44,'recurring2_based on steps'!$B$1:$AY$1,I$1)+SUMIFS('changes2_based on steps'!$B44:$U44,'changes2_based on steps'!$B$1:$U$1,I$1)</f>
        <v>0</v>
      </c>
      <c r="J44" s="155">
        <f>SUMIFS('recurring2_based on steps'!$B44:$AY44,'recurring2_based on steps'!$B$1:$AY$1,J$1)+SUMIFS('changes2_based on steps'!$B44:$U44,'changes2_based on steps'!$B$1:$U$1,J$1)</f>
        <v>0</v>
      </c>
      <c r="K44" s="155">
        <f>SUMIFS('recurring2_based on steps'!$B44:$AY44,'recurring2_based on steps'!$B$1:$AY$1,K$1)+SUMIFS('changes2_based on steps'!$B44:$U44,'changes2_based on steps'!$B$1:$U$1,K$1)</f>
        <v>0</v>
      </c>
      <c r="L44" s="155">
        <f>SUMIFS('recurring2_based on steps'!$B44:$AY44,'recurring2_based on steps'!$B$1:$AY$1,L$1)+SUMIFS('changes2_based on steps'!$B44:$U44,'changes2_based on steps'!$B$1:$U$1,L$1)</f>
        <v>0</v>
      </c>
      <c r="M44" s="155">
        <f ca="1">SUMIFS('recurring2_based on steps'!$B44:$AY44,'recurring2_based on steps'!$B$1:$AY$1,M$1)+SUMIFS('changes2_based on steps'!$B44:$U44,'changes2_based on steps'!$B$1:$U$1,M$1)</f>
        <v>0</v>
      </c>
      <c r="N44" s="155">
        <f ca="1">SUMIFS('recurring2_based on steps'!$B44:$AY44,'recurring2_based on steps'!$B$1:$AY$1,N$1)+SUMIFS('changes2_based on steps'!$B44:$U44,'changes2_based on steps'!$B$1:$U$1,N$1)</f>
        <v>0</v>
      </c>
      <c r="O44" s="155">
        <f ca="1">SUMIFS('recurring2_based on steps'!$B44:$AY44,'recurring2_based on steps'!$B$1:$AY$1,O$1)+SUMIFS('changes2_based on steps'!$B44:$U44,'changes2_based on steps'!$B$1:$U$1,O$1)</f>
        <v>0</v>
      </c>
      <c r="P44" s="155">
        <f ca="1">SUMIFS('recurring2_based on steps'!$B44:$AY44,'recurring2_based on steps'!$B$1:$AY$1,P$1)+SUMIFS('changes2_based on steps'!$B44:$U44,'changes2_based on steps'!$B$1:$U$1,P$1)</f>
        <v>0</v>
      </c>
      <c r="Q44" s="155">
        <f>SUMIFS('recurring2_based on steps'!$B44:$AY44,'recurring2_based on steps'!$B$1:$AY$1,Q$1)+SUMIFS('changes2_based on steps'!$B44:$U44,'changes2_based on steps'!$B$1:$U$1,Q$1)</f>
        <v>0</v>
      </c>
      <c r="R44" s="155">
        <f ca="1">SUMIFS('recurring2_based on steps'!$B44:$AY44,'recurring2_based on steps'!$B$1:$AY$1,R$1)+SUMIFS('changes2_based on steps'!$B44:$U44,'changes2_based on steps'!$B$1:$U$1,R$1)</f>
        <v>0</v>
      </c>
      <c r="S44" s="155">
        <f ca="1">SUMIFS('recurring2_based on steps'!$B44:$AY44,'recurring2_based on steps'!$B$1:$AY$1,S$1)+SUMIFS('changes2_based on steps'!$B44:$U44,'changes2_based on steps'!$B$1:$U$1,S$1)</f>
        <v>0</v>
      </c>
      <c r="T44" s="155">
        <f>SUMIFS('recurring2_based on steps'!$B44:$AY44,'recurring2_based on steps'!$B$1:$AY$1,T$1)+SUMIFS('changes2_based on steps'!$B44:$U44,'changes2_based on steps'!$B$1:$U$1,T$1)</f>
        <v>0</v>
      </c>
      <c r="U44" s="155">
        <f ca="1">SUMIFS('recurring2_based on steps'!$B44:$AY44,'recurring2_based on steps'!$B$1:$AY$1,U$1)+SUMIFS('changes2_based on steps'!$B44:$U44,'changes2_based on steps'!$B$1:$U$1,U$1)</f>
        <v>0</v>
      </c>
      <c r="V44" s="155">
        <f>SUMIFS('recurring2_based on steps'!$B44:$AY44,'recurring2_based on steps'!$B$1:$AY$1,V$1)+SUMIFS('changes2_based on steps'!$B44:$U44,'changes2_based on steps'!$B$1:$U$1,V$1)</f>
        <v>0</v>
      </c>
      <c r="W44" s="155">
        <f ca="1">SUMIFS('recurring2_based on steps'!$B44:$AY44,'recurring2_based on steps'!$B$1:$AY$1,W$1)+SUMIFS('changes2_based on steps'!$B44:$U44,'changes2_based on steps'!$B$1:$U$1,W$1)</f>
        <v>0</v>
      </c>
      <c r="X44" s="155">
        <f ca="1">SUMIFS('recurring2_based on steps'!$B44:$AY44,'recurring2_based on steps'!$B$1:$AY$1,X$1)+SUMIFS('changes2_based on steps'!$B44:$U44,'changes2_based on steps'!$B$1:$U$1,X$1)</f>
        <v>0</v>
      </c>
      <c r="Y44" s="155">
        <f ca="1">SUMIFS('recurring2_based on steps'!$B44:$AY44,'recurring2_based on steps'!$B$1:$AY$1,Y$1)+SUMIFS('changes2_based on steps'!$B44:$U44,'changes2_based on steps'!$B$1:$U$1,Y$1)</f>
        <v>0</v>
      </c>
      <c r="Z44" s="155">
        <f>SUMIFS('recurring2_based on steps'!$B44:$AY44,'recurring2_based on steps'!$B$1:$AY$1,Z$1)+SUMIFS('changes2_based on steps'!$B44:$U44,'changes2_based on steps'!$B$1:$U$1,Z$1)</f>
        <v>0</v>
      </c>
      <c r="AA44" s="155">
        <f>SUMIFS('recurring2_based on steps'!$B44:$AY44,'recurring2_based on steps'!$B$1:$AY$1,AA$1)+SUMIFS('changes2_based on steps'!$B44:$U44,'changes2_based on steps'!$B$1:$U$1,AA$1)</f>
        <v>0</v>
      </c>
    </row>
    <row r="45" spans="1:27" x14ac:dyDescent="0.2">
      <c r="A45" s="18">
        <f t="shared" ca="1" si="0"/>
        <v>45731</v>
      </c>
      <c r="B45" s="155">
        <f ca="1">SUMIFS('recurring2_based on steps'!$B45:$AY45,'recurring2_based on steps'!$B$1:$AY$1,B$1)+SUMIFS('changes2_based on steps'!$B45:$U45,'changes2_based on steps'!$B$1:$U$1,B$1)</f>
        <v>0</v>
      </c>
      <c r="C45" s="155">
        <f>SUMIFS('recurring2_based on steps'!$B45:$AY45,'recurring2_based on steps'!$B$1:$AY$1,C$1)+SUMIFS('changes2_based on steps'!$B45:$U45,'changes2_based on steps'!$B$1:$U$1,C$1)</f>
        <v>0</v>
      </c>
      <c r="D45" s="155">
        <f>SUMIFS('recurring2_based on steps'!$B45:$AY45,'recurring2_based on steps'!$B$1:$AY$1,D$1)+SUMIFS('changes2_based on steps'!$B45:$U45,'changes2_based on steps'!$B$1:$U$1,D$1)</f>
        <v>0</v>
      </c>
      <c r="E45" s="155">
        <f>SUMIFS('recurring2_based on steps'!$B45:$AY45,'recurring2_based on steps'!$B$1:$AY$1,E$1)+SUMIFS('changes2_based on steps'!$B45:$U45,'changes2_based on steps'!$B$1:$U$1,E$1)</f>
        <v>0</v>
      </c>
      <c r="F45" s="155">
        <f>SUMIFS('recurring2_based on steps'!$B45:$AY45,'recurring2_based on steps'!$B$1:$AY$1,F$1)+SUMIFS('changes2_based on steps'!$B45:$U45,'changes2_based on steps'!$B$1:$U$1,F$1)</f>
        <v>0</v>
      </c>
      <c r="G45" s="155">
        <f>SUMIFS('recurring2_based on steps'!$B45:$AY45,'recurring2_based on steps'!$B$1:$AY$1,G$1)+SUMIFS('changes2_based on steps'!$B45:$U45,'changes2_based on steps'!$B$1:$U$1,G$1)</f>
        <v>0</v>
      </c>
      <c r="H45" s="155">
        <f ca="1">SUMIFS('recurring2_based on steps'!$B45:$AY45,'recurring2_based on steps'!$B$1:$AY$1,H$1)+SUMIFS('changes2_based on steps'!$B45:$U45,'changes2_based on steps'!$B$1:$U$1,H$1)</f>
        <v>0</v>
      </c>
      <c r="I45" s="155">
        <f>SUMIFS('recurring2_based on steps'!$B45:$AY45,'recurring2_based on steps'!$B$1:$AY$1,I$1)+SUMIFS('changes2_based on steps'!$B45:$U45,'changes2_based on steps'!$B$1:$U$1,I$1)</f>
        <v>0</v>
      </c>
      <c r="J45" s="155">
        <f>SUMIFS('recurring2_based on steps'!$B45:$AY45,'recurring2_based on steps'!$B$1:$AY$1,J$1)+SUMIFS('changes2_based on steps'!$B45:$U45,'changes2_based on steps'!$B$1:$U$1,J$1)</f>
        <v>0</v>
      </c>
      <c r="K45" s="155">
        <f>SUMIFS('recurring2_based on steps'!$B45:$AY45,'recurring2_based on steps'!$B$1:$AY$1,K$1)+SUMIFS('changes2_based on steps'!$B45:$U45,'changes2_based on steps'!$B$1:$U$1,K$1)</f>
        <v>0</v>
      </c>
      <c r="L45" s="155">
        <f>SUMIFS('recurring2_based on steps'!$B45:$AY45,'recurring2_based on steps'!$B$1:$AY$1,L$1)+SUMIFS('changes2_based on steps'!$B45:$U45,'changes2_based on steps'!$B$1:$U$1,L$1)</f>
        <v>0</v>
      </c>
      <c r="M45" s="155">
        <f ca="1">SUMIFS('recurring2_based on steps'!$B45:$AY45,'recurring2_based on steps'!$B$1:$AY$1,M$1)+SUMIFS('changes2_based on steps'!$B45:$U45,'changes2_based on steps'!$B$1:$U$1,M$1)</f>
        <v>0</v>
      </c>
      <c r="N45" s="155">
        <f ca="1">SUMIFS('recurring2_based on steps'!$B45:$AY45,'recurring2_based on steps'!$B$1:$AY$1,N$1)+SUMIFS('changes2_based on steps'!$B45:$U45,'changes2_based on steps'!$B$1:$U$1,N$1)</f>
        <v>0</v>
      </c>
      <c r="O45" s="155">
        <f ca="1">SUMIFS('recurring2_based on steps'!$B45:$AY45,'recurring2_based on steps'!$B$1:$AY$1,O$1)+SUMIFS('changes2_based on steps'!$B45:$U45,'changes2_based on steps'!$B$1:$U$1,O$1)</f>
        <v>0</v>
      </c>
      <c r="P45" s="155">
        <f ca="1">SUMIFS('recurring2_based on steps'!$B45:$AY45,'recurring2_based on steps'!$B$1:$AY$1,P$1)+SUMIFS('changes2_based on steps'!$B45:$U45,'changes2_based on steps'!$B$1:$U$1,P$1)</f>
        <v>0</v>
      </c>
      <c r="Q45" s="155">
        <f>SUMIFS('recurring2_based on steps'!$B45:$AY45,'recurring2_based on steps'!$B$1:$AY$1,Q$1)+SUMIFS('changes2_based on steps'!$B45:$U45,'changes2_based on steps'!$B$1:$U$1,Q$1)</f>
        <v>0</v>
      </c>
      <c r="R45" s="155">
        <f ca="1">SUMIFS('recurring2_based on steps'!$B45:$AY45,'recurring2_based on steps'!$B$1:$AY$1,R$1)+SUMIFS('changes2_based on steps'!$B45:$U45,'changes2_based on steps'!$B$1:$U$1,R$1)</f>
        <v>100</v>
      </c>
      <c r="S45" s="155">
        <f ca="1">SUMIFS('recurring2_based on steps'!$B45:$AY45,'recurring2_based on steps'!$B$1:$AY$1,S$1)+SUMIFS('changes2_based on steps'!$B45:$U45,'changes2_based on steps'!$B$1:$U$1,S$1)</f>
        <v>100</v>
      </c>
      <c r="T45" s="155">
        <f>SUMIFS('recurring2_based on steps'!$B45:$AY45,'recurring2_based on steps'!$B$1:$AY$1,T$1)+SUMIFS('changes2_based on steps'!$B45:$U45,'changes2_based on steps'!$B$1:$U$1,T$1)</f>
        <v>0</v>
      </c>
      <c r="U45" s="155">
        <f ca="1">SUMIFS('recurring2_based on steps'!$B45:$AY45,'recurring2_based on steps'!$B$1:$AY$1,U$1)+SUMIFS('changes2_based on steps'!$B45:$U45,'changes2_based on steps'!$B$1:$U$1,U$1)</f>
        <v>0</v>
      </c>
      <c r="V45" s="155">
        <f>SUMIFS('recurring2_based on steps'!$B45:$AY45,'recurring2_based on steps'!$B$1:$AY$1,V$1)+SUMIFS('changes2_based on steps'!$B45:$U45,'changes2_based on steps'!$B$1:$U$1,V$1)</f>
        <v>0</v>
      </c>
      <c r="W45" s="155">
        <f ca="1">SUMIFS('recurring2_based on steps'!$B45:$AY45,'recurring2_based on steps'!$B$1:$AY$1,W$1)+SUMIFS('changes2_based on steps'!$B45:$U45,'changes2_based on steps'!$B$1:$U$1,W$1)</f>
        <v>0</v>
      </c>
      <c r="X45" s="155">
        <f ca="1">SUMIFS('recurring2_based on steps'!$B45:$AY45,'recurring2_based on steps'!$B$1:$AY$1,X$1)+SUMIFS('changes2_based on steps'!$B45:$U45,'changes2_based on steps'!$B$1:$U$1,X$1)</f>
        <v>0</v>
      </c>
      <c r="Y45" s="155">
        <f ca="1">SUMIFS('recurring2_based on steps'!$B45:$AY45,'recurring2_based on steps'!$B$1:$AY$1,Y$1)+SUMIFS('changes2_based on steps'!$B45:$U45,'changes2_based on steps'!$B$1:$U$1,Y$1)</f>
        <v>0</v>
      </c>
      <c r="Z45" s="155">
        <f>SUMIFS('recurring2_based on steps'!$B45:$AY45,'recurring2_based on steps'!$B$1:$AY$1,Z$1)+SUMIFS('changes2_based on steps'!$B45:$U45,'changes2_based on steps'!$B$1:$U$1,Z$1)</f>
        <v>0</v>
      </c>
      <c r="AA45" s="155">
        <f>SUMIFS('recurring2_based on steps'!$B45:$AY45,'recurring2_based on steps'!$B$1:$AY$1,AA$1)+SUMIFS('changes2_based on steps'!$B45:$U45,'changes2_based on steps'!$B$1:$U$1,AA$1)</f>
        <v>0</v>
      </c>
    </row>
    <row r="46" spans="1:27" x14ac:dyDescent="0.2">
      <c r="A46" s="18">
        <f t="shared" ca="1" si="0"/>
        <v>45732</v>
      </c>
      <c r="B46" s="155">
        <f ca="1">SUMIFS('recurring2_based on steps'!$B46:$AY46,'recurring2_based on steps'!$B$1:$AY$1,B$1)+SUMIFS('changes2_based on steps'!$B46:$U46,'changes2_based on steps'!$B$1:$U$1,B$1)</f>
        <v>0</v>
      </c>
      <c r="C46" s="155">
        <f>SUMIFS('recurring2_based on steps'!$B46:$AY46,'recurring2_based on steps'!$B$1:$AY$1,C$1)+SUMIFS('changes2_based on steps'!$B46:$U46,'changes2_based on steps'!$B$1:$U$1,C$1)</f>
        <v>0</v>
      </c>
      <c r="D46" s="155">
        <f>SUMIFS('recurring2_based on steps'!$B46:$AY46,'recurring2_based on steps'!$B$1:$AY$1,D$1)+SUMIFS('changes2_based on steps'!$B46:$U46,'changes2_based on steps'!$B$1:$U$1,D$1)</f>
        <v>0</v>
      </c>
      <c r="E46" s="155">
        <f>SUMIFS('recurring2_based on steps'!$B46:$AY46,'recurring2_based on steps'!$B$1:$AY$1,E$1)+SUMIFS('changes2_based on steps'!$B46:$U46,'changes2_based on steps'!$B$1:$U$1,E$1)</f>
        <v>0</v>
      </c>
      <c r="F46" s="155">
        <f>SUMIFS('recurring2_based on steps'!$B46:$AY46,'recurring2_based on steps'!$B$1:$AY$1,F$1)+SUMIFS('changes2_based on steps'!$B46:$U46,'changes2_based on steps'!$B$1:$U$1,F$1)</f>
        <v>0</v>
      </c>
      <c r="G46" s="155">
        <f>SUMIFS('recurring2_based on steps'!$B46:$AY46,'recurring2_based on steps'!$B$1:$AY$1,G$1)+SUMIFS('changes2_based on steps'!$B46:$U46,'changes2_based on steps'!$B$1:$U$1,G$1)</f>
        <v>0</v>
      </c>
      <c r="H46" s="155">
        <f ca="1">SUMIFS('recurring2_based on steps'!$B46:$AY46,'recurring2_based on steps'!$B$1:$AY$1,H$1)+SUMIFS('changes2_based on steps'!$B46:$U46,'changes2_based on steps'!$B$1:$U$1,H$1)</f>
        <v>0</v>
      </c>
      <c r="I46" s="155">
        <f>SUMIFS('recurring2_based on steps'!$B46:$AY46,'recurring2_based on steps'!$B$1:$AY$1,I$1)+SUMIFS('changes2_based on steps'!$B46:$U46,'changes2_based on steps'!$B$1:$U$1,I$1)</f>
        <v>0</v>
      </c>
      <c r="J46" s="155">
        <f>SUMIFS('recurring2_based on steps'!$B46:$AY46,'recurring2_based on steps'!$B$1:$AY$1,J$1)+SUMIFS('changes2_based on steps'!$B46:$U46,'changes2_based on steps'!$B$1:$U$1,J$1)</f>
        <v>0</v>
      </c>
      <c r="K46" s="155">
        <f>SUMIFS('recurring2_based on steps'!$B46:$AY46,'recurring2_based on steps'!$B$1:$AY$1,K$1)+SUMIFS('changes2_based on steps'!$B46:$U46,'changes2_based on steps'!$B$1:$U$1,K$1)</f>
        <v>0</v>
      </c>
      <c r="L46" s="155">
        <f>SUMIFS('recurring2_based on steps'!$B46:$AY46,'recurring2_based on steps'!$B$1:$AY$1,L$1)+SUMIFS('changes2_based on steps'!$B46:$U46,'changes2_based on steps'!$B$1:$U$1,L$1)</f>
        <v>0</v>
      </c>
      <c r="M46" s="155">
        <f ca="1">SUMIFS('recurring2_based on steps'!$B46:$AY46,'recurring2_based on steps'!$B$1:$AY$1,M$1)+SUMIFS('changes2_based on steps'!$B46:$U46,'changes2_based on steps'!$B$1:$U$1,M$1)</f>
        <v>0</v>
      </c>
      <c r="N46" s="155">
        <f ca="1">SUMIFS('recurring2_based on steps'!$B46:$AY46,'recurring2_based on steps'!$B$1:$AY$1,N$1)+SUMIFS('changes2_based on steps'!$B46:$U46,'changes2_based on steps'!$B$1:$U$1,N$1)</f>
        <v>50</v>
      </c>
      <c r="O46" s="155">
        <f ca="1">SUMIFS('recurring2_based on steps'!$B46:$AY46,'recurring2_based on steps'!$B$1:$AY$1,O$1)+SUMIFS('changes2_based on steps'!$B46:$U46,'changes2_based on steps'!$B$1:$U$1,O$1)</f>
        <v>0</v>
      </c>
      <c r="P46" s="155">
        <f ca="1">SUMIFS('recurring2_based on steps'!$B46:$AY46,'recurring2_based on steps'!$B$1:$AY$1,P$1)+SUMIFS('changes2_based on steps'!$B46:$U46,'changes2_based on steps'!$B$1:$U$1,P$1)</f>
        <v>0</v>
      </c>
      <c r="Q46" s="155">
        <f>SUMIFS('recurring2_based on steps'!$B46:$AY46,'recurring2_based on steps'!$B$1:$AY$1,Q$1)+SUMIFS('changes2_based on steps'!$B46:$U46,'changes2_based on steps'!$B$1:$U$1,Q$1)</f>
        <v>0</v>
      </c>
      <c r="R46" s="155">
        <f ca="1">SUMIFS('recurring2_based on steps'!$B46:$AY46,'recurring2_based on steps'!$B$1:$AY$1,R$1)+SUMIFS('changes2_based on steps'!$B46:$U46,'changes2_based on steps'!$B$1:$U$1,R$1)</f>
        <v>0</v>
      </c>
      <c r="S46" s="155">
        <f ca="1">SUMIFS('recurring2_based on steps'!$B46:$AY46,'recurring2_based on steps'!$B$1:$AY$1,S$1)+SUMIFS('changes2_based on steps'!$B46:$U46,'changes2_based on steps'!$B$1:$U$1,S$1)</f>
        <v>100</v>
      </c>
      <c r="T46" s="155">
        <f>SUMIFS('recurring2_based on steps'!$B46:$AY46,'recurring2_based on steps'!$B$1:$AY$1,T$1)+SUMIFS('changes2_based on steps'!$B46:$U46,'changes2_based on steps'!$B$1:$U$1,T$1)</f>
        <v>0</v>
      </c>
      <c r="U46" s="155">
        <f ca="1">SUMIFS('recurring2_based on steps'!$B46:$AY46,'recurring2_based on steps'!$B$1:$AY$1,U$1)+SUMIFS('changes2_based on steps'!$B46:$U46,'changes2_based on steps'!$B$1:$U$1,U$1)</f>
        <v>0</v>
      </c>
      <c r="V46" s="155">
        <f>SUMIFS('recurring2_based on steps'!$B46:$AY46,'recurring2_based on steps'!$B$1:$AY$1,V$1)+SUMIFS('changes2_based on steps'!$B46:$U46,'changes2_based on steps'!$B$1:$U$1,V$1)</f>
        <v>0</v>
      </c>
      <c r="W46" s="155">
        <f ca="1">SUMIFS('recurring2_based on steps'!$B46:$AY46,'recurring2_based on steps'!$B$1:$AY$1,W$1)+SUMIFS('changes2_based on steps'!$B46:$U46,'changes2_based on steps'!$B$1:$U$1,W$1)</f>
        <v>0</v>
      </c>
      <c r="X46" s="155">
        <f ca="1">SUMIFS('recurring2_based on steps'!$B46:$AY46,'recurring2_based on steps'!$B$1:$AY$1,X$1)+SUMIFS('changes2_based on steps'!$B46:$U46,'changes2_based on steps'!$B$1:$U$1,X$1)</f>
        <v>0</v>
      </c>
      <c r="Y46" s="155">
        <f ca="1">SUMIFS('recurring2_based on steps'!$B46:$AY46,'recurring2_based on steps'!$B$1:$AY$1,Y$1)+SUMIFS('changes2_based on steps'!$B46:$U46,'changes2_based on steps'!$B$1:$U$1,Y$1)</f>
        <v>0</v>
      </c>
      <c r="Z46" s="155">
        <f>SUMIFS('recurring2_based on steps'!$B46:$AY46,'recurring2_based on steps'!$B$1:$AY$1,Z$1)+SUMIFS('changes2_based on steps'!$B46:$U46,'changes2_based on steps'!$B$1:$U$1,Z$1)</f>
        <v>0</v>
      </c>
      <c r="AA46" s="155">
        <f>SUMIFS('recurring2_based on steps'!$B46:$AY46,'recurring2_based on steps'!$B$1:$AY$1,AA$1)+SUMIFS('changes2_based on steps'!$B46:$U46,'changes2_based on steps'!$B$1:$U$1,AA$1)</f>
        <v>0</v>
      </c>
    </row>
    <row r="47" spans="1:27" x14ac:dyDescent="0.2">
      <c r="A47" s="18">
        <f t="shared" ca="1" si="0"/>
        <v>45733</v>
      </c>
      <c r="B47" s="155">
        <f ca="1">SUMIFS('recurring2_based on steps'!$B47:$AY47,'recurring2_based on steps'!$B$1:$AY$1,B$1)+SUMIFS('changes2_based on steps'!$B47:$U47,'changes2_based on steps'!$B$1:$U$1,B$1)</f>
        <v>0</v>
      </c>
      <c r="C47" s="155">
        <f>SUMIFS('recurring2_based on steps'!$B47:$AY47,'recurring2_based on steps'!$B$1:$AY$1,C$1)+SUMIFS('changes2_based on steps'!$B47:$U47,'changes2_based on steps'!$B$1:$U$1,C$1)</f>
        <v>0</v>
      </c>
      <c r="D47" s="155">
        <f>SUMIFS('recurring2_based on steps'!$B47:$AY47,'recurring2_based on steps'!$B$1:$AY$1,D$1)+SUMIFS('changes2_based on steps'!$B47:$U47,'changes2_based on steps'!$B$1:$U$1,D$1)</f>
        <v>0</v>
      </c>
      <c r="E47" s="155">
        <f>SUMIFS('recurring2_based on steps'!$B47:$AY47,'recurring2_based on steps'!$B$1:$AY$1,E$1)+SUMIFS('changes2_based on steps'!$B47:$U47,'changes2_based on steps'!$B$1:$U$1,E$1)</f>
        <v>0</v>
      </c>
      <c r="F47" s="155">
        <f>SUMIFS('recurring2_based on steps'!$B47:$AY47,'recurring2_based on steps'!$B$1:$AY$1,F$1)+SUMIFS('changes2_based on steps'!$B47:$U47,'changes2_based on steps'!$B$1:$U$1,F$1)</f>
        <v>0</v>
      </c>
      <c r="G47" s="155">
        <f>SUMIFS('recurring2_based on steps'!$B47:$AY47,'recurring2_based on steps'!$B$1:$AY$1,G$1)+SUMIFS('changes2_based on steps'!$B47:$U47,'changes2_based on steps'!$B$1:$U$1,G$1)</f>
        <v>0</v>
      </c>
      <c r="H47" s="155">
        <f ca="1">SUMIFS('recurring2_based on steps'!$B47:$AY47,'recurring2_based on steps'!$B$1:$AY$1,H$1)+SUMIFS('changes2_based on steps'!$B47:$U47,'changes2_based on steps'!$B$1:$U$1,H$1)</f>
        <v>0</v>
      </c>
      <c r="I47" s="155">
        <f>SUMIFS('recurring2_based on steps'!$B47:$AY47,'recurring2_based on steps'!$B$1:$AY$1,I$1)+SUMIFS('changes2_based on steps'!$B47:$U47,'changes2_based on steps'!$B$1:$U$1,I$1)</f>
        <v>0</v>
      </c>
      <c r="J47" s="155">
        <f>SUMIFS('recurring2_based on steps'!$B47:$AY47,'recurring2_based on steps'!$B$1:$AY$1,J$1)+SUMIFS('changes2_based on steps'!$B47:$U47,'changes2_based on steps'!$B$1:$U$1,J$1)</f>
        <v>0</v>
      </c>
      <c r="K47" s="155">
        <f>SUMIFS('recurring2_based on steps'!$B47:$AY47,'recurring2_based on steps'!$B$1:$AY$1,K$1)+SUMIFS('changes2_based on steps'!$B47:$U47,'changes2_based on steps'!$B$1:$U$1,K$1)</f>
        <v>0</v>
      </c>
      <c r="L47" s="155">
        <f>SUMIFS('recurring2_based on steps'!$B47:$AY47,'recurring2_based on steps'!$B$1:$AY$1,L$1)+SUMIFS('changes2_based on steps'!$B47:$U47,'changes2_based on steps'!$B$1:$U$1,L$1)</f>
        <v>0</v>
      </c>
      <c r="M47" s="155">
        <f ca="1">SUMIFS('recurring2_based on steps'!$B47:$AY47,'recurring2_based on steps'!$B$1:$AY$1,M$1)+SUMIFS('changes2_based on steps'!$B47:$U47,'changes2_based on steps'!$B$1:$U$1,M$1)</f>
        <v>0</v>
      </c>
      <c r="N47" s="155">
        <f ca="1">SUMIFS('recurring2_based on steps'!$B47:$AY47,'recurring2_based on steps'!$B$1:$AY$1,N$1)+SUMIFS('changes2_based on steps'!$B47:$U47,'changes2_based on steps'!$B$1:$U$1,N$1)</f>
        <v>0</v>
      </c>
      <c r="O47" s="155">
        <f ca="1">SUMIFS('recurring2_based on steps'!$B47:$AY47,'recurring2_based on steps'!$B$1:$AY$1,O$1)+SUMIFS('changes2_based on steps'!$B47:$U47,'changes2_based on steps'!$B$1:$U$1,O$1)</f>
        <v>0</v>
      </c>
      <c r="P47" s="155">
        <f ca="1">SUMIFS('recurring2_based on steps'!$B47:$AY47,'recurring2_based on steps'!$B$1:$AY$1,P$1)+SUMIFS('changes2_based on steps'!$B47:$U47,'changes2_based on steps'!$B$1:$U$1,P$1)</f>
        <v>50</v>
      </c>
      <c r="Q47" s="155">
        <f>SUMIFS('recurring2_based on steps'!$B47:$AY47,'recurring2_based on steps'!$B$1:$AY$1,Q$1)+SUMIFS('changes2_based on steps'!$B47:$U47,'changes2_based on steps'!$B$1:$U$1,Q$1)</f>
        <v>0</v>
      </c>
      <c r="R47" s="155">
        <f ca="1">SUMIFS('recurring2_based on steps'!$B47:$AY47,'recurring2_based on steps'!$B$1:$AY$1,R$1)+SUMIFS('changes2_based on steps'!$B47:$U47,'changes2_based on steps'!$B$1:$U$1,R$1)</f>
        <v>0</v>
      </c>
      <c r="S47" s="155">
        <f ca="1">SUMIFS('recurring2_based on steps'!$B47:$AY47,'recurring2_based on steps'!$B$1:$AY$1,S$1)+SUMIFS('changes2_based on steps'!$B47:$U47,'changes2_based on steps'!$B$1:$U$1,S$1)</f>
        <v>0</v>
      </c>
      <c r="T47" s="155">
        <f>SUMIFS('recurring2_based on steps'!$B47:$AY47,'recurring2_based on steps'!$B$1:$AY$1,T$1)+SUMIFS('changes2_based on steps'!$B47:$U47,'changes2_based on steps'!$B$1:$U$1,T$1)</f>
        <v>0</v>
      </c>
      <c r="U47" s="155">
        <f ca="1">SUMIFS('recurring2_based on steps'!$B47:$AY47,'recurring2_based on steps'!$B$1:$AY$1,U$1)+SUMIFS('changes2_based on steps'!$B47:$U47,'changes2_based on steps'!$B$1:$U$1,U$1)</f>
        <v>15.49</v>
      </c>
      <c r="V47" s="155">
        <f>SUMIFS('recurring2_based on steps'!$B47:$AY47,'recurring2_based on steps'!$B$1:$AY$1,V$1)+SUMIFS('changes2_based on steps'!$B47:$U47,'changes2_based on steps'!$B$1:$U$1,V$1)</f>
        <v>0</v>
      </c>
      <c r="W47" s="155">
        <f ca="1">SUMIFS('recurring2_based on steps'!$B47:$AY47,'recurring2_based on steps'!$B$1:$AY$1,W$1)+SUMIFS('changes2_based on steps'!$B47:$U47,'changes2_based on steps'!$B$1:$U$1,W$1)</f>
        <v>0</v>
      </c>
      <c r="X47" s="155">
        <f ca="1">SUMIFS('recurring2_based on steps'!$B47:$AY47,'recurring2_based on steps'!$B$1:$AY$1,X$1)+SUMIFS('changes2_based on steps'!$B47:$U47,'changes2_based on steps'!$B$1:$U$1,X$1)</f>
        <v>0</v>
      </c>
      <c r="Y47" s="155">
        <f ca="1">SUMIFS('recurring2_based on steps'!$B47:$AY47,'recurring2_based on steps'!$B$1:$AY$1,Y$1)+SUMIFS('changes2_based on steps'!$B47:$U47,'changes2_based on steps'!$B$1:$U$1,Y$1)</f>
        <v>200</v>
      </c>
      <c r="Z47" s="155">
        <f>SUMIFS('recurring2_based on steps'!$B47:$AY47,'recurring2_based on steps'!$B$1:$AY$1,Z$1)+SUMIFS('changes2_based on steps'!$B47:$U47,'changes2_based on steps'!$B$1:$U$1,Z$1)</f>
        <v>0</v>
      </c>
      <c r="AA47" s="155">
        <f>SUMIFS('recurring2_based on steps'!$B47:$AY47,'recurring2_based on steps'!$B$1:$AY$1,AA$1)+SUMIFS('changes2_based on steps'!$B47:$U47,'changes2_based on steps'!$B$1:$U$1,AA$1)</f>
        <v>0</v>
      </c>
    </row>
    <row r="48" spans="1:27" x14ac:dyDescent="0.2">
      <c r="A48" s="18">
        <f t="shared" ca="1" si="0"/>
        <v>45734</v>
      </c>
      <c r="B48" s="155">
        <f ca="1">SUMIFS('recurring2_based on steps'!$B48:$AY48,'recurring2_based on steps'!$B$1:$AY$1,B$1)+SUMIFS('changes2_based on steps'!$B48:$U48,'changes2_based on steps'!$B$1:$U$1,B$1)</f>
        <v>0</v>
      </c>
      <c r="C48" s="155">
        <f>SUMIFS('recurring2_based on steps'!$B48:$AY48,'recurring2_based on steps'!$B$1:$AY$1,C$1)+SUMIFS('changes2_based on steps'!$B48:$U48,'changes2_based on steps'!$B$1:$U$1,C$1)</f>
        <v>0</v>
      </c>
      <c r="D48" s="155">
        <f>SUMIFS('recurring2_based on steps'!$B48:$AY48,'recurring2_based on steps'!$B$1:$AY$1,D$1)+SUMIFS('changes2_based on steps'!$B48:$U48,'changes2_based on steps'!$B$1:$U$1,D$1)</f>
        <v>0</v>
      </c>
      <c r="E48" s="155">
        <f>SUMIFS('recurring2_based on steps'!$B48:$AY48,'recurring2_based on steps'!$B$1:$AY$1,E$1)+SUMIFS('changes2_based on steps'!$B48:$U48,'changes2_based on steps'!$B$1:$U$1,E$1)</f>
        <v>0</v>
      </c>
      <c r="F48" s="155">
        <f>SUMIFS('recurring2_based on steps'!$B48:$AY48,'recurring2_based on steps'!$B$1:$AY$1,F$1)+SUMIFS('changes2_based on steps'!$B48:$U48,'changes2_based on steps'!$B$1:$U$1,F$1)</f>
        <v>0</v>
      </c>
      <c r="G48" s="155">
        <f>SUMIFS('recurring2_based on steps'!$B48:$AY48,'recurring2_based on steps'!$B$1:$AY$1,G$1)+SUMIFS('changes2_based on steps'!$B48:$U48,'changes2_based on steps'!$B$1:$U$1,G$1)</f>
        <v>0</v>
      </c>
      <c r="H48" s="155">
        <f ca="1">SUMIFS('recurring2_based on steps'!$B48:$AY48,'recurring2_based on steps'!$B$1:$AY$1,H$1)+SUMIFS('changes2_based on steps'!$B48:$U48,'changes2_based on steps'!$B$1:$U$1,H$1)</f>
        <v>0</v>
      </c>
      <c r="I48" s="155">
        <f>SUMIFS('recurring2_based on steps'!$B48:$AY48,'recurring2_based on steps'!$B$1:$AY$1,I$1)+SUMIFS('changes2_based on steps'!$B48:$U48,'changes2_based on steps'!$B$1:$U$1,I$1)</f>
        <v>0</v>
      </c>
      <c r="J48" s="155">
        <f>SUMIFS('recurring2_based on steps'!$B48:$AY48,'recurring2_based on steps'!$B$1:$AY$1,J$1)+SUMIFS('changes2_based on steps'!$B48:$U48,'changes2_based on steps'!$B$1:$U$1,J$1)</f>
        <v>0</v>
      </c>
      <c r="K48" s="155">
        <f>SUMIFS('recurring2_based on steps'!$B48:$AY48,'recurring2_based on steps'!$B$1:$AY$1,K$1)+SUMIFS('changes2_based on steps'!$B48:$U48,'changes2_based on steps'!$B$1:$U$1,K$1)</f>
        <v>0</v>
      </c>
      <c r="L48" s="155">
        <f>SUMIFS('recurring2_based on steps'!$B48:$AY48,'recurring2_based on steps'!$B$1:$AY$1,L$1)+SUMIFS('changes2_based on steps'!$B48:$U48,'changes2_based on steps'!$B$1:$U$1,L$1)</f>
        <v>0</v>
      </c>
      <c r="M48" s="155">
        <f ca="1">SUMIFS('recurring2_based on steps'!$B48:$AY48,'recurring2_based on steps'!$B$1:$AY$1,M$1)+SUMIFS('changes2_based on steps'!$B48:$U48,'changes2_based on steps'!$B$1:$U$1,M$1)</f>
        <v>0</v>
      </c>
      <c r="N48" s="155">
        <f ca="1">SUMIFS('recurring2_based on steps'!$B48:$AY48,'recurring2_based on steps'!$B$1:$AY$1,N$1)+SUMIFS('changes2_based on steps'!$B48:$U48,'changes2_based on steps'!$B$1:$U$1,N$1)</f>
        <v>0</v>
      </c>
      <c r="O48" s="155">
        <f ca="1">SUMIFS('recurring2_based on steps'!$B48:$AY48,'recurring2_based on steps'!$B$1:$AY$1,O$1)+SUMIFS('changes2_based on steps'!$B48:$U48,'changes2_based on steps'!$B$1:$U$1,O$1)</f>
        <v>0</v>
      </c>
      <c r="P48" s="155">
        <f ca="1">SUMIFS('recurring2_based on steps'!$B48:$AY48,'recurring2_based on steps'!$B$1:$AY$1,P$1)+SUMIFS('changes2_based on steps'!$B48:$U48,'changes2_based on steps'!$B$1:$U$1,P$1)</f>
        <v>0</v>
      </c>
      <c r="Q48" s="155">
        <f>SUMIFS('recurring2_based on steps'!$B48:$AY48,'recurring2_based on steps'!$B$1:$AY$1,Q$1)+SUMIFS('changes2_based on steps'!$B48:$U48,'changes2_based on steps'!$B$1:$U$1,Q$1)</f>
        <v>0</v>
      </c>
      <c r="R48" s="155">
        <f ca="1">SUMIFS('recurring2_based on steps'!$B48:$AY48,'recurring2_based on steps'!$B$1:$AY$1,R$1)+SUMIFS('changes2_based on steps'!$B48:$U48,'changes2_based on steps'!$B$1:$U$1,R$1)</f>
        <v>0</v>
      </c>
      <c r="S48" s="155">
        <f ca="1">SUMIFS('recurring2_based on steps'!$B48:$AY48,'recurring2_based on steps'!$B$1:$AY$1,S$1)+SUMIFS('changes2_based on steps'!$B48:$U48,'changes2_based on steps'!$B$1:$U$1,S$1)</f>
        <v>0</v>
      </c>
      <c r="T48" s="155">
        <f>SUMIFS('recurring2_based on steps'!$B48:$AY48,'recurring2_based on steps'!$B$1:$AY$1,T$1)+SUMIFS('changes2_based on steps'!$B48:$U48,'changes2_based on steps'!$B$1:$U$1,T$1)</f>
        <v>0</v>
      </c>
      <c r="U48" s="155">
        <f ca="1">SUMIFS('recurring2_based on steps'!$B48:$AY48,'recurring2_based on steps'!$B$1:$AY$1,U$1)+SUMIFS('changes2_based on steps'!$B48:$U48,'changes2_based on steps'!$B$1:$U$1,U$1)</f>
        <v>10.99</v>
      </c>
      <c r="V48" s="155">
        <f>SUMIFS('recurring2_based on steps'!$B48:$AY48,'recurring2_based on steps'!$B$1:$AY$1,V$1)+SUMIFS('changes2_based on steps'!$B48:$U48,'changes2_based on steps'!$B$1:$U$1,V$1)</f>
        <v>0</v>
      </c>
      <c r="W48" s="155">
        <f ca="1">SUMIFS('recurring2_based on steps'!$B48:$AY48,'recurring2_based on steps'!$B$1:$AY$1,W$1)+SUMIFS('changes2_based on steps'!$B48:$U48,'changes2_based on steps'!$B$1:$U$1,W$1)</f>
        <v>0</v>
      </c>
      <c r="X48" s="155">
        <f ca="1">SUMIFS('recurring2_based on steps'!$B48:$AY48,'recurring2_based on steps'!$B$1:$AY$1,X$1)+SUMIFS('changes2_based on steps'!$B48:$U48,'changes2_based on steps'!$B$1:$U$1,X$1)</f>
        <v>0</v>
      </c>
      <c r="Y48" s="155">
        <f ca="1">SUMIFS('recurring2_based on steps'!$B48:$AY48,'recurring2_based on steps'!$B$1:$AY$1,Y$1)+SUMIFS('changes2_based on steps'!$B48:$U48,'changes2_based on steps'!$B$1:$U$1,Y$1)</f>
        <v>0</v>
      </c>
      <c r="Z48" s="155">
        <f>SUMIFS('recurring2_based on steps'!$B48:$AY48,'recurring2_based on steps'!$B$1:$AY$1,Z$1)+SUMIFS('changes2_based on steps'!$B48:$U48,'changes2_based on steps'!$B$1:$U$1,Z$1)</f>
        <v>0</v>
      </c>
      <c r="AA48" s="155">
        <f>SUMIFS('recurring2_based on steps'!$B48:$AY48,'recurring2_based on steps'!$B$1:$AY$1,AA$1)+SUMIFS('changes2_based on steps'!$B48:$U48,'changes2_based on steps'!$B$1:$U$1,AA$1)</f>
        <v>0</v>
      </c>
    </row>
    <row r="49" spans="1:27" x14ac:dyDescent="0.2">
      <c r="A49" s="18">
        <f t="shared" ca="1" si="0"/>
        <v>45735</v>
      </c>
      <c r="B49" s="155">
        <f ca="1">SUMIFS('recurring2_based on steps'!$B49:$AY49,'recurring2_based on steps'!$B$1:$AY$1,B$1)+SUMIFS('changes2_based on steps'!$B49:$U49,'changes2_based on steps'!$B$1:$U$1,B$1)</f>
        <v>0</v>
      </c>
      <c r="C49" s="155">
        <f>SUMIFS('recurring2_based on steps'!$B49:$AY49,'recurring2_based on steps'!$B$1:$AY$1,C$1)+SUMIFS('changes2_based on steps'!$B49:$U49,'changes2_based on steps'!$B$1:$U$1,C$1)</f>
        <v>0</v>
      </c>
      <c r="D49" s="155">
        <f>SUMIFS('recurring2_based on steps'!$B49:$AY49,'recurring2_based on steps'!$B$1:$AY$1,D$1)+SUMIFS('changes2_based on steps'!$B49:$U49,'changes2_based on steps'!$B$1:$U$1,D$1)</f>
        <v>0</v>
      </c>
      <c r="E49" s="155">
        <f>SUMIFS('recurring2_based on steps'!$B49:$AY49,'recurring2_based on steps'!$B$1:$AY$1,E$1)+SUMIFS('changes2_based on steps'!$B49:$U49,'changes2_based on steps'!$B$1:$U$1,E$1)</f>
        <v>0</v>
      </c>
      <c r="F49" s="155">
        <f>SUMIFS('recurring2_based on steps'!$B49:$AY49,'recurring2_based on steps'!$B$1:$AY$1,F$1)+SUMIFS('changes2_based on steps'!$B49:$U49,'changes2_based on steps'!$B$1:$U$1,F$1)</f>
        <v>0</v>
      </c>
      <c r="G49" s="155">
        <f>SUMIFS('recurring2_based on steps'!$B49:$AY49,'recurring2_based on steps'!$B$1:$AY$1,G$1)+SUMIFS('changes2_based on steps'!$B49:$U49,'changes2_based on steps'!$B$1:$U$1,G$1)</f>
        <v>0</v>
      </c>
      <c r="H49" s="155">
        <f ca="1">SUMIFS('recurring2_based on steps'!$B49:$AY49,'recurring2_based on steps'!$B$1:$AY$1,H$1)+SUMIFS('changes2_based on steps'!$B49:$U49,'changes2_based on steps'!$B$1:$U$1,H$1)</f>
        <v>0</v>
      </c>
      <c r="I49" s="155">
        <f>SUMIFS('recurring2_based on steps'!$B49:$AY49,'recurring2_based on steps'!$B$1:$AY$1,I$1)+SUMIFS('changes2_based on steps'!$B49:$U49,'changes2_based on steps'!$B$1:$U$1,I$1)</f>
        <v>0</v>
      </c>
      <c r="J49" s="155">
        <f>SUMIFS('recurring2_based on steps'!$B49:$AY49,'recurring2_based on steps'!$B$1:$AY$1,J$1)+SUMIFS('changes2_based on steps'!$B49:$U49,'changes2_based on steps'!$B$1:$U$1,J$1)</f>
        <v>0</v>
      </c>
      <c r="K49" s="155">
        <f>SUMIFS('recurring2_based on steps'!$B49:$AY49,'recurring2_based on steps'!$B$1:$AY$1,K$1)+SUMIFS('changes2_based on steps'!$B49:$U49,'changes2_based on steps'!$B$1:$U$1,K$1)</f>
        <v>0</v>
      </c>
      <c r="L49" s="155">
        <f>SUMIFS('recurring2_based on steps'!$B49:$AY49,'recurring2_based on steps'!$B$1:$AY$1,L$1)+SUMIFS('changes2_based on steps'!$B49:$U49,'changes2_based on steps'!$B$1:$U$1,L$1)</f>
        <v>0</v>
      </c>
      <c r="M49" s="155">
        <f ca="1">SUMIFS('recurring2_based on steps'!$B49:$AY49,'recurring2_based on steps'!$B$1:$AY$1,M$1)+SUMIFS('changes2_based on steps'!$B49:$U49,'changes2_based on steps'!$B$1:$U$1,M$1)</f>
        <v>0</v>
      </c>
      <c r="N49" s="155">
        <f ca="1">SUMIFS('recurring2_based on steps'!$B49:$AY49,'recurring2_based on steps'!$B$1:$AY$1,N$1)+SUMIFS('changes2_based on steps'!$B49:$U49,'changes2_based on steps'!$B$1:$U$1,N$1)</f>
        <v>0</v>
      </c>
      <c r="O49" s="155">
        <f ca="1">SUMIFS('recurring2_based on steps'!$B49:$AY49,'recurring2_based on steps'!$B$1:$AY$1,O$1)+SUMIFS('changes2_based on steps'!$B49:$U49,'changes2_based on steps'!$B$1:$U$1,O$1)</f>
        <v>0</v>
      </c>
      <c r="P49" s="155">
        <f ca="1">SUMIFS('recurring2_based on steps'!$B49:$AY49,'recurring2_based on steps'!$B$1:$AY$1,P$1)+SUMIFS('changes2_based on steps'!$B49:$U49,'changes2_based on steps'!$B$1:$U$1,P$1)</f>
        <v>0</v>
      </c>
      <c r="Q49" s="155">
        <f>SUMIFS('recurring2_based on steps'!$B49:$AY49,'recurring2_based on steps'!$B$1:$AY$1,Q$1)+SUMIFS('changes2_based on steps'!$B49:$U49,'changes2_based on steps'!$B$1:$U$1,Q$1)</f>
        <v>0</v>
      </c>
      <c r="R49" s="155">
        <f ca="1">SUMIFS('recurring2_based on steps'!$B49:$AY49,'recurring2_based on steps'!$B$1:$AY$1,R$1)+SUMIFS('changes2_based on steps'!$B49:$U49,'changes2_based on steps'!$B$1:$U$1,R$1)</f>
        <v>0</v>
      </c>
      <c r="S49" s="155">
        <f ca="1">SUMIFS('recurring2_based on steps'!$B49:$AY49,'recurring2_based on steps'!$B$1:$AY$1,S$1)+SUMIFS('changes2_based on steps'!$B49:$U49,'changes2_based on steps'!$B$1:$U$1,S$1)</f>
        <v>0</v>
      </c>
      <c r="T49" s="155">
        <f>SUMIFS('recurring2_based on steps'!$B49:$AY49,'recurring2_based on steps'!$B$1:$AY$1,T$1)+SUMIFS('changes2_based on steps'!$B49:$U49,'changes2_based on steps'!$B$1:$U$1,T$1)</f>
        <v>0</v>
      </c>
      <c r="U49" s="155">
        <f ca="1">SUMIFS('recurring2_based on steps'!$B49:$AY49,'recurring2_based on steps'!$B$1:$AY$1,U$1)+SUMIFS('changes2_based on steps'!$B49:$U49,'changes2_based on steps'!$B$1:$U$1,U$1)</f>
        <v>0</v>
      </c>
      <c r="V49" s="155">
        <f>SUMIFS('recurring2_based on steps'!$B49:$AY49,'recurring2_based on steps'!$B$1:$AY$1,V$1)+SUMIFS('changes2_based on steps'!$B49:$U49,'changes2_based on steps'!$B$1:$U$1,V$1)</f>
        <v>0</v>
      </c>
      <c r="W49" s="155">
        <f ca="1">SUMIFS('recurring2_based on steps'!$B49:$AY49,'recurring2_based on steps'!$B$1:$AY$1,W$1)+SUMIFS('changes2_based on steps'!$B49:$U49,'changes2_based on steps'!$B$1:$U$1,W$1)</f>
        <v>0</v>
      </c>
      <c r="X49" s="155">
        <f ca="1">SUMIFS('recurring2_based on steps'!$B49:$AY49,'recurring2_based on steps'!$B$1:$AY$1,X$1)+SUMIFS('changes2_based on steps'!$B49:$U49,'changes2_based on steps'!$B$1:$U$1,X$1)</f>
        <v>0</v>
      </c>
      <c r="Y49" s="155">
        <f ca="1">SUMIFS('recurring2_based on steps'!$B49:$AY49,'recurring2_based on steps'!$B$1:$AY$1,Y$1)+SUMIFS('changes2_based on steps'!$B49:$U49,'changes2_based on steps'!$B$1:$U$1,Y$1)</f>
        <v>0</v>
      </c>
      <c r="Z49" s="155">
        <f>SUMIFS('recurring2_based on steps'!$B49:$AY49,'recurring2_based on steps'!$B$1:$AY$1,Z$1)+SUMIFS('changes2_based on steps'!$B49:$U49,'changes2_based on steps'!$B$1:$U$1,Z$1)</f>
        <v>0</v>
      </c>
      <c r="AA49" s="155">
        <f>SUMIFS('recurring2_based on steps'!$B49:$AY49,'recurring2_based on steps'!$B$1:$AY$1,AA$1)+SUMIFS('changes2_based on steps'!$B49:$U49,'changes2_based on steps'!$B$1:$U$1,AA$1)</f>
        <v>0</v>
      </c>
    </row>
    <row r="50" spans="1:27" x14ac:dyDescent="0.2">
      <c r="A50" s="18">
        <f t="shared" ca="1" si="0"/>
        <v>45736</v>
      </c>
      <c r="B50" s="155">
        <f ca="1">SUMIFS('recurring2_based on steps'!$B50:$AY50,'recurring2_based on steps'!$B$1:$AY$1,B$1)+SUMIFS('changes2_based on steps'!$B50:$U50,'changes2_based on steps'!$B$1:$U$1,B$1)</f>
        <v>0</v>
      </c>
      <c r="C50" s="155">
        <f>SUMIFS('recurring2_based on steps'!$B50:$AY50,'recurring2_based on steps'!$B$1:$AY$1,C$1)+SUMIFS('changes2_based on steps'!$B50:$U50,'changes2_based on steps'!$B$1:$U$1,C$1)</f>
        <v>0</v>
      </c>
      <c r="D50" s="155">
        <f>SUMIFS('recurring2_based on steps'!$B50:$AY50,'recurring2_based on steps'!$B$1:$AY$1,D$1)+SUMIFS('changes2_based on steps'!$B50:$U50,'changes2_based on steps'!$B$1:$U$1,D$1)</f>
        <v>0</v>
      </c>
      <c r="E50" s="155">
        <f>SUMIFS('recurring2_based on steps'!$B50:$AY50,'recurring2_based on steps'!$B$1:$AY$1,E$1)+SUMIFS('changes2_based on steps'!$B50:$U50,'changes2_based on steps'!$B$1:$U$1,E$1)</f>
        <v>0</v>
      </c>
      <c r="F50" s="155">
        <f>SUMIFS('recurring2_based on steps'!$B50:$AY50,'recurring2_based on steps'!$B$1:$AY$1,F$1)+SUMIFS('changes2_based on steps'!$B50:$U50,'changes2_based on steps'!$B$1:$U$1,F$1)</f>
        <v>0</v>
      </c>
      <c r="G50" s="155">
        <f>SUMIFS('recurring2_based on steps'!$B50:$AY50,'recurring2_based on steps'!$B$1:$AY$1,G$1)+SUMIFS('changes2_based on steps'!$B50:$U50,'changes2_based on steps'!$B$1:$U$1,G$1)</f>
        <v>0</v>
      </c>
      <c r="H50" s="155">
        <f ca="1">SUMIFS('recurring2_based on steps'!$B50:$AY50,'recurring2_based on steps'!$B$1:$AY$1,H$1)+SUMIFS('changes2_based on steps'!$B50:$U50,'changes2_based on steps'!$B$1:$U$1,H$1)</f>
        <v>0</v>
      </c>
      <c r="I50" s="155">
        <f>SUMIFS('recurring2_based on steps'!$B50:$AY50,'recurring2_based on steps'!$B$1:$AY$1,I$1)+SUMIFS('changes2_based on steps'!$B50:$U50,'changes2_based on steps'!$B$1:$U$1,I$1)</f>
        <v>0</v>
      </c>
      <c r="J50" s="155">
        <f>SUMIFS('recurring2_based on steps'!$B50:$AY50,'recurring2_based on steps'!$B$1:$AY$1,J$1)+SUMIFS('changes2_based on steps'!$B50:$U50,'changes2_based on steps'!$B$1:$U$1,J$1)</f>
        <v>0</v>
      </c>
      <c r="K50" s="155">
        <f>SUMIFS('recurring2_based on steps'!$B50:$AY50,'recurring2_based on steps'!$B$1:$AY$1,K$1)+SUMIFS('changes2_based on steps'!$B50:$U50,'changes2_based on steps'!$B$1:$U$1,K$1)</f>
        <v>0</v>
      </c>
      <c r="L50" s="155">
        <f>SUMIFS('recurring2_based on steps'!$B50:$AY50,'recurring2_based on steps'!$B$1:$AY$1,L$1)+SUMIFS('changes2_based on steps'!$B50:$U50,'changes2_based on steps'!$B$1:$U$1,L$1)</f>
        <v>0</v>
      </c>
      <c r="M50" s="155">
        <f ca="1">SUMIFS('recurring2_based on steps'!$B50:$AY50,'recurring2_based on steps'!$B$1:$AY$1,M$1)+SUMIFS('changes2_based on steps'!$B50:$U50,'changes2_based on steps'!$B$1:$U$1,M$1)</f>
        <v>0</v>
      </c>
      <c r="N50" s="155">
        <f ca="1">SUMIFS('recurring2_based on steps'!$B50:$AY50,'recurring2_based on steps'!$B$1:$AY$1,N$1)+SUMIFS('changes2_based on steps'!$B50:$U50,'changes2_based on steps'!$B$1:$U$1,N$1)</f>
        <v>0</v>
      </c>
      <c r="O50" s="155">
        <f ca="1">SUMIFS('recurring2_based on steps'!$B50:$AY50,'recurring2_based on steps'!$B$1:$AY$1,O$1)+SUMIFS('changes2_based on steps'!$B50:$U50,'changes2_based on steps'!$B$1:$U$1,O$1)</f>
        <v>0</v>
      </c>
      <c r="P50" s="155">
        <f ca="1">SUMIFS('recurring2_based on steps'!$B50:$AY50,'recurring2_based on steps'!$B$1:$AY$1,P$1)+SUMIFS('changes2_based on steps'!$B50:$U50,'changes2_based on steps'!$B$1:$U$1,P$1)</f>
        <v>0</v>
      </c>
      <c r="Q50" s="155">
        <f>SUMIFS('recurring2_based on steps'!$B50:$AY50,'recurring2_based on steps'!$B$1:$AY$1,Q$1)+SUMIFS('changes2_based on steps'!$B50:$U50,'changes2_based on steps'!$B$1:$U$1,Q$1)</f>
        <v>0</v>
      </c>
      <c r="R50" s="155">
        <f ca="1">SUMIFS('recurring2_based on steps'!$B50:$AY50,'recurring2_based on steps'!$B$1:$AY$1,R$1)+SUMIFS('changes2_based on steps'!$B50:$U50,'changes2_based on steps'!$B$1:$U$1,R$1)</f>
        <v>0</v>
      </c>
      <c r="S50" s="155">
        <f ca="1">SUMIFS('recurring2_based on steps'!$B50:$AY50,'recurring2_based on steps'!$B$1:$AY$1,S$1)+SUMIFS('changes2_based on steps'!$B50:$U50,'changes2_based on steps'!$B$1:$U$1,S$1)</f>
        <v>0</v>
      </c>
      <c r="T50" s="155">
        <f>SUMIFS('recurring2_based on steps'!$B50:$AY50,'recurring2_based on steps'!$B$1:$AY$1,T$1)+SUMIFS('changes2_based on steps'!$B50:$U50,'changes2_based on steps'!$B$1:$U$1,T$1)</f>
        <v>0</v>
      </c>
      <c r="U50" s="155">
        <f ca="1">SUMIFS('recurring2_based on steps'!$B50:$AY50,'recurring2_based on steps'!$B$1:$AY$1,U$1)+SUMIFS('changes2_based on steps'!$B50:$U50,'changes2_based on steps'!$B$1:$U$1,U$1)</f>
        <v>0</v>
      </c>
      <c r="V50" s="155">
        <f>SUMIFS('recurring2_based on steps'!$B50:$AY50,'recurring2_based on steps'!$B$1:$AY$1,V$1)+SUMIFS('changes2_based on steps'!$B50:$U50,'changes2_based on steps'!$B$1:$U$1,V$1)</f>
        <v>0</v>
      </c>
      <c r="W50" s="155">
        <f ca="1">SUMIFS('recurring2_based on steps'!$B50:$AY50,'recurring2_based on steps'!$B$1:$AY$1,W$1)+SUMIFS('changes2_based on steps'!$B50:$U50,'changes2_based on steps'!$B$1:$U$1,W$1)</f>
        <v>0</v>
      </c>
      <c r="X50" s="155">
        <f ca="1">SUMIFS('recurring2_based on steps'!$B50:$AY50,'recurring2_based on steps'!$B$1:$AY$1,X$1)+SUMIFS('changes2_based on steps'!$B50:$U50,'changes2_based on steps'!$B$1:$U$1,X$1)</f>
        <v>0</v>
      </c>
      <c r="Y50" s="155">
        <f ca="1">SUMIFS('recurring2_based on steps'!$B50:$AY50,'recurring2_based on steps'!$B$1:$AY$1,Y$1)+SUMIFS('changes2_based on steps'!$B50:$U50,'changes2_based on steps'!$B$1:$U$1,Y$1)</f>
        <v>0</v>
      </c>
      <c r="Z50" s="155">
        <f>SUMIFS('recurring2_based on steps'!$B50:$AY50,'recurring2_based on steps'!$B$1:$AY$1,Z$1)+SUMIFS('changes2_based on steps'!$B50:$U50,'changes2_based on steps'!$B$1:$U$1,Z$1)</f>
        <v>0</v>
      </c>
      <c r="AA50" s="155">
        <f>SUMIFS('recurring2_based on steps'!$B50:$AY50,'recurring2_based on steps'!$B$1:$AY$1,AA$1)+SUMIFS('changes2_based on steps'!$B50:$U50,'changes2_based on steps'!$B$1:$U$1,AA$1)</f>
        <v>0</v>
      </c>
    </row>
    <row r="51" spans="1:27" x14ac:dyDescent="0.2">
      <c r="A51" s="18">
        <f t="shared" ca="1" si="0"/>
        <v>45737</v>
      </c>
      <c r="B51" s="155">
        <f ca="1">SUMIFS('recurring2_based on steps'!$B51:$AY51,'recurring2_based on steps'!$B$1:$AY$1,B$1)+SUMIFS('changes2_based on steps'!$B51:$U51,'changes2_based on steps'!$B$1:$U$1,B$1)</f>
        <v>4000</v>
      </c>
      <c r="C51" s="155">
        <f>SUMIFS('recurring2_based on steps'!$B51:$AY51,'recurring2_based on steps'!$B$1:$AY$1,C$1)+SUMIFS('changes2_based on steps'!$B51:$U51,'changes2_based on steps'!$B$1:$U$1,C$1)</f>
        <v>0</v>
      </c>
      <c r="D51" s="155">
        <f>SUMIFS('recurring2_based on steps'!$B51:$AY51,'recurring2_based on steps'!$B$1:$AY$1,D$1)+SUMIFS('changes2_based on steps'!$B51:$U51,'changes2_based on steps'!$B$1:$U$1,D$1)</f>
        <v>0</v>
      </c>
      <c r="E51" s="155">
        <f>SUMIFS('recurring2_based on steps'!$B51:$AY51,'recurring2_based on steps'!$B$1:$AY$1,E$1)+SUMIFS('changes2_based on steps'!$B51:$U51,'changes2_based on steps'!$B$1:$U$1,E$1)</f>
        <v>0</v>
      </c>
      <c r="F51" s="155">
        <f>SUMIFS('recurring2_based on steps'!$B51:$AY51,'recurring2_based on steps'!$B$1:$AY$1,F$1)+SUMIFS('changes2_based on steps'!$B51:$U51,'changes2_based on steps'!$B$1:$U$1,F$1)</f>
        <v>0</v>
      </c>
      <c r="G51" s="155">
        <f>SUMIFS('recurring2_based on steps'!$B51:$AY51,'recurring2_based on steps'!$B$1:$AY$1,G$1)+SUMIFS('changes2_based on steps'!$B51:$U51,'changes2_based on steps'!$B$1:$U$1,G$1)</f>
        <v>0</v>
      </c>
      <c r="H51" s="155">
        <f ca="1">SUMIFS('recurring2_based on steps'!$B51:$AY51,'recurring2_based on steps'!$B$1:$AY$1,H$1)+SUMIFS('changes2_based on steps'!$B51:$U51,'changes2_based on steps'!$B$1:$U$1,H$1)</f>
        <v>96</v>
      </c>
      <c r="I51" s="155">
        <f>SUMIFS('recurring2_based on steps'!$B51:$AY51,'recurring2_based on steps'!$B$1:$AY$1,I$1)+SUMIFS('changes2_based on steps'!$B51:$U51,'changes2_based on steps'!$B$1:$U$1,I$1)</f>
        <v>0</v>
      </c>
      <c r="J51" s="155">
        <f>SUMIFS('recurring2_based on steps'!$B51:$AY51,'recurring2_based on steps'!$B$1:$AY$1,J$1)+SUMIFS('changes2_based on steps'!$B51:$U51,'changes2_based on steps'!$B$1:$U$1,J$1)</f>
        <v>0</v>
      </c>
      <c r="K51" s="155">
        <f>SUMIFS('recurring2_based on steps'!$B51:$AY51,'recurring2_based on steps'!$B$1:$AY$1,K$1)+SUMIFS('changes2_based on steps'!$B51:$U51,'changes2_based on steps'!$B$1:$U$1,K$1)</f>
        <v>0</v>
      </c>
      <c r="L51" s="155">
        <f>SUMIFS('recurring2_based on steps'!$B51:$AY51,'recurring2_based on steps'!$B$1:$AY$1,L$1)+SUMIFS('changes2_based on steps'!$B51:$U51,'changes2_based on steps'!$B$1:$U$1,L$1)</f>
        <v>0</v>
      </c>
      <c r="M51" s="155">
        <f ca="1">SUMIFS('recurring2_based on steps'!$B51:$AY51,'recurring2_based on steps'!$B$1:$AY$1,M$1)+SUMIFS('changes2_based on steps'!$B51:$U51,'changes2_based on steps'!$B$1:$U$1,M$1)</f>
        <v>0</v>
      </c>
      <c r="N51" s="155">
        <f ca="1">SUMIFS('recurring2_based on steps'!$B51:$AY51,'recurring2_based on steps'!$B$1:$AY$1,N$1)+SUMIFS('changes2_based on steps'!$B51:$U51,'changes2_based on steps'!$B$1:$U$1,N$1)</f>
        <v>0</v>
      </c>
      <c r="O51" s="155">
        <f ca="1">SUMIFS('recurring2_based on steps'!$B51:$AY51,'recurring2_based on steps'!$B$1:$AY$1,O$1)+SUMIFS('changes2_based on steps'!$B51:$U51,'changes2_based on steps'!$B$1:$U$1,O$1)</f>
        <v>0</v>
      </c>
      <c r="P51" s="155">
        <f ca="1">SUMIFS('recurring2_based on steps'!$B51:$AY51,'recurring2_based on steps'!$B$1:$AY$1,P$1)+SUMIFS('changes2_based on steps'!$B51:$U51,'changes2_based on steps'!$B$1:$U$1,P$1)</f>
        <v>0</v>
      </c>
      <c r="Q51" s="155">
        <f>SUMIFS('recurring2_based on steps'!$B51:$AY51,'recurring2_based on steps'!$B$1:$AY$1,Q$1)+SUMIFS('changes2_based on steps'!$B51:$U51,'changes2_based on steps'!$B$1:$U$1,Q$1)</f>
        <v>0</v>
      </c>
      <c r="R51" s="155">
        <f ca="1">SUMIFS('recurring2_based on steps'!$B51:$AY51,'recurring2_based on steps'!$B$1:$AY$1,R$1)+SUMIFS('changes2_based on steps'!$B51:$U51,'changes2_based on steps'!$B$1:$U$1,R$1)</f>
        <v>0</v>
      </c>
      <c r="S51" s="155">
        <f ca="1">SUMIFS('recurring2_based on steps'!$B51:$AY51,'recurring2_based on steps'!$B$1:$AY$1,S$1)+SUMIFS('changes2_based on steps'!$B51:$U51,'changes2_based on steps'!$B$1:$U$1,S$1)</f>
        <v>0</v>
      </c>
      <c r="T51" s="155">
        <f>SUMIFS('recurring2_based on steps'!$B51:$AY51,'recurring2_based on steps'!$B$1:$AY$1,T$1)+SUMIFS('changes2_based on steps'!$B51:$U51,'changes2_based on steps'!$B$1:$U$1,T$1)</f>
        <v>0</v>
      </c>
      <c r="U51" s="155">
        <f ca="1">SUMIFS('recurring2_based on steps'!$B51:$AY51,'recurring2_based on steps'!$B$1:$AY$1,U$1)+SUMIFS('changes2_based on steps'!$B51:$U51,'changes2_based on steps'!$B$1:$U$1,U$1)</f>
        <v>0</v>
      </c>
      <c r="V51" s="155">
        <f>SUMIFS('recurring2_based on steps'!$B51:$AY51,'recurring2_based on steps'!$B$1:$AY$1,V$1)+SUMIFS('changes2_based on steps'!$B51:$U51,'changes2_based on steps'!$B$1:$U$1,V$1)</f>
        <v>0</v>
      </c>
      <c r="W51" s="155">
        <f ca="1">SUMIFS('recurring2_based on steps'!$B51:$AY51,'recurring2_based on steps'!$B$1:$AY$1,W$1)+SUMIFS('changes2_based on steps'!$B51:$U51,'changes2_based on steps'!$B$1:$U$1,W$1)</f>
        <v>50</v>
      </c>
      <c r="X51" s="155">
        <f ca="1">SUMIFS('recurring2_based on steps'!$B51:$AY51,'recurring2_based on steps'!$B$1:$AY$1,X$1)+SUMIFS('changes2_based on steps'!$B51:$U51,'changes2_based on steps'!$B$1:$U$1,X$1)</f>
        <v>200</v>
      </c>
      <c r="Y51" s="155">
        <f ca="1">SUMIFS('recurring2_based on steps'!$B51:$AY51,'recurring2_based on steps'!$B$1:$AY$1,Y$1)+SUMIFS('changes2_based on steps'!$B51:$U51,'changes2_based on steps'!$B$1:$U$1,Y$1)</f>
        <v>0</v>
      </c>
      <c r="Z51" s="155">
        <f>SUMIFS('recurring2_based on steps'!$B51:$AY51,'recurring2_based on steps'!$B$1:$AY$1,Z$1)+SUMIFS('changes2_based on steps'!$B51:$U51,'changes2_based on steps'!$B$1:$U$1,Z$1)</f>
        <v>0</v>
      </c>
      <c r="AA51" s="155">
        <f>SUMIFS('recurring2_based on steps'!$B51:$AY51,'recurring2_based on steps'!$B$1:$AY$1,AA$1)+SUMIFS('changes2_based on steps'!$B51:$U51,'changes2_based on steps'!$B$1:$U$1,AA$1)</f>
        <v>0</v>
      </c>
    </row>
    <row r="52" spans="1:27" x14ac:dyDescent="0.2">
      <c r="A52" s="18">
        <f t="shared" ca="1" si="0"/>
        <v>45738</v>
      </c>
      <c r="B52" s="155">
        <f ca="1">SUMIFS('recurring2_based on steps'!$B52:$AY52,'recurring2_based on steps'!$B$1:$AY$1,B$1)+SUMIFS('changes2_based on steps'!$B52:$U52,'changes2_based on steps'!$B$1:$U$1,B$1)</f>
        <v>0</v>
      </c>
      <c r="C52" s="155">
        <f>SUMIFS('recurring2_based on steps'!$B52:$AY52,'recurring2_based on steps'!$B$1:$AY$1,C$1)+SUMIFS('changes2_based on steps'!$B52:$U52,'changes2_based on steps'!$B$1:$U$1,C$1)</f>
        <v>0</v>
      </c>
      <c r="D52" s="155">
        <f>SUMIFS('recurring2_based on steps'!$B52:$AY52,'recurring2_based on steps'!$B$1:$AY$1,D$1)+SUMIFS('changes2_based on steps'!$B52:$U52,'changes2_based on steps'!$B$1:$U$1,D$1)</f>
        <v>0</v>
      </c>
      <c r="E52" s="155">
        <f>SUMIFS('recurring2_based on steps'!$B52:$AY52,'recurring2_based on steps'!$B$1:$AY$1,E$1)+SUMIFS('changes2_based on steps'!$B52:$U52,'changes2_based on steps'!$B$1:$U$1,E$1)</f>
        <v>0</v>
      </c>
      <c r="F52" s="155">
        <f>SUMIFS('recurring2_based on steps'!$B52:$AY52,'recurring2_based on steps'!$B$1:$AY$1,F$1)+SUMIFS('changes2_based on steps'!$B52:$U52,'changes2_based on steps'!$B$1:$U$1,F$1)</f>
        <v>0</v>
      </c>
      <c r="G52" s="155">
        <f>SUMIFS('recurring2_based on steps'!$B52:$AY52,'recurring2_based on steps'!$B$1:$AY$1,G$1)+SUMIFS('changes2_based on steps'!$B52:$U52,'changes2_based on steps'!$B$1:$U$1,G$1)</f>
        <v>0</v>
      </c>
      <c r="H52" s="155">
        <f ca="1">SUMIFS('recurring2_based on steps'!$B52:$AY52,'recurring2_based on steps'!$B$1:$AY$1,H$1)+SUMIFS('changes2_based on steps'!$B52:$U52,'changes2_based on steps'!$B$1:$U$1,H$1)</f>
        <v>0</v>
      </c>
      <c r="I52" s="155">
        <f>SUMIFS('recurring2_based on steps'!$B52:$AY52,'recurring2_based on steps'!$B$1:$AY$1,I$1)+SUMIFS('changes2_based on steps'!$B52:$U52,'changes2_based on steps'!$B$1:$U$1,I$1)</f>
        <v>0</v>
      </c>
      <c r="J52" s="155">
        <f>SUMIFS('recurring2_based on steps'!$B52:$AY52,'recurring2_based on steps'!$B$1:$AY$1,J$1)+SUMIFS('changes2_based on steps'!$B52:$U52,'changes2_based on steps'!$B$1:$U$1,J$1)</f>
        <v>0</v>
      </c>
      <c r="K52" s="155">
        <f>SUMIFS('recurring2_based on steps'!$B52:$AY52,'recurring2_based on steps'!$B$1:$AY$1,K$1)+SUMIFS('changes2_based on steps'!$B52:$U52,'changes2_based on steps'!$B$1:$U$1,K$1)</f>
        <v>0</v>
      </c>
      <c r="L52" s="155">
        <f>SUMIFS('recurring2_based on steps'!$B52:$AY52,'recurring2_based on steps'!$B$1:$AY$1,L$1)+SUMIFS('changes2_based on steps'!$B52:$U52,'changes2_based on steps'!$B$1:$U$1,L$1)</f>
        <v>0</v>
      </c>
      <c r="M52" s="155">
        <f ca="1">SUMIFS('recurring2_based on steps'!$B52:$AY52,'recurring2_based on steps'!$B$1:$AY$1,M$1)+SUMIFS('changes2_based on steps'!$B52:$U52,'changes2_based on steps'!$B$1:$U$1,M$1)</f>
        <v>0</v>
      </c>
      <c r="N52" s="155">
        <f ca="1">SUMIFS('recurring2_based on steps'!$B52:$AY52,'recurring2_based on steps'!$B$1:$AY$1,N$1)+SUMIFS('changes2_based on steps'!$B52:$U52,'changes2_based on steps'!$B$1:$U$1,N$1)</f>
        <v>0</v>
      </c>
      <c r="O52" s="155">
        <f ca="1">SUMIFS('recurring2_based on steps'!$B52:$AY52,'recurring2_based on steps'!$B$1:$AY$1,O$1)+SUMIFS('changes2_based on steps'!$B52:$U52,'changes2_based on steps'!$B$1:$U$1,O$1)</f>
        <v>0</v>
      </c>
      <c r="P52" s="155">
        <f ca="1">SUMIFS('recurring2_based on steps'!$B52:$AY52,'recurring2_based on steps'!$B$1:$AY$1,P$1)+SUMIFS('changes2_based on steps'!$B52:$U52,'changes2_based on steps'!$B$1:$U$1,P$1)</f>
        <v>0</v>
      </c>
      <c r="Q52" s="155">
        <f>SUMIFS('recurring2_based on steps'!$B52:$AY52,'recurring2_based on steps'!$B$1:$AY$1,Q$1)+SUMIFS('changes2_based on steps'!$B52:$U52,'changes2_based on steps'!$B$1:$U$1,Q$1)</f>
        <v>0</v>
      </c>
      <c r="R52" s="155">
        <f ca="1">SUMIFS('recurring2_based on steps'!$B52:$AY52,'recurring2_based on steps'!$B$1:$AY$1,R$1)+SUMIFS('changes2_based on steps'!$B52:$U52,'changes2_based on steps'!$B$1:$U$1,R$1)</f>
        <v>100</v>
      </c>
      <c r="S52" s="155">
        <f ca="1">SUMIFS('recurring2_based on steps'!$B52:$AY52,'recurring2_based on steps'!$B$1:$AY$1,S$1)+SUMIFS('changes2_based on steps'!$B52:$U52,'changes2_based on steps'!$B$1:$U$1,S$1)</f>
        <v>100</v>
      </c>
      <c r="T52" s="155">
        <f>SUMIFS('recurring2_based on steps'!$B52:$AY52,'recurring2_based on steps'!$B$1:$AY$1,T$1)+SUMIFS('changes2_based on steps'!$B52:$U52,'changes2_based on steps'!$B$1:$U$1,T$1)</f>
        <v>0</v>
      </c>
      <c r="U52" s="155">
        <f ca="1">SUMIFS('recurring2_based on steps'!$B52:$AY52,'recurring2_based on steps'!$B$1:$AY$1,U$1)+SUMIFS('changes2_based on steps'!$B52:$U52,'changes2_based on steps'!$B$1:$U$1,U$1)</f>
        <v>0</v>
      </c>
      <c r="V52" s="155">
        <f>SUMIFS('recurring2_based on steps'!$B52:$AY52,'recurring2_based on steps'!$B$1:$AY$1,V$1)+SUMIFS('changes2_based on steps'!$B52:$U52,'changes2_based on steps'!$B$1:$U$1,V$1)</f>
        <v>0</v>
      </c>
      <c r="W52" s="155">
        <f ca="1">SUMIFS('recurring2_based on steps'!$B52:$AY52,'recurring2_based on steps'!$B$1:$AY$1,W$1)+SUMIFS('changes2_based on steps'!$B52:$U52,'changes2_based on steps'!$B$1:$U$1,W$1)</f>
        <v>0</v>
      </c>
      <c r="X52" s="155">
        <f ca="1">SUMIFS('recurring2_based on steps'!$B52:$AY52,'recurring2_based on steps'!$B$1:$AY$1,X$1)+SUMIFS('changes2_based on steps'!$B52:$U52,'changes2_based on steps'!$B$1:$U$1,X$1)</f>
        <v>0</v>
      </c>
      <c r="Y52" s="155">
        <f ca="1">SUMIFS('recurring2_based on steps'!$B52:$AY52,'recurring2_based on steps'!$B$1:$AY$1,Y$1)+SUMIFS('changes2_based on steps'!$B52:$U52,'changes2_based on steps'!$B$1:$U$1,Y$1)</f>
        <v>0</v>
      </c>
      <c r="Z52" s="155">
        <f>SUMIFS('recurring2_based on steps'!$B52:$AY52,'recurring2_based on steps'!$B$1:$AY$1,Z$1)+SUMIFS('changes2_based on steps'!$B52:$U52,'changes2_based on steps'!$B$1:$U$1,Z$1)</f>
        <v>0</v>
      </c>
      <c r="AA52" s="155">
        <f>SUMIFS('recurring2_based on steps'!$B52:$AY52,'recurring2_based on steps'!$B$1:$AY$1,AA$1)+SUMIFS('changes2_based on steps'!$B52:$U52,'changes2_based on steps'!$B$1:$U$1,AA$1)</f>
        <v>0</v>
      </c>
    </row>
    <row r="53" spans="1:27" x14ac:dyDescent="0.2">
      <c r="A53" s="18">
        <f t="shared" ca="1" si="0"/>
        <v>45739</v>
      </c>
      <c r="B53" s="155">
        <f ca="1">SUMIFS('recurring2_based on steps'!$B53:$AY53,'recurring2_based on steps'!$B$1:$AY$1,B$1)+SUMIFS('changes2_based on steps'!$B53:$U53,'changes2_based on steps'!$B$1:$U$1,B$1)</f>
        <v>0</v>
      </c>
      <c r="C53" s="155">
        <f>SUMIFS('recurring2_based on steps'!$B53:$AY53,'recurring2_based on steps'!$B$1:$AY$1,C$1)+SUMIFS('changes2_based on steps'!$B53:$U53,'changes2_based on steps'!$B$1:$U$1,C$1)</f>
        <v>0</v>
      </c>
      <c r="D53" s="155">
        <f>SUMIFS('recurring2_based on steps'!$B53:$AY53,'recurring2_based on steps'!$B$1:$AY$1,D$1)+SUMIFS('changes2_based on steps'!$B53:$U53,'changes2_based on steps'!$B$1:$U$1,D$1)</f>
        <v>0</v>
      </c>
      <c r="E53" s="155">
        <f>SUMIFS('recurring2_based on steps'!$B53:$AY53,'recurring2_based on steps'!$B$1:$AY$1,E$1)+SUMIFS('changes2_based on steps'!$B53:$U53,'changes2_based on steps'!$B$1:$U$1,E$1)</f>
        <v>0</v>
      </c>
      <c r="F53" s="155">
        <f>SUMIFS('recurring2_based on steps'!$B53:$AY53,'recurring2_based on steps'!$B$1:$AY$1,F$1)+SUMIFS('changes2_based on steps'!$B53:$U53,'changes2_based on steps'!$B$1:$U$1,F$1)</f>
        <v>0</v>
      </c>
      <c r="G53" s="155">
        <f>SUMIFS('recurring2_based on steps'!$B53:$AY53,'recurring2_based on steps'!$B$1:$AY$1,G$1)+SUMIFS('changes2_based on steps'!$B53:$U53,'changes2_based on steps'!$B$1:$U$1,G$1)</f>
        <v>0</v>
      </c>
      <c r="H53" s="155">
        <f ca="1">SUMIFS('recurring2_based on steps'!$B53:$AY53,'recurring2_based on steps'!$B$1:$AY$1,H$1)+SUMIFS('changes2_based on steps'!$B53:$U53,'changes2_based on steps'!$B$1:$U$1,H$1)</f>
        <v>0</v>
      </c>
      <c r="I53" s="155">
        <f>SUMIFS('recurring2_based on steps'!$B53:$AY53,'recurring2_based on steps'!$B$1:$AY$1,I$1)+SUMIFS('changes2_based on steps'!$B53:$U53,'changes2_based on steps'!$B$1:$U$1,I$1)</f>
        <v>0</v>
      </c>
      <c r="J53" s="155">
        <f>SUMIFS('recurring2_based on steps'!$B53:$AY53,'recurring2_based on steps'!$B$1:$AY$1,J$1)+SUMIFS('changes2_based on steps'!$B53:$U53,'changes2_based on steps'!$B$1:$U$1,J$1)</f>
        <v>0</v>
      </c>
      <c r="K53" s="155">
        <f>SUMIFS('recurring2_based on steps'!$B53:$AY53,'recurring2_based on steps'!$B$1:$AY$1,K$1)+SUMIFS('changes2_based on steps'!$B53:$U53,'changes2_based on steps'!$B$1:$U$1,K$1)</f>
        <v>0</v>
      </c>
      <c r="L53" s="155">
        <f>SUMIFS('recurring2_based on steps'!$B53:$AY53,'recurring2_based on steps'!$B$1:$AY$1,L$1)+SUMIFS('changes2_based on steps'!$B53:$U53,'changes2_based on steps'!$B$1:$U$1,L$1)</f>
        <v>0</v>
      </c>
      <c r="M53" s="155">
        <f ca="1">SUMIFS('recurring2_based on steps'!$B53:$AY53,'recurring2_based on steps'!$B$1:$AY$1,M$1)+SUMIFS('changes2_based on steps'!$B53:$U53,'changes2_based on steps'!$B$1:$U$1,M$1)</f>
        <v>0</v>
      </c>
      <c r="N53" s="155">
        <f ca="1">SUMIFS('recurring2_based on steps'!$B53:$AY53,'recurring2_based on steps'!$B$1:$AY$1,N$1)+SUMIFS('changes2_based on steps'!$B53:$U53,'changes2_based on steps'!$B$1:$U$1,N$1)</f>
        <v>50</v>
      </c>
      <c r="O53" s="155">
        <f ca="1">SUMIFS('recurring2_based on steps'!$B53:$AY53,'recurring2_based on steps'!$B$1:$AY$1,O$1)+SUMIFS('changes2_based on steps'!$B53:$U53,'changes2_based on steps'!$B$1:$U$1,O$1)</f>
        <v>0</v>
      </c>
      <c r="P53" s="155">
        <f ca="1">SUMIFS('recurring2_based on steps'!$B53:$AY53,'recurring2_based on steps'!$B$1:$AY$1,P$1)+SUMIFS('changes2_based on steps'!$B53:$U53,'changes2_based on steps'!$B$1:$U$1,P$1)</f>
        <v>0</v>
      </c>
      <c r="Q53" s="155">
        <f>SUMIFS('recurring2_based on steps'!$B53:$AY53,'recurring2_based on steps'!$B$1:$AY$1,Q$1)+SUMIFS('changes2_based on steps'!$B53:$U53,'changes2_based on steps'!$B$1:$U$1,Q$1)</f>
        <v>0</v>
      </c>
      <c r="R53" s="155">
        <f ca="1">SUMIFS('recurring2_based on steps'!$B53:$AY53,'recurring2_based on steps'!$B$1:$AY$1,R$1)+SUMIFS('changes2_based on steps'!$B53:$U53,'changes2_based on steps'!$B$1:$U$1,R$1)</f>
        <v>0</v>
      </c>
      <c r="S53" s="155">
        <f ca="1">SUMIFS('recurring2_based on steps'!$B53:$AY53,'recurring2_based on steps'!$B$1:$AY$1,S$1)+SUMIFS('changes2_based on steps'!$B53:$U53,'changes2_based on steps'!$B$1:$U$1,S$1)</f>
        <v>100</v>
      </c>
      <c r="T53" s="155">
        <f>SUMIFS('recurring2_based on steps'!$B53:$AY53,'recurring2_based on steps'!$B$1:$AY$1,T$1)+SUMIFS('changes2_based on steps'!$B53:$U53,'changes2_based on steps'!$B$1:$U$1,T$1)</f>
        <v>0</v>
      </c>
      <c r="U53" s="155">
        <f ca="1">SUMIFS('recurring2_based on steps'!$B53:$AY53,'recurring2_based on steps'!$B$1:$AY$1,U$1)+SUMIFS('changes2_based on steps'!$B53:$U53,'changes2_based on steps'!$B$1:$U$1,U$1)</f>
        <v>0</v>
      </c>
      <c r="V53" s="155">
        <f>SUMIFS('recurring2_based on steps'!$B53:$AY53,'recurring2_based on steps'!$B$1:$AY$1,V$1)+SUMIFS('changes2_based on steps'!$B53:$U53,'changes2_based on steps'!$B$1:$U$1,V$1)</f>
        <v>0</v>
      </c>
      <c r="W53" s="155">
        <f ca="1">SUMIFS('recurring2_based on steps'!$B53:$AY53,'recurring2_based on steps'!$B$1:$AY$1,W$1)+SUMIFS('changes2_based on steps'!$B53:$U53,'changes2_based on steps'!$B$1:$U$1,W$1)</f>
        <v>0</v>
      </c>
      <c r="X53" s="155">
        <f ca="1">SUMIFS('recurring2_based on steps'!$B53:$AY53,'recurring2_based on steps'!$B$1:$AY$1,X$1)+SUMIFS('changes2_based on steps'!$B53:$U53,'changes2_based on steps'!$B$1:$U$1,X$1)</f>
        <v>0</v>
      </c>
      <c r="Y53" s="155">
        <f ca="1">SUMIFS('recurring2_based on steps'!$B53:$AY53,'recurring2_based on steps'!$B$1:$AY$1,Y$1)+SUMIFS('changes2_based on steps'!$B53:$U53,'changes2_based on steps'!$B$1:$U$1,Y$1)</f>
        <v>0</v>
      </c>
      <c r="Z53" s="155">
        <f>SUMIFS('recurring2_based on steps'!$B53:$AY53,'recurring2_based on steps'!$B$1:$AY$1,Z$1)+SUMIFS('changes2_based on steps'!$B53:$U53,'changes2_based on steps'!$B$1:$U$1,Z$1)</f>
        <v>0</v>
      </c>
      <c r="AA53" s="155">
        <f>SUMIFS('recurring2_based on steps'!$B53:$AY53,'recurring2_based on steps'!$B$1:$AY$1,AA$1)+SUMIFS('changes2_based on steps'!$B53:$U53,'changes2_based on steps'!$B$1:$U$1,AA$1)</f>
        <v>0</v>
      </c>
    </row>
    <row r="54" spans="1:27" x14ac:dyDescent="0.2">
      <c r="A54" s="18">
        <f t="shared" ca="1" si="0"/>
        <v>45740</v>
      </c>
      <c r="B54" s="155">
        <f ca="1">SUMIFS('recurring2_based on steps'!$B54:$AY54,'recurring2_based on steps'!$B$1:$AY$1,B$1)+SUMIFS('changes2_based on steps'!$B54:$U54,'changes2_based on steps'!$B$1:$U$1,B$1)</f>
        <v>0</v>
      </c>
      <c r="C54" s="155">
        <f>SUMIFS('recurring2_based on steps'!$B54:$AY54,'recurring2_based on steps'!$B$1:$AY$1,C$1)+SUMIFS('changes2_based on steps'!$B54:$U54,'changes2_based on steps'!$B$1:$U$1,C$1)</f>
        <v>0</v>
      </c>
      <c r="D54" s="155">
        <f>SUMIFS('recurring2_based on steps'!$B54:$AY54,'recurring2_based on steps'!$B$1:$AY$1,D$1)+SUMIFS('changes2_based on steps'!$B54:$U54,'changes2_based on steps'!$B$1:$U$1,D$1)</f>
        <v>0</v>
      </c>
      <c r="E54" s="155">
        <f>SUMIFS('recurring2_based on steps'!$B54:$AY54,'recurring2_based on steps'!$B$1:$AY$1,E$1)+SUMIFS('changes2_based on steps'!$B54:$U54,'changes2_based on steps'!$B$1:$U$1,E$1)</f>
        <v>0</v>
      </c>
      <c r="F54" s="155">
        <f>SUMIFS('recurring2_based on steps'!$B54:$AY54,'recurring2_based on steps'!$B$1:$AY$1,F$1)+SUMIFS('changes2_based on steps'!$B54:$U54,'changes2_based on steps'!$B$1:$U$1,F$1)</f>
        <v>0</v>
      </c>
      <c r="G54" s="155">
        <f>SUMIFS('recurring2_based on steps'!$B54:$AY54,'recurring2_based on steps'!$B$1:$AY$1,G$1)+SUMIFS('changes2_based on steps'!$B54:$U54,'changes2_based on steps'!$B$1:$U$1,G$1)</f>
        <v>0</v>
      </c>
      <c r="H54" s="155">
        <f ca="1">SUMIFS('recurring2_based on steps'!$B54:$AY54,'recurring2_based on steps'!$B$1:$AY$1,H$1)+SUMIFS('changes2_based on steps'!$B54:$U54,'changes2_based on steps'!$B$1:$U$1,H$1)</f>
        <v>0</v>
      </c>
      <c r="I54" s="155">
        <f>SUMIFS('recurring2_based on steps'!$B54:$AY54,'recurring2_based on steps'!$B$1:$AY$1,I$1)+SUMIFS('changes2_based on steps'!$B54:$U54,'changes2_based on steps'!$B$1:$U$1,I$1)</f>
        <v>0</v>
      </c>
      <c r="J54" s="155">
        <f>SUMIFS('recurring2_based on steps'!$B54:$AY54,'recurring2_based on steps'!$B$1:$AY$1,J$1)+SUMIFS('changes2_based on steps'!$B54:$U54,'changes2_based on steps'!$B$1:$U$1,J$1)</f>
        <v>0</v>
      </c>
      <c r="K54" s="155">
        <f>SUMIFS('recurring2_based on steps'!$B54:$AY54,'recurring2_based on steps'!$B$1:$AY$1,K$1)+SUMIFS('changes2_based on steps'!$B54:$U54,'changes2_based on steps'!$B$1:$U$1,K$1)</f>
        <v>0</v>
      </c>
      <c r="L54" s="155">
        <f>SUMIFS('recurring2_based on steps'!$B54:$AY54,'recurring2_based on steps'!$B$1:$AY$1,L$1)+SUMIFS('changes2_based on steps'!$B54:$U54,'changes2_based on steps'!$B$1:$U$1,L$1)</f>
        <v>0</v>
      </c>
      <c r="M54" s="155">
        <f ca="1">SUMIFS('recurring2_based on steps'!$B54:$AY54,'recurring2_based on steps'!$B$1:$AY$1,M$1)+SUMIFS('changes2_based on steps'!$B54:$U54,'changes2_based on steps'!$B$1:$U$1,M$1)</f>
        <v>0</v>
      </c>
      <c r="N54" s="155">
        <f ca="1">SUMIFS('recurring2_based on steps'!$B54:$AY54,'recurring2_based on steps'!$B$1:$AY$1,N$1)+SUMIFS('changes2_based on steps'!$B54:$U54,'changes2_based on steps'!$B$1:$U$1,N$1)</f>
        <v>0</v>
      </c>
      <c r="O54" s="155">
        <f ca="1">SUMIFS('recurring2_based on steps'!$B54:$AY54,'recurring2_based on steps'!$B$1:$AY$1,O$1)+SUMIFS('changes2_based on steps'!$B54:$U54,'changes2_based on steps'!$B$1:$U$1,O$1)</f>
        <v>0</v>
      </c>
      <c r="P54" s="155">
        <f ca="1">SUMIFS('recurring2_based on steps'!$B54:$AY54,'recurring2_based on steps'!$B$1:$AY$1,P$1)+SUMIFS('changes2_based on steps'!$B54:$U54,'changes2_based on steps'!$B$1:$U$1,P$1)</f>
        <v>0</v>
      </c>
      <c r="Q54" s="155">
        <f>SUMIFS('recurring2_based on steps'!$B54:$AY54,'recurring2_based on steps'!$B$1:$AY$1,Q$1)+SUMIFS('changes2_based on steps'!$B54:$U54,'changes2_based on steps'!$B$1:$U$1,Q$1)</f>
        <v>0</v>
      </c>
      <c r="R54" s="155">
        <f ca="1">SUMIFS('recurring2_based on steps'!$B54:$AY54,'recurring2_based on steps'!$B$1:$AY$1,R$1)+SUMIFS('changes2_based on steps'!$B54:$U54,'changes2_based on steps'!$B$1:$U$1,R$1)</f>
        <v>0</v>
      </c>
      <c r="S54" s="155">
        <f ca="1">SUMIFS('recurring2_based on steps'!$B54:$AY54,'recurring2_based on steps'!$B$1:$AY$1,S$1)+SUMIFS('changes2_based on steps'!$B54:$U54,'changes2_based on steps'!$B$1:$U$1,S$1)</f>
        <v>0</v>
      </c>
      <c r="T54" s="155">
        <f>SUMIFS('recurring2_based on steps'!$B54:$AY54,'recurring2_based on steps'!$B$1:$AY$1,T$1)+SUMIFS('changes2_based on steps'!$B54:$U54,'changes2_based on steps'!$B$1:$U$1,T$1)</f>
        <v>0</v>
      </c>
      <c r="U54" s="155">
        <f ca="1">SUMIFS('recurring2_based on steps'!$B54:$AY54,'recurring2_based on steps'!$B$1:$AY$1,U$1)+SUMIFS('changes2_based on steps'!$B54:$U54,'changes2_based on steps'!$B$1:$U$1,U$1)</f>
        <v>0</v>
      </c>
      <c r="V54" s="155">
        <f>SUMIFS('recurring2_based on steps'!$B54:$AY54,'recurring2_based on steps'!$B$1:$AY$1,V$1)+SUMIFS('changes2_based on steps'!$B54:$U54,'changes2_based on steps'!$B$1:$U$1,V$1)</f>
        <v>0</v>
      </c>
      <c r="W54" s="155">
        <f ca="1">SUMIFS('recurring2_based on steps'!$B54:$AY54,'recurring2_based on steps'!$B$1:$AY$1,W$1)+SUMIFS('changes2_based on steps'!$B54:$U54,'changes2_based on steps'!$B$1:$U$1,W$1)</f>
        <v>0</v>
      </c>
      <c r="X54" s="155">
        <f ca="1">SUMIFS('recurring2_based on steps'!$B54:$AY54,'recurring2_based on steps'!$B$1:$AY$1,X$1)+SUMIFS('changes2_based on steps'!$B54:$U54,'changes2_based on steps'!$B$1:$U$1,X$1)</f>
        <v>0</v>
      </c>
      <c r="Y54" s="155">
        <f ca="1">SUMIFS('recurring2_based on steps'!$B54:$AY54,'recurring2_based on steps'!$B$1:$AY$1,Y$1)+SUMIFS('changes2_based on steps'!$B54:$U54,'changes2_based on steps'!$B$1:$U$1,Y$1)</f>
        <v>0</v>
      </c>
      <c r="Z54" s="155">
        <f>SUMIFS('recurring2_based on steps'!$B54:$AY54,'recurring2_based on steps'!$B$1:$AY$1,Z$1)+SUMIFS('changes2_based on steps'!$B54:$U54,'changes2_based on steps'!$B$1:$U$1,Z$1)</f>
        <v>0</v>
      </c>
      <c r="AA54" s="155">
        <f>SUMIFS('recurring2_based on steps'!$B54:$AY54,'recurring2_based on steps'!$B$1:$AY$1,AA$1)+SUMIFS('changes2_based on steps'!$B54:$U54,'changes2_based on steps'!$B$1:$U$1,AA$1)</f>
        <v>0</v>
      </c>
    </row>
    <row r="55" spans="1:27" x14ac:dyDescent="0.2">
      <c r="A55" s="18">
        <f t="shared" ca="1" si="0"/>
        <v>45741</v>
      </c>
      <c r="B55" s="155">
        <f ca="1">SUMIFS('recurring2_based on steps'!$B55:$AY55,'recurring2_based on steps'!$B$1:$AY$1,B$1)+SUMIFS('changes2_based on steps'!$B55:$U55,'changes2_based on steps'!$B$1:$U$1,B$1)</f>
        <v>0</v>
      </c>
      <c r="C55" s="155">
        <f>SUMIFS('recurring2_based on steps'!$B55:$AY55,'recurring2_based on steps'!$B$1:$AY$1,C$1)+SUMIFS('changes2_based on steps'!$B55:$U55,'changes2_based on steps'!$B$1:$U$1,C$1)</f>
        <v>0</v>
      </c>
      <c r="D55" s="155">
        <f>SUMIFS('recurring2_based on steps'!$B55:$AY55,'recurring2_based on steps'!$B$1:$AY$1,D$1)+SUMIFS('changes2_based on steps'!$B55:$U55,'changes2_based on steps'!$B$1:$U$1,D$1)</f>
        <v>0</v>
      </c>
      <c r="E55" s="155">
        <f>SUMIFS('recurring2_based on steps'!$B55:$AY55,'recurring2_based on steps'!$B$1:$AY$1,E$1)+SUMIFS('changes2_based on steps'!$B55:$U55,'changes2_based on steps'!$B$1:$U$1,E$1)</f>
        <v>0</v>
      </c>
      <c r="F55" s="155">
        <f>SUMIFS('recurring2_based on steps'!$B55:$AY55,'recurring2_based on steps'!$B$1:$AY$1,F$1)+SUMIFS('changes2_based on steps'!$B55:$U55,'changes2_based on steps'!$B$1:$U$1,F$1)</f>
        <v>0</v>
      </c>
      <c r="G55" s="155">
        <f>SUMIFS('recurring2_based on steps'!$B55:$AY55,'recurring2_based on steps'!$B$1:$AY$1,G$1)+SUMIFS('changes2_based on steps'!$B55:$U55,'changes2_based on steps'!$B$1:$U$1,G$1)</f>
        <v>0</v>
      </c>
      <c r="H55" s="155">
        <f ca="1">SUMIFS('recurring2_based on steps'!$B55:$AY55,'recurring2_based on steps'!$B$1:$AY$1,H$1)+SUMIFS('changes2_based on steps'!$B55:$U55,'changes2_based on steps'!$B$1:$U$1,H$1)</f>
        <v>0</v>
      </c>
      <c r="I55" s="155">
        <f>SUMIFS('recurring2_based on steps'!$B55:$AY55,'recurring2_based on steps'!$B$1:$AY$1,I$1)+SUMIFS('changes2_based on steps'!$B55:$U55,'changes2_based on steps'!$B$1:$U$1,I$1)</f>
        <v>0</v>
      </c>
      <c r="J55" s="155">
        <f>SUMIFS('recurring2_based on steps'!$B55:$AY55,'recurring2_based on steps'!$B$1:$AY$1,J$1)+SUMIFS('changes2_based on steps'!$B55:$U55,'changes2_based on steps'!$B$1:$U$1,J$1)</f>
        <v>0</v>
      </c>
      <c r="K55" s="155">
        <f>SUMIFS('recurring2_based on steps'!$B55:$AY55,'recurring2_based on steps'!$B$1:$AY$1,K$1)+SUMIFS('changes2_based on steps'!$B55:$U55,'changes2_based on steps'!$B$1:$U$1,K$1)</f>
        <v>0</v>
      </c>
      <c r="L55" s="155">
        <f>SUMIFS('recurring2_based on steps'!$B55:$AY55,'recurring2_based on steps'!$B$1:$AY$1,L$1)+SUMIFS('changes2_based on steps'!$B55:$U55,'changes2_based on steps'!$B$1:$U$1,L$1)</f>
        <v>0</v>
      </c>
      <c r="M55" s="155">
        <f ca="1">SUMIFS('recurring2_based on steps'!$B55:$AY55,'recurring2_based on steps'!$B$1:$AY$1,M$1)+SUMIFS('changes2_based on steps'!$B55:$U55,'changes2_based on steps'!$B$1:$U$1,M$1)</f>
        <v>0</v>
      </c>
      <c r="N55" s="155">
        <f ca="1">SUMIFS('recurring2_based on steps'!$B55:$AY55,'recurring2_based on steps'!$B$1:$AY$1,N$1)+SUMIFS('changes2_based on steps'!$B55:$U55,'changes2_based on steps'!$B$1:$U$1,N$1)</f>
        <v>0</v>
      </c>
      <c r="O55" s="155">
        <f ca="1">SUMIFS('recurring2_based on steps'!$B55:$AY55,'recurring2_based on steps'!$B$1:$AY$1,O$1)+SUMIFS('changes2_based on steps'!$B55:$U55,'changes2_based on steps'!$B$1:$U$1,O$1)</f>
        <v>0</v>
      </c>
      <c r="P55" s="155">
        <f ca="1">SUMIFS('recurring2_based on steps'!$B55:$AY55,'recurring2_based on steps'!$B$1:$AY$1,P$1)+SUMIFS('changes2_based on steps'!$B55:$U55,'changes2_based on steps'!$B$1:$U$1,P$1)</f>
        <v>0</v>
      </c>
      <c r="Q55" s="155">
        <f>SUMIFS('recurring2_based on steps'!$B55:$AY55,'recurring2_based on steps'!$B$1:$AY$1,Q$1)+SUMIFS('changes2_based on steps'!$B55:$U55,'changes2_based on steps'!$B$1:$U$1,Q$1)</f>
        <v>0</v>
      </c>
      <c r="R55" s="155">
        <f ca="1">SUMIFS('recurring2_based on steps'!$B55:$AY55,'recurring2_based on steps'!$B$1:$AY$1,R$1)+SUMIFS('changes2_based on steps'!$B55:$U55,'changes2_based on steps'!$B$1:$U$1,R$1)</f>
        <v>0</v>
      </c>
      <c r="S55" s="155">
        <f ca="1">SUMIFS('recurring2_based on steps'!$B55:$AY55,'recurring2_based on steps'!$B$1:$AY$1,S$1)+SUMIFS('changes2_based on steps'!$B55:$U55,'changes2_based on steps'!$B$1:$U$1,S$1)</f>
        <v>0</v>
      </c>
      <c r="T55" s="155">
        <f>SUMIFS('recurring2_based on steps'!$B55:$AY55,'recurring2_based on steps'!$B$1:$AY$1,T$1)+SUMIFS('changes2_based on steps'!$B55:$U55,'changes2_based on steps'!$B$1:$U$1,T$1)</f>
        <v>0</v>
      </c>
      <c r="U55" s="155">
        <f ca="1">SUMIFS('recurring2_based on steps'!$B55:$AY55,'recurring2_based on steps'!$B$1:$AY$1,U$1)+SUMIFS('changes2_based on steps'!$B55:$U55,'changes2_based on steps'!$B$1:$U$1,U$1)</f>
        <v>0</v>
      </c>
      <c r="V55" s="155">
        <f>SUMIFS('recurring2_based on steps'!$B55:$AY55,'recurring2_based on steps'!$B$1:$AY$1,V$1)+SUMIFS('changes2_based on steps'!$B55:$U55,'changes2_based on steps'!$B$1:$U$1,V$1)</f>
        <v>0</v>
      </c>
      <c r="W55" s="155">
        <f ca="1">SUMIFS('recurring2_based on steps'!$B55:$AY55,'recurring2_based on steps'!$B$1:$AY$1,W$1)+SUMIFS('changes2_based on steps'!$B55:$U55,'changes2_based on steps'!$B$1:$U$1,W$1)</f>
        <v>0</v>
      </c>
      <c r="X55" s="155">
        <f ca="1">SUMIFS('recurring2_based on steps'!$B55:$AY55,'recurring2_based on steps'!$B$1:$AY$1,X$1)+SUMIFS('changes2_based on steps'!$B55:$U55,'changes2_based on steps'!$B$1:$U$1,X$1)</f>
        <v>0</v>
      </c>
      <c r="Y55" s="155">
        <f ca="1">SUMIFS('recurring2_based on steps'!$B55:$AY55,'recurring2_based on steps'!$B$1:$AY$1,Y$1)+SUMIFS('changes2_based on steps'!$B55:$U55,'changes2_based on steps'!$B$1:$U$1,Y$1)</f>
        <v>0</v>
      </c>
      <c r="Z55" s="155">
        <f>SUMIFS('recurring2_based on steps'!$B55:$AY55,'recurring2_based on steps'!$B$1:$AY$1,Z$1)+SUMIFS('changes2_based on steps'!$B55:$U55,'changes2_based on steps'!$B$1:$U$1,Z$1)</f>
        <v>0</v>
      </c>
      <c r="AA55" s="155">
        <f>SUMIFS('recurring2_based on steps'!$B55:$AY55,'recurring2_based on steps'!$B$1:$AY$1,AA$1)+SUMIFS('changes2_based on steps'!$B55:$U55,'changes2_based on steps'!$B$1:$U$1,AA$1)</f>
        <v>0</v>
      </c>
    </row>
    <row r="56" spans="1:27" x14ac:dyDescent="0.2">
      <c r="A56" s="18">
        <f t="shared" ca="1" si="0"/>
        <v>45742</v>
      </c>
      <c r="B56" s="155">
        <f ca="1">SUMIFS('recurring2_based on steps'!$B56:$AY56,'recurring2_based on steps'!$B$1:$AY$1,B$1)+SUMIFS('changes2_based on steps'!$B56:$U56,'changes2_based on steps'!$B$1:$U$1,B$1)</f>
        <v>100</v>
      </c>
      <c r="C56" s="155">
        <f>SUMIFS('recurring2_based on steps'!$B56:$AY56,'recurring2_based on steps'!$B$1:$AY$1,C$1)+SUMIFS('changes2_based on steps'!$B56:$U56,'changes2_based on steps'!$B$1:$U$1,C$1)</f>
        <v>0</v>
      </c>
      <c r="D56" s="155">
        <f>SUMIFS('recurring2_based on steps'!$B56:$AY56,'recurring2_based on steps'!$B$1:$AY$1,D$1)+SUMIFS('changes2_based on steps'!$B56:$U56,'changes2_based on steps'!$B$1:$U$1,D$1)</f>
        <v>0</v>
      </c>
      <c r="E56" s="155">
        <f>SUMIFS('recurring2_based on steps'!$B56:$AY56,'recurring2_based on steps'!$B$1:$AY$1,E$1)+SUMIFS('changes2_based on steps'!$B56:$U56,'changes2_based on steps'!$B$1:$U$1,E$1)</f>
        <v>0</v>
      </c>
      <c r="F56" s="155">
        <f>SUMIFS('recurring2_based on steps'!$B56:$AY56,'recurring2_based on steps'!$B$1:$AY$1,F$1)+SUMIFS('changes2_based on steps'!$B56:$U56,'changes2_based on steps'!$B$1:$U$1,F$1)</f>
        <v>0</v>
      </c>
      <c r="G56" s="155">
        <f>SUMIFS('recurring2_based on steps'!$B56:$AY56,'recurring2_based on steps'!$B$1:$AY$1,G$1)+SUMIFS('changes2_based on steps'!$B56:$U56,'changes2_based on steps'!$B$1:$U$1,G$1)</f>
        <v>0</v>
      </c>
      <c r="H56" s="155">
        <f ca="1">SUMIFS('recurring2_based on steps'!$B56:$AY56,'recurring2_based on steps'!$B$1:$AY$1,H$1)+SUMIFS('changes2_based on steps'!$B56:$U56,'changes2_based on steps'!$B$1:$U$1,H$1)</f>
        <v>0</v>
      </c>
      <c r="I56" s="155">
        <f>SUMIFS('recurring2_based on steps'!$B56:$AY56,'recurring2_based on steps'!$B$1:$AY$1,I$1)+SUMIFS('changes2_based on steps'!$B56:$U56,'changes2_based on steps'!$B$1:$U$1,I$1)</f>
        <v>0</v>
      </c>
      <c r="J56" s="155">
        <f>SUMIFS('recurring2_based on steps'!$B56:$AY56,'recurring2_based on steps'!$B$1:$AY$1,J$1)+SUMIFS('changes2_based on steps'!$B56:$U56,'changes2_based on steps'!$B$1:$U$1,J$1)</f>
        <v>0</v>
      </c>
      <c r="K56" s="155">
        <f>SUMIFS('recurring2_based on steps'!$B56:$AY56,'recurring2_based on steps'!$B$1:$AY$1,K$1)+SUMIFS('changes2_based on steps'!$B56:$U56,'changes2_based on steps'!$B$1:$U$1,K$1)</f>
        <v>0</v>
      </c>
      <c r="L56" s="155">
        <f>SUMIFS('recurring2_based on steps'!$B56:$AY56,'recurring2_based on steps'!$B$1:$AY$1,L$1)+SUMIFS('changes2_based on steps'!$B56:$U56,'changes2_based on steps'!$B$1:$U$1,L$1)</f>
        <v>0</v>
      </c>
      <c r="M56" s="155">
        <f ca="1">SUMIFS('recurring2_based on steps'!$B56:$AY56,'recurring2_based on steps'!$B$1:$AY$1,M$1)+SUMIFS('changes2_based on steps'!$B56:$U56,'changes2_based on steps'!$B$1:$U$1,M$1)</f>
        <v>0</v>
      </c>
      <c r="N56" s="155">
        <f ca="1">SUMIFS('recurring2_based on steps'!$B56:$AY56,'recurring2_based on steps'!$B$1:$AY$1,N$1)+SUMIFS('changes2_based on steps'!$B56:$U56,'changes2_based on steps'!$B$1:$U$1,N$1)</f>
        <v>0</v>
      </c>
      <c r="O56" s="155">
        <f ca="1">SUMIFS('recurring2_based on steps'!$B56:$AY56,'recurring2_based on steps'!$B$1:$AY$1,O$1)+SUMIFS('changes2_based on steps'!$B56:$U56,'changes2_based on steps'!$B$1:$U$1,O$1)</f>
        <v>0</v>
      </c>
      <c r="P56" s="155">
        <f ca="1">SUMIFS('recurring2_based on steps'!$B56:$AY56,'recurring2_based on steps'!$B$1:$AY$1,P$1)+SUMIFS('changes2_based on steps'!$B56:$U56,'changes2_based on steps'!$B$1:$U$1,P$1)</f>
        <v>0</v>
      </c>
      <c r="Q56" s="155">
        <f>SUMIFS('recurring2_based on steps'!$B56:$AY56,'recurring2_based on steps'!$B$1:$AY$1,Q$1)+SUMIFS('changes2_based on steps'!$B56:$U56,'changes2_based on steps'!$B$1:$U$1,Q$1)</f>
        <v>0</v>
      </c>
      <c r="R56" s="155">
        <f ca="1">SUMIFS('recurring2_based on steps'!$B56:$AY56,'recurring2_based on steps'!$B$1:$AY$1,R$1)+SUMIFS('changes2_based on steps'!$B56:$U56,'changes2_based on steps'!$B$1:$U$1,R$1)</f>
        <v>0</v>
      </c>
      <c r="S56" s="155">
        <f ca="1">SUMIFS('recurring2_based on steps'!$B56:$AY56,'recurring2_based on steps'!$B$1:$AY$1,S$1)+SUMIFS('changes2_based on steps'!$B56:$U56,'changes2_based on steps'!$B$1:$U$1,S$1)</f>
        <v>0</v>
      </c>
      <c r="T56" s="155">
        <f>SUMIFS('recurring2_based on steps'!$B56:$AY56,'recurring2_based on steps'!$B$1:$AY$1,T$1)+SUMIFS('changes2_based on steps'!$B56:$U56,'changes2_based on steps'!$B$1:$U$1,T$1)</f>
        <v>0</v>
      </c>
      <c r="U56" s="155">
        <f ca="1">SUMIFS('recurring2_based on steps'!$B56:$AY56,'recurring2_based on steps'!$B$1:$AY$1,U$1)+SUMIFS('changes2_based on steps'!$B56:$U56,'changes2_based on steps'!$B$1:$U$1,U$1)</f>
        <v>0</v>
      </c>
      <c r="V56" s="155">
        <f>SUMIFS('recurring2_based on steps'!$B56:$AY56,'recurring2_based on steps'!$B$1:$AY$1,V$1)+SUMIFS('changes2_based on steps'!$B56:$U56,'changes2_based on steps'!$B$1:$U$1,V$1)</f>
        <v>0</v>
      </c>
      <c r="W56" s="155">
        <f ca="1">SUMIFS('recurring2_based on steps'!$B56:$AY56,'recurring2_based on steps'!$B$1:$AY$1,W$1)+SUMIFS('changes2_based on steps'!$B56:$U56,'changes2_based on steps'!$B$1:$U$1,W$1)</f>
        <v>0</v>
      </c>
      <c r="X56" s="155">
        <f ca="1">SUMIFS('recurring2_based on steps'!$B56:$AY56,'recurring2_based on steps'!$B$1:$AY$1,X$1)+SUMIFS('changes2_based on steps'!$B56:$U56,'changes2_based on steps'!$B$1:$U$1,X$1)</f>
        <v>0</v>
      </c>
      <c r="Y56" s="155">
        <f ca="1">SUMIFS('recurring2_based on steps'!$B56:$AY56,'recurring2_based on steps'!$B$1:$AY$1,Y$1)+SUMIFS('changes2_based on steps'!$B56:$U56,'changes2_based on steps'!$B$1:$U$1,Y$1)</f>
        <v>0</v>
      </c>
      <c r="Z56" s="155">
        <f>SUMIFS('recurring2_based on steps'!$B56:$AY56,'recurring2_based on steps'!$B$1:$AY$1,Z$1)+SUMIFS('changes2_based on steps'!$B56:$U56,'changes2_based on steps'!$B$1:$U$1,Z$1)</f>
        <v>0</v>
      </c>
      <c r="AA56" s="155">
        <f>SUMIFS('recurring2_based on steps'!$B56:$AY56,'recurring2_based on steps'!$B$1:$AY$1,AA$1)+SUMIFS('changes2_based on steps'!$B56:$U56,'changes2_based on steps'!$B$1:$U$1,AA$1)</f>
        <v>0</v>
      </c>
    </row>
    <row r="57" spans="1:27" x14ac:dyDescent="0.2">
      <c r="A57" s="18">
        <f t="shared" ca="1" si="0"/>
        <v>45743</v>
      </c>
      <c r="B57" s="155">
        <f ca="1">SUMIFS('recurring2_based on steps'!$B57:$AY57,'recurring2_based on steps'!$B$1:$AY$1,B$1)+SUMIFS('changes2_based on steps'!$B57:$U57,'changes2_based on steps'!$B$1:$U$1,B$1)</f>
        <v>0</v>
      </c>
      <c r="C57" s="155">
        <f>SUMIFS('recurring2_based on steps'!$B57:$AY57,'recurring2_based on steps'!$B$1:$AY$1,C$1)+SUMIFS('changes2_based on steps'!$B57:$U57,'changes2_based on steps'!$B$1:$U$1,C$1)</f>
        <v>0</v>
      </c>
      <c r="D57" s="155">
        <f>SUMIFS('recurring2_based on steps'!$B57:$AY57,'recurring2_based on steps'!$B$1:$AY$1,D$1)+SUMIFS('changes2_based on steps'!$B57:$U57,'changes2_based on steps'!$B$1:$U$1,D$1)</f>
        <v>0</v>
      </c>
      <c r="E57" s="155">
        <f>SUMIFS('recurring2_based on steps'!$B57:$AY57,'recurring2_based on steps'!$B$1:$AY$1,E$1)+SUMIFS('changes2_based on steps'!$B57:$U57,'changes2_based on steps'!$B$1:$U$1,E$1)</f>
        <v>0</v>
      </c>
      <c r="F57" s="155">
        <f>SUMIFS('recurring2_based on steps'!$B57:$AY57,'recurring2_based on steps'!$B$1:$AY$1,F$1)+SUMIFS('changes2_based on steps'!$B57:$U57,'changes2_based on steps'!$B$1:$U$1,F$1)</f>
        <v>0</v>
      </c>
      <c r="G57" s="155">
        <f>SUMIFS('recurring2_based on steps'!$B57:$AY57,'recurring2_based on steps'!$B$1:$AY$1,G$1)+SUMIFS('changes2_based on steps'!$B57:$U57,'changes2_based on steps'!$B$1:$U$1,G$1)</f>
        <v>0</v>
      </c>
      <c r="H57" s="155">
        <f ca="1">SUMIFS('recurring2_based on steps'!$B57:$AY57,'recurring2_based on steps'!$B$1:$AY$1,H$1)+SUMIFS('changes2_based on steps'!$B57:$U57,'changes2_based on steps'!$B$1:$U$1,H$1)</f>
        <v>0</v>
      </c>
      <c r="I57" s="155">
        <f>SUMIFS('recurring2_based on steps'!$B57:$AY57,'recurring2_based on steps'!$B$1:$AY$1,I$1)+SUMIFS('changes2_based on steps'!$B57:$U57,'changes2_based on steps'!$B$1:$U$1,I$1)</f>
        <v>0</v>
      </c>
      <c r="J57" s="155">
        <f>SUMIFS('recurring2_based on steps'!$B57:$AY57,'recurring2_based on steps'!$B$1:$AY$1,J$1)+SUMIFS('changes2_based on steps'!$B57:$U57,'changes2_based on steps'!$B$1:$U$1,J$1)</f>
        <v>0</v>
      </c>
      <c r="K57" s="155">
        <f>SUMIFS('recurring2_based on steps'!$B57:$AY57,'recurring2_based on steps'!$B$1:$AY$1,K$1)+SUMIFS('changes2_based on steps'!$B57:$U57,'changes2_based on steps'!$B$1:$U$1,K$1)</f>
        <v>0</v>
      </c>
      <c r="L57" s="155">
        <f>SUMIFS('recurring2_based on steps'!$B57:$AY57,'recurring2_based on steps'!$B$1:$AY$1,L$1)+SUMIFS('changes2_based on steps'!$B57:$U57,'changes2_based on steps'!$B$1:$U$1,L$1)</f>
        <v>0</v>
      </c>
      <c r="M57" s="155">
        <f ca="1">SUMIFS('recurring2_based on steps'!$B57:$AY57,'recurring2_based on steps'!$B$1:$AY$1,M$1)+SUMIFS('changes2_based on steps'!$B57:$U57,'changes2_based on steps'!$B$1:$U$1,M$1)</f>
        <v>0</v>
      </c>
      <c r="N57" s="155">
        <f ca="1">SUMIFS('recurring2_based on steps'!$B57:$AY57,'recurring2_based on steps'!$B$1:$AY$1,N$1)+SUMIFS('changes2_based on steps'!$B57:$U57,'changes2_based on steps'!$B$1:$U$1,N$1)</f>
        <v>0</v>
      </c>
      <c r="O57" s="155">
        <f ca="1">SUMIFS('recurring2_based on steps'!$B57:$AY57,'recurring2_based on steps'!$B$1:$AY$1,O$1)+SUMIFS('changes2_based on steps'!$B57:$U57,'changes2_based on steps'!$B$1:$U$1,O$1)</f>
        <v>0</v>
      </c>
      <c r="P57" s="155">
        <f ca="1">SUMIFS('recurring2_based on steps'!$B57:$AY57,'recurring2_based on steps'!$B$1:$AY$1,P$1)+SUMIFS('changes2_based on steps'!$B57:$U57,'changes2_based on steps'!$B$1:$U$1,P$1)</f>
        <v>0</v>
      </c>
      <c r="Q57" s="155">
        <f>SUMIFS('recurring2_based on steps'!$B57:$AY57,'recurring2_based on steps'!$B$1:$AY$1,Q$1)+SUMIFS('changes2_based on steps'!$B57:$U57,'changes2_based on steps'!$B$1:$U$1,Q$1)</f>
        <v>0</v>
      </c>
      <c r="R57" s="155">
        <f ca="1">SUMIFS('recurring2_based on steps'!$B57:$AY57,'recurring2_based on steps'!$B$1:$AY$1,R$1)+SUMIFS('changes2_based on steps'!$B57:$U57,'changes2_based on steps'!$B$1:$U$1,R$1)</f>
        <v>0</v>
      </c>
      <c r="S57" s="155">
        <f ca="1">SUMIFS('recurring2_based on steps'!$B57:$AY57,'recurring2_based on steps'!$B$1:$AY$1,S$1)+SUMIFS('changes2_based on steps'!$B57:$U57,'changes2_based on steps'!$B$1:$U$1,S$1)</f>
        <v>0</v>
      </c>
      <c r="T57" s="155">
        <f>SUMIFS('recurring2_based on steps'!$B57:$AY57,'recurring2_based on steps'!$B$1:$AY$1,T$1)+SUMIFS('changes2_based on steps'!$B57:$U57,'changes2_based on steps'!$B$1:$U$1,T$1)</f>
        <v>0</v>
      </c>
      <c r="U57" s="155">
        <f ca="1">SUMIFS('recurring2_based on steps'!$B57:$AY57,'recurring2_based on steps'!$B$1:$AY$1,U$1)+SUMIFS('changes2_based on steps'!$B57:$U57,'changes2_based on steps'!$B$1:$U$1,U$1)</f>
        <v>2.99</v>
      </c>
      <c r="V57" s="155">
        <f>SUMIFS('recurring2_based on steps'!$B57:$AY57,'recurring2_based on steps'!$B$1:$AY$1,V$1)+SUMIFS('changes2_based on steps'!$B57:$U57,'changes2_based on steps'!$B$1:$U$1,V$1)</f>
        <v>0</v>
      </c>
      <c r="W57" s="155">
        <f ca="1">SUMIFS('recurring2_based on steps'!$B57:$AY57,'recurring2_based on steps'!$B$1:$AY$1,W$1)+SUMIFS('changes2_based on steps'!$B57:$U57,'changes2_based on steps'!$B$1:$U$1,W$1)</f>
        <v>0</v>
      </c>
      <c r="X57" s="155">
        <f ca="1">SUMIFS('recurring2_based on steps'!$B57:$AY57,'recurring2_based on steps'!$B$1:$AY$1,X$1)+SUMIFS('changes2_based on steps'!$B57:$U57,'changes2_based on steps'!$B$1:$U$1,X$1)</f>
        <v>0</v>
      </c>
      <c r="Y57" s="155">
        <f ca="1">SUMIFS('recurring2_based on steps'!$B57:$AY57,'recurring2_based on steps'!$B$1:$AY$1,Y$1)+SUMIFS('changes2_based on steps'!$B57:$U57,'changes2_based on steps'!$B$1:$U$1,Y$1)</f>
        <v>0</v>
      </c>
      <c r="Z57" s="155">
        <f>SUMIFS('recurring2_based on steps'!$B57:$AY57,'recurring2_based on steps'!$B$1:$AY$1,Z$1)+SUMIFS('changes2_based on steps'!$B57:$U57,'changes2_based on steps'!$B$1:$U$1,Z$1)</f>
        <v>0</v>
      </c>
      <c r="AA57" s="155">
        <f>SUMIFS('recurring2_based on steps'!$B57:$AY57,'recurring2_based on steps'!$B$1:$AY$1,AA$1)+SUMIFS('changes2_based on steps'!$B57:$U57,'changes2_based on steps'!$B$1:$U$1,AA$1)</f>
        <v>0</v>
      </c>
    </row>
    <row r="58" spans="1:27" x14ac:dyDescent="0.2">
      <c r="A58" s="18">
        <f t="shared" ca="1" si="0"/>
        <v>45744</v>
      </c>
      <c r="B58" s="155">
        <f ca="1">SUMIFS('recurring2_based on steps'!$B58:$AY58,'recurring2_based on steps'!$B$1:$AY$1,B$1)+SUMIFS('changes2_based on steps'!$B58:$U58,'changes2_based on steps'!$B$1:$U$1,B$1)</f>
        <v>0</v>
      </c>
      <c r="C58" s="155">
        <f>SUMIFS('recurring2_based on steps'!$B58:$AY58,'recurring2_based on steps'!$B$1:$AY$1,C$1)+SUMIFS('changes2_based on steps'!$B58:$U58,'changes2_based on steps'!$B$1:$U$1,C$1)</f>
        <v>0</v>
      </c>
      <c r="D58" s="155">
        <f>SUMIFS('recurring2_based on steps'!$B58:$AY58,'recurring2_based on steps'!$B$1:$AY$1,D$1)+SUMIFS('changes2_based on steps'!$B58:$U58,'changes2_based on steps'!$B$1:$U$1,D$1)</f>
        <v>0</v>
      </c>
      <c r="E58" s="155">
        <f>SUMIFS('recurring2_based on steps'!$B58:$AY58,'recurring2_based on steps'!$B$1:$AY$1,E$1)+SUMIFS('changes2_based on steps'!$B58:$U58,'changes2_based on steps'!$B$1:$U$1,E$1)</f>
        <v>0</v>
      </c>
      <c r="F58" s="155">
        <f>SUMIFS('recurring2_based on steps'!$B58:$AY58,'recurring2_based on steps'!$B$1:$AY$1,F$1)+SUMIFS('changes2_based on steps'!$B58:$U58,'changes2_based on steps'!$B$1:$U$1,F$1)</f>
        <v>0</v>
      </c>
      <c r="G58" s="155">
        <f>SUMIFS('recurring2_based on steps'!$B58:$AY58,'recurring2_based on steps'!$B$1:$AY$1,G$1)+SUMIFS('changes2_based on steps'!$B58:$U58,'changes2_based on steps'!$B$1:$U$1,G$1)</f>
        <v>0</v>
      </c>
      <c r="H58" s="155">
        <f ca="1">SUMIFS('recurring2_based on steps'!$B58:$AY58,'recurring2_based on steps'!$B$1:$AY$1,H$1)+SUMIFS('changes2_based on steps'!$B58:$U58,'changes2_based on steps'!$B$1:$U$1,H$1)</f>
        <v>0</v>
      </c>
      <c r="I58" s="155">
        <f>SUMIFS('recurring2_based on steps'!$B58:$AY58,'recurring2_based on steps'!$B$1:$AY$1,I$1)+SUMIFS('changes2_based on steps'!$B58:$U58,'changes2_based on steps'!$B$1:$U$1,I$1)</f>
        <v>0</v>
      </c>
      <c r="J58" s="155">
        <f>SUMIFS('recurring2_based on steps'!$B58:$AY58,'recurring2_based on steps'!$B$1:$AY$1,J$1)+SUMIFS('changes2_based on steps'!$B58:$U58,'changes2_based on steps'!$B$1:$U$1,J$1)</f>
        <v>0</v>
      </c>
      <c r="K58" s="155">
        <f>SUMIFS('recurring2_based on steps'!$B58:$AY58,'recurring2_based on steps'!$B$1:$AY$1,K$1)+SUMIFS('changes2_based on steps'!$B58:$U58,'changes2_based on steps'!$B$1:$U$1,K$1)</f>
        <v>0</v>
      </c>
      <c r="L58" s="155">
        <f>SUMIFS('recurring2_based on steps'!$B58:$AY58,'recurring2_based on steps'!$B$1:$AY$1,L$1)+SUMIFS('changes2_based on steps'!$B58:$U58,'changes2_based on steps'!$B$1:$U$1,L$1)</f>
        <v>0</v>
      </c>
      <c r="M58" s="155">
        <f ca="1">SUMIFS('recurring2_based on steps'!$B58:$AY58,'recurring2_based on steps'!$B$1:$AY$1,M$1)+SUMIFS('changes2_based on steps'!$B58:$U58,'changes2_based on steps'!$B$1:$U$1,M$1)</f>
        <v>40</v>
      </c>
      <c r="N58" s="155">
        <f ca="1">SUMIFS('recurring2_based on steps'!$B58:$AY58,'recurring2_based on steps'!$B$1:$AY$1,N$1)+SUMIFS('changes2_based on steps'!$B58:$U58,'changes2_based on steps'!$B$1:$U$1,N$1)</f>
        <v>0</v>
      </c>
      <c r="O58" s="155">
        <f ca="1">SUMIFS('recurring2_based on steps'!$B58:$AY58,'recurring2_based on steps'!$B$1:$AY$1,O$1)+SUMIFS('changes2_based on steps'!$B58:$U58,'changes2_based on steps'!$B$1:$U$1,O$1)</f>
        <v>0</v>
      </c>
      <c r="P58" s="155">
        <f ca="1">SUMIFS('recurring2_based on steps'!$B58:$AY58,'recurring2_based on steps'!$B$1:$AY$1,P$1)+SUMIFS('changes2_based on steps'!$B58:$U58,'changes2_based on steps'!$B$1:$U$1,P$1)</f>
        <v>0</v>
      </c>
      <c r="Q58" s="155">
        <f>SUMIFS('recurring2_based on steps'!$B58:$AY58,'recurring2_based on steps'!$B$1:$AY$1,Q$1)+SUMIFS('changes2_based on steps'!$B58:$U58,'changes2_based on steps'!$B$1:$U$1,Q$1)</f>
        <v>0</v>
      </c>
      <c r="R58" s="155">
        <f ca="1">SUMIFS('recurring2_based on steps'!$B58:$AY58,'recurring2_based on steps'!$B$1:$AY$1,R$1)+SUMIFS('changes2_based on steps'!$B58:$U58,'changes2_based on steps'!$B$1:$U$1,R$1)</f>
        <v>0</v>
      </c>
      <c r="S58" s="155">
        <f ca="1">SUMIFS('recurring2_based on steps'!$B58:$AY58,'recurring2_based on steps'!$B$1:$AY$1,S$1)+SUMIFS('changes2_based on steps'!$B58:$U58,'changes2_based on steps'!$B$1:$U$1,S$1)</f>
        <v>0</v>
      </c>
      <c r="T58" s="155">
        <f>SUMIFS('recurring2_based on steps'!$B58:$AY58,'recurring2_based on steps'!$B$1:$AY$1,T$1)+SUMIFS('changes2_based on steps'!$B58:$U58,'changes2_based on steps'!$B$1:$U$1,T$1)</f>
        <v>0</v>
      </c>
      <c r="U58" s="155">
        <f ca="1">SUMIFS('recurring2_based on steps'!$B58:$AY58,'recurring2_based on steps'!$B$1:$AY$1,U$1)+SUMIFS('changes2_based on steps'!$B58:$U58,'changes2_based on steps'!$B$1:$U$1,U$1)</f>
        <v>0</v>
      </c>
      <c r="V58" s="155">
        <f>SUMIFS('recurring2_based on steps'!$B58:$AY58,'recurring2_based on steps'!$B$1:$AY$1,V$1)+SUMIFS('changes2_based on steps'!$B58:$U58,'changes2_based on steps'!$B$1:$U$1,V$1)</f>
        <v>0</v>
      </c>
      <c r="W58" s="155">
        <f ca="1">SUMIFS('recurring2_based on steps'!$B58:$AY58,'recurring2_based on steps'!$B$1:$AY$1,W$1)+SUMIFS('changes2_based on steps'!$B58:$U58,'changes2_based on steps'!$B$1:$U$1,W$1)</f>
        <v>0</v>
      </c>
      <c r="X58" s="155">
        <f ca="1">SUMIFS('recurring2_based on steps'!$B58:$AY58,'recurring2_based on steps'!$B$1:$AY$1,X$1)+SUMIFS('changes2_based on steps'!$B58:$U58,'changes2_based on steps'!$B$1:$U$1,X$1)</f>
        <v>0</v>
      </c>
      <c r="Y58" s="155">
        <f ca="1">SUMIFS('recurring2_based on steps'!$B58:$AY58,'recurring2_based on steps'!$B$1:$AY$1,Y$1)+SUMIFS('changes2_based on steps'!$B58:$U58,'changes2_based on steps'!$B$1:$U$1,Y$1)</f>
        <v>100</v>
      </c>
      <c r="Z58" s="155">
        <f>SUMIFS('recurring2_based on steps'!$B58:$AY58,'recurring2_based on steps'!$B$1:$AY$1,Z$1)+SUMIFS('changes2_based on steps'!$B58:$U58,'changes2_based on steps'!$B$1:$U$1,Z$1)</f>
        <v>0</v>
      </c>
      <c r="AA58" s="155">
        <f>SUMIFS('recurring2_based on steps'!$B58:$AY58,'recurring2_based on steps'!$B$1:$AY$1,AA$1)+SUMIFS('changes2_based on steps'!$B58:$U58,'changes2_based on steps'!$B$1:$U$1,AA$1)</f>
        <v>0</v>
      </c>
    </row>
    <row r="59" spans="1:27" x14ac:dyDescent="0.2">
      <c r="A59" s="18">
        <f t="shared" ca="1" si="0"/>
        <v>45745</v>
      </c>
      <c r="B59" s="155">
        <f ca="1">SUMIFS('recurring2_based on steps'!$B59:$AY59,'recurring2_based on steps'!$B$1:$AY$1,B$1)+SUMIFS('changes2_based on steps'!$B59:$U59,'changes2_based on steps'!$B$1:$U$1,B$1)</f>
        <v>0</v>
      </c>
      <c r="C59" s="155">
        <f>SUMIFS('recurring2_based on steps'!$B59:$AY59,'recurring2_based on steps'!$B$1:$AY$1,C$1)+SUMIFS('changes2_based on steps'!$B59:$U59,'changes2_based on steps'!$B$1:$U$1,C$1)</f>
        <v>0</v>
      </c>
      <c r="D59" s="155">
        <f>SUMIFS('recurring2_based on steps'!$B59:$AY59,'recurring2_based on steps'!$B$1:$AY$1,D$1)+SUMIFS('changes2_based on steps'!$B59:$U59,'changes2_based on steps'!$B$1:$U$1,D$1)</f>
        <v>0</v>
      </c>
      <c r="E59" s="155">
        <f>SUMIFS('recurring2_based on steps'!$B59:$AY59,'recurring2_based on steps'!$B$1:$AY$1,E$1)+SUMIFS('changes2_based on steps'!$B59:$U59,'changes2_based on steps'!$B$1:$U$1,E$1)</f>
        <v>0</v>
      </c>
      <c r="F59" s="155">
        <f>SUMIFS('recurring2_based on steps'!$B59:$AY59,'recurring2_based on steps'!$B$1:$AY$1,F$1)+SUMIFS('changes2_based on steps'!$B59:$U59,'changes2_based on steps'!$B$1:$U$1,F$1)</f>
        <v>0</v>
      </c>
      <c r="G59" s="155">
        <f>SUMIFS('recurring2_based on steps'!$B59:$AY59,'recurring2_based on steps'!$B$1:$AY$1,G$1)+SUMIFS('changes2_based on steps'!$B59:$U59,'changes2_based on steps'!$B$1:$U$1,G$1)</f>
        <v>0</v>
      </c>
      <c r="H59" s="155">
        <f ca="1">SUMIFS('recurring2_based on steps'!$B59:$AY59,'recurring2_based on steps'!$B$1:$AY$1,H$1)+SUMIFS('changes2_based on steps'!$B59:$U59,'changes2_based on steps'!$B$1:$U$1,H$1)</f>
        <v>0</v>
      </c>
      <c r="I59" s="155">
        <f>SUMIFS('recurring2_based on steps'!$B59:$AY59,'recurring2_based on steps'!$B$1:$AY$1,I$1)+SUMIFS('changes2_based on steps'!$B59:$U59,'changes2_based on steps'!$B$1:$U$1,I$1)</f>
        <v>0</v>
      </c>
      <c r="J59" s="155">
        <f>SUMIFS('recurring2_based on steps'!$B59:$AY59,'recurring2_based on steps'!$B$1:$AY$1,J$1)+SUMIFS('changes2_based on steps'!$B59:$U59,'changes2_based on steps'!$B$1:$U$1,J$1)</f>
        <v>0</v>
      </c>
      <c r="K59" s="155">
        <f>SUMIFS('recurring2_based on steps'!$B59:$AY59,'recurring2_based on steps'!$B$1:$AY$1,K$1)+SUMIFS('changes2_based on steps'!$B59:$U59,'changes2_based on steps'!$B$1:$U$1,K$1)</f>
        <v>0</v>
      </c>
      <c r="L59" s="155">
        <f>SUMIFS('recurring2_based on steps'!$B59:$AY59,'recurring2_based on steps'!$B$1:$AY$1,L$1)+SUMIFS('changes2_based on steps'!$B59:$U59,'changes2_based on steps'!$B$1:$U$1,L$1)</f>
        <v>0</v>
      </c>
      <c r="M59" s="155">
        <f ca="1">SUMIFS('recurring2_based on steps'!$B59:$AY59,'recurring2_based on steps'!$B$1:$AY$1,M$1)+SUMIFS('changes2_based on steps'!$B59:$U59,'changes2_based on steps'!$B$1:$U$1,M$1)</f>
        <v>0</v>
      </c>
      <c r="N59" s="155">
        <f ca="1">SUMIFS('recurring2_based on steps'!$B59:$AY59,'recurring2_based on steps'!$B$1:$AY$1,N$1)+SUMIFS('changes2_based on steps'!$B59:$U59,'changes2_based on steps'!$B$1:$U$1,N$1)</f>
        <v>0</v>
      </c>
      <c r="O59" s="155">
        <f ca="1">SUMIFS('recurring2_based on steps'!$B59:$AY59,'recurring2_based on steps'!$B$1:$AY$1,O$1)+SUMIFS('changes2_based on steps'!$B59:$U59,'changes2_based on steps'!$B$1:$U$1,O$1)</f>
        <v>50</v>
      </c>
      <c r="P59" s="155">
        <f ca="1">SUMIFS('recurring2_based on steps'!$B59:$AY59,'recurring2_based on steps'!$B$1:$AY$1,P$1)+SUMIFS('changes2_based on steps'!$B59:$U59,'changes2_based on steps'!$B$1:$U$1,P$1)</f>
        <v>0</v>
      </c>
      <c r="Q59" s="155">
        <f>SUMIFS('recurring2_based on steps'!$B59:$AY59,'recurring2_based on steps'!$B$1:$AY$1,Q$1)+SUMIFS('changes2_based on steps'!$B59:$U59,'changes2_based on steps'!$B$1:$U$1,Q$1)</f>
        <v>0</v>
      </c>
      <c r="R59" s="155">
        <f ca="1">SUMIFS('recurring2_based on steps'!$B59:$AY59,'recurring2_based on steps'!$B$1:$AY$1,R$1)+SUMIFS('changes2_based on steps'!$B59:$U59,'changes2_based on steps'!$B$1:$U$1,R$1)</f>
        <v>100</v>
      </c>
      <c r="S59" s="155">
        <f ca="1">SUMIFS('recurring2_based on steps'!$B59:$AY59,'recurring2_based on steps'!$B$1:$AY$1,S$1)+SUMIFS('changes2_based on steps'!$B59:$U59,'changes2_based on steps'!$B$1:$U$1,S$1)</f>
        <v>100</v>
      </c>
      <c r="T59" s="155">
        <f>SUMIFS('recurring2_based on steps'!$B59:$AY59,'recurring2_based on steps'!$B$1:$AY$1,T$1)+SUMIFS('changes2_based on steps'!$B59:$U59,'changes2_based on steps'!$B$1:$U$1,T$1)</f>
        <v>0</v>
      </c>
      <c r="U59" s="155">
        <f ca="1">SUMIFS('recurring2_based on steps'!$B59:$AY59,'recurring2_based on steps'!$B$1:$AY$1,U$1)+SUMIFS('changes2_based on steps'!$B59:$U59,'changes2_based on steps'!$B$1:$U$1,U$1)</f>
        <v>0</v>
      </c>
      <c r="V59" s="155">
        <f>SUMIFS('recurring2_based on steps'!$B59:$AY59,'recurring2_based on steps'!$B$1:$AY$1,V$1)+SUMIFS('changes2_based on steps'!$B59:$U59,'changes2_based on steps'!$B$1:$U$1,V$1)</f>
        <v>0</v>
      </c>
      <c r="W59" s="155">
        <f ca="1">SUMIFS('recurring2_based on steps'!$B59:$AY59,'recurring2_based on steps'!$B$1:$AY$1,W$1)+SUMIFS('changes2_based on steps'!$B59:$U59,'changes2_based on steps'!$B$1:$U$1,W$1)</f>
        <v>0</v>
      </c>
      <c r="X59" s="155">
        <f ca="1">SUMIFS('recurring2_based on steps'!$B59:$AY59,'recurring2_based on steps'!$B$1:$AY$1,X$1)+SUMIFS('changes2_based on steps'!$B59:$U59,'changes2_based on steps'!$B$1:$U$1,X$1)</f>
        <v>0</v>
      </c>
      <c r="Y59" s="155">
        <f ca="1">SUMIFS('recurring2_based on steps'!$B59:$AY59,'recurring2_based on steps'!$B$1:$AY$1,Y$1)+SUMIFS('changes2_based on steps'!$B59:$U59,'changes2_based on steps'!$B$1:$U$1,Y$1)</f>
        <v>0</v>
      </c>
      <c r="Z59" s="155">
        <f>SUMIFS('recurring2_based on steps'!$B59:$AY59,'recurring2_based on steps'!$B$1:$AY$1,Z$1)+SUMIFS('changes2_based on steps'!$B59:$U59,'changes2_based on steps'!$B$1:$U$1,Z$1)</f>
        <v>0</v>
      </c>
      <c r="AA59" s="155">
        <f>SUMIFS('recurring2_based on steps'!$B59:$AY59,'recurring2_based on steps'!$B$1:$AY$1,AA$1)+SUMIFS('changes2_based on steps'!$B59:$U59,'changes2_based on steps'!$B$1:$U$1,AA$1)</f>
        <v>0</v>
      </c>
    </row>
    <row r="60" spans="1:27" x14ac:dyDescent="0.2">
      <c r="A60" s="18">
        <f t="shared" ca="1" si="0"/>
        <v>45746</v>
      </c>
      <c r="B60" s="155">
        <f ca="1">SUMIFS('recurring2_based on steps'!$B60:$AY60,'recurring2_based on steps'!$B$1:$AY$1,B$1)+SUMIFS('changes2_based on steps'!$B60:$U60,'changes2_based on steps'!$B$1:$U$1,B$1)</f>
        <v>0</v>
      </c>
      <c r="C60" s="155">
        <f>SUMIFS('recurring2_based on steps'!$B60:$AY60,'recurring2_based on steps'!$B$1:$AY$1,C$1)+SUMIFS('changes2_based on steps'!$B60:$U60,'changes2_based on steps'!$B$1:$U$1,C$1)</f>
        <v>0</v>
      </c>
      <c r="D60" s="155">
        <f>SUMIFS('recurring2_based on steps'!$B60:$AY60,'recurring2_based on steps'!$B$1:$AY$1,D$1)+SUMIFS('changes2_based on steps'!$B60:$U60,'changes2_based on steps'!$B$1:$U$1,D$1)</f>
        <v>0</v>
      </c>
      <c r="E60" s="155">
        <f>SUMIFS('recurring2_based on steps'!$B60:$AY60,'recurring2_based on steps'!$B$1:$AY$1,E$1)+SUMIFS('changes2_based on steps'!$B60:$U60,'changes2_based on steps'!$B$1:$U$1,E$1)</f>
        <v>0</v>
      </c>
      <c r="F60" s="155">
        <f>SUMIFS('recurring2_based on steps'!$B60:$AY60,'recurring2_based on steps'!$B$1:$AY$1,F$1)+SUMIFS('changes2_based on steps'!$B60:$U60,'changes2_based on steps'!$B$1:$U$1,F$1)</f>
        <v>0</v>
      </c>
      <c r="G60" s="155">
        <f>SUMIFS('recurring2_based on steps'!$B60:$AY60,'recurring2_based on steps'!$B$1:$AY$1,G$1)+SUMIFS('changes2_based on steps'!$B60:$U60,'changes2_based on steps'!$B$1:$U$1,G$1)</f>
        <v>0</v>
      </c>
      <c r="H60" s="155">
        <f ca="1">SUMIFS('recurring2_based on steps'!$B60:$AY60,'recurring2_based on steps'!$B$1:$AY$1,H$1)+SUMIFS('changes2_based on steps'!$B60:$U60,'changes2_based on steps'!$B$1:$U$1,H$1)</f>
        <v>0</v>
      </c>
      <c r="I60" s="155">
        <f>SUMIFS('recurring2_based on steps'!$B60:$AY60,'recurring2_based on steps'!$B$1:$AY$1,I$1)+SUMIFS('changes2_based on steps'!$B60:$U60,'changes2_based on steps'!$B$1:$U$1,I$1)</f>
        <v>0</v>
      </c>
      <c r="J60" s="155">
        <f>SUMIFS('recurring2_based on steps'!$B60:$AY60,'recurring2_based on steps'!$B$1:$AY$1,J$1)+SUMIFS('changes2_based on steps'!$B60:$U60,'changes2_based on steps'!$B$1:$U$1,J$1)</f>
        <v>0</v>
      </c>
      <c r="K60" s="155">
        <f>SUMIFS('recurring2_based on steps'!$B60:$AY60,'recurring2_based on steps'!$B$1:$AY$1,K$1)+SUMIFS('changes2_based on steps'!$B60:$U60,'changes2_based on steps'!$B$1:$U$1,K$1)</f>
        <v>0</v>
      </c>
      <c r="L60" s="155">
        <f>SUMIFS('recurring2_based on steps'!$B60:$AY60,'recurring2_based on steps'!$B$1:$AY$1,L$1)+SUMIFS('changes2_based on steps'!$B60:$U60,'changes2_based on steps'!$B$1:$U$1,L$1)</f>
        <v>0</v>
      </c>
      <c r="M60" s="155">
        <f ca="1">SUMIFS('recurring2_based on steps'!$B60:$AY60,'recurring2_based on steps'!$B$1:$AY$1,M$1)+SUMIFS('changes2_based on steps'!$B60:$U60,'changes2_based on steps'!$B$1:$U$1,M$1)</f>
        <v>0</v>
      </c>
      <c r="N60" s="155">
        <f ca="1">SUMIFS('recurring2_based on steps'!$B60:$AY60,'recurring2_based on steps'!$B$1:$AY$1,N$1)+SUMIFS('changes2_based on steps'!$B60:$U60,'changes2_based on steps'!$B$1:$U$1,N$1)</f>
        <v>50</v>
      </c>
      <c r="O60" s="155">
        <f ca="1">SUMIFS('recurring2_based on steps'!$B60:$AY60,'recurring2_based on steps'!$B$1:$AY$1,O$1)+SUMIFS('changes2_based on steps'!$B60:$U60,'changes2_based on steps'!$B$1:$U$1,O$1)</f>
        <v>0</v>
      </c>
      <c r="P60" s="155">
        <f ca="1">SUMIFS('recurring2_based on steps'!$B60:$AY60,'recurring2_based on steps'!$B$1:$AY$1,P$1)+SUMIFS('changes2_based on steps'!$B60:$U60,'changes2_based on steps'!$B$1:$U$1,P$1)</f>
        <v>0</v>
      </c>
      <c r="Q60" s="155">
        <f>SUMIFS('recurring2_based on steps'!$B60:$AY60,'recurring2_based on steps'!$B$1:$AY$1,Q$1)+SUMIFS('changes2_based on steps'!$B60:$U60,'changes2_based on steps'!$B$1:$U$1,Q$1)</f>
        <v>0</v>
      </c>
      <c r="R60" s="155">
        <f ca="1">SUMIFS('recurring2_based on steps'!$B60:$AY60,'recurring2_based on steps'!$B$1:$AY$1,R$1)+SUMIFS('changes2_based on steps'!$B60:$U60,'changes2_based on steps'!$B$1:$U$1,R$1)</f>
        <v>0</v>
      </c>
      <c r="S60" s="155">
        <f ca="1">SUMIFS('recurring2_based on steps'!$B60:$AY60,'recurring2_based on steps'!$B$1:$AY$1,S$1)+SUMIFS('changes2_based on steps'!$B60:$U60,'changes2_based on steps'!$B$1:$U$1,S$1)</f>
        <v>100</v>
      </c>
      <c r="T60" s="155">
        <f>SUMIFS('recurring2_based on steps'!$B60:$AY60,'recurring2_based on steps'!$B$1:$AY$1,T$1)+SUMIFS('changes2_based on steps'!$B60:$U60,'changes2_based on steps'!$B$1:$U$1,T$1)</f>
        <v>0</v>
      </c>
      <c r="U60" s="155">
        <f ca="1">SUMIFS('recurring2_based on steps'!$B60:$AY60,'recurring2_based on steps'!$B$1:$AY$1,U$1)+SUMIFS('changes2_based on steps'!$B60:$U60,'changes2_based on steps'!$B$1:$U$1,U$1)</f>
        <v>0</v>
      </c>
      <c r="V60" s="155">
        <f>SUMIFS('recurring2_based on steps'!$B60:$AY60,'recurring2_based on steps'!$B$1:$AY$1,V$1)+SUMIFS('changes2_based on steps'!$B60:$U60,'changes2_based on steps'!$B$1:$U$1,V$1)</f>
        <v>0</v>
      </c>
      <c r="W60" s="155">
        <f ca="1">SUMIFS('recurring2_based on steps'!$B60:$AY60,'recurring2_based on steps'!$B$1:$AY$1,W$1)+SUMIFS('changes2_based on steps'!$B60:$U60,'changes2_based on steps'!$B$1:$U$1,W$1)</f>
        <v>0</v>
      </c>
      <c r="X60" s="155">
        <f ca="1">SUMIFS('recurring2_based on steps'!$B60:$AY60,'recurring2_based on steps'!$B$1:$AY$1,X$1)+SUMIFS('changes2_based on steps'!$B60:$U60,'changes2_based on steps'!$B$1:$U$1,X$1)</f>
        <v>0</v>
      </c>
      <c r="Y60" s="155">
        <f ca="1">SUMIFS('recurring2_based on steps'!$B60:$AY60,'recurring2_based on steps'!$B$1:$AY$1,Y$1)+SUMIFS('changes2_based on steps'!$B60:$U60,'changes2_based on steps'!$B$1:$U$1,Y$1)</f>
        <v>0</v>
      </c>
      <c r="Z60" s="155">
        <f>SUMIFS('recurring2_based on steps'!$B60:$AY60,'recurring2_based on steps'!$B$1:$AY$1,Z$1)+SUMIFS('changes2_based on steps'!$B60:$U60,'changes2_based on steps'!$B$1:$U$1,Z$1)</f>
        <v>0</v>
      </c>
      <c r="AA60" s="155">
        <f>SUMIFS('recurring2_based on steps'!$B60:$AY60,'recurring2_based on steps'!$B$1:$AY$1,AA$1)+SUMIFS('changes2_based on steps'!$B60:$U60,'changes2_based on steps'!$B$1:$U$1,AA$1)</f>
        <v>0</v>
      </c>
    </row>
    <row r="61" spans="1:27" x14ac:dyDescent="0.2">
      <c r="A61" s="18">
        <f t="shared" ca="1" si="0"/>
        <v>45747</v>
      </c>
      <c r="B61" s="155">
        <f ca="1">SUMIFS('recurring2_based on steps'!$B61:$AY61,'recurring2_based on steps'!$B$1:$AY$1,B$1)+SUMIFS('changes2_based on steps'!$B61:$U61,'changes2_based on steps'!$B$1:$U$1,B$1)</f>
        <v>0</v>
      </c>
      <c r="C61" s="155">
        <f>SUMIFS('recurring2_based on steps'!$B61:$AY61,'recurring2_based on steps'!$B$1:$AY$1,C$1)+SUMIFS('changes2_based on steps'!$B61:$U61,'changes2_based on steps'!$B$1:$U$1,C$1)</f>
        <v>0</v>
      </c>
      <c r="D61" s="155">
        <f>SUMIFS('recurring2_based on steps'!$B61:$AY61,'recurring2_based on steps'!$B$1:$AY$1,D$1)+SUMIFS('changes2_based on steps'!$B61:$U61,'changes2_based on steps'!$B$1:$U$1,D$1)</f>
        <v>0</v>
      </c>
      <c r="E61" s="155">
        <f>SUMIFS('recurring2_based on steps'!$B61:$AY61,'recurring2_based on steps'!$B$1:$AY$1,E$1)+SUMIFS('changes2_based on steps'!$B61:$U61,'changes2_based on steps'!$B$1:$U$1,E$1)</f>
        <v>0</v>
      </c>
      <c r="F61" s="155">
        <f>SUMIFS('recurring2_based on steps'!$B61:$AY61,'recurring2_based on steps'!$B$1:$AY$1,F$1)+SUMIFS('changes2_based on steps'!$B61:$U61,'changes2_based on steps'!$B$1:$U$1,F$1)</f>
        <v>0</v>
      </c>
      <c r="G61" s="155">
        <f>SUMIFS('recurring2_based on steps'!$B61:$AY61,'recurring2_based on steps'!$B$1:$AY$1,G$1)+SUMIFS('changes2_based on steps'!$B61:$U61,'changes2_based on steps'!$B$1:$U$1,G$1)</f>
        <v>0</v>
      </c>
      <c r="H61" s="155">
        <f ca="1">SUMIFS('recurring2_based on steps'!$B61:$AY61,'recurring2_based on steps'!$B$1:$AY$1,H$1)+SUMIFS('changes2_based on steps'!$B61:$U61,'changes2_based on steps'!$B$1:$U$1,H$1)</f>
        <v>0</v>
      </c>
      <c r="I61" s="155">
        <f>SUMIFS('recurring2_based on steps'!$B61:$AY61,'recurring2_based on steps'!$B$1:$AY$1,I$1)+SUMIFS('changes2_based on steps'!$B61:$U61,'changes2_based on steps'!$B$1:$U$1,I$1)</f>
        <v>0</v>
      </c>
      <c r="J61" s="155">
        <f>SUMIFS('recurring2_based on steps'!$B61:$AY61,'recurring2_based on steps'!$B$1:$AY$1,J$1)+SUMIFS('changes2_based on steps'!$B61:$U61,'changes2_based on steps'!$B$1:$U$1,J$1)</f>
        <v>0</v>
      </c>
      <c r="K61" s="155">
        <f>SUMIFS('recurring2_based on steps'!$B61:$AY61,'recurring2_based on steps'!$B$1:$AY$1,K$1)+SUMIFS('changes2_based on steps'!$B61:$U61,'changes2_based on steps'!$B$1:$U$1,K$1)</f>
        <v>0</v>
      </c>
      <c r="L61" s="155">
        <f>SUMIFS('recurring2_based on steps'!$B61:$AY61,'recurring2_based on steps'!$B$1:$AY$1,L$1)+SUMIFS('changes2_based on steps'!$B61:$U61,'changes2_based on steps'!$B$1:$U$1,L$1)</f>
        <v>0</v>
      </c>
      <c r="M61" s="155">
        <f ca="1">SUMIFS('recurring2_based on steps'!$B61:$AY61,'recurring2_based on steps'!$B$1:$AY$1,M$1)+SUMIFS('changes2_based on steps'!$B61:$U61,'changes2_based on steps'!$B$1:$U$1,M$1)</f>
        <v>50</v>
      </c>
      <c r="N61" s="155">
        <f ca="1">SUMIFS('recurring2_based on steps'!$B61:$AY61,'recurring2_based on steps'!$B$1:$AY$1,N$1)+SUMIFS('changes2_based on steps'!$B61:$U61,'changes2_based on steps'!$B$1:$U$1,N$1)</f>
        <v>0</v>
      </c>
      <c r="O61" s="155">
        <f ca="1">SUMIFS('recurring2_based on steps'!$B61:$AY61,'recurring2_based on steps'!$B$1:$AY$1,O$1)+SUMIFS('changes2_based on steps'!$B61:$U61,'changes2_based on steps'!$B$1:$U$1,O$1)</f>
        <v>0</v>
      </c>
      <c r="P61" s="155">
        <f ca="1">SUMIFS('recurring2_based on steps'!$B61:$AY61,'recurring2_based on steps'!$B$1:$AY$1,P$1)+SUMIFS('changes2_based on steps'!$B61:$U61,'changes2_based on steps'!$B$1:$U$1,P$1)</f>
        <v>0</v>
      </c>
      <c r="Q61" s="155">
        <f>SUMIFS('recurring2_based on steps'!$B61:$AY61,'recurring2_based on steps'!$B$1:$AY$1,Q$1)+SUMIFS('changes2_based on steps'!$B61:$U61,'changes2_based on steps'!$B$1:$U$1,Q$1)</f>
        <v>0</v>
      </c>
      <c r="R61" s="155">
        <f ca="1">SUMIFS('recurring2_based on steps'!$B61:$AY61,'recurring2_based on steps'!$B$1:$AY$1,R$1)+SUMIFS('changes2_based on steps'!$B61:$U61,'changes2_based on steps'!$B$1:$U$1,R$1)</f>
        <v>0</v>
      </c>
      <c r="S61" s="155">
        <f ca="1">SUMIFS('recurring2_based on steps'!$B61:$AY61,'recurring2_based on steps'!$B$1:$AY$1,S$1)+SUMIFS('changes2_based on steps'!$B61:$U61,'changes2_based on steps'!$B$1:$U$1,S$1)</f>
        <v>0</v>
      </c>
      <c r="T61" s="155">
        <f>SUMIFS('recurring2_based on steps'!$B61:$AY61,'recurring2_based on steps'!$B$1:$AY$1,T$1)+SUMIFS('changes2_based on steps'!$B61:$U61,'changes2_based on steps'!$B$1:$U$1,T$1)</f>
        <v>0</v>
      </c>
      <c r="U61" s="155">
        <f ca="1">SUMIFS('recurring2_based on steps'!$B61:$AY61,'recurring2_based on steps'!$B$1:$AY$1,U$1)+SUMIFS('changes2_based on steps'!$B61:$U61,'changes2_based on steps'!$B$1:$U$1,U$1)</f>
        <v>0</v>
      </c>
      <c r="V61" s="155">
        <f>SUMIFS('recurring2_based on steps'!$B61:$AY61,'recurring2_based on steps'!$B$1:$AY$1,V$1)+SUMIFS('changes2_based on steps'!$B61:$U61,'changes2_based on steps'!$B$1:$U$1,V$1)</f>
        <v>0</v>
      </c>
      <c r="W61" s="155">
        <f ca="1">SUMIFS('recurring2_based on steps'!$B61:$AY61,'recurring2_based on steps'!$B$1:$AY$1,W$1)+SUMIFS('changes2_based on steps'!$B61:$U61,'changes2_based on steps'!$B$1:$U$1,W$1)</f>
        <v>0</v>
      </c>
      <c r="X61" s="155">
        <f ca="1">SUMIFS('recurring2_based on steps'!$B61:$AY61,'recurring2_based on steps'!$B$1:$AY$1,X$1)+SUMIFS('changes2_based on steps'!$B61:$U61,'changes2_based on steps'!$B$1:$U$1,X$1)</f>
        <v>0</v>
      </c>
      <c r="Y61" s="155">
        <f ca="1">SUMIFS('recurring2_based on steps'!$B61:$AY61,'recurring2_based on steps'!$B$1:$AY$1,Y$1)+SUMIFS('changes2_based on steps'!$B61:$U61,'changes2_based on steps'!$B$1:$U$1,Y$1)</f>
        <v>0</v>
      </c>
      <c r="Z61" s="155">
        <f>SUMIFS('recurring2_based on steps'!$B61:$AY61,'recurring2_based on steps'!$B$1:$AY$1,Z$1)+SUMIFS('changes2_based on steps'!$B61:$U61,'changes2_based on steps'!$B$1:$U$1,Z$1)</f>
        <v>0</v>
      </c>
      <c r="AA61" s="155">
        <f>SUMIFS('recurring2_based on steps'!$B61:$AY61,'recurring2_based on steps'!$B$1:$AY$1,AA$1)+SUMIFS('changes2_based on steps'!$B61:$U61,'changes2_based on steps'!$B$1:$U$1,AA$1)</f>
        <v>0</v>
      </c>
    </row>
    <row r="62" spans="1:27" x14ac:dyDescent="0.2">
      <c r="A62" s="18">
        <f t="shared" ca="1" si="0"/>
        <v>45748</v>
      </c>
      <c r="B62" s="155">
        <f ca="1">SUMIFS('recurring2_based on steps'!$B62:$AY62,'recurring2_based on steps'!$B$1:$AY$1,B$1)+SUMIFS('changes2_based on steps'!$B62:$U62,'changes2_based on steps'!$B$1:$U$1,B$1)</f>
        <v>0</v>
      </c>
      <c r="C62" s="155">
        <f>SUMIFS('recurring2_based on steps'!$B62:$AY62,'recurring2_based on steps'!$B$1:$AY$1,C$1)+SUMIFS('changes2_based on steps'!$B62:$U62,'changes2_based on steps'!$B$1:$U$1,C$1)</f>
        <v>0</v>
      </c>
      <c r="D62" s="155">
        <f>SUMIFS('recurring2_based on steps'!$B62:$AY62,'recurring2_based on steps'!$B$1:$AY$1,D$1)+SUMIFS('changes2_based on steps'!$B62:$U62,'changes2_based on steps'!$B$1:$U$1,D$1)</f>
        <v>0</v>
      </c>
      <c r="E62" s="155">
        <f>SUMIFS('recurring2_based on steps'!$B62:$AY62,'recurring2_based on steps'!$B$1:$AY$1,E$1)+SUMIFS('changes2_based on steps'!$B62:$U62,'changes2_based on steps'!$B$1:$U$1,E$1)</f>
        <v>0</v>
      </c>
      <c r="F62" s="155">
        <f>SUMIFS('recurring2_based on steps'!$B62:$AY62,'recurring2_based on steps'!$B$1:$AY$1,F$1)+SUMIFS('changes2_based on steps'!$B62:$U62,'changes2_based on steps'!$B$1:$U$1,F$1)</f>
        <v>0</v>
      </c>
      <c r="G62" s="155">
        <f>SUMIFS('recurring2_based on steps'!$B62:$AY62,'recurring2_based on steps'!$B$1:$AY$1,G$1)+SUMIFS('changes2_based on steps'!$B62:$U62,'changes2_based on steps'!$B$1:$U$1,G$1)</f>
        <v>0</v>
      </c>
      <c r="H62" s="155">
        <f ca="1">SUMIFS('recurring2_based on steps'!$B62:$AY62,'recurring2_based on steps'!$B$1:$AY$1,H$1)+SUMIFS('changes2_based on steps'!$B62:$U62,'changes2_based on steps'!$B$1:$U$1,H$1)</f>
        <v>0</v>
      </c>
      <c r="I62" s="155">
        <f>SUMIFS('recurring2_based on steps'!$B62:$AY62,'recurring2_based on steps'!$B$1:$AY$1,I$1)+SUMIFS('changes2_based on steps'!$B62:$U62,'changes2_based on steps'!$B$1:$U$1,I$1)</f>
        <v>0</v>
      </c>
      <c r="J62" s="155">
        <f>SUMIFS('recurring2_based on steps'!$B62:$AY62,'recurring2_based on steps'!$B$1:$AY$1,J$1)+SUMIFS('changes2_based on steps'!$B62:$U62,'changes2_based on steps'!$B$1:$U$1,J$1)</f>
        <v>0</v>
      </c>
      <c r="K62" s="155">
        <f>SUMIFS('recurring2_based on steps'!$B62:$AY62,'recurring2_based on steps'!$B$1:$AY$1,K$1)+SUMIFS('changes2_based on steps'!$B62:$U62,'changes2_based on steps'!$B$1:$U$1,K$1)</f>
        <v>0</v>
      </c>
      <c r="L62" s="155">
        <f>SUMIFS('recurring2_based on steps'!$B62:$AY62,'recurring2_based on steps'!$B$1:$AY$1,L$1)+SUMIFS('changes2_based on steps'!$B62:$U62,'changes2_based on steps'!$B$1:$U$1,L$1)</f>
        <v>0</v>
      </c>
      <c r="M62" s="155">
        <f ca="1">SUMIFS('recurring2_based on steps'!$B62:$AY62,'recurring2_based on steps'!$B$1:$AY$1,M$1)+SUMIFS('changes2_based on steps'!$B62:$U62,'changes2_based on steps'!$B$1:$U$1,M$1)</f>
        <v>2000</v>
      </c>
      <c r="N62" s="155">
        <f ca="1">SUMIFS('recurring2_based on steps'!$B62:$AY62,'recurring2_based on steps'!$B$1:$AY$1,N$1)+SUMIFS('changes2_based on steps'!$B62:$U62,'changes2_based on steps'!$B$1:$U$1,N$1)</f>
        <v>0</v>
      </c>
      <c r="O62" s="155">
        <f ca="1">SUMIFS('recurring2_based on steps'!$B62:$AY62,'recurring2_based on steps'!$B$1:$AY$1,O$1)+SUMIFS('changes2_based on steps'!$B62:$U62,'changes2_based on steps'!$B$1:$U$1,O$1)</f>
        <v>0</v>
      </c>
      <c r="P62" s="155">
        <f ca="1">SUMIFS('recurring2_based on steps'!$B62:$AY62,'recurring2_based on steps'!$B$1:$AY$1,P$1)+SUMIFS('changes2_based on steps'!$B62:$U62,'changes2_based on steps'!$B$1:$U$1,P$1)</f>
        <v>0</v>
      </c>
      <c r="Q62" s="155">
        <f>SUMIFS('recurring2_based on steps'!$B62:$AY62,'recurring2_based on steps'!$B$1:$AY$1,Q$1)+SUMIFS('changes2_based on steps'!$B62:$U62,'changes2_based on steps'!$B$1:$U$1,Q$1)</f>
        <v>0</v>
      </c>
      <c r="R62" s="155">
        <f ca="1">SUMIFS('recurring2_based on steps'!$B62:$AY62,'recurring2_based on steps'!$B$1:$AY$1,R$1)+SUMIFS('changes2_based on steps'!$B62:$U62,'changes2_based on steps'!$B$1:$U$1,R$1)</f>
        <v>0</v>
      </c>
      <c r="S62" s="155">
        <f ca="1">SUMIFS('recurring2_based on steps'!$B62:$AY62,'recurring2_based on steps'!$B$1:$AY$1,S$1)+SUMIFS('changes2_based on steps'!$B62:$U62,'changes2_based on steps'!$B$1:$U$1,S$1)</f>
        <v>0</v>
      </c>
      <c r="T62" s="155">
        <f>SUMIFS('recurring2_based on steps'!$B62:$AY62,'recurring2_based on steps'!$B$1:$AY$1,T$1)+SUMIFS('changes2_based on steps'!$B62:$U62,'changes2_based on steps'!$B$1:$U$1,T$1)</f>
        <v>0</v>
      </c>
      <c r="U62" s="155">
        <f ca="1">SUMIFS('recurring2_based on steps'!$B62:$AY62,'recurring2_based on steps'!$B$1:$AY$1,U$1)+SUMIFS('changes2_based on steps'!$B62:$U62,'changes2_based on steps'!$B$1:$U$1,U$1)</f>
        <v>0</v>
      </c>
      <c r="V62" s="155">
        <f>SUMIFS('recurring2_based on steps'!$B62:$AY62,'recurring2_based on steps'!$B$1:$AY$1,V$1)+SUMIFS('changes2_based on steps'!$B62:$U62,'changes2_based on steps'!$B$1:$U$1,V$1)</f>
        <v>0</v>
      </c>
      <c r="W62" s="155">
        <f ca="1">SUMIFS('recurring2_based on steps'!$B62:$AY62,'recurring2_based on steps'!$B$1:$AY$1,W$1)+SUMIFS('changes2_based on steps'!$B62:$U62,'changes2_based on steps'!$B$1:$U$1,W$1)</f>
        <v>0</v>
      </c>
      <c r="X62" s="155">
        <f ca="1">SUMIFS('recurring2_based on steps'!$B62:$AY62,'recurring2_based on steps'!$B$1:$AY$1,X$1)+SUMIFS('changes2_based on steps'!$B62:$U62,'changes2_based on steps'!$B$1:$U$1,X$1)</f>
        <v>0</v>
      </c>
      <c r="Y62" s="155">
        <f ca="1">SUMIFS('recurring2_based on steps'!$B62:$AY62,'recurring2_based on steps'!$B$1:$AY$1,Y$1)+SUMIFS('changes2_based on steps'!$B62:$U62,'changes2_based on steps'!$B$1:$U$1,Y$1)</f>
        <v>0</v>
      </c>
      <c r="Z62" s="155">
        <f>SUMIFS('recurring2_based on steps'!$B62:$AY62,'recurring2_based on steps'!$B$1:$AY$1,Z$1)+SUMIFS('changes2_based on steps'!$B62:$U62,'changes2_based on steps'!$B$1:$U$1,Z$1)</f>
        <v>0</v>
      </c>
      <c r="AA62" s="155">
        <f>SUMIFS('recurring2_based on steps'!$B62:$AY62,'recurring2_based on steps'!$B$1:$AY$1,AA$1)+SUMIFS('changes2_based on steps'!$B62:$U62,'changes2_based on steps'!$B$1:$U$1,AA$1)</f>
        <v>0</v>
      </c>
    </row>
    <row r="63" spans="1:27" x14ac:dyDescent="0.2">
      <c r="A63" s="18">
        <f t="shared" ca="1" si="0"/>
        <v>45749</v>
      </c>
      <c r="B63" s="155">
        <f ca="1">SUMIFS('recurring2_based on steps'!$B63:$AY63,'recurring2_based on steps'!$B$1:$AY$1,B$1)+SUMIFS('changes2_based on steps'!$B63:$U63,'changes2_based on steps'!$B$1:$U$1,B$1)</f>
        <v>0</v>
      </c>
      <c r="C63" s="155">
        <f>SUMIFS('recurring2_based on steps'!$B63:$AY63,'recurring2_based on steps'!$B$1:$AY$1,C$1)+SUMIFS('changes2_based on steps'!$B63:$U63,'changes2_based on steps'!$B$1:$U$1,C$1)</f>
        <v>0</v>
      </c>
      <c r="D63" s="155">
        <f>SUMIFS('recurring2_based on steps'!$B63:$AY63,'recurring2_based on steps'!$B$1:$AY$1,D$1)+SUMIFS('changes2_based on steps'!$B63:$U63,'changes2_based on steps'!$B$1:$U$1,D$1)</f>
        <v>0</v>
      </c>
      <c r="E63" s="155">
        <f>SUMIFS('recurring2_based on steps'!$B63:$AY63,'recurring2_based on steps'!$B$1:$AY$1,E$1)+SUMIFS('changes2_based on steps'!$B63:$U63,'changes2_based on steps'!$B$1:$U$1,E$1)</f>
        <v>0</v>
      </c>
      <c r="F63" s="155">
        <f>SUMIFS('recurring2_based on steps'!$B63:$AY63,'recurring2_based on steps'!$B$1:$AY$1,F$1)+SUMIFS('changes2_based on steps'!$B63:$U63,'changes2_based on steps'!$B$1:$U$1,F$1)</f>
        <v>0</v>
      </c>
      <c r="G63" s="155">
        <f>SUMIFS('recurring2_based on steps'!$B63:$AY63,'recurring2_based on steps'!$B$1:$AY$1,G$1)+SUMIFS('changes2_based on steps'!$B63:$U63,'changes2_based on steps'!$B$1:$U$1,G$1)</f>
        <v>0</v>
      </c>
      <c r="H63" s="155">
        <f ca="1">SUMIFS('recurring2_based on steps'!$B63:$AY63,'recurring2_based on steps'!$B$1:$AY$1,H$1)+SUMIFS('changes2_based on steps'!$B63:$U63,'changes2_based on steps'!$B$1:$U$1,H$1)</f>
        <v>0</v>
      </c>
      <c r="I63" s="155">
        <f>SUMIFS('recurring2_based on steps'!$B63:$AY63,'recurring2_based on steps'!$B$1:$AY$1,I$1)+SUMIFS('changes2_based on steps'!$B63:$U63,'changes2_based on steps'!$B$1:$U$1,I$1)</f>
        <v>0</v>
      </c>
      <c r="J63" s="155">
        <f>SUMIFS('recurring2_based on steps'!$B63:$AY63,'recurring2_based on steps'!$B$1:$AY$1,J$1)+SUMIFS('changes2_based on steps'!$B63:$U63,'changes2_based on steps'!$B$1:$U$1,J$1)</f>
        <v>0</v>
      </c>
      <c r="K63" s="155">
        <f>SUMIFS('recurring2_based on steps'!$B63:$AY63,'recurring2_based on steps'!$B$1:$AY$1,K$1)+SUMIFS('changes2_based on steps'!$B63:$U63,'changes2_based on steps'!$B$1:$U$1,K$1)</f>
        <v>0</v>
      </c>
      <c r="L63" s="155">
        <f>SUMIFS('recurring2_based on steps'!$B63:$AY63,'recurring2_based on steps'!$B$1:$AY$1,L$1)+SUMIFS('changes2_based on steps'!$B63:$U63,'changes2_based on steps'!$B$1:$U$1,L$1)</f>
        <v>0</v>
      </c>
      <c r="M63" s="155">
        <f ca="1">SUMIFS('recurring2_based on steps'!$B63:$AY63,'recurring2_based on steps'!$B$1:$AY$1,M$1)+SUMIFS('changes2_based on steps'!$B63:$U63,'changes2_based on steps'!$B$1:$U$1,M$1)</f>
        <v>0</v>
      </c>
      <c r="N63" s="155">
        <f ca="1">SUMIFS('recurring2_based on steps'!$B63:$AY63,'recurring2_based on steps'!$B$1:$AY$1,N$1)+SUMIFS('changes2_based on steps'!$B63:$U63,'changes2_based on steps'!$B$1:$U$1,N$1)</f>
        <v>0</v>
      </c>
      <c r="O63" s="155">
        <f ca="1">SUMIFS('recurring2_based on steps'!$B63:$AY63,'recurring2_based on steps'!$B$1:$AY$1,O$1)+SUMIFS('changes2_based on steps'!$B63:$U63,'changes2_based on steps'!$B$1:$U$1,O$1)</f>
        <v>0</v>
      </c>
      <c r="P63" s="155">
        <f ca="1">SUMIFS('recurring2_based on steps'!$B63:$AY63,'recurring2_based on steps'!$B$1:$AY$1,P$1)+SUMIFS('changes2_based on steps'!$B63:$U63,'changes2_based on steps'!$B$1:$U$1,P$1)</f>
        <v>0</v>
      </c>
      <c r="Q63" s="155">
        <f>SUMIFS('recurring2_based on steps'!$B63:$AY63,'recurring2_based on steps'!$B$1:$AY$1,Q$1)+SUMIFS('changes2_based on steps'!$B63:$U63,'changes2_based on steps'!$B$1:$U$1,Q$1)</f>
        <v>0</v>
      </c>
      <c r="R63" s="155">
        <f ca="1">SUMIFS('recurring2_based on steps'!$B63:$AY63,'recurring2_based on steps'!$B$1:$AY$1,R$1)+SUMIFS('changes2_based on steps'!$B63:$U63,'changes2_based on steps'!$B$1:$U$1,R$1)</f>
        <v>0</v>
      </c>
      <c r="S63" s="155">
        <f ca="1">SUMIFS('recurring2_based on steps'!$B63:$AY63,'recurring2_based on steps'!$B$1:$AY$1,S$1)+SUMIFS('changes2_based on steps'!$B63:$U63,'changes2_based on steps'!$B$1:$U$1,S$1)</f>
        <v>0</v>
      </c>
      <c r="T63" s="155">
        <f>SUMIFS('recurring2_based on steps'!$B63:$AY63,'recurring2_based on steps'!$B$1:$AY$1,T$1)+SUMIFS('changes2_based on steps'!$B63:$U63,'changes2_based on steps'!$B$1:$U$1,T$1)</f>
        <v>0</v>
      </c>
      <c r="U63" s="155">
        <f ca="1">SUMIFS('recurring2_based on steps'!$B63:$AY63,'recurring2_based on steps'!$B$1:$AY$1,U$1)+SUMIFS('changes2_based on steps'!$B63:$U63,'changes2_based on steps'!$B$1:$U$1,U$1)</f>
        <v>0</v>
      </c>
      <c r="V63" s="155">
        <f>SUMIFS('recurring2_based on steps'!$B63:$AY63,'recurring2_based on steps'!$B$1:$AY$1,V$1)+SUMIFS('changes2_based on steps'!$B63:$U63,'changes2_based on steps'!$B$1:$U$1,V$1)</f>
        <v>0</v>
      </c>
      <c r="W63" s="155">
        <f ca="1">SUMIFS('recurring2_based on steps'!$B63:$AY63,'recurring2_based on steps'!$B$1:$AY$1,W$1)+SUMIFS('changes2_based on steps'!$B63:$U63,'changes2_based on steps'!$B$1:$U$1,W$1)</f>
        <v>0</v>
      </c>
      <c r="X63" s="155">
        <f ca="1">SUMIFS('recurring2_based on steps'!$B63:$AY63,'recurring2_based on steps'!$B$1:$AY$1,X$1)+SUMIFS('changes2_based on steps'!$B63:$U63,'changes2_based on steps'!$B$1:$U$1,X$1)</f>
        <v>0</v>
      </c>
      <c r="Y63" s="155">
        <f ca="1">SUMIFS('recurring2_based on steps'!$B63:$AY63,'recurring2_based on steps'!$B$1:$AY$1,Y$1)+SUMIFS('changes2_based on steps'!$B63:$U63,'changes2_based on steps'!$B$1:$U$1,Y$1)</f>
        <v>0</v>
      </c>
      <c r="Z63" s="155">
        <f>SUMIFS('recurring2_based on steps'!$B63:$AY63,'recurring2_based on steps'!$B$1:$AY$1,Z$1)+SUMIFS('changes2_based on steps'!$B63:$U63,'changes2_based on steps'!$B$1:$U$1,Z$1)</f>
        <v>0</v>
      </c>
      <c r="AA63" s="155">
        <f>SUMIFS('recurring2_based on steps'!$B63:$AY63,'recurring2_based on steps'!$B$1:$AY$1,AA$1)+SUMIFS('changes2_based on steps'!$B63:$U63,'changes2_based on steps'!$B$1:$U$1,AA$1)</f>
        <v>0</v>
      </c>
    </row>
    <row r="64" spans="1:27" x14ac:dyDescent="0.2">
      <c r="A64" s="18">
        <f t="shared" ca="1" si="0"/>
        <v>45750</v>
      </c>
      <c r="B64" s="155">
        <f ca="1">SUMIFS('recurring2_based on steps'!$B64:$AY64,'recurring2_based on steps'!$B$1:$AY$1,B$1)+SUMIFS('changes2_based on steps'!$B64:$U64,'changes2_based on steps'!$B$1:$U$1,B$1)</f>
        <v>0</v>
      </c>
      <c r="C64" s="155">
        <f>SUMIFS('recurring2_based on steps'!$B64:$AY64,'recurring2_based on steps'!$B$1:$AY$1,C$1)+SUMIFS('changes2_based on steps'!$B64:$U64,'changes2_based on steps'!$B$1:$U$1,C$1)</f>
        <v>0</v>
      </c>
      <c r="D64" s="155">
        <f>SUMIFS('recurring2_based on steps'!$B64:$AY64,'recurring2_based on steps'!$B$1:$AY$1,D$1)+SUMIFS('changes2_based on steps'!$B64:$U64,'changes2_based on steps'!$B$1:$U$1,D$1)</f>
        <v>0</v>
      </c>
      <c r="E64" s="155">
        <f>SUMIFS('recurring2_based on steps'!$B64:$AY64,'recurring2_based on steps'!$B$1:$AY$1,E$1)+SUMIFS('changes2_based on steps'!$B64:$U64,'changes2_based on steps'!$B$1:$U$1,E$1)</f>
        <v>0</v>
      </c>
      <c r="F64" s="155">
        <f>SUMIFS('recurring2_based on steps'!$B64:$AY64,'recurring2_based on steps'!$B$1:$AY$1,F$1)+SUMIFS('changes2_based on steps'!$B64:$U64,'changes2_based on steps'!$B$1:$U$1,F$1)</f>
        <v>0</v>
      </c>
      <c r="G64" s="155">
        <f>SUMIFS('recurring2_based on steps'!$B64:$AY64,'recurring2_based on steps'!$B$1:$AY$1,G$1)+SUMIFS('changes2_based on steps'!$B64:$U64,'changes2_based on steps'!$B$1:$U$1,G$1)</f>
        <v>0</v>
      </c>
      <c r="H64" s="155">
        <f ca="1">SUMIFS('recurring2_based on steps'!$B64:$AY64,'recurring2_based on steps'!$B$1:$AY$1,H$1)+SUMIFS('changes2_based on steps'!$B64:$U64,'changes2_based on steps'!$B$1:$U$1,H$1)</f>
        <v>0</v>
      </c>
      <c r="I64" s="155">
        <f>SUMIFS('recurring2_based on steps'!$B64:$AY64,'recurring2_based on steps'!$B$1:$AY$1,I$1)+SUMIFS('changes2_based on steps'!$B64:$U64,'changes2_based on steps'!$B$1:$U$1,I$1)</f>
        <v>0</v>
      </c>
      <c r="J64" s="155">
        <f>SUMIFS('recurring2_based on steps'!$B64:$AY64,'recurring2_based on steps'!$B$1:$AY$1,J$1)+SUMIFS('changes2_based on steps'!$B64:$U64,'changes2_based on steps'!$B$1:$U$1,J$1)</f>
        <v>0</v>
      </c>
      <c r="K64" s="155">
        <f>SUMIFS('recurring2_based on steps'!$B64:$AY64,'recurring2_based on steps'!$B$1:$AY$1,K$1)+SUMIFS('changes2_based on steps'!$B64:$U64,'changes2_based on steps'!$B$1:$U$1,K$1)</f>
        <v>0</v>
      </c>
      <c r="L64" s="155">
        <f>SUMIFS('recurring2_based on steps'!$B64:$AY64,'recurring2_based on steps'!$B$1:$AY$1,L$1)+SUMIFS('changes2_based on steps'!$B64:$U64,'changes2_based on steps'!$B$1:$U$1,L$1)</f>
        <v>0</v>
      </c>
      <c r="M64" s="155">
        <f ca="1">SUMIFS('recurring2_based on steps'!$B64:$AY64,'recurring2_based on steps'!$B$1:$AY$1,M$1)+SUMIFS('changes2_based on steps'!$B64:$U64,'changes2_based on steps'!$B$1:$U$1,M$1)</f>
        <v>0</v>
      </c>
      <c r="N64" s="155">
        <f ca="1">SUMIFS('recurring2_based on steps'!$B64:$AY64,'recurring2_based on steps'!$B$1:$AY$1,N$1)+SUMIFS('changes2_based on steps'!$B64:$U64,'changes2_based on steps'!$B$1:$U$1,N$1)</f>
        <v>0</v>
      </c>
      <c r="O64" s="155">
        <f ca="1">SUMIFS('recurring2_based on steps'!$B64:$AY64,'recurring2_based on steps'!$B$1:$AY$1,O$1)+SUMIFS('changes2_based on steps'!$B64:$U64,'changes2_based on steps'!$B$1:$U$1,O$1)</f>
        <v>0</v>
      </c>
      <c r="P64" s="155">
        <f ca="1">SUMIFS('recurring2_based on steps'!$B64:$AY64,'recurring2_based on steps'!$B$1:$AY$1,P$1)+SUMIFS('changes2_based on steps'!$B64:$U64,'changes2_based on steps'!$B$1:$U$1,P$1)</f>
        <v>0</v>
      </c>
      <c r="Q64" s="155">
        <f>SUMIFS('recurring2_based on steps'!$B64:$AY64,'recurring2_based on steps'!$B$1:$AY$1,Q$1)+SUMIFS('changes2_based on steps'!$B64:$U64,'changes2_based on steps'!$B$1:$U$1,Q$1)</f>
        <v>0</v>
      </c>
      <c r="R64" s="155">
        <f ca="1">SUMIFS('recurring2_based on steps'!$B64:$AY64,'recurring2_based on steps'!$B$1:$AY$1,R$1)+SUMIFS('changes2_based on steps'!$B64:$U64,'changes2_based on steps'!$B$1:$U$1,R$1)</f>
        <v>0</v>
      </c>
      <c r="S64" s="155">
        <f ca="1">SUMIFS('recurring2_based on steps'!$B64:$AY64,'recurring2_based on steps'!$B$1:$AY$1,S$1)+SUMIFS('changes2_based on steps'!$B64:$U64,'changes2_based on steps'!$B$1:$U$1,S$1)</f>
        <v>0</v>
      </c>
      <c r="T64" s="155">
        <f>SUMIFS('recurring2_based on steps'!$B64:$AY64,'recurring2_based on steps'!$B$1:$AY$1,T$1)+SUMIFS('changes2_based on steps'!$B64:$U64,'changes2_based on steps'!$B$1:$U$1,T$1)</f>
        <v>0</v>
      </c>
      <c r="U64" s="155">
        <f ca="1">SUMIFS('recurring2_based on steps'!$B64:$AY64,'recurring2_based on steps'!$B$1:$AY$1,U$1)+SUMIFS('changes2_based on steps'!$B64:$U64,'changes2_based on steps'!$B$1:$U$1,U$1)</f>
        <v>0</v>
      </c>
      <c r="V64" s="155">
        <f>SUMIFS('recurring2_based on steps'!$B64:$AY64,'recurring2_based on steps'!$B$1:$AY$1,V$1)+SUMIFS('changes2_based on steps'!$B64:$U64,'changes2_based on steps'!$B$1:$U$1,V$1)</f>
        <v>0</v>
      </c>
      <c r="W64" s="155">
        <f ca="1">SUMIFS('recurring2_based on steps'!$B64:$AY64,'recurring2_based on steps'!$B$1:$AY$1,W$1)+SUMIFS('changes2_based on steps'!$B64:$U64,'changes2_based on steps'!$B$1:$U$1,W$1)</f>
        <v>0</v>
      </c>
      <c r="X64" s="155">
        <f ca="1">SUMIFS('recurring2_based on steps'!$B64:$AY64,'recurring2_based on steps'!$B$1:$AY$1,X$1)+SUMIFS('changes2_based on steps'!$B64:$U64,'changes2_based on steps'!$B$1:$U$1,X$1)</f>
        <v>0</v>
      </c>
      <c r="Y64" s="155">
        <f ca="1">SUMIFS('recurring2_based on steps'!$B64:$AY64,'recurring2_based on steps'!$B$1:$AY$1,Y$1)+SUMIFS('changes2_based on steps'!$B64:$U64,'changes2_based on steps'!$B$1:$U$1,Y$1)</f>
        <v>0</v>
      </c>
      <c r="Z64" s="155">
        <f>SUMIFS('recurring2_based on steps'!$B64:$AY64,'recurring2_based on steps'!$B$1:$AY$1,Z$1)+SUMIFS('changes2_based on steps'!$B64:$U64,'changes2_based on steps'!$B$1:$U$1,Z$1)</f>
        <v>0</v>
      </c>
      <c r="AA64" s="155">
        <f>SUMIFS('recurring2_based on steps'!$B64:$AY64,'recurring2_based on steps'!$B$1:$AY$1,AA$1)+SUMIFS('changes2_based on steps'!$B64:$U64,'changes2_based on steps'!$B$1:$U$1,AA$1)</f>
        <v>0</v>
      </c>
    </row>
    <row r="65" spans="1:27" x14ac:dyDescent="0.2">
      <c r="A65" s="18">
        <f t="shared" ca="1" si="0"/>
        <v>45751</v>
      </c>
      <c r="B65" s="155">
        <f ca="1">SUMIFS('recurring2_based on steps'!$B65:$AY65,'recurring2_based on steps'!$B$1:$AY$1,B$1)+SUMIFS('changes2_based on steps'!$B65:$U65,'changes2_based on steps'!$B$1:$U$1,B$1)</f>
        <v>4000</v>
      </c>
      <c r="C65" s="155">
        <f>SUMIFS('recurring2_based on steps'!$B65:$AY65,'recurring2_based on steps'!$B$1:$AY$1,C$1)+SUMIFS('changes2_based on steps'!$B65:$U65,'changes2_based on steps'!$B$1:$U$1,C$1)</f>
        <v>0</v>
      </c>
      <c r="D65" s="155">
        <f>SUMIFS('recurring2_based on steps'!$B65:$AY65,'recurring2_based on steps'!$B$1:$AY$1,D$1)+SUMIFS('changes2_based on steps'!$B65:$U65,'changes2_based on steps'!$B$1:$U$1,D$1)</f>
        <v>0</v>
      </c>
      <c r="E65" s="155">
        <f>SUMIFS('recurring2_based on steps'!$B65:$AY65,'recurring2_based on steps'!$B$1:$AY$1,E$1)+SUMIFS('changes2_based on steps'!$B65:$U65,'changes2_based on steps'!$B$1:$U$1,E$1)</f>
        <v>0</v>
      </c>
      <c r="F65" s="155">
        <f>SUMIFS('recurring2_based on steps'!$B65:$AY65,'recurring2_based on steps'!$B$1:$AY$1,F$1)+SUMIFS('changes2_based on steps'!$B65:$U65,'changes2_based on steps'!$B$1:$U$1,F$1)</f>
        <v>0</v>
      </c>
      <c r="G65" s="155">
        <f>SUMIFS('recurring2_based on steps'!$B65:$AY65,'recurring2_based on steps'!$B$1:$AY$1,G$1)+SUMIFS('changes2_based on steps'!$B65:$U65,'changes2_based on steps'!$B$1:$U$1,G$1)</f>
        <v>0</v>
      </c>
      <c r="H65" s="155">
        <f ca="1">SUMIFS('recurring2_based on steps'!$B65:$AY65,'recurring2_based on steps'!$B$1:$AY$1,H$1)+SUMIFS('changes2_based on steps'!$B65:$U65,'changes2_based on steps'!$B$1:$U$1,H$1)</f>
        <v>96</v>
      </c>
      <c r="I65" s="155">
        <f>SUMIFS('recurring2_based on steps'!$B65:$AY65,'recurring2_based on steps'!$B$1:$AY$1,I$1)+SUMIFS('changes2_based on steps'!$B65:$U65,'changes2_based on steps'!$B$1:$U$1,I$1)</f>
        <v>0</v>
      </c>
      <c r="J65" s="155">
        <f>SUMIFS('recurring2_based on steps'!$B65:$AY65,'recurring2_based on steps'!$B$1:$AY$1,J$1)+SUMIFS('changes2_based on steps'!$B65:$U65,'changes2_based on steps'!$B$1:$U$1,J$1)</f>
        <v>0</v>
      </c>
      <c r="K65" s="155">
        <f>SUMIFS('recurring2_based on steps'!$B65:$AY65,'recurring2_based on steps'!$B$1:$AY$1,K$1)+SUMIFS('changes2_based on steps'!$B65:$U65,'changes2_based on steps'!$B$1:$U$1,K$1)</f>
        <v>0</v>
      </c>
      <c r="L65" s="155">
        <f>SUMIFS('recurring2_based on steps'!$B65:$AY65,'recurring2_based on steps'!$B$1:$AY$1,L$1)+SUMIFS('changes2_based on steps'!$B65:$U65,'changes2_based on steps'!$B$1:$U$1,L$1)</f>
        <v>0</v>
      </c>
      <c r="M65" s="155">
        <f ca="1">SUMIFS('recurring2_based on steps'!$B65:$AY65,'recurring2_based on steps'!$B$1:$AY$1,M$1)+SUMIFS('changes2_based on steps'!$B65:$U65,'changes2_based on steps'!$B$1:$U$1,M$1)</f>
        <v>0</v>
      </c>
      <c r="N65" s="155">
        <f ca="1">SUMIFS('recurring2_based on steps'!$B65:$AY65,'recurring2_based on steps'!$B$1:$AY$1,N$1)+SUMIFS('changes2_based on steps'!$B65:$U65,'changes2_based on steps'!$B$1:$U$1,N$1)</f>
        <v>0</v>
      </c>
      <c r="O65" s="155">
        <f ca="1">SUMIFS('recurring2_based on steps'!$B65:$AY65,'recurring2_based on steps'!$B$1:$AY$1,O$1)+SUMIFS('changes2_based on steps'!$B65:$U65,'changes2_based on steps'!$B$1:$U$1,O$1)</f>
        <v>0</v>
      </c>
      <c r="P65" s="155">
        <f ca="1">SUMIFS('recurring2_based on steps'!$B65:$AY65,'recurring2_based on steps'!$B$1:$AY$1,P$1)+SUMIFS('changes2_based on steps'!$B65:$U65,'changes2_based on steps'!$B$1:$U$1,P$1)</f>
        <v>0</v>
      </c>
      <c r="Q65" s="155">
        <f>SUMIFS('recurring2_based on steps'!$B65:$AY65,'recurring2_based on steps'!$B$1:$AY$1,Q$1)+SUMIFS('changes2_based on steps'!$B65:$U65,'changes2_based on steps'!$B$1:$U$1,Q$1)</f>
        <v>0</v>
      </c>
      <c r="R65" s="155">
        <f ca="1">SUMIFS('recurring2_based on steps'!$B65:$AY65,'recurring2_based on steps'!$B$1:$AY$1,R$1)+SUMIFS('changes2_based on steps'!$B65:$U65,'changes2_based on steps'!$B$1:$U$1,R$1)</f>
        <v>0</v>
      </c>
      <c r="S65" s="155">
        <f ca="1">SUMIFS('recurring2_based on steps'!$B65:$AY65,'recurring2_based on steps'!$B$1:$AY$1,S$1)+SUMIFS('changes2_based on steps'!$B65:$U65,'changes2_based on steps'!$B$1:$U$1,S$1)</f>
        <v>0</v>
      </c>
      <c r="T65" s="155">
        <f>SUMIFS('recurring2_based on steps'!$B65:$AY65,'recurring2_based on steps'!$B$1:$AY$1,T$1)+SUMIFS('changes2_based on steps'!$B65:$U65,'changes2_based on steps'!$B$1:$U$1,T$1)</f>
        <v>0</v>
      </c>
      <c r="U65" s="155">
        <f ca="1">SUMIFS('recurring2_based on steps'!$B65:$AY65,'recurring2_based on steps'!$B$1:$AY$1,U$1)+SUMIFS('changes2_based on steps'!$B65:$U65,'changes2_based on steps'!$B$1:$U$1,U$1)</f>
        <v>15</v>
      </c>
      <c r="V65" s="155">
        <f>SUMIFS('recurring2_based on steps'!$B65:$AY65,'recurring2_based on steps'!$B$1:$AY$1,V$1)+SUMIFS('changes2_based on steps'!$B65:$U65,'changes2_based on steps'!$B$1:$U$1,V$1)</f>
        <v>0</v>
      </c>
      <c r="W65" s="155">
        <f ca="1">SUMIFS('recurring2_based on steps'!$B65:$AY65,'recurring2_based on steps'!$B$1:$AY$1,W$1)+SUMIFS('changes2_based on steps'!$B65:$U65,'changes2_based on steps'!$B$1:$U$1,W$1)</f>
        <v>50</v>
      </c>
      <c r="X65" s="155">
        <f ca="1">SUMIFS('recurring2_based on steps'!$B65:$AY65,'recurring2_based on steps'!$B$1:$AY$1,X$1)+SUMIFS('changes2_based on steps'!$B65:$U65,'changes2_based on steps'!$B$1:$U$1,X$1)</f>
        <v>200</v>
      </c>
      <c r="Y65" s="155">
        <f ca="1">SUMIFS('recurring2_based on steps'!$B65:$AY65,'recurring2_based on steps'!$B$1:$AY$1,Y$1)+SUMIFS('changes2_based on steps'!$B65:$U65,'changes2_based on steps'!$B$1:$U$1,Y$1)</f>
        <v>0</v>
      </c>
      <c r="Z65" s="155">
        <f>SUMIFS('recurring2_based on steps'!$B65:$AY65,'recurring2_based on steps'!$B$1:$AY$1,Z$1)+SUMIFS('changes2_based on steps'!$B65:$U65,'changes2_based on steps'!$B$1:$U$1,Z$1)</f>
        <v>0</v>
      </c>
      <c r="AA65" s="155">
        <f>SUMIFS('recurring2_based on steps'!$B65:$AY65,'recurring2_based on steps'!$B$1:$AY$1,AA$1)+SUMIFS('changes2_based on steps'!$B65:$U65,'changes2_based on steps'!$B$1:$U$1,AA$1)</f>
        <v>0</v>
      </c>
    </row>
    <row r="66" spans="1:27" x14ac:dyDescent="0.2">
      <c r="A66" s="18">
        <f t="shared" ca="1" si="0"/>
        <v>45752</v>
      </c>
      <c r="B66" s="155">
        <f ca="1">SUMIFS('recurring2_based on steps'!$B66:$AY66,'recurring2_based on steps'!$B$1:$AY$1,B$1)+SUMIFS('changes2_based on steps'!$B66:$U66,'changes2_based on steps'!$B$1:$U$1,B$1)</f>
        <v>0</v>
      </c>
      <c r="C66" s="155">
        <f>SUMIFS('recurring2_based on steps'!$B66:$AY66,'recurring2_based on steps'!$B$1:$AY$1,C$1)+SUMIFS('changes2_based on steps'!$B66:$U66,'changes2_based on steps'!$B$1:$U$1,C$1)</f>
        <v>0</v>
      </c>
      <c r="D66" s="155">
        <f>SUMIFS('recurring2_based on steps'!$B66:$AY66,'recurring2_based on steps'!$B$1:$AY$1,D$1)+SUMIFS('changes2_based on steps'!$B66:$U66,'changes2_based on steps'!$B$1:$U$1,D$1)</f>
        <v>0</v>
      </c>
      <c r="E66" s="155">
        <f>SUMIFS('recurring2_based on steps'!$B66:$AY66,'recurring2_based on steps'!$B$1:$AY$1,E$1)+SUMIFS('changes2_based on steps'!$B66:$U66,'changes2_based on steps'!$B$1:$U$1,E$1)</f>
        <v>0</v>
      </c>
      <c r="F66" s="155">
        <f>SUMIFS('recurring2_based on steps'!$B66:$AY66,'recurring2_based on steps'!$B$1:$AY$1,F$1)+SUMIFS('changes2_based on steps'!$B66:$U66,'changes2_based on steps'!$B$1:$U$1,F$1)</f>
        <v>0</v>
      </c>
      <c r="G66" s="155">
        <f>SUMIFS('recurring2_based on steps'!$B66:$AY66,'recurring2_based on steps'!$B$1:$AY$1,G$1)+SUMIFS('changes2_based on steps'!$B66:$U66,'changes2_based on steps'!$B$1:$U$1,G$1)</f>
        <v>0</v>
      </c>
      <c r="H66" s="155">
        <f ca="1">SUMIFS('recurring2_based on steps'!$B66:$AY66,'recurring2_based on steps'!$B$1:$AY$1,H$1)+SUMIFS('changes2_based on steps'!$B66:$U66,'changes2_based on steps'!$B$1:$U$1,H$1)</f>
        <v>0</v>
      </c>
      <c r="I66" s="155">
        <f>SUMIFS('recurring2_based on steps'!$B66:$AY66,'recurring2_based on steps'!$B$1:$AY$1,I$1)+SUMIFS('changes2_based on steps'!$B66:$U66,'changes2_based on steps'!$B$1:$U$1,I$1)</f>
        <v>0</v>
      </c>
      <c r="J66" s="155">
        <f>SUMIFS('recurring2_based on steps'!$B66:$AY66,'recurring2_based on steps'!$B$1:$AY$1,J$1)+SUMIFS('changes2_based on steps'!$B66:$U66,'changes2_based on steps'!$B$1:$U$1,J$1)</f>
        <v>0</v>
      </c>
      <c r="K66" s="155">
        <f>SUMIFS('recurring2_based on steps'!$B66:$AY66,'recurring2_based on steps'!$B$1:$AY$1,K$1)+SUMIFS('changes2_based on steps'!$B66:$U66,'changes2_based on steps'!$B$1:$U$1,K$1)</f>
        <v>0</v>
      </c>
      <c r="L66" s="155">
        <f>SUMIFS('recurring2_based on steps'!$B66:$AY66,'recurring2_based on steps'!$B$1:$AY$1,L$1)+SUMIFS('changes2_based on steps'!$B66:$U66,'changes2_based on steps'!$B$1:$U$1,L$1)</f>
        <v>0</v>
      </c>
      <c r="M66" s="155">
        <f ca="1">SUMIFS('recurring2_based on steps'!$B66:$AY66,'recurring2_based on steps'!$B$1:$AY$1,M$1)+SUMIFS('changes2_based on steps'!$B66:$U66,'changes2_based on steps'!$B$1:$U$1,M$1)</f>
        <v>0</v>
      </c>
      <c r="N66" s="155">
        <f ca="1">SUMIFS('recurring2_based on steps'!$B66:$AY66,'recurring2_based on steps'!$B$1:$AY$1,N$1)+SUMIFS('changes2_based on steps'!$B66:$U66,'changes2_based on steps'!$B$1:$U$1,N$1)</f>
        <v>0</v>
      </c>
      <c r="O66" s="155">
        <f ca="1">SUMIFS('recurring2_based on steps'!$B66:$AY66,'recurring2_based on steps'!$B$1:$AY$1,O$1)+SUMIFS('changes2_based on steps'!$B66:$U66,'changes2_based on steps'!$B$1:$U$1,O$1)</f>
        <v>0</v>
      </c>
      <c r="P66" s="155">
        <f ca="1">SUMIFS('recurring2_based on steps'!$B66:$AY66,'recurring2_based on steps'!$B$1:$AY$1,P$1)+SUMIFS('changes2_based on steps'!$B66:$U66,'changes2_based on steps'!$B$1:$U$1,P$1)</f>
        <v>0</v>
      </c>
      <c r="Q66" s="155">
        <f>SUMIFS('recurring2_based on steps'!$B66:$AY66,'recurring2_based on steps'!$B$1:$AY$1,Q$1)+SUMIFS('changes2_based on steps'!$B66:$U66,'changes2_based on steps'!$B$1:$U$1,Q$1)</f>
        <v>0</v>
      </c>
      <c r="R66" s="155">
        <f ca="1">SUMIFS('recurring2_based on steps'!$B66:$AY66,'recurring2_based on steps'!$B$1:$AY$1,R$1)+SUMIFS('changes2_based on steps'!$B66:$U66,'changes2_based on steps'!$B$1:$U$1,R$1)</f>
        <v>100</v>
      </c>
      <c r="S66" s="155">
        <f ca="1">SUMIFS('recurring2_based on steps'!$B66:$AY66,'recurring2_based on steps'!$B$1:$AY$1,S$1)+SUMIFS('changes2_based on steps'!$B66:$U66,'changes2_based on steps'!$B$1:$U$1,S$1)</f>
        <v>100</v>
      </c>
      <c r="T66" s="155">
        <f>SUMIFS('recurring2_based on steps'!$B66:$AY66,'recurring2_based on steps'!$B$1:$AY$1,T$1)+SUMIFS('changes2_based on steps'!$B66:$U66,'changes2_based on steps'!$B$1:$U$1,T$1)</f>
        <v>0</v>
      </c>
      <c r="U66" s="155">
        <f ca="1">SUMIFS('recurring2_based on steps'!$B66:$AY66,'recurring2_based on steps'!$B$1:$AY$1,U$1)+SUMIFS('changes2_based on steps'!$B66:$U66,'changes2_based on steps'!$B$1:$U$1,U$1)</f>
        <v>0</v>
      </c>
      <c r="V66" s="155">
        <f>SUMIFS('recurring2_based on steps'!$B66:$AY66,'recurring2_based on steps'!$B$1:$AY$1,V$1)+SUMIFS('changes2_based on steps'!$B66:$U66,'changes2_based on steps'!$B$1:$U$1,V$1)</f>
        <v>0</v>
      </c>
      <c r="W66" s="155">
        <f ca="1">SUMIFS('recurring2_based on steps'!$B66:$AY66,'recurring2_based on steps'!$B$1:$AY$1,W$1)+SUMIFS('changes2_based on steps'!$B66:$U66,'changes2_based on steps'!$B$1:$U$1,W$1)</f>
        <v>0</v>
      </c>
      <c r="X66" s="155">
        <f ca="1">SUMIFS('recurring2_based on steps'!$B66:$AY66,'recurring2_based on steps'!$B$1:$AY$1,X$1)+SUMIFS('changes2_based on steps'!$B66:$U66,'changes2_based on steps'!$B$1:$U$1,X$1)</f>
        <v>0</v>
      </c>
      <c r="Y66" s="155">
        <f ca="1">SUMIFS('recurring2_based on steps'!$B66:$AY66,'recurring2_based on steps'!$B$1:$AY$1,Y$1)+SUMIFS('changes2_based on steps'!$B66:$U66,'changes2_based on steps'!$B$1:$U$1,Y$1)</f>
        <v>0</v>
      </c>
      <c r="Z66" s="155">
        <f>SUMIFS('recurring2_based on steps'!$B66:$AY66,'recurring2_based on steps'!$B$1:$AY$1,Z$1)+SUMIFS('changes2_based on steps'!$B66:$U66,'changes2_based on steps'!$B$1:$U$1,Z$1)</f>
        <v>0</v>
      </c>
      <c r="AA66" s="155">
        <f>SUMIFS('recurring2_based on steps'!$B66:$AY66,'recurring2_based on steps'!$B$1:$AY$1,AA$1)+SUMIFS('changes2_based on steps'!$B66:$U66,'changes2_based on steps'!$B$1:$U$1,AA$1)</f>
        <v>0</v>
      </c>
    </row>
    <row r="67" spans="1:27" x14ac:dyDescent="0.2">
      <c r="A67" s="18">
        <f t="shared" ca="1" si="0"/>
        <v>45753</v>
      </c>
      <c r="B67" s="155">
        <f ca="1">SUMIFS('recurring2_based on steps'!$B67:$AY67,'recurring2_based on steps'!$B$1:$AY$1,B$1)+SUMIFS('changes2_based on steps'!$B67:$U67,'changes2_based on steps'!$B$1:$U$1,B$1)</f>
        <v>0</v>
      </c>
      <c r="C67" s="155">
        <f>SUMIFS('recurring2_based on steps'!$B67:$AY67,'recurring2_based on steps'!$B$1:$AY$1,C$1)+SUMIFS('changes2_based on steps'!$B67:$U67,'changes2_based on steps'!$B$1:$U$1,C$1)</f>
        <v>0</v>
      </c>
      <c r="D67" s="155">
        <f>SUMIFS('recurring2_based on steps'!$B67:$AY67,'recurring2_based on steps'!$B$1:$AY$1,D$1)+SUMIFS('changes2_based on steps'!$B67:$U67,'changes2_based on steps'!$B$1:$U$1,D$1)</f>
        <v>0</v>
      </c>
      <c r="E67" s="155">
        <f>SUMIFS('recurring2_based on steps'!$B67:$AY67,'recurring2_based on steps'!$B$1:$AY$1,E$1)+SUMIFS('changes2_based on steps'!$B67:$U67,'changes2_based on steps'!$B$1:$U$1,E$1)</f>
        <v>0</v>
      </c>
      <c r="F67" s="155">
        <f>SUMIFS('recurring2_based on steps'!$B67:$AY67,'recurring2_based on steps'!$B$1:$AY$1,F$1)+SUMIFS('changes2_based on steps'!$B67:$U67,'changes2_based on steps'!$B$1:$U$1,F$1)</f>
        <v>0</v>
      </c>
      <c r="G67" s="155">
        <f>SUMIFS('recurring2_based on steps'!$B67:$AY67,'recurring2_based on steps'!$B$1:$AY$1,G$1)+SUMIFS('changes2_based on steps'!$B67:$U67,'changes2_based on steps'!$B$1:$U$1,G$1)</f>
        <v>0</v>
      </c>
      <c r="H67" s="155">
        <f ca="1">SUMIFS('recurring2_based on steps'!$B67:$AY67,'recurring2_based on steps'!$B$1:$AY$1,H$1)+SUMIFS('changes2_based on steps'!$B67:$U67,'changes2_based on steps'!$B$1:$U$1,H$1)</f>
        <v>0</v>
      </c>
      <c r="I67" s="155">
        <f>SUMIFS('recurring2_based on steps'!$B67:$AY67,'recurring2_based on steps'!$B$1:$AY$1,I$1)+SUMIFS('changes2_based on steps'!$B67:$U67,'changes2_based on steps'!$B$1:$U$1,I$1)</f>
        <v>0</v>
      </c>
      <c r="J67" s="155">
        <f>SUMIFS('recurring2_based on steps'!$B67:$AY67,'recurring2_based on steps'!$B$1:$AY$1,J$1)+SUMIFS('changes2_based on steps'!$B67:$U67,'changes2_based on steps'!$B$1:$U$1,J$1)</f>
        <v>0</v>
      </c>
      <c r="K67" s="155">
        <f>SUMIFS('recurring2_based on steps'!$B67:$AY67,'recurring2_based on steps'!$B$1:$AY$1,K$1)+SUMIFS('changes2_based on steps'!$B67:$U67,'changes2_based on steps'!$B$1:$U$1,K$1)</f>
        <v>0</v>
      </c>
      <c r="L67" s="155">
        <f>SUMIFS('recurring2_based on steps'!$B67:$AY67,'recurring2_based on steps'!$B$1:$AY$1,L$1)+SUMIFS('changes2_based on steps'!$B67:$U67,'changes2_based on steps'!$B$1:$U$1,L$1)</f>
        <v>0</v>
      </c>
      <c r="M67" s="155">
        <f ca="1">SUMIFS('recurring2_based on steps'!$B67:$AY67,'recurring2_based on steps'!$B$1:$AY$1,M$1)+SUMIFS('changes2_based on steps'!$B67:$U67,'changes2_based on steps'!$B$1:$U$1,M$1)</f>
        <v>0</v>
      </c>
      <c r="N67" s="155">
        <f ca="1">SUMIFS('recurring2_based on steps'!$B67:$AY67,'recurring2_based on steps'!$B$1:$AY$1,N$1)+SUMIFS('changes2_based on steps'!$B67:$U67,'changes2_based on steps'!$B$1:$U$1,N$1)</f>
        <v>50</v>
      </c>
      <c r="O67" s="155">
        <f ca="1">SUMIFS('recurring2_based on steps'!$B67:$AY67,'recurring2_based on steps'!$B$1:$AY$1,O$1)+SUMIFS('changes2_based on steps'!$B67:$U67,'changes2_based on steps'!$B$1:$U$1,O$1)</f>
        <v>0</v>
      </c>
      <c r="P67" s="155">
        <f ca="1">SUMIFS('recurring2_based on steps'!$B67:$AY67,'recurring2_based on steps'!$B$1:$AY$1,P$1)+SUMIFS('changes2_based on steps'!$B67:$U67,'changes2_based on steps'!$B$1:$U$1,P$1)</f>
        <v>0</v>
      </c>
      <c r="Q67" s="155">
        <f>SUMIFS('recurring2_based on steps'!$B67:$AY67,'recurring2_based on steps'!$B$1:$AY$1,Q$1)+SUMIFS('changes2_based on steps'!$B67:$U67,'changes2_based on steps'!$B$1:$U$1,Q$1)</f>
        <v>0</v>
      </c>
      <c r="R67" s="155">
        <f ca="1">SUMIFS('recurring2_based on steps'!$B67:$AY67,'recurring2_based on steps'!$B$1:$AY$1,R$1)+SUMIFS('changes2_based on steps'!$B67:$U67,'changes2_based on steps'!$B$1:$U$1,R$1)</f>
        <v>0</v>
      </c>
      <c r="S67" s="155">
        <f ca="1">SUMIFS('recurring2_based on steps'!$B67:$AY67,'recurring2_based on steps'!$B$1:$AY$1,S$1)+SUMIFS('changes2_based on steps'!$B67:$U67,'changes2_based on steps'!$B$1:$U$1,S$1)</f>
        <v>100</v>
      </c>
      <c r="T67" s="155">
        <f>SUMIFS('recurring2_based on steps'!$B67:$AY67,'recurring2_based on steps'!$B$1:$AY$1,T$1)+SUMIFS('changes2_based on steps'!$B67:$U67,'changes2_based on steps'!$B$1:$U$1,T$1)</f>
        <v>0</v>
      </c>
      <c r="U67" s="155">
        <f ca="1">SUMIFS('recurring2_based on steps'!$B67:$AY67,'recurring2_based on steps'!$B$1:$AY$1,U$1)+SUMIFS('changes2_based on steps'!$B67:$U67,'changes2_based on steps'!$B$1:$U$1,U$1)</f>
        <v>0</v>
      </c>
      <c r="V67" s="155">
        <f>SUMIFS('recurring2_based on steps'!$B67:$AY67,'recurring2_based on steps'!$B$1:$AY$1,V$1)+SUMIFS('changes2_based on steps'!$B67:$U67,'changes2_based on steps'!$B$1:$U$1,V$1)</f>
        <v>0</v>
      </c>
      <c r="W67" s="155">
        <f ca="1">SUMIFS('recurring2_based on steps'!$B67:$AY67,'recurring2_based on steps'!$B$1:$AY$1,W$1)+SUMIFS('changes2_based on steps'!$B67:$U67,'changes2_based on steps'!$B$1:$U$1,W$1)</f>
        <v>0</v>
      </c>
      <c r="X67" s="155">
        <f ca="1">SUMIFS('recurring2_based on steps'!$B67:$AY67,'recurring2_based on steps'!$B$1:$AY$1,X$1)+SUMIFS('changes2_based on steps'!$B67:$U67,'changes2_based on steps'!$B$1:$U$1,X$1)</f>
        <v>0</v>
      </c>
      <c r="Y67" s="155">
        <f ca="1">SUMIFS('recurring2_based on steps'!$B67:$AY67,'recurring2_based on steps'!$B$1:$AY$1,Y$1)+SUMIFS('changes2_based on steps'!$B67:$U67,'changes2_based on steps'!$B$1:$U$1,Y$1)</f>
        <v>0</v>
      </c>
      <c r="Z67" s="155">
        <f>SUMIFS('recurring2_based on steps'!$B67:$AY67,'recurring2_based on steps'!$B$1:$AY$1,Z$1)+SUMIFS('changes2_based on steps'!$B67:$U67,'changes2_based on steps'!$B$1:$U$1,Z$1)</f>
        <v>0</v>
      </c>
      <c r="AA67" s="155">
        <f>SUMIFS('recurring2_based on steps'!$B67:$AY67,'recurring2_based on steps'!$B$1:$AY$1,AA$1)+SUMIFS('changes2_based on steps'!$B67:$U67,'changes2_based on steps'!$B$1:$U$1,AA$1)</f>
        <v>0</v>
      </c>
    </row>
    <row r="68" spans="1:27" x14ac:dyDescent="0.2">
      <c r="A68" s="18">
        <f t="shared" ca="1" si="0"/>
        <v>45754</v>
      </c>
      <c r="B68" s="155">
        <f ca="1">SUMIFS('recurring2_based on steps'!$B68:$AY68,'recurring2_based on steps'!$B$1:$AY$1,B$1)+SUMIFS('changes2_based on steps'!$B68:$U68,'changes2_based on steps'!$B$1:$U$1,B$1)</f>
        <v>0</v>
      </c>
      <c r="C68" s="155">
        <f>SUMIFS('recurring2_based on steps'!$B68:$AY68,'recurring2_based on steps'!$B$1:$AY$1,C$1)+SUMIFS('changes2_based on steps'!$B68:$U68,'changes2_based on steps'!$B$1:$U$1,C$1)</f>
        <v>0</v>
      </c>
      <c r="D68" s="155">
        <f>SUMIFS('recurring2_based on steps'!$B68:$AY68,'recurring2_based on steps'!$B$1:$AY$1,D$1)+SUMIFS('changes2_based on steps'!$B68:$U68,'changes2_based on steps'!$B$1:$U$1,D$1)</f>
        <v>0</v>
      </c>
      <c r="E68" s="155">
        <f>SUMIFS('recurring2_based on steps'!$B68:$AY68,'recurring2_based on steps'!$B$1:$AY$1,E$1)+SUMIFS('changes2_based on steps'!$B68:$U68,'changes2_based on steps'!$B$1:$U$1,E$1)</f>
        <v>0</v>
      </c>
      <c r="F68" s="155">
        <f>SUMIFS('recurring2_based on steps'!$B68:$AY68,'recurring2_based on steps'!$B$1:$AY$1,F$1)+SUMIFS('changes2_based on steps'!$B68:$U68,'changes2_based on steps'!$B$1:$U$1,F$1)</f>
        <v>0</v>
      </c>
      <c r="G68" s="155">
        <f>SUMIFS('recurring2_based on steps'!$B68:$AY68,'recurring2_based on steps'!$B$1:$AY$1,G$1)+SUMIFS('changes2_based on steps'!$B68:$U68,'changes2_based on steps'!$B$1:$U$1,G$1)</f>
        <v>0</v>
      </c>
      <c r="H68" s="155">
        <f ca="1">SUMIFS('recurring2_based on steps'!$B68:$AY68,'recurring2_based on steps'!$B$1:$AY$1,H$1)+SUMIFS('changes2_based on steps'!$B68:$U68,'changes2_based on steps'!$B$1:$U$1,H$1)</f>
        <v>0</v>
      </c>
      <c r="I68" s="155">
        <f>SUMIFS('recurring2_based on steps'!$B68:$AY68,'recurring2_based on steps'!$B$1:$AY$1,I$1)+SUMIFS('changes2_based on steps'!$B68:$U68,'changes2_based on steps'!$B$1:$U$1,I$1)</f>
        <v>0</v>
      </c>
      <c r="J68" s="155">
        <f>SUMIFS('recurring2_based on steps'!$B68:$AY68,'recurring2_based on steps'!$B$1:$AY$1,J$1)+SUMIFS('changes2_based on steps'!$B68:$U68,'changes2_based on steps'!$B$1:$U$1,J$1)</f>
        <v>0</v>
      </c>
      <c r="K68" s="155">
        <f>SUMIFS('recurring2_based on steps'!$B68:$AY68,'recurring2_based on steps'!$B$1:$AY$1,K$1)+SUMIFS('changes2_based on steps'!$B68:$U68,'changes2_based on steps'!$B$1:$U$1,K$1)</f>
        <v>0</v>
      </c>
      <c r="L68" s="155">
        <f>SUMIFS('recurring2_based on steps'!$B68:$AY68,'recurring2_based on steps'!$B$1:$AY$1,L$1)+SUMIFS('changes2_based on steps'!$B68:$U68,'changes2_based on steps'!$B$1:$U$1,L$1)</f>
        <v>0</v>
      </c>
      <c r="M68" s="155">
        <f ca="1">SUMIFS('recurring2_based on steps'!$B68:$AY68,'recurring2_based on steps'!$B$1:$AY$1,M$1)+SUMIFS('changes2_based on steps'!$B68:$U68,'changes2_based on steps'!$B$1:$U$1,M$1)</f>
        <v>0</v>
      </c>
      <c r="N68" s="155">
        <f ca="1">SUMIFS('recurring2_based on steps'!$B68:$AY68,'recurring2_based on steps'!$B$1:$AY$1,N$1)+SUMIFS('changes2_based on steps'!$B68:$U68,'changes2_based on steps'!$B$1:$U$1,N$1)</f>
        <v>0</v>
      </c>
      <c r="O68" s="155">
        <f ca="1">SUMIFS('recurring2_based on steps'!$B68:$AY68,'recurring2_based on steps'!$B$1:$AY$1,O$1)+SUMIFS('changes2_based on steps'!$B68:$U68,'changes2_based on steps'!$B$1:$U$1,O$1)</f>
        <v>0</v>
      </c>
      <c r="P68" s="155">
        <f ca="1">SUMIFS('recurring2_based on steps'!$B68:$AY68,'recurring2_based on steps'!$B$1:$AY$1,P$1)+SUMIFS('changes2_based on steps'!$B68:$U68,'changes2_based on steps'!$B$1:$U$1,P$1)</f>
        <v>50</v>
      </c>
      <c r="Q68" s="155">
        <f>SUMIFS('recurring2_based on steps'!$B68:$AY68,'recurring2_based on steps'!$B$1:$AY$1,Q$1)+SUMIFS('changes2_based on steps'!$B68:$U68,'changes2_based on steps'!$B$1:$U$1,Q$1)</f>
        <v>0</v>
      </c>
      <c r="R68" s="155">
        <f ca="1">SUMIFS('recurring2_based on steps'!$B68:$AY68,'recurring2_based on steps'!$B$1:$AY$1,R$1)+SUMIFS('changes2_based on steps'!$B68:$U68,'changes2_based on steps'!$B$1:$U$1,R$1)</f>
        <v>0</v>
      </c>
      <c r="S68" s="155">
        <f ca="1">SUMIFS('recurring2_based on steps'!$B68:$AY68,'recurring2_based on steps'!$B$1:$AY$1,S$1)+SUMIFS('changes2_based on steps'!$B68:$U68,'changes2_based on steps'!$B$1:$U$1,S$1)</f>
        <v>0</v>
      </c>
      <c r="T68" s="155">
        <f>SUMIFS('recurring2_based on steps'!$B68:$AY68,'recurring2_based on steps'!$B$1:$AY$1,T$1)+SUMIFS('changes2_based on steps'!$B68:$U68,'changes2_based on steps'!$B$1:$U$1,T$1)</f>
        <v>0</v>
      </c>
      <c r="U68" s="155">
        <f ca="1">SUMIFS('recurring2_based on steps'!$B68:$AY68,'recurring2_based on steps'!$B$1:$AY$1,U$1)+SUMIFS('changes2_based on steps'!$B68:$U68,'changes2_based on steps'!$B$1:$U$1,U$1)</f>
        <v>0</v>
      </c>
      <c r="V68" s="155">
        <f>SUMIFS('recurring2_based on steps'!$B68:$AY68,'recurring2_based on steps'!$B$1:$AY$1,V$1)+SUMIFS('changes2_based on steps'!$B68:$U68,'changes2_based on steps'!$B$1:$U$1,V$1)</f>
        <v>0</v>
      </c>
      <c r="W68" s="155">
        <f ca="1">SUMIFS('recurring2_based on steps'!$B68:$AY68,'recurring2_based on steps'!$B$1:$AY$1,W$1)+SUMIFS('changes2_based on steps'!$B68:$U68,'changes2_based on steps'!$B$1:$U$1,W$1)</f>
        <v>0</v>
      </c>
      <c r="X68" s="155">
        <f ca="1">SUMIFS('recurring2_based on steps'!$B68:$AY68,'recurring2_based on steps'!$B$1:$AY$1,X$1)+SUMIFS('changes2_based on steps'!$B68:$U68,'changes2_based on steps'!$B$1:$U$1,X$1)</f>
        <v>0</v>
      </c>
      <c r="Y68" s="155">
        <f ca="1">SUMIFS('recurring2_based on steps'!$B68:$AY68,'recurring2_based on steps'!$B$1:$AY$1,Y$1)+SUMIFS('changes2_based on steps'!$B68:$U68,'changes2_based on steps'!$B$1:$U$1,Y$1)</f>
        <v>0</v>
      </c>
      <c r="Z68" s="155">
        <f>SUMIFS('recurring2_based on steps'!$B68:$AY68,'recurring2_based on steps'!$B$1:$AY$1,Z$1)+SUMIFS('changes2_based on steps'!$B68:$U68,'changes2_based on steps'!$B$1:$U$1,Z$1)</f>
        <v>0</v>
      </c>
      <c r="AA68" s="155">
        <f>SUMIFS('recurring2_based on steps'!$B68:$AY68,'recurring2_based on steps'!$B$1:$AY$1,AA$1)+SUMIFS('changes2_based on steps'!$B68:$U68,'changes2_based on steps'!$B$1:$U$1,AA$1)</f>
        <v>0</v>
      </c>
    </row>
    <row r="69" spans="1:27" x14ac:dyDescent="0.2">
      <c r="A69" s="18">
        <f t="shared" ref="A69:A132" ca="1" si="1">A68+1</f>
        <v>45755</v>
      </c>
      <c r="B69" s="155">
        <f ca="1">SUMIFS('recurring2_based on steps'!$B69:$AY69,'recurring2_based on steps'!$B$1:$AY$1,B$1)+SUMIFS('changes2_based on steps'!$B69:$U69,'changes2_based on steps'!$B$1:$U$1,B$1)</f>
        <v>0</v>
      </c>
      <c r="C69" s="155">
        <f>SUMIFS('recurring2_based on steps'!$B69:$AY69,'recurring2_based on steps'!$B$1:$AY$1,C$1)+SUMIFS('changes2_based on steps'!$B69:$U69,'changes2_based on steps'!$B$1:$U$1,C$1)</f>
        <v>0</v>
      </c>
      <c r="D69" s="155">
        <f>SUMIFS('recurring2_based on steps'!$B69:$AY69,'recurring2_based on steps'!$B$1:$AY$1,D$1)+SUMIFS('changes2_based on steps'!$B69:$U69,'changes2_based on steps'!$B$1:$U$1,D$1)</f>
        <v>0</v>
      </c>
      <c r="E69" s="155">
        <f>SUMIFS('recurring2_based on steps'!$B69:$AY69,'recurring2_based on steps'!$B$1:$AY$1,E$1)+SUMIFS('changes2_based on steps'!$B69:$U69,'changes2_based on steps'!$B$1:$U$1,E$1)</f>
        <v>0</v>
      </c>
      <c r="F69" s="155">
        <f>SUMIFS('recurring2_based on steps'!$B69:$AY69,'recurring2_based on steps'!$B$1:$AY$1,F$1)+SUMIFS('changes2_based on steps'!$B69:$U69,'changes2_based on steps'!$B$1:$U$1,F$1)</f>
        <v>0</v>
      </c>
      <c r="G69" s="155">
        <f>SUMIFS('recurring2_based on steps'!$B69:$AY69,'recurring2_based on steps'!$B$1:$AY$1,G$1)+SUMIFS('changes2_based on steps'!$B69:$U69,'changes2_based on steps'!$B$1:$U$1,G$1)</f>
        <v>0</v>
      </c>
      <c r="H69" s="155">
        <f ca="1">SUMIFS('recurring2_based on steps'!$B69:$AY69,'recurring2_based on steps'!$B$1:$AY$1,H$1)+SUMIFS('changes2_based on steps'!$B69:$U69,'changes2_based on steps'!$B$1:$U$1,H$1)</f>
        <v>0</v>
      </c>
      <c r="I69" s="155">
        <f>SUMIFS('recurring2_based on steps'!$B69:$AY69,'recurring2_based on steps'!$B$1:$AY$1,I$1)+SUMIFS('changes2_based on steps'!$B69:$U69,'changes2_based on steps'!$B$1:$U$1,I$1)</f>
        <v>0</v>
      </c>
      <c r="J69" s="155">
        <f>SUMIFS('recurring2_based on steps'!$B69:$AY69,'recurring2_based on steps'!$B$1:$AY$1,J$1)+SUMIFS('changes2_based on steps'!$B69:$U69,'changes2_based on steps'!$B$1:$U$1,J$1)</f>
        <v>0</v>
      </c>
      <c r="K69" s="155">
        <f>SUMIFS('recurring2_based on steps'!$B69:$AY69,'recurring2_based on steps'!$B$1:$AY$1,K$1)+SUMIFS('changes2_based on steps'!$B69:$U69,'changes2_based on steps'!$B$1:$U$1,K$1)</f>
        <v>0</v>
      </c>
      <c r="L69" s="155">
        <f>SUMIFS('recurring2_based on steps'!$B69:$AY69,'recurring2_based on steps'!$B$1:$AY$1,L$1)+SUMIFS('changes2_based on steps'!$B69:$U69,'changes2_based on steps'!$B$1:$U$1,L$1)</f>
        <v>0</v>
      </c>
      <c r="M69" s="155">
        <f ca="1">SUMIFS('recurring2_based on steps'!$B69:$AY69,'recurring2_based on steps'!$B$1:$AY$1,M$1)+SUMIFS('changes2_based on steps'!$B69:$U69,'changes2_based on steps'!$B$1:$U$1,M$1)</f>
        <v>0</v>
      </c>
      <c r="N69" s="155">
        <f ca="1">SUMIFS('recurring2_based on steps'!$B69:$AY69,'recurring2_based on steps'!$B$1:$AY$1,N$1)+SUMIFS('changes2_based on steps'!$B69:$U69,'changes2_based on steps'!$B$1:$U$1,N$1)</f>
        <v>0</v>
      </c>
      <c r="O69" s="155">
        <f ca="1">SUMIFS('recurring2_based on steps'!$B69:$AY69,'recurring2_based on steps'!$B$1:$AY$1,O$1)+SUMIFS('changes2_based on steps'!$B69:$U69,'changes2_based on steps'!$B$1:$U$1,O$1)</f>
        <v>0</v>
      </c>
      <c r="P69" s="155">
        <f ca="1">SUMIFS('recurring2_based on steps'!$B69:$AY69,'recurring2_based on steps'!$B$1:$AY$1,P$1)+SUMIFS('changes2_based on steps'!$B69:$U69,'changes2_based on steps'!$B$1:$U$1,P$1)</f>
        <v>0</v>
      </c>
      <c r="Q69" s="155">
        <f>SUMIFS('recurring2_based on steps'!$B69:$AY69,'recurring2_based on steps'!$B$1:$AY$1,Q$1)+SUMIFS('changes2_based on steps'!$B69:$U69,'changes2_based on steps'!$B$1:$U$1,Q$1)</f>
        <v>0</v>
      </c>
      <c r="R69" s="155">
        <f ca="1">SUMIFS('recurring2_based on steps'!$B69:$AY69,'recurring2_based on steps'!$B$1:$AY$1,R$1)+SUMIFS('changes2_based on steps'!$B69:$U69,'changes2_based on steps'!$B$1:$U$1,R$1)</f>
        <v>0</v>
      </c>
      <c r="S69" s="155">
        <f ca="1">SUMIFS('recurring2_based on steps'!$B69:$AY69,'recurring2_based on steps'!$B$1:$AY$1,S$1)+SUMIFS('changes2_based on steps'!$B69:$U69,'changes2_based on steps'!$B$1:$U$1,S$1)</f>
        <v>0</v>
      </c>
      <c r="T69" s="155">
        <f>SUMIFS('recurring2_based on steps'!$B69:$AY69,'recurring2_based on steps'!$B$1:$AY$1,T$1)+SUMIFS('changes2_based on steps'!$B69:$U69,'changes2_based on steps'!$B$1:$U$1,T$1)</f>
        <v>0</v>
      </c>
      <c r="U69" s="155">
        <f ca="1">SUMIFS('recurring2_based on steps'!$B69:$AY69,'recurring2_based on steps'!$B$1:$AY$1,U$1)+SUMIFS('changes2_based on steps'!$B69:$U69,'changes2_based on steps'!$B$1:$U$1,U$1)</f>
        <v>0</v>
      </c>
      <c r="V69" s="155">
        <f>SUMIFS('recurring2_based on steps'!$B69:$AY69,'recurring2_based on steps'!$B$1:$AY$1,V$1)+SUMIFS('changes2_based on steps'!$B69:$U69,'changes2_based on steps'!$B$1:$U$1,V$1)</f>
        <v>0</v>
      </c>
      <c r="W69" s="155">
        <f ca="1">SUMIFS('recurring2_based on steps'!$B69:$AY69,'recurring2_based on steps'!$B$1:$AY$1,W$1)+SUMIFS('changes2_based on steps'!$B69:$U69,'changes2_based on steps'!$B$1:$U$1,W$1)</f>
        <v>0</v>
      </c>
      <c r="X69" s="155">
        <f ca="1">SUMIFS('recurring2_based on steps'!$B69:$AY69,'recurring2_based on steps'!$B$1:$AY$1,X$1)+SUMIFS('changes2_based on steps'!$B69:$U69,'changes2_based on steps'!$B$1:$U$1,X$1)</f>
        <v>0</v>
      </c>
      <c r="Y69" s="155">
        <f ca="1">SUMIFS('recurring2_based on steps'!$B69:$AY69,'recurring2_based on steps'!$B$1:$AY$1,Y$1)+SUMIFS('changes2_based on steps'!$B69:$U69,'changes2_based on steps'!$B$1:$U$1,Y$1)</f>
        <v>0</v>
      </c>
      <c r="Z69" s="155">
        <f>SUMIFS('recurring2_based on steps'!$B69:$AY69,'recurring2_based on steps'!$B$1:$AY$1,Z$1)+SUMIFS('changes2_based on steps'!$B69:$U69,'changes2_based on steps'!$B$1:$U$1,Z$1)</f>
        <v>0</v>
      </c>
      <c r="AA69" s="155">
        <f>SUMIFS('recurring2_based on steps'!$B69:$AY69,'recurring2_based on steps'!$B$1:$AY$1,AA$1)+SUMIFS('changes2_based on steps'!$B69:$U69,'changes2_based on steps'!$B$1:$U$1,AA$1)</f>
        <v>0</v>
      </c>
    </row>
    <row r="70" spans="1:27" x14ac:dyDescent="0.2">
      <c r="A70" s="18">
        <f t="shared" ca="1" si="1"/>
        <v>45756</v>
      </c>
      <c r="B70" s="155">
        <f ca="1">SUMIFS('recurring2_based on steps'!$B70:$AY70,'recurring2_based on steps'!$B$1:$AY$1,B$1)+SUMIFS('changes2_based on steps'!$B70:$U70,'changes2_based on steps'!$B$1:$U$1,B$1)</f>
        <v>100</v>
      </c>
      <c r="C70" s="155">
        <f>SUMIFS('recurring2_based on steps'!$B70:$AY70,'recurring2_based on steps'!$B$1:$AY$1,C$1)+SUMIFS('changes2_based on steps'!$B70:$U70,'changes2_based on steps'!$B$1:$U$1,C$1)</f>
        <v>0</v>
      </c>
      <c r="D70" s="155">
        <f>SUMIFS('recurring2_based on steps'!$B70:$AY70,'recurring2_based on steps'!$B$1:$AY$1,D$1)+SUMIFS('changes2_based on steps'!$B70:$U70,'changes2_based on steps'!$B$1:$U$1,D$1)</f>
        <v>0</v>
      </c>
      <c r="E70" s="155">
        <f>SUMIFS('recurring2_based on steps'!$B70:$AY70,'recurring2_based on steps'!$B$1:$AY$1,E$1)+SUMIFS('changes2_based on steps'!$B70:$U70,'changes2_based on steps'!$B$1:$U$1,E$1)</f>
        <v>0</v>
      </c>
      <c r="F70" s="155">
        <f>SUMIFS('recurring2_based on steps'!$B70:$AY70,'recurring2_based on steps'!$B$1:$AY$1,F$1)+SUMIFS('changes2_based on steps'!$B70:$U70,'changes2_based on steps'!$B$1:$U$1,F$1)</f>
        <v>0</v>
      </c>
      <c r="G70" s="155">
        <f>SUMIFS('recurring2_based on steps'!$B70:$AY70,'recurring2_based on steps'!$B$1:$AY$1,G$1)+SUMIFS('changes2_based on steps'!$B70:$U70,'changes2_based on steps'!$B$1:$U$1,G$1)</f>
        <v>0</v>
      </c>
      <c r="H70" s="155">
        <f ca="1">SUMIFS('recurring2_based on steps'!$B70:$AY70,'recurring2_based on steps'!$B$1:$AY$1,H$1)+SUMIFS('changes2_based on steps'!$B70:$U70,'changes2_based on steps'!$B$1:$U$1,H$1)</f>
        <v>0</v>
      </c>
      <c r="I70" s="155">
        <f>SUMIFS('recurring2_based on steps'!$B70:$AY70,'recurring2_based on steps'!$B$1:$AY$1,I$1)+SUMIFS('changes2_based on steps'!$B70:$U70,'changes2_based on steps'!$B$1:$U$1,I$1)</f>
        <v>0</v>
      </c>
      <c r="J70" s="155">
        <f>SUMIFS('recurring2_based on steps'!$B70:$AY70,'recurring2_based on steps'!$B$1:$AY$1,J$1)+SUMIFS('changes2_based on steps'!$B70:$U70,'changes2_based on steps'!$B$1:$U$1,J$1)</f>
        <v>0</v>
      </c>
      <c r="K70" s="155">
        <f>SUMIFS('recurring2_based on steps'!$B70:$AY70,'recurring2_based on steps'!$B$1:$AY$1,K$1)+SUMIFS('changes2_based on steps'!$B70:$U70,'changes2_based on steps'!$B$1:$U$1,K$1)</f>
        <v>0</v>
      </c>
      <c r="L70" s="155">
        <f>SUMIFS('recurring2_based on steps'!$B70:$AY70,'recurring2_based on steps'!$B$1:$AY$1,L$1)+SUMIFS('changes2_based on steps'!$B70:$U70,'changes2_based on steps'!$B$1:$U$1,L$1)</f>
        <v>0</v>
      </c>
      <c r="M70" s="155">
        <f ca="1">SUMIFS('recurring2_based on steps'!$B70:$AY70,'recurring2_based on steps'!$B$1:$AY$1,M$1)+SUMIFS('changes2_based on steps'!$B70:$U70,'changes2_based on steps'!$B$1:$U$1,M$1)</f>
        <v>0</v>
      </c>
      <c r="N70" s="155">
        <f ca="1">SUMIFS('recurring2_based on steps'!$B70:$AY70,'recurring2_based on steps'!$B$1:$AY$1,N$1)+SUMIFS('changes2_based on steps'!$B70:$U70,'changes2_based on steps'!$B$1:$U$1,N$1)</f>
        <v>0</v>
      </c>
      <c r="O70" s="155">
        <f ca="1">SUMIFS('recurring2_based on steps'!$B70:$AY70,'recurring2_based on steps'!$B$1:$AY$1,O$1)+SUMIFS('changes2_based on steps'!$B70:$U70,'changes2_based on steps'!$B$1:$U$1,O$1)</f>
        <v>0</v>
      </c>
      <c r="P70" s="155">
        <f ca="1">SUMIFS('recurring2_based on steps'!$B70:$AY70,'recurring2_based on steps'!$B$1:$AY$1,P$1)+SUMIFS('changes2_based on steps'!$B70:$U70,'changes2_based on steps'!$B$1:$U$1,P$1)</f>
        <v>0</v>
      </c>
      <c r="Q70" s="155">
        <f>SUMIFS('recurring2_based on steps'!$B70:$AY70,'recurring2_based on steps'!$B$1:$AY$1,Q$1)+SUMIFS('changes2_based on steps'!$B70:$U70,'changes2_based on steps'!$B$1:$U$1,Q$1)</f>
        <v>0</v>
      </c>
      <c r="R70" s="155">
        <f ca="1">SUMIFS('recurring2_based on steps'!$B70:$AY70,'recurring2_based on steps'!$B$1:$AY$1,R$1)+SUMIFS('changes2_based on steps'!$B70:$U70,'changes2_based on steps'!$B$1:$U$1,R$1)</f>
        <v>0</v>
      </c>
      <c r="S70" s="155">
        <f ca="1">SUMIFS('recurring2_based on steps'!$B70:$AY70,'recurring2_based on steps'!$B$1:$AY$1,S$1)+SUMIFS('changes2_based on steps'!$B70:$U70,'changes2_based on steps'!$B$1:$U$1,S$1)</f>
        <v>0</v>
      </c>
      <c r="T70" s="155">
        <f>SUMIFS('recurring2_based on steps'!$B70:$AY70,'recurring2_based on steps'!$B$1:$AY$1,T$1)+SUMIFS('changes2_based on steps'!$B70:$U70,'changes2_based on steps'!$B$1:$U$1,T$1)</f>
        <v>0</v>
      </c>
      <c r="U70" s="155">
        <f ca="1">SUMIFS('recurring2_based on steps'!$B70:$AY70,'recurring2_based on steps'!$B$1:$AY$1,U$1)+SUMIFS('changes2_based on steps'!$B70:$U70,'changes2_based on steps'!$B$1:$U$1,U$1)</f>
        <v>0</v>
      </c>
      <c r="V70" s="155">
        <f>SUMIFS('recurring2_based on steps'!$B70:$AY70,'recurring2_based on steps'!$B$1:$AY$1,V$1)+SUMIFS('changes2_based on steps'!$B70:$U70,'changes2_based on steps'!$B$1:$U$1,V$1)</f>
        <v>0</v>
      </c>
      <c r="W70" s="155">
        <f ca="1">SUMIFS('recurring2_based on steps'!$B70:$AY70,'recurring2_based on steps'!$B$1:$AY$1,W$1)+SUMIFS('changes2_based on steps'!$B70:$U70,'changes2_based on steps'!$B$1:$U$1,W$1)</f>
        <v>0</v>
      </c>
      <c r="X70" s="155">
        <f ca="1">SUMIFS('recurring2_based on steps'!$B70:$AY70,'recurring2_based on steps'!$B$1:$AY$1,X$1)+SUMIFS('changes2_based on steps'!$B70:$U70,'changes2_based on steps'!$B$1:$U$1,X$1)</f>
        <v>0</v>
      </c>
      <c r="Y70" s="155">
        <f ca="1">SUMIFS('recurring2_based on steps'!$B70:$AY70,'recurring2_based on steps'!$B$1:$AY$1,Y$1)+SUMIFS('changes2_based on steps'!$B70:$U70,'changes2_based on steps'!$B$1:$U$1,Y$1)</f>
        <v>0</v>
      </c>
      <c r="Z70" s="155">
        <f>SUMIFS('recurring2_based on steps'!$B70:$AY70,'recurring2_based on steps'!$B$1:$AY$1,Z$1)+SUMIFS('changes2_based on steps'!$B70:$U70,'changes2_based on steps'!$B$1:$U$1,Z$1)</f>
        <v>0</v>
      </c>
      <c r="AA70" s="155">
        <f>SUMIFS('recurring2_based on steps'!$B70:$AY70,'recurring2_based on steps'!$B$1:$AY$1,AA$1)+SUMIFS('changes2_based on steps'!$B70:$U70,'changes2_based on steps'!$B$1:$U$1,AA$1)</f>
        <v>0</v>
      </c>
    </row>
    <row r="71" spans="1:27" x14ac:dyDescent="0.2">
      <c r="A71" s="18">
        <f t="shared" ca="1" si="1"/>
        <v>45757</v>
      </c>
      <c r="B71" s="155">
        <f ca="1">SUMIFS('recurring2_based on steps'!$B71:$AY71,'recurring2_based on steps'!$B$1:$AY$1,B$1)+SUMIFS('changes2_based on steps'!$B71:$U71,'changes2_based on steps'!$B$1:$U$1,B$1)</f>
        <v>0</v>
      </c>
      <c r="C71" s="155">
        <f>SUMIFS('recurring2_based on steps'!$B71:$AY71,'recurring2_based on steps'!$B$1:$AY$1,C$1)+SUMIFS('changes2_based on steps'!$B71:$U71,'changes2_based on steps'!$B$1:$U$1,C$1)</f>
        <v>0</v>
      </c>
      <c r="D71" s="155">
        <f>SUMIFS('recurring2_based on steps'!$B71:$AY71,'recurring2_based on steps'!$B$1:$AY$1,D$1)+SUMIFS('changes2_based on steps'!$B71:$U71,'changes2_based on steps'!$B$1:$U$1,D$1)</f>
        <v>0</v>
      </c>
      <c r="E71" s="155">
        <f>SUMIFS('recurring2_based on steps'!$B71:$AY71,'recurring2_based on steps'!$B$1:$AY$1,E$1)+SUMIFS('changes2_based on steps'!$B71:$U71,'changes2_based on steps'!$B$1:$U$1,E$1)</f>
        <v>0</v>
      </c>
      <c r="F71" s="155">
        <f>SUMIFS('recurring2_based on steps'!$B71:$AY71,'recurring2_based on steps'!$B$1:$AY$1,F$1)+SUMIFS('changes2_based on steps'!$B71:$U71,'changes2_based on steps'!$B$1:$U$1,F$1)</f>
        <v>0</v>
      </c>
      <c r="G71" s="155">
        <f>SUMIFS('recurring2_based on steps'!$B71:$AY71,'recurring2_based on steps'!$B$1:$AY$1,G$1)+SUMIFS('changes2_based on steps'!$B71:$U71,'changes2_based on steps'!$B$1:$U$1,G$1)</f>
        <v>0</v>
      </c>
      <c r="H71" s="155">
        <f ca="1">SUMIFS('recurring2_based on steps'!$B71:$AY71,'recurring2_based on steps'!$B$1:$AY$1,H$1)+SUMIFS('changes2_based on steps'!$B71:$U71,'changes2_based on steps'!$B$1:$U$1,H$1)</f>
        <v>0</v>
      </c>
      <c r="I71" s="155">
        <f>SUMIFS('recurring2_based on steps'!$B71:$AY71,'recurring2_based on steps'!$B$1:$AY$1,I$1)+SUMIFS('changes2_based on steps'!$B71:$U71,'changes2_based on steps'!$B$1:$U$1,I$1)</f>
        <v>0</v>
      </c>
      <c r="J71" s="155">
        <f>SUMIFS('recurring2_based on steps'!$B71:$AY71,'recurring2_based on steps'!$B$1:$AY$1,J$1)+SUMIFS('changes2_based on steps'!$B71:$U71,'changes2_based on steps'!$B$1:$U$1,J$1)</f>
        <v>0</v>
      </c>
      <c r="K71" s="155">
        <f>SUMIFS('recurring2_based on steps'!$B71:$AY71,'recurring2_based on steps'!$B$1:$AY$1,K$1)+SUMIFS('changes2_based on steps'!$B71:$U71,'changes2_based on steps'!$B$1:$U$1,K$1)</f>
        <v>0</v>
      </c>
      <c r="L71" s="155">
        <f>SUMIFS('recurring2_based on steps'!$B71:$AY71,'recurring2_based on steps'!$B$1:$AY$1,L$1)+SUMIFS('changes2_based on steps'!$B71:$U71,'changes2_based on steps'!$B$1:$U$1,L$1)</f>
        <v>0</v>
      </c>
      <c r="M71" s="155">
        <f ca="1">SUMIFS('recurring2_based on steps'!$B71:$AY71,'recurring2_based on steps'!$B$1:$AY$1,M$1)+SUMIFS('changes2_based on steps'!$B71:$U71,'changes2_based on steps'!$B$1:$U$1,M$1)</f>
        <v>0</v>
      </c>
      <c r="N71" s="155">
        <f ca="1">SUMIFS('recurring2_based on steps'!$B71:$AY71,'recurring2_based on steps'!$B$1:$AY$1,N$1)+SUMIFS('changes2_based on steps'!$B71:$U71,'changes2_based on steps'!$B$1:$U$1,N$1)</f>
        <v>0</v>
      </c>
      <c r="O71" s="155">
        <f ca="1">SUMIFS('recurring2_based on steps'!$B71:$AY71,'recurring2_based on steps'!$B$1:$AY$1,O$1)+SUMIFS('changes2_based on steps'!$B71:$U71,'changes2_based on steps'!$B$1:$U$1,O$1)</f>
        <v>0</v>
      </c>
      <c r="P71" s="155">
        <f ca="1">SUMIFS('recurring2_based on steps'!$B71:$AY71,'recurring2_based on steps'!$B$1:$AY$1,P$1)+SUMIFS('changes2_based on steps'!$B71:$U71,'changes2_based on steps'!$B$1:$U$1,P$1)</f>
        <v>0</v>
      </c>
      <c r="Q71" s="155">
        <f>SUMIFS('recurring2_based on steps'!$B71:$AY71,'recurring2_based on steps'!$B$1:$AY$1,Q$1)+SUMIFS('changes2_based on steps'!$B71:$U71,'changes2_based on steps'!$B$1:$U$1,Q$1)</f>
        <v>0</v>
      </c>
      <c r="R71" s="155">
        <f ca="1">SUMIFS('recurring2_based on steps'!$B71:$AY71,'recurring2_based on steps'!$B$1:$AY$1,R$1)+SUMIFS('changes2_based on steps'!$B71:$U71,'changes2_based on steps'!$B$1:$U$1,R$1)</f>
        <v>0</v>
      </c>
      <c r="S71" s="155">
        <f ca="1">SUMIFS('recurring2_based on steps'!$B71:$AY71,'recurring2_based on steps'!$B$1:$AY$1,S$1)+SUMIFS('changes2_based on steps'!$B71:$U71,'changes2_based on steps'!$B$1:$U$1,S$1)</f>
        <v>0</v>
      </c>
      <c r="T71" s="155">
        <f>SUMIFS('recurring2_based on steps'!$B71:$AY71,'recurring2_based on steps'!$B$1:$AY$1,T$1)+SUMIFS('changes2_based on steps'!$B71:$U71,'changes2_based on steps'!$B$1:$U$1,T$1)</f>
        <v>0</v>
      </c>
      <c r="U71" s="155">
        <f ca="1">SUMIFS('recurring2_based on steps'!$B71:$AY71,'recurring2_based on steps'!$B$1:$AY$1,U$1)+SUMIFS('changes2_based on steps'!$B71:$U71,'changes2_based on steps'!$B$1:$U$1,U$1)</f>
        <v>0</v>
      </c>
      <c r="V71" s="155">
        <f>SUMIFS('recurring2_based on steps'!$B71:$AY71,'recurring2_based on steps'!$B$1:$AY$1,V$1)+SUMIFS('changes2_based on steps'!$B71:$U71,'changes2_based on steps'!$B$1:$U$1,V$1)</f>
        <v>0</v>
      </c>
      <c r="W71" s="155">
        <f ca="1">SUMIFS('recurring2_based on steps'!$B71:$AY71,'recurring2_based on steps'!$B$1:$AY$1,W$1)+SUMIFS('changes2_based on steps'!$B71:$U71,'changes2_based on steps'!$B$1:$U$1,W$1)</f>
        <v>0</v>
      </c>
      <c r="X71" s="155">
        <f ca="1">SUMIFS('recurring2_based on steps'!$B71:$AY71,'recurring2_based on steps'!$B$1:$AY$1,X$1)+SUMIFS('changes2_based on steps'!$B71:$U71,'changes2_based on steps'!$B$1:$U$1,X$1)</f>
        <v>0</v>
      </c>
      <c r="Y71" s="155">
        <f ca="1">SUMIFS('recurring2_based on steps'!$B71:$AY71,'recurring2_based on steps'!$B$1:$AY$1,Y$1)+SUMIFS('changes2_based on steps'!$B71:$U71,'changes2_based on steps'!$B$1:$U$1,Y$1)</f>
        <v>0</v>
      </c>
      <c r="Z71" s="155">
        <f>SUMIFS('recurring2_based on steps'!$B71:$AY71,'recurring2_based on steps'!$B$1:$AY$1,Z$1)+SUMIFS('changes2_based on steps'!$B71:$U71,'changes2_based on steps'!$B$1:$U$1,Z$1)</f>
        <v>0</v>
      </c>
      <c r="AA71" s="155">
        <f>SUMIFS('recurring2_based on steps'!$B71:$AY71,'recurring2_based on steps'!$B$1:$AY$1,AA$1)+SUMIFS('changes2_based on steps'!$B71:$U71,'changes2_based on steps'!$B$1:$U$1,AA$1)</f>
        <v>0</v>
      </c>
    </row>
    <row r="72" spans="1:27" x14ac:dyDescent="0.2">
      <c r="A72" s="18">
        <f t="shared" ca="1" si="1"/>
        <v>45758</v>
      </c>
      <c r="B72" s="155">
        <f ca="1">SUMIFS('recurring2_based on steps'!$B72:$AY72,'recurring2_based on steps'!$B$1:$AY$1,B$1)+SUMIFS('changes2_based on steps'!$B72:$U72,'changes2_based on steps'!$B$1:$U$1,B$1)</f>
        <v>0</v>
      </c>
      <c r="C72" s="155">
        <f>SUMIFS('recurring2_based on steps'!$B72:$AY72,'recurring2_based on steps'!$B$1:$AY$1,C$1)+SUMIFS('changes2_based on steps'!$B72:$U72,'changes2_based on steps'!$B$1:$U$1,C$1)</f>
        <v>0</v>
      </c>
      <c r="D72" s="155">
        <f>SUMIFS('recurring2_based on steps'!$B72:$AY72,'recurring2_based on steps'!$B$1:$AY$1,D$1)+SUMIFS('changes2_based on steps'!$B72:$U72,'changes2_based on steps'!$B$1:$U$1,D$1)</f>
        <v>0</v>
      </c>
      <c r="E72" s="155">
        <f>SUMIFS('recurring2_based on steps'!$B72:$AY72,'recurring2_based on steps'!$B$1:$AY$1,E$1)+SUMIFS('changes2_based on steps'!$B72:$U72,'changes2_based on steps'!$B$1:$U$1,E$1)</f>
        <v>0</v>
      </c>
      <c r="F72" s="155">
        <f>SUMIFS('recurring2_based on steps'!$B72:$AY72,'recurring2_based on steps'!$B$1:$AY$1,F$1)+SUMIFS('changes2_based on steps'!$B72:$U72,'changes2_based on steps'!$B$1:$U$1,F$1)</f>
        <v>0</v>
      </c>
      <c r="G72" s="155">
        <f>SUMIFS('recurring2_based on steps'!$B72:$AY72,'recurring2_based on steps'!$B$1:$AY$1,G$1)+SUMIFS('changes2_based on steps'!$B72:$U72,'changes2_based on steps'!$B$1:$U$1,G$1)</f>
        <v>0</v>
      </c>
      <c r="H72" s="155">
        <f ca="1">SUMIFS('recurring2_based on steps'!$B72:$AY72,'recurring2_based on steps'!$B$1:$AY$1,H$1)+SUMIFS('changes2_based on steps'!$B72:$U72,'changes2_based on steps'!$B$1:$U$1,H$1)</f>
        <v>0</v>
      </c>
      <c r="I72" s="155">
        <f>SUMIFS('recurring2_based on steps'!$B72:$AY72,'recurring2_based on steps'!$B$1:$AY$1,I$1)+SUMIFS('changes2_based on steps'!$B72:$U72,'changes2_based on steps'!$B$1:$U$1,I$1)</f>
        <v>0</v>
      </c>
      <c r="J72" s="155">
        <f>SUMIFS('recurring2_based on steps'!$B72:$AY72,'recurring2_based on steps'!$B$1:$AY$1,J$1)+SUMIFS('changes2_based on steps'!$B72:$U72,'changes2_based on steps'!$B$1:$U$1,J$1)</f>
        <v>0</v>
      </c>
      <c r="K72" s="155">
        <f>SUMIFS('recurring2_based on steps'!$B72:$AY72,'recurring2_based on steps'!$B$1:$AY$1,K$1)+SUMIFS('changes2_based on steps'!$B72:$U72,'changes2_based on steps'!$B$1:$U$1,K$1)</f>
        <v>0</v>
      </c>
      <c r="L72" s="155">
        <f>SUMIFS('recurring2_based on steps'!$B72:$AY72,'recurring2_based on steps'!$B$1:$AY$1,L$1)+SUMIFS('changes2_based on steps'!$B72:$U72,'changes2_based on steps'!$B$1:$U$1,L$1)</f>
        <v>0</v>
      </c>
      <c r="M72" s="155">
        <f ca="1">SUMIFS('recurring2_based on steps'!$B72:$AY72,'recurring2_based on steps'!$B$1:$AY$1,M$1)+SUMIFS('changes2_based on steps'!$B72:$U72,'changes2_based on steps'!$B$1:$U$1,M$1)</f>
        <v>0</v>
      </c>
      <c r="N72" s="155">
        <f ca="1">SUMIFS('recurring2_based on steps'!$B72:$AY72,'recurring2_based on steps'!$B$1:$AY$1,N$1)+SUMIFS('changes2_based on steps'!$B72:$U72,'changes2_based on steps'!$B$1:$U$1,N$1)</f>
        <v>0</v>
      </c>
      <c r="O72" s="155">
        <f ca="1">SUMIFS('recurring2_based on steps'!$B72:$AY72,'recurring2_based on steps'!$B$1:$AY$1,O$1)+SUMIFS('changes2_based on steps'!$B72:$U72,'changes2_based on steps'!$B$1:$U$1,O$1)</f>
        <v>0</v>
      </c>
      <c r="P72" s="155">
        <f ca="1">SUMIFS('recurring2_based on steps'!$B72:$AY72,'recurring2_based on steps'!$B$1:$AY$1,P$1)+SUMIFS('changes2_based on steps'!$B72:$U72,'changes2_based on steps'!$B$1:$U$1,P$1)</f>
        <v>0</v>
      </c>
      <c r="Q72" s="155">
        <f>SUMIFS('recurring2_based on steps'!$B72:$AY72,'recurring2_based on steps'!$B$1:$AY$1,Q$1)+SUMIFS('changes2_based on steps'!$B72:$U72,'changes2_based on steps'!$B$1:$U$1,Q$1)</f>
        <v>0</v>
      </c>
      <c r="R72" s="155">
        <f ca="1">SUMIFS('recurring2_based on steps'!$B72:$AY72,'recurring2_based on steps'!$B$1:$AY$1,R$1)+SUMIFS('changes2_based on steps'!$B72:$U72,'changes2_based on steps'!$B$1:$U$1,R$1)</f>
        <v>0</v>
      </c>
      <c r="S72" s="155">
        <f ca="1">SUMIFS('recurring2_based on steps'!$B72:$AY72,'recurring2_based on steps'!$B$1:$AY$1,S$1)+SUMIFS('changes2_based on steps'!$B72:$U72,'changes2_based on steps'!$B$1:$U$1,S$1)</f>
        <v>0</v>
      </c>
      <c r="T72" s="155">
        <f>SUMIFS('recurring2_based on steps'!$B72:$AY72,'recurring2_based on steps'!$B$1:$AY$1,T$1)+SUMIFS('changes2_based on steps'!$B72:$U72,'changes2_based on steps'!$B$1:$U$1,T$1)</f>
        <v>0</v>
      </c>
      <c r="U72" s="155">
        <f ca="1">SUMIFS('recurring2_based on steps'!$B72:$AY72,'recurring2_based on steps'!$B$1:$AY$1,U$1)+SUMIFS('changes2_based on steps'!$B72:$U72,'changes2_based on steps'!$B$1:$U$1,U$1)</f>
        <v>0</v>
      </c>
      <c r="V72" s="155">
        <f>SUMIFS('recurring2_based on steps'!$B72:$AY72,'recurring2_based on steps'!$B$1:$AY$1,V$1)+SUMIFS('changes2_based on steps'!$B72:$U72,'changes2_based on steps'!$B$1:$U$1,V$1)</f>
        <v>0</v>
      </c>
      <c r="W72" s="155">
        <f ca="1">SUMIFS('recurring2_based on steps'!$B72:$AY72,'recurring2_based on steps'!$B$1:$AY$1,W$1)+SUMIFS('changes2_based on steps'!$B72:$U72,'changes2_based on steps'!$B$1:$U$1,W$1)</f>
        <v>0</v>
      </c>
      <c r="X72" s="155">
        <f ca="1">SUMIFS('recurring2_based on steps'!$B72:$AY72,'recurring2_based on steps'!$B$1:$AY$1,X$1)+SUMIFS('changes2_based on steps'!$B72:$U72,'changes2_based on steps'!$B$1:$U$1,X$1)</f>
        <v>0</v>
      </c>
      <c r="Y72" s="155">
        <f ca="1">SUMIFS('recurring2_based on steps'!$B72:$AY72,'recurring2_based on steps'!$B$1:$AY$1,Y$1)+SUMIFS('changes2_based on steps'!$B72:$U72,'changes2_based on steps'!$B$1:$U$1,Y$1)</f>
        <v>0</v>
      </c>
      <c r="Z72" s="155">
        <f>SUMIFS('recurring2_based on steps'!$B72:$AY72,'recurring2_based on steps'!$B$1:$AY$1,Z$1)+SUMIFS('changes2_based on steps'!$B72:$U72,'changes2_based on steps'!$B$1:$U$1,Z$1)</f>
        <v>0</v>
      </c>
      <c r="AA72" s="155">
        <f>SUMIFS('recurring2_based on steps'!$B72:$AY72,'recurring2_based on steps'!$B$1:$AY$1,AA$1)+SUMIFS('changes2_based on steps'!$B72:$U72,'changes2_based on steps'!$B$1:$U$1,AA$1)</f>
        <v>0</v>
      </c>
    </row>
    <row r="73" spans="1:27" x14ac:dyDescent="0.2">
      <c r="A73" s="18">
        <f t="shared" ca="1" si="1"/>
        <v>45759</v>
      </c>
      <c r="B73" s="155">
        <f ca="1">SUMIFS('recurring2_based on steps'!$B73:$AY73,'recurring2_based on steps'!$B$1:$AY$1,B$1)+SUMIFS('changes2_based on steps'!$B73:$U73,'changes2_based on steps'!$B$1:$U$1,B$1)</f>
        <v>0</v>
      </c>
      <c r="C73" s="155">
        <f>SUMIFS('recurring2_based on steps'!$B73:$AY73,'recurring2_based on steps'!$B$1:$AY$1,C$1)+SUMIFS('changes2_based on steps'!$B73:$U73,'changes2_based on steps'!$B$1:$U$1,C$1)</f>
        <v>0</v>
      </c>
      <c r="D73" s="155">
        <f>SUMIFS('recurring2_based on steps'!$B73:$AY73,'recurring2_based on steps'!$B$1:$AY$1,D$1)+SUMIFS('changes2_based on steps'!$B73:$U73,'changes2_based on steps'!$B$1:$U$1,D$1)</f>
        <v>0</v>
      </c>
      <c r="E73" s="155">
        <f>SUMIFS('recurring2_based on steps'!$B73:$AY73,'recurring2_based on steps'!$B$1:$AY$1,E$1)+SUMIFS('changes2_based on steps'!$B73:$U73,'changes2_based on steps'!$B$1:$U$1,E$1)</f>
        <v>0</v>
      </c>
      <c r="F73" s="155">
        <f>SUMIFS('recurring2_based on steps'!$B73:$AY73,'recurring2_based on steps'!$B$1:$AY$1,F$1)+SUMIFS('changes2_based on steps'!$B73:$U73,'changes2_based on steps'!$B$1:$U$1,F$1)</f>
        <v>0</v>
      </c>
      <c r="G73" s="155">
        <f>SUMIFS('recurring2_based on steps'!$B73:$AY73,'recurring2_based on steps'!$B$1:$AY$1,G$1)+SUMIFS('changes2_based on steps'!$B73:$U73,'changes2_based on steps'!$B$1:$U$1,G$1)</f>
        <v>0</v>
      </c>
      <c r="H73" s="155">
        <f ca="1">SUMIFS('recurring2_based on steps'!$B73:$AY73,'recurring2_based on steps'!$B$1:$AY$1,H$1)+SUMIFS('changes2_based on steps'!$B73:$U73,'changes2_based on steps'!$B$1:$U$1,H$1)</f>
        <v>0</v>
      </c>
      <c r="I73" s="155">
        <f>SUMIFS('recurring2_based on steps'!$B73:$AY73,'recurring2_based on steps'!$B$1:$AY$1,I$1)+SUMIFS('changes2_based on steps'!$B73:$U73,'changes2_based on steps'!$B$1:$U$1,I$1)</f>
        <v>0</v>
      </c>
      <c r="J73" s="155">
        <f>SUMIFS('recurring2_based on steps'!$B73:$AY73,'recurring2_based on steps'!$B$1:$AY$1,J$1)+SUMIFS('changes2_based on steps'!$B73:$U73,'changes2_based on steps'!$B$1:$U$1,J$1)</f>
        <v>0</v>
      </c>
      <c r="K73" s="155">
        <f>SUMIFS('recurring2_based on steps'!$B73:$AY73,'recurring2_based on steps'!$B$1:$AY$1,K$1)+SUMIFS('changes2_based on steps'!$B73:$U73,'changes2_based on steps'!$B$1:$U$1,K$1)</f>
        <v>0</v>
      </c>
      <c r="L73" s="155">
        <f>SUMIFS('recurring2_based on steps'!$B73:$AY73,'recurring2_based on steps'!$B$1:$AY$1,L$1)+SUMIFS('changes2_based on steps'!$B73:$U73,'changes2_based on steps'!$B$1:$U$1,L$1)</f>
        <v>0</v>
      </c>
      <c r="M73" s="155">
        <f ca="1">SUMIFS('recurring2_based on steps'!$B73:$AY73,'recurring2_based on steps'!$B$1:$AY$1,M$1)+SUMIFS('changes2_based on steps'!$B73:$U73,'changes2_based on steps'!$B$1:$U$1,M$1)</f>
        <v>0</v>
      </c>
      <c r="N73" s="155">
        <f ca="1">SUMIFS('recurring2_based on steps'!$B73:$AY73,'recurring2_based on steps'!$B$1:$AY$1,N$1)+SUMIFS('changes2_based on steps'!$B73:$U73,'changes2_based on steps'!$B$1:$U$1,N$1)</f>
        <v>0</v>
      </c>
      <c r="O73" s="155">
        <f ca="1">SUMIFS('recurring2_based on steps'!$B73:$AY73,'recurring2_based on steps'!$B$1:$AY$1,O$1)+SUMIFS('changes2_based on steps'!$B73:$U73,'changes2_based on steps'!$B$1:$U$1,O$1)</f>
        <v>0</v>
      </c>
      <c r="P73" s="155">
        <f ca="1">SUMIFS('recurring2_based on steps'!$B73:$AY73,'recurring2_based on steps'!$B$1:$AY$1,P$1)+SUMIFS('changes2_based on steps'!$B73:$U73,'changes2_based on steps'!$B$1:$U$1,P$1)</f>
        <v>0</v>
      </c>
      <c r="Q73" s="155">
        <f>SUMIFS('recurring2_based on steps'!$B73:$AY73,'recurring2_based on steps'!$B$1:$AY$1,Q$1)+SUMIFS('changes2_based on steps'!$B73:$U73,'changes2_based on steps'!$B$1:$U$1,Q$1)</f>
        <v>0</v>
      </c>
      <c r="R73" s="155">
        <f ca="1">SUMIFS('recurring2_based on steps'!$B73:$AY73,'recurring2_based on steps'!$B$1:$AY$1,R$1)+SUMIFS('changes2_based on steps'!$B73:$U73,'changes2_based on steps'!$B$1:$U$1,R$1)</f>
        <v>100</v>
      </c>
      <c r="S73" s="155">
        <f ca="1">SUMIFS('recurring2_based on steps'!$B73:$AY73,'recurring2_based on steps'!$B$1:$AY$1,S$1)+SUMIFS('changes2_based on steps'!$B73:$U73,'changes2_based on steps'!$B$1:$U$1,S$1)</f>
        <v>100</v>
      </c>
      <c r="T73" s="155">
        <f>SUMIFS('recurring2_based on steps'!$B73:$AY73,'recurring2_based on steps'!$B$1:$AY$1,T$1)+SUMIFS('changes2_based on steps'!$B73:$U73,'changes2_based on steps'!$B$1:$U$1,T$1)</f>
        <v>0</v>
      </c>
      <c r="U73" s="155">
        <f ca="1">SUMIFS('recurring2_based on steps'!$B73:$AY73,'recurring2_based on steps'!$B$1:$AY$1,U$1)+SUMIFS('changes2_based on steps'!$B73:$U73,'changes2_based on steps'!$B$1:$U$1,U$1)</f>
        <v>0</v>
      </c>
      <c r="V73" s="155">
        <f>SUMIFS('recurring2_based on steps'!$B73:$AY73,'recurring2_based on steps'!$B$1:$AY$1,V$1)+SUMIFS('changes2_based on steps'!$B73:$U73,'changes2_based on steps'!$B$1:$U$1,V$1)</f>
        <v>0</v>
      </c>
      <c r="W73" s="155">
        <f ca="1">SUMIFS('recurring2_based on steps'!$B73:$AY73,'recurring2_based on steps'!$B$1:$AY$1,W$1)+SUMIFS('changes2_based on steps'!$B73:$U73,'changes2_based on steps'!$B$1:$U$1,W$1)</f>
        <v>0</v>
      </c>
      <c r="X73" s="155">
        <f ca="1">SUMIFS('recurring2_based on steps'!$B73:$AY73,'recurring2_based on steps'!$B$1:$AY$1,X$1)+SUMIFS('changes2_based on steps'!$B73:$U73,'changes2_based on steps'!$B$1:$U$1,X$1)</f>
        <v>0</v>
      </c>
      <c r="Y73" s="155">
        <f ca="1">SUMIFS('recurring2_based on steps'!$B73:$AY73,'recurring2_based on steps'!$B$1:$AY$1,Y$1)+SUMIFS('changes2_based on steps'!$B73:$U73,'changes2_based on steps'!$B$1:$U$1,Y$1)</f>
        <v>0</v>
      </c>
      <c r="Z73" s="155">
        <f>SUMIFS('recurring2_based on steps'!$B73:$AY73,'recurring2_based on steps'!$B$1:$AY$1,Z$1)+SUMIFS('changes2_based on steps'!$B73:$U73,'changes2_based on steps'!$B$1:$U$1,Z$1)</f>
        <v>0</v>
      </c>
      <c r="AA73" s="155">
        <f>SUMIFS('recurring2_based on steps'!$B73:$AY73,'recurring2_based on steps'!$B$1:$AY$1,AA$1)+SUMIFS('changes2_based on steps'!$B73:$U73,'changes2_based on steps'!$B$1:$U$1,AA$1)</f>
        <v>0</v>
      </c>
    </row>
    <row r="74" spans="1:27" x14ac:dyDescent="0.2">
      <c r="A74" s="18">
        <f t="shared" ca="1" si="1"/>
        <v>45760</v>
      </c>
      <c r="B74" s="155">
        <f ca="1">SUMIFS('recurring2_based on steps'!$B74:$AY74,'recurring2_based on steps'!$B$1:$AY$1,B$1)+SUMIFS('changes2_based on steps'!$B74:$U74,'changes2_based on steps'!$B$1:$U$1,B$1)</f>
        <v>0</v>
      </c>
      <c r="C74" s="155">
        <f>SUMIFS('recurring2_based on steps'!$B74:$AY74,'recurring2_based on steps'!$B$1:$AY$1,C$1)+SUMIFS('changes2_based on steps'!$B74:$U74,'changes2_based on steps'!$B$1:$U$1,C$1)</f>
        <v>0</v>
      </c>
      <c r="D74" s="155">
        <f>SUMIFS('recurring2_based on steps'!$B74:$AY74,'recurring2_based on steps'!$B$1:$AY$1,D$1)+SUMIFS('changes2_based on steps'!$B74:$U74,'changes2_based on steps'!$B$1:$U$1,D$1)</f>
        <v>0</v>
      </c>
      <c r="E74" s="155">
        <f>SUMIFS('recurring2_based on steps'!$B74:$AY74,'recurring2_based on steps'!$B$1:$AY$1,E$1)+SUMIFS('changes2_based on steps'!$B74:$U74,'changes2_based on steps'!$B$1:$U$1,E$1)</f>
        <v>0</v>
      </c>
      <c r="F74" s="155">
        <f>SUMIFS('recurring2_based on steps'!$B74:$AY74,'recurring2_based on steps'!$B$1:$AY$1,F$1)+SUMIFS('changes2_based on steps'!$B74:$U74,'changes2_based on steps'!$B$1:$U$1,F$1)</f>
        <v>0</v>
      </c>
      <c r="G74" s="155">
        <f>SUMIFS('recurring2_based on steps'!$B74:$AY74,'recurring2_based on steps'!$B$1:$AY$1,G$1)+SUMIFS('changes2_based on steps'!$B74:$U74,'changes2_based on steps'!$B$1:$U$1,G$1)</f>
        <v>0</v>
      </c>
      <c r="H74" s="155">
        <f ca="1">SUMIFS('recurring2_based on steps'!$B74:$AY74,'recurring2_based on steps'!$B$1:$AY$1,H$1)+SUMIFS('changes2_based on steps'!$B74:$U74,'changes2_based on steps'!$B$1:$U$1,H$1)</f>
        <v>0</v>
      </c>
      <c r="I74" s="155">
        <f>SUMIFS('recurring2_based on steps'!$B74:$AY74,'recurring2_based on steps'!$B$1:$AY$1,I$1)+SUMIFS('changes2_based on steps'!$B74:$U74,'changes2_based on steps'!$B$1:$U$1,I$1)</f>
        <v>0</v>
      </c>
      <c r="J74" s="155">
        <f>SUMIFS('recurring2_based on steps'!$B74:$AY74,'recurring2_based on steps'!$B$1:$AY$1,J$1)+SUMIFS('changes2_based on steps'!$B74:$U74,'changes2_based on steps'!$B$1:$U$1,J$1)</f>
        <v>0</v>
      </c>
      <c r="K74" s="155">
        <f>SUMIFS('recurring2_based on steps'!$B74:$AY74,'recurring2_based on steps'!$B$1:$AY$1,K$1)+SUMIFS('changes2_based on steps'!$B74:$U74,'changes2_based on steps'!$B$1:$U$1,K$1)</f>
        <v>0</v>
      </c>
      <c r="L74" s="155">
        <f>SUMIFS('recurring2_based on steps'!$B74:$AY74,'recurring2_based on steps'!$B$1:$AY$1,L$1)+SUMIFS('changes2_based on steps'!$B74:$U74,'changes2_based on steps'!$B$1:$U$1,L$1)</f>
        <v>0</v>
      </c>
      <c r="M74" s="155">
        <f ca="1">SUMIFS('recurring2_based on steps'!$B74:$AY74,'recurring2_based on steps'!$B$1:$AY$1,M$1)+SUMIFS('changes2_based on steps'!$B74:$U74,'changes2_based on steps'!$B$1:$U$1,M$1)</f>
        <v>0</v>
      </c>
      <c r="N74" s="155">
        <f ca="1">SUMIFS('recurring2_based on steps'!$B74:$AY74,'recurring2_based on steps'!$B$1:$AY$1,N$1)+SUMIFS('changes2_based on steps'!$B74:$U74,'changes2_based on steps'!$B$1:$U$1,N$1)</f>
        <v>50</v>
      </c>
      <c r="O74" s="155">
        <f ca="1">SUMIFS('recurring2_based on steps'!$B74:$AY74,'recurring2_based on steps'!$B$1:$AY$1,O$1)+SUMIFS('changes2_based on steps'!$B74:$U74,'changes2_based on steps'!$B$1:$U$1,O$1)</f>
        <v>0</v>
      </c>
      <c r="P74" s="155">
        <f ca="1">SUMIFS('recurring2_based on steps'!$B74:$AY74,'recurring2_based on steps'!$B$1:$AY$1,P$1)+SUMIFS('changes2_based on steps'!$B74:$U74,'changes2_based on steps'!$B$1:$U$1,P$1)</f>
        <v>0</v>
      </c>
      <c r="Q74" s="155">
        <f>SUMIFS('recurring2_based on steps'!$B74:$AY74,'recurring2_based on steps'!$B$1:$AY$1,Q$1)+SUMIFS('changes2_based on steps'!$B74:$U74,'changes2_based on steps'!$B$1:$U$1,Q$1)</f>
        <v>0</v>
      </c>
      <c r="R74" s="155">
        <f ca="1">SUMIFS('recurring2_based on steps'!$B74:$AY74,'recurring2_based on steps'!$B$1:$AY$1,R$1)+SUMIFS('changes2_based on steps'!$B74:$U74,'changes2_based on steps'!$B$1:$U$1,R$1)</f>
        <v>0</v>
      </c>
      <c r="S74" s="155">
        <f ca="1">SUMIFS('recurring2_based on steps'!$B74:$AY74,'recurring2_based on steps'!$B$1:$AY$1,S$1)+SUMIFS('changes2_based on steps'!$B74:$U74,'changes2_based on steps'!$B$1:$U$1,S$1)</f>
        <v>100</v>
      </c>
      <c r="T74" s="155">
        <f>SUMIFS('recurring2_based on steps'!$B74:$AY74,'recurring2_based on steps'!$B$1:$AY$1,T$1)+SUMIFS('changes2_based on steps'!$B74:$U74,'changes2_based on steps'!$B$1:$U$1,T$1)</f>
        <v>0</v>
      </c>
      <c r="U74" s="155">
        <f ca="1">SUMIFS('recurring2_based on steps'!$B74:$AY74,'recurring2_based on steps'!$B$1:$AY$1,U$1)+SUMIFS('changes2_based on steps'!$B74:$U74,'changes2_based on steps'!$B$1:$U$1,U$1)</f>
        <v>0</v>
      </c>
      <c r="V74" s="155">
        <f>SUMIFS('recurring2_based on steps'!$B74:$AY74,'recurring2_based on steps'!$B$1:$AY$1,V$1)+SUMIFS('changes2_based on steps'!$B74:$U74,'changes2_based on steps'!$B$1:$U$1,V$1)</f>
        <v>0</v>
      </c>
      <c r="W74" s="155">
        <f ca="1">SUMIFS('recurring2_based on steps'!$B74:$AY74,'recurring2_based on steps'!$B$1:$AY$1,W$1)+SUMIFS('changes2_based on steps'!$B74:$U74,'changes2_based on steps'!$B$1:$U$1,W$1)</f>
        <v>0</v>
      </c>
      <c r="X74" s="155">
        <f ca="1">SUMIFS('recurring2_based on steps'!$B74:$AY74,'recurring2_based on steps'!$B$1:$AY$1,X$1)+SUMIFS('changes2_based on steps'!$B74:$U74,'changes2_based on steps'!$B$1:$U$1,X$1)</f>
        <v>0</v>
      </c>
      <c r="Y74" s="155">
        <f ca="1">SUMIFS('recurring2_based on steps'!$B74:$AY74,'recurring2_based on steps'!$B$1:$AY$1,Y$1)+SUMIFS('changes2_based on steps'!$B74:$U74,'changes2_based on steps'!$B$1:$U$1,Y$1)</f>
        <v>0</v>
      </c>
      <c r="Z74" s="155">
        <f>SUMIFS('recurring2_based on steps'!$B74:$AY74,'recurring2_based on steps'!$B$1:$AY$1,Z$1)+SUMIFS('changes2_based on steps'!$B74:$U74,'changes2_based on steps'!$B$1:$U$1,Z$1)</f>
        <v>0</v>
      </c>
      <c r="AA74" s="155">
        <f>SUMIFS('recurring2_based on steps'!$B74:$AY74,'recurring2_based on steps'!$B$1:$AY$1,AA$1)+SUMIFS('changes2_based on steps'!$B74:$U74,'changes2_based on steps'!$B$1:$U$1,AA$1)</f>
        <v>0</v>
      </c>
    </row>
    <row r="75" spans="1:27" x14ac:dyDescent="0.2">
      <c r="A75" s="18">
        <f t="shared" ca="1" si="1"/>
        <v>45761</v>
      </c>
      <c r="B75" s="155">
        <f ca="1">SUMIFS('recurring2_based on steps'!$B75:$AY75,'recurring2_based on steps'!$B$1:$AY$1,B$1)+SUMIFS('changes2_based on steps'!$B75:$U75,'changes2_based on steps'!$B$1:$U$1,B$1)</f>
        <v>0</v>
      </c>
      <c r="C75" s="155">
        <f>SUMIFS('recurring2_based on steps'!$B75:$AY75,'recurring2_based on steps'!$B$1:$AY$1,C$1)+SUMIFS('changes2_based on steps'!$B75:$U75,'changes2_based on steps'!$B$1:$U$1,C$1)</f>
        <v>0</v>
      </c>
      <c r="D75" s="155">
        <f>SUMIFS('recurring2_based on steps'!$B75:$AY75,'recurring2_based on steps'!$B$1:$AY$1,D$1)+SUMIFS('changes2_based on steps'!$B75:$U75,'changes2_based on steps'!$B$1:$U$1,D$1)</f>
        <v>0</v>
      </c>
      <c r="E75" s="155">
        <f>SUMIFS('recurring2_based on steps'!$B75:$AY75,'recurring2_based on steps'!$B$1:$AY$1,E$1)+SUMIFS('changes2_based on steps'!$B75:$U75,'changes2_based on steps'!$B$1:$U$1,E$1)</f>
        <v>0</v>
      </c>
      <c r="F75" s="155">
        <f>SUMIFS('recurring2_based on steps'!$B75:$AY75,'recurring2_based on steps'!$B$1:$AY$1,F$1)+SUMIFS('changes2_based on steps'!$B75:$U75,'changes2_based on steps'!$B$1:$U$1,F$1)</f>
        <v>0</v>
      </c>
      <c r="G75" s="155">
        <f>SUMIFS('recurring2_based on steps'!$B75:$AY75,'recurring2_based on steps'!$B$1:$AY$1,G$1)+SUMIFS('changes2_based on steps'!$B75:$U75,'changes2_based on steps'!$B$1:$U$1,G$1)</f>
        <v>0</v>
      </c>
      <c r="H75" s="155">
        <f ca="1">SUMIFS('recurring2_based on steps'!$B75:$AY75,'recurring2_based on steps'!$B$1:$AY$1,H$1)+SUMIFS('changes2_based on steps'!$B75:$U75,'changes2_based on steps'!$B$1:$U$1,H$1)</f>
        <v>0</v>
      </c>
      <c r="I75" s="155">
        <f>SUMIFS('recurring2_based on steps'!$B75:$AY75,'recurring2_based on steps'!$B$1:$AY$1,I$1)+SUMIFS('changes2_based on steps'!$B75:$U75,'changes2_based on steps'!$B$1:$U$1,I$1)</f>
        <v>0</v>
      </c>
      <c r="J75" s="155">
        <f>SUMIFS('recurring2_based on steps'!$B75:$AY75,'recurring2_based on steps'!$B$1:$AY$1,J$1)+SUMIFS('changes2_based on steps'!$B75:$U75,'changes2_based on steps'!$B$1:$U$1,J$1)</f>
        <v>0</v>
      </c>
      <c r="K75" s="155">
        <f>SUMIFS('recurring2_based on steps'!$B75:$AY75,'recurring2_based on steps'!$B$1:$AY$1,K$1)+SUMIFS('changes2_based on steps'!$B75:$U75,'changes2_based on steps'!$B$1:$U$1,K$1)</f>
        <v>0</v>
      </c>
      <c r="L75" s="155">
        <f>SUMIFS('recurring2_based on steps'!$B75:$AY75,'recurring2_based on steps'!$B$1:$AY$1,L$1)+SUMIFS('changes2_based on steps'!$B75:$U75,'changes2_based on steps'!$B$1:$U$1,L$1)</f>
        <v>0</v>
      </c>
      <c r="M75" s="155">
        <f ca="1">SUMIFS('recurring2_based on steps'!$B75:$AY75,'recurring2_based on steps'!$B$1:$AY$1,M$1)+SUMIFS('changes2_based on steps'!$B75:$U75,'changes2_based on steps'!$B$1:$U$1,M$1)</f>
        <v>0</v>
      </c>
      <c r="N75" s="155">
        <f ca="1">SUMIFS('recurring2_based on steps'!$B75:$AY75,'recurring2_based on steps'!$B$1:$AY$1,N$1)+SUMIFS('changes2_based on steps'!$B75:$U75,'changes2_based on steps'!$B$1:$U$1,N$1)</f>
        <v>0</v>
      </c>
      <c r="O75" s="155">
        <f ca="1">SUMIFS('recurring2_based on steps'!$B75:$AY75,'recurring2_based on steps'!$B$1:$AY$1,O$1)+SUMIFS('changes2_based on steps'!$B75:$U75,'changes2_based on steps'!$B$1:$U$1,O$1)</f>
        <v>0</v>
      </c>
      <c r="P75" s="155">
        <f ca="1">SUMIFS('recurring2_based on steps'!$B75:$AY75,'recurring2_based on steps'!$B$1:$AY$1,P$1)+SUMIFS('changes2_based on steps'!$B75:$U75,'changes2_based on steps'!$B$1:$U$1,P$1)</f>
        <v>0</v>
      </c>
      <c r="Q75" s="155">
        <f>SUMIFS('recurring2_based on steps'!$B75:$AY75,'recurring2_based on steps'!$B$1:$AY$1,Q$1)+SUMIFS('changes2_based on steps'!$B75:$U75,'changes2_based on steps'!$B$1:$U$1,Q$1)</f>
        <v>0</v>
      </c>
      <c r="R75" s="155">
        <f ca="1">SUMIFS('recurring2_based on steps'!$B75:$AY75,'recurring2_based on steps'!$B$1:$AY$1,R$1)+SUMIFS('changes2_based on steps'!$B75:$U75,'changes2_based on steps'!$B$1:$U$1,R$1)</f>
        <v>0</v>
      </c>
      <c r="S75" s="155">
        <f ca="1">SUMIFS('recurring2_based on steps'!$B75:$AY75,'recurring2_based on steps'!$B$1:$AY$1,S$1)+SUMIFS('changes2_based on steps'!$B75:$U75,'changes2_based on steps'!$B$1:$U$1,S$1)</f>
        <v>0</v>
      </c>
      <c r="T75" s="155">
        <f>SUMIFS('recurring2_based on steps'!$B75:$AY75,'recurring2_based on steps'!$B$1:$AY$1,T$1)+SUMIFS('changes2_based on steps'!$B75:$U75,'changes2_based on steps'!$B$1:$U$1,T$1)</f>
        <v>0</v>
      </c>
      <c r="U75" s="155">
        <f ca="1">SUMIFS('recurring2_based on steps'!$B75:$AY75,'recurring2_based on steps'!$B$1:$AY$1,U$1)+SUMIFS('changes2_based on steps'!$B75:$U75,'changes2_based on steps'!$B$1:$U$1,U$1)</f>
        <v>0</v>
      </c>
      <c r="V75" s="155">
        <f>SUMIFS('recurring2_based on steps'!$B75:$AY75,'recurring2_based on steps'!$B$1:$AY$1,V$1)+SUMIFS('changes2_based on steps'!$B75:$U75,'changes2_based on steps'!$B$1:$U$1,V$1)</f>
        <v>0</v>
      </c>
      <c r="W75" s="155">
        <f ca="1">SUMIFS('recurring2_based on steps'!$B75:$AY75,'recurring2_based on steps'!$B$1:$AY$1,W$1)+SUMIFS('changes2_based on steps'!$B75:$U75,'changes2_based on steps'!$B$1:$U$1,W$1)</f>
        <v>0</v>
      </c>
      <c r="X75" s="155">
        <f ca="1">SUMIFS('recurring2_based on steps'!$B75:$AY75,'recurring2_based on steps'!$B$1:$AY$1,X$1)+SUMIFS('changes2_based on steps'!$B75:$U75,'changes2_based on steps'!$B$1:$U$1,X$1)</f>
        <v>0</v>
      </c>
      <c r="Y75" s="155">
        <f ca="1">SUMIFS('recurring2_based on steps'!$B75:$AY75,'recurring2_based on steps'!$B$1:$AY$1,Y$1)+SUMIFS('changes2_based on steps'!$B75:$U75,'changes2_based on steps'!$B$1:$U$1,Y$1)</f>
        <v>0</v>
      </c>
      <c r="Z75" s="155">
        <f>SUMIFS('recurring2_based on steps'!$B75:$AY75,'recurring2_based on steps'!$B$1:$AY$1,Z$1)+SUMIFS('changes2_based on steps'!$B75:$U75,'changes2_based on steps'!$B$1:$U$1,Z$1)</f>
        <v>0</v>
      </c>
      <c r="AA75" s="155">
        <f>SUMIFS('recurring2_based on steps'!$B75:$AY75,'recurring2_based on steps'!$B$1:$AY$1,AA$1)+SUMIFS('changes2_based on steps'!$B75:$U75,'changes2_based on steps'!$B$1:$U$1,AA$1)</f>
        <v>0</v>
      </c>
    </row>
    <row r="76" spans="1:27" x14ac:dyDescent="0.2">
      <c r="A76" s="18">
        <f t="shared" ca="1" si="1"/>
        <v>45762</v>
      </c>
      <c r="B76" s="155">
        <f ca="1">SUMIFS('recurring2_based on steps'!$B76:$AY76,'recurring2_based on steps'!$B$1:$AY$1,B$1)+SUMIFS('changes2_based on steps'!$B76:$U76,'changes2_based on steps'!$B$1:$U$1,B$1)</f>
        <v>0</v>
      </c>
      <c r="C76" s="155">
        <f>SUMIFS('recurring2_based on steps'!$B76:$AY76,'recurring2_based on steps'!$B$1:$AY$1,C$1)+SUMIFS('changes2_based on steps'!$B76:$U76,'changes2_based on steps'!$B$1:$U$1,C$1)</f>
        <v>0</v>
      </c>
      <c r="D76" s="155">
        <f>SUMIFS('recurring2_based on steps'!$B76:$AY76,'recurring2_based on steps'!$B$1:$AY$1,D$1)+SUMIFS('changes2_based on steps'!$B76:$U76,'changes2_based on steps'!$B$1:$U$1,D$1)</f>
        <v>0</v>
      </c>
      <c r="E76" s="155">
        <f>SUMIFS('recurring2_based on steps'!$B76:$AY76,'recurring2_based on steps'!$B$1:$AY$1,E$1)+SUMIFS('changes2_based on steps'!$B76:$U76,'changes2_based on steps'!$B$1:$U$1,E$1)</f>
        <v>0</v>
      </c>
      <c r="F76" s="155">
        <f>SUMIFS('recurring2_based on steps'!$B76:$AY76,'recurring2_based on steps'!$B$1:$AY$1,F$1)+SUMIFS('changes2_based on steps'!$B76:$U76,'changes2_based on steps'!$B$1:$U$1,F$1)</f>
        <v>0</v>
      </c>
      <c r="G76" s="155">
        <f>SUMIFS('recurring2_based on steps'!$B76:$AY76,'recurring2_based on steps'!$B$1:$AY$1,G$1)+SUMIFS('changes2_based on steps'!$B76:$U76,'changes2_based on steps'!$B$1:$U$1,G$1)</f>
        <v>0</v>
      </c>
      <c r="H76" s="155">
        <f ca="1">SUMIFS('recurring2_based on steps'!$B76:$AY76,'recurring2_based on steps'!$B$1:$AY$1,H$1)+SUMIFS('changes2_based on steps'!$B76:$U76,'changes2_based on steps'!$B$1:$U$1,H$1)</f>
        <v>0</v>
      </c>
      <c r="I76" s="155">
        <f>SUMIFS('recurring2_based on steps'!$B76:$AY76,'recurring2_based on steps'!$B$1:$AY$1,I$1)+SUMIFS('changes2_based on steps'!$B76:$U76,'changes2_based on steps'!$B$1:$U$1,I$1)</f>
        <v>0</v>
      </c>
      <c r="J76" s="155">
        <f>SUMIFS('recurring2_based on steps'!$B76:$AY76,'recurring2_based on steps'!$B$1:$AY$1,J$1)+SUMIFS('changes2_based on steps'!$B76:$U76,'changes2_based on steps'!$B$1:$U$1,J$1)</f>
        <v>0</v>
      </c>
      <c r="K76" s="155">
        <f>SUMIFS('recurring2_based on steps'!$B76:$AY76,'recurring2_based on steps'!$B$1:$AY$1,K$1)+SUMIFS('changes2_based on steps'!$B76:$U76,'changes2_based on steps'!$B$1:$U$1,K$1)</f>
        <v>0</v>
      </c>
      <c r="L76" s="155">
        <f>SUMIFS('recurring2_based on steps'!$B76:$AY76,'recurring2_based on steps'!$B$1:$AY$1,L$1)+SUMIFS('changes2_based on steps'!$B76:$U76,'changes2_based on steps'!$B$1:$U$1,L$1)</f>
        <v>0</v>
      </c>
      <c r="M76" s="155">
        <f ca="1">SUMIFS('recurring2_based on steps'!$B76:$AY76,'recurring2_based on steps'!$B$1:$AY$1,M$1)+SUMIFS('changes2_based on steps'!$B76:$U76,'changes2_based on steps'!$B$1:$U$1,M$1)</f>
        <v>0</v>
      </c>
      <c r="N76" s="155">
        <f ca="1">SUMIFS('recurring2_based on steps'!$B76:$AY76,'recurring2_based on steps'!$B$1:$AY$1,N$1)+SUMIFS('changes2_based on steps'!$B76:$U76,'changes2_based on steps'!$B$1:$U$1,N$1)</f>
        <v>0</v>
      </c>
      <c r="O76" s="155">
        <f ca="1">SUMIFS('recurring2_based on steps'!$B76:$AY76,'recurring2_based on steps'!$B$1:$AY$1,O$1)+SUMIFS('changes2_based on steps'!$B76:$U76,'changes2_based on steps'!$B$1:$U$1,O$1)</f>
        <v>0</v>
      </c>
      <c r="P76" s="155">
        <f ca="1">SUMIFS('recurring2_based on steps'!$B76:$AY76,'recurring2_based on steps'!$B$1:$AY$1,P$1)+SUMIFS('changes2_based on steps'!$B76:$U76,'changes2_based on steps'!$B$1:$U$1,P$1)</f>
        <v>0</v>
      </c>
      <c r="Q76" s="155">
        <f>SUMIFS('recurring2_based on steps'!$B76:$AY76,'recurring2_based on steps'!$B$1:$AY$1,Q$1)+SUMIFS('changes2_based on steps'!$B76:$U76,'changes2_based on steps'!$B$1:$U$1,Q$1)</f>
        <v>0</v>
      </c>
      <c r="R76" s="155">
        <f ca="1">SUMIFS('recurring2_based on steps'!$B76:$AY76,'recurring2_based on steps'!$B$1:$AY$1,R$1)+SUMIFS('changes2_based on steps'!$B76:$U76,'changes2_based on steps'!$B$1:$U$1,R$1)</f>
        <v>0</v>
      </c>
      <c r="S76" s="155">
        <f ca="1">SUMIFS('recurring2_based on steps'!$B76:$AY76,'recurring2_based on steps'!$B$1:$AY$1,S$1)+SUMIFS('changes2_based on steps'!$B76:$U76,'changes2_based on steps'!$B$1:$U$1,S$1)</f>
        <v>0</v>
      </c>
      <c r="T76" s="155">
        <f>SUMIFS('recurring2_based on steps'!$B76:$AY76,'recurring2_based on steps'!$B$1:$AY$1,T$1)+SUMIFS('changes2_based on steps'!$B76:$U76,'changes2_based on steps'!$B$1:$U$1,T$1)</f>
        <v>0</v>
      </c>
      <c r="U76" s="155">
        <f ca="1">SUMIFS('recurring2_based on steps'!$B76:$AY76,'recurring2_based on steps'!$B$1:$AY$1,U$1)+SUMIFS('changes2_based on steps'!$B76:$U76,'changes2_based on steps'!$B$1:$U$1,U$1)</f>
        <v>0</v>
      </c>
      <c r="V76" s="155">
        <f>SUMIFS('recurring2_based on steps'!$B76:$AY76,'recurring2_based on steps'!$B$1:$AY$1,V$1)+SUMIFS('changes2_based on steps'!$B76:$U76,'changes2_based on steps'!$B$1:$U$1,V$1)</f>
        <v>0</v>
      </c>
      <c r="W76" s="155">
        <f ca="1">SUMIFS('recurring2_based on steps'!$B76:$AY76,'recurring2_based on steps'!$B$1:$AY$1,W$1)+SUMIFS('changes2_based on steps'!$B76:$U76,'changes2_based on steps'!$B$1:$U$1,W$1)</f>
        <v>0</v>
      </c>
      <c r="X76" s="155">
        <f ca="1">SUMIFS('recurring2_based on steps'!$B76:$AY76,'recurring2_based on steps'!$B$1:$AY$1,X$1)+SUMIFS('changes2_based on steps'!$B76:$U76,'changes2_based on steps'!$B$1:$U$1,X$1)</f>
        <v>0</v>
      </c>
      <c r="Y76" s="155">
        <f ca="1">SUMIFS('recurring2_based on steps'!$B76:$AY76,'recurring2_based on steps'!$B$1:$AY$1,Y$1)+SUMIFS('changes2_based on steps'!$B76:$U76,'changes2_based on steps'!$B$1:$U$1,Y$1)</f>
        <v>0</v>
      </c>
      <c r="Z76" s="155">
        <f>SUMIFS('recurring2_based on steps'!$B76:$AY76,'recurring2_based on steps'!$B$1:$AY$1,Z$1)+SUMIFS('changes2_based on steps'!$B76:$U76,'changes2_based on steps'!$B$1:$U$1,Z$1)</f>
        <v>0</v>
      </c>
      <c r="AA76" s="155">
        <f>SUMIFS('recurring2_based on steps'!$B76:$AY76,'recurring2_based on steps'!$B$1:$AY$1,AA$1)+SUMIFS('changes2_based on steps'!$B76:$U76,'changes2_based on steps'!$B$1:$U$1,AA$1)</f>
        <v>0</v>
      </c>
    </row>
    <row r="77" spans="1:27" x14ac:dyDescent="0.2">
      <c r="A77" s="18">
        <f t="shared" ca="1" si="1"/>
        <v>45763</v>
      </c>
      <c r="B77" s="155">
        <f ca="1">SUMIFS('recurring2_based on steps'!$B77:$AY77,'recurring2_based on steps'!$B$1:$AY$1,B$1)+SUMIFS('changes2_based on steps'!$B77:$U77,'changes2_based on steps'!$B$1:$U$1,B$1)</f>
        <v>0</v>
      </c>
      <c r="C77" s="155">
        <f>SUMIFS('recurring2_based on steps'!$B77:$AY77,'recurring2_based on steps'!$B$1:$AY$1,C$1)+SUMIFS('changes2_based on steps'!$B77:$U77,'changes2_based on steps'!$B$1:$U$1,C$1)</f>
        <v>0</v>
      </c>
      <c r="D77" s="155">
        <f>SUMIFS('recurring2_based on steps'!$B77:$AY77,'recurring2_based on steps'!$B$1:$AY$1,D$1)+SUMIFS('changes2_based on steps'!$B77:$U77,'changes2_based on steps'!$B$1:$U$1,D$1)</f>
        <v>0</v>
      </c>
      <c r="E77" s="155">
        <f>SUMIFS('recurring2_based on steps'!$B77:$AY77,'recurring2_based on steps'!$B$1:$AY$1,E$1)+SUMIFS('changes2_based on steps'!$B77:$U77,'changes2_based on steps'!$B$1:$U$1,E$1)</f>
        <v>0</v>
      </c>
      <c r="F77" s="155">
        <f>SUMIFS('recurring2_based on steps'!$B77:$AY77,'recurring2_based on steps'!$B$1:$AY$1,F$1)+SUMIFS('changes2_based on steps'!$B77:$U77,'changes2_based on steps'!$B$1:$U$1,F$1)</f>
        <v>0</v>
      </c>
      <c r="G77" s="155">
        <f>SUMIFS('recurring2_based on steps'!$B77:$AY77,'recurring2_based on steps'!$B$1:$AY$1,G$1)+SUMIFS('changes2_based on steps'!$B77:$U77,'changes2_based on steps'!$B$1:$U$1,G$1)</f>
        <v>0</v>
      </c>
      <c r="H77" s="155">
        <f ca="1">SUMIFS('recurring2_based on steps'!$B77:$AY77,'recurring2_based on steps'!$B$1:$AY$1,H$1)+SUMIFS('changes2_based on steps'!$B77:$U77,'changes2_based on steps'!$B$1:$U$1,H$1)</f>
        <v>0</v>
      </c>
      <c r="I77" s="155">
        <f>SUMIFS('recurring2_based on steps'!$B77:$AY77,'recurring2_based on steps'!$B$1:$AY$1,I$1)+SUMIFS('changes2_based on steps'!$B77:$U77,'changes2_based on steps'!$B$1:$U$1,I$1)</f>
        <v>0</v>
      </c>
      <c r="J77" s="155">
        <f>SUMIFS('recurring2_based on steps'!$B77:$AY77,'recurring2_based on steps'!$B$1:$AY$1,J$1)+SUMIFS('changes2_based on steps'!$B77:$U77,'changes2_based on steps'!$B$1:$U$1,J$1)</f>
        <v>0</v>
      </c>
      <c r="K77" s="155">
        <f>SUMIFS('recurring2_based on steps'!$B77:$AY77,'recurring2_based on steps'!$B$1:$AY$1,K$1)+SUMIFS('changes2_based on steps'!$B77:$U77,'changes2_based on steps'!$B$1:$U$1,K$1)</f>
        <v>0</v>
      </c>
      <c r="L77" s="155">
        <f>SUMIFS('recurring2_based on steps'!$B77:$AY77,'recurring2_based on steps'!$B$1:$AY$1,L$1)+SUMIFS('changes2_based on steps'!$B77:$U77,'changes2_based on steps'!$B$1:$U$1,L$1)</f>
        <v>0</v>
      </c>
      <c r="M77" s="155">
        <f ca="1">SUMIFS('recurring2_based on steps'!$B77:$AY77,'recurring2_based on steps'!$B$1:$AY$1,M$1)+SUMIFS('changes2_based on steps'!$B77:$U77,'changes2_based on steps'!$B$1:$U$1,M$1)</f>
        <v>0</v>
      </c>
      <c r="N77" s="155">
        <f ca="1">SUMIFS('recurring2_based on steps'!$B77:$AY77,'recurring2_based on steps'!$B$1:$AY$1,N$1)+SUMIFS('changes2_based on steps'!$B77:$U77,'changes2_based on steps'!$B$1:$U$1,N$1)</f>
        <v>0</v>
      </c>
      <c r="O77" s="155">
        <f ca="1">SUMIFS('recurring2_based on steps'!$B77:$AY77,'recurring2_based on steps'!$B$1:$AY$1,O$1)+SUMIFS('changes2_based on steps'!$B77:$U77,'changes2_based on steps'!$B$1:$U$1,O$1)</f>
        <v>0</v>
      </c>
      <c r="P77" s="155">
        <f ca="1">SUMIFS('recurring2_based on steps'!$B77:$AY77,'recurring2_based on steps'!$B$1:$AY$1,P$1)+SUMIFS('changes2_based on steps'!$B77:$U77,'changes2_based on steps'!$B$1:$U$1,P$1)</f>
        <v>0</v>
      </c>
      <c r="Q77" s="155">
        <f>SUMIFS('recurring2_based on steps'!$B77:$AY77,'recurring2_based on steps'!$B$1:$AY$1,Q$1)+SUMIFS('changes2_based on steps'!$B77:$U77,'changes2_based on steps'!$B$1:$U$1,Q$1)</f>
        <v>0</v>
      </c>
      <c r="R77" s="155">
        <f ca="1">SUMIFS('recurring2_based on steps'!$B77:$AY77,'recurring2_based on steps'!$B$1:$AY$1,R$1)+SUMIFS('changes2_based on steps'!$B77:$U77,'changes2_based on steps'!$B$1:$U$1,R$1)</f>
        <v>0</v>
      </c>
      <c r="S77" s="155">
        <f ca="1">SUMIFS('recurring2_based on steps'!$B77:$AY77,'recurring2_based on steps'!$B$1:$AY$1,S$1)+SUMIFS('changes2_based on steps'!$B77:$U77,'changes2_based on steps'!$B$1:$U$1,S$1)</f>
        <v>0</v>
      </c>
      <c r="T77" s="155">
        <f>SUMIFS('recurring2_based on steps'!$B77:$AY77,'recurring2_based on steps'!$B$1:$AY$1,T$1)+SUMIFS('changes2_based on steps'!$B77:$U77,'changes2_based on steps'!$B$1:$U$1,T$1)</f>
        <v>0</v>
      </c>
      <c r="U77" s="155">
        <f ca="1">SUMIFS('recurring2_based on steps'!$B77:$AY77,'recurring2_based on steps'!$B$1:$AY$1,U$1)+SUMIFS('changes2_based on steps'!$B77:$U77,'changes2_based on steps'!$B$1:$U$1,U$1)</f>
        <v>0</v>
      </c>
      <c r="V77" s="155">
        <f>SUMIFS('recurring2_based on steps'!$B77:$AY77,'recurring2_based on steps'!$B$1:$AY$1,V$1)+SUMIFS('changes2_based on steps'!$B77:$U77,'changes2_based on steps'!$B$1:$U$1,V$1)</f>
        <v>0</v>
      </c>
      <c r="W77" s="155">
        <f ca="1">SUMIFS('recurring2_based on steps'!$B77:$AY77,'recurring2_based on steps'!$B$1:$AY$1,W$1)+SUMIFS('changes2_based on steps'!$B77:$U77,'changes2_based on steps'!$B$1:$U$1,W$1)</f>
        <v>0</v>
      </c>
      <c r="X77" s="155">
        <f ca="1">SUMIFS('recurring2_based on steps'!$B77:$AY77,'recurring2_based on steps'!$B$1:$AY$1,X$1)+SUMIFS('changes2_based on steps'!$B77:$U77,'changes2_based on steps'!$B$1:$U$1,X$1)</f>
        <v>0</v>
      </c>
      <c r="Y77" s="155">
        <f ca="1">SUMIFS('recurring2_based on steps'!$B77:$AY77,'recurring2_based on steps'!$B$1:$AY$1,Y$1)+SUMIFS('changes2_based on steps'!$B77:$U77,'changes2_based on steps'!$B$1:$U$1,Y$1)</f>
        <v>0</v>
      </c>
      <c r="Z77" s="155">
        <f>SUMIFS('recurring2_based on steps'!$B77:$AY77,'recurring2_based on steps'!$B$1:$AY$1,Z$1)+SUMIFS('changes2_based on steps'!$B77:$U77,'changes2_based on steps'!$B$1:$U$1,Z$1)</f>
        <v>0</v>
      </c>
      <c r="AA77" s="155">
        <f>SUMIFS('recurring2_based on steps'!$B77:$AY77,'recurring2_based on steps'!$B$1:$AY$1,AA$1)+SUMIFS('changes2_based on steps'!$B77:$U77,'changes2_based on steps'!$B$1:$U$1,AA$1)</f>
        <v>0</v>
      </c>
    </row>
    <row r="78" spans="1:27" x14ac:dyDescent="0.2">
      <c r="A78" s="18">
        <f t="shared" ca="1" si="1"/>
        <v>45764</v>
      </c>
      <c r="B78" s="155">
        <f ca="1">SUMIFS('recurring2_based on steps'!$B78:$AY78,'recurring2_based on steps'!$B$1:$AY$1,B$1)+SUMIFS('changes2_based on steps'!$B78:$U78,'changes2_based on steps'!$B$1:$U$1,B$1)</f>
        <v>0</v>
      </c>
      <c r="C78" s="155">
        <f>SUMIFS('recurring2_based on steps'!$B78:$AY78,'recurring2_based on steps'!$B$1:$AY$1,C$1)+SUMIFS('changes2_based on steps'!$B78:$U78,'changes2_based on steps'!$B$1:$U$1,C$1)</f>
        <v>0</v>
      </c>
      <c r="D78" s="155">
        <f>SUMIFS('recurring2_based on steps'!$B78:$AY78,'recurring2_based on steps'!$B$1:$AY$1,D$1)+SUMIFS('changes2_based on steps'!$B78:$U78,'changes2_based on steps'!$B$1:$U$1,D$1)</f>
        <v>0</v>
      </c>
      <c r="E78" s="155">
        <f>SUMIFS('recurring2_based on steps'!$B78:$AY78,'recurring2_based on steps'!$B$1:$AY$1,E$1)+SUMIFS('changes2_based on steps'!$B78:$U78,'changes2_based on steps'!$B$1:$U$1,E$1)</f>
        <v>0</v>
      </c>
      <c r="F78" s="155">
        <f>SUMIFS('recurring2_based on steps'!$B78:$AY78,'recurring2_based on steps'!$B$1:$AY$1,F$1)+SUMIFS('changes2_based on steps'!$B78:$U78,'changes2_based on steps'!$B$1:$U$1,F$1)</f>
        <v>0</v>
      </c>
      <c r="G78" s="155">
        <f>SUMIFS('recurring2_based on steps'!$B78:$AY78,'recurring2_based on steps'!$B$1:$AY$1,G$1)+SUMIFS('changes2_based on steps'!$B78:$U78,'changes2_based on steps'!$B$1:$U$1,G$1)</f>
        <v>0</v>
      </c>
      <c r="H78" s="155">
        <f ca="1">SUMIFS('recurring2_based on steps'!$B78:$AY78,'recurring2_based on steps'!$B$1:$AY$1,H$1)+SUMIFS('changes2_based on steps'!$B78:$U78,'changes2_based on steps'!$B$1:$U$1,H$1)</f>
        <v>0</v>
      </c>
      <c r="I78" s="155">
        <f>SUMIFS('recurring2_based on steps'!$B78:$AY78,'recurring2_based on steps'!$B$1:$AY$1,I$1)+SUMIFS('changes2_based on steps'!$B78:$U78,'changes2_based on steps'!$B$1:$U$1,I$1)</f>
        <v>0</v>
      </c>
      <c r="J78" s="155">
        <f>SUMIFS('recurring2_based on steps'!$B78:$AY78,'recurring2_based on steps'!$B$1:$AY$1,J$1)+SUMIFS('changes2_based on steps'!$B78:$U78,'changes2_based on steps'!$B$1:$U$1,J$1)</f>
        <v>0</v>
      </c>
      <c r="K78" s="155">
        <f>SUMIFS('recurring2_based on steps'!$B78:$AY78,'recurring2_based on steps'!$B$1:$AY$1,K$1)+SUMIFS('changes2_based on steps'!$B78:$U78,'changes2_based on steps'!$B$1:$U$1,K$1)</f>
        <v>0</v>
      </c>
      <c r="L78" s="155">
        <f>SUMIFS('recurring2_based on steps'!$B78:$AY78,'recurring2_based on steps'!$B$1:$AY$1,L$1)+SUMIFS('changes2_based on steps'!$B78:$U78,'changes2_based on steps'!$B$1:$U$1,L$1)</f>
        <v>0</v>
      </c>
      <c r="M78" s="155">
        <f ca="1">SUMIFS('recurring2_based on steps'!$B78:$AY78,'recurring2_based on steps'!$B$1:$AY$1,M$1)+SUMIFS('changes2_based on steps'!$B78:$U78,'changes2_based on steps'!$B$1:$U$1,M$1)</f>
        <v>0</v>
      </c>
      <c r="N78" s="155">
        <f ca="1">SUMIFS('recurring2_based on steps'!$B78:$AY78,'recurring2_based on steps'!$B$1:$AY$1,N$1)+SUMIFS('changes2_based on steps'!$B78:$U78,'changes2_based on steps'!$B$1:$U$1,N$1)</f>
        <v>0</v>
      </c>
      <c r="O78" s="155">
        <f ca="1">SUMIFS('recurring2_based on steps'!$B78:$AY78,'recurring2_based on steps'!$B$1:$AY$1,O$1)+SUMIFS('changes2_based on steps'!$B78:$U78,'changes2_based on steps'!$B$1:$U$1,O$1)</f>
        <v>0</v>
      </c>
      <c r="P78" s="155">
        <f ca="1">SUMIFS('recurring2_based on steps'!$B78:$AY78,'recurring2_based on steps'!$B$1:$AY$1,P$1)+SUMIFS('changes2_based on steps'!$B78:$U78,'changes2_based on steps'!$B$1:$U$1,P$1)</f>
        <v>0</v>
      </c>
      <c r="Q78" s="155">
        <f>SUMIFS('recurring2_based on steps'!$B78:$AY78,'recurring2_based on steps'!$B$1:$AY$1,Q$1)+SUMIFS('changes2_based on steps'!$B78:$U78,'changes2_based on steps'!$B$1:$U$1,Q$1)</f>
        <v>0</v>
      </c>
      <c r="R78" s="155">
        <f ca="1">SUMIFS('recurring2_based on steps'!$B78:$AY78,'recurring2_based on steps'!$B$1:$AY$1,R$1)+SUMIFS('changes2_based on steps'!$B78:$U78,'changes2_based on steps'!$B$1:$U$1,R$1)</f>
        <v>0</v>
      </c>
      <c r="S78" s="155">
        <f ca="1">SUMIFS('recurring2_based on steps'!$B78:$AY78,'recurring2_based on steps'!$B$1:$AY$1,S$1)+SUMIFS('changes2_based on steps'!$B78:$U78,'changes2_based on steps'!$B$1:$U$1,S$1)</f>
        <v>0</v>
      </c>
      <c r="T78" s="155">
        <f>SUMIFS('recurring2_based on steps'!$B78:$AY78,'recurring2_based on steps'!$B$1:$AY$1,T$1)+SUMIFS('changes2_based on steps'!$B78:$U78,'changes2_based on steps'!$B$1:$U$1,T$1)</f>
        <v>0</v>
      </c>
      <c r="U78" s="155">
        <f ca="1">SUMIFS('recurring2_based on steps'!$B78:$AY78,'recurring2_based on steps'!$B$1:$AY$1,U$1)+SUMIFS('changes2_based on steps'!$B78:$U78,'changes2_based on steps'!$B$1:$U$1,U$1)</f>
        <v>15.49</v>
      </c>
      <c r="V78" s="155">
        <f>SUMIFS('recurring2_based on steps'!$B78:$AY78,'recurring2_based on steps'!$B$1:$AY$1,V$1)+SUMIFS('changes2_based on steps'!$B78:$U78,'changes2_based on steps'!$B$1:$U$1,V$1)</f>
        <v>0</v>
      </c>
      <c r="W78" s="155">
        <f ca="1">SUMIFS('recurring2_based on steps'!$B78:$AY78,'recurring2_based on steps'!$B$1:$AY$1,W$1)+SUMIFS('changes2_based on steps'!$B78:$U78,'changes2_based on steps'!$B$1:$U$1,W$1)</f>
        <v>0</v>
      </c>
      <c r="X78" s="155">
        <f ca="1">SUMIFS('recurring2_based on steps'!$B78:$AY78,'recurring2_based on steps'!$B$1:$AY$1,X$1)+SUMIFS('changes2_based on steps'!$B78:$U78,'changes2_based on steps'!$B$1:$U$1,X$1)</f>
        <v>0</v>
      </c>
      <c r="Y78" s="155">
        <f ca="1">SUMIFS('recurring2_based on steps'!$B78:$AY78,'recurring2_based on steps'!$B$1:$AY$1,Y$1)+SUMIFS('changes2_based on steps'!$B78:$U78,'changes2_based on steps'!$B$1:$U$1,Y$1)</f>
        <v>200</v>
      </c>
      <c r="Z78" s="155">
        <f>SUMIFS('recurring2_based on steps'!$B78:$AY78,'recurring2_based on steps'!$B$1:$AY$1,Z$1)+SUMIFS('changes2_based on steps'!$B78:$U78,'changes2_based on steps'!$B$1:$U$1,Z$1)</f>
        <v>0</v>
      </c>
      <c r="AA78" s="155">
        <f>SUMIFS('recurring2_based on steps'!$B78:$AY78,'recurring2_based on steps'!$B$1:$AY$1,AA$1)+SUMIFS('changes2_based on steps'!$B78:$U78,'changes2_based on steps'!$B$1:$U$1,AA$1)</f>
        <v>0</v>
      </c>
    </row>
    <row r="79" spans="1:27" x14ac:dyDescent="0.2">
      <c r="A79" s="18">
        <f t="shared" ca="1" si="1"/>
        <v>45765</v>
      </c>
      <c r="B79" s="155">
        <f ca="1">SUMIFS('recurring2_based on steps'!$B79:$AY79,'recurring2_based on steps'!$B$1:$AY$1,B$1)+SUMIFS('changes2_based on steps'!$B79:$U79,'changes2_based on steps'!$B$1:$U$1,B$1)</f>
        <v>4000</v>
      </c>
      <c r="C79" s="155">
        <f>SUMIFS('recurring2_based on steps'!$B79:$AY79,'recurring2_based on steps'!$B$1:$AY$1,C$1)+SUMIFS('changes2_based on steps'!$B79:$U79,'changes2_based on steps'!$B$1:$U$1,C$1)</f>
        <v>0</v>
      </c>
      <c r="D79" s="155">
        <f>SUMIFS('recurring2_based on steps'!$B79:$AY79,'recurring2_based on steps'!$B$1:$AY$1,D$1)+SUMIFS('changes2_based on steps'!$B79:$U79,'changes2_based on steps'!$B$1:$U$1,D$1)</f>
        <v>0</v>
      </c>
      <c r="E79" s="155">
        <f>SUMIFS('recurring2_based on steps'!$B79:$AY79,'recurring2_based on steps'!$B$1:$AY$1,E$1)+SUMIFS('changes2_based on steps'!$B79:$U79,'changes2_based on steps'!$B$1:$U$1,E$1)</f>
        <v>0</v>
      </c>
      <c r="F79" s="155">
        <f>SUMIFS('recurring2_based on steps'!$B79:$AY79,'recurring2_based on steps'!$B$1:$AY$1,F$1)+SUMIFS('changes2_based on steps'!$B79:$U79,'changes2_based on steps'!$B$1:$U$1,F$1)</f>
        <v>0</v>
      </c>
      <c r="G79" s="155">
        <f>SUMIFS('recurring2_based on steps'!$B79:$AY79,'recurring2_based on steps'!$B$1:$AY$1,G$1)+SUMIFS('changes2_based on steps'!$B79:$U79,'changes2_based on steps'!$B$1:$U$1,G$1)</f>
        <v>0</v>
      </c>
      <c r="H79" s="155">
        <f ca="1">SUMIFS('recurring2_based on steps'!$B79:$AY79,'recurring2_based on steps'!$B$1:$AY$1,H$1)+SUMIFS('changes2_based on steps'!$B79:$U79,'changes2_based on steps'!$B$1:$U$1,H$1)</f>
        <v>96</v>
      </c>
      <c r="I79" s="155">
        <f>SUMIFS('recurring2_based on steps'!$B79:$AY79,'recurring2_based on steps'!$B$1:$AY$1,I$1)+SUMIFS('changes2_based on steps'!$B79:$U79,'changes2_based on steps'!$B$1:$U$1,I$1)</f>
        <v>0</v>
      </c>
      <c r="J79" s="155">
        <f>SUMIFS('recurring2_based on steps'!$B79:$AY79,'recurring2_based on steps'!$B$1:$AY$1,J$1)+SUMIFS('changes2_based on steps'!$B79:$U79,'changes2_based on steps'!$B$1:$U$1,J$1)</f>
        <v>0</v>
      </c>
      <c r="K79" s="155">
        <f>SUMIFS('recurring2_based on steps'!$B79:$AY79,'recurring2_based on steps'!$B$1:$AY$1,K$1)+SUMIFS('changes2_based on steps'!$B79:$U79,'changes2_based on steps'!$B$1:$U$1,K$1)</f>
        <v>0</v>
      </c>
      <c r="L79" s="155">
        <f>SUMIFS('recurring2_based on steps'!$B79:$AY79,'recurring2_based on steps'!$B$1:$AY$1,L$1)+SUMIFS('changes2_based on steps'!$B79:$U79,'changes2_based on steps'!$B$1:$U$1,L$1)</f>
        <v>0</v>
      </c>
      <c r="M79" s="155">
        <f ca="1">SUMIFS('recurring2_based on steps'!$B79:$AY79,'recurring2_based on steps'!$B$1:$AY$1,M$1)+SUMIFS('changes2_based on steps'!$B79:$U79,'changes2_based on steps'!$B$1:$U$1,M$1)</f>
        <v>0</v>
      </c>
      <c r="N79" s="155">
        <f ca="1">SUMIFS('recurring2_based on steps'!$B79:$AY79,'recurring2_based on steps'!$B$1:$AY$1,N$1)+SUMIFS('changes2_based on steps'!$B79:$U79,'changes2_based on steps'!$B$1:$U$1,N$1)</f>
        <v>0</v>
      </c>
      <c r="O79" s="155">
        <f ca="1">SUMIFS('recurring2_based on steps'!$B79:$AY79,'recurring2_based on steps'!$B$1:$AY$1,O$1)+SUMIFS('changes2_based on steps'!$B79:$U79,'changes2_based on steps'!$B$1:$U$1,O$1)</f>
        <v>0</v>
      </c>
      <c r="P79" s="155">
        <f ca="1">SUMIFS('recurring2_based on steps'!$B79:$AY79,'recurring2_based on steps'!$B$1:$AY$1,P$1)+SUMIFS('changes2_based on steps'!$B79:$U79,'changes2_based on steps'!$B$1:$U$1,P$1)</f>
        <v>0</v>
      </c>
      <c r="Q79" s="155">
        <f>SUMIFS('recurring2_based on steps'!$B79:$AY79,'recurring2_based on steps'!$B$1:$AY$1,Q$1)+SUMIFS('changes2_based on steps'!$B79:$U79,'changes2_based on steps'!$B$1:$U$1,Q$1)</f>
        <v>0</v>
      </c>
      <c r="R79" s="155">
        <f ca="1">SUMIFS('recurring2_based on steps'!$B79:$AY79,'recurring2_based on steps'!$B$1:$AY$1,R$1)+SUMIFS('changes2_based on steps'!$B79:$U79,'changes2_based on steps'!$B$1:$U$1,R$1)</f>
        <v>0</v>
      </c>
      <c r="S79" s="155">
        <f ca="1">SUMIFS('recurring2_based on steps'!$B79:$AY79,'recurring2_based on steps'!$B$1:$AY$1,S$1)+SUMIFS('changes2_based on steps'!$B79:$U79,'changes2_based on steps'!$B$1:$U$1,S$1)</f>
        <v>0</v>
      </c>
      <c r="T79" s="155">
        <f>SUMIFS('recurring2_based on steps'!$B79:$AY79,'recurring2_based on steps'!$B$1:$AY$1,T$1)+SUMIFS('changes2_based on steps'!$B79:$U79,'changes2_based on steps'!$B$1:$U$1,T$1)</f>
        <v>0</v>
      </c>
      <c r="U79" s="155">
        <f ca="1">SUMIFS('recurring2_based on steps'!$B79:$AY79,'recurring2_based on steps'!$B$1:$AY$1,U$1)+SUMIFS('changes2_based on steps'!$B79:$U79,'changes2_based on steps'!$B$1:$U$1,U$1)</f>
        <v>10.99</v>
      </c>
      <c r="V79" s="155">
        <f>SUMIFS('recurring2_based on steps'!$B79:$AY79,'recurring2_based on steps'!$B$1:$AY$1,V$1)+SUMIFS('changes2_based on steps'!$B79:$U79,'changes2_based on steps'!$B$1:$U$1,V$1)</f>
        <v>0</v>
      </c>
      <c r="W79" s="155">
        <f ca="1">SUMIFS('recurring2_based on steps'!$B79:$AY79,'recurring2_based on steps'!$B$1:$AY$1,W$1)+SUMIFS('changes2_based on steps'!$B79:$U79,'changes2_based on steps'!$B$1:$U$1,W$1)</f>
        <v>50</v>
      </c>
      <c r="X79" s="155">
        <f ca="1">SUMIFS('recurring2_based on steps'!$B79:$AY79,'recurring2_based on steps'!$B$1:$AY$1,X$1)+SUMIFS('changes2_based on steps'!$B79:$U79,'changes2_based on steps'!$B$1:$U$1,X$1)</f>
        <v>200</v>
      </c>
      <c r="Y79" s="155">
        <f ca="1">SUMIFS('recurring2_based on steps'!$B79:$AY79,'recurring2_based on steps'!$B$1:$AY$1,Y$1)+SUMIFS('changes2_based on steps'!$B79:$U79,'changes2_based on steps'!$B$1:$U$1,Y$1)</f>
        <v>0</v>
      </c>
      <c r="Z79" s="155">
        <f>SUMIFS('recurring2_based on steps'!$B79:$AY79,'recurring2_based on steps'!$B$1:$AY$1,Z$1)+SUMIFS('changes2_based on steps'!$B79:$U79,'changes2_based on steps'!$B$1:$U$1,Z$1)</f>
        <v>0</v>
      </c>
      <c r="AA79" s="155">
        <f>SUMIFS('recurring2_based on steps'!$B79:$AY79,'recurring2_based on steps'!$B$1:$AY$1,AA$1)+SUMIFS('changes2_based on steps'!$B79:$U79,'changes2_based on steps'!$B$1:$U$1,AA$1)</f>
        <v>0</v>
      </c>
    </row>
    <row r="80" spans="1:27" x14ac:dyDescent="0.2">
      <c r="A80" s="18">
        <f t="shared" ca="1" si="1"/>
        <v>45766</v>
      </c>
      <c r="B80" s="155">
        <f ca="1">SUMIFS('recurring2_based on steps'!$B80:$AY80,'recurring2_based on steps'!$B$1:$AY$1,B$1)+SUMIFS('changes2_based on steps'!$B80:$U80,'changes2_based on steps'!$B$1:$U$1,B$1)</f>
        <v>0</v>
      </c>
      <c r="C80" s="155">
        <f>SUMIFS('recurring2_based on steps'!$B80:$AY80,'recurring2_based on steps'!$B$1:$AY$1,C$1)+SUMIFS('changes2_based on steps'!$B80:$U80,'changes2_based on steps'!$B$1:$U$1,C$1)</f>
        <v>0</v>
      </c>
      <c r="D80" s="155">
        <f>SUMIFS('recurring2_based on steps'!$B80:$AY80,'recurring2_based on steps'!$B$1:$AY$1,D$1)+SUMIFS('changes2_based on steps'!$B80:$U80,'changes2_based on steps'!$B$1:$U$1,D$1)</f>
        <v>0</v>
      </c>
      <c r="E80" s="155">
        <f>SUMIFS('recurring2_based on steps'!$B80:$AY80,'recurring2_based on steps'!$B$1:$AY$1,E$1)+SUMIFS('changes2_based on steps'!$B80:$U80,'changes2_based on steps'!$B$1:$U$1,E$1)</f>
        <v>0</v>
      </c>
      <c r="F80" s="155">
        <f>SUMIFS('recurring2_based on steps'!$B80:$AY80,'recurring2_based on steps'!$B$1:$AY$1,F$1)+SUMIFS('changes2_based on steps'!$B80:$U80,'changes2_based on steps'!$B$1:$U$1,F$1)</f>
        <v>0</v>
      </c>
      <c r="G80" s="155">
        <f>SUMIFS('recurring2_based on steps'!$B80:$AY80,'recurring2_based on steps'!$B$1:$AY$1,G$1)+SUMIFS('changes2_based on steps'!$B80:$U80,'changes2_based on steps'!$B$1:$U$1,G$1)</f>
        <v>0</v>
      </c>
      <c r="H80" s="155">
        <f ca="1">SUMIFS('recurring2_based on steps'!$B80:$AY80,'recurring2_based on steps'!$B$1:$AY$1,H$1)+SUMIFS('changes2_based on steps'!$B80:$U80,'changes2_based on steps'!$B$1:$U$1,H$1)</f>
        <v>0</v>
      </c>
      <c r="I80" s="155">
        <f>SUMIFS('recurring2_based on steps'!$B80:$AY80,'recurring2_based on steps'!$B$1:$AY$1,I$1)+SUMIFS('changes2_based on steps'!$B80:$U80,'changes2_based on steps'!$B$1:$U$1,I$1)</f>
        <v>0</v>
      </c>
      <c r="J80" s="155">
        <f>SUMIFS('recurring2_based on steps'!$B80:$AY80,'recurring2_based on steps'!$B$1:$AY$1,J$1)+SUMIFS('changes2_based on steps'!$B80:$U80,'changes2_based on steps'!$B$1:$U$1,J$1)</f>
        <v>0</v>
      </c>
      <c r="K80" s="155">
        <f>SUMIFS('recurring2_based on steps'!$B80:$AY80,'recurring2_based on steps'!$B$1:$AY$1,K$1)+SUMIFS('changes2_based on steps'!$B80:$U80,'changes2_based on steps'!$B$1:$U$1,K$1)</f>
        <v>0</v>
      </c>
      <c r="L80" s="155">
        <f>SUMIFS('recurring2_based on steps'!$B80:$AY80,'recurring2_based on steps'!$B$1:$AY$1,L$1)+SUMIFS('changes2_based on steps'!$B80:$U80,'changes2_based on steps'!$B$1:$U$1,L$1)</f>
        <v>0</v>
      </c>
      <c r="M80" s="155">
        <f ca="1">SUMIFS('recurring2_based on steps'!$B80:$AY80,'recurring2_based on steps'!$B$1:$AY$1,M$1)+SUMIFS('changes2_based on steps'!$B80:$U80,'changes2_based on steps'!$B$1:$U$1,M$1)</f>
        <v>0</v>
      </c>
      <c r="N80" s="155">
        <f ca="1">SUMIFS('recurring2_based on steps'!$B80:$AY80,'recurring2_based on steps'!$B$1:$AY$1,N$1)+SUMIFS('changes2_based on steps'!$B80:$U80,'changes2_based on steps'!$B$1:$U$1,N$1)</f>
        <v>0</v>
      </c>
      <c r="O80" s="155">
        <f ca="1">SUMIFS('recurring2_based on steps'!$B80:$AY80,'recurring2_based on steps'!$B$1:$AY$1,O$1)+SUMIFS('changes2_based on steps'!$B80:$U80,'changes2_based on steps'!$B$1:$U$1,O$1)</f>
        <v>0</v>
      </c>
      <c r="P80" s="155">
        <f ca="1">SUMIFS('recurring2_based on steps'!$B80:$AY80,'recurring2_based on steps'!$B$1:$AY$1,P$1)+SUMIFS('changes2_based on steps'!$B80:$U80,'changes2_based on steps'!$B$1:$U$1,P$1)</f>
        <v>0</v>
      </c>
      <c r="Q80" s="155">
        <f>SUMIFS('recurring2_based on steps'!$B80:$AY80,'recurring2_based on steps'!$B$1:$AY$1,Q$1)+SUMIFS('changes2_based on steps'!$B80:$U80,'changes2_based on steps'!$B$1:$U$1,Q$1)</f>
        <v>0</v>
      </c>
      <c r="R80" s="155">
        <f ca="1">SUMIFS('recurring2_based on steps'!$B80:$AY80,'recurring2_based on steps'!$B$1:$AY$1,R$1)+SUMIFS('changes2_based on steps'!$B80:$U80,'changes2_based on steps'!$B$1:$U$1,R$1)</f>
        <v>100</v>
      </c>
      <c r="S80" s="155">
        <f ca="1">SUMIFS('recurring2_based on steps'!$B80:$AY80,'recurring2_based on steps'!$B$1:$AY$1,S$1)+SUMIFS('changes2_based on steps'!$B80:$U80,'changes2_based on steps'!$B$1:$U$1,S$1)</f>
        <v>100</v>
      </c>
      <c r="T80" s="155">
        <f>SUMIFS('recurring2_based on steps'!$B80:$AY80,'recurring2_based on steps'!$B$1:$AY$1,T$1)+SUMIFS('changes2_based on steps'!$B80:$U80,'changes2_based on steps'!$B$1:$U$1,T$1)</f>
        <v>0</v>
      </c>
      <c r="U80" s="155">
        <f ca="1">SUMIFS('recurring2_based on steps'!$B80:$AY80,'recurring2_based on steps'!$B$1:$AY$1,U$1)+SUMIFS('changes2_based on steps'!$B80:$U80,'changes2_based on steps'!$B$1:$U$1,U$1)</f>
        <v>0</v>
      </c>
      <c r="V80" s="155">
        <f>SUMIFS('recurring2_based on steps'!$B80:$AY80,'recurring2_based on steps'!$B$1:$AY$1,V$1)+SUMIFS('changes2_based on steps'!$B80:$U80,'changes2_based on steps'!$B$1:$U$1,V$1)</f>
        <v>0</v>
      </c>
      <c r="W80" s="155">
        <f ca="1">SUMIFS('recurring2_based on steps'!$B80:$AY80,'recurring2_based on steps'!$B$1:$AY$1,W$1)+SUMIFS('changes2_based on steps'!$B80:$U80,'changes2_based on steps'!$B$1:$U$1,W$1)</f>
        <v>0</v>
      </c>
      <c r="X80" s="155">
        <f ca="1">SUMIFS('recurring2_based on steps'!$B80:$AY80,'recurring2_based on steps'!$B$1:$AY$1,X$1)+SUMIFS('changes2_based on steps'!$B80:$U80,'changes2_based on steps'!$B$1:$U$1,X$1)</f>
        <v>0</v>
      </c>
      <c r="Y80" s="155">
        <f ca="1">SUMIFS('recurring2_based on steps'!$B80:$AY80,'recurring2_based on steps'!$B$1:$AY$1,Y$1)+SUMIFS('changes2_based on steps'!$B80:$U80,'changes2_based on steps'!$B$1:$U$1,Y$1)</f>
        <v>0</v>
      </c>
      <c r="Z80" s="155">
        <f>SUMIFS('recurring2_based on steps'!$B80:$AY80,'recurring2_based on steps'!$B$1:$AY$1,Z$1)+SUMIFS('changes2_based on steps'!$B80:$U80,'changes2_based on steps'!$B$1:$U$1,Z$1)</f>
        <v>0</v>
      </c>
      <c r="AA80" s="155">
        <f>SUMIFS('recurring2_based on steps'!$B80:$AY80,'recurring2_based on steps'!$B$1:$AY$1,AA$1)+SUMIFS('changes2_based on steps'!$B80:$U80,'changes2_based on steps'!$B$1:$U$1,AA$1)</f>
        <v>0</v>
      </c>
    </row>
    <row r="81" spans="1:27" x14ac:dyDescent="0.2">
      <c r="A81" s="18">
        <f t="shared" ca="1" si="1"/>
        <v>45767</v>
      </c>
      <c r="B81" s="155">
        <f ca="1">SUMIFS('recurring2_based on steps'!$B81:$AY81,'recurring2_based on steps'!$B$1:$AY$1,B$1)+SUMIFS('changes2_based on steps'!$B81:$U81,'changes2_based on steps'!$B$1:$U$1,B$1)</f>
        <v>0</v>
      </c>
      <c r="C81" s="155">
        <f>SUMIFS('recurring2_based on steps'!$B81:$AY81,'recurring2_based on steps'!$B$1:$AY$1,C$1)+SUMIFS('changes2_based on steps'!$B81:$U81,'changes2_based on steps'!$B$1:$U$1,C$1)</f>
        <v>0</v>
      </c>
      <c r="D81" s="155">
        <f>SUMIFS('recurring2_based on steps'!$B81:$AY81,'recurring2_based on steps'!$B$1:$AY$1,D$1)+SUMIFS('changes2_based on steps'!$B81:$U81,'changes2_based on steps'!$B$1:$U$1,D$1)</f>
        <v>0</v>
      </c>
      <c r="E81" s="155">
        <f>SUMIFS('recurring2_based on steps'!$B81:$AY81,'recurring2_based on steps'!$B$1:$AY$1,E$1)+SUMIFS('changes2_based on steps'!$B81:$U81,'changes2_based on steps'!$B$1:$U$1,E$1)</f>
        <v>0</v>
      </c>
      <c r="F81" s="155">
        <f>SUMIFS('recurring2_based on steps'!$B81:$AY81,'recurring2_based on steps'!$B$1:$AY$1,F$1)+SUMIFS('changes2_based on steps'!$B81:$U81,'changes2_based on steps'!$B$1:$U$1,F$1)</f>
        <v>0</v>
      </c>
      <c r="G81" s="155">
        <f>SUMIFS('recurring2_based on steps'!$B81:$AY81,'recurring2_based on steps'!$B$1:$AY$1,G$1)+SUMIFS('changes2_based on steps'!$B81:$U81,'changes2_based on steps'!$B$1:$U$1,G$1)</f>
        <v>0</v>
      </c>
      <c r="H81" s="155">
        <f ca="1">SUMIFS('recurring2_based on steps'!$B81:$AY81,'recurring2_based on steps'!$B$1:$AY$1,H$1)+SUMIFS('changes2_based on steps'!$B81:$U81,'changes2_based on steps'!$B$1:$U$1,H$1)</f>
        <v>0</v>
      </c>
      <c r="I81" s="155">
        <f>SUMIFS('recurring2_based on steps'!$B81:$AY81,'recurring2_based on steps'!$B$1:$AY$1,I$1)+SUMIFS('changes2_based on steps'!$B81:$U81,'changes2_based on steps'!$B$1:$U$1,I$1)</f>
        <v>0</v>
      </c>
      <c r="J81" s="155">
        <f>SUMIFS('recurring2_based on steps'!$B81:$AY81,'recurring2_based on steps'!$B$1:$AY$1,J$1)+SUMIFS('changes2_based on steps'!$B81:$U81,'changes2_based on steps'!$B$1:$U$1,J$1)</f>
        <v>0</v>
      </c>
      <c r="K81" s="155">
        <f>SUMIFS('recurring2_based on steps'!$B81:$AY81,'recurring2_based on steps'!$B$1:$AY$1,K$1)+SUMIFS('changes2_based on steps'!$B81:$U81,'changes2_based on steps'!$B$1:$U$1,K$1)</f>
        <v>0</v>
      </c>
      <c r="L81" s="155">
        <f>SUMIFS('recurring2_based on steps'!$B81:$AY81,'recurring2_based on steps'!$B$1:$AY$1,L$1)+SUMIFS('changes2_based on steps'!$B81:$U81,'changes2_based on steps'!$B$1:$U$1,L$1)</f>
        <v>0</v>
      </c>
      <c r="M81" s="155">
        <f ca="1">SUMIFS('recurring2_based on steps'!$B81:$AY81,'recurring2_based on steps'!$B$1:$AY$1,M$1)+SUMIFS('changes2_based on steps'!$B81:$U81,'changes2_based on steps'!$B$1:$U$1,M$1)</f>
        <v>0</v>
      </c>
      <c r="N81" s="155">
        <f ca="1">SUMIFS('recurring2_based on steps'!$B81:$AY81,'recurring2_based on steps'!$B$1:$AY$1,N$1)+SUMIFS('changes2_based on steps'!$B81:$U81,'changes2_based on steps'!$B$1:$U$1,N$1)</f>
        <v>50</v>
      </c>
      <c r="O81" s="155">
        <f ca="1">SUMIFS('recurring2_based on steps'!$B81:$AY81,'recurring2_based on steps'!$B$1:$AY$1,O$1)+SUMIFS('changes2_based on steps'!$B81:$U81,'changes2_based on steps'!$B$1:$U$1,O$1)</f>
        <v>0</v>
      </c>
      <c r="P81" s="155">
        <f ca="1">SUMIFS('recurring2_based on steps'!$B81:$AY81,'recurring2_based on steps'!$B$1:$AY$1,P$1)+SUMIFS('changes2_based on steps'!$B81:$U81,'changes2_based on steps'!$B$1:$U$1,P$1)</f>
        <v>0</v>
      </c>
      <c r="Q81" s="155">
        <f>SUMIFS('recurring2_based on steps'!$B81:$AY81,'recurring2_based on steps'!$B$1:$AY$1,Q$1)+SUMIFS('changes2_based on steps'!$B81:$U81,'changes2_based on steps'!$B$1:$U$1,Q$1)</f>
        <v>0</v>
      </c>
      <c r="R81" s="155">
        <f ca="1">SUMIFS('recurring2_based on steps'!$B81:$AY81,'recurring2_based on steps'!$B$1:$AY$1,R$1)+SUMIFS('changes2_based on steps'!$B81:$U81,'changes2_based on steps'!$B$1:$U$1,R$1)</f>
        <v>0</v>
      </c>
      <c r="S81" s="155">
        <f ca="1">SUMIFS('recurring2_based on steps'!$B81:$AY81,'recurring2_based on steps'!$B$1:$AY$1,S$1)+SUMIFS('changes2_based on steps'!$B81:$U81,'changes2_based on steps'!$B$1:$U$1,S$1)</f>
        <v>100</v>
      </c>
      <c r="T81" s="155">
        <f>SUMIFS('recurring2_based on steps'!$B81:$AY81,'recurring2_based on steps'!$B$1:$AY$1,T$1)+SUMIFS('changes2_based on steps'!$B81:$U81,'changes2_based on steps'!$B$1:$U$1,T$1)</f>
        <v>0</v>
      </c>
      <c r="U81" s="155">
        <f ca="1">SUMIFS('recurring2_based on steps'!$B81:$AY81,'recurring2_based on steps'!$B$1:$AY$1,U$1)+SUMIFS('changes2_based on steps'!$B81:$U81,'changes2_based on steps'!$B$1:$U$1,U$1)</f>
        <v>0</v>
      </c>
      <c r="V81" s="155">
        <f>SUMIFS('recurring2_based on steps'!$B81:$AY81,'recurring2_based on steps'!$B$1:$AY$1,V$1)+SUMIFS('changes2_based on steps'!$B81:$U81,'changes2_based on steps'!$B$1:$U$1,V$1)</f>
        <v>0</v>
      </c>
      <c r="W81" s="155">
        <f ca="1">SUMIFS('recurring2_based on steps'!$B81:$AY81,'recurring2_based on steps'!$B$1:$AY$1,W$1)+SUMIFS('changes2_based on steps'!$B81:$U81,'changes2_based on steps'!$B$1:$U$1,W$1)</f>
        <v>0</v>
      </c>
      <c r="X81" s="155">
        <f ca="1">SUMIFS('recurring2_based on steps'!$B81:$AY81,'recurring2_based on steps'!$B$1:$AY$1,X$1)+SUMIFS('changes2_based on steps'!$B81:$U81,'changes2_based on steps'!$B$1:$U$1,X$1)</f>
        <v>0</v>
      </c>
      <c r="Y81" s="155">
        <f ca="1">SUMIFS('recurring2_based on steps'!$B81:$AY81,'recurring2_based on steps'!$B$1:$AY$1,Y$1)+SUMIFS('changes2_based on steps'!$B81:$U81,'changes2_based on steps'!$B$1:$U$1,Y$1)</f>
        <v>0</v>
      </c>
      <c r="Z81" s="155">
        <f>SUMIFS('recurring2_based on steps'!$B81:$AY81,'recurring2_based on steps'!$B$1:$AY$1,Z$1)+SUMIFS('changes2_based on steps'!$B81:$U81,'changes2_based on steps'!$B$1:$U$1,Z$1)</f>
        <v>0</v>
      </c>
      <c r="AA81" s="155">
        <f>SUMIFS('recurring2_based on steps'!$B81:$AY81,'recurring2_based on steps'!$B$1:$AY$1,AA$1)+SUMIFS('changes2_based on steps'!$B81:$U81,'changes2_based on steps'!$B$1:$U$1,AA$1)</f>
        <v>0</v>
      </c>
    </row>
    <row r="82" spans="1:27" x14ac:dyDescent="0.2">
      <c r="A82" s="18">
        <f t="shared" ca="1" si="1"/>
        <v>45768</v>
      </c>
      <c r="B82" s="155">
        <f ca="1">SUMIFS('recurring2_based on steps'!$B82:$AY82,'recurring2_based on steps'!$B$1:$AY$1,B$1)+SUMIFS('changes2_based on steps'!$B82:$U82,'changes2_based on steps'!$B$1:$U$1,B$1)</f>
        <v>0</v>
      </c>
      <c r="C82" s="155">
        <f>SUMIFS('recurring2_based on steps'!$B82:$AY82,'recurring2_based on steps'!$B$1:$AY$1,C$1)+SUMIFS('changes2_based on steps'!$B82:$U82,'changes2_based on steps'!$B$1:$U$1,C$1)</f>
        <v>0</v>
      </c>
      <c r="D82" s="155">
        <f>SUMIFS('recurring2_based on steps'!$B82:$AY82,'recurring2_based on steps'!$B$1:$AY$1,D$1)+SUMIFS('changes2_based on steps'!$B82:$U82,'changes2_based on steps'!$B$1:$U$1,D$1)</f>
        <v>0</v>
      </c>
      <c r="E82" s="155">
        <f>SUMIFS('recurring2_based on steps'!$B82:$AY82,'recurring2_based on steps'!$B$1:$AY$1,E$1)+SUMIFS('changes2_based on steps'!$B82:$U82,'changes2_based on steps'!$B$1:$U$1,E$1)</f>
        <v>0</v>
      </c>
      <c r="F82" s="155">
        <f>SUMIFS('recurring2_based on steps'!$B82:$AY82,'recurring2_based on steps'!$B$1:$AY$1,F$1)+SUMIFS('changes2_based on steps'!$B82:$U82,'changes2_based on steps'!$B$1:$U$1,F$1)</f>
        <v>0</v>
      </c>
      <c r="G82" s="155">
        <f>SUMIFS('recurring2_based on steps'!$B82:$AY82,'recurring2_based on steps'!$B$1:$AY$1,G$1)+SUMIFS('changes2_based on steps'!$B82:$U82,'changes2_based on steps'!$B$1:$U$1,G$1)</f>
        <v>0</v>
      </c>
      <c r="H82" s="155">
        <f ca="1">SUMIFS('recurring2_based on steps'!$B82:$AY82,'recurring2_based on steps'!$B$1:$AY$1,H$1)+SUMIFS('changes2_based on steps'!$B82:$U82,'changes2_based on steps'!$B$1:$U$1,H$1)</f>
        <v>0</v>
      </c>
      <c r="I82" s="155">
        <f>SUMIFS('recurring2_based on steps'!$B82:$AY82,'recurring2_based on steps'!$B$1:$AY$1,I$1)+SUMIFS('changes2_based on steps'!$B82:$U82,'changes2_based on steps'!$B$1:$U$1,I$1)</f>
        <v>0</v>
      </c>
      <c r="J82" s="155">
        <f>SUMIFS('recurring2_based on steps'!$B82:$AY82,'recurring2_based on steps'!$B$1:$AY$1,J$1)+SUMIFS('changes2_based on steps'!$B82:$U82,'changes2_based on steps'!$B$1:$U$1,J$1)</f>
        <v>0</v>
      </c>
      <c r="K82" s="155">
        <f>SUMIFS('recurring2_based on steps'!$B82:$AY82,'recurring2_based on steps'!$B$1:$AY$1,K$1)+SUMIFS('changes2_based on steps'!$B82:$U82,'changes2_based on steps'!$B$1:$U$1,K$1)</f>
        <v>0</v>
      </c>
      <c r="L82" s="155">
        <f>SUMIFS('recurring2_based on steps'!$B82:$AY82,'recurring2_based on steps'!$B$1:$AY$1,L$1)+SUMIFS('changes2_based on steps'!$B82:$U82,'changes2_based on steps'!$B$1:$U$1,L$1)</f>
        <v>0</v>
      </c>
      <c r="M82" s="155">
        <f ca="1">SUMIFS('recurring2_based on steps'!$B82:$AY82,'recurring2_based on steps'!$B$1:$AY$1,M$1)+SUMIFS('changes2_based on steps'!$B82:$U82,'changes2_based on steps'!$B$1:$U$1,M$1)</f>
        <v>0</v>
      </c>
      <c r="N82" s="155">
        <f ca="1">SUMIFS('recurring2_based on steps'!$B82:$AY82,'recurring2_based on steps'!$B$1:$AY$1,N$1)+SUMIFS('changes2_based on steps'!$B82:$U82,'changes2_based on steps'!$B$1:$U$1,N$1)</f>
        <v>0</v>
      </c>
      <c r="O82" s="155">
        <f ca="1">SUMIFS('recurring2_based on steps'!$B82:$AY82,'recurring2_based on steps'!$B$1:$AY$1,O$1)+SUMIFS('changes2_based on steps'!$B82:$U82,'changes2_based on steps'!$B$1:$U$1,O$1)</f>
        <v>0</v>
      </c>
      <c r="P82" s="155">
        <f ca="1">SUMIFS('recurring2_based on steps'!$B82:$AY82,'recurring2_based on steps'!$B$1:$AY$1,P$1)+SUMIFS('changes2_based on steps'!$B82:$U82,'changes2_based on steps'!$B$1:$U$1,P$1)</f>
        <v>0</v>
      </c>
      <c r="Q82" s="155">
        <f>SUMIFS('recurring2_based on steps'!$B82:$AY82,'recurring2_based on steps'!$B$1:$AY$1,Q$1)+SUMIFS('changes2_based on steps'!$B82:$U82,'changes2_based on steps'!$B$1:$U$1,Q$1)</f>
        <v>0</v>
      </c>
      <c r="R82" s="155">
        <f ca="1">SUMIFS('recurring2_based on steps'!$B82:$AY82,'recurring2_based on steps'!$B$1:$AY$1,R$1)+SUMIFS('changes2_based on steps'!$B82:$U82,'changes2_based on steps'!$B$1:$U$1,R$1)</f>
        <v>0</v>
      </c>
      <c r="S82" s="155">
        <f ca="1">SUMIFS('recurring2_based on steps'!$B82:$AY82,'recurring2_based on steps'!$B$1:$AY$1,S$1)+SUMIFS('changes2_based on steps'!$B82:$U82,'changes2_based on steps'!$B$1:$U$1,S$1)</f>
        <v>0</v>
      </c>
      <c r="T82" s="155">
        <f>SUMIFS('recurring2_based on steps'!$B82:$AY82,'recurring2_based on steps'!$B$1:$AY$1,T$1)+SUMIFS('changes2_based on steps'!$B82:$U82,'changes2_based on steps'!$B$1:$U$1,T$1)</f>
        <v>0</v>
      </c>
      <c r="U82" s="155">
        <f ca="1">SUMIFS('recurring2_based on steps'!$B82:$AY82,'recurring2_based on steps'!$B$1:$AY$1,U$1)+SUMIFS('changes2_based on steps'!$B82:$U82,'changes2_based on steps'!$B$1:$U$1,U$1)</f>
        <v>0</v>
      </c>
      <c r="V82" s="155">
        <f>SUMIFS('recurring2_based on steps'!$B82:$AY82,'recurring2_based on steps'!$B$1:$AY$1,V$1)+SUMIFS('changes2_based on steps'!$B82:$U82,'changes2_based on steps'!$B$1:$U$1,V$1)</f>
        <v>0</v>
      </c>
      <c r="W82" s="155">
        <f ca="1">SUMIFS('recurring2_based on steps'!$B82:$AY82,'recurring2_based on steps'!$B$1:$AY$1,W$1)+SUMIFS('changes2_based on steps'!$B82:$U82,'changes2_based on steps'!$B$1:$U$1,W$1)</f>
        <v>0</v>
      </c>
      <c r="X82" s="155">
        <f ca="1">SUMIFS('recurring2_based on steps'!$B82:$AY82,'recurring2_based on steps'!$B$1:$AY$1,X$1)+SUMIFS('changes2_based on steps'!$B82:$U82,'changes2_based on steps'!$B$1:$U$1,X$1)</f>
        <v>0</v>
      </c>
      <c r="Y82" s="155">
        <f ca="1">SUMIFS('recurring2_based on steps'!$B82:$AY82,'recurring2_based on steps'!$B$1:$AY$1,Y$1)+SUMIFS('changes2_based on steps'!$B82:$U82,'changes2_based on steps'!$B$1:$U$1,Y$1)</f>
        <v>0</v>
      </c>
      <c r="Z82" s="155">
        <f>SUMIFS('recurring2_based on steps'!$B82:$AY82,'recurring2_based on steps'!$B$1:$AY$1,Z$1)+SUMIFS('changes2_based on steps'!$B82:$U82,'changes2_based on steps'!$B$1:$U$1,Z$1)</f>
        <v>0</v>
      </c>
      <c r="AA82" s="155">
        <f>SUMIFS('recurring2_based on steps'!$B82:$AY82,'recurring2_based on steps'!$B$1:$AY$1,AA$1)+SUMIFS('changes2_based on steps'!$B82:$U82,'changes2_based on steps'!$B$1:$U$1,AA$1)</f>
        <v>0</v>
      </c>
    </row>
    <row r="83" spans="1:27" x14ac:dyDescent="0.2">
      <c r="A83" s="18">
        <f t="shared" ca="1" si="1"/>
        <v>45769</v>
      </c>
      <c r="B83" s="155">
        <f ca="1">SUMIFS('recurring2_based on steps'!$B83:$AY83,'recurring2_based on steps'!$B$1:$AY$1,B$1)+SUMIFS('changes2_based on steps'!$B83:$U83,'changes2_based on steps'!$B$1:$U$1,B$1)</f>
        <v>0</v>
      </c>
      <c r="C83" s="155">
        <f>SUMIFS('recurring2_based on steps'!$B83:$AY83,'recurring2_based on steps'!$B$1:$AY$1,C$1)+SUMIFS('changes2_based on steps'!$B83:$U83,'changes2_based on steps'!$B$1:$U$1,C$1)</f>
        <v>0</v>
      </c>
      <c r="D83" s="155">
        <f>SUMIFS('recurring2_based on steps'!$B83:$AY83,'recurring2_based on steps'!$B$1:$AY$1,D$1)+SUMIFS('changes2_based on steps'!$B83:$U83,'changes2_based on steps'!$B$1:$U$1,D$1)</f>
        <v>0</v>
      </c>
      <c r="E83" s="155">
        <f>SUMIFS('recurring2_based on steps'!$B83:$AY83,'recurring2_based on steps'!$B$1:$AY$1,E$1)+SUMIFS('changes2_based on steps'!$B83:$U83,'changes2_based on steps'!$B$1:$U$1,E$1)</f>
        <v>0</v>
      </c>
      <c r="F83" s="155">
        <f>SUMIFS('recurring2_based on steps'!$B83:$AY83,'recurring2_based on steps'!$B$1:$AY$1,F$1)+SUMIFS('changes2_based on steps'!$B83:$U83,'changes2_based on steps'!$B$1:$U$1,F$1)</f>
        <v>0</v>
      </c>
      <c r="G83" s="155">
        <f>SUMIFS('recurring2_based on steps'!$B83:$AY83,'recurring2_based on steps'!$B$1:$AY$1,G$1)+SUMIFS('changes2_based on steps'!$B83:$U83,'changes2_based on steps'!$B$1:$U$1,G$1)</f>
        <v>0</v>
      </c>
      <c r="H83" s="155">
        <f ca="1">SUMIFS('recurring2_based on steps'!$B83:$AY83,'recurring2_based on steps'!$B$1:$AY$1,H$1)+SUMIFS('changes2_based on steps'!$B83:$U83,'changes2_based on steps'!$B$1:$U$1,H$1)</f>
        <v>0</v>
      </c>
      <c r="I83" s="155">
        <f>SUMIFS('recurring2_based on steps'!$B83:$AY83,'recurring2_based on steps'!$B$1:$AY$1,I$1)+SUMIFS('changes2_based on steps'!$B83:$U83,'changes2_based on steps'!$B$1:$U$1,I$1)</f>
        <v>0</v>
      </c>
      <c r="J83" s="155">
        <f>SUMIFS('recurring2_based on steps'!$B83:$AY83,'recurring2_based on steps'!$B$1:$AY$1,J$1)+SUMIFS('changes2_based on steps'!$B83:$U83,'changes2_based on steps'!$B$1:$U$1,J$1)</f>
        <v>0</v>
      </c>
      <c r="K83" s="155">
        <f>SUMIFS('recurring2_based on steps'!$B83:$AY83,'recurring2_based on steps'!$B$1:$AY$1,K$1)+SUMIFS('changes2_based on steps'!$B83:$U83,'changes2_based on steps'!$B$1:$U$1,K$1)</f>
        <v>0</v>
      </c>
      <c r="L83" s="155">
        <f>SUMIFS('recurring2_based on steps'!$B83:$AY83,'recurring2_based on steps'!$B$1:$AY$1,L$1)+SUMIFS('changes2_based on steps'!$B83:$U83,'changes2_based on steps'!$B$1:$U$1,L$1)</f>
        <v>0</v>
      </c>
      <c r="M83" s="155">
        <f ca="1">SUMIFS('recurring2_based on steps'!$B83:$AY83,'recurring2_based on steps'!$B$1:$AY$1,M$1)+SUMIFS('changes2_based on steps'!$B83:$U83,'changes2_based on steps'!$B$1:$U$1,M$1)</f>
        <v>0</v>
      </c>
      <c r="N83" s="155">
        <f ca="1">SUMIFS('recurring2_based on steps'!$B83:$AY83,'recurring2_based on steps'!$B$1:$AY$1,N$1)+SUMIFS('changes2_based on steps'!$B83:$U83,'changes2_based on steps'!$B$1:$U$1,N$1)</f>
        <v>0</v>
      </c>
      <c r="O83" s="155">
        <f ca="1">SUMIFS('recurring2_based on steps'!$B83:$AY83,'recurring2_based on steps'!$B$1:$AY$1,O$1)+SUMIFS('changes2_based on steps'!$B83:$U83,'changes2_based on steps'!$B$1:$U$1,O$1)</f>
        <v>0</v>
      </c>
      <c r="P83" s="155">
        <f ca="1">SUMIFS('recurring2_based on steps'!$B83:$AY83,'recurring2_based on steps'!$B$1:$AY$1,P$1)+SUMIFS('changes2_based on steps'!$B83:$U83,'changes2_based on steps'!$B$1:$U$1,P$1)</f>
        <v>0</v>
      </c>
      <c r="Q83" s="155">
        <f>SUMIFS('recurring2_based on steps'!$B83:$AY83,'recurring2_based on steps'!$B$1:$AY$1,Q$1)+SUMIFS('changes2_based on steps'!$B83:$U83,'changes2_based on steps'!$B$1:$U$1,Q$1)</f>
        <v>0</v>
      </c>
      <c r="R83" s="155">
        <f ca="1">SUMIFS('recurring2_based on steps'!$B83:$AY83,'recurring2_based on steps'!$B$1:$AY$1,R$1)+SUMIFS('changes2_based on steps'!$B83:$U83,'changes2_based on steps'!$B$1:$U$1,R$1)</f>
        <v>0</v>
      </c>
      <c r="S83" s="155">
        <f ca="1">SUMIFS('recurring2_based on steps'!$B83:$AY83,'recurring2_based on steps'!$B$1:$AY$1,S$1)+SUMIFS('changes2_based on steps'!$B83:$U83,'changes2_based on steps'!$B$1:$U$1,S$1)</f>
        <v>0</v>
      </c>
      <c r="T83" s="155">
        <f>SUMIFS('recurring2_based on steps'!$B83:$AY83,'recurring2_based on steps'!$B$1:$AY$1,T$1)+SUMIFS('changes2_based on steps'!$B83:$U83,'changes2_based on steps'!$B$1:$U$1,T$1)</f>
        <v>0</v>
      </c>
      <c r="U83" s="155">
        <f ca="1">SUMIFS('recurring2_based on steps'!$B83:$AY83,'recurring2_based on steps'!$B$1:$AY$1,U$1)+SUMIFS('changes2_based on steps'!$B83:$U83,'changes2_based on steps'!$B$1:$U$1,U$1)</f>
        <v>0</v>
      </c>
      <c r="V83" s="155">
        <f>SUMIFS('recurring2_based on steps'!$B83:$AY83,'recurring2_based on steps'!$B$1:$AY$1,V$1)+SUMIFS('changes2_based on steps'!$B83:$U83,'changes2_based on steps'!$B$1:$U$1,V$1)</f>
        <v>0</v>
      </c>
      <c r="W83" s="155">
        <f ca="1">SUMIFS('recurring2_based on steps'!$B83:$AY83,'recurring2_based on steps'!$B$1:$AY$1,W$1)+SUMIFS('changes2_based on steps'!$B83:$U83,'changes2_based on steps'!$B$1:$U$1,W$1)</f>
        <v>0</v>
      </c>
      <c r="X83" s="155">
        <f ca="1">SUMIFS('recurring2_based on steps'!$B83:$AY83,'recurring2_based on steps'!$B$1:$AY$1,X$1)+SUMIFS('changes2_based on steps'!$B83:$U83,'changes2_based on steps'!$B$1:$U$1,X$1)</f>
        <v>0</v>
      </c>
      <c r="Y83" s="155">
        <f ca="1">SUMIFS('recurring2_based on steps'!$B83:$AY83,'recurring2_based on steps'!$B$1:$AY$1,Y$1)+SUMIFS('changes2_based on steps'!$B83:$U83,'changes2_based on steps'!$B$1:$U$1,Y$1)</f>
        <v>0</v>
      </c>
      <c r="Z83" s="155">
        <f>SUMIFS('recurring2_based on steps'!$B83:$AY83,'recurring2_based on steps'!$B$1:$AY$1,Z$1)+SUMIFS('changes2_based on steps'!$B83:$U83,'changes2_based on steps'!$B$1:$U$1,Z$1)</f>
        <v>0</v>
      </c>
      <c r="AA83" s="155">
        <f>SUMIFS('recurring2_based on steps'!$B83:$AY83,'recurring2_based on steps'!$B$1:$AY$1,AA$1)+SUMIFS('changes2_based on steps'!$B83:$U83,'changes2_based on steps'!$B$1:$U$1,AA$1)</f>
        <v>0</v>
      </c>
    </row>
    <row r="84" spans="1:27" x14ac:dyDescent="0.2">
      <c r="A84" s="18">
        <f t="shared" ca="1" si="1"/>
        <v>45770</v>
      </c>
      <c r="B84" s="155">
        <f ca="1">SUMIFS('recurring2_based on steps'!$B84:$AY84,'recurring2_based on steps'!$B$1:$AY$1,B$1)+SUMIFS('changes2_based on steps'!$B84:$U84,'changes2_based on steps'!$B$1:$U$1,B$1)</f>
        <v>100</v>
      </c>
      <c r="C84" s="155">
        <f>SUMIFS('recurring2_based on steps'!$B84:$AY84,'recurring2_based on steps'!$B$1:$AY$1,C$1)+SUMIFS('changes2_based on steps'!$B84:$U84,'changes2_based on steps'!$B$1:$U$1,C$1)</f>
        <v>0</v>
      </c>
      <c r="D84" s="155">
        <f>SUMIFS('recurring2_based on steps'!$B84:$AY84,'recurring2_based on steps'!$B$1:$AY$1,D$1)+SUMIFS('changes2_based on steps'!$B84:$U84,'changes2_based on steps'!$B$1:$U$1,D$1)</f>
        <v>0</v>
      </c>
      <c r="E84" s="155">
        <f>SUMIFS('recurring2_based on steps'!$B84:$AY84,'recurring2_based on steps'!$B$1:$AY$1,E$1)+SUMIFS('changes2_based on steps'!$B84:$U84,'changes2_based on steps'!$B$1:$U$1,E$1)</f>
        <v>0</v>
      </c>
      <c r="F84" s="155">
        <f>SUMIFS('recurring2_based on steps'!$B84:$AY84,'recurring2_based on steps'!$B$1:$AY$1,F$1)+SUMIFS('changes2_based on steps'!$B84:$U84,'changes2_based on steps'!$B$1:$U$1,F$1)</f>
        <v>0</v>
      </c>
      <c r="G84" s="155">
        <f>SUMIFS('recurring2_based on steps'!$B84:$AY84,'recurring2_based on steps'!$B$1:$AY$1,G$1)+SUMIFS('changes2_based on steps'!$B84:$U84,'changes2_based on steps'!$B$1:$U$1,G$1)</f>
        <v>0</v>
      </c>
      <c r="H84" s="155">
        <f ca="1">SUMIFS('recurring2_based on steps'!$B84:$AY84,'recurring2_based on steps'!$B$1:$AY$1,H$1)+SUMIFS('changes2_based on steps'!$B84:$U84,'changes2_based on steps'!$B$1:$U$1,H$1)</f>
        <v>0</v>
      </c>
      <c r="I84" s="155">
        <f>SUMIFS('recurring2_based on steps'!$B84:$AY84,'recurring2_based on steps'!$B$1:$AY$1,I$1)+SUMIFS('changes2_based on steps'!$B84:$U84,'changes2_based on steps'!$B$1:$U$1,I$1)</f>
        <v>0</v>
      </c>
      <c r="J84" s="155">
        <f>SUMIFS('recurring2_based on steps'!$B84:$AY84,'recurring2_based on steps'!$B$1:$AY$1,J$1)+SUMIFS('changes2_based on steps'!$B84:$U84,'changes2_based on steps'!$B$1:$U$1,J$1)</f>
        <v>0</v>
      </c>
      <c r="K84" s="155">
        <f>SUMIFS('recurring2_based on steps'!$B84:$AY84,'recurring2_based on steps'!$B$1:$AY$1,K$1)+SUMIFS('changes2_based on steps'!$B84:$U84,'changes2_based on steps'!$B$1:$U$1,K$1)</f>
        <v>0</v>
      </c>
      <c r="L84" s="155">
        <f>SUMIFS('recurring2_based on steps'!$B84:$AY84,'recurring2_based on steps'!$B$1:$AY$1,L$1)+SUMIFS('changes2_based on steps'!$B84:$U84,'changes2_based on steps'!$B$1:$U$1,L$1)</f>
        <v>0</v>
      </c>
      <c r="M84" s="155">
        <f ca="1">SUMIFS('recurring2_based on steps'!$B84:$AY84,'recurring2_based on steps'!$B$1:$AY$1,M$1)+SUMIFS('changes2_based on steps'!$B84:$U84,'changes2_based on steps'!$B$1:$U$1,M$1)</f>
        <v>0</v>
      </c>
      <c r="N84" s="155">
        <f ca="1">SUMIFS('recurring2_based on steps'!$B84:$AY84,'recurring2_based on steps'!$B$1:$AY$1,N$1)+SUMIFS('changes2_based on steps'!$B84:$U84,'changes2_based on steps'!$B$1:$U$1,N$1)</f>
        <v>0</v>
      </c>
      <c r="O84" s="155">
        <f ca="1">SUMIFS('recurring2_based on steps'!$B84:$AY84,'recurring2_based on steps'!$B$1:$AY$1,O$1)+SUMIFS('changes2_based on steps'!$B84:$U84,'changes2_based on steps'!$B$1:$U$1,O$1)</f>
        <v>0</v>
      </c>
      <c r="P84" s="155">
        <f ca="1">SUMIFS('recurring2_based on steps'!$B84:$AY84,'recurring2_based on steps'!$B$1:$AY$1,P$1)+SUMIFS('changes2_based on steps'!$B84:$U84,'changes2_based on steps'!$B$1:$U$1,P$1)</f>
        <v>0</v>
      </c>
      <c r="Q84" s="155">
        <f>SUMIFS('recurring2_based on steps'!$B84:$AY84,'recurring2_based on steps'!$B$1:$AY$1,Q$1)+SUMIFS('changes2_based on steps'!$B84:$U84,'changes2_based on steps'!$B$1:$U$1,Q$1)</f>
        <v>0</v>
      </c>
      <c r="R84" s="155">
        <f ca="1">SUMIFS('recurring2_based on steps'!$B84:$AY84,'recurring2_based on steps'!$B$1:$AY$1,R$1)+SUMIFS('changes2_based on steps'!$B84:$U84,'changes2_based on steps'!$B$1:$U$1,R$1)</f>
        <v>0</v>
      </c>
      <c r="S84" s="155">
        <f ca="1">SUMIFS('recurring2_based on steps'!$B84:$AY84,'recurring2_based on steps'!$B$1:$AY$1,S$1)+SUMIFS('changes2_based on steps'!$B84:$U84,'changes2_based on steps'!$B$1:$U$1,S$1)</f>
        <v>0</v>
      </c>
      <c r="T84" s="155">
        <f>SUMIFS('recurring2_based on steps'!$B84:$AY84,'recurring2_based on steps'!$B$1:$AY$1,T$1)+SUMIFS('changes2_based on steps'!$B84:$U84,'changes2_based on steps'!$B$1:$U$1,T$1)</f>
        <v>0</v>
      </c>
      <c r="U84" s="155">
        <f ca="1">SUMIFS('recurring2_based on steps'!$B84:$AY84,'recurring2_based on steps'!$B$1:$AY$1,U$1)+SUMIFS('changes2_based on steps'!$B84:$U84,'changes2_based on steps'!$B$1:$U$1,U$1)</f>
        <v>0</v>
      </c>
      <c r="V84" s="155">
        <f>SUMIFS('recurring2_based on steps'!$B84:$AY84,'recurring2_based on steps'!$B$1:$AY$1,V$1)+SUMIFS('changes2_based on steps'!$B84:$U84,'changes2_based on steps'!$B$1:$U$1,V$1)</f>
        <v>0</v>
      </c>
      <c r="W84" s="155">
        <f ca="1">SUMIFS('recurring2_based on steps'!$B84:$AY84,'recurring2_based on steps'!$B$1:$AY$1,W$1)+SUMIFS('changes2_based on steps'!$B84:$U84,'changes2_based on steps'!$B$1:$U$1,W$1)</f>
        <v>0</v>
      </c>
      <c r="X84" s="155">
        <f ca="1">SUMIFS('recurring2_based on steps'!$B84:$AY84,'recurring2_based on steps'!$B$1:$AY$1,X$1)+SUMIFS('changes2_based on steps'!$B84:$U84,'changes2_based on steps'!$B$1:$U$1,X$1)</f>
        <v>0</v>
      </c>
      <c r="Y84" s="155">
        <f ca="1">SUMIFS('recurring2_based on steps'!$B84:$AY84,'recurring2_based on steps'!$B$1:$AY$1,Y$1)+SUMIFS('changes2_based on steps'!$B84:$U84,'changes2_based on steps'!$B$1:$U$1,Y$1)</f>
        <v>0</v>
      </c>
      <c r="Z84" s="155">
        <f>SUMIFS('recurring2_based on steps'!$B84:$AY84,'recurring2_based on steps'!$B$1:$AY$1,Z$1)+SUMIFS('changes2_based on steps'!$B84:$U84,'changes2_based on steps'!$B$1:$U$1,Z$1)</f>
        <v>0</v>
      </c>
      <c r="AA84" s="155">
        <f>SUMIFS('recurring2_based on steps'!$B84:$AY84,'recurring2_based on steps'!$B$1:$AY$1,AA$1)+SUMIFS('changes2_based on steps'!$B84:$U84,'changes2_based on steps'!$B$1:$U$1,AA$1)</f>
        <v>0</v>
      </c>
    </row>
    <row r="85" spans="1:27" x14ac:dyDescent="0.2">
      <c r="A85" s="18">
        <f t="shared" ca="1" si="1"/>
        <v>45771</v>
      </c>
      <c r="B85" s="155">
        <f ca="1">SUMIFS('recurring2_based on steps'!$B85:$AY85,'recurring2_based on steps'!$B$1:$AY$1,B$1)+SUMIFS('changes2_based on steps'!$B85:$U85,'changes2_based on steps'!$B$1:$U$1,B$1)</f>
        <v>0</v>
      </c>
      <c r="C85" s="155">
        <f>SUMIFS('recurring2_based on steps'!$B85:$AY85,'recurring2_based on steps'!$B$1:$AY$1,C$1)+SUMIFS('changes2_based on steps'!$B85:$U85,'changes2_based on steps'!$B$1:$U$1,C$1)</f>
        <v>0</v>
      </c>
      <c r="D85" s="155">
        <f>SUMIFS('recurring2_based on steps'!$B85:$AY85,'recurring2_based on steps'!$B$1:$AY$1,D$1)+SUMIFS('changes2_based on steps'!$B85:$U85,'changes2_based on steps'!$B$1:$U$1,D$1)</f>
        <v>0</v>
      </c>
      <c r="E85" s="155">
        <f>SUMIFS('recurring2_based on steps'!$B85:$AY85,'recurring2_based on steps'!$B$1:$AY$1,E$1)+SUMIFS('changes2_based on steps'!$B85:$U85,'changes2_based on steps'!$B$1:$U$1,E$1)</f>
        <v>0</v>
      </c>
      <c r="F85" s="155">
        <f>SUMIFS('recurring2_based on steps'!$B85:$AY85,'recurring2_based on steps'!$B$1:$AY$1,F$1)+SUMIFS('changes2_based on steps'!$B85:$U85,'changes2_based on steps'!$B$1:$U$1,F$1)</f>
        <v>0</v>
      </c>
      <c r="G85" s="155">
        <f>SUMIFS('recurring2_based on steps'!$B85:$AY85,'recurring2_based on steps'!$B$1:$AY$1,G$1)+SUMIFS('changes2_based on steps'!$B85:$U85,'changes2_based on steps'!$B$1:$U$1,G$1)</f>
        <v>0</v>
      </c>
      <c r="H85" s="155">
        <f ca="1">SUMIFS('recurring2_based on steps'!$B85:$AY85,'recurring2_based on steps'!$B$1:$AY$1,H$1)+SUMIFS('changes2_based on steps'!$B85:$U85,'changes2_based on steps'!$B$1:$U$1,H$1)</f>
        <v>0</v>
      </c>
      <c r="I85" s="155">
        <f>SUMIFS('recurring2_based on steps'!$B85:$AY85,'recurring2_based on steps'!$B$1:$AY$1,I$1)+SUMIFS('changes2_based on steps'!$B85:$U85,'changes2_based on steps'!$B$1:$U$1,I$1)</f>
        <v>0</v>
      </c>
      <c r="J85" s="155">
        <f>SUMIFS('recurring2_based on steps'!$B85:$AY85,'recurring2_based on steps'!$B$1:$AY$1,J$1)+SUMIFS('changes2_based on steps'!$B85:$U85,'changes2_based on steps'!$B$1:$U$1,J$1)</f>
        <v>0</v>
      </c>
      <c r="K85" s="155">
        <f>SUMIFS('recurring2_based on steps'!$B85:$AY85,'recurring2_based on steps'!$B$1:$AY$1,K$1)+SUMIFS('changes2_based on steps'!$B85:$U85,'changes2_based on steps'!$B$1:$U$1,K$1)</f>
        <v>0</v>
      </c>
      <c r="L85" s="155">
        <f>SUMIFS('recurring2_based on steps'!$B85:$AY85,'recurring2_based on steps'!$B$1:$AY$1,L$1)+SUMIFS('changes2_based on steps'!$B85:$U85,'changes2_based on steps'!$B$1:$U$1,L$1)</f>
        <v>0</v>
      </c>
      <c r="M85" s="155">
        <f ca="1">SUMIFS('recurring2_based on steps'!$B85:$AY85,'recurring2_based on steps'!$B$1:$AY$1,M$1)+SUMIFS('changes2_based on steps'!$B85:$U85,'changes2_based on steps'!$B$1:$U$1,M$1)</f>
        <v>0</v>
      </c>
      <c r="N85" s="155">
        <f ca="1">SUMIFS('recurring2_based on steps'!$B85:$AY85,'recurring2_based on steps'!$B$1:$AY$1,N$1)+SUMIFS('changes2_based on steps'!$B85:$U85,'changes2_based on steps'!$B$1:$U$1,N$1)</f>
        <v>0</v>
      </c>
      <c r="O85" s="155">
        <f ca="1">SUMIFS('recurring2_based on steps'!$B85:$AY85,'recurring2_based on steps'!$B$1:$AY$1,O$1)+SUMIFS('changes2_based on steps'!$B85:$U85,'changes2_based on steps'!$B$1:$U$1,O$1)</f>
        <v>0</v>
      </c>
      <c r="P85" s="155">
        <f ca="1">SUMIFS('recurring2_based on steps'!$B85:$AY85,'recurring2_based on steps'!$B$1:$AY$1,P$1)+SUMIFS('changes2_based on steps'!$B85:$U85,'changes2_based on steps'!$B$1:$U$1,P$1)</f>
        <v>0</v>
      </c>
      <c r="Q85" s="155">
        <f>SUMIFS('recurring2_based on steps'!$B85:$AY85,'recurring2_based on steps'!$B$1:$AY$1,Q$1)+SUMIFS('changes2_based on steps'!$B85:$U85,'changes2_based on steps'!$B$1:$U$1,Q$1)</f>
        <v>0</v>
      </c>
      <c r="R85" s="155">
        <f ca="1">SUMIFS('recurring2_based on steps'!$B85:$AY85,'recurring2_based on steps'!$B$1:$AY$1,R$1)+SUMIFS('changes2_based on steps'!$B85:$U85,'changes2_based on steps'!$B$1:$U$1,R$1)</f>
        <v>0</v>
      </c>
      <c r="S85" s="155">
        <f ca="1">SUMIFS('recurring2_based on steps'!$B85:$AY85,'recurring2_based on steps'!$B$1:$AY$1,S$1)+SUMIFS('changes2_based on steps'!$B85:$U85,'changes2_based on steps'!$B$1:$U$1,S$1)</f>
        <v>0</v>
      </c>
      <c r="T85" s="155">
        <f>SUMIFS('recurring2_based on steps'!$B85:$AY85,'recurring2_based on steps'!$B$1:$AY$1,T$1)+SUMIFS('changes2_based on steps'!$B85:$U85,'changes2_based on steps'!$B$1:$U$1,T$1)</f>
        <v>0</v>
      </c>
      <c r="U85" s="155">
        <f ca="1">SUMIFS('recurring2_based on steps'!$B85:$AY85,'recurring2_based on steps'!$B$1:$AY$1,U$1)+SUMIFS('changes2_based on steps'!$B85:$U85,'changes2_based on steps'!$B$1:$U$1,U$1)</f>
        <v>0</v>
      </c>
      <c r="V85" s="155">
        <f>SUMIFS('recurring2_based on steps'!$B85:$AY85,'recurring2_based on steps'!$B$1:$AY$1,V$1)+SUMIFS('changes2_based on steps'!$B85:$U85,'changes2_based on steps'!$B$1:$U$1,V$1)</f>
        <v>0</v>
      </c>
      <c r="W85" s="155">
        <f ca="1">SUMIFS('recurring2_based on steps'!$B85:$AY85,'recurring2_based on steps'!$B$1:$AY$1,W$1)+SUMIFS('changes2_based on steps'!$B85:$U85,'changes2_based on steps'!$B$1:$U$1,W$1)</f>
        <v>0</v>
      </c>
      <c r="X85" s="155">
        <f ca="1">SUMIFS('recurring2_based on steps'!$B85:$AY85,'recurring2_based on steps'!$B$1:$AY$1,X$1)+SUMIFS('changes2_based on steps'!$B85:$U85,'changes2_based on steps'!$B$1:$U$1,X$1)</f>
        <v>0</v>
      </c>
      <c r="Y85" s="155">
        <f ca="1">SUMIFS('recurring2_based on steps'!$B85:$AY85,'recurring2_based on steps'!$B$1:$AY$1,Y$1)+SUMIFS('changes2_based on steps'!$B85:$U85,'changes2_based on steps'!$B$1:$U$1,Y$1)</f>
        <v>0</v>
      </c>
      <c r="Z85" s="155">
        <f>SUMIFS('recurring2_based on steps'!$B85:$AY85,'recurring2_based on steps'!$B$1:$AY$1,Z$1)+SUMIFS('changes2_based on steps'!$B85:$U85,'changes2_based on steps'!$B$1:$U$1,Z$1)</f>
        <v>0</v>
      </c>
      <c r="AA85" s="155">
        <f>SUMIFS('recurring2_based on steps'!$B85:$AY85,'recurring2_based on steps'!$B$1:$AY$1,AA$1)+SUMIFS('changes2_based on steps'!$B85:$U85,'changes2_based on steps'!$B$1:$U$1,AA$1)</f>
        <v>0</v>
      </c>
    </row>
    <row r="86" spans="1:27" x14ac:dyDescent="0.2">
      <c r="A86" s="18">
        <f t="shared" ca="1" si="1"/>
        <v>45772</v>
      </c>
      <c r="B86" s="155">
        <f ca="1">SUMIFS('recurring2_based on steps'!$B86:$AY86,'recurring2_based on steps'!$B$1:$AY$1,B$1)+SUMIFS('changes2_based on steps'!$B86:$U86,'changes2_based on steps'!$B$1:$U$1,B$1)</f>
        <v>0</v>
      </c>
      <c r="C86" s="155">
        <f>SUMIFS('recurring2_based on steps'!$B86:$AY86,'recurring2_based on steps'!$B$1:$AY$1,C$1)+SUMIFS('changes2_based on steps'!$B86:$U86,'changes2_based on steps'!$B$1:$U$1,C$1)</f>
        <v>0</v>
      </c>
      <c r="D86" s="155">
        <f>SUMIFS('recurring2_based on steps'!$B86:$AY86,'recurring2_based on steps'!$B$1:$AY$1,D$1)+SUMIFS('changes2_based on steps'!$B86:$U86,'changes2_based on steps'!$B$1:$U$1,D$1)</f>
        <v>0</v>
      </c>
      <c r="E86" s="155">
        <f>SUMIFS('recurring2_based on steps'!$B86:$AY86,'recurring2_based on steps'!$B$1:$AY$1,E$1)+SUMIFS('changes2_based on steps'!$B86:$U86,'changes2_based on steps'!$B$1:$U$1,E$1)</f>
        <v>0</v>
      </c>
      <c r="F86" s="155">
        <f>SUMIFS('recurring2_based on steps'!$B86:$AY86,'recurring2_based on steps'!$B$1:$AY$1,F$1)+SUMIFS('changes2_based on steps'!$B86:$U86,'changes2_based on steps'!$B$1:$U$1,F$1)</f>
        <v>0</v>
      </c>
      <c r="G86" s="155">
        <f>SUMIFS('recurring2_based on steps'!$B86:$AY86,'recurring2_based on steps'!$B$1:$AY$1,G$1)+SUMIFS('changes2_based on steps'!$B86:$U86,'changes2_based on steps'!$B$1:$U$1,G$1)</f>
        <v>0</v>
      </c>
      <c r="H86" s="155">
        <f ca="1">SUMIFS('recurring2_based on steps'!$B86:$AY86,'recurring2_based on steps'!$B$1:$AY$1,H$1)+SUMIFS('changes2_based on steps'!$B86:$U86,'changes2_based on steps'!$B$1:$U$1,H$1)</f>
        <v>0</v>
      </c>
      <c r="I86" s="155">
        <f>SUMIFS('recurring2_based on steps'!$B86:$AY86,'recurring2_based on steps'!$B$1:$AY$1,I$1)+SUMIFS('changes2_based on steps'!$B86:$U86,'changes2_based on steps'!$B$1:$U$1,I$1)</f>
        <v>0</v>
      </c>
      <c r="J86" s="155">
        <f>SUMIFS('recurring2_based on steps'!$B86:$AY86,'recurring2_based on steps'!$B$1:$AY$1,J$1)+SUMIFS('changes2_based on steps'!$B86:$U86,'changes2_based on steps'!$B$1:$U$1,J$1)</f>
        <v>0</v>
      </c>
      <c r="K86" s="155">
        <f>SUMIFS('recurring2_based on steps'!$B86:$AY86,'recurring2_based on steps'!$B$1:$AY$1,K$1)+SUMIFS('changes2_based on steps'!$B86:$U86,'changes2_based on steps'!$B$1:$U$1,K$1)</f>
        <v>0</v>
      </c>
      <c r="L86" s="155">
        <f>SUMIFS('recurring2_based on steps'!$B86:$AY86,'recurring2_based on steps'!$B$1:$AY$1,L$1)+SUMIFS('changes2_based on steps'!$B86:$U86,'changes2_based on steps'!$B$1:$U$1,L$1)</f>
        <v>0</v>
      </c>
      <c r="M86" s="155">
        <f ca="1">SUMIFS('recurring2_based on steps'!$B86:$AY86,'recurring2_based on steps'!$B$1:$AY$1,M$1)+SUMIFS('changes2_based on steps'!$B86:$U86,'changes2_based on steps'!$B$1:$U$1,M$1)</f>
        <v>0</v>
      </c>
      <c r="N86" s="155">
        <f ca="1">SUMIFS('recurring2_based on steps'!$B86:$AY86,'recurring2_based on steps'!$B$1:$AY$1,N$1)+SUMIFS('changes2_based on steps'!$B86:$U86,'changes2_based on steps'!$B$1:$U$1,N$1)</f>
        <v>0</v>
      </c>
      <c r="O86" s="155">
        <f ca="1">SUMIFS('recurring2_based on steps'!$B86:$AY86,'recurring2_based on steps'!$B$1:$AY$1,O$1)+SUMIFS('changes2_based on steps'!$B86:$U86,'changes2_based on steps'!$B$1:$U$1,O$1)</f>
        <v>0</v>
      </c>
      <c r="P86" s="155">
        <f ca="1">SUMIFS('recurring2_based on steps'!$B86:$AY86,'recurring2_based on steps'!$B$1:$AY$1,P$1)+SUMIFS('changes2_based on steps'!$B86:$U86,'changes2_based on steps'!$B$1:$U$1,P$1)</f>
        <v>0</v>
      </c>
      <c r="Q86" s="155">
        <f>SUMIFS('recurring2_based on steps'!$B86:$AY86,'recurring2_based on steps'!$B$1:$AY$1,Q$1)+SUMIFS('changes2_based on steps'!$B86:$U86,'changes2_based on steps'!$B$1:$U$1,Q$1)</f>
        <v>0</v>
      </c>
      <c r="R86" s="155">
        <f ca="1">SUMIFS('recurring2_based on steps'!$B86:$AY86,'recurring2_based on steps'!$B$1:$AY$1,R$1)+SUMIFS('changes2_based on steps'!$B86:$U86,'changes2_based on steps'!$B$1:$U$1,R$1)</f>
        <v>0</v>
      </c>
      <c r="S86" s="155">
        <f ca="1">SUMIFS('recurring2_based on steps'!$B86:$AY86,'recurring2_based on steps'!$B$1:$AY$1,S$1)+SUMIFS('changes2_based on steps'!$B86:$U86,'changes2_based on steps'!$B$1:$U$1,S$1)</f>
        <v>0</v>
      </c>
      <c r="T86" s="155">
        <f>SUMIFS('recurring2_based on steps'!$B86:$AY86,'recurring2_based on steps'!$B$1:$AY$1,T$1)+SUMIFS('changes2_based on steps'!$B86:$U86,'changes2_based on steps'!$B$1:$U$1,T$1)</f>
        <v>0</v>
      </c>
      <c r="U86" s="155">
        <f ca="1">SUMIFS('recurring2_based on steps'!$B86:$AY86,'recurring2_based on steps'!$B$1:$AY$1,U$1)+SUMIFS('changes2_based on steps'!$B86:$U86,'changes2_based on steps'!$B$1:$U$1,U$1)</f>
        <v>0</v>
      </c>
      <c r="V86" s="155">
        <f>SUMIFS('recurring2_based on steps'!$B86:$AY86,'recurring2_based on steps'!$B$1:$AY$1,V$1)+SUMIFS('changes2_based on steps'!$B86:$U86,'changes2_based on steps'!$B$1:$U$1,V$1)</f>
        <v>0</v>
      </c>
      <c r="W86" s="155">
        <f ca="1">SUMIFS('recurring2_based on steps'!$B86:$AY86,'recurring2_based on steps'!$B$1:$AY$1,W$1)+SUMIFS('changes2_based on steps'!$B86:$U86,'changes2_based on steps'!$B$1:$U$1,W$1)</f>
        <v>0</v>
      </c>
      <c r="X86" s="155">
        <f ca="1">SUMIFS('recurring2_based on steps'!$B86:$AY86,'recurring2_based on steps'!$B$1:$AY$1,X$1)+SUMIFS('changes2_based on steps'!$B86:$U86,'changes2_based on steps'!$B$1:$U$1,X$1)</f>
        <v>0</v>
      </c>
      <c r="Y86" s="155">
        <f ca="1">SUMIFS('recurring2_based on steps'!$B86:$AY86,'recurring2_based on steps'!$B$1:$AY$1,Y$1)+SUMIFS('changes2_based on steps'!$B86:$U86,'changes2_based on steps'!$B$1:$U$1,Y$1)</f>
        <v>0</v>
      </c>
      <c r="Z86" s="155">
        <f>SUMIFS('recurring2_based on steps'!$B86:$AY86,'recurring2_based on steps'!$B$1:$AY$1,Z$1)+SUMIFS('changes2_based on steps'!$B86:$U86,'changes2_based on steps'!$B$1:$U$1,Z$1)</f>
        <v>0</v>
      </c>
      <c r="AA86" s="155">
        <f>SUMIFS('recurring2_based on steps'!$B86:$AY86,'recurring2_based on steps'!$B$1:$AY$1,AA$1)+SUMIFS('changes2_based on steps'!$B86:$U86,'changes2_based on steps'!$B$1:$U$1,AA$1)</f>
        <v>0</v>
      </c>
    </row>
    <row r="87" spans="1:27" x14ac:dyDescent="0.2">
      <c r="A87" s="18">
        <f t="shared" ca="1" si="1"/>
        <v>45773</v>
      </c>
      <c r="B87" s="155">
        <f ca="1">SUMIFS('recurring2_based on steps'!$B87:$AY87,'recurring2_based on steps'!$B$1:$AY$1,B$1)+SUMIFS('changes2_based on steps'!$B87:$U87,'changes2_based on steps'!$B$1:$U$1,B$1)</f>
        <v>0</v>
      </c>
      <c r="C87" s="155">
        <f>SUMIFS('recurring2_based on steps'!$B87:$AY87,'recurring2_based on steps'!$B$1:$AY$1,C$1)+SUMIFS('changes2_based on steps'!$B87:$U87,'changes2_based on steps'!$B$1:$U$1,C$1)</f>
        <v>0</v>
      </c>
      <c r="D87" s="155">
        <f>SUMIFS('recurring2_based on steps'!$B87:$AY87,'recurring2_based on steps'!$B$1:$AY$1,D$1)+SUMIFS('changes2_based on steps'!$B87:$U87,'changes2_based on steps'!$B$1:$U$1,D$1)</f>
        <v>0</v>
      </c>
      <c r="E87" s="155">
        <f>SUMIFS('recurring2_based on steps'!$B87:$AY87,'recurring2_based on steps'!$B$1:$AY$1,E$1)+SUMIFS('changes2_based on steps'!$B87:$U87,'changes2_based on steps'!$B$1:$U$1,E$1)</f>
        <v>0</v>
      </c>
      <c r="F87" s="155">
        <f>SUMIFS('recurring2_based on steps'!$B87:$AY87,'recurring2_based on steps'!$B$1:$AY$1,F$1)+SUMIFS('changes2_based on steps'!$B87:$U87,'changes2_based on steps'!$B$1:$U$1,F$1)</f>
        <v>0</v>
      </c>
      <c r="G87" s="155">
        <f>SUMIFS('recurring2_based on steps'!$B87:$AY87,'recurring2_based on steps'!$B$1:$AY$1,G$1)+SUMIFS('changes2_based on steps'!$B87:$U87,'changes2_based on steps'!$B$1:$U$1,G$1)</f>
        <v>0</v>
      </c>
      <c r="H87" s="155">
        <f ca="1">SUMIFS('recurring2_based on steps'!$B87:$AY87,'recurring2_based on steps'!$B$1:$AY$1,H$1)+SUMIFS('changes2_based on steps'!$B87:$U87,'changes2_based on steps'!$B$1:$U$1,H$1)</f>
        <v>0</v>
      </c>
      <c r="I87" s="155">
        <f>SUMIFS('recurring2_based on steps'!$B87:$AY87,'recurring2_based on steps'!$B$1:$AY$1,I$1)+SUMIFS('changes2_based on steps'!$B87:$U87,'changes2_based on steps'!$B$1:$U$1,I$1)</f>
        <v>0</v>
      </c>
      <c r="J87" s="155">
        <f>SUMIFS('recurring2_based on steps'!$B87:$AY87,'recurring2_based on steps'!$B$1:$AY$1,J$1)+SUMIFS('changes2_based on steps'!$B87:$U87,'changes2_based on steps'!$B$1:$U$1,J$1)</f>
        <v>0</v>
      </c>
      <c r="K87" s="155">
        <f>SUMIFS('recurring2_based on steps'!$B87:$AY87,'recurring2_based on steps'!$B$1:$AY$1,K$1)+SUMIFS('changes2_based on steps'!$B87:$U87,'changes2_based on steps'!$B$1:$U$1,K$1)</f>
        <v>0</v>
      </c>
      <c r="L87" s="155">
        <f>SUMIFS('recurring2_based on steps'!$B87:$AY87,'recurring2_based on steps'!$B$1:$AY$1,L$1)+SUMIFS('changes2_based on steps'!$B87:$U87,'changes2_based on steps'!$B$1:$U$1,L$1)</f>
        <v>0</v>
      </c>
      <c r="M87" s="155">
        <f ca="1">SUMIFS('recurring2_based on steps'!$B87:$AY87,'recurring2_based on steps'!$B$1:$AY$1,M$1)+SUMIFS('changes2_based on steps'!$B87:$U87,'changes2_based on steps'!$B$1:$U$1,M$1)</f>
        <v>0</v>
      </c>
      <c r="N87" s="155">
        <f ca="1">SUMIFS('recurring2_based on steps'!$B87:$AY87,'recurring2_based on steps'!$B$1:$AY$1,N$1)+SUMIFS('changes2_based on steps'!$B87:$U87,'changes2_based on steps'!$B$1:$U$1,N$1)</f>
        <v>0</v>
      </c>
      <c r="O87" s="155">
        <f ca="1">SUMIFS('recurring2_based on steps'!$B87:$AY87,'recurring2_based on steps'!$B$1:$AY$1,O$1)+SUMIFS('changes2_based on steps'!$B87:$U87,'changes2_based on steps'!$B$1:$U$1,O$1)</f>
        <v>0</v>
      </c>
      <c r="P87" s="155">
        <f ca="1">SUMIFS('recurring2_based on steps'!$B87:$AY87,'recurring2_based on steps'!$B$1:$AY$1,P$1)+SUMIFS('changes2_based on steps'!$B87:$U87,'changes2_based on steps'!$B$1:$U$1,P$1)</f>
        <v>0</v>
      </c>
      <c r="Q87" s="155">
        <f>SUMIFS('recurring2_based on steps'!$B87:$AY87,'recurring2_based on steps'!$B$1:$AY$1,Q$1)+SUMIFS('changes2_based on steps'!$B87:$U87,'changes2_based on steps'!$B$1:$U$1,Q$1)</f>
        <v>0</v>
      </c>
      <c r="R87" s="155">
        <f ca="1">SUMIFS('recurring2_based on steps'!$B87:$AY87,'recurring2_based on steps'!$B$1:$AY$1,R$1)+SUMIFS('changes2_based on steps'!$B87:$U87,'changes2_based on steps'!$B$1:$U$1,R$1)</f>
        <v>100</v>
      </c>
      <c r="S87" s="155">
        <f ca="1">SUMIFS('recurring2_based on steps'!$B87:$AY87,'recurring2_based on steps'!$B$1:$AY$1,S$1)+SUMIFS('changes2_based on steps'!$B87:$U87,'changes2_based on steps'!$B$1:$U$1,S$1)</f>
        <v>100</v>
      </c>
      <c r="T87" s="155">
        <f>SUMIFS('recurring2_based on steps'!$B87:$AY87,'recurring2_based on steps'!$B$1:$AY$1,T$1)+SUMIFS('changes2_based on steps'!$B87:$U87,'changes2_based on steps'!$B$1:$U$1,T$1)</f>
        <v>0</v>
      </c>
      <c r="U87" s="155">
        <f ca="1">SUMIFS('recurring2_based on steps'!$B87:$AY87,'recurring2_based on steps'!$B$1:$AY$1,U$1)+SUMIFS('changes2_based on steps'!$B87:$U87,'changes2_based on steps'!$B$1:$U$1,U$1)</f>
        <v>0</v>
      </c>
      <c r="V87" s="155">
        <f>SUMIFS('recurring2_based on steps'!$B87:$AY87,'recurring2_based on steps'!$B$1:$AY$1,V$1)+SUMIFS('changes2_based on steps'!$B87:$U87,'changes2_based on steps'!$B$1:$U$1,V$1)</f>
        <v>0</v>
      </c>
      <c r="W87" s="155">
        <f ca="1">SUMIFS('recurring2_based on steps'!$B87:$AY87,'recurring2_based on steps'!$B$1:$AY$1,W$1)+SUMIFS('changes2_based on steps'!$B87:$U87,'changes2_based on steps'!$B$1:$U$1,W$1)</f>
        <v>0</v>
      </c>
      <c r="X87" s="155">
        <f ca="1">SUMIFS('recurring2_based on steps'!$B87:$AY87,'recurring2_based on steps'!$B$1:$AY$1,X$1)+SUMIFS('changes2_based on steps'!$B87:$U87,'changes2_based on steps'!$B$1:$U$1,X$1)</f>
        <v>0</v>
      </c>
      <c r="Y87" s="155">
        <f ca="1">SUMIFS('recurring2_based on steps'!$B87:$AY87,'recurring2_based on steps'!$B$1:$AY$1,Y$1)+SUMIFS('changes2_based on steps'!$B87:$U87,'changes2_based on steps'!$B$1:$U$1,Y$1)</f>
        <v>0</v>
      </c>
      <c r="Z87" s="155">
        <f>SUMIFS('recurring2_based on steps'!$B87:$AY87,'recurring2_based on steps'!$B$1:$AY$1,Z$1)+SUMIFS('changes2_based on steps'!$B87:$U87,'changes2_based on steps'!$B$1:$U$1,Z$1)</f>
        <v>0</v>
      </c>
      <c r="AA87" s="155">
        <f>SUMIFS('recurring2_based on steps'!$B87:$AY87,'recurring2_based on steps'!$B$1:$AY$1,AA$1)+SUMIFS('changes2_based on steps'!$B87:$U87,'changes2_based on steps'!$B$1:$U$1,AA$1)</f>
        <v>0</v>
      </c>
    </row>
    <row r="88" spans="1:27" x14ac:dyDescent="0.2">
      <c r="A88" s="18">
        <f t="shared" ca="1" si="1"/>
        <v>45774</v>
      </c>
      <c r="B88" s="155">
        <f ca="1">SUMIFS('recurring2_based on steps'!$B88:$AY88,'recurring2_based on steps'!$B$1:$AY$1,B$1)+SUMIFS('changes2_based on steps'!$B88:$U88,'changes2_based on steps'!$B$1:$U$1,B$1)</f>
        <v>0</v>
      </c>
      <c r="C88" s="155">
        <f>SUMIFS('recurring2_based on steps'!$B88:$AY88,'recurring2_based on steps'!$B$1:$AY$1,C$1)+SUMIFS('changes2_based on steps'!$B88:$U88,'changes2_based on steps'!$B$1:$U$1,C$1)</f>
        <v>0</v>
      </c>
      <c r="D88" s="155">
        <f>SUMIFS('recurring2_based on steps'!$B88:$AY88,'recurring2_based on steps'!$B$1:$AY$1,D$1)+SUMIFS('changes2_based on steps'!$B88:$U88,'changes2_based on steps'!$B$1:$U$1,D$1)</f>
        <v>0</v>
      </c>
      <c r="E88" s="155">
        <f>SUMIFS('recurring2_based on steps'!$B88:$AY88,'recurring2_based on steps'!$B$1:$AY$1,E$1)+SUMIFS('changes2_based on steps'!$B88:$U88,'changes2_based on steps'!$B$1:$U$1,E$1)</f>
        <v>0</v>
      </c>
      <c r="F88" s="155">
        <f>SUMIFS('recurring2_based on steps'!$B88:$AY88,'recurring2_based on steps'!$B$1:$AY$1,F$1)+SUMIFS('changes2_based on steps'!$B88:$U88,'changes2_based on steps'!$B$1:$U$1,F$1)</f>
        <v>0</v>
      </c>
      <c r="G88" s="155">
        <f>SUMIFS('recurring2_based on steps'!$B88:$AY88,'recurring2_based on steps'!$B$1:$AY$1,G$1)+SUMIFS('changes2_based on steps'!$B88:$U88,'changes2_based on steps'!$B$1:$U$1,G$1)</f>
        <v>0</v>
      </c>
      <c r="H88" s="155">
        <f ca="1">SUMIFS('recurring2_based on steps'!$B88:$AY88,'recurring2_based on steps'!$B$1:$AY$1,H$1)+SUMIFS('changes2_based on steps'!$B88:$U88,'changes2_based on steps'!$B$1:$U$1,H$1)</f>
        <v>0</v>
      </c>
      <c r="I88" s="155">
        <f>SUMIFS('recurring2_based on steps'!$B88:$AY88,'recurring2_based on steps'!$B$1:$AY$1,I$1)+SUMIFS('changes2_based on steps'!$B88:$U88,'changes2_based on steps'!$B$1:$U$1,I$1)</f>
        <v>0</v>
      </c>
      <c r="J88" s="155">
        <f>SUMIFS('recurring2_based on steps'!$B88:$AY88,'recurring2_based on steps'!$B$1:$AY$1,J$1)+SUMIFS('changes2_based on steps'!$B88:$U88,'changes2_based on steps'!$B$1:$U$1,J$1)</f>
        <v>0</v>
      </c>
      <c r="K88" s="155">
        <f>SUMIFS('recurring2_based on steps'!$B88:$AY88,'recurring2_based on steps'!$B$1:$AY$1,K$1)+SUMIFS('changes2_based on steps'!$B88:$U88,'changes2_based on steps'!$B$1:$U$1,K$1)</f>
        <v>0</v>
      </c>
      <c r="L88" s="155">
        <f>SUMIFS('recurring2_based on steps'!$B88:$AY88,'recurring2_based on steps'!$B$1:$AY$1,L$1)+SUMIFS('changes2_based on steps'!$B88:$U88,'changes2_based on steps'!$B$1:$U$1,L$1)</f>
        <v>0</v>
      </c>
      <c r="M88" s="155">
        <f ca="1">SUMIFS('recurring2_based on steps'!$B88:$AY88,'recurring2_based on steps'!$B$1:$AY$1,M$1)+SUMIFS('changes2_based on steps'!$B88:$U88,'changes2_based on steps'!$B$1:$U$1,M$1)</f>
        <v>0</v>
      </c>
      <c r="N88" s="155">
        <f ca="1">SUMIFS('recurring2_based on steps'!$B88:$AY88,'recurring2_based on steps'!$B$1:$AY$1,N$1)+SUMIFS('changes2_based on steps'!$B88:$U88,'changes2_based on steps'!$B$1:$U$1,N$1)</f>
        <v>50</v>
      </c>
      <c r="O88" s="155">
        <f ca="1">SUMIFS('recurring2_based on steps'!$B88:$AY88,'recurring2_based on steps'!$B$1:$AY$1,O$1)+SUMIFS('changes2_based on steps'!$B88:$U88,'changes2_based on steps'!$B$1:$U$1,O$1)</f>
        <v>0</v>
      </c>
      <c r="P88" s="155">
        <f ca="1">SUMIFS('recurring2_based on steps'!$B88:$AY88,'recurring2_based on steps'!$B$1:$AY$1,P$1)+SUMIFS('changes2_based on steps'!$B88:$U88,'changes2_based on steps'!$B$1:$U$1,P$1)</f>
        <v>0</v>
      </c>
      <c r="Q88" s="155">
        <f>SUMIFS('recurring2_based on steps'!$B88:$AY88,'recurring2_based on steps'!$B$1:$AY$1,Q$1)+SUMIFS('changes2_based on steps'!$B88:$U88,'changes2_based on steps'!$B$1:$U$1,Q$1)</f>
        <v>0</v>
      </c>
      <c r="R88" s="155">
        <f ca="1">SUMIFS('recurring2_based on steps'!$B88:$AY88,'recurring2_based on steps'!$B$1:$AY$1,R$1)+SUMIFS('changes2_based on steps'!$B88:$U88,'changes2_based on steps'!$B$1:$U$1,R$1)</f>
        <v>0</v>
      </c>
      <c r="S88" s="155">
        <f ca="1">SUMIFS('recurring2_based on steps'!$B88:$AY88,'recurring2_based on steps'!$B$1:$AY$1,S$1)+SUMIFS('changes2_based on steps'!$B88:$U88,'changes2_based on steps'!$B$1:$U$1,S$1)</f>
        <v>100</v>
      </c>
      <c r="T88" s="155">
        <f>SUMIFS('recurring2_based on steps'!$B88:$AY88,'recurring2_based on steps'!$B$1:$AY$1,T$1)+SUMIFS('changes2_based on steps'!$B88:$U88,'changes2_based on steps'!$B$1:$U$1,T$1)</f>
        <v>0</v>
      </c>
      <c r="U88" s="155">
        <f ca="1">SUMIFS('recurring2_based on steps'!$B88:$AY88,'recurring2_based on steps'!$B$1:$AY$1,U$1)+SUMIFS('changes2_based on steps'!$B88:$U88,'changes2_based on steps'!$B$1:$U$1,U$1)</f>
        <v>2.99</v>
      </c>
      <c r="V88" s="155">
        <f>SUMIFS('recurring2_based on steps'!$B88:$AY88,'recurring2_based on steps'!$B$1:$AY$1,V$1)+SUMIFS('changes2_based on steps'!$B88:$U88,'changes2_based on steps'!$B$1:$U$1,V$1)</f>
        <v>0</v>
      </c>
      <c r="W88" s="155">
        <f ca="1">SUMIFS('recurring2_based on steps'!$B88:$AY88,'recurring2_based on steps'!$B$1:$AY$1,W$1)+SUMIFS('changes2_based on steps'!$B88:$U88,'changes2_based on steps'!$B$1:$U$1,W$1)</f>
        <v>0</v>
      </c>
      <c r="X88" s="155">
        <f ca="1">SUMIFS('recurring2_based on steps'!$B88:$AY88,'recurring2_based on steps'!$B$1:$AY$1,X$1)+SUMIFS('changes2_based on steps'!$B88:$U88,'changes2_based on steps'!$B$1:$U$1,X$1)</f>
        <v>0</v>
      </c>
      <c r="Y88" s="155">
        <f ca="1">SUMIFS('recurring2_based on steps'!$B88:$AY88,'recurring2_based on steps'!$B$1:$AY$1,Y$1)+SUMIFS('changes2_based on steps'!$B88:$U88,'changes2_based on steps'!$B$1:$U$1,Y$1)</f>
        <v>0</v>
      </c>
      <c r="Z88" s="155">
        <f>SUMIFS('recurring2_based on steps'!$B88:$AY88,'recurring2_based on steps'!$B$1:$AY$1,Z$1)+SUMIFS('changes2_based on steps'!$B88:$U88,'changes2_based on steps'!$B$1:$U$1,Z$1)</f>
        <v>0</v>
      </c>
      <c r="AA88" s="155">
        <f>SUMIFS('recurring2_based on steps'!$B88:$AY88,'recurring2_based on steps'!$B$1:$AY$1,AA$1)+SUMIFS('changes2_based on steps'!$B88:$U88,'changes2_based on steps'!$B$1:$U$1,AA$1)</f>
        <v>0</v>
      </c>
    </row>
    <row r="89" spans="1:27" x14ac:dyDescent="0.2">
      <c r="A89" s="18">
        <f t="shared" ca="1" si="1"/>
        <v>45775</v>
      </c>
      <c r="B89" s="155">
        <f ca="1">SUMIFS('recurring2_based on steps'!$B89:$AY89,'recurring2_based on steps'!$B$1:$AY$1,B$1)+SUMIFS('changes2_based on steps'!$B89:$U89,'changes2_based on steps'!$B$1:$U$1,B$1)</f>
        <v>0</v>
      </c>
      <c r="C89" s="155">
        <f>SUMIFS('recurring2_based on steps'!$B89:$AY89,'recurring2_based on steps'!$B$1:$AY$1,C$1)+SUMIFS('changes2_based on steps'!$B89:$U89,'changes2_based on steps'!$B$1:$U$1,C$1)</f>
        <v>0</v>
      </c>
      <c r="D89" s="155">
        <f>SUMIFS('recurring2_based on steps'!$B89:$AY89,'recurring2_based on steps'!$B$1:$AY$1,D$1)+SUMIFS('changes2_based on steps'!$B89:$U89,'changes2_based on steps'!$B$1:$U$1,D$1)</f>
        <v>0</v>
      </c>
      <c r="E89" s="155">
        <f>SUMIFS('recurring2_based on steps'!$B89:$AY89,'recurring2_based on steps'!$B$1:$AY$1,E$1)+SUMIFS('changes2_based on steps'!$B89:$U89,'changes2_based on steps'!$B$1:$U$1,E$1)</f>
        <v>0</v>
      </c>
      <c r="F89" s="155">
        <f>SUMIFS('recurring2_based on steps'!$B89:$AY89,'recurring2_based on steps'!$B$1:$AY$1,F$1)+SUMIFS('changes2_based on steps'!$B89:$U89,'changes2_based on steps'!$B$1:$U$1,F$1)</f>
        <v>0</v>
      </c>
      <c r="G89" s="155">
        <f>SUMIFS('recurring2_based on steps'!$B89:$AY89,'recurring2_based on steps'!$B$1:$AY$1,G$1)+SUMIFS('changes2_based on steps'!$B89:$U89,'changes2_based on steps'!$B$1:$U$1,G$1)</f>
        <v>0</v>
      </c>
      <c r="H89" s="155">
        <f ca="1">SUMIFS('recurring2_based on steps'!$B89:$AY89,'recurring2_based on steps'!$B$1:$AY$1,H$1)+SUMIFS('changes2_based on steps'!$B89:$U89,'changes2_based on steps'!$B$1:$U$1,H$1)</f>
        <v>0</v>
      </c>
      <c r="I89" s="155">
        <f>SUMIFS('recurring2_based on steps'!$B89:$AY89,'recurring2_based on steps'!$B$1:$AY$1,I$1)+SUMIFS('changes2_based on steps'!$B89:$U89,'changes2_based on steps'!$B$1:$U$1,I$1)</f>
        <v>0</v>
      </c>
      <c r="J89" s="155">
        <f>SUMIFS('recurring2_based on steps'!$B89:$AY89,'recurring2_based on steps'!$B$1:$AY$1,J$1)+SUMIFS('changes2_based on steps'!$B89:$U89,'changes2_based on steps'!$B$1:$U$1,J$1)</f>
        <v>0</v>
      </c>
      <c r="K89" s="155">
        <f>SUMIFS('recurring2_based on steps'!$B89:$AY89,'recurring2_based on steps'!$B$1:$AY$1,K$1)+SUMIFS('changes2_based on steps'!$B89:$U89,'changes2_based on steps'!$B$1:$U$1,K$1)</f>
        <v>0</v>
      </c>
      <c r="L89" s="155">
        <f>SUMIFS('recurring2_based on steps'!$B89:$AY89,'recurring2_based on steps'!$B$1:$AY$1,L$1)+SUMIFS('changes2_based on steps'!$B89:$U89,'changes2_based on steps'!$B$1:$U$1,L$1)</f>
        <v>0</v>
      </c>
      <c r="M89" s="155">
        <f ca="1">SUMIFS('recurring2_based on steps'!$B89:$AY89,'recurring2_based on steps'!$B$1:$AY$1,M$1)+SUMIFS('changes2_based on steps'!$B89:$U89,'changes2_based on steps'!$B$1:$U$1,M$1)</f>
        <v>40</v>
      </c>
      <c r="N89" s="155">
        <f ca="1">SUMIFS('recurring2_based on steps'!$B89:$AY89,'recurring2_based on steps'!$B$1:$AY$1,N$1)+SUMIFS('changes2_based on steps'!$B89:$U89,'changes2_based on steps'!$B$1:$U$1,N$1)</f>
        <v>0</v>
      </c>
      <c r="O89" s="155">
        <f ca="1">SUMIFS('recurring2_based on steps'!$B89:$AY89,'recurring2_based on steps'!$B$1:$AY$1,O$1)+SUMIFS('changes2_based on steps'!$B89:$U89,'changes2_based on steps'!$B$1:$U$1,O$1)</f>
        <v>0</v>
      </c>
      <c r="P89" s="155">
        <f ca="1">SUMIFS('recurring2_based on steps'!$B89:$AY89,'recurring2_based on steps'!$B$1:$AY$1,P$1)+SUMIFS('changes2_based on steps'!$B89:$U89,'changes2_based on steps'!$B$1:$U$1,P$1)</f>
        <v>50</v>
      </c>
      <c r="Q89" s="155">
        <f>SUMIFS('recurring2_based on steps'!$B89:$AY89,'recurring2_based on steps'!$B$1:$AY$1,Q$1)+SUMIFS('changes2_based on steps'!$B89:$U89,'changes2_based on steps'!$B$1:$U$1,Q$1)</f>
        <v>0</v>
      </c>
      <c r="R89" s="155">
        <f ca="1">SUMIFS('recurring2_based on steps'!$B89:$AY89,'recurring2_based on steps'!$B$1:$AY$1,R$1)+SUMIFS('changes2_based on steps'!$B89:$U89,'changes2_based on steps'!$B$1:$U$1,R$1)</f>
        <v>0</v>
      </c>
      <c r="S89" s="155">
        <f ca="1">SUMIFS('recurring2_based on steps'!$B89:$AY89,'recurring2_based on steps'!$B$1:$AY$1,S$1)+SUMIFS('changes2_based on steps'!$B89:$U89,'changes2_based on steps'!$B$1:$U$1,S$1)</f>
        <v>0</v>
      </c>
      <c r="T89" s="155">
        <f>SUMIFS('recurring2_based on steps'!$B89:$AY89,'recurring2_based on steps'!$B$1:$AY$1,T$1)+SUMIFS('changes2_based on steps'!$B89:$U89,'changes2_based on steps'!$B$1:$U$1,T$1)</f>
        <v>0</v>
      </c>
      <c r="U89" s="155">
        <f ca="1">SUMIFS('recurring2_based on steps'!$B89:$AY89,'recurring2_based on steps'!$B$1:$AY$1,U$1)+SUMIFS('changes2_based on steps'!$B89:$U89,'changes2_based on steps'!$B$1:$U$1,U$1)</f>
        <v>0</v>
      </c>
      <c r="V89" s="155">
        <f>SUMIFS('recurring2_based on steps'!$B89:$AY89,'recurring2_based on steps'!$B$1:$AY$1,V$1)+SUMIFS('changes2_based on steps'!$B89:$U89,'changes2_based on steps'!$B$1:$U$1,V$1)</f>
        <v>0</v>
      </c>
      <c r="W89" s="155">
        <f ca="1">SUMIFS('recurring2_based on steps'!$B89:$AY89,'recurring2_based on steps'!$B$1:$AY$1,W$1)+SUMIFS('changes2_based on steps'!$B89:$U89,'changes2_based on steps'!$B$1:$U$1,W$1)</f>
        <v>0</v>
      </c>
      <c r="X89" s="155">
        <f ca="1">SUMIFS('recurring2_based on steps'!$B89:$AY89,'recurring2_based on steps'!$B$1:$AY$1,X$1)+SUMIFS('changes2_based on steps'!$B89:$U89,'changes2_based on steps'!$B$1:$U$1,X$1)</f>
        <v>0</v>
      </c>
      <c r="Y89" s="155">
        <f ca="1">SUMIFS('recurring2_based on steps'!$B89:$AY89,'recurring2_based on steps'!$B$1:$AY$1,Y$1)+SUMIFS('changes2_based on steps'!$B89:$U89,'changes2_based on steps'!$B$1:$U$1,Y$1)</f>
        <v>100</v>
      </c>
      <c r="Z89" s="155">
        <f>SUMIFS('recurring2_based on steps'!$B89:$AY89,'recurring2_based on steps'!$B$1:$AY$1,Z$1)+SUMIFS('changes2_based on steps'!$B89:$U89,'changes2_based on steps'!$B$1:$U$1,Z$1)</f>
        <v>0</v>
      </c>
      <c r="AA89" s="155">
        <f>SUMIFS('recurring2_based on steps'!$B89:$AY89,'recurring2_based on steps'!$B$1:$AY$1,AA$1)+SUMIFS('changes2_based on steps'!$B89:$U89,'changes2_based on steps'!$B$1:$U$1,AA$1)</f>
        <v>0</v>
      </c>
    </row>
    <row r="90" spans="1:27" x14ac:dyDescent="0.2">
      <c r="A90" s="18">
        <f t="shared" ca="1" si="1"/>
        <v>45776</v>
      </c>
      <c r="B90" s="155">
        <f ca="1">SUMIFS('recurring2_based on steps'!$B90:$AY90,'recurring2_based on steps'!$B$1:$AY$1,B$1)+SUMIFS('changes2_based on steps'!$B90:$U90,'changes2_based on steps'!$B$1:$U$1,B$1)</f>
        <v>0</v>
      </c>
      <c r="C90" s="155">
        <f>SUMIFS('recurring2_based on steps'!$B90:$AY90,'recurring2_based on steps'!$B$1:$AY$1,C$1)+SUMIFS('changes2_based on steps'!$B90:$U90,'changes2_based on steps'!$B$1:$U$1,C$1)</f>
        <v>0</v>
      </c>
      <c r="D90" s="155">
        <f>SUMIFS('recurring2_based on steps'!$B90:$AY90,'recurring2_based on steps'!$B$1:$AY$1,D$1)+SUMIFS('changes2_based on steps'!$B90:$U90,'changes2_based on steps'!$B$1:$U$1,D$1)</f>
        <v>0</v>
      </c>
      <c r="E90" s="155">
        <f>SUMIFS('recurring2_based on steps'!$B90:$AY90,'recurring2_based on steps'!$B$1:$AY$1,E$1)+SUMIFS('changes2_based on steps'!$B90:$U90,'changes2_based on steps'!$B$1:$U$1,E$1)</f>
        <v>0</v>
      </c>
      <c r="F90" s="155">
        <f>SUMIFS('recurring2_based on steps'!$B90:$AY90,'recurring2_based on steps'!$B$1:$AY$1,F$1)+SUMIFS('changes2_based on steps'!$B90:$U90,'changes2_based on steps'!$B$1:$U$1,F$1)</f>
        <v>0</v>
      </c>
      <c r="G90" s="155">
        <f>SUMIFS('recurring2_based on steps'!$B90:$AY90,'recurring2_based on steps'!$B$1:$AY$1,G$1)+SUMIFS('changes2_based on steps'!$B90:$U90,'changes2_based on steps'!$B$1:$U$1,G$1)</f>
        <v>0</v>
      </c>
      <c r="H90" s="155">
        <f ca="1">SUMIFS('recurring2_based on steps'!$B90:$AY90,'recurring2_based on steps'!$B$1:$AY$1,H$1)+SUMIFS('changes2_based on steps'!$B90:$U90,'changes2_based on steps'!$B$1:$U$1,H$1)</f>
        <v>0</v>
      </c>
      <c r="I90" s="155">
        <f>SUMIFS('recurring2_based on steps'!$B90:$AY90,'recurring2_based on steps'!$B$1:$AY$1,I$1)+SUMIFS('changes2_based on steps'!$B90:$U90,'changes2_based on steps'!$B$1:$U$1,I$1)</f>
        <v>0</v>
      </c>
      <c r="J90" s="155">
        <f>SUMIFS('recurring2_based on steps'!$B90:$AY90,'recurring2_based on steps'!$B$1:$AY$1,J$1)+SUMIFS('changes2_based on steps'!$B90:$U90,'changes2_based on steps'!$B$1:$U$1,J$1)</f>
        <v>0</v>
      </c>
      <c r="K90" s="155">
        <f>SUMIFS('recurring2_based on steps'!$B90:$AY90,'recurring2_based on steps'!$B$1:$AY$1,K$1)+SUMIFS('changes2_based on steps'!$B90:$U90,'changes2_based on steps'!$B$1:$U$1,K$1)</f>
        <v>0</v>
      </c>
      <c r="L90" s="155">
        <f>SUMIFS('recurring2_based on steps'!$B90:$AY90,'recurring2_based on steps'!$B$1:$AY$1,L$1)+SUMIFS('changes2_based on steps'!$B90:$U90,'changes2_based on steps'!$B$1:$U$1,L$1)</f>
        <v>0</v>
      </c>
      <c r="M90" s="155">
        <f ca="1">SUMIFS('recurring2_based on steps'!$B90:$AY90,'recurring2_based on steps'!$B$1:$AY$1,M$1)+SUMIFS('changes2_based on steps'!$B90:$U90,'changes2_based on steps'!$B$1:$U$1,M$1)</f>
        <v>0</v>
      </c>
      <c r="N90" s="155">
        <f ca="1">SUMIFS('recurring2_based on steps'!$B90:$AY90,'recurring2_based on steps'!$B$1:$AY$1,N$1)+SUMIFS('changes2_based on steps'!$B90:$U90,'changes2_based on steps'!$B$1:$U$1,N$1)</f>
        <v>0</v>
      </c>
      <c r="O90" s="155">
        <f ca="1">SUMIFS('recurring2_based on steps'!$B90:$AY90,'recurring2_based on steps'!$B$1:$AY$1,O$1)+SUMIFS('changes2_based on steps'!$B90:$U90,'changes2_based on steps'!$B$1:$U$1,O$1)</f>
        <v>0</v>
      </c>
      <c r="P90" s="155">
        <f ca="1">SUMIFS('recurring2_based on steps'!$B90:$AY90,'recurring2_based on steps'!$B$1:$AY$1,P$1)+SUMIFS('changes2_based on steps'!$B90:$U90,'changes2_based on steps'!$B$1:$U$1,P$1)</f>
        <v>0</v>
      </c>
      <c r="Q90" s="155">
        <f>SUMIFS('recurring2_based on steps'!$B90:$AY90,'recurring2_based on steps'!$B$1:$AY$1,Q$1)+SUMIFS('changes2_based on steps'!$B90:$U90,'changes2_based on steps'!$B$1:$U$1,Q$1)</f>
        <v>0</v>
      </c>
      <c r="R90" s="155">
        <f ca="1">SUMIFS('recurring2_based on steps'!$B90:$AY90,'recurring2_based on steps'!$B$1:$AY$1,R$1)+SUMIFS('changes2_based on steps'!$B90:$U90,'changes2_based on steps'!$B$1:$U$1,R$1)</f>
        <v>0</v>
      </c>
      <c r="S90" s="155">
        <f ca="1">SUMIFS('recurring2_based on steps'!$B90:$AY90,'recurring2_based on steps'!$B$1:$AY$1,S$1)+SUMIFS('changes2_based on steps'!$B90:$U90,'changes2_based on steps'!$B$1:$U$1,S$1)</f>
        <v>0</v>
      </c>
      <c r="T90" s="155">
        <f>SUMIFS('recurring2_based on steps'!$B90:$AY90,'recurring2_based on steps'!$B$1:$AY$1,T$1)+SUMIFS('changes2_based on steps'!$B90:$U90,'changes2_based on steps'!$B$1:$U$1,T$1)</f>
        <v>0</v>
      </c>
      <c r="U90" s="155">
        <f ca="1">SUMIFS('recurring2_based on steps'!$B90:$AY90,'recurring2_based on steps'!$B$1:$AY$1,U$1)+SUMIFS('changes2_based on steps'!$B90:$U90,'changes2_based on steps'!$B$1:$U$1,U$1)</f>
        <v>0</v>
      </c>
      <c r="V90" s="155">
        <f>SUMIFS('recurring2_based on steps'!$B90:$AY90,'recurring2_based on steps'!$B$1:$AY$1,V$1)+SUMIFS('changes2_based on steps'!$B90:$U90,'changes2_based on steps'!$B$1:$U$1,V$1)</f>
        <v>0</v>
      </c>
      <c r="W90" s="155">
        <f ca="1">SUMIFS('recurring2_based on steps'!$B90:$AY90,'recurring2_based on steps'!$B$1:$AY$1,W$1)+SUMIFS('changes2_based on steps'!$B90:$U90,'changes2_based on steps'!$B$1:$U$1,W$1)</f>
        <v>0</v>
      </c>
      <c r="X90" s="155">
        <f ca="1">SUMIFS('recurring2_based on steps'!$B90:$AY90,'recurring2_based on steps'!$B$1:$AY$1,X$1)+SUMIFS('changes2_based on steps'!$B90:$U90,'changes2_based on steps'!$B$1:$U$1,X$1)</f>
        <v>0</v>
      </c>
      <c r="Y90" s="155">
        <f ca="1">SUMIFS('recurring2_based on steps'!$B90:$AY90,'recurring2_based on steps'!$B$1:$AY$1,Y$1)+SUMIFS('changes2_based on steps'!$B90:$U90,'changes2_based on steps'!$B$1:$U$1,Y$1)</f>
        <v>0</v>
      </c>
      <c r="Z90" s="155">
        <f>SUMIFS('recurring2_based on steps'!$B90:$AY90,'recurring2_based on steps'!$B$1:$AY$1,Z$1)+SUMIFS('changes2_based on steps'!$B90:$U90,'changes2_based on steps'!$B$1:$U$1,Z$1)</f>
        <v>0</v>
      </c>
      <c r="AA90" s="155">
        <f>SUMIFS('recurring2_based on steps'!$B90:$AY90,'recurring2_based on steps'!$B$1:$AY$1,AA$1)+SUMIFS('changes2_based on steps'!$B90:$U90,'changes2_based on steps'!$B$1:$U$1,AA$1)</f>
        <v>0</v>
      </c>
    </row>
    <row r="91" spans="1:27" x14ac:dyDescent="0.2">
      <c r="A91" s="18">
        <f t="shared" ca="1" si="1"/>
        <v>45777</v>
      </c>
      <c r="B91" s="155">
        <f ca="1">SUMIFS('recurring2_based on steps'!$B91:$AY91,'recurring2_based on steps'!$B$1:$AY$1,B$1)+SUMIFS('changes2_based on steps'!$B91:$U91,'changes2_based on steps'!$B$1:$U$1,B$1)</f>
        <v>0</v>
      </c>
      <c r="C91" s="155">
        <f>SUMIFS('recurring2_based on steps'!$B91:$AY91,'recurring2_based on steps'!$B$1:$AY$1,C$1)+SUMIFS('changes2_based on steps'!$B91:$U91,'changes2_based on steps'!$B$1:$U$1,C$1)</f>
        <v>0</v>
      </c>
      <c r="D91" s="155">
        <f>SUMIFS('recurring2_based on steps'!$B91:$AY91,'recurring2_based on steps'!$B$1:$AY$1,D$1)+SUMIFS('changes2_based on steps'!$B91:$U91,'changes2_based on steps'!$B$1:$U$1,D$1)</f>
        <v>0</v>
      </c>
      <c r="E91" s="155">
        <f>SUMIFS('recurring2_based on steps'!$B91:$AY91,'recurring2_based on steps'!$B$1:$AY$1,E$1)+SUMIFS('changes2_based on steps'!$B91:$U91,'changes2_based on steps'!$B$1:$U$1,E$1)</f>
        <v>0</v>
      </c>
      <c r="F91" s="155">
        <f>SUMIFS('recurring2_based on steps'!$B91:$AY91,'recurring2_based on steps'!$B$1:$AY$1,F$1)+SUMIFS('changes2_based on steps'!$B91:$U91,'changes2_based on steps'!$B$1:$U$1,F$1)</f>
        <v>0</v>
      </c>
      <c r="G91" s="155">
        <f>SUMIFS('recurring2_based on steps'!$B91:$AY91,'recurring2_based on steps'!$B$1:$AY$1,G$1)+SUMIFS('changes2_based on steps'!$B91:$U91,'changes2_based on steps'!$B$1:$U$1,G$1)</f>
        <v>0</v>
      </c>
      <c r="H91" s="155">
        <f ca="1">SUMIFS('recurring2_based on steps'!$B91:$AY91,'recurring2_based on steps'!$B$1:$AY$1,H$1)+SUMIFS('changes2_based on steps'!$B91:$U91,'changes2_based on steps'!$B$1:$U$1,H$1)</f>
        <v>0</v>
      </c>
      <c r="I91" s="155">
        <f>SUMIFS('recurring2_based on steps'!$B91:$AY91,'recurring2_based on steps'!$B$1:$AY$1,I$1)+SUMIFS('changes2_based on steps'!$B91:$U91,'changes2_based on steps'!$B$1:$U$1,I$1)</f>
        <v>0</v>
      </c>
      <c r="J91" s="155">
        <f>SUMIFS('recurring2_based on steps'!$B91:$AY91,'recurring2_based on steps'!$B$1:$AY$1,J$1)+SUMIFS('changes2_based on steps'!$B91:$U91,'changes2_based on steps'!$B$1:$U$1,J$1)</f>
        <v>0</v>
      </c>
      <c r="K91" s="155">
        <f>SUMIFS('recurring2_based on steps'!$B91:$AY91,'recurring2_based on steps'!$B$1:$AY$1,K$1)+SUMIFS('changes2_based on steps'!$B91:$U91,'changes2_based on steps'!$B$1:$U$1,K$1)</f>
        <v>0</v>
      </c>
      <c r="L91" s="155">
        <f>SUMIFS('recurring2_based on steps'!$B91:$AY91,'recurring2_based on steps'!$B$1:$AY$1,L$1)+SUMIFS('changes2_based on steps'!$B91:$U91,'changes2_based on steps'!$B$1:$U$1,L$1)</f>
        <v>0</v>
      </c>
      <c r="M91" s="155">
        <f ca="1">SUMIFS('recurring2_based on steps'!$B91:$AY91,'recurring2_based on steps'!$B$1:$AY$1,M$1)+SUMIFS('changes2_based on steps'!$B91:$U91,'changes2_based on steps'!$B$1:$U$1,M$1)</f>
        <v>50</v>
      </c>
      <c r="N91" s="155">
        <f ca="1">SUMIFS('recurring2_based on steps'!$B91:$AY91,'recurring2_based on steps'!$B$1:$AY$1,N$1)+SUMIFS('changes2_based on steps'!$B91:$U91,'changes2_based on steps'!$B$1:$U$1,N$1)</f>
        <v>0</v>
      </c>
      <c r="O91" s="155">
        <f ca="1">SUMIFS('recurring2_based on steps'!$B91:$AY91,'recurring2_based on steps'!$B$1:$AY$1,O$1)+SUMIFS('changes2_based on steps'!$B91:$U91,'changes2_based on steps'!$B$1:$U$1,O$1)</f>
        <v>0</v>
      </c>
      <c r="P91" s="155">
        <f ca="1">SUMIFS('recurring2_based on steps'!$B91:$AY91,'recurring2_based on steps'!$B$1:$AY$1,P$1)+SUMIFS('changes2_based on steps'!$B91:$U91,'changes2_based on steps'!$B$1:$U$1,P$1)</f>
        <v>0</v>
      </c>
      <c r="Q91" s="155">
        <f>SUMIFS('recurring2_based on steps'!$B91:$AY91,'recurring2_based on steps'!$B$1:$AY$1,Q$1)+SUMIFS('changes2_based on steps'!$B91:$U91,'changes2_based on steps'!$B$1:$U$1,Q$1)</f>
        <v>0</v>
      </c>
      <c r="R91" s="155">
        <f ca="1">SUMIFS('recurring2_based on steps'!$B91:$AY91,'recurring2_based on steps'!$B$1:$AY$1,R$1)+SUMIFS('changes2_based on steps'!$B91:$U91,'changes2_based on steps'!$B$1:$U$1,R$1)</f>
        <v>0</v>
      </c>
      <c r="S91" s="155">
        <f ca="1">SUMIFS('recurring2_based on steps'!$B91:$AY91,'recurring2_based on steps'!$B$1:$AY$1,S$1)+SUMIFS('changes2_based on steps'!$B91:$U91,'changes2_based on steps'!$B$1:$U$1,S$1)</f>
        <v>0</v>
      </c>
      <c r="T91" s="155">
        <f>SUMIFS('recurring2_based on steps'!$B91:$AY91,'recurring2_based on steps'!$B$1:$AY$1,T$1)+SUMIFS('changes2_based on steps'!$B91:$U91,'changes2_based on steps'!$B$1:$U$1,T$1)</f>
        <v>0</v>
      </c>
      <c r="U91" s="155">
        <f ca="1">SUMIFS('recurring2_based on steps'!$B91:$AY91,'recurring2_based on steps'!$B$1:$AY$1,U$1)+SUMIFS('changes2_based on steps'!$B91:$U91,'changes2_based on steps'!$B$1:$U$1,U$1)</f>
        <v>0</v>
      </c>
      <c r="V91" s="155">
        <f>SUMIFS('recurring2_based on steps'!$B91:$AY91,'recurring2_based on steps'!$B$1:$AY$1,V$1)+SUMIFS('changes2_based on steps'!$B91:$U91,'changes2_based on steps'!$B$1:$U$1,V$1)</f>
        <v>0</v>
      </c>
      <c r="W91" s="155">
        <f ca="1">SUMIFS('recurring2_based on steps'!$B91:$AY91,'recurring2_based on steps'!$B$1:$AY$1,W$1)+SUMIFS('changes2_based on steps'!$B91:$U91,'changes2_based on steps'!$B$1:$U$1,W$1)</f>
        <v>0</v>
      </c>
      <c r="X91" s="155">
        <f ca="1">SUMIFS('recurring2_based on steps'!$B91:$AY91,'recurring2_based on steps'!$B$1:$AY$1,X$1)+SUMIFS('changes2_based on steps'!$B91:$U91,'changes2_based on steps'!$B$1:$U$1,X$1)</f>
        <v>0</v>
      </c>
      <c r="Y91" s="155">
        <f ca="1">SUMIFS('recurring2_based on steps'!$B91:$AY91,'recurring2_based on steps'!$B$1:$AY$1,Y$1)+SUMIFS('changes2_based on steps'!$B91:$U91,'changes2_based on steps'!$B$1:$U$1,Y$1)</f>
        <v>0</v>
      </c>
      <c r="Z91" s="155">
        <f>SUMIFS('recurring2_based on steps'!$B91:$AY91,'recurring2_based on steps'!$B$1:$AY$1,Z$1)+SUMIFS('changes2_based on steps'!$B91:$U91,'changes2_based on steps'!$B$1:$U$1,Z$1)</f>
        <v>0</v>
      </c>
      <c r="AA91" s="155">
        <f>SUMIFS('recurring2_based on steps'!$B91:$AY91,'recurring2_based on steps'!$B$1:$AY$1,AA$1)+SUMIFS('changes2_based on steps'!$B91:$U91,'changes2_based on steps'!$B$1:$U$1,AA$1)</f>
        <v>0</v>
      </c>
    </row>
    <row r="92" spans="1:27" x14ac:dyDescent="0.2">
      <c r="A92" s="18">
        <f t="shared" ca="1" si="1"/>
        <v>45778</v>
      </c>
      <c r="B92" s="155">
        <f ca="1">SUMIFS('recurring2_based on steps'!$B92:$AY92,'recurring2_based on steps'!$B$1:$AY$1,B$1)+SUMIFS('changes2_based on steps'!$B92:$U92,'changes2_based on steps'!$B$1:$U$1,B$1)</f>
        <v>0</v>
      </c>
      <c r="C92" s="155">
        <f>SUMIFS('recurring2_based on steps'!$B92:$AY92,'recurring2_based on steps'!$B$1:$AY$1,C$1)+SUMIFS('changes2_based on steps'!$B92:$U92,'changes2_based on steps'!$B$1:$U$1,C$1)</f>
        <v>0</v>
      </c>
      <c r="D92" s="155">
        <f>SUMIFS('recurring2_based on steps'!$B92:$AY92,'recurring2_based on steps'!$B$1:$AY$1,D$1)+SUMIFS('changes2_based on steps'!$B92:$U92,'changes2_based on steps'!$B$1:$U$1,D$1)</f>
        <v>0</v>
      </c>
      <c r="E92" s="155">
        <f>SUMIFS('recurring2_based on steps'!$B92:$AY92,'recurring2_based on steps'!$B$1:$AY$1,E$1)+SUMIFS('changes2_based on steps'!$B92:$U92,'changes2_based on steps'!$B$1:$U$1,E$1)</f>
        <v>0</v>
      </c>
      <c r="F92" s="155">
        <f>SUMIFS('recurring2_based on steps'!$B92:$AY92,'recurring2_based on steps'!$B$1:$AY$1,F$1)+SUMIFS('changes2_based on steps'!$B92:$U92,'changes2_based on steps'!$B$1:$U$1,F$1)</f>
        <v>0</v>
      </c>
      <c r="G92" s="155">
        <f>SUMIFS('recurring2_based on steps'!$B92:$AY92,'recurring2_based on steps'!$B$1:$AY$1,G$1)+SUMIFS('changes2_based on steps'!$B92:$U92,'changes2_based on steps'!$B$1:$U$1,G$1)</f>
        <v>0</v>
      </c>
      <c r="H92" s="155">
        <f ca="1">SUMIFS('recurring2_based on steps'!$B92:$AY92,'recurring2_based on steps'!$B$1:$AY$1,H$1)+SUMIFS('changes2_based on steps'!$B92:$U92,'changes2_based on steps'!$B$1:$U$1,H$1)</f>
        <v>0</v>
      </c>
      <c r="I92" s="155">
        <f>SUMIFS('recurring2_based on steps'!$B92:$AY92,'recurring2_based on steps'!$B$1:$AY$1,I$1)+SUMIFS('changes2_based on steps'!$B92:$U92,'changes2_based on steps'!$B$1:$U$1,I$1)</f>
        <v>0</v>
      </c>
      <c r="J92" s="155">
        <f>SUMIFS('recurring2_based on steps'!$B92:$AY92,'recurring2_based on steps'!$B$1:$AY$1,J$1)+SUMIFS('changes2_based on steps'!$B92:$U92,'changes2_based on steps'!$B$1:$U$1,J$1)</f>
        <v>0</v>
      </c>
      <c r="K92" s="155">
        <f>SUMIFS('recurring2_based on steps'!$B92:$AY92,'recurring2_based on steps'!$B$1:$AY$1,K$1)+SUMIFS('changes2_based on steps'!$B92:$U92,'changes2_based on steps'!$B$1:$U$1,K$1)</f>
        <v>0</v>
      </c>
      <c r="L92" s="155">
        <f>SUMIFS('recurring2_based on steps'!$B92:$AY92,'recurring2_based on steps'!$B$1:$AY$1,L$1)+SUMIFS('changes2_based on steps'!$B92:$U92,'changes2_based on steps'!$B$1:$U$1,L$1)</f>
        <v>0</v>
      </c>
      <c r="M92" s="155">
        <f ca="1">SUMIFS('recurring2_based on steps'!$B92:$AY92,'recurring2_based on steps'!$B$1:$AY$1,M$1)+SUMIFS('changes2_based on steps'!$B92:$U92,'changes2_based on steps'!$B$1:$U$1,M$1)</f>
        <v>2000</v>
      </c>
      <c r="N92" s="155">
        <f ca="1">SUMIFS('recurring2_based on steps'!$B92:$AY92,'recurring2_based on steps'!$B$1:$AY$1,N$1)+SUMIFS('changes2_based on steps'!$B92:$U92,'changes2_based on steps'!$B$1:$U$1,N$1)</f>
        <v>0</v>
      </c>
      <c r="O92" s="155">
        <f ca="1">SUMIFS('recurring2_based on steps'!$B92:$AY92,'recurring2_based on steps'!$B$1:$AY$1,O$1)+SUMIFS('changes2_based on steps'!$B92:$U92,'changes2_based on steps'!$B$1:$U$1,O$1)</f>
        <v>0</v>
      </c>
      <c r="P92" s="155">
        <f ca="1">SUMIFS('recurring2_based on steps'!$B92:$AY92,'recurring2_based on steps'!$B$1:$AY$1,P$1)+SUMIFS('changes2_based on steps'!$B92:$U92,'changes2_based on steps'!$B$1:$U$1,P$1)</f>
        <v>0</v>
      </c>
      <c r="Q92" s="155">
        <f>SUMIFS('recurring2_based on steps'!$B92:$AY92,'recurring2_based on steps'!$B$1:$AY$1,Q$1)+SUMIFS('changes2_based on steps'!$B92:$U92,'changes2_based on steps'!$B$1:$U$1,Q$1)</f>
        <v>0</v>
      </c>
      <c r="R92" s="155">
        <f ca="1">SUMIFS('recurring2_based on steps'!$B92:$AY92,'recurring2_based on steps'!$B$1:$AY$1,R$1)+SUMIFS('changes2_based on steps'!$B92:$U92,'changes2_based on steps'!$B$1:$U$1,R$1)</f>
        <v>0</v>
      </c>
      <c r="S92" s="155">
        <f ca="1">SUMIFS('recurring2_based on steps'!$B92:$AY92,'recurring2_based on steps'!$B$1:$AY$1,S$1)+SUMIFS('changes2_based on steps'!$B92:$U92,'changes2_based on steps'!$B$1:$U$1,S$1)</f>
        <v>0</v>
      </c>
      <c r="T92" s="155">
        <f>SUMIFS('recurring2_based on steps'!$B92:$AY92,'recurring2_based on steps'!$B$1:$AY$1,T$1)+SUMIFS('changes2_based on steps'!$B92:$U92,'changes2_based on steps'!$B$1:$U$1,T$1)</f>
        <v>0</v>
      </c>
      <c r="U92" s="155">
        <f ca="1">SUMIFS('recurring2_based on steps'!$B92:$AY92,'recurring2_based on steps'!$B$1:$AY$1,U$1)+SUMIFS('changes2_based on steps'!$B92:$U92,'changes2_based on steps'!$B$1:$U$1,U$1)</f>
        <v>0</v>
      </c>
      <c r="V92" s="155">
        <f>SUMIFS('recurring2_based on steps'!$B92:$AY92,'recurring2_based on steps'!$B$1:$AY$1,V$1)+SUMIFS('changes2_based on steps'!$B92:$U92,'changes2_based on steps'!$B$1:$U$1,V$1)</f>
        <v>0</v>
      </c>
      <c r="W92" s="155">
        <f ca="1">SUMIFS('recurring2_based on steps'!$B92:$AY92,'recurring2_based on steps'!$B$1:$AY$1,W$1)+SUMIFS('changes2_based on steps'!$B92:$U92,'changes2_based on steps'!$B$1:$U$1,W$1)</f>
        <v>0</v>
      </c>
      <c r="X92" s="155">
        <f ca="1">SUMIFS('recurring2_based on steps'!$B92:$AY92,'recurring2_based on steps'!$B$1:$AY$1,X$1)+SUMIFS('changes2_based on steps'!$B92:$U92,'changes2_based on steps'!$B$1:$U$1,X$1)</f>
        <v>0</v>
      </c>
      <c r="Y92" s="155">
        <f ca="1">SUMIFS('recurring2_based on steps'!$B92:$AY92,'recurring2_based on steps'!$B$1:$AY$1,Y$1)+SUMIFS('changes2_based on steps'!$B92:$U92,'changes2_based on steps'!$B$1:$U$1,Y$1)</f>
        <v>0</v>
      </c>
      <c r="Z92" s="155">
        <f>SUMIFS('recurring2_based on steps'!$B92:$AY92,'recurring2_based on steps'!$B$1:$AY$1,Z$1)+SUMIFS('changes2_based on steps'!$B92:$U92,'changes2_based on steps'!$B$1:$U$1,Z$1)</f>
        <v>0</v>
      </c>
      <c r="AA92" s="155">
        <f>SUMIFS('recurring2_based on steps'!$B92:$AY92,'recurring2_based on steps'!$B$1:$AY$1,AA$1)+SUMIFS('changes2_based on steps'!$B92:$U92,'changes2_based on steps'!$B$1:$U$1,AA$1)</f>
        <v>0</v>
      </c>
    </row>
    <row r="93" spans="1:27" x14ac:dyDescent="0.2">
      <c r="A93" s="18">
        <f t="shared" ca="1" si="1"/>
        <v>45779</v>
      </c>
      <c r="B93" s="155">
        <f ca="1">SUMIFS('recurring2_based on steps'!$B93:$AY93,'recurring2_based on steps'!$B$1:$AY$1,B$1)+SUMIFS('changes2_based on steps'!$B93:$U93,'changes2_based on steps'!$B$1:$U$1,B$1)</f>
        <v>4000</v>
      </c>
      <c r="C93" s="155">
        <f>SUMIFS('recurring2_based on steps'!$B93:$AY93,'recurring2_based on steps'!$B$1:$AY$1,C$1)+SUMIFS('changes2_based on steps'!$B93:$U93,'changes2_based on steps'!$B$1:$U$1,C$1)</f>
        <v>0</v>
      </c>
      <c r="D93" s="155">
        <f>SUMIFS('recurring2_based on steps'!$B93:$AY93,'recurring2_based on steps'!$B$1:$AY$1,D$1)+SUMIFS('changes2_based on steps'!$B93:$U93,'changes2_based on steps'!$B$1:$U$1,D$1)</f>
        <v>0</v>
      </c>
      <c r="E93" s="155">
        <f>SUMIFS('recurring2_based on steps'!$B93:$AY93,'recurring2_based on steps'!$B$1:$AY$1,E$1)+SUMIFS('changes2_based on steps'!$B93:$U93,'changes2_based on steps'!$B$1:$U$1,E$1)</f>
        <v>0</v>
      </c>
      <c r="F93" s="155">
        <f>SUMIFS('recurring2_based on steps'!$B93:$AY93,'recurring2_based on steps'!$B$1:$AY$1,F$1)+SUMIFS('changes2_based on steps'!$B93:$U93,'changes2_based on steps'!$B$1:$U$1,F$1)</f>
        <v>0</v>
      </c>
      <c r="G93" s="155">
        <f>SUMIFS('recurring2_based on steps'!$B93:$AY93,'recurring2_based on steps'!$B$1:$AY$1,G$1)+SUMIFS('changes2_based on steps'!$B93:$U93,'changes2_based on steps'!$B$1:$U$1,G$1)</f>
        <v>0</v>
      </c>
      <c r="H93" s="155">
        <f ca="1">SUMIFS('recurring2_based on steps'!$B93:$AY93,'recurring2_based on steps'!$B$1:$AY$1,H$1)+SUMIFS('changes2_based on steps'!$B93:$U93,'changes2_based on steps'!$B$1:$U$1,H$1)</f>
        <v>96</v>
      </c>
      <c r="I93" s="155">
        <f>SUMIFS('recurring2_based on steps'!$B93:$AY93,'recurring2_based on steps'!$B$1:$AY$1,I$1)+SUMIFS('changes2_based on steps'!$B93:$U93,'changes2_based on steps'!$B$1:$U$1,I$1)</f>
        <v>0</v>
      </c>
      <c r="J93" s="155">
        <f>SUMIFS('recurring2_based on steps'!$B93:$AY93,'recurring2_based on steps'!$B$1:$AY$1,J$1)+SUMIFS('changes2_based on steps'!$B93:$U93,'changes2_based on steps'!$B$1:$U$1,J$1)</f>
        <v>0</v>
      </c>
      <c r="K93" s="155">
        <f>SUMIFS('recurring2_based on steps'!$B93:$AY93,'recurring2_based on steps'!$B$1:$AY$1,K$1)+SUMIFS('changes2_based on steps'!$B93:$U93,'changes2_based on steps'!$B$1:$U$1,K$1)</f>
        <v>0</v>
      </c>
      <c r="L93" s="155">
        <f>SUMIFS('recurring2_based on steps'!$B93:$AY93,'recurring2_based on steps'!$B$1:$AY$1,L$1)+SUMIFS('changes2_based on steps'!$B93:$U93,'changes2_based on steps'!$B$1:$U$1,L$1)</f>
        <v>0</v>
      </c>
      <c r="M93" s="155">
        <f ca="1">SUMIFS('recurring2_based on steps'!$B93:$AY93,'recurring2_based on steps'!$B$1:$AY$1,M$1)+SUMIFS('changes2_based on steps'!$B93:$U93,'changes2_based on steps'!$B$1:$U$1,M$1)</f>
        <v>0</v>
      </c>
      <c r="N93" s="155">
        <f ca="1">SUMIFS('recurring2_based on steps'!$B93:$AY93,'recurring2_based on steps'!$B$1:$AY$1,N$1)+SUMIFS('changes2_based on steps'!$B93:$U93,'changes2_based on steps'!$B$1:$U$1,N$1)</f>
        <v>0</v>
      </c>
      <c r="O93" s="155">
        <f ca="1">SUMIFS('recurring2_based on steps'!$B93:$AY93,'recurring2_based on steps'!$B$1:$AY$1,O$1)+SUMIFS('changes2_based on steps'!$B93:$U93,'changes2_based on steps'!$B$1:$U$1,O$1)</f>
        <v>0</v>
      </c>
      <c r="P93" s="155">
        <f ca="1">SUMIFS('recurring2_based on steps'!$B93:$AY93,'recurring2_based on steps'!$B$1:$AY$1,P$1)+SUMIFS('changes2_based on steps'!$B93:$U93,'changes2_based on steps'!$B$1:$U$1,P$1)</f>
        <v>0</v>
      </c>
      <c r="Q93" s="155">
        <f>SUMIFS('recurring2_based on steps'!$B93:$AY93,'recurring2_based on steps'!$B$1:$AY$1,Q$1)+SUMIFS('changes2_based on steps'!$B93:$U93,'changes2_based on steps'!$B$1:$U$1,Q$1)</f>
        <v>0</v>
      </c>
      <c r="R93" s="155">
        <f ca="1">SUMIFS('recurring2_based on steps'!$B93:$AY93,'recurring2_based on steps'!$B$1:$AY$1,R$1)+SUMIFS('changes2_based on steps'!$B93:$U93,'changes2_based on steps'!$B$1:$U$1,R$1)</f>
        <v>0</v>
      </c>
      <c r="S93" s="155">
        <f ca="1">SUMIFS('recurring2_based on steps'!$B93:$AY93,'recurring2_based on steps'!$B$1:$AY$1,S$1)+SUMIFS('changes2_based on steps'!$B93:$U93,'changes2_based on steps'!$B$1:$U$1,S$1)</f>
        <v>0</v>
      </c>
      <c r="T93" s="155">
        <f>SUMIFS('recurring2_based on steps'!$B93:$AY93,'recurring2_based on steps'!$B$1:$AY$1,T$1)+SUMIFS('changes2_based on steps'!$B93:$U93,'changes2_based on steps'!$B$1:$U$1,T$1)</f>
        <v>0</v>
      </c>
      <c r="U93" s="155">
        <f ca="1">SUMIFS('recurring2_based on steps'!$B93:$AY93,'recurring2_based on steps'!$B$1:$AY$1,U$1)+SUMIFS('changes2_based on steps'!$B93:$U93,'changes2_based on steps'!$B$1:$U$1,U$1)</f>
        <v>0</v>
      </c>
      <c r="V93" s="155">
        <f>SUMIFS('recurring2_based on steps'!$B93:$AY93,'recurring2_based on steps'!$B$1:$AY$1,V$1)+SUMIFS('changes2_based on steps'!$B93:$U93,'changes2_based on steps'!$B$1:$U$1,V$1)</f>
        <v>0</v>
      </c>
      <c r="W93" s="155">
        <f ca="1">SUMIFS('recurring2_based on steps'!$B93:$AY93,'recurring2_based on steps'!$B$1:$AY$1,W$1)+SUMIFS('changes2_based on steps'!$B93:$U93,'changes2_based on steps'!$B$1:$U$1,W$1)</f>
        <v>50</v>
      </c>
      <c r="X93" s="155">
        <f ca="1">SUMIFS('recurring2_based on steps'!$B93:$AY93,'recurring2_based on steps'!$B$1:$AY$1,X$1)+SUMIFS('changes2_based on steps'!$B93:$U93,'changes2_based on steps'!$B$1:$U$1,X$1)</f>
        <v>200</v>
      </c>
      <c r="Y93" s="155">
        <f ca="1">SUMIFS('recurring2_based on steps'!$B93:$AY93,'recurring2_based on steps'!$B$1:$AY$1,Y$1)+SUMIFS('changes2_based on steps'!$B93:$U93,'changes2_based on steps'!$B$1:$U$1,Y$1)</f>
        <v>0</v>
      </c>
      <c r="Z93" s="155">
        <f>SUMIFS('recurring2_based on steps'!$B93:$AY93,'recurring2_based on steps'!$B$1:$AY$1,Z$1)+SUMIFS('changes2_based on steps'!$B93:$U93,'changes2_based on steps'!$B$1:$U$1,Z$1)</f>
        <v>0</v>
      </c>
      <c r="AA93" s="155">
        <f>SUMIFS('recurring2_based on steps'!$B93:$AY93,'recurring2_based on steps'!$B$1:$AY$1,AA$1)+SUMIFS('changes2_based on steps'!$B93:$U93,'changes2_based on steps'!$B$1:$U$1,AA$1)</f>
        <v>0</v>
      </c>
    </row>
    <row r="94" spans="1:27" x14ac:dyDescent="0.2">
      <c r="A94" s="18">
        <f t="shared" ca="1" si="1"/>
        <v>45780</v>
      </c>
      <c r="B94" s="155">
        <f ca="1">SUMIFS('recurring2_based on steps'!$B94:$AY94,'recurring2_based on steps'!$B$1:$AY$1,B$1)+SUMIFS('changes2_based on steps'!$B94:$U94,'changes2_based on steps'!$B$1:$U$1,B$1)</f>
        <v>0</v>
      </c>
      <c r="C94" s="155">
        <f>SUMIFS('recurring2_based on steps'!$B94:$AY94,'recurring2_based on steps'!$B$1:$AY$1,C$1)+SUMIFS('changes2_based on steps'!$B94:$U94,'changes2_based on steps'!$B$1:$U$1,C$1)</f>
        <v>0</v>
      </c>
      <c r="D94" s="155">
        <f>SUMIFS('recurring2_based on steps'!$B94:$AY94,'recurring2_based on steps'!$B$1:$AY$1,D$1)+SUMIFS('changes2_based on steps'!$B94:$U94,'changes2_based on steps'!$B$1:$U$1,D$1)</f>
        <v>0</v>
      </c>
      <c r="E94" s="155">
        <f>SUMIFS('recurring2_based on steps'!$B94:$AY94,'recurring2_based on steps'!$B$1:$AY$1,E$1)+SUMIFS('changes2_based on steps'!$B94:$U94,'changes2_based on steps'!$B$1:$U$1,E$1)</f>
        <v>0</v>
      </c>
      <c r="F94" s="155">
        <f>SUMIFS('recurring2_based on steps'!$B94:$AY94,'recurring2_based on steps'!$B$1:$AY$1,F$1)+SUMIFS('changes2_based on steps'!$B94:$U94,'changes2_based on steps'!$B$1:$U$1,F$1)</f>
        <v>0</v>
      </c>
      <c r="G94" s="155">
        <f>SUMIFS('recurring2_based on steps'!$B94:$AY94,'recurring2_based on steps'!$B$1:$AY$1,G$1)+SUMIFS('changes2_based on steps'!$B94:$U94,'changes2_based on steps'!$B$1:$U$1,G$1)</f>
        <v>0</v>
      </c>
      <c r="H94" s="155">
        <f ca="1">SUMIFS('recurring2_based on steps'!$B94:$AY94,'recurring2_based on steps'!$B$1:$AY$1,H$1)+SUMIFS('changes2_based on steps'!$B94:$U94,'changes2_based on steps'!$B$1:$U$1,H$1)</f>
        <v>0</v>
      </c>
      <c r="I94" s="155">
        <f>SUMIFS('recurring2_based on steps'!$B94:$AY94,'recurring2_based on steps'!$B$1:$AY$1,I$1)+SUMIFS('changes2_based on steps'!$B94:$U94,'changes2_based on steps'!$B$1:$U$1,I$1)</f>
        <v>0</v>
      </c>
      <c r="J94" s="155">
        <f>SUMIFS('recurring2_based on steps'!$B94:$AY94,'recurring2_based on steps'!$B$1:$AY$1,J$1)+SUMIFS('changes2_based on steps'!$B94:$U94,'changes2_based on steps'!$B$1:$U$1,J$1)</f>
        <v>0</v>
      </c>
      <c r="K94" s="155">
        <f>SUMIFS('recurring2_based on steps'!$B94:$AY94,'recurring2_based on steps'!$B$1:$AY$1,K$1)+SUMIFS('changes2_based on steps'!$B94:$U94,'changes2_based on steps'!$B$1:$U$1,K$1)</f>
        <v>0</v>
      </c>
      <c r="L94" s="155">
        <f>SUMIFS('recurring2_based on steps'!$B94:$AY94,'recurring2_based on steps'!$B$1:$AY$1,L$1)+SUMIFS('changes2_based on steps'!$B94:$U94,'changes2_based on steps'!$B$1:$U$1,L$1)</f>
        <v>0</v>
      </c>
      <c r="M94" s="155">
        <f ca="1">SUMIFS('recurring2_based on steps'!$B94:$AY94,'recurring2_based on steps'!$B$1:$AY$1,M$1)+SUMIFS('changes2_based on steps'!$B94:$U94,'changes2_based on steps'!$B$1:$U$1,M$1)</f>
        <v>0</v>
      </c>
      <c r="N94" s="155">
        <f ca="1">SUMIFS('recurring2_based on steps'!$B94:$AY94,'recurring2_based on steps'!$B$1:$AY$1,N$1)+SUMIFS('changes2_based on steps'!$B94:$U94,'changes2_based on steps'!$B$1:$U$1,N$1)</f>
        <v>0</v>
      </c>
      <c r="O94" s="155">
        <f ca="1">SUMIFS('recurring2_based on steps'!$B94:$AY94,'recurring2_based on steps'!$B$1:$AY$1,O$1)+SUMIFS('changes2_based on steps'!$B94:$U94,'changes2_based on steps'!$B$1:$U$1,O$1)</f>
        <v>0</v>
      </c>
      <c r="P94" s="155">
        <f ca="1">SUMIFS('recurring2_based on steps'!$B94:$AY94,'recurring2_based on steps'!$B$1:$AY$1,P$1)+SUMIFS('changes2_based on steps'!$B94:$U94,'changes2_based on steps'!$B$1:$U$1,P$1)</f>
        <v>0</v>
      </c>
      <c r="Q94" s="155">
        <f>SUMIFS('recurring2_based on steps'!$B94:$AY94,'recurring2_based on steps'!$B$1:$AY$1,Q$1)+SUMIFS('changes2_based on steps'!$B94:$U94,'changes2_based on steps'!$B$1:$U$1,Q$1)</f>
        <v>0</v>
      </c>
      <c r="R94" s="155">
        <f ca="1">SUMIFS('recurring2_based on steps'!$B94:$AY94,'recurring2_based on steps'!$B$1:$AY$1,R$1)+SUMIFS('changes2_based on steps'!$B94:$U94,'changes2_based on steps'!$B$1:$U$1,R$1)</f>
        <v>100</v>
      </c>
      <c r="S94" s="155">
        <f ca="1">SUMIFS('recurring2_based on steps'!$B94:$AY94,'recurring2_based on steps'!$B$1:$AY$1,S$1)+SUMIFS('changes2_based on steps'!$B94:$U94,'changes2_based on steps'!$B$1:$U$1,S$1)</f>
        <v>100</v>
      </c>
      <c r="T94" s="155">
        <f>SUMIFS('recurring2_based on steps'!$B94:$AY94,'recurring2_based on steps'!$B$1:$AY$1,T$1)+SUMIFS('changes2_based on steps'!$B94:$U94,'changes2_based on steps'!$B$1:$U$1,T$1)</f>
        <v>0</v>
      </c>
      <c r="U94" s="155">
        <f ca="1">SUMIFS('recurring2_based on steps'!$B94:$AY94,'recurring2_based on steps'!$B$1:$AY$1,U$1)+SUMIFS('changes2_based on steps'!$B94:$U94,'changes2_based on steps'!$B$1:$U$1,U$1)</f>
        <v>0</v>
      </c>
      <c r="V94" s="155">
        <f>SUMIFS('recurring2_based on steps'!$B94:$AY94,'recurring2_based on steps'!$B$1:$AY$1,V$1)+SUMIFS('changes2_based on steps'!$B94:$U94,'changes2_based on steps'!$B$1:$U$1,V$1)</f>
        <v>0</v>
      </c>
      <c r="W94" s="155">
        <f ca="1">SUMIFS('recurring2_based on steps'!$B94:$AY94,'recurring2_based on steps'!$B$1:$AY$1,W$1)+SUMIFS('changes2_based on steps'!$B94:$U94,'changes2_based on steps'!$B$1:$U$1,W$1)</f>
        <v>0</v>
      </c>
      <c r="X94" s="155">
        <f ca="1">SUMIFS('recurring2_based on steps'!$B94:$AY94,'recurring2_based on steps'!$B$1:$AY$1,X$1)+SUMIFS('changes2_based on steps'!$B94:$U94,'changes2_based on steps'!$B$1:$U$1,X$1)</f>
        <v>0</v>
      </c>
      <c r="Y94" s="155">
        <f ca="1">SUMIFS('recurring2_based on steps'!$B94:$AY94,'recurring2_based on steps'!$B$1:$AY$1,Y$1)+SUMIFS('changes2_based on steps'!$B94:$U94,'changes2_based on steps'!$B$1:$U$1,Y$1)</f>
        <v>0</v>
      </c>
      <c r="Z94" s="155">
        <f>SUMIFS('recurring2_based on steps'!$B94:$AY94,'recurring2_based on steps'!$B$1:$AY$1,Z$1)+SUMIFS('changes2_based on steps'!$B94:$U94,'changes2_based on steps'!$B$1:$U$1,Z$1)</f>
        <v>0</v>
      </c>
      <c r="AA94" s="155">
        <f>SUMIFS('recurring2_based on steps'!$B94:$AY94,'recurring2_based on steps'!$B$1:$AY$1,AA$1)+SUMIFS('changes2_based on steps'!$B94:$U94,'changes2_based on steps'!$B$1:$U$1,AA$1)</f>
        <v>0</v>
      </c>
    </row>
    <row r="95" spans="1:27" x14ac:dyDescent="0.2">
      <c r="A95" s="18">
        <f t="shared" ca="1" si="1"/>
        <v>45781</v>
      </c>
      <c r="B95" s="155">
        <f ca="1">SUMIFS('recurring2_based on steps'!$B95:$AY95,'recurring2_based on steps'!$B$1:$AY$1,B$1)+SUMIFS('changes2_based on steps'!$B95:$U95,'changes2_based on steps'!$B$1:$U$1,B$1)</f>
        <v>0</v>
      </c>
      <c r="C95" s="155">
        <f>SUMIFS('recurring2_based on steps'!$B95:$AY95,'recurring2_based on steps'!$B$1:$AY$1,C$1)+SUMIFS('changes2_based on steps'!$B95:$U95,'changes2_based on steps'!$B$1:$U$1,C$1)</f>
        <v>0</v>
      </c>
      <c r="D95" s="155">
        <f>SUMIFS('recurring2_based on steps'!$B95:$AY95,'recurring2_based on steps'!$B$1:$AY$1,D$1)+SUMIFS('changes2_based on steps'!$B95:$U95,'changes2_based on steps'!$B$1:$U$1,D$1)</f>
        <v>0</v>
      </c>
      <c r="E95" s="155">
        <f>SUMIFS('recurring2_based on steps'!$B95:$AY95,'recurring2_based on steps'!$B$1:$AY$1,E$1)+SUMIFS('changes2_based on steps'!$B95:$U95,'changes2_based on steps'!$B$1:$U$1,E$1)</f>
        <v>0</v>
      </c>
      <c r="F95" s="155">
        <f>SUMIFS('recurring2_based on steps'!$B95:$AY95,'recurring2_based on steps'!$B$1:$AY$1,F$1)+SUMIFS('changes2_based on steps'!$B95:$U95,'changes2_based on steps'!$B$1:$U$1,F$1)</f>
        <v>0</v>
      </c>
      <c r="G95" s="155">
        <f>SUMIFS('recurring2_based on steps'!$B95:$AY95,'recurring2_based on steps'!$B$1:$AY$1,G$1)+SUMIFS('changes2_based on steps'!$B95:$U95,'changes2_based on steps'!$B$1:$U$1,G$1)</f>
        <v>0</v>
      </c>
      <c r="H95" s="155">
        <f ca="1">SUMIFS('recurring2_based on steps'!$B95:$AY95,'recurring2_based on steps'!$B$1:$AY$1,H$1)+SUMIFS('changes2_based on steps'!$B95:$U95,'changes2_based on steps'!$B$1:$U$1,H$1)</f>
        <v>0</v>
      </c>
      <c r="I95" s="155">
        <f>SUMIFS('recurring2_based on steps'!$B95:$AY95,'recurring2_based on steps'!$B$1:$AY$1,I$1)+SUMIFS('changes2_based on steps'!$B95:$U95,'changes2_based on steps'!$B$1:$U$1,I$1)</f>
        <v>0</v>
      </c>
      <c r="J95" s="155">
        <f>SUMIFS('recurring2_based on steps'!$B95:$AY95,'recurring2_based on steps'!$B$1:$AY$1,J$1)+SUMIFS('changes2_based on steps'!$B95:$U95,'changes2_based on steps'!$B$1:$U$1,J$1)</f>
        <v>0</v>
      </c>
      <c r="K95" s="155">
        <f>SUMIFS('recurring2_based on steps'!$B95:$AY95,'recurring2_based on steps'!$B$1:$AY$1,K$1)+SUMIFS('changes2_based on steps'!$B95:$U95,'changes2_based on steps'!$B$1:$U$1,K$1)</f>
        <v>0</v>
      </c>
      <c r="L95" s="155">
        <f>SUMIFS('recurring2_based on steps'!$B95:$AY95,'recurring2_based on steps'!$B$1:$AY$1,L$1)+SUMIFS('changes2_based on steps'!$B95:$U95,'changes2_based on steps'!$B$1:$U$1,L$1)</f>
        <v>0</v>
      </c>
      <c r="M95" s="155">
        <f ca="1">SUMIFS('recurring2_based on steps'!$B95:$AY95,'recurring2_based on steps'!$B$1:$AY$1,M$1)+SUMIFS('changes2_based on steps'!$B95:$U95,'changes2_based on steps'!$B$1:$U$1,M$1)</f>
        <v>0</v>
      </c>
      <c r="N95" s="155">
        <f ca="1">SUMIFS('recurring2_based on steps'!$B95:$AY95,'recurring2_based on steps'!$B$1:$AY$1,N$1)+SUMIFS('changes2_based on steps'!$B95:$U95,'changes2_based on steps'!$B$1:$U$1,N$1)</f>
        <v>50</v>
      </c>
      <c r="O95" s="155">
        <f ca="1">SUMIFS('recurring2_based on steps'!$B95:$AY95,'recurring2_based on steps'!$B$1:$AY$1,O$1)+SUMIFS('changes2_based on steps'!$B95:$U95,'changes2_based on steps'!$B$1:$U$1,O$1)</f>
        <v>0</v>
      </c>
      <c r="P95" s="155">
        <f ca="1">SUMIFS('recurring2_based on steps'!$B95:$AY95,'recurring2_based on steps'!$B$1:$AY$1,P$1)+SUMIFS('changes2_based on steps'!$B95:$U95,'changes2_based on steps'!$B$1:$U$1,P$1)</f>
        <v>0</v>
      </c>
      <c r="Q95" s="155">
        <f>SUMIFS('recurring2_based on steps'!$B95:$AY95,'recurring2_based on steps'!$B$1:$AY$1,Q$1)+SUMIFS('changes2_based on steps'!$B95:$U95,'changes2_based on steps'!$B$1:$U$1,Q$1)</f>
        <v>0</v>
      </c>
      <c r="R95" s="155">
        <f ca="1">SUMIFS('recurring2_based on steps'!$B95:$AY95,'recurring2_based on steps'!$B$1:$AY$1,R$1)+SUMIFS('changes2_based on steps'!$B95:$U95,'changes2_based on steps'!$B$1:$U$1,R$1)</f>
        <v>0</v>
      </c>
      <c r="S95" s="155">
        <f ca="1">SUMIFS('recurring2_based on steps'!$B95:$AY95,'recurring2_based on steps'!$B$1:$AY$1,S$1)+SUMIFS('changes2_based on steps'!$B95:$U95,'changes2_based on steps'!$B$1:$U$1,S$1)</f>
        <v>100</v>
      </c>
      <c r="T95" s="155">
        <f>SUMIFS('recurring2_based on steps'!$B95:$AY95,'recurring2_based on steps'!$B$1:$AY$1,T$1)+SUMIFS('changes2_based on steps'!$B95:$U95,'changes2_based on steps'!$B$1:$U$1,T$1)</f>
        <v>0</v>
      </c>
      <c r="U95" s="155">
        <f ca="1">SUMIFS('recurring2_based on steps'!$B95:$AY95,'recurring2_based on steps'!$B$1:$AY$1,U$1)+SUMIFS('changes2_based on steps'!$B95:$U95,'changes2_based on steps'!$B$1:$U$1,U$1)</f>
        <v>15</v>
      </c>
      <c r="V95" s="155">
        <f>SUMIFS('recurring2_based on steps'!$B95:$AY95,'recurring2_based on steps'!$B$1:$AY$1,V$1)+SUMIFS('changes2_based on steps'!$B95:$U95,'changes2_based on steps'!$B$1:$U$1,V$1)</f>
        <v>0</v>
      </c>
      <c r="W95" s="155">
        <f ca="1">SUMIFS('recurring2_based on steps'!$B95:$AY95,'recurring2_based on steps'!$B$1:$AY$1,W$1)+SUMIFS('changes2_based on steps'!$B95:$U95,'changes2_based on steps'!$B$1:$U$1,W$1)</f>
        <v>0</v>
      </c>
      <c r="X95" s="155">
        <f ca="1">SUMIFS('recurring2_based on steps'!$B95:$AY95,'recurring2_based on steps'!$B$1:$AY$1,X$1)+SUMIFS('changes2_based on steps'!$B95:$U95,'changes2_based on steps'!$B$1:$U$1,X$1)</f>
        <v>0</v>
      </c>
      <c r="Y95" s="155">
        <f ca="1">SUMIFS('recurring2_based on steps'!$B95:$AY95,'recurring2_based on steps'!$B$1:$AY$1,Y$1)+SUMIFS('changes2_based on steps'!$B95:$U95,'changes2_based on steps'!$B$1:$U$1,Y$1)</f>
        <v>0</v>
      </c>
      <c r="Z95" s="155">
        <f>SUMIFS('recurring2_based on steps'!$B95:$AY95,'recurring2_based on steps'!$B$1:$AY$1,Z$1)+SUMIFS('changes2_based on steps'!$B95:$U95,'changes2_based on steps'!$B$1:$U$1,Z$1)</f>
        <v>0</v>
      </c>
      <c r="AA95" s="155">
        <f>SUMIFS('recurring2_based on steps'!$B95:$AY95,'recurring2_based on steps'!$B$1:$AY$1,AA$1)+SUMIFS('changes2_based on steps'!$B95:$U95,'changes2_based on steps'!$B$1:$U$1,AA$1)</f>
        <v>0</v>
      </c>
    </row>
    <row r="96" spans="1:27" x14ac:dyDescent="0.2">
      <c r="A96" s="18">
        <f t="shared" ca="1" si="1"/>
        <v>45782</v>
      </c>
      <c r="B96" s="155">
        <f ca="1">SUMIFS('recurring2_based on steps'!$B96:$AY96,'recurring2_based on steps'!$B$1:$AY$1,B$1)+SUMIFS('changes2_based on steps'!$B96:$U96,'changes2_based on steps'!$B$1:$U$1,B$1)</f>
        <v>0</v>
      </c>
      <c r="C96" s="155">
        <f>SUMIFS('recurring2_based on steps'!$B96:$AY96,'recurring2_based on steps'!$B$1:$AY$1,C$1)+SUMIFS('changes2_based on steps'!$B96:$U96,'changes2_based on steps'!$B$1:$U$1,C$1)</f>
        <v>0</v>
      </c>
      <c r="D96" s="155">
        <f>SUMIFS('recurring2_based on steps'!$B96:$AY96,'recurring2_based on steps'!$B$1:$AY$1,D$1)+SUMIFS('changes2_based on steps'!$B96:$U96,'changes2_based on steps'!$B$1:$U$1,D$1)</f>
        <v>0</v>
      </c>
      <c r="E96" s="155">
        <f>SUMIFS('recurring2_based on steps'!$B96:$AY96,'recurring2_based on steps'!$B$1:$AY$1,E$1)+SUMIFS('changes2_based on steps'!$B96:$U96,'changes2_based on steps'!$B$1:$U$1,E$1)</f>
        <v>0</v>
      </c>
      <c r="F96" s="155">
        <f>SUMIFS('recurring2_based on steps'!$B96:$AY96,'recurring2_based on steps'!$B$1:$AY$1,F$1)+SUMIFS('changes2_based on steps'!$B96:$U96,'changes2_based on steps'!$B$1:$U$1,F$1)</f>
        <v>0</v>
      </c>
      <c r="G96" s="155">
        <f>SUMIFS('recurring2_based on steps'!$B96:$AY96,'recurring2_based on steps'!$B$1:$AY$1,G$1)+SUMIFS('changes2_based on steps'!$B96:$U96,'changes2_based on steps'!$B$1:$U$1,G$1)</f>
        <v>0</v>
      </c>
      <c r="H96" s="155">
        <f ca="1">SUMIFS('recurring2_based on steps'!$B96:$AY96,'recurring2_based on steps'!$B$1:$AY$1,H$1)+SUMIFS('changes2_based on steps'!$B96:$U96,'changes2_based on steps'!$B$1:$U$1,H$1)</f>
        <v>0</v>
      </c>
      <c r="I96" s="155">
        <f>SUMIFS('recurring2_based on steps'!$B96:$AY96,'recurring2_based on steps'!$B$1:$AY$1,I$1)+SUMIFS('changes2_based on steps'!$B96:$U96,'changes2_based on steps'!$B$1:$U$1,I$1)</f>
        <v>0</v>
      </c>
      <c r="J96" s="155">
        <f>SUMIFS('recurring2_based on steps'!$B96:$AY96,'recurring2_based on steps'!$B$1:$AY$1,J$1)+SUMIFS('changes2_based on steps'!$B96:$U96,'changes2_based on steps'!$B$1:$U$1,J$1)</f>
        <v>0</v>
      </c>
      <c r="K96" s="155">
        <f>SUMIFS('recurring2_based on steps'!$B96:$AY96,'recurring2_based on steps'!$B$1:$AY$1,K$1)+SUMIFS('changes2_based on steps'!$B96:$U96,'changes2_based on steps'!$B$1:$U$1,K$1)</f>
        <v>0</v>
      </c>
      <c r="L96" s="155">
        <f>SUMIFS('recurring2_based on steps'!$B96:$AY96,'recurring2_based on steps'!$B$1:$AY$1,L$1)+SUMIFS('changes2_based on steps'!$B96:$U96,'changes2_based on steps'!$B$1:$U$1,L$1)</f>
        <v>0</v>
      </c>
      <c r="M96" s="155">
        <f ca="1">SUMIFS('recurring2_based on steps'!$B96:$AY96,'recurring2_based on steps'!$B$1:$AY$1,M$1)+SUMIFS('changes2_based on steps'!$B96:$U96,'changes2_based on steps'!$B$1:$U$1,M$1)</f>
        <v>0</v>
      </c>
      <c r="N96" s="155">
        <f ca="1">SUMIFS('recurring2_based on steps'!$B96:$AY96,'recurring2_based on steps'!$B$1:$AY$1,N$1)+SUMIFS('changes2_based on steps'!$B96:$U96,'changes2_based on steps'!$B$1:$U$1,N$1)</f>
        <v>0</v>
      </c>
      <c r="O96" s="155">
        <f ca="1">SUMIFS('recurring2_based on steps'!$B96:$AY96,'recurring2_based on steps'!$B$1:$AY$1,O$1)+SUMIFS('changes2_based on steps'!$B96:$U96,'changes2_based on steps'!$B$1:$U$1,O$1)</f>
        <v>0</v>
      </c>
      <c r="P96" s="155">
        <f ca="1">SUMIFS('recurring2_based on steps'!$B96:$AY96,'recurring2_based on steps'!$B$1:$AY$1,P$1)+SUMIFS('changes2_based on steps'!$B96:$U96,'changes2_based on steps'!$B$1:$U$1,P$1)</f>
        <v>0</v>
      </c>
      <c r="Q96" s="155">
        <f>SUMIFS('recurring2_based on steps'!$B96:$AY96,'recurring2_based on steps'!$B$1:$AY$1,Q$1)+SUMIFS('changes2_based on steps'!$B96:$U96,'changes2_based on steps'!$B$1:$U$1,Q$1)</f>
        <v>0</v>
      </c>
      <c r="R96" s="155">
        <f ca="1">SUMIFS('recurring2_based on steps'!$B96:$AY96,'recurring2_based on steps'!$B$1:$AY$1,R$1)+SUMIFS('changes2_based on steps'!$B96:$U96,'changes2_based on steps'!$B$1:$U$1,R$1)</f>
        <v>0</v>
      </c>
      <c r="S96" s="155">
        <f ca="1">SUMIFS('recurring2_based on steps'!$B96:$AY96,'recurring2_based on steps'!$B$1:$AY$1,S$1)+SUMIFS('changes2_based on steps'!$B96:$U96,'changes2_based on steps'!$B$1:$U$1,S$1)</f>
        <v>0</v>
      </c>
      <c r="T96" s="155">
        <f>SUMIFS('recurring2_based on steps'!$B96:$AY96,'recurring2_based on steps'!$B$1:$AY$1,T$1)+SUMIFS('changes2_based on steps'!$B96:$U96,'changes2_based on steps'!$B$1:$U$1,T$1)</f>
        <v>0</v>
      </c>
      <c r="U96" s="155">
        <f ca="1">SUMIFS('recurring2_based on steps'!$B96:$AY96,'recurring2_based on steps'!$B$1:$AY$1,U$1)+SUMIFS('changes2_based on steps'!$B96:$U96,'changes2_based on steps'!$B$1:$U$1,U$1)</f>
        <v>0</v>
      </c>
      <c r="V96" s="155">
        <f>SUMIFS('recurring2_based on steps'!$B96:$AY96,'recurring2_based on steps'!$B$1:$AY$1,V$1)+SUMIFS('changes2_based on steps'!$B96:$U96,'changes2_based on steps'!$B$1:$U$1,V$1)</f>
        <v>0</v>
      </c>
      <c r="W96" s="155">
        <f ca="1">SUMIFS('recurring2_based on steps'!$B96:$AY96,'recurring2_based on steps'!$B$1:$AY$1,W$1)+SUMIFS('changes2_based on steps'!$B96:$U96,'changes2_based on steps'!$B$1:$U$1,W$1)</f>
        <v>0</v>
      </c>
      <c r="X96" s="155">
        <f ca="1">SUMIFS('recurring2_based on steps'!$B96:$AY96,'recurring2_based on steps'!$B$1:$AY$1,X$1)+SUMIFS('changes2_based on steps'!$B96:$U96,'changes2_based on steps'!$B$1:$U$1,X$1)</f>
        <v>0</v>
      </c>
      <c r="Y96" s="155">
        <f ca="1">SUMIFS('recurring2_based on steps'!$B96:$AY96,'recurring2_based on steps'!$B$1:$AY$1,Y$1)+SUMIFS('changes2_based on steps'!$B96:$U96,'changes2_based on steps'!$B$1:$U$1,Y$1)</f>
        <v>0</v>
      </c>
      <c r="Z96" s="155">
        <f>SUMIFS('recurring2_based on steps'!$B96:$AY96,'recurring2_based on steps'!$B$1:$AY$1,Z$1)+SUMIFS('changes2_based on steps'!$B96:$U96,'changes2_based on steps'!$B$1:$U$1,Z$1)</f>
        <v>0</v>
      </c>
      <c r="AA96" s="155">
        <f>SUMIFS('recurring2_based on steps'!$B96:$AY96,'recurring2_based on steps'!$B$1:$AY$1,AA$1)+SUMIFS('changes2_based on steps'!$B96:$U96,'changes2_based on steps'!$B$1:$U$1,AA$1)</f>
        <v>0</v>
      </c>
    </row>
    <row r="97" spans="1:27" x14ac:dyDescent="0.2">
      <c r="A97" s="18">
        <f t="shared" ca="1" si="1"/>
        <v>45783</v>
      </c>
      <c r="B97" s="155">
        <f ca="1">SUMIFS('recurring2_based on steps'!$B97:$AY97,'recurring2_based on steps'!$B$1:$AY$1,B$1)+SUMIFS('changes2_based on steps'!$B97:$U97,'changes2_based on steps'!$B$1:$U$1,B$1)</f>
        <v>0</v>
      </c>
      <c r="C97" s="155">
        <f>SUMIFS('recurring2_based on steps'!$B97:$AY97,'recurring2_based on steps'!$B$1:$AY$1,C$1)+SUMIFS('changes2_based on steps'!$B97:$U97,'changes2_based on steps'!$B$1:$U$1,C$1)</f>
        <v>0</v>
      </c>
      <c r="D97" s="155">
        <f>SUMIFS('recurring2_based on steps'!$B97:$AY97,'recurring2_based on steps'!$B$1:$AY$1,D$1)+SUMIFS('changes2_based on steps'!$B97:$U97,'changes2_based on steps'!$B$1:$U$1,D$1)</f>
        <v>0</v>
      </c>
      <c r="E97" s="155">
        <f>SUMIFS('recurring2_based on steps'!$B97:$AY97,'recurring2_based on steps'!$B$1:$AY$1,E$1)+SUMIFS('changes2_based on steps'!$B97:$U97,'changes2_based on steps'!$B$1:$U$1,E$1)</f>
        <v>0</v>
      </c>
      <c r="F97" s="155">
        <f>SUMIFS('recurring2_based on steps'!$B97:$AY97,'recurring2_based on steps'!$B$1:$AY$1,F$1)+SUMIFS('changes2_based on steps'!$B97:$U97,'changes2_based on steps'!$B$1:$U$1,F$1)</f>
        <v>0</v>
      </c>
      <c r="G97" s="155">
        <f>SUMIFS('recurring2_based on steps'!$B97:$AY97,'recurring2_based on steps'!$B$1:$AY$1,G$1)+SUMIFS('changes2_based on steps'!$B97:$U97,'changes2_based on steps'!$B$1:$U$1,G$1)</f>
        <v>0</v>
      </c>
      <c r="H97" s="155">
        <f ca="1">SUMIFS('recurring2_based on steps'!$B97:$AY97,'recurring2_based on steps'!$B$1:$AY$1,H$1)+SUMIFS('changes2_based on steps'!$B97:$U97,'changes2_based on steps'!$B$1:$U$1,H$1)</f>
        <v>0</v>
      </c>
      <c r="I97" s="155">
        <f>SUMIFS('recurring2_based on steps'!$B97:$AY97,'recurring2_based on steps'!$B$1:$AY$1,I$1)+SUMIFS('changes2_based on steps'!$B97:$U97,'changes2_based on steps'!$B$1:$U$1,I$1)</f>
        <v>0</v>
      </c>
      <c r="J97" s="155">
        <f>SUMIFS('recurring2_based on steps'!$B97:$AY97,'recurring2_based on steps'!$B$1:$AY$1,J$1)+SUMIFS('changes2_based on steps'!$B97:$U97,'changes2_based on steps'!$B$1:$U$1,J$1)</f>
        <v>0</v>
      </c>
      <c r="K97" s="155">
        <f>SUMIFS('recurring2_based on steps'!$B97:$AY97,'recurring2_based on steps'!$B$1:$AY$1,K$1)+SUMIFS('changes2_based on steps'!$B97:$U97,'changes2_based on steps'!$B$1:$U$1,K$1)</f>
        <v>0</v>
      </c>
      <c r="L97" s="155">
        <f>SUMIFS('recurring2_based on steps'!$B97:$AY97,'recurring2_based on steps'!$B$1:$AY$1,L$1)+SUMIFS('changes2_based on steps'!$B97:$U97,'changes2_based on steps'!$B$1:$U$1,L$1)</f>
        <v>0</v>
      </c>
      <c r="M97" s="155">
        <f ca="1">SUMIFS('recurring2_based on steps'!$B97:$AY97,'recurring2_based on steps'!$B$1:$AY$1,M$1)+SUMIFS('changes2_based on steps'!$B97:$U97,'changes2_based on steps'!$B$1:$U$1,M$1)</f>
        <v>0</v>
      </c>
      <c r="N97" s="155">
        <f ca="1">SUMIFS('recurring2_based on steps'!$B97:$AY97,'recurring2_based on steps'!$B$1:$AY$1,N$1)+SUMIFS('changes2_based on steps'!$B97:$U97,'changes2_based on steps'!$B$1:$U$1,N$1)</f>
        <v>0</v>
      </c>
      <c r="O97" s="155">
        <f ca="1">SUMIFS('recurring2_based on steps'!$B97:$AY97,'recurring2_based on steps'!$B$1:$AY$1,O$1)+SUMIFS('changes2_based on steps'!$B97:$U97,'changes2_based on steps'!$B$1:$U$1,O$1)</f>
        <v>0</v>
      </c>
      <c r="P97" s="155">
        <f ca="1">SUMIFS('recurring2_based on steps'!$B97:$AY97,'recurring2_based on steps'!$B$1:$AY$1,P$1)+SUMIFS('changes2_based on steps'!$B97:$U97,'changes2_based on steps'!$B$1:$U$1,P$1)</f>
        <v>0</v>
      </c>
      <c r="Q97" s="155">
        <f>SUMIFS('recurring2_based on steps'!$B97:$AY97,'recurring2_based on steps'!$B$1:$AY$1,Q$1)+SUMIFS('changes2_based on steps'!$B97:$U97,'changes2_based on steps'!$B$1:$U$1,Q$1)</f>
        <v>0</v>
      </c>
      <c r="R97" s="155">
        <f ca="1">SUMIFS('recurring2_based on steps'!$B97:$AY97,'recurring2_based on steps'!$B$1:$AY$1,R$1)+SUMIFS('changes2_based on steps'!$B97:$U97,'changes2_based on steps'!$B$1:$U$1,R$1)</f>
        <v>0</v>
      </c>
      <c r="S97" s="155">
        <f ca="1">SUMIFS('recurring2_based on steps'!$B97:$AY97,'recurring2_based on steps'!$B$1:$AY$1,S$1)+SUMIFS('changes2_based on steps'!$B97:$U97,'changes2_based on steps'!$B$1:$U$1,S$1)</f>
        <v>0</v>
      </c>
      <c r="T97" s="155">
        <f>SUMIFS('recurring2_based on steps'!$B97:$AY97,'recurring2_based on steps'!$B$1:$AY$1,T$1)+SUMIFS('changes2_based on steps'!$B97:$U97,'changes2_based on steps'!$B$1:$U$1,T$1)</f>
        <v>0</v>
      </c>
      <c r="U97" s="155">
        <f ca="1">SUMIFS('recurring2_based on steps'!$B97:$AY97,'recurring2_based on steps'!$B$1:$AY$1,U$1)+SUMIFS('changes2_based on steps'!$B97:$U97,'changes2_based on steps'!$B$1:$U$1,U$1)</f>
        <v>0</v>
      </c>
      <c r="V97" s="155">
        <f>SUMIFS('recurring2_based on steps'!$B97:$AY97,'recurring2_based on steps'!$B$1:$AY$1,V$1)+SUMIFS('changes2_based on steps'!$B97:$U97,'changes2_based on steps'!$B$1:$U$1,V$1)</f>
        <v>0</v>
      </c>
      <c r="W97" s="155">
        <f ca="1">SUMIFS('recurring2_based on steps'!$B97:$AY97,'recurring2_based on steps'!$B$1:$AY$1,W$1)+SUMIFS('changes2_based on steps'!$B97:$U97,'changes2_based on steps'!$B$1:$U$1,W$1)</f>
        <v>0</v>
      </c>
      <c r="X97" s="155">
        <f ca="1">SUMIFS('recurring2_based on steps'!$B97:$AY97,'recurring2_based on steps'!$B$1:$AY$1,X$1)+SUMIFS('changes2_based on steps'!$B97:$U97,'changes2_based on steps'!$B$1:$U$1,X$1)</f>
        <v>0</v>
      </c>
      <c r="Y97" s="155">
        <f ca="1">SUMIFS('recurring2_based on steps'!$B97:$AY97,'recurring2_based on steps'!$B$1:$AY$1,Y$1)+SUMIFS('changes2_based on steps'!$B97:$U97,'changes2_based on steps'!$B$1:$U$1,Y$1)</f>
        <v>0</v>
      </c>
      <c r="Z97" s="155">
        <f>SUMIFS('recurring2_based on steps'!$B97:$AY97,'recurring2_based on steps'!$B$1:$AY$1,Z$1)+SUMIFS('changes2_based on steps'!$B97:$U97,'changes2_based on steps'!$B$1:$U$1,Z$1)</f>
        <v>0</v>
      </c>
      <c r="AA97" s="155">
        <f>SUMIFS('recurring2_based on steps'!$B97:$AY97,'recurring2_based on steps'!$B$1:$AY$1,AA$1)+SUMIFS('changes2_based on steps'!$B97:$U97,'changes2_based on steps'!$B$1:$U$1,AA$1)</f>
        <v>0</v>
      </c>
    </row>
    <row r="98" spans="1:27" x14ac:dyDescent="0.2">
      <c r="A98" s="18">
        <f t="shared" ca="1" si="1"/>
        <v>45784</v>
      </c>
      <c r="B98" s="155">
        <f ca="1">SUMIFS('recurring2_based on steps'!$B98:$AY98,'recurring2_based on steps'!$B$1:$AY$1,B$1)+SUMIFS('changes2_based on steps'!$B98:$U98,'changes2_based on steps'!$B$1:$U$1,B$1)</f>
        <v>100</v>
      </c>
      <c r="C98" s="155">
        <f>SUMIFS('recurring2_based on steps'!$B98:$AY98,'recurring2_based on steps'!$B$1:$AY$1,C$1)+SUMIFS('changes2_based on steps'!$B98:$U98,'changes2_based on steps'!$B$1:$U$1,C$1)</f>
        <v>0</v>
      </c>
      <c r="D98" s="155">
        <f>SUMIFS('recurring2_based on steps'!$B98:$AY98,'recurring2_based on steps'!$B$1:$AY$1,D$1)+SUMIFS('changes2_based on steps'!$B98:$U98,'changes2_based on steps'!$B$1:$U$1,D$1)</f>
        <v>0</v>
      </c>
      <c r="E98" s="155">
        <f>SUMIFS('recurring2_based on steps'!$B98:$AY98,'recurring2_based on steps'!$B$1:$AY$1,E$1)+SUMIFS('changes2_based on steps'!$B98:$U98,'changes2_based on steps'!$B$1:$U$1,E$1)</f>
        <v>0</v>
      </c>
      <c r="F98" s="155">
        <f>SUMIFS('recurring2_based on steps'!$B98:$AY98,'recurring2_based on steps'!$B$1:$AY$1,F$1)+SUMIFS('changes2_based on steps'!$B98:$U98,'changes2_based on steps'!$B$1:$U$1,F$1)</f>
        <v>0</v>
      </c>
      <c r="G98" s="155">
        <f>SUMIFS('recurring2_based on steps'!$B98:$AY98,'recurring2_based on steps'!$B$1:$AY$1,G$1)+SUMIFS('changes2_based on steps'!$B98:$U98,'changes2_based on steps'!$B$1:$U$1,G$1)</f>
        <v>0</v>
      </c>
      <c r="H98" s="155">
        <f ca="1">SUMIFS('recurring2_based on steps'!$B98:$AY98,'recurring2_based on steps'!$B$1:$AY$1,H$1)+SUMIFS('changes2_based on steps'!$B98:$U98,'changes2_based on steps'!$B$1:$U$1,H$1)</f>
        <v>0</v>
      </c>
      <c r="I98" s="155">
        <f>SUMIFS('recurring2_based on steps'!$B98:$AY98,'recurring2_based on steps'!$B$1:$AY$1,I$1)+SUMIFS('changes2_based on steps'!$B98:$U98,'changes2_based on steps'!$B$1:$U$1,I$1)</f>
        <v>0</v>
      </c>
      <c r="J98" s="155">
        <f>SUMIFS('recurring2_based on steps'!$B98:$AY98,'recurring2_based on steps'!$B$1:$AY$1,J$1)+SUMIFS('changes2_based on steps'!$B98:$U98,'changes2_based on steps'!$B$1:$U$1,J$1)</f>
        <v>0</v>
      </c>
      <c r="K98" s="155">
        <f>SUMIFS('recurring2_based on steps'!$B98:$AY98,'recurring2_based on steps'!$B$1:$AY$1,K$1)+SUMIFS('changes2_based on steps'!$B98:$U98,'changes2_based on steps'!$B$1:$U$1,K$1)</f>
        <v>0</v>
      </c>
      <c r="L98" s="155">
        <f>SUMIFS('recurring2_based on steps'!$B98:$AY98,'recurring2_based on steps'!$B$1:$AY$1,L$1)+SUMIFS('changes2_based on steps'!$B98:$U98,'changes2_based on steps'!$B$1:$U$1,L$1)</f>
        <v>0</v>
      </c>
      <c r="M98" s="155">
        <f ca="1">SUMIFS('recurring2_based on steps'!$B98:$AY98,'recurring2_based on steps'!$B$1:$AY$1,M$1)+SUMIFS('changes2_based on steps'!$B98:$U98,'changes2_based on steps'!$B$1:$U$1,M$1)</f>
        <v>0</v>
      </c>
      <c r="N98" s="155">
        <f ca="1">SUMIFS('recurring2_based on steps'!$B98:$AY98,'recurring2_based on steps'!$B$1:$AY$1,N$1)+SUMIFS('changes2_based on steps'!$B98:$U98,'changes2_based on steps'!$B$1:$U$1,N$1)</f>
        <v>0</v>
      </c>
      <c r="O98" s="155">
        <f ca="1">SUMIFS('recurring2_based on steps'!$B98:$AY98,'recurring2_based on steps'!$B$1:$AY$1,O$1)+SUMIFS('changes2_based on steps'!$B98:$U98,'changes2_based on steps'!$B$1:$U$1,O$1)</f>
        <v>0</v>
      </c>
      <c r="P98" s="155">
        <f ca="1">SUMIFS('recurring2_based on steps'!$B98:$AY98,'recurring2_based on steps'!$B$1:$AY$1,P$1)+SUMIFS('changes2_based on steps'!$B98:$U98,'changes2_based on steps'!$B$1:$U$1,P$1)</f>
        <v>0</v>
      </c>
      <c r="Q98" s="155">
        <f>SUMIFS('recurring2_based on steps'!$B98:$AY98,'recurring2_based on steps'!$B$1:$AY$1,Q$1)+SUMIFS('changes2_based on steps'!$B98:$U98,'changes2_based on steps'!$B$1:$U$1,Q$1)</f>
        <v>0</v>
      </c>
      <c r="R98" s="155">
        <f ca="1">SUMIFS('recurring2_based on steps'!$B98:$AY98,'recurring2_based on steps'!$B$1:$AY$1,R$1)+SUMIFS('changes2_based on steps'!$B98:$U98,'changes2_based on steps'!$B$1:$U$1,R$1)</f>
        <v>0</v>
      </c>
      <c r="S98" s="155">
        <f ca="1">SUMIFS('recurring2_based on steps'!$B98:$AY98,'recurring2_based on steps'!$B$1:$AY$1,S$1)+SUMIFS('changes2_based on steps'!$B98:$U98,'changes2_based on steps'!$B$1:$U$1,S$1)</f>
        <v>0</v>
      </c>
      <c r="T98" s="155">
        <f>SUMIFS('recurring2_based on steps'!$B98:$AY98,'recurring2_based on steps'!$B$1:$AY$1,T$1)+SUMIFS('changes2_based on steps'!$B98:$U98,'changes2_based on steps'!$B$1:$U$1,T$1)</f>
        <v>0</v>
      </c>
      <c r="U98" s="155">
        <f ca="1">SUMIFS('recurring2_based on steps'!$B98:$AY98,'recurring2_based on steps'!$B$1:$AY$1,U$1)+SUMIFS('changes2_based on steps'!$B98:$U98,'changes2_based on steps'!$B$1:$U$1,U$1)</f>
        <v>0</v>
      </c>
      <c r="V98" s="155">
        <f>SUMIFS('recurring2_based on steps'!$B98:$AY98,'recurring2_based on steps'!$B$1:$AY$1,V$1)+SUMIFS('changes2_based on steps'!$B98:$U98,'changes2_based on steps'!$B$1:$U$1,V$1)</f>
        <v>0</v>
      </c>
      <c r="W98" s="155">
        <f ca="1">SUMIFS('recurring2_based on steps'!$B98:$AY98,'recurring2_based on steps'!$B$1:$AY$1,W$1)+SUMIFS('changes2_based on steps'!$B98:$U98,'changes2_based on steps'!$B$1:$U$1,W$1)</f>
        <v>0</v>
      </c>
      <c r="X98" s="155">
        <f ca="1">SUMIFS('recurring2_based on steps'!$B98:$AY98,'recurring2_based on steps'!$B$1:$AY$1,X$1)+SUMIFS('changes2_based on steps'!$B98:$U98,'changes2_based on steps'!$B$1:$U$1,X$1)</f>
        <v>0</v>
      </c>
      <c r="Y98" s="155">
        <f ca="1">SUMIFS('recurring2_based on steps'!$B98:$AY98,'recurring2_based on steps'!$B$1:$AY$1,Y$1)+SUMIFS('changes2_based on steps'!$B98:$U98,'changes2_based on steps'!$B$1:$U$1,Y$1)</f>
        <v>0</v>
      </c>
      <c r="Z98" s="155">
        <f>SUMIFS('recurring2_based on steps'!$B98:$AY98,'recurring2_based on steps'!$B$1:$AY$1,Z$1)+SUMIFS('changes2_based on steps'!$B98:$U98,'changes2_based on steps'!$B$1:$U$1,Z$1)</f>
        <v>0</v>
      </c>
      <c r="AA98" s="155">
        <f>SUMIFS('recurring2_based on steps'!$B98:$AY98,'recurring2_based on steps'!$B$1:$AY$1,AA$1)+SUMIFS('changes2_based on steps'!$B98:$U98,'changes2_based on steps'!$B$1:$U$1,AA$1)</f>
        <v>0</v>
      </c>
    </row>
    <row r="99" spans="1:27" x14ac:dyDescent="0.2">
      <c r="A99" s="18">
        <f t="shared" ca="1" si="1"/>
        <v>45785</v>
      </c>
      <c r="B99" s="155">
        <f ca="1">SUMIFS('recurring2_based on steps'!$B99:$AY99,'recurring2_based on steps'!$B$1:$AY$1,B$1)+SUMIFS('changes2_based on steps'!$B99:$U99,'changes2_based on steps'!$B$1:$U$1,B$1)</f>
        <v>0</v>
      </c>
      <c r="C99" s="155">
        <f>SUMIFS('recurring2_based on steps'!$B99:$AY99,'recurring2_based on steps'!$B$1:$AY$1,C$1)+SUMIFS('changes2_based on steps'!$B99:$U99,'changes2_based on steps'!$B$1:$U$1,C$1)</f>
        <v>0</v>
      </c>
      <c r="D99" s="155">
        <f>SUMIFS('recurring2_based on steps'!$B99:$AY99,'recurring2_based on steps'!$B$1:$AY$1,D$1)+SUMIFS('changes2_based on steps'!$B99:$U99,'changes2_based on steps'!$B$1:$U$1,D$1)</f>
        <v>0</v>
      </c>
      <c r="E99" s="155">
        <f>SUMIFS('recurring2_based on steps'!$B99:$AY99,'recurring2_based on steps'!$B$1:$AY$1,E$1)+SUMIFS('changes2_based on steps'!$B99:$U99,'changes2_based on steps'!$B$1:$U$1,E$1)</f>
        <v>0</v>
      </c>
      <c r="F99" s="155">
        <f>SUMIFS('recurring2_based on steps'!$B99:$AY99,'recurring2_based on steps'!$B$1:$AY$1,F$1)+SUMIFS('changes2_based on steps'!$B99:$U99,'changes2_based on steps'!$B$1:$U$1,F$1)</f>
        <v>0</v>
      </c>
      <c r="G99" s="155">
        <f>SUMIFS('recurring2_based on steps'!$B99:$AY99,'recurring2_based on steps'!$B$1:$AY$1,G$1)+SUMIFS('changes2_based on steps'!$B99:$U99,'changes2_based on steps'!$B$1:$U$1,G$1)</f>
        <v>0</v>
      </c>
      <c r="H99" s="155">
        <f ca="1">SUMIFS('recurring2_based on steps'!$B99:$AY99,'recurring2_based on steps'!$B$1:$AY$1,H$1)+SUMIFS('changes2_based on steps'!$B99:$U99,'changes2_based on steps'!$B$1:$U$1,H$1)</f>
        <v>0</v>
      </c>
      <c r="I99" s="155">
        <f>SUMIFS('recurring2_based on steps'!$B99:$AY99,'recurring2_based on steps'!$B$1:$AY$1,I$1)+SUMIFS('changes2_based on steps'!$B99:$U99,'changes2_based on steps'!$B$1:$U$1,I$1)</f>
        <v>0</v>
      </c>
      <c r="J99" s="155">
        <f>SUMIFS('recurring2_based on steps'!$B99:$AY99,'recurring2_based on steps'!$B$1:$AY$1,J$1)+SUMIFS('changes2_based on steps'!$B99:$U99,'changes2_based on steps'!$B$1:$U$1,J$1)</f>
        <v>0</v>
      </c>
      <c r="K99" s="155">
        <f>SUMIFS('recurring2_based on steps'!$B99:$AY99,'recurring2_based on steps'!$B$1:$AY$1,K$1)+SUMIFS('changes2_based on steps'!$B99:$U99,'changes2_based on steps'!$B$1:$U$1,K$1)</f>
        <v>0</v>
      </c>
      <c r="L99" s="155">
        <f>SUMIFS('recurring2_based on steps'!$B99:$AY99,'recurring2_based on steps'!$B$1:$AY$1,L$1)+SUMIFS('changes2_based on steps'!$B99:$U99,'changes2_based on steps'!$B$1:$U$1,L$1)</f>
        <v>0</v>
      </c>
      <c r="M99" s="155">
        <f ca="1">SUMIFS('recurring2_based on steps'!$B99:$AY99,'recurring2_based on steps'!$B$1:$AY$1,M$1)+SUMIFS('changes2_based on steps'!$B99:$U99,'changes2_based on steps'!$B$1:$U$1,M$1)</f>
        <v>0</v>
      </c>
      <c r="N99" s="155">
        <f ca="1">SUMIFS('recurring2_based on steps'!$B99:$AY99,'recurring2_based on steps'!$B$1:$AY$1,N$1)+SUMIFS('changes2_based on steps'!$B99:$U99,'changes2_based on steps'!$B$1:$U$1,N$1)</f>
        <v>0</v>
      </c>
      <c r="O99" s="155">
        <f ca="1">SUMIFS('recurring2_based on steps'!$B99:$AY99,'recurring2_based on steps'!$B$1:$AY$1,O$1)+SUMIFS('changes2_based on steps'!$B99:$U99,'changes2_based on steps'!$B$1:$U$1,O$1)</f>
        <v>0</v>
      </c>
      <c r="P99" s="155">
        <f ca="1">SUMIFS('recurring2_based on steps'!$B99:$AY99,'recurring2_based on steps'!$B$1:$AY$1,P$1)+SUMIFS('changes2_based on steps'!$B99:$U99,'changes2_based on steps'!$B$1:$U$1,P$1)</f>
        <v>0</v>
      </c>
      <c r="Q99" s="155">
        <f>SUMIFS('recurring2_based on steps'!$B99:$AY99,'recurring2_based on steps'!$B$1:$AY$1,Q$1)+SUMIFS('changes2_based on steps'!$B99:$U99,'changes2_based on steps'!$B$1:$U$1,Q$1)</f>
        <v>0</v>
      </c>
      <c r="R99" s="155">
        <f ca="1">SUMIFS('recurring2_based on steps'!$B99:$AY99,'recurring2_based on steps'!$B$1:$AY$1,R$1)+SUMIFS('changes2_based on steps'!$B99:$U99,'changes2_based on steps'!$B$1:$U$1,R$1)</f>
        <v>0</v>
      </c>
      <c r="S99" s="155">
        <f ca="1">SUMIFS('recurring2_based on steps'!$B99:$AY99,'recurring2_based on steps'!$B$1:$AY$1,S$1)+SUMIFS('changes2_based on steps'!$B99:$U99,'changes2_based on steps'!$B$1:$U$1,S$1)</f>
        <v>0</v>
      </c>
      <c r="T99" s="155">
        <f>SUMIFS('recurring2_based on steps'!$B99:$AY99,'recurring2_based on steps'!$B$1:$AY$1,T$1)+SUMIFS('changes2_based on steps'!$B99:$U99,'changes2_based on steps'!$B$1:$U$1,T$1)</f>
        <v>0</v>
      </c>
      <c r="U99" s="155">
        <f ca="1">SUMIFS('recurring2_based on steps'!$B99:$AY99,'recurring2_based on steps'!$B$1:$AY$1,U$1)+SUMIFS('changes2_based on steps'!$B99:$U99,'changes2_based on steps'!$B$1:$U$1,U$1)</f>
        <v>0</v>
      </c>
      <c r="V99" s="155">
        <f>SUMIFS('recurring2_based on steps'!$B99:$AY99,'recurring2_based on steps'!$B$1:$AY$1,V$1)+SUMIFS('changes2_based on steps'!$B99:$U99,'changes2_based on steps'!$B$1:$U$1,V$1)</f>
        <v>0</v>
      </c>
      <c r="W99" s="155">
        <f ca="1">SUMIFS('recurring2_based on steps'!$B99:$AY99,'recurring2_based on steps'!$B$1:$AY$1,W$1)+SUMIFS('changes2_based on steps'!$B99:$U99,'changes2_based on steps'!$B$1:$U$1,W$1)</f>
        <v>0</v>
      </c>
      <c r="X99" s="155">
        <f ca="1">SUMIFS('recurring2_based on steps'!$B99:$AY99,'recurring2_based on steps'!$B$1:$AY$1,X$1)+SUMIFS('changes2_based on steps'!$B99:$U99,'changes2_based on steps'!$B$1:$U$1,X$1)</f>
        <v>0</v>
      </c>
      <c r="Y99" s="155">
        <f ca="1">SUMIFS('recurring2_based on steps'!$B99:$AY99,'recurring2_based on steps'!$B$1:$AY$1,Y$1)+SUMIFS('changes2_based on steps'!$B99:$U99,'changes2_based on steps'!$B$1:$U$1,Y$1)</f>
        <v>0</v>
      </c>
      <c r="Z99" s="155">
        <f>SUMIFS('recurring2_based on steps'!$B99:$AY99,'recurring2_based on steps'!$B$1:$AY$1,Z$1)+SUMIFS('changes2_based on steps'!$B99:$U99,'changes2_based on steps'!$B$1:$U$1,Z$1)</f>
        <v>0</v>
      </c>
      <c r="AA99" s="155">
        <f>SUMIFS('recurring2_based on steps'!$B99:$AY99,'recurring2_based on steps'!$B$1:$AY$1,AA$1)+SUMIFS('changes2_based on steps'!$B99:$U99,'changes2_based on steps'!$B$1:$U$1,AA$1)</f>
        <v>0</v>
      </c>
    </row>
    <row r="100" spans="1:27" x14ac:dyDescent="0.2">
      <c r="A100" s="18">
        <f t="shared" ca="1" si="1"/>
        <v>45786</v>
      </c>
      <c r="B100" s="155">
        <f ca="1">SUMIFS('recurring2_based on steps'!$B100:$AY100,'recurring2_based on steps'!$B$1:$AY$1,B$1)+SUMIFS('changes2_based on steps'!$B100:$U100,'changes2_based on steps'!$B$1:$U$1,B$1)</f>
        <v>0</v>
      </c>
      <c r="C100" s="155">
        <f>SUMIFS('recurring2_based on steps'!$B100:$AY100,'recurring2_based on steps'!$B$1:$AY$1,C$1)+SUMIFS('changes2_based on steps'!$B100:$U100,'changes2_based on steps'!$B$1:$U$1,C$1)</f>
        <v>0</v>
      </c>
      <c r="D100" s="155">
        <f>SUMIFS('recurring2_based on steps'!$B100:$AY100,'recurring2_based on steps'!$B$1:$AY$1,D$1)+SUMIFS('changes2_based on steps'!$B100:$U100,'changes2_based on steps'!$B$1:$U$1,D$1)</f>
        <v>0</v>
      </c>
      <c r="E100" s="155">
        <f>SUMIFS('recurring2_based on steps'!$B100:$AY100,'recurring2_based on steps'!$B$1:$AY$1,E$1)+SUMIFS('changes2_based on steps'!$B100:$U100,'changes2_based on steps'!$B$1:$U$1,E$1)</f>
        <v>0</v>
      </c>
      <c r="F100" s="155">
        <f>SUMIFS('recurring2_based on steps'!$B100:$AY100,'recurring2_based on steps'!$B$1:$AY$1,F$1)+SUMIFS('changes2_based on steps'!$B100:$U100,'changes2_based on steps'!$B$1:$U$1,F$1)</f>
        <v>0</v>
      </c>
      <c r="G100" s="155">
        <f>SUMIFS('recurring2_based on steps'!$B100:$AY100,'recurring2_based on steps'!$B$1:$AY$1,G$1)+SUMIFS('changes2_based on steps'!$B100:$U100,'changes2_based on steps'!$B$1:$U$1,G$1)</f>
        <v>0</v>
      </c>
      <c r="H100" s="155">
        <f ca="1">SUMIFS('recurring2_based on steps'!$B100:$AY100,'recurring2_based on steps'!$B$1:$AY$1,H$1)+SUMIFS('changes2_based on steps'!$B100:$U100,'changes2_based on steps'!$B$1:$U$1,H$1)</f>
        <v>0</v>
      </c>
      <c r="I100" s="155">
        <f>SUMIFS('recurring2_based on steps'!$B100:$AY100,'recurring2_based on steps'!$B$1:$AY$1,I$1)+SUMIFS('changes2_based on steps'!$B100:$U100,'changes2_based on steps'!$B$1:$U$1,I$1)</f>
        <v>0</v>
      </c>
      <c r="J100" s="155">
        <f>SUMIFS('recurring2_based on steps'!$B100:$AY100,'recurring2_based on steps'!$B$1:$AY$1,J$1)+SUMIFS('changes2_based on steps'!$B100:$U100,'changes2_based on steps'!$B$1:$U$1,J$1)</f>
        <v>0</v>
      </c>
      <c r="K100" s="155">
        <f>SUMIFS('recurring2_based on steps'!$B100:$AY100,'recurring2_based on steps'!$B$1:$AY$1,K$1)+SUMIFS('changes2_based on steps'!$B100:$U100,'changes2_based on steps'!$B$1:$U$1,K$1)</f>
        <v>0</v>
      </c>
      <c r="L100" s="155">
        <f>SUMIFS('recurring2_based on steps'!$B100:$AY100,'recurring2_based on steps'!$B$1:$AY$1,L$1)+SUMIFS('changes2_based on steps'!$B100:$U100,'changes2_based on steps'!$B$1:$U$1,L$1)</f>
        <v>0</v>
      </c>
      <c r="M100" s="155">
        <f ca="1">SUMIFS('recurring2_based on steps'!$B100:$AY100,'recurring2_based on steps'!$B$1:$AY$1,M$1)+SUMIFS('changes2_based on steps'!$B100:$U100,'changes2_based on steps'!$B$1:$U$1,M$1)</f>
        <v>0</v>
      </c>
      <c r="N100" s="155">
        <f ca="1">SUMIFS('recurring2_based on steps'!$B100:$AY100,'recurring2_based on steps'!$B$1:$AY$1,N$1)+SUMIFS('changes2_based on steps'!$B100:$U100,'changes2_based on steps'!$B$1:$U$1,N$1)</f>
        <v>0</v>
      </c>
      <c r="O100" s="155">
        <f ca="1">SUMIFS('recurring2_based on steps'!$B100:$AY100,'recurring2_based on steps'!$B$1:$AY$1,O$1)+SUMIFS('changes2_based on steps'!$B100:$U100,'changes2_based on steps'!$B$1:$U$1,O$1)</f>
        <v>0</v>
      </c>
      <c r="P100" s="155">
        <f ca="1">SUMIFS('recurring2_based on steps'!$B100:$AY100,'recurring2_based on steps'!$B$1:$AY$1,P$1)+SUMIFS('changes2_based on steps'!$B100:$U100,'changes2_based on steps'!$B$1:$U$1,P$1)</f>
        <v>0</v>
      </c>
      <c r="Q100" s="155">
        <f>SUMIFS('recurring2_based on steps'!$B100:$AY100,'recurring2_based on steps'!$B$1:$AY$1,Q$1)+SUMIFS('changes2_based on steps'!$B100:$U100,'changes2_based on steps'!$B$1:$U$1,Q$1)</f>
        <v>0</v>
      </c>
      <c r="R100" s="155">
        <f ca="1">SUMIFS('recurring2_based on steps'!$B100:$AY100,'recurring2_based on steps'!$B$1:$AY$1,R$1)+SUMIFS('changes2_based on steps'!$B100:$U100,'changes2_based on steps'!$B$1:$U$1,R$1)</f>
        <v>0</v>
      </c>
      <c r="S100" s="155">
        <f ca="1">SUMIFS('recurring2_based on steps'!$B100:$AY100,'recurring2_based on steps'!$B$1:$AY$1,S$1)+SUMIFS('changes2_based on steps'!$B100:$U100,'changes2_based on steps'!$B$1:$U$1,S$1)</f>
        <v>0</v>
      </c>
      <c r="T100" s="155">
        <f>SUMIFS('recurring2_based on steps'!$B100:$AY100,'recurring2_based on steps'!$B$1:$AY$1,T$1)+SUMIFS('changes2_based on steps'!$B100:$U100,'changes2_based on steps'!$B$1:$U$1,T$1)</f>
        <v>0</v>
      </c>
      <c r="U100" s="155">
        <f ca="1">SUMIFS('recurring2_based on steps'!$B100:$AY100,'recurring2_based on steps'!$B$1:$AY$1,U$1)+SUMIFS('changes2_based on steps'!$B100:$U100,'changes2_based on steps'!$B$1:$U$1,U$1)</f>
        <v>0</v>
      </c>
      <c r="V100" s="155">
        <f>SUMIFS('recurring2_based on steps'!$B100:$AY100,'recurring2_based on steps'!$B$1:$AY$1,V$1)+SUMIFS('changes2_based on steps'!$B100:$U100,'changes2_based on steps'!$B$1:$U$1,V$1)</f>
        <v>0</v>
      </c>
      <c r="W100" s="155">
        <f ca="1">SUMIFS('recurring2_based on steps'!$B100:$AY100,'recurring2_based on steps'!$B$1:$AY$1,W$1)+SUMIFS('changes2_based on steps'!$B100:$U100,'changes2_based on steps'!$B$1:$U$1,W$1)</f>
        <v>0</v>
      </c>
      <c r="X100" s="155">
        <f ca="1">SUMIFS('recurring2_based on steps'!$B100:$AY100,'recurring2_based on steps'!$B$1:$AY$1,X$1)+SUMIFS('changes2_based on steps'!$B100:$U100,'changes2_based on steps'!$B$1:$U$1,X$1)</f>
        <v>0</v>
      </c>
      <c r="Y100" s="155">
        <f ca="1">SUMIFS('recurring2_based on steps'!$B100:$AY100,'recurring2_based on steps'!$B$1:$AY$1,Y$1)+SUMIFS('changes2_based on steps'!$B100:$U100,'changes2_based on steps'!$B$1:$U$1,Y$1)</f>
        <v>0</v>
      </c>
      <c r="Z100" s="155">
        <f>SUMIFS('recurring2_based on steps'!$B100:$AY100,'recurring2_based on steps'!$B$1:$AY$1,Z$1)+SUMIFS('changes2_based on steps'!$B100:$U100,'changes2_based on steps'!$B$1:$U$1,Z$1)</f>
        <v>0</v>
      </c>
      <c r="AA100" s="155">
        <f>SUMIFS('recurring2_based on steps'!$B100:$AY100,'recurring2_based on steps'!$B$1:$AY$1,AA$1)+SUMIFS('changes2_based on steps'!$B100:$U100,'changes2_based on steps'!$B$1:$U$1,AA$1)</f>
        <v>0</v>
      </c>
    </row>
    <row r="101" spans="1:27" x14ac:dyDescent="0.2">
      <c r="A101" s="18">
        <f t="shared" ca="1" si="1"/>
        <v>45787</v>
      </c>
      <c r="B101" s="155">
        <f ca="1">SUMIFS('recurring2_based on steps'!$B101:$AY101,'recurring2_based on steps'!$B$1:$AY$1,B$1)+SUMIFS('changes2_based on steps'!$B101:$U101,'changes2_based on steps'!$B$1:$U$1,B$1)</f>
        <v>0</v>
      </c>
      <c r="C101" s="155">
        <f>SUMIFS('recurring2_based on steps'!$B101:$AY101,'recurring2_based on steps'!$B$1:$AY$1,C$1)+SUMIFS('changes2_based on steps'!$B101:$U101,'changes2_based on steps'!$B$1:$U$1,C$1)</f>
        <v>0</v>
      </c>
      <c r="D101" s="155">
        <f>SUMIFS('recurring2_based on steps'!$B101:$AY101,'recurring2_based on steps'!$B$1:$AY$1,D$1)+SUMIFS('changes2_based on steps'!$B101:$U101,'changes2_based on steps'!$B$1:$U$1,D$1)</f>
        <v>0</v>
      </c>
      <c r="E101" s="155">
        <f>SUMIFS('recurring2_based on steps'!$B101:$AY101,'recurring2_based on steps'!$B$1:$AY$1,E$1)+SUMIFS('changes2_based on steps'!$B101:$U101,'changes2_based on steps'!$B$1:$U$1,E$1)</f>
        <v>0</v>
      </c>
      <c r="F101" s="155">
        <f>SUMIFS('recurring2_based on steps'!$B101:$AY101,'recurring2_based on steps'!$B$1:$AY$1,F$1)+SUMIFS('changes2_based on steps'!$B101:$U101,'changes2_based on steps'!$B$1:$U$1,F$1)</f>
        <v>0</v>
      </c>
      <c r="G101" s="155">
        <f>SUMIFS('recurring2_based on steps'!$B101:$AY101,'recurring2_based on steps'!$B$1:$AY$1,G$1)+SUMIFS('changes2_based on steps'!$B101:$U101,'changes2_based on steps'!$B$1:$U$1,G$1)</f>
        <v>0</v>
      </c>
      <c r="H101" s="155">
        <f ca="1">SUMIFS('recurring2_based on steps'!$B101:$AY101,'recurring2_based on steps'!$B$1:$AY$1,H$1)+SUMIFS('changes2_based on steps'!$B101:$U101,'changes2_based on steps'!$B$1:$U$1,H$1)</f>
        <v>0</v>
      </c>
      <c r="I101" s="155">
        <f>SUMIFS('recurring2_based on steps'!$B101:$AY101,'recurring2_based on steps'!$B$1:$AY$1,I$1)+SUMIFS('changes2_based on steps'!$B101:$U101,'changes2_based on steps'!$B$1:$U$1,I$1)</f>
        <v>0</v>
      </c>
      <c r="J101" s="155">
        <f>SUMIFS('recurring2_based on steps'!$B101:$AY101,'recurring2_based on steps'!$B$1:$AY$1,J$1)+SUMIFS('changes2_based on steps'!$B101:$U101,'changes2_based on steps'!$B$1:$U$1,J$1)</f>
        <v>0</v>
      </c>
      <c r="K101" s="155">
        <f>SUMIFS('recurring2_based on steps'!$B101:$AY101,'recurring2_based on steps'!$B$1:$AY$1,K$1)+SUMIFS('changes2_based on steps'!$B101:$U101,'changes2_based on steps'!$B$1:$U$1,K$1)</f>
        <v>0</v>
      </c>
      <c r="L101" s="155">
        <f>SUMIFS('recurring2_based on steps'!$B101:$AY101,'recurring2_based on steps'!$B$1:$AY$1,L$1)+SUMIFS('changes2_based on steps'!$B101:$U101,'changes2_based on steps'!$B$1:$U$1,L$1)</f>
        <v>0</v>
      </c>
      <c r="M101" s="155">
        <f ca="1">SUMIFS('recurring2_based on steps'!$B101:$AY101,'recurring2_based on steps'!$B$1:$AY$1,M$1)+SUMIFS('changes2_based on steps'!$B101:$U101,'changes2_based on steps'!$B$1:$U$1,M$1)</f>
        <v>0</v>
      </c>
      <c r="N101" s="155">
        <f ca="1">SUMIFS('recurring2_based on steps'!$B101:$AY101,'recurring2_based on steps'!$B$1:$AY$1,N$1)+SUMIFS('changes2_based on steps'!$B101:$U101,'changes2_based on steps'!$B$1:$U$1,N$1)</f>
        <v>0</v>
      </c>
      <c r="O101" s="155">
        <f ca="1">SUMIFS('recurring2_based on steps'!$B101:$AY101,'recurring2_based on steps'!$B$1:$AY$1,O$1)+SUMIFS('changes2_based on steps'!$B101:$U101,'changes2_based on steps'!$B$1:$U$1,O$1)</f>
        <v>0</v>
      </c>
      <c r="P101" s="155">
        <f ca="1">SUMIFS('recurring2_based on steps'!$B101:$AY101,'recurring2_based on steps'!$B$1:$AY$1,P$1)+SUMIFS('changes2_based on steps'!$B101:$U101,'changes2_based on steps'!$B$1:$U$1,P$1)</f>
        <v>0</v>
      </c>
      <c r="Q101" s="155">
        <f>SUMIFS('recurring2_based on steps'!$B101:$AY101,'recurring2_based on steps'!$B$1:$AY$1,Q$1)+SUMIFS('changes2_based on steps'!$B101:$U101,'changes2_based on steps'!$B$1:$U$1,Q$1)</f>
        <v>0</v>
      </c>
      <c r="R101" s="155">
        <f ca="1">SUMIFS('recurring2_based on steps'!$B101:$AY101,'recurring2_based on steps'!$B$1:$AY$1,R$1)+SUMIFS('changes2_based on steps'!$B101:$U101,'changes2_based on steps'!$B$1:$U$1,R$1)</f>
        <v>100</v>
      </c>
      <c r="S101" s="155">
        <f ca="1">SUMIFS('recurring2_based on steps'!$B101:$AY101,'recurring2_based on steps'!$B$1:$AY$1,S$1)+SUMIFS('changes2_based on steps'!$B101:$U101,'changes2_based on steps'!$B$1:$U$1,S$1)</f>
        <v>100</v>
      </c>
      <c r="T101" s="155">
        <f>SUMIFS('recurring2_based on steps'!$B101:$AY101,'recurring2_based on steps'!$B$1:$AY$1,T$1)+SUMIFS('changes2_based on steps'!$B101:$U101,'changes2_based on steps'!$B$1:$U$1,T$1)</f>
        <v>0</v>
      </c>
      <c r="U101" s="155">
        <f ca="1">SUMIFS('recurring2_based on steps'!$B101:$AY101,'recurring2_based on steps'!$B$1:$AY$1,U$1)+SUMIFS('changes2_based on steps'!$B101:$U101,'changes2_based on steps'!$B$1:$U$1,U$1)</f>
        <v>0</v>
      </c>
      <c r="V101" s="155">
        <f>SUMIFS('recurring2_based on steps'!$B101:$AY101,'recurring2_based on steps'!$B$1:$AY$1,V$1)+SUMIFS('changes2_based on steps'!$B101:$U101,'changes2_based on steps'!$B$1:$U$1,V$1)</f>
        <v>0</v>
      </c>
      <c r="W101" s="155">
        <f ca="1">SUMIFS('recurring2_based on steps'!$B101:$AY101,'recurring2_based on steps'!$B$1:$AY$1,W$1)+SUMIFS('changes2_based on steps'!$B101:$U101,'changes2_based on steps'!$B$1:$U$1,W$1)</f>
        <v>0</v>
      </c>
      <c r="X101" s="155">
        <f ca="1">SUMIFS('recurring2_based on steps'!$B101:$AY101,'recurring2_based on steps'!$B$1:$AY$1,X$1)+SUMIFS('changes2_based on steps'!$B101:$U101,'changes2_based on steps'!$B$1:$U$1,X$1)</f>
        <v>0</v>
      </c>
      <c r="Y101" s="155">
        <f ca="1">SUMIFS('recurring2_based on steps'!$B101:$AY101,'recurring2_based on steps'!$B$1:$AY$1,Y$1)+SUMIFS('changes2_based on steps'!$B101:$U101,'changes2_based on steps'!$B$1:$U$1,Y$1)</f>
        <v>0</v>
      </c>
      <c r="Z101" s="155">
        <f>SUMIFS('recurring2_based on steps'!$B101:$AY101,'recurring2_based on steps'!$B$1:$AY$1,Z$1)+SUMIFS('changes2_based on steps'!$B101:$U101,'changes2_based on steps'!$B$1:$U$1,Z$1)</f>
        <v>0</v>
      </c>
      <c r="AA101" s="155">
        <f>SUMIFS('recurring2_based on steps'!$B101:$AY101,'recurring2_based on steps'!$B$1:$AY$1,AA$1)+SUMIFS('changes2_based on steps'!$B101:$U101,'changes2_based on steps'!$B$1:$U$1,AA$1)</f>
        <v>0</v>
      </c>
    </row>
    <row r="102" spans="1:27" x14ac:dyDescent="0.2">
      <c r="A102" s="18">
        <f t="shared" ca="1" si="1"/>
        <v>45788</v>
      </c>
      <c r="B102" s="155">
        <f ca="1">SUMIFS('recurring2_based on steps'!$B102:$AY102,'recurring2_based on steps'!$B$1:$AY$1,B$1)+SUMIFS('changes2_based on steps'!$B102:$U102,'changes2_based on steps'!$B$1:$U$1,B$1)</f>
        <v>0</v>
      </c>
      <c r="C102" s="155">
        <f>SUMIFS('recurring2_based on steps'!$B102:$AY102,'recurring2_based on steps'!$B$1:$AY$1,C$1)+SUMIFS('changes2_based on steps'!$B102:$U102,'changes2_based on steps'!$B$1:$U$1,C$1)</f>
        <v>0</v>
      </c>
      <c r="D102" s="155">
        <f>SUMIFS('recurring2_based on steps'!$B102:$AY102,'recurring2_based on steps'!$B$1:$AY$1,D$1)+SUMIFS('changes2_based on steps'!$B102:$U102,'changes2_based on steps'!$B$1:$U$1,D$1)</f>
        <v>0</v>
      </c>
      <c r="E102" s="155">
        <f>SUMIFS('recurring2_based on steps'!$B102:$AY102,'recurring2_based on steps'!$B$1:$AY$1,E$1)+SUMIFS('changes2_based on steps'!$B102:$U102,'changes2_based on steps'!$B$1:$U$1,E$1)</f>
        <v>0</v>
      </c>
      <c r="F102" s="155">
        <f>SUMIFS('recurring2_based on steps'!$B102:$AY102,'recurring2_based on steps'!$B$1:$AY$1,F$1)+SUMIFS('changes2_based on steps'!$B102:$U102,'changes2_based on steps'!$B$1:$U$1,F$1)</f>
        <v>0</v>
      </c>
      <c r="G102" s="155">
        <f>SUMIFS('recurring2_based on steps'!$B102:$AY102,'recurring2_based on steps'!$B$1:$AY$1,G$1)+SUMIFS('changes2_based on steps'!$B102:$U102,'changes2_based on steps'!$B$1:$U$1,G$1)</f>
        <v>0</v>
      </c>
      <c r="H102" s="155">
        <f ca="1">SUMIFS('recurring2_based on steps'!$B102:$AY102,'recurring2_based on steps'!$B$1:$AY$1,H$1)+SUMIFS('changes2_based on steps'!$B102:$U102,'changes2_based on steps'!$B$1:$U$1,H$1)</f>
        <v>0</v>
      </c>
      <c r="I102" s="155">
        <f>SUMIFS('recurring2_based on steps'!$B102:$AY102,'recurring2_based on steps'!$B$1:$AY$1,I$1)+SUMIFS('changes2_based on steps'!$B102:$U102,'changes2_based on steps'!$B$1:$U$1,I$1)</f>
        <v>0</v>
      </c>
      <c r="J102" s="155">
        <f>SUMIFS('recurring2_based on steps'!$B102:$AY102,'recurring2_based on steps'!$B$1:$AY$1,J$1)+SUMIFS('changes2_based on steps'!$B102:$U102,'changes2_based on steps'!$B$1:$U$1,J$1)</f>
        <v>0</v>
      </c>
      <c r="K102" s="155">
        <f>SUMIFS('recurring2_based on steps'!$B102:$AY102,'recurring2_based on steps'!$B$1:$AY$1,K$1)+SUMIFS('changes2_based on steps'!$B102:$U102,'changes2_based on steps'!$B$1:$U$1,K$1)</f>
        <v>0</v>
      </c>
      <c r="L102" s="155">
        <f>SUMIFS('recurring2_based on steps'!$B102:$AY102,'recurring2_based on steps'!$B$1:$AY$1,L$1)+SUMIFS('changes2_based on steps'!$B102:$U102,'changes2_based on steps'!$B$1:$U$1,L$1)</f>
        <v>0</v>
      </c>
      <c r="M102" s="155">
        <f ca="1">SUMIFS('recurring2_based on steps'!$B102:$AY102,'recurring2_based on steps'!$B$1:$AY$1,M$1)+SUMIFS('changes2_based on steps'!$B102:$U102,'changes2_based on steps'!$B$1:$U$1,M$1)</f>
        <v>0</v>
      </c>
      <c r="N102" s="155">
        <f ca="1">SUMIFS('recurring2_based on steps'!$B102:$AY102,'recurring2_based on steps'!$B$1:$AY$1,N$1)+SUMIFS('changes2_based on steps'!$B102:$U102,'changes2_based on steps'!$B$1:$U$1,N$1)</f>
        <v>50</v>
      </c>
      <c r="O102" s="155">
        <f ca="1">SUMIFS('recurring2_based on steps'!$B102:$AY102,'recurring2_based on steps'!$B$1:$AY$1,O$1)+SUMIFS('changes2_based on steps'!$B102:$U102,'changes2_based on steps'!$B$1:$U$1,O$1)</f>
        <v>0</v>
      </c>
      <c r="P102" s="155">
        <f ca="1">SUMIFS('recurring2_based on steps'!$B102:$AY102,'recurring2_based on steps'!$B$1:$AY$1,P$1)+SUMIFS('changes2_based on steps'!$B102:$U102,'changes2_based on steps'!$B$1:$U$1,P$1)</f>
        <v>0</v>
      </c>
      <c r="Q102" s="155">
        <f>SUMIFS('recurring2_based on steps'!$B102:$AY102,'recurring2_based on steps'!$B$1:$AY$1,Q$1)+SUMIFS('changes2_based on steps'!$B102:$U102,'changes2_based on steps'!$B$1:$U$1,Q$1)</f>
        <v>0</v>
      </c>
      <c r="R102" s="155">
        <f ca="1">SUMIFS('recurring2_based on steps'!$B102:$AY102,'recurring2_based on steps'!$B$1:$AY$1,R$1)+SUMIFS('changes2_based on steps'!$B102:$U102,'changes2_based on steps'!$B$1:$U$1,R$1)</f>
        <v>0</v>
      </c>
      <c r="S102" s="155">
        <f ca="1">SUMIFS('recurring2_based on steps'!$B102:$AY102,'recurring2_based on steps'!$B$1:$AY$1,S$1)+SUMIFS('changes2_based on steps'!$B102:$U102,'changes2_based on steps'!$B$1:$U$1,S$1)</f>
        <v>100</v>
      </c>
      <c r="T102" s="155">
        <f>SUMIFS('recurring2_based on steps'!$B102:$AY102,'recurring2_based on steps'!$B$1:$AY$1,T$1)+SUMIFS('changes2_based on steps'!$B102:$U102,'changes2_based on steps'!$B$1:$U$1,T$1)</f>
        <v>0</v>
      </c>
      <c r="U102" s="155">
        <f ca="1">SUMIFS('recurring2_based on steps'!$B102:$AY102,'recurring2_based on steps'!$B$1:$AY$1,U$1)+SUMIFS('changes2_based on steps'!$B102:$U102,'changes2_based on steps'!$B$1:$U$1,U$1)</f>
        <v>0</v>
      </c>
      <c r="V102" s="155">
        <f>SUMIFS('recurring2_based on steps'!$B102:$AY102,'recurring2_based on steps'!$B$1:$AY$1,V$1)+SUMIFS('changes2_based on steps'!$B102:$U102,'changes2_based on steps'!$B$1:$U$1,V$1)</f>
        <v>0</v>
      </c>
      <c r="W102" s="155">
        <f ca="1">SUMIFS('recurring2_based on steps'!$B102:$AY102,'recurring2_based on steps'!$B$1:$AY$1,W$1)+SUMIFS('changes2_based on steps'!$B102:$U102,'changes2_based on steps'!$B$1:$U$1,W$1)</f>
        <v>0</v>
      </c>
      <c r="X102" s="155">
        <f ca="1">SUMIFS('recurring2_based on steps'!$B102:$AY102,'recurring2_based on steps'!$B$1:$AY$1,X$1)+SUMIFS('changes2_based on steps'!$B102:$U102,'changes2_based on steps'!$B$1:$U$1,X$1)</f>
        <v>0</v>
      </c>
      <c r="Y102" s="155">
        <f ca="1">SUMIFS('recurring2_based on steps'!$B102:$AY102,'recurring2_based on steps'!$B$1:$AY$1,Y$1)+SUMIFS('changes2_based on steps'!$B102:$U102,'changes2_based on steps'!$B$1:$U$1,Y$1)</f>
        <v>0</v>
      </c>
      <c r="Z102" s="155">
        <f>SUMIFS('recurring2_based on steps'!$B102:$AY102,'recurring2_based on steps'!$B$1:$AY$1,Z$1)+SUMIFS('changes2_based on steps'!$B102:$U102,'changes2_based on steps'!$B$1:$U$1,Z$1)</f>
        <v>0</v>
      </c>
      <c r="AA102" s="155">
        <f>SUMIFS('recurring2_based on steps'!$B102:$AY102,'recurring2_based on steps'!$B$1:$AY$1,AA$1)+SUMIFS('changes2_based on steps'!$B102:$U102,'changes2_based on steps'!$B$1:$U$1,AA$1)</f>
        <v>0</v>
      </c>
    </row>
    <row r="103" spans="1:27" x14ac:dyDescent="0.2">
      <c r="A103" s="18">
        <f t="shared" ca="1" si="1"/>
        <v>45789</v>
      </c>
      <c r="B103" s="155">
        <f ca="1">SUMIFS('recurring2_based on steps'!$B103:$AY103,'recurring2_based on steps'!$B$1:$AY$1,B$1)+SUMIFS('changes2_based on steps'!$B103:$U103,'changes2_based on steps'!$B$1:$U$1,B$1)</f>
        <v>0</v>
      </c>
      <c r="C103" s="155">
        <f>SUMIFS('recurring2_based on steps'!$B103:$AY103,'recurring2_based on steps'!$B$1:$AY$1,C$1)+SUMIFS('changes2_based on steps'!$B103:$U103,'changes2_based on steps'!$B$1:$U$1,C$1)</f>
        <v>0</v>
      </c>
      <c r="D103" s="155">
        <f>SUMIFS('recurring2_based on steps'!$B103:$AY103,'recurring2_based on steps'!$B$1:$AY$1,D$1)+SUMIFS('changes2_based on steps'!$B103:$U103,'changes2_based on steps'!$B$1:$U$1,D$1)</f>
        <v>0</v>
      </c>
      <c r="E103" s="155">
        <f>SUMIFS('recurring2_based on steps'!$B103:$AY103,'recurring2_based on steps'!$B$1:$AY$1,E$1)+SUMIFS('changes2_based on steps'!$B103:$U103,'changes2_based on steps'!$B$1:$U$1,E$1)</f>
        <v>0</v>
      </c>
      <c r="F103" s="155">
        <f>SUMIFS('recurring2_based on steps'!$B103:$AY103,'recurring2_based on steps'!$B$1:$AY$1,F$1)+SUMIFS('changes2_based on steps'!$B103:$U103,'changes2_based on steps'!$B$1:$U$1,F$1)</f>
        <v>0</v>
      </c>
      <c r="G103" s="155">
        <f>SUMIFS('recurring2_based on steps'!$B103:$AY103,'recurring2_based on steps'!$B$1:$AY$1,G$1)+SUMIFS('changes2_based on steps'!$B103:$U103,'changes2_based on steps'!$B$1:$U$1,G$1)</f>
        <v>0</v>
      </c>
      <c r="H103" s="155">
        <f ca="1">SUMIFS('recurring2_based on steps'!$B103:$AY103,'recurring2_based on steps'!$B$1:$AY$1,H$1)+SUMIFS('changes2_based on steps'!$B103:$U103,'changes2_based on steps'!$B$1:$U$1,H$1)</f>
        <v>0</v>
      </c>
      <c r="I103" s="155">
        <f>SUMIFS('recurring2_based on steps'!$B103:$AY103,'recurring2_based on steps'!$B$1:$AY$1,I$1)+SUMIFS('changes2_based on steps'!$B103:$U103,'changes2_based on steps'!$B$1:$U$1,I$1)</f>
        <v>0</v>
      </c>
      <c r="J103" s="155">
        <f>SUMIFS('recurring2_based on steps'!$B103:$AY103,'recurring2_based on steps'!$B$1:$AY$1,J$1)+SUMIFS('changes2_based on steps'!$B103:$U103,'changes2_based on steps'!$B$1:$U$1,J$1)</f>
        <v>0</v>
      </c>
      <c r="K103" s="155">
        <f>SUMIFS('recurring2_based on steps'!$B103:$AY103,'recurring2_based on steps'!$B$1:$AY$1,K$1)+SUMIFS('changes2_based on steps'!$B103:$U103,'changes2_based on steps'!$B$1:$U$1,K$1)</f>
        <v>0</v>
      </c>
      <c r="L103" s="155">
        <f>SUMIFS('recurring2_based on steps'!$B103:$AY103,'recurring2_based on steps'!$B$1:$AY$1,L$1)+SUMIFS('changes2_based on steps'!$B103:$U103,'changes2_based on steps'!$B$1:$U$1,L$1)</f>
        <v>0</v>
      </c>
      <c r="M103" s="155">
        <f ca="1">SUMIFS('recurring2_based on steps'!$B103:$AY103,'recurring2_based on steps'!$B$1:$AY$1,M$1)+SUMIFS('changes2_based on steps'!$B103:$U103,'changes2_based on steps'!$B$1:$U$1,M$1)</f>
        <v>0</v>
      </c>
      <c r="N103" s="155">
        <f ca="1">SUMIFS('recurring2_based on steps'!$B103:$AY103,'recurring2_based on steps'!$B$1:$AY$1,N$1)+SUMIFS('changes2_based on steps'!$B103:$U103,'changes2_based on steps'!$B$1:$U$1,N$1)</f>
        <v>0</v>
      </c>
      <c r="O103" s="155">
        <f ca="1">SUMIFS('recurring2_based on steps'!$B103:$AY103,'recurring2_based on steps'!$B$1:$AY$1,O$1)+SUMIFS('changes2_based on steps'!$B103:$U103,'changes2_based on steps'!$B$1:$U$1,O$1)</f>
        <v>0</v>
      </c>
      <c r="P103" s="155">
        <f ca="1">SUMIFS('recurring2_based on steps'!$B103:$AY103,'recurring2_based on steps'!$B$1:$AY$1,P$1)+SUMIFS('changes2_based on steps'!$B103:$U103,'changes2_based on steps'!$B$1:$U$1,P$1)</f>
        <v>0</v>
      </c>
      <c r="Q103" s="155">
        <f>SUMIFS('recurring2_based on steps'!$B103:$AY103,'recurring2_based on steps'!$B$1:$AY$1,Q$1)+SUMIFS('changes2_based on steps'!$B103:$U103,'changes2_based on steps'!$B$1:$U$1,Q$1)</f>
        <v>0</v>
      </c>
      <c r="R103" s="155">
        <f ca="1">SUMIFS('recurring2_based on steps'!$B103:$AY103,'recurring2_based on steps'!$B$1:$AY$1,R$1)+SUMIFS('changes2_based on steps'!$B103:$U103,'changes2_based on steps'!$B$1:$U$1,R$1)</f>
        <v>0</v>
      </c>
      <c r="S103" s="155">
        <f ca="1">SUMIFS('recurring2_based on steps'!$B103:$AY103,'recurring2_based on steps'!$B$1:$AY$1,S$1)+SUMIFS('changes2_based on steps'!$B103:$U103,'changes2_based on steps'!$B$1:$U$1,S$1)</f>
        <v>0</v>
      </c>
      <c r="T103" s="155">
        <f>SUMIFS('recurring2_based on steps'!$B103:$AY103,'recurring2_based on steps'!$B$1:$AY$1,T$1)+SUMIFS('changes2_based on steps'!$B103:$U103,'changes2_based on steps'!$B$1:$U$1,T$1)</f>
        <v>0</v>
      </c>
      <c r="U103" s="155">
        <f ca="1">SUMIFS('recurring2_based on steps'!$B103:$AY103,'recurring2_based on steps'!$B$1:$AY$1,U$1)+SUMIFS('changes2_based on steps'!$B103:$U103,'changes2_based on steps'!$B$1:$U$1,U$1)</f>
        <v>0</v>
      </c>
      <c r="V103" s="155">
        <f>SUMIFS('recurring2_based on steps'!$B103:$AY103,'recurring2_based on steps'!$B$1:$AY$1,V$1)+SUMIFS('changes2_based on steps'!$B103:$U103,'changes2_based on steps'!$B$1:$U$1,V$1)</f>
        <v>0</v>
      </c>
      <c r="W103" s="155">
        <f ca="1">SUMIFS('recurring2_based on steps'!$B103:$AY103,'recurring2_based on steps'!$B$1:$AY$1,W$1)+SUMIFS('changes2_based on steps'!$B103:$U103,'changes2_based on steps'!$B$1:$U$1,W$1)</f>
        <v>0</v>
      </c>
      <c r="X103" s="155">
        <f ca="1">SUMIFS('recurring2_based on steps'!$B103:$AY103,'recurring2_based on steps'!$B$1:$AY$1,X$1)+SUMIFS('changes2_based on steps'!$B103:$U103,'changes2_based on steps'!$B$1:$U$1,X$1)</f>
        <v>0</v>
      </c>
      <c r="Y103" s="155">
        <f ca="1">SUMIFS('recurring2_based on steps'!$B103:$AY103,'recurring2_based on steps'!$B$1:$AY$1,Y$1)+SUMIFS('changes2_based on steps'!$B103:$U103,'changes2_based on steps'!$B$1:$U$1,Y$1)</f>
        <v>0</v>
      </c>
      <c r="Z103" s="155">
        <f>SUMIFS('recurring2_based on steps'!$B103:$AY103,'recurring2_based on steps'!$B$1:$AY$1,Z$1)+SUMIFS('changes2_based on steps'!$B103:$U103,'changes2_based on steps'!$B$1:$U$1,Z$1)</f>
        <v>0</v>
      </c>
      <c r="AA103" s="155">
        <f>SUMIFS('recurring2_based on steps'!$B103:$AY103,'recurring2_based on steps'!$B$1:$AY$1,AA$1)+SUMIFS('changes2_based on steps'!$B103:$U103,'changes2_based on steps'!$B$1:$U$1,AA$1)</f>
        <v>0</v>
      </c>
    </row>
    <row r="104" spans="1:27" x14ac:dyDescent="0.2">
      <c r="A104" s="18">
        <f t="shared" ca="1" si="1"/>
        <v>45790</v>
      </c>
      <c r="B104" s="155">
        <f ca="1">SUMIFS('recurring2_based on steps'!$B104:$AY104,'recurring2_based on steps'!$B$1:$AY$1,B$1)+SUMIFS('changes2_based on steps'!$B104:$U104,'changes2_based on steps'!$B$1:$U$1,B$1)</f>
        <v>0</v>
      </c>
      <c r="C104" s="155">
        <f>SUMIFS('recurring2_based on steps'!$B104:$AY104,'recurring2_based on steps'!$B$1:$AY$1,C$1)+SUMIFS('changes2_based on steps'!$B104:$U104,'changes2_based on steps'!$B$1:$U$1,C$1)</f>
        <v>0</v>
      </c>
      <c r="D104" s="155">
        <f>SUMIFS('recurring2_based on steps'!$B104:$AY104,'recurring2_based on steps'!$B$1:$AY$1,D$1)+SUMIFS('changes2_based on steps'!$B104:$U104,'changes2_based on steps'!$B$1:$U$1,D$1)</f>
        <v>0</v>
      </c>
      <c r="E104" s="155">
        <f>SUMIFS('recurring2_based on steps'!$B104:$AY104,'recurring2_based on steps'!$B$1:$AY$1,E$1)+SUMIFS('changes2_based on steps'!$B104:$U104,'changes2_based on steps'!$B$1:$U$1,E$1)</f>
        <v>0</v>
      </c>
      <c r="F104" s="155">
        <f>SUMIFS('recurring2_based on steps'!$B104:$AY104,'recurring2_based on steps'!$B$1:$AY$1,F$1)+SUMIFS('changes2_based on steps'!$B104:$U104,'changes2_based on steps'!$B$1:$U$1,F$1)</f>
        <v>0</v>
      </c>
      <c r="G104" s="155">
        <f>SUMIFS('recurring2_based on steps'!$B104:$AY104,'recurring2_based on steps'!$B$1:$AY$1,G$1)+SUMIFS('changes2_based on steps'!$B104:$U104,'changes2_based on steps'!$B$1:$U$1,G$1)</f>
        <v>0</v>
      </c>
      <c r="H104" s="155">
        <f ca="1">SUMIFS('recurring2_based on steps'!$B104:$AY104,'recurring2_based on steps'!$B$1:$AY$1,H$1)+SUMIFS('changes2_based on steps'!$B104:$U104,'changes2_based on steps'!$B$1:$U$1,H$1)</f>
        <v>0</v>
      </c>
      <c r="I104" s="155">
        <f>SUMIFS('recurring2_based on steps'!$B104:$AY104,'recurring2_based on steps'!$B$1:$AY$1,I$1)+SUMIFS('changes2_based on steps'!$B104:$U104,'changes2_based on steps'!$B$1:$U$1,I$1)</f>
        <v>0</v>
      </c>
      <c r="J104" s="155">
        <f>SUMIFS('recurring2_based on steps'!$B104:$AY104,'recurring2_based on steps'!$B$1:$AY$1,J$1)+SUMIFS('changes2_based on steps'!$B104:$U104,'changes2_based on steps'!$B$1:$U$1,J$1)</f>
        <v>0</v>
      </c>
      <c r="K104" s="155">
        <f>SUMIFS('recurring2_based on steps'!$B104:$AY104,'recurring2_based on steps'!$B$1:$AY$1,K$1)+SUMIFS('changes2_based on steps'!$B104:$U104,'changes2_based on steps'!$B$1:$U$1,K$1)</f>
        <v>0</v>
      </c>
      <c r="L104" s="155">
        <f>SUMIFS('recurring2_based on steps'!$B104:$AY104,'recurring2_based on steps'!$B$1:$AY$1,L$1)+SUMIFS('changes2_based on steps'!$B104:$U104,'changes2_based on steps'!$B$1:$U$1,L$1)</f>
        <v>0</v>
      </c>
      <c r="M104" s="155">
        <f ca="1">SUMIFS('recurring2_based on steps'!$B104:$AY104,'recurring2_based on steps'!$B$1:$AY$1,M$1)+SUMIFS('changes2_based on steps'!$B104:$U104,'changes2_based on steps'!$B$1:$U$1,M$1)</f>
        <v>0</v>
      </c>
      <c r="N104" s="155">
        <f ca="1">SUMIFS('recurring2_based on steps'!$B104:$AY104,'recurring2_based on steps'!$B$1:$AY$1,N$1)+SUMIFS('changes2_based on steps'!$B104:$U104,'changes2_based on steps'!$B$1:$U$1,N$1)</f>
        <v>0</v>
      </c>
      <c r="O104" s="155">
        <f ca="1">SUMIFS('recurring2_based on steps'!$B104:$AY104,'recurring2_based on steps'!$B$1:$AY$1,O$1)+SUMIFS('changes2_based on steps'!$B104:$U104,'changes2_based on steps'!$B$1:$U$1,O$1)</f>
        <v>0</v>
      </c>
      <c r="P104" s="155">
        <f ca="1">SUMIFS('recurring2_based on steps'!$B104:$AY104,'recurring2_based on steps'!$B$1:$AY$1,P$1)+SUMIFS('changes2_based on steps'!$B104:$U104,'changes2_based on steps'!$B$1:$U$1,P$1)</f>
        <v>0</v>
      </c>
      <c r="Q104" s="155">
        <f>SUMIFS('recurring2_based on steps'!$B104:$AY104,'recurring2_based on steps'!$B$1:$AY$1,Q$1)+SUMIFS('changes2_based on steps'!$B104:$U104,'changes2_based on steps'!$B$1:$U$1,Q$1)</f>
        <v>0</v>
      </c>
      <c r="R104" s="155">
        <f ca="1">SUMIFS('recurring2_based on steps'!$B104:$AY104,'recurring2_based on steps'!$B$1:$AY$1,R$1)+SUMIFS('changes2_based on steps'!$B104:$U104,'changes2_based on steps'!$B$1:$U$1,R$1)</f>
        <v>0</v>
      </c>
      <c r="S104" s="155">
        <f ca="1">SUMIFS('recurring2_based on steps'!$B104:$AY104,'recurring2_based on steps'!$B$1:$AY$1,S$1)+SUMIFS('changes2_based on steps'!$B104:$U104,'changes2_based on steps'!$B$1:$U$1,S$1)</f>
        <v>0</v>
      </c>
      <c r="T104" s="155">
        <f>SUMIFS('recurring2_based on steps'!$B104:$AY104,'recurring2_based on steps'!$B$1:$AY$1,T$1)+SUMIFS('changes2_based on steps'!$B104:$U104,'changes2_based on steps'!$B$1:$U$1,T$1)</f>
        <v>0</v>
      </c>
      <c r="U104" s="155">
        <f ca="1">SUMIFS('recurring2_based on steps'!$B104:$AY104,'recurring2_based on steps'!$B$1:$AY$1,U$1)+SUMIFS('changes2_based on steps'!$B104:$U104,'changes2_based on steps'!$B$1:$U$1,U$1)</f>
        <v>0</v>
      </c>
      <c r="V104" s="155">
        <f>SUMIFS('recurring2_based on steps'!$B104:$AY104,'recurring2_based on steps'!$B$1:$AY$1,V$1)+SUMIFS('changes2_based on steps'!$B104:$U104,'changes2_based on steps'!$B$1:$U$1,V$1)</f>
        <v>0</v>
      </c>
      <c r="W104" s="155">
        <f ca="1">SUMIFS('recurring2_based on steps'!$B104:$AY104,'recurring2_based on steps'!$B$1:$AY$1,W$1)+SUMIFS('changes2_based on steps'!$B104:$U104,'changes2_based on steps'!$B$1:$U$1,W$1)</f>
        <v>0</v>
      </c>
      <c r="X104" s="155">
        <f ca="1">SUMIFS('recurring2_based on steps'!$B104:$AY104,'recurring2_based on steps'!$B$1:$AY$1,X$1)+SUMIFS('changes2_based on steps'!$B104:$U104,'changes2_based on steps'!$B$1:$U$1,X$1)</f>
        <v>0</v>
      </c>
      <c r="Y104" s="155">
        <f ca="1">SUMIFS('recurring2_based on steps'!$B104:$AY104,'recurring2_based on steps'!$B$1:$AY$1,Y$1)+SUMIFS('changes2_based on steps'!$B104:$U104,'changes2_based on steps'!$B$1:$U$1,Y$1)</f>
        <v>0</v>
      </c>
      <c r="Z104" s="155">
        <f>SUMIFS('recurring2_based on steps'!$B104:$AY104,'recurring2_based on steps'!$B$1:$AY$1,Z$1)+SUMIFS('changes2_based on steps'!$B104:$U104,'changes2_based on steps'!$B$1:$U$1,Z$1)</f>
        <v>0</v>
      </c>
      <c r="AA104" s="155">
        <f>SUMIFS('recurring2_based on steps'!$B104:$AY104,'recurring2_based on steps'!$B$1:$AY$1,AA$1)+SUMIFS('changes2_based on steps'!$B104:$U104,'changes2_based on steps'!$B$1:$U$1,AA$1)</f>
        <v>0</v>
      </c>
    </row>
    <row r="105" spans="1:27" x14ac:dyDescent="0.2">
      <c r="A105" s="18">
        <f t="shared" ca="1" si="1"/>
        <v>45791</v>
      </c>
      <c r="B105" s="155">
        <f ca="1">SUMIFS('recurring2_based on steps'!$B105:$AY105,'recurring2_based on steps'!$B$1:$AY$1,B$1)+SUMIFS('changes2_based on steps'!$B105:$U105,'changes2_based on steps'!$B$1:$U$1,B$1)</f>
        <v>0</v>
      </c>
      <c r="C105" s="155">
        <f>SUMIFS('recurring2_based on steps'!$B105:$AY105,'recurring2_based on steps'!$B$1:$AY$1,C$1)+SUMIFS('changes2_based on steps'!$B105:$U105,'changes2_based on steps'!$B$1:$U$1,C$1)</f>
        <v>0</v>
      </c>
      <c r="D105" s="155">
        <f>SUMIFS('recurring2_based on steps'!$B105:$AY105,'recurring2_based on steps'!$B$1:$AY$1,D$1)+SUMIFS('changes2_based on steps'!$B105:$U105,'changes2_based on steps'!$B$1:$U$1,D$1)</f>
        <v>0</v>
      </c>
      <c r="E105" s="155">
        <f>SUMIFS('recurring2_based on steps'!$B105:$AY105,'recurring2_based on steps'!$B$1:$AY$1,E$1)+SUMIFS('changes2_based on steps'!$B105:$U105,'changes2_based on steps'!$B$1:$U$1,E$1)</f>
        <v>0</v>
      </c>
      <c r="F105" s="155">
        <f>SUMIFS('recurring2_based on steps'!$B105:$AY105,'recurring2_based on steps'!$B$1:$AY$1,F$1)+SUMIFS('changes2_based on steps'!$B105:$U105,'changes2_based on steps'!$B$1:$U$1,F$1)</f>
        <v>0</v>
      </c>
      <c r="G105" s="155">
        <f>SUMIFS('recurring2_based on steps'!$B105:$AY105,'recurring2_based on steps'!$B$1:$AY$1,G$1)+SUMIFS('changes2_based on steps'!$B105:$U105,'changes2_based on steps'!$B$1:$U$1,G$1)</f>
        <v>0</v>
      </c>
      <c r="H105" s="155">
        <f ca="1">SUMIFS('recurring2_based on steps'!$B105:$AY105,'recurring2_based on steps'!$B$1:$AY$1,H$1)+SUMIFS('changes2_based on steps'!$B105:$U105,'changes2_based on steps'!$B$1:$U$1,H$1)</f>
        <v>0</v>
      </c>
      <c r="I105" s="155">
        <f>SUMIFS('recurring2_based on steps'!$B105:$AY105,'recurring2_based on steps'!$B$1:$AY$1,I$1)+SUMIFS('changes2_based on steps'!$B105:$U105,'changes2_based on steps'!$B$1:$U$1,I$1)</f>
        <v>0</v>
      </c>
      <c r="J105" s="155">
        <f>SUMIFS('recurring2_based on steps'!$B105:$AY105,'recurring2_based on steps'!$B$1:$AY$1,J$1)+SUMIFS('changes2_based on steps'!$B105:$U105,'changes2_based on steps'!$B$1:$U$1,J$1)</f>
        <v>0</v>
      </c>
      <c r="K105" s="155">
        <f>SUMIFS('recurring2_based on steps'!$B105:$AY105,'recurring2_based on steps'!$B$1:$AY$1,K$1)+SUMIFS('changes2_based on steps'!$B105:$U105,'changes2_based on steps'!$B$1:$U$1,K$1)</f>
        <v>0</v>
      </c>
      <c r="L105" s="155">
        <f>SUMIFS('recurring2_based on steps'!$B105:$AY105,'recurring2_based on steps'!$B$1:$AY$1,L$1)+SUMIFS('changes2_based on steps'!$B105:$U105,'changes2_based on steps'!$B$1:$U$1,L$1)</f>
        <v>0</v>
      </c>
      <c r="M105" s="155">
        <f ca="1">SUMIFS('recurring2_based on steps'!$B105:$AY105,'recurring2_based on steps'!$B$1:$AY$1,M$1)+SUMIFS('changes2_based on steps'!$B105:$U105,'changes2_based on steps'!$B$1:$U$1,M$1)</f>
        <v>0</v>
      </c>
      <c r="N105" s="155">
        <f ca="1">SUMIFS('recurring2_based on steps'!$B105:$AY105,'recurring2_based on steps'!$B$1:$AY$1,N$1)+SUMIFS('changes2_based on steps'!$B105:$U105,'changes2_based on steps'!$B$1:$U$1,N$1)</f>
        <v>0</v>
      </c>
      <c r="O105" s="155">
        <f ca="1">SUMIFS('recurring2_based on steps'!$B105:$AY105,'recurring2_based on steps'!$B$1:$AY$1,O$1)+SUMIFS('changes2_based on steps'!$B105:$U105,'changes2_based on steps'!$B$1:$U$1,O$1)</f>
        <v>0</v>
      </c>
      <c r="P105" s="155">
        <f ca="1">SUMIFS('recurring2_based on steps'!$B105:$AY105,'recurring2_based on steps'!$B$1:$AY$1,P$1)+SUMIFS('changes2_based on steps'!$B105:$U105,'changes2_based on steps'!$B$1:$U$1,P$1)</f>
        <v>0</v>
      </c>
      <c r="Q105" s="155">
        <f>SUMIFS('recurring2_based on steps'!$B105:$AY105,'recurring2_based on steps'!$B$1:$AY$1,Q$1)+SUMIFS('changes2_based on steps'!$B105:$U105,'changes2_based on steps'!$B$1:$U$1,Q$1)</f>
        <v>0</v>
      </c>
      <c r="R105" s="155">
        <f ca="1">SUMIFS('recurring2_based on steps'!$B105:$AY105,'recurring2_based on steps'!$B$1:$AY$1,R$1)+SUMIFS('changes2_based on steps'!$B105:$U105,'changes2_based on steps'!$B$1:$U$1,R$1)</f>
        <v>0</v>
      </c>
      <c r="S105" s="155">
        <f ca="1">SUMIFS('recurring2_based on steps'!$B105:$AY105,'recurring2_based on steps'!$B$1:$AY$1,S$1)+SUMIFS('changes2_based on steps'!$B105:$U105,'changes2_based on steps'!$B$1:$U$1,S$1)</f>
        <v>0</v>
      </c>
      <c r="T105" s="155">
        <f>SUMIFS('recurring2_based on steps'!$B105:$AY105,'recurring2_based on steps'!$B$1:$AY$1,T$1)+SUMIFS('changes2_based on steps'!$B105:$U105,'changes2_based on steps'!$B$1:$U$1,T$1)</f>
        <v>0</v>
      </c>
      <c r="U105" s="155">
        <f ca="1">SUMIFS('recurring2_based on steps'!$B105:$AY105,'recurring2_based on steps'!$B$1:$AY$1,U$1)+SUMIFS('changes2_based on steps'!$B105:$U105,'changes2_based on steps'!$B$1:$U$1,U$1)</f>
        <v>0</v>
      </c>
      <c r="V105" s="155">
        <f>SUMIFS('recurring2_based on steps'!$B105:$AY105,'recurring2_based on steps'!$B$1:$AY$1,V$1)+SUMIFS('changes2_based on steps'!$B105:$U105,'changes2_based on steps'!$B$1:$U$1,V$1)</f>
        <v>0</v>
      </c>
      <c r="W105" s="155">
        <f ca="1">SUMIFS('recurring2_based on steps'!$B105:$AY105,'recurring2_based on steps'!$B$1:$AY$1,W$1)+SUMIFS('changes2_based on steps'!$B105:$U105,'changes2_based on steps'!$B$1:$U$1,W$1)</f>
        <v>0</v>
      </c>
      <c r="X105" s="155">
        <f ca="1">SUMIFS('recurring2_based on steps'!$B105:$AY105,'recurring2_based on steps'!$B$1:$AY$1,X$1)+SUMIFS('changes2_based on steps'!$B105:$U105,'changes2_based on steps'!$B$1:$U$1,X$1)</f>
        <v>0</v>
      </c>
      <c r="Y105" s="155">
        <f ca="1">SUMIFS('recurring2_based on steps'!$B105:$AY105,'recurring2_based on steps'!$B$1:$AY$1,Y$1)+SUMIFS('changes2_based on steps'!$B105:$U105,'changes2_based on steps'!$B$1:$U$1,Y$1)</f>
        <v>0</v>
      </c>
      <c r="Z105" s="155">
        <f>SUMIFS('recurring2_based on steps'!$B105:$AY105,'recurring2_based on steps'!$B$1:$AY$1,Z$1)+SUMIFS('changes2_based on steps'!$B105:$U105,'changes2_based on steps'!$B$1:$U$1,Z$1)</f>
        <v>0</v>
      </c>
      <c r="AA105" s="155">
        <f>SUMIFS('recurring2_based on steps'!$B105:$AY105,'recurring2_based on steps'!$B$1:$AY$1,AA$1)+SUMIFS('changes2_based on steps'!$B105:$U105,'changes2_based on steps'!$B$1:$U$1,AA$1)</f>
        <v>0</v>
      </c>
    </row>
    <row r="106" spans="1:27" x14ac:dyDescent="0.2">
      <c r="A106" s="18">
        <f t="shared" ca="1" si="1"/>
        <v>45792</v>
      </c>
      <c r="B106" s="155">
        <f ca="1">SUMIFS('recurring2_based on steps'!$B106:$AY106,'recurring2_based on steps'!$B$1:$AY$1,B$1)+SUMIFS('changes2_based on steps'!$B106:$U106,'changes2_based on steps'!$B$1:$U$1,B$1)</f>
        <v>0</v>
      </c>
      <c r="C106" s="155">
        <f>SUMIFS('recurring2_based on steps'!$B106:$AY106,'recurring2_based on steps'!$B$1:$AY$1,C$1)+SUMIFS('changes2_based on steps'!$B106:$U106,'changes2_based on steps'!$B$1:$U$1,C$1)</f>
        <v>0</v>
      </c>
      <c r="D106" s="155">
        <f>SUMIFS('recurring2_based on steps'!$B106:$AY106,'recurring2_based on steps'!$B$1:$AY$1,D$1)+SUMIFS('changes2_based on steps'!$B106:$U106,'changes2_based on steps'!$B$1:$U$1,D$1)</f>
        <v>0</v>
      </c>
      <c r="E106" s="155">
        <f>SUMIFS('recurring2_based on steps'!$B106:$AY106,'recurring2_based on steps'!$B$1:$AY$1,E$1)+SUMIFS('changes2_based on steps'!$B106:$U106,'changes2_based on steps'!$B$1:$U$1,E$1)</f>
        <v>0</v>
      </c>
      <c r="F106" s="155">
        <f>SUMIFS('recurring2_based on steps'!$B106:$AY106,'recurring2_based on steps'!$B$1:$AY$1,F$1)+SUMIFS('changes2_based on steps'!$B106:$U106,'changes2_based on steps'!$B$1:$U$1,F$1)</f>
        <v>0</v>
      </c>
      <c r="G106" s="155">
        <f>SUMIFS('recurring2_based on steps'!$B106:$AY106,'recurring2_based on steps'!$B$1:$AY$1,G$1)+SUMIFS('changes2_based on steps'!$B106:$U106,'changes2_based on steps'!$B$1:$U$1,G$1)</f>
        <v>0</v>
      </c>
      <c r="H106" s="155">
        <f ca="1">SUMIFS('recurring2_based on steps'!$B106:$AY106,'recurring2_based on steps'!$B$1:$AY$1,H$1)+SUMIFS('changes2_based on steps'!$B106:$U106,'changes2_based on steps'!$B$1:$U$1,H$1)</f>
        <v>0</v>
      </c>
      <c r="I106" s="155">
        <f>SUMIFS('recurring2_based on steps'!$B106:$AY106,'recurring2_based on steps'!$B$1:$AY$1,I$1)+SUMIFS('changes2_based on steps'!$B106:$U106,'changes2_based on steps'!$B$1:$U$1,I$1)</f>
        <v>0</v>
      </c>
      <c r="J106" s="155">
        <f>SUMIFS('recurring2_based on steps'!$B106:$AY106,'recurring2_based on steps'!$B$1:$AY$1,J$1)+SUMIFS('changes2_based on steps'!$B106:$U106,'changes2_based on steps'!$B$1:$U$1,J$1)</f>
        <v>0</v>
      </c>
      <c r="K106" s="155">
        <f>SUMIFS('recurring2_based on steps'!$B106:$AY106,'recurring2_based on steps'!$B$1:$AY$1,K$1)+SUMIFS('changes2_based on steps'!$B106:$U106,'changes2_based on steps'!$B$1:$U$1,K$1)</f>
        <v>0</v>
      </c>
      <c r="L106" s="155">
        <f>SUMIFS('recurring2_based on steps'!$B106:$AY106,'recurring2_based on steps'!$B$1:$AY$1,L$1)+SUMIFS('changes2_based on steps'!$B106:$U106,'changes2_based on steps'!$B$1:$U$1,L$1)</f>
        <v>0</v>
      </c>
      <c r="M106" s="155">
        <f ca="1">SUMIFS('recurring2_based on steps'!$B106:$AY106,'recurring2_based on steps'!$B$1:$AY$1,M$1)+SUMIFS('changes2_based on steps'!$B106:$U106,'changes2_based on steps'!$B$1:$U$1,M$1)</f>
        <v>0</v>
      </c>
      <c r="N106" s="155">
        <f ca="1">SUMIFS('recurring2_based on steps'!$B106:$AY106,'recurring2_based on steps'!$B$1:$AY$1,N$1)+SUMIFS('changes2_based on steps'!$B106:$U106,'changes2_based on steps'!$B$1:$U$1,N$1)</f>
        <v>0</v>
      </c>
      <c r="O106" s="155">
        <f ca="1">SUMIFS('recurring2_based on steps'!$B106:$AY106,'recurring2_based on steps'!$B$1:$AY$1,O$1)+SUMIFS('changes2_based on steps'!$B106:$U106,'changes2_based on steps'!$B$1:$U$1,O$1)</f>
        <v>0</v>
      </c>
      <c r="P106" s="155">
        <f ca="1">SUMIFS('recurring2_based on steps'!$B106:$AY106,'recurring2_based on steps'!$B$1:$AY$1,P$1)+SUMIFS('changes2_based on steps'!$B106:$U106,'changes2_based on steps'!$B$1:$U$1,P$1)</f>
        <v>0</v>
      </c>
      <c r="Q106" s="155">
        <f>SUMIFS('recurring2_based on steps'!$B106:$AY106,'recurring2_based on steps'!$B$1:$AY$1,Q$1)+SUMIFS('changes2_based on steps'!$B106:$U106,'changes2_based on steps'!$B$1:$U$1,Q$1)</f>
        <v>0</v>
      </c>
      <c r="R106" s="155">
        <f ca="1">SUMIFS('recurring2_based on steps'!$B106:$AY106,'recurring2_based on steps'!$B$1:$AY$1,R$1)+SUMIFS('changes2_based on steps'!$B106:$U106,'changes2_based on steps'!$B$1:$U$1,R$1)</f>
        <v>0</v>
      </c>
      <c r="S106" s="155">
        <f ca="1">SUMIFS('recurring2_based on steps'!$B106:$AY106,'recurring2_based on steps'!$B$1:$AY$1,S$1)+SUMIFS('changes2_based on steps'!$B106:$U106,'changes2_based on steps'!$B$1:$U$1,S$1)</f>
        <v>0</v>
      </c>
      <c r="T106" s="155">
        <f>SUMIFS('recurring2_based on steps'!$B106:$AY106,'recurring2_based on steps'!$B$1:$AY$1,T$1)+SUMIFS('changes2_based on steps'!$B106:$U106,'changes2_based on steps'!$B$1:$U$1,T$1)</f>
        <v>0</v>
      </c>
      <c r="U106" s="155">
        <f ca="1">SUMIFS('recurring2_based on steps'!$B106:$AY106,'recurring2_based on steps'!$B$1:$AY$1,U$1)+SUMIFS('changes2_based on steps'!$B106:$U106,'changes2_based on steps'!$B$1:$U$1,U$1)</f>
        <v>0</v>
      </c>
      <c r="V106" s="155">
        <f>SUMIFS('recurring2_based on steps'!$B106:$AY106,'recurring2_based on steps'!$B$1:$AY$1,V$1)+SUMIFS('changes2_based on steps'!$B106:$U106,'changes2_based on steps'!$B$1:$U$1,V$1)</f>
        <v>0</v>
      </c>
      <c r="W106" s="155">
        <f ca="1">SUMIFS('recurring2_based on steps'!$B106:$AY106,'recurring2_based on steps'!$B$1:$AY$1,W$1)+SUMIFS('changes2_based on steps'!$B106:$U106,'changes2_based on steps'!$B$1:$U$1,W$1)</f>
        <v>0</v>
      </c>
      <c r="X106" s="155">
        <f ca="1">SUMIFS('recurring2_based on steps'!$B106:$AY106,'recurring2_based on steps'!$B$1:$AY$1,X$1)+SUMIFS('changes2_based on steps'!$B106:$U106,'changes2_based on steps'!$B$1:$U$1,X$1)</f>
        <v>0</v>
      </c>
      <c r="Y106" s="155">
        <f ca="1">SUMIFS('recurring2_based on steps'!$B106:$AY106,'recurring2_based on steps'!$B$1:$AY$1,Y$1)+SUMIFS('changes2_based on steps'!$B106:$U106,'changes2_based on steps'!$B$1:$U$1,Y$1)</f>
        <v>0</v>
      </c>
      <c r="Z106" s="155">
        <f>SUMIFS('recurring2_based on steps'!$B106:$AY106,'recurring2_based on steps'!$B$1:$AY$1,Z$1)+SUMIFS('changes2_based on steps'!$B106:$U106,'changes2_based on steps'!$B$1:$U$1,Z$1)</f>
        <v>0</v>
      </c>
      <c r="AA106" s="155">
        <f>SUMIFS('recurring2_based on steps'!$B106:$AY106,'recurring2_based on steps'!$B$1:$AY$1,AA$1)+SUMIFS('changes2_based on steps'!$B106:$U106,'changes2_based on steps'!$B$1:$U$1,AA$1)</f>
        <v>0</v>
      </c>
    </row>
    <row r="107" spans="1:27" x14ac:dyDescent="0.2">
      <c r="A107" s="18">
        <f t="shared" ca="1" si="1"/>
        <v>45793</v>
      </c>
      <c r="B107" s="155">
        <f ca="1">SUMIFS('recurring2_based on steps'!$B107:$AY107,'recurring2_based on steps'!$B$1:$AY$1,B$1)+SUMIFS('changes2_based on steps'!$B107:$U107,'changes2_based on steps'!$B$1:$U$1,B$1)</f>
        <v>4000</v>
      </c>
      <c r="C107" s="155">
        <f>SUMIFS('recurring2_based on steps'!$B107:$AY107,'recurring2_based on steps'!$B$1:$AY$1,C$1)+SUMIFS('changes2_based on steps'!$B107:$U107,'changes2_based on steps'!$B$1:$U$1,C$1)</f>
        <v>0</v>
      </c>
      <c r="D107" s="155">
        <f>SUMIFS('recurring2_based on steps'!$B107:$AY107,'recurring2_based on steps'!$B$1:$AY$1,D$1)+SUMIFS('changes2_based on steps'!$B107:$U107,'changes2_based on steps'!$B$1:$U$1,D$1)</f>
        <v>0</v>
      </c>
      <c r="E107" s="155">
        <f>SUMIFS('recurring2_based on steps'!$B107:$AY107,'recurring2_based on steps'!$B$1:$AY$1,E$1)+SUMIFS('changes2_based on steps'!$B107:$U107,'changes2_based on steps'!$B$1:$U$1,E$1)</f>
        <v>0</v>
      </c>
      <c r="F107" s="155">
        <f>SUMIFS('recurring2_based on steps'!$B107:$AY107,'recurring2_based on steps'!$B$1:$AY$1,F$1)+SUMIFS('changes2_based on steps'!$B107:$U107,'changes2_based on steps'!$B$1:$U$1,F$1)</f>
        <v>0</v>
      </c>
      <c r="G107" s="155">
        <f>SUMIFS('recurring2_based on steps'!$B107:$AY107,'recurring2_based on steps'!$B$1:$AY$1,G$1)+SUMIFS('changes2_based on steps'!$B107:$U107,'changes2_based on steps'!$B$1:$U$1,G$1)</f>
        <v>0</v>
      </c>
      <c r="H107" s="155">
        <f ca="1">SUMIFS('recurring2_based on steps'!$B107:$AY107,'recurring2_based on steps'!$B$1:$AY$1,H$1)+SUMIFS('changes2_based on steps'!$B107:$U107,'changes2_based on steps'!$B$1:$U$1,H$1)</f>
        <v>96</v>
      </c>
      <c r="I107" s="155">
        <f>SUMIFS('recurring2_based on steps'!$B107:$AY107,'recurring2_based on steps'!$B$1:$AY$1,I$1)+SUMIFS('changes2_based on steps'!$B107:$U107,'changes2_based on steps'!$B$1:$U$1,I$1)</f>
        <v>0</v>
      </c>
      <c r="J107" s="155">
        <f>SUMIFS('recurring2_based on steps'!$B107:$AY107,'recurring2_based on steps'!$B$1:$AY$1,J$1)+SUMIFS('changes2_based on steps'!$B107:$U107,'changes2_based on steps'!$B$1:$U$1,J$1)</f>
        <v>0</v>
      </c>
      <c r="K107" s="155">
        <f>SUMIFS('recurring2_based on steps'!$B107:$AY107,'recurring2_based on steps'!$B$1:$AY$1,K$1)+SUMIFS('changes2_based on steps'!$B107:$U107,'changes2_based on steps'!$B$1:$U$1,K$1)</f>
        <v>0</v>
      </c>
      <c r="L107" s="155">
        <f>SUMIFS('recurring2_based on steps'!$B107:$AY107,'recurring2_based on steps'!$B$1:$AY$1,L$1)+SUMIFS('changes2_based on steps'!$B107:$U107,'changes2_based on steps'!$B$1:$U$1,L$1)</f>
        <v>0</v>
      </c>
      <c r="M107" s="155">
        <f ca="1">SUMIFS('recurring2_based on steps'!$B107:$AY107,'recurring2_based on steps'!$B$1:$AY$1,M$1)+SUMIFS('changes2_based on steps'!$B107:$U107,'changes2_based on steps'!$B$1:$U$1,M$1)</f>
        <v>0</v>
      </c>
      <c r="N107" s="155">
        <f ca="1">SUMIFS('recurring2_based on steps'!$B107:$AY107,'recurring2_based on steps'!$B$1:$AY$1,N$1)+SUMIFS('changes2_based on steps'!$B107:$U107,'changes2_based on steps'!$B$1:$U$1,N$1)</f>
        <v>0</v>
      </c>
      <c r="O107" s="155">
        <f ca="1">SUMIFS('recurring2_based on steps'!$B107:$AY107,'recurring2_based on steps'!$B$1:$AY$1,O$1)+SUMIFS('changes2_based on steps'!$B107:$U107,'changes2_based on steps'!$B$1:$U$1,O$1)</f>
        <v>0</v>
      </c>
      <c r="P107" s="155">
        <f ca="1">SUMIFS('recurring2_based on steps'!$B107:$AY107,'recurring2_based on steps'!$B$1:$AY$1,P$1)+SUMIFS('changes2_based on steps'!$B107:$U107,'changes2_based on steps'!$B$1:$U$1,P$1)</f>
        <v>0</v>
      </c>
      <c r="Q107" s="155">
        <f>SUMIFS('recurring2_based on steps'!$B107:$AY107,'recurring2_based on steps'!$B$1:$AY$1,Q$1)+SUMIFS('changes2_based on steps'!$B107:$U107,'changes2_based on steps'!$B$1:$U$1,Q$1)</f>
        <v>0</v>
      </c>
      <c r="R107" s="155">
        <f ca="1">SUMIFS('recurring2_based on steps'!$B107:$AY107,'recurring2_based on steps'!$B$1:$AY$1,R$1)+SUMIFS('changes2_based on steps'!$B107:$U107,'changes2_based on steps'!$B$1:$U$1,R$1)</f>
        <v>0</v>
      </c>
      <c r="S107" s="155">
        <f ca="1">SUMIFS('recurring2_based on steps'!$B107:$AY107,'recurring2_based on steps'!$B$1:$AY$1,S$1)+SUMIFS('changes2_based on steps'!$B107:$U107,'changes2_based on steps'!$B$1:$U$1,S$1)</f>
        <v>0</v>
      </c>
      <c r="T107" s="155">
        <f>SUMIFS('recurring2_based on steps'!$B107:$AY107,'recurring2_based on steps'!$B$1:$AY$1,T$1)+SUMIFS('changes2_based on steps'!$B107:$U107,'changes2_based on steps'!$B$1:$U$1,T$1)</f>
        <v>0</v>
      </c>
      <c r="U107" s="155">
        <f ca="1">SUMIFS('recurring2_based on steps'!$B107:$AY107,'recurring2_based on steps'!$B$1:$AY$1,U$1)+SUMIFS('changes2_based on steps'!$B107:$U107,'changes2_based on steps'!$B$1:$U$1,U$1)</f>
        <v>0</v>
      </c>
      <c r="V107" s="155">
        <f>SUMIFS('recurring2_based on steps'!$B107:$AY107,'recurring2_based on steps'!$B$1:$AY$1,V$1)+SUMIFS('changes2_based on steps'!$B107:$U107,'changes2_based on steps'!$B$1:$U$1,V$1)</f>
        <v>0</v>
      </c>
      <c r="W107" s="155">
        <f ca="1">SUMIFS('recurring2_based on steps'!$B107:$AY107,'recurring2_based on steps'!$B$1:$AY$1,W$1)+SUMIFS('changes2_based on steps'!$B107:$U107,'changes2_based on steps'!$B$1:$U$1,W$1)</f>
        <v>50</v>
      </c>
      <c r="X107" s="155">
        <f ca="1">SUMIFS('recurring2_based on steps'!$B107:$AY107,'recurring2_based on steps'!$B$1:$AY$1,X$1)+SUMIFS('changes2_based on steps'!$B107:$U107,'changes2_based on steps'!$B$1:$U$1,X$1)</f>
        <v>200</v>
      </c>
      <c r="Y107" s="155">
        <f ca="1">SUMIFS('recurring2_based on steps'!$B107:$AY107,'recurring2_based on steps'!$B$1:$AY$1,Y$1)+SUMIFS('changes2_based on steps'!$B107:$U107,'changes2_based on steps'!$B$1:$U$1,Y$1)</f>
        <v>0</v>
      </c>
      <c r="Z107" s="155">
        <f>SUMIFS('recurring2_based on steps'!$B107:$AY107,'recurring2_based on steps'!$B$1:$AY$1,Z$1)+SUMIFS('changes2_based on steps'!$B107:$U107,'changes2_based on steps'!$B$1:$U$1,Z$1)</f>
        <v>0</v>
      </c>
      <c r="AA107" s="155">
        <f>SUMIFS('recurring2_based on steps'!$B107:$AY107,'recurring2_based on steps'!$B$1:$AY$1,AA$1)+SUMIFS('changes2_based on steps'!$B107:$U107,'changes2_based on steps'!$B$1:$U$1,AA$1)</f>
        <v>0</v>
      </c>
    </row>
    <row r="108" spans="1:27" x14ac:dyDescent="0.2">
      <c r="A108" s="18">
        <f t="shared" ca="1" si="1"/>
        <v>45794</v>
      </c>
      <c r="B108" s="155">
        <f ca="1">SUMIFS('recurring2_based on steps'!$B108:$AY108,'recurring2_based on steps'!$B$1:$AY$1,B$1)+SUMIFS('changes2_based on steps'!$B108:$U108,'changes2_based on steps'!$B$1:$U$1,B$1)</f>
        <v>0</v>
      </c>
      <c r="C108" s="155">
        <f>SUMIFS('recurring2_based on steps'!$B108:$AY108,'recurring2_based on steps'!$B$1:$AY$1,C$1)+SUMIFS('changes2_based on steps'!$B108:$U108,'changes2_based on steps'!$B$1:$U$1,C$1)</f>
        <v>0</v>
      </c>
      <c r="D108" s="155">
        <f>SUMIFS('recurring2_based on steps'!$B108:$AY108,'recurring2_based on steps'!$B$1:$AY$1,D$1)+SUMIFS('changes2_based on steps'!$B108:$U108,'changes2_based on steps'!$B$1:$U$1,D$1)</f>
        <v>0</v>
      </c>
      <c r="E108" s="155">
        <f>SUMIFS('recurring2_based on steps'!$B108:$AY108,'recurring2_based on steps'!$B$1:$AY$1,E$1)+SUMIFS('changes2_based on steps'!$B108:$U108,'changes2_based on steps'!$B$1:$U$1,E$1)</f>
        <v>0</v>
      </c>
      <c r="F108" s="155">
        <f>SUMIFS('recurring2_based on steps'!$B108:$AY108,'recurring2_based on steps'!$B$1:$AY$1,F$1)+SUMIFS('changes2_based on steps'!$B108:$U108,'changes2_based on steps'!$B$1:$U$1,F$1)</f>
        <v>0</v>
      </c>
      <c r="G108" s="155">
        <f>SUMIFS('recurring2_based on steps'!$B108:$AY108,'recurring2_based on steps'!$B$1:$AY$1,G$1)+SUMIFS('changes2_based on steps'!$B108:$U108,'changes2_based on steps'!$B$1:$U$1,G$1)</f>
        <v>0</v>
      </c>
      <c r="H108" s="155">
        <f ca="1">SUMIFS('recurring2_based on steps'!$B108:$AY108,'recurring2_based on steps'!$B$1:$AY$1,H$1)+SUMIFS('changes2_based on steps'!$B108:$U108,'changes2_based on steps'!$B$1:$U$1,H$1)</f>
        <v>0</v>
      </c>
      <c r="I108" s="155">
        <f>SUMIFS('recurring2_based on steps'!$B108:$AY108,'recurring2_based on steps'!$B$1:$AY$1,I$1)+SUMIFS('changes2_based on steps'!$B108:$U108,'changes2_based on steps'!$B$1:$U$1,I$1)</f>
        <v>0</v>
      </c>
      <c r="J108" s="155">
        <f>SUMIFS('recurring2_based on steps'!$B108:$AY108,'recurring2_based on steps'!$B$1:$AY$1,J$1)+SUMIFS('changes2_based on steps'!$B108:$U108,'changes2_based on steps'!$B$1:$U$1,J$1)</f>
        <v>0</v>
      </c>
      <c r="K108" s="155">
        <f>SUMIFS('recurring2_based on steps'!$B108:$AY108,'recurring2_based on steps'!$B$1:$AY$1,K$1)+SUMIFS('changes2_based on steps'!$B108:$U108,'changes2_based on steps'!$B$1:$U$1,K$1)</f>
        <v>0</v>
      </c>
      <c r="L108" s="155">
        <f>SUMIFS('recurring2_based on steps'!$B108:$AY108,'recurring2_based on steps'!$B$1:$AY$1,L$1)+SUMIFS('changes2_based on steps'!$B108:$U108,'changes2_based on steps'!$B$1:$U$1,L$1)</f>
        <v>0</v>
      </c>
      <c r="M108" s="155">
        <f ca="1">SUMIFS('recurring2_based on steps'!$B108:$AY108,'recurring2_based on steps'!$B$1:$AY$1,M$1)+SUMIFS('changes2_based on steps'!$B108:$U108,'changes2_based on steps'!$B$1:$U$1,M$1)</f>
        <v>0</v>
      </c>
      <c r="N108" s="155">
        <f ca="1">SUMIFS('recurring2_based on steps'!$B108:$AY108,'recurring2_based on steps'!$B$1:$AY$1,N$1)+SUMIFS('changes2_based on steps'!$B108:$U108,'changes2_based on steps'!$B$1:$U$1,N$1)</f>
        <v>0</v>
      </c>
      <c r="O108" s="155">
        <f ca="1">SUMIFS('recurring2_based on steps'!$B108:$AY108,'recurring2_based on steps'!$B$1:$AY$1,O$1)+SUMIFS('changes2_based on steps'!$B108:$U108,'changes2_based on steps'!$B$1:$U$1,O$1)</f>
        <v>0</v>
      </c>
      <c r="P108" s="155">
        <f ca="1">SUMIFS('recurring2_based on steps'!$B108:$AY108,'recurring2_based on steps'!$B$1:$AY$1,P$1)+SUMIFS('changes2_based on steps'!$B108:$U108,'changes2_based on steps'!$B$1:$U$1,P$1)</f>
        <v>0</v>
      </c>
      <c r="Q108" s="155">
        <f>SUMIFS('recurring2_based on steps'!$B108:$AY108,'recurring2_based on steps'!$B$1:$AY$1,Q$1)+SUMIFS('changes2_based on steps'!$B108:$U108,'changes2_based on steps'!$B$1:$U$1,Q$1)</f>
        <v>0</v>
      </c>
      <c r="R108" s="155">
        <f ca="1">SUMIFS('recurring2_based on steps'!$B108:$AY108,'recurring2_based on steps'!$B$1:$AY$1,R$1)+SUMIFS('changes2_based on steps'!$B108:$U108,'changes2_based on steps'!$B$1:$U$1,R$1)</f>
        <v>100</v>
      </c>
      <c r="S108" s="155">
        <f ca="1">SUMIFS('recurring2_based on steps'!$B108:$AY108,'recurring2_based on steps'!$B$1:$AY$1,S$1)+SUMIFS('changes2_based on steps'!$B108:$U108,'changes2_based on steps'!$B$1:$U$1,S$1)</f>
        <v>100</v>
      </c>
      <c r="T108" s="155">
        <f>SUMIFS('recurring2_based on steps'!$B108:$AY108,'recurring2_based on steps'!$B$1:$AY$1,T$1)+SUMIFS('changes2_based on steps'!$B108:$U108,'changes2_based on steps'!$B$1:$U$1,T$1)</f>
        <v>0</v>
      </c>
      <c r="U108" s="155">
        <f ca="1">SUMIFS('recurring2_based on steps'!$B108:$AY108,'recurring2_based on steps'!$B$1:$AY$1,U$1)+SUMIFS('changes2_based on steps'!$B108:$U108,'changes2_based on steps'!$B$1:$U$1,U$1)</f>
        <v>15.49</v>
      </c>
      <c r="V108" s="155">
        <f>SUMIFS('recurring2_based on steps'!$B108:$AY108,'recurring2_based on steps'!$B$1:$AY$1,V$1)+SUMIFS('changes2_based on steps'!$B108:$U108,'changes2_based on steps'!$B$1:$U$1,V$1)</f>
        <v>0</v>
      </c>
      <c r="W108" s="155">
        <f ca="1">SUMIFS('recurring2_based on steps'!$B108:$AY108,'recurring2_based on steps'!$B$1:$AY$1,W$1)+SUMIFS('changes2_based on steps'!$B108:$U108,'changes2_based on steps'!$B$1:$U$1,W$1)</f>
        <v>0</v>
      </c>
      <c r="X108" s="155">
        <f ca="1">SUMIFS('recurring2_based on steps'!$B108:$AY108,'recurring2_based on steps'!$B$1:$AY$1,X$1)+SUMIFS('changes2_based on steps'!$B108:$U108,'changes2_based on steps'!$B$1:$U$1,X$1)</f>
        <v>0</v>
      </c>
      <c r="Y108" s="155">
        <f ca="1">SUMIFS('recurring2_based on steps'!$B108:$AY108,'recurring2_based on steps'!$B$1:$AY$1,Y$1)+SUMIFS('changes2_based on steps'!$B108:$U108,'changes2_based on steps'!$B$1:$U$1,Y$1)</f>
        <v>200</v>
      </c>
      <c r="Z108" s="155">
        <f>SUMIFS('recurring2_based on steps'!$B108:$AY108,'recurring2_based on steps'!$B$1:$AY$1,Z$1)+SUMIFS('changes2_based on steps'!$B108:$U108,'changes2_based on steps'!$B$1:$U$1,Z$1)</f>
        <v>0</v>
      </c>
      <c r="AA108" s="155">
        <f>SUMIFS('recurring2_based on steps'!$B108:$AY108,'recurring2_based on steps'!$B$1:$AY$1,AA$1)+SUMIFS('changes2_based on steps'!$B108:$U108,'changes2_based on steps'!$B$1:$U$1,AA$1)</f>
        <v>0</v>
      </c>
    </row>
    <row r="109" spans="1:27" x14ac:dyDescent="0.2">
      <c r="A109" s="18">
        <f t="shared" ca="1" si="1"/>
        <v>45795</v>
      </c>
      <c r="B109" s="155">
        <f ca="1">SUMIFS('recurring2_based on steps'!$B109:$AY109,'recurring2_based on steps'!$B$1:$AY$1,B$1)+SUMIFS('changes2_based on steps'!$B109:$U109,'changes2_based on steps'!$B$1:$U$1,B$1)</f>
        <v>0</v>
      </c>
      <c r="C109" s="155">
        <f>SUMIFS('recurring2_based on steps'!$B109:$AY109,'recurring2_based on steps'!$B$1:$AY$1,C$1)+SUMIFS('changes2_based on steps'!$B109:$U109,'changes2_based on steps'!$B$1:$U$1,C$1)</f>
        <v>0</v>
      </c>
      <c r="D109" s="155">
        <f>SUMIFS('recurring2_based on steps'!$B109:$AY109,'recurring2_based on steps'!$B$1:$AY$1,D$1)+SUMIFS('changes2_based on steps'!$B109:$U109,'changes2_based on steps'!$B$1:$U$1,D$1)</f>
        <v>0</v>
      </c>
      <c r="E109" s="155">
        <f>SUMIFS('recurring2_based on steps'!$B109:$AY109,'recurring2_based on steps'!$B$1:$AY$1,E$1)+SUMIFS('changes2_based on steps'!$B109:$U109,'changes2_based on steps'!$B$1:$U$1,E$1)</f>
        <v>0</v>
      </c>
      <c r="F109" s="155">
        <f>SUMIFS('recurring2_based on steps'!$B109:$AY109,'recurring2_based on steps'!$B$1:$AY$1,F$1)+SUMIFS('changes2_based on steps'!$B109:$U109,'changes2_based on steps'!$B$1:$U$1,F$1)</f>
        <v>0</v>
      </c>
      <c r="G109" s="155">
        <f>SUMIFS('recurring2_based on steps'!$B109:$AY109,'recurring2_based on steps'!$B$1:$AY$1,G$1)+SUMIFS('changes2_based on steps'!$B109:$U109,'changes2_based on steps'!$B$1:$U$1,G$1)</f>
        <v>0</v>
      </c>
      <c r="H109" s="155">
        <f ca="1">SUMIFS('recurring2_based on steps'!$B109:$AY109,'recurring2_based on steps'!$B$1:$AY$1,H$1)+SUMIFS('changes2_based on steps'!$B109:$U109,'changes2_based on steps'!$B$1:$U$1,H$1)</f>
        <v>0</v>
      </c>
      <c r="I109" s="155">
        <f>SUMIFS('recurring2_based on steps'!$B109:$AY109,'recurring2_based on steps'!$B$1:$AY$1,I$1)+SUMIFS('changes2_based on steps'!$B109:$U109,'changes2_based on steps'!$B$1:$U$1,I$1)</f>
        <v>0</v>
      </c>
      <c r="J109" s="155">
        <f>SUMIFS('recurring2_based on steps'!$B109:$AY109,'recurring2_based on steps'!$B$1:$AY$1,J$1)+SUMIFS('changes2_based on steps'!$B109:$U109,'changes2_based on steps'!$B$1:$U$1,J$1)</f>
        <v>0</v>
      </c>
      <c r="K109" s="155">
        <f>SUMIFS('recurring2_based on steps'!$B109:$AY109,'recurring2_based on steps'!$B$1:$AY$1,K$1)+SUMIFS('changes2_based on steps'!$B109:$U109,'changes2_based on steps'!$B$1:$U$1,K$1)</f>
        <v>0</v>
      </c>
      <c r="L109" s="155">
        <f>SUMIFS('recurring2_based on steps'!$B109:$AY109,'recurring2_based on steps'!$B$1:$AY$1,L$1)+SUMIFS('changes2_based on steps'!$B109:$U109,'changes2_based on steps'!$B$1:$U$1,L$1)</f>
        <v>0</v>
      </c>
      <c r="M109" s="155">
        <f ca="1">SUMIFS('recurring2_based on steps'!$B109:$AY109,'recurring2_based on steps'!$B$1:$AY$1,M$1)+SUMIFS('changes2_based on steps'!$B109:$U109,'changes2_based on steps'!$B$1:$U$1,M$1)</f>
        <v>0</v>
      </c>
      <c r="N109" s="155">
        <f ca="1">SUMIFS('recurring2_based on steps'!$B109:$AY109,'recurring2_based on steps'!$B$1:$AY$1,N$1)+SUMIFS('changes2_based on steps'!$B109:$U109,'changes2_based on steps'!$B$1:$U$1,N$1)</f>
        <v>50</v>
      </c>
      <c r="O109" s="155">
        <f ca="1">SUMIFS('recurring2_based on steps'!$B109:$AY109,'recurring2_based on steps'!$B$1:$AY$1,O$1)+SUMIFS('changes2_based on steps'!$B109:$U109,'changes2_based on steps'!$B$1:$U$1,O$1)</f>
        <v>0</v>
      </c>
      <c r="P109" s="155">
        <f ca="1">SUMIFS('recurring2_based on steps'!$B109:$AY109,'recurring2_based on steps'!$B$1:$AY$1,P$1)+SUMIFS('changes2_based on steps'!$B109:$U109,'changes2_based on steps'!$B$1:$U$1,P$1)</f>
        <v>0</v>
      </c>
      <c r="Q109" s="155">
        <f>SUMIFS('recurring2_based on steps'!$B109:$AY109,'recurring2_based on steps'!$B$1:$AY$1,Q$1)+SUMIFS('changes2_based on steps'!$B109:$U109,'changes2_based on steps'!$B$1:$U$1,Q$1)</f>
        <v>0</v>
      </c>
      <c r="R109" s="155">
        <f ca="1">SUMIFS('recurring2_based on steps'!$B109:$AY109,'recurring2_based on steps'!$B$1:$AY$1,R$1)+SUMIFS('changes2_based on steps'!$B109:$U109,'changes2_based on steps'!$B$1:$U$1,R$1)</f>
        <v>0</v>
      </c>
      <c r="S109" s="155">
        <f ca="1">SUMIFS('recurring2_based on steps'!$B109:$AY109,'recurring2_based on steps'!$B$1:$AY$1,S$1)+SUMIFS('changes2_based on steps'!$B109:$U109,'changes2_based on steps'!$B$1:$U$1,S$1)</f>
        <v>100</v>
      </c>
      <c r="T109" s="155">
        <f>SUMIFS('recurring2_based on steps'!$B109:$AY109,'recurring2_based on steps'!$B$1:$AY$1,T$1)+SUMIFS('changes2_based on steps'!$B109:$U109,'changes2_based on steps'!$B$1:$U$1,T$1)</f>
        <v>0</v>
      </c>
      <c r="U109" s="155">
        <f ca="1">SUMIFS('recurring2_based on steps'!$B109:$AY109,'recurring2_based on steps'!$B$1:$AY$1,U$1)+SUMIFS('changes2_based on steps'!$B109:$U109,'changes2_based on steps'!$B$1:$U$1,U$1)</f>
        <v>10.99</v>
      </c>
      <c r="V109" s="155">
        <f>SUMIFS('recurring2_based on steps'!$B109:$AY109,'recurring2_based on steps'!$B$1:$AY$1,V$1)+SUMIFS('changes2_based on steps'!$B109:$U109,'changes2_based on steps'!$B$1:$U$1,V$1)</f>
        <v>0</v>
      </c>
      <c r="W109" s="155">
        <f ca="1">SUMIFS('recurring2_based on steps'!$B109:$AY109,'recurring2_based on steps'!$B$1:$AY$1,W$1)+SUMIFS('changes2_based on steps'!$B109:$U109,'changes2_based on steps'!$B$1:$U$1,W$1)</f>
        <v>0</v>
      </c>
      <c r="X109" s="155">
        <f ca="1">SUMIFS('recurring2_based on steps'!$B109:$AY109,'recurring2_based on steps'!$B$1:$AY$1,X$1)+SUMIFS('changes2_based on steps'!$B109:$U109,'changes2_based on steps'!$B$1:$U$1,X$1)</f>
        <v>0</v>
      </c>
      <c r="Y109" s="155">
        <f ca="1">SUMIFS('recurring2_based on steps'!$B109:$AY109,'recurring2_based on steps'!$B$1:$AY$1,Y$1)+SUMIFS('changes2_based on steps'!$B109:$U109,'changes2_based on steps'!$B$1:$U$1,Y$1)</f>
        <v>0</v>
      </c>
      <c r="Z109" s="155">
        <f>SUMIFS('recurring2_based on steps'!$B109:$AY109,'recurring2_based on steps'!$B$1:$AY$1,Z$1)+SUMIFS('changes2_based on steps'!$B109:$U109,'changes2_based on steps'!$B$1:$U$1,Z$1)</f>
        <v>0</v>
      </c>
      <c r="AA109" s="155">
        <f>SUMIFS('recurring2_based on steps'!$B109:$AY109,'recurring2_based on steps'!$B$1:$AY$1,AA$1)+SUMIFS('changes2_based on steps'!$B109:$U109,'changes2_based on steps'!$B$1:$U$1,AA$1)</f>
        <v>0</v>
      </c>
    </row>
    <row r="110" spans="1:27" x14ac:dyDescent="0.2">
      <c r="A110" s="18">
        <f t="shared" ca="1" si="1"/>
        <v>45796</v>
      </c>
      <c r="B110" s="155">
        <f ca="1">SUMIFS('recurring2_based on steps'!$B110:$AY110,'recurring2_based on steps'!$B$1:$AY$1,B$1)+SUMIFS('changes2_based on steps'!$B110:$U110,'changes2_based on steps'!$B$1:$U$1,B$1)</f>
        <v>0</v>
      </c>
      <c r="C110" s="155">
        <f>SUMIFS('recurring2_based on steps'!$B110:$AY110,'recurring2_based on steps'!$B$1:$AY$1,C$1)+SUMIFS('changes2_based on steps'!$B110:$U110,'changes2_based on steps'!$B$1:$U$1,C$1)</f>
        <v>0</v>
      </c>
      <c r="D110" s="155">
        <f>SUMIFS('recurring2_based on steps'!$B110:$AY110,'recurring2_based on steps'!$B$1:$AY$1,D$1)+SUMIFS('changes2_based on steps'!$B110:$U110,'changes2_based on steps'!$B$1:$U$1,D$1)</f>
        <v>0</v>
      </c>
      <c r="E110" s="155">
        <f>SUMIFS('recurring2_based on steps'!$B110:$AY110,'recurring2_based on steps'!$B$1:$AY$1,E$1)+SUMIFS('changes2_based on steps'!$B110:$U110,'changes2_based on steps'!$B$1:$U$1,E$1)</f>
        <v>0</v>
      </c>
      <c r="F110" s="155">
        <f>SUMIFS('recurring2_based on steps'!$B110:$AY110,'recurring2_based on steps'!$B$1:$AY$1,F$1)+SUMIFS('changes2_based on steps'!$B110:$U110,'changes2_based on steps'!$B$1:$U$1,F$1)</f>
        <v>0</v>
      </c>
      <c r="G110" s="155">
        <f>SUMIFS('recurring2_based on steps'!$B110:$AY110,'recurring2_based on steps'!$B$1:$AY$1,G$1)+SUMIFS('changes2_based on steps'!$B110:$U110,'changes2_based on steps'!$B$1:$U$1,G$1)</f>
        <v>0</v>
      </c>
      <c r="H110" s="155">
        <f ca="1">SUMIFS('recurring2_based on steps'!$B110:$AY110,'recurring2_based on steps'!$B$1:$AY$1,H$1)+SUMIFS('changes2_based on steps'!$B110:$U110,'changes2_based on steps'!$B$1:$U$1,H$1)</f>
        <v>0</v>
      </c>
      <c r="I110" s="155">
        <f>SUMIFS('recurring2_based on steps'!$B110:$AY110,'recurring2_based on steps'!$B$1:$AY$1,I$1)+SUMIFS('changes2_based on steps'!$B110:$U110,'changes2_based on steps'!$B$1:$U$1,I$1)</f>
        <v>0</v>
      </c>
      <c r="J110" s="155">
        <f>SUMIFS('recurring2_based on steps'!$B110:$AY110,'recurring2_based on steps'!$B$1:$AY$1,J$1)+SUMIFS('changes2_based on steps'!$B110:$U110,'changes2_based on steps'!$B$1:$U$1,J$1)</f>
        <v>0</v>
      </c>
      <c r="K110" s="155">
        <f>SUMIFS('recurring2_based on steps'!$B110:$AY110,'recurring2_based on steps'!$B$1:$AY$1,K$1)+SUMIFS('changes2_based on steps'!$B110:$U110,'changes2_based on steps'!$B$1:$U$1,K$1)</f>
        <v>0</v>
      </c>
      <c r="L110" s="155">
        <f>SUMIFS('recurring2_based on steps'!$B110:$AY110,'recurring2_based on steps'!$B$1:$AY$1,L$1)+SUMIFS('changes2_based on steps'!$B110:$U110,'changes2_based on steps'!$B$1:$U$1,L$1)</f>
        <v>0</v>
      </c>
      <c r="M110" s="155">
        <f ca="1">SUMIFS('recurring2_based on steps'!$B110:$AY110,'recurring2_based on steps'!$B$1:$AY$1,M$1)+SUMIFS('changes2_based on steps'!$B110:$U110,'changes2_based on steps'!$B$1:$U$1,M$1)</f>
        <v>0</v>
      </c>
      <c r="N110" s="155">
        <f ca="1">SUMIFS('recurring2_based on steps'!$B110:$AY110,'recurring2_based on steps'!$B$1:$AY$1,N$1)+SUMIFS('changes2_based on steps'!$B110:$U110,'changes2_based on steps'!$B$1:$U$1,N$1)</f>
        <v>0</v>
      </c>
      <c r="O110" s="155">
        <f ca="1">SUMIFS('recurring2_based on steps'!$B110:$AY110,'recurring2_based on steps'!$B$1:$AY$1,O$1)+SUMIFS('changes2_based on steps'!$B110:$U110,'changes2_based on steps'!$B$1:$U$1,O$1)</f>
        <v>0</v>
      </c>
      <c r="P110" s="155">
        <f ca="1">SUMIFS('recurring2_based on steps'!$B110:$AY110,'recurring2_based on steps'!$B$1:$AY$1,P$1)+SUMIFS('changes2_based on steps'!$B110:$U110,'changes2_based on steps'!$B$1:$U$1,P$1)</f>
        <v>50</v>
      </c>
      <c r="Q110" s="155">
        <f>SUMIFS('recurring2_based on steps'!$B110:$AY110,'recurring2_based on steps'!$B$1:$AY$1,Q$1)+SUMIFS('changes2_based on steps'!$B110:$U110,'changes2_based on steps'!$B$1:$U$1,Q$1)</f>
        <v>0</v>
      </c>
      <c r="R110" s="155">
        <f ca="1">SUMIFS('recurring2_based on steps'!$B110:$AY110,'recurring2_based on steps'!$B$1:$AY$1,R$1)+SUMIFS('changes2_based on steps'!$B110:$U110,'changes2_based on steps'!$B$1:$U$1,R$1)</f>
        <v>0</v>
      </c>
      <c r="S110" s="155">
        <f ca="1">SUMIFS('recurring2_based on steps'!$B110:$AY110,'recurring2_based on steps'!$B$1:$AY$1,S$1)+SUMIFS('changes2_based on steps'!$B110:$U110,'changes2_based on steps'!$B$1:$U$1,S$1)</f>
        <v>0</v>
      </c>
      <c r="T110" s="155">
        <f>SUMIFS('recurring2_based on steps'!$B110:$AY110,'recurring2_based on steps'!$B$1:$AY$1,T$1)+SUMIFS('changes2_based on steps'!$B110:$U110,'changes2_based on steps'!$B$1:$U$1,T$1)</f>
        <v>0</v>
      </c>
      <c r="U110" s="155">
        <f ca="1">SUMIFS('recurring2_based on steps'!$B110:$AY110,'recurring2_based on steps'!$B$1:$AY$1,U$1)+SUMIFS('changes2_based on steps'!$B110:$U110,'changes2_based on steps'!$B$1:$U$1,U$1)</f>
        <v>0</v>
      </c>
      <c r="V110" s="155">
        <f>SUMIFS('recurring2_based on steps'!$B110:$AY110,'recurring2_based on steps'!$B$1:$AY$1,V$1)+SUMIFS('changes2_based on steps'!$B110:$U110,'changes2_based on steps'!$B$1:$U$1,V$1)</f>
        <v>0</v>
      </c>
      <c r="W110" s="155">
        <f ca="1">SUMIFS('recurring2_based on steps'!$B110:$AY110,'recurring2_based on steps'!$B$1:$AY$1,W$1)+SUMIFS('changes2_based on steps'!$B110:$U110,'changes2_based on steps'!$B$1:$U$1,W$1)</f>
        <v>0</v>
      </c>
      <c r="X110" s="155">
        <f ca="1">SUMIFS('recurring2_based on steps'!$B110:$AY110,'recurring2_based on steps'!$B$1:$AY$1,X$1)+SUMIFS('changes2_based on steps'!$B110:$U110,'changes2_based on steps'!$B$1:$U$1,X$1)</f>
        <v>0</v>
      </c>
      <c r="Y110" s="155">
        <f ca="1">SUMIFS('recurring2_based on steps'!$B110:$AY110,'recurring2_based on steps'!$B$1:$AY$1,Y$1)+SUMIFS('changes2_based on steps'!$B110:$U110,'changes2_based on steps'!$B$1:$U$1,Y$1)</f>
        <v>0</v>
      </c>
      <c r="Z110" s="155">
        <f>SUMIFS('recurring2_based on steps'!$B110:$AY110,'recurring2_based on steps'!$B$1:$AY$1,Z$1)+SUMIFS('changes2_based on steps'!$B110:$U110,'changes2_based on steps'!$B$1:$U$1,Z$1)</f>
        <v>0</v>
      </c>
      <c r="AA110" s="155">
        <f>SUMIFS('recurring2_based on steps'!$B110:$AY110,'recurring2_based on steps'!$B$1:$AY$1,AA$1)+SUMIFS('changes2_based on steps'!$B110:$U110,'changes2_based on steps'!$B$1:$U$1,AA$1)</f>
        <v>0</v>
      </c>
    </row>
    <row r="111" spans="1:27" x14ac:dyDescent="0.2">
      <c r="A111" s="18">
        <f t="shared" ca="1" si="1"/>
        <v>45797</v>
      </c>
      <c r="B111" s="155">
        <f ca="1">SUMIFS('recurring2_based on steps'!$B111:$AY111,'recurring2_based on steps'!$B$1:$AY$1,B$1)+SUMIFS('changes2_based on steps'!$B111:$U111,'changes2_based on steps'!$B$1:$U$1,B$1)</f>
        <v>0</v>
      </c>
      <c r="C111" s="155">
        <f>SUMIFS('recurring2_based on steps'!$B111:$AY111,'recurring2_based on steps'!$B$1:$AY$1,C$1)+SUMIFS('changes2_based on steps'!$B111:$U111,'changes2_based on steps'!$B$1:$U$1,C$1)</f>
        <v>0</v>
      </c>
      <c r="D111" s="155">
        <f>SUMIFS('recurring2_based on steps'!$B111:$AY111,'recurring2_based on steps'!$B$1:$AY$1,D$1)+SUMIFS('changes2_based on steps'!$B111:$U111,'changes2_based on steps'!$B$1:$U$1,D$1)</f>
        <v>0</v>
      </c>
      <c r="E111" s="155">
        <f>SUMIFS('recurring2_based on steps'!$B111:$AY111,'recurring2_based on steps'!$B$1:$AY$1,E$1)+SUMIFS('changes2_based on steps'!$B111:$U111,'changes2_based on steps'!$B$1:$U$1,E$1)</f>
        <v>0</v>
      </c>
      <c r="F111" s="155">
        <f>SUMIFS('recurring2_based on steps'!$B111:$AY111,'recurring2_based on steps'!$B$1:$AY$1,F$1)+SUMIFS('changes2_based on steps'!$B111:$U111,'changes2_based on steps'!$B$1:$U$1,F$1)</f>
        <v>0</v>
      </c>
      <c r="G111" s="155">
        <f>SUMIFS('recurring2_based on steps'!$B111:$AY111,'recurring2_based on steps'!$B$1:$AY$1,G$1)+SUMIFS('changes2_based on steps'!$B111:$U111,'changes2_based on steps'!$B$1:$U$1,G$1)</f>
        <v>0</v>
      </c>
      <c r="H111" s="155">
        <f ca="1">SUMIFS('recurring2_based on steps'!$B111:$AY111,'recurring2_based on steps'!$B$1:$AY$1,H$1)+SUMIFS('changes2_based on steps'!$B111:$U111,'changes2_based on steps'!$B$1:$U$1,H$1)</f>
        <v>0</v>
      </c>
      <c r="I111" s="155">
        <f>SUMIFS('recurring2_based on steps'!$B111:$AY111,'recurring2_based on steps'!$B$1:$AY$1,I$1)+SUMIFS('changes2_based on steps'!$B111:$U111,'changes2_based on steps'!$B$1:$U$1,I$1)</f>
        <v>0</v>
      </c>
      <c r="J111" s="155">
        <f>SUMIFS('recurring2_based on steps'!$B111:$AY111,'recurring2_based on steps'!$B$1:$AY$1,J$1)+SUMIFS('changes2_based on steps'!$B111:$U111,'changes2_based on steps'!$B$1:$U$1,J$1)</f>
        <v>0</v>
      </c>
      <c r="K111" s="155">
        <f>SUMIFS('recurring2_based on steps'!$B111:$AY111,'recurring2_based on steps'!$B$1:$AY$1,K$1)+SUMIFS('changes2_based on steps'!$B111:$U111,'changes2_based on steps'!$B$1:$U$1,K$1)</f>
        <v>0</v>
      </c>
      <c r="L111" s="155">
        <f>SUMIFS('recurring2_based on steps'!$B111:$AY111,'recurring2_based on steps'!$B$1:$AY$1,L$1)+SUMIFS('changes2_based on steps'!$B111:$U111,'changes2_based on steps'!$B$1:$U$1,L$1)</f>
        <v>0</v>
      </c>
      <c r="M111" s="155">
        <f ca="1">SUMIFS('recurring2_based on steps'!$B111:$AY111,'recurring2_based on steps'!$B$1:$AY$1,M$1)+SUMIFS('changes2_based on steps'!$B111:$U111,'changes2_based on steps'!$B$1:$U$1,M$1)</f>
        <v>0</v>
      </c>
      <c r="N111" s="155">
        <f ca="1">SUMIFS('recurring2_based on steps'!$B111:$AY111,'recurring2_based on steps'!$B$1:$AY$1,N$1)+SUMIFS('changes2_based on steps'!$B111:$U111,'changes2_based on steps'!$B$1:$U$1,N$1)</f>
        <v>0</v>
      </c>
      <c r="O111" s="155">
        <f ca="1">SUMIFS('recurring2_based on steps'!$B111:$AY111,'recurring2_based on steps'!$B$1:$AY$1,O$1)+SUMIFS('changes2_based on steps'!$B111:$U111,'changes2_based on steps'!$B$1:$U$1,O$1)</f>
        <v>0</v>
      </c>
      <c r="P111" s="155">
        <f ca="1">SUMIFS('recurring2_based on steps'!$B111:$AY111,'recurring2_based on steps'!$B$1:$AY$1,P$1)+SUMIFS('changes2_based on steps'!$B111:$U111,'changes2_based on steps'!$B$1:$U$1,P$1)</f>
        <v>0</v>
      </c>
      <c r="Q111" s="155">
        <f>SUMIFS('recurring2_based on steps'!$B111:$AY111,'recurring2_based on steps'!$B$1:$AY$1,Q$1)+SUMIFS('changes2_based on steps'!$B111:$U111,'changes2_based on steps'!$B$1:$U$1,Q$1)</f>
        <v>0</v>
      </c>
      <c r="R111" s="155">
        <f ca="1">SUMIFS('recurring2_based on steps'!$B111:$AY111,'recurring2_based on steps'!$B$1:$AY$1,R$1)+SUMIFS('changes2_based on steps'!$B111:$U111,'changes2_based on steps'!$B$1:$U$1,R$1)</f>
        <v>0</v>
      </c>
      <c r="S111" s="155">
        <f ca="1">SUMIFS('recurring2_based on steps'!$B111:$AY111,'recurring2_based on steps'!$B$1:$AY$1,S$1)+SUMIFS('changes2_based on steps'!$B111:$U111,'changes2_based on steps'!$B$1:$U$1,S$1)</f>
        <v>0</v>
      </c>
      <c r="T111" s="155">
        <f>SUMIFS('recurring2_based on steps'!$B111:$AY111,'recurring2_based on steps'!$B$1:$AY$1,T$1)+SUMIFS('changes2_based on steps'!$B111:$U111,'changes2_based on steps'!$B$1:$U$1,T$1)</f>
        <v>0</v>
      </c>
      <c r="U111" s="155">
        <f ca="1">SUMIFS('recurring2_based on steps'!$B111:$AY111,'recurring2_based on steps'!$B$1:$AY$1,U$1)+SUMIFS('changes2_based on steps'!$B111:$U111,'changes2_based on steps'!$B$1:$U$1,U$1)</f>
        <v>0</v>
      </c>
      <c r="V111" s="155">
        <f>SUMIFS('recurring2_based on steps'!$B111:$AY111,'recurring2_based on steps'!$B$1:$AY$1,V$1)+SUMIFS('changes2_based on steps'!$B111:$U111,'changes2_based on steps'!$B$1:$U$1,V$1)</f>
        <v>0</v>
      </c>
      <c r="W111" s="155">
        <f ca="1">SUMIFS('recurring2_based on steps'!$B111:$AY111,'recurring2_based on steps'!$B$1:$AY$1,W$1)+SUMIFS('changes2_based on steps'!$B111:$U111,'changes2_based on steps'!$B$1:$U$1,W$1)</f>
        <v>0</v>
      </c>
      <c r="X111" s="155">
        <f ca="1">SUMIFS('recurring2_based on steps'!$B111:$AY111,'recurring2_based on steps'!$B$1:$AY$1,X$1)+SUMIFS('changes2_based on steps'!$B111:$U111,'changes2_based on steps'!$B$1:$U$1,X$1)</f>
        <v>0</v>
      </c>
      <c r="Y111" s="155">
        <f ca="1">SUMIFS('recurring2_based on steps'!$B111:$AY111,'recurring2_based on steps'!$B$1:$AY$1,Y$1)+SUMIFS('changes2_based on steps'!$B111:$U111,'changes2_based on steps'!$B$1:$U$1,Y$1)</f>
        <v>0</v>
      </c>
      <c r="Z111" s="155">
        <f>SUMIFS('recurring2_based on steps'!$B111:$AY111,'recurring2_based on steps'!$B$1:$AY$1,Z$1)+SUMIFS('changes2_based on steps'!$B111:$U111,'changes2_based on steps'!$B$1:$U$1,Z$1)</f>
        <v>0</v>
      </c>
      <c r="AA111" s="155">
        <f>SUMIFS('recurring2_based on steps'!$B111:$AY111,'recurring2_based on steps'!$B$1:$AY$1,AA$1)+SUMIFS('changes2_based on steps'!$B111:$U111,'changes2_based on steps'!$B$1:$U$1,AA$1)</f>
        <v>0</v>
      </c>
    </row>
    <row r="112" spans="1:27" x14ac:dyDescent="0.2">
      <c r="A112" s="18">
        <f t="shared" ca="1" si="1"/>
        <v>45798</v>
      </c>
      <c r="B112" s="155">
        <f ca="1">SUMIFS('recurring2_based on steps'!$B112:$AY112,'recurring2_based on steps'!$B$1:$AY$1,B$1)+SUMIFS('changes2_based on steps'!$B112:$U112,'changes2_based on steps'!$B$1:$U$1,B$1)</f>
        <v>100</v>
      </c>
      <c r="C112" s="155">
        <f>SUMIFS('recurring2_based on steps'!$B112:$AY112,'recurring2_based on steps'!$B$1:$AY$1,C$1)+SUMIFS('changes2_based on steps'!$B112:$U112,'changes2_based on steps'!$B$1:$U$1,C$1)</f>
        <v>0</v>
      </c>
      <c r="D112" s="155">
        <f>SUMIFS('recurring2_based on steps'!$B112:$AY112,'recurring2_based on steps'!$B$1:$AY$1,D$1)+SUMIFS('changes2_based on steps'!$B112:$U112,'changes2_based on steps'!$B$1:$U$1,D$1)</f>
        <v>0</v>
      </c>
      <c r="E112" s="155">
        <f>SUMIFS('recurring2_based on steps'!$B112:$AY112,'recurring2_based on steps'!$B$1:$AY$1,E$1)+SUMIFS('changes2_based on steps'!$B112:$U112,'changes2_based on steps'!$B$1:$U$1,E$1)</f>
        <v>0</v>
      </c>
      <c r="F112" s="155">
        <f>SUMIFS('recurring2_based on steps'!$B112:$AY112,'recurring2_based on steps'!$B$1:$AY$1,F$1)+SUMIFS('changes2_based on steps'!$B112:$U112,'changes2_based on steps'!$B$1:$U$1,F$1)</f>
        <v>0</v>
      </c>
      <c r="G112" s="155">
        <f>SUMIFS('recurring2_based on steps'!$B112:$AY112,'recurring2_based on steps'!$B$1:$AY$1,G$1)+SUMIFS('changes2_based on steps'!$B112:$U112,'changes2_based on steps'!$B$1:$U$1,G$1)</f>
        <v>0</v>
      </c>
      <c r="H112" s="155">
        <f ca="1">SUMIFS('recurring2_based on steps'!$B112:$AY112,'recurring2_based on steps'!$B$1:$AY$1,H$1)+SUMIFS('changes2_based on steps'!$B112:$U112,'changes2_based on steps'!$B$1:$U$1,H$1)</f>
        <v>0</v>
      </c>
      <c r="I112" s="155">
        <f>SUMIFS('recurring2_based on steps'!$B112:$AY112,'recurring2_based on steps'!$B$1:$AY$1,I$1)+SUMIFS('changes2_based on steps'!$B112:$U112,'changes2_based on steps'!$B$1:$U$1,I$1)</f>
        <v>0</v>
      </c>
      <c r="J112" s="155">
        <f>SUMIFS('recurring2_based on steps'!$B112:$AY112,'recurring2_based on steps'!$B$1:$AY$1,J$1)+SUMIFS('changes2_based on steps'!$B112:$U112,'changes2_based on steps'!$B$1:$U$1,J$1)</f>
        <v>0</v>
      </c>
      <c r="K112" s="155">
        <f>SUMIFS('recurring2_based on steps'!$B112:$AY112,'recurring2_based on steps'!$B$1:$AY$1,K$1)+SUMIFS('changes2_based on steps'!$B112:$U112,'changes2_based on steps'!$B$1:$U$1,K$1)</f>
        <v>0</v>
      </c>
      <c r="L112" s="155">
        <f>SUMIFS('recurring2_based on steps'!$B112:$AY112,'recurring2_based on steps'!$B$1:$AY$1,L$1)+SUMIFS('changes2_based on steps'!$B112:$U112,'changes2_based on steps'!$B$1:$U$1,L$1)</f>
        <v>0</v>
      </c>
      <c r="M112" s="155">
        <f ca="1">SUMIFS('recurring2_based on steps'!$B112:$AY112,'recurring2_based on steps'!$B$1:$AY$1,M$1)+SUMIFS('changes2_based on steps'!$B112:$U112,'changes2_based on steps'!$B$1:$U$1,M$1)</f>
        <v>0</v>
      </c>
      <c r="N112" s="155">
        <f ca="1">SUMIFS('recurring2_based on steps'!$B112:$AY112,'recurring2_based on steps'!$B$1:$AY$1,N$1)+SUMIFS('changes2_based on steps'!$B112:$U112,'changes2_based on steps'!$B$1:$U$1,N$1)</f>
        <v>0</v>
      </c>
      <c r="O112" s="155">
        <f ca="1">SUMIFS('recurring2_based on steps'!$B112:$AY112,'recurring2_based on steps'!$B$1:$AY$1,O$1)+SUMIFS('changes2_based on steps'!$B112:$U112,'changes2_based on steps'!$B$1:$U$1,O$1)</f>
        <v>0</v>
      </c>
      <c r="P112" s="155">
        <f ca="1">SUMIFS('recurring2_based on steps'!$B112:$AY112,'recurring2_based on steps'!$B$1:$AY$1,P$1)+SUMIFS('changes2_based on steps'!$B112:$U112,'changes2_based on steps'!$B$1:$U$1,P$1)</f>
        <v>0</v>
      </c>
      <c r="Q112" s="155">
        <f>SUMIFS('recurring2_based on steps'!$B112:$AY112,'recurring2_based on steps'!$B$1:$AY$1,Q$1)+SUMIFS('changes2_based on steps'!$B112:$U112,'changes2_based on steps'!$B$1:$U$1,Q$1)</f>
        <v>0</v>
      </c>
      <c r="R112" s="155">
        <f ca="1">SUMIFS('recurring2_based on steps'!$B112:$AY112,'recurring2_based on steps'!$B$1:$AY$1,R$1)+SUMIFS('changes2_based on steps'!$B112:$U112,'changes2_based on steps'!$B$1:$U$1,R$1)</f>
        <v>0</v>
      </c>
      <c r="S112" s="155">
        <f ca="1">SUMIFS('recurring2_based on steps'!$B112:$AY112,'recurring2_based on steps'!$B$1:$AY$1,S$1)+SUMIFS('changes2_based on steps'!$B112:$U112,'changes2_based on steps'!$B$1:$U$1,S$1)</f>
        <v>0</v>
      </c>
      <c r="T112" s="155">
        <f>SUMIFS('recurring2_based on steps'!$B112:$AY112,'recurring2_based on steps'!$B$1:$AY$1,T$1)+SUMIFS('changes2_based on steps'!$B112:$U112,'changes2_based on steps'!$B$1:$U$1,T$1)</f>
        <v>0</v>
      </c>
      <c r="U112" s="155">
        <f ca="1">SUMIFS('recurring2_based on steps'!$B112:$AY112,'recurring2_based on steps'!$B$1:$AY$1,U$1)+SUMIFS('changes2_based on steps'!$B112:$U112,'changes2_based on steps'!$B$1:$U$1,U$1)</f>
        <v>0</v>
      </c>
      <c r="V112" s="155">
        <f>SUMIFS('recurring2_based on steps'!$B112:$AY112,'recurring2_based on steps'!$B$1:$AY$1,V$1)+SUMIFS('changes2_based on steps'!$B112:$U112,'changes2_based on steps'!$B$1:$U$1,V$1)</f>
        <v>0</v>
      </c>
      <c r="W112" s="155">
        <f ca="1">SUMIFS('recurring2_based on steps'!$B112:$AY112,'recurring2_based on steps'!$B$1:$AY$1,W$1)+SUMIFS('changes2_based on steps'!$B112:$U112,'changes2_based on steps'!$B$1:$U$1,W$1)</f>
        <v>0</v>
      </c>
      <c r="X112" s="155">
        <f ca="1">SUMIFS('recurring2_based on steps'!$B112:$AY112,'recurring2_based on steps'!$B$1:$AY$1,X$1)+SUMIFS('changes2_based on steps'!$B112:$U112,'changes2_based on steps'!$B$1:$U$1,X$1)</f>
        <v>0</v>
      </c>
      <c r="Y112" s="155">
        <f ca="1">SUMIFS('recurring2_based on steps'!$B112:$AY112,'recurring2_based on steps'!$B$1:$AY$1,Y$1)+SUMIFS('changes2_based on steps'!$B112:$U112,'changes2_based on steps'!$B$1:$U$1,Y$1)</f>
        <v>0</v>
      </c>
      <c r="Z112" s="155">
        <f>SUMIFS('recurring2_based on steps'!$B112:$AY112,'recurring2_based on steps'!$B$1:$AY$1,Z$1)+SUMIFS('changes2_based on steps'!$B112:$U112,'changes2_based on steps'!$B$1:$U$1,Z$1)</f>
        <v>0</v>
      </c>
      <c r="AA112" s="155">
        <f>SUMIFS('recurring2_based on steps'!$B112:$AY112,'recurring2_based on steps'!$B$1:$AY$1,AA$1)+SUMIFS('changes2_based on steps'!$B112:$U112,'changes2_based on steps'!$B$1:$U$1,AA$1)</f>
        <v>0</v>
      </c>
    </row>
    <row r="113" spans="1:27" x14ac:dyDescent="0.2">
      <c r="A113" s="18">
        <f t="shared" ca="1" si="1"/>
        <v>45799</v>
      </c>
      <c r="B113" s="155">
        <f ca="1">SUMIFS('recurring2_based on steps'!$B113:$AY113,'recurring2_based on steps'!$B$1:$AY$1,B$1)+SUMIFS('changes2_based on steps'!$B113:$U113,'changes2_based on steps'!$B$1:$U$1,B$1)</f>
        <v>0</v>
      </c>
      <c r="C113" s="155">
        <f>SUMIFS('recurring2_based on steps'!$B113:$AY113,'recurring2_based on steps'!$B$1:$AY$1,C$1)+SUMIFS('changes2_based on steps'!$B113:$U113,'changes2_based on steps'!$B$1:$U$1,C$1)</f>
        <v>0</v>
      </c>
      <c r="D113" s="155">
        <f>SUMIFS('recurring2_based on steps'!$B113:$AY113,'recurring2_based on steps'!$B$1:$AY$1,D$1)+SUMIFS('changes2_based on steps'!$B113:$U113,'changes2_based on steps'!$B$1:$U$1,D$1)</f>
        <v>0</v>
      </c>
      <c r="E113" s="155">
        <f>SUMIFS('recurring2_based on steps'!$B113:$AY113,'recurring2_based on steps'!$B$1:$AY$1,E$1)+SUMIFS('changes2_based on steps'!$B113:$U113,'changes2_based on steps'!$B$1:$U$1,E$1)</f>
        <v>0</v>
      </c>
      <c r="F113" s="155">
        <f>SUMIFS('recurring2_based on steps'!$B113:$AY113,'recurring2_based on steps'!$B$1:$AY$1,F$1)+SUMIFS('changes2_based on steps'!$B113:$U113,'changes2_based on steps'!$B$1:$U$1,F$1)</f>
        <v>0</v>
      </c>
      <c r="G113" s="155">
        <f>SUMIFS('recurring2_based on steps'!$B113:$AY113,'recurring2_based on steps'!$B$1:$AY$1,G$1)+SUMIFS('changes2_based on steps'!$B113:$U113,'changes2_based on steps'!$B$1:$U$1,G$1)</f>
        <v>0</v>
      </c>
      <c r="H113" s="155">
        <f ca="1">SUMIFS('recurring2_based on steps'!$B113:$AY113,'recurring2_based on steps'!$B$1:$AY$1,H$1)+SUMIFS('changes2_based on steps'!$B113:$U113,'changes2_based on steps'!$B$1:$U$1,H$1)</f>
        <v>0</v>
      </c>
      <c r="I113" s="155">
        <f>SUMIFS('recurring2_based on steps'!$B113:$AY113,'recurring2_based on steps'!$B$1:$AY$1,I$1)+SUMIFS('changes2_based on steps'!$B113:$U113,'changes2_based on steps'!$B$1:$U$1,I$1)</f>
        <v>0</v>
      </c>
      <c r="J113" s="155">
        <f>SUMIFS('recurring2_based on steps'!$B113:$AY113,'recurring2_based on steps'!$B$1:$AY$1,J$1)+SUMIFS('changes2_based on steps'!$B113:$U113,'changes2_based on steps'!$B$1:$U$1,J$1)</f>
        <v>0</v>
      </c>
      <c r="K113" s="155">
        <f>SUMIFS('recurring2_based on steps'!$B113:$AY113,'recurring2_based on steps'!$B$1:$AY$1,K$1)+SUMIFS('changes2_based on steps'!$B113:$U113,'changes2_based on steps'!$B$1:$U$1,K$1)</f>
        <v>0</v>
      </c>
      <c r="L113" s="155">
        <f>SUMIFS('recurring2_based on steps'!$B113:$AY113,'recurring2_based on steps'!$B$1:$AY$1,L$1)+SUMIFS('changes2_based on steps'!$B113:$U113,'changes2_based on steps'!$B$1:$U$1,L$1)</f>
        <v>0</v>
      </c>
      <c r="M113" s="155">
        <f ca="1">SUMIFS('recurring2_based on steps'!$B113:$AY113,'recurring2_based on steps'!$B$1:$AY$1,M$1)+SUMIFS('changes2_based on steps'!$B113:$U113,'changes2_based on steps'!$B$1:$U$1,M$1)</f>
        <v>0</v>
      </c>
      <c r="N113" s="155">
        <f ca="1">SUMIFS('recurring2_based on steps'!$B113:$AY113,'recurring2_based on steps'!$B$1:$AY$1,N$1)+SUMIFS('changes2_based on steps'!$B113:$U113,'changes2_based on steps'!$B$1:$U$1,N$1)</f>
        <v>0</v>
      </c>
      <c r="O113" s="155">
        <f ca="1">SUMIFS('recurring2_based on steps'!$B113:$AY113,'recurring2_based on steps'!$B$1:$AY$1,O$1)+SUMIFS('changes2_based on steps'!$B113:$U113,'changes2_based on steps'!$B$1:$U$1,O$1)</f>
        <v>0</v>
      </c>
      <c r="P113" s="155">
        <f ca="1">SUMIFS('recurring2_based on steps'!$B113:$AY113,'recurring2_based on steps'!$B$1:$AY$1,P$1)+SUMIFS('changes2_based on steps'!$B113:$U113,'changes2_based on steps'!$B$1:$U$1,P$1)</f>
        <v>0</v>
      </c>
      <c r="Q113" s="155">
        <f>SUMIFS('recurring2_based on steps'!$B113:$AY113,'recurring2_based on steps'!$B$1:$AY$1,Q$1)+SUMIFS('changes2_based on steps'!$B113:$U113,'changes2_based on steps'!$B$1:$U$1,Q$1)</f>
        <v>0</v>
      </c>
      <c r="R113" s="155">
        <f ca="1">SUMIFS('recurring2_based on steps'!$B113:$AY113,'recurring2_based on steps'!$B$1:$AY$1,R$1)+SUMIFS('changes2_based on steps'!$B113:$U113,'changes2_based on steps'!$B$1:$U$1,R$1)</f>
        <v>0</v>
      </c>
      <c r="S113" s="155">
        <f ca="1">SUMIFS('recurring2_based on steps'!$B113:$AY113,'recurring2_based on steps'!$B$1:$AY$1,S$1)+SUMIFS('changes2_based on steps'!$B113:$U113,'changes2_based on steps'!$B$1:$U$1,S$1)</f>
        <v>0</v>
      </c>
      <c r="T113" s="155">
        <f>SUMIFS('recurring2_based on steps'!$B113:$AY113,'recurring2_based on steps'!$B$1:$AY$1,T$1)+SUMIFS('changes2_based on steps'!$B113:$U113,'changes2_based on steps'!$B$1:$U$1,T$1)</f>
        <v>0</v>
      </c>
      <c r="U113" s="155">
        <f ca="1">SUMIFS('recurring2_based on steps'!$B113:$AY113,'recurring2_based on steps'!$B$1:$AY$1,U$1)+SUMIFS('changes2_based on steps'!$B113:$U113,'changes2_based on steps'!$B$1:$U$1,U$1)</f>
        <v>0</v>
      </c>
      <c r="V113" s="155">
        <f>SUMIFS('recurring2_based on steps'!$B113:$AY113,'recurring2_based on steps'!$B$1:$AY$1,V$1)+SUMIFS('changes2_based on steps'!$B113:$U113,'changes2_based on steps'!$B$1:$U$1,V$1)</f>
        <v>0</v>
      </c>
      <c r="W113" s="155">
        <f ca="1">SUMIFS('recurring2_based on steps'!$B113:$AY113,'recurring2_based on steps'!$B$1:$AY$1,W$1)+SUMIFS('changes2_based on steps'!$B113:$U113,'changes2_based on steps'!$B$1:$U$1,W$1)</f>
        <v>0</v>
      </c>
      <c r="X113" s="155">
        <f ca="1">SUMIFS('recurring2_based on steps'!$B113:$AY113,'recurring2_based on steps'!$B$1:$AY$1,X$1)+SUMIFS('changes2_based on steps'!$B113:$U113,'changes2_based on steps'!$B$1:$U$1,X$1)</f>
        <v>0</v>
      </c>
      <c r="Y113" s="155">
        <f ca="1">SUMIFS('recurring2_based on steps'!$B113:$AY113,'recurring2_based on steps'!$B$1:$AY$1,Y$1)+SUMIFS('changes2_based on steps'!$B113:$U113,'changes2_based on steps'!$B$1:$U$1,Y$1)</f>
        <v>0</v>
      </c>
      <c r="Z113" s="155">
        <f>SUMIFS('recurring2_based on steps'!$B113:$AY113,'recurring2_based on steps'!$B$1:$AY$1,Z$1)+SUMIFS('changes2_based on steps'!$B113:$U113,'changes2_based on steps'!$B$1:$U$1,Z$1)</f>
        <v>0</v>
      </c>
      <c r="AA113" s="155">
        <f>SUMIFS('recurring2_based on steps'!$B113:$AY113,'recurring2_based on steps'!$B$1:$AY$1,AA$1)+SUMIFS('changes2_based on steps'!$B113:$U113,'changes2_based on steps'!$B$1:$U$1,AA$1)</f>
        <v>0</v>
      </c>
    </row>
    <row r="114" spans="1:27" x14ac:dyDescent="0.2">
      <c r="A114" s="18">
        <f t="shared" ca="1" si="1"/>
        <v>45800</v>
      </c>
      <c r="B114" s="155">
        <f ca="1">SUMIFS('recurring2_based on steps'!$B114:$AY114,'recurring2_based on steps'!$B$1:$AY$1,B$1)+SUMIFS('changes2_based on steps'!$B114:$U114,'changes2_based on steps'!$B$1:$U$1,B$1)</f>
        <v>0</v>
      </c>
      <c r="C114" s="155">
        <f>SUMIFS('recurring2_based on steps'!$B114:$AY114,'recurring2_based on steps'!$B$1:$AY$1,C$1)+SUMIFS('changes2_based on steps'!$B114:$U114,'changes2_based on steps'!$B$1:$U$1,C$1)</f>
        <v>0</v>
      </c>
      <c r="D114" s="155">
        <f>SUMIFS('recurring2_based on steps'!$B114:$AY114,'recurring2_based on steps'!$B$1:$AY$1,D$1)+SUMIFS('changes2_based on steps'!$B114:$U114,'changes2_based on steps'!$B$1:$U$1,D$1)</f>
        <v>0</v>
      </c>
      <c r="E114" s="155">
        <f>SUMIFS('recurring2_based on steps'!$B114:$AY114,'recurring2_based on steps'!$B$1:$AY$1,E$1)+SUMIFS('changes2_based on steps'!$B114:$U114,'changes2_based on steps'!$B$1:$U$1,E$1)</f>
        <v>0</v>
      </c>
      <c r="F114" s="155">
        <f>SUMIFS('recurring2_based on steps'!$B114:$AY114,'recurring2_based on steps'!$B$1:$AY$1,F$1)+SUMIFS('changes2_based on steps'!$B114:$U114,'changes2_based on steps'!$B$1:$U$1,F$1)</f>
        <v>0</v>
      </c>
      <c r="G114" s="155">
        <f>SUMIFS('recurring2_based on steps'!$B114:$AY114,'recurring2_based on steps'!$B$1:$AY$1,G$1)+SUMIFS('changes2_based on steps'!$B114:$U114,'changes2_based on steps'!$B$1:$U$1,G$1)</f>
        <v>0</v>
      </c>
      <c r="H114" s="155">
        <f ca="1">SUMIFS('recurring2_based on steps'!$B114:$AY114,'recurring2_based on steps'!$B$1:$AY$1,H$1)+SUMIFS('changes2_based on steps'!$B114:$U114,'changes2_based on steps'!$B$1:$U$1,H$1)</f>
        <v>0</v>
      </c>
      <c r="I114" s="155">
        <f>SUMIFS('recurring2_based on steps'!$B114:$AY114,'recurring2_based on steps'!$B$1:$AY$1,I$1)+SUMIFS('changes2_based on steps'!$B114:$U114,'changes2_based on steps'!$B$1:$U$1,I$1)</f>
        <v>0</v>
      </c>
      <c r="J114" s="155">
        <f>SUMIFS('recurring2_based on steps'!$B114:$AY114,'recurring2_based on steps'!$B$1:$AY$1,J$1)+SUMIFS('changes2_based on steps'!$B114:$U114,'changes2_based on steps'!$B$1:$U$1,J$1)</f>
        <v>0</v>
      </c>
      <c r="K114" s="155">
        <f>SUMIFS('recurring2_based on steps'!$B114:$AY114,'recurring2_based on steps'!$B$1:$AY$1,K$1)+SUMIFS('changes2_based on steps'!$B114:$U114,'changes2_based on steps'!$B$1:$U$1,K$1)</f>
        <v>0</v>
      </c>
      <c r="L114" s="155">
        <f>SUMIFS('recurring2_based on steps'!$B114:$AY114,'recurring2_based on steps'!$B$1:$AY$1,L$1)+SUMIFS('changes2_based on steps'!$B114:$U114,'changes2_based on steps'!$B$1:$U$1,L$1)</f>
        <v>0</v>
      </c>
      <c r="M114" s="155">
        <f ca="1">SUMIFS('recurring2_based on steps'!$B114:$AY114,'recurring2_based on steps'!$B$1:$AY$1,M$1)+SUMIFS('changes2_based on steps'!$B114:$U114,'changes2_based on steps'!$B$1:$U$1,M$1)</f>
        <v>0</v>
      </c>
      <c r="N114" s="155">
        <f ca="1">SUMIFS('recurring2_based on steps'!$B114:$AY114,'recurring2_based on steps'!$B$1:$AY$1,N$1)+SUMIFS('changes2_based on steps'!$B114:$U114,'changes2_based on steps'!$B$1:$U$1,N$1)</f>
        <v>0</v>
      </c>
      <c r="O114" s="155">
        <f ca="1">SUMIFS('recurring2_based on steps'!$B114:$AY114,'recurring2_based on steps'!$B$1:$AY$1,O$1)+SUMIFS('changes2_based on steps'!$B114:$U114,'changes2_based on steps'!$B$1:$U$1,O$1)</f>
        <v>0</v>
      </c>
      <c r="P114" s="155">
        <f ca="1">SUMIFS('recurring2_based on steps'!$B114:$AY114,'recurring2_based on steps'!$B$1:$AY$1,P$1)+SUMIFS('changes2_based on steps'!$B114:$U114,'changes2_based on steps'!$B$1:$U$1,P$1)</f>
        <v>0</v>
      </c>
      <c r="Q114" s="155">
        <f>SUMIFS('recurring2_based on steps'!$B114:$AY114,'recurring2_based on steps'!$B$1:$AY$1,Q$1)+SUMIFS('changes2_based on steps'!$B114:$U114,'changes2_based on steps'!$B$1:$U$1,Q$1)</f>
        <v>0</v>
      </c>
      <c r="R114" s="155">
        <f ca="1">SUMIFS('recurring2_based on steps'!$B114:$AY114,'recurring2_based on steps'!$B$1:$AY$1,R$1)+SUMIFS('changes2_based on steps'!$B114:$U114,'changes2_based on steps'!$B$1:$U$1,R$1)</f>
        <v>0</v>
      </c>
      <c r="S114" s="155">
        <f ca="1">SUMIFS('recurring2_based on steps'!$B114:$AY114,'recurring2_based on steps'!$B$1:$AY$1,S$1)+SUMIFS('changes2_based on steps'!$B114:$U114,'changes2_based on steps'!$B$1:$U$1,S$1)</f>
        <v>0</v>
      </c>
      <c r="T114" s="155">
        <f>SUMIFS('recurring2_based on steps'!$B114:$AY114,'recurring2_based on steps'!$B$1:$AY$1,T$1)+SUMIFS('changes2_based on steps'!$B114:$U114,'changes2_based on steps'!$B$1:$U$1,T$1)</f>
        <v>0</v>
      </c>
      <c r="U114" s="155">
        <f ca="1">SUMIFS('recurring2_based on steps'!$B114:$AY114,'recurring2_based on steps'!$B$1:$AY$1,U$1)+SUMIFS('changes2_based on steps'!$B114:$U114,'changes2_based on steps'!$B$1:$U$1,U$1)</f>
        <v>0</v>
      </c>
      <c r="V114" s="155">
        <f>SUMIFS('recurring2_based on steps'!$B114:$AY114,'recurring2_based on steps'!$B$1:$AY$1,V$1)+SUMIFS('changes2_based on steps'!$B114:$U114,'changes2_based on steps'!$B$1:$U$1,V$1)</f>
        <v>0</v>
      </c>
      <c r="W114" s="155">
        <f ca="1">SUMIFS('recurring2_based on steps'!$B114:$AY114,'recurring2_based on steps'!$B$1:$AY$1,W$1)+SUMIFS('changes2_based on steps'!$B114:$U114,'changes2_based on steps'!$B$1:$U$1,W$1)</f>
        <v>0</v>
      </c>
      <c r="X114" s="155">
        <f ca="1">SUMIFS('recurring2_based on steps'!$B114:$AY114,'recurring2_based on steps'!$B$1:$AY$1,X$1)+SUMIFS('changes2_based on steps'!$B114:$U114,'changes2_based on steps'!$B$1:$U$1,X$1)</f>
        <v>0</v>
      </c>
      <c r="Y114" s="155">
        <f ca="1">SUMIFS('recurring2_based on steps'!$B114:$AY114,'recurring2_based on steps'!$B$1:$AY$1,Y$1)+SUMIFS('changes2_based on steps'!$B114:$U114,'changes2_based on steps'!$B$1:$U$1,Y$1)</f>
        <v>0</v>
      </c>
      <c r="Z114" s="155">
        <f>SUMIFS('recurring2_based on steps'!$B114:$AY114,'recurring2_based on steps'!$B$1:$AY$1,Z$1)+SUMIFS('changes2_based on steps'!$B114:$U114,'changes2_based on steps'!$B$1:$U$1,Z$1)</f>
        <v>0</v>
      </c>
      <c r="AA114" s="155">
        <f>SUMIFS('recurring2_based on steps'!$B114:$AY114,'recurring2_based on steps'!$B$1:$AY$1,AA$1)+SUMIFS('changes2_based on steps'!$B114:$U114,'changes2_based on steps'!$B$1:$U$1,AA$1)</f>
        <v>0</v>
      </c>
    </row>
    <row r="115" spans="1:27" x14ac:dyDescent="0.2">
      <c r="A115" s="18">
        <f t="shared" ca="1" si="1"/>
        <v>45801</v>
      </c>
      <c r="B115" s="155">
        <f ca="1">SUMIFS('recurring2_based on steps'!$B115:$AY115,'recurring2_based on steps'!$B$1:$AY$1,B$1)+SUMIFS('changes2_based on steps'!$B115:$U115,'changes2_based on steps'!$B$1:$U$1,B$1)</f>
        <v>0</v>
      </c>
      <c r="C115" s="155">
        <f>SUMIFS('recurring2_based on steps'!$B115:$AY115,'recurring2_based on steps'!$B$1:$AY$1,C$1)+SUMIFS('changes2_based on steps'!$B115:$U115,'changes2_based on steps'!$B$1:$U$1,C$1)</f>
        <v>0</v>
      </c>
      <c r="D115" s="155">
        <f>SUMIFS('recurring2_based on steps'!$B115:$AY115,'recurring2_based on steps'!$B$1:$AY$1,D$1)+SUMIFS('changes2_based on steps'!$B115:$U115,'changes2_based on steps'!$B$1:$U$1,D$1)</f>
        <v>0</v>
      </c>
      <c r="E115" s="155">
        <f>SUMIFS('recurring2_based on steps'!$B115:$AY115,'recurring2_based on steps'!$B$1:$AY$1,E$1)+SUMIFS('changes2_based on steps'!$B115:$U115,'changes2_based on steps'!$B$1:$U$1,E$1)</f>
        <v>0</v>
      </c>
      <c r="F115" s="155">
        <f>SUMIFS('recurring2_based on steps'!$B115:$AY115,'recurring2_based on steps'!$B$1:$AY$1,F$1)+SUMIFS('changes2_based on steps'!$B115:$U115,'changes2_based on steps'!$B$1:$U$1,F$1)</f>
        <v>0</v>
      </c>
      <c r="G115" s="155">
        <f>SUMIFS('recurring2_based on steps'!$B115:$AY115,'recurring2_based on steps'!$B$1:$AY$1,G$1)+SUMIFS('changes2_based on steps'!$B115:$U115,'changes2_based on steps'!$B$1:$U$1,G$1)</f>
        <v>0</v>
      </c>
      <c r="H115" s="155">
        <f ca="1">SUMIFS('recurring2_based on steps'!$B115:$AY115,'recurring2_based on steps'!$B$1:$AY$1,H$1)+SUMIFS('changes2_based on steps'!$B115:$U115,'changes2_based on steps'!$B$1:$U$1,H$1)</f>
        <v>0</v>
      </c>
      <c r="I115" s="155">
        <f>SUMIFS('recurring2_based on steps'!$B115:$AY115,'recurring2_based on steps'!$B$1:$AY$1,I$1)+SUMIFS('changes2_based on steps'!$B115:$U115,'changes2_based on steps'!$B$1:$U$1,I$1)</f>
        <v>0</v>
      </c>
      <c r="J115" s="155">
        <f>SUMIFS('recurring2_based on steps'!$B115:$AY115,'recurring2_based on steps'!$B$1:$AY$1,J$1)+SUMIFS('changes2_based on steps'!$B115:$U115,'changes2_based on steps'!$B$1:$U$1,J$1)</f>
        <v>0</v>
      </c>
      <c r="K115" s="155">
        <f>SUMIFS('recurring2_based on steps'!$B115:$AY115,'recurring2_based on steps'!$B$1:$AY$1,K$1)+SUMIFS('changes2_based on steps'!$B115:$U115,'changes2_based on steps'!$B$1:$U$1,K$1)</f>
        <v>0</v>
      </c>
      <c r="L115" s="155">
        <f>SUMIFS('recurring2_based on steps'!$B115:$AY115,'recurring2_based on steps'!$B$1:$AY$1,L$1)+SUMIFS('changes2_based on steps'!$B115:$U115,'changes2_based on steps'!$B$1:$U$1,L$1)</f>
        <v>0</v>
      </c>
      <c r="M115" s="155">
        <f ca="1">SUMIFS('recurring2_based on steps'!$B115:$AY115,'recurring2_based on steps'!$B$1:$AY$1,M$1)+SUMIFS('changes2_based on steps'!$B115:$U115,'changes2_based on steps'!$B$1:$U$1,M$1)</f>
        <v>0</v>
      </c>
      <c r="N115" s="155">
        <f ca="1">SUMIFS('recurring2_based on steps'!$B115:$AY115,'recurring2_based on steps'!$B$1:$AY$1,N$1)+SUMIFS('changes2_based on steps'!$B115:$U115,'changes2_based on steps'!$B$1:$U$1,N$1)</f>
        <v>0</v>
      </c>
      <c r="O115" s="155">
        <f ca="1">SUMIFS('recurring2_based on steps'!$B115:$AY115,'recurring2_based on steps'!$B$1:$AY$1,O$1)+SUMIFS('changes2_based on steps'!$B115:$U115,'changes2_based on steps'!$B$1:$U$1,O$1)</f>
        <v>0</v>
      </c>
      <c r="P115" s="155">
        <f ca="1">SUMIFS('recurring2_based on steps'!$B115:$AY115,'recurring2_based on steps'!$B$1:$AY$1,P$1)+SUMIFS('changes2_based on steps'!$B115:$U115,'changes2_based on steps'!$B$1:$U$1,P$1)</f>
        <v>0</v>
      </c>
      <c r="Q115" s="155">
        <f>SUMIFS('recurring2_based on steps'!$B115:$AY115,'recurring2_based on steps'!$B$1:$AY$1,Q$1)+SUMIFS('changes2_based on steps'!$B115:$U115,'changes2_based on steps'!$B$1:$U$1,Q$1)</f>
        <v>0</v>
      </c>
      <c r="R115" s="155">
        <f ca="1">SUMIFS('recurring2_based on steps'!$B115:$AY115,'recurring2_based on steps'!$B$1:$AY$1,R$1)+SUMIFS('changes2_based on steps'!$B115:$U115,'changes2_based on steps'!$B$1:$U$1,R$1)</f>
        <v>100</v>
      </c>
      <c r="S115" s="155">
        <f ca="1">SUMIFS('recurring2_based on steps'!$B115:$AY115,'recurring2_based on steps'!$B$1:$AY$1,S$1)+SUMIFS('changes2_based on steps'!$B115:$U115,'changes2_based on steps'!$B$1:$U$1,S$1)</f>
        <v>100</v>
      </c>
      <c r="T115" s="155">
        <f>SUMIFS('recurring2_based on steps'!$B115:$AY115,'recurring2_based on steps'!$B$1:$AY$1,T$1)+SUMIFS('changes2_based on steps'!$B115:$U115,'changes2_based on steps'!$B$1:$U$1,T$1)</f>
        <v>0</v>
      </c>
      <c r="U115" s="155">
        <f ca="1">SUMIFS('recurring2_based on steps'!$B115:$AY115,'recurring2_based on steps'!$B$1:$AY$1,U$1)+SUMIFS('changes2_based on steps'!$B115:$U115,'changes2_based on steps'!$B$1:$U$1,U$1)</f>
        <v>0</v>
      </c>
      <c r="V115" s="155">
        <f>SUMIFS('recurring2_based on steps'!$B115:$AY115,'recurring2_based on steps'!$B$1:$AY$1,V$1)+SUMIFS('changes2_based on steps'!$B115:$U115,'changes2_based on steps'!$B$1:$U$1,V$1)</f>
        <v>0</v>
      </c>
      <c r="W115" s="155">
        <f ca="1">SUMIFS('recurring2_based on steps'!$B115:$AY115,'recurring2_based on steps'!$B$1:$AY$1,W$1)+SUMIFS('changes2_based on steps'!$B115:$U115,'changes2_based on steps'!$B$1:$U$1,W$1)</f>
        <v>0</v>
      </c>
      <c r="X115" s="155">
        <f ca="1">SUMIFS('recurring2_based on steps'!$B115:$AY115,'recurring2_based on steps'!$B$1:$AY$1,X$1)+SUMIFS('changes2_based on steps'!$B115:$U115,'changes2_based on steps'!$B$1:$U$1,X$1)</f>
        <v>0</v>
      </c>
      <c r="Y115" s="155">
        <f ca="1">SUMIFS('recurring2_based on steps'!$B115:$AY115,'recurring2_based on steps'!$B$1:$AY$1,Y$1)+SUMIFS('changes2_based on steps'!$B115:$U115,'changes2_based on steps'!$B$1:$U$1,Y$1)</f>
        <v>0</v>
      </c>
      <c r="Z115" s="155">
        <f>SUMIFS('recurring2_based on steps'!$B115:$AY115,'recurring2_based on steps'!$B$1:$AY$1,Z$1)+SUMIFS('changes2_based on steps'!$B115:$U115,'changes2_based on steps'!$B$1:$U$1,Z$1)</f>
        <v>0</v>
      </c>
      <c r="AA115" s="155">
        <f>SUMIFS('recurring2_based on steps'!$B115:$AY115,'recurring2_based on steps'!$B$1:$AY$1,AA$1)+SUMIFS('changes2_based on steps'!$B115:$U115,'changes2_based on steps'!$B$1:$U$1,AA$1)</f>
        <v>0</v>
      </c>
    </row>
    <row r="116" spans="1:27" x14ac:dyDescent="0.2">
      <c r="A116" s="18">
        <f t="shared" ca="1" si="1"/>
        <v>45802</v>
      </c>
      <c r="B116" s="155">
        <f ca="1">SUMIFS('recurring2_based on steps'!$B116:$AY116,'recurring2_based on steps'!$B$1:$AY$1,B$1)+SUMIFS('changes2_based on steps'!$B116:$U116,'changes2_based on steps'!$B$1:$U$1,B$1)</f>
        <v>0</v>
      </c>
      <c r="C116" s="155">
        <f>SUMIFS('recurring2_based on steps'!$B116:$AY116,'recurring2_based on steps'!$B$1:$AY$1,C$1)+SUMIFS('changes2_based on steps'!$B116:$U116,'changes2_based on steps'!$B$1:$U$1,C$1)</f>
        <v>0</v>
      </c>
      <c r="D116" s="155">
        <f>SUMIFS('recurring2_based on steps'!$B116:$AY116,'recurring2_based on steps'!$B$1:$AY$1,D$1)+SUMIFS('changes2_based on steps'!$B116:$U116,'changes2_based on steps'!$B$1:$U$1,D$1)</f>
        <v>0</v>
      </c>
      <c r="E116" s="155">
        <f>SUMIFS('recurring2_based on steps'!$B116:$AY116,'recurring2_based on steps'!$B$1:$AY$1,E$1)+SUMIFS('changes2_based on steps'!$B116:$U116,'changes2_based on steps'!$B$1:$U$1,E$1)</f>
        <v>0</v>
      </c>
      <c r="F116" s="155">
        <f>SUMIFS('recurring2_based on steps'!$B116:$AY116,'recurring2_based on steps'!$B$1:$AY$1,F$1)+SUMIFS('changes2_based on steps'!$B116:$U116,'changes2_based on steps'!$B$1:$U$1,F$1)</f>
        <v>0</v>
      </c>
      <c r="G116" s="155">
        <f>SUMIFS('recurring2_based on steps'!$B116:$AY116,'recurring2_based on steps'!$B$1:$AY$1,G$1)+SUMIFS('changes2_based on steps'!$B116:$U116,'changes2_based on steps'!$B$1:$U$1,G$1)</f>
        <v>0</v>
      </c>
      <c r="H116" s="155">
        <f ca="1">SUMIFS('recurring2_based on steps'!$B116:$AY116,'recurring2_based on steps'!$B$1:$AY$1,H$1)+SUMIFS('changes2_based on steps'!$B116:$U116,'changes2_based on steps'!$B$1:$U$1,H$1)</f>
        <v>0</v>
      </c>
      <c r="I116" s="155">
        <f>SUMIFS('recurring2_based on steps'!$B116:$AY116,'recurring2_based on steps'!$B$1:$AY$1,I$1)+SUMIFS('changes2_based on steps'!$B116:$U116,'changes2_based on steps'!$B$1:$U$1,I$1)</f>
        <v>0</v>
      </c>
      <c r="J116" s="155">
        <f>SUMIFS('recurring2_based on steps'!$B116:$AY116,'recurring2_based on steps'!$B$1:$AY$1,J$1)+SUMIFS('changes2_based on steps'!$B116:$U116,'changes2_based on steps'!$B$1:$U$1,J$1)</f>
        <v>0</v>
      </c>
      <c r="K116" s="155">
        <f>SUMIFS('recurring2_based on steps'!$B116:$AY116,'recurring2_based on steps'!$B$1:$AY$1,K$1)+SUMIFS('changes2_based on steps'!$B116:$U116,'changes2_based on steps'!$B$1:$U$1,K$1)</f>
        <v>0</v>
      </c>
      <c r="L116" s="155">
        <f>SUMIFS('recurring2_based on steps'!$B116:$AY116,'recurring2_based on steps'!$B$1:$AY$1,L$1)+SUMIFS('changes2_based on steps'!$B116:$U116,'changes2_based on steps'!$B$1:$U$1,L$1)</f>
        <v>0</v>
      </c>
      <c r="M116" s="155">
        <f ca="1">SUMIFS('recurring2_based on steps'!$B116:$AY116,'recurring2_based on steps'!$B$1:$AY$1,M$1)+SUMIFS('changes2_based on steps'!$B116:$U116,'changes2_based on steps'!$B$1:$U$1,M$1)</f>
        <v>0</v>
      </c>
      <c r="N116" s="155">
        <f ca="1">SUMIFS('recurring2_based on steps'!$B116:$AY116,'recurring2_based on steps'!$B$1:$AY$1,N$1)+SUMIFS('changes2_based on steps'!$B116:$U116,'changes2_based on steps'!$B$1:$U$1,N$1)</f>
        <v>50</v>
      </c>
      <c r="O116" s="155">
        <f ca="1">SUMIFS('recurring2_based on steps'!$B116:$AY116,'recurring2_based on steps'!$B$1:$AY$1,O$1)+SUMIFS('changes2_based on steps'!$B116:$U116,'changes2_based on steps'!$B$1:$U$1,O$1)</f>
        <v>0</v>
      </c>
      <c r="P116" s="155">
        <f ca="1">SUMIFS('recurring2_based on steps'!$B116:$AY116,'recurring2_based on steps'!$B$1:$AY$1,P$1)+SUMIFS('changes2_based on steps'!$B116:$U116,'changes2_based on steps'!$B$1:$U$1,P$1)</f>
        <v>0</v>
      </c>
      <c r="Q116" s="155">
        <f>SUMIFS('recurring2_based on steps'!$B116:$AY116,'recurring2_based on steps'!$B$1:$AY$1,Q$1)+SUMIFS('changes2_based on steps'!$B116:$U116,'changes2_based on steps'!$B$1:$U$1,Q$1)</f>
        <v>0</v>
      </c>
      <c r="R116" s="155">
        <f ca="1">SUMIFS('recurring2_based on steps'!$B116:$AY116,'recurring2_based on steps'!$B$1:$AY$1,R$1)+SUMIFS('changes2_based on steps'!$B116:$U116,'changes2_based on steps'!$B$1:$U$1,R$1)</f>
        <v>0</v>
      </c>
      <c r="S116" s="155">
        <f ca="1">SUMIFS('recurring2_based on steps'!$B116:$AY116,'recurring2_based on steps'!$B$1:$AY$1,S$1)+SUMIFS('changes2_based on steps'!$B116:$U116,'changes2_based on steps'!$B$1:$U$1,S$1)</f>
        <v>100</v>
      </c>
      <c r="T116" s="155">
        <f>SUMIFS('recurring2_based on steps'!$B116:$AY116,'recurring2_based on steps'!$B$1:$AY$1,T$1)+SUMIFS('changes2_based on steps'!$B116:$U116,'changes2_based on steps'!$B$1:$U$1,T$1)</f>
        <v>0</v>
      </c>
      <c r="U116" s="155">
        <f ca="1">SUMIFS('recurring2_based on steps'!$B116:$AY116,'recurring2_based on steps'!$B$1:$AY$1,U$1)+SUMIFS('changes2_based on steps'!$B116:$U116,'changes2_based on steps'!$B$1:$U$1,U$1)</f>
        <v>0</v>
      </c>
      <c r="V116" s="155">
        <f>SUMIFS('recurring2_based on steps'!$B116:$AY116,'recurring2_based on steps'!$B$1:$AY$1,V$1)+SUMIFS('changes2_based on steps'!$B116:$U116,'changes2_based on steps'!$B$1:$U$1,V$1)</f>
        <v>0</v>
      </c>
      <c r="W116" s="155">
        <f ca="1">SUMIFS('recurring2_based on steps'!$B116:$AY116,'recurring2_based on steps'!$B$1:$AY$1,W$1)+SUMIFS('changes2_based on steps'!$B116:$U116,'changes2_based on steps'!$B$1:$U$1,W$1)</f>
        <v>0</v>
      </c>
      <c r="X116" s="155">
        <f ca="1">SUMIFS('recurring2_based on steps'!$B116:$AY116,'recurring2_based on steps'!$B$1:$AY$1,X$1)+SUMIFS('changes2_based on steps'!$B116:$U116,'changes2_based on steps'!$B$1:$U$1,X$1)</f>
        <v>0</v>
      </c>
      <c r="Y116" s="155">
        <f ca="1">SUMIFS('recurring2_based on steps'!$B116:$AY116,'recurring2_based on steps'!$B$1:$AY$1,Y$1)+SUMIFS('changes2_based on steps'!$B116:$U116,'changes2_based on steps'!$B$1:$U$1,Y$1)</f>
        <v>0</v>
      </c>
      <c r="Z116" s="155">
        <f>SUMIFS('recurring2_based on steps'!$B116:$AY116,'recurring2_based on steps'!$B$1:$AY$1,Z$1)+SUMIFS('changes2_based on steps'!$B116:$U116,'changes2_based on steps'!$B$1:$U$1,Z$1)</f>
        <v>0</v>
      </c>
      <c r="AA116" s="155">
        <f>SUMIFS('recurring2_based on steps'!$B116:$AY116,'recurring2_based on steps'!$B$1:$AY$1,AA$1)+SUMIFS('changes2_based on steps'!$B116:$U116,'changes2_based on steps'!$B$1:$U$1,AA$1)</f>
        <v>0</v>
      </c>
    </row>
    <row r="117" spans="1:27" x14ac:dyDescent="0.2">
      <c r="A117" s="18">
        <f t="shared" ca="1" si="1"/>
        <v>45803</v>
      </c>
      <c r="B117" s="155">
        <f ca="1">SUMIFS('recurring2_based on steps'!$B117:$AY117,'recurring2_based on steps'!$B$1:$AY$1,B$1)+SUMIFS('changes2_based on steps'!$B117:$U117,'changes2_based on steps'!$B$1:$U$1,B$1)</f>
        <v>0</v>
      </c>
      <c r="C117" s="155">
        <f>SUMIFS('recurring2_based on steps'!$B117:$AY117,'recurring2_based on steps'!$B$1:$AY$1,C$1)+SUMIFS('changes2_based on steps'!$B117:$U117,'changes2_based on steps'!$B$1:$U$1,C$1)</f>
        <v>0</v>
      </c>
      <c r="D117" s="155">
        <f>SUMIFS('recurring2_based on steps'!$B117:$AY117,'recurring2_based on steps'!$B$1:$AY$1,D$1)+SUMIFS('changes2_based on steps'!$B117:$U117,'changes2_based on steps'!$B$1:$U$1,D$1)</f>
        <v>0</v>
      </c>
      <c r="E117" s="155">
        <f>SUMIFS('recurring2_based on steps'!$B117:$AY117,'recurring2_based on steps'!$B$1:$AY$1,E$1)+SUMIFS('changes2_based on steps'!$B117:$U117,'changes2_based on steps'!$B$1:$U$1,E$1)</f>
        <v>0</v>
      </c>
      <c r="F117" s="155">
        <f>SUMIFS('recurring2_based on steps'!$B117:$AY117,'recurring2_based on steps'!$B$1:$AY$1,F$1)+SUMIFS('changes2_based on steps'!$B117:$U117,'changes2_based on steps'!$B$1:$U$1,F$1)</f>
        <v>0</v>
      </c>
      <c r="G117" s="155">
        <f>SUMIFS('recurring2_based on steps'!$B117:$AY117,'recurring2_based on steps'!$B$1:$AY$1,G$1)+SUMIFS('changes2_based on steps'!$B117:$U117,'changes2_based on steps'!$B$1:$U$1,G$1)</f>
        <v>0</v>
      </c>
      <c r="H117" s="155">
        <f ca="1">SUMIFS('recurring2_based on steps'!$B117:$AY117,'recurring2_based on steps'!$B$1:$AY$1,H$1)+SUMIFS('changes2_based on steps'!$B117:$U117,'changes2_based on steps'!$B$1:$U$1,H$1)</f>
        <v>0</v>
      </c>
      <c r="I117" s="155">
        <f>SUMIFS('recurring2_based on steps'!$B117:$AY117,'recurring2_based on steps'!$B$1:$AY$1,I$1)+SUMIFS('changes2_based on steps'!$B117:$U117,'changes2_based on steps'!$B$1:$U$1,I$1)</f>
        <v>0</v>
      </c>
      <c r="J117" s="155">
        <f>SUMIFS('recurring2_based on steps'!$B117:$AY117,'recurring2_based on steps'!$B$1:$AY$1,J$1)+SUMIFS('changes2_based on steps'!$B117:$U117,'changes2_based on steps'!$B$1:$U$1,J$1)</f>
        <v>0</v>
      </c>
      <c r="K117" s="155">
        <f>SUMIFS('recurring2_based on steps'!$B117:$AY117,'recurring2_based on steps'!$B$1:$AY$1,K$1)+SUMIFS('changes2_based on steps'!$B117:$U117,'changes2_based on steps'!$B$1:$U$1,K$1)</f>
        <v>0</v>
      </c>
      <c r="L117" s="155">
        <f>SUMIFS('recurring2_based on steps'!$B117:$AY117,'recurring2_based on steps'!$B$1:$AY$1,L$1)+SUMIFS('changes2_based on steps'!$B117:$U117,'changes2_based on steps'!$B$1:$U$1,L$1)</f>
        <v>0</v>
      </c>
      <c r="M117" s="155">
        <f ca="1">SUMIFS('recurring2_based on steps'!$B117:$AY117,'recurring2_based on steps'!$B$1:$AY$1,M$1)+SUMIFS('changes2_based on steps'!$B117:$U117,'changes2_based on steps'!$B$1:$U$1,M$1)</f>
        <v>0</v>
      </c>
      <c r="N117" s="155">
        <f ca="1">SUMIFS('recurring2_based on steps'!$B117:$AY117,'recurring2_based on steps'!$B$1:$AY$1,N$1)+SUMIFS('changes2_based on steps'!$B117:$U117,'changes2_based on steps'!$B$1:$U$1,N$1)</f>
        <v>0</v>
      </c>
      <c r="O117" s="155">
        <f ca="1">SUMIFS('recurring2_based on steps'!$B117:$AY117,'recurring2_based on steps'!$B$1:$AY$1,O$1)+SUMIFS('changes2_based on steps'!$B117:$U117,'changes2_based on steps'!$B$1:$U$1,O$1)</f>
        <v>0</v>
      </c>
      <c r="P117" s="155">
        <f ca="1">SUMIFS('recurring2_based on steps'!$B117:$AY117,'recurring2_based on steps'!$B$1:$AY$1,P$1)+SUMIFS('changes2_based on steps'!$B117:$U117,'changes2_based on steps'!$B$1:$U$1,P$1)</f>
        <v>0</v>
      </c>
      <c r="Q117" s="155">
        <f>SUMIFS('recurring2_based on steps'!$B117:$AY117,'recurring2_based on steps'!$B$1:$AY$1,Q$1)+SUMIFS('changes2_based on steps'!$B117:$U117,'changes2_based on steps'!$B$1:$U$1,Q$1)</f>
        <v>0</v>
      </c>
      <c r="R117" s="155">
        <f ca="1">SUMIFS('recurring2_based on steps'!$B117:$AY117,'recurring2_based on steps'!$B$1:$AY$1,R$1)+SUMIFS('changes2_based on steps'!$B117:$U117,'changes2_based on steps'!$B$1:$U$1,R$1)</f>
        <v>0</v>
      </c>
      <c r="S117" s="155">
        <f ca="1">SUMIFS('recurring2_based on steps'!$B117:$AY117,'recurring2_based on steps'!$B$1:$AY$1,S$1)+SUMIFS('changes2_based on steps'!$B117:$U117,'changes2_based on steps'!$B$1:$U$1,S$1)</f>
        <v>0</v>
      </c>
      <c r="T117" s="155">
        <f>SUMIFS('recurring2_based on steps'!$B117:$AY117,'recurring2_based on steps'!$B$1:$AY$1,T$1)+SUMIFS('changes2_based on steps'!$B117:$U117,'changes2_based on steps'!$B$1:$U$1,T$1)</f>
        <v>0</v>
      </c>
      <c r="U117" s="155">
        <f ca="1">SUMIFS('recurring2_based on steps'!$B117:$AY117,'recurring2_based on steps'!$B$1:$AY$1,U$1)+SUMIFS('changes2_based on steps'!$B117:$U117,'changes2_based on steps'!$B$1:$U$1,U$1)</f>
        <v>0</v>
      </c>
      <c r="V117" s="155">
        <f>SUMIFS('recurring2_based on steps'!$B117:$AY117,'recurring2_based on steps'!$B$1:$AY$1,V$1)+SUMIFS('changes2_based on steps'!$B117:$U117,'changes2_based on steps'!$B$1:$U$1,V$1)</f>
        <v>0</v>
      </c>
      <c r="W117" s="155">
        <f ca="1">SUMIFS('recurring2_based on steps'!$B117:$AY117,'recurring2_based on steps'!$B$1:$AY$1,W$1)+SUMIFS('changes2_based on steps'!$B117:$U117,'changes2_based on steps'!$B$1:$U$1,W$1)</f>
        <v>0</v>
      </c>
      <c r="X117" s="155">
        <f ca="1">SUMIFS('recurring2_based on steps'!$B117:$AY117,'recurring2_based on steps'!$B$1:$AY$1,X$1)+SUMIFS('changes2_based on steps'!$B117:$U117,'changes2_based on steps'!$B$1:$U$1,X$1)</f>
        <v>0</v>
      </c>
      <c r="Y117" s="155">
        <f ca="1">SUMIFS('recurring2_based on steps'!$B117:$AY117,'recurring2_based on steps'!$B$1:$AY$1,Y$1)+SUMIFS('changes2_based on steps'!$B117:$U117,'changes2_based on steps'!$B$1:$U$1,Y$1)</f>
        <v>0</v>
      </c>
      <c r="Z117" s="155">
        <f>SUMIFS('recurring2_based on steps'!$B117:$AY117,'recurring2_based on steps'!$B$1:$AY$1,Z$1)+SUMIFS('changes2_based on steps'!$B117:$U117,'changes2_based on steps'!$B$1:$U$1,Z$1)</f>
        <v>0</v>
      </c>
      <c r="AA117" s="155">
        <f>SUMIFS('recurring2_based on steps'!$B117:$AY117,'recurring2_based on steps'!$B$1:$AY$1,AA$1)+SUMIFS('changes2_based on steps'!$B117:$U117,'changes2_based on steps'!$B$1:$U$1,AA$1)</f>
        <v>0</v>
      </c>
    </row>
    <row r="118" spans="1:27" x14ac:dyDescent="0.2">
      <c r="A118" s="18">
        <f t="shared" ca="1" si="1"/>
        <v>45804</v>
      </c>
      <c r="B118" s="155">
        <f ca="1">SUMIFS('recurring2_based on steps'!$B118:$AY118,'recurring2_based on steps'!$B$1:$AY$1,B$1)+SUMIFS('changes2_based on steps'!$B118:$U118,'changes2_based on steps'!$B$1:$U$1,B$1)</f>
        <v>0</v>
      </c>
      <c r="C118" s="155">
        <f>SUMIFS('recurring2_based on steps'!$B118:$AY118,'recurring2_based on steps'!$B$1:$AY$1,C$1)+SUMIFS('changes2_based on steps'!$B118:$U118,'changes2_based on steps'!$B$1:$U$1,C$1)</f>
        <v>0</v>
      </c>
      <c r="D118" s="155">
        <f>SUMIFS('recurring2_based on steps'!$B118:$AY118,'recurring2_based on steps'!$B$1:$AY$1,D$1)+SUMIFS('changes2_based on steps'!$B118:$U118,'changes2_based on steps'!$B$1:$U$1,D$1)</f>
        <v>0</v>
      </c>
      <c r="E118" s="155">
        <f>SUMIFS('recurring2_based on steps'!$B118:$AY118,'recurring2_based on steps'!$B$1:$AY$1,E$1)+SUMIFS('changes2_based on steps'!$B118:$U118,'changes2_based on steps'!$B$1:$U$1,E$1)</f>
        <v>0</v>
      </c>
      <c r="F118" s="155">
        <f>SUMIFS('recurring2_based on steps'!$B118:$AY118,'recurring2_based on steps'!$B$1:$AY$1,F$1)+SUMIFS('changes2_based on steps'!$B118:$U118,'changes2_based on steps'!$B$1:$U$1,F$1)</f>
        <v>0</v>
      </c>
      <c r="G118" s="155">
        <f>SUMIFS('recurring2_based on steps'!$B118:$AY118,'recurring2_based on steps'!$B$1:$AY$1,G$1)+SUMIFS('changes2_based on steps'!$B118:$U118,'changes2_based on steps'!$B$1:$U$1,G$1)</f>
        <v>0</v>
      </c>
      <c r="H118" s="155">
        <f ca="1">SUMIFS('recurring2_based on steps'!$B118:$AY118,'recurring2_based on steps'!$B$1:$AY$1,H$1)+SUMIFS('changes2_based on steps'!$B118:$U118,'changes2_based on steps'!$B$1:$U$1,H$1)</f>
        <v>0</v>
      </c>
      <c r="I118" s="155">
        <f>SUMIFS('recurring2_based on steps'!$B118:$AY118,'recurring2_based on steps'!$B$1:$AY$1,I$1)+SUMIFS('changes2_based on steps'!$B118:$U118,'changes2_based on steps'!$B$1:$U$1,I$1)</f>
        <v>0</v>
      </c>
      <c r="J118" s="155">
        <f>SUMIFS('recurring2_based on steps'!$B118:$AY118,'recurring2_based on steps'!$B$1:$AY$1,J$1)+SUMIFS('changes2_based on steps'!$B118:$U118,'changes2_based on steps'!$B$1:$U$1,J$1)</f>
        <v>0</v>
      </c>
      <c r="K118" s="155">
        <f>SUMIFS('recurring2_based on steps'!$B118:$AY118,'recurring2_based on steps'!$B$1:$AY$1,K$1)+SUMIFS('changes2_based on steps'!$B118:$U118,'changes2_based on steps'!$B$1:$U$1,K$1)</f>
        <v>0</v>
      </c>
      <c r="L118" s="155">
        <f>SUMIFS('recurring2_based on steps'!$B118:$AY118,'recurring2_based on steps'!$B$1:$AY$1,L$1)+SUMIFS('changes2_based on steps'!$B118:$U118,'changes2_based on steps'!$B$1:$U$1,L$1)</f>
        <v>0</v>
      </c>
      <c r="M118" s="155">
        <f ca="1">SUMIFS('recurring2_based on steps'!$B118:$AY118,'recurring2_based on steps'!$B$1:$AY$1,M$1)+SUMIFS('changes2_based on steps'!$B118:$U118,'changes2_based on steps'!$B$1:$U$1,M$1)</f>
        <v>0</v>
      </c>
      <c r="N118" s="155">
        <f ca="1">SUMIFS('recurring2_based on steps'!$B118:$AY118,'recurring2_based on steps'!$B$1:$AY$1,N$1)+SUMIFS('changes2_based on steps'!$B118:$U118,'changes2_based on steps'!$B$1:$U$1,N$1)</f>
        <v>0</v>
      </c>
      <c r="O118" s="155">
        <f ca="1">SUMIFS('recurring2_based on steps'!$B118:$AY118,'recurring2_based on steps'!$B$1:$AY$1,O$1)+SUMIFS('changes2_based on steps'!$B118:$U118,'changes2_based on steps'!$B$1:$U$1,O$1)</f>
        <v>0</v>
      </c>
      <c r="P118" s="155">
        <f ca="1">SUMIFS('recurring2_based on steps'!$B118:$AY118,'recurring2_based on steps'!$B$1:$AY$1,P$1)+SUMIFS('changes2_based on steps'!$B118:$U118,'changes2_based on steps'!$B$1:$U$1,P$1)</f>
        <v>0</v>
      </c>
      <c r="Q118" s="155">
        <f>SUMIFS('recurring2_based on steps'!$B118:$AY118,'recurring2_based on steps'!$B$1:$AY$1,Q$1)+SUMIFS('changes2_based on steps'!$B118:$U118,'changes2_based on steps'!$B$1:$U$1,Q$1)</f>
        <v>0</v>
      </c>
      <c r="R118" s="155">
        <f ca="1">SUMIFS('recurring2_based on steps'!$B118:$AY118,'recurring2_based on steps'!$B$1:$AY$1,R$1)+SUMIFS('changes2_based on steps'!$B118:$U118,'changes2_based on steps'!$B$1:$U$1,R$1)</f>
        <v>0</v>
      </c>
      <c r="S118" s="155">
        <f ca="1">SUMIFS('recurring2_based on steps'!$B118:$AY118,'recurring2_based on steps'!$B$1:$AY$1,S$1)+SUMIFS('changes2_based on steps'!$B118:$U118,'changes2_based on steps'!$B$1:$U$1,S$1)</f>
        <v>0</v>
      </c>
      <c r="T118" s="155">
        <f>SUMIFS('recurring2_based on steps'!$B118:$AY118,'recurring2_based on steps'!$B$1:$AY$1,T$1)+SUMIFS('changes2_based on steps'!$B118:$U118,'changes2_based on steps'!$B$1:$U$1,T$1)</f>
        <v>0</v>
      </c>
      <c r="U118" s="155">
        <f ca="1">SUMIFS('recurring2_based on steps'!$B118:$AY118,'recurring2_based on steps'!$B$1:$AY$1,U$1)+SUMIFS('changes2_based on steps'!$B118:$U118,'changes2_based on steps'!$B$1:$U$1,U$1)</f>
        <v>2.99</v>
      </c>
      <c r="V118" s="155">
        <f>SUMIFS('recurring2_based on steps'!$B118:$AY118,'recurring2_based on steps'!$B$1:$AY$1,V$1)+SUMIFS('changes2_based on steps'!$B118:$U118,'changes2_based on steps'!$B$1:$U$1,V$1)</f>
        <v>0</v>
      </c>
      <c r="W118" s="155">
        <f ca="1">SUMIFS('recurring2_based on steps'!$B118:$AY118,'recurring2_based on steps'!$B$1:$AY$1,W$1)+SUMIFS('changes2_based on steps'!$B118:$U118,'changes2_based on steps'!$B$1:$U$1,W$1)</f>
        <v>0</v>
      </c>
      <c r="X118" s="155">
        <f ca="1">SUMIFS('recurring2_based on steps'!$B118:$AY118,'recurring2_based on steps'!$B$1:$AY$1,X$1)+SUMIFS('changes2_based on steps'!$B118:$U118,'changes2_based on steps'!$B$1:$U$1,X$1)</f>
        <v>0</v>
      </c>
      <c r="Y118" s="155">
        <f ca="1">SUMIFS('recurring2_based on steps'!$B118:$AY118,'recurring2_based on steps'!$B$1:$AY$1,Y$1)+SUMIFS('changes2_based on steps'!$B118:$U118,'changes2_based on steps'!$B$1:$U$1,Y$1)</f>
        <v>0</v>
      </c>
      <c r="Z118" s="155">
        <f>SUMIFS('recurring2_based on steps'!$B118:$AY118,'recurring2_based on steps'!$B$1:$AY$1,Z$1)+SUMIFS('changes2_based on steps'!$B118:$U118,'changes2_based on steps'!$B$1:$U$1,Z$1)</f>
        <v>0</v>
      </c>
      <c r="AA118" s="155">
        <f>SUMIFS('recurring2_based on steps'!$B118:$AY118,'recurring2_based on steps'!$B$1:$AY$1,AA$1)+SUMIFS('changes2_based on steps'!$B118:$U118,'changes2_based on steps'!$B$1:$U$1,AA$1)</f>
        <v>0</v>
      </c>
    </row>
    <row r="119" spans="1:27" x14ac:dyDescent="0.2">
      <c r="A119" s="18">
        <f t="shared" ca="1" si="1"/>
        <v>45805</v>
      </c>
      <c r="B119" s="155">
        <f ca="1">SUMIFS('recurring2_based on steps'!$B119:$AY119,'recurring2_based on steps'!$B$1:$AY$1,B$1)+SUMIFS('changes2_based on steps'!$B119:$U119,'changes2_based on steps'!$B$1:$U$1,B$1)</f>
        <v>0</v>
      </c>
      <c r="C119" s="155">
        <f>SUMIFS('recurring2_based on steps'!$B119:$AY119,'recurring2_based on steps'!$B$1:$AY$1,C$1)+SUMIFS('changes2_based on steps'!$B119:$U119,'changes2_based on steps'!$B$1:$U$1,C$1)</f>
        <v>0</v>
      </c>
      <c r="D119" s="155">
        <f>SUMIFS('recurring2_based on steps'!$B119:$AY119,'recurring2_based on steps'!$B$1:$AY$1,D$1)+SUMIFS('changes2_based on steps'!$B119:$U119,'changes2_based on steps'!$B$1:$U$1,D$1)</f>
        <v>0</v>
      </c>
      <c r="E119" s="155">
        <f>SUMIFS('recurring2_based on steps'!$B119:$AY119,'recurring2_based on steps'!$B$1:$AY$1,E$1)+SUMIFS('changes2_based on steps'!$B119:$U119,'changes2_based on steps'!$B$1:$U$1,E$1)</f>
        <v>0</v>
      </c>
      <c r="F119" s="155">
        <f>SUMIFS('recurring2_based on steps'!$B119:$AY119,'recurring2_based on steps'!$B$1:$AY$1,F$1)+SUMIFS('changes2_based on steps'!$B119:$U119,'changes2_based on steps'!$B$1:$U$1,F$1)</f>
        <v>0</v>
      </c>
      <c r="G119" s="155">
        <f>SUMIFS('recurring2_based on steps'!$B119:$AY119,'recurring2_based on steps'!$B$1:$AY$1,G$1)+SUMIFS('changes2_based on steps'!$B119:$U119,'changes2_based on steps'!$B$1:$U$1,G$1)</f>
        <v>0</v>
      </c>
      <c r="H119" s="155">
        <f ca="1">SUMIFS('recurring2_based on steps'!$B119:$AY119,'recurring2_based on steps'!$B$1:$AY$1,H$1)+SUMIFS('changes2_based on steps'!$B119:$U119,'changes2_based on steps'!$B$1:$U$1,H$1)</f>
        <v>0</v>
      </c>
      <c r="I119" s="155">
        <f>SUMIFS('recurring2_based on steps'!$B119:$AY119,'recurring2_based on steps'!$B$1:$AY$1,I$1)+SUMIFS('changes2_based on steps'!$B119:$U119,'changes2_based on steps'!$B$1:$U$1,I$1)</f>
        <v>0</v>
      </c>
      <c r="J119" s="155">
        <f>SUMIFS('recurring2_based on steps'!$B119:$AY119,'recurring2_based on steps'!$B$1:$AY$1,J$1)+SUMIFS('changes2_based on steps'!$B119:$U119,'changes2_based on steps'!$B$1:$U$1,J$1)</f>
        <v>0</v>
      </c>
      <c r="K119" s="155">
        <f>SUMIFS('recurring2_based on steps'!$B119:$AY119,'recurring2_based on steps'!$B$1:$AY$1,K$1)+SUMIFS('changes2_based on steps'!$B119:$U119,'changes2_based on steps'!$B$1:$U$1,K$1)</f>
        <v>0</v>
      </c>
      <c r="L119" s="155">
        <f>SUMIFS('recurring2_based on steps'!$B119:$AY119,'recurring2_based on steps'!$B$1:$AY$1,L$1)+SUMIFS('changes2_based on steps'!$B119:$U119,'changes2_based on steps'!$B$1:$U$1,L$1)</f>
        <v>0</v>
      </c>
      <c r="M119" s="155">
        <f ca="1">SUMIFS('recurring2_based on steps'!$B119:$AY119,'recurring2_based on steps'!$B$1:$AY$1,M$1)+SUMIFS('changes2_based on steps'!$B119:$U119,'changes2_based on steps'!$B$1:$U$1,M$1)</f>
        <v>40</v>
      </c>
      <c r="N119" s="155">
        <f ca="1">SUMIFS('recurring2_based on steps'!$B119:$AY119,'recurring2_based on steps'!$B$1:$AY$1,N$1)+SUMIFS('changes2_based on steps'!$B119:$U119,'changes2_based on steps'!$B$1:$U$1,N$1)</f>
        <v>0</v>
      </c>
      <c r="O119" s="155">
        <f ca="1">SUMIFS('recurring2_based on steps'!$B119:$AY119,'recurring2_based on steps'!$B$1:$AY$1,O$1)+SUMIFS('changes2_based on steps'!$B119:$U119,'changes2_based on steps'!$B$1:$U$1,O$1)</f>
        <v>0</v>
      </c>
      <c r="P119" s="155">
        <f ca="1">SUMIFS('recurring2_based on steps'!$B119:$AY119,'recurring2_based on steps'!$B$1:$AY$1,P$1)+SUMIFS('changes2_based on steps'!$B119:$U119,'changes2_based on steps'!$B$1:$U$1,P$1)</f>
        <v>0</v>
      </c>
      <c r="Q119" s="155">
        <f>SUMIFS('recurring2_based on steps'!$B119:$AY119,'recurring2_based on steps'!$B$1:$AY$1,Q$1)+SUMIFS('changes2_based on steps'!$B119:$U119,'changes2_based on steps'!$B$1:$U$1,Q$1)</f>
        <v>0</v>
      </c>
      <c r="R119" s="155">
        <f ca="1">SUMIFS('recurring2_based on steps'!$B119:$AY119,'recurring2_based on steps'!$B$1:$AY$1,R$1)+SUMIFS('changes2_based on steps'!$B119:$U119,'changes2_based on steps'!$B$1:$U$1,R$1)</f>
        <v>0</v>
      </c>
      <c r="S119" s="155">
        <f ca="1">SUMIFS('recurring2_based on steps'!$B119:$AY119,'recurring2_based on steps'!$B$1:$AY$1,S$1)+SUMIFS('changes2_based on steps'!$B119:$U119,'changes2_based on steps'!$B$1:$U$1,S$1)</f>
        <v>0</v>
      </c>
      <c r="T119" s="155">
        <f>SUMIFS('recurring2_based on steps'!$B119:$AY119,'recurring2_based on steps'!$B$1:$AY$1,T$1)+SUMIFS('changes2_based on steps'!$B119:$U119,'changes2_based on steps'!$B$1:$U$1,T$1)</f>
        <v>0</v>
      </c>
      <c r="U119" s="155">
        <f ca="1">SUMIFS('recurring2_based on steps'!$B119:$AY119,'recurring2_based on steps'!$B$1:$AY$1,U$1)+SUMIFS('changes2_based on steps'!$B119:$U119,'changes2_based on steps'!$B$1:$U$1,U$1)</f>
        <v>0</v>
      </c>
      <c r="V119" s="155">
        <f>SUMIFS('recurring2_based on steps'!$B119:$AY119,'recurring2_based on steps'!$B$1:$AY$1,V$1)+SUMIFS('changes2_based on steps'!$B119:$U119,'changes2_based on steps'!$B$1:$U$1,V$1)</f>
        <v>0</v>
      </c>
      <c r="W119" s="155">
        <f ca="1">SUMIFS('recurring2_based on steps'!$B119:$AY119,'recurring2_based on steps'!$B$1:$AY$1,W$1)+SUMIFS('changes2_based on steps'!$B119:$U119,'changes2_based on steps'!$B$1:$U$1,W$1)</f>
        <v>0</v>
      </c>
      <c r="X119" s="155">
        <f ca="1">SUMIFS('recurring2_based on steps'!$B119:$AY119,'recurring2_based on steps'!$B$1:$AY$1,X$1)+SUMIFS('changes2_based on steps'!$B119:$U119,'changes2_based on steps'!$B$1:$U$1,X$1)</f>
        <v>0</v>
      </c>
      <c r="Y119" s="155">
        <f ca="1">SUMIFS('recurring2_based on steps'!$B119:$AY119,'recurring2_based on steps'!$B$1:$AY$1,Y$1)+SUMIFS('changes2_based on steps'!$B119:$U119,'changes2_based on steps'!$B$1:$U$1,Y$1)</f>
        <v>100</v>
      </c>
      <c r="Z119" s="155">
        <f>SUMIFS('recurring2_based on steps'!$B119:$AY119,'recurring2_based on steps'!$B$1:$AY$1,Z$1)+SUMIFS('changes2_based on steps'!$B119:$U119,'changes2_based on steps'!$B$1:$U$1,Z$1)</f>
        <v>0</v>
      </c>
      <c r="AA119" s="155">
        <f>SUMIFS('recurring2_based on steps'!$B119:$AY119,'recurring2_based on steps'!$B$1:$AY$1,AA$1)+SUMIFS('changes2_based on steps'!$B119:$U119,'changes2_based on steps'!$B$1:$U$1,AA$1)</f>
        <v>0</v>
      </c>
    </row>
    <row r="120" spans="1:27" x14ac:dyDescent="0.2">
      <c r="A120" s="18">
        <f t="shared" ca="1" si="1"/>
        <v>45806</v>
      </c>
      <c r="B120" s="155">
        <f ca="1">SUMIFS('recurring2_based on steps'!$B120:$AY120,'recurring2_based on steps'!$B$1:$AY$1,B$1)+SUMIFS('changes2_based on steps'!$B120:$U120,'changes2_based on steps'!$B$1:$U$1,B$1)</f>
        <v>0</v>
      </c>
      <c r="C120" s="155">
        <f>SUMIFS('recurring2_based on steps'!$B120:$AY120,'recurring2_based on steps'!$B$1:$AY$1,C$1)+SUMIFS('changes2_based on steps'!$B120:$U120,'changes2_based on steps'!$B$1:$U$1,C$1)</f>
        <v>0</v>
      </c>
      <c r="D120" s="155">
        <f>SUMIFS('recurring2_based on steps'!$B120:$AY120,'recurring2_based on steps'!$B$1:$AY$1,D$1)+SUMIFS('changes2_based on steps'!$B120:$U120,'changes2_based on steps'!$B$1:$U$1,D$1)</f>
        <v>0</v>
      </c>
      <c r="E120" s="155">
        <f>SUMIFS('recurring2_based on steps'!$B120:$AY120,'recurring2_based on steps'!$B$1:$AY$1,E$1)+SUMIFS('changes2_based on steps'!$B120:$U120,'changes2_based on steps'!$B$1:$U$1,E$1)</f>
        <v>0</v>
      </c>
      <c r="F120" s="155">
        <f>SUMIFS('recurring2_based on steps'!$B120:$AY120,'recurring2_based on steps'!$B$1:$AY$1,F$1)+SUMIFS('changes2_based on steps'!$B120:$U120,'changes2_based on steps'!$B$1:$U$1,F$1)</f>
        <v>0</v>
      </c>
      <c r="G120" s="155">
        <f>SUMIFS('recurring2_based on steps'!$B120:$AY120,'recurring2_based on steps'!$B$1:$AY$1,G$1)+SUMIFS('changes2_based on steps'!$B120:$U120,'changes2_based on steps'!$B$1:$U$1,G$1)</f>
        <v>0</v>
      </c>
      <c r="H120" s="155">
        <f ca="1">SUMIFS('recurring2_based on steps'!$B120:$AY120,'recurring2_based on steps'!$B$1:$AY$1,H$1)+SUMIFS('changes2_based on steps'!$B120:$U120,'changes2_based on steps'!$B$1:$U$1,H$1)</f>
        <v>0</v>
      </c>
      <c r="I120" s="155">
        <f>SUMIFS('recurring2_based on steps'!$B120:$AY120,'recurring2_based on steps'!$B$1:$AY$1,I$1)+SUMIFS('changes2_based on steps'!$B120:$U120,'changes2_based on steps'!$B$1:$U$1,I$1)</f>
        <v>0</v>
      </c>
      <c r="J120" s="155">
        <f>SUMIFS('recurring2_based on steps'!$B120:$AY120,'recurring2_based on steps'!$B$1:$AY$1,J$1)+SUMIFS('changes2_based on steps'!$B120:$U120,'changes2_based on steps'!$B$1:$U$1,J$1)</f>
        <v>0</v>
      </c>
      <c r="K120" s="155">
        <f>SUMIFS('recurring2_based on steps'!$B120:$AY120,'recurring2_based on steps'!$B$1:$AY$1,K$1)+SUMIFS('changes2_based on steps'!$B120:$U120,'changes2_based on steps'!$B$1:$U$1,K$1)</f>
        <v>0</v>
      </c>
      <c r="L120" s="155">
        <f>SUMIFS('recurring2_based on steps'!$B120:$AY120,'recurring2_based on steps'!$B$1:$AY$1,L$1)+SUMIFS('changes2_based on steps'!$B120:$U120,'changes2_based on steps'!$B$1:$U$1,L$1)</f>
        <v>0</v>
      </c>
      <c r="M120" s="155">
        <f ca="1">SUMIFS('recurring2_based on steps'!$B120:$AY120,'recurring2_based on steps'!$B$1:$AY$1,M$1)+SUMIFS('changes2_based on steps'!$B120:$U120,'changes2_based on steps'!$B$1:$U$1,M$1)</f>
        <v>0</v>
      </c>
      <c r="N120" s="155">
        <f ca="1">SUMIFS('recurring2_based on steps'!$B120:$AY120,'recurring2_based on steps'!$B$1:$AY$1,N$1)+SUMIFS('changes2_based on steps'!$B120:$U120,'changes2_based on steps'!$B$1:$U$1,N$1)</f>
        <v>0</v>
      </c>
      <c r="O120" s="155">
        <f ca="1">SUMIFS('recurring2_based on steps'!$B120:$AY120,'recurring2_based on steps'!$B$1:$AY$1,O$1)+SUMIFS('changes2_based on steps'!$B120:$U120,'changes2_based on steps'!$B$1:$U$1,O$1)</f>
        <v>0</v>
      </c>
      <c r="P120" s="155">
        <f ca="1">SUMIFS('recurring2_based on steps'!$B120:$AY120,'recurring2_based on steps'!$B$1:$AY$1,P$1)+SUMIFS('changes2_based on steps'!$B120:$U120,'changes2_based on steps'!$B$1:$U$1,P$1)</f>
        <v>0</v>
      </c>
      <c r="Q120" s="155">
        <f>SUMIFS('recurring2_based on steps'!$B120:$AY120,'recurring2_based on steps'!$B$1:$AY$1,Q$1)+SUMIFS('changes2_based on steps'!$B120:$U120,'changes2_based on steps'!$B$1:$U$1,Q$1)</f>
        <v>0</v>
      </c>
      <c r="R120" s="155">
        <f ca="1">SUMIFS('recurring2_based on steps'!$B120:$AY120,'recurring2_based on steps'!$B$1:$AY$1,R$1)+SUMIFS('changes2_based on steps'!$B120:$U120,'changes2_based on steps'!$B$1:$U$1,R$1)</f>
        <v>0</v>
      </c>
      <c r="S120" s="155">
        <f ca="1">SUMIFS('recurring2_based on steps'!$B120:$AY120,'recurring2_based on steps'!$B$1:$AY$1,S$1)+SUMIFS('changes2_based on steps'!$B120:$U120,'changes2_based on steps'!$B$1:$U$1,S$1)</f>
        <v>0</v>
      </c>
      <c r="T120" s="155">
        <f>SUMIFS('recurring2_based on steps'!$B120:$AY120,'recurring2_based on steps'!$B$1:$AY$1,T$1)+SUMIFS('changes2_based on steps'!$B120:$U120,'changes2_based on steps'!$B$1:$U$1,T$1)</f>
        <v>0</v>
      </c>
      <c r="U120" s="155">
        <f ca="1">SUMIFS('recurring2_based on steps'!$B120:$AY120,'recurring2_based on steps'!$B$1:$AY$1,U$1)+SUMIFS('changes2_based on steps'!$B120:$U120,'changes2_based on steps'!$B$1:$U$1,U$1)</f>
        <v>0</v>
      </c>
      <c r="V120" s="155">
        <f>SUMIFS('recurring2_based on steps'!$B120:$AY120,'recurring2_based on steps'!$B$1:$AY$1,V$1)+SUMIFS('changes2_based on steps'!$B120:$U120,'changes2_based on steps'!$B$1:$U$1,V$1)</f>
        <v>0</v>
      </c>
      <c r="W120" s="155">
        <f ca="1">SUMIFS('recurring2_based on steps'!$B120:$AY120,'recurring2_based on steps'!$B$1:$AY$1,W$1)+SUMIFS('changes2_based on steps'!$B120:$U120,'changes2_based on steps'!$B$1:$U$1,W$1)</f>
        <v>0</v>
      </c>
      <c r="X120" s="155">
        <f ca="1">SUMIFS('recurring2_based on steps'!$B120:$AY120,'recurring2_based on steps'!$B$1:$AY$1,X$1)+SUMIFS('changes2_based on steps'!$B120:$U120,'changes2_based on steps'!$B$1:$U$1,X$1)</f>
        <v>0</v>
      </c>
      <c r="Y120" s="155">
        <f ca="1">SUMIFS('recurring2_based on steps'!$B120:$AY120,'recurring2_based on steps'!$B$1:$AY$1,Y$1)+SUMIFS('changes2_based on steps'!$B120:$U120,'changes2_based on steps'!$B$1:$U$1,Y$1)</f>
        <v>0</v>
      </c>
      <c r="Z120" s="155">
        <f>SUMIFS('recurring2_based on steps'!$B120:$AY120,'recurring2_based on steps'!$B$1:$AY$1,Z$1)+SUMIFS('changes2_based on steps'!$B120:$U120,'changes2_based on steps'!$B$1:$U$1,Z$1)</f>
        <v>0</v>
      </c>
      <c r="AA120" s="155">
        <f>SUMIFS('recurring2_based on steps'!$B120:$AY120,'recurring2_based on steps'!$B$1:$AY$1,AA$1)+SUMIFS('changes2_based on steps'!$B120:$U120,'changes2_based on steps'!$B$1:$U$1,AA$1)</f>
        <v>0</v>
      </c>
    </row>
    <row r="121" spans="1:27" x14ac:dyDescent="0.2">
      <c r="A121" s="18">
        <f t="shared" ca="1" si="1"/>
        <v>45807</v>
      </c>
      <c r="B121" s="155">
        <f ca="1">SUMIFS('recurring2_based on steps'!$B121:$AY121,'recurring2_based on steps'!$B$1:$AY$1,B$1)+SUMIFS('changes2_based on steps'!$B121:$U121,'changes2_based on steps'!$B$1:$U$1,B$1)</f>
        <v>4000</v>
      </c>
      <c r="C121" s="155">
        <f>SUMIFS('recurring2_based on steps'!$B121:$AY121,'recurring2_based on steps'!$B$1:$AY$1,C$1)+SUMIFS('changes2_based on steps'!$B121:$U121,'changes2_based on steps'!$B$1:$U$1,C$1)</f>
        <v>0</v>
      </c>
      <c r="D121" s="155">
        <f>SUMIFS('recurring2_based on steps'!$B121:$AY121,'recurring2_based on steps'!$B$1:$AY$1,D$1)+SUMIFS('changes2_based on steps'!$B121:$U121,'changes2_based on steps'!$B$1:$U$1,D$1)</f>
        <v>0</v>
      </c>
      <c r="E121" s="155">
        <f>SUMIFS('recurring2_based on steps'!$B121:$AY121,'recurring2_based on steps'!$B$1:$AY$1,E$1)+SUMIFS('changes2_based on steps'!$B121:$U121,'changes2_based on steps'!$B$1:$U$1,E$1)</f>
        <v>0</v>
      </c>
      <c r="F121" s="155">
        <f>SUMIFS('recurring2_based on steps'!$B121:$AY121,'recurring2_based on steps'!$B$1:$AY$1,F$1)+SUMIFS('changes2_based on steps'!$B121:$U121,'changes2_based on steps'!$B$1:$U$1,F$1)</f>
        <v>0</v>
      </c>
      <c r="G121" s="155">
        <f>SUMIFS('recurring2_based on steps'!$B121:$AY121,'recurring2_based on steps'!$B$1:$AY$1,G$1)+SUMIFS('changes2_based on steps'!$B121:$U121,'changes2_based on steps'!$B$1:$U$1,G$1)</f>
        <v>0</v>
      </c>
      <c r="H121" s="155">
        <f ca="1">SUMIFS('recurring2_based on steps'!$B121:$AY121,'recurring2_based on steps'!$B$1:$AY$1,H$1)+SUMIFS('changes2_based on steps'!$B121:$U121,'changes2_based on steps'!$B$1:$U$1,H$1)</f>
        <v>96</v>
      </c>
      <c r="I121" s="155">
        <f>SUMIFS('recurring2_based on steps'!$B121:$AY121,'recurring2_based on steps'!$B$1:$AY$1,I$1)+SUMIFS('changes2_based on steps'!$B121:$U121,'changes2_based on steps'!$B$1:$U$1,I$1)</f>
        <v>0</v>
      </c>
      <c r="J121" s="155">
        <f>SUMIFS('recurring2_based on steps'!$B121:$AY121,'recurring2_based on steps'!$B$1:$AY$1,J$1)+SUMIFS('changes2_based on steps'!$B121:$U121,'changes2_based on steps'!$B$1:$U$1,J$1)</f>
        <v>0</v>
      </c>
      <c r="K121" s="155">
        <f>SUMIFS('recurring2_based on steps'!$B121:$AY121,'recurring2_based on steps'!$B$1:$AY$1,K$1)+SUMIFS('changes2_based on steps'!$B121:$U121,'changes2_based on steps'!$B$1:$U$1,K$1)</f>
        <v>0</v>
      </c>
      <c r="L121" s="155">
        <f>SUMIFS('recurring2_based on steps'!$B121:$AY121,'recurring2_based on steps'!$B$1:$AY$1,L$1)+SUMIFS('changes2_based on steps'!$B121:$U121,'changes2_based on steps'!$B$1:$U$1,L$1)</f>
        <v>0</v>
      </c>
      <c r="M121" s="155">
        <f ca="1">SUMIFS('recurring2_based on steps'!$B121:$AY121,'recurring2_based on steps'!$B$1:$AY$1,M$1)+SUMIFS('changes2_based on steps'!$B121:$U121,'changes2_based on steps'!$B$1:$U$1,M$1)</f>
        <v>0</v>
      </c>
      <c r="N121" s="155">
        <f ca="1">SUMIFS('recurring2_based on steps'!$B121:$AY121,'recurring2_based on steps'!$B$1:$AY$1,N$1)+SUMIFS('changes2_based on steps'!$B121:$U121,'changes2_based on steps'!$B$1:$U$1,N$1)</f>
        <v>0</v>
      </c>
      <c r="O121" s="155">
        <f ca="1">SUMIFS('recurring2_based on steps'!$B121:$AY121,'recurring2_based on steps'!$B$1:$AY$1,O$1)+SUMIFS('changes2_based on steps'!$B121:$U121,'changes2_based on steps'!$B$1:$U$1,O$1)</f>
        <v>0</v>
      </c>
      <c r="P121" s="155">
        <f ca="1">SUMIFS('recurring2_based on steps'!$B121:$AY121,'recurring2_based on steps'!$B$1:$AY$1,P$1)+SUMIFS('changes2_based on steps'!$B121:$U121,'changes2_based on steps'!$B$1:$U$1,P$1)</f>
        <v>0</v>
      </c>
      <c r="Q121" s="155">
        <f>SUMIFS('recurring2_based on steps'!$B121:$AY121,'recurring2_based on steps'!$B$1:$AY$1,Q$1)+SUMIFS('changes2_based on steps'!$B121:$U121,'changes2_based on steps'!$B$1:$U$1,Q$1)</f>
        <v>0</v>
      </c>
      <c r="R121" s="155">
        <f ca="1">SUMIFS('recurring2_based on steps'!$B121:$AY121,'recurring2_based on steps'!$B$1:$AY$1,R$1)+SUMIFS('changes2_based on steps'!$B121:$U121,'changes2_based on steps'!$B$1:$U$1,R$1)</f>
        <v>0</v>
      </c>
      <c r="S121" s="155">
        <f ca="1">SUMIFS('recurring2_based on steps'!$B121:$AY121,'recurring2_based on steps'!$B$1:$AY$1,S$1)+SUMIFS('changes2_based on steps'!$B121:$U121,'changes2_based on steps'!$B$1:$U$1,S$1)</f>
        <v>0</v>
      </c>
      <c r="T121" s="155">
        <f>SUMIFS('recurring2_based on steps'!$B121:$AY121,'recurring2_based on steps'!$B$1:$AY$1,T$1)+SUMIFS('changes2_based on steps'!$B121:$U121,'changes2_based on steps'!$B$1:$U$1,T$1)</f>
        <v>0</v>
      </c>
      <c r="U121" s="155">
        <f ca="1">SUMIFS('recurring2_based on steps'!$B121:$AY121,'recurring2_based on steps'!$B$1:$AY$1,U$1)+SUMIFS('changes2_based on steps'!$B121:$U121,'changes2_based on steps'!$B$1:$U$1,U$1)</f>
        <v>0</v>
      </c>
      <c r="V121" s="155">
        <f>SUMIFS('recurring2_based on steps'!$B121:$AY121,'recurring2_based on steps'!$B$1:$AY$1,V$1)+SUMIFS('changes2_based on steps'!$B121:$U121,'changes2_based on steps'!$B$1:$U$1,V$1)</f>
        <v>0</v>
      </c>
      <c r="W121" s="155">
        <f ca="1">SUMIFS('recurring2_based on steps'!$B121:$AY121,'recurring2_based on steps'!$B$1:$AY$1,W$1)+SUMIFS('changes2_based on steps'!$B121:$U121,'changes2_based on steps'!$B$1:$U$1,W$1)</f>
        <v>50</v>
      </c>
      <c r="X121" s="155">
        <f ca="1">SUMIFS('recurring2_based on steps'!$B121:$AY121,'recurring2_based on steps'!$B$1:$AY$1,X$1)+SUMIFS('changes2_based on steps'!$B121:$U121,'changes2_based on steps'!$B$1:$U$1,X$1)</f>
        <v>200</v>
      </c>
      <c r="Y121" s="155">
        <f ca="1">SUMIFS('recurring2_based on steps'!$B121:$AY121,'recurring2_based on steps'!$B$1:$AY$1,Y$1)+SUMIFS('changes2_based on steps'!$B121:$U121,'changes2_based on steps'!$B$1:$U$1,Y$1)</f>
        <v>0</v>
      </c>
      <c r="Z121" s="155">
        <f>SUMIFS('recurring2_based on steps'!$B121:$AY121,'recurring2_based on steps'!$B$1:$AY$1,Z$1)+SUMIFS('changes2_based on steps'!$B121:$U121,'changes2_based on steps'!$B$1:$U$1,Z$1)</f>
        <v>0</v>
      </c>
      <c r="AA121" s="155">
        <f>SUMIFS('recurring2_based on steps'!$B121:$AY121,'recurring2_based on steps'!$B$1:$AY$1,AA$1)+SUMIFS('changes2_based on steps'!$B121:$U121,'changes2_based on steps'!$B$1:$U$1,AA$1)</f>
        <v>0</v>
      </c>
    </row>
    <row r="122" spans="1:27" x14ac:dyDescent="0.2">
      <c r="A122" s="18">
        <f t="shared" ca="1" si="1"/>
        <v>45808</v>
      </c>
      <c r="B122" s="155">
        <f ca="1">SUMIFS('recurring2_based on steps'!$B122:$AY122,'recurring2_based on steps'!$B$1:$AY$1,B$1)+SUMIFS('changes2_based on steps'!$B122:$U122,'changes2_based on steps'!$B$1:$U$1,B$1)</f>
        <v>0</v>
      </c>
      <c r="C122" s="155">
        <f>SUMIFS('recurring2_based on steps'!$B122:$AY122,'recurring2_based on steps'!$B$1:$AY$1,C$1)+SUMIFS('changes2_based on steps'!$B122:$U122,'changes2_based on steps'!$B$1:$U$1,C$1)</f>
        <v>0</v>
      </c>
      <c r="D122" s="155">
        <f>SUMIFS('recurring2_based on steps'!$B122:$AY122,'recurring2_based on steps'!$B$1:$AY$1,D$1)+SUMIFS('changes2_based on steps'!$B122:$U122,'changes2_based on steps'!$B$1:$U$1,D$1)</f>
        <v>0</v>
      </c>
      <c r="E122" s="155">
        <f>SUMIFS('recurring2_based on steps'!$B122:$AY122,'recurring2_based on steps'!$B$1:$AY$1,E$1)+SUMIFS('changes2_based on steps'!$B122:$U122,'changes2_based on steps'!$B$1:$U$1,E$1)</f>
        <v>0</v>
      </c>
      <c r="F122" s="155">
        <f>SUMIFS('recurring2_based on steps'!$B122:$AY122,'recurring2_based on steps'!$B$1:$AY$1,F$1)+SUMIFS('changes2_based on steps'!$B122:$U122,'changes2_based on steps'!$B$1:$U$1,F$1)</f>
        <v>0</v>
      </c>
      <c r="G122" s="155">
        <f>SUMIFS('recurring2_based on steps'!$B122:$AY122,'recurring2_based on steps'!$B$1:$AY$1,G$1)+SUMIFS('changes2_based on steps'!$B122:$U122,'changes2_based on steps'!$B$1:$U$1,G$1)</f>
        <v>0</v>
      </c>
      <c r="H122" s="155">
        <f ca="1">SUMIFS('recurring2_based on steps'!$B122:$AY122,'recurring2_based on steps'!$B$1:$AY$1,H$1)+SUMIFS('changes2_based on steps'!$B122:$U122,'changes2_based on steps'!$B$1:$U$1,H$1)</f>
        <v>0</v>
      </c>
      <c r="I122" s="155">
        <f>SUMIFS('recurring2_based on steps'!$B122:$AY122,'recurring2_based on steps'!$B$1:$AY$1,I$1)+SUMIFS('changes2_based on steps'!$B122:$U122,'changes2_based on steps'!$B$1:$U$1,I$1)</f>
        <v>0</v>
      </c>
      <c r="J122" s="155">
        <f>SUMIFS('recurring2_based on steps'!$B122:$AY122,'recurring2_based on steps'!$B$1:$AY$1,J$1)+SUMIFS('changes2_based on steps'!$B122:$U122,'changes2_based on steps'!$B$1:$U$1,J$1)</f>
        <v>0</v>
      </c>
      <c r="K122" s="155">
        <f>SUMIFS('recurring2_based on steps'!$B122:$AY122,'recurring2_based on steps'!$B$1:$AY$1,K$1)+SUMIFS('changes2_based on steps'!$B122:$U122,'changes2_based on steps'!$B$1:$U$1,K$1)</f>
        <v>0</v>
      </c>
      <c r="L122" s="155">
        <f>SUMIFS('recurring2_based on steps'!$B122:$AY122,'recurring2_based on steps'!$B$1:$AY$1,L$1)+SUMIFS('changes2_based on steps'!$B122:$U122,'changes2_based on steps'!$B$1:$U$1,L$1)</f>
        <v>0</v>
      </c>
      <c r="M122" s="155">
        <f ca="1">SUMIFS('recurring2_based on steps'!$B122:$AY122,'recurring2_based on steps'!$B$1:$AY$1,M$1)+SUMIFS('changes2_based on steps'!$B122:$U122,'changes2_based on steps'!$B$1:$U$1,M$1)</f>
        <v>50</v>
      </c>
      <c r="N122" s="155">
        <f ca="1">SUMIFS('recurring2_based on steps'!$B122:$AY122,'recurring2_based on steps'!$B$1:$AY$1,N$1)+SUMIFS('changes2_based on steps'!$B122:$U122,'changes2_based on steps'!$B$1:$U$1,N$1)</f>
        <v>0</v>
      </c>
      <c r="O122" s="155">
        <f ca="1">SUMIFS('recurring2_based on steps'!$B122:$AY122,'recurring2_based on steps'!$B$1:$AY$1,O$1)+SUMIFS('changes2_based on steps'!$B122:$U122,'changes2_based on steps'!$B$1:$U$1,O$1)</f>
        <v>0</v>
      </c>
      <c r="P122" s="155">
        <f ca="1">SUMIFS('recurring2_based on steps'!$B122:$AY122,'recurring2_based on steps'!$B$1:$AY$1,P$1)+SUMIFS('changes2_based on steps'!$B122:$U122,'changes2_based on steps'!$B$1:$U$1,P$1)</f>
        <v>0</v>
      </c>
      <c r="Q122" s="155">
        <f>SUMIFS('recurring2_based on steps'!$B122:$AY122,'recurring2_based on steps'!$B$1:$AY$1,Q$1)+SUMIFS('changes2_based on steps'!$B122:$U122,'changes2_based on steps'!$B$1:$U$1,Q$1)</f>
        <v>0</v>
      </c>
      <c r="R122" s="155">
        <f ca="1">SUMIFS('recurring2_based on steps'!$B122:$AY122,'recurring2_based on steps'!$B$1:$AY$1,R$1)+SUMIFS('changes2_based on steps'!$B122:$U122,'changes2_based on steps'!$B$1:$U$1,R$1)</f>
        <v>100</v>
      </c>
      <c r="S122" s="155">
        <f ca="1">SUMIFS('recurring2_based on steps'!$B122:$AY122,'recurring2_based on steps'!$B$1:$AY$1,S$1)+SUMIFS('changes2_based on steps'!$B122:$U122,'changes2_based on steps'!$B$1:$U$1,S$1)</f>
        <v>100</v>
      </c>
      <c r="T122" s="155">
        <f>SUMIFS('recurring2_based on steps'!$B122:$AY122,'recurring2_based on steps'!$B$1:$AY$1,T$1)+SUMIFS('changes2_based on steps'!$B122:$U122,'changes2_based on steps'!$B$1:$U$1,T$1)</f>
        <v>0</v>
      </c>
      <c r="U122" s="155">
        <f ca="1">SUMIFS('recurring2_based on steps'!$B122:$AY122,'recurring2_based on steps'!$B$1:$AY$1,U$1)+SUMIFS('changes2_based on steps'!$B122:$U122,'changes2_based on steps'!$B$1:$U$1,U$1)</f>
        <v>0</v>
      </c>
      <c r="V122" s="155">
        <f>SUMIFS('recurring2_based on steps'!$B122:$AY122,'recurring2_based on steps'!$B$1:$AY$1,V$1)+SUMIFS('changes2_based on steps'!$B122:$U122,'changes2_based on steps'!$B$1:$U$1,V$1)</f>
        <v>0</v>
      </c>
      <c r="W122" s="155">
        <f ca="1">SUMIFS('recurring2_based on steps'!$B122:$AY122,'recurring2_based on steps'!$B$1:$AY$1,W$1)+SUMIFS('changes2_based on steps'!$B122:$U122,'changes2_based on steps'!$B$1:$U$1,W$1)</f>
        <v>0</v>
      </c>
      <c r="X122" s="155">
        <f ca="1">SUMIFS('recurring2_based on steps'!$B122:$AY122,'recurring2_based on steps'!$B$1:$AY$1,X$1)+SUMIFS('changes2_based on steps'!$B122:$U122,'changes2_based on steps'!$B$1:$U$1,X$1)</f>
        <v>0</v>
      </c>
      <c r="Y122" s="155">
        <f ca="1">SUMIFS('recurring2_based on steps'!$B122:$AY122,'recurring2_based on steps'!$B$1:$AY$1,Y$1)+SUMIFS('changes2_based on steps'!$B122:$U122,'changes2_based on steps'!$B$1:$U$1,Y$1)</f>
        <v>-100</v>
      </c>
      <c r="Z122" s="155">
        <f>SUMIFS('recurring2_based on steps'!$B122:$AY122,'recurring2_based on steps'!$B$1:$AY$1,Z$1)+SUMIFS('changes2_based on steps'!$B122:$U122,'changes2_based on steps'!$B$1:$U$1,Z$1)</f>
        <v>0</v>
      </c>
      <c r="AA122" s="155">
        <f>SUMIFS('recurring2_based on steps'!$B122:$AY122,'recurring2_based on steps'!$B$1:$AY$1,AA$1)+SUMIFS('changes2_based on steps'!$B122:$U122,'changes2_based on steps'!$B$1:$U$1,AA$1)</f>
        <v>0</v>
      </c>
    </row>
    <row r="123" spans="1:27" x14ac:dyDescent="0.2">
      <c r="A123" s="18">
        <f t="shared" ca="1" si="1"/>
        <v>45809</v>
      </c>
      <c r="B123" s="155">
        <f ca="1">SUMIFS('recurring2_based on steps'!$B123:$AY123,'recurring2_based on steps'!$B$1:$AY$1,B$1)+SUMIFS('changes2_based on steps'!$B123:$U123,'changes2_based on steps'!$B$1:$U$1,B$1)</f>
        <v>0</v>
      </c>
      <c r="C123" s="155">
        <f>SUMIFS('recurring2_based on steps'!$B123:$AY123,'recurring2_based on steps'!$B$1:$AY$1,C$1)+SUMIFS('changes2_based on steps'!$B123:$U123,'changes2_based on steps'!$B$1:$U$1,C$1)</f>
        <v>0</v>
      </c>
      <c r="D123" s="155">
        <f>SUMIFS('recurring2_based on steps'!$B123:$AY123,'recurring2_based on steps'!$B$1:$AY$1,D$1)+SUMIFS('changes2_based on steps'!$B123:$U123,'changes2_based on steps'!$B$1:$U$1,D$1)</f>
        <v>0</v>
      </c>
      <c r="E123" s="155">
        <f>SUMIFS('recurring2_based on steps'!$B123:$AY123,'recurring2_based on steps'!$B$1:$AY$1,E$1)+SUMIFS('changes2_based on steps'!$B123:$U123,'changes2_based on steps'!$B$1:$U$1,E$1)</f>
        <v>0</v>
      </c>
      <c r="F123" s="155">
        <f>SUMIFS('recurring2_based on steps'!$B123:$AY123,'recurring2_based on steps'!$B$1:$AY$1,F$1)+SUMIFS('changes2_based on steps'!$B123:$U123,'changes2_based on steps'!$B$1:$U$1,F$1)</f>
        <v>0</v>
      </c>
      <c r="G123" s="155">
        <f>SUMIFS('recurring2_based on steps'!$B123:$AY123,'recurring2_based on steps'!$B$1:$AY$1,G$1)+SUMIFS('changes2_based on steps'!$B123:$U123,'changes2_based on steps'!$B$1:$U$1,G$1)</f>
        <v>0</v>
      </c>
      <c r="H123" s="155">
        <f ca="1">SUMIFS('recurring2_based on steps'!$B123:$AY123,'recurring2_based on steps'!$B$1:$AY$1,H$1)+SUMIFS('changes2_based on steps'!$B123:$U123,'changes2_based on steps'!$B$1:$U$1,H$1)</f>
        <v>0</v>
      </c>
      <c r="I123" s="155">
        <f>SUMIFS('recurring2_based on steps'!$B123:$AY123,'recurring2_based on steps'!$B$1:$AY$1,I$1)+SUMIFS('changes2_based on steps'!$B123:$U123,'changes2_based on steps'!$B$1:$U$1,I$1)</f>
        <v>0</v>
      </c>
      <c r="J123" s="155">
        <f>SUMIFS('recurring2_based on steps'!$B123:$AY123,'recurring2_based on steps'!$B$1:$AY$1,J$1)+SUMIFS('changes2_based on steps'!$B123:$U123,'changes2_based on steps'!$B$1:$U$1,J$1)</f>
        <v>0</v>
      </c>
      <c r="K123" s="155">
        <f>SUMIFS('recurring2_based on steps'!$B123:$AY123,'recurring2_based on steps'!$B$1:$AY$1,K$1)+SUMIFS('changes2_based on steps'!$B123:$U123,'changes2_based on steps'!$B$1:$U$1,K$1)</f>
        <v>0</v>
      </c>
      <c r="L123" s="155">
        <f>SUMIFS('recurring2_based on steps'!$B123:$AY123,'recurring2_based on steps'!$B$1:$AY$1,L$1)+SUMIFS('changes2_based on steps'!$B123:$U123,'changes2_based on steps'!$B$1:$U$1,L$1)</f>
        <v>0</v>
      </c>
      <c r="M123" s="155">
        <f ca="1">SUMIFS('recurring2_based on steps'!$B123:$AY123,'recurring2_based on steps'!$B$1:$AY$1,M$1)+SUMIFS('changes2_based on steps'!$B123:$U123,'changes2_based on steps'!$B$1:$U$1,M$1)</f>
        <v>2000</v>
      </c>
      <c r="N123" s="155">
        <f ca="1">SUMIFS('recurring2_based on steps'!$B123:$AY123,'recurring2_based on steps'!$B$1:$AY$1,N$1)+SUMIFS('changes2_based on steps'!$B123:$U123,'changes2_based on steps'!$B$1:$U$1,N$1)</f>
        <v>50</v>
      </c>
      <c r="O123" s="155">
        <f ca="1">SUMIFS('recurring2_based on steps'!$B123:$AY123,'recurring2_based on steps'!$B$1:$AY$1,O$1)+SUMIFS('changes2_based on steps'!$B123:$U123,'changes2_based on steps'!$B$1:$U$1,O$1)</f>
        <v>0</v>
      </c>
      <c r="P123" s="155">
        <f ca="1">SUMIFS('recurring2_based on steps'!$B123:$AY123,'recurring2_based on steps'!$B$1:$AY$1,P$1)+SUMIFS('changes2_based on steps'!$B123:$U123,'changes2_based on steps'!$B$1:$U$1,P$1)</f>
        <v>0</v>
      </c>
      <c r="Q123" s="155">
        <f>SUMIFS('recurring2_based on steps'!$B123:$AY123,'recurring2_based on steps'!$B$1:$AY$1,Q$1)+SUMIFS('changes2_based on steps'!$B123:$U123,'changes2_based on steps'!$B$1:$U$1,Q$1)</f>
        <v>0</v>
      </c>
      <c r="R123" s="155">
        <f ca="1">SUMIFS('recurring2_based on steps'!$B123:$AY123,'recurring2_based on steps'!$B$1:$AY$1,R$1)+SUMIFS('changes2_based on steps'!$B123:$U123,'changes2_based on steps'!$B$1:$U$1,R$1)</f>
        <v>0</v>
      </c>
      <c r="S123" s="155">
        <f ca="1">SUMIFS('recurring2_based on steps'!$B123:$AY123,'recurring2_based on steps'!$B$1:$AY$1,S$1)+SUMIFS('changes2_based on steps'!$B123:$U123,'changes2_based on steps'!$B$1:$U$1,S$1)</f>
        <v>100</v>
      </c>
      <c r="T123" s="155">
        <f>SUMIFS('recurring2_based on steps'!$B123:$AY123,'recurring2_based on steps'!$B$1:$AY$1,T$1)+SUMIFS('changes2_based on steps'!$B123:$U123,'changes2_based on steps'!$B$1:$U$1,T$1)</f>
        <v>0</v>
      </c>
      <c r="U123" s="155">
        <f ca="1">SUMIFS('recurring2_based on steps'!$B123:$AY123,'recurring2_based on steps'!$B$1:$AY$1,U$1)+SUMIFS('changes2_based on steps'!$B123:$U123,'changes2_based on steps'!$B$1:$U$1,U$1)</f>
        <v>0</v>
      </c>
      <c r="V123" s="155">
        <f>SUMIFS('recurring2_based on steps'!$B123:$AY123,'recurring2_based on steps'!$B$1:$AY$1,V$1)+SUMIFS('changes2_based on steps'!$B123:$U123,'changes2_based on steps'!$B$1:$U$1,V$1)</f>
        <v>0</v>
      </c>
      <c r="W123" s="155">
        <f ca="1">SUMIFS('recurring2_based on steps'!$B123:$AY123,'recurring2_based on steps'!$B$1:$AY$1,W$1)+SUMIFS('changes2_based on steps'!$B123:$U123,'changes2_based on steps'!$B$1:$U$1,W$1)</f>
        <v>0</v>
      </c>
      <c r="X123" s="155">
        <f ca="1">SUMIFS('recurring2_based on steps'!$B123:$AY123,'recurring2_based on steps'!$B$1:$AY$1,X$1)+SUMIFS('changes2_based on steps'!$B123:$U123,'changes2_based on steps'!$B$1:$U$1,X$1)</f>
        <v>0</v>
      </c>
      <c r="Y123" s="155">
        <f ca="1">SUMIFS('recurring2_based on steps'!$B123:$AY123,'recurring2_based on steps'!$B$1:$AY$1,Y$1)+SUMIFS('changes2_based on steps'!$B123:$U123,'changes2_based on steps'!$B$1:$U$1,Y$1)</f>
        <v>0</v>
      </c>
      <c r="Z123" s="155">
        <f>SUMIFS('recurring2_based on steps'!$B123:$AY123,'recurring2_based on steps'!$B$1:$AY$1,Z$1)+SUMIFS('changes2_based on steps'!$B123:$U123,'changes2_based on steps'!$B$1:$U$1,Z$1)</f>
        <v>0</v>
      </c>
      <c r="AA123" s="155">
        <f>SUMIFS('recurring2_based on steps'!$B123:$AY123,'recurring2_based on steps'!$B$1:$AY$1,AA$1)+SUMIFS('changes2_based on steps'!$B123:$U123,'changes2_based on steps'!$B$1:$U$1,AA$1)</f>
        <v>0</v>
      </c>
    </row>
    <row r="124" spans="1:27" x14ac:dyDescent="0.2">
      <c r="A124" s="18">
        <f t="shared" ca="1" si="1"/>
        <v>45810</v>
      </c>
      <c r="B124" s="155">
        <f ca="1">SUMIFS('recurring2_based on steps'!$B124:$AY124,'recurring2_based on steps'!$B$1:$AY$1,B$1)+SUMIFS('changes2_based on steps'!$B124:$U124,'changes2_based on steps'!$B$1:$U$1,B$1)</f>
        <v>0</v>
      </c>
      <c r="C124" s="155">
        <f>SUMIFS('recurring2_based on steps'!$B124:$AY124,'recurring2_based on steps'!$B$1:$AY$1,C$1)+SUMIFS('changes2_based on steps'!$B124:$U124,'changes2_based on steps'!$B$1:$U$1,C$1)</f>
        <v>0</v>
      </c>
      <c r="D124" s="155">
        <f>SUMIFS('recurring2_based on steps'!$B124:$AY124,'recurring2_based on steps'!$B$1:$AY$1,D$1)+SUMIFS('changes2_based on steps'!$B124:$U124,'changes2_based on steps'!$B$1:$U$1,D$1)</f>
        <v>0</v>
      </c>
      <c r="E124" s="155">
        <f>SUMIFS('recurring2_based on steps'!$B124:$AY124,'recurring2_based on steps'!$B$1:$AY$1,E$1)+SUMIFS('changes2_based on steps'!$B124:$U124,'changes2_based on steps'!$B$1:$U$1,E$1)</f>
        <v>0</v>
      </c>
      <c r="F124" s="155">
        <f>SUMIFS('recurring2_based on steps'!$B124:$AY124,'recurring2_based on steps'!$B$1:$AY$1,F$1)+SUMIFS('changes2_based on steps'!$B124:$U124,'changes2_based on steps'!$B$1:$U$1,F$1)</f>
        <v>0</v>
      </c>
      <c r="G124" s="155">
        <f>SUMIFS('recurring2_based on steps'!$B124:$AY124,'recurring2_based on steps'!$B$1:$AY$1,G$1)+SUMIFS('changes2_based on steps'!$B124:$U124,'changes2_based on steps'!$B$1:$U$1,G$1)</f>
        <v>0</v>
      </c>
      <c r="H124" s="155">
        <f ca="1">SUMIFS('recurring2_based on steps'!$B124:$AY124,'recurring2_based on steps'!$B$1:$AY$1,H$1)+SUMIFS('changes2_based on steps'!$B124:$U124,'changes2_based on steps'!$B$1:$U$1,H$1)</f>
        <v>0</v>
      </c>
      <c r="I124" s="155">
        <f>SUMIFS('recurring2_based on steps'!$B124:$AY124,'recurring2_based on steps'!$B$1:$AY$1,I$1)+SUMIFS('changes2_based on steps'!$B124:$U124,'changes2_based on steps'!$B$1:$U$1,I$1)</f>
        <v>0</v>
      </c>
      <c r="J124" s="155">
        <f>SUMIFS('recurring2_based on steps'!$B124:$AY124,'recurring2_based on steps'!$B$1:$AY$1,J$1)+SUMIFS('changes2_based on steps'!$B124:$U124,'changes2_based on steps'!$B$1:$U$1,J$1)</f>
        <v>0</v>
      </c>
      <c r="K124" s="155">
        <f>SUMIFS('recurring2_based on steps'!$B124:$AY124,'recurring2_based on steps'!$B$1:$AY$1,K$1)+SUMIFS('changes2_based on steps'!$B124:$U124,'changes2_based on steps'!$B$1:$U$1,K$1)</f>
        <v>0</v>
      </c>
      <c r="L124" s="155">
        <f>SUMIFS('recurring2_based on steps'!$B124:$AY124,'recurring2_based on steps'!$B$1:$AY$1,L$1)+SUMIFS('changes2_based on steps'!$B124:$U124,'changes2_based on steps'!$B$1:$U$1,L$1)</f>
        <v>0</v>
      </c>
      <c r="M124" s="155">
        <f ca="1">SUMIFS('recurring2_based on steps'!$B124:$AY124,'recurring2_based on steps'!$B$1:$AY$1,M$1)+SUMIFS('changes2_based on steps'!$B124:$U124,'changes2_based on steps'!$B$1:$U$1,M$1)</f>
        <v>0</v>
      </c>
      <c r="N124" s="155">
        <f ca="1">SUMIFS('recurring2_based on steps'!$B124:$AY124,'recurring2_based on steps'!$B$1:$AY$1,N$1)+SUMIFS('changes2_based on steps'!$B124:$U124,'changes2_based on steps'!$B$1:$U$1,N$1)</f>
        <v>0</v>
      </c>
      <c r="O124" s="155">
        <f ca="1">SUMIFS('recurring2_based on steps'!$B124:$AY124,'recurring2_based on steps'!$B$1:$AY$1,O$1)+SUMIFS('changes2_based on steps'!$B124:$U124,'changes2_based on steps'!$B$1:$U$1,O$1)</f>
        <v>0</v>
      </c>
      <c r="P124" s="155">
        <f ca="1">SUMIFS('recurring2_based on steps'!$B124:$AY124,'recurring2_based on steps'!$B$1:$AY$1,P$1)+SUMIFS('changes2_based on steps'!$B124:$U124,'changes2_based on steps'!$B$1:$U$1,P$1)</f>
        <v>0</v>
      </c>
      <c r="Q124" s="155">
        <f>SUMIFS('recurring2_based on steps'!$B124:$AY124,'recurring2_based on steps'!$B$1:$AY$1,Q$1)+SUMIFS('changes2_based on steps'!$B124:$U124,'changes2_based on steps'!$B$1:$U$1,Q$1)</f>
        <v>0</v>
      </c>
      <c r="R124" s="155">
        <f ca="1">SUMIFS('recurring2_based on steps'!$B124:$AY124,'recurring2_based on steps'!$B$1:$AY$1,R$1)+SUMIFS('changes2_based on steps'!$B124:$U124,'changes2_based on steps'!$B$1:$U$1,R$1)</f>
        <v>0</v>
      </c>
      <c r="S124" s="155">
        <f ca="1">SUMIFS('recurring2_based on steps'!$B124:$AY124,'recurring2_based on steps'!$B$1:$AY$1,S$1)+SUMIFS('changes2_based on steps'!$B124:$U124,'changes2_based on steps'!$B$1:$U$1,S$1)</f>
        <v>0</v>
      </c>
      <c r="T124" s="155">
        <f>SUMIFS('recurring2_based on steps'!$B124:$AY124,'recurring2_based on steps'!$B$1:$AY$1,T$1)+SUMIFS('changes2_based on steps'!$B124:$U124,'changes2_based on steps'!$B$1:$U$1,T$1)</f>
        <v>0</v>
      </c>
      <c r="U124" s="155">
        <f ca="1">SUMIFS('recurring2_based on steps'!$B124:$AY124,'recurring2_based on steps'!$B$1:$AY$1,U$1)+SUMIFS('changes2_based on steps'!$B124:$U124,'changes2_based on steps'!$B$1:$U$1,U$1)</f>
        <v>0</v>
      </c>
      <c r="V124" s="155">
        <f>SUMIFS('recurring2_based on steps'!$B124:$AY124,'recurring2_based on steps'!$B$1:$AY$1,V$1)+SUMIFS('changes2_based on steps'!$B124:$U124,'changes2_based on steps'!$B$1:$U$1,V$1)</f>
        <v>0</v>
      </c>
      <c r="W124" s="155">
        <f ca="1">SUMIFS('recurring2_based on steps'!$B124:$AY124,'recurring2_based on steps'!$B$1:$AY$1,W$1)+SUMIFS('changes2_based on steps'!$B124:$U124,'changes2_based on steps'!$B$1:$U$1,W$1)</f>
        <v>0</v>
      </c>
      <c r="X124" s="155">
        <f ca="1">SUMIFS('recurring2_based on steps'!$B124:$AY124,'recurring2_based on steps'!$B$1:$AY$1,X$1)+SUMIFS('changes2_based on steps'!$B124:$U124,'changes2_based on steps'!$B$1:$U$1,X$1)</f>
        <v>0</v>
      </c>
      <c r="Y124" s="155">
        <f ca="1">SUMIFS('recurring2_based on steps'!$B124:$AY124,'recurring2_based on steps'!$B$1:$AY$1,Y$1)+SUMIFS('changes2_based on steps'!$B124:$U124,'changes2_based on steps'!$B$1:$U$1,Y$1)</f>
        <v>0</v>
      </c>
      <c r="Z124" s="155">
        <f>SUMIFS('recurring2_based on steps'!$B124:$AY124,'recurring2_based on steps'!$B$1:$AY$1,Z$1)+SUMIFS('changes2_based on steps'!$B124:$U124,'changes2_based on steps'!$B$1:$U$1,Z$1)</f>
        <v>0</v>
      </c>
      <c r="AA124" s="155">
        <f>SUMIFS('recurring2_based on steps'!$B124:$AY124,'recurring2_based on steps'!$B$1:$AY$1,AA$1)+SUMIFS('changes2_based on steps'!$B124:$U124,'changes2_based on steps'!$B$1:$U$1,AA$1)</f>
        <v>0</v>
      </c>
    </row>
    <row r="125" spans="1:27" x14ac:dyDescent="0.2">
      <c r="A125" s="18">
        <f t="shared" ca="1" si="1"/>
        <v>45811</v>
      </c>
      <c r="B125" s="155">
        <f ca="1">SUMIFS('recurring2_based on steps'!$B125:$AY125,'recurring2_based on steps'!$B$1:$AY$1,B$1)+SUMIFS('changes2_based on steps'!$B125:$U125,'changes2_based on steps'!$B$1:$U$1,B$1)</f>
        <v>0</v>
      </c>
      <c r="C125" s="155">
        <f>SUMIFS('recurring2_based on steps'!$B125:$AY125,'recurring2_based on steps'!$B$1:$AY$1,C$1)+SUMIFS('changes2_based on steps'!$B125:$U125,'changes2_based on steps'!$B$1:$U$1,C$1)</f>
        <v>0</v>
      </c>
      <c r="D125" s="155">
        <f>SUMIFS('recurring2_based on steps'!$B125:$AY125,'recurring2_based on steps'!$B$1:$AY$1,D$1)+SUMIFS('changes2_based on steps'!$B125:$U125,'changes2_based on steps'!$B$1:$U$1,D$1)</f>
        <v>0</v>
      </c>
      <c r="E125" s="155">
        <f>SUMIFS('recurring2_based on steps'!$B125:$AY125,'recurring2_based on steps'!$B$1:$AY$1,E$1)+SUMIFS('changes2_based on steps'!$B125:$U125,'changes2_based on steps'!$B$1:$U$1,E$1)</f>
        <v>0</v>
      </c>
      <c r="F125" s="155">
        <f>SUMIFS('recurring2_based on steps'!$B125:$AY125,'recurring2_based on steps'!$B$1:$AY$1,F$1)+SUMIFS('changes2_based on steps'!$B125:$U125,'changes2_based on steps'!$B$1:$U$1,F$1)</f>
        <v>0</v>
      </c>
      <c r="G125" s="155">
        <f>SUMIFS('recurring2_based on steps'!$B125:$AY125,'recurring2_based on steps'!$B$1:$AY$1,G$1)+SUMIFS('changes2_based on steps'!$B125:$U125,'changes2_based on steps'!$B$1:$U$1,G$1)</f>
        <v>0</v>
      </c>
      <c r="H125" s="155">
        <f ca="1">SUMIFS('recurring2_based on steps'!$B125:$AY125,'recurring2_based on steps'!$B$1:$AY$1,H$1)+SUMIFS('changes2_based on steps'!$B125:$U125,'changes2_based on steps'!$B$1:$U$1,H$1)</f>
        <v>0</v>
      </c>
      <c r="I125" s="155">
        <f>SUMIFS('recurring2_based on steps'!$B125:$AY125,'recurring2_based on steps'!$B$1:$AY$1,I$1)+SUMIFS('changes2_based on steps'!$B125:$U125,'changes2_based on steps'!$B$1:$U$1,I$1)</f>
        <v>0</v>
      </c>
      <c r="J125" s="155">
        <f>SUMIFS('recurring2_based on steps'!$B125:$AY125,'recurring2_based on steps'!$B$1:$AY$1,J$1)+SUMIFS('changes2_based on steps'!$B125:$U125,'changes2_based on steps'!$B$1:$U$1,J$1)</f>
        <v>0</v>
      </c>
      <c r="K125" s="155">
        <f>SUMIFS('recurring2_based on steps'!$B125:$AY125,'recurring2_based on steps'!$B$1:$AY$1,K$1)+SUMIFS('changes2_based on steps'!$B125:$U125,'changes2_based on steps'!$B$1:$U$1,K$1)</f>
        <v>0</v>
      </c>
      <c r="L125" s="155">
        <f>SUMIFS('recurring2_based on steps'!$B125:$AY125,'recurring2_based on steps'!$B$1:$AY$1,L$1)+SUMIFS('changes2_based on steps'!$B125:$U125,'changes2_based on steps'!$B$1:$U$1,L$1)</f>
        <v>0</v>
      </c>
      <c r="M125" s="155">
        <f ca="1">SUMIFS('recurring2_based on steps'!$B125:$AY125,'recurring2_based on steps'!$B$1:$AY$1,M$1)+SUMIFS('changes2_based on steps'!$B125:$U125,'changes2_based on steps'!$B$1:$U$1,M$1)</f>
        <v>0</v>
      </c>
      <c r="N125" s="155">
        <f ca="1">SUMIFS('recurring2_based on steps'!$B125:$AY125,'recurring2_based on steps'!$B$1:$AY$1,N$1)+SUMIFS('changes2_based on steps'!$B125:$U125,'changes2_based on steps'!$B$1:$U$1,N$1)</f>
        <v>0</v>
      </c>
      <c r="O125" s="155">
        <f ca="1">SUMIFS('recurring2_based on steps'!$B125:$AY125,'recurring2_based on steps'!$B$1:$AY$1,O$1)+SUMIFS('changes2_based on steps'!$B125:$U125,'changes2_based on steps'!$B$1:$U$1,O$1)</f>
        <v>0</v>
      </c>
      <c r="P125" s="155">
        <f ca="1">SUMIFS('recurring2_based on steps'!$B125:$AY125,'recurring2_based on steps'!$B$1:$AY$1,P$1)+SUMIFS('changes2_based on steps'!$B125:$U125,'changes2_based on steps'!$B$1:$U$1,P$1)</f>
        <v>0</v>
      </c>
      <c r="Q125" s="155">
        <f>SUMIFS('recurring2_based on steps'!$B125:$AY125,'recurring2_based on steps'!$B$1:$AY$1,Q$1)+SUMIFS('changes2_based on steps'!$B125:$U125,'changes2_based on steps'!$B$1:$U$1,Q$1)</f>
        <v>0</v>
      </c>
      <c r="R125" s="155">
        <f ca="1">SUMIFS('recurring2_based on steps'!$B125:$AY125,'recurring2_based on steps'!$B$1:$AY$1,R$1)+SUMIFS('changes2_based on steps'!$B125:$U125,'changes2_based on steps'!$B$1:$U$1,R$1)</f>
        <v>0</v>
      </c>
      <c r="S125" s="155">
        <f ca="1">SUMIFS('recurring2_based on steps'!$B125:$AY125,'recurring2_based on steps'!$B$1:$AY$1,S$1)+SUMIFS('changes2_based on steps'!$B125:$U125,'changes2_based on steps'!$B$1:$U$1,S$1)</f>
        <v>0</v>
      </c>
      <c r="T125" s="155">
        <f>SUMIFS('recurring2_based on steps'!$B125:$AY125,'recurring2_based on steps'!$B$1:$AY$1,T$1)+SUMIFS('changes2_based on steps'!$B125:$U125,'changes2_based on steps'!$B$1:$U$1,T$1)</f>
        <v>0</v>
      </c>
      <c r="U125" s="155">
        <f ca="1">SUMIFS('recurring2_based on steps'!$B125:$AY125,'recurring2_based on steps'!$B$1:$AY$1,U$1)+SUMIFS('changes2_based on steps'!$B125:$U125,'changes2_based on steps'!$B$1:$U$1,U$1)</f>
        <v>0</v>
      </c>
      <c r="V125" s="155">
        <f>SUMIFS('recurring2_based on steps'!$B125:$AY125,'recurring2_based on steps'!$B$1:$AY$1,V$1)+SUMIFS('changes2_based on steps'!$B125:$U125,'changes2_based on steps'!$B$1:$U$1,V$1)</f>
        <v>0</v>
      </c>
      <c r="W125" s="155">
        <f ca="1">SUMIFS('recurring2_based on steps'!$B125:$AY125,'recurring2_based on steps'!$B$1:$AY$1,W$1)+SUMIFS('changes2_based on steps'!$B125:$U125,'changes2_based on steps'!$B$1:$U$1,W$1)</f>
        <v>0</v>
      </c>
      <c r="X125" s="155">
        <f ca="1">SUMIFS('recurring2_based on steps'!$B125:$AY125,'recurring2_based on steps'!$B$1:$AY$1,X$1)+SUMIFS('changes2_based on steps'!$B125:$U125,'changes2_based on steps'!$B$1:$U$1,X$1)</f>
        <v>0</v>
      </c>
      <c r="Y125" s="155">
        <f ca="1">SUMIFS('recurring2_based on steps'!$B125:$AY125,'recurring2_based on steps'!$B$1:$AY$1,Y$1)+SUMIFS('changes2_based on steps'!$B125:$U125,'changes2_based on steps'!$B$1:$U$1,Y$1)</f>
        <v>0</v>
      </c>
      <c r="Z125" s="155">
        <f>SUMIFS('recurring2_based on steps'!$B125:$AY125,'recurring2_based on steps'!$B$1:$AY$1,Z$1)+SUMIFS('changes2_based on steps'!$B125:$U125,'changes2_based on steps'!$B$1:$U$1,Z$1)</f>
        <v>0</v>
      </c>
      <c r="AA125" s="155">
        <f>SUMIFS('recurring2_based on steps'!$B125:$AY125,'recurring2_based on steps'!$B$1:$AY$1,AA$1)+SUMIFS('changes2_based on steps'!$B125:$U125,'changes2_based on steps'!$B$1:$U$1,AA$1)</f>
        <v>0</v>
      </c>
    </row>
    <row r="126" spans="1:27" x14ac:dyDescent="0.2">
      <c r="A126" s="18">
        <f t="shared" ca="1" si="1"/>
        <v>45812</v>
      </c>
      <c r="B126" s="155">
        <f ca="1">SUMIFS('recurring2_based on steps'!$B126:$AY126,'recurring2_based on steps'!$B$1:$AY$1,B$1)+SUMIFS('changes2_based on steps'!$B126:$U126,'changes2_based on steps'!$B$1:$U$1,B$1)</f>
        <v>100</v>
      </c>
      <c r="C126" s="155">
        <f>SUMIFS('recurring2_based on steps'!$B126:$AY126,'recurring2_based on steps'!$B$1:$AY$1,C$1)+SUMIFS('changes2_based on steps'!$B126:$U126,'changes2_based on steps'!$B$1:$U$1,C$1)</f>
        <v>0</v>
      </c>
      <c r="D126" s="155">
        <f>SUMIFS('recurring2_based on steps'!$B126:$AY126,'recurring2_based on steps'!$B$1:$AY$1,D$1)+SUMIFS('changes2_based on steps'!$B126:$U126,'changes2_based on steps'!$B$1:$U$1,D$1)</f>
        <v>0</v>
      </c>
      <c r="E126" s="155">
        <f>SUMIFS('recurring2_based on steps'!$B126:$AY126,'recurring2_based on steps'!$B$1:$AY$1,E$1)+SUMIFS('changes2_based on steps'!$B126:$U126,'changes2_based on steps'!$B$1:$U$1,E$1)</f>
        <v>0</v>
      </c>
      <c r="F126" s="155">
        <f>SUMIFS('recurring2_based on steps'!$B126:$AY126,'recurring2_based on steps'!$B$1:$AY$1,F$1)+SUMIFS('changes2_based on steps'!$B126:$U126,'changes2_based on steps'!$B$1:$U$1,F$1)</f>
        <v>0</v>
      </c>
      <c r="G126" s="155">
        <f>SUMIFS('recurring2_based on steps'!$B126:$AY126,'recurring2_based on steps'!$B$1:$AY$1,G$1)+SUMIFS('changes2_based on steps'!$B126:$U126,'changes2_based on steps'!$B$1:$U$1,G$1)</f>
        <v>0</v>
      </c>
      <c r="H126" s="155">
        <f ca="1">SUMIFS('recurring2_based on steps'!$B126:$AY126,'recurring2_based on steps'!$B$1:$AY$1,H$1)+SUMIFS('changes2_based on steps'!$B126:$U126,'changes2_based on steps'!$B$1:$U$1,H$1)</f>
        <v>0</v>
      </c>
      <c r="I126" s="155">
        <f>SUMIFS('recurring2_based on steps'!$B126:$AY126,'recurring2_based on steps'!$B$1:$AY$1,I$1)+SUMIFS('changes2_based on steps'!$B126:$U126,'changes2_based on steps'!$B$1:$U$1,I$1)</f>
        <v>0</v>
      </c>
      <c r="J126" s="155">
        <f>SUMIFS('recurring2_based on steps'!$B126:$AY126,'recurring2_based on steps'!$B$1:$AY$1,J$1)+SUMIFS('changes2_based on steps'!$B126:$U126,'changes2_based on steps'!$B$1:$U$1,J$1)</f>
        <v>0</v>
      </c>
      <c r="K126" s="155">
        <f>SUMIFS('recurring2_based on steps'!$B126:$AY126,'recurring2_based on steps'!$B$1:$AY$1,K$1)+SUMIFS('changes2_based on steps'!$B126:$U126,'changes2_based on steps'!$B$1:$U$1,K$1)</f>
        <v>0</v>
      </c>
      <c r="L126" s="155">
        <f>SUMIFS('recurring2_based on steps'!$B126:$AY126,'recurring2_based on steps'!$B$1:$AY$1,L$1)+SUMIFS('changes2_based on steps'!$B126:$U126,'changes2_based on steps'!$B$1:$U$1,L$1)</f>
        <v>0</v>
      </c>
      <c r="M126" s="155">
        <f ca="1">SUMIFS('recurring2_based on steps'!$B126:$AY126,'recurring2_based on steps'!$B$1:$AY$1,M$1)+SUMIFS('changes2_based on steps'!$B126:$U126,'changes2_based on steps'!$B$1:$U$1,M$1)</f>
        <v>0</v>
      </c>
      <c r="N126" s="155">
        <f ca="1">SUMIFS('recurring2_based on steps'!$B126:$AY126,'recurring2_based on steps'!$B$1:$AY$1,N$1)+SUMIFS('changes2_based on steps'!$B126:$U126,'changes2_based on steps'!$B$1:$U$1,N$1)</f>
        <v>0</v>
      </c>
      <c r="O126" s="155">
        <f ca="1">SUMIFS('recurring2_based on steps'!$B126:$AY126,'recurring2_based on steps'!$B$1:$AY$1,O$1)+SUMIFS('changes2_based on steps'!$B126:$U126,'changes2_based on steps'!$B$1:$U$1,O$1)</f>
        <v>0</v>
      </c>
      <c r="P126" s="155">
        <f ca="1">SUMIFS('recurring2_based on steps'!$B126:$AY126,'recurring2_based on steps'!$B$1:$AY$1,P$1)+SUMIFS('changes2_based on steps'!$B126:$U126,'changes2_based on steps'!$B$1:$U$1,P$1)</f>
        <v>0</v>
      </c>
      <c r="Q126" s="155">
        <f>SUMIFS('recurring2_based on steps'!$B126:$AY126,'recurring2_based on steps'!$B$1:$AY$1,Q$1)+SUMIFS('changes2_based on steps'!$B126:$U126,'changes2_based on steps'!$B$1:$U$1,Q$1)</f>
        <v>0</v>
      </c>
      <c r="R126" s="155">
        <f ca="1">SUMIFS('recurring2_based on steps'!$B126:$AY126,'recurring2_based on steps'!$B$1:$AY$1,R$1)+SUMIFS('changes2_based on steps'!$B126:$U126,'changes2_based on steps'!$B$1:$U$1,R$1)</f>
        <v>0</v>
      </c>
      <c r="S126" s="155">
        <f ca="1">SUMIFS('recurring2_based on steps'!$B126:$AY126,'recurring2_based on steps'!$B$1:$AY$1,S$1)+SUMIFS('changes2_based on steps'!$B126:$U126,'changes2_based on steps'!$B$1:$U$1,S$1)</f>
        <v>0</v>
      </c>
      <c r="T126" s="155">
        <f>SUMIFS('recurring2_based on steps'!$B126:$AY126,'recurring2_based on steps'!$B$1:$AY$1,T$1)+SUMIFS('changes2_based on steps'!$B126:$U126,'changes2_based on steps'!$B$1:$U$1,T$1)</f>
        <v>0</v>
      </c>
      <c r="U126" s="155">
        <f ca="1">SUMIFS('recurring2_based on steps'!$B126:$AY126,'recurring2_based on steps'!$B$1:$AY$1,U$1)+SUMIFS('changes2_based on steps'!$B126:$U126,'changes2_based on steps'!$B$1:$U$1,U$1)</f>
        <v>15</v>
      </c>
      <c r="V126" s="155">
        <f>SUMIFS('recurring2_based on steps'!$B126:$AY126,'recurring2_based on steps'!$B$1:$AY$1,V$1)+SUMIFS('changes2_based on steps'!$B126:$U126,'changes2_based on steps'!$B$1:$U$1,V$1)</f>
        <v>0</v>
      </c>
      <c r="W126" s="155">
        <f ca="1">SUMIFS('recurring2_based on steps'!$B126:$AY126,'recurring2_based on steps'!$B$1:$AY$1,W$1)+SUMIFS('changes2_based on steps'!$B126:$U126,'changes2_based on steps'!$B$1:$U$1,W$1)</f>
        <v>0</v>
      </c>
      <c r="X126" s="155">
        <f ca="1">SUMIFS('recurring2_based on steps'!$B126:$AY126,'recurring2_based on steps'!$B$1:$AY$1,X$1)+SUMIFS('changes2_based on steps'!$B126:$U126,'changes2_based on steps'!$B$1:$U$1,X$1)</f>
        <v>0</v>
      </c>
      <c r="Y126" s="155">
        <f ca="1">SUMIFS('recurring2_based on steps'!$B126:$AY126,'recurring2_based on steps'!$B$1:$AY$1,Y$1)+SUMIFS('changes2_based on steps'!$B126:$U126,'changes2_based on steps'!$B$1:$U$1,Y$1)</f>
        <v>0</v>
      </c>
      <c r="Z126" s="155">
        <f>SUMIFS('recurring2_based on steps'!$B126:$AY126,'recurring2_based on steps'!$B$1:$AY$1,Z$1)+SUMIFS('changes2_based on steps'!$B126:$U126,'changes2_based on steps'!$B$1:$U$1,Z$1)</f>
        <v>0</v>
      </c>
      <c r="AA126" s="155">
        <f>SUMIFS('recurring2_based on steps'!$B126:$AY126,'recurring2_based on steps'!$B$1:$AY$1,AA$1)+SUMIFS('changes2_based on steps'!$B126:$U126,'changes2_based on steps'!$B$1:$U$1,AA$1)</f>
        <v>0</v>
      </c>
    </row>
    <row r="127" spans="1:27" x14ac:dyDescent="0.2">
      <c r="A127" s="18">
        <f t="shared" ca="1" si="1"/>
        <v>45813</v>
      </c>
      <c r="B127" s="155">
        <f ca="1">SUMIFS('recurring2_based on steps'!$B127:$AY127,'recurring2_based on steps'!$B$1:$AY$1,B$1)+SUMIFS('changes2_based on steps'!$B127:$U127,'changes2_based on steps'!$B$1:$U$1,B$1)</f>
        <v>0</v>
      </c>
      <c r="C127" s="155">
        <f>SUMIFS('recurring2_based on steps'!$B127:$AY127,'recurring2_based on steps'!$B$1:$AY$1,C$1)+SUMIFS('changes2_based on steps'!$B127:$U127,'changes2_based on steps'!$B$1:$U$1,C$1)</f>
        <v>0</v>
      </c>
      <c r="D127" s="155">
        <f>SUMIFS('recurring2_based on steps'!$B127:$AY127,'recurring2_based on steps'!$B$1:$AY$1,D$1)+SUMIFS('changes2_based on steps'!$B127:$U127,'changes2_based on steps'!$B$1:$U$1,D$1)</f>
        <v>0</v>
      </c>
      <c r="E127" s="155">
        <f>SUMIFS('recurring2_based on steps'!$B127:$AY127,'recurring2_based on steps'!$B$1:$AY$1,E$1)+SUMIFS('changes2_based on steps'!$B127:$U127,'changes2_based on steps'!$B$1:$U$1,E$1)</f>
        <v>0</v>
      </c>
      <c r="F127" s="155">
        <f>SUMIFS('recurring2_based on steps'!$B127:$AY127,'recurring2_based on steps'!$B$1:$AY$1,F$1)+SUMIFS('changes2_based on steps'!$B127:$U127,'changes2_based on steps'!$B$1:$U$1,F$1)</f>
        <v>0</v>
      </c>
      <c r="G127" s="155">
        <f>SUMIFS('recurring2_based on steps'!$B127:$AY127,'recurring2_based on steps'!$B$1:$AY$1,G$1)+SUMIFS('changes2_based on steps'!$B127:$U127,'changes2_based on steps'!$B$1:$U$1,G$1)</f>
        <v>0</v>
      </c>
      <c r="H127" s="155">
        <f ca="1">SUMIFS('recurring2_based on steps'!$B127:$AY127,'recurring2_based on steps'!$B$1:$AY$1,H$1)+SUMIFS('changes2_based on steps'!$B127:$U127,'changes2_based on steps'!$B$1:$U$1,H$1)</f>
        <v>0</v>
      </c>
      <c r="I127" s="155">
        <f>SUMIFS('recurring2_based on steps'!$B127:$AY127,'recurring2_based on steps'!$B$1:$AY$1,I$1)+SUMIFS('changes2_based on steps'!$B127:$U127,'changes2_based on steps'!$B$1:$U$1,I$1)</f>
        <v>0</v>
      </c>
      <c r="J127" s="155">
        <f>SUMIFS('recurring2_based on steps'!$B127:$AY127,'recurring2_based on steps'!$B$1:$AY$1,J$1)+SUMIFS('changes2_based on steps'!$B127:$U127,'changes2_based on steps'!$B$1:$U$1,J$1)</f>
        <v>0</v>
      </c>
      <c r="K127" s="155">
        <f>SUMIFS('recurring2_based on steps'!$B127:$AY127,'recurring2_based on steps'!$B$1:$AY$1,K$1)+SUMIFS('changes2_based on steps'!$B127:$U127,'changes2_based on steps'!$B$1:$U$1,K$1)</f>
        <v>0</v>
      </c>
      <c r="L127" s="155">
        <f>SUMIFS('recurring2_based on steps'!$B127:$AY127,'recurring2_based on steps'!$B$1:$AY$1,L$1)+SUMIFS('changes2_based on steps'!$B127:$U127,'changes2_based on steps'!$B$1:$U$1,L$1)</f>
        <v>0</v>
      </c>
      <c r="M127" s="155">
        <f ca="1">SUMIFS('recurring2_based on steps'!$B127:$AY127,'recurring2_based on steps'!$B$1:$AY$1,M$1)+SUMIFS('changes2_based on steps'!$B127:$U127,'changes2_based on steps'!$B$1:$U$1,M$1)</f>
        <v>0</v>
      </c>
      <c r="N127" s="155">
        <f ca="1">SUMIFS('recurring2_based on steps'!$B127:$AY127,'recurring2_based on steps'!$B$1:$AY$1,N$1)+SUMIFS('changes2_based on steps'!$B127:$U127,'changes2_based on steps'!$B$1:$U$1,N$1)</f>
        <v>0</v>
      </c>
      <c r="O127" s="155">
        <f ca="1">SUMIFS('recurring2_based on steps'!$B127:$AY127,'recurring2_based on steps'!$B$1:$AY$1,O$1)+SUMIFS('changes2_based on steps'!$B127:$U127,'changes2_based on steps'!$B$1:$U$1,O$1)</f>
        <v>0</v>
      </c>
      <c r="P127" s="155">
        <f ca="1">SUMIFS('recurring2_based on steps'!$B127:$AY127,'recurring2_based on steps'!$B$1:$AY$1,P$1)+SUMIFS('changes2_based on steps'!$B127:$U127,'changes2_based on steps'!$B$1:$U$1,P$1)</f>
        <v>0</v>
      </c>
      <c r="Q127" s="155">
        <f>SUMIFS('recurring2_based on steps'!$B127:$AY127,'recurring2_based on steps'!$B$1:$AY$1,Q$1)+SUMIFS('changes2_based on steps'!$B127:$U127,'changes2_based on steps'!$B$1:$U$1,Q$1)</f>
        <v>0</v>
      </c>
      <c r="R127" s="155">
        <f ca="1">SUMIFS('recurring2_based on steps'!$B127:$AY127,'recurring2_based on steps'!$B$1:$AY$1,R$1)+SUMIFS('changes2_based on steps'!$B127:$U127,'changes2_based on steps'!$B$1:$U$1,R$1)</f>
        <v>0</v>
      </c>
      <c r="S127" s="155">
        <f ca="1">SUMIFS('recurring2_based on steps'!$B127:$AY127,'recurring2_based on steps'!$B$1:$AY$1,S$1)+SUMIFS('changes2_based on steps'!$B127:$U127,'changes2_based on steps'!$B$1:$U$1,S$1)</f>
        <v>0</v>
      </c>
      <c r="T127" s="155">
        <f>SUMIFS('recurring2_based on steps'!$B127:$AY127,'recurring2_based on steps'!$B$1:$AY$1,T$1)+SUMIFS('changes2_based on steps'!$B127:$U127,'changes2_based on steps'!$B$1:$U$1,T$1)</f>
        <v>0</v>
      </c>
      <c r="U127" s="155">
        <f ca="1">SUMIFS('recurring2_based on steps'!$B127:$AY127,'recurring2_based on steps'!$B$1:$AY$1,U$1)+SUMIFS('changes2_based on steps'!$B127:$U127,'changes2_based on steps'!$B$1:$U$1,U$1)</f>
        <v>0</v>
      </c>
      <c r="V127" s="155">
        <f>SUMIFS('recurring2_based on steps'!$B127:$AY127,'recurring2_based on steps'!$B$1:$AY$1,V$1)+SUMIFS('changes2_based on steps'!$B127:$U127,'changes2_based on steps'!$B$1:$U$1,V$1)</f>
        <v>0</v>
      </c>
      <c r="W127" s="155">
        <f ca="1">SUMIFS('recurring2_based on steps'!$B127:$AY127,'recurring2_based on steps'!$B$1:$AY$1,W$1)+SUMIFS('changes2_based on steps'!$B127:$U127,'changes2_based on steps'!$B$1:$U$1,W$1)</f>
        <v>0</v>
      </c>
      <c r="X127" s="155">
        <f ca="1">SUMIFS('recurring2_based on steps'!$B127:$AY127,'recurring2_based on steps'!$B$1:$AY$1,X$1)+SUMIFS('changes2_based on steps'!$B127:$U127,'changes2_based on steps'!$B$1:$U$1,X$1)</f>
        <v>0</v>
      </c>
      <c r="Y127" s="155">
        <f ca="1">SUMIFS('recurring2_based on steps'!$B127:$AY127,'recurring2_based on steps'!$B$1:$AY$1,Y$1)+SUMIFS('changes2_based on steps'!$B127:$U127,'changes2_based on steps'!$B$1:$U$1,Y$1)</f>
        <v>0</v>
      </c>
      <c r="Z127" s="155">
        <f>SUMIFS('recurring2_based on steps'!$B127:$AY127,'recurring2_based on steps'!$B$1:$AY$1,Z$1)+SUMIFS('changes2_based on steps'!$B127:$U127,'changes2_based on steps'!$B$1:$U$1,Z$1)</f>
        <v>0</v>
      </c>
      <c r="AA127" s="155">
        <f>SUMIFS('recurring2_based on steps'!$B127:$AY127,'recurring2_based on steps'!$B$1:$AY$1,AA$1)+SUMIFS('changes2_based on steps'!$B127:$U127,'changes2_based on steps'!$B$1:$U$1,AA$1)</f>
        <v>0</v>
      </c>
    </row>
    <row r="128" spans="1:27" x14ac:dyDescent="0.2">
      <c r="A128" s="18">
        <f t="shared" ca="1" si="1"/>
        <v>45814</v>
      </c>
      <c r="B128" s="155">
        <f ca="1">SUMIFS('recurring2_based on steps'!$B128:$AY128,'recurring2_based on steps'!$B$1:$AY$1,B$1)+SUMIFS('changes2_based on steps'!$B128:$U128,'changes2_based on steps'!$B$1:$U$1,B$1)</f>
        <v>0</v>
      </c>
      <c r="C128" s="155">
        <f>SUMIFS('recurring2_based on steps'!$B128:$AY128,'recurring2_based on steps'!$B$1:$AY$1,C$1)+SUMIFS('changes2_based on steps'!$B128:$U128,'changes2_based on steps'!$B$1:$U$1,C$1)</f>
        <v>0</v>
      </c>
      <c r="D128" s="155">
        <f>SUMIFS('recurring2_based on steps'!$B128:$AY128,'recurring2_based on steps'!$B$1:$AY$1,D$1)+SUMIFS('changes2_based on steps'!$B128:$U128,'changes2_based on steps'!$B$1:$U$1,D$1)</f>
        <v>0</v>
      </c>
      <c r="E128" s="155">
        <f>SUMIFS('recurring2_based on steps'!$B128:$AY128,'recurring2_based on steps'!$B$1:$AY$1,E$1)+SUMIFS('changes2_based on steps'!$B128:$U128,'changes2_based on steps'!$B$1:$U$1,E$1)</f>
        <v>0</v>
      </c>
      <c r="F128" s="155">
        <f>SUMIFS('recurring2_based on steps'!$B128:$AY128,'recurring2_based on steps'!$B$1:$AY$1,F$1)+SUMIFS('changes2_based on steps'!$B128:$U128,'changes2_based on steps'!$B$1:$U$1,F$1)</f>
        <v>0</v>
      </c>
      <c r="G128" s="155">
        <f>SUMIFS('recurring2_based on steps'!$B128:$AY128,'recurring2_based on steps'!$B$1:$AY$1,G$1)+SUMIFS('changes2_based on steps'!$B128:$U128,'changes2_based on steps'!$B$1:$U$1,G$1)</f>
        <v>0</v>
      </c>
      <c r="H128" s="155">
        <f ca="1">SUMIFS('recurring2_based on steps'!$B128:$AY128,'recurring2_based on steps'!$B$1:$AY$1,H$1)+SUMIFS('changes2_based on steps'!$B128:$U128,'changes2_based on steps'!$B$1:$U$1,H$1)</f>
        <v>0</v>
      </c>
      <c r="I128" s="155">
        <f>SUMIFS('recurring2_based on steps'!$B128:$AY128,'recurring2_based on steps'!$B$1:$AY$1,I$1)+SUMIFS('changes2_based on steps'!$B128:$U128,'changes2_based on steps'!$B$1:$U$1,I$1)</f>
        <v>0</v>
      </c>
      <c r="J128" s="155">
        <f>SUMIFS('recurring2_based on steps'!$B128:$AY128,'recurring2_based on steps'!$B$1:$AY$1,J$1)+SUMIFS('changes2_based on steps'!$B128:$U128,'changes2_based on steps'!$B$1:$U$1,J$1)</f>
        <v>0</v>
      </c>
      <c r="K128" s="155">
        <f>SUMIFS('recurring2_based on steps'!$B128:$AY128,'recurring2_based on steps'!$B$1:$AY$1,K$1)+SUMIFS('changes2_based on steps'!$B128:$U128,'changes2_based on steps'!$B$1:$U$1,K$1)</f>
        <v>0</v>
      </c>
      <c r="L128" s="155">
        <f>SUMIFS('recurring2_based on steps'!$B128:$AY128,'recurring2_based on steps'!$B$1:$AY$1,L$1)+SUMIFS('changes2_based on steps'!$B128:$U128,'changes2_based on steps'!$B$1:$U$1,L$1)</f>
        <v>0</v>
      </c>
      <c r="M128" s="155">
        <f ca="1">SUMIFS('recurring2_based on steps'!$B128:$AY128,'recurring2_based on steps'!$B$1:$AY$1,M$1)+SUMIFS('changes2_based on steps'!$B128:$U128,'changes2_based on steps'!$B$1:$U$1,M$1)</f>
        <v>0</v>
      </c>
      <c r="N128" s="155">
        <f ca="1">SUMIFS('recurring2_based on steps'!$B128:$AY128,'recurring2_based on steps'!$B$1:$AY$1,N$1)+SUMIFS('changes2_based on steps'!$B128:$U128,'changes2_based on steps'!$B$1:$U$1,N$1)</f>
        <v>0</v>
      </c>
      <c r="O128" s="155">
        <f ca="1">SUMIFS('recurring2_based on steps'!$B128:$AY128,'recurring2_based on steps'!$B$1:$AY$1,O$1)+SUMIFS('changes2_based on steps'!$B128:$U128,'changes2_based on steps'!$B$1:$U$1,O$1)</f>
        <v>0</v>
      </c>
      <c r="P128" s="155">
        <f ca="1">SUMIFS('recurring2_based on steps'!$B128:$AY128,'recurring2_based on steps'!$B$1:$AY$1,P$1)+SUMIFS('changes2_based on steps'!$B128:$U128,'changes2_based on steps'!$B$1:$U$1,P$1)</f>
        <v>0</v>
      </c>
      <c r="Q128" s="155">
        <f>SUMIFS('recurring2_based on steps'!$B128:$AY128,'recurring2_based on steps'!$B$1:$AY$1,Q$1)+SUMIFS('changes2_based on steps'!$B128:$U128,'changes2_based on steps'!$B$1:$U$1,Q$1)</f>
        <v>0</v>
      </c>
      <c r="R128" s="155">
        <f ca="1">SUMIFS('recurring2_based on steps'!$B128:$AY128,'recurring2_based on steps'!$B$1:$AY$1,R$1)+SUMIFS('changes2_based on steps'!$B128:$U128,'changes2_based on steps'!$B$1:$U$1,R$1)</f>
        <v>0</v>
      </c>
      <c r="S128" s="155">
        <f ca="1">SUMIFS('recurring2_based on steps'!$B128:$AY128,'recurring2_based on steps'!$B$1:$AY$1,S$1)+SUMIFS('changes2_based on steps'!$B128:$U128,'changes2_based on steps'!$B$1:$U$1,S$1)</f>
        <v>0</v>
      </c>
      <c r="T128" s="155">
        <f>SUMIFS('recurring2_based on steps'!$B128:$AY128,'recurring2_based on steps'!$B$1:$AY$1,T$1)+SUMIFS('changes2_based on steps'!$B128:$U128,'changes2_based on steps'!$B$1:$U$1,T$1)</f>
        <v>0</v>
      </c>
      <c r="U128" s="155">
        <f ca="1">SUMIFS('recurring2_based on steps'!$B128:$AY128,'recurring2_based on steps'!$B$1:$AY$1,U$1)+SUMIFS('changes2_based on steps'!$B128:$U128,'changes2_based on steps'!$B$1:$U$1,U$1)</f>
        <v>0</v>
      </c>
      <c r="V128" s="155">
        <f>SUMIFS('recurring2_based on steps'!$B128:$AY128,'recurring2_based on steps'!$B$1:$AY$1,V$1)+SUMIFS('changes2_based on steps'!$B128:$U128,'changes2_based on steps'!$B$1:$U$1,V$1)</f>
        <v>0</v>
      </c>
      <c r="W128" s="155">
        <f ca="1">SUMIFS('recurring2_based on steps'!$B128:$AY128,'recurring2_based on steps'!$B$1:$AY$1,W$1)+SUMIFS('changes2_based on steps'!$B128:$U128,'changes2_based on steps'!$B$1:$U$1,W$1)</f>
        <v>0</v>
      </c>
      <c r="X128" s="155">
        <f ca="1">SUMIFS('recurring2_based on steps'!$B128:$AY128,'recurring2_based on steps'!$B$1:$AY$1,X$1)+SUMIFS('changes2_based on steps'!$B128:$U128,'changes2_based on steps'!$B$1:$U$1,X$1)</f>
        <v>0</v>
      </c>
      <c r="Y128" s="155">
        <f ca="1">SUMIFS('recurring2_based on steps'!$B128:$AY128,'recurring2_based on steps'!$B$1:$AY$1,Y$1)+SUMIFS('changes2_based on steps'!$B128:$U128,'changes2_based on steps'!$B$1:$U$1,Y$1)</f>
        <v>0</v>
      </c>
      <c r="Z128" s="155">
        <f>SUMIFS('recurring2_based on steps'!$B128:$AY128,'recurring2_based on steps'!$B$1:$AY$1,Z$1)+SUMIFS('changes2_based on steps'!$B128:$U128,'changes2_based on steps'!$B$1:$U$1,Z$1)</f>
        <v>0</v>
      </c>
      <c r="AA128" s="155">
        <f>SUMIFS('recurring2_based on steps'!$B128:$AY128,'recurring2_based on steps'!$B$1:$AY$1,AA$1)+SUMIFS('changes2_based on steps'!$B128:$U128,'changes2_based on steps'!$B$1:$U$1,AA$1)</f>
        <v>0</v>
      </c>
    </row>
    <row r="129" spans="1:27" x14ac:dyDescent="0.2">
      <c r="A129" s="18">
        <f t="shared" ca="1" si="1"/>
        <v>45815</v>
      </c>
      <c r="B129" s="155">
        <f ca="1">SUMIFS('recurring2_based on steps'!$B129:$AY129,'recurring2_based on steps'!$B$1:$AY$1,B$1)+SUMIFS('changes2_based on steps'!$B129:$U129,'changes2_based on steps'!$B$1:$U$1,B$1)</f>
        <v>0</v>
      </c>
      <c r="C129" s="155">
        <f>SUMIFS('recurring2_based on steps'!$B129:$AY129,'recurring2_based on steps'!$B$1:$AY$1,C$1)+SUMIFS('changes2_based on steps'!$B129:$U129,'changes2_based on steps'!$B$1:$U$1,C$1)</f>
        <v>0</v>
      </c>
      <c r="D129" s="155">
        <f>SUMIFS('recurring2_based on steps'!$B129:$AY129,'recurring2_based on steps'!$B$1:$AY$1,D$1)+SUMIFS('changes2_based on steps'!$B129:$U129,'changes2_based on steps'!$B$1:$U$1,D$1)</f>
        <v>0</v>
      </c>
      <c r="E129" s="155">
        <f>SUMIFS('recurring2_based on steps'!$B129:$AY129,'recurring2_based on steps'!$B$1:$AY$1,E$1)+SUMIFS('changes2_based on steps'!$B129:$U129,'changes2_based on steps'!$B$1:$U$1,E$1)</f>
        <v>0</v>
      </c>
      <c r="F129" s="155">
        <f>SUMIFS('recurring2_based on steps'!$B129:$AY129,'recurring2_based on steps'!$B$1:$AY$1,F$1)+SUMIFS('changes2_based on steps'!$B129:$U129,'changes2_based on steps'!$B$1:$U$1,F$1)</f>
        <v>0</v>
      </c>
      <c r="G129" s="155">
        <f>SUMIFS('recurring2_based on steps'!$B129:$AY129,'recurring2_based on steps'!$B$1:$AY$1,G$1)+SUMIFS('changes2_based on steps'!$B129:$U129,'changes2_based on steps'!$B$1:$U$1,G$1)</f>
        <v>0</v>
      </c>
      <c r="H129" s="155">
        <f ca="1">SUMIFS('recurring2_based on steps'!$B129:$AY129,'recurring2_based on steps'!$B$1:$AY$1,H$1)+SUMIFS('changes2_based on steps'!$B129:$U129,'changes2_based on steps'!$B$1:$U$1,H$1)</f>
        <v>0</v>
      </c>
      <c r="I129" s="155">
        <f>SUMIFS('recurring2_based on steps'!$B129:$AY129,'recurring2_based on steps'!$B$1:$AY$1,I$1)+SUMIFS('changes2_based on steps'!$B129:$U129,'changes2_based on steps'!$B$1:$U$1,I$1)</f>
        <v>0</v>
      </c>
      <c r="J129" s="155">
        <f>SUMIFS('recurring2_based on steps'!$B129:$AY129,'recurring2_based on steps'!$B$1:$AY$1,J$1)+SUMIFS('changes2_based on steps'!$B129:$U129,'changes2_based on steps'!$B$1:$U$1,J$1)</f>
        <v>0</v>
      </c>
      <c r="K129" s="155">
        <f>SUMIFS('recurring2_based on steps'!$B129:$AY129,'recurring2_based on steps'!$B$1:$AY$1,K$1)+SUMIFS('changes2_based on steps'!$B129:$U129,'changes2_based on steps'!$B$1:$U$1,K$1)</f>
        <v>0</v>
      </c>
      <c r="L129" s="155">
        <f>SUMIFS('recurring2_based on steps'!$B129:$AY129,'recurring2_based on steps'!$B$1:$AY$1,L$1)+SUMIFS('changes2_based on steps'!$B129:$U129,'changes2_based on steps'!$B$1:$U$1,L$1)</f>
        <v>0</v>
      </c>
      <c r="M129" s="155">
        <f ca="1">SUMIFS('recurring2_based on steps'!$B129:$AY129,'recurring2_based on steps'!$B$1:$AY$1,M$1)+SUMIFS('changes2_based on steps'!$B129:$U129,'changes2_based on steps'!$B$1:$U$1,M$1)</f>
        <v>0</v>
      </c>
      <c r="N129" s="155">
        <f ca="1">SUMIFS('recurring2_based on steps'!$B129:$AY129,'recurring2_based on steps'!$B$1:$AY$1,N$1)+SUMIFS('changes2_based on steps'!$B129:$U129,'changes2_based on steps'!$B$1:$U$1,N$1)</f>
        <v>0</v>
      </c>
      <c r="O129" s="155">
        <f ca="1">SUMIFS('recurring2_based on steps'!$B129:$AY129,'recurring2_based on steps'!$B$1:$AY$1,O$1)+SUMIFS('changes2_based on steps'!$B129:$U129,'changes2_based on steps'!$B$1:$U$1,O$1)</f>
        <v>0</v>
      </c>
      <c r="P129" s="155">
        <f ca="1">SUMIFS('recurring2_based on steps'!$B129:$AY129,'recurring2_based on steps'!$B$1:$AY$1,P$1)+SUMIFS('changes2_based on steps'!$B129:$U129,'changes2_based on steps'!$B$1:$U$1,P$1)</f>
        <v>0</v>
      </c>
      <c r="Q129" s="155">
        <f>SUMIFS('recurring2_based on steps'!$B129:$AY129,'recurring2_based on steps'!$B$1:$AY$1,Q$1)+SUMIFS('changes2_based on steps'!$B129:$U129,'changes2_based on steps'!$B$1:$U$1,Q$1)</f>
        <v>0</v>
      </c>
      <c r="R129" s="155">
        <f ca="1">SUMIFS('recurring2_based on steps'!$B129:$AY129,'recurring2_based on steps'!$B$1:$AY$1,R$1)+SUMIFS('changes2_based on steps'!$B129:$U129,'changes2_based on steps'!$B$1:$U$1,R$1)</f>
        <v>100</v>
      </c>
      <c r="S129" s="155">
        <f ca="1">SUMIFS('recurring2_based on steps'!$B129:$AY129,'recurring2_based on steps'!$B$1:$AY$1,S$1)+SUMIFS('changes2_based on steps'!$B129:$U129,'changes2_based on steps'!$B$1:$U$1,S$1)</f>
        <v>100</v>
      </c>
      <c r="T129" s="155">
        <f>SUMIFS('recurring2_based on steps'!$B129:$AY129,'recurring2_based on steps'!$B$1:$AY$1,T$1)+SUMIFS('changes2_based on steps'!$B129:$U129,'changes2_based on steps'!$B$1:$U$1,T$1)</f>
        <v>0</v>
      </c>
      <c r="U129" s="155">
        <f ca="1">SUMIFS('recurring2_based on steps'!$B129:$AY129,'recurring2_based on steps'!$B$1:$AY$1,U$1)+SUMIFS('changes2_based on steps'!$B129:$U129,'changes2_based on steps'!$B$1:$U$1,U$1)</f>
        <v>0</v>
      </c>
      <c r="V129" s="155">
        <f>SUMIFS('recurring2_based on steps'!$B129:$AY129,'recurring2_based on steps'!$B$1:$AY$1,V$1)+SUMIFS('changes2_based on steps'!$B129:$U129,'changes2_based on steps'!$B$1:$U$1,V$1)</f>
        <v>0</v>
      </c>
      <c r="W129" s="155">
        <f ca="1">SUMIFS('recurring2_based on steps'!$B129:$AY129,'recurring2_based on steps'!$B$1:$AY$1,W$1)+SUMIFS('changes2_based on steps'!$B129:$U129,'changes2_based on steps'!$B$1:$U$1,W$1)</f>
        <v>0</v>
      </c>
      <c r="X129" s="155">
        <f ca="1">SUMIFS('recurring2_based on steps'!$B129:$AY129,'recurring2_based on steps'!$B$1:$AY$1,X$1)+SUMIFS('changes2_based on steps'!$B129:$U129,'changes2_based on steps'!$B$1:$U$1,X$1)</f>
        <v>0</v>
      </c>
      <c r="Y129" s="155">
        <f ca="1">SUMIFS('recurring2_based on steps'!$B129:$AY129,'recurring2_based on steps'!$B$1:$AY$1,Y$1)+SUMIFS('changes2_based on steps'!$B129:$U129,'changes2_based on steps'!$B$1:$U$1,Y$1)</f>
        <v>0</v>
      </c>
      <c r="Z129" s="155">
        <f>SUMIFS('recurring2_based on steps'!$B129:$AY129,'recurring2_based on steps'!$B$1:$AY$1,Z$1)+SUMIFS('changes2_based on steps'!$B129:$U129,'changes2_based on steps'!$B$1:$U$1,Z$1)</f>
        <v>0</v>
      </c>
      <c r="AA129" s="155">
        <f>SUMIFS('recurring2_based on steps'!$B129:$AY129,'recurring2_based on steps'!$B$1:$AY$1,AA$1)+SUMIFS('changes2_based on steps'!$B129:$U129,'changes2_based on steps'!$B$1:$U$1,AA$1)</f>
        <v>0</v>
      </c>
    </row>
    <row r="130" spans="1:27" x14ac:dyDescent="0.2">
      <c r="A130" s="18">
        <f t="shared" ca="1" si="1"/>
        <v>45816</v>
      </c>
      <c r="B130" s="155">
        <f ca="1">SUMIFS('recurring2_based on steps'!$B130:$AY130,'recurring2_based on steps'!$B$1:$AY$1,B$1)+SUMIFS('changes2_based on steps'!$B130:$U130,'changes2_based on steps'!$B$1:$U$1,B$1)</f>
        <v>0</v>
      </c>
      <c r="C130" s="155">
        <f>SUMIFS('recurring2_based on steps'!$B130:$AY130,'recurring2_based on steps'!$B$1:$AY$1,C$1)+SUMIFS('changes2_based on steps'!$B130:$U130,'changes2_based on steps'!$B$1:$U$1,C$1)</f>
        <v>0</v>
      </c>
      <c r="D130" s="155">
        <f>SUMIFS('recurring2_based on steps'!$B130:$AY130,'recurring2_based on steps'!$B$1:$AY$1,D$1)+SUMIFS('changes2_based on steps'!$B130:$U130,'changes2_based on steps'!$B$1:$U$1,D$1)</f>
        <v>0</v>
      </c>
      <c r="E130" s="155">
        <f>SUMIFS('recurring2_based on steps'!$B130:$AY130,'recurring2_based on steps'!$B$1:$AY$1,E$1)+SUMIFS('changes2_based on steps'!$B130:$U130,'changes2_based on steps'!$B$1:$U$1,E$1)</f>
        <v>0</v>
      </c>
      <c r="F130" s="155">
        <f>SUMIFS('recurring2_based on steps'!$B130:$AY130,'recurring2_based on steps'!$B$1:$AY$1,F$1)+SUMIFS('changes2_based on steps'!$B130:$U130,'changes2_based on steps'!$B$1:$U$1,F$1)</f>
        <v>0</v>
      </c>
      <c r="G130" s="155">
        <f>SUMIFS('recurring2_based on steps'!$B130:$AY130,'recurring2_based on steps'!$B$1:$AY$1,G$1)+SUMIFS('changes2_based on steps'!$B130:$U130,'changes2_based on steps'!$B$1:$U$1,G$1)</f>
        <v>0</v>
      </c>
      <c r="H130" s="155">
        <f ca="1">SUMIFS('recurring2_based on steps'!$B130:$AY130,'recurring2_based on steps'!$B$1:$AY$1,H$1)+SUMIFS('changes2_based on steps'!$B130:$U130,'changes2_based on steps'!$B$1:$U$1,H$1)</f>
        <v>0</v>
      </c>
      <c r="I130" s="155">
        <f>SUMIFS('recurring2_based on steps'!$B130:$AY130,'recurring2_based on steps'!$B$1:$AY$1,I$1)+SUMIFS('changes2_based on steps'!$B130:$U130,'changes2_based on steps'!$B$1:$U$1,I$1)</f>
        <v>0</v>
      </c>
      <c r="J130" s="155">
        <f>SUMIFS('recurring2_based on steps'!$B130:$AY130,'recurring2_based on steps'!$B$1:$AY$1,J$1)+SUMIFS('changes2_based on steps'!$B130:$U130,'changes2_based on steps'!$B$1:$U$1,J$1)</f>
        <v>0</v>
      </c>
      <c r="K130" s="155">
        <f>SUMIFS('recurring2_based on steps'!$B130:$AY130,'recurring2_based on steps'!$B$1:$AY$1,K$1)+SUMIFS('changes2_based on steps'!$B130:$U130,'changes2_based on steps'!$B$1:$U$1,K$1)</f>
        <v>0</v>
      </c>
      <c r="L130" s="155">
        <f>SUMIFS('recurring2_based on steps'!$B130:$AY130,'recurring2_based on steps'!$B$1:$AY$1,L$1)+SUMIFS('changes2_based on steps'!$B130:$U130,'changes2_based on steps'!$B$1:$U$1,L$1)</f>
        <v>0</v>
      </c>
      <c r="M130" s="155">
        <f ca="1">SUMIFS('recurring2_based on steps'!$B130:$AY130,'recurring2_based on steps'!$B$1:$AY$1,M$1)+SUMIFS('changes2_based on steps'!$B130:$U130,'changes2_based on steps'!$B$1:$U$1,M$1)</f>
        <v>0</v>
      </c>
      <c r="N130" s="155">
        <f ca="1">SUMIFS('recurring2_based on steps'!$B130:$AY130,'recurring2_based on steps'!$B$1:$AY$1,N$1)+SUMIFS('changes2_based on steps'!$B130:$U130,'changes2_based on steps'!$B$1:$U$1,N$1)</f>
        <v>50</v>
      </c>
      <c r="O130" s="155">
        <f ca="1">SUMIFS('recurring2_based on steps'!$B130:$AY130,'recurring2_based on steps'!$B$1:$AY$1,O$1)+SUMIFS('changes2_based on steps'!$B130:$U130,'changes2_based on steps'!$B$1:$U$1,O$1)</f>
        <v>0</v>
      </c>
      <c r="P130" s="155">
        <f ca="1">SUMIFS('recurring2_based on steps'!$B130:$AY130,'recurring2_based on steps'!$B$1:$AY$1,P$1)+SUMIFS('changes2_based on steps'!$B130:$U130,'changes2_based on steps'!$B$1:$U$1,P$1)</f>
        <v>0</v>
      </c>
      <c r="Q130" s="155">
        <f>SUMIFS('recurring2_based on steps'!$B130:$AY130,'recurring2_based on steps'!$B$1:$AY$1,Q$1)+SUMIFS('changes2_based on steps'!$B130:$U130,'changes2_based on steps'!$B$1:$U$1,Q$1)</f>
        <v>0</v>
      </c>
      <c r="R130" s="155">
        <f ca="1">SUMIFS('recurring2_based on steps'!$B130:$AY130,'recurring2_based on steps'!$B$1:$AY$1,R$1)+SUMIFS('changes2_based on steps'!$B130:$U130,'changes2_based on steps'!$B$1:$U$1,R$1)</f>
        <v>0</v>
      </c>
      <c r="S130" s="155">
        <f ca="1">SUMIFS('recurring2_based on steps'!$B130:$AY130,'recurring2_based on steps'!$B$1:$AY$1,S$1)+SUMIFS('changes2_based on steps'!$B130:$U130,'changes2_based on steps'!$B$1:$U$1,S$1)</f>
        <v>100</v>
      </c>
      <c r="T130" s="155">
        <f>SUMIFS('recurring2_based on steps'!$B130:$AY130,'recurring2_based on steps'!$B$1:$AY$1,T$1)+SUMIFS('changes2_based on steps'!$B130:$U130,'changes2_based on steps'!$B$1:$U$1,T$1)</f>
        <v>0</v>
      </c>
      <c r="U130" s="155">
        <f ca="1">SUMIFS('recurring2_based on steps'!$B130:$AY130,'recurring2_based on steps'!$B$1:$AY$1,U$1)+SUMIFS('changes2_based on steps'!$B130:$U130,'changes2_based on steps'!$B$1:$U$1,U$1)</f>
        <v>0</v>
      </c>
      <c r="V130" s="155">
        <f>SUMIFS('recurring2_based on steps'!$B130:$AY130,'recurring2_based on steps'!$B$1:$AY$1,V$1)+SUMIFS('changes2_based on steps'!$B130:$U130,'changes2_based on steps'!$B$1:$U$1,V$1)</f>
        <v>0</v>
      </c>
      <c r="W130" s="155">
        <f ca="1">SUMIFS('recurring2_based on steps'!$B130:$AY130,'recurring2_based on steps'!$B$1:$AY$1,W$1)+SUMIFS('changes2_based on steps'!$B130:$U130,'changes2_based on steps'!$B$1:$U$1,W$1)</f>
        <v>0</v>
      </c>
      <c r="X130" s="155">
        <f ca="1">SUMIFS('recurring2_based on steps'!$B130:$AY130,'recurring2_based on steps'!$B$1:$AY$1,X$1)+SUMIFS('changes2_based on steps'!$B130:$U130,'changes2_based on steps'!$B$1:$U$1,X$1)</f>
        <v>0</v>
      </c>
      <c r="Y130" s="155">
        <f ca="1">SUMIFS('recurring2_based on steps'!$B130:$AY130,'recurring2_based on steps'!$B$1:$AY$1,Y$1)+SUMIFS('changes2_based on steps'!$B130:$U130,'changes2_based on steps'!$B$1:$U$1,Y$1)</f>
        <v>0</v>
      </c>
      <c r="Z130" s="155">
        <f>SUMIFS('recurring2_based on steps'!$B130:$AY130,'recurring2_based on steps'!$B$1:$AY$1,Z$1)+SUMIFS('changes2_based on steps'!$B130:$U130,'changes2_based on steps'!$B$1:$U$1,Z$1)</f>
        <v>0</v>
      </c>
      <c r="AA130" s="155">
        <f>SUMIFS('recurring2_based on steps'!$B130:$AY130,'recurring2_based on steps'!$B$1:$AY$1,AA$1)+SUMIFS('changes2_based on steps'!$B130:$U130,'changes2_based on steps'!$B$1:$U$1,AA$1)</f>
        <v>0</v>
      </c>
    </row>
    <row r="131" spans="1:27" x14ac:dyDescent="0.2">
      <c r="A131" s="18">
        <f t="shared" ca="1" si="1"/>
        <v>45817</v>
      </c>
      <c r="B131" s="155">
        <f ca="1">SUMIFS('recurring2_based on steps'!$B131:$AY131,'recurring2_based on steps'!$B$1:$AY$1,B$1)+SUMIFS('changes2_based on steps'!$B131:$U131,'changes2_based on steps'!$B$1:$U$1,B$1)</f>
        <v>0</v>
      </c>
      <c r="C131" s="155">
        <f>SUMIFS('recurring2_based on steps'!$B131:$AY131,'recurring2_based on steps'!$B$1:$AY$1,C$1)+SUMIFS('changes2_based on steps'!$B131:$U131,'changes2_based on steps'!$B$1:$U$1,C$1)</f>
        <v>0</v>
      </c>
      <c r="D131" s="155">
        <f>SUMIFS('recurring2_based on steps'!$B131:$AY131,'recurring2_based on steps'!$B$1:$AY$1,D$1)+SUMIFS('changes2_based on steps'!$B131:$U131,'changes2_based on steps'!$B$1:$U$1,D$1)</f>
        <v>0</v>
      </c>
      <c r="E131" s="155">
        <f>SUMIFS('recurring2_based on steps'!$B131:$AY131,'recurring2_based on steps'!$B$1:$AY$1,E$1)+SUMIFS('changes2_based on steps'!$B131:$U131,'changes2_based on steps'!$B$1:$U$1,E$1)</f>
        <v>0</v>
      </c>
      <c r="F131" s="155">
        <f>SUMIFS('recurring2_based on steps'!$B131:$AY131,'recurring2_based on steps'!$B$1:$AY$1,F$1)+SUMIFS('changes2_based on steps'!$B131:$U131,'changes2_based on steps'!$B$1:$U$1,F$1)</f>
        <v>0</v>
      </c>
      <c r="G131" s="155">
        <f>SUMIFS('recurring2_based on steps'!$B131:$AY131,'recurring2_based on steps'!$B$1:$AY$1,G$1)+SUMIFS('changes2_based on steps'!$B131:$U131,'changes2_based on steps'!$B$1:$U$1,G$1)</f>
        <v>0</v>
      </c>
      <c r="H131" s="155">
        <f ca="1">SUMIFS('recurring2_based on steps'!$B131:$AY131,'recurring2_based on steps'!$B$1:$AY$1,H$1)+SUMIFS('changes2_based on steps'!$B131:$U131,'changes2_based on steps'!$B$1:$U$1,H$1)</f>
        <v>0</v>
      </c>
      <c r="I131" s="155">
        <f>SUMIFS('recurring2_based on steps'!$B131:$AY131,'recurring2_based on steps'!$B$1:$AY$1,I$1)+SUMIFS('changes2_based on steps'!$B131:$U131,'changes2_based on steps'!$B$1:$U$1,I$1)</f>
        <v>0</v>
      </c>
      <c r="J131" s="155">
        <f>SUMIFS('recurring2_based on steps'!$B131:$AY131,'recurring2_based on steps'!$B$1:$AY$1,J$1)+SUMIFS('changes2_based on steps'!$B131:$U131,'changes2_based on steps'!$B$1:$U$1,J$1)</f>
        <v>0</v>
      </c>
      <c r="K131" s="155">
        <f>SUMIFS('recurring2_based on steps'!$B131:$AY131,'recurring2_based on steps'!$B$1:$AY$1,K$1)+SUMIFS('changes2_based on steps'!$B131:$U131,'changes2_based on steps'!$B$1:$U$1,K$1)</f>
        <v>0</v>
      </c>
      <c r="L131" s="155">
        <f>SUMIFS('recurring2_based on steps'!$B131:$AY131,'recurring2_based on steps'!$B$1:$AY$1,L$1)+SUMIFS('changes2_based on steps'!$B131:$U131,'changes2_based on steps'!$B$1:$U$1,L$1)</f>
        <v>0</v>
      </c>
      <c r="M131" s="155">
        <f ca="1">SUMIFS('recurring2_based on steps'!$B131:$AY131,'recurring2_based on steps'!$B$1:$AY$1,M$1)+SUMIFS('changes2_based on steps'!$B131:$U131,'changes2_based on steps'!$B$1:$U$1,M$1)</f>
        <v>0</v>
      </c>
      <c r="N131" s="155">
        <f ca="1">SUMIFS('recurring2_based on steps'!$B131:$AY131,'recurring2_based on steps'!$B$1:$AY$1,N$1)+SUMIFS('changes2_based on steps'!$B131:$U131,'changes2_based on steps'!$B$1:$U$1,N$1)</f>
        <v>0</v>
      </c>
      <c r="O131" s="155">
        <f ca="1">SUMIFS('recurring2_based on steps'!$B131:$AY131,'recurring2_based on steps'!$B$1:$AY$1,O$1)+SUMIFS('changes2_based on steps'!$B131:$U131,'changes2_based on steps'!$B$1:$U$1,O$1)</f>
        <v>0</v>
      </c>
      <c r="P131" s="155">
        <f ca="1">SUMIFS('recurring2_based on steps'!$B131:$AY131,'recurring2_based on steps'!$B$1:$AY$1,P$1)+SUMIFS('changes2_based on steps'!$B131:$U131,'changes2_based on steps'!$B$1:$U$1,P$1)</f>
        <v>50</v>
      </c>
      <c r="Q131" s="155">
        <f>SUMIFS('recurring2_based on steps'!$B131:$AY131,'recurring2_based on steps'!$B$1:$AY$1,Q$1)+SUMIFS('changes2_based on steps'!$B131:$U131,'changes2_based on steps'!$B$1:$U$1,Q$1)</f>
        <v>0</v>
      </c>
      <c r="R131" s="155">
        <f ca="1">SUMIFS('recurring2_based on steps'!$B131:$AY131,'recurring2_based on steps'!$B$1:$AY$1,R$1)+SUMIFS('changes2_based on steps'!$B131:$U131,'changes2_based on steps'!$B$1:$U$1,R$1)</f>
        <v>0</v>
      </c>
      <c r="S131" s="155">
        <f ca="1">SUMIFS('recurring2_based on steps'!$B131:$AY131,'recurring2_based on steps'!$B$1:$AY$1,S$1)+SUMIFS('changes2_based on steps'!$B131:$U131,'changes2_based on steps'!$B$1:$U$1,S$1)</f>
        <v>0</v>
      </c>
      <c r="T131" s="155">
        <f>SUMIFS('recurring2_based on steps'!$B131:$AY131,'recurring2_based on steps'!$B$1:$AY$1,T$1)+SUMIFS('changes2_based on steps'!$B131:$U131,'changes2_based on steps'!$B$1:$U$1,T$1)</f>
        <v>0</v>
      </c>
      <c r="U131" s="155">
        <f ca="1">SUMIFS('recurring2_based on steps'!$B131:$AY131,'recurring2_based on steps'!$B$1:$AY$1,U$1)+SUMIFS('changes2_based on steps'!$B131:$U131,'changes2_based on steps'!$B$1:$U$1,U$1)</f>
        <v>0</v>
      </c>
      <c r="V131" s="155">
        <f>SUMIFS('recurring2_based on steps'!$B131:$AY131,'recurring2_based on steps'!$B$1:$AY$1,V$1)+SUMIFS('changes2_based on steps'!$B131:$U131,'changes2_based on steps'!$B$1:$U$1,V$1)</f>
        <v>0</v>
      </c>
      <c r="W131" s="155">
        <f ca="1">SUMIFS('recurring2_based on steps'!$B131:$AY131,'recurring2_based on steps'!$B$1:$AY$1,W$1)+SUMIFS('changes2_based on steps'!$B131:$U131,'changes2_based on steps'!$B$1:$U$1,W$1)</f>
        <v>0</v>
      </c>
      <c r="X131" s="155">
        <f ca="1">SUMIFS('recurring2_based on steps'!$B131:$AY131,'recurring2_based on steps'!$B$1:$AY$1,X$1)+SUMIFS('changes2_based on steps'!$B131:$U131,'changes2_based on steps'!$B$1:$U$1,X$1)</f>
        <v>0</v>
      </c>
      <c r="Y131" s="155">
        <f ca="1">SUMIFS('recurring2_based on steps'!$B131:$AY131,'recurring2_based on steps'!$B$1:$AY$1,Y$1)+SUMIFS('changes2_based on steps'!$B131:$U131,'changes2_based on steps'!$B$1:$U$1,Y$1)</f>
        <v>0</v>
      </c>
      <c r="Z131" s="155">
        <f>SUMIFS('recurring2_based on steps'!$B131:$AY131,'recurring2_based on steps'!$B$1:$AY$1,Z$1)+SUMIFS('changes2_based on steps'!$B131:$U131,'changes2_based on steps'!$B$1:$U$1,Z$1)</f>
        <v>0</v>
      </c>
      <c r="AA131" s="155">
        <f>SUMIFS('recurring2_based on steps'!$B131:$AY131,'recurring2_based on steps'!$B$1:$AY$1,AA$1)+SUMIFS('changes2_based on steps'!$B131:$U131,'changes2_based on steps'!$B$1:$U$1,AA$1)</f>
        <v>0</v>
      </c>
    </row>
    <row r="132" spans="1:27" x14ac:dyDescent="0.2">
      <c r="A132" s="18">
        <f t="shared" ca="1" si="1"/>
        <v>45818</v>
      </c>
      <c r="B132" s="155">
        <f ca="1">SUMIFS('recurring2_based on steps'!$B132:$AY132,'recurring2_based on steps'!$B$1:$AY$1,B$1)+SUMIFS('changes2_based on steps'!$B132:$U132,'changes2_based on steps'!$B$1:$U$1,B$1)</f>
        <v>0</v>
      </c>
      <c r="C132" s="155">
        <f>SUMIFS('recurring2_based on steps'!$B132:$AY132,'recurring2_based on steps'!$B$1:$AY$1,C$1)+SUMIFS('changes2_based on steps'!$B132:$U132,'changes2_based on steps'!$B$1:$U$1,C$1)</f>
        <v>0</v>
      </c>
      <c r="D132" s="155">
        <f>SUMIFS('recurring2_based on steps'!$B132:$AY132,'recurring2_based on steps'!$B$1:$AY$1,D$1)+SUMIFS('changes2_based on steps'!$B132:$U132,'changes2_based on steps'!$B$1:$U$1,D$1)</f>
        <v>0</v>
      </c>
      <c r="E132" s="155">
        <f>SUMIFS('recurring2_based on steps'!$B132:$AY132,'recurring2_based on steps'!$B$1:$AY$1,E$1)+SUMIFS('changes2_based on steps'!$B132:$U132,'changes2_based on steps'!$B$1:$U$1,E$1)</f>
        <v>0</v>
      </c>
      <c r="F132" s="155">
        <f>SUMIFS('recurring2_based on steps'!$B132:$AY132,'recurring2_based on steps'!$B$1:$AY$1,F$1)+SUMIFS('changes2_based on steps'!$B132:$U132,'changes2_based on steps'!$B$1:$U$1,F$1)</f>
        <v>0</v>
      </c>
      <c r="G132" s="155">
        <f>SUMIFS('recurring2_based on steps'!$B132:$AY132,'recurring2_based on steps'!$B$1:$AY$1,G$1)+SUMIFS('changes2_based on steps'!$B132:$U132,'changes2_based on steps'!$B$1:$U$1,G$1)</f>
        <v>0</v>
      </c>
      <c r="H132" s="155">
        <f ca="1">SUMIFS('recurring2_based on steps'!$B132:$AY132,'recurring2_based on steps'!$B$1:$AY$1,H$1)+SUMIFS('changes2_based on steps'!$B132:$U132,'changes2_based on steps'!$B$1:$U$1,H$1)</f>
        <v>0</v>
      </c>
      <c r="I132" s="155">
        <f>SUMIFS('recurring2_based on steps'!$B132:$AY132,'recurring2_based on steps'!$B$1:$AY$1,I$1)+SUMIFS('changes2_based on steps'!$B132:$U132,'changes2_based on steps'!$B$1:$U$1,I$1)</f>
        <v>0</v>
      </c>
      <c r="J132" s="155">
        <f>SUMIFS('recurring2_based on steps'!$B132:$AY132,'recurring2_based on steps'!$B$1:$AY$1,J$1)+SUMIFS('changes2_based on steps'!$B132:$U132,'changes2_based on steps'!$B$1:$U$1,J$1)</f>
        <v>0</v>
      </c>
      <c r="K132" s="155">
        <f>SUMIFS('recurring2_based on steps'!$B132:$AY132,'recurring2_based on steps'!$B$1:$AY$1,K$1)+SUMIFS('changes2_based on steps'!$B132:$U132,'changes2_based on steps'!$B$1:$U$1,K$1)</f>
        <v>0</v>
      </c>
      <c r="L132" s="155">
        <f>SUMIFS('recurring2_based on steps'!$B132:$AY132,'recurring2_based on steps'!$B$1:$AY$1,L$1)+SUMIFS('changes2_based on steps'!$B132:$U132,'changes2_based on steps'!$B$1:$U$1,L$1)</f>
        <v>0</v>
      </c>
      <c r="M132" s="155">
        <f ca="1">SUMIFS('recurring2_based on steps'!$B132:$AY132,'recurring2_based on steps'!$B$1:$AY$1,M$1)+SUMIFS('changes2_based on steps'!$B132:$U132,'changes2_based on steps'!$B$1:$U$1,M$1)</f>
        <v>0</v>
      </c>
      <c r="N132" s="155">
        <f ca="1">SUMIFS('recurring2_based on steps'!$B132:$AY132,'recurring2_based on steps'!$B$1:$AY$1,N$1)+SUMIFS('changes2_based on steps'!$B132:$U132,'changes2_based on steps'!$B$1:$U$1,N$1)</f>
        <v>0</v>
      </c>
      <c r="O132" s="155">
        <f ca="1">SUMIFS('recurring2_based on steps'!$B132:$AY132,'recurring2_based on steps'!$B$1:$AY$1,O$1)+SUMIFS('changes2_based on steps'!$B132:$U132,'changes2_based on steps'!$B$1:$U$1,O$1)</f>
        <v>0</v>
      </c>
      <c r="P132" s="155">
        <f ca="1">SUMIFS('recurring2_based on steps'!$B132:$AY132,'recurring2_based on steps'!$B$1:$AY$1,P$1)+SUMIFS('changes2_based on steps'!$B132:$U132,'changes2_based on steps'!$B$1:$U$1,P$1)</f>
        <v>0</v>
      </c>
      <c r="Q132" s="155">
        <f>SUMIFS('recurring2_based on steps'!$B132:$AY132,'recurring2_based on steps'!$B$1:$AY$1,Q$1)+SUMIFS('changes2_based on steps'!$B132:$U132,'changes2_based on steps'!$B$1:$U$1,Q$1)</f>
        <v>0</v>
      </c>
      <c r="R132" s="155">
        <f ca="1">SUMIFS('recurring2_based on steps'!$B132:$AY132,'recurring2_based on steps'!$B$1:$AY$1,R$1)+SUMIFS('changes2_based on steps'!$B132:$U132,'changes2_based on steps'!$B$1:$U$1,R$1)</f>
        <v>0</v>
      </c>
      <c r="S132" s="155">
        <f ca="1">SUMIFS('recurring2_based on steps'!$B132:$AY132,'recurring2_based on steps'!$B$1:$AY$1,S$1)+SUMIFS('changes2_based on steps'!$B132:$U132,'changes2_based on steps'!$B$1:$U$1,S$1)</f>
        <v>0</v>
      </c>
      <c r="T132" s="155">
        <f>SUMIFS('recurring2_based on steps'!$B132:$AY132,'recurring2_based on steps'!$B$1:$AY$1,T$1)+SUMIFS('changes2_based on steps'!$B132:$U132,'changes2_based on steps'!$B$1:$U$1,T$1)</f>
        <v>0</v>
      </c>
      <c r="U132" s="155">
        <f ca="1">SUMIFS('recurring2_based on steps'!$B132:$AY132,'recurring2_based on steps'!$B$1:$AY$1,U$1)+SUMIFS('changes2_based on steps'!$B132:$U132,'changes2_based on steps'!$B$1:$U$1,U$1)</f>
        <v>0</v>
      </c>
      <c r="V132" s="155">
        <f>SUMIFS('recurring2_based on steps'!$B132:$AY132,'recurring2_based on steps'!$B$1:$AY$1,V$1)+SUMIFS('changes2_based on steps'!$B132:$U132,'changes2_based on steps'!$B$1:$U$1,V$1)</f>
        <v>0</v>
      </c>
      <c r="W132" s="155">
        <f ca="1">SUMIFS('recurring2_based on steps'!$B132:$AY132,'recurring2_based on steps'!$B$1:$AY$1,W$1)+SUMIFS('changes2_based on steps'!$B132:$U132,'changes2_based on steps'!$B$1:$U$1,W$1)</f>
        <v>0</v>
      </c>
      <c r="X132" s="155">
        <f ca="1">SUMIFS('recurring2_based on steps'!$B132:$AY132,'recurring2_based on steps'!$B$1:$AY$1,X$1)+SUMIFS('changes2_based on steps'!$B132:$U132,'changes2_based on steps'!$B$1:$U$1,X$1)</f>
        <v>0</v>
      </c>
      <c r="Y132" s="155">
        <f ca="1">SUMIFS('recurring2_based on steps'!$B132:$AY132,'recurring2_based on steps'!$B$1:$AY$1,Y$1)+SUMIFS('changes2_based on steps'!$B132:$U132,'changes2_based on steps'!$B$1:$U$1,Y$1)</f>
        <v>0</v>
      </c>
      <c r="Z132" s="155">
        <f>SUMIFS('recurring2_based on steps'!$B132:$AY132,'recurring2_based on steps'!$B$1:$AY$1,Z$1)+SUMIFS('changes2_based on steps'!$B132:$U132,'changes2_based on steps'!$B$1:$U$1,Z$1)</f>
        <v>0</v>
      </c>
      <c r="AA132" s="155">
        <f>SUMIFS('recurring2_based on steps'!$B132:$AY132,'recurring2_based on steps'!$B$1:$AY$1,AA$1)+SUMIFS('changes2_based on steps'!$B132:$U132,'changes2_based on steps'!$B$1:$U$1,AA$1)</f>
        <v>0</v>
      </c>
    </row>
    <row r="133" spans="1:27" x14ac:dyDescent="0.2">
      <c r="A133" s="18">
        <f t="shared" ref="A133:A196" ca="1" si="2">A132+1</f>
        <v>45819</v>
      </c>
      <c r="B133" s="155">
        <f ca="1">SUMIFS('recurring2_based on steps'!$B133:$AY133,'recurring2_based on steps'!$B$1:$AY$1,B$1)+SUMIFS('changes2_based on steps'!$B133:$U133,'changes2_based on steps'!$B$1:$U$1,B$1)</f>
        <v>0</v>
      </c>
      <c r="C133" s="155">
        <f>SUMIFS('recurring2_based on steps'!$B133:$AY133,'recurring2_based on steps'!$B$1:$AY$1,C$1)+SUMIFS('changes2_based on steps'!$B133:$U133,'changes2_based on steps'!$B$1:$U$1,C$1)</f>
        <v>0</v>
      </c>
      <c r="D133" s="155">
        <f>SUMIFS('recurring2_based on steps'!$B133:$AY133,'recurring2_based on steps'!$B$1:$AY$1,D$1)+SUMIFS('changes2_based on steps'!$B133:$U133,'changes2_based on steps'!$B$1:$U$1,D$1)</f>
        <v>0</v>
      </c>
      <c r="E133" s="155">
        <f>SUMIFS('recurring2_based on steps'!$B133:$AY133,'recurring2_based on steps'!$B$1:$AY$1,E$1)+SUMIFS('changes2_based on steps'!$B133:$U133,'changes2_based on steps'!$B$1:$U$1,E$1)</f>
        <v>0</v>
      </c>
      <c r="F133" s="155">
        <f>SUMIFS('recurring2_based on steps'!$B133:$AY133,'recurring2_based on steps'!$B$1:$AY$1,F$1)+SUMIFS('changes2_based on steps'!$B133:$U133,'changes2_based on steps'!$B$1:$U$1,F$1)</f>
        <v>0</v>
      </c>
      <c r="G133" s="155">
        <f>SUMIFS('recurring2_based on steps'!$B133:$AY133,'recurring2_based on steps'!$B$1:$AY$1,G$1)+SUMIFS('changes2_based on steps'!$B133:$U133,'changes2_based on steps'!$B$1:$U$1,G$1)</f>
        <v>0</v>
      </c>
      <c r="H133" s="155">
        <f ca="1">SUMIFS('recurring2_based on steps'!$B133:$AY133,'recurring2_based on steps'!$B$1:$AY$1,H$1)+SUMIFS('changes2_based on steps'!$B133:$U133,'changes2_based on steps'!$B$1:$U$1,H$1)</f>
        <v>0</v>
      </c>
      <c r="I133" s="155">
        <f>SUMIFS('recurring2_based on steps'!$B133:$AY133,'recurring2_based on steps'!$B$1:$AY$1,I$1)+SUMIFS('changes2_based on steps'!$B133:$U133,'changes2_based on steps'!$B$1:$U$1,I$1)</f>
        <v>0</v>
      </c>
      <c r="J133" s="155">
        <f>SUMIFS('recurring2_based on steps'!$B133:$AY133,'recurring2_based on steps'!$B$1:$AY$1,J$1)+SUMIFS('changes2_based on steps'!$B133:$U133,'changes2_based on steps'!$B$1:$U$1,J$1)</f>
        <v>0</v>
      </c>
      <c r="K133" s="155">
        <f>SUMIFS('recurring2_based on steps'!$B133:$AY133,'recurring2_based on steps'!$B$1:$AY$1,K$1)+SUMIFS('changes2_based on steps'!$B133:$U133,'changes2_based on steps'!$B$1:$U$1,K$1)</f>
        <v>0</v>
      </c>
      <c r="L133" s="155">
        <f>SUMIFS('recurring2_based on steps'!$B133:$AY133,'recurring2_based on steps'!$B$1:$AY$1,L$1)+SUMIFS('changes2_based on steps'!$B133:$U133,'changes2_based on steps'!$B$1:$U$1,L$1)</f>
        <v>0</v>
      </c>
      <c r="M133" s="155">
        <f ca="1">SUMIFS('recurring2_based on steps'!$B133:$AY133,'recurring2_based on steps'!$B$1:$AY$1,M$1)+SUMIFS('changes2_based on steps'!$B133:$U133,'changes2_based on steps'!$B$1:$U$1,M$1)</f>
        <v>0</v>
      </c>
      <c r="N133" s="155">
        <f ca="1">SUMIFS('recurring2_based on steps'!$B133:$AY133,'recurring2_based on steps'!$B$1:$AY$1,N$1)+SUMIFS('changes2_based on steps'!$B133:$U133,'changes2_based on steps'!$B$1:$U$1,N$1)</f>
        <v>500</v>
      </c>
      <c r="O133" s="155">
        <f ca="1">SUMIFS('recurring2_based on steps'!$B133:$AY133,'recurring2_based on steps'!$B$1:$AY$1,O$1)+SUMIFS('changes2_based on steps'!$B133:$U133,'changes2_based on steps'!$B$1:$U$1,O$1)</f>
        <v>0</v>
      </c>
      <c r="P133" s="155">
        <f ca="1">SUMIFS('recurring2_based on steps'!$B133:$AY133,'recurring2_based on steps'!$B$1:$AY$1,P$1)+SUMIFS('changes2_based on steps'!$B133:$U133,'changes2_based on steps'!$B$1:$U$1,P$1)</f>
        <v>0</v>
      </c>
      <c r="Q133" s="155">
        <f>SUMIFS('recurring2_based on steps'!$B133:$AY133,'recurring2_based on steps'!$B$1:$AY$1,Q$1)+SUMIFS('changes2_based on steps'!$B133:$U133,'changes2_based on steps'!$B$1:$U$1,Q$1)</f>
        <v>0</v>
      </c>
      <c r="R133" s="155">
        <f ca="1">SUMIFS('recurring2_based on steps'!$B133:$AY133,'recurring2_based on steps'!$B$1:$AY$1,R$1)+SUMIFS('changes2_based on steps'!$B133:$U133,'changes2_based on steps'!$B$1:$U$1,R$1)</f>
        <v>0</v>
      </c>
      <c r="S133" s="155">
        <f ca="1">SUMIFS('recurring2_based on steps'!$B133:$AY133,'recurring2_based on steps'!$B$1:$AY$1,S$1)+SUMIFS('changes2_based on steps'!$B133:$U133,'changes2_based on steps'!$B$1:$U$1,S$1)</f>
        <v>0</v>
      </c>
      <c r="T133" s="155">
        <f>SUMIFS('recurring2_based on steps'!$B133:$AY133,'recurring2_based on steps'!$B$1:$AY$1,T$1)+SUMIFS('changes2_based on steps'!$B133:$U133,'changes2_based on steps'!$B$1:$U$1,T$1)</f>
        <v>0</v>
      </c>
      <c r="U133" s="155">
        <f ca="1">SUMIFS('recurring2_based on steps'!$B133:$AY133,'recurring2_based on steps'!$B$1:$AY$1,U$1)+SUMIFS('changes2_based on steps'!$B133:$U133,'changes2_based on steps'!$B$1:$U$1,U$1)</f>
        <v>69</v>
      </c>
      <c r="V133" s="155">
        <f>SUMIFS('recurring2_based on steps'!$B133:$AY133,'recurring2_based on steps'!$B$1:$AY$1,V$1)+SUMIFS('changes2_based on steps'!$B133:$U133,'changes2_based on steps'!$B$1:$U$1,V$1)</f>
        <v>0</v>
      </c>
      <c r="W133" s="155">
        <f ca="1">SUMIFS('recurring2_based on steps'!$B133:$AY133,'recurring2_based on steps'!$B$1:$AY$1,W$1)+SUMIFS('changes2_based on steps'!$B133:$U133,'changes2_based on steps'!$B$1:$U$1,W$1)</f>
        <v>0</v>
      </c>
      <c r="X133" s="155">
        <f ca="1">SUMIFS('recurring2_based on steps'!$B133:$AY133,'recurring2_based on steps'!$B$1:$AY$1,X$1)+SUMIFS('changes2_based on steps'!$B133:$U133,'changes2_based on steps'!$B$1:$U$1,X$1)</f>
        <v>0</v>
      </c>
      <c r="Y133" s="155">
        <f ca="1">SUMIFS('recurring2_based on steps'!$B133:$AY133,'recurring2_based on steps'!$B$1:$AY$1,Y$1)+SUMIFS('changes2_based on steps'!$B133:$U133,'changes2_based on steps'!$B$1:$U$1,Y$1)</f>
        <v>0</v>
      </c>
      <c r="Z133" s="155">
        <f>SUMIFS('recurring2_based on steps'!$B133:$AY133,'recurring2_based on steps'!$B$1:$AY$1,Z$1)+SUMIFS('changes2_based on steps'!$B133:$U133,'changes2_based on steps'!$B$1:$U$1,Z$1)</f>
        <v>0</v>
      </c>
      <c r="AA133" s="155">
        <f>SUMIFS('recurring2_based on steps'!$B133:$AY133,'recurring2_based on steps'!$B$1:$AY$1,AA$1)+SUMIFS('changes2_based on steps'!$B133:$U133,'changes2_based on steps'!$B$1:$U$1,AA$1)</f>
        <v>0</v>
      </c>
    </row>
    <row r="134" spans="1:27" x14ac:dyDescent="0.2">
      <c r="A134" s="18">
        <f t="shared" ca="1" si="2"/>
        <v>45820</v>
      </c>
      <c r="B134" s="155">
        <f ca="1">SUMIFS('recurring2_based on steps'!$B134:$AY134,'recurring2_based on steps'!$B$1:$AY$1,B$1)+SUMIFS('changes2_based on steps'!$B134:$U134,'changes2_based on steps'!$B$1:$U$1,B$1)</f>
        <v>0</v>
      </c>
      <c r="C134" s="155">
        <f>SUMIFS('recurring2_based on steps'!$B134:$AY134,'recurring2_based on steps'!$B$1:$AY$1,C$1)+SUMIFS('changes2_based on steps'!$B134:$U134,'changes2_based on steps'!$B$1:$U$1,C$1)</f>
        <v>0</v>
      </c>
      <c r="D134" s="155">
        <f>SUMIFS('recurring2_based on steps'!$B134:$AY134,'recurring2_based on steps'!$B$1:$AY$1,D$1)+SUMIFS('changes2_based on steps'!$B134:$U134,'changes2_based on steps'!$B$1:$U$1,D$1)</f>
        <v>0</v>
      </c>
      <c r="E134" s="155">
        <f>SUMIFS('recurring2_based on steps'!$B134:$AY134,'recurring2_based on steps'!$B$1:$AY$1,E$1)+SUMIFS('changes2_based on steps'!$B134:$U134,'changes2_based on steps'!$B$1:$U$1,E$1)</f>
        <v>0</v>
      </c>
      <c r="F134" s="155">
        <f>SUMIFS('recurring2_based on steps'!$B134:$AY134,'recurring2_based on steps'!$B$1:$AY$1,F$1)+SUMIFS('changes2_based on steps'!$B134:$U134,'changes2_based on steps'!$B$1:$U$1,F$1)</f>
        <v>0</v>
      </c>
      <c r="G134" s="155">
        <f>SUMIFS('recurring2_based on steps'!$B134:$AY134,'recurring2_based on steps'!$B$1:$AY$1,G$1)+SUMIFS('changes2_based on steps'!$B134:$U134,'changes2_based on steps'!$B$1:$U$1,G$1)</f>
        <v>0</v>
      </c>
      <c r="H134" s="155">
        <f ca="1">SUMIFS('recurring2_based on steps'!$B134:$AY134,'recurring2_based on steps'!$B$1:$AY$1,H$1)+SUMIFS('changes2_based on steps'!$B134:$U134,'changes2_based on steps'!$B$1:$U$1,H$1)</f>
        <v>0</v>
      </c>
      <c r="I134" s="155">
        <f>SUMIFS('recurring2_based on steps'!$B134:$AY134,'recurring2_based on steps'!$B$1:$AY$1,I$1)+SUMIFS('changes2_based on steps'!$B134:$U134,'changes2_based on steps'!$B$1:$U$1,I$1)</f>
        <v>0</v>
      </c>
      <c r="J134" s="155">
        <f>SUMIFS('recurring2_based on steps'!$B134:$AY134,'recurring2_based on steps'!$B$1:$AY$1,J$1)+SUMIFS('changes2_based on steps'!$B134:$U134,'changes2_based on steps'!$B$1:$U$1,J$1)</f>
        <v>0</v>
      </c>
      <c r="K134" s="155">
        <f>SUMIFS('recurring2_based on steps'!$B134:$AY134,'recurring2_based on steps'!$B$1:$AY$1,K$1)+SUMIFS('changes2_based on steps'!$B134:$U134,'changes2_based on steps'!$B$1:$U$1,K$1)</f>
        <v>0</v>
      </c>
      <c r="L134" s="155">
        <f>SUMIFS('recurring2_based on steps'!$B134:$AY134,'recurring2_based on steps'!$B$1:$AY$1,L$1)+SUMIFS('changes2_based on steps'!$B134:$U134,'changes2_based on steps'!$B$1:$U$1,L$1)</f>
        <v>0</v>
      </c>
      <c r="M134" s="155">
        <f ca="1">SUMIFS('recurring2_based on steps'!$B134:$AY134,'recurring2_based on steps'!$B$1:$AY$1,M$1)+SUMIFS('changes2_based on steps'!$B134:$U134,'changes2_based on steps'!$B$1:$U$1,M$1)</f>
        <v>0</v>
      </c>
      <c r="N134" s="155">
        <f ca="1">SUMIFS('recurring2_based on steps'!$B134:$AY134,'recurring2_based on steps'!$B$1:$AY$1,N$1)+SUMIFS('changes2_based on steps'!$B134:$U134,'changes2_based on steps'!$B$1:$U$1,N$1)</f>
        <v>0</v>
      </c>
      <c r="O134" s="155">
        <f ca="1">SUMIFS('recurring2_based on steps'!$B134:$AY134,'recurring2_based on steps'!$B$1:$AY$1,O$1)+SUMIFS('changes2_based on steps'!$B134:$U134,'changes2_based on steps'!$B$1:$U$1,O$1)</f>
        <v>0</v>
      </c>
      <c r="P134" s="155">
        <f ca="1">SUMIFS('recurring2_based on steps'!$B134:$AY134,'recurring2_based on steps'!$B$1:$AY$1,P$1)+SUMIFS('changes2_based on steps'!$B134:$U134,'changes2_based on steps'!$B$1:$U$1,P$1)</f>
        <v>0</v>
      </c>
      <c r="Q134" s="155">
        <f>SUMIFS('recurring2_based on steps'!$B134:$AY134,'recurring2_based on steps'!$B$1:$AY$1,Q$1)+SUMIFS('changes2_based on steps'!$B134:$U134,'changes2_based on steps'!$B$1:$U$1,Q$1)</f>
        <v>0</v>
      </c>
      <c r="R134" s="155">
        <f ca="1">SUMIFS('recurring2_based on steps'!$B134:$AY134,'recurring2_based on steps'!$B$1:$AY$1,R$1)+SUMIFS('changes2_based on steps'!$B134:$U134,'changes2_based on steps'!$B$1:$U$1,R$1)</f>
        <v>0</v>
      </c>
      <c r="S134" s="155">
        <f ca="1">SUMIFS('recurring2_based on steps'!$B134:$AY134,'recurring2_based on steps'!$B$1:$AY$1,S$1)+SUMIFS('changes2_based on steps'!$B134:$U134,'changes2_based on steps'!$B$1:$U$1,S$1)</f>
        <v>0</v>
      </c>
      <c r="T134" s="155">
        <f>SUMIFS('recurring2_based on steps'!$B134:$AY134,'recurring2_based on steps'!$B$1:$AY$1,T$1)+SUMIFS('changes2_based on steps'!$B134:$U134,'changes2_based on steps'!$B$1:$U$1,T$1)</f>
        <v>0</v>
      </c>
      <c r="U134" s="155">
        <f ca="1">SUMIFS('recurring2_based on steps'!$B134:$AY134,'recurring2_based on steps'!$B$1:$AY$1,U$1)+SUMIFS('changes2_based on steps'!$B134:$U134,'changes2_based on steps'!$B$1:$U$1,U$1)</f>
        <v>0</v>
      </c>
      <c r="V134" s="155">
        <f>SUMIFS('recurring2_based on steps'!$B134:$AY134,'recurring2_based on steps'!$B$1:$AY$1,V$1)+SUMIFS('changes2_based on steps'!$B134:$U134,'changes2_based on steps'!$B$1:$U$1,V$1)</f>
        <v>0</v>
      </c>
      <c r="W134" s="155">
        <f ca="1">SUMIFS('recurring2_based on steps'!$B134:$AY134,'recurring2_based on steps'!$B$1:$AY$1,W$1)+SUMIFS('changes2_based on steps'!$B134:$U134,'changes2_based on steps'!$B$1:$U$1,W$1)</f>
        <v>0</v>
      </c>
      <c r="X134" s="155">
        <f ca="1">SUMIFS('recurring2_based on steps'!$B134:$AY134,'recurring2_based on steps'!$B$1:$AY$1,X$1)+SUMIFS('changes2_based on steps'!$B134:$U134,'changes2_based on steps'!$B$1:$U$1,X$1)</f>
        <v>0</v>
      </c>
      <c r="Y134" s="155">
        <f ca="1">SUMIFS('recurring2_based on steps'!$B134:$AY134,'recurring2_based on steps'!$B$1:$AY$1,Y$1)+SUMIFS('changes2_based on steps'!$B134:$U134,'changes2_based on steps'!$B$1:$U$1,Y$1)</f>
        <v>0</v>
      </c>
      <c r="Z134" s="155">
        <f>SUMIFS('recurring2_based on steps'!$B134:$AY134,'recurring2_based on steps'!$B$1:$AY$1,Z$1)+SUMIFS('changes2_based on steps'!$B134:$U134,'changes2_based on steps'!$B$1:$U$1,Z$1)</f>
        <v>0</v>
      </c>
      <c r="AA134" s="155">
        <f>SUMIFS('recurring2_based on steps'!$B134:$AY134,'recurring2_based on steps'!$B$1:$AY$1,AA$1)+SUMIFS('changes2_based on steps'!$B134:$U134,'changes2_based on steps'!$B$1:$U$1,AA$1)</f>
        <v>0</v>
      </c>
    </row>
    <row r="135" spans="1:27" x14ac:dyDescent="0.2">
      <c r="A135" s="18">
        <f t="shared" ca="1" si="2"/>
        <v>45821</v>
      </c>
      <c r="B135" s="155">
        <f ca="1">SUMIFS('recurring2_based on steps'!$B135:$AY135,'recurring2_based on steps'!$B$1:$AY$1,B$1)+SUMIFS('changes2_based on steps'!$B135:$U135,'changes2_based on steps'!$B$1:$U$1,B$1)</f>
        <v>4000</v>
      </c>
      <c r="C135" s="155">
        <f>SUMIFS('recurring2_based on steps'!$B135:$AY135,'recurring2_based on steps'!$B$1:$AY$1,C$1)+SUMIFS('changes2_based on steps'!$B135:$U135,'changes2_based on steps'!$B$1:$U$1,C$1)</f>
        <v>0</v>
      </c>
      <c r="D135" s="155">
        <f>SUMIFS('recurring2_based on steps'!$B135:$AY135,'recurring2_based on steps'!$B$1:$AY$1,D$1)+SUMIFS('changes2_based on steps'!$B135:$U135,'changes2_based on steps'!$B$1:$U$1,D$1)</f>
        <v>0</v>
      </c>
      <c r="E135" s="155">
        <f>SUMIFS('recurring2_based on steps'!$B135:$AY135,'recurring2_based on steps'!$B$1:$AY$1,E$1)+SUMIFS('changes2_based on steps'!$B135:$U135,'changes2_based on steps'!$B$1:$U$1,E$1)</f>
        <v>0</v>
      </c>
      <c r="F135" s="155">
        <f>SUMIFS('recurring2_based on steps'!$B135:$AY135,'recurring2_based on steps'!$B$1:$AY$1,F$1)+SUMIFS('changes2_based on steps'!$B135:$U135,'changes2_based on steps'!$B$1:$U$1,F$1)</f>
        <v>0</v>
      </c>
      <c r="G135" s="155">
        <f>SUMIFS('recurring2_based on steps'!$B135:$AY135,'recurring2_based on steps'!$B$1:$AY$1,G$1)+SUMIFS('changes2_based on steps'!$B135:$U135,'changes2_based on steps'!$B$1:$U$1,G$1)</f>
        <v>0</v>
      </c>
      <c r="H135" s="155">
        <f ca="1">SUMIFS('recurring2_based on steps'!$B135:$AY135,'recurring2_based on steps'!$B$1:$AY$1,H$1)+SUMIFS('changes2_based on steps'!$B135:$U135,'changes2_based on steps'!$B$1:$U$1,H$1)</f>
        <v>96</v>
      </c>
      <c r="I135" s="155">
        <f>SUMIFS('recurring2_based on steps'!$B135:$AY135,'recurring2_based on steps'!$B$1:$AY$1,I$1)+SUMIFS('changes2_based on steps'!$B135:$U135,'changes2_based on steps'!$B$1:$U$1,I$1)</f>
        <v>0</v>
      </c>
      <c r="J135" s="155">
        <f>SUMIFS('recurring2_based on steps'!$B135:$AY135,'recurring2_based on steps'!$B$1:$AY$1,J$1)+SUMIFS('changes2_based on steps'!$B135:$U135,'changes2_based on steps'!$B$1:$U$1,J$1)</f>
        <v>0</v>
      </c>
      <c r="K135" s="155">
        <f>SUMIFS('recurring2_based on steps'!$B135:$AY135,'recurring2_based on steps'!$B$1:$AY$1,K$1)+SUMIFS('changes2_based on steps'!$B135:$U135,'changes2_based on steps'!$B$1:$U$1,K$1)</f>
        <v>0</v>
      </c>
      <c r="L135" s="155">
        <f>SUMIFS('recurring2_based on steps'!$B135:$AY135,'recurring2_based on steps'!$B$1:$AY$1,L$1)+SUMIFS('changes2_based on steps'!$B135:$U135,'changes2_based on steps'!$B$1:$U$1,L$1)</f>
        <v>0</v>
      </c>
      <c r="M135" s="155">
        <f ca="1">SUMIFS('recurring2_based on steps'!$B135:$AY135,'recurring2_based on steps'!$B$1:$AY$1,M$1)+SUMIFS('changes2_based on steps'!$B135:$U135,'changes2_based on steps'!$B$1:$U$1,M$1)</f>
        <v>0</v>
      </c>
      <c r="N135" s="155">
        <f ca="1">SUMIFS('recurring2_based on steps'!$B135:$AY135,'recurring2_based on steps'!$B$1:$AY$1,N$1)+SUMIFS('changes2_based on steps'!$B135:$U135,'changes2_based on steps'!$B$1:$U$1,N$1)</f>
        <v>0</v>
      </c>
      <c r="O135" s="155">
        <f ca="1">SUMIFS('recurring2_based on steps'!$B135:$AY135,'recurring2_based on steps'!$B$1:$AY$1,O$1)+SUMIFS('changes2_based on steps'!$B135:$U135,'changes2_based on steps'!$B$1:$U$1,O$1)</f>
        <v>0</v>
      </c>
      <c r="P135" s="155">
        <f ca="1">SUMIFS('recurring2_based on steps'!$B135:$AY135,'recurring2_based on steps'!$B$1:$AY$1,P$1)+SUMIFS('changes2_based on steps'!$B135:$U135,'changes2_based on steps'!$B$1:$U$1,P$1)</f>
        <v>0</v>
      </c>
      <c r="Q135" s="155">
        <f>SUMIFS('recurring2_based on steps'!$B135:$AY135,'recurring2_based on steps'!$B$1:$AY$1,Q$1)+SUMIFS('changes2_based on steps'!$B135:$U135,'changes2_based on steps'!$B$1:$U$1,Q$1)</f>
        <v>0</v>
      </c>
      <c r="R135" s="155">
        <f ca="1">SUMIFS('recurring2_based on steps'!$B135:$AY135,'recurring2_based on steps'!$B$1:$AY$1,R$1)+SUMIFS('changes2_based on steps'!$B135:$U135,'changes2_based on steps'!$B$1:$U$1,R$1)</f>
        <v>0</v>
      </c>
      <c r="S135" s="155">
        <f ca="1">SUMIFS('recurring2_based on steps'!$B135:$AY135,'recurring2_based on steps'!$B$1:$AY$1,S$1)+SUMIFS('changes2_based on steps'!$B135:$U135,'changes2_based on steps'!$B$1:$U$1,S$1)</f>
        <v>0</v>
      </c>
      <c r="T135" s="155">
        <f>SUMIFS('recurring2_based on steps'!$B135:$AY135,'recurring2_based on steps'!$B$1:$AY$1,T$1)+SUMIFS('changes2_based on steps'!$B135:$U135,'changes2_based on steps'!$B$1:$U$1,T$1)</f>
        <v>0</v>
      </c>
      <c r="U135" s="155">
        <f ca="1">SUMIFS('recurring2_based on steps'!$B135:$AY135,'recurring2_based on steps'!$B$1:$AY$1,U$1)+SUMIFS('changes2_based on steps'!$B135:$U135,'changes2_based on steps'!$B$1:$U$1,U$1)</f>
        <v>0</v>
      </c>
      <c r="V135" s="155">
        <f>SUMIFS('recurring2_based on steps'!$B135:$AY135,'recurring2_based on steps'!$B$1:$AY$1,V$1)+SUMIFS('changes2_based on steps'!$B135:$U135,'changes2_based on steps'!$B$1:$U$1,V$1)</f>
        <v>0</v>
      </c>
      <c r="W135" s="155">
        <f ca="1">SUMIFS('recurring2_based on steps'!$B135:$AY135,'recurring2_based on steps'!$B$1:$AY$1,W$1)+SUMIFS('changes2_based on steps'!$B135:$U135,'changes2_based on steps'!$B$1:$U$1,W$1)</f>
        <v>50</v>
      </c>
      <c r="X135" s="155">
        <f ca="1">SUMIFS('recurring2_based on steps'!$B135:$AY135,'recurring2_based on steps'!$B$1:$AY$1,X$1)+SUMIFS('changes2_based on steps'!$B135:$U135,'changes2_based on steps'!$B$1:$U$1,X$1)</f>
        <v>200</v>
      </c>
      <c r="Y135" s="155">
        <f ca="1">SUMIFS('recurring2_based on steps'!$B135:$AY135,'recurring2_based on steps'!$B$1:$AY$1,Y$1)+SUMIFS('changes2_based on steps'!$B135:$U135,'changes2_based on steps'!$B$1:$U$1,Y$1)</f>
        <v>0</v>
      </c>
      <c r="Z135" s="155">
        <f>SUMIFS('recurring2_based on steps'!$B135:$AY135,'recurring2_based on steps'!$B$1:$AY$1,Z$1)+SUMIFS('changes2_based on steps'!$B135:$U135,'changes2_based on steps'!$B$1:$U$1,Z$1)</f>
        <v>0</v>
      </c>
      <c r="AA135" s="155">
        <f>SUMIFS('recurring2_based on steps'!$B135:$AY135,'recurring2_based on steps'!$B$1:$AY$1,AA$1)+SUMIFS('changes2_based on steps'!$B135:$U135,'changes2_based on steps'!$B$1:$U$1,AA$1)</f>
        <v>0</v>
      </c>
    </row>
    <row r="136" spans="1:27" x14ac:dyDescent="0.2">
      <c r="A136" s="18">
        <f t="shared" ca="1" si="2"/>
        <v>45822</v>
      </c>
      <c r="B136" s="155">
        <f ca="1">SUMIFS('recurring2_based on steps'!$B136:$AY136,'recurring2_based on steps'!$B$1:$AY$1,B$1)+SUMIFS('changes2_based on steps'!$B136:$U136,'changes2_based on steps'!$B$1:$U$1,B$1)</f>
        <v>0</v>
      </c>
      <c r="C136" s="155">
        <f>SUMIFS('recurring2_based on steps'!$B136:$AY136,'recurring2_based on steps'!$B$1:$AY$1,C$1)+SUMIFS('changes2_based on steps'!$B136:$U136,'changes2_based on steps'!$B$1:$U$1,C$1)</f>
        <v>0</v>
      </c>
      <c r="D136" s="155">
        <f>SUMIFS('recurring2_based on steps'!$B136:$AY136,'recurring2_based on steps'!$B$1:$AY$1,D$1)+SUMIFS('changes2_based on steps'!$B136:$U136,'changes2_based on steps'!$B$1:$U$1,D$1)</f>
        <v>0</v>
      </c>
      <c r="E136" s="155">
        <f>SUMIFS('recurring2_based on steps'!$B136:$AY136,'recurring2_based on steps'!$B$1:$AY$1,E$1)+SUMIFS('changes2_based on steps'!$B136:$U136,'changes2_based on steps'!$B$1:$U$1,E$1)</f>
        <v>0</v>
      </c>
      <c r="F136" s="155">
        <f>SUMIFS('recurring2_based on steps'!$B136:$AY136,'recurring2_based on steps'!$B$1:$AY$1,F$1)+SUMIFS('changes2_based on steps'!$B136:$U136,'changes2_based on steps'!$B$1:$U$1,F$1)</f>
        <v>0</v>
      </c>
      <c r="G136" s="155">
        <f>SUMIFS('recurring2_based on steps'!$B136:$AY136,'recurring2_based on steps'!$B$1:$AY$1,G$1)+SUMIFS('changes2_based on steps'!$B136:$U136,'changes2_based on steps'!$B$1:$U$1,G$1)</f>
        <v>0</v>
      </c>
      <c r="H136" s="155">
        <f ca="1">SUMIFS('recurring2_based on steps'!$B136:$AY136,'recurring2_based on steps'!$B$1:$AY$1,H$1)+SUMIFS('changes2_based on steps'!$B136:$U136,'changes2_based on steps'!$B$1:$U$1,H$1)</f>
        <v>0</v>
      </c>
      <c r="I136" s="155">
        <f>SUMIFS('recurring2_based on steps'!$B136:$AY136,'recurring2_based on steps'!$B$1:$AY$1,I$1)+SUMIFS('changes2_based on steps'!$B136:$U136,'changes2_based on steps'!$B$1:$U$1,I$1)</f>
        <v>0</v>
      </c>
      <c r="J136" s="155">
        <f>SUMIFS('recurring2_based on steps'!$B136:$AY136,'recurring2_based on steps'!$B$1:$AY$1,J$1)+SUMIFS('changes2_based on steps'!$B136:$U136,'changes2_based on steps'!$B$1:$U$1,J$1)</f>
        <v>0</v>
      </c>
      <c r="K136" s="155">
        <f>SUMIFS('recurring2_based on steps'!$B136:$AY136,'recurring2_based on steps'!$B$1:$AY$1,K$1)+SUMIFS('changes2_based on steps'!$B136:$U136,'changes2_based on steps'!$B$1:$U$1,K$1)</f>
        <v>0</v>
      </c>
      <c r="L136" s="155">
        <f>SUMIFS('recurring2_based on steps'!$B136:$AY136,'recurring2_based on steps'!$B$1:$AY$1,L$1)+SUMIFS('changes2_based on steps'!$B136:$U136,'changes2_based on steps'!$B$1:$U$1,L$1)</f>
        <v>0</v>
      </c>
      <c r="M136" s="155">
        <f ca="1">SUMIFS('recurring2_based on steps'!$B136:$AY136,'recurring2_based on steps'!$B$1:$AY$1,M$1)+SUMIFS('changes2_based on steps'!$B136:$U136,'changes2_based on steps'!$B$1:$U$1,M$1)</f>
        <v>0</v>
      </c>
      <c r="N136" s="155">
        <f ca="1">SUMIFS('recurring2_based on steps'!$B136:$AY136,'recurring2_based on steps'!$B$1:$AY$1,N$1)+SUMIFS('changes2_based on steps'!$B136:$U136,'changes2_based on steps'!$B$1:$U$1,N$1)</f>
        <v>0</v>
      </c>
      <c r="O136" s="155">
        <f ca="1">SUMIFS('recurring2_based on steps'!$B136:$AY136,'recurring2_based on steps'!$B$1:$AY$1,O$1)+SUMIFS('changes2_based on steps'!$B136:$U136,'changes2_based on steps'!$B$1:$U$1,O$1)</f>
        <v>0</v>
      </c>
      <c r="P136" s="155">
        <f ca="1">SUMIFS('recurring2_based on steps'!$B136:$AY136,'recurring2_based on steps'!$B$1:$AY$1,P$1)+SUMIFS('changes2_based on steps'!$B136:$U136,'changes2_based on steps'!$B$1:$U$1,P$1)</f>
        <v>0</v>
      </c>
      <c r="Q136" s="155">
        <f>SUMIFS('recurring2_based on steps'!$B136:$AY136,'recurring2_based on steps'!$B$1:$AY$1,Q$1)+SUMIFS('changes2_based on steps'!$B136:$U136,'changes2_based on steps'!$B$1:$U$1,Q$1)</f>
        <v>0</v>
      </c>
      <c r="R136" s="155">
        <f ca="1">SUMIFS('recurring2_based on steps'!$B136:$AY136,'recurring2_based on steps'!$B$1:$AY$1,R$1)+SUMIFS('changes2_based on steps'!$B136:$U136,'changes2_based on steps'!$B$1:$U$1,R$1)</f>
        <v>100</v>
      </c>
      <c r="S136" s="155">
        <f ca="1">SUMIFS('recurring2_based on steps'!$B136:$AY136,'recurring2_based on steps'!$B$1:$AY$1,S$1)+SUMIFS('changes2_based on steps'!$B136:$U136,'changes2_based on steps'!$B$1:$U$1,S$1)</f>
        <v>100</v>
      </c>
      <c r="T136" s="155">
        <f>SUMIFS('recurring2_based on steps'!$B136:$AY136,'recurring2_based on steps'!$B$1:$AY$1,T$1)+SUMIFS('changes2_based on steps'!$B136:$U136,'changes2_based on steps'!$B$1:$U$1,T$1)</f>
        <v>0</v>
      </c>
      <c r="U136" s="155">
        <f ca="1">SUMIFS('recurring2_based on steps'!$B136:$AY136,'recurring2_based on steps'!$B$1:$AY$1,U$1)+SUMIFS('changes2_based on steps'!$B136:$U136,'changes2_based on steps'!$B$1:$U$1,U$1)</f>
        <v>0</v>
      </c>
      <c r="V136" s="155">
        <f>SUMIFS('recurring2_based on steps'!$B136:$AY136,'recurring2_based on steps'!$B$1:$AY$1,V$1)+SUMIFS('changes2_based on steps'!$B136:$U136,'changes2_based on steps'!$B$1:$U$1,V$1)</f>
        <v>0</v>
      </c>
      <c r="W136" s="155">
        <f ca="1">SUMIFS('recurring2_based on steps'!$B136:$AY136,'recurring2_based on steps'!$B$1:$AY$1,W$1)+SUMIFS('changes2_based on steps'!$B136:$U136,'changes2_based on steps'!$B$1:$U$1,W$1)</f>
        <v>0</v>
      </c>
      <c r="X136" s="155">
        <f ca="1">SUMIFS('recurring2_based on steps'!$B136:$AY136,'recurring2_based on steps'!$B$1:$AY$1,X$1)+SUMIFS('changes2_based on steps'!$B136:$U136,'changes2_based on steps'!$B$1:$U$1,X$1)</f>
        <v>0</v>
      </c>
      <c r="Y136" s="155">
        <f ca="1">SUMIFS('recurring2_based on steps'!$B136:$AY136,'recurring2_based on steps'!$B$1:$AY$1,Y$1)+SUMIFS('changes2_based on steps'!$B136:$U136,'changes2_based on steps'!$B$1:$U$1,Y$1)</f>
        <v>0</v>
      </c>
      <c r="Z136" s="155">
        <f>SUMIFS('recurring2_based on steps'!$B136:$AY136,'recurring2_based on steps'!$B$1:$AY$1,Z$1)+SUMIFS('changes2_based on steps'!$B136:$U136,'changes2_based on steps'!$B$1:$U$1,Z$1)</f>
        <v>0</v>
      </c>
      <c r="AA136" s="155">
        <f>SUMIFS('recurring2_based on steps'!$B136:$AY136,'recurring2_based on steps'!$B$1:$AY$1,AA$1)+SUMIFS('changes2_based on steps'!$B136:$U136,'changes2_based on steps'!$B$1:$U$1,AA$1)</f>
        <v>0</v>
      </c>
    </row>
    <row r="137" spans="1:27" x14ac:dyDescent="0.2">
      <c r="A137" s="18">
        <f t="shared" ca="1" si="2"/>
        <v>45823</v>
      </c>
      <c r="B137" s="155">
        <f ca="1">SUMIFS('recurring2_based on steps'!$B137:$AY137,'recurring2_based on steps'!$B$1:$AY$1,B$1)+SUMIFS('changes2_based on steps'!$B137:$U137,'changes2_based on steps'!$B$1:$U$1,B$1)</f>
        <v>0</v>
      </c>
      <c r="C137" s="155">
        <f>SUMIFS('recurring2_based on steps'!$B137:$AY137,'recurring2_based on steps'!$B$1:$AY$1,C$1)+SUMIFS('changes2_based on steps'!$B137:$U137,'changes2_based on steps'!$B$1:$U$1,C$1)</f>
        <v>0</v>
      </c>
      <c r="D137" s="155">
        <f>SUMIFS('recurring2_based on steps'!$B137:$AY137,'recurring2_based on steps'!$B$1:$AY$1,D$1)+SUMIFS('changes2_based on steps'!$B137:$U137,'changes2_based on steps'!$B$1:$U$1,D$1)</f>
        <v>0</v>
      </c>
      <c r="E137" s="155">
        <f>SUMIFS('recurring2_based on steps'!$B137:$AY137,'recurring2_based on steps'!$B$1:$AY$1,E$1)+SUMIFS('changes2_based on steps'!$B137:$U137,'changes2_based on steps'!$B$1:$U$1,E$1)</f>
        <v>0</v>
      </c>
      <c r="F137" s="155">
        <f>SUMIFS('recurring2_based on steps'!$B137:$AY137,'recurring2_based on steps'!$B$1:$AY$1,F$1)+SUMIFS('changes2_based on steps'!$B137:$U137,'changes2_based on steps'!$B$1:$U$1,F$1)</f>
        <v>0</v>
      </c>
      <c r="G137" s="155">
        <f>SUMIFS('recurring2_based on steps'!$B137:$AY137,'recurring2_based on steps'!$B$1:$AY$1,G$1)+SUMIFS('changes2_based on steps'!$B137:$U137,'changes2_based on steps'!$B$1:$U$1,G$1)</f>
        <v>0</v>
      </c>
      <c r="H137" s="155">
        <f ca="1">SUMIFS('recurring2_based on steps'!$B137:$AY137,'recurring2_based on steps'!$B$1:$AY$1,H$1)+SUMIFS('changes2_based on steps'!$B137:$U137,'changes2_based on steps'!$B$1:$U$1,H$1)</f>
        <v>0</v>
      </c>
      <c r="I137" s="155">
        <f>SUMIFS('recurring2_based on steps'!$B137:$AY137,'recurring2_based on steps'!$B$1:$AY$1,I$1)+SUMIFS('changes2_based on steps'!$B137:$U137,'changes2_based on steps'!$B$1:$U$1,I$1)</f>
        <v>0</v>
      </c>
      <c r="J137" s="155">
        <f>SUMIFS('recurring2_based on steps'!$B137:$AY137,'recurring2_based on steps'!$B$1:$AY$1,J$1)+SUMIFS('changes2_based on steps'!$B137:$U137,'changes2_based on steps'!$B$1:$U$1,J$1)</f>
        <v>0</v>
      </c>
      <c r="K137" s="155">
        <f>SUMIFS('recurring2_based on steps'!$B137:$AY137,'recurring2_based on steps'!$B$1:$AY$1,K$1)+SUMIFS('changes2_based on steps'!$B137:$U137,'changes2_based on steps'!$B$1:$U$1,K$1)</f>
        <v>0</v>
      </c>
      <c r="L137" s="155">
        <f>SUMIFS('recurring2_based on steps'!$B137:$AY137,'recurring2_based on steps'!$B$1:$AY$1,L$1)+SUMIFS('changes2_based on steps'!$B137:$U137,'changes2_based on steps'!$B$1:$U$1,L$1)</f>
        <v>0</v>
      </c>
      <c r="M137" s="155">
        <f ca="1">SUMIFS('recurring2_based on steps'!$B137:$AY137,'recurring2_based on steps'!$B$1:$AY$1,M$1)+SUMIFS('changes2_based on steps'!$B137:$U137,'changes2_based on steps'!$B$1:$U$1,M$1)</f>
        <v>0</v>
      </c>
      <c r="N137" s="155">
        <f ca="1">SUMIFS('recurring2_based on steps'!$B137:$AY137,'recurring2_based on steps'!$B$1:$AY$1,N$1)+SUMIFS('changes2_based on steps'!$B137:$U137,'changes2_based on steps'!$B$1:$U$1,N$1)</f>
        <v>50</v>
      </c>
      <c r="O137" s="155">
        <f ca="1">SUMIFS('recurring2_based on steps'!$B137:$AY137,'recurring2_based on steps'!$B$1:$AY$1,O$1)+SUMIFS('changes2_based on steps'!$B137:$U137,'changes2_based on steps'!$B$1:$U$1,O$1)</f>
        <v>0</v>
      </c>
      <c r="P137" s="155">
        <f ca="1">SUMIFS('recurring2_based on steps'!$B137:$AY137,'recurring2_based on steps'!$B$1:$AY$1,P$1)+SUMIFS('changes2_based on steps'!$B137:$U137,'changes2_based on steps'!$B$1:$U$1,P$1)</f>
        <v>0</v>
      </c>
      <c r="Q137" s="155">
        <f>SUMIFS('recurring2_based on steps'!$B137:$AY137,'recurring2_based on steps'!$B$1:$AY$1,Q$1)+SUMIFS('changes2_based on steps'!$B137:$U137,'changes2_based on steps'!$B$1:$U$1,Q$1)</f>
        <v>0</v>
      </c>
      <c r="R137" s="155">
        <f ca="1">SUMIFS('recurring2_based on steps'!$B137:$AY137,'recurring2_based on steps'!$B$1:$AY$1,R$1)+SUMIFS('changes2_based on steps'!$B137:$U137,'changes2_based on steps'!$B$1:$U$1,R$1)</f>
        <v>0</v>
      </c>
      <c r="S137" s="155">
        <f ca="1">SUMIFS('recurring2_based on steps'!$B137:$AY137,'recurring2_based on steps'!$B$1:$AY$1,S$1)+SUMIFS('changes2_based on steps'!$B137:$U137,'changes2_based on steps'!$B$1:$U$1,S$1)</f>
        <v>100</v>
      </c>
      <c r="T137" s="155">
        <f>SUMIFS('recurring2_based on steps'!$B137:$AY137,'recurring2_based on steps'!$B$1:$AY$1,T$1)+SUMIFS('changes2_based on steps'!$B137:$U137,'changes2_based on steps'!$B$1:$U$1,T$1)</f>
        <v>0</v>
      </c>
      <c r="U137" s="155">
        <f ca="1">SUMIFS('recurring2_based on steps'!$B137:$AY137,'recurring2_based on steps'!$B$1:$AY$1,U$1)+SUMIFS('changes2_based on steps'!$B137:$U137,'changes2_based on steps'!$B$1:$U$1,U$1)</f>
        <v>0</v>
      </c>
      <c r="V137" s="155">
        <f>SUMIFS('recurring2_based on steps'!$B137:$AY137,'recurring2_based on steps'!$B$1:$AY$1,V$1)+SUMIFS('changes2_based on steps'!$B137:$U137,'changes2_based on steps'!$B$1:$U$1,V$1)</f>
        <v>0</v>
      </c>
      <c r="W137" s="155">
        <f ca="1">SUMIFS('recurring2_based on steps'!$B137:$AY137,'recurring2_based on steps'!$B$1:$AY$1,W$1)+SUMIFS('changes2_based on steps'!$B137:$U137,'changes2_based on steps'!$B$1:$U$1,W$1)</f>
        <v>0</v>
      </c>
      <c r="X137" s="155">
        <f ca="1">SUMIFS('recurring2_based on steps'!$B137:$AY137,'recurring2_based on steps'!$B$1:$AY$1,X$1)+SUMIFS('changes2_based on steps'!$B137:$U137,'changes2_based on steps'!$B$1:$U$1,X$1)</f>
        <v>0</v>
      </c>
      <c r="Y137" s="155">
        <f ca="1">SUMIFS('recurring2_based on steps'!$B137:$AY137,'recurring2_based on steps'!$B$1:$AY$1,Y$1)+SUMIFS('changes2_based on steps'!$B137:$U137,'changes2_based on steps'!$B$1:$U$1,Y$1)</f>
        <v>0</v>
      </c>
      <c r="Z137" s="155">
        <f>SUMIFS('recurring2_based on steps'!$B137:$AY137,'recurring2_based on steps'!$B$1:$AY$1,Z$1)+SUMIFS('changes2_based on steps'!$B137:$U137,'changes2_based on steps'!$B$1:$U$1,Z$1)</f>
        <v>0</v>
      </c>
      <c r="AA137" s="155">
        <f>SUMIFS('recurring2_based on steps'!$B137:$AY137,'recurring2_based on steps'!$B$1:$AY$1,AA$1)+SUMIFS('changes2_based on steps'!$B137:$U137,'changes2_based on steps'!$B$1:$U$1,AA$1)</f>
        <v>0</v>
      </c>
    </row>
    <row r="138" spans="1:27" x14ac:dyDescent="0.2">
      <c r="A138" s="18">
        <f t="shared" ca="1" si="2"/>
        <v>45824</v>
      </c>
      <c r="B138" s="155">
        <f ca="1">SUMIFS('recurring2_based on steps'!$B138:$AY138,'recurring2_based on steps'!$B$1:$AY$1,B$1)+SUMIFS('changes2_based on steps'!$B138:$U138,'changes2_based on steps'!$B$1:$U$1,B$1)</f>
        <v>0</v>
      </c>
      <c r="C138" s="155">
        <f>SUMIFS('recurring2_based on steps'!$B138:$AY138,'recurring2_based on steps'!$B$1:$AY$1,C$1)+SUMIFS('changes2_based on steps'!$B138:$U138,'changes2_based on steps'!$B$1:$U$1,C$1)</f>
        <v>0</v>
      </c>
      <c r="D138" s="155">
        <f>SUMIFS('recurring2_based on steps'!$B138:$AY138,'recurring2_based on steps'!$B$1:$AY$1,D$1)+SUMIFS('changes2_based on steps'!$B138:$U138,'changes2_based on steps'!$B$1:$U$1,D$1)</f>
        <v>0</v>
      </c>
      <c r="E138" s="155">
        <f>SUMIFS('recurring2_based on steps'!$B138:$AY138,'recurring2_based on steps'!$B$1:$AY$1,E$1)+SUMIFS('changes2_based on steps'!$B138:$U138,'changes2_based on steps'!$B$1:$U$1,E$1)</f>
        <v>0</v>
      </c>
      <c r="F138" s="155">
        <f>SUMIFS('recurring2_based on steps'!$B138:$AY138,'recurring2_based on steps'!$B$1:$AY$1,F$1)+SUMIFS('changes2_based on steps'!$B138:$U138,'changes2_based on steps'!$B$1:$U$1,F$1)</f>
        <v>0</v>
      </c>
      <c r="G138" s="155">
        <f>SUMIFS('recurring2_based on steps'!$B138:$AY138,'recurring2_based on steps'!$B$1:$AY$1,G$1)+SUMIFS('changes2_based on steps'!$B138:$U138,'changes2_based on steps'!$B$1:$U$1,G$1)</f>
        <v>0</v>
      </c>
      <c r="H138" s="155">
        <f ca="1">SUMIFS('recurring2_based on steps'!$B138:$AY138,'recurring2_based on steps'!$B$1:$AY$1,H$1)+SUMIFS('changes2_based on steps'!$B138:$U138,'changes2_based on steps'!$B$1:$U$1,H$1)</f>
        <v>0</v>
      </c>
      <c r="I138" s="155">
        <f>SUMIFS('recurring2_based on steps'!$B138:$AY138,'recurring2_based on steps'!$B$1:$AY$1,I$1)+SUMIFS('changes2_based on steps'!$B138:$U138,'changes2_based on steps'!$B$1:$U$1,I$1)</f>
        <v>0</v>
      </c>
      <c r="J138" s="155">
        <f>SUMIFS('recurring2_based on steps'!$B138:$AY138,'recurring2_based on steps'!$B$1:$AY$1,J$1)+SUMIFS('changes2_based on steps'!$B138:$U138,'changes2_based on steps'!$B$1:$U$1,J$1)</f>
        <v>0</v>
      </c>
      <c r="K138" s="155">
        <f>SUMIFS('recurring2_based on steps'!$B138:$AY138,'recurring2_based on steps'!$B$1:$AY$1,K$1)+SUMIFS('changes2_based on steps'!$B138:$U138,'changes2_based on steps'!$B$1:$U$1,K$1)</f>
        <v>0</v>
      </c>
      <c r="L138" s="155">
        <f>SUMIFS('recurring2_based on steps'!$B138:$AY138,'recurring2_based on steps'!$B$1:$AY$1,L$1)+SUMIFS('changes2_based on steps'!$B138:$U138,'changes2_based on steps'!$B$1:$U$1,L$1)</f>
        <v>0</v>
      </c>
      <c r="M138" s="155">
        <f ca="1">SUMIFS('recurring2_based on steps'!$B138:$AY138,'recurring2_based on steps'!$B$1:$AY$1,M$1)+SUMIFS('changes2_based on steps'!$B138:$U138,'changes2_based on steps'!$B$1:$U$1,M$1)</f>
        <v>0</v>
      </c>
      <c r="N138" s="155">
        <f ca="1">SUMIFS('recurring2_based on steps'!$B138:$AY138,'recurring2_based on steps'!$B$1:$AY$1,N$1)+SUMIFS('changes2_based on steps'!$B138:$U138,'changes2_based on steps'!$B$1:$U$1,N$1)</f>
        <v>0</v>
      </c>
      <c r="O138" s="155">
        <f ca="1">SUMIFS('recurring2_based on steps'!$B138:$AY138,'recurring2_based on steps'!$B$1:$AY$1,O$1)+SUMIFS('changes2_based on steps'!$B138:$U138,'changes2_based on steps'!$B$1:$U$1,O$1)</f>
        <v>0</v>
      </c>
      <c r="P138" s="155">
        <f ca="1">SUMIFS('recurring2_based on steps'!$B138:$AY138,'recurring2_based on steps'!$B$1:$AY$1,P$1)+SUMIFS('changes2_based on steps'!$B138:$U138,'changes2_based on steps'!$B$1:$U$1,P$1)</f>
        <v>0</v>
      </c>
      <c r="Q138" s="155">
        <f>SUMIFS('recurring2_based on steps'!$B138:$AY138,'recurring2_based on steps'!$B$1:$AY$1,Q$1)+SUMIFS('changes2_based on steps'!$B138:$U138,'changes2_based on steps'!$B$1:$U$1,Q$1)</f>
        <v>0</v>
      </c>
      <c r="R138" s="155">
        <f ca="1">SUMIFS('recurring2_based on steps'!$B138:$AY138,'recurring2_based on steps'!$B$1:$AY$1,R$1)+SUMIFS('changes2_based on steps'!$B138:$U138,'changes2_based on steps'!$B$1:$U$1,R$1)</f>
        <v>0</v>
      </c>
      <c r="S138" s="155">
        <f ca="1">SUMIFS('recurring2_based on steps'!$B138:$AY138,'recurring2_based on steps'!$B$1:$AY$1,S$1)+SUMIFS('changes2_based on steps'!$B138:$U138,'changes2_based on steps'!$B$1:$U$1,S$1)</f>
        <v>0</v>
      </c>
      <c r="T138" s="155">
        <f>SUMIFS('recurring2_based on steps'!$B138:$AY138,'recurring2_based on steps'!$B$1:$AY$1,T$1)+SUMIFS('changes2_based on steps'!$B138:$U138,'changes2_based on steps'!$B$1:$U$1,T$1)</f>
        <v>0</v>
      </c>
      <c r="U138" s="155">
        <f ca="1">SUMIFS('recurring2_based on steps'!$B138:$AY138,'recurring2_based on steps'!$B$1:$AY$1,U$1)+SUMIFS('changes2_based on steps'!$B138:$U138,'changes2_based on steps'!$B$1:$U$1,U$1)</f>
        <v>0</v>
      </c>
      <c r="V138" s="155">
        <f>SUMIFS('recurring2_based on steps'!$B138:$AY138,'recurring2_based on steps'!$B$1:$AY$1,V$1)+SUMIFS('changes2_based on steps'!$B138:$U138,'changes2_based on steps'!$B$1:$U$1,V$1)</f>
        <v>0</v>
      </c>
      <c r="W138" s="155">
        <f ca="1">SUMIFS('recurring2_based on steps'!$B138:$AY138,'recurring2_based on steps'!$B$1:$AY$1,W$1)+SUMIFS('changes2_based on steps'!$B138:$U138,'changes2_based on steps'!$B$1:$U$1,W$1)</f>
        <v>0</v>
      </c>
      <c r="X138" s="155">
        <f ca="1">SUMIFS('recurring2_based on steps'!$B138:$AY138,'recurring2_based on steps'!$B$1:$AY$1,X$1)+SUMIFS('changes2_based on steps'!$B138:$U138,'changes2_based on steps'!$B$1:$U$1,X$1)</f>
        <v>0</v>
      </c>
      <c r="Y138" s="155">
        <f ca="1">SUMIFS('recurring2_based on steps'!$B138:$AY138,'recurring2_based on steps'!$B$1:$AY$1,Y$1)+SUMIFS('changes2_based on steps'!$B138:$U138,'changes2_based on steps'!$B$1:$U$1,Y$1)</f>
        <v>0</v>
      </c>
      <c r="Z138" s="155">
        <f>SUMIFS('recurring2_based on steps'!$B138:$AY138,'recurring2_based on steps'!$B$1:$AY$1,Z$1)+SUMIFS('changes2_based on steps'!$B138:$U138,'changes2_based on steps'!$B$1:$U$1,Z$1)</f>
        <v>0</v>
      </c>
      <c r="AA138" s="155">
        <f>SUMIFS('recurring2_based on steps'!$B138:$AY138,'recurring2_based on steps'!$B$1:$AY$1,AA$1)+SUMIFS('changes2_based on steps'!$B138:$U138,'changes2_based on steps'!$B$1:$U$1,AA$1)</f>
        <v>0</v>
      </c>
    </row>
    <row r="139" spans="1:27" x14ac:dyDescent="0.2">
      <c r="A139" s="18">
        <f t="shared" ca="1" si="2"/>
        <v>45825</v>
      </c>
      <c r="B139" s="155">
        <f ca="1">SUMIFS('recurring2_based on steps'!$B139:$AY139,'recurring2_based on steps'!$B$1:$AY$1,B$1)+SUMIFS('changes2_based on steps'!$B139:$U139,'changes2_based on steps'!$B$1:$U$1,B$1)</f>
        <v>0</v>
      </c>
      <c r="C139" s="155">
        <f>SUMIFS('recurring2_based on steps'!$B139:$AY139,'recurring2_based on steps'!$B$1:$AY$1,C$1)+SUMIFS('changes2_based on steps'!$B139:$U139,'changes2_based on steps'!$B$1:$U$1,C$1)</f>
        <v>0</v>
      </c>
      <c r="D139" s="155">
        <f>SUMIFS('recurring2_based on steps'!$B139:$AY139,'recurring2_based on steps'!$B$1:$AY$1,D$1)+SUMIFS('changes2_based on steps'!$B139:$U139,'changes2_based on steps'!$B$1:$U$1,D$1)</f>
        <v>0</v>
      </c>
      <c r="E139" s="155">
        <f>SUMIFS('recurring2_based on steps'!$B139:$AY139,'recurring2_based on steps'!$B$1:$AY$1,E$1)+SUMIFS('changes2_based on steps'!$B139:$U139,'changes2_based on steps'!$B$1:$U$1,E$1)</f>
        <v>0</v>
      </c>
      <c r="F139" s="155">
        <f>SUMIFS('recurring2_based on steps'!$B139:$AY139,'recurring2_based on steps'!$B$1:$AY$1,F$1)+SUMIFS('changes2_based on steps'!$B139:$U139,'changes2_based on steps'!$B$1:$U$1,F$1)</f>
        <v>0</v>
      </c>
      <c r="G139" s="155">
        <f>SUMIFS('recurring2_based on steps'!$B139:$AY139,'recurring2_based on steps'!$B$1:$AY$1,G$1)+SUMIFS('changes2_based on steps'!$B139:$U139,'changes2_based on steps'!$B$1:$U$1,G$1)</f>
        <v>0</v>
      </c>
      <c r="H139" s="155">
        <f ca="1">SUMIFS('recurring2_based on steps'!$B139:$AY139,'recurring2_based on steps'!$B$1:$AY$1,H$1)+SUMIFS('changes2_based on steps'!$B139:$U139,'changes2_based on steps'!$B$1:$U$1,H$1)</f>
        <v>0</v>
      </c>
      <c r="I139" s="155">
        <f>SUMIFS('recurring2_based on steps'!$B139:$AY139,'recurring2_based on steps'!$B$1:$AY$1,I$1)+SUMIFS('changes2_based on steps'!$B139:$U139,'changes2_based on steps'!$B$1:$U$1,I$1)</f>
        <v>0</v>
      </c>
      <c r="J139" s="155">
        <f>SUMIFS('recurring2_based on steps'!$B139:$AY139,'recurring2_based on steps'!$B$1:$AY$1,J$1)+SUMIFS('changes2_based on steps'!$B139:$U139,'changes2_based on steps'!$B$1:$U$1,J$1)</f>
        <v>0</v>
      </c>
      <c r="K139" s="155">
        <f>SUMIFS('recurring2_based on steps'!$B139:$AY139,'recurring2_based on steps'!$B$1:$AY$1,K$1)+SUMIFS('changes2_based on steps'!$B139:$U139,'changes2_based on steps'!$B$1:$U$1,K$1)</f>
        <v>0</v>
      </c>
      <c r="L139" s="155">
        <f>SUMIFS('recurring2_based on steps'!$B139:$AY139,'recurring2_based on steps'!$B$1:$AY$1,L$1)+SUMIFS('changes2_based on steps'!$B139:$U139,'changes2_based on steps'!$B$1:$U$1,L$1)</f>
        <v>0</v>
      </c>
      <c r="M139" s="155">
        <f ca="1">SUMIFS('recurring2_based on steps'!$B139:$AY139,'recurring2_based on steps'!$B$1:$AY$1,M$1)+SUMIFS('changes2_based on steps'!$B139:$U139,'changes2_based on steps'!$B$1:$U$1,M$1)</f>
        <v>0</v>
      </c>
      <c r="N139" s="155">
        <f ca="1">SUMIFS('recurring2_based on steps'!$B139:$AY139,'recurring2_based on steps'!$B$1:$AY$1,N$1)+SUMIFS('changes2_based on steps'!$B139:$U139,'changes2_based on steps'!$B$1:$U$1,N$1)</f>
        <v>0</v>
      </c>
      <c r="O139" s="155">
        <f ca="1">SUMIFS('recurring2_based on steps'!$B139:$AY139,'recurring2_based on steps'!$B$1:$AY$1,O$1)+SUMIFS('changes2_based on steps'!$B139:$U139,'changes2_based on steps'!$B$1:$U$1,O$1)</f>
        <v>0</v>
      </c>
      <c r="P139" s="155">
        <f ca="1">SUMIFS('recurring2_based on steps'!$B139:$AY139,'recurring2_based on steps'!$B$1:$AY$1,P$1)+SUMIFS('changes2_based on steps'!$B139:$U139,'changes2_based on steps'!$B$1:$U$1,P$1)</f>
        <v>0</v>
      </c>
      <c r="Q139" s="155">
        <f>SUMIFS('recurring2_based on steps'!$B139:$AY139,'recurring2_based on steps'!$B$1:$AY$1,Q$1)+SUMIFS('changes2_based on steps'!$B139:$U139,'changes2_based on steps'!$B$1:$U$1,Q$1)</f>
        <v>0</v>
      </c>
      <c r="R139" s="155">
        <f ca="1">SUMIFS('recurring2_based on steps'!$B139:$AY139,'recurring2_based on steps'!$B$1:$AY$1,R$1)+SUMIFS('changes2_based on steps'!$B139:$U139,'changes2_based on steps'!$B$1:$U$1,R$1)</f>
        <v>0</v>
      </c>
      <c r="S139" s="155">
        <f ca="1">SUMIFS('recurring2_based on steps'!$B139:$AY139,'recurring2_based on steps'!$B$1:$AY$1,S$1)+SUMIFS('changes2_based on steps'!$B139:$U139,'changes2_based on steps'!$B$1:$U$1,S$1)</f>
        <v>0</v>
      </c>
      <c r="T139" s="155">
        <f>SUMIFS('recurring2_based on steps'!$B139:$AY139,'recurring2_based on steps'!$B$1:$AY$1,T$1)+SUMIFS('changes2_based on steps'!$B139:$U139,'changes2_based on steps'!$B$1:$U$1,T$1)</f>
        <v>0</v>
      </c>
      <c r="U139" s="155">
        <f ca="1">SUMIFS('recurring2_based on steps'!$B139:$AY139,'recurring2_based on steps'!$B$1:$AY$1,U$1)+SUMIFS('changes2_based on steps'!$B139:$U139,'changes2_based on steps'!$B$1:$U$1,U$1)</f>
        <v>15.49</v>
      </c>
      <c r="V139" s="155">
        <f>SUMIFS('recurring2_based on steps'!$B139:$AY139,'recurring2_based on steps'!$B$1:$AY$1,V$1)+SUMIFS('changes2_based on steps'!$B139:$U139,'changes2_based on steps'!$B$1:$U$1,V$1)</f>
        <v>0</v>
      </c>
      <c r="W139" s="155">
        <f ca="1">SUMIFS('recurring2_based on steps'!$B139:$AY139,'recurring2_based on steps'!$B$1:$AY$1,W$1)+SUMIFS('changes2_based on steps'!$B139:$U139,'changes2_based on steps'!$B$1:$U$1,W$1)</f>
        <v>0</v>
      </c>
      <c r="X139" s="155">
        <f ca="1">SUMIFS('recurring2_based on steps'!$B139:$AY139,'recurring2_based on steps'!$B$1:$AY$1,X$1)+SUMIFS('changes2_based on steps'!$B139:$U139,'changes2_based on steps'!$B$1:$U$1,X$1)</f>
        <v>0</v>
      </c>
      <c r="Y139" s="155">
        <f ca="1">SUMIFS('recurring2_based on steps'!$B139:$AY139,'recurring2_based on steps'!$B$1:$AY$1,Y$1)+SUMIFS('changes2_based on steps'!$B139:$U139,'changes2_based on steps'!$B$1:$U$1,Y$1)</f>
        <v>200</v>
      </c>
      <c r="Z139" s="155">
        <f>SUMIFS('recurring2_based on steps'!$B139:$AY139,'recurring2_based on steps'!$B$1:$AY$1,Z$1)+SUMIFS('changes2_based on steps'!$B139:$U139,'changes2_based on steps'!$B$1:$U$1,Z$1)</f>
        <v>0</v>
      </c>
      <c r="AA139" s="155">
        <f>SUMIFS('recurring2_based on steps'!$B139:$AY139,'recurring2_based on steps'!$B$1:$AY$1,AA$1)+SUMIFS('changes2_based on steps'!$B139:$U139,'changes2_based on steps'!$B$1:$U$1,AA$1)</f>
        <v>0</v>
      </c>
    </row>
    <row r="140" spans="1:27" x14ac:dyDescent="0.2">
      <c r="A140" s="18">
        <f t="shared" ca="1" si="2"/>
        <v>45826</v>
      </c>
      <c r="B140" s="155">
        <f ca="1">SUMIFS('recurring2_based on steps'!$B140:$AY140,'recurring2_based on steps'!$B$1:$AY$1,B$1)+SUMIFS('changes2_based on steps'!$B140:$U140,'changes2_based on steps'!$B$1:$U$1,B$1)</f>
        <v>100</v>
      </c>
      <c r="C140" s="155">
        <f>SUMIFS('recurring2_based on steps'!$B140:$AY140,'recurring2_based on steps'!$B$1:$AY$1,C$1)+SUMIFS('changes2_based on steps'!$B140:$U140,'changes2_based on steps'!$B$1:$U$1,C$1)</f>
        <v>0</v>
      </c>
      <c r="D140" s="155">
        <f>SUMIFS('recurring2_based on steps'!$B140:$AY140,'recurring2_based on steps'!$B$1:$AY$1,D$1)+SUMIFS('changes2_based on steps'!$B140:$U140,'changes2_based on steps'!$B$1:$U$1,D$1)</f>
        <v>0</v>
      </c>
      <c r="E140" s="155">
        <f>SUMIFS('recurring2_based on steps'!$B140:$AY140,'recurring2_based on steps'!$B$1:$AY$1,E$1)+SUMIFS('changes2_based on steps'!$B140:$U140,'changes2_based on steps'!$B$1:$U$1,E$1)</f>
        <v>0</v>
      </c>
      <c r="F140" s="155">
        <f>SUMIFS('recurring2_based on steps'!$B140:$AY140,'recurring2_based on steps'!$B$1:$AY$1,F$1)+SUMIFS('changes2_based on steps'!$B140:$U140,'changes2_based on steps'!$B$1:$U$1,F$1)</f>
        <v>0</v>
      </c>
      <c r="G140" s="155">
        <f>SUMIFS('recurring2_based on steps'!$B140:$AY140,'recurring2_based on steps'!$B$1:$AY$1,G$1)+SUMIFS('changes2_based on steps'!$B140:$U140,'changes2_based on steps'!$B$1:$U$1,G$1)</f>
        <v>0</v>
      </c>
      <c r="H140" s="155">
        <f ca="1">SUMIFS('recurring2_based on steps'!$B140:$AY140,'recurring2_based on steps'!$B$1:$AY$1,H$1)+SUMIFS('changes2_based on steps'!$B140:$U140,'changes2_based on steps'!$B$1:$U$1,H$1)</f>
        <v>0</v>
      </c>
      <c r="I140" s="155">
        <f>SUMIFS('recurring2_based on steps'!$B140:$AY140,'recurring2_based on steps'!$B$1:$AY$1,I$1)+SUMIFS('changes2_based on steps'!$B140:$U140,'changes2_based on steps'!$B$1:$U$1,I$1)</f>
        <v>0</v>
      </c>
      <c r="J140" s="155">
        <f>SUMIFS('recurring2_based on steps'!$B140:$AY140,'recurring2_based on steps'!$B$1:$AY$1,J$1)+SUMIFS('changes2_based on steps'!$B140:$U140,'changes2_based on steps'!$B$1:$U$1,J$1)</f>
        <v>0</v>
      </c>
      <c r="K140" s="155">
        <f>SUMIFS('recurring2_based on steps'!$B140:$AY140,'recurring2_based on steps'!$B$1:$AY$1,K$1)+SUMIFS('changes2_based on steps'!$B140:$U140,'changes2_based on steps'!$B$1:$U$1,K$1)</f>
        <v>0</v>
      </c>
      <c r="L140" s="155">
        <f>SUMIFS('recurring2_based on steps'!$B140:$AY140,'recurring2_based on steps'!$B$1:$AY$1,L$1)+SUMIFS('changes2_based on steps'!$B140:$U140,'changes2_based on steps'!$B$1:$U$1,L$1)</f>
        <v>0</v>
      </c>
      <c r="M140" s="155">
        <f ca="1">SUMIFS('recurring2_based on steps'!$B140:$AY140,'recurring2_based on steps'!$B$1:$AY$1,M$1)+SUMIFS('changes2_based on steps'!$B140:$U140,'changes2_based on steps'!$B$1:$U$1,M$1)</f>
        <v>0</v>
      </c>
      <c r="N140" s="155">
        <f ca="1">SUMIFS('recurring2_based on steps'!$B140:$AY140,'recurring2_based on steps'!$B$1:$AY$1,N$1)+SUMIFS('changes2_based on steps'!$B140:$U140,'changes2_based on steps'!$B$1:$U$1,N$1)</f>
        <v>0</v>
      </c>
      <c r="O140" s="155">
        <f ca="1">SUMIFS('recurring2_based on steps'!$B140:$AY140,'recurring2_based on steps'!$B$1:$AY$1,O$1)+SUMIFS('changes2_based on steps'!$B140:$U140,'changes2_based on steps'!$B$1:$U$1,O$1)</f>
        <v>0</v>
      </c>
      <c r="P140" s="155">
        <f ca="1">SUMIFS('recurring2_based on steps'!$B140:$AY140,'recurring2_based on steps'!$B$1:$AY$1,P$1)+SUMIFS('changes2_based on steps'!$B140:$U140,'changes2_based on steps'!$B$1:$U$1,P$1)</f>
        <v>0</v>
      </c>
      <c r="Q140" s="155">
        <f>SUMIFS('recurring2_based on steps'!$B140:$AY140,'recurring2_based on steps'!$B$1:$AY$1,Q$1)+SUMIFS('changes2_based on steps'!$B140:$U140,'changes2_based on steps'!$B$1:$U$1,Q$1)</f>
        <v>0</v>
      </c>
      <c r="R140" s="155">
        <f ca="1">SUMIFS('recurring2_based on steps'!$B140:$AY140,'recurring2_based on steps'!$B$1:$AY$1,R$1)+SUMIFS('changes2_based on steps'!$B140:$U140,'changes2_based on steps'!$B$1:$U$1,R$1)</f>
        <v>0</v>
      </c>
      <c r="S140" s="155">
        <f ca="1">SUMIFS('recurring2_based on steps'!$B140:$AY140,'recurring2_based on steps'!$B$1:$AY$1,S$1)+SUMIFS('changes2_based on steps'!$B140:$U140,'changes2_based on steps'!$B$1:$U$1,S$1)</f>
        <v>0</v>
      </c>
      <c r="T140" s="155">
        <f>SUMIFS('recurring2_based on steps'!$B140:$AY140,'recurring2_based on steps'!$B$1:$AY$1,T$1)+SUMIFS('changes2_based on steps'!$B140:$U140,'changes2_based on steps'!$B$1:$U$1,T$1)</f>
        <v>0</v>
      </c>
      <c r="U140" s="155">
        <f ca="1">SUMIFS('recurring2_based on steps'!$B140:$AY140,'recurring2_based on steps'!$B$1:$AY$1,U$1)+SUMIFS('changes2_based on steps'!$B140:$U140,'changes2_based on steps'!$B$1:$U$1,U$1)</f>
        <v>10.99</v>
      </c>
      <c r="V140" s="155">
        <f>SUMIFS('recurring2_based on steps'!$B140:$AY140,'recurring2_based on steps'!$B$1:$AY$1,V$1)+SUMIFS('changes2_based on steps'!$B140:$U140,'changes2_based on steps'!$B$1:$U$1,V$1)</f>
        <v>0</v>
      </c>
      <c r="W140" s="155">
        <f ca="1">SUMIFS('recurring2_based on steps'!$B140:$AY140,'recurring2_based on steps'!$B$1:$AY$1,W$1)+SUMIFS('changes2_based on steps'!$B140:$U140,'changes2_based on steps'!$B$1:$U$1,W$1)</f>
        <v>0</v>
      </c>
      <c r="X140" s="155">
        <f ca="1">SUMIFS('recurring2_based on steps'!$B140:$AY140,'recurring2_based on steps'!$B$1:$AY$1,X$1)+SUMIFS('changes2_based on steps'!$B140:$U140,'changes2_based on steps'!$B$1:$U$1,X$1)</f>
        <v>0</v>
      </c>
      <c r="Y140" s="155">
        <f ca="1">SUMIFS('recurring2_based on steps'!$B140:$AY140,'recurring2_based on steps'!$B$1:$AY$1,Y$1)+SUMIFS('changes2_based on steps'!$B140:$U140,'changes2_based on steps'!$B$1:$U$1,Y$1)</f>
        <v>0</v>
      </c>
      <c r="Z140" s="155">
        <f>SUMIFS('recurring2_based on steps'!$B140:$AY140,'recurring2_based on steps'!$B$1:$AY$1,Z$1)+SUMIFS('changes2_based on steps'!$B140:$U140,'changes2_based on steps'!$B$1:$U$1,Z$1)</f>
        <v>0</v>
      </c>
      <c r="AA140" s="155">
        <f>SUMIFS('recurring2_based on steps'!$B140:$AY140,'recurring2_based on steps'!$B$1:$AY$1,AA$1)+SUMIFS('changes2_based on steps'!$B140:$U140,'changes2_based on steps'!$B$1:$U$1,AA$1)</f>
        <v>0</v>
      </c>
    </row>
    <row r="141" spans="1:27" x14ac:dyDescent="0.2">
      <c r="A141" s="18">
        <f t="shared" ca="1" si="2"/>
        <v>45827</v>
      </c>
      <c r="B141" s="155">
        <f ca="1">SUMIFS('recurring2_based on steps'!$B141:$AY141,'recurring2_based on steps'!$B$1:$AY$1,B$1)+SUMIFS('changes2_based on steps'!$B141:$U141,'changes2_based on steps'!$B$1:$U$1,B$1)</f>
        <v>0</v>
      </c>
      <c r="C141" s="155">
        <f>SUMIFS('recurring2_based on steps'!$B141:$AY141,'recurring2_based on steps'!$B$1:$AY$1,C$1)+SUMIFS('changes2_based on steps'!$B141:$U141,'changes2_based on steps'!$B$1:$U$1,C$1)</f>
        <v>0</v>
      </c>
      <c r="D141" s="155">
        <f>SUMIFS('recurring2_based on steps'!$B141:$AY141,'recurring2_based on steps'!$B$1:$AY$1,D$1)+SUMIFS('changes2_based on steps'!$B141:$U141,'changes2_based on steps'!$B$1:$U$1,D$1)</f>
        <v>0</v>
      </c>
      <c r="E141" s="155">
        <f>SUMIFS('recurring2_based on steps'!$B141:$AY141,'recurring2_based on steps'!$B$1:$AY$1,E$1)+SUMIFS('changes2_based on steps'!$B141:$U141,'changes2_based on steps'!$B$1:$U$1,E$1)</f>
        <v>0</v>
      </c>
      <c r="F141" s="155">
        <f>SUMIFS('recurring2_based on steps'!$B141:$AY141,'recurring2_based on steps'!$B$1:$AY$1,F$1)+SUMIFS('changes2_based on steps'!$B141:$U141,'changes2_based on steps'!$B$1:$U$1,F$1)</f>
        <v>0</v>
      </c>
      <c r="G141" s="155">
        <f>SUMIFS('recurring2_based on steps'!$B141:$AY141,'recurring2_based on steps'!$B$1:$AY$1,G$1)+SUMIFS('changes2_based on steps'!$B141:$U141,'changes2_based on steps'!$B$1:$U$1,G$1)</f>
        <v>0</v>
      </c>
      <c r="H141" s="155">
        <f ca="1">SUMIFS('recurring2_based on steps'!$B141:$AY141,'recurring2_based on steps'!$B$1:$AY$1,H$1)+SUMIFS('changes2_based on steps'!$B141:$U141,'changes2_based on steps'!$B$1:$U$1,H$1)</f>
        <v>0</v>
      </c>
      <c r="I141" s="155">
        <f>SUMIFS('recurring2_based on steps'!$B141:$AY141,'recurring2_based on steps'!$B$1:$AY$1,I$1)+SUMIFS('changes2_based on steps'!$B141:$U141,'changes2_based on steps'!$B$1:$U$1,I$1)</f>
        <v>0</v>
      </c>
      <c r="J141" s="155">
        <f>SUMIFS('recurring2_based on steps'!$B141:$AY141,'recurring2_based on steps'!$B$1:$AY$1,J$1)+SUMIFS('changes2_based on steps'!$B141:$U141,'changes2_based on steps'!$B$1:$U$1,J$1)</f>
        <v>0</v>
      </c>
      <c r="K141" s="155">
        <f>SUMIFS('recurring2_based on steps'!$B141:$AY141,'recurring2_based on steps'!$B$1:$AY$1,K$1)+SUMIFS('changes2_based on steps'!$B141:$U141,'changes2_based on steps'!$B$1:$U$1,K$1)</f>
        <v>0</v>
      </c>
      <c r="L141" s="155">
        <f>SUMIFS('recurring2_based on steps'!$B141:$AY141,'recurring2_based on steps'!$B$1:$AY$1,L$1)+SUMIFS('changes2_based on steps'!$B141:$U141,'changes2_based on steps'!$B$1:$U$1,L$1)</f>
        <v>0</v>
      </c>
      <c r="M141" s="155">
        <f ca="1">SUMIFS('recurring2_based on steps'!$B141:$AY141,'recurring2_based on steps'!$B$1:$AY$1,M$1)+SUMIFS('changes2_based on steps'!$B141:$U141,'changes2_based on steps'!$B$1:$U$1,M$1)</f>
        <v>0</v>
      </c>
      <c r="N141" s="155">
        <f ca="1">SUMIFS('recurring2_based on steps'!$B141:$AY141,'recurring2_based on steps'!$B$1:$AY$1,N$1)+SUMIFS('changes2_based on steps'!$B141:$U141,'changes2_based on steps'!$B$1:$U$1,N$1)</f>
        <v>0</v>
      </c>
      <c r="O141" s="155">
        <f ca="1">SUMIFS('recurring2_based on steps'!$B141:$AY141,'recurring2_based on steps'!$B$1:$AY$1,O$1)+SUMIFS('changes2_based on steps'!$B141:$U141,'changes2_based on steps'!$B$1:$U$1,O$1)</f>
        <v>0</v>
      </c>
      <c r="P141" s="155">
        <f ca="1">SUMIFS('recurring2_based on steps'!$B141:$AY141,'recurring2_based on steps'!$B$1:$AY$1,P$1)+SUMIFS('changes2_based on steps'!$B141:$U141,'changes2_based on steps'!$B$1:$U$1,P$1)</f>
        <v>0</v>
      </c>
      <c r="Q141" s="155">
        <f>SUMIFS('recurring2_based on steps'!$B141:$AY141,'recurring2_based on steps'!$B$1:$AY$1,Q$1)+SUMIFS('changes2_based on steps'!$B141:$U141,'changes2_based on steps'!$B$1:$U$1,Q$1)</f>
        <v>0</v>
      </c>
      <c r="R141" s="155">
        <f ca="1">SUMIFS('recurring2_based on steps'!$B141:$AY141,'recurring2_based on steps'!$B$1:$AY$1,R$1)+SUMIFS('changes2_based on steps'!$B141:$U141,'changes2_based on steps'!$B$1:$U$1,R$1)</f>
        <v>0</v>
      </c>
      <c r="S141" s="155">
        <f ca="1">SUMIFS('recurring2_based on steps'!$B141:$AY141,'recurring2_based on steps'!$B$1:$AY$1,S$1)+SUMIFS('changes2_based on steps'!$B141:$U141,'changes2_based on steps'!$B$1:$U$1,S$1)</f>
        <v>0</v>
      </c>
      <c r="T141" s="155">
        <f>SUMIFS('recurring2_based on steps'!$B141:$AY141,'recurring2_based on steps'!$B$1:$AY$1,T$1)+SUMIFS('changes2_based on steps'!$B141:$U141,'changes2_based on steps'!$B$1:$U$1,T$1)</f>
        <v>0</v>
      </c>
      <c r="U141" s="155">
        <f ca="1">SUMIFS('recurring2_based on steps'!$B141:$AY141,'recurring2_based on steps'!$B$1:$AY$1,U$1)+SUMIFS('changes2_based on steps'!$B141:$U141,'changes2_based on steps'!$B$1:$U$1,U$1)</f>
        <v>0</v>
      </c>
      <c r="V141" s="155">
        <f>SUMIFS('recurring2_based on steps'!$B141:$AY141,'recurring2_based on steps'!$B$1:$AY$1,V$1)+SUMIFS('changes2_based on steps'!$B141:$U141,'changes2_based on steps'!$B$1:$U$1,V$1)</f>
        <v>0</v>
      </c>
      <c r="W141" s="155">
        <f ca="1">SUMIFS('recurring2_based on steps'!$B141:$AY141,'recurring2_based on steps'!$B$1:$AY$1,W$1)+SUMIFS('changes2_based on steps'!$B141:$U141,'changes2_based on steps'!$B$1:$U$1,W$1)</f>
        <v>0</v>
      </c>
      <c r="X141" s="155">
        <f ca="1">SUMIFS('recurring2_based on steps'!$B141:$AY141,'recurring2_based on steps'!$B$1:$AY$1,X$1)+SUMIFS('changes2_based on steps'!$B141:$U141,'changes2_based on steps'!$B$1:$U$1,X$1)</f>
        <v>0</v>
      </c>
      <c r="Y141" s="155">
        <f ca="1">SUMIFS('recurring2_based on steps'!$B141:$AY141,'recurring2_based on steps'!$B$1:$AY$1,Y$1)+SUMIFS('changes2_based on steps'!$B141:$U141,'changes2_based on steps'!$B$1:$U$1,Y$1)</f>
        <v>0</v>
      </c>
      <c r="Z141" s="155">
        <f>SUMIFS('recurring2_based on steps'!$B141:$AY141,'recurring2_based on steps'!$B$1:$AY$1,Z$1)+SUMIFS('changes2_based on steps'!$B141:$U141,'changes2_based on steps'!$B$1:$U$1,Z$1)</f>
        <v>0</v>
      </c>
      <c r="AA141" s="155">
        <f>SUMIFS('recurring2_based on steps'!$B141:$AY141,'recurring2_based on steps'!$B$1:$AY$1,AA$1)+SUMIFS('changes2_based on steps'!$B141:$U141,'changes2_based on steps'!$B$1:$U$1,AA$1)</f>
        <v>0</v>
      </c>
    </row>
    <row r="142" spans="1:27" x14ac:dyDescent="0.2">
      <c r="A142" s="18">
        <f t="shared" ca="1" si="2"/>
        <v>45828</v>
      </c>
      <c r="B142" s="155">
        <f ca="1">SUMIFS('recurring2_based on steps'!$B142:$AY142,'recurring2_based on steps'!$B$1:$AY$1,B$1)+SUMIFS('changes2_based on steps'!$B142:$U142,'changes2_based on steps'!$B$1:$U$1,B$1)</f>
        <v>0</v>
      </c>
      <c r="C142" s="155">
        <f>SUMIFS('recurring2_based on steps'!$B142:$AY142,'recurring2_based on steps'!$B$1:$AY$1,C$1)+SUMIFS('changes2_based on steps'!$B142:$U142,'changes2_based on steps'!$B$1:$U$1,C$1)</f>
        <v>0</v>
      </c>
      <c r="D142" s="155">
        <f>SUMIFS('recurring2_based on steps'!$B142:$AY142,'recurring2_based on steps'!$B$1:$AY$1,D$1)+SUMIFS('changes2_based on steps'!$B142:$U142,'changes2_based on steps'!$B$1:$U$1,D$1)</f>
        <v>0</v>
      </c>
      <c r="E142" s="155">
        <f>SUMIFS('recurring2_based on steps'!$B142:$AY142,'recurring2_based on steps'!$B$1:$AY$1,E$1)+SUMIFS('changes2_based on steps'!$B142:$U142,'changes2_based on steps'!$B$1:$U$1,E$1)</f>
        <v>0</v>
      </c>
      <c r="F142" s="155">
        <f>SUMIFS('recurring2_based on steps'!$B142:$AY142,'recurring2_based on steps'!$B$1:$AY$1,F$1)+SUMIFS('changes2_based on steps'!$B142:$U142,'changes2_based on steps'!$B$1:$U$1,F$1)</f>
        <v>0</v>
      </c>
      <c r="G142" s="155">
        <f>SUMIFS('recurring2_based on steps'!$B142:$AY142,'recurring2_based on steps'!$B$1:$AY$1,G$1)+SUMIFS('changes2_based on steps'!$B142:$U142,'changes2_based on steps'!$B$1:$U$1,G$1)</f>
        <v>0</v>
      </c>
      <c r="H142" s="155">
        <f ca="1">SUMIFS('recurring2_based on steps'!$B142:$AY142,'recurring2_based on steps'!$B$1:$AY$1,H$1)+SUMIFS('changes2_based on steps'!$B142:$U142,'changes2_based on steps'!$B$1:$U$1,H$1)</f>
        <v>0</v>
      </c>
      <c r="I142" s="155">
        <f>SUMIFS('recurring2_based on steps'!$B142:$AY142,'recurring2_based on steps'!$B$1:$AY$1,I$1)+SUMIFS('changes2_based on steps'!$B142:$U142,'changes2_based on steps'!$B$1:$U$1,I$1)</f>
        <v>0</v>
      </c>
      <c r="J142" s="155">
        <f>SUMIFS('recurring2_based on steps'!$B142:$AY142,'recurring2_based on steps'!$B$1:$AY$1,J$1)+SUMIFS('changes2_based on steps'!$B142:$U142,'changes2_based on steps'!$B$1:$U$1,J$1)</f>
        <v>0</v>
      </c>
      <c r="K142" s="155">
        <f>SUMIFS('recurring2_based on steps'!$B142:$AY142,'recurring2_based on steps'!$B$1:$AY$1,K$1)+SUMIFS('changes2_based on steps'!$B142:$U142,'changes2_based on steps'!$B$1:$U$1,K$1)</f>
        <v>0</v>
      </c>
      <c r="L142" s="155">
        <f>SUMIFS('recurring2_based on steps'!$B142:$AY142,'recurring2_based on steps'!$B$1:$AY$1,L$1)+SUMIFS('changes2_based on steps'!$B142:$U142,'changes2_based on steps'!$B$1:$U$1,L$1)</f>
        <v>0</v>
      </c>
      <c r="M142" s="155">
        <f ca="1">SUMIFS('recurring2_based on steps'!$B142:$AY142,'recurring2_based on steps'!$B$1:$AY$1,M$1)+SUMIFS('changes2_based on steps'!$B142:$U142,'changes2_based on steps'!$B$1:$U$1,M$1)</f>
        <v>0</v>
      </c>
      <c r="N142" s="155">
        <f ca="1">SUMIFS('recurring2_based on steps'!$B142:$AY142,'recurring2_based on steps'!$B$1:$AY$1,N$1)+SUMIFS('changes2_based on steps'!$B142:$U142,'changes2_based on steps'!$B$1:$U$1,N$1)</f>
        <v>0</v>
      </c>
      <c r="O142" s="155">
        <f ca="1">SUMIFS('recurring2_based on steps'!$B142:$AY142,'recurring2_based on steps'!$B$1:$AY$1,O$1)+SUMIFS('changes2_based on steps'!$B142:$U142,'changes2_based on steps'!$B$1:$U$1,O$1)</f>
        <v>0</v>
      </c>
      <c r="P142" s="155">
        <f ca="1">SUMIFS('recurring2_based on steps'!$B142:$AY142,'recurring2_based on steps'!$B$1:$AY$1,P$1)+SUMIFS('changes2_based on steps'!$B142:$U142,'changes2_based on steps'!$B$1:$U$1,P$1)</f>
        <v>0</v>
      </c>
      <c r="Q142" s="155">
        <f>SUMIFS('recurring2_based on steps'!$B142:$AY142,'recurring2_based on steps'!$B$1:$AY$1,Q$1)+SUMIFS('changes2_based on steps'!$B142:$U142,'changes2_based on steps'!$B$1:$U$1,Q$1)</f>
        <v>0</v>
      </c>
      <c r="R142" s="155">
        <f ca="1">SUMIFS('recurring2_based on steps'!$B142:$AY142,'recurring2_based on steps'!$B$1:$AY$1,R$1)+SUMIFS('changes2_based on steps'!$B142:$U142,'changes2_based on steps'!$B$1:$U$1,R$1)</f>
        <v>0</v>
      </c>
      <c r="S142" s="155">
        <f ca="1">SUMIFS('recurring2_based on steps'!$B142:$AY142,'recurring2_based on steps'!$B$1:$AY$1,S$1)+SUMIFS('changes2_based on steps'!$B142:$U142,'changes2_based on steps'!$B$1:$U$1,S$1)</f>
        <v>0</v>
      </c>
      <c r="T142" s="155">
        <f>SUMIFS('recurring2_based on steps'!$B142:$AY142,'recurring2_based on steps'!$B$1:$AY$1,T$1)+SUMIFS('changes2_based on steps'!$B142:$U142,'changes2_based on steps'!$B$1:$U$1,T$1)</f>
        <v>0</v>
      </c>
      <c r="U142" s="155">
        <f ca="1">SUMIFS('recurring2_based on steps'!$B142:$AY142,'recurring2_based on steps'!$B$1:$AY$1,U$1)+SUMIFS('changes2_based on steps'!$B142:$U142,'changes2_based on steps'!$B$1:$U$1,U$1)</f>
        <v>0</v>
      </c>
      <c r="V142" s="155">
        <f>SUMIFS('recurring2_based on steps'!$B142:$AY142,'recurring2_based on steps'!$B$1:$AY$1,V$1)+SUMIFS('changes2_based on steps'!$B142:$U142,'changes2_based on steps'!$B$1:$U$1,V$1)</f>
        <v>0</v>
      </c>
      <c r="W142" s="155">
        <f ca="1">SUMIFS('recurring2_based on steps'!$B142:$AY142,'recurring2_based on steps'!$B$1:$AY$1,W$1)+SUMIFS('changes2_based on steps'!$B142:$U142,'changes2_based on steps'!$B$1:$U$1,W$1)</f>
        <v>0</v>
      </c>
      <c r="X142" s="155">
        <f ca="1">SUMIFS('recurring2_based on steps'!$B142:$AY142,'recurring2_based on steps'!$B$1:$AY$1,X$1)+SUMIFS('changes2_based on steps'!$B142:$U142,'changes2_based on steps'!$B$1:$U$1,X$1)</f>
        <v>0</v>
      </c>
      <c r="Y142" s="155">
        <f ca="1">SUMIFS('recurring2_based on steps'!$B142:$AY142,'recurring2_based on steps'!$B$1:$AY$1,Y$1)+SUMIFS('changes2_based on steps'!$B142:$U142,'changes2_based on steps'!$B$1:$U$1,Y$1)</f>
        <v>0</v>
      </c>
      <c r="Z142" s="155">
        <f>SUMIFS('recurring2_based on steps'!$B142:$AY142,'recurring2_based on steps'!$B$1:$AY$1,Z$1)+SUMIFS('changes2_based on steps'!$B142:$U142,'changes2_based on steps'!$B$1:$U$1,Z$1)</f>
        <v>0</v>
      </c>
      <c r="AA142" s="155">
        <f>SUMIFS('recurring2_based on steps'!$B142:$AY142,'recurring2_based on steps'!$B$1:$AY$1,AA$1)+SUMIFS('changes2_based on steps'!$B142:$U142,'changes2_based on steps'!$B$1:$U$1,AA$1)</f>
        <v>0</v>
      </c>
    </row>
    <row r="143" spans="1:27" x14ac:dyDescent="0.2">
      <c r="A143" s="18">
        <f t="shared" ca="1" si="2"/>
        <v>45829</v>
      </c>
      <c r="B143" s="155">
        <f ca="1">SUMIFS('recurring2_based on steps'!$B143:$AY143,'recurring2_based on steps'!$B$1:$AY$1,B$1)+SUMIFS('changes2_based on steps'!$B143:$U143,'changes2_based on steps'!$B$1:$U$1,B$1)</f>
        <v>0</v>
      </c>
      <c r="C143" s="155">
        <f>SUMIFS('recurring2_based on steps'!$B143:$AY143,'recurring2_based on steps'!$B$1:$AY$1,C$1)+SUMIFS('changes2_based on steps'!$B143:$U143,'changes2_based on steps'!$B$1:$U$1,C$1)</f>
        <v>0</v>
      </c>
      <c r="D143" s="155">
        <f>SUMIFS('recurring2_based on steps'!$B143:$AY143,'recurring2_based on steps'!$B$1:$AY$1,D$1)+SUMIFS('changes2_based on steps'!$B143:$U143,'changes2_based on steps'!$B$1:$U$1,D$1)</f>
        <v>0</v>
      </c>
      <c r="E143" s="155">
        <f>SUMIFS('recurring2_based on steps'!$B143:$AY143,'recurring2_based on steps'!$B$1:$AY$1,E$1)+SUMIFS('changes2_based on steps'!$B143:$U143,'changes2_based on steps'!$B$1:$U$1,E$1)</f>
        <v>0</v>
      </c>
      <c r="F143" s="155">
        <f>SUMIFS('recurring2_based on steps'!$B143:$AY143,'recurring2_based on steps'!$B$1:$AY$1,F$1)+SUMIFS('changes2_based on steps'!$B143:$U143,'changes2_based on steps'!$B$1:$U$1,F$1)</f>
        <v>0</v>
      </c>
      <c r="G143" s="155">
        <f>SUMIFS('recurring2_based on steps'!$B143:$AY143,'recurring2_based on steps'!$B$1:$AY$1,G$1)+SUMIFS('changes2_based on steps'!$B143:$U143,'changes2_based on steps'!$B$1:$U$1,G$1)</f>
        <v>0</v>
      </c>
      <c r="H143" s="155">
        <f ca="1">SUMIFS('recurring2_based on steps'!$B143:$AY143,'recurring2_based on steps'!$B$1:$AY$1,H$1)+SUMIFS('changes2_based on steps'!$B143:$U143,'changes2_based on steps'!$B$1:$U$1,H$1)</f>
        <v>0</v>
      </c>
      <c r="I143" s="155">
        <f>SUMIFS('recurring2_based on steps'!$B143:$AY143,'recurring2_based on steps'!$B$1:$AY$1,I$1)+SUMIFS('changes2_based on steps'!$B143:$U143,'changes2_based on steps'!$B$1:$U$1,I$1)</f>
        <v>0</v>
      </c>
      <c r="J143" s="155">
        <f>SUMIFS('recurring2_based on steps'!$B143:$AY143,'recurring2_based on steps'!$B$1:$AY$1,J$1)+SUMIFS('changes2_based on steps'!$B143:$U143,'changes2_based on steps'!$B$1:$U$1,J$1)</f>
        <v>0</v>
      </c>
      <c r="K143" s="155">
        <f>SUMIFS('recurring2_based on steps'!$B143:$AY143,'recurring2_based on steps'!$B$1:$AY$1,K$1)+SUMIFS('changes2_based on steps'!$B143:$U143,'changes2_based on steps'!$B$1:$U$1,K$1)</f>
        <v>0</v>
      </c>
      <c r="L143" s="155">
        <f>SUMIFS('recurring2_based on steps'!$B143:$AY143,'recurring2_based on steps'!$B$1:$AY$1,L$1)+SUMIFS('changes2_based on steps'!$B143:$U143,'changes2_based on steps'!$B$1:$U$1,L$1)</f>
        <v>0</v>
      </c>
      <c r="M143" s="155">
        <f ca="1">SUMIFS('recurring2_based on steps'!$B143:$AY143,'recurring2_based on steps'!$B$1:$AY$1,M$1)+SUMIFS('changes2_based on steps'!$B143:$U143,'changes2_based on steps'!$B$1:$U$1,M$1)</f>
        <v>0</v>
      </c>
      <c r="N143" s="155">
        <f ca="1">SUMIFS('recurring2_based on steps'!$B143:$AY143,'recurring2_based on steps'!$B$1:$AY$1,N$1)+SUMIFS('changes2_based on steps'!$B143:$U143,'changes2_based on steps'!$B$1:$U$1,N$1)</f>
        <v>0</v>
      </c>
      <c r="O143" s="155">
        <f ca="1">SUMIFS('recurring2_based on steps'!$B143:$AY143,'recurring2_based on steps'!$B$1:$AY$1,O$1)+SUMIFS('changes2_based on steps'!$B143:$U143,'changes2_based on steps'!$B$1:$U$1,O$1)</f>
        <v>0</v>
      </c>
      <c r="P143" s="155">
        <f ca="1">SUMIFS('recurring2_based on steps'!$B143:$AY143,'recurring2_based on steps'!$B$1:$AY$1,P$1)+SUMIFS('changes2_based on steps'!$B143:$U143,'changes2_based on steps'!$B$1:$U$1,P$1)</f>
        <v>0</v>
      </c>
      <c r="Q143" s="155">
        <f>SUMIFS('recurring2_based on steps'!$B143:$AY143,'recurring2_based on steps'!$B$1:$AY$1,Q$1)+SUMIFS('changes2_based on steps'!$B143:$U143,'changes2_based on steps'!$B$1:$U$1,Q$1)</f>
        <v>0</v>
      </c>
      <c r="R143" s="155">
        <f ca="1">SUMIFS('recurring2_based on steps'!$B143:$AY143,'recurring2_based on steps'!$B$1:$AY$1,R$1)+SUMIFS('changes2_based on steps'!$B143:$U143,'changes2_based on steps'!$B$1:$U$1,R$1)</f>
        <v>100</v>
      </c>
      <c r="S143" s="155">
        <f ca="1">SUMIFS('recurring2_based on steps'!$B143:$AY143,'recurring2_based on steps'!$B$1:$AY$1,S$1)+SUMIFS('changes2_based on steps'!$B143:$U143,'changes2_based on steps'!$B$1:$U$1,S$1)</f>
        <v>100</v>
      </c>
      <c r="T143" s="155">
        <f>SUMIFS('recurring2_based on steps'!$B143:$AY143,'recurring2_based on steps'!$B$1:$AY$1,T$1)+SUMIFS('changes2_based on steps'!$B143:$U143,'changes2_based on steps'!$B$1:$U$1,T$1)</f>
        <v>0</v>
      </c>
      <c r="U143" s="155">
        <f ca="1">SUMIFS('recurring2_based on steps'!$B143:$AY143,'recurring2_based on steps'!$B$1:$AY$1,U$1)+SUMIFS('changes2_based on steps'!$B143:$U143,'changes2_based on steps'!$B$1:$U$1,U$1)</f>
        <v>0</v>
      </c>
      <c r="V143" s="155">
        <f>SUMIFS('recurring2_based on steps'!$B143:$AY143,'recurring2_based on steps'!$B$1:$AY$1,V$1)+SUMIFS('changes2_based on steps'!$B143:$U143,'changes2_based on steps'!$B$1:$U$1,V$1)</f>
        <v>0</v>
      </c>
      <c r="W143" s="155">
        <f ca="1">SUMIFS('recurring2_based on steps'!$B143:$AY143,'recurring2_based on steps'!$B$1:$AY$1,W$1)+SUMIFS('changes2_based on steps'!$B143:$U143,'changes2_based on steps'!$B$1:$U$1,W$1)</f>
        <v>0</v>
      </c>
      <c r="X143" s="155">
        <f ca="1">SUMIFS('recurring2_based on steps'!$B143:$AY143,'recurring2_based on steps'!$B$1:$AY$1,X$1)+SUMIFS('changes2_based on steps'!$B143:$U143,'changes2_based on steps'!$B$1:$U$1,X$1)</f>
        <v>0</v>
      </c>
      <c r="Y143" s="155">
        <f ca="1">SUMIFS('recurring2_based on steps'!$B143:$AY143,'recurring2_based on steps'!$B$1:$AY$1,Y$1)+SUMIFS('changes2_based on steps'!$B143:$U143,'changes2_based on steps'!$B$1:$U$1,Y$1)</f>
        <v>0</v>
      </c>
      <c r="Z143" s="155">
        <f>SUMIFS('recurring2_based on steps'!$B143:$AY143,'recurring2_based on steps'!$B$1:$AY$1,Z$1)+SUMIFS('changes2_based on steps'!$B143:$U143,'changes2_based on steps'!$B$1:$U$1,Z$1)</f>
        <v>0</v>
      </c>
      <c r="AA143" s="155">
        <f>SUMIFS('recurring2_based on steps'!$B143:$AY143,'recurring2_based on steps'!$B$1:$AY$1,AA$1)+SUMIFS('changes2_based on steps'!$B143:$U143,'changes2_based on steps'!$B$1:$U$1,AA$1)</f>
        <v>0</v>
      </c>
    </row>
    <row r="144" spans="1:27" x14ac:dyDescent="0.2">
      <c r="A144" s="18">
        <f t="shared" ca="1" si="2"/>
        <v>45830</v>
      </c>
      <c r="B144" s="155">
        <f ca="1">SUMIFS('recurring2_based on steps'!$B144:$AY144,'recurring2_based on steps'!$B$1:$AY$1,B$1)+SUMIFS('changes2_based on steps'!$B144:$U144,'changes2_based on steps'!$B$1:$U$1,B$1)</f>
        <v>0</v>
      </c>
      <c r="C144" s="155">
        <f>SUMIFS('recurring2_based on steps'!$B144:$AY144,'recurring2_based on steps'!$B$1:$AY$1,C$1)+SUMIFS('changes2_based on steps'!$B144:$U144,'changes2_based on steps'!$B$1:$U$1,C$1)</f>
        <v>0</v>
      </c>
      <c r="D144" s="155">
        <f>SUMIFS('recurring2_based on steps'!$B144:$AY144,'recurring2_based on steps'!$B$1:$AY$1,D$1)+SUMIFS('changes2_based on steps'!$B144:$U144,'changes2_based on steps'!$B$1:$U$1,D$1)</f>
        <v>0</v>
      </c>
      <c r="E144" s="155">
        <f>SUMIFS('recurring2_based on steps'!$B144:$AY144,'recurring2_based on steps'!$B$1:$AY$1,E$1)+SUMIFS('changes2_based on steps'!$B144:$U144,'changes2_based on steps'!$B$1:$U$1,E$1)</f>
        <v>0</v>
      </c>
      <c r="F144" s="155">
        <f>SUMIFS('recurring2_based on steps'!$B144:$AY144,'recurring2_based on steps'!$B$1:$AY$1,F$1)+SUMIFS('changes2_based on steps'!$B144:$U144,'changes2_based on steps'!$B$1:$U$1,F$1)</f>
        <v>0</v>
      </c>
      <c r="G144" s="155">
        <f>SUMIFS('recurring2_based on steps'!$B144:$AY144,'recurring2_based on steps'!$B$1:$AY$1,G$1)+SUMIFS('changes2_based on steps'!$B144:$U144,'changes2_based on steps'!$B$1:$U$1,G$1)</f>
        <v>0</v>
      </c>
      <c r="H144" s="155">
        <f ca="1">SUMIFS('recurring2_based on steps'!$B144:$AY144,'recurring2_based on steps'!$B$1:$AY$1,H$1)+SUMIFS('changes2_based on steps'!$B144:$U144,'changes2_based on steps'!$B$1:$U$1,H$1)</f>
        <v>0</v>
      </c>
      <c r="I144" s="155">
        <f>SUMIFS('recurring2_based on steps'!$B144:$AY144,'recurring2_based on steps'!$B$1:$AY$1,I$1)+SUMIFS('changes2_based on steps'!$B144:$U144,'changes2_based on steps'!$B$1:$U$1,I$1)</f>
        <v>0</v>
      </c>
      <c r="J144" s="155">
        <f>SUMIFS('recurring2_based on steps'!$B144:$AY144,'recurring2_based on steps'!$B$1:$AY$1,J$1)+SUMIFS('changes2_based on steps'!$B144:$U144,'changes2_based on steps'!$B$1:$U$1,J$1)</f>
        <v>0</v>
      </c>
      <c r="K144" s="155">
        <f>SUMIFS('recurring2_based on steps'!$B144:$AY144,'recurring2_based on steps'!$B$1:$AY$1,K$1)+SUMIFS('changes2_based on steps'!$B144:$U144,'changes2_based on steps'!$B$1:$U$1,K$1)</f>
        <v>0</v>
      </c>
      <c r="L144" s="155">
        <f>SUMIFS('recurring2_based on steps'!$B144:$AY144,'recurring2_based on steps'!$B$1:$AY$1,L$1)+SUMIFS('changes2_based on steps'!$B144:$U144,'changes2_based on steps'!$B$1:$U$1,L$1)</f>
        <v>0</v>
      </c>
      <c r="M144" s="155">
        <f ca="1">SUMIFS('recurring2_based on steps'!$B144:$AY144,'recurring2_based on steps'!$B$1:$AY$1,M$1)+SUMIFS('changes2_based on steps'!$B144:$U144,'changes2_based on steps'!$B$1:$U$1,M$1)</f>
        <v>0</v>
      </c>
      <c r="N144" s="155">
        <f ca="1">SUMIFS('recurring2_based on steps'!$B144:$AY144,'recurring2_based on steps'!$B$1:$AY$1,N$1)+SUMIFS('changes2_based on steps'!$B144:$U144,'changes2_based on steps'!$B$1:$U$1,N$1)</f>
        <v>50</v>
      </c>
      <c r="O144" s="155">
        <f ca="1">SUMIFS('recurring2_based on steps'!$B144:$AY144,'recurring2_based on steps'!$B$1:$AY$1,O$1)+SUMIFS('changes2_based on steps'!$B144:$U144,'changes2_based on steps'!$B$1:$U$1,O$1)</f>
        <v>0</v>
      </c>
      <c r="P144" s="155">
        <f ca="1">SUMIFS('recurring2_based on steps'!$B144:$AY144,'recurring2_based on steps'!$B$1:$AY$1,P$1)+SUMIFS('changes2_based on steps'!$B144:$U144,'changes2_based on steps'!$B$1:$U$1,P$1)</f>
        <v>0</v>
      </c>
      <c r="Q144" s="155">
        <f>SUMIFS('recurring2_based on steps'!$B144:$AY144,'recurring2_based on steps'!$B$1:$AY$1,Q$1)+SUMIFS('changes2_based on steps'!$B144:$U144,'changes2_based on steps'!$B$1:$U$1,Q$1)</f>
        <v>0</v>
      </c>
      <c r="R144" s="155">
        <f ca="1">SUMIFS('recurring2_based on steps'!$B144:$AY144,'recurring2_based on steps'!$B$1:$AY$1,R$1)+SUMIFS('changes2_based on steps'!$B144:$U144,'changes2_based on steps'!$B$1:$U$1,R$1)</f>
        <v>0</v>
      </c>
      <c r="S144" s="155">
        <f ca="1">SUMIFS('recurring2_based on steps'!$B144:$AY144,'recurring2_based on steps'!$B$1:$AY$1,S$1)+SUMIFS('changes2_based on steps'!$B144:$U144,'changes2_based on steps'!$B$1:$U$1,S$1)</f>
        <v>100</v>
      </c>
      <c r="T144" s="155">
        <f>SUMIFS('recurring2_based on steps'!$B144:$AY144,'recurring2_based on steps'!$B$1:$AY$1,T$1)+SUMIFS('changes2_based on steps'!$B144:$U144,'changes2_based on steps'!$B$1:$U$1,T$1)</f>
        <v>0</v>
      </c>
      <c r="U144" s="155">
        <f ca="1">SUMIFS('recurring2_based on steps'!$B144:$AY144,'recurring2_based on steps'!$B$1:$AY$1,U$1)+SUMIFS('changes2_based on steps'!$B144:$U144,'changes2_based on steps'!$B$1:$U$1,U$1)</f>
        <v>0</v>
      </c>
      <c r="V144" s="155">
        <f>SUMIFS('recurring2_based on steps'!$B144:$AY144,'recurring2_based on steps'!$B$1:$AY$1,V$1)+SUMIFS('changes2_based on steps'!$B144:$U144,'changes2_based on steps'!$B$1:$U$1,V$1)</f>
        <v>0</v>
      </c>
      <c r="W144" s="155">
        <f ca="1">SUMIFS('recurring2_based on steps'!$B144:$AY144,'recurring2_based on steps'!$B$1:$AY$1,W$1)+SUMIFS('changes2_based on steps'!$B144:$U144,'changes2_based on steps'!$B$1:$U$1,W$1)</f>
        <v>0</v>
      </c>
      <c r="X144" s="155">
        <f ca="1">SUMIFS('recurring2_based on steps'!$B144:$AY144,'recurring2_based on steps'!$B$1:$AY$1,X$1)+SUMIFS('changes2_based on steps'!$B144:$U144,'changes2_based on steps'!$B$1:$U$1,X$1)</f>
        <v>0</v>
      </c>
      <c r="Y144" s="155">
        <f ca="1">SUMIFS('recurring2_based on steps'!$B144:$AY144,'recurring2_based on steps'!$B$1:$AY$1,Y$1)+SUMIFS('changes2_based on steps'!$B144:$U144,'changes2_based on steps'!$B$1:$U$1,Y$1)</f>
        <v>0</v>
      </c>
      <c r="Z144" s="155">
        <f>SUMIFS('recurring2_based on steps'!$B144:$AY144,'recurring2_based on steps'!$B$1:$AY$1,Z$1)+SUMIFS('changes2_based on steps'!$B144:$U144,'changes2_based on steps'!$B$1:$U$1,Z$1)</f>
        <v>0</v>
      </c>
      <c r="AA144" s="155">
        <f>SUMIFS('recurring2_based on steps'!$B144:$AY144,'recurring2_based on steps'!$B$1:$AY$1,AA$1)+SUMIFS('changes2_based on steps'!$B144:$U144,'changes2_based on steps'!$B$1:$U$1,AA$1)</f>
        <v>0</v>
      </c>
    </row>
    <row r="145" spans="1:27" x14ac:dyDescent="0.2">
      <c r="A145" s="18">
        <f t="shared" ca="1" si="2"/>
        <v>45831</v>
      </c>
      <c r="B145" s="155">
        <f ca="1">SUMIFS('recurring2_based on steps'!$B145:$AY145,'recurring2_based on steps'!$B$1:$AY$1,B$1)+SUMIFS('changes2_based on steps'!$B145:$U145,'changes2_based on steps'!$B$1:$U$1,B$1)</f>
        <v>0</v>
      </c>
      <c r="C145" s="155">
        <f>SUMIFS('recurring2_based on steps'!$B145:$AY145,'recurring2_based on steps'!$B$1:$AY$1,C$1)+SUMIFS('changes2_based on steps'!$B145:$U145,'changes2_based on steps'!$B$1:$U$1,C$1)</f>
        <v>0</v>
      </c>
      <c r="D145" s="155">
        <f>SUMIFS('recurring2_based on steps'!$B145:$AY145,'recurring2_based on steps'!$B$1:$AY$1,D$1)+SUMIFS('changes2_based on steps'!$B145:$U145,'changes2_based on steps'!$B$1:$U$1,D$1)</f>
        <v>0</v>
      </c>
      <c r="E145" s="155">
        <f>SUMIFS('recurring2_based on steps'!$B145:$AY145,'recurring2_based on steps'!$B$1:$AY$1,E$1)+SUMIFS('changes2_based on steps'!$B145:$U145,'changes2_based on steps'!$B$1:$U$1,E$1)</f>
        <v>0</v>
      </c>
      <c r="F145" s="155">
        <f>SUMIFS('recurring2_based on steps'!$B145:$AY145,'recurring2_based on steps'!$B$1:$AY$1,F$1)+SUMIFS('changes2_based on steps'!$B145:$U145,'changes2_based on steps'!$B$1:$U$1,F$1)</f>
        <v>0</v>
      </c>
      <c r="G145" s="155">
        <f>SUMIFS('recurring2_based on steps'!$B145:$AY145,'recurring2_based on steps'!$B$1:$AY$1,G$1)+SUMIFS('changes2_based on steps'!$B145:$U145,'changes2_based on steps'!$B$1:$U$1,G$1)</f>
        <v>0</v>
      </c>
      <c r="H145" s="155">
        <f ca="1">SUMIFS('recurring2_based on steps'!$B145:$AY145,'recurring2_based on steps'!$B$1:$AY$1,H$1)+SUMIFS('changes2_based on steps'!$B145:$U145,'changes2_based on steps'!$B$1:$U$1,H$1)</f>
        <v>0</v>
      </c>
      <c r="I145" s="155">
        <f>SUMIFS('recurring2_based on steps'!$B145:$AY145,'recurring2_based on steps'!$B$1:$AY$1,I$1)+SUMIFS('changes2_based on steps'!$B145:$U145,'changes2_based on steps'!$B$1:$U$1,I$1)</f>
        <v>0</v>
      </c>
      <c r="J145" s="155">
        <f>SUMIFS('recurring2_based on steps'!$B145:$AY145,'recurring2_based on steps'!$B$1:$AY$1,J$1)+SUMIFS('changes2_based on steps'!$B145:$U145,'changes2_based on steps'!$B$1:$U$1,J$1)</f>
        <v>0</v>
      </c>
      <c r="K145" s="155">
        <f>SUMIFS('recurring2_based on steps'!$B145:$AY145,'recurring2_based on steps'!$B$1:$AY$1,K$1)+SUMIFS('changes2_based on steps'!$B145:$U145,'changes2_based on steps'!$B$1:$U$1,K$1)</f>
        <v>0</v>
      </c>
      <c r="L145" s="155">
        <f>SUMIFS('recurring2_based on steps'!$B145:$AY145,'recurring2_based on steps'!$B$1:$AY$1,L$1)+SUMIFS('changes2_based on steps'!$B145:$U145,'changes2_based on steps'!$B$1:$U$1,L$1)</f>
        <v>0</v>
      </c>
      <c r="M145" s="155">
        <f ca="1">SUMIFS('recurring2_based on steps'!$B145:$AY145,'recurring2_based on steps'!$B$1:$AY$1,M$1)+SUMIFS('changes2_based on steps'!$B145:$U145,'changes2_based on steps'!$B$1:$U$1,M$1)</f>
        <v>0</v>
      </c>
      <c r="N145" s="155">
        <f ca="1">SUMIFS('recurring2_based on steps'!$B145:$AY145,'recurring2_based on steps'!$B$1:$AY$1,N$1)+SUMIFS('changes2_based on steps'!$B145:$U145,'changes2_based on steps'!$B$1:$U$1,N$1)</f>
        <v>0</v>
      </c>
      <c r="O145" s="155">
        <f ca="1">SUMIFS('recurring2_based on steps'!$B145:$AY145,'recurring2_based on steps'!$B$1:$AY$1,O$1)+SUMIFS('changes2_based on steps'!$B145:$U145,'changes2_based on steps'!$B$1:$U$1,O$1)</f>
        <v>0</v>
      </c>
      <c r="P145" s="155">
        <f ca="1">SUMIFS('recurring2_based on steps'!$B145:$AY145,'recurring2_based on steps'!$B$1:$AY$1,P$1)+SUMIFS('changes2_based on steps'!$B145:$U145,'changes2_based on steps'!$B$1:$U$1,P$1)</f>
        <v>0</v>
      </c>
      <c r="Q145" s="155">
        <f>SUMIFS('recurring2_based on steps'!$B145:$AY145,'recurring2_based on steps'!$B$1:$AY$1,Q$1)+SUMIFS('changes2_based on steps'!$B145:$U145,'changes2_based on steps'!$B$1:$U$1,Q$1)</f>
        <v>0</v>
      </c>
      <c r="R145" s="155">
        <f ca="1">SUMIFS('recurring2_based on steps'!$B145:$AY145,'recurring2_based on steps'!$B$1:$AY$1,R$1)+SUMIFS('changes2_based on steps'!$B145:$U145,'changes2_based on steps'!$B$1:$U$1,R$1)</f>
        <v>0</v>
      </c>
      <c r="S145" s="155">
        <f ca="1">SUMIFS('recurring2_based on steps'!$B145:$AY145,'recurring2_based on steps'!$B$1:$AY$1,S$1)+SUMIFS('changes2_based on steps'!$B145:$U145,'changes2_based on steps'!$B$1:$U$1,S$1)</f>
        <v>0</v>
      </c>
      <c r="T145" s="155">
        <f>SUMIFS('recurring2_based on steps'!$B145:$AY145,'recurring2_based on steps'!$B$1:$AY$1,T$1)+SUMIFS('changes2_based on steps'!$B145:$U145,'changes2_based on steps'!$B$1:$U$1,T$1)</f>
        <v>0</v>
      </c>
      <c r="U145" s="155">
        <f ca="1">SUMIFS('recurring2_based on steps'!$B145:$AY145,'recurring2_based on steps'!$B$1:$AY$1,U$1)+SUMIFS('changes2_based on steps'!$B145:$U145,'changes2_based on steps'!$B$1:$U$1,U$1)</f>
        <v>0</v>
      </c>
      <c r="V145" s="155">
        <f>SUMIFS('recurring2_based on steps'!$B145:$AY145,'recurring2_based on steps'!$B$1:$AY$1,V$1)+SUMIFS('changes2_based on steps'!$B145:$U145,'changes2_based on steps'!$B$1:$U$1,V$1)</f>
        <v>0</v>
      </c>
      <c r="W145" s="155">
        <f ca="1">SUMIFS('recurring2_based on steps'!$B145:$AY145,'recurring2_based on steps'!$B$1:$AY$1,W$1)+SUMIFS('changes2_based on steps'!$B145:$U145,'changes2_based on steps'!$B$1:$U$1,W$1)</f>
        <v>0</v>
      </c>
      <c r="X145" s="155">
        <f ca="1">SUMIFS('recurring2_based on steps'!$B145:$AY145,'recurring2_based on steps'!$B$1:$AY$1,X$1)+SUMIFS('changes2_based on steps'!$B145:$U145,'changes2_based on steps'!$B$1:$U$1,X$1)</f>
        <v>0</v>
      </c>
      <c r="Y145" s="155">
        <f ca="1">SUMIFS('recurring2_based on steps'!$B145:$AY145,'recurring2_based on steps'!$B$1:$AY$1,Y$1)+SUMIFS('changes2_based on steps'!$B145:$U145,'changes2_based on steps'!$B$1:$U$1,Y$1)</f>
        <v>0</v>
      </c>
      <c r="Z145" s="155">
        <f>SUMIFS('recurring2_based on steps'!$B145:$AY145,'recurring2_based on steps'!$B$1:$AY$1,Z$1)+SUMIFS('changes2_based on steps'!$B145:$U145,'changes2_based on steps'!$B$1:$U$1,Z$1)</f>
        <v>0</v>
      </c>
      <c r="AA145" s="155">
        <f>SUMIFS('recurring2_based on steps'!$B145:$AY145,'recurring2_based on steps'!$B$1:$AY$1,AA$1)+SUMIFS('changes2_based on steps'!$B145:$U145,'changes2_based on steps'!$B$1:$U$1,AA$1)</f>
        <v>0</v>
      </c>
    </row>
    <row r="146" spans="1:27" x14ac:dyDescent="0.2">
      <c r="A146" s="18">
        <f t="shared" ca="1" si="2"/>
        <v>45832</v>
      </c>
      <c r="B146" s="155">
        <f ca="1">SUMIFS('recurring2_based on steps'!$B146:$AY146,'recurring2_based on steps'!$B$1:$AY$1,B$1)+SUMIFS('changes2_based on steps'!$B146:$U146,'changes2_based on steps'!$B$1:$U$1,B$1)</f>
        <v>0</v>
      </c>
      <c r="C146" s="155">
        <f>SUMIFS('recurring2_based on steps'!$B146:$AY146,'recurring2_based on steps'!$B$1:$AY$1,C$1)+SUMIFS('changes2_based on steps'!$B146:$U146,'changes2_based on steps'!$B$1:$U$1,C$1)</f>
        <v>0</v>
      </c>
      <c r="D146" s="155">
        <f>SUMIFS('recurring2_based on steps'!$B146:$AY146,'recurring2_based on steps'!$B$1:$AY$1,D$1)+SUMIFS('changes2_based on steps'!$B146:$U146,'changes2_based on steps'!$B$1:$U$1,D$1)</f>
        <v>0</v>
      </c>
      <c r="E146" s="155">
        <f>SUMIFS('recurring2_based on steps'!$B146:$AY146,'recurring2_based on steps'!$B$1:$AY$1,E$1)+SUMIFS('changes2_based on steps'!$B146:$U146,'changes2_based on steps'!$B$1:$U$1,E$1)</f>
        <v>0</v>
      </c>
      <c r="F146" s="155">
        <f>SUMIFS('recurring2_based on steps'!$B146:$AY146,'recurring2_based on steps'!$B$1:$AY$1,F$1)+SUMIFS('changes2_based on steps'!$B146:$U146,'changes2_based on steps'!$B$1:$U$1,F$1)</f>
        <v>0</v>
      </c>
      <c r="G146" s="155">
        <f>SUMIFS('recurring2_based on steps'!$B146:$AY146,'recurring2_based on steps'!$B$1:$AY$1,G$1)+SUMIFS('changes2_based on steps'!$B146:$U146,'changes2_based on steps'!$B$1:$U$1,G$1)</f>
        <v>0</v>
      </c>
      <c r="H146" s="155">
        <f ca="1">SUMIFS('recurring2_based on steps'!$B146:$AY146,'recurring2_based on steps'!$B$1:$AY$1,H$1)+SUMIFS('changes2_based on steps'!$B146:$U146,'changes2_based on steps'!$B$1:$U$1,H$1)</f>
        <v>0</v>
      </c>
      <c r="I146" s="155">
        <f>SUMIFS('recurring2_based on steps'!$B146:$AY146,'recurring2_based on steps'!$B$1:$AY$1,I$1)+SUMIFS('changes2_based on steps'!$B146:$U146,'changes2_based on steps'!$B$1:$U$1,I$1)</f>
        <v>0</v>
      </c>
      <c r="J146" s="155">
        <f>SUMIFS('recurring2_based on steps'!$B146:$AY146,'recurring2_based on steps'!$B$1:$AY$1,J$1)+SUMIFS('changes2_based on steps'!$B146:$U146,'changes2_based on steps'!$B$1:$U$1,J$1)</f>
        <v>0</v>
      </c>
      <c r="K146" s="155">
        <f>SUMIFS('recurring2_based on steps'!$B146:$AY146,'recurring2_based on steps'!$B$1:$AY$1,K$1)+SUMIFS('changes2_based on steps'!$B146:$U146,'changes2_based on steps'!$B$1:$U$1,K$1)</f>
        <v>0</v>
      </c>
      <c r="L146" s="155">
        <f>SUMIFS('recurring2_based on steps'!$B146:$AY146,'recurring2_based on steps'!$B$1:$AY$1,L$1)+SUMIFS('changes2_based on steps'!$B146:$U146,'changes2_based on steps'!$B$1:$U$1,L$1)</f>
        <v>0</v>
      </c>
      <c r="M146" s="155">
        <f ca="1">SUMIFS('recurring2_based on steps'!$B146:$AY146,'recurring2_based on steps'!$B$1:$AY$1,M$1)+SUMIFS('changes2_based on steps'!$B146:$U146,'changes2_based on steps'!$B$1:$U$1,M$1)</f>
        <v>0</v>
      </c>
      <c r="N146" s="155">
        <f ca="1">SUMIFS('recurring2_based on steps'!$B146:$AY146,'recurring2_based on steps'!$B$1:$AY$1,N$1)+SUMIFS('changes2_based on steps'!$B146:$U146,'changes2_based on steps'!$B$1:$U$1,N$1)</f>
        <v>0</v>
      </c>
      <c r="O146" s="155">
        <f ca="1">SUMIFS('recurring2_based on steps'!$B146:$AY146,'recurring2_based on steps'!$B$1:$AY$1,O$1)+SUMIFS('changes2_based on steps'!$B146:$U146,'changes2_based on steps'!$B$1:$U$1,O$1)</f>
        <v>0</v>
      </c>
      <c r="P146" s="155">
        <f ca="1">SUMIFS('recurring2_based on steps'!$B146:$AY146,'recurring2_based on steps'!$B$1:$AY$1,P$1)+SUMIFS('changes2_based on steps'!$B146:$U146,'changes2_based on steps'!$B$1:$U$1,P$1)</f>
        <v>0</v>
      </c>
      <c r="Q146" s="155">
        <f>SUMIFS('recurring2_based on steps'!$B146:$AY146,'recurring2_based on steps'!$B$1:$AY$1,Q$1)+SUMIFS('changes2_based on steps'!$B146:$U146,'changes2_based on steps'!$B$1:$U$1,Q$1)</f>
        <v>0</v>
      </c>
      <c r="R146" s="155">
        <f ca="1">SUMIFS('recurring2_based on steps'!$B146:$AY146,'recurring2_based on steps'!$B$1:$AY$1,R$1)+SUMIFS('changes2_based on steps'!$B146:$U146,'changes2_based on steps'!$B$1:$U$1,R$1)</f>
        <v>0</v>
      </c>
      <c r="S146" s="155">
        <f ca="1">SUMIFS('recurring2_based on steps'!$B146:$AY146,'recurring2_based on steps'!$B$1:$AY$1,S$1)+SUMIFS('changes2_based on steps'!$B146:$U146,'changes2_based on steps'!$B$1:$U$1,S$1)</f>
        <v>0</v>
      </c>
      <c r="T146" s="155">
        <f>SUMIFS('recurring2_based on steps'!$B146:$AY146,'recurring2_based on steps'!$B$1:$AY$1,T$1)+SUMIFS('changes2_based on steps'!$B146:$U146,'changes2_based on steps'!$B$1:$U$1,T$1)</f>
        <v>0</v>
      </c>
      <c r="U146" s="155">
        <f ca="1">SUMIFS('recurring2_based on steps'!$B146:$AY146,'recurring2_based on steps'!$B$1:$AY$1,U$1)+SUMIFS('changes2_based on steps'!$B146:$U146,'changes2_based on steps'!$B$1:$U$1,U$1)</f>
        <v>0</v>
      </c>
      <c r="V146" s="155">
        <f>SUMIFS('recurring2_based on steps'!$B146:$AY146,'recurring2_based on steps'!$B$1:$AY$1,V$1)+SUMIFS('changes2_based on steps'!$B146:$U146,'changes2_based on steps'!$B$1:$U$1,V$1)</f>
        <v>0</v>
      </c>
      <c r="W146" s="155">
        <f ca="1">SUMIFS('recurring2_based on steps'!$B146:$AY146,'recurring2_based on steps'!$B$1:$AY$1,W$1)+SUMIFS('changes2_based on steps'!$B146:$U146,'changes2_based on steps'!$B$1:$U$1,W$1)</f>
        <v>0</v>
      </c>
      <c r="X146" s="155">
        <f ca="1">SUMIFS('recurring2_based on steps'!$B146:$AY146,'recurring2_based on steps'!$B$1:$AY$1,X$1)+SUMIFS('changes2_based on steps'!$B146:$U146,'changes2_based on steps'!$B$1:$U$1,X$1)</f>
        <v>0</v>
      </c>
      <c r="Y146" s="155">
        <f ca="1">SUMIFS('recurring2_based on steps'!$B146:$AY146,'recurring2_based on steps'!$B$1:$AY$1,Y$1)+SUMIFS('changes2_based on steps'!$B146:$U146,'changes2_based on steps'!$B$1:$U$1,Y$1)</f>
        <v>0</v>
      </c>
      <c r="Z146" s="155">
        <f>SUMIFS('recurring2_based on steps'!$B146:$AY146,'recurring2_based on steps'!$B$1:$AY$1,Z$1)+SUMIFS('changes2_based on steps'!$B146:$U146,'changes2_based on steps'!$B$1:$U$1,Z$1)</f>
        <v>0</v>
      </c>
      <c r="AA146" s="155">
        <f>SUMIFS('recurring2_based on steps'!$B146:$AY146,'recurring2_based on steps'!$B$1:$AY$1,AA$1)+SUMIFS('changes2_based on steps'!$B146:$U146,'changes2_based on steps'!$B$1:$U$1,AA$1)</f>
        <v>0</v>
      </c>
    </row>
    <row r="147" spans="1:27" x14ac:dyDescent="0.2">
      <c r="A147" s="18">
        <f t="shared" ca="1" si="2"/>
        <v>45833</v>
      </c>
      <c r="B147" s="155">
        <f ca="1">SUMIFS('recurring2_based on steps'!$B147:$AY147,'recurring2_based on steps'!$B$1:$AY$1,B$1)+SUMIFS('changes2_based on steps'!$B147:$U147,'changes2_based on steps'!$B$1:$U$1,B$1)</f>
        <v>0</v>
      </c>
      <c r="C147" s="155">
        <f>SUMIFS('recurring2_based on steps'!$B147:$AY147,'recurring2_based on steps'!$B$1:$AY$1,C$1)+SUMIFS('changes2_based on steps'!$B147:$U147,'changes2_based on steps'!$B$1:$U$1,C$1)</f>
        <v>0</v>
      </c>
      <c r="D147" s="155">
        <f>SUMIFS('recurring2_based on steps'!$B147:$AY147,'recurring2_based on steps'!$B$1:$AY$1,D$1)+SUMIFS('changes2_based on steps'!$B147:$U147,'changes2_based on steps'!$B$1:$U$1,D$1)</f>
        <v>0</v>
      </c>
      <c r="E147" s="155">
        <f>SUMIFS('recurring2_based on steps'!$B147:$AY147,'recurring2_based on steps'!$B$1:$AY$1,E$1)+SUMIFS('changes2_based on steps'!$B147:$U147,'changes2_based on steps'!$B$1:$U$1,E$1)</f>
        <v>0</v>
      </c>
      <c r="F147" s="155">
        <f>SUMIFS('recurring2_based on steps'!$B147:$AY147,'recurring2_based on steps'!$B$1:$AY$1,F$1)+SUMIFS('changes2_based on steps'!$B147:$U147,'changes2_based on steps'!$B$1:$U$1,F$1)</f>
        <v>0</v>
      </c>
      <c r="G147" s="155">
        <f>SUMIFS('recurring2_based on steps'!$B147:$AY147,'recurring2_based on steps'!$B$1:$AY$1,G$1)+SUMIFS('changes2_based on steps'!$B147:$U147,'changes2_based on steps'!$B$1:$U$1,G$1)</f>
        <v>0</v>
      </c>
      <c r="H147" s="155">
        <f ca="1">SUMIFS('recurring2_based on steps'!$B147:$AY147,'recurring2_based on steps'!$B$1:$AY$1,H$1)+SUMIFS('changes2_based on steps'!$B147:$U147,'changes2_based on steps'!$B$1:$U$1,H$1)</f>
        <v>0</v>
      </c>
      <c r="I147" s="155">
        <f>SUMIFS('recurring2_based on steps'!$B147:$AY147,'recurring2_based on steps'!$B$1:$AY$1,I$1)+SUMIFS('changes2_based on steps'!$B147:$U147,'changes2_based on steps'!$B$1:$U$1,I$1)</f>
        <v>0</v>
      </c>
      <c r="J147" s="155">
        <f>SUMIFS('recurring2_based on steps'!$B147:$AY147,'recurring2_based on steps'!$B$1:$AY$1,J$1)+SUMIFS('changes2_based on steps'!$B147:$U147,'changes2_based on steps'!$B$1:$U$1,J$1)</f>
        <v>0</v>
      </c>
      <c r="K147" s="155">
        <f>SUMIFS('recurring2_based on steps'!$B147:$AY147,'recurring2_based on steps'!$B$1:$AY$1,K$1)+SUMIFS('changes2_based on steps'!$B147:$U147,'changes2_based on steps'!$B$1:$U$1,K$1)</f>
        <v>0</v>
      </c>
      <c r="L147" s="155">
        <f>SUMIFS('recurring2_based on steps'!$B147:$AY147,'recurring2_based on steps'!$B$1:$AY$1,L$1)+SUMIFS('changes2_based on steps'!$B147:$U147,'changes2_based on steps'!$B$1:$U$1,L$1)</f>
        <v>0</v>
      </c>
      <c r="M147" s="155">
        <f ca="1">SUMIFS('recurring2_based on steps'!$B147:$AY147,'recurring2_based on steps'!$B$1:$AY$1,M$1)+SUMIFS('changes2_based on steps'!$B147:$U147,'changes2_based on steps'!$B$1:$U$1,M$1)</f>
        <v>0</v>
      </c>
      <c r="N147" s="155">
        <f ca="1">SUMIFS('recurring2_based on steps'!$B147:$AY147,'recurring2_based on steps'!$B$1:$AY$1,N$1)+SUMIFS('changes2_based on steps'!$B147:$U147,'changes2_based on steps'!$B$1:$U$1,N$1)</f>
        <v>0</v>
      </c>
      <c r="O147" s="155">
        <f ca="1">SUMIFS('recurring2_based on steps'!$B147:$AY147,'recurring2_based on steps'!$B$1:$AY$1,O$1)+SUMIFS('changes2_based on steps'!$B147:$U147,'changes2_based on steps'!$B$1:$U$1,O$1)</f>
        <v>0</v>
      </c>
      <c r="P147" s="155">
        <f ca="1">SUMIFS('recurring2_based on steps'!$B147:$AY147,'recurring2_based on steps'!$B$1:$AY$1,P$1)+SUMIFS('changes2_based on steps'!$B147:$U147,'changes2_based on steps'!$B$1:$U$1,P$1)</f>
        <v>0</v>
      </c>
      <c r="Q147" s="155">
        <f>SUMIFS('recurring2_based on steps'!$B147:$AY147,'recurring2_based on steps'!$B$1:$AY$1,Q$1)+SUMIFS('changes2_based on steps'!$B147:$U147,'changes2_based on steps'!$B$1:$U$1,Q$1)</f>
        <v>0</v>
      </c>
      <c r="R147" s="155">
        <f ca="1">SUMIFS('recurring2_based on steps'!$B147:$AY147,'recurring2_based on steps'!$B$1:$AY$1,R$1)+SUMIFS('changes2_based on steps'!$B147:$U147,'changes2_based on steps'!$B$1:$U$1,R$1)</f>
        <v>0</v>
      </c>
      <c r="S147" s="155">
        <f ca="1">SUMIFS('recurring2_based on steps'!$B147:$AY147,'recurring2_based on steps'!$B$1:$AY$1,S$1)+SUMIFS('changes2_based on steps'!$B147:$U147,'changes2_based on steps'!$B$1:$U$1,S$1)</f>
        <v>0</v>
      </c>
      <c r="T147" s="155">
        <f>SUMIFS('recurring2_based on steps'!$B147:$AY147,'recurring2_based on steps'!$B$1:$AY$1,T$1)+SUMIFS('changes2_based on steps'!$B147:$U147,'changes2_based on steps'!$B$1:$U$1,T$1)</f>
        <v>0</v>
      </c>
      <c r="U147" s="155">
        <f ca="1">SUMIFS('recurring2_based on steps'!$B147:$AY147,'recurring2_based on steps'!$B$1:$AY$1,U$1)+SUMIFS('changes2_based on steps'!$B147:$U147,'changes2_based on steps'!$B$1:$U$1,U$1)</f>
        <v>0</v>
      </c>
      <c r="V147" s="155">
        <f>SUMIFS('recurring2_based on steps'!$B147:$AY147,'recurring2_based on steps'!$B$1:$AY$1,V$1)+SUMIFS('changes2_based on steps'!$B147:$U147,'changes2_based on steps'!$B$1:$U$1,V$1)</f>
        <v>0</v>
      </c>
      <c r="W147" s="155">
        <f ca="1">SUMIFS('recurring2_based on steps'!$B147:$AY147,'recurring2_based on steps'!$B$1:$AY$1,W$1)+SUMIFS('changes2_based on steps'!$B147:$U147,'changes2_based on steps'!$B$1:$U$1,W$1)</f>
        <v>0</v>
      </c>
      <c r="X147" s="155">
        <f ca="1">SUMIFS('recurring2_based on steps'!$B147:$AY147,'recurring2_based on steps'!$B$1:$AY$1,X$1)+SUMIFS('changes2_based on steps'!$B147:$U147,'changes2_based on steps'!$B$1:$U$1,X$1)</f>
        <v>0</v>
      </c>
      <c r="Y147" s="155">
        <f ca="1">SUMIFS('recurring2_based on steps'!$B147:$AY147,'recurring2_based on steps'!$B$1:$AY$1,Y$1)+SUMIFS('changes2_based on steps'!$B147:$U147,'changes2_based on steps'!$B$1:$U$1,Y$1)</f>
        <v>0</v>
      </c>
      <c r="Z147" s="155">
        <f>SUMIFS('recurring2_based on steps'!$B147:$AY147,'recurring2_based on steps'!$B$1:$AY$1,Z$1)+SUMIFS('changes2_based on steps'!$B147:$U147,'changes2_based on steps'!$B$1:$U$1,Z$1)</f>
        <v>0</v>
      </c>
      <c r="AA147" s="155">
        <f>SUMIFS('recurring2_based on steps'!$B147:$AY147,'recurring2_based on steps'!$B$1:$AY$1,AA$1)+SUMIFS('changes2_based on steps'!$B147:$U147,'changes2_based on steps'!$B$1:$U$1,AA$1)</f>
        <v>0</v>
      </c>
    </row>
    <row r="148" spans="1:27" x14ac:dyDescent="0.2">
      <c r="A148" s="18">
        <f t="shared" ca="1" si="2"/>
        <v>45834</v>
      </c>
      <c r="B148" s="155">
        <f ca="1">SUMIFS('recurring2_based on steps'!$B148:$AY148,'recurring2_based on steps'!$B$1:$AY$1,B$1)+SUMIFS('changes2_based on steps'!$B148:$U148,'changes2_based on steps'!$B$1:$U$1,B$1)</f>
        <v>0</v>
      </c>
      <c r="C148" s="155">
        <f>SUMIFS('recurring2_based on steps'!$B148:$AY148,'recurring2_based on steps'!$B$1:$AY$1,C$1)+SUMIFS('changes2_based on steps'!$B148:$U148,'changes2_based on steps'!$B$1:$U$1,C$1)</f>
        <v>0</v>
      </c>
      <c r="D148" s="155">
        <f>SUMIFS('recurring2_based on steps'!$B148:$AY148,'recurring2_based on steps'!$B$1:$AY$1,D$1)+SUMIFS('changes2_based on steps'!$B148:$U148,'changes2_based on steps'!$B$1:$U$1,D$1)</f>
        <v>0</v>
      </c>
      <c r="E148" s="155">
        <f>SUMIFS('recurring2_based on steps'!$B148:$AY148,'recurring2_based on steps'!$B$1:$AY$1,E$1)+SUMIFS('changes2_based on steps'!$B148:$U148,'changes2_based on steps'!$B$1:$U$1,E$1)</f>
        <v>0</v>
      </c>
      <c r="F148" s="155">
        <f>SUMIFS('recurring2_based on steps'!$B148:$AY148,'recurring2_based on steps'!$B$1:$AY$1,F$1)+SUMIFS('changes2_based on steps'!$B148:$U148,'changes2_based on steps'!$B$1:$U$1,F$1)</f>
        <v>0</v>
      </c>
      <c r="G148" s="155">
        <f>SUMIFS('recurring2_based on steps'!$B148:$AY148,'recurring2_based on steps'!$B$1:$AY$1,G$1)+SUMIFS('changes2_based on steps'!$B148:$U148,'changes2_based on steps'!$B$1:$U$1,G$1)</f>
        <v>0</v>
      </c>
      <c r="H148" s="155">
        <f ca="1">SUMIFS('recurring2_based on steps'!$B148:$AY148,'recurring2_based on steps'!$B$1:$AY$1,H$1)+SUMIFS('changes2_based on steps'!$B148:$U148,'changes2_based on steps'!$B$1:$U$1,H$1)</f>
        <v>0</v>
      </c>
      <c r="I148" s="155">
        <f>SUMIFS('recurring2_based on steps'!$B148:$AY148,'recurring2_based on steps'!$B$1:$AY$1,I$1)+SUMIFS('changes2_based on steps'!$B148:$U148,'changes2_based on steps'!$B$1:$U$1,I$1)</f>
        <v>0</v>
      </c>
      <c r="J148" s="155">
        <f>SUMIFS('recurring2_based on steps'!$B148:$AY148,'recurring2_based on steps'!$B$1:$AY$1,J$1)+SUMIFS('changes2_based on steps'!$B148:$U148,'changes2_based on steps'!$B$1:$U$1,J$1)</f>
        <v>0</v>
      </c>
      <c r="K148" s="155">
        <f>SUMIFS('recurring2_based on steps'!$B148:$AY148,'recurring2_based on steps'!$B$1:$AY$1,K$1)+SUMIFS('changes2_based on steps'!$B148:$U148,'changes2_based on steps'!$B$1:$U$1,K$1)</f>
        <v>0</v>
      </c>
      <c r="L148" s="155">
        <f>SUMIFS('recurring2_based on steps'!$B148:$AY148,'recurring2_based on steps'!$B$1:$AY$1,L$1)+SUMIFS('changes2_based on steps'!$B148:$U148,'changes2_based on steps'!$B$1:$U$1,L$1)</f>
        <v>0</v>
      </c>
      <c r="M148" s="155">
        <f ca="1">SUMIFS('recurring2_based on steps'!$B148:$AY148,'recurring2_based on steps'!$B$1:$AY$1,M$1)+SUMIFS('changes2_based on steps'!$B148:$U148,'changes2_based on steps'!$B$1:$U$1,M$1)</f>
        <v>0</v>
      </c>
      <c r="N148" s="155">
        <f ca="1">SUMIFS('recurring2_based on steps'!$B148:$AY148,'recurring2_based on steps'!$B$1:$AY$1,N$1)+SUMIFS('changes2_based on steps'!$B148:$U148,'changes2_based on steps'!$B$1:$U$1,N$1)</f>
        <v>0</v>
      </c>
      <c r="O148" s="155">
        <f ca="1">SUMIFS('recurring2_based on steps'!$B148:$AY148,'recurring2_based on steps'!$B$1:$AY$1,O$1)+SUMIFS('changes2_based on steps'!$B148:$U148,'changes2_based on steps'!$B$1:$U$1,O$1)</f>
        <v>0</v>
      </c>
      <c r="P148" s="155">
        <f ca="1">SUMIFS('recurring2_based on steps'!$B148:$AY148,'recurring2_based on steps'!$B$1:$AY$1,P$1)+SUMIFS('changes2_based on steps'!$B148:$U148,'changes2_based on steps'!$B$1:$U$1,P$1)</f>
        <v>0</v>
      </c>
      <c r="Q148" s="155">
        <f>SUMIFS('recurring2_based on steps'!$B148:$AY148,'recurring2_based on steps'!$B$1:$AY$1,Q$1)+SUMIFS('changes2_based on steps'!$B148:$U148,'changes2_based on steps'!$B$1:$U$1,Q$1)</f>
        <v>0</v>
      </c>
      <c r="R148" s="155">
        <f ca="1">SUMIFS('recurring2_based on steps'!$B148:$AY148,'recurring2_based on steps'!$B$1:$AY$1,R$1)+SUMIFS('changes2_based on steps'!$B148:$U148,'changes2_based on steps'!$B$1:$U$1,R$1)</f>
        <v>0</v>
      </c>
      <c r="S148" s="155">
        <f ca="1">SUMIFS('recurring2_based on steps'!$B148:$AY148,'recurring2_based on steps'!$B$1:$AY$1,S$1)+SUMIFS('changes2_based on steps'!$B148:$U148,'changes2_based on steps'!$B$1:$U$1,S$1)</f>
        <v>0</v>
      </c>
      <c r="T148" s="155">
        <f>SUMIFS('recurring2_based on steps'!$B148:$AY148,'recurring2_based on steps'!$B$1:$AY$1,T$1)+SUMIFS('changes2_based on steps'!$B148:$U148,'changes2_based on steps'!$B$1:$U$1,T$1)</f>
        <v>0</v>
      </c>
      <c r="U148" s="155">
        <f ca="1">SUMIFS('recurring2_based on steps'!$B148:$AY148,'recurring2_based on steps'!$B$1:$AY$1,U$1)+SUMIFS('changes2_based on steps'!$B148:$U148,'changes2_based on steps'!$B$1:$U$1,U$1)</f>
        <v>0</v>
      </c>
      <c r="V148" s="155">
        <f>SUMIFS('recurring2_based on steps'!$B148:$AY148,'recurring2_based on steps'!$B$1:$AY$1,V$1)+SUMIFS('changes2_based on steps'!$B148:$U148,'changes2_based on steps'!$B$1:$U$1,V$1)</f>
        <v>0</v>
      </c>
      <c r="W148" s="155">
        <f ca="1">SUMIFS('recurring2_based on steps'!$B148:$AY148,'recurring2_based on steps'!$B$1:$AY$1,W$1)+SUMIFS('changes2_based on steps'!$B148:$U148,'changes2_based on steps'!$B$1:$U$1,W$1)</f>
        <v>0</v>
      </c>
      <c r="X148" s="155">
        <f ca="1">SUMIFS('recurring2_based on steps'!$B148:$AY148,'recurring2_based on steps'!$B$1:$AY$1,X$1)+SUMIFS('changes2_based on steps'!$B148:$U148,'changes2_based on steps'!$B$1:$U$1,X$1)</f>
        <v>0</v>
      </c>
      <c r="Y148" s="155">
        <f ca="1">SUMIFS('recurring2_based on steps'!$B148:$AY148,'recurring2_based on steps'!$B$1:$AY$1,Y$1)+SUMIFS('changes2_based on steps'!$B148:$U148,'changes2_based on steps'!$B$1:$U$1,Y$1)</f>
        <v>0</v>
      </c>
      <c r="Z148" s="155">
        <f>SUMIFS('recurring2_based on steps'!$B148:$AY148,'recurring2_based on steps'!$B$1:$AY$1,Z$1)+SUMIFS('changes2_based on steps'!$B148:$U148,'changes2_based on steps'!$B$1:$U$1,Z$1)</f>
        <v>0</v>
      </c>
      <c r="AA148" s="155">
        <f>SUMIFS('recurring2_based on steps'!$B148:$AY148,'recurring2_based on steps'!$B$1:$AY$1,AA$1)+SUMIFS('changes2_based on steps'!$B148:$U148,'changes2_based on steps'!$B$1:$U$1,AA$1)</f>
        <v>0</v>
      </c>
    </row>
    <row r="149" spans="1:27" x14ac:dyDescent="0.2">
      <c r="A149" s="18">
        <f t="shared" ca="1" si="2"/>
        <v>45835</v>
      </c>
      <c r="B149" s="155">
        <f ca="1">SUMIFS('recurring2_based on steps'!$B149:$AY149,'recurring2_based on steps'!$B$1:$AY$1,B$1)+SUMIFS('changes2_based on steps'!$B149:$U149,'changes2_based on steps'!$B$1:$U$1,B$1)</f>
        <v>4000</v>
      </c>
      <c r="C149" s="155">
        <f>SUMIFS('recurring2_based on steps'!$B149:$AY149,'recurring2_based on steps'!$B$1:$AY$1,C$1)+SUMIFS('changes2_based on steps'!$B149:$U149,'changes2_based on steps'!$B$1:$U$1,C$1)</f>
        <v>0</v>
      </c>
      <c r="D149" s="155">
        <f>SUMIFS('recurring2_based on steps'!$B149:$AY149,'recurring2_based on steps'!$B$1:$AY$1,D$1)+SUMIFS('changes2_based on steps'!$B149:$U149,'changes2_based on steps'!$B$1:$U$1,D$1)</f>
        <v>0</v>
      </c>
      <c r="E149" s="155">
        <f>SUMIFS('recurring2_based on steps'!$B149:$AY149,'recurring2_based on steps'!$B$1:$AY$1,E$1)+SUMIFS('changes2_based on steps'!$B149:$U149,'changes2_based on steps'!$B$1:$U$1,E$1)</f>
        <v>0</v>
      </c>
      <c r="F149" s="155">
        <f>SUMIFS('recurring2_based on steps'!$B149:$AY149,'recurring2_based on steps'!$B$1:$AY$1,F$1)+SUMIFS('changes2_based on steps'!$B149:$U149,'changes2_based on steps'!$B$1:$U$1,F$1)</f>
        <v>0</v>
      </c>
      <c r="G149" s="155">
        <f>SUMIFS('recurring2_based on steps'!$B149:$AY149,'recurring2_based on steps'!$B$1:$AY$1,G$1)+SUMIFS('changes2_based on steps'!$B149:$U149,'changes2_based on steps'!$B$1:$U$1,G$1)</f>
        <v>0</v>
      </c>
      <c r="H149" s="155">
        <f ca="1">SUMIFS('recurring2_based on steps'!$B149:$AY149,'recurring2_based on steps'!$B$1:$AY$1,H$1)+SUMIFS('changes2_based on steps'!$B149:$U149,'changes2_based on steps'!$B$1:$U$1,H$1)</f>
        <v>96</v>
      </c>
      <c r="I149" s="155">
        <f>SUMIFS('recurring2_based on steps'!$B149:$AY149,'recurring2_based on steps'!$B$1:$AY$1,I$1)+SUMIFS('changes2_based on steps'!$B149:$U149,'changes2_based on steps'!$B$1:$U$1,I$1)</f>
        <v>0</v>
      </c>
      <c r="J149" s="155">
        <f>SUMIFS('recurring2_based on steps'!$B149:$AY149,'recurring2_based on steps'!$B$1:$AY$1,J$1)+SUMIFS('changes2_based on steps'!$B149:$U149,'changes2_based on steps'!$B$1:$U$1,J$1)</f>
        <v>0</v>
      </c>
      <c r="K149" s="155">
        <f>SUMIFS('recurring2_based on steps'!$B149:$AY149,'recurring2_based on steps'!$B$1:$AY$1,K$1)+SUMIFS('changes2_based on steps'!$B149:$U149,'changes2_based on steps'!$B$1:$U$1,K$1)</f>
        <v>0</v>
      </c>
      <c r="L149" s="155">
        <f>SUMIFS('recurring2_based on steps'!$B149:$AY149,'recurring2_based on steps'!$B$1:$AY$1,L$1)+SUMIFS('changes2_based on steps'!$B149:$U149,'changes2_based on steps'!$B$1:$U$1,L$1)</f>
        <v>0</v>
      </c>
      <c r="M149" s="155">
        <f ca="1">SUMIFS('recurring2_based on steps'!$B149:$AY149,'recurring2_based on steps'!$B$1:$AY$1,M$1)+SUMIFS('changes2_based on steps'!$B149:$U149,'changes2_based on steps'!$B$1:$U$1,M$1)</f>
        <v>0</v>
      </c>
      <c r="N149" s="155">
        <f ca="1">SUMIFS('recurring2_based on steps'!$B149:$AY149,'recurring2_based on steps'!$B$1:$AY$1,N$1)+SUMIFS('changes2_based on steps'!$B149:$U149,'changes2_based on steps'!$B$1:$U$1,N$1)</f>
        <v>0</v>
      </c>
      <c r="O149" s="155">
        <f ca="1">SUMIFS('recurring2_based on steps'!$B149:$AY149,'recurring2_based on steps'!$B$1:$AY$1,O$1)+SUMIFS('changes2_based on steps'!$B149:$U149,'changes2_based on steps'!$B$1:$U$1,O$1)</f>
        <v>50</v>
      </c>
      <c r="P149" s="155">
        <f ca="1">SUMIFS('recurring2_based on steps'!$B149:$AY149,'recurring2_based on steps'!$B$1:$AY$1,P$1)+SUMIFS('changes2_based on steps'!$B149:$U149,'changes2_based on steps'!$B$1:$U$1,P$1)</f>
        <v>0</v>
      </c>
      <c r="Q149" s="155">
        <f>SUMIFS('recurring2_based on steps'!$B149:$AY149,'recurring2_based on steps'!$B$1:$AY$1,Q$1)+SUMIFS('changes2_based on steps'!$B149:$U149,'changes2_based on steps'!$B$1:$U$1,Q$1)</f>
        <v>0</v>
      </c>
      <c r="R149" s="155">
        <f ca="1">SUMIFS('recurring2_based on steps'!$B149:$AY149,'recurring2_based on steps'!$B$1:$AY$1,R$1)+SUMIFS('changes2_based on steps'!$B149:$U149,'changes2_based on steps'!$B$1:$U$1,R$1)</f>
        <v>0</v>
      </c>
      <c r="S149" s="155">
        <f ca="1">SUMIFS('recurring2_based on steps'!$B149:$AY149,'recurring2_based on steps'!$B$1:$AY$1,S$1)+SUMIFS('changes2_based on steps'!$B149:$U149,'changes2_based on steps'!$B$1:$U$1,S$1)</f>
        <v>0</v>
      </c>
      <c r="T149" s="155">
        <f>SUMIFS('recurring2_based on steps'!$B149:$AY149,'recurring2_based on steps'!$B$1:$AY$1,T$1)+SUMIFS('changes2_based on steps'!$B149:$U149,'changes2_based on steps'!$B$1:$U$1,T$1)</f>
        <v>0</v>
      </c>
      <c r="U149" s="155">
        <f ca="1">SUMIFS('recurring2_based on steps'!$B149:$AY149,'recurring2_based on steps'!$B$1:$AY$1,U$1)+SUMIFS('changes2_based on steps'!$B149:$U149,'changes2_based on steps'!$B$1:$U$1,U$1)</f>
        <v>2.99</v>
      </c>
      <c r="V149" s="155">
        <f>SUMIFS('recurring2_based on steps'!$B149:$AY149,'recurring2_based on steps'!$B$1:$AY$1,V$1)+SUMIFS('changes2_based on steps'!$B149:$U149,'changes2_based on steps'!$B$1:$U$1,V$1)</f>
        <v>0</v>
      </c>
      <c r="W149" s="155">
        <f ca="1">SUMIFS('recurring2_based on steps'!$B149:$AY149,'recurring2_based on steps'!$B$1:$AY$1,W$1)+SUMIFS('changes2_based on steps'!$B149:$U149,'changes2_based on steps'!$B$1:$U$1,W$1)</f>
        <v>50</v>
      </c>
      <c r="X149" s="155">
        <f ca="1">SUMIFS('recurring2_based on steps'!$B149:$AY149,'recurring2_based on steps'!$B$1:$AY$1,X$1)+SUMIFS('changes2_based on steps'!$B149:$U149,'changes2_based on steps'!$B$1:$U$1,X$1)</f>
        <v>200</v>
      </c>
      <c r="Y149" s="155">
        <f ca="1">SUMIFS('recurring2_based on steps'!$B149:$AY149,'recurring2_based on steps'!$B$1:$AY$1,Y$1)+SUMIFS('changes2_based on steps'!$B149:$U149,'changes2_based on steps'!$B$1:$U$1,Y$1)</f>
        <v>0</v>
      </c>
      <c r="Z149" s="155">
        <f>SUMIFS('recurring2_based on steps'!$B149:$AY149,'recurring2_based on steps'!$B$1:$AY$1,Z$1)+SUMIFS('changes2_based on steps'!$B149:$U149,'changes2_based on steps'!$B$1:$U$1,Z$1)</f>
        <v>0</v>
      </c>
      <c r="AA149" s="155">
        <f>SUMIFS('recurring2_based on steps'!$B149:$AY149,'recurring2_based on steps'!$B$1:$AY$1,AA$1)+SUMIFS('changes2_based on steps'!$B149:$U149,'changes2_based on steps'!$B$1:$U$1,AA$1)</f>
        <v>0</v>
      </c>
    </row>
    <row r="150" spans="1:27" x14ac:dyDescent="0.2">
      <c r="A150" s="18">
        <f t="shared" ca="1" si="2"/>
        <v>45836</v>
      </c>
      <c r="B150" s="155">
        <f ca="1">SUMIFS('recurring2_based on steps'!$B150:$AY150,'recurring2_based on steps'!$B$1:$AY$1,B$1)+SUMIFS('changes2_based on steps'!$B150:$U150,'changes2_based on steps'!$B$1:$U$1,B$1)</f>
        <v>0</v>
      </c>
      <c r="C150" s="155">
        <f>SUMIFS('recurring2_based on steps'!$B150:$AY150,'recurring2_based on steps'!$B$1:$AY$1,C$1)+SUMIFS('changes2_based on steps'!$B150:$U150,'changes2_based on steps'!$B$1:$U$1,C$1)</f>
        <v>0</v>
      </c>
      <c r="D150" s="155">
        <f>SUMIFS('recurring2_based on steps'!$B150:$AY150,'recurring2_based on steps'!$B$1:$AY$1,D$1)+SUMIFS('changes2_based on steps'!$B150:$U150,'changes2_based on steps'!$B$1:$U$1,D$1)</f>
        <v>0</v>
      </c>
      <c r="E150" s="155">
        <f>SUMIFS('recurring2_based on steps'!$B150:$AY150,'recurring2_based on steps'!$B$1:$AY$1,E$1)+SUMIFS('changes2_based on steps'!$B150:$U150,'changes2_based on steps'!$B$1:$U$1,E$1)</f>
        <v>0</v>
      </c>
      <c r="F150" s="155">
        <f>SUMIFS('recurring2_based on steps'!$B150:$AY150,'recurring2_based on steps'!$B$1:$AY$1,F$1)+SUMIFS('changes2_based on steps'!$B150:$U150,'changes2_based on steps'!$B$1:$U$1,F$1)</f>
        <v>0</v>
      </c>
      <c r="G150" s="155">
        <f>SUMIFS('recurring2_based on steps'!$B150:$AY150,'recurring2_based on steps'!$B$1:$AY$1,G$1)+SUMIFS('changes2_based on steps'!$B150:$U150,'changes2_based on steps'!$B$1:$U$1,G$1)</f>
        <v>0</v>
      </c>
      <c r="H150" s="155">
        <f ca="1">SUMIFS('recurring2_based on steps'!$B150:$AY150,'recurring2_based on steps'!$B$1:$AY$1,H$1)+SUMIFS('changes2_based on steps'!$B150:$U150,'changes2_based on steps'!$B$1:$U$1,H$1)</f>
        <v>0</v>
      </c>
      <c r="I150" s="155">
        <f>SUMIFS('recurring2_based on steps'!$B150:$AY150,'recurring2_based on steps'!$B$1:$AY$1,I$1)+SUMIFS('changes2_based on steps'!$B150:$U150,'changes2_based on steps'!$B$1:$U$1,I$1)</f>
        <v>0</v>
      </c>
      <c r="J150" s="155">
        <f>SUMIFS('recurring2_based on steps'!$B150:$AY150,'recurring2_based on steps'!$B$1:$AY$1,J$1)+SUMIFS('changes2_based on steps'!$B150:$U150,'changes2_based on steps'!$B$1:$U$1,J$1)</f>
        <v>0</v>
      </c>
      <c r="K150" s="155">
        <f>SUMIFS('recurring2_based on steps'!$B150:$AY150,'recurring2_based on steps'!$B$1:$AY$1,K$1)+SUMIFS('changes2_based on steps'!$B150:$U150,'changes2_based on steps'!$B$1:$U$1,K$1)</f>
        <v>0</v>
      </c>
      <c r="L150" s="155">
        <f>SUMIFS('recurring2_based on steps'!$B150:$AY150,'recurring2_based on steps'!$B$1:$AY$1,L$1)+SUMIFS('changes2_based on steps'!$B150:$U150,'changes2_based on steps'!$B$1:$U$1,L$1)</f>
        <v>0</v>
      </c>
      <c r="M150" s="155">
        <f ca="1">SUMIFS('recurring2_based on steps'!$B150:$AY150,'recurring2_based on steps'!$B$1:$AY$1,M$1)+SUMIFS('changes2_based on steps'!$B150:$U150,'changes2_based on steps'!$B$1:$U$1,M$1)</f>
        <v>40</v>
      </c>
      <c r="N150" s="155">
        <f ca="1">SUMIFS('recurring2_based on steps'!$B150:$AY150,'recurring2_based on steps'!$B$1:$AY$1,N$1)+SUMIFS('changes2_based on steps'!$B150:$U150,'changes2_based on steps'!$B$1:$U$1,N$1)</f>
        <v>0</v>
      </c>
      <c r="O150" s="155">
        <f ca="1">SUMIFS('recurring2_based on steps'!$B150:$AY150,'recurring2_based on steps'!$B$1:$AY$1,O$1)+SUMIFS('changes2_based on steps'!$B150:$U150,'changes2_based on steps'!$B$1:$U$1,O$1)</f>
        <v>0</v>
      </c>
      <c r="P150" s="155">
        <f ca="1">SUMIFS('recurring2_based on steps'!$B150:$AY150,'recurring2_based on steps'!$B$1:$AY$1,P$1)+SUMIFS('changes2_based on steps'!$B150:$U150,'changes2_based on steps'!$B$1:$U$1,P$1)</f>
        <v>0</v>
      </c>
      <c r="Q150" s="155">
        <f>SUMIFS('recurring2_based on steps'!$B150:$AY150,'recurring2_based on steps'!$B$1:$AY$1,Q$1)+SUMIFS('changes2_based on steps'!$B150:$U150,'changes2_based on steps'!$B$1:$U$1,Q$1)</f>
        <v>0</v>
      </c>
      <c r="R150" s="155">
        <f ca="1">SUMIFS('recurring2_based on steps'!$B150:$AY150,'recurring2_based on steps'!$B$1:$AY$1,R$1)+SUMIFS('changes2_based on steps'!$B150:$U150,'changes2_based on steps'!$B$1:$U$1,R$1)</f>
        <v>100</v>
      </c>
      <c r="S150" s="155">
        <f ca="1">SUMIFS('recurring2_based on steps'!$B150:$AY150,'recurring2_based on steps'!$B$1:$AY$1,S$1)+SUMIFS('changes2_based on steps'!$B150:$U150,'changes2_based on steps'!$B$1:$U$1,S$1)</f>
        <v>100</v>
      </c>
      <c r="T150" s="155">
        <f>SUMIFS('recurring2_based on steps'!$B150:$AY150,'recurring2_based on steps'!$B$1:$AY$1,T$1)+SUMIFS('changes2_based on steps'!$B150:$U150,'changes2_based on steps'!$B$1:$U$1,T$1)</f>
        <v>0</v>
      </c>
      <c r="U150" s="155">
        <f ca="1">SUMIFS('recurring2_based on steps'!$B150:$AY150,'recurring2_based on steps'!$B$1:$AY$1,U$1)+SUMIFS('changes2_based on steps'!$B150:$U150,'changes2_based on steps'!$B$1:$U$1,U$1)</f>
        <v>0</v>
      </c>
      <c r="V150" s="155">
        <f>SUMIFS('recurring2_based on steps'!$B150:$AY150,'recurring2_based on steps'!$B$1:$AY$1,V$1)+SUMIFS('changes2_based on steps'!$B150:$U150,'changes2_based on steps'!$B$1:$U$1,V$1)</f>
        <v>0</v>
      </c>
      <c r="W150" s="155">
        <f ca="1">SUMIFS('recurring2_based on steps'!$B150:$AY150,'recurring2_based on steps'!$B$1:$AY$1,W$1)+SUMIFS('changes2_based on steps'!$B150:$U150,'changes2_based on steps'!$B$1:$U$1,W$1)</f>
        <v>0</v>
      </c>
      <c r="X150" s="155">
        <f ca="1">SUMIFS('recurring2_based on steps'!$B150:$AY150,'recurring2_based on steps'!$B$1:$AY$1,X$1)+SUMIFS('changes2_based on steps'!$B150:$U150,'changes2_based on steps'!$B$1:$U$1,X$1)</f>
        <v>0</v>
      </c>
      <c r="Y150" s="155">
        <f ca="1">SUMIFS('recurring2_based on steps'!$B150:$AY150,'recurring2_based on steps'!$B$1:$AY$1,Y$1)+SUMIFS('changes2_based on steps'!$B150:$U150,'changes2_based on steps'!$B$1:$U$1,Y$1)</f>
        <v>100</v>
      </c>
      <c r="Z150" s="155">
        <f>SUMIFS('recurring2_based on steps'!$B150:$AY150,'recurring2_based on steps'!$B$1:$AY$1,Z$1)+SUMIFS('changes2_based on steps'!$B150:$U150,'changes2_based on steps'!$B$1:$U$1,Z$1)</f>
        <v>0</v>
      </c>
      <c r="AA150" s="155">
        <f>SUMIFS('recurring2_based on steps'!$B150:$AY150,'recurring2_based on steps'!$B$1:$AY$1,AA$1)+SUMIFS('changes2_based on steps'!$B150:$U150,'changes2_based on steps'!$B$1:$U$1,AA$1)</f>
        <v>0</v>
      </c>
    </row>
    <row r="151" spans="1:27" x14ac:dyDescent="0.2">
      <c r="A151" s="18">
        <f t="shared" ca="1" si="2"/>
        <v>45837</v>
      </c>
      <c r="B151" s="155">
        <f ca="1">SUMIFS('recurring2_based on steps'!$B151:$AY151,'recurring2_based on steps'!$B$1:$AY$1,B$1)+SUMIFS('changes2_based on steps'!$B151:$U151,'changes2_based on steps'!$B$1:$U$1,B$1)</f>
        <v>0</v>
      </c>
      <c r="C151" s="155">
        <f>SUMIFS('recurring2_based on steps'!$B151:$AY151,'recurring2_based on steps'!$B$1:$AY$1,C$1)+SUMIFS('changes2_based on steps'!$B151:$U151,'changes2_based on steps'!$B$1:$U$1,C$1)</f>
        <v>0</v>
      </c>
      <c r="D151" s="155">
        <f>SUMIFS('recurring2_based on steps'!$B151:$AY151,'recurring2_based on steps'!$B$1:$AY$1,D$1)+SUMIFS('changes2_based on steps'!$B151:$U151,'changes2_based on steps'!$B$1:$U$1,D$1)</f>
        <v>0</v>
      </c>
      <c r="E151" s="155">
        <f>SUMIFS('recurring2_based on steps'!$B151:$AY151,'recurring2_based on steps'!$B$1:$AY$1,E$1)+SUMIFS('changes2_based on steps'!$B151:$U151,'changes2_based on steps'!$B$1:$U$1,E$1)</f>
        <v>0</v>
      </c>
      <c r="F151" s="155">
        <f>SUMIFS('recurring2_based on steps'!$B151:$AY151,'recurring2_based on steps'!$B$1:$AY$1,F$1)+SUMIFS('changes2_based on steps'!$B151:$U151,'changes2_based on steps'!$B$1:$U$1,F$1)</f>
        <v>0</v>
      </c>
      <c r="G151" s="155">
        <f>SUMIFS('recurring2_based on steps'!$B151:$AY151,'recurring2_based on steps'!$B$1:$AY$1,G$1)+SUMIFS('changes2_based on steps'!$B151:$U151,'changes2_based on steps'!$B$1:$U$1,G$1)</f>
        <v>0</v>
      </c>
      <c r="H151" s="155">
        <f ca="1">SUMIFS('recurring2_based on steps'!$B151:$AY151,'recurring2_based on steps'!$B$1:$AY$1,H$1)+SUMIFS('changes2_based on steps'!$B151:$U151,'changes2_based on steps'!$B$1:$U$1,H$1)</f>
        <v>0</v>
      </c>
      <c r="I151" s="155">
        <f>SUMIFS('recurring2_based on steps'!$B151:$AY151,'recurring2_based on steps'!$B$1:$AY$1,I$1)+SUMIFS('changes2_based on steps'!$B151:$U151,'changes2_based on steps'!$B$1:$U$1,I$1)</f>
        <v>0</v>
      </c>
      <c r="J151" s="155">
        <f>SUMIFS('recurring2_based on steps'!$B151:$AY151,'recurring2_based on steps'!$B$1:$AY$1,J$1)+SUMIFS('changes2_based on steps'!$B151:$U151,'changes2_based on steps'!$B$1:$U$1,J$1)</f>
        <v>0</v>
      </c>
      <c r="K151" s="155">
        <f>SUMIFS('recurring2_based on steps'!$B151:$AY151,'recurring2_based on steps'!$B$1:$AY$1,K$1)+SUMIFS('changes2_based on steps'!$B151:$U151,'changes2_based on steps'!$B$1:$U$1,K$1)</f>
        <v>0</v>
      </c>
      <c r="L151" s="155">
        <f>SUMIFS('recurring2_based on steps'!$B151:$AY151,'recurring2_based on steps'!$B$1:$AY$1,L$1)+SUMIFS('changes2_based on steps'!$B151:$U151,'changes2_based on steps'!$B$1:$U$1,L$1)</f>
        <v>0</v>
      </c>
      <c r="M151" s="155">
        <f ca="1">SUMIFS('recurring2_based on steps'!$B151:$AY151,'recurring2_based on steps'!$B$1:$AY$1,M$1)+SUMIFS('changes2_based on steps'!$B151:$U151,'changes2_based on steps'!$B$1:$U$1,M$1)</f>
        <v>0</v>
      </c>
      <c r="N151" s="155">
        <f ca="1">SUMIFS('recurring2_based on steps'!$B151:$AY151,'recurring2_based on steps'!$B$1:$AY$1,N$1)+SUMIFS('changes2_based on steps'!$B151:$U151,'changes2_based on steps'!$B$1:$U$1,N$1)</f>
        <v>50</v>
      </c>
      <c r="O151" s="155">
        <f ca="1">SUMIFS('recurring2_based on steps'!$B151:$AY151,'recurring2_based on steps'!$B$1:$AY$1,O$1)+SUMIFS('changes2_based on steps'!$B151:$U151,'changes2_based on steps'!$B$1:$U$1,O$1)</f>
        <v>0</v>
      </c>
      <c r="P151" s="155">
        <f ca="1">SUMIFS('recurring2_based on steps'!$B151:$AY151,'recurring2_based on steps'!$B$1:$AY$1,P$1)+SUMIFS('changes2_based on steps'!$B151:$U151,'changes2_based on steps'!$B$1:$U$1,P$1)</f>
        <v>0</v>
      </c>
      <c r="Q151" s="155">
        <f>SUMIFS('recurring2_based on steps'!$B151:$AY151,'recurring2_based on steps'!$B$1:$AY$1,Q$1)+SUMIFS('changes2_based on steps'!$B151:$U151,'changes2_based on steps'!$B$1:$U$1,Q$1)</f>
        <v>0</v>
      </c>
      <c r="R151" s="155">
        <f ca="1">SUMIFS('recurring2_based on steps'!$B151:$AY151,'recurring2_based on steps'!$B$1:$AY$1,R$1)+SUMIFS('changes2_based on steps'!$B151:$U151,'changes2_based on steps'!$B$1:$U$1,R$1)</f>
        <v>0</v>
      </c>
      <c r="S151" s="155">
        <f ca="1">SUMIFS('recurring2_based on steps'!$B151:$AY151,'recurring2_based on steps'!$B$1:$AY$1,S$1)+SUMIFS('changes2_based on steps'!$B151:$U151,'changes2_based on steps'!$B$1:$U$1,S$1)</f>
        <v>100</v>
      </c>
      <c r="T151" s="155">
        <f>SUMIFS('recurring2_based on steps'!$B151:$AY151,'recurring2_based on steps'!$B$1:$AY$1,T$1)+SUMIFS('changes2_based on steps'!$B151:$U151,'changes2_based on steps'!$B$1:$U$1,T$1)</f>
        <v>0</v>
      </c>
      <c r="U151" s="155">
        <f ca="1">SUMIFS('recurring2_based on steps'!$B151:$AY151,'recurring2_based on steps'!$B$1:$AY$1,U$1)+SUMIFS('changes2_based on steps'!$B151:$U151,'changes2_based on steps'!$B$1:$U$1,U$1)</f>
        <v>0</v>
      </c>
      <c r="V151" s="155">
        <f>SUMIFS('recurring2_based on steps'!$B151:$AY151,'recurring2_based on steps'!$B$1:$AY$1,V$1)+SUMIFS('changes2_based on steps'!$B151:$U151,'changes2_based on steps'!$B$1:$U$1,V$1)</f>
        <v>0</v>
      </c>
      <c r="W151" s="155">
        <f ca="1">SUMIFS('recurring2_based on steps'!$B151:$AY151,'recurring2_based on steps'!$B$1:$AY$1,W$1)+SUMIFS('changes2_based on steps'!$B151:$U151,'changes2_based on steps'!$B$1:$U$1,W$1)</f>
        <v>0</v>
      </c>
      <c r="X151" s="155">
        <f ca="1">SUMIFS('recurring2_based on steps'!$B151:$AY151,'recurring2_based on steps'!$B$1:$AY$1,X$1)+SUMIFS('changes2_based on steps'!$B151:$U151,'changes2_based on steps'!$B$1:$U$1,X$1)</f>
        <v>0</v>
      </c>
      <c r="Y151" s="155">
        <f ca="1">SUMIFS('recurring2_based on steps'!$B151:$AY151,'recurring2_based on steps'!$B$1:$AY$1,Y$1)+SUMIFS('changes2_based on steps'!$B151:$U151,'changes2_based on steps'!$B$1:$U$1,Y$1)</f>
        <v>0</v>
      </c>
      <c r="Z151" s="155">
        <f>SUMIFS('recurring2_based on steps'!$B151:$AY151,'recurring2_based on steps'!$B$1:$AY$1,Z$1)+SUMIFS('changes2_based on steps'!$B151:$U151,'changes2_based on steps'!$B$1:$U$1,Z$1)</f>
        <v>0</v>
      </c>
      <c r="AA151" s="155">
        <f>SUMIFS('recurring2_based on steps'!$B151:$AY151,'recurring2_based on steps'!$B$1:$AY$1,AA$1)+SUMIFS('changes2_based on steps'!$B151:$U151,'changes2_based on steps'!$B$1:$U$1,AA$1)</f>
        <v>0</v>
      </c>
    </row>
    <row r="152" spans="1:27" x14ac:dyDescent="0.2">
      <c r="A152" s="18">
        <f t="shared" ca="1" si="2"/>
        <v>45838</v>
      </c>
      <c r="B152" s="155">
        <f ca="1">SUMIFS('recurring2_based on steps'!$B152:$AY152,'recurring2_based on steps'!$B$1:$AY$1,B$1)+SUMIFS('changes2_based on steps'!$B152:$U152,'changes2_based on steps'!$B$1:$U$1,B$1)</f>
        <v>0</v>
      </c>
      <c r="C152" s="155">
        <f>SUMIFS('recurring2_based on steps'!$B152:$AY152,'recurring2_based on steps'!$B$1:$AY$1,C$1)+SUMIFS('changes2_based on steps'!$B152:$U152,'changes2_based on steps'!$B$1:$U$1,C$1)</f>
        <v>0</v>
      </c>
      <c r="D152" s="155">
        <f>SUMIFS('recurring2_based on steps'!$B152:$AY152,'recurring2_based on steps'!$B$1:$AY$1,D$1)+SUMIFS('changes2_based on steps'!$B152:$U152,'changes2_based on steps'!$B$1:$U$1,D$1)</f>
        <v>0</v>
      </c>
      <c r="E152" s="155">
        <f>SUMIFS('recurring2_based on steps'!$B152:$AY152,'recurring2_based on steps'!$B$1:$AY$1,E$1)+SUMIFS('changes2_based on steps'!$B152:$U152,'changes2_based on steps'!$B$1:$U$1,E$1)</f>
        <v>0</v>
      </c>
      <c r="F152" s="155">
        <f>SUMIFS('recurring2_based on steps'!$B152:$AY152,'recurring2_based on steps'!$B$1:$AY$1,F$1)+SUMIFS('changes2_based on steps'!$B152:$U152,'changes2_based on steps'!$B$1:$U$1,F$1)</f>
        <v>0</v>
      </c>
      <c r="G152" s="155">
        <f>SUMIFS('recurring2_based on steps'!$B152:$AY152,'recurring2_based on steps'!$B$1:$AY$1,G$1)+SUMIFS('changes2_based on steps'!$B152:$U152,'changes2_based on steps'!$B$1:$U$1,G$1)</f>
        <v>0</v>
      </c>
      <c r="H152" s="155">
        <f ca="1">SUMIFS('recurring2_based on steps'!$B152:$AY152,'recurring2_based on steps'!$B$1:$AY$1,H$1)+SUMIFS('changes2_based on steps'!$B152:$U152,'changes2_based on steps'!$B$1:$U$1,H$1)</f>
        <v>0</v>
      </c>
      <c r="I152" s="155">
        <f>SUMIFS('recurring2_based on steps'!$B152:$AY152,'recurring2_based on steps'!$B$1:$AY$1,I$1)+SUMIFS('changes2_based on steps'!$B152:$U152,'changes2_based on steps'!$B$1:$U$1,I$1)</f>
        <v>0</v>
      </c>
      <c r="J152" s="155">
        <f>SUMIFS('recurring2_based on steps'!$B152:$AY152,'recurring2_based on steps'!$B$1:$AY$1,J$1)+SUMIFS('changes2_based on steps'!$B152:$U152,'changes2_based on steps'!$B$1:$U$1,J$1)</f>
        <v>0</v>
      </c>
      <c r="K152" s="155">
        <f>SUMIFS('recurring2_based on steps'!$B152:$AY152,'recurring2_based on steps'!$B$1:$AY$1,K$1)+SUMIFS('changes2_based on steps'!$B152:$U152,'changes2_based on steps'!$B$1:$U$1,K$1)</f>
        <v>0</v>
      </c>
      <c r="L152" s="155">
        <f>SUMIFS('recurring2_based on steps'!$B152:$AY152,'recurring2_based on steps'!$B$1:$AY$1,L$1)+SUMIFS('changes2_based on steps'!$B152:$U152,'changes2_based on steps'!$B$1:$U$1,L$1)</f>
        <v>0</v>
      </c>
      <c r="M152" s="155">
        <f ca="1">SUMIFS('recurring2_based on steps'!$B152:$AY152,'recurring2_based on steps'!$B$1:$AY$1,M$1)+SUMIFS('changes2_based on steps'!$B152:$U152,'changes2_based on steps'!$B$1:$U$1,M$1)</f>
        <v>50</v>
      </c>
      <c r="N152" s="155">
        <f ca="1">SUMIFS('recurring2_based on steps'!$B152:$AY152,'recurring2_based on steps'!$B$1:$AY$1,N$1)+SUMIFS('changes2_based on steps'!$B152:$U152,'changes2_based on steps'!$B$1:$U$1,N$1)</f>
        <v>0</v>
      </c>
      <c r="O152" s="155">
        <f ca="1">SUMIFS('recurring2_based on steps'!$B152:$AY152,'recurring2_based on steps'!$B$1:$AY$1,O$1)+SUMIFS('changes2_based on steps'!$B152:$U152,'changes2_based on steps'!$B$1:$U$1,O$1)</f>
        <v>0</v>
      </c>
      <c r="P152" s="155">
        <f ca="1">SUMIFS('recurring2_based on steps'!$B152:$AY152,'recurring2_based on steps'!$B$1:$AY$1,P$1)+SUMIFS('changes2_based on steps'!$B152:$U152,'changes2_based on steps'!$B$1:$U$1,P$1)</f>
        <v>50</v>
      </c>
      <c r="Q152" s="155">
        <f>SUMIFS('recurring2_based on steps'!$B152:$AY152,'recurring2_based on steps'!$B$1:$AY$1,Q$1)+SUMIFS('changes2_based on steps'!$B152:$U152,'changes2_based on steps'!$B$1:$U$1,Q$1)</f>
        <v>0</v>
      </c>
      <c r="R152" s="155">
        <f ca="1">SUMIFS('recurring2_based on steps'!$B152:$AY152,'recurring2_based on steps'!$B$1:$AY$1,R$1)+SUMIFS('changes2_based on steps'!$B152:$U152,'changes2_based on steps'!$B$1:$U$1,R$1)</f>
        <v>0</v>
      </c>
      <c r="S152" s="155">
        <f ca="1">SUMIFS('recurring2_based on steps'!$B152:$AY152,'recurring2_based on steps'!$B$1:$AY$1,S$1)+SUMIFS('changes2_based on steps'!$B152:$U152,'changes2_based on steps'!$B$1:$U$1,S$1)</f>
        <v>0</v>
      </c>
      <c r="T152" s="155">
        <f>SUMIFS('recurring2_based on steps'!$B152:$AY152,'recurring2_based on steps'!$B$1:$AY$1,T$1)+SUMIFS('changes2_based on steps'!$B152:$U152,'changes2_based on steps'!$B$1:$U$1,T$1)</f>
        <v>0</v>
      </c>
      <c r="U152" s="155">
        <f ca="1">SUMIFS('recurring2_based on steps'!$B152:$AY152,'recurring2_based on steps'!$B$1:$AY$1,U$1)+SUMIFS('changes2_based on steps'!$B152:$U152,'changes2_based on steps'!$B$1:$U$1,U$1)</f>
        <v>0</v>
      </c>
      <c r="V152" s="155">
        <f>SUMIFS('recurring2_based on steps'!$B152:$AY152,'recurring2_based on steps'!$B$1:$AY$1,V$1)+SUMIFS('changes2_based on steps'!$B152:$U152,'changes2_based on steps'!$B$1:$U$1,V$1)</f>
        <v>0</v>
      </c>
      <c r="W152" s="155">
        <f ca="1">SUMIFS('recurring2_based on steps'!$B152:$AY152,'recurring2_based on steps'!$B$1:$AY$1,W$1)+SUMIFS('changes2_based on steps'!$B152:$U152,'changes2_based on steps'!$B$1:$U$1,W$1)</f>
        <v>0</v>
      </c>
      <c r="X152" s="155">
        <f ca="1">SUMIFS('recurring2_based on steps'!$B152:$AY152,'recurring2_based on steps'!$B$1:$AY$1,X$1)+SUMIFS('changes2_based on steps'!$B152:$U152,'changes2_based on steps'!$B$1:$U$1,X$1)</f>
        <v>0</v>
      </c>
      <c r="Y152" s="155">
        <f ca="1">SUMIFS('recurring2_based on steps'!$B152:$AY152,'recurring2_based on steps'!$B$1:$AY$1,Y$1)+SUMIFS('changes2_based on steps'!$B152:$U152,'changes2_based on steps'!$B$1:$U$1,Y$1)</f>
        <v>-100</v>
      </c>
      <c r="Z152" s="155">
        <f>SUMIFS('recurring2_based on steps'!$B152:$AY152,'recurring2_based on steps'!$B$1:$AY$1,Z$1)+SUMIFS('changes2_based on steps'!$B152:$U152,'changes2_based on steps'!$B$1:$U$1,Z$1)</f>
        <v>0</v>
      </c>
      <c r="AA152" s="155">
        <f>SUMIFS('recurring2_based on steps'!$B152:$AY152,'recurring2_based on steps'!$B$1:$AY$1,AA$1)+SUMIFS('changes2_based on steps'!$B152:$U152,'changes2_based on steps'!$B$1:$U$1,AA$1)</f>
        <v>0</v>
      </c>
    </row>
    <row r="153" spans="1:27" x14ac:dyDescent="0.2">
      <c r="A153" s="18">
        <f t="shared" ca="1" si="2"/>
        <v>45839</v>
      </c>
      <c r="B153" s="155">
        <f ca="1">SUMIFS('recurring2_based on steps'!$B153:$AY153,'recurring2_based on steps'!$B$1:$AY$1,B$1)+SUMIFS('changes2_based on steps'!$B153:$U153,'changes2_based on steps'!$B$1:$U$1,B$1)</f>
        <v>0</v>
      </c>
      <c r="C153" s="155">
        <f>SUMIFS('recurring2_based on steps'!$B153:$AY153,'recurring2_based on steps'!$B$1:$AY$1,C$1)+SUMIFS('changes2_based on steps'!$B153:$U153,'changes2_based on steps'!$B$1:$U$1,C$1)</f>
        <v>0</v>
      </c>
      <c r="D153" s="155">
        <f>SUMIFS('recurring2_based on steps'!$B153:$AY153,'recurring2_based on steps'!$B$1:$AY$1,D$1)+SUMIFS('changes2_based on steps'!$B153:$U153,'changes2_based on steps'!$B$1:$U$1,D$1)</f>
        <v>0</v>
      </c>
      <c r="E153" s="155">
        <f>SUMIFS('recurring2_based on steps'!$B153:$AY153,'recurring2_based on steps'!$B$1:$AY$1,E$1)+SUMIFS('changes2_based on steps'!$B153:$U153,'changes2_based on steps'!$B$1:$U$1,E$1)</f>
        <v>0</v>
      </c>
      <c r="F153" s="155">
        <f>SUMIFS('recurring2_based on steps'!$B153:$AY153,'recurring2_based on steps'!$B$1:$AY$1,F$1)+SUMIFS('changes2_based on steps'!$B153:$U153,'changes2_based on steps'!$B$1:$U$1,F$1)</f>
        <v>0</v>
      </c>
      <c r="G153" s="155">
        <f>SUMIFS('recurring2_based on steps'!$B153:$AY153,'recurring2_based on steps'!$B$1:$AY$1,G$1)+SUMIFS('changes2_based on steps'!$B153:$U153,'changes2_based on steps'!$B$1:$U$1,G$1)</f>
        <v>0</v>
      </c>
      <c r="H153" s="155">
        <f ca="1">SUMIFS('recurring2_based on steps'!$B153:$AY153,'recurring2_based on steps'!$B$1:$AY$1,H$1)+SUMIFS('changes2_based on steps'!$B153:$U153,'changes2_based on steps'!$B$1:$U$1,H$1)</f>
        <v>0</v>
      </c>
      <c r="I153" s="155">
        <f>SUMIFS('recurring2_based on steps'!$B153:$AY153,'recurring2_based on steps'!$B$1:$AY$1,I$1)+SUMIFS('changes2_based on steps'!$B153:$U153,'changes2_based on steps'!$B$1:$U$1,I$1)</f>
        <v>0</v>
      </c>
      <c r="J153" s="155">
        <f>SUMIFS('recurring2_based on steps'!$B153:$AY153,'recurring2_based on steps'!$B$1:$AY$1,J$1)+SUMIFS('changes2_based on steps'!$B153:$U153,'changes2_based on steps'!$B$1:$U$1,J$1)</f>
        <v>0</v>
      </c>
      <c r="K153" s="155">
        <f>SUMIFS('recurring2_based on steps'!$B153:$AY153,'recurring2_based on steps'!$B$1:$AY$1,K$1)+SUMIFS('changes2_based on steps'!$B153:$U153,'changes2_based on steps'!$B$1:$U$1,K$1)</f>
        <v>0</v>
      </c>
      <c r="L153" s="155">
        <f>SUMIFS('recurring2_based on steps'!$B153:$AY153,'recurring2_based on steps'!$B$1:$AY$1,L$1)+SUMIFS('changes2_based on steps'!$B153:$U153,'changes2_based on steps'!$B$1:$U$1,L$1)</f>
        <v>0</v>
      </c>
      <c r="M153" s="155">
        <f ca="1">SUMIFS('recurring2_based on steps'!$B153:$AY153,'recurring2_based on steps'!$B$1:$AY$1,M$1)+SUMIFS('changes2_based on steps'!$B153:$U153,'changes2_based on steps'!$B$1:$U$1,M$1)</f>
        <v>2000</v>
      </c>
      <c r="N153" s="155">
        <f ca="1">SUMIFS('recurring2_based on steps'!$B153:$AY153,'recurring2_based on steps'!$B$1:$AY$1,N$1)+SUMIFS('changes2_based on steps'!$B153:$U153,'changes2_based on steps'!$B$1:$U$1,N$1)</f>
        <v>0</v>
      </c>
      <c r="O153" s="155">
        <f ca="1">SUMIFS('recurring2_based on steps'!$B153:$AY153,'recurring2_based on steps'!$B$1:$AY$1,O$1)+SUMIFS('changes2_based on steps'!$B153:$U153,'changes2_based on steps'!$B$1:$U$1,O$1)</f>
        <v>0</v>
      </c>
      <c r="P153" s="155">
        <f ca="1">SUMIFS('recurring2_based on steps'!$B153:$AY153,'recurring2_based on steps'!$B$1:$AY$1,P$1)+SUMIFS('changes2_based on steps'!$B153:$U153,'changes2_based on steps'!$B$1:$U$1,P$1)</f>
        <v>0</v>
      </c>
      <c r="Q153" s="155">
        <f>SUMIFS('recurring2_based on steps'!$B153:$AY153,'recurring2_based on steps'!$B$1:$AY$1,Q$1)+SUMIFS('changes2_based on steps'!$B153:$U153,'changes2_based on steps'!$B$1:$U$1,Q$1)</f>
        <v>0</v>
      </c>
      <c r="R153" s="155">
        <f ca="1">SUMIFS('recurring2_based on steps'!$B153:$AY153,'recurring2_based on steps'!$B$1:$AY$1,R$1)+SUMIFS('changes2_based on steps'!$B153:$U153,'changes2_based on steps'!$B$1:$U$1,R$1)</f>
        <v>0</v>
      </c>
      <c r="S153" s="155">
        <f ca="1">SUMIFS('recurring2_based on steps'!$B153:$AY153,'recurring2_based on steps'!$B$1:$AY$1,S$1)+SUMIFS('changes2_based on steps'!$B153:$U153,'changes2_based on steps'!$B$1:$U$1,S$1)</f>
        <v>0</v>
      </c>
      <c r="T153" s="155">
        <f>SUMIFS('recurring2_based on steps'!$B153:$AY153,'recurring2_based on steps'!$B$1:$AY$1,T$1)+SUMIFS('changes2_based on steps'!$B153:$U153,'changes2_based on steps'!$B$1:$U$1,T$1)</f>
        <v>0</v>
      </c>
      <c r="U153" s="155">
        <f ca="1">SUMIFS('recurring2_based on steps'!$B153:$AY153,'recurring2_based on steps'!$B$1:$AY$1,U$1)+SUMIFS('changes2_based on steps'!$B153:$U153,'changes2_based on steps'!$B$1:$U$1,U$1)</f>
        <v>0</v>
      </c>
      <c r="V153" s="155">
        <f>SUMIFS('recurring2_based on steps'!$B153:$AY153,'recurring2_based on steps'!$B$1:$AY$1,V$1)+SUMIFS('changes2_based on steps'!$B153:$U153,'changes2_based on steps'!$B$1:$U$1,V$1)</f>
        <v>0</v>
      </c>
      <c r="W153" s="155">
        <f ca="1">SUMIFS('recurring2_based on steps'!$B153:$AY153,'recurring2_based on steps'!$B$1:$AY$1,W$1)+SUMIFS('changes2_based on steps'!$B153:$U153,'changes2_based on steps'!$B$1:$U$1,W$1)</f>
        <v>0</v>
      </c>
      <c r="X153" s="155">
        <f ca="1">SUMIFS('recurring2_based on steps'!$B153:$AY153,'recurring2_based on steps'!$B$1:$AY$1,X$1)+SUMIFS('changes2_based on steps'!$B153:$U153,'changes2_based on steps'!$B$1:$U$1,X$1)</f>
        <v>0</v>
      </c>
      <c r="Y153" s="155">
        <f ca="1">SUMIFS('recurring2_based on steps'!$B153:$AY153,'recurring2_based on steps'!$B$1:$AY$1,Y$1)+SUMIFS('changes2_based on steps'!$B153:$U153,'changes2_based on steps'!$B$1:$U$1,Y$1)</f>
        <v>0</v>
      </c>
      <c r="Z153" s="155">
        <f>SUMIFS('recurring2_based on steps'!$B153:$AY153,'recurring2_based on steps'!$B$1:$AY$1,Z$1)+SUMIFS('changes2_based on steps'!$B153:$U153,'changes2_based on steps'!$B$1:$U$1,Z$1)</f>
        <v>0</v>
      </c>
      <c r="AA153" s="155">
        <f>SUMIFS('recurring2_based on steps'!$B153:$AY153,'recurring2_based on steps'!$B$1:$AY$1,AA$1)+SUMIFS('changes2_based on steps'!$B153:$U153,'changes2_based on steps'!$B$1:$U$1,AA$1)</f>
        <v>0</v>
      </c>
    </row>
    <row r="154" spans="1:27" x14ac:dyDescent="0.2">
      <c r="A154" s="18">
        <f t="shared" ca="1" si="2"/>
        <v>45840</v>
      </c>
      <c r="B154" s="155">
        <f ca="1">SUMIFS('recurring2_based on steps'!$B154:$AY154,'recurring2_based on steps'!$B$1:$AY$1,B$1)+SUMIFS('changes2_based on steps'!$B154:$U154,'changes2_based on steps'!$B$1:$U$1,B$1)</f>
        <v>100</v>
      </c>
      <c r="C154" s="155">
        <f>SUMIFS('recurring2_based on steps'!$B154:$AY154,'recurring2_based on steps'!$B$1:$AY$1,C$1)+SUMIFS('changes2_based on steps'!$B154:$U154,'changes2_based on steps'!$B$1:$U$1,C$1)</f>
        <v>0</v>
      </c>
      <c r="D154" s="155">
        <f>SUMIFS('recurring2_based on steps'!$B154:$AY154,'recurring2_based on steps'!$B$1:$AY$1,D$1)+SUMIFS('changes2_based on steps'!$B154:$U154,'changes2_based on steps'!$B$1:$U$1,D$1)</f>
        <v>0</v>
      </c>
      <c r="E154" s="155">
        <f>SUMIFS('recurring2_based on steps'!$B154:$AY154,'recurring2_based on steps'!$B$1:$AY$1,E$1)+SUMIFS('changes2_based on steps'!$B154:$U154,'changes2_based on steps'!$B$1:$U$1,E$1)</f>
        <v>0</v>
      </c>
      <c r="F154" s="155">
        <f>SUMIFS('recurring2_based on steps'!$B154:$AY154,'recurring2_based on steps'!$B$1:$AY$1,F$1)+SUMIFS('changes2_based on steps'!$B154:$U154,'changes2_based on steps'!$B$1:$U$1,F$1)</f>
        <v>0</v>
      </c>
      <c r="G154" s="155">
        <f>SUMIFS('recurring2_based on steps'!$B154:$AY154,'recurring2_based on steps'!$B$1:$AY$1,G$1)+SUMIFS('changes2_based on steps'!$B154:$U154,'changes2_based on steps'!$B$1:$U$1,G$1)</f>
        <v>0</v>
      </c>
      <c r="H154" s="155">
        <f ca="1">SUMIFS('recurring2_based on steps'!$B154:$AY154,'recurring2_based on steps'!$B$1:$AY$1,H$1)+SUMIFS('changes2_based on steps'!$B154:$U154,'changes2_based on steps'!$B$1:$U$1,H$1)</f>
        <v>0</v>
      </c>
      <c r="I154" s="155">
        <f>SUMIFS('recurring2_based on steps'!$B154:$AY154,'recurring2_based on steps'!$B$1:$AY$1,I$1)+SUMIFS('changes2_based on steps'!$B154:$U154,'changes2_based on steps'!$B$1:$U$1,I$1)</f>
        <v>0</v>
      </c>
      <c r="J154" s="155">
        <f>SUMIFS('recurring2_based on steps'!$B154:$AY154,'recurring2_based on steps'!$B$1:$AY$1,J$1)+SUMIFS('changes2_based on steps'!$B154:$U154,'changes2_based on steps'!$B$1:$U$1,J$1)</f>
        <v>0</v>
      </c>
      <c r="K154" s="155">
        <f>SUMIFS('recurring2_based on steps'!$B154:$AY154,'recurring2_based on steps'!$B$1:$AY$1,K$1)+SUMIFS('changes2_based on steps'!$B154:$U154,'changes2_based on steps'!$B$1:$U$1,K$1)</f>
        <v>0</v>
      </c>
      <c r="L154" s="155">
        <f>SUMIFS('recurring2_based on steps'!$B154:$AY154,'recurring2_based on steps'!$B$1:$AY$1,L$1)+SUMIFS('changes2_based on steps'!$B154:$U154,'changes2_based on steps'!$B$1:$U$1,L$1)</f>
        <v>0</v>
      </c>
      <c r="M154" s="155">
        <f ca="1">SUMIFS('recurring2_based on steps'!$B154:$AY154,'recurring2_based on steps'!$B$1:$AY$1,M$1)+SUMIFS('changes2_based on steps'!$B154:$U154,'changes2_based on steps'!$B$1:$U$1,M$1)</f>
        <v>0</v>
      </c>
      <c r="N154" s="155">
        <f ca="1">SUMIFS('recurring2_based on steps'!$B154:$AY154,'recurring2_based on steps'!$B$1:$AY$1,N$1)+SUMIFS('changes2_based on steps'!$B154:$U154,'changes2_based on steps'!$B$1:$U$1,N$1)</f>
        <v>0</v>
      </c>
      <c r="O154" s="155">
        <f ca="1">SUMIFS('recurring2_based on steps'!$B154:$AY154,'recurring2_based on steps'!$B$1:$AY$1,O$1)+SUMIFS('changes2_based on steps'!$B154:$U154,'changes2_based on steps'!$B$1:$U$1,O$1)</f>
        <v>0</v>
      </c>
      <c r="P154" s="155">
        <f ca="1">SUMIFS('recurring2_based on steps'!$B154:$AY154,'recurring2_based on steps'!$B$1:$AY$1,P$1)+SUMIFS('changes2_based on steps'!$B154:$U154,'changes2_based on steps'!$B$1:$U$1,P$1)</f>
        <v>0</v>
      </c>
      <c r="Q154" s="155">
        <f>SUMIFS('recurring2_based on steps'!$B154:$AY154,'recurring2_based on steps'!$B$1:$AY$1,Q$1)+SUMIFS('changes2_based on steps'!$B154:$U154,'changes2_based on steps'!$B$1:$U$1,Q$1)</f>
        <v>0</v>
      </c>
      <c r="R154" s="155">
        <f ca="1">SUMIFS('recurring2_based on steps'!$B154:$AY154,'recurring2_based on steps'!$B$1:$AY$1,R$1)+SUMIFS('changes2_based on steps'!$B154:$U154,'changes2_based on steps'!$B$1:$U$1,R$1)</f>
        <v>0</v>
      </c>
      <c r="S154" s="155">
        <f ca="1">SUMIFS('recurring2_based on steps'!$B154:$AY154,'recurring2_based on steps'!$B$1:$AY$1,S$1)+SUMIFS('changes2_based on steps'!$B154:$U154,'changes2_based on steps'!$B$1:$U$1,S$1)</f>
        <v>0</v>
      </c>
      <c r="T154" s="155">
        <f>SUMIFS('recurring2_based on steps'!$B154:$AY154,'recurring2_based on steps'!$B$1:$AY$1,T$1)+SUMIFS('changes2_based on steps'!$B154:$U154,'changes2_based on steps'!$B$1:$U$1,T$1)</f>
        <v>0</v>
      </c>
      <c r="U154" s="155">
        <f ca="1">SUMIFS('recurring2_based on steps'!$B154:$AY154,'recurring2_based on steps'!$B$1:$AY$1,U$1)+SUMIFS('changes2_based on steps'!$B154:$U154,'changes2_based on steps'!$B$1:$U$1,U$1)</f>
        <v>0</v>
      </c>
      <c r="V154" s="155">
        <f>SUMIFS('recurring2_based on steps'!$B154:$AY154,'recurring2_based on steps'!$B$1:$AY$1,V$1)+SUMIFS('changes2_based on steps'!$B154:$U154,'changes2_based on steps'!$B$1:$U$1,V$1)</f>
        <v>0</v>
      </c>
      <c r="W154" s="155">
        <f ca="1">SUMIFS('recurring2_based on steps'!$B154:$AY154,'recurring2_based on steps'!$B$1:$AY$1,W$1)+SUMIFS('changes2_based on steps'!$B154:$U154,'changes2_based on steps'!$B$1:$U$1,W$1)</f>
        <v>0</v>
      </c>
      <c r="X154" s="155">
        <f ca="1">SUMIFS('recurring2_based on steps'!$B154:$AY154,'recurring2_based on steps'!$B$1:$AY$1,X$1)+SUMIFS('changes2_based on steps'!$B154:$U154,'changes2_based on steps'!$B$1:$U$1,X$1)</f>
        <v>0</v>
      </c>
      <c r="Y154" s="155">
        <f ca="1">SUMIFS('recurring2_based on steps'!$B154:$AY154,'recurring2_based on steps'!$B$1:$AY$1,Y$1)+SUMIFS('changes2_based on steps'!$B154:$U154,'changes2_based on steps'!$B$1:$U$1,Y$1)</f>
        <v>0</v>
      </c>
      <c r="Z154" s="155">
        <f>SUMIFS('recurring2_based on steps'!$B154:$AY154,'recurring2_based on steps'!$B$1:$AY$1,Z$1)+SUMIFS('changes2_based on steps'!$B154:$U154,'changes2_based on steps'!$B$1:$U$1,Z$1)</f>
        <v>0</v>
      </c>
      <c r="AA154" s="155">
        <f>SUMIFS('recurring2_based on steps'!$B154:$AY154,'recurring2_based on steps'!$B$1:$AY$1,AA$1)+SUMIFS('changes2_based on steps'!$B154:$U154,'changes2_based on steps'!$B$1:$U$1,AA$1)</f>
        <v>0</v>
      </c>
    </row>
    <row r="155" spans="1:27" x14ac:dyDescent="0.2">
      <c r="A155" s="18">
        <f t="shared" ca="1" si="2"/>
        <v>45841</v>
      </c>
      <c r="B155" s="155">
        <f ca="1">SUMIFS('recurring2_based on steps'!$B155:$AY155,'recurring2_based on steps'!$B$1:$AY$1,B$1)+SUMIFS('changes2_based on steps'!$B155:$U155,'changes2_based on steps'!$B$1:$U$1,B$1)</f>
        <v>0</v>
      </c>
      <c r="C155" s="155">
        <f>SUMIFS('recurring2_based on steps'!$B155:$AY155,'recurring2_based on steps'!$B$1:$AY$1,C$1)+SUMIFS('changes2_based on steps'!$B155:$U155,'changes2_based on steps'!$B$1:$U$1,C$1)</f>
        <v>0</v>
      </c>
      <c r="D155" s="155">
        <f>SUMIFS('recurring2_based on steps'!$B155:$AY155,'recurring2_based on steps'!$B$1:$AY$1,D$1)+SUMIFS('changes2_based on steps'!$B155:$U155,'changes2_based on steps'!$B$1:$U$1,D$1)</f>
        <v>0</v>
      </c>
      <c r="E155" s="155">
        <f>SUMIFS('recurring2_based on steps'!$B155:$AY155,'recurring2_based on steps'!$B$1:$AY$1,E$1)+SUMIFS('changes2_based on steps'!$B155:$U155,'changes2_based on steps'!$B$1:$U$1,E$1)</f>
        <v>0</v>
      </c>
      <c r="F155" s="155">
        <f>SUMIFS('recurring2_based on steps'!$B155:$AY155,'recurring2_based on steps'!$B$1:$AY$1,F$1)+SUMIFS('changes2_based on steps'!$B155:$U155,'changes2_based on steps'!$B$1:$U$1,F$1)</f>
        <v>0</v>
      </c>
      <c r="G155" s="155">
        <f>SUMIFS('recurring2_based on steps'!$B155:$AY155,'recurring2_based on steps'!$B$1:$AY$1,G$1)+SUMIFS('changes2_based on steps'!$B155:$U155,'changes2_based on steps'!$B$1:$U$1,G$1)</f>
        <v>0</v>
      </c>
      <c r="H155" s="155">
        <f ca="1">SUMIFS('recurring2_based on steps'!$B155:$AY155,'recurring2_based on steps'!$B$1:$AY$1,H$1)+SUMIFS('changes2_based on steps'!$B155:$U155,'changes2_based on steps'!$B$1:$U$1,H$1)</f>
        <v>0</v>
      </c>
      <c r="I155" s="155">
        <f>SUMIFS('recurring2_based on steps'!$B155:$AY155,'recurring2_based on steps'!$B$1:$AY$1,I$1)+SUMIFS('changes2_based on steps'!$B155:$U155,'changes2_based on steps'!$B$1:$U$1,I$1)</f>
        <v>0</v>
      </c>
      <c r="J155" s="155">
        <f>SUMIFS('recurring2_based on steps'!$B155:$AY155,'recurring2_based on steps'!$B$1:$AY$1,J$1)+SUMIFS('changes2_based on steps'!$B155:$U155,'changes2_based on steps'!$B$1:$U$1,J$1)</f>
        <v>0</v>
      </c>
      <c r="K155" s="155">
        <f>SUMIFS('recurring2_based on steps'!$B155:$AY155,'recurring2_based on steps'!$B$1:$AY$1,K$1)+SUMIFS('changes2_based on steps'!$B155:$U155,'changes2_based on steps'!$B$1:$U$1,K$1)</f>
        <v>0</v>
      </c>
      <c r="L155" s="155">
        <f>SUMIFS('recurring2_based on steps'!$B155:$AY155,'recurring2_based on steps'!$B$1:$AY$1,L$1)+SUMIFS('changes2_based on steps'!$B155:$U155,'changes2_based on steps'!$B$1:$U$1,L$1)</f>
        <v>0</v>
      </c>
      <c r="M155" s="155">
        <f ca="1">SUMIFS('recurring2_based on steps'!$B155:$AY155,'recurring2_based on steps'!$B$1:$AY$1,M$1)+SUMIFS('changes2_based on steps'!$B155:$U155,'changes2_based on steps'!$B$1:$U$1,M$1)</f>
        <v>0</v>
      </c>
      <c r="N155" s="155">
        <f ca="1">SUMIFS('recurring2_based on steps'!$B155:$AY155,'recurring2_based on steps'!$B$1:$AY$1,N$1)+SUMIFS('changes2_based on steps'!$B155:$U155,'changes2_based on steps'!$B$1:$U$1,N$1)</f>
        <v>0</v>
      </c>
      <c r="O155" s="155">
        <f ca="1">SUMIFS('recurring2_based on steps'!$B155:$AY155,'recurring2_based on steps'!$B$1:$AY$1,O$1)+SUMIFS('changes2_based on steps'!$B155:$U155,'changes2_based on steps'!$B$1:$U$1,O$1)</f>
        <v>0</v>
      </c>
      <c r="P155" s="155">
        <f ca="1">SUMIFS('recurring2_based on steps'!$B155:$AY155,'recurring2_based on steps'!$B$1:$AY$1,P$1)+SUMIFS('changes2_based on steps'!$B155:$U155,'changes2_based on steps'!$B$1:$U$1,P$1)</f>
        <v>0</v>
      </c>
      <c r="Q155" s="155">
        <f>SUMIFS('recurring2_based on steps'!$B155:$AY155,'recurring2_based on steps'!$B$1:$AY$1,Q$1)+SUMIFS('changes2_based on steps'!$B155:$U155,'changes2_based on steps'!$B$1:$U$1,Q$1)</f>
        <v>0</v>
      </c>
      <c r="R155" s="155">
        <f ca="1">SUMIFS('recurring2_based on steps'!$B155:$AY155,'recurring2_based on steps'!$B$1:$AY$1,R$1)+SUMIFS('changes2_based on steps'!$B155:$U155,'changes2_based on steps'!$B$1:$U$1,R$1)</f>
        <v>0</v>
      </c>
      <c r="S155" s="155">
        <f ca="1">SUMIFS('recurring2_based on steps'!$B155:$AY155,'recurring2_based on steps'!$B$1:$AY$1,S$1)+SUMIFS('changes2_based on steps'!$B155:$U155,'changes2_based on steps'!$B$1:$U$1,S$1)</f>
        <v>0</v>
      </c>
      <c r="T155" s="155">
        <f>SUMIFS('recurring2_based on steps'!$B155:$AY155,'recurring2_based on steps'!$B$1:$AY$1,T$1)+SUMIFS('changes2_based on steps'!$B155:$U155,'changes2_based on steps'!$B$1:$U$1,T$1)</f>
        <v>0</v>
      </c>
      <c r="U155" s="155">
        <f ca="1">SUMIFS('recurring2_based on steps'!$B155:$AY155,'recurring2_based on steps'!$B$1:$AY$1,U$1)+SUMIFS('changes2_based on steps'!$B155:$U155,'changes2_based on steps'!$B$1:$U$1,U$1)</f>
        <v>0</v>
      </c>
      <c r="V155" s="155">
        <f>SUMIFS('recurring2_based on steps'!$B155:$AY155,'recurring2_based on steps'!$B$1:$AY$1,V$1)+SUMIFS('changes2_based on steps'!$B155:$U155,'changes2_based on steps'!$B$1:$U$1,V$1)</f>
        <v>0</v>
      </c>
      <c r="W155" s="155">
        <f ca="1">SUMIFS('recurring2_based on steps'!$B155:$AY155,'recurring2_based on steps'!$B$1:$AY$1,W$1)+SUMIFS('changes2_based on steps'!$B155:$U155,'changes2_based on steps'!$B$1:$U$1,W$1)</f>
        <v>0</v>
      </c>
      <c r="X155" s="155">
        <f ca="1">SUMIFS('recurring2_based on steps'!$B155:$AY155,'recurring2_based on steps'!$B$1:$AY$1,X$1)+SUMIFS('changes2_based on steps'!$B155:$U155,'changes2_based on steps'!$B$1:$U$1,X$1)</f>
        <v>0</v>
      </c>
      <c r="Y155" s="155">
        <f ca="1">SUMIFS('recurring2_based on steps'!$B155:$AY155,'recurring2_based on steps'!$B$1:$AY$1,Y$1)+SUMIFS('changes2_based on steps'!$B155:$U155,'changes2_based on steps'!$B$1:$U$1,Y$1)</f>
        <v>0</v>
      </c>
      <c r="Z155" s="155">
        <f>SUMIFS('recurring2_based on steps'!$B155:$AY155,'recurring2_based on steps'!$B$1:$AY$1,Z$1)+SUMIFS('changes2_based on steps'!$B155:$U155,'changes2_based on steps'!$B$1:$U$1,Z$1)</f>
        <v>0</v>
      </c>
      <c r="AA155" s="155">
        <f>SUMIFS('recurring2_based on steps'!$B155:$AY155,'recurring2_based on steps'!$B$1:$AY$1,AA$1)+SUMIFS('changes2_based on steps'!$B155:$U155,'changes2_based on steps'!$B$1:$U$1,AA$1)</f>
        <v>0</v>
      </c>
    </row>
    <row r="156" spans="1:27" x14ac:dyDescent="0.2">
      <c r="A156" s="18">
        <f t="shared" ca="1" si="2"/>
        <v>45842</v>
      </c>
      <c r="B156" s="155">
        <f ca="1">SUMIFS('recurring2_based on steps'!$B156:$AY156,'recurring2_based on steps'!$B$1:$AY$1,B$1)+SUMIFS('changes2_based on steps'!$B156:$U156,'changes2_based on steps'!$B$1:$U$1,B$1)</f>
        <v>0</v>
      </c>
      <c r="C156" s="155">
        <f>SUMIFS('recurring2_based on steps'!$B156:$AY156,'recurring2_based on steps'!$B$1:$AY$1,C$1)+SUMIFS('changes2_based on steps'!$B156:$U156,'changes2_based on steps'!$B$1:$U$1,C$1)</f>
        <v>0</v>
      </c>
      <c r="D156" s="155">
        <f>SUMIFS('recurring2_based on steps'!$B156:$AY156,'recurring2_based on steps'!$B$1:$AY$1,D$1)+SUMIFS('changes2_based on steps'!$B156:$U156,'changes2_based on steps'!$B$1:$U$1,D$1)</f>
        <v>0</v>
      </c>
      <c r="E156" s="155">
        <f>SUMIFS('recurring2_based on steps'!$B156:$AY156,'recurring2_based on steps'!$B$1:$AY$1,E$1)+SUMIFS('changes2_based on steps'!$B156:$U156,'changes2_based on steps'!$B$1:$U$1,E$1)</f>
        <v>0</v>
      </c>
      <c r="F156" s="155">
        <f>SUMIFS('recurring2_based on steps'!$B156:$AY156,'recurring2_based on steps'!$B$1:$AY$1,F$1)+SUMIFS('changes2_based on steps'!$B156:$U156,'changes2_based on steps'!$B$1:$U$1,F$1)</f>
        <v>0</v>
      </c>
      <c r="G156" s="155">
        <f>SUMIFS('recurring2_based on steps'!$B156:$AY156,'recurring2_based on steps'!$B$1:$AY$1,G$1)+SUMIFS('changes2_based on steps'!$B156:$U156,'changes2_based on steps'!$B$1:$U$1,G$1)</f>
        <v>0</v>
      </c>
      <c r="H156" s="155">
        <f ca="1">SUMIFS('recurring2_based on steps'!$B156:$AY156,'recurring2_based on steps'!$B$1:$AY$1,H$1)+SUMIFS('changes2_based on steps'!$B156:$U156,'changes2_based on steps'!$B$1:$U$1,H$1)</f>
        <v>0</v>
      </c>
      <c r="I156" s="155">
        <f>SUMIFS('recurring2_based on steps'!$B156:$AY156,'recurring2_based on steps'!$B$1:$AY$1,I$1)+SUMIFS('changes2_based on steps'!$B156:$U156,'changes2_based on steps'!$B$1:$U$1,I$1)</f>
        <v>0</v>
      </c>
      <c r="J156" s="155">
        <f>SUMIFS('recurring2_based on steps'!$B156:$AY156,'recurring2_based on steps'!$B$1:$AY$1,J$1)+SUMIFS('changes2_based on steps'!$B156:$U156,'changes2_based on steps'!$B$1:$U$1,J$1)</f>
        <v>0</v>
      </c>
      <c r="K156" s="155">
        <f>SUMIFS('recurring2_based on steps'!$B156:$AY156,'recurring2_based on steps'!$B$1:$AY$1,K$1)+SUMIFS('changes2_based on steps'!$B156:$U156,'changes2_based on steps'!$B$1:$U$1,K$1)</f>
        <v>0</v>
      </c>
      <c r="L156" s="155">
        <f>SUMIFS('recurring2_based on steps'!$B156:$AY156,'recurring2_based on steps'!$B$1:$AY$1,L$1)+SUMIFS('changes2_based on steps'!$B156:$U156,'changes2_based on steps'!$B$1:$U$1,L$1)</f>
        <v>0</v>
      </c>
      <c r="M156" s="155">
        <f ca="1">SUMIFS('recurring2_based on steps'!$B156:$AY156,'recurring2_based on steps'!$B$1:$AY$1,M$1)+SUMIFS('changes2_based on steps'!$B156:$U156,'changes2_based on steps'!$B$1:$U$1,M$1)</f>
        <v>0</v>
      </c>
      <c r="N156" s="155">
        <f ca="1">SUMIFS('recurring2_based on steps'!$B156:$AY156,'recurring2_based on steps'!$B$1:$AY$1,N$1)+SUMIFS('changes2_based on steps'!$B156:$U156,'changes2_based on steps'!$B$1:$U$1,N$1)</f>
        <v>0</v>
      </c>
      <c r="O156" s="155">
        <f ca="1">SUMIFS('recurring2_based on steps'!$B156:$AY156,'recurring2_based on steps'!$B$1:$AY$1,O$1)+SUMIFS('changes2_based on steps'!$B156:$U156,'changes2_based on steps'!$B$1:$U$1,O$1)</f>
        <v>0</v>
      </c>
      <c r="P156" s="155">
        <f ca="1">SUMIFS('recurring2_based on steps'!$B156:$AY156,'recurring2_based on steps'!$B$1:$AY$1,P$1)+SUMIFS('changes2_based on steps'!$B156:$U156,'changes2_based on steps'!$B$1:$U$1,P$1)</f>
        <v>0</v>
      </c>
      <c r="Q156" s="155">
        <f>SUMIFS('recurring2_based on steps'!$B156:$AY156,'recurring2_based on steps'!$B$1:$AY$1,Q$1)+SUMIFS('changes2_based on steps'!$B156:$U156,'changes2_based on steps'!$B$1:$U$1,Q$1)</f>
        <v>0</v>
      </c>
      <c r="R156" s="155">
        <f ca="1">SUMIFS('recurring2_based on steps'!$B156:$AY156,'recurring2_based on steps'!$B$1:$AY$1,R$1)+SUMIFS('changes2_based on steps'!$B156:$U156,'changes2_based on steps'!$B$1:$U$1,R$1)</f>
        <v>0</v>
      </c>
      <c r="S156" s="155">
        <f ca="1">SUMIFS('recurring2_based on steps'!$B156:$AY156,'recurring2_based on steps'!$B$1:$AY$1,S$1)+SUMIFS('changes2_based on steps'!$B156:$U156,'changes2_based on steps'!$B$1:$U$1,S$1)</f>
        <v>0</v>
      </c>
      <c r="T156" s="155">
        <f>SUMIFS('recurring2_based on steps'!$B156:$AY156,'recurring2_based on steps'!$B$1:$AY$1,T$1)+SUMIFS('changes2_based on steps'!$B156:$U156,'changes2_based on steps'!$B$1:$U$1,T$1)</f>
        <v>0</v>
      </c>
      <c r="U156" s="155">
        <f ca="1">SUMIFS('recurring2_based on steps'!$B156:$AY156,'recurring2_based on steps'!$B$1:$AY$1,U$1)+SUMIFS('changes2_based on steps'!$B156:$U156,'changes2_based on steps'!$B$1:$U$1,U$1)</f>
        <v>15</v>
      </c>
      <c r="V156" s="155">
        <f>SUMIFS('recurring2_based on steps'!$B156:$AY156,'recurring2_based on steps'!$B$1:$AY$1,V$1)+SUMIFS('changes2_based on steps'!$B156:$U156,'changes2_based on steps'!$B$1:$U$1,V$1)</f>
        <v>0</v>
      </c>
      <c r="W156" s="155">
        <f ca="1">SUMIFS('recurring2_based on steps'!$B156:$AY156,'recurring2_based on steps'!$B$1:$AY$1,W$1)+SUMIFS('changes2_based on steps'!$B156:$U156,'changes2_based on steps'!$B$1:$U$1,W$1)</f>
        <v>0</v>
      </c>
      <c r="X156" s="155">
        <f ca="1">SUMIFS('recurring2_based on steps'!$B156:$AY156,'recurring2_based on steps'!$B$1:$AY$1,X$1)+SUMIFS('changes2_based on steps'!$B156:$U156,'changes2_based on steps'!$B$1:$U$1,X$1)</f>
        <v>0</v>
      </c>
      <c r="Y156" s="155">
        <f ca="1">SUMIFS('recurring2_based on steps'!$B156:$AY156,'recurring2_based on steps'!$B$1:$AY$1,Y$1)+SUMIFS('changes2_based on steps'!$B156:$U156,'changes2_based on steps'!$B$1:$U$1,Y$1)</f>
        <v>0</v>
      </c>
      <c r="Z156" s="155">
        <f>SUMIFS('recurring2_based on steps'!$B156:$AY156,'recurring2_based on steps'!$B$1:$AY$1,Z$1)+SUMIFS('changes2_based on steps'!$B156:$U156,'changes2_based on steps'!$B$1:$U$1,Z$1)</f>
        <v>0</v>
      </c>
      <c r="AA156" s="155">
        <f>SUMIFS('recurring2_based on steps'!$B156:$AY156,'recurring2_based on steps'!$B$1:$AY$1,AA$1)+SUMIFS('changes2_based on steps'!$B156:$U156,'changes2_based on steps'!$B$1:$U$1,AA$1)</f>
        <v>0</v>
      </c>
    </row>
    <row r="157" spans="1:27" x14ac:dyDescent="0.2">
      <c r="A157" s="18">
        <f t="shared" ca="1" si="2"/>
        <v>45843</v>
      </c>
      <c r="B157" s="155">
        <f ca="1">SUMIFS('recurring2_based on steps'!$B157:$AY157,'recurring2_based on steps'!$B$1:$AY$1,B$1)+SUMIFS('changes2_based on steps'!$B157:$U157,'changes2_based on steps'!$B$1:$U$1,B$1)</f>
        <v>0</v>
      </c>
      <c r="C157" s="155">
        <f>SUMIFS('recurring2_based on steps'!$B157:$AY157,'recurring2_based on steps'!$B$1:$AY$1,C$1)+SUMIFS('changes2_based on steps'!$B157:$U157,'changes2_based on steps'!$B$1:$U$1,C$1)</f>
        <v>0</v>
      </c>
      <c r="D157" s="155">
        <f>SUMIFS('recurring2_based on steps'!$B157:$AY157,'recurring2_based on steps'!$B$1:$AY$1,D$1)+SUMIFS('changes2_based on steps'!$B157:$U157,'changes2_based on steps'!$B$1:$U$1,D$1)</f>
        <v>0</v>
      </c>
      <c r="E157" s="155">
        <f>SUMIFS('recurring2_based on steps'!$B157:$AY157,'recurring2_based on steps'!$B$1:$AY$1,E$1)+SUMIFS('changes2_based on steps'!$B157:$U157,'changes2_based on steps'!$B$1:$U$1,E$1)</f>
        <v>0</v>
      </c>
      <c r="F157" s="155">
        <f>SUMIFS('recurring2_based on steps'!$B157:$AY157,'recurring2_based on steps'!$B$1:$AY$1,F$1)+SUMIFS('changes2_based on steps'!$B157:$U157,'changes2_based on steps'!$B$1:$U$1,F$1)</f>
        <v>0</v>
      </c>
      <c r="G157" s="155">
        <f>SUMIFS('recurring2_based on steps'!$B157:$AY157,'recurring2_based on steps'!$B$1:$AY$1,G$1)+SUMIFS('changes2_based on steps'!$B157:$U157,'changes2_based on steps'!$B$1:$U$1,G$1)</f>
        <v>0</v>
      </c>
      <c r="H157" s="155">
        <f ca="1">SUMIFS('recurring2_based on steps'!$B157:$AY157,'recurring2_based on steps'!$B$1:$AY$1,H$1)+SUMIFS('changes2_based on steps'!$B157:$U157,'changes2_based on steps'!$B$1:$U$1,H$1)</f>
        <v>0</v>
      </c>
      <c r="I157" s="155">
        <f>SUMIFS('recurring2_based on steps'!$B157:$AY157,'recurring2_based on steps'!$B$1:$AY$1,I$1)+SUMIFS('changes2_based on steps'!$B157:$U157,'changes2_based on steps'!$B$1:$U$1,I$1)</f>
        <v>0</v>
      </c>
      <c r="J157" s="155">
        <f>SUMIFS('recurring2_based on steps'!$B157:$AY157,'recurring2_based on steps'!$B$1:$AY$1,J$1)+SUMIFS('changes2_based on steps'!$B157:$U157,'changes2_based on steps'!$B$1:$U$1,J$1)</f>
        <v>0</v>
      </c>
      <c r="K157" s="155">
        <f>SUMIFS('recurring2_based on steps'!$B157:$AY157,'recurring2_based on steps'!$B$1:$AY$1,K$1)+SUMIFS('changes2_based on steps'!$B157:$U157,'changes2_based on steps'!$B$1:$U$1,K$1)</f>
        <v>0</v>
      </c>
      <c r="L157" s="155">
        <f>SUMIFS('recurring2_based on steps'!$B157:$AY157,'recurring2_based on steps'!$B$1:$AY$1,L$1)+SUMIFS('changes2_based on steps'!$B157:$U157,'changes2_based on steps'!$B$1:$U$1,L$1)</f>
        <v>0</v>
      </c>
      <c r="M157" s="155">
        <f ca="1">SUMIFS('recurring2_based on steps'!$B157:$AY157,'recurring2_based on steps'!$B$1:$AY$1,M$1)+SUMIFS('changes2_based on steps'!$B157:$U157,'changes2_based on steps'!$B$1:$U$1,M$1)</f>
        <v>0</v>
      </c>
      <c r="N157" s="155">
        <f ca="1">SUMIFS('recurring2_based on steps'!$B157:$AY157,'recurring2_based on steps'!$B$1:$AY$1,N$1)+SUMIFS('changes2_based on steps'!$B157:$U157,'changes2_based on steps'!$B$1:$U$1,N$1)</f>
        <v>0</v>
      </c>
      <c r="O157" s="155">
        <f ca="1">SUMIFS('recurring2_based on steps'!$B157:$AY157,'recurring2_based on steps'!$B$1:$AY$1,O$1)+SUMIFS('changes2_based on steps'!$B157:$U157,'changes2_based on steps'!$B$1:$U$1,O$1)</f>
        <v>0</v>
      </c>
      <c r="P157" s="155">
        <f ca="1">SUMIFS('recurring2_based on steps'!$B157:$AY157,'recurring2_based on steps'!$B$1:$AY$1,P$1)+SUMIFS('changes2_based on steps'!$B157:$U157,'changes2_based on steps'!$B$1:$U$1,P$1)</f>
        <v>0</v>
      </c>
      <c r="Q157" s="155">
        <f>SUMIFS('recurring2_based on steps'!$B157:$AY157,'recurring2_based on steps'!$B$1:$AY$1,Q$1)+SUMIFS('changes2_based on steps'!$B157:$U157,'changes2_based on steps'!$B$1:$U$1,Q$1)</f>
        <v>0</v>
      </c>
      <c r="R157" s="155">
        <f ca="1">SUMIFS('recurring2_based on steps'!$B157:$AY157,'recurring2_based on steps'!$B$1:$AY$1,R$1)+SUMIFS('changes2_based on steps'!$B157:$U157,'changes2_based on steps'!$B$1:$U$1,R$1)</f>
        <v>100</v>
      </c>
      <c r="S157" s="155">
        <f ca="1">SUMIFS('recurring2_based on steps'!$B157:$AY157,'recurring2_based on steps'!$B$1:$AY$1,S$1)+SUMIFS('changes2_based on steps'!$B157:$U157,'changes2_based on steps'!$B$1:$U$1,S$1)</f>
        <v>100</v>
      </c>
      <c r="T157" s="155">
        <f>SUMIFS('recurring2_based on steps'!$B157:$AY157,'recurring2_based on steps'!$B$1:$AY$1,T$1)+SUMIFS('changes2_based on steps'!$B157:$U157,'changes2_based on steps'!$B$1:$U$1,T$1)</f>
        <v>0</v>
      </c>
      <c r="U157" s="155">
        <f ca="1">SUMIFS('recurring2_based on steps'!$B157:$AY157,'recurring2_based on steps'!$B$1:$AY$1,U$1)+SUMIFS('changes2_based on steps'!$B157:$U157,'changes2_based on steps'!$B$1:$U$1,U$1)</f>
        <v>0</v>
      </c>
      <c r="V157" s="155">
        <f>SUMIFS('recurring2_based on steps'!$B157:$AY157,'recurring2_based on steps'!$B$1:$AY$1,V$1)+SUMIFS('changes2_based on steps'!$B157:$U157,'changes2_based on steps'!$B$1:$U$1,V$1)</f>
        <v>0</v>
      </c>
      <c r="W157" s="155">
        <f ca="1">SUMIFS('recurring2_based on steps'!$B157:$AY157,'recurring2_based on steps'!$B$1:$AY$1,W$1)+SUMIFS('changes2_based on steps'!$B157:$U157,'changes2_based on steps'!$B$1:$U$1,W$1)</f>
        <v>0</v>
      </c>
      <c r="X157" s="155">
        <f ca="1">SUMIFS('recurring2_based on steps'!$B157:$AY157,'recurring2_based on steps'!$B$1:$AY$1,X$1)+SUMIFS('changes2_based on steps'!$B157:$U157,'changes2_based on steps'!$B$1:$U$1,X$1)</f>
        <v>0</v>
      </c>
      <c r="Y157" s="155">
        <f ca="1">SUMIFS('recurring2_based on steps'!$B157:$AY157,'recurring2_based on steps'!$B$1:$AY$1,Y$1)+SUMIFS('changes2_based on steps'!$B157:$U157,'changes2_based on steps'!$B$1:$U$1,Y$1)</f>
        <v>0</v>
      </c>
      <c r="Z157" s="155">
        <f>SUMIFS('recurring2_based on steps'!$B157:$AY157,'recurring2_based on steps'!$B$1:$AY$1,Z$1)+SUMIFS('changes2_based on steps'!$B157:$U157,'changes2_based on steps'!$B$1:$U$1,Z$1)</f>
        <v>0</v>
      </c>
      <c r="AA157" s="155">
        <f>SUMIFS('recurring2_based on steps'!$B157:$AY157,'recurring2_based on steps'!$B$1:$AY$1,AA$1)+SUMIFS('changes2_based on steps'!$B157:$U157,'changes2_based on steps'!$B$1:$U$1,AA$1)</f>
        <v>0</v>
      </c>
    </row>
    <row r="158" spans="1:27" x14ac:dyDescent="0.2">
      <c r="A158" s="18">
        <f t="shared" ca="1" si="2"/>
        <v>45844</v>
      </c>
      <c r="B158" s="155">
        <f ca="1">SUMIFS('recurring2_based on steps'!$B158:$AY158,'recurring2_based on steps'!$B$1:$AY$1,B$1)+SUMIFS('changes2_based on steps'!$B158:$U158,'changes2_based on steps'!$B$1:$U$1,B$1)</f>
        <v>0</v>
      </c>
      <c r="C158" s="155">
        <f>SUMIFS('recurring2_based on steps'!$B158:$AY158,'recurring2_based on steps'!$B$1:$AY$1,C$1)+SUMIFS('changes2_based on steps'!$B158:$U158,'changes2_based on steps'!$B$1:$U$1,C$1)</f>
        <v>0</v>
      </c>
      <c r="D158" s="155">
        <f>SUMIFS('recurring2_based on steps'!$B158:$AY158,'recurring2_based on steps'!$B$1:$AY$1,D$1)+SUMIFS('changes2_based on steps'!$B158:$U158,'changes2_based on steps'!$B$1:$U$1,D$1)</f>
        <v>0</v>
      </c>
      <c r="E158" s="155">
        <f>SUMIFS('recurring2_based on steps'!$B158:$AY158,'recurring2_based on steps'!$B$1:$AY$1,E$1)+SUMIFS('changes2_based on steps'!$B158:$U158,'changes2_based on steps'!$B$1:$U$1,E$1)</f>
        <v>0</v>
      </c>
      <c r="F158" s="155">
        <f>SUMIFS('recurring2_based on steps'!$B158:$AY158,'recurring2_based on steps'!$B$1:$AY$1,F$1)+SUMIFS('changes2_based on steps'!$B158:$U158,'changes2_based on steps'!$B$1:$U$1,F$1)</f>
        <v>0</v>
      </c>
      <c r="G158" s="155">
        <f>SUMIFS('recurring2_based on steps'!$B158:$AY158,'recurring2_based on steps'!$B$1:$AY$1,G$1)+SUMIFS('changes2_based on steps'!$B158:$U158,'changes2_based on steps'!$B$1:$U$1,G$1)</f>
        <v>0</v>
      </c>
      <c r="H158" s="155">
        <f ca="1">SUMIFS('recurring2_based on steps'!$B158:$AY158,'recurring2_based on steps'!$B$1:$AY$1,H$1)+SUMIFS('changes2_based on steps'!$B158:$U158,'changes2_based on steps'!$B$1:$U$1,H$1)</f>
        <v>0</v>
      </c>
      <c r="I158" s="155">
        <f>SUMIFS('recurring2_based on steps'!$B158:$AY158,'recurring2_based on steps'!$B$1:$AY$1,I$1)+SUMIFS('changes2_based on steps'!$B158:$U158,'changes2_based on steps'!$B$1:$U$1,I$1)</f>
        <v>0</v>
      </c>
      <c r="J158" s="155">
        <f>SUMIFS('recurring2_based on steps'!$B158:$AY158,'recurring2_based on steps'!$B$1:$AY$1,J$1)+SUMIFS('changes2_based on steps'!$B158:$U158,'changes2_based on steps'!$B$1:$U$1,J$1)</f>
        <v>0</v>
      </c>
      <c r="K158" s="155">
        <f>SUMIFS('recurring2_based on steps'!$B158:$AY158,'recurring2_based on steps'!$B$1:$AY$1,K$1)+SUMIFS('changes2_based on steps'!$B158:$U158,'changes2_based on steps'!$B$1:$U$1,K$1)</f>
        <v>0</v>
      </c>
      <c r="L158" s="155">
        <f>SUMIFS('recurring2_based on steps'!$B158:$AY158,'recurring2_based on steps'!$B$1:$AY$1,L$1)+SUMIFS('changes2_based on steps'!$B158:$U158,'changes2_based on steps'!$B$1:$U$1,L$1)</f>
        <v>0</v>
      </c>
      <c r="M158" s="155">
        <f ca="1">SUMIFS('recurring2_based on steps'!$B158:$AY158,'recurring2_based on steps'!$B$1:$AY$1,M$1)+SUMIFS('changes2_based on steps'!$B158:$U158,'changes2_based on steps'!$B$1:$U$1,M$1)</f>
        <v>0</v>
      </c>
      <c r="N158" s="155">
        <f ca="1">SUMIFS('recurring2_based on steps'!$B158:$AY158,'recurring2_based on steps'!$B$1:$AY$1,N$1)+SUMIFS('changes2_based on steps'!$B158:$U158,'changes2_based on steps'!$B$1:$U$1,N$1)</f>
        <v>50</v>
      </c>
      <c r="O158" s="155">
        <f ca="1">SUMIFS('recurring2_based on steps'!$B158:$AY158,'recurring2_based on steps'!$B$1:$AY$1,O$1)+SUMIFS('changes2_based on steps'!$B158:$U158,'changes2_based on steps'!$B$1:$U$1,O$1)</f>
        <v>0</v>
      </c>
      <c r="P158" s="155">
        <f ca="1">SUMIFS('recurring2_based on steps'!$B158:$AY158,'recurring2_based on steps'!$B$1:$AY$1,P$1)+SUMIFS('changes2_based on steps'!$B158:$U158,'changes2_based on steps'!$B$1:$U$1,P$1)</f>
        <v>0</v>
      </c>
      <c r="Q158" s="155">
        <f>SUMIFS('recurring2_based on steps'!$B158:$AY158,'recurring2_based on steps'!$B$1:$AY$1,Q$1)+SUMIFS('changes2_based on steps'!$B158:$U158,'changes2_based on steps'!$B$1:$U$1,Q$1)</f>
        <v>0</v>
      </c>
      <c r="R158" s="155">
        <f ca="1">SUMIFS('recurring2_based on steps'!$B158:$AY158,'recurring2_based on steps'!$B$1:$AY$1,R$1)+SUMIFS('changes2_based on steps'!$B158:$U158,'changes2_based on steps'!$B$1:$U$1,R$1)</f>
        <v>0</v>
      </c>
      <c r="S158" s="155">
        <f ca="1">SUMIFS('recurring2_based on steps'!$B158:$AY158,'recurring2_based on steps'!$B$1:$AY$1,S$1)+SUMIFS('changes2_based on steps'!$B158:$U158,'changes2_based on steps'!$B$1:$U$1,S$1)</f>
        <v>100</v>
      </c>
      <c r="T158" s="155">
        <f>SUMIFS('recurring2_based on steps'!$B158:$AY158,'recurring2_based on steps'!$B$1:$AY$1,T$1)+SUMIFS('changes2_based on steps'!$B158:$U158,'changes2_based on steps'!$B$1:$U$1,T$1)</f>
        <v>0</v>
      </c>
      <c r="U158" s="155">
        <f ca="1">SUMIFS('recurring2_based on steps'!$B158:$AY158,'recurring2_based on steps'!$B$1:$AY$1,U$1)+SUMIFS('changes2_based on steps'!$B158:$U158,'changes2_based on steps'!$B$1:$U$1,U$1)</f>
        <v>0</v>
      </c>
      <c r="V158" s="155">
        <f>SUMIFS('recurring2_based on steps'!$B158:$AY158,'recurring2_based on steps'!$B$1:$AY$1,V$1)+SUMIFS('changes2_based on steps'!$B158:$U158,'changes2_based on steps'!$B$1:$U$1,V$1)</f>
        <v>0</v>
      </c>
      <c r="W158" s="155">
        <f ca="1">SUMIFS('recurring2_based on steps'!$B158:$AY158,'recurring2_based on steps'!$B$1:$AY$1,W$1)+SUMIFS('changes2_based on steps'!$B158:$U158,'changes2_based on steps'!$B$1:$U$1,W$1)</f>
        <v>0</v>
      </c>
      <c r="X158" s="155">
        <f ca="1">SUMIFS('recurring2_based on steps'!$B158:$AY158,'recurring2_based on steps'!$B$1:$AY$1,X$1)+SUMIFS('changes2_based on steps'!$B158:$U158,'changes2_based on steps'!$B$1:$U$1,X$1)</f>
        <v>0</v>
      </c>
      <c r="Y158" s="155">
        <f ca="1">SUMIFS('recurring2_based on steps'!$B158:$AY158,'recurring2_based on steps'!$B$1:$AY$1,Y$1)+SUMIFS('changes2_based on steps'!$B158:$U158,'changes2_based on steps'!$B$1:$U$1,Y$1)</f>
        <v>0</v>
      </c>
      <c r="Z158" s="155">
        <f>SUMIFS('recurring2_based on steps'!$B158:$AY158,'recurring2_based on steps'!$B$1:$AY$1,Z$1)+SUMIFS('changes2_based on steps'!$B158:$U158,'changes2_based on steps'!$B$1:$U$1,Z$1)</f>
        <v>0</v>
      </c>
      <c r="AA158" s="155">
        <f>SUMIFS('recurring2_based on steps'!$B158:$AY158,'recurring2_based on steps'!$B$1:$AY$1,AA$1)+SUMIFS('changes2_based on steps'!$B158:$U158,'changes2_based on steps'!$B$1:$U$1,AA$1)</f>
        <v>0</v>
      </c>
    </row>
    <row r="159" spans="1:27" x14ac:dyDescent="0.2">
      <c r="A159" s="18">
        <f t="shared" ca="1" si="2"/>
        <v>45845</v>
      </c>
      <c r="B159" s="155">
        <f ca="1">SUMIFS('recurring2_based on steps'!$B159:$AY159,'recurring2_based on steps'!$B$1:$AY$1,B$1)+SUMIFS('changes2_based on steps'!$B159:$U159,'changes2_based on steps'!$B$1:$U$1,B$1)</f>
        <v>0</v>
      </c>
      <c r="C159" s="155">
        <f>SUMIFS('recurring2_based on steps'!$B159:$AY159,'recurring2_based on steps'!$B$1:$AY$1,C$1)+SUMIFS('changes2_based on steps'!$B159:$U159,'changes2_based on steps'!$B$1:$U$1,C$1)</f>
        <v>0</v>
      </c>
      <c r="D159" s="155">
        <f>SUMIFS('recurring2_based on steps'!$B159:$AY159,'recurring2_based on steps'!$B$1:$AY$1,D$1)+SUMIFS('changes2_based on steps'!$B159:$U159,'changes2_based on steps'!$B$1:$U$1,D$1)</f>
        <v>0</v>
      </c>
      <c r="E159" s="155">
        <f>SUMIFS('recurring2_based on steps'!$B159:$AY159,'recurring2_based on steps'!$B$1:$AY$1,E$1)+SUMIFS('changes2_based on steps'!$B159:$U159,'changes2_based on steps'!$B$1:$U$1,E$1)</f>
        <v>0</v>
      </c>
      <c r="F159" s="155">
        <f>SUMIFS('recurring2_based on steps'!$B159:$AY159,'recurring2_based on steps'!$B$1:$AY$1,F$1)+SUMIFS('changes2_based on steps'!$B159:$U159,'changes2_based on steps'!$B$1:$U$1,F$1)</f>
        <v>0</v>
      </c>
      <c r="G159" s="155">
        <f>SUMIFS('recurring2_based on steps'!$B159:$AY159,'recurring2_based on steps'!$B$1:$AY$1,G$1)+SUMIFS('changes2_based on steps'!$B159:$U159,'changes2_based on steps'!$B$1:$U$1,G$1)</f>
        <v>0</v>
      </c>
      <c r="H159" s="155">
        <f ca="1">SUMIFS('recurring2_based on steps'!$B159:$AY159,'recurring2_based on steps'!$B$1:$AY$1,H$1)+SUMIFS('changes2_based on steps'!$B159:$U159,'changes2_based on steps'!$B$1:$U$1,H$1)</f>
        <v>0</v>
      </c>
      <c r="I159" s="155">
        <f>SUMIFS('recurring2_based on steps'!$B159:$AY159,'recurring2_based on steps'!$B$1:$AY$1,I$1)+SUMIFS('changes2_based on steps'!$B159:$U159,'changes2_based on steps'!$B$1:$U$1,I$1)</f>
        <v>0</v>
      </c>
      <c r="J159" s="155">
        <f>SUMIFS('recurring2_based on steps'!$B159:$AY159,'recurring2_based on steps'!$B$1:$AY$1,J$1)+SUMIFS('changes2_based on steps'!$B159:$U159,'changes2_based on steps'!$B$1:$U$1,J$1)</f>
        <v>0</v>
      </c>
      <c r="K159" s="155">
        <f>SUMIFS('recurring2_based on steps'!$B159:$AY159,'recurring2_based on steps'!$B$1:$AY$1,K$1)+SUMIFS('changes2_based on steps'!$B159:$U159,'changes2_based on steps'!$B$1:$U$1,K$1)</f>
        <v>0</v>
      </c>
      <c r="L159" s="155">
        <f>SUMIFS('recurring2_based on steps'!$B159:$AY159,'recurring2_based on steps'!$B$1:$AY$1,L$1)+SUMIFS('changes2_based on steps'!$B159:$U159,'changes2_based on steps'!$B$1:$U$1,L$1)</f>
        <v>0</v>
      </c>
      <c r="M159" s="155">
        <f ca="1">SUMIFS('recurring2_based on steps'!$B159:$AY159,'recurring2_based on steps'!$B$1:$AY$1,M$1)+SUMIFS('changes2_based on steps'!$B159:$U159,'changes2_based on steps'!$B$1:$U$1,M$1)</f>
        <v>0</v>
      </c>
      <c r="N159" s="155">
        <f ca="1">SUMIFS('recurring2_based on steps'!$B159:$AY159,'recurring2_based on steps'!$B$1:$AY$1,N$1)+SUMIFS('changes2_based on steps'!$B159:$U159,'changes2_based on steps'!$B$1:$U$1,N$1)</f>
        <v>0</v>
      </c>
      <c r="O159" s="155">
        <f ca="1">SUMIFS('recurring2_based on steps'!$B159:$AY159,'recurring2_based on steps'!$B$1:$AY$1,O$1)+SUMIFS('changes2_based on steps'!$B159:$U159,'changes2_based on steps'!$B$1:$U$1,O$1)</f>
        <v>0</v>
      </c>
      <c r="P159" s="155">
        <f ca="1">SUMIFS('recurring2_based on steps'!$B159:$AY159,'recurring2_based on steps'!$B$1:$AY$1,P$1)+SUMIFS('changes2_based on steps'!$B159:$U159,'changes2_based on steps'!$B$1:$U$1,P$1)</f>
        <v>0</v>
      </c>
      <c r="Q159" s="155">
        <f>SUMIFS('recurring2_based on steps'!$B159:$AY159,'recurring2_based on steps'!$B$1:$AY$1,Q$1)+SUMIFS('changes2_based on steps'!$B159:$U159,'changes2_based on steps'!$B$1:$U$1,Q$1)</f>
        <v>0</v>
      </c>
      <c r="R159" s="155">
        <f ca="1">SUMIFS('recurring2_based on steps'!$B159:$AY159,'recurring2_based on steps'!$B$1:$AY$1,R$1)+SUMIFS('changes2_based on steps'!$B159:$U159,'changes2_based on steps'!$B$1:$U$1,R$1)</f>
        <v>0</v>
      </c>
      <c r="S159" s="155">
        <f ca="1">SUMIFS('recurring2_based on steps'!$B159:$AY159,'recurring2_based on steps'!$B$1:$AY$1,S$1)+SUMIFS('changes2_based on steps'!$B159:$U159,'changes2_based on steps'!$B$1:$U$1,S$1)</f>
        <v>0</v>
      </c>
      <c r="T159" s="155">
        <f>SUMIFS('recurring2_based on steps'!$B159:$AY159,'recurring2_based on steps'!$B$1:$AY$1,T$1)+SUMIFS('changes2_based on steps'!$B159:$U159,'changes2_based on steps'!$B$1:$U$1,T$1)</f>
        <v>0</v>
      </c>
      <c r="U159" s="155">
        <f ca="1">SUMIFS('recurring2_based on steps'!$B159:$AY159,'recurring2_based on steps'!$B$1:$AY$1,U$1)+SUMIFS('changes2_based on steps'!$B159:$U159,'changes2_based on steps'!$B$1:$U$1,U$1)</f>
        <v>0</v>
      </c>
      <c r="V159" s="155">
        <f>SUMIFS('recurring2_based on steps'!$B159:$AY159,'recurring2_based on steps'!$B$1:$AY$1,V$1)+SUMIFS('changes2_based on steps'!$B159:$U159,'changes2_based on steps'!$B$1:$U$1,V$1)</f>
        <v>0</v>
      </c>
      <c r="W159" s="155">
        <f ca="1">SUMIFS('recurring2_based on steps'!$B159:$AY159,'recurring2_based on steps'!$B$1:$AY$1,W$1)+SUMIFS('changes2_based on steps'!$B159:$U159,'changes2_based on steps'!$B$1:$U$1,W$1)</f>
        <v>0</v>
      </c>
      <c r="X159" s="155">
        <f ca="1">SUMIFS('recurring2_based on steps'!$B159:$AY159,'recurring2_based on steps'!$B$1:$AY$1,X$1)+SUMIFS('changes2_based on steps'!$B159:$U159,'changes2_based on steps'!$B$1:$U$1,X$1)</f>
        <v>0</v>
      </c>
      <c r="Y159" s="155">
        <f ca="1">SUMIFS('recurring2_based on steps'!$B159:$AY159,'recurring2_based on steps'!$B$1:$AY$1,Y$1)+SUMIFS('changes2_based on steps'!$B159:$U159,'changes2_based on steps'!$B$1:$U$1,Y$1)</f>
        <v>0</v>
      </c>
      <c r="Z159" s="155">
        <f>SUMIFS('recurring2_based on steps'!$B159:$AY159,'recurring2_based on steps'!$B$1:$AY$1,Z$1)+SUMIFS('changes2_based on steps'!$B159:$U159,'changes2_based on steps'!$B$1:$U$1,Z$1)</f>
        <v>0</v>
      </c>
      <c r="AA159" s="155">
        <f>SUMIFS('recurring2_based on steps'!$B159:$AY159,'recurring2_based on steps'!$B$1:$AY$1,AA$1)+SUMIFS('changes2_based on steps'!$B159:$U159,'changes2_based on steps'!$B$1:$U$1,AA$1)</f>
        <v>0</v>
      </c>
    </row>
    <row r="160" spans="1:27" x14ac:dyDescent="0.2">
      <c r="A160" s="18">
        <f t="shared" ca="1" si="2"/>
        <v>45846</v>
      </c>
      <c r="B160" s="155">
        <f ca="1">SUMIFS('recurring2_based on steps'!$B160:$AY160,'recurring2_based on steps'!$B$1:$AY$1,B$1)+SUMIFS('changes2_based on steps'!$B160:$U160,'changes2_based on steps'!$B$1:$U$1,B$1)</f>
        <v>0</v>
      </c>
      <c r="C160" s="155">
        <f>SUMIFS('recurring2_based on steps'!$B160:$AY160,'recurring2_based on steps'!$B$1:$AY$1,C$1)+SUMIFS('changes2_based on steps'!$B160:$U160,'changes2_based on steps'!$B$1:$U$1,C$1)</f>
        <v>0</v>
      </c>
      <c r="D160" s="155">
        <f>SUMIFS('recurring2_based on steps'!$B160:$AY160,'recurring2_based on steps'!$B$1:$AY$1,D$1)+SUMIFS('changes2_based on steps'!$B160:$U160,'changes2_based on steps'!$B$1:$U$1,D$1)</f>
        <v>0</v>
      </c>
      <c r="E160" s="155">
        <f>SUMIFS('recurring2_based on steps'!$B160:$AY160,'recurring2_based on steps'!$B$1:$AY$1,E$1)+SUMIFS('changes2_based on steps'!$B160:$U160,'changes2_based on steps'!$B$1:$U$1,E$1)</f>
        <v>0</v>
      </c>
      <c r="F160" s="155">
        <f>SUMIFS('recurring2_based on steps'!$B160:$AY160,'recurring2_based on steps'!$B$1:$AY$1,F$1)+SUMIFS('changes2_based on steps'!$B160:$U160,'changes2_based on steps'!$B$1:$U$1,F$1)</f>
        <v>0</v>
      </c>
      <c r="G160" s="155">
        <f>SUMIFS('recurring2_based on steps'!$B160:$AY160,'recurring2_based on steps'!$B$1:$AY$1,G$1)+SUMIFS('changes2_based on steps'!$B160:$U160,'changes2_based on steps'!$B$1:$U$1,G$1)</f>
        <v>0</v>
      </c>
      <c r="H160" s="155">
        <f ca="1">SUMIFS('recurring2_based on steps'!$B160:$AY160,'recurring2_based on steps'!$B$1:$AY$1,H$1)+SUMIFS('changes2_based on steps'!$B160:$U160,'changes2_based on steps'!$B$1:$U$1,H$1)</f>
        <v>0</v>
      </c>
      <c r="I160" s="155">
        <f>SUMIFS('recurring2_based on steps'!$B160:$AY160,'recurring2_based on steps'!$B$1:$AY$1,I$1)+SUMIFS('changes2_based on steps'!$B160:$U160,'changes2_based on steps'!$B$1:$U$1,I$1)</f>
        <v>0</v>
      </c>
      <c r="J160" s="155">
        <f>SUMIFS('recurring2_based on steps'!$B160:$AY160,'recurring2_based on steps'!$B$1:$AY$1,J$1)+SUMIFS('changes2_based on steps'!$B160:$U160,'changes2_based on steps'!$B$1:$U$1,J$1)</f>
        <v>0</v>
      </c>
      <c r="K160" s="155">
        <f>SUMIFS('recurring2_based on steps'!$B160:$AY160,'recurring2_based on steps'!$B$1:$AY$1,K$1)+SUMIFS('changes2_based on steps'!$B160:$U160,'changes2_based on steps'!$B$1:$U$1,K$1)</f>
        <v>0</v>
      </c>
      <c r="L160" s="155">
        <f>SUMIFS('recurring2_based on steps'!$B160:$AY160,'recurring2_based on steps'!$B$1:$AY$1,L$1)+SUMIFS('changes2_based on steps'!$B160:$U160,'changes2_based on steps'!$B$1:$U$1,L$1)</f>
        <v>0</v>
      </c>
      <c r="M160" s="155">
        <f ca="1">SUMIFS('recurring2_based on steps'!$B160:$AY160,'recurring2_based on steps'!$B$1:$AY$1,M$1)+SUMIFS('changes2_based on steps'!$B160:$U160,'changes2_based on steps'!$B$1:$U$1,M$1)</f>
        <v>0</v>
      </c>
      <c r="N160" s="155">
        <f ca="1">SUMIFS('recurring2_based on steps'!$B160:$AY160,'recurring2_based on steps'!$B$1:$AY$1,N$1)+SUMIFS('changes2_based on steps'!$B160:$U160,'changes2_based on steps'!$B$1:$U$1,N$1)</f>
        <v>0</v>
      </c>
      <c r="O160" s="155">
        <f ca="1">SUMIFS('recurring2_based on steps'!$B160:$AY160,'recurring2_based on steps'!$B$1:$AY$1,O$1)+SUMIFS('changes2_based on steps'!$B160:$U160,'changes2_based on steps'!$B$1:$U$1,O$1)</f>
        <v>0</v>
      </c>
      <c r="P160" s="155">
        <f ca="1">SUMIFS('recurring2_based on steps'!$B160:$AY160,'recurring2_based on steps'!$B$1:$AY$1,P$1)+SUMIFS('changes2_based on steps'!$B160:$U160,'changes2_based on steps'!$B$1:$U$1,P$1)</f>
        <v>0</v>
      </c>
      <c r="Q160" s="155">
        <f>SUMIFS('recurring2_based on steps'!$B160:$AY160,'recurring2_based on steps'!$B$1:$AY$1,Q$1)+SUMIFS('changes2_based on steps'!$B160:$U160,'changes2_based on steps'!$B$1:$U$1,Q$1)</f>
        <v>0</v>
      </c>
      <c r="R160" s="155">
        <f ca="1">SUMIFS('recurring2_based on steps'!$B160:$AY160,'recurring2_based on steps'!$B$1:$AY$1,R$1)+SUMIFS('changes2_based on steps'!$B160:$U160,'changes2_based on steps'!$B$1:$U$1,R$1)</f>
        <v>0</v>
      </c>
      <c r="S160" s="155">
        <f ca="1">SUMIFS('recurring2_based on steps'!$B160:$AY160,'recurring2_based on steps'!$B$1:$AY$1,S$1)+SUMIFS('changes2_based on steps'!$B160:$U160,'changes2_based on steps'!$B$1:$U$1,S$1)</f>
        <v>0</v>
      </c>
      <c r="T160" s="155">
        <f>SUMIFS('recurring2_based on steps'!$B160:$AY160,'recurring2_based on steps'!$B$1:$AY$1,T$1)+SUMIFS('changes2_based on steps'!$B160:$U160,'changes2_based on steps'!$B$1:$U$1,T$1)</f>
        <v>0</v>
      </c>
      <c r="U160" s="155">
        <f ca="1">SUMIFS('recurring2_based on steps'!$B160:$AY160,'recurring2_based on steps'!$B$1:$AY$1,U$1)+SUMIFS('changes2_based on steps'!$B160:$U160,'changes2_based on steps'!$B$1:$U$1,U$1)</f>
        <v>0</v>
      </c>
      <c r="V160" s="155">
        <f>SUMIFS('recurring2_based on steps'!$B160:$AY160,'recurring2_based on steps'!$B$1:$AY$1,V$1)+SUMIFS('changes2_based on steps'!$B160:$U160,'changes2_based on steps'!$B$1:$U$1,V$1)</f>
        <v>0</v>
      </c>
      <c r="W160" s="155">
        <f ca="1">SUMIFS('recurring2_based on steps'!$B160:$AY160,'recurring2_based on steps'!$B$1:$AY$1,W$1)+SUMIFS('changes2_based on steps'!$B160:$U160,'changes2_based on steps'!$B$1:$U$1,W$1)</f>
        <v>0</v>
      </c>
      <c r="X160" s="155">
        <f ca="1">SUMIFS('recurring2_based on steps'!$B160:$AY160,'recurring2_based on steps'!$B$1:$AY$1,X$1)+SUMIFS('changes2_based on steps'!$B160:$U160,'changes2_based on steps'!$B$1:$U$1,X$1)</f>
        <v>0</v>
      </c>
      <c r="Y160" s="155">
        <f ca="1">SUMIFS('recurring2_based on steps'!$B160:$AY160,'recurring2_based on steps'!$B$1:$AY$1,Y$1)+SUMIFS('changes2_based on steps'!$B160:$U160,'changes2_based on steps'!$B$1:$U$1,Y$1)</f>
        <v>0</v>
      </c>
      <c r="Z160" s="155">
        <f>SUMIFS('recurring2_based on steps'!$B160:$AY160,'recurring2_based on steps'!$B$1:$AY$1,Z$1)+SUMIFS('changes2_based on steps'!$B160:$U160,'changes2_based on steps'!$B$1:$U$1,Z$1)</f>
        <v>0</v>
      </c>
      <c r="AA160" s="155">
        <f>SUMIFS('recurring2_based on steps'!$B160:$AY160,'recurring2_based on steps'!$B$1:$AY$1,AA$1)+SUMIFS('changes2_based on steps'!$B160:$U160,'changes2_based on steps'!$B$1:$U$1,AA$1)</f>
        <v>0</v>
      </c>
    </row>
    <row r="161" spans="1:27" x14ac:dyDescent="0.2">
      <c r="A161" s="18">
        <f t="shared" ca="1" si="2"/>
        <v>45847</v>
      </c>
      <c r="B161" s="155">
        <f ca="1">SUMIFS('recurring2_based on steps'!$B161:$AY161,'recurring2_based on steps'!$B$1:$AY$1,B$1)+SUMIFS('changes2_based on steps'!$B161:$U161,'changes2_based on steps'!$B$1:$U$1,B$1)</f>
        <v>0</v>
      </c>
      <c r="C161" s="155">
        <f>SUMIFS('recurring2_based on steps'!$B161:$AY161,'recurring2_based on steps'!$B$1:$AY$1,C$1)+SUMIFS('changes2_based on steps'!$B161:$U161,'changes2_based on steps'!$B$1:$U$1,C$1)</f>
        <v>0</v>
      </c>
      <c r="D161" s="155">
        <f>SUMIFS('recurring2_based on steps'!$B161:$AY161,'recurring2_based on steps'!$B$1:$AY$1,D$1)+SUMIFS('changes2_based on steps'!$B161:$U161,'changes2_based on steps'!$B$1:$U$1,D$1)</f>
        <v>0</v>
      </c>
      <c r="E161" s="155">
        <f>SUMIFS('recurring2_based on steps'!$B161:$AY161,'recurring2_based on steps'!$B$1:$AY$1,E$1)+SUMIFS('changes2_based on steps'!$B161:$U161,'changes2_based on steps'!$B$1:$U$1,E$1)</f>
        <v>0</v>
      </c>
      <c r="F161" s="155">
        <f>SUMIFS('recurring2_based on steps'!$B161:$AY161,'recurring2_based on steps'!$B$1:$AY$1,F$1)+SUMIFS('changes2_based on steps'!$B161:$U161,'changes2_based on steps'!$B$1:$U$1,F$1)</f>
        <v>0</v>
      </c>
      <c r="G161" s="155">
        <f>SUMIFS('recurring2_based on steps'!$B161:$AY161,'recurring2_based on steps'!$B$1:$AY$1,G$1)+SUMIFS('changes2_based on steps'!$B161:$U161,'changes2_based on steps'!$B$1:$U$1,G$1)</f>
        <v>0</v>
      </c>
      <c r="H161" s="155">
        <f ca="1">SUMIFS('recurring2_based on steps'!$B161:$AY161,'recurring2_based on steps'!$B$1:$AY$1,H$1)+SUMIFS('changes2_based on steps'!$B161:$U161,'changes2_based on steps'!$B$1:$U$1,H$1)</f>
        <v>0</v>
      </c>
      <c r="I161" s="155">
        <f>SUMIFS('recurring2_based on steps'!$B161:$AY161,'recurring2_based on steps'!$B$1:$AY$1,I$1)+SUMIFS('changes2_based on steps'!$B161:$U161,'changes2_based on steps'!$B$1:$U$1,I$1)</f>
        <v>0</v>
      </c>
      <c r="J161" s="155">
        <f>SUMIFS('recurring2_based on steps'!$B161:$AY161,'recurring2_based on steps'!$B$1:$AY$1,J$1)+SUMIFS('changes2_based on steps'!$B161:$U161,'changes2_based on steps'!$B$1:$U$1,J$1)</f>
        <v>0</v>
      </c>
      <c r="K161" s="155">
        <f>SUMIFS('recurring2_based on steps'!$B161:$AY161,'recurring2_based on steps'!$B$1:$AY$1,K$1)+SUMIFS('changes2_based on steps'!$B161:$U161,'changes2_based on steps'!$B$1:$U$1,K$1)</f>
        <v>0</v>
      </c>
      <c r="L161" s="155">
        <f>SUMIFS('recurring2_based on steps'!$B161:$AY161,'recurring2_based on steps'!$B$1:$AY$1,L$1)+SUMIFS('changes2_based on steps'!$B161:$U161,'changes2_based on steps'!$B$1:$U$1,L$1)</f>
        <v>0</v>
      </c>
      <c r="M161" s="155">
        <f ca="1">SUMIFS('recurring2_based on steps'!$B161:$AY161,'recurring2_based on steps'!$B$1:$AY$1,M$1)+SUMIFS('changes2_based on steps'!$B161:$U161,'changes2_based on steps'!$B$1:$U$1,M$1)</f>
        <v>0</v>
      </c>
      <c r="N161" s="155">
        <f ca="1">SUMIFS('recurring2_based on steps'!$B161:$AY161,'recurring2_based on steps'!$B$1:$AY$1,N$1)+SUMIFS('changes2_based on steps'!$B161:$U161,'changes2_based on steps'!$B$1:$U$1,N$1)</f>
        <v>0</v>
      </c>
      <c r="O161" s="155">
        <f ca="1">SUMIFS('recurring2_based on steps'!$B161:$AY161,'recurring2_based on steps'!$B$1:$AY$1,O$1)+SUMIFS('changes2_based on steps'!$B161:$U161,'changes2_based on steps'!$B$1:$U$1,O$1)</f>
        <v>0</v>
      </c>
      <c r="P161" s="155">
        <f ca="1">SUMIFS('recurring2_based on steps'!$B161:$AY161,'recurring2_based on steps'!$B$1:$AY$1,P$1)+SUMIFS('changes2_based on steps'!$B161:$U161,'changes2_based on steps'!$B$1:$U$1,P$1)</f>
        <v>0</v>
      </c>
      <c r="Q161" s="155">
        <f>SUMIFS('recurring2_based on steps'!$B161:$AY161,'recurring2_based on steps'!$B$1:$AY$1,Q$1)+SUMIFS('changes2_based on steps'!$B161:$U161,'changes2_based on steps'!$B$1:$U$1,Q$1)</f>
        <v>0</v>
      </c>
      <c r="R161" s="155">
        <f ca="1">SUMIFS('recurring2_based on steps'!$B161:$AY161,'recurring2_based on steps'!$B$1:$AY$1,R$1)+SUMIFS('changes2_based on steps'!$B161:$U161,'changes2_based on steps'!$B$1:$U$1,R$1)</f>
        <v>0</v>
      </c>
      <c r="S161" s="155">
        <f ca="1">SUMIFS('recurring2_based on steps'!$B161:$AY161,'recurring2_based on steps'!$B$1:$AY$1,S$1)+SUMIFS('changes2_based on steps'!$B161:$U161,'changes2_based on steps'!$B$1:$U$1,S$1)</f>
        <v>0</v>
      </c>
      <c r="T161" s="155">
        <f>SUMIFS('recurring2_based on steps'!$B161:$AY161,'recurring2_based on steps'!$B$1:$AY$1,T$1)+SUMIFS('changes2_based on steps'!$B161:$U161,'changes2_based on steps'!$B$1:$U$1,T$1)</f>
        <v>0</v>
      </c>
      <c r="U161" s="155">
        <f ca="1">SUMIFS('recurring2_based on steps'!$B161:$AY161,'recurring2_based on steps'!$B$1:$AY$1,U$1)+SUMIFS('changes2_based on steps'!$B161:$U161,'changes2_based on steps'!$B$1:$U$1,U$1)</f>
        <v>0</v>
      </c>
      <c r="V161" s="155">
        <f>SUMIFS('recurring2_based on steps'!$B161:$AY161,'recurring2_based on steps'!$B$1:$AY$1,V$1)+SUMIFS('changes2_based on steps'!$B161:$U161,'changes2_based on steps'!$B$1:$U$1,V$1)</f>
        <v>0</v>
      </c>
      <c r="W161" s="155">
        <f ca="1">SUMIFS('recurring2_based on steps'!$B161:$AY161,'recurring2_based on steps'!$B$1:$AY$1,W$1)+SUMIFS('changes2_based on steps'!$B161:$U161,'changes2_based on steps'!$B$1:$U$1,W$1)</f>
        <v>0</v>
      </c>
      <c r="X161" s="155">
        <f ca="1">SUMIFS('recurring2_based on steps'!$B161:$AY161,'recurring2_based on steps'!$B$1:$AY$1,X$1)+SUMIFS('changes2_based on steps'!$B161:$U161,'changes2_based on steps'!$B$1:$U$1,X$1)</f>
        <v>0</v>
      </c>
      <c r="Y161" s="155">
        <f ca="1">SUMIFS('recurring2_based on steps'!$B161:$AY161,'recurring2_based on steps'!$B$1:$AY$1,Y$1)+SUMIFS('changes2_based on steps'!$B161:$U161,'changes2_based on steps'!$B$1:$U$1,Y$1)</f>
        <v>0</v>
      </c>
      <c r="Z161" s="155">
        <f>SUMIFS('recurring2_based on steps'!$B161:$AY161,'recurring2_based on steps'!$B$1:$AY$1,Z$1)+SUMIFS('changes2_based on steps'!$B161:$U161,'changes2_based on steps'!$B$1:$U$1,Z$1)</f>
        <v>0</v>
      </c>
      <c r="AA161" s="155">
        <f>SUMIFS('recurring2_based on steps'!$B161:$AY161,'recurring2_based on steps'!$B$1:$AY$1,AA$1)+SUMIFS('changes2_based on steps'!$B161:$U161,'changes2_based on steps'!$B$1:$U$1,AA$1)</f>
        <v>0</v>
      </c>
    </row>
    <row r="162" spans="1:27" x14ac:dyDescent="0.2">
      <c r="A162" s="18">
        <f t="shared" ca="1" si="2"/>
        <v>45848</v>
      </c>
      <c r="B162" s="155">
        <f ca="1">SUMIFS('recurring2_based on steps'!$B162:$AY162,'recurring2_based on steps'!$B$1:$AY$1,B$1)+SUMIFS('changes2_based on steps'!$B162:$U162,'changes2_based on steps'!$B$1:$U$1,B$1)</f>
        <v>0</v>
      </c>
      <c r="C162" s="155">
        <f>SUMIFS('recurring2_based on steps'!$B162:$AY162,'recurring2_based on steps'!$B$1:$AY$1,C$1)+SUMIFS('changes2_based on steps'!$B162:$U162,'changes2_based on steps'!$B$1:$U$1,C$1)</f>
        <v>0</v>
      </c>
      <c r="D162" s="155">
        <f>SUMIFS('recurring2_based on steps'!$B162:$AY162,'recurring2_based on steps'!$B$1:$AY$1,D$1)+SUMIFS('changes2_based on steps'!$B162:$U162,'changes2_based on steps'!$B$1:$U$1,D$1)</f>
        <v>0</v>
      </c>
      <c r="E162" s="155">
        <f>SUMIFS('recurring2_based on steps'!$B162:$AY162,'recurring2_based on steps'!$B$1:$AY$1,E$1)+SUMIFS('changes2_based on steps'!$B162:$U162,'changes2_based on steps'!$B$1:$U$1,E$1)</f>
        <v>0</v>
      </c>
      <c r="F162" s="155">
        <f>SUMIFS('recurring2_based on steps'!$B162:$AY162,'recurring2_based on steps'!$B$1:$AY$1,F$1)+SUMIFS('changes2_based on steps'!$B162:$U162,'changes2_based on steps'!$B$1:$U$1,F$1)</f>
        <v>0</v>
      </c>
      <c r="G162" s="155">
        <f>SUMIFS('recurring2_based on steps'!$B162:$AY162,'recurring2_based on steps'!$B$1:$AY$1,G$1)+SUMIFS('changes2_based on steps'!$B162:$U162,'changes2_based on steps'!$B$1:$U$1,G$1)</f>
        <v>0</v>
      </c>
      <c r="H162" s="155">
        <f ca="1">SUMIFS('recurring2_based on steps'!$B162:$AY162,'recurring2_based on steps'!$B$1:$AY$1,H$1)+SUMIFS('changes2_based on steps'!$B162:$U162,'changes2_based on steps'!$B$1:$U$1,H$1)</f>
        <v>0</v>
      </c>
      <c r="I162" s="155">
        <f>SUMIFS('recurring2_based on steps'!$B162:$AY162,'recurring2_based on steps'!$B$1:$AY$1,I$1)+SUMIFS('changes2_based on steps'!$B162:$U162,'changes2_based on steps'!$B$1:$U$1,I$1)</f>
        <v>0</v>
      </c>
      <c r="J162" s="155">
        <f>SUMIFS('recurring2_based on steps'!$B162:$AY162,'recurring2_based on steps'!$B$1:$AY$1,J$1)+SUMIFS('changes2_based on steps'!$B162:$U162,'changes2_based on steps'!$B$1:$U$1,J$1)</f>
        <v>0</v>
      </c>
      <c r="K162" s="155">
        <f>SUMIFS('recurring2_based on steps'!$B162:$AY162,'recurring2_based on steps'!$B$1:$AY$1,K$1)+SUMIFS('changes2_based on steps'!$B162:$U162,'changes2_based on steps'!$B$1:$U$1,K$1)</f>
        <v>0</v>
      </c>
      <c r="L162" s="155">
        <f>SUMIFS('recurring2_based on steps'!$B162:$AY162,'recurring2_based on steps'!$B$1:$AY$1,L$1)+SUMIFS('changes2_based on steps'!$B162:$U162,'changes2_based on steps'!$B$1:$U$1,L$1)</f>
        <v>0</v>
      </c>
      <c r="M162" s="155">
        <f ca="1">SUMIFS('recurring2_based on steps'!$B162:$AY162,'recurring2_based on steps'!$B$1:$AY$1,M$1)+SUMIFS('changes2_based on steps'!$B162:$U162,'changes2_based on steps'!$B$1:$U$1,M$1)</f>
        <v>0</v>
      </c>
      <c r="N162" s="155">
        <f ca="1">SUMIFS('recurring2_based on steps'!$B162:$AY162,'recurring2_based on steps'!$B$1:$AY$1,N$1)+SUMIFS('changes2_based on steps'!$B162:$U162,'changes2_based on steps'!$B$1:$U$1,N$1)</f>
        <v>0</v>
      </c>
      <c r="O162" s="155">
        <f ca="1">SUMIFS('recurring2_based on steps'!$B162:$AY162,'recurring2_based on steps'!$B$1:$AY$1,O$1)+SUMIFS('changes2_based on steps'!$B162:$U162,'changes2_based on steps'!$B$1:$U$1,O$1)</f>
        <v>0</v>
      </c>
      <c r="P162" s="155">
        <f ca="1">SUMIFS('recurring2_based on steps'!$B162:$AY162,'recurring2_based on steps'!$B$1:$AY$1,P$1)+SUMIFS('changes2_based on steps'!$B162:$U162,'changes2_based on steps'!$B$1:$U$1,P$1)</f>
        <v>0</v>
      </c>
      <c r="Q162" s="155">
        <f>SUMIFS('recurring2_based on steps'!$B162:$AY162,'recurring2_based on steps'!$B$1:$AY$1,Q$1)+SUMIFS('changes2_based on steps'!$B162:$U162,'changes2_based on steps'!$B$1:$U$1,Q$1)</f>
        <v>0</v>
      </c>
      <c r="R162" s="155">
        <f ca="1">SUMIFS('recurring2_based on steps'!$B162:$AY162,'recurring2_based on steps'!$B$1:$AY$1,R$1)+SUMIFS('changes2_based on steps'!$B162:$U162,'changes2_based on steps'!$B$1:$U$1,R$1)</f>
        <v>0</v>
      </c>
      <c r="S162" s="155">
        <f ca="1">SUMIFS('recurring2_based on steps'!$B162:$AY162,'recurring2_based on steps'!$B$1:$AY$1,S$1)+SUMIFS('changes2_based on steps'!$B162:$U162,'changes2_based on steps'!$B$1:$U$1,S$1)</f>
        <v>0</v>
      </c>
      <c r="T162" s="155">
        <f>SUMIFS('recurring2_based on steps'!$B162:$AY162,'recurring2_based on steps'!$B$1:$AY$1,T$1)+SUMIFS('changes2_based on steps'!$B162:$U162,'changes2_based on steps'!$B$1:$U$1,T$1)</f>
        <v>0</v>
      </c>
      <c r="U162" s="155">
        <f ca="1">SUMIFS('recurring2_based on steps'!$B162:$AY162,'recurring2_based on steps'!$B$1:$AY$1,U$1)+SUMIFS('changes2_based on steps'!$B162:$U162,'changes2_based on steps'!$B$1:$U$1,U$1)</f>
        <v>0</v>
      </c>
      <c r="V162" s="155">
        <f>SUMIFS('recurring2_based on steps'!$B162:$AY162,'recurring2_based on steps'!$B$1:$AY$1,V$1)+SUMIFS('changes2_based on steps'!$B162:$U162,'changes2_based on steps'!$B$1:$U$1,V$1)</f>
        <v>0</v>
      </c>
      <c r="W162" s="155">
        <f ca="1">SUMIFS('recurring2_based on steps'!$B162:$AY162,'recurring2_based on steps'!$B$1:$AY$1,W$1)+SUMIFS('changes2_based on steps'!$B162:$U162,'changes2_based on steps'!$B$1:$U$1,W$1)</f>
        <v>0</v>
      </c>
      <c r="X162" s="155">
        <f ca="1">SUMIFS('recurring2_based on steps'!$B162:$AY162,'recurring2_based on steps'!$B$1:$AY$1,X$1)+SUMIFS('changes2_based on steps'!$B162:$U162,'changes2_based on steps'!$B$1:$U$1,X$1)</f>
        <v>0</v>
      </c>
      <c r="Y162" s="155">
        <f ca="1">SUMIFS('recurring2_based on steps'!$B162:$AY162,'recurring2_based on steps'!$B$1:$AY$1,Y$1)+SUMIFS('changes2_based on steps'!$B162:$U162,'changes2_based on steps'!$B$1:$U$1,Y$1)</f>
        <v>0</v>
      </c>
      <c r="Z162" s="155">
        <f>SUMIFS('recurring2_based on steps'!$B162:$AY162,'recurring2_based on steps'!$B$1:$AY$1,Z$1)+SUMIFS('changes2_based on steps'!$B162:$U162,'changes2_based on steps'!$B$1:$U$1,Z$1)</f>
        <v>0</v>
      </c>
      <c r="AA162" s="155">
        <f>SUMIFS('recurring2_based on steps'!$B162:$AY162,'recurring2_based on steps'!$B$1:$AY$1,AA$1)+SUMIFS('changes2_based on steps'!$B162:$U162,'changes2_based on steps'!$B$1:$U$1,AA$1)</f>
        <v>0</v>
      </c>
    </row>
    <row r="163" spans="1:27" x14ac:dyDescent="0.2">
      <c r="A163" s="18">
        <f t="shared" ca="1" si="2"/>
        <v>45849</v>
      </c>
      <c r="B163" s="155">
        <f ca="1">SUMIFS('recurring2_based on steps'!$B163:$AY163,'recurring2_based on steps'!$B$1:$AY$1,B$1)+SUMIFS('changes2_based on steps'!$B163:$U163,'changes2_based on steps'!$B$1:$U$1,B$1)</f>
        <v>4000</v>
      </c>
      <c r="C163" s="155">
        <f>SUMIFS('recurring2_based on steps'!$B163:$AY163,'recurring2_based on steps'!$B$1:$AY$1,C$1)+SUMIFS('changes2_based on steps'!$B163:$U163,'changes2_based on steps'!$B$1:$U$1,C$1)</f>
        <v>0</v>
      </c>
      <c r="D163" s="155">
        <f>SUMIFS('recurring2_based on steps'!$B163:$AY163,'recurring2_based on steps'!$B$1:$AY$1,D$1)+SUMIFS('changes2_based on steps'!$B163:$U163,'changes2_based on steps'!$B$1:$U$1,D$1)</f>
        <v>0</v>
      </c>
      <c r="E163" s="155">
        <f>SUMIFS('recurring2_based on steps'!$B163:$AY163,'recurring2_based on steps'!$B$1:$AY$1,E$1)+SUMIFS('changes2_based on steps'!$B163:$U163,'changes2_based on steps'!$B$1:$U$1,E$1)</f>
        <v>0</v>
      </c>
      <c r="F163" s="155">
        <f>SUMIFS('recurring2_based on steps'!$B163:$AY163,'recurring2_based on steps'!$B$1:$AY$1,F$1)+SUMIFS('changes2_based on steps'!$B163:$U163,'changes2_based on steps'!$B$1:$U$1,F$1)</f>
        <v>0</v>
      </c>
      <c r="G163" s="155">
        <f>SUMIFS('recurring2_based on steps'!$B163:$AY163,'recurring2_based on steps'!$B$1:$AY$1,G$1)+SUMIFS('changes2_based on steps'!$B163:$U163,'changes2_based on steps'!$B$1:$U$1,G$1)</f>
        <v>0</v>
      </c>
      <c r="H163" s="155">
        <f ca="1">SUMIFS('recurring2_based on steps'!$B163:$AY163,'recurring2_based on steps'!$B$1:$AY$1,H$1)+SUMIFS('changes2_based on steps'!$B163:$U163,'changes2_based on steps'!$B$1:$U$1,H$1)</f>
        <v>96</v>
      </c>
      <c r="I163" s="155">
        <f>SUMIFS('recurring2_based on steps'!$B163:$AY163,'recurring2_based on steps'!$B$1:$AY$1,I$1)+SUMIFS('changes2_based on steps'!$B163:$U163,'changes2_based on steps'!$B$1:$U$1,I$1)</f>
        <v>0</v>
      </c>
      <c r="J163" s="155">
        <f>SUMIFS('recurring2_based on steps'!$B163:$AY163,'recurring2_based on steps'!$B$1:$AY$1,J$1)+SUMIFS('changes2_based on steps'!$B163:$U163,'changes2_based on steps'!$B$1:$U$1,J$1)</f>
        <v>0</v>
      </c>
      <c r="K163" s="155">
        <f>SUMIFS('recurring2_based on steps'!$B163:$AY163,'recurring2_based on steps'!$B$1:$AY$1,K$1)+SUMIFS('changes2_based on steps'!$B163:$U163,'changes2_based on steps'!$B$1:$U$1,K$1)</f>
        <v>0</v>
      </c>
      <c r="L163" s="155">
        <f>SUMIFS('recurring2_based on steps'!$B163:$AY163,'recurring2_based on steps'!$B$1:$AY$1,L$1)+SUMIFS('changes2_based on steps'!$B163:$U163,'changes2_based on steps'!$B$1:$U$1,L$1)</f>
        <v>0</v>
      </c>
      <c r="M163" s="155">
        <f ca="1">SUMIFS('recurring2_based on steps'!$B163:$AY163,'recurring2_based on steps'!$B$1:$AY$1,M$1)+SUMIFS('changes2_based on steps'!$B163:$U163,'changes2_based on steps'!$B$1:$U$1,M$1)</f>
        <v>0</v>
      </c>
      <c r="N163" s="155">
        <f ca="1">SUMIFS('recurring2_based on steps'!$B163:$AY163,'recurring2_based on steps'!$B$1:$AY$1,N$1)+SUMIFS('changes2_based on steps'!$B163:$U163,'changes2_based on steps'!$B$1:$U$1,N$1)</f>
        <v>0</v>
      </c>
      <c r="O163" s="155">
        <f ca="1">SUMIFS('recurring2_based on steps'!$B163:$AY163,'recurring2_based on steps'!$B$1:$AY$1,O$1)+SUMIFS('changes2_based on steps'!$B163:$U163,'changes2_based on steps'!$B$1:$U$1,O$1)</f>
        <v>0</v>
      </c>
      <c r="P163" s="155">
        <f ca="1">SUMIFS('recurring2_based on steps'!$B163:$AY163,'recurring2_based on steps'!$B$1:$AY$1,P$1)+SUMIFS('changes2_based on steps'!$B163:$U163,'changes2_based on steps'!$B$1:$U$1,P$1)</f>
        <v>0</v>
      </c>
      <c r="Q163" s="155">
        <f>SUMIFS('recurring2_based on steps'!$B163:$AY163,'recurring2_based on steps'!$B$1:$AY$1,Q$1)+SUMIFS('changes2_based on steps'!$B163:$U163,'changes2_based on steps'!$B$1:$U$1,Q$1)</f>
        <v>0</v>
      </c>
      <c r="R163" s="155">
        <f ca="1">SUMIFS('recurring2_based on steps'!$B163:$AY163,'recurring2_based on steps'!$B$1:$AY$1,R$1)+SUMIFS('changes2_based on steps'!$B163:$U163,'changes2_based on steps'!$B$1:$U$1,R$1)</f>
        <v>0</v>
      </c>
      <c r="S163" s="155">
        <f ca="1">SUMIFS('recurring2_based on steps'!$B163:$AY163,'recurring2_based on steps'!$B$1:$AY$1,S$1)+SUMIFS('changes2_based on steps'!$B163:$U163,'changes2_based on steps'!$B$1:$U$1,S$1)</f>
        <v>0</v>
      </c>
      <c r="T163" s="155">
        <f>SUMIFS('recurring2_based on steps'!$B163:$AY163,'recurring2_based on steps'!$B$1:$AY$1,T$1)+SUMIFS('changes2_based on steps'!$B163:$U163,'changes2_based on steps'!$B$1:$U$1,T$1)</f>
        <v>0</v>
      </c>
      <c r="U163" s="155">
        <f ca="1">SUMIFS('recurring2_based on steps'!$B163:$AY163,'recurring2_based on steps'!$B$1:$AY$1,U$1)+SUMIFS('changes2_based on steps'!$B163:$U163,'changes2_based on steps'!$B$1:$U$1,U$1)</f>
        <v>0</v>
      </c>
      <c r="V163" s="155">
        <f>SUMIFS('recurring2_based on steps'!$B163:$AY163,'recurring2_based on steps'!$B$1:$AY$1,V$1)+SUMIFS('changes2_based on steps'!$B163:$U163,'changes2_based on steps'!$B$1:$U$1,V$1)</f>
        <v>0</v>
      </c>
      <c r="W163" s="155">
        <f ca="1">SUMIFS('recurring2_based on steps'!$B163:$AY163,'recurring2_based on steps'!$B$1:$AY$1,W$1)+SUMIFS('changes2_based on steps'!$B163:$U163,'changes2_based on steps'!$B$1:$U$1,W$1)</f>
        <v>50</v>
      </c>
      <c r="X163" s="155">
        <f ca="1">SUMIFS('recurring2_based on steps'!$B163:$AY163,'recurring2_based on steps'!$B$1:$AY$1,X$1)+SUMIFS('changes2_based on steps'!$B163:$U163,'changes2_based on steps'!$B$1:$U$1,X$1)</f>
        <v>200</v>
      </c>
      <c r="Y163" s="155">
        <f ca="1">SUMIFS('recurring2_based on steps'!$B163:$AY163,'recurring2_based on steps'!$B$1:$AY$1,Y$1)+SUMIFS('changes2_based on steps'!$B163:$U163,'changes2_based on steps'!$B$1:$U$1,Y$1)</f>
        <v>0</v>
      </c>
      <c r="Z163" s="155">
        <f>SUMIFS('recurring2_based on steps'!$B163:$AY163,'recurring2_based on steps'!$B$1:$AY$1,Z$1)+SUMIFS('changes2_based on steps'!$B163:$U163,'changes2_based on steps'!$B$1:$U$1,Z$1)</f>
        <v>0</v>
      </c>
      <c r="AA163" s="155">
        <f>SUMIFS('recurring2_based on steps'!$B163:$AY163,'recurring2_based on steps'!$B$1:$AY$1,AA$1)+SUMIFS('changes2_based on steps'!$B163:$U163,'changes2_based on steps'!$B$1:$U$1,AA$1)</f>
        <v>0</v>
      </c>
    </row>
    <row r="164" spans="1:27" x14ac:dyDescent="0.2">
      <c r="A164" s="18">
        <f t="shared" ca="1" si="2"/>
        <v>45850</v>
      </c>
      <c r="B164" s="155">
        <f ca="1">SUMIFS('recurring2_based on steps'!$B164:$AY164,'recurring2_based on steps'!$B$1:$AY$1,B$1)+SUMIFS('changes2_based on steps'!$B164:$U164,'changes2_based on steps'!$B$1:$U$1,B$1)</f>
        <v>0</v>
      </c>
      <c r="C164" s="155">
        <f>SUMIFS('recurring2_based on steps'!$B164:$AY164,'recurring2_based on steps'!$B$1:$AY$1,C$1)+SUMIFS('changes2_based on steps'!$B164:$U164,'changes2_based on steps'!$B$1:$U$1,C$1)</f>
        <v>0</v>
      </c>
      <c r="D164" s="155">
        <f>SUMIFS('recurring2_based on steps'!$B164:$AY164,'recurring2_based on steps'!$B$1:$AY$1,D$1)+SUMIFS('changes2_based on steps'!$B164:$U164,'changes2_based on steps'!$B$1:$U$1,D$1)</f>
        <v>0</v>
      </c>
      <c r="E164" s="155">
        <f>SUMIFS('recurring2_based on steps'!$B164:$AY164,'recurring2_based on steps'!$B$1:$AY$1,E$1)+SUMIFS('changes2_based on steps'!$B164:$U164,'changes2_based on steps'!$B$1:$U$1,E$1)</f>
        <v>0</v>
      </c>
      <c r="F164" s="155">
        <f>SUMIFS('recurring2_based on steps'!$B164:$AY164,'recurring2_based on steps'!$B$1:$AY$1,F$1)+SUMIFS('changes2_based on steps'!$B164:$U164,'changes2_based on steps'!$B$1:$U$1,F$1)</f>
        <v>0</v>
      </c>
      <c r="G164" s="155">
        <f>SUMIFS('recurring2_based on steps'!$B164:$AY164,'recurring2_based on steps'!$B$1:$AY$1,G$1)+SUMIFS('changes2_based on steps'!$B164:$U164,'changes2_based on steps'!$B$1:$U$1,G$1)</f>
        <v>0</v>
      </c>
      <c r="H164" s="155">
        <f ca="1">SUMIFS('recurring2_based on steps'!$B164:$AY164,'recurring2_based on steps'!$B$1:$AY$1,H$1)+SUMIFS('changes2_based on steps'!$B164:$U164,'changes2_based on steps'!$B$1:$U$1,H$1)</f>
        <v>0</v>
      </c>
      <c r="I164" s="155">
        <f>SUMIFS('recurring2_based on steps'!$B164:$AY164,'recurring2_based on steps'!$B$1:$AY$1,I$1)+SUMIFS('changes2_based on steps'!$B164:$U164,'changes2_based on steps'!$B$1:$U$1,I$1)</f>
        <v>0</v>
      </c>
      <c r="J164" s="155">
        <f>SUMIFS('recurring2_based on steps'!$B164:$AY164,'recurring2_based on steps'!$B$1:$AY$1,J$1)+SUMIFS('changes2_based on steps'!$B164:$U164,'changes2_based on steps'!$B$1:$U$1,J$1)</f>
        <v>0</v>
      </c>
      <c r="K164" s="155">
        <f>SUMIFS('recurring2_based on steps'!$B164:$AY164,'recurring2_based on steps'!$B$1:$AY$1,K$1)+SUMIFS('changes2_based on steps'!$B164:$U164,'changes2_based on steps'!$B$1:$U$1,K$1)</f>
        <v>0</v>
      </c>
      <c r="L164" s="155">
        <f>SUMIFS('recurring2_based on steps'!$B164:$AY164,'recurring2_based on steps'!$B$1:$AY$1,L$1)+SUMIFS('changes2_based on steps'!$B164:$U164,'changes2_based on steps'!$B$1:$U$1,L$1)</f>
        <v>0</v>
      </c>
      <c r="M164" s="155">
        <f ca="1">SUMIFS('recurring2_based on steps'!$B164:$AY164,'recurring2_based on steps'!$B$1:$AY$1,M$1)+SUMIFS('changes2_based on steps'!$B164:$U164,'changes2_based on steps'!$B$1:$U$1,M$1)</f>
        <v>0</v>
      </c>
      <c r="N164" s="155">
        <f ca="1">SUMIFS('recurring2_based on steps'!$B164:$AY164,'recurring2_based on steps'!$B$1:$AY$1,N$1)+SUMIFS('changes2_based on steps'!$B164:$U164,'changes2_based on steps'!$B$1:$U$1,N$1)</f>
        <v>0</v>
      </c>
      <c r="O164" s="155">
        <f ca="1">SUMIFS('recurring2_based on steps'!$B164:$AY164,'recurring2_based on steps'!$B$1:$AY$1,O$1)+SUMIFS('changes2_based on steps'!$B164:$U164,'changes2_based on steps'!$B$1:$U$1,O$1)</f>
        <v>0</v>
      </c>
      <c r="P164" s="155">
        <f ca="1">SUMIFS('recurring2_based on steps'!$B164:$AY164,'recurring2_based on steps'!$B$1:$AY$1,P$1)+SUMIFS('changes2_based on steps'!$B164:$U164,'changes2_based on steps'!$B$1:$U$1,P$1)</f>
        <v>0</v>
      </c>
      <c r="Q164" s="155">
        <f>SUMIFS('recurring2_based on steps'!$B164:$AY164,'recurring2_based on steps'!$B$1:$AY$1,Q$1)+SUMIFS('changes2_based on steps'!$B164:$U164,'changes2_based on steps'!$B$1:$U$1,Q$1)</f>
        <v>0</v>
      </c>
      <c r="R164" s="155">
        <f ca="1">SUMIFS('recurring2_based on steps'!$B164:$AY164,'recurring2_based on steps'!$B$1:$AY$1,R$1)+SUMIFS('changes2_based on steps'!$B164:$U164,'changes2_based on steps'!$B$1:$U$1,R$1)</f>
        <v>100</v>
      </c>
      <c r="S164" s="155">
        <f ca="1">SUMIFS('recurring2_based on steps'!$B164:$AY164,'recurring2_based on steps'!$B$1:$AY$1,S$1)+SUMIFS('changes2_based on steps'!$B164:$U164,'changes2_based on steps'!$B$1:$U$1,S$1)</f>
        <v>100</v>
      </c>
      <c r="T164" s="155">
        <f>SUMIFS('recurring2_based on steps'!$B164:$AY164,'recurring2_based on steps'!$B$1:$AY$1,T$1)+SUMIFS('changes2_based on steps'!$B164:$U164,'changes2_based on steps'!$B$1:$U$1,T$1)</f>
        <v>0</v>
      </c>
      <c r="U164" s="155">
        <f ca="1">SUMIFS('recurring2_based on steps'!$B164:$AY164,'recurring2_based on steps'!$B$1:$AY$1,U$1)+SUMIFS('changes2_based on steps'!$B164:$U164,'changes2_based on steps'!$B$1:$U$1,U$1)</f>
        <v>0</v>
      </c>
      <c r="V164" s="155">
        <f>SUMIFS('recurring2_based on steps'!$B164:$AY164,'recurring2_based on steps'!$B$1:$AY$1,V$1)+SUMIFS('changes2_based on steps'!$B164:$U164,'changes2_based on steps'!$B$1:$U$1,V$1)</f>
        <v>0</v>
      </c>
      <c r="W164" s="155">
        <f ca="1">SUMIFS('recurring2_based on steps'!$B164:$AY164,'recurring2_based on steps'!$B$1:$AY$1,W$1)+SUMIFS('changes2_based on steps'!$B164:$U164,'changes2_based on steps'!$B$1:$U$1,W$1)</f>
        <v>0</v>
      </c>
      <c r="X164" s="155">
        <f ca="1">SUMIFS('recurring2_based on steps'!$B164:$AY164,'recurring2_based on steps'!$B$1:$AY$1,X$1)+SUMIFS('changes2_based on steps'!$B164:$U164,'changes2_based on steps'!$B$1:$U$1,X$1)</f>
        <v>0</v>
      </c>
      <c r="Y164" s="155">
        <f ca="1">SUMIFS('recurring2_based on steps'!$B164:$AY164,'recurring2_based on steps'!$B$1:$AY$1,Y$1)+SUMIFS('changes2_based on steps'!$B164:$U164,'changes2_based on steps'!$B$1:$U$1,Y$1)</f>
        <v>0</v>
      </c>
      <c r="Z164" s="155">
        <f>SUMIFS('recurring2_based on steps'!$B164:$AY164,'recurring2_based on steps'!$B$1:$AY$1,Z$1)+SUMIFS('changes2_based on steps'!$B164:$U164,'changes2_based on steps'!$B$1:$U$1,Z$1)</f>
        <v>0</v>
      </c>
      <c r="AA164" s="155">
        <f>SUMIFS('recurring2_based on steps'!$B164:$AY164,'recurring2_based on steps'!$B$1:$AY$1,AA$1)+SUMIFS('changes2_based on steps'!$B164:$U164,'changes2_based on steps'!$B$1:$U$1,AA$1)</f>
        <v>0</v>
      </c>
    </row>
    <row r="165" spans="1:27" x14ac:dyDescent="0.2">
      <c r="A165" s="18">
        <f t="shared" ca="1" si="2"/>
        <v>45851</v>
      </c>
      <c r="B165" s="155">
        <f ca="1">SUMIFS('recurring2_based on steps'!$B165:$AY165,'recurring2_based on steps'!$B$1:$AY$1,B$1)+SUMIFS('changes2_based on steps'!$B165:$U165,'changes2_based on steps'!$B$1:$U$1,B$1)</f>
        <v>0</v>
      </c>
      <c r="C165" s="155">
        <f>SUMIFS('recurring2_based on steps'!$B165:$AY165,'recurring2_based on steps'!$B$1:$AY$1,C$1)+SUMIFS('changes2_based on steps'!$B165:$U165,'changes2_based on steps'!$B$1:$U$1,C$1)</f>
        <v>0</v>
      </c>
      <c r="D165" s="155">
        <f>SUMIFS('recurring2_based on steps'!$B165:$AY165,'recurring2_based on steps'!$B$1:$AY$1,D$1)+SUMIFS('changes2_based on steps'!$B165:$U165,'changes2_based on steps'!$B$1:$U$1,D$1)</f>
        <v>0</v>
      </c>
      <c r="E165" s="155">
        <f>SUMIFS('recurring2_based on steps'!$B165:$AY165,'recurring2_based on steps'!$B$1:$AY$1,E$1)+SUMIFS('changes2_based on steps'!$B165:$U165,'changes2_based on steps'!$B$1:$U$1,E$1)</f>
        <v>0</v>
      </c>
      <c r="F165" s="155">
        <f>SUMIFS('recurring2_based on steps'!$B165:$AY165,'recurring2_based on steps'!$B$1:$AY$1,F$1)+SUMIFS('changes2_based on steps'!$B165:$U165,'changes2_based on steps'!$B$1:$U$1,F$1)</f>
        <v>0</v>
      </c>
      <c r="G165" s="155">
        <f>SUMIFS('recurring2_based on steps'!$B165:$AY165,'recurring2_based on steps'!$B$1:$AY$1,G$1)+SUMIFS('changes2_based on steps'!$B165:$U165,'changes2_based on steps'!$B$1:$U$1,G$1)</f>
        <v>0</v>
      </c>
      <c r="H165" s="155">
        <f ca="1">SUMIFS('recurring2_based on steps'!$B165:$AY165,'recurring2_based on steps'!$B$1:$AY$1,H$1)+SUMIFS('changes2_based on steps'!$B165:$U165,'changes2_based on steps'!$B$1:$U$1,H$1)</f>
        <v>0</v>
      </c>
      <c r="I165" s="155">
        <f>SUMIFS('recurring2_based on steps'!$B165:$AY165,'recurring2_based on steps'!$B$1:$AY$1,I$1)+SUMIFS('changes2_based on steps'!$B165:$U165,'changes2_based on steps'!$B$1:$U$1,I$1)</f>
        <v>0</v>
      </c>
      <c r="J165" s="155">
        <f>SUMIFS('recurring2_based on steps'!$B165:$AY165,'recurring2_based on steps'!$B$1:$AY$1,J$1)+SUMIFS('changes2_based on steps'!$B165:$U165,'changes2_based on steps'!$B$1:$U$1,J$1)</f>
        <v>0</v>
      </c>
      <c r="K165" s="155">
        <f>SUMIFS('recurring2_based on steps'!$B165:$AY165,'recurring2_based on steps'!$B$1:$AY$1,K$1)+SUMIFS('changes2_based on steps'!$B165:$U165,'changes2_based on steps'!$B$1:$U$1,K$1)</f>
        <v>0</v>
      </c>
      <c r="L165" s="155">
        <f>SUMIFS('recurring2_based on steps'!$B165:$AY165,'recurring2_based on steps'!$B$1:$AY$1,L$1)+SUMIFS('changes2_based on steps'!$B165:$U165,'changes2_based on steps'!$B$1:$U$1,L$1)</f>
        <v>0</v>
      </c>
      <c r="M165" s="155">
        <f ca="1">SUMIFS('recurring2_based on steps'!$B165:$AY165,'recurring2_based on steps'!$B$1:$AY$1,M$1)+SUMIFS('changes2_based on steps'!$B165:$U165,'changes2_based on steps'!$B$1:$U$1,M$1)</f>
        <v>0</v>
      </c>
      <c r="N165" s="155">
        <f ca="1">SUMIFS('recurring2_based on steps'!$B165:$AY165,'recurring2_based on steps'!$B$1:$AY$1,N$1)+SUMIFS('changes2_based on steps'!$B165:$U165,'changes2_based on steps'!$B$1:$U$1,N$1)</f>
        <v>50</v>
      </c>
      <c r="O165" s="155">
        <f ca="1">SUMIFS('recurring2_based on steps'!$B165:$AY165,'recurring2_based on steps'!$B$1:$AY$1,O$1)+SUMIFS('changes2_based on steps'!$B165:$U165,'changes2_based on steps'!$B$1:$U$1,O$1)</f>
        <v>0</v>
      </c>
      <c r="P165" s="155">
        <f ca="1">SUMIFS('recurring2_based on steps'!$B165:$AY165,'recurring2_based on steps'!$B$1:$AY$1,P$1)+SUMIFS('changes2_based on steps'!$B165:$U165,'changes2_based on steps'!$B$1:$U$1,P$1)</f>
        <v>0</v>
      </c>
      <c r="Q165" s="155">
        <f>SUMIFS('recurring2_based on steps'!$B165:$AY165,'recurring2_based on steps'!$B$1:$AY$1,Q$1)+SUMIFS('changes2_based on steps'!$B165:$U165,'changes2_based on steps'!$B$1:$U$1,Q$1)</f>
        <v>0</v>
      </c>
      <c r="R165" s="155">
        <f ca="1">SUMIFS('recurring2_based on steps'!$B165:$AY165,'recurring2_based on steps'!$B$1:$AY$1,R$1)+SUMIFS('changes2_based on steps'!$B165:$U165,'changes2_based on steps'!$B$1:$U$1,R$1)</f>
        <v>0</v>
      </c>
      <c r="S165" s="155">
        <f ca="1">SUMIFS('recurring2_based on steps'!$B165:$AY165,'recurring2_based on steps'!$B$1:$AY$1,S$1)+SUMIFS('changes2_based on steps'!$B165:$U165,'changes2_based on steps'!$B$1:$U$1,S$1)</f>
        <v>100</v>
      </c>
      <c r="T165" s="155">
        <f>SUMIFS('recurring2_based on steps'!$B165:$AY165,'recurring2_based on steps'!$B$1:$AY$1,T$1)+SUMIFS('changes2_based on steps'!$B165:$U165,'changes2_based on steps'!$B$1:$U$1,T$1)</f>
        <v>0</v>
      </c>
      <c r="U165" s="155">
        <f ca="1">SUMIFS('recurring2_based on steps'!$B165:$AY165,'recurring2_based on steps'!$B$1:$AY$1,U$1)+SUMIFS('changes2_based on steps'!$B165:$U165,'changes2_based on steps'!$B$1:$U$1,U$1)</f>
        <v>0</v>
      </c>
      <c r="V165" s="155">
        <f>SUMIFS('recurring2_based on steps'!$B165:$AY165,'recurring2_based on steps'!$B$1:$AY$1,V$1)+SUMIFS('changes2_based on steps'!$B165:$U165,'changes2_based on steps'!$B$1:$U$1,V$1)</f>
        <v>0</v>
      </c>
      <c r="W165" s="155">
        <f ca="1">SUMIFS('recurring2_based on steps'!$B165:$AY165,'recurring2_based on steps'!$B$1:$AY$1,W$1)+SUMIFS('changes2_based on steps'!$B165:$U165,'changes2_based on steps'!$B$1:$U$1,W$1)</f>
        <v>0</v>
      </c>
      <c r="X165" s="155">
        <f ca="1">SUMIFS('recurring2_based on steps'!$B165:$AY165,'recurring2_based on steps'!$B$1:$AY$1,X$1)+SUMIFS('changes2_based on steps'!$B165:$U165,'changes2_based on steps'!$B$1:$U$1,X$1)</f>
        <v>0</v>
      </c>
      <c r="Y165" s="155">
        <f ca="1">SUMIFS('recurring2_based on steps'!$B165:$AY165,'recurring2_based on steps'!$B$1:$AY$1,Y$1)+SUMIFS('changes2_based on steps'!$B165:$U165,'changes2_based on steps'!$B$1:$U$1,Y$1)</f>
        <v>0</v>
      </c>
      <c r="Z165" s="155">
        <f>SUMIFS('recurring2_based on steps'!$B165:$AY165,'recurring2_based on steps'!$B$1:$AY$1,Z$1)+SUMIFS('changes2_based on steps'!$B165:$U165,'changes2_based on steps'!$B$1:$U$1,Z$1)</f>
        <v>0</v>
      </c>
      <c r="AA165" s="155">
        <f>SUMIFS('recurring2_based on steps'!$B165:$AY165,'recurring2_based on steps'!$B$1:$AY$1,AA$1)+SUMIFS('changes2_based on steps'!$B165:$U165,'changes2_based on steps'!$B$1:$U$1,AA$1)</f>
        <v>0</v>
      </c>
    </row>
    <row r="166" spans="1:27" x14ac:dyDescent="0.2">
      <c r="A166" s="18">
        <f t="shared" ca="1" si="2"/>
        <v>45852</v>
      </c>
      <c r="B166" s="155">
        <f ca="1">SUMIFS('recurring2_based on steps'!$B166:$AY166,'recurring2_based on steps'!$B$1:$AY$1,B$1)+SUMIFS('changes2_based on steps'!$B166:$U166,'changes2_based on steps'!$B$1:$U$1,B$1)</f>
        <v>0</v>
      </c>
      <c r="C166" s="155">
        <f>SUMIFS('recurring2_based on steps'!$B166:$AY166,'recurring2_based on steps'!$B$1:$AY$1,C$1)+SUMIFS('changes2_based on steps'!$B166:$U166,'changes2_based on steps'!$B$1:$U$1,C$1)</f>
        <v>0</v>
      </c>
      <c r="D166" s="155">
        <f>SUMIFS('recurring2_based on steps'!$B166:$AY166,'recurring2_based on steps'!$B$1:$AY$1,D$1)+SUMIFS('changes2_based on steps'!$B166:$U166,'changes2_based on steps'!$B$1:$U$1,D$1)</f>
        <v>0</v>
      </c>
      <c r="E166" s="155">
        <f>SUMIFS('recurring2_based on steps'!$B166:$AY166,'recurring2_based on steps'!$B$1:$AY$1,E$1)+SUMIFS('changes2_based on steps'!$B166:$U166,'changes2_based on steps'!$B$1:$U$1,E$1)</f>
        <v>0</v>
      </c>
      <c r="F166" s="155">
        <f>SUMIFS('recurring2_based on steps'!$B166:$AY166,'recurring2_based on steps'!$B$1:$AY$1,F$1)+SUMIFS('changes2_based on steps'!$B166:$U166,'changes2_based on steps'!$B$1:$U$1,F$1)</f>
        <v>0</v>
      </c>
      <c r="G166" s="155">
        <f>SUMIFS('recurring2_based on steps'!$B166:$AY166,'recurring2_based on steps'!$B$1:$AY$1,G$1)+SUMIFS('changes2_based on steps'!$B166:$U166,'changes2_based on steps'!$B$1:$U$1,G$1)</f>
        <v>0</v>
      </c>
      <c r="H166" s="155">
        <f ca="1">SUMIFS('recurring2_based on steps'!$B166:$AY166,'recurring2_based on steps'!$B$1:$AY$1,H$1)+SUMIFS('changes2_based on steps'!$B166:$U166,'changes2_based on steps'!$B$1:$U$1,H$1)</f>
        <v>0</v>
      </c>
      <c r="I166" s="155">
        <f>SUMIFS('recurring2_based on steps'!$B166:$AY166,'recurring2_based on steps'!$B$1:$AY$1,I$1)+SUMIFS('changes2_based on steps'!$B166:$U166,'changes2_based on steps'!$B$1:$U$1,I$1)</f>
        <v>0</v>
      </c>
      <c r="J166" s="155">
        <f>SUMIFS('recurring2_based on steps'!$B166:$AY166,'recurring2_based on steps'!$B$1:$AY$1,J$1)+SUMIFS('changes2_based on steps'!$B166:$U166,'changes2_based on steps'!$B$1:$U$1,J$1)</f>
        <v>0</v>
      </c>
      <c r="K166" s="155">
        <f>SUMIFS('recurring2_based on steps'!$B166:$AY166,'recurring2_based on steps'!$B$1:$AY$1,K$1)+SUMIFS('changes2_based on steps'!$B166:$U166,'changes2_based on steps'!$B$1:$U$1,K$1)</f>
        <v>0</v>
      </c>
      <c r="L166" s="155">
        <f>SUMIFS('recurring2_based on steps'!$B166:$AY166,'recurring2_based on steps'!$B$1:$AY$1,L$1)+SUMIFS('changes2_based on steps'!$B166:$U166,'changes2_based on steps'!$B$1:$U$1,L$1)</f>
        <v>0</v>
      </c>
      <c r="M166" s="155">
        <f ca="1">SUMIFS('recurring2_based on steps'!$B166:$AY166,'recurring2_based on steps'!$B$1:$AY$1,M$1)+SUMIFS('changes2_based on steps'!$B166:$U166,'changes2_based on steps'!$B$1:$U$1,M$1)</f>
        <v>0</v>
      </c>
      <c r="N166" s="155">
        <f ca="1">SUMIFS('recurring2_based on steps'!$B166:$AY166,'recurring2_based on steps'!$B$1:$AY$1,N$1)+SUMIFS('changes2_based on steps'!$B166:$U166,'changes2_based on steps'!$B$1:$U$1,N$1)</f>
        <v>0</v>
      </c>
      <c r="O166" s="155">
        <f ca="1">SUMIFS('recurring2_based on steps'!$B166:$AY166,'recurring2_based on steps'!$B$1:$AY$1,O$1)+SUMIFS('changes2_based on steps'!$B166:$U166,'changes2_based on steps'!$B$1:$U$1,O$1)</f>
        <v>0</v>
      </c>
      <c r="P166" s="155">
        <f ca="1">SUMIFS('recurring2_based on steps'!$B166:$AY166,'recurring2_based on steps'!$B$1:$AY$1,P$1)+SUMIFS('changes2_based on steps'!$B166:$U166,'changes2_based on steps'!$B$1:$U$1,P$1)</f>
        <v>0</v>
      </c>
      <c r="Q166" s="155">
        <f>SUMIFS('recurring2_based on steps'!$B166:$AY166,'recurring2_based on steps'!$B$1:$AY$1,Q$1)+SUMIFS('changes2_based on steps'!$B166:$U166,'changes2_based on steps'!$B$1:$U$1,Q$1)</f>
        <v>0</v>
      </c>
      <c r="R166" s="155">
        <f ca="1">SUMIFS('recurring2_based on steps'!$B166:$AY166,'recurring2_based on steps'!$B$1:$AY$1,R$1)+SUMIFS('changes2_based on steps'!$B166:$U166,'changes2_based on steps'!$B$1:$U$1,R$1)</f>
        <v>0</v>
      </c>
      <c r="S166" s="155">
        <f ca="1">SUMIFS('recurring2_based on steps'!$B166:$AY166,'recurring2_based on steps'!$B$1:$AY$1,S$1)+SUMIFS('changes2_based on steps'!$B166:$U166,'changes2_based on steps'!$B$1:$U$1,S$1)</f>
        <v>0</v>
      </c>
      <c r="T166" s="155">
        <f>SUMIFS('recurring2_based on steps'!$B166:$AY166,'recurring2_based on steps'!$B$1:$AY$1,T$1)+SUMIFS('changes2_based on steps'!$B166:$U166,'changes2_based on steps'!$B$1:$U$1,T$1)</f>
        <v>0</v>
      </c>
      <c r="U166" s="155">
        <f ca="1">SUMIFS('recurring2_based on steps'!$B166:$AY166,'recurring2_based on steps'!$B$1:$AY$1,U$1)+SUMIFS('changes2_based on steps'!$B166:$U166,'changes2_based on steps'!$B$1:$U$1,U$1)</f>
        <v>0</v>
      </c>
      <c r="V166" s="155">
        <f>SUMIFS('recurring2_based on steps'!$B166:$AY166,'recurring2_based on steps'!$B$1:$AY$1,V$1)+SUMIFS('changes2_based on steps'!$B166:$U166,'changes2_based on steps'!$B$1:$U$1,V$1)</f>
        <v>0</v>
      </c>
      <c r="W166" s="155">
        <f ca="1">SUMIFS('recurring2_based on steps'!$B166:$AY166,'recurring2_based on steps'!$B$1:$AY$1,W$1)+SUMIFS('changes2_based on steps'!$B166:$U166,'changes2_based on steps'!$B$1:$U$1,W$1)</f>
        <v>0</v>
      </c>
      <c r="X166" s="155">
        <f ca="1">SUMIFS('recurring2_based on steps'!$B166:$AY166,'recurring2_based on steps'!$B$1:$AY$1,X$1)+SUMIFS('changes2_based on steps'!$B166:$U166,'changes2_based on steps'!$B$1:$U$1,X$1)</f>
        <v>0</v>
      </c>
      <c r="Y166" s="155">
        <f ca="1">SUMIFS('recurring2_based on steps'!$B166:$AY166,'recurring2_based on steps'!$B$1:$AY$1,Y$1)+SUMIFS('changes2_based on steps'!$B166:$U166,'changes2_based on steps'!$B$1:$U$1,Y$1)</f>
        <v>0</v>
      </c>
      <c r="Z166" s="155">
        <f>SUMIFS('recurring2_based on steps'!$B166:$AY166,'recurring2_based on steps'!$B$1:$AY$1,Z$1)+SUMIFS('changes2_based on steps'!$B166:$U166,'changes2_based on steps'!$B$1:$U$1,Z$1)</f>
        <v>0</v>
      </c>
      <c r="AA166" s="155">
        <f>SUMIFS('recurring2_based on steps'!$B166:$AY166,'recurring2_based on steps'!$B$1:$AY$1,AA$1)+SUMIFS('changes2_based on steps'!$B166:$U166,'changes2_based on steps'!$B$1:$U$1,AA$1)</f>
        <v>0</v>
      </c>
    </row>
    <row r="167" spans="1:27" x14ac:dyDescent="0.2">
      <c r="A167" s="18">
        <f t="shared" ca="1" si="2"/>
        <v>45853</v>
      </c>
      <c r="B167" s="155">
        <f ca="1">SUMIFS('recurring2_based on steps'!$B167:$AY167,'recurring2_based on steps'!$B$1:$AY$1,B$1)+SUMIFS('changes2_based on steps'!$B167:$U167,'changes2_based on steps'!$B$1:$U$1,B$1)</f>
        <v>0</v>
      </c>
      <c r="C167" s="155">
        <f>SUMIFS('recurring2_based on steps'!$B167:$AY167,'recurring2_based on steps'!$B$1:$AY$1,C$1)+SUMIFS('changes2_based on steps'!$B167:$U167,'changes2_based on steps'!$B$1:$U$1,C$1)</f>
        <v>0</v>
      </c>
      <c r="D167" s="155">
        <f>SUMIFS('recurring2_based on steps'!$B167:$AY167,'recurring2_based on steps'!$B$1:$AY$1,D$1)+SUMIFS('changes2_based on steps'!$B167:$U167,'changes2_based on steps'!$B$1:$U$1,D$1)</f>
        <v>0</v>
      </c>
      <c r="E167" s="155">
        <f>SUMIFS('recurring2_based on steps'!$B167:$AY167,'recurring2_based on steps'!$B$1:$AY$1,E$1)+SUMIFS('changes2_based on steps'!$B167:$U167,'changes2_based on steps'!$B$1:$U$1,E$1)</f>
        <v>0</v>
      </c>
      <c r="F167" s="155">
        <f>SUMIFS('recurring2_based on steps'!$B167:$AY167,'recurring2_based on steps'!$B$1:$AY$1,F$1)+SUMIFS('changes2_based on steps'!$B167:$U167,'changes2_based on steps'!$B$1:$U$1,F$1)</f>
        <v>0</v>
      </c>
      <c r="G167" s="155">
        <f>SUMIFS('recurring2_based on steps'!$B167:$AY167,'recurring2_based on steps'!$B$1:$AY$1,G$1)+SUMIFS('changes2_based on steps'!$B167:$U167,'changes2_based on steps'!$B$1:$U$1,G$1)</f>
        <v>0</v>
      </c>
      <c r="H167" s="155">
        <f ca="1">SUMIFS('recurring2_based on steps'!$B167:$AY167,'recurring2_based on steps'!$B$1:$AY$1,H$1)+SUMIFS('changes2_based on steps'!$B167:$U167,'changes2_based on steps'!$B$1:$U$1,H$1)</f>
        <v>0</v>
      </c>
      <c r="I167" s="155">
        <f>SUMIFS('recurring2_based on steps'!$B167:$AY167,'recurring2_based on steps'!$B$1:$AY$1,I$1)+SUMIFS('changes2_based on steps'!$B167:$U167,'changes2_based on steps'!$B$1:$U$1,I$1)</f>
        <v>0</v>
      </c>
      <c r="J167" s="155">
        <f>SUMIFS('recurring2_based on steps'!$B167:$AY167,'recurring2_based on steps'!$B$1:$AY$1,J$1)+SUMIFS('changes2_based on steps'!$B167:$U167,'changes2_based on steps'!$B$1:$U$1,J$1)</f>
        <v>0</v>
      </c>
      <c r="K167" s="155">
        <f>SUMIFS('recurring2_based on steps'!$B167:$AY167,'recurring2_based on steps'!$B$1:$AY$1,K$1)+SUMIFS('changes2_based on steps'!$B167:$U167,'changes2_based on steps'!$B$1:$U$1,K$1)</f>
        <v>0</v>
      </c>
      <c r="L167" s="155">
        <f>SUMIFS('recurring2_based on steps'!$B167:$AY167,'recurring2_based on steps'!$B$1:$AY$1,L$1)+SUMIFS('changes2_based on steps'!$B167:$U167,'changes2_based on steps'!$B$1:$U$1,L$1)</f>
        <v>0</v>
      </c>
      <c r="M167" s="155">
        <f ca="1">SUMIFS('recurring2_based on steps'!$B167:$AY167,'recurring2_based on steps'!$B$1:$AY$1,M$1)+SUMIFS('changes2_based on steps'!$B167:$U167,'changes2_based on steps'!$B$1:$U$1,M$1)</f>
        <v>0</v>
      </c>
      <c r="N167" s="155">
        <f ca="1">SUMIFS('recurring2_based on steps'!$B167:$AY167,'recurring2_based on steps'!$B$1:$AY$1,N$1)+SUMIFS('changes2_based on steps'!$B167:$U167,'changes2_based on steps'!$B$1:$U$1,N$1)</f>
        <v>0</v>
      </c>
      <c r="O167" s="155">
        <f ca="1">SUMIFS('recurring2_based on steps'!$B167:$AY167,'recurring2_based on steps'!$B$1:$AY$1,O$1)+SUMIFS('changes2_based on steps'!$B167:$U167,'changes2_based on steps'!$B$1:$U$1,O$1)</f>
        <v>0</v>
      </c>
      <c r="P167" s="155">
        <f ca="1">SUMIFS('recurring2_based on steps'!$B167:$AY167,'recurring2_based on steps'!$B$1:$AY$1,P$1)+SUMIFS('changes2_based on steps'!$B167:$U167,'changes2_based on steps'!$B$1:$U$1,P$1)</f>
        <v>0</v>
      </c>
      <c r="Q167" s="155">
        <f>SUMIFS('recurring2_based on steps'!$B167:$AY167,'recurring2_based on steps'!$B$1:$AY$1,Q$1)+SUMIFS('changes2_based on steps'!$B167:$U167,'changes2_based on steps'!$B$1:$U$1,Q$1)</f>
        <v>0</v>
      </c>
      <c r="R167" s="155">
        <f ca="1">SUMIFS('recurring2_based on steps'!$B167:$AY167,'recurring2_based on steps'!$B$1:$AY$1,R$1)+SUMIFS('changes2_based on steps'!$B167:$U167,'changes2_based on steps'!$B$1:$U$1,R$1)</f>
        <v>0</v>
      </c>
      <c r="S167" s="155">
        <f ca="1">SUMIFS('recurring2_based on steps'!$B167:$AY167,'recurring2_based on steps'!$B$1:$AY$1,S$1)+SUMIFS('changes2_based on steps'!$B167:$U167,'changes2_based on steps'!$B$1:$U$1,S$1)</f>
        <v>0</v>
      </c>
      <c r="T167" s="155">
        <f>SUMIFS('recurring2_based on steps'!$B167:$AY167,'recurring2_based on steps'!$B$1:$AY$1,T$1)+SUMIFS('changes2_based on steps'!$B167:$U167,'changes2_based on steps'!$B$1:$U$1,T$1)</f>
        <v>0</v>
      </c>
      <c r="U167" s="155">
        <f ca="1">SUMIFS('recurring2_based on steps'!$B167:$AY167,'recurring2_based on steps'!$B$1:$AY$1,U$1)+SUMIFS('changes2_based on steps'!$B167:$U167,'changes2_based on steps'!$B$1:$U$1,U$1)</f>
        <v>0</v>
      </c>
      <c r="V167" s="155">
        <f>SUMIFS('recurring2_based on steps'!$B167:$AY167,'recurring2_based on steps'!$B$1:$AY$1,V$1)+SUMIFS('changes2_based on steps'!$B167:$U167,'changes2_based on steps'!$B$1:$U$1,V$1)</f>
        <v>0</v>
      </c>
      <c r="W167" s="155">
        <f ca="1">SUMIFS('recurring2_based on steps'!$B167:$AY167,'recurring2_based on steps'!$B$1:$AY$1,W$1)+SUMIFS('changes2_based on steps'!$B167:$U167,'changes2_based on steps'!$B$1:$U$1,W$1)</f>
        <v>0</v>
      </c>
      <c r="X167" s="155">
        <f ca="1">SUMIFS('recurring2_based on steps'!$B167:$AY167,'recurring2_based on steps'!$B$1:$AY$1,X$1)+SUMIFS('changes2_based on steps'!$B167:$U167,'changes2_based on steps'!$B$1:$U$1,X$1)</f>
        <v>0</v>
      </c>
      <c r="Y167" s="155">
        <f ca="1">SUMIFS('recurring2_based on steps'!$B167:$AY167,'recurring2_based on steps'!$B$1:$AY$1,Y$1)+SUMIFS('changes2_based on steps'!$B167:$U167,'changes2_based on steps'!$B$1:$U$1,Y$1)</f>
        <v>0</v>
      </c>
      <c r="Z167" s="155">
        <f>SUMIFS('recurring2_based on steps'!$B167:$AY167,'recurring2_based on steps'!$B$1:$AY$1,Z$1)+SUMIFS('changes2_based on steps'!$B167:$U167,'changes2_based on steps'!$B$1:$U$1,Z$1)</f>
        <v>0</v>
      </c>
      <c r="AA167" s="155">
        <f>SUMIFS('recurring2_based on steps'!$B167:$AY167,'recurring2_based on steps'!$B$1:$AY$1,AA$1)+SUMIFS('changes2_based on steps'!$B167:$U167,'changes2_based on steps'!$B$1:$U$1,AA$1)</f>
        <v>0</v>
      </c>
    </row>
    <row r="168" spans="1:27" x14ac:dyDescent="0.2">
      <c r="A168" s="18">
        <f t="shared" ca="1" si="2"/>
        <v>45854</v>
      </c>
      <c r="B168" s="155">
        <f ca="1">SUMIFS('recurring2_based on steps'!$B168:$AY168,'recurring2_based on steps'!$B$1:$AY$1,B$1)+SUMIFS('changes2_based on steps'!$B168:$U168,'changes2_based on steps'!$B$1:$U$1,B$1)</f>
        <v>100</v>
      </c>
      <c r="C168" s="155">
        <f>SUMIFS('recurring2_based on steps'!$B168:$AY168,'recurring2_based on steps'!$B$1:$AY$1,C$1)+SUMIFS('changes2_based on steps'!$B168:$U168,'changes2_based on steps'!$B$1:$U$1,C$1)</f>
        <v>0</v>
      </c>
      <c r="D168" s="155">
        <f>SUMIFS('recurring2_based on steps'!$B168:$AY168,'recurring2_based on steps'!$B$1:$AY$1,D$1)+SUMIFS('changes2_based on steps'!$B168:$U168,'changes2_based on steps'!$B$1:$U$1,D$1)</f>
        <v>0</v>
      </c>
      <c r="E168" s="155">
        <f>SUMIFS('recurring2_based on steps'!$B168:$AY168,'recurring2_based on steps'!$B$1:$AY$1,E$1)+SUMIFS('changes2_based on steps'!$B168:$U168,'changes2_based on steps'!$B$1:$U$1,E$1)</f>
        <v>0</v>
      </c>
      <c r="F168" s="155">
        <f>SUMIFS('recurring2_based on steps'!$B168:$AY168,'recurring2_based on steps'!$B$1:$AY$1,F$1)+SUMIFS('changes2_based on steps'!$B168:$U168,'changes2_based on steps'!$B$1:$U$1,F$1)</f>
        <v>0</v>
      </c>
      <c r="G168" s="155">
        <f>SUMIFS('recurring2_based on steps'!$B168:$AY168,'recurring2_based on steps'!$B$1:$AY$1,G$1)+SUMIFS('changes2_based on steps'!$B168:$U168,'changes2_based on steps'!$B$1:$U$1,G$1)</f>
        <v>0</v>
      </c>
      <c r="H168" s="155">
        <f ca="1">SUMIFS('recurring2_based on steps'!$B168:$AY168,'recurring2_based on steps'!$B$1:$AY$1,H$1)+SUMIFS('changes2_based on steps'!$B168:$U168,'changes2_based on steps'!$B$1:$U$1,H$1)</f>
        <v>0</v>
      </c>
      <c r="I168" s="155">
        <f>SUMIFS('recurring2_based on steps'!$B168:$AY168,'recurring2_based on steps'!$B$1:$AY$1,I$1)+SUMIFS('changes2_based on steps'!$B168:$U168,'changes2_based on steps'!$B$1:$U$1,I$1)</f>
        <v>0</v>
      </c>
      <c r="J168" s="155">
        <f>SUMIFS('recurring2_based on steps'!$B168:$AY168,'recurring2_based on steps'!$B$1:$AY$1,J$1)+SUMIFS('changes2_based on steps'!$B168:$U168,'changes2_based on steps'!$B$1:$U$1,J$1)</f>
        <v>0</v>
      </c>
      <c r="K168" s="155">
        <f>SUMIFS('recurring2_based on steps'!$B168:$AY168,'recurring2_based on steps'!$B$1:$AY$1,K$1)+SUMIFS('changes2_based on steps'!$B168:$U168,'changes2_based on steps'!$B$1:$U$1,K$1)</f>
        <v>0</v>
      </c>
      <c r="L168" s="155">
        <f>SUMIFS('recurring2_based on steps'!$B168:$AY168,'recurring2_based on steps'!$B$1:$AY$1,L$1)+SUMIFS('changes2_based on steps'!$B168:$U168,'changes2_based on steps'!$B$1:$U$1,L$1)</f>
        <v>0</v>
      </c>
      <c r="M168" s="155">
        <f ca="1">SUMIFS('recurring2_based on steps'!$B168:$AY168,'recurring2_based on steps'!$B$1:$AY$1,M$1)+SUMIFS('changes2_based on steps'!$B168:$U168,'changes2_based on steps'!$B$1:$U$1,M$1)</f>
        <v>0</v>
      </c>
      <c r="N168" s="155">
        <f ca="1">SUMIFS('recurring2_based on steps'!$B168:$AY168,'recurring2_based on steps'!$B$1:$AY$1,N$1)+SUMIFS('changes2_based on steps'!$B168:$U168,'changes2_based on steps'!$B$1:$U$1,N$1)</f>
        <v>0</v>
      </c>
      <c r="O168" s="155">
        <f ca="1">SUMIFS('recurring2_based on steps'!$B168:$AY168,'recurring2_based on steps'!$B$1:$AY$1,O$1)+SUMIFS('changes2_based on steps'!$B168:$U168,'changes2_based on steps'!$B$1:$U$1,O$1)</f>
        <v>0</v>
      </c>
      <c r="P168" s="155">
        <f ca="1">SUMIFS('recurring2_based on steps'!$B168:$AY168,'recurring2_based on steps'!$B$1:$AY$1,P$1)+SUMIFS('changes2_based on steps'!$B168:$U168,'changes2_based on steps'!$B$1:$U$1,P$1)</f>
        <v>0</v>
      </c>
      <c r="Q168" s="155">
        <f>SUMIFS('recurring2_based on steps'!$B168:$AY168,'recurring2_based on steps'!$B$1:$AY$1,Q$1)+SUMIFS('changes2_based on steps'!$B168:$U168,'changes2_based on steps'!$B$1:$U$1,Q$1)</f>
        <v>0</v>
      </c>
      <c r="R168" s="155">
        <f ca="1">SUMIFS('recurring2_based on steps'!$B168:$AY168,'recurring2_based on steps'!$B$1:$AY$1,R$1)+SUMIFS('changes2_based on steps'!$B168:$U168,'changes2_based on steps'!$B$1:$U$1,R$1)</f>
        <v>0</v>
      </c>
      <c r="S168" s="155">
        <f ca="1">SUMIFS('recurring2_based on steps'!$B168:$AY168,'recurring2_based on steps'!$B$1:$AY$1,S$1)+SUMIFS('changes2_based on steps'!$B168:$U168,'changes2_based on steps'!$B$1:$U$1,S$1)</f>
        <v>0</v>
      </c>
      <c r="T168" s="155">
        <f>SUMIFS('recurring2_based on steps'!$B168:$AY168,'recurring2_based on steps'!$B$1:$AY$1,T$1)+SUMIFS('changes2_based on steps'!$B168:$U168,'changes2_based on steps'!$B$1:$U$1,T$1)</f>
        <v>0</v>
      </c>
      <c r="U168" s="155">
        <f ca="1">SUMIFS('recurring2_based on steps'!$B168:$AY168,'recurring2_based on steps'!$B$1:$AY$1,U$1)+SUMIFS('changes2_based on steps'!$B168:$U168,'changes2_based on steps'!$B$1:$U$1,U$1)</f>
        <v>0</v>
      </c>
      <c r="V168" s="155">
        <f>SUMIFS('recurring2_based on steps'!$B168:$AY168,'recurring2_based on steps'!$B$1:$AY$1,V$1)+SUMIFS('changes2_based on steps'!$B168:$U168,'changes2_based on steps'!$B$1:$U$1,V$1)</f>
        <v>0</v>
      </c>
      <c r="W168" s="155">
        <f ca="1">SUMIFS('recurring2_based on steps'!$B168:$AY168,'recurring2_based on steps'!$B$1:$AY$1,W$1)+SUMIFS('changes2_based on steps'!$B168:$U168,'changes2_based on steps'!$B$1:$U$1,W$1)</f>
        <v>0</v>
      </c>
      <c r="X168" s="155">
        <f ca="1">SUMIFS('recurring2_based on steps'!$B168:$AY168,'recurring2_based on steps'!$B$1:$AY$1,X$1)+SUMIFS('changes2_based on steps'!$B168:$U168,'changes2_based on steps'!$B$1:$U$1,X$1)</f>
        <v>0</v>
      </c>
      <c r="Y168" s="155">
        <f ca="1">SUMIFS('recurring2_based on steps'!$B168:$AY168,'recurring2_based on steps'!$B$1:$AY$1,Y$1)+SUMIFS('changes2_based on steps'!$B168:$U168,'changes2_based on steps'!$B$1:$U$1,Y$1)</f>
        <v>0</v>
      </c>
      <c r="Z168" s="155">
        <f>SUMIFS('recurring2_based on steps'!$B168:$AY168,'recurring2_based on steps'!$B$1:$AY$1,Z$1)+SUMIFS('changes2_based on steps'!$B168:$U168,'changes2_based on steps'!$B$1:$U$1,Z$1)</f>
        <v>0</v>
      </c>
      <c r="AA168" s="155">
        <f>SUMIFS('recurring2_based on steps'!$B168:$AY168,'recurring2_based on steps'!$B$1:$AY$1,AA$1)+SUMIFS('changes2_based on steps'!$B168:$U168,'changes2_based on steps'!$B$1:$U$1,AA$1)</f>
        <v>0</v>
      </c>
    </row>
    <row r="169" spans="1:27" x14ac:dyDescent="0.2">
      <c r="A169" s="18">
        <f t="shared" ca="1" si="2"/>
        <v>45855</v>
      </c>
      <c r="B169" s="155">
        <f ca="1">SUMIFS('recurring2_based on steps'!$B169:$AY169,'recurring2_based on steps'!$B$1:$AY$1,B$1)+SUMIFS('changes2_based on steps'!$B169:$U169,'changes2_based on steps'!$B$1:$U$1,B$1)</f>
        <v>0</v>
      </c>
      <c r="C169" s="155">
        <f>SUMIFS('recurring2_based on steps'!$B169:$AY169,'recurring2_based on steps'!$B$1:$AY$1,C$1)+SUMIFS('changes2_based on steps'!$B169:$U169,'changes2_based on steps'!$B$1:$U$1,C$1)</f>
        <v>0</v>
      </c>
      <c r="D169" s="155">
        <f>SUMIFS('recurring2_based on steps'!$B169:$AY169,'recurring2_based on steps'!$B$1:$AY$1,D$1)+SUMIFS('changes2_based on steps'!$B169:$U169,'changes2_based on steps'!$B$1:$U$1,D$1)</f>
        <v>0</v>
      </c>
      <c r="E169" s="155">
        <f>SUMIFS('recurring2_based on steps'!$B169:$AY169,'recurring2_based on steps'!$B$1:$AY$1,E$1)+SUMIFS('changes2_based on steps'!$B169:$U169,'changes2_based on steps'!$B$1:$U$1,E$1)</f>
        <v>0</v>
      </c>
      <c r="F169" s="155">
        <f>SUMIFS('recurring2_based on steps'!$B169:$AY169,'recurring2_based on steps'!$B$1:$AY$1,F$1)+SUMIFS('changes2_based on steps'!$B169:$U169,'changes2_based on steps'!$B$1:$U$1,F$1)</f>
        <v>0</v>
      </c>
      <c r="G169" s="155">
        <f>SUMIFS('recurring2_based on steps'!$B169:$AY169,'recurring2_based on steps'!$B$1:$AY$1,G$1)+SUMIFS('changes2_based on steps'!$B169:$U169,'changes2_based on steps'!$B$1:$U$1,G$1)</f>
        <v>0</v>
      </c>
      <c r="H169" s="155">
        <f ca="1">SUMIFS('recurring2_based on steps'!$B169:$AY169,'recurring2_based on steps'!$B$1:$AY$1,H$1)+SUMIFS('changes2_based on steps'!$B169:$U169,'changes2_based on steps'!$B$1:$U$1,H$1)</f>
        <v>0</v>
      </c>
      <c r="I169" s="155">
        <f>SUMIFS('recurring2_based on steps'!$B169:$AY169,'recurring2_based on steps'!$B$1:$AY$1,I$1)+SUMIFS('changes2_based on steps'!$B169:$U169,'changes2_based on steps'!$B$1:$U$1,I$1)</f>
        <v>0</v>
      </c>
      <c r="J169" s="155">
        <f>SUMIFS('recurring2_based on steps'!$B169:$AY169,'recurring2_based on steps'!$B$1:$AY$1,J$1)+SUMIFS('changes2_based on steps'!$B169:$U169,'changes2_based on steps'!$B$1:$U$1,J$1)</f>
        <v>0</v>
      </c>
      <c r="K169" s="155">
        <f>SUMIFS('recurring2_based on steps'!$B169:$AY169,'recurring2_based on steps'!$B$1:$AY$1,K$1)+SUMIFS('changes2_based on steps'!$B169:$U169,'changes2_based on steps'!$B$1:$U$1,K$1)</f>
        <v>0</v>
      </c>
      <c r="L169" s="155">
        <f>SUMIFS('recurring2_based on steps'!$B169:$AY169,'recurring2_based on steps'!$B$1:$AY$1,L$1)+SUMIFS('changes2_based on steps'!$B169:$U169,'changes2_based on steps'!$B$1:$U$1,L$1)</f>
        <v>0</v>
      </c>
      <c r="M169" s="155">
        <f ca="1">SUMIFS('recurring2_based on steps'!$B169:$AY169,'recurring2_based on steps'!$B$1:$AY$1,M$1)+SUMIFS('changes2_based on steps'!$B169:$U169,'changes2_based on steps'!$B$1:$U$1,M$1)</f>
        <v>0</v>
      </c>
      <c r="N169" s="155">
        <f ca="1">SUMIFS('recurring2_based on steps'!$B169:$AY169,'recurring2_based on steps'!$B$1:$AY$1,N$1)+SUMIFS('changes2_based on steps'!$B169:$U169,'changes2_based on steps'!$B$1:$U$1,N$1)</f>
        <v>0</v>
      </c>
      <c r="O169" s="155">
        <f ca="1">SUMIFS('recurring2_based on steps'!$B169:$AY169,'recurring2_based on steps'!$B$1:$AY$1,O$1)+SUMIFS('changes2_based on steps'!$B169:$U169,'changes2_based on steps'!$B$1:$U$1,O$1)</f>
        <v>0</v>
      </c>
      <c r="P169" s="155">
        <f ca="1">SUMIFS('recurring2_based on steps'!$B169:$AY169,'recurring2_based on steps'!$B$1:$AY$1,P$1)+SUMIFS('changes2_based on steps'!$B169:$U169,'changes2_based on steps'!$B$1:$U$1,P$1)</f>
        <v>0</v>
      </c>
      <c r="Q169" s="155">
        <f>SUMIFS('recurring2_based on steps'!$B169:$AY169,'recurring2_based on steps'!$B$1:$AY$1,Q$1)+SUMIFS('changes2_based on steps'!$B169:$U169,'changes2_based on steps'!$B$1:$U$1,Q$1)</f>
        <v>0</v>
      </c>
      <c r="R169" s="155">
        <f ca="1">SUMIFS('recurring2_based on steps'!$B169:$AY169,'recurring2_based on steps'!$B$1:$AY$1,R$1)+SUMIFS('changes2_based on steps'!$B169:$U169,'changes2_based on steps'!$B$1:$U$1,R$1)</f>
        <v>0</v>
      </c>
      <c r="S169" s="155">
        <f ca="1">SUMIFS('recurring2_based on steps'!$B169:$AY169,'recurring2_based on steps'!$B$1:$AY$1,S$1)+SUMIFS('changes2_based on steps'!$B169:$U169,'changes2_based on steps'!$B$1:$U$1,S$1)</f>
        <v>0</v>
      </c>
      <c r="T169" s="155">
        <f>SUMIFS('recurring2_based on steps'!$B169:$AY169,'recurring2_based on steps'!$B$1:$AY$1,T$1)+SUMIFS('changes2_based on steps'!$B169:$U169,'changes2_based on steps'!$B$1:$U$1,T$1)</f>
        <v>0</v>
      </c>
      <c r="U169" s="155">
        <f ca="1">SUMIFS('recurring2_based on steps'!$B169:$AY169,'recurring2_based on steps'!$B$1:$AY$1,U$1)+SUMIFS('changes2_based on steps'!$B169:$U169,'changes2_based on steps'!$B$1:$U$1,U$1)</f>
        <v>15.49</v>
      </c>
      <c r="V169" s="155">
        <f>SUMIFS('recurring2_based on steps'!$B169:$AY169,'recurring2_based on steps'!$B$1:$AY$1,V$1)+SUMIFS('changes2_based on steps'!$B169:$U169,'changes2_based on steps'!$B$1:$U$1,V$1)</f>
        <v>0</v>
      </c>
      <c r="W169" s="155">
        <f ca="1">SUMIFS('recurring2_based on steps'!$B169:$AY169,'recurring2_based on steps'!$B$1:$AY$1,W$1)+SUMIFS('changes2_based on steps'!$B169:$U169,'changes2_based on steps'!$B$1:$U$1,W$1)</f>
        <v>0</v>
      </c>
      <c r="X169" s="155">
        <f ca="1">SUMIFS('recurring2_based on steps'!$B169:$AY169,'recurring2_based on steps'!$B$1:$AY$1,X$1)+SUMIFS('changes2_based on steps'!$B169:$U169,'changes2_based on steps'!$B$1:$U$1,X$1)</f>
        <v>0</v>
      </c>
      <c r="Y169" s="155">
        <f ca="1">SUMIFS('recurring2_based on steps'!$B169:$AY169,'recurring2_based on steps'!$B$1:$AY$1,Y$1)+SUMIFS('changes2_based on steps'!$B169:$U169,'changes2_based on steps'!$B$1:$U$1,Y$1)</f>
        <v>200</v>
      </c>
      <c r="Z169" s="155">
        <f>SUMIFS('recurring2_based on steps'!$B169:$AY169,'recurring2_based on steps'!$B$1:$AY$1,Z$1)+SUMIFS('changes2_based on steps'!$B169:$U169,'changes2_based on steps'!$B$1:$U$1,Z$1)</f>
        <v>0</v>
      </c>
      <c r="AA169" s="155">
        <f>SUMIFS('recurring2_based on steps'!$B169:$AY169,'recurring2_based on steps'!$B$1:$AY$1,AA$1)+SUMIFS('changes2_based on steps'!$B169:$U169,'changes2_based on steps'!$B$1:$U$1,AA$1)</f>
        <v>0</v>
      </c>
    </row>
    <row r="170" spans="1:27" x14ac:dyDescent="0.2">
      <c r="A170" s="18">
        <f t="shared" ca="1" si="2"/>
        <v>45856</v>
      </c>
      <c r="B170" s="155">
        <f ca="1">SUMIFS('recurring2_based on steps'!$B170:$AY170,'recurring2_based on steps'!$B$1:$AY$1,B$1)+SUMIFS('changes2_based on steps'!$B170:$U170,'changes2_based on steps'!$B$1:$U$1,B$1)</f>
        <v>0</v>
      </c>
      <c r="C170" s="155">
        <f>SUMIFS('recurring2_based on steps'!$B170:$AY170,'recurring2_based on steps'!$B$1:$AY$1,C$1)+SUMIFS('changes2_based on steps'!$B170:$U170,'changes2_based on steps'!$B$1:$U$1,C$1)</f>
        <v>0</v>
      </c>
      <c r="D170" s="155">
        <f>SUMIFS('recurring2_based on steps'!$B170:$AY170,'recurring2_based on steps'!$B$1:$AY$1,D$1)+SUMIFS('changes2_based on steps'!$B170:$U170,'changes2_based on steps'!$B$1:$U$1,D$1)</f>
        <v>0</v>
      </c>
      <c r="E170" s="155">
        <f>SUMIFS('recurring2_based on steps'!$B170:$AY170,'recurring2_based on steps'!$B$1:$AY$1,E$1)+SUMIFS('changes2_based on steps'!$B170:$U170,'changes2_based on steps'!$B$1:$U$1,E$1)</f>
        <v>0</v>
      </c>
      <c r="F170" s="155">
        <f>SUMIFS('recurring2_based on steps'!$B170:$AY170,'recurring2_based on steps'!$B$1:$AY$1,F$1)+SUMIFS('changes2_based on steps'!$B170:$U170,'changes2_based on steps'!$B$1:$U$1,F$1)</f>
        <v>0</v>
      </c>
      <c r="G170" s="155">
        <f>SUMIFS('recurring2_based on steps'!$B170:$AY170,'recurring2_based on steps'!$B$1:$AY$1,G$1)+SUMIFS('changes2_based on steps'!$B170:$U170,'changes2_based on steps'!$B$1:$U$1,G$1)</f>
        <v>0</v>
      </c>
      <c r="H170" s="155">
        <f ca="1">SUMIFS('recurring2_based on steps'!$B170:$AY170,'recurring2_based on steps'!$B$1:$AY$1,H$1)+SUMIFS('changes2_based on steps'!$B170:$U170,'changes2_based on steps'!$B$1:$U$1,H$1)</f>
        <v>0</v>
      </c>
      <c r="I170" s="155">
        <f>SUMIFS('recurring2_based on steps'!$B170:$AY170,'recurring2_based on steps'!$B$1:$AY$1,I$1)+SUMIFS('changes2_based on steps'!$B170:$U170,'changes2_based on steps'!$B$1:$U$1,I$1)</f>
        <v>0</v>
      </c>
      <c r="J170" s="155">
        <f>SUMIFS('recurring2_based on steps'!$B170:$AY170,'recurring2_based on steps'!$B$1:$AY$1,J$1)+SUMIFS('changes2_based on steps'!$B170:$U170,'changes2_based on steps'!$B$1:$U$1,J$1)</f>
        <v>0</v>
      </c>
      <c r="K170" s="155">
        <f>SUMIFS('recurring2_based on steps'!$B170:$AY170,'recurring2_based on steps'!$B$1:$AY$1,K$1)+SUMIFS('changes2_based on steps'!$B170:$U170,'changes2_based on steps'!$B$1:$U$1,K$1)</f>
        <v>0</v>
      </c>
      <c r="L170" s="155">
        <f>SUMIFS('recurring2_based on steps'!$B170:$AY170,'recurring2_based on steps'!$B$1:$AY$1,L$1)+SUMIFS('changes2_based on steps'!$B170:$U170,'changes2_based on steps'!$B$1:$U$1,L$1)</f>
        <v>0</v>
      </c>
      <c r="M170" s="155">
        <f ca="1">SUMIFS('recurring2_based on steps'!$B170:$AY170,'recurring2_based on steps'!$B$1:$AY$1,M$1)+SUMIFS('changes2_based on steps'!$B170:$U170,'changes2_based on steps'!$B$1:$U$1,M$1)</f>
        <v>0</v>
      </c>
      <c r="N170" s="155">
        <f ca="1">SUMIFS('recurring2_based on steps'!$B170:$AY170,'recurring2_based on steps'!$B$1:$AY$1,N$1)+SUMIFS('changes2_based on steps'!$B170:$U170,'changes2_based on steps'!$B$1:$U$1,N$1)</f>
        <v>0</v>
      </c>
      <c r="O170" s="155">
        <f ca="1">SUMIFS('recurring2_based on steps'!$B170:$AY170,'recurring2_based on steps'!$B$1:$AY$1,O$1)+SUMIFS('changes2_based on steps'!$B170:$U170,'changes2_based on steps'!$B$1:$U$1,O$1)</f>
        <v>0</v>
      </c>
      <c r="P170" s="155">
        <f ca="1">SUMIFS('recurring2_based on steps'!$B170:$AY170,'recurring2_based on steps'!$B$1:$AY$1,P$1)+SUMIFS('changes2_based on steps'!$B170:$U170,'changes2_based on steps'!$B$1:$U$1,P$1)</f>
        <v>0</v>
      </c>
      <c r="Q170" s="155">
        <f>SUMIFS('recurring2_based on steps'!$B170:$AY170,'recurring2_based on steps'!$B$1:$AY$1,Q$1)+SUMIFS('changes2_based on steps'!$B170:$U170,'changes2_based on steps'!$B$1:$U$1,Q$1)</f>
        <v>0</v>
      </c>
      <c r="R170" s="155">
        <f ca="1">SUMIFS('recurring2_based on steps'!$B170:$AY170,'recurring2_based on steps'!$B$1:$AY$1,R$1)+SUMIFS('changes2_based on steps'!$B170:$U170,'changes2_based on steps'!$B$1:$U$1,R$1)</f>
        <v>0</v>
      </c>
      <c r="S170" s="155">
        <f ca="1">SUMIFS('recurring2_based on steps'!$B170:$AY170,'recurring2_based on steps'!$B$1:$AY$1,S$1)+SUMIFS('changes2_based on steps'!$B170:$U170,'changes2_based on steps'!$B$1:$U$1,S$1)</f>
        <v>0</v>
      </c>
      <c r="T170" s="155">
        <f>SUMIFS('recurring2_based on steps'!$B170:$AY170,'recurring2_based on steps'!$B$1:$AY$1,T$1)+SUMIFS('changes2_based on steps'!$B170:$U170,'changes2_based on steps'!$B$1:$U$1,T$1)</f>
        <v>0</v>
      </c>
      <c r="U170" s="155">
        <f ca="1">SUMIFS('recurring2_based on steps'!$B170:$AY170,'recurring2_based on steps'!$B$1:$AY$1,U$1)+SUMIFS('changes2_based on steps'!$B170:$U170,'changes2_based on steps'!$B$1:$U$1,U$1)</f>
        <v>10.99</v>
      </c>
      <c r="V170" s="155">
        <f>SUMIFS('recurring2_based on steps'!$B170:$AY170,'recurring2_based on steps'!$B$1:$AY$1,V$1)+SUMIFS('changes2_based on steps'!$B170:$U170,'changes2_based on steps'!$B$1:$U$1,V$1)</f>
        <v>0</v>
      </c>
      <c r="W170" s="155">
        <f ca="1">SUMIFS('recurring2_based on steps'!$B170:$AY170,'recurring2_based on steps'!$B$1:$AY$1,W$1)+SUMIFS('changes2_based on steps'!$B170:$U170,'changes2_based on steps'!$B$1:$U$1,W$1)</f>
        <v>0</v>
      </c>
      <c r="X170" s="155">
        <f ca="1">SUMIFS('recurring2_based on steps'!$B170:$AY170,'recurring2_based on steps'!$B$1:$AY$1,X$1)+SUMIFS('changes2_based on steps'!$B170:$U170,'changes2_based on steps'!$B$1:$U$1,X$1)</f>
        <v>0</v>
      </c>
      <c r="Y170" s="155">
        <f ca="1">SUMIFS('recurring2_based on steps'!$B170:$AY170,'recurring2_based on steps'!$B$1:$AY$1,Y$1)+SUMIFS('changes2_based on steps'!$B170:$U170,'changes2_based on steps'!$B$1:$U$1,Y$1)</f>
        <v>0</v>
      </c>
      <c r="Z170" s="155">
        <f>SUMIFS('recurring2_based on steps'!$B170:$AY170,'recurring2_based on steps'!$B$1:$AY$1,Z$1)+SUMIFS('changes2_based on steps'!$B170:$U170,'changes2_based on steps'!$B$1:$U$1,Z$1)</f>
        <v>0</v>
      </c>
      <c r="AA170" s="155">
        <f>SUMIFS('recurring2_based on steps'!$B170:$AY170,'recurring2_based on steps'!$B$1:$AY$1,AA$1)+SUMIFS('changes2_based on steps'!$B170:$U170,'changes2_based on steps'!$B$1:$U$1,AA$1)</f>
        <v>0</v>
      </c>
    </row>
    <row r="171" spans="1:27" x14ac:dyDescent="0.2">
      <c r="A171" s="18">
        <f t="shared" ca="1" si="2"/>
        <v>45857</v>
      </c>
      <c r="B171" s="155">
        <f ca="1">SUMIFS('recurring2_based on steps'!$B171:$AY171,'recurring2_based on steps'!$B$1:$AY$1,B$1)+SUMIFS('changes2_based on steps'!$B171:$U171,'changes2_based on steps'!$B$1:$U$1,B$1)</f>
        <v>0</v>
      </c>
      <c r="C171" s="155">
        <f>SUMIFS('recurring2_based on steps'!$B171:$AY171,'recurring2_based on steps'!$B$1:$AY$1,C$1)+SUMIFS('changes2_based on steps'!$B171:$U171,'changes2_based on steps'!$B$1:$U$1,C$1)</f>
        <v>0</v>
      </c>
      <c r="D171" s="155">
        <f>SUMIFS('recurring2_based on steps'!$B171:$AY171,'recurring2_based on steps'!$B$1:$AY$1,D$1)+SUMIFS('changes2_based on steps'!$B171:$U171,'changes2_based on steps'!$B$1:$U$1,D$1)</f>
        <v>0</v>
      </c>
      <c r="E171" s="155">
        <f>SUMIFS('recurring2_based on steps'!$B171:$AY171,'recurring2_based on steps'!$B$1:$AY$1,E$1)+SUMIFS('changes2_based on steps'!$B171:$U171,'changes2_based on steps'!$B$1:$U$1,E$1)</f>
        <v>0</v>
      </c>
      <c r="F171" s="155">
        <f>SUMIFS('recurring2_based on steps'!$B171:$AY171,'recurring2_based on steps'!$B$1:$AY$1,F$1)+SUMIFS('changes2_based on steps'!$B171:$U171,'changes2_based on steps'!$B$1:$U$1,F$1)</f>
        <v>0</v>
      </c>
      <c r="G171" s="155">
        <f>SUMIFS('recurring2_based on steps'!$B171:$AY171,'recurring2_based on steps'!$B$1:$AY$1,G$1)+SUMIFS('changes2_based on steps'!$B171:$U171,'changes2_based on steps'!$B$1:$U$1,G$1)</f>
        <v>0</v>
      </c>
      <c r="H171" s="155">
        <f ca="1">SUMIFS('recurring2_based on steps'!$B171:$AY171,'recurring2_based on steps'!$B$1:$AY$1,H$1)+SUMIFS('changes2_based on steps'!$B171:$U171,'changes2_based on steps'!$B$1:$U$1,H$1)</f>
        <v>0</v>
      </c>
      <c r="I171" s="155">
        <f>SUMIFS('recurring2_based on steps'!$B171:$AY171,'recurring2_based on steps'!$B$1:$AY$1,I$1)+SUMIFS('changes2_based on steps'!$B171:$U171,'changes2_based on steps'!$B$1:$U$1,I$1)</f>
        <v>0</v>
      </c>
      <c r="J171" s="155">
        <f>SUMIFS('recurring2_based on steps'!$B171:$AY171,'recurring2_based on steps'!$B$1:$AY$1,J$1)+SUMIFS('changes2_based on steps'!$B171:$U171,'changes2_based on steps'!$B$1:$U$1,J$1)</f>
        <v>0</v>
      </c>
      <c r="K171" s="155">
        <f>SUMIFS('recurring2_based on steps'!$B171:$AY171,'recurring2_based on steps'!$B$1:$AY$1,K$1)+SUMIFS('changes2_based on steps'!$B171:$U171,'changes2_based on steps'!$B$1:$U$1,K$1)</f>
        <v>0</v>
      </c>
      <c r="L171" s="155">
        <f>SUMIFS('recurring2_based on steps'!$B171:$AY171,'recurring2_based on steps'!$B$1:$AY$1,L$1)+SUMIFS('changes2_based on steps'!$B171:$U171,'changes2_based on steps'!$B$1:$U$1,L$1)</f>
        <v>0</v>
      </c>
      <c r="M171" s="155">
        <f ca="1">SUMIFS('recurring2_based on steps'!$B171:$AY171,'recurring2_based on steps'!$B$1:$AY$1,M$1)+SUMIFS('changes2_based on steps'!$B171:$U171,'changes2_based on steps'!$B$1:$U$1,M$1)</f>
        <v>0</v>
      </c>
      <c r="N171" s="155">
        <f ca="1">SUMIFS('recurring2_based on steps'!$B171:$AY171,'recurring2_based on steps'!$B$1:$AY$1,N$1)+SUMIFS('changes2_based on steps'!$B171:$U171,'changes2_based on steps'!$B$1:$U$1,N$1)</f>
        <v>0</v>
      </c>
      <c r="O171" s="155">
        <f ca="1">SUMIFS('recurring2_based on steps'!$B171:$AY171,'recurring2_based on steps'!$B$1:$AY$1,O$1)+SUMIFS('changes2_based on steps'!$B171:$U171,'changes2_based on steps'!$B$1:$U$1,O$1)</f>
        <v>0</v>
      </c>
      <c r="P171" s="155">
        <f ca="1">SUMIFS('recurring2_based on steps'!$B171:$AY171,'recurring2_based on steps'!$B$1:$AY$1,P$1)+SUMIFS('changes2_based on steps'!$B171:$U171,'changes2_based on steps'!$B$1:$U$1,P$1)</f>
        <v>0</v>
      </c>
      <c r="Q171" s="155">
        <f>SUMIFS('recurring2_based on steps'!$B171:$AY171,'recurring2_based on steps'!$B$1:$AY$1,Q$1)+SUMIFS('changes2_based on steps'!$B171:$U171,'changes2_based on steps'!$B$1:$U$1,Q$1)</f>
        <v>0</v>
      </c>
      <c r="R171" s="155">
        <f ca="1">SUMIFS('recurring2_based on steps'!$B171:$AY171,'recurring2_based on steps'!$B$1:$AY$1,R$1)+SUMIFS('changes2_based on steps'!$B171:$U171,'changes2_based on steps'!$B$1:$U$1,R$1)</f>
        <v>100</v>
      </c>
      <c r="S171" s="155">
        <f ca="1">SUMIFS('recurring2_based on steps'!$B171:$AY171,'recurring2_based on steps'!$B$1:$AY$1,S$1)+SUMIFS('changes2_based on steps'!$B171:$U171,'changes2_based on steps'!$B$1:$U$1,S$1)</f>
        <v>100</v>
      </c>
      <c r="T171" s="155">
        <f>SUMIFS('recurring2_based on steps'!$B171:$AY171,'recurring2_based on steps'!$B$1:$AY$1,T$1)+SUMIFS('changes2_based on steps'!$B171:$U171,'changes2_based on steps'!$B$1:$U$1,T$1)</f>
        <v>0</v>
      </c>
      <c r="U171" s="155">
        <f ca="1">SUMIFS('recurring2_based on steps'!$B171:$AY171,'recurring2_based on steps'!$B$1:$AY$1,U$1)+SUMIFS('changes2_based on steps'!$B171:$U171,'changes2_based on steps'!$B$1:$U$1,U$1)</f>
        <v>0</v>
      </c>
      <c r="V171" s="155">
        <f>SUMIFS('recurring2_based on steps'!$B171:$AY171,'recurring2_based on steps'!$B$1:$AY$1,V$1)+SUMIFS('changes2_based on steps'!$B171:$U171,'changes2_based on steps'!$B$1:$U$1,V$1)</f>
        <v>0</v>
      </c>
      <c r="W171" s="155">
        <f ca="1">SUMIFS('recurring2_based on steps'!$B171:$AY171,'recurring2_based on steps'!$B$1:$AY$1,W$1)+SUMIFS('changes2_based on steps'!$B171:$U171,'changes2_based on steps'!$B$1:$U$1,W$1)</f>
        <v>0</v>
      </c>
      <c r="X171" s="155">
        <f ca="1">SUMIFS('recurring2_based on steps'!$B171:$AY171,'recurring2_based on steps'!$B$1:$AY$1,X$1)+SUMIFS('changes2_based on steps'!$B171:$U171,'changes2_based on steps'!$B$1:$U$1,X$1)</f>
        <v>0</v>
      </c>
      <c r="Y171" s="155">
        <f ca="1">SUMIFS('recurring2_based on steps'!$B171:$AY171,'recurring2_based on steps'!$B$1:$AY$1,Y$1)+SUMIFS('changes2_based on steps'!$B171:$U171,'changes2_based on steps'!$B$1:$U$1,Y$1)</f>
        <v>0</v>
      </c>
      <c r="Z171" s="155">
        <f>SUMIFS('recurring2_based on steps'!$B171:$AY171,'recurring2_based on steps'!$B$1:$AY$1,Z$1)+SUMIFS('changes2_based on steps'!$B171:$U171,'changes2_based on steps'!$B$1:$U$1,Z$1)</f>
        <v>0</v>
      </c>
      <c r="AA171" s="155">
        <f>SUMIFS('recurring2_based on steps'!$B171:$AY171,'recurring2_based on steps'!$B$1:$AY$1,AA$1)+SUMIFS('changes2_based on steps'!$B171:$U171,'changes2_based on steps'!$B$1:$U$1,AA$1)</f>
        <v>0</v>
      </c>
    </row>
    <row r="172" spans="1:27" x14ac:dyDescent="0.2">
      <c r="A172" s="18">
        <f t="shared" ca="1" si="2"/>
        <v>45858</v>
      </c>
      <c r="B172" s="155">
        <f ca="1">SUMIFS('recurring2_based on steps'!$B172:$AY172,'recurring2_based on steps'!$B$1:$AY$1,B$1)+SUMIFS('changes2_based on steps'!$B172:$U172,'changes2_based on steps'!$B$1:$U$1,B$1)</f>
        <v>0</v>
      </c>
      <c r="C172" s="155">
        <f>SUMIFS('recurring2_based on steps'!$B172:$AY172,'recurring2_based on steps'!$B$1:$AY$1,C$1)+SUMIFS('changes2_based on steps'!$B172:$U172,'changes2_based on steps'!$B$1:$U$1,C$1)</f>
        <v>0</v>
      </c>
      <c r="D172" s="155">
        <f>SUMIFS('recurring2_based on steps'!$B172:$AY172,'recurring2_based on steps'!$B$1:$AY$1,D$1)+SUMIFS('changes2_based on steps'!$B172:$U172,'changes2_based on steps'!$B$1:$U$1,D$1)</f>
        <v>0</v>
      </c>
      <c r="E172" s="155">
        <f>SUMIFS('recurring2_based on steps'!$B172:$AY172,'recurring2_based on steps'!$B$1:$AY$1,E$1)+SUMIFS('changes2_based on steps'!$B172:$U172,'changes2_based on steps'!$B$1:$U$1,E$1)</f>
        <v>0</v>
      </c>
      <c r="F172" s="155">
        <f>SUMIFS('recurring2_based on steps'!$B172:$AY172,'recurring2_based on steps'!$B$1:$AY$1,F$1)+SUMIFS('changes2_based on steps'!$B172:$U172,'changes2_based on steps'!$B$1:$U$1,F$1)</f>
        <v>0</v>
      </c>
      <c r="G172" s="155">
        <f>SUMIFS('recurring2_based on steps'!$B172:$AY172,'recurring2_based on steps'!$B$1:$AY$1,G$1)+SUMIFS('changes2_based on steps'!$B172:$U172,'changes2_based on steps'!$B$1:$U$1,G$1)</f>
        <v>0</v>
      </c>
      <c r="H172" s="155">
        <f ca="1">SUMIFS('recurring2_based on steps'!$B172:$AY172,'recurring2_based on steps'!$B$1:$AY$1,H$1)+SUMIFS('changes2_based on steps'!$B172:$U172,'changes2_based on steps'!$B$1:$U$1,H$1)</f>
        <v>0</v>
      </c>
      <c r="I172" s="155">
        <f>SUMIFS('recurring2_based on steps'!$B172:$AY172,'recurring2_based on steps'!$B$1:$AY$1,I$1)+SUMIFS('changes2_based on steps'!$B172:$U172,'changes2_based on steps'!$B$1:$U$1,I$1)</f>
        <v>0</v>
      </c>
      <c r="J172" s="155">
        <f>SUMIFS('recurring2_based on steps'!$B172:$AY172,'recurring2_based on steps'!$B$1:$AY$1,J$1)+SUMIFS('changes2_based on steps'!$B172:$U172,'changes2_based on steps'!$B$1:$U$1,J$1)</f>
        <v>0</v>
      </c>
      <c r="K172" s="155">
        <f>SUMIFS('recurring2_based on steps'!$B172:$AY172,'recurring2_based on steps'!$B$1:$AY$1,K$1)+SUMIFS('changes2_based on steps'!$B172:$U172,'changes2_based on steps'!$B$1:$U$1,K$1)</f>
        <v>0</v>
      </c>
      <c r="L172" s="155">
        <f>SUMIFS('recurring2_based on steps'!$B172:$AY172,'recurring2_based on steps'!$B$1:$AY$1,L$1)+SUMIFS('changes2_based on steps'!$B172:$U172,'changes2_based on steps'!$B$1:$U$1,L$1)</f>
        <v>0</v>
      </c>
      <c r="M172" s="155">
        <f ca="1">SUMIFS('recurring2_based on steps'!$B172:$AY172,'recurring2_based on steps'!$B$1:$AY$1,M$1)+SUMIFS('changes2_based on steps'!$B172:$U172,'changes2_based on steps'!$B$1:$U$1,M$1)</f>
        <v>0</v>
      </c>
      <c r="N172" s="155">
        <f ca="1">SUMIFS('recurring2_based on steps'!$B172:$AY172,'recurring2_based on steps'!$B$1:$AY$1,N$1)+SUMIFS('changes2_based on steps'!$B172:$U172,'changes2_based on steps'!$B$1:$U$1,N$1)</f>
        <v>50</v>
      </c>
      <c r="O172" s="155">
        <f ca="1">SUMIFS('recurring2_based on steps'!$B172:$AY172,'recurring2_based on steps'!$B$1:$AY$1,O$1)+SUMIFS('changes2_based on steps'!$B172:$U172,'changes2_based on steps'!$B$1:$U$1,O$1)</f>
        <v>0</v>
      </c>
      <c r="P172" s="155">
        <f ca="1">SUMIFS('recurring2_based on steps'!$B172:$AY172,'recurring2_based on steps'!$B$1:$AY$1,P$1)+SUMIFS('changes2_based on steps'!$B172:$U172,'changes2_based on steps'!$B$1:$U$1,P$1)</f>
        <v>0</v>
      </c>
      <c r="Q172" s="155">
        <f>SUMIFS('recurring2_based on steps'!$B172:$AY172,'recurring2_based on steps'!$B$1:$AY$1,Q$1)+SUMIFS('changes2_based on steps'!$B172:$U172,'changes2_based on steps'!$B$1:$U$1,Q$1)</f>
        <v>0</v>
      </c>
      <c r="R172" s="155">
        <f ca="1">SUMIFS('recurring2_based on steps'!$B172:$AY172,'recurring2_based on steps'!$B$1:$AY$1,R$1)+SUMIFS('changes2_based on steps'!$B172:$U172,'changes2_based on steps'!$B$1:$U$1,R$1)</f>
        <v>0</v>
      </c>
      <c r="S172" s="155">
        <f ca="1">SUMIFS('recurring2_based on steps'!$B172:$AY172,'recurring2_based on steps'!$B$1:$AY$1,S$1)+SUMIFS('changes2_based on steps'!$B172:$U172,'changes2_based on steps'!$B$1:$U$1,S$1)</f>
        <v>100</v>
      </c>
      <c r="T172" s="155">
        <f>SUMIFS('recurring2_based on steps'!$B172:$AY172,'recurring2_based on steps'!$B$1:$AY$1,T$1)+SUMIFS('changes2_based on steps'!$B172:$U172,'changes2_based on steps'!$B$1:$U$1,T$1)</f>
        <v>0</v>
      </c>
      <c r="U172" s="155">
        <f ca="1">SUMIFS('recurring2_based on steps'!$B172:$AY172,'recurring2_based on steps'!$B$1:$AY$1,U$1)+SUMIFS('changes2_based on steps'!$B172:$U172,'changes2_based on steps'!$B$1:$U$1,U$1)</f>
        <v>0</v>
      </c>
      <c r="V172" s="155">
        <f>SUMIFS('recurring2_based on steps'!$B172:$AY172,'recurring2_based on steps'!$B$1:$AY$1,V$1)+SUMIFS('changes2_based on steps'!$B172:$U172,'changes2_based on steps'!$B$1:$U$1,V$1)</f>
        <v>0</v>
      </c>
      <c r="W172" s="155">
        <f ca="1">SUMIFS('recurring2_based on steps'!$B172:$AY172,'recurring2_based on steps'!$B$1:$AY$1,W$1)+SUMIFS('changes2_based on steps'!$B172:$U172,'changes2_based on steps'!$B$1:$U$1,W$1)</f>
        <v>0</v>
      </c>
      <c r="X172" s="155">
        <f ca="1">SUMIFS('recurring2_based on steps'!$B172:$AY172,'recurring2_based on steps'!$B$1:$AY$1,X$1)+SUMIFS('changes2_based on steps'!$B172:$U172,'changes2_based on steps'!$B$1:$U$1,X$1)</f>
        <v>0</v>
      </c>
      <c r="Y172" s="155">
        <f ca="1">SUMIFS('recurring2_based on steps'!$B172:$AY172,'recurring2_based on steps'!$B$1:$AY$1,Y$1)+SUMIFS('changes2_based on steps'!$B172:$U172,'changes2_based on steps'!$B$1:$U$1,Y$1)</f>
        <v>0</v>
      </c>
      <c r="Z172" s="155">
        <f>SUMIFS('recurring2_based on steps'!$B172:$AY172,'recurring2_based on steps'!$B$1:$AY$1,Z$1)+SUMIFS('changes2_based on steps'!$B172:$U172,'changes2_based on steps'!$B$1:$U$1,Z$1)</f>
        <v>0</v>
      </c>
      <c r="AA172" s="155">
        <f>SUMIFS('recurring2_based on steps'!$B172:$AY172,'recurring2_based on steps'!$B$1:$AY$1,AA$1)+SUMIFS('changes2_based on steps'!$B172:$U172,'changes2_based on steps'!$B$1:$U$1,AA$1)</f>
        <v>0</v>
      </c>
    </row>
    <row r="173" spans="1:27" x14ac:dyDescent="0.2">
      <c r="A173" s="18">
        <f t="shared" ca="1" si="2"/>
        <v>45859</v>
      </c>
      <c r="B173" s="155">
        <f ca="1">SUMIFS('recurring2_based on steps'!$B173:$AY173,'recurring2_based on steps'!$B$1:$AY$1,B$1)+SUMIFS('changes2_based on steps'!$B173:$U173,'changes2_based on steps'!$B$1:$U$1,B$1)</f>
        <v>0</v>
      </c>
      <c r="C173" s="155">
        <f>SUMIFS('recurring2_based on steps'!$B173:$AY173,'recurring2_based on steps'!$B$1:$AY$1,C$1)+SUMIFS('changes2_based on steps'!$B173:$U173,'changes2_based on steps'!$B$1:$U$1,C$1)</f>
        <v>0</v>
      </c>
      <c r="D173" s="155">
        <f>SUMIFS('recurring2_based on steps'!$B173:$AY173,'recurring2_based on steps'!$B$1:$AY$1,D$1)+SUMIFS('changes2_based on steps'!$B173:$U173,'changes2_based on steps'!$B$1:$U$1,D$1)</f>
        <v>0</v>
      </c>
      <c r="E173" s="155">
        <f>SUMIFS('recurring2_based on steps'!$B173:$AY173,'recurring2_based on steps'!$B$1:$AY$1,E$1)+SUMIFS('changes2_based on steps'!$B173:$U173,'changes2_based on steps'!$B$1:$U$1,E$1)</f>
        <v>0</v>
      </c>
      <c r="F173" s="155">
        <f>SUMIFS('recurring2_based on steps'!$B173:$AY173,'recurring2_based on steps'!$B$1:$AY$1,F$1)+SUMIFS('changes2_based on steps'!$B173:$U173,'changes2_based on steps'!$B$1:$U$1,F$1)</f>
        <v>0</v>
      </c>
      <c r="G173" s="155">
        <f>SUMIFS('recurring2_based on steps'!$B173:$AY173,'recurring2_based on steps'!$B$1:$AY$1,G$1)+SUMIFS('changes2_based on steps'!$B173:$U173,'changes2_based on steps'!$B$1:$U$1,G$1)</f>
        <v>0</v>
      </c>
      <c r="H173" s="155">
        <f ca="1">SUMIFS('recurring2_based on steps'!$B173:$AY173,'recurring2_based on steps'!$B$1:$AY$1,H$1)+SUMIFS('changes2_based on steps'!$B173:$U173,'changes2_based on steps'!$B$1:$U$1,H$1)</f>
        <v>0</v>
      </c>
      <c r="I173" s="155">
        <f>SUMIFS('recurring2_based on steps'!$B173:$AY173,'recurring2_based on steps'!$B$1:$AY$1,I$1)+SUMIFS('changes2_based on steps'!$B173:$U173,'changes2_based on steps'!$B$1:$U$1,I$1)</f>
        <v>0</v>
      </c>
      <c r="J173" s="155">
        <f>SUMIFS('recurring2_based on steps'!$B173:$AY173,'recurring2_based on steps'!$B$1:$AY$1,J$1)+SUMIFS('changes2_based on steps'!$B173:$U173,'changes2_based on steps'!$B$1:$U$1,J$1)</f>
        <v>0</v>
      </c>
      <c r="K173" s="155">
        <f>SUMIFS('recurring2_based on steps'!$B173:$AY173,'recurring2_based on steps'!$B$1:$AY$1,K$1)+SUMIFS('changes2_based on steps'!$B173:$U173,'changes2_based on steps'!$B$1:$U$1,K$1)</f>
        <v>0</v>
      </c>
      <c r="L173" s="155">
        <f>SUMIFS('recurring2_based on steps'!$B173:$AY173,'recurring2_based on steps'!$B$1:$AY$1,L$1)+SUMIFS('changes2_based on steps'!$B173:$U173,'changes2_based on steps'!$B$1:$U$1,L$1)</f>
        <v>0</v>
      </c>
      <c r="M173" s="155">
        <f ca="1">SUMIFS('recurring2_based on steps'!$B173:$AY173,'recurring2_based on steps'!$B$1:$AY$1,M$1)+SUMIFS('changes2_based on steps'!$B173:$U173,'changes2_based on steps'!$B$1:$U$1,M$1)</f>
        <v>0</v>
      </c>
      <c r="N173" s="155">
        <f ca="1">SUMIFS('recurring2_based on steps'!$B173:$AY173,'recurring2_based on steps'!$B$1:$AY$1,N$1)+SUMIFS('changes2_based on steps'!$B173:$U173,'changes2_based on steps'!$B$1:$U$1,N$1)</f>
        <v>0</v>
      </c>
      <c r="O173" s="155">
        <f ca="1">SUMIFS('recurring2_based on steps'!$B173:$AY173,'recurring2_based on steps'!$B$1:$AY$1,O$1)+SUMIFS('changes2_based on steps'!$B173:$U173,'changes2_based on steps'!$B$1:$U$1,O$1)</f>
        <v>0</v>
      </c>
      <c r="P173" s="155">
        <f ca="1">SUMIFS('recurring2_based on steps'!$B173:$AY173,'recurring2_based on steps'!$B$1:$AY$1,P$1)+SUMIFS('changes2_based on steps'!$B173:$U173,'changes2_based on steps'!$B$1:$U$1,P$1)</f>
        <v>50</v>
      </c>
      <c r="Q173" s="155">
        <f>SUMIFS('recurring2_based on steps'!$B173:$AY173,'recurring2_based on steps'!$B$1:$AY$1,Q$1)+SUMIFS('changes2_based on steps'!$B173:$U173,'changes2_based on steps'!$B$1:$U$1,Q$1)</f>
        <v>0</v>
      </c>
      <c r="R173" s="155">
        <f ca="1">SUMIFS('recurring2_based on steps'!$B173:$AY173,'recurring2_based on steps'!$B$1:$AY$1,R$1)+SUMIFS('changes2_based on steps'!$B173:$U173,'changes2_based on steps'!$B$1:$U$1,R$1)</f>
        <v>0</v>
      </c>
      <c r="S173" s="155">
        <f ca="1">SUMIFS('recurring2_based on steps'!$B173:$AY173,'recurring2_based on steps'!$B$1:$AY$1,S$1)+SUMIFS('changes2_based on steps'!$B173:$U173,'changes2_based on steps'!$B$1:$U$1,S$1)</f>
        <v>0</v>
      </c>
      <c r="T173" s="155">
        <f>SUMIFS('recurring2_based on steps'!$B173:$AY173,'recurring2_based on steps'!$B$1:$AY$1,T$1)+SUMIFS('changes2_based on steps'!$B173:$U173,'changes2_based on steps'!$B$1:$U$1,T$1)</f>
        <v>0</v>
      </c>
      <c r="U173" s="155">
        <f ca="1">SUMIFS('recurring2_based on steps'!$B173:$AY173,'recurring2_based on steps'!$B$1:$AY$1,U$1)+SUMIFS('changes2_based on steps'!$B173:$U173,'changes2_based on steps'!$B$1:$U$1,U$1)</f>
        <v>0</v>
      </c>
      <c r="V173" s="155">
        <f>SUMIFS('recurring2_based on steps'!$B173:$AY173,'recurring2_based on steps'!$B$1:$AY$1,V$1)+SUMIFS('changes2_based on steps'!$B173:$U173,'changes2_based on steps'!$B$1:$U$1,V$1)</f>
        <v>0</v>
      </c>
      <c r="W173" s="155">
        <f ca="1">SUMIFS('recurring2_based on steps'!$B173:$AY173,'recurring2_based on steps'!$B$1:$AY$1,W$1)+SUMIFS('changes2_based on steps'!$B173:$U173,'changes2_based on steps'!$B$1:$U$1,W$1)</f>
        <v>0</v>
      </c>
      <c r="X173" s="155">
        <f ca="1">SUMIFS('recurring2_based on steps'!$B173:$AY173,'recurring2_based on steps'!$B$1:$AY$1,X$1)+SUMIFS('changes2_based on steps'!$B173:$U173,'changes2_based on steps'!$B$1:$U$1,X$1)</f>
        <v>0</v>
      </c>
      <c r="Y173" s="155">
        <f ca="1">SUMIFS('recurring2_based on steps'!$B173:$AY173,'recurring2_based on steps'!$B$1:$AY$1,Y$1)+SUMIFS('changes2_based on steps'!$B173:$U173,'changes2_based on steps'!$B$1:$U$1,Y$1)</f>
        <v>0</v>
      </c>
      <c r="Z173" s="155">
        <f>SUMIFS('recurring2_based on steps'!$B173:$AY173,'recurring2_based on steps'!$B$1:$AY$1,Z$1)+SUMIFS('changes2_based on steps'!$B173:$U173,'changes2_based on steps'!$B$1:$U$1,Z$1)</f>
        <v>0</v>
      </c>
      <c r="AA173" s="155">
        <f>SUMIFS('recurring2_based on steps'!$B173:$AY173,'recurring2_based on steps'!$B$1:$AY$1,AA$1)+SUMIFS('changes2_based on steps'!$B173:$U173,'changes2_based on steps'!$B$1:$U$1,AA$1)</f>
        <v>0</v>
      </c>
    </row>
    <row r="174" spans="1:27" x14ac:dyDescent="0.2">
      <c r="A174" s="18">
        <f t="shared" ca="1" si="2"/>
        <v>45860</v>
      </c>
      <c r="B174" s="155">
        <f ca="1">SUMIFS('recurring2_based on steps'!$B174:$AY174,'recurring2_based on steps'!$B$1:$AY$1,B$1)+SUMIFS('changes2_based on steps'!$B174:$U174,'changes2_based on steps'!$B$1:$U$1,B$1)</f>
        <v>0</v>
      </c>
      <c r="C174" s="155">
        <f>SUMIFS('recurring2_based on steps'!$B174:$AY174,'recurring2_based on steps'!$B$1:$AY$1,C$1)+SUMIFS('changes2_based on steps'!$B174:$U174,'changes2_based on steps'!$B$1:$U$1,C$1)</f>
        <v>0</v>
      </c>
      <c r="D174" s="155">
        <f>SUMIFS('recurring2_based on steps'!$B174:$AY174,'recurring2_based on steps'!$B$1:$AY$1,D$1)+SUMIFS('changes2_based on steps'!$B174:$U174,'changes2_based on steps'!$B$1:$U$1,D$1)</f>
        <v>0</v>
      </c>
      <c r="E174" s="155">
        <f>SUMIFS('recurring2_based on steps'!$B174:$AY174,'recurring2_based on steps'!$B$1:$AY$1,E$1)+SUMIFS('changes2_based on steps'!$B174:$U174,'changes2_based on steps'!$B$1:$U$1,E$1)</f>
        <v>0</v>
      </c>
      <c r="F174" s="155">
        <f>SUMIFS('recurring2_based on steps'!$B174:$AY174,'recurring2_based on steps'!$B$1:$AY$1,F$1)+SUMIFS('changes2_based on steps'!$B174:$U174,'changes2_based on steps'!$B$1:$U$1,F$1)</f>
        <v>0</v>
      </c>
      <c r="G174" s="155">
        <f>SUMIFS('recurring2_based on steps'!$B174:$AY174,'recurring2_based on steps'!$B$1:$AY$1,G$1)+SUMIFS('changes2_based on steps'!$B174:$U174,'changes2_based on steps'!$B$1:$U$1,G$1)</f>
        <v>0</v>
      </c>
      <c r="H174" s="155">
        <f ca="1">SUMIFS('recurring2_based on steps'!$B174:$AY174,'recurring2_based on steps'!$B$1:$AY$1,H$1)+SUMIFS('changes2_based on steps'!$B174:$U174,'changes2_based on steps'!$B$1:$U$1,H$1)</f>
        <v>0</v>
      </c>
      <c r="I174" s="155">
        <f>SUMIFS('recurring2_based on steps'!$B174:$AY174,'recurring2_based on steps'!$B$1:$AY$1,I$1)+SUMIFS('changes2_based on steps'!$B174:$U174,'changes2_based on steps'!$B$1:$U$1,I$1)</f>
        <v>0</v>
      </c>
      <c r="J174" s="155">
        <f>SUMIFS('recurring2_based on steps'!$B174:$AY174,'recurring2_based on steps'!$B$1:$AY$1,J$1)+SUMIFS('changes2_based on steps'!$B174:$U174,'changes2_based on steps'!$B$1:$U$1,J$1)</f>
        <v>0</v>
      </c>
      <c r="K174" s="155">
        <f>SUMIFS('recurring2_based on steps'!$B174:$AY174,'recurring2_based on steps'!$B$1:$AY$1,K$1)+SUMIFS('changes2_based on steps'!$B174:$U174,'changes2_based on steps'!$B$1:$U$1,K$1)</f>
        <v>0</v>
      </c>
      <c r="L174" s="155">
        <f>SUMIFS('recurring2_based on steps'!$B174:$AY174,'recurring2_based on steps'!$B$1:$AY$1,L$1)+SUMIFS('changes2_based on steps'!$B174:$U174,'changes2_based on steps'!$B$1:$U$1,L$1)</f>
        <v>0</v>
      </c>
      <c r="M174" s="155">
        <f ca="1">SUMIFS('recurring2_based on steps'!$B174:$AY174,'recurring2_based on steps'!$B$1:$AY$1,M$1)+SUMIFS('changes2_based on steps'!$B174:$U174,'changes2_based on steps'!$B$1:$U$1,M$1)</f>
        <v>0</v>
      </c>
      <c r="N174" s="155">
        <f ca="1">SUMIFS('recurring2_based on steps'!$B174:$AY174,'recurring2_based on steps'!$B$1:$AY$1,N$1)+SUMIFS('changes2_based on steps'!$B174:$U174,'changes2_based on steps'!$B$1:$U$1,N$1)</f>
        <v>0</v>
      </c>
      <c r="O174" s="155">
        <f ca="1">SUMIFS('recurring2_based on steps'!$B174:$AY174,'recurring2_based on steps'!$B$1:$AY$1,O$1)+SUMIFS('changes2_based on steps'!$B174:$U174,'changes2_based on steps'!$B$1:$U$1,O$1)</f>
        <v>0</v>
      </c>
      <c r="P174" s="155">
        <f ca="1">SUMIFS('recurring2_based on steps'!$B174:$AY174,'recurring2_based on steps'!$B$1:$AY$1,P$1)+SUMIFS('changes2_based on steps'!$B174:$U174,'changes2_based on steps'!$B$1:$U$1,P$1)</f>
        <v>0</v>
      </c>
      <c r="Q174" s="155">
        <f>SUMIFS('recurring2_based on steps'!$B174:$AY174,'recurring2_based on steps'!$B$1:$AY$1,Q$1)+SUMIFS('changes2_based on steps'!$B174:$U174,'changes2_based on steps'!$B$1:$U$1,Q$1)</f>
        <v>0</v>
      </c>
      <c r="R174" s="155">
        <f ca="1">SUMIFS('recurring2_based on steps'!$B174:$AY174,'recurring2_based on steps'!$B$1:$AY$1,R$1)+SUMIFS('changes2_based on steps'!$B174:$U174,'changes2_based on steps'!$B$1:$U$1,R$1)</f>
        <v>0</v>
      </c>
      <c r="S174" s="155">
        <f ca="1">SUMIFS('recurring2_based on steps'!$B174:$AY174,'recurring2_based on steps'!$B$1:$AY$1,S$1)+SUMIFS('changes2_based on steps'!$B174:$U174,'changes2_based on steps'!$B$1:$U$1,S$1)</f>
        <v>0</v>
      </c>
      <c r="T174" s="155">
        <f>SUMIFS('recurring2_based on steps'!$B174:$AY174,'recurring2_based on steps'!$B$1:$AY$1,T$1)+SUMIFS('changes2_based on steps'!$B174:$U174,'changes2_based on steps'!$B$1:$U$1,T$1)</f>
        <v>0</v>
      </c>
      <c r="U174" s="155">
        <f ca="1">SUMIFS('recurring2_based on steps'!$B174:$AY174,'recurring2_based on steps'!$B$1:$AY$1,U$1)+SUMIFS('changes2_based on steps'!$B174:$U174,'changes2_based on steps'!$B$1:$U$1,U$1)</f>
        <v>0</v>
      </c>
      <c r="V174" s="155">
        <f>SUMIFS('recurring2_based on steps'!$B174:$AY174,'recurring2_based on steps'!$B$1:$AY$1,V$1)+SUMIFS('changes2_based on steps'!$B174:$U174,'changes2_based on steps'!$B$1:$U$1,V$1)</f>
        <v>0</v>
      </c>
      <c r="W174" s="155">
        <f ca="1">SUMIFS('recurring2_based on steps'!$B174:$AY174,'recurring2_based on steps'!$B$1:$AY$1,W$1)+SUMIFS('changes2_based on steps'!$B174:$U174,'changes2_based on steps'!$B$1:$U$1,W$1)</f>
        <v>0</v>
      </c>
      <c r="X174" s="155">
        <f ca="1">SUMIFS('recurring2_based on steps'!$B174:$AY174,'recurring2_based on steps'!$B$1:$AY$1,X$1)+SUMIFS('changes2_based on steps'!$B174:$U174,'changes2_based on steps'!$B$1:$U$1,X$1)</f>
        <v>0</v>
      </c>
      <c r="Y174" s="155">
        <f ca="1">SUMIFS('recurring2_based on steps'!$B174:$AY174,'recurring2_based on steps'!$B$1:$AY$1,Y$1)+SUMIFS('changes2_based on steps'!$B174:$U174,'changes2_based on steps'!$B$1:$U$1,Y$1)</f>
        <v>0</v>
      </c>
      <c r="Z174" s="155">
        <f>SUMIFS('recurring2_based on steps'!$B174:$AY174,'recurring2_based on steps'!$B$1:$AY$1,Z$1)+SUMIFS('changes2_based on steps'!$B174:$U174,'changes2_based on steps'!$B$1:$U$1,Z$1)</f>
        <v>0</v>
      </c>
      <c r="AA174" s="155">
        <f>SUMIFS('recurring2_based on steps'!$B174:$AY174,'recurring2_based on steps'!$B$1:$AY$1,AA$1)+SUMIFS('changes2_based on steps'!$B174:$U174,'changes2_based on steps'!$B$1:$U$1,AA$1)</f>
        <v>0</v>
      </c>
    </row>
    <row r="175" spans="1:27" x14ac:dyDescent="0.2">
      <c r="A175" s="18">
        <f t="shared" ca="1" si="2"/>
        <v>45861</v>
      </c>
      <c r="B175" s="155">
        <f ca="1">SUMIFS('recurring2_based on steps'!$B175:$AY175,'recurring2_based on steps'!$B$1:$AY$1,B$1)+SUMIFS('changes2_based on steps'!$B175:$U175,'changes2_based on steps'!$B$1:$U$1,B$1)</f>
        <v>0</v>
      </c>
      <c r="C175" s="155">
        <f>SUMIFS('recurring2_based on steps'!$B175:$AY175,'recurring2_based on steps'!$B$1:$AY$1,C$1)+SUMIFS('changes2_based on steps'!$B175:$U175,'changes2_based on steps'!$B$1:$U$1,C$1)</f>
        <v>0</v>
      </c>
      <c r="D175" s="155">
        <f>SUMIFS('recurring2_based on steps'!$B175:$AY175,'recurring2_based on steps'!$B$1:$AY$1,D$1)+SUMIFS('changes2_based on steps'!$B175:$U175,'changes2_based on steps'!$B$1:$U$1,D$1)</f>
        <v>0</v>
      </c>
      <c r="E175" s="155">
        <f>SUMIFS('recurring2_based on steps'!$B175:$AY175,'recurring2_based on steps'!$B$1:$AY$1,E$1)+SUMIFS('changes2_based on steps'!$B175:$U175,'changes2_based on steps'!$B$1:$U$1,E$1)</f>
        <v>0</v>
      </c>
      <c r="F175" s="155">
        <f>SUMIFS('recurring2_based on steps'!$B175:$AY175,'recurring2_based on steps'!$B$1:$AY$1,F$1)+SUMIFS('changes2_based on steps'!$B175:$U175,'changes2_based on steps'!$B$1:$U$1,F$1)</f>
        <v>0</v>
      </c>
      <c r="G175" s="155">
        <f>SUMIFS('recurring2_based on steps'!$B175:$AY175,'recurring2_based on steps'!$B$1:$AY$1,G$1)+SUMIFS('changes2_based on steps'!$B175:$U175,'changes2_based on steps'!$B$1:$U$1,G$1)</f>
        <v>0</v>
      </c>
      <c r="H175" s="155">
        <f ca="1">SUMIFS('recurring2_based on steps'!$B175:$AY175,'recurring2_based on steps'!$B$1:$AY$1,H$1)+SUMIFS('changes2_based on steps'!$B175:$U175,'changes2_based on steps'!$B$1:$U$1,H$1)</f>
        <v>0</v>
      </c>
      <c r="I175" s="155">
        <f>SUMIFS('recurring2_based on steps'!$B175:$AY175,'recurring2_based on steps'!$B$1:$AY$1,I$1)+SUMIFS('changes2_based on steps'!$B175:$U175,'changes2_based on steps'!$B$1:$U$1,I$1)</f>
        <v>0</v>
      </c>
      <c r="J175" s="155">
        <f>SUMIFS('recurring2_based on steps'!$B175:$AY175,'recurring2_based on steps'!$B$1:$AY$1,J$1)+SUMIFS('changes2_based on steps'!$B175:$U175,'changes2_based on steps'!$B$1:$U$1,J$1)</f>
        <v>0</v>
      </c>
      <c r="K175" s="155">
        <f>SUMIFS('recurring2_based on steps'!$B175:$AY175,'recurring2_based on steps'!$B$1:$AY$1,K$1)+SUMIFS('changes2_based on steps'!$B175:$U175,'changes2_based on steps'!$B$1:$U$1,K$1)</f>
        <v>0</v>
      </c>
      <c r="L175" s="155">
        <f>SUMIFS('recurring2_based on steps'!$B175:$AY175,'recurring2_based on steps'!$B$1:$AY$1,L$1)+SUMIFS('changes2_based on steps'!$B175:$U175,'changes2_based on steps'!$B$1:$U$1,L$1)</f>
        <v>0</v>
      </c>
      <c r="M175" s="155">
        <f ca="1">SUMIFS('recurring2_based on steps'!$B175:$AY175,'recurring2_based on steps'!$B$1:$AY$1,M$1)+SUMIFS('changes2_based on steps'!$B175:$U175,'changes2_based on steps'!$B$1:$U$1,M$1)</f>
        <v>0</v>
      </c>
      <c r="N175" s="155">
        <f ca="1">SUMIFS('recurring2_based on steps'!$B175:$AY175,'recurring2_based on steps'!$B$1:$AY$1,N$1)+SUMIFS('changes2_based on steps'!$B175:$U175,'changes2_based on steps'!$B$1:$U$1,N$1)</f>
        <v>0</v>
      </c>
      <c r="O175" s="155">
        <f ca="1">SUMIFS('recurring2_based on steps'!$B175:$AY175,'recurring2_based on steps'!$B$1:$AY$1,O$1)+SUMIFS('changes2_based on steps'!$B175:$U175,'changes2_based on steps'!$B$1:$U$1,O$1)</f>
        <v>0</v>
      </c>
      <c r="P175" s="155">
        <f ca="1">SUMIFS('recurring2_based on steps'!$B175:$AY175,'recurring2_based on steps'!$B$1:$AY$1,P$1)+SUMIFS('changes2_based on steps'!$B175:$U175,'changes2_based on steps'!$B$1:$U$1,P$1)</f>
        <v>0</v>
      </c>
      <c r="Q175" s="155">
        <f>SUMIFS('recurring2_based on steps'!$B175:$AY175,'recurring2_based on steps'!$B$1:$AY$1,Q$1)+SUMIFS('changes2_based on steps'!$B175:$U175,'changes2_based on steps'!$B$1:$U$1,Q$1)</f>
        <v>0</v>
      </c>
      <c r="R175" s="155">
        <f ca="1">SUMIFS('recurring2_based on steps'!$B175:$AY175,'recurring2_based on steps'!$B$1:$AY$1,R$1)+SUMIFS('changes2_based on steps'!$B175:$U175,'changes2_based on steps'!$B$1:$U$1,R$1)</f>
        <v>0</v>
      </c>
      <c r="S175" s="155">
        <f ca="1">SUMIFS('recurring2_based on steps'!$B175:$AY175,'recurring2_based on steps'!$B$1:$AY$1,S$1)+SUMIFS('changes2_based on steps'!$B175:$U175,'changes2_based on steps'!$B$1:$U$1,S$1)</f>
        <v>0</v>
      </c>
      <c r="T175" s="155">
        <f>SUMIFS('recurring2_based on steps'!$B175:$AY175,'recurring2_based on steps'!$B$1:$AY$1,T$1)+SUMIFS('changes2_based on steps'!$B175:$U175,'changes2_based on steps'!$B$1:$U$1,T$1)</f>
        <v>0</v>
      </c>
      <c r="U175" s="155">
        <f ca="1">SUMIFS('recurring2_based on steps'!$B175:$AY175,'recurring2_based on steps'!$B$1:$AY$1,U$1)+SUMIFS('changes2_based on steps'!$B175:$U175,'changes2_based on steps'!$B$1:$U$1,U$1)</f>
        <v>0</v>
      </c>
      <c r="V175" s="155">
        <f>SUMIFS('recurring2_based on steps'!$B175:$AY175,'recurring2_based on steps'!$B$1:$AY$1,V$1)+SUMIFS('changes2_based on steps'!$B175:$U175,'changes2_based on steps'!$B$1:$U$1,V$1)</f>
        <v>0</v>
      </c>
      <c r="W175" s="155">
        <f ca="1">SUMIFS('recurring2_based on steps'!$B175:$AY175,'recurring2_based on steps'!$B$1:$AY$1,W$1)+SUMIFS('changes2_based on steps'!$B175:$U175,'changes2_based on steps'!$B$1:$U$1,W$1)</f>
        <v>0</v>
      </c>
      <c r="X175" s="155">
        <f ca="1">SUMIFS('recurring2_based on steps'!$B175:$AY175,'recurring2_based on steps'!$B$1:$AY$1,X$1)+SUMIFS('changes2_based on steps'!$B175:$U175,'changes2_based on steps'!$B$1:$U$1,X$1)</f>
        <v>0</v>
      </c>
      <c r="Y175" s="155">
        <f ca="1">SUMIFS('recurring2_based on steps'!$B175:$AY175,'recurring2_based on steps'!$B$1:$AY$1,Y$1)+SUMIFS('changes2_based on steps'!$B175:$U175,'changes2_based on steps'!$B$1:$U$1,Y$1)</f>
        <v>0</v>
      </c>
      <c r="Z175" s="155">
        <f>SUMIFS('recurring2_based on steps'!$B175:$AY175,'recurring2_based on steps'!$B$1:$AY$1,Z$1)+SUMIFS('changes2_based on steps'!$B175:$U175,'changes2_based on steps'!$B$1:$U$1,Z$1)</f>
        <v>0</v>
      </c>
      <c r="AA175" s="155">
        <f>SUMIFS('recurring2_based on steps'!$B175:$AY175,'recurring2_based on steps'!$B$1:$AY$1,AA$1)+SUMIFS('changes2_based on steps'!$B175:$U175,'changes2_based on steps'!$B$1:$U$1,AA$1)</f>
        <v>0</v>
      </c>
    </row>
    <row r="176" spans="1:27" x14ac:dyDescent="0.2">
      <c r="A176" s="18">
        <f t="shared" ca="1" si="2"/>
        <v>45862</v>
      </c>
      <c r="B176" s="155">
        <f ca="1">SUMIFS('recurring2_based on steps'!$B176:$AY176,'recurring2_based on steps'!$B$1:$AY$1,B$1)+SUMIFS('changes2_based on steps'!$B176:$U176,'changes2_based on steps'!$B$1:$U$1,B$1)</f>
        <v>0</v>
      </c>
      <c r="C176" s="155">
        <f>SUMIFS('recurring2_based on steps'!$B176:$AY176,'recurring2_based on steps'!$B$1:$AY$1,C$1)+SUMIFS('changes2_based on steps'!$B176:$U176,'changes2_based on steps'!$B$1:$U$1,C$1)</f>
        <v>0</v>
      </c>
      <c r="D176" s="155">
        <f>SUMIFS('recurring2_based on steps'!$B176:$AY176,'recurring2_based on steps'!$B$1:$AY$1,D$1)+SUMIFS('changes2_based on steps'!$B176:$U176,'changes2_based on steps'!$B$1:$U$1,D$1)</f>
        <v>0</v>
      </c>
      <c r="E176" s="155">
        <f>SUMIFS('recurring2_based on steps'!$B176:$AY176,'recurring2_based on steps'!$B$1:$AY$1,E$1)+SUMIFS('changes2_based on steps'!$B176:$U176,'changes2_based on steps'!$B$1:$U$1,E$1)</f>
        <v>0</v>
      </c>
      <c r="F176" s="155">
        <f>SUMIFS('recurring2_based on steps'!$B176:$AY176,'recurring2_based on steps'!$B$1:$AY$1,F$1)+SUMIFS('changes2_based on steps'!$B176:$U176,'changes2_based on steps'!$B$1:$U$1,F$1)</f>
        <v>0</v>
      </c>
      <c r="G176" s="155">
        <f>SUMIFS('recurring2_based on steps'!$B176:$AY176,'recurring2_based on steps'!$B$1:$AY$1,G$1)+SUMIFS('changes2_based on steps'!$B176:$U176,'changes2_based on steps'!$B$1:$U$1,G$1)</f>
        <v>0</v>
      </c>
      <c r="H176" s="155">
        <f ca="1">SUMIFS('recurring2_based on steps'!$B176:$AY176,'recurring2_based on steps'!$B$1:$AY$1,H$1)+SUMIFS('changes2_based on steps'!$B176:$U176,'changes2_based on steps'!$B$1:$U$1,H$1)</f>
        <v>0</v>
      </c>
      <c r="I176" s="155">
        <f>SUMIFS('recurring2_based on steps'!$B176:$AY176,'recurring2_based on steps'!$B$1:$AY$1,I$1)+SUMIFS('changes2_based on steps'!$B176:$U176,'changes2_based on steps'!$B$1:$U$1,I$1)</f>
        <v>0</v>
      </c>
      <c r="J176" s="155">
        <f>SUMIFS('recurring2_based on steps'!$B176:$AY176,'recurring2_based on steps'!$B$1:$AY$1,J$1)+SUMIFS('changes2_based on steps'!$B176:$U176,'changes2_based on steps'!$B$1:$U$1,J$1)</f>
        <v>0</v>
      </c>
      <c r="K176" s="155">
        <f>SUMIFS('recurring2_based on steps'!$B176:$AY176,'recurring2_based on steps'!$B$1:$AY$1,K$1)+SUMIFS('changes2_based on steps'!$B176:$U176,'changes2_based on steps'!$B$1:$U$1,K$1)</f>
        <v>0</v>
      </c>
      <c r="L176" s="155">
        <f>SUMIFS('recurring2_based on steps'!$B176:$AY176,'recurring2_based on steps'!$B$1:$AY$1,L$1)+SUMIFS('changes2_based on steps'!$B176:$U176,'changes2_based on steps'!$B$1:$U$1,L$1)</f>
        <v>0</v>
      </c>
      <c r="M176" s="155">
        <f ca="1">SUMIFS('recurring2_based on steps'!$B176:$AY176,'recurring2_based on steps'!$B$1:$AY$1,M$1)+SUMIFS('changes2_based on steps'!$B176:$U176,'changes2_based on steps'!$B$1:$U$1,M$1)</f>
        <v>0</v>
      </c>
      <c r="N176" s="155">
        <f ca="1">SUMIFS('recurring2_based on steps'!$B176:$AY176,'recurring2_based on steps'!$B$1:$AY$1,N$1)+SUMIFS('changes2_based on steps'!$B176:$U176,'changes2_based on steps'!$B$1:$U$1,N$1)</f>
        <v>0</v>
      </c>
      <c r="O176" s="155">
        <f ca="1">SUMIFS('recurring2_based on steps'!$B176:$AY176,'recurring2_based on steps'!$B$1:$AY$1,O$1)+SUMIFS('changes2_based on steps'!$B176:$U176,'changes2_based on steps'!$B$1:$U$1,O$1)</f>
        <v>0</v>
      </c>
      <c r="P176" s="155">
        <f ca="1">SUMIFS('recurring2_based on steps'!$B176:$AY176,'recurring2_based on steps'!$B$1:$AY$1,P$1)+SUMIFS('changes2_based on steps'!$B176:$U176,'changes2_based on steps'!$B$1:$U$1,P$1)</f>
        <v>0</v>
      </c>
      <c r="Q176" s="155">
        <f>SUMIFS('recurring2_based on steps'!$B176:$AY176,'recurring2_based on steps'!$B$1:$AY$1,Q$1)+SUMIFS('changes2_based on steps'!$B176:$U176,'changes2_based on steps'!$B$1:$U$1,Q$1)</f>
        <v>0</v>
      </c>
      <c r="R176" s="155">
        <f ca="1">SUMIFS('recurring2_based on steps'!$B176:$AY176,'recurring2_based on steps'!$B$1:$AY$1,R$1)+SUMIFS('changes2_based on steps'!$B176:$U176,'changes2_based on steps'!$B$1:$U$1,R$1)</f>
        <v>0</v>
      </c>
      <c r="S176" s="155">
        <f ca="1">SUMIFS('recurring2_based on steps'!$B176:$AY176,'recurring2_based on steps'!$B$1:$AY$1,S$1)+SUMIFS('changes2_based on steps'!$B176:$U176,'changes2_based on steps'!$B$1:$U$1,S$1)</f>
        <v>0</v>
      </c>
      <c r="T176" s="155">
        <f>SUMIFS('recurring2_based on steps'!$B176:$AY176,'recurring2_based on steps'!$B$1:$AY$1,T$1)+SUMIFS('changes2_based on steps'!$B176:$U176,'changes2_based on steps'!$B$1:$U$1,T$1)</f>
        <v>0</v>
      </c>
      <c r="U176" s="155">
        <f ca="1">SUMIFS('recurring2_based on steps'!$B176:$AY176,'recurring2_based on steps'!$B$1:$AY$1,U$1)+SUMIFS('changes2_based on steps'!$B176:$U176,'changes2_based on steps'!$B$1:$U$1,U$1)</f>
        <v>0</v>
      </c>
      <c r="V176" s="155">
        <f>SUMIFS('recurring2_based on steps'!$B176:$AY176,'recurring2_based on steps'!$B$1:$AY$1,V$1)+SUMIFS('changes2_based on steps'!$B176:$U176,'changes2_based on steps'!$B$1:$U$1,V$1)</f>
        <v>0</v>
      </c>
      <c r="W176" s="155">
        <f ca="1">SUMIFS('recurring2_based on steps'!$B176:$AY176,'recurring2_based on steps'!$B$1:$AY$1,W$1)+SUMIFS('changes2_based on steps'!$B176:$U176,'changes2_based on steps'!$B$1:$U$1,W$1)</f>
        <v>0</v>
      </c>
      <c r="X176" s="155">
        <f ca="1">SUMIFS('recurring2_based on steps'!$B176:$AY176,'recurring2_based on steps'!$B$1:$AY$1,X$1)+SUMIFS('changes2_based on steps'!$B176:$U176,'changes2_based on steps'!$B$1:$U$1,X$1)</f>
        <v>0</v>
      </c>
      <c r="Y176" s="155">
        <f ca="1">SUMIFS('recurring2_based on steps'!$B176:$AY176,'recurring2_based on steps'!$B$1:$AY$1,Y$1)+SUMIFS('changes2_based on steps'!$B176:$U176,'changes2_based on steps'!$B$1:$U$1,Y$1)</f>
        <v>0</v>
      </c>
      <c r="Z176" s="155">
        <f>SUMIFS('recurring2_based on steps'!$B176:$AY176,'recurring2_based on steps'!$B$1:$AY$1,Z$1)+SUMIFS('changes2_based on steps'!$B176:$U176,'changes2_based on steps'!$B$1:$U$1,Z$1)</f>
        <v>0</v>
      </c>
      <c r="AA176" s="155">
        <f>SUMIFS('recurring2_based on steps'!$B176:$AY176,'recurring2_based on steps'!$B$1:$AY$1,AA$1)+SUMIFS('changes2_based on steps'!$B176:$U176,'changes2_based on steps'!$B$1:$U$1,AA$1)</f>
        <v>0</v>
      </c>
    </row>
    <row r="177" spans="1:27" x14ac:dyDescent="0.2">
      <c r="A177" s="18">
        <f t="shared" ca="1" si="2"/>
        <v>45863</v>
      </c>
      <c r="B177" s="155">
        <f ca="1">SUMIFS('recurring2_based on steps'!$B177:$AY177,'recurring2_based on steps'!$B$1:$AY$1,B$1)+SUMIFS('changes2_based on steps'!$B177:$U177,'changes2_based on steps'!$B$1:$U$1,B$1)</f>
        <v>4000</v>
      </c>
      <c r="C177" s="155">
        <f>SUMIFS('recurring2_based on steps'!$B177:$AY177,'recurring2_based on steps'!$B$1:$AY$1,C$1)+SUMIFS('changes2_based on steps'!$B177:$U177,'changes2_based on steps'!$B$1:$U$1,C$1)</f>
        <v>0</v>
      </c>
      <c r="D177" s="155">
        <f>SUMIFS('recurring2_based on steps'!$B177:$AY177,'recurring2_based on steps'!$B$1:$AY$1,D$1)+SUMIFS('changes2_based on steps'!$B177:$U177,'changes2_based on steps'!$B$1:$U$1,D$1)</f>
        <v>0</v>
      </c>
      <c r="E177" s="155">
        <f>SUMIFS('recurring2_based on steps'!$B177:$AY177,'recurring2_based on steps'!$B$1:$AY$1,E$1)+SUMIFS('changes2_based on steps'!$B177:$U177,'changes2_based on steps'!$B$1:$U$1,E$1)</f>
        <v>0</v>
      </c>
      <c r="F177" s="155">
        <f>SUMIFS('recurring2_based on steps'!$B177:$AY177,'recurring2_based on steps'!$B$1:$AY$1,F$1)+SUMIFS('changes2_based on steps'!$B177:$U177,'changes2_based on steps'!$B$1:$U$1,F$1)</f>
        <v>0</v>
      </c>
      <c r="G177" s="155">
        <f>SUMIFS('recurring2_based on steps'!$B177:$AY177,'recurring2_based on steps'!$B$1:$AY$1,G$1)+SUMIFS('changes2_based on steps'!$B177:$U177,'changes2_based on steps'!$B$1:$U$1,G$1)</f>
        <v>0</v>
      </c>
      <c r="H177" s="155">
        <f ca="1">SUMIFS('recurring2_based on steps'!$B177:$AY177,'recurring2_based on steps'!$B$1:$AY$1,H$1)+SUMIFS('changes2_based on steps'!$B177:$U177,'changes2_based on steps'!$B$1:$U$1,H$1)</f>
        <v>96</v>
      </c>
      <c r="I177" s="155">
        <f>SUMIFS('recurring2_based on steps'!$B177:$AY177,'recurring2_based on steps'!$B$1:$AY$1,I$1)+SUMIFS('changes2_based on steps'!$B177:$U177,'changes2_based on steps'!$B$1:$U$1,I$1)</f>
        <v>0</v>
      </c>
      <c r="J177" s="155">
        <f>SUMIFS('recurring2_based on steps'!$B177:$AY177,'recurring2_based on steps'!$B$1:$AY$1,J$1)+SUMIFS('changes2_based on steps'!$B177:$U177,'changes2_based on steps'!$B$1:$U$1,J$1)</f>
        <v>0</v>
      </c>
      <c r="K177" s="155">
        <f>SUMIFS('recurring2_based on steps'!$B177:$AY177,'recurring2_based on steps'!$B$1:$AY$1,K$1)+SUMIFS('changes2_based on steps'!$B177:$U177,'changes2_based on steps'!$B$1:$U$1,K$1)</f>
        <v>0</v>
      </c>
      <c r="L177" s="155">
        <f>SUMIFS('recurring2_based on steps'!$B177:$AY177,'recurring2_based on steps'!$B$1:$AY$1,L$1)+SUMIFS('changes2_based on steps'!$B177:$U177,'changes2_based on steps'!$B$1:$U$1,L$1)</f>
        <v>0</v>
      </c>
      <c r="M177" s="155">
        <f ca="1">SUMIFS('recurring2_based on steps'!$B177:$AY177,'recurring2_based on steps'!$B$1:$AY$1,M$1)+SUMIFS('changes2_based on steps'!$B177:$U177,'changes2_based on steps'!$B$1:$U$1,M$1)</f>
        <v>0</v>
      </c>
      <c r="N177" s="155">
        <f ca="1">SUMIFS('recurring2_based on steps'!$B177:$AY177,'recurring2_based on steps'!$B$1:$AY$1,N$1)+SUMIFS('changes2_based on steps'!$B177:$U177,'changes2_based on steps'!$B$1:$U$1,N$1)</f>
        <v>0</v>
      </c>
      <c r="O177" s="155">
        <f ca="1">SUMIFS('recurring2_based on steps'!$B177:$AY177,'recurring2_based on steps'!$B$1:$AY$1,O$1)+SUMIFS('changes2_based on steps'!$B177:$U177,'changes2_based on steps'!$B$1:$U$1,O$1)</f>
        <v>0</v>
      </c>
      <c r="P177" s="155">
        <f ca="1">SUMIFS('recurring2_based on steps'!$B177:$AY177,'recurring2_based on steps'!$B$1:$AY$1,P$1)+SUMIFS('changes2_based on steps'!$B177:$U177,'changes2_based on steps'!$B$1:$U$1,P$1)</f>
        <v>0</v>
      </c>
      <c r="Q177" s="155">
        <f>SUMIFS('recurring2_based on steps'!$B177:$AY177,'recurring2_based on steps'!$B$1:$AY$1,Q$1)+SUMIFS('changes2_based on steps'!$B177:$U177,'changes2_based on steps'!$B$1:$U$1,Q$1)</f>
        <v>0</v>
      </c>
      <c r="R177" s="155">
        <f ca="1">SUMIFS('recurring2_based on steps'!$B177:$AY177,'recurring2_based on steps'!$B$1:$AY$1,R$1)+SUMIFS('changes2_based on steps'!$B177:$U177,'changes2_based on steps'!$B$1:$U$1,R$1)</f>
        <v>0</v>
      </c>
      <c r="S177" s="155">
        <f ca="1">SUMIFS('recurring2_based on steps'!$B177:$AY177,'recurring2_based on steps'!$B$1:$AY$1,S$1)+SUMIFS('changes2_based on steps'!$B177:$U177,'changes2_based on steps'!$B$1:$U$1,S$1)</f>
        <v>0</v>
      </c>
      <c r="T177" s="155">
        <f>SUMIFS('recurring2_based on steps'!$B177:$AY177,'recurring2_based on steps'!$B$1:$AY$1,T$1)+SUMIFS('changes2_based on steps'!$B177:$U177,'changes2_based on steps'!$B$1:$U$1,T$1)</f>
        <v>0</v>
      </c>
      <c r="U177" s="155">
        <f ca="1">SUMIFS('recurring2_based on steps'!$B177:$AY177,'recurring2_based on steps'!$B$1:$AY$1,U$1)+SUMIFS('changes2_based on steps'!$B177:$U177,'changes2_based on steps'!$B$1:$U$1,U$1)</f>
        <v>0</v>
      </c>
      <c r="V177" s="155">
        <f>SUMIFS('recurring2_based on steps'!$B177:$AY177,'recurring2_based on steps'!$B$1:$AY$1,V$1)+SUMIFS('changes2_based on steps'!$B177:$U177,'changes2_based on steps'!$B$1:$U$1,V$1)</f>
        <v>0</v>
      </c>
      <c r="W177" s="155">
        <f ca="1">SUMIFS('recurring2_based on steps'!$B177:$AY177,'recurring2_based on steps'!$B$1:$AY$1,W$1)+SUMIFS('changes2_based on steps'!$B177:$U177,'changes2_based on steps'!$B$1:$U$1,W$1)</f>
        <v>50</v>
      </c>
      <c r="X177" s="155">
        <f ca="1">SUMIFS('recurring2_based on steps'!$B177:$AY177,'recurring2_based on steps'!$B$1:$AY$1,X$1)+SUMIFS('changes2_based on steps'!$B177:$U177,'changes2_based on steps'!$B$1:$U$1,X$1)</f>
        <v>200</v>
      </c>
      <c r="Y177" s="155">
        <f ca="1">SUMIFS('recurring2_based on steps'!$B177:$AY177,'recurring2_based on steps'!$B$1:$AY$1,Y$1)+SUMIFS('changes2_based on steps'!$B177:$U177,'changes2_based on steps'!$B$1:$U$1,Y$1)</f>
        <v>0</v>
      </c>
      <c r="Z177" s="155">
        <f>SUMIFS('recurring2_based on steps'!$B177:$AY177,'recurring2_based on steps'!$B$1:$AY$1,Z$1)+SUMIFS('changes2_based on steps'!$B177:$U177,'changes2_based on steps'!$B$1:$U$1,Z$1)</f>
        <v>0</v>
      </c>
      <c r="AA177" s="155">
        <f>SUMIFS('recurring2_based on steps'!$B177:$AY177,'recurring2_based on steps'!$B$1:$AY$1,AA$1)+SUMIFS('changes2_based on steps'!$B177:$U177,'changes2_based on steps'!$B$1:$U$1,AA$1)</f>
        <v>0</v>
      </c>
    </row>
    <row r="178" spans="1:27" x14ac:dyDescent="0.2">
      <c r="A178" s="18">
        <f t="shared" ca="1" si="2"/>
        <v>45864</v>
      </c>
      <c r="B178" s="155">
        <f ca="1">SUMIFS('recurring2_based on steps'!$B178:$AY178,'recurring2_based on steps'!$B$1:$AY$1,B$1)+SUMIFS('changes2_based on steps'!$B178:$U178,'changes2_based on steps'!$B$1:$U$1,B$1)</f>
        <v>0</v>
      </c>
      <c r="C178" s="155">
        <f>SUMIFS('recurring2_based on steps'!$B178:$AY178,'recurring2_based on steps'!$B$1:$AY$1,C$1)+SUMIFS('changes2_based on steps'!$B178:$U178,'changes2_based on steps'!$B$1:$U$1,C$1)</f>
        <v>0</v>
      </c>
      <c r="D178" s="155">
        <f>SUMIFS('recurring2_based on steps'!$B178:$AY178,'recurring2_based on steps'!$B$1:$AY$1,D$1)+SUMIFS('changes2_based on steps'!$B178:$U178,'changes2_based on steps'!$B$1:$U$1,D$1)</f>
        <v>0</v>
      </c>
      <c r="E178" s="155">
        <f>SUMIFS('recurring2_based on steps'!$B178:$AY178,'recurring2_based on steps'!$B$1:$AY$1,E$1)+SUMIFS('changes2_based on steps'!$B178:$U178,'changes2_based on steps'!$B$1:$U$1,E$1)</f>
        <v>0</v>
      </c>
      <c r="F178" s="155">
        <f>SUMIFS('recurring2_based on steps'!$B178:$AY178,'recurring2_based on steps'!$B$1:$AY$1,F$1)+SUMIFS('changes2_based on steps'!$B178:$U178,'changes2_based on steps'!$B$1:$U$1,F$1)</f>
        <v>0</v>
      </c>
      <c r="G178" s="155">
        <f>SUMIFS('recurring2_based on steps'!$B178:$AY178,'recurring2_based on steps'!$B$1:$AY$1,G$1)+SUMIFS('changes2_based on steps'!$B178:$U178,'changes2_based on steps'!$B$1:$U$1,G$1)</f>
        <v>0</v>
      </c>
      <c r="H178" s="155">
        <f ca="1">SUMIFS('recurring2_based on steps'!$B178:$AY178,'recurring2_based on steps'!$B$1:$AY$1,H$1)+SUMIFS('changes2_based on steps'!$B178:$U178,'changes2_based on steps'!$B$1:$U$1,H$1)</f>
        <v>0</v>
      </c>
      <c r="I178" s="155">
        <f>SUMIFS('recurring2_based on steps'!$B178:$AY178,'recurring2_based on steps'!$B$1:$AY$1,I$1)+SUMIFS('changes2_based on steps'!$B178:$U178,'changes2_based on steps'!$B$1:$U$1,I$1)</f>
        <v>0</v>
      </c>
      <c r="J178" s="155">
        <f>SUMIFS('recurring2_based on steps'!$B178:$AY178,'recurring2_based on steps'!$B$1:$AY$1,J$1)+SUMIFS('changes2_based on steps'!$B178:$U178,'changes2_based on steps'!$B$1:$U$1,J$1)</f>
        <v>0</v>
      </c>
      <c r="K178" s="155">
        <f>SUMIFS('recurring2_based on steps'!$B178:$AY178,'recurring2_based on steps'!$B$1:$AY$1,K$1)+SUMIFS('changes2_based on steps'!$B178:$U178,'changes2_based on steps'!$B$1:$U$1,K$1)</f>
        <v>0</v>
      </c>
      <c r="L178" s="155">
        <f>SUMIFS('recurring2_based on steps'!$B178:$AY178,'recurring2_based on steps'!$B$1:$AY$1,L$1)+SUMIFS('changes2_based on steps'!$B178:$U178,'changes2_based on steps'!$B$1:$U$1,L$1)</f>
        <v>0</v>
      </c>
      <c r="M178" s="155">
        <f ca="1">SUMIFS('recurring2_based on steps'!$B178:$AY178,'recurring2_based on steps'!$B$1:$AY$1,M$1)+SUMIFS('changes2_based on steps'!$B178:$U178,'changes2_based on steps'!$B$1:$U$1,M$1)</f>
        <v>0</v>
      </c>
      <c r="N178" s="155">
        <f ca="1">SUMIFS('recurring2_based on steps'!$B178:$AY178,'recurring2_based on steps'!$B$1:$AY$1,N$1)+SUMIFS('changes2_based on steps'!$B178:$U178,'changes2_based on steps'!$B$1:$U$1,N$1)</f>
        <v>0</v>
      </c>
      <c r="O178" s="155">
        <f ca="1">SUMIFS('recurring2_based on steps'!$B178:$AY178,'recurring2_based on steps'!$B$1:$AY$1,O$1)+SUMIFS('changes2_based on steps'!$B178:$U178,'changes2_based on steps'!$B$1:$U$1,O$1)</f>
        <v>0</v>
      </c>
      <c r="P178" s="155">
        <f ca="1">SUMIFS('recurring2_based on steps'!$B178:$AY178,'recurring2_based on steps'!$B$1:$AY$1,P$1)+SUMIFS('changes2_based on steps'!$B178:$U178,'changes2_based on steps'!$B$1:$U$1,P$1)</f>
        <v>0</v>
      </c>
      <c r="Q178" s="155">
        <f>SUMIFS('recurring2_based on steps'!$B178:$AY178,'recurring2_based on steps'!$B$1:$AY$1,Q$1)+SUMIFS('changes2_based on steps'!$B178:$U178,'changes2_based on steps'!$B$1:$U$1,Q$1)</f>
        <v>0</v>
      </c>
      <c r="R178" s="155">
        <f ca="1">SUMIFS('recurring2_based on steps'!$B178:$AY178,'recurring2_based on steps'!$B$1:$AY$1,R$1)+SUMIFS('changes2_based on steps'!$B178:$U178,'changes2_based on steps'!$B$1:$U$1,R$1)</f>
        <v>100</v>
      </c>
      <c r="S178" s="155">
        <f ca="1">SUMIFS('recurring2_based on steps'!$B178:$AY178,'recurring2_based on steps'!$B$1:$AY$1,S$1)+SUMIFS('changes2_based on steps'!$B178:$U178,'changes2_based on steps'!$B$1:$U$1,S$1)</f>
        <v>100</v>
      </c>
      <c r="T178" s="155">
        <f>SUMIFS('recurring2_based on steps'!$B178:$AY178,'recurring2_based on steps'!$B$1:$AY$1,T$1)+SUMIFS('changes2_based on steps'!$B178:$U178,'changes2_based on steps'!$B$1:$U$1,T$1)</f>
        <v>0</v>
      </c>
      <c r="U178" s="155">
        <f ca="1">SUMIFS('recurring2_based on steps'!$B178:$AY178,'recurring2_based on steps'!$B$1:$AY$1,U$1)+SUMIFS('changes2_based on steps'!$B178:$U178,'changes2_based on steps'!$B$1:$U$1,U$1)</f>
        <v>0</v>
      </c>
      <c r="V178" s="155">
        <f>SUMIFS('recurring2_based on steps'!$B178:$AY178,'recurring2_based on steps'!$B$1:$AY$1,V$1)+SUMIFS('changes2_based on steps'!$B178:$U178,'changes2_based on steps'!$B$1:$U$1,V$1)</f>
        <v>0</v>
      </c>
      <c r="W178" s="155">
        <f ca="1">SUMIFS('recurring2_based on steps'!$B178:$AY178,'recurring2_based on steps'!$B$1:$AY$1,W$1)+SUMIFS('changes2_based on steps'!$B178:$U178,'changes2_based on steps'!$B$1:$U$1,W$1)</f>
        <v>0</v>
      </c>
      <c r="X178" s="155">
        <f ca="1">SUMIFS('recurring2_based on steps'!$B178:$AY178,'recurring2_based on steps'!$B$1:$AY$1,X$1)+SUMIFS('changes2_based on steps'!$B178:$U178,'changes2_based on steps'!$B$1:$U$1,X$1)</f>
        <v>0</v>
      </c>
      <c r="Y178" s="155">
        <f ca="1">SUMIFS('recurring2_based on steps'!$B178:$AY178,'recurring2_based on steps'!$B$1:$AY$1,Y$1)+SUMIFS('changes2_based on steps'!$B178:$U178,'changes2_based on steps'!$B$1:$U$1,Y$1)</f>
        <v>0</v>
      </c>
      <c r="Z178" s="155">
        <f>SUMIFS('recurring2_based on steps'!$B178:$AY178,'recurring2_based on steps'!$B$1:$AY$1,Z$1)+SUMIFS('changes2_based on steps'!$B178:$U178,'changes2_based on steps'!$B$1:$U$1,Z$1)</f>
        <v>0</v>
      </c>
      <c r="AA178" s="155">
        <f>SUMIFS('recurring2_based on steps'!$B178:$AY178,'recurring2_based on steps'!$B$1:$AY$1,AA$1)+SUMIFS('changes2_based on steps'!$B178:$U178,'changes2_based on steps'!$B$1:$U$1,AA$1)</f>
        <v>0</v>
      </c>
    </row>
    <row r="179" spans="1:27" x14ac:dyDescent="0.2">
      <c r="A179" s="18">
        <f t="shared" ca="1" si="2"/>
        <v>45865</v>
      </c>
      <c r="B179" s="155">
        <f ca="1">SUMIFS('recurring2_based on steps'!$B179:$AY179,'recurring2_based on steps'!$B$1:$AY$1,B$1)+SUMIFS('changes2_based on steps'!$B179:$U179,'changes2_based on steps'!$B$1:$U$1,B$1)</f>
        <v>0</v>
      </c>
      <c r="C179" s="155">
        <f>SUMIFS('recurring2_based on steps'!$B179:$AY179,'recurring2_based on steps'!$B$1:$AY$1,C$1)+SUMIFS('changes2_based on steps'!$B179:$U179,'changes2_based on steps'!$B$1:$U$1,C$1)</f>
        <v>0</v>
      </c>
      <c r="D179" s="155">
        <f>SUMIFS('recurring2_based on steps'!$B179:$AY179,'recurring2_based on steps'!$B$1:$AY$1,D$1)+SUMIFS('changes2_based on steps'!$B179:$U179,'changes2_based on steps'!$B$1:$U$1,D$1)</f>
        <v>0</v>
      </c>
      <c r="E179" s="155">
        <f>SUMIFS('recurring2_based on steps'!$B179:$AY179,'recurring2_based on steps'!$B$1:$AY$1,E$1)+SUMIFS('changes2_based on steps'!$B179:$U179,'changes2_based on steps'!$B$1:$U$1,E$1)</f>
        <v>0</v>
      </c>
      <c r="F179" s="155">
        <f>SUMIFS('recurring2_based on steps'!$B179:$AY179,'recurring2_based on steps'!$B$1:$AY$1,F$1)+SUMIFS('changes2_based on steps'!$B179:$U179,'changes2_based on steps'!$B$1:$U$1,F$1)</f>
        <v>0</v>
      </c>
      <c r="G179" s="155">
        <f>SUMIFS('recurring2_based on steps'!$B179:$AY179,'recurring2_based on steps'!$B$1:$AY$1,G$1)+SUMIFS('changes2_based on steps'!$B179:$U179,'changes2_based on steps'!$B$1:$U$1,G$1)</f>
        <v>0</v>
      </c>
      <c r="H179" s="155">
        <f ca="1">SUMIFS('recurring2_based on steps'!$B179:$AY179,'recurring2_based on steps'!$B$1:$AY$1,H$1)+SUMIFS('changes2_based on steps'!$B179:$U179,'changes2_based on steps'!$B$1:$U$1,H$1)</f>
        <v>0</v>
      </c>
      <c r="I179" s="155">
        <f>SUMIFS('recurring2_based on steps'!$B179:$AY179,'recurring2_based on steps'!$B$1:$AY$1,I$1)+SUMIFS('changes2_based on steps'!$B179:$U179,'changes2_based on steps'!$B$1:$U$1,I$1)</f>
        <v>0</v>
      </c>
      <c r="J179" s="155">
        <f>SUMIFS('recurring2_based on steps'!$B179:$AY179,'recurring2_based on steps'!$B$1:$AY$1,J$1)+SUMIFS('changes2_based on steps'!$B179:$U179,'changes2_based on steps'!$B$1:$U$1,J$1)</f>
        <v>0</v>
      </c>
      <c r="K179" s="155">
        <f>SUMIFS('recurring2_based on steps'!$B179:$AY179,'recurring2_based on steps'!$B$1:$AY$1,K$1)+SUMIFS('changes2_based on steps'!$B179:$U179,'changes2_based on steps'!$B$1:$U$1,K$1)</f>
        <v>0</v>
      </c>
      <c r="L179" s="155">
        <f>SUMIFS('recurring2_based on steps'!$B179:$AY179,'recurring2_based on steps'!$B$1:$AY$1,L$1)+SUMIFS('changes2_based on steps'!$B179:$U179,'changes2_based on steps'!$B$1:$U$1,L$1)</f>
        <v>0</v>
      </c>
      <c r="M179" s="155">
        <f ca="1">SUMIFS('recurring2_based on steps'!$B179:$AY179,'recurring2_based on steps'!$B$1:$AY$1,M$1)+SUMIFS('changes2_based on steps'!$B179:$U179,'changes2_based on steps'!$B$1:$U$1,M$1)</f>
        <v>0</v>
      </c>
      <c r="N179" s="155">
        <f ca="1">SUMIFS('recurring2_based on steps'!$B179:$AY179,'recurring2_based on steps'!$B$1:$AY$1,N$1)+SUMIFS('changes2_based on steps'!$B179:$U179,'changes2_based on steps'!$B$1:$U$1,N$1)</f>
        <v>50</v>
      </c>
      <c r="O179" s="155">
        <f ca="1">SUMIFS('recurring2_based on steps'!$B179:$AY179,'recurring2_based on steps'!$B$1:$AY$1,O$1)+SUMIFS('changes2_based on steps'!$B179:$U179,'changes2_based on steps'!$B$1:$U$1,O$1)</f>
        <v>0</v>
      </c>
      <c r="P179" s="155">
        <f ca="1">SUMIFS('recurring2_based on steps'!$B179:$AY179,'recurring2_based on steps'!$B$1:$AY$1,P$1)+SUMIFS('changes2_based on steps'!$B179:$U179,'changes2_based on steps'!$B$1:$U$1,P$1)</f>
        <v>0</v>
      </c>
      <c r="Q179" s="155">
        <f>SUMIFS('recurring2_based on steps'!$B179:$AY179,'recurring2_based on steps'!$B$1:$AY$1,Q$1)+SUMIFS('changes2_based on steps'!$B179:$U179,'changes2_based on steps'!$B$1:$U$1,Q$1)</f>
        <v>0</v>
      </c>
      <c r="R179" s="155">
        <f ca="1">SUMIFS('recurring2_based on steps'!$B179:$AY179,'recurring2_based on steps'!$B$1:$AY$1,R$1)+SUMIFS('changes2_based on steps'!$B179:$U179,'changes2_based on steps'!$B$1:$U$1,R$1)</f>
        <v>0</v>
      </c>
      <c r="S179" s="155">
        <f ca="1">SUMIFS('recurring2_based on steps'!$B179:$AY179,'recurring2_based on steps'!$B$1:$AY$1,S$1)+SUMIFS('changes2_based on steps'!$B179:$U179,'changes2_based on steps'!$B$1:$U$1,S$1)</f>
        <v>100</v>
      </c>
      <c r="T179" s="155">
        <f>SUMIFS('recurring2_based on steps'!$B179:$AY179,'recurring2_based on steps'!$B$1:$AY$1,T$1)+SUMIFS('changes2_based on steps'!$B179:$U179,'changes2_based on steps'!$B$1:$U$1,T$1)</f>
        <v>0</v>
      </c>
      <c r="U179" s="155">
        <f ca="1">SUMIFS('recurring2_based on steps'!$B179:$AY179,'recurring2_based on steps'!$B$1:$AY$1,U$1)+SUMIFS('changes2_based on steps'!$B179:$U179,'changes2_based on steps'!$B$1:$U$1,U$1)</f>
        <v>2.99</v>
      </c>
      <c r="V179" s="155">
        <f>SUMIFS('recurring2_based on steps'!$B179:$AY179,'recurring2_based on steps'!$B$1:$AY$1,V$1)+SUMIFS('changes2_based on steps'!$B179:$U179,'changes2_based on steps'!$B$1:$U$1,V$1)</f>
        <v>0</v>
      </c>
      <c r="W179" s="155">
        <f ca="1">SUMIFS('recurring2_based on steps'!$B179:$AY179,'recurring2_based on steps'!$B$1:$AY$1,W$1)+SUMIFS('changes2_based on steps'!$B179:$U179,'changes2_based on steps'!$B$1:$U$1,W$1)</f>
        <v>0</v>
      </c>
      <c r="X179" s="155">
        <f ca="1">SUMIFS('recurring2_based on steps'!$B179:$AY179,'recurring2_based on steps'!$B$1:$AY$1,X$1)+SUMIFS('changes2_based on steps'!$B179:$U179,'changes2_based on steps'!$B$1:$U$1,X$1)</f>
        <v>0</v>
      </c>
      <c r="Y179" s="155">
        <f ca="1">SUMIFS('recurring2_based on steps'!$B179:$AY179,'recurring2_based on steps'!$B$1:$AY$1,Y$1)+SUMIFS('changes2_based on steps'!$B179:$U179,'changes2_based on steps'!$B$1:$U$1,Y$1)</f>
        <v>0</v>
      </c>
      <c r="Z179" s="155">
        <f>SUMIFS('recurring2_based on steps'!$B179:$AY179,'recurring2_based on steps'!$B$1:$AY$1,Z$1)+SUMIFS('changes2_based on steps'!$B179:$U179,'changes2_based on steps'!$B$1:$U$1,Z$1)</f>
        <v>0</v>
      </c>
      <c r="AA179" s="155">
        <f>SUMIFS('recurring2_based on steps'!$B179:$AY179,'recurring2_based on steps'!$B$1:$AY$1,AA$1)+SUMIFS('changes2_based on steps'!$B179:$U179,'changes2_based on steps'!$B$1:$U$1,AA$1)</f>
        <v>0</v>
      </c>
    </row>
    <row r="180" spans="1:27" x14ac:dyDescent="0.2">
      <c r="A180" s="18">
        <f t="shared" ca="1" si="2"/>
        <v>45866</v>
      </c>
      <c r="B180" s="155">
        <f ca="1">SUMIFS('recurring2_based on steps'!$B180:$AY180,'recurring2_based on steps'!$B$1:$AY$1,B$1)+SUMIFS('changes2_based on steps'!$B180:$U180,'changes2_based on steps'!$B$1:$U$1,B$1)</f>
        <v>0</v>
      </c>
      <c r="C180" s="155">
        <f>SUMIFS('recurring2_based on steps'!$B180:$AY180,'recurring2_based on steps'!$B$1:$AY$1,C$1)+SUMIFS('changes2_based on steps'!$B180:$U180,'changes2_based on steps'!$B$1:$U$1,C$1)</f>
        <v>0</v>
      </c>
      <c r="D180" s="155">
        <f>SUMIFS('recurring2_based on steps'!$B180:$AY180,'recurring2_based on steps'!$B$1:$AY$1,D$1)+SUMIFS('changes2_based on steps'!$B180:$U180,'changes2_based on steps'!$B$1:$U$1,D$1)</f>
        <v>0</v>
      </c>
      <c r="E180" s="155">
        <f>SUMIFS('recurring2_based on steps'!$B180:$AY180,'recurring2_based on steps'!$B$1:$AY$1,E$1)+SUMIFS('changes2_based on steps'!$B180:$U180,'changes2_based on steps'!$B$1:$U$1,E$1)</f>
        <v>0</v>
      </c>
      <c r="F180" s="155">
        <f>SUMIFS('recurring2_based on steps'!$B180:$AY180,'recurring2_based on steps'!$B$1:$AY$1,F$1)+SUMIFS('changes2_based on steps'!$B180:$U180,'changes2_based on steps'!$B$1:$U$1,F$1)</f>
        <v>0</v>
      </c>
      <c r="G180" s="155">
        <f>SUMIFS('recurring2_based on steps'!$B180:$AY180,'recurring2_based on steps'!$B$1:$AY$1,G$1)+SUMIFS('changes2_based on steps'!$B180:$U180,'changes2_based on steps'!$B$1:$U$1,G$1)</f>
        <v>0</v>
      </c>
      <c r="H180" s="155">
        <f ca="1">SUMIFS('recurring2_based on steps'!$B180:$AY180,'recurring2_based on steps'!$B$1:$AY$1,H$1)+SUMIFS('changes2_based on steps'!$B180:$U180,'changes2_based on steps'!$B$1:$U$1,H$1)</f>
        <v>0</v>
      </c>
      <c r="I180" s="155">
        <f>SUMIFS('recurring2_based on steps'!$B180:$AY180,'recurring2_based on steps'!$B$1:$AY$1,I$1)+SUMIFS('changes2_based on steps'!$B180:$U180,'changes2_based on steps'!$B$1:$U$1,I$1)</f>
        <v>0</v>
      </c>
      <c r="J180" s="155">
        <f>SUMIFS('recurring2_based on steps'!$B180:$AY180,'recurring2_based on steps'!$B$1:$AY$1,J$1)+SUMIFS('changes2_based on steps'!$B180:$U180,'changes2_based on steps'!$B$1:$U$1,J$1)</f>
        <v>0</v>
      </c>
      <c r="K180" s="155">
        <f>SUMIFS('recurring2_based on steps'!$B180:$AY180,'recurring2_based on steps'!$B$1:$AY$1,K$1)+SUMIFS('changes2_based on steps'!$B180:$U180,'changes2_based on steps'!$B$1:$U$1,K$1)</f>
        <v>0</v>
      </c>
      <c r="L180" s="155">
        <f>SUMIFS('recurring2_based on steps'!$B180:$AY180,'recurring2_based on steps'!$B$1:$AY$1,L$1)+SUMIFS('changes2_based on steps'!$B180:$U180,'changes2_based on steps'!$B$1:$U$1,L$1)</f>
        <v>0</v>
      </c>
      <c r="M180" s="155">
        <f ca="1">SUMIFS('recurring2_based on steps'!$B180:$AY180,'recurring2_based on steps'!$B$1:$AY$1,M$1)+SUMIFS('changes2_based on steps'!$B180:$U180,'changes2_based on steps'!$B$1:$U$1,M$1)</f>
        <v>40</v>
      </c>
      <c r="N180" s="155">
        <f ca="1">SUMIFS('recurring2_based on steps'!$B180:$AY180,'recurring2_based on steps'!$B$1:$AY$1,N$1)+SUMIFS('changes2_based on steps'!$B180:$U180,'changes2_based on steps'!$B$1:$U$1,N$1)</f>
        <v>0</v>
      </c>
      <c r="O180" s="155">
        <f ca="1">SUMIFS('recurring2_based on steps'!$B180:$AY180,'recurring2_based on steps'!$B$1:$AY$1,O$1)+SUMIFS('changes2_based on steps'!$B180:$U180,'changes2_based on steps'!$B$1:$U$1,O$1)</f>
        <v>0</v>
      </c>
      <c r="P180" s="155">
        <f ca="1">SUMIFS('recurring2_based on steps'!$B180:$AY180,'recurring2_based on steps'!$B$1:$AY$1,P$1)+SUMIFS('changes2_based on steps'!$B180:$U180,'changes2_based on steps'!$B$1:$U$1,P$1)</f>
        <v>0</v>
      </c>
      <c r="Q180" s="155">
        <f>SUMIFS('recurring2_based on steps'!$B180:$AY180,'recurring2_based on steps'!$B$1:$AY$1,Q$1)+SUMIFS('changes2_based on steps'!$B180:$U180,'changes2_based on steps'!$B$1:$U$1,Q$1)</f>
        <v>0</v>
      </c>
      <c r="R180" s="155">
        <f ca="1">SUMIFS('recurring2_based on steps'!$B180:$AY180,'recurring2_based on steps'!$B$1:$AY$1,R$1)+SUMIFS('changes2_based on steps'!$B180:$U180,'changes2_based on steps'!$B$1:$U$1,R$1)</f>
        <v>0</v>
      </c>
      <c r="S180" s="155">
        <f ca="1">SUMIFS('recurring2_based on steps'!$B180:$AY180,'recurring2_based on steps'!$B$1:$AY$1,S$1)+SUMIFS('changes2_based on steps'!$B180:$U180,'changes2_based on steps'!$B$1:$U$1,S$1)</f>
        <v>0</v>
      </c>
      <c r="T180" s="155">
        <f>SUMIFS('recurring2_based on steps'!$B180:$AY180,'recurring2_based on steps'!$B$1:$AY$1,T$1)+SUMIFS('changes2_based on steps'!$B180:$U180,'changes2_based on steps'!$B$1:$U$1,T$1)</f>
        <v>0</v>
      </c>
      <c r="U180" s="155">
        <f ca="1">SUMIFS('recurring2_based on steps'!$B180:$AY180,'recurring2_based on steps'!$B$1:$AY$1,U$1)+SUMIFS('changes2_based on steps'!$B180:$U180,'changes2_based on steps'!$B$1:$U$1,U$1)</f>
        <v>0</v>
      </c>
      <c r="V180" s="155">
        <f>SUMIFS('recurring2_based on steps'!$B180:$AY180,'recurring2_based on steps'!$B$1:$AY$1,V$1)+SUMIFS('changes2_based on steps'!$B180:$U180,'changes2_based on steps'!$B$1:$U$1,V$1)</f>
        <v>0</v>
      </c>
      <c r="W180" s="155">
        <f ca="1">SUMIFS('recurring2_based on steps'!$B180:$AY180,'recurring2_based on steps'!$B$1:$AY$1,W$1)+SUMIFS('changes2_based on steps'!$B180:$U180,'changes2_based on steps'!$B$1:$U$1,W$1)</f>
        <v>0</v>
      </c>
      <c r="X180" s="155">
        <f ca="1">SUMIFS('recurring2_based on steps'!$B180:$AY180,'recurring2_based on steps'!$B$1:$AY$1,X$1)+SUMIFS('changes2_based on steps'!$B180:$U180,'changes2_based on steps'!$B$1:$U$1,X$1)</f>
        <v>0</v>
      </c>
      <c r="Y180" s="155">
        <f ca="1">SUMIFS('recurring2_based on steps'!$B180:$AY180,'recurring2_based on steps'!$B$1:$AY$1,Y$1)+SUMIFS('changes2_based on steps'!$B180:$U180,'changes2_based on steps'!$B$1:$U$1,Y$1)</f>
        <v>100</v>
      </c>
      <c r="Z180" s="155">
        <f>SUMIFS('recurring2_based on steps'!$B180:$AY180,'recurring2_based on steps'!$B$1:$AY$1,Z$1)+SUMIFS('changes2_based on steps'!$B180:$U180,'changes2_based on steps'!$B$1:$U$1,Z$1)</f>
        <v>0</v>
      </c>
      <c r="AA180" s="155">
        <f>SUMIFS('recurring2_based on steps'!$B180:$AY180,'recurring2_based on steps'!$B$1:$AY$1,AA$1)+SUMIFS('changes2_based on steps'!$B180:$U180,'changes2_based on steps'!$B$1:$U$1,AA$1)</f>
        <v>0</v>
      </c>
    </row>
    <row r="181" spans="1:27" x14ac:dyDescent="0.2">
      <c r="A181" s="18">
        <f t="shared" ca="1" si="2"/>
        <v>45867</v>
      </c>
      <c r="B181" s="155">
        <f ca="1">SUMIFS('recurring2_based on steps'!$B181:$AY181,'recurring2_based on steps'!$B$1:$AY$1,B$1)+SUMIFS('changes2_based on steps'!$B181:$U181,'changes2_based on steps'!$B$1:$U$1,B$1)</f>
        <v>0</v>
      </c>
      <c r="C181" s="155">
        <f>SUMIFS('recurring2_based on steps'!$B181:$AY181,'recurring2_based on steps'!$B$1:$AY$1,C$1)+SUMIFS('changes2_based on steps'!$B181:$U181,'changes2_based on steps'!$B$1:$U$1,C$1)</f>
        <v>0</v>
      </c>
      <c r="D181" s="155">
        <f>SUMIFS('recurring2_based on steps'!$B181:$AY181,'recurring2_based on steps'!$B$1:$AY$1,D$1)+SUMIFS('changes2_based on steps'!$B181:$U181,'changes2_based on steps'!$B$1:$U$1,D$1)</f>
        <v>0</v>
      </c>
      <c r="E181" s="155">
        <f>SUMIFS('recurring2_based on steps'!$B181:$AY181,'recurring2_based on steps'!$B$1:$AY$1,E$1)+SUMIFS('changes2_based on steps'!$B181:$U181,'changes2_based on steps'!$B$1:$U$1,E$1)</f>
        <v>0</v>
      </c>
      <c r="F181" s="155">
        <f>SUMIFS('recurring2_based on steps'!$B181:$AY181,'recurring2_based on steps'!$B$1:$AY$1,F$1)+SUMIFS('changes2_based on steps'!$B181:$U181,'changes2_based on steps'!$B$1:$U$1,F$1)</f>
        <v>0</v>
      </c>
      <c r="G181" s="155">
        <f>SUMIFS('recurring2_based on steps'!$B181:$AY181,'recurring2_based on steps'!$B$1:$AY$1,G$1)+SUMIFS('changes2_based on steps'!$B181:$U181,'changes2_based on steps'!$B$1:$U$1,G$1)</f>
        <v>0</v>
      </c>
      <c r="H181" s="155">
        <f ca="1">SUMIFS('recurring2_based on steps'!$B181:$AY181,'recurring2_based on steps'!$B$1:$AY$1,H$1)+SUMIFS('changes2_based on steps'!$B181:$U181,'changes2_based on steps'!$B$1:$U$1,H$1)</f>
        <v>0</v>
      </c>
      <c r="I181" s="155">
        <f>SUMIFS('recurring2_based on steps'!$B181:$AY181,'recurring2_based on steps'!$B$1:$AY$1,I$1)+SUMIFS('changes2_based on steps'!$B181:$U181,'changes2_based on steps'!$B$1:$U$1,I$1)</f>
        <v>0</v>
      </c>
      <c r="J181" s="155">
        <f>SUMIFS('recurring2_based on steps'!$B181:$AY181,'recurring2_based on steps'!$B$1:$AY$1,J$1)+SUMIFS('changes2_based on steps'!$B181:$U181,'changes2_based on steps'!$B$1:$U$1,J$1)</f>
        <v>0</v>
      </c>
      <c r="K181" s="155">
        <f>SUMIFS('recurring2_based on steps'!$B181:$AY181,'recurring2_based on steps'!$B$1:$AY$1,K$1)+SUMIFS('changes2_based on steps'!$B181:$U181,'changes2_based on steps'!$B$1:$U$1,K$1)</f>
        <v>0</v>
      </c>
      <c r="L181" s="155">
        <f>SUMIFS('recurring2_based on steps'!$B181:$AY181,'recurring2_based on steps'!$B$1:$AY$1,L$1)+SUMIFS('changes2_based on steps'!$B181:$U181,'changes2_based on steps'!$B$1:$U$1,L$1)</f>
        <v>0</v>
      </c>
      <c r="M181" s="155">
        <f ca="1">SUMIFS('recurring2_based on steps'!$B181:$AY181,'recurring2_based on steps'!$B$1:$AY$1,M$1)+SUMIFS('changes2_based on steps'!$B181:$U181,'changes2_based on steps'!$B$1:$U$1,M$1)</f>
        <v>0</v>
      </c>
      <c r="N181" s="155">
        <f ca="1">SUMIFS('recurring2_based on steps'!$B181:$AY181,'recurring2_based on steps'!$B$1:$AY$1,N$1)+SUMIFS('changes2_based on steps'!$B181:$U181,'changes2_based on steps'!$B$1:$U$1,N$1)</f>
        <v>0</v>
      </c>
      <c r="O181" s="155">
        <f ca="1">SUMIFS('recurring2_based on steps'!$B181:$AY181,'recurring2_based on steps'!$B$1:$AY$1,O$1)+SUMIFS('changes2_based on steps'!$B181:$U181,'changes2_based on steps'!$B$1:$U$1,O$1)</f>
        <v>0</v>
      </c>
      <c r="P181" s="155">
        <f ca="1">SUMIFS('recurring2_based on steps'!$B181:$AY181,'recurring2_based on steps'!$B$1:$AY$1,P$1)+SUMIFS('changes2_based on steps'!$B181:$U181,'changes2_based on steps'!$B$1:$U$1,P$1)</f>
        <v>0</v>
      </c>
      <c r="Q181" s="155">
        <f>SUMIFS('recurring2_based on steps'!$B181:$AY181,'recurring2_based on steps'!$B$1:$AY$1,Q$1)+SUMIFS('changes2_based on steps'!$B181:$U181,'changes2_based on steps'!$B$1:$U$1,Q$1)</f>
        <v>0</v>
      </c>
      <c r="R181" s="155">
        <f ca="1">SUMIFS('recurring2_based on steps'!$B181:$AY181,'recurring2_based on steps'!$B$1:$AY$1,R$1)+SUMIFS('changes2_based on steps'!$B181:$U181,'changes2_based on steps'!$B$1:$U$1,R$1)</f>
        <v>0</v>
      </c>
      <c r="S181" s="155">
        <f ca="1">SUMIFS('recurring2_based on steps'!$B181:$AY181,'recurring2_based on steps'!$B$1:$AY$1,S$1)+SUMIFS('changes2_based on steps'!$B181:$U181,'changes2_based on steps'!$B$1:$U$1,S$1)</f>
        <v>0</v>
      </c>
      <c r="T181" s="155">
        <f>SUMIFS('recurring2_based on steps'!$B181:$AY181,'recurring2_based on steps'!$B$1:$AY$1,T$1)+SUMIFS('changes2_based on steps'!$B181:$U181,'changes2_based on steps'!$B$1:$U$1,T$1)</f>
        <v>0</v>
      </c>
      <c r="U181" s="155">
        <f ca="1">SUMIFS('recurring2_based on steps'!$B181:$AY181,'recurring2_based on steps'!$B$1:$AY$1,U$1)+SUMIFS('changes2_based on steps'!$B181:$U181,'changes2_based on steps'!$B$1:$U$1,U$1)</f>
        <v>0</v>
      </c>
      <c r="V181" s="155">
        <f>SUMIFS('recurring2_based on steps'!$B181:$AY181,'recurring2_based on steps'!$B$1:$AY$1,V$1)+SUMIFS('changes2_based on steps'!$B181:$U181,'changes2_based on steps'!$B$1:$U$1,V$1)</f>
        <v>0</v>
      </c>
      <c r="W181" s="155">
        <f ca="1">SUMIFS('recurring2_based on steps'!$B181:$AY181,'recurring2_based on steps'!$B$1:$AY$1,W$1)+SUMIFS('changes2_based on steps'!$B181:$U181,'changes2_based on steps'!$B$1:$U$1,W$1)</f>
        <v>0</v>
      </c>
      <c r="X181" s="155">
        <f ca="1">SUMIFS('recurring2_based on steps'!$B181:$AY181,'recurring2_based on steps'!$B$1:$AY$1,X$1)+SUMIFS('changes2_based on steps'!$B181:$U181,'changes2_based on steps'!$B$1:$U$1,X$1)</f>
        <v>0</v>
      </c>
      <c r="Y181" s="155">
        <f ca="1">SUMIFS('recurring2_based on steps'!$B181:$AY181,'recurring2_based on steps'!$B$1:$AY$1,Y$1)+SUMIFS('changes2_based on steps'!$B181:$U181,'changes2_based on steps'!$B$1:$U$1,Y$1)</f>
        <v>0</v>
      </c>
      <c r="Z181" s="155">
        <f>SUMIFS('recurring2_based on steps'!$B181:$AY181,'recurring2_based on steps'!$B$1:$AY$1,Z$1)+SUMIFS('changes2_based on steps'!$B181:$U181,'changes2_based on steps'!$B$1:$U$1,Z$1)</f>
        <v>0</v>
      </c>
      <c r="AA181" s="155">
        <f>SUMIFS('recurring2_based on steps'!$B181:$AY181,'recurring2_based on steps'!$B$1:$AY$1,AA$1)+SUMIFS('changes2_based on steps'!$B181:$U181,'changes2_based on steps'!$B$1:$U$1,AA$1)</f>
        <v>0</v>
      </c>
    </row>
    <row r="182" spans="1:27" x14ac:dyDescent="0.2">
      <c r="A182" s="18">
        <f t="shared" ca="1" si="2"/>
        <v>45868</v>
      </c>
      <c r="B182" s="155">
        <f ca="1">SUMIFS('recurring2_based on steps'!$B182:$AY182,'recurring2_based on steps'!$B$1:$AY$1,B$1)+SUMIFS('changes2_based on steps'!$B182:$U182,'changes2_based on steps'!$B$1:$U$1,B$1)</f>
        <v>100</v>
      </c>
      <c r="C182" s="155">
        <f>SUMIFS('recurring2_based on steps'!$B182:$AY182,'recurring2_based on steps'!$B$1:$AY$1,C$1)+SUMIFS('changes2_based on steps'!$B182:$U182,'changes2_based on steps'!$B$1:$U$1,C$1)</f>
        <v>0</v>
      </c>
      <c r="D182" s="155">
        <f>SUMIFS('recurring2_based on steps'!$B182:$AY182,'recurring2_based on steps'!$B$1:$AY$1,D$1)+SUMIFS('changes2_based on steps'!$B182:$U182,'changes2_based on steps'!$B$1:$U$1,D$1)</f>
        <v>0</v>
      </c>
      <c r="E182" s="155">
        <f>SUMIFS('recurring2_based on steps'!$B182:$AY182,'recurring2_based on steps'!$B$1:$AY$1,E$1)+SUMIFS('changes2_based on steps'!$B182:$U182,'changes2_based on steps'!$B$1:$U$1,E$1)</f>
        <v>0</v>
      </c>
      <c r="F182" s="155">
        <f>SUMIFS('recurring2_based on steps'!$B182:$AY182,'recurring2_based on steps'!$B$1:$AY$1,F$1)+SUMIFS('changes2_based on steps'!$B182:$U182,'changes2_based on steps'!$B$1:$U$1,F$1)</f>
        <v>0</v>
      </c>
      <c r="G182" s="155">
        <f>SUMIFS('recurring2_based on steps'!$B182:$AY182,'recurring2_based on steps'!$B$1:$AY$1,G$1)+SUMIFS('changes2_based on steps'!$B182:$U182,'changes2_based on steps'!$B$1:$U$1,G$1)</f>
        <v>0</v>
      </c>
      <c r="H182" s="155">
        <f ca="1">SUMIFS('recurring2_based on steps'!$B182:$AY182,'recurring2_based on steps'!$B$1:$AY$1,H$1)+SUMIFS('changes2_based on steps'!$B182:$U182,'changes2_based on steps'!$B$1:$U$1,H$1)</f>
        <v>0</v>
      </c>
      <c r="I182" s="155">
        <f>SUMIFS('recurring2_based on steps'!$B182:$AY182,'recurring2_based on steps'!$B$1:$AY$1,I$1)+SUMIFS('changes2_based on steps'!$B182:$U182,'changes2_based on steps'!$B$1:$U$1,I$1)</f>
        <v>0</v>
      </c>
      <c r="J182" s="155">
        <f>SUMIFS('recurring2_based on steps'!$B182:$AY182,'recurring2_based on steps'!$B$1:$AY$1,J$1)+SUMIFS('changes2_based on steps'!$B182:$U182,'changes2_based on steps'!$B$1:$U$1,J$1)</f>
        <v>0</v>
      </c>
      <c r="K182" s="155">
        <f>SUMIFS('recurring2_based on steps'!$B182:$AY182,'recurring2_based on steps'!$B$1:$AY$1,K$1)+SUMIFS('changes2_based on steps'!$B182:$U182,'changes2_based on steps'!$B$1:$U$1,K$1)</f>
        <v>0</v>
      </c>
      <c r="L182" s="155">
        <f>SUMIFS('recurring2_based on steps'!$B182:$AY182,'recurring2_based on steps'!$B$1:$AY$1,L$1)+SUMIFS('changes2_based on steps'!$B182:$U182,'changes2_based on steps'!$B$1:$U$1,L$1)</f>
        <v>0</v>
      </c>
      <c r="M182" s="155">
        <f ca="1">SUMIFS('recurring2_based on steps'!$B182:$AY182,'recurring2_based on steps'!$B$1:$AY$1,M$1)+SUMIFS('changes2_based on steps'!$B182:$U182,'changes2_based on steps'!$B$1:$U$1,M$1)</f>
        <v>0</v>
      </c>
      <c r="N182" s="155">
        <f ca="1">SUMIFS('recurring2_based on steps'!$B182:$AY182,'recurring2_based on steps'!$B$1:$AY$1,N$1)+SUMIFS('changes2_based on steps'!$B182:$U182,'changes2_based on steps'!$B$1:$U$1,N$1)</f>
        <v>0</v>
      </c>
      <c r="O182" s="155">
        <f ca="1">SUMIFS('recurring2_based on steps'!$B182:$AY182,'recurring2_based on steps'!$B$1:$AY$1,O$1)+SUMIFS('changes2_based on steps'!$B182:$U182,'changes2_based on steps'!$B$1:$U$1,O$1)</f>
        <v>0</v>
      </c>
      <c r="P182" s="155">
        <f ca="1">SUMIFS('recurring2_based on steps'!$B182:$AY182,'recurring2_based on steps'!$B$1:$AY$1,P$1)+SUMIFS('changes2_based on steps'!$B182:$U182,'changes2_based on steps'!$B$1:$U$1,P$1)</f>
        <v>0</v>
      </c>
      <c r="Q182" s="155">
        <f>SUMIFS('recurring2_based on steps'!$B182:$AY182,'recurring2_based on steps'!$B$1:$AY$1,Q$1)+SUMIFS('changes2_based on steps'!$B182:$U182,'changes2_based on steps'!$B$1:$U$1,Q$1)</f>
        <v>0</v>
      </c>
      <c r="R182" s="155">
        <f ca="1">SUMIFS('recurring2_based on steps'!$B182:$AY182,'recurring2_based on steps'!$B$1:$AY$1,R$1)+SUMIFS('changes2_based on steps'!$B182:$U182,'changes2_based on steps'!$B$1:$U$1,R$1)</f>
        <v>0</v>
      </c>
      <c r="S182" s="155">
        <f ca="1">SUMIFS('recurring2_based on steps'!$B182:$AY182,'recurring2_based on steps'!$B$1:$AY$1,S$1)+SUMIFS('changes2_based on steps'!$B182:$U182,'changes2_based on steps'!$B$1:$U$1,S$1)</f>
        <v>0</v>
      </c>
      <c r="T182" s="155">
        <f>SUMIFS('recurring2_based on steps'!$B182:$AY182,'recurring2_based on steps'!$B$1:$AY$1,T$1)+SUMIFS('changes2_based on steps'!$B182:$U182,'changes2_based on steps'!$B$1:$U$1,T$1)</f>
        <v>0</v>
      </c>
      <c r="U182" s="155">
        <f ca="1">SUMIFS('recurring2_based on steps'!$B182:$AY182,'recurring2_based on steps'!$B$1:$AY$1,U$1)+SUMIFS('changes2_based on steps'!$B182:$U182,'changes2_based on steps'!$B$1:$U$1,U$1)</f>
        <v>0</v>
      </c>
      <c r="V182" s="155">
        <f>SUMIFS('recurring2_based on steps'!$B182:$AY182,'recurring2_based on steps'!$B$1:$AY$1,V$1)+SUMIFS('changes2_based on steps'!$B182:$U182,'changes2_based on steps'!$B$1:$U$1,V$1)</f>
        <v>0</v>
      </c>
      <c r="W182" s="155">
        <f ca="1">SUMIFS('recurring2_based on steps'!$B182:$AY182,'recurring2_based on steps'!$B$1:$AY$1,W$1)+SUMIFS('changes2_based on steps'!$B182:$U182,'changes2_based on steps'!$B$1:$U$1,W$1)</f>
        <v>0</v>
      </c>
      <c r="X182" s="155">
        <f ca="1">SUMIFS('recurring2_based on steps'!$B182:$AY182,'recurring2_based on steps'!$B$1:$AY$1,X$1)+SUMIFS('changes2_based on steps'!$B182:$U182,'changes2_based on steps'!$B$1:$U$1,X$1)</f>
        <v>0</v>
      </c>
      <c r="Y182" s="155">
        <f ca="1">SUMIFS('recurring2_based on steps'!$B182:$AY182,'recurring2_based on steps'!$B$1:$AY$1,Y$1)+SUMIFS('changes2_based on steps'!$B182:$U182,'changes2_based on steps'!$B$1:$U$1,Y$1)</f>
        <v>0</v>
      </c>
      <c r="Z182" s="155">
        <f>SUMIFS('recurring2_based on steps'!$B182:$AY182,'recurring2_based on steps'!$B$1:$AY$1,Z$1)+SUMIFS('changes2_based on steps'!$B182:$U182,'changes2_based on steps'!$B$1:$U$1,Z$1)</f>
        <v>0</v>
      </c>
      <c r="AA182" s="155">
        <f>SUMIFS('recurring2_based on steps'!$B182:$AY182,'recurring2_based on steps'!$B$1:$AY$1,AA$1)+SUMIFS('changes2_based on steps'!$B182:$U182,'changes2_based on steps'!$B$1:$U$1,AA$1)</f>
        <v>0</v>
      </c>
    </row>
    <row r="183" spans="1:27" x14ac:dyDescent="0.2">
      <c r="A183" s="18">
        <f t="shared" ca="1" si="2"/>
        <v>45869</v>
      </c>
      <c r="B183" s="155">
        <f ca="1">SUMIFS('recurring2_based on steps'!$B183:$AY183,'recurring2_based on steps'!$B$1:$AY$1,B$1)+SUMIFS('changes2_based on steps'!$B183:$U183,'changes2_based on steps'!$B$1:$U$1,B$1)</f>
        <v>0</v>
      </c>
      <c r="C183" s="155">
        <f>SUMIFS('recurring2_based on steps'!$B183:$AY183,'recurring2_based on steps'!$B$1:$AY$1,C$1)+SUMIFS('changes2_based on steps'!$B183:$U183,'changes2_based on steps'!$B$1:$U$1,C$1)</f>
        <v>0</v>
      </c>
      <c r="D183" s="155">
        <f>SUMIFS('recurring2_based on steps'!$B183:$AY183,'recurring2_based on steps'!$B$1:$AY$1,D$1)+SUMIFS('changes2_based on steps'!$B183:$U183,'changes2_based on steps'!$B$1:$U$1,D$1)</f>
        <v>0</v>
      </c>
      <c r="E183" s="155">
        <f>SUMIFS('recurring2_based on steps'!$B183:$AY183,'recurring2_based on steps'!$B$1:$AY$1,E$1)+SUMIFS('changes2_based on steps'!$B183:$U183,'changes2_based on steps'!$B$1:$U$1,E$1)</f>
        <v>0</v>
      </c>
      <c r="F183" s="155">
        <f>SUMIFS('recurring2_based on steps'!$B183:$AY183,'recurring2_based on steps'!$B$1:$AY$1,F$1)+SUMIFS('changes2_based on steps'!$B183:$U183,'changes2_based on steps'!$B$1:$U$1,F$1)</f>
        <v>0</v>
      </c>
      <c r="G183" s="155">
        <f>SUMIFS('recurring2_based on steps'!$B183:$AY183,'recurring2_based on steps'!$B$1:$AY$1,G$1)+SUMIFS('changes2_based on steps'!$B183:$U183,'changes2_based on steps'!$B$1:$U$1,G$1)</f>
        <v>0</v>
      </c>
      <c r="H183" s="155">
        <f ca="1">SUMIFS('recurring2_based on steps'!$B183:$AY183,'recurring2_based on steps'!$B$1:$AY$1,H$1)+SUMIFS('changes2_based on steps'!$B183:$U183,'changes2_based on steps'!$B$1:$U$1,H$1)</f>
        <v>0</v>
      </c>
      <c r="I183" s="155">
        <f>SUMIFS('recurring2_based on steps'!$B183:$AY183,'recurring2_based on steps'!$B$1:$AY$1,I$1)+SUMIFS('changes2_based on steps'!$B183:$U183,'changes2_based on steps'!$B$1:$U$1,I$1)</f>
        <v>0</v>
      </c>
      <c r="J183" s="155">
        <f>SUMIFS('recurring2_based on steps'!$B183:$AY183,'recurring2_based on steps'!$B$1:$AY$1,J$1)+SUMIFS('changes2_based on steps'!$B183:$U183,'changes2_based on steps'!$B$1:$U$1,J$1)</f>
        <v>0</v>
      </c>
      <c r="K183" s="155">
        <f>SUMIFS('recurring2_based on steps'!$B183:$AY183,'recurring2_based on steps'!$B$1:$AY$1,K$1)+SUMIFS('changes2_based on steps'!$B183:$U183,'changes2_based on steps'!$B$1:$U$1,K$1)</f>
        <v>0</v>
      </c>
      <c r="L183" s="155">
        <f>SUMIFS('recurring2_based on steps'!$B183:$AY183,'recurring2_based on steps'!$B$1:$AY$1,L$1)+SUMIFS('changes2_based on steps'!$B183:$U183,'changes2_based on steps'!$B$1:$U$1,L$1)</f>
        <v>0</v>
      </c>
      <c r="M183" s="155">
        <f ca="1">SUMIFS('recurring2_based on steps'!$B183:$AY183,'recurring2_based on steps'!$B$1:$AY$1,M$1)+SUMIFS('changes2_based on steps'!$B183:$U183,'changes2_based on steps'!$B$1:$U$1,M$1)</f>
        <v>50</v>
      </c>
      <c r="N183" s="155">
        <f ca="1">SUMIFS('recurring2_based on steps'!$B183:$AY183,'recurring2_based on steps'!$B$1:$AY$1,N$1)+SUMIFS('changes2_based on steps'!$B183:$U183,'changes2_based on steps'!$B$1:$U$1,N$1)</f>
        <v>0</v>
      </c>
      <c r="O183" s="155">
        <f ca="1">SUMIFS('recurring2_based on steps'!$B183:$AY183,'recurring2_based on steps'!$B$1:$AY$1,O$1)+SUMIFS('changes2_based on steps'!$B183:$U183,'changes2_based on steps'!$B$1:$U$1,O$1)</f>
        <v>0</v>
      </c>
      <c r="P183" s="155">
        <f ca="1">SUMIFS('recurring2_based on steps'!$B183:$AY183,'recurring2_based on steps'!$B$1:$AY$1,P$1)+SUMIFS('changes2_based on steps'!$B183:$U183,'changes2_based on steps'!$B$1:$U$1,P$1)</f>
        <v>0</v>
      </c>
      <c r="Q183" s="155">
        <f>SUMIFS('recurring2_based on steps'!$B183:$AY183,'recurring2_based on steps'!$B$1:$AY$1,Q$1)+SUMIFS('changes2_based on steps'!$B183:$U183,'changes2_based on steps'!$B$1:$U$1,Q$1)</f>
        <v>0</v>
      </c>
      <c r="R183" s="155">
        <f ca="1">SUMIFS('recurring2_based on steps'!$B183:$AY183,'recurring2_based on steps'!$B$1:$AY$1,R$1)+SUMIFS('changes2_based on steps'!$B183:$U183,'changes2_based on steps'!$B$1:$U$1,R$1)</f>
        <v>0</v>
      </c>
      <c r="S183" s="155">
        <f ca="1">SUMIFS('recurring2_based on steps'!$B183:$AY183,'recurring2_based on steps'!$B$1:$AY$1,S$1)+SUMIFS('changes2_based on steps'!$B183:$U183,'changes2_based on steps'!$B$1:$U$1,S$1)</f>
        <v>0</v>
      </c>
      <c r="T183" s="155">
        <f>SUMIFS('recurring2_based on steps'!$B183:$AY183,'recurring2_based on steps'!$B$1:$AY$1,T$1)+SUMIFS('changes2_based on steps'!$B183:$U183,'changes2_based on steps'!$B$1:$U$1,T$1)</f>
        <v>0</v>
      </c>
      <c r="U183" s="155">
        <f ca="1">SUMIFS('recurring2_based on steps'!$B183:$AY183,'recurring2_based on steps'!$B$1:$AY$1,U$1)+SUMIFS('changes2_based on steps'!$B183:$U183,'changes2_based on steps'!$B$1:$U$1,U$1)</f>
        <v>0</v>
      </c>
      <c r="V183" s="155">
        <f>SUMIFS('recurring2_based on steps'!$B183:$AY183,'recurring2_based on steps'!$B$1:$AY$1,V$1)+SUMIFS('changes2_based on steps'!$B183:$U183,'changes2_based on steps'!$B$1:$U$1,V$1)</f>
        <v>0</v>
      </c>
      <c r="W183" s="155">
        <f ca="1">SUMIFS('recurring2_based on steps'!$B183:$AY183,'recurring2_based on steps'!$B$1:$AY$1,W$1)+SUMIFS('changes2_based on steps'!$B183:$U183,'changes2_based on steps'!$B$1:$U$1,W$1)</f>
        <v>0</v>
      </c>
      <c r="X183" s="155">
        <f ca="1">SUMIFS('recurring2_based on steps'!$B183:$AY183,'recurring2_based on steps'!$B$1:$AY$1,X$1)+SUMIFS('changes2_based on steps'!$B183:$U183,'changes2_based on steps'!$B$1:$U$1,X$1)</f>
        <v>0</v>
      </c>
      <c r="Y183" s="155">
        <f ca="1">SUMIFS('recurring2_based on steps'!$B183:$AY183,'recurring2_based on steps'!$B$1:$AY$1,Y$1)+SUMIFS('changes2_based on steps'!$B183:$U183,'changes2_based on steps'!$B$1:$U$1,Y$1)</f>
        <v>-100</v>
      </c>
      <c r="Z183" s="155">
        <f>SUMIFS('recurring2_based on steps'!$B183:$AY183,'recurring2_based on steps'!$B$1:$AY$1,Z$1)+SUMIFS('changes2_based on steps'!$B183:$U183,'changes2_based on steps'!$B$1:$U$1,Z$1)</f>
        <v>0</v>
      </c>
      <c r="AA183" s="155">
        <f>SUMIFS('recurring2_based on steps'!$B183:$AY183,'recurring2_based on steps'!$B$1:$AY$1,AA$1)+SUMIFS('changes2_based on steps'!$B183:$U183,'changes2_based on steps'!$B$1:$U$1,AA$1)</f>
        <v>0</v>
      </c>
    </row>
    <row r="184" spans="1:27" x14ac:dyDescent="0.2">
      <c r="A184" s="18">
        <f t="shared" ca="1" si="2"/>
        <v>45870</v>
      </c>
      <c r="B184" s="155">
        <f ca="1">SUMIFS('recurring2_based on steps'!$B184:$AY184,'recurring2_based on steps'!$B$1:$AY$1,B$1)+SUMIFS('changes2_based on steps'!$B184:$U184,'changes2_based on steps'!$B$1:$U$1,B$1)</f>
        <v>0</v>
      </c>
      <c r="C184" s="155">
        <f>SUMIFS('recurring2_based on steps'!$B184:$AY184,'recurring2_based on steps'!$B$1:$AY$1,C$1)+SUMIFS('changes2_based on steps'!$B184:$U184,'changes2_based on steps'!$B$1:$U$1,C$1)</f>
        <v>0</v>
      </c>
      <c r="D184" s="155">
        <f>SUMIFS('recurring2_based on steps'!$B184:$AY184,'recurring2_based on steps'!$B$1:$AY$1,D$1)+SUMIFS('changes2_based on steps'!$B184:$U184,'changes2_based on steps'!$B$1:$U$1,D$1)</f>
        <v>0</v>
      </c>
      <c r="E184" s="155">
        <f>SUMIFS('recurring2_based on steps'!$B184:$AY184,'recurring2_based on steps'!$B$1:$AY$1,E$1)+SUMIFS('changes2_based on steps'!$B184:$U184,'changes2_based on steps'!$B$1:$U$1,E$1)</f>
        <v>0</v>
      </c>
      <c r="F184" s="155">
        <f>SUMIFS('recurring2_based on steps'!$B184:$AY184,'recurring2_based on steps'!$B$1:$AY$1,F$1)+SUMIFS('changes2_based on steps'!$B184:$U184,'changes2_based on steps'!$B$1:$U$1,F$1)</f>
        <v>0</v>
      </c>
      <c r="G184" s="155">
        <f>SUMIFS('recurring2_based on steps'!$B184:$AY184,'recurring2_based on steps'!$B$1:$AY$1,G$1)+SUMIFS('changes2_based on steps'!$B184:$U184,'changes2_based on steps'!$B$1:$U$1,G$1)</f>
        <v>0</v>
      </c>
      <c r="H184" s="155">
        <f ca="1">SUMIFS('recurring2_based on steps'!$B184:$AY184,'recurring2_based on steps'!$B$1:$AY$1,H$1)+SUMIFS('changes2_based on steps'!$B184:$U184,'changes2_based on steps'!$B$1:$U$1,H$1)</f>
        <v>0</v>
      </c>
      <c r="I184" s="155">
        <f>SUMIFS('recurring2_based on steps'!$B184:$AY184,'recurring2_based on steps'!$B$1:$AY$1,I$1)+SUMIFS('changes2_based on steps'!$B184:$U184,'changes2_based on steps'!$B$1:$U$1,I$1)</f>
        <v>0</v>
      </c>
      <c r="J184" s="155">
        <f>SUMIFS('recurring2_based on steps'!$B184:$AY184,'recurring2_based on steps'!$B$1:$AY$1,J$1)+SUMIFS('changes2_based on steps'!$B184:$U184,'changes2_based on steps'!$B$1:$U$1,J$1)</f>
        <v>0</v>
      </c>
      <c r="K184" s="155">
        <f>SUMIFS('recurring2_based on steps'!$B184:$AY184,'recurring2_based on steps'!$B$1:$AY$1,K$1)+SUMIFS('changes2_based on steps'!$B184:$U184,'changes2_based on steps'!$B$1:$U$1,K$1)</f>
        <v>0</v>
      </c>
      <c r="L184" s="155">
        <f>SUMIFS('recurring2_based on steps'!$B184:$AY184,'recurring2_based on steps'!$B$1:$AY$1,L$1)+SUMIFS('changes2_based on steps'!$B184:$U184,'changes2_based on steps'!$B$1:$U$1,L$1)</f>
        <v>0</v>
      </c>
      <c r="M184" s="155">
        <f ca="1">SUMIFS('recurring2_based on steps'!$B184:$AY184,'recurring2_based on steps'!$B$1:$AY$1,M$1)+SUMIFS('changes2_based on steps'!$B184:$U184,'changes2_based on steps'!$B$1:$U$1,M$1)</f>
        <v>2000</v>
      </c>
      <c r="N184" s="155">
        <f ca="1">SUMIFS('recurring2_based on steps'!$B184:$AY184,'recurring2_based on steps'!$B$1:$AY$1,N$1)+SUMIFS('changes2_based on steps'!$B184:$U184,'changes2_based on steps'!$B$1:$U$1,N$1)</f>
        <v>0</v>
      </c>
      <c r="O184" s="155">
        <f ca="1">SUMIFS('recurring2_based on steps'!$B184:$AY184,'recurring2_based on steps'!$B$1:$AY$1,O$1)+SUMIFS('changes2_based on steps'!$B184:$U184,'changes2_based on steps'!$B$1:$U$1,O$1)</f>
        <v>0</v>
      </c>
      <c r="P184" s="155">
        <f ca="1">SUMIFS('recurring2_based on steps'!$B184:$AY184,'recurring2_based on steps'!$B$1:$AY$1,P$1)+SUMIFS('changes2_based on steps'!$B184:$U184,'changes2_based on steps'!$B$1:$U$1,P$1)</f>
        <v>0</v>
      </c>
      <c r="Q184" s="155">
        <f>SUMIFS('recurring2_based on steps'!$B184:$AY184,'recurring2_based on steps'!$B$1:$AY$1,Q$1)+SUMIFS('changes2_based on steps'!$B184:$U184,'changes2_based on steps'!$B$1:$U$1,Q$1)</f>
        <v>0</v>
      </c>
      <c r="R184" s="155">
        <f ca="1">SUMIFS('recurring2_based on steps'!$B184:$AY184,'recurring2_based on steps'!$B$1:$AY$1,R$1)+SUMIFS('changes2_based on steps'!$B184:$U184,'changes2_based on steps'!$B$1:$U$1,R$1)</f>
        <v>0</v>
      </c>
      <c r="S184" s="155">
        <f ca="1">SUMIFS('recurring2_based on steps'!$B184:$AY184,'recurring2_based on steps'!$B$1:$AY$1,S$1)+SUMIFS('changes2_based on steps'!$B184:$U184,'changes2_based on steps'!$B$1:$U$1,S$1)</f>
        <v>0</v>
      </c>
      <c r="T184" s="155">
        <f>SUMIFS('recurring2_based on steps'!$B184:$AY184,'recurring2_based on steps'!$B$1:$AY$1,T$1)+SUMIFS('changes2_based on steps'!$B184:$U184,'changes2_based on steps'!$B$1:$U$1,T$1)</f>
        <v>0</v>
      </c>
      <c r="U184" s="155">
        <f ca="1">SUMIFS('recurring2_based on steps'!$B184:$AY184,'recurring2_based on steps'!$B$1:$AY$1,U$1)+SUMIFS('changes2_based on steps'!$B184:$U184,'changes2_based on steps'!$B$1:$U$1,U$1)</f>
        <v>0</v>
      </c>
      <c r="V184" s="155">
        <f>SUMIFS('recurring2_based on steps'!$B184:$AY184,'recurring2_based on steps'!$B$1:$AY$1,V$1)+SUMIFS('changes2_based on steps'!$B184:$U184,'changes2_based on steps'!$B$1:$U$1,V$1)</f>
        <v>0</v>
      </c>
      <c r="W184" s="155">
        <f ca="1">SUMIFS('recurring2_based on steps'!$B184:$AY184,'recurring2_based on steps'!$B$1:$AY$1,W$1)+SUMIFS('changes2_based on steps'!$B184:$U184,'changes2_based on steps'!$B$1:$U$1,W$1)</f>
        <v>0</v>
      </c>
      <c r="X184" s="155">
        <f ca="1">SUMIFS('recurring2_based on steps'!$B184:$AY184,'recurring2_based on steps'!$B$1:$AY$1,X$1)+SUMIFS('changes2_based on steps'!$B184:$U184,'changes2_based on steps'!$B$1:$U$1,X$1)</f>
        <v>0</v>
      </c>
      <c r="Y184" s="155">
        <f ca="1">SUMIFS('recurring2_based on steps'!$B184:$AY184,'recurring2_based on steps'!$B$1:$AY$1,Y$1)+SUMIFS('changes2_based on steps'!$B184:$U184,'changes2_based on steps'!$B$1:$U$1,Y$1)</f>
        <v>0</v>
      </c>
      <c r="Z184" s="155">
        <f>SUMIFS('recurring2_based on steps'!$B184:$AY184,'recurring2_based on steps'!$B$1:$AY$1,Z$1)+SUMIFS('changes2_based on steps'!$B184:$U184,'changes2_based on steps'!$B$1:$U$1,Z$1)</f>
        <v>0</v>
      </c>
      <c r="AA184" s="155">
        <f>SUMIFS('recurring2_based on steps'!$B184:$AY184,'recurring2_based on steps'!$B$1:$AY$1,AA$1)+SUMIFS('changes2_based on steps'!$B184:$U184,'changes2_based on steps'!$B$1:$U$1,AA$1)</f>
        <v>0</v>
      </c>
    </row>
    <row r="185" spans="1:27" x14ac:dyDescent="0.2">
      <c r="A185" s="18">
        <f t="shared" ca="1" si="2"/>
        <v>45871</v>
      </c>
      <c r="B185" s="155">
        <f ca="1">SUMIFS('recurring2_based on steps'!$B185:$AY185,'recurring2_based on steps'!$B$1:$AY$1,B$1)+SUMIFS('changes2_based on steps'!$B185:$U185,'changes2_based on steps'!$B$1:$U$1,B$1)</f>
        <v>0</v>
      </c>
      <c r="C185" s="155">
        <f>SUMIFS('recurring2_based on steps'!$B185:$AY185,'recurring2_based on steps'!$B$1:$AY$1,C$1)+SUMIFS('changes2_based on steps'!$B185:$U185,'changes2_based on steps'!$B$1:$U$1,C$1)</f>
        <v>0</v>
      </c>
      <c r="D185" s="155">
        <f>SUMIFS('recurring2_based on steps'!$B185:$AY185,'recurring2_based on steps'!$B$1:$AY$1,D$1)+SUMIFS('changes2_based on steps'!$B185:$U185,'changes2_based on steps'!$B$1:$U$1,D$1)</f>
        <v>0</v>
      </c>
      <c r="E185" s="155">
        <f>SUMIFS('recurring2_based on steps'!$B185:$AY185,'recurring2_based on steps'!$B$1:$AY$1,E$1)+SUMIFS('changes2_based on steps'!$B185:$U185,'changes2_based on steps'!$B$1:$U$1,E$1)</f>
        <v>0</v>
      </c>
      <c r="F185" s="155">
        <f>SUMIFS('recurring2_based on steps'!$B185:$AY185,'recurring2_based on steps'!$B$1:$AY$1,F$1)+SUMIFS('changes2_based on steps'!$B185:$U185,'changes2_based on steps'!$B$1:$U$1,F$1)</f>
        <v>0</v>
      </c>
      <c r="G185" s="155">
        <f>SUMIFS('recurring2_based on steps'!$B185:$AY185,'recurring2_based on steps'!$B$1:$AY$1,G$1)+SUMIFS('changes2_based on steps'!$B185:$U185,'changes2_based on steps'!$B$1:$U$1,G$1)</f>
        <v>0</v>
      </c>
      <c r="H185" s="155">
        <f ca="1">SUMIFS('recurring2_based on steps'!$B185:$AY185,'recurring2_based on steps'!$B$1:$AY$1,H$1)+SUMIFS('changes2_based on steps'!$B185:$U185,'changes2_based on steps'!$B$1:$U$1,H$1)</f>
        <v>0</v>
      </c>
      <c r="I185" s="155">
        <f>SUMIFS('recurring2_based on steps'!$B185:$AY185,'recurring2_based on steps'!$B$1:$AY$1,I$1)+SUMIFS('changes2_based on steps'!$B185:$U185,'changes2_based on steps'!$B$1:$U$1,I$1)</f>
        <v>0</v>
      </c>
      <c r="J185" s="155">
        <f>SUMIFS('recurring2_based on steps'!$B185:$AY185,'recurring2_based on steps'!$B$1:$AY$1,J$1)+SUMIFS('changes2_based on steps'!$B185:$U185,'changes2_based on steps'!$B$1:$U$1,J$1)</f>
        <v>0</v>
      </c>
      <c r="K185" s="155">
        <f>SUMIFS('recurring2_based on steps'!$B185:$AY185,'recurring2_based on steps'!$B$1:$AY$1,K$1)+SUMIFS('changes2_based on steps'!$B185:$U185,'changes2_based on steps'!$B$1:$U$1,K$1)</f>
        <v>0</v>
      </c>
      <c r="L185" s="155">
        <f>SUMIFS('recurring2_based on steps'!$B185:$AY185,'recurring2_based on steps'!$B$1:$AY$1,L$1)+SUMIFS('changes2_based on steps'!$B185:$U185,'changes2_based on steps'!$B$1:$U$1,L$1)</f>
        <v>0</v>
      </c>
      <c r="M185" s="155">
        <f ca="1">SUMIFS('recurring2_based on steps'!$B185:$AY185,'recurring2_based on steps'!$B$1:$AY$1,M$1)+SUMIFS('changes2_based on steps'!$B185:$U185,'changes2_based on steps'!$B$1:$U$1,M$1)</f>
        <v>0</v>
      </c>
      <c r="N185" s="155">
        <f ca="1">SUMIFS('recurring2_based on steps'!$B185:$AY185,'recurring2_based on steps'!$B$1:$AY$1,N$1)+SUMIFS('changes2_based on steps'!$B185:$U185,'changes2_based on steps'!$B$1:$U$1,N$1)</f>
        <v>0</v>
      </c>
      <c r="O185" s="155">
        <f ca="1">SUMIFS('recurring2_based on steps'!$B185:$AY185,'recurring2_based on steps'!$B$1:$AY$1,O$1)+SUMIFS('changes2_based on steps'!$B185:$U185,'changes2_based on steps'!$B$1:$U$1,O$1)</f>
        <v>0</v>
      </c>
      <c r="P185" s="155">
        <f ca="1">SUMIFS('recurring2_based on steps'!$B185:$AY185,'recurring2_based on steps'!$B$1:$AY$1,P$1)+SUMIFS('changes2_based on steps'!$B185:$U185,'changes2_based on steps'!$B$1:$U$1,P$1)</f>
        <v>0</v>
      </c>
      <c r="Q185" s="155">
        <f>SUMIFS('recurring2_based on steps'!$B185:$AY185,'recurring2_based on steps'!$B$1:$AY$1,Q$1)+SUMIFS('changes2_based on steps'!$B185:$U185,'changes2_based on steps'!$B$1:$U$1,Q$1)</f>
        <v>0</v>
      </c>
      <c r="R185" s="155">
        <f ca="1">SUMIFS('recurring2_based on steps'!$B185:$AY185,'recurring2_based on steps'!$B$1:$AY$1,R$1)+SUMIFS('changes2_based on steps'!$B185:$U185,'changes2_based on steps'!$B$1:$U$1,R$1)</f>
        <v>100</v>
      </c>
      <c r="S185" s="155">
        <f ca="1">SUMIFS('recurring2_based on steps'!$B185:$AY185,'recurring2_based on steps'!$B$1:$AY$1,S$1)+SUMIFS('changes2_based on steps'!$B185:$U185,'changes2_based on steps'!$B$1:$U$1,S$1)</f>
        <v>100</v>
      </c>
      <c r="T185" s="155">
        <f>SUMIFS('recurring2_based on steps'!$B185:$AY185,'recurring2_based on steps'!$B$1:$AY$1,T$1)+SUMIFS('changes2_based on steps'!$B185:$U185,'changes2_based on steps'!$B$1:$U$1,T$1)</f>
        <v>0</v>
      </c>
      <c r="U185" s="155">
        <f ca="1">SUMIFS('recurring2_based on steps'!$B185:$AY185,'recurring2_based on steps'!$B$1:$AY$1,U$1)+SUMIFS('changes2_based on steps'!$B185:$U185,'changes2_based on steps'!$B$1:$U$1,U$1)</f>
        <v>0</v>
      </c>
      <c r="V185" s="155">
        <f>SUMIFS('recurring2_based on steps'!$B185:$AY185,'recurring2_based on steps'!$B$1:$AY$1,V$1)+SUMIFS('changes2_based on steps'!$B185:$U185,'changes2_based on steps'!$B$1:$U$1,V$1)</f>
        <v>0</v>
      </c>
      <c r="W185" s="155">
        <f ca="1">SUMIFS('recurring2_based on steps'!$B185:$AY185,'recurring2_based on steps'!$B$1:$AY$1,W$1)+SUMIFS('changes2_based on steps'!$B185:$U185,'changes2_based on steps'!$B$1:$U$1,W$1)</f>
        <v>0</v>
      </c>
      <c r="X185" s="155">
        <f ca="1">SUMIFS('recurring2_based on steps'!$B185:$AY185,'recurring2_based on steps'!$B$1:$AY$1,X$1)+SUMIFS('changes2_based on steps'!$B185:$U185,'changes2_based on steps'!$B$1:$U$1,X$1)</f>
        <v>0</v>
      </c>
      <c r="Y185" s="155">
        <f ca="1">SUMIFS('recurring2_based on steps'!$B185:$AY185,'recurring2_based on steps'!$B$1:$AY$1,Y$1)+SUMIFS('changes2_based on steps'!$B185:$U185,'changes2_based on steps'!$B$1:$U$1,Y$1)</f>
        <v>0</v>
      </c>
      <c r="Z185" s="155">
        <f>SUMIFS('recurring2_based on steps'!$B185:$AY185,'recurring2_based on steps'!$B$1:$AY$1,Z$1)+SUMIFS('changes2_based on steps'!$B185:$U185,'changes2_based on steps'!$B$1:$U$1,Z$1)</f>
        <v>0</v>
      </c>
      <c r="AA185" s="155">
        <f>SUMIFS('recurring2_based on steps'!$B185:$AY185,'recurring2_based on steps'!$B$1:$AY$1,AA$1)+SUMIFS('changes2_based on steps'!$B185:$U185,'changes2_based on steps'!$B$1:$U$1,AA$1)</f>
        <v>0</v>
      </c>
    </row>
    <row r="186" spans="1:27" x14ac:dyDescent="0.2">
      <c r="A186" s="18">
        <f t="shared" ca="1" si="2"/>
        <v>45872</v>
      </c>
      <c r="B186" s="155">
        <f ca="1">SUMIFS('recurring2_based on steps'!$B186:$AY186,'recurring2_based on steps'!$B$1:$AY$1,B$1)+SUMIFS('changes2_based on steps'!$B186:$U186,'changes2_based on steps'!$B$1:$U$1,B$1)</f>
        <v>0</v>
      </c>
      <c r="C186" s="155">
        <f>SUMIFS('recurring2_based on steps'!$B186:$AY186,'recurring2_based on steps'!$B$1:$AY$1,C$1)+SUMIFS('changes2_based on steps'!$B186:$U186,'changes2_based on steps'!$B$1:$U$1,C$1)</f>
        <v>0</v>
      </c>
      <c r="D186" s="155">
        <f>SUMIFS('recurring2_based on steps'!$B186:$AY186,'recurring2_based on steps'!$B$1:$AY$1,D$1)+SUMIFS('changes2_based on steps'!$B186:$U186,'changes2_based on steps'!$B$1:$U$1,D$1)</f>
        <v>0</v>
      </c>
      <c r="E186" s="155">
        <f>SUMIFS('recurring2_based on steps'!$B186:$AY186,'recurring2_based on steps'!$B$1:$AY$1,E$1)+SUMIFS('changes2_based on steps'!$B186:$U186,'changes2_based on steps'!$B$1:$U$1,E$1)</f>
        <v>0</v>
      </c>
      <c r="F186" s="155">
        <f>SUMIFS('recurring2_based on steps'!$B186:$AY186,'recurring2_based on steps'!$B$1:$AY$1,F$1)+SUMIFS('changes2_based on steps'!$B186:$U186,'changes2_based on steps'!$B$1:$U$1,F$1)</f>
        <v>0</v>
      </c>
      <c r="G186" s="155">
        <f>SUMIFS('recurring2_based on steps'!$B186:$AY186,'recurring2_based on steps'!$B$1:$AY$1,G$1)+SUMIFS('changes2_based on steps'!$B186:$U186,'changes2_based on steps'!$B$1:$U$1,G$1)</f>
        <v>0</v>
      </c>
      <c r="H186" s="155">
        <f ca="1">SUMIFS('recurring2_based on steps'!$B186:$AY186,'recurring2_based on steps'!$B$1:$AY$1,H$1)+SUMIFS('changes2_based on steps'!$B186:$U186,'changes2_based on steps'!$B$1:$U$1,H$1)</f>
        <v>0</v>
      </c>
      <c r="I186" s="155">
        <f>SUMIFS('recurring2_based on steps'!$B186:$AY186,'recurring2_based on steps'!$B$1:$AY$1,I$1)+SUMIFS('changes2_based on steps'!$B186:$U186,'changes2_based on steps'!$B$1:$U$1,I$1)</f>
        <v>0</v>
      </c>
      <c r="J186" s="155">
        <f>SUMIFS('recurring2_based on steps'!$B186:$AY186,'recurring2_based on steps'!$B$1:$AY$1,J$1)+SUMIFS('changes2_based on steps'!$B186:$U186,'changes2_based on steps'!$B$1:$U$1,J$1)</f>
        <v>0</v>
      </c>
      <c r="K186" s="155">
        <f>SUMIFS('recurring2_based on steps'!$B186:$AY186,'recurring2_based on steps'!$B$1:$AY$1,K$1)+SUMIFS('changes2_based on steps'!$B186:$U186,'changes2_based on steps'!$B$1:$U$1,K$1)</f>
        <v>0</v>
      </c>
      <c r="L186" s="155">
        <f>SUMIFS('recurring2_based on steps'!$B186:$AY186,'recurring2_based on steps'!$B$1:$AY$1,L$1)+SUMIFS('changes2_based on steps'!$B186:$U186,'changes2_based on steps'!$B$1:$U$1,L$1)</f>
        <v>0</v>
      </c>
      <c r="M186" s="155">
        <f ca="1">SUMIFS('recurring2_based on steps'!$B186:$AY186,'recurring2_based on steps'!$B$1:$AY$1,M$1)+SUMIFS('changes2_based on steps'!$B186:$U186,'changes2_based on steps'!$B$1:$U$1,M$1)</f>
        <v>0</v>
      </c>
      <c r="N186" s="155">
        <f ca="1">SUMIFS('recurring2_based on steps'!$B186:$AY186,'recurring2_based on steps'!$B$1:$AY$1,N$1)+SUMIFS('changes2_based on steps'!$B186:$U186,'changes2_based on steps'!$B$1:$U$1,N$1)</f>
        <v>50</v>
      </c>
      <c r="O186" s="155">
        <f ca="1">SUMIFS('recurring2_based on steps'!$B186:$AY186,'recurring2_based on steps'!$B$1:$AY$1,O$1)+SUMIFS('changes2_based on steps'!$B186:$U186,'changes2_based on steps'!$B$1:$U$1,O$1)</f>
        <v>0</v>
      </c>
      <c r="P186" s="155">
        <f ca="1">SUMIFS('recurring2_based on steps'!$B186:$AY186,'recurring2_based on steps'!$B$1:$AY$1,P$1)+SUMIFS('changes2_based on steps'!$B186:$U186,'changes2_based on steps'!$B$1:$U$1,P$1)</f>
        <v>0</v>
      </c>
      <c r="Q186" s="155">
        <f>SUMIFS('recurring2_based on steps'!$B186:$AY186,'recurring2_based on steps'!$B$1:$AY$1,Q$1)+SUMIFS('changes2_based on steps'!$B186:$U186,'changes2_based on steps'!$B$1:$U$1,Q$1)</f>
        <v>0</v>
      </c>
      <c r="R186" s="155">
        <f ca="1">SUMIFS('recurring2_based on steps'!$B186:$AY186,'recurring2_based on steps'!$B$1:$AY$1,R$1)+SUMIFS('changes2_based on steps'!$B186:$U186,'changes2_based on steps'!$B$1:$U$1,R$1)</f>
        <v>0</v>
      </c>
      <c r="S186" s="155">
        <f ca="1">SUMIFS('recurring2_based on steps'!$B186:$AY186,'recurring2_based on steps'!$B$1:$AY$1,S$1)+SUMIFS('changes2_based on steps'!$B186:$U186,'changes2_based on steps'!$B$1:$U$1,S$1)</f>
        <v>100</v>
      </c>
      <c r="T186" s="155">
        <f>SUMIFS('recurring2_based on steps'!$B186:$AY186,'recurring2_based on steps'!$B$1:$AY$1,T$1)+SUMIFS('changes2_based on steps'!$B186:$U186,'changes2_based on steps'!$B$1:$U$1,T$1)</f>
        <v>0</v>
      </c>
      <c r="U186" s="155">
        <f ca="1">SUMIFS('recurring2_based on steps'!$B186:$AY186,'recurring2_based on steps'!$B$1:$AY$1,U$1)+SUMIFS('changes2_based on steps'!$B186:$U186,'changes2_based on steps'!$B$1:$U$1,U$1)</f>
        <v>0</v>
      </c>
      <c r="V186" s="155">
        <f>SUMIFS('recurring2_based on steps'!$B186:$AY186,'recurring2_based on steps'!$B$1:$AY$1,V$1)+SUMIFS('changes2_based on steps'!$B186:$U186,'changes2_based on steps'!$B$1:$U$1,V$1)</f>
        <v>0</v>
      </c>
      <c r="W186" s="155">
        <f ca="1">SUMIFS('recurring2_based on steps'!$B186:$AY186,'recurring2_based on steps'!$B$1:$AY$1,W$1)+SUMIFS('changes2_based on steps'!$B186:$U186,'changes2_based on steps'!$B$1:$U$1,W$1)</f>
        <v>0</v>
      </c>
      <c r="X186" s="155">
        <f ca="1">SUMIFS('recurring2_based on steps'!$B186:$AY186,'recurring2_based on steps'!$B$1:$AY$1,X$1)+SUMIFS('changes2_based on steps'!$B186:$U186,'changes2_based on steps'!$B$1:$U$1,X$1)</f>
        <v>0</v>
      </c>
      <c r="Y186" s="155">
        <f ca="1">SUMIFS('recurring2_based on steps'!$B186:$AY186,'recurring2_based on steps'!$B$1:$AY$1,Y$1)+SUMIFS('changes2_based on steps'!$B186:$U186,'changes2_based on steps'!$B$1:$U$1,Y$1)</f>
        <v>0</v>
      </c>
      <c r="Z186" s="155">
        <f>SUMIFS('recurring2_based on steps'!$B186:$AY186,'recurring2_based on steps'!$B$1:$AY$1,Z$1)+SUMIFS('changes2_based on steps'!$B186:$U186,'changes2_based on steps'!$B$1:$U$1,Z$1)</f>
        <v>0</v>
      </c>
      <c r="AA186" s="155">
        <f>SUMIFS('recurring2_based on steps'!$B186:$AY186,'recurring2_based on steps'!$B$1:$AY$1,AA$1)+SUMIFS('changes2_based on steps'!$B186:$U186,'changes2_based on steps'!$B$1:$U$1,AA$1)</f>
        <v>0</v>
      </c>
    </row>
    <row r="187" spans="1:27" x14ac:dyDescent="0.2">
      <c r="A187" s="18">
        <f t="shared" ca="1" si="2"/>
        <v>45873</v>
      </c>
      <c r="B187" s="155">
        <f ca="1">SUMIFS('recurring2_based on steps'!$B187:$AY187,'recurring2_based on steps'!$B$1:$AY$1,B$1)+SUMIFS('changes2_based on steps'!$B187:$U187,'changes2_based on steps'!$B$1:$U$1,B$1)</f>
        <v>0</v>
      </c>
      <c r="C187" s="155">
        <f>SUMIFS('recurring2_based on steps'!$B187:$AY187,'recurring2_based on steps'!$B$1:$AY$1,C$1)+SUMIFS('changes2_based on steps'!$B187:$U187,'changes2_based on steps'!$B$1:$U$1,C$1)</f>
        <v>0</v>
      </c>
      <c r="D187" s="155">
        <f>SUMIFS('recurring2_based on steps'!$B187:$AY187,'recurring2_based on steps'!$B$1:$AY$1,D$1)+SUMIFS('changes2_based on steps'!$B187:$U187,'changes2_based on steps'!$B$1:$U$1,D$1)</f>
        <v>0</v>
      </c>
      <c r="E187" s="155">
        <f>SUMIFS('recurring2_based on steps'!$B187:$AY187,'recurring2_based on steps'!$B$1:$AY$1,E$1)+SUMIFS('changes2_based on steps'!$B187:$U187,'changes2_based on steps'!$B$1:$U$1,E$1)</f>
        <v>0</v>
      </c>
      <c r="F187" s="155">
        <f>SUMIFS('recurring2_based on steps'!$B187:$AY187,'recurring2_based on steps'!$B$1:$AY$1,F$1)+SUMIFS('changes2_based on steps'!$B187:$U187,'changes2_based on steps'!$B$1:$U$1,F$1)</f>
        <v>0</v>
      </c>
      <c r="G187" s="155">
        <f>SUMIFS('recurring2_based on steps'!$B187:$AY187,'recurring2_based on steps'!$B$1:$AY$1,G$1)+SUMIFS('changes2_based on steps'!$B187:$U187,'changes2_based on steps'!$B$1:$U$1,G$1)</f>
        <v>0</v>
      </c>
      <c r="H187" s="155">
        <f ca="1">SUMIFS('recurring2_based on steps'!$B187:$AY187,'recurring2_based on steps'!$B$1:$AY$1,H$1)+SUMIFS('changes2_based on steps'!$B187:$U187,'changes2_based on steps'!$B$1:$U$1,H$1)</f>
        <v>0</v>
      </c>
      <c r="I187" s="155">
        <f>SUMIFS('recurring2_based on steps'!$B187:$AY187,'recurring2_based on steps'!$B$1:$AY$1,I$1)+SUMIFS('changes2_based on steps'!$B187:$U187,'changes2_based on steps'!$B$1:$U$1,I$1)</f>
        <v>0</v>
      </c>
      <c r="J187" s="155">
        <f>SUMIFS('recurring2_based on steps'!$B187:$AY187,'recurring2_based on steps'!$B$1:$AY$1,J$1)+SUMIFS('changes2_based on steps'!$B187:$U187,'changes2_based on steps'!$B$1:$U$1,J$1)</f>
        <v>0</v>
      </c>
      <c r="K187" s="155">
        <f>SUMIFS('recurring2_based on steps'!$B187:$AY187,'recurring2_based on steps'!$B$1:$AY$1,K$1)+SUMIFS('changes2_based on steps'!$B187:$U187,'changes2_based on steps'!$B$1:$U$1,K$1)</f>
        <v>0</v>
      </c>
      <c r="L187" s="155">
        <f>SUMIFS('recurring2_based on steps'!$B187:$AY187,'recurring2_based on steps'!$B$1:$AY$1,L$1)+SUMIFS('changes2_based on steps'!$B187:$U187,'changes2_based on steps'!$B$1:$U$1,L$1)</f>
        <v>0</v>
      </c>
      <c r="M187" s="155">
        <f ca="1">SUMIFS('recurring2_based on steps'!$B187:$AY187,'recurring2_based on steps'!$B$1:$AY$1,M$1)+SUMIFS('changes2_based on steps'!$B187:$U187,'changes2_based on steps'!$B$1:$U$1,M$1)</f>
        <v>0</v>
      </c>
      <c r="N187" s="155">
        <f ca="1">SUMIFS('recurring2_based on steps'!$B187:$AY187,'recurring2_based on steps'!$B$1:$AY$1,N$1)+SUMIFS('changes2_based on steps'!$B187:$U187,'changes2_based on steps'!$B$1:$U$1,N$1)</f>
        <v>0</v>
      </c>
      <c r="O187" s="155">
        <f ca="1">SUMIFS('recurring2_based on steps'!$B187:$AY187,'recurring2_based on steps'!$B$1:$AY$1,O$1)+SUMIFS('changes2_based on steps'!$B187:$U187,'changes2_based on steps'!$B$1:$U$1,O$1)</f>
        <v>0</v>
      </c>
      <c r="P187" s="155">
        <f ca="1">SUMIFS('recurring2_based on steps'!$B187:$AY187,'recurring2_based on steps'!$B$1:$AY$1,P$1)+SUMIFS('changes2_based on steps'!$B187:$U187,'changes2_based on steps'!$B$1:$U$1,P$1)</f>
        <v>0</v>
      </c>
      <c r="Q187" s="155">
        <f>SUMIFS('recurring2_based on steps'!$B187:$AY187,'recurring2_based on steps'!$B$1:$AY$1,Q$1)+SUMIFS('changes2_based on steps'!$B187:$U187,'changes2_based on steps'!$B$1:$U$1,Q$1)</f>
        <v>0</v>
      </c>
      <c r="R187" s="155">
        <f ca="1">SUMIFS('recurring2_based on steps'!$B187:$AY187,'recurring2_based on steps'!$B$1:$AY$1,R$1)+SUMIFS('changes2_based on steps'!$B187:$U187,'changes2_based on steps'!$B$1:$U$1,R$1)</f>
        <v>0</v>
      </c>
      <c r="S187" s="155">
        <f ca="1">SUMIFS('recurring2_based on steps'!$B187:$AY187,'recurring2_based on steps'!$B$1:$AY$1,S$1)+SUMIFS('changes2_based on steps'!$B187:$U187,'changes2_based on steps'!$B$1:$U$1,S$1)</f>
        <v>0</v>
      </c>
      <c r="T187" s="155">
        <f>SUMIFS('recurring2_based on steps'!$B187:$AY187,'recurring2_based on steps'!$B$1:$AY$1,T$1)+SUMIFS('changes2_based on steps'!$B187:$U187,'changes2_based on steps'!$B$1:$U$1,T$1)</f>
        <v>0</v>
      </c>
      <c r="U187" s="155">
        <f ca="1">SUMIFS('recurring2_based on steps'!$B187:$AY187,'recurring2_based on steps'!$B$1:$AY$1,U$1)+SUMIFS('changes2_based on steps'!$B187:$U187,'changes2_based on steps'!$B$1:$U$1,U$1)</f>
        <v>15</v>
      </c>
      <c r="V187" s="155">
        <f>SUMIFS('recurring2_based on steps'!$B187:$AY187,'recurring2_based on steps'!$B$1:$AY$1,V$1)+SUMIFS('changes2_based on steps'!$B187:$U187,'changes2_based on steps'!$B$1:$U$1,V$1)</f>
        <v>0</v>
      </c>
      <c r="W187" s="155">
        <f ca="1">SUMIFS('recurring2_based on steps'!$B187:$AY187,'recurring2_based on steps'!$B$1:$AY$1,W$1)+SUMIFS('changes2_based on steps'!$B187:$U187,'changes2_based on steps'!$B$1:$U$1,W$1)</f>
        <v>0</v>
      </c>
      <c r="X187" s="155">
        <f ca="1">SUMIFS('recurring2_based on steps'!$B187:$AY187,'recurring2_based on steps'!$B$1:$AY$1,X$1)+SUMIFS('changes2_based on steps'!$B187:$U187,'changes2_based on steps'!$B$1:$U$1,X$1)</f>
        <v>0</v>
      </c>
      <c r="Y187" s="155">
        <f ca="1">SUMIFS('recurring2_based on steps'!$B187:$AY187,'recurring2_based on steps'!$B$1:$AY$1,Y$1)+SUMIFS('changes2_based on steps'!$B187:$U187,'changes2_based on steps'!$B$1:$U$1,Y$1)</f>
        <v>0</v>
      </c>
      <c r="Z187" s="155">
        <f>SUMIFS('recurring2_based on steps'!$B187:$AY187,'recurring2_based on steps'!$B$1:$AY$1,Z$1)+SUMIFS('changes2_based on steps'!$B187:$U187,'changes2_based on steps'!$B$1:$U$1,Z$1)</f>
        <v>0</v>
      </c>
      <c r="AA187" s="155">
        <f>SUMIFS('recurring2_based on steps'!$B187:$AY187,'recurring2_based on steps'!$B$1:$AY$1,AA$1)+SUMIFS('changes2_based on steps'!$B187:$U187,'changes2_based on steps'!$B$1:$U$1,AA$1)</f>
        <v>0</v>
      </c>
    </row>
    <row r="188" spans="1:27" x14ac:dyDescent="0.2">
      <c r="A188" s="18">
        <f t="shared" ca="1" si="2"/>
        <v>45874</v>
      </c>
      <c r="B188" s="155">
        <f ca="1">SUMIFS('recurring2_based on steps'!$B188:$AY188,'recurring2_based on steps'!$B$1:$AY$1,B$1)+SUMIFS('changes2_based on steps'!$B188:$U188,'changes2_based on steps'!$B$1:$U$1,B$1)</f>
        <v>0</v>
      </c>
      <c r="C188" s="155">
        <f>SUMIFS('recurring2_based on steps'!$B188:$AY188,'recurring2_based on steps'!$B$1:$AY$1,C$1)+SUMIFS('changes2_based on steps'!$B188:$U188,'changes2_based on steps'!$B$1:$U$1,C$1)</f>
        <v>0</v>
      </c>
      <c r="D188" s="155">
        <f>SUMIFS('recurring2_based on steps'!$B188:$AY188,'recurring2_based on steps'!$B$1:$AY$1,D$1)+SUMIFS('changes2_based on steps'!$B188:$U188,'changes2_based on steps'!$B$1:$U$1,D$1)</f>
        <v>0</v>
      </c>
      <c r="E188" s="155">
        <f>SUMIFS('recurring2_based on steps'!$B188:$AY188,'recurring2_based on steps'!$B$1:$AY$1,E$1)+SUMIFS('changes2_based on steps'!$B188:$U188,'changes2_based on steps'!$B$1:$U$1,E$1)</f>
        <v>0</v>
      </c>
      <c r="F188" s="155">
        <f>SUMIFS('recurring2_based on steps'!$B188:$AY188,'recurring2_based on steps'!$B$1:$AY$1,F$1)+SUMIFS('changes2_based on steps'!$B188:$U188,'changes2_based on steps'!$B$1:$U$1,F$1)</f>
        <v>0</v>
      </c>
      <c r="G188" s="155">
        <f>SUMIFS('recurring2_based on steps'!$B188:$AY188,'recurring2_based on steps'!$B$1:$AY$1,G$1)+SUMIFS('changes2_based on steps'!$B188:$U188,'changes2_based on steps'!$B$1:$U$1,G$1)</f>
        <v>0</v>
      </c>
      <c r="H188" s="155">
        <f ca="1">SUMIFS('recurring2_based on steps'!$B188:$AY188,'recurring2_based on steps'!$B$1:$AY$1,H$1)+SUMIFS('changes2_based on steps'!$B188:$U188,'changes2_based on steps'!$B$1:$U$1,H$1)</f>
        <v>0</v>
      </c>
      <c r="I188" s="155">
        <f>SUMIFS('recurring2_based on steps'!$B188:$AY188,'recurring2_based on steps'!$B$1:$AY$1,I$1)+SUMIFS('changes2_based on steps'!$B188:$U188,'changes2_based on steps'!$B$1:$U$1,I$1)</f>
        <v>0</v>
      </c>
      <c r="J188" s="155">
        <f>SUMIFS('recurring2_based on steps'!$B188:$AY188,'recurring2_based on steps'!$B$1:$AY$1,J$1)+SUMIFS('changes2_based on steps'!$B188:$U188,'changes2_based on steps'!$B$1:$U$1,J$1)</f>
        <v>0</v>
      </c>
      <c r="K188" s="155">
        <f>SUMIFS('recurring2_based on steps'!$B188:$AY188,'recurring2_based on steps'!$B$1:$AY$1,K$1)+SUMIFS('changes2_based on steps'!$B188:$U188,'changes2_based on steps'!$B$1:$U$1,K$1)</f>
        <v>0</v>
      </c>
      <c r="L188" s="155">
        <f>SUMIFS('recurring2_based on steps'!$B188:$AY188,'recurring2_based on steps'!$B$1:$AY$1,L$1)+SUMIFS('changes2_based on steps'!$B188:$U188,'changes2_based on steps'!$B$1:$U$1,L$1)</f>
        <v>0</v>
      </c>
      <c r="M188" s="155">
        <f ca="1">SUMIFS('recurring2_based on steps'!$B188:$AY188,'recurring2_based on steps'!$B$1:$AY$1,M$1)+SUMIFS('changes2_based on steps'!$B188:$U188,'changes2_based on steps'!$B$1:$U$1,M$1)</f>
        <v>0</v>
      </c>
      <c r="N188" s="155">
        <f ca="1">SUMIFS('recurring2_based on steps'!$B188:$AY188,'recurring2_based on steps'!$B$1:$AY$1,N$1)+SUMIFS('changes2_based on steps'!$B188:$U188,'changes2_based on steps'!$B$1:$U$1,N$1)</f>
        <v>0</v>
      </c>
      <c r="O188" s="155">
        <f ca="1">SUMIFS('recurring2_based on steps'!$B188:$AY188,'recurring2_based on steps'!$B$1:$AY$1,O$1)+SUMIFS('changes2_based on steps'!$B188:$U188,'changes2_based on steps'!$B$1:$U$1,O$1)</f>
        <v>0</v>
      </c>
      <c r="P188" s="155">
        <f ca="1">SUMIFS('recurring2_based on steps'!$B188:$AY188,'recurring2_based on steps'!$B$1:$AY$1,P$1)+SUMIFS('changes2_based on steps'!$B188:$U188,'changes2_based on steps'!$B$1:$U$1,P$1)</f>
        <v>0</v>
      </c>
      <c r="Q188" s="155">
        <f>SUMIFS('recurring2_based on steps'!$B188:$AY188,'recurring2_based on steps'!$B$1:$AY$1,Q$1)+SUMIFS('changes2_based on steps'!$B188:$U188,'changes2_based on steps'!$B$1:$U$1,Q$1)</f>
        <v>0</v>
      </c>
      <c r="R188" s="155">
        <f ca="1">SUMIFS('recurring2_based on steps'!$B188:$AY188,'recurring2_based on steps'!$B$1:$AY$1,R$1)+SUMIFS('changes2_based on steps'!$B188:$U188,'changes2_based on steps'!$B$1:$U$1,R$1)</f>
        <v>0</v>
      </c>
      <c r="S188" s="155">
        <f ca="1">SUMIFS('recurring2_based on steps'!$B188:$AY188,'recurring2_based on steps'!$B$1:$AY$1,S$1)+SUMIFS('changes2_based on steps'!$B188:$U188,'changes2_based on steps'!$B$1:$U$1,S$1)</f>
        <v>0</v>
      </c>
      <c r="T188" s="155">
        <f>SUMIFS('recurring2_based on steps'!$B188:$AY188,'recurring2_based on steps'!$B$1:$AY$1,T$1)+SUMIFS('changes2_based on steps'!$B188:$U188,'changes2_based on steps'!$B$1:$U$1,T$1)</f>
        <v>0</v>
      </c>
      <c r="U188" s="155">
        <f ca="1">SUMIFS('recurring2_based on steps'!$B188:$AY188,'recurring2_based on steps'!$B$1:$AY$1,U$1)+SUMIFS('changes2_based on steps'!$B188:$U188,'changes2_based on steps'!$B$1:$U$1,U$1)</f>
        <v>0</v>
      </c>
      <c r="V188" s="155">
        <f>SUMIFS('recurring2_based on steps'!$B188:$AY188,'recurring2_based on steps'!$B$1:$AY$1,V$1)+SUMIFS('changes2_based on steps'!$B188:$U188,'changes2_based on steps'!$B$1:$U$1,V$1)</f>
        <v>0</v>
      </c>
      <c r="W188" s="155">
        <f ca="1">SUMIFS('recurring2_based on steps'!$B188:$AY188,'recurring2_based on steps'!$B$1:$AY$1,W$1)+SUMIFS('changes2_based on steps'!$B188:$U188,'changes2_based on steps'!$B$1:$U$1,W$1)</f>
        <v>0</v>
      </c>
      <c r="X188" s="155">
        <f ca="1">SUMIFS('recurring2_based on steps'!$B188:$AY188,'recurring2_based on steps'!$B$1:$AY$1,X$1)+SUMIFS('changes2_based on steps'!$B188:$U188,'changes2_based on steps'!$B$1:$U$1,X$1)</f>
        <v>0</v>
      </c>
      <c r="Y188" s="155">
        <f ca="1">SUMIFS('recurring2_based on steps'!$B188:$AY188,'recurring2_based on steps'!$B$1:$AY$1,Y$1)+SUMIFS('changes2_based on steps'!$B188:$U188,'changes2_based on steps'!$B$1:$U$1,Y$1)</f>
        <v>0</v>
      </c>
      <c r="Z188" s="155">
        <f>SUMIFS('recurring2_based on steps'!$B188:$AY188,'recurring2_based on steps'!$B$1:$AY$1,Z$1)+SUMIFS('changes2_based on steps'!$B188:$U188,'changes2_based on steps'!$B$1:$U$1,Z$1)</f>
        <v>0</v>
      </c>
      <c r="AA188" s="155">
        <f>SUMIFS('recurring2_based on steps'!$B188:$AY188,'recurring2_based on steps'!$B$1:$AY$1,AA$1)+SUMIFS('changes2_based on steps'!$B188:$U188,'changes2_based on steps'!$B$1:$U$1,AA$1)</f>
        <v>0</v>
      </c>
    </row>
    <row r="189" spans="1:27" x14ac:dyDescent="0.2">
      <c r="A189" s="18">
        <f t="shared" ca="1" si="2"/>
        <v>45875</v>
      </c>
      <c r="B189" s="155">
        <f ca="1">SUMIFS('recurring2_based on steps'!$B189:$AY189,'recurring2_based on steps'!$B$1:$AY$1,B$1)+SUMIFS('changes2_based on steps'!$B189:$U189,'changes2_based on steps'!$B$1:$U$1,B$1)</f>
        <v>0</v>
      </c>
      <c r="C189" s="155">
        <f>SUMIFS('recurring2_based on steps'!$B189:$AY189,'recurring2_based on steps'!$B$1:$AY$1,C$1)+SUMIFS('changes2_based on steps'!$B189:$U189,'changes2_based on steps'!$B$1:$U$1,C$1)</f>
        <v>0</v>
      </c>
      <c r="D189" s="155">
        <f>SUMIFS('recurring2_based on steps'!$B189:$AY189,'recurring2_based on steps'!$B$1:$AY$1,D$1)+SUMIFS('changes2_based on steps'!$B189:$U189,'changes2_based on steps'!$B$1:$U$1,D$1)</f>
        <v>0</v>
      </c>
      <c r="E189" s="155">
        <f>SUMIFS('recurring2_based on steps'!$B189:$AY189,'recurring2_based on steps'!$B$1:$AY$1,E$1)+SUMIFS('changes2_based on steps'!$B189:$U189,'changes2_based on steps'!$B$1:$U$1,E$1)</f>
        <v>0</v>
      </c>
      <c r="F189" s="155">
        <f>SUMIFS('recurring2_based on steps'!$B189:$AY189,'recurring2_based on steps'!$B$1:$AY$1,F$1)+SUMIFS('changes2_based on steps'!$B189:$U189,'changes2_based on steps'!$B$1:$U$1,F$1)</f>
        <v>0</v>
      </c>
      <c r="G189" s="155">
        <f>SUMIFS('recurring2_based on steps'!$B189:$AY189,'recurring2_based on steps'!$B$1:$AY$1,G$1)+SUMIFS('changes2_based on steps'!$B189:$U189,'changes2_based on steps'!$B$1:$U$1,G$1)</f>
        <v>0</v>
      </c>
      <c r="H189" s="155">
        <f ca="1">SUMIFS('recurring2_based on steps'!$B189:$AY189,'recurring2_based on steps'!$B$1:$AY$1,H$1)+SUMIFS('changes2_based on steps'!$B189:$U189,'changes2_based on steps'!$B$1:$U$1,H$1)</f>
        <v>0</v>
      </c>
      <c r="I189" s="155">
        <f>SUMIFS('recurring2_based on steps'!$B189:$AY189,'recurring2_based on steps'!$B$1:$AY$1,I$1)+SUMIFS('changes2_based on steps'!$B189:$U189,'changes2_based on steps'!$B$1:$U$1,I$1)</f>
        <v>0</v>
      </c>
      <c r="J189" s="155">
        <f>SUMIFS('recurring2_based on steps'!$B189:$AY189,'recurring2_based on steps'!$B$1:$AY$1,J$1)+SUMIFS('changes2_based on steps'!$B189:$U189,'changes2_based on steps'!$B$1:$U$1,J$1)</f>
        <v>0</v>
      </c>
      <c r="K189" s="155">
        <f>SUMIFS('recurring2_based on steps'!$B189:$AY189,'recurring2_based on steps'!$B$1:$AY$1,K$1)+SUMIFS('changes2_based on steps'!$B189:$U189,'changes2_based on steps'!$B$1:$U$1,K$1)</f>
        <v>0</v>
      </c>
      <c r="L189" s="155">
        <f>SUMIFS('recurring2_based on steps'!$B189:$AY189,'recurring2_based on steps'!$B$1:$AY$1,L$1)+SUMIFS('changes2_based on steps'!$B189:$U189,'changes2_based on steps'!$B$1:$U$1,L$1)</f>
        <v>0</v>
      </c>
      <c r="M189" s="155">
        <f ca="1">SUMIFS('recurring2_based on steps'!$B189:$AY189,'recurring2_based on steps'!$B$1:$AY$1,M$1)+SUMIFS('changes2_based on steps'!$B189:$U189,'changes2_based on steps'!$B$1:$U$1,M$1)</f>
        <v>0</v>
      </c>
      <c r="N189" s="155">
        <f ca="1">SUMIFS('recurring2_based on steps'!$B189:$AY189,'recurring2_based on steps'!$B$1:$AY$1,N$1)+SUMIFS('changes2_based on steps'!$B189:$U189,'changes2_based on steps'!$B$1:$U$1,N$1)</f>
        <v>0</v>
      </c>
      <c r="O189" s="155">
        <f ca="1">SUMIFS('recurring2_based on steps'!$B189:$AY189,'recurring2_based on steps'!$B$1:$AY$1,O$1)+SUMIFS('changes2_based on steps'!$B189:$U189,'changes2_based on steps'!$B$1:$U$1,O$1)</f>
        <v>0</v>
      </c>
      <c r="P189" s="155">
        <f ca="1">SUMIFS('recurring2_based on steps'!$B189:$AY189,'recurring2_based on steps'!$B$1:$AY$1,P$1)+SUMIFS('changes2_based on steps'!$B189:$U189,'changes2_based on steps'!$B$1:$U$1,P$1)</f>
        <v>0</v>
      </c>
      <c r="Q189" s="155">
        <f>SUMIFS('recurring2_based on steps'!$B189:$AY189,'recurring2_based on steps'!$B$1:$AY$1,Q$1)+SUMIFS('changes2_based on steps'!$B189:$U189,'changes2_based on steps'!$B$1:$U$1,Q$1)</f>
        <v>0</v>
      </c>
      <c r="R189" s="155">
        <f ca="1">SUMIFS('recurring2_based on steps'!$B189:$AY189,'recurring2_based on steps'!$B$1:$AY$1,R$1)+SUMIFS('changes2_based on steps'!$B189:$U189,'changes2_based on steps'!$B$1:$U$1,R$1)</f>
        <v>0</v>
      </c>
      <c r="S189" s="155">
        <f ca="1">SUMIFS('recurring2_based on steps'!$B189:$AY189,'recurring2_based on steps'!$B$1:$AY$1,S$1)+SUMIFS('changes2_based on steps'!$B189:$U189,'changes2_based on steps'!$B$1:$U$1,S$1)</f>
        <v>0</v>
      </c>
      <c r="T189" s="155">
        <f>SUMIFS('recurring2_based on steps'!$B189:$AY189,'recurring2_based on steps'!$B$1:$AY$1,T$1)+SUMIFS('changes2_based on steps'!$B189:$U189,'changes2_based on steps'!$B$1:$U$1,T$1)</f>
        <v>0</v>
      </c>
      <c r="U189" s="155">
        <f ca="1">SUMIFS('recurring2_based on steps'!$B189:$AY189,'recurring2_based on steps'!$B$1:$AY$1,U$1)+SUMIFS('changes2_based on steps'!$B189:$U189,'changes2_based on steps'!$B$1:$U$1,U$1)</f>
        <v>0</v>
      </c>
      <c r="V189" s="155">
        <f>SUMIFS('recurring2_based on steps'!$B189:$AY189,'recurring2_based on steps'!$B$1:$AY$1,V$1)+SUMIFS('changes2_based on steps'!$B189:$U189,'changes2_based on steps'!$B$1:$U$1,V$1)</f>
        <v>0</v>
      </c>
      <c r="W189" s="155">
        <f ca="1">SUMIFS('recurring2_based on steps'!$B189:$AY189,'recurring2_based on steps'!$B$1:$AY$1,W$1)+SUMIFS('changes2_based on steps'!$B189:$U189,'changes2_based on steps'!$B$1:$U$1,W$1)</f>
        <v>0</v>
      </c>
      <c r="X189" s="155">
        <f ca="1">SUMIFS('recurring2_based on steps'!$B189:$AY189,'recurring2_based on steps'!$B$1:$AY$1,X$1)+SUMIFS('changes2_based on steps'!$B189:$U189,'changes2_based on steps'!$B$1:$U$1,X$1)</f>
        <v>0</v>
      </c>
      <c r="Y189" s="155">
        <f ca="1">SUMIFS('recurring2_based on steps'!$B189:$AY189,'recurring2_based on steps'!$B$1:$AY$1,Y$1)+SUMIFS('changes2_based on steps'!$B189:$U189,'changes2_based on steps'!$B$1:$U$1,Y$1)</f>
        <v>0</v>
      </c>
      <c r="Z189" s="155">
        <f>SUMIFS('recurring2_based on steps'!$B189:$AY189,'recurring2_based on steps'!$B$1:$AY$1,Z$1)+SUMIFS('changes2_based on steps'!$B189:$U189,'changes2_based on steps'!$B$1:$U$1,Z$1)</f>
        <v>0</v>
      </c>
      <c r="AA189" s="155">
        <f>SUMIFS('recurring2_based on steps'!$B189:$AY189,'recurring2_based on steps'!$B$1:$AY$1,AA$1)+SUMIFS('changes2_based on steps'!$B189:$U189,'changes2_based on steps'!$B$1:$U$1,AA$1)</f>
        <v>0</v>
      </c>
    </row>
    <row r="190" spans="1:27" x14ac:dyDescent="0.2">
      <c r="A190" s="18">
        <f t="shared" ca="1" si="2"/>
        <v>45876</v>
      </c>
      <c r="B190" s="155">
        <f ca="1">SUMIFS('recurring2_based on steps'!$B190:$AY190,'recurring2_based on steps'!$B$1:$AY$1,B$1)+SUMIFS('changes2_based on steps'!$B190:$U190,'changes2_based on steps'!$B$1:$U$1,B$1)</f>
        <v>0</v>
      </c>
      <c r="C190" s="155">
        <f>SUMIFS('recurring2_based on steps'!$B190:$AY190,'recurring2_based on steps'!$B$1:$AY$1,C$1)+SUMIFS('changes2_based on steps'!$B190:$U190,'changes2_based on steps'!$B$1:$U$1,C$1)</f>
        <v>0</v>
      </c>
      <c r="D190" s="155">
        <f>SUMIFS('recurring2_based on steps'!$B190:$AY190,'recurring2_based on steps'!$B$1:$AY$1,D$1)+SUMIFS('changes2_based on steps'!$B190:$U190,'changes2_based on steps'!$B$1:$U$1,D$1)</f>
        <v>0</v>
      </c>
      <c r="E190" s="155">
        <f>SUMIFS('recurring2_based on steps'!$B190:$AY190,'recurring2_based on steps'!$B$1:$AY$1,E$1)+SUMIFS('changes2_based on steps'!$B190:$U190,'changes2_based on steps'!$B$1:$U$1,E$1)</f>
        <v>0</v>
      </c>
      <c r="F190" s="155">
        <f>SUMIFS('recurring2_based on steps'!$B190:$AY190,'recurring2_based on steps'!$B$1:$AY$1,F$1)+SUMIFS('changes2_based on steps'!$B190:$U190,'changes2_based on steps'!$B$1:$U$1,F$1)</f>
        <v>0</v>
      </c>
      <c r="G190" s="155">
        <f>SUMIFS('recurring2_based on steps'!$B190:$AY190,'recurring2_based on steps'!$B$1:$AY$1,G$1)+SUMIFS('changes2_based on steps'!$B190:$U190,'changes2_based on steps'!$B$1:$U$1,G$1)</f>
        <v>0</v>
      </c>
      <c r="H190" s="155">
        <f ca="1">SUMIFS('recurring2_based on steps'!$B190:$AY190,'recurring2_based on steps'!$B$1:$AY$1,H$1)+SUMIFS('changes2_based on steps'!$B190:$U190,'changes2_based on steps'!$B$1:$U$1,H$1)</f>
        <v>0</v>
      </c>
      <c r="I190" s="155">
        <f>SUMIFS('recurring2_based on steps'!$B190:$AY190,'recurring2_based on steps'!$B$1:$AY$1,I$1)+SUMIFS('changes2_based on steps'!$B190:$U190,'changes2_based on steps'!$B$1:$U$1,I$1)</f>
        <v>0</v>
      </c>
      <c r="J190" s="155">
        <f>SUMIFS('recurring2_based on steps'!$B190:$AY190,'recurring2_based on steps'!$B$1:$AY$1,J$1)+SUMIFS('changes2_based on steps'!$B190:$U190,'changes2_based on steps'!$B$1:$U$1,J$1)</f>
        <v>0</v>
      </c>
      <c r="K190" s="155">
        <f>SUMIFS('recurring2_based on steps'!$B190:$AY190,'recurring2_based on steps'!$B$1:$AY$1,K$1)+SUMIFS('changes2_based on steps'!$B190:$U190,'changes2_based on steps'!$B$1:$U$1,K$1)</f>
        <v>0</v>
      </c>
      <c r="L190" s="155">
        <f>SUMIFS('recurring2_based on steps'!$B190:$AY190,'recurring2_based on steps'!$B$1:$AY$1,L$1)+SUMIFS('changes2_based on steps'!$B190:$U190,'changes2_based on steps'!$B$1:$U$1,L$1)</f>
        <v>0</v>
      </c>
      <c r="M190" s="155">
        <f ca="1">SUMIFS('recurring2_based on steps'!$B190:$AY190,'recurring2_based on steps'!$B$1:$AY$1,M$1)+SUMIFS('changes2_based on steps'!$B190:$U190,'changes2_based on steps'!$B$1:$U$1,M$1)</f>
        <v>0</v>
      </c>
      <c r="N190" s="155">
        <f ca="1">SUMIFS('recurring2_based on steps'!$B190:$AY190,'recurring2_based on steps'!$B$1:$AY$1,N$1)+SUMIFS('changes2_based on steps'!$B190:$U190,'changes2_based on steps'!$B$1:$U$1,N$1)</f>
        <v>0</v>
      </c>
      <c r="O190" s="155">
        <f ca="1">SUMIFS('recurring2_based on steps'!$B190:$AY190,'recurring2_based on steps'!$B$1:$AY$1,O$1)+SUMIFS('changes2_based on steps'!$B190:$U190,'changes2_based on steps'!$B$1:$U$1,O$1)</f>
        <v>0</v>
      </c>
      <c r="P190" s="155">
        <f ca="1">SUMIFS('recurring2_based on steps'!$B190:$AY190,'recurring2_based on steps'!$B$1:$AY$1,P$1)+SUMIFS('changes2_based on steps'!$B190:$U190,'changes2_based on steps'!$B$1:$U$1,P$1)</f>
        <v>0</v>
      </c>
      <c r="Q190" s="155">
        <f>SUMIFS('recurring2_based on steps'!$B190:$AY190,'recurring2_based on steps'!$B$1:$AY$1,Q$1)+SUMIFS('changes2_based on steps'!$B190:$U190,'changes2_based on steps'!$B$1:$U$1,Q$1)</f>
        <v>0</v>
      </c>
      <c r="R190" s="155">
        <f ca="1">SUMIFS('recurring2_based on steps'!$B190:$AY190,'recurring2_based on steps'!$B$1:$AY$1,R$1)+SUMIFS('changes2_based on steps'!$B190:$U190,'changes2_based on steps'!$B$1:$U$1,R$1)</f>
        <v>0</v>
      </c>
      <c r="S190" s="155">
        <f ca="1">SUMIFS('recurring2_based on steps'!$B190:$AY190,'recurring2_based on steps'!$B$1:$AY$1,S$1)+SUMIFS('changes2_based on steps'!$B190:$U190,'changes2_based on steps'!$B$1:$U$1,S$1)</f>
        <v>0</v>
      </c>
      <c r="T190" s="155">
        <f>SUMIFS('recurring2_based on steps'!$B190:$AY190,'recurring2_based on steps'!$B$1:$AY$1,T$1)+SUMIFS('changes2_based on steps'!$B190:$U190,'changes2_based on steps'!$B$1:$U$1,T$1)</f>
        <v>0</v>
      </c>
      <c r="U190" s="155">
        <f ca="1">SUMIFS('recurring2_based on steps'!$B190:$AY190,'recurring2_based on steps'!$B$1:$AY$1,U$1)+SUMIFS('changes2_based on steps'!$B190:$U190,'changes2_based on steps'!$B$1:$U$1,U$1)</f>
        <v>0</v>
      </c>
      <c r="V190" s="155">
        <f>SUMIFS('recurring2_based on steps'!$B190:$AY190,'recurring2_based on steps'!$B$1:$AY$1,V$1)+SUMIFS('changes2_based on steps'!$B190:$U190,'changes2_based on steps'!$B$1:$U$1,V$1)</f>
        <v>0</v>
      </c>
      <c r="W190" s="155">
        <f ca="1">SUMIFS('recurring2_based on steps'!$B190:$AY190,'recurring2_based on steps'!$B$1:$AY$1,W$1)+SUMIFS('changes2_based on steps'!$B190:$U190,'changes2_based on steps'!$B$1:$U$1,W$1)</f>
        <v>0</v>
      </c>
      <c r="X190" s="155">
        <f ca="1">SUMIFS('recurring2_based on steps'!$B190:$AY190,'recurring2_based on steps'!$B$1:$AY$1,X$1)+SUMIFS('changes2_based on steps'!$B190:$U190,'changes2_based on steps'!$B$1:$U$1,X$1)</f>
        <v>0</v>
      </c>
      <c r="Y190" s="155">
        <f ca="1">SUMIFS('recurring2_based on steps'!$B190:$AY190,'recurring2_based on steps'!$B$1:$AY$1,Y$1)+SUMIFS('changes2_based on steps'!$B190:$U190,'changes2_based on steps'!$B$1:$U$1,Y$1)</f>
        <v>0</v>
      </c>
      <c r="Z190" s="155">
        <f>SUMIFS('recurring2_based on steps'!$B190:$AY190,'recurring2_based on steps'!$B$1:$AY$1,Z$1)+SUMIFS('changes2_based on steps'!$B190:$U190,'changes2_based on steps'!$B$1:$U$1,Z$1)</f>
        <v>0</v>
      </c>
      <c r="AA190" s="155">
        <f>SUMIFS('recurring2_based on steps'!$B190:$AY190,'recurring2_based on steps'!$B$1:$AY$1,AA$1)+SUMIFS('changes2_based on steps'!$B190:$U190,'changes2_based on steps'!$B$1:$U$1,AA$1)</f>
        <v>0</v>
      </c>
    </row>
    <row r="191" spans="1:27" x14ac:dyDescent="0.2">
      <c r="A191" s="18">
        <f t="shared" ca="1" si="2"/>
        <v>45877</v>
      </c>
      <c r="B191" s="155">
        <f ca="1">SUMIFS('recurring2_based on steps'!$B191:$AY191,'recurring2_based on steps'!$B$1:$AY$1,B$1)+SUMIFS('changes2_based on steps'!$B191:$U191,'changes2_based on steps'!$B$1:$U$1,B$1)</f>
        <v>4000</v>
      </c>
      <c r="C191" s="155">
        <f>SUMIFS('recurring2_based on steps'!$B191:$AY191,'recurring2_based on steps'!$B$1:$AY$1,C$1)+SUMIFS('changes2_based on steps'!$B191:$U191,'changes2_based on steps'!$B$1:$U$1,C$1)</f>
        <v>0</v>
      </c>
      <c r="D191" s="155">
        <f>SUMIFS('recurring2_based on steps'!$B191:$AY191,'recurring2_based on steps'!$B$1:$AY$1,D$1)+SUMIFS('changes2_based on steps'!$B191:$U191,'changes2_based on steps'!$B$1:$U$1,D$1)</f>
        <v>0</v>
      </c>
      <c r="E191" s="155">
        <f>SUMIFS('recurring2_based on steps'!$B191:$AY191,'recurring2_based on steps'!$B$1:$AY$1,E$1)+SUMIFS('changes2_based on steps'!$B191:$U191,'changes2_based on steps'!$B$1:$U$1,E$1)</f>
        <v>0</v>
      </c>
      <c r="F191" s="155">
        <f>SUMIFS('recurring2_based on steps'!$B191:$AY191,'recurring2_based on steps'!$B$1:$AY$1,F$1)+SUMIFS('changes2_based on steps'!$B191:$U191,'changes2_based on steps'!$B$1:$U$1,F$1)</f>
        <v>0</v>
      </c>
      <c r="G191" s="155">
        <f>SUMIFS('recurring2_based on steps'!$B191:$AY191,'recurring2_based on steps'!$B$1:$AY$1,G$1)+SUMIFS('changes2_based on steps'!$B191:$U191,'changes2_based on steps'!$B$1:$U$1,G$1)</f>
        <v>0</v>
      </c>
      <c r="H191" s="155">
        <f ca="1">SUMIFS('recurring2_based on steps'!$B191:$AY191,'recurring2_based on steps'!$B$1:$AY$1,H$1)+SUMIFS('changes2_based on steps'!$B191:$U191,'changes2_based on steps'!$B$1:$U$1,H$1)</f>
        <v>96</v>
      </c>
      <c r="I191" s="155">
        <f>SUMIFS('recurring2_based on steps'!$B191:$AY191,'recurring2_based on steps'!$B$1:$AY$1,I$1)+SUMIFS('changes2_based on steps'!$B191:$U191,'changes2_based on steps'!$B$1:$U$1,I$1)</f>
        <v>0</v>
      </c>
      <c r="J191" s="155">
        <f>SUMIFS('recurring2_based on steps'!$B191:$AY191,'recurring2_based on steps'!$B$1:$AY$1,J$1)+SUMIFS('changes2_based on steps'!$B191:$U191,'changes2_based on steps'!$B$1:$U$1,J$1)</f>
        <v>0</v>
      </c>
      <c r="K191" s="155">
        <f>SUMIFS('recurring2_based on steps'!$B191:$AY191,'recurring2_based on steps'!$B$1:$AY$1,K$1)+SUMIFS('changes2_based on steps'!$B191:$U191,'changes2_based on steps'!$B$1:$U$1,K$1)</f>
        <v>0</v>
      </c>
      <c r="L191" s="155">
        <f>SUMIFS('recurring2_based on steps'!$B191:$AY191,'recurring2_based on steps'!$B$1:$AY$1,L$1)+SUMIFS('changes2_based on steps'!$B191:$U191,'changes2_based on steps'!$B$1:$U$1,L$1)</f>
        <v>0</v>
      </c>
      <c r="M191" s="155">
        <f ca="1">SUMIFS('recurring2_based on steps'!$B191:$AY191,'recurring2_based on steps'!$B$1:$AY$1,M$1)+SUMIFS('changes2_based on steps'!$B191:$U191,'changes2_based on steps'!$B$1:$U$1,M$1)</f>
        <v>0</v>
      </c>
      <c r="N191" s="155">
        <f ca="1">SUMIFS('recurring2_based on steps'!$B191:$AY191,'recurring2_based on steps'!$B$1:$AY$1,N$1)+SUMIFS('changes2_based on steps'!$B191:$U191,'changes2_based on steps'!$B$1:$U$1,N$1)</f>
        <v>0</v>
      </c>
      <c r="O191" s="155">
        <f ca="1">SUMIFS('recurring2_based on steps'!$B191:$AY191,'recurring2_based on steps'!$B$1:$AY$1,O$1)+SUMIFS('changes2_based on steps'!$B191:$U191,'changes2_based on steps'!$B$1:$U$1,O$1)</f>
        <v>0</v>
      </c>
      <c r="P191" s="155">
        <f ca="1">SUMIFS('recurring2_based on steps'!$B191:$AY191,'recurring2_based on steps'!$B$1:$AY$1,P$1)+SUMIFS('changes2_based on steps'!$B191:$U191,'changes2_based on steps'!$B$1:$U$1,P$1)</f>
        <v>0</v>
      </c>
      <c r="Q191" s="155">
        <f>SUMIFS('recurring2_based on steps'!$B191:$AY191,'recurring2_based on steps'!$B$1:$AY$1,Q$1)+SUMIFS('changes2_based on steps'!$B191:$U191,'changes2_based on steps'!$B$1:$U$1,Q$1)</f>
        <v>0</v>
      </c>
      <c r="R191" s="155">
        <f ca="1">SUMIFS('recurring2_based on steps'!$B191:$AY191,'recurring2_based on steps'!$B$1:$AY$1,R$1)+SUMIFS('changes2_based on steps'!$B191:$U191,'changes2_based on steps'!$B$1:$U$1,R$1)</f>
        <v>0</v>
      </c>
      <c r="S191" s="155">
        <f ca="1">SUMIFS('recurring2_based on steps'!$B191:$AY191,'recurring2_based on steps'!$B$1:$AY$1,S$1)+SUMIFS('changes2_based on steps'!$B191:$U191,'changes2_based on steps'!$B$1:$U$1,S$1)</f>
        <v>0</v>
      </c>
      <c r="T191" s="155">
        <f>SUMIFS('recurring2_based on steps'!$B191:$AY191,'recurring2_based on steps'!$B$1:$AY$1,T$1)+SUMIFS('changes2_based on steps'!$B191:$U191,'changes2_based on steps'!$B$1:$U$1,T$1)</f>
        <v>0</v>
      </c>
      <c r="U191" s="155">
        <f ca="1">SUMIFS('recurring2_based on steps'!$B191:$AY191,'recurring2_based on steps'!$B$1:$AY$1,U$1)+SUMIFS('changes2_based on steps'!$B191:$U191,'changes2_based on steps'!$B$1:$U$1,U$1)</f>
        <v>0</v>
      </c>
      <c r="V191" s="155">
        <f>SUMIFS('recurring2_based on steps'!$B191:$AY191,'recurring2_based on steps'!$B$1:$AY$1,V$1)+SUMIFS('changes2_based on steps'!$B191:$U191,'changes2_based on steps'!$B$1:$U$1,V$1)</f>
        <v>0</v>
      </c>
      <c r="W191" s="155">
        <f ca="1">SUMIFS('recurring2_based on steps'!$B191:$AY191,'recurring2_based on steps'!$B$1:$AY$1,W$1)+SUMIFS('changes2_based on steps'!$B191:$U191,'changes2_based on steps'!$B$1:$U$1,W$1)</f>
        <v>50</v>
      </c>
      <c r="X191" s="155">
        <f ca="1">SUMIFS('recurring2_based on steps'!$B191:$AY191,'recurring2_based on steps'!$B$1:$AY$1,X$1)+SUMIFS('changes2_based on steps'!$B191:$U191,'changes2_based on steps'!$B$1:$U$1,X$1)</f>
        <v>200</v>
      </c>
      <c r="Y191" s="155">
        <f ca="1">SUMIFS('recurring2_based on steps'!$B191:$AY191,'recurring2_based on steps'!$B$1:$AY$1,Y$1)+SUMIFS('changes2_based on steps'!$B191:$U191,'changes2_based on steps'!$B$1:$U$1,Y$1)</f>
        <v>0</v>
      </c>
      <c r="Z191" s="155">
        <f>SUMIFS('recurring2_based on steps'!$B191:$AY191,'recurring2_based on steps'!$B$1:$AY$1,Z$1)+SUMIFS('changes2_based on steps'!$B191:$U191,'changes2_based on steps'!$B$1:$U$1,Z$1)</f>
        <v>0</v>
      </c>
      <c r="AA191" s="155">
        <f>SUMIFS('recurring2_based on steps'!$B191:$AY191,'recurring2_based on steps'!$B$1:$AY$1,AA$1)+SUMIFS('changes2_based on steps'!$B191:$U191,'changes2_based on steps'!$B$1:$U$1,AA$1)</f>
        <v>0</v>
      </c>
    </row>
    <row r="192" spans="1:27" x14ac:dyDescent="0.2">
      <c r="A192" s="18">
        <f t="shared" ca="1" si="2"/>
        <v>45878</v>
      </c>
      <c r="B192" s="155">
        <f ca="1">SUMIFS('recurring2_based on steps'!$B192:$AY192,'recurring2_based on steps'!$B$1:$AY$1,B$1)+SUMIFS('changes2_based on steps'!$B192:$U192,'changes2_based on steps'!$B$1:$U$1,B$1)</f>
        <v>0</v>
      </c>
      <c r="C192" s="155">
        <f>SUMIFS('recurring2_based on steps'!$B192:$AY192,'recurring2_based on steps'!$B$1:$AY$1,C$1)+SUMIFS('changes2_based on steps'!$B192:$U192,'changes2_based on steps'!$B$1:$U$1,C$1)</f>
        <v>0</v>
      </c>
      <c r="D192" s="155">
        <f>SUMIFS('recurring2_based on steps'!$B192:$AY192,'recurring2_based on steps'!$B$1:$AY$1,D$1)+SUMIFS('changes2_based on steps'!$B192:$U192,'changes2_based on steps'!$B$1:$U$1,D$1)</f>
        <v>0</v>
      </c>
      <c r="E192" s="155">
        <f>SUMIFS('recurring2_based on steps'!$B192:$AY192,'recurring2_based on steps'!$B$1:$AY$1,E$1)+SUMIFS('changes2_based on steps'!$B192:$U192,'changes2_based on steps'!$B$1:$U$1,E$1)</f>
        <v>0</v>
      </c>
      <c r="F192" s="155">
        <f>SUMIFS('recurring2_based on steps'!$B192:$AY192,'recurring2_based on steps'!$B$1:$AY$1,F$1)+SUMIFS('changes2_based on steps'!$B192:$U192,'changes2_based on steps'!$B$1:$U$1,F$1)</f>
        <v>0</v>
      </c>
      <c r="G192" s="155">
        <f>SUMIFS('recurring2_based on steps'!$B192:$AY192,'recurring2_based on steps'!$B$1:$AY$1,G$1)+SUMIFS('changes2_based on steps'!$B192:$U192,'changes2_based on steps'!$B$1:$U$1,G$1)</f>
        <v>0</v>
      </c>
      <c r="H192" s="155">
        <f ca="1">SUMIFS('recurring2_based on steps'!$B192:$AY192,'recurring2_based on steps'!$B$1:$AY$1,H$1)+SUMIFS('changes2_based on steps'!$B192:$U192,'changes2_based on steps'!$B$1:$U$1,H$1)</f>
        <v>0</v>
      </c>
      <c r="I192" s="155">
        <f>SUMIFS('recurring2_based on steps'!$B192:$AY192,'recurring2_based on steps'!$B$1:$AY$1,I$1)+SUMIFS('changes2_based on steps'!$B192:$U192,'changes2_based on steps'!$B$1:$U$1,I$1)</f>
        <v>0</v>
      </c>
      <c r="J192" s="155">
        <f>SUMIFS('recurring2_based on steps'!$B192:$AY192,'recurring2_based on steps'!$B$1:$AY$1,J$1)+SUMIFS('changes2_based on steps'!$B192:$U192,'changes2_based on steps'!$B$1:$U$1,J$1)</f>
        <v>0</v>
      </c>
      <c r="K192" s="155">
        <f>SUMIFS('recurring2_based on steps'!$B192:$AY192,'recurring2_based on steps'!$B$1:$AY$1,K$1)+SUMIFS('changes2_based on steps'!$B192:$U192,'changes2_based on steps'!$B$1:$U$1,K$1)</f>
        <v>0</v>
      </c>
      <c r="L192" s="155">
        <f>SUMIFS('recurring2_based on steps'!$B192:$AY192,'recurring2_based on steps'!$B$1:$AY$1,L$1)+SUMIFS('changes2_based on steps'!$B192:$U192,'changes2_based on steps'!$B$1:$U$1,L$1)</f>
        <v>0</v>
      </c>
      <c r="M192" s="155">
        <f ca="1">SUMIFS('recurring2_based on steps'!$B192:$AY192,'recurring2_based on steps'!$B$1:$AY$1,M$1)+SUMIFS('changes2_based on steps'!$B192:$U192,'changes2_based on steps'!$B$1:$U$1,M$1)</f>
        <v>0</v>
      </c>
      <c r="N192" s="155">
        <f ca="1">SUMIFS('recurring2_based on steps'!$B192:$AY192,'recurring2_based on steps'!$B$1:$AY$1,N$1)+SUMIFS('changes2_based on steps'!$B192:$U192,'changes2_based on steps'!$B$1:$U$1,N$1)</f>
        <v>0</v>
      </c>
      <c r="O192" s="155">
        <f ca="1">SUMIFS('recurring2_based on steps'!$B192:$AY192,'recurring2_based on steps'!$B$1:$AY$1,O$1)+SUMIFS('changes2_based on steps'!$B192:$U192,'changes2_based on steps'!$B$1:$U$1,O$1)</f>
        <v>0</v>
      </c>
      <c r="P192" s="155">
        <f ca="1">SUMIFS('recurring2_based on steps'!$B192:$AY192,'recurring2_based on steps'!$B$1:$AY$1,P$1)+SUMIFS('changes2_based on steps'!$B192:$U192,'changes2_based on steps'!$B$1:$U$1,P$1)</f>
        <v>0</v>
      </c>
      <c r="Q192" s="155">
        <f>SUMIFS('recurring2_based on steps'!$B192:$AY192,'recurring2_based on steps'!$B$1:$AY$1,Q$1)+SUMIFS('changes2_based on steps'!$B192:$U192,'changes2_based on steps'!$B$1:$U$1,Q$1)</f>
        <v>0</v>
      </c>
      <c r="R192" s="155">
        <f ca="1">SUMIFS('recurring2_based on steps'!$B192:$AY192,'recurring2_based on steps'!$B$1:$AY$1,R$1)+SUMIFS('changes2_based on steps'!$B192:$U192,'changes2_based on steps'!$B$1:$U$1,R$1)</f>
        <v>100</v>
      </c>
      <c r="S192" s="155">
        <f ca="1">SUMIFS('recurring2_based on steps'!$B192:$AY192,'recurring2_based on steps'!$B$1:$AY$1,S$1)+SUMIFS('changes2_based on steps'!$B192:$U192,'changes2_based on steps'!$B$1:$U$1,S$1)</f>
        <v>100</v>
      </c>
      <c r="T192" s="155">
        <f>SUMIFS('recurring2_based on steps'!$B192:$AY192,'recurring2_based on steps'!$B$1:$AY$1,T$1)+SUMIFS('changes2_based on steps'!$B192:$U192,'changes2_based on steps'!$B$1:$U$1,T$1)</f>
        <v>0</v>
      </c>
      <c r="U192" s="155">
        <f ca="1">SUMIFS('recurring2_based on steps'!$B192:$AY192,'recurring2_based on steps'!$B$1:$AY$1,U$1)+SUMIFS('changes2_based on steps'!$B192:$U192,'changes2_based on steps'!$B$1:$U$1,U$1)</f>
        <v>0</v>
      </c>
      <c r="V192" s="155">
        <f>SUMIFS('recurring2_based on steps'!$B192:$AY192,'recurring2_based on steps'!$B$1:$AY$1,V$1)+SUMIFS('changes2_based on steps'!$B192:$U192,'changes2_based on steps'!$B$1:$U$1,V$1)</f>
        <v>0</v>
      </c>
      <c r="W192" s="155">
        <f ca="1">SUMIFS('recurring2_based on steps'!$B192:$AY192,'recurring2_based on steps'!$B$1:$AY$1,W$1)+SUMIFS('changes2_based on steps'!$B192:$U192,'changes2_based on steps'!$B$1:$U$1,W$1)</f>
        <v>0</v>
      </c>
      <c r="X192" s="155">
        <f ca="1">SUMIFS('recurring2_based on steps'!$B192:$AY192,'recurring2_based on steps'!$B$1:$AY$1,X$1)+SUMIFS('changes2_based on steps'!$B192:$U192,'changes2_based on steps'!$B$1:$U$1,X$1)</f>
        <v>0</v>
      </c>
      <c r="Y192" s="155">
        <f ca="1">SUMIFS('recurring2_based on steps'!$B192:$AY192,'recurring2_based on steps'!$B$1:$AY$1,Y$1)+SUMIFS('changes2_based on steps'!$B192:$U192,'changes2_based on steps'!$B$1:$U$1,Y$1)</f>
        <v>0</v>
      </c>
      <c r="Z192" s="155">
        <f>SUMIFS('recurring2_based on steps'!$B192:$AY192,'recurring2_based on steps'!$B$1:$AY$1,Z$1)+SUMIFS('changes2_based on steps'!$B192:$U192,'changes2_based on steps'!$B$1:$U$1,Z$1)</f>
        <v>0</v>
      </c>
      <c r="AA192" s="155">
        <f>SUMIFS('recurring2_based on steps'!$B192:$AY192,'recurring2_based on steps'!$B$1:$AY$1,AA$1)+SUMIFS('changes2_based on steps'!$B192:$U192,'changes2_based on steps'!$B$1:$U$1,AA$1)</f>
        <v>0</v>
      </c>
    </row>
    <row r="193" spans="1:27" x14ac:dyDescent="0.2">
      <c r="A193" s="18">
        <f t="shared" ca="1" si="2"/>
        <v>45879</v>
      </c>
      <c r="B193" s="155">
        <f ca="1">SUMIFS('recurring2_based on steps'!$B193:$AY193,'recurring2_based on steps'!$B$1:$AY$1,B$1)+SUMIFS('changes2_based on steps'!$B193:$U193,'changes2_based on steps'!$B$1:$U$1,B$1)</f>
        <v>0</v>
      </c>
      <c r="C193" s="155">
        <f>SUMIFS('recurring2_based on steps'!$B193:$AY193,'recurring2_based on steps'!$B$1:$AY$1,C$1)+SUMIFS('changes2_based on steps'!$B193:$U193,'changes2_based on steps'!$B$1:$U$1,C$1)</f>
        <v>0</v>
      </c>
      <c r="D193" s="155">
        <f>SUMIFS('recurring2_based on steps'!$B193:$AY193,'recurring2_based on steps'!$B$1:$AY$1,D$1)+SUMIFS('changes2_based on steps'!$B193:$U193,'changes2_based on steps'!$B$1:$U$1,D$1)</f>
        <v>0</v>
      </c>
      <c r="E193" s="155">
        <f>SUMIFS('recurring2_based on steps'!$B193:$AY193,'recurring2_based on steps'!$B$1:$AY$1,E$1)+SUMIFS('changes2_based on steps'!$B193:$U193,'changes2_based on steps'!$B$1:$U$1,E$1)</f>
        <v>0</v>
      </c>
      <c r="F193" s="155">
        <f>SUMIFS('recurring2_based on steps'!$B193:$AY193,'recurring2_based on steps'!$B$1:$AY$1,F$1)+SUMIFS('changes2_based on steps'!$B193:$U193,'changes2_based on steps'!$B$1:$U$1,F$1)</f>
        <v>0</v>
      </c>
      <c r="G193" s="155">
        <f>SUMIFS('recurring2_based on steps'!$B193:$AY193,'recurring2_based on steps'!$B$1:$AY$1,G$1)+SUMIFS('changes2_based on steps'!$B193:$U193,'changes2_based on steps'!$B$1:$U$1,G$1)</f>
        <v>0</v>
      </c>
      <c r="H193" s="155">
        <f ca="1">SUMIFS('recurring2_based on steps'!$B193:$AY193,'recurring2_based on steps'!$B$1:$AY$1,H$1)+SUMIFS('changes2_based on steps'!$B193:$U193,'changes2_based on steps'!$B$1:$U$1,H$1)</f>
        <v>0</v>
      </c>
      <c r="I193" s="155">
        <f>SUMIFS('recurring2_based on steps'!$B193:$AY193,'recurring2_based on steps'!$B$1:$AY$1,I$1)+SUMIFS('changes2_based on steps'!$B193:$U193,'changes2_based on steps'!$B$1:$U$1,I$1)</f>
        <v>0</v>
      </c>
      <c r="J193" s="155">
        <f>SUMIFS('recurring2_based on steps'!$B193:$AY193,'recurring2_based on steps'!$B$1:$AY$1,J$1)+SUMIFS('changes2_based on steps'!$B193:$U193,'changes2_based on steps'!$B$1:$U$1,J$1)</f>
        <v>0</v>
      </c>
      <c r="K193" s="155">
        <f>SUMIFS('recurring2_based on steps'!$B193:$AY193,'recurring2_based on steps'!$B$1:$AY$1,K$1)+SUMIFS('changes2_based on steps'!$B193:$U193,'changes2_based on steps'!$B$1:$U$1,K$1)</f>
        <v>0</v>
      </c>
      <c r="L193" s="155">
        <f>SUMIFS('recurring2_based on steps'!$B193:$AY193,'recurring2_based on steps'!$B$1:$AY$1,L$1)+SUMIFS('changes2_based on steps'!$B193:$U193,'changes2_based on steps'!$B$1:$U$1,L$1)</f>
        <v>0</v>
      </c>
      <c r="M193" s="155">
        <f ca="1">SUMIFS('recurring2_based on steps'!$B193:$AY193,'recurring2_based on steps'!$B$1:$AY$1,M$1)+SUMIFS('changes2_based on steps'!$B193:$U193,'changes2_based on steps'!$B$1:$U$1,M$1)</f>
        <v>0</v>
      </c>
      <c r="N193" s="155">
        <f ca="1">SUMIFS('recurring2_based on steps'!$B193:$AY193,'recurring2_based on steps'!$B$1:$AY$1,N$1)+SUMIFS('changes2_based on steps'!$B193:$U193,'changes2_based on steps'!$B$1:$U$1,N$1)</f>
        <v>50</v>
      </c>
      <c r="O193" s="155">
        <f ca="1">SUMIFS('recurring2_based on steps'!$B193:$AY193,'recurring2_based on steps'!$B$1:$AY$1,O$1)+SUMIFS('changes2_based on steps'!$B193:$U193,'changes2_based on steps'!$B$1:$U$1,O$1)</f>
        <v>0</v>
      </c>
      <c r="P193" s="155">
        <f ca="1">SUMIFS('recurring2_based on steps'!$B193:$AY193,'recurring2_based on steps'!$B$1:$AY$1,P$1)+SUMIFS('changes2_based on steps'!$B193:$U193,'changes2_based on steps'!$B$1:$U$1,P$1)</f>
        <v>0</v>
      </c>
      <c r="Q193" s="155">
        <f>SUMIFS('recurring2_based on steps'!$B193:$AY193,'recurring2_based on steps'!$B$1:$AY$1,Q$1)+SUMIFS('changes2_based on steps'!$B193:$U193,'changes2_based on steps'!$B$1:$U$1,Q$1)</f>
        <v>0</v>
      </c>
      <c r="R193" s="155">
        <f ca="1">SUMIFS('recurring2_based on steps'!$B193:$AY193,'recurring2_based on steps'!$B$1:$AY$1,R$1)+SUMIFS('changes2_based on steps'!$B193:$U193,'changes2_based on steps'!$B$1:$U$1,R$1)</f>
        <v>0</v>
      </c>
      <c r="S193" s="155">
        <f ca="1">SUMIFS('recurring2_based on steps'!$B193:$AY193,'recurring2_based on steps'!$B$1:$AY$1,S$1)+SUMIFS('changes2_based on steps'!$B193:$U193,'changes2_based on steps'!$B$1:$U$1,S$1)</f>
        <v>100</v>
      </c>
      <c r="T193" s="155">
        <f>SUMIFS('recurring2_based on steps'!$B193:$AY193,'recurring2_based on steps'!$B$1:$AY$1,T$1)+SUMIFS('changes2_based on steps'!$B193:$U193,'changes2_based on steps'!$B$1:$U$1,T$1)</f>
        <v>0</v>
      </c>
      <c r="U193" s="155">
        <f ca="1">SUMIFS('recurring2_based on steps'!$B193:$AY193,'recurring2_based on steps'!$B$1:$AY$1,U$1)+SUMIFS('changes2_based on steps'!$B193:$U193,'changes2_based on steps'!$B$1:$U$1,U$1)</f>
        <v>0</v>
      </c>
      <c r="V193" s="155">
        <f>SUMIFS('recurring2_based on steps'!$B193:$AY193,'recurring2_based on steps'!$B$1:$AY$1,V$1)+SUMIFS('changes2_based on steps'!$B193:$U193,'changes2_based on steps'!$B$1:$U$1,V$1)</f>
        <v>0</v>
      </c>
      <c r="W193" s="155">
        <f ca="1">SUMIFS('recurring2_based on steps'!$B193:$AY193,'recurring2_based on steps'!$B$1:$AY$1,W$1)+SUMIFS('changes2_based on steps'!$B193:$U193,'changes2_based on steps'!$B$1:$U$1,W$1)</f>
        <v>0</v>
      </c>
      <c r="X193" s="155">
        <f ca="1">SUMIFS('recurring2_based on steps'!$B193:$AY193,'recurring2_based on steps'!$B$1:$AY$1,X$1)+SUMIFS('changes2_based on steps'!$B193:$U193,'changes2_based on steps'!$B$1:$U$1,X$1)</f>
        <v>0</v>
      </c>
      <c r="Y193" s="155">
        <f ca="1">SUMIFS('recurring2_based on steps'!$B193:$AY193,'recurring2_based on steps'!$B$1:$AY$1,Y$1)+SUMIFS('changes2_based on steps'!$B193:$U193,'changes2_based on steps'!$B$1:$U$1,Y$1)</f>
        <v>0</v>
      </c>
      <c r="Z193" s="155">
        <f>SUMIFS('recurring2_based on steps'!$B193:$AY193,'recurring2_based on steps'!$B$1:$AY$1,Z$1)+SUMIFS('changes2_based on steps'!$B193:$U193,'changes2_based on steps'!$B$1:$U$1,Z$1)</f>
        <v>0</v>
      </c>
      <c r="AA193" s="155">
        <f>SUMIFS('recurring2_based on steps'!$B193:$AY193,'recurring2_based on steps'!$B$1:$AY$1,AA$1)+SUMIFS('changes2_based on steps'!$B193:$U193,'changes2_based on steps'!$B$1:$U$1,AA$1)</f>
        <v>0</v>
      </c>
    </row>
    <row r="194" spans="1:27" x14ac:dyDescent="0.2">
      <c r="A194" s="18">
        <f t="shared" ca="1" si="2"/>
        <v>45880</v>
      </c>
      <c r="B194" s="155">
        <f ca="1">SUMIFS('recurring2_based on steps'!$B194:$AY194,'recurring2_based on steps'!$B$1:$AY$1,B$1)+SUMIFS('changes2_based on steps'!$B194:$U194,'changes2_based on steps'!$B$1:$U$1,B$1)</f>
        <v>0</v>
      </c>
      <c r="C194" s="155">
        <f>SUMIFS('recurring2_based on steps'!$B194:$AY194,'recurring2_based on steps'!$B$1:$AY$1,C$1)+SUMIFS('changes2_based on steps'!$B194:$U194,'changes2_based on steps'!$B$1:$U$1,C$1)</f>
        <v>0</v>
      </c>
      <c r="D194" s="155">
        <f>SUMIFS('recurring2_based on steps'!$B194:$AY194,'recurring2_based on steps'!$B$1:$AY$1,D$1)+SUMIFS('changes2_based on steps'!$B194:$U194,'changes2_based on steps'!$B$1:$U$1,D$1)</f>
        <v>0</v>
      </c>
      <c r="E194" s="155">
        <f>SUMIFS('recurring2_based on steps'!$B194:$AY194,'recurring2_based on steps'!$B$1:$AY$1,E$1)+SUMIFS('changes2_based on steps'!$B194:$U194,'changes2_based on steps'!$B$1:$U$1,E$1)</f>
        <v>0</v>
      </c>
      <c r="F194" s="155">
        <f>SUMIFS('recurring2_based on steps'!$B194:$AY194,'recurring2_based on steps'!$B$1:$AY$1,F$1)+SUMIFS('changes2_based on steps'!$B194:$U194,'changes2_based on steps'!$B$1:$U$1,F$1)</f>
        <v>0</v>
      </c>
      <c r="G194" s="155">
        <f>SUMIFS('recurring2_based on steps'!$B194:$AY194,'recurring2_based on steps'!$B$1:$AY$1,G$1)+SUMIFS('changes2_based on steps'!$B194:$U194,'changes2_based on steps'!$B$1:$U$1,G$1)</f>
        <v>0</v>
      </c>
      <c r="H194" s="155">
        <f ca="1">SUMIFS('recurring2_based on steps'!$B194:$AY194,'recurring2_based on steps'!$B$1:$AY$1,H$1)+SUMIFS('changes2_based on steps'!$B194:$U194,'changes2_based on steps'!$B$1:$U$1,H$1)</f>
        <v>0</v>
      </c>
      <c r="I194" s="155">
        <f>SUMIFS('recurring2_based on steps'!$B194:$AY194,'recurring2_based on steps'!$B$1:$AY$1,I$1)+SUMIFS('changes2_based on steps'!$B194:$U194,'changes2_based on steps'!$B$1:$U$1,I$1)</f>
        <v>0</v>
      </c>
      <c r="J194" s="155">
        <f>SUMIFS('recurring2_based on steps'!$B194:$AY194,'recurring2_based on steps'!$B$1:$AY$1,J$1)+SUMIFS('changes2_based on steps'!$B194:$U194,'changes2_based on steps'!$B$1:$U$1,J$1)</f>
        <v>0</v>
      </c>
      <c r="K194" s="155">
        <f>SUMIFS('recurring2_based on steps'!$B194:$AY194,'recurring2_based on steps'!$B$1:$AY$1,K$1)+SUMIFS('changes2_based on steps'!$B194:$U194,'changes2_based on steps'!$B$1:$U$1,K$1)</f>
        <v>0</v>
      </c>
      <c r="L194" s="155">
        <f>SUMIFS('recurring2_based on steps'!$B194:$AY194,'recurring2_based on steps'!$B$1:$AY$1,L$1)+SUMIFS('changes2_based on steps'!$B194:$U194,'changes2_based on steps'!$B$1:$U$1,L$1)</f>
        <v>0</v>
      </c>
      <c r="M194" s="155">
        <f ca="1">SUMIFS('recurring2_based on steps'!$B194:$AY194,'recurring2_based on steps'!$B$1:$AY$1,M$1)+SUMIFS('changes2_based on steps'!$B194:$U194,'changes2_based on steps'!$B$1:$U$1,M$1)</f>
        <v>0</v>
      </c>
      <c r="N194" s="155">
        <f ca="1">SUMIFS('recurring2_based on steps'!$B194:$AY194,'recurring2_based on steps'!$B$1:$AY$1,N$1)+SUMIFS('changes2_based on steps'!$B194:$U194,'changes2_based on steps'!$B$1:$U$1,N$1)</f>
        <v>0</v>
      </c>
      <c r="O194" s="155">
        <f ca="1">SUMIFS('recurring2_based on steps'!$B194:$AY194,'recurring2_based on steps'!$B$1:$AY$1,O$1)+SUMIFS('changes2_based on steps'!$B194:$U194,'changes2_based on steps'!$B$1:$U$1,O$1)</f>
        <v>0</v>
      </c>
      <c r="P194" s="155">
        <f ca="1">SUMIFS('recurring2_based on steps'!$B194:$AY194,'recurring2_based on steps'!$B$1:$AY$1,P$1)+SUMIFS('changes2_based on steps'!$B194:$U194,'changes2_based on steps'!$B$1:$U$1,P$1)</f>
        <v>50</v>
      </c>
      <c r="Q194" s="155">
        <f>SUMIFS('recurring2_based on steps'!$B194:$AY194,'recurring2_based on steps'!$B$1:$AY$1,Q$1)+SUMIFS('changes2_based on steps'!$B194:$U194,'changes2_based on steps'!$B$1:$U$1,Q$1)</f>
        <v>0</v>
      </c>
      <c r="R194" s="155">
        <f ca="1">SUMIFS('recurring2_based on steps'!$B194:$AY194,'recurring2_based on steps'!$B$1:$AY$1,R$1)+SUMIFS('changes2_based on steps'!$B194:$U194,'changes2_based on steps'!$B$1:$U$1,R$1)</f>
        <v>0</v>
      </c>
      <c r="S194" s="155">
        <f ca="1">SUMIFS('recurring2_based on steps'!$B194:$AY194,'recurring2_based on steps'!$B$1:$AY$1,S$1)+SUMIFS('changes2_based on steps'!$B194:$U194,'changes2_based on steps'!$B$1:$U$1,S$1)</f>
        <v>0</v>
      </c>
      <c r="T194" s="155">
        <f>SUMIFS('recurring2_based on steps'!$B194:$AY194,'recurring2_based on steps'!$B$1:$AY$1,T$1)+SUMIFS('changes2_based on steps'!$B194:$U194,'changes2_based on steps'!$B$1:$U$1,T$1)</f>
        <v>0</v>
      </c>
      <c r="U194" s="155">
        <f ca="1">SUMIFS('recurring2_based on steps'!$B194:$AY194,'recurring2_based on steps'!$B$1:$AY$1,U$1)+SUMIFS('changes2_based on steps'!$B194:$U194,'changes2_based on steps'!$B$1:$U$1,U$1)</f>
        <v>0</v>
      </c>
      <c r="V194" s="155">
        <f>SUMIFS('recurring2_based on steps'!$B194:$AY194,'recurring2_based on steps'!$B$1:$AY$1,V$1)+SUMIFS('changes2_based on steps'!$B194:$U194,'changes2_based on steps'!$B$1:$U$1,V$1)</f>
        <v>0</v>
      </c>
      <c r="W194" s="155">
        <f ca="1">SUMIFS('recurring2_based on steps'!$B194:$AY194,'recurring2_based on steps'!$B$1:$AY$1,W$1)+SUMIFS('changes2_based on steps'!$B194:$U194,'changes2_based on steps'!$B$1:$U$1,W$1)</f>
        <v>0</v>
      </c>
      <c r="X194" s="155">
        <f ca="1">SUMIFS('recurring2_based on steps'!$B194:$AY194,'recurring2_based on steps'!$B$1:$AY$1,X$1)+SUMIFS('changes2_based on steps'!$B194:$U194,'changes2_based on steps'!$B$1:$U$1,X$1)</f>
        <v>0</v>
      </c>
      <c r="Y194" s="155">
        <f ca="1">SUMIFS('recurring2_based on steps'!$B194:$AY194,'recurring2_based on steps'!$B$1:$AY$1,Y$1)+SUMIFS('changes2_based on steps'!$B194:$U194,'changes2_based on steps'!$B$1:$U$1,Y$1)</f>
        <v>0</v>
      </c>
      <c r="Z194" s="155">
        <f>SUMIFS('recurring2_based on steps'!$B194:$AY194,'recurring2_based on steps'!$B$1:$AY$1,Z$1)+SUMIFS('changes2_based on steps'!$B194:$U194,'changes2_based on steps'!$B$1:$U$1,Z$1)</f>
        <v>0</v>
      </c>
      <c r="AA194" s="155">
        <f>SUMIFS('recurring2_based on steps'!$B194:$AY194,'recurring2_based on steps'!$B$1:$AY$1,AA$1)+SUMIFS('changes2_based on steps'!$B194:$U194,'changes2_based on steps'!$B$1:$U$1,AA$1)</f>
        <v>0</v>
      </c>
    </row>
    <row r="195" spans="1:27" x14ac:dyDescent="0.2">
      <c r="A195" s="18">
        <f t="shared" ca="1" si="2"/>
        <v>45881</v>
      </c>
      <c r="B195" s="155">
        <f ca="1">SUMIFS('recurring2_based on steps'!$B195:$AY195,'recurring2_based on steps'!$B$1:$AY$1,B$1)+SUMIFS('changes2_based on steps'!$B195:$U195,'changes2_based on steps'!$B$1:$U$1,B$1)</f>
        <v>0</v>
      </c>
      <c r="C195" s="155">
        <f>SUMIFS('recurring2_based on steps'!$B195:$AY195,'recurring2_based on steps'!$B$1:$AY$1,C$1)+SUMIFS('changes2_based on steps'!$B195:$U195,'changes2_based on steps'!$B$1:$U$1,C$1)</f>
        <v>0</v>
      </c>
      <c r="D195" s="155">
        <f>SUMIFS('recurring2_based on steps'!$B195:$AY195,'recurring2_based on steps'!$B$1:$AY$1,D$1)+SUMIFS('changes2_based on steps'!$B195:$U195,'changes2_based on steps'!$B$1:$U$1,D$1)</f>
        <v>0</v>
      </c>
      <c r="E195" s="155">
        <f>SUMIFS('recurring2_based on steps'!$B195:$AY195,'recurring2_based on steps'!$B$1:$AY$1,E$1)+SUMIFS('changes2_based on steps'!$B195:$U195,'changes2_based on steps'!$B$1:$U$1,E$1)</f>
        <v>0</v>
      </c>
      <c r="F195" s="155">
        <f>SUMIFS('recurring2_based on steps'!$B195:$AY195,'recurring2_based on steps'!$B$1:$AY$1,F$1)+SUMIFS('changes2_based on steps'!$B195:$U195,'changes2_based on steps'!$B$1:$U$1,F$1)</f>
        <v>0</v>
      </c>
      <c r="G195" s="155">
        <f>SUMIFS('recurring2_based on steps'!$B195:$AY195,'recurring2_based on steps'!$B$1:$AY$1,G$1)+SUMIFS('changes2_based on steps'!$B195:$U195,'changes2_based on steps'!$B$1:$U$1,G$1)</f>
        <v>0</v>
      </c>
      <c r="H195" s="155">
        <f ca="1">SUMIFS('recurring2_based on steps'!$B195:$AY195,'recurring2_based on steps'!$B$1:$AY$1,H$1)+SUMIFS('changes2_based on steps'!$B195:$U195,'changes2_based on steps'!$B$1:$U$1,H$1)</f>
        <v>0</v>
      </c>
      <c r="I195" s="155">
        <f>SUMIFS('recurring2_based on steps'!$B195:$AY195,'recurring2_based on steps'!$B$1:$AY$1,I$1)+SUMIFS('changes2_based on steps'!$B195:$U195,'changes2_based on steps'!$B$1:$U$1,I$1)</f>
        <v>0</v>
      </c>
      <c r="J195" s="155">
        <f>SUMIFS('recurring2_based on steps'!$B195:$AY195,'recurring2_based on steps'!$B$1:$AY$1,J$1)+SUMIFS('changes2_based on steps'!$B195:$U195,'changes2_based on steps'!$B$1:$U$1,J$1)</f>
        <v>0</v>
      </c>
      <c r="K195" s="155">
        <f>SUMIFS('recurring2_based on steps'!$B195:$AY195,'recurring2_based on steps'!$B$1:$AY$1,K$1)+SUMIFS('changes2_based on steps'!$B195:$U195,'changes2_based on steps'!$B$1:$U$1,K$1)</f>
        <v>0</v>
      </c>
      <c r="L195" s="155">
        <f>SUMIFS('recurring2_based on steps'!$B195:$AY195,'recurring2_based on steps'!$B$1:$AY$1,L$1)+SUMIFS('changes2_based on steps'!$B195:$U195,'changes2_based on steps'!$B$1:$U$1,L$1)</f>
        <v>0</v>
      </c>
      <c r="M195" s="155">
        <f ca="1">SUMIFS('recurring2_based on steps'!$B195:$AY195,'recurring2_based on steps'!$B$1:$AY$1,M$1)+SUMIFS('changes2_based on steps'!$B195:$U195,'changes2_based on steps'!$B$1:$U$1,M$1)</f>
        <v>0</v>
      </c>
      <c r="N195" s="155">
        <f ca="1">SUMIFS('recurring2_based on steps'!$B195:$AY195,'recurring2_based on steps'!$B$1:$AY$1,N$1)+SUMIFS('changes2_based on steps'!$B195:$U195,'changes2_based on steps'!$B$1:$U$1,N$1)</f>
        <v>0</v>
      </c>
      <c r="O195" s="155">
        <f ca="1">SUMIFS('recurring2_based on steps'!$B195:$AY195,'recurring2_based on steps'!$B$1:$AY$1,O$1)+SUMIFS('changes2_based on steps'!$B195:$U195,'changes2_based on steps'!$B$1:$U$1,O$1)</f>
        <v>0</v>
      </c>
      <c r="P195" s="155">
        <f ca="1">SUMIFS('recurring2_based on steps'!$B195:$AY195,'recurring2_based on steps'!$B$1:$AY$1,P$1)+SUMIFS('changes2_based on steps'!$B195:$U195,'changes2_based on steps'!$B$1:$U$1,P$1)</f>
        <v>0</v>
      </c>
      <c r="Q195" s="155">
        <f>SUMIFS('recurring2_based on steps'!$B195:$AY195,'recurring2_based on steps'!$B$1:$AY$1,Q$1)+SUMIFS('changes2_based on steps'!$B195:$U195,'changes2_based on steps'!$B$1:$U$1,Q$1)</f>
        <v>0</v>
      </c>
      <c r="R195" s="155">
        <f ca="1">SUMIFS('recurring2_based on steps'!$B195:$AY195,'recurring2_based on steps'!$B$1:$AY$1,R$1)+SUMIFS('changes2_based on steps'!$B195:$U195,'changes2_based on steps'!$B$1:$U$1,R$1)</f>
        <v>0</v>
      </c>
      <c r="S195" s="155">
        <f ca="1">SUMIFS('recurring2_based on steps'!$B195:$AY195,'recurring2_based on steps'!$B$1:$AY$1,S$1)+SUMIFS('changes2_based on steps'!$B195:$U195,'changes2_based on steps'!$B$1:$U$1,S$1)</f>
        <v>0</v>
      </c>
      <c r="T195" s="155">
        <f>SUMIFS('recurring2_based on steps'!$B195:$AY195,'recurring2_based on steps'!$B$1:$AY$1,T$1)+SUMIFS('changes2_based on steps'!$B195:$U195,'changes2_based on steps'!$B$1:$U$1,T$1)</f>
        <v>0</v>
      </c>
      <c r="U195" s="155">
        <f ca="1">SUMIFS('recurring2_based on steps'!$B195:$AY195,'recurring2_based on steps'!$B$1:$AY$1,U$1)+SUMIFS('changes2_based on steps'!$B195:$U195,'changes2_based on steps'!$B$1:$U$1,U$1)</f>
        <v>0</v>
      </c>
      <c r="V195" s="155">
        <f>SUMIFS('recurring2_based on steps'!$B195:$AY195,'recurring2_based on steps'!$B$1:$AY$1,V$1)+SUMIFS('changes2_based on steps'!$B195:$U195,'changes2_based on steps'!$B$1:$U$1,V$1)</f>
        <v>0</v>
      </c>
      <c r="W195" s="155">
        <f ca="1">SUMIFS('recurring2_based on steps'!$B195:$AY195,'recurring2_based on steps'!$B$1:$AY$1,W$1)+SUMIFS('changes2_based on steps'!$B195:$U195,'changes2_based on steps'!$B$1:$U$1,W$1)</f>
        <v>0</v>
      </c>
      <c r="X195" s="155">
        <f ca="1">SUMIFS('recurring2_based on steps'!$B195:$AY195,'recurring2_based on steps'!$B$1:$AY$1,X$1)+SUMIFS('changes2_based on steps'!$B195:$U195,'changes2_based on steps'!$B$1:$U$1,X$1)</f>
        <v>0</v>
      </c>
      <c r="Y195" s="155">
        <f ca="1">SUMIFS('recurring2_based on steps'!$B195:$AY195,'recurring2_based on steps'!$B$1:$AY$1,Y$1)+SUMIFS('changes2_based on steps'!$B195:$U195,'changes2_based on steps'!$B$1:$U$1,Y$1)</f>
        <v>0</v>
      </c>
      <c r="Z195" s="155">
        <f>SUMIFS('recurring2_based on steps'!$B195:$AY195,'recurring2_based on steps'!$B$1:$AY$1,Z$1)+SUMIFS('changes2_based on steps'!$B195:$U195,'changes2_based on steps'!$B$1:$U$1,Z$1)</f>
        <v>0</v>
      </c>
      <c r="AA195" s="155">
        <f>SUMIFS('recurring2_based on steps'!$B195:$AY195,'recurring2_based on steps'!$B$1:$AY$1,AA$1)+SUMIFS('changes2_based on steps'!$B195:$U195,'changes2_based on steps'!$B$1:$U$1,AA$1)</f>
        <v>0</v>
      </c>
    </row>
    <row r="196" spans="1:27" x14ac:dyDescent="0.2">
      <c r="A196" s="18">
        <f t="shared" ca="1" si="2"/>
        <v>45882</v>
      </c>
      <c r="B196" s="155">
        <f ca="1">SUMIFS('recurring2_based on steps'!$B196:$AY196,'recurring2_based on steps'!$B$1:$AY$1,B$1)+SUMIFS('changes2_based on steps'!$B196:$U196,'changes2_based on steps'!$B$1:$U$1,B$1)</f>
        <v>100</v>
      </c>
      <c r="C196" s="155">
        <f>SUMIFS('recurring2_based on steps'!$B196:$AY196,'recurring2_based on steps'!$B$1:$AY$1,C$1)+SUMIFS('changes2_based on steps'!$B196:$U196,'changes2_based on steps'!$B$1:$U$1,C$1)</f>
        <v>0</v>
      </c>
      <c r="D196" s="155">
        <f>SUMIFS('recurring2_based on steps'!$B196:$AY196,'recurring2_based on steps'!$B$1:$AY$1,D$1)+SUMIFS('changes2_based on steps'!$B196:$U196,'changes2_based on steps'!$B$1:$U$1,D$1)</f>
        <v>0</v>
      </c>
      <c r="E196" s="155">
        <f>SUMIFS('recurring2_based on steps'!$B196:$AY196,'recurring2_based on steps'!$B$1:$AY$1,E$1)+SUMIFS('changes2_based on steps'!$B196:$U196,'changes2_based on steps'!$B$1:$U$1,E$1)</f>
        <v>0</v>
      </c>
      <c r="F196" s="155">
        <f>SUMIFS('recurring2_based on steps'!$B196:$AY196,'recurring2_based on steps'!$B$1:$AY$1,F$1)+SUMIFS('changes2_based on steps'!$B196:$U196,'changes2_based on steps'!$B$1:$U$1,F$1)</f>
        <v>0</v>
      </c>
      <c r="G196" s="155">
        <f>SUMIFS('recurring2_based on steps'!$B196:$AY196,'recurring2_based on steps'!$B$1:$AY$1,G$1)+SUMIFS('changes2_based on steps'!$B196:$U196,'changes2_based on steps'!$B$1:$U$1,G$1)</f>
        <v>0</v>
      </c>
      <c r="H196" s="155">
        <f ca="1">SUMIFS('recurring2_based on steps'!$B196:$AY196,'recurring2_based on steps'!$B$1:$AY$1,H$1)+SUMIFS('changes2_based on steps'!$B196:$U196,'changes2_based on steps'!$B$1:$U$1,H$1)</f>
        <v>0</v>
      </c>
      <c r="I196" s="155">
        <f>SUMIFS('recurring2_based on steps'!$B196:$AY196,'recurring2_based on steps'!$B$1:$AY$1,I$1)+SUMIFS('changes2_based on steps'!$B196:$U196,'changes2_based on steps'!$B$1:$U$1,I$1)</f>
        <v>0</v>
      </c>
      <c r="J196" s="155">
        <f>SUMIFS('recurring2_based on steps'!$B196:$AY196,'recurring2_based on steps'!$B$1:$AY$1,J$1)+SUMIFS('changes2_based on steps'!$B196:$U196,'changes2_based on steps'!$B$1:$U$1,J$1)</f>
        <v>0</v>
      </c>
      <c r="K196" s="155">
        <f>SUMIFS('recurring2_based on steps'!$B196:$AY196,'recurring2_based on steps'!$B$1:$AY$1,K$1)+SUMIFS('changes2_based on steps'!$B196:$U196,'changes2_based on steps'!$B$1:$U$1,K$1)</f>
        <v>0</v>
      </c>
      <c r="L196" s="155">
        <f>SUMIFS('recurring2_based on steps'!$B196:$AY196,'recurring2_based on steps'!$B$1:$AY$1,L$1)+SUMIFS('changes2_based on steps'!$B196:$U196,'changes2_based on steps'!$B$1:$U$1,L$1)</f>
        <v>0</v>
      </c>
      <c r="M196" s="155">
        <f ca="1">SUMIFS('recurring2_based on steps'!$B196:$AY196,'recurring2_based on steps'!$B$1:$AY$1,M$1)+SUMIFS('changes2_based on steps'!$B196:$U196,'changes2_based on steps'!$B$1:$U$1,M$1)</f>
        <v>0</v>
      </c>
      <c r="N196" s="155">
        <f ca="1">SUMIFS('recurring2_based on steps'!$B196:$AY196,'recurring2_based on steps'!$B$1:$AY$1,N$1)+SUMIFS('changes2_based on steps'!$B196:$U196,'changes2_based on steps'!$B$1:$U$1,N$1)</f>
        <v>0</v>
      </c>
      <c r="O196" s="155">
        <f ca="1">SUMIFS('recurring2_based on steps'!$B196:$AY196,'recurring2_based on steps'!$B$1:$AY$1,O$1)+SUMIFS('changes2_based on steps'!$B196:$U196,'changes2_based on steps'!$B$1:$U$1,O$1)</f>
        <v>0</v>
      </c>
      <c r="P196" s="155">
        <f ca="1">SUMIFS('recurring2_based on steps'!$B196:$AY196,'recurring2_based on steps'!$B$1:$AY$1,P$1)+SUMIFS('changes2_based on steps'!$B196:$U196,'changes2_based on steps'!$B$1:$U$1,P$1)</f>
        <v>0</v>
      </c>
      <c r="Q196" s="155">
        <f>SUMIFS('recurring2_based on steps'!$B196:$AY196,'recurring2_based on steps'!$B$1:$AY$1,Q$1)+SUMIFS('changes2_based on steps'!$B196:$U196,'changes2_based on steps'!$B$1:$U$1,Q$1)</f>
        <v>0</v>
      </c>
      <c r="R196" s="155">
        <f ca="1">SUMIFS('recurring2_based on steps'!$B196:$AY196,'recurring2_based on steps'!$B$1:$AY$1,R$1)+SUMIFS('changes2_based on steps'!$B196:$U196,'changes2_based on steps'!$B$1:$U$1,R$1)</f>
        <v>0</v>
      </c>
      <c r="S196" s="155">
        <f ca="1">SUMIFS('recurring2_based on steps'!$B196:$AY196,'recurring2_based on steps'!$B$1:$AY$1,S$1)+SUMIFS('changes2_based on steps'!$B196:$U196,'changes2_based on steps'!$B$1:$U$1,S$1)</f>
        <v>0</v>
      </c>
      <c r="T196" s="155">
        <f>SUMIFS('recurring2_based on steps'!$B196:$AY196,'recurring2_based on steps'!$B$1:$AY$1,T$1)+SUMIFS('changes2_based on steps'!$B196:$U196,'changes2_based on steps'!$B$1:$U$1,T$1)</f>
        <v>0</v>
      </c>
      <c r="U196" s="155">
        <f ca="1">SUMIFS('recurring2_based on steps'!$B196:$AY196,'recurring2_based on steps'!$B$1:$AY$1,U$1)+SUMIFS('changes2_based on steps'!$B196:$U196,'changes2_based on steps'!$B$1:$U$1,U$1)</f>
        <v>0</v>
      </c>
      <c r="V196" s="155">
        <f>SUMIFS('recurring2_based on steps'!$B196:$AY196,'recurring2_based on steps'!$B$1:$AY$1,V$1)+SUMIFS('changes2_based on steps'!$B196:$U196,'changes2_based on steps'!$B$1:$U$1,V$1)</f>
        <v>0</v>
      </c>
      <c r="W196" s="155">
        <f ca="1">SUMIFS('recurring2_based on steps'!$B196:$AY196,'recurring2_based on steps'!$B$1:$AY$1,W$1)+SUMIFS('changes2_based on steps'!$B196:$U196,'changes2_based on steps'!$B$1:$U$1,W$1)</f>
        <v>0</v>
      </c>
      <c r="X196" s="155">
        <f ca="1">SUMIFS('recurring2_based on steps'!$B196:$AY196,'recurring2_based on steps'!$B$1:$AY$1,X$1)+SUMIFS('changes2_based on steps'!$B196:$U196,'changes2_based on steps'!$B$1:$U$1,X$1)</f>
        <v>0</v>
      </c>
      <c r="Y196" s="155">
        <f ca="1">SUMIFS('recurring2_based on steps'!$B196:$AY196,'recurring2_based on steps'!$B$1:$AY$1,Y$1)+SUMIFS('changes2_based on steps'!$B196:$U196,'changes2_based on steps'!$B$1:$U$1,Y$1)</f>
        <v>0</v>
      </c>
      <c r="Z196" s="155">
        <f>SUMIFS('recurring2_based on steps'!$B196:$AY196,'recurring2_based on steps'!$B$1:$AY$1,Z$1)+SUMIFS('changes2_based on steps'!$B196:$U196,'changes2_based on steps'!$B$1:$U$1,Z$1)</f>
        <v>0</v>
      </c>
      <c r="AA196" s="155">
        <f>SUMIFS('recurring2_based on steps'!$B196:$AY196,'recurring2_based on steps'!$B$1:$AY$1,AA$1)+SUMIFS('changes2_based on steps'!$B196:$U196,'changes2_based on steps'!$B$1:$U$1,AA$1)</f>
        <v>0</v>
      </c>
    </row>
    <row r="197" spans="1:27" x14ac:dyDescent="0.2">
      <c r="A197" s="18">
        <f t="shared" ref="A197:A260" ca="1" si="3">A196+1</f>
        <v>45883</v>
      </c>
      <c r="B197" s="155">
        <f ca="1">SUMIFS('recurring2_based on steps'!$B197:$AY197,'recurring2_based on steps'!$B$1:$AY$1,B$1)+SUMIFS('changes2_based on steps'!$B197:$U197,'changes2_based on steps'!$B$1:$U$1,B$1)</f>
        <v>0</v>
      </c>
      <c r="C197" s="155">
        <f>SUMIFS('recurring2_based on steps'!$B197:$AY197,'recurring2_based on steps'!$B$1:$AY$1,C$1)+SUMIFS('changes2_based on steps'!$B197:$U197,'changes2_based on steps'!$B$1:$U$1,C$1)</f>
        <v>0</v>
      </c>
      <c r="D197" s="155">
        <f>SUMIFS('recurring2_based on steps'!$B197:$AY197,'recurring2_based on steps'!$B$1:$AY$1,D$1)+SUMIFS('changes2_based on steps'!$B197:$U197,'changes2_based on steps'!$B$1:$U$1,D$1)</f>
        <v>0</v>
      </c>
      <c r="E197" s="155">
        <f>SUMIFS('recurring2_based on steps'!$B197:$AY197,'recurring2_based on steps'!$B$1:$AY$1,E$1)+SUMIFS('changes2_based on steps'!$B197:$U197,'changes2_based on steps'!$B$1:$U$1,E$1)</f>
        <v>0</v>
      </c>
      <c r="F197" s="155">
        <f>SUMIFS('recurring2_based on steps'!$B197:$AY197,'recurring2_based on steps'!$B$1:$AY$1,F$1)+SUMIFS('changes2_based on steps'!$B197:$U197,'changes2_based on steps'!$B$1:$U$1,F$1)</f>
        <v>0</v>
      </c>
      <c r="G197" s="155">
        <f>SUMIFS('recurring2_based on steps'!$B197:$AY197,'recurring2_based on steps'!$B$1:$AY$1,G$1)+SUMIFS('changes2_based on steps'!$B197:$U197,'changes2_based on steps'!$B$1:$U$1,G$1)</f>
        <v>0</v>
      </c>
      <c r="H197" s="155">
        <f ca="1">SUMIFS('recurring2_based on steps'!$B197:$AY197,'recurring2_based on steps'!$B$1:$AY$1,H$1)+SUMIFS('changes2_based on steps'!$B197:$U197,'changes2_based on steps'!$B$1:$U$1,H$1)</f>
        <v>0</v>
      </c>
      <c r="I197" s="155">
        <f>SUMIFS('recurring2_based on steps'!$B197:$AY197,'recurring2_based on steps'!$B$1:$AY$1,I$1)+SUMIFS('changes2_based on steps'!$B197:$U197,'changes2_based on steps'!$B$1:$U$1,I$1)</f>
        <v>0</v>
      </c>
      <c r="J197" s="155">
        <f>SUMIFS('recurring2_based on steps'!$B197:$AY197,'recurring2_based on steps'!$B$1:$AY$1,J$1)+SUMIFS('changes2_based on steps'!$B197:$U197,'changes2_based on steps'!$B$1:$U$1,J$1)</f>
        <v>0</v>
      </c>
      <c r="K197" s="155">
        <f>SUMIFS('recurring2_based on steps'!$B197:$AY197,'recurring2_based on steps'!$B$1:$AY$1,K$1)+SUMIFS('changes2_based on steps'!$B197:$U197,'changes2_based on steps'!$B$1:$U$1,K$1)</f>
        <v>0</v>
      </c>
      <c r="L197" s="155">
        <f>SUMIFS('recurring2_based on steps'!$B197:$AY197,'recurring2_based on steps'!$B$1:$AY$1,L$1)+SUMIFS('changes2_based on steps'!$B197:$U197,'changes2_based on steps'!$B$1:$U$1,L$1)</f>
        <v>0</v>
      </c>
      <c r="M197" s="155">
        <f ca="1">SUMIFS('recurring2_based on steps'!$B197:$AY197,'recurring2_based on steps'!$B$1:$AY$1,M$1)+SUMIFS('changes2_based on steps'!$B197:$U197,'changes2_based on steps'!$B$1:$U$1,M$1)</f>
        <v>0</v>
      </c>
      <c r="N197" s="155">
        <f ca="1">SUMIFS('recurring2_based on steps'!$B197:$AY197,'recurring2_based on steps'!$B$1:$AY$1,N$1)+SUMIFS('changes2_based on steps'!$B197:$U197,'changes2_based on steps'!$B$1:$U$1,N$1)</f>
        <v>0</v>
      </c>
      <c r="O197" s="155">
        <f ca="1">SUMIFS('recurring2_based on steps'!$B197:$AY197,'recurring2_based on steps'!$B$1:$AY$1,O$1)+SUMIFS('changes2_based on steps'!$B197:$U197,'changes2_based on steps'!$B$1:$U$1,O$1)</f>
        <v>0</v>
      </c>
      <c r="P197" s="155">
        <f ca="1">SUMIFS('recurring2_based on steps'!$B197:$AY197,'recurring2_based on steps'!$B$1:$AY$1,P$1)+SUMIFS('changes2_based on steps'!$B197:$U197,'changes2_based on steps'!$B$1:$U$1,P$1)</f>
        <v>0</v>
      </c>
      <c r="Q197" s="155">
        <f>SUMIFS('recurring2_based on steps'!$B197:$AY197,'recurring2_based on steps'!$B$1:$AY$1,Q$1)+SUMIFS('changes2_based on steps'!$B197:$U197,'changes2_based on steps'!$B$1:$U$1,Q$1)</f>
        <v>0</v>
      </c>
      <c r="R197" s="155">
        <f ca="1">SUMIFS('recurring2_based on steps'!$B197:$AY197,'recurring2_based on steps'!$B$1:$AY$1,R$1)+SUMIFS('changes2_based on steps'!$B197:$U197,'changes2_based on steps'!$B$1:$U$1,R$1)</f>
        <v>0</v>
      </c>
      <c r="S197" s="155">
        <f ca="1">SUMIFS('recurring2_based on steps'!$B197:$AY197,'recurring2_based on steps'!$B$1:$AY$1,S$1)+SUMIFS('changes2_based on steps'!$B197:$U197,'changes2_based on steps'!$B$1:$U$1,S$1)</f>
        <v>0</v>
      </c>
      <c r="T197" s="155">
        <f>SUMIFS('recurring2_based on steps'!$B197:$AY197,'recurring2_based on steps'!$B$1:$AY$1,T$1)+SUMIFS('changes2_based on steps'!$B197:$U197,'changes2_based on steps'!$B$1:$U$1,T$1)</f>
        <v>0</v>
      </c>
      <c r="U197" s="155">
        <f ca="1">SUMIFS('recurring2_based on steps'!$B197:$AY197,'recurring2_based on steps'!$B$1:$AY$1,U$1)+SUMIFS('changes2_based on steps'!$B197:$U197,'changes2_based on steps'!$B$1:$U$1,U$1)</f>
        <v>0</v>
      </c>
      <c r="V197" s="155">
        <f>SUMIFS('recurring2_based on steps'!$B197:$AY197,'recurring2_based on steps'!$B$1:$AY$1,V$1)+SUMIFS('changes2_based on steps'!$B197:$U197,'changes2_based on steps'!$B$1:$U$1,V$1)</f>
        <v>0</v>
      </c>
      <c r="W197" s="155">
        <f ca="1">SUMIFS('recurring2_based on steps'!$B197:$AY197,'recurring2_based on steps'!$B$1:$AY$1,W$1)+SUMIFS('changes2_based on steps'!$B197:$U197,'changes2_based on steps'!$B$1:$U$1,W$1)</f>
        <v>0</v>
      </c>
      <c r="X197" s="155">
        <f ca="1">SUMIFS('recurring2_based on steps'!$B197:$AY197,'recurring2_based on steps'!$B$1:$AY$1,X$1)+SUMIFS('changes2_based on steps'!$B197:$U197,'changes2_based on steps'!$B$1:$U$1,X$1)</f>
        <v>0</v>
      </c>
      <c r="Y197" s="155">
        <f ca="1">SUMIFS('recurring2_based on steps'!$B197:$AY197,'recurring2_based on steps'!$B$1:$AY$1,Y$1)+SUMIFS('changes2_based on steps'!$B197:$U197,'changes2_based on steps'!$B$1:$U$1,Y$1)</f>
        <v>0</v>
      </c>
      <c r="Z197" s="155">
        <f>SUMIFS('recurring2_based on steps'!$B197:$AY197,'recurring2_based on steps'!$B$1:$AY$1,Z$1)+SUMIFS('changes2_based on steps'!$B197:$U197,'changes2_based on steps'!$B$1:$U$1,Z$1)</f>
        <v>0</v>
      </c>
      <c r="AA197" s="155">
        <f>SUMIFS('recurring2_based on steps'!$B197:$AY197,'recurring2_based on steps'!$B$1:$AY$1,AA$1)+SUMIFS('changes2_based on steps'!$B197:$U197,'changes2_based on steps'!$B$1:$U$1,AA$1)</f>
        <v>0</v>
      </c>
    </row>
    <row r="198" spans="1:27" x14ac:dyDescent="0.2">
      <c r="A198" s="18">
        <f t="shared" ca="1" si="3"/>
        <v>45884</v>
      </c>
      <c r="B198" s="155">
        <f ca="1">SUMIFS('recurring2_based on steps'!$B198:$AY198,'recurring2_based on steps'!$B$1:$AY$1,B$1)+SUMIFS('changes2_based on steps'!$B198:$U198,'changes2_based on steps'!$B$1:$U$1,B$1)</f>
        <v>0</v>
      </c>
      <c r="C198" s="155">
        <f>SUMIFS('recurring2_based on steps'!$B198:$AY198,'recurring2_based on steps'!$B$1:$AY$1,C$1)+SUMIFS('changes2_based on steps'!$B198:$U198,'changes2_based on steps'!$B$1:$U$1,C$1)</f>
        <v>0</v>
      </c>
      <c r="D198" s="155">
        <f>SUMIFS('recurring2_based on steps'!$B198:$AY198,'recurring2_based on steps'!$B$1:$AY$1,D$1)+SUMIFS('changes2_based on steps'!$B198:$U198,'changes2_based on steps'!$B$1:$U$1,D$1)</f>
        <v>0</v>
      </c>
      <c r="E198" s="155">
        <f>SUMIFS('recurring2_based on steps'!$B198:$AY198,'recurring2_based on steps'!$B$1:$AY$1,E$1)+SUMIFS('changes2_based on steps'!$B198:$U198,'changes2_based on steps'!$B$1:$U$1,E$1)</f>
        <v>0</v>
      </c>
      <c r="F198" s="155">
        <f>SUMIFS('recurring2_based on steps'!$B198:$AY198,'recurring2_based on steps'!$B$1:$AY$1,F$1)+SUMIFS('changes2_based on steps'!$B198:$U198,'changes2_based on steps'!$B$1:$U$1,F$1)</f>
        <v>0</v>
      </c>
      <c r="G198" s="155">
        <f>SUMIFS('recurring2_based on steps'!$B198:$AY198,'recurring2_based on steps'!$B$1:$AY$1,G$1)+SUMIFS('changes2_based on steps'!$B198:$U198,'changes2_based on steps'!$B$1:$U$1,G$1)</f>
        <v>0</v>
      </c>
      <c r="H198" s="155">
        <f ca="1">SUMIFS('recurring2_based on steps'!$B198:$AY198,'recurring2_based on steps'!$B$1:$AY$1,H$1)+SUMIFS('changes2_based on steps'!$B198:$U198,'changes2_based on steps'!$B$1:$U$1,H$1)</f>
        <v>0</v>
      </c>
      <c r="I198" s="155">
        <f>SUMIFS('recurring2_based on steps'!$B198:$AY198,'recurring2_based on steps'!$B$1:$AY$1,I$1)+SUMIFS('changes2_based on steps'!$B198:$U198,'changes2_based on steps'!$B$1:$U$1,I$1)</f>
        <v>0</v>
      </c>
      <c r="J198" s="155">
        <f>SUMIFS('recurring2_based on steps'!$B198:$AY198,'recurring2_based on steps'!$B$1:$AY$1,J$1)+SUMIFS('changes2_based on steps'!$B198:$U198,'changes2_based on steps'!$B$1:$U$1,J$1)</f>
        <v>0</v>
      </c>
      <c r="K198" s="155">
        <f>SUMIFS('recurring2_based on steps'!$B198:$AY198,'recurring2_based on steps'!$B$1:$AY$1,K$1)+SUMIFS('changes2_based on steps'!$B198:$U198,'changes2_based on steps'!$B$1:$U$1,K$1)</f>
        <v>0</v>
      </c>
      <c r="L198" s="155">
        <f>SUMIFS('recurring2_based on steps'!$B198:$AY198,'recurring2_based on steps'!$B$1:$AY$1,L$1)+SUMIFS('changes2_based on steps'!$B198:$U198,'changes2_based on steps'!$B$1:$U$1,L$1)</f>
        <v>0</v>
      </c>
      <c r="M198" s="155">
        <f ca="1">SUMIFS('recurring2_based on steps'!$B198:$AY198,'recurring2_based on steps'!$B$1:$AY$1,M$1)+SUMIFS('changes2_based on steps'!$B198:$U198,'changes2_based on steps'!$B$1:$U$1,M$1)</f>
        <v>0</v>
      </c>
      <c r="N198" s="155">
        <f ca="1">SUMIFS('recurring2_based on steps'!$B198:$AY198,'recurring2_based on steps'!$B$1:$AY$1,N$1)+SUMIFS('changes2_based on steps'!$B198:$U198,'changes2_based on steps'!$B$1:$U$1,N$1)</f>
        <v>0</v>
      </c>
      <c r="O198" s="155">
        <f ca="1">SUMIFS('recurring2_based on steps'!$B198:$AY198,'recurring2_based on steps'!$B$1:$AY$1,O$1)+SUMIFS('changes2_based on steps'!$B198:$U198,'changes2_based on steps'!$B$1:$U$1,O$1)</f>
        <v>0</v>
      </c>
      <c r="P198" s="155">
        <f ca="1">SUMIFS('recurring2_based on steps'!$B198:$AY198,'recurring2_based on steps'!$B$1:$AY$1,P$1)+SUMIFS('changes2_based on steps'!$B198:$U198,'changes2_based on steps'!$B$1:$U$1,P$1)</f>
        <v>0</v>
      </c>
      <c r="Q198" s="155">
        <f>SUMIFS('recurring2_based on steps'!$B198:$AY198,'recurring2_based on steps'!$B$1:$AY$1,Q$1)+SUMIFS('changes2_based on steps'!$B198:$U198,'changes2_based on steps'!$B$1:$U$1,Q$1)</f>
        <v>0</v>
      </c>
      <c r="R198" s="155">
        <f ca="1">SUMIFS('recurring2_based on steps'!$B198:$AY198,'recurring2_based on steps'!$B$1:$AY$1,R$1)+SUMIFS('changes2_based on steps'!$B198:$U198,'changes2_based on steps'!$B$1:$U$1,R$1)</f>
        <v>0</v>
      </c>
      <c r="S198" s="155">
        <f ca="1">SUMIFS('recurring2_based on steps'!$B198:$AY198,'recurring2_based on steps'!$B$1:$AY$1,S$1)+SUMIFS('changes2_based on steps'!$B198:$U198,'changes2_based on steps'!$B$1:$U$1,S$1)</f>
        <v>0</v>
      </c>
      <c r="T198" s="155">
        <f>SUMIFS('recurring2_based on steps'!$B198:$AY198,'recurring2_based on steps'!$B$1:$AY$1,T$1)+SUMIFS('changes2_based on steps'!$B198:$U198,'changes2_based on steps'!$B$1:$U$1,T$1)</f>
        <v>0</v>
      </c>
      <c r="U198" s="155">
        <f ca="1">SUMIFS('recurring2_based on steps'!$B198:$AY198,'recurring2_based on steps'!$B$1:$AY$1,U$1)+SUMIFS('changes2_based on steps'!$B198:$U198,'changes2_based on steps'!$B$1:$U$1,U$1)</f>
        <v>0</v>
      </c>
      <c r="V198" s="155">
        <f>SUMIFS('recurring2_based on steps'!$B198:$AY198,'recurring2_based on steps'!$B$1:$AY$1,V$1)+SUMIFS('changes2_based on steps'!$B198:$U198,'changes2_based on steps'!$B$1:$U$1,V$1)</f>
        <v>0</v>
      </c>
      <c r="W198" s="155">
        <f ca="1">SUMIFS('recurring2_based on steps'!$B198:$AY198,'recurring2_based on steps'!$B$1:$AY$1,W$1)+SUMIFS('changes2_based on steps'!$B198:$U198,'changes2_based on steps'!$B$1:$U$1,W$1)</f>
        <v>0</v>
      </c>
      <c r="X198" s="155">
        <f ca="1">SUMIFS('recurring2_based on steps'!$B198:$AY198,'recurring2_based on steps'!$B$1:$AY$1,X$1)+SUMIFS('changes2_based on steps'!$B198:$U198,'changes2_based on steps'!$B$1:$U$1,X$1)</f>
        <v>0</v>
      </c>
      <c r="Y198" s="155">
        <f ca="1">SUMIFS('recurring2_based on steps'!$B198:$AY198,'recurring2_based on steps'!$B$1:$AY$1,Y$1)+SUMIFS('changes2_based on steps'!$B198:$U198,'changes2_based on steps'!$B$1:$U$1,Y$1)</f>
        <v>0</v>
      </c>
      <c r="Z198" s="155">
        <f>SUMIFS('recurring2_based on steps'!$B198:$AY198,'recurring2_based on steps'!$B$1:$AY$1,Z$1)+SUMIFS('changes2_based on steps'!$B198:$U198,'changes2_based on steps'!$B$1:$U$1,Z$1)</f>
        <v>0</v>
      </c>
      <c r="AA198" s="155">
        <f>SUMIFS('recurring2_based on steps'!$B198:$AY198,'recurring2_based on steps'!$B$1:$AY$1,AA$1)+SUMIFS('changes2_based on steps'!$B198:$U198,'changes2_based on steps'!$B$1:$U$1,AA$1)</f>
        <v>0</v>
      </c>
    </row>
    <row r="199" spans="1:27" x14ac:dyDescent="0.2">
      <c r="A199" s="18">
        <f t="shared" ca="1" si="3"/>
        <v>45885</v>
      </c>
      <c r="B199" s="155">
        <f ca="1">SUMIFS('recurring2_based on steps'!$B199:$AY199,'recurring2_based on steps'!$B$1:$AY$1,B$1)+SUMIFS('changes2_based on steps'!$B199:$U199,'changes2_based on steps'!$B$1:$U$1,B$1)</f>
        <v>0</v>
      </c>
      <c r="C199" s="155">
        <f>SUMIFS('recurring2_based on steps'!$B199:$AY199,'recurring2_based on steps'!$B$1:$AY$1,C$1)+SUMIFS('changes2_based on steps'!$B199:$U199,'changes2_based on steps'!$B$1:$U$1,C$1)</f>
        <v>0</v>
      </c>
      <c r="D199" s="155">
        <f>SUMIFS('recurring2_based on steps'!$B199:$AY199,'recurring2_based on steps'!$B$1:$AY$1,D$1)+SUMIFS('changes2_based on steps'!$B199:$U199,'changes2_based on steps'!$B$1:$U$1,D$1)</f>
        <v>0</v>
      </c>
      <c r="E199" s="155">
        <f>SUMIFS('recurring2_based on steps'!$B199:$AY199,'recurring2_based on steps'!$B$1:$AY$1,E$1)+SUMIFS('changes2_based on steps'!$B199:$U199,'changes2_based on steps'!$B$1:$U$1,E$1)</f>
        <v>0</v>
      </c>
      <c r="F199" s="155">
        <f>SUMIFS('recurring2_based on steps'!$B199:$AY199,'recurring2_based on steps'!$B$1:$AY$1,F$1)+SUMIFS('changes2_based on steps'!$B199:$U199,'changes2_based on steps'!$B$1:$U$1,F$1)</f>
        <v>0</v>
      </c>
      <c r="G199" s="155">
        <f>SUMIFS('recurring2_based on steps'!$B199:$AY199,'recurring2_based on steps'!$B$1:$AY$1,G$1)+SUMIFS('changes2_based on steps'!$B199:$U199,'changes2_based on steps'!$B$1:$U$1,G$1)</f>
        <v>0</v>
      </c>
      <c r="H199" s="155">
        <f ca="1">SUMIFS('recurring2_based on steps'!$B199:$AY199,'recurring2_based on steps'!$B$1:$AY$1,H$1)+SUMIFS('changes2_based on steps'!$B199:$U199,'changes2_based on steps'!$B$1:$U$1,H$1)</f>
        <v>0</v>
      </c>
      <c r="I199" s="155">
        <f>SUMIFS('recurring2_based on steps'!$B199:$AY199,'recurring2_based on steps'!$B$1:$AY$1,I$1)+SUMIFS('changes2_based on steps'!$B199:$U199,'changes2_based on steps'!$B$1:$U$1,I$1)</f>
        <v>0</v>
      </c>
      <c r="J199" s="155">
        <f>SUMIFS('recurring2_based on steps'!$B199:$AY199,'recurring2_based on steps'!$B$1:$AY$1,J$1)+SUMIFS('changes2_based on steps'!$B199:$U199,'changes2_based on steps'!$B$1:$U$1,J$1)</f>
        <v>0</v>
      </c>
      <c r="K199" s="155">
        <f>SUMIFS('recurring2_based on steps'!$B199:$AY199,'recurring2_based on steps'!$B$1:$AY$1,K$1)+SUMIFS('changes2_based on steps'!$B199:$U199,'changes2_based on steps'!$B$1:$U$1,K$1)</f>
        <v>0</v>
      </c>
      <c r="L199" s="155">
        <f>SUMIFS('recurring2_based on steps'!$B199:$AY199,'recurring2_based on steps'!$B$1:$AY$1,L$1)+SUMIFS('changes2_based on steps'!$B199:$U199,'changes2_based on steps'!$B$1:$U$1,L$1)</f>
        <v>0</v>
      </c>
      <c r="M199" s="155">
        <f ca="1">SUMIFS('recurring2_based on steps'!$B199:$AY199,'recurring2_based on steps'!$B$1:$AY$1,M$1)+SUMIFS('changes2_based on steps'!$B199:$U199,'changes2_based on steps'!$B$1:$U$1,M$1)</f>
        <v>0</v>
      </c>
      <c r="N199" s="155">
        <f ca="1">SUMIFS('recurring2_based on steps'!$B199:$AY199,'recurring2_based on steps'!$B$1:$AY$1,N$1)+SUMIFS('changes2_based on steps'!$B199:$U199,'changes2_based on steps'!$B$1:$U$1,N$1)</f>
        <v>0</v>
      </c>
      <c r="O199" s="155">
        <f ca="1">SUMIFS('recurring2_based on steps'!$B199:$AY199,'recurring2_based on steps'!$B$1:$AY$1,O$1)+SUMIFS('changes2_based on steps'!$B199:$U199,'changes2_based on steps'!$B$1:$U$1,O$1)</f>
        <v>0</v>
      </c>
      <c r="P199" s="155">
        <f ca="1">SUMIFS('recurring2_based on steps'!$B199:$AY199,'recurring2_based on steps'!$B$1:$AY$1,P$1)+SUMIFS('changes2_based on steps'!$B199:$U199,'changes2_based on steps'!$B$1:$U$1,P$1)</f>
        <v>0</v>
      </c>
      <c r="Q199" s="155">
        <f>SUMIFS('recurring2_based on steps'!$B199:$AY199,'recurring2_based on steps'!$B$1:$AY$1,Q$1)+SUMIFS('changes2_based on steps'!$B199:$U199,'changes2_based on steps'!$B$1:$U$1,Q$1)</f>
        <v>0</v>
      </c>
      <c r="R199" s="155">
        <f ca="1">SUMIFS('recurring2_based on steps'!$B199:$AY199,'recurring2_based on steps'!$B$1:$AY$1,R$1)+SUMIFS('changes2_based on steps'!$B199:$U199,'changes2_based on steps'!$B$1:$U$1,R$1)</f>
        <v>100</v>
      </c>
      <c r="S199" s="155">
        <f ca="1">SUMIFS('recurring2_based on steps'!$B199:$AY199,'recurring2_based on steps'!$B$1:$AY$1,S$1)+SUMIFS('changes2_based on steps'!$B199:$U199,'changes2_based on steps'!$B$1:$U$1,S$1)</f>
        <v>100</v>
      </c>
      <c r="T199" s="155">
        <f>SUMIFS('recurring2_based on steps'!$B199:$AY199,'recurring2_based on steps'!$B$1:$AY$1,T$1)+SUMIFS('changes2_based on steps'!$B199:$U199,'changes2_based on steps'!$B$1:$U$1,T$1)</f>
        <v>0</v>
      </c>
      <c r="U199" s="155">
        <f ca="1">SUMIFS('recurring2_based on steps'!$B199:$AY199,'recurring2_based on steps'!$B$1:$AY$1,U$1)+SUMIFS('changes2_based on steps'!$B199:$U199,'changes2_based on steps'!$B$1:$U$1,U$1)</f>
        <v>0</v>
      </c>
      <c r="V199" s="155">
        <f>SUMIFS('recurring2_based on steps'!$B199:$AY199,'recurring2_based on steps'!$B$1:$AY$1,V$1)+SUMIFS('changes2_based on steps'!$B199:$U199,'changes2_based on steps'!$B$1:$U$1,V$1)</f>
        <v>0</v>
      </c>
      <c r="W199" s="155">
        <f ca="1">SUMIFS('recurring2_based on steps'!$B199:$AY199,'recurring2_based on steps'!$B$1:$AY$1,W$1)+SUMIFS('changes2_based on steps'!$B199:$U199,'changes2_based on steps'!$B$1:$U$1,W$1)</f>
        <v>0</v>
      </c>
      <c r="X199" s="155">
        <f ca="1">SUMIFS('recurring2_based on steps'!$B199:$AY199,'recurring2_based on steps'!$B$1:$AY$1,X$1)+SUMIFS('changes2_based on steps'!$B199:$U199,'changes2_based on steps'!$B$1:$U$1,X$1)</f>
        <v>0</v>
      </c>
      <c r="Y199" s="155">
        <f ca="1">SUMIFS('recurring2_based on steps'!$B199:$AY199,'recurring2_based on steps'!$B$1:$AY$1,Y$1)+SUMIFS('changes2_based on steps'!$B199:$U199,'changes2_based on steps'!$B$1:$U$1,Y$1)</f>
        <v>0</v>
      </c>
      <c r="Z199" s="155">
        <f>SUMIFS('recurring2_based on steps'!$B199:$AY199,'recurring2_based on steps'!$B$1:$AY$1,Z$1)+SUMIFS('changes2_based on steps'!$B199:$U199,'changes2_based on steps'!$B$1:$U$1,Z$1)</f>
        <v>0</v>
      </c>
      <c r="AA199" s="155">
        <f>SUMIFS('recurring2_based on steps'!$B199:$AY199,'recurring2_based on steps'!$B$1:$AY$1,AA$1)+SUMIFS('changes2_based on steps'!$B199:$U199,'changes2_based on steps'!$B$1:$U$1,AA$1)</f>
        <v>0</v>
      </c>
    </row>
    <row r="200" spans="1:27" x14ac:dyDescent="0.2">
      <c r="A200" s="18">
        <f t="shared" ca="1" si="3"/>
        <v>45886</v>
      </c>
      <c r="B200" s="155">
        <f ca="1">SUMIFS('recurring2_based on steps'!$B200:$AY200,'recurring2_based on steps'!$B$1:$AY$1,B$1)+SUMIFS('changes2_based on steps'!$B200:$U200,'changes2_based on steps'!$B$1:$U$1,B$1)</f>
        <v>0</v>
      </c>
      <c r="C200" s="155">
        <f>SUMIFS('recurring2_based on steps'!$B200:$AY200,'recurring2_based on steps'!$B$1:$AY$1,C$1)+SUMIFS('changes2_based on steps'!$B200:$U200,'changes2_based on steps'!$B$1:$U$1,C$1)</f>
        <v>0</v>
      </c>
      <c r="D200" s="155">
        <f>SUMIFS('recurring2_based on steps'!$B200:$AY200,'recurring2_based on steps'!$B$1:$AY$1,D$1)+SUMIFS('changes2_based on steps'!$B200:$U200,'changes2_based on steps'!$B$1:$U$1,D$1)</f>
        <v>0</v>
      </c>
      <c r="E200" s="155">
        <f>SUMIFS('recurring2_based on steps'!$B200:$AY200,'recurring2_based on steps'!$B$1:$AY$1,E$1)+SUMIFS('changes2_based on steps'!$B200:$U200,'changes2_based on steps'!$B$1:$U$1,E$1)</f>
        <v>0</v>
      </c>
      <c r="F200" s="155">
        <f>SUMIFS('recurring2_based on steps'!$B200:$AY200,'recurring2_based on steps'!$B$1:$AY$1,F$1)+SUMIFS('changes2_based on steps'!$B200:$U200,'changes2_based on steps'!$B$1:$U$1,F$1)</f>
        <v>0</v>
      </c>
      <c r="G200" s="155">
        <f>SUMIFS('recurring2_based on steps'!$B200:$AY200,'recurring2_based on steps'!$B$1:$AY$1,G$1)+SUMIFS('changes2_based on steps'!$B200:$U200,'changes2_based on steps'!$B$1:$U$1,G$1)</f>
        <v>0</v>
      </c>
      <c r="H200" s="155">
        <f ca="1">SUMIFS('recurring2_based on steps'!$B200:$AY200,'recurring2_based on steps'!$B$1:$AY$1,H$1)+SUMIFS('changes2_based on steps'!$B200:$U200,'changes2_based on steps'!$B$1:$U$1,H$1)</f>
        <v>0</v>
      </c>
      <c r="I200" s="155">
        <f>SUMIFS('recurring2_based on steps'!$B200:$AY200,'recurring2_based on steps'!$B$1:$AY$1,I$1)+SUMIFS('changes2_based on steps'!$B200:$U200,'changes2_based on steps'!$B$1:$U$1,I$1)</f>
        <v>0</v>
      </c>
      <c r="J200" s="155">
        <f>SUMIFS('recurring2_based on steps'!$B200:$AY200,'recurring2_based on steps'!$B$1:$AY$1,J$1)+SUMIFS('changes2_based on steps'!$B200:$U200,'changes2_based on steps'!$B$1:$U$1,J$1)</f>
        <v>0</v>
      </c>
      <c r="K200" s="155">
        <f>SUMIFS('recurring2_based on steps'!$B200:$AY200,'recurring2_based on steps'!$B$1:$AY$1,K$1)+SUMIFS('changes2_based on steps'!$B200:$U200,'changes2_based on steps'!$B$1:$U$1,K$1)</f>
        <v>0</v>
      </c>
      <c r="L200" s="155">
        <f>SUMIFS('recurring2_based on steps'!$B200:$AY200,'recurring2_based on steps'!$B$1:$AY$1,L$1)+SUMIFS('changes2_based on steps'!$B200:$U200,'changes2_based on steps'!$B$1:$U$1,L$1)</f>
        <v>0</v>
      </c>
      <c r="M200" s="155">
        <f ca="1">SUMIFS('recurring2_based on steps'!$B200:$AY200,'recurring2_based on steps'!$B$1:$AY$1,M$1)+SUMIFS('changes2_based on steps'!$B200:$U200,'changes2_based on steps'!$B$1:$U$1,M$1)</f>
        <v>0</v>
      </c>
      <c r="N200" s="155">
        <f ca="1">SUMIFS('recurring2_based on steps'!$B200:$AY200,'recurring2_based on steps'!$B$1:$AY$1,N$1)+SUMIFS('changes2_based on steps'!$B200:$U200,'changes2_based on steps'!$B$1:$U$1,N$1)</f>
        <v>50</v>
      </c>
      <c r="O200" s="155">
        <f ca="1">SUMIFS('recurring2_based on steps'!$B200:$AY200,'recurring2_based on steps'!$B$1:$AY$1,O$1)+SUMIFS('changes2_based on steps'!$B200:$U200,'changes2_based on steps'!$B$1:$U$1,O$1)</f>
        <v>0</v>
      </c>
      <c r="P200" s="155">
        <f ca="1">SUMIFS('recurring2_based on steps'!$B200:$AY200,'recurring2_based on steps'!$B$1:$AY$1,P$1)+SUMIFS('changes2_based on steps'!$B200:$U200,'changes2_based on steps'!$B$1:$U$1,P$1)</f>
        <v>0</v>
      </c>
      <c r="Q200" s="155">
        <f>SUMIFS('recurring2_based on steps'!$B200:$AY200,'recurring2_based on steps'!$B$1:$AY$1,Q$1)+SUMIFS('changes2_based on steps'!$B200:$U200,'changes2_based on steps'!$B$1:$U$1,Q$1)</f>
        <v>0</v>
      </c>
      <c r="R200" s="155">
        <f ca="1">SUMIFS('recurring2_based on steps'!$B200:$AY200,'recurring2_based on steps'!$B$1:$AY$1,R$1)+SUMIFS('changes2_based on steps'!$B200:$U200,'changes2_based on steps'!$B$1:$U$1,R$1)</f>
        <v>0</v>
      </c>
      <c r="S200" s="155">
        <f ca="1">SUMIFS('recurring2_based on steps'!$B200:$AY200,'recurring2_based on steps'!$B$1:$AY$1,S$1)+SUMIFS('changes2_based on steps'!$B200:$U200,'changes2_based on steps'!$B$1:$U$1,S$1)</f>
        <v>100</v>
      </c>
      <c r="T200" s="155">
        <f>SUMIFS('recurring2_based on steps'!$B200:$AY200,'recurring2_based on steps'!$B$1:$AY$1,T$1)+SUMIFS('changes2_based on steps'!$B200:$U200,'changes2_based on steps'!$B$1:$U$1,T$1)</f>
        <v>0</v>
      </c>
      <c r="U200" s="155">
        <f ca="1">SUMIFS('recurring2_based on steps'!$B200:$AY200,'recurring2_based on steps'!$B$1:$AY$1,U$1)+SUMIFS('changes2_based on steps'!$B200:$U200,'changes2_based on steps'!$B$1:$U$1,U$1)</f>
        <v>15.49</v>
      </c>
      <c r="V200" s="155">
        <f>SUMIFS('recurring2_based on steps'!$B200:$AY200,'recurring2_based on steps'!$B$1:$AY$1,V$1)+SUMIFS('changes2_based on steps'!$B200:$U200,'changes2_based on steps'!$B$1:$U$1,V$1)</f>
        <v>0</v>
      </c>
      <c r="W200" s="155">
        <f ca="1">SUMIFS('recurring2_based on steps'!$B200:$AY200,'recurring2_based on steps'!$B$1:$AY$1,W$1)+SUMIFS('changes2_based on steps'!$B200:$U200,'changes2_based on steps'!$B$1:$U$1,W$1)</f>
        <v>0</v>
      </c>
      <c r="X200" s="155">
        <f ca="1">SUMIFS('recurring2_based on steps'!$B200:$AY200,'recurring2_based on steps'!$B$1:$AY$1,X$1)+SUMIFS('changes2_based on steps'!$B200:$U200,'changes2_based on steps'!$B$1:$U$1,X$1)</f>
        <v>0</v>
      </c>
      <c r="Y200" s="155">
        <f ca="1">SUMIFS('recurring2_based on steps'!$B200:$AY200,'recurring2_based on steps'!$B$1:$AY$1,Y$1)+SUMIFS('changes2_based on steps'!$B200:$U200,'changes2_based on steps'!$B$1:$U$1,Y$1)</f>
        <v>200</v>
      </c>
      <c r="Z200" s="155">
        <f>SUMIFS('recurring2_based on steps'!$B200:$AY200,'recurring2_based on steps'!$B$1:$AY$1,Z$1)+SUMIFS('changes2_based on steps'!$B200:$U200,'changes2_based on steps'!$B$1:$U$1,Z$1)</f>
        <v>0</v>
      </c>
      <c r="AA200" s="155">
        <f>SUMIFS('recurring2_based on steps'!$B200:$AY200,'recurring2_based on steps'!$B$1:$AY$1,AA$1)+SUMIFS('changes2_based on steps'!$B200:$U200,'changes2_based on steps'!$B$1:$U$1,AA$1)</f>
        <v>0</v>
      </c>
    </row>
    <row r="201" spans="1:27" x14ac:dyDescent="0.2">
      <c r="A201" s="18">
        <f t="shared" ca="1" si="3"/>
        <v>45887</v>
      </c>
      <c r="B201" s="155">
        <f ca="1">SUMIFS('recurring2_based on steps'!$B201:$AY201,'recurring2_based on steps'!$B$1:$AY$1,B$1)+SUMIFS('changes2_based on steps'!$B201:$U201,'changes2_based on steps'!$B$1:$U$1,B$1)</f>
        <v>0</v>
      </c>
      <c r="C201" s="155">
        <f>SUMIFS('recurring2_based on steps'!$B201:$AY201,'recurring2_based on steps'!$B$1:$AY$1,C$1)+SUMIFS('changes2_based on steps'!$B201:$U201,'changes2_based on steps'!$B$1:$U$1,C$1)</f>
        <v>0</v>
      </c>
      <c r="D201" s="155">
        <f>SUMIFS('recurring2_based on steps'!$B201:$AY201,'recurring2_based on steps'!$B$1:$AY$1,D$1)+SUMIFS('changes2_based on steps'!$B201:$U201,'changes2_based on steps'!$B$1:$U$1,D$1)</f>
        <v>0</v>
      </c>
      <c r="E201" s="155">
        <f>SUMIFS('recurring2_based on steps'!$B201:$AY201,'recurring2_based on steps'!$B$1:$AY$1,E$1)+SUMIFS('changes2_based on steps'!$B201:$U201,'changes2_based on steps'!$B$1:$U$1,E$1)</f>
        <v>0</v>
      </c>
      <c r="F201" s="155">
        <f>SUMIFS('recurring2_based on steps'!$B201:$AY201,'recurring2_based on steps'!$B$1:$AY$1,F$1)+SUMIFS('changes2_based on steps'!$B201:$U201,'changes2_based on steps'!$B$1:$U$1,F$1)</f>
        <v>0</v>
      </c>
      <c r="G201" s="155">
        <f>SUMIFS('recurring2_based on steps'!$B201:$AY201,'recurring2_based on steps'!$B$1:$AY$1,G$1)+SUMIFS('changes2_based on steps'!$B201:$U201,'changes2_based on steps'!$B$1:$U$1,G$1)</f>
        <v>0</v>
      </c>
      <c r="H201" s="155">
        <f ca="1">SUMIFS('recurring2_based on steps'!$B201:$AY201,'recurring2_based on steps'!$B$1:$AY$1,H$1)+SUMIFS('changes2_based on steps'!$B201:$U201,'changes2_based on steps'!$B$1:$U$1,H$1)</f>
        <v>0</v>
      </c>
      <c r="I201" s="155">
        <f>SUMIFS('recurring2_based on steps'!$B201:$AY201,'recurring2_based on steps'!$B$1:$AY$1,I$1)+SUMIFS('changes2_based on steps'!$B201:$U201,'changes2_based on steps'!$B$1:$U$1,I$1)</f>
        <v>0</v>
      </c>
      <c r="J201" s="155">
        <f>SUMIFS('recurring2_based on steps'!$B201:$AY201,'recurring2_based on steps'!$B$1:$AY$1,J$1)+SUMIFS('changes2_based on steps'!$B201:$U201,'changes2_based on steps'!$B$1:$U$1,J$1)</f>
        <v>0</v>
      </c>
      <c r="K201" s="155">
        <f>SUMIFS('recurring2_based on steps'!$B201:$AY201,'recurring2_based on steps'!$B$1:$AY$1,K$1)+SUMIFS('changes2_based on steps'!$B201:$U201,'changes2_based on steps'!$B$1:$U$1,K$1)</f>
        <v>0</v>
      </c>
      <c r="L201" s="155">
        <f>SUMIFS('recurring2_based on steps'!$B201:$AY201,'recurring2_based on steps'!$B$1:$AY$1,L$1)+SUMIFS('changes2_based on steps'!$B201:$U201,'changes2_based on steps'!$B$1:$U$1,L$1)</f>
        <v>0</v>
      </c>
      <c r="M201" s="155">
        <f ca="1">SUMIFS('recurring2_based on steps'!$B201:$AY201,'recurring2_based on steps'!$B$1:$AY$1,M$1)+SUMIFS('changes2_based on steps'!$B201:$U201,'changes2_based on steps'!$B$1:$U$1,M$1)</f>
        <v>0</v>
      </c>
      <c r="N201" s="155">
        <f ca="1">SUMIFS('recurring2_based on steps'!$B201:$AY201,'recurring2_based on steps'!$B$1:$AY$1,N$1)+SUMIFS('changes2_based on steps'!$B201:$U201,'changes2_based on steps'!$B$1:$U$1,N$1)</f>
        <v>0</v>
      </c>
      <c r="O201" s="155">
        <f ca="1">SUMIFS('recurring2_based on steps'!$B201:$AY201,'recurring2_based on steps'!$B$1:$AY$1,O$1)+SUMIFS('changes2_based on steps'!$B201:$U201,'changes2_based on steps'!$B$1:$U$1,O$1)</f>
        <v>0</v>
      </c>
      <c r="P201" s="155">
        <f ca="1">SUMIFS('recurring2_based on steps'!$B201:$AY201,'recurring2_based on steps'!$B$1:$AY$1,P$1)+SUMIFS('changes2_based on steps'!$B201:$U201,'changes2_based on steps'!$B$1:$U$1,P$1)</f>
        <v>0</v>
      </c>
      <c r="Q201" s="155">
        <f>SUMIFS('recurring2_based on steps'!$B201:$AY201,'recurring2_based on steps'!$B$1:$AY$1,Q$1)+SUMIFS('changes2_based on steps'!$B201:$U201,'changes2_based on steps'!$B$1:$U$1,Q$1)</f>
        <v>0</v>
      </c>
      <c r="R201" s="155">
        <f ca="1">SUMIFS('recurring2_based on steps'!$B201:$AY201,'recurring2_based on steps'!$B$1:$AY$1,R$1)+SUMIFS('changes2_based on steps'!$B201:$U201,'changes2_based on steps'!$B$1:$U$1,R$1)</f>
        <v>0</v>
      </c>
      <c r="S201" s="155">
        <f ca="1">SUMIFS('recurring2_based on steps'!$B201:$AY201,'recurring2_based on steps'!$B$1:$AY$1,S$1)+SUMIFS('changes2_based on steps'!$B201:$U201,'changes2_based on steps'!$B$1:$U$1,S$1)</f>
        <v>0</v>
      </c>
      <c r="T201" s="155">
        <f>SUMIFS('recurring2_based on steps'!$B201:$AY201,'recurring2_based on steps'!$B$1:$AY$1,T$1)+SUMIFS('changes2_based on steps'!$B201:$U201,'changes2_based on steps'!$B$1:$U$1,T$1)</f>
        <v>0</v>
      </c>
      <c r="U201" s="155">
        <f ca="1">SUMIFS('recurring2_based on steps'!$B201:$AY201,'recurring2_based on steps'!$B$1:$AY$1,U$1)+SUMIFS('changes2_based on steps'!$B201:$U201,'changes2_based on steps'!$B$1:$U$1,U$1)</f>
        <v>10.99</v>
      </c>
      <c r="V201" s="155">
        <f>SUMIFS('recurring2_based on steps'!$B201:$AY201,'recurring2_based on steps'!$B$1:$AY$1,V$1)+SUMIFS('changes2_based on steps'!$B201:$U201,'changes2_based on steps'!$B$1:$U$1,V$1)</f>
        <v>0</v>
      </c>
      <c r="W201" s="155">
        <f ca="1">SUMIFS('recurring2_based on steps'!$B201:$AY201,'recurring2_based on steps'!$B$1:$AY$1,W$1)+SUMIFS('changes2_based on steps'!$B201:$U201,'changes2_based on steps'!$B$1:$U$1,W$1)</f>
        <v>0</v>
      </c>
      <c r="X201" s="155">
        <f ca="1">SUMIFS('recurring2_based on steps'!$B201:$AY201,'recurring2_based on steps'!$B$1:$AY$1,X$1)+SUMIFS('changes2_based on steps'!$B201:$U201,'changes2_based on steps'!$B$1:$U$1,X$1)</f>
        <v>0</v>
      </c>
      <c r="Y201" s="155">
        <f ca="1">SUMIFS('recurring2_based on steps'!$B201:$AY201,'recurring2_based on steps'!$B$1:$AY$1,Y$1)+SUMIFS('changes2_based on steps'!$B201:$U201,'changes2_based on steps'!$B$1:$U$1,Y$1)</f>
        <v>0</v>
      </c>
      <c r="Z201" s="155">
        <f>SUMIFS('recurring2_based on steps'!$B201:$AY201,'recurring2_based on steps'!$B$1:$AY$1,Z$1)+SUMIFS('changes2_based on steps'!$B201:$U201,'changes2_based on steps'!$B$1:$U$1,Z$1)</f>
        <v>0</v>
      </c>
      <c r="AA201" s="155">
        <f>SUMIFS('recurring2_based on steps'!$B201:$AY201,'recurring2_based on steps'!$B$1:$AY$1,AA$1)+SUMIFS('changes2_based on steps'!$B201:$U201,'changes2_based on steps'!$B$1:$U$1,AA$1)</f>
        <v>0</v>
      </c>
    </row>
    <row r="202" spans="1:27" x14ac:dyDescent="0.2">
      <c r="A202" s="18">
        <f t="shared" ca="1" si="3"/>
        <v>45888</v>
      </c>
      <c r="B202" s="155">
        <f ca="1">SUMIFS('recurring2_based on steps'!$B202:$AY202,'recurring2_based on steps'!$B$1:$AY$1,B$1)+SUMIFS('changes2_based on steps'!$B202:$U202,'changes2_based on steps'!$B$1:$U$1,B$1)</f>
        <v>0</v>
      </c>
      <c r="C202" s="155">
        <f>SUMIFS('recurring2_based on steps'!$B202:$AY202,'recurring2_based on steps'!$B$1:$AY$1,C$1)+SUMIFS('changes2_based on steps'!$B202:$U202,'changes2_based on steps'!$B$1:$U$1,C$1)</f>
        <v>0</v>
      </c>
      <c r="D202" s="155">
        <f>SUMIFS('recurring2_based on steps'!$B202:$AY202,'recurring2_based on steps'!$B$1:$AY$1,D$1)+SUMIFS('changes2_based on steps'!$B202:$U202,'changes2_based on steps'!$B$1:$U$1,D$1)</f>
        <v>0</v>
      </c>
      <c r="E202" s="155">
        <f>SUMIFS('recurring2_based on steps'!$B202:$AY202,'recurring2_based on steps'!$B$1:$AY$1,E$1)+SUMIFS('changes2_based on steps'!$B202:$U202,'changes2_based on steps'!$B$1:$U$1,E$1)</f>
        <v>0</v>
      </c>
      <c r="F202" s="155">
        <f>SUMIFS('recurring2_based on steps'!$B202:$AY202,'recurring2_based on steps'!$B$1:$AY$1,F$1)+SUMIFS('changes2_based on steps'!$B202:$U202,'changes2_based on steps'!$B$1:$U$1,F$1)</f>
        <v>0</v>
      </c>
      <c r="G202" s="155">
        <f>SUMIFS('recurring2_based on steps'!$B202:$AY202,'recurring2_based on steps'!$B$1:$AY$1,G$1)+SUMIFS('changes2_based on steps'!$B202:$U202,'changes2_based on steps'!$B$1:$U$1,G$1)</f>
        <v>0</v>
      </c>
      <c r="H202" s="155">
        <f ca="1">SUMIFS('recurring2_based on steps'!$B202:$AY202,'recurring2_based on steps'!$B$1:$AY$1,H$1)+SUMIFS('changes2_based on steps'!$B202:$U202,'changes2_based on steps'!$B$1:$U$1,H$1)</f>
        <v>0</v>
      </c>
      <c r="I202" s="155">
        <f>SUMIFS('recurring2_based on steps'!$B202:$AY202,'recurring2_based on steps'!$B$1:$AY$1,I$1)+SUMIFS('changes2_based on steps'!$B202:$U202,'changes2_based on steps'!$B$1:$U$1,I$1)</f>
        <v>0</v>
      </c>
      <c r="J202" s="155">
        <f>SUMIFS('recurring2_based on steps'!$B202:$AY202,'recurring2_based on steps'!$B$1:$AY$1,J$1)+SUMIFS('changes2_based on steps'!$B202:$U202,'changes2_based on steps'!$B$1:$U$1,J$1)</f>
        <v>0</v>
      </c>
      <c r="K202" s="155">
        <f>SUMIFS('recurring2_based on steps'!$B202:$AY202,'recurring2_based on steps'!$B$1:$AY$1,K$1)+SUMIFS('changes2_based on steps'!$B202:$U202,'changes2_based on steps'!$B$1:$U$1,K$1)</f>
        <v>0</v>
      </c>
      <c r="L202" s="155">
        <f>SUMIFS('recurring2_based on steps'!$B202:$AY202,'recurring2_based on steps'!$B$1:$AY$1,L$1)+SUMIFS('changes2_based on steps'!$B202:$U202,'changes2_based on steps'!$B$1:$U$1,L$1)</f>
        <v>0</v>
      </c>
      <c r="M202" s="155">
        <f ca="1">SUMIFS('recurring2_based on steps'!$B202:$AY202,'recurring2_based on steps'!$B$1:$AY$1,M$1)+SUMIFS('changes2_based on steps'!$B202:$U202,'changes2_based on steps'!$B$1:$U$1,M$1)</f>
        <v>0</v>
      </c>
      <c r="N202" s="155">
        <f ca="1">SUMIFS('recurring2_based on steps'!$B202:$AY202,'recurring2_based on steps'!$B$1:$AY$1,N$1)+SUMIFS('changes2_based on steps'!$B202:$U202,'changes2_based on steps'!$B$1:$U$1,N$1)</f>
        <v>0</v>
      </c>
      <c r="O202" s="155">
        <f ca="1">SUMIFS('recurring2_based on steps'!$B202:$AY202,'recurring2_based on steps'!$B$1:$AY$1,O$1)+SUMIFS('changes2_based on steps'!$B202:$U202,'changes2_based on steps'!$B$1:$U$1,O$1)</f>
        <v>0</v>
      </c>
      <c r="P202" s="155">
        <f ca="1">SUMIFS('recurring2_based on steps'!$B202:$AY202,'recurring2_based on steps'!$B$1:$AY$1,P$1)+SUMIFS('changes2_based on steps'!$B202:$U202,'changes2_based on steps'!$B$1:$U$1,P$1)</f>
        <v>0</v>
      </c>
      <c r="Q202" s="155">
        <f>SUMIFS('recurring2_based on steps'!$B202:$AY202,'recurring2_based on steps'!$B$1:$AY$1,Q$1)+SUMIFS('changes2_based on steps'!$B202:$U202,'changes2_based on steps'!$B$1:$U$1,Q$1)</f>
        <v>0</v>
      </c>
      <c r="R202" s="155">
        <f ca="1">SUMIFS('recurring2_based on steps'!$B202:$AY202,'recurring2_based on steps'!$B$1:$AY$1,R$1)+SUMIFS('changes2_based on steps'!$B202:$U202,'changes2_based on steps'!$B$1:$U$1,R$1)</f>
        <v>0</v>
      </c>
      <c r="S202" s="155">
        <f ca="1">SUMIFS('recurring2_based on steps'!$B202:$AY202,'recurring2_based on steps'!$B$1:$AY$1,S$1)+SUMIFS('changes2_based on steps'!$B202:$U202,'changes2_based on steps'!$B$1:$U$1,S$1)</f>
        <v>0</v>
      </c>
      <c r="T202" s="155">
        <f>SUMIFS('recurring2_based on steps'!$B202:$AY202,'recurring2_based on steps'!$B$1:$AY$1,T$1)+SUMIFS('changes2_based on steps'!$B202:$U202,'changes2_based on steps'!$B$1:$U$1,T$1)</f>
        <v>0</v>
      </c>
      <c r="U202" s="155">
        <f ca="1">SUMIFS('recurring2_based on steps'!$B202:$AY202,'recurring2_based on steps'!$B$1:$AY$1,U$1)+SUMIFS('changes2_based on steps'!$B202:$U202,'changes2_based on steps'!$B$1:$U$1,U$1)</f>
        <v>0</v>
      </c>
      <c r="V202" s="155">
        <f>SUMIFS('recurring2_based on steps'!$B202:$AY202,'recurring2_based on steps'!$B$1:$AY$1,V$1)+SUMIFS('changes2_based on steps'!$B202:$U202,'changes2_based on steps'!$B$1:$U$1,V$1)</f>
        <v>0</v>
      </c>
      <c r="W202" s="155">
        <f ca="1">SUMIFS('recurring2_based on steps'!$B202:$AY202,'recurring2_based on steps'!$B$1:$AY$1,W$1)+SUMIFS('changes2_based on steps'!$B202:$U202,'changes2_based on steps'!$B$1:$U$1,W$1)</f>
        <v>0</v>
      </c>
      <c r="X202" s="155">
        <f ca="1">SUMIFS('recurring2_based on steps'!$B202:$AY202,'recurring2_based on steps'!$B$1:$AY$1,X$1)+SUMIFS('changes2_based on steps'!$B202:$U202,'changes2_based on steps'!$B$1:$U$1,X$1)</f>
        <v>0</v>
      </c>
      <c r="Y202" s="155">
        <f ca="1">SUMIFS('recurring2_based on steps'!$B202:$AY202,'recurring2_based on steps'!$B$1:$AY$1,Y$1)+SUMIFS('changes2_based on steps'!$B202:$U202,'changes2_based on steps'!$B$1:$U$1,Y$1)</f>
        <v>0</v>
      </c>
      <c r="Z202" s="155">
        <f>SUMIFS('recurring2_based on steps'!$B202:$AY202,'recurring2_based on steps'!$B$1:$AY$1,Z$1)+SUMIFS('changes2_based on steps'!$B202:$U202,'changes2_based on steps'!$B$1:$U$1,Z$1)</f>
        <v>0</v>
      </c>
      <c r="AA202" s="155">
        <f>SUMIFS('recurring2_based on steps'!$B202:$AY202,'recurring2_based on steps'!$B$1:$AY$1,AA$1)+SUMIFS('changes2_based on steps'!$B202:$U202,'changes2_based on steps'!$B$1:$U$1,AA$1)</f>
        <v>0</v>
      </c>
    </row>
    <row r="203" spans="1:27" x14ac:dyDescent="0.2">
      <c r="A203" s="18">
        <f t="shared" ca="1" si="3"/>
        <v>45889</v>
      </c>
      <c r="B203" s="155">
        <f ca="1">SUMIFS('recurring2_based on steps'!$B203:$AY203,'recurring2_based on steps'!$B$1:$AY$1,B$1)+SUMIFS('changes2_based on steps'!$B203:$U203,'changes2_based on steps'!$B$1:$U$1,B$1)</f>
        <v>0</v>
      </c>
      <c r="C203" s="155">
        <f>SUMIFS('recurring2_based on steps'!$B203:$AY203,'recurring2_based on steps'!$B$1:$AY$1,C$1)+SUMIFS('changes2_based on steps'!$B203:$U203,'changes2_based on steps'!$B$1:$U$1,C$1)</f>
        <v>0</v>
      </c>
      <c r="D203" s="155">
        <f>SUMIFS('recurring2_based on steps'!$B203:$AY203,'recurring2_based on steps'!$B$1:$AY$1,D$1)+SUMIFS('changes2_based on steps'!$B203:$U203,'changes2_based on steps'!$B$1:$U$1,D$1)</f>
        <v>0</v>
      </c>
      <c r="E203" s="155">
        <f>SUMIFS('recurring2_based on steps'!$B203:$AY203,'recurring2_based on steps'!$B$1:$AY$1,E$1)+SUMIFS('changes2_based on steps'!$B203:$U203,'changes2_based on steps'!$B$1:$U$1,E$1)</f>
        <v>0</v>
      </c>
      <c r="F203" s="155">
        <f>SUMIFS('recurring2_based on steps'!$B203:$AY203,'recurring2_based on steps'!$B$1:$AY$1,F$1)+SUMIFS('changes2_based on steps'!$B203:$U203,'changes2_based on steps'!$B$1:$U$1,F$1)</f>
        <v>0</v>
      </c>
      <c r="G203" s="155">
        <f>SUMIFS('recurring2_based on steps'!$B203:$AY203,'recurring2_based on steps'!$B$1:$AY$1,G$1)+SUMIFS('changes2_based on steps'!$B203:$U203,'changes2_based on steps'!$B$1:$U$1,G$1)</f>
        <v>0</v>
      </c>
      <c r="H203" s="155">
        <f ca="1">SUMIFS('recurring2_based on steps'!$B203:$AY203,'recurring2_based on steps'!$B$1:$AY$1,H$1)+SUMIFS('changes2_based on steps'!$B203:$U203,'changes2_based on steps'!$B$1:$U$1,H$1)</f>
        <v>0</v>
      </c>
      <c r="I203" s="155">
        <f>SUMIFS('recurring2_based on steps'!$B203:$AY203,'recurring2_based on steps'!$B$1:$AY$1,I$1)+SUMIFS('changes2_based on steps'!$B203:$U203,'changes2_based on steps'!$B$1:$U$1,I$1)</f>
        <v>0</v>
      </c>
      <c r="J203" s="155">
        <f>SUMIFS('recurring2_based on steps'!$B203:$AY203,'recurring2_based on steps'!$B$1:$AY$1,J$1)+SUMIFS('changes2_based on steps'!$B203:$U203,'changes2_based on steps'!$B$1:$U$1,J$1)</f>
        <v>0</v>
      </c>
      <c r="K203" s="155">
        <f>SUMIFS('recurring2_based on steps'!$B203:$AY203,'recurring2_based on steps'!$B$1:$AY$1,K$1)+SUMIFS('changes2_based on steps'!$B203:$U203,'changes2_based on steps'!$B$1:$U$1,K$1)</f>
        <v>0</v>
      </c>
      <c r="L203" s="155">
        <f>SUMIFS('recurring2_based on steps'!$B203:$AY203,'recurring2_based on steps'!$B$1:$AY$1,L$1)+SUMIFS('changes2_based on steps'!$B203:$U203,'changes2_based on steps'!$B$1:$U$1,L$1)</f>
        <v>0</v>
      </c>
      <c r="M203" s="155">
        <f ca="1">SUMIFS('recurring2_based on steps'!$B203:$AY203,'recurring2_based on steps'!$B$1:$AY$1,M$1)+SUMIFS('changes2_based on steps'!$B203:$U203,'changes2_based on steps'!$B$1:$U$1,M$1)</f>
        <v>0</v>
      </c>
      <c r="N203" s="155">
        <f ca="1">SUMIFS('recurring2_based on steps'!$B203:$AY203,'recurring2_based on steps'!$B$1:$AY$1,N$1)+SUMIFS('changes2_based on steps'!$B203:$U203,'changes2_based on steps'!$B$1:$U$1,N$1)</f>
        <v>0</v>
      </c>
      <c r="O203" s="155">
        <f ca="1">SUMIFS('recurring2_based on steps'!$B203:$AY203,'recurring2_based on steps'!$B$1:$AY$1,O$1)+SUMIFS('changes2_based on steps'!$B203:$U203,'changes2_based on steps'!$B$1:$U$1,O$1)</f>
        <v>0</v>
      </c>
      <c r="P203" s="155">
        <f ca="1">SUMIFS('recurring2_based on steps'!$B203:$AY203,'recurring2_based on steps'!$B$1:$AY$1,P$1)+SUMIFS('changes2_based on steps'!$B203:$U203,'changes2_based on steps'!$B$1:$U$1,P$1)</f>
        <v>0</v>
      </c>
      <c r="Q203" s="155">
        <f>SUMIFS('recurring2_based on steps'!$B203:$AY203,'recurring2_based on steps'!$B$1:$AY$1,Q$1)+SUMIFS('changes2_based on steps'!$B203:$U203,'changes2_based on steps'!$B$1:$U$1,Q$1)</f>
        <v>0</v>
      </c>
      <c r="R203" s="155">
        <f ca="1">SUMIFS('recurring2_based on steps'!$B203:$AY203,'recurring2_based on steps'!$B$1:$AY$1,R$1)+SUMIFS('changes2_based on steps'!$B203:$U203,'changes2_based on steps'!$B$1:$U$1,R$1)</f>
        <v>0</v>
      </c>
      <c r="S203" s="155">
        <f ca="1">SUMIFS('recurring2_based on steps'!$B203:$AY203,'recurring2_based on steps'!$B$1:$AY$1,S$1)+SUMIFS('changes2_based on steps'!$B203:$U203,'changes2_based on steps'!$B$1:$U$1,S$1)</f>
        <v>0</v>
      </c>
      <c r="T203" s="155">
        <f>SUMIFS('recurring2_based on steps'!$B203:$AY203,'recurring2_based on steps'!$B$1:$AY$1,T$1)+SUMIFS('changes2_based on steps'!$B203:$U203,'changes2_based on steps'!$B$1:$U$1,T$1)</f>
        <v>0</v>
      </c>
      <c r="U203" s="155">
        <f ca="1">SUMIFS('recurring2_based on steps'!$B203:$AY203,'recurring2_based on steps'!$B$1:$AY$1,U$1)+SUMIFS('changes2_based on steps'!$B203:$U203,'changes2_based on steps'!$B$1:$U$1,U$1)</f>
        <v>0</v>
      </c>
      <c r="V203" s="155">
        <f>SUMIFS('recurring2_based on steps'!$B203:$AY203,'recurring2_based on steps'!$B$1:$AY$1,V$1)+SUMIFS('changes2_based on steps'!$B203:$U203,'changes2_based on steps'!$B$1:$U$1,V$1)</f>
        <v>0</v>
      </c>
      <c r="W203" s="155">
        <f ca="1">SUMIFS('recurring2_based on steps'!$B203:$AY203,'recurring2_based on steps'!$B$1:$AY$1,W$1)+SUMIFS('changes2_based on steps'!$B203:$U203,'changes2_based on steps'!$B$1:$U$1,W$1)</f>
        <v>0</v>
      </c>
      <c r="X203" s="155">
        <f ca="1">SUMIFS('recurring2_based on steps'!$B203:$AY203,'recurring2_based on steps'!$B$1:$AY$1,X$1)+SUMIFS('changes2_based on steps'!$B203:$U203,'changes2_based on steps'!$B$1:$U$1,X$1)</f>
        <v>0</v>
      </c>
      <c r="Y203" s="155">
        <f ca="1">SUMIFS('recurring2_based on steps'!$B203:$AY203,'recurring2_based on steps'!$B$1:$AY$1,Y$1)+SUMIFS('changes2_based on steps'!$B203:$U203,'changes2_based on steps'!$B$1:$U$1,Y$1)</f>
        <v>0</v>
      </c>
      <c r="Z203" s="155">
        <f>SUMIFS('recurring2_based on steps'!$B203:$AY203,'recurring2_based on steps'!$B$1:$AY$1,Z$1)+SUMIFS('changes2_based on steps'!$B203:$U203,'changes2_based on steps'!$B$1:$U$1,Z$1)</f>
        <v>0</v>
      </c>
      <c r="AA203" s="155">
        <f>SUMIFS('recurring2_based on steps'!$B203:$AY203,'recurring2_based on steps'!$B$1:$AY$1,AA$1)+SUMIFS('changes2_based on steps'!$B203:$U203,'changes2_based on steps'!$B$1:$U$1,AA$1)</f>
        <v>0</v>
      </c>
    </row>
    <row r="204" spans="1:27" x14ac:dyDescent="0.2">
      <c r="A204" s="18">
        <f t="shared" ca="1" si="3"/>
        <v>45890</v>
      </c>
      <c r="B204" s="155">
        <f ca="1">SUMIFS('recurring2_based on steps'!$B204:$AY204,'recurring2_based on steps'!$B$1:$AY$1,B$1)+SUMIFS('changes2_based on steps'!$B204:$U204,'changes2_based on steps'!$B$1:$U$1,B$1)</f>
        <v>0</v>
      </c>
      <c r="C204" s="155">
        <f>SUMIFS('recurring2_based on steps'!$B204:$AY204,'recurring2_based on steps'!$B$1:$AY$1,C$1)+SUMIFS('changes2_based on steps'!$B204:$U204,'changes2_based on steps'!$B$1:$U$1,C$1)</f>
        <v>0</v>
      </c>
      <c r="D204" s="155">
        <f>SUMIFS('recurring2_based on steps'!$B204:$AY204,'recurring2_based on steps'!$B$1:$AY$1,D$1)+SUMIFS('changes2_based on steps'!$B204:$U204,'changes2_based on steps'!$B$1:$U$1,D$1)</f>
        <v>0</v>
      </c>
      <c r="E204" s="155">
        <f>SUMIFS('recurring2_based on steps'!$B204:$AY204,'recurring2_based on steps'!$B$1:$AY$1,E$1)+SUMIFS('changes2_based on steps'!$B204:$U204,'changes2_based on steps'!$B$1:$U$1,E$1)</f>
        <v>0</v>
      </c>
      <c r="F204" s="155">
        <f>SUMIFS('recurring2_based on steps'!$B204:$AY204,'recurring2_based on steps'!$B$1:$AY$1,F$1)+SUMIFS('changes2_based on steps'!$B204:$U204,'changes2_based on steps'!$B$1:$U$1,F$1)</f>
        <v>0</v>
      </c>
      <c r="G204" s="155">
        <f>SUMIFS('recurring2_based on steps'!$B204:$AY204,'recurring2_based on steps'!$B$1:$AY$1,G$1)+SUMIFS('changes2_based on steps'!$B204:$U204,'changes2_based on steps'!$B$1:$U$1,G$1)</f>
        <v>0</v>
      </c>
      <c r="H204" s="155">
        <f ca="1">SUMIFS('recurring2_based on steps'!$B204:$AY204,'recurring2_based on steps'!$B$1:$AY$1,H$1)+SUMIFS('changes2_based on steps'!$B204:$U204,'changes2_based on steps'!$B$1:$U$1,H$1)</f>
        <v>0</v>
      </c>
      <c r="I204" s="155">
        <f>SUMIFS('recurring2_based on steps'!$B204:$AY204,'recurring2_based on steps'!$B$1:$AY$1,I$1)+SUMIFS('changes2_based on steps'!$B204:$U204,'changes2_based on steps'!$B$1:$U$1,I$1)</f>
        <v>0</v>
      </c>
      <c r="J204" s="155">
        <f>SUMIFS('recurring2_based on steps'!$B204:$AY204,'recurring2_based on steps'!$B$1:$AY$1,J$1)+SUMIFS('changes2_based on steps'!$B204:$U204,'changes2_based on steps'!$B$1:$U$1,J$1)</f>
        <v>0</v>
      </c>
      <c r="K204" s="155">
        <f>SUMIFS('recurring2_based on steps'!$B204:$AY204,'recurring2_based on steps'!$B$1:$AY$1,K$1)+SUMIFS('changes2_based on steps'!$B204:$U204,'changes2_based on steps'!$B$1:$U$1,K$1)</f>
        <v>0</v>
      </c>
      <c r="L204" s="155">
        <f>SUMIFS('recurring2_based on steps'!$B204:$AY204,'recurring2_based on steps'!$B$1:$AY$1,L$1)+SUMIFS('changes2_based on steps'!$B204:$U204,'changes2_based on steps'!$B$1:$U$1,L$1)</f>
        <v>0</v>
      </c>
      <c r="M204" s="155">
        <f ca="1">SUMIFS('recurring2_based on steps'!$B204:$AY204,'recurring2_based on steps'!$B$1:$AY$1,M$1)+SUMIFS('changes2_based on steps'!$B204:$U204,'changes2_based on steps'!$B$1:$U$1,M$1)</f>
        <v>0</v>
      </c>
      <c r="N204" s="155">
        <f ca="1">SUMIFS('recurring2_based on steps'!$B204:$AY204,'recurring2_based on steps'!$B$1:$AY$1,N$1)+SUMIFS('changes2_based on steps'!$B204:$U204,'changes2_based on steps'!$B$1:$U$1,N$1)</f>
        <v>0</v>
      </c>
      <c r="O204" s="155">
        <f ca="1">SUMIFS('recurring2_based on steps'!$B204:$AY204,'recurring2_based on steps'!$B$1:$AY$1,O$1)+SUMIFS('changes2_based on steps'!$B204:$U204,'changes2_based on steps'!$B$1:$U$1,O$1)</f>
        <v>0</v>
      </c>
      <c r="P204" s="155">
        <f ca="1">SUMIFS('recurring2_based on steps'!$B204:$AY204,'recurring2_based on steps'!$B$1:$AY$1,P$1)+SUMIFS('changes2_based on steps'!$B204:$U204,'changes2_based on steps'!$B$1:$U$1,P$1)</f>
        <v>0</v>
      </c>
      <c r="Q204" s="155">
        <f>SUMIFS('recurring2_based on steps'!$B204:$AY204,'recurring2_based on steps'!$B$1:$AY$1,Q$1)+SUMIFS('changes2_based on steps'!$B204:$U204,'changes2_based on steps'!$B$1:$U$1,Q$1)</f>
        <v>0</v>
      </c>
      <c r="R204" s="155">
        <f ca="1">SUMIFS('recurring2_based on steps'!$B204:$AY204,'recurring2_based on steps'!$B$1:$AY$1,R$1)+SUMIFS('changes2_based on steps'!$B204:$U204,'changes2_based on steps'!$B$1:$U$1,R$1)</f>
        <v>0</v>
      </c>
      <c r="S204" s="155">
        <f ca="1">SUMIFS('recurring2_based on steps'!$B204:$AY204,'recurring2_based on steps'!$B$1:$AY$1,S$1)+SUMIFS('changes2_based on steps'!$B204:$U204,'changes2_based on steps'!$B$1:$U$1,S$1)</f>
        <v>0</v>
      </c>
      <c r="T204" s="155">
        <f>SUMIFS('recurring2_based on steps'!$B204:$AY204,'recurring2_based on steps'!$B$1:$AY$1,T$1)+SUMIFS('changes2_based on steps'!$B204:$U204,'changes2_based on steps'!$B$1:$U$1,T$1)</f>
        <v>0</v>
      </c>
      <c r="U204" s="155">
        <f ca="1">SUMIFS('recurring2_based on steps'!$B204:$AY204,'recurring2_based on steps'!$B$1:$AY$1,U$1)+SUMIFS('changes2_based on steps'!$B204:$U204,'changes2_based on steps'!$B$1:$U$1,U$1)</f>
        <v>0</v>
      </c>
      <c r="V204" s="155">
        <f>SUMIFS('recurring2_based on steps'!$B204:$AY204,'recurring2_based on steps'!$B$1:$AY$1,V$1)+SUMIFS('changes2_based on steps'!$B204:$U204,'changes2_based on steps'!$B$1:$U$1,V$1)</f>
        <v>0</v>
      </c>
      <c r="W204" s="155">
        <f ca="1">SUMIFS('recurring2_based on steps'!$B204:$AY204,'recurring2_based on steps'!$B$1:$AY$1,W$1)+SUMIFS('changes2_based on steps'!$B204:$U204,'changes2_based on steps'!$B$1:$U$1,W$1)</f>
        <v>0</v>
      </c>
      <c r="X204" s="155">
        <f ca="1">SUMIFS('recurring2_based on steps'!$B204:$AY204,'recurring2_based on steps'!$B$1:$AY$1,X$1)+SUMIFS('changes2_based on steps'!$B204:$U204,'changes2_based on steps'!$B$1:$U$1,X$1)</f>
        <v>0</v>
      </c>
      <c r="Y204" s="155">
        <f ca="1">SUMIFS('recurring2_based on steps'!$B204:$AY204,'recurring2_based on steps'!$B$1:$AY$1,Y$1)+SUMIFS('changes2_based on steps'!$B204:$U204,'changes2_based on steps'!$B$1:$U$1,Y$1)</f>
        <v>0</v>
      </c>
      <c r="Z204" s="155">
        <f>SUMIFS('recurring2_based on steps'!$B204:$AY204,'recurring2_based on steps'!$B$1:$AY$1,Z$1)+SUMIFS('changes2_based on steps'!$B204:$U204,'changes2_based on steps'!$B$1:$U$1,Z$1)</f>
        <v>0</v>
      </c>
      <c r="AA204" s="155">
        <f>SUMIFS('recurring2_based on steps'!$B204:$AY204,'recurring2_based on steps'!$B$1:$AY$1,AA$1)+SUMIFS('changes2_based on steps'!$B204:$U204,'changes2_based on steps'!$B$1:$U$1,AA$1)</f>
        <v>0</v>
      </c>
    </row>
    <row r="205" spans="1:27" x14ac:dyDescent="0.2">
      <c r="A205" s="18">
        <f t="shared" ca="1" si="3"/>
        <v>45891</v>
      </c>
      <c r="B205" s="155">
        <f ca="1">SUMIFS('recurring2_based on steps'!$B205:$AY205,'recurring2_based on steps'!$B$1:$AY$1,B$1)+SUMIFS('changes2_based on steps'!$B205:$U205,'changes2_based on steps'!$B$1:$U$1,B$1)</f>
        <v>4000</v>
      </c>
      <c r="C205" s="155">
        <f>SUMIFS('recurring2_based on steps'!$B205:$AY205,'recurring2_based on steps'!$B$1:$AY$1,C$1)+SUMIFS('changes2_based on steps'!$B205:$U205,'changes2_based on steps'!$B$1:$U$1,C$1)</f>
        <v>0</v>
      </c>
      <c r="D205" s="155">
        <f>SUMIFS('recurring2_based on steps'!$B205:$AY205,'recurring2_based on steps'!$B$1:$AY$1,D$1)+SUMIFS('changes2_based on steps'!$B205:$U205,'changes2_based on steps'!$B$1:$U$1,D$1)</f>
        <v>0</v>
      </c>
      <c r="E205" s="155">
        <f>SUMIFS('recurring2_based on steps'!$B205:$AY205,'recurring2_based on steps'!$B$1:$AY$1,E$1)+SUMIFS('changes2_based on steps'!$B205:$U205,'changes2_based on steps'!$B$1:$U$1,E$1)</f>
        <v>0</v>
      </c>
      <c r="F205" s="155">
        <f>SUMIFS('recurring2_based on steps'!$B205:$AY205,'recurring2_based on steps'!$B$1:$AY$1,F$1)+SUMIFS('changes2_based on steps'!$B205:$U205,'changes2_based on steps'!$B$1:$U$1,F$1)</f>
        <v>0</v>
      </c>
      <c r="G205" s="155">
        <f>SUMIFS('recurring2_based on steps'!$B205:$AY205,'recurring2_based on steps'!$B$1:$AY$1,G$1)+SUMIFS('changes2_based on steps'!$B205:$U205,'changes2_based on steps'!$B$1:$U$1,G$1)</f>
        <v>0</v>
      </c>
      <c r="H205" s="155">
        <f ca="1">SUMIFS('recurring2_based on steps'!$B205:$AY205,'recurring2_based on steps'!$B$1:$AY$1,H$1)+SUMIFS('changes2_based on steps'!$B205:$U205,'changes2_based on steps'!$B$1:$U$1,H$1)</f>
        <v>96</v>
      </c>
      <c r="I205" s="155">
        <f>SUMIFS('recurring2_based on steps'!$B205:$AY205,'recurring2_based on steps'!$B$1:$AY$1,I$1)+SUMIFS('changes2_based on steps'!$B205:$U205,'changes2_based on steps'!$B$1:$U$1,I$1)</f>
        <v>0</v>
      </c>
      <c r="J205" s="155">
        <f>SUMIFS('recurring2_based on steps'!$B205:$AY205,'recurring2_based on steps'!$B$1:$AY$1,J$1)+SUMIFS('changes2_based on steps'!$B205:$U205,'changes2_based on steps'!$B$1:$U$1,J$1)</f>
        <v>0</v>
      </c>
      <c r="K205" s="155">
        <f>SUMIFS('recurring2_based on steps'!$B205:$AY205,'recurring2_based on steps'!$B$1:$AY$1,K$1)+SUMIFS('changes2_based on steps'!$B205:$U205,'changes2_based on steps'!$B$1:$U$1,K$1)</f>
        <v>0</v>
      </c>
      <c r="L205" s="155">
        <f>SUMIFS('recurring2_based on steps'!$B205:$AY205,'recurring2_based on steps'!$B$1:$AY$1,L$1)+SUMIFS('changes2_based on steps'!$B205:$U205,'changes2_based on steps'!$B$1:$U$1,L$1)</f>
        <v>0</v>
      </c>
      <c r="M205" s="155">
        <f ca="1">SUMIFS('recurring2_based on steps'!$B205:$AY205,'recurring2_based on steps'!$B$1:$AY$1,M$1)+SUMIFS('changes2_based on steps'!$B205:$U205,'changes2_based on steps'!$B$1:$U$1,M$1)</f>
        <v>0</v>
      </c>
      <c r="N205" s="155">
        <f ca="1">SUMIFS('recurring2_based on steps'!$B205:$AY205,'recurring2_based on steps'!$B$1:$AY$1,N$1)+SUMIFS('changes2_based on steps'!$B205:$U205,'changes2_based on steps'!$B$1:$U$1,N$1)</f>
        <v>0</v>
      </c>
      <c r="O205" s="155">
        <f ca="1">SUMIFS('recurring2_based on steps'!$B205:$AY205,'recurring2_based on steps'!$B$1:$AY$1,O$1)+SUMIFS('changes2_based on steps'!$B205:$U205,'changes2_based on steps'!$B$1:$U$1,O$1)</f>
        <v>0</v>
      </c>
      <c r="P205" s="155">
        <f ca="1">SUMIFS('recurring2_based on steps'!$B205:$AY205,'recurring2_based on steps'!$B$1:$AY$1,P$1)+SUMIFS('changes2_based on steps'!$B205:$U205,'changes2_based on steps'!$B$1:$U$1,P$1)</f>
        <v>0</v>
      </c>
      <c r="Q205" s="155">
        <f>SUMIFS('recurring2_based on steps'!$B205:$AY205,'recurring2_based on steps'!$B$1:$AY$1,Q$1)+SUMIFS('changes2_based on steps'!$B205:$U205,'changes2_based on steps'!$B$1:$U$1,Q$1)</f>
        <v>0</v>
      </c>
      <c r="R205" s="155">
        <f ca="1">SUMIFS('recurring2_based on steps'!$B205:$AY205,'recurring2_based on steps'!$B$1:$AY$1,R$1)+SUMIFS('changes2_based on steps'!$B205:$U205,'changes2_based on steps'!$B$1:$U$1,R$1)</f>
        <v>0</v>
      </c>
      <c r="S205" s="155">
        <f ca="1">SUMIFS('recurring2_based on steps'!$B205:$AY205,'recurring2_based on steps'!$B$1:$AY$1,S$1)+SUMIFS('changes2_based on steps'!$B205:$U205,'changes2_based on steps'!$B$1:$U$1,S$1)</f>
        <v>0</v>
      </c>
      <c r="T205" s="155">
        <f>SUMIFS('recurring2_based on steps'!$B205:$AY205,'recurring2_based on steps'!$B$1:$AY$1,T$1)+SUMIFS('changes2_based on steps'!$B205:$U205,'changes2_based on steps'!$B$1:$U$1,T$1)</f>
        <v>0</v>
      </c>
      <c r="U205" s="155">
        <f ca="1">SUMIFS('recurring2_based on steps'!$B205:$AY205,'recurring2_based on steps'!$B$1:$AY$1,U$1)+SUMIFS('changes2_based on steps'!$B205:$U205,'changes2_based on steps'!$B$1:$U$1,U$1)</f>
        <v>0</v>
      </c>
      <c r="V205" s="155">
        <f>SUMIFS('recurring2_based on steps'!$B205:$AY205,'recurring2_based on steps'!$B$1:$AY$1,V$1)+SUMIFS('changes2_based on steps'!$B205:$U205,'changes2_based on steps'!$B$1:$U$1,V$1)</f>
        <v>0</v>
      </c>
      <c r="W205" s="155">
        <f ca="1">SUMIFS('recurring2_based on steps'!$B205:$AY205,'recurring2_based on steps'!$B$1:$AY$1,W$1)+SUMIFS('changes2_based on steps'!$B205:$U205,'changes2_based on steps'!$B$1:$U$1,W$1)</f>
        <v>50</v>
      </c>
      <c r="X205" s="155">
        <f ca="1">SUMIFS('recurring2_based on steps'!$B205:$AY205,'recurring2_based on steps'!$B$1:$AY$1,X$1)+SUMIFS('changes2_based on steps'!$B205:$U205,'changes2_based on steps'!$B$1:$U$1,X$1)</f>
        <v>200</v>
      </c>
      <c r="Y205" s="155">
        <f ca="1">SUMIFS('recurring2_based on steps'!$B205:$AY205,'recurring2_based on steps'!$B$1:$AY$1,Y$1)+SUMIFS('changes2_based on steps'!$B205:$U205,'changes2_based on steps'!$B$1:$U$1,Y$1)</f>
        <v>0</v>
      </c>
      <c r="Z205" s="155">
        <f>SUMIFS('recurring2_based on steps'!$B205:$AY205,'recurring2_based on steps'!$B$1:$AY$1,Z$1)+SUMIFS('changes2_based on steps'!$B205:$U205,'changes2_based on steps'!$B$1:$U$1,Z$1)</f>
        <v>0</v>
      </c>
      <c r="AA205" s="155">
        <f>SUMIFS('recurring2_based on steps'!$B205:$AY205,'recurring2_based on steps'!$B$1:$AY$1,AA$1)+SUMIFS('changes2_based on steps'!$B205:$U205,'changes2_based on steps'!$B$1:$U$1,AA$1)</f>
        <v>0</v>
      </c>
    </row>
    <row r="206" spans="1:27" x14ac:dyDescent="0.2">
      <c r="A206" s="18">
        <f t="shared" ca="1" si="3"/>
        <v>45892</v>
      </c>
      <c r="B206" s="155">
        <f ca="1">SUMIFS('recurring2_based on steps'!$B206:$AY206,'recurring2_based on steps'!$B$1:$AY$1,B$1)+SUMIFS('changes2_based on steps'!$B206:$U206,'changes2_based on steps'!$B$1:$U$1,B$1)</f>
        <v>0</v>
      </c>
      <c r="C206" s="155">
        <f>SUMIFS('recurring2_based on steps'!$B206:$AY206,'recurring2_based on steps'!$B$1:$AY$1,C$1)+SUMIFS('changes2_based on steps'!$B206:$U206,'changes2_based on steps'!$B$1:$U$1,C$1)</f>
        <v>0</v>
      </c>
      <c r="D206" s="155">
        <f>SUMIFS('recurring2_based on steps'!$B206:$AY206,'recurring2_based on steps'!$B$1:$AY$1,D$1)+SUMIFS('changes2_based on steps'!$B206:$U206,'changes2_based on steps'!$B$1:$U$1,D$1)</f>
        <v>0</v>
      </c>
      <c r="E206" s="155">
        <f>SUMIFS('recurring2_based on steps'!$B206:$AY206,'recurring2_based on steps'!$B$1:$AY$1,E$1)+SUMIFS('changes2_based on steps'!$B206:$U206,'changes2_based on steps'!$B$1:$U$1,E$1)</f>
        <v>0</v>
      </c>
      <c r="F206" s="155">
        <f>SUMIFS('recurring2_based on steps'!$B206:$AY206,'recurring2_based on steps'!$B$1:$AY$1,F$1)+SUMIFS('changes2_based on steps'!$B206:$U206,'changes2_based on steps'!$B$1:$U$1,F$1)</f>
        <v>0</v>
      </c>
      <c r="G206" s="155">
        <f>SUMIFS('recurring2_based on steps'!$B206:$AY206,'recurring2_based on steps'!$B$1:$AY$1,G$1)+SUMIFS('changes2_based on steps'!$B206:$U206,'changes2_based on steps'!$B$1:$U$1,G$1)</f>
        <v>0</v>
      </c>
      <c r="H206" s="155">
        <f ca="1">SUMIFS('recurring2_based on steps'!$B206:$AY206,'recurring2_based on steps'!$B$1:$AY$1,H$1)+SUMIFS('changes2_based on steps'!$B206:$U206,'changes2_based on steps'!$B$1:$U$1,H$1)</f>
        <v>0</v>
      </c>
      <c r="I206" s="155">
        <f>SUMIFS('recurring2_based on steps'!$B206:$AY206,'recurring2_based on steps'!$B$1:$AY$1,I$1)+SUMIFS('changes2_based on steps'!$B206:$U206,'changes2_based on steps'!$B$1:$U$1,I$1)</f>
        <v>0</v>
      </c>
      <c r="J206" s="155">
        <f>SUMIFS('recurring2_based on steps'!$B206:$AY206,'recurring2_based on steps'!$B$1:$AY$1,J$1)+SUMIFS('changes2_based on steps'!$B206:$U206,'changes2_based on steps'!$B$1:$U$1,J$1)</f>
        <v>0</v>
      </c>
      <c r="K206" s="155">
        <f>SUMIFS('recurring2_based on steps'!$B206:$AY206,'recurring2_based on steps'!$B$1:$AY$1,K$1)+SUMIFS('changes2_based on steps'!$B206:$U206,'changes2_based on steps'!$B$1:$U$1,K$1)</f>
        <v>0</v>
      </c>
      <c r="L206" s="155">
        <f>SUMIFS('recurring2_based on steps'!$B206:$AY206,'recurring2_based on steps'!$B$1:$AY$1,L$1)+SUMIFS('changes2_based on steps'!$B206:$U206,'changes2_based on steps'!$B$1:$U$1,L$1)</f>
        <v>0</v>
      </c>
      <c r="M206" s="155">
        <f ca="1">SUMIFS('recurring2_based on steps'!$B206:$AY206,'recurring2_based on steps'!$B$1:$AY$1,M$1)+SUMIFS('changes2_based on steps'!$B206:$U206,'changes2_based on steps'!$B$1:$U$1,M$1)</f>
        <v>0</v>
      </c>
      <c r="N206" s="155">
        <f ca="1">SUMIFS('recurring2_based on steps'!$B206:$AY206,'recurring2_based on steps'!$B$1:$AY$1,N$1)+SUMIFS('changes2_based on steps'!$B206:$U206,'changes2_based on steps'!$B$1:$U$1,N$1)</f>
        <v>0</v>
      </c>
      <c r="O206" s="155">
        <f ca="1">SUMIFS('recurring2_based on steps'!$B206:$AY206,'recurring2_based on steps'!$B$1:$AY$1,O$1)+SUMIFS('changes2_based on steps'!$B206:$U206,'changes2_based on steps'!$B$1:$U$1,O$1)</f>
        <v>0</v>
      </c>
      <c r="P206" s="155">
        <f ca="1">SUMIFS('recurring2_based on steps'!$B206:$AY206,'recurring2_based on steps'!$B$1:$AY$1,P$1)+SUMIFS('changes2_based on steps'!$B206:$U206,'changes2_based on steps'!$B$1:$U$1,P$1)</f>
        <v>0</v>
      </c>
      <c r="Q206" s="155">
        <f>SUMIFS('recurring2_based on steps'!$B206:$AY206,'recurring2_based on steps'!$B$1:$AY$1,Q$1)+SUMIFS('changes2_based on steps'!$B206:$U206,'changes2_based on steps'!$B$1:$U$1,Q$1)</f>
        <v>0</v>
      </c>
      <c r="R206" s="155">
        <f ca="1">SUMIFS('recurring2_based on steps'!$B206:$AY206,'recurring2_based on steps'!$B$1:$AY$1,R$1)+SUMIFS('changes2_based on steps'!$B206:$U206,'changes2_based on steps'!$B$1:$U$1,R$1)</f>
        <v>100</v>
      </c>
      <c r="S206" s="155">
        <f ca="1">SUMIFS('recurring2_based on steps'!$B206:$AY206,'recurring2_based on steps'!$B$1:$AY$1,S$1)+SUMIFS('changes2_based on steps'!$B206:$U206,'changes2_based on steps'!$B$1:$U$1,S$1)</f>
        <v>100</v>
      </c>
      <c r="T206" s="155">
        <f>SUMIFS('recurring2_based on steps'!$B206:$AY206,'recurring2_based on steps'!$B$1:$AY$1,T$1)+SUMIFS('changes2_based on steps'!$B206:$U206,'changes2_based on steps'!$B$1:$U$1,T$1)</f>
        <v>0</v>
      </c>
      <c r="U206" s="155">
        <f ca="1">SUMIFS('recurring2_based on steps'!$B206:$AY206,'recurring2_based on steps'!$B$1:$AY$1,U$1)+SUMIFS('changes2_based on steps'!$B206:$U206,'changes2_based on steps'!$B$1:$U$1,U$1)</f>
        <v>0</v>
      </c>
      <c r="V206" s="155">
        <f>SUMIFS('recurring2_based on steps'!$B206:$AY206,'recurring2_based on steps'!$B$1:$AY$1,V$1)+SUMIFS('changes2_based on steps'!$B206:$U206,'changes2_based on steps'!$B$1:$U$1,V$1)</f>
        <v>0</v>
      </c>
      <c r="W206" s="155">
        <f ca="1">SUMIFS('recurring2_based on steps'!$B206:$AY206,'recurring2_based on steps'!$B$1:$AY$1,W$1)+SUMIFS('changes2_based on steps'!$B206:$U206,'changes2_based on steps'!$B$1:$U$1,W$1)</f>
        <v>0</v>
      </c>
      <c r="X206" s="155">
        <f ca="1">SUMIFS('recurring2_based on steps'!$B206:$AY206,'recurring2_based on steps'!$B$1:$AY$1,X$1)+SUMIFS('changes2_based on steps'!$B206:$U206,'changes2_based on steps'!$B$1:$U$1,X$1)</f>
        <v>0</v>
      </c>
      <c r="Y206" s="155">
        <f ca="1">SUMIFS('recurring2_based on steps'!$B206:$AY206,'recurring2_based on steps'!$B$1:$AY$1,Y$1)+SUMIFS('changes2_based on steps'!$B206:$U206,'changes2_based on steps'!$B$1:$U$1,Y$1)</f>
        <v>0</v>
      </c>
      <c r="Z206" s="155">
        <f>SUMIFS('recurring2_based on steps'!$B206:$AY206,'recurring2_based on steps'!$B$1:$AY$1,Z$1)+SUMIFS('changes2_based on steps'!$B206:$U206,'changes2_based on steps'!$B$1:$U$1,Z$1)</f>
        <v>0</v>
      </c>
      <c r="AA206" s="155">
        <f>SUMIFS('recurring2_based on steps'!$B206:$AY206,'recurring2_based on steps'!$B$1:$AY$1,AA$1)+SUMIFS('changes2_based on steps'!$B206:$U206,'changes2_based on steps'!$B$1:$U$1,AA$1)</f>
        <v>0</v>
      </c>
    </row>
    <row r="207" spans="1:27" x14ac:dyDescent="0.2">
      <c r="A207" s="18">
        <f t="shared" ca="1" si="3"/>
        <v>45893</v>
      </c>
      <c r="B207" s="155">
        <f ca="1">SUMIFS('recurring2_based on steps'!$B207:$AY207,'recurring2_based on steps'!$B$1:$AY$1,B$1)+SUMIFS('changes2_based on steps'!$B207:$U207,'changes2_based on steps'!$B$1:$U$1,B$1)</f>
        <v>0</v>
      </c>
      <c r="C207" s="155">
        <f>SUMIFS('recurring2_based on steps'!$B207:$AY207,'recurring2_based on steps'!$B$1:$AY$1,C$1)+SUMIFS('changes2_based on steps'!$B207:$U207,'changes2_based on steps'!$B$1:$U$1,C$1)</f>
        <v>0</v>
      </c>
      <c r="D207" s="155">
        <f>SUMIFS('recurring2_based on steps'!$B207:$AY207,'recurring2_based on steps'!$B$1:$AY$1,D$1)+SUMIFS('changes2_based on steps'!$B207:$U207,'changes2_based on steps'!$B$1:$U$1,D$1)</f>
        <v>0</v>
      </c>
      <c r="E207" s="155">
        <f>SUMIFS('recurring2_based on steps'!$B207:$AY207,'recurring2_based on steps'!$B$1:$AY$1,E$1)+SUMIFS('changes2_based on steps'!$B207:$U207,'changes2_based on steps'!$B$1:$U$1,E$1)</f>
        <v>0</v>
      </c>
      <c r="F207" s="155">
        <f>SUMIFS('recurring2_based on steps'!$B207:$AY207,'recurring2_based on steps'!$B$1:$AY$1,F$1)+SUMIFS('changes2_based on steps'!$B207:$U207,'changes2_based on steps'!$B$1:$U$1,F$1)</f>
        <v>0</v>
      </c>
      <c r="G207" s="155">
        <f>SUMIFS('recurring2_based on steps'!$B207:$AY207,'recurring2_based on steps'!$B$1:$AY$1,G$1)+SUMIFS('changes2_based on steps'!$B207:$U207,'changes2_based on steps'!$B$1:$U$1,G$1)</f>
        <v>0</v>
      </c>
      <c r="H207" s="155">
        <f ca="1">SUMIFS('recurring2_based on steps'!$B207:$AY207,'recurring2_based on steps'!$B$1:$AY$1,H$1)+SUMIFS('changes2_based on steps'!$B207:$U207,'changes2_based on steps'!$B$1:$U$1,H$1)</f>
        <v>0</v>
      </c>
      <c r="I207" s="155">
        <f>SUMIFS('recurring2_based on steps'!$B207:$AY207,'recurring2_based on steps'!$B$1:$AY$1,I$1)+SUMIFS('changes2_based on steps'!$B207:$U207,'changes2_based on steps'!$B$1:$U$1,I$1)</f>
        <v>0</v>
      </c>
      <c r="J207" s="155">
        <f>SUMIFS('recurring2_based on steps'!$B207:$AY207,'recurring2_based on steps'!$B$1:$AY$1,J$1)+SUMIFS('changes2_based on steps'!$B207:$U207,'changes2_based on steps'!$B$1:$U$1,J$1)</f>
        <v>0</v>
      </c>
      <c r="K207" s="155">
        <f>SUMIFS('recurring2_based on steps'!$B207:$AY207,'recurring2_based on steps'!$B$1:$AY$1,K$1)+SUMIFS('changes2_based on steps'!$B207:$U207,'changes2_based on steps'!$B$1:$U$1,K$1)</f>
        <v>0</v>
      </c>
      <c r="L207" s="155">
        <f>SUMIFS('recurring2_based on steps'!$B207:$AY207,'recurring2_based on steps'!$B$1:$AY$1,L$1)+SUMIFS('changes2_based on steps'!$B207:$U207,'changes2_based on steps'!$B$1:$U$1,L$1)</f>
        <v>0</v>
      </c>
      <c r="M207" s="155">
        <f ca="1">SUMIFS('recurring2_based on steps'!$B207:$AY207,'recurring2_based on steps'!$B$1:$AY$1,M$1)+SUMIFS('changes2_based on steps'!$B207:$U207,'changes2_based on steps'!$B$1:$U$1,M$1)</f>
        <v>0</v>
      </c>
      <c r="N207" s="155">
        <f ca="1">SUMIFS('recurring2_based on steps'!$B207:$AY207,'recurring2_based on steps'!$B$1:$AY$1,N$1)+SUMIFS('changes2_based on steps'!$B207:$U207,'changes2_based on steps'!$B$1:$U$1,N$1)</f>
        <v>50</v>
      </c>
      <c r="O207" s="155">
        <f ca="1">SUMIFS('recurring2_based on steps'!$B207:$AY207,'recurring2_based on steps'!$B$1:$AY$1,O$1)+SUMIFS('changes2_based on steps'!$B207:$U207,'changes2_based on steps'!$B$1:$U$1,O$1)</f>
        <v>0</v>
      </c>
      <c r="P207" s="155">
        <f ca="1">SUMIFS('recurring2_based on steps'!$B207:$AY207,'recurring2_based on steps'!$B$1:$AY$1,P$1)+SUMIFS('changes2_based on steps'!$B207:$U207,'changes2_based on steps'!$B$1:$U$1,P$1)</f>
        <v>0</v>
      </c>
      <c r="Q207" s="155">
        <f>SUMIFS('recurring2_based on steps'!$B207:$AY207,'recurring2_based on steps'!$B$1:$AY$1,Q$1)+SUMIFS('changes2_based on steps'!$B207:$U207,'changes2_based on steps'!$B$1:$U$1,Q$1)</f>
        <v>0</v>
      </c>
      <c r="R207" s="155">
        <f ca="1">SUMIFS('recurring2_based on steps'!$B207:$AY207,'recurring2_based on steps'!$B$1:$AY$1,R$1)+SUMIFS('changes2_based on steps'!$B207:$U207,'changes2_based on steps'!$B$1:$U$1,R$1)</f>
        <v>0</v>
      </c>
      <c r="S207" s="155">
        <f ca="1">SUMIFS('recurring2_based on steps'!$B207:$AY207,'recurring2_based on steps'!$B$1:$AY$1,S$1)+SUMIFS('changes2_based on steps'!$B207:$U207,'changes2_based on steps'!$B$1:$U$1,S$1)</f>
        <v>100</v>
      </c>
      <c r="T207" s="155">
        <f>SUMIFS('recurring2_based on steps'!$B207:$AY207,'recurring2_based on steps'!$B$1:$AY$1,T$1)+SUMIFS('changes2_based on steps'!$B207:$U207,'changes2_based on steps'!$B$1:$U$1,T$1)</f>
        <v>0</v>
      </c>
      <c r="U207" s="155">
        <f ca="1">SUMIFS('recurring2_based on steps'!$B207:$AY207,'recurring2_based on steps'!$B$1:$AY$1,U$1)+SUMIFS('changes2_based on steps'!$B207:$U207,'changes2_based on steps'!$B$1:$U$1,U$1)</f>
        <v>0</v>
      </c>
      <c r="V207" s="155">
        <f>SUMIFS('recurring2_based on steps'!$B207:$AY207,'recurring2_based on steps'!$B$1:$AY$1,V$1)+SUMIFS('changes2_based on steps'!$B207:$U207,'changes2_based on steps'!$B$1:$U$1,V$1)</f>
        <v>0</v>
      </c>
      <c r="W207" s="155">
        <f ca="1">SUMIFS('recurring2_based on steps'!$B207:$AY207,'recurring2_based on steps'!$B$1:$AY$1,W$1)+SUMIFS('changes2_based on steps'!$B207:$U207,'changes2_based on steps'!$B$1:$U$1,W$1)</f>
        <v>0</v>
      </c>
      <c r="X207" s="155">
        <f ca="1">SUMIFS('recurring2_based on steps'!$B207:$AY207,'recurring2_based on steps'!$B$1:$AY$1,X$1)+SUMIFS('changes2_based on steps'!$B207:$U207,'changes2_based on steps'!$B$1:$U$1,X$1)</f>
        <v>0</v>
      </c>
      <c r="Y207" s="155">
        <f ca="1">SUMIFS('recurring2_based on steps'!$B207:$AY207,'recurring2_based on steps'!$B$1:$AY$1,Y$1)+SUMIFS('changes2_based on steps'!$B207:$U207,'changes2_based on steps'!$B$1:$U$1,Y$1)</f>
        <v>0</v>
      </c>
      <c r="Z207" s="155">
        <f>SUMIFS('recurring2_based on steps'!$B207:$AY207,'recurring2_based on steps'!$B$1:$AY$1,Z$1)+SUMIFS('changes2_based on steps'!$B207:$U207,'changes2_based on steps'!$B$1:$U$1,Z$1)</f>
        <v>0</v>
      </c>
      <c r="AA207" s="155">
        <f>SUMIFS('recurring2_based on steps'!$B207:$AY207,'recurring2_based on steps'!$B$1:$AY$1,AA$1)+SUMIFS('changes2_based on steps'!$B207:$U207,'changes2_based on steps'!$B$1:$U$1,AA$1)</f>
        <v>0</v>
      </c>
    </row>
    <row r="208" spans="1:27" x14ac:dyDescent="0.2">
      <c r="A208" s="18">
        <f t="shared" ca="1" si="3"/>
        <v>45894</v>
      </c>
      <c r="B208" s="155">
        <f ca="1">SUMIFS('recurring2_based on steps'!$B208:$AY208,'recurring2_based on steps'!$B$1:$AY$1,B$1)+SUMIFS('changes2_based on steps'!$B208:$U208,'changes2_based on steps'!$B$1:$U$1,B$1)</f>
        <v>0</v>
      </c>
      <c r="C208" s="155">
        <f>SUMIFS('recurring2_based on steps'!$B208:$AY208,'recurring2_based on steps'!$B$1:$AY$1,C$1)+SUMIFS('changes2_based on steps'!$B208:$U208,'changes2_based on steps'!$B$1:$U$1,C$1)</f>
        <v>0</v>
      </c>
      <c r="D208" s="155">
        <f>SUMIFS('recurring2_based on steps'!$B208:$AY208,'recurring2_based on steps'!$B$1:$AY$1,D$1)+SUMIFS('changes2_based on steps'!$B208:$U208,'changes2_based on steps'!$B$1:$U$1,D$1)</f>
        <v>0</v>
      </c>
      <c r="E208" s="155">
        <f>SUMIFS('recurring2_based on steps'!$B208:$AY208,'recurring2_based on steps'!$B$1:$AY$1,E$1)+SUMIFS('changes2_based on steps'!$B208:$U208,'changes2_based on steps'!$B$1:$U$1,E$1)</f>
        <v>0</v>
      </c>
      <c r="F208" s="155">
        <f>SUMIFS('recurring2_based on steps'!$B208:$AY208,'recurring2_based on steps'!$B$1:$AY$1,F$1)+SUMIFS('changes2_based on steps'!$B208:$U208,'changes2_based on steps'!$B$1:$U$1,F$1)</f>
        <v>0</v>
      </c>
      <c r="G208" s="155">
        <f>SUMIFS('recurring2_based on steps'!$B208:$AY208,'recurring2_based on steps'!$B$1:$AY$1,G$1)+SUMIFS('changes2_based on steps'!$B208:$U208,'changes2_based on steps'!$B$1:$U$1,G$1)</f>
        <v>0</v>
      </c>
      <c r="H208" s="155">
        <f ca="1">SUMIFS('recurring2_based on steps'!$B208:$AY208,'recurring2_based on steps'!$B$1:$AY$1,H$1)+SUMIFS('changes2_based on steps'!$B208:$U208,'changes2_based on steps'!$B$1:$U$1,H$1)</f>
        <v>0</v>
      </c>
      <c r="I208" s="155">
        <f>SUMIFS('recurring2_based on steps'!$B208:$AY208,'recurring2_based on steps'!$B$1:$AY$1,I$1)+SUMIFS('changes2_based on steps'!$B208:$U208,'changes2_based on steps'!$B$1:$U$1,I$1)</f>
        <v>0</v>
      </c>
      <c r="J208" s="155">
        <f>SUMIFS('recurring2_based on steps'!$B208:$AY208,'recurring2_based on steps'!$B$1:$AY$1,J$1)+SUMIFS('changes2_based on steps'!$B208:$U208,'changes2_based on steps'!$B$1:$U$1,J$1)</f>
        <v>0</v>
      </c>
      <c r="K208" s="155">
        <f>SUMIFS('recurring2_based on steps'!$B208:$AY208,'recurring2_based on steps'!$B$1:$AY$1,K$1)+SUMIFS('changes2_based on steps'!$B208:$U208,'changes2_based on steps'!$B$1:$U$1,K$1)</f>
        <v>0</v>
      </c>
      <c r="L208" s="155">
        <f>SUMIFS('recurring2_based on steps'!$B208:$AY208,'recurring2_based on steps'!$B$1:$AY$1,L$1)+SUMIFS('changes2_based on steps'!$B208:$U208,'changes2_based on steps'!$B$1:$U$1,L$1)</f>
        <v>0</v>
      </c>
      <c r="M208" s="155">
        <f ca="1">SUMIFS('recurring2_based on steps'!$B208:$AY208,'recurring2_based on steps'!$B$1:$AY$1,M$1)+SUMIFS('changes2_based on steps'!$B208:$U208,'changes2_based on steps'!$B$1:$U$1,M$1)</f>
        <v>0</v>
      </c>
      <c r="N208" s="155">
        <f ca="1">SUMIFS('recurring2_based on steps'!$B208:$AY208,'recurring2_based on steps'!$B$1:$AY$1,N$1)+SUMIFS('changes2_based on steps'!$B208:$U208,'changes2_based on steps'!$B$1:$U$1,N$1)</f>
        <v>0</v>
      </c>
      <c r="O208" s="155">
        <f ca="1">SUMIFS('recurring2_based on steps'!$B208:$AY208,'recurring2_based on steps'!$B$1:$AY$1,O$1)+SUMIFS('changes2_based on steps'!$B208:$U208,'changes2_based on steps'!$B$1:$U$1,O$1)</f>
        <v>0</v>
      </c>
      <c r="P208" s="155">
        <f ca="1">SUMIFS('recurring2_based on steps'!$B208:$AY208,'recurring2_based on steps'!$B$1:$AY$1,P$1)+SUMIFS('changes2_based on steps'!$B208:$U208,'changes2_based on steps'!$B$1:$U$1,P$1)</f>
        <v>0</v>
      </c>
      <c r="Q208" s="155">
        <f>SUMIFS('recurring2_based on steps'!$B208:$AY208,'recurring2_based on steps'!$B$1:$AY$1,Q$1)+SUMIFS('changes2_based on steps'!$B208:$U208,'changes2_based on steps'!$B$1:$U$1,Q$1)</f>
        <v>0</v>
      </c>
      <c r="R208" s="155">
        <f ca="1">SUMIFS('recurring2_based on steps'!$B208:$AY208,'recurring2_based on steps'!$B$1:$AY$1,R$1)+SUMIFS('changes2_based on steps'!$B208:$U208,'changes2_based on steps'!$B$1:$U$1,R$1)</f>
        <v>0</v>
      </c>
      <c r="S208" s="155">
        <f ca="1">SUMIFS('recurring2_based on steps'!$B208:$AY208,'recurring2_based on steps'!$B$1:$AY$1,S$1)+SUMIFS('changes2_based on steps'!$B208:$U208,'changes2_based on steps'!$B$1:$U$1,S$1)</f>
        <v>0</v>
      </c>
      <c r="T208" s="155">
        <f>SUMIFS('recurring2_based on steps'!$B208:$AY208,'recurring2_based on steps'!$B$1:$AY$1,T$1)+SUMIFS('changes2_based on steps'!$B208:$U208,'changes2_based on steps'!$B$1:$U$1,T$1)</f>
        <v>0</v>
      </c>
      <c r="U208" s="155">
        <f ca="1">SUMIFS('recurring2_based on steps'!$B208:$AY208,'recurring2_based on steps'!$B$1:$AY$1,U$1)+SUMIFS('changes2_based on steps'!$B208:$U208,'changes2_based on steps'!$B$1:$U$1,U$1)</f>
        <v>0</v>
      </c>
      <c r="V208" s="155">
        <f>SUMIFS('recurring2_based on steps'!$B208:$AY208,'recurring2_based on steps'!$B$1:$AY$1,V$1)+SUMIFS('changes2_based on steps'!$B208:$U208,'changes2_based on steps'!$B$1:$U$1,V$1)</f>
        <v>0</v>
      </c>
      <c r="W208" s="155">
        <f ca="1">SUMIFS('recurring2_based on steps'!$B208:$AY208,'recurring2_based on steps'!$B$1:$AY$1,W$1)+SUMIFS('changes2_based on steps'!$B208:$U208,'changes2_based on steps'!$B$1:$U$1,W$1)</f>
        <v>0</v>
      </c>
      <c r="X208" s="155">
        <f ca="1">SUMIFS('recurring2_based on steps'!$B208:$AY208,'recurring2_based on steps'!$B$1:$AY$1,X$1)+SUMIFS('changes2_based on steps'!$B208:$U208,'changes2_based on steps'!$B$1:$U$1,X$1)</f>
        <v>0</v>
      </c>
      <c r="Y208" s="155">
        <f ca="1">SUMIFS('recurring2_based on steps'!$B208:$AY208,'recurring2_based on steps'!$B$1:$AY$1,Y$1)+SUMIFS('changes2_based on steps'!$B208:$U208,'changes2_based on steps'!$B$1:$U$1,Y$1)</f>
        <v>0</v>
      </c>
      <c r="Z208" s="155">
        <f>SUMIFS('recurring2_based on steps'!$B208:$AY208,'recurring2_based on steps'!$B$1:$AY$1,Z$1)+SUMIFS('changes2_based on steps'!$B208:$U208,'changes2_based on steps'!$B$1:$U$1,Z$1)</f>
        <v>0</v>
      </c>
      <c r="AA208" s="155">
        <f>SUMIFS('recurring2_based on steps'!$B208:$AY208,'recurring2_based on steps'!$B$1:$AY$1,AA$1)+SUMIFS('changes2_based on steps'!$B208:$U208,'changes2_based on steps'!$B$1:$U$1,AA$1)</f>
        <v>0</v>
      </c>
    </row>
    <row r="209" spans="1:27" x14ac:dyDescent="0.2">
      <c r="A209" s="18">
        <f t="shared" ca="1" si="3"/>
        <v>45895</v>
      </c>
      <c r="B209" s="155">
        <f ca="1">SUMIFS('recurring2_based on steps'!$B209:$AY209,'recurring2_based on steps'!$B$1:$AY$1,B$1)+SUMIFS('changes2_based on steps'!$B209:$U209,'changes2_based on steps'!$B$1:$U$1,B$1)</f>
        <v>0</v>
      </c>
      <c r="C209" s="155">
        <f>SUMIFS('recurring2_based on steps'!$B209:$AY209,'recurring2_based on steps'!$B$1:$AY$1,C$1)+SUMIFS('changes2_based on steps'!$B209:$U209,'changes2_based on steps'!$B$1:$U$1,C$1)</f>
        <v>0</v>
      </c>
      <c r="D209" s="155">
        <f>SUMIFS('recurring2_based on steps'!$B209:$AY209,'recurring2_based on steps'!$B$1:$AY$1,D$1)+SUMIFS('changes2_based on steps'!$B209:$U209,'changes2_based on steps'!$B$1:$U$1,D$1)</f>
        <v>0</v>
      </c>
      <c r="E209" s="155">
        <f>SUMIFS('recurring2_based on steps'!$B209:$AY209,'recurring2_based on steps'!$B$1:$AY$1,E$1)+SUMIFS('changes2_based on steps'!$B209:$U209,'changes2_based on steps'!$B$1:$U$1,E$1)</f>
        <v>0</v>
      </c>
      <c r="F209" s="155">
        <f>SUMIFS('recurring2_based on steps'!$B209:$AY209,'recurring2_based on steps'!$B$1:$AY$1,F$1)+SUMIFS('changes2_based on steps'!$B209:$U209,'changes2_based on steps'!$B$1:$U$1,F$1)</f>
        <v>0</v>
      </c>
      <c r="G209" s="155">
        <f>SUMIFS('recurring2_based on steps'!$B209:$AY209,'recurring2_based on steps'!$B$1:$AY$1,G$1)+SUMIFS('changes2_based on steps'!$B209:$U209,'changes2_based on steps'!$B$1:$U$1,G$1)</f>
        <v>0</v>
      </c>
      <c r="H209" s="155">
        <f ca="1">SUMIFS('recurring2_based on steps'!$B209:$AY209,'recurring2_based on steps'!$B$1:$AY$1,H$1)+SUMIFS('changes2_based on steps'!$B209:$U209,'changes2_based on steps'!$B$1:$U$1,H$1)</f>
        <v>0</v>
      </c>
      <c r="I209" s="155">
        <f>SUMIFS('recurring2_based on steps'!$B209:$AY209,'recurring2_based on steps'!$B$1:$AY$1,I$1)+SUMIFS('changes2_based on steps'!$B209:$U209,'changes2_based on steps'!$B$1:$U$1,I$1)</f>
        <v>0</v>
      </c>
      <c r="J209" s="155">
        <f>SUMIFS('recurring2_based on steps'!$B209:$AY209,'recurring2_based on steps'!$B$1:$AY$1,J$1)+SUMIFS('changes2_based on steps'!$B209:$U209,'changes2_based on steps'!$B$1:$U$1,J$1)</f>
        <v>0</v>
      </c>
      <c r="K209" s="155">
        <f>SUMIFS('recurring2_based on steps'!$B209:$AY209,'recurring2_based on steps'!$B$1:$AY$1,K$1)+SUMIFS('changes2_based on steps'!$B209:$U209,'changes2_based on steps'!$B$1:$U$1,K$1)</f>
        <v>0</v>
      </c>
      <c r="L209" s="155">
        <f>SUMIFS('recurring2_based on steps'!$B209:$AY209,'recurring2_based on steps'!$B$1:$AY$1,L$1)+SUMIFS('changes2_based on steps'!$B209:$U209,'changes2_based on steps'!$B$1:$U$1,L$1)</f>
        <v>0</v>
      </c>
      <c r="M209" s="155">
        <f ca="1">SUMIFS('recurring2_based on steps'!$B209:$AY209,'recurring2_based on steps'!$B$1:$AY$1,M$1)+SUMIFS('changes2_based on steps'!$B209:$U209,'changes2_based on steps'!$B$1:$U$1,M$1)</f>
        <v>0</v>
      </c>
      <c r="N209" s="155">
        <f ca="1">SUMIFS('recurring2_based on steps'!$B209:$AY209,'recurring2_based on steps'!$B$1:$AY$1,N$1)+SUMIFS('changes2_based on steps'!$B209:$U209,'changes2_based on steps'!$B$1:$U$1,N$1)</f>
        <v>0</v>
      </c>
      <c r="O209" s="155">
        <f ca="1">SUMIFS('recurring2_based on steps'!$B209:$AY209,'recurring2_based on steps'!$B$1:$AY$1,O$1)+SUMIFS('changes2_based on steps'!$B209:$U209,'changes2_based on steps'!$B$1:$U$1,O$1)</f>
        <v>0</v>
      </c>
      <c r="P209" s="155">
        <f ca="1">SUMIFS('recurring2_based on steps'!$B209:$AY209,'recurring2_based on steps'!$B$1:$AY$1,P$1)+SUMIFS('changes2_based on steps'!$B209:$U209,'changes2_based on steps'!$B$1:$U$1,P$1)</f>
        <v>0</v>
      </c>
      <c r="Q209" s="155">
        <f>SUMIFS('recurring2_based on steps'!$B209:$AY209,'recurring2_based on steps'!$B$1:$AY$1,Q$1)+SUMIFS('changes2_based on steps'!$B209:$U209,'changes2_based on steps'!$B$1:$U$1,Q$1)</f>
        <v>0</v>
      </c>
      <c r="R209" s="155">
        <f ca="1">SUMIFS('recurring2_based on steps'!$B209:$AY209,'recurring2_based on steps'!$B$1:$AY$1,R$1)+SUMIFS('changes2_based on steps'!$B209:$U209,'changes2_based on steps'!$B$1:$U$1,R$1)</f>
        <v>0</v>
      </c>
      <c r="S209" s="155">
        <f ca="1">SUMIFS('recurring2_based on steps'!$B209:$AY209,'recurring2_based on steps'!$B$1:$AY$1,S$1)+SUMIFS('changes2_based on steps'!$B209:$U209,'changes2_based on steps'!$B$1:$U$1,S$1)</f>
        <v>0</v>
      </c>
      <c r="T209" s="155">
        <f>SUMIFS('recurring2_based on steps'!$B209:$AY209,'recurring2_based on steps'!$B$1:$AY$1,T$1)+SUMIFS('changes2_based on steps'!$B209:$U209,'changes2_based on steps'!$B$1:$U$1,T$1)</f>
        <v>0</v>
      </c>
      <c r="U209" s="155">
        <f ca="1">SUMIFS('recurring2_based on steps'!$B209:$AY209,'recurring2_based on steps'!$B$1:$AY$1,U$1)+SUMIFS('changes2_based on steps'!$B209:$U209,'changes2_based on steps'!$B$1:$U$1,U$1)</f>
        <v>0</v>
      </c>
      <c r="V209" s="155">
        <f>SUMIFS('recurring2_based on steps'!$B209:$AY209,'recurring2_based on steps'!$B$1:$AY$1,V$1)+SUMIFS('changes2_based on steps'!$B209:$U209,'changes2_based on steps'!$B$1:$U$1,V$1)</f>
        <v>0</v>
      </c>
      <c r="W209" s="155">
        <f ca="1">SUMIFS('recurring2_based on steps'!$B209:$AY209,'recurring2_based on steps'!$B$1:$AY$1,W$1)+SUMIFS('changes2_based on steps'!$B209:$U209,'changes2_based on steps'!$B$1:$U$1,W$1)</f>
        <v>0</v>
      </c>
      <c r="X209" s="155">
        <f ca="1">SUMIFS('recurring2_based on steps'!$B209:$AY209,'recurring2_based on steps'!$B$1:$AY$1,X$1)+SUMIFS('changes2_based on steps'!$B209:$U209,'changes2_based on steps'!$B$1:$U$1,X$1)</f>
        <v>0</v>
      </c>
      <c r="Y209" s="155">
        <f ca="1">SUMIFS('recurring2_based on steps'!$B209:$AY209,'recurring2_based on steps'!$B$1:$AY$1,Y$1)+SUMIFS('changes2_based on steps'!$B209:$U209,'changes2_based on steps'!$B$1:$U$1,Y$1)</f>
        <v>0</v>
      </c>
      <c r="Z209" s="155">
        <f>SUMIFS('recurring2_based on steps'!$B209:$AY209,'recurring2_based on steps'!$B$1:$AY$1,Z$1)+SUMIFS('changes2_based on steps'!$B209:$U209,'changes2_based on steps'!$B$1:$U$1,Z$1)</f>
        <v>0</v>
      </c>
      <c r="AA209" s="155">
        <f>SUMIFS('recurring2_based on steps'!$B209:$AY209,'recurring2_based on steps'!$B$1:$AY$1,AA$1)+SUMIFS('changes2_based on steps'!$B209:$U209,'changes2_based on steps'!$B$1:$U$1,AA$1)</f>
        <v>0</v>
      </c>
    </row>
    <row r="210" spans="1:27" x14ac:dyDescent="0.2">
      <c r="A210" s="18">
        <f t="shared" ca="1" si="3"/>
        <v>45896</v>
      </c>
      <c r="B210" s="155">
        <f ca="1">SUMIFS('recurring2_based on steps'!$B210:$AY210,'recurring2_based on steps'!$B$1:$AY$1,B$1)+SUMIFS('changes2_based on steps'!$B210:$U210,'changes2_based on steps'!$B$1:$U$1,B$1)</f>
        <v>100</v>
      </c>
      <c r="C210" s="155">
        <f>SUMIFS('recurring2_based on steps'!$B210:$AY210,'recurring2_based on steps'!$B$1:$AY$1,C$1)+SUMIFS('changes2_based on steps'!$B210:$U210,'changes2_based on steps'!$B$1:$U$1,C$1)</f>
        <v>0</v>
      </c>
      <c r="D210" s="155">
        <f>SUMIFS('recurring2_based on steps'!$B210:$AY210,'recurring2_based on steps'!$B$1:$AY$1,D$1)+SUMIFS('changes2_based on steps'!$B210:$U210,'changes2_based on steps'!$B$1:$U$1,D$1)</f>
        <v>0</v>
      </c>
      <c r="E210" s="155">
        <f>SUMIFS('recurring2_based on steps'!$B210:$AY210,'recurring2_based on steps'!$B$1:$AY$1,E$1)+SUMIFS('changes2_based on steps'!$B210:$U210,'changes2_based on steps'!$B$1:$U$1,E$1)</f>
        <v>0</v>
      </c>
      <c r="F210" s="155">
        <f>SUMIFS('recurring2_based on steps'!$B210:$AY210,'recurring2_based on steps'!$B$1:$AY$1,F$1)+SUMIFS('changes2_based on steps'!$B210:$U210,'changes2_based on steps'!$B$1:$U$1,F$1)</f>
        <v>0</v>
      </c>
      <c r="G210" s="155">
        <f>SUMIFS('recurring2_based on steps'!$B210:$AY210,'recurring2_based on steps'!$B$1:$AY$1,G$1)+SUMIFS('changes2_based on steps'!$B210:$U210,'changes2_based on steps'!$B$1:$U$1,G$1)</f>
        <v>0</v>
      </c>
      <c r="H210" s="155">
        <f ca="1">SUMIFS('recurring2_based on steps'!$B210:$AY210,'recurring2_based on steps'!$B$1:$AY$1,H$1)+SUMIFS('changes2_based on steps'!$B210:$U210,'changes2_based on steps'!$B$1:$U$1,H$1)</f>
        <v>0</v>
      </c>
      <c r="I210" s="155">
        <f>SUMIFS('recurring2_based on steps'!$B210:$AY210,'recurring2_based on steps'!$B$1:$AY$1,I$1)+SUMIFS('changes2_based on steps'!$B210:$U210,'changes2_based on steps'!$B$1:$U$1,I$1)</f>
        <v>0</v>
      </c>
      <c r="J210" s="155">
        <f>SUMIFS('recurring2_based on steps'!$B210:$AY210,'recurring2_based on steps'!$B$1:$AY$1,J$1)+SUMIFS('changes2_based on steps'!$B210:$U210,'changes2_based on steps'!$B$1:$U$1,J$1)</f>
        <v>0</v>
      </c>
      <c r="K210" s="155">
        <f>SUMIFS('recurring2_based on steps'!$B210:$AY210,'recurring2_based on steps'!$B$1:$AY$1,K$1)+SUMIFS('changes2_based on steps'!$B210:$U210,'changes2_based on steps'!$B$1:$U$1,K$1)</f>
        <v>0</v>
      </c>
      <c r="L210" s="155">
        <f>SUMIFS('recurring2_based on steps'!$B210:$AY210,'recurring2_based on steps'!$B$1:$AY$1,L$1)+SUMIFS('changes2_based on steps'!$B210:$U210,'changes2_based on steps'!$B$1:$U$1,L$1)</f>
        <v>0</v>
      </c>
      <c r="M210" s="155">
        <f ca="1">SUMIFS('recurring2_based on steps'!$B210:$AY210,'recurring2_based on steps'!$B$1:$AY$1,M$1)+SUMIFS('changes2_based on steps'!$B210:$U210,'changes2_based on steps'!$B$1:$U$1,M$1)</f>
        <v>0</v>
      </c>
      <c r="N210" s="155">
        <f ca="1">SUMIFS('recurring2_based on steps'!$B210:$AY210,'recurring2_based on steps'!$B$1:$AY$1,N$1)+SUMIFS('changes2_based on steps'!$B210:$U210,'changes2_based on steps'!$B$1:$U$1,N$1)</f>
        <v>0</v>
      </c>
      <c r="O210" s="155">
        <f ca="1">SUMIFS('recurring2_based on steps'!$B210:$AY210,'recurring2_based on steps'!$B$1:$AY$1,O$1)+SUMIFS('changes2_based on steps'!$B210:$U210,'changes2_based on steps'!$B$1:$U$1,O$1)</f>
        <v>0</v>
      </c>
      <c r="P210" s="155">
        <f ca="1">SUMIFS('recurring2_based on steps'!$B210:$AY210,'recurring2_based on steps'!$B$1:$AY$1,P$1)+SUMIFS('changes2_based on steps'!$B210:$U210,'changes2_based on steps'!$B$1:$U$1,P$1)</f>
        <v>0</v>
      </c>
      <c r="Q210" s="155">
        <f>SUMIFS('recurring2_based on steps'!$B210:$AY210,'recurring2_based on steps'!$B$1:$AY$1,Q$1)+SUMIFS('changes2_based on steps'!$B210:$U210,'changes2_based on steps'!$B$1:$U$1,Q$1)</f>
        <v>0</v>
      </c>
      <c r="R210" s="155">
        <f ca="1">SUMIFS('recurring2_based on steps'!$B210:$AY210,'recurring2_based on steps'!$B$1:$AY$1,R$1)+SUMIFS('changes2_based on steps'!$B210:$U210,'changes2_based on steps'!$B$1:$U$1,R$1)</f>
        <v>0</v>
      </c>
      <c r="S210" s="155">
        <f ca="1">SUMIFS('recurring2_based on steps'!$B210:$AY210,'recurring2_based on steps'!$B$1:$AY$1,S$1)+SUMIFS('changes2_based on steps'!$B210:$U210,'changes2_based on steps'!$B$1:$U$1,S$1)</f>
        <v>0</v>
      </c>
      <c r="T210" s="155">
        <f>SUMIFS('recurring2_based on steps'!$B210:$AY210,'recurring2_based on steps'!$B$1:$AY$1,T$1)+SUMIFS('changes2_based on steps'!$B210:$U210,'changes2_based on steps'!$B$1:$U$1,T$1)</f>
        <v>0</v>
      </c>
      <c r="U210" s="155">
        <f ca="1">SUMIFS('recurring2_based on steps'!$B210:$AY210,'recurring2_based on steps'!$B$1:$AY$1,U$1)+SUMIFS('changes2_based on steps'!$B210:$U210,'changes2_based on steps'!$B$1:$U$1,U$1)</f>
        <v>2.99</v>
      </c>
      <c r="V210" s="155">
        <f>SUMIFS('recurring2_based on steps'!$B210:$AY210,'recurring2_based on steps'!$B$1:$AY$1,V$1)+SUMIFS('changes2_based on steps'!$B210:$U210,'changes2_based on steps'!$B$1:$U$1,V$1)</f>
        <v>0</v>
      </c>
      <c r="W210" s="155">
        <f ca="1">SUMIFS('recurring2_based on steps'!$B210:$AY210,'recurring2_based on steps'!$B$1:$AY$1,W$1)+SUMIFS('changes2_based on steps'!$B210:$U210,'changes2_based on steps'!$B$1:$U$1,W$1)</f>
        <v>0</v>
      </c>
      <c r="X210" s="155">
        <f ca="1">SUMIFS('recurring2_based on steps'!$B210:$AY210,'recurring2_based on steps'!$B$1:$AY$1,X$1)+SUMIFS('changes2_based on steps'!$B210:$U210,'changes2_based on steps'!$B$1:$U$1,X$1)</f>
        <v>0</v>
      </c>
      <c r="Y210" s="155">
        <f ca="1">SUMIFS('recurring2_based on steps'!$B210:$AY210,'recurring2_based on steps'!$B$1:$AY$1,Y$1)+SUMIFS('changes2_based on steps'!$B210:$U210,'changes2_based on steps'!$B$1:$U$1,Y$1)</f>
        <v>0</v>
      </c>
      <c r="Z210" s="155">
        <f>SUMIFS('recurring2_based on steps'!$B210:$AY210,'recurring2_based on steps'!$B$1:$AY$1,Z$1)+SUMIFS('changes2_based on steps'!$B210:$U210,'changes2_based on steps'!$B$1:$U$1,Z$1)</f>
        <v>0</v>
      </c>
      <c r="AA210" s="155">
        <f>SUMIFS('recurring2_based on steps'!$B210:$AY210,'recurring2_based on steps'!$B$1:$AY$1,AA$1)+SUMIFS('changes2_based on steps'!$B210:$U210,'changes2_based on steps'!$B$1:$U$1,AA$1)</f>
        <v>0</v>
      </c>
    </row>
    <row r="211" spans="1:27" x14ac:dyDescent="0.2">
      <c r="A211" s="18">
        <f t="shared" ca="1" si="3"/>
        <v>45897</v>
      </c>
      <c r="B211" s="155">
        <f ca="1">SUMIFS('recurring2_based on steps'!$B211:$AY211,'recurring2_based on steps'!$B$1:$AY$1,B$1)+SUMIFS('changes2_based on steps'!$B211:$U211,'changes2_based on steps'!$B$1:$U$1,B$1)</f>
        <v>0</v>
      </c>
      <c r="C211" s="155">
        <f>SUMIFS('recurring2_based on steps'!$B211:$AY211,'recurring2_based on steps'!$B$1:$AY$1,C$1)+SUMIFS('changes2_based on steps'!$B211:$U211,'changes2_based on steps'!$B$1:$U$1,C$1)</f>
        <v>0</v>
      </c>
      <c r="D211" s="155">
        <f>SUMIFS('recurring2_based on steps'!$B211:$AY211,'recurring2_based on steps'!$B$1:$AY$1,D$1)+SUMIFS('changes2_based on steps'!$B211:$U211,'changes2_based on steps'!$B$1:$U$1,D$1)</f>
        <v>0</v>
      </c>
      <c r="E211" s="155">
        <f>SUMIFS('recurring2_based on steps'!$B211:$AY211,'recurring2_based on steps'!$B$1:$AY$1,E$1)+SUMIFS('changes2_based on steps'!$B211:$U211,'changes2_based on steps'!$B$1:$U$1,E$1)</f>
        <v>0</v>
      </c>
      <c r="F211" s="155">
        <f>SUMIFS('recurring2_based on steps'!$B211:$AY211,'recurring2_based on steps'!$B$1:$AY$1,F$1)+SUMIFS('changes2_based on steps'!$B211:$U211,'changes2_based on steps'!$B$1:$U$1,F$1)</f>
        <v>0</v>
      </c>
      <c r="G211" s="155">
        <f>SUMIFS('recurring2_based on steps'!$B211:$AY211,'recurring2_based on steps'!$B$1:$AY$1,G$1)+SUMIFS('changes2_based on steps'!$B211:$U211,'changes2_based on steps'!$B$1:$U$1,G$1)</f>
        <v>0</v>
      </c>
      <c r="H211" s="155">
        <f ca="1">SUMIFS('recurring2_based on steps'!$B211:$AY211,'recurring2_based on steps'!$B$1:$AY$1,H$1)+SUMIFS('changes2_based on steps'!$B211:$U211,'changes2_based on steps'!$B$1:$U$1,H$1)</f>
        <v>0</v>
      </c>
      <c r="I211" s="155">
        <f>SUMIFS('recurring2_based on steps'!$B211:$AY211,'recurring2_based on steps'!$B$1:$AY$1,I$1)+SUMIFS('changes2_based on steps'!$B211:$U211,'changes2_based on steps'!$B$1:$U$1,I$1)</f>
        <v>0</v>
      </c>
      <c r="J211" s="155">
        <f>SUMIFS('recurring2_based on steps'!$B211:$AY211,'recurring2_based on steps'!$B$1:$AY$1,J$1)+SUMIFS('changes2_based on steps'!$B211:$U211,'changes2_based on steps'!$B$1:$U$1,J$1)</f>
        <v>0</v>
      </c>
      <c r="K211" s="155">
        <f>SUMIFS('recurring2_based on steps'!$B211:$AY211,'recurring2_based on steps'!$B$1:$AY$1,K$1)+SUMIFS('changes2_based on steps'!$B211:$U211,'changes2_based on steps'!$B$1:$U$1,K$1)</f>
        <v>0</v>
      </c>
      <c r="L211" s="155">
        <f>SUMIFS('recurring2_based on steps'!$B211:$AY211,'recurring2_based on steps'!$B$1:$AY$1,L$1)+SUMIFS('changes2_based on steps'!$B211:$U211,'changes2_based on steps'!$B$1:$U$1,L$1)</f>
        <v>0</v>
      </c>
      <c r="M211" s="155">
        <f ca="1">SUMIFS('recurring2_based on steps'!$B211:$AY211,'recurring2_based on steps'!$B$1:$AY$1,M$1)+SUMIFS('changes2_based on steps'!$B211:$U211,'changes2_based on steps'!$B$1:$U$1,M$1)</f>
        <v>40</v>
      </c>
      <c r="N211" s="155">
        <f ca="1">SUMIFS('recurring2_based on steps'!$B211:$AY211,'recurring2_based on steps'!$B$1:$AY$1,N$1)+SUMIFS('changes2_based on steps'!$B211:$U211,'changes2_based on steps'!$B$1:$U$1,N$1)</f>
        <v>0</v>
      </c>
      <c r="O211" s="155">
        <f ca="1">SUMIFS('recurring2_based on steps'!$B211:$AY211,'recurring2_based on steps'!$B$1:$AY$1,O$1)+SUMIFS('changes2_based on steps'!$B211:$U211,'changes2_based on steps'!$B$1:$U$1,O$1)</f>
        <v>0</v>
      </c>
      <c r="P211" s="155">
        <f ca="1">SUMIFS('recurring2_based on steps'!$B211:$AY211,'recurring2_based on steps'!$B$1:$AY$1,P$1)+SUMIFS('changes2_based on steps'!$B211:$U211,'changes2_based on steps'!$B$1:$U$1,P$1)</f>
        <v>0</v>
      </c>
      <c r="Q211" s="155">
        <f>SUMIFS('recurring2_based on steps'!$B211:$AY211,'recurring2_based on steps'!$B$1:$AY$1,Q$1)+SUMIFS('changes2_based on steps'!$B211:$U211,'changes2_based on steps'!$B$1:$U$1,Q$1)</f>
        <v>0</v>
      </c>
      <c r="R211" s="155">
        <f ca="1">SUMIFS('recurring2_based on steps'!$B211:$AY211,'recurring2_based on steps'!$B$1:$AY$1,R$1)+SUMIFS('changes2_based on steps'!$B211:$U211,'changes2_based on steps'!$B$1:$U$1,R$1)</f>
        <v>0</v>
      </c>
      <c r="S211" s="155">
        <f ca="1">SUMIFS('recurring2_based on steps'!$B211:$AY211,'recurring2_based on steps'!$B$1:$AY$1,S$1)+SUMIFS('changes2_based on steps'!$B211:$U211,'changes2_based on steps'!$B$1:$U$1,S$1)</f>
        <v>0</v>
      </c>
      <c r="T211" s="155">
        <f>SUMIFS('recurring2_based on steps'!$B211:$AY211,'recurring2_based on steps'!$B$1:$AY$1,T$1)+SUMIFS('changes2_based on steps'!$B211:$U211,'changes2_based on steps'!$B$1:$U$1,T$1)</f>
        <v>0</v>
      </c>
      <c r="U211" s="155">
        <f ca="1">SUMIFS('recurring2_based on steps'!$B211:$AY211,'recurring2_based on steps'!$B$1:$AY$1,U$1)+SUMIFS('changes2_based on steps'!$B211:$U211,'changes2_based on steps'!$B$1:$U$1,U$1)</f>
        <v>0</v>
      </c>
      <c r="V211" s="155">
        <f>SUMIFS('recurring2_based on steps'!$B211:$AY211,'recurring2_based on steps'!$B$1:$AY$1,V$1)+SUMIFS('changes2_based on steps'!$B211:$U211,'changes2_based on steps'!$B$1:$U$1,V$1)</f>
        <v>0</v>
      </c>
      <c r="W211" s="155">
        <f ca="1">SUMIFS('recurring2_based on steps'!$B211:$AY211,'recurring2_based on steps'!$B$1:$AY$1,W$1)+SUMIFS('changes2_based on steps'!$B211:$U211,'changes2_based on steps'!$B$1:$U$1,W$1)</f>
        <v>0</v>
      </c>
      <c r="X211" s="155">
        <f ca="1">SUMIFS('recurring2_based on steps'!$B211:$AY211,'recurring2_based on steps'!$B$1:$AY$1,X$1)+SUMIFS('changes2_based on steps'!$B211:$U211,'changes2_based on steps'!$B$1:$U$1,X$1)</f>
        <v>0</v>
      </c>
      <c r="Y211" s="155">
        <f ca="1">SUMIFS('recurring2_based on steps'!$B211:$AY211,'recurring2_based on steps'!$B$1:$AY$1,Y$1)+SUMIFS('changes2_based on steps'!$B211:$U211,'changes2_based on steps'!$B$1:$U$1,Y$1)</f>
        <v>100</v>
      </c>
      <c r="Z211" s="155">
        <f>SUMIFS('recurring2_based on steps'!$B211:$AY211,'recurring2_based on steps'!$B$1:$AY$1,Z$1)+SUMIFS('changes2_based on steps'!$B211:$U211,'changes2_based on steps'!$B$1:$U$1,Z$1)</f>
        <v>0</v>
      </c>
      <c r="AA211" s="155">
        <f>SUMIFS('recurring2_based on steps'!$B211:$AY211,'recurring2_based on steps'!$B$1:$AY$1,AA$1)+SUMIFS('changes2_based on steps'!$B211:$U211,'changes2_based on steps'!$B$1:$U$1,AA$1)</f>
        <v>0</v>
      </c>
    </row>
    <row r="212" spans="1:27" x14ac:dyDescent="0.2">
      <c r="A212" s="18">
        <f t="shared" ca="1" si="3"/>
        <v>45898</v>
      </c>
      <c r="B212" s="155">
        <f ca="1">SUMIFS('recurring2_based on steps'!$B212:$AY212,'recurring2_based on steps'!$B$1:$AY$1,B$1)+SUMIFS('changes2_based on steps'!$B212:$U212,'changes2_based on steps'!$B$1:$U$1,B$1)</f>
        <v>0</v>
      </c>
      <c r="C212" s="155">
        <f>SUMIFS('recurring2_based on steps'!$B212:$AY212,'recurring2_based on steps'!$B$1:$AY$1,C$1)+SUMIFS('changes2_based on steps'!$B212:$U212,'changes2_based on steps'!$B$1:$U$1,C$1)</f>
        <v>0</v>
      </c>
      <c r="D212" s="155">
        <f>SUMIFS('recurring2_based on steps'!$B212:$AY212,'recurring2_based on steps'!$B$1:$AY$1,D$1)+SUMIFS('changes2_based on steps'!$B212:$U212,'changes2_based on steps'!$B$1:$U$1,D$1)</f>
        <v>0</v>
      </c>
      <c r="E212" s="155">
        <f>SUMIFS('recurring2_based on steps'!$B212:$AY212,'recurring2_based on steps'!$B$1:$AY$1,E$1)+SUMIFS('changes2_based on steps'!$B212:$U212,'changes2_based on steps'!$B$1:$U$1,E$1)</f>
        <v>0</v>
      </c>
      <c r="F212" s="155">
        <f>SUMIFS('recurring2_based on steps'!$B212:$AY212,'recurring2_based on steps'!$B$1:$AY$1,F$1)+SUMIFS('changes2_based on steps'!$B212:$U212,'changes2_based on steps'!$B$1:$U$1,F$1)</f>
        <v>0</v>
      </c>
      <c r="G212" s="155">
        <f>SUMIFS('recurring2_based on steps'!$B212:$AY212,'recurring2_based on steps'!$B$1:$AY$1,G$1)+SUMIFS('changes2_based on steps'!$B212:$U212,'changes2_based on steps'!$B$1:$U$1,G$1)</f>
        <v>0</v>
      </c>
      <c r="H212" s="155">
        <f ca="1">SUMIFS('recurring2_based on steps'!$B212:$AY212,'recurring2_based on steps'!$B$1:$AY$1,H$1)+SUMIFS('changes2_based on steps'!$B212:$U212,'changes2_based on steps'!$B$1:$U$1,H$1)</f>
        <v>0</v>
      </c>
      <c r="I212" s="155">
        <f>SUMIFS('recurring2_based on steps'!$B212:$AY212,'recurring2_based on steps'!$B$1:$AY$1,I$1)+SUMIFS('changes2_based on steps'!$B212:$U212,'changes2_based on steps'!$B$1:$U$1,I$1)</f>
        <v>0</v>
      </c>
      <c r="J212" s="155">
        <f>SUMIFS('recurring2_based on steps'!$B212:$AY212,'recurring2_based on steps'!$B$1:$AY$1,J$1)+SUMIFS('changes2_based on steps'!$B212:$U212,'changes2_based on steps'!$B$1:$U$1,J$1)</f>
        <v>0</v>
      </c>
      <c r="K212" s="155">
        <f>SUMIFS('recurring2_based on steps'!$B212:$AY212,'recurring2_based on steps'!$B$1:$AY$1,K$1)+SUMIFS('changes2_based on steps'!$B212:$U212,'changes2_based on steps'!$B$1:$U$1,K$1)</f>
        <v>0</v>
      </c>
      <c r="L212" s="155">
        <f>SUMIFS('recurring2_based on steps'!$B212:$AY212,'recurring2_based on steps'!$B$1:$AY$1,L$1)+SUMIFS('changes2_based on steps'!$B212:$U212,'changes2_based on steps'!$B$1:$U$1,L$1)</f>
        <v>0</v>
      </c>
      <c r="M212" s="155">
        <f ca="1">SUMIFS('recurring2_based on steps'!$B212:$AY212,'recurring2_based on steps'!$B$1:$AY$1,M$1)+SUMIFS('changes2_based on steps'!$B212:$U212,'changes2_based on steps'!$B$1:$U$1,M$1)</f>
        <v>0</v>
      </c>
      <c r="N212" s="155">
        <f ca="1">SUMIFS('recurring2_based on steps'!$B212:$AY212,'recurring2_based on steps'!$B$1:$AY$1,N$1)+SUMIFS('changes2_based on steps'!$B212:$U212,'changes2_based on steps'!$B$1:$U$1,N$1)</f>
        <v>0</v>
      </c>
      <c r="O212" s="155">
        <f ca="1">SUMIFS('recurring2_based on steps'!$B212:$AY212,'recurring2_based on steps'!$B$1:$AY$1,O$1)+SUMIFS('changes2_based on steps'!$B212:$U212,'changes2_based on steps'!$B$1:$U$1,O$1)</f>
        <v>0</v>
      </c>
      <c r="P212" s="155">
        <f ca="1">SUMIFS('recurring2_based on steps'!$B212:$AY212,'recurring2_based on steps'!$B$1:$AY$1,P$1)+SUMIFS('changes2_based on steps'!$B212:$U212,'changes2_based on steps'!$B$1:$U$1,P$1)</f>
        <v>0</v>
      </c>
      <c r="Q212" s="155">
        <f>SUMIFS('recurring2_based on steps'!$B212:$AY212,'recurring2_based on steps'!$B$1:$AY$1,Q$1)+SUMIFS('changes2_based on steps'!$B212:$U212,'changes2_based on steps'!$B$1:$U$1,Q$1)</f>
        <v>0</v>
      </c>
      <c r="R212" s="155">
        <f ca="1">SUMIFS('recurring2_based on steps'!$B212:$AY212,'recurring2_based on steps'!$B$1:$AY$1,R$1)+SUMIFS('changes2_based on steps'!$B212:$U212,'changes2_based on steps'!$B$1:$U$1,R$1)</f>
        <v>0</v>
      </c>
      <c r="S212" s="155">
        <f ca="1">SUMIFS('recurring2_based on steps'!$B212:$AY212,'recurring2_based on steps'!$B$1:$AY$1,S$1)+SUMIFS('changes2_based on steps'!$B212:$U212,'changes2_based on steps'!$B$1:$U$1,S$1)</f>
        <v>0</v>
      </c>
      <c r="T212" s="155">
        <f>SUMIFS('recurring2_based on steps'!$B212:$AY212,'recurring2_based on steps'!$B$1:$AY$1,T$1)+SUMIFS('changes2_based on steps'!$B212:$U212,'changes2_based on steps'!$B$1:$U$1,T$1)</f>
        <v>0</v>
      </c>
      <c r="U212" s="155">
        <f ca="1">SUMIFS('recurring2_based on steps'!$B212:$AY212,'recurring2_based on steps'!$B$1:$AY$1,U$1)+SUMIFS('changes2_based on steps'!$B212:$U212,'changes2_based on steps'!$B$1:$U$1,U$1)</f>
        <v>0</v>
      </c>
      <c r="V212" s="155">
        <f>SUMIFS('recurring2_based on steps'!$B212:$AY212,'recurring2_based on steps'!$B$1:$AY$1,V$1)+SUMIFS('changes2_based on steps'!$B212:$U212,'changes2_based on steps'!$B$1:$U$1,V$1)</f>
        <v>0</v>
      </c>
      <c r="W212" s="155">
        <f ca="1">SUMIFS('recurring2_based on steps'!$B212:$AY212,'recurring2_based on steps'!$B$1:$AY$1,W$1)+SUMIFS('changes2_based on steps'!$B212:$U212,'changes2_based on steps'!$B$1:$U$1,W$1)</f>
        <v>0</v>
      </c>
      <c r="X212" s="155">
        <f ca="1">SUMIFS('recurring2_based on steps'!$B212:$AY212,'recurring2_based on steps'!$B$1:$AY$1,X$1)+SUMIFS('changes2_based on steps'!$B212:$U212,'changes2_based on steps'!$B$1:$U$1,X$1)</f>
        <v>0</v>
      </c>
      <c r="Y212" s="155">
        <f ca="1">SUMIFS('recurring2_based on steps'!$B212:$AY212,'recurring2_based on steps'!$B$1:$AY$1,Y$1)+SUMIFS('changes2_based on steps'!$B212:$U212,'changes2_based on steps'!$B$1:$U$1,Y$1)</f>
        <v>0</v>
      </c>
      <c r="Z212" s="155">
        <f>SUMIFS('recurring2_based on steps'!$B212:$AY212,'recurring2_based on steps'!$B$1:$AY$1,Z$1)+SUMIFS('changes2_based on steps'!$B212:$U212,'changes2_based on steps'!$B$1:$U$1,Z$1)</f>
        <v>0</v>
      </c>
      <c r="AA212" s="155">
        <f>SUMIFS('recurring2_based on steps'!$B212:$AY212,'recurring2_based on steps'!$B$1:$AY$1,AA$1)+SUMIFS('changes2_based on steps'!$B212:$U212,'changes2_based on steps'!$B$1:$U$1,AA$1)</f>
        <v>0</v>
      </c>
    </row>
    <row r="213" spans="1:27" x14ac:dyDescent="0.2">
      <c r="A213" s="18">
        <f t="shared" ca="1" si="3"/>
        <v>45899</v>
      </c>
      <c r="B213" s="155">
        <f ca="1">SUMIFS('recurring2_based on steps'!$B213:$AY213,'recurring2_based on steps'!$B$1:$AY$1,B$1)+SUMIFS('changes2_based on steps'!$B213:$U213,'changes2_based on steps'!$B$1:$U$1,B$1)</f>
        <v>0</v>
      </c>
      <c r="C213" s="155">
        <f>SUMIFS('recurring2_based on steps'!$B213:$AY213,'recurring2_based on steps'!$B$1:$AY$1,C$1)+SUMIFS('changes2_based on steps'!$B213:$U213,'changes2_based on steps'!$B$1:$U$1,C$1)</f>
        <v>0</v>
      </c>
      <c r="D213" s="155">
        <f>SUMIFS('recurring2_based on steps'!$B213:$AY213,'recurring2_based on steps'!$B$1:$AY$1,D$1)+SUMIFS('changes2_based on steps'!$B213:$U213,'changes2_based on steps'!$B$1:$U$1,D$1)</f>
        <v>0</v>
      </c>
      <c r="E213" s="155">
        <f>SUMIFS('recurring2_based on steps'!$B213:$AY213,'recurring2_based on steps'!$B$1:$AY$1,E$1)+SUMIFS('changes2_based on steps'!$B213:$U213,'changes2_based on steps'!$B$1:$U$1,E$1)</f>
        <v>0</v>
      </c>
      <c r="F213" s="155">
        <f>SUMIFS('recurring2_based on steps'!$B213:$AY213,'recurring2_based on steps'!$B$1:$AY$1,F$1)+SUMIFS('changes2_based on steps'!$B213:$U213,'changes2_based on steps'!$B$1:$U$1,F$1)</f>
        <v>0</v>
      </c>
      <c r="G213" s="155">
        <f>SUMIFS('recurring2_based on steps'!$B213:$AY213,'recurring2_based on steps'!$B$1:$AY$1,G$1)+SUMIFS('changes2_based on steps'!$B213:$U213,'changes2_based on steps'!$B$1:$U$1,G$1)</f>
        <v>0</v>
      </c>
      <c r="H213" s="155">
        <f ca="1">SUMIFS('recurring2_based on steps'!$B213:$AY213,'recurring2_based on steps'!$B$1:$AY$1,H$1)+SUMIFS('changes2_based on steps'!$B213:$U213,'changes2_based on steps'!$B$1:$U$1,H$1)</f>
        <v>0</v>
      </c>
      <c r="I213" s="155">
        <f>SUMIFS('recurring2_based on steps'!$B213:$AY213,'recurring2_based on steps'!$B$1:$AY$1,I$1)+SUMIFS('changes2_based on steps'!$B213:$U213,'changes2_based on steps'!$B$1:$U$1,I$1)</f>
        <v>0</v>
      </c>
      <c r="J213" s="155">
        <f>SUMIFS('recurring2_based on steps'!$B213:$AY213,'recurring2_based on steps'!$B$1:$AY$1,J$1)+SUMIFS('changes2_based on steps'!$B213:$U213,'changes2_based on steps'!$B$1:$U$1,J$1)</f>
        <v>0</v>
      </c>
      <c r="K213" s="155">
        <f>SUMIFS('recurring2_based on steps'!$B213:$AY213,'recurring2_based on steps'!$B$1:$AY$1,K$1)+SUMIFS('changes2_based on steps'!$B213:$U213,'changes2_based on steps'!$B$1:$U$1,K$1)</f>
        <v>0</v>
      </c>
      <c r="L213" s="155">
        <f>SUMIFS('recurring2_based on steps'!$B213:$AY213,'recurring2_based on steps'!$B$1:$AY$1,L$1)+SUMIFS('changes2_based on steps'!$B213:$U213,'changes2_based on steps'!$B$1:$U$1,L$1)</f>
        <v>0</v>
      </c>
      <c r="M213" s="155">
        <f ca="1">SUMIFS('recurring2_based on steps'!$B213:$AY213,'recurring2_based on steps'!$B$1:$AY$1,M$1)+SUMIFS('changes2_based on steps'!$B213:$U213,'changes2_based on steps'!$B$1:$U$1,M$1)</f>
        <v>0</v>
      </c>
      <c r="N213" s="155">
        <f ca="1">SUMIFS('recurring2_based on steps'!$B213:$AY213,'recurring2_based on steps'!$B$1:$AY$1,N$1)+SUMIFS('changes2_based on steps'!$B213:$U213,'changes2_based on steps'!$B$1:$U$1,N$1)</f>
        <v>0</v>
      </c>
      <c r="O213" s="155">
        <f ca="1">SUMIFS('recurring2_based on steps'!$B213:$AY213,'recurring2_based on steps'!$B$1:$AY$1,O$1)+SUMIFS('changes2_based on steps'!$B213:$U213,'changes2_based on steps'!$B$1:$U$1,O$1)</f>
        <v>0</v>
      </c>
      <c r="P213" s="155">
        <f ca="1">SUMIFS('recurring2_based on steps'!$B213:$AY213,'recurring2_based on steps'!$B$1:$AY$1,P$1)+SUMIFS('changes2_based on steps'!$B213:$U213,'changes2_based on steps'!$B$1:$U$1,P$1)</f>
        <v>0</v>
      </c>
      <c r="Q213" s="155">
        <f>SUMIFS('recurring2_based on steps'!$B213:$AY213,'recurring2_based on steps'!$B$1:$AY$1,Q$1)+SUMIFS('changes2_based on steps'!$B213:$U213,'changes2_based on steps'!$B$1:$U$1,Q$1)</f>
        <v>0</v>
      </c>
      <c r="R213" s="155">
        <f ca="1">SUMIFS('recurring2_based on steps'!$B213:$AY213,'recurring2_based on steps'!$B$1:$AY$1,R$1)+SUMIFS('changes2_based on steps'!$B213:$U213,'changes2_based on steps'!$B$1:$U$1,R$1)</f>
        <v>100</v>
      </c>
      <c r="S213" s="155">
        <f ca="1">SUMIFS('recurring2_based on steps'!$B213:$AY213,'recurring2_based on steps'!$B$1:$AY$1,S$1)+SUMIFS('changes2_based on steps'!$B213:$U213,'changes2_based on steps'!$B$1:$U$1,S$1)</f>
        <v>100</v>
      </c>
      <c r="T213" s="155">
        <f>SUMIFS('recurring2_based on steps'!$B213:$AY213,'recurring2_based on steps'!$B$1:$AY$1,T$1)+SUMIFS('changes2_based on steps'!$B213:$U213,'changes2_based on steps'!$B$1:$U$1,T$1)</f>
        <v>0</v>
      </c>
      <c r="U213" s="155">
        <f ca="1">SUMIFS('recurring2_based on steps'!$B213:$AY213,'recurring2_based on steps'!$B$1:$AY$1,U$1)+SUMIFS('changes2_based on steps'!$B213:$U213,'changes2_based on steps'!$B$1:$U$1,U$1)</f>
        <v>0</v>
      </c>
      <c r="V213" s="155">
        <f>SUMIFS('recurring2_based on steps'!$B213:$AY213,'recurring2_based on steps'!$B$1:$AY$1,V$1)+SUMIFS('changes2_based on steps'!$B213:$U213,'changes2_based on steps'!$B$1:$U$1,V$1)</f>
        <v>0</v>
      </c>
      <c r="W213" s="155">
        <f ca="1">SUMIFS('recurring2_based on steps'!$B213:$AY213,'recurring2_based on steps'!$B$1:$AY$1,W$1)+SUMIFS('changes2_based on steps'!$B213:$U213,'changes2_based on steps'!$B$1:$U$1,W$1)</f>
        <v>0</v>
      </c>
      <c r="X213" s="155">
        <f ca="1">SUMIFS('recurring2_based on steps'!$B213:$AY213,'recurring2_based on steps'!$B$1:$AY$1,X$1)+SUMIFS('changes2_based on steps'!$B213:$U213,'changes2_based on steps'!$B$1:$U$1,X$1)</f>
        <v>0</v>
      </c>
      <c r="Y213" s="155">
        <f ca="1">SUMIFS('recurring2_based on steps'!$B213:$AY213,'recurring2_based on steps'!$B$1:$AY$1,Y$1)+SUMIFS('changes2_based on steps'!$B213:$U213,'changes2_based on steps'!$B$1:$U$1,Y$1)</f>
        <v>0</v>
      </c>
      <c r="Z213" s="155">
        <f>SUMIFS('recurring2_based on steps'!$B213:$AY213,'recurring2_based on steps'!$B$1:$AY$1,Z$1)+SUMIFS('changes2_based on steps'!$B213:$U213,'changes2_based on steps'!$B$1:$U$1,Z$1)</f>
        <v>0</v>
      </c>
      <c r="AA213" s="155">
        <f>SUMIFS('recurring2_based on steps'!$B213:$AY213,'recurring2_based on steps'!$B$1:$AY$1,AA$1)+SUMIFS('changes2_based on steps'!$B213:$U213,'changes2_based on steps'!$B$1:$U$1,AA$1)</f>
        <v>0</v>
      </c>
    </row>
    <row r="214" spans="1:27" x14ac:dyDescent="0.2">
      <c r="A214" s="18">
        <f t="shared" ca="1" si="3"/>
        <v>45900</v>
      </c>
      <c r="B214" s="155">
        <f ca="1">SUMIFS('recurring2_based on steps'!$B214:$AY214,'recurring2_based on steps'!$B$1:$AY$1,B$1)+SUMIFS('changes2_based on steps'!$B214:$U214,'changes2_based on steps'!$B$1:$U$1,B$1)</f>
        <v>0</v>
      </c>
      <c r="C214" s="155">
        <f>SUMIFS('recurring2_based on steps'!$B214:$AY214,'recurring2_based on steps'!$B$1:$AY$1,C$1)+SUMIFS('changes2_based on steps'!$B214:$U214,'changes2_based on steps'!$B$1:$U$1,C$1)</f>
        <v>0</v>
      </c>
      <c r="D214" s="155">
        <f>SUMIFS('recurring2_based on steps'!$B214:$AY214,'recurring2_based on steps'!$B$1:$AY$1,D$1)+SUMIFS('changes2_based on steps'!$B214:$U214,'changes2_based on steps'!$B$1:$U$1,D$1)</f>
        <v>0</v>
      </c>
      <c r="E214" s="155">
        <f>SUMIFS('recurring2_based on steps'!$B214:$AY214,'recurring2_based on steps'!$B$1:$AY$1,E$1)+SUMIFS('changes2_based on steps'!$B214:$U214,'changes2_based on steps'!$B$1:$U$1,E$1)</f>
        <v>0</v>
      </c>
      <c r="F214" s="155">
        <f>SUMIFS('recurring2_based on steps'!$B214:$AY214,'recurring2_based on steps'!$B$1:$AY$1,F$1)+SUMIFS('changes2_based on steps'!$B214:$U214,'changes2_based on steps'!$B$1:$U$1,F$1)</f>
        <v>0</v>
      </c>
      <c r="G214" s="155">
        <f>SUMIFS('recurring2_based on steps'!$B214:$AY214,'recurring2_based on steps'!$B$1:$AY$1,G$1)+SUMIFS('changes2_based on steps'!$B214:$U214,'changes2_based on steps'!$B$1:$U$1,G$1)</f>
        <v>0</v>
      </c>
      <c r="H214" s="155">
        <f ca="1">SUMIFS('recurring2_based on steps'!$B214:$AY214,'recurring2_based on steps'!$B$1:$AY$1,H$1)+SUMIFS('changes2_based on steps'!$B214:$U214,'changes2_based on steps'!$B$1:$U$1,H$1)</f>
        <v>0</v>
      </c>
      <c r="I214" s="155">
        <f>SUMIFS('recurring2_based on steps'!$B214:$AY214,'recurring2_based on steps'!$B$1:$AY$1,I$1)+SUMIFS('changes2_based on steps'!$B214:$U214,'changes2_based on steps'!$B$1:$U$1,I$1)</f>
        <v>0</v>
      </c>
      <c r="J214" s="155">
        <f>SUMIFS('recurring2_based on steps'!$B214:$AY214,'recurring2_based on steps'!$B$1:$AY$1,J$1)+SUMIFS('changes2_based on steps'!$B214:$U214,'changes2_based on steps'!$B$1:$U$1,J$1)</f>
        <v>0</v>
      </c>
      <c r="K214" s="155">
        <f>SUMIFS('recurring2_based on steps'!$B214:$AY214,'recurring2_based on steps'!$B$1:$AY$1,K$1)+SUMIFS('changes2_based on steps'!$B214:$U214,'changes2_based on steps'!$B$1:$U$1,K$1)</f>
        <v>0</v>
      </c>
      <c r="L214" s="155">
        <f>SUMIFS('recurring2_based on steps'!$B214:$AY214,'recurring2_based on steps'!$B$1:$AY$1,L$1)+SUMIFS('changes2_based on steps'!$B214:$U214,'changes2_based on steps'!$B$1:$U$1,L$1)</f>
        <v>0</v>
      </c>
      <c r="M214" s="155">
        <f ca="1">SUMIFS('recurring2_based on steps'!$B214:$AY214,'recurring2_based on steps'!$B$1:$AY$1,M$1)+SUMIFS('changes2_based on steps'!$B214:$U214,'changes2_based on steps'!$B$1:$U$1,M$1)</f>
        <v>50</v>
      </c>
      <c r="N214" s="155">
        <f ca="1">SUMIFS('recurring2_based on steps'!$B214:$AY214,'recurring2_based on steps'!$B$1:$AY$1,N$1)+SUMIFS('changes2_based on steps'!$B214:$U214,'changes2_based on steps'!$B$1:$U$1,N$1)</f>
        <v>50</v>
      </c>
      <c r="O214" s="155">
        <f ca="1">SUMIFS('recurring2_based on steps'!$B214:$AY214,'recurring2_based on steps'!$B$1:$AY$1,O$1)+SUMIFS('changes2_based on steps'!$B214:$U214,'changes2_based on steps'!$B$1:$U$1,O$1)</f>
        <v>0</v>
      </c>
      <c r="P214" s="155">
        <f ca="1">SUMIFS('recurring2_based on steps'!$B214:$AY214,'recurring2_based on steps'!$B$1:$AY$1,P$1)+SUMIFS('changes2_based on steps'!$B214:$U214,'changes2_based on steps'!$B$1:$U$1,P$1)</f>
        <v>0</v>
      </c>
      <c r="Q214" s="155">
        <f>SUMIFS('recurring2_based on steps'!$B214:$AY214,'recurring2_based on steps'!$B$1:$AY$1,Q$1)+SUMIFS('changes2_based on steps'!$B214:$U214,'changes2_based on steps'!$B$1:$U$1,Q$1)</f>
        <v>0</v>
      </c>
      <c r="R214" s="155">
        <f ca="1">SUMIFS('recurring2_based on steps'!$B214:$AY214,'recurring2_based on steps'!$B$1:$AY$1,R$1)+SUMIFS('changes2_based on steps'!$B214:$U214,'changes2_based on steps'!$B$1:$U$1,R$1)</f>
        <v>0</v>
      </c>
      <c r="S214" s="155">
        <f ca="1">SUMIFS('recurring2_based on steps'!$B214:$AY214,'recurring2_based on steps'!$B$1:$AY$1,S$1)+SUMIFS('changes2_based on steps'!$B214:$U214,'changes2_based on steps'!$B$1:$U$1,S$1)</f>
        <v>100</v>
      </c>
      <c r="T214" s="155">
        <f>SUMIFS('recurring2_based on steps'!$B214:$AY214,'recurring2_based on steps'!$B$1:$AY$1,T$1)+SUMIFS('changes2_based on steps'!$B214:$U214,'changes2_based on steps'!$B$1:$U$1,T$1)</f>
        <v>0</v>
      </c>
      <c r="U214" s="155">
        <f ca="1">SUMIFS('recurring2_based on steps'!$B214:$AY214,'recurring2_based on steps'!$B$1:$AY$1,U$1)+SUMIFS('changes2_based on steps'!$B214:$U214,'changes2_based on steps'!$B$1:$U$1,U$1)</f>
        <v>0</v>
      </c>
      <c r="V214" s="155">
        <f>SUMIFS('recurring2_based on steps'!$B214:$AY214,'recurring2_based on steps'!$B$1:$AY$1,V$1)+SUMIFS('changes2_based on steps'!$B214:$U214,'changes2_based on steps'!$B$1:$U$1,V$1)</f>
        <v>0</v>
      </c>
      <c r="W214" s="155">
        <f ca="1">SUMIFS('recurring2_based on steps'!$B214:$AY214,'recurring2_based on steps'!$B$1:$AY$1,W$1)+SUMIFS('changes2_based on steps'!$B214:$U214,'changes2_based on steps'!$B$1:$U$1,W$1)</f>
        <v>0</v>
      </c>
      <c r="X214" s="155">
        <f ca="1">SUMIFS('recurring2_based on steps'!$B214:$AY214,'recurring2_based on steps'!$B$1:$AY$1,X$1)+SUMIFS('changes2_based on steps'!$B214:$U214,'changes2_based on steps'!$B$1:$U$1,X$1)</f>
        <v>0</v>
      </c>
      <c r="Y214" s="155">
        <f ca="1">SUMIFS('recurring2_based on steps'!$B214:$AY214,'recurring2_based on steps'!$B$1:$AY$1,Y$1)+SUMIFS('changes2_based on steps'!$B214:$U214,'changes2_based on steps'!$B$1:$U$1,Y$1)</f>
        <v>-100</v>
      </c>
      <c r="Z214" s="155">
        <f>SUMIFS('recurring2_based on steps'!$B214:$AY214,'recurring2_based on steps'!$B$1:$AY$1,Z$1)+SUMIFS('changes2_based on steps'!$B214:$U214,'changes2_based on steps'!$B$1:$U$1,Z$1)</f>
        <v>0</v>
      </c>
      <c r="AA214" s="155">
        <f>SUMIFS('recurring2_based on steps'!$B214:$AY214,'recurring2_based on steps'!$B$1:$AY$1,AA$1)+SUMIFS('changes2_based on steps'!$B214:$U214,'changes2_based on steps'!$B$1:$U$1,AA$1)</f>
        <v>0</v>
      </c>
    </row>
    <row r="215" spans="1:27" x14ac:dyDescent="0.2">
      <c r="A215" s="18">
        <f t="shared" ca="1" si="3"/>
        <v>45901</v>
      </c>
      <c r="B215" s="155">
        <f ca="1">SUMIFS('recurring2_based on steps'!$B215:$AY215,'recurring2_based on steps'!$B$1:$AY$1,B$1)+SUMIFS('changes2_based on steps'!$B215:$U215,'changes2_based on steps'!$B$1:$U$1,B$1)</f>
        <v>0</v>
      </c>
      <c r="C215" s="155">
        <f>SUMIFS('recurring2_based on steps'!$B215:$AY215,'recurring2_based on steps'!$B$1:$AY$1,C$1)+SUMIFS('changes2_based on steps'!$B215:$U215,'changes2_based on steps'!$B$1:$U$1,C$1)</f>
        <v>0</v>
      </c>
      <c r="D215" s="155">
        <f>SUMIFS('recurring2_based on steps'!$B215:$AY215,'recurring2_based on steps'!$B$1:$AY$1,D$1)+SUMIFS('changes2_based on steps'!$B215:$U215,'changes2_based on steps'!$B$1:$U$1,D$1)</f>
        <v>0</v>
      </c>
      <c r="E215" s="155">
        <f>SUMIFS('recurring2_based on steps'!$B215:$AY215,'recurring2_based on steps'!$B$1:$AY$1,E$1)+SUMIFS('changes2_based on steps'!$B215:$U215,'changes2_based on steps'!$B$1:$U$1,E$1)</f>
        <v>0</v>
      </c>
      <c r="F215" s="155">
        <f>SUMIFS('recurring2_based on steps'!$B215:$AY215,'recurring2_based on steps'!$B$1:$AY$1,F$1)+SUMIFS('changes2_based on steps'!$B215:$U215,'changes2_based on steps'!$B$1:$U$1,F$1)</f>
        <v>0</v>
      </c>
      <c r="G215" s="155">
        <f>SUMIFS('recurring2_based on steps'!$B215:$AY215,'recurring2_based on steps'!$B$1:$AY$1,G$1)+SUMIFS('changes2_based on steps'!$B215:$U215,'changes2_based on steps'!$B$1:$U$1,G$1)</f>
        <v>0</v>
      </c>
      <c r="H215" s="155">
        <f ca="1">SUMIFS('recurring2_based on steps'!$B215:$AY215,'recurring2_based on steps'!$B$1:$AY$1,H$1)+SUMIFS('changes2_based on steps'!$B215:$U215,'changes2_based on steps'!$B$1:$U$1,H$1)</f>
        <v>0</v>
      </c>
      <c r="I215" s="155">
        <f>SUMIFS('recurring2_based on steps'!$B215:$AY215,'recurring2_based on steps'!$B$1:$AY$1,I$1)+SUMIFS('changes2_based on steps'!$B215:$U215,'changes2_based on steps'!$B$1:$U$1,I$1)</f>
        <v>0</v>
      </c>
      <c r="J215" s="155">
        <f>SUMIFS('recurring2_based on steps'!$B215:$AY215,'recurring2_based on steps'!$B$1:$AY$1,J$1)+SUMIFS('changes2_based on steps'!$B215:$U215,'changes2_based on steps'!$B$1:$U$1,J$1)</f>
        <v>0</v>
      </c>
      <c r="K215" s="155">
        <f>SUMIFS('recurring2_based on steps'!$B215:$AY215,'recurring2_based on steps'!$B$1:$AY$1,K$1)+SUMIFS('changes2_based on steps'!$B215:$U215,'changes2_based on steps'!$B$1:$U$1,K$1)</f>
        <v>0</v>
      </c>
      <c r="L215" s="155">
        <f>SUMIFS('recurring2_based on steps'!$B215:$AY215,'recurring2_based on steps'!$B$1:$AY$1,L$1)+SUMIFS('changes2_based on steps'!$B215:$U215,'changes2_based on steps'!$B$1:$U$1,L$1)</f>
        <v>0</v>
      </c>
      <c r="M215" s="155">
        <f ca="1">SUMIFS('recurring2_based on steps'!$B215:$AY215,'recurring2_based on steps'!$B$1:$AY$1,M$1)+SUMIFS('changes2_based on steps'!$B215:$U215,'changes2_based on steps'!$B$1:$U$1,M$1)</f>
        <v>2000</v>
      </c>
      <c r="N215" s="155">
        <f ca="1">SUMIFS('recurring2_based on steps'!$B215:$AY215,'recurring2_based on steps'!$B$1:$AY$1,N$1)+SUMIFS('changes2_based on steps'!$B215:$U215,'changes2_based on steps'!$B$1:$U$1,N$1)</f>
        <v>0</v>
      </c>
      <c r="O215" s="155">
        <f ca="1">SUMIFS('recurring2_based on steps'!$B215:$AY215,'recurring2_based on steps'!$B$1:$AY$1,O$1)+SUMIFS('changes2_based on steps'!$B215:$U215,'changes2_based on steps'!$B$1:$U$1,O$1)</f>
        <v>0</v>
      </c>
      <c r="P215" s="155">
        <f ca="1">SUMIFS('recurring2_based on steps'!$B215:$AY215,'recurring2_based on steps'!$B$1:$AY$1,P$1)+SUMIFS('changes2_based on steps'!$B215:$U215,'changes2_based on steps'!$B$1:$U$1,P$1)</f>
        <v>50</v>
      </c>
      <c r="Q215" s="155">
        <f>SUMIFS('recurring2_based on steps'!$B215:$AY215,'recurring2_based on steps'!$B$1:$AY$1,Q$1)+SUMIFS('changes2_based on steps'!$B215:$U215,'changes2_based on steps'!$B$1:$U$1,Q$1)</f>
        <v>0</v>
      </c>
      <c r="R215" s="155">
        <f ca="1">SUMIFS('recurring2_based on steps'!$B215:$AY215,'recurring2_based on steps'!$B$1:$AY$1,R$1)+SUMIFS('changes2_based on steps'!$B215:$U215,'changes2_based on steps'!$B$1:$U$1,R$1)</f>
        <v>0</v>
      </c>
      <c r="S215" s="155">
        <f ca="1">SUMIFS('recurring2_based on steps'!$B215:$AY215,'recurring2_based on steps'!$B$1:$AY$1,S$1)+SUMIFS('changes2_based on steps'!$B215:$U215,'changes2_based on steps'!$B$1:$U$1,S$1)</f>
        <v>0</v>
      </c>
      <c r="T215" s="155">
        <f>SUMIFS('recurring2_based on steps'!$B215:$AY215,'recurring2_based on steps'!$B$1:$AY$1,T$1)+SUMIFS('changes2_based on steps'!$B215:$U215,'changes2_based on steps'!$B$1:$U$1,T$1)</f>
        <v>0</v>
      </c>
      <c r="U215" s="155">
        <f ca="1">SUMIFS('recurring2_based on steps'!$B215:$AY215,'recurring2_based on steps'!$B$1:$AY$1,U$1)+SUMIFS('changes2_based on steps'!$B215:$U215,'changes2_based on steps'!$B$1:$U$1,U$1)</f>
        <v>0</v>
      </c>
      <c r="V215" s="155">
        <f>SUMIFS('recurring2_based on steps'!$B215:$AY215,'recurring2_based on steps'!$B$1:$AY$1,V$1)+SUMIFS('changes2_based on steps'!$B215:$U215,'changes2_based on steps'!$B$1:$U$1,V$1)</f>
        <v>0</v>
      </c>
      <c r="W215" s="155">
        <f ca="1">SUMIFS('recurring2_based on steps'!$B215:$AY215,'recurring2_based on steps'!$B$1:$AY$1,W$1)+SUMIFS('changes2_based on steps'!$B215:$U215,'changes2_based on steps'!$B$1:$U$1,W$1)</f>
        <v>0</v>
      </c>
      <c r="X215" s="155">
        <f ca="1">SUMIFS('recurring2_based on steps'!$B215:$AY215,'recurring2_based on steps'!$B$1:$AY$1,X$1)+SUMIFS('changes2_based on steps'!$B215:$U215,'changes2_based on steps'!$B$1:$U$1,X$1)</f>
        <v>0</v>
      </c>
      <c r="Y215" s="155">
        <f ca="1">SUMIFS('recurring2_based on steps'!$B215:$AY215,'recurring2_based on steps'!$B$1:$AY$1,Y$1)+SUMIFS('changes2_based on steps'!$B215:$U215,'changes2_based on steps'!$B$1:$U$1,Y$1)</f>
        <v>0</v>
      </c>
      <c r="Z215" s="155">
        <f>SUMIFS('recurring2_based on steps'!$B215:$AY215,'recurring2_based on steps'!$B$1:$AY$1,Z$1)+SUMIFS('changes2_based on steps'!$B215:$U215,'changes2_based on steps'!$B$1:$U$1,Z$1)</f>
        <v>0</v>
      </c>
      <c r="AA215" s="155">
        <f>SUMIFS('recurring2_based on steps'!$B215:$AY215,'recurring2_based on steps'!$B$1:$AY$1,AA$1)+SUMIFS('changes2_based on steps'!$B215:$U215,'changes2_based on steps'!$B$1:$U$1,AA$1)</f>
        <v>0</v>
      </c>
    </row>
    <row r="216" spans="1:27" x14ac:dyDescent="0.2">
      <c r="A216" s="18">
        <f t="shared" ca="1" si="3"/>
        <v>45902</v>
      </c>
      <c r="B216" s="155">
        <f ca="1">SUMIFS('recurring2_based on steps'!$B216:$AY216,'recurring2_based on steps'!$B$1:$AY$1,B$1)+SUMIFS('changes2_based on steps'!$B216:$U216,'changes2_based on steps'!$B$1:$U$1,B$1)</f>
        <v>0</v>
      </c>
      <c r="C216" s="155">
        <f>SUMIFS('recurring2_based on steps'!$B216:$AY216,'recurring2_based on steps'!$B$1:$AY$1,C$1)+SUMIFS('changes2_based on steps'!$B216:$U216,'changes2_based on steps'!$B$1:$U$1,C$1)</f>
        <v>0</v>
      </c>
      <c r="D216" s="155">
        <f>SUMIFS('recurring2_based on steps'!$B216:$AY216,'recurring2_based on steps'!$B$1:$AY$1,D$1)+SUMIFS('changes2_based on steps'!$B216:$U216,'changes2_based on steps'!$B$1:$U$1,D$1)</f>
        <v>0</v>
      </c>
      <c r="E216" s="155">
        <f>SUMIFS('recurring2_based on steps'!$B216:$AY216,'recurring2_based on steps'!$B$1:$AY$1,E$1)+SUMIFS('changes2_based on steps'!$B216:$U216,'changes2_based on steps'!$B$1:$U$1,E$1)</f>
        <v>0</v>
      </c>
      <c r="F216" s="155">
        <f>SUMIFS('recurring2_based on steps'!$B216:$AY216,'recurring2_based on steps'!$B$1:$AY$1,F$1)+SUMIFS('changes2_based on steps'!$B216:$U216,'changes2_based on steps'!$B$1:$U$1,F$1)</f>
        <v>0</v>
      </c>
      <c r="G216" s="155">
        <f>SUMIFS('recurring2_based on steps'!$B216:$AY216,'recurring2_based on steps'!$B$1:$AY$1,G$1)+SUMIFS('changes2_based on steps'!$B216:$U216,'changes2_based on steps'!$B$1:$U$1,G$1)</f>
        <v>0</v>
      </c>
      <c r="H216" s="155">
        <f ca="1">SUMIFS('recurring2_based on steps'!$B216:$AY216,'recurring2_based on steps'!$B$1:$AY$1,H$1)+SUMIFS('changes2_based on steps'!$B216:$U216,'changes2_based on steps'!$B$1:$U$1,H$1)</f>
        <v>0</v>
      </c>
      <c r="I216" s="155">
        <f>SUMIFS('recurring2_based on steps'!$B216:$AY216,'recurring2_based on steps'!$B$1:$AY$1,I$1)+SUMIFS('changes2_based on steps'!$B216:$U216,'changes2_based on steps'!$B$1:$U$1,I$1)</f>
        <v>0</v>
      </c>
      <c r="J216" s="155">
        <f>SUMIFS('recurring2_based on steps'!$B216:$AY216,'recurring2_based on steps'!$B$1:$AY$1,J$1)+SUMIFS('changes2_based on steps'!$B216:$U216,'changes2_based on steps'!$B$1:$U$1,J$1)</f>
        <v>0</v>
      </c>
      <c r="K216" s="155">
        <f>SUMIFS('recurring2_based on steps'!$B216:$AY216,'recurring2_based on steps'!$B$1:$AY$1,K$1)+SUMIFS('changes2_based on steps'!$B216:$U216,'changes2_based on steps'!$B$1:$U$1,K$1)</f>
        <v>0</v>
      </c>
      <c r="L216" s="155">
        <f>SUMIFS('recurring2_based on steps'!$B216:$AY216,'recurring2_based on steps'!$B$1:$AY$1,L$1)+SUMIFS('changes2_based on steps'!$B216:$U216,'changes2_based on steps'!$B$1:$U$1,L$1)</f>
        <v>0</v>
      </c>
      <c r="M216" s="155">
        <f ca="1">SUMIFS('recurring2_based on steps'!$B216:$AY216,'recurring2_based on steps'!$B$1:$AY$1,M$1)+SUMIFS('changes2_based on steps'!$B216:$U216,'changes2_based on steps'!$B$1:$U$1,M$1)</f>
        <v>0</v>
      </c>
      <c r="N216" s="155">
        <f ca="1">SUMIFS('recurring2_based on steps'!$B216:$AY216,'recurring2_based on steps'!$B$1:$AY$1,N$1)+SUMIFS('changes2_based on steps'!$B216:$U216,'changes2_based on steps'!$B$1:$U$1,N$1)</f>
        <v>0</v>
      </c>
      <c r="O216" s="155">
        <f ca="1">SUMIFS('recurring2_based on steps'!$B216:$AY216,'recurring2_based on steps'!$B$1:$AY$1,O$1)+SUMIFS('changes2_based on steps'!$B216:$U216,'changes2_based on steps'!$B$1:$U$1,O$1)</f>
        <v>0</v>
      </c>
      <c r="P216" s="155">
        <f ca="1">SUMIFS('recurring2_based on steps'!$B216:$AY216,'recurring2_based on steps'!$B$1:$AY$1,P$1)+SUMIFS('changes2_based on steps'!$B216:$U216,'changes2_based on steps'!$B$1:$U$1,P$1)</f>
        <v>0</v>
      </c>
      <c r="Q216" s="155">
        <f>SUMIFS('recurring2_based on steps'!$B216:$AY216,'recurring2_based on steps'!$B$1:$AY$1,Q$1)+SUMIFS('changes2_based on steps'!$B216:$U216,'changes2_based on steps'!$B$1:$U$1,Q$1)</f>
        <v>0</v>
      </c>
      <c r="R216" s="155">
        <f ca="1">SUMIFS('recurring2_based on steps'!$B216:$AY216,'recurring2_based on steps'!$B$1:$AY$1,R$1)+SUMIFS('changes2_based on steps'!$B216:$U216,'changes2_based on steps'!$B$1:$U$1,R$1)</f>
        <v>0</v>
      </c>
      <c r="S216" s="155">
        <f ca="1">SUMIFS('recurring2_based on steps'!$B216:$AY216,'recurring2_based on steps'!$B$1:$AY$1,S$1)+SUMIFS('changes2_based on steps'!$B216:$U216,'changes2_based on steps'!$B$1:$U$1,S$1)</f>
        <v>0</v>
      </c>
      <c r="T216" s="155">
        <f>SUMIFS('recurring2_based on steps'!$B216:$AY216,'recurring2_based on steps'!$B$1:$AY$1,T$1)+SUMIFS('changes2_based on steps'!$B216:$U216,'changes2_based on steps'!$B$1:$U$1,T$1)</f>
        <v>0</v>
      </c>
      <c r="U216" s="155">
        <f ca="1">SUMIFS('recurring2_based on steps'!$B216:$AY216,'recurring2_based on steps'!$B$1:$AY$1,U$1)+SUMIFS('changes2_based on steps'!$B216:$U216,'changes2_based on steps'!$B$1:$U$1,U$1)</f>
        <v>0</v>
      </c>
      <c r="V216" s="155">
        <f>SUMIFS('recurring2_based on steps'!$B216:$AY216,'recurring2_based on steps'!$B$1:$AY$1,V$1)+SUMIFS('changes2_based on steps'!$B216:$U216,'changes2_based on steps'!$B$1:$U$1,V$1)</f>
        <v>0</v>
      </c>
      <c r="W216" s="155">
        <f ca="1">SUMIFS('recurring2_based on steps'!$B216:$AY216,'recurring2_based on steps'!$B$1:$AY$1,W$1)+SUMIFS('changes2_based on steps'!$B216:$U216,'changes2_based on steps'!$B$1:$U$1,W$1)</f>
        <v>0</v>
      </c>
      <c r="X216" s="155">
        <f ca="1">SUMIFS('recurring2_based on steps'!$B216:$AY216,'recurring2_based on steps'!$B$1:$AY$1,X$1)+SUMIFS('changes2_based on steps'!$B216:$U216,'changes2_based on steps'!$B$1:$U$1,X$1)</f>
        <v>0</v>
      </c>
      <c r="Y216" s="155">
        <f ca="1">SUMIFS('recurring2_based on steps'!$B216:$AY216,'recurring2_based on steps'!$B$1:$AY$1,Y$1)+SUMIFS('changes2_based on steps'!$B216:$U216,'changes2_based on steps'!$B$1:$U$1,Y$1)</f>
        <v>0</v>
      </c>
      <c r="Z216" s="155">
        <f>SUMIFS('recurring2_based on steps'!$B216:$AY216,'recurring2_based on steps'!$B$1:$AY$1,Z$1)+SUMIFS('changes2_based on steps'!$B216:$U216,'changes2_based on steps'!$B$1:$U$1,Z$1)</f>
        <v>0</v>
      </c>
      <c r="AA216" s="155">
        <f>SUMIFS('recurring2_based on steps'!$B216:$AY216,'recurring2_based on steps'!$B$1:$AY$1,AA$1)+SUMIFS('changes2_based on steps'!$B216:$U216,'changes2_based on steps'!$B$1:$U$1,AA$1)</f>
        <v>0</v>
      </c>
    </row>
    <row r="217" spans="1:27" x14ac:dyDescent="0.2">
      <c r="A217" s="18">
        <f t="shared" ca="1" si="3"/>
        <v>45903</v>
      </c>
      <c r="B217" s="155">
        <f ca="1">SUMIFS('recurring2_based on steps'!$B217:$AY217,'recurring2_based on steps'!$B$1:$AY$1,B$1)+SUMIFS('changes2_based on steps'!$B217:$U217,'changes2_based on steps'!$B$1:$U$1,B$1)</f>
        <v>0</v>
      </c>
      <c r="C217" s="155">
        <f>SUMIFS('recurring2_based on steps'!$B217:$AY217,'recurring2_based on steps'!$B$1:$AY$1,C$1)+SUMIFS('changes2_based on steps'!$B217:$U217,'changes2_based on steps'!$B$1:$U$1,C$1)</f>
        <v>0</v>
      </c>
      <c r="D217" s="155">
        <f>SUMIFS('recurring2_based on steps'!$B217:$AY217,'recurring2_based on steps'!$B$1:$AY$1,D$1)+SUMIFS('changes2_based on steps'!$B217:$U217,'changes2_based on steps'!$B$1:$U$1,D$1)</f>
        <v>0</v>
      </c>
      <c r="E217" s="155">
        <f>SUMIFS('recurring2_based on steps'!$B217:$AY217,'recurring2_based on steps'!$B$1:$AY$1,E$1)+SUMIFS('changes2_based on steps'!$B217:$U217,'changes2_based on steps'!$B$1:$U$1,E$1)</f>
        <v>0</v>
      </c>
      <c r="F217" s="155">
        <f>SUMIFS('recurring2_based on steps'!$B217:$AY217,'recurring2_based on steps'!$B$1:$AY$1,F$1)+SUMIFS('changes2_based on steps'!$B217:$U217,'changes2_based on steps'!$B$1:$U$1,F$1)</f>
        <v>0</v>
      </c>
      <c r="G217" s="155">
        <f>SUMIFS('recurring2_based on steps'!$B217:$AY217,'recurring2_based on steps'!$B$1:$AY$1,G$1)+SUMIFS('changes2_based on steps'!$B217:$U217,'changes2_based on steps'!$B$1:$U$1,G$1)</f>
        <v>0</v>
      </c>
      <c r="H217" s="155">
        <f ca="1">SUMIFS('recurring2_based on steps'!$B217:$AY217,'recurring2_based on steps'!$B$1:$AY$1,H$1)+SUMIFS('changes2_based on steps'!$B217:$U217,'changes2_based on steps'!$B$1:$U$1,H$1)</f>
        <v>0</v>
      </c>
      <c r="I217" s="155">
        <f>SUMIFS('recurring2_based on steps'!$B217:$AY217,'recurring2_based on steps'!$B$1:$AY$1,I$1)+SUMIFS('changes2_based on steps'!$B217:$U217,'changes2_based on steps'!$B$1:$U$1,I$1)</f>
        <v>0</v>
      </c>
      <c r="J217" s="155">
        <f>SUMIFS('recurring2_based on steps'!$B217:$AY217,'recurring2_based on steps'!$B$1:$AY$1,J$1)+SUMIFS('changes2_based on steps'!$B217:$U217,'changes2_based on steps'!$B$1:$U$1,J$1)</f>
        <v>0</v>
      </c>
      <c r="K217" s="155">
        <f>SUMIFS('recurring2_based on steps'!$B217:$AY217,'recurring2_based on steps'!$B$1:$AY$1,K$1)+SUMIFS('changes2_based on steps'!$B217:$U217,'changes2_based on steps'!$B$1:$U$1,K$1)</f>
        <v>0</v>
      </c>
      <c r="L217" s="155">
        <f>SUMIFS('recurring2_based on steps'!$B217:$AY217,'recurring2_based on steps'!$B$1:$AY$1,L$1)+SUMIFS('changes2_based on steps'!$B217:$U217,'changes2_based on steps'!$B$1:$U$1,L$1)</f>
        <v>0</v>
      </c>
      <c r="M217" s="155">
        <f ca="1">SUMIFS('recurring2_based on steps'!$B217:$AY217,'recurring2_based on steps'!$B$1:$AY$1,M$1)+SUMIFS('changes2_based on steps'!$B217:$U217,'changes2_based on steps'!$B$1:$U$1,M$1)</f>
        <v>0</v>
      </c>
      <c r="N217" s="155">
        <f ca="1">SUMIFS('recurring2_based on steps'!$B217:$AY217,'recurring2_based on steps'!$B$1:$AY$1,N$1)+SUMIFS('changes2_based on steps'!$B217:$U217,'changes2_based on steps'!$B$1:$U$1,N$1)</f>
        <v>0</v>
      </c>
      <c r="O217" s="155">
        <f ca="1">SUMIFS('recurring2_based on steps'!$B217:$AY217,'recurring2_based on steps'!$B$1:$AY$1,O$1)+SUMIFS('changes2_based on steps'!$B217:$U217,'changes2_based on steps'!$B$1:$U$1,O$1)</f>
        <v>0</v>
      </c>
      <c r="P217" s="155">
        <f ca="1">SUMIFS('recurring2_based on steps'!$B217:$AY217,'recurring2_based on steps'!$B$1:$AY$1,P$1)+SUMIFS('changes2_based on steps'!$B217:$U217,'changes2_based on steps'!$B$1:$U$1,P$1)</f>
        <v>0</v>
      </c>
      <c r="Q217" s="155">
        <f>SUMIFS('recurring2_based on steps'!$B217:$AY217,'recurring2_based on steps'!$B$1:$AY$1,Q$1)+SUMIFS('changes2_based on steps'!$B217:$U217,'changes2_based on steps'!$B$1:$U$1,Q$1)</f>
        <v>0</v>
      </c>
      <c r="R217" s="155">
        <f ca="1">SUMIFS('recurring2_based on steps'!$B217:$AY217,'recurring2_based on steps'!$B$1:$AY$1,R$1)+SUMIFS('changes2_based on steps'!$B217:$U217,'changes2_based on steps'!$B$1:$U$1,R$1)</f>
        <v>0</v>
      </c>
      <c r="S217" s="155">
        <f ca="1">SUMIFS('recurring2_based on steps'!$B217:$AY217,'recurring2_based on steps'!$B$1:$AY$1,S$1)+SUMIFS('changes2_based on steps'!$B217:$U217,'changes2_based on steps'!$B$1:$U$1,S$1)</f>
        <v>0</v>
      </c>
      <c r="T217" s="155">
        <f>SUMIFS('recurring2_based on steps'!$B217:$AY217,'recurring2_based on steps'!$B$1:$AY$1,T$1)+SUMIFS('changes2_based on steps'!$B217:$U217,'changes2_based on steps'!$B$1:$U$1,T$1)</f>
        <v>0</v>
      </c>
      <c r="U217" s="155">
        <f ca="1">SUMIFS('recurring2_based on steps'!$B217:$AY217,'recurring2_based on steps'!$B$1:$AY$1,U$1)+SUMIFS('changes2_based on steps'!$B217:$U217,'changes2_based on steps'!$B$1:$U$1,U$1)</f>
        <v>0</v>
      </c>
      <c r="V217" s="155">
        <f>SUMIFS('recurring2_based on steps'!$B217:$AY217,'recurring2_based on steps'!$B$1:$AY$1,V$1)+SUMIFS('changes2_based on steps'!$B217:$U217,'changes2_based on steps'!$B$1:$U$1,V$1)</f>
        <v>0</v>
      </c>
      <c r="W217" s="155">
        <f ca="1">SUMIFS('recurring2_based on steps'!$B217:$AY217,'recurring2_based on steps'!$B$1:$AY$1,W$1)+SUMIFS('changes2_based on steps'!$B217:$U217,'changes2_based on steps'!$B$1:$U$1,W$1)</f>
        <v>0</v>
      </c>
      <c r="X217" s="155">
        <f ca="1">SUMIFS('recurring2_based on steps'!$B217:$AY217,'recurring2_based on steps'!$B$1:$AY$1,X$1)+SUMIFS('changes2_based on steps'!$B217:$U217,'changes2_based on steps'!$B$1:$U$1,X$1)</f>
        <v>0</v>
      </c>
      <c r="Y217" s="155">
        <f ca="1">SUMIFS('recurring2_based on steps'!$B217:$AY217,'recurring2_based on steps'!$B$1:$AY$1,Y$1)+SUMIFS('changes2_based on steps'!$B217:$U217,'changes2_based on steps'!$B$1:$U$1,Y$1)</f>
        <v>0</v>
      </c>
      <c r="Z217" s="155">
        <f>SUMIFS('recurring2_based on steps'!$B217:$AY217,'recurring2_based on steps'!$B$1:$AY$1,Z$1)+SUMIFS('changes2_based on steps'!$B217:$U217,'changes2_based on steps'!$B$1:$U$1,Z$1)</f>
        <v>0</v>
      </c>
      <c r="AA217" s="155">
        <f>SUMIFS('recurring2_based on steps'!$B217:$AY217,'recurring2_based on steps'!$B$1:$AY$1,AA$1)+SUMIFS('changes2_based on steps'!$B217:$U217,'changes2_based on steps'!$B$1:$U$1,AA$1)</f>
        <v>0</v>
      </c>
    </row>
    <row r="218" spans="1:27" x14ac:dyDescent="0.2">
      <c r="A218" s="18">
        <f t="shared" ca="1" si="3"/>
        <v>45904</v>
      </c>
      <c r="B218" s="155">
        <f ca="1">SUMIFS('recurring2_based on steps'!$B218:$AY218,'recurring2_based on steps'!$B$1:$AY$1,B$1)+SUMIFS('changes2_based on steps'!$B218:$U218,'changes2_based on steps'!$B$1:$U$1,B$1)</f>
        <v>0</v>
      </c>
      <c r="C218" s="155">
        <f>SUMIFS('recurring2_based on steps'!$B218:$AY218,'recurring2_based on steps'!$B$1:$AY$1,C$1)+SUMIFS('changes2_based on steps'!$B218:$U218,'changes2_based on steps'!$B$1:$U$1,C$1)</f>
        <v>0</v>
      </c>
      <c r="D218" s="155">
        <f>SUMIFS('recurring2_based on steps'!$B218:$AY218,'recurring2_based on steps'!$B$1:$AY$1,D$1)+SUMIFS('changes2_based on steps'!$B218:$U218,'changes2_based on steps'!$B$1:$U$1,D$1)</f>
        <v>0</v>
      </c>
      <c r="E218" s="155">
        <f>SUMIFS('recurring2_based on steps'!$B218:$AY218,'recurring2_based on steps'!$B$1:$AY$1,E$1)+SUMIFS('changes2_based on steps'!$B218:$U218,'changes2_based on steps'!$B$1:$U$1,E$1)</f>
        <v>0</v>
      </c>
      <c r="F218" s="155">
        <f>SUMIFS('recurring2_based on steps'!$B218:$AY218,'recurring2_based on steps'!$B$1:$AY$1,F$1)+SUMIFS('changes2_based on steps'!$B218:$U218,'changes2_based on steps'!$B$1:$U$1,F$1)</f>
        <v>0</v>
      </c>
      <c r="G218" s="155">
        <f>SUMIFS('recurring2_based on steps'!$B218:$AY218,'recurring2_based on steps'!$B$1:$AY$1,G$1)+SUMIFS('changes2_based on steps'!$B218:$U218,'changes2_based on steps'!$B$1:$U$1,G$1)</f>
        <v>0</v>
      </c>
      <c r="H218" s="155">
        <f ca="1">SUMIFS('recurring2_based on steps'!$B218:$AY218,'recurring2_based on steps'!$B$1:$AY$1,H$1)+SUMIFS('changes2_based on steps'!$B218:$U218,'changes2_based on steps'!$B$1:$U$1,H$1)</f>
        <v>0</v>
      </c>
      <c r="I218" s="155">
        <f>SUMIFS('recurring2_based on steps'!$B218:$AY218,'recurring2_based on steps'!$B$1:$AY$1,I$1)+SUMIFS('changes2_based on steps'!$B218:$U218,'changes2_based on steps'!$B$1:$U$1,I$1)</f>
        <v>0</v>
      </c>
      <c r="J218" s="155">
        <f>SUMIFS('recurring2_based on steps'!$B218:$AY218,'recurring2_based on steps'!$B$1:$AY$1,J$1)+SUMIFS('changes2_based on steps'!$B218:$U218,'changes2_based on steps'!$B$1:$U$1,J$1)</f>
        <v>0</v>
      </c>
      <c r="K218" s="155">
        <f>SUMIFS('recurring2_based on steps'!$B218:$AY218,'recurring2_based on steps'!$B$1:$AY$1,K$1)+SUMIFS('changes2_based on steps'!$B218:$U218,'changes2_based on steps'!$B$1:$U$1,K$1)</f>
        <v>0</v>
      </c>
      <c r="L218" s="155">
        <f>SUMIFS('recurring2_based on steps'!$B218:$AY218,'recurring2_based on steps'!$B$1:$AY$1,L$1)+SUMIFS('changes2_based on steps'!$B218:$U218,'changes2_based on steps'!$B$1:$U$1,L$1)</f>
        <v>0</v>
      </c>
      <c r="M218" s="155">
        <f ca="1">SUMIFS('recurring2_based on steps'!$B218:$AY218,'recurring2_based on steps'!$B$1:$AY$1,M$1)+SUMIFS('changes2_based on steps'!$B218:$U218,'changes2_based on steps'!$B$1:$U$1,M$1)</f>
        <v>0</v>
      </c>
      <c r="N218" s="155">
        <f ca="1">SUMIFS('recurring2_based on steps'!$B218:$AY218,'recurring2_based on steps'!$B$1:$AY$1,N$1)+SUMIFS('changes2_based on steps'!$B218:$U218,'changes2_based on steps'!$B$1:$U$1,N$1)</f>
        <v>0</v>
      </c>
      <c r="O218" s="155">
        <f ca="1">SUMIFS('recurring2_based on steps'!$B218:$AY218,'recurring2_based on steps'!$B$1:$AY$1,O$1)+SUMIFS('changes2_based on steps'!$B218:$U218,'changes2_based on steps'!$B$1:$U$1,O$1)</f>
        <v>0</v>
      </c>
      <c r="P218" s="155">
        <f ca="1">SUMIFS('recurring2_based on steps'!$B218:$AY218,'recurring2_based on steps'!$B$1:$AY$1,P$1)+SUMIFS('changes2_based on steps'!$B218:$U218,'changes2_based on steps'!$B$1:$U$1,P$1)</f>
        <v>0</v>
      </c>
      <c r="Q218" s="155">
        <f>SUMIFS('recurring2_based on steps'!$B218:$AY218,'recurring2_based on steps'!$B$1:$AY$1,Q$1)+SUMIFS('changes2_based on steps'!$B218:$U218,'changes2_based on steps'!$B$1:$U$1,Q$1)</f>
        <v>0</v>
      </c>
      <c r="R218" s="155">
        <f ca="1">SUMIFS('recurring2_based on steps'!$B218:$AY218,'recurring2_based on steps'!$B$1:$AY$1,R$1)+SUMIFS('changes2_based on steps'!$B218:$U218,'changes2_based on steps'!$B$1:$U$1,R$1)</f>
        <v>0</v>
      </c>
      <c r="S218" s="155">
        <f ca="1">SUMIFS('recurring2_based on steps'!$B218:$AY218,'recurring2_based on steps'!$B$1:$AY$1,S$1)+SUMIFS('changes2_based on steps'!$B218:$U218,'changes2_based on steps'!$B$1:$U$1,S$1)</f>
        <v>0</v>
      </c>
      <c r="T218" s="155">
        <f>SUMIFS('recurring2_based on steps'!$B218:$AY218,'recurring2_based on steps'!$B$1:$AY$1,T$1)+SUMIFS('changes2_based on steps'!$B218:$U218,'changes2_based on steps'!$B$1:$U$1,T$1)</f>
        <v>0</v>
      </c>
      <c r="U218" s="155">
        <f ca="1">SUMIFS('recurring2_based on steps'!$B218:$AY218,'recurring2_based on steps'!$B$1:$AY$1,U$1)+SUMIFS('changes2_based on steps'!$B218:$U218,'changes2_based on steps'!$B$1:$U$1,U$1)</f>
        <v>15</v>
      </c>
      <c r="V218" s="155">
        <f>SUMIFS('recurring2_based on steps'!$B218:$AY218,'recurring2_based on steps'!$B$1:$AY$1,V$1)+SUMIFS('changes2_based on steps'!$B218:$U218,'changes2_based on steps'!$B$1:$U$1,V$1)</f>
        <v>0</v>
      </c>
      <c r="W218" s="155">
        <f ca="1">SUMIFS('recurring2_based on steps'!$B218:$AY218,'recurring2_based on steps'!$B$1:$AY$1,W$1)+SUMIFS('changes2_based on steps'!$B218:$U218,'changes2_based on steps'!$B$1:$U$1,W$1)</f>
        <v>0</v>
      </c>
      <c r="X218" s="155">
        <f ca="1">SUMIFS('recurring2_based on steps'!$B218:$AY218,'recurring2_based on steps'!$B$1:$AY$1,X$1)+SUMIFS('changes2_based on steps'!$B218:$U218,'changes2_based on steps'!$B$1:$U$1,X$1)</f>
        <v>0</v>
      </c>
      <c r="Y218" s="155">
        <f ca="1">SUMIFS('recurring2_based on steps'!$B218:$AY218,'recurring2_based on steps'!$B$1:$AY$1,Y$1)+SUMIFS('changes2_based on steps'!$B218:$U218,'changes2_based on steps'!$B$1:$U$1,Y$1)</f>
        <v>0</v>
      </c>
      <c r="Z218" s="155">
        <f>SUMIFS('recurring2_based on steps'!$B218:$AY218,'recurring2_based on steps'!$B$1:$AY$1,Z$1)+SUMIFS('changes2_based on steps'!$B218:$U218,'changes2_based on steps'!$B$1:$U$1,Z$1)</f>
        <v>0</v>
      </c>
      <c r="AA218" s="155">
        <f>SUMIFS('recurring2_based on steps'!$B218:$AY218,'recurring2_based on steps'!$B$1:$AY$1,AA$1)+SUMIFS('changes2_based on steps'!$B218:$U218,'changes2_based on steps'!$B$1:$U$1,AA$1)</f>
        <v>0</v>
      </c>
    </row>
    <row r="219" spans="1:27" x14ac:dyDescent="0.2">
      <c r="A219" s="18">
        <f t="shared" ca="1" si="3"/>
        <v>45905</v>
      </c>
      <c r="B219" s="155">
        <f ca="1">SUMIFS('recurring2_based on steps'!$B219:$AY219,'recurring2_based on steps'!$B$1:$AY$1,B$1)+SUMIFS('changes2_based on steps'!$B219:$U219,'changes2_based on steps'!$B$1:$U$1,B$1)</f>
        <v>4000</v>
      </c>
      <c r="C219" s="155">
        <f>SUMIFS('recurring2_based on steps'!$B219:$AY219,'recurring2_based on steps'!$B$1:$AY$1,C$1)+SUMIFS('changes2_based on steps'!$B219:$U219,'changes2_based on steps'!$B$1:$U$1,C$1)</f>
        <v>0</v>
      </c>
      <c r="D219" s="155">
        <f>SUMIFS('recurring2_based on steps'!$B219:$AY219,'recurring2_based on steps'!$B$1:$AY$1,D$1)+SUMIFS('changes2_based on steps'!$B219:$U219,'changes2_based on steps'!$B$1:$U$1,D$1)</f>
        <v>0</v>
      </c>
      <c r="E219" s="155">
        <f>SUMIFS('recurring2_based on steps'!$B219:$AY219,'recurring2_based on steps'!$B$1:$AY$1,E$1)+SUMIFS('changes2_based on steps'!$B219:$U219,'changes2_based on steps'!$B$1:$U$1,E$1)</f>
        <v>0</v>
      </c>
      <c r="F219" s="155">
        <f>SUMIFS('recurring2_based on steps'!$B219:$AY219,'recurring2_based on steps'!$B$1:$AY$1,F$1)+SUMIFS('changes2_based on steps'!$B219:$U219,'changes2_based on steps'!$B$1:$U$1,F$1)</f>
        <v>0</v>
      </c>
      <c r="G219" s="155">
        <f>SUMIFS('recurring2_based on steps'!$B219:$AY219,'recurring2_based on steps'!$B$1:$AY$1,G$1)+SUMIFS('changes2_based on steps'!$B219:$U219,'changes2_based on steps'!$B$1:$U$1,G$1)</f>
        <v>0</v>
      </c>
      <c r="H219" s="155">
        <f ca="1">SUMIFS('recurring2_based on steps'!$B219:$AY219,'recurring2_based on steps'!$B$1:$AY$1,H$1)+SUMIFS('changes2_based on steps'!$B219:$U219,'changes2_based on steps'!$B$1:$U$1,H$1)</f>
        <v>96</v>
      </c>
      <c r="I219" s="155">
        <f>SUMIFS('recurring2_based on steps'!$B219:$AY219,'recurring2_based on steps'!$B$1:$AY$1,I$1)+SUMIFS('changes2_based on steps'!$B219:$U219,'changes2_based on steps'!$B$1:$U$1,I$1)</f>
        <v>0</v>
      </c>
      <c r="J219" s="155">
        <f>SUMIFS('recurring2_based on steps'!$B219:$AY219,'recurring2_based on steps'!$B$1:$AY$1,J$1)+SUMIFS('changes2_based on steps'!$B219:$U219,'changes2_based on steps'!$B$1:$U$1,J$1)</f>
        <v>0</v>
      </c>
      <c r="K219" s="155">
        <f>SUMIFS('recurring2_based on steps'!$B219:$AY219,'recurring2_based on steps'!$B$1:$AY$1,K$1)+SUMIFS('changes2_based on steps'!$B219:$U219,'changes2_based on steps'!$B$1:$U$1,K$1)</f>
        <v>0</v>
      </c>
      <c r="L219" s="155">
        <f>SUMIFS('recurring2_based on steps'!$B219:$AY219,'recurring2_based on steps'!$B$1:$AY$1,L$1)+SUMIFS('changes2_based on steps'!$B219:$U219,'changes2_based on steps'!$B$1:$U$1,L$1)</f>
        <v>0</v>
      </c>
      <c r="M219" s="155">
        <f ca="1">SUMIFS('recurring2_based on steps'!$B219:$AY219,'recurring2_based on steps'!$B$1:$AY$1,M$1)+SUMIFS('changes2_based on steps'!$B219:$U219,'changes2_based on steps'!$B$1:$U$1,M$1)</f>
        <v>0</v>
      </c>
      <c r="N219" s="155">
        <f ca="1">SUMIFS('recurring2_based on steps'!$B219:$AY219,'recurring2_based on steps'!$B$1:$AY$1,N$1)+SUMIFS('changes2_based on steps'!$B219:$U219,'changes2_based on steps'!$B$1:$U$1,N$1)</f>
        <v>0</v>
      </c>
      <c r="O219" s="155">
        <f ca="1">SUMIFS('recurring2_based on steps'!$B219:$AY219,'recurring2_based on steps'!$B$1:$AY$1,O$1)+SUMIFS('changes2_based on steps'!$B219:$U219,'changes2_based on steps'!$B$1:$U$1,O$1)</f>
        <v>0</v>
      </c>
      <c r="P219" s="155">
        <f ca="1">SUMIFS('recurring2_based on steps'!$B219:$AY219,'recurring2_based on steps'!$B$1:$AY$1,P$1)+SUMIFS('changes2_based on steps'!$B219:$U219,'changes2_based on steps'!$B$1:$U$1,P$1)</f>
        <v>0</v>
      </c>
      <c r="Q219" s="155">
        <f>SUMIFS('recurring2_based on steps'!$B219:$AY219,'recurring2_based on steps'!$B$1:$AY$1,Q$1)+SUMIFS('changes2_based on steps'!$B219:$U219,'changes2_based on steps'!$B$1:$U$1,Q$1)</f>
        <v>0</v>
      </c>
      <c r="R219" s="155">
        <f ca="1">SUMIFS('recurring2_based on steps'!$B219:$AY219,'recurring2_based on steps'!$B$1:$AY$1,R$1)+SUMIFS('changes2_based on steps'!$B219:$U219,'changes2_based on steps'!$B$1:$U$1,R$1)</f>
        <v>0</v>
      </c>
      <c r="S219" s="155">
        <f ca="1">SUMIFS('recurring2_based on steps'!$B219:$AY219,'recurring2_based on steps'!$B$1:$AY$1,S$1)+SUMIFS('changes2_based on steps'!$B219:$U219,'changes2_based on steps'!$B$1:$U$1,S$1)</f>
        <v>0</v>
      </c>
      <c r="T219" s="155">
        <f>SUMIFS('recurring2_based on steps'!$B219:$AY219,'recurring2_based on steps'!$B$1:$AY$1,T$1)+SUMIFS('changes2_based on steps'!$B219:$U219,'changes2_based on steps'!$B$1:$U$1,T$1)</f>
        <v>0</v>
      </c>
      <c r="U219" s="155">
        <f ca="1">SUMIFS('recurring2_based on steps'!$B219:$AY219,'recurring2_based on steps'!$B$1:$AY$1,U$1)+SUMIFS('changes2_based on steps'!$B219:$U219,'changes2_based on steps'!$B$1:$U$1,U$1)</f>
        <v>0</v>
      </c>
      <c r="V219" s="155">
        <f>SUMIFS('recurring2_based on steps'!$B219:$AY219,'recurring2_based on steps'!$B$1:$AY$1,V$1)+SUMIFS('changes2_based on steps'!$B219:$U219,'changes2_based on steps'!$B$1:$U$1,V$1)</f>
        <v>0</v>
      </c>
      <c r="W219" s="155">
        <f ca="1">SUMIFS('recurring2_based on steps'!$B219:$AY219,'recurring2_based on steps'!$B$1:$AY$1,W$1)+SUMIFS('changes2_based on steps'!$B219:$U219,'changes2_based on steps'!$B$1:$U$1,W$1)</f>
        <v>50</v>
      </c>
      <c r="X219" s="155">
        <f ca="1">SUMIFS('recurring2_based on steps'!$B219:$AY219,'recurring2_based on steps'!$B$1:$AY$1,X$1)+SUMIFS('changes2_based on steps'!$B219:$U219,'changes2_based on steps'!$B$1:$U$1,X$1)</f>
        <v>200</v>
      </c>
      <c r="Y219" s="155">
        <f ca="1">SUMIFS('recurring2_based on steps'!$B219:$AY219,'recurring2_based on steps'!$B$1:$AY$1,Y$1)+SUMIFS('changes2_based on steps'!$B219:$U219,'changes2_based on steps'!$B$1:$U$1,Y$1)</f>
        <v>0</v>
      </c>
      <c r="Z219" s="155">
        <f>SUMIFS('recurring2_based on steps'!$B219:$AY219,'recurring2_based on steps'!$B$1:$AY$1,Z$1)+SUMIFS('changes2_based on steps'!$B219:$U219,'changes2_based on steps'!$B$1:$U$1,Z$1)</f>
        <v>0</v>
      </c>
      <c r="AA219" s="155">
        <f>SUMIFS('recurring2_based on steps'!$B219:$AY219,'recurring2_based on steps'!$B$1:$AY$1,AA$1)+SUMIFS('changes2_based on steps'!$B219:$U219,'changes2_based on steps'!$B$1:$U$1,AA$1)</f>
        <v>0</v>
      </c>
    </row>
    <row r="220" spans="1:27" x14ac:dyDescent="0.2">
      <c r="A220" s="18">
        <f t="shared" ca="1" si="3"/>
        <v>45906</v>
      </c>
      <c r="B220" s="155">
        <f ca="1">SUMIFS('recurring2_based on steps'!$B220:$AY220,'recurring2_based on steps'!$B$1:$AY$1,B$1)+SUMIFS('changes2_based on steps'!$B220:$U220,'changes2_based on steps'!$B$1:$U$1,B$1)</f>
        <v>0</v>
      </c>
      <c r="C220" s="155">
        <f>SUMIFS('recurring2_based on steps'!$B220:$AY220,'recurring2_based on steps'!$B$1:$AY$1,C$1)+SUMIFS('changes2_based on steps'!$B220:$U220,'changes2_based on steps'!$B$1:$U$1,C$1)</f>
        <v>0</v>
      </c>
      <c r="D220" s="155">
        <f>SUMIFS('recurring2_based on steps'!$B220:$AY220,'recurring2_based on steps'!$B$1:$AY$1,D$1)+SUMIFS('changes2_based on steps'!$B220:$U220,'changes2_based on steps'!$B$1:$U$1,D$1)</f>
        <v>0</v>
      </c>
      <c r="E220" s="155">
        <f>SUMIFS('recurring2_based on steps'!$B220:$AY220,'recurring2_based on steps'!$B$1:$AY$1,E$1)+SUMIFS('changes2_based on steps'!$B220:$U220,'changes2_based on steps'!$B$1:$U$1,E$1)</f>
        <v>0</v>
      </c>
      <c r="F220" s="155">
        <f>SUMIFS('recurring2_based on steps'!$B220:$AY220,'recurring2_based on steps'!$B$1:$AY$1,F$1)+SUMIFS('changes2_based on steps'!$B220:$U220,'changes2_based on steps'!$B$1:$U$1,F$1)</f>
        <v>0</v>
      </c>
      <c r="G220" s="155">
        <f>SUMIFS('recurring2_based on steps'!$B220:$AY220,'recurring2_based on steps'!$B$1:$AY$1,G$1)+SUMIFS('changes2_based on steps'!$B220:$U220,'changes2_based on steps'!$B$1:$U$1,G$1)</f>
        <v>0</v>
      </c>
      <c r="H220" s="155">
        <f ca="1">SUMIFS('recurring2_based on steps'!$B220:$AY220,'recurring2_based on steps'!$B$1:$AY$1,H$1)+SUMIFS('changes2_based on steps'!$B220:$U220,'changes2_based on steps'!$B$1:$U$1,H$1)</f>
        <v>0</v>
      </c>
      <c r="I220" s="155">
        <f>SUMIFS('recurring2_based on steps'!$B220:$AY220,'recurring2_based on steps'!$B$1:$AY$1,I$1)+SUMIFS('changes2_based on steps'!$B220:$U220,'changes2_based on steps'!$B$1:$U$1,I$1)</f>
        <v>0</v>
      </c>
      <c r="J220" s="155">
        <f>SUMIFS('recurring2_based on steps'!$B220:$AY220,'recurring2_based on steps'!$B$1:$AY$1,J$1)+SUMIFS('changes2_based on steps'!$B220:$U220,'changes2_based on steps'!$B$1:$U$1,J$1)</f>
        <v>0</v>
      </c>
      <c r="K220" s="155">
        <f>SUMIFS('recurring2_based on steps'!$B220:$AY220,'recurring2_based on steps'!$B$1:$AY$1,K$1)+SUMIFS('changes2_based on steps'!$B220:$U220,'changes2_based on steps'!$B$1:$U$1,K$1)</f>
        <v>0</v>
      </c>
      <c r="L220" s="155">
        <f>SUMIFS('recurring2_based on steps'!$B220:$AY220,'recurring2_based on steps'!$B$1:$AY$1,L$1)+SUMIFS('changes2_based on steps'!$B220:$U220,'changes2_based on steps'!$B$1:$U$1,L$1)</f>
        <v>0</v>
      </c>
      <c r="M220" s="155">
        <f ca="1">SUMIFS('recurring2_based on steps'!$B220:$AY220,'recurring2_based on steps'!$B$1:$AY$1,M$1)+SUMIFS('changes2_based on steps'!$B220:$U220,'changes2_based on steps'!$B$1:$U$1,M$1)</f>
        <v>0</v>
      </c>
      <c r="N220" s="155">
        <f ca="1">SUMIFS('recurring2_based on steps'!$B220:$AY220,'recurring2_based on steps'!$B$1:$AY$1,N$1)+SUMIFS('changes2_based on steps'!$B220:$U220,'changes2_based on steps'!$B$1:$U$1,N$1)</f>
        <v>0</v>
      </c>
      <c r="O220" s="155">
        <f ca="1">SUMIFS('recurring2_based on steps'!$B220:$AY220,'recurring2_based on steps'!$B$1:$AY$1,O$1)+SUMIFS('changes2_based on steps'!$B220:$U220,'changes2_based on steps'!$B$1:$U$1,O$1)</f>
        <v>0</v>
      </c>
      <c r="P220" s="155">
        <f ca="1">SUMIFS('recurring2_based on steps'!$B220:$AY220,'recurring2_based on steps'!$B$1:$AY$1,P$1)+SUMIFS('changes2_based on steps'!$B220:$U220,'changes2_based on steps'!$B$1:$U$1,P$1)</f>
        <v>0</v>
      </c>
      <c r="Q220" s="155">
        <f>SUMIFS('recurring2_based on steps'!$B220:$AY220,'recurring2_based on steps'!$B$1:$AY$1,Q$1)+SUMIFS('changes2_based on steps'!$B220:$U220,'changes2_based on steps'!$B$1:$U$1,Q$1)</f>
        <v>0</v>
      </c>
      <c r="R220" s="155">
        <f ca="1">SUMIFS('recurring2_based on steps'!$B220:$AY220,'recurring2_based on steps'!$B$1:$AY$1,R$1)+SUMIFS('changes2_based on steps'!$B220:$U220,'changes2_based on steps'!$B$1:$U$1,R$1)</f>
        <v>100</v>
      </c>
      <c r="S220" s="155">
        <f ca="1">SUMIFS('recurring2_based on steps'!$B220:$AY220,'recurring2_based on steps'!$B$1:$AY$1,S$1)+SUMIFS('changes2_based on steps'!$B220:$U220,'changes2_based on steps'!$B$1:$U$1,S$1)</f>
        <v>100</v>
      </c>
      <c r="T220" s="155">
        <f>SUMIFS('recurring2_based on steps'!$B220:$AY220,'recurring2_based on steps'!$B$1:$AY$1,T$1)+SUMIFS('changes2_based on steps'!$B220:$U220,'changes2_based on steps'!$B$1:$U$1,T$1)</f>
        <v>0</v>
      </c>
      <c r="U220" s="155">
        <f ca="1">SUMIFS('recurring2_based on steps'!$B220:$AY220,'recurring2_based on steps'!$B$1:$AY$1,U$1)+SUMIFS('changes2_based on steps'!$B220:$U220,'changes2_based on steps'!$B$1:$U$1,U$1)</f>
        <v>0</v>
      </c>
      <c r="V220" s="155">
        <f>SUMIFS('recurring2_based on steps'!$B220:$AY220,'recurring2_based on steps'!$B$1:$AY$1,V$1)+SUMIFS('changes2_based on steps'!$B220:$U220,'changes2_based on steps'!$B$1:$U$1,V$1)</f>
        <v>0</v>
      </c>
      <c r="W220" s="155">
        <f ca="1">SUMIFS('recurring2_based on steps'!$B220:$AY220,'recurring2_based on steps'!$B$1:$AY$1,W$1)+SUMIFS('changes2_based on steps'!$B220:$U220,'changes2_based on steps'!$B$1:$U$1,W$1)</f>
        <v>0</v>
      </c>
      <c r="X220" s="155">
        <f ca="1">SUMIFS('recurring2_based on steps'!$B220:$AY220,'recurring2_based on steps'!$B$1:$AY$1,X$1)+SUMIFS('changes2_based on steps'!$B220:$U220,'changes2_based on steps'!$B$1:$U$1,X$1)</f>
        <v>0</v>
      </c>
      <c r="Y220" s="155">
        <f ca="1">SUMIFS('recurring2_based on steps'!$B220:$AY220,'recurring2_based on steps'!$B$1:$AY$1,Y$1)+SUMIFS('changes2_based on steps'!$B220:$U220,'changes2_based on steps'!$B$1:$U$1,Y$1)</f>
        <v>0</v>
      </c>
      <c r="Z220" s="155">
        <f>SUMIFS('recurring2_based on steps'!$B220:$AY220,'recurring2_based on steps'!$B$1:$AY$1,Z$1)+SUMIFS('changes2_based on steps'!$B220:$U220,'changes2_based on steps'!$B$1:$U$1,Z$1)</f>
        <v>0</v>
      </c>
      <c r="AA220" s="155">
        <f>SUMIFS('recurring2_based on steps'!$B220:$AY220,'recurring2_based on steps'!$B$1:$AY$1,AA$1)+SUMIFS('changes2_based on steps'!$B220:$U220,'changes2_based on steps'!$B$1:$U$1,AA$1)</f>
        <v>0</v>
      </c>
    </row>
    <row r="221" spans="1:27" x14ac:dyDescent="0.2">
      <c r="A221" s="18">
        <f t="shared" ca="1" si="3"/>
        <v>45907</v>
      </c>
      <c r="B221" s="155">
        <f ca="1">SUMIFS('recurring2_based on steps'!$B221:$AY221,'recurring2_based on steps'!$B$1:$AY$1,B$1)+SUMIFS('changes2_based on steps'!$B221:$U221,'changes2_based on steps'!$B$1:$U$1,B$1)</f>
        <v>0</v>
      </c>
      <c r="C221" s="155">
        <f>SUMIFS('recurring2_based on steps'!$B221:$AY221,'recurring2_based on steps'!$B$1:$AY$1,C$1)+SUMIFS('changes2_based on steps'!$B221:$U221,'changes2_based on steps'!$B$1:$U$1,C$1)</f>
        <v>0</v>
      </c>
      <c r="D221" s="155">
        <f>SUMIFS('recurring2_based on steps'!$B221:$AY221,'recurring2_based on steps'!$B$1:$AY$1,D$1)+SUMIFS('changes2_based on steps'!$B221:$U221,'changes2_based on steps'!$B$1:$U$1,D$1)</f>
        <v>0</v>
      </c>
      <c r="E221" s="155">
        <f>SUMIFS('recurring2_based on steps'!$B221:$AY221,'recurring2_based on steps'!$B$1:$AY$1,E$1)+SUMIFS('changes2_based on steps'!$B221:$U221,'changes2_based on steps'!$B$1:$U$1,E$1)</f>
        <v>0</v>
      </c>
      <c r="F221" s="155">
        <f>SUMIFS('recurring2_based on steps'!$B221:$AY221,'recurring2_based on steps'!$B$1:$AY$1,F$1)+SUMIFS('changes2_based on steps'!$B221:$U221,'changes2_based on steps'!$B$1:$U$1,F$1)</f>
        <v>0</v>
      </c>
      <c r="G221" s="155">
        <f>SUMIFS('recurring2_based on steps'!$B221:$AY221,'recurring2_based on steps'!$B$1:$AY$1,G$1)+SUMIFS('changes2_based on steps'!$B221:$U221,'changes2_based on steps'!$B$1:$U$1,G$1)</f>
        <v>0</v>
      </c>
      <c r="H221" s="155">
        <f ca="1">SUMIFS('recurring2_based on steps'!$B221:$AY221,'recurring2_based on steps'!$B$1:$AY$1,H$1)+SUMIFS('changes2_based on steps'!$B221:$U221,'changes2_based on steps'!$B$1:$U$1,H$1)</f>
        <v>0</v>
      </c>
      <c r="I221" s="155">
        <f>SUMIFS('recurring2_based on steps'!$B221:$AY221,'recurring2_based on steps'!$B$1:$AY$1,I$1)+SUMIFS('changes2_based on steps'!$B221:$U221,'changes2_based on steps'!$B$1:$U$1,I$1)</f>
        <v>0</v>
      </c>
      <c r="J221" s="155">
        <f>SUMIFS('recurring2_based on steps'!$B221:$AY221,'recurring2_based on steps'!$B$1:$AY$1,J$1)+SUMIFS('changes2_based on steps'!$B221:$U221,'changes2_based on steps'!$B$1:$U$1,J$1)</f>
        <v>0</v>
      </c>
      <c r="K221" s="155">
        <f>SUMIFS('recurring2_based on steps'!$B221:$AY221,'recurring2_based on steps'!$B$1:$AY$1,K$1)+SUMIFS('changes2_based on steps'!$B221:$U221,'changes2_based on steps'!$B$1:$U$1,K$1)</f>
        <v>0</v>
      </c>
      <c r="L221" s="155">
        <f>SUMIFS('recurring2_based on steps'!$B221:$AY221,'recurring2_based on steps'!$B$1:$AY$1,L$1)+SUMIFS('changes2_based on steps'!$B221:$U221,'changes2_based on steps'!$B$1:$U$1,L$1)</f>
        <v>0</v>
      </c>
      <c r="M221" s="155">
        <f ca="1">SUMIFS('recurring2_based on steps'!$B221:$AY221,'recurring2_based on steps'!$B$1:$AY$1,M$1)+SUMIFS('changes2_based on steps'!$B221:$U221,'changes2_based on steps'!$B$1:$U$1,M$1)</f>
        <v>0</v>
      </c>
      <c r="N221" s="155">
        <f ca="1">SUMIFS('recurring2_based on steps'!$B221:$AY221,'recurring2_based on steps'!$B$1:$AY$1,N$1)+SUMIFS('changes2_based on steps'!$B221:$U221,'changes2_based on steps'!$B$1:$U$1,N$1)</f>
        <v>50</v>
      </c>
      <c r="O221" s="155">
        <f ca="1">SUMIFS('recurring2_based on steps'!$B221:$AY221,'recurring2_based on steps'!$B$1:$AY$1,O$1)+SUMIFS('changes2_based on steps'!$B221:$U221,'changes2_based on steps'!$B$1:$U$1,O$1)</f>
        <v>0</v>
      </c>
      <c r="P221" s="155">
        <f ca="1">SUMIFS('recurring2_based on steps'!$B221:$AY221,'recurring2_based on steps'!$B$1:$AY$1,P$1)+SUMIFS('changes2_based on steps'!$B221:$U221,'changes2_based on steps'!$B$1:$U$1,P$1)</f>
        <v>0</v>
      </c>
      <c r="Q221" s="155">
        <f>SUMIFS('recurring2_based on steps'!$B221:$AY221,'recurring2_based on steps'!$B$1:$AY$1,Q$1)+SUMIFS('changes2_based on steps'!$B221:$U221,'changes2_based on steps'!$B$1:$U$1,Q$1)</f>
        <v>0</v>
      </c>
      <c r="R221" s="155">
        <f ca="1">SUMIFS('recurring2_based on steps'!$B221:$AY221,'recurring2_based on steps'!$B$1:$AY$1,R$1)+SUMIFS('changes2_based on steps'!$B221:$U221,'changes2_based on steps'!$B$1:$U$1,R$1)</f>
        <v>0</v>
      </c>
      <c r="S221" s="155">
        <f ca="1">SUMIFS('recurring2_based on steps'!$B221:$AY221,'recurring2_based on steps'!$B$1:$AY$1,S$1)+SUMIFS('changes2_based on steps'!$B221:$U221,'changes2_based on steps'!$B$1:$U$1,S$1)</f>
        <v>100</v>
      </c>
      <c r="T221" s="155">
        <f>SUMIFS('recurring2_based on steps'!$B221:$AY221,'recurring2_based on steps'!$B$1:$AY$1,T$1)+SUMIFS('changes2_based on steps'!$B221:$U221,'changes2_based on steps'!$B$1:$U$1,T$1)</f>
        <v>0</v>
      </c>
      <c r="U221" s="155">
        <f ca="1">SUMIFS('recurring2_based on steps'!$B221:$AY221,'recurring2_based on steps'!$B$1:$AY$1,U$1)+SUMIFS('changes2_based on steps'!$B221:$U221,'changes2_based on steps'!$B$1:$U$1,U$1)</f>
        <v>0</v>
      </c>
      <c r="V221" s="155">
        <f>SUMIFS('recurring2_based on steps'!$B221:$AY221,'recurring2_based on steps'!$B$1:$AY$1,V$1)+SUMIFS('changes2_based on steps'!$B221:$U221,'changes2_based on steps'!$B$1:$U$1,V$1)</f>
        <v>0</v>
      </c>
      <c r="W221" s="155">
        <f ca="1">SUMIFS('recurring2_based on steps'!$B221:$AY221,'recurring2_based on steps'!$B$1:$AY$1,W$1)+SUMIFS('changes2_based on steps'!$B221:$U221,'changes2_based on steps'!$B$1:$U$1,W$1)</f>
        <v>0</v>
      </c>
      <c r="X221" s="155">
        <f ca="1">SUMIFS('recurring2_based on steps'!$B221:$AY221,'recurring2_based on steps'!$B$1:$AY$1,X$1)+SUMIFS('changes2_based on steps'!$B221:$U221,'changes2_based on steps'!$B$1:$U$1,X$1)</f>
        <v>0</v>
      </c>
      <c r="Y221" s="155">
        <f ca="1">SUMIFS('recurring2_based on steps'!$B221:$AY221,'recurring2_based on steps'!$B$1:$AY$1,Y$1)+SUMIFS('changes2_based on steps'!$B221:$U221,'changes2_based on steps'!$B$1:$U$1,Y$1)</f>
        <v>0</v>
      </c>
      <c r="Z221" s="155">
        <f>SUMIFS('recurring2_based on steps'!$B221:$AY221,'recurring2_based on steps'!$B$1:$AY$1,Z$1)+SUMIFS('changes2_based on steps'!$B221:$U221,'changes2_based on steps'!$B$1:$U$1,Z$1)</f>
        <v>0</v>
      </c>
      <c r="AA221" s="155">
        <f>SUMIFS('recurring2_based on steps'!$B221:$AY221,'recurring2_based on steps'!$B$1:$AY$1,AA$1)+SUMIFS('changes2_based on steps'!$B221:$U221,'changes2_based on steps'!$B$1:$U$1,AA$1)</f>
        <v>0</v>
      </c>
    </row>
    <row r="222" spans="1:27" x14ac:dyDescent="0.2">
      <c r="A222" s="18">
        <f t="shared" ca="1" si="3"/>
        <v>45908</v>
      </c>
      <c r="B222" s="155">
        <f ca="1">SUMIFS('recurring2_based on steps'!$B222:$AY222,'recurring2_based on steps'!$B$1:$AY$1,B$1)+SUMIFS('changes2_based on steps'!$B222:$U222,'changes2_based on steps'!$B$1:$U$1,B$1)</f>
        <v>0</v>
      </c>
      <c r="C222" s="155">
        <f>SUMIFS('recurring2_based on steps'!$B222:$AY222,'recurring2_based on steps'!$B$1:$AY$1,C$1)+SUMIFS('changes2_based on steps'!$B222:$U222,'changes2_based on steps'!$B$1:$U$1,C$1)</f>
        <v>0</v>
      </c>
      <c r="D222" s="155">
        <f>SUMIFS('recurring2_based on steps'!$B222:$AY222,'recurring2_based on steps'!$B$1:$AY$1,D$1)+SUMIFS('changes2_based on steps'!$B222:$U222,'changes2_based on steps'!$B$1:$U$1,D$1)</f>
        <v>0</v>
      </c>
      <c r="E222" s="155">
        <f>SUMIFS('recurring2_based on steps'!$B222:$AY222,'recurring2_based on steps'!$B$1:$AY$1,E$1)+SUMIFS('changes2_based on steps'!$B222:$U222,'changes2_based on steps'!$B$1:$U$1,E$1)</f>
        <v>0</v>
      </c>
      <c r="F222" s="155">
        <f>SUMIFS('recurring2_based on steps'!$B222:$AY222,'recurring2_based on steps'!$B$1:$AY$1,F$1)+SUMIFS('changes2_based on steps'!$B222:$U222,'changes2_based on steps'!$B$1:$U$1,F$1)</f>
        <v>0</v>
      </c>
      <c r="G222" s="155">
        <f>SUMIFS('recurring2_based on steps'!$B222:$AY222,'recurring2_based on steps'!$B$1:$AY$1,G$1)+SUMIFS('changes2_based on steps'!$B222:$U222,'changes2_based on steps'!$B$1:$U$1,G$1)</f>
        <v>0</v>
      </c>
      <c r="H222" s="155">
        <f ca="1">SUMIFS('recurring2_based on steps'!$B222:$AY222,'recurring2_based on steps'!$B$1:$AY$1,H$1)+SUMIFS('changes2_based on steps'!$B222:$U222,'changes2_based on steps'!$B$1:$U$1,H$1)</f>
        <v>0</v>
      </c>
      <c r="I222" s="155">
        <f>SUMIFS('recurring2_based on steps'!$B222:$AY222,'recurring2_based on steps'!$B$1:$AY$1,I$1)+SUMIFS('changes2_based on steps'!$B222:$U222,'changes2_based on steps'!$B$1:$U$1,I$1)</f>
        <v>0</v>
      </c>
      <c r="J222" s="155">
        <f>SUMIFS('recurring2_based on steps'!$B222:$AY222,'recurring2_based on steps'!$B$1:$AY$1,J$1)+SUMIFS('changes2_based on steps'!$B222:$U222,'changes2_based on steps'!$B$1:$U$1,J$1)</f>
        <v>0</v>
      </c>
      <c r="K222" s="155">
        <f>SUMIFS('recurring2_based on steps'!$B222:$AY222,'recurring2_based on steps'!$B$1:$AY$1,K$1)+SUMIFS('changes2_based on steps'!$B222:$U222,'changes2_based on steps'!$B$1:$U$1,K$1)</f>
        <v>0</v>
      </c>
      <c r="L222" s="155">
        <f>SUMIFS('recurring2_based on steps'!$B222:$AY222,'recurring2_based on steps'!$B$1:$AY$1,L$1)+SUMIFS('changes2_based on steps'!$B222:$U222,'changes2_based on steps'!$B$1:$U$1,L$1)</f>
        <v>0</v>
      </c>
      <c r="M222" s="155">
        <f ca="1">SUMIFS('recurring2_based on steps'!$B222:$AY222,'recurring2_based on steps'!$B$1:$AY$1,M$1)+SUMIFS('changes2_based on steps'!$B222:$U222,'changes2_based on steps'!$B$1:$U$1,M$1)</f>
        <v>0</v>
      </c>
      <c r="N222" s="155">
        <f ca="1">SUMIFS('recurring2_based on steps'!$B222:$AY222,'recurring2_based on steps'!$B$1:$AY$1,N$1)+SUMIFS('changes2_based on steps'!$B222:$U222,'changes2_based on steps'!$B$1:$U$1,N$1)</f>
        <v>0</v>
      </c>
      <c r="O222" s="155">
        <f ca="1">SUMIFS('recurring2_based on steps'!$B222:$AY222,'recurring2_based on steps'!$B$1:$AY$1,O$1)+SUMIFS('changes2_based on steps'!$B222:$U222,'changes2_based on steps'!$B$1:$U$1,O$1)</f>
        <v>0</v>
      </c>
      <c r="P222" s="155">
        <f ca="1">SUMIFS('recurring2_based on steps'!$B222:$AY222,'recurring2_based on steps'!$B$1:$AY$1,P$1)+SUMIFS('changes2_based on steps'!$B222:$U222,'changes2_based on steps'!$B$1:$U$1,P$1)</f>
        <v>0</v>
      </c>
      <c r="Q222" s="155">
        <f>SUMIFS('recurring2_based on steps'!$B222:$AY222,'recurring2_based on steps'!$B$1:$AY$1,Q$1)+SUMIFS('changes2_based on steps'!$B222:$U222,'changes2_based on steps'!$B$1:$U$1,Q$1)</f>
        <v>0</v>
      </c>
      <c r="R222" s="155">
        <f ca="1">SUMIFS('recurring2_based on steps'!$B222:$AY222,'recurring2_based on steps'!$B$1:$AY$1,R$1)+SUMIFS('changes2_based on steps'!$B222:$U222,'changes2_based on steps'!$B$1:$U$1,R$1)</f>
        <v>0</v>
      </c>
      <c r="S222" s="155">
        <f ca="1">SUMIFS('recurring2_based on steps'!$B222:$AY222,'recurring2_based on steps'!$B$1:$AY$1,S$1)+SUMIFS('changes2_based on steps'!$B222:$U222,'changes2_based on steps'!$B$1:$U$1,S$1)</f>
        <v>0</v>
      </c>
      <c r="T222" s="155">
        <f>SUMIFS('recurring2_based on steps'!$B222:$AY222,'recurring2_based on steps'!$B$1:$AY$1,T$1)+SUMIFS('changes2_based on steps'!$B222:$U222,'changes2_based on steps'!$B$1:$U$1,T$1)</f>
        <v>0</v>
      </c>
      <c r="U222" s="155">
        <f ca="1">SUMIFS('recurring2_based on steps'!$B222:$AY222,'recurring2_based on steps'!$B$1:$AY$1,U$1)+SUMIFS('changes2_based on steps'!$B222:$U222,'changes2_based on steps'!$B$1:$U$1,U$1)</f>
        <v>0</v>
      </c>
      <c r="V222" s="155">
        <f>SUMIFS('recurring2_based on steps'!$B222:$AY222,'recurring2_based on steps'!$B$1:$AY$1,V$1)+SUMIFS('changes2_based on steps'!$B222:$U222,'changes2_based on steps'!$B$1:$U$1,V$1)</f>
        <v>0</v>
      </c>
      <c r="W222" s="155">
        <f ca="1">SUMIFS('recurring2_based on steps'!$B222:$AY222,'recurring2_based on steps'!$B$1:$AY$1,W$1)+SUMIFS('changes2_based on steps'!$B222:$U222,'changes2_based on steps'!$B$1:$U$1,W$1)</f>
        <v>0</v>
      </c>
      <c r="X222" s="155">
        <f ca="1">SUMIFS('recurring2_based on steps'!$B222:$AY222,'recurring2_based on steps'!$B$1:$AY$1,X$1)+SUMIFS('changes2_based on steps'!$B222:$U222,'changes2_based on steps'!$B$1:$U$1,X$1)</f>
        <v>0</v>
      </c>
      <c r="Y222" s="155">
        <f ca="1">SUMIFS('recurring2_based on steps'!$B222:$AY222,'recurring2_based on steps'!$B$1:$AY$1,Y$1)+SUMIFS('changes2_based on steps'!$B222:$U222,'changes2_based on steps'!$B$1:$U$1,Y$1)</f>
        <v>0</v>
      </c>
      <c r="Z222" s="155">
        <f>SUMIFS('recurring2_based on steps'!$B222:$AY222,'recurring2_based on steps'!$B$1:$AY$1,Z$1)+SUMIFS('changes2_based on steps'!$B222:$U222,'changes2_based on steps'!$B$1:$U$1,Z$1)</f>
        <v>0</v>
      </c>
      <c r="AA222" s="155">
        <f>SUMIFS('recurring2_based on steps'!$B222:$AY222,'recurring2_based on steps'!$B$1:$AY$1,AA$1)+SUMIFS('changes2_based on steps'!$B222:$U222,'changes2_based on steps'!$B$1:$U$1,AA$1)</f>
        <v>0</v>
      </c>
    </row>
    <row r="223" spans="1:27" x14ac:dyDescent="0.2">
      <c r="A223" s="18">
        <f t="shared" ca="1" si="3"/>
        <v>45909</v>
      </c>
      <c r="B223" s="155">
        <f ca="1">SUMIFS('recurring2_based on steps'!$B223:$AY223,'recurring2_based on steps'!$B$1:$AY$1,B$1)+SUMIFS('changes2_based on steps'!$B223:$U223,'changes2_based on steps'!$B$1:$U$1,B$1)</f>
        <v>0</v>
      </c>
      <c r="C223" s="155">
        <f>SUMIFS('recurring2_based on steps'!$B223:$AY223,'recurring2_based on steps'!$B$1:$AY$1,C$1)+SUMIFS('changes2_based on steps'!$B223:$U223,'changes2_based on steps'!$B$1:$U$1,C$1)</f>
        <v>0</v>
      </c>
      <c r="D223" s="155">
        <f>SUMIFS('recurring2_based on steps'!$B223:$AY223,'recurring2_based on steps'!$B$1:$AY$1,D$1)+SUMIFS('changes2_based on steps'!$B223:$U223,'changes2_based on steps'!$B$1:$U$1,D$1)</f>
        <v>0</v>
      </c>
      <c r="E223" s="155">
        <f>SUMIFS('recurring2_based on steps'!$B223:$AY223,'recurring2_based on steps'!$B$1:$AY$1,E$1)+SUMIFS('changes2_based on steps'!$B223:$U223,'changes2_based on steps'!$B$1:$U$1,E$1)</f>
        <v>0</v>
      </c>
      <c r="F223" s="155">
        <f>SUMIFS('recurring2_based on steps'!$B223:$AY223,'recurring2_based on steps'!$B$1:$AY$1,F$1)+SUMIFS('changes2_based on steps'!$B223:$U223,'changes2_based on steps'!$B$1:$U$1,F$1)</f>
        <v>0</v>
      </c>
      <c r="G223" s="155">
        <f>SUMIFS('recurring2_based on steps'!$B223:$AY223,'recurring2_based on steps'!$B$1:$AY$1,G$1)+SUMIFS('changes2_based on steps'!$B223:$U223,'changes2_based on steps'!$B$1:$U$1,G$1)</f>
        <v>0</v>
      </c>
      <c r="H223" s="155">
        <f ca="1">SUMIFS('recurring2_based on steps'!$B223:$AY223,'recurring2_based on steps'!$B$1:$AY$1,H$1)+SUMIFS('changes2_based on steps'!$B223:$U223,'changes2_based on steps'!$B$1:$U$1,H$1)</f>
        <v>0</v>
      </c>
      <c r="I223" s="155">
        <f>SUMIFS('recurring2_based on steps'!$B223:$AY223,'recurring2_based on steps'!$B$1:$AY$1,I$1)+SUMIFS('changes2_based on steps'!$B223:$U223,'changes2_based on steps'!$B$1:$U$1,I$1)</f>
        <v>0</v>
      </c>
      <c r="J223" s="155">
        <f>SUMIFS('recurring2_based on steps'!$B223:$AY223,'recurring2_based on steps'!$B$1:$AY$1,J$1)+SUMIFS('changes2_based on steps'!$B223:$U223,'changes2_based on steps'!$B$1:$U$1,J$1)</f>
        <v>0</v>
      </c>
      <c r="K223" s="155">
        <f>SUMIFS('recurring2_based on steps'!$B223:$AY223,'recurring2_based on steps'!$B$1:$AY$1,K$1)+SUMIFS('changes2_based on steps'!$B223:$U223,'changes2_based on steps'!$B$1:$U$1,K$1)</f>
        <v>0</v>
      </c>
      <c r="L223" s="155">
        <f>SUMIFS('recurring2_based on steps'!$B223:$AY223,'recurring2_based on steps'!$B$1:$AY$1,L$1)+SUMIFS('changes2_based on steps'!$B223:$U223,'changes2_based on steps'!$B$1:$U$1,L$1)</f>
        <v>0</v>
      </c>
      <c r="M223" s="155">
        <f ca="1">SUMIFS('recurring2_based on steps'!$B223:$AY223,'recurring2_based on steps'!$B$1:$AY$1,M$1)+SUMIFS('changes2_based on steps'!$B223:$U223,'changes2_based on steps'!$B$1:$U$1,M$1)</f>
        <v>0</v>
      </c>
      <c r="N223" s="155">
        <f ca="1">SUMIFS('recurring2_based on steps'!$B223:$AY223,'recurring2_based on steps'!$B$1:$AY$1,N$1)+SUMIFS('changes2_based on steps'!$B223:$U223,'changes2_based on steps'!$B$1:$U$1,N$1)</f>
        <v>0</v>
      </c>
      <c r="O223" s="155">
        <f ca="1">SUMIFS('recurring2_based on steps'!$B223:$AY223,'recurring2_based on steps'!$B$1:$AY$1,O$1)+SUMIFS('changes2_based on steps'!$B223:$U223,'changes2_based on steps'!$B$1:$U$1,O$1)</f>
        <v>0</v>
      </c>
      <c r="P223" s="155">
        <f ca="1">SUMIFS('recurring2_based on steps'!$B223:$AY223,'recurring2_based on steps'!$B$1:$AY$1,P$1)+SUMIFS('changes2_based on steps'!$B223:$U223,'changes2_based on steps'!$B$1:$U$1,P$1)</f>
        <v>0</v>
      </c>
      <c r="Q223" s="155">
        <f>SUMIFS('recurring2_based on steps'!$B223:$AY223,'recurring2_based on steps'!$B$1:$AY$1,Q$1)+SUMIFS('changes2_based on steps'!$B223:$U223,'changes2_based on steps'!$B$1:$U$1,Q$1)</f>
        <v>0</v>
      </c>
      <c r="R223" s="155">
        <f ca="1">SUMIFS('recurring2_based on steps'!$B223:$AY223,'recurring2_based on steps'!$B$1:$AY$1,R$1)+SUMIFS('changes2_based on steps'!$B223:$U223,'changes2_based on steps'!$B$1:$U$1,R$1)</f>
        <v>0</v>
      </c>
      <c r="S223" s="155">
        <f ca="1">SUMIFS('recurring2_based on steps'!$B223:$AY223,'recurring2_based on steps'!$B$1:$AY$1,S$1)+SUMIFS('changes2_based on steps'!$B223:$U223,'changes2_based on steps'!$B$1:$U$1,S$1)</f>
        <v>0</v>
      </c>
      <c r="T223" s="155">
        <f>SUMIFS('recurring2_based on steps'!$B223:$AY223,'recurring2_based on steps'!$B$1:$AY$1,T$1)+SUMIFS('changes2_based on steps'!$B223:$U223,'changes2_based on steps'!$B$1:$U$1,T$1)</f>
        <v>0</v>
      </c>
      <c r="U223" s="155">
        <f ca="1">SUMIFS('recurring2_based on steps'!$B223:$AY223,'recurring2_based on steps'!$B$1:$AY$1,U$1)+SUMIFS('changes2_based on steps'!$B223:$U223,'changes2_based on steps'!$B$1:$U$1,U$1)</f>
        <v>0</v>
      </c>
      <c r="V223" s="155">
        <f>SUMIFS('recurring2_based on steps'!$B223:$AY223,'recurring2_based on steps'!$B$1:$AY$1,V$1)+SUMIFS('changes2_based on steps'!$B223:$U223,'changes2_based on steps'!$B$1:$U$1,V$1)</f>
        <v>0</v>
      </c>
      <c r="W223" s="155">
        <f ca="1">SUMIFS('recurring2_based on steps'!$B223:$AY223,'recurring2_based on steps'!$B$1:$AY$1,W$1)+SUMIFS('changes2_based on steps'!$B223:$U223,'changes2_based on steps'!$B$1:$U$1,W$1)</f>
        <v>0</v>
      </c>
      <c r="X223" s="155">
        <f ca="1">SUMIFS('recurring2_based on steps'!$B223:$AY223,'recurring2_based on steps'!$B$1:$AY$1,X$1)+SUMIFS('changes2_based on steps'!$B223:$U223,'changes2_based on steps'!$B$1:$U$1,X$1)</f>
        <v>0</v>
      </c>
      <c r="Y223" s="155">
        <f ca="1">SUMIFS('recurring2_based on steps'!$B223:$AY223,'recurring2_based on steps'!$B$1:$AY$1,Y$1)+SUMIFS('changes2_based on steps'!$B223:$U223,'changes2_based on steps'!$B$1:$U$1,Y$1)</f>
        <v>0</v>
      </c>
      <c r="Z223" s="155">
        <f>SUMIFS('recurring2_based on steps'!$B223:$AY223,'recurring2_based on steps'!$B$1:$AY$1,Z$1)+SUMIFS('changes2_based on steps'!$B223:$U223,'changes2_based on steps'!$B$1:$U$1,Z$1)</f>
        <v>0</v>
      </c>
      <c r="AA223" s="155">
        <f>SUMIFS('recurring2_based on steps'!$B223:$AY223,'recurring2_based on steps'!$B$1:$AY$1,AA$1)+SUMIFS('changes2_based on steps'!$B223:$U223,'changes2_based on steps'!$B$1:$U$1,AA$1)</f>
        <v>0</v>
      </c>
    </row>
    <row r="224" spans="1:27" x14ac:dyDescent="0.2">
      <c r="A224" s="18">
        <f t="shared" ca="1" si="3"/>
        <v>45910</v>
      </c>
      <c r="B224" s="155">
        <f ca="1">SUMIFS('recurring2_based on steps'!$B224:$AY224,'recurring2_based on steps'!$B$1:$AY$1,B$1)+SUMIFS('changes2_based on steps'!$B224:$U224,'changes2_based on steps'!$B$1:$U$1,B$1)</f>
        <v>100</v>
      </c>
      <c r="C224" s="155">
        <f>SUMIFS('recurring2_based on steps'!$B224:$AY224,'recurring2_based on steps'!$B$1:$AY$1,C$1)+SUMIFS('changes2_based on steps'!$B224:$U224,'changes2_based on steps'!$B$1:$U$1,C$1)</f>
        <v>0</v>
      </c>
      <c r="D224" s="155">
        <f>SUMIFS('recurring2_based on steps'!$B224:$AY224,'recurring2_based on steps'!$B$1:$AY$1,D$1)+SUMIFS('changes2_based on steps'!$B224:$U224,'changes2_based on steps'!$B$1:$U$1,D$1)</f>
        <v>0</v>
      </c>
      <c r="E224" s="155">
        <f>SUMIFS('recurring2_based on steps'!$B224:$AY224,'recurring2_based on steps'!$B$1:$AY$1,E$1)+SUMIFS('changes2_based on steps'!$B224:$U224,'changes2_based on steps'!$B$1:$U$1,E$1)</f>
        <v>0</v>
      </c>
      <c r="F224" s="155">
        <f>SUMIFS('recurring2_based on steps'!$B224:$AY224,'recurring2_based on steps'!$B$1:$AY$1,F$1)+SUMIFS('changes2_based on steps'!$B224:$U224,'changes2_based on steps'!$B$1:$U$1,F$1)</f>
        <v>0</v>
      </c>
      <c r="G224" s="155">
        <f>SUMIFS('recurring2_based on steps'!$B224:$AY224,'recurring2_based on steps'!$B$1:$AY$1,G$1)+SUMIFS('changes2_based on steps'!$B224:$U224,'changes2_based on steps'!$B$1:$U$1,G$1)</f>
        <v>0</v>
      </c>
      <c r="H224" s="155">
        <f ca="1">SUMIFS('recurring2_based on steps'!$B224:$AY224,'recurring2_based on steps'!$B$1:$AY$1,H$1)+SUMIFS('changes2_based on steps'!$B224:$U224,'changes2_based on steps'!$B$1:$U$1,H$1)</f>
        <v>0</v>
      </c>
      <c r="I224" s="155">
        <f>SUMIFS('recurring2_based on steps'!$B224:$AY224,'recurring2_based on steps'!$B$1:$AY$1,I$1)+SUMIFS('changes2_based on steps'!$B224:$U224,'changes2_based on steps'!$B$1:$U$1,I$1)</f>
        <v>0</v>
      </c>
      <c r="J224" s="155">
        <f>SUMIFS('recurring2_based on steps'!$B224:$AY224,'recurring2_based on steps'!$B$1:$AY$1,J$1)+SUMIFS('changes2_based on steps'!$B224:$U224,'changes2_based on steps'!$B$1:$U$1,J$1)</f>
        <v>0</v>
      </c>
      <c r="K224" s="155">
        <f>SUMIFS('recurring2_based on steps'!$B224:$AY224,'recurring2_based on steps'!$B$1:$AY$1,K$1)+SUMIFS('changes2_based on steps'!$B224:$U224,'changes2_based on steps'!$B$1:$U$1,K$1)</f>
        <v>0</v>
      </c>
      <c r="L224" s="155">
        <f>SUMIFS('recurring2_based on steps'!$B224:$AY224,'recurring2_based on steps'!$B$1:$AY$1,L$1)+SUMIFS('changes2_based on steps'!$B224:$U224,'changes2_based on steps'!$B$1:$U$1,L$1)</f>
        <v>0</v>
      </c>
      <c r="M224" s="155">
        <f ca="1">SUMIFS('recurring2_based on steps'!$B224:$AY224,'recurring2_based on steps'!$B$1:$AY$1,M$1)+SUMIFS('changes2_based on steps'!$B224:$U224,'changes2_based on steps'!$B$1:$U$1,M$1)</f>
        <v>0</v>
      </c>
      <c r="N224" s="155">
        <f ca="1">SUMIFS('recurring2_based on steps'!$B224:$AY224,'recurring2_based on steps'!$B$1:$AY$1,N$1)+SUMIFS('changes2_based on steps'!$B224:$U224,'changes2_based on steps'!$B$1:$U$1,N$1)</f>
        <v>0</v>
      </c>
      <c r="O224" s="155">
        <f ca="1">SUMIFS('recurring2_based on steps'!$B224:$AY224,'recurring2_based on steps'!$B$1:$AY$1,O$1)+SUMIFS('changes2_based on steps'!$B224:$U224,'changes2_based on steps'!$B$1:$U$1,O$1)</f>
        <v>0</v>
      </c>
      <c r="P224" s="155">
        <f ca="1">SUMIFS('recurring2_based on steps'!$B224:$AY224,'recurring2_based on steps'!$B$1:$AY$1,P$1)+SUMIFS('changes2_based on steps'!$B224:$U224,'changes2_based on steps'!$B$1:$U$1,P$1)</f>
        <v>0</v>
      </c>
      <c r="Q224" s="155">
        <f>SUMIFS('recurring2_based on steps'!$B224:$AY224,'recurring2_based on steps'!$B$1:$AY$1,Q$1)+SUMIFS('changes2_based on steps'!$B224:$U224,'changes2_based on steps'!$B$1:$U$1,Q$1)</f>
        <v>0</v>
      </c>
      <c r="R224" s="155">
        <f ca="1">SUMIFS('recurring2_based on steps'!$B224:$AY224,'recurring2_based on steps'!$B$1:$AY$1,R$1)+SUMIFS('changes2_based on steps'!$B224:$U224,'changes2_based on steps'!$B$1:$U$1,R$1)</f>
        <v>0</v>
      </c>
      <c r="S224" s="155">
        <f ca="1">SUMIFS('recurring2_based on steps'!$B224:$AY224,'recurring2_based on steps'!$B$1:$AY$1,S$1)+SUMIFS('changes2_based on steps'!$B224:$U224,'changes2_based on steps'!$B$1:$U$1,S$1)</f>
        <v>0</v>
      </c>
      <c r="T224" s="155">
        <f>SUMIFS('recurring2_based on steps'!$B224:$AY224,'recurring2_based on steps'!$B$1:$AY$1,T$1)+SUMIFS('changes2_based on steps'!$B224:$U224,'changes2_based on steps'!$B$1:$U$1,T$1)</f>
        <v>0</v>
      </c>
      <c r="U224" s="155">
        <f ca="1">SUMIFS('recurring2_based on steps'!$B224:$AY224,'recurring2_based on steps'!$B$1:$AY$1,U$1)+SUMIFS('changes2_based on steps'!$B224:$U224,'changes2_based on steps'!$B$1:$U$1,U$1)</f>
        <v>0</v>
      </c>
      <c r="V224" s="155">
        <f>SUMIFS('recurring2_based on steps'!$B224:$AY224,'recurring2_based on steps'!$B$1:$AY$1,V$1)+SUMIFS('changes2_based on steps'!$B224:$U224,'changes2_based on steps'!$B$1:$U$1,V$1)</f>
        <v>0</v>
      </c>
      <c r="W224" s="155">
        <f ca="1">SUMIFS('recurring2_based on steps'!$B224:$AY224,'recurring2_based on steps'!$B$1:$AY$1,W$1)+SUMIFS('changes2_based on steps'!$B224:$U224,'changes2_based on steps'!$B$1:$U$1,W$1)</f>
        <v>0</v>
      </c>
      <c r="X224" s="155">
        <f ca="1">SUMIFS('recurring2_based on steps'!$B224:$AY224,'recurring2_based on steps'!$B$1:$AY$1,X$1)+SUMIFS('changes2_based on steps'!$B224:$U224,'changes2_based on steps'!$B$1:$U$1,X$1)</f>
        <v>0</v>
      </c>
      <c r="Y224" s="155">
        <f ca="1">SUMIFS('recurring2_based on steps'!$B224:$AY224,'recurring2_based on steps'!$B$1:$AY$1,Y$1)+SUMIFS('changes2_based on steps'!$B224:$U224,'changes2_based on steps'!$B$1:$U$1,Y$1)</f>
        <v>0</v>
      </c>
      <c r="Z224" s="155">
        <f>SUMIFS('recurring2_based on steps'!$B224:$AY224,'recurring2_based on steps'!$B$1:$AY$1,Z$1)+SUMIFS('changes2_based on steps'!$B224:$U224,'changes2_based on steps'!$B$1:$U$1,Z$1)</f>
        <v>0</v>
      </c>
      <c r="AA224" s="155">
        <f>SUMIFS('recurring2_based on steps'!$B224:$AY224,'recurring2_based on steps'!$B$1:$AY$1,AA$1)+SUMIFS('changes2_based on steps'!$B224:$U224,'changes2_based on steps'!$B$1:$U$1,AA$1)</f>
        <v>0</v>
      </c>
    </row>
    <row r="225" spans="1:27" x14ac:dyDescent="0.2">
      <c r="A225" s="18">
        <f t="shared" ca="1" si="3"/>
        <v>45911</v>
      </c>
      <c r="B225" s="155">
        <f ca="1">SUMIFS('recurring2_based on steps'!$B225:$AY225,'recurring2_based on steps'!$B$1:$AY$1,B$1)+SUMIFS('changes2_based on steps'!$B225:$U225,'changes2_based on steps'!$B$1:$U$1,B$1)</f>
        <v>0</v>
      </c>
      <c r="C225" s="155">
        <f>SUMIFS('recurring2_based on steps'!$B225:$AY225,'recurring2_based on steps'!$B$1:$AY$1,C$1)+SUMIFS('changes2_based on steps'!$B225:$U225,'changes2_based on steps'!$B$1:$U$1,C$1)</f>
        <v>0</v>
      </c>
      <c r="D225" s="155">
        <f>SUMIFS('recurring2_based on steps'!$B225:$AY225,'recurring2_based on steps'!$B$1:$AY$1,D$1)+SUMIFS('changes2_based on steps'!$B225:$U225,'changes2_based on steps'!$B$1:$U$1,D$1)</f>
        <v>0</v>
      </c>
      <c r="E225" s="155">
        <f>SUMIFS('recurring2_based on steps'!$B225:$AY225,'recurring2_based on steps'!$B$1:$AY$1,E$1)+SUMIFS('changes2_based on steps'!$B225:$U225,'changes2_based on steps'!$B$1:$U$1,E$1)</f>
        <v>0</v>
      </c>
      <c r="F225" s="155">
        <f>SUMIFS('recurring2_based on steps'!$B225:$AY225,'recurring2_based on steps'!$B$1:$AY$1,F$1)+SUMIFS('changes2_based on steps'!$B225:$U225,'changes2_based on steps'!$B$1:$U$1,F$1)</f>
        <v>0</v>
      </c>
      <c r="G225" s="155">
        <f>SUMIFS('recurring2_based on steps'!$B225:$AY225,'recurring2_based on steps'!$B$1:$AY$1,G$1)+SUMIFS('changes2_based on steps'!$B225:$U225,'changes2_based on steps'!$B$1:$U$1,G$1)</f>
        <v>0</v>
      </c>
      <c r="H225" s="155">
        <f ca="1">SUMIFS('recurring2_based on steps'!$B225:$AY225,'recurring2_based on steps'!$B$1:$AY$1,H$1)+SUMIFS('changes2_based on steps'!$B225:$U225,'changes2_based on steps'!$B$1:$U$1,H$1)</f>
        <v>0</v>
      </c>
      <c r="I225" s="155">
        <f>SUMIFS('recurring2_based on steps'!$B225:$AY225,'recurring2_based on steps'!$B$1:$AY$1,I$1)+SUMIFS('changes2_based on steps'!$B225:$U225,'changes2_based on steps'!$B$1:$U$1,I$1)</f>
        <v>0</v>
      </c>
      <c r="J225" s="155">
        <f>SUMIFS('recurring2_based on steps'!$B225:$AY225,'recurring2_based on steps'!$B$1:$AY$1,J$1)+SUMIFS('changes2_based on steps'!$B225:$U225,'changes2_based on steps'!$B$1:$U$1,J$1)</f>
        <v>0</v>
      </c>
      <c r="K225" s="155">
        <f>SUMIFS('recurring2_based on steps'!$B225:$AY225,'recurring2_based on steps'!$B$1:$AY$1,K$1)+SUMIFS('changes2_based on steps'!$B225:$U225,'changes2_based on steps'!$B$1:$U$1,K$1)</f>
        <v>0</v>
      </c>
      <c r="L225" s="155">
        <f>SUMIFS('recurring2_based on steps'!$B225:$AY225,'recurring2_based on steps'!$B$1:$AY$1,L$1)+SUMIFS('changes2_based on steps'!$B225:$U225,'changes2_based on steps'!$B$1:$U$1,L$1)</f>
        <v>0</v>
      </c>
      <c r="M225" s="155">
        <f ca="1">SUMIFS('recurring2_based on steps'!$B225:$AY225,'recurring2_based on steps'!$B$1:$AY$1,M$1)+SUMIFS('changes2_based on steps'!$B225:$U225,'changes2_based on steps'!$B$1:$U$1,M$1)</f>
        <v>0</v>
      </c>
      <c r="N225" s="155">
        <f ca="1">SUMIFS('recurring2_based on steps'!$B225:$AY225,'recurring2_based on steps'!$B$1:$AY$1,N$1)+SUMIFS('changes2_based on steps'!$B225:$U225,'changes2_based on steps'!$B$1:$U$1,N$1)</f>
        <v>0</v>
      </c>
      <c r="O225" s="155">
        <f ca="1">SUMIFS('recurring2_based on steps'!$B225:$AY225,'recurring2_based on steps'!$B$1:$AY$1,O$1)+SUMIFS('changes2_based on steps'!$B225:$U225,'changes2_based on steps'!$B$1:$U$1,O$1)</f>
        <v>0</v>
      </c>
      <c r="P225" s="155">
        <f ca="1">SUMIFS('recurring2_based on steps'!$B225:$AY225,'recurring2_based on steps'!$B$1:$AY$1,P$1)+SUMIFS('changes2_based on steps'!$B225:$U225,'changes2_based on steps'!$B$1:$U$1,P$1)</f>
        <v>0</v>
      </c>
      <c r="Q225" s="155">
        <f>SUMIFS('recurring2_based on steps'!$B225:$AY225,'recurring2_based on steps'!$B$1:$AY$1,Q$1)+SUMIFS('changes2_based on steps'!$B225:$U225,'changes2_based on steps'!$B$1:$U$1,Q$1)</f>
        <v>0</v>
      </c>
      <c r="R225" s="155">
        <f ca="1">SUMIFS('recurring2_based on steps'!$B225:$AY225,'recurring2_based on steps'!$B$1:$AY$1,R$1)+SUMIFS('changes2_based on steps'!$B225:$U225,'changes2_based on steps'!$B$1:$U$1,R$1)</f>
        <v>0</v>
      </c>
      <c r="S225" s="155">
        <f ca="1">SUMIFS('recurring2_based on steps'!$B225:$AY225,'recurring2_based on steps'!$B$1:$AY$1,S$1)+SUMIFS('changes2_based on steps'!$B225:$U225,'changes2_based on steps'!$B$1:$U$1,S$1)</f>
        <v>0</v>
      </c>
      <c r="T225" s="155">
        <f>SUMIFS('recurring2_based on steps'!$B225:$AY225,'recurring2_based on steps'!$B$1:$AY$1,T$1)+SUMIFS('changes2_based on steps'!$B225:$U225,'changes2_based on steps'!$B$1:$U$1,T$1)</f>
        <v>0</v>
      </c>
      <c r="U225" s="155">
        <f ca="1">SUMIFS('recurring2_based on steps'!$B225:$AY225,'recurring2_based on steps'!$B$1:$AY$1,U$1)+SUMIFS('changes2_based on steps'!$B225:$U225,'changes2_based on steps'!$B$1:$U$1,U$1)</f>
        <v>0</v>
      </c>
      <c r="V225" s="155">
        <f>SUMIFS('recurring2_based on steps'!$B225:$AY225,'recurring2_based on steps'!$B$1:$AY$1,V$1)+SUMIFS('changes2_based on steps'!$B225:$U225,'changes2_based on steps'!$B$1:$U$1,V$1)</f>
        <v>0</v>
      </c>
      <c r="W225" s="155">
        <f ca="1">SUMIFS('recurring2_based on steps'!$B225:$AY225,'recurring2_based on steps'!$B$1:$AY$1,W$1)+SUMIFS('changes2_based on steps'!$B225:$U225,'changes2_based on steps'!$B$1:$U$1,W$1)</f>
        <v>0</v>
      </c>
      <c r="X225" s="155">
        <f ca="1">SUMIFS('recurring2_based on steps'!$B225:$AY225,'recurring2_based on steps'!$B$1:$AY$1,X$1)+SUMIFS('changes2_based on steps'!$B225:$U225,'changes2_based on steps'!$B$1:$U$1,X$1)</f>
        <v>0</v>
      </c>
      <c r="Y225" s="155">
        <f ca="1">SUMIFS('recurring2_based on steps'!$B225:$AY225,'recurring2_based on steps'!$B$1:$AY$1,Y$1)+SUMIFS('changes2_based on steps'!$B225:$U225,'changes2_based on steps'!$B$1:$U$1,Y$1)</f>
        <v>0</v>
      </c>
      <c r="Z225" s="155">
        <f>SUMIFS('recurring2_based on steps'!$B225:$AY225,'recurring2_based on steps'!$B$1:$AY$1,Z$1)+SUMIFS('changes2_based on steps'!$B225:$U225,'changes2_based on steps'!$B$1:$U$1,Z$1)</f>
        <v>0</v>
      </c>
      <c r="AA225" s="155">
        <f>SUMIFS('recurring2_based on steps'!$B225:$AY225,'recurring2_based on steps'!$B$1:$AY$1,AA$1)+SUMIFS('changes2_based on steps'!$B225:$U225,'changes2_based on steps'!$B$1:$U$1,AA$1)</f>
        <v>0</v>
      </c>
    </row>
    <row r="226" spans="1:27" x14ac:dyDescent="0.2">
      <c r="A226" s="18">
        <f t="shared" ca="1" si="3"/>
        <v>45912</v>
      </c>
      <c r="B226" s="155">
        <f ca="1">SUMIFS('recurring2_based on steps'!$B226:$AY226,'recurring2_based on steps'!$B$1:$AY$1,B$1)+SUMIFS('changes2_based on steps'!$B226:$U226,'changes2_based on steps'!$B$1:$U$1,B$1)</f>
        <v>0</v>
      </c>
      <c r="C226" s="155">
        <f>SUMIFS('recurring2_based on steps'!$B226:$AY226,'recurring2_based on steps'!$B$1:$AY$1,C$1)+SUMIFS('changes2_based on steps'!$B226:$U226,'changes2_based on steps'!$B$1:$U$1,C$1)</f>
        <v>0</v>
      </c>
      <c r="D226" s="155">
        <f>SUMIFS('recurring2_based on steps'!$B226:$AY226,'recurring2_based on steps'!$B$1:$AY$1,D$1)+SUMIFS('changes2_based on steps'!$B226:$U226,'changes2_based on steps'!$B$1:$U$1,D$1)</f>
        <v>0</v>
      </c>
      <c r="E226" s="155">
        <f>SUMIFS('recurring2_based on steps'!$B226:$AY226,'recurring2_based on steps'!$B$1:$AY$1,E$1)+SUMIFS('changes2_based on steps'!$B226:$U226,'changes2_based on steps'!$B$1:$U$1,E$1)</f>
        <v>0</v>
      </c>
      <c r="F226" s="155">
        <f>SUMIFS('recurring2_based on steps'!$B226:$AY226,'recurring2_based on steps'!$B$1:$AY$1,F$1)+SUMIFS('changes2_based on steps'!$B226:$U226,'changes2_based on steps'!$B$1:$U$1,F$1)</f>
        <v>0</v>
      </c>
      <c r="G226" s="155">
        <f>SUMIFS('recurring2_based on steps'!$B226:$AY226,'recurring2_based on steps'!$B$1:$AY$1,G$1)+SUMIFS('changes2_based on steps'!$B226:$U226,'changes2_based on steps'!$B$1:$U$1,G$1)</f>
        <v>0</v>
      </c>
      <c r="H226" s="155">
        <f ca="1">SUMIFS('recurring2_based on steps'!$B226:$AY226,'recurring2_based on steps'!$B$1:$AY$1,H$1)+SUMIFS('changes2_based on steps'!$B226:$U226,'changes2_based on steps'!$B$1:$U$1,H$1)</f>
        <v>0</v>
      </c>
      <c r="I226" s="155">
        <f>SUMIFS('recurring2_based on steps'!$B226:$AY226,'recurring2_based on steps'!$B$1:$AY$1,I$1)+SUMIFS('changes2_based on steps'!$B226:$U226,'changes2_based on steps'!$B$1:$U$1,I$1)</f>
        <v>0</v>
      </c>
      <c r="J226" s="155">
        <f>SUMIFS('recurring2_based on steps'!$B226:$AY226,'recurring2_based on steps'!$B$1:$AY$1,J$1)+SUMIFS('changes2_based on steps'!$B226:$U226,'changes2_based on steps'!$B$1:$U$1,J$1)</f>
        <v>0</v>
      </c>
      <c r="K226" s="155">
        <f>SUMIFS('recurring2_based on steps'!$B226:$AY226,'recurring2_based on steps'!$B$1:$AY$1,K$1)+SUMIFS('changes2_based on steps'!$B226:$U226,'changes2_based on steps'!$B$1:$U$1,K$1)</f>
        <v>0</v>
      </c>
      <c r="L226" s="155">
        <f>SUMIFS('recurring2_based on steps'!$B226:$AY226,'recurring2_based on steps'!$B$1:$AY$1,L$1)+SUMIFS('changes2_based on steps'!$B226:$U226,'changes2_based on steps'!$B$1:$U$1,L$1)</f>
        <v>0</v>
      </c>
      <c r="M226" s="155">
        <f ca="1">SUMIFS('recurring2_based on steps'!$B226:$AY226,'recurring2_based on steps'!$B$1:$AY$1,M$1)+SUMIFS('changes2_based on steps'!$B226:$U226,'changes2_based on steps'!$B$1:$U$1,M$1)</f>
        <v>0</v>
      </c>
      <c r="N226" s="155">
        <f ca="1">SUMIFS('recurring2_based on steps'!$B226:$AY226,'recurring2_based on steps'!$B$1:$AY$1,N$1)+SUMIFS('changes2_based on steps'!$B226:$U226,'changes2_based on steps'!$B$1:$U$1,N$1)</f>
        <v>0</v>
      </c>
      <c r="O226" s="155">
        <f ca="1">SUMIFS('recurring2_based on steps'!$B226:$AY226,'recurring2_based on steps'!$B$1:$AY$1,O$1)+SUMIFS('changes2_based on steps'!$B226:$U226,'changes2_based on steps'!$B$1:$U$1,O$1)</f>
        <v>0</v>
      </c>
      <c r="P226" s="155">
        <f ca="1">SUMIFS('recurring2_based on steps'!$B226:$AY226,'recurring2_based on steps'!$B$1:$AY$1,P$1)+SUMIFS('changes2_based on steps'!$B226:$U226,'changes2_based on steps'!$B$1:$U$1,P$1)</f>
        <v>0</v>
      </c>
      <c r="Q226" s="155">
        <f>SUMIFS('recurring2_based on steps'!$B226:$AY226,'recurring2_based on steps'!$B$1:$AY$1,Q$1)+SUMIFS('changes2_based on steps'!$B226:$U226,'changes2_based on steps'!$B$1:$U$1,Q$1)</f>
        <v>0</v>
      </c>
      <c r="R226" s="155">
        <f ca="1">SUMIFS('recurring2_based on steps'!$B226:$AY226,'recurring2_based on steps'!$B$1:$AY$1,R$1)+SUMIFS('changes2_based on steps'!$B226:$U226,'changes2_based on steps'!$B$1:$U$1,R$1)</f>
        <v>0</v>
      </c>
      <c r="S226" s="155">
        <f ca="1">SUMIFS('recurring2_based on steps'!$B226:$AY226,'recurring2_based on steps'!$B$1:$AY$1,S$1)+SUMIFS('changes2_based on steps'!$B226:$U226,'changes2_based on steps'!$B$1:$U$1,S$1)</f>
        <v>0</v>
      </c>
      <c r="T226" s="155">
        <f>SUMIFS('recurring2_based on steps'!$B226:$AY226,'recurring2_based on steps'!$B$1:$AY$1,T$1)+SUMIFS('changes2_based on steps'!$B226:$U226,'changes2_based on steps'!$B$1:$U$1,T$1)</f>
        <v>0</v>
      </c>
      <c r="U226" s="155">
        <f ca="1">SUMIFS('recurring2_based on steps'!$B226:$AY226,'recurring2_based on steps'!$B$1:$AY$1,U$1)+SUMIFS('changes2_based on steps'!$B226:$U226,'changes2_based on steps'!$B$1:$U$1,U$1)</f>
        <v>0</v>
      </c>
      <c r="V226" s="155">
        <f>SUMIFS('recurring2_based on steps'!$B226:$AY226,'recurring2_based on steps'!$B$1:$AY$1,V$1)+SUMIFS('changes2_based on steps'!$B226:$U226,'changes2_based on steps'!$B$1:$U$1,V$1)</f>
        <v>0</v>
      </c>
      <c r="W226" s="155">
        <f ca="1">SUMIFS('recurring2_based on steps'!$B226:$AY226,'recurring2_based on steps'!$B$1:$AY$1,W$1)+SUMIFS('changes2_based on steps'!$B226:$U226,'changes2_based on steps'!$B$1:$U$1,W$1)</f>
        <v>0</v>
      </c>
      <c r="X226" s="155">
        <f ca="1">SUMIFS('recurring2_based on steps'!$B226:$AY226,'recurring2_based on steps'!$B$1:$AY$1,X$1)+SUMIFS('changes2_based on steps'!$B226:$U226,'changes2_based on steps'!$B$1:$U$1,X$1)</f>
        <v>0</v>
      </c>
      <c r="Y226" s="155">
        <f ca="1">SUMIFS('recurring2_based on steps'!$B226:$AY226,'recurring2_based on steps'!$B$1:$AY$1,Y$1)+SUMIFS('changes2_based on steps'!$B226:$U226,'changes2_based on steps'!$B$1:$U$1,Y$1)</f>
        <v>0</v>
      </c>
      <c r="Z226" s="155">
        <f>SUMIFS('recurring2_based on steps'!$B226:$AY226,'recurring2_based on steps'!$B$1:$AY$1,Z$1)+SUMIFS('changes2_based on steps'!$B226:$U226,'changes2_based on steps'!$B$1:$U$1,Z$1)</f>
        <v>0</v>
      </c>
      <c r="AA226" s="155">
        <f>SUMIFS('recurring2_based on steps'!$B226:$AY226,'recurring2_based on steps'!$B$1:$AY$1,AA$1)+SUMIFS('changes2_based on steps'!$B226:$U226,'changes2_based on steps'!$B$1:$U$1,AA$1)</f>
        <v>0</v>
      </c>
    </row>
    <row r="227" spans="1:27" x14ac:dyDescent="0.2">
      <c r="A227" s="18">
        <f t="shared" ca="1" si="3"/>
        <v>45913</v>
      </c>
      <c r="B227" s="155">
        <f ca="1">SUMIFS('recurring2_based on steps'!$B227:$AY227,'recurring2_based on steps'!$B$1:$AY$1,B$1)+SUMIFS('changes2_based on steps'!$B227:$U227,'changes2_based on steps'!$B$1:$U$1,B$1)</f>
        <v>0</v>
      </c>
      <c r="C227" s="155">
        <f>SUMIFS('recurring2_based on steps'!$B227:$AY227,'recurring2_based on steps'!$B$1:$AY$1,C$1)+SUMIFS('changes2_based on steps'!$B227:$U227,'changes2_based on steps'!$B$1:$U$1,C$1)</f>
        <v>0</v>
      </c>
      <c r="D227" s="155">
        <f>SUMIFS('recurring2_based on steps'!$B227:$AY227,'recurring2_based on steps'!$B$1:$AY$1,D$1)+SUMIFS('changes2_based on steps'!$B227:$U227,'changes2_based on steps'!$B$1:$U$1,D$1)</f>
        <v>0</v>
      </c>
      <c r="E227" s="155">
        <f>SUMIFS('recurring2_based on steps'!$B227:$AY227,'recurring2_based on steps'!$B$1:$AY$1,E$1)+SUMIFS('changes2_based on steps'!$B227:$U227,'changes2_based on steps'!$B$1:$U$1,E$1)</f>
        <v>0</v>
      </c>
      <c r="F227" s="155">
        <f>SUMIFS('recurring2_based on steps'!$B227:$AY227,'recurring2_based on steps'!$B$1:$AY$1,F$1)+SUMIFS('changes2_based on steps'!$B227:$U227,'changes2_based on steps'!$B$1:$U$1,F$1)</f>
        <v>0</v>
      </c>
      <c r="G227" s="155">
        <f>SUMIFS('recurring2_based on steps'!$B227:$AY227,'recurring2_based on steps'!$B$1:$AY$1,G$1)+SUMIFS('changes2_based on steps'!$B227:$U227,'changes2_based on steps'!$B$1:$U$1,G$1)</f>
        <v>0</v>
      </c>
      <c r="H227" s="155">
        <f ca="1">SUMIFS('recurring2_based on steps'!$B227:$AY227,'recurring2_based on steps'!$B$1:$AY$1,H$1)+SUMIFS('changes2_based on steps'!$B227:$U227,'changes2_based on steps'!$B$1:$U$1,H$1)</f>
        <v>0</v>
      </c>
      <c r="I227" s="155">
        <f>SUMIFS('recurring2_based on steps'!$B227:$AY227,'recurring2_based on steps'!$B$1:$AY$1,I$1)+SUMIFS('changes2_based on steps'!$B227:$U227,'changes2_based on steps'!$B$1:$U$1,I$1)</f>
        <v>0</v>
      </c>
      <c r="J227" s="155">
        <f>SUMIFS('recurring2_based on steps'!$B227:$AY227,'recurring2_based on steps'!$B$1:$AY$1,J$1)+SUMIFS('changes2_based on steps'!$B227:$U227,'changes2_based on steps'!$B$1:$U$1,J$1)</f>
        <v>0</v>
      </c>
      <c r="K227" s="155">
        <f>SUMIFS('recurring2_based on steps'!$B227:$AY227,'recurring2_based on steps'!$B$1:$AY$1,K$1)+SUMIFS('changes2_based on steps'!$B227:$U227,'changes2_based on steps'!$B$1:$U$1,K$1)</f>
        <v>0</v>
      </c>
      <c r="L227" s="155">
        <f>SUMIFS('recurring2_based on steps'!$B227:$AY227,'recurring2_based on steps'!$B$1:$AY$1,L$1)+SUMIFS('changes2_based on steps'!$B227:$U227,'changes2_based on steps'!$B$1:$U$1,L$1)</f>
        <v>0</v>
      </c>
      <c r="M227" s="155">
        <f ca="1">SUMIFS('recurring2_based on steps'!$B227:$AY227,'recurring2_based on steps'!$B$1:$AY$1,M$1)+SUMIFS('changes2_based on steps'!$B227:$U227,'changes2_based on steps'!$B$1:$U$1,M$1)</f>
        <v>0</v>
      </c>
      <c r="N227" s="155">
        <f ca="1">SUMIFS('recurring2_based on steps'!$B227:$AY227,'recurring2_based on steps'!$B$1:$AY$1,N$1)+SUMIFS('changes2_based on steps'!$B227:$U227,'changes2_based on steps'!$B$1:$U$1,N$1)</f>
        <v>0</v>
      </c>
      <c r="O227" s="155">
        <f ca="1">SUMIFS('recurring2_based on steps'!$B227:$AY227,'recurring2_based on steps'!$B$1:$AY$1,O$1)+SUMIFS('changes2_based on steps'!$B227:$U227,'changes2_based on steps'!$B$1:$U$1,O$1)</f>
        <v>0</v>
      </c>
      <c r="P227" s="155">
        <f ca="1">SUMIFS('recurring2_based on steps'!$B227:$AY227,'recurring2_based on steps'!$B$1:$AY$1,P$1)+SUMIFS('changes2_based on steps'!$B227:$U227,'changes2_based on steps'!$B$1:$U$1,P$1)</f>
        <v>0</v>
      </c>
      <c r="Q227" s="155">
        <f>SUMIFS('recurring2_based on steps'!$B227:$AY227,'recurring2_based on steps'!$B$1:$AY$1,Q$1)+SUMIFS('changes2_based on steps'!$B227:$U227,'changes2_based on steps'!$B$1:$U$1,Q$1)</f>
        <v>0</v>
      </c>
      <c r="R227" s="155">
        <f ca="1">SUMIFS('recurring2_based on steps'!$B227:$AY227,'recurring2_based on steps'!$B$1:$AY$1,R$1)+SUMIFS('changes2_based on steps'!$B227:$U227,'changes2_based on steps'!$B$1:$U$1,R$1)</f>
        <v>100</v>
      </c>
      <c r="S227" s="155">
        <f ca="1">SUMIFS('recurring2_based on steps'!$B227:$AY227,'recurring2_based on steps'!$B$1:$AY$1,S$1)+SUMIFS('changes2_based on steps'!$B227:$U227,'changes2_based on steps'!$B$1:$U$1,S$1)</f>
        <v>100</v>
      </c>
      <c r="T227" s="155">
        <f>SUMIFS('recurring2_based on steps'!$B227:$AY227,'recurring2_based on steps'!$B$1:$AY$1,T$1)+SUMIFS('changes2_based on steps'!$B227:$U227,'changes2_based on steps'!$B$1:$U$1,T$1)</f>
        <v>0</v>
      </c>
      <c r="U227" s="155">
        <f ca="1">SUMIFS('recurring2_based on steps'!$B227:$AY227,'recurring2_based on steps'!$B$1:$AY$1,U$1)+SUMIFS('changes2_based on steps'!$B227:$U227,'changes2_based on steps'!$B$1:$U$1,U$1)</f>
        <v>0</v>
      </c>
      <c r="V227" s="155">
        <f>SUMIFS('recurring2_based on steps'!$B227:$AY227,'recurring2_based on steps'!$B$1:$AY$1,V$1)+SUMIFS('changes2_based on steps'!$B227:$U227,'changes2_based on steps'!$B$1:$U$1,V$1)</f>
        <v>0</v>
      </c>
      <c r="W227" s="155">
        <f ca="1">SUMIFS('recurring2_based on steps'!$B227:$AY227,'recurring2_based on steps'!$B$1:$AY$1,W$1)+SUMIFS('changes2_based on steps'!$B227:$U227,'changes2_based on steps'!$B$1:$U$1,W$1)</f>
        <v>0</v>
      </c>
      <c r="X227" s="155">
        <f ca="1">SUMIFS('recurring2_based on steps'!$B227:$AY227,'recurring2_based on steps'!$B$1:$AY$1,X$1)+SUMIFS('changes2_based on steps'!$B227:$U227,'changes2_based on steps'!$B$1:$U$1,X$1)</f>
        <v>0</v>
      </c>
      <c r="Y227" s="155">
        <f ca="1">SUMIFS('recurring2_based on steps'!$B227:$AY227,'recurring2_based on steps'!$B$1:$AY$1,Y$1)+SUMIFS('changes2_based on steps'!$B227:$U227,'changes2_based on steps'!$B$1:$U$1,Y$1)</f>
        <v>0</v>
      </c>
      <c r="Z227" s="155">
        <f>SUMIFS('recurring2_based on steps'!$B227:$AY227,'recurring2_based on steps'!$B$1:$AY$1,Z$1)+SUMIFS('changes2_based on steps'!$B227:$U227,'changes2_based on steps'!$B$1:$U$1,Z$1)</f>
        <v>0</v>
      </c>
      <c r="AA227" s="155">
        <f>SUMIFS('recurring2_based on steps'!$B227:$AY227,'recurring2_based on steps'!$B$1:$AY$1,AA$1)+SUMIFS('changes2_based on steps'!$B227:$U227,'changes2_based on steps'!$B$1:$U$1,AA$1)</f>
        <v>0</v>
      </c>
    </row>
    <row r="228" spans="1:27" x14ac:dyDescent="0.2">
      <c r="A228" s="18">
        <f t="shared" ca="1" si="3"/>
        <v>45914</v>
      </c>
      <c r="B228" s="155">
        <f ca="1">SUMIFS('recurring2_based on steps'!$B228:$AY228,'recurring2_based on steps'!$B$1:$AY$1,B$1)+SUMIFS('changes2_based on steps'!$B228:$U228,'changes2_based on steps'!$B$1:$U$1,B$1)</f>
        <v>0</v>
      </c>
      <c r="C228" s="155">
        <f>SUMIFS('recurring2_based on steps'!$B228:$AY228,'recurring2_based on steps'!$B$1:$AY$1,C$1)+SUMIFS('changes2_based on steps'!$B228:$U228,'changes2_based on steps'!$B$1:$U$1,C$1)</f>
        <v>0</v>
      </c>
      <c r="D228" s="155">
        <f>SUMIFS('recurring2_based on steps'!$B228:$AY228,'recurring2_based on steps'!$B$1:$AY$1,D$1)+SUMIFS('changes2_based on steps'!$B228:$U228,'changes2_based on steps'!$B$1:$U$1,D$1)</f>
        <v>0</v>
      </c>
      <c r="E228" s="155">
        <f>SUMIFS('recurring2_based on steps'!$B228:$AY228,'recurring2_based on steps'!$B$1:$AY$1,E$1)+SUMIFS('changes2_based on steps'!$B228:$U228,'changes2_based on steps'!$B$1:$U$1,E$1)</f>
        <v>0</v>
      </c>
      <c r="F228" s="155">
        <f>SUMIFS('recurring2_based on steps'!$B228:$AY228,'recurring2_based on steps'!$B$1:$AY$1,F$1)+SUMIFS('changes2_based on steps'!$B228:$U228,'changes2_based on steps'!$B$1:$U$1,F$1)</f>
        <v>0</v>
      </c>
      <c r="G228" s="155">
        <f>SUMIFS('recurring2_based on steps'!$B228:$AY228,'recurring2_based on steps'!$B$1:$AY$1,G$1)+SUMIFS('changes2_based on steps'!$B228:$U228,'changes2_based on steps'!$B$1:$U$1,G$1)</f>
        <v>0</v>
      </c>
      <c r="H228" s="155">
        <f ca="1">SUMIFS('recurring2_based on steps'!$B228:$AY228,'recurring2_based on steps'!$B$1:$AY$1,H$1)+SUMIFS('changes2_based on steps'!$B228:$U228,'changes2_based on steps'!$B$1:$U$1,H$1)</f>
        <v>0</v>
      </c>
      <c r="I228" s="155">
        <f>SUMIFS('recurring2_based on steps'!$B228:$AY228,'recurring2_based on steps'!$B$1:$AY$1,I$1)+SUMIFS('changes2_based on steps'!$B228:$U228,'changes2_based on steps'!$B$1:$U$1,I$1)</f>
        <v>0</v>
      </c>
      <c r="J228" s="155">
        <f>SUMIFS('recurring2_based on steps'!$B228:$AY228,'recurring2_based on steps'!$B$1:$AY$1,J$1)+SUMIFS('changes2_based on steps'!$B228:$U228,'changes2_based on steps'!$B$1:$U$1,J$1)</f>
        <v>0</v>
      </c>
      <c r="K228" s="155">
        <f>SUMIFS('recurring2_based on steps'!$B228:$AY228,'recurring2_based on steps'!$B$1:$AY$1,K$1)+SUMIFS('changes2_based on steps'!$B228:$U228,'changes2_based on steps'!$B$1:$U$1,K$1)</f>
        <v>0</v>
      </c>
      <c r="L228" s="155">
        <f>SUMIFS('recurring2_based on steps'!$B228:$AY228,'recurring2_based on steps'!$B$1:$AY$1,L$1)+SUMIFS('changes2_based on steps'!$B228:$U228,'changes2_based on steps'!$B$1:$U$1,L$1)</f>
        <v>0</v>
      </c>
      <c r="M228" s="155">
        <f ca="1">SUMIFS('recurring2_based on steps'!$B228:$AY228,'recurring2_based on steps'!$B$1:$AY$1,M$1)+SUMIFS('changes2_based on steps'!$B228:$U228,'changes2_based on steps'!$B$1:$U$1,M$1)</f>
        <v>0</v>
      </c>
      <c r="N228" s="155">
        <f ca="1">SUMIFS('recurring2_based on steps'!$B228:$AY228,'recurring2_based on steps'!$B$1:$AY$1,N$1)+SUMIFS('changes2_based on steps'!$B228:$U228,'changes2_based on steps'!$B$1:$U$1,N$1)</f>
        <v>50</v>
      </c>
      <c r="O228" s="155">
        <f ca="1">SUMIFS('recurring2_based on steps'!$B228:$AY228,'recurring2_based on steps'!$B$1:$AY$1,O$1)+SUMIFS('changes2_based on steps'!$B228:$U228,'changes2_based on steps'!$B$1:$U$1,O$1)</f>
        <v>0</v>
      </c>
      <c r="P228" s="155">
        <f ca="1">SUMIFS('recurring2_based on steps'!$B228:$AY228,'recurring2_based on steps'!$B$1:$AY$1,P$1)+SUMIFS('changes2_based on steps'!$B228:$U228,'changes2_based on steps'!$B$1:$U$1,P$1)</f>
        <v>0</v>
      </c>
      <c r="Q228" s="155">
        <f>SUMIFS('recurring2_based on steps'!$B228:$AY228,'recurring2_based on steps'!$B$1:$AY$1,Q$1)+SUMIFS('changes2_based on steps'!$B228:$U228,'changes2_based on steps'!$B$1:$U$1,Q$1)</f>
        <v>0</v>
      </c>
      <c r="R228" s="155">
        <f ca="1">SUMIFS('recurring2_based on steps'!$B228:$AY228,'recurring2_based on steps'!$B$1:$AY$1,R$1)+SUMIFS('changes2_based on steps'!$B228:$U228,'changes2_based on steps'!$B$1:$U$1,R$1)</f>
        <v>0</v>
      </c>
      <c r="S228" s="155">
        <f ca="1">SUMIFS('recurring2_based on steps'!$B228:$AY228,'recurring2_based on steps'!$B$1:$AY$1,S$1)+SUMIFS('changes2_based on steps'!$B228:$U228,'changes2_based on steps'!$B$1:$U$1,S$1)</f>
        <v>100</v>
      </c>
      <c r="T228" s="155">
        <f>SUMIFS('recurring2_based on steps'!$B228:$AY228,'recurring2_based on steps'!$B$1:$AY$1,T$1)+SUMIFS('changes2_based on steps'!$B228:$U228,'changes2_based on steps'!$B$1:$U$1,T$1)</f>
        <v>0</v>
      </c>
      <c r="U228" s="155">
        <f ca="1">SUMIFS('recurring2_based on steps'!$B228:$AY228,'recurring2_based on steps'!$B$1:$AY$1,U$1)+SUMIFS('changes2_based on steps'!$B228:$U228,'changes2_based on steps'!$B$1:$U$1,U$1)</f>
        <v>0</v>
      </c>
      <c r="V228" s="155">
        <f>SUMIFS('recurring2_based on steps'!$B228:$AY228,'recurring2_based on steps'!$B$1:$AY$1,V$1)+SUMIFS('changes2_based on steps'!$B228:$U228,'changes2_based on steps'!$B$1:$U$1,V$1)</f>
        <v>0</v>
      </c>
      <c r="W228" s="155">
        <f ca="1">SUMIFS('recurring2_based on steps'!$B228:$AY228,'recurring2_based on steps'!$B$1:$AY$1,W$1)+SUMIFS('changes2_based on steps'!$B228:$U228,'changes2_based on steps'!$B$1:$U$1,W$1)</f>
        <v>0</v>
      </c>
      <c r="X228" s="155">
        <f ca="1">SUMIFS('recurring2_based on steps'!$B228:$AY228,'recurring2_based on steps'!$B$1:$AY$1,X$1)+SUMIFS('changes2_based on steps'!$B228:$U228,'changes2_based on steps'!$B$1:$U$1,X$1)</f>
        <v>0</v>
      </c>
      <c r="Y228" s="155">
        <f ca="1">SUMIFS('recurring2_based on steps'!$B228:$AY228,'recurring2_based on steps'!$B$1:$AY$1,Y$1)+SUMIFS('changes2_based on steps'!$B228:$U228,'changes2_based on steps'!$B$1:$U$1,Y$1)</f>
        <v>0</v>
      </c>
      <c r="Z228" s="155">
        <f>SUMIFS('recurring2_based on steps'!$B228:$AY228,'recurring2_based on steps'!$B$1:$AY$1,Z$1)+SUMIFS('changes2_based on steps'!$B228:$U228,'changes2_based on steps'!$B$1:$U$1,Z$1)</f>
        <v>0</v>
      </c>
      <c r="AA228" s="155">
        <f>SUMIFS('recurring2_based on steps'!$B228:$AY228,'recurring2_based on steps'!$B$1:$AY$1,AA$1)+SUMIFS('changes2_based on steps'!$B228:$U228,'changes2_based on steps'!$B$1:$U$1,AA$1)</f>
        <v>0</v>
      </c>
    </row>
    <row r="229" spans="1:27" x14ac:dyDescent="0.2">
      <c r="A229" s="18">
        <f t="shared" ca="1" si="3"/>
        <v>45915</v>
      </c>
      <c r="B229" s="155">
        <f ca="1">SUMIFS('recurring2_based on steps'!$B229:$AY229,'recurring2_based on steps'!$B$1:$AY$1,B$1)+SUMIFS('changes2_based on steps'!$B229:$U229,'changes2_based on steps'!$B$1:$U$1,B$1)</f>
        <v>0</v>
      </c>
      <c r="C229" s="155">
        <f>SUMIFS('recurring2_based on steps'!$B229:$AY229,'recurring2_based on steps'!$B$1:$AY$1,C$1)+SUMIFS('changes2_based on steps'!$B229:$U229,'changes2_based on steps'!$B$1:$U$1,C$1)</f>
        <v>0</v>
      </c>
      <c r="D229" s="155">
        <f>SUMIFS('recurring2_based on steps'!$B229:$AY229,'recurring2_based on steps'!$B$1:$AY$1,D$1)+SUMIFS('changes2_based on steps'!$B229:$U229,'changes2_based on steps'!$B$1:$U$1,D$1)</f>
        <v>0</v>
      </c>
      <c r="E229" s="155">
        <f>SUMIFS('recurring2_based on steps'!$B229:$AY229,'recurring2_based on steps'!$B$1:$AY$1,E$1)+SUMIFS('changes2_based on steps'!$B229:$U229,'changes2_based on steps'!$B$1:$U$1,E$1)</f>
        <v>0</v>
      </c>
      <c r="F229" s="155">
        <f>SUMIFS('recurring2_based on steps'!$B229:$AY229,'recurring2_based on steps'!$B$1:$AY$1,F$1)+SUMIFS('changes2_based on steps'!$B229:$U229,'changes2_based on steps'!$B$1:$U$1,F$1)</f>
        <v>0</v>
      </c>
      <c r="G229" s="155">
        <f>SUMIFS('recurring2_based on steps'!$B229:$AY229,'recurring2_based on steps'!$B$1:$AY$1,G$1)+SUMIFS('changes2_based on steps'!$B229:$U229,'changes2_based on steps'!$B$1:$U$1,G$1)</f>
        <v>0</v>
      </c>
      <c r="H229" s="155">
        <f ca="1">SUMIFS('recurring2_based on steps'!$B229:$AY229,'recurring2_based on steps'!$B$1:$AY$1,H$1)+SUMIFS('changes2_based on steps'!$B229:$U229,'changes2_based on steps'!$B$1:$U$1,H$1)</f>
        <v>0</v>
      </c>
      <c r="I229" s="155">
        <f>SUMIFS('recurring2_based on steps'!$B229:$AY229,'recurring2_based on steps'!$B$1:$AY$1,I$1)+SUMIFS('changes2_based on steps'!$B229:$U229,'changes2_based on steps'!$B$1:$U$1,I$1)</f>
        <v>0</v>
      </c>
      <c r="J229" s="155">
        <f>SUMIFS('recurring2_based on steps'!$B229:$AY229,'recurring2_based on steps'!$B$1:$AY$1,J$1)+SUMIFS('changes2_based on steps'!$B229:$U229,'changes2_based on steps'!$B$1:$U$1,J$1)</f>
        <v>0</v>
      </c>
      <c r="K229" s="155">
        <f>SUMIFS('recurring2_based on steps'!$B229:$AY229,'recurring2_based on steps'!$B$1:$AY$1,K$1)+SUMIFS('changes2_based on steps'!$B229:$U229,'changes2_based on steps'!$B$1:$U$1,K$1)</f>
        <v>0</v>
      </c>
      <c r="L229" s="155">
        <f>SUMIFS('recurring2_based on steps'!$B229:$AY229,'recurring2_based on steps'!$B$1:$AY$1,L$1)+SUMIFS('changes2_based on steps'!$B229:$U229,'changes2_based on steps'!$B$1:$U$1,L$1)</f>
        <v>0</v>
      </c>
      <c r="M229" s="155">
        <f ca="1">SUMIFS('recurring2_based on steps'!$B229:$AY229,'recurring2_based on steps'!$B$1:$AY$1,M$1)+SUMIFS('changes2_based on steps'!$B229:$U229,'changes2_based on steps'!$B$1:$U$1,M$1)</f>
        <v>0</v>
      </c>
      <c r="N229" s="155">
        <f ca="1">SUMIFS('recurring2_based on steps'!$B229:$AY229,'recurring2_based on steps'!$B$1:$AY$1,N$1)+SUMIFS('changes2_based on steps'!$B229:$U229,'changes2_based on steps'!$B$1:$U$1,N$1)</f>
        <v>0</v>
      </c>
      <c r="O229" s="155">
        <f ca="1">SUMIFS('recurring2_based on steps'!$B229:$AY229,'recurring2_based on steps'!$B$1:$AY$1,O$1)+SUMIFS('changes2_based on steps'!$B229:$U229,'changes2_based on steps'!$B$1:$U$1,O$1)</f>
        <v>0</v>
      </c>
      <c r="P229" s="155">
        <f ca="1">SUMIFS('recurring2_based on steps'!$B229:$AY229,'recurring2_based on steps'!$B$1:$AY$1,P$1)+SUMIFS('changes2_based on steps'!$B229:$U229,'changes2_based on steps'!$B$1:$U$1,P$1)</f>
        <v>0</v>
      </c>
      <c r="Q229" s="155">
        <f>SUMIFS('recurring2_based on steps'!$B229:$AY229,'recurring2_based on steps'!$B$1:$AY$1,Q$1)+SUMIFS('changes2_based on steps'!$B229:$U229,'changes2_based on steps'!$B$1:$U$1,Q$1)</f>
        <v>0</v>
      </c>
      <c r="R229" s="155">
        <f ca="1">SUMIFS('recurring2_based on steps'!$B229:$AY229,'recurring2_based on steps'!$B$1:$AY$1,R$1)+SUMIFS('changes2_based on steps'!$B229:$U229,'changes2_based on steps'!$B$1:$U$1,R$1)</f>
        <v>0</v>
      </c>
      <c r="S229" s="155">
        <f ca="1">SUMIFS('recurring2_based on steps'!$B229:$AY229,'recurring2_based on steps'!$B$1:$AY$1,S$1)+SUMIFS('changes2_based on steps'!$B229:$U229,'changes2_based on steps'!$B$1:$U$1,S$1)</f>
        <v>0</v>
      </c>
      <c r="T229" s="155">
        <f>SUMIFS('recurring2_based on steps'!$B229:$AY229,'recurring2_based on steps'!$B$1:$AY$1,T$1)+SUMIFS('changes2_based on steps'!$B229:$U229,'changes2_based on steps'!$B$1:$U$1,T$1)</f>
        <v>0</v>
      </c>
      <c r="U229" s="155">
        <f ca="1">SUMIFS('recurring2_based on steps'!$B229:$AY229,'recurring2_based on steps'!$B$1:$AY$1,U$1)+SUMIFS('changes2_based on steps'!$B229:$U229,'changes2_based on steps'!$B$1:$U$1,U$1)</f>
        <v>0</v>
      </c>
      <c r="V229" s="155">
        <f>SUMIFS('recurring2_based on steps'!$B229:$AY229,'recurring2_based on steps'!$B$1:$AY$1,V$1)+SUMIFS('changes2_based on steps'!$B229:$U229,'changes2_based on steps'!$B$1:$U$1,V$1)</f>
        <v>0</v>
      </c>
      <c r="W229" s="155">
        <f ca="1">SUMIFS('recurring2_based on steps'!$B229:$AY229,'recurring2_based on steps'!$B$1:$AY$1,W$1)+SUMIFS('changes2_based on steps'!$B229:$U229,'changes2_based on steps'!$B$1:$U$1,W$1)</f>
        <v>0</v>
      </c>
      <c r="X229" s="155">
        <f ca="1">SUMIFS('recurring2_based on steps'!$B229:$AY229,'recurring2_based on steps'!$B$1:$AY$1,X$1)+SUMIFS('changes2_based on steps'!$B229:$U229,'changes2_based on steps'!$B$1:$U$1,X$1)</f>
        <v>0</v>
      </c>
      <c r="Y229" s="155">
        <f ca="1">SUMIFS('recurring2_based on steps'!$B229:$AY229,'recurring2_based on steps'!$B$1:$AY$1,Y$1)+SUMIFS('changes2_based on steps'!$B229:$U229,'changes2_based on steps'!$B$1:$U$1,Y$1)</f>
        <v>0</v>
      </c>
      <c r="Z229" s="155">
        <f>SUMIFS('recurring2_based on steps'!$B229:$AY229,'recurring2_based on steps'!$B$1:$AY$1,Z$1)+SUMIFS('changes2_based on steps'!$B229:$U229,'changes2_based on steps'!$B$1:$U$1,Z$1)</f>
        <v>0</v>
      </c>
      <c r="AA229" s="155">
        <f>SUMIFS('recurring2_based on steps'!$B229:$AY229,'recurring2_based on steps'!$B$1:$AY$1,AA$1)+SUMIFS('changes2_based on steps'!$B229:$U229,'changes2_based on steps'!$B$1:$U$1,AA$1)</f>
        <v>0</v>
      </c>
    </row>
    <row r="230" spans="1:27" x14ac:dyDescent="0.2">
      <c r="A230" s="18">
        <f t="shared" ca="1" si="3"/>
        <v>45916</v>
      </c>
      <c r="B230" s="155">
        <f ca="1">SUMIFS('recurring2_based on steps'!$B230:$AY230,'recurring2_based on steps'!$B$1:$AY$1,B$1)+SUMIFS('changes2_based on steps'!$B230:$U230,'changes2_based on steps'!$B$1:$U$1,B$1)</f>
        <v>0</v>
      </c>
      <c r="C230" s="155">
        <f>SUMIFS('recurring2_based on steps'!$B230:$AY230,'recurring2_based on steps'!$B$1:$AY$1,C$1)+SUMIFS('changes2_based on steps'!$B230:$U230,'changes2_based on steps'!$B$1:$U$1,C$1)</f>
        <v>0</v>
      </c>
      <c r="D230" s="155">
        <f>SUMIFS('recurring2_based on steps'!$B230:$AY230,'recurring2_based on steps'!$B$1:$AY$1,D$1)+SUMIFS('changes2_based on steps'!$B230:$U230,'changes2_based on steps'!$B$1:$U$1,D$1)</f>
        <v>0</v>
      </c>
      <c r="E230" s="155">
        <f>SUMIFS('recurring2_based on steps'!$B230:$AY230,'recurring2_based on steps'!$B$1:$AY$1,E$1)+SUMIFS('changes2_based on steps'!$B230:$U230,'changes2_based on steps'!$B$1:$U$1,E$1)</f>
        <v>0</v>
      </c>
      <c r="F230" s="155">
        <f>SUMIFS('recurring2_based on steps'!$B230:$AY230,'recurring2_based on steps'!$B$1:$AY$1,F$1)+SUMIFS('changes2_based on steps'!$B230:$U230,'changes2_based on steps'!$B$1:$U$1,F$1)</f>
        <v>0</v>
      </c>
      <c r="G230" s="155">
        <f>SUMIFS('recurring2_based on steps'!$B230:$AY230,'recurring2_based on steps'!$B$1:$AY$1,G$1)+SUMIFS('changes2_based on steps'!$B230:$U230,'changes2_based on steps'!$B$1:$U$1,G$1)</f>
        <v>0</v>
      </c>
      <c r="H230" s="155">
        <f ca="1">SUMIFS('recurring2_based on steps'!$B230:$AY230,'recurring2_based on steps'!$B$1:$AY$1,H$1)+SUMIFS('changes2_based on steps'!$B230:$U230,'changes2_based on steps'!$B$1:$U$1,H$1)</f>
        <v>0</v>
      </c>
      <c r="I230" s="155">
        <f>SUMIFS('recurring2_based on steps'!$B230:$AY230,'recurring2_based on steps'!$B$1:$AY$1,I$1)+SUMIFS('changes2_based on steps'!$B230:$U230,'changes2_based on steps'!$B$1:$U$1,I$1)</f>
        <v>0</v>
      </c>
      <c r="J230" s="155">
        <f>SUMIFS('recurring2_based on steps'!$B230:$AY230,'recurring2_based on steps'!$B$1:$AY$1,J$1)+SUMIFS('changes2_based on steps'!$B230:$U230,'changes2_based on steps'!$B$1:$U$1,J$1)</f>
        <v>0</v>
      </c>
      <c r="K230" s="155">
        <f>SUMIFS('recurring2_based on steps'!$B230:$AY230,'recurring2_based on steps'!$B$1:$AY$1,K$1)+SUMIFS('changes2_based on steps'!$B230:$U230,'changes2_based on steps'!$B$1:$U$1,K$1)</f>
        <v>0</v>
      </c>
      <c r="L230" s="155">
        <f>SUMIFS('recurring2_based on steps'!$B230:$AY230,'recurring2_based on steps'!$B$1:$AY$1,L$1)+SUMIFS('changes2_based on steps'!$B230:$U230,'changes2_based on steps'!$B$1:$U$1,L$1)</f>
        <v>0</v>
      </c>
      <c r="M230" s="155">
        <f ca="1">SUMIFS('recurring2_based on steps'!$B230:$AY230,'recurring2_based on steps'!$B$1:$AY$1,M$1)+SUMIFS('changes2_based on steps'!$B230:$U230,'changes2_based on steps'!$B$1:$U$1,M$1)</f>
        <v>0</v>
      </c>
      <c r="N230" s="155">
        <f ca="1">SUMIFS('recurring2_based on steps'!$B230:$AY230,'recurring2_based on steps'!$B$1:$AY$1,N$1)+SUMIFS('changes2_based on steps'!$B230:$U230,'changes2_based on steps'!$B$1:$U$1,N$1)</f>
        <v>0</v>
      </c>
      <c r="O230" s="155">
        <f ca="1">SUMIFS('recurring2_based on steps'!$B230:$AY230,'recurring2_based on steps'!$B$1:$AY$1,O$1)+SUMIFS('changes2_based on steps'!$B230:$U230,'changes2_based on steps'!$B$1:$U$1,O$1)</f>
        <v>0</v>
      </c>
      <c r="P230" s="155">
        <f ca="1">SUMIFS('recurring2_based on steps'!$B230:$AY230,'recurring2_based on steps'!$B$1:$AY$1,P$1)+SUMIFS('changes2_based on steps'!$B230:$U230,'changes2_based on steps'!$B$1:$U$1,P$1)</f>
        <v>0</v>
      </c>
      <c r="Q230" s="155">
        <f>SUMIFS('recurring2_based on steps'!$B230:$AY230,'recurring2_based on steps'!$B$1:$AY$1,Q$1)+SUMIFS('changes2_based on steps'!$B230:$U230,'changes2_based on steps'!$B$1:$U$1,Q$1)</f>
        <v>0</v>
      </c>
      <c r="R230" s="155">
        <f ca="1">SUMIFS('recurring2_based on steps'!$B230:$AY230,'recurring2_based on steps'!$B$1:$AY$1,R$1)+SUMIFS('changes2_based on steps'!$B230:$U230,'changes2_based on steps'!$B$1:$U$1,R$1)</f>
        <v>0</v>
      </c>
      <c r="S230" s="155">
        <f ca="1">SUMIFS('recurring2_based on steps'!$B230:$AY230,'recurring2_based on steps'!$B$1:$AY$1,S$1)+SUMIFS('changes2_based on steps'!$B230:$U230,'changes2_based on steps'!$B$1:$U$1,S$1)</f>
        <v>0</v>
      </c>
      <c r="T230" s="155">
        <f>SUMIFS('recurring2_based on steps'!$B230:$AY230,'recurring2_based on steps'!$B$1:$AY$1,T$1)+SUMIFS('changes2_based on steps'!$B230:$U230,'changes2_based on steps'!$B$1:$U$1,T$1)</f>
        <v>0</v>
      </c>
      <c r="U230" s="155">
        <f ca="1">SUMIFS('recurring2_based on steps'!$B230:$AY230,'recurring2_based on steps'!$B$1:$AY$1,U$1)+SUMIFS('changes2_based on steps'!$B230:$U230,'changes2_based on steps'!$B$1:$U$1,U$1)</f>
        <v>0</v>
      </c>
      <c r="V230" s="155">
        <f>SUMIFS('recurring2_based on steps'!$B230:$AY230,'recurring2_based on steps'!$B$1:$AY$1,V$1)+SUMIFS('changes2_based on steps'!$B230:$U230,'changes2_based on steps'!$B$1:$U$1,V$1)</f>
        <v>0</v>
      </c>
      <c r="W230" s="155">
        <f ca="1">SUMIFS('recurring2_based on steps'!$B230:$AY230,'recurring2_based on steps'!$B$1:$AY$1,W$1)+SUMIFS('changes2_based on steps'!$B230:$U230,'changes2_based on steps'!$B$1:$U$1,W$1)</f>
        <v>0</v>
      </c>
      <c r="X230" s="155">
        <f ca="1">SUMIFS('recurring2_based on steps'!$B230:$AY230,'recurring2_based on steps'!$B$1:$AY$1,X$1)+SUMIFS('changes2_based on steps'!$B230:$U230,'changes2_based on steps'!$B$1:$U$1,X$1)</f>
        <v>0</v>
      </c>
      <c r="Y230" s="155">
        <f ca="1">SUMIFS('recurring2_based on steps'!$B230:$AY230,'recurring2_based on steps'!$B$1:$AY$1,Y$1)+SUMIFS('changes2_based on steps'!$B230:$U230,'changes2_based on steps'!$B$1:$U$1,Y$1)</f>
        <v>0</v>
      </c>
      <c r="Z230" s="155">
        <f>SUMIFS('recurring2_based on steps'!$B230:$AY230,'recurring2_based on steps'!$B$1:$AY$1,Z$1)+SUMIFS('changes2_based on steps'!$B230:$U230,'changes2_based on steps'!$B$1:$U$1,Z$1)</f>
        <v>0</v>
      </c>
      <c r="AA230" s="155">
        <f>SUMIFS('recurring2_based on steps'!$B230:$AY230,'recurring2_based on steps'!$B$1:$AY$1,AA$1)+SUMIFS('changes2_based on steps'!$B230:$U230,'changes2_based on steps'!$B$1:$U$1,AA$1)</f>
        <v>0</v>
      </c>
    </row>
    <row r="231" spans="1:27" x14ac:dyDescent="0.2">
      <c r="A231" s="18">
        <f t="shared" ca="1" si="3"/>
        <v>45917</v>
      </c>
      <c r="B231" s="155">
        <f ca="1">SUMIFS('recurring2_based on steps'!$B231:$AY231,'recurring2_based on steps'!$B$1:$AY$1,B$1)+SUMIFS('changes2_based on steps'!$B231:$U231,'changes2_based on steps'!$B$1:$U$1,B$1)</f>
        <v>0</v>
      </c>
      <c r="C231" s="155">
        <f>SUMIFS('recurring2_based on steps'!$B231:$AY231,'recurring2_based on steps'!$B$1:$AY$1,C$1)+SUMIFS('changes2_based on steps'!$B231:$U231,'changes2_based on steps'!$B$1:$U$1,C$1)</f>
        <v>0</v>
      </c>
      <c r="D231" s="155">
        <f>SUMIFS('recurring2_based on steps'!$B231:$AY231,'recurring2_based on steps'!$B$1:$AY$1,D$1)+SUMIFS('changes2_based on steps'!$B231:$U231,'changes2_based on steps'!$B$1:$U$1,D$1)</f>
        <v>0</v>
      </c>
      <c r="E231" s="155">
        <f>SUMIFS('recurring2_based on steps'!$B231:$AY231,'recurring2_based on steps'!$B$1:$AY$1,E$1)+SUMIFS('changes2_based on steps'!$B231:$U231,'changes2_based on steps'!$B$1:$U$1,E$1)</f>
        <v>0</v>
      </c>
      <c r="F231" s="155">
        <f>SUMIFS('recurring2_based on steps'!$B231:$AY231,'recurring2_based on steps'!$B$1:$AY$1,F$1)+SUMIFS('changes2_based on steps'!$B231:$U231,'changes2_based on steps'!$B$1:$U$1,F$1)</f>
        <v>0</v>
      </c>
      <c r="G231" s="155">
        <f>SUMIFS('recurring2_based on steps'!$B231:$AY231,'recurring2_based on steps'!$B$1:$AY$1,G$1)+SUMIFS('changes2_based on steps'!$B231:$U231,'changes2_based on steps'!$B$1:$U$1,G$1)</f>
        <v>0</v>
      </c>
      <c r="H231" s="155">
        <f ca="1">SUMIFS('recurring2_based on steps'!$B231:$AY231,'recurring2_based on steps'!$B$1:$AY$1,H$1)+SUMIFS('changes2_based on steps'!$B231:$U231,'changes2_based on steps'!$B$1:$U$1,H$1)</f>
        <v>0</v>
      </c>
      <c r="I231" s="155">
        <f>SUMIFS('recurring2_based on steps'!$B231:$AY231,'recurring2_based on steps'!$B$1:$AY$1,I$1)+SUMIFS('changes2_based on steps'!$B231:$U231,'changes2_based on steps'!$B$1:$U$1,I$1)</f>
        <v>0</v>
      </c>
      <c r="J231" s="155">
        <f>SUMIFS('recurring2_based on steps'!$B231:$AY231,'recurring2_based on steps'!$B$1:$AY$1,J$1)+SUMIFS('changes2_based on steps'!$B231:$U231,'changes2_based on steps'!$B$1:$U$1,J$1)</f>
        <v>0</v>
      </c>
      <c r="K231" s="155">
        <f>SUMIFS('recurring2_based on steps'!$B231:$AY231,'recurring2_based on steps'!$B$1:$AY$1,K$1)+SUMIFS('changes2_based on steps'!$B231:$U231,'changes2_based on steps'!$B$1:$U$1,K$1)</f>
        <v>0</v>
      </c>
      <c r="L231" s="155">
        <f>SUMIFS('recurring2_based on steps'!$B231:$AY231,'recurring2_based on steps'!$B$1:$AY$1,L$1)+SUMIFS('changes2_based on steps'!$B231:$U231,'changes2_based on steps'!$B$1:$U$1,L$1)</f>
        <v>0</v>
      </c>
      <c r="M231" s="155">
        <f ca="1">SUMIFS('recurring2_based on steps'!$B231:$AY231,'recurring2_based on steps'!$B$1:$AY$1,M$1)+SUMIFS('changes2_based on steps'!$B231:$U231,'changes2_based on steps'!$B$1:$U$1,M$1)</f>
        <v>0</v>
      </c>
      <c r="N231" s="155">
        <f ca="1">SUMIFS('recurring2_based on steps'!$B231:$AY231,'recurring2_based on steps'!$B$1:$AY$1,N$1)+SUMIFS('changes2_based on steps'!$B231:$U231,'changes2_based on steps'!$B$1:$U$1,N$1)</f>
        <v>0</v>
      </c>
      <c r="O231" s="155">
        <f ca="1">SUMIFS('recurring2_based on steps'!$B231:$AY231,'recurring2_based on steps'!$B$1:$AY$1,O$1)+SUMIFS('changes2_based on steps'!$B231:$U231,'changes2_based on steps'!$B$1:$U$1,O$1)</f>
        <v>0</v>
      </c>
      <c r="P231" s="155">
        <f ca="1">SUMIFS('recurring2_based on steps'!$B231:$AY231,'recurring2_based on steps'!$B$1:$AY$1,P$1)+SUMIFS('changes2_based on steps'!$B231:$U231,'changes2_based on steps'!$B$1:$U$1,P$1)</f>
        <v>0</v>
      </c>
      <c r="Q231" s="155">
        <f>SUMIFS('recurring2_based on steps'!$B231:$AY231,'recurring2_based on steps'!$B$1:$AY$1,Q$1)+SUMIFS('changes2_based on steps'!$B231:$U231,'changes2_based on steps'!$B$1:$U$1,Q$1)</f>
        <v>0</v>
      </c>
      <c r="R231" s="155">
        <f ca="1">SUMIFS('recurring2_based on steps'!$B231:$AY231,'recurring2_based on steps'!$B$1:$AY$1,R$1)+SUMIFS('changes2_based on steps'!$B231:$U231,'changes2_based on steps'!$B$1:$U$1,R$1)</f>
        <v>0</v>
      </c>
      <c r="S231" s="155">
        <f ca="1">SUMIFS('recurring2_based on steps'!$B231:$AY231,'recurring2_based on steps'!$B$1:$AY$1,S$1)+SUMIFS('changes2_based on steps'!$B231:$U231,'changes2_based on steps'!$B$1:$U$1,S$1)</f>
        <v>0</v>
      </c>
      <c r="T231" s="155">
        <f>SUMIFS('recurring2_based on steps'!$B231:$AY231,'recurring2_based on steps'!$B$1:$AY$1,T$1)+SUMIFS('changes2_based on steps'!$B231:$U231,'changes2_based on steps'!$B$1:$U$1,T$1)</f>
        <v>0</v>
      </c>
      <c r="U231" s="155">
        <f ca="1">SUMIFS('recurring2_based on steps'!$B231:$AY231,'recurring2_based on steps'!$B$1:$AY$1,U$1)+SUMIFS('changes2_based on steps'!$B231:$U231,'changes2_based on steps'!$B$1:$U$1,U$1)</f>
        <v>15.49</v>
      </c>
      <c r="V231" s="155">
        <f>SUMIFS('recurring2_based on steps'!$B231:$AY231,'recurring2_based on steps'!$B$1:$AY$1,V$1)+SUMIFS('changes2_based on steps'!$B231:$U231,'changes2_based on steps'!$B$1:$U$1,V$1)</f>
        <v>0</v>
      </c>
      <c r="W231" s="155">
        <f ca="1">SUMIFS('recurring2_based on steps'!$B231:$AY231,'recurring2_based on steps'!$B$1:$AY$1,W$1)+SUMIFS('changes2_based on steps'!$B231:$U231,'changes2_based on steps'!$B$1:$U$1,W$1)</f>
        <v>0</v>
      </c>
      <c r="X231" s="155">
        <f ca="1">SUMIFS('recurring2_based on steps'!$B231:$AY231,'recurring2_based on steps'!$B$1:$AY$1,X$1)+SUMIFS('changes2_based on steps'!$B231:$U231,'changes2_based on steps'!$B$1:$U$1,X$1)</f>
        <v>0</v>
      </c>
      <c r="Y231" s="155">
        <f ca="1">SUMIFS('recurring2_based on steps'!$B231:$AY231,'recurring2_based on steps'!$B$1:$AY$1,Y$1)+SUMIFS('changes2_based on steps'!$B231:$U231,'changes2_based on steps'!$B$1:$U$1,Y$1)</f>
        <v>200</v>
      </c>
      <c r="Z231" s="155">
        <f>SUMIFS('recurring2_based on steps'!$B231:$AY231,'recurring2_based on steps'!$B$1:$AY$1,Z$1)+SUMIFS('changes2_based on steps'!$B231:$U231,'changes2_based on steps'!$B$1:$U$1,Z$1)</f>
        <v>0</v>
      </c>
      <c r="AA231" s="155">
        <f>SUMIFS('recurring2_based on steps'!$B231:$AY231,'recurring2_based on steps'!$B$1:$AY$1,AA$1)+SUMIFS('changes2_based on steps'!$B231:$U231,'changes2_based on steps'!$B$1:$U$1,AA$1)</f>
        <v>0</v>
      </c>
    </row>
    <row r="232" spans="1:27" x14ac:dyDescent="0.2">
      <c r="A232" s="18">
        <f t="shared" ca="1" si="3"/>
        <v>45918</v>
      </c>
      <c r="B232" s="155">
        <f ca="1">SUMIFS('recurring2_based on steps'!$B232:$AY232,'recurring2_based on steps'!$B$1:$AY$1,B$1)+SUMIFS('changes2_based on steps'!$B232:$U232,'changes2_based on steps'!$B$1:$U$1,B$1)</f>
        <v>0</v>
      </c>
      <c r="C232" s="155">
        <f>SUMIFS('recurring2_based on steps'!$B232:$AY232,'recurring2_based on steps'!$B$1:$AY$1,C$1)+SUMIFS('changes2_based on steps'!$B232:$U232,'changes2_based on steps'!$B$1:$U$1,C$1)</f>
        <v>0</v>
      </c>
      <c r="D232" s="155">
        <f>SUMIFS('recurring2_based on steps'!$B232:$AY232,'recurring2_based on steps'!$B$1:$AY$1,D$1)+SUMIFS('changes2_based on steps'!$B232:$U232,'changes2_based on steps'!$B$1:$U$1,D$1)</f>
        <v>0</v>
      </c>
      <c r="E232" s="155">
        <f>SUMIFS('recurring2_based on steps'!$B232:$AY232,'recurring2_based on steps'!$B$1:$AY$1,E$1)+SUMIFS('changes2_based on steps'!$B232:$U232,'changes2_based on steps'!$B$1:$U$1,E$1)</f>
        <v>0</v>
      </c>
      <c r="F232" s="155">
        <f>SUMIFS('recurring2_based on steps'!$B232:$AY232,'recurring2_based on steps'!$B$1:$AY$1,F$1)+SUMIFS('changes2_based on steps'!$B232:$U232,'changes2_based on steps'!$B$1:$U$1,F$1)</f>
        <v>0</v>
      </c>
      <c r="G232" s="155">
        <f>SUMIFS('recurring2_based on steps'!$B232:$AY232,'recurring2_based on steps'!$B$1:$AY$1,G$1)+SUMIFS('changes2_based on steps'!$B232:$U232,'changes2_based on steps'!$B$1:$U$1,G$1)</f>
        <v>0</v>
      </c>
      <c r="H232" s="155">
        <f ca="1">SUMIFS('recurring2_based on steps'!$B232:$AY232,'recurring2_based on steps'!$B$1:$AY$1,H$1)+SUMIFS('changes2_based on steps'!$B232:$U232,'changes2_based on steps'!$B$1:$U$1,H$1)</f>
        <v>0</v>
      </c>
      <c r="I232" s="155">
        <f>SUMIFS('recurring2_based on steps'!$B232:$AY232,'recurring2_based on steps'!$B$1:$AY$1,I$1)+SUMIFS('changes2_based on steps'!$B232:$U232,'changes2_based on steps'!$B$1:$U$1,I$1)</f>
        <v>0</v>
      </c>
      <c r="J232" s="155">
        <f>SUMIFS('recurring2_based on steps'!$B232:$AY232,'recurring2_based on steps'!$B$1:$AY$1,J$1)+SUMIFS('changes2_based on steps'!$B232:$U232,'changes2_based on steps'!$B$1:$U$1,J$1)</f>
        <v>0</v>
      </c>
      <c r="K232" s="155">
        <f>SUMIFS('recurring2_based on steps'!$B232:$AY232,'recurring2_based on steps'!$B$1:$AY$1,K$1)+SUMIFS('changes2_based on steps'!$B232:$U232,'changes2_based on steps'!$B$1:$U$1,K$1)</f>
        <v>0</v>
      </c>
      <c r="L232" s="155">
        <f>SUMIFS('recurring2_based on steps'!$B232:$AY232,'recurring2_based on steps'!$B$1:$AY$1,L$1)+SUMIFS('changes2_based on steps'!$B232:$U232,'changes2_based on steps'!$B$1:$U$1,L$1)</f>
        <v>0</v>
      </c>
      <c r="M232" s="155">
        <f ca="1">SUMIFS('recurring2_based on steps'!$B232:$AY232,'recurring2_based on steps'!$B$1:$AY$1,M$1)+SUMIFS('changes2_based on steps'!$B232:$U232,'changes2_based on steps'!$B$1:$U$1,M$1)</f>
        <v>0</v>
      </c>
      <c r="N232" s="155">
        <f ca="1">SUMIFS('recurring2_based on steps'!$B232:$AY232,'recurring2_based on steps'!$B$1:$AY$1,N$1)+SUMIFS('changes2_based on steps'!$B232:$U232,'changes2_based on steps'!$B$1:$U$1,N$1)</f>
        <v>0</v>
      </c>
      <c r="O232" s="155">
        <f ca="1">SUMIFS('recurring2_based on steps'!$B232:$AY232,'recurring2_based on steps'!$B$1:$AY$1,O$1)+SUMIFS('changes2_based on steps'!$B232:$U232,'changes2_based on steps'!$B$1:$U$1,O$1)</f>
        <v>0</v>
      </c>
      <c r="P232" s="155">
        <f ca="1">SUMIFS('recurring2_based on steps'!$B232:$AY232,'recurring2_based on steps'!$B$1:$AY$1,P$1)+SUMIFS('changes2_based on steps'!$B232:$U232,'changes2_based on steps'!$B$1:$U$1,P$1)</f>
        <v>0</v>
      </c>
      <c r="Q232" s="155">
        <f>SUMIFS('recurring2_based on steps'!$B232:$AY232,'recurring2_based on steps'!$B$1:$AY$1,Q$1)+SUMIFS('changes2_based on steps'!$B232:$U232,'changes2_based on steps'!$B$1:$U$1,Q$1)</f>
        <v>0</v>
      </c>
      <c r="R232" s="155">
        <f ca="1">SUMIFS('recurring2_based on steps'!$B232:$AY232,'recurring2_based on steps'!$B$1:$AY$1,R$1)+SUMIFS('changes2_based on steps'!$B232:$U232,'changes2_based on steps'!$B$1:$U$1,R$1)</f>
        <v>0</v>
      </c>
      <c r="S232" s="155">
        <f ca="1">SUMIFS('recurring2_based on steps'!$B232:$AY232,'recurring2_based on steps'!$B$1:$AY$1,S$1)+SUMIFS('changes2_based on steps'!$B232:$U232,'changes2_based on steps'!$B$1:$U$1,S$1)</f>
        <v>0</v>
      </c>
      <c r="T232" s="155">
        <f>SUMIFS('recurring2_based on steps'!$B232:$AY232,'recurring2_based on steps'!$B$1:$AY$1,T$1)+SUMIFS('changes2_based on steps'!$B232:$U232,'changes2_based on steps'!$B$1:$U$1,T$1)</f>
        <v>0</v>
      </c>
      <c r="U232" s="155">
        <f ca="1">SUMIFS('recurring2_based on steps'!$B232:$AY232,'recurring2_based on steps'!$B$1:$AY$1,U$1)+SUMIFS('changes2_based on steps'!$B232:$U232,'changes2_based on steps'!$B$1:$U$1,U$1)</f>
        <v>10.99</v>
      </c>
      <c r="V232" s="155">
        <f>SUMIFS('recurring2_based on steps'!$B232:$AY232,'recurring2_based on steps'!$B$1:$AY$1,V$1)+SUMIFS('changes2_based on steps'!$B232:$U232,'changes2_based on steps'!$B$1:$U$1,V$1)</f>
        <v>0</v>
      </c>
      <c r="W232" s="155">
        <f ca="1">SUMIFS('recurring2_based on steps'!$B232:$AY232,'recurring2_based on steps'!$B$1:$AY$1,W$1)+SUMIFS('changes2_based on steps'!$B232:$U232,'changes2_based on steps'!$B$1:$U$1,W$1)</f>
        <v>0</v>
      </c>
      <c r="X232" s="155">
        <f ca="1">SUMIFS('recurring2_based on steps'!$B232:$AY232,'recurring2_based on steps'!$B$1:$AY$1,X$1)+SUMIFS('changes2_based on steps'!$B232:$U232,'changes2_based on steps'!$B$1:$U$1,X$1)</f>
        <v>0</v>
      </c>
      <c r="Y232" s="155">
        <f ca="1">SUMIFS('recurring2_based on steps'!$B232:$AY232,'recurring2_based on steps'!$B$1:$AY$1,Y$1)+SUMIFS('changes2_based on steps'!$B232:$U232,'changes2_based on steps'!$B$1:$U$1,Y$1)</f>
        <v>0</v>
      </c>
      <c r="Z232" s="155">
        <f>SUMIFS('recurring2_based on steps'!$B232:$AY232,'recurring2_based on steps'!$B$1:$AY$1,Z$1)+SUMIFS('changes2_based on steps'!$B232:$U232,'changes2_based on steps'!$B$1:$U$1,Z$1)</f>
        <v>0</v>
      </c>
      <c r="AA232" s="155">
        <f>SUMIFS('recurring2_based on steps'!$B232:$AY232,'recurring2_based on steps'!$B$1:$AY$1,AA$1)+SUMIFS('changes2_based on steps'!$B232:$U232,'changes2_based on steps'!$B$1:$U$1,AA$1)</f>
        <v>0</v>
      </c>
    </row>
    <row r="233" spans="1:27" x14ac:dyDescent="0.2">
      <c r="A233" s="18">
        <f t="shared" ca="1" si="3"/>
        <v>45919</v>
      </c>
      <c r="B233" s="155">
        <f ca="1">SUMIFS('recurring2_based on steps'!$B233:$AY233,'recurring2_based on steps'!$B$1:$AY$1,B$1)+SUMIFS('changes2_based on steps'!$B233:$U233,'changes2_based on steps'!$B$1:$U$1,B$1)</f>
        <v>4000</v>
      </c>
      <c r="C233" s="155">
        <f>SUMIFS('recurring2_based on steps'!$B233:$AY233,'recurring2_based on steps'!$B$1:$AY$1,C$1)+SUMIFS('changes2_based on steps'!$B233:$U233,'changes2_based on steps'!$B$1:$U$1,C$1)</f>
        <v>0</v>
      </c>
      <c r="D233" s="155">
        <f>SUMIFS('recurring2_based on steps'!$B233:$AY233,'recurring2_based on steps'!$B$1:$AY$1,D$1)+SUMIFS('changes2_based on steps'!$B233:$U233,'changes2_based on steps'!$B$1:$U$1,D$1)</f>
        <v>0</v>
      </c>
      <c r="E233" s="155">
        <f>SUMIFS('recurring2_based on steps'!$B233:$AY233,'recurring2_based on steps'!$B$1:$AY$1,E$1)+SUMIFS('changes2_based on steps'!$B233:$U233,'changes2_based on steps'!$B$1:$U$1,E$1)</f>
        <v>0</v>
      </c>
      <c r="F233" s="155">
        <f>SUMIFS('recurring2_based on steps'!$B233:$AY233,'recurring2_based on steps'!$B$1:$AY$1,F$1)+SUMIFS('changes2_based on steps'!$B233:$U233,'changes2_based on steps'!$B$1:$U$1,F$1)</f>
        <v>0</v>
      </c>
      <c r="G233" s="155">
        <f>SUMIFS('recurring2_based on steps'!$B233:$AY233,'recurring2_based on steps'!$B$1:$AY$1,G$1)+SUMIFS('changes2_based on steps'!$B233:$U233,'changes2_based on steps'!$B$1:$U$1,G$1)</f>
        <v>0</v>
      </c>
      <c r="H233" s="155">
        <f ca="1">SUMIFS('recurring2_based on steps'!$B233:$AY233,'recurring2_based on steps'!$B$1:$AY$1,H$1)+SUMIFS('changes2_based on steps'!$B233:$U233,'changes2_based on steps'!$B$1:$U$1,H$1)</f>
        <v>96</v>
      </c>
      <c r="I233" s="155">
        <f>SUMIFS('recurring2_based on steps'!$B233:$AY233,'recurring2_based on steps'!$B$1:$AY$1,I$1)+SUMIFS('changes2_based on steps'!$B233:$U233,'changes2_based on steps'!$B$1:$U$1,I$1)</f>
        <v>0</v>
      </c>
      <c r="J233" s="155">
        <f>SUMIFS('recurring2_based on steps'!$B233:$AY233,'recurring2_based on steps'!$B$1:$AY$1,J$1)+SUMIFS('changes2_based on steps'!$B233:$U233,'changes2_based on steps'!$B$1:$U$1,J$1)</f>
        <v>0</v>
      </c>
      <c r="K233" s="155">
        <f>SUMIFS('recurring2_based on steps'!$B233:$AY233,'recurring2_based on steps'!$B$1:$AY$1,K$1)+SUMIFS('changes2_based on steps'!$B233:$U233,'changes2_based on steps'!$B$1:$U$1,K$1)</f>
        <v>0</v>
      </c>
      <c r="L233" s="155">
        <f>SUMIFS('recurring2_based on steps'!$B233:$AY233,'recurring2_based on steps'!$B$1:$AY$1,L$1)+SUMIFS('changes2_based on steps'!$B233:$U233,'changes2_based on steps'!$B$1:$U$1,L$1)</f>
        <v>0</v>
      </c>
      <c r="M233" s="155">
        <f ca="1">SUMIFS('recurring2_based on steps'!$B233:$AY233,'recurring2_based on steps'!$B$1:$AY$1,M$1)+SUMIFS('changes2_based on steps'!$B233:$U233,'changes2_based on steps'!$B$1:$U$1,M$1)</f>
        <v>0</v>
      </c>
      <c r="N233" s="155">
        <f ca="1">SUMIFS('recurring2_based on steps'!$B233:$AY233,'recurring2_based on steps'!$B$1:$AY$1,N$1)+SUMIFS('changes2_based on steps'!$B233:$U233,'changes2_based on steps'!$B$1:$U$1,N$1)</f>
        <v>0</v>
      </c>
      <c r="O233" s="155">
        <f ca="1">SUMIFS('recurring2_based on steps'!$B233:$AY233,'recurring2_based on steps'!$B$1:$AY$1,O$1)+SUMIFS('changes2_based on steps'!$B233:$U233,'changes2_based on steps'!$B$1:$U$1,O$1)</f>
        <v>0</v>
      </c>
      <c r="P233" s="155">
        <f ca="1">SUMIFS('recurring2_based on steps'!$B233:$AY233,'recurring2_based on steps'!$B$1:$AY$1,P$1)+SUMIFS('changes2_based on steps'!$B233:$U233,'changes2_based on steps'!$B$1:$U$1,P$1)</f>
        <v>0</v>
      </c>
      <c r="Q233" s="155">
        <f>SUMIFS('recurring2_based on steps'!$B233:$AY233,'recurring2_based on steps'!$B$1:$AY$1,Q$1)+SUMIFS('changes2_based on steps'!$B233:$U233,'changes2_based on steps'!$B$1:$U$1,Q$1)</f>
        <v>0</v>
      </c>
      <c r="R233" s="155">
        <f ca="1">SUMIFS('recurring2_based on steps'!$B233:$AY233,'recurring2_based on steps'!$B$1:$AY$1,R$1)+SUMIFS('changes2_based on steps'!$B233:$U233,'changes2_based on steps'!$B$1:$U$1,R$1)</f>
        <v>0</v>
      </c>
      <c r="S233" s="155">
        <f ca="1">SUMIFS('recurring2_based on steps'!$B233:$AY233,'recurring2_based on steps'!$B$1:$AY$1,S$1)+SUMIFS('changes2_based on steps'!$B233:$U233,'changes2_based on steps'!$B$1:$U$1,S$1)</f>
        <v>0</v>
      </c>
      <c r="T233" s="155">
        <f>SUMIFS('recurring2_based on steps'!$B233:$AY233,'recurring2_based on steps'!$B$1:$AY$1,T$1)+SUMIFS('changes2_based on steps'!$B233:$U233,'changes2_based on steps'!$B$1:$U$1,T$1)</f>
        <v>0</v>
      </c>
      <c r="U233" s="155">
        <f ca="1">SUMIFS('recurring2_based on steps'!$B233:$AY233,'recurring2_based on steps'!$B$1:$AY$1,U$1)+SUMIFS('changes2_based on steps'!$B233:$U233,'changes2_based on steps'!$B$1:$U$1,U$1)</f>
        <v>0</v>
      </c>
      <c r="V233" s="155">
        <f>SUMIFS('recurring2_based on steps'!$B233:$AY233,'recurring2_based on steps'!$B$1:$AY$1,V$1)+SUMIFS('changes2_based on steps'!$B233:$U233,'changes2_based on steps'!$B$1:$U$1,V$1)</f>
        <v>0</v>
      </c>
      <c r="W233" s="155">
        <f ca="1">SUMIFS('recurring2_based on steps'!$B233:$AY233,'recurring2_based on steps'!$B$1:$AY$1,W$1)+SUMIFS('changes2_based on steps'!$B233:$U233,'changes2_based on steps'!$B$1:$U$1,W$1)</f>
        <v>50</v>
      </c>
      <c r="X233" s="155">
        <f ca="1">SUMIFS('recurring2_based on steps'!$B233:$AY233,'recurring2_based on steps'!$B$1:$AY$1,X$1)+SUMIFS('changes2_based on steps'!$B233:$U233,'changes2_based on steps'!$B$1:$U$1,X$1)</f>
        <v>200</v>
      </c>
      <c r="Y233" s="155">
        <f ca="1">SUMIFS('recurring2_based on steps'!$B233:$AY233,'recurring2_based on steps'!$B$1:$AY$1,Y$1)+SUMIFS('changes2_based on steps'!$B233:$U233,'changes2_based on steps'!$B$1:$U$1,Y$1)</f>
        <v>0</v>
      </c>
      <c r="Z233" s="155">
        <f>SUMIFS('recurring2_based on steps'!$B233:$AY233,'recurring2_based on steps'!$B$1:$AY$1,Z$1)+SUMIFS('changes2_based on steps'!$B233:$U233,'changes2_based on steps'!$B$1:$U$1,Z$1)</f>
        <v>0</v>
      </c>
      <c r="AA233" s="155">
        <f>SUMIFS('recurring2_based on steps'!$B233:$AY233,'recurring2_based on steps'!$B$1:$AY$1,AA$1)+SUMIFS('changes2_based on steps'!$B233:$U233,'changes2_based on steps'!$B$1:$U$1,AA$1)</f>
        <v>0</v>
      </c>
    </row>
    <row r="234" spans="1:27" x14ac:dyDescent="0.2">
      <c r="A234" s="18">
        <f t="shared" ca="1" si="3"/>
        <v>45920</v>
      </c>
      <c r="B234" s="155">
        <f ca="1">SUMIFS('recurring2_based on steps'!$B234:$AY234,'recurring2_based on steps'!$B$1:$AY$1,B$1)+SUMIFS('changes2_based on steps'!$B234:$U234,'changes2_based on steps'!$B$1:$U$1,B$1)</f>
        <v>0</v>
      </c>
      <c r="C234" s="155">
        <f>SUMIFS('recurring2_based on steps'!$B234:$AY234,'recurring2_based on steps'!$B$1:$AY$1,C$1)+SUMIFS('changes2_based on steps'!$B234:$U234,'changes2_based on steps'!$B$1:$U$1,C$1)</f>
        <v>0</v>
      </c>
      <c r="D234" s="155">
        <f>SUMIFS('recurring2_based on steps'!$B234:$AY234,'recurring2_based on steps'!$B$1:$AY$1,D$1)+SUMIFS('changes2_based on steps'!$B234:$U234,'changes2_based on steps'!$B$1:$U$1,D$1)</f>
        <v>0</v>
      </c>
      <c r="E234" s="155">
        <f>SUMIFS('recurring2_based on steps'!$B234:$AY234,'recurring2_based on steps'!$B$1:$AY$1,E$1)+SUMIFS('changes2_based on steps'!$B234:$U234,'changes2_based on steps'!$B$1:$U$1,E$1)</f>
        <v>0</v>
      </c>
      <c r="F234" s="155">
        <f>SUMIFS('recurring2_based on steps'!$B234:$AY234,'recurring2_based on steps'!$B$1:$AY$1,F$1)+SUMIFS('changes2_based on steps'!$B234:$U234,'changes2_based on steps'!$B$1:$U$1,F$1)</f>
        <v>0</v>
      </c>
      <c r="G234" s="155">
        <f>SUMIFS('recurring2_based on steps'!$B234:$AY234,'recurring2_based on steps'!$B$1:$AY$1,G$1)+SUMIFS('changes2_based on steps'!$B234:$U234,'changes2_based on steps'!$B$1:$U$1,G$1)</f>
        <v>0</v>
      </c>
      <c r="H234" s="155">
        <f ca="1">SUMIFS('recurring2_based on steps'!$B234:$AY234,'recurring2_based on steps'!$B$1:$AY$1,H$1)+SUMIFS('changes2_based on steps'!$B234:$U234,'changes2_based on steps'!$B$1:$U$1,H$1)</f>
        <v>0</v>
      </c>
      <c r="I234" s="155">
        <f>SUMIFS('recurring2_based on steps'!$B234:$AY234,'recurring2_based on steps'!$B$1:$AY$1,I$1)+SUMIFS('changes2_based on steps'!$B234:$U234,'changes2_based on steps'!$B$1:$U$1,I$1)</f>
        <v>0</v>
      </c>
      <c r="J234" s="155">
        <f>SUMIFS('recurring2_based on steps'!$B234:$AY234,'recurring2_based on steps'!$B$1:$AY$1,J$1)+SUMIFS('changes2_based on steps'!$B234:$U234,'changes2_based on steps'!$B$1:$U$1,J$1)</f>
        <v>0</v>
      </c>
      <c r="K234" s="155">
        <f>SUMIFS('recurring2_based on steps'!$B234:$AY234,'recurring2_based on steps'!$B$1:$AY$1,K$1)+SUMIFS('changes2_based on steps'!$B234:$U234,'changes2_based on steps'!$B$1:$U$1,K$1)</f>
        <v>0</v>
      </c>
      <c r="L234" s="155">
        <f>SUMIFS('recurring2_based on steps'!$B234:$AY234,'recurring2_based on steps'!$B$1:$AY$1,L$1)+SUMIFS('changes2_based on steps'!$B234:$U234,'changes2_based on steps'!$B$1:$U$1,L$1)</f>
        <v>0</v>
      </c>
      <c r="M234" s="155">
        <f ca="1">SUMIFS('recurring2_based on steps'!$B234:$AY234,'recurring2_based on steps'!$B$1:$AY$1,M$1)+SUMIFS('changes2_based on steps'!$B234:$U234,'changes2_based on steps'!$B$1:$U$1,M$1)</f>
        <v>0</v>
      </c>
      <c r="N234" s="155">
        <f ca="1">SUMIFS('recurring2_based on steps'!$B234:$AY234,'recurring2_based on steps'!$B$1:$AY$1,N$1)+SUMIFS('changes2_based on steps'!$B234:$U234,'changes2_based on steps'!$B$1:$U$1,N$1)</f>
        <v>0</v>
      </c>
      <c r="O234" s="155">
        <f ca="1">SUMIFS('recurring2_based on steps'!$B234:$AY234,'recurring2_based on steps'!$B$1:$AY$1,O$1)+SUMIFS('changes2_based on steps'!$B234:$U234,'changes2_based on steps'!$B$1:$U$1,O$1)</f>
        <v>0</v>
      </c>
      <c r="P234" s="155">
        <f ca="1">SUMIFS('recurring2_based on steps'!$B234:$AY234,'recurring2_based on steps'!$B$1:$AY$1,P$1)+SUMIFS('changes2_based on steps'!$B234:$U234,'changes2_based on steps'!$B$1:$U$1,P$1)</f>
        <v>0</v>
      </c>
      <c r="Q234" s="155">
        <f>SUMIFS('recurring2_based on steps'!$B234:$AY234,'recurring2_based on steps'!$B$1:$AY$1,Q$1)+SUMIFS('changes2_based on steps'!$B234:$U234,'changes2_based on steps'!$B$1:$U$1,Q$1)</f>
        <v>0</v>
      </c>
      <c r="R234" s="155">
        <f ca="1">SUMIFS('recurring2_based on steps'!$B234:$AY234,'recurring2_based on steps'!$B$1:$AY$1,R$1)+SUMIFS('changes2_based on steps'!$B234:$U234,'changes2_based on steps'!$B$1:$U$1,R$1)</f>
        <v>100</v>
      </c>
      <c r="S234" s="155">
        <f ca="1">SUMIFS('recurring2_based on steps'!$B234:$AY234,'recurring2_based on steps'!$B$1:$AY$1,S$1)+SUMIFS('changes2_based on steps'!$B234:$U234,'changes2_based on steps'!$B$1:$U$1,S$1)</f>
        <v>100</v>
      </c>
      <c r="T234" s="155">
        <f>SUMIFS('recurring2_based on steps'!$B234:$AY234,'recurring2_based on steps'!$B$1:$AY$1,T$1)+SUMIFS('changes2_based on steps'!$B234:$U234,'changes2_based on steps'!$B$1:$U$1,T$1)</f>
        <v>0</v>
      </c>
      <c r="U234" s="155">
        <f ca="1">SUMIFS('recurring2_based on steps'!$B234:$AY234,'recurring2_based on steps'!$B$1:$AY$1,U$1)+SUMIFS('changes2_based on steps'!$B234:$U234,'changes2_based on steps'!$B$1:$U$1,U$1)</f>
        <v>0</v>
      </c>
      <c r="V234" s="155">
        <f>SUMIFS('recurring2_based on steps'!$B234:$AY234,'recurring2_based on steps'!$B$1:$AY$1,V$1)+SUMIFS('changes2_based on steps'!$B234:$U234,'changes2_based on steps'!$B$1:$U$1,V$1)</f>
        <v>0</v>
      </c>
      <c r="W234" s="155">
        <f ca="1">SUMIFS('recurring2_based on steps'!$B234:$AY234,'recurring2_based on steps'!$B$1:$AY$1,W$1)+SUMIFS('changes2_based on steps'!$B234:$U234,'changes2_based on steps'!$B$1:$U$1,W$1)</f>
        <v>0</v>
      </c>
      <c r="X234" s="155">
        <f ca="1">SUMIFS('recurring2_based on steps'!$B234:$AY234,'recurring2_based on steps'!$B$1:$AY$1,X$1)+SUMIFS('changes2_based on steps'!$B234:$U234,'changes2_based on steps'!$B$1:$U$1,X$1)</f>
        <v>0</v>
      </c>
      <c r="Y234" s="155">
        <f ca="1">SUMIFS('recurring2_based on steps'!$B234:$AY234,'recurring2_based on steps'!$B$1:$AY$1,Y$1)+SUMIFS('changes2_based on steps'!$B234:$U234,'changes2_based on steps'!$B$1:$U$1,Y$1)</f>
        <v>0</v>
      </c>
      <c r="Z234" s="155">
        <f>SUMIFS('recurring2_based on steps'!$B234:$AY234,'recurring2_based on steps'!$B$1:$AY$1,Z$1)+SUMIFS('changes2_based on steps'!$B234:$U234,'changes2_based on steps'!$B$1:$U$1,Z$1)</f>
        <v>0</v>
      </c>
      <c r="AA234" s="155">
        <f>SUMIFS('recurring2_based on steps'!$B234:$AY234,'recurring2_based on steps'!$B$1:$AY$1,AA$1)+SUMIFS('changes2_based on steps'!$B234:$U234,'changes2_based on steps'!$B$1:$U$1,AA$1)</f>
        <v>0</v>
      </c>
    </row>
    <row r="235" spans="1:27" x14ac:dyDescent="0.2">
      <c r="A235" s="18">
        <f t="shared" ca="1" si="3"/>
        <v>45921</v>
      </c>
      <c r="B235" s="155">
        <f ca="1">SUMIFS('recurring2_based on steps'!$B235:$AY235,'recurring2_based on steps'!$B$1:$AY$1,B$1)+SUMIFS('changes2_based on steps'!$B235:$U235,'changes2_based on steps'!$B$1:$U$1,B$1)</f>
        <v>0</v>
      </c>
      <c r="C235" s="155">
        <f>SUMIFS('recurring2_based on steps'!$B235:$AY235,'recurring2_based on steps'!$B$1:$AY$1,C$1)+SUMIFS('changes2_based on steps'!$B235:$U235,'changes2_based on steps'!$B$1:$U$1,C$1)</f>
        <v>0</v>
      </c>
      <c r="D235" s="155">
        <f>SUMIFS('recurring2_based on steps'!$B235:$AY235,'recurring2_based on steps'!$B$1:$AY$1,D$1)+SUMIFS('changes2_based on steps'!$B235:$U235,'changes2_based on steps'!$B$1:$U$1,D$1)</f>
        <v>0</v>
      </c>
      <c r="E235" s="155">
        <f>SUMIFS('recurring2_based on steps'!$B235:$AY235,'recurring2_based on steps'!$B$1:$AY$1,E$1)+SUMIFS('changes2_based on steps'!$B235:$U235,'changes2_based on steps'!$B$1:$U$1,E$1)</f>
        <v>0</v>
      </c>
      <c r="F235" s="155">
        <f>SUMIFS('recurring2_based on steps'!$B235:$AY235,'recurring2_based on steps'!$B$1:$AY$1,F$1)+SUMIFS('changes2_based on steps'!$B235:$U235,'changes2_based on steps'!$B$1:$U$1,F$1)</f>
        <v>0</v>
      </c>
      <c r="G235" s="155">
        <f>SUMIFS('recurring2_based on steps'!$B235:$AY235,'recurring2_based on steps'!$B$1:$AY$1,G$1)+SUMIFS('changes2_based on steps'!$B235:$U235,'changes2_based on steps'!$B$1:$U$1,G$1)</f>
        <v>0</v>
      </c>
      <c r="H235" s="155">
        <f ca="1">SUMIFS('recurring2_based on steps'!$B235:$AY235,'recurring2_based on steps'!$B$1:$AY$1,H$1)+SUMIFS('changes2_based on steps'!$B235:$U235,'changes2_based on steps'!$B$1:$U$1,H$1)</f>
        <v>0</v>
      </c>
      <c r="I235" s="155">
        <f>SUMIFS('recurring2_based on steps'!$B235:$AY235,'recurring2_based on steps'!$B$1:$AY$1,I$1)+SUMIFS('changes2_based on steps'!$B235:$U235,'changes2_based on steps'!$B$1:$U$1,I$1)</f>
        <v>0</v>
      </c>
      <c r="J235" s="155">
        <f>SUMIFS('recurring2_based on steps'!$B235:$AY235,'recurring2_based on steps'!$B$1:$AY$1,J$1)+SUMIFS('changes2_based on steps'!$B235:$U235,'changes2_based on steps'!$B$1:$U$1,J$1)</f>
        <v>0</v>
      </c>
      <c r="K235" s="155">
        <f>SUMIFS('recurring2_based on steps'!$B235:$AY235,'recurring2_based on steps'!$B$1:$AY$1,K$1)+SUMIFS('changes2_based on steps'!$B235:$U235,'changes2_based on steps'!$B$1:$U$1,K$1)</f>
        <v>0</v>
      </c>
      <c r="L235" s="155">
        <f>SUMIFS('recurring2_based on steps'!$B235:$AY235,'recurring2_based on steps'!$B$1:$AY$1,L$1)+SUMIFS('changes2_based on steps'!$B235:$U235,'changes2_based on steps'!$B$1:$U$1,L$1)</f>
        <v>0</v>
      </c>
      <c r="M235" s="155">
        <f ca="1">SUMIFS('recurring2_based on steps'!$B235:$AY235,'recurring2_based on steps'!$B$1:$AY$1,M$1)+SUMIFS('changes2_based on steps'!$B235:$U235,'changes2_based on steps'!$B$1:$U$1,M$1)</f>
        <v>0</v>
      </c>
      <c r="N235" s="155">
        <f ca="1">SUMIFS('recurring2_based on steps'!$B235:$AY235,'recurring2_based on steps'!$B$1:$AY$1,N$1)+SUMIFS('changes2_based on steps'!$B235:$U235,'changes2_based on steps'!$B$1:$U$1,N$1)</f>
        <v>50</v>
      </c>
      <c r="O235" s="155">
        <f ca="1">SUMIFS('recurring2_based on steps'!$B235:$AY235,'recurring2_based on steps'!$B$1:$AY$1,O$1)+SUMIFS('changes2_based on steps'!$B235:$U235,'changes2_based on steps'!$B$1:$U$1,O$1)</f>
        <v>0</v>
      </c>
      <c r="P235" s="155">
        <f ca="1">SUMIFS('recurring2_based on steps'!$B235:$AY235,'recurring2_based on steps'!$B$1:$AY$1,P$1)+SUMIFS('changes2_based on steps'!$B235:$U235,'changes2_based on steps'!$B$1:$U$1,P$1)</f>
        <v>0</v>
      </c>
      <c r="Q235" s="155">
        <f>SUMIFS('recurring2_based on steps'!$B235:$AY235,'recurring2_based on steps'!$B$1:$AY$1,Q$1)+SUMIFS('changes2_based on steps'!$B235:$U235,'changes2_based on steps'!$B$1:$U$1,Q$1)</f>
        <v>0</v>
      </c>
      <c r="R235" s="155">
        <f ca="1">SUMIFS('recurring2_based on steps'!$B235:$AY235,'recurring2_based on steps'!$B$1:$AY$1,R$1)+SUMIFS('changes2_based on steps'!$B235:$U235,'changes2_based on steps'!$B$1:$U$1,R$1)</f>
        <v>0</v>
      </c>
      <c r="S235" s="155">
        <f ca="1">SUMIFS('recurring2_based on steps'!$B235:$AY235,'recurring2_based on steps'!$B$1:$AY$1,S$1)+SUMIFS('changes2_based on steps'!$B235:$U235,'changes2_based on steps'!$B$1:$U$1,S$1)</f>
        <v>100</v>
      </c>
      <c r="T235" s="155">
        <f>SUMIFS('recurring2_based on steps'!$B235:$AY235,'recurring2_based on steps'!$B$1:$AY$1,T$1)+SUMIFS('changes2_based on steps'!$B235:$U235,'changes2_based on steps'!$B$1:$U$1,T$1)</f>
        <v>0</v>
      </c>
      <c r="U235" s="155">
        <f ca="1">SUMIFS('recurring2_based on steps'!$B235:$AY235,'recurring2_based on steps'!$B$1:$AY$1,U$1)+SUMIFS('changes2_based on steps'!$B235:$U235,'changes2_based on steps'!$B$1:$U$1,U$1)</f>
        <v>0</v>
      </c>
      <c r="V235" s="155">
        <f>SUMIFS('recurring2_based on steps'!$B235:$AY235,'recurring2_based on steps'!$B$1:$AY$1,V$1)+SUMIFS('changes2_based on steps'!$B235:$U235,'changes2_based on steps'!$B$1:$U$1,V$1)</f>
        <v>0</v>
      </c>
      <c r="W235" s="155">
        <f ca="1">SUMIFS('recurring2_based on steps'!$B235:$AY235,'recurring2_based on steps'!$B$1:$AY$1,W$1)+SUMIFS('changes2_based on steps'!$B235:$U235,'changes2_based on steps'!$B$1:$U$1,W$1)</f>
        <v>0</v>
      </c>
      <c r="X235" s="155">
        <f ca="1">SUMIFS('recurring2_based on steps'!$B235:$AY235,'recurring2_based on steps'!$B$1:$AY$1,X$1)+SUMIFS('changes2_based on steps'!$B235:$U235,'changes2_based on steps'!$B$1:$U$1,X$1)</f>
        <v>0</v>
      </c>
      <c r="Y235" s="155">
        <f ca="1">SUMIFS('recurring2_based on steps'!$B235:$AY235,'recurring2_based on steps'!$B$1:$AY$1,Y$1)+SUMIFS('changes2_based on steps'!$B235:$U235,'changes2_based on steps'!$B$1:$U$1,Y$1)</f>
        <v>0</v>
      </c>
      <c r="Z235" s="155">
        <f>SUMIFS('recurring2_based on steps'!$B235:$AY235,'recurring2_based on steps'!$B$1:$AY$1,Z$1)+SUMIFS('changes2_based on steps'!$B235:$U235,'changes2_based on steps'!$B$1:$U$1,Z$1)</f>
        <v>0</v>
      </c>
      <c r="AA235" s="155">
        <f>SUMIFS('recurring2_based on steps'!$B235:$AY235,'recurring2_based on steps'!$B$1:$AY$1,AA$1)+SUMIFS('changes2_based on steps'!$B235:$U235,'changes2_based on steps'!$B$1:$U$1,AA$1)</f>
        <v>0</v>
      </c>
    </row>
    <row r="236" spans="1:27" x14ac:dyDescent="0.2">
      <c r="A236" s="18">
        <f t="shared" ca="1" si="3"/>
        <v>45922</v>
      </c>
      <c r="B236" s="155">
        <f ca="1">SUMIFS('recurring2_based on steps'!$B236:$AY236,'recurring2_based on steps'!$B$1:$AY$1,B$1)+SUMIFS('changes2_based on steps'!$B236:$U236,'changes2_based on steps'!$B$1:$U$1,B$1)</f>
        <v>0</v>
      </c>
      <c r="C236" s="155">
        <f>SUMIFS('recurring2_based on steps'!$B236:$AY236,'recurring2_based on steps'!$B$1:$AY$1,C$1)+SUMIFS('changes2_based on steps'!$B236:$U236,'changes2_based on steps'!$B$1:$U$1,C$1)</f>
        <v>0</v>
      </c>
      <c r="D236" s="155">
        <f>SUMIFS('recurring2_based on steps'!$B236:$AY236,'recurring2_based on steps'!$B$1:$AY$1,D$1)+SUMIFS('changes2_based on steps'!$B236:$U236,'changes2_based on steps'!$B$1:$U$1,D$1)</f>
        <v>0</v>
      </c>
      <c r="E236" s="155">
        <f>SUMIFS('recurring2_based on steps'!$B236:$AY236,'recurring2_based on steps'!$B$1:$AY$1,E$1)+SUMIFS('changes2_based on steps'!$B236:$U236,'changes2_based on steps'!$B$1:$U$1,E$1)</f>
        <v>0</v>
      </c>
      <c r="F236" s="155">
        <f>SUMIFS('recurring2_based on steps'!$B236:$AY236,'recurring2_based on steps'!$B$1:$AY$1,F$1)+SUMIFS('changes2_based on steps'!$B236:$U236,'changes2_based on steps'!$B$1:$U$1,F$1)</f>
        <v>0</v>
      </c>
      <c r="G236" s="155">
        <f>SUMIFS('recurring2_based on steps'!$B236:$AY236,'recurring2_based on steps'!$B$1:$AY$1,G$1)+SUMIFS('changes2_based on steps'!$B236:$U236,'changes2_based on steps'!$B$1:$U$1,G$1)</f>
        <v>0</v>
      </c>
      <c r="H236" s="155">
        <f ca="1">SUMIFS('recurring2_based on steps'!$B236:$AY236,'recurring2_based on steps'!$B$1:$AY$1,H$1)+SUMIFS('changes2_based on steps'!$B236:$U236,'changes2_based on steps'!$B$1:$U$1,H$1)</f>
        <v>0</v>
      </c>
      <c r="I236" s="155">
        <f>SUMIFS('recurring2_based on steps'!$B236:$AY236,'recurring2_based on steps'!$B$1:$AY$1,I$1)+SUMIFS('changes2_based on steps'!$B236:$U236,'changes2_based on steps'!$B$1:$U$1,I$1)</f>
        <v>0</v>
      </c>
      <c r="J236" s="155">
        <f>SUMIFS('recurring2_based on steps'!$B236:$AY236,'recurring2_based on steps'!$B$1:$AY$1,J$1)+SUMIFS('changes2_based on steps'!$B236:$U236,'changes2_based on steps'!$B$1:$U$1,J$1)</f>
        <v>0</v>
      </c>
      <c r="K236" s="155">
        <f>SUMIFS('recurring2_based on steps'!$B236:$AY236,'recurring2_based on steps'!$B$1:$AY$1,K$1)+SUMIFS('changes2_based on steps'!$B236:$U236,'changes2_based on steps'!$B$1:$U$1,K$1)</f>
        <v>0</v>
      </c>
      <c r="L236" s="155">
        <f>SUMIFS('recurring2_based on steps'!$B236:$AY236,'recurring2_based on steps'!$B$1:$AY$1,L$1)+SUMIFS('changes2_based on steps'!$B236:$U236,'changes2_based on steps'!$B$1:$U$1,L$1)</f>
        <v>0</v>
      </c>
      <c r="M236" s="155">
        <f ca="1">SUMIFS('recurring2_based on steps'!$B236:$AY236,'recurring2_based on steps'!$B$1:$AY$1,M$1)+SUMIFS('changes2_based on steps'!$B236:$U236,'changes2_based on steps'!$B$1:$U$1,M$1)</f>
        <v>0</v>
      </c>
      <c r="N236" s="155">
        <f ca="1">SUMIFS('recurring2_based on steps'!$B236:$AY236,'recurring2_based on steps'!$B$1:$AY$1,N$1)+SUMIFS('changes2_based on steps'!$B236:$U236,'changes2_based on steps'!$B$1:$U$1,N$1)</f>
        <v>0</v>
      </c>
      <c r="O236" s="155">
        <f ca="1">SUMIFS('recurring2_based on steps'!$B236:$AY236,'recurring2_based on steps'!$B$1:$AY$1,O$1)+SUMIFS('changes2_based on steps'!$B236:$U236,'changes2_based on steps'!$B$1:$U$1,O$1)</f>
        <v>0</v>
      </c>
      <c r="P236" s="155">
        <f ca="1">SUMIFS('recurring2_based on steps'!$B236:$AY236,'recurring2_based on steps'!$B$1:$AY$1,P$1)+SUMIFS('changes2_based on steps'!$B236:$U236,'changes2_based on steps'!$B$1:$U$1,P$1)</f>
        <v>50</v>
      </c>
      <c r="Q236" s="155">
        <f>SUMIFS('recurring2_based on steps'!$B236:$AY236,'recurring2_based on steps'!$B$1:$AY$1,Q$1)+SUMIFS('changes2_based on steps'!$B236:$U236,'changes2_based on steps'!$B$1:$U$1,Q$1)</f>
        <v>0</v>
      </c>
      <c r="R236" s="155">
        <f ca="1">SUMIFS('recurring2_based on steps'!$B236:$AY236,'recurring2_based on steps'!$B$1:$AY$1,R$1)+SUMIFS('changes2_based on steps'!$B236:$U236,'changes2_based on steps'!$B$1:$U$1,R$1)</f>
        <v>0</v>
      </c>
      <c r="S236" s="155">
        <f ca="1">SUMIFS('recurring2_based on steps'!$B236:$AY236,'recurring2_based on steps'!$B$1:$AY$1,S$1)+SUMIFS('changes2_based on steps'!$B236:$U236,'changes2_based on steps'!$B$1:$U$1,S$1)</f>
        <v>0</v>
      </c>
      <c r="T236" s="155">
        <f>SUMIFS('recurring2_based on steps'!$B236:$AY236,'recurring2_based on steps'!$B$1:$AY$1,T$1)+SUMIFS('changes2_based on steps'!$B236:$U236,'changes2_based on steps'!$B$1:$U$1,T$1)</f>
        <v>0</v>
      </c>
      <c r="U236" s="155">
        <f ca="1">SUMIFS('recurring2_based on steps'!$B236:$AY236,'recurring2_based on steps'!$B$1:$AY$1,U$1)+SUMIFS('changes2_based on steps'!$B236:$U236,'changes2_based on steps'!$B$1:$U$1,U$1)</f>
        <v>0</v>
      </c>
      <c r="V236" s="155">
        <f>SUMIFS('recurring2_based on steps'!$B236:$AY236,'recurring2_based on steps'!$B$1:$AY$1,V$1)+SUMIFS('changes2_based on steps'!$B236:$U236,'changes2_based on steps'!$B$1:$U$1,V$1)</f>
        <v>0</v>
      </c>
      <c r="W236" s="155">
        <f ca="1">SUMIFS('recurring2_based on steps'!$B236:$AY236,'recurring2_based on steps'!$B$1:$AY$1,W$1)+SUMIFS('changes2_based on steps'!$B236:$U236,'changes2_based on steps'!$B$1:$U$1,W$1)</f>
        <v>0</v>
      </c>
      <c r="X236" s="155">
        <f ca="1">SUMIFS('recurring2_based on steps'!$B236:$AY236,'recurring2_based on steps'!$B$1:$AY$1,X$1)+SUMIFS('changes2_based on steps'!$B236:$U236,'changes2_based on steps'!$B$1:$U$1,X$1)</f>
        <v>0</v>
      </c>
      <c r="Y236" s="155">
        <f ca="1">SUMIFS('recurring2_based on steps'!$B236:$AY236,'recurring2_based on steps'!$B$1:$AY$1,Y$1)+SUMIFS('changes2_based on steps'!$B236:$U236,'changes2_based on steps'!$B$1:$U$1,Y$1)</f>
        <v>0</v>
      </c>
      <c r="Z236" s="155">
        <f>SUMIFS('recurring2_based on steps'!$B236:$AY236,'recurring2_based on steps'!$B$1:$AY$1,Z$1)+SUMIFS('changes2_based on steps'!$B236:$U236,'changes2_based on steps'!$B$1:$U$1,Z$1)</f>
        <v>0</v>
      </c>
      <c r="AA236" s="155">
        <f>SUMIFS('recurring2_based on steps'!$B236:$AY236,'recurring2_based on steps'!$B$1:$AY$1,AA$1)+SUMIFS('changes2_based on steps'!$B236:$U236,'changes2_based on steps'!$B$1:$U$1,AA$1)</f>
        <v>0</v>
      </c>
    </row>
    <row r="237" spans="1:27" x14ac:dyDescent="0.2">
      <c r="A237" s="18">
        <f t="shared" ca="1" si="3"/>
        <v>45923</v>
      </c>
      <c r="B237" s="155">
        <f ca="1">SUMIFS('recurring2_based on steps'!$B237:$AY237,'recurring2_based on steps'!$B$1:$AY$1,B$1)+SUMIFS('changes2_based on steps'!$B237:$U237,'changes2_based on steps'!$B$1:$U$1,B$1)</f>
        <v>0</v>
      </c>
      <c r="C237" s="155">
        <f>SUMIFS('recurring2_based on steps'!$B237:$AY237,'recurring2_based on steps'!$B$1:$AY$1,C$1)+SUMIFS('changes2_based on steps'!$B237:$U237,'changes2_based on steps'!$B$1:$U$1,C$1)</f>
        <v>0</v>
      </c>
      <c r="D237" s="155">
        <f>SUMIFS('recurring2_based on steps'!$B237:$AY237,'recurring2_based on steps'!$B$1:$AY$1,D$1)+SUMIFS('changes2_based on steps'!$B237:$U237,'changes2_based on steps'!$B$1:$U$1,D$1)</f>
        <v>0</v>
      </c>
      <c r="E237" s="155">
        <f>SUMIFS('recurring2_based on steps'!$B237:$AY237,'recurring2_based on steps'!$B$1:$AY$1,E$1)+SUMIFS('changes2_based on steps'!$B237:$U237,'changes2_based on steps'!$B$1:$U$1,E$1)</f>
        <v>0</v>
      </c>
      <c r="F237" s="155">
        <f>SUMIFS('recurring2_based on steps'!$B237:$AY237,'recurring2_based on steps'!$B$1:$AY$1,F$1)+SUMIFS('changes2_based on steps'!$B237:$U237,'changes2_based on steps'!$B$1:$U$1,F$1)</f>
        <v>0</v>
      </c>
      <c r="G237" s="155">
        <f>SUMIFS('recurring2_based on steps'!$B237:$AY237,'recurring2_based on steps'!$B$1:$AY$1,G$1)+SUMIFS('changes2_based on steps'!$B237:$U237,'changes2_based on steps'!$B$1:$U$1,G$1)</f>
        <v>0</v>
      </c>
      <c r="H237" s="155">
        <f ca="1">SUMIFS('recurring2_based on steps'!$B237:$AY237,'recurring2_based on steps'!$B$1:$AY$1,H$1)+SUMIFS('changes2_based on steps'!$B237:$U237,'changes2_based on steps'!$B$1:$U$1,H$1)</f>
        <v>0</v>
      </c>
      <c r="I237" s="155">
        <f>SUMIFS('recurring2_based on steps'!$B237:$AY237,'recurring2_based on steps'!$B$1:$AY$1,I$1)+SUMIFS('changes2_based on steps'!$B237:$U237,'changes2_based on steps'!$B$1:$U$1,I$1)</f>
        <v>0</v>
      </c>
      <c r="J237" s="155">
        <f>SUMIFS('recurring2_based on steps'!$B237:$AY237,'recurring2_based on steps'!$B$1:$AY$1,J$1)+SUMIFS('changes2_based on steps'!$B237:$U237,'changes2_based on steps'!$B$1:$U$1,J$1)</f>
        <v>0</v>
      </c>
      <c r="K237" s="155">
        <f>SUMIFS('recurring2_based on steps'!$B237:$AY237,'recurring2_based on steps'!$B$1:$AY$1,K$1)+SUMIFS('changes2_based on steps'!$B237:$U237,'changes2_based on steps'!$B$1:$U$1,K$1)</f>
        <v>0</v>
      </c>
      <c r="L237" s="155">
        <f>SUMIFS('recurring2_based on steps'!$B237:$AY237,'recurring2_based on steps'!$B$1:$AY$1,L$1)+SUMIFS('changes2_based on steps'!$B237:$U237,'changes2_based on steps'!$B$1:$U$1,L$1)</f>
        <v>0</v>
      </c>
      <c r="M237" s="155">
        <f ca="1">SUMIFS('recurring2_based on steps'!$B237:$AY237,'recurring2_based on steps'!$B$1:$AY$1,M$1)+SUMIFS('changes2_based on steps'!$B237:$U237,'changes2_based on steps'!$B$1:$U$1,M$1)</f>
        <v>0</v>
      </c>
      <c r="N237" s="155">
        <f ca="1">SUMIFS('recurring2_based on steps'!$B237:$AY237,'recurring2_based on steps'!$B$1:$AY$1,N$1)+SUMIFS('changes2_based on steps'!$B237:$U237,'changes2_based on steps'!$B$1:$U$1,N$1)</f>
        <v>0</v>
      </c>
      <c r="O237" s="155">
        <f ca="1">SUMIFS('recurring2_based on steps'!$B237:$AY237,'recurring2_based on steps'!$B$1:$AY$1,O$1)+SUMIFS('changes2_based on steps'!$B237:$U237,'changes2_based on steps'!$B$1:$U$1,O$1)</f>
        <v>0</v>
      </c>
      <c r="P237" s="155">
        <f ca="1">SUMIFS('recurring2_based on steps'!$B237:$AY237,'recurring2_based on steps'!$B$1:$AY$1,P$1)+SUMIFS('changes2_based on steps'!$B237:$U237,'changes2_based on steps'!$B$1:$U$1,P$1)</f>
        <v>0</v>
      </c>
      <c r="Q237" s="155">
        <f>SUMIFS('recurring2_based on steps'!$B237:$AY237,'recurring2_based on steps'!$B$1:$AY$1,Q$1)+SUMIFS('changes2_based on steps'!$B237:$U237,'changes2_based on steps'!$B$1:$U$1,Q$1)</f>
        <v>0</v>
      </c>
      <c r="R237" s="155">
        <f ca="1">SUMIFS('recurring2_based on steps'!$B237:$AY237,'recurring2_based on steps'!$B$1:$AY$1,R$1)+SUMIFS('changes2_based on steps'!$B237:$U237,'changes2_based on steps'!$B$1:$U$1,R$1)</f>
        <v>0</v>
      </c>
      <c r="S237" s="155">
        <f ca="1">SUMIFS('recurring2_based on steps'!$B237:$AY237,'recurring2_based on steps'!$B$1:$AY$1,S$1)+SUMIFS('changes2_based on steps'!$B237:$U237,'changes2_based on steps'!$B$1:$U$1,S$1)</f>
        <v>0</v>
      </c>
      <c r="T237" s="155">
        <f>SUMIFS('recurring2_based on steps'!$B237:$AY237,'recurring2_based on steps'!$B$1:$AY$1,T$1)+SUMIFS('changes2_based on steps'!$B237:$U237,'changes2_based on steps'!$B$1:$U$1,T$1)</f>
        <v>0</v>
      </c>
      <c r="U237" s="155">
        <f ca="1">SUMIFS('recurring2_based on steps'!$B237:$AY237,'recurring2_based on steps'!$B$1:$AY$1,U$1)+SUMIFS('changes2_based on steps'!$B237:$U237,'changes2_based on steps'!$B$1:$U$1,U$1)</f>
        <v>0</v>
      </c>
      <c r="V237" s="155">
        <f>SUMIFS('recurring2_based on steps'!$B237:$AY237,'recurring2_based on steps'!$B$1:$AY$1,V$1)+SUMIFS('changes2_based on steps'!$B237:$U237,'changes2_based on steps'!$B$1:$U$1,V$1)</f>
        <v>0</v>
      </c>
      <c r="W237" s="155">
        <f ca="1">SUMIFS('recurring2_based on steps'!$B237:$AY237,'recurring2_based on steps'!$B$1:$AY$1,W$1)+SUMIFS('changes2_based on steps'!$B237:$U237,'changes2_based on steps'!$B$1:$U$1,W$1)</f>
        <v>0</v>
      </c>
      <c r="X237" s="155">
        <f ca="1">SUMIFS('recurring2_based on steps'!$B237:$AY237,'recurring2_based on steps'!$B$1:$AY$1,X$1)+SUMIFS('changes2_based on steps'!$B237:$U237,'changes2_based on steps'!$B$1:$U$1,X$1)</f>
        <v>0</v>
      </c>
      <c r="Y237" s="155">
        <f ca="1">SUMIFS('recurring2_based on steps'!$B237:$AY237,'recurring2_based on steps'!$B$1:$AY$1,Y$1)+SUMIFS('changes2_based on steps'!$B237:$U237,'changes2_based on steps'!$B$1:$U$1,Y$1)</f>
        <v>0</v>
      </c>
      <c r="Z237" s="155">
        <f>SUMIFS('recurring2_based on steps'!$B237:$AY237,'recurring2_based on steps'!$B$1:$AY$1,Z$1)+SUMIFS('changes2_based on steps'!$B237:$U237,'changes2_based on steps'!$B$1:$U$1,Z$1)</f>
        <v>0</v>
      </c>
      <c r="AA237" s="155">
        <f>SUMIFS('recurring2_based on steps'!$B237:$AY237,'recurring2_based on steps'!$B$1:$AY$1,AA$1)+SUMIFS('changes2_based on steps'!$B237:$U237,'changes2_based on steps'!$B$1:$U$1,AA$1)</f>
        <v>0</v>
      </c>
    </row>
    <row r="238" spans="1:27" x14ac:dyDescent="0.2">
      <c r="A238" s="18">
        <f t="shared" ca="1" si="3"/>
        <v>45924</v>
      </c>
      <c r="B238" s="155">
        <f ca="1">SUMIFS('recurring2_based on steps'!$B238:$AY238,'recurring2_based on steps'!$B$1:$AY$1,B$1)+SUMIFS('changes2_based on steps'!$B238:$U238,'changes2_based on steps'!$B$1:$U$1,B$1)</f>
        <v>100</v>
      </c>
      <c r="C238" s="155">
        <f>SUMIFS('recurring2_based on steps'!$B238:$AY238,'recurring2_based on steps'!$B$1:$AY$1,C$1)+SUMIFS('changes2_based on steps'!$B238:$U238,'changes2_based on steps'!$B$1:$U$1,C$1)</f>
        <v>0</v>
      </c>
      <c r="D238" s="155">
        <f>SUMIFS('recurring2_based on steps'!$B238:$AY238,'recurring2_based on steps'!$B$1:$AY$1,D$1)+SUMIFS('changes2_based on steps'!$B238:$U238,'changes2_based on steps'!$B$1:$U$1,D$1)</f>
        <v>0</v>
      </c>
      <c r="E238" s="155">
        <f>SUMIFS('recurring2_based on steps'!$B238:$AY238,'recurring2_based on steps'!$B$1:$AY$1,E$1)+SUMIFS('changes2_based on steps'!$B238:$U238,'changes2_based on steps'!$B$1:$U$1,E$1)</f>
        <v>0</v>
      </c>
      <c r="F238" s="155">
        <f>SUMIFS('recurring2_based on steps'!$B238:$AY238,'recurring2_based on steps'!$B$1:$AY$1,F$1)+SUMIFS('changes2_based on steps'!$B238:$U238,'changes2_based on steps'!$B$1:$U$1,F$1)</f>
        <v>0</v>
      </c>
      <c r="G238" s="155">
        <f>SUMIFS('recurring2_based on steps'!$B238:$AY238,'recurring2_based on steps'!$B$1:$AY$1,G$1)+SUMIFS('changes2_based on steps'!$B238:$U238,'changes2_based on steps'!$B$1:$U$1,G$1)</f>
        <v>0</v>
      </c>
      <c r="H238" s="155">
        <f ca="1">SUMIFS('recurring2_based on steps'!$B238:$AY238,'recurring2_based on steps'!$B$1:$AY$1,H$1)+SUMIFS('changes2_based on steps'!$B238:$U238,'changes2_based on steps'!$B$1:$U$1,H$1)</f>
        <v>0</v>
      </c>
      <c r="I238" s="155">
        <f>SUMIFS('recurring2_based on steps'!$B238:$AY238,'recurring2_based on steps'!$B$1:$AY$1,I$1)+SUMIFS('changes2_based on steps'!$B238:$U238,'changes2_based on steps'!$B$1:$U$1,I$1)</f>
        <v>0</v>
      </c>
      <c r="J238" s="155">
        <f>SUMIFS('recurring2_based on steps'!$B238:$AY238,'recurring2_based on steps'!$B$1:$AY$1,J$1)+SUMIFS('changes2_based on steps'!$B238:$U238,'changes2_based on steps'!$B$1:$U$1,J$1)</f>
        <v>0</v>
      </c>
      <c r="K238" s="155">
        <f>SUMIFS('recurring2_based on steps'!$B238:$AY238,'recurring2_based on steps'!$B$1:$AY$1,K$1)+SUMIFS('changes2_based on steps'!$B238:$U238,'changes2_based on steps'!$B$1:$U$1,K$1)</f>
        <v>0</v>
      </c>
      <c r="L238" s="155">
        <f>SUMIFS('recurring2_based on steps'!$B238:$AY238,'recurring2_based on steps'!$B$1:$AY$1,L$1)+SUMIFS('changes2_based on steps'!$B238:$U238,'changes2_based on steps'!$B$1:$U$1,L$1)</f>
        <v>0</v>
      </c>
      <c r="M238" s="155">
        <f ca="1">SUMIFS('recurring2_based on steps'!$B238:$AY238,'recurring2_based on steps'!$B$1:$AY$1,M$1)+SUMIFS('changes2_based on steps'!$B238:$U238,'changes2_based on steps'!$B$1:$U$1,M$1)</f>
        <v>0</v>
      </c>
      <c r="N238" s="155">
        <f ca="1">SUMIFS('recurring2_based on steps'!$B238:$AY238,'recurring2_based on steps'!$B$1:$AY$1,N$1)+SUMIFS('changes2_based on steps'!$B238:$U238,'changes2_based on steps'!$B$1:$U$1,N$1)</f>
        <v>0</v>
      </c>
      <c r="O238" s="155">
        <f ca="1">SUMIFS('recurring2_based on steps'!$B238:$AY238,'recurring2_based on steps'!$B$1:$AY$1,O$1)+SUMIFS('changes2_based on steps'!$B238:$U238,'changes2_based on steps'!$B$1:$U$1,O$1)</f>
        <v>0</v>
      </c>
      <c r="P238" s="155">
        <f ca="1">SUMIFS('recurring2_based on steps'!$B238:$AY238,'recurring2_based on steps'!$B$1:$AY$1,P$1)+SUMIFS('changes2_based on steps'!$B238:$U238,'changes2_based on steps'!$B$1:$U$1,P$1)</f>
        <v>0</v>
      </c>
      <c r="Q238" s="155">
        <f>SUMIFS('recurring2_based on steps'!$B238:$AY238,'recurring2_based on steps'!$B$1:$AY$1,Q$1)+SUMIFS('changes2_based on steps'!$B238:$U238,'changes2_based on steps'!$B$1:$U$1,Q$1)</f>
        <v>0</v>
      </c>
      <c r="R238" s="155">
        <f ca="1">SUMIFS('recurring2_based on steps'!$B238:$AY238,'recurring2_based on steps'!$B$1:$AY$1,R$1)+SUMIFS('changes2_based on steps'!$B238:$U238,'changes2_based on steps'!$B$1:$U$1,R$1)</f>
        <v>0</v>
      </c>
      <c r="S238" s="155">
        <f ca="1">SUMIFS('recurring2_based on steps'!$B238:$AY238,'recurring2_based on steps'!$B$1:$AY$1,S$1)+SUMIFS('changes2_based on steps'!$B238:$U238,'changes2_based on steps'!$B$1:$U$1,S$1)</f>
        <v>0</v>
      </c>
      <c r="T238" s="155">
        <f>SUMIFS('recurring2_based on steps'!$B238:$AY238,'recurring2_based on steps'!$B$1:$AY$1,T$1)+SUMIFS('changes2_based on steps'!$B238:$U238,'changes2_based on steps'!$B$1:$U$1,T$1)</f>
        <v>0</v>
      </c>
      <c r="U238" s="155">
        <f ca="1">SUMIFS('recurring2_based on steps'!$B238:$AY238,'recurring2_based on steps'!$B$1:$AY$1,U$1)+SUMIFS('changes2_based on steps'!$B238:$U238,'changes2_based on steps'!$B$1:$U$1,U$1)</f>
        <v>0</v>
      </c>
      <c r="V238" s="155">
        <f>SUMIFS('recurring2_based on steps'!$B238:$AY238,'recurring2_based on steps'!$B$1:$AY$1,V$1)+SUMIFS('changes2_based on steps'!$B238:$U238,'changes2_based on steps'!$B$1:$U$1,V$1)</f>
        <v>0</v>
      </c>
      <c r="W238" s="155">
        <f ca="1">SUMIFS('recurring2_based on steps'!$B238:$AY238,'recurring2_based on steps'!$B$1:$AY$1,W$1)+SUMIFS('changes2_based on steps'!$B238:$U238,'changes2_based on steps'!$B$1:$U$1,W$1)</f>
        <v>0</v>
      </c>
      <c r="X238" s="155">
        <f ca="1">SUMIFS('recurring2_based on steps'!$B238:$AY238,'recurring2_based on steps'!$B$1:$AY$1,X$1)+SUMIFS('changes2_based on steps'!$B238:$U238,'changes2_based on steps'!$B$1:$U$1,X$1)</f>
        <v>0</v>
      </c>
      <c r="Y238" s="155">
        <f ca="1">SUMIFS('recurring2_based on steps'!$B238:$AY238,'recurring2_based on steps'!$B$1:$AY$1,Y$1)+SUMIFS('changes2_based on steps'!$B238:$U238,'changes2_based on steps'!$B$1:$U$1,Y$1)</f>
        <v>0</v>
      </c>
      <c r="Z238" s="155">
        <f>SUMIFS('recurring2_based on steps'!$B238:$AY238,'recurring2_based on steps'!$B$1:$AY$1,Z$1)+SUMIFS('changes2_based on steps'!$B238:$U238,'changes2_based on steps'!$B$1:$U$1,Z$1)</f>
        <v>0</v>
      </c>
      <c r="AA238" s="155">
        <f>SUMIFS('recurring2_based on steps'!$B238:$AY238,'recurring2_based on steps'!$B$1:$AY$1,AA$1)+SUMIFS('changes2_based on steps'!$B238:$U238,'changes2_based on steps'!$B$1:$U$1,AA$1)</f>
        <v>0</v>
      </c>
    </row>
    <row r="239" spans="1:27" x14ac:dyDescent="0.2">
      <c r="A239" s="18">
        <f t="shared" ca="1" si="3"/>
        <v>45925</v>
      </c>
      <c r="B239" s="155">
        <f ca="1">SUMIFS('recurring2_based on steps'!$B239:$AY239,'recurring2_based on steps'!$B$1:$AY$1,B$1)+SUMIFS('changes2_based on steps'!$B239:$U239,'changes2_based on steps'!$B$1:$U$1,B$1)</f>
        <v>0</v>
      </c>
      <c r="C239" s="155">
        <f>SUMIFS('recurring2_based on steps'!$B239:$AY239,'recurring2_based on steps'!$B$1:$AY$1,C$1)+SUMIFS('changes2_based on steps'!$B239:$U239,'changes2_based on steps'!$B$1:$U$1,C$1)</f>
        <v>0</v>
      </c>
      <c r="D239" s="155">
        <f>SUMIFS('recurring2_based on steps'!$B239:$AY239,'recurring2_based on steps'!$B$1:$AY$1,D$1)+SUMIFS('changes2_based on steps'!$B239:$U239,'changes2_based on steps'!$B$1:$U$1,D$1)</f>
        <v>0</v>
      </c>
      <c r="E239" s="155">
        <f>SUMIFS('recurring2_based on steps'!$B239:$AY239,'recurring2_based on steps'!$B$1:$AY$1,E$1)+SUMIFS('changes2_based on steps'!$B239:$U239,'changes2_based on steps'!$B$1:$U$1,E$1)</f>
        <v>0</v>
      </c>
      <c r="F239" s="155">
        <f>SUMIFS('recurring2_based on steps'!$B239:$AY239,'recurring2_based on steps'!$B$1:$AY$1,F$1)+SUMIFS('changes2_based on steps'!$B239:$U239,'changes2_based on steps'!$B$1:$U$1,F$1)</f>
        <v>0</v>
      </c>
      <c r="G239" s="155">
        <f>SUMIFS('recurring2_based on steps'!$B239:$AY239,'recurring2_based on steps'!$B$1:$AY$1,G$1)+SUMIFS('changes2_based on steps'!$B239:$U239,'changes2_based on steps'!$B$1:$U$1,G$1)</f>
        <v>0</v>
      </c>
      <c r="H239" s="155">
        <f ca="1">SUMIFS('recurring2_based on steps'!$B239:$AY239,'recurring2_based on steps'!$B$1:$AY$1,H$1)+SUMIFS('changes2_based on steps'!$B239:$U239,'changes2_based on steps'!$B$1:$U$1,H$1)</f>
        <v>0</v>
      </c>
      <c r="I239" s="155">
        <f>SUMIFS('recurring2_based on steps'!$B239:$AY239,'recurring2_based on steps'!$B$1:$AY$1,I$1)+SUMIFS('changes2_based on steps'!$B239:$U239,'changes2_based on steps'!$B$1:$U$1,I$1)</f>
        <v>0</v>
      </c>
      <c r="J239" s="155">
        <f>SUMIFS('recurring2_based on steps'!$B239:$AY239,'recurring2_based on steps'!$B$1:$AY$1,J$1)+SUMIFS('changes2_based on steps'!$B239:$U239,'changes2_based on steps'!$B$1:$U$1,J$1)</f>
        <v>0</v>
      </c>
      <c r="K239" s="155">
        <f>SUMIFS('recurring2_based on steps'!$B239:$AY239,'recurring2_based on steps'!$B$1:$AY$1,K$1)+SUMIFS('changes2_based on steps'!$B239:$U239,'changes2_based on steps'!$B$1:$U$1,K$1)</f>
        <v>0</v>
      </c>
      <c r="L239" s="155">
        <f>SUMIFS('recurring2_based on steps'!$B239:$AY239,'recurring2_based on steps'!$B$1:$AY$1,L$1)+SUMIFS('changes2_based on steps'!$B239:$U239,'changes2_based on steps'!$B$1:$U$1,L$1)</f>
        <v>0</v>
      </c>
      <c r="M239" s="155">
        <f ca="1">SUMIFS('recurring2_based on steps'!$B239:$AY239,'recurring2_based on steps'!$B$1:$AY$1,M$1)+SUMIFS('changes2_based on steps'!$B239:$U239,'changes2_based on steps'!$B$1:$U$1,M$1)</f>
        <v>0</v>
      </c>
      <c r="N239" s="155">
        <f ca="1">SUMIFS('recurring2_based on steps'!$B239:$AY239,'recurring2_based on steps'!$B$1:$AY$1,N$1)+SUMIFS('changes2_based on steps'!$B239:$U239,'changes2_based on steps'!$B$1:$U$1,N$1)</f>
        <v>0</v>
      </c>
      <c r="O239" s="155">
        <f ca="1">SUMIFS('recurring2_based on steps'!$B239:$AY239,'recurring2_based on steps'!$B$1:$AY$1,O$1)+SUMIFS('changes2_based on steps'!$B239:$U239,'changes2_based on steps'!$B$1:$U$1,O$1)</f>
        <v>50</v>
      </c>
      <c r="P239" s="155">
        <f ca="1">SUMIFS('recurring2_based on steps'!$B239:$AY239,'recurring2_based on steps'!$B$1:$AY$1,P$1)+SUMIFS('changes2_based on steps'!$B239:$U239,'changes2_based on steps'!$B$1:$U$1,P$1)</f>
        <v>0</v>
      </c>
      <c r="Q239" s="155">
        <f>SUMIFS('recurring2_based on steps'!$B239:$AY239,'recurring2_based on steps'!$B$1:$AY$1,Q$1)+SUMIFS('changes2_based on steps'!$B239:$U239,'changes2_based on steps'!$B$1:$U$1,Q$1)</f>
        <v>0</v>
      </c>
      <c r="R239" s="155">
        <f ca="1">SUMIFS('recurring2_based on steps'!$B239:$AY239,'recurring2_based on steps'!$B$1:$AY$1,R$1)+SUMIFS('changes2_based on steps'!$B239:$U239,'changes2_based on steps'!$B$1:$U$1,R$1)</f>
        <v>0</v>
      </c>
      <c r="S239" s="155">
        <f ca="1">SUMIFS('recurring2_based on steps'!$B239:$AY239,'recurring2_based on steps'!$B$1:$AY$1,S$1)+SUMIFS('changes2_based on steps'!$B239:$U239,'changes2_based on steps'!$B$1:$U$1,S$1)</f>
        <v>0</v>
      </c>
      <c r="T239" s="155">
        <f>SUMIFS('recurring2_based on steps'!$B239:$AY239,'recurring2_based on steps'!$B$1:$AY$1,T$1)+SUMIFS('changes2_based on steps'!$B239:$U239,'changes2_based on steps'!$B$1:$U$1,T$1)</f>
        <v>0</v>
      </c>
      <c r="U239" s="155">
        <f ca="1">SUMIFS('recurring2_based on steps'!$B239:$AY239,'recurring2_based on steps'!$B$1:$AY$1,U$1)+SUMIFS('changes2_based on steps'!$B239:$U239,'changes2_based on steps'!$B$1:$U$1,U$1)</f>
        <v>0</v>
      </c>
      <c r="V239" s="155">
        <f>SUMIFS('recurring2_based on steps'!$B239:$AY239,'recurring2_based on steps'!$B$1:$AY$1,V$1)+SUMIFS('changes2_based on steps'!$B239:$U239,'changes2_based on steps'!$B$1:$U$1,V$1)</f>
        <v>0</v>
      </c>
      <c r="W239" s="155">
        <f ca="1">SUMIFS('recurring2_based on steps'!$B239:$AY239,'recurring2_based on steps'!$B$1:$AY$1,W$1)+SUMIFS('changes2_based on steps'!$B239:$U239,'changes2_based on steps'!$B$1:$U$1,W$1)</f>
        <v>0</v>
      </c>
      <c r="X239" s="155">
        <f ca="1">SUMIFS('recurring2_based on steps'!$B239:$AY239,'recurring2_based on steps'!$B$1:$AY$1,X$1)+SUMIFS('changes2_based on steps'!$B239:$U239,'changes2_based on steps'!$B$1:$U$1,X$1)</f>
        <v>0</v>
      </c>
      <c r="Y239" s="155">
        <f ca="1">SUMIFS('recurring2_based on steps'!$B239:$AY239,'recurring2_based on steps'!$B$1:$AY$1,Y$1)+SUMIFS('changes2_based on steps'!$B239:$U239,'changes2_based on steps'!$B$1:$U$1,Y$1)</f>
        <v>0</v>
      </c>
      <c r="Z239" s="155">
        <f>SUMIFS('recurring2_based on steps'!$B239:$AY239,'recurring2_based on steps'!$B$1:$AY$1,Z$1)+SUMIFS('changes2_based on steps'!$B239:$U239,'changes2_based on steps'!$B$1:$U$1,Z$1)</f>
        <v>0</v>
      </c>
      <c r="AA239" s="155">
        <f>SUMIFS('recurring2_based on steps'!$B239:$AY239,'recurring2_based on steps'!$B$1:$AY$1,AA$1)+SUMIFS('changes2_based on steps'!$B239:$U239,'changes2_based on steps'!$B$1:$U$1,AA$1)</f>
        <v>0</v>
      </c>
    </row>
    <row r="240" spans="1:27" x14ac:dyDescent="0.2">
      <c r="A240" s="18">
        <f t="shared" ca="1" si="3"/>
        <v>45926</v>
      </c>
      <c r="B240" s="155">
        <f ca="1">SUMIFS('recurring2_based on steps'!$B240:$AY240,'recurring2_based on steps'!$B$1:$AY$1,B$1)+SUMIFS('changes2_based on steps'!$B240:$U240,'changes2_based on steps'!$B$1:$U$1,B$1)</f>
        <v>0</v>
      </c>
      <c r="C240" s="155">
        <f>SUMIFS('recurring2_based on steps'!$B240:$AY240,'recurring2_based on steps'!$B$1:$AY$1,C$1)+SUMIFS('changes2_based on steps'!$B240:$U240,'changes2_based on steps'!$B$1:$U$1,C$1)</f>
        <v>0</v>
      </c>
      <c r="D240" s="155">
        <f>SUMIFS('recurring2_based on steps'!$B240:$AY240,'recurring2_based on steps'!$B$1:$AY$1,D$1)+SUMIFS('changes2_based on steps'!$B240:$U240,'changes2_based on steps'!$B$1:$U$1,D$1)</f>
        <v>0</v>
      </c>
      <c r="E240" s="155">
        <f>SUMIFS('recurring2_based on steps'!$B240:$AY240,'recurring2_based on steps'!$B$1:$AY$1,E$1)+SUMIFS('changes2_based on steps'!$B240:$U240,'changes2_based on steps'!$B$1:$U$1,E$1)</f>
        <v>0</v>
      </c>
      <c r="F240" s="155">
        <f>SUMIFS('recurring2_based on steps'!$B240:$AY240,'recurring2_based on steps'!$B$1:$AY$1,F$1)+SUMIFS('changes2_based on steps'!$B240:$U240,'changes2_based on steps'!$B$1:$U$1,F$1)</f>
        <v>0</v>
      </c>
      <c r="G240" s="155">
        <f>SUMIFS('recurring2_based on steps'!$B240:$AY240,'recurring2_based on steps'!$B$1:$AY$1,G$1)+SUMIFS('changes2_based on steps'!$B240:$U240,'changes2_based on steps'!$B$1:$U$1,G$1)</f>
        <v>0</v>
      </c>
      <c r="H240" s="155">
        <f ca="1">SUMIFS('recurring2_based on steps'!$B240:$AY240,'recurring2_based on steps'!$B$1:$AY$1,H$1)+SUMIFS('changes2_based on steps'!$B240:$U240,'changes2_based on steps'!$B$1:$U$1,H$1)</f>
        <v>0</v>
      </c>
      <c r="I240" s="155">
        <f>SUMIFS('recurring2_based on steps'!$B240:$AY240,'recurring2_based on steps'!$B$1:$AY$1,I$1)+SUMIFS('changes2_based on steps'!$B240:$U240,'changes2_based on steps'!$B$1:$U$1,I$1)</f>
        <v>0</v>
      </c>
      <c r="J240" s="155">
        <f>SUMIFS('recurring2_based on steps'!$B240:$AY240,'recurring2_based on steps'!$B$1:$AY$1,J$1)+SUMIFS('changes2_based on steps'!$B240:$U240,'changes2_based on steps'!$B$1:$U$1,J$1)</f>
        <v>0</v>
      </c>
      <c r="K240" s="155">
        <f>SUMIFS('recurring2_based on steps'!$B240:$AY240,'recurring2_based on steps'!$B$1:$AY$1,K$1)+SUMIFS('changes2_based on steps'!$B240:$U240,'changes2_based on steps'!$B$1:$U$1,K$1)</f>
        <v>0</v>
      </c>
      <c r="L240" s="155">
        <f>SUMIFS('recurring2_based on steps'!$B240:$AY240,'recurring2_based on steps'!$B$1:$AY$1,L$1)+SUMIFS('changes2_based on steps'!$B240:$U240,'changes2_based on steps'!$B$1:$U$1,L$1)</f>
        <v>0</v>
      </c>
      <c r="M240" s="155">
        <f ca="1">SUMIFS('recurring2_based on steps'!$B240:$AY240,'recurring2_based on steps'!$B$1:$AY$1,M$1)+SUMIFS('changes2_based on steps'!$B240:$U240,'changes2_based on steps'!$B$1:$U$1,M$1)</f>
        <v>0</v>
      </c>
      <c r="N240" s="155">
        <f ca="1">SUMIFS('recurring2_based on steps'!$B240:$AY240,'recurring2_based on steps'!$B$1:$AY$1,N$1)+SUMIFS('changes2_based on steps'!$B240:$U240,'changes2_based on steps'!$B$1:$U$1,N$1)</f>
        <v>0</v>
      </c>
      <c r="O240" s="155">
        <f ca="1">SUMIFS('recurring2_based on steps'!$B240:$AY240,'recurring2_based on steps'!$B$1:$AY$1,O$1)+SUMIFS('changes2_based on steps'!$B240:$U240,'changes2_based on steps'!$B$1:$U$1,O$1)</f>
        <v>0</v>
      </c>
      <c r="P240" s="155">
        <f ca="1">SUMIFS('recurring2_based on steps'!$B240:$AY240,'recurring2_based on steps'!$B$1:$AY$1,P$1)+SUMIFS('changes2_based on steps'!$B240:$U240,'changes2_based on steps'!$B$1:$U$1,P$1)</f>
        <v>0</v>
      </c>
      <c r="Q240" s="155">
        <f>SUMIFS('recurring2_based on steps'!$B240:$AY240,'recurring2_based on steps'!$B$1:$AY$1,Q$1)+SUMIFS('changes2_based on steps'!$B240:$U240,'changes2_based on steps'!$B$1:$U$1,Q$1)</f>
        <v>0</v>
      </c>
      <c r="R240" s="155">
        <f ca="1">SUMIFS('recurring2_based on steps'!$B240:$AY240,'recurring2_based on steps'!$B$1:$AY$1,R$1)+SUMIFS('changes2_based on steps'!$B240:$U240,'changes2_based on steps'!$B$1:$U$1,R$1)</f>
        <v>0</v>
      </c>
      <c r="S240" s="155">
        <f ca="1">SUMIFS('recurring2_based on steps'!$B240:$AY240,'recurring2_based on steps'!$B$1:$AY$1,S$1)+SUMIFS('changes2_based on steps'!$B240:$U240,'changes2_based on steps'!$B$1:$U$1,S$1)</f>
        <v>0</v>
      </c>
      <c r="T240" s="155">
        <f>SUMIFS('recurring2_based on steps'!$B240:$AY240,'recurring2_based on steps'!$B$1:$AY$1,T$1)+SUMIFS('changes2_based on steps'!$B240:$U240,'changes2_based on steps'!$B$1:$U$1,T$1)</f>
        <v>0</v>
      </c>
      <c r="U240" s="155">
        <f ca="1">SUMIFS('recurring2_based on steps'!$B240:$AY240,'recurring2_based on steps'!$B$1:$AY$1,U$1)+SUMIFS('changes2_based on steps'!$B240:$U240,'changes2_based on steps'!$B$1:$U$1,U$1)</f>
        <v>0</v>
      </c>
      <c r="V240" s="155">
        <f>SUMIFS('recurring2_based on steps'!$B240:$AY240,'recurring2_based on steps'!$B$1:$AY$1,V$1)+SUMIFS('changes2_based on steps'!$B240:$U240,'changes2_based on steps'!$B$1:$U$1,V$1)</f>
        <v>0</v>
      </c>
      <c r="W240" s="155">
        <f ca="1">SUMIFS('recurring2_based on steps'!$B240:$AY240,'recurring2_based on steps'!$B$1:$AY$1,W$1)+SUMIFS('changes2_based on steps'!$B240:$U240,'changes2_based on steps'!$B$1:$U$1,W$1)</f>
        <v>0</v>
      </c>
      <c r="X240" s="155">
        <f ca="1">SUMIFS('recurring2_based on steps'!$B240:$AY240,'recurring2_based on steps'!$B$1:$AY$1,X$1)+SUMIFS('changes2_based on steps'!$B240:$U240,'changes2_based on steps'!$B$1:$U$1,X$1)</f>
        <v>0</v>
      </c>
      <c r="Y240" s="155">
        <f ca="1">SUMIFS('recurring2_based on steps'!$B240:$AY240,'recurring2_based on steps'!$B$1:$AY$1,Y$1)+SUMIFS('changes2_based on steps'!$B240:$U240,'changes2_based on steps'!$B$1:$U$1,Y$1)</f>
        <v>0</v>
      </c>
      <c r="Z240" s="155">
        <f>SUMIFS('recurring2_based on steps'!$B240:$AY240,'recurring2_based on steps'!$B$1:$AY$1,Z$1)+SUMIFS('changes2_based on steps'!$B240:$U240,'changes2_based on steps'!$B$1:$U$1,Z$1)</f>
        <v>0</v>
      </c>
      <c r="AA240" s="155">
        <f>SUMIFS('recurring2_based on steps'!$B240:$AY240,'recurring2_based on steps'!$B$1:$AY$1,AA$1)+SUMIFS('changes2_based on steps'!$B240:$U240,'changes2_based on steps'!$B$1:$U$1,AA$1)</f>
        <v>0</v>
      </c>
    </row>
    <row r="241" spans="1:27" x14ac:dyDescent="0.2">
      <c r="A241" s="18">
        <f t="shared" ca="1" si="3"/>
        <v>45927</v>
      </c>
      <c r="B241" s="155">
        <f ca="1">SUMIFS('recurring2_based on steps'!$B241:$AY241,'recurring2_based on steps'!$B$1:$AY$1,B$1)+SUMIFS('changes2_based on steps'!$B241:$U241,'changes2_based on steps'!$B$1:$U$1,B$1)</f>
        <v>0</v>
      </c>
      <c r="C241" s="155">
        <f>SUMIFS('recurring2_based on steps'!$B241:$AY241,'recurring2_based on steps'!$B$1:$AY$1,C$1)+SUMIFS('changes2_based on steps'!$B241:$U241,'changes2_based on steps'!$B$1:$U$1,C$1)</f>
        <v>0</v>
      </c>
      <c r="D241" s="155">
        <f>SUMIFS('recurring2_based on steps'!$B241:$AY241,'recurring2_based on steps'!$B$1:$AY$1,D$1)+SUMIFS('changes2_based on steps'!$B241:$U241,'changes2_based on steps'!$B$1:$U$1,D$1)</f>
        <v>0</v>
      </c>
      <c r="E241" s="155">
        <f>SUMIFS('recurring2_based on steps'!$B241:$AY241,'recurring2_based on steps'!$B$1:$AY$1,E$1)+SUMIFS('changes2_based on steps'!$B241:$U241,'changes2_based on steps'!$B$1:$U$1,E$1)</f>
        <v>0</v>
      </c>
      <c r="F241" s="155">
        <f>SUMIFS('recurring2_based on steps'!$B241:$AY241,'recurring2_based on steps'!$B$1:$AY$1,F$1)+SUMIFS('changes2_based on steps'!$B241:$U241,'changes2_based on steps'!$B$1:$U$1,F$1)</f>
        <v>0</v>
      </c>
      <c r="G241" s="155">
        <f>SUMIFS('recurring2_based on steps'!$B241:$AY241,'recurring2_based on steps'!$B$1:$AY$1,G$1)+SUMIFS('changes2_based on steps'!$B241:$U241,'changes2_based on steps'!$B$1:$U$1,G$1)</f>
        <v>0</v>
      </c>
      <c r="H241" s="155">
        <f ca="1">SUMIFS('recurring2_based on steps'!$B241:$AY241,'recurring2_based on steps'!$B$1:$AY$1,H$1)+SUMIFS('changes2_based on steps'!$B241:$U241,'changes2_based on steps'!$B$1:$U$1,H$1)</f>
        <v>0</v>
      </c>
      <c r="I241" s="155">
        <f>SUMIFS('recurring2_based on steps'!$B241:$AY241,'recurring2_based on steps'!$B$1:$AY$1,I$1)+SUMIFS('changes2_based on steps'!$B241:$U241,'changes2_based on steps'!$B$1:$U$1,I$1)</f>
        <v>0</v>
      </c>
      <c r="J241" s="155">
        <f>SUMIFS('recurring2_based on steps'!$B241:$AY241,'recurring2_based on steps'!$B$1:$AY$1,J$1)+SUMIFS('changes2_based on steps'!$B241:$U241,'changes2_based on steps'!$B$1:$U$1,J$1)</f>
        <v>0</v>
      </c>
      <c r="K241" s="155">
        <f>SUMIFS('recurring2_based on steps'!$B241:$AY241,'recurring2_based on steps'!$B$1:$AY$1,K$1)+SUMIFS('changes2_based on steps'!$B241:$U241,'changes2_based on steps'!$B$1:$U$1,K$1)</f>
        <v>0</v>
      </c>
      <c r="L241" s="155">
        <f>SUMIFS('recurring2_based on steps'!$B241:$AY241,'recurring2_based on steps'!$B$1:$AY$1,L$1)+SUMIFS('changes2_based on steps'!$B241:$U241,'changes2_based on steps'!$B$1:$U$1,L$1)</f>
        <v>0</v>
      </c>
      <c r="M241" s="155">
        <f ca="1">SUMIFS('recurring2_based on steps'!$B241:$AY241,'recurring2_based on steps'!$B$1:$AY$1,M$1)+SUMIFS('changes2_based on steps'!$B241:$U241,'changes2_based on steps'!$B$1:$U$1,M$1)</f>
        <v>0</v>
      </c>
      <c r="N241" s="155">
        <f ca="1">SUMIFS('recurring2_based on steps'!$B241:$AY241,'recurring2_based on steps'!$B$1:$AY$1,N$1)+SUMIFS('changes2_based on steps'!$B241:$U241,'changes2_based on steps'!$B$1:$U$1,N$1)</f>
        <v>0</v>
      </c>
      <c r="O241" s="155">
        <f ca="1">SUMIFS('recurring2_based on steps'!$B241:$AY241,'recurring2_based on steps'!$B$1:$AY$1,O$1)+SUMIFS('changes2_based on steps'!$B241:$U241,'changes2_based on steps'!$B$1:$U$1,O$1)</f>
        <v>0</v>
      </c>
      <c r="P241" s="155">
        <f ca="1">SUMIFS('recurring2_based on steps'!$B241:$AY241,'recurring2_based on steps'!$B$1:$AY$1,P$1)+SUMIFS('changes2_based on steps'!$B241:$U241,'changes2_based on steps'!$B$1:$U$1,P$1)</f>
        <v>0</v>
      </c>
      <c r="Q241" s="155">
        <f>SUMIFS('recurring2_based on steps'!$B241:$AY241,'recurring2_based on steps'!$B$1:$AY$1,Q$1)+SUMIFS('changes2_based on steps'!$B241:$U241,'changes2_based on steps'!$B$1:$U$1,Q$1)</f>
        <v>0</v>
      </c>
      <c r="R241" s="155">
        <f ca="1">SUMIFS('recurring2_based on steps'!$B241:$AY241,'recurring2_based on steps'!$B$1:$AY$1,R$1)+SUMIFS('changes2_based on steps'!$B241:$U241,'changes2_based on steps'!$B$1:$U$1,R$1)</f>
        <v>100</v>
      </c>
      <c r="S241" s="155">
        <f ca="1">SUMIFS('recurring2_based on steps'!$B241:$AY241,'recurring2_based on steps'!$B$1:$AY$1,S$1)+SUMIFS('changes2_based on steps'!$B241:$U241,'changes2_based on steps'!$B$1:$U$1,S$1)</f>
        <v>100</v>
      </c>
      <c r="T241" s="155">
        <f>SUMIFS('recurring2_based on steps'!$B241:$AY241,'recurring2_based on steps'!$B$1:$AY$1,T$1)+SUMIFS('changes2_based on steps'!$B241:$U241,'changes2_based on steps'!$B$1:$U$1,T$1)</f>
        <v>0</v>
      </c>
      <c r="U241" s="155">
        <f ca="1">SUMIFS('recurring2_based on steps'!$B241:$AY241,'recurring2_based on steps'!$B$1:$AY$1,U$1)+SUMIFS('changes2_based on steps'!$B241:$U241,'changes2_based on steps'!$B$1:$U$1,U$1)</f>
        <v>2.99</v>
      </c>
      <c r="V241" s="155">
        <f>SUMIFS('recurring2_based on steps'!$B241:$AY241,'recurring2_based on steps'!$B$1:$AY$1,V$1)+SUMIFS('changes2_based on steps'!$B241:$U241,'changes2_based on steps'!$B$1:$U$1,V$1)</f>
        <v>0</v>
      </c>
      <c r="W241" s="155">
        <f ca="1">SUMIFS('recurring2_based on steps'!$B241:$AY241,'recurring2_based on steps'!$B$1:$AY$1,W$1)+SUMIFS('changes2_based on steps'!$B241:$U241,'changes2_based on steps'!$B$1:$U$1,W$1)</f>
        <v>0</v>
      </c>
      <c r="X241" s="155">
        <f ca="1">SUMIFS('recurring2_based on steps'!$B241:$AY241,'recurring2_based on steps'!$B$1:$AY$1,X$1)+SUMIFS('changes2_based on steps'!$B241:$U241,'changes2_based on steps'!$B$1:$U$1,X$1)</f>
        <v>0</v>
      </c>
      <c r="Y241" s="155">
        <f ca="1">SUMIFS('recurring2_based on steps'!$B241:$AY241,'recurring2_based on steps'!$B$1:$AY$1,Y$1)+SUMIFS('changes2_based on steps'!$B241:$U241,'changes2_based on steps'!$B$1:$U$1,Y$1)</f>
        <v>0</v>
      </c>
      <c r="Z241" s="155">
        <f>SUMIFS('recurring2_based on steps'!$B241:$AY241,'recurring2_based on steps'!$B$1:$AY$1,Z$1)+SUMIFS('changes2_based on steps'!$B241:$U241,'changes2_based on steps'!$B$1:$U$1,Z$1)</f>
        <v>0</v>
      </c>
      <c r="AA241" s="155">
        <f>SUMIFS('recurring2_based on steps'!$B241:$AY241,'recurring2_based on steps'!$B$1:$AY$1,AA$1)+SUMIFS('changes2_based on steps'!$B241:$U241,'changes2_based on steps'!$B$1:$U$1,AA$1)</f>
        <v>0</v>
      </c>
    </row>
    <row r="242" spans="1:27" x14ac:dyDescent="0.2">
      <c r="A242" s="18">
        <f t="shared" ca="1" si="3"/>
        <v>45928</v>
      </c>
      <c r="B242" s="155">
        <f ca="1">SUMIFS('recurring2_based on steps'!$B242:$AY242,'recurring2_based on steps'!$B$1:$AY$1,B$1)+SUMIFS('changes2_based on steps'!$B242:$U242,'changes2_based on steps'!$B$1:$U$1,B$1)</f>
        <v>0</v>
      </c>
      <c r="C242" s="155">
        <f>SUMIFS('recurring2_based on steps'!$B242:$AY242,'recurring2_based on steps'!$B$1:$AY$1,C$1)+SUMIFS('changes2_based on steps'!$B242:$U242,'changes2_based on steps'!$B$1:$U$1,C$1)</f>
        <v>0</v>
      </c>
      <c r="D242" s="155">
        <f>SUMIFS('recurring2_based on steps'!$B242:$AY242,'recurring2_based on steps'!$B$1:$AY$1,D$1)+SUMIFS('changes2_based on steps'!$B242:$U242,'changes2_based on steps'!$B$1:$U$1,D$1)</f>
        <v>0</v>
      </c>
      <c r="E242" s="155">
        <f>SUMIFS('recurring2_based on steps'!$B242:$AY242,'recurring2_based on steps'!$B$1:$AY$1,E$1)+SUMIFS('changes2_based on steps'!$B242:$U242,'changes2_based on steps'!$B$1:$U$1,E$1)</f>
        <v>0</v>
      </c>
      <c r="F242" s="155">
        <f>SUMIFS('recurring2_based on steps'!$B242:$AY242,'recurring2_based on steps'!$B$1:$AY$1,F$1)+SUMIFS('changes2_based on steps'!$B242:$U242,'changes2_based on steps'!$B$1:$U$1,F$1)</f>
        <v>0</v>
      </c>
      <c r="G242" s="155">
        <f>SUMIFS('recurring2_based on steps'!$B242:$AY242,'recurring2_based on steps'!$B$1:$AY$1,G$1)+SUMIFS('changes2_based on steps'!$B242:$U242,'changes2_based on steps'!$B$1:$U$1,G$1)</f>
        <v>0</v>
      </c>
      <c r="H242" s="155">
        <f ca="1">SUMIFS('recurring2_based on steps'!$B242:$AY242,'recurring2_based on steps'!$B$1:$AY$1,H$1)+SUMIFS('changes2_based on steps'!$B242:$U242,'changes2_based on steps'!$B$1:$U$1,H$1)</f>
        <v>0</v>
      </c>
      <c r="I242" s="155">
        <f>SUMIFS('recurring2_based on steps'!$B242:$AY242,'recurring2_based on steps'!$B$1:$AY$1,I$1)+SUMIFS('changes2_based on steps'!$B242:$U242,'changes2_based on steps'!$B$1:$U$1,I$1)</f>
        <v>0</v>
      </c>
      <c r="J242" s="155">
        <f>SUMIFS('recurring2_based on steps'!$B242:$AY242,'recurring2_based on steps'!$B$1:$AY$1,J$1)+SUMIFS('changes2_based on steps'!$B242:$U242,'changes2_based on steps'!$B$1:$U$1,J$1)</f>
        <v>0</v>
      </c>
      <c r="K242" s="155">
        <f>SUMIFS('recurring2_based on steps'!$B242:$AY242,'recurring2_based on steps'!$B$1:$AY$1,K$1)+SUMIFS('changes2_based on steps'!$B242:$U242,'changes2_based on steps'!$B$1:$U$1,K$1)</f>
        <v>0</v>
      </c>
      <c r="L242" s="155">
        <f>SUMIFS('recurring2_based on steps'!$B242:$AY242,'recurring2_based on steps'!$B$1:$AY$1,L$1)+SUMIFS('changes2_based on steps'!$B242:$U242,'changes2_based on steps'!$B$1:$U$1,L$1)</f>
        <v>0</v>
      </c>
      <c r="M242" s="155">
        <f ca="1">SUMIFS('recurring2_based on steps'!$B242:$AY242,'recurring2_based on steps'!$B$1:$AY$1,M$1)+SUMIFS('changes2_based on steps'!$B242:$U242,'changes2_based on steps'!$B$1:$U$1,M$1)</f>
        <v>40</v>
      </c>
      <c r="N242" s="155">
        <f ca="1">SUMIFS('recurring2_based on steps'!$B242:$AY242,'recurring2_based on steps'!$B$1:$AY$1,N$1)+SUMIFS('changes2_based on steps'!$B242:$U242,'changes2_based on steps'!$B$1:$U$1,N$1)</f>
        <v>50</v>
      </c>
      <c r="O242" s="155">
        <f ca="1">SUMIFS('recurring2_based on steps'!$B242:$AY242,'recurring2_based on steps'!$B$1:$AY$1,O$1)+SUMIFS('changes2_based on steps'!$B242:$U242,'changes2_based on steps'!$B$1:$U$1,O$1)</f>
        <v>0</v>
      </c>
      <c r="P242" s="155">
        <f ca="1">SUMIFS('recurring2_based on steps'!$B242:$AY242,'recurring2_based on steps'!$B$1:$AY$1,P$1)+SUMIFS('changes2_based on steps'!$B242:$U242,'changes2_based on steps'!$B$1:$U$1,P$1)</f>
        <v>0</v>
      </c>
      <c r="Q242" s="155">
        <f>SUMIFS('recurring2_based on steps'!$B242:$AY242,'recurring2_based on steps'!$B$1:$AY$1,Q$1)+SUMIFS('changes2_based on steps'!$B242:$U242,'changes2_based on steps'!$B$1:$U$1,Q$1)</f>
        <v>0</v>
      </c>
      <c r="R242" s="155">
        <f ca="1">SUMIFS('recurring2_based on steps'!$B242:$AY242,'recurring2_based on steps'!$B$1:$AY$1,R$1)+SUMIFS('changes2_based on steps'!$B242:$U242,'changes2_based on steps'!$B$1:$U$1,R$1)</f>
        <v>0</v>
      </c>
      <c r="S242" s="155">
        <f ca="1">SUMIFS('recurring2_based on steps'!$B242:$AY242,'recurring2_based on steps'!$B$1:$AY$1,S$1)+SUMIFS('changes2_based on steps'!$B242:$U242,'changes2_based on steps'!$B$1:$U$1,S$1)</f>
        <v>100</v>
      </c>
      <c r="T242" s="155">
        <f>SUMIFS('recurring2_based on steps'!$B242:$AY242,'recurring2_based on steps'!$B$1:$AY$1,T$1)+SUMIFS('changes2_based on steps'!$B242:$U242,'changes2_based on steps'!$B$1:$U$1,T$1)</f>
        <v>0</v>
      </c>
      <c r="U242" s="155">
        <f ca="1">SUMIFS('recurring2_based on steps'!$B242:$AY242,'recurring2_based on steps'!$B$1:$AY$1,U$1)+SUMIFS('changes2_based on steps'!$B242:$U242,'changes2_based on steps'!$B$1:$U$1,U$1)</f>
        <v>0</v>
      </c>
      <c r="V242" s="155">
        <f>SUMIFS('recurring2_based on steps'!$B242:$AY242,'recurring2_based on steps'!$B$1:$AY$1,V$1)+SUMIFS('changes2_based on steps'!$B242:$U242,'changes2_based on steps'!$B$1:$U$1,V$1)</f>
        <v>0</v>
      </c>
      <c r="W242" s="155">
        <f ca="1">SUMIFS('recurring2_based on steps'!$B242:$AY242,'recurring2_based on steps'!$B$1:$AY$1,W$1)+SUMIFS('changes2_based on steps'!$B242:$U242,'changes2_based on steps'!$B$1:$U$1,W$1)</f>
        <v>0</v>
      </c>
      <c r="X242" s="155">
        <f ca="1">SUMIFS('recurring2_based on steps'!$B242:$AY242,'recurring2_based on steps'!$B$1:$AY$1,X$1)+SUMIFS('changes2_based on steps'!$B242:$U242,'changes2_based on steps'!$B$1:$U$1,X$1)</f>
        <v>0</v>
      </c>
      <c r="Y242" s="155">
        <f ca="1">SUMIFS('recurring2_based on steps'!$B242:$AY242,'recurring2_based on steps'!$B$1:$AY$1,Y$1)+SUMIFS('changes2_based on steps'!$B242:$U242,'changes2_based on steps'!$B$1:$U$1,Y$1)</f>
        <v>100</v>
      </c>
      <c r="Z242" s="155">
        <f>SUMIFS('recurring2_based on steps'!$B242:$AY242,'recurring2_based on steps'!$B$1:$AY$1,Z$1)+SUMIFS('changes2_based on steps'!$B242:$U242,'changes2_based on steps'!$B$1:$U$1,Z$1)</f>
        <v>0</v>
      </c>
      <c r="AA242" s="155">
        <f>SUMIFS('recurring2_based on steps'!$B242:$AY242,'recurring2_based on steps'!$B$1:$AY$1,AA$1)+SUMIFS('changes2_based on steps'!$B242:$U242,'changes2_based on steps'!$B$1:$U$1,AA$1)</f>
        <v>0</v>
      </c>
    </row>
    <row r="243" spans="1:27" x14ac:dyDescent="0.2">
      <c r="A243" s="18">
        <f t="shared" ca="1" si="3"/>
        <v>45929</v>
      </c>
      <c r="B243" s="155">
        <f ca="1">SUMIFS('recurring2_based on steps'!$B243:$AY243,'recurring2_based on steps'!$B$1:$AY$1,B$1)+SUMIFS('changes2_based on steps'!$B243:$U243,'changes2_based on steps'!$B$1:$U$1,B$1)</f>
        <v>0</v>
      </c>
      <c r="C243" s="155">
        <f>SUMIFS('recurring2_based on steps'!$B243:$AY243,'recurring2_based on steps'!$B$1:$AY$1,C$1)+SUMIFS('changes2_based on steps'!$B243:$U243,'changes2_based on steps'!$B$1:$U$1,C$1)</f>
        <v>0</v>
      </c>
      <c r="D243" s="155">
        <f>SUMIFS('recurring2_based on steps'!$B243:$AY243,'recurring2_based on steps'!$B$1:$AY$1,D$1)+SUMIFS('changes2_based on steps'!$B243:$U243,'changes2_based on steps'!$B$1:$U$1,D$1)</f>
        <v>0</v>
      </c>
      <c r="E243" s="155">
        <f>SUMIFS('recurring2_based on steps'!$B243:$AY243,'recurring2_based on steps'!$B$1:$AY$1,E$1)+SUMIFS('changes2_based on steps'!$B243:$U243,'changes2_based on steps'!$B$1:$U$1,E$1)</f>
        <v>0</v>
      </c>
      <c r="F243" s="155">
        <f>SUMIFS('recurring2_based on steps'!$B243:$AY243,'recurring2_based on steps'!$B$1:$AY$1,F$1)+SUMIFS('changes2_based on steps'!$B243:$U243,'changes2_based on steps'!$B$1:$U$1,F$1)</f>
        <v>0</v>
      </c>
      <c r="G243" s="155">
        <f>SUMIFS('recurring2_based on steps'!$B243:$AY243,'recurring2_based on steps'!$B$1:$AY$1,G$1)+SUMIFS('changes2_based on steps'!$B243:$U243,'changes2_based on steps'!$B$1:$U$1,G$1)</f>
        <v>0</v>
      </c>
      <c r="H243" s="155">
        <f ca="1">SUMIFS('recurring2_based on steps'!$B243:$AY243,'recurring2_based on steps'!$B$1:$AY$1,H$1)+SUMIFS('changes2_based on steps'!$B243:$U243,'changes2_based on steps'!$B$1:$U$1,H$1)</f>
        <v>0</v>
      </c>
      <c r="I243" s="155">
        <f>SUMIFS('recurring2_based on steps'!$B243:$AY243,'recurring2_based on steps'!$B$1:$AY$1,I$1)+SUMIFS('changes2_based on steps'!$B243:$U243,'changes2_based on steps'!$B$1:$U$1,I$1)</f>
        <v>0</v>
      </c>
      <c r="J243" s="155">
        <f>SUMIFS('recurring2_based on steps'!$B243:$AY243,'recurring2_based on steps'!$B$1:$AY$1,J$1)+SUMIFS('changes2_based on steps'!$B243:$U243,'changes2_based on steps'!$B$1:$U$1,J$1)</f>
        <v>0</v>
      </c>
      <c r="K243" s="155">
        <f>SUMIFS('recurring2_based on steps'!$B243:$AY243,'recurring2_based on steps'!$B$1:$AY$1,K$1)+SUMIFS('changes2_based on steps'!$B243:$U243,'changes2_based on steps'!$B$1:$U$1,K$1)</f>
        <v>0</v>
      </c>
      <c r="L243" s="155">
        <f>SUMIFS('recurring2_based on steps'!$B243:$AY243,'recurring2_based on steps'!$B$1:$AY$1,L$1)+SUMIFS('changes2_based on steps'!$B243:$U243,'changes2_based on steps'!$B$1:$U$1,L$1)</f>
        <v>0</v>
      </c>
      <c r="M243" s="155">
        <f ca="1">SUMIFS('recurring2_based on steps'!$B243:$AY243,'recurring2_based on steps'!$B$1:$AY$1,M$1)+SUMIFS('changes2_based on steps'!$B243:$U243,'changes2_based on steps'!$B$1:$U$1,M$1)</f>
        <v>0</v>
      </c>
      <c r="N243" s="155">
        <f ca="1">SUMIFS('recurring2_based on steps'!$B243:$AY243,'recurring2_based on steps'!$B$1:$AY$1,N$1)+SUMIFS('changes2_based on steps'!$B243:$U243,'changes2_based on steps'!$B$1:$U$1,N$1)</f>
        <v>0</v>
      </c>
      <c r="O243" s="155">
        <f ca="1">SUMIFS('recurring2_based on steps'!$B243:$AY243,'recurring2_based on steps'!$B$1:$AY$1,O$1)+SUMIFS('changes2_based on steps'!$B243:$U243,'changes2_based on steps'!$B$1:$U$1,O$1)</f>
        <v>0</v>
      </c>
      <c r="P243" s="155">
        <f ca="1">SUMIFS('recurring2_based on steps'!$B243:$AY243,'recurring2_based on steps'!$B$1:$AY$1,P$1)+SUMIFS('changes2_based on steps'!$B243:$U243,'changes2_based on steps'!$B$1:$U$1,P$1)</f>
        <v>0</v>
      </c>
      <c r="Q243" s="155">
        <f>SUMIFS('recurring2_based on steps'!$B243:$AY243,'recurring2_based on steps'!$B$1:$AY$1,Q$1)+SUMIFS('changes2_based on steps'!$B243:$U243,'changes2_based on steps'!$B$1:$U$1,Q$1)</f>
        <v>0</v>
      </c>
      <c r="R243" s="155">
        <f ca="1">SUMIFS('recurring2_based on steps'!$B243:$AY243,'recurring2_based on steps'!$B$1:$AY$1,R$1)+SUMIFS('changes2_based on steps'!$B243:$U243,'changes2_based on steps'!$B$1:$U$1,R$1)</f>
        <v>0</v>
      </c>
      <c r="S243" s="155">
        <f ca="1">SUMIFS('recurring2_based on steps'!$B243:$AY243,'recurring2_based on steps'!$B$1:$AY$1,S$1)+SUMIFS('changes2_based on steps'!$B243:$U243,'changes2_based on steps'!$B$1:$U$1,S$1)</f>
        <v>0</v>
      </c>
      <c r="T243" s="155">
        <f>SUMIFS('recurring2_based on steps'!$B243:$AY243,'recurring2_based on steps'!$B$1:$AY$1,T$1)+SUMIFS('changes2_based on steps'!$B243:$U243,'changes2_based on steps'!$B$1:$U$1,T$1)</f>
        <v>0</v>
      </c>
      <c r="U243" s="155">
        <f ca="1">SUMIFS('recurring2_based on steps'!$B243:$AY243,'recurring2_based on steps'!$B$1:$AY$1,U$1)+SUMIFS('changes2_based on steps'!$B243:$U243,'changes2_based on steps'!$B$1:$U$1,U$1)</f>
        <v>0</v>
      </c>
      <c r="V243" s="155">
        <f>SUMIFS('recurring2_based on steps'!$B243:$AY243,'recurring2_based on steps'!$B$1:$AY$1,V$1)+SUMIFS('changes2_based on steps'!$B243:$U243,'changes2_based on steps'!$B$1:$U$1,V$1)</f>
        <v>0</v>
      </c>
      <c r="W243" s="155">
        <f ca="1">SUMIFS('recurring2_based on steps'!$B243:$AY243,'recurring2_based on steps'!$B$1:$AY$1,W$1)+SUMIFS('changes2_based on steps'!$B243:$U243,'changes2_based on steps'!$B$1:$U$1,W$1)</f>
        <v>0</v>
      </c>
      <c r="X243" s="155">
        <f ca="1">SUMIFS('recurring2_based on steps'!$B243:$AY243,'recurring2_based on steps'!$B$1:$AY$1,X$1)+SUMIFS('changes2_based on steps'!$B243:$U243,'changes2_based on steps'!$B$1:$U$1,X$1)</f>
        <v>0</v>
      </c>
      <c r="Y243" s="155">
        <f ca="1">SUMIFS('recurring2_based on steps'!$B243:$AY243,'recurring2_based on steps'!$B$1:$AY$1,Y$1)+SUMIFS('changes2_based on steps'!$B243:$U243,'changes2_based on steps'!$B$1:$U$1,Y$1)</f>
        <v>0</v>
      </c>
      <c r="Z243" s="155">
        <f>SUMIFS('recurring2_based on steps'!$B243:$AY243,'recurring2_based on steps'!$B$1:$AY$1,Z$1)+SUMIFS('changes2_based on steps'!$B243:$U243,'changes2_based on steps'!$B$1:$U$1,Z$1)</f>
        <v>0</v>
      </c>
      <c r="AA243" s="155">
        <f>SUMIFS('recurring2_based on steps'!$B243:$AY243,'recurring2_based on steps'!$B$1:$AY$1,AA$1)+SUMIFS('changes2_based on steps'!$B243:$U243,'changes2_based on steps'!$B$1:$U$1,AA$1)</f>
        <v>0</v>
      </c>
    </row>
    <row r="244" spans="1:27" x14ac:dyDescent="0.2">
      <c r="A244" s="18">
        <f t="shared" ca="1" si="3"/>
        <v>45930</v>
      </c>
      <c r="B244" s="155">
        <f ca="1">SUMIFS('recurring2_based on steps'!$B244:$AY244,'recurring2_based on steps'!$B$1:$AY$1,B$1)+SUMIFS('changes2_based on steps'!$B244:$U244,'changes2_based on steps'!$B$1:$U$1,B$1)</f>
        <v>0</v>
      </c>
      <c r="C244" s="155">
        <f>SUMIFS('recurring2_based on steps'!$B244:$AY244,'recurring2_based on steps'!$B$1:$AY$1,C$1)+SUMIFS('changes2_based on steps'!$B244:$U244,'changes2_based on steps'!$B$1:$U$1,C$1)</f>
        <v>0</v>
      </c>
      <c r="D244" s="155">
        <f>SUMIFS('recurring2_based on steps'!$B244:$AY244,'recurring2_based on steps'!$B$1:$AY$1,D$1)+SUMIFS('changes2_based on steps'!$B244:$U244,'changes2_based on steps'!$B$1:$U$1,D$1)</f>
        <v>0</v>
      </c>
      <c r="E244" s="155">
        <f>SUMIFS('recurring2_based on steps'!$B244:$AY244,'recurring2_based on steps'!$B$1:$AY$1,E$1)+SUMIFS('changes2_based on steps'!$B244:$U244,'changes2_based on steps'!$B$1:$U$1,E$1)</f>
        <v>0</v>
      </c>
      <c r="F244" s="155">
        <f>SUMIFS('recurring2_based on steps'!$B244:$AY244,'recurring2_based on steps'!$B$1:$AY$1,F$1)+SUMIFS('changes2_based on steps'!$B244:$U244,'changes2_based on steps'!$B$1:$U$1,F$1)</f>
        <v>0</v>
      </c>
      <c r="G244" s="155">
        <f>SUMIFS('recurring2_based on steps'!$B244:$AY244,'recurring2_based on steps'!$B$1:$AY$1,G$1)+SUMIFS('changes2_based on steps'!$B244:$U244,'changes2_based on steps'!$B$1:$U$1,G$1)</f>
        <v>0</v>
      </c>
      <c r="H244" s="155">
        <f ca="1">SUMIFS('recurring2_based on steps'!$B244:$AY244,'recurring2_based on steps'!$B$1:$AY$1,H$1)+SUMIFS('changes2_based on steps'!$B244:$U244,'changes2_based on steps'!$B$1:$U$1,H$1)</f>
        <v>0</v>
      </c>
      <c r="I244" s="155">
        <f>SUMIFS('recurring2_based on steps'!$B244:$AY244,'recurring2_based on steps'!$B$1:$AY$1,I$1)+SUMIFS('changes2_based on steps'!$B244:$U244,'changes2_based on steps'!$B$1:$U$1,I$1)</f>
        <v>0</v>
      </c>
      <c r="J244" s="155">
        <f>SUMIFS('recurring2_based on steps'!$B244:$AY244,'recurring2_based on steps'!$B$1:$AY$1,J$1)+SUMIFS('changes2_based on steps'!$B244:$U244,'changes2_based on steps'!$B$1:$U$1,J$1)</f>
        <v>0</v>
      </c>
      <c r="K244" s="155">
        <f>SUMIFS('recurring2_based on steps'!$B244:$AY244,'recurring2_based on steps'!$B$1:$AY$1,K$1)+SUMIFS('changes2_based on steps'!$B244:$U244,'changes2_based on steps'!$B$1:$U$1,K$1)</f>
        <v>0</v>
      </c>
      <c r="L244" s="155">
        <f>SUMIFS('recurring2_based on steps'!$B244:$AY244,'recurring2_based on steps'!$B$1:$AY$1,L$1)+SUMIFS('changes2_based on steps'!$B244:$U244,'changes2_based on steps'!$B$1:$U$1,L$1)</f>
        <v>0</v>
      </c>
      <c r="M244" s="155">
        <f ca="1">SUMIFS('recurring2_based on steps'!$B244:$AY244,'recurring2_based on steps'!$B$1:$AY$1,M$1)+SUMIFS('changes2_based on steps'!$B244:$U244,'changes2_based on steps'!$B$1:$U$1,M$1)</f>
        <v>50</v>
      </c>
      <c r="N244" s="155">
        <f ca="1">SUMIFS('recurring2_based on steps'!$B244:$AY244,'recurring2_based on steps'!$B$1:$AY$1,N$1)+SUMIFS('changes2_based on steps'!$B244:$U244,'changes2_based on steps'!$B$1:$U$1,N$1)</f>
        <v>0</v>
      </c>
      <c r="O244" s="155">
        <f ca="1">SUMIFS('recurring2_based on steps'!$B244:$AY244,'recurring2_based on steps'!$B$1:$AY$1,O$1)+SUMIFS('changes2_based on steps'!$B244:$U244,'changes2_based on steps'!$B$1:$U$1,O$1)</f>
        <v>0</v>
      </c>
      <c r="P244" s="155">
        <f ca="1">SUMIFS('recurring2_based on steps'!$B244:$AY244,'recurring2_based on steps'!$B$1:$AY$1,P$1)+SUMIFS('changes2_based on steps'!$B244:$U244,'changes2_based on steps'!$B$1:$U$1,P$1)</f>
        <v>0</v>
      </c>
      <c r="Q244" s="155">
        <f>SUMIFS('recurring2_based on steps'!$B244:$AY244,'recurring2_based on steps'!$B$1:$AY$1,Q$1)+SUMIFS('changes2_based on steps'!$B244:$U244,'changes2_based on steps'!$B$1:$U$1,Q$1)</f>
        <v>0</v>
      </c>
      <c r="R244" s="155">
        <f ca="1">SUMIFS('recurring2_based on steps'!$B244:$AY244,'recurring2_based on steps'!$B$1:$AY$1,R$1)+SUMIFS('changes2_based on steps'!$B244:$U244,'changes2_based on steps'!$B$1:$U$1,R$1)</f>
        <v>0</v>
      </c>
      <c r="S244" s="155">
        <f ca="1">SUMIFS('recurring2_based on steps'!$B244:$AY244,'recurring2_based on steps'!$B$1:$AY$1,S$1)+SUMIFS('changes2_based on steps'!$B244:$U244,'changes2_based on steps'!$B$1:$U$1,S$1)</f>
        <v>0</v>
      </c>
      <c r="T244" s="155">
        <f>SUMIFS('recurring2_based on steps'!$B244:$AY244,'recurring2_based on steps'!$B$1:$AY$1,T$1)+SUMIFS('changes2_based on steps'!$B244:$U244,'changes2_based on steps'!$B$1:$U$1,T$1)</f>
        <v>0</v>
      </c>
      <c r="U244" s="155">
        <f ca="1">SUMIFS('recurring2_based on steps'!$B244:$AY244,'recurring2_based on steps'!$B$1:$AY$1,U$1)+SUMIFS('changes2_based on steps'!$B244:$U244,'changes2_based on steps'!$B$1:$U$1,U$1)</f>
        <v>0</v>
      </c>
      <c r="V244" s="155">
        <f>SUMIFS('recurring2_based on steps'!$B244:$AY244,'recurring2_based on steps'!$B$1:$AY$1,V$1)+SUMIFS('changes2_based on steps'!$B244:$U244,'changes2_based on steps'!$B$1:$U$1,V$1)</f>
        <v>0</v>
      </c>
      <c r="W244" s="155">
        <f ca="1">SUMIFS('recurring2_based on steps'!$B244:$AY244,'recurring2_based on steps'!$B$1:$AY$1,W$1)+SUMIFS('changes2_based on steps'!$B244:$U244,'changes2_based on steps'!$B$1:$U$1,W$1)</f>
        <v>0</v>
      </c>
      <c r="X244" s="155">
        <f ca="1">SUMIFS('recurring2_based on steps'!$B244:$AY244,'recurring2_based on steps'!$B$1:$AY$1,X$1)+SUMIFS('changes2_based on steps'!$B244:$U244,'changes2_based on steps'!$B$1:$U$1,X$1)</f>
        <v>0</v>
      </c>
      <c r="Y244" s="155">
        <f ca="1">SUMIFS('recurring2_based on steps'!$B244:$AY244,'recurring2_based on steps'!$B$1:$AY$1,Y$1)+SUMIFS('changes2_based on steps'!$B244:$U244,'changes2_based on steps'!$B$1:$U$1,Y$1)</f>
        <v>-100</v>
      </c>
      <c r="Z244" s="155">
        <f>SUMIFS('recurring2_based on steps'!$B244:$AY244,'recurring2_based on steps'!$B$1:$AY$1,Z$1)+SUMIFS('changes2_based on steps'!$B244:$U244,'changes2_based on steps'!$B$1:$U$1,Z$1)</f>
        <v>0</v>
      </c>
      <c r="AA244" s="155">
        <f>SUMIFS('recurring2_based on steps'!$B244:$AY244,'recurring2_based on steps'!$B$1:$AY$1,AA$1)+SUMIFS('changes2_based on steps'!$B244:$U244,'changes2_based on steps'!$B$1:$U$1,AA$1)</f>
        <v>0</v>
      </c>
    </row>
    <row r="245" spans="1:27" x14ac:dyDescent="0.2">
      <c r="A245" s="18">
        <f t="shared" ca="1" si="3"/>
        <v>45931</v>
      </c>
      <c r="B245" s="155">
        <f ca="1">SUMIFS('recurring2_based on steps'!$B245:$AY245,'recurring2_based on steps'!$B$1:$AY$1,B$1)+SUMIFS('changes2_based on steps'!$B245:$U245,'changes2_based on steps'!$B$1:$U$1,B$1)</f>
        <v>0</v>
      </c>
      <c r="C245" s="155">
        <f>SUMIFS('recurring2_based on steps'!$B245:$AY245,'recurring2_based on steps'!$B$1:$AY$1,C$1)+SUMIFS('changes2_based on steps'!$B245:$U245,'changes2_based on steps'!$B$1:$U$1,C$1)</f>
        <v>0</v>
      </c>
      <c r="D245" s="155">
        <f>SUMIFS('recurring2_based on steps'!$B245:$AY245,'recurring2_based on steps'!$B$1:$AY$1,D$1)+SUMIFS('changes2_based on steps'!$B245:$U245,'changes2_based on steps'!$B$1:$U$1,D$1)</f>
        <v>0</v>
      </c>
      <c r="E245" s="155">
        <f>SUMIFS('recurring2_based on steps'!$B245:$AY245,'recurring2_based on steps'!$B$1:$AY$1,E$1)+SUMIFS('changes2_based on steps'!$B245:$U245,'changes2_based on steps'!$B$1:$U$1,E$1)</f>
        <v>0</v>
      </c>
      <c r="F245" s="155">
        <f>SUMIFS('recurring2_based on steps'!$B245:$AY245,'recurring2_based on steps'!$B$1:$AY$1,F$1)+SUMIFS('changes2_based on steps'!$B245:$U245,'changes2_based on steps'!$B$1:$U$1,F$1)</f>
        <v>0</v>
      </c>
      <c r="G245" s="155">
        <f>SUMIFS('recurring2_based on steps'!$B245:$AY245,'recurring2_based on steps'!$B$1:$AY$1,G$1)+SUMIFS('changes2_based on steps'!$B245:$U245,'changes2_based on steps'!$B$1:$U$1,G$1)</f>
        <v>0</v>
      </c>
      <c r="H245" s="155">
        <f ca="1">SUMIFS('recurring2_based on steps'!$B245:$AY245,'recurring2_based on steps'!$B$1:$AY$1,H$1)+SUMIFS('changes2_based on steps'!$B245:$U245,'changes2_based on steps'!$B$1:$U$1,H$1)</f>
        <v>0</v>
      </c>
      <c r="I245" s="155">
        <f>SUMIFS('recurring2_based on steps'!$B245:$AY245,'recurring2_based on steps'!$B$1:$AY$1,I$1)+SUMIFS('changes2_based on steps'!$B245:$U245,'changes2_based on steps'!$B$1:$U$1,I$1)</f>
        <v>0</v>
      </c>
      <c r="J245" s="155">
        <f>SUMIFS('recurring2_based on steps'!$B245:$AY245,'recurring2_based on steps'!$B$1:$AY$1,J$1)+SUMIFS('changes2_based on steps'!$B245:$U245,'changes2_based on steps'!$B$1:$U$1,J$1)</f>
        <v>0</v>
      </c>
      <c r="K245" s="155">
        <f>SUMIFS('recurring2_based on steps'!$B245:$AY245,'recurring2_based on steps'!$B$1:$AY$1,K$1)+SUMIFS('changes2_based on steps'!$B245:$U245,'changes2_based on steps'!$B$1:$U$1,K$1)</f>
        <v>0</v>
      </c>
      <c r="L245" s="155">
        <f>SUMIFS('recurring2_based on steps'!$B245:$AY245,'recurring2_based on steps'!$B$1:$AY$1,L$1)+SUMIFS('changes2_based on steps'!$B245:$U245,'changes2_based on steps'!$B$1:$U$1,L$1)</f>
        <v>0</v>
      </c>
      <c r="M245" s="155">
        <f ca="1">SUMIFS('recurring2_based on steps'!$B245:$AY245,'recurring2_based on steps'!$B$1:$AY$1,M$1)+SUMIFS('changes2_based on steps'!$B245:$U245,'changes2_based on steps'!$B$1:$U$1,M$1)</f>
        <v>2000</v>
      </c>
      <c r="N245" s="155">
        <f ca="1">SUMIFS('recurring2_based on steps'!$B245:$AY245,'recurring2_based on steps'!$B$1:$AY$1,N$1)+SUMIFS('changes2_based on steps'!$B245:$U245,'changes2_based on steps'!$B$1:$U$1,N$1)</f>
        <v>0</v>
      </c>
      <c r="O245" s="155">
        <f ca="1">SUMIFS('recurring2_based on steps'!$B245:$AY245,'recurring2_based on steps'!$B$1:$AY$1,O$1)+SUMIFS('changes2_based on steps'!$B245:$U245,'changes2_based on steps'!$B$1:$U$1,O$1)</f>
        <v>0</v>
      </c>
      <c r="P245" s="155">
        <f ca="1">SUMIFS('recurring2_based on steps'!$B245:$AY245,'recurring2_based on steps'!$B$1:$AY$1,P$1)+SUMIFS('changes2_based on steps'!$B245:$U245,'changes2_based on steps'!$B$1:$U$1,P$1)</f>
        <v>0</v>
      </c>
      <c r="Q245" s="155">
        <f>SUMIFS('recurring2_based on steps'!$B245:$AY245,'recurring2_based on steps'!$B$1:$AY$1,Q$1)+SUMIFS('changes2_based on steps'!$B245:$U245,'changes2_based on steps'!$B$1:$U$1,Q$1)</f>
        <v>0</v>
      </c>
      <c r="R245" s="155">
        <f ca="1">SUMIFS('recurring2_based on steps'!$B245:$AY245,'recurring2_based on steps'!$B$1:$AY$1,R$1)+SUMIFS('changes2_based on steps'!$B245:$U245,'changes2_based on steps'!$B$1:$U$1,R$1)</f>
        <v>0</v>
      </c>
      <c r="S245" s="155">
        <f ca="1">SUMIFS('recurring2_based on steps'!$B245:$AY245,'recurring2_based on steps'!$B$1:$AY$1,S$1)+SUMIFS('changes2_based on steps'!$B245:$U245,'changes2_based on steps'!$B$1:$U$1,S$1)</f>
        <v>0</v>
      </c>
      <c r="T245" s="155">
        <f>SUMIFS('recurring2_based on steps'!$B245:$AY245,'recurring2_based on steps'!$B$1:$AY$1,T$1)+SUMIFS('changes2_based on steps'!$B245:$U245,'changes2_based on steps'!$B$1:$U$1,T$1)</f>
        <v>0</v>
      </c>
      <c r="U245" s="155">
        <f ca="1">SUMIFS('recurring2_based on steps'!$B245:$AY245,'recurring2_based on steps'!$B$1:$AY$1,U$1)+SUMIFS('changes2_based on steps'!$B245:$U245,'changes2_based on steps'!$B$1:$U$1,U$1)</f>
        <v>0</v>
      </c>
      <c r="V245" s="155">
        <f>SUMIFS('recurring2_based on steps'!$B245:$AY245,'recurring2_based on steps'!$B$1:$AY$1,V$1)+SUMIFS('changes2_based on steps'!$B245:$U245,'changes2_based on steps'!$B$1:$U$1,V$1)</f>
        <v>0</v>
      </c>
      <c r="W245" s="155">
        <f ca="1">SUMIFS('recurring2_based on steps'!$B245:$AY245,'recurring2_based on steps'!$B$1:$AY$1,W$1)+SUMIFS('changes2_based on steps'!$B245:$U245,'changes2_based on steps'!$B$1:$U$1,W$1)</f>
        <v>0</v>
      </c>
      <c r="X245" s="155">
        <f ca="1">SUMIFS('recurring2_based on steps'!$B245:$AY245,'recurring2_based on steps'!$B$1:$AY$1,X$1)+SUMIFS('changes2_based on steps'!$B245:$U245,'changes2_based on steps'!$B$1:$U$1,X$1)</f>
        <v>0</v>
      </c>
      <c r="Y245" s="155">
        <f ca="1">SUMIFS('recurring2_based on steps'!$B245:$AY245,'recurring2_based on steps'!$B$1:$AY$1,Y$1)+SUMIFS('changes2_based on steps'!$B245:$U245,'changes2_based on steps'!$B$1:$U$1,Y$1)</f>
        <v>0</v>
      </c>
      <c r="Z245" s="155">
        <f>SUMIFS('recurring2_based on steps'!$B245:$AY245,'recurring2_based on steps'!$B$1:$AY$1,Z$1)+SUMIFS('changes2_based on steps'!$B245:$U245,'changes2_based on steps'!$B$1:$U$1,Z$1)</f>
        <v>0</v>
      </c>
      <c r="AA245" s="155">
        <f>SUMIFS('recurring2_based on steps'!$B245:$AY245,'recurring2_based on steps'!$B$1:$AY$1,AA$1)+SUMIFS('changes2_based on steps'!$B245:$U245,'changes2_based on steps'!$B$1:$U$1,AA$1)</f>
        <v>0</v>
      </c>
    </row>
    <row r="246" spans="1:27" x14ac:dyDescent="0.2">
      <c r="A246" s="18">
        <f t="shared" ca="1" si="3"/>
        <v>45932</v>
      </c>
      <c r="B246" s="155">
        <f ca="1">SUMIFS('recurring2_based on steps'!$B246:$AY246,'recurring2_based on steps'!$B$1:$AY$1,B$1)+SUMIFS('changes2_based on steps'!$B246:$U246,'changes2_based on steps'!$B$1:$U$1,B$1)</f>
        <v>0</v>
      </c>
      <c r="C246" s="155">
        <f>SUMIFS('recurring2_based on steps'!$B246:$AY246,'recurring2_based on steps'!$B$1:$AY$1,C$1)+SUMIFS('changes2_based on steps'!$B246:$U246,'changes2_based on steps'!$B$1:$U$1,C$1)</f>
        <v>0</v>
      </c>
      <c r="D246" s="155">
        <f>SUMIFS('recurring2_based on steps'!$B246:$AY246,'recurring2_based on steps'!$B$1:$AY$1,D$1)+SUMIFS('changes2_based on steps'!$B246:$U246,'changes2_based on steps'!$B$1:$U$1,D$1)</f>
        <v>0</v>
      </c>
      <c r="E246" s="155">
        <f>SUMIFS('recurring2_based on steps'!$B246:$AY246,'recurring2_based on steps'!$B$1:$AY$1,E$1)+SUMIFS('changes2_based on steps'!$B246:$U246,'changes2_based on steps'!$B$1:$U$1,E$1)</f>
        <v>0</v>
      </c>
      <c r="F246" s="155">
        <f>SUMIFS('recurring2_based on steps'!$B246:$AY246,'recurring2_based on steps'!$B$1:$AY$1,F$1)+SUMIFS('changes2_based on steps'!$B246:$U246,'changes2_based on steps'!$B$1:$U$1,F$1)</f>
        <v>0</v>
      </c>
      <c r="G246" s="155">
        <f>SUMIFS('recurring2_based on steps'!$B246:$AY246,'recurring2_based on steps'!$B$1:$AY$1,G$1)+SUMIFS('changes2_based on steps'!$B246:$U246,'changes2_based on steps'!$B$1:$U$1,G$1)</f>
        <v>0</v>
      </c>
      <c r="H246" s="155">
        <f ca="1">SUMIFS('recurring2_based on steps'!$B246:$AY246,'recurring2_based on steps'!$B$1:$AY$1,H$1)+SUMIFS('changes2_based on steps'!$B246:$U246,'changes2_based on steps'!$B$1:$U$1,H$1)</f>
        <v>0</v>
      </c>
      <c r="I246" s="155">
        <f>SUMIFS('recurring2_based on steps'!$B246:$AY246,'recurring2_based on steps'!$B$1:$AY$1,I$1)+SUMIFS('changes2_based on steps'!$B246:$U246,'changes2_based on steps'!$B$1:$U$1,I$1)</f>
        <v>0</v>
      </c>
      <c r="J246" s="155">
        <f>SUMIFS('recurring2_based on steps'!$B246:$AY246,'recurring2_based on steps'!$B$1:$AY$1,J$1)+SUMIFS('changes2_based on steps'!$B246:$U246,'changes2_based on steps'!$B$1:$U$1,J$1)</f>
        <v>0</v>
      </c>
      <c r="K246" s="155">
        <f>SUMIFS('recurring2_based on steps'!$B246:$AY246,'recurring2_based on steps'!$B$1:$AY$1,K$1)+SUMIFS('changes2_based on steps'!$B246:$U246,'changes2_based on steps'!$B$1:$U$1,K$1)</f>
        <v>0</v>
      </c>
      <c r="L246" s="155">
        <f>SUMIFS('recurring2_based on steps'!$B246:$AY246,'recurring2_based on steps'!$B$1:$AY$1,L$1)+SUMIFS('changes2_based on steps'!$B246:$U246,'changes2_based on steps'!$B$1:$U$1,L$1)</f>
        <v>0</v>
      </c>
      <c r="M246" s="155">
        <f ca="1">SUMIFS('recurring2_based on steps'!$B246:$AY246,'recurring2_based on steps'!$B$1:$AY$1,M$1)+SUMIFS('changes2_based on steps'!$B246:$U246,'changes2_based on steps'!$B$1:$U$1,M$1)</f>
        <v>0</v>
      </c>
      <c r="N246" s="155">
        <f ca="1">SUMIFS('recurring2_based on steps'!$B246:$AY246,'recurring2_based on steps'!$B$1:$AY$1,N$1)+SUMIFS('changes2_based on steps'!$B246:$U246,'changes2_based on steps'!$B$1:$U$1,N$1)</f>
        <v>0</v>
      </c>
      <c r="O246" s="155">
        <f ca="1">SUMIFS('recurring2_based on steps'!$B246:$AY246,'recurring2_based on steps'!$B$1:$AY$1,O$1)+SUMIFS('changes2_based on steps'!$B246:$U246,'changes2_based on steps'!$B$1:$U$1,O$1)</f>
        <v>0</v>
      </c>
      <c r="P246" s="155">
        <f ca="1">SUMIFS('recurring2_based on steps'!$B246:$AY246,'recurring2_based on steps'!$B$1:$AY$1,P$1)+SUMIFS('changes2_based on steps'!$B246:$U246,'changes2_based on steps'!$B$1:$U$1,P$1)</f>
        <v>0</v>
      </c>
      <c r="Q246" s="155">
        <f>SUMIFS('recurring2_based on steps'!$B246:$AY246,'recurring2_based on steps'!$B$1:$AY$1,Q$1)+SUMIFS('changes2_based on steps'!$B246:$U246,'changes2_based on steps'!$B$1:$U$1,Q$1)</f>
        <v>0</v>
      </c>
      <c r="R246" s="155">
        <f ca="1">SUMIFS('recurring2_based on steps'!$B246:$AY246,'recurring2_based on steps'!$B$1:$AY$1,R$1)+SUMIFS('changes2_based on steps'!$B246:$U246,'changes2_based on steps'!$B$1:$U$1,R$1)</f>
        <v>0</v>
      </c>
      <c r="S246" s="155">
        <f ca="1">SUMIFS('recurring2_based on steps'!$B246:$AY246,'recurring2_based on steps'!$B$1:$AY$1,S$1)+SUMIFS('changes2_based on steps'!$B246:$U246,'changes2_based on steps'!$B$1:$U$1,S$1)</f>
        <v>0</v>
      </c>
      <c r="T246" s="155">
        <f>SUMIFS('recurring2_based on steps'!$B246:$AY246,'recurring2_based on steps'!$B$1:$AY$1,T$1)+SUMIFS('changes2_based on steps'!$B246:$U246,'changes2_based on steps'!$B$1:$U$1,T$1)</f>
        <v>0</v>
      </c>
      <c r="U246" s="155">
        <f ca="1">SUMIFS('recurring2_based on steps'!$B246:$AY246,'recurring2_based on steps'!$B$1:$AY$1,U$1)+SUMIFS('changes2_based on steps'!$B246:$U246,'changes2_based on steps'!$B$1:$U$1,U$1)</f>
        <v>0</v>
      </c>
      <c r="V246" s="155">
        <f>SUMIFS('recurring2_based on steps'!$B246:$AY246,'recurring2_based on steps'!$B$1:$AY$1,V$1)+SUMIFS('changes2_based on steps'!$B246:$U246,'changes2_based on steps'!$B$1:$U$1,V$1)</f>
        <v>0</v>
      </c>
      <c r="W246" s="155">
        <f ca="1">SUMIFS('recurring2_based on steps'!$B246:$AY246,'recurring2_based on steps'!$B$1:$AY$1,W$1)+SUMIFS('changes2_based on steps'!$B246:$U246,'changes2_based on steps'!$B$1:$U$1,W$1)</f>
        <v>0</v>
      </c>
      <c r="X246" s="155">
        <f ca="1">SUMIFS('recurring2_based on steps'!$B246:$AY246,'recurring2_based on steps'!$B$1:$AY$1,X$1)+SUMIFS('changes2_based on steps'!$B246:$U246,'changes2_based on steps'!$B$1:$U$1,X$1)</f>
        <v>0</v>
      </c>
      <c r="Y246" s="155">
        <f ca="1">SUMIFS('recurring2_based on steps'!$B246:$AY246,'recurring2_based on steps'!$B$1:$AY$1,Y$1)+SUMIFS('changes2_based on steps'!$B246:$U246,'changes2_based on steps'!$B$1:$U$1,Y$1)</f>
        <v>0</v>
      </c>
      <c r="Z246" s="155">
        <f>SUMIFS('recurring2_based on steps'!$B246:$AY246,'recurring2_based on steps'!$B$1:$AY$1,Z$1)+SUMIFS('changes2_based on steps'!$B246:$U246,'changes2_based on steps'!$B$1:$U$1,Z$1)</f>
        <v>0</v>
      </c>
      <c r="AA246" s="155">
        <f>SUMIFS('recurring2_based on steps'!$B246:$AY246,'recurring2_based on steps'!$B$1:$AY$1,AA$1)+SUMIFS('changes2_based on steps'!$B246:$U246,'changes2_based on steps'!$B$1:$U$1,AA$1)</f>
        <v>0</v>
      </c>
    </row>
    <row r="247" spans="1:27" x14ac:dyDescent="0.2">
      <c r="A247" s="18">
        <f t="shared" ca="1" si="3"/>
        <v>45933</v>
      </c>
      <c r="B247" s="155">
        <f ca="1">SUMIFS('recurring2_based on steps'!$B247:$AY247,'recurring2_based on steps'!$B$1:$AY$1,B$1)+SUMIFS('changes2_based on steps'!$B247:$U247,'changes2_based on steps'!$B$1:$U$1,B$1)</f>
        <v>4000</v>
      </c>
      <c r="C247" s="155">
        <f>SUMIFS('recurring2_based on steps'!$B247:$AY247,'recurring2_based on steps'!$B$1:$AY$1,C$1)+SUMIFS('changes2_based on steps'!$B247:$U247,'changes2_based on steps'!$B$1:$U$1,C$1)</f>
        <v>0</v>
      </c>
      <c r="D247" s="155">
        <f>SUMIFS('recurring2_based on steps'!$B247:$AY247,'recurring2_based on steps'!$B$1:$AY$1,D$1)+SUMIFS('changes2_based on steps'!$B247:$U247,'changes2_based on steps'!$B$1:$U$1,D$1)</f>
        <v>0</v>
      </c>
      <c r="E247" s="155">
        <f>SUMIFS('recurring2_based on steps'!$B247:$AY247,'recurring2_based on steps'!$B$1:$AY$1,E$1)+SUMIFS('changes2_based on steps'!$B247:$U247,'changes2_based on steps'!$B$1:$U$1,E$1)</f>
        <v>0</v>
      </c>
      <c r="F247" s="155">
        <f>SUMIFS('recurring2_based on steps'!$B247:$AY247,'recurring2_based on steps'!$B$1:$AY$1,F$1)+SUMIFS('changes2_based on steps'!$B247:$U247,'changes2_based on steps'!$B$1:$U$1,F$1)</f>
        <v>0</v>
      </c>
      <c r="G247" s="155">
        <f>SUMIFS('recurring2_based on steps'!$B247:$AY247,'recurring2_based on steps'!$B$1:$AY$1,G$1)+SUMIFS('changes2_based on steps'!$B247:$U247,'changes2_based on steps'!$B$1:$U$1,G$1)</f>
        <v>0</v>
      </c>
      <c r="H247" s="155">
        <f ca="1">SUMIFS('recurring2_based on steps'!$B247:$AY247,'recurring2_based on steps'!$B$1:$AY$1,H$1)+SUMIFS('changes2_based on steps'!$B247:$U247,'changes2_based on steps'!$B$1:$U$1,H$1)</f>
        <v>96</v>
      </c>
      <c r="I247" s="155">
        <f>SUMIFS('recurring2_based on steps'!$B247:$AY247,'recurring2_based on steps'!$B$1:$AY$1,I$1)+SUMIFS('changes2_based on steps'!$B247:$U247,'changes2_based on steps'!$B$1:$U$1,I$1)</f>
        <v>0</v>
      </c>
      <c r="J247" s="155">
        <f>SUMIFS('recurring2_based on steps'!$B247:$AY247,'recurring2_based on steps'!$B$1:$AY$1,J$1)+SUMIFS('changes2_based on steps'!$B247:$U247,'changes2_based on steps'!$B$1:$U$1,J$1)</f>
        <v>0</v>
      </c>
      <c r="K247" s="155">
        <f>SUMIFS('recurring2_based on steps'!$B247:$AY247,'recurring2_based on steps'!$B$1:$AY$1,K$1)+SUMIFS('changes2_based on steps'!$B247:$U247,'changes2_based on steps'!$B$1:$U$1,K$1)</f>
        <v>0</v>
      </c>
      <c r="L247" s="155">
        <f>SUMIFS('recurring2_based on steps'!$B247:$AY247,'recurring2_based on steps'!$B$1:$AY$1,L$1)+SUMIFS('changes2_based on steps'!$B247:$U247,'changes2_based on steps'!$B$1:$U$1,L$1)</f>
        <v>0</v>
      </c>
      <c r="M247" s="155">
        <f ca="1">SUMIFS('recurring2_based on steps'!$B247:$AY247,'recurring2_based on steps'!$B$1:$AY$1,M$1)+SUMIFS('changes2_based on steps'!$B247:$U247,'changes2_based on steps'!$B$1:$U$1,M$1)</f>
        <v>0</v>
      </c>
      <c r="N247" s="155">
        <f ca="1">SUMIFS('recurring2_based on steps'!$B247:$AY247,'recurring2_based on steps'!$B$1:$AY$1,N$1)+SUMIFS('changes2_based on steps'!$B247:$U247,'changes2_based on steps'!$B$1:$U$1,N$1)</f>
        <v>0</v>
      </c>
      <c r="O247" s="155">
        <f ca="1">SUMIFS('recurring2_based on steps'!$B247:$AY247,'recurring2_based on steps'!$B$1:$AY$1,O$1)+SUMIFS('changes2_based on steps'!$B247:$U247,'changes2_based on steps'!$B$1:$U$1,O$1)</f>
        <v>0</v>
      </c>
      <c r="P247" s="155">
        <f ca="1">SUMIFS('recurring2_based on steps'!$B247:$AY247,'recurring2_based on steps'!$B$1:$AY$1,P$1)+SUMIFS('changes2_based on steps'!$B247:$U247,'changes2_based on steps'!$B$1:$U$1,P$1)</f>
        <v>0</v>
      </c>
      <c r="Q247" s="155">
        <f>SUMIFS('recurring2_based on steps'!$B247:$AY247,'recurring2_based on steps'!$B$1:$AY$1,Q$1)+SUMIFS('changes2_based on steps'!$B247:$U247,'changes2_based on steps'!$B$1:$U$1,Q$1)</f>
        <v>0</v>
      </c>
      <c r="R247" s="155">
        <f ca="1">SUMIFS('recurring2_based on steps'!$B247:$AY247,'recurring2_based on steps'!$B$1:$AY$1,R$1)+SUMIFS('changes2_based on steps'!$B247:$U247,'changes2_based on steps'!$B$1:$U$1,R$1)</f>
        <v>0</v>
      </c>
      <c r="S247" s="155">
        <f ca="1">SUMIFS('recurring2_based on steps'!$B247:$AY247,'recurring2_based on steps'!$B$1:$AY$1,S$1)+SUMIFS('changes2_based on steps'!$B247:$U247,'changes2_based on steps'!$B$1:$U$1,S$1)</f>
        <v>0</v>
      </c>
      <c r="T247" s="155">
        <f>SUMIFS('recurring2_based on steps'!$B247:$AY247,'recurring2_based on steps'!$B$1:$AY$1,T$1)+SUMIFS('changes2_based on steps'!$B247:$U247,'changes2_based on steps'!$B$1:$U$1,T$1)</f>
        <v>0</v>
      </c>
      <c r="U247" s="155">
        <f ca="1">SUMIFS('recurring2_based on steps'!$B247:$AY247,'recurring2_based on steps'!$B$1:$AY$1,U$1)+SUMIFS('changes2_based on steps'!$B247:$U247,'changes2_based on steps'!$B$1:$U$1,U$1)</f>
        <v>0</v>
      </c>
      <c r="V247" s="155">
        <f>SUMIFS('recurring2_based on steps'!$B247:$AY247,'recurring2_based on steps'!$B$1:$AY$1,V$1)+SUMIFS('changes2_based on steps'!$B247:$U247,'changes2_based on steps'!$B$1:$U$1,V$1)</f>
        <v>0</v>
      </c>
      <c r="W247" s="155">
        <f ca="1">SUMIFS('recurring2_based on steps'!$B247:$AY247,'recurring2_based on steps'!$B$1:$AY$1,W$1)+SUMIFS('changes2_based on steps'!$B247:$U247,'changes2_based on steps'!$B$1:$U$1,W$1)</f>
        <v>50</v>
      </c>
      <c r="X247" s="155">
        <f ca="1">SUMIFS('recurring2_based on steps'!$B247:$AY247,'recurring2_based on steps'!$B$1:$AY$1,X$1)+SUMIFS('changes2_based on steps'!$B247:$U247,'changes2_based on steps'!$B$1:$U$1,X$1)</f>
        <v>200</v>
      </c>
      <c r="Y247" s="155">
        <f ca="1">SUMIFS('recurring2_based on steps'!$B247:$AY247,'recurring2_based on steps'!$B$1:$AY$1,Y$1)+SUMIFS('changes2_based on steps'!$B247:$U247,'changes2_based on steps'!$B$1:$U$1,Y$1)</f>
        <v>0</v>
      </c>
      <c r="Z247" s="155">
        <f>SUMIFS('recurring2_based on steps'!$B247:$AY247,'recurring2_based on steps'!$B$1:$AY$1,Z$1)+SUMIFS('changes2_based on steps'!$B247:$U247,'changes2_based on steps'!$B$1:$U$1,Z$1)</f>
        <v>0</v>
      </c>
      <c r="AA247" s="155">
        <f>SUMIFS('recurring2_based on steps'!$B247:$AY247,'recurring2_based on steps'!$B$1:$AY$1,AA$1)+SUMIFS('changes2_based on steps'!$B247:$U247,'changes2_based on steps'!$B$1:$U$1,AA$1)</f>
        <v>0</v>
      </c>
    </row>
    <row r="248" spans="1:27" x14ac:dyDescent="0.2">
      <c r="A248" s="18">
        <f t="shared" ca="1" si="3"/>
        <v>45934</v>
      </c>
      <c r="B248" s="155">
        <f ca="1">SUMIFS('recurring2_based on steps'!$B248:$AY248,'recurring2_based on steps'!$B$1:$AY$1,B$1)+SUMIFS('changes2_based on steps'!$B248:$U248,'changes2_based on steps'!$B$1:$U$1,B$1)</f>
        <v>0</v>
      </c>
      <c r="C248" s="155">
        <f>SUMIFS('recurring2_based on steps'!$B248:$AY248,'recurring2_based on steps'!$B$1:$AY$1,C$1)+SUMIFS('changes2_based on steps'!$B248:$U248,'changes2_based on steps'!$B$1:$U$1,C$1)</f>
        <v>0</v>
      </c>
      <c r="D248" s="155">
        <f>SUMIFS('recurring2_based on steps'!$B248:$AY248,'recurring2_based on steps'!$B$1:$AY$1,D$1)+SUMIFS('changes2_based on steps'!$B248:$U248,'changes2_based on steps'!$B$1:$U$1,D$1)</f>
        <v>0</v>
      </c>
      <c r="E248" s="155">
        <f>SUMIFS('recurring2_based on steps'!$B248:$AY248,'recurring2_based on steps'!$B$1:$AY$1,E$1)+SUMIFS('changes2_based on steps'!$B248:$U248,'changes2_based on steps'!$B$1:$U$1,E$1)</f>
        <v>0</v>
      </c>
      <c r="F248" s="155">
        <f>SUMIFS('recurring2_based on steps'!$B248:$AY248,'recurring2_based on steps'!$B$1:$AY$1,F$1)+SUMIFS('changes2_based on steps'!$B248:$U248,'changes2_based on steps'!$B$1:$U$1,F$1)</f>
        <v>0</v>
      </c>
      <c r="G248" s="155">
        <f>SUMIFS('recurring2_based on steps'!$B248:$AY248,'recurring2_based on steps'!$B$1:$AY$1,G$1)+SUMIFS('changes2_based on steps'!$B248:$U248,'changes2_based on steps'!$B$1:$U$1,G$1)</f>
        <v>0</v>
      </c>
      <c r="H248" s="155">
        <f ca="1">SUMIFS('recurring2_based on steps'!$B248:$AY248,'recurring2_based on steps'!$B$1:$AY$1,H$1)+SUMIFS('changes2_based on steps'!$B248:$U248,'changes2_based on steps'!$B$1:$U$1,H$1)</f>
        <v>0</v>
      </c>
      <c r="I248" s="155">
        <f>SUMIFS('recurring2_based on steps'!$B248:$AY248,'recurring2_based on steps'!$B$1:$AY$1,I$1)+SUMIFS('changes2_based on steps'!$B248:$U248,'changes2_based on steps'!$B$1:$U$1,I$1)</f>
        <v>0</v>
      </c>
      <c r="J248" s="155">
        <f>SUMIFS('recurring2_based on steps'!$B248:$AY248,'recurring2_based on steps'!$B$1:$AY$1,J$1)+SUMIFS('changes2_based on steps'!$B248:$U248,'changes2_based on steps'!$B$1:$U$1,J$1)</f>
        <v>0</v>
      </c>
      <c r="K248" s="155">
        <f>SUMIFS('recurring2_based on steps'!$B248:$AY248,'recurring2_based on steps'!$B$1:$AY$1,K$1)+SUMIFS('changes2_based on steps'!$B248:$U248,'changes2_based on steps'!$B$1:$U$1,K$1)</f>
        <v>0</v>
      </c>
      <c r="L248" s="155">
        <f>SUMIFS('recurring2_based on steps'!$B248:$AY248,'recurring2_based on steps'!$B$1:$AY$1,L$1)+SUMIFS('changes2_based on steps'!$B248:$U248,'changes2_based on steps'!$B$1:$U$1,L$1)</f>
        <v>0</v>
      </c>
      <c r="M248" s="155">
        <f ca="1">SUMIFS('recurring2_based on steps'!$B248:$AY248,'recurring2_based on steps'!$B$1:$AY$1,M$1)+SUMIFS('changes2_based on steps'!$B248:$U248,'changes2_based on steps'!$B$1:$U$1,M$1)</f>
        <v>0</v>
      </c>
      <c r="N248" s="155">
        <f ca="1">SUMIFS('recurring2_based on steps'!$B248:$AY248,'recurring2_based on steps'!$B$1:$AY$1,N$1)+SUMIFS('changes2_based on steps'!$B248:$U248,'changes2_based on steps'!$B$1:$U$1,N$1)</f>
        <v>0</v>
      </c>
      <c r="O248" s="155">
        <f ca="1">SUMIFS('recurring2_based on steps'!$B248:$AY248,'recurring2_based on steps'!$B$1:$AY$1,O$1)+SUMIFS('changes2_based on steps'!$B248:$U248,'changes2_based on steps'!$B$1:$U$1,O$1)</f>
        <v>0</v>
      </c>
      <c r="P248" s="155">
        <f ca="1">SUMIFS('recurring2_based on steps'!$B248:$AY248,'recurring2_based on steps'!$B$1:$AY$1,P$1)+SUMIFS('changes2_based on steps'!$B248:$U248,'changes2_based on steps'!$B$1:$U$1,P$1)</f>
        <v>0</v>
      </c>
      <c r="Q248" s="155">
        <f>SUMIFS('recurring2_based on steps'!$B248:$AY248,'recurring2_based on steps'!$B$1:$AY$1,Q$1)+SUMIFS('changes2_based on steps'!$B248:$U248,'changes2_based on steps'!$B$1:$U$1,Q$1)</f>
        <v>0</v>
      </c>
      <c r="R248" s="155">
        <f ca="1">SUMIFS('recurring2_based on steps'!$B248:$AY248,'recurring2_based on steps'!$B$1:$AY$1,R$1)+SUMIFS('changes2_based on steps'!$B248:$U248,'changes2_based on steps'!$B$1:$U$1,R$1)</f>
        <v>100</v>
      </c>
      <c r="S248" s="155">
        <f ca="1">SUMIFS('recurring2_based on steps'!$B248:$AY248,'recurring2_based on steps'!$B$1:$AY$1,S$1)+SUMIFS('changes2_based on steps'!$B248:$U248,'changes2_based on steps'!$B$1:$U$1,S$1)</f>
        <v>100</v>
      </c>
      <c r="T248" s="155">
        <f>SUMIFS('recurring2_based on steps'!$B248:$AY248,'recurring2_based on steps'!$B$1:$AY$1,T$1)+SUMIFS('changes2_based on steps'!$B248:$U248,'changes2_based on steps'!$B$1:$U$1,T$1)</f>
        <v>0</v>
      </c>
      <c r="U248" s="155">
        <f ca="1">SUMIFS('recurring2_based on steps'!$B248:$AY248,'recurring2_based on steps'!$B$1:$AY$1,U$1)+SUMIFS('changes2_based on steps'!$B248:$U248,'changes2_based on steps'!$B$1:$U$1,U$1)</f>
        <v>15</v>
      </c>
      <c r="V248" s="155">
        <f>SUMIFS('recurring2_based on steps'!$B248:$AY248,'recurring2_based on steps'!$B$1:$AY$1,V$1)+SUMIFS('changes2_based on steps'!$B248:$U248,'changes2_based on steps'!$B$1:$U$1,V$1)</f>
        <v>0</v>
      </c>
      <c r="W248" s="155">
        <f ca="1">SUMIFS('recurring2_based on steps'!$B248:$AY248,'recurring2_based on steps'!$B$1:$AY$1,W$1)+SUMIFS('changes2_based on steps'!$B248:$U248,'changes2_based on steps'!$B$1:$U$1,W$1)</f>
        <v>0</v>
      </c>
      <c r="X248" s="155">
        <f ca="1">SUMIFS('recurring2_based on steps'!$B248:$AY248,'recurring2_based on steps'!$B$1:$AY$1,X$1)+SUMIFS('changes2_based on steps'!$B248:$U248,'changes2_based on steps'!$B$1:$U$1,X$1)</f>
        <v>0</v>
      </c>
      <c r="Y248" s="155">
        <f ca="1">SUMIFS('recurring2_based on steps'!$B248:$AY248,'recurring2_based on steps'!$B$1:$AY$1,Y$1)+SUMIFS('changes2_based on steps'!$B248:$U248,'changes2_based on steps'!$B$1:$U$1,Y$1)</f>
        <v>0</v>
      </c>
      <c r="Z248" s="155">
        <f>SUMIFS('recurring2_based on steps'!$B248:$AY248,'recurring2_based on steps'!$B$1:$AY$1,Z$1)+SUMIFS('changes2_based on steps'!$B248:$U248,'changes2_based on steps'!$B$1:$U$1,Z$1)</f>
        <v>0</v>
      </c>
      <c r="AA248" s="155">
        <f>SUMIFS('recurring2_based on steps'!$B248:$AY248,'recurring2_based on steps'!$B$1:$AY$1,AA$1)+SUMIFS('changes2_based on steps'!$B248:$U248,'changes2_based on steps'!$B$1:$U$1,AA$1)</f>
        <v>0</v>
      </c>
    </row>
    <row r="249" spans="1:27" x14ac:dyDescent="0.2">
      <c r="A249" s="18">
        <f t="shared" ca="1" si="3"/>
        <v>45935</v>
      </c>
      <c r="B249" s="155">
        <f ca="1">SUMIFS('recurring2_based on steps'!$B249:$AY249,'recurring2_based on steps'!$B$1:$AY$1,B$1)+SUMIFS('changes2_based on steps'!$B249:$U249,'changes2_based on steps'!$B$1:$U$1,B$1)</f>
        <v>0</v>
      </c>
      <c r="C249" s="155">
        <f>SUMIFS('recurring2_based on steps'!$B249:$AY249,'recurring2_based on steps'!$B$1:$AY$1,C$1)+SUMIFS('changes2_based on steps'!$B249:$U249,'changes2_based on steps'!$B$1:$U$1,C$1)</f>
        <v>0</v>
      </c>
      <c r="D249" s="155">
        <f>SUMIFS('recurring2_based on steps'!$B249:$AY249,'recurring2_based on steps'!$B$1:$AY$1,D$1)+SUMIFS('changes2_based on steps'!$B249:$U249,'changes2_based on steps'!$B$1:$U$1,D$1)</f>
        <v>0</v>
      </c>
      <c r="E249" s="155">
        <f>SUMIFS('recurring2_based on steps'!$B249:$AY249,'recurring2_based on steps'!$B$1:$AY$1,E$1)+SUMIFS('changes2_based on steps'!$B249:$U249,'changes2_based on steps'!$B$1:$U$1,E$1)</f>
        <v>0</v>
      </c>
      <c r="F249" s="155">
        <f>SUMIFS('recurring2_based on steps'!$B249:$AY249,'recurring2_based on steps'!$B$1:$AY$1,F$1)+SUMIFS('changes2_based on steps'!$B249:$U249,'changes2_based on steps'!$B$1:$U$1,F$1)</f>
        <v>0</v>
      </c>
      <c r="G249" s="155">
        <f>SUMIFS('recurring2_based on steps'!$B249:$AY249,'recurring2_based on steps'!$B$1:$AY$1,G$1)+SUMIFS('changes2_based on steps'!$B249:$U249,'changes2_based on steps'!$B$1:$U$1,G$1)</f>
        <v>0</v>
      </c>
      <c r="H249" s="155">
        <f ca="1">SUMIFS('recurring2_based on steps'!$B249:$AY249,'recurring2_based on steps'!$B$1:$AY$1,H$1)+SUMIFS('changes2_based on steps'!$B249:$U249,'changes2_based on steps'!$B$1:$U$1,H$1)</f>
        <v>0</v>
      </c>
      <c r="I249" s="155">
        <f>SUMIFS('recurring2_based on steps'!$B249:$AY249,'recurring2_based on steps'!$B$1:$AY$1,I$1)+SUMIFS('changes2_based on steps'!$B249:$U249,'changes2_based on steps'!$B$1:$U$1,I$1)</f>
        <v>0</v>
      </c>
      <c r="J249" s="155">
        <f>SUMIFS('recurring2_based on steps'!$B249:$AY249,'recurring2_based on steps'!$B$1:$AY$1,J$1)+SUMIFS('changes2_based on steps'!$B249:$U249,'changes2_based on steps'!$B$1:$U$1,J$1)</f>
        <v>0</v>
      </c>
      <c r="K249" s="155">
        <f>SUMIFS('recurring2_based on steps'!$B249:$AY249,'recurring2_based on steps'!$B$1:$AY$1,K$1)+SUMIFS('changes2_based on steps'!$B249:$U249,'changes2_based on steps'!$B$1:$U$1,K$1)</f>
        <v>0</v>
      </c>
      <c r="L249" s="155">
        <f>SUMIFS('recurring2_based on steps'!$B249:$AY249,'recurring2_based on steps'!$B$1:$AY$1,L$1)+SUMIFS('changes2_based on steps'!$B249:$U249,'changes2_based on steps'!$B$1:$U$1,L$1)</f>
        <v>0</v>
      </c>
      <c r="M249" s="155">
        <f ca="1">SUMIFS('recurring2_based on steps'!$B249:$AY249,'recurring2_based on steps'!$B$1:$AY$1,M$1)+SUMIFS('changes2_based on steps'!$B249:$U249,'changes2_based on steps'!$B$1:$U$1,M$1)</f>
        <v>0</v>
      </c>
      <c r="N249" s="155">
        <f ca="1">SUMIFS('recurring2_based on steps'!$B249:$AY249,'recurring2_based on steps'!$B$1:$AY$1,N$1)+SUMIFS('changes2_based on steps'!$B249:$U249,'changes2_based on steps'!$B$1:$U$1,N$1)</f>
        <v>50</v>
      </c>
      <c r="O249" s="155">
        <f ca="1">SUMIFS('recurring2_based on steps'!$B249:$AY249,'recurring2_based on steps'!$B$1:$AY$1,O$1)+SUMIFS('changes2_based on steps'!$B249:$U249,'changes2_based on steps'!$B$1:$U$1,O$1)</f>
        <v>0</v>
      </c>
      <c r="P249" s="155">
        <f ca="1">SUMIFS('recurring2_based on steps'!$B249:$AY249,'recurring2_based on steps'!$B$1:$AY$1,P$1)+SUMIFS('changes2_based on steps'!$B249:$U249,'changes2_based on steps'!$B$1:$U$1,P$1)</f>
        <v>0</v>
      </c>
      <c r="Q249" s="155">
        <f>SUMIFS('recurring2_based on steps'!$B249:$AY249,'recurring2_based on steps'!$B$1:$AY$1,Q$1)+SUMIFS('changes2_based on steps'!$B249:$U249,'changes2_based on steps'!$B$1:$U$1,Q$1)</f>
        <v>0</v>
      </c>
      <c r="R249" s="155">
        <f ca="1">SUMIFS('recurring2_based on steps'!$B249:$AY249,'recurring2_based on steps'!$B$1:$AY$1,R$1)+SUMIFS('changes2_based on steps'!$B249:$U249,'changes2_based on steps'!$B$1:$U$1,R$1)</f>
        <v>0</v>
      </c>
      <c r="S249" s="155">
        <f ca="1">SUMIFS('recurring2_based on steps'!$B249:$AY249,'recurring2_based on steps'!$B$1:$AY$1,S$1)+SUMIFS('changes2_based on steps'!$B249:$U249,'changes2_based on steps'!$B$1:$U$1,S$1)</f>
        <v>100</v>
      </c>
      <c r="T249" s="155">
        <f>SUMIFS('recurring2_based on steps'!$B249:$AY249,'recurring2_based on steps'!$B$1:$AY$1,T$1)+SUMIFS('changes2_based on steps'!$B249:$U249,'changes2_based on steps'!$B$1:$U$1,T$1)</f>
        <v>0</v>
      </c>
      <c r="U249" s="155">
        <f ca="1">SUMIFS('recurring2_based on steps'!$B249:$AY249,'recurring2_based on steps'!$B$1:$AY$1,U$1)+SUMIFS('changes2_based on steps'!$B249:$U249,'changes2_based on steps'!$B$1:$U$1,U$1)</f>
        <v>0</v>
      </c>
      <c r="V249" s="155">
        <f>SUMIFS('recurring2_based on steps'!$B249:$AY249,'recurring2_based on steps'!$B$1:$AY$1,V$1)+SUMIFS('changes2_based on steps'!$B249:$U249,'changes2_based on steps'!$B$1:$U$1,V$1)</f>
        <v>0</v>
      </c>
      <c r="W249" s="155">
        <f ca="1">SUMIFS('recurring2_based on steps'!$B249:$AY249,'recurring2_based on steps'!$B$1:$AY$1,W$1)+SUMIFS('changes2_based on steps'!$B249:$U249,'changes2_based on steps'!$B$1:$U$1,W$1)</f>
        <v>0</v>
      </c>
      <c r="X249" s="155">
        <f ca="1">SUMIFS('recurring2_based on steps'!$B249:$AY249,'recurring2_based on steps'!$B$1:$AY$1,X$1)+SUMIFS('changes2_based on steps'!$B249:$U249,'changes2_based on steps'!$B$1:$U$1,X$1)</f>
        <v>0</v>
      </c>
      <c r="Y249" s="155">
        <f ca="1">SUMIFS('recurring2_based on steps'!$B249:$AY249,'recurring2_based on steps'!$B$1:$AY$1,Y$1)+SUMIFS('changes2_based on steps'!$B249:$U249,'changes2_based on steps'!$B$1:$U$1,Y$1)</f>
        <v>0</v>
      </c>
      <c r="Z249" s="155">
        <f>SUMIFS('recurring2_based on steps'!$B249:$AY249,'recurring2_based on steps'!$B$1:$AY$1,Z$1)+SUMIFS('changes2_based on steps'!$B249:$U249,'changes2_based on steps'!$B$1:$U$1,Z$1)</f>
        <v>0</v>
      </c>
      <c r="AA249" s="155">
        <f>SUMIFS('recurring2_based on steps'!$B249:$AY249,'recurring2_based on steps'!$B$1:$AY$1,AA$1)+SUMIFS('changes2_based on steps'!$B249:$U249,'changes2_based on steps'!$B$1:$U$1,AA$1)</f>
        <v>0</v>
      </c>
    </row>
    <row r="250" spans="1:27" x14ac:dyDescent="0.2">
      <c r="A250" s="18">
        <f t="shared" ca="1" si="3"/>
        <v>45936</v>
      </c>
      <c r="B250" s="155">
        <f ca="1">SUMIFS('recurring2_based on steps'!$B250:$AY250,'recurring2_based on steps'!$B$1:$AY$1,B$1)+SUMIFS('changes2_based on steps'!$B250:$U250,'changes2_based on steps'!$B$1:$U$1,B$1)</f>
        <v>0</v>
      </c>
      <c r="C250" s="155">
        <f>SUMIFS('recurring2_based on steps'!$B250:$AY250,'recurring2_based on steps'!$B$1:$AY$1,C$1)+SUMIFS('changes2_based on steps'!$B250:$U250,'changes2_based on steps'!$B$1:$U$1,C$1)</f>
        <v>0</v>
      </c>
      <c r="D250" s="155">
        <f>SUMIFS('recurring2_based on steps'!$B250:$AY250,'recurring2_based on steps'!$B$1:$AY$1,D$1)+SUMIFS('changes2_based on steps'!$B250:$U250,'changes2_based on steps'!$B$1:$U$1,D$1)</f>
        <v>0</v>
      </c>
      <c r="E250" s="155">
        <f>SUMIFS('recurring2_based on steps'!$B250:$AY250,'recurring2_based on steps'!$B$1:$AY$1,E$1)+SUMIFS('changes2_based on steps'!$B250:$U250,'changes2_based on steps'!$B$1:$U$1,E$1)</f>
        <v>0</v>
      </c>
      <c r="F250" s="155">
        <f>SUMIFS('recurring2_based on steps'!$B250:$AY250,'recurring2_based on steps'!$B$1:$AY$1,F$1)+SUMIFS('changes2_based on steps'!$B250:$U250,'changes2_based on steps'!$B$1:$U$1,F$1)</f>
        <v>0</v>
      </c>
      <c r="G250" s="155">
        <f>SUMIFS('recurring2_based on steps'!$B250:$AY250,'recurring2_based on steps'!$B$1:$AY$1,G$1)+SUMIFS('changes2_based on steps'!$B250:$U250,'changes2_based on steps'!$B$1:$U$1,G$1)</f>
        <v>0</v>
      </c>
      <c r="H250" s="155">
        <f ca="1">SUMIFS('recurring2_based on steps'!$B250:$AY250,'recurring2_based on steps'!$B$1:$AY$1,H$1)+SUMIFS('changes2_based on steps'!$B250:$U250,'changes2_based on steps'!$B$1:$U$1,H$1)</f>
        <v>0</v>
      </c>
      <c r="I250" s="155">
        <f>SUMIFS('recurring2_based on steps'!$B250:$AY250,'recurring2_based on steps'!$B$1:$AY$1,I$1)+SUMIFS('changes2_based on steps'!$B250:$U250,'changes2_based on steps'!$B$1:$U$1,I$1)</f>
        <v>0</v>
      </c>
      <c r="J250" s="155">
        <f>SUMIFS('recurring2_based on steps'!$B250:$AY250,'recurring2_based on steps'!$B$1:$AY$1,J$1)+SUMIFS('changes2_based on steps'!$B250:$U250,'changes2_based on steps'!$B$1:$U$1,J$1)</f>
        <v>0</v>
      </c>
      <c r="K250" s="155">
        <f>SUMIFS('recurring2_based on steps'!$B250:$AY250,'recurring2_based on steps'!$B$1:$AY$1,K$1)+SUMIFS('changes2_based on steps'!$B250:$U250,'changes2_based on steps'!$B$1:$U$1,K$1)</f>
        <v>0</v>
      </c>
      <c r="L250" s="155">
        <f>SUMIFS('recurring2_based on steps'!$B250:$AY250,'recurring2_based on steps'!$B$1:$AY$1,L$1)+SUMIFS('changes2_based on steps'!$B250:$U250,'changes2_based on steps'!$B$1:$U$1,L$1)</f>
        <v>0</v>
      </c>
      <c r="M250" s="155">
        <f ca="1">SUMIFS('recurring2_based on steps'!$B250:$AY250,'recurring2_based on steps'!$B$1:$AY$1,M$1)+SUMIFS('changes2_based on steps'!$B250:$U250,'changes2_based on steps'!$B$1:$U$1,M$1)</f>
        <v>0</v>
      </c>
      <c r="N250" s="155">
        <f ca="1">SUMIFS('recurring2_based on steps'!$B250:$AY250,'recurring2_based on steps'!$B$1:$AY$1,N$1)+SUMIFS('changes2_based on steps'!$B250:$U250,'changes2_based on steps'!$B$1:$U$1,N$1)</f>
        <v>0</v>
      </c>
      <c r="O250" s="155">
        <f ca="1">SUMIFS('recurring2_based on steps'!$B250:$AY250,'recurring2_based on steps'!$B$1:$AY$1,O$1)+SUMIFS('changes2_based on steps'!$B250:$U250,'changes2_based on steps'!$B$1:$U$1,O$1)</f>
        <v>0</v>
      </c>
      <c r="P250" s="155">
        <f ca="1">SUMIFS('recurring2_based on steps'!$B250:$AY250,'recurring2_based on steps'!$B$1:$AY$1,P$1)+SUMIFS('changes2_based on steps'!$B250:$U250,'changes2_based on steps'!$B$1:$U$1,P$1)</f>
        <v>0</v>
      </c>
      <c r="Q250" s="155">
        <f>SUMIFS('recurring2_based on steps'!$B250:$AY250,'recurring2_based on steps'!$B$1:$AY$1,Q$1)+SUMIFS('changes2_based on steps'!$B250:$U250,'changes2_based on steps'!$B$1:$U$1,Q$1)</f>
        <v>0</v>
      </c>
      <c r="R250" s="155">
        <f ca="1">SUMIFS('recurring2_based on steps'!$B250:$AY250,'recurring2_based on steps'!$B$1:$AY$1,R$1)+SUMIFS('changes2_based on steps'!$B250:$U250,'changes2_based on steps'!$B$1:$U$1,R$1)</f>
        <v>0</v>
      </c>
      <c r="S250" s="155">
        <f ca="1">SUMIFS('recurring2_based on steps'!$B250:$AY250,'recurring2_based on steps'!$B$1:$AY$1,S$1)+SUMIFS('changes2_based on steps'!$B250:$U250,'changes2_based on steps'!$B$1:$U$1,S$1)</f>
        <v>0</v>
      </c>
      <c r="T250" s="155">
        <f>SUMIFS('recurring2_based on steps'!$B250:$AY250,'recurring2_based on steps'!$B$1:$AY$1,T$1)+SUMIFS('changes2_based on steps'!$B250:$U250,'changes2_based on steps'!$B$1:$U$1,T$1)</f>
        <v>0</v>
      </c>
      <c r="U250" s="155">
        <f ca="1">SUMIFS('recurring2_based on steps'!$B250:$AY250,'recurring2_based on steps'!$B$1:$AY$1,U$1)+SUMIFS('changes2_based on steps'!$B250:$U250,'changes2_based on steps'!$B$1:$U$1,U$1)</f>
        <v>0</v>
      </c>
      <c r="V250" s="155">
        <f>SUMIFS('recurring2_based on steps'!$B250:$AY250,'recurring2_based on steps'!$B$1:$AY$1,V$1)+SUMIFS('changes2_based on steps'!$B250:$U250,'changes2_based on steps'!$B$1:$U$1,V$1)</f>
        <v>0</v>
      </c>
      <c r="W250" s="155">
        <f ca="1">SUMIFS('recurring2_based on steps'!$B250:$AY250,'recurring2_based on steps'!$B$1:$AY$1,W$1)+SUMIFS('changes2_based on steps'!$B250:$U250,'changes2_based on steps'!$B$1:$U$1,W$1)</f>
        <v>0</v>
      </c>
      <c r="X250" s="155">
        <f ca="1">SUMIFS('recurring2_based on steps'!$B250:$AY250,'recurring2_based on steps'!$B$1:$AY$1,X$1)+SUMIFS('changes2_based on steps'!$B250:$U250,'changes2_based on steps'!$B$1:$U$1,X$1)</f>
        <v>0</v>
      </c>
      <c r="Y250" s="155">
        <f ca="1">SUMIFS('recurring2_based on steps'!$B250:$AY250,'recurring2_based on steps'!$B$1:$AY$1,Y$1)+SUMIFS('changes2_based on steps'!$B250:$U250,'changes2_based on steps'!$B$1:$U$1,Y$1)</f>
        <v>0</v>
      </c>
      <c r="Z250" s="155">
        <f>SUMIFS('recurring2_based on steps'!$B250:$AY250,'recurring2_based on steps'!$B$1:$AY$1,Z$1)+SUMIFS('changes2_based on steps'!$B250:$U250,'changes2_based on steps'!$B$1:$U$1,Z$1)</f>
        <v>0</v>
      </c>
      <c r="AA250" s="155">
        <f>SUMIFS('recurring2_based on steps'!$B250:$AY250,'recurring2_based on steps'!$B$1:$AY$1,AA$1)+SUMIFS('changes2_based on steps'!$B250:$U250,'changes2_based on steps'!$B$1:$U$1,AA$1)</f>
        <v>0</v>
      </c>
    </row>
    <row r="251" spans="1:27" x14ac:dyDescent="0.2">
      <c r="A251" s="18">
        <f t="shared" ca="1" si="3"/>
        <v>45937</v>
      </c>
      <c r="B251" s="155">
        <f ca="1">SUMIFS('recurring2_based on steps'!$B251:$AY251,'recurring2_based on steps'!$B$1:$AY$1,B$1)+SUMIFS('changes2_based on steps'!$B251:$U251,'changes2_based on steps'!$B$1:$U$1,B$1)</f>
        <v>0</v>
      </c>
      <c r="C251" s="155">
        <f>SUMIFS('recurring2_based on steps'!$B251:$AY251,'recurring2_based on steps'!$B$1:$AY$1,C$1)+SUMIFS('changes2_based on steps'!$B251:$U251,'changes2_based on steps'!$B$1:$U$1,C$1)</f>
        <v>0</v>
      </c>
      <c r="D251" s="155">
        <f>SUMIFS('recurring2_based on steps'!$B251:$AY251,'recurring2_based on steps'!$B$1:$AY$1,D$1)+SUMIFS('changes2_based on steps'!$B251:$U251,'changes2_based on steps'!$B$1:$U$1,D$1)</f>
        <v>0</v>
      </c>
      <c r="E251" s="155">
        <f>SUMIFS('recurring2_based on steps'!$B251:$AY251,'recurring2_based on steps'!$B$1:$AY$1,E$1)+SUMIFS('changes2_based on steps'!$B251:$U251,'changes2_based on steps'!$B$1:$U$1,E$1)</f>
        <v>0</v>
      </c>
      <c r="F251" s="155">
        <f>SUMIFS('recurring2_based on steps'!$B251:$AY251,'recurring2_based on steps'!$B$1:$AY$1,F$1)+SUMIFS('changes2_based on steps'!$B251:$U251,'changes2_based on steps'!$B$1:$U$1,F$1)</f>
        <v>0</v>
      </c>
      <c r="G251" s="155">
        <f>SUMIFS('recurring2_based on steps'!$B251:$AY251,'recurring2_based on steps'!$B$1:$AY$1,G$1)+SUMIFS('changes2_based on steps'!$B251:$U251,'changes2_based on steps'!$B$1:$U$1,G$1)</f>
        <v>0</v>
      </c>
      <c r="H251" s="155">
        <f ca="1">SUMIFS('recurring2_based on steps'!$B251:$AY251,'recurring2_based on steps'!$B$1:$AY$1,H$1)+SUMIFS('changes2_based on steps'!$B251:$U251,'changes2_based on steps'!$B$1:$U$1,H$1)</f>
        <v>0</v>
      </c>
      <c r="I251" s="155">
        <f>SUMIFS('recurring2_based on steps'!$B251:$AY251,'recurring2_based on steps'!$B$1:$AY$1,I$1)+SUMIFS('changes2_based on steps'!$B251:$U251,'changes2_based on steps'!$B$1:$U$1,I$1)</f>
        <v>0</v>
      </c>
      <c r="J251" s="155">
        <f>SUMIFS('recurring2_based on steps'!$B251:$AY251,'recurring2_based on steps'!$B$1:$AY$1,J$1)+SUMIFS('changes2_based on steps'!$B251:$U251,'changes2_based on steps'!$B$1:$U$1,J$1)</f>
        <v>0</v>
      </c>
      <c r="K251" s="155">
        <f>SUMIFS('recurring2_based on steps'!$B251:$AY251,'recurring2_based on steps'!$B$1:$AY$1,K$1)+SUMIFS('changes2_based on steps'!$B251:$U251,'changes2_based on steps'!$B$1:$U$1,K$1)</f>
        <v>0</v>
      </c>
      <c r="L251" s="155">
        <f>SUMIFS('recurring2_based on steps'!$B251:$AY251,'recurring2_based on steps'!$B$1:$AY$1,L$1)+SUMIFS('changes2_based on steps'!$B251:$U251,'changes2_based on steps'!$B$1:$U$1,L$1)</f>
        <v>0</v>
      </c>
      <c r="M251" s="155">
        <f ca="1">SUMIFS('recurring2_based on steps'!$B251:$AY251,'recurring2_based on steps'!$B$1:$AY$1,M$1)+SUMIFS('changes2_based on steps'!$B251:$U251,'changes2_based on steps'!$B$1:$U$1,M$1)</f>
        <v>0</v>
      </c>
      <c r="N251" s="155">
        <f ca="1">SUMIFS('recurring2_based on steps'!$B251:$AY251,'recurring2_based on steps'!$B$1:$AY$1,N$1)+SUMIFS('changes2_based on steps'!$B251:$U251,'changes2_based on steps'!$B$1:$U$1,N$1)</f>
        <v>0</v>
      </c>
      <c r="O251" s="155">
        <f ca="1">SUMIFS('recurring2_based on steps'!$B251:$AY251,'recurring2_based on steps'!$B$1:$AY$1,O$1)+SUMIFS('changes2_based on steps'!$B251:$U251,'changes2_based on steps'!$B$1:$U$1,O$1)</f>
        <v>0</v>
      </c>
      <c r="P251" s="155">
        <f ca="1">SUMIFS('recurring2_based on steps'!$B251:$AY251,'recurring2_based on steps'!$B$1:$AY$1,P$1)+SUMIFS('changes2_based on steps'!$B251:$U251,'changes2_based on steps'!$B$1:$U$1,P$1)</f>
        <v>0</v>
      </c>
      <c r="Q251" s="155">
        <f>SUMIFS('recurring2_based on steps'!$B251:$AY251,'recurring2_based on steps'!$B$1:$AY$1,Q$1)+SUMIFS('changes2_based on steps'!$B251:$U251,'changes2_based on steps'!$B$1:$U$1,Q$1)</f>
        <v>0</v>
      </c>
      <c r="R251" s="155">
        <f ca="1">SUMIFS('recurring2_based on steps'!$B251:$AY251,'recurring2_based on steps'!$B$1:$AY$1,R$1)+SUMIFS('changes2_based on steps'!$B251:$U251,'changes2_based on steps'!$B$1:$U$1,R$1)</f>
        <v>0</v>
      </c>
      <c r="S251" s="155">
        <f ca="1">SUMIFS('recurring2_based on steps'!$B251:$AY251,'recurring2_based on steps'!$B$1:$AY$1,S$1)+SUMIFS('changes2_based on steps'!$B251:$U251,'changes2_based on steps'!$B$1:$U$1,S$1)</f>
        <v>0</v>
      </c>
      <c r="T251" s="155">
        <f>SUMIFS('recurring2_based on steps'!$B251:$AY251,'recurring2_based on steps'!$B$1:$AY$1,T$1)+SUMIFS('changes2_based on steps'!$B251:$U251,'changes2_based on steps'!$B$1:$U$1,T$1)</f>
        <v>0</v>
      </c>
      <c r="U251" s="155">
        <f ca="1">SUMIFS('recurring2_based on steps'!$B251:$AY251,'recurring2_based on steps'!$B$1:$AY$1,U$1)+SUMIFS('changes2_based on steps'!$B251:$U251,'changes2_based on steps'!$B$1:$U$1,U$1)</f>
        <v>0</v>
      </c>
      <c r="V251" s="155">
        <f>SUMIFS('recurring2_based on steps'!$B251:$AY251,'recurring2_based on steps'!$B$1:$AY$1,V$1)+SUMIFS('changes2_based on steps'!$B251:$U251,'changes2_based on steps'!$B$1:$U$1,V$1)</f>
        <v>0</v>
      </c>
      <c r="W251" s="155">
        <f ca="1">SUMIFS('recurring2_based on steps'!$B251:$AY251,'recurring2_based on steps'!$B$1:$AY$1,W$1)+SUMIFS('changes2_based on steps'!$B251:$U251,'changes2_based on steps'!$B$1:$U$1,W$1)</f>
        <v>0</v>
      </c>
      <c r="X251" s="155">
        <f ca="1">SUMIFS('recurring2_based on steps'!$B251:$AY251,'recurring2_based on steps'!$B$1:$AY$1,X$1)+SUMIFS('changes2_based on steps'!$B251:$U251,'changes2_based on steps'!$B$1:$U$1,X$1)</f>
        <v>0</v>
      </c>
      <c r="Y251" s="155">
        <f ca="1">SUMIFS('recurring2_based on steps'!$B251:$AY251,'recurring2_based on steps'!$B$1:$AY$1,Y$1)+SUMIFS('changes2_based on steps'!$B251:$U251,'changes2_based on steps'!$B$1:$U$1,Y$1)</f>
        <v>0</v>
      </c>
      <c r="Z251" s="155">
        <f>SUMIFS('recurring2_based on steps'!$B251:$AY251,'recurring2_based on steps'!$B$1:$AY$1,Z$1)+SUMIFS('changes2_based on steps'!$B251:$U251,'changes2_based on steps'!$B$1:$U$1,Z$1)</f>
        <v>0</v>
      </c>
      <c r="AA251" s="155">
        <f>SUMIFS('recurring2_based on steps'!$B251:$AY251,'recurring2_based on steps'!$B$1:$AY$1,AA$1)+SUMIFS('changes2_based on steps'!$B251:$U251,'changes2_based on steps'!$B$1:$U$1,AA$1)</f>
        <v>0</v>
      </c>
    </row>
    <row r="252" spans="1:27" x14ac:dyDescent="0.2">
      <c r="A252" s="18">
        <f t="shared" ca="1" si="3"/>
        <v>45938</v>
      </c>
      <c r="B252" s="155">
        <f ca="1">SUMIFS('recurring2_based on steps'!$B252:$AY252,'recurring2_based on steps'!$B$1:$AY$1,B$1)+SUMIFS('changes2_based on steps'!$B252:$U252,'changes2_based on steps'!$B$1:$U$1,B$1)</f>
        <v>100</v>
      </c>
      <c r="C252" s="155">
        <f>SUMIFS('recurring2_based on steps'!$B252:$AY252,'recurring2_based on steps'!$B$1:$AY$1,C$1)+SUMIFS('changes2_based on steps'!$B252:$U252,'changes2_based on steps'!$B$1:$U$1,C$1)</f>
        <v>0</v>
      </c>
      <c r="D252" s="155">
        <f>SUMIFS('recurring2_based on steps'!$B252:$AY252,'recurring2_based on steps'!$B$1:$AY$1,D$1)+SUMIFS('changes2_based on steps'!$B252:$U252,'changes2_based on steps'!$B$1:$U$1,D$1)</f>
        <v>0</v>
      </c>
      <c r="E252" s="155">
        <f>SUMIFS('recurring2_based on steps'!$B252:$AY252,'recurring2_based on steps'!$B$1:$AY$1,E$1)+SUMIFS('changes2_based on steps'!$B252:$U252,'changes2_based on steps'!$B$1:$U$1,E$1)</f>
        <v>0</v>
      </c>
      <c r="F252" s="155">
        <f>SUMIFS('recurring2_based on steps'!$B252:$AY252,'recurring2_based on steps'!$B$1:$AY$1,F$1)+SUMIFS('changes2_based on steps'!$B252:$U252,'changes2_based on steps'!$B$1:$U$1,F$1)</f>
        <v>0</v>
      </c>
      <c r="G252" s="155">
        <f>SUMIFS('recurring2_based on steps'!$B252:$AY252,'recurring2_based on steps'!$B$1:$AY$1,G$1)+SUMIFS('changes2_based on steps'!$B252:$U252,'changes2_based on steps'!$B$1:$U$1,G$1)</f>
        <v>0</v>
      </c>
      <c r="H252" s="155">
        <f ca="1">SUMIFS('recurring2_based on steps'!$B252:$AY252,'recurring2_based on steps'!$B$1:$AY$1,H$1)+SUMIFS('changes2_based on steps'!$B252:$U252,'changes2_based on steps'!$B$1:$U$1,H$1)</f>
        <v>0</v>
      </c>
      <c r="I252" s="155">
        <f>SUMIFS('recurring2_based on steps'!$B252:$AY252,'recurring2_based on steps'!$B$1:$AY$1,I$1)+SUMIFS('changes2_based on steps'!$B252:$U252,'changes2_based on steps'!$B$1:$U$1,I$1)</f>
        <v>0</v>
      </c>
      <c r="J252" s="155">
        <f>SUMIFS('recurring2_based on steps'!$B252:$AY252,'recurring2_based on steps'!$B$1:$AY$1,J$1)+SUMIFS('changes2_based on steps'!$B252:$U252,'changes2_based on steps'!$B$1:$U$1,J$1)</f>
        <v>0</v>
      </c>
      <c r="K252" s="155">
        <f>SUMIFS('recurring2_based on steps'!$B252:$AY252,'recurring2_based on steps'!$B$1:$AY$1,K$1)+SUMIFS('changes2_based on steps'!$B252:$U252,'changes2_based on steps'!$B$1:$U$1,K$1)</f>
        <v>0</v>
      </c>
      <c r="L252" s="155">
        <f>SUMIFS('recurring2_based on steps'!$B252:$AY252,'recurring2_based on steps'!$B$1:$AY$1,L$1)+SUMIFS('changes2_based on steps'!$B252:$U252,'changes2_based on steps'!$B$1:$U$1,L$1)</f>
        <v>0</v>
      </c>
      <c r="M252" s="155">
        <f ca="1">SUMIFS('recurring2_based on steps'!$B252:$AY252,'recurring2_based on steps'!$B$1:$AY$1,M$1)+SUMIFS('changes2_based on steps'!$B252:$U252,'changes2_based on steps'!$B$1:$U$1,M$1)</f>
        <v>0</v>
      </c>
      <c r="N252" s="155">
        <f ca="1">SUMIFS('recurring2_based on steps'!$B252:$AY252,'recurring2_based on steps'!$B$1:$AY$1,N$1)+SUMIFS('changes2_based on steps'!$B252:$U252,'changes2_based on steps'!$B$1:$U$1,N$1)</f>
        <v>0</v>
      </c>
      <c r="O252" s="155">
        <f ca="1">SUMIFS('recurring2_based on steps'!$B252:$AY252,'recurring2_based on steps'!$B$1:$AY$1,O$1)+SUMIFS('changes2_based on steps'!$B252:$U252,'changes2_based on steps'!$B$1:$U$1,O$1)</f>
        <v>0</v>
      </c>
      <c r="P252" s="155">
        <f ca="1">SUMIFS('recurring2_based on steps'!$B252:$AY252,'recurring2_based on steps'!$B$1:$AY$1,P$1)+SUMIFS('changes2_based on steps'!$B252:$U252,'changes2_based on steps'!$B$1:$U$1,P$1)</f>
        <v>0</v>
      </c>
      <c r="Q252" s="155">
        <f>SUMIFS('recurring2_based on steps'!$B252:$AY252,'recurring2_based on steps'!$B$1:$AY$1,Q$1)+SUMIFS('changes2_based on steps'!$B252:$U252,'changes2_based on steps'!$B$1:$U$1,Q$1)</f>
        <v>0</v>
      </c>
      <c r="R252" s="155">
        <f ca="1">SUMIFS('recurring2_based on steps'!$B252:$AY252,'recurring2_based on steps'!$B$1:$AY$1,R$1)+SUMIFS('changes2_based on steps'!$B252:$U252,'changes2_based on steps'!$B$1:$U$1,R$1)</f>
        <v>0</v>
      </c>
      <c r="S252" s="155">
        <f ca="1">SUMIFS('recurring2_based on steps'!$B252:$AY252,'recurring2_based on steps'!$B$1:$AY$1,S$1)+SUMIFS('changes2_based on steps'!$B252:$U252,'changes2_based on steps'!$B$1:$U$1,S$1)</f>
        <v>0</v>
      </c>
      <c r="T252" s="155">
        <f>SUMIFS('recurring2_based on steps'!$B252:$AY252,'recurring2_based on steps'!$B$1:$AY$1,T$1)+SUMIFS('changes2_based on steps'!$B252:$U252,'changes2_based on steps'!$B$1:$U$1,T$1)</f>
        <v>0</v>
      </c>
      <c r="U252" s="155">
        <f ca="1">SUMIFS('recurring2_based on steps'!$B252:$AY252,'recurring2_based on steps'!$B$1:$AY$1,U$1)+SUMIFS('changes2_based on steps'!$B252:$U252,'changes2_based on steps'!$B$1:$U$1,U$1)</f>
        <v>0</v>
      </c>
      <c r="V252" s="155">
        <f>SUMIFS('recurring2_based on steps'!$B252:$AY252,'recurring2_based on steps'!$B$1:$AY$1,V$1)+SUMIFS('changes2_based on steps'!$B252:$U252,'changes2_based on steps'!$B$1:$U$1,V$1)</f>
        <v>0</v>
      </c>
      <c r="W252" s="155">
        <f ca="1">SUMIFS('recurring2_based on steps'!$B252:$AY252,'recurring2_based on steps'!$B$1:$AY$1,W$1)+SUMIFS('changes2_based on steps'!$B252:$U252,'changes2_based on steps'!$B$1:$U$1,W$1)</f>
        <v>0</v>
      </c>
      <c r="X252" s="155">
        <f ca="1">SUMIFS('recurring2_based on steps'!$B252:$AY252,'recurring2_based on steps'!$B$1:$AY$1,X$1)+SUMIFS('changes2_based on steps'!$B252:$U252,'changes2_based on steps'!$B$1:$U$1,X$1)</f>
        <v>0</v>
      </c>
      <c r="Y252" s="155">
        <f ca="1">SUMIFS('recurring2_based on steps'!$B252:$AY252,'recurring2_based on steps'!$B$1:$AY$1,Y$1)+SUMIFS('changes2_based on steps'!$B252:$U252,'changes2_based on steps'!$B$1:$U$1,Y$1)</f>
        <v>0</v>
      </c>
      <c r="Z252" s="155">
        <f>SUMIFS('recurring2_based on steps'!$B252:$AY252,'recurring2_based on steps'!$B$1:$AY$1,Z$1)+SUMIFS('changes2_based on steps'!$B252:$U252,'changes2_based on steps'!$B$1:$U$1,Z$1)</f>
        <v>0</v>
      </c>
      <c r="AA252" s="155">
        <f>SUMIFS('recurring2_based on steps'!$B252:$AY252,'recurring2_based on steps'!$B$1:$AY$1,AA$1)+SUMIFS('changes2_based on steps'!$B252:$U252,'changes2_based on steps'!$B$1:$U$1,AA$1)</f>
        <v>0</v>
      </c>
    </row>
    <row r="253" spans="1:27" x14ac:dyDescent="0.2">
      <c r="A253" s="18">
        <f t="shared" ca="1" si="3"/>
        <v>45939</v>
      </c>
      <c r="B253" s="155">
        <f ca="1">SUMIFS('recurring2_based on steps'!$B253:$AY253,'recurring2_based on steps'!$B$1:$AY$1,B$1)+SUMIFS('changes2_based on steps'!$B253:$U253,'changes2_based on steps'!$B$1:$U$1,B$1)</f>
        <v>0</v>
      </c>
      <c r="C253" s="155">
        <f>SUMIFS('recurring2_based on steps'!$B253:$AY253,'recurring2_based on steps'!$B$1:$AY$1,C$1)+SUMIFS('changes2_based on steps'!$B253:$U253,'changes2_based on steps'!$B$1:$U$1,C$1)</f>
        <v>0</v>
      </c>
      <c r="D253" s="155">
        <f>SUMIFS('recurring2_based on steps'!$B253:$AY253,'recurring2_based on steps'!$B$1:$AY$1,D$1)+SUMIFS('changes2_based on steps'!$B253:$U253,'changes2_based on steps'!$B$1:$U$1,D$1)</f>
        <v>0</v>
      </c>
      <c r="E253" s="155">
        <f>SUMIFS('recurring2_based on steps'!$B253:$AY253,'recurring2_based on steps'!$B$1:$AY$1,E$1)+SUMIFS('changes2_based on steps'!$B253:$U253,'changes2_based on steps'!$B$1:$U$1,E$1)</f>
        <v>0</v>
      </c>
      <c r="F253" s="155">
        <f>SUMIFS('recurring2_based on steps'!$B253:$AY253,'recurring2_based on steps'!$B$1:$AY$1,F$1)+SUMIFS('changes2_based on steps'!$B253:$U253,'changes2_based on steps'!$B$1:$U$1,F$1)</f>
        <v>0</v>
      </c>
      <c r="G253" s="155">
        <f>SUMIFS('recurring2_based on steps'!$B253:$AY253,'recurring2_based on steps'!$B$1:$AY$1,G$1)+SUMIFS('changes2_based on steps'!$B253:$U253,'changes2_based on steps'!$B$1:$U$1,G$1)</f>
        <v>0</v>
      </c>
      <c r="H253" s="155">
        <f ca="1">SUMIFS('recurring2_based on steps'!$B253:$AY253,'recurring2_based on steps'!$B$1:$AY$1,H$1)+SUMIFS('changes2_based on steps'!$B253:$U253,'changes2_based on steps'!$B$1:$U$1,H$1)</f>
        <v>0</v>
      </c>
      <c r="I253" s="155">
        <f>SUMIFS('recurring2_based on steps'!$B253:$AY253,'recurring2_based on steps'!$B$1:$AY$1,I$1)+SUMIFS('changes2_based on steps'!$B253:$U253,'changes2_based on steps'!$B$1:$U$1,I$1)</f>
        <v>0</v>
      </c>
      <c r="J253" s="155">
        <f>SUMIFS('recurring2_based on steps'!$B253:$AY253,'recurring2_based on steps'!$B$1:$AY$1,J$1)+SUMIFS('changes2_based on steps'!$B253:$U253,'changes2_based on steps'!$B$1:$U$1,J$1)</f>
        <v>0</v>
      </c>
      <c r="K253" s="155">
        <f>SUMIFS('recurring2_based on steps'!$B253:$AY253,'recurring2_based on steps'!$B$1:$AY$1,K$1)+SUMIFS('changes2_based on steps'!$B253:$U253,'changes2_based on steps'!$B$1:$U$1,K$1)</f>
        <v>0</v>
      </c>
      <c r="L253" s="155">
        <f>SUMIFS('recurring2_based on steps'!$B253:$AY253,'recurring2_based on steps'!$B$1:$AY$1,L$1)+SUMIFS('changes2_based on steps'!$B253:$U253,'changes2_based on steps'!$B$1:$U$1,L$1)</f>
        <v>0</v>
      </c>
      <c r="M253" s="155">
        <f ca="1">SUMIFS('recurring2_based on steps'!$B253:$AY253,'recurring2_based on steps'!$B$1:$AY$1,M$1)+SUMIFS('changes2_based on steps'!$B253:$U253,'changes2_based on steps'!$B$1:$U$1,M$1)</f>
        <v>0</v>
      </c>
      <c r="N253" s="155">
        <f ca="1">SUMIFS('recurring2_based on steps'!$B253:$AY253,'recurring2_based on steps'!$B$1:$AY$1,N$1)+SUMIFS('changes2_based on steps'!$B253:$U253,'changes2_based on steps'!$B$1:$U$1,N$1)</f>
        <v>0</v>
      </c>
      <c r="O253" s="155">
        <f ca="1">SUMIFS('recurring2_based on steps'!$B253:$AY253,'recurring2_based on steps'!$B$1:$AY$1,O$1)+SUMIFS('changes2_based on steps'!$B253:$U253,'changes2_based on steps'!$B$1:$U$1,O$1)</f>
        <v>0</v>
      </c>
      <c r="P253" s="155">
        <f ca="1">SUMIFS('recurring2_based on steps'!$B253:$AY253,'recurring2_based on steps'!$B$1:$AY$1,P$1)+SUMIFS('changes2_based on steps'!$B253:$U253,'changes2_based on steps'!$B$1:$U$1,P$1)</f>
        <v>0</v>
      </c>
      <c r="Q253" s="155">
        <f>SUMIFS('recurring2_based on steps'!$B253:$AY253,'recurring2_based on steps'!$B$1:$AY$1,Q$1)+SUMIFS('changes2_based on steps'!$B253:$U253,'changes2_based on steps'!$B$1:$U$1,Q$1)</f>
        <v>0</v>
      </c>
      <c r="R253" s="155">
        <f ca="1">SUMIFS('recurring2_based on steps'!$B253:$AY253,'recurring2_based on steps'!$B$1:$AY$1,R$1)+SUMIFS('changes2_based on steps'!$B253:$U253,'changes2_based on steps'!$B$1:$U$1,R$1)</f>
        <v>0</v>
      </c>
      <c r="S253" s="155">
        <f ca="1">SUMIFS('recurring2_based on steps'!$B253:$AY253,'recurring2_based on steps'!$B$1:$AY$1,S$1)+SUMIFS('changes2_based on steps'!$B253:$U253,'changes2_based on steps'!$B$1:$U$1,S$1)</f>
        <v>0</v>
      </c>
      <c r="T253" s="155">
        <f>SUMIFS('recurring2_based on steps'!$B253:$AY253,'recurring2_based on steps'!$B$1:$AY$1,T$1)+SUMIFS('changes2_based on steps'!$B253:$U253,'changes2_based on steps'!$B$1:$U$1,T$1)</f>
        <v>0</v>
      </c>
      <c r="U253" s="155">
        <f ca="1">SUMIFS('recurring2_based on steps'!$B253:$AY253,'recurring2_based on steps'!$B$1:$AY$1,U$1)+SUMIFS('changes2_based on steps'!$B253:$U253,'changes2_based on steps'!$B$1:$U$1,U$1)</f>
        <v>0</v>
      </c>
      <c r="V253" s="155">
        <f>SUMIFS('recurring2_based on steps'!$B253:$AY253,'recurring2_based on steps'!$B$1:$AY$1,V$1)+SUMIFS('changes2_based on steps'!$B253:$U253,'changes2_based on steps'!$B$1:$U$1,V$1)</f>
        <v>0</v>
      </c>
      <c r="W253" s="155">
        <f ca="1">SUMIFS('recurring2_based on steps'!$B253:$AY253,'recurring2_based on steps'!$B$1:$AY$1,W$1)+SUMIFS('changes2_based on steps'!$B253:$U253,'changes2_based on steps'!$B$1:$U$1,W$1)</f>
        <v>0</v>
      </c>
      <c r="X253" s="155">
        <f ca="1">SUMIFS('recurring2_based on steps'!$B253:$AY253,'recurring2_based on steps'!$B$1:$AY$1,X$1)+SUMIFS('changes2_based on steps'!$B253:$U253,'changes2_based on steps'!$B$1:$U$1,X$1)</f>
        <v>0</v>
      </c>
      <c r="Y253" s="155">
        <f ca="1">SUMIFS('recurring2_based on steps'!$B253:$AY253,'recurring2_based on steps'!$B$1:$AY$1,Y$1)+SUMIFS('changes2_based on steps'!$B253:$U253,'changes2_based on steps'!$B$1:$U$1,Y$1)</f>
        <v>0</v>
      </c>
      <c r="Z253" s="155">
        <f>SUMIFS('recurring2_based on steps'!$B253:$AY253,'recurring2_based on steps'!$B$1:$AY$1,Z$1)+SUMIFS('changes2_based on steps'!$B253:$U253,'changes2_based on steps'!$B$1:$U$1,Z$1)</f>
        <v>0</v>
      </c>
      <c r="AA253" s="155">
        <f>SUMIFS('recurring2_based on steps'!$B253:$AY253,'recurring2_based on steps'!$B$1:$AY$1,AA$1)+SUMIFS('changes2_based on steps'!$B253:$U253,'changes2_based on steps'!$B$1:$U$1,AA$1)</f>
        <v>0</v>
      </c>
    </row>
    <row r="254" spans="1:27" x14ac:dyDescent="0.2">
      <c r="A254" s="18">
        <f t="shared" ca="1" si="3"/>
        <v>45940</v>
      </c>
      <c r="B254" s="155">
        <f ca="1">SUMIFS('recurring2_based on steps'!$B254:$AY254,'recurring2_based on steps'!$B$1:$AY$1,B$1)+SUMIFS('changes2_based on steps'!$B254:$U254,'changes2_based on steps'!$B$1:$U$1,B$1)</f>
        <v>0</v>
      </c>
      <c r="C254" s="155">
        <f>SUMIFS('recurring2_based on steps'!$B254:$AY254,'recurring2_based on steps'!$B$1:$AY$1,C$1)+SUMIFS('changes2_based on steps'!$B254:$U254,'changes2_based on steps'!$B$1:$U$1,C$1)</f>
        <v>0</v>
      </c>
      <c r="D254" s="155">
        <f>SUMIFS('recurring2_based on steps'!$B254:$AY254,'recurring2_based on steps'!$B$1:$AY$1,D$1)+SUMIFS('changes2_based on steps'!$B254:$U254,'changes2_based on steps'!$B$1:$U$1,D$1)</f>
        <v>0</v>
      </c>
      <c r="E254" s="155">
        <f>SUMIFS('recurring2_based on steps'!$B254:$AY254,'recurring2_based on steps'!$B$1:$AY$1,E$1)+SUMIFS('changes2_based on steps'!$B254:$U254,'changes2_based on steps'!$B$1:$U$1,E$1)</f>
        <v>0</v>
      </c>
      <c r="F254" s="155">
        <f>SUMIFS('recurring2_based on steps'!$B254:$AY254,'recurring2_based on steps'!$B$1:$AY$1,F$1)+SUMIFS('changes2_based on steps'!$B254:$U254,'changes2_based on steps'!$B$1:$U$1,F$1)</f>
        <v>0</v>
      </c>
      <c r="G254" s="155">
        <f>SUMIFS('recurring2_based on steps'!$B254:$AY254,'recurring2_based on steps'!$B$1:$AY$1,G$1)+SUMIFS('changes2_based on steps'!$B254:$U254,'changes2_based on steps'!$B$1:$U$1,G$1)</f>
        <v>0</v>
      </c>
      <c r="H254" s="155">
        <f ca="1">SUMIFS('recurring2_based on steps'!$B254:$AY254,'recurring2_based on steps'!$B$1:$AY$1,H$1)+SUMIFS('changes2_based on steps'!$B254:$U254,'changes2_based on steps'!$B$1:$U$1,H$1)</f>
        <v>0</v>
      </c>
      <c r="I254" s="155">
        <f>SUMIFS('recurring2_based on steps'!$B254:$AY254,'recurring2_based on steps'!$B$1:$AY$1,I$1)+SUMIFS('changes2_based on steps'!$B254:$U254,'changes2_based on steps'!$B$1:$U$1,I$1)</f>
        <v>0</v>
      </c>
      <c r="J254" s="155">
        <f>SUMIFS('recurring2_based on steps'!$B254:$AY254,'recurring2_based on steps'!$B$1:$AY$1,J$1)+SUMIFS('changes2_based on steps'!$B254:$U254,'changes2_based on steps'!$B$1:$U$1,J$1)</f>
        <v>0</v>
      </c>
      <c r="K254" s="155">
        <f>SUMIFS('recurring2_based on steps'!$B254:$AY254,'recurring2_based on steps'!$B$1:$AY$1,K$1)+SUMIFS('changes2_based on steps'!$B254:$U254,'changes2_based on steps'!$B$1:$U$1,K$1)</f>
        <v>0</v>
      </c>
      <c r="L254" s="155">
        <f>SUMIFS('recurring2_based on steps'!$B254:$AY254,'recurring2_based on steps'!$B$1:$AY$1,L$1)+SUMIFS('changes2_based on steps'!$B254:$U254,'changes2_based on steps'!$B$1:$U$1,L$1)</f>
        <v>0</v>
      </c>
      <c r="M254" s="155">
        <f ca="1">SUMIFS('recurring2_based on steps'!$B254:$AY254,'recurring2_based on steps'!$B$1:$AY$1,M$1)+SUMIFS('changes2_based on steps'!$B254:$U254,'changes2_based on steps'!$B$1:$U$1,M$1)</f>
        <v>0</v>
      </c>
      <c r="N254" s="155">
        <f ca="1">SUMIFS('recurring2_based on steps'!$B254:$AY254,'recurring2_based on steps'!$B$1:$AY$1,N$1)+SUMIFS('changes2_based on steps'!$B254:$U254,'changes2_based on steps'!$B$1:$U$1,N$1)</f>
        <v>0</v>
      </c>
      <c r="O254" s="155">
        <f ca="1">SUMIFS('recurring2_based on steps'!$B254:$AY254,'recurring2_based on steps'!$B$1:$AY$1,O$1)+SUMIFS('changes2_based on steps'!$B254:$U254,'changes2_based on steps'!$B$1:$U$1,O$1)</f>
        <v>0</v>
      </c>
      <c r="P254" s="155">
        <f ca="1">SUMIFS('recurring2_based on steps'!$B254:$AY254,'recurring2_based on steps'!$B$1:$AY$1,P$1)+SUMIFS('changes2_based on steps'!$B254:$U254,'changes2_based on steps'!$B$1:$U$1,P$1)</f>
        <v>0</v>
      </c>
      <c r="Q254" s="155">
        <f>SUMIFS('recurring2_based on steps'!$B254:$AY254,'recurring2_based on steps'!$B$1:$AY$1,Q$1)+SUMIFS('changes2_based on steps'!$B254:$U254,'changes2_based on steps'!$B$1:$U$1,Q$1)</f>
        <v>0</v>
      </c>
      <c r="R254" s="155">
        <f ca="1">SUMIFS('recurring2_based on steps'!$B254:$AY254,'recurring2_based on steps'!$B$1:$AY$1,R$1)+SUMIFS('changes2_based on steps'!$B254:$U254,'changes2_based on steps'!$B$1:$U$1,R$1)</f>
        <v>0</v>
      </c>
      <c r="S254" s="155">
        <f ca="1">SUMIFS('recurring2_based on steps'!$B254:$AY254,'recurring2_based on steps'!$B$1:$AY$1,S$1)+SUMIFS('changes2_based on steps'!$B254:$U254,'changes2_based on steps'!$B$1:$U$1,S$1)</f>
        <v>0</v>
      </c>
      <c r="T254" s="155">
        <f>SUMIFS('recurring2_based on steps'!$B254:$AY254,'recurring2_based on steps'!$B$1:$AY$1,T$1)+SUMIFS('changes2_based on steps'!$B254:$U254,'changes2_based on steps'!$B$1:$U$1,T$1)</f>
        <v>0</v>
      </c>
      <c r="U254" s="155">
        <f ca="1">SUMIFS('recurring2_based on steps'!$B254:$AY254,'recurring2_based on steps'!$B$1:$AY$1,U$1)+SUMIFS('changes2_based on steps'!$B254:$U254,'changes2_based on steps'!$B$1:$U$1,U$1)</f>
        <v>0</v>
      </c>
      <c r="V254" s="155">
        <f>SUMIFS('recurring2_based on steps'!$B254:$AY254,'recurring2_based on steps'!$B$1:$AY$1,V$1)+SUMIFS('changes2_based on steps'!$B254:$U254,'changes2_based on steps'!$B$1:$U$1,V$1)</f>
        <v>0</v>
      </c>
      <c r="W254" s="155">
        <f ca="1">SUMIFS('recurring2_based on steps'!$B254:$AY254,'recurring2_based on steps'!$B$1:$AY$1,W$1)+SUMIFS('changes2_based on steps'!$B254:$U254,'changes2_based on steps'!$B$1:$U$1,W$1)</f>
        <v>0</v>
      </c>
      <c r="X254" s="155">
        <f ca="1">SUMIFS('recurring2_based on steps'!$B254:$AY254,'recurring2_based on steps'!$B$1:$AY$1,X$1)+SUMIFS('changes2_based on steps'!$B254:$U254,'changes2_based on steps'!$B$1:$U$1,X$1)</f>
        <v>0</v>
      </c>
      <c r="Y254" s="155">
        <f ca="1">SUMIFS('recurring2_based on steps'!$B254:$AY254,'recurring2_based on steps'!$B$1:$AY$1,Y$1)+SUMIFS('changes2_based on steps'!$B254:$U254,'changes2_based on steps'!$B$1:$U$1,Y$1)</f>
        <v>0</v>
      </c>
      <c r="Z254" s="155">
        <f>SUMIFS('recurring2_based on steps'!$B254:$AY254,'recurring2_based on steps'!$B$1:$AY$1,Z$1)+SUMIFS('changes2_based on steps'!$B254:$U254,'changes2_based on steps'!$B$1:$U$1,Z$1)</f>
        <v>0</v>
      </c>
      <c r="AA254" s="155">
        <f>SUMIFS('recurring2_based on steps'!$B254:$AY254,'recurring2_based on steps'!$B$1:$AY$1,AA$1)+SUMIFS('changes2_based on steps'!$B254:$U254,'changes2_based on steps'!$B$1:$U$1,AA$1)</f>
        <v>0</v>
      </c>
    </row>
    <row r="255" spans="1:27" x14ac:dyDescent="0.2">
      <c r="A255" s="18">
        <f t="shared" ca="1" si="3"/>
        <v>45941</v>
      </c>
      <c r="B255" s="155">
        <f ca="1">SUMIFS('recurring2_based on steps'!$B255:$AY255,'recurring2_based on steps'!$B$1:$AY$1,B$1)+SUMIFS('changes2_based on steps'!$B255:$U255,'changes2_based on steps'!$B$1:$U$1,B$1)</f>
        <v>0</v>
      </c>
      <c r="C255" s="155">
        <f>SUMIFS('recurring2_based on steps'!$B255:$AY255,'recurring2_based on steps'!$B$1:$AY$1,C$1)+SUMIFS('changes2_based on steps'!$B255:$U255,'changes2_based on steps'!$B$1:$U$1,C$1)</f>
        <v>0</v>
      </c>
      <c r="D255" s="155">
        <f>SUMIFS('recurring2_based on steps'!$B255:$AY255,'recurring2_based on steps'!$B$1:$AY$1,D$1)+SUMIFS('changes2_based on steps'!$B255:$U255,'changes2_based on steps'!$B$1:$U$1,D$1)</f>
        <v>0</v>
      </c>
      <c r="E255" s="155">
        <f>SUMIFS('recurring2_based on steps'!$B255:$AY255,'recurring2_based on steps'!$B$1:$AY$1,E$1)+SUMIFS('changes2_based on steps'!$B255:$U255,'changes2_based on steps'!$B$1:$U$1,E$1)</f>
        <v>0</v>
      </c>
      <c r="F255" s="155">
        <f>SUMIFS('recurring2_based on steps'!$B255:$AY255,'recurring2_based on steps'!$B$1:$AY$1,F$1)+SUMIFS('changes2_based on steps'!$B255:$U255,'changes2_based on steps'!$B$1:$U$1,F$1)</f>
        <v>0</v>
      </c>
      <c r="G255" s="155">
        <f>SUMIFS('recurring2_based on steps'!$B255:$AY255,'recurring2_based on steps'!$B$1:$AY$1,G$1)+SUMIFS('changes2_based on steps'!$B255:$U255,'changes2_based on steps'!$B$1:$U$1,G$1)</f>
        <v>0</v>
      </c>
      <c r="H255" s="155">
        <f ca="1">SUMIFS('recurring2_based on steps'!$B255:$AY255,'recurring2_based on steps'!$B$1:$AY$1,H$1)+SUMIFS('changes2_based on steps'!$B255:$U255,'changes2_based on steps'!$B$1:$U$1,H$1)</f>
        <v>0</v>
      </c>
      <c r="I255" s="155">
        <f>SUMIFS('recurring2_based on steps'!$B255:$AY255,'recurring2_based on steps'!$B$1:$AY$1,I$1)+SUMIFS('changes2_based on steps'!$B255:$U255,'changes2_based on steps'!$B$1:$U$1,I$1)</f>
        <v>0</v>
      </c>
      <c r="J255" s="155">
        <f>SUMIFS('recurring2_based on steps'!$B255:$AY255,'recurring2_based on steps'!$B$1:$AY$1,J$1)+SUMIFS('changes2_based on steps'!$B255:$U255,'changes2_based on steps'!$B$1:$U$1,J$1)</f>
        <v>0</v>
      </c>
      <c r="K255" s="155">
        <f>SUMIFS('recurring2_based on steps'!$B255:$AY255,'recurring2_based on steps'!$B$1:$AY$1,K$1)+SUMIFS('changes2_based on steps'!$B255:$U255,'changes2_based on steps'!$B$1:$U$1,K$1)</f>
        <v>0</v>
      </c>
      <c r="L255" s="155">
        <f>SUMIFS('recurring2_based on steps'!$B255:$AY255,'recurring2_based on steps'!$B$1:$AY$1,L$1)+SUMIFS('changes2_based on steps'!$B255:$U255,'changes2_based on steps'!$B$1:$U$1,L$1)</f>
        <v>0</v>
      </c>
      <c r="M255" s="155">
        <f ca="1">SUMIFS('recurring2_based on steps'!$B255:$AY255,'recurring2_based on steps'!$B$1:$AY$1,M$1)+SUMIFS('changes2_based on steps'!$B255:$U255,'changes2_based on steps'!$B$1:$U$1,M$1)</f>
        <v>0</v>
      </c>
      <c r="N255" s="155">
        <f ca="1">SUMIFS('recurring2_based on steps'!$B255:$AY255,'recurring2_based on steps'!$B$1:$AY$1,N$1)+SUMIFS('changes2_based on steps'!$B255:$U255,'changes2_based on steps'!$B$1:$U$1,N$1)</f>
        <v>0</v>
      </c>
      <c r="O255" s="155">
        <f ca="1">SUMIFS('recurring2_based on steps'!$B255:$AY255,'recurring2_based on steps'!$B$1:$AY$1,O$1)+SUMIFS('changes2_based on steps'!$B255:$U255,'changes2_based on steps'!$B$1:$U$1,O$1)</f>
        <v>0</v>
      </c>
      <c r="P255" s="155">
        <f ca="1">SUMIFS('recurring2_based on steps'!$B255:$AY255,'recurring2_based on steps'!$B$1:$AY$1,P$1)+SUMIFS('changes2_based on steps'!$B255:$U255,'changes2_based on steps'!$B$1:$U$1,P$1)</f>
        <v>0</v>
      </c>
      <c r="Q255" s="155">
        <f>SUMIFS('recurring2_based on steps'!$B255:$AY255,'recurring2_based on steps'!$B$1:$AY$1,Q$1)+SUMIFS('changes2_based on steps'!$B255:$U255,'changes2_based on steps'!$B$1:$U$1,Q$1)</f>
        <v>0</v>
      </c>
      <c r="R255" s="155">
        <f ca="1">SUMIFS('recurring2_based on steps'!$B255:$AY255,'recurring2_based on steps'!$B$1:$AY$1,R$1)+SUMIFS('changes2_based on steps'!$B255:$U255,'changes2_based on steps'!$B$1:$U$1,R$1)</f>
        <v>100</v>
      </c>
      <c r="S255" s="155">
        <f ca="1">SUMIFS('recurring2_based on steps'!$B255:$AY255,'recurring2_based on steps'!$B$1:$AY$1,S$1)+SUMIFS('changes2_based on steps'!$B255:$U255,'changes2_based on steps'!$B$1:$U$1,S$1)</f>
        <v>100</v>
      </c>
      <c r="T255" s="155">
        <f>SUMIFS('recurring2_based on steps'!$B255:$AY255,'recurring2_based on steps'!$B$1:$AY$1,T$1)+SUMIFS('changes2_based on steps'!$B255:$U255,'changes2_based on steps'!$B$1:$U$1,T$1)</f>
        <v>0</v>
      </c>
      <c r="U255" s="155">
        <f ca="1">SUMIFS('recurring2_based on steps'!$B255:$AY255,'recurring2_based on steps'!$B$1:$AY$1,U$1)+SUMIFS('changes2_based on steps'!$B255:$U255,'changes2_based on steps'!$B$1:$U$1,U$1)</f>
        <v>0</v>
      </c>
      <c r="V255" s="155">
        <f>SUMIFS('recurring2_based on steps'!$B255:$AY255,'recurring2_based on steps'!$B$1:$AY$1,V$1)+SUMIFS('changes2_based on steps'!$B255:$U255,'changes2_based on steps'!$B$1:$U$1,V$1)</f>
        <v>0</v>
      </c>
      <c r="W255" s="155">
        <f ca="1">SUMIFS('recurring2_based on steps'!$B255:$AY255,'recurring2_based on steps'!$B$1:$AY$1,W$1)+SUMIFS('changes2_based on steps'!$B255:$U255,'changes2_based on steps'!$B$1:$U$1,W$1)</f>
        <v>0</v>
      </c>
      <c r="X255" s="155">
        <f ca="1">SUMIFS('recurring2_based on steps'!$B255:$AY255,'recurring2_based on steps'!$B$1:$AY$1,X$1)+SUMIFS('changes2_based on steps'!$B255:$U255,'changes2_based on steps'!$B$1:$U$1,X$1)</f>
        <v>0</v>
      </c>
      <c r="Y255" s="155">
        <f ca="1">SUMIFS('recurring2_based on steps'!$B255:$AY255,'recurring2_based on steps'!$B$1:$AY$1,Y$1)+SUMIFS('changes2_based on steps'!$B255:$U255,'changes2_based on steps'!$B$1:$U$1,Y$1)</f>
        <v>0</v>
      </c>
      <c r="Z255" s="155">
        <f>SUMIFS('recurring2_based on steps'!$B255:$AY255,'recurring2_based on steps'!$B$1:$AY$1,Z$1)+SUMIFS('changes2_based on steps'!$B255:$U255,'changes2_based on steps'!$B$1:$U$1,Z$1)</f>
        <v>0</v>
      </c>
      <c r="AA255" s="155">
        <f>SUMIFS('recurring2_based on steps'!$B255:$AY255,'recurring2_based on steps'!$B$1:$AY$1,AA$1)+SUMIFS('changes2_based on steps'!$B255:$U255,'changes2_based on steps'!$B$1:$U$1,AA$1)</f>
        <v>0</v>
      </c>
    </row>
    <row r="256" spans="1:27" x14ac:dyDescent="0.2">
      <c r="A256" s="18">
        <f t="shared" ca="1" si="3"/>
        <v>45942</v>
      </c>
      <c r="B256" s="155">
        <f ca="1">SUMIFS('recurring2_based on steps'!$B256:$AY256,'recurring2_based on steps'!$B$1:$AY$1,B$1)+SUMIFS('changes2_based on steps'!$B256:$U256,'changes2_based on steps'!$B$1:$U$1,B$1)</f>
        <v>0</v>
      </c>
      <c r="C256" s="155">
        <f>SUMIFS('recurring2_based on steps'!$B256:$AY256,'recurring2_based on steps'!$B$1:$AY$1,C$1)+SUMIFS('changes2_based on steps'!$B256:$U256,'changes2_based on steps'!$B$1:$U$1,C$1)</f>
        <v>0</v>
      </c>
      <c r="D256" s="155">
        <f>SUMIFS('recurring2_based on steps'!$B256:$AY256,'recurring2_based on steps'!$B$1:$AY$1,D$1)+SUMIFS('changes2_based on steps'!$B256:$U256,'changes2_based on steps'!$B$1:$U$1,D$1)</f>
        <v>0</v>
      </c>
      <c r="E256" s="155">
        <f>SUMIFS('recurring2_based on steps'!$B256:$AY256,'recurring2_based on steps'!$B$1:$AY$1,E$1)+SUMIFS('changes2_based on steps'!$B256:$U256,'changes2_based on steps'!$B$1:$U$1,E$1)</f>
        <v>0</v>
      </c>
      <c r="F256" s="155">
        <f>SUMIFS('recurring2_based on steps'!$B256:$AY256,'recurring2_based on steps'!$B$1:$AY$1,F$1)+SUMIFS('changes2_based on steps'!$B256:$U256,'changes2_based on steps'!$B$1:$U$1,F$1)</f>
        <v>0</v>
      </c>
      <c r="G256" s="155">
        <f>SUMIFS('recurring2_based on steps'!$B256:$AY256,'recurring2_based on steps'!$B$1:$AY$1,G$1)+SUMIFS('changes2_based on steps'!$B256:$U256,'changes2_based on steps'!$B$1:$U$1,G$1)</f>
        <v>0</v>
      </c>
      <c r="H256" s="155">
        <f ca="1">SUMIFS('recurring2_based on steps'!$B256:$AY256,'recurring2_based on steps'!$B$1:$AY$1,H$1)+SUMIFS('changes2_based on steps'!$B256:$U256,'changes2_based on steps'!$B$1:$U$1,H$1)</f>
        <v>0</v>
      </c>
      <c r="I256" s="155">
        <f>SUMIFS('recurring2_based on steps'!$B256:$AY256,'recurring2_based on steps'!$B$1:$AY$1,I$1)+SUMIFS('changes2_based on steps'!$B256:$U256,'changes2_based on steps'!$B$1:$U$1,I$1)</f>
        <v>0</v>
      </c>
      <c r="J256" s="155">
        <f>SUMIFS('recurring2_based on steps'!$B256:$AY256,'recurring2_based on steps'!$B$1:$AY$1,J$1)+SUMIFS('changes2_based on steps'!$B256:$U256,'changes2_based on steps'!$B$1:$U$1,J$1)</f>
        <v>0</v>
      </c>
      <c r="K256" s="155">
        <f>SUMIFS('recurring2_based on steps'!$B256:$AY256,'recurring2_based on steps'!$B$1:$AY$1,K$1)+SUMIFS('changes2_based on steps'!$B256:$U256,'changes2_based on steps'!$B$1:$U$1,K$1)</f>
        <v>0</v>
      </c>
      <c r="L256" s="155">
        <f>SUMIFS('recurring2_based on steps'!$B256:$AY256,'recurring2_based on steps'!$B$1:$AY$1,L$1)+SUMIFS('changes2_based on steps'!$B256:$U256,'changes2_based on steps'!$B$1:$U$1,L$1)</f>
        <v>0</v>
      </c>
      <c r="M256" s="155">
        <f ca="1">SUMIFS('recurring2_based on steps'!$B256:$AY256,'recurring2_based on steps'!$B$1:$AY$1,M$1)+SUMIFS('changes2_based on steps'!$B256:$U256,'changes2_based on steps'!$B$1:$U$1,M$1)</f>
        <v>0</v>
      </c>
      <c r="N256" s="155">
        <f ca="1">SUMIFS('recurring2_based on steps'!$B256:$AY256,'recurring2_based on steps'!$B$1:$AY$1,N$1)+SUMIFS('changes2_based on steps'!$B256:$U256,'changes2_based on steps'!$B$1:$U$1,N$1)</f>
        <v>50</v>
      </c>
      <c r="O256" s="155">
        <f ca="1">SUMIFS('recurring2_based on steps'!$B256:$AY256,'recurring2_based on steps'!$B$1:$AY$1,O$1)+SUMIFS('changes2_based on steps'!$B256:$U256,'changes2_based on steps'!$B$1:$U$1,O$1)</f>
        <v>0</v>
      </c>
      <c r="P256" s="155">
        <f ca="1">SUMIFS('recurring2_based on steps'!$B256:$AY256,'recurring2_based on steps'!$B$1:$AY$1,P$1)+SUMIFS('changes2_based on steps'!$B256:$U256,'changes2_based on steps'!$B$1:$U$1,P$1)</f>
        <v>0</v>
      </c>
      <c r="Q256" s="155">
        <f>SUMIFS('recurring2_based on steps'!$B256:$AY256,'recurring2_based on steps'!$B$1:$AY$1,Q$1)+SUMIFS('changes2_based on steps'!$B256:$U256,'changes2_based on steps'!$B$1:$U$1,Q$1)</f>
        <v>0</v>
      </c>
      <c r="R256" s="155">
        <f ca="1">SUMIFS('recurring2_based on steps'!$B256:$AY256,'recurring2_based on steps'!$B$1:$AY$1,R$1)+SUMIFS('changes2_based on steps'!$B256:$U256,'changes2_based on steps'!$B$1:$U$1,R$1)</f>
        <v>0</v>
      </c>
      <c r="S256" s="155">
        <f ca="1">SUMIFS('recurring2_based on steps'!$B256:$AY256,'recurring2_based on steps'!$B$1:$AY$1,S$1)+SUMIFS('changes2_based on steps'!$B256:$U256,'changes2_based on steps'!$B$1:$U$1,S$1)</f>
        <v>100</v>
      </c>
      <c r="T256" s="155">
        <f>SUMIFS('recurring2_based on steps'!$B256:$AY256,'recurring2_based on steps'!$B$1:$AY$1,T$1)+SUMIFS('changes2_based on steps'!$B256:$U256,'changes2_based on steps'!$B$1:$U$1,T$1)</f>
        <v>0</v>
      </c>
      <c r="U256" s="155">
        <f ca="1">SUMIFS('recurring2_based on steps'!$B256:$AY256,'recurring2_based on steps'!$B$1:$AY$1,U$1)+SUMIFS('changes2_based on steps'!$B256:$U256,'changes2_based on steps'!$B$1:$U$1,U$1)</f>
        <v>0</v>
      </c>
      <c r="V256" s="155">
        <f>SUMIFS('recurring2_based on steps'!$B256:$AY256,'recurring2_based on steps'!$B$1:$AY$1,V$1)+SUMIFS('changes2_based on steps'!$B256:$U256,'changes2_based on steps'!$B$1:$U$1,V$1)</f>
        <v>0</v>
      </c>
      <c r="W256" s="155">
        <f ca="1">SUMIFS('recurring2_based on steps'!$B256:$AY256,'recurring2_based on steps'!$B$1:$AY$1,W$1)+SUMIFS('changes2_based on steps'!$B256:$U256,'changes2_based on steps'!$B$1:$U$1,W$1)</f>
        <v>0</v>
      </c>
      <c r="X256" s="155">
        <f ca="1">SUMIFS('recurring2_based on steps'!$B256:$AY256,'recurring2_based on steps'!$B$1:$AY$1,X$1)+SUMIFS('changes2_based on steps'!$B256:$U256,'changes2_based on steps'!$B$1:$U$1,X$1)</f>
        <v>0</v>
      </c>
      <c r="Y256" s="155">
        <f ca="1">SUMIFS('recurring2_based on steps'!$B256:$AY256,'recurring2_based on steps'!$B$1:$AY$1,Y$1)+SUMIFS('changes2_based on steps'!$B256:$U256,'changes2_based on steps'!$B$1:$U$1,Y$1)</f>
        <v>0</v>
      </c>
      <c r="Z256" s="155">
        <f>SUMIFS('recurring2_based on steps'!$B256:$AY256,'recurring2_based on steps'!$B$1:$AY$1,Z$1)+SUMIFS('changes2_based on steps'!$B256:$U256,'changes2_based on steps'!$B$1:$U$1,Z$1)</f>
        <v>0</v>
      </c>
      <c r="AA256" s="155">
        <f>SUMIFS('recurring2_based on steps'!$B256:$AY256,'recurring2_based on steps'!$B$1:$AY$1,AA$1)+SUMIFS('changes2_based on steps'!$B256:$U256,'changes2_based on steps'!$B$1:$U$1,AA$1)</f>
        <v>0</v>
      </c>
    </row>
    <row r="257" spans="1:27" x14ac:dyDescent="0.2">
      <c r="A257" s="18">
        <f t="shared" ca="1" si="3"/>
        <v>45943</v>
      </c>
      <c r="B257" s="155">
        <f ca="1">SUMIFS('recurring2_based on steps'!$B257:$AY257,'recurring2_based on steps'!$B$1:$AY$1,B$1)+SUMIFS('changes2_based on steps'!$B257:$U257,'changes2_based on steps'!$B$1:$U$1,B$1)</f>
        <v>0</v>
      </c>
      <c r="C257" s="155">
        <f>SUMIFS('recurring2_based on steps'!$B257:$AY257,'recurring2_based on steps'!$B$1:$AY$1,C$1)+SUMIFS('changes2_based on steps'!$B257:$U257,'changes2_based on steps'!$B$1:$U$1,C$1)</f>
        <v>0</v>
      </c>
      <c r="D257" s="155">
        <f>SUMIFS('recurring2_based on steps'!$B257:$AY257,'recurring2_based on steps'!$B$1:$AY$1,D$1)+SUMIFS('changes2_based on steps'!$B257:$U257,'changes2_based on steps'!$B$1:$U$1,D$1)</f>
        <v>0</v>
      </c>
      <c r="E257" s="155">
        <f>SUMIFS('recurring2_based on steps'!$B257:$AY257,'recurring2_based on steps'!$B$1:$AY$1,E$1)+SUMIFS('changes2_based on steps'!$B257:$U257,'changes2_based on steps'!$B$1:$U$1,E$1)</f>
        <v>0</v>
      </c>
      <c r="F257" s="155">
        <f>SUMIFS('recurring2_based on steps'!$B257:$AY257,'recurring2_based on steps'!$B$1:$AY$1,F$1)+SUMIFS('changes2_based on steps'!$B257:$U257,'changes2_based on steps'!$B$1:$U$1,F$1)</f>
        <v>0</v>
      </c>
      <c r="G257" s="155">
        <f>SUMIFS('recurring2_based on steps'!$B257:$AY257,'recurring2_based on steps'!$B$1:$AY$1,G$1)+SUMIFS('changes2_based on steps'!$B257:$U257,'changes2_based on steps'!$B$1:$U$1,G$1)</f>
        <v>0</v>
      </c>
      <c r="H257" s="155">
        <f ca="1">SUMIFS('recurring2_based on steps'!$B257:$AY257,'recurring2_based on steps'!$B$1:$AY$1,H$1)+SUMIFS('changes2_based on steps'!$B257:$U257,'changes2_based on steps'!$B$1:$U$1,H$1)</f>
        <v>0</v>
      </c>
      <c r="I257" s="155">
        <f>SUMIFS('recurring2_based on steps'!$B257:$AY257,'recurring2_based on steps'!$B$1:$AY$1,I$1)+SUMIFS('changes2_based on steps'!$B257:$U257,'changes2_based on steps'!$B$1:$U$1,I$1)</f>
        <v>0</v>
      </c>
      <c r="J257" s="155">
        <f>SUMIFS('recurring2_based on steps'!$B257:$AY257,'recurring2_based on steps'!$B$1:$AY$1,J$1)+SUMIFS('changes2_based on steps'!$B257:$U257,'changes2_based on steps'!$B$1:$U$1,J$1)</f>
        <v>0</v>
      </c>
      <c r="K257" s="155">
        <f>SUMIFS('recurring2_based on steps'!$B257:$AY257,'recurring2_based on steps'!$B$1:$AY$1,K$1)+SUMIFS('changes2_based on steps'!$B257:$U257,'changes2_based on steps'!$B$1:$U$1,K$1)</f>
        <v>0</v>
      </c>
      <c r="L257" s="155">
        <f>SUMIFS('recurring2_based on steps'!$B257:$AY257,'recurring2_based on steps'!$B$1:$AY$1,L$1)+SUMIFS('changes2_based on steps'!$B257:$U257,'changes2_based on steps'!$B$1:$U$1,L$1)</f>
        <v>0</v>
      </c>
      <c r="M257" s="155">
        <f ca="1">SUMIFS('recurring2_based on steps'!$B257:$AY257,'recurring2_based on steps'!$B$1:$AY$1,M$1)+SUMIFS('changes2_based on steps'!$B257:$U257,'changes2_based on steps'!$B$1:$U$1,M$1)</f>
        <v>0</v>
      </c>
      <c r="N257" s="155">
        <f ca="1">SUMIFS('recurring2_based on steps'!$B257:$AY257,'recurring2_based on steps'!$B$1:$AY$1,N$1)+SUMIFS('changes2_based on steps'!$B257:$U257,'changes2_based on steps'!$B$1:$U$1,N$1)</f>
        <v>0</v>
      </c>
      <c r="O257" s="155">
        <f ca="1">SUMIFS('recurring2_based on steps'!$B257:$AY257,'recurring2_based on steps'!$B$1:$AY$1,O$1)+SUMIFS('changes2_based on steps'!$B257:$U257,'changes2_based on steps'!$B$1:$U$1,O$1)</f>
        <v>0</v>
      </c>
      <c r="P257" s="155">
        <f ca="1">SUMIFS('recurring2_based on steps'!$B257:$AY257,'recurring2_based on steps'!$B$1:$AY$1,P$1)+SUMIFS('changes2_based on steps'!$B257:$U257,'changes2_based on steps'!$B$1:$U$1,P$1)</f>
        <v>50</v>
      </c>
      <c r="Q257" s="155">
        <f>SUMIFS('recurring2_based on steps'!$B257:$AY257,'recurring2_based on steps'!$B$1:$AY$1,Q$1)+SUMIFS('changes2_based on steps'!$B257:$U257,'changes2_based on steps'!$B$1:$U$1,Q$1)</f>
        <v>0</v>
      </c>
      <c r="R257" s="155">
        <f ca="1">SUMIFS('recurring2_based on steps'!$B257:$AY257,'recurring2_based on steps'!$B$1:$AY$1,R$1)+SUMIFS('changes2_based on steps'!$B257:$U257,'changes2_based on steps'!$B$1:$U$1,R$1)</f>
        <v>0</v>
      </c>
      <c r="S257" s="155">
        <f ca="1">SUMIFS('recurring2_based on steps'!$B257:$AY257,'recurring2_based on steps'!$B$1:$AY$1,S$1)+SUMIFS('changes2_based on steps'!$B257:$U257,'changes2_based on steps'!$B$1:$U$1,S$1)</f>
        <v>0</v>
      </c>
      <c r="T257" s="155">
        <f>SUMIFS('recurring2_based on steps'!$B257:$AY257,'recurring2_based on steps'!$B$1:$AY$1,T$1)+SUMIFS('changes2_based on steps'!$B257:$U257,'changes2_based on steps'!$B$1:$U$1,T$1)</f>
        <v>0</v>
      </c>
      <c r="U257" s="155">
        <f ca="1">SUMIFS('recurring2_based on steps'!$B257:$AY257,'recurring2_based on steps'!$B$1:$AY$1,U$1)+SUMIFS('changes2_based on steps'!$B257:$U257,'changes2_based on steps'!$B$1:$U$1,U$1)</f>
        <v>0</v>
      </c>
      <c r="V257" s="155">
        <f>SUMIFS('recurring2_based on steps'!$B257:$AY257,'recurring2_based on steps'!$B$1:$AY$1,V$1)+SUMIFS('changes2_based on steps'!$B257:$U257,'changes2_based on steps'!$B$1:$U$1,V$1)</f>
        <v>0</v>
      </c>
      <c r="W257" s="155">
        <f ca="1">SUMIFS('recurring2_based on steps'!$B257:$AY257,'recurring2_based on steps'!$B$1:$AY$1,W$1)+SUMIFS('changes2_based on steps'!$B257:$U257,'changes2_based on steps'!$B$1:$U$1,W$1)</f>
        <v>0</v>
      </c>
      <c r="X257" s="155">
        <f ca="1">SUMIFS('recurring2_based on steps'!$B257:$AY257,'recurring2_based on steps'!$B$1:$AY$1,X$1)+SUMIFS('changes2_based on steps'!$B257:$U257,'changes2_based on steps'!$B$1:$U$1,X$1)</f>
        <v>0</v>
      </c>
      <c r="Y257" s="155">
        <f ca="1">SUMIFS('recurring2_based on steps'!$B257:$AY257,'recurring2_based on steps'!$B$1:$AY$1,Y$1)+SUMIFS('changes2_based on steps'!$B257:$U257,'changes2_based on steps'!$B$1:$U$1,Y$1)</f>
        <v>0</v>
      </c>
      <c r="Z257" s="155">
        <f>SUMIFS('recurring2_based on steps'!$B257:$AY257,'recurring2_based on steps'!$B$1:$AY$1,Z$1)+SUMIFS('changes2_based on steps'!$B257:$U257,'changes2_based on steps'!$B$1:$U$1,Z$1)</f>
        <v>0</v>
      </c>
      <c r="AA257" s="155">
        <f>SUMIFS('recurring2_based on steps'!$B257:$AY257,'recurring2_based on steps'!$B$1:$AY$1,AA$1)+SUMIFS('changes2_based on steps'!$B257:$U257,'changes2_based on steps'!$B$1:$U$1,AA$1)</f>
        <v>0</v>
      </c>
    </row>
    <row r="258" spans="1:27" x14ac:dyDescent="0.2">
      <c r="A258" s="18">
        <f t="shared" ca="1" si="3"/>
        <v>45944</v>
      </c>
      <c r="B258" s="155">
        <f ca="1">SUMIFS('recurring2_based on steps'!$B258:$AY258,'recurring2_based on steps'!$B$1:$AY$1,B$1)+SUMIFS('changes2_based on steps'!$B258:$U258,'changes2_based on steps'!$B$1:$U$1,B$1)</f>
        <v>0</v>
      </c>
      <c r="C258" s="155">
        <f>SUMIFS('recurring2_based on steps'!$B258:$AY258,'recurring2_based on steps'!$B$1:$AY$1,C$1)+SUMIFS('changes2_based on steps'!$B258:$U258,'changes2_based on steps'!$B$1:$U$1,C$1)</f>
        <v>0</v>
      </c>
      <c r="D258" s="155">
        <f>SUMIFS('recurring2_based on steps'!$B258:$AY258,'recurring2_based on steps'!$B$1:$AY$1,D$1)+SUMIFS('changes2_based on steps'!$B258:$U258,'changes2_based on steps'!$B$1:$U$1,D$1)</f>
        <v>0</v>
      </c>
      <c r="E258" s="155">
        <f>SUMIFS('recurring2_based on steps'!$B258:$AY258,'recurring2_based on steps'!$B$1:$AY$1,E$1)+SUMIFS('changes2_based on steps'!$B258:$U258,'changes2_based on steps'!$B$1:$U$1,E$1)</f>
        <v>0</v>
      </c>
      <c r="F258" s="155">
        <f>SUMIFS('recurring2_based on steps'!$B258:$AY258,'recurring2_based on steps'!$B$1:$AY$1,F$1)+SUMIFS('changes2_based on steps'!$B258:$U258,'changes2_based on steps'!$B$1:$U$1,F$1)</f>
        <v>0</v>
      </c>
      <c r="G258" s="155">
        <f>SUMIFS('recurring2_based on steps'!$B258:$AY258,'recurring2_based on steps'!$B$1:$AY$1,G$1)+SUMIFS('changes2_based on steps'!$B258:$U258,'changes2_based on steps'!$B$1:$U$1,G$1)</f>
        <v>0</v>
      </c>
      <c r="H258" s="155">
        <f ca="1">SUMIFS('recurring2_based on steps'!$B258:$AY258,'recurring2_based on steps'!$B$1:$AY$1,H$1)+SUMIFS('changes2_based on steps'!$B258:$U258,'changes2_based on steps'!$B$1:$U$1,H$1)</f>
        <v>0</v>
      </c>
      <c r="I258" s="155">
        <f>SUMIFS('recurring2_based on steps'!$B258:$AY258,'recurring2_based on steps'!$B$1:$AY$1,I$1)+SUMIFS('changes2_based on steps'!$B258:$U258,'changes2_based on steps'!$B$1:$U$1,I$1)</f>
        <v>0</v>
      </c>
      <c r="J258" s="155">
        <f>SUMIFS('recurring2_based on steps'!$B258:$AY258,'recurring2_based on steps'!$B$1:$AY$1,J$1)+SUMIFS('changes2_based on steps'!$B258:$U258,'changes2_based on steps'!$B$1:$U$1,J$1)</f>
        <v>0</v>
      </c>
      <c r="K258" s="155">
        <f>SUMIFS('recurring2_based on steps'!$B258:$AY258,'recurring2_based on steps'!$B$1:$AY$1,K$1)+SUMIFS('changes2_based on steps'!$B258:$U258,'changes2_based on steps'!$B$1:$U$1,K$1)</f>
        <v>0</v>
      </c>
      <c r="L258" s="155">
        <f>SUMIFS('recurring2_based on steps'!$B258:$AY258,'recurring2_based on steps'!$B$1:$AY$1,L$1)+SUMIFS('changes2_based on steps'!$B258:$U258,'changes2_based on steps'!$B$1:$U$1,L$1)</f>
        <v>0</v>
      </c>
      <c r="M258" s="155">
        <f ca="1">SUMIFS('recurring2_based on steps'!$B258:$AY258,'recurring2_based on steps'!$B$1:$AY$1,M$1)+SUMIFS('changes2_based on steps'!$B258:$U258,'changes2_based on steps'!$B$1:$U$1,M$1)</f>
        <v>0</v>
      </c>
      <c r="N258" s="155">
        <f ca="1">SUMIFS('recurring2_based on steps'!$B258:$AY258,'recurring2_based on steps'!$B$1:$AY$1,N$1)+SUMIFS('changes2_based on steps'!$B258:$U258,'changes2_based on steps'!$B$1:$U$1,N$1)</f>
        <v>0</v>
      </c>
      <c r="O258" s="155">
        <f ca="1">SUMIFS('recurring2_based on steps'!$B258:$AY258,'recurring2_based on steps'!$B$1:$AY$1,O$1)+SUMIFS('changes2_based on steps'!$B258:$U258,'changes2_based on steps'!$B$1:$U$1,O$1)</f>
        <v>0</v>
      </c>
      <c r="P258" s="155">
        <f ca="1">SUMIFS('recurring2_based on steps'!$B258:$AY258,'recurring2_based on steps'!$B$1:$AY$1,P$1)+SUMIFS('changes2_based on steps'!$B258:$U258,'changes2_based on steps'!$B$1:$U$1,P$1)</f>
        <v>0</v>
      </c>
      <c r="Q258" s="155">
        <f>SUMIFS('recurring2_based on steps'!$B258:$AY258,'recurring2_based on steps'!$B$1:$AY$1,Q$1)+SUMIFS('changes2_based on steps'!$B258:$U258,'changes2_based on steps'!$B$1:$U$1,Q$1)</f>
        <v>0</v>
      </c>
      <c r="R258" s="155">
        <f ca="1">SUMIFS('recurring2_based on steps'!$B258:$AY258,'recurring2_based on steps'!$B$1:$AY$1,R$1)+SUMIFS('changes2_based on steps'!$B258:$U258,'changes2_based on steps'!$B$1:$U$1,R$1)</f>
        <v>0</v>
      </c>
      <c r="S258" s="155">
        <f ca="1">SUMIFS('recurring2_based on steps'!$B258:$AY258,'recurring2_based on steps'!$B$1:$AY$1,S$1)+SUMIFS('changes2_based on steps'!$B258:$U258,'changes2_based on steps'!$B$1:$U$1,S$1)</f>
        <v>0</v>
      </c>
      <c r="T258" s="155">
        <f>SUMIFS('recurring2_based on steps'!$B258:$AY258,'recurring2_based on steps'!$B$1:$AY$1,T$1)+SUMIFS('changes2_based on steps'!$B258:$U258,'changes2_based on steps'!$B$1:$U$1,T$1)</f>
        <v>0</v>
      </c>
      <c r="U258" s="155">
        <f ca="1">SUMIFS('recurring2_based on steps'!$B258:$AY258,'recurring2_based on steps'!$B$1:$AY$1,U$1)+SUMIFS('changes2_based on steps'!$B258:$U258,'changes2_based on steps'!$B$1:$U$1,U$1)</f>
        <v>0</v>
      </c>
      <c r="V258" s="155">
        <f>SUMIFS('recurring2_based on steps'!$B258:$AY258,'recurring2_based on steps'!$B$1:$AY$1,V$1)+SUMIFS('changes2_based on steps'!$B258:$U258,'changes2_based on steps'!$B$1:$U$1,V$1)</f>
        <v>0</v>
      </c>
      <c r="W258" s="155">
        <f ca="1">SUMIFS('recurring2_based on steps'!$B258:$AY258,'recurring2_based on steps'!$B$1:$AY$1,W$1)+SUMIFS('changes2_based on steps'!$B258:$U258,'changes2_based on steps'!$B$1:$U$1,W$1)</f>
        <v>0</v>
      </c>
      <c r="X258" s="155">
        <f ca="1">SUMIFS('recurring2_based on steps'!$B258:$AY258,'recurring2_based on steps'!$B$1:$AY$1,X$1)+SUMIFS('changes2_based on steps'!$B258:$U258,'changes2_based on steps'!$B$1:$U$1,X$1)</f>
        <v>0</v>
      </c>
      <c r="Y258" s="155">
        <f ca="1">SUMIFS('recurring2_based on steps'!$B258:$AY258,'recurring2_based on steps'!$B$1:$AY$1,Y$1)+SUMIFS('changes2_based on steps'!$B258:$U258,'changes2_based on steps'!$B$1:$U$1,Y$1)</f>
        <v>0</v>
      </c>
      <c r="Z258" s="155">
        <f>SUMIFS('recurring2_based on steps'!$B258:$AY258,'recurring2_based on steps'!$B$1:$AY$1,Z$1)+SUMIFS('changes2_based on steps'!$B258:$U258,'changes2_based on steps'!$B$1:$U$1,Z$1)</f>
        <v>0</v>
      </c>
      <c r="AA258" s="155">
        <f>SUMIFS('recurring2_based on steps'!$B258:$AY258,'recurring2_based on steps'!$B$1:$AY$1,AA$1)+SUMIFS('changes2_based on steps'!$B258:$U258,'changes2_based on steps'!$B$1:$U$1,AA$1)</f>
        <v>0</v>
      </c>
    </row>
    <row r="259" spans="1:27" x14ac:dyDescent="0.2">
      <c r="A259" s="18">
        <f t="shared" ca="1" si="3"/>
        <v>45945</v>
      </c>
      <c r="B259" s="155">
        <f ca="1">SUMIFS('recurring2_based on steps'!$B259:$AY259,'recurring2_based on steps'!$B$1:$AY$1,B$1)+SUMIFS('changes2_based on steps'!$B259:$U259,'changes2_based on steps'!$B$1:$U$1,B$1)</f>
        <v>0</v>
      </c>
      <c r="C259" s="155">
        <f>SUMIFS('recurring2_based on steps'!$B259:$AY259,'recurring2_based on steps'!$B$1:$AY$1,C$1)+SUMIFS('changes2_based on steps'!$B259:$U259,'changes2_based on steps'!$B$1:$U$1,C$1)</f>
        <v>0</v>
      </c>
      <c r="D259" s="155">
        <f>SUMIFS('recurring2_based on steps'!$B259:$AY259,'recurring2_based on steps'!$B$1:$AY$1,D$1)+SUMIFS('changes2_based on steps'!$B259:$U259,'changes2_based on steps'!$B$1:$U$1,D$1)</f>
        <v>0</v>
      </c>
      <c r="E259" s="155">
        <f>SUMIFS('recurring2_based on steps'!$B259:$AY259,'recurring2_based on steps'!$B$1:$AY$1,E$1)+SUMIFS('changes2_based on steps'!$B259:$U259,'changes2_based on steps'!$B$1:$U$1,E$1)</f>
        <v>0</v>
      </c>
      <c r="F259" s="155">
        <f>SUMIFS('recurring2_based on steps'!$B259:$AY259,'recurring2_based on steps'!$B$1:$AY$1,F$1)+SUMIFS('changes2_based on steps'!$B259:$U259,'changes2_based on steps'!$B$1:$U$1,F$1)</f>
        <v>0</v>
      </c>
      <c r="G259" s="155">
        <f>SUMIFS('recurring2_based on steps'!$B259:$AY259,'recurring2_based on steps'!$B$1:$AY$1,G$1)+SUMIFS('changes2_based on steps'!$B259:$U259,'changes2_based on steps'!$B$1:$U$1,G$1)</f>
        <v>0</v>
      </c>
      <c r="H259" s="155">
        <f ca="1">SUMIFS('recurring2_based on steps'!$B259:$AY259,'recurring2_based on steps'!$B$1:$AY$1,H$1)+SUMIFS('changes2_based on steps'!$B259:$U259,'changes2_based on steps'!$B$1:$U$1,H$1)</f>
        <v>0</v>
      </c>
      <c r="I259" s="155">
        <f>SUMIFS('recurring2_based on steps'!$B259:$AY259,'recurring2_based on steps'!$B$1:$AY$1,I$1)+SUMIFS('changes2_based on steps'!$B259:$U259,'changes2_based on steps'!$B$1:$U$1,I$1)</f>
        <v>0</v>
      </c>
      <c r="J259" s="155">
        <f>SUMIFS('recurring2_based on steps'!$B259:$AY259,'recurring2_based on steps'!$B$1:$AY$1,J$1)+SUMIFS('changes2_based on steps'!$B259:$U259,'changes2_based on steps'!$B$1:$U$1,J$1)</f>
        <v>0</v>
      </c>
      <c r="K259" s="155">
        <f>SUMIFS('recurring2_based on steps'!$B259:$AY259,'recurring2_based on steps'!$B$1:$AY$1,K$1)+SUMIFS('changes2_based on steps'!$B259:$U259,'changes2_based on steps'!$B$1:$U$1,K$1)</f>
        <v>0</v>
      </c>
      <c r="L259" s="155">
        <f>SUMIFS('recurring2_based on steps'!$B259:$AY259,'recurring2_based on steps'!$B$1:$AY$1,L$1)+SUMIFS('changes2_based on steps'!$B259:$U259,'changes2_based on steps'!$B$1:$U$1,L$1)</f>
        <v>0</v>
      </c>
      <c r="M259" s="155">
        <f ca="1">SUMIFS('recurring2_based on steps'!$B259:$AY259,'recurring2_based on steps'!$B$1:$AY$1,M$1)+SUMIFS('changes2_based on steps'!$B259:$U259,'changes2_based on steps'!$B$1:$U$1,M$1)</f>
        <v>0</v>
      </c>
      <c r="N259" s="155">
        <f ca="1">SUMIFS('recurring2_based on steps'!$B259:$AY259,'recurring2_based on steps'!$B$1:$AY$1,N$1)+SUMIFS('changes2_based on steps'!$B259:$U259,'changes2_based on steps'!$B$1:$U$1,N$1)</f>
        <v>0</v>
      </c>
      <c r="O259" s="155">
        <f ca="1">SUMIFS('recurring2_based on steps'!$B259:$AY259,'recurring2_based on steps'!$B$1:$AY$1,O$1)+SUMIFS('changes2_based on steps'!$B259:$U259,'changes2_based on steps'!$B$1:$U$1,O$1)</f>
        <v>0</v>
      </c>
      <c r="P259" s="155">
        <f ca="1">SUMIFS('recurring2_based on steps'!$B259:$AY259,'recurring2_based on steps'!$B$1:$AY$1,P$1)+SUMIFS('changes2_based on steps'!$B259:$U259,'changes2_based on steps'!$B$1:$U$1,P$1)</f>
        <v>0</v>
      </c>
      <c r="Q259" s="155">
        <f>SUMIFS('recurring2_based on steps'!$B259:$AY259,'recurring2_based on steps'!$B$1:$AY$1,Q$1)+SUMIFS('changes2_based on steps'!$B259:$U259,'changes2_based on steps'!$B$1:$U$1,Q$1)</f>
        <v>0</v>
      </c>
      <c r="R259" s="155">
        <f ca="1">SUMIFS('recurring2_based on steps'!$B259:$AY259,'recurring2_based on steps'!$B$1:$AY$1,R$1)+SUMIFS('changes2_based on steps'!$B259:$U259,'changes2_based on steps'!$B$1:$U$1,R$1)</f>
        <v>0</v>
      </c>
      <c r="S259" s="155">
        <f ca="1">SUMIFS('recurring2_based on steps'!$B259:$AY259,'recurring2_based on steps'!$B$1:$AY$1,S$1)+SUMIFS('changes2_based on steps'!$B259:$U259,'changes2_based on steps'!$B$1:$U$1,S$1)</f>
        <v>0</v>
      </c>
      <c r="T259" s="155">
        <f>SUMIFS('recurring2_based on steps'!$B259:$AY259,'recurring2_based on steps'!$B$1:$AY$1,T$1)+SUMIFS('changes2_based on steps'!$B259:$U259,'changes2_based on steps'!$B$1:$U$1,T$1)</f>
        <v>0</v>
      </c>
      <c r="U259" s="155">
        <f ca="1">SUMIFS('recurring2_based on steps'!$B259:$AY259,'recurring2_based on steps'!$B$1:$AY$1,U$1)+SUMIFS('changes2_based on steps'!$B259:$U259,'changes2_based on steps'!$B$1:$U$1,U$1)</f>
        <v>0</v>
      </c>
      <c r="V259" s="155">
        <f>SUMIFS('recurring2_based on steps'!$B259:$AY259,'recurring2_based on steps'!$B$1:$AY$1,V$1)+SUMIFS('changes2_based on steps'!$B259:$U259,'changes2_based on steps'!$B$1:$U$1,V$1)</f>
        <v>0</v>
      </c>
      <c r="W259" s="155">
        <f ca="1">SUMIFS('recurring2_based on steps'!$B259:$AY259,'recurring2_based on steps'!$B$1:$AY$1,W$1)+SUMIFS('changes2_based on steps'!$B259:$U259,'changes2_based on steps'!$B$1:$U$1,W$1)</f>
        <v>0</v>
      </c>
      <c r="X259" s="155">
        <f ca="1">SUMIFS('recurring2_based on steps'!$B259:$AY259,'recurring2_based on steps'!$B$1:$AY$1,X$1)+SUMIFS('changes2_based on steps'!$B259:$U259,'changes2_based on steps'!$B$1:$U$1,X$1)</f>
        <v>0</v>
      </c>
      <c r="Y259" s="155">
        <f ca="1">SUMIFS('recurring2_based on steps'!$B259:$AY259,'recurring2_based on steps'!$B$1:$AY$1,Y$1)+SUMIFS('changes2_based on steps'!$B259:$U259,'changes2_based on steps'!$B$1:$U$1,Y$1)</f>
        <v>0</v>
      </c>
      <c r="Z259" s="155">
        <f>SUMIFS('recurring2_based on steps'!$B259:$AY259,'recurring2_based on steps'!$B$1:$AY$1,Z$1)+SUMIFS('changes2_based on steps'!$B259:$U259,'changes2_based on steps'!$B$1:$U$1,Z$1)</f>
        <v>0</v>
      </c>
      <c r="AA259" s="155">
        <f>SUMIFS('recurring2_based on steps'!$B259:$AY259,'recurring2_based on steps'!$B$1:$AY$1,AA$1)+SUMIFS('changes2_based on steps'!$B259:$U259,'changes2_based on steps'!$B$1:$U$1,AA$1)</f>
        <v>0</v>
      </c>
    </row>
    <row r="260" spans="1:27" x14ac:dyDescent="0.2">
      <c r="A260" s="18">
        <f t="shared" ca="1" si="3"/>
        <v>45946</v>
      </c>
      <c r="B260" s="155">
        <f ca="1">SUMIFS('recurring2_based on steps'!$B260:$AY260,'recurring2_based on steps'!$B$1:$AY$1,B$1)+SUMIFS('changes2_based on steps'!$B260:$U260,'changes2_based on steps'!$B$1:$U$1,B$1)</f>
        <v>0</v>
      </c>
      <c r="C260" s="155">
        <f>SUMIFS('recurring2_based on steps'!$B260:$AY260,'recurring2_based on steps'!$B$1:$AY$1,C$1)+SUMIFS('changes2_based on steps'!$B260:$U260,'changes2_based on steps'!$B$1:$U$1,C$1)</f>
        <v>0</v>
      </c>
      <c r="D260" s="155">
        <f>SUMIFS('recurring2_based on steps'!$B260:$AY260,'recurring2_based on steps'!$B$1:$AY$1,D$1)+SUMIFS('changes2_based on steps'!$B260:$U260,'changes2_based on steps'!$B$1:$U$1,D$1)</f>
        <v>0</v>
      </c>
      <c r="E260" s="155">
        <f>SUMIFS('recurring2_based on steps'!$B260:$AY260,'recurring2_based on steps'!$B$1:$AY$1,E$1)+SUMIFS('changes2_based on steps'!$B260:$U260,'changes2_based on steps'!$B$1:$U$1,E$1)</f>
        <v>0</v>
      </c>
      <c r="F260" s="155">
        <f>SUMIFS('recurring2_based on steps'!$B260:$AY260,'recurring2_based on steps'!$B$1:$AY$1,F$1)+SUMIFS('changes2_based on steps'!$B260:$U260,'changes2_based on steps'!$B$1:$U$1,F$1)</f>
        <v>0</v>
      </c>
      <c r="G260" s="155">
        <f>SUMIFS('recurring2_based on steps'!$B260:$AY260,'recurring2_based on steps'!$B$1:$AY$1,G$1)+SUMIFS('changes2_based on steps'!$B260:$U260,'changes2_based on steps'!$B$1:$U$1,G$1)</f>
        <v>0</v>
      </c>
      <c r="H260" s="155">
        <f ca="1">SUMIFS('recurring2_based on steps'!$B260:$AY260,'recurring2_based on steps'!$B$1:$AY$1,H$1)+SUMIFS('changes2_based on steps'!$B260:$U260,'changes2_based on steps'!$B$1:$U$1,H$1)</f>
        <v>0</v>
      </c>
      <c r="I260" s="155">
        <f>SUMIFS('recurring2_based on steps'!$B260:$AY260,'recurring2_based on steps'!$B$1:$AY$1,I$1)+SUMIFS('changes2_based on steps'!$B260:$U260,'changes2_based on steps'!$B$1:$U$1,I$1)</f>
        <v>0</v>
      </c>
      <c r="J260" s="155">
        <f>SUMIFS('recurring2_based on steps'!$B260:$AY260,'recurring2_based on steps'!$B$1:$AY$1,J$1)+SUMIFS('changes2_based on steps'!$B260:$U260,'changes2_based on steps'!$B$1:$U$1,J$1)</f>
        <v>0</v>
      </c>
      <c r="K260" s="155">
        <f>SUMIFS('recurring2_based on steps'!$B260:$AY260,'recurring2_based on steps'!$B$1:$AY$1,K$1)+SUMIFS('changes2_based on steps'!$B260:$U260,'changes2_based on steps'!$B$1:$U$1,K$1)</f>
        <v>0</v>
      </c>
      <c r="L260" s="155">
        <f>SUMIFS('recurring2_based on steps'!$B260:$AY260,'recurring2_based on steps'!$B$1:$AY$1,L$1)+SUMIFS('changes2_based on steps'!$B260:$U260,'changes2_based on steps'!$B$1:$U$1,L$1)</f>
        <v>0</v>
      </c>
      <c r="M260" s="155">
        <f ca="1">SUMIFS('recurring2_based on steps'!$B260:$AY260,'recurring2_based on steps'!$B$1:$AY$1,M$1)+SUMIFS('changes2_based on steps'!$B260:$U260,'changes2_based on steps'!$B$1:$U$1,M$1)</f>
        <v>0</v>
      </c>
      <c r="N260" s="155">
        <f ca="1">SUMIFS('recurring2_based on steps'!$B260:$AY260,'recurring2_based on steps'!$B$1:$AY$1,N$1)+SUMIFS('changes2_based on steps'!$B260:$U260,'changes2_based on steps'!$B$1:$U$1,N$1)</f>
        <v>0</v>
      </c>
      <c r="O260" s="155">
        <f ca="1">SUMIFS('recurring2_based on steps'!$B260:$AY260,'recurring2_based on steps'!$B$1:$AY$1,O$1)+SUMIFS('changes2_based on steps'!$B260:$U260,'changes2_based on steps'!$B$1:$U$1,O$1)</f>
        <v>0</v>
      </c>
      <c r="P260" s="155">
        <f ca="1">SUMIFS('recurring2_based on steps'!$B260:$AY260,'recurring2_based on steps'!$B$1:$AY$1,P$1)+SUMIFS('changes2_based on steps'!$B260:$U260,'changes2_based on steps'!$B$1:$U$1,P$1)</f>
        <v>0</v>
      </c>
      <c r="Q260" s="155">
        <f>SUMIFS('recurring2_based on steps'!$B260:$AY260,'recurring2_based on steps'!$B$1:$AY$1,Q$1)+SUMIFS('changes2_based on steps'!$B260:$U260,'changes2_based on steps'!$B$1:$U$1,Q$1)</f>
        <v>0</v>
      </c>
      <c r="R260" s="155">
        <f ca="1">SUMIFS('recurring2_based on steps'!$B260:$AY260,'recurring2_based on steps'!$B$1:$AY$1,R$1)+SUMIFS('changes2_based on steps'!$B260:$U260,'changes2_based on steps'!$B$1:$U$1,R$1)</f>
        <v>0</v>
      </c>
      <c r="S260" s="155">
        <f ca="1">SUMIFS('recurring2_based on steps'!$B260:$AY260,'recurring2_based on steps'!$B$1:$AY$1,S$1)+SUMIFS('changes2_based on steps'!$B260:$U260,'changes2_based on steps'!$B$1:$U$1,S$1)</f>
        <v>0</v>
      </c>
      <c r="T260" s="155">
        <f>SUMIFS('recurring2_based on steps'!$B260:$AY260,'recurring2_based on steps'!$B$1:$AY$1,T$1)+SUMIFS('changes2_based on steps'!$B260:$U260,'changes2_based on steps'!$B$1:$U$1,T$1)</f>
        <v>0</v>
      </c>
      <c r="U260" s="155">
        <f ca="1">SUMIFS('recurring2_based on steps'!$B260:$AY260,'recurring2_based on steps'!$B$1:$AY$1,U$1)+SUMIFS('changes2_based on steps'!$B260:$U260,'changes2_based on steps'!$B$1:$U$1,U$1)</f>
        <v>0</v>
      </c>
      <c r="V260" s="155">
        <f>SUMIFS('recurring2_based on steps'!$B260:$AY260,'recurring2_based on steps'!$B$1:$AY$1,V$1)+SUMIFS('changes2_based on steps'!$B260:$U260,'changes2_based on steps'!$B$1:$U$1,V$1)</f>
        <v>0</v>
      </c>
      <c r="W260" s="155">
        <f ca="1">SUMIFS('recurring2_based on steps'!$B260:$AY260,'recurring2_based on steps'!$B$1:$AY$1,W$1)+SUMIFS('changes2_based on steps'!$B260:$U260,'changes2_based on steps'!$B$1:$U$1,W$1)</f>
        <v>0</v>
      </c>
      <c r="X260" s="155">
        <f ca="1">SUMIFS('recurring2_based on steps'!$B260:$AY260,'recurring2_based on steps'!$B$1:$AY$1,X$1)+SUMIFS('changes2_based on steps'!$B260:$U260,'changes2_based on steps'!$B$1:$U$1,X$1)</f>
        <v>0</v>
      </c>
      <c r="Y260" s="155">
        <f ca="1">SUMIFS('recurring2_based on steps'!$B260:$AY260,'recurring2_based on steps'!$B$1:$AY$1,Y$1)+SUMIFS('changes2_based on steps'!$B260:$U260,'changes2_based on steps'!$B$1:$U$1,Y$1)</f>
        <v>0</v>
      </c>
      <c r="Z260" s="155">
        <f>SUMIFS('recurring2_based on steps'!$B260:$AY260,'recurring2_based on steps'!$B$1:$AY$1,Z$1)+SUMIFS('changes2_based on steps'!$B260:$U260,'changes2_based on steps'!$B$1:$U$1,Z$1)</f>
        <v>0</v>
      </c>
      <c r="AA260" s="155">
        <f>SUMIFS('recurring2_based on steps'!$B260:$AY260,'recurring2_based on steps'!$B$1:$AY$1,AA$1)+SUMIFS('changes2_based on steps'!$B260:$U260,'changes2_based on steps'!$B$1:$U$1,AA$1)</f>
        <v>0</v>
      </c>
    </row>
    <row r="261" spans="1:27" x14ac:dyDescent="0.2">
      <c r="A261" s="18">
        <f t="shared" ref="A261:A324" ca="1" si="4">A260+1</f>
        <v>45947</v>
      </c>
      <c r="B261" s="155">
        <f ca="1">SUMIFS('recurring2_based on steps'!$B261:$AY261,'recurring2_based on steps'!$B$1:$AY$1,B$1)+SUMIFS('changes2_based on steps'!$B261:$U261,'changes2_based on steps'!$B$1:$U$1,B$1)</f>
        <v>4000</v>
      </c>
      <c r="C261" s="155">
        <f>SUMIFS('recurring2_based on steps'!$B261:$AY261,'recurring2_based on steps'!$B$1:$AY$1,C$1)+SUMIFS('changes2_based on steps'!$B261:$U261,'changes2_based on steps'!$B$1:$U$1,C$1)</f>
        <v>0</v>
      </c>
      <c r="D261" s="155">
        <f>SUMIFS('recurring2_based on steps'!$B261:$AY261,'recurring2_based on steps'!$B$1:$AY$1,D$1)+SUMIFS('changes2_based on steps'!$B261:$U261,'changes2_based on steps'!$B$1:$U$1,D$1)</f>
        <v>0</v>
      </c>
      <c r="E261" s="155">
        <f>SUMIFS('recurring2_based on steps'!$B261:$AY261,'recurring2_based on steps'!$B$1:$AY$1,E$1)+SUMIFS('changes2_based on steps'!$B261:$U261,'changes2_based on steps'!$B$1:$U$1,E$1)</f>
        <v>0</v>
      </c>
      <c r="F261" s="155">
        <f>SUMIFS('recurring2_based on steps'!$B261:$AY261,'recurring2_based on steps'!$B$1:$AY$1,F$1)+SUMIFS('changes2_based on steps'!$B261:$U261,'changes2_based on steps'!$B$1:$U$1,F$1)</f>
        <v>0</v>
      </c>
      <c r="G261" s="155">
        <f>SUMIFS('recurring2_based on steps'!$B261:$AY261,'recurring2_based on steps'!$B$1:$AY$1,G$1)+SUMIFS('changes2_based on steps'!$B261:$U261,'changes2_based on steps'!$B$1:$U$1,G$1)</f>
        <v>0</v>
      </c>
      <c r="H261" s="155">
        <f ca="1">SUMIFS('recurring2_based on steps'!$B261:$AY261,'recurring2_based on steps'!$B$1:$AY$1,H$1)+SUMIFS('changes2_based on steps'!$B261:$U261,'changes2_based on steps'!$B$1:$U$1,H$1)</f>
        <v>96</v>
      </c>
      <c r="I261" s="155">
        <f>SUMIFS('recurring2_based on steps'!$B261:$AY261,'recurring2_based on steps'!$B$1:$AY$1,I$1)+SUMIFS('changes2_based on steps'!$B261:$U261,'changes2_based on steps'!$B$1:$U$1,I$1)</f>
        <v>0</v>
      </c>
      <c r="J261" s="155">
        <f>SUMIFS('recurring2_based on steps'!$B261:$AY261,'recurring2_based on steps'!$B$1:$AY$1,J$1)+SUMIFS('changes2_based on steps'!$B261:$U261,'changes2_based on steps'!$B$1:$U$1,J$1)</f>
        <v>0</v>
      </c>
      <c r="K261" s="155">
        <f>SUMIFS('recurring2_based on steps'!$B261:$AY261,'recurring2_based on steps'!$B$1:$AY$1,K$1)+SUMIFS('changes2_based on steps'!$B261:$U261,'changes2_based on steps'!$B$1:$U$1,K$1)</f>
        <v>0</v>
      </c>
      <c r="L261" s="155">
        <f>SUMIFS('recurring2_based on steps'!$B261:$AY261,'recurring2_based on steps'!$B$1:$AY$1,L$1)+SUMIFS('changes2_based on steps'!$B261:$U261,'changes2_based on steps'!$B$1:$U$1,L$1)</f>
        <v>0</v>
      </c>
      <c r="M261" s="155">
        <f ca="1">SUMIFS('recurring2_based on steps'!$B261:$AY261,'recurring2_based on steps'!$B$1:$AY$1,M$1)+SUMIFS('changes2_based on steps'!$B261:$U261,'changes2_based on steps'!$B$1:$U$1,M$1)</f>
        <v>0</v>
      </c>
      <c r="N261" s="155">
        <f ca="1">SUMIFS('recurring2_based on steps'!$B261:$AY261,'recurring2_based on steps'!$B$1:$AY$1,N$1)+SUMIFS('changes2_based on steps'!$B261:$U261,'changes2_based on steps'!$B$1:$U$1,N$1)</f>
        <v>0</v>
      </c>
      <c r="O261" s="155">
        <f ca="1">SUMIFS('recurring2_based on steps'!$B261:$AY261,'recurring2_based on steps'!$B$1:$AY$1,O$1)+SUMIFS('changes2_based on steps'!$B261:$U261,'changes2_based on steps'!$B$1:$U$1,O$1)</f>
        <v>0</v>
      </c>
      <c r="P261" s="155">
        <f ca="1">SUMIFS('recurring2_based on steps'!$B261:$AY261,'recurring2_based on steps'!$B$1:$AY$1,P$1)+SUMIFS('changes2_based on steps'!$B261:$U261,'changes2_based on steps'!$B$1:$U$1,P$1)</f>
        <v>0</v>
      </c>
      <c r="Q261" s="155">
        <f>SUMIFS('recurring2_based on steps'!$B261:$AY261,'recurring2_based on steps'!$B$1:$AY$1,Q$1)+SUMIFS('changes2_based on steps'!$B261:$U261,'changes2_based on steps'!$B$1:$U$1,Q$1)</f>
        <v>0</v>
      </c>
      <c r="R261" s="155">
        <f ca="1">SUMIFS('recurring2_based on steps'!$B261:$AY261,'recurring2_based on steps'!$B$1:$AY$1,R$1)+SUMIFS('changes2_based on steps'!$B261:$U261,'changes2_based on steps'!$B$1:$U$1,R$1)</f>
        <v>0</v>
      </c>
      <c r="S261" s="155">
        <f ca="1">SUMIFS('recurring2_based on steps'!$B261:$AY261,'recurring2_based on steps'!$B$1:$AY$1,S$1)+SUMIFS('changes2_based on steps'!$B261:$U261,'changes2_based on steps'!$B$1:$U$1,S$1)</f>
        <v>0</v>
      </c>
      <c r="T261" s="155">
        <f>SUMIFS('recurring2_based on steps'!$B261:$AY261,'recurring2_based on steps'!$B$1:$AY$1,T$1)+SUMIFS('changes2_based on steps'!$B261:$U261,'changes2_based on steps'!$B$1:$U$1,T$1)</f>
        <v>0</v>
      </c>
      <c r="U261" s="155">
        <f ca="1">SUMIFS('recurring2_based on steps'!$B261:$AY261,'recurring2_based on steps'!$B$1:$AY$1,U$1)+SUMIFS('changes2_based on steps'!$B261:$U261,'changes2_based on steps'!$B$1:$U$1,U$1)</f>
        <v>15.49</v>
      </c>
      <c r="V261" s="155">
        <f>SUMIFS('recurring2_based on steps'!$B261:$AY261,'recurring2_based on steps'!$B$1:$AY$1,V$1)+SUMIFS('changes2_based on steps'!$B261:$U261,'changes2_based on steps'!$B$1:$U$1,V$1)</f>
        <v>0</v>
      </c>
      <c r="W261" s="155">
        <f ca="1">SUMIFS('recurring2_based on steps'!$B261:$AY261,'recurring2_based on steps'!$B$1:$AY$1,W$1)+SUMIFS('changes2_based on steps'!$B261:$U261,'changes2_based on steps'!$B$1:$U$1,W$1)</f>
        <v>50</v>
      </c>
      <c r="X261" s="155">
        <f ca="1">SUMIFS('recurring2_based on steps'!$B261:$AY261,'recurring2_based on steps'!$B$1:$AY$1,X$1)+SUMIFS('changes2_based on steps'!$B261:$U261,'changes2_based on steps'!$B$1:$U$1,X$1)</f>
        <v>200</v>
      </c>
      <c r="Y261" s="155">
        <f ca="1">SUMIFS('recurring2_based on steps'!$B261:$AY261,'recurring2_based on steps'!$B$1:$AY$1,Y$1)+SUMIFS('changes2_based on steps'!$B261:$U261,'changes2_based on steps'!$B$1:$U$1,Y$1)</f>
        <v>200</v>
      </c>
      <c r="Z261" s="155">
        <f>SUMIFS('recurring2_based on steps'!$B261:$AY261,'recurring2_based on steps'!$B$1:$AY$1,Z$1)+SUMIFS('changes2_based on steps'!$B261:$U261,'changes2_based on steps'!$B$1:$U$1,Z$1)</f>
        <v>0</v>
      </c>
      <c r="AA261" s="155">
        <f>SUMIFS('recurring2_based on steps'!$B261:$AY261,'recurring2_based on steps'!$B$1:$AY$1,AA$1)+SUMIFS('changes2_based on steps'!$B261:$U261,'changes2_based on steps'!$B$1:$U$1,AA$1)</f>
        <v>0</v>
      </c>
    </row>
    <row r="262" spans="1:27" x14ac:dyDescent="0.2">
      <c r="A262" s="18">
        <f t="shared" ca="1" si="4"/>
        <v>45948</v>
      </c>
      <c r="B262" s="155">
        <f ca="1">SUMIFS('recurring2_based on steps'!$B262:$AY262,'recurring2_based on steps'!$B$1:$AY$1,B$1)+SUMIFS('changes2_based on steps'!$B262:$U262,'changes2_based on steps'!$B$1:$U$1,B$1)</f>
        <v>0</v>
      </c>
      <c r="C262" s="155">
        <f>SUMIFS('recurring2_based on steps'!$B262:$AY262,'recurring2_based on steps'!$B$1:$AY$1,C$1)+SUMIFS('changes2_based on steps'!$B262:$U262,'changes2_based on steps'!$B$1:$U$1,C$1)</f>
        <v>0</v>
      </c>
      <c r="D262" s="155">
        <f>SUMIFS('recurring2_based on steps'!$B262:$AY262,'recurring2_based on steps'!$B$1:$AY$1,D$1)+SUMIFS('changes2_based on steps'!$B262:$U262,'changes2_based on steps'!$B$1:$U$1,D$1)</f>
        <v>0</v>
      </c>
      <c r="E262" s="155">
        <f>SUMIFS('recurring2_based on steps'!$B262:$AY262,'recurring2_based on steps'!$B$1:$AY$1,E$1)+SUMIFS('changes2_based on steps'!$B262:$U262,'changes2_based on steps'!$B$1:$U$1,E$1)</f>
        <v>0</v>
      </c>
      <c r="F262" s="155">
        <f>SUMIFS('recurring2_based on steps'!$B262:$AY262,'recurring2_based on steps'!$B$1:$AY$1,F$1)+SUMIFS('changes2_based on steps'!$B262:$U262,'changes2_based on steps'!$B$1:$U$1,F$1)</f>
        <v>0</v>
      </c>
      <c r="G262" s="155">
        <f>SUMIFS('recurring2_based on steps'!$B262:$AY262,'recurring2_based on steps'!$B$1:$AY$1,G$1)+SUMIFS('changes2_based on steps'!$B262:$U262,'changes2_based on steps'!$B$1:$U$1,G$1)</f>
        <v>0</v>
      </c>
      <c r="H262" s="155">
        <f ca="1">SUMIFS('recurring2_based on steps'!$B262:$AY262,'recurring2_based on steps'!$B$1:$AY$1,H$1)+SUMIFS('changes2_based on steps'!$B262:$U262,'changes2_based on steps'!$B$1:$U$1,H$1)</f>
        <v>0</v>
      </c>
      <c r="I262" s="155">
        <f>SUMIFS('recurring2_based on steps'!$B262:$AY262,'recurring2_based on steps'!$B$1:$AY$1,I$1)+SUMIFS('changes2_based on steps'!$B262:$U262,'changes2_based on steps'!$B$1:$U$1,I$1)</f>
        <v>0</v>
      </c>
      <c r="J262" s="155">
        <f>SUMIFS('recurring2_based on steps'!$B262:$AY262,'recurring2_based on steps'!$B$1:$AY$1,J$1)+SUMIFS('changes2_based on steps'!$B262:$U262,'changes2_based on steps'!$B$1:$U$1,J$1)</f>
        <v>0</v>
      </c>
      <c r="K262" s="155">
        <f>SUMIFS('recurring2_based on steps'!$B262:$AY262,'recurring2_based on steps'!$B$1:$AY$1,K$1)+SUMIFS('changes2_based on steps'!$B262:$U262,'changes2_based on steps'!$B$1:$U$1,K$1)</f>
        <v>0</v>
      </c>
      <c r="L262" s="155">
        <f>SUMIFS('recurring2_based on steps'!$B262:$AY262,'recurring2_based on steps'!$B$1:$AY$1,L$1)+SUMIFS('changes2_based on steps'!$B262:$U262,'changes2_based on steps'!$B$1:$U$1,L$1)</f>
        <v>0</v>
      </c>
      <c r="M262" s="155">
        <f ca="1">SUMIFS('recurring2_based on steps'!$B262:$AY262,'recurring2_based on steps'!$B$1:$AY$1,M$1)+SUMIFS('changes2_based on steps'!$B262:$U262,'changes2_based on steps'!$B$1:$U$1,M$1)</f>
        <v>0</v>
      </c>
      <c r="N262" s="155">
        <f ca="1">SUMIFS('recurring2_based on steps'!$B262:$AY262,'recurring2_based on steps'!$B$1:$AY$1,N$1)+SUMIFS('changes2_based on steps'!$B262:$U262,'changes2_based on steps'!$B$1:$U$1,N$1)</f>
        <v>0</v>
      </c>
      <c r="O262" s="155">
        <f ca="1">SUMIFS('recurring2_based on steps'!$B262:$AY262,'recurring2_based on steps'!$B$1:$AY$1,O$1)+SUMIFS('changes2_based on steps'!$B262:$U262,'changes2_based on steps'!$B$1:$U$1,O$1)</f>
        <v>0</v>
      </c>
      <c r="P262" s="155">
        <f ca="1">SUMIFS('recurring2_based on steps'!$B262:$AY262,'recurring2_based on steps'!$B$1:$AY$1,P$1)+SUMIFS('changes2_based on steps'!$B262:$U262,'changes2_based on steps'!$B$1:$U$1,P$1)</f>
        <v>0</v>
      </c>
      <c r="Q262" s="155">
        <f>SUMIFS('recurring2_based on steps'!$B262:$AY262,'recurring2_based on steps'!$B$1:$AY$1,Q$1)+SUMIFS('changes2_based on steps'!$B262:$U262,'changes2_based on steps'!$B$1:$U$1,Q$1)</f>
        <v>0</v>
      </c>
      <c r="R262" s="155">
        <f ca="1">SUMIFS('recurring2_based on steps'!$B262:$AY262,'recurring2_based on steps'!$B$1:$AY$1,R$1)+SUMIFS('changes2_based on steps'!$B262:$U262,'changes2_based on steps'!$B$1:$U$1,R$1)</f>
        <v>100</v>
      </c>
      <c r="S262" s="155">
        <f ca="1">SUMIFS('recurring2_based on steps'!$B262:$AY262,'recurring2_based on steps'!$B$1:$AY$1,S$1)+SUMIFS('changes2_based on steps'!$B262:$U262,'changes2_based on steps'!$B$1:$U$1,S$1)</f>
        <v>100</v>
      </c>
      <c r="T262" s="155">
        <f>SUMIFS('recurring2_based on steps'!$B262:$AY262,'recurring2_based on steps'!$B$1:$AY$1,T$1)+SUMIFS('changes2_based on steps'!$B262:$U262,'changes2_based on steps'!$B$1:$U$1,T$1)</f>
        <v>0</v>
      </c>
      <c r="U262" s="155">
        <f ca="1">SUMIFS('recurring2_based on steps'!$B262:$AY262,'recurring2_based on steps'!$B$1:$AY$1,U$1)+SUMIFS('changes2_based on steps'!$B262:$U262,'changes2_based on steps'!$B$1:$U$1,U$1)</f>
        <v>10.99</v>
      </c>
      <c r="V262" s="155">
        <f>SUMIFS('recurring2_based on steps'!$B262:$AY262,'recurring2_based on steps'!$B$1:$AY$1,V$1)+SUMIFS('changes2_based on steps'!$B262:$U262,'changes2_based on steps'!$B$1:$U$1,V$1)</f>
        <v>0</v>
      </c>
      <c r="W262" s="155">
        <f ca="1">SUMIFS('recurring2_based on steps'!$B262:$AY262,'recurring2_based on steps'!$B$1:$AY$1,W$1)+SUMIFS('changes2_based on steps'!$B262:$U262,'changes2_based on steps'!$B$1:$U$1,W$1)</f>
        <v>0</v>
      </c>
      <c r="X262" s="155">
        <f ca="1">SUMIFS('recurring2_based on steps'!$B262:$AY262,'recurring2_based on steps'!$B$1:$AY$1,X$1)+SUMIFS('changes2_based on steps'!$B262:$U262,'changes2_based on steps'!$B$1:$U$1,X$1)</f>
        <v>0</v>
      </c>
      <c r="Y262" s="155">
        <f ca="1">SUMIFS('recurring2_based on steps'!$B262:$AY262,'recurring2_based on steps'!$B$1:$AY$1,Y$1)+SUMIFS('changes2_based on steps'!$B262:$U262,'changes2_based on steps'!$B$1:$U$1,Y$1)</f>
        <v>0</v>
      </c>
      <c r="Z262" s="155">
        <f>SUMIFS('recurring2_based on steps'!$B262:$AY262,'recurring2_based on steps'!$B$1:$AY$1,Z$1)+SUMIFS('changes2_based on steps'!$B262:$U262,'changes2_based on steps'!$B$1:$U$1,Z$1)</f>
        <v>0</v>
      </c>
      <c r="AA262" s="155">
        <f>SUMIFS('recurring2_based on steps'!$B262:$AY262,'recurring2_based on steps'!$B$1:$AY$1,AA$1)+SUMIFS('changes2_based on steps'!$B262:$U262,'changes2_based on steps'!$B$1:$U$1,AA$1)</f>
        <v>0</v>
      </c>
    </row>
    <row r="263" spans="1:27" x14ac:dyDescent="0.2">
      <c r="A263" s="18">
        <f t="shared" ca="1" si="4"/>
        <v>45949</v>
      </c>
      <c r="B263" s="155">
        <f ca="1">SUMIFS('recurring2_based on steps'!$B263:$AY263,'recurring2_based on steps'!$B$1:$AY$1,B$1)+SUMIFS('changes2_based on steps'!$B263:$U263,'changes2_based on steps'!$B$1:$U$1,B$1)</f>
        <v>0</v>
      </c>
      <c r="C263" s="155">
        <f>SUMIFS('recurring2_based on steps'!$B263:$AY263,'recurring2_based on steps'!$B$1:$AY$1,C$1)+SUMIFS('changes2_based on steps'!$B263:$U263,'changes2_based on steps'!$B$1:$U$1,C$1)</f>
        <v>0</v>
      </c>
      <c r="D263" s="155">
        <f>SUMIFS('recurring2_based on steps'!$B263:$AY263,'recurring2_based on steps'!$B$1:$AY$1,D$1)+SUMIFS('changes2_based on steps'!$B263:$U263,'changes2_based on steps'!$B$1:$U$1,D$1)</f>
        <v>0</v>
      </c>
      <c r="E263" s="155">
        <f>SUMIFS('recurring2_based on steps'!$B263:$AY263,'recurring2_based on steps'!$B$1:$AY$1,E$1)+SUMIFS('changes2_based on steps'!$B263:$U263,'changes2_based on steps'!$B$1:$U$1,E$1)</f>
        <v>0</v>
      </c>
      <c r="F263" s="155">
        <f>SUMIFS('recurring2_based on steps'!$B263:$AY263,'recurring2_based on steps'!$B$1:$AY$1,F$1)+SUMIFS('changes2_based on steps'!$B263:$U263,'changes2_based on steps'!$B$1:$U$1,F$1)</f>
        <v>0</v>
      </c>
      <c r="G263" s="155">
        <f>SUMIFS('recurring2_based on steps'!$B263:$AY263,'recurring2_based on steps'!$B$1:$AY$1,G$1)+SUMIFS('changes2_based on steps'!$B263:$U263,'changes2_based on steps'!$B$1:$U$1,G$1)</f>
        <v>0</v>
      </c>
      <c r="H263" s="155">
        <f ca="1">SUMIFS('recurring2_based on steps'!$B263:$AY263,'recurring2_based on steps'!$B$1:$AY$1,H$1)+SUMIFS('changes2_based on steps'!$B263:$U263,'changes2_based on steps'!$B$1:$U$1,H$1)</f>
        <v>0</v>
      </c>
      <c r="I263" s="155">
        <f>SUMIFS('recurring2_based on steps'!$B263:$AY263,'recurring2_based on steps'!$B$1:$AY$1,I$1)+SUMIFS('changes2_based on steps'!$B263:$U263,'changes2_based on steps'!$B$1:$U$1,I$1)</f>
        <v>0</v>
      </c>
      <c r="J263" s="155">
        <f>SUMIFS('recurring2_based on steps'!$B263:$AY263,'recurring2_based on steps'!$B$1:$AY$1,J$1)+SUMIFS('changes2_based on steps'!$B263:$U263,'changes2_based on steps'!$B$1:$U$1,J$1)</f>
        <v>0</v>
      </c>
      <c r="K263" s="155">
        <f>SUMIFS('recurring2_based on steps'!$B263:$AY263,'recurring2_based on steps'!$B$1:$AY$1,K$1)+SUMIFS('changes2_based on steps'!$B263:$U263,'changes2_based on steps'!$B$1:$U$1,K$1)</f>
        <v>0</v>
      </c>
      <c r="L263" s="155">
        <f>SUMIFS('recurring2_based on steps'!$B263:$AY263,'recurring2_based on steps'!$B$1:$AY$1,L$1)+SUMIFS('changes2_based on steps'!$B263:$U263,'changes2_based on steps'!$B$1:$U$1,L$1)</f>
        <v>0</v>
      </c>
      <c r="M263" s="155">
        <f ca="1">SUMIFS('recurring2_based on steps'!$B263:$AY263,'recurring2_based on steps'!$B$1:$AY$1,M$1)+SUMIFS('changes2_based on steps'!$B263:$U263,'changes2_based on steps'!$B$1:$U$1,M$1)</f>
        <v>0</v>
      </c>
      <c r="N263" s="155">
        <f ca="1">SUMIFS('recurring2_based on steps'!$B263:$AY263,'recurring2_based on steps'!$B$1:$AY$1,N$1)+SUMIFS('changes2_based on steps'!$B263:$U263,'changes2_based on steps'!$B$1:$U$1,N$1)</f>
        <v>50</v>
      </c>
      <c r="O263" s="155">
        <f ca="1">SUMIFS('recurring2_based on steps'!$B263:$AY263,'recurring2_based on steps'!$B$1:$AY$1,O$1)+SUMIFS('changes2_based on steps'!$B263:$U263,'changes2_based on steps'!$B$1:$U$1,O$1)</f>
        <v>0</v>
      </c>
      <c r="P263" s="155">
        <f ca="1">SUMIFS('recurring2_based on steps'!$B263:$AY263,'recurring2_based on steps'!$B$1:$AY$1,P$1)+SUMIFS('changes2_based on steps'!$B263:$U263,'changes2_based on steps'!$B$1:$U$1,P$1)</f>
        <v>0</v>
      </c>
      <c r="Q263" s="155">
        <f>SUMIFS('recurring2_based on steps'!$B263:$AY263,'recurring2_based on steps'!$B$1:$AY$1,Q$1)+SUMIFS('changes2_based on steps'!$B263:$U263,'changes2_based on steps'!$B$1:$U$1,Q$1)</f>
        <v>0</v>
      </c>
      <c r="R263" s="155">
        <f ca="1">SUMIFS('recurring2_based on steps'!$B263:$AY263,'recurring2_based on steps'!$B$1:$AY$1,R$1)+SUMIFS('changes2_based on steps'!$B263:$U263,'changes2_based on steps'!$B$1:$U$1,R$1)</f>
        <v>0</v>
      </c>
      <c r="S263" s="155">
        <f ca="1">SUMIFS('recurring2_based on steps'!$B263:$AY263,'recurring2_based on steps'!$B$1:$AY$1,S$1)+SUMIFS('changes2_based on steps'!$B263:$U263,'changes2_based on steps'!$B$1:$U$1,S$1)</f>
        <v>100</v>
      </c>
      <c r="T263" s="155">
        <f>SUMIFS('recurring2_based on steps'!$B263:$AY263,'recurring2_based on steps'!$B$1:$AY$1,T$1)+SUMIFS('changes2_based on steps'!$B263:$U263,'changes2_based on steps'!$B$1:$U$1,T$1)</f>
        <v>0</v>
      </c>
      <c r="U263" s="155">
        <f ca="1">SUMIFS('recurring2_based on steps'!$B263:$AY263,'recurring2_based on steps'!$B$1:$AY$1,U$1)+SUMIFS('changes2_based on steps'!$B263:$U263,'changes2_based on steps'!$B$1:$U$1,U$1)</f>
        <v>0</v>
      </c>
      <c r="V263" s="155">
        <f>SUMIFS('recurring2_based on steps'!$B263:$AY263,'recurring2_based on steps'!$B$1:$AY$1,V$1)+SUMIFS('changes2_based on steps'!$B263:$U263,'changes2_based on steps'!$B$1:$U$1,V$1)</f>
        <v>0</v>
      </c>
      <c r="W263" s="155">
        <f ca="1">SUMIFS('recurring2_based on steps'!$B263:$AY263,'recurring2_based on steps'!$B$1:$AY$1,W$1)+SUMIFS('changes2_based on steps'!$B263:$U263,'changes2_based on steps'!$B$1:$U$1,W$1)</f>
        <v>0</v>
      </c>
      <c r="X263" s="155">
        <f ca="1">SUMIFS('recurring2_based on steps'!$B263:$AY263,'recurring2_based on steps'!$B$1:$AY$1,X$1)+SUMIFS('changes2_based on steps'!$B263:$U263,'changes2_based on steps'!$B$1:$U$1,X$1)</f>
        <v>0</v>
      </c>
      <c r="Y263" s="155">
        <f ca="1">SUMIFS('recurring2_based on steps'!$B263:$AY263,'recurring2_based on steps'!$B$1:$AY$1,Y$1)+SUMIFS('changes2_based on steps'!$B263:$U263,'changes2_based on steps'!$B$1:$U$1,Y$1)</f>
        <v>0</v>
      </c>
      <c r="Z263" s="155">
        <f>SUMIFS('recurring2_based on steps'!$B263:$AY263,'recurring2_based on steps'!$B$1:$AY$1,Z$1)+SUMIFS('changes2_based on steps'!$B263:$U263,'changes2_based on steps'!$B$1:$U$1,Z$1)</f>
        <v>0</v>
      </c>
      <c r="AA263" s="155">
        <f>SUMIFS('recurring2_based on steps'!$B263:$AY263,'recurring2_based on steps'!$B$1:$AY$1,AA$1)+SUMIFS('changes2_based on steps'!$B263:$U263,'changes2_based on steps'!$B$1:$U$1,AA$1)</f>
        <v>0</v>
      </c>
    </row>
    <row r="264" spans="1:27" x14ac:dyDescent="0.2">
      <c r="A264" s="18">
        <f t="shared" ca="1" si="4"/>
        <v>45950</v>
      </c>
      <c r="B264" s="155">
        <f ca="1">SUMIFS('recurring2_based on steps'!$B264:$AY264,'recurring2_based on steps'!$B$1:$AY$1,B$1)+SUMIFS('changes2_based on steps'!$B264:$U264,'changes2_based on steps'!$B$1:$U$1,B$1)</f>
        <v>0</v>
      </c>
      <c r="C264" s="155">
        <f>SUMIFS('recurring2_based on steps'!$B264:$AY264,'recurring2_based on steps'!$B$1:$AY$1,C$1)+SUMIFS('changes2_based on steps'!$B264:$U264,'changes2_based on steps'!$B$1:$U$1,C$1)</f>
        <v>0</v>
      </c>
      <c r="D264" s="155">
        <f>SUMIFS('recurring2_based on steps'!$B264:$AY264,'recurring2_based on steps'!$B$1:$AY$1,D$1)+SUMIFS('changes2_based on steps'!$B264:$U264,'changes2_based on steps'!$B$1:$U$1,D$1)</f>
        <v>0</v>
      </c>
      <c r="E264" s="155">
        <f>SUMIFS('recurring2_based on steps'!$B264:$AY264,'recurring2_based on steps'!$B$1:$AY$1,E$1)+SUMIFS('changes2_based on steps'!$B264:$U264,'changes2_based on steps'!$B$1:$U$1,E$1)</f>
        <v>0</v>
      </c>
      <c r="F264" s="155">
        <f>SUMIFS('recurring2_based on steps'!$B264:$AY264,'recurring2_based on steps'!$B$1:$AY$1,F$1)+SUMIFS('changes2_based on steps'!$B264:$U264,'changes2_based on steps'!$B$1:$U$1,F$1)</f>
        <v>0</v>
      </c>
      <c r="G264" s="155">
        <f>SUMIFS('recurring2_based on steps'!$B264:$AY264,'recurring2_based on steps'!$B$1:$AY$1,G$1)+SUMIFS('changes2_based on steps'!$B264:$U264,'changes2_based on steps'!$B$1:$U$1,G$1)</f>
        <v>0</v>
      </c>
      <c r="H264" s="155">
        <f ca="1">SUMIFS('recurring2_based on steps'!$B264:$AY264,'recurring2_based on steps'!$B$1:$AY$1,H$1)+SUMIFS('changes2_based on steps'!$B264:$U264,'changes2_based on steps'!$B$1:$U$1,H$1)</f>
        <v>0</v>
      </c>
      <c r="I264" s="155">
        <f>SUMIFS('recurring2_based on steps'!$B264:$AY264,'recurring2_based on steps'!$B$1:$AY$1,I$1)+SUMIFS('changes2_based on steps'!$B264:$U264,'changes2_based on steps'!$B$1:$U$1,I$1)</f>
        <v>0</v>
      </c>
      <c r="J264" s="155">
        <f>SUMIFS('recurring2_based on steps'!$B264:$AY264,'recurring2_based on steps'!$B$1:$AY$1,J$1)+SUMIFS('changes2_based on steps'!$B264:$U264,'changes2_based on steps'!$B$1:$U$1,J$1)</f>
        <v>0</v>
      </c>
      <c r="K264" s="155">
        <f>SUMIFS('recurring2_based on steps'!$B264:$AY264,'recurring2_based on steps'!$B$1:$AY$1,K$1)+SUMIFS('changes2_based on steps'!$B264:$U264,'changes2_based on steps'!$B$1:$U$1,K$1)</f>
        <v>0</v>
      </c>
      <c r="L264" s="155">
        <f>SUMIFS('recurring2_based on steps'!$B264:$AY264,'recurring2_based on steps'!$B$1:$AY$1,L$1)+SUMIFS('changes2_based on steps'!$B264:$U264,'changes2_based on steps'!$B$1:$U$1,L$1)</f>
        <v>0</v>
      </c>
      <c r="M264" s="155">
        <f ca="1">SUMIFS('recurring2_based on steps'!$B264:$AY264,'recurring2_based on steps'!$B$1:$AY$1,M$1)+SUMIFS('changes2_based on steps'!$B264:$U264,'changes2_based on steps'!$B$1:$U$1,M$1)</f>
        <v>0</v>
      </c>
      <c r="N264" s="155">
        <f ca="1">SUMIFS('recurring2_based on steps'!$B264:$AY264,'recurring2_based on steps'!$B$1:$AY$1,N$1)+SUMIFS('changes2_based on steps'!$B264:$U264,'changes2_based on steps'!$B$1:$U$1,N$1)</f>
        <v>0</v>
      </c>
      <c r="O264" s="155">
        <f ca="1">SUMIFS('recurring2_based on steps'!$B264:$AY264,'recurring2_based on steps'!$B$1:$AY$1,O$1)+SUMIFS('changes2_based on steps'!$B264:$U264,'changes2_based on steps'!$B$1:$U$1,O$1)</f>
        <v>0</v>
      </c>
      <c r="P264" s="155">
        <f ca="1">SUMIFS('recurring2_based on steps'!$B264:$AY264,'recurring2_based on steps'!$B$1:$AY$1,P$1)+SUMIFS('changes2_based on steps'!$B264:$U264,'changes2_based on steps'!$B$1:$U$1,P$1)</f>
        <v>0</v>
      </c>
      <c r="Q264" s="155">
        <f>SUMIFS('recurring2_based on steps'!$B264:$AY264,'recurring2_based on steps'!$B$1:$AY$1,Q$1)+SUMIFS('changes2_based on steps'!$B264:$U264,'changes2_based on steps'!$B$1:$U$1,Q$1)</f>
        <v>0</v>
      </c>
      <c r="R264" s="155">
        <f ca="1">SUMIFS('recurring2_based on steps'!$B264:$AY264,'recurring2_based on steps'!$B$1:$AY$1,R$1)+SUMIFS('changes2_based on steps'!$B264:$U264,'changes2_based on steps'!$B$1:$U$1,R$1)</f>
        <v>0</v>
      </c>
      <c r="S264" s="155">
        <f ca="1">SUMIFS('recurring2_based on steps'!$B264:$AY264,'recurring2_based on steps'!$B$1:$AY$1,S$1)+SUMIFS('changes2_based on steps'!$B264:$U264,'changes2_based on steps'!$B$1:$U$1,S$1)</f>
        <v>0</v>
      </c>
      <c r="T264" s="155">
        <f>SUMIFS('recurring2_based on steps'!$B264:$AY264,'recurring2_based on steps'!$B$1:$AY$1,T$1)+SUMIFS('changes2_based on steps'!$B264:$U264,'changes2_based on steps'!$B$1:$U$1,T$1)</f>
        <v>0</v>
      </c>
      <c r="U264" s="155">
        <f ca="1">SUMIFS('recurring2_based on steps'!$B264:$AY264,'recurring2_based on steps'!$B$1:$AY$1,U$1)+SUMIFS('changes2_based on steps'!$B264:$U264,'changes2_based on steps'!$B$1:$U$1,U$1)</f>
        <v>0</v>
      </c>
      <c r="V264" s="155">
        <f>SUMIFS('recurring2_based on steps'!$B264:$AY264,'recurring2_based on steps'!$B$1:$AY$1,V$1)+SUMIFS('changes2_based on steps'!$B264:$U264,'changes2_based on steps'!$B$1:$U$1,V$1)</f>
        <v>0</v>
      </c>
      <c r="W264" s="155">
        <f ca="1">SUMIFS('recurring2_based on steps'!$B264:$AY264,'recurring2_based on steps'!$B$1:$AY$1,W$1)+SUMIFS('changes2_based on steps'!$B264:$U264,'changes2_based on steps'!$B$1:$U$1,W$1)</f>
        <v>0</v>
      </c>
      <c r="X264" s="155">
        <f ca="1">SUMIFS('recurring2_based on steps'!$B264:$AY264,'recurring2_based on steps'!$B$1:$AY$1,X$1)+SUMIFS('changes2_based on steps'!$B264:$U264,'changes2_based on steps'!$B$1:$U$1,X$1)</f>
        <v>0</v>
      </c>
      <c r="Y264" s="155">
        <f ca="1">SUMIFS('recurring2_based on steps'!$B264:$AY264,'recurring2_based on steps'!$B$1:$AY$1,Y$1)+SUMIFS('changes2_based on steps'!$B264:$U264,'changes2_based on steps'!$B$1:$U$1,Y$1)</f>
        <v>0</v>
      </c>
      <c r="Z264" s="155">
        <f>SUMIFS('recurring2_based on steps'!$B264:$AY264,'recurring2_based on steps'!$B$1:$AY$1,Z$1)+SUMIFS('changes2_based on steps'!$B264:$U264,'changes2_based on steps'!$B$1:$U$1,Z$1)</f>
        <v>0</v>
      </c>
      <c r="AA264" s="155">
        <f>SUMIFS('recurring2_based on steps'!$B264:$AY264,'recurring2_based on steps'!$B$1:$AY$1,AA$1)+SUMIFS('changes2_based on steps'!$B264:$U264,'changes2_based on steps'!$B$1:$U$1,AA$1)</f>
        <v>0</v>
      </c>
    </row>
    <row r="265" spans="1:27" x14ac:dyDescent="0.2">
      <c r="A265" s="18">
        <f t="shared" ca="1" si="4"/>
        <v>45951</v>
      </c>
      <c r="B265" s="155">
        <f ca="1">SUMIFS('recurring2_based on steps'!$B265:$AY265,'recurring2_based on steps'!$B$1:$AY$1,B$1)+SUMIFS('changes2_based on steps'!$B265:$U265,'changes2_based on steps'!$B$1:$U$1,B$1)</f>
        <v>0</v>
      </c>
      <c r="C265" s="155">
        <f>SUMIFS('recurring2_based on steps'!$B265:$AY265,'recurring2_based on steps'!$B$1:$AY$1,C$1)+SUMIFS('changes2_based on steps'!$B265:$U265,'changes2_based on steps'!$B$1:$U$1,C$1)</f>
        <v>0</v>
      </c>
      <c r="D265" s="155">
        <f>SUMIFS('recurring2_based on steps'!$B265:$AY265,'recurring2_based on steps'!$B$1:$AY$1,D$1)+SUMIFS('changes2_based on steps'!$B265:$U265,'changes2_based on steps'!$B$1:$U$1,D$1)</f>
        <v>0</v>
      </c>
      <c r="E265" s="155">
        <f>SUMIFS('recurring2_based on steps'!$B265:$AY265,'recurring2_based on steps'!$B$1:$AY$1,E$1)+SUMIFS('changes2_based on steps'!$B265:$U265,'changes2_based on steps'!$B$1:$U$1,E$1)</f>
        <v>0</v>
      </c>
      <c r="F265" s="155">
        <f>SUMIFS('recurring2_based on steps'!$B265:$AY265,'recurring2_based on steps'!$B$1:$AY$1,F$1)+SUMIFS('changes2_based on steps'!$B265:$U265,'changes2_based on steps'!$B$1:$U$1,F$1)</f>
        <v>0</v>
      </c>
      <c r="G265" s="155">
        <f>SUMIFS('recurring2_based on steps'!$B265:$AY265,'recurring2_based on steps'!$B$1:$AY$1,G$1)+SUMIFS('changes2_based on steps'!$B265:$U265,'changes2_based on steps'!$B$1:$U$1,G$1)</f>
        <v>0</v>
      </c>
      <c r="H265" s="155">
        <f ca="1">SUMIFS('recurring2_based on steps'!$B265:$AY265,'recurring2_based on steps'!$B$1:$AY$1,H$1)+SUMIFS('changes2_based on steps'!$B265:$U265,'changes2_based on steps'!$B$1:$U$1,H$1)</f>
        <v>0</v>
      </c>
      <c r="I265" s="155">
        <f>SUMIFS('recurring2_based on steps'!$B265:$AY265,'recurring2_based on steps'!$B$1:$AY$1,I$1)+SUMIFS('changes2_based on steps'!$B265:$U265,'changes2_based on steps'!$B$1:$U$1,I$1)</f>
        <v>0</v>
      </c>
      <c r="J265" s="155">
        <f>SUMIFS('recurring2_based on steps'!$B265:$AY265,'recurring2_based on steps'!$B$1:$AY$1,J$1)+SUMIFS('changes2_based on steps'!$B265:$U265,'changes2_based on steps'!$B$1:$U$1,J$1)</f>
        <v>0</v>
      </c>
      <c r="K265" s="155">
        <f>SUMIFS('recurring2_based on steps'!$B265:$AY265,'recurring2_based on steps'!$B$1:$AY$1,K$1)+SUMIFS('changes2_based on steps'!$B265:$U265,'changes2_based on steps'!$B$1:$U$1,K$1)</f>
        <v>0</v>
      </c>
      <c r="L265" s="155">
        <f>SUMIFS('recurring2_based on steps'!$B265:$AY265,'recurring2_based on steps'!$B$1:$AY$1,L$1)+SUMIFS('changes2_based on steps'!$B265:$U265,'changes2_based on steps'!$B$1:$U$1,L$1)</f>
        <v>0</v>
      </c>
      <c r="M265" s="155">
        <f ca="1">SUMIFS('recurring2_based on steps'!$B265:$AY265,'recurring2_based on steps'!$B$1:$AY$1,M$1)+SUMIFS('changes2_based on steps'!$B265:$U265,'changes2_based on steps'!$B$1:$U$1,M$1)</f>
        <v>0</v>
      </c>
      <c r="N265" s="155">
        <f ca="1">SUMIFS('recurring2_based on steps'!$B265:$AY265,'recurring2_based on steps'!$B$1:$AY$1,N$1)+SUMIFS('changes2_based on steps'!$B265:$U265,'changes2_based on steps'!$B$1:$U$1,N$1)</f>
        <v>0</v>
      </c>
      <c r="O265" s="155">
        <f ca="1">SUMIFS('recurring2_based on steps'!$B265:$AY265,'recurring2_based on steps'!$B$1:$AY$1,O$1)+SUMIFS('changes2_based on steps'!$B265:$U265,'changes2_based on steps'!$B$1:$U$1,O$1)</f>
        <v>0</v>
      </c>
      <c r="P265" s="155">
        <f ca="1">SUMIFS('recurring2_based on steps'!$B265:$AY265,'recurring2_based on steps'!$B$1:$AY$1,P$1)+SUMIFS('changes2_based on steps'!$B265:$U265,'changes2_based on steps'!$B$1:$U$1,P$1)</f>
        <v>0</v>
      </c>
      <c r="Q265" s="155">
        <f>SUMIFS('recurring2_based on steps'!$B265:$AY265,'recurring2_based on steps'!$B$1:$AY$1,Q$1)+SUMIFS('changes2_based on steps'!$B265:$U265,'changes2_based on steps'!$B$1:$U$1,Q$1)</f>
        <v>0</v>
      </c>
      <c r="R265" s="155">
        <f ca="1">SUMIFS('recurring2_based on steps'!$B265:$AY265,'recurring2_based on steps'!$B$1:$AY$1,R$1)+SUMIFS('changes2_based on steps'!$B265:$U265,'changes2_based on steps'!$B$1:$U$1,R$1)</f>
        <v>0</v>
      </c>
      <c r="S265" s="155">
        <f ca="1">SUMIFS('recurring2_based on steps'!$B265:$AY265,'recurring2_based on steps'!$B$1:$AY$1,S$1)+SUMIFS('changes2_based on steps'!$B265:$U265,'changes2_based on steps'!$B$1:$U$1,S$1)</f>
        <v>0</v>
      </c>
      <c r="T265" s="155">
        <f>SUMIFS('recurring2_based on steps'!$B265:$AY265,'recurring2_based on steps'!$B$1:$AY$1,T$1)+SUMIFS('changes2_based on steps'!$B265:$U265,'changes2_based on steps'!$B$1:$U$1,T$1)</f>
        <v>0</v>
      </c>
      <c r="U265" s="155">
        <f ca="1">SUMIFS('recurring2_based on steps'!$B265:$AY265,'recurring2_based on steps'!$B$1:$AY$1,U$1)+SUMIFS('changes2_based on steps'!$B265:$U265,'changes2_based on steps'!$B$1:$U$1,U$1)</f>
        <v>0</v>
      </c>
      <c r="V265" s="155">
        <f>SUMIFS('recurring2_based on steps'!$B265:$AY265,'recurring2_based on steps'!$B$1:$AY$1,V$1)+SUMIFS('changes2_based on steps'!$B265:$U265,'changes2_based on steps'!$B$1:$U$1,V$1)</f>
        <v>0</v>
      </c>
      <c r="W265" s="155">
        <f ca="1">SUMIFS('recurring2_based on steps'!$B265:$AY265,'recurring2_based on steps'!$B$1:$AY$1,W$1)+SUMIFS('changes2_based on steps'!$B265:$U265,'changes2_based on steps'!$B$1:$U$1,W$1)</f>
        <v>0</v>
      </c>
      <c r="X265" s="155">
        <f ca="1">SUMIFS('recurring2_based on steps'!$B265:$AY265,'recurring2_based on steps'!$B$1:$AY$1,X$1)+SUMIFS('changes2_based on steps'!$B265:$U265,'changes2_based on steps'!$B$1:$U$1,X$1)</f>
        <v>0</v>
      </c>
      <c r="Y265" s="155">
        <f ca="1">SUMIFS('recurring2_based on steps'!$B265:$AY265,'recurring2_based on steps'!$B$1:$AY$1,Y$1)+SUMIFS('changes2_based on steps'!$B265:$U265,'changes2_based on steps'!$B$1:$U$1,Y$1)</f>
        <v>0</v>
      </c>
      <c r="Z265" s="155">
        <f>SUMIFS('recurring2_based on steps'!$B265:$AY265,'recurring2_based on steps'!$B$1:$AY$1,Z$1)+SUMIFS('changes2_based on steps'!$B265:$U265,'changes2_based on steps'!$B$1:$U$1,Z$1)</f>
        <v>0</v>
      </c>
      <c r="AA265" s="155">
        <f>SUMIFS('recurring2_based on steps'!$B265:$AY265,'recurring2_based on steps'!$B$1:$AY$1,AA$1)+SUMIFS('changes2_based on steps'!$B265:$U265,'changes2_based on steps'!$B$1:$U$1,AA$1)</f>
        <v>0</v>
      </c>
    </row>
    <row r="266" spans="1:27" x14ac:dyDescent="0.2">
      <c r="A266" s="18">
        <f t="shared" ca="1" si="4"/>
        <v>45952</v>
      </c>
      <c r="B266" s="155">
        <f ca="1">SUMIFS('recurring2_based on steps'!$B266:$AY266,'recurring2_based on steps'!$B$1:$AY$1,B$1)+SUMIFS('changes2_based on steps'!$B266:$U266,'changes2_based on steps'!$B$1:$U$1,B$1)</f>
        <v>100</v>
      </c>
      <c r="C266" s="155">
        <f>SUMIFS('recurring2_based on steps'!$B266:$AY266,'recurring2_based on steps'!$B$1:$AY$1,C$1)+SUMIFS('changes2_based on steps'!$B266:$U266,'changes2_based on steps'!$B$1:$U$1,C$1)</f>
        <v>0</v>
      </c>
      <c r="D266" s="155">
        <f>SUMIFS('recurring2_based on steps'!$B266:$AY266,'recurring2_based on steps'!$B$1:$AY$1,D$1)+SUMIFS('changes2_based on steps'!$B266:$U266,'changes2_based on steps'!$B$1:$U$1,D$1)</f>
        <v>0</v>
      </c>
      <c r="E266" s="155">
        <f>SUMIFS('recurring2_based on steps'!$B266:$AY266,'recurring2_based on steps'!$B$1:$AY$1,E$1)+SUMIFS('changes2_based on steps'!$B266:$U266,'changes2_based on steps'!$B$1:$U$1,E$1)</f>
        <v>0</v>
      </c>
      <c r="F266" s="155">
        <f>SUMIFS('recurring2_based on steps'!$B266:$AY266,'recurring2_based on steps'!$B$1:$AY$1,F$1)+SUMIFS('changes2_based on steps'!$B266:$U266,'changes2_based on steps'!$B$1:$U$1,F$1)</f>
        <v>0</v>
      </c>
      <c r="G266" s="155">
        <f>SUMIFS('recurring2_based on steps'!$B266:$AY266,'recurring2_based on steps'!$B$1:$AY$1,G$1)+SUMIFS('changes2_based on steps'!$B266:$U266,'changes2_based on steps'!$B$1:$U$1,G$1)</f>
        <v>0</v>
      </c>
      <c r="H266" s="155">
        <f ca="1">SUMIFS('recurring2_based on steps'!$B266:$AY266,'recurring2_based on steps'!$B$1:$AY$1,H$1)+SUMIFS('changes2_based on steps'!$B266:$U266,'changes2_based on steps'!$B$1:$U$1,H$1)</f>
        <v>0</v>
      </c>
      <c r="I266" s="155">
        <f>SUMIFS('recurring2_based on steps'!$B266:$AY266,'recurring2_based on steps'!$B$1:$AY$1,I$1)+SUMIFS('changes2_based on steps'!$B266:$U266,'changes2_based on steps'!$B$1:$U$1,I$1)</f>
        <v>0</v>
      </c>
      <c r="J266" s="155">
        <f>SUMIFS('recurring2_based on steps'!$B266:$AY266,'recurring2_based on steps'!$B$1:$AY$1,J$1)+SUMIFS('changes2_based on steps'!$B266:$U266,'changes2_based on steps'!$B$1:$U$1,J$1)</f>
        <v>0</v>
      </c>
      <c r="K266" s="155">
        <f>SUMIFS('recurring2_based on steps'!$B266:$AY266,'recurring2_based on steps'!$B$1:$AY$1,K$1)+SUMIFS('changes2_based on steps'!$B266:$U266,'changes2_based on steps'!$B$1:$U$1,K$1)</f>
        <v>0</v>
      </c>
      <c r="L266" s="155">
        <f>SUMIFS('recurring2_based on steps'!$B266:$AY266,'recurring2_based on steps'!$B$1:$AY$1,L$1)+SUMIFS('changes2_based on steps'!$B266:$U266,'changes2_based on steps'!$B$1:$U$1,L$1)</f>
        <v>0</v>
      </c>
      <c r="M266" s="155">
        <f ca="1">SUMIFS('recurring2_based on steps'!$B266:$AY266,'recurring2_based on steps'!$B$1:$AY$1,M$1)+SUMIFS('changes2_based on steps'!$B266:$U266,'changes2_based on steps'!$B$1:$U$1,M$1)</f>
        <v>0</v>
      </c>
      <c r="N266" s="155">
        <f ca="1">SUMIFS('recurring2_based on steps'!$B266:$AY266,'recurring2_based on steps'!$B$1:$AY$1,N$1)+SUMIFS('changes2_based on steps'!$B266:$U266,'changes2_based on steps'!$B$1:$U$1,N$1)</f>
        <v>0</v>
      </c>
      <c r="O266" s="155">
        <f ca="1">SUMIFS('recurring2_based on steps'!$B266:$AY266,'recurring2_based on steps'!$B$1:$AY$1,O$1)+SUMIFS('changes2_based on steps'!$B266:$U266,'changes2_based on steps'!$B$1:$U$1,O$1)</f>
        <v>0</v>
      </c>
      <c r="P266" s="155">
        <f ca="1">SUMIFS('recurring2_based on steps'!$B266:$AY266,'recurring2_based on steps'!$B$1:$AY$1,P$1)+SUMIFS('changes2_based on steps'!$B266:$U266,'changes2_based on steps'!$B$1:$U$1,P$1)</f>
        <v>0</v>
      </c>
      <c r="Q266" s="155">
        <f>SUMIFS('recurring2_based on steps'!$B266:$AY266,'recurring2_based on steps'!$B$1:$AY$1,Q$1)+SUMIFS('changes2_based on steps'!$B266:$U266,'changes2_based on steps'!$B$1:$U$1,Q$1)</f>
        <v>0</v>
      </c>
      <c r="R266" s="155">
        <f ca="1">SUMIFS('recurring2_based on steps'!$B266:$AY266,'recurring2_based on steps'!$B$1:$AY$1,R$1)+SUMIFS('changes2_based on steps'!$B266:$U266,'changes2_based on steps'!$B$1:$U$1,R$1)</f>
        <v>0</v>
      </c>
      <c r="S266" s="155">
        <f ca="1">SUMIFS('recurring2_based on steps'!$B266:$AY266,'recurring2_based on steps'!$B$1:$AY$1,S$1)+SUMIFS('changes2_based on steps'!$B266:$U266,'changes2_based on steps'!$B$1:$U$1,S$1)</f>
        <v>0</v>
      </c>
      <c r="T266" s="155">
        <f>SUMIFS('recurring2_based on steps'!$B266:$AY266,'recurring2_based on steps'!$B$1:$AY$1,T$1)+SUMIFS('changes2_based on steps'!$B266:$U266,'changes2_based on steps'!$B$1:$U$1,T$1)</f>
        <v>0</v>
      </c>
      <c r="U266" s="155">
        <f ca="1">SUMIFS('recurring2_based on steps'!$B266:$AY266,'recurring2_based on steps'!$B$1:$AY$1,U$1)+SUMIFS('changes2_based on steps'!$B266:$U266,'changes2_based on steps'!$B$1:$U$1,U$1)</f>
        <v>0</v>
      </c>
      <c r="V266" s="155">
        <f>SUMIFS('recurring2_based on steps'!$B266:$AY266,'recurring2_based on steps'!$B$1:$AY$1,V$1)+SUMIFS('changes2_based on steps'!$B266:$U266,'changes2_based on steps'!$B$1:$U$1,V$1)</f>
        <v>0</v>
      </c>
      <c r="W266" s="155">
        <f ca="1">SUMIFS('recurring2_based on steps'!$B266:$AY266,'recurring2_based on steps'!$B$1:$AY$1,W$1)+SUMIFS('changes2_based on steps'!$B266:$U266,'changes2_based on steps'!$B$1:$U$1,W$1)</f>
        <v>0</v>
      </c>
      <c r="X266" s="155">
        <f ca="1">SUMIFS('recurring2_based on steps'!$B266:$AY266,'recurring2_based on steps'!$B$1:$AY$1,X$1)+SUMIFS('changes2_based on steps'!$B266:$U266,'changes2_based on steps'!$B$1:$U$1,X$1)</f>
        <v>0</v>
      </c>
      <c r="Y266" s="155">
        <f ca="1">SUMIFS('recurring2_based on steps'!$B266:$AY266,'recurring2_based on steps'!$B$1:$AY$1,Y$1)+SUMIFS('changes2_based on steps'!$B266:$U266,'changes2_based on steps'!$B$1:$U$1,Y$1)</f>
        <v>0</v>
      </c>
      <c r="Z266" s="155">
        <f>SUMIFS('recurring2_based on steps'!$B266:$AY266,'recurring2_based on steps'!$B$1:$AY$1,Z$1)+SUMIFS('changes2_based on steps'!$B266:$U266,'changes2_based on steps'!$B$1:$U$1,Z$1)</f>
        <v>0</v>
      </c>
      <c r="AA266" s="155">
        <f>SUMIFS('recurring2_based on steps'!$B266:$AY266,'recurring2_based on steps'!$B$1:$AY$1,AA$1)+SUMIFS('changes2_based on steps'!$B266:$U266,'changes2_based on steps'!$B$1:$U$1,AA$1)</f>
        <v>0</v>
      </c>
    </row>
    <row r="267" spans="1:27" x14ac:dyDescent="0.2">
      <c r="A267" s="18">
        <f t="shared" ca="1" si="4"/>
        <v>45953</v>
      </c>
      <c r="B267" s="155">
        <f ca="1">SUMIFS('recurring2_based on steps'!$B267:$AY267,'recurring2_based on steps'!$B$1:$AY$1,B$1)+SUMIFS('changes2_based on steps'!$B267:$U267,'changes2_based on steps'!$B$1:$U$1,B$1)</f>
        <v>0</v>
      </c>
      <c r="C267" s="155">
        <f>SUMIFS('recurring2_based on steps'!$B267:$AY267,'recurring2_based on steps'!$B$1:$AY$1,C$1)+SUMIFS('changes2_based on steps'!$B267:$U267,'changes2_based on steps'!$B$1:$U$1,C$1)</f>
        <v>0</v>
      </c>
      <c r="D267" s="155">
        <f>SUMIFS('recurring2_based on steps'!$B267:$AY267,'recurring2_based on steps'!$B$1:$AY$1,D$1)+SUMIFS('changes2_based on steps'!$B267:$U267,'changes2_based on steps'!$B$1:$U$1,D$1)</f>
        <v>0</v>
      </c>
      <c r="E267" s="155">
        <f>SUMIFS('recurring2_based on steps'!$B267:$AY267,'recurring2_based on steps'!$B$1:$AY$1,E$1)+SUMIFS('changes2_based on steps'!$B267:$U267,'changes2_based on steps'!$B$1:$U$1,E$1)</f>
        <v>0</v>
      </c>
      <c r="F267" s="155">
        <f>SUMIFS('recurring2_based on steps'!$B267:$AY267,'recurring2_based on steps'!$B$1:$AY$1,F$1)+SUMIFS('changes2_based on steps'!$B267:$U267,'changes2_based on steps'!$B$1:$U$1,F$1)</f>
        <v>0</v>
      </c>
      <c r="G267" s="155">
        <f>SUMIFS('recurring2_based on steps'!$B267:$AY267,'recurring2_based on steps'!$B$1:$AY$1,G$1)+SUMIFS('changes2_based on steps'!$B267:$U267,'changes2_based on steps'!$B$1:$U$1,G$1)</f>
        <v>0</v>
      </c>
      <c r="H267" s="155">
        <f ca="1">SUMIFS('recurring2_based on steps'!$B267:$AY267,'recurring2_based on steps'!$B$1:$AY$1,H$1)+SUMIFS('changes2_based on steps'!$B267:$U267,'changes2_based on steps'!$B$1:$U$1,H$1)</f>
        <v>0</v>
      </c>
      <c r="I267" s="155">
        <f>SUMIFS('recurring2_based on steps'!$B267:$AY267,'recurring2_based on steps'!$B$1:$AY$1,I$1)+SUMIFS('changes2_based on steps'!$B267:$U267,'changes2_based on steps'!$B$1:$U$1,I$1)</f>
        <v>0</v>
      </c>
      <c r="J267" s="155">
        <f>SUMIFS('recurring2_based on steps'!$B267:$AY267,'recurring2_based on steps'!$B$1:$AY$1,J$1)+SUMIFS('changes2_based on steps'!$B267:$U267,'changes2_based on steps'!$B$1:$U$1,J$1)</f>
        <v>0</v>
      </c>
      <c r="K267" s="155">
        <f>SUMIFS('recurring2_based on steps'!$B267:$AY267,'recurring2_based on steps'!$B$1:$AY$1,K$1)+SUMIFS('changes2_based on steps'!$B267:$U267,'changes2_based on steps'!$B$1:$U$1,K$1)</f>
        <v>0</v>
      </c>
      <c r="L267" s="155">
        <f>SUMIFS('recurring2_based on steps'!$B267:$AY267,'recurring2_based on steps'!$B$1:$AY$1,L$1)+SUMIFS('changes2_based on steps'!$B267:$U267,'changes2_based on steps'!$B$1:$U$1,L$1)</f>
        <v>0</v>
      </c>
      <c r="M267" s="155">
        <f ca="1">SUMIFS('recurring2_based on steps'!$B267:$AY267,'recurring2_based on steps'!$B$1:$AY$1,M$1)+SUMIFS('changes2_based on steps'!$B267:$U267,'changes2_based on steps'!$B$1:$U$1,M$1)</f>
        <v>0</v>
      </c>
      <c r="N267" s="155">
        <f ca="1">SUMIFS('recurring2_based on steps'!$B267:$AY267,'recurring2_based on steps'!$B$1:$AY$1,N$1)+SUMIFS('changes2_based on steps'!$B267:$U267,'changes2_based on steps'!$B$1:$U$1,N$1)</f>
        <v>0</v>
      </c>
      <c r="O267" s="155">
        <f ca="1">SUMIFS('recurring2_based on steps'!$B267:$AY267,'recurring2_based on steps'!$B$1:$AY$1,O$1)+SUMIFS('changes2_based on steps'!$B267:$U267,'changes2_based on steps'!$B$1:$U$1,O$1)</f>
        <v>0</v>
      </c>
      <c r="P267" s="155">
        <f ca="1">SUMIFS('recurring2_based on steps'!$B267:$AY267,'recurring2_based on steps'!$B$1:$AY$1,P$1)+SUMIFS('changes2_based on steps'!$B267:$U267,'changes2_based on steps'!$B$1:$U$1,P$1)</f>
        <v>0</v>
      </c>
      <c r="Q267" s="155">
        <f>SUMIFS('recurring2_based on steps'!$B267:$AY267,'recurring2_based on steps'!$B$1:$AY$1,Q$1)+SUMIFS('changes2_based on steps'!$B267:$U267,'changes2_based on steps'!$B$1:$U$1,Q$1)</f>
        <v>0</v>
      </c>
      <c r="R267" s="155">
        <f ca="1">SUMIFS('recurring2_based on steps'!$B267:$AY267,'recurring2_based on steps'!$B$1:$AY$1,R$1)+SUMIFS('changes2_based on steps'!$B267:$U267,'changes2_based on steps'!$B$1:$U$1,R$1)</f>
        <v>0</v>
      </c>
      <c r="S267" s="155">
        <f ca="1">SUMIFS('recurring2_based on steps'!$B267:$AY267,'recurring2_based on steps'!$B$1:$AY$1,S$1)+SUMIFS('changes2_based on steps'!$B267:$U267,'changes2_based on steps'!$B$1:$U$1,S$1)</f>
        <v>0</v>
      </c>
      <c r="T267" s="155">
        <f>SUMIFS('recurring2_based on steps'!$B267:$AY267,'recurring2_based on steps'!$B$1:$AY$1,T$1)+SUMIFS('changes2_based on steps'!$B267:$U267,'changes2_based on steps'!$B$1:$U$1,T$1)</f>
        <v>0</v>
      </c>
      <c r="U267" s="155">
        <f ca="1">SUMIFS('recurring2_based on steps'!$B267:$AY267,'recurring2_based on steps'!$B$1:$AY$1,U$1)+SUMIFS('changes2_based on steps'!$B267:$U267,'changes2_based on steps'!$B$1:$U$1,U$1)</f>
        <v>0</v>
      </c>
      <c r="V267" s="155">
        <f>SUMIFS('recurring2_based on steps'!$B267:$AY267,'recurring2_based on steps'!$B$1:$AY$1,V$1)+SUMIFS('changes2_based on steps'!$B267:$U267,'changes2_based on steps'!$B$1:$U$1,V$1)</f>
        <v>0</v>
      </c>
      <c r="W267" s="155">
        <f ca="1">SUMIFS('recurring2_based on steps'!$B267:$AY267,'recurring2_based on steps'!$B$1:$AY$1,W$1)+SUMIFS('changes2_based on steps'!$B267:$U267,'changes2_based on steps'!$B$1:$U$1,W$1)</f>
        <v>0</v>
      </c>
      <c r="X267" s="155">
        <f ca="1">SUMIFS('recurring2_based on steps'!$B267:$AY267,'recurring2_based on steps'!$B$1:$AY$1,X$1)+SUMIFS('changes2_based on steps'!$B267:$U267,'changes2_based on steps'!$B$1:$U$1,X$1)</f>
        <v>0</v>
      </c>
      <c r="Y267" s="155">
        <f ca="1">SUMIFS('recurring2_based on steps'!$B267:$AY267,'recurring2_based on steps'!$B$1:$AY$1,Y$1)+SUMIFS('changes2_based on steps'!$B267:$U267,'changes2_based on steps'!$B$1:$U$1,Y$1)</f>
        <v>0</v>
      </c>
      <c r="Z267" s="155">
        <f>SUMIFS('recurring2_based on steps'!$B267:$AY267,'recurring2_based on steps'!$B$1:$AY$1,Z$1)+SUMIFS('changes2_based on steps'!$B267:$U267,'changes2_based on steps'!$B$1:$U$1,Z$1)</f>
        <v>0</v>
      </c>
      <c r="AA267" s="155">
        <f>SUMIFS('recurring2_based on steps'!$B267:$AY267,'recurring2_based on steps'!$B$1:$AY$1,AA$1)+SUMIFS('changes2_based on steps'!$B267:$U267,'changes2_based on steps'!$B$1:$U$1,AA$1)</f>
        <v>0</v>
      </c>
    </row>
    <row r="268" spans="1:27" x14ac:dyDescent="0.2">
      <c r="A268" s="18">
        <f t="shared" ca="1" si="4"/>
        <v>45954</v>
      </c>
      <c r="B268" s="155">
        <f ca="1">SUMIFS('recurring2_based on steps'!$B268:$AY268,'recurring2_based on steps'!$B$1:$AY$1,B$1)+SUMIFS('changes2_based on steps'!$B268:$U268,'changes2_based on steps'!$B$1:$U$1,B$1)</f>
        <v>0</v>
      </c>
      <c r="C268" s="155">
        <f>SUMIFS('recurring2_based on steps'!$B268:$AY268,'recurring2_based on steps'!$B$1:$AY$1,C$1)+SUMIFS('changes2_based on steps'!$B268:$U268,'changes2_based on steps'!$B$1:$U$1,C$1)</f>
        <v>0</v>
      </c>
      <c r="D268" s="155">
        <f>SUMIFS('recurring2_based on steps'!$B268:$AY268,'recurring2_based on steps'!$B$1:$AY$1,D$1)+SUMIFS('changes2_based on steps'!$B268:$U268,'changes2_based on steps'!$B$1:$U$1,D$1)</f>
        <v>0</v>
      </c>
      <c r="E268" s="155">
        <f>SUMIFS('recurring2_based on steps'!$B268:$AY268,'recurring2_based on steps'!$B$1:$AY$1,E$1)+SUMIFS('changes2_based on steps'!$B268:$U268,'changes2_based on steps'!$B$1:$U$1,E$1)</f>
        <v>0</v>
      </c>
      <c r="F268" s="155">
        <f>SUMIFS('recurring2_based on steps'!$B268:$AY268,'recurring2_based on steps'!$B$1:$AY$1,F$1)+SUMIFS('changes2_based on steps'!$B268:$U268,'changes2_based on steps'!$B$1:$U$1,F$1)</f>
        <v>0</v>
      </c>
      <c r="G268" s="155">
        <f>SUMIFS('recurring2_based on steps'!$B268:$AY268,'recurring2_based on steps'!$B$1:$AY$1,G$1)+SUMIFS('changes2_based on steps'!$B268:$U268,'changes2_based on steps'!$B$1:$U$1,G$1)</f>
        <v>0</v>
      </c>
      <c r="H268" s="155">
        <f ca="1">SUMIFS('recurring2_based on steps'!$B268:$AY268,'recurring2_based on steps'!$B$1:$AY$1,H$1)+SUMIFS('changes2_based on steps'!$B268:$U268,'changes2_based on steps'!$B$1:$U$1,H$1)</f>
        <v>0</v>
      </c>
      <c r="I268" s="155">
        <f>SUMIFS('recurring2_based on steps'!$B268:$AY268,'recurring2_based on steps'!$B$1:$AY$1,I$1)+SUMIFS('changes2_based on steps'!$B268:$U268,'changes2_based on steps'!$B$1:$U$1,I$1)</f>
        <v>0</v>
      </c>
      <c r="J268" s="155">
        <f>SUMIFS('recurring2_based on steps'!$B268:$AY268,'recurring2_based on steps'!$B$1:$AY$1,J$1)+SUMIFS('changes2_based on steps'!$B268:$U268,'changes2_based on steps'!$B$1:$U$1,J$1)</f>
        <v>0</v>
      </c>
      <c r="K268" s="155">
        <f>SUMIFS('recurring2_based on steps'!$B268:$AY268,'recurring2_based on steps'!$B$1:$AY$1,K$1)+SUMIFS('changes2_based on steps'!$B268:$U268,'changes2_based on steps'!$B$1:$U$1,K$1)</f>
        <v>0</v>
      </c>
      <c r="L268" s="155">
        <f>SUMIFS('recurring2_based on steps'!$B268:$AY268,'recurring2_based on steps'!$B$1:$AY$1,L$1)+SUMIFS('changes2_based on steps'!$B268:$U268,'changes2_based on steps'!$B$1:$U$1,L$1)</f>
        <v>0</v>
      </c>
      <c r="M268" s="155">
        <f ca="1">SUMIFS('recurring2_based on steps'!$B268:$AY268,'recurring2_based on steps'!$B$1:$AY$1,M$1)+SUMIFS('changes2_based on steps'!$B268:$U268,'changes2_based on steps'!$B$1:$U$1,M$1)</f>
        <v>0</v>
      </c>
      <c r="N268" s="155">
        <f ca="1">SUMIFS('recurring2_based on steps'!$B268:$AY268,'recurring2_based on steps'!$B$1:$AY$1,N$1)+SUMIFS('changes2_based on steps'!$B268:$U268,'changes2_based on steps'!$B$1:$U$1,N$1)</f>
        <v>0</v>
      </c>
      <c r="O268" s="155">
        <f ca="1">SUMIFS('recurring2_based on steps'!$B268:$AY268,'recurring2_based on steps'!$B$1:$AY$1,O$1)+SUMIFS('changes2_based on steps'!$B268:$U268,'changes2_based on steps'!$B$1:$U$1,O$1)</f>
        <v>0</v>
      </c>
      <c r="P268" s="155">
        <f ca="1">SUMIFS('recurring2_based on steps'!$B268:$AY268,'recurring2_based on steps'!$B$1:$AY$1,P$1)+SUMIFS('changes2_based on steps'!$B268:$U268,'changes2_based on steps'!$B$1:$U$1,P$1)</f>
        <v>0</v>
      </c>
      <c r="Q268" s="155">
        <f>SUMIFS('recurring2_based on steps'!$B268:$AY268,'recurring2_based on steps'!$B$1:$AY$1,Q$1)+SUMIFS('changes2_based on steps'!$B268:$U268,'changes2_based on steps'!$B$1:$U$1,Q$1)</f>
        <v>0</v>
      </c>
      <c r="R268" s="155">
        <f ca="1">SUMIFS('recurring2_based on steps'!$B268:$AY268,'recurring2_based on steps'!$B$1:$AY$1,R$1)+SUMIFS('changes2_based on steps'!$B268:$U268,'changes2_based on steps'!$B$1:$U$1,R$1)</f>
        <v>0</v>
      </c>
      <c r="S268" s="155">
        <f ca="1">SUMIFS('recurring2_based on steps'!$B268:$AY268,'recurring2_based on steps'!$B$1:$AY$1,S$1)+SUMIFS('changes2_based on steps'!$B268:$U268,'changes2_based on steps'!$B$1:$U$1,S$1)</f>
        <v>0</v>
      </c>
      <c r="T268" s="155">
        <f>SUMIFS('recurring2_based on steps'!$B268:$AY268,'recurring2_based on steps'!$B$1:$AY$1,T$1)+SUMIFS('changes2_based on steps'!$B268:$U268,'changes2_based on steps'!$B$1:$U$1,T$1)</f>
        <v>0</v>
      </c>
      <c r="U268" s="155">
        <f ca="1">SUMIFS('recurring2_based on steps'!$B268:$AY268,'recurring2_based on steps'!$B$1:$AY$1,U$1)+SUMIFS('changes2_based on steps'!$B268:$U268,'changes2_based on steps'!$B$1:$U$1,U$1)</f>
        <v>0</v>
      </c>
      <c r="V268" s="155">
        <f>SUMIFS('recurring2_based on steps'!$B268:$AY268,'recurring2_based on steps'!$B$1:$AY$1,V$1)+SUMIFS('changes2_based on steps'!$B268:$U268,'changes2_based on steps'!$B$1:$U$1,V$1)</f>
        <v>0</v>
      </c>
      <c r="W268" s="155">
        <f ca="1">SUMIFS('recurring2_based on steps'!$B268:$AY268,'recurring2_based on steps'!$B$1:$AY$1,W$1)+SUMIFS('changes2_based on steps'!$B268:$U268,'changes2_based on steps'!$B$1:$U$1,W$1)</f>
        <v>0</v>
      </c>
      <c r="X268" s="155">
        <f ca="1">SUMIFS('recurring2_based on steps'!$B268:$AY268,'recurring2_based on steps'!$B$1:$AY$1,X$1)+SUMIFS('changes2_based on steps'!$B268:$U268,'changes2_based on steps'!$B$1:$U$1,X$1)</f>
        <v>0</v>
      </c>
      <c r="Y268" s="155">
        <f ca="1">SUMIFS('recurring2_based on steps'!$B268:$AY268,'recurring2_based on steps'!$B$1:$AY$1,Y$1)+SUMIFS('changes2_based on steps'!$B268:$U268,'changes2_based on steps'!$B$1:$U$1,Y$1)</f>
        <v>0</v>
      </c>
      <c r="Z268" s="155">
        <f>SUMIFS('recurring2_based on steps'!$B268:$AY268,'recurring2_based on steps'!$B$1:$AY$1,Z$1)+SUMIFS('changes2_based on steps'!$B268:$U268,'changes2_based on steps'!$B$1:$U$1,Z$1)</f>
        <v>0</v>
      </c>
      <c r="AA268" s="155">
        <f>SUMIFS('recurring2_based on steps'!$B268:$AY268,'recurring2_based on steps'!$B$1:$AY$1,AA$1)+SUMIFS('changes2_based on steps'!$B268:$U268,'changes2_based on steps'!$B$1:$U$1,AA$1)</f>
        <v>0</v>
      </c>
    </row>
    <row r="269" spans="1:27" x14ac:dyDescent="0.2">
      <c r="A269" s="18">
        <f t="shared" ca="1" si="4"/>
        <v>45955</v>
      </c>
      <c r="B269" s="155">
        <f ca="1">SUMIFS('recurring2_based on steps'!$B269:$AY269,'recurring2_based on steps'!$B$1:$AY$1,B$1)+SUMIFS('changes2_based on steps'!$B269:$U269,'changes2_based on steps'!$B$1:$U$1,B$1)</f>
        <v>0</v>
      </c>
      <c r="C269" s="155">
        <f>SUMIFS('recurring2_based on steps'!$B269:$AY269,'recurring2_based on steps'!$B$1:$AY$1,C$1)+SUMIFS('changes2_based on steps'!$B269:$U269,'changes2_based on steps'!$B$1:$U$1,C$1)</f>
        <v>0</v>
      </c>
      <c r="D269" s="155">
        <f>SUMIFS('recurring2_based on steps'!$B269:$AY269,'recurring2_based on steps'!$B$1:$AY$1,D$1)+SUMIFS('changes2_based on steps'!$B269:$U269,'changes2_based on steps'!$B$1:$U$1,D$1)</f>
        <v>0</v>
      </c>
      <c r="E269" s="155">
        <f>SUMIFS('recurring2_based on steps'!$B269:$AY269,'recurring2_based on steps'!$B$1:$AY$1,E$1)+SUMIFS('changes2_based on steps'!$B269:$U269,'changes2_based on steps'!$B$1:$U$1,E$1)</f>
        <v>0</v>
      </c>
      <c r="F269" s="155">
        <f>SUMIFS('recurring2_based on steps'!$B269:$AY269,'recurring2_based on steps'!$B$1:$AY$1,F$1)+SUMIFS('changes2_based on steps'!$B269:$U269,'changes2_based on steps'!$B$1:$U$1,F$1)</f>
        <v>0</v>
      </c>
      <c r="G269" s="155">
        <f>SUMIFS('recurring2_based on steps'!$B269:$AY269,'recurring2_based on steps'!$B$1:$AY$1,G$1)+SUMIFS('changes2_based on steps'!$B269:$U269,'changes2_based on steps'!$B$1:$U$1,G$1)</f>
        <v>0</v>
      </c>
      <c r="H269" s="155">
        <f ca="1">SUMIFS('recurring2_based on steps'!$B269:$AY269,'recurring2_based on steps'!$B$1:$AY$1,H$1)+SUMIFS('changes2_based on steps'!$B269:$U269,'changes2_based on steps'!$B$1:$U$1,H$1)</f>
        <v>0</v>
      </c>
      <c r="I269" s="155">
        <f>SUMIFS('recurring2_based on steps'!$B269:$AY269,'recurring2_based on steps'!$B$1:$AY$1,I$1)+SUMIFS('changes2_based on steps'!$B269:$U269,'changes2_based on steps'!$B$1:$U$1,I$1)</f>
        <v>0</v>
      </c>
      <c r="J269" s="155">
        <f>SUMIFS('recurring2_based on steps'!$B269:$AY269,'recurring2_based on steps'!$B$1:$AY$1,J$1)+SUMIFS('changes2_based on steps'!$B269:$U269,'changes2_based on steps'!$B$1:$U$1,J$1)</f>
        <v>0</v>
      </c>
      <c r="K269" s="155">
        <f>SUMIFS('recurring2_based on steps'!$B269:$AY269,'recurring2_based on steps'!$B$1:$AY$1,K$1)+SUMIFS('changes2_based on steps'!$B269:$U269,'changes2_based on steps'!$B$1:$U$1,K$1)</f>
        <v>0</v>
      </c>
      <c r="L269" s="155">
        <f>SUMIFS('recurring2_based on steps'!$B269:$AY269,'recurring2_based on steps'!$B$1:$AY$1,L$1)+SUMIFS('changes2_based on steps'!$B269:$U269,'changes2_based on steps'!$B$1:$U$1,L$1)</f>
        <v>0</v>
      </c>
      <c r="M269" s="155">
        <f ca="1">SUMIFS('recurring2_based on steps'!$B269:$AY269,'recurring2_based on steps'!$B$1:$AY$1,M$1)+SUMIFS('changes2_based on steps'!$B269:$U269,'changes2_based on steps'!$B$1:$U$1,M$1)</f>
        <v>0</v>
      </c>
      <c r="N269" s="155">
        <f ca="1">SUMIFS('recurring2_based on steps'!$B269:$AY269,'recurring2_based on steps'!$B$1:$AY$1,N$1)+SUMIFS('changes2_based on steps'!$B269:$U269,'changes2_based on steps'!$B$1:$U$1,N$1)</f>
        <v>0</v>
      </c>
      <c r="O269" s="155">
        <f ca="1">SUMIFS('recurring2_based on steps'!$B269:$AY269,'recurring2_based on steps'!$B$1:$AY$1,O$1)+SUMIFS('changes2_based on steps'!$B269:$U269,'changes2_based on steps'!$B$1:$U$1,O$1)</f>
        <v>0</v>
      </c>
      <c r="P269" s="155">
        <f ca="1">SUMIFS('recurring2_based on steps'!$B269:$AY269,'recurring2_based on steps'!$B$1:$AY$1,P$1)+SUMIFS('changes2_based on steps'!$B269:$U269,'changes2_based on steps'!$B$1:$U$1,P$1)</f>
        <v>0</v>
      </c>
      <c r="Q269" s="155">
        <f>SUMIFS('recurring2_based on steps'!$B269:$AY269,'recurring2_based on steps'!$B$1:$AY$1,Q$1)+SUMIFS('changes2_based on steps'!$B269:$U269,'changes2_based on steps'!$B$1:$U$1,Q$1)</f>
        <v>0</v>
      </c>
      <c r="R269" s="155">
        <f ca="1">SUMIFS('recurring2_based on steps'!$B269:$AY269,'recurring2_based on steps'!$B$1:$AY$1,R$1)+SUMIFS('changes2_based on steps'!$B269:$U269,'changes2_based on steps'!$B$1:$U$1,R$1)</f>
        <v>100</v>
      </c>
      <c r="S269" s="155">
        <f ca="1">SUMIFS('recurring2_based on steps'!$B269:$AY269,'recurring2_based on steps'!$B$1:$AY$1,S$1)+SUMIFS('changes2_based on steps'!$B269:$U269,'changes2_based on steps'!$B$1:$U$1,S$1)</f>
        <v>100</v>
      </c>
      <c r="T269" s="155">
        <f>SUMIFS('recurring2_based on steps'!$B269:$AY269,'recurring2_based on steps'!$B$1:$AY$1,T$1)+SUMIFS('changes2_based on steps'!$B269:$U269,'changes2_based on steps'!$B$1:$U$1,T$1)</f>
        <v>0</v>
      </c>
      <c r="U269" s="155">
        <f ca="1">SUMIFS('recurring2_based on steps'!$B269:$AY269,'recurring2_based on steps'!$B$1:$AY$1,U$1)+SUMIFS('changes2_based on steps'!$B269:$U269,'changes2_based on steps'!$B$1:$U$1,U$1)</f>
        <v>0</v>
      </c>
      <c r="V269" s="155">
        <f>SUMIFS('recurring2_based on steps'!$B269:$AY269,'recurring2_based on steps'!$B$1:$AY$1,V$1)+SUMIFS('changes2_based on steps'!$B269:$U269,'changes2_based on steps'!$B$1:$U$1,V$1)</f>
        <v>0</v>
      </c>
      <c r="W269" s="155">
        <f ca="1">SUMIFS('recurring2_based on steps'!$B269:$AY269,'recurring2_based on steps'!$B$1:$AY$1,W$1)+SUMIFS('changes2_based on steps'!$B269:$U269,'changes2_based on steps'!$B$1:$U$1,W$1)</f>
        <v>0</v>
      </c>
      <c r="X269" s="155">
        <f ca="1">SUMIFS('recurring2_based on steps'!$B269:$AY269,'recurring2_based on steps'!$B$1:$AY$1,X$1)+SUMIFS('changes2_based on steps'!$B269:$U269,'changes2_based on steps'!$B$1:$U$1,X$1)</f>
        <v>0</v>
      </c>
      <c r="Y269" s="155">
        <f ca="1">SUMIFS('recurring2_based on steps'!$B269:$AY269,'recurring2_based on steps'!$B$1:$AY$1,Y$1)+SUMIFS('changes2_based on steps'!$B269:$U269,'changes2_based on steps'!$B$1:$U$1,Y$1)</f>
        <v>0</v>
      </c>
      <c r="Z269" s="155">
        <f>SUMIFS('recurring2_based on steps'!$B269:$AY269,'recurring2_based on steps'!$B$1:$AY$1,Z$1)+SUMIFS('changes2_based on steps'!$B269:$U269,'changes2_based on steps'!$B$1:$U$1,Z$1)</f>
        <v>0</v>
      </c>
      <c r="AA269" s="155">
        <f>SUMIFS('recurring2_based on steps'!$B269:$AY269,'recurring2_based on steps'!$B$1:$AY$1,AA$1)+SUMIFS('changes2_based on steps'!$B269:$U269,'changes2_based on steps'!$B$1:$U$1,AA$1)</f>
        <v>0</v>
      </c>
    </row>
    <row r="270" spans="1:27" x14ac:dyDescent="0.2">
      <c r="A270" s="18">
        <f t="shared" ca="1" si="4"/>
        <v>45956</v>
      </c>
      <c r="B270" s="155">
        <f ca="1">SUMIFS('recurring2_based on steps'!$B270:$AY270,'recurring2_based on steps'!$B$1:$AY$1,B$1)+SUMIFS('changes2_based on steps'!$B270:$U270,'changes2_based on steps'!$B$1:$U$1,B$1)</f>
        <v>0</v>
      </c>
      <c r="C270" s="155">
        <f>SUMIFS('recurring2_based on steps'!$B270:$AY270,'recurring2_based on steps'!$B$1:$AY$1,C$1)+SUMIFS('changes2_based on steps'!$B270:$U270,'changes2_based on steps'!$B$1:$U$1,C$1)</f>
        <v>0</v>
      </c>
      <c r="D270" s="155">
        <f>SUMIFS('recurring2_based on steps'!$B270:$AY270,'recurring2_based on steps'!$B$1:$AY$1,D$1)+SUMIFS('changes2_based on steps'!$B270:$U270,'changes2_based on steps'!$B$1:$U$1,D$1)</f>
        <v>0</v>
      </c>
      <c r="E270" s="155">
        <f>SUMIFS('recurring2_based on steps'!$B270:$AY270,'recurring2_based on steps'!$B$1:$AY$1,E$1)+SUMIFS('changes2_based on steps'!$B270:$U270,'changes2_based on steps'!$B$1:$U$1,E$1)</f>
        <v>0</v>
      </c>
      <c r="F270" s="155">
        <f>SUMIFS('recurring2_based on steps'!$B270:$AY270,'recurring2_based on steps'!$B$1:$AY$1,F$1)+SUMIFS('changes2_based on steps'!$B270:$U270,'changes2_based on steps'!$B$1:$U$1,F$1)</f>
        <v>0</v>
      </c>
      <c r="G270" s="155">
        <f>SUMIFS('recurring2_based on steps'!$B270:$AY270,'recurring2_based on steps'!$B$1:$AY$1,G$1)+SUMIFS('changes2_based on steps'!$B270:$U270,'changes2_based on steps'!$B$1:$U$1,G$1)</f>
        <v>0</v>
      </c>
      <c r="H270" s="155">
        <f ca="1">SUMIFS('recurring2_based on steps'!$B270:$AY270,'recurring2_based on steps'!$B$1:$AY$1,H$1)+SUMIFS('changes2_based on steps'!$B270:$U270,'changes2_based on steps'!$B$1:$U$1,H$1)</f>
        <v>0</v>
      </c>
      <c r="I270" s="155">
        <f>SUMIFS('recurring2_based on steps'!$B270:$AY270,'recurring2_based on steps'!$B$1:$AY$1,I$1)+SUMIFS('changes2_based on steps'!$B270:$U270,'changes2_based on steps'!$B$1:$U$1,I$1)</f>
        <v>0</v>
      </c>
      <c r="J270" s="155">
        <f>SUMIFS('recurring2_based on steps'!$B270:$AY270,'recurring2_based on steps'!$B$1:$AY$1,J$1)+SUMIFS('changes2_based on steps'!$B270:$U270,'changes2_based on steps'!$B$1:$U$1,J$1)</f>
        <v>0</v>
      </c>
      <c r="K270" s="155">
        <f>SUMIFS('recurring2_based on steps'!$B270:$AY270,'recurring2_based on steps'!$B$1:$AY$1,K$1)+SUMIFS('changes2_based on steps'!$B270:$U270,'changes2_based on steps'!$B$1:$U$1,K$1)</f>
        <v>0</v>
      </c>
      <c r="L270" s="155">
        <f>SUMIFS('recurring2_based on steps'!$B270:$AY270,'recurring2_based on steps'!$B$1:$AY$1,L$1)+SUMIFS('changes2_based on steps'!$B270:$U270,'changes2_based on steps'!$B$1:$U$1,L$1)</f>
        <v>0</v>
      </c>
      <c r="M270" s="155">
        <f ca="1">SUMIFS('recurring2_based on steps'!$B270:$AY270,'recurring2_based on steps'!$B$1:$AY$1,M$1)+SUMIFS('changes2_based on steps'!$B270:$U270,'changes2_based on steps'!$B$1:$U$1,M$1)</f>
        <v>0</v>
      </c>
      <c r="N270" s="155">
        <f ca="1">SUMIFS('recurring2_based on steps'!$B270:$AY270,'recurring2_based on steps'!$B$1:$AY$1,N$1)+SUMIFS('changes2_based on steps'!$B270:$U270,'changes2_based on steps'!$B$1:$U$1,N$1)</f>
        <v>50</v>
      </c>
      <c r="O270" s="155">
        <f ca="1">SUMIFS('recurring2_based on steps'!$B270:$AY270,'recurring2_based on steps'!$B$1:$AY$1,O$1)+SUMIFS('changes2_based on steps'!$B270:$U270,'changes2_based on steps'!$B$1:$U$1,O$1)</f>
        <v>0</v>
      </c>
      <c r="P270" s="155">
        <f ca="1">SUMIFS('recurring2_based on steps'!$B270:$AY270,'recurring2_based on steps'!$B$1:$AY$1,P$1)+SUMIFS('changes2_based on steps'!$B270:$U270,'changes2_based on steps'!$B$1:$U$1,P$1)</f>
        <v>0</v>
      </c>
      <c r="Q270" s="155">
        <f>SUMIFS('recurring2_based on steps'!$B270:$AY270,'recurring2_based on steps'!$B$1:$AY$1,Q$1)+SUMIFS('changes2_based on steps'!$B270:$U270,'changes2_based on steps'!$B$1:$U$1,Q$1)</f>
        <v>0</v>
      </c>
      <c r="R270" s="155">
        <f ca="1">SUMIFS('recurring2_based on steps'!$B270:$AY270,'recurring2_based on steps'!$B$1:$AY$1,R$1)+SUMIFS('changes2_based on steps'!$B270:$U270,'changes2_based on steps'!$B$1:$U$1,R$1)</f>
        <v>0</v>
      </c>
      <c r="S270" s="155">
        <f ca="1">SUMIFS('recurring2_based on steps'!$B270:$AY270,'recurring2_based on steps'!$B$1:$AY$1,S$1)+SUMIFS('changes2_based on steps'!$B270:$U270,'changes2_based on steps'!$B$1:$U$1,S$1)</f>
        <v>100</v>
      </c>
      <c r="T270" s="155">
        <f>SUMIFS('recurring2_based on steps'!$B270:$AY270,'recurring2_based on steps'!$B$1:$AY$1,T$1)+SUMIFS('changes2_based on steps'!$B270:$U270,'changes2_based on steps'!$B$1:$U$1,T$1)</f>
        <v>0</v>
      </c>
      <c r="U270" s="155">
        <f ca="1">SUMIFS('recurring2_based on steps'!$B270:$AY270,'recurring2_based on steps'!$B$1:$AY$1,U$1)+SUMIFS('changes2_based on steps'!$B270:$U270,'changes2_based on steps'!$B$1:$U$1,U$1)</f>
        <v>0</v>
      </c>
      <c r="V270" s="155">
        <f>SUMIFS('recurring2_based on steps'!$B270:$AY270,'recurring2_based on steps'!$B$1:$AY$1,V$1)+SUMIFS('changes2_based on steps'!$B270:$U270,'changes2_based on steps'!$B$1:$U$1,V$1)</f>
        <v>0</v>
      </c>
      <c r="W270" s="155">
        <f ca="1">SUMIFS('recurring2_based on steps'!$B270:$AY270,'recurring2_based on steps'!$B$1:$AY$1,W$1)+SUMIFS('changes2_based on steps'!$B270:$U270,'changes2_based on steps'!$B$1:$U$1,W$1)</f>
        <v>0</v>
      </c>
      <c r="X270" s="155">
        <f ca="1">SUMIFS('recurring2_based on steps'!$B270:$AY270,'recurring2_based on steps'!$B$1:$AY$1,X$1)+SUMIFS('changes2_based on steps'!$B270:$U270,'changes2_based on steps'!$B$1:$U$1,X$1)</f>
        <v>0</v>
      </c>
      <c r="Y270" s="155">
        <f ca="1">SUMIFS('recurring2_based on steps'!$B270:$AY270,'recurring2_based on steps'!$B$1:$AY$1,Y$1)+SUMIFS('changes2_based on steps'!$B270:$U270,'changes2_based on steps'!$B$1:$U$1,Y$1)</f>
        <v>0</v>
      </c>
      <c r="Z270" s="155">
        <f>SUMIFS('recurring2_based on steps'!$B270:$AY270,'recurring2_based on steps'!$B$1:$AY$1,Z$1)+SUMIFS('changes2_based on steps'!$B270:$U270,'changes2_based on steps'!$B$1:$U$1,Z$1)</f>
        <v>0</v>
      </c>
      <c r="AA270" s="155">
        <f>SUMIFS('recurring2_based on steps'!$B270:$AY270,'recurring2_based on steps'!$B$1:$AY$1,AA$1)+SUMIFS('changes2_based on steps'!$B270:$U270,'changes2_based on steps'!$B$1:$U$1,AA$1)</f>
        <v>0</v>
      </c>
    </row>
    <row r="271" spans="1:27" x14ac:dyDescent="0.2">
      <c r="A271" s="18">
        <f t="shared" ca="1" si="4"/>
        <v>45957</v>
      </c>
      <c r="B271" s="155">
        <f ca="1">SUMIFS('recurring2_based on steps'!$B271:$AY271,'recurring2_based on steps'!$B$1:$AY$1,B$1)+SUMIFS('changes2_based on steps'!$B271:$U271,'changes2_based on steps'!$B$1:$U$1,B$1)</f>
        <v>0</v>
      </c>
      <c r="C271" s="155">
        <f>SUMIFS('recurring2_based on steps'!$B271:$AY271,'recurring2_based on steps'!$B$1:$AY$1,C$1)+SUMIFS('changes2_based on steps'!$B271:$U271,'changes2_based on steps'!$B$1:$U$1,C$1)</f>
        <v>0</v>
      </c>
      <c r="D271" s="155">
        <f>SUMIFS('recurring2_based on steps'!$B271:$AY271,'recurring2_based on steps'!$B$1:$AY$1,D$1)+SUMIFS('changes2_based on steps'!$B271:$U271,'changes2_based on steps'!$B$1:$U$1,D$1)</f>
        <v>0</v>
      </c>
      <c r="E271" s="155">
        <f>SUMIFS('recurring2_based on steps'!$B271:$AY271,'recurring2_based on steps'!$B$1:$AY$1,E$1)+SUMIFS('changes2_based on steps'!$B271:$U271,'changes2_based on steps'!$B$1:$U$1,E$1)</f>
        <v>0</v>
      </c>
      <c r="F271" s="155">
        <f>SUMIFS('recurring2_based on steps'!$B271:$AY271,'recurring2_based on steps'!$B$1:$AY$1,F$1)+SUMIFS('changes2_based on steps'!$B271:$U271,'changes2_based on steps'!$B$1:$U$1,F$1)</f>
        <v>0</v>
      </c>
      <c r="G271" s="155">
        <f>SUMIFS('recurring2_based on steps'!$B271:$AY271,'recurring2_based on steps'!$B$1:$AY$1,G$1)+SUMIFS('changes2_based on steps'!$B271:$U271,'changes2_based on steps'!$B$1:$U$1,G$1)</f>
        <v>0</v>
      </c>
      <c r="H271" s="155">
        <f ca="1">SUMIFS('recurring2_based on steps'!$B271:$AY271,'recurring2_based on steps'!$B$1:$AY$1,H$1)+SUMIFS('changes2_based on steps'!$B271:$U271,'changes2_based on steps'!$B$1:$U$1,H$1)</f>
        <v>0</v>
      </c>
      <c r="I271" s="155">
        <f>SUMIFS('recurring2_based on steps'!$B271:$AY271,'recurring2_based on steps'!$B$1:$AY$1,I$1)+SUMIFS('changes2_based on steps'!$B271:$U271,'changes2_based on steps'!$B$1:$U$1,I$1)</f>
        <v>0</v>
      </c>
      <c r="J271" s="155">
        <f>SUMIFS('recurring2_based on steps'!$B271:$AY271,'recurring2_based on steps'!$B$1:$AY$1,J$1)+SUMIFS('changes2_based on steps'!$B271:$U271,'changes2_based on steps'!$B$1:$U$1,J$1)</f>
        <v>0</v>
      </c>
      <c r="K271" s="155">
        <f>SUMIFS('recurring2_based on steps'!$B271:$AY271,'recurring2_based on steps'!$B$1:$AY$1,K$1)+SUMIFS('changes2_based on steps'!$B271:$U271,'changes2_based on steps'!$B$1:$U$1,K$1)</f>
        <v>0</v>
      </c>
      <c r="L271" s="155">
        <f>SUMIFS('recurring2_based on steps'!$B271:$AY271,'recurring2_based on steps'!$B$1:$AY$1,L$1)+SUMIFS('changes2_based on steps'!$B271:$U271,'changes2_based on steps'!$B$1:$U$1,L$1)</f>
        <v>0</v>
      </c>
      <c r="M271" s="155">
        <f ca="1">SUMIFS('recurring2_based on steps'!$B271:$AY271,'recurring2_based on steps'!$B$1:$AY$1,M$1)+SUMIFS('changes2_based on steps'!$B271:$U271,'changes2_based on steps'!$B$1:$U$1,M$1)</f>
        <v>0</v>
      </c>
      <c r="N271" s="155">
        <f ca="1">SUMIFS('recurring2_based on steps'!$B271:$AY271,'recurring2_based on steps'!$B$1:$AY$1,N$1)+SUMIFS('changes2_based on steps'!$B271:$U271,'changes2_based on steps'!$B$1:$U$1,N$1)</f>
        <v>0</v>
      </c>
      <c r="O271" s="155">
        <f ca="1">SUMIFS('recurring2_based on steps'!$B271:$AY271,'recurring2_based on steps'!$B$1:$AY$1,O$1)+SUMIFS('changes2_based on steps'!$B271:$U271,'changes2_based on steps'!$B$1:$U$1,O$1)</f>
        <v>0</v>
      </c>
      <c r="P271" s="155">
        <f ca="1">SUMIFS('recurring2_based on steps'!$B271:$AY271,'recurring2_based on steps'!$B$1:$AY$1,P$1)+SUMIFS('changes2_based on steps'!$B271:$U271,'changes2_based on steps'!$B$1:$U$1,P$1)</f>
        <v>0</v>
      </c>
      <c r="Q271" s="155">
        <f>SUMIFS('recurring2_based on steps'!$B271:$AY271,'recurring2_based on steps'!$B$1:$AY$1,Q$1)+SUMIFS('changes2_based on steps'!$B271:$U271,'changes2_based on steps'!$B$1:$U$1,Q$1)</f>
        <v>0</v>
      </c>
      <c r="R271" s="155">
        <f ca="1">SUMIFS('recurring2_based on steps'!$B271:$AY271,'recurring2_based on steps'!$B$1:$AY$1,R$1)+SUMIFS('changes2_based on steps'!$B271:$U271,'changes2_based on steps'!$B$1:$U$1,R$1)</f>
        <v>0</v>
      </c>
      <c r="S271" s="155">
        <f ca="1">SUMIFS('recurring2_based on steps'!$B271:$AY271,'recurring2_based on steps'!$B$1:$AY$1,S$1)+SUMIFS('changes2_based on steps'!$B271:$U271,'changes2_based on steps'!$B$1:$U$1,S$1)</f>
        <v>0</v>
      </c>
      <c r="T271" s="155">
        <f>SUMIFS('recurring2_based on steps'!$B271:$AY271,'recurring2_based on steps'!$B$1:$AY$1,T$1)+SUMIFS('changes2_based on steps'!$B271:$U271,'changes2_based on steps'!$B$1:$U$1,T$1)</f>
        <v>0</v>
      </c>
      <c r="U271" s="155">
        <f ca="1">SUMIFS('recurring2_based on steps'!$B271:$AY271,'recurring2_based on steps'!$B$1:$AY$1,U$1)+SUMIFS('changes2_based on steps'!$B271:$U271,'changes2_based on steps'!$B$1:$U$1,U$1)</f>
        <v>2.99</v>
      </c>
      <c r="V271" s="155">
        <f>SUMIFS('recurring2_based on steps'!$B271:$AY271,'recurring2_based on steps'!$B$1:$AY$1,V$1)+SUMIFS('changes2_based on steps'!$B271:$U271,'changes2_based on steps'!$B$1:$U$1,V$1)</f>
        <v>0</v>
      </c>
      <c r="W271" s="155">
        <f ca="1">SUMIFS('recurring2_based on steps'!$B271:$AY271,'recurring2_based on steps'!$B$1:$AY$1,W$1)+SUMIFS('changes2_based on steps'!$B271:$U271,'changes2_based on steps'!$B$1:$U$1,W$1)</f>
        <v>0</v>
      </c>
      <c r="X271" s="155">
        <f ca="1">SUMIFS('recurring2_based on steps'!$B271:$AY271,'recurring2_based on steps'!$B$1:$AY$1,X$1)+SUMIFS('changes2_based on steps'!$B271:$U271,'changes2_based on steps'!$B$1:$U$1,X$1)</f>
        <v>0</v>
      </c>
      <c r="Y271" s="155">
        <f ca="1">SUMIFS('recurring2_based on steps'!$B271:$AY271,'recurring2_based on steps'!$B$1:$AY$1,Y$1)+SUMIFS('changes2_based on steps'!$B271:$U271,'changes2_based on steps'!$B$1:$U$1,Y$1)</f>
        <v>0</v>
      </c>
      <c r="Z271" s="155">
        <f>SUMIFS('recurring2_based on steps'!$B271:$AY271,'recurring2_based on steps'!$B$1:$AY$1,Z$1)+SUMIFS('changes2_based on steps'!$B271:$U271,'changes2_based on steps'!$B$1:$U$1,Z$1)</f>
        <v>0</v>
      </c>
      <c r="AA271" s="155">
        <f>SUMIFS('recurring2_based on steps'!$B271:$AY271,'recurring2_based on steps'!$B$1:$AY$1,AA$1)+SUMIFS('changes2_based on steps'!$B271:$U271,'changes2_based on steps'!$B$1:$U$1,AA$1)</f>
        <v>0</v>
      </c>
    </row>
    <row r="272" spans="1:27" x14ac:dyDescent="0.2">
      <c r="A272" s="18">
        <f t="shared" ca="1" si="4"/>
        <v>45958</v>
      </c>
      <c r="B272" s="155">
        <f ca="1">SUMIFS('recurring2_based on steps'!$B272:$AY272,'recurring2_based on steps'!$B$1:$AY$1,B$1)+SUMIFS('changes2_based on steps'!$B272:$U272,'changes2_based on steps'!$B$1:$U$1,B$1)</f>
        <v>0</v>
      </c>
      <c r="C272" s="155">
        <f>SUMIFS('recurring2_based on steps'!$B272:$AY272,'recurring2_based on steps'!$B$1:$AY$1,C$1)+SUMIFS('changes2_based on steps'!$B272:$U272,'changes2_based on steps'!$B$1:$U$1,C$1)</f>
        <v>0</v>
      </c>
      <c r="D272" s="155">
        <f>SUMIFS('recurring2_based on steps'!$B272:$AY272,'recurring2_based on steps'!$B$1:$AY$1,D$1)+SUMIFS('changes2_based on steps'!$B272:$U272,'changes2_based on steps'!$B$1:$U$1,D$1)</f>
        <v>0</v>
      </c>
      <c r="E272" s="155">
        <f>SUMIFS('recurring2_based on steps'!$B272:$AY272,'recurring2_based on steps'!$B$1:$AY$1,E$1)+SUMIFS('changes2_based on steps'!$B272:$U272,'changes2_based on steps'!$B$1:$U$1,E$1)</f>
        <v>0</v>
      </c>
      <c r="F272" s="155">
        <f>SUMIFS('recurring2_based on steps'!$B272:$AY272,'recurring2_based on steps'!$B$1:$AY$1,F$1)+SUMIFS('changes2_based on steps'!$B272:$U272,'changes2_based on steps'!$B$1:$U$1,F$1)</f>
        <v>0</v>
      </c>
      <c r="G272" s="155">
        <f>SUMIFS('recurring2_based on steps'!$B272:$AY272,'recurring2_based on steps'!$B$1:$AY$1,G$1)+SUMIFS('changes2_based on steps'!$B272:$U272,'changes2_based on steps'!$B$1:$U$1,G$1)</f>
        <v>0</v>
      </c>
      <c r="H272" s="155">
        <f ca="1">SUMIFS('recurring2_based on steps'!$B272:$AY272,'recurring2_based on steps'!$B$1:$AY$1,H$1)+SUMIFS('changes2_based on steps'!$B272:$U272,'changes2_based on steps'!$B$1:$U$1,H$1)</f>
        <v>0</v>
      </c>
      <c r="I272" s="155">
        <f>SUMIFS('recurring2_based on steps'!$B272:$AY272,'recurring2_based on steps'!$B$1:$AY$1,I$1)+SUMIFS('changes2_based on steps'!$B272:$U272,'changes2_based on steps'!$B$1:$U$1,I$1)</f>
        <v>0</v>
      </c>
      <c r="J272" s="155">
        <f>SUMIFS('recurring2_based on steps'!$B272:$AY272,'recurring2_based on steps'!$B$1:$AY$1,J$1)+SUMIFS('changes2_based on steps'!$B272:$U272,'changes2_based on steps'!$B$1:$U$1,J$1)</f>
        <v>0</v>
      </c>
      <c r="K272" s="155">
        <f>SUMIFS('recurring2_based on steps'!$B272:$AY272,'recurring2_based on steps'!$B$1:$AY$1,K$1)+SUMIFS('changes2_based on steps'!$B272:$U272,'changes2_based on steps'!$B$1:$U$1,K$1)</f>
        <v>0</v>
      </c>
      <c r="L272" s="155">
        <f>SUMIFS('recurring2_based on steps'!$B272:$AY272,'recurring2_based on steps'!$B$1:$AY$1,L$1)+SUMIFS('changes2_based on steps'!$B272:$U272,'changes2_based on steps'!$B$1:$U$1,L$1)</f>
        <v>0</v>
      </c>
      <c r="M272" s="155">
        <f ca="1">SUMIFS('recurring2_based on steps'!$B272:$AY272,'recurring2_based on steps'!$B$1:$AY$1,M$1)+SUMIFS('changes2_based on steps'!$B272:$U272,'changes2_based on steps'!$B$1:$U$1,M$1)</f>
        <v>40</v>
      </c>
      <c r="N272" s="155">
        <f ca="1">SUMIFS('recurring2_based on steps'!$B272:$AY272,'recurring2_based on steps'!$B$1:$AY$1,N$1)+SUMIFS('changes2_based on steps'!$B272:$U272,'changes2_based on steps'!$B$1:$U$1,N$1)</f>
        <v>0</v>
      </c>
      <c r="O272" s="155">
        <f ca="1">SUMIFS('recurring2_based on steps'!$B272:$AY272,'recurring2_based on steps'!$B$1:$AY$1,O$1)+SUMIFS('changes2_based on steps'!$B272:$U272,'changes2_based on steps'!$B$1:$U$1,O$1)</f>
        <v>0</v>
      </c>
      <c r="P272" s="155">
        <f ca="1">SUMIFS('recurring2_based on steps'!$B272:$AY272,'recurring2_based on steps'!$B$1:$AY$1,P$1)+SUMIFS('changes2_based on steps'!$B272:$U272,'changes2_based on steps'!$B$1:$U$1,P$1)</f>
        <v>0</v>
      </c>
      <c r="Q272" s="155">
        <f>SUMIFS('recurring2_based on steps'!$B272:$AY272,'recurring2_based on steps'!$B$1:$AY$1,Q$1)+SUMIFS('changes2_based on steps'!$B272:$U272,'changes2_based on steps'!$B$1:$U$1,Q$1)</f>
        <v>0</v>
      </c>
      <c r="R272" s="155">
        <f ca="1">SUMIFS('recurring2_based on steps'!$B272:$AY272,'recurring2_based on steps'!$B$1:$AY$1,R$1)+SUMIFS('changes2_based on steps'!$B272:$U272,'changes2_based on steps'!$B$1:$U$1,R$1)</f>
        <v>0</v>
      </c>
      <c r="S272" s="155">
        <f ca="1">SUMIFS('recurring2_based on steps'!$B272:$AY272,'recurring2_based on steps'!$B$1:$AY$1,S$1)+SUMIFS('changes2_based on steps'!$B272:$U272,'changes2_based on steps'!$B$1:$U$1,S$1)</f>
        <v>0</v>
      </c>
      <c r="T272" s="155">
        <f>SUMIFS('recurring2_based on steps'!$B272:$AY272,'recurring2_based on steps'!$B$1:$AY$1,T$1)+SUMIFS('changes2_based on steps'!$B272:$U272,'changes2_based on steps'!$B$1:$U$1,T$1)</f>
        <v>0</v>
      </c>
      <c r="U272" s="155">
        <f ca="1">SUMIFS('recurring2_based on steps'!$B272:$AY272,'recurring2_based on steps'!$B$1:$AY$1,U$1)+SUMIFS('changes2_based on steps'!$B272:$U272,'changes2_based on steps'!$B$1:$U$1,U$1)</f>
        <v>0</v>
      </c>
      <c r="V272" s="155">
        <f>SUMIFS('recurring2_based on steps'!$B272:$AY272,'recurring2_based on steps'!$B$1:$AY$1,V$1)+SUMIFS('changes2_based on steps'!$B272:$U272,'changes2_based on steps'!$B$1:$U$1,V$1)</f>
        <v>0</v>
      </c>
      <c r="W272" s="155">
        <f ca="1">SUMIFS('recurring2_based on steps'!$B272:$AY272,'recurring2_based on steps'!$B$1:$AY$1,W$1)+SUMIFS('changes2_based on steps'!$B272:$U272,'changes2_based on steps'!$B$1:$U$1,W$1)</f>
        <v>0</v>
      </c>
      <c r="X272" s="155">
        <f ca="1">SUMIFS('recurring2_based on steps'!$B272:$AY272,'recurring2_based on steps'!$B$1:$AY$1,X$1)+SUMIFS('changes2_based on steps'!$B272:$U272,'changes2_based on steps'!$B$1:$U$1,X$1)</f>
        <v>0</v>
      </c>
      <c r="Y272" s="155">
        <f ca="1">SUMIFS('recurring2_based on steps'!$B272:$AY272,'recurring2_based on steps'!$B$1:$AY$1,Y$1)+SUMIFS('changes2_based on steps'!$B272:$U272,'changes2_based on steps'!$B$1:$U$1,Y$1)</f>
        <v>100</v>
      </c>
      <c r="Z272" s="155">
        <f>SUMIFS('recurring2_based on steps'!$B272:$AY272,'recurring2_based on steps'!$B$1:$AY$1,Z$1)+SUMIFS('changes2_based on steps'!$B272:$U272,'changes2_based on steps'!$B$1:$U$1,Z$1)</f>
        <v>0</v>
      </c>
      <c r="AA272" s="155">
        <f>SUMIFS('recurring2_based on steps'!$B272:$AY272,'recurring2_based on steps'!$B$1:$AY$1,AA$1)+SUMIFS('changes2_based on steps'!$B272:$U272,'changes2_based on steps'!$B$1:$U$1,AA$1)</f>
        <v>0</v>
      </c>
    </row>
    <row r="273" spans="1:27" x14ac:dyDescent="0.2">
      <c r="A273" s="18">
        <f t="shared" ca="1" si="4"/>
        <v>45959</v>
      </c>
      <c r="B273" s="155">
        <f ca="1">SUMIFS('recurring2_based on steps'!$B273:$AY273,'recurring2_based on steps'!$B$1:$AY$1,B$1)+SUMIFS('changes2_based on steps'!$B273:$U273,'changes2_based on steps'!$B$1:$U$1,B$1)</f>
        <v>0</v>
      </c>
      <c r="C273" s="155">
        <f>SUMIFS('recurring2_based on steps'!$B273:$AY273,'recurring2_based on steps'!$B$1:$AY$1,C$1)+SUMIFS('changes2_based on steps'!$B273:$U273,'changes2_based on steps'!$B$1:$U$1,C$1)</f>
        <v>0</v>
      </c>
      <c r="D273" s="155">
        <f>SUMIFS('recurring2_based on steps'!$B273:$AY273,'recurring2_based on steps'!$B$1:$AY$1,D$1)+SUMIFS('changes2_based on steps'!$B273:$U273,'changes2_based on steps'!$B$1:$U$1,D$1)</f>
        <v>0</v>
      </c>
      <c r="E273" s="155">
        <f>SUMIFS('recurring2_based on steps'!$B273:$AY273,'recurring2_based on steps'!$B$1:$AY$1,E$1)+SUMIFS('changes2_based on steps'!$B273:$U273,'changes2_based on steps'!$B$1:$U$1,E$1)</f>
        <v>0</v>
      </c>
      <c r="F273" s="155">
        <f>SUMIFS('recurring2_based on steps'!$B273:$AY273,'recurring2_based on steps'!$B$1:$AY$1,F$1)+SUMIFS('changes2_based on steps'!$B273:$U273,'changes2_based on steps'!$B$1:$U$1,F$1)</f>
        <v>0</v>
      </c>
      <c r="G273" s="155">
        <f>SUMIFS('recurring2_based on steps'!$B273:$AY273,'recurring2_based on steps'!$B$1:$AY$1,G$1)+SUMIFS('changes2_based on steps'!$B273:$U273,'changes2_based on steps'!$B$1:$U$1,G$1)</f>
        <v>0</v>
      </c>
      <c r="H273" s="155">
        <f ca="1">SUMIFS('recurring2_based on steps'!$B273:$AY273,'recurring2_based on steps'!$B$1:$AY$1,H$1)+SUMIFS('changes2_based on steps'!$B273:$U273,'changes2_based on steps'!$B$1:$U$1,H$1)</f>
        <v>0</v>
      </c>
      <c r="I273" s="155">
        <f>SUMIFS('recurring2_based on steps'!$B273:$AY273,'recurring2_based on steps'!$B$1:$AY$1,I$1)+SUMIFS('changes2_based on steps'!$B273:$U273,'changes2_based on steps'!$B$1:$U$1,I$1)</f>
        <v>0</v>
      </c>
      <c r="J273" s="155">
        <f>SUMIFS('recurring2_based on steps'!$B273:$AY273,'recurring2_based on steps'!$B$1:$AY$1,J$1)+SUMIFS('changes2_based on steps'!$B273:$U273,'changes2_based on steps'!$B$1:$U$1,J$1)</f>
        <v>0</v>
      </c>
      <c r="K273" s="155">
        <f>SUMIFS('recurring2_based on steps'!$B273:$AY273,'recurring2_based on steps'!$B$1:$AY$1,K$1)+SUMIFS('changes2_based on steps'!$B273:$U273,'changes2_based on steps'!$B$1:$U$1,K$1)</f>
        <v>0</v>
      </c>
      <c r="L273" s="155">
        <f>SUMIFS('recurring2_based on steps'!$B273:$AY273,'recurring2_based on steps'!$B$1:$AY$1,L$1)+SUMIFS('changes2_based on steps'!$B273:$U273,'changes2_based on steps'!$B$1:$U$1,L$1)</f>
        <v>0</v>
      </c>
      <c r="M273" s="155">
        <f ca="1">SUMIFS('recurring2_based on steps'!$B273:$AY273,'recurring2_based on steps'!$B$1:$AY$1,M$1)+SUMIFS('changes2_based on steps'!$B273:$U273,'changes2_based on steps'!$B$1:$U$1,M$1)</f>
        <v>0</v>
      </c>
      <c r="N273" s="155">
        <f ca="1">SUMIFS('recurring2_based on steps'!$B273:$AY273,'recurring2_based on steps'!$B$1:$AY$1,N$1)+SUMIFS('changes2_based on steps'!$B273:$U273,'changes2_based on steps'!$B$1:$U$1,N$1)</f>
        <v>0</v>
      </c>
      <c r="O273" s="155">
        <f ca="1">SUMIFS('recurring2_based on steps'!$B273:$AY273,'recurring2_based on steps'!$B$1:$AY$1,O$1)+SUMIFS('changes2_based on steps'!$B273:$U273,'changes2_based on steps'!$B$1:$U$1,O$1)</f>
        <v>0</v>
      </c>
      <c r="P273" s="155">
        <f ca="1">SUMIFS('recurring2_based on steps'!$B273:$AY273,'recurring2_based on steps'!$B$1:$AY$1,P$1)+SUMIFS('changes2_based on steps'!$B273:$U273,'changes2_based on steps'!$B$1:$U$1,P$1)</f>
        <v>0</v>
      </c>
      <c r="Q273" s="155">
        <f>SUMIFS('recurring2_based on steps'!$B273:$AY273,'recurring2_based on steps'!$B$1:$AY$1,Q$1)+SUMIFS('changes2_based on steps'!$B273:$U273,'changes2_based on steps'!$B$1:$U$1,Q$1)</f>
        <v>0</v>
      </c>
      <c r="R273" s="155">
        <f ca="1">SUMIFS('recurring2_based on steps'!$B273:$AY273,'recurring2_based on steps'!$B$1:$AY$1,R$1)+SUMIFS('changes2_based on steps'!$B273:$U273,'changes2_based on steps'!$B$1:$U$1,R$1)</f>
        <v>0</v>
      </c>
      <c r="S273" s="155">
        <f ca="1">SUMIFS('recurring2_based on steps'!$B273:$AY273,'recurring2_based on steps'!$B$1:$AY$1,S$1)+SUMIFS('changes2_based on steps'!$B273:$U273,'changes2_based on steps'!$B$1:$U$1,S$1)</f>
        <v>0</v>
      </c>
      <c r="T273" s="155">
        <f>SUMIFS('recurring2_based on steps'!$B273:$AY273,'recurring2_based on steps'!$B$1:$AY$1,T$1)+SUMIFS('changes2_based on steps'!$B273:$U273,'changes2_based on steps'!$B$1:$U$1,T$1)</f>
        <v>0</v>
      </c>
      <c r="U273" s="155">
        <f ca="1">SUMIFS('recurring2_based on steps'!$B273:$AY273,'recurring2_based on steps'!$B$1:$AY$1,U$1)+SUMIFS('changes2_based on steps'!$B273:$U273,'changes2_based on steps'!$B$1:$U$1,U$1)</f>
        <v>0</v>
      </c>
      <c r="V273" s="155">
        <f>SUMIFS('recurring2_based on steps'!$B273:$AY273,'recurring2_based on steps'!$B$1:$AY$1,V$1)+SUMIFS('changes2_based on steps'!$B273:$U273,'changes2_based on steps'!$B$1:$U$1,V$1)</f>
        <v>0</v>
      </c>
      <c r="W273" s="155">
        <f ca="1">SUMIFS('recurring2_based on steps'!$B273:$AY273,'recurring2_based on steps'!$B$1:$AY$1,W$1)+SUMIFS('changes2_based on steps'!$B273:$U273,'changes2_based on steps'!$B$1:$U$1,W$1)</f>
        <v>0</v>
      </c>
      <c r="X273" s="155">
        <f ca="1">SUMIFS('recurring2_based on steps'!$B273:$AY273,'recurring2_based on steps'!$B$1:$AY$1,X$1)+SUMIFS('changes2_based on steps'!$B273:$U273,'changes2_based on steps'!$B$1:$U$1,X$1)</f>
        <v>0</v>
      </c>
      <c r="Y273" s="155">
        <f ca="1">SUMIFS('recurring2_based on steps'!$B273:$AY273,'recurring2_based on steps'!$B$1:$AY$1,Y$1)+SUMIFS('changes2_based on steps'!$B273:$U273,'changes2_based on steps'!$B$1:$U$1,Y$1)</f>
        <v>0</v>
      </c>
      <c r="Z273" s="155">
        <f>SUMIFS('recurring2_based on steps'!$B273:$AY273,'recurring2_based on steps'!$B$1:$AY$1,Z$1)+SUMIFS('changes2_based on steps'!$B273:$U273,'changes2_based on steps'!$B$1:$U$1,Z$1)</f>
        <v>0</v>
      </c>
      <c r="AA273" s="155">
        <f>SUMIFS('recurring2_based on steps'!$B273:$AY273,'recurring2_based on steps'!$B$1:$AY$1,AA$1)+SUMIFS('changes2_based on steps'!$B273:$U273,'changes2_based on steps'!$B$1:$U$1,AA$1)</f>
        <v>0</v>
      </c>
    </row>
    <row r="274" spans="1:27" x14ac:dyDescent="0.2">
      <c r="A274" s="18">
        <f t="shared" ca="1" si="4"/>
        <v>45960</v>
      </c>
      <c r="B274" s="155">
        <f ca="1">SUMIFS('recurring2_based on steps'!$B274:$AY274,'recurring2_based on steps'!$B$1:$AY$1,B$1)+SUMIFS('changes2_based on steps'!$B274:$U274,'changes2_based on steps'!$B$1:$U$1,B$1)</f>
        <v>0</v>
      </c>
      <c r="C274" s="155">
        <f>SUMIFS('recurring2_based on steps'!$B274:$AY274,'recurring2_based on steps'!$B$1:$AY$1,C$1)+SUMIFS('changes2_based on steps'!$B274:$U274,'changes2_based on steps'!$B$1:$U$1,C$1)</f>
        <v>0</v>
      </c>
      <c r="D274" s="155">
        <f>SUMIFS('recurring2_based on steps'!$B274:$AY274,'recurring2_based on steps'!$B$1:$AY$1,D$1)+SUMIFS('changes2_based on steps'!$B274:$U274,'changes2_based on steps'!$B$1:$U$1,D$1)</f>
        <v>0</v>
      </c>
      <c r="E274" s="155">
        <f>SUMIFS('recurring2_based on steps'!$B274:$AY274,'recurring2_based on steps'!$B$1:$AY$1,E$1)+SUMIFS('changes2_based on steps'!$B274:$U274,'changes2_based on steps'!$B$1:$U$1,E$1)</f>
        <v>0</v>
      </c>
      <c r="F274" s="155">
        <f>SUMIFS('recurring2_based on steps'!$B274:$AY274,'recurring2_based on steps'!$B$1:$AY$1,F$1)+SUMIFS('changes2_based on steps'!$B274:$U274,'changes2_based on steps'!$B$1:$U$1,F$1)</f>
        <v>0</v>
      </c>
      <c r="G274" s="155">
        <f>SUMIFS('recurring2_based on steps'!$B274:$AY274,'recurring2_based on steps'!$B$1:$AY$1,G$1)+SUMIFS('changes2_based on steps'!$B274:$U274,'changes2_based on steps'!$B$1:$U$1,G$1)</f>
        <v>0</v>
      </c>
      <c r="H274" s="155">
        <f ca="1">SUMIFS('recurring2_based on steps'!$B274:$AY274,'recurring2_based on steps'!$B$1:$AY$1,H$1)+SUMIFS('changes2_based on steps'!$B274:$U274,'changes2_based on steps'!$B$1:$U$1,H$1)</f>
        <v>0</v>
      </c>
      <c r="I274" s="155">
        <f>SUMIFS('recurring2_based on steps'!$B274:$AY274,'recurring2_based on steps'!$B$1:$AY$1,I$1)+SUMIFS('changes2_based on steps'!$B274:$U274,'changes2_based on steps'!$B$1:$U$1,I$1)</f>
        <v>0</v>
      </c>
      <c r="J274" s="155">
        <f>SUMIFS('recurring2_based on steps'!$B274:$AY274,'recurring2_based on steps'!$B$1:$AY$1,J$1)+SUMIFS('changes2_based on steps'!$B274:$U274,'changes2_based on steps'!$B$1:$U$1,J$1)</f>
        <v>0</v>
      </c>
      <c r="K274" s="155">
        <f>SUMIFS('recurring2_based on steps'!$B274:$AY274,'recurring2_based on steps'!$B$1:$AY$1,K$1)+SUMIFS('changes2_based on steps'!$B274:$U274,'changes2_based on steps'!$B$1:$U$1,K$1)</f>
        <v>0</v>
      </c>
      <c r="L274" s="155">
        <f>SUMIFS('recurring2_based on steps'!$B274:$AY274,'recurring2_based on steps'!$B$1:$AY$1,L$1)+SUMIFS('changes2_based on steps'!$B274:$U274,'changes2_based on steps'!$B$1:$U$1,L$1)</f>
        <v>0</v>
      </c>
      <c r="M274" s="155">
        <f ca="1">SUMIFS('recurring2_based on steps'!$B274:$AY274,'recurring2_based on steps'!$B$1:$AY$1,M$1)+SUMIFS('changes2_based on steps'!$B274:$U274,'changes2_based on steps'!$B$1:$U$1,M$1)</f>
        <v>0</v>
      </c>
      <c r="N274" s="155">
        <f ca="1">SUMIFS('recurring2_based on steps'!$B274:$AY274,'recurring2_based on steps'!$B$1:$AY$1,N$1)+SUMIFS('changes2_based on steps'!$B274:$U274,'changes2_based on steps'!$B$1:$U$1,N$1)</f>
        <v>0</v>
      </c>
      <c r="O274" s="155">
        <f ca="1">SUMIFS('recurring2_based on steps'!$B274:$AY274,'recurring2_based on steps'!$B$1:$AY$1,O$1)+SUMIFS('changes2_based on steps'!$B274:$U274,'changes2_based on steps'!$B$1:$U$1,O$1)</f>
        <v>0</v>
      </c>
      <c r="P274" s="155">
        <f ca="1">SUMIFS('recurring2_based on steps'!$B274:$AY274,'recurring2_based on steps'!$B$1:$AY$1,P$1)+SUMIFS('changes2_based on steps'!$B274:$U274,'changes2_based on steps'!$B$1:$U$1,P$1)</f>
        <v>0</v>
      </c>
      <c r="Q274" s="155">
        <f>SUMIFS('recurring2_based on steps'!$B274:$AY274,'recurring2_based on steps'!$B$1:$AY$1,Q$1)+SUMIFS('changes2_based on steps'!$B274:$U274,'changes2_based on steps'!$B$1:$U$1,Q$1)</f>
        <v>0</v>
      </c>
      <c r="R274" s="155">
        <f ca="1">SUMIFS('recurring2_based on steps'!$B274:$AY274,'recurring2_based on steps'!$B$1:$AY$1,R$1)+SUMIFS('changes2_based on steps'!$B274:$U274,'changes2_based on steps'!$B$1:$U$1,R$1)</f>
        <v>0</v>
      </c>
      <c r="S274" s="155">
        <f ca="1">SUMIFS('recurring2_based on steps'!$B274:$AY274,'recurring2_based on steps'!$B$1:$AY$1,S$1)+SUMIFS('changes2_based on steps'!$B274:$U274,'changes2_based on steps'!$B$1:$U$1,S$1)</f>
        <v>0</v>
      </c>
      <c r="T274" s="155">
        <f>SUMIFS('recurring2_based on steps'!$B274:$AY274,'recurring2_based on steps'!$B$1:$AY$1,T$1)+SUMIFS('changes2_based on steps'!$B274:$U274,'changes2_based on steps'!$B$1:$U$1,T$1)</f>
        <v>0</v>
      </c>
      <c r="U274" s="155">
        <f ca="1">SUMIFS('recurring2_based on steps'!$B274:$AY274,'recurring2_based on steps'!$B$1:$AY$1,U$1)+SUMIFS('changes2_based on steps'!$B274:$U274,'changes2_based on steps'!$B$1:$U$1,U$1)</f>
        <v>0</v>
      </c>
      <c r="V274" s="155">
        <f>SUMIFS('recurring2_based on steps'!$B274:$AY274,'recurring2_based on steps'!$B$1:$AY$1,V$1)+SUMIFS('changes2_based on steps'!$B274:$U274,'changes2_based on steps'!$B$1:$U$1,V$1)</f>
        <v>0</v>
      </c>
      <c r="W274" s="155">
        <f ca="1">SUMIFS('recurring2_based on steps'!$B274:$AY274,'recurring2_based on steps'!$B$1:$AY$1,W$1)+SUMIFS('changes2_based on steps'!$B274:$U274,'changes2_based on steps'!$B$1:$U$1,W$1)</f>
        <v>0</v>
      </c>
      <c r="X274" s="155">
        <f ca="1">SUMIFS('recurring2_based on steps'!$B274:$AY274,'recurring2_based on steps'!$B$1:$AY$1,X$1)+SUMIFS('changes2_based on steps'!$B274:$U274,'changes2_based on steps'!$B$1:$U$1,X$1)</f>
        <v>0</v>
      </c>
      <c r="Y274" s="155">
        <f ca="1">SUMIFS('recurring2_based on steps'!$B274:$AY274,'recurring2_based on steps'!$B$1:$AY$1,Y$1)+SUMIFS('changes2_based on steps'!$B274:$U274,'changes2_based on steps'!$B$1:$U$1,Y$1)</f>
        <v>0</v>
      </c>
      <c r="Z274" s="155">
        <f>SUMIFS('recurring2_based on steps'!$B274:$AY274,'recurring2_based on steps'!$B$1:$AY$1,Z$1)+SUMIFS('changes2_based on steps'!$B274:$U274,'changes2_based on steps'!$B$1:$U$1,Z$1)</f>
        <v>0</v>
      </c>
      <c r="AA274" s="155">
        <f>SUMIFS('recurring2_based on steps'!$B274:$AY274,'recurring2_based on steps'!$B$1:$AY$1,AA$1)+SUMIFS('changes2_based on steps'!$B274:$U274,'changes2_based on steps'!$B$1:$U$1,AA$1)</f>
        <v>0</v>
      </c>
    </row>
    <row r="275" spans="1:27" x14ac:dyDescent="0.2">
      <c r="A275" s="18">
        <f t="shared" ca="1" si="4"/>
        <v>45961</v>
      </c>
      <c r="B275" s="155">
        <f ca="1">SUMIFS('recurring2_based on steps'!$B275:$AY275,'recurring2_based on steps'!$B$1:$AY$1,B$1)+SUMIFS('changes2_based on steps'!$B275:$U275,'changes2_based on steps'!$B$1:$U$1,B$1)</f>
        <v>4000</v>
      </c>
      <c r="C275" s="155">
        <f>SUMIFS('recurring2_based on steps'!$B275:$AY275,'recurring2_based on steps'!$B$1:$AY$1,C$1)+SUMIFS('changes2_based on steps'!$B275:$U275,'changes2_based on steps'!$B$1:$U$1,C$1)</f>
        <v>0</v>
      </c>
      <c r="D275" s="155">
        <f>SUMIFS('recurring2_based on steps'!$B275:$AY275,'recurring2_based on steps'!$B$1:$AY$1,D$1)+SUMIFS('changes2_based on steps'!$B275:$U275,'changes2_based on steps'!$B$1:$U$1,D$1)</f>
        <v>0</v>
      </c>
      <c r="E275" s="155">
        <f>SUMIFS('recurring2_based on steps'!$B275:$AY275,'recurring2_based on steps'!$B$1:$AY$1,E$1)+SUMIFS('changes2_based on steps'!$B275:$U275,'changes2_based on steps'!$B$1:$U$1,E$1)</f>
        <v>0</v>
      </c>
      <c r="F275" s="155">
        <f>SUMIFS('recurring2_based on steps'!$B275:$AY275,'recurring2_based on steps'!$B$1:$AY$1,F$1)+SUMIFS('changes2_based on steps'!$B275:$U275,'changes2_based on steps'!$B$1:$U$1,F$1)</f>
        <v>0</v>
      </c>
      <c r="G275" s="155">
        <f>SUMIFS('recurring2_based on steps'!$B275:$AY275,'recurring2_based on steps'!$B$1:$AY$1,G$1)+SUMIFS('changes2_based on steps'!$B275:$U275,'changes2_based on steps'!$B$1:$U$1,G$1)</f>
        <v>0</v>
      </c>
      <c r="H275" s="155">
        <f ca="1">SUMIFS('recurring2_based on steps'!$B275:$AY275,'recurring2_based on steps'!$B$1:$AY$1,H$1)+SUMIFS('changes2_based on steps'!$B275:$U275,'changes2_based on steps'!$B$1:$U$1,H$1)</f>
        <v>96</v>
      </c>
      <c r="I275" s="155">
        <f>SUMIFS('recurring2_based on steps'!$B275:$AY275,'recurring2_based on steps'!$B$1:$AY$1,I$1)+SUMIFS('changes2_based on steps'!$B275:$U275,'changes2_based on steps'!$B$1:$U$1,I$1)</f>
        <v>0</v>
      </c>
      <c r="J275" s="155">
        <f>SUMIFS('recurring2_based on steps'!$B275:$AY275,'recurring2_based on steps'!$B$1:$AY$1,J$1)+SUMIFS('changes2_based on steps'!$B275:$U275,'changes2_based on steps'!$B$1:$U$1,J$1)</f>
        <v>0</v>
      </c>
      <c r="K275" s="155">
        <f>SUMIFS('recurring2_based on steps'!$B275:$AY275,'recurring2_based on steps'!$B$1:$AY$1,K$1)+SUMIFS('changes2_based on steps'!$B275:$U275,'changes2_based on steps'!$B$1:$U$1,K$1)</f>
        <v>0</v>
      </c>
      <c r="L275" s="155">
        <f>SUMIFS('recurring2_based on steps'!$B275:$AY275,'recurring2_based on steps'!$B$1:$AY$1,L$1)+SUMIFS('changes2_based on steps'!$B275:$U275,'changes2_based on steps'!$B$1:$U$1,L$1)</f>
        <v>0</v>
      </c>
      <c r="M275" s="155">
        <f ca="1">SUMIFS('recurring2_based on steps'!$B275:$AY275,'recurring2_based on steps'!$B$1:$AY$1,M$1)+SUMIFS('changes2_based on steps'!$B275:$U275,'changes2_based on steps'!$B$1:$U$1,M$1)</f>
        <v>50</v>
      </c>
      <c r="N275" s="155">
        <f ca="1">SUMIFS('recurring2_based on steps'!$B275:$AY275,'recurring2_based on steps'!$B$1:$AY$1,N$1)+SUMIFS('changes2_based on steps'!$B275:$U275,'changes2_based on steps'!$B$1:$U$1,N$1)</f>
        <v>0</v>
      </c>
      <c r="O275" s="155">
        <f ca="1">SUMIFS('recurring2_based on steps'!$B275:$AY275,'recurring2_based on steps'!$B$1:$AY$1,O$1)+SUMIFS('changes2_based on steps'!$B275:$U275,'changes2_based on steps'!$B$1:$U$1,O$1)</f>
        <v>0</v>
      </c>
      <c r="P275" s="155">
        <f ca="1">SUMIFS('recurring2_based on steps'!$B275:$AY275,'recurring2_based on steps'!$B$1:$AY$1,P$1)+SUMIFS('changes2_based on steps'!$B275:$U275,'changes2_based on steps'!$B$1:$U$1,P$1)</f>
        <v>0</v>
      </c>
      <c r="Q275" s="155">
        <f>SUMIFS('recurring2_based on steps'!$B275:$AY275,'recurring2_based on steps'!$B$1:$AY$1,Q$1)+SUMIFS('changes2_based on steps'!$B275:$U275,'changes2_based on steps'!$B$1:$U$1,Q$1)</f>
        <v>0</v>
      </c>
      <c r="R275" s="155">
        <f ca="1">SUMIFS('recurring2_based on steps'!$B275:$AY275,'recurring2_based on steps'!$B$1:$AY$1,R$1)+SUMIFS('changes2_based on steps'!$B275:$U275,'changes2_based on steps'!$B$1:$U$1,R$1)</f>
        <v>0</v>
      </c>
      <c r="S275" s="155">
        <f ca="1">SUMIFS('recurring2_based on steps'!$B275:$AY275,'recurring2_based on steps'!$B$1:$AY$1,S$1)+SUMIFS('changes2_based on steps'!$B275:$U275,'changes2_based on steps'!$B$1:$U$1,S$1)</f>
        <v>0</v>
      </c>
      <c r="T275" s="155">
        <f>SUMIFS('recurring2_based on steps'!$B275:$AY275,'recurring2_based on steps'!$B$1:$AY$1,T$1)+SUMIFS('changes2_based on steps'!$B275:$U275,'changes2_based on steps'!$B$1:$U$1,T$1)</f>
        <v>0</v>
      </c>
      <c r="U275" s="155">
        <f ca="1">SUMIFS('recurring2_based on steps'!$B275:$AY275,'recurring2_based on steps'!$B$1:$AY$1,U$1)+SUMIFS('changes2_based on steps'!$B275:$U275,'changes2_based on steps'!$B$1:$U$1,U$1)</f>
        <v>0</v>
      </c>
      <c r="V275" s="155">
        <f>SUMIFS('recurring2_based on steps'!$B275:$AY275,'recurring2_based on steps'!$B$1:$AY$1,V$1)+SUMIFS('changes2_based on steps'!$B275:$U275,'changes2_based on steps'!$B$1:$U$1,V$1)</f>
        <v>0</v>
      </c>
      <c r="W275" s="155">
        <f ca="1">SUMIFS('recurring2_based on steps'!$B275:$AY275,'recurring2_based on steps'!$B$1:$AY$1,W$1)+SUMIFS('changes2_based on steps'!$B275:$U275,'changes2_based on steps'!$B$1:$U$1,W$1)</f>
        <v>50</v>
      </c>
      <c r="X275" s="155">
        <f ca="1">SUMIFS('recurring2_based on steps'!$B275:$AY275,'recurring2_based on steps'!$B$1:$AY$1,X$1)+SUMIFS('changes2_based on steps'!$B275:$U275,'changes2_based on steps'!$B$1:$U$1,X$1)</f>
        <v>200</v>
      </c>
      <c r="Y275" s="155">
        <f ca="1">SUMIFS('recurring2_based on steps'!$B275:$AY275,'recurring2_based on steps'!$B$1:$AY$1,Y$1)+SUMIFS('changes2_based on steps'!$B275:$U275,'changes2_based on steps'!$B$1:$U$1,Y$1)</f>
        <v>-100</v>
      </c>
      <c r="Z275" s="155">
        <f>SUMIFS('recurring2_based on steps'!$B275:$AY275,'recurring2_based on steps'!$B$1:$AY$1,Z$1)+SUMIFS('changes2_based on steps'!$B275:$U275,'changes2_based on steps'!$B$1:$U$1,Z$1)</f>
        <v>0</v>
      </c>
      <c r="AA275" s="155">
        <f>SUMIFS('recurring2_based on steps'!$B275:$AY275,'recurring2_based on steps'!$B$1:$AY$1,AA$1)+SUMIFS('changes2_based on steps'!$B275:$U275,'changes2_based on steps'!$B$1:$U$1,AA$1)</f>
        <v>0</v>
      </c>
    </row>
    <row r="276" spans="1:27" x14ac:dyDescent="0.2">
      <c r="A276" s="18">
        <f t="shared" ca="1" si="4"/>
        <v>45962</v>
      </c>
      <c r="B276" s="155">
        <f ca="1">SUMIFS('recurring2_based on steps'!$B276:$AY276,'recurring2_based on steps'!$B$1:$AY$1,B$1)+SUMIFS('changes2_based on steps'!$B276:$U276,'changes2_based on steps'!$B$1:$U$1,B$1)</f>
        <v>0</v>
      </c>
      <c r="C276" s="155">
        <f>SUMIFS('recurring2_based on steps'!$B276:$AY276,'recurring2_based on steps'!$B$1:$AY$1,C$1)+SUMIFS('changes2_based on steps'!$B276:$U276,'changes2_based on steps'!$B$1:$U$1,C$1)</f>
        <v>0</v>
      </c>
      <c r="D276" s="155">
        <f>SUMIFS('recurring2_based on steps'!$B276:$AY276,'recurring2_based on steps'!$B$1:$AY$1,D$1)+SUMIFS('changes2_based on steps'!$B276:$U276,'changes2_based on steps'!$B$1:$U$1,D$1)</f>
        <v>0</v>
      </c>
      <c r="E276" s="155">
        <f>SUMIFS('recurring2_based on steps'!$B276:$AY276,'recurring2_based on steps'!$B$1:$AY$1,E$1)+SUMIFS('changes2_based on steps'!$B276:$U276,'changes2_based on steps'!$B$1:$U$1,E$1)</f>
        <v>0</v>
      </c>
      <c r="F276" s="155">
        <f>SUMIFS('recurring2_based on steps'!$B276:$AY276,'recurring2_based on steps'!$B$1:$AY$1,F$1)+SUMIFS('changes2_based on steps'!$B276:$U276,'changes2_based on steps'!$B$1:$U$1,F$1)</f>
        <v>0</v>
      </c>
      <c r="G276" s="155">
        <f>SUMIFS('recurring2_based on steps'!$B276:$AY276,'recurring2_based on steps'!$B$1:$AY$1,G$1)+SUMIFS('changes2_based on steps'!$B276:$U276,'changes2_based on steps'!$B$1:$U$1,G$1)</f>
        <v>0</v>
      </c>
      <c r="H276" s="155">
        <f ca="1">SUMIFS('recurring2_based on steps'!$B276:$AY276,'recurring2_based on steps'!$B$1:$AY$1,H$1)+SUMIFS('changes2_based on steps'!$B276:$U276,'changes2_based on steps'!$B$1:$U$1,H$1)</f>
        <v>0</v>
      </c>
      <c r="I276" s="155">
        <f>SUMIFS('recurring2_based on steps'!$B276:$AY276,'recurring2_based on steps'!$B$1:$AY$1,I$1)+SUMIFS('changes2_based on steps'!$B276:$U276,'changes2_based on steps'!$B$1:$U$1,I$1)</f>
        <v>0</v>
      </c>
      <c r="J276" s="155">
        <f>SUMIFS('recurring2_based on steps'!$B276:$AY276,'recurring2_based on steps'!$B$1:$AY$1,J$1)+SUMIFS('changes2_based on steps'!$B276:$U276,'changes2_based on steps'!$B$1:$U$1,J$1)</f>
        <v>0</v>
      </c>
      <c r="K276" s="155">
        <f>SUMIFS('recurring2_based on steps'!$B276:$AY276,'recurring2_based on steps'!$B$1:$AY$1,K$1)+SUMIFS('changes2_based on steps'!$B276:$U276,'changes2_based on steps'!$B$1:$U$1,K$1)</f>
        <v>0</v>
      </c>
      <c r="L276" s="155">
        <f>SUMIFS('recurring2_based on steps'!$B276:$AY276,'recurring2_based on steps'!$B$1:$AY$1,L$1)+SUMIFS('changes2_based on steps'!$B276:$U276,'changes2_based on steps'!$B$1:$U$1,L$1)</f>
        <v>0</v>
      </c>
      <c r="M276" s="155">
        <f ca="1">SUMIFS('recurring2_based on steps'!$B276:$AY276,'recurring2_based on steps'!$B$1:$AY$1,M$1)+SUMIFS('changes2_based on steps'!$B276:$U276,'changes2_based on steps'!$B$1:$U$1,M$1)</f>
        <v>2000</v>
      </c>
      <c r="N276" s="155">
        <f ca="1">SUMIFS('recurring2_based on steps'!$B276:$AY276,'recurring2_based on steps'!$B$1:$AY$1,N$1)+SUMIFS('changes2_based on steps'!$B276:$U276,'changes2_based on steps'!$B$1:$U$1,N$1)</f>
        <v>0</v>
      </c>
      <c r="O276" s="155">
        <f ca="1">SUMIFS('recurring2_based on steps'!$B276:$AY276,'recurring2_based on steps'!$B$1:$AY$1,O$1)+SUMIFS('changes2_based on steps'!$B276:$U276,'changes2_based on steps'!$B$1:$U$1,O$1)</f>
        <v>0</v>
      </c>
      <c r="P276" s="155">
        <f ca="1">SUMIFS('recurring2_based on steps'!$B276:$AY276,'recurring2_based on steps'!$B$1:$AY$1,P$1)+SUMIFS('changes2_based on steps'!$B276:$U276,'changes2_based on steps'!$B$1:$U$1,P$1)</f>
        <v>0</v>
      </c>
      <c r="Q276" s="155">
        <f>SUMIFS('recurring2_based on steps'!$B276:$AY276,'recurring2_based on steps'!$B$1:$AY$1,Q$1)+SUMIFS('changes2_based on steps'!$B276:$U276,'changes2_based on steps'!$B$1:$U$1,Q$1)</f>
        <v>0</v>
      </c>
      <c r="R276" s="155">
        <f ca="1">SUMIFS('recurring2_based on steps'!$B276:$AY276,'recurring2_based on steps'!$B$1:$AY$1,R$1)+SUMIFS('changes2_based on steps'!$B276:$U276,'changes2_based on steps'!$B$1:$U$1,R$1)</f>
        <v>100</v>
      </c>
      <c r="S276" s="155">
        <f ca="1">SUMIFS('recurring2_based on steps'!$B276:$AY276,'recurring2_based on steps'!$B$1:$AY$1,S$1)+SUMIFS('changes2_based on steps'!$B276:$U276,'changes2_based on steps'!$B$1:$U$1,S$1)</f>
        <v>100</v>
      </c>
      <c r="T276" s="155">
        <f>SUMIFS('recurring2_based on steps'!$B276:$AY276,'recurring2_based on steps'!$B$1:$AY$1,T$1)+SUMIFS('changes2_based on steps'!$B276:$U276,'changes2_based on steps'!$B$1:$U$1,T$1)</f>
        <v>0</v>
      </c>
      <c r="U276" s="155">
        <f ca="1">SUMIFS('recurring2_based on steps'!$B276:$AY276,'recurring2_based on steps'!$B$1:$AY$1,U$1)+SUMIFS('changes2_based on steps'!$B276:$U276,'changes2_based on steps'!$B$1:$U$1,U$1)</f>
        <v>0</v>
      </c>
      <c r="V276" s="155">
        <f>SUMIFS('recurring2_based on steps'!$B276:$AY276,'recurring2_based on steps'!$B$1:$AY$1,V$1)+SUMIFS('changes2_based on steps'!$B276:$U276,'changes2_based on steps'!$B$1:$U$1,V$1)</f>
        <v>0</v>
      </c>
      <c r="W276" s="155">
        <f ca="1">SUMIFS('recurring2_based on steps'!$B276:$AY276,'recurring2_based on steps'!$B$1:$AY$1,W$1)+SUMIFS('changes2_based on steps'!$B276:$U276,'changes2_based on steps'!$B$1:$U$1,W$1)</f>
        <v>0</v>
      </c>
      <c r="X276" s="155">
        <f ca="1">SUMIFS('recurring2_based on steps'!$B276:$AY276,'recurring2_based on steps'!$B$1:$AY$1,X$1)+SUMIFS('changes2_based on steps'!$B276:$U276,'changes2_based on steps'!$B$1:$U$1,X$1)</f>
        <v>0</v>
      </c>
      <c r="Y276" s="155">
        <f ca="1">SUMIFS('recurring2_based on steps'!$B276:$AY276,'recurring2_based on steps'!$B$1:$AY$1,Y$1)+SUMIFS('changes2_based on steps'!$B276:$U276,'changes2_based on steps'!$B$1:$U$1,Y$1)</f>
        <v>0</v>
      </c>
      <c r="Z276" s="155">
        <f>SUMIFS('recurring2_based on steps'!$B276:$AY276,'recurring2_based on steps'!$B$1:$AY$1,Z$1)+SUMIFS('changes2_based on steps'!$B276:$U276,'changes2_based on steps'!$B$1:$U$1,Z$1)</f>
        <v>0</v>
      </c>
      <c r="AA276" s="155">
        <f>SUMIFS('recurring2_based on steps'!$B276:$AY276,'recurring2_based on steps'!$B$1:$AY$1,AA$1)+SUMIFS('changes2_based on steps'!$B276:$U276,'changes2_based on steps'!$B$1:$U$1,AA$1)</f>
        <v>0</v>
      </c>
    </row>
    <row r="277" spans="1:27" x14ac:dyDescent="0.2">
      <c r="A277" s="18">
        <f t="shared" ca="1" si="4"/>
        <v>45963</v>
      </c>
      <c r="B277" s="155">
        <f ca="1">SUMIFS('recurring2_based on steps'!$B277:$AY277,'recurring2_based on steps'!$B$1:$AY$1,B$1)+SUMIFS('changes2_based on steps'!$B277:$U277,'changes2_based on steps'!$B$1:$U$1,B$1)</f>
        <v>0</v>
      </c>
      <c r="C277" s="155">
        <f>SUMIFS('recurring2_based on steps'!$B277:$AY277,'recurring2_based on steps'!$B$1:$AY$1,C$1)+SUMIFS('changes2_based on steps'!$B277:$U277,'changes2_based on steps'!$B$1:$U$1,C$1)</f>
        <v>0</v>
      </c>
      <c r="D277" s="155">
        <f>SUMIFS('recurring2_based on steps'!$B277:$AY277,'recurring2_based on steps'!$B$1:$AY$1,D$1)+SUMIFS('changes2_based on steps'!$B277:$U277,'changes2_based on steps'!$B$1:$U$1,D$1)</f>
        <v>0</v>
      </c>
      <c r="E277" s="155">
        <f>SUMIFS('recurring2_based on steps'!$B277:$AY277,'recurring2_based on steps'!$B$1:$AY$1,E$1)+SUMIFS('changes2_based on steps'!$B277:$U277,'changes2_based on steps'!$B$1:$U$1,E$1)</f>
        <v>0</v>
      </c>
      <c r="F277" s="155">
        <f>SUMIFS('recurring2_based on steps'!$B277:$AY277,'recurring2_based on steps'!$B$1:$AY$1,F$1)+SUMIFS('changes2_based on steps'!$B277:$U277,'changes2_based on steps'!$B$1:$U$1,F$1)</f>
        <v>0</v>
      </c>
      <c r="G277" s="155">
        <f>SUMIFS('recurring2_based on steps'!$B277:$AY277,'recurring2_based on steps'!$B$1:$AY$1,G$1)+SUMIFS('changes2_based on steps'!$B277:$U277,'changes2_based on steps'!$B$1:$U$1,G$1)</f>
        <v>0</v>
      </c>
      <c r="H277" s="155">
        <f ca="1">SUMIFS('recurring2_based on steps'!$B277:$AY277,'recurring2_based on steps'!$B$1:$AY$1,H$1)+SUMIFS('changes2_based on steps'!$B277:$U277,'changes2_based on steps'!$B$1:$U$1,H$1)</f>
        <v>0</v>
      </c>
      <c r="I277" s="155">
        <f>SUMIFS('recurring2_based on steps'!$B277:$AY277,'recurring2_based on steps'!$B$1:$AY$1,I$1)+SUMIFS('changes2_based on steps'!$B277:$U277,'changes2_based on steps'!$B$1:$U$1,I$1)</f>
        <v>0</v>
      </c>
      <c r="J277" s="155">
        <f>SUMIFS('recurring2_based on steps'!$B277:$AY277,'recurring2_based on steps'!$B$1:$AY$1,J$1)+SUMIFS('changes2_based on steps'!$B277:$U277,'changes2_based on steps'!$B$1:$U$1,J$1)</f>
        <v>0</v>
      </c>
      <c r="K277" s="155">
        <f>SUMIFS('recurring2_based on steps'!$B277:$AY277,'recurring2_based on steps'!$B$1:$AY$1,K$1)+SUMIFS('changes2_based on steps'!$B277:$U277,'changes2_based on steps'!$B$1:$U$1,K$1)</f>
        <v>0</v>
      </c>
      <c r="L277" s="155">
        <f>SUMIFS('recurring2_based on steps'!$B277:$AY277,'recurring2_based on steps'!$B$1:$AY$1,L$1)+SUMIFS('changes2_based on steps'!$B277:$U277,'changes2_based on steps'!$B$1:$U$1,L$1)</f>
        <v>0</v>
      </c>
      <c r="M277" s="155">
        <f ca="1">SUMIFS('recurring2_based on steps'!$B277:$AY277,'recurring2_based on steps'!$B$1:$AY$1,M$1)+SUMIFS('changes2_based on steps'!$B277:$U277,'changes2_based on steps'!$B$1:$U$1,M$1)</f>
        <v>0</v>
      </c>
      <c r="N277" s="155">
        <f ca="1">SUMIFS('recurring2_based on steps'!$B277:$AY277,'recurring2_based on steps'!$B$1:$AY$1,N$1)+SUMIFS('changes2_based on steps'!$B277:$U277,'changes2_based on steps'!$B$1:$U$1,N$1)</f>
        <v>50</v>
      </c>
      <c r="O277" s="155">
        <f ca="1">SUMIFS('recurring2_based on steps'!$B277:$AY277,'recurring2_based on steps'!$B$1:$AY$1,O$1)+SUMIFS('changes2_based on steps'!$B277:$U277,'changes2_based on steps'!$B$1:$U$1,O$1)</f>
        <v>0</v>
      </c>
      <c r="P277" s="155">
        <f ca="1">SUMIFS('recurring2_based on steps'!$B277:$AY277,'recurring2_based on steps'!$B$1:$AY$1,P$1)+SUMIFS('changes2_based on steps'!$B277:$U277,'changes2_based on steps'!$B$1:$U$1,P$1)</f>
        <v>0</v>
      </c>
      <c r="Q277" s="155">
        <f>SUMIFS('recurring2_based on steps'!$B277:$AY277,'recurring2_based on steps'!$B$1:$AY$1,Q$1)+SUMIFS('changes2_based on steps'!$B277:$U277,'changes2_based on steps'!$B$1:$U$1,Q$1)</f>
        <v>0</v>
      </c>
      <c r="R277" s="155">
        <f ca="1">SUMIFS('recurring2_based on steps'!$B277:$AY277,'recurring2_based on steps'!$B$1:$AY$1,R$1)+SUMIFS('changes2_based on steps'!$B277:$U277,'changes2_based on steps'!$B$1:$U$1,R$1)</f>
        <v>0</v>
      </c>
      <c r="S277" s="155">
        <f ca="1">SUMIFS('recurring2_based on steps'!$B277:$AY277,'recurring2_based on steps'!$B$1:$AY$1,S$1)+SUMIFS('changes2_based on steps'!$B277:$U277,'changes2_based on steps'!$B$1:$U$1,S$1)</f>
        <v>100</v>
      </c>
      <c r="T277" s="155">
        <f>SUMIFS('recurring2_based on steps'!$B277:$AY277,'recurring2_based on steps'!$B$1:$AY$1,T$1)+SUMIFS('changes2_based on steps'!$B277:$U277,'changes2_based on steps'!$B$1:$U$1,T$1)</f>
        <v>0</v>
      </c>
      <c r="U277" s="155">
        <f ca="1">SUMIFS('recurring2_based on steps'!$B277:$AY277,'recurring2_based on steps'!$B$1:$AY$1,U$1)+SUMIFS('changes2_based on steps'!$B277:$U277,'changes2_based on steps'!$B$1:$U$1,U$1)</f>
        <v>0</v>
      </c>
      <c r="V277" s="155">
        <f>SUMIFS('recurring2_based on steps'!$B277:$AY277,'recurring2_based on steps'!$B$1:$AY$1,V$1)+SUMIFS('changes2_based on steps'!$B277:$U277,'changes2_based on steps'!$B$1:$U$1,V$1)</f>
        <v>0</v>
      </c>
      <c r="W277" s="155">
        <f ca="1">SUMIFS('recurring2_based on steps'!$B277:$AY277,'recurring2_based on steps'!$B$1:$AY$1,W$1)+SUMIFS('changes2_based on steps'!$B277:$U277,'changes2_based on steps'!$B$1:$U$1,W$1)</f>
        <v>0</v>
      </c>
      <c r="X277" s="155">
        <f ca="1">SUMIFS('recurring2_based on steps'!$B277:$AY277,'recurring2_based on steps'!$B$1:$AY$1,X$1)+SUMIFS('changes2_based on steps'!$B277:$U277,'changes2_based on steps'!$B$1:$U$1,X$1)</f>
        <v>0</v>
      </c>
      <c r="Y277" s="155">
        <f ca="1">SUMIFS('recurring2_based on steps'!$B277:$AY277,'recurring2_based on steps'!$B$1:$AY$1,Y$1)+SUMIFS('changes2_based on steps'!$B277:$U277,'changes2_based on steps'!$B$1:$U$1,Y$1)</f>
        <v>0</v>
      </c>
      <c r="Z277" s="155">
        <f>SUMIFS('recurring2_based on steps'!$B277:$AY277,'recurring2_based on steps'!$B$1:$AY$1,Z$1)+SUMIFS('changes2_based on steps'!$B277:$U277,'changes2_based on steps'!$B$1:$U$1,Z$1)</f>
        <v>0</v>
      </c>
      <c r="AA277" s="155">
        <f>SUMIFS('recurring2_based on steps'!$B277:$AY277,'recurring2_based on steps'!$B$1:$AY$1,AA$1)+SUMIFS('changes2_based on steps'!$B277:$U277,'changes2_based on steps'!$B$1:$U$1,AA$1)</f>
        <v>0</v>
      </c>
    </row>
    <row r="278" spans="1:27" x14ac:dyDescent="0.2">
      <c r="A278" s="18">
        <f t="shared" ca="1" si="4"/>
        <v>45964</v>
      </c>
      <c r="B278" s="155">
        <f ca="1">SUMIFS('recurring2_based on steps'!$B278:$AY278,'recurring2_based on steps'!$B$1:$AY$1,B$1)+SUMIFS('changes2_based on steps'!$B278:$U278,'changes2_based on steps'!$B$1:$U$1,B$1)</f>
        <v>0</v>
      </c>
      <c r="C278" s="155">
        <f>SUMIFS('recurring2_based on steps'!$B278:$AY278,'recurring2_based on steps'!$B$1:$AY$1,C$1)+SUMIFS('changes2_based on steps'!$B278:$U278,'changes2_based on steps'!$B$1:$U$1,C$1)</f>
        <v>0</v>
      </c>
      <c r="D278" s="155">
        <f>SUMIFS('recurring2_based on steps'!$B278:$AY278,'recurring2_based on steps'!$B$1:$AY$1,D$1)+SUMIFS('changes2_based on steps'!$B278:$U278,'changes2_based on steps'!$B$1:$U$1,D$1)</f>
        <v>0</v>
      </c>
      <c r="E278" s="155">
        <f>SUMIFS('recurring2_based on steps'!$B278:$AY278,'recurring2_based on steps'!$B$1:$AY$1,E$1)+SUMIFS('changes2_based on steps'!$B278:$U278,'changes2_based on steps'!$B$1:$U$1,E$1)</f>
        <v>0</v>
      </c>
      <c r="F278" s="155">
        <f>SUMIFS('recurring2_based on steps'!$B278:$AY278,'recurring2_based on steps'!$B$1:$AY$1,F$1)+SUMIFS('changes2_based on steps'!$B278:$U278,'changes2_based on steps'!$B$1:$U$1,F$1)</f>
        <v>0</v>
      </c>
      <c r="G278" s="155">
        <f>SUMIFS('recurring2_based on steps'!$B278:$AY278,'recurring2_based on steps'!$B$1:$AY$1,G$1)+SUMIFS('changes2_based on steps'!$B278:$U278,'changes2_based on steps'!$B$1:$U$1,G$1)</f>
        <v>0</v>
      </c>
      <c r="H278" s="155">
        <f ca="1">SUMIFS('recurring2_based on steps'!$B278:$AY278,'recurring2_based on steps'!$B$1:$AY$1,H$1)+SUMIFS('changes2_based on steps'!$B278:$U278,'changes2_based on steps'!$B$1:$U$1,H$1)</f>
        <v>0</v>
      </c>
      <c r="I278" s="155">
        <f>SUMIFS('recurring2_based on steps'!$B278:$AY278,'recurring2_based on steps'!$B$1:$AY$1,I$1)+SUMIFS('changes2_based on steps'!$B278:$U278,'changes2_based on steps'!$B$1:$U$1,I$1)</f>
        <v>0</v>
      </c>
      <c r="J278" s="155">
        <f>SUMIFS('recurring2_based on steps'!$B278:$AY278,'recurring2_based on steps'!$B$1:$AY$1,J$1)+SUMIFS('changes2_based on steps'!$B278:$U278,'changes2_based on steps'!$B$1:$U$1,J$1)</f>
        <v>0</v>
      </c>
      <c r="K278" s="155">
        <f>SUMIFS('recurring2_based on steps'!$B278:$AY278,'recurring2_based on steps'!$B$1:$AY$1,K$1)+SUMIFS('changes2_based on steps'!$B278:$U278,'changes2_based on steps'!$B$1:$U$1,K$1)</f>
        <v>0</v>
      </c>
      <c r="L278" s="155">
        <f>SUMIFS('recurring2_based on steps'!$B278:$AY278,'recurring2_based on steps'!$B$1:$AY$1,L$1)+SUMIFS('changes2_based on steps'!$B278:$U278,'changes2_based on steps'!$B$1:$U$1,L$1)</f>
        <v>0</v>
      </c>
      <c r="M278" s="155">
        <f ca="1">SUMIFS('recurring2_based on steps'!$B278:$AY278,'recurring2_based on steps'!$B$1:$AY$1,M$1)+SUMIFS('changes2_based on steps'!$B278:$U278,'changes2_based on steps'!$B$1:$U$1,M$1)</f>
        <v>0</v>
      </c>
      <c r="N278" s="155">
        <f ca="1">SUMIFS('recurring2_based on steps'!$B278:$AY278,'recurring2_based on steps'!$B$1:$AY$1,N$1)+SUMIFS('changes2_based on steps'!$B278:$U278,'changes2_based on steps'!$B$1:$U$1,N$1)</f>
        <v>0</v>
      </c>
      <c r="O278" s="155">
        <f ca="1">SUMIFS('recurring2_based on steps'!$B278:$AY278,'recurring2_based on steps'!$B$1:$AY$1,O$1)+SUMIFS('changes2_based on steps'!$B278:$U278,'changes2_based on steps'!$B$1:$U$1,O$1)</f>
        <v>0</v>
      </c>
      <c r="P278" s="155">
        <f ca="1">SUMIFS('recurring2_based on steps'!$B278:$AY278,'recurring2_based on steps'!$B$1:$AY$1,P$1)+SUMIFS('changes2_based on steps'!$B278:$U278,'changes2_based on steps'!$B$1:$U$1,P$1)</f>
        <v>50</v>
      </c>
      <c r="Q278" s="155">
        <f>SUMIFS('recurring2_based on steps'!$B278:$AY278,'recurring2_based on steps'!$B$1:$AY$1,Q$1)+SUMIFS('changes2_based on steps'!$B278:$U278,'changes2_based on steps'!$B$1:$U$1,Q$1)</f>
        <v>0</v>
      </c>
      <c r="R278" s="155">
        <f ca="1">SUMIFS('recurring2_based on steps'!$B278:$AY278,'recurring2_based on steps'!$B$1:$AY$1,R$1)+SUMIFS('changes2_based on steps'!$B278:$U278,'changes2_based on steps'!$B$1:$U$1,R$1)</f>
        <v>0</v>
      </c>
      <c r="S278" s="155">
        <f ca="1">SUMIFS('recurring2_based on steps'!$B278:$AY278,'recurring2_based on steps'!$B$1:$AY$1,S$1)+SUMIFS('changes2_based on steps'!$B278:$U278,'changes2_based on steps'!$B$1:$U$1,S$1)</f>
        <v>0</v>
      </c>
      <c r="T278" s="155">
        <f>SUMIFS('recurring2_based on steps'!$B278:$AY278,'recurring2_based on steps'!$B$1:$AY$1,T$1)+SUMIFS('changes2_based on steps'!$B278:$U278,'changes2_based on steps'!$B$1:$U$1,T$1)</f>
        <v>0</v>
      </c>
      <c r="U278" s="155">
        <f ca="1">SUMIFS('recurring2_based on steps'!$B278:$AY278,'recurring2_based on steps'!$B$1:$AY$1,U$1)+SUMIFS('changes2_based on steps'!$B278:$U278,'changes2_based on steps'!$B$1:$U$1,U$1)</f>
        <v>0</v>
      </c>
      <c r="V278" s="155">
        <f>SUMIFS('recurring2_based on steps'!$B278:$AY278,'recurring2_based on steps'!$B$1:$AY$1,V$1)+SUMIFS('changes2_based on steps'!$B278:$U278,'changes2_based on steps'!$B$1:$U$1,V$1)</f>
        <v>0</v>
      </c>
      <c r="W278" s="155">
        <f ca="1">SUMIFS('recurring2_based on steps'!$B278:$AY278,'recurring2_based on steps'!$B$1:$AY$1,W$1)+SUMIFS('changes2_based on steps'!$B278:$U278,'changes2_based on steps'!$B$1:$U$1,W$1)</f>
        <v>0</v>
      </c>
      <c r="X278" s="155">
        <f ca="1">SUMIFS('recurring2_based on steps'!$B278:$AY278,'recurring2_based on steps'!$B$1:$AY$1,X$1)+SUMIFS('changes2_based on steps'!$B278:$U278,'changes2_based on steps'!$B$1:$U$1,X$1)</f>
        <v>0</v>
      </c>
      <c r="Y278" s="155">
        <f ca="1">SUMIFS('recurring2_based on steps'!$B278:$AY278,'recurring2_based on steps'!$B$1:$AY$1,Y$1)+SUMIFS('changes2_based on steps'!$B278:$U278,'changes2_based on steps'!$B$1:$U$1,Y$1)</f>
        <v>0</v>
      </c>
      <c r="Z278" s="155">
        <f>SUMIFS('recurring2_based on steps'!$B278:$AY278,'recurring2_based on steps'!$B$1:$AY$1,Z$1)+SUMIFS('changes2_based on steps'!$B278:$U278,'changes2_based on steps'!$B$1:$U$1,Z$1)</f>
        <v>0</v>
      </c>
      <c r="AA278" s="155">
        <f>SUMIFS('recurring2_based on steps'!$B278:$AY278,'recurring2_based on steps'!$B$1:$AY$1,AA$1)+SUMIFS('changes2_based on steps'!$B278:$U278,'changes2_based on steps'!$B$1:$U$1,AA$1)</f>
        <v>0</v>
      </c>
    </row>
    <row r="279" spans="1:27" x14ac:dyDescent="0.2">
      <c r="A279" s="18">
        <f t="shared" ca="1" si="4"/>
        <v>45965</v>
      </c>
      <c r="B279" s="155">
        <f ca="1">SUMIFS('recurring2_based on steps'!$B279:$AY279,'recurring2_based on steps'!$B$1:$AY$1,B$1)+SUMIFS('changes2_based on steps'!$B279:$U279,'changes2_based on steps'!$B$1:$U$1,B$1)</f>
        <v>0</v>
      </c>
      <c r="C279" s="155">
        <f>SUMIFS('recurring2_based on steps'!$B279:$AY279,'recurring2_based on steps'!$B$1:$AY$1,C$1)+SUMIFS('changes2_based on steps'!$B279:$U279,'changes2_based on steps'!$B$1:$U$1,C$1)</f>
        <v>0</v>
      </c>
      <c r="D279" s="155">
        <f>SUMIFS('recurring2_based on steps'!$B279:$AY279,'recurring2_based on steps'!$B$1:$AY$1,D$1)+SUMIFS('changes2_based on steps'!$B279:$U279,'changes2_based on steps'!$B$1:$U$1,D$1)</f>
        <v>0</v>
      </c>
      <c r="E279" s="155">
        <f>SUMIFS('recurring2_based on steps'!$B279:$AY279,'recurring2_based on steps'!$B$1:$AY$1,E$1)+SUMIFS('changes2_based on steps'!$B279:$U279,'changes2_based on steps'!$B$1:$U$1,E$1)</f>
        <v>0</v>
      </c>
      <c r="F279" s="155">
        <f>SUMIFS('recurring2_based on steps'!$B279:$AY279,'recurring2_based on steps'!$B$1:$AY$1,F$1)+SUMIFS('changes2_based on steps'!$B279:$U279,'changes2_based on steps'!$B$1:$U$1,F$1)</f>
        <v>0</v>
      </c>
      <c r="G279" s="155">
        <f>SUMIFS('recurring2_based on steps'!$B279:$AY279,'recurring2_based on steps'!$B$1:$AY$1,G$1)+SUMIFS('changes2_based on steps'!$B279:$U279,'changes2_based on steps'!$B$1:$U$1,G$1)</f>
        <v>0</v>
      </c>
      <c r="H279" s="155">
        <f ca="1">SUMIFS('recurring2_based on steps'!$B279:$AY279,'recurring2_based on steps'!$B$1:$AY$1,H$1)+SUMIFS('changes2_based on steps'!$B279:$U279,'changes2_based on steps'!$B$1:$U$1,H$1)</f>
        <v>0</v>
      </c>
      <c r="I279" s="155">
        <f>SUMIFS('recurring2_based on steps'!$B279:$AY279,'recurring2_based on steps'!$B$1:$AY$1,I$1)+SUMIFS('changes2_based on steps'!$B279:$U279,'changes2_based on steps'!$B$1:$U$1,I$1)</f>
        <v>0</v>
      </c>
      <c r="J279" s="155">
        <f>SUMIFS('recurring2_based on steps'!$B279:$AY279,'recurring2_based on steps'!$B$1:$AY$1,J$1)+SUMIFS('changes2_based on steps'!$B279:$U279,'changes2_based on steps'!$B$1:$U$1,J$1)</f>
        <v>0</v>
      </c>
      <c r="K279" s="155">
        <f>SUMIFS('recurring2_based on steps'!$B279:$AY279,'recurring2_based on steps'!$B$1:$AY$1,K$1)+SUMIFS('changes2_based on steps'!$B279:$U279,'changes2_based on steps'!$B$1:$U$1,K$1)</f>
        <v>0</v>
      </c>
      <c r="L279" s="155">
        <f>SUMIFS('recurring2_based on steps'!$B279:$AY279,'recurring2_based on steps'!$B$1:$AY$1,L$1)+SUMIFS('changes2_based on steps'!$B279:$U279,'changes2_based on steps'!$B$1:$U$1,L$1)</f>
        <v>0</v>
      </c>
      <c r="M279" s="155">
        <f ca="1">SUMIFS('recurring2_based on steps'!$B279:$AY279,'recurring2_based on steps'!$B$1:$AY$1,M$1)+SUMIFS('changes2_based on steps'!$B279:$U279,'changes2_based on steps'!$B$1:$U$1,M$1)</f>
        <v>0</v>
      </c>
      <c r="N279" s="155">
        <f ca="1">SUMIFS('recurring2_based on steps'!$B279:$AY279,'recurring2_based on steps'!$B$1:$AY$1,N$1)+SUMIFS('changes2_based on steps'!$B279:$U279,'changes2_based on steps'!$B$1:$U$1,N$1)</f>
        <v>0</v>
      </c>
      <c r="O279" s="155">
        <f ca="1">SUMIFS('recurring2_based on steps'!$B279:$AY279,'recurring2_based on steps'!$B$1:$AY$1,O$1)+SUMIFS('changes2_based on steps'!$B279:$U279,'changes2_based on steps'!$B$1:$U$1,O$1)</f>
        <v>0</v>
      </c>
      <c r="P279" s="155">
        <f ca="1">SUMIFS('recurring2_based on steps'!$B279:$AY279,'recurring2_based on steps'!$B$1:$AY$1,P$1)+SUMIFS('changes2_based on steps'!$B279:$U279,'changes2_based on steps'!$B$1:$U$1,P$1)</f>
        <v>0</v>
      </c>
      <c r="Q279" s="155">
        <f>SUMIFS('recurring2_based on steps'!$B279:$AY279,'recurring2_based on steps'!$B$1:$AY$1,Q$1)+SUMIFS('changes2_based on steps'!$B279:$U279,'changes2_based on steps'!$B$1:$U$1,Q$1)</f>
        <v>0</v>
      </c>
      <c r="R279" s="155">
        <f ca="1">SUMIFS('recurring2_based on steps'!$B279:$AY279,'recurring2_based on steps'!$B$1:$AY$1,R$1)+SUMIFS('changes2_based on steps'!$B279:$U279,'changes2_based on steps'!$B$1:$U$1,R$1)</f>
        <v>0</v>
      </c>
      <c r="S279" s="155">
        <f ca="1">SUMIFS('recurring2_based on steps'!$B279:$AY279,'recurring2_based on steps'!$B$1:$AY$1,S$1)+SUMIFS('changes2_based on steps'!$B279:$U279,'changes2_based on steps'!$B$1:$U$1,S$1)</f>
        <v>0</v>
      </c>
      <c r="T279" s="155">
        <f>SUMIFS('recurring2_based on steps'!$B279:$AY279,'recurring2_based on steps'!$B$1:$AY$1,T$1)+SUMIFS('changes2_based on steps'!$B279:$U279,'changes2_based on steps'!$B$1:$U$1,T$1)</f>
        <v>0</v>
      </c>
      <c r="U279" s="155">
        <f ca="1">SUMIFS('recurring2_based on steps'!$B279:$AY279,'recurring2_based on steps'!$B$1:$AY$1,U$1)+SUMIFS('changes2_based on steps'!$B279:$U279,'changes2_based on steps'!$B$1:$U$1,U$1)</f>
        <v>15</v>
      </c>
      <c r="V279" s="155">
        <f>SUMIFS('recurring2_based on steps'!$B279:$AY279,'recurring2_based on steps'!$B$1:$AY$1,V$1)+SUMIFS('changes2_based on steps'!$B279:$U279,'changes2_based on steps'!$B$1:$U$1,V$1)</f>
        <v>0</v>
      </c>
      <c r="W279" s="155">
        <f ca="1">SUMIFS('recurring2_based on steps'!$B279:$AY279,'recurring2_based on steps'!$B$1:$AY$1,W$1)+SUMIFS('changes2_based on steps'!$B279:$U279,'changes2_based on steps'!$B$1:$U$1,W$1)</f>
        <v>0</v>
      </c>
      <c r="X279" s="155">
        <f ca="1">SUMIFS('recurring2_based on steps'!$B279:$AY279,'recurring2_based on steps'!$B$1:$AY$1,X$1)+SUMIFS('changes2_based on steps'!$B279:$U279,'changes2_based on steps'!$B$1:$U$1,X$1)</f>
        <v>0</v>
      </c>
      <c r="Y279" s="155">
        <f ca="1">SUMIFS('recurring2_based on steps'!$B279:$AY279,'recurring2_based on steps'!$B$1:$AY$1,Y$1)+SUMIFS('changes2_based on steps'!$B279:$U279,'changes2_based on steps'!$B$1:$U$1,Y$1)</f>
        <v>0</v>
      </c>
      <c r="Z279" s="155">
        <f>SUMIFS('recurring2_based on steps'!$B279:$AY279,'recurring2_based on steps'!$B$1:$AY$1,Z$1)+SUMIFS('changes2_based on steps'!$B279:$U279,'changes2_based on steps'!$B$1:$U$1,Z$1)</f>
        <v>0</v>
      </c>
      <c r="AA279" s="155">
        <f>SUMIFS('recurring2_based on steps'!$B279:$AY279,'recurring2_based on steps'!$B$1:$AY$1,AA$1)+SUMIFS('changes2_based on steps'!$B279:$U279,'changes2_based on steps'!$B$1:$U$1,AA$1)</f>
        <v>0</v>
      </c>
    </row>
    <row r="280" spans="1:27" x14ac:dyDescent="0.2">
      <c r="A280" s="18">
        <f t="shared" ca="1" si="4"/>
        <v>45966</v>
      </c>
      <c r="B280" s="155">
        <f ca="1">SUMIFS('recurring2_based on steps'!$B280:$AY280,'recurring2_based on steps'!$B$1:$AY$1,B$1)+SUMIFS('changes2_based on steps'!$B280:$U280,'changes2_based on steps'!$B$1:$U$1,B$1)</f>
        <v>100</v>
      </c>
      <c r="C280" s="155">
        <f>SUMIFS('recurring2_based on steps'!$B280:$AY280,'recurring2_based on steps'!$B$1:$AY$1,C$1)+SUMIFS('changes2_based on steps'!$B280:$U280,'changes2_based on steps'!$B$1:$U$1,C$1)</f>
        <v>0</v>
      </c>
      <c r="D280" s="155">
        <f>SUMIFS('recurring2_based on steps'!$B280:$AY280,'recurring2_based on steps'!$B$1:$AY$1,D$1)+SUMIFS('changes2_based on steps'!$B280:$U280,'changes2_based on steps'!$B$1:$U$1,D$1)</f>
        <v>0</v>
      </c>
      <c r="E280" s="155">
        <f>SUMIFS('recurring2_based on steps'!$B280:$AY280,'recurring2_based on steps'!$B$1:$AY$1,E$1)+SUMIFS('changes2_based on steps'!$B280:$U280,'changes2_based on steps'!$B$1:$U$1,E$1)</f>
        <v>0</v>
      </c>
      <c r="F280" s="155">
        <f>SUMIFS('recurring2_based on steps'!$B280:$AY280,'recurring2_based on steps'!$B$1:$AY$1,F$1)+SUMIFS('changes2_based on steps'!$B280:$U280,'changes2_based on steps'!$B$1:$U$1,F$1)</f>
        <v>0</v>
      </c>
      <c r="G280" s="155">
        <f>SUMIFS('recurring2_based on steps'!$B280:$AY280,'recurring2_based on steps'!$B$1:$AY$1,G$1)+SUMIFS('changes2_based on steps'!$B280:$U280,'changes2_based on steps'!$B$1:$U$1,G$1)</f>
        <v>0</v>
      </c>
      <c r="H280" s="155">
        <f ca="1">SUMIFS('recurring2_based on steps'!$B280:$AY280,'recurring2_based on steps'!$B$1:$AY$1,H$1)+SUMIFS('changes2_based on steps'!$B280:$U280,'changes2_based on steps'!$B$1:$U$1,H$1)</f>
        <v>0</v>
      </c>
      <c r="I280" s="155">
        <f>SUMIFS('recurring2_based on steps'!$B280:$AY280,'recurring2_based on steps'!$B$1:$AY$1,I$1)+SUMIFS('changes2_based on steps'!$B280:$U280,'changes2_based on steps'!$B$1:$U$1,I$1)</f>
        <v>0</v>
      </c>
      <c r="J280" s="155">
        <f>SUMIFS('recurring2_based on steps'!$B280:$AY280,'recurring2_based on steps'!$B$1:$AY$1,J$1)+SUMIFS('changes2_based on steps'!$B280:$U280,'changes2_based on steps'!$B$1:$U$1,J$1)</f>
        <v>0</v>
      </c>
      <c r="K280" s="155">
        <f>SUMIFS('recurring2_based on steps'!$B280:$AY280,'recurring2_based on steps'!$B$1:$AY$1,K$1)+SUMIFS('changes2_based on steps'!$B280:$U280,'changes2_based on steps'!$B$1:$U$1,K$1)</f>
        <v>0</v>
      </c>
      <c r="L280" s="155">
        <f>SUMIFS('recurring2_based on steps'!$B280:$AY280,'recurring2_based on steps'!$B$1:$AY$1,L$1)+SUMIFS('changes2_based on steps'!$B280:$U280,'changes2_based on steps'!$B$1:$U$1,L$1)</f>
        <v>0</v>
      </c>
      <c r="M280" s="155">
        <f ca="1">SUMIFS('recurring2_based on steps'!$B280:$AY280,'recurring2_based on steps'!$B$1:$AY$1,M$1)+SUMIFS('changes2_based on steps'!$B280:$U280,'changes2_based on steps'!$B$1:$U$1,M$1)</f>
        <v>0</v>
      </c>
      <c r="N280" s="155">
        <f ca="1">SUMIFS('recurring2_based on steps'!$B280:$AY280,'recurring2_based on steps'!$B$1:$AY$1,N$1)+SUMIFS('changes2_based on steps'!$B280:$U280,'changes2_based on steps'!$B$1:$U$1,N$1)</f>
        <v>0</v>
      </c>
      <c r="O280" s="155">
        <f ca="1">SUMIFS('recurring2_based on steps'!$B280:$AY280,'recurring2_based on steps'!$B$1:$AY$1,O$1)+SUMIFS('changes2_based on steps'!$B280:$U280,'changes2_based on steps'!$B$1:$U$1,O$1)</f>
        <v>0</v>
      </c>
      <c r="P280" s="155">
        <f ca="1">SUMIFS('recurring2_based on steps'!$B280:$AY280,'recurring2_based on steps'!$B$1:$AY$1,P$1)+SUMIFS('changes2_based on steps'!$B280:$U280,'changes2_based on steps'!$B$1:$U$1,P$1)</f>
        <v>0</v>
      </c>
      <c r="Q280" s="155">
        <f>SUMIFS('recurring2_based on steps'!$B280:$AY280,'recurring2_based on steps'!$B$1:$AY$1,Q$1)+SUMIFS('changes2_based on steps'!$B280:$U280,'changes2_based on steps'!$B$1:$U$1,Q$1)</f>
        <v>0</v>
      </c>
      <c r="R280" s="155">
        <f ca="1">SUMIFS('recurring2_based on steps'!$B280:$AY280,'recurring2_based on steps'!$B$1:$AY$1,R$1)+SUMIFS('changes2_based on steps'!$B280:$U280,'changes2_based on steps'!$B$1:$U$1,R$1)</f>
        <v>0</v>
      </c>
      <c r="S280" s="155">
        <f ca="1">SUMIFS('recurring2_based on steps'!$B280:$AY280,'recurring2_based on steps'!$B$1:$AY$1,S$1)+SUMIFS('changes2_based on steps'!$B280:$U280,'changes2_based on steps'!$B$1:$U$1,S$1)</f>
        <v>0</v>
      </c>
      <c r="T280" s="155">
        <f>SUMIFS('recurring2_based on steps'!$B280:$AY280,'recurring2_based on steps'!$B$1:$AY$1,T$1)+SUMIFS('changes2_based on steps'!$B280:$U280,'changes2_based on steps'!$B$1:$U$1,T$1)</f>
        <v>0</v>
      </c>
      <c r="U280" s="155">
        <f ca="1">SUMIFS('recurring2_based on steps'!$B280:$AY280,'recurring2_based on steps'!$B$1:$AY$1,U$1)+SUMIFS('changes2_based on steps'!$B280:$U280,'changes2_based on steps'!$B$1:$U$1,U$1)</f>
        <v>0</v>
      </c>
      <c r="V280" s="155">
        <f>SUMIFS('recurring2_based on steps'!$B280:$AY280,'recurring2_based on steps'!$B$1:$AY$1,V$1)+SUMIFS('changes2_based on steps'!$B280:$U280,'changes2_based on steps'!$B$1:$U$1,V$1)</f>
        <v>0</v>
      </c>
      <c r="W280" s="155">
        <f ca="1">SUMIFS('recurring2_based on steps'!$B280:$AY280,'recurring2_based on steps'!$B$1:$AY$1,W$1)+SUMIFS('changes2_based on steps'!$B280:$U280,'changes2_based on steps'!$B$1:$U$1,W$1)</f>
        <v>0</v>
      </c>
      <c r="X280" s="155">
        <f ca="1">SUMIFS('recurring2_based on steps'!$B280:$AY280,'recurring2_based on steps'!$B$1:$AY$1,X$1)+SUMIFS('changes2_based on steps'!$B280:$U280,'changes2_based on steps'!$B$1:$U$1,X$1)</f>
        <v>0</v>
      </c>
      <c r="Y280" s="155">
        <f ca="1">SUMIFS('recurring2_based on steps'!$B280:$AY280,'recurring2_based on steps'!$B$1:$AY$1,Y$1)+SUMIFS('changes2_based on steps'!$B280:$U280,'changes2_based on steps'!$B$1:$U$1,Y$1)</f>
        <v>0</v>
      </c>
      <c r="Z280" s="155">
        <f>SUMIFS('recurring2_based on steps'!$B280:$AY280,'recurring2_based on steps'!$B$1:$AY$1,Z$1)+SUMIFS('changes2_based on steps'!$B280:$U280,'changes2_based on steps'!$B$1:$U$1,Z$1)</f>
        <v>0</v>
      </c>
      <c r="AA280" s="155">
        <f>SUMIFS('recurring2_based on steps'!$B280:$AY280,'recurring2_based on steps'!$B$1:$AY$1,AA$1)+SUMIFS('changes2_based on steps'!$B280:$U280,'changes2_based on steps'!$B$1:$U$1,AA$1)</f>
        <v>0</v>
      </c>
    </row>
    <row r="281" spans="1:27" x14ac:dyDescent="0.2">
      <c r="A281" s="18">
        <f t="shared" ca="1" si="4"/>
        <v>45967</v>
      </c>
      <c r="B281" s="155">
        <f ca="1">SUMIFS('recurring2_based on steps'!$B281:$AY281,'recurring2_based on steps'!$B$1:$AY$1,B$1)+SUMIFS('changes2_based on steps'!$B281:$U281,'changes2_based on steps'!$B$1:$U$1,B$1)</f>
        <v>0</v>
      </c>
      <c r="C281" s="155">
        <f>SUMIFS('recurring2_based on steps'!$B281:$AY281,'recurring2_based on steps'!$B$1:$AY$1,C$1)+SUMIFS('changes2_based on steps'!$B281:$U281,'changes2_based on steps'!$B$1:$U$1,C$1)</f>
        <v>0</v>
      </c>
      <c r="D281" s="155">
        <f>SUMIFS('recurring2_based on steps'!$B281:$AY281,'recurring2_based on steps'!$B$1:$AY$1,D$1)+SUMIFS('changes2_based on steps'!$B281:$U281,'changes2_based on steps'!$B$1:$U$1,D$1)</f>
        <v>0</v>
      </c>
      <c r="E281" s="155">
        <f>SUMIFS('recurring2_based on steps'!$B281:$AY281,'recurring2_based on steps'!$B$1:$AY$1,E$1)+SUMIFS('changes2_based on steps'!$B281:$U281,'changes2_based on steps'!$B$1:$U$1,E$1)</f>
        <v>0</v>
      </c>
      <c r="F281" s="155">
        <f>SUMIFS('recurring2_based on steps'!$B281:$AY281,'recurring2_based on steps'!$B$1:$AY$1,F$1)+SUMIFS('changes2_based on steps'!$B281:$U281,'changes2_based on steps'!$B$1:$U$1,F$1)</f>
        <v>0</v>
      </c>
      <c r="G281" s="155">
        <f>SUMIFS('recurring2_based on steps'!$B281:$AY281,'recurring2_based on steps'!$B$1:$AY$1,G$1)+SUMIFS('changes2_based on steps'!$B281:$U281,'changes2_based on steps'!$B$1:$U$1,G$1)</f>
        <v>0</v>
      </c>
      <c r="H281" s="155">
        <f ca="1">SUMIFS('recurring2_based on steps'!$B281:$AY281,'recurring2_based on steps'!$B$1:$AY$1,H$1)+SUMIFS('changes2_based on steps'!$B281:$U281,'changes2_based on steps'!$B$1:$U$1,H$1)</f>
        <v>0</v>
      </c>
      <c r="I281" s="155">
        <f>SUMIFS('recurring2_based on steps'!$B281:$AY281,'recurring2_based on steps'!$B$1:$AY$1,I$1)+SUMIFS('changes2_based on steps'!$B281:$U281,'changes2_based on steps'!$B$1:$U$1,I$1)</f>
        <v>0</v>
      </c>
      <c r="J281" s="155">
        <f>SUMIFS('recurring2_based on steps'!$B281:$AY281,'recurring2_based on steps'!$B$1:$AY$1,J$1)+SUMIFS('changes2_based on steps'!$B281:$U281,'changes2_based on steps'!$B$1:$U$1,J$1)</f>
        <v>0</v>
      </c>
      <c r="K281" s="155">
        <f>SUMIFS('recurring2_based on steps'!$B281:$AY281,'recurring2_based on steps'!$B$1:$AY$1,K$1)+SUMIFS('changes2_based on steps'!$B281:$U281,'changes2_based on steps'!$B$1:$U$1,K$1)</f>
        <v>0</v>
      </c>
      <c r="L281" s="155">
        <f>SUMIFS('recurring2_based on steps'!$B281:$AY281,'recurring2_based on steps'!$B$1:$AY$1,L$1)+SUMIFS('changes2_based on steps'!$B281:$U281,'changes2_based on steps'!$B$1:$U$1,L$1)</f>
        <v>0</v>
      </c>
      <c r="M281" s="155">
        <f ca="1">SUMIFS('recurring2_based on steps'!$B281:$AY281,'recurring2_based on steps'!$B$1:$AY$1,M$1)+SUMIFS('changes2_based on steps'!$B281:$U281,'changes2_based on steps'!$B$1:$U$1,M$1)</f>
        <v>0</v>
      </c>
      <c r="N281" s="155">
        <f ca="1">SUMIFS('recurring2_based on steps'!$B281:$AY281,'recurring2_based on steps'!$B$1:$AY$1,N$1)+SUMIFS('changes2_based on steps'!$B281:$U281,'changes2_based on steps'!$B$1:$U$1,N$1)</f>
        <v>0</v>
      </c>
      <c r="O281" s="155">
        <f ca="1">SUMIFS('recurring2_based on steps'!$B281:$AY281,'recurring2_based on steps'!$B$1:$AY$1,O$1)+SUMIFS('changes2_based on steps'!$B281:$U281,'changes2_based on steps'!$B$1:$U$1,O$1)</f>
        <v>0</v>
      </c>
      <c r="P281" s="155">
        <f ca="1">SUMIFS('recurring2_based on steps'!$B281:$AY281,'recurring2_based on steps'!$B$1:$AY$1,P$1)+SUMIFS('changes2_based on steps'!$B281:$U281,'changes2_based on steps'!$B$1:$U$1,P$1)</f>
        <v>0</v>
      </c>
      <c r="Q281" s="155">
        <f>SUMIFS('recurring2_based on steps'!$B281:$AY281,'recurring2_based on steps'!$B$1:$AY$1,Q$1)+SUMIFS('changes2_based on steps'!$B281:$U281,'changes2_based on steps'!$B$1:$U$1,Q$1)</f>
        <v>0</v>
      </c>
      <c r="R281" s="155">
        <f ca="1">SUMIFS('recurring2_based on steps'!$B281:$AY281,'recurring2_based on steps'!$B$1:$AY$1,R$1)+SUMIFS('changes2_based on steps'!$B281:$U281,'changes2_based on steps'!$B$1:$U$1,R$1)</f>
        <v>0</v>
      </c>
      <c r="S281" s="155">
        <f ca="1">SUMIFS('recurring2_based on steps'!$B281:$AY281,'recurring2_based on steps'!$B$1:$AY$1,S$1)+SUMIFS('changes2_based on steps'!$B281:$U281,'changes2_based on steps'!$B$1:$U$1,S$1)</f>
        <v>0</v>
      </c>
      <c r="T281" s="155">
        <f>SUMIFS('recurring2_based on steps'!$B281:$AY281,'recurring2_based on steps'!$B$1:$AY$1,T$1)+SUMIFS('changes2_based on steps'!$B281:$U281,'changes2_based on steps'!$B$1:$U$1,T$1)</f>
        <v>0</v>
      </c>
      <c r="U281" s="155">
        <f ca="1">SUMIFS('recurring2_based on steps'!$B281:$AY281,'recurring2_based on steps'!$B$1:$AY$1,U$1)+SUMIFS('changes2_based on steps'!$B281:$U281,'changes2_based on steps'!$B$1:$U$1,U$1)</f>
        <v>0</v>
      </c>
      <c r="V281" s="155">
        <f>SUMIFS('recurring2_based on steps'!$B281:$AY281,'recurring2_based on steps'!$B$1:$AY$1,V$1)+SUMIFS('changes2_based on steps'!$B281:$U281,'changes2_based on steps'!$B$1:$U$1,V$1)</f>
        <v>0</v>
      </c>
      <c r="W281" s="155">
        <f ca="1">SUMIFS('recurring2_based on steps'!$B281:$AY281,'recurring2_based on steps'!$B$1:$AY$1,W$1)+SUMIFS('changes2_based on steps'!$B281:$U281,'changes2_based on steps'!$B$1:$U$1,W$1)</f>
        <v>0</v>
      </c>
      <c r="X281" s="155">
        <f ca="1">SUMIFS('recurring2_based on steps'!$B281:$AY281,'recurring2_based on steps'!$B$1:$AY$1,X$1)+SUMIFS('changes2_based on steps'!$B281:$U281,'changes2_based on steps'!$B$1:$U$1,X$1)</f>
        <v>0</v>
      </c>
      <c r="Y281" s="155">
        <f ca="1">SUMIFS('recurring2_based on steps'!$B281:$AY281,'recurring2_based on steps'!$B$1:$AY$1,Y$1)+SUMIFS('changes2_based on steps'!$B281:$U281,'changes2_based on steps'!$B$1:$U$1,Y$1)</f>
        <v>0</v>
      </c>
      <c r="Z281" s="155">
        <f>SUMIFS('recurring2_based on steps'!$B281:$AY281,'recurring2_based on steps'!$B$1:$AY$1,Z$1)+SUMIFS('changes2_based on steps'!$B281:$U281,'changes2_based on steps'!$B$1:$U$1,Z$1)</f>
        <v>0</v>
      </c>
      <c r="AA281" s="155">
        <f>SUMIFS('recurring2_based on steps'!$B281:$AY281,'recurring2_based on steps'!$B$1:$AY$1,AA$1)+SUMIFS('changes2_based on steps'!$B281:$U281,'changes2_based on steps'!$B$1:$U$1,AA$1)</f>
        <v>0</v>
      </c>
    </row>
    <row r="282" spans="1:27" x14ac:dyDescent="0.2">
      <c r="A282" s="18">
        <f t="shared" ca="1" si="4"/>
        <v>45968</v>
      </c>
      <c r="B282" s="155">
        <f ca="1">SUMIFS('recurring2_based on steps'!$B282:$AY282,'recurring2_based on steps'!$B$1:$AY$1,B$1)+SUMIFS('changes2_based on steps'!$B282:$U282,'changes2_based on steps'!$B$1:$U$1,B$1)</f>
        <v>0</v>
      </c>
      <c r="C282" s="155">
        <f>SUMIFS('recurring2_based on steps'!$B282:$AY282,'recurring2_based on steps'!$B$1:$AY$1,C$1)+SUMIFS('changes2_based on steps'!$B282:$U282,'changes2_based on steps'!$B$1:$U$1,C$1)</f>
        <v>0</v>
      </c>
      <c r="D282" s="155">
        <f>SUMIFS('recurring2_based on steps'!$B282:$AY282,'recurring2_based on steps'!$B$1:$AY$1,D$1)+SUMIFS('changes2_based on steps'!$B282:$U282,'changes2_based on steps'!$B$1:$U$1,D$1)</f>
        <v>0</v>
      </c>
      <c r="E282" s="155">
        <f>SUMIFS('recurring2_based on steps'!$B282:$AY282,'recurring2_based on steps'!$B$1:$AY$1,E$1)+SUMIFS('changes2_based on steps'!$B282:$U282,'changes2_based on steps'!$B$1:$U$1,E$1)</f>
        <v>0</v>
      </c>
      <c r="F282" s="155">
        <f>SUMIFS('recurring2_based on steps'!$B282:$AY282,'recurring2_based on steps'!$B$1:$AY$1,F$1)+SUMIFS('changes2_based on steps'!$B282:$U282,'changes2_based on steps'!$B$1:$U$1,F$1)</f>
        <v>0</v>
      </c>
      <c r="G282" s="155">
        <f>SUMIFS('recurring2_based on steps'!$B282:$AY282,'recurring2_based on steps'!$B$1:$AY$1,G$1)+SUMIFS('changes2_based on steps'!$B282:$U282,'changes2_based on steps'!$B$1:$U$1,G$1)</f>
        <v>0</v>
      </c>
      <c r="H282" s="155">
        <f ca="1">SUMIFS('recurring2_based on steps'!$B282:$AY282,'recurring2_based on steps'!$B$1:$AY$1,H$1)+SUMIFS('changes2_based on steps'!$B282:$U282,'changes2_based on steps'!$B$1:$U$1,H$1)</f>
        <v>0</v>
      </c>
      <c r="I282" s="155">
        <f>SUMIFS('recurring2_based on steps'!$B282:$AY282,'recurring2_based on steps'!$B$1:$AY$1,I$1)+SUMIFS('changes2_based on steps'!$B282:$U282,'changes2_based on steps'!$B$1:$U$1,I$1)</f>
        <v>0</v>
      </c>
      <c r="J282" s="155">
        <f>SUMIFS('recurring2_based on steps'!$B282:$AY282,'recurring2_based on steps'!$B$1:$AY$1,J$1)+SUMIFS('changes2_based on steps'!$B282:$U282,'changes2_based on steps'!$B$1:$U$1,J$1)</f>
        <v>0</v>
      </c>
      <c r="K282" s="155">
        <f>SUMIFS('recurring2_based on steps'!$B282:$AY282,'recurring2_based on steps'!$B$1:$AY$1,K$1)+SUMIFS('changes2_based on steps'!$B282:$U282,'changes2_based on steps'!$B$1:$U$1,K$1)</f>
        <v>0</v>
      </c>
      <c r="L282" s="155">
        <f>SUMIFS('recurring2_based on steps'!$B282:$AY282,'recurring2_based on steps'!$B$1:$AY$1,L$1)+SUMIFS('changes2_based on steps'!$B282:$U282,'changes2_based on steps'!$B$1:$U$1,L$1)</f>
        <v>0</v>
      </c>
      <c r="M282" s="155">
        <f ca="1">SUMIFS('recurring2_based on steps'!$B282:$AY282,'recurring2_based on steps'!$B$1:$AY$1,M$1)+SUMIFS('changes2_based on steps'!$B282:$U282,'changes2_based on steps'!$B$1:$U$1,M$1)</f>
        <v>0</v>
      </c>
      <c r="N282" s="155">
        <f ca="1">SUMIFS('recurring2_based on steps'!$B282:$AY282,'recurring2_based on steps'!$B$1:$AY$1,N$1)+SUMIFS('changes2_based on steps'!$B282:$U282,'changes2_based on steps'!$B$1:$U$1,N$1)</f>
        <v>0</v>
      </c>
      <c r="O282" s="155">
        <f ca="1">SUMIFS('recurring2_based on steps'!$B282:$AY282,'recurring2_based on steps'!$B$1:$AY$1,O$1)+SUMIFS('changes2_based on steps'!$B282:$U282,'changes2_based on steps'!$B$1:$U$1,O$1)</f>
        <v>0</v>
      </c>
      <c r="P282" s="155">
        <f ca="1">SUMIFS('recurring2_based on steps'!$B282:$AY282,'recurring2_based on steps'!$B$1:$AY$1,P$1)+SUMIFS('changes2_based on steps'!$B282:$U282,'changes2_based on steps'!$B$1:$U$1,P$1)</f>
        <v>0</v>
      </c>
      <c r="Q282" s="155">
        <f>SUMIFS('recurring2_based on steps'!$B282:$AY282,'recurring2_based on steps'!$B$1:$AY$1,Q$1)+SUMIFS('changes2_based on steps'!$B282:$U282,'changes2_based on steps'!$B$1:$U$1,Q$1)</f>
        <v>0</v>
      </c>
      <c r="R282" s="155">
        <f ca="1">SUMIFS('recurring2_based on steps'!$B282:$AY282,'recurring2_based on steps'!$B$1:$AY$1,R$1)+SUMIFS('changes2_based on steps'!$B282:$U282,'changes2_based on steps'!$B$1:$U$1,R$1)</f>
        <v>0</v>
      </c>
      <c r="S282" s="155">
        <f ca="1">SUMIFS('recurring2_based on steps'!$B282:$AY282,'recurring2_based on steps'!$B$1:$AY$1,S$1)+SUMIFS('changes2_based on steps'!$B282:$U282,'changes2_based on steps'!$B$1:$U$1,S$1)</f>
        <v>0</v>
      </c>
      <c r="T282" s="155">
        <f>SUMIFS('recurring2_based on steps'!$B282:$AY282,'recurring2_based on steps'!$B$1:$AY$1,T$1)+SUMIFS('changes2_based on steps'!$B282:$U282,'changes2_based on steps'!$B$1:$U$1,T$1)</f>
        <v>0</v>
      </c>
      <c r="U282" s="155">
        <f ca="1">SUMIFS('recurring2_based on steps'!$B282:$AY282,'recurring2_based on steps'!$B$1:$AY$1,U$1)+SUMIFS('changes2_based on steps'!$B282:$U282,'changes2_based on steps'!$B$1:$U$1,U$1)</f>
        <v>0</v>
      </c>
      <c r="V282" s="155">
        <f>SUMIFS('recurring2_based on steps'!$B282:$AY282,'recurring2_based on steps'!$B$1:$AY$1,V$1)+SUMIFS('changes2_based on steps'!$B282:$U282,'changes2_based on steps'!$B$1:$U$1,V$1)</f>
        <v>0</v>
      </c>
      <c r="W282" s="155">
        <f ca="1">SUMIFS('recurring2_based on steps'!$B282:$AY282,'recurring2_based on steps'!$B$1:$AY$1,W$1)+SUMIFS('changes2_based on steps'!$B282:$U282,'changes2_based on steps'!$B$1:$U$1,W$1)</f>
        <v>0</v>
      </c>
      <c r="X282" s="155">
        <f ca="1">SUMIFS('recurring2_based on steps'!$B282:$AY282,'recurring2_based on steps'!$B$1:$AY$1,X$1)+SUMIFS('changes2_based on steps'!$B282:$U282,'changes2_based on steps'!$B$1:$U$1,X$1)</f>
        <v>0</v>
      </c>
      <c r="Y282" s="155">
        <f ca="1">SUMIFS('recurring2_based on steps'!$B282:$AY282,'recurring2_based on steps'!$B$1:$AY$1,Y$1)+SUMIFS('changes2_based on steps'!$B282:$U282,'changes2_based on steps'!$B$1:$U$1,Y$1)</f>
        <v>0</v>
      </c>
      <c r="Z282" s="155">
        <f>SUMIFS('recurring2_based on steps'!$B282:$AY282,'recurring2_based on steps'!$B$1:$AY$1,Z$1)+SUMIFS('changes2_based on steps'!$B282:$U282,'changes2_based on steps'!$B$1:$U$1,Z$1)</f>
        <v>0</v>
      </c>
      <c r="AA282" s="155">
        <f>SUMIFS('recurring2_based on steps'!$B282:$AY282,'recurring2_based on steps'!$B$1:$AY$1,AA$1)+SUMIFS('changes2_based on steps'!$B282:$U282,'changes2_based on steps'!$B$1:$U$1,AA$1)</f>
        <v>0</v>
      </c>
    </row>
    <row r="283" spans="1:27" x14ac:dyDescent="0.2">
      <c r="A283" s="18">
        <f t="shared" ca="1" si="4"/>
        <v>45969</v>
      </c>
      <c r="B283" s="155">
        <f ca="1">SUMIFS('recurring2_based on steps'!$B283:$AY283,'recurring2_based on steps'!$B$1:$AY$1,B$1)+SUMIFS('changes2_based on steps'!$B283:$U283,'changes2_based on steps'!$B$1:$U$1,B$1)</f>
        <v>0</v>
      </c>
      <c r="C283" s="155">
        <f>SUMIFS('recurring2_based on steps'!$B283:$AY283,'recurring2_based on steps'!$B$1:$AY$1,C$1)+SUMIFS('changes2_based on steps'!$B283:$U283,'changes2_based on steps'!$B$1:$U$1,C$1)</f>
        <v>0</v>
      </c>
      <c r="D283" s="155">
        <f>SUMIFS('recurring2_based on steps'!$B283:$AY283,'recurring2_based on steps'!$B$1:$AY$1,D$1)+SUMIFS('changes2_based on steps'!$B283:$U283,'changes2_based on steps'!$B$1:$U$1,D$1)</f>
        <v>0</v>
      </c>
      <c r="E283" s="155">
        <f>SUMIFS('recurring2_based on steps'!$B283:$AY283,'recurring2_based on steps'!$B$1:$AY$1,E$1)+SUMIFS('changes2_based on steps'!$B283:$U283,'changes2_based on steps'!$B$1:$U$1,E$1)</f>
        <v>0</v>
      </c>
      <c r="F283" s="155">
        <f>SUMIFS('recurring2_based on steps'!$B283:$AY283,'recurring2_based on steps'!$B$1:$AY$1,F$1)+SUMIFS('changes2_based on steps'!$B283:$U283,'changes2_based on steps'!$B$1:$U$1,F$1)</f>
        <v>0</v>
      </c>
      <c r="G283" s="155">
        <f>SUMIFS('recurring2_based on steps'!$B283:$AY283,'recurring2_based on steps'!$B$1:$AY$1,G$1)+SUMIFS('changes2_based on steps'!$B283:$U283,'changes2_based on steps'!$B$1:$U$1,G$1)</f>
        <v>0</v>
      </c>
      <c r="H283" s="155">
        <f ca="1">SUMIFS('recurring2_based on steps'!$B283:$AY283,'recurring2_based on steps'!$B$1:$AY$1,H$1)+SUMIFS('changes2_based on steps'!$B283:$U283,'changes2_based on steps'!$B$1:$U$1,H$1)</f>
        <v>0</v>
      </c>
      <c r="I283" s="155">
        <f>SUMIFS('recurring2_based on steps'!$B283:$AY283,'recurring2_based on steps'!$B$1:$AY$1,I$1)+SUMIFS('changes2_based on steps'!$B283:$U283,'changes2_based on steps'!$B$1:$U$1,I$1)</f>
        <v>0</v>
      </c>
      <c r="J283" s="155">
        <f>SUMIFS('recurring2_based on steps'!$B283:$AY283,'recurring2_based on steps'!$B$1:$AY$1,J$1)+SUMIFS('changes2_based on steps'!$B283:$U283,'changes2_based on steps'!$B$1:$U$1,J$1)</f>
        <v>0</v>
      </c>
      <c r="K283" s="155">
        <f>SUMIFS('recurring2_based on steps'!$B283:$AY283,'recurring2_based on steps'!$B$1:$AY$1,K$1)+SUMIFS('changes2_based on steps'!$B283:$U283,'changes2_based on steps'!$B$1:$U$1,K$1)</f>
        <v>0</v>
      </c>
      <c r="L283" s="155">
        <f>SUMIFS('recurring2_based on steps'!$B283:$AY283,'recurring2_based on steps'!$B$1:$AY$1,L$1)+SUMIFS('changes2_based on steps'!$B283:$U283,'changes2_based on steps'!$B$1:$U$1,L$1)</f>
        <v>0</v>
      </c>
      <c r="M283" s="155">
        <f ca="1">SUMIFS('recurring2_based on steps'!$B283:$AY283,'recurring2_based on steps'!$B$1:$AY$1,M$1)+SUMIFS('changes2_based on steps'!$B283:$U283,'changes2_based on steps'!$B$1:$U$1,M$1)</f>
        <v>0</v>
      </c>
      <c r="N283" s="155">
        <f ca="1">SUMIFS('recurring2_based on steps'!$B283:$AY283,'recurring2_based on steps'!$B$1:$AY$1,N$1)+SUMIFS('changes2_based on steps'!$B283:$U283,'changes2_based on steps'!$B$1:$U$1,N$1)</f>
        <v>0</v>
      </c>
      <c r="O283" s="155">
        <f ca="1">SUMIFS('recurring2_based on steps'!$B283:$AY283,'recurring2_based on steps'!$B$1:$AY$1,O$1)+SUMIFS('changes2_based on steps'!$B283:$U283,'changes2_based on steps'!$B$1:$U$1,O$1)</f>
        <v>0</v>
      </c>
      <c r="P283" s="155">
        <f ca="1">SUMIFS('recurring2_based on steps'!$B283:$AY283,'recurring2_based on steps'!$B$1:$AY$1,P$1)+SUMIFS('changes2_based on steps'!$B283:$U283,'changes2_based on steps'!$B$1:$U$1,P$1)</f>
        <v>0</v>
      </c>
      <c r="Q283" s="155">
        <f>SUMIFS('recurring2_based on steps'!$B283:$AY283,'recurring2_based on steps'!$B$1:$AY$1,Q$1)+SUMIFS('changes2_based on steps'!$B283:$U283,'changes2_based on steps'!$B$1:$U$1,Q$1)</f>
        <v>0</v>
      </c>
      <c r="R283" s="155">
        <f ca="1">SUMIFS('recurring2_based on steps'!$B283:$AY283,'recurring2_based on steps'!$B$1:$AY$1,R$1)+SUMIFS('changes2_based on steps'!$B283:$U283,'changes2_based on steps'!$B$1:$U$1,R$1)</f>
        <v>100</v>
      </c>
      <c r="S283" s="155">
        <f ca="1">SUMIFS('recurring2_based on steps'!$B283:$AY283,'recurring2_based on steps'!$B$1:$AY$1,S$1)+SUMIFS('changes2_based on steps'!$B283:$U283,'changes2_based on steps'!$B$1:$U$1,S$1)</f>
        <v>100</v>
      </c>
      <c r="T283" s="155">
        <f>SUMIFS('recurring2_based on steps'!$B283:$AY283,'recurring2_based on steps'!$B$1:$AY$1,T$1)+SUMIFS('changes2_based on steps'!$B283:$U283,'changes2_based on steps'!$B$1:$U$1,T$1)</f>
        <v>0</v>
      </c>
      <c r="U283" s="155">
        <f ca="1">SUMIFS('recurring2_based on steps'!$B283:$AY283,'recurring2_based on steps'!$B$1:$AY$1,U$1)+SUMIFS('changes2_based on steps'!$B283:$U283,'changes2_based on steps'!$B$1:$U$1,U$1)</f>
        <v>0</v>
      </c>
      <c r="V283" s="155">
        <f>SUMIFS('recurring2_based on steps'!$B283:$AY283,'recurring2_based on steps'!$B$1:$AY$1,V$1)+SUMIFS('changes2_based on steps'!$B283:$U283,'changes2_based on steps'!$B$1:$U$1,V$1)</f>
        <v>0</v>
      </c>
      <c r="W283" s="155">
        <f ca="1">SUMIFS('recurring2_based on steps'!$B283:$AY283,'recurring2_based on steps'!$B$1:$AY$1,W$1)+SUMIFS('changes2_based on steps'!$B283:$U283,'changes2_based on steps'!$B$1:$U$1,W$1)</f>
        <v>0</v>
      </c>
      <c r="X283" s="155">
        <f ca="1">SUMIFS('recurring2_based on steps'!$B283:$AY283,'recurring2_based on steps'!$B$1:$AY$1,X$1)+SUMIFS('changes2_based on steps'!$B283:$U283,'changes2_based on steps'!$B$1:$U$1,X$1)</f>
        <v>0</v>
      </c>
      <c r="Y283" s="155">
        <f ca="1">SUMIFS('recurring2_based on steps'!$B283:$AY283,'recurring2_based on steps'!$B$1:$AY$1,Y$1)+SUMIFS('changes2_based on steps'!$B283:$U283,'changes2_based on steps'!$B$1:$U$1,Y$1)</f>
        <v>0</v>
      </c>
      <c r="Z283" s="155">
        <f>SUMIFS('recurring2_based on steps'!$B283:$AY283,'recurring2_based on steps'!$B$1:$AY$1,Z$1)+SUMIFS('changes2_based on steps'!$B283:$U283,'changes2_based on steps'!$B$1:$U$1,Z$1)</f>
        <v>0</v>
      </c>
      <c r="AA283" s="155">
        <f>SUMIFS('recurring2_based on steps'!$B283:$AY283,'recurring2_based on steps'!$B$1:$AY$1,AA$1)+SUMIFS('changes2_based on steps'!$B283:$U283,'changes2_based on steps'!$B$1:$U$1,AA$1)</f>
        <v>0</v>
      </c>
    </row>
    <row r="284" spans="1:27" x14ac:dyDescent="0.2">
      <c r="A284" s="18">
        <f t="shared" ca="1" si="4"/>
        <v>45970</v>
      </c>
      <c r="B284" s="155">
        <f ca="1">SUMIFS('recurring2_based on steps'!$B284:$AY284,'recurring2_based on steps'!$B$1:$AY$1,B$1)+SUMIFS('changes2_based on steps'!$B284:$U284,'changes2_based on steps'!$B$1:$U$1,B$1)</f>
        <v>0</v>
      </c>
      <c r="C284" s="155">
        <f>SUMIFS('recurring2_based on steps'!$B284:$AY284,'recurring2_based on steps'!$B$1:$AY$1,C$1)+SUMIFS('changes2_based on steps'!$B284:$U284,'changes2_based on steps'!$B$1:$U$1,C$1)</f>
        <v>0</v>
      </c>
      <c r="D284" s="155">
        <f>SUMIFS('recurring2_based on steps'!$B284:$AY284,'recurring2_based on steps'!$B$1:$AY$1,D$1)+SUMIFS('changes2_based on steps'!$B284:$U284,'changes2_based on steps'!$B$1:$U$1,D$1)</f>
        <v>0</v>
      </c>
      <c r="E284" s="155">
        <f>SUMIFS('recurring2_based on steps'!$B284:$AY284,'recurring2_based on steps'!$B$1:$AY$1,E$1)+SUMIFS('changes2_based on steps'!$B284:$U284,'changes2_based on steps'!$B$1:$U$1,E$1)</f>
        <v>0</v>
      </c>
      <c r="F284" s="155">
        <f>SUMIFS('recurring2_based on steps'!$B284:$AY284,'recurring2_based on steps'!$B$1:$AY$1,F$1)+SUMIFS('changes2_based on steps'!$B284:$U284,'changes2_based on steps'!$B$1:$U$1,F$1)</f>
        <v>0</v>
      </c>
      <c r="G284" s="155">
        <f>SUMIFS('recurring2_based on steps'!$B284:$AY284,'recurring2_based on steps'!$B$1:$AY$1,G$1)+SUMIFS('changes2_based on steps'!$B284:$U284,'changes2_based on steps'!$B$1:$U$1,G$1)</f>
        <v>0</v>
      </c>
      <c r="H284" s="155">
        <f ca="1">SUMIFS('recurring2_based on steps'!$B284:$AY284,'recurring2_based on steps'!$B$1:$AY$1,H$1)+SUMIFS('changes2_based on steps'!$B284:$U284,'changes2_based on steps'!$B$1:$U$1,H$1)</f>
        <v>0</v>
      </c>
      <c r="I284" s="155">
        <f>SUMIFS('recurring2_based on steps'!$B284:$AY284,'recurring2_based on steps'!$B$1:$AY$1,I$1)+SUMIFS('changes2_based on steps'!$B284:$U284,'changes2_based on steps'!$B$1:$U$1,I$1)</f>
        <v>0</v>
      </c>
      <c r="J284" s="155">
        <f>SUMIFS('recurring2_based on steps'!$B284:$AY284,'recurring2_based on steps'!$B$1:$AY$1,J$1)+SUMIFS('changes2_based on steps'!$B284:$U284,'changes2_based on steps'!$B$1:$U$1,J$1)</f>
        <v>0</v>
      </c>
      <c r="K284" s="155">
        <f>SUMIFS('recurring2_based on steps'!$B284:$AY284,'recurring2_based on steps'!$B$1:$AY$1,K$1)+SUMIFS('changes2_based on steps'!$B284:$U284,'changes2_based on steps'!$B$1:$U$1,K$1)</f>
        <v>0</v>
      </c>
      <c r="L284" s="155">
        <f>SUMIFS('recurring2_based on steps'!$B284:$AY284,'recurring2_based on steps'!$B$1:$AY$1,L$1)+SUMIFS('changes2_based on steps'!$B284:$U284,'changes2_based on steps'!$B$1:$U$1,L$1)</f>
        <v>0</v>
      </c>
      <c r="M284" s="155">
        <f ca="1">SUMIFS('recurring2_based on steps'!$B284:$AY284,'recurring2_based on steps'!$B$1:$AY$1,M$1)+SUMIFS('changes2_based on steps'!$B284:$U284,'changes2_based on steps'!$B$1:$U$1,M$1)</f>
        <v>0</v>
      </c>
      <c r="N284" s="155">
        <f ca="1">SUMIFS('recurring2_based on steps'!$B284:$AY284,'recurring2_based on steps'!$B$1:$AY$1,N$1)+SUMIFS('changes2_based on steps'!$B284:$U284,'changes2_based on steps'!$B$1:$U$1,N$1)</f>
        <v>50</v>
      </c>
      <c r="O284" s="155">
        <f ca="1">SUMIFS('recurring2_based on steps'!$B284:$AY284,'recurring2_based on steps'!$B$1:$AY$1,O$1)+SUMIFS('changes2_based on steps'!$B284:$U284,'changes2_based on steps'!$B$1:$U$1,O$1)</f>
        <v>0</v>
      </c>
      <c r="P284" s="155">
        <f ca="1">SUMIFS('recurring2_based on steps'!$B284:$AY284,'recurring2_based on steps'!$B$1:$AY$1,P$1)+SUMIFS('changes2_based on steps'!$B284:$U284,'changes2_based on steps'!$B$1:$U$1,P$1)</f>
        <v>0</v>
      </c>
      <c r="Q284" s="155">
        <f>SUMIFS('recurring2_based on steps'!$B284:$AY284,'recurring2_based on steps'!$B$1:$AY$1,Q$1)+SUMIFS('changes2_based on steps'!$B284:$U284,'changes2_based on steps'!$B$1:$U$1,Q$1)</f>
        <v>0</v>
      </c>
      <c r="R284" s="155">
        <f ca="1">SUMIFS('recurring2_based on steps'!$B284:$AY284,'recurring2_based on steps'!$B$1:$AY$1,R$1)+SUMIFS('changes2_based on steps'!$B284:$U284,'changes2_based on steps'!$B$1:$U$1,R$1)</f>
        <v>0</v>
      </c>
      <c r="S284" s="155">
        <f ca="1">SUMIFS('recurring2_based on steps'!$B284:$AY284,'recurring2_based on steps'!$B$1:$AY$1,S$1)+SUMIFS('changes2_based on steps'!$B284:$U284,'changes2_based on steps'!$B$1:$U$1,S$1)</f>
        <v>100</v>
      </c>
      <c r="T284" s="155">
        <f>SUMIFS('recurring2_based on steps'!$B284:$AY284,'recurring2_based on steps'!$B$1:$AY$1,T$1)+SUMIFS('changes2_based on steps'!$B284:$U284,'changes2_based on steps'!$B$1:$U$1,T$1)</f>
        <v>0</v>
      </c>
      <c r="U284" s="155">
        <f ca="1">SUMIFS('recurring2_based on steps'!$B284:$AY284,'recurring2_based on steps'!$B$1:$AY$1,U$1)+SUMIFS('changes2_based on steps'!$B284:$U284,'changes2_based on steps'!$B$1:$U$1,U$1)</f>
        <v>0</v>
      </c>
      <c r="V284" s="155">
        <f>SUMIFS('recurring2_based on steps'!$B284:$AY284,'recurring2_based on steps'!$B$1:$AY$1,V$1)+SUMIFS('changes2_based on steps'!$B284:$U284,'changes2_based on steps'!$B$1:$U$1,V$1)</f>
        <v>0</v>
      </c>
      <c r="W284" s="155">
        <f ca="1">SUMIFS('recurring2_based on steps'!$B284:$AY284,'recurring2_based on steps'!$B$1:$AY$1,W$1)+SUMIFS('changes2_based on steps'!$B284:$U284,'changes2_based on steps'!$B$1:$U$1,W$1)</f>
        <v>0</v>
      </c>
      <c r="X284" s="155">
        <f ca="1">SUMIFS('recurring2_based on steps'!$B284:$AY284,'recurring2_based on steps'!$B$1:$AY$1,X$1)+SUMIFS('changes2_based on steps'!$B284:$U284,'changes2_based on steps'!$B$1:$U$1,X$1)</f>
        <v>0</v>
      </c>
      <c r="Y284" s="155">
        <f ca="1">SUMIFS('recurring2_based on steps'!$B284:$AY284,'recurring2_based on steps'!$B$1:$AY$1,Y$1)+SUMIFS('changes2_based on steps'!$B284:$U284,'changes2_based on steps'!$B$1:$U$1,Y$1)</f>
        <v>0</v>
      </c>
      <c r="Z284" s="155">
        <f>SUMIFS('recurring2_based on steps'!$B284:$AY284,'recurring2_based on steps'!$B$1:$AY$1,Z$1)+SUMIFS('changes2_based on steps'!$B284:$U284,'changes2_based on steps'!$B$1:$U$1,Z$1)</f>
        <v>0</v>
      </c>
      <c r="AA284" s="155">
        <f>SUMIFS('recurring2_based on steps'!$B284:$AY284,'recurring2_based on steps'!$B$1:$AY$1,AA$1)+SUMIFS('changes2_based on steps'!$B284:$U284,'changes2_based on steps'!$B$1:$U$1,AA$1)</f>
        <v>0</v>
      </c>
    </row>
    <row r="285" spans="1:27" x14ac:dyDescent="0.2">
      <c r="A285" s="18">
        <f t="shared" ca="1" si="4"/>
        <v>45971</v>
      </c>
      <c r="B285" s="155">
        <f ca="1">SUMIFS('recurring2_based on steps'!$B285:$AY285,'recurring2_based on steps'!$B$1:$AY$1,B$1)+SUMIFS('changes2_based on steps'!$B285:$U285,'changes2_based on steps'!$B$1:$U$1,B$1)</f>
        <v>0</v>
      </c>
      <c r="C285" s="155">
        <f>SUMIFS('recurring2_based on steps'!$B285:$AY285,'recurring2_based on steps'!$B$1:$AY$1,C$1)+SUMIFS('changes2_based on steps'!$B285:$U285,'changes2_based on steps'!$B$1:$U$1,C$1)</f>
        <v>0</v>
      </c>
      <c r="D285" s="155">
        <f>SUMIFS('recurring2_based on steps'!$B285:$AY285,'recurring2_based on steps'!$B$1:$AY$1,D$1)+SUMIFS('changes2_based on steps'!$B285:$U285,'changes2_based on steps'!$B$1:$U$1,D$1)</f>
        <v>0</v>
      </c>
      <c r="E285" s="155">
        <f>SUMIFS('recurring2_based on steps'!$B285:$AY285,'recurring2_based on steps'!$B$1:$AY$1,E$1)+SUMIFS('changes2_based on steps'!$B285:$U285,'changes2_based on steps'!$B$1:$U$1,E$1)</f>
        <v>0</v>
      </c>
      <c r="F285" s="155">
        <f>SUMIFS('recurring2_based on steps'!$B285:$AY285,'recurring2_based on steps'!$B$1:$AY$1,F$1)+SUMIFS('changes2_based on steps'!$B285:$U285,'changes2_based on steps'!$B$1:$U$1,F$1)</f>
        <v>0</v>
      </c>
      <c r="G285" s="155">
        <f>SUMIFS('recurring2_based on steps'!$B285:$AY285,'recurring2_based on steps'!$B$1:$AY$1,G$1)+SUMIFS('changes2_based on steps'!$B285:$U285,'changes2_based on steps'!$B$1:$U$1,G$1)</f>
        <v>0</v>
      </c>
      <c r="H285" s="155">
        <f ca="1">SUMIFS('recurring2_based on steps'!$B285:$AY285,'recurring2_based on steps'!$B$1:$AY$1,H$1)+SUMIFS('changes2_based on steps'!$B285:$U285,'changes2_based on steps'!$B$1:$U$1,H$1)</f>
        <v>0</v>
      </c>
      <c r="I285" s="155">
        <f>SUMIFS('recurring2_based on steps'!$B285:$AY285,'recurring2_based on steps'!$B$1:$AY$1,I$1)+SUMIFS('changes2_based on steps'!$B285:$U285,'changes2_based on steps'!$B$1:$U$1,I$1)</f>
        <v>0</v>
      </c>
      <c r="J285" s="155">
        <f>SUMIFS('recurring2_based on steps'!$B285:$AY285,'recurring2_based on steps'!$B$1:$AY$1,J$1)+SUMIFS('changes2_based on steps'!$B285:$U285,'changes2_based on steps'!$B$1:$U$1,J$1)</f>
        <v>0</v>
      </c>
      <c r="K285" s="155">
        <f>SUMIFS('recurring2_based on steps'!$B285:$AY285,'recurring2_based on steps'!$B$1:$AY$1,K$1)+SUMIFS('changes2_based on steps'!$B285:$U285,'changes2_based on steps'!$B$1:$U$1,K$1)</f>
        <v>0</v>
      </c>
      <c r="L285" s="155">
        <f>SUMIFS('recurring2_based on steps'!$B285:$AY285,'recurring2_based on steps'!$B$1:$AY$1,L$1)+SUMIFS('changes2_based on steps'!$B285:$U285,'changes2_based on steps'!$B$1:$U$1,L$1)</f>
        <v>0</v>
      </c>
      <c r="M285" s="155">
        <f ca="1">SUMIFS('recurring2_based on steps'!$B285:$AY285,'recurring2_based on steps'!$B$1:$AY$1,M$1)+SUMIFS('changes2_based on steps'!$B285:$U285,'changes2_based on steps'!$B$1:$U$1,M$1)</f>
        <v>0</v>
      </c>
      <c r="N285" s="155">
        <f ca="1">SUMIFS('recurring2_based on steps'!$B285:$AY285,'recurring2_based on steps'!$B$1:$AY$1,N$1)+SUMIFS('changes2_based on steps'!$B285:$U285,'changes2_based on steps'!$B$1:$U$1,N$1)</f>
        <v>0</v>
      </c>
      <c r="O285" s="155">
        <f ca="1">SUMIFS('recurring2_based on steps'!$B285:$AY285,'recurring2_based on steps'!$B$1:$AY$1,O$1)+SUMIFS('changes2_based on steps'!$B285:$U285,'changes2_based on steps'!$B$1:$U$1,O$1)</f>
        <v>0</v>
      </c>
      <c r="P285" s="155">
        <f ca="1">SUMIFS('recurring2_based on steps'!$B285:$AY285,'recurring2_based on steps'!$B$1:$AY$1,P$1)+SUMIFS('changes2_based on steps'!$B285:$U285,'changes2_based on steps'!$B$1:$U$1,P$1)</f>
        <v>0</v>
      </c>
      <c r="Q285" s="155">
        <f>SUMIFS('recurring2_based on steps'!$B285:$AY285,'recurring2_based on steps'!$B$1:$AY$1,Q$1)+SUMIFS('changes2_based on steps'!$B285:$U285,'changes2_based on steps'!$B$1:$U$1,Q$1)</f>
        <v>0</v>
      </c>
      <c r="R285" s="155">
        <f ca="1">SUMIFS('recurring2_based on steps'!$B285:$AY285,'recurring2_based on steps'!$B$1:$AY$1,R$1)+SUMIFS('changes2_based on steps'!$B285:$U285,'changes2_based on steps'!$B$1:$U$1,R$1)</f>
        <v>0</v>
      </c>
      <c r="S285" s="155">
        <f ca="1">SUMIFS('recurring2_based on steps'!$B285:$AY285,'recurring2_based on steps'!$B$1:$AY$1,S$1)+SUMIFS('changes2_based on steps'!$B285:$U285,'changes2_based on steps'!$B$1:$U$1,S$1)</f>
        <v>0</v>
      </c>
      <c r="T285" s="155">
        <f>SUMIFS('recurring2_based on steps'!$B285:$AY285,'recurring2_based on steps'!$B$1:$AY$1,T$1)+SUMIFS('changes2_based on steps'!$B285:$U285,'changes2_based on steps'!$B$1:$U$1,T$1)</f>
        <v>0</v>
      </c>
      <c r="U285" s="155">
        <f ca="1">SUMIFS('recurring2_based on steps'!$B285:$AY285,'recurring2_based on steps'!$B$1:$AY$1,U$1)+SUMIFS('changes2_based on steps'!$B285:$U285,'changes2_based on steps'!$B$1:$U$1,U$1)</f>
        <v>0</v>
      </c>
      <c r="V285" s="155">
        <f>SUMIFS('recurring2_based on steps'!$B285:$AY285,'recurring2_based on steps'!$B$1:$AY$1,V$1)+SUMIFS('changes2_based on steps'!$B285:$U285,'changes2_based on steps'!$B$1:$U$1,V$1)</f>
        <v>0</v>
      </c>
      <c r="W285" s="155">
        <f ca="1">SUMIFS('recurring2_based on steps'!$B285:$AY285,'recurring2_based on steps'!$B$1:$AY$1,W$1)+SUMIFS('changes2_based on steps'!$B285:$U285,'changes2_based on steps'!$B$1:$U$1,W$1)</f>
        <v>0</v>
      </c>
      <c r="X285" s="155">
        <f ca="1">SUMIFS('recurring2_based on steps'!$B285:$AY285,'recurring2_based on steps'!$B$1:$AY$1,X$1)+SUMIFS('changes2_based on steps'!$B285:$U285,'changes2_based on steps'!$B$1:$U$1,X$1)</f>
        <v>0</v>
      </c>
      <c r="Y285" s="155">
        <f ca="1">SUMIFS('recurring2_based on steps'!$B285:$AY285,'recurring2_based on steps'!$B$1:$AY$1,Y$1)+SUMIFS('changes2_based on steps'!$B285:$U285,'changes2_based on steps'!$B$1:$U$1,Y$1)</f>
        <v>0</v>
      </c>
      <c r="Z285" s="155">
        <f>SUMIFS('recurring2_based on steps'!$B285:$AY285,'recurring2_based on steps'!$B$1:$AY$1,Z$1)+SUMIFS('changes2_based on steps'!$B285:$U285,'changes2_based on steps'!$B$1:$U$1,Z$1)</f>
        <v>0</v>
      </c>
      <c r="AA285" s="155">
        <f>SUMIFS('recurring2_based on steps'!$B285:$AY285,'recurring2_based on steps'!$B$1:$AY$1,AA$1)+SUMIFS('changes2_based on steps'!$B285:$U285,'changes2_based on steps'!$B$1:$U$1,AA$1)</f>
        <v>0</v>
      </c>
    </row>
    <row r="286" spans="1:27" x14ac:dyDescent="0.2">
      <c r="A286" s="18">
        <f t="shared" ca="1" si="4"/>
        <v>45972</v>
      </c>
      <c r="B286" s="155">
        <f ca="1">SUMIFS('recurring2_based on steps'!$B286:$AY286,'recurring2_based on steps'!$B$1:$AY$1,B$1)+SUMIFS('changes2_based on steps'!$B286:$U286,'changes2_based on steps'!$B$1:$U$1,B$1)</f>
        <v>0</v>
      </c>
      <c r="C286" s="155">
        <f>SUMIFS('recurring2_based on steps'!$B286:$AY286,'recurring2_based on steps'!$B$1:$AY$1,C$1)+SUMIFS('changes2_based on steps'!$B286:$U286,'changes2_based on steps'!$B$1:$U$1,C$1)</f>
        <v>0</v>
      </c>
      <c r="D286" s="155">
        <f>SUMIFS('recurring2_based on steps'!$B286:$AY286,'recurring2_based on steps'!$B$1:$AY$1,D$1)+SUMIFS('changes2_based on steps'!$B286:$U286,'changes2_based on steps'!$B$1:$U$1,D$1)</f>
        <v>0</v>
      </c>
      <c r="E286" s="155">
        <f>SUMIFS('recurring2_based on steps'!$B286:$AY286,'recurring2_based on steps'!$B$1:$AY$1,E$1)+SUMIFS('changes2_based on steps'!$B286:$U286,'changes2_based on steps'!$B$1:$U$1,E$1)</f>
        <v>0</v>
      </c>
      <c r="F286" s="155">
        <f>SUMIFS('recurring2_based on steps'!$B286:$AY286,'recurring2_based on steps'!$B$1:$AY$1,F$1)+SUMIFS('changes2_based on steps'!$B286:$U286,'changes2_based on steps'!$B$1:$U$1,F$1)</f>
        <v>0</v>
      </c>
      <c r="G286" s="155">
        <f>SUMIFS('recurring2_based on steps'!$B286:$AY286,'recurring2_based on steps'!$B$1:$AY$1,G$1)+SUMIFS('changes2_based on steps'!$B286:$U286,'changes2_based on steps'!$B$1:$U$1,G$1)</f>
        <v>0</v>
      </c>
      <c r="H286" s="155">
        <f ca="1">SUMIFS('recurring2_based on steps'!$B286:$AY286,'recurring2_based on steps'!$B$1:$AY$1,H$1)+SUMIFS('changes2_based on steps'!$B286:$U286,'changes2_based on steps'!$B$1:$U$1,H$1)</f>
        <v>0</v>
      </c>
      <c r="I286" s="155">
        <f>SUMIFS('recurring2_based on steps'!$B286:$AY286,'recurring2_based on steps'!$B$1:$AY$1,I$1)+SUMIFS('changes2_based on steps'!$B286:$U286,'changes2_based on steps'!$B$1:$U$1,I$1)</f>
        <v>0</v>
      </c>
      <c r="J286" s="155">
        <f>SUMIFS('recurring2_based on steps'!$B286:$AY286,'recurring2_based on steps'!$B$1:$AY$1,J$1)+SUMIFS('changes2_based on steps'!$B286:$U286,'changes2_based on steps'!$B$1:$U$1,J$1)</f>
        <v>0</v>
      </c>
      <c r="K286" s="155">
        <f>SUMIFS('recurring2_based on steps'!$B286:$AY286,'recurring2_based on steps'!$B$1:$AY$1,K$1)+SUMIFS('changes2_based on steps'!$B286:$U286,'changes2_based on steps'!$B$1:$U$1,K$1)</f>
        <v>0</v>
      </c>
      <c r="L286" s="155">
        <f>SUMIFS('recurring2_based on steps'!$B286:$AY286,'recurring2_based on steps'!$B$1:$AY$1,L$1)+SUMIFS('changes2_based on steps'!$B286:$U286,'changes2_based on steps'!$B$1:$U$1,L$1)</f>
        <v>0</v>
      </c>
      <c r="M286" s="155">
        <f ca="1">SUMIFS('recurring2_based on steps'!$B286:$AY286,'recurring2_based on steps'!$B$1:$AY$1,M$1)+SUMIFS('changes2_based on steps'!$B286:$U286,'changes2_based on steps'!$B$1:$U$1,M$1)</f>
        <v>0</v>
      </c>
      <c r="N286" s="155">
        <f ca="1">SUMIFS('recurring2_based on steps'!$B286:$AY286,'recurring2_based on steps'!$B$1:$AY$1,N$1)+SUMIFS('changes2_based on steps'!$B286:$U286,'changes2_based on steps'!$B$1:$U$1,N$1)</f>
        <v>0</v>
      </c>
      <c r="O286" s="155">
        <f ca="1">SUMIFS('recurring2_based on steps'!$B286:$AY286,'recurring2_based on steps'!$B$1:$AY$1,O$1)+SUMIFS('changes2_based on steps'!$B286:$U286,'changes2_based on steps'!$B$1:$U$1,O$1)</f>
        <v>0</v>
      </c>
      <c r="P286" s="155">
        <f ca="1">SUMIFS('recurring2_based on steps'!$B286:$AY286,'recurring2_based on steps'!$B$1:$AY$1,P$1)+SUMIFS('changes2_based on steps'!$B286:$U286,'changes2_based on steps'!$B$1:$U$1,P$1)</f>
        <v>0</v>
      </c>
      <c r="Q286" s="155">
        <f>SUMIFS('recurring2_based on steps'!$B286:$AY286,'recurring2_based on steps'!$B$1:$AY$1,Q$1)+SUMIFS('changes2_based on steps'!$B286:$U286,'changes2_based on steps'!$B$1:$U$1,Q$1)</f>
        <v>0</v>
      </c>
      <c r="R286" s="155">
        <f ca="1">SUMIFS('recurring2_based on steps'!$B286:$AY286,'recurring2_based on steps'!$B$1:$AY$1,R$1)+SUMIFS('changes2_based on steps'!$B286:$U286,'changes2_based on steps'!$B$1:$U$1,R$1)</f>
        <v>0</v>
      </c>
      <c r="S286" s="155">
        <f ca="1">SUMIFS('recurring2_based on steps'!$B286:$AY286,'recurring2_based on steps'!$B$1:$AY$1,S$1)+SUMIFS('changes2_based on steps'!$B286:$U286,'changes2_based on steps'!$B$1:$U$1,S$1)</f>
        <v>0</v>
      </c>
      <c r="T286" s="155">
        <f>SUMIFS('recurring2_based on steps'!$B286:$AY286,'recurring2_based on steps'!$B$1:$AY$1,T$1)+SUMIFS('changes2_based on steps'!$B286:$U286,'changes2_based on steps'!$B$1:$U$1,T$1)</f>
        <v>0</v>
      </c>
      <c r="U286" s="155">
        <f ca="1">SUMIFS('recurring2_based on steps'!$B286:$AY286,'recurring2_based on steps'!$B$1:$AY$1,U$1)+SUMIFS('changes2_based on steps'!$B286:$U286,'changes2_based on steps'!$B$1:$U$1,U$1)</f>
        <v>0</v>
      </c>
      <c r="V286" s="155">
        <f>SUMIFS('recurring2_based on steps'!$B286:$AY286,'recurring2_based on steps'!$B$1:$AY$1,V$1)+SUMIFS('changes2_based on steps'!$B286:$U286,'changes2_based on steps'!$B$1:$U$1,V$1)</f>
        <v>0</v>
      </c>
      <c r="W286" s="155">
        <f ca="1">SUMIFS('recurring2_based on steps'!$B286:$AY286,'recurring2_based on steps'!$B$1:$AY$1,W$1)+SUMIFS('changes2_based on steps'!$B286:$U286,'changes2_based on steps'!$B$1:$U$1,W$1)</f>
        <v>0</v>
      </c>
      <c r="X286" s="155">
        <f ca="1">SUMIFS('recurring2_based on steps'!$B286:$AY286,'recurring2_based on steps'!$B$1:$AY$1,X$1)+SUMIFS('changes2_based on steps'!$B286:$U286,'changes2_based on steps'!$B$1:$U$1,X$1)</f>
        <v>0</v>
      </c>
      <c r="Y286" s="155">
        <f ca="1">SUMIFS('recurring2_based on steps'!$B286:$AY286,'recurring2_based on steps'!$B$1:$AY$1,Y$1)+SUMIFS('changes2_based on steps'!$B286:$U286,'changes2_based on steps'!$B$1:$U$1,Y$1)</f>
        <v>0</v>
      </c>
      <c r="Z286" s="155">
        <f>SUMIFS('recurring2_based on steps'!$B286:$AY286,'recurring2_based on steps'!$B$1:$AY$1,Z$1)+SUMIFS('changes2_based on steps'!$B286:$U286,'changes2_based on steps'!$B$1:$U$1,Z$1)</f>
        <v>0</v>
      </c>
      <c r="AA286" s="155">
        <f>SUMIFS('recurring2_based on steps'!$B286:$AY286,'recurring2_based on steps'!$B$1:$AY$1,AA$1)+SUMIFS('changes2_based on steps'!$B286:$U286,'changes2_based on steps'!$B$1:$U$1,AA$1)</f>
        <v>0</v>
      </c>
    </row>
    <row r="287" spans="1:27" x14ac:dyDescent="0.2">
      <c r="A287" s="18">
        <f t="shared" ca="1" si="4"/>
        <v>45973</v>
      </c>
      <c r="B287" s="155">
        <f ca="1">SUMIFS('recurring2_based on steps'!$B287:$AY287,'recurring2_based on steps'!$B$1:$AY$1,B$1)+SUMIFS('changes2_based on steps'!$B287:$U287,'changes2_based on steps'!$B$1:$U$1,B$1)</f>
        <v>0</v>
      </c>
      <c r="C287" s="155">
        <f>SUMIFS('recurring2_based on steps'!$B287:$AY287,'recurring2_based on steps'!$B$1:$AY$1,C$1)+SUMIFS('changes2_based on steps'!$B287:$U287,'changes2_based on steps'!$B$1:$U$1,C$1)</f>
        <v>0</v>
      </c>
      <c r="D287" s="155">
        <f>SUMIFS('recurring2_based on steps'!$B287:$AY287,'recurring2_based on steps'!$B$1:$AY$1,D$1)+SUMIFS('changes2_based on steps'!$B287:$U287,'changes2_based on steps'!$B$1:$U$1,D$1)</f>
        <v>0</v>
      </c>
      <c r="E287" s="155">
        <f>SUMIFS('recurring2_based on steps'!$B287:$AY287,'recurring2_based on steps'!$B$1:$AY$1,E$1)+SUMIFS('changes2_based on steps'!$B287:$U287,'changes2_based on steps'!$B$1:$U$1,E$1)</f>
        <v>0</v>
      </c>
      <c r="F287" s="155">
        <f>SUMIFS('recurring2_based on steps'!$B287:$AY287,'recurring2_based on steps'!$B$1:$AY$1,F$1)+SUMIFS('changes2_based on steps'!$B287:$U287,'changes2_based on steps'!$B$1:$U$1,F$1)</f>
        <v>0</v>
      </c>
      <c r="G287" s="155">
        <f>SUMIFS('recurring2_based on steps'!$B287:$AY287,'recurring2_based on steps'!$B$1:$AY$1,G$1)+SUMIFS('changes2_based on steps'!$B287:$U287,'changes2_based on steps'!$B$1:$U$1,G$1)</f>
        <v>0</v>
      </c>
      <c r="H287" s="155">
        <f ca="1">SUMIFS('recurring2_based on steps'!$B287:$AY287,'recurring2_based on steps'!$B$1:$AY$1,H$1)+SUMIFS('changes2_based on steps'!$B287:$U287,'changes2_based on steps'!$B$1:$U$1,H$1)</f>
        <v>0</v>
      </c>
      <c r="I287" s="155">
        <f>SUMIFS('recurring2_based on steps'!$B287:$AY287,'recurring2_based on steps'!$B$1:$AY$1,I$1)+SUMIFS('changes2_based on steps'!$B287:$U287,'changes2_based on steps'!$B$1:$U$1,I$1)</f>
        <v>0</v>
      </c>
      <c r="J287" s="155">
        <f>SUMIFS('recurring2_based on steps'!$B287:$AY287,'recurring2_based on steps'!$B$1:$AY$1,J$1)+SUMIFS('changes2_based on steps'!$B287:$U287,'changes2_based on steps'!$B$1:$U$1,J$1)</f>
        <v>0</v>
      </c>
      <c r="K287" s="155">
        <f>SUMIFS('recurring2_based on steps'!$B287:$AY287,'recurring2_based on steps'!$B$1:$AY$1,K$1)+SUMIFS('changes2_based on steps'!$B287:$U287,'changes2_based on steps'!$B$1:$U$1,K$1)</f>
        <v>0</v>
      </c>
      <c r="L287" s="155">
        <f>SUMIFS('recurring2_based on steps'!$B287:$AY287,'recurring2_based on steps'!$B$1:$AY$1,L$1)+SUMIFS('changes2_based on steps'!$B287:$U287,'changes2_based on steps'!$B$1:$U$1,L$1)</f>
        <v>0</v>
      </c>
      <c r="M287" s="155">
        <f ca="1">SUMIFS('recurring2_based on steps'!$B287:$AY287,'recurring2_based on steps'!$B$1:$AY$1,M$1)+SUMIFS('changes2_based on steps'!$B287:$U287,'changes2_based on steps'!$B$1:$U$1,M$1)</f>
        <v>0</v>
      </c>
      <c r="N287" s="155">
        <f ca="1">SUMIFS('recurring2_based on steps'!$B287:$AY287,'recurring2_based on steps'!$B$1:$AY$1,N$1)+SUMIFS('changes2_based on steps'!$B287:$U287,'changes2_based on steps'!$B$1:$U$1,N$1)</f>
        <v>0</v>
      </c>
      <c r="O287" s="155">
        <f ca="1">SUMIFS('recurring2_based on steps'!$B287:$AY287,'recurring2_based on steps'!$B$1:$AY$1,O$1)+SUMIFS('changes2_based on steps'!$B287:$U287,'changes2_based on steps'!$B$1:$U$1,O$1)</f>
        <v>0</v>
      </c>
      <c r="P287" s="155">
        <f ca="1">SUMIFS('recurring2_based on steps'!$B287:$AY287,'recurring2_based on steps'!$B$1:$AY$1,P$1)+SUMIFS('changes2_based on steps'!$B287:$U287,'changes2_based on steps'!$B$1:$U$1,P$1)</f>
        <v>0</v>
      </c>
      <c r="Q287" s="155">
        <f>SUMIFS('recurring2_based on steps'!$B287:$AY287,'recurring2_based on steps'!$B$1:$AY$1,Q$1)+SUMIFS('changes2_based on steps'!$B287:$U287,'changes2_based on steps'!$B$1:$U$1,Q$1)</f>
        <v>0</v>
      </c>
      <c r="R287" s="155">
        <f ca="1">SUMIFS('recurring2_based on steps'!$B287:$AY287,'recurring2_based on steps'!$B$1:$AY$1,R$1)+SUMIFS('changes2_based on steps'!$B287:$U287,'changes2_based on steps'!$B$1:$U$1,R$1)</f>
        <v>0</v>
      </c>
      <c r="S287" s="155">
        <f ca="1">SUMIFS('recurring2_based on steps'!$B287:$AY287,'recurring2_based on steps'!$B$1:$AY$1,S$1)+SUMIFS('changes2_based on steps'!$B287:$U287,'changes2_based on steps'!$B$1:$U$1,S$1)</f>
        <v>0</v>
      </c>
      <c r="T287" s="155">
        <f>SUMIFS('recurring2_based on steps'!$B287:$AY287,'recurring2_based on steps'!$B$1:$AY$1,T$1)+SUMIFS('changes2_based on steps'!$B287:$U287,'changes2_based on steps'!$B$1:$U$1,T$1)</f>
        <v>0</v>
      </c>
      <c r="U287" s="155">
        <f ca="1">SUMIFS('recurring2_based on steps'!$B287:$AY287,'recurring2_based on steps'!$B$1:$AY$1,U$1)+SUMIFS('changes2_based on steps'!$B287:$U287,'changes2_based on steps'!$B$1:$U$1,U$1)</f>
        <v>0</v>
      </c>
      <c r="V287" s="155">
        <f>SUMIFS('recurring2_based on steps'!$B287:$AY287,'recurring2_based on steps'!$B$1:$AY$1,V$1)+SUMIFS('changes2_based on steps'!$B287:$U287,'changes2_based on steps'!$B$1:$U$1,V$1)</f>
        <v>0</v>
      </c>
      <c r="W287" s="155">
        <f ca="1">SUMIFS('recurring2_based on steps'!$B287:$AY287,'recurring2_based on steps'!$B$1:$AY$1,W$1)+SUMIFS('changes2_based on steps'!$B287:$U287,'changes2_based on steps'!$B$1:$U$1,W$1)</f>
        <v>0</v>
      </c>
      <c r="X287" s="155">
        <f ca="1">SUMIFS('recurring2_based on steps'!$B287:$AY287,'recurring2_based on steps'!$B$1:$AY$1,X$1)+SUMIFS('changes2_based on steps'!$B287:$U287,'changes2_based on steps'!$B$1:$U$1,X$1)</f>
        <v>0</v>
      </c>
      <c r="Y287" s="155">
        <f ca="1">SUMIFS('recurring2_based on steps'!$B287:$AY287,'recurring2_based on steps'!$B$1:$AY$1,Y$1)+SUMIFS('changes2_based on steps'!$B287:$U287,'changes2_based on steps'!$B$1:$U$1,Y$1)</f>
        <v>0</v>
      </c>
      <c r="Z287" s="155">
        <f>SUMIFS('recurring2_based on steps'!$B287:$AY287,'recurring2_based on steps'!$B$1:$AY$1,Z$1)+SUMIFS('changes2_based on steps'!$B287:$U287,'changes2_based on steps'!$B$1:$U$1,Z$1)</f>
        <v>0</v>
      </c>
      <c r="AA287" s="155">
        <f>SUMIFS('recurring2_based on steps'!$B287:$AY287,'recurring2_based on steps'!$B$1:$AY$1,AA$1)+SUMIFS('changes2_based on steps'!$B287:$U287,'changes2_based on steps'!$B$1:$U$1,AA$1)</f>
        <v>0</v>
      </c>
    </row>
    <row r="288" spans="1:27" x14ac:dyDescent="0.2">
      <c r="A288" s="18">
        <f t="shared" ca="1" si="4"/>
        <v>45974</v>
      </c>
      <c r="B288" s="155">
        <f ca="1">SUMIFS('recurring2_based on steps'!$B288:$AY288,'recurring2_based on steps'!$B$1:$AY$1,B$1)+SUMIFS('changes2_based on steps'!$B288:$U288,'changes2_based on steps'!$B$1:$U$1,B$1)</f>
        <v>0</v>
      </c>
      <c r="C288" s="155">
        <f>SUMIFS('recurring2_based on steps'!$B288:$AY288,'recurring2_based on steps'!$B$1:$AY$1,C$1)+SUMIFS('changes2_based on steps'!$B288:$U288,'changes2_based on steps'!$B$1:$U$1,C$1)</f>
        <v>0</v>
      </c>
      <c r="D288" s="155">
        <f>SUMIFS('recurring2_based on steps'!$B288:$AY288,'recurring2_based on steps'!$B$1:$AY$1,D$1)+SUMIFS('changes2_based on steps'!$B288:$U288,'changes2_based on steps'!$B$1:$U$1,D$1)</f>
        <v>0</v>
      </c>
      <c r="E288" s="155">
        <f>SUMIFS('recurring2_based on steps'!$B288:$AY288,'recurring2_based on steps'!$B$1:$AY$1,E$1)+SUMIFS('changes2_based on steps'!$B288:$U288,'changes2_based on steps'!$B$1:$U$1,E$1)</f>
        <v>0</v>
      </c>
      <c r="F288" s="155">
        <f>SUMIFS('recurring2_based on steps'!$B288:$AY288,'recurring2_based on steps'!$B$1:$AY$1,F$1)+SUMIFS('changes2_based on steps'!$B288:$U288,'changes2_based on steps'!$B$1:$U$1,F$1)</f>
        <v>0</v>
      </c>
      <c r="G288" s="155">
        <f>SUMIFS('recurring2_based on steps'!$B288:$AY288,'recurring2_based on steps'!$B$1:$AY$1,G$1)+SUMIFS('changes2_based on steps'!$B288:$U288,'changes2_based on steps'!$B$1:$U$1,G$1)</f>
        <v>0</v>
      </c>
      <c r="H288" s="155">
        <f ca="1">SUMIFS('recurring2_based on steps'!$B288:$AY288,'recurring2_based on steps'!$B$1:$AY$1,H$1)+SUMIFS('changes2_based on steps'!$B288:$U288,'changes2_based on steps'!$B$1:$U$1,H$1)</f>
        <v>0</v>
      </c>
      <c r="I288" s="155">
        <f>SUMIFS('recurring2_based on steps'!$B288:$AY288,'recurring2_based on steps'!$B$1:$AY$1,I$1)+SUMIFS('changes2_based on steps'!$B288:$U288,'changes2_based on steps'!$B$1:$U$1,I$1)</f>
        <v>0</v>
      </c>
      <c r="J288" s="155">
        <f>SUMIFS('recurring2_based on steps'!$B288:$AY288,'recurring2_based on steps'!$B$1:$AY$1,J$1)+SUMIFS('changes2_based on steps'!$B288:$U288,'changes2_based on steps'!$B$1:$U$1,J$1)</f>
        <v>0</v>
      </c>
      <c r="K288" s="155">
        <f>SUMIFS('recurring2_based on steps'!$B288:$AY288,'recurring2_based on steps'!$B$1:$AY$1,K$1)+SUMIFS('changes2_based on steps'!$B288:$U288,'changes2_based on steps'!$B$1:$U$1,K$1)</f>
        <v>0</v>
      </c>
      <c r="L288" s="155">
        <f>SUMIFS('recurring2_based on steps'!$B288:$AY288,'recurring2_based on steps'!$B$1:$AY$1,L$1)+SUMIFS('changes2_based on steps'!$B288:$U288,'changes2_based on steps'!$B$1:$U$1,L$1)</f>
        <v>0</v>
      </c>
      <c r="M288" s="155">
        <f ca="1">SUMIFS('recurring2_based on steps'!$B288:$AY288,'recurring2_based on steps'!$B$1:$AY$1,M$1)+SUMIFS('changes2_based on steps'!$B288:$U288,'changes2_based on steps'!$B$1:$U$1,M$1)</f>
        <v>0</v>
      </c>
      <c r="N288" s="155">
        <f ca="1">SUMIFS('recurring2_based on steps'!$B288:$AY288,'recurring2_based on steps'!$B$1:$AY$1,N$1)+SUMIFS('changes2_based on steps'!$B288:$U288,'changes2_based on steps'!$B$1:$U$1,N$1)</f>
        <v>0</v>
      </c>
      <c r="O288" s="155">
        <f ca="1">SUMIFS('recurring2_based on steps'!$B288:$AY288,'recurring2_based on steps'!$B$1:$AY$1,O$1)+SUMIFS('changes2_based on steps'!$B288:$U288,'changes2_based on steps'!$B$1:$U$1,O$1)</f>
        <v>0</v>
      </c>
      <c r="P288" s="155">
        <f ca="1">SUMIFS('recurring2_based on steps'!$B288:$AY288,'recurring2_based on steps'!$B$1:$AY$1,P$1)+SUMIFS('changes2_based on steps'!$B288:$U288,'changes2_based on steps'!$B$1:$U$1,P$1)</f>
        <v>0</v>
      </c>
      <c r="Q288" s="155">
        <f>SUMIFS('recurring2_based on steps'!$B288:$AY288,'recurring2_based on steps'!$B$1:$AY$1,Q$1)+SUMIFS('changes2_based on steps'!$B288:$U288,'changes2_based on steps'!$B$1:$U$1,Q$1)</f>
        <v>0</v>
      </c>
      <c r="R288" s="155">
        <f ca="1">SUMIFS('recurring2_based on steps'!$B288:$AY288,'recurring2_based on steps'!$B$1:$AY$1,R$1)+SUMIFS('changes2_based on steps'!$B288:$U288,'changes2_based on steps'!$B$1:$U$1,R$1)</f>
        <v>0</v>
      </c>
      <c r="S288" s="155">
        <f ca="1">SUMIFS('recurring2_based on steps'!$B288:$AY288,'recurring2_based on steps'!$B$1:$AY$1,S$1)+SUMIFS('changes2_based on steps'!$B288:$U288,'changes2_based on steps'!$B$1:$U$1,S$1)</f>
        <v>0</v>
      </c>
      <c r="T288" s="155">
        <f>SUMIFS('recurring2_based on steps'!$B288:$AY288,'recurring2_based on steps'!$B$1:$AY$1,T$1)+SUMIFS('changes2_based on steps'!$B288:$U288,'changes2_based on steps'!$B$1:$U$1,T$1)</f>
        <v>0</v>
      </c>
      <c r="U288" s="155">
        <f ca="1">SUMIFS('recurring2_based on steps'!$B288:$AY288,'recurring2_based on steps'!$B$1:$AY$1,U$1)+SUMIFS('changes2_based on steps'!$B288:$U288,'changes2_based on steps'!$B$1:$U$1,U$1)</f>
        <v>0</v>
      </c>
      <c r="V288" s="155">
        <f>SUMIFS('recurring2_based on steps'!$B288:$AY288,'recurring2_based on steps'!$B$1:$AY$1,V$1)+SUMIFS('changes2_based on steps'!$B288:$U288,'changes2_based on steps'!$B$1:$U$1,V$1)</f>
        <v>0</v>
      </c>
      <c r="W288" s="155">
        <f ca="1">SUMIFS('recurring2_based on steps'!$B288:$AY288,'recurring2_based on steps'!$B$1:$AY$1,W$1)+SUMIFS('changes2_based on steps'!$B288:$U288,'changes2_based on steps'!$B$1:$U$1,W$1)</f>
        <v>0</v>
      </c>
      <c r="X288" s="155">
        <f ca="1">SUMIFS('recurring2_based on steps'!$B288:$AY288,'recurring2_based on steps'!$B$1:$AY$1,X$1)+SUMIFS('changes2_based on steps'!$B288:$U288,'changes2_based on steps'!$B$1:$U$1,X$1)</f>
        <v>0</v>
      </c>
      <c r="Y288" s="155">
        <f ca="1">SUMIFS('recurring2_based on steps'!$B288:$AY288,'recurring2_based on steps'!$B$1:$AY$1,Y$1)+SUMIFS('changes2_based on steps'!$B288:$U288,'changes2_based on steps'!$B$1:$U$1,Y$1)</f>
        <v>0</v>
      </c>
      <c r="Z288" s="155">
        <f>SUMIFS('recurring2_based on steps'!$B288:$AY288,'recurring2_based on steps'!$B$1:$AY$1,Z$1)+SUMIFS('changes2_based on steps'!$B288:$U288,'changes2_based on steps'!$B$1:$U$1,Z$1)</f>
        <v>0</v>
      </c>
      <c r="AA288" s="155">
        <f>SUMIFS('recurring2_based on steps'!$B288:$AY288,'recurring2_based on steps'!$B$1:$AY$1,AA$1)+SUMIFS('changes2_based on steps'!$B288:$U288,'changes2_based on steps'!$B$1:$U$1,AA$1)</f>
        <v>0</v>
      </c>
    </row>
    <row r="289" spans="1:27" x14ac:dyDescent="0.2">
      <c r="A289" s="18">
        <f t="shared" ca="1" si="4"/>
        <v>45975</v>
      </c>
      <c r="B289" s="155">
        <f ca="1">SUMIFS('recurring2_based on steps'!$B289:$AY289,'recurring2_based on steps'!$B$1:$AY$1,B$1)+SUMIFS('changes2_based on steps'!$B289:$U289,'changes2_based on steps'!$B$1:$U$1,B$1)</f>
        <v>4000</v>
      </c>
      <c r="C289" s="155">
        <f>SUMIFS('recurring2_based on steps'!$B289:$AY289,'recurring2_based on steps'!$B$1:$AY$1,C$1)+SUMIFS('changes2_based on steps'!$B289:$U289,'changes2_based on steps'!$B$1:$U$1,C$1)</f>
        <v>0</v>
      </c>
      <c r="D289" s="155">
        <f>SUMIFS('recurring2_based on steps'!$B289:$AY289,'recurring2_based on steps'!$B$1:$AY$1,D$1)+SUMIFS('changes2_based on steps'!$B289:$U289,'changes2_based on steps'!$B$1:$U$1,D$1)</f>
        <v>0</v>
      </c>
      <c r="E289" s="155">
        <f>SUMIFS('recurring2_based on steps'!$B289:$AY289,'recurring2_based on steps'!$B$1:$AY$1,E$1)+SUMIFS('changes2_based on steps'!$B289:$U289,'changes2_based on steps'!$B$1:$U$1,E$1)</f>
        <v>0</v>
      </c>
      <c r="F289" s="155">
        <f>SUMIFS('recurring2_based on steps'!$B289:$AY289,'recurring2_based on steps'!$B$1:$AY$1,F$1)+SUMIFS('changes2_based on steps'!$B289:$U289,'changes2_based on steps'!$B$1:$U$1,F$1)</f>
        <v>0</v>
      </c>
      <c r="G289" s="155">
        <f>SUMIFS('recurring2_based on steps'!$B289:$AY289,'recurring2_based on steps'!$B$1:$AY$1,G$1)+SUMIFS('changes2_based on steps'!$B289:$U289,'changes2_based on steps'!$B$1:$U$1,G$1)</f>
        <v>0</v>
      </c>
      <c r="H289" s="155">
        <f ca="1">SUMIFS('recurring2_based on steps'!$B289:$AY289,'recurring2_based on steps'!$B$1:$AY$1,H$1)+SUMIFS('changes2_based on steps'!$B289:$U289,'changes2_based on steps'!$B$1:$U$1,H$1)</f>
        <v>96</v>
      </c>
      <c r="I289" s="155">
        <f>SUMIFS('recurring2_based on steps'!$B289:$AY289,'recurring2_based on steps'!$B$1:$AY$1,I$1)+SUMIFS('changes2_based on steps'!$B289:$U289,'changes2_based on steps'!$B$1:$U$1,I$1)</f>
        <v>0</v>
      </c>
      <c r="J289" s="155">
        <f>SUMIFS('recurring2_based on steps'!$B289:$AY289,'recurring2_based on steps'!$B$1:$AY$1,J$1)+SUMIFS('changes2_based on steps'!$B289:$U289,'changes2_based on steps'!$B$1:$U$1,J$1)</f>
        <v>0</v>
      </c>
      <c r="K289" s="155">
        <f>SUMIFS('recurring2_based on steps'!$B289:$AY289,'recurring2_based on steps'!$B$1:$AY$1,K$1)+SUMIFS('changes2_based on steps'!$B289:$U289,'changes2_based on steps'!$B$1:$U$1,K$1)</f>
        <v>0</v>
      </c>
      <c r="L289" s="155">
        <f>SUMIFS('recurring2_based on steps'!$B289:$AY289,'recurring2_based on steps'!$B$1:$AY$1,L$1)+SUMIFS('changes2_based on steps'!$B289:$U289,'changes2_based on steps'!$B$1:$U$1,L$1)</f>
        <v>0</v>
      </c>
      <c r="M289" s="155">
        <f ca="1">SUMIFS('recurring2_based on steps'!$B289:$AY289,'recurring2_based on steps'!$B$1:$AY$1,M$1)+SUMIFS('changes2_based on steps'!$B289:$U289,'changes2_based on steps'!$B$1:$U$1,M$1)</f>
        <v>0</v>
      </c>
      <c r="N289" s="155">
        <f ca="1">SUMIFS('recurring2_based on steps'!$B289:$AY289,'recurring2_based on steps'!$B$1:$AY$1,N$1)+SUMIFS('changes2_based on steps'!$B289:$U289,'changes2_based on steps'!$B$1:$U$1,N$1)</f>
        <v>0</v>
      </c>
      <c r="O289" s="155">
        <f ca="1">SUMIFS('recurring2_based on steps'!$B289:$AY289,'recurring2_based on steps'!$B$1:$AY$1,O$1)+SUMIFS('changes2_based on steps'!$B289:$U289,'changes2_based on steps'!$B$1:$U$1,O$1)</f>
        <v>0</v>
      </c>
      <c r="P289" s="155">
        <f ca="1">SUMIFS('recurring2_based on steps'!$B289:$AY289,'recurring2_based on steps'!$B$1:$AY$1,P$1)+SUMIFS('changes2_based on steps'!$B289:$U289,'changes2_based on steps'!$B$1:$U$1,P$1)</f>
        <v>0</v>
      </c>
      <c r="Q289" s="155">
        <f>SUMIFS('recurring2_based on steps'!$B289:$AY289,'recurring2_based on steps'!$B$1:$AY$1,Q$1)+SUMIFS('changes2_based on steps'!$B289:$U289,'changes2_based on steps'!$B$1:$U$1,Q$1)</f>
        <v>0</v>
      </c>
      <c r="R289" s="155">
        <f ca="1">SUMIFS('recurring2_based on steps'!$B289:$AY289,'recurring2_based on steps'!$B$1:$AY$1,R$1)+SUMIFS('changes2_based on steps'!$B289:$U289,'changes2_based on steps'!$B$1:$U$1,R$1)</f>
        <v>0</v>
      </c>
      <c r="S289" s="155">
        <f ca="1">SUMIFS('recurring2_based on steps'!$B289:$AY289,'recurring2_based on steps'!$B$1:$AY$1,S$1)+SUMIFS('changes2_based on steps'!$B289:$U289,'changes2_based on steps'!$B$1:$U$1,S$1)</f>
        <v>0</v>
      </c>
      <c r="T289" s="155">
        <f>SUMIFS('recurring2_based on steps'!$B289:$AY289,'recurring2_based on steps'!$B$1:$AY$1,T$1)+SUMIFS('changes2_based on steps'!$B289:$U289,'changes2_based on steps'!$B$1:$U$1,T$1)</f>
        <v>0</v>
      </c>
      <c r="U289" s="155">
        <f ca="1">SUMIFS('recurring2_based on steps'!$B289:$AY289,'recurring2_based on steps'!$B$1:$AY$1,U$1)+SUMIFS('changes2_based on steps'!$B289:$U289,'changes2_based on steps'!$B$1:$U$1,U$1)</f>
        <v>0</v>
      </c>
      <c r="V289" s="155">
        <f>SUMIFS('recurring2_based on steps'!$B289:$AY289,'recurring2_based on steps'!$B$1:$AY$1,V$1)+SUMIFS('changes2_based on steps'!$B289:$U289,'changes2_based on steps'!$B$1:$U$1,V$1)</f>
        <v>0</v>
      </c>
      <c r="W289" s="155">
        <f ca="1">SUMIFS('recurring2_based on steps'!$B289:$AY289,'recurring2_based on steps'!$B$1:$AY$1,W$1)+SUMIFS('changes2_based on steps'!$B289:$U289,'changes2_based on steps'!$B$1:$U$1,W$1)</f>
        <v>50</v>
      </c>
      <c r="X289" s="155">
        <f ca="1">SUMIFS('recurring2_based on steps'!$B289:$AY289,'recurring2_based on steps'!$B$1:$AY$1,X$1)+SUMIFS('changes2_based on steps'!$B289:$U289,'changes2_based on steps'!$B$1:$U$1,X$1)</f>
        <v>200</v>
      </c>
      <c r="Y289" s="155">
        <f ca="1">SUMIFS('recurring2_based on steps'!$B289:$AY289,'recurring2_based on steps'!$B$1:$AY$1,Y$1)+SUMIFS('changes2_based on steps'!$B289:$U289,'changes2_based on steps'!$B$1:$U$1,Y$1)</f>
        <v>0</v>
      </c>
      <c r="Z289" s="155">
        <f>SUMIFS('recurring2_based on steps'!$B289:$AY289,'recurring2_based on steps'!$B$1:$AY$1,Z$1)+SUMIFS('changes2_based on steps'!$B289:$U289,'changes2_based on steps'!$B$1:$U$1,Z$1)</f>
        <v>0</v>
      </c>
      <c r="AA289" s="155">
        <f>SUMIFS('recurring2_based on steps'!$B289:$AY289,'recurring2_based on steps'!$B$1:$AY$1,AA$1)+SUMIFS('changes2_based on steps'!$B289:$U289,'changes2_based on steps'!$B$1:$U$1,AA$1)</f>
        <v>0</v>
      </c>
    </row>
    <row r="290" spans="1:27" x14ac:dyDescent="0.2">
      <c r="A290" s="18">
        <f t="shared" ca="1" si="4"/>
        <v>45976</v>
      </c>
      <c r="B290" s="155">
        <f ca="1">SUMIFS('recurring2_based on steps'!$B290:$AY290,'recurring2_based on steps'!$B$1:$AY$1,B$1)+SUMIFS('changes2_based on steps'!$B290:$U290,'changes2_based on steps'!$B$1:$U$1,B$1)</f>
        <v>0</v>
      </c>
      <c r="C290" s="155">
        <f>SUMIFS('recurring2_based on steps'!$B290:$AY290,'recurring2_based on steps'!$B$1:$AY$1,C$1)+SUMIFS('changes2_based on steps'!$B290:$U290,'changes2_based on steps'!$B$1:$U$1,C$1)</f>
        <v>0</v>
      </c>
      <c r="D290" s="155">
        <f>SUMIFS('recurring2_based on steps'!$B290:$AY290,'recurring2_based on steps'!$B$1:$AY$1,D$1)+SUMIFS('changes2_based on steps'!$B290:$U290,'changes2_based on steps'!$B$1:$U$1,D$1)</f>
        <v>0</v>
      </c>
      <c r="E290" s="155">
        <f>SUMIFS('recurring2_based on steps'!$B290:$AY290,'recurring2_based on steps'!$B$1:$AY$1,E$1)+SUMIFS('changes2_based on steps'!$B290:$U290,'changes2_based on steps'!$B$1:$U$1,E$1)</f>
        <v>0</v>
      </c>
      <c r="F290" s="155">
        <f>SUMIFS('recurring2_based on steps'!$B290:$AY290,'recurring2_based on steps'!$B$1:$AY$1,F$1)+SUMIFS('changes2_based on steps'!$B290:$U290,'changes2_based on steps'!$B$1:$U$1,F$1)</f>
        <v>0</v>
      </c>
      <c r="G290" s="155">
        <f>SUMIFS('recurring2_based on steps'!$B290:$AY290,'recurring2_based on steps'!$B$1:$AY$1,G$1)+SUMIFS('changes2_based on steps'!$B290:$U290,'changes2_based on steps'!$B$1:$U$1,G$1)</f>
        <v>0</v>
      </c>
      <c r="H290" s="155">
        <f ca="1">SUMIFS('recurring2_based on steps'!$B290:$AY290,'recurring2_based on steps'!$B$1:$AY$1,H$1)+SUMIFS('changes2_based on steps'!$B290:$U290,'changes2_based on steps'!$B$1:$U$1,H$1)</f>
        <v>0</v>
      </c>
      <c r="I290" s="155">
        <f>SUMIFS('recurring2_based on steps'!$B290:$AY290,'recurring2_based on steps'!$B$1:$AY$1,I$1)+SUMIFS('changes2_based on steps'!$B290:$U290,'changes2_based on steps'!$B$1:$U$1,I$1)</f>
        <v>0</v>
      </c>
      <c r="J290" s="155">
        <f>SUMIFS('recurring2_based on steps'!$B290:$AY290,'recurring2_based on steps'!$B$1:$AY$1,J$1)+SUMIFS('changes2_based on steps'!$B290:$U290,'changes2_based on steps'!$B$1:$U$1,J$1)</f>
        <v>0</v>
      </c>
      <c r="K290" s="155">
        <f>SUMIFS('recurring2_based on steps'!$B290:$AY290,'recurring2_based on steps'!$B$1:$AY$1,K$1)+SUMIFS('changes2_based on steps'!$B290:$U290,'changes2_based on steps'!$B$1:$U$1,K$1)</f>
        <v>0</v>
      </c>
      <c r="L290" s="155">
        <f>SUMIFS('recurring2_based on steps'!$B290:$AY290,'recurring2_based on steps'!$B$1:$AY$1,L$1)+SUMIFS('changes2_based on steps'!$B290:$U290,'changes2_based on steps'!$B$1:$U$1,L$1)</f>
        <v>0</v>
      </c>
      <c r="M290" s="155">
        <f ca="1">SUMIFS('recurring2_based on steps'!$B290:$AY290,'recurring2_based on steps'!$B$1:$AY$1,M$1)+SUMIFS('changes2_based on steps'!$B290:$U290,'changes2_based on steps'!$B$1:$U$1,M$1)</f>
        <v>0</v>
      </c>
      <c r="N290" s="155">
        <f ca="1">SUMIFS('recurring2_based on steps'!$B290:$AY290,'recurring2_based on steps'!$B$1:$AY$1,N$1)+SUMIFS('changes2_based on steps'!$B290:$U290,'changes2_based on steps'!$B$1:$U$1,N$1)</f>
        <v>0</v>
      </c>
      <c r="O290" s="155">
        <f ca="1">SUMIFS('recurring2_based on steps'!$B290:$AY290,'recurring2_based on steps'!$B$1:$AY$1,O$1)+SUMIFS('changes2_based on steps'!$B290:$U290,'changes2_based on steps'!$B$1:$U$1,O$1)</f>
        <v>0</v>
      </c>
      <c r="P290" s="155">
        <f ca="1">SUMIFS('recurring2_based on steps'!$B290:$AY290,'recurring2_based on steps'!$B$1:$AY$1,P$1)+SUMIFS('changes2_based on steps'!$B290:$U290,'changes2_based on steps'!$B$1:$U$1,P$1)</f>
        <v>0</v>
      </c>
      <c r="Q290" s="155">
        <f>SUMIFS('recurring2_based on steps'!$B290:$AY290,'recurring2_based on steps'!$B$1:$AY$1,Q$1)+SUMIFS('changes2_based on steps'!$B290:$U290,'changes2_based on steps'!$B$1:$U$1,Q$1)</f>
        <v>0</v>
      </c>
      <c r="R290" s="155">
        <f ca="1">SUMIFS('recurring2_based on steps'!$B290:$AY290,'recurring2_based on steps'!$B$1:$AY$1,R$1)+SUMIFS('changes2_based on steps'!$B290:$U290,'changes2_based on steps'!$B$1:$U$1,R$1)</f>
        <v>100</v>
      </c>
      <c r="S290" s="155">
        <f ca="1">SUMIFS('recurring2_based on steps'!$B290:$AY290,'recurring2_based on steps'!$B$1:$AY$1,S$1)+SUMIFS('changes2_based on steps'!$B290:$U290,'changes2_based on steps'!$B$1:$U$1,S$1)</f>
        <v>100</v>
      </c>
      <c r="T290" s="155">
        <f>SUMIFS('recurring2_based on steps'!$B290:$AY290,'recurring2_based on steps'!$B$1:$AY$1,T$1)+SUMIFS('changes2_based on steps'!$B290:$U290,'changes2_based on steps'!$B$1:$U$1,T$1)</f>
        <v>0</v>
      </c>
      <c r="U290" s="155">
        <f ca="1">SUMIFS('recurring2_based on steps'!$B290:$AY290,'recurring2_based on steps'!$B$1:$AY$1,U$1)+SUMIFS('changes2_based on steps'!$B290:$U290,'changes2_based on steps'!$B$1:$U$1,U$1)</f>
        <v>0</v>
      </c>
      <c r="V290" s="155">
        <f>SUMIFS('recurring2_based on steps'!$B290:$AY290,'recurring2_based on steps'!$B$1:$AY$1,V$1)+SUMIFS('changes2_based on steps'!$B290:$U290,'changes2_based on steps'!$B$1:$U$1,V$1)</f>
        <v>0</v>
      </c>
      <c r="W290" s="155">
        <f ca="1">SUMIFS('recurring2_based on steps'!$B290:$AY290,'recurring2_based on steps'!$B$1:$AY$1,W$1)+SUMIFS('changes2_based on steps'!$B290:$U290,'changes2_based on steps'!$B$1:$U$1,W$1)</f>
        <v>0</v>
      </c>
      <c r="X290" s="155">
        <f ca="1">SUMIFS('recurring2_based on steps'!$B290:$AY290,'recurring2_based on steps'!$B$1:$AY$1,X$1)+SUMIFS('changes2_based on steps'!$B290:$U290,'changes2_based on steps'!$B$1:$U$1,X$1)</f>
        <v>0</v>
      </c>
      <c r="Y290" s="155">
        <f ca="1">SUMIFS('recurring2_based on steps'!$B290:$AY290,'recurring2_based on steps'!$B$1:$AY$1,Y$1)+SUMIFS('changes2_based on steps'!$B290:$U290,'changes2_based on steps'!$B$1:$U$1,Y$1)</f>
        <v>0</v>
      </c>
      <c r="Z290" s="155">
        <f>SUMIFS('recurring2_based on steps'!$B290:$AY290,'recurring2_based on steps'!$B$1:$AY$1,Z$1)+SUMIFS('changes2_based on steps'!$B290:$U290,'changes2_based on steps'!$B$1:$U$1,Z$1)</f>
        <v>0</v>
      </c>
      <c r="AA290" s="155">
        <f>SUMIFS('recurring2_based on steps'!$B290:$AY290,'recurring2_based on steps'!$B$1:$AY$1,AA$1)+SUMIFS('changes2_based on steps'!$B290:$U290,'changes2_based on steps'!$B$1:$U$1,AA$1)</f>
        <v>0</v>
      </c>
    </row>
    <row r="291" spans="1:27" x14ac:dyDescent="0.2">
      <c r="A291" s="18">
        <f t="shared" ca="1" si="4"/>
        <v>45977</v>
      </c>
      <c r="B291" s="155">
        <f ca="1">SUMIFS('recurring2_based on steps'!$B291:$AY291,'recurring2_based on steps'!$B$1:$AY$1,B$1)+SUMIFS('changes2_based on steps'!$B291:$U291,'changes2_based on steps'!$B$1:$U$1,B$1)</f>
        <v>0</v>
      </c>
      <c r="C291" s="155">
        <f>SUMIFS('recurring2_based on steps'!$B291:$AY291,'recurring2_based on steps'!$B$1:$AY$1,C$1)+SUMIFS('changes2_based on steps'!$B291:$U291,'changes2_based on steps'!$B$1:$U$1,C$1)</f>
        <v>0</v>
      </c>
      <c r="D291" s="155">
        <f>SUMIFS('recurring2_based on steps'!$B291:$AY291,'recurring2_based on steps'!$B$1:$AY$1,D$1)+SUMIFS('changes2_based on steps'!$B291:$U291,'changes2_based on steps'!$B$1:$U$1,D$1)</f>
        <v>0</v>
      </c>
      <c r="E291" s="155">
        <f>SUMIFS('recurring2_based on steps'!$B291:$AY291,'recurring2_based on steps'!$B$1:$AY$1,E$1)+SUMIFS('changes2_based on steps'!$B291:$U291,'changes2_based on steps'!$B$1:$U$1,E$1)</f>
        <v>0</v>
      </c>
      <c r="F291" s="155">
        <f>SUMIFS('recurring2_based on steps'!$B291:$AY291,'recurring2_based on steps'!$B$1:$AY$1,F$1)+SUMIFS('changes2_based on steps'!$B291:$U291,'changes2_based on steps'!$B$1:$U$1,F$1)</f>
        <v>0</v>
      </c>
      <c r="G291" s="155">
        <f>SUMIFS('recurring2_based on steps'!$B291:$AY291,'recurring2_based on steps'!$B$1:$AY$1,G$1)+SUMIFS('changes2_based on steps'!$B291:$U291,'changes2_based on steps'!$B$1:$U$1,G$1)</f>
        <v>0</v>
      </c>
      <c r="H291" s="155">
        <f ca="1">SUMIFS('recurring2_based on steps'!$B291:$AY291,'recurring2_based on steps'!$B$1:$AY$1,H$1)+SUMIFS('changes2_based on steps'!$B291:$U291,'changes2_based on steps'!$B$1:$U$1,H$1)</f>
        <v>0</v>
      </c>
      <c r="I291" s="155">
        <f>SUMIFS('recurring2_based on steps'!$B291:$AY291,'recurring2_based on steps'!$B$1:$AY$1,I$1)+SUMIFS('changes2_based on steps'!$B291:$U291,'changes2_based on steps'!$B$1:$U$1,I$1)</f>
        <v>0</v>
      </c>
      <c r="J291" s="155">
        <f>SUMIFS('recurring2_based on steps'!$B291:$AY291,'recurring2_based on steps'!$B$1:$AY$1,J$1)+SUMIFS('changes2_based on steps'!$B291:$U291,'changes2_based on steps'!$B$1:$U$1,J$1)</f>
        <v>0</v>
      </c>
      <c r="K291" s="155">
        <f>SUMIFS('recurring2_based on steps'!$B291:$AY291,'recurring2_based on steps'!$B$1:$AY$1,K$1)+SUMIFS('changes2_based on steps'!$B291:$U291,'changes2_based on steps'!$B$1:$U$1,K$1)</f>
        <v>0</v>
      </c>
      <c r="L291" s="155">
        <f>SUMIFS('recurring2_based on steps'!$B291:$AY291,'recurring2_based on steps'!$B$1:$AY$1,L$1)+SUMIFS('changes2_based on steps'!$B291:$U291,'changes2_based on steps'!$B$1:$U$1,L$1)</f>
        <v>0</v>
      </c>
      <c r="M291" s="155">
        <f ca="1">SUMIFS('recurring2_based on steps'!$B291:$AY291,'recurring2_based on steps'!$B$1:$AY$1,M$1)+SUMIFS('changes2_based on steps'!$B291:$U291,'changes2_based on steps'!$B$1:$U$1,M$1)</f>
        <v>0</v>
      </c>
      <c r="N291" s="155">
        <f ca="1">SUMIFS('recurring2_based on steps'!$B291:$AY291,'recurring2_based on steps'!$B$1:$AY$1,N$1)+SUMIFS('changes2_based on steps'!$B291:$U291,'changes2_based on steps'!$B$1:$U$1,N$1)</f>
        <v>50</v>
      </c>
      <c r="O291" s="155">
        <f ca="1">SUMIFS('recurring2_based on steps'!$B291:$AY291,'recurring2_based on steps'!$B$1:$AY$1,O$1)+SUMIFS('changes2_based on steps'!$B291:$U291,'changes2_based on steps'!$B$1:$U$1,O$1)</f>
        <v>0</v>
      </c>
      <c r="P291" s="155">
        <f ca="1">SUMIFS('recurring2_based on steps'!$B291:$AY291,'recurring2_based on steps'!$B$1:$AY$1,P$1)+SUMIFS('changes2_based on steps'!$B291:$U291,'changes2_based on steps'!$B$1:$U$1,P$1)</f>
        <v>0</v>
      </c>
      <c r="Q291" s="155">
        <f>SUMIFS('recurring2_based on steps'!$B291:$AY291,'recurring2_based on steps'!$B$1:$AY$1,Q$1)+SUMIFS('changes2_based on steps'!$B291:$U291,'changes2_based on steps'!$B$1:$U$1,Q$1)</f>
        <v>0</v>
      </c>
      <c r="R291" s="155">
        <f ca="1">SUMIFS('recurring2_based on steps'!$B291:$AY291,'recurring2_based on steps'!$B$1:$AY$1,R$1)+SUMIFS('changes2_based on steps'!$B291:$U291,'changes2_based on steps'!$B$1:$U$1,R$1)</f>
        <v>0</v>
      </c>
      <c r="S291" s="155">
        <f ca="1">SUMIFS('recurring2_based on steps'!$B291:$AY291,'recurring2_based on steps'!$B$1:$AY$1,S$1)+SUMIFS('changes2_based on steps'!$B291:$U291,'changes2_based on steps'!$B$1:$U$1,S$1)</f>
        <v>100</v>
      </c>
      <c r="T291" s="155">
        <f>SUMIFS('recurring2_based on steps'!$B291:$AY291,'recurring2_based on steps'!$B$1:$AY$1,T$1)+SUMIFS('changes2_based on steps'!$B291:$U291,'changes2_based on steps'!$B$1:$U$1,T$1)</f>
        <v>0</v>
      </c>
      <c r="U291" s="155">
        <f ca="1">SUMIFS('recurring2_based on steps'!$B291:$AY291,'recurring2_based on steps'!$B$1:$AY$1,U$1)+SUMIFS('changes2_based on steps'!$B291:$U291,'changes2_based on steps'!$B$1:$U$1,U$1)</f>
        <v>0</v>
      </c>
      <c r="V291" s="155">
        <f>SUMIFS('recurring2_based on steps'!$B291:$AY291,'recurring2_based on steps'!$B$1:$AY$1,V$1)+SUMIFS('changes2_based on steps'!$B291:$U291,'changes2_based on steps'!$B$1:$U$1,V$1)</f>
        <v>0</v>
      </c>
      <c r="W291" s="155">
        <f ca="1">SUMIFS('recurring2_based on steps'!$B291:$AY291,'recurring2_based on steps'!$B$1:$AY$1,W$1)+SUMIFS('changes2_based on steps'!$B291:$U291,'changes2_based on steps'!$B$1:$U$1,W$1)</f>
        <v>0</v>
      </c>
      <c r="X291" s="155">
        <f ca="1">SUMIFS('recurring2_based on steps'!$B291:$AY291,'recurring2_based on steps'!$B$1:$AY$1,X$1)+SUMIFS('changes2_based on steps'!$B291:$U291,'changes2_based on steps'!$B$1:$U$1,X$1)</f>
        <v>0</v>
      </c>
      <c r="Y291" s="155">
        <f ca="1">SUMIFS('recurring2_based on steps'!$B291:$AY291,'recurring2_based on steps'!$B$1:$AY$1,Y$1)+SUMIFS('changes2_based on steps'!$B291:$U291,'changes2_based on steps'!$B$1:$U$1,Y$1)</f>
        <v>0</v>
      </c>
      <c r="Z291" s="155">
        <f>SUMIFS('recurring2_based on steps'!$B291:$AY291,'recurring2_based on steps'!$B$1:$AY$1,Z$1)+SUMIFS('changes2_based on steps'!$B291:$U291,'changes2_based on steps'!$B$1:$U$1,Z$1)</f>
        <v>0</v>
      </c>
      <c r="AA291" s="155">
        <f>SUMIFS('recurring2_based on steps'!$B291:$AY291,'recurring2_based on steps'!$B$1:$AY$1,AA$1)+SUMIFS('changes2_based on steps'!$B291:$U291,'changes2_based on steps'!$B$1:$U$1,AA$1)</f>
        <v>0</v>
      </c>
    </row>
    <row r="292" spans="1:27" x14ac:dyDescent="0.2">
      <c r="A292" s="18">
        <f t="shared" ca="1" si="4"/>
        <v>45978</v>
      </c>
      <c r="B292" s="155">
        <f ca="1">SUMIFS('recurring2_based on steps'!$B292:$AY292,'recurring2_based on steps'!$B$1:$AY$1,B$1)+SUMIFS('changes2_based on steps'!$B292:$U292,'changes2_based on steps'!$B$1:$U$1,B$1)</f>
        <v>0</v>
      </c>
      <c r="C292" s="155">
        <f>SUMIFS('recurring2_based on steps'!$B292:$AY292,'recurring2_based on steps'!$B$1:$AY$1,C$1)+SUMIFS('changes2_based on steps'!$B292:$U292,'changes2_based on steps'!$B$1:$U$1,C$1)</f>
        <v>0</v>
      </c>
      <c r="D292" s="155">
        <f>SUMIFS('recurring2_based on steps'!$B292:$AY292,'recurring2_based on steps'!$B$1:$AY$1,D$1)+SUMIFS('changes2_based on steps'!$B292:$U292,'changes2_based on steps'!$B$1:$U$1,D$1)</f>
        <v>0</v>
      </c>
      <c r="E292" s="155">
        <f>SUMIFS('recurring2_based on steps'!$B292:$AY292,'recurring2_based on steps'!$B$1:$AY$1,E$1)+SUMIFS('changes2_based on steps'!$B292:$U292,'changes2_based on steps'!$B$1:$U$1,E$1)</f>
        <v>0</v>
      </c>
      <c r="F292" s="155">
        <f>SUMIFS('recurring2_based on steps'!$B292:$AY292,'recurring2_based on steps'!$B$1:$AY$1,F$1)+SUMIFS('changes2_based on steps'!$B292:$U292,'changes2_based on steps'!$B$1:$U$1,F$1)</f>
        <v>0</v>
      </c>
      <c r="G292" s="155">
        <f>SUMIFS('recurring2_based on steps'!$B292:$AY292,'recurring2_based on steps'!$B$1:$AY$1,G$1)+SUMIFS('changes2_based on steps'!$B292:$U292,'changes2_based on steps'!$B$1:$U$1,G$1)</f>
        <v>0</v>
      </c>
      <c r="H292" s="155">
        <f ca="1">SUMIFS('recurring2_based on steps'!$B292:$AY292,'recurring2_based on steps'!$B$1:$AY$1,H$1)+SUMIFS('changes2_based on steps'!$B292:$U292,'changes2_based on steps'!$B$1:$U$1,H$1)</f>
        <v>0</v>
      </c>
      <c r="I292" s="155">
        <f>SUMIFS('recurring2_based on steps'!$B292:$AY292,'recurring2_based on steps'!$B$1:$AY$1,I$1)+SUMIFS('changes2_based on steps'!$B292:$U292,'changes2_based on steps'!$B$1:$U$1,I$1)</f>
        <v>0</v>
      </c>
      <c r="J292" s="155">
        <f>SUMIFS('recurring2_based on steps'!$B292:$AY292,'recurring2_based on steps'!$B$1:$AY$1,J$1)+SUMIFS('changes2_based on steps'!$B292:$U292,'changes2_based on steps'!$B$1:$U$1,J$1)</f>
        <v>0</v>
      </c>
      <c r="K292" s="155">
        <f>SUMIFS('recurring2_based on steps'!$B292:$AY292,'recurring2_based on steps'!$B$1:$AY$1,K$1)+SUMIFS('changes2_based on steps'!$B292:$U292,'changes2_based on steps'!$B$1:$U$1,K$1)</f>
        <v>0</v>
      </c>
      <c r="L292" s="155">
        <f>SUMIFS('recurring2_based on steps'!$B292:$AY292,'recurring2_based on steps'!$B$1:$AY$1,L$1)+SUMIFS('changes2_based on steps'!$B292:$U292,'changes2_based on steps'!$B$1:$U$1,L$1)</f>
        <v>0</v>
      </c>
      <c r="M292" s="155">
        <f ca="1">SUMIFS('recurring2_based on steps'!$B292:$AY292,'recurring2_based on steps'!$B$1:$AY$1,M$1)+SUMIFS('changes2_based on steps'!$B292:$U292,'changes2_based on steps'!$B$1:$U$1,M$1)</f>
        <v>0</v>
      </c>
      <c r="N292" s="155">
        <f ca="1">SUMIFS('recurring2_based on steps'!$B292:$AY292,'recurring2_based on steps'!$B$1:$AY$1,N$1)+SUMIFS('changes2_based on steps'!$B292:$U292,'changes2_based on steps'!$B$1:$U$1,N$1)</f>
        <v>0</v>
      </c>
      <c r="O292" s="155">
        <f ca="1">SUMIFS('recurring2_based on steps'!$B292:$AY292,'recurring2_based on steps'!$B$1:$AY$1,O$1)+SUMIFS('changes2_based on steps'!$B292:$U292,'changes2_based on steps'!$B$1:$U$1,O$1)</f>
        <v>0</v>
      </c>
      <c r="P292" s="155">
        <f ca="1">SUMIFS('recurring2_based on steps'!$B292:$AY292,'recurring2_based on steps'!$B$1:$AY$1,P$1)+SUMIFS('changes2_based on steps'!$B292:$U292,'changes2_based on steps'!$B$1:$U$1,P$1)</f>
        <v>0</v>
      </c>
      <c r="Q292" s="155">
        <f>SUMIFS('recurring2_based on steps'!$B292:$AY292,'recurring2_based on steps'!$B$1:$AY$1,Q$1)+SUMIFS('changes2_based on steps'!$B292:$U292,'changes2_based on steps'!$B$1:$U$1,Q$1)</f>
        <v>0</v>
      </c>
      <c r="R292" s="155">
        <f ca="1">SUMIFS('recurring2_based on steps'!$B292:$AY292,'recurring2_based on steps'!$B$1:$AY$1,R$1)+SUMIFS('changes2_based on steps'!$B292:$U292,'changes2_based on steps'!$B$1:$U$1,R$1)</f>
        <v>0</v>
      </c>
      <c r="S292" s="155">
        <f ca="1">SUMIFS('recurring2_based on steps'!$B292:$AY292,'recurring2_based on steps'!$B$1:$AY$1,S$1)+SUMIFS('changes2_based on steps'!$B292:$U292,'changes2_based on steps'!$B$1:$U$1,S$1)</f>
        <v>0</v>
      </c>
      <c r="T292" s="155">
        <f>SUMIFS('recurring2_based on steps'!$B292:$AY292,'recurring2_based on steps'!$B$1:$AY$1,T$1)+SUMIFS('changes2_based on steps'!$B292:$U292,'changes2_based on steps'!$B$1:$U$1,T$1)</f>
        <v>0</v>
      </c>
      <c r="U292" s="155">
        <f ca="1">SUMIFS('recurring2_based on steps'!$B292:$AY292,'recurring2_based on steps'!$B$1:$AY$1,U$1)+SUMIFS('changes2_based on steps'!$B292:$U292,'changes2_based on steps'!$B$1:$U$1,U$1)</f>
        <v>15.49</v>
      </c>
      <c r="V292" s="155">
        <f>SUMIFS('recurring2_based on steps'!$B292:$AY292,'recurring2_based on steps'!$B$1:$AY$1,V$1)+SUMIFS('changes2_based on steps'!$B292:$U292,'changes2_based on steps'!$B$1:$U$1,V$1)</f>
        <v>0</v>
      </c>
      <c r="W292" s="155">
        <f ca="1">SUMIFS('recurring2_based on steps'!$B292:$AY292,'recurring2_based on steps'!$B$1:$AY$1,W$1)+SUMIFS('changes2_based on steps'!$B292:$U292,'changes2_based on steps'!$B$1:$U$1,W$1)</f>
        <v>0</v>
      </c>
      <c r="X292" s="155">
        <f ca="1">SUMIFS('recurring2_based on steps'!$B292:$AY292,'recurring2_based on steps'!$B$1:$AY$1,X$1)+SUMIFS('changes2_based on steps'!$B292:$U292,'changes2_based on steps'!$B$1:$U$1,X$1)</f>
        <v>0</v>
      </c>
      <c r="Y292" s="155">
        <f ca="1">SUMIFS('recurring2_based on steps'!$B292:$AY292,'recurring2_based on steps'!$B$1:$AY$1,Y$1)+SUMIFS('changes2_based on steps'!$B292:$U292,'changes2_based on steps'!$B$1:$U$1,Y$1)</f>
        <v>200</v>
      </c>
      <c r="Z292" s="155">
        <f>SUMIFS('recurring2_based on steps'!$B292:$AY292,'recurring2_based on steps'!$B$1:$AY$1,Z$1)+SUMIFS('changes2_based on steps'!$B292:$U292,'changes2_based on steps'!$B$1:$U$1,Z$1)</f>
        <v>0</v>
      </c>
      <c r="AA292" s="155">
        <f>SUMIFS('recurring2_based on steps'!$B292:$AY292,'recurring2_based on steps'!$B$1:$AY$1,AA$1)+SUMIFS('changes2_based on steps'!$B292:$U292,'changes2_based on steps'!$B$1:$U$1,AA$1)</f>
        <v>0</v>
      </c>
    </row>
    <row r="293" spans="1:27" x14ac:dyDescent="0.2">
      <c r="A293" s="18">
        <f t="shared" ca="1" si="4"/>
        <v>45979</v>
      </c>
      <c r="B293" s="155">
        <f ca="1">SUMIFS('recurring2_based on steps'!$B293:$AY293,'recurring2_based on steps'!$B$1:$AY$1,B$1)+SUMIFS('changes2_based on steps'!$B293:$U293,'changes2_based on steps'!$B$1:$U$1,B$1)</f>
        <v>0</v>
      </c>
      <c r="C293" s="155">
        <f>SUMIFS('recurring2_based on steps'!$B293:$AY293,'recurring2_based on steps'!$B$1:$AY$1,C$1)+SUMIFS('changes2_based on steps'!$B293:$U293,'changes2_based on steps'!$B$1:$U$1,C$1)</f>
        <v>0</v>
      </c>
      <c r="D293" s="155">
        <f>SUMIFS('recurring2_based on steps'!$B293:$AY293,'recurring2_based on steps'!$B$1:$AY$1,D$1)+SUMIFS('changes2_based on steps'!$B293:$U293,'changes2_based on steps'!$B$1:$U$1,D$1)</f>
        <v>0</v>
      </c>
      <c r="E293" s="155">
        <f>SUMIFS('recurring2_based on steps'!$B293:$AY293,'recurring2_based on steps'!$B$1:$AY$1,E$1)+SUMIFS('changes2_based on steps'!$B293:$U293,'changes2_based on steps'!$B$1:$U$1,E$1)</f>
        <v>0</v>
      </c>
      <c r="F293" s="155">
        <f>SUMIFS('recurring2_based on steps'!$B293:$AY293,'recurring2_based on steps'!$B$1:$AY$1,F$1)+SUMIFS('changes2_based on steps'!$B293:$U293,'changes2_based on steps'!$B$1:$U$1,F$1)</f>
        <v>0</v>
      </c>
      <c r="G293" s="155">
        <f>SUMIFS('recurring2_based on steps'!$B293:$AY293,'recurring2_based on steps'!$B$1:$AY$1,G$1)+SUMIFS('changes2_based on steps'!$B293:$U293,'changes2_based on steps'!$B$1:$U$1,G$1)</f>
        <v>0</v>
      </c>
      <c r="H293" s="155">
        <f ca="1">SUMIFS('recurring2_based on steps'!$B293:$AY293,'recurring2_based on steps'!$B$1:$AY$1,H$1)+SUMIFS('changes2_based on steps'!$B293:$U293,'changes2_based on steps'!$B$1:$U$1,H$1)</f>
        <v>0</v>
      </c>
      <c r="I293" s="155">
        <f>SUMIFS('recurring2_based on steps'!$B293:$AY293,'recurring2_based on steps'!$B$1:$AY$1,I$1)+SUMIFS('changes2_based on steps'!$B293:$U293,'changes2_based on steps'!$B$1:$U$1,I$1)</f>
        <v>0</v>
      </c>
      <c r="J293" s="155">
        <f>SUMIFS('recurring2_based on steps'!$B293:$AY293,'recurring2_based on steps'!$B$1:$AY$1,J$1)+SUMIFS('changes2_based on steps'!$B293:$U293,'changes2_based on steps'!$B$1:$U$1,J$1)</f>
        <v>0</v>
      </c>
      <c r="K293" s="155">
        <f>SUMIFS('recurring2_based on steps'!$B293:$AY293,'recurring2_based on steps'!$B$1:$AY$1,K$1)+SUMIFS('changes2_based on steps'!$B293:$U293,'changes2_based on steps'!$B$1:$U$1,K$1)</f>
        <v>0</v>
      </c>
      <c r="L293" s="155">
        <f>SUMIFS('recurring2_based on steps'!$B293:$AY293,'recurring2_based on steps'!$B$1:$AY$1,L$1)+SUMIFS('changes2_based on steps'!$B293:$U293,'changes2_based on steps'!$B$1:$U$1,L$1)</f>
        <v>0</v>
      </c>
      <c r="M293" s="155">
        <f ca="1">SUMIFS('recurring2_based on steps'!$B293:$AY293,'recurring2_based on steps'!$B$1:$AY$1,M$1)+SUMIFS('changes2_based on steps'!$B293:$U293,'changes2_based on steps'!$B$1:$U$1,M$1)</f>
        <v>0</v>
      </c>
      <c r="N293" s="155">
        <f ca="1">SUMIFS('recurring2_based on steps'!$B293:$AY293,'recurring2_based on steps'!$B$1:$AY$1,N$1)+SUMIFS('changes2_based on steps'!$B293:$U293,'changes2_based on steps'!$B$1:$U$1,N$1)</f>
        <v>0</v>
      </c>
      <c r="O293" s="155">
        <f ca="1">SUMIFS('recurring2_based on steps'!$B293:$AY293,'recurring2_based on steps'!$B$1:$AY$1,O$1)+SUMIFS('changes2_based on steps'!$B293:$U293,'changes2_based on steps'!$B$1:$U$1,O$1)</f>
        <v>0</v>
      </c>
      <c r="P293" s="155">
        <f ca="1">SUMIFS('recurring2_based on steps'!$B293:$AY293,'recurring2_based on steps'!$B$1:$AY$1,P$1)+SUMIFS('changes2_based on steps'!$B293:$U293,'changes2_based on steps'!$B$1:$U$1,P$1)</f>
        <v>0</v>
      </c>
      <c r="Q293" s="155">
        <f>SUMIFS('recurring2_based on steps'!$B293:$AY293,'recurring2_based on steps'!$B$1:$AY$1,Q$1)+SUMIFS('changes2_based on steps'!$B293:$U293,'changes2_based on steps'!$B$1:$U$1,Q$1)</f>
        <v>0</v>
      </c>
      <c r="R293" s="155">
        <f ca="1">SUMIFS('recurring2_based on steps'!$B293:$AY293,'recurring2_based on steps'!$B$1:$AY$1,R$1)+SUMIFS('changes2_based on steps'!$B293:$U293,'changes2_based on steps'!$B$1:$U$1,R$1)</f>
        <v>0</v>
      </c>
      <c r="S293" s="155">
        <f ca="1">SUMIFS('recurring2_based on steps'!$B293:$AY293,'recurring2_based on steps'!$B$1:$AY$1,S$1)+SUMIFS('changes2_based on steps'!$B293:$U293,'changes2_based on steps'!$B$1:$U$1,S$1)</f>
        <v>0</v>
      </c>
      <c r="T293" s="155">
        <f>SUMIFS('recurring2_based on steps'!$B293:$AY293,'recurring2_based on steps'!$B$1:$AY$1,T$1)+SUMIFS('changes2_based on steps'!$B293:$U293,'changes2_based on steps'!$B$1:$U$1,T$1)</f>
        <v>0</v>
      </c>
      <c r="U293" s="155">
        <f ca="1">SUMIFS('recurring2_based on steps'!$B293:$AY293,'recurring2_based on steps'!$B$1:$AY$1,U$1)+SUMIFS('changes2_based on steps'!$B293:$U293,'changes2_based on steps'!$B$1:$U$1,U$1)</f>
        <v>10.99</v>
      </c>
      <c r="V293" s="155">
        <f>SUMIFS('recurring2_based on steps'!$B293:$AY293,'recurring2_based on steps'!$B$1:$AY$1,V$1)+SUMIFS('changes2_based on steps'!$B293:$U293,'changes2_based on steps'!$B$1:$U$1,V$1)</f>
        <v>0</v>
      </c>
      <c r="W293" s="155">
        <f ca="1">SUMIFS('recurring2_based on steps'!$B293:$AY293,'recurring2_based on steps'!$B$1:$AY$1,W$1)+SUMIFS('changes2_based on steps'!$B293:$U293,'changes2_based on steps'!$B$1:$U$1,W$1)</f>
        <v>0</v>
      </c>
      <c r="X293" s="155">
        <f ca="1">SUMIFS('recurring2_based on steps'!$B293:$AY293,'recurring2_based on steps'!$B$1:$AY$1,X$1)+SUMIFS('changes2_based on steps'!$B293:$U293,'changes2_based on steps'!$B$1:$U$1,X$1)</f>
        <v>0</v>
      </c>
      <c r="Y293" s="155">
        <f ca="1">SUMIFS('recurring2_based on steps'!$B293:$AY293,'recurring2_based on steps'!$B$1:$AY$1,Y$1)+SUMIFS('changes2_based on steps'!$B293:$U293,'changes2_based on steps'!$B$1:$U$1,Y$1)</f>
        <v>0</v>
      </c>
      <c r="Z293" s="155">
        <f>SUMIFS('recurring2_based on steps'!$B293:$AY293,'recurring2_based on steps'!$B$1:$AY$1,Z$1)+SUMIFS('changes2_based on steps'!$B293:$U293,'changes2_based on steps'!$B$1:$U$1,Z$1)</f>
        <v>0</v>
      </c>
      <c r="AA293" s="155">
        <f>SUMIFS('recurring2_based on steps'!$B293:$AY293,'recurring2_based on steps'!$B$1:$AY$1,AA$1)+SUMIFS('changes2_based on steps'!$B293:$U293,'changes2_based on steps'!$B$1:$U$1,AA$1)</f>
        <v>0</v>
      </c>
    </row>
    <row r="294" spans="1:27" x14ac:dyDescent="0.2">
      <c r="A294" s="18">
        <f t="shared" ca="1" si="4"/>
        <v>45980</v>
      </c>
      <c r="B294" s="155">
        <f ca="1">SUMIFS('recurring2_based on steps'!$B294:$AY294,'recurring2_based on steps'!$B$1:$AY$1,B$1)+SUMIFS('changes2_based on steps'!$B294:$U294,'changes2_based on steps'!$B$1:$U$1,B$1)</f>
        <v>100</v>
      </c>
      <c r="C294" s="155">
        <f>SUMIFS('recurring2_based on steps'!$B294:$AY294,'recurring2_based on steps'!$B$1:$AY$1,C$1)+SUMIFS('changes2_based on steps'!$B294:$U294,'changes2_based on steps'!$B$1:$U$1,C$1)</f>
        <v>0</v>
      </c>
      <c r="D294" s="155">
        <f>SUMIFS('recurring2_based on steps'!$B294:$AY294,'recurring2_based on steps'!$B$1:$AY$1,D$1)+SUMIFS('changes2_based on steps'!$B294:$U294,'changes2_based on steps'!$B$1:$U$1,D$1)</f>
        <v>0</v>
      </c>
      <c r="E294" s="155">
        <f>SUMIFS('recurring2_based on steps'!$B294:$AY294,'recurring2_based on steps'!$B$1:$AY$1,E$1)+SUMIFS('changes2_based on steps'!$B294:$U294,'changes2_based on steps'!$B$1:$U$1,E$1)</f>
        <v>0</v>
      </c>
      <c r="F294" s="155">
        <f>SUMIFS('recurring2_based on steps'!$B294:$AY294,'recurring2_based on steps'!$B$1:$AY$1,F$1)+SUMIFS('changes2_based on steps'!$B294:$U294,'changes2_based on steps'!$B$1:$U$1,F$1)</f>
        <v>0</v>
      </c>
      <c r="G294" s="155">
        <f>SUMIFS('recurring2_based on steps'!$B294:$AY294,'recurring2_based on steps'!$B$1:$AY$1,G$1)+SUMIFS('changes2_based on steps'!$B294:$U294,'changes2_based on steps'!$B$1:$U$1,G$1)</f>
        <v>0</v>
      </c>
      <c r="H294" s="155">
        <f ca="1">SUMIFS('recurring2_based on steps'!$B294:$AY294,'recurring2_based on steps'!$B$1:$AY$1,H$1)+SUMIFS('changes2_based on steps'!$B294:$U294,'changes2_based on steps'!$B$1:$U$1,H$1)</f>
        <v>0</v>
      </c>
      <c r="I294" s="155">
        <f>SUMIFS('recurring2_based on steps'!$B294:$AY294,'recurring2_based on steps'!$B$1:$AY$1,I$1)+SUMIFS('changes2_based on steps'!$B294:$U294,'changes2_based on steps'!$B$1:$U$1,I$1)</f>
        <v>0</v>
      </c>
      <c r="J294" s="155">
        <f>SUMIFS('recurring2_based on steps'!$B294:$AY294,'recurring2_based on steps'!$B$1:$AY$1,J$1)+SUMIFS('changes2_based on steps'!$B294:$U294,'changes2_based on steps'!$B$1:$U$1,J$1)</f>
        <v>0</v>
      </c>
      <c r="K294" s="155">
        <f>SUMIFS('recurring2_based on steps'!$B294:$AY294,'recurring2_based on steps'!$B$1:$AY$1,K$1)+SUMIFS('changes2_based on steps'!$B294:$U294,'changes2_based on steps'!$B$1:$U$1,K$1)</f>
        <v>0</v>
      </c>
      <c r="L294" s="155">
        <f>SUMIFS('recurring2_based on steps'!$B294:$AY294,'recurring2_based on steps'!$B$1:$AY$1,L$1)+SUMIFS('changes2_based on steps'!$B294:$U294,'changes2_based on steps'!$B$1:$U$1,L$1)</f>
        <v>0</v>
      </c>
      <c r="M294" s="155">
        <f ca="1">SUMIFS('recurring2_based on steps'!$B294:$AY294,'recurring2_based on steps'!$B$1:$AY$1,M$1)+SUMIFS('changes2_based on steps'!$B294:$U294,'changes2_based on steps'!$B$1:$U$1,M$1)</f>
        <v>0</v>
      </c>
      <c r="N294" s="155">
        <f ca="1">SUMIFS('recurring2_based on steps'!$B294:$AY294,'recurring2_based on steps'!$B$1:$AY$1,N$1)+SUMIFS('changes2_based on steps'!$B294:$U294,'changes2_based on steps'!$B$1:$U$1,N$1)</f>
        <v>0</v>
      </c>
      <c r="O294" s="155">
        <f ca="1">SUMIFS('recurring2_based on steps'!$B294:$AY294,'recurring2_based on steps'!$B$1:$AY$1,O$1)+SUMIFS('changes2_based on steps'!$B294:$U294,'changes2_based on steps'!$B$1:$U$1,O$1)</f>
        <v>0</v>
      </c>
      <c r="P294" s="155">
        <f ca="1">SUMIFS('recurring2_based on steps'!$B294:$AY294,'recurring2_based on steps'!$B$1:$AY$1,P$1)+SUMIFS('changes2_based on steps'!$B294:$U294,'changes2_based on steps'!$B$1:$U$1,P$1)</f>
        <v>0</v>
      </c>
      <c r="Q294" s="155">
        <f>SUMIFS('recurring2_based on steps'!$B294:$AY294,'recurring2_based on steps'!$B$1:$AY$1,Q$1)+SUMIFS('changes2_based on steps'!$B294:$U294,'changes2_based on steps'!$B$1:$U$1,Q$1)</f>
        <v>0</v>
      </c>
      <c r="R294" s="155">
        <f ca="1">SUMIFS('recurring2_based on steps'!$B294:$AY294,'recurring2_based on steps'!$B$1:$AY$1,R$1)+SUMIFS('changes2_based on steps'!$B294:$U294,'changes2_based on steps'!$B$1:$U$1,R$1)</f>
        <v>0</v>
      </c>
      <c r="S294" s="155">
        <f ca="1">SUMIFS('recurring2_based on steps'!$B294:$AY294,'recurring2_based on steps'!$B$1:$AY$1,S$1)+SUMIFS('changes2_based on steps'!$B294:$U294,'changes2_based on steps'!$B$1:$U$1,S$1)</f>
        <v>0</v>
      </c>
      <c r="T294" s="155">
        <f>SUMIFS('recurring2_based on steps'!$B294:$AY294,'recurring2_based on steps'!$B$1:$AY$1,T$1)+SUMIFS('changes2_based on steps'!$B294:$U294,'changes2_based on steps'!$B$1:$U$1,T$1)</f>
        <v>0</v>
      </c>
      <c r="U294" s="155">
        <f ca="1">SUMIFS('recurring2_based on steps'!$B294:$AY294,'recurring2_based on steps'!$B$1:$AY$1,U$1)+SUMIFS('changes2_based on steps'!$B294:$U294,'changes2_based on steps'!$B$1:$U$1,U$1)</f>
        <v>0</v>
      </c>
      <c r="V294" s="155">
        <f>SUMIFS('recurring2_based on steps'!$B294:$AY294,'recurring2_based on steps'!$B$1:$AY$1,V$1)+SUMIFS('changes2_based on steps'!$B294:$U294,'changes2_based on steps'!$B$1:$U$1,V$1)</f>
        <v>0</v>
      </c>
      <c r="W294" s="155">
        <f ca="1">SUMIFS('recurring2_based on steps'!$B294:$AY294,'recurring2_based on steps'!$B$1:$AY$1,W$1)+SUMIFS('changes2_based on steps'!$B294:$U294,'changes2_based on steps'!$B$1:$U$1,W$1)</f>
        <v>0</v>
      </c>
      <c r="X294" s="155">
        <f ca="1">SUMIFS('recurring2_based on steps'!$B294:$AY294,'recurring2_based on steps'!$B$1:$AY$1,X$1)+SUMIFS('changes2_based on steps'!$B294:$U294,'changes2_based on steps'!$B$1:$U$1,X$1)</f>
        <v>0</v>
      </c>
      <c r="Y294" s="155">
        <f ca="1">SUMIFS('recurring2_based on steps'!$B294:$AY294,'recurring2_based on steps'!$B$1:$AY$1,Y$1)+SUMIFS('changes2_based on steps'!$B294:$U294,'changes2_based on steps'!$B$1:$U$1,Y$1)</f>
        <v>0</v>
      </c>
      <c r="Z294" s="155">
        <f>SUMIFS('recurring2_based on steps'!$B294:$AY294,'recurring2_based on steps'!$B$1:$AY$1,Z$1)+SUMIFS('changes2_based on steps'!$B294:$U294,'changes2_based on steps'!$B$1:$U$1,Z$1)</f>
        <v>0</v>
      </c>
      <c r="AA294" s="155">
        <f>SUMIFS('recurring2_based on steps'!$B294:$AY294,'recurring2_based on steps'!$B$1:$AY$1,AA$1)+SUMIFS('changes2_based on steps'!$B294:$U294,'changes2_based on steps'!$B$1:$U$1,AA$1)</f>
        <v>0</v>
      </c>
    </row>
    <row r="295" spans="1:27" x14ac:dyDescent="0.2">
      <c r="A295" s="18">
        <f t="shared" ca="1" si="4"/>
        <v>45981</v>
      </c>
      <c r="B295" s="155">
        <f ca="1">SUMIFS('recurring2_based on steps'!$B295:$AY295,'recurring2_based on steps'!$B$1:$AY$1,B$1)+SUMIFS('changes2_based on steps'!$B295:$U295,'changes2_based on steps'!$B$1:$U$1,B$1)</f>
        <v>0</v>
      </c>
      <c r="C295" s="155">
        <f>SUMIFS('recurring2_based on steps'!$B295:$AY295,'recurring2_based on steps'!$B$1:$AY$1,C$1)+SUMIFS('changes2_based on steps'!$B295:$U295,'changes2_based on steps'!$B$1:$U$1,C$1)</f>
        <v>0</v>
      </c>
      <c r="D295" s="155">
        <f>SUMIFS('recurring2_based on steps'!$B295:$AY295,'recurring2_based on steps'!$B$1:$AY$1,D$1)+SUMIFS('changes2_based on steps'!$B295:$U295,'changes2_based on steps'!$B$1:$U$1,D$1)</f>
        <v>0</v>
      </c>
      <c r="E295" s="155">
        <f>SUMIFS('recurring2_based on steps'!$B295:$AY295,'recurring2_based on steps'!$B$1:$AY$1,E$1)+SUMIFS('changes2_based on steps'!$B295:$U295,'changes2_based on steps'!$B$1:$U$1,E$1)</f>
        <v>0</v>
      </c>
      <c r="F295" s="155">
        <f>SUMIFS('recurring2_based on steps'!$B295:$AY295,'recurring2_based on steps'!$B$1:$AY$1,F$1)+SUMIFS('changes2_based on steps'!$B295:$U295,'changes2_based on steps'!$B$1:$U$1,F$1)</f>
        <v>0</v>
      </c>
      <c r="G295" s="155">
        <f>SUMIFS('recurring2_based on steps'!$B295:$AY295,'recurring2_based on steps'!$B$1:$AY$1,G$1)+SUMIFS('changes2_based on steps'!$B295:$U295,'changes2_based on steps'!$B$1:$U$1,G$1)</f>
        <v>0</v>
      </c>
      <c r="H295" s="155">
        <f ca="1">SUMIFS('recurring2_based on steps'!$B295:$AY295,'recurring2_based on steps'!$B$1:$AY$1,H$1)+SUMIFS('changes2_based on steps'!$B295:$U295,'changes2_based on steps'!$B$1:$U$1,H$1)</f>
        <v>0</v>
      </c>
      <c r="I295" s="155">
        <f>SUMIFS('recurring2_based on steps'!$B295:$AY295,'recurring2_based on steps'!$B$1:$AY$1,I$1)+SUMIFS('changes2_based on steps'!$B295:$U295,'changes2_based on steps'!$B$1:$U$1,I$1)</f>
        <v>0</v>
      </c>
      <c r="J295" s="155">
        <f>SUMIFS('recurring2_based on steps'!$B295:$AY295,'recurring2_based on steps'!$B$1:$AY$1,J$1)+SUMIFS('changes2_based on steps'!$B295:$U295,'changes2_based on steps'!$B$1:$U$1,J$1)</f>
        <v>0</v>
      </c>
      <c r="K295" s="155">
        <f>SUMIFS('recurring2_based on steps'!$B295:$AY295,'recurring2_based on steps'!$B$1:$AY$1,K$1)+SUMIFS('changes2_based on steps'!$B295:$U295,'changes2_based on steps'!$B$1:$U$1,K$1)</f>
        <v>0</v>
      </c>
      <c r="L295" s="155">
        <f>SUMIFS('recurring2_based on steps'!$B295:$AY295,'recurring2_based on steps'!$B$1:$AY$1,L$1)+SUMIFS('changes2_based on steps'!$B295:$U295,'changes2_based on steps'!$B$1:$U$1,L$1)</f>
        <v>0</v>
      </c>
      <c r="M295" s="155">
        <f ca="1">SUMIFS('recurring2_based on steps'!$B295:$AY295,'recurring2_based on steps'!$B$1:$AY$1,M$1)+SUMIFS('changes2_based on steps'!$B295:$U295,'changes2_based on steps'!$B$1:$U$1,M$1)</f>
        <v>0</v>
      </c>
      <c r="N295" s="155">
        <f ca="1">SUMIFS('recurring2_based on steps'!$B295:$AY295,'recurring2_based on steps'!$B$1:$AY$1,N$1)+SUMIFS('changes2_based on steps'!$B295:$U295,'changes2_based on steps'!$B$1:$U$1,N$1)</f>
        <v>0</v>
      </c>
      <c r="O295" s="155">
        <f ca="1">SUMIFS('recurring2_based on steps'!$B295:$AY295,'recurring2_based on steps'!$B$1:$AY$1,O$1)+SUMIFS('changes2_based on steps'!$B295:$U295,'changes2_based on steps'!$B$1:$U$1,O$1)</f>
        <v>0</v>
      </c>
      <c r="P295" s="155">
        <f ca="1">SUMIFS('recurring2_based on steps'!$B295:$AY295,'recurring2_based on steps'!$B$1:$AY$1,P$1)+SUMIFS('changes2_based on steps'!$B295:$U295,'changes2_based on steps'!$B$1:$U$1,P$1)</f>
        <v>0</v>
      </c>
      <c r="Q295" s="155">
        <f>SUMIFS('recurring2_based on steps'!$B295:$AY295,'recurring2_based on steps'!$B$1:$AY$1,Q$1)+SUMIFS('changes2_based on steps'!$B295:$U295,'changes2_based on steps'!$B$1:$U$1,Q$1)</f>
        <v>0</v>
      </c>
      <c r="R295" s="155">
        <f ca="1">SUMIFS('recurring2_based on steps'!$B295:$AY295,'recurring2_based on steps'!$B$1:$AY$1,R$1)+SUMIFS('changes2_based on steps'!$B295:$U295,'changes2_based on steps'!$B$1:$U$1,R$1)</f>
        <v>0</v>
      </c>
      <c r="S295" s="155">
        <f ca="1">SUMIFS('recurring2_based on steps'!$B295:$AY295,'recurring2_based on steps'!$B$1:$AY$1,S$1)+SUMIFS('changes2_based on steps'!$B295:$U295,'changes2_based on steps'!$B$1:$U$1,S$1)</f>
        <v>0</v>
      </c>
      <c r="T295" s="155">
        <f>SUMIFS('recurring2_based on steps'!$B295:$AY295,'recurring2_based on steps'!$B$1:$AY$1,T$1)+SUMIFS('changes2_based on steps'!$B295:$U295,'changes2_based on steps'!$B$1:$U$1,T$1)</f>
        <v>0</v>
      </c>
      <c r="U295" s="155">
        <f ca="1">SUMIFS('recurring2_based on steps'!$B295:$AY295,'recurring2_based on steps'!$B$1:$AY$1,U$1)+SUMIFS('changes2_based on steps'!$B295:$U295,'changes2_based on steps'!$B$1:$U$1,U$1)</f>
        <v>0</v>
      </c>
      <c r="V295" s="155">
        <f>SUMIFS('recurring2_based on steps'!$B295:$AY295,'recurring2_based on steps'!$B$1:$AY$1,V$1)+SUMIFS('changes2_based on steps'!$B295:$U295,'changes2_based on steps'!$B$1:$U$1,V$1)</f>
        <v>0</v>
      </c>
      <c r="W295" s="155">
        <f ca="1">SUMIFS('recurring2_based on steps'!$B295:$AY295,'recurring2_based on steps'!$B$1:$AY$1,W$1)+SUMIFS('changes2_based on steps'!$B295:$U295,'changes2_based on steps'!$B$1:$U$1,W$1)</f>
        <v>0</v>
      </c>
      <c r="X295" s="155">
        <f ca="1">SUMIFS('recurring2_based on steps'!$B295:$AY295,'recurring2_based on steps'!$B$1:$AY$1,X$1)+SUMIFS('changes2_based on steps'!$B295:$U295,'changes2_based on steps'!$B$1:$U$1,X$1)</f>
        <v>0</v>
      </c>
      <c r="Y295" s="155">
        <f ca="1">SUMIFS('recurring2_based on steps'!$B295:$AY295,'recurring2_based on steps'!$B$1:$AY$1,Y$1)+SUMIFS('changes2_based on steps'!$B295:$U295,'changes2_based on steps'!$B$1:$U$1,Y$1)</f>
        <v>0</v>
      </c>
      <c r="Z295" s="155">
        <f>SUMIFS('recurring2_based on steps'!$B295:$AY295,'recurring2_based on steps'!$B$1:$AY$1,Z$1)+SUMIFS('changes2_based on steps'!$B295:$U295,'changes2_based on steps'!$B$1:$U$1,Z$1)</f>
        <v>0</v>
      </c>
      <c r="AA295" s="155">
        <f>SUMIFS('recurring2_based on steps'!$B295:$AY295,'recurring2_based on steps'!$B$1:$AY$1,AA$1)+SUMIFS('changes2_based on steps'!$B295:$U295,'changes2_based on steps'!$B$1:$U$1,AA$1)</f>
        <v>0</v>
      </c>
    </row>
    <row r="296" spans="1:27" x14ac:dyDescent="0.2">
      <c r="A296" s="18">
        <f t="shared" ca="1" si="4"/>
        <v>45982</v>
      </c>
      <c r="B296" s="155">
        <f ca="1">SUMIFS('recurring2_based on steps'!$B296:$AY296,'recurring2_based on steps'!$B$1:$AY$1,B$1)+SUMIFS('changes2_based on steps'!$B296:$U296,'changes2_based on steps'!$B$1:$U$1,B$1)</f>
        <v>0</v>
      </c>
      <c r="C296" s="155">
        <f>SUMIFS('recurring2_based on steps'!$B296:$AY296,'recurring2_based on steps'!$B$1:$AY$1,C$1)+SUMIFS('changes2_based on steps'!$B296:$U296,'changes2_based on steps'!$B$1:$U$1,C$1)</f>
        <v>0</v>
      </c>
      <c r="D296" s="155">
        <f>SUMIFS('recurring2_based on steps'!$B296:$AY296,'recurring2_based on steps'!$B$1:$AY$1,D$1)+SUMIFS('changes2_based on steps'!$B296:$U296,'changes2_based on steps'!$B$1:$U$1,D$1)</f>
        <v>0</v>
      </c>
      <c r="E296" s="155">
        <f>SUMIFS('recurring2_based on steps'!$B296:$AY296,'recurring2_based on steps'!$B$1:$AY$1,E$1)+SUMIFS('changes2_based on steps'!$B296:$U296,'changes2_based on steps'!$B$1:$U$1,E$1)</f>
        <v>0</v>
      </c>
      <c r="F296" s="155">
        <f>SUMIFS('recurring2_based on steps'!$B296:$AY296,'recurring2_based on steps'!$B$1:$AY$1,F$1)+SUMIFS('changes2_based on steps'!$B296:$U296,'changes2_based on steps'!$B$1:$U$1,F$1)</f>
        <v>0</v>
      </c>
      <c r="G296" s="155">
        <f>SUMIFS('recurring2_based on steps'!$B296:$AY296,'recurring2_based on steps'!$B$1:$AY$1,G$1)+SUMIFS('changes2_based on steps'!$B296:$U296,'changes2_based on steps'!$B$1:$U$1,G$1)</f>
        <v>0</v>
      </c>
      <c r="H296" s="155">
        <f ca="1">SUMIFS('recurring2_based on steps'!$B296:$AY296,'recurring2_based on steps'!$B$1:$AY$1,H$1)+SUMIFS('changes2_based on steps'!$B296:$U296,'changes2_based on steps'!$B$1:$U$1,H$1)</f>
        <v>0</v>
      </c>
      <c r="I296" s="155">
        <f>SUMIFS('recurring2_based on steps'!$B296:$AY296,'recurring2_based on steps'!$B$1:$AY$1,I$1)+SUMIFS('changes2_based on steps'!$B296:$U296,'changes2_based on steps'!$B$1:$U$1,I$1)</f>
        <v>0</v>
      </c>
      <c r="J296" s="155">
        <f>SUMIFS('recurring2_based on steps'!$B296:$AY296,'recurring2_based on steps'!$B$1:$AY$1,J$1)+SUMIFS('changes2_based on steps'!$B296:$U296,'changes2_based on steps'!$B$1:$U$1,J$1)</f>
        <v>0</v>
      </c>
      <c r="K296" s="155">
        <f>SUMIFS('recurring2_based on steps'!$B296:$AY296,'recurring2_based on steps'!$B$1:$AY$1,K$1)+SUMIFS('changes2_based on steps'!$B296:$U296,'changes2_based on steps'!$B$1:$U$1,K$1)</f>
        <v>0</v>
      </c>
      <c r="L296" s="155">
        <f>SUMIFS('recurring2_based on steps'!$B296:$AY296,'recurring2_based on steps'!$B$1:$AY$1,L$1)+SUMIFS('changes2_based on steps'!$B296:$U296,'changes2_based on steps'!$B$1:$U$1,L$1)</f>
        <v>0</v>
      </c>
      <c r="M296" s="155">
        <f ca="1">SUMIFS('recurring2_based on steps'!$B296:$AY296,'recurring2_based on steps'!$B$1:$AY$1,M$1)+SUMIFS('changes2_based on steps'!$B296:$U296,'changes2_based on steps'!$B$1:$U$1,M$1)</f>
        <v>0</v>
      </c>
      <c r="N296" s="155">
        <f ca="1">SUMIFS('recurring2_based on steps'!$B296:$AY296,'recurring2_based on steps'!$B$1:$AY$1,N$1)+SUMIFS('changes2_based on steps'!$B296:$U296,'changes2_based on steps'!$B$1:$U$1,N$1)</f>
        <v>0</v>
      </c>
      <c r="O296" s="155">
        <f ca="1">SUMIFS('recurring2_based on steps'!$B296:$AY296,'recurring2_based on steps'!$B$1:$AY$1,O$1)+SUMIFS('changes2_based on steps'!$B296:$U296,'changes2_based on steps'!$B$1:$U$1,O$1)</f>
        <v>0</v>
      </c>
      <c r="P296" s="155">
        <f ca="1">SUMIFS('recurring2_based on steps'!$B296:$AY296,'recurring2_based on steps'!$B$1:$AY$1,P$1)+SUMIFS('changes2_based on steps'!$B296:$U296,'changes2_based on steps'!$B$1:$U$1,P$1)</f>
        <v>0</v>
      </c>
      <c r="Q296" s="155">
        <f>SUMIFS('recurring2_based on steps'!$B296:$AY296,'recurring2_based on steps'!$B$1:$AY$1,Q$1)+SUMIFS('changes2_based on steps'!$B296:$U296,'changes2_based on steps'!$B$1:$U$1,Q$1)</f>
        <v>0</v>
      </c>
      <c r="R296" s="155">
        <f ca="1">SUMIFS('recurring2_based on steps'!$B296:$AY296,'recurring2_based on steps'!$B$1:$AY$1,R$1)+SUMIFS('changes2_based on steps'!$B296:$U296,'changes2_based on steps'!$B$1:$U$1,R$1)</f>
        <v>0</v>
      </c>
      <c r="S296" s="155">
        <f ca="1">SUMIFS('recurring2_based on steps'!$B296:$AY296,'recurring2_based on steps'!$B$1:$AY$1,S$1)+SUMIFS('changes2_based on steps'!$B296:$U296,'changes2_based on steps'!$B$1:$U$1,S$1)</f>
        <v>0</v>
      </c>
      <c r="T296" s="155">
        <f>SUMIFS('recurring2_based on steps'!$B296:$AY296,'recurring2_based on steps'!$B$1:$AY$1,T$1)+SUMIFS('changes2_based on steps'!$B296:$U296,'changes2_based on steps'!$B$1:$U$1,T$1)</f>
        <v>0</v>
      </c>
      <c r="U296" s="155">
        <f ca="1">SUMIFS('recurring2_based on steps'!$B296:$AY296,'recurring2_based on steps'!$B$1:$AY$1,U$1)+SUMIFS('changes2_based on steps'!$B296:$U296,'changes2_based on steps'!$B$1:$U$1,U$1)</f>
        <v>0</v>
      </c>
      <c r="V296" s="155">
        <f>SUMIFS('recurring2_based on steps'!$B296:$AY296,'recurring2_based on steps'!$B$1:$AY$1,V$1)+SUMIFS('changes2_based on steps'!$B296:$U296,'changes2_based on steps'!$B$1:$U$1,V$1)</f>
        <v>0</v>
      </c>
      <c r="W296" s="155">
        <f ca="1">SUMIFS('recurring2_based on steps'!$B296:$AY296,'recurring2_based on steps'!$B$1:$AY$1,W$1)+SUMIFS('changes2_based on steps'!$B296:$U296,'changes2_based on steps'!$B$1:$U$1,W$1)</f>
        <v>0</v>
      </c>
      <c r="X296" s="155">
        <f ca="1">SUMIFS('recurring2_based on steps'!$B296:$AY296,'recurring2_based on steps'!$B$1:$AY$1,X$1)+SUMIFS('changes2_based on steps'!$B296:$U296,'changes2_based on steps'!$B$1:$U$1,X$1)</f>
        <v>0</v>
      </c>
      <c r="Y296" s="155">
        <f ca="1">SUMIFS('recurring2_based on steps'!$B296:$AY296,'recurring2_based on steps'!$B$1:$AY$1,Y$1)+SUMIFS('changes2_based on steps'!$B296:$U296,'changes2_based on steps'!$B$1:$U$1,Y$1)</f>
        <v>0</v>
      </c>
      <c r="Z296" s="155">
        <f>SUMIFS('recurring2_based on steps'!$B296:$AY296,'recurring2_based on steps'!$B$1:$AY$1,Z$1)+SUMIFS('changes2_based on steps'!$B296:$U296,'changes2_based on steps'!$B$1:$U$1,Z$1)</f>
        <v>0</v>
      </c>
      <c r="AA296" s="155">
        <f>SUMIFS('recurring2_based on steps'!$B296:$AY296,'recurring2_based on steps'!$B$1:$AY$1,AA$1)+SUMIFS('changes2_based on steps'!$B296:$U296,'changes2_based on steps'!$B$1:$U$1,AA$1)</f>
        <v>0</v>
      </c>
    </row>
    <row r="297" spans="1:27" x14ac:dyDescent="0.2">
      <c r="A297" s="18">
        <f t="shared" ca="1" si="4"/>
        <v>45983</v>
      </c>
      <c r="B297" s="155">
        <f ca="1">SUMIFS('recurring2_based on steps'!$B297:$AY297,'recurring2_based on steps'!$B$1:$AY$1,B$1)+SUMIFS('changes2_based on steps'!$B297:$U297,'changes2_based on steps'!$B$1:$U$1,B$1)</f>
        <v>0</v>
      </c>
      <c r="C297" s="155">
        <f>SUMIFS('recurring2_based on steps'!$B297:$AY297,'recurring2_based on steps'!$B$1:$AY$1,C$1)+SUMIFS('changes2_based on steps'!$B297:$U297,'changes2_based on steps'!$B$1:$U$1,C$1)</f>
        <v>0</v>
      </c>
      <c r="D297" s="155">
        <f>SUMIFS('recurring2_based on steps'!$B297:$AY297,'recurring2_based on steps'!$B$1:$AY$1,D$1)+SUMIFS('changes2_based on steps'!$B297:$U297,'changes2_based on steps'!$B$1:$U$1,D$1)</f>
        <v>0</v>
      </c>
      <c r="E297" s="155">
        <f>SUMIFS('recurring2_based on steps'!$B297:$AY297,'recurring2_based on steps'!$B$1:$AY$1,E$1)+SUMIFS('changes2_based on steps'!$B297:$U297,'changes2_based on steps'!$B$1:$U$1,E$1)</f>
        <v>0</v>
      </c>
      <c r="F297" s="155">
        <f>SUMIFS('recurring2_based on steps'!$B297:$AY297,'recurring2_based on steps'!$B$1:$AY$1,F$1)+SUMIFS('changes2_based on steps'!$B297:$U297,'changes2_based on steps'!$B$1:$U$1,F$1)</f>
        <v>0</v>
      </c>
      <c r="G297" s="155">
        <f>SUMIFS('recurring2_based on steps'!$B297:$AY297,'recurring2_based on steps'!$B$1:$AY$1,G$1)+SUMIFS('changes2_based on steps'!$B297:$U297,'changes2_based on steps'!$B$1:$U$1,G$1)</f>
        <v>0</v>
      </c>
      <c r="H297" s="155">
        <f ca="1">SUMIFS('recurring2_based on steps'!$B297:$AY297,'recurring2_based on steps'!$B$1:$AY$1,H$1)+SUMIFS('changes2_based on steps'!$B297:$U297,'changes2_based on steps'!$B$1:$U$1,H$1)</f>
        <v>0</v>
      </c>
      <c r="I297" s="155">
        <f>SUMIFS('recurring2_based on steps'!$B297:$AY297,'recurring2_based on steps'!$B$1:$AY$1,I$1)+SUMIFS('changes2_based on steps'!$B297:$U297,'changes2_based on steps'!$B$1:$U$1,I$1)</f>
        <v>0</v>
      </c>
      <c r="J297" s="155">
        <f>SUMIFS('recurring2_based on steps'!$B297:$AY297,'recurring2_based on steps'!$B$1:$AY$1,J$1)+SUMIFS('changes2_based on steps'!$B297:$U297,'changes2_based on steps'!$B$1:$U$1,J$1)</f>
        <v>0</v>
      </c>
      <c r="K297" s="155">
        <f>SUMIFS('recurring2_based on steps'!$B297:$AY297,'recurring2_based on steps'!$B$1:$AY$1,K$1)+SUMIFS('changes2_based on steps'!$B297:$U297,'changes2_based on steps'!$B$1:$U$1,K$1)</f>
        <v>0</v>
      </c>
      <c r="L297" s="155">
        <f>SUMIFS('recurring2_based on steps'!$B297:$AY297,'recurring2_based on steps'!$B$1:$AY$1,L$1)+SUMIFS('changes2_based on steps'!$B297:$U297,'changes2_based on steps'!$B$1:$U$1,L$1)</f>
        <v>0</v>
      </c>
      <c r="M297" s="155">
        <f ca="1">SUMIFS('recurring2_based on steps'!$B297:$AY297,'recurring2_based on steps'!$B$1:$AY$1,M$1)+SUMIFS('changes2_based on steps'!$B297:$U297,'changes2_based on steps'!$B$1:$U$1,M$1)</f>
        <v>0</v>
      </c>
      <c r="N297" s="155">
        <f ca="1">SUMIFS('recurring2_based on steps'!$B297:$AY297,'recurring2_based on steps'!$B$1:$AY$1,N$1)+SUMIFS('changes2_based on steps'!$B297:$U297,'changes2_based on steps'!$B$1:$U$1,N$1)</f>
        <v>0</v>
      </c>
      <c r="O297" s="155">
        <f ca="1">SUMIFS('recurring2_based on steps'!$B297:$AY297,'recurring2_based on steps'!$B$1:$AY$1,O$1)+SUMIFS('changes2_based on steps'!$B297:$U297,'changes2_based on steps'!$B$1:$U$1,O$1)</f>
        <v>0</v>
      </c>
      <c r="P297" s="155">
        <f ca="1">SUMIFS('recurring2_based on steps'!$B297:$AY297,'recurring2_based on steps'!$B$1:$AY$1,P$1)+SUMIFS('changes2_based on steps'!$B297:$U297,'changes2_based on steps'!$B$1:$U$1,P$1)</f>
        <v>0</v>
      </c>
      <c r="Q297" s="155">
        <f>SUMIFS('recurring2_based on steps'!$B297:$AY297,'recurring2_based on steps'!$B$1:$AY$1,Q$1)+SUMIFS('changes2_based on steps'!$B297:$U297,'changes2_based on steps'!$B$1:$U$1,Q$1)</f>
        <v>0</v>
      </c>
      <c r="R297" s="155">
        <f ca="1">SUMIFS('recurring2_based on steps'!$B297:$AY297,'recurring2_based on steps'!$B$1:$AY$1,R$1)+SUMIFS('changes2_based on steps'!$B297:$U297,'changes2_based on steps'!$B$1:$U$1,R$1)</f>
        <v>100</v>
      </c>
      <c r="S297" s="155">
        <f ca="1">SUMIFS('recurring2_based on steps'!$B297:$AY297,'recurring2_based on steps'!$B$1:$AY$1,S$1)+SUMIFS('changes2_based on steps'!$B297:$U297,'changes2_based on steps'!$B$1:$U$1,S$1)</f>
        <v>100</v>
      </c>
      <c r="T297" s="155">
        <f>SUMIFS('recurring2_based on steps'!$B297:$AY297,'recurring2_based on steps'!$B$1:$AY$1,T$1)+SUMIFS('changes2_based on steps'!$B297:$U297,'changes2_based on steps'!$B$1:$U$1,T$1)</f>
        <v>0</v>
      </c>
      <c r="U297" s="155">
        <f ca="1">SUMIFS('recurring2_based on steps'!$B297:$AY297,'recurring2_based on steps'!$B$1:$AY$1,U$1)+SUMIFS('changes2_based on steps'!$B297:$U297,'changes2_based on steps'!$B$1:$U$1,U$1)</f>
        <v>0</v>
      </c>
      <c r="V297" s="155">
        <f>SUMIFS('recurring2_based on steps'!$B297:$AY297,'recurring2_based on steps'!$B$1:$AY$1,V$1)+SUMIFS('changes2_based on steps'!$B297:$U297,'changes2_based on steps'!$B$1:$U$1,V$1)</f>
        <v>0</v>
      </c>
      <c r="W297" s="155">
        <f ca="1">SUMIFS('recurring2_based on steps'!$B297:$AY297,'recurring2_based on steps'!$B$1:$AY$1,W$1)+SUMIFS('changes2_based on steps'!$B297:$U297,'changes2_based on steps'!$B$1:$U$1,W$1)</f>
        <v>0</v>
      </c>
      <c r="X297" s="155">
        <f ca="1">SUMIFS('recurring2_based on steps'!$B297:$AY297,'recurring2_based on steps'!$B$1:$AY$1,X$1)+SUMIFS('changes2_based on steps'!$B297:$U297,'changes2_based on steps'!$B$1:$U$1,X$1)</f>
        <v>0</v>
      </c>
      <c r="Y297" s="155">
        <f ca="1">SUMIFS('recurring2_based on steps'!$B297:$AY297,'recurring2_based on steps'!$B$1:$AY$1,Y$1)+SUMIFS('changes2_based on steps'!$B297:$U297,'changes2_based on steps'!$B$1:$U$1,Y$1)</f>
        <v>0</v>
      </c>
      <c r="Z297" s="155">
        <f>SUMIFS('recurring2_based on steps'!$B297:$AY297,'recurring2_based on steps'!$B$1:$AY$1,Z$1)+SUMIFS('changes2_based on steps'!$B297:$U297,'changes2_based on steps'!$B$1:$U$1,Z$1)</f>
        <v>0</v>
      </c>
      <c r="AA297" s="155">
        <f>SUMIFS('recurring2_based on steps'!$B297:$AY297,'recurring2_based on steps'!$B$1:$AY$1,AA$1)+SUMIFS('changes2_based on steps'!$B297:$U297,'changes2_based on steps'!$B$1:$U$1,AA$1)</f>
        <v>0</v>
      </c>
    </row>
    <row r="298" spans="1:27" x14ac:dyDescent="0.2">
      <c r="A298" s="18">
        <f t="shared" ca="1" si="4"/>
        <v>45984</v>
      </c>
      <c r="B298" s="155">
        <f ca="1">SUMIFS('recurring2_based on steps'!$B298:$AY298,'recurring2_based on steps'!$B$1:$AY$1,B$1)+SUMIFS('changes2_based on steps'!$B298:$U298,'changes2_based on steps'!$B$1:$U$1,B$1)</f>
        <v>0</v>
      </c>
      <c r="C298" s="155">
        <f>SUMIFS('recurring2_based on steps'!$B298:$AY298,'recurring2_based on steps'!$B$1:$AY$1,C$1)+SUMIFS('changes2_based on steps'!$B298:$U298,'changes2_based on steps'!$B$1:$U$1,C$1)</f>
        <v>0</v>
      </c>
      <c r="D298" s="155">
        <f>SUMIFS('recurring2_based on steps'!$B298:$AY298,'recurring2_based on steps'!$B$1:$AY$1,D$1)+SUMIFS('changes2_based on steps'!$B298:$U298,'changes2_based on steps'!$B$1:$U$1,D$1)</f>
        <v>0</v>
      </c>
      <c r="E298" s="155">
        <f>SUMIFS('recurring2_based on steps'!$B298:$AY298,'recurring2_based on steps'!$B$1:$AY$1,E$1)+SUMIFS('changes2_based on steps'!$B298:$U298,'changes2_based on steps'!$B$1:$U$1,E$1)</f>
        <v>0</v>
      </c>
      <c r="F298" s="155">
        <f>SUMIFS('recurring2_based on steps'!$B298:$AY298,'recurring2_based on steps'!$B$1:$AY$1,F$1)+SUMIFS('changes2_based on steps'!$B298:$U298,'changes2_based on steps'!$B$1:$U$1,F$1)</f>
        <v>0</v>
      </c>
      <c r="G298" s="155">
        <f>SUMIFS('recurring2_based on steps'!$B298:$AY298,'recurring2_based on steps'!$B$1:$AY$1,G$1)+SUMIFS('changes2_based on steps'!$B298:$U298,'changes2_based on steps'!$B$1:$U$1,G$1)</f>
        <v>0</v>
      </c>
      <c r="H298" s="155">
        <f ca="1">SUMIFS('recurring2_based on steps'!$B298:$AY298,'recurring2_based on steps'!$B$1:$AY$1,H$1)+SUMIFS('changes2_based on steps'!$B298:$U298,'changes2_based on steps'!$B$1:$U$1,H$1)</f>
        <v>0</v>
      </c>
      <c r="I298" s="155">
        <f>SUMIFS('recurring2_based on steps'!$B298:$AY298,'recurring2_based on steps'!$B$1:$AY$1,I$1)+SUMIFS('changes2_based on steps'!$B298:$U298,'changes2_based on steps'!$B$1:$U$1,I$1)</f>
        <v>0</v>
      </c>
      <c r="J298" s="155">
        <f>SUMIFS('recurring2_based on steps'!$B298:$AY298,'recurring2_based on steps'!$B$1:$AY$1,J$1)+SUMIFS('changes2_based on steps'!$B298:$U298,'changes2_based on steps'!$B$1:$U$1,J$1)</f>
        <v>0</v>
      </c>
      <c r="K298" s="155">
        <f>SUMIFS('recurring2_based on steps'!$B298:$AY298,'recurring2_based on steps'!$B$1:$AY$1,K$1)+SUMIFS('changes2_based on steps'!$B298:$U298,'changes2_based on steps'!$B$1:$U$1,K$1)</f>
        <v>0</v>
      </c>
      <c r="L298" s="155">
        <f>SUMIFS('recurring2_based on steps'!$B298:$AY298,'recurring2_based on steps'!$B$1:$AY$1,L$1)+SUMIFS('changes2_based on steps'!$B298:$U298,'changes2_based on steps'!$B$1:$U$1,L$1)</f>
        <v>0</v>
      </c>
      <c r="M298" s="155">
        <f ca="1">SUMIFS('recurring2_based on steps'!$B298:$AY298,'recurring2_based on steps'!$B$1:$AY$1,M$1)+SUMIFS('changes2_based on steps'!$B298:$U298,'changes2_based on steps'!$B$1:$U$1,M$1)</f>
        <v>0</v>
      </c>
      <c r="N298" s="155">
        <f ca="1">SUMIFS('recurring2_based on steps'!$B298:$AY298,'recurring2_based on steps'!$B$1:$AY$1,N$1)+SUMIFS('changes2_based on steps'!$B298:$U298,'changes2_based on steps'!$B$1:$U$1,N$1)</f>
        <v>50</v>
      </c>
      <c r="O298" s="155">
        <f ca="1">SUMIFS('recurring2_based on steps'!$B298:$AY298,'recurring2_based on steps'!$B$1:$AY$1,O$1)+SUMIFS('changes2_based on steps'!$B298:$U298,'changes2_based on steps'!$B$1:$U$1,O$1)</f>
        <v>0</v>
      </c>
      <c r="P298" s="155">
        <f ca="1">SUMIFS('recurring2_based on steps'!$B298:$AY298,'recurring2_based on steps'!$B$1:$AY$1,P$1)+SUMIFS('changes2_based on steps'!$B298:$U298,'changes2_based on steps'!$B$1:$U$1,P$1)</f>
        <v>0</v>
      </c>
      <c r="Q298" s="155">
        <f>SUMIFS('recurring2_based on steps'!$B298:$AY298,'recurring2_based on steps'!$B$1:$AY$1,Q$1)+SUMIFS('changes2_based on steps'!$B298:$U298,'changes2_based on steps'!$B$1:$U$1,Q$1)</f>
        <v>0</v>
      </c>
      <c r="R298" s="155">
        <f ca="1">SUMIFS('recurring2_based on steps'!$B298:$AY298,'recurring2_based on steps'!$B$1:$AY$1,R$1)+SUMIFS('changes2_based on steps'!$B298:$U298,'changes2_based on steps'!$B$1:$U$1,R$1)</f>
        <v>0</v>
      </c>
      <c r="S298" s="155">
        <f ca="1">SUMIFS('recurring2_based on steps'!$B298:$AY298,'recurring2_based on steps'!$B$1:$AY$1,S$1)+SUMIFS('changes2_based on steps'!$B298:$U298,'changes2_based on steps'!$B$1:$U$1,S$1)</f>
        <v>100</v>
      </c>
      <c r="T298" s="155">
        <f>SUMIFS('recurring2_based on steps'!$B298:$AY298,'recurring2_based on steps'!$B$1:$AY$1,T$1)+SUMIFS('changes2_based on steps'!$B298:$U298,'changes2_based on steps'!$B$1:$U$1,T$1)</f>
        <v>0</v>
      </c>
      <c r="U298" s="155">
        <f ca="1">SUMIFS('recurring2_based on steps'!$B298:$AY298,'recurring2_based on steps'!$B$1:$AY$1,U$1)+SUMIFS('changes2_based on steps'!$B298:$U298,'changes2_based on steps'!$B$1:$U$1,U$1)</f>
        <v>0</v>
      </c>
      <c r="V298" s="155">
        <f>SUMIFS('recurring2_based on steps'!$B298:$AY298,'recurring2_based on steps'!$B$1:$AY$1,V$1)+SUMIFS('changes2_based on steps'!$B298:$U298,'changes2_based on steps'!$B$1:$U$1,V$1)</f>
        <v>0</v>
      </c>
      <c r="W298" s="155">
        <f ca="1">SUMIFS('recurring2_based on steps'!$B298:$AY298,'recurring2_based on steps'!$B$1:$AY$1,W$1)+SUMIFS('changes2_based on steps'!$B298:$U298,'changes2_based on steps'!$B$1:$U$1,W$1)</f>
        <v>0</v>
      </c>
      <c r="X298" s="155">
        <f ca="1">SUMIFS('recurring2_based on steps'!$B298:$AY298,'recurring2_based on steps'!$B$1:$AY$1,X$1)+SUMIFS('changes2_based on steps'!$B298:$U298,'changes2_based on steps'!$B$1:$U$1,X$1)</f>
        <v>0</v>
      </c>
      <c r="Y298" s="155">
        <f ca="1">SUMIFS('recurring2_based on steps'!$B298:$AY298,'recurring2_based on steps'!$B$1:$AY$1,Y$1)+SUMIFS('changes2_based on steps'!$B298:$U298,'changes2_based on steps'!$B$1:$U$1,Y$1)</f>
        <v>0</v>
      </c>
      <c r="Z298" s="155">
        <f>SUMIFS('recurring2_based on steps'!$B298:$AY298,'recurring2_based on steps'!$B$1:$AY$1,Z$1)+SUMIFS('changes2_based on steps'!$B298:$U298,'changes2_based on steps'!$B$1:$U$1,Z$1)</f>
        <v>0</v>
      </c>
      <c r="AA298" s="155">
        <f>SUMIFS('recurring2_based on steps'!$B298:$AY298,'recurring2_based on steps'!$B$1:$AY$1,AA$1)+SUMIFS('changes2_based on steps'!$B298:$U298,'changes2_based on steps'!$B$1:$U$1,AA$1)</f>
        <v>0</v>
      </c>
    </row>
    <row r="299" spans="1:27" x14ac:dyDescent="0.2">
      <c r="A299" s="18">
        <f t="shared" ca="1" si="4"/>
        <v>45985</v>
      </c>
      <c r="B299" s="155">
        <f ca="1">SUMIFS('recurring2_based on steps'!$B299:$AY299,'recurring2_based on steps'!$B$1:$AY$1,B$1)+SUMIFS('changes2_based on steps'!$B299:$U299,'changes2_based on steps'!$B$1:$U$1,B$1)</f>
        <v>0</v>
      </c>
      <c r="C299" s="155">
        <f>SUMIFS('recurring2_based on steps'!$B299:$AY299,'recurring2_based on steps'!$B$1:$AY$1,C$1)+SUMIFS('changes2_based on steps'!$B299:$U299,'changes2_based on steps'!$B$1:$U$1,C$1)</f>
        <v>0</v>
      </c>
      <c r="D299" s="155">
        <f>SUMIFS('recurring2_based on steps'!$B299:$AY299,'recurring2_based on steps'!$B$1:$AY$1,D$1)+SUMIFS('changes2_based on steps'!$B299:$U299,'changes2_based on steps'!$B$1:$U$1,D$1)</f>
        <v>0</v>
      </c>
      <c r="E299" s="155">
        <f>SUMIFS('recurring2_based on steps'!$B299:$AY299,'recurring2_based on steps'!$B$1:$AY$1,E$1)+SUMIFS('changes2_based on steps'!$B299:$U299,'changes2_based on steps'!$B$1:$U$1,E$1)</f>
        <v>0</v>
      </c>
      <c r="F299" s="155">
        <f>SUMIFS('recurring2_based on steps'!$B299:$AY299,'recurring2_based on steps'!$B$1:$AY$1,F$1)+SUMIFS('changes2_based on steps'!$B299:$U299,'changes2_based on steps'!$B$1:$U$1,F$1)</f>
        <v>0</v>
      </c>
      <c r="G299" s="155">
        <f>SUMIFS('recurring2_based on steps'!$B299:$AY299,'recurring2_based on steps'!$B$1:$AY$1,G$1)+SUMIFS('changes2_based on steps'!$B299:$U299,'changes2_based on steps'!$B$1:$U$1,G$1)</f>
        <v>0</v>
      </c>
      <c r="H299" s="155">
        <f ca="1">SUMIFS('recurring2_based on steps'!$B299:$AY299,'recurring2_based on steps'!$B$1:$AY$1,H$1)+SUMIFS('changes2_based on steps'!$B299:$U299,'changes2_based on steps'!$B$1:$U$1,H$1)</f>
        <v>0</v>
      </c>
      <c r="I299" s="155">
        <f>SUMIFS('recurring2_based on steps'!$B299:$AY299,'recurring2_based on steps'!$B$1:$AY$1,I$1)+SUMIFS('changes2_based on steps'!$B299:$U299,'changes2_based on steps'!$B$1:$U$1,I$1)</f>
        <v>0</v>
      </c>
      <c r="J299" s="155">
        <f>SUMIFS('recurring2_based on steps'!$B299:$AY299,'recurring2_based on steps'!$B$1:$AY$1,J$1)+SUMIFS('changes2_based on steps'!$B299:$U299,'changes2_based on steps'!$B$1:$U$1,J$1)</f>
        <v>0</v>
      </c>
      <c r="K299" s="155">
        <f>SUMIFS('recurring2_based on steps'!$B299:$AY299,'recurring2_based on steps'!$B$1:$AY$1,K$1)+SUMIFS('changes2_based on steps'!$B299:$U299,'changes2_based on steps'!$B$1:$U$1,K$1)</f>
        <v>0</v>
      </c>
      <c r="L299" s="155">
        <f>SUMIFS('recurring2_based on steps'!$B299:$AY299,'recurring2_based on steps'!$B$1:$AY$1,L$1)+SUMIFS('changes2_based on steps'!$B299:$U299,'changes2_based on steps'!$B$1:$U$1,L$1)</f>
        <v>0</v>
      </c>
      <c r="M299" s="155">
        <f ca="1">SUMIFS('recurring2_based on steps'!$B299:$AY299,'recurring2_based on steps'!$B$1:$AY$1,M$1)+SUMIFS('changes2_based on steps'!$B299:$U299,'changes2_based on steps'!$B$1:$U$1,M$1)</f>
        <v>0</v>
      </c>
      <c r="N299" s="155">
        <f ca="1">SUMIFS('recurring2_based on steps'!$B299:$AY299,'recurring2_based on steps'!$B$1:$AY$1,N$1)+SUMIFS('changes2_based on steps'!$B299:$U299,'changes2_based on steps'!$B$1:$U$1,N$1)</f>
        <v>0</v>
      </c>
      <c r="O299" s="155">
        <f ca="1">SUMIFS('recurring2_based on steps'!$B299:$AY299,'recurring2_based on steps'!$B$1:$AY$1,O$1)+SUMIFS('changes2_based on steps'!$B299:$U299,'changes2_based on steps'!$B$1:$U$1,O$1)</f>
        <v>0</v>
      </c>
      <c r="P299" s="155">
        <f ca="1">SUMIFS('recurring2_based on steps'!$B299:$AY299,'recurring2_based on steps'!$B$1:$AY$1,P$1)+SUMIFS('changes2_based on steps'!$B299:$U299,'changes2_based on steps'!$B$1:$U$1,P$1)</f>
        <v>50</v>
      </c>
      <c r="Q299" s="155">
        <f>SUMIFS('recurring2_based on steps'!$B299:$AY299,'recurring2_based on steps'!$B$1:$AY$1,Q$1)+SUMIFS('changes2_based on steps'!$B299:$U299,'changes2_based on steps'!$B$1:$U$1,Q$1)</f>
        <v>0</v>
      </c>
      <c r="R299" s="155">
        <f ca="1">SUMIFS('recurring2_based on steps'!$B299:$AY299,'recurring2_based on steps'!$B$1:$AY$1,R$1)+SUMIFS('changes2_based on steps'!$B299:$U299,'changes2_based on steps'!$B$1:$U$1,R$1)</f>
        <v>0</v>
      </c>
      <c r="S299" s="155">
        <f ca="1">SUMIFS('recurring2_based on steps'!$B299:$AY299,'recurring2_based on steps'!$B$1:$AY$1,S$1)+SUMIFS('changes2_based on steps'!$B299:$U299,'changes2_based on steps'!$B$1:$U$1,S$1)</f>
        <v>0</v>
      </c>
      <c r="T299" s="155">
        <f>SUMIFS('recurring2_based on steps'!$B299:$AY299,'recurring2_based on steps'!$B$1:$AY$1,T$1)+SUMIFS('changes2_based on steps'!$B299:$U299,'changes2_based on steps'!$B$1:$U$1,T$1)</f>
        <v>0</v>
      </c>
      <c r="U299" s="155">
        <f ca="1">SUMIFS('recurring2_based on steps'!$B299:$AY299,'recurring2_based on steps'!$B$1:$AY$1,U$1)+SUMIFS('changes2_based on steps'!$B299:$U299,'changes2_based on steps'!$B$1:$U$1,U$1)</f>
        <v>0</v>
      </c>
      <c r="V299" s="155">
        <f>SUMIFS('recurring2_based on steps'!$B299:$AY299,'recurring2_based on steps'!$B$1:$AY$1,V$1)+SUMIFS('changes2_based on steps'!$B299:$U299,'changes2_based on steps'!$B$1:$U$1,V$1)</f>
        <v>0</v>
      </c>
      <c r="W299" s="155">
        <f ca="1">SUMIFS('recurring2_based on steps'!$B299:$AY299,'recurring2_based on steps'!$B$1:$AY$1,W$1)+SUMIFS('changes2_based on steps'!$B299:$U299,'changes2_based on steps'!$B$1:$U$1,W$1)</f>
        <v>0</v>
      </c>
      <c r="X299" s="155">
        <f ca="1">SUMIFS('recurring2_based on steps'!$B299:$AY299,'recurring2_based on steps'!$B$1:$AY$1,X$1)+SUMIFS('changes2_based on steps'!$B299:$U299,'changes2_based on steps'!$B$1:$U$1,X$1)</f>
        <v>0</v>
      </c>
      <c r="Y299" s="155">
        <f ca="1">SUMIFS('recurring2_based on steps'!$B299:$AY299,'recurring2_based on steps'!$B$1:$AY$1,Y$1)+SUMIFS('changes2_based on steps'!$B299:$U299,'changes2_based on steps'!$B$1:$U$1,Y$1)</f>
        <v>0</v>
      </c>
      <c r="Z299" s="155">
        <f>SUMIFS('recurring2_based on steps'!$B299:$AY299,'recurring2_based on steps'!$B$1:$AY$1,Z$1)+SUMIFS('changes2_based on steps'!$B299:$U299,'changes2_based on steps'!$B$1:$U$1,Z$1)</f>
        <v>0</v>
      </c>
      <c r="AA299" s="155">
        <f>SUMIFS('recurring2_based on steps'!$B299:$AY299,'recurring2_based on steps'!$B$1:$AY$1,AA$1)+SUMIFS('changes2_based on steps'!$B299:$U299,'changes2_based on steps'!$B$1:$U$1,AA$1)</f>
        <v>0</v>
      </c>
    </row>
    <row r="300" spans="1:27" x14ac:dyDescent="0.2">
      <c r="A300" s="18">
        <f t="shared" ca="1" si="4"/>
        <v>45986</v>
      </c>
      <c r="B300" s="155">
        <f ca="1">SUMIFS('recurring2_based on steps'!$B300:$AY300,'recurring2_based on steps'!$B$1:$AY$1,B$1)+SUMIFS('changes2_based on steps'!$B300:$U300,'changes2_based on steps'!$B$1:$U$1,B$1)</f>
        <v>0</v>
      </c>
      <c r="C300" s="155">
        <f>SUMIFS('recurring2_based on steps'!$B300:$AY300,'recurring2_based on steps'!$B$1:$AY$1,C$1)+SUMIFS('changes2_based on steps'!$B300:$U300,'changes2_based on steps'!$B$1:$U$1,C$1)</f>
        <v>0</v>
      </c>
      <c r="D300" s="155">
        <f>SUMIFS('recurring2_based on steps'!$B300:$AY300,'recurring2_based on steps'!$B$1:$AY$1,D$1)+SUMIFS('changes2_based on steps'!$B300:$U300,'changes2_based on steps'!$B$1:$U$1,D$1)</f>
        <v>0</v>
      </c>
      <c r="E300" s="155">
        <f>SUMIFS('recurring2_based on steps'!$B300:$AY300,'recurring2_based on steps'!$B$1:$AY$1,E$1)+SUMIFS('changes2_based on steps'!$B300:$U300,'changes2_based on steps'!$B$1:$U$1,E$1)</f>
        <v>0</v>
      </c>
      <c r="F300" s="155">
        <f>SUMIFS('recurring2_based on steps'!$B300:$AY300,'recurring2_based on steps'!$B$1:$AY$1,F$1)+SUMIFS('changes2_based on steps'!$B300:$U300,'changes2_based on steps'!$B$1:$U$1,F$1)</f>
        <v>0</v>
      </c>
      <c r="G300" s="155">
        <f>SUMIFS('recurring2_based on steps'!$B300:$AY300,'recurring2_based on steps'!$B$1:$AY$1,G$1)+SUMIFS('changes2_based on steps'!$B300:$U300,'changes2_based on steps'!$B$1:$U$1,G$1)</f>
        <v>0</v>
      </c>
      <c r="H300" s="155">
        <f ca="1">SUMIFS('recurring2_based on steps'!$B300:$AY300,'recurring2_based on steps'!$B$1:$AY$1,H$1)+SUMIFS('changes2_based on steps'!$B300:$U300,'changes2_based on steps'!$B$1:$U$1,H$1)</f>
        <v>0</v>
      </c>
      <c r="I300" s="155">
        <f>SUMIFS('recurring2_based on steps'!$B300:$AY300,'recurring2_based on steps'!$B$1:$AY$1,I$1)+SUMIFS('changes2_based on steps'!$B300:$U300,'changes2_based on steps'!$B$1:$U$1,I$1)</f>
        <v>0</v>
      </c>
      <c r="J300" s="155">
        <f>SUMIFS('recurring2_based on steps'!$B300:$AY300,'recurring2_based on steps'!$B$1:$AY$1,J$1)+SUMIFS('changes2_based on steps'!$B300:$U300,'changes2_based on steps'!$B$1:$U$1,J$1)</f>
        <v>0</v>
      </c>
      <c r="K300" s="155">
        <f>SUMIFS('recurring2_based on steps'!$B300:$AY300,'recurring2_based on steps'!$B$1:$AY$1,K$1)+SUMIFS('changes2_based on steps'!$B300:$U300,'changes2_based on steps'!$B$1:$U$1,K$1)</f>
        <v>0</v>
      </c>
      <c r="L300" s="155">
        <f>SUMIFS('recurring2_based on steps'!$B300:$AY300,'recurring2_based on steps'!$B$1:$AY$1,L$1)+SUMIFS('changes2_based on steps'!$B300:$U300,'changes2_based on steps'!$B$1:$U$1,L$1)</f>
        <v>0</v>
      </c>
      <c r="M300" s="155">
        <f ca="1">SUMIFS('recurring2_based on steps'!$B300:$AY300,'recurring2_based on steps'!$B$1:$AY$1,M$1)+SUMIFS('changes2_based on steps'!$B300:$U300,'changes2_based on steps'!$B$1:$U$1,M$1)</f>
        <v>0</v>
      </c>
      <c r="N300" s="155">
        <f ca="1">SUMIFS('recurring2_based on steps'!$B300:$AY300,'recurring2_based on steps'!$B$1:$AY$1,N$1)+SUMIFS('changes2_based on steps'!$B300:$U300,'changes2_based on steps'!$B$1:$U$1,N$1)</f>
        <v>0</v>
      </c>
      <c r="O300" s="155">
        <f ca="1">SUMIFS('recurring2_based on steps'!$B300:$AY300,'recurring2_based on steps'!$B$1:$AY$1,O$1)+SUMIFS('changes2_based on steps'!$B300:$U300,'changes2_based on steps'!$B$1:$U$1,O$1)</f>
        <v>0</v>
      </c>
      <c r="P300" s="155">
        <f ca="1">SUMIFS('recurring2_based on steps'!$B300:$AY300,'recurring2_based on steps'!$B$1:$AY$1,P$1)+SUMIFS('changes2_based on steps'!$B300:$U300,'changes2_based on steps'!$B$1:$U$1,P$1)</f>
        <v>0</v>
      </c>
      <c r="Q300" s="155">
        <f>SUMIFS('recurring2_based on steps'!$B300:$AY300,'recurring2_based on steps'!$B$1:$AY$1,Q$1)+SUMIFS('changes2_based on steps'!$B300:$U300,'changes2_based on steps'!$B$1:$U$1,Q$1)</f>
        <v>0</v>
      </c>
      <c r="R300" s="155">
        <f ca="1">SUMIFS('recurring2_based on steps'!$B300:$AY300,'recurring2_based on steps'!$B$1:$AY$1,R$1)+SUMIFS('changes2_based on steps'!$B300:$U300,'changes2_based on steps'!$B$1:$U$1,R$1)</f>
        <v>0</v>
      </c>
      <c r="S300" s="155">
        <f ca="1">SUMIFS('recurring2_based on steps'!$B300:$AY300,'recurring2_based on steps'!$B$1:$AY$1,S$1)+SUMIFS('changes2_based on steps'!$B300:$U300,'changes2_based on steps'!$B$1:$U$1,S$1)</f>
        <v>0</v>
      </c>
      <c r="T300" s="155">
        <f>SUMIFS('recurring2_based on steps'!$B300:$AY300,'recurring2_based on steps'!$B$1:$AY$1,T$1)+SUMIFS('changes2_based on steps'!$B300:$U300,'changes2_based on steps'!$B$1:$U$1,T$1)</f>
        <v>0</v>
      </c>
      <c r="U300" s="155">
        <f ca="1">SUMIFS('recurring2_based on steps'!$B300:$AY300,'recurring2_based on steps'!$B$1:$AY$1,U$1)+SUMIFS('changes2_based on steps'!$B300:$U300,'changes2_based on steps'!$B$1:$U$1,U$1)</f>
        <v>0</v>
      </c>
      <c r="V300" s="155">
        <f>SUMIFS('recurring2_based on steps'!$B300:$AY300,'recurring2_based on steps'!$B$1:$AY$1,V$1)+SUMIFS('changes2_based on steps'!$B300:$U300,'changes2_based on steps'!$B$1:$U$1,V$1)</f>
        <v>0</v>
      </c>
      <c r="W300" s="155">
        <f ca="1">SUMIFS('recurring2_based on steps'!$B300:$AY300,'recurring2_based on steps'!$B$1:$AY$1,W$1)+SUMIFS('changes2_based on steps'!$B300:$U300,'changes2_based on steps'!$B$1:$U$1,W$1)</f>
        <v>0</v>
      </c>
      <c r="X300" s="155">
        <f ca="1">SUMIFS('recurring2_based on steps'!$B300:$AY300,'recurring2_based on steps'!$B$1:$AY$1,X$1)+SUMIFS('changes2_based on steps'!$B300:$U300,'changes2_based on steps'!$B$1:$U$1,X$1)</f>
        <v>0</v>
      </c>
      <c r="Y300" s="155">
        <f ca="1">SUMIFS('recurring2_based on steps'!$B300:$AY300,'recurring2_based on steps'!$B$1:$AY$1,Y$1)+SUMIFS('changes2_based on steps'!$B300:$U300,'changes2_based on steps'!$B$1:$U$1,Y$1)</f>
        <v>0</v>
      </c>
      <c r="Z300" s="155">
        <f>SUMIFS('recurring2_based on steps'!$B300:$AY300,'recurring2_based on steps'!$B$1:$AY$1,Z$1)+SUMIFS('changes2_based on steps'!$B300:$U300,'changes2_based on steps'!$B$1:$U$1,Z$1)</f>
        <v>0</v>
      </c>
      <c r="AA300" s="155">
        <f>SUMIFS('recurring2_based on steps'!$B300:$AY300,'recurring2_based on steps'!$B$1:$AY$1,AA$1)+SUMIFS('changes2_based on steps'!$B300:$U300,'changes2_based on steps'!$B$1:$U$1,AA$1)</f>
        <v>0</v>
      </c>
    </row>
    <row r="301" spans="1:27" x14ac:dyDescent="0.2">
      <c r="A301" s="18">
        <f t="shared" ca="1" si="4"/>
        <v>45987</v>
      </c>
      <c r="B301" s="155">
        <f ca="1">SUMIFS('recurring2_based on steps'!$B301:$AY301,'recurring2_based on steps'!$B$1:$AY$1,B$1)+SUMIFS('changes2_based on steps'!$B301:$U301,'changes2_based on steps'!$B$1:$U$1,B$1)</f>
        <v>0</v>
      </c>
      <c r="C301" s="155">
        <f>SUMIFS('recurring2_based on steps'!$B301:$AY301,'recurring2_based on steps'!$B$1:$AY$1,C$1)+SUMIFS('changes2_based on steps'!$B301:$U301,'changes2_based on steps'!$B$1:$U$1,C$1)</f>
        <v>0</v>
      </c>
      <c r="D301" s="155">
        <f>SUMIFS('recurring2_based on steps'!$B301:$AY301,'recurring2_based on steps'!$B$1:$AY$1,D$1)+SUMIFS('changes2_based on steps'!$B301:$U301,'changes2_based on steps'!$B$1:$U$1,D$1)</f>
        <v>0</v>
      </c>
      <c r="E301" s="155">
        <f>SUMIFS('recurring2_based on steps'!$B301:$AY301,'recurring2_based on steps'!$B$1:$AY$1,E$1)+SUMIFS('changes2_based on steps'!$B301:$U301,'changes2_based on steps'!$B$1:$U$1,E$1)</f>
        <v>0</v>
      </c>
      <c r="F301" s="155">
        <f>SUMIFS('recurring2_based on steps'!$B301:$AY301,'recurring2_based on steps'!$B$1:$AY$1,F$1)+SUMIFS('changes2_based on steps'!$B301:$U301,'changes2_based on steps'!$B$1:$U$1,F$1)</f>
        <v>0</v>
      </c>
      <c r="G301" s="155">
        <f>SUMIFS('recurring2_based on steps'!$B301:$AY301,'recurring2_based on steps'!$B$1:$AY$1,G$1)+SUMIFS('changes2_based on steps'!$B301:$U301,'changes2_based on steps'!$B$1:$U$1,G$1)</f>
        <v>0</v>
      </c>
      <c r="H301" s="155">
        <f ca="1">SUMIFS('recurring2_based on steps'!$B301:$AY301,'recurring2_based on steps'!$B$1:$AY$1,H$1)+SUMIFS('changes2_based on steps'!$B301:$U301,'changes2_based on steps'!$B$1:$U$1,H$1)</f>
        <v>0</v>
      </c>
      <c r="I301" s="155">
        <f>SUMIFS('recurring2_based on steps'!$B301:$AY301,'recurring2_based on steps'!$B$1:$AY$1,I$1)+SUMIFS('changes2_based on steps'!$B301:$U301,'changes2_based on steps'!$B$1:$U$1,I$1)</f>
        <v>0</v>
      </c>
      <c r="J301" s="155">
        <f>SUMIFS('recurring2_based on steps'!$B301:$AY301,'recurring2_based on steps'!$B$1:$AY$1,J$1)+SUMIFS('changes2_based on steps'!$B301:$U301,'changes2_based on steps'!$B$1:$U$1,J$1)</f>
        <v>0</v>
      </c>
      <c r="K301" s="155">
        <f>SUMIFS('recurring2_based on steps'!$B301:$AY301,'recurring2_based on steps'!$B$1:$AY$1,K$1)+SUMIFS('changes2_based on steps'!$B301:$U301,'changes2_based on steps'!$B$1:$U$1,K$1)</f>
        <v>0</v>
      </c>
      <c r="L301" s="155">
        <f>SUMIFS('recurring2_based on steps'!$B301:$AY301,'recurring2_based on steps'!$B$1:$AY$1,L$1)+SUMIFS('changes2_based on steps'!$B301:$U301,'changes2_based on steps'!$B$1:$U$1,L$1)</f>
        <v>0</v>
      </c>
      <c r="M301" s="155">
        <f ca="1">SUMIFS('recurring2_based on steps'!$B301:$AY301,'recurring2_based on steps'!$B$1:$AY$1,M$1)+SUMIFS('changes2_based on steps'!$B301:$U301,'changes2_based on steps'!$B$1:$U$1,M$1)</f>
        <v>0</v>
      </c>
      <c r="N301" s="155">
        <f ca="1">SUMIFS('recurring2_based on steps'!$B301:$AY301,'recurring2_based on steps'!$B$1:$AY$1,N$1)+SUMIFS('changes2_based on steps'!$B301:$U301,'changes2_based on steps'!$B$1:$U$1,N$1)</f>
        <v>0</v>
      </c>
      <c r="O301" s="155">
        <f ca="1">SUMIFS('recurring2_based on steps'!$B301:$AY301,'recurring2_based on steps'!$B$1:$AY$1,O$1)+SUMIFS('changes2_based on steps'!$B301:$U301,'changes2_based on steps'!$B$1:$U$1,O$1)</f>
        <v>0</v>
      </c>
      <c r="P301" s="155">
        <f ca="1">SUMIFS('recurring2_based on steps'!$B301:$AY301,'recurring2_based on steps'!$B$1:$AY$1,P$1)+SUMIFS('changes2_based on steps'!$B301:$U301,'changes2_based on steps'!$B$1:$U$1,P$1)</f>
        <v>0</v>
      </c>
      <c r="Q301" s="155">
        <f>SUMIFS('recurring2_based on steps'!$B301:$AY301,'recurring2_based on steps'!$B$1:$AY$1,Q$1)+SUMIFS('changes2_based on steps'!$B301:$U301,'changes2_based on steps'!$B$1:$U$1,Q$1)</f>
        <v>0</v>
      </c>
      <c r="R301" s="155">
        <f ca="1">SUMIFS('recurring2_based on steps'!$B301:$AY301,'recurring2_based on steps'!$B$1:$AY$1,R$1)+SUMIFS('changes2_based on steps'!$B301:$U301,'changes2_based on steps'!$B$1:$U$1,R$1)</f>
        <v>0</v>
      </c>
      <c r="S301" s="155">
        <f ca="1">SUMIFS('recurring2_based on steps'!$B301:$AY301,'recurring2_based on steps'!$B$1:$AY$1,S$1)+SUMIFS('changes2_based on steps'!$B301:$U301,'changes2_based on steps'!$B$1:$U$1,S$1)</f>
        <v>0</v>
      </c>
      <c r="T301" s="155">
        <f>SUMIFS('recurring2_based on steps'!$B301:$AY301,'recurring2_based on steps'!$B$1:$AY$1,T$1)+SUMIFS('changes2_based on steps'!$B301:$U301,'changes2_based on steps'!$B$1:$U$1,T$1)</f>
        <v>0</v>
      </c>
      <c r="U301" s="155">
        <f ca="1">SUMIFS('recurring2_based on steps'!$B301:$AY301,'recurring2_based on steps'!$B$1:$AY$1,U$1)+SUMIFS('changes2_based on steps'!$B301:$U301,'changes2_based on steps'!$B$1:$U$1,U$1)</f>
        <v>0</v>
      </c>
      <c r="V301" s="155">
        <f>SUMIFS('recurring2_based on steps'!$B301:$AY301,'recurring2_based on steps'!$B$1:$AY$1,V$1)+SUMIFS('changes2_based on steps'!$B301:$U301,'changes2_based on steps'!$B$1:$U$1,V$1)</f>
        <v>0</v>
      </c>
      <c r="W301" s="155">
        <f ca="1">SUMIFS('recurring2_based on steps'!$B301:$AY301,'recurring2_based on steps'!$B$1:$AY$1,W$1)+SUMIFS('changes2_based on steps'!$B301:$U301,'changes2_based on steps'!$B$1:$U$1,W$1)</f>
        <v>0</v>
      </c>
      <c r="X301" s="155">
        <f ca="1">SUMIFS('recurring2_based on steps'!$B301:$AY301,'recurring2_based on steps'!$B$1:$AY$1,X$1)+SUMIFS('changes2_based on steps'!$B301:$U301,'changes2_based on steps'!$B$1:$U$1,X$1)</f>
        <v>0</v>
      </c>
      <c r="Y301" s="155">
        <f ca="1">SUMIFS('recurring2_based on steps'!$B301:$AY301,'recurring2_based on steps'!$B$1:$AY$1,Y$1)+SUMIFS('changes2_based on steps'!$B301:$U301,'changes2_based on steps'!$B$1:$U$1,Y$1)</f>
        <v>0</v>
      </c>
      <c r="Z301" s="155">
        <f>SUMIFS('recurring2_based on steps'!$B301:$AY301,'recurring2_based on steps'!$B$1:$AY$1,Z$1)+SUMIFS('changes2_based on steps'!$B301:$U301,'changes2_based on steps'!$B$1:$U$1,Z$1)</f>
        <v>0</v>
      </c>
      <c r="AA301" s="155">
        <f>SUMIFS('recurring2_based on steps'!$B301:$AY301,'recurring2_based on steps'!$B$1:$AY$1,AA$1)+SUMIFS('changes2_based on steps'!$B301:$U301,'changes2_based on steps'!$B$1:$U$1,AA$1)</f>
        <v>0</v>
      </c>
    </row>
    <row r="302" spans="1:27" x14ac:dyDescent="0.2">
      <c r="A302" s="18">
        <f t="shared" ca="1" si="4"/>
        <v>45988</v>
      </c>
      <c r="B302" s="155">
        <f ca="1">SUMIFS('recurring2_based on steps'!$B302:$AY302,'recurring2_based on steps'!$B$1:$AY$1,B$1)+SUMIFS('changes2_based on steps'!$B302:$U302,'changes2_based on steps'!$B$1:$U$1,B$1)</f>
        <v>0</v>
      </c>
      <c r="C302" s="155">
        <f>SUMIFS('recurring2_based on steps'!$B302:$AY302,'recurring2_based on steps'!$B$1:$AY$1,C$1)+SUMIFS('changes2_based on steps'!$B302:$U302,'changes2_based on steps'!$B$1:$U$1,C$1)</f>
        <v>0</v>
      </c>
      <c r="D302" s="155">
        <f>SUMIFS('recurring2_based on steps'!$B302:$AY302,'recurring2_based on steps'!$B$1:$AY$1,D$1)+SUMIFS('changes2_based on steps'!$B302:$U302,'changes2_based on steps'!$B$1:$U$1,D$1)</f>
        <v>0</v>
      </c>
      <c r="E302" s="155">
        <f>SUMIFS('recurring2_based on steps'!$B302:$AY302,'recurring2_based on steps'!$B$1:$AY$1,E$1)+SUMIFS('changes2_based on steps'!$B302:$U302,'changes2_based on steps'!$B$1:$U$1,E$1)</f>
        <v>0</v>
      </c>
      <c r="F302" s="155">
        <f>SUMIFS('recurring2_based on steps'!$B302:$AY302,'recurring2_based on steps'!$B$1:$AY$1,F$1)+SUMIFS('changes2_based on steps'!$B302:$U302,'changes2_based on steps'!$B$1:$U$1,F$1)</f>
        <v>0</v>
      </c>
      <c r="G302" s="155">
        <f>SUMIFS('recurring2_based on steps'!$B302:$AY302,'recurring2_based on steps'!$B$1:$AY$1,G$1)+SUMIFS('changes2_based on steps'!$B302:$U302,'changes2_based on steps'!$B$1:$U$1,G$1)</f>
        <v>0</v>
      </c>
      <c r="H302" s="155">
        <f ca="1">SUMIFS('recurring2_based on steps'!$B302:$AY302,'recurring2_based on steps'!$B$1:$AY$1,H$1)+SUMIFS('changes2_based on steps'!$B302:$U302,'changes2_based on steps'!$B$1:$U$1,H$1)</f>
        <v>0</v>
      </c>
      <c r="I302" s="155">
        <f>SUMIFS('recurring2_based on steps'!$B302:$AY302,'recurring2_based on steps'!$B$1:$AY$1,I$1)+SUMIFS('changes2_based on steps'!$B302:$U302,'changes2_based on steps'!$B$1:$U$1,I$1)</f>
        <v>0</v>
      </c>
      <c r="J302" s="155">
        <f>SUMIFS('recurring2_based on steps'!$B302:$AY302,'recurring2_based on steps'!$B$1:$AY$1,J$1)+SUMIFS('changes2_based on steps'!$B302:$U302,'changes2_based on steps'!$B$1:$U$1,J$1)</f>
        <v>0</v>
      </c>
      <c r="K302" s="155">
        <f>SUMIFS('recurring2_based on steps'!$B302:$AY302,'recurring2_based on steps'!$B$1:$AY$1,K$1)+SUMIFS('changes2_based on steps'!$B302:$U302,'changes2_based on steps'!$B$1:$U$1,K$1)</f>
        <v>0</v>
      </c>
      <c r="L302" s="155">
        <f>SUMIFS('recurring2_based on steps'!$B302:$AY302,'recurring2_based on steps'!$B$1:$AY$1,L$1)+SUMIFS('changes2_based on steps'!$B302:$U302,'changes2_based on steps'!$B$1:$U$1,L$1)</f>
        <v>0</v>
      </c>
      <c r="M302" s="155">
        <f ca="1">SUMIFS('recurring2_based on steps'!$B302:$AY302,'recurring2_based on steps'!$B$1:$AY$1,M$1)+SUMIFS('changes2_based on steps'!$B302:$U302,'changes2_based on steps'!$B$1:$U$1,M$1)</f>
        <v>0</v>
      </c>
      <c r="N302" s="155">
        <f ca="1">SUMIFS('recurring2_based on steps'!$B302:$AY302,'recurring2_based on steps'!$B$1:$AY$1,N$1)+SUMIFS('changes2_based on steps'!$B302:$U302,'changes2_based on steps'!$B$1:$U$1,N$1)</f>
        <v>0</v>
      </c>
      <c r="O302" s="155">
        <f ca="1">SUMIFS('recurring2_based on steps'!$B302:$AY302,'recurring2_based on steps'!$B$1:$AY$1,O$1)+SUMIFS('changes2_based on steps'!$B302:$U302,'changes2_based on steps'!$B$1:$U$1,O$1)</f>
        <v>0</v>
      </c>
      <c r="P302" s="155">
        <f ca="1">SUMIFS('recurring2_based on steps'!$B302:$AY302,'recurring2_based on steps'!$B$1:$AY$1,P$1)+SUMIFS('changes2_based on steps'!$B302:$U302,'changes2_based on steps'!$B$1:$U$1,P$1)</f>
        <v>0</v>
      </c>
      <c r="Q302" s="155">
        <f>SUMIFS('recurring2_based on steps'!$B302:$AY302,'recurring2_based on steps'!$B$1:$AY$1,Q$1)+SUMIFS('changes2_based on steps'!$B302:$U302,'changes2_based on steps'!$B$1:$U$1,Q$1)</f>
        <v>0</v>
      </c>
      <c r="R302" s="155">
        <f ca="1">SUMIFS('recurring2_based on steps'!$B302:$AY302,'recurring2_based on steps'!$B$1:$AY$1,R$1)+SUMIFS('changes2_based on steps'!$B302:$U302,'changes2_based on steps'!$B$1:$U$1,R$1)</f>
        <v>0</v>
      </c>
      <c r="S302" s="155">
        <f ca="1">SUMIFS('recurring2_based on steps'!$B302:$AY302,'recurring2_based on steps'!$B$1:$AY$1,S$1)+SUMIFS('changes2_based on steps'!$B302:$U302,'changes2_based on steps'!$B$1:$U$1,S$1)</f>
        <v>0</v>
      </c>
      <c r="T302" s="155">
        <f>SUMIFS('recurring2_based on steps'!$B302:$AY302,'recurring2_based on steps'!$B$1:$AY$1,T$1)+SUMIFS('changes2_based on steps'!$B302:$U302,'changes2_based on steps'!$B$1:$U$1,T$1)</f>
        <v>0</v>
      </c>
      <c r="U302" s="155">
        <f ca="1">SUMIFS('recurring2_based on steps'!$B302:$AY302,'recurring2_based on steps'!$B$1:$AY$1,U$1)+SUMIFS('changes2_based on steps'!$B302:$U302,'changes2_based on steps'!$B$1:$U$1,U$1)</f>
        <v>2.99</v>
      </c>
      <c r="V302" s="155">
        <f>SUMIFS('recurring2_based on steps'!$B302:$AY302,'recurring2_based on steps'!$B$1:$AY$1,V$1)+SUMIFS('changes2_based on steps'!$B302:$U302,'changes2_based on steps'!$B$1:$U$1,V$1)</f>
        <v>0</v>
      </c>
      <c r="W302" s="155">
        <f ca="1">SUMIFS('recurring2_based on steps'!$B302:$AY302,'recurring2_based on steps'!$B$1:$AY$1,W$1)+SUMIFS('changes2_based on steps'!$B302:$U302,'changes2_based on steps'!$B$1:$U$1,W$1)</f>
        <v>0</v>
      </c>
      <c r="X302" s="155">
        <f ca="1">SUMIFS('recurring2_based on steps'!$B302:$AY302,'recurring2_based on steps'!$B$1:$AY$1,X$1)+SUMIFS('changes2_based on steps'!$B302:$U302,'changes2_based on steps'!$B$1:$U$1,X$1)</f>
        <v>0</v>
      </c>
      <c r="Y302" s="155">
        <f ca="1">SUMIFS('recurring2_based on steps'!$B302:$AY302,'recurring2_based on steps'!$B$1:$AY$1,Y$1)+SUMIFS('changes2_based on steps'!$B302:$U302,'changes2_based on steps'!$B$1:$U$1,Y$1)</f>
        <v>0</v>
      </c>
      <c r="Z302" s="155">
        <f>SUMIFS('recurring2_based on steps'!$B302:$AY302,'recurring2_based on steps'!$B$1:$AY$1,Z$1)+SUMIFS('changes2_based on steps'!$B302:$U302,'changes2_based on steps'!$B$1:$U$1,Z$1)</f>
        <v>0</v>
      </c>
      <c r="AA302" s="155">
        <f>SUMIFS('recurring2_based on steps'!$B302:$AY302,'recurring2_based on steps'!$B$1:$AY$1,AA$1)+SUMIFS('changes2_based on steps'!$B302:$U302,'changes2_based on steps'!$B$1:$U$1,AA$1)</f>
        <v>0</v>
      </c>
    </row>
    <row r="303" spans="1:27" x14ac:dyDescent="0.2">
      <c r="A303" s="18">
        <f t="shared" ca="1" si="4"/>
        <v>45989</v>
      </c>
      <c r="B303" s="155">
        <f ca="1">SUMIFS('recurring2_based on steps'!$B303:$AY303,'recurring2_based on steps'!$B$1:$AY$1,B$1)+SUMIFS('changes2_based on steps'!$B303:$U303,'changes2_based on steps'!$B$1:$U$1,B$1)</f>
        <v>4000</v>
      </c>
      <c r="C303" s="155">
        <f>SUMIFS('recurring2_based on steps'!$B303:$AY303,'recurring2_based on steps'!$B$1:$AY$1,C$1)+SUMIFS('changes2_based on steps'!$B303:$U303,'changes2_based on steps'!$B$1:$U$1,C$1)</f>
        <v>0</v>
      </c>
      <c r="D303" s="155">
        <f>SUMIFS('recurring2_based on steps'!$B303:$AY303,'recurring2_based on steps'!$B$1:$AY$1,D$1)+SUMIFS('changes2_based on steps'!$B303:$U303,'changes2_based on steps'!$B$1:$U$1,D$1)</f>
        <v>0</v>
      </c>
      <c r="E303" s="155">
        <f>SUMIFS('recurring2_based on steps'!$B303:$AY303,'recurring2_based on steps'!$B$1:$AY$1,E$1)+SUMIFS('changes2_based on steps'!$B303:$U303,'changes2_based on steps'!$B$1:$U$1,E$1)</f>
        <v>0</v>
      </c>
      <c r="F303" s="155">
        <f>SUMIFS('recurring2_based on steps'!$B303:$AY303,'recurring2_based on steps'!$B$1:$AY$1,F$1)+SUMIFS('changes2_based on steps'!$B303:$U303,'changes2_based on steps'!$B$1:$U$1,F$1)</f>
        <v>0</v>
      </c>
      <c r="G303" s="155">
        <f>SUMIFS('recurring2_based on steps'!$B303:$AY303,'recurring2_based on steps'!$B$1:$AY$1,G$1)+SUMIFS('changes2_based on steps'!$B303:$U303,'changes2_based on steps'!$B$1:$U$1,G$1)</f>
        <v>0</v>
      </c>
      <c r="H303" s="155">
        <f ca="1">SUMIFS('recurring2_based on steps'!$B303:$AY303,'recurring2_based on steps'!$B$1:$AY$1,H$1)+SUMIFS('changes2_based on steps'!$B303:$U303,'changes2_based on steps'!$B$1:$U$1,H$1)</f>
        <v>96</v>
      </c>
      <c r="I303" s="155">
        <f>SUMIFS('recurring2_based on steps'!$B303:$AY303,'recurring2_based on steps'!$B$1:$AY$1,I$1)+SUMIFS('changes2_based on steps'!$B303:$U303,'changes2_based on steps'!$B$1:$U$1,I$1)</f>
        <v>0</v>
      </c>
      <c r="J303" s="155">
        <f>SUMIFS('recurring2_based on steps'!$B303:$AY303,'recurring2_based on steps'!$B$1:$AY$1,J$1)+SUMIFS('changes2_based on steps'!$B303:$U303,'changes2_based on steps'!$B$1:$U$1,J$1)</f>
        <v>0</v>
      </c>
      <c r="K303" s="155">
        <f>SUMIFS('recurring2_based on steps'!$B303:$AY303,'recurring2_based on steps'!$B$1:$AY$1,K$1)+SUMIFS('changes2_based on steps'!$B303:$U303,'changes2_based on steps'!$B$1:$U$1,K$1)</f>
        <v>0</v>
      </c>
      <c r="L303" s="155">
        <f>SUMIFS('recurring2_based on steps'!$B303:$AY303,'recurring2_based on steps'!$B$1:$AY$1,L$1)+SUMIFS('changes2_based on steps'!$B303:$U303,'changes2_based on steps'!$B$1:$U$1,L$1)</f>
        <v>0</v>
      </c>
      <c r="M303" s="155">
        <f ca="1">SUMIFS('recurring2_based on steps'!$B303:$AY303,'recurring2_based on steps'!$B$1:$AY$1,M$1)+SUMIFS('changes2_based on steps'!$B303:$U303,'changes2_based on steps'!$B$1:$U$1,M$1)</f>
        <v>40</v>
      </c>
      <c r="N303" s="155">
        <f ca="1">SUMIFS('recurring2_based on steps'!$B303:$AY303,'recurring2_based on steps'!$B$1:$AY$1,N$1)+SUMIFS('changes2_based on steps'!$B303:$U303,'changes2_based on steps'!$B$1:$U$1,N$1)</f>
        <v>0</v>
      </c>
      <c r="O303" s="155">
        <f ca="1">SUMIFS('recurring2_based on steps'!$B303:$AY303,'recurring2_based on steps'!$B$1:$AY$1,O$1)+SUMIFS('changes2_based on steps'!$B303:$U303,'changes2_based on steps'!$B$1:$U$1,O$1)</f>
        <v>0</v>
      </c>
      <c r="P303" s="155">
        <f ca="1">SUMIFS('recurring2_based on steps'!$B303:$AY303,'recurring2_based on steps'!$B$1:$AY$1,P$1)+SUMIFS('changes2_based on steps'!$B303:$U303,'changes2_based on steps'!$B$1:$U$1,P$1)</f>
        <v>0</v>
      </c>
      <c r="Q303" s="155">
        <f>SUMIFS('recurring2_based on steps'!$B303:$AY303,'recurring2_based on steps'!$B$1:$AY$1,Q$1)+SUMIFS('changes2_based on steps'!$B303:$U303,'changes2_based on steps'!$B$1:$U$1,Q$1)</f>
        <v>0</v>
      </c>
      <c r="R303" s="155">
        <f ca="1">SUMIFS('recurring2_based on steps'!$B303:$AY303,'recurring2_based on steps'!$B$1:$AY$1,R$1)+SUMIFS('changes2_based on steps'!$B303:$U303,'changes2_based on steps'!$B$1:$U$1,R$1)</f>
        <v>0</v>
      </c>
      <c r="S303" s="155">
        <f ca="1">SUMIFS('recurring2_based on steps'!$B303:$AY303,'recurring2_based on steps'!$B$1:$AY$1,S$1)+SUMIFS('changes2_based on steps'!$B303:$U303,'changes2_based on steps'!$B$1:$U$1,S$1)</f>
        <v>0</v>
      </c>
      <c r="T303" s="155">
        <f>SUMIFS('recurring2_based on steps'!$B303:$AY303,'recurring2_based on steps'!$B$1:$AY$1,T$1)+SUMIFS('changes2_based on steps'!$B303:$U303,'changes2_based on steps'!$B$1:$U$1,T$1)</f>
        <v>0</v>
      </c>
      <c r="U303" s="155">
        <f ca="1">SUMIFS('recurring2_based on steps'!$B303:$AY303,'recurring2_based on steps'!$B$1:$AY$1,U$1)+SUMIFS('changes2_based on steps'!$B303:$U303,'changes2_based on steps'!$B$1:$U$1,U$1)</f>
        <v>0</v>
      </c>
      <c r="V303" s="155">
        <f>SUMIFS('recurring2_based on steps'!$B303:$AY303,'recurring2_based on steps'!$B$1:$AY$1,V$1)+SUMIFS('changes2_based on steps'!$B303:$U303,'changes2_based on steps'!$B$1:$U$1,V$1)</f>
        <v>0</v>
      </c>
      <c r="W303" s="155">
        <f ca="1">SUMIFS('recurring2_based on steps'!$B303:$AY303,'recurring2_based on steps'!$B$1:$AY$1,W$1)+SUMIFS('changes2_based on steps'!$B303:$U303,'changes2_based on steps'!$B$1:$U$1,W$1)</f>
        <v>50</v>
      </c>
      <c r="X303" s="155">
        <f ca="1">SUMIFS('recurring2_based on steps'!$B303:$AY303,'recurring2_based on steps'!$B$1:$AY$1,X$1)+SUMIFS('changes2_based on steps'!$B303:$U303,'changes2_based on steps'!$B$1:$U$1,X$1)</f>
        <v>200</v>
      </c>
      <c r="Y303" s="155">
        <f ca="1">SUMIFS('recurring2_based on steps'!$B303:$AY303,'recurring2_based on steps'!$B$1:$AY$1,Y$1)+SUMIFS('changes2_based on steps'!$B303:$U303,'changes2_based on steps'!$B$1:$U$1,Y$1)</f>
        <v>100</v>
      </c>
      <c r="Z303" s="155">
        <f>SUMIFS('recurring2_based on steps'!$B303:$AY303,'recurring2_based on steps'!$B$1:$AY$1,Z$1)+SUMIFS('changes2_based on steps'!$B303:$U303,'changes2_based on steps'!$B$1:$U$1,Z$1)</f>
        <v>0</v>
      </c>
      <c r="AA303" s="155">
        <f>SUMIFS('recurring2_based on steps'!$B303:$AY303,'recurring2_based on steps'!$B$1:$AY$1,AA$1)+SUMIFS('changes2_based on steps'!$B303:$U303,'changes2_based on steps'!$B$1:$U$1,AA$1)</f>
        <v>0</v>
      </c>
    </row>
    <row r="304" spans="1:27" x14ac:dyDescent="0.2">
      <c r="A304" s="18">
        <f t="shared" ca="1" si="4"/>
        <v>45990</v>
      </c>
      <c r="B304" s="155">
        <f ca="1">SUMIFS('recurring2_based on steps'!$B304:$AY304,'recurring2_based on steps'!$B$1:$AY$1,B$1)+SUMIFS('changes2_based on steps'!$B304:$U304,'changes2_based on steps'!$B$1:$U$1,B$1)</f>
        <v>0</v>
      </c>
      <c r="C304" s="155">
        <f>SUMIFS('recurring2_based on steps'!$B304:$AY304,'recurring2_based on steps'!$B$1:$AY$1,C$1)+SUMIFS('changes2_based on steps'!$B304:$U304,'changes2_based on steps'!$B$1:$U$1,C$1)</f>
        <v>0</v>
      </c>
      <c r="D304" s="155">
        <f>SUMIFS('recurring2_based on steps'!$B304:$AY304,'recurring2_based on steps'!$B$1:$AY$1,D$1)+SUMIFS('changes2_based on steps'!$B304:$U304,'changes2_based on steps'!$B$1:$U$1,D$1)</f>
        <v>0</v>
      </c>
      <c r="E304" s="155">
        <f>SUMIFS('recurring2_based on steps'!$B304:$AY304,'recurring2_based on steps'!$B$1:$AY$1,E$1)+SUMIFS('changes2_based on steps'!$B304:$U304,'changes2_based on steps'!$B$1:$U$1,E$1)</f>
        <v>0</v>
      </c>
      <c r="F304" s="155">
        <f>SUMIFS('recurring2_based on steps'!$B304:$AY304,'recurring2_based on steps'!$B$1:$AY$1,F$1)+SUMIFS('changes2_based on steps'!$B304:$U304,'changes2_based on steps'!$B$1:$U$1,F$1)</f>
        <v>0</v>
      </c>
      <c r="G304" s="155">
        <f>SUMIFS('recurring2_based on steps'!$B304:$AY304,'recurring2_based on steps'!$B$1:$AY$1,G$1)+SUMIFS('changes2_based on steps'!$B304:$U304,'changes2_based on steps'!$B$1:$U$1,G$1)</f>
        <v>0</v>
      </c>
      <c r="H304" s="155">
        <f ca="1">SUMIFS('recurring2_based on steps'!$B304:$AY304,'recurring2_based on steps'!$B$1:$AY$1,H$1)+SUMIFS('changes2_based on steps'!$B304:$U304,'changes2_based on steps'!$B$1:$U$1,H$1)</f>
        <v>0</v>
      </c>
      <c r="I304" s="155">
        <f>SUMIFS('recurring2_based on steps'!$B304:$AY304,'recurring2_based on steps'!$B$1:$AY$1,I$1)+SUMIFS('changes2_based on steps'!$B304:$U304,'changes2_based on steps'!$B$1:$U$1,I$1)</f>
        <v>0</v>
      </c>
      <c r="J304" s="155">
        <f>SUMIFS('recurring2_based on steps'!$B304:$AY304,'recurring2_based on steps'!$B$1:$AY$1,J$1)+SUMIFS('changes2_based on steps'!$B304:$U304,'changes2_based on steps'!$B$1:$U$1,J$1)</f>
        <v>0</v>
      </c>
      <c r="K304" s="155">
        <f>SUMIFS('recurring2_based on steps'!$B304:$AY304,'recurring2_based on steps'!$B$1:$AY$1,K$1)+SUMIFS('changes2_based on steps'!$B304:$U304,'changes2_based on steps'!$B$1:$U$1,K$1)</f>
        <v>0</v>
      </c>
      <c r="L304" s="155">
        <f>SUMIFS('recurring2_based on steps'!$B304:$AY304,'recurring2_based on steps'!$B$1:$AY$1,L$1)+SUMIFS('changes2_based on steps'!$B304:$U304,'changes2_based on steps'!$B$1:$U$1,L$1)</f>
        <v>0</v>
      </c>
      <c r="M304" s="155">
        <f ca="1">SUMIFS('recurring2_based on steps'!$B304:$AY304,'recurring2_based on steps'!$B$1:$AY$1,M$1)+SUMIFS('changes2_based on steps'!$B304:$U304,'changes2_based on steps'!$B$1:$U$1,M$1)</f>
        <v>0</v>
      </c>
      <c r="N304" s="155">
        <f ca="1">SUMIFS('recurring2_based on steps'!$B304:$AY304,'recurring2_based on steps'!$B$1:$AY$1,N$1)+SUMIFS('changes2_based on steps'!$B304:$U304,'changes2_based on steps'!$B$1:$U$1,N$1)</f>
        <v>0</v>
      </c>
      <c r="O304" s="155">
        <f ca="1">SUMIFS('recurring2_based on steps'!$B304:$AY304,'recurring2_based on steps'!$B$1:$AY$1,O$1)+SUMIFS('changes2_based on steps'!$B304:$U304,'changes2_based on steps'!$B$1:$U$1,O$1)</f>
        <v>0</v>
      </c>
      <c r="P304" s="155">
        <f ca="1">SUMIFS('recurring2_based on steps'!$B304:$AY304,'recurring2_based on steps'!$B$1:$AY$1,P$1)+SUMIFS('changes2_based on steps'!$B304:$U304,'changes2_based on steps'!$B$1:$U$1,P$1)</f>
        <v>0</v>
      </c>
      <c r="Q304" s="155">
        <f>SUMIFS('recurring2_based on steps'!$B304:$AY304,'recurring2_based on steps'!$B$1:$AY$1,Q$1)+SUMIFS('changes2_based on steps'!$B304:$U304,'changes2_based on steps'!$B$1:$U$1,Q$1)</f>
        <v>0</v>
      </c>
      <c r="R304" s="155">
        <f ca="1">SUMIFS('recurring2_based on steps'!$B304:$AY304,'recurring2_based on steps'!$B$1:$AY$1,R$1)+SUMIFS('changes2_based on steps'!$B304:$U304,'changes2_based on steps'!$B$1:$U$1,R$1)</f>
        <v>100</v>
      </c>
      <c r="S304" s="155">
        <f ca="1">SUMIFS('recurring2_based on steps'!$B304:$AY304,'recurring2_based on steps'!$B$1:$AY$1,S$1)+SUMIFS('changes2_based on steps'!$B304:$U304,'changes2_based on steps'!$B$1:$U$1,S$1)</f>
        <v>100</v>
      </c>
      <c r="T304" s="155">
        <f>SUMIFS('recurring2_based on steps'!$B304:$AY304,'recurring2_based on steps'!$B$1:$AY$1,T$1)+SUMIFS('changes2_based on steps'!$B304:$U304,'changes2_based on steps'!$B$1:$U$1,T$1)</f>
        <v>0</v>
      </c>
      <c r="U304" s="155">
        <f ca="1">SUMIFS('recurring2_based on steps'!$B304:$AY304,'recurring2_based on steps'!$B$1:$AY$1,U$1)+SUMIFS('changes2_based on steps'!$B304:$U304,'changes2_based on steps'!$B$1:$U$1,U$1)</f>
        <v>0</v>
      </c>
      <c r="V304" s="155">
        <f>SUMIFS('recurring2_based on steps'!$B304:$AY304,'recurring2_based on steps'!$B$1:$AY$1,V$1)+SUMIFS('changes2_based on steps'!$B304:$U304,'changes2_based on steps'!$B$1:$U$1,V$1)</f>
        <v>0</v>
      </c>
      <c r="W304" s="155">
        <f ca="1">SUMIFS('recurring2_based on steps'!$B304:$AY304,'recurring2_based on steps'!$B$1:$AY$1,W$1)+SUMIFS('changes2_based on steps'!$B304:$U304,'changes2_based on steps'!$B$1:$U$1,W$1)</f>
        <v>0</v>
      </c>
      <c r="X304" s="155">
        <f ca="1">SUMIFS('recurring2_based on steps'!$B304:$AY304,'recurring2_based on steps'!$B$1:$AY$1,X$1)+SUMIFS('changes2_based on steps'!$B304:$U304,'changes2_based on steps'!$B$1:$U$1,X$1)</f>
        <v>0</v>
      </c>
      <c r="Y304" s="155">
        <f ca="1">SUMIFS('recurring2_based on steps'!$B304:$AY304,'recurring2_based on steps'!$B$1:$AY$1,Y$1)+SUMIFS('changes2_based on steps'!$B304:$U304,'changes2_based on steps'!$B$1:$U$1,Y$1)</f>
        <v>0</v>
      </c>
      <c r="Z304" s="155">
        <f>SUMIFS('recurring2_based on steps'!$B304:$AY304,'recurring2_based on steps'!$B$1:$AY$1,Z$1)+SUMIFS('changes2_based on steps'!$B304:$U304,'changes2_based on steps'!$B$1:$U$1,Z$1)</f>
        <v>0</v>
      </c>
      <c r="AA304" s="155">
        <f>SUMIFS('recurring2_based on steps'!$B304:$AY304,'recurring2_based on steps'!$B$1:$AY$1,AA$1)+SUMIFS('changes2_based on steps'!$B304:$U304,'changes2_based on steps'!$B$1:$U$1,AA$1)</f>
        <v>0</v>
      </c>
    </row>
    <row r="305" spans="1:27" x14ac:dyDescent="0.2">
      <c r="A305" s="18">
        <f t="shared" ca="1" si="4"/>
        <v>45991</v>
      </c>
      <c r="B305" s="155">
        <f ca="1">SUMIFS('recurring2_based on steps'!$B305:$AY305,'recurring2_based on steps'!$B$1:$AY$1,B$1)+SUMIFS('changes2_based on steps'!$B305:$U305,'changes2_based on steps'!$B$1:$U$1,B$1)</f>
        <v>0</v>
      </c>
      <c r="C305" s="155">
        <f>SUMIFS('recurring2_based on steps'!$B305:$AY305,'recurring2_based on steps'!$B$1:$AY$1,C$1)+SUMIFS('changes2_based on steps'!$B305:$U305,'changes2_based on steps'!$B$1:$U$1,C$1)</f>
        <v>0</v>
      </c>
      <c r="D305" s="155">
        <f>SUMIFS('recurring2_based on steps'!$B305:$AY305,'recurring2_based on steps'!$B$1:$AY$1,D$1)+SUMIFS('changes2_based on steps'!$B305:$U305,'changes2_based on steps'!$B$1:$U$1,D$1)</f>
        <v>0</v>
      </c>
      <c r="E305" s="155">
        <f>SUMIFS('recurring2_based on steps'!$B305:$AY305,'recurring2_based on steps'!$B$1:$AY$1,E$1)+SUMIFS('changes2_based on steps'!$B305:$U305,'changes2_based on steps'!$B$1:$U$1,E$1)</f>
        <v>0</v>
      </c>
      <c r="F305" s="155">
        <f>SUMIFS('recurring2_based on steps'!$B305:$AY305,'recurring2_based on steps'!$B$1:$AY$1,F$1)+SUMIFS('changes2_based on steps'!$B305:$U305,'changes2_based on steps'!$B$1:$U$1,F$1)</f>
        <v>0</v>
      </c>
      <c r="G305" s="155">
        <f>SUMIFS('recurring2_based on steps'!$B305:$AY305,'recurring2_based on steps'!$B$1:$AY$1,G$1)+SUMIFS('changes2_based on steps'!$B305:$U305,'changes2_based on steps'!$B$1:$U$1,G$1)</f>
        <v>0</v>
      </c>
      <c r="H305" s="155">
        <f ca="1">SUMIFS('recurring2_based on steps'!$B305:$AY305,'recurring2_based on steps'!$B$1:$AY$1,H$1)+SUMIFS('changes2_based on steps'!$B305:$U305,'changes2_based on steps'!$B$1:$U$1,H$1)</f>
        <v>0</v>
      </c>
      <c r="I305" s="155">
        <f>SUMIFS('recurring2_based on steps'!$B305:$AY305,'recurring2_based on steps'!$B$1:$AY$1,I$1)+SUMIFS('changes2_based on steps'!$B305:$U305,'changes2_based on steps'!$B$1:$U$1,I$1)</f>
        <v>0</v>
      </c>
      <c r="J305" s="155">
        <f>SUMIFS('recurring2_based on steps'!$B305:$AY305,'recurring2_based on steps'!$B$1:$AY$1,J$1)+SUMIFS('changes2_based on steps'!$B305:$U305,'changes2_based on steps'!$B$1:$U$1,J$1)</f>
        <v>0</v>
      </c>
      <c r="K305" s="155">
        <f>SUMIFS('recurring2_based on steps'!$B305:$AY305,'recurring2_based on steps'!$B$1:$AY$1,K$1)+SUMIFS('changes2_based on steps'!$B305:$U305,'changes2_based on steps'!$B$1:$U$1,K$1)</f>
        <v>0</v>
      </c>
      <c r="L305" s="155">
        <f>SUMIFS('recurring2_based on steps'!$B305:$AY305,'recurring2_based on steps'!$B$1:$AY$1,L$1)+SUMIFS('changes2_based on steps'!$B305:$U305,'changes2_based on steps'!$B$1:$U$1,L$1)</f>
        <v>0</v>
      </c>
      <c r="M305" s="155">
        <f ca="1">SUMIFS('recurring2_based on steps'!$B305:$AY305,'recurring2_based on steps'!$B$1:$AY$1,M$1)+SUMIFS('changes2_based on steps'!$B305:$U305,'changes2_based on steps'!$B$1:$U$1,M$1)</f>
        <v>50</v>
      </c>
      <c r="N305" s="155">
        <f ca="1">SUMIFS('recurring2_based on steps'!$B305:$AY305,'recurring2_based on steps'!$B$1:$AY$1,N$1)+SUMIFS('changes2_based on steps'!$B305:$U305,'changes2_based on steps'!$B$1:$U$1,N$1)</f>
        <v>50</v>
      </c>
      <c r="O305" s="155">
        <f ca="1">SUMIFS('recurring2_based on steps'!$B305:$AY305,'recurring2_based on steps'!$B$1:$AY$1,O$1)+SUMIFS('changes2_based on steps'!$B305:$U305,'changes2_based on steps'!$B$1:$U$1,O$1)</f>
        <v>0</v>
      </c>
      <c r="P305" s="155">
        <f ca="1">SUMIFS('recurring2_based on steps'!$B305:$AY305,'recurring2_based on steps'!$B$1:$AY$1,P$1)+SUMIFS('changes2_based on steps'!$B305:$U305,'changes2_based on steps'!$B$1:$U$1,P$1)</f>
        <v>0</v>
      </c>
      <c r="Q305" s="155">
        <f>SUMIFS('recurring2_based on steps'!$B305:$AY305,'recurring2_based on steps'!$B$1:$AY$1,Q$1)+SUMIFS('changes2_based on steps'!$B305:$U305,'changes2_based on steps'!$B$1:$U$1,Q$1)</f>
        <v>0</v>
      </c>
      <c r="R305" s="155">
        <f ca="1">SUMIFS('recurring2_based on steps'!$B305:$AY305,'recurring2_based on steps'!$B$1:$AY$1,R$1)+SUMIFS('changes2_based on steps'!$B305:$U305,'changes2_based on steps'!$B$1:$U$1,R$1)</f>
        <v>0</v>
      </c>
      <c r="S305" s="155">
        <f ca="1">SUMIFS('recurring2_based on steps'!$B305:$AY305,'recurring2_based on steps'!$B$1:$AY$1,S$1)+SUMIFS('changes2_based on steps'!$B305:$U305,'changes2_based on steps'!$B$1:$U$1,S$1)</f>
        <v>100</v>
      </c>
      <c r="T305" s="155">
        <f>SUMIFS('recurring2_based on steps'!$B305:$AY305,'recurring2_based on steps'!$B$1:$AY$1,T$1)+SUMIFS('changes2_based on steps'!$B305:$U305,'changes2_based on steps'!$B$1:$U$1,T$1)</f>
        <v>0</v>
      </c>
      <c r="U305" s="155">
        <f ca="1">SUMIFS('recurring2_based on steps'!$B305:$AY305,'recurring2_based on steps'!$B$1:$AY$1,U$1)+SUMIFS('changes2_based on steps'!$B305:$U305,'changes2_based on steps'!$B$1:$U$1,U$1)</f>
        <v>0</v>
      </c>
      <c r="V305" s="155">
        <f>SUMIFS('recurring2_based on steps'!$B305:$AY305,'recurring2_based on steps'!$B$1:$AY$1,V$1)+SUMIFS('changes2_based on steps'!$B305:$U305,'changes2_based on steps'!$B$1:$U$1,V$1)</f>
        <v>0</v>
      </c>
      <c r="W305" s="155">
        <f ca="1">SUMIFS('recurring2_based on steps'!$B305:$AY305,'recurring2_based on steps'!$B$1:$AY$1,W$1)+SUMIFS('changes2_based on steps'!$B305:$U305,'changes2_based on steps'!$B$1:$U$1,W$1)</f>
        <v>0</v>
      </c>
      <c r="X305" s="155">
        <f ca="1">SUMIFS('recurring2_based on steps'!$B305:$AY305,'recurring2_based on steps'!$B$1:$AY$1,X$1)+SUMIFS('changes2_based on steps'!$B305:$U305,'changes2_based on steps'!$B$1:$U$1,X$1)</f>
        <v>0</v>
      </c>
      <c r="Y305" s="155">
        <f ca="1">SUMIFS('recurring2_based on steps'!$B305:$AY305,'recurring2_based on steps'!$B$1:$AY$1,Y$1)+SUMIFS('changes2_based on steps'!$B305:$U305,'changes2_based on steps'!$B$1:$U$1,Y$1)</f>
        <v>-100</v>
      </c>
      <c r="Z305" s="155">
        <f>SUMIFS('recurring2_based on steps'!$B305:$AY305,'recurring2_based on steps'!$B$1:$AY$1,Z$1)+SUMIFS('changes2_based on steps'!$B305:$U305,'changes2_based on steps'!$B$1:$U$1,Z$1)</f>
        <v>0</v>
      </c>
      <c r="AA305" s="155">
        <f>SUMIFS('recurring2_based on steps'!$B305:$AY305,'recurring2_based on steps'!$B$1:$AY$1,AA$1)+SUMIFS('changes2_based on steps'!$B305:$U305,'changes2_based on steps'!$B$1:$U$1,AA$1)</f>
        <v>0</v>
      </c>
    </row>
    <row r="306" spans="1:27" x14ac:dyDescent="0.2">
      <c r="A306" s="18">
        <f t="shared" ca="1" si="4"/>
        <v>45992</v>
      </c>
      <c r="B306" s="155">
        <f ca="1">SUMIFS('recurring2_based on steps'!$B306:$AY306,'recurring2_based on steps'!$B$1:$AY$1,B$1)+SUMIFS('changes2_based on steps'!$B306:$U306,'changes2_based on steps'!$B$1:$U$1,B$1)</f>
        <v>0</v>
      </c>
      <c r="C306" s="155">
        <f>SUMIFS('recurring2_based on steps'!$B306:$AY306,'recurring2_based on steps'!$B$1:$AY$1,C$1)+SUMIFS('changes2_based on steps'!$B306:$U306,'changes2_based on steps'!$B$1:$U$1,C$1)</f>
        <v>0</v>
      </c>
      <c r="D306" s="155">
        <f>SUMIFS('recurring2_based on steps'!$B306:$AY306,'recurring2_based on steps'!$B$1:$AY$1,D$1)+SUMIFS('changes2_based on steps'!$B306:$U306,'changes2_based on steps'!$B$1:$U$1,D$1)</f>
        <v>0</v>
      </c>
      <c r="E306" s="155">
        <f>SUMIFS('recurring2_based on steps'!$B306:$AY306,'recurring2_based on steps'!$B$1:$AY$1,E$1)+SUMIFS('changes2_based on steps'!$B306:$U306,'changes2_based on steps'!$B$1:$U$1,E$1)</f>
        <v>0</v>
      </c>
      <c r="F306" s="155">
        <f>SUMIFS('recurring2_based on steps'!$B306:$AY306,'recurring2_based on steps'!$B$1:$AY$1,F$1)+SUMIFS('changes2_based on steps'!$B306:$U306,'changes2_based on steps'!$B$1:$U$1,F$1)</f>
        <v>0</v>
      </c>
      <c r="G306" s="155">
        <f>SUMIFS('recurring2_based on steps'!$B306:$AY306,'recurring2_based on steps'!$B$1:$AY$1,G$1)+SUMIFS('changes2_based on steps'!$B306:$U306,'changes2_based on steps'!$B$1:$U$1,G$1)</f>
        <v>0</v>
      </c>
      <c r="H306" s="155">
        <f ca="1">SUMIFS('recurring2_based on steps'!$B306:$AY306,'recurring2_based on steps'!$B$1:$AY$1,H$1)+SUMIFS('changes2_based on steps'!$B306:$U306,'changes2_based on steps'!$B$1:$U$1,H$1)</f>
        <v>0</v>
      </c>
      <c r="I306" s="155">
        <f>SUMIFS('recurring2_based on steps'!$B306:$AY306,'recurring2_based on steps'!$B$1:$AY$1,I$1)+SUMIFS('changes2_based on steps'!$B306:$U306,'changes2_based on steps'!$B$1:$U$1,I$1)</f>
        <v>0</v>
      </c>
      <c r="J306" s="155">
        <f>SUMIFS('recurring2_based on steps'!$B306:$AY306,'recurring2_based on steps'!$B$1:$AY$1,J$1)+SUMIFS('changes2_based on steps'!$B306:$U306,'changes2_based on steps'!$B$1:$U$1,J$1)</f>
        <v>0</v>
      </c>
      <c r="K306" s="155">
        <f>SUMIFS('recurring2_based on steps'!$B306:$AY306,'recurring2_based on steps'!$B$1:$AY$1,K$1)+SUMIFS('changes2_based on steps'!$B306:$U306,'changes2_based on steps'!$B$1:$U$1,K$1)</f>
        <v>0</v>
      </c>
      <c r="L306" s="155">
        <f>SUMIFS('recurring2_based on steps'!$B306:$AY306,'recurring2_based on steps'!$B$1:$AY$1,L$1)+SUMIFS('changes2_based on steps'!$B306:$U306,'changes2_based on steps'!$B$1:$U$1,L$1)</f>
        <v>0</v>
      </c>
      <c r="M306" s="155">
        <f ca="1">SUMIFS('recurring2_based on steps'!$B306:$AY306,'recurring2_based on steps'!$B$1:$AY$1,M$1)+SUMIFS('changes2_based on steps'!$B306:$U306,'changes2_based on steps'!$B$1:$U$1,M$1)</f>
        <v>2000</v>
      </c>
      <c r="N306" s="155">
        <f ca="1">SUMIFS('recurring2_based on steps'!$B306:$AY306,'recurring2_based on steps'!$B$1:$AY$1,N$1)+SUMIFS('changes2_based on steps'!$B306:$U306,'changes2_based on steps'!$B$1:$U$1,N$1)</f>
        <v>0</v>
      </c>
      <c r="O306" s="155">
        <f ca="1">SUMIFS('recurring2_based on steps'!$B306:$AY306,'recurring2_based on steps'!$B$1:$AY$1,O$1)+SUMIFS('changes2_based on steps'!$B306:$U306,'changes2_based on steps'!$B$1:$U$1,O$1)</f>
        <v>0</v>
      </c>
      <c r="P306" s="155">
        <f ca="1">SUMIFS('recurring2_based on steps'!$B306:$AY306,'recurring2_based on steps'!$B$1:$AY$1,P$1)+SUMIFS('changes2_based on steps'!$B306:$U306,'changes2_based on steps'!$B$1:$U$1,P$1)</f>
        <v>0</v>
      </c>
      <c r="Q306" s="155">
        <f>SUMIFS('recurring2_based on steps'!$B306:$AY306,'recurring2_based on steps'!$B$1:$AY$1,Q$1)+SUMIFS('changes2_based on steps'!$B306:$U306,'changes2_based on steps'!$B$1:$U$1,Q$1)</f>
        <v>0</v>
      </c>
      <c r="R306" s="155">
        <f ca="1">SUMIFS('recurring2_based on steps'!$B306:$AY306,'recurring2_based on steps'!$B$1:$AY$1,R$1)+SUMIFS('changes2_based on steps'!$B306:$U306,'changes2_based on steps'!$B$1:$U$1,R$1)</f>
        <v>0</v>
      </c>
      <c r="S306" s="155">
        <f ca="1">SUMIFS('recurring2_based on steps'!$B306:$AY306,'recurring2_based on steps'!$B$1:$AY$1,S$1)+SUMIFS('changes2_based on steps'!$B306:$U306,'changes2_based on steps'!$B$1:$U$1,S$1)</f>
        <v>0</v>
      </c>
      <c r="T306" s="155">
        <f>SUMIFS('recurring2_based on steps'!$B306:$AY306,'recurring2_based on steps'!$B$1:$AY$1,T$1)+SUMIFS('changes2_based on steps'!$B306:$U306,'changes2_based on steps'!$B$1:$U$1,T$1)</f>
        <v>0</v>
      </c>
      <c r="U306" s="155">
        <f ca="1">SUMIFS('recurring2_based on steps'!$B306:$AY306,'recurring2_based on steps'!$B$1:$AY$1,U$1)+SUMIFS('changes2_based on steps'!$B306:$U306,'changes2_based on steps'!$B$1:$U$1,U$1)</f>
        <v>0</v>
      </c>
      <c r="V306" s="155">
        <f>SUMIFS('recurring2_based on steps'!$B306:$AY306,'recurring2_based on steps'!$B$1:$AY$1,V$1)+SUMIFS('changes2_based on steps'!$B306:$U306,'changes2_based on steps'!$B$1:$U$1,V$1)</f>
        <v>0</v>
      </c>
      <c r="W306" s="155">
        <f ca="1">SUMIFS('recurring2_based on steps'!$B306:$AY306,'recurring2_based on steps'!$B$1:$AY$1,W$1)+SUMIFS('changes2_based on steps'!$B306:$U306,'changes2_based on steps'!$B$1:$U$1,W$1)</f>
        <v>0</v>
      </c>
      <c r="X306" s="155">
        <f ca="1">SUMIFS('recurring2_based on steps'!$B306:$AY306,'recurring2_based on steps'!$B$1:$AY$1,X$1)+SUMIFS('changes2_based on steps'!$B306:$U306,'changes2_based on steps'!$B$1:$U$1,X$1)</f>
        <v>0</v>
      </c>
      <c r="Y306" s="155">
        <f ca="1">SUMIFS('recurring2_based on steps'!$B306:$AY306,'recurring2_based on steps'!$B$1:$AY$1,Y$1)+SUMIFS('changes2_based on steps'!$B306:$U306,'changes2_based on steps'!$B$1:$U$1,Y$1)</f>
        <v>0</v>
      </c>
      <c r="Z306" s="155">
        <f>SUMIFS('recurring2_based on steps'!$B306:$AY306,'recurring2_based on steps'!$B$1:$AY$1,Z$1)+SUMIFS('changes2_based on steps'!$B306:$U306,'changes2_based on steps'!$B$1:$U$1,Z$1)</f>
        <v>0</v>
      </c>
      <c r="AA306" s="155">
        <f>SUMIFS('recurring2_based on steps'!$B306:$AY306,'recurring2_based on steps'!$B$1:$AY$1,AA$1)+SUMIFS('changes2_based on steps'!$B306:$U306,'changes2_based on steps'!$B$1:$U$1,AA$1)</f>
        <v>0</v>
      </c>
    </row>
    <row r="307" spans="1:27" x14ac:dyDescent="0.2">
      <c r="A307" s="18">
        <f t="shared" ca="1" si="4"/>
        <v>45993</v>
      </c>
      <c r="B307" s="155">
        <f ca="1">SUMIFS('recurring2_based on steps'!$B307:$AY307,'recurring2_based on steps'!$B$1:$AY$1,B$1)+SUMIFS('changes2_based on steps'!$B307:$U307,'changes2_based on steps'!$B$1:$U$1,B$1)</f>
        <v>0</v>
      </c>
      <c r="C307" s="155">
        <f>SUMIFS('recurring2_based on steps'!$B307:$AY307,'recurring2_based on steps'!$B$1:$AY$1,C$1)+SUMIFS('changes2_based on steps'!$B307:$U307,'changes2_based on steps'!$B$1:$U$1,C$1)</f>
        <v>0</v>
      </c>
      <c r="D307" s="155">
        <f>SUMIFS('recurring2_based on steps'!$B307:$AY307,'recurring2_based on steps'!$B$1:$AY$1,D$1)+SUMIFS('changes2_based on steps'!$B307:$U307,'changes2_based on steps'!$B$1:$U$1,D$1)</f>
        <v>0</v>
      </c>
      <c r="E307" s="155">
        <f>SUMIFS('recurring2_based on steps'!$B307:$AY307,'recurring2_based on steps'!$B$1:$AY$1,E$1)+SUMIFS('changes2_based on steps'!$B307:$U307,'changes2_based on steps'!$B$1:$U$1,E$1)</f>
        <v>0</v>
      </c>
      <c r="F307" s="155">
        <f>SUMIFS('recurring2_based on steps'!$B307:$AY307,'recurring2_based on steps'!$B$1:$AY$1,F$1)+SUMIFS('changes2_based on steps'!$B307:$U307,'changes2_based on steps'!$B$1:$U$1,F$1)</f>
        <v>0</v>
      </c>
      <c r="G307" s="155">
        <f>SUMIFS('recurring2_based on steps'!$B307:$AY307,'recurring2_based on steps'!$B$1:$AY$1,G$1)+SUMIFS('changes2_based on steps'!$B307:$U307,'changes2_based on steps'!$B$1:$U$1,G$1)</f>
        <v>0</v>
      </c>
      <c r="H307" s="155">
        <f ca="1">SUMIFS('recurring2_based on steps'!$B307:$AY307,'recurring2_based on steps'!$B$1:$AY$1,H$1)+SUMIFS('changes2_based on steps'!$B307:$U307,'changes2_based on steps'!$B$1:$U$1,H$1)</f>
        <v>0</v>
      </c>
      <c r="I307" s="155">
        <f>SUMIFS('recurring2_based on steps'!$B307:$AY307,'recurring2_based on steps'!$B$1:$AY$1,I$1)+SUMIFS('changes2_based on steps'!$B307:$U307,'changes2_based on steps'!$B$1:$U$1,I$1)</f>
        <v>0</v>
      </c>
      <c r="J307" s="155">
        <f>SUMIFS('recurring2_based on steps'!$B307:$AY307,'recurring2_based on steps'!$B$1:$AY$1,J$1)+SUMIFS('changes2_based on steps'!$B307:$U307,'changes2_based on steps'!$B$1:$U$1,J$1)</f>
        <v>0</v>
      </c>
      <c r="K307" s="155">
        <f>SUMIFS('recurring2_based on steps'!$B307:$AY307,'recurring2_based on steps'!$B$1:$AY$1,K$1)+SUMIFS('changes2_based on steps'!$B307:$U307,'changes2_based on steps'!$B$1:$U$1,K$1)</f>
        <v>0</v>
      </c>
      <c r="L307" s="155">
        <f>SUMIFS('recurring2_based on steps'!$B307:$AY307,'recurring2_based on steps'!$B$1:$AY$1,L$1)+SUMIFS('changes2_based on steps'!$B307:$U307,'changes2_based on steps'!$B$1:$U$1,L$1)</f>
        <v>0</v>
      </c>
      <c r="M307" s="155">
        <f ca="1">SUMIFS('recurring2_based on steps'!$B307:$AY307,'recurring2_based on steps'!$B$1:$AY$1,M$1)+SUMIFS('changes2_based on steps'!$B307:$U307,'changes2_based on steps'!$B$1:$U$1,M$1)</f>
        <v>0</v>
      </c>
      <c r="N307" s="155">
        <f ca="1">SUMIFS('recurring2_based on steps'!$B307:$AY307,'recurring2_based on steps'!$B$1:$AY$1,N$1)+SUMIFS('changes2_based on steps'!$B307:$U307,'changes2_based on steps'!$B$1:$U$1,N$1)</f>
        <v>0</v>
      </c>
      <c r="O307" s="155">
        <f ca="1">SUMIFS('recurring2_based on steps'!$B307:$AY307,'recurring2_based on steps'!$B$1:$AY$1,O$1)+SUMIFS('changes2_based on steps'!$B307:$U307,'changes2_based on steps'!$B$1:$U$1,O$1)</f>
        <v>0</v>
      </c>
      <c r="P307" s="155">
        <f ca="1">SUMIFS('recurring2_based on steps'!$B307:$AY307,'recurring2_based on steps'!$B$1:$AY$1,P$1)+SUMIFS('changes2_based on steps'!$B307:$U307,'changes2_based on steps'!$B$1:$U$1,P$1)</f>
        <v>0</v>
      </c>
      <c r="Q307" s="155">
        <f>SUMIFS('recurring2_based on steps'!$B307:$AY307,'recurring2_based on steps'!$B$1:$AY$1,Q$1)+SUMIFS('changes2_based on steps'!$B307:$U307,'changes2_based on steps'!$B$1:$U$1,Q$1)</f>
        <v>0</v>
      </c>
      <c r="R307" s="155">
        <f ca="1">SUMIFS('recurring2_based on steps'!$B307:$AY307,'recurring2_based on steps'!$B$1:$AY$1,R$1)+SUMIFS('changes2_based on steps'!$B307:$U307,'changes2_based on steps'!$B$1:$U$1,R$1)</f>
        <v>0</v>
      </c>
      <c r="S307" s="155">
        <f ca="1">SUMIFS('recurring2_based on steps'!$B307:$AY307,'recurring2_based on steps'!$B$1:$AY$1,S$1)+SUMIFS('changes2_based on steps'!$B307:$U307,'changes2_based on steps'!$B$1:$U$1,S$1)</f>
        <v>0</v>
      </c>
      <c r="T307" s="155">
        <f>SUMIFS('recurring2_based on steps'!$B307:$AY307,'recurring2_based on steps'!$B$1:$AY$1,T$1)+SUMIFS('changes2_based on steps'!$B307:$U307,'changes2_based on steps'!$B$1:$U$1,T$1)</f>
        <v>0</v>
      </c>
      <c r="U307" s="155">
        <f ca="1">SUMIFS('recurring2_based on steps'!$B307:$AY307,'recurring2_based on steps'!$B$1:$AY$1,U$1)+SUMIFS('changes2_based on steps'!$B307:$U307,'changes2_based on steps'!$B$1:$U$1,U$1)</f>
        <v>0</v>
      </c>
      <c r="V307" s="155">
        <f>SUMIFS('recurring2_based on steps'!$B307:$AY307,'recurring2_based on steps'!$B$1:$AY$1,V$1)+SUMIFS('changes2_based on steps'!$B307:$U307,'changes2_based on steps'!$B$1:$U$1,V$1)</f>
        <v>0</v>
      </c>
      <c r="W307" s="155">
        <f ca="1">SUMIFS('recurring2_based on steps'!$B307:$AY307,'recurring2_based on steps'!$B$1:$AY$1,W$1)+SUMIFS('changes2_based on steps'!$B307:$U307,'changes2_based on steps'!$B$1:$U$1,W$1)</f>
        <v>0</v>
      </c>
      <c r="X307" s="155">
        <f ca="1">SUMIFS('recurring2_based on steps'!$B307:$AY307,'recurring2_based on steps'!$B$1:$AY$1,X$1)+SUMIFS('changes2_based on steps'!$B307:$U307,'changes2_based on steps'!$B$1:$U$1,X$1)</f>
        <v>0</v>
      </c>
      <c r="Y307" s="155">
        <f ca="1">SUMIFS('recurring2_based on steps'!$B307:$AY307,'recurring2_based on steps'!$B$1:$AY$1,Y$1)+SUMIFS('changes2_based on steps'!$B307:$U307,'changes2_based on steps'!$B$1:$U$1,Y$1)</f>
        <v>0</v>
      </c>
      <c r="Z307" s="155">
        <f>SUMIFS('recurring2_based on steps'!$B307:$AY307,'recurring2_based on steps'!$B$1:$AY$1,Z$1)+SUMIFS('changes2_based on steps'!$B307:$U307,'changes2_based on steps'!$B$1:$U$1,Z$1)</f>
        <v>0</v>
      </c>
      <c r="AA307" s="155">
        <f>SUMIFS('recurring2_based on steps'!$B307:$AY307,'recurring2_based on steps'!$B$1:$AY$1,AA$1)+SUMIFS('changes2_based on steps'!$B307:$U307,'changes2_based on steps'!$B$1:$U$1,AA$1)</f>
        <v>0</v>
      </c>
    </row>
    <row r="308" spans="1:27" x14ac:dyDescent="0.2">
      <c r="A308" s="18">
        <f t="shared" ca="1" si="4"/>
        <v>45994</v>
      </c>
      <c r="B308" s="155">
        <f ca="1">SUMIFS('recurring2_based on steps'!$B308:$AY308,'recurring2_based on steps'!$B$1:$AY$1,B$1)+SUMIFS('changes2_based on steps'!$B308:$U308,'changes2_based on steps'!$B$1:$U$1,B$1)</f>
        <v>100</v>
      </c>
      <c r="C308" s="155">
        <f>SUMIFS('recurring2_based on steps'!$B308:$AY308,'recurring2_based on steps'!$B$1:$AY$1,C$1)+SUMIFS('changes2_based on steps'!$B308:$U308,'changes2_based on steps'!$B$1:$U$1,C$1)</f>
        <v>0</v>
      </c>
      <c r="D308" s="155">
        <f>SUMIFS('recurring2_based on steps'!$B308:$AY308,'recurring2_based on steps'!$B$1:$AY$1,D$1)+SUMIFS('changes2_based on steps'!$B308:$U308,'changes2_based on steps'!$B$1:$U$1,D$1)</f>
        <v>0</v>
      </c>
      <c r="E308" s="155">
        <f>SUMIFS('recurring2_based on steps'!$B308:$AY308,'recurring2_based on steps'!$B$1:$AY$1,E$1)+SUMIFS('changes2_based on steps'!$B308:$U308,'changes2_based on steps'!$B$1:$U$1,E$1)</f>
        <v>0</v>
      </c>
      <c r="F308" s="155">
        <f>SUMIFS('recurring2_based on steps'!$B308:$AY308,'recurring2_based on steps'!$B$1:$AY$1,F$1)+SUMIFS('changes2_based on steps'!$B308:$U308,'changes2_based on steps'!$B$1:$U$1,F$1)</f>
        <v>0</v>
      </c>
      <c r="G308" s="155">
        <f>SUMIFS('recurring2_based on steps'!$B308:$AY308,'recurring2_based on steps'!$B$1:$AY$1,G$1)+SUMIFS('changes2_based on steps'!$B308:$U308,'changes2_based on steps'!$B$1:$U$1,G$1)</f>
        <v>0</v>
      </c>
      <c r="H308" s="155">
        <f ca="1">SUMIFS('recurring2_based on steps'!$B308:$AY308,'recurring2_based on steps'!$B$1:$AY$1,H$1)+SUMIFS('changes2_based on steps'!$B308:$U308,'changes2_based on steps'!$B$1:$U$1,H$1)</f>
        <v>0</v>
      </c>
      <c r="I308" s="155">
        <f>SUMIFS('recurring2_based on steps'!$B308:$AY308,'recurring2_based on steps'!$B$1:$AY$1,I$1)+SUMIFS('changes2_based on steps'!$B308:$U308,'changes2_based on steps'!$B$1:$U$1,I$1)</f>
        <v>0</v>
      </c>
      <c r="J308" s="155">
        <f>SUMIFS('recurring2_based on steps'!$B308:$AY308,'recurring2_based on steps'!$B$1:$AY$1,J$1)+SUMIFS('changes2_based on steps'!$B308:$U308,'changes2_based on steps'!$B$1:$U$1,J$1)</f>
        <v>0</v>
      </c>
      <c r="K308" s="155">
        <f>SUMIFS('recurring2_based on steps'!$B308:$AY308,'recurring2_based on steps'!$B$1:$AY$1,K$1)+SUMIFS('changes2_based on steps'!$B308:$U308,'changes2_based on steps'!$B$1:$U$1,K$1)</f>
        <v>0</v>
      </c>
      <c r="L308" s="155">
        <f>SUMIFS('recurring2_based on steps'!$B308:$AY308,'recurring2_based on steps'!$B$1:$AY$1,L$1)+SUMIFS('changes2_based on steps'!$B308:$U308,'changes2_based on steps'!$B$1:$U$1,L$1)</f>
        <v>0</v>
      </c>
      <c r="M308" s="155">
        <f ca="1">SUMIFS('recurring2_based on steps'!$B308:$AY308,'recurring2_based on steps'!$B$1:$AY$1,M$1)+SUMIFS('changes2_based on steps'!$B308:$U308,'changes2_based on steps'!$B$1:$U$1,M$1)</f>
        <v>0</v>
      </c>
      <c r="N308" s="155">
        <f ca="1">SUMIFS('recurring2_based on steps'!$B308:$AY308,'recurring2_based on steps'!$B$1:$AY$1,N$1)+SUMIFS('changes2_based on steps'!$B308:$U308,'changes2_based on steps'!$B$1:$U$1,N$1)</f>
        <v>0</v>
      </c>
      <c r="O308" s="155">
        <f ca="1">SUMIFS('recurring2_based on steps'!$B308:$AY308,'recurring2_based on steps'!$B$1:$AY$1,O$1)+SUMIFS('changes2_based on steps'!$B308:$U308,'changes2_based on steps'!$B$1:$U$1,O$1)</f>
        <v>0</v>
      </c>
      <c r="P308" s="155">
        <f ca="1">SUMIFS('recurring2_based on steps'!$B308:$AY308,'recurring2_based on steps'!$B$1:$AY$1,P$1)+SUMIFS('changes2_based on steps'!$B308:$U308,'changes2_based on steps'!$B$1:$U$1,P$1)</f>
        <v>0</v>
      </c>
      <c r="Q308" s="155">
        <f>SUMIFS('recurring2_based on steps'!$B308:$AY308,'recurring2_based on steps'!$B$1:$AY$1,Q$1)+SUMIFS('changes2_based on steps'!$B308:$U308,'changes2_based on steps'!$B$1:$U$1,Q$1)</f>
        <v>0</v>
      </c>
      <c r="R308" s="155">
        <f ca="1">SUMIFS('recurring2_based on steps'!$B308:$AY308,'recurring2_based on steps'!$B$1:$AY$1,R$1)+SUMIFS('changes2_based on steps'!$B308:$U308,'changes2_based on steps'!$B$1:$U$1,R$1)</f>
        <v>0</v>
      </c>
      <c r="S308" s="155">
        <f ca="1">SUMIFS('recurring2_based on steps'!$B308:$AY308,'recurring2_based on steps'!$B$1:$AY$1,S$1)+SUMIFS('changes2_based on steps'!$B308:$U308,'changes2_based on steps'!$B$1:$U$1,S$1)</f>
        <v>0</v>
      </c>
      <c r="T308" s="155">
        <f>SUMIFS('recurring2_based on steps'!$B308:$AY308,'recurring2_based on steps'!$B$1:$AY$1,T$1)+SUMIFS('changes2_based on steps'!$B308:$U308,'changes2_based on steps'!$B$1:$U$1,T$1)</f>
        <v>0</v>
      </c>
      <c r="U308" s="155">
        <f ca="1">SUMIFS('recurring2_based on steps'!$B308:$AY308,'recurring2_based on steps'!$B$1:$AY$1,U$1)+SUMIFS('changes2_based on steps'!$B308:$U308,'changes2_based on steps'!$B$1:$U$1,U$1)</f>
        <v>0</v>
      </c>
      <c r="V308" s="155">
        <f>SUMIFS('recurring2_based on steps'!$B308:$AY308,'recurring2_based on steps'!$B$1:$AY$1,V$1)+SUMIFS('changes2_based on steps'!$B308:$U308,'changes2_based on steps'!$B$1:$U$1,V$1)</f>
        <v>0</v>
      </c>
      <c r="W308" s="155">
        <f ca="1">SUMIFS('recurring2_based on steps'!$B308:$AY308,'recurring2_based on steps'!$B$1:$AY$1,W$1)+SUMIFS('changes2_based on steps'!$B308:$U308,'changes2_based on steps'!$B$1:$U$1,W$1)</f>
        <v>0</v>
      </c>
      <c r="X308" s="155">
        <f ca="1">SUMIFS('recurring2_based on steps'!$B308:$AY308,'recurring2_based on steps'!$B$1:$AY$1,X$1)+SUMIFS('changes2_based on steps'!$B308:$U308,'changes2_based on steps'!$B$1:$U$1,X$1)</f>
        <v>0</v>
      </c>
      <c r="Y308" s="155">
        <f ca="1">SUMIFS('recurring2_based on steps'!$B308:$AY308,'recurring2_based on steps'!$B$1:$AY$1,Y$1)+SUMIFS('changes2_based on steps'!$B308:$U308,'changes2_based on steps'!$B$1:$U$1,Y$1)</f>
        <v>0</v>
      </c>
      <c r="Z308" s="155">
        <f>SUMIFS('recurring2_based on steps'!$B308:$AY308,'recurring2_based on steps'!$B$1:$AY$1,Z$1)+SUMIFS('changes2_based on steps'!$B308:$U308,'changes2_based on steps'!$B$1:$U$1,Z$1)</f>
        <v>0</v>
      </c>
      <c r="AA308" s="155">
        <f>SUMIFS('recurring2_based on steps'!$B308:$AY308,'recurring2_based on steps'!$B$1:$AY$1,AA$1)+SUMIFS('changes2_based on steps'!$B308:$U308,'changes2_based on steps'!$B$1:$U$1,AA$1)</f>
        <v>0</v>
      </c>
    </row>
    <row r="309" spans="1:27" x14ac:dyDescent="0.2">
      <c r="A309" s="18">
        <f t="shared" ca="1" si="4"/>
        <v>45995</v>
      </c>
      <c r="B309" s="155">
        <f ca="1">SUMIFS('recurring2_based on steps'!$B309:$AY309,'recurring2_based on steps'!$B$1:$AY$1,B$1)+SUMIFS('changes2_based on steps'!$B309:$U309,'changes2_based on steps'!$B$1:$U$1,B$1)</f>
        <v>0</v>
      </c>
      <c r="C309" s="155">
        <f>SUMIFS('recurring2_based on steps'!$B309:$AY309,'recurring2_based on steps'!$B$1:$AY$1,C$1)+SUMIFS('changes2_based on steps'!$B309:$U309,'changes2_based on steps'!$B$1:$U$1,C$1)</f>
        <v>0</v>
      </c>
      <c r="D309" s="155">
        <f>SUMIFS('recurring2_based on steps'!$B309:$AY309,'recurring2_based on steps'!$B$1:$AY$1,D$1)+SUMIFS('changes2_based on steps'!$B309:$U309,'changes2_based on steps'!$B$1:$U$1,D$1)</f>
        <v>0</v>
      </c>
      <c r="E309" s="155">
        <f>SUMIFS('recurring2_based on steps'!$B309:$AY309,'recurring2_based on steps'!$B$1:$AY$1,E$1)+SUMIFS('changes2_based on steps'!$B309:$U309,'changes2_based on steps'!$B$1:$U$1,E$1)</f>
        <v>0</v>
      </c>
      <c r="F309" s="155">
        <f>SUMIFS('recurring2_based on steps'!$B309:$AY309,'recurring2_based on steps'!$B$1:$AY$1,F$1)+SUMIFS('changes2_based on steps'!$B309:$U309,'changes2_based on steps'!$B$1:$U$1,F$1)</f>
        <v>0</v>
      </c>
      <c r="G309" s="155">
        <f>SUMIFS('recurring2_based on steps'!$B309:$AY309,'recurring2_based on steps'!$B$1:$AY$1,G$1)+SUMIFS('changes2_based on steps'!$B309:$U309,'changes2_based on steps'!$B$1:$U$1,G$1)</f>
        <v>0</v>
      </c>
      <c r="H309" s="155">
        <f ca="1">SUMIFS('recurring2_based on steps'!$B309:$AY309,'recurring2_based on steps'!$B$1:$AY$1,H$1)+SUMIFS('changes2_based on steps'!$B309:$U309,'changes2_based on steps'!$B$1:$U$1,H$1)</f>
        <v>0</v>
      </c>
      <c r="I309" s="155">
        <f>SUMIFS('recurring2_based on steps'!$B309:$AY309,'recurring2_based on steps'!$B$1:$AY$1,I$1)+SUMIFS('changes2_based on steps'!$B309:$U309,'changes2_based on steps'!$B$1:$U$1,I$1)</f>
        <v>0</v>
      </c>
      <c r="J309" s="155">
        <f>SUMIFS('recurring2_based on steps'!$B309:$AY309,'recurring2_based on steps'!$B$1:$AY$1,J$1)+SUMIFS('changes2_based on steps'!$B309:$U309,'changes2_based on steps'!$B$1:$U$1,J$1)</f>
        <v>0</v>
      </c>
      <c r="K309" s="155">
        <f>SUMIFS('recurring2_based on steps'!$B309:$AY309,'recurring2_based on steps'!$B$1:$AY$1,K$1)+SUMIFS('changes2_based on steps'!$B309:$U309,'changes2_based on steps'!$B$1:$U$1,K$1)</f>
        <v>0</v>
      </c>
      <c r="L309" s="155">
        <f>SUMIFS('recurring2_based on steps'!$B309:$AY309,'recurring2_based on steps'!$B$1:$AY$1,L$1)+SUMIFS('changes2_based on steps'!$B309:$U309,'changes2_based on steps'!$B$1:$U$1,L$1)</f>
        <v>0</v>
      </c>
      <c r="M309" s="155">
        <f ca="1">SUMIFS('recurring2_based on steps'!$B309:$AY309,'recurring2_based on steps'!$B$1:$AY$1,M$1)+SUMIFS('changes2_based on steps'!$B309:$U309,'changes2_based on steps'!$B$1:$U$1,M$1)</f>
        <v>0</v>
      </c>
      <c r="N309" s="155">
        <f ca="1">SUMIFS('recurring2_based on steps'!$B309:$AY309,'recurring2_based on steps'!$B$1:$AY$1,N$1)+SUMIFS('changes2_based on steps'!$B309:$U309,'changes2_based on steps'!$B$1:$U$1,N$1)</f>
        <v>0</v>
      </c>
      <c r="O309" s="155">
        <f ca="1">SUMIFS('recurring2_based on steps'!$B309:$AY309,'recurring2_based on steps'!$B$1:$AY$1,O$1)+SUMIFS('changes2_based on steps'!$B309:$U309,'changes2_based on steps'!$B$1:$U$1,O$1)</f>
        <v>0</v>
      </c>
      <c r="P309" s="155">
        <f ca="1">SUMIFS('recurring2_based on steps'!$B309:$AY309,'recurring2_based on steps'!$B$1:$AY$1,P$1)+SUMIFS('changes2_based on steps'!$B309:$U309,'changes2_based on steps'!$B$1:$U$1,P$1)</f>
        <v>0</v>
      </c>
      <c r="Q309" s="155">
        <f>SUMIFS('recurring2_based on steps'!$B309:$AY309,'recurring2_based on steps'!$B$1:$AY$1,Q$1)+SUMIFS('changes2_based on steps'!$B309:$U309,'changes2_based on steps'!$B$1:$U$1,Q$1)</f>
        <v>0</v>
      </c>
      <c r="R309" s="155">
        <f ca="1">SUMIFS('recurring2_based on steps'!$B309:$AY309,'recurring2_based on steps'!$B$1:$AY$1,R$1)+SUMIFS('changes2_based on steps'!$B309:$U309,'changes2_based on steps'!$B$1:$U$1,R$1)</f>
        <v>0</v>
      </c>
      <c r="S309" s="155">
        <f ca="1">SUMIFS('recurring2_based on steps'!$B309:$AY309,'recurring2_based on steps'!$B$1:$AY$1,S$1)+SUMIFS('changes2_based on steps'!$B309:$U309,'changes2_based on steps'!$B$1:$U$1,S$1)</f>
        <v>0</v>
      </c>
      <c r="T309" s="155">
        <f>SUMIFS('recurring2_based on steps'!$B309:$AY309,'recurring2_based on steps'!$B$1:$AY$1,T$1)+SUMIFS('changes2_based on steps'!$B309:$U309,'changes2_based on steps'!$B$1:$U$1,T$1)</f>
        <v>0</v>
      </c>
      <c r="U309" s="155">
        <f ca="1">SUMIFS('recurring2_based on steps'!$B309:$AY309,'recurring2_based on steps'!$B$1:$AY$1,U$1)+SUMIFS('changes2_based on steps'!$B309:$U309,'changes2_based on steps'!$B$1:$U$1,U$1)</f>
        <v>15</v>
      </c>
      <c r="V309" s="155">
        <f>SUMIFS('recurring2_based on steps'!$B309:$AY309,'recurring2_based on steps'!$B$1:$AY$1,V$1)+SUMIFS('changes2_based on steps'!$B309:$U309,'changes2_based on steps'!$B$1:$U$1,V$1)</f>
        <v>0</v>
      </c>
      <c r="W309" s="155">
        <f ca="1">SUMIFS('recurring2_based on steps'!$B309:$AY309,'recurring2_based on steps'!$B$1:$AY$1,W$1)+SUMIFS('changes2_based on steps'!$B309:$U309,'changes2_based on steps'!$B$1:$U$1,W$1)</f>
        <v>0</v>
      </c>
      <c r="X309" s="155">
        <f ca="1">SUMIFS('recurring2_based on steps'!$B309:$AY309,'recurring2_based on steps'!$B$1:$AY$1,X$1)+SUMIFS('changes2_based on steps'!$B309:$U309,'changes2_based on steps'!$B$1:$U$1,X$1)</f>
        <v>0</v>
      </c>
      <c r="Y309" s="155">
        <f ca="1">SUMIFS('recurring2_based on steps'!$B309:$AY309,'recurring2_based on steps'!$B$1:$AY$1,Y$1)+SUMIFS('changes2_based on steps'!$B309:$U309,'changes2_based on steps'!$B$1:$U$1,Y$1)</f>
        <v>0</v>
      </c>
      <c r="Z309" s="155">
        <f>SUMIFS('recurring2_based on steps'!$B309:$AY309,'recurring2_based on steps'!$B$1:$AY$1,Z$1)+SUMIFS('changes2_based on steps'!$B309:$U309,'changes2_based on steps'!$B$1:$U$1,Z$1)</f>
        <v>0</v>
      </c>
      <c r="AA309" s="155">
        <f>SUMIFS('recurring2_based on steps'!$B309:$AY309,'recurring2_based on steps'!$B$1:$AY$1,AA$1)+SUMIFS('changes2_based on steps'!$B309:$U309,'changes2_based on steps'!$B$1:$U$1,AA$1)</f>
        <v>0</v>
      </c>
    </row>
    <row r="310" spans="1:27" x14ac:dyDescent="0.2">
      <c r="A310" s="18">
        <f t="shared" ca="1" si="4"/>
        <v>45996</v>
      </c>
      <c r="B310" s="155">
        <f ca="1">SUMIFS('recurring2_based on steps'!$B310:$AY310,'recurring2_based on steps'!$B$1:$AY$1,B$1)+SUMIFS('changes2_based on steps'!$B310:$U310,'changes2_based on steps'!$B$1:$U$1,B$1)</f>
        <v>0</v>
      </c>
      <c r="C310" s="155">
        <f>SUMIFS('recurring2_based on steps'!$B310:$AY310,'recurring2_based on steps'!$B$1:$AY$1,C$1)+SUMIFS('changes2_based on steps'!$B310:$U310,'changes2_based on steps'!$B$1:$U$1,C$1)</f>
        <v>0</v>
      </c>
      <c r="D310" s="155">
        <f>SUMIFS('recurring2_based on steps'!$B310:$AY310,'recurring2_based on steps'!$B$1:$AY$1,D$1)+SUMIFS('changes2_based on steps'!$B310:$U310,'changes2_based on steps'!$B$1:$U$1,D$1)</f>
        <v>0</v>
      </c>
      <c r="E310" s="155">
        <f>SUMIFS('recurring2_based on steps'!$B310:$AY310,'recurring2_based on steps'!$B$1:$AY$1,E$1)+SUMIFS('changes2_based on steps'!$B310:$U310,'changes2_based on steps'!$B$1:$U$1,E$1)</f>
        <v>0</v>
      </c>
      <c r="F310" s="155">
        <f>SUMIFS('recurring2_based on steps'!$B310:$AY310,'recurring2_based on steps'!$B$1:$AY$1,F$1)+SUMIFS('changes2_based on steps'!$B310:$U310,'changes2_based on steps'!$B$1:$U$1,F$1)</f>
        <v>0</v>
      </c>
      <c r="G310" s="155">
        <f>SUMIFS('recurring2_based on steps'!$B310:$AY310,'recurring2_based on steps'!$B$1:$AY$1,G$1)+SUMIFS('changes2_based on steps'!$B310:$U310,'changes2_based on steps'!$B$1:$U$1,G$1)</f>
        <v>0</v>
      </c>
      <c r="H310" s="155">
        <f ca="1">SUMIFS('recurring2_based on steps'!$B310:$AY310,'recurring2_based on steps'!$B$1:$AY$1,H$1)+SUMIFS('changes2_based on steps'!$B310:$U310,'changes2_based on steps'!$B$1:$U$1,H$1)</f>
        <v>0</v>
      </c>
      <c r="I310" s="155">
        <f>SUMIFS('recurring2_based on steps'!$B310:$AY310,'recurring2_based on steps'!$B$1:$AY$1,I$1)+SUMIFS('changes2_based on steps'!$B310:$U310,'changes2_based on steps'!$B$1:$U$1,I$1)</f>
        <v>0</v>
      </c>
      <c r="J310" s="155">
        <f>SUMIFS('recurring2_based on steps'!$B310:$AY310,'recurring2_based on steps'!$B$1:$AY$1,J$1)+SUMIFS('changes2_based on steps'!$B310:$U310,'changes2_based on steps'!$B$1:$U$1,J$1)</f>
        <v>0</v>
      </c>
      <c r="K310" s="155">
        <f>SUMIFS('recurring2_based on steps'!$B310:$AY310,'recurring2_based on steps'!$B$1:$AY$1,K$1)+SUMIFS('changes2_based on steps'!$B310:$U310,'changes2_based on steps'!$B$1:$U$1,K$1)</f>
        <v>0</v>
      </c>
      <c r="L310" s="155">
        <f>SUMIFS('recurring2_based on steps'!$B310:$AY310,'recurring2_based on steps'!$B$1:$AY$1,L$1)+SUMIFS('changes2_based on steps'!$B310:$U310,'changes2_based on steps'!$B$1:$U$1,L$1)</f>
        <v>0</v>
      </c>
      <c r="M310" s="155">
        <f ca="1">SUMIFS('recurring2_based on steps'!$B310:$AY310,'recurring2_based on steps'!$B$1:$AY$1,M$1)+SUMIFS('changes2_based on steps'!$B310:$U310,'changes2_based on steps'!$B$1:$U$1,M$1)</f>
        <v>0</v>
      </c>
      <c r="N310" s="155">
        <f ca="1">SUMIFS('recurring2_based on steps'!$B310:$AY310,'recurring2_based on steps'!$B$1:$AY$1,N$1)+SUMIFS('changes2_based on steps'!$B310:$U310,'changes2_based on steps'!$B$1:$U$1,N$1)</f>
        <v>0</v>
      </c>
      <c r="O310" s="155">
        <f ca="1">SUMIFS('recurring2_based on steps'!$B310:$AY310,'recurring2_based on steps'!$B$1:$AY$1,O$1)+SUMIFS('changes2_based on steps'!$B310:$U310,'changes2_based on steps'!$B$1:$U$1,O$1)</f>
        <v>0</v>
      </c>
      <c r="P310" s="155">
        <f ca="1">SUMIFS('recurring2_based on steps'!$B310:$AY310,'recurring2_based on steps'!$B$1:$AY$1,P$1)+SUMIFS('changes2_based on steps'!$B310:$U310,'changes2_based on steps'!$B$1:$U$1,P$1)</f>
        <v>0</v>
      </c>
      <c r="Q310" s="155">
        <f>SUMIFS('recurring2_based on steps'!$B310:$AY310,'recurring2_based on steps'!$B$1:$AY$1,Q$1)+SUMIFS('changes2_based on steps'!$B310:$U310,'changes2_based on steps'!$B$1:$U$1,Q$1)</f>
        <v>0</v>
      </c>
      <c r="R310" s="155">
        <f ca="1">SUMIFS('recurring2_based on steps'!$B310:$AY310,'recurring2_based on steps'!$B$1:$AY$1,R$1)+SUMIFS('changes2_based on steps'!$B310:$U310,'changes2_based on steps'!$B$1:$U$1,R$1)</f>
        <v>0</v>
      </c>
      <c r="S310" s="155">
        <f ca="1">SUMIFS('recurring2_based on steps'!$B310:$AY310,'recurring2_based on steps'!$B$1:$AY$1,S$1)+SUMIFS('changes2_based on steps'!$B310:$U310,'changes2_based on steps'!$B$1:$U$1,S$1)</f>
        <v>0</v>
      </c>
      <c r="T310" s="155">
        <f>SUMIFS('recurring2_based on steps'!$B310:$AY310,'recurring2_based on steps'!$B$1:$AY$1,T$1)+SUMIFS('changes2_based on steps'!$B310:$U310,'changes2_based on steps'!$B$1:$U$1,T$1)</f>
        <v>0</v>
      </c>
      <c r="U310" s="155">
        <f ca="1">SUMIFS('recurring2_based on steps'!$B310:$AY310,'recurring2_based on steps'!$B$1:$AY$1,U$1)+SUMIFS('changes2_based on steps'!$B310:$U310,'changes2_based on steps'!$B$1:$U$1,U$1)</f>
        <v>0</v>
      </c>
      <c r="V310" s="155">
        <f>SUMIFS('recurring2_based on steps'!$B310:$AY310,'recurring2_based on steps'!$B$1:$AY$1,V$1)+SUMIFS('changes2_based on steps'!$B310:$U310,'changes2_based on steps'!$B$1:$U$1,V$1)</f>
        <v>0</v>
      </c>
      <c r="W310" s="155">
        <f ca="1">SUMIFS('recurring2_based on steps'!$B310:$AY310,'recurring2_based on steps'!$B$1:$AY$1,W$1)+SUMIFS('changes2_based on steps'!$B310:$U310,'changes2_based on steps'!$B$1:$U$1,W$1)</f>
        <v>0</v>
      </c>
      <c r="X310" s="155">
        <f ca="1">SUMIFS('recurring2_based on steps'!$B310:$AY310,'recurring2_based on steps'!$B$1:$AY$1,X$1)+SUMIFS('changes2_based on steps'!$B310:$U310,'changes2_based on steps'!$B$1:$U$1,X$1)</f>
        <v>0</v>
      </c>
      <c r="Y310" s="155">
        <f ca="1">SUMIFS('recurring2_based on steps'!$B310:$AY310,'recurring2_based on steps'!$B$1:$AY$1,Y$1)+SUMIFS('changes2_based on steps'!$B310:$U310,'changes2_based on steps'!$B$1:$U$1,Y$1)</f>
        <v>0</v>
      </c>
      <c r="Z310" s="155">
        <f>SUMIFS('recurring2_based on steps'!$B310:$AY310,'recurring2_based on steps'!$B$1:$AY$1,Z$1)+SUMIFS('changes2_based on steps'!$B310:$U310,'changes2_based on steps'!$B$1:$U$1,Z$1)</f>
        <v>0</v>
      </c>
      <c r="AA310" s="155">
        <f>SUMIFS('recurring2_based on steps'!$B310:$AY310,'recurring2_based on steps'!$B$1:$AY$1,AA$1)+SUMIFS('changes2_based on steps'!$B310:$U310,'changes2_based on steps'!$B$1:$U$1,AA$1)</f>
        <v>0</v>
      </c>
    </row>
    <row r="311" spans="1:27" x14ac:dyDescent="0.2">
      <c r="A311" s="18">
        <f t="shared" ca="1" si="4"/>
        <v>45997</v>
      </c>
      <c r="B311" s="155">
        <f ca="1">SUMIFS('recurring2_based on steps'!$B311:$AY311,'recurring2_based on steps'!$B$1:$AY$1,B$1)+SUMIFS('changes2_based on steps'!$B311:$U311,'changes2_based on steps'!$B$1:$U$1,B$1)</f>
        <v>0</v>
      </c>
      <c r="C311" s="155">
        <f>SUMIFS('recurring2_based on steps'!$B311:$AY311,'recurring2_based on steps'!$B$1:$AY$1,C$1)+SUMIFS('changes2_based on steps'!$B311:$U311,'changes2_based on steps'!$B$1:$U$1,C$1)</f>
        <v>0</v>
      </c>
      <c r="D311" s="155">
        <f>SUMIFS('recurring2_based on steps'!$B311:$AY311,'recurring2_based on steps'!$B$1:$AY$1,D$1)+SUMIFS('changes2_based on steps'!$B311:$U311,'changes2_based on steps'!$B$1:$U$1,D$1)</f>
        <v>0</v>
      </c>
      <c r="E311" s="155">
        <f>SUMIFS('recurring2_based on steps'!$B311:$AY311,'recurring2_based on steps'!$B$1:$AY$1,E$1)+SUMIFS('changes2_based on steps'!$B311:$U311,'changes2_based on steps'!$B$1:$U$1,E$1)</f>
        <v>0</v>
      </c>
      <c r="F311" s="155">
        <f>SUMIFS('recurring2_based on steps'!$B311:$AY311,'recurring2_based on steps'!$B$1:$AY$1,F$1)+SUMIFS('changes2_based on steps'!$B311:$U311,'changes2_based on steps'!$B$1:$U$1,F$1)</f>
        <v>0</v>
      </c>
      <c r="G311" s="155">
        <f>SUMIFS('recurring2_based on steps'!$B311:$AY311,'recurring2_based on steps'!$B$1:$AY$1,G$1)+SUMIFS('changes2_based on steps'!$B311:$U311,'changes2_based on steps'!$B$1:$U$1,G$1)</f>
        <v>0</v>
      </c>
      <c r="H311" s="155">
        <f ca="1">SUMIFS('recurring2_based on steps'!$B311:$AY311,'recurring2_based on steps'!$B$1:$AY$1,H$1)+SUMIFS('changes2_based on steps'!$B311:$U311,'changes2_based on steps'!$B$1:$U$1,H$1)</f>
        <v>0</v>
      </c>
      <c r="I311" s="155">
        <f>SUMIFS('recurring2_based on steps'!$B311:$AY311,'recurring2_based on steps'!$B$1:$AY$1,I$1)+SUMIFS('changes2_based on steps'!$B311:$U311,'changes2_based on steps'!$B$1:$U$1,I$1)</f>
        <v>0</v>
      </c>
      <c r="J311" s="155">
        <f>SUMIFS('recurring2_based on steps'!$B311:$AY311,'recurring2_based on steps'!$B$1:$AY$1,J$1)+SUMIFS('changes2_based on steps'!$B311:$U311,'changes2_based on steps'!$B$1:$U$1,J$1)</f>
        <v>0</v>
      </c>
      <c r="K311" s="155">
        <f>SUMIFS('recurring2_based on steps'!$B311:$AY311,'recurring2_based on steps'!$B$1:$AY$1,K$1)+SUMIFS('changes2_based on steps'!$B311:$U311,'changes2_based on steps'!$B$1:$U$1,K$1)</f>
        <v>0</v>
      </c>
      <c r="L311" s="155">
        <f>SUMIFS('recurring2_based on steps'!$B311:$AY311,'recurring2_based on steps'!$B$1:$AY$1,L$1)+SUMIFS('changes2_based on steps'!$B311:$U311,'changes2_based on steps'!$B$1:$U$1,L$1)</f>
        <v>0</v>
      </c>
      <c r="M311" s="155">
        <f ca="1">SUMIFS('recurring2_based on steps'!$B311:$AY311,'recurring2_based on steps'!$B$1:$AY$1,M$1)+SUMIFS('changes2_based on steps'!$B311:$U311,'changes2_based on steps'!$B$1:$U$1,M$1)</f>
        <v>0</v>
      </c>
      <c r="N311" s="155">
        <f ca="1">SUMIFS('recurring2_based on steps'!$B311:$AY311,'recurring2_based on steps'!$B$1:$AY$1,N$1)+SUMIFS('changes2_based on steps'!$B311:$U311,'changes2_based on steps'!$B$1:$U$1,N$1)</f>
        <v>0</v>
      </c>
      <c r="O311" s="155">
        <f ca="1">SUMIFS('recurring2_based on steps'!$B311:$AY311,'recurring2_based on steps'!$B$1:$AY$1,O$1)+SUMIFS('changes2_based on steps'!$B311:$U311,'changes2_based on steps'!$B$1:$U$1,O$1)</f>
        <v>0</v>
      </c>
      <c r="P311" s="155">
        <f ca="1">SUMIFS('recurring2_based on steps'!$B311:$AY311,'recurring2_based on steps'!$B$1:$AY$1,P$1)+SUMIFS('changes2_based on steps'!$B311:$U311,'changes2_based on steps'!$B$1:$U$1,P$1)</f>
        <v>0</v>
      </c>
      <c r="Q311" s="155">
        <f>SUMIFS('recurring2_based on steps'!$B311:$AY311,'recurring2_based on steps'!$B$1:$AY$1,Q$1)+SUMIFS('changes2_based on steps'!$B311:$U311,'changes2_based on steps'!$B$1:$U$1,Q$1)</f>
        <v>0</v>
      </c>
      <c r="R311" s="155">
        <f ca="1">SUMIFS('recurring2_based on steps'!$B311:$AY311,'recurring2_based on steps'!$B$1:$AY$1,R$1)+SUMIFS('changes2_based on steps'!$B311:$U311,'changes2_based on steps'!$B$1:$U$1,R$1)</f>
        <v>100</v>
      </c>
      <c r="S311" s="155">
        <f ca="1">SUMIFS('recurring2_based on steps'!$B311:$AY311,'recurring2_based on steps'!$B$1:$AY$1,S$1)+SUMIFS('changes2_based on steps'!$B311:$U311,'changes2_based on steps'!$B$1:$U$1,S$1)</f>
        <v>100</v>
      </c>
      <c r="T311" s="155">
        <f>SUMIFS('recurring2_based on steps'!$B311:$AY311,'recurring2_based on steps'!$B$1:$AY$1,T$1)+SUMIFS('changes2_based on steps'!$B311:$U311,'changes2_based on steps'!$B$1:$U$1,T$1)</f>
        <v>0</v>
      </c>
      <c r="U311" s="155">
        <f ca="1">SUMIFS('recurring2_based on steps'!$B311:$AY311,'recurring2_based on steps'!$B$1:$AY$1,U$1)+SUMIFS('changes2_based on steps'!$B311:$U311,'changes2_based on steps'!$B$1:$U$1,U$1)</f>
        <v>0</v>
      </c>
      <c r="V311" s="155">
        <f>SUMIFS('recurring2_based on steps'!$B311:$AY311,'recurring2_based on steps'!$B$1:$AY$1,V$1)+SUMIFS('changes2_based on steps'!$B311:$U311,'changes2_based on steps'!$B$1:$U$1,V$1)</f>
        <v>0</v>
      </c>
      <c r="W311" s="155">
        <f ca="1">SUMIFS('recurring2_based on steps'!$B311:$AY311,'recurring2_based on steps'!$B$1:$AY$1,W$1)+SUMIFS('changes2_based on steps'!$B311:$U311,'changes2_based on steps'!$B$1:$U$1,W$1)</f>
        <v>0</v>
      </c>
      <c r="X311" s="155">
        <f ca="1">SUMIFS('recurring2_based on steps'!$B311:$AY311,'recurring2_based on steps'!$B$1:$AY$1,X$1)+SUMIFS('changes2_based on steps'!$B311:$U311,'changes2_based on steps'!$B$1:$U$1,X$1)</f>
        <v>0</v>
      </c>
      <c r="Y311" s="155">
        <f ca="1">SUMIFS('recurring2_based on steps'!$B311:$AY311,'recurring2_based on steps'!$B$1:$AY$1,Y$1)+SUMIFS('changes2_based on steps'!$B311:$U311,'changes2_based on steps'!$B$1:$U$1,Y$1)</f>
        <v>0</v>
      </c>
      <c r="Z311" s="155">
        <f>SUMIFS('recurring2_based on steps'!$B311:$AY311,'recurring2_based on steps'!$B$1:$AY$1,Z$1)+SUMIFS('changes2_based on steps'!$B311:$U311,'changes2_based on steps'!$B$1:$U$1,Z$1)</f>
        <v>0</v>
      </c>
      <c r="AA311" s="155">
        <f>SUMIFS('recurring2_based on steps'!$B311:$AY311,'recurring2_based on steps'!$B$1:$AY$1,AA$1)+SUMIFS('changes2_based on steps'!$B311:$U311,'changes2_based on steps'!$B$1:$U$1,AA$1)</f>
        <v>0</v>
      </c>
    </row>
    <row r="312" spans="1:27" x14ac:dyDescent="0.2">
      <c r="A312" s="18">
        <f t="shared" ca="1" si="4"/>
        <v>45998</v>
      </c>
      <c r="B312" s="155">
        <f ca="1">SUMIFS('recurring2_based on steps'!$B312:$AY312,'recurring2_based on steps'!$B$1:$AY$1,B$1)+SUMIFS('changes2_based on steps'!$B312:$U312,'changes2_based on steps'!$B$1:$U$1,B$1)</f>
        <v>0</v>
      </c>
      <c r="C312" s="155">
        <f>SUMIFS('recurring2_based on steps'!$B312:$AY312,'recurring2_based on steps'!$B$1:$AY$1,C$1)+SUMIFS('changes2_based on steps'!$B312:$U312,'changes2_based on steps'!$B$1:$U$1,C$1)</f>
        <v>0</v>
      </c>
      <c r="D312" s="155">
        <f>SUMIFS('recurring2_based on steps'!$B312:$AY312,'recurring2_based on steps'!$B$1:$AY$1,D$1)+SUMIFS('changes2_based on steps'!$B312:$U312,'changes2_based on steps'!$B$1:$U$1,D$1)</f>
        <v>0</v>
      </c>
      <c r="E312" s="155">
        <f>SUMIFS('recurring2_based on steps'!$B312:$AY312,'recurring2_based on steps'!$B$1:$AY$1,E$1)+SUMIFS('changes2_based on steps'!$B312:$U312,'changes2_based on steps'!$B$1:$U$1,E$1)</f>
        <v>0</v>
      </c>
      <c r="F312" s="155">
        <f>SUMIFS('recurring2_based on steps'!$B312:$AY312,'recurring2_based on steps'!$B$1:$AY$1,F$1)+SUMIFS('changes2_based on steps'!$B312:$U312,'changes2_based on steps'!$B$1:$U$1,F$1)</f>
        <v>0</v>
      </c>
      <c r="G312" s="155">
        <f>SUMIFS('recurring2_based on steps'!$B312:$AY312,'recurring2_based on steps'!$B$1:$AY$1,G$1)+SUMIFS('changes2_based on steps'!$B312:$U312,'changes2_based on steps'!$B$1:$U$1,G$1)</f>
        <v>0</v>
      </c>
      <c r="H312" s="155">
        <f ca="1">SUMIFS('recurring2_based on steps'!$B312:$AY312,'recurring2_based on steps'!$B$1:$AY$1,H$1)+SUMIFS('changes2_based on steps'!$B312:$U312,'changes2_based on steps'!$B$1:$U$1,H$1)</f>
        <v>0</v>
      </c>
      <c r="I312" s="155">
        <f>SUMIFS('recurring2_based on steps'!$B312:$AY312,'recurring2_based on steps'!$B$1:$AY$1,I$1)+SUMIFS('changes2_based on steps'!$B312:$U312,'changes2_based on steps'!$B$1:$U$1,I$1)</f>
        <v>0</v>
      </c>
      <c r="J312" s="155">
        <f>SUMIFS('recurring2_based on steps'!$B312:$AY312,'recurring2_based on steps'!$B$1:$AY$1,J$1)+SUMIFS('changes2_based on steps'!$B312:$U312,'changes2_based on steps'!$B$1:$U$1,J$1)</f>
        <v>0</v>
      </c>
      <c r="K312" s="155">
        <f>SUMIFS('recurring2_based on steps'!$B312:$AY312,'recurring2_based on steps'!$B$1:$AY$1,K$1)+SUMIFS('changes2_based on steps'!$B312:$U312,'changes2_based on steps'!$B$1:$U$1,K$1)</f>
        <v>0</v>
      </c>
      <c r="L312" s="155">
        <f>SUMIFS('recurring2_based on steps'!$B312:$AY312,'recurring2_based on steps'!$B$1:$AY$1,L$1)+SUMIFS('changes2_based on steps'!$B312:$U312,'changes2_based on steps'!$B$1:$U$1,L$1)</f>
        <v>0</v>
      </c>
      <c r="M312" s="155">
        <f ca="1">SUMIFS('recurring2_based on steps'!$B312:$AY312,'recurring2_based on steps'!$B$1:$AY$1,M$1)+SUMIFS('changes2_based on steps'!$B312:$U312,'changes2_based on steps'!$B$1:$U$1,M$1)</f>
        <v>0</v>
      </c>
      <c r="N312" s="155">
        <f ca="1">SUMIFS('recurring2_based on steps'!$B312:$AY312,'recurring2_based on steps'!$B$1:$AY$1,N$1)+SUMIFS('changes2_based on steps'!$B312:$U312,'changes2_based on steps'!$B$1:$U$1,N$1)</f>
        <v>50</v>
      </c>
      <c r="O312" s="155">
        <f ca="1">SUMIFS('recurring2_based on steps'!$B312:$AY312,'recurring2_based on steps'!$B$1:$AY$1,O$1)+SUMIFS('changes2_based on steps'!$B312:$U312,'changes2_based on steps'!$B$1:$U$1,O$1)</f>
        <v>0</v>
      </c>
      <c r="P312" s="155">
        <f ca="1">SUMIFS('recurring2_based on steps'!$B312:$AY312,'recurring2_based on steps'!$B$1:$AY$1,P$1)+SUMIFS('changes2_based on steps'!$B312:$U312,'changes2_based on steps'!$B$1:$U$1,P$1)</f>
        <v>0</v>
      </c>
      <c r="Q312" s="155">
        <f>SUMIFS('recurring2_based on steps'!$B312:$AY312,'recurring2_based on steps'!$B$1:$AY$1,Q$1)+SUMIFS('changes2_based on steps'!$B312:$U312,'changes2_based on steps'!$B$1:$U$1,Q$1)</f>
        <v>0</v>
      </c>
      <c r="R312" s="155">
        <f ca="1">SUMIFS('recurring2_based on steps'!$B312:$AY312,'recurring2_based on steps'!$B$1:$AY$1,R$1)+SUMIFS('changes2_based on steps'!$B312:$U312,'changes2_based on steps'!$B$1:$U$1,R$1)</f>
        <v>0</v>
      </c>
      <c r="S312" s="155">
        <f ca="1">SUMIFS('recurring2_based on steps'!$B312:$AY312,'recurring2_based on steps'!$B$1:$AY$1,S$1)+SUMIFS('changes2_based on steps'!$B312:$U312,'changes2_based on steps'!$B$1:$U$1,S$1)</f>
        <v>100</v>
      </c>
      <c r="T312" s="155">
        <f>SUMIFS('recurring2_based on steps'!$B312:$AY312,'recurring2_based on steps'!$B$1:$AY$1,T$1)+SUMIFS('changes2_based on steps'!$B312:$U312,'changes2_based on steps'!$B$1:$U$1,T$1)</f>
        <v>0</v>
      </c>
      <c r="U312" s="155">
        <f ca="1">SUMIFS('recurring2_based on steps'!$B312:$AY312,'recurring2_based on steps'!$B$1:$AY$1,U$1)+SUMIFS('changes2_based on steps'!$B312:$U312,'changes2_based on steps'!$B$1:$U$1,U$1)</f>
        <v>0</v>
      </c>
      <c r="V312" s="155">
        <f>SUMIFS('recurring2_based on steps'!$B312:$AY312,'recurring2_based on steps'!$B$1:$AY$1,V$1)+SUMIFS('changes2_based on steps'!$B312:$U312,'changes2_based on steps'!$B$1:$U$1,V$1)</f>
        <v>0</v>
      </c>
      <c r="W312" s="155">
        <f ca="1">SUMIFS('recurring2_based on steps'!$B312:$AY312,'recurring2_based on steps'!$B$1:$AY$1,W$1)+SUMIFS('changes2_based on steps'!$B312:$U312,'changes2_based on steps'!$B$1:$U$1,W$1)</f>
        <v>0</v>
      </c>
      <c r="X312" s="155">
        <f ca="1">SUMIFS('recurring2_based on steps'!$B312:$AY312,'recurring2_based on steps'!$B$1:$AY$1,X$1)+SUMIFS('changes2_based on steps'!$B312:$U312,'changes2_based on steps'!$B$1:$U$1,X$1)</f>
        <v>0</v>
      </c>
      <c r="Y312" s="155">
        <f ca="1">SUMIFS('recurring2_based on steps'!$B312:$AY312,'recurring2_based on steps'!$B$1:$AY$1,Y$1)+SUMIFS('changes2_based on steps'!$B312:$U312,'changes2_based on steps'!$B$1:$U$1,Y$1)</f>
        <v>0</v>
      </c>
      <c r="Z312" s="155">
        <f>SUMIFS('recurring2_based on steps'!$B312:$AY312,'recurring2_based on steps'!$B$1:$AY$1,Z$1)+SUMIFS('changes2_based on steps'!$B312:$U312,'changes2_based on steps'!$B$1:$U$1,Z$1)</f>
        <v>0</v>
      </c>
      <c r="AA312" s="155">
        <f>SUMIFS('recurring2_based on steps'!$B312:$AY312,'recurring2_based on steps'!$B$1:$AY$1,AA$1)+SUMIFS('changes2_based on steps'!$B312:$U312,'changes2_based on steps'!$B$1:$U$1,AA$1)</f>
        <v>0</v>
      </c>
    </row>
    <row r="313" spans="1:27" x14ac:dyDescent="0.2">
      <c r="A313" s="18">
        <f t="shared" ca="1" si="4"/>
        <v>45999</v>
      </c>
      <c r="B313" s="155">
        <f ca="1">SUMIFS('recurring2_based on steps'!$B313:$AY313,'recurring2_based on steps'!$B$1:$AY$1,B$1)+SUMIFS('changes2_based on steps'!$B313:$U313,'changes2_based on steps'!$B$1:$U$1,B$1)</f>
        <v>0</v>
      </c>
      <c r="C313" s="155">
        <f>SUMIFS('recurring2_based on steps'!$B313:$AY313,'recurring2_based on steps'!$B$1:$AY$1,C$1)+SUMIFS('changes2_based on steps'!$B313:$U313,'changes2_based on steps'!$B$1:$U$1,C$1)</f>
        <v>0</v>
      </c>
      <c r="D313" s="155">
        <f>SUMIFS('recurring2_based on steps'!$B313:$AY313,'recurring2_based on steps'!$B$1:$AY$1,D$1)+SUMIFS('changes2_based on steps'!$B313:$U313,'changes2_based on steps'!$B$1:$U$1,D$1)</f>
        <v>0</v>
      </c>
      <c r="E313" s="155">
        <f>SUMIFS('recurring2_based on steps'!$B313:$AY313,'recurring2_based on steps'!$B$1:$AY$1,E$1)+SUMIFS('changes2_based on steps'!$B313:$U313,'changes2_based on steps'!$B$1:$U$1,E$1)</f>
        <v>0</v>
      </c>
      <c r="F313" s="155">
        <f>SUMIFS('recurring2_based on steps'!$B313:$AY313,'recurring2_based on steps'!$B$1:$AY$1,F$1)+SUMIFS('changes2_based on steps'!$B313:$U313,'changes2_based on steps'!$B$1:$U$1,F$1)</f>
        <v>0</v>
      </c>
      <c r="G313" s="155">
        <f>SUMIFS('recurring2_based on steps'!$B313:$AY313,'recurring2_based on steps'!$B$1:$AY$1,G$1)+SUMIFS('changes2_based on steps'!$B313:$U313,'changes2_based on steps'!$B$1:$U$1,G$1)</f>
        <v>0</v>
      </c>
      <c r="H313" s="155">
        <f ca="1">SUMIFS('recurring2_based on steps'!$B313:$AY313,'recurring2_based on steps'!$B$1:$AY$1,H$1)+SUMIFS('changes2_based on steps'!$B313:$U313,'changes2_based on steps'!$B$1:$U$1,H$1)</f>
        <v>0</v>
      </c>
      <c r="I313" s="155">
        <f>SUMIFS('recurring2_based on steps'!$B313:$AY313,'recurring2_based on steps'!$B$1:$AY$1,I$1)+SUMIFS('changes2_based on steps'!$B313:$U313,'changes2_based on steps'!$B$1:$U$1,I$1)</f>
        <v>0</v>
      </c>
      <c r="J313" s="155">
        <f>SUMIFS('recurring2_based on steps'!$B313:$AY313,'recurring2_based on steps'!$B$1:$AY$1,J$1)+SUMIFS('changes2_based on steps'!$B313:$U313,'changes2_based on steps'!$B$1:$U$1,J$1)</f>
        <v>0</v>
      </c>
      <c r="K313" s="155">
        <f>SUMIFS('recurring2_based on steps'!$B313:$AY313,'recurring2_based on steps'!$B$1:$AY$1,K$1)+SUMIFS('changes2_based on steps'!$B313:$U313,'changes2_based on steps'!$B$1:$U$1,K$1)</f>
        <v>0</v>
      </c>
      <c r="L313" s="155">
        <f>SUMIFS('recurring2_based on steps'!$B313:$AY313,'recurring2_based on steps'!$B$1:$AY$1,L$1)+SUMIFS('changes2_based on steps'!$B313:$U313,'changes2_based on steps'!$B$1:$U$1,L$1)</f>
        <v>0</v>
      </c>
      <c r="M313" s="155">
        <f ca="1">SUMIFS('recurring2_based on steps'!$B313:$AY313,'recurring2_based on steps'!$B$1:$AY$1,M$1)+SUMIFS('changes2_based on steps'!$B313:$U313,'changes2_based on steps'!$B$1:$U$1,M$1)</f>
        <v>0</v>
      </c>
      <c r="N313" s="155">
        <f ca="1">SUMIFS('recurring2_based on steps'!$B313:$AY313,'recurring2_based on steps'!$B$1:$AY$1,N$1)+SUMIFS('changes2_based on steps'!$B313:$U313,'changes2_based on steps'!$B$1:$U$1,N$1)</f>
        <v>0</v>
      </c>
      <c r="O313" s="155">
        <f ca="1">SUMIFS('recurring2_based on steps'!$B313:$AY313,'recurring2_based on steps'!$B$1:$AY$1,O$1)+SUMIFS('changes2_based on steps'!$B313:$U313,'changes2_based on steps'!$B$1:$U$1,O$1)</f>
        <v>0</v>
      </c>
      <c r="P313" s="155">
        <f ca="1">SUMIFS('recurring2_based on steps'!$B313:$AY313,'recurring2_based on steps'!$B$1:$AY$1,P$1)+SUMIFS('changes2_based on steps'!$B313:$U313,'changes2_based on steps'!$B$1:$U$1,P$1)</f>
        <v>0</v>
      </c>
      <c r="Q313" s="155">
        <f>SUMIFS('recurring2_based on steps'!$B313:$AY313,'recurring2_based on steps'!$B$1:$AY$1,Q$1)+SUMIFS('changes2_based on steps'!$B313:$U313,'changes2_based on steps'!$B$1:$U$1,Q$1)</f>
        <v>0</v>
      </c>
      <c r="R313" s="155">
        <f ca="1">SUMIFS('recurring2_based on steps'!$B313:$AY313,'recurring2_based on steps'!$B$1:$AY$1,R$1)+SUMIFS('changes2_based on steps'!$B313:$U313,'changes2_based on steps'!$B$1:$U$1,R$1)</f>
        <v>0</v>
      </c>
      <c r="S313" s="155">
        <f ca="1">SUMIFS('recurring2_based on steps'!$B313:$AY313,'recurring2_based on steps'!$B$1:$AY$1,S$1)+SUMIFS('changes2_based on steps'!$B313:$U313,'changes2_based on steps'!$B$1:$U$1,S$1)</f>
        <v>0</v>
      </c>
      <c r="T313" s="155">
        <f>SUMIFS('recurring2_based on steps'!$B313:$AY313,'recurring2_based on steps'!$B$1:$AY$1,T$1)+SUMIFS('changes2_based on steps'!$B313:$U313,'changes2_based on steps'!$B$1:$U$1,T$1)</f>
        <v>0</v>
      </c>
      <c r="U313" s="155">
        <f ca="1">SUMIFS('recurring2_based on steps'!$B313:$AY313,'recurring2_based on steps'!$B$1:$AY$1,U$1)+SUMIFS('changes2_based on steps'!$B313:$U313,'changes2_based on steps'!$B$1:$U$1,U$1)</f>
        <v>0</v>
      </c>
      <c r="V313" s="155">
        <f>SUMIFS('recurring2_based on steps'!$B313:$AY313,'recurring2_based on steps'!$B$1:$AY$1,V$1)+SUMIFS('changes2_based on steps'!$B313:$U313,'changes2_based on steps'!$B$1:$U$1,V$1)</f>
        <v>0</v>
      </c>
      <c r="W313" s="155">
        <f ca="1">SUMIFS('recurring2_based on steps'!$B313:$AY313,'recurring2_based on steps'!$B$1:$AY$1,W$1)+SUMIFS('changes2_based on steps'!$B313:$U313,'changes2_based on steps'!$B$1:$U$1,W$1)</f>
        <v>0</v>
      </c>
      <c r="X313" s="155">
        <f ca="1">SUMIFS('recurring2_based on steps'!$B313:$AY313,'recurring2_based on steps'!$B$1:$AY$1,X$1)+SUMIFS('changes2_based on steps'!$B313:$U313,'changes2_based on steps'!$B$1:$U$1,X$1)</f>
        <v>0</v>
      </c>
      <c r="Y313" s="155">
        <f ca="1">SUMIFS('recurring2_based on steps'!$B313:$AY313,'recurring2_based on steps'!$B$1:$AY$1,Y$1)+SUMIFS('changes2_based on steps'!$B313:$U313,'changes2_based on steps'!$B$1:$U$1,Y$1)</f>
        <v>0</v>
      </c>
      <c r="Z313" s="155">
        <f>SUMIFS('recurring2_based on steps'!$B313:$AY313,'recurring2_based on steps'!$B$1:$AY$1,Z$1)+SUMIFS('changes2_based on steps'!$B313:$U313,'changes2_based on steps'!$B$1:$U$1,Z$1)</f>
        <v>0</v>
      </c>
      <c r="AA313" s="155">
        <f>SUMIFS('recurring2_based on steps'!$B313:$AY313,'recurring2_based on steps'!$B$1:$AY$1,AA$1)+SUMIFS('changes2_based on steps'!$B313:$U313,'changes2_based on steps'!$B$1:$U$1,AA$1)</f>
        <v>0</v>
      </c>
    </row>
    <row r="314" spans="1:27" x14ac:dyDescent="0.2">
      <c r="A314" s="18">
        <f t="shared" ca="1" si="4"/>
        <v>46000</v>
      </c>
      <c r="B314" s="155">
        <f ca="1">SUMIFS('recurring2_based on steps'!$B314:$AY314,'recurring2_based on steps'!$B$1:$AY$1,B$1)+SUMIFS('changes2_based on steps'!$B314:$U314,'changes2_based on steps'!$B$1:$U$1,B$1)</f>
        <v>0</v>
      </c>
      <c r="C314" s="155">
        <f>SUMIFS('recurring2_based on steps'!$B314:$AY314,'recurring2_based on steps'!$B$1:$AY$1,C$1)+SUMIFS('changes2_based on steps'!$B314:$U314,'changes2_based on steps'!$B$1:$U$1,C$1)</f>
        <v>0</v>
      </c>
      <c r="D314" s="155">
        <f>SUMIFS('recurring2_based on steps'!$B314:$AY314,'recurring2_based on steps'!$B$1:$AY$1,D$1)+SUMIFS('changes2_based on steps'!$B314:$U314,'changes2_based on steps'!$B$1:$U$1,D$1)</f>
        <v>0</v>
      </c>
      <c r="E314" s="155">
        <f>SUMIFS('recurring2_based on steps'!$B314:$AY314,'recurring2_based on steps'!$B$1:$AY$1,E$1)+SUMIFS('changes2_based on steps'!$B314:$U314,'changes2_based on steps'!$B$1:$U$1,E$1)</f>
        <v>0</v>
      </c>
      <c r="F314" s="155">
        <f>SUMIFS('recurring2_based on steps'!$B314:$AY314,'recurring2_based on steps'!$B$1:$AY$1,F$1)+SUMIFS('changes2_based on steps'!$B314:$U314,'changes2_based on steps'!$B$1:$U$1,F$1)</f>
        <v>0</v>
      </c>
      <c r="G314" s="155">
        <f>SUMIFS('recurring2_based on steps'!$B314:$AY314,'recurring2_based on steps'!$B$1:$AY$1,G$1)+SUMIFS('changes2_based on steps'!$B314:$U314,'changes2_based on steps'!$B$1:$U$1,G$1)</f>
        <v>0</v>
      </c>
      <c r="H314" s="155">
        <f ca="1">SUMIFS('recurring2_based on steps'!$B314:$AY314,'recurring2_based on steps'!$B$1:$AY$1,H$1)+SUMIFS('changes2_based on steps'!$B314:$U314,'changes2_based on steps'!$B$1:$U$1,H$1)</f>
        <v>0</v>
      </c>
      <c r="I314" s="155">
        <f>SUMIFS('recurring2_based on steps'!$B314:$AY314,'recurring2_based on steps'!$B$1:$AY$1,I$1)+SUMIFS('changes2_based on steps'!$B314:$U314,'changes2_based on steps'!$B$1:$U$1,I$1)</f>
        <v>0</v>
      </c>
      <c r="J314" s="155">
        <f>SUMIFS('recurring2_based on steps'!$B314:$AY314,'recurring2_based on steps'!$B$1:$AY$1,J$1)+SUMIFS('changes2_based on steps'!$B314:$U314,'changes2_based on steps'!$B$1:$U$1,J$1)</f>
        <v>0</v>
      </c>
      <c r="K314" s="155">
        <f>SUMIFS('recurring2_based on steps'!$B314:$AY314,'recurring2_based on steps'!$B$1:$AY$1,K$1)+SUMIFS('changes2_based on steps'!$B314:$U314,'changes2_based on steps'!$B$1:$U$1,K$1)</f>
        <v>0</v>
      </c>
      <c r="L314" s="155">
        <f>SUMIFS('recurring2_based on steps'!$B314:$AY314,'recurring2_based on steps'!$B$1:$AY$1,L$1)+SUMIFS('changes2_based on steps'!$B314:$U314,'changes2_based on steps'!$B$1:$U$1,L$1)</f>
        <v>0</v>
      </c>
      <c r="M314" s="155">
        <f ca="1">SUMIFS('recurring2_based on steps'!$B314:$AY314,'recurring2_based on steps'!$B$1:$AY$1,M$1)+SUMIFS('changes2_based on steps'!$B314:$U314,'changes2_based on steps'!$B$1:$U$1,M$1)</f>
        <v>0</v>
      </c>
      <c r="N314" s="155">
        <f ca="1">SUMIFS('recurring2_based on steps'!$B314:$AY314,'recurring2_based on steps'!$B$1:$AY$1,N$1)+SUMIFS('changes2_based on steps'!$B314:$U314,'changes2_based on steps'!$B$1:$U$1,N$1)</f>
        <v>0</v>
      </c>
      <c r="O314" s="155">
        <f ca="1">SUMIFS('recurring2_based on steps'!$B314:$AY314,'recurring2_based on steps'!$B$1:$AY$1,O$1)+SUMIFS('changes2_based on steps'!$B314:$U314,'changes2_based on steps'!$B$1:$U$1,O$1)</f>
        <v>0</v>
      </c>
      <c r="P314" s="155">
        <f ca="1">SUMIFS('recurring2_based on steps'!$B314:$AY314,'recurring2_based on steps'!$B$1:$AY$1,P$1)+SUMIFS('changes2_based on steps'!$B314:$U314,'changes2_based on steps'!$B$1:$U$1,P$1)</f>
        <v>0</v>
      </c>
      <c r="Q314" s="155">
        <f>SUMIFS('recurring2_based on steps'!$B314:$AY314,'recurring2_based on steps'!$B$1:$AY$1,Q$1)+SUMIFS('changes2_based on steps'!$B314:$U314,'changes2_based on steps'!$B$1:$U$1,Q$1)</f>
        <v>0</v>
      </c>
      <c r="R314" s="155">
        <f ca="1">SUMIFS('recurring2_based on steps'!$B314:$AY314,'recurring2_based on steps'!$B$1:$AY$1,R$1)+SUMIFS('changes2_based on steps'!$B314:$U314,'changes2_based on steps'!$B$1:$U$1,R$1)</f>
        <v>0</v>
      </c>
      <c r="S314" s="155">
        <f ca="1">SUMIFS('recurring2_based on steps'!$B314:$AY314,'recurring2_based on steps'!$B$1:$AY$1,S$1)+SUMIFS('changes2_based on steps'!$B314:$U314,'changes2_based on steps'!$B$1:$U$1,S$1)</f>
        <v>0</v>
      </c>
      <c r="T314" s="155">
        <f>SUMIFS('recurring2_based on steps'!$B314:$AY314,'recurring2_based on steps'!$B$1:$AY$1,T$1)+SUMIFS('changes2_based on steps'!$B314:$U314,'changes2_based on steps'!$B$1:$U$1,T$1)</f>
        <v>0</v>
      </c>
      <c r="U314" s="155">
        <f ca="1">SUMIFS('recurring2_based on steps'!$B314:$AY314,'recurring2_based on steps'!$B$1:$AY$1,U$1)+SUMIFS('changes2_based on steps'!$B314:$U314,'changes2_based on steps'!$B$1:$U$1,U$1)</f>
        <v>0</v>
      </c>
      <c r="V314" s="155">
        <f>SUMIFS('recurring2_based on steps'!$B314:$AY314,'recurring2_based on steps'!$B$1:$AY$1,V$1)+SUMIFS('changes2_based on steps'!$B314:$U314,'changes2_based on steps'!$B$1:$U$1,V$1)</f>
        <v>0</v>
      </c>
      <c r="W314" s="155">
        <f ca="1">SUMIFS('recurring2_based on steps'!$B314:$AY314,'recurring2_based on steps'!$B$1:$AY$1,W$1)+SUMIFS('changes2_based on steps'!$B314:$U314,'changes2_based on steps'!$B$1:$U$1,W$1)</f>
        <v>0</v>
      </c>
      <c r="X314" s="155">
        <f ca="1">SUMIFS('recurring2_based on steps'!$B314:$AY314,'recurring2_based on steps'!$B$1:$AY$1,X$1)+SUMIFS('changes2_based on steps'!$B314:$U314,'changes2_based on steps'!$B$1:$U$1,X$1)</f>
        <v>0</v>
      </c>
      <c r="Y314" s="155">
        <f ca="1">SUMIFS('recurring2_based on steps'!$B314:$AY314,'recurring2_based on steps'!$B$1:$AY$1,Y$1)+SUMIFS('changes2_based on steps'!$B314:$U314,'changes2_based on steps'!$B$1:$U$1,Y$1)</f>
        <v>0</v>
      </c>
      <c r="Z314" s="155">
        <f>SUMIFS('recurring2_based on steps'!$B314:$AY314,'recurring2_based on steps'!$B$1:$AY$1,Z$1)+SUMIFS('changes2_based on steps'!$B314:$U314,'changes2_based on steps'!$B$1:$U$1,Z$1)</f>
        <v>0</v>
      </c>
      <c r="AA314" s="155">
        <f>SUMIFS('recurring2_based on steps'!$B314:$AY314,'recurring2_based on steps'!$B$1:$AY$1,AA$1)+SUMIFS('changes2_based on steps'!$B314:$U314,'changes2_based on steps'!$B$1:$U$1,AA$1)</f>
        <v>0</v>
      </c>
    </row>
    <row r="315" spans="1:27" x14ac:dyDescent="0.2">
      <c r="A315" s="18">
        <f t="shared" ca="1" si="4"/>
        <v>46001</v>
      </c>
      <c r="B315" s="155">
        <f ca="1">SUMIFS('recurring2_based on steps'!$B315:$AY315,'recurring2_based on steps'!$B$1:$AY$1,B$1)+SUMIFS('changes2_based on steps'!$B315:$U315,'changes2_based on steps'!$B$1:$U$1,B$1)</f>
        <v>0</v>
      </c>
      <c r="C315" s="155">
        <f>SUMIFS('recurring2_based on steps'!$B315:$AY315,'recurring2_based on steps'!$B$1:$AY$1,C$1)+SUMIFS('changes2_based on steps'!$B315:$U315,'changes2_based on steps'!$B$1:$U$1,C$1)</f>
        <v>0</v>
      </c>
      <c r="D315" s="155">
        <f>SUMIFS('recurring2_based on steps'!$B315:$AY315,'recurring2_based on steps'!$B$1:$AY$1,D$1)+SUMIFS('changes2_based on steps'!$B315:$U315,'changes2_based on steps'!$B$1:$U$1,D$1)</f>
        <v>0</v>
      </c>
      <c r="E315" s="155">
        <f>SUMIFS('recurring2_based on steps'!$B315:$AY315,'recurring2_based on steps'!$B$1:$AY$1,E$1)+SUMIFS('changes2_based on steps'!$B315:$U315,'changes2_based on steps'!$B$1:$U$1,E$1)</f>
        <v>0</v>
      </c>
      <c r="F315" s="155">
        <f>SUMIFS('recurring2_based on steps'!$B315:$AY315,'recurring2_based on steps'!$B$1:$AY$1,F$1)+SUMIFS('changes2_based on steps'!$B315:$U315,'changes2_based on steps'!$B$1:$U$1,F$1)</f>
        <v>0</v>
      </c>
      <c r="G315" s="155">
        <f>SUMIFS('recurring2_based on steps'!$B315:$AY315,'recurring2_based on steps'!$B$1:$AY$1,G$1)+SUMIFS('changes2_based on steps'!$B315:$U315,'changes2_based on steps'!$B$1:$U$1,G$1)</f>
        <v>0</v>
      </c>
      <c r="H315" s="155">
        <f ca="1">SUMIFS('recurring2_based on steps'!$B315:$AY315,'recurring2_based on steps'!$B$1:$AY$1,H$1)+SUMIFS('changes2_based on steps'!$B315:$U315,'changes2_based on steps'!$B$1:$U$1,H$1)</f>
        <v>0</v>
      </c>
      <c r="I315" s="155">
        <f>SUMIFS('recurring2_based on steps'!$B315:$AY315,'recurring2_based on steps'!$B$1:$AY$1,I$1)+SUMIFS('changes2_based on steps'!$B315:$U315,'changes2_based on steps'!$B$1:$U$1,I$1)</f>
        <v>0</v>
      </c>
      <c r="J315" s="155">
        <f>SUMIFS('recurring2_based on steps'!$B315:$AY315,'recurring2_based on steps'!$B$1:$AY$1,J$1)+SUMIFS('changes2_based on steps'!$B315:$U315,'changes2_based on steps'!$B$1:$U$1,J$1)</f>
        <v>0</v>
      </c>
      <c r="K315" s="155">
        <f>SUMIFS('recurring2_based on steps'!$B315:$AY315,'recurring2_based on steps'!$B$1:$AY$1,K$1)+SUMIFS('changes2_based on steps'!$B315:$U315,'changes2_based on steps'!$B$1:$U$1,K$1)</f>
        <v>0</v>
      </c>
      <c r="L315" s="155">
        <f>SUMIFS('recurring2_based on steps'!$B315:$AY315,'recurring2_based on steps'!$B$1:$AY$1,L$1)+SUMIFS('changes2_based on steps'!$B315:$U315,'changes2_based on steps'!$B$1:$U$1,L$1)</f>
        <v>0</v>
      </c>
      <c r="M315" s="155">
        <f ca="1">SUMIFS('recurring2_based on steps'!$B315:$AY315,'recurring2_based on steps'!$B$1:$AY$1,M$1)+SUMIFS('changes2_based on steps'!$B315:$U315,'changes2_based on steps'!$B$1:$U$1,M$1)</f>
        <v>0</v>
      </c>
      <c r="N315" s="155">
        <f ca="1">SUMIFS('recurring2_based on steps'!$B315:$AY315,'recurring2_based on steps'!$B$1:$AY$1,N$1)+SUMIFS('changes2_based on steps'!$B315:$U315,'changes2_based on steps'!$B$1:$U$1,N$1)</f>
        <v>0</v>
      </c>
      <c r="O315" s="155">
        <f ca="1">SUMIFS('recurring2_based on steps'!$B315:$AY315,'recurring2_based on steps'!$B$1:$AY$1,O$1)+SUMIFS('changes2_based on steps'!$B315:$U315,'changes2_based on steps'!$B$1:$U$1,O$1)</f>
        <v>0</v>
      </c>
      <c r="P315" s="155">
        <f ca="1">SUMIFS('recurring2_based on steps'!$B315:$AY315,'recurring2_based on steps'!$B$1:$AY$1,P$1)+SUMIFS('changes2_based on steps'!$B315:$U315,'changes2_based on steps'!$B$1:$U$1,P$1)</f>
        <v>0</v>
      </c>
      <c r="Q315" s="155">
        <f>SUMIFS('recurring2_based on steps'!$B315:$AY315,'recurring2_based on steps'!$B$1:$AY$1,Q$1)+SUMIFS('changes2_based on steps'!$B315:$U315,'changes2_based on steps'!$B$1:$U$1,Q$1)</f>
        <v>0</v>
      </c>
      <c r="R315" s="155">
        <f ca="1">SUMIFS('recurring2_based on steps'!$B315:$AY315,'recurring2_based on steps'!$B$1:$AY$1,R$1)+SUMIFS('changes2_based on steps'!$B315:$U315,'changes2_based on steps'!$B$1:$U$1,R$1)</f>
        <v>0</v>
      </c>
      <c r="S315" s="155">
        <f ca="1">SUMIFS('recurring2_based on steps'!$B315:$AY315,'recurring2_based on steps'!$B$1:$AY$1,S$1)+SUMIFS('changes2_based on steps'!$B315:$U315,'changes2_based on steps'!$B$1:$U$1,S$1)</f>
        <v>0</v>
      </c>
      <c r="T315" s="155">
        <f>SUMIFS('recurring2_based on steps'!$B315:$AY315,'recurring2_based on steps'!$B$1:$AY$1,T$1)+SUMIFS('changes2_based on steps'!$B315:$U315,'changes2_based on steps'!$B$1:$U$1,T$1)</f>
        <v>0</v>
      </c>
      <c r="U315" s="155">
        <f ca="1">SUMIFS('recurring2_based on steps'!$B315:$AY315,'recurring2_based on steps'!$B$1:$AY$1,U$1)+SUMIFS('changes2_based on steps'!$B315:$U315,'changes2_based on steps'!$B$1:$U$1,U$1)</f>
        <v>0</v>
      </c>
      <c r="V315" s="155">
        <f>SUMIFS('recurring2_based on steps'!$B315:$AY315,'recurring2_based on steps'!$B$1:$AY$1,V$1)+SUMIFS('changes2_based on steps'!$B315:$U315,'changes2_based on steps'!$B$1:$U$1,V$1)</f>
        <v>0</v>
      </c>
      <c r="W315" s="155">
        <f ca="1">SUMIFS('recurring2_based on steps'!$B315:$AY315,'recurring2_based on steps'!$B$1:$AY$1,W$1)+SUMIFS('changes2_based on steps'!$B315:$U315,'changes2_based on steps'!$B$1:$U$1,W$1)</f>
        <v>0</v>
      </c>
      <c r="X315" s="155">
        <f ca="1">SUMIFS('recurring2_based on steps'!$B315:$AY315,'recurring2_based on steps'!$B$1:$AY$1,X$1)+SUMIFS('changes2_based on steps'!$B315:$U315,'changes2_based on steps'!$B$1:$U$1,X$1)</f>
        <v>0</v>
      </c>
      <c r="Y315" s="155">
        <f ca="1">SUMIFS('recurring2_based on steps'!$B315:$AY315,'recurring2_based on steps'!$B$1:$AY$1,Y$1)+SUMIFS('changes2_based on steps'!$B315:$U315,'changes2_based on steps'!$B$1:$U$1,Y$1)</f>
        <v>0</v>
      </c>
      <c r="Z315" s="155">
        <f>SUMIFS('recurring2_based on steps'!$B315:$AY315,'recurring2_based on steps'!$B$1:$AY$1,Z$1)+SUMIFS('changes2_based on steps'!$B315:$U315,'changes2_based on steps'!$B$1:$U$1,Z$1)</f>
        <v>0</v>
      </c>
      <c r="AA315" s="155">
        <f>SUMIFS('recurring2_based on steps'!$B315:$AY315,'recurring2_based on steps'!$B$1:$AY$1,AA$1)+SUMIFS('changes2_based on steps'!$B315:$U315,'changes2_based on steps'!$B$1:$U$1,AA$1)</f>
        <v>0</v>
      </c>
    </row>
    <row r="316" spans="1:27" x14ac:dyDescent="0.2">
      <c r="A316" s="18">
        <f t="shared" ca="1" si="4"/>
        <v>46002</v>
      </c>
      <c r="B316" s="155">
        <f ca="1">SUMIFS('recurring2_based on steps'!$B316:$AY316,'recurring2_based on steps'!$B$1:$AY$1,B$1)+SUMIFS('changes2_based on steps'!$B316:$U316,'changes2_based on steps'!$B$1:$U$1,B$1)</f>
        <v>0</v>
      </c>
      <c r="C316" s="155">
        <f>SUMIFS('recurring2_based on steps'!$B316:$AY316,'recurring2_based on steps'!$B$1:$AY$1,C$1)+SUMIFS('changes2_based on steps'!$B316:$U316,'changes2_based on steps'!$B$1:$U$1,C$1)</f>
        <v>0</v>
      </c>
      <c r="D316" s="155">
        <f>SUMIFS('recurring2_based on steps'!$B316:$AY316,'recurring2_based on steps'!$B$1:$AY$1,D$1)+SUMIFS('changes2_based on steps'!$B316:$U316,'changes2_based on steps'!$B$1:$U$1,D$1)</f>
        <v>0</v>
      </c>
      <c r="E316" s="155">
        <f>SUMIFS('recurring2_based on steps'!$B316:$AY316,'recurring2_based on steps'!$B$1:$AY$1,E$1)+SUMIFS('changes2_based on steps'!$B316:$U316,'changes2_based on steps'!$B$1:$U$1,E$1)</f>
        <v>0</v>
      </c>
      <c r="F316" s="155">
        <f>SUMIFS('recurring2_based on steps'!$B316:$AY316,'recurring2_based on steps'!$B$1:$AY$1,F$1)+SUMIFS('changes2_based on steps'!$B316:$U316,'changes2_based on steps'!$B$1:$U$1,F$1)</f>
        <v>0</v>
      </c>
      <c r="G316" s="155">
        <f>SUMIFS('recurring2_based on steps'!$B316:$AY316,'recurring2_based on steps'!$B$1:$AY$1,G$1)+SUMIFS('changes2_based on steps'!$B316:$U316,'changes2_based on steps'!$B$1:$U$1,G$1)</f>
        <v>0</v>
      </c>
      <c r="H316" s="155">
        <f ca="1">SUMIFS('recurring2_based on steps'!$B316:$AY316,'recurring2_based on steps'!$B$1:$AY$1,H$1)+SUMIFS('changes2_based on steps'!$B316:$U316,'changes2_based on steps'!$B$1:$U$1,H$1)</f>
        <v>0</v>
      </c>
      <c r="I316" s="155">
        <f>SUMIFS('recurring2_based on steps'!$B316:$AY316,'recurring2_based on steps'!$B$1:$AY$1,I$1)+SUMIFS('changes2_based on steps'!$B316:$U316,'changes2_based on steps'!$B$1:$U$1,I$1)</f>
        <v>0</v>
      </c>
      <c r="J316" s="155">
        <f>SUMIFS('recurring2_based on steps'!$B316:$AY316,'recurring2_based on steps'!$B$1:$AY$1,J$1)+SUMIFS('changes2_based on steps'!$B316:$U316,'changes2_based on steps'!$B$1:$U$1,J$1)</f>
        <v>0</v>
      </c>
      <c r="K316" s="155">
        <f>SUMIFS('recurring2_based on steps'!$B316:$AY316,'recurring2_based on steps'!$B$1:$AY$1,K$1)+SUMIFS('changes2_based on steps'!$B316:$U316,'changes2_based on steps'!$B$1:$U$1,K$1)</f>
        <v>0</v>
      </c>
      <c r="L316" s="155">
        <f>SUMIFS('recurring2_based on steps'!$B316:$AY316,'recurring2_based on steps'!$B$1:$AY$1,L$1)+SUMIFS('changes2_based on steps'!$B316:$U316,'changes2_based on steps'!$B$1:$U$1,L$1)</f>
        <v>0</v>
      </c>
      <c r="M316" s="155">
        <f ca="1">SUMIFS('recurring2_based on steps'!$B316:$AY316,'recurring2_based on steps'!$B$1:$AY$1,M$1)+SUMIFS('changes2_based on steps'!$B316:$U316,'changes2_based on steps'!$B$1:$U$1,M$1)</f>
        <v>0</v>
      </c>
      <c r="N316" s="155">
        <f ca="1">SUMIFS('recurring2_based on steps'!$B316:$AY316,'recurring2_based on steps'!$B$1:$AY$1,N$1)+SUMIFS('changes2_based on steps'!$B316:$U316,'changes2_based on steps'!$B$1:$U$1,N$1)</f>
        <v>500</v>
      </c>
      <c r="O316" s="155">
        <f ca="1">SUMIFS('recurring2_based on steps'!$B316:$AY316,'recurring2_based on steps'!$B$1:$AY$1,O$1)+SUMIFS('changes2_based on steps'!$B316:$U316,'changes2_based on steps'!$B$1:$U$1,O$1)</f>
        <v>0</v>
      </c>
      <c r="P316" s="155">
        <f ca="1">SUMIFS('recurring2_based on steps'!$B316:$AY316,'recurring2_based on steps'!$B$1:$AY$1,P$1)+SUMIFS('changes2_based on steps'!$B316:$U316,'changes2_based on steps'!$B$1:$U$1,P$1)</f>
        <v>0</v>
      </c>
      <c r="Q316" s="155">
        <f>SUMIFS('recurring2_based on steps'!$B316:$AY316,'recurring2_based on steps'!$B$1:$AY$1,Q$1)+SUMIFS('changes2_based on steps'!$B316:$U316,'changes2_based on steps'!$B$1:$U$1,Q$1)</f>
        <v>0</v>
      </c>
      <c r="R316" s="155">
        <f ca="1">SUMIFS('recurring2_based on steps'!$B316:$AY316,'recurring2_based on steps'!$B$1:$AY$1,R$1)+SUMIFS('changes2_based on steps'!$B316:$U316,'changes2_based on steps'!$B$1:$U$1,R$1)</f>
        <v>0</v>
      </c>
      <c r="S316" s="155">
        <f ca="1">SUMIFS('recurring2_based on steps'!$B316:$AY316,'recurring2_based on steps'!$B$1:$AY$1,S$1)+SUMIFS('changes2_based on steps'!$B316:$U316,'changes2_based on steps'!$B$1:$U$1,S$1)</f>
        <v>0</v>
      </c>
      <c r="T316" s="155">
        <f>SUMIFS('recurring2_based on steps'!$B316:$AY316,'recurring2_based on steps'!$B$1:$AY$1,T$1)+SUMIFS('changes2_based on steps'!$B316:$U316,'changes2_based on steps'!$B$1:$U$1,T$1)</f>
        <v>0</v>
      </c>
      <c r="U316" s="155">
        <f ca="1">SUMIFS('recurring2_based on steps'!$B316:$AY316,'recurring2_based on steps'!$B$1:$AY$1,U$1)+SUMIFS('changes2_based on steps'!$B316:$U316,'changes2_based on steps'!$B$1:$U$1,U$1)</f>
        <v>0</v>
      </c>
      <c r="V316" s="155">
        <f>SUMIFS('recurring2_based on steps'!$B316:$AY316,'recurring2_based on steps'!$B$1:$AY$1,V$1)+SUMIFS('changes2_based on steps'!$B316:$U316,'changes2_based on steps'!$B$1:$U$1,V$1)</f>
        <v>0</v>
      </c>
      <c r="W316" s="155">
        <f ca="1">SUMIFS('recurring2_based on steps'!$B316:$AY316,'recurring2_based on steps'!$B$1:$AY$1,W$1)+SUMIFS('changes2_based on steps'!$B316:$U316,'changes2_based on steps'!$B$1:$U$1,W$1)</f>
        <v>0</v>
      </c>
      <c r="X316" s="155">
        <f ca="1">SUMIFS('recurring2_based on steps'!$B316:$AY316,'recurring2_based on steps'!$B$1:$AY$1,X$1)+SUMIFS('changes2_based on steps'!$B316:$U316,'changes2_based on steps'!$B$1:$U$1,X$1)</f>
        <v>0</v>
      </c>
      <c r="Y316" s="155">
        <f ca="1">SUMIFS('recurring2_based on steps'!$B316:$AY316,'recurring2_based on steps'!$B$1:$AY$1,Y$1)+SUMIFS('changes2_based on steps'!$B316:$U316,'changes2_based on steps'!$B$1:$U$1,Y$1)</f>
        <v>0</v>
      </c>
      <c r="Z316" s="155">
        <f>SUMIFS('recurring2_based on steps'!$B316:$AY316,'recurring2_based on steps'!$B$1:$AY$1,Z$1)+SUMIFS('changes2_based on steps'!$B316:$U316,'changes2_based on steps'!$B$1:$U$1,Z$1)</f>
        <v>0</v>
      </c>
      <c r="AA316" s="155">
        <f>SUMIFS('recurring2_based on steps'!$B316:$AY316,'recurring2_based on steps'!$B$1:$AY$1,AA$1)+SUMIFS('changes2_based on steps'!$B316:$U316,'changes2_based on steps'!$B$1:$U$1,AA$1)</f>
        <v>0</v>
      </c>
    </row>
    <row r="317" spans="1:27" x14ac:dyDescent="0.2">
      <c r="A317" s="18">
        <f t="shared" ca="1" si="4"/>
        <v>46003</v>
      </c>
      <c r="B317" s="155">
        <f ca="1">SUMIFS('recurring2_based on steps'!$B317:$AY317,'recurring2_based on steps'!$B$1:$AY$1,B$1)+SUMIFS('changes2_based on steps'!$B317:$U317,'changes2_based on steps'!$B$1:$U$1,B$1)</f>
        <v>4000</v>
      </c>
      <c r="C317" s="155">
        <f>SUMIFS('recurring2_based on steps'!$B317:$AY317,'recurring2_based on steps'!$B$1:$AY$1,C$1)+SUMIFS('changes2_based on steps'!$B317:$U317,'changes2_based on steps'!$B$1:$U$1,C$1)</f>
        <v>0</v>
      </c>
      <c r="D317" s="155">
        <f>SUMIFS('recurring2_based on steps'!$B317:$AY317,'recurring2_based on steps'!$B$1:$AY$1,D$1)+SUMIFS('changes2_based on steps'!$B317:$U317,'changes2_based on steps'!$B$1:$U$1,D$1)</f>
        <v>0</v>
      </c>
      <c r="E317" s="155">
        <f>SUMIFS('recurring2_based on steps'!$B317:$AY317,'recurring2_based on steps'!$B$1:$AY$1,E$1)+SUMIFS('changes2_based on steps'!$B317:$U317,'changes2_based on steps'!$B$1:$U$1,E$1)</f>
        <v>0</v>
      </c>
      <c r="F317" s="155">
        <f>SUMIFS('recurring2_based on steps'!$B317:$AY317,'recurring2_based on steps'!$B$1:$AY$1,F$1)+SUMIFS('changes2_based on steps'!$B317:$U317,'changes2_based on steps'!$B$1:$U$1,F$1)</f>
        <v>0</v>
      </c>
      <c r="G317" s="155">
        <f>SUMIFS('recurring2_based on steps'!$B317:$AY317,'recurring2_based on steps'!$B$1:$AY$1,G$1)+SUMIFS('changes2_based on steps'!$B317:$U317,'changes2_based on steps'!$B$1:$U$1,G$1)</f>
        <v>0</v>
      </c>
      <c r="H317" s="155">
        <f ca="1">SUMIFS('recurring2_based on steps'!$B317:$AY317,'recurring2_based on steps'!$B$1:$AY$1,H$1)+SUMIFS('changes2_based on steps'!$B317:$U317,'changes2_based on steps'!$B$1:$U$1,H$1)</f>
        <v>96</v>
      </c>
      <c r="I317" s="155">
        <f>SUMIFS('recurring2_based on steps'!$B317:$AY317,'recurring2_based on steps'!$B$1:$AY$1,I$1)+SUMIFS('changes2_based on steps'!$B317:$U317,'changes2_based on steps'!$B$1:$U$1,I$1)</f>
        <v>0</v>
      </c>
      <c r="J317" s="155">
        <f>SUMIFS('recurring2_based on steps'!$B317:$AY317,'recurring2_based on steps'!$B$1:$AY$1,J$1)+SUMIFS('changes2_based on steps'!$B317:$U317,'changes2_based on steps'!$B$1:$U$1,J$1)</f>
        <v>0</v>
      </c>
      <c r="K317" s="155">
        <f>SUMIFS('recurring2_based on steps'!$B317:$AY317,'recurring2_based on steps'!$B$1:$AY$1,K$1)+SUMIFS('changes2_based on steps'!$B317:$U317,'changes2_based on steps'!$B$1:$U$1,K$1)</f>
        <v>0</v>
      </c>
      <c r="L317" s="155">
        <f>SUMIFS('recurring2_based on steps'!$B317:$AY317,'recurring2_based on steps'!$B$1:$AY$1,L$1)+SUMIFS('changes2_based on steps'!$B317:$U317,'changes2_based on steps'!$B$1:$U$1,L$1)</f>
        <v>0</v>
      </c>
      <c r="M317" s="155">
        <f ca="1">SUMIFS('recurring2_based on steps'!$B317:$AY317,'recurring2_based on steps'!$B$1:$AY$1,M$1)+SUMIFS('changes2_based on steps'!$B317:$U317,'changes2_based on steps'!$B$1:$U$1,M$1)</f>
        <v>0</v>
      </c>
      <c r="N317" s="155">
        <f ca="1">SUMIFS('recurring2_based on steps'!$B317:$AY317,'recurring2_based on steps'!$B$1:$AY$1,N$1)+SUMIFS('changes2_based on steps'!$B317:$U317,'changes2_based on steps'!$B$1:$U$1,N$1)</f>
        <v>0</v>
      </c>
      <c r="O317" s="155">
        <f ca="1">SUMIFS('recurring2_based on steps'!$B317:$AY317,'recurring2_based on steps'!$B$1:$AY$1,O$1)+SUMIFS('changes2_based on steps'!$B317:$U317,'changes2_based on steps'!$B$1:$U$1,O$1)</f>
        <v>0</v>
      </c>
      <c r="P317" s="155">
        <f ca="1">SUMIFS('recurring2_based on steps'!$B317:$AY317,'recurring2_based on steps'!$B$1:$AY$1,P$1)+SUMIFS('changes2_based on steps'!$B317:$U317,'changes2_based on steps'!$B$1:$U$1,P$1)</f>
        <v>0</v>
      </c>
      <c r="Q317" s="155">
        <f>SUMIFS('recurring2_based on steps'!$B317:$AY317,'recurring2_based on steps'!$B$1:$AY$1,Q$1)+SUMIFS('changes2_based on steps'!$B317:$U317,'changes2_based on steps'!$B$1:$U$1,Q$1)</f>
        <v>0</v>
      </c>
      <c r="R317" s="155">
        <f ca="1">SUMIFS('recurring2_based on steps'!$B317:$AY317,'recurring2_based on steps'!$B$1:$AY$1,R$1)+SUMIFS('changes2_based on steps'!$B317:$U317,'changes2_based on steps'!$B$1:$U$1,R$1)</f>
        <v>0</v>
      </c>
      <c r="S317" s="155">
        <f ca="1">SUMIFS('recurring2_based on steps'!$B317:$AY317,'recurring2_based on steps'!$B$1:$AY$1,S$1)+SUMIFS('changes2_based on steps'!$B317:$U317,'changes2_based on steps'!$B$1:$U$1,S$1)</f>
        <v>0</v>
      </c>
      <c r="T317" s="155">
        <f>SUMIFS('recurring2_based on steps'!$B317:$AY317,'recurring2_based on steps'!$B$1:$AY$1,T$1)+SUMIFS('changes2_based on steps'!$B317:$U317,'changes2_based on steps'!$B$1:$U$1,T$1)</f>
        <v>0</v>
      </c>
      <c r="U317" s="155">
        <f ca="1">SUMIFS('recurring2_based on steps'!$B317:$AY317,'recurring2_based on steps'!$B$1:$AY$1,U$1)+SUMIFS('changes2_based on steps'!$B317:$U317,'changes2_based on steps'!$B$1:$U$1,U$1)</f>
        <v>0</v>
      </c>
      <c r="V317" s="155">
        <f>SUMIFS('recurring2_based on steps'!$B317:$AY317,'recurring2_based on steps'!$B$1:$AY$1,V$1)+SUMIFS('changes2_based on steps'!$B317:$U317,'changes2_based on steps'!$B$1:$U$1,V$1)</f>
        <v>0</v>
      </c>
      <c r="W317" s="155">
        <f ca="1">SUMIFS('recurring2_based on steps'!$B317:$AY317,'recurring2_based on steps'!$B$1:$AY$1,W$1)+SUMIFS('changes2_based on steps'!$B317:$U317,'changes2_based on steps'!$B$1:$U$1,W$1)</f>
        <v>50</v>
      </c>
      <c r="X317" s="155">
        <f ca="1">SUMIFS('recurring2_based on steps'!$B317:$AY317,'recurring2_based on steps'!$B$1:$AY$1,X$1)+SUMIFS('changes2_based on steps'!$B317:$U317,'changes2_based on steps'!$B$1:$U$1,X$1)</f>
        <v>200</v>
      </c>
      <c r="Y317" s="155">
        <f ca="1">SUMIFS('recurring2_based on steps'!$B317:$AY317,'recurring2_based on steps'!$B$1:$AY$1,Y$1)+SUMIFS('changes2_based on steps'!$B317:$U317,'changes2_based on steps'!$B$1:$U$1,Y$1)</f>
        <v>0</v>
      </c>
      <c r="Z317" s="155">
        <f>SUMIFS('recurring2_based on steps'!$B317:$AY317,'recurring2_based on steps'!$B$1:$AY$1,Z$1)+SUMIFS('changes2_based on steps'!$B317:$U317,'changes2_based on steps'!$B$1:$U$1,Z$1)</f>
        <v>0</v>
      </c>
      <c r="AA317" s="155">
        <f>SUMIFS('recurring2_based on steps'!$B317:$AY317,'recurring2_based on steps'!$B$1:$AY$1,AA$1)+SUMIFS('changes2_based on steps'!$B317:$U317,'changes2_based on steps'!$B$1:$U$1,AA$1)</f>
        <v>0</v>
      </c>
    </row>
    <row r="318" spans="1:27" x14ac:dyDescent="0.2">
      <c r="A318" s="18">
        <f t="shared" ca="1" si="4"/>
        <v>46004</v>
      </c>
      <c r="B318" s="155">
        <f ca="1">SUMIFS('recurring2_based on steps'!$B318:$AY318,'recurring2_based on steps'!$B$1:$AY$1,B$1)+SUMIFS('changes2_based on steps'!$B318:$U318,'changes2_based on steps'!$B$1:$U$1,B$1)</f>
        <v>0</v>
      </c>
      <c r="C318" s="155">
        <f>SUMIFS('recurring2_based on steps'!$B318:$AY318,'recurring2_based on steps'!$B$1:$AY$1,C$1)+SUMIFS('changes2_based on steps'!$B318:$U318,'changes2_based on steps'!$B$1:$U$1,C$1)</f>
        <v>0</v>
      </c>
      <c r="D318" s="155">
        <f>SUMIFS('recurring2_based on steps'!$B318:$AY318,'recurring2_based on steps'!$B$1:$AY$1,D$1)+SUMIFS('changes2_based on steps'!$B318:$U318,'changes2_based on steps'!$B$1:$U$1,D$1)</f>
        <v>0</v>
      </c>
      <c r="E318" s="155">
        <f>SUMIFS('recurring2_based on steps'!$B318:$AY318,'recurring2_based on steps'!$B$1:$AY$1,E$1)+SUMIFS('changes2_based on steps'!$B318:$U318,'changes2_based on steps'!$B$1:$U$1,E$1)</f>
        <v>0</v>
      </c>
      <c r="F318" s="155">
        <f>SUMIFS('recurring2_based on steps'!$B318:$AY318,'recurring2_based on steps'!$B$1:$AY$1,F$1)+SUMIFS('changes2_based on steps'!$B318:$U318,'changes2_based on steps'!$B$1:$U$1,F$1)</f>
        <v>0</v>
      </c>
      <c r="G318" s="155">
        <f>SUMIFS('recurring2_based on steps'!$B318:$AY318,'recurring2_based on steps'!$B$1:$AY$1,G$1)+SUMIFS('changes2_based on steps'!$B318:$U318,'changes2_based on steps'!$B$1:$U$1,G$1)</f>
        <v>0</v>
      </c>
      <c r="H318" s="155">
        <f ca="1">SUMIFS('recurring2_based on steps'!$B318:$AY318,'recurring2_based on steps'!$B$1:$AY$1,H$1)+SUMIFS('changes2_based on steps'!$B318:$U318,'changes2_based on steps'!$B$1:$U$1,H$1)</f>
        <v>0</v>
      </c>
      <c r="I318" s="155">
        <f>SUMIFS('recurring2_based on steps'!$B318:$AY318,'recurring2_based on steps'!$B$1:$AY$1,I$1)+SUMIFS('changes2_based on steps'!$B318:$U318,'changes2_based on steps'!$B$1:$U$1,I$1)</f>
        <v>0</v>
      </c>
      <c r="J318" s="155">
        <f>SUMIFS('recurring2_based on steps'!$B318:$AY318,'recurring2_based on steps'!$B$1:$AY$1,J$1)+SUMIFS('changes2_based on steps'!$B318:$U318,'changes2_based on steps'!$B$1:$U$1,J$1)</f>
        <v>0</v>
      </c>
      <c r="K318" s="155">
        <f>SUMIFS('recurring2_based on steps'!$B318:$AY318,'recurring2_based on steps'!$B$1:$AY$1,K$1)+SUMIFS('changes2_based on steps'!$B318:$U318,'changes2_based on steps'!$B$1:$U$1,K$1)</f>
        <v>0</v>
      </c>
      <c r="L318" s="155">
        <f>SUMIFS('recurring2_based on steps'!$B318:$AY318,'recurring2_based on steps'!$B$1:$AY$1,L$1)+SUMIFS('changes2_based on steps'!$B318:$U318,'changes2_based on steps'!$B$1:$U$1,L$1)</f>
        <v>0</v>
      </c>
      <c r="M318" s="155">
        <f ca="1">SUMIFS('recurring2_based on steps'!$B318:$AY318,'recurring2_based on steps'!$B$1:$AY$1,M$1)+SUMIFS('changes2_based on steps'!$B318:$U318,'changes2_based on steps'!$B$1:$U$1,M$1)</f>
        <v>0</v>
      </c>
      <c r="N318" s="155">
        <f ca="1">SUMIFS('recurring2_based on steps'!$B318:$AY318,'recurring2_based on steps'!$B$1:$AY$1,N$1)+SUMIFS('changes2_based on steps'!$B318:$U318,'changes2_based on steps'!$B$1:$U$1,N$1)</f>
        <v>0</v>
      </c>
      <c r="O318" s="155">
        <f ca="1">SUMIFS('recurring2_based on steps'!$B318:$AY318,'recurring2_based on steps'!$B$1:$AY$1,O$1)+SUMIFS('changes2_based on steps'!$B318:$U318,'changes2_based on steps'!$B$1:$U$1,O$1)</f>
        <v>0</v>
      </c>
      <c r="P318" s="155">
        <f ca="1">SUMIFS('recurring2_based on steps'!$B318:$AY318,'recurring2_based on steps'!$B$1:$AY$1,P$1)+SUMIFS('changes2_based on steps'!$B318:$U318,'changes2_based on steps'!$B$1:$U$1,P$1)</f>
        <v>0</v>
      </c>
      <c r="Q318" s="155">
        <f>SUMIFS('recurring2_based on steps'!$B318:$AY318,'recurring2_based on steps'!$B$1:$AY$1,Q$1)+SUMIFS('changes2_based on steps'!$B318:$U318,'changes2_based on steps'!$B$1:$U$1,Q$1)</f>
        <v>0</v>
      </c>
      <c r="R318" s="155">
        <f ca="1">SUMIFS('recurring2_based on steps'!$B318:$AY318,'recurring2_based on steps'!$B$1:$AY$1,R$1)+SUMIFS('changes2_based on steps'!$B318:$U318,'changes2_based on steps'!$B$1:$U$1,R$1)</f>
        <v>100</v>
      </c>
      <c r="S318" s="155">
        <f ca="1">SUMIFS('recurring2_based on steps'!$B318:$AY318,'recurring2_based on steps'!$B$1:$AY$1,S$1)+SUMIFS('changes2_based on steps'!$B318:$U318,'changes2_based on steps'!$B$1:$U$1,S$1)</f>
        <v>100</v>
      </c>
      <c r="T318" s="155">
        <f>SUMIFS('recurring2_based on steps'!$B318:$AY318,'recurring2_based on steps'!$B$1:$AY$1,T$1)+SUMIFS('changes2_based on steps'!$B318:$U318,'changes2_based on steps'!$B$1:$U$1,T$1)</f>
        <v>0</v>
      </c>
      <c r="U318" s="155">
        <f ca="1">SUMIFS('recurring2_based on steps'!$B318:$AY318,'recurring2_based on steps'!$B$1:$AY$1,U$1)+SUMIFS('changes2_based on steps'!$B318:$U318,'changes2_based on steps'!$B$1:$U$1,U$1)</f>
        <v>0</v>
      </c>
      <c r="V318" s="155">
        <f>SUMIFS('recurring2_based on steps'!$B318:$AY318,'recurring2_based on steps'!$B$1:$AY$1,V$1)+SUMIFS('changes2_based on steps'!$B318:$U318,'changes2_based on steps'!$B$1:$U$1,V$1)</f>
        <v>0</v>
      </c>
      <c r="W318" s="155">
        <f ca="1">SUMIFS('recurring2_based on steps'!$B318:$AY318,'recurring2_based on steps'!$B$1:$AY$1,W$1)+SUMIFS('changes2_based on steps'!$B318:$U318,'changes2_based on steps'!$B$1:$U$1,W$1)</f>
        <v>0</v>
      </c>
      <c r="X318" s="155">
        <f ca="1">SUMIFS('recurring2_based on steps'!$B318:$AY318,'recurring2_based on steps'!$B$1:$AY$1,X$1)+SUMIFS('changes2_based on steps'!$B318:$U318,'changes2_based on steps'!$B$1:$U$1,X$1)</f>
        <v>0</v>
      </c>
      <c r="Y318" s="155">
        <f ca="1">SUMIFS('recurring2_based on steps'!$B318:$AY318,'recurring2_based on steps'!$B$1:$AY$1,Y$1)+SUMIFS('changes2_based on steps'!$B318:$U318,'changes2_based on steps'!$B$1:$U$1,Y$1)</f>
        <v>0</v>
      </c>
      <c r="Z318" s="155">
        <f>SUMIFS('recurring2_based on steps'!$B318:$AY318,'recurring2_based on steps'!$B$1:$AY$1,Z$1)+SUMIFS('changes2_based on steps'!$B318:$U318,'changes2_based on steps'!$B$1:$U$1,Z$1)</f>
        <v>0</v>
      </c>
      <c r="AA318" s="155">
        <f>SUMIFS('recurring2_based on steps'!$B318:$AY318,'recurring2_based on steps'!$B$1:$AY$1,AA$1)+SUMIFS('changes2_based on steps'!$B318:$U318,'changes2_based on steps'!$B$1:$U$1,AA$1)</f>
        <v>0</v>
      </c>
    </row>
    <row r="319" spans="1:27" x14ac:dyDescent="0.2">
      <c r="A319" s="18">
        <f t="shared" ca="1" si="4"/>
        <v>46005</v>
      </c>
      <c r="B319" s="155">
        <f ca="1">SUMIFS('recurring2_based on steps'!$B319:$AY319,'recurring2_based on steps'!$B$1:$AY$1,B$1)+SUMIFS('changes2_based on steps'!$B319:$U319,'changes2_based on steps'!$B$1:$U$1,B$1)</f>
        <v>0</v>
      </c>
      <c r="C319" s="155">
        <f>SUMIFS('recurring2_based on steps'!$B319:$AY319,'recurring2_based on steps'!$B$1:$AY$1,C$1)+SUMIFS('changes2_based on steps'!$B319:$U319,'changes2_based on steps'!$B$1:$U$1,C$1)</f>
        <v>0</v>
      </c>
      <c r="D319" s="155">
        <f>SUMIFS('recurring2_based on steps'!$B319:$AY319,'recurring2_based on steps'!$B$1:$AY$1,D$1)+SUMIFS('changes2_based on steps'!$B319:$U319,'changes2_based on steps'!$B$1:$U$1,D$1)</f>
        <v>0</v>
      </c>
      <c r="E319" s="155">
        <f>SUMIFS('recurring2_based on steps'!$B319:$AY319,'recurring2_based on steps'!$B$1:$AY$1,E$1)+SUMIFS('changes2_based on steps'!$B319:$U319,'changes2_based on steps'!$B$1:$U$1,E$1)</f>
        <v>0</v>
      </c>
      <c r="F319" s="155">
        <f>SUMIFS('recurring2_based on steps'!$B319:$AY319,'recurring2_based on steps'!$B$1:$AY$1,F$1)+SUMIFS('changes2_based on steps'!$B319:$U319,'changes2_based on steps'!$B$1:$U$1,F$1)</f>
        <v>0</v>
      </c>
      <c r="G319" s="155">
        <f>SUMIFS('recurring2_based on steps'!$B319:$AY319,'recurring2_based on steps'!$B$1:$AY$1,G$1)+SUMIFS('changes2_based on steps'!$B319:$U319,'changes2_based on steps'!$B$1:$U$1,G$1)</f>
        <v>0</v>
      </c>
      <c r="H319" s="155">
        <f ca="1">SUMIFS('recurring2_based on steps'!$B319:$AY319,'recurring2_based on steps'!$B$1:$AY$1,H$1)+SUMIFS('changes2_based on steps'!$B319:$U319,'changes2_based on steps'!$B$1:$U$1,H$1)</f>
        <v>0</v>
      </c>
      <c r="I319" s="155">
        <f>SUMIFS('recurring2_based on steps'!$B319:$AY319,'recurring2_based on steps'!$B$1:$AY$1,I$1)+SUMIFS('changes2_based on steps'!$B319:$U319,'changes2_based on steps'!$B$1:$U$1,I$1)</f>
        <v>0</v>
      </c>
      <c r="J319" s="155">
        <f>SUMIFS('recurring2_based on steps'!$B319:$AY319,'recurring2_based on steps'!$B$1:$AY$1,J$1)+SUMIFS('changes2_based on steps'!$B319:$U319,'changes2_based on steps'!$B$1:$U$1,J$1)</f>
        <v>0</v>
      </c>
      <c r="K319" s="155">
        <f>SUMIFS('recurring2_based on steps'!$B319:$AY319,'recurring2_based on steps'!$B$1:$AY$1,K$1)+SUMIFS('changes2_based on steps'!$B319:$U319,'changes2_based on steps'!$B$1:$U$1,K$1)</f>
        <v>0</v>
      </c>
      <c r="L319" s="155">
        <f>SUMIFS('recurring2_based on steps'!$B319:$AY319,'recurring2_based on steps'!$B$1:$AY$1,L$1)+SUMIFS('changes2_based on steps'!$B319:$U319,'changes2_based on steps'!$B$1:$U$1,L$1)</f>
        <v>0</v>
      </c>
      <c r="M319" s="155">
        <f ca="1">SUMIFS('recurring2_based on steps'!$B319:$AY319,'recurring2_based on steps'!$B$1:$AY$1,M$1)+SUMIFS('changes2_based on steps'!$B319:$U319,'changes2_based on steps'!$B$1:$U$1,M$1)</f>
        <v>0</v>
      </c>
      <c r="N319" s="155">
        <f ca="1">SUMIFS('recurring2_based on steps'!$B319:$AY319,'recurring2_based on steps'!$B$1:$AY$1,N$1)+SUMIFS('changes2_based on steps'!$B319:$U319,'changes2_based on steps'!$B$1:$U$1,N$1)</f>
        <v>50</v>
      </c>
      <c r="O319" s="155">
        <f ca="1">SUMIFS('recurring2_based on steps'!$B319:$AY319,'recurring2_based on steps'!$B$1:$AY$1,O$1)+SUMIFS('changes2_based on steps'!$B319:$U319,'changes2_based on steps'!$B$1:$U$1,O$1)</f>
        <v>0</v>
      </c>
      <c r="P319" s="155">
        <f ca="1">SUMIFS('recurring2_based on steps'!$B319:$AY319,'recurring2_based on steps'!$B$1:$AY$1,P$1)+SUMIFS('changes2_based on steps'!$B319:$U319,'changes2_based on steps'!$B$1:$U$1,P$1)</f>
        <v>0</v>
      </c>
      <c r="Q319" s="155">
        <f>SUMIFS('recurring2_based on steps'!$B319:$AY319,'recurring2_based on steps'!$B$1:$AY$1,Q$1)+SUMIFS('changes2_based on steps'!$B319:$U319,'changes2_based on steps'!$B$1:$U$1,Q$1)</f>
        <v>0</v>
      </c>
      <c r="R319" s="155">
        <f ca="1">SUMIFS('recurring2_based on steps'!$B319:$AY319,'recurring2_based on steps'!$B$1:$AY$1,R$1)+SUMIFS('changes2_based on steps'!$B319:$U319,'changes2_based on steps'!$B$1:$U$1,R$1)</f>
        <v>0</v>
      </c>
      <c r="S319" s="155">
        <f ca="1">SUMIFS('recurring2_based on steps'!$B319:$AY319,'recurring2_based on steps'!$B$1:$AY$1,S$1)+SUMIFS('changes2_based on steps'!$B319:$U319,'changes2_based on steps'!$B$1:$U$1,S$1)</f>
        <v>100</v>
      </c>
      <c r="T319" s="155">
        <f>SUMIFS('recurring2_based on steps'!$B319:$AY319,'recurring2_based on steps'!$B$1:$AY$1,T$1)+SUMIFS('changes2_based on steps'!$B319:$U319,'changes2_based on steps'!$B$1:$U$1,T$1)</f>
        <v>0</v>
      </c>
      <c r="U319" s="155">
        <f ca="1">SUMIFS('recurring2_based on steps'!$B319:$AY319,'recurring2_based on steps'!$B$1:$AY$1,U$1)+SUMIFS('changes2_based on steps'!$B319:$U319,'changes2_based on steps'!$B$1:$U$1,U$1)</f>
        <v>0</v>
      </c>
      <c r="V319" s="155">
        <f>SUMIFS('recurring2_based on steps'!$B319:$AY319,'recurring2_based on steps'!$B$1:$AY$1,V$1)+SUMIFS('changes2_based on steps'!$B319:$U319,'changes2_based on steps'!$B$1:$U$1,V$1)</f>
        <v>0</v>
      </c>
      <c r="W319" s="155">
        <f ca="1">SUMIFS('recurring2_based on steps'!$B319:$AY319,'recurring2_based on steps'!$B$1:$AY$1,W$1)+SUMIFS('changes2_based on steps'!$B319:$U319,'changes2_based on steps'!$B$1:$U$1,W$1)</f>
        <v>0</v>
      </c>
      <c r="X319" s="155">
        <f ca="1">SUMIFS('recurring2_based on steps'!$B319:$AY319,'recurring2_based on steps'!$B$1:$AY$1,X$1)+SUMIFS('changes2_based on steps'!$B319:$U319,'changes2_based on steps'!$B$1:$U$1,X$1)</f>
        <v>0</v>
      </c>
      <c r="Y319" s="155">
        <f ca="1">SUMIFS('recurring2_based on steps'!$B319:$AY319,'recurring2_based on steps'!$B$1:$AY$1,Y$1)+SUMIFS('changes2_based on steps'!$B319:$U319,'changes2_based on steps'!$B$1:$U$1,Y$1)</f>
        <v>0</v>
      </c>
      <c r="Z319" s="155">
        <f>SUMIFS('recurring2_based on steps'!$B319:$AY319,'recurring2_based on steps'!$B$1:$AY$1,Z$1)+SUMIFS('changes2_based on steps'!$B319:$U319,'changes2_based on steps'!$B$1:$U$1,Z$1)</f>
        <v>0</v>
      </c>
      <c r="AA319" s="155">
        <f>SUMIFS('recurring2_based on steps'!$B319:$AY319,'recurring2_based on steps'!$B$1:$AY$1,AA$1)+SUMIFS('changes2_based on steps'!$B319:$U319,'changes2_based on steps'!$B$1:$U$1,AA$1)</f>
        <v>0</v>
      </c>
    </row>
    <row r="320" spans="1:27" x14ac:dyDescent="0.2">
      <c r="A320" s="18">
        <f t="shared" ca="1" si="4"/>
        <v>46006</v>
      </c>
      <c r="B320" s="155">
        <f ca="1">SUMIFS('recurring2_based on steps'!$B320:$AY320,'recurring2_based on steps'!$B$1:$AY$1,B$1)+SUMIFS('changes2_based on steps'!$B320:$U320,'changes2_based on steps'!$B$1:$U$1,B$1)</f>
        <v>0</v>
      </c>
      <c r="C320" s="155">
        <f>SUMIFS('recurring2_based on steps'!$B320:$AY320,'recurring2_based on steps'!$B$1:$AY$1,C$1)+SUMIFS('changes2_based on steps'!$B320:$U320,'changes2_based on steps'!$B$1:$U$1,C$1)</f>
        <v>0</v>
      </c>
      <c r="D320" s="155">
        <f>SUMIFS('recurring2_based on steps'!$B320:$AY320,'recurring2_based on steps'!$B$1:$AY$1,D$1)+SUMIFS('changes2_based on steps'!$B320:$U320,'changes2_based on steps'!$B$1:$U$1,D$1)</f>
        <v>0</v>
      </c>
      <c r="E320" s="155">
        <f>SUMIFS('recurring2_based on steps'!$B320:$AY320,'recurring2_based on steps'!$B$1:$AY$1,E$1)+SUMIFS('changes2_based on steps'!$B320:$U320,'changes2_based on steps'!$B$1:$U$1,E$1)</f>
        <v>0</v>
      </c>
      <c r="F320" s="155">
        <f>SUMIFS('recurring2_based on steps'!$B320:$AY320,'recurring2_based on steps'!$B$1:$AY$1,F$1)+SUMIFS('changes2_based on steps'!$B320:$U320,'changes2_based on steps'!$B$1:$U$1,F$1)</f>
        <v>0</v>
      </c>
      <c r="G320" s="155">
        <f>SUMIFS('recurring2_based on steps'!$B320:$AY320,'recurring2_based on steps'!$B$1:$AY$1,G$1)+SUMIFS('changes2_based on steps'!$B320:$U320,'changes2_based on steps'!$B$1:$U$1,G$1)</f>
        <v>0</v>
      </c>
      <c r="H320" s="155">
        <f ca="1">SUMIFS('recurring2_based on steps'!$B320:$AY320,'recurring2_based on steps'!$B$1:$AY$1,H$1)+SUMIFS('changes2_based on steps'!$B320:$U320,'changes2_based on steps'!$B$1:$U$1,H$1)</f>
        <v>0</v>
      </c>
      <c r="I320" s="155">
        <f>SUMIFS('recurring2_based on steps'!$B320:$AY320,'recurring2_based on steps'!$B$1:$AY$1,I$1)+SUMIFS('changes2_based on steps'!$B320:$U320,'changes2_based on steps'!$B$1:$U$1,I$1)</f>
        <v>0</v>
      </c>
      <c r="J320" s="155">
        <f>SUMIFS('recurring2_based on steps'!$B320:$AY320,'recurring2_based on steps'!$B$1:$AY$1,J$1)+SUMIFS('changes2_based on steps'!$B320:$U320,'changes2_based on steps'!$B$1:$U$1,J$1)</f>
        <v>0</v>
      </c>
      <c r="K320" s="155">
        <f>SUMIFS('recurring2_based on steps'!$B320:$AY320,'recurring2_based on steps'!$B$1:$AY$1,K$1)+SUMIFS('changes2_based on steps'!$B320:$U320,'changes2_based on steps'!$B$1:$U$1,K$1)</f>
        <v>0</v>
      </c>
      <c r="L320" s="155">
        <f>SUMIFS('recurring2_based on steps'!$B320:$AY320,'recurring2_based on steps'!$B$1:$AY$1,L$1)+SUMIFS('changes2_based on steps'!$B320:$U320,'changes2_based on steps'!$B$1:$U$1,L$1)</f>
        <v>0</v>
      </c>
      <c r="M320" s="155">
        <f ca="1">SUMIFS('recurring2_based on steps'!$B320:$AY320,'recurring2_based on steps'!$B$1:$AY$1,M$1)+SUMIFS('changes2_based on steps'!$B320:$U320,'changes2_based on steps'!$B$1:$U$1,M$1)</f>
        <v>0</v>
      </c>
      <c r="N320" s="155">
        <f ca="1">SUMIFS('recurring2_based on steps'!$B320:$AY320,'recurring2_based on steps'!$B$1:$AY$1,N$1)+SUMIFS('changes2_based on steps'!$B320:$U320,'changes2_based on steps'!$B$1:$U$1,N$1)</f>
        <v>0</v>
      </c>
      <c r="O320" s="155">
        <f ca="1">SUMIFS('recurring2_based on steps'!$B320:$AY320,'recurring2_based on steps'!$B$1:$AY$1,O$1)+SUMIFS('changes2_based on steps'!$B320:$U320,'changes2_based on steps'!$B$1:$U$1,O$1)</f>
        <v>0</v>
      </c>
      <c r="P320" s="155">
        <f ca="1">SUMIFS('recurring2_based on steps'!$B320:$AY320,'recurring2_based on steps'!$B$1:$AY$1,P$1)+SUMIFS('changes2_based on steps'!$B320:$U320,'changes2_based on steps'!$B$1:$U$1,P$1)</f>
        <v>50</v>
      </c>
      <c r="Q320" s="155">
        <f>SUMIFS('recurring2_based on steps'!$B320:$AY320,'recurring2_based on steps'!$B$1:$AY$1,Q$1)+SUMIFS('changes2_based on steps'!$B320:$U320,'changes2_based on steps'!$B$1:$U$1,Q$1)</f>
        <v>0</v>
      </c>
      <c r="R320" s="155">
        <f ca="1">SUMIFS('recurring2_based on steps'!$B320:$AY320,'recurring2_based on steps'!$B$1:$AY$1,R$1)+SUMIFS('changes2_based on steps'!$B320:$U320,'changes2_based on steps'!$B$1:$U$1,R$1)</f>
        <v>0</v>
      </c>
      <c r="S320" s="155">
        <f ca="1">SUMIFS('recurring2_based on steps'!$B320:$AY320,'recurring2_based on steps'!$B$1:$AY$1,S$1)+SUMIFS('changes2_based on steps'!$B320:$U320,'changes2_based on steps'!$B$1:$U$1,S$1)</f>
        <v>0</v>
      </c>
      <c r="T320" s="155">
        <f>SUMIFS('recurring2_based on steps'!$B320:$AY320,'recurring2_based on steps'!$B$1:$AY$1,T$1)+SUMIFS('changes2_based on steps'!$B320:$U320,'changes2_based on steps'!$B$1:$U$1,T$1)</f>
        <v>0</v>
      </c>
      <c r="U320" s="155">
        <f ca="1">SUMIFS('recurring2_based on steps'!$B320:$AY320,'recurring2_based on steps'!$B$1:$AY$1,U$1)+SUMIFS('changes2_based on steps'!$B320:$U320,'changes2_based on steps'!$B$1:$U$1,U$1)</f>
        <v>0</v>
      </c>
      <c r="V320" s="155">
        <f>SUMIFS('recurring2_based on steps'!$B320:$AY320,'recurring2_based on steps'!$B$1:$AY$1,V$1)+SUMIFS('changes2_based on steps'!$B320:$U320,'changes2_based on steps'!$B$1:$U$1,V$1)</f>
        <v>0</v>
      </c>
      <c r="W320" s="155">
        <f ca="1">SUMIFS('recurring2_based on steps'!$B320:$AY320,'recurring2_based on steps'!$B$1:$AY$1,W$1)+SUMIFS('changes2_based on steps'!$B320:$U320,'changes2_based on steps'!$B$1:$U$1,W$1)</f>
        <v>0</v>
      </c>
      <c r="X320" s="155">
        <f ca="1">SUMIFS('recurring2_based on steps'!$B320:$AY320,'recurring2_based on steps'!$B$1:$AY$1,X$1)+SUMIFS('changes2_based on steps'!$B320:$U320,'changes2_based on steps'!$B$1:$U$1,X$1)</f>
        <v>0</v>
      </c>
      <c r="Y320" s="155">
        <f ca="1">SUMIFS('recurring2_based on steps'!$B320:$AY320,'recurring2_based on steps'!$B$1:$AY$1,Y$1)+SUMIFS('changes2_based on steps'!$B320:$U320,'changes2_based on steps'!$B$1:$U$1,Y$1)</f>
        <v>0</v>
      </c>
      <c r="Z320" s="155">
        <f>SUMIFS('recurring2_based on steps'!$B320:$AY320,'recurring2_based on steps'!$B$1:$AY$1,Z$1)+SUMIFS('changes2_based on steps'!$B320:$U320,'changes2_based on steps'!$B$1:$U$1,Z$1)</f>
        <v>0</v>
      </c>
      <c r="AA320" s="155">
        <f>SUMIFS('recurring2_based on steps'!$B320:$AY320,'recurring2_based on steps'!$B$1:$AY$1,AA$1)+SUMIFS('changes2_based on steps'!$B320:$U320,'changes2_based on steps'!$B$1:$U$1,AA$1)</f>
        <v>0</v>
      </c>
    </row>
    <row r="321" spans="1:27" x14ac:dyDescent="0.2">
      <c r="A321" s="18">
        <f t="shared" ca="1" si="4"/>
        <v>46007</v>
      </c>
      <c r="B321" s="155">
        <f ca="1">SUMIFS('recurring2_based on steps'!$B321:$AY321,'recurring2_based on steps'!$B$1:$AY$1,B$1)+SUMIFS('changes2_based on steps'!$B321:$U321,'changes2_based on steps'!$B$1:$U$1,B$1)</f>
        <v>0</v>
      </c>
      <c r="C321" s="155">
        <f>SUMIFS('recurring2_based on steps'!$B321:$AY321,'recurring2_based on steps'!$B$1:$AY$1,C$1)+SUMIFS('changes2_based on steps'!$B321:$U321,'changes2_based on steps'!$B$1:$U$1,C$1)</f>
        <v>0</v>
      </c>
      <c r="D321" s="155">
        <f>SUMIFS('recurring2_based on steps'!$B321:$AY321,'recurring2_based on steps'!$B$1:$AY$1,D$1)+SUMIFS('changes2_based on steps'!$B321:$U321,'changes2_based on steps'!$B$1:$U$1,D$1)</f>
        <v>0</v>
      </c>
      <c r="E321" s="155">
        <f>SUMIFS('recurring2_based on steps'!$B321:$AY321,'recurring2_based on steps'!$B$1:$AY$1,E$1)+SUMIFS('changes2_based on steps'!$B321:$U321,'changes2_based on steps'!$B$1:$U$1,E$1)</f>
        <v>0</v>
      </c>
      <c r="F321" s="155">
        <f>SUMIFS('recurring2_based on steps'!$B321:$AY321,'recurring2_based on steps'!$B$1:$AY$1,F$1)+SUMIFS('changes2_based on steps'!$B321:$U321,'changes2_based on steps'!$B$1:$U$1,F$1)</f>
        <v>0</v>
      </c>
      <c r="G321" s="155">
        <f>SUMIFS('recurring2_based on steps'!$B321:$AY321,'recurring2_based on steps'!$B$1:$AY$1,G$1)+SUMIFS('changes2_based on steps'!$B321:$U321,'changes2_based on steps'!$B$1:$U$1,G$1)</f>
        <v>0</v>
      </c>
      <c r="H321" s="155">
        <f ca="1">SUMIFS('recurring2_based on steps'!$B321:$AY321,'recurring2_based on steps'!$B$1:$AY$1,H$1)+SUMIFS('changes2_based on steps'!$B321:$U321,'changes2_based on steps'!$B$1:$U$1,H$1)</f>
        <v>0</v>
      </c>
      <c r="I321" s="155">
        <f>SUMIFS('recurring2_based on steps'!$B321:$AY321,'recurring2_based on steps'!$B$1:$AY$1,I$1)+SUMIFS('changes2_based on steps'!$B321:$U321,'changes2_based on steps'!$B$1:$U$1,I$1)</f>
        <v>0</v>
      </c>
      <c r="J321" s="155">
        <f>SUMIFS('recurring2_based on steps'!$B321:$AY321,'recurring2_based on steps'!$B$1:$AY$1,J$1)+SUMIFS('changes2_based on steps'!$B321:$U321,'changes2_based on steps'!$B$1:$U$1,J$1)</f>
        <v>0</v>
      </c>
      <c r="K321" s="155">
        <f>SUMIFS('recurring2_based on steps'!$B321:$AY321,'recurring2_based on steps'!$B$1:$AY$1,K$1)+SUMIFS('changes2_based on steps'!$B321:$U321,'changes2_based on steps'!$B$1:$U$1,K$1)</f>
        <v>0</v>
      </c>
      <c r="L321" s="155">
        <f>SUMIFS('recurring2_based on steps'!$B321:$AY321,'recurring2_based on steps'!$B$1:$AY$1,L$1)+SUMIFS('changes2_based on steps'!$B321:$U321,'changes2_based on steps'!$B$1:$U$1,L$1)</f>
        <v>0</v>
      </c>
      <c r="M321" s="155">
        <f ca="1">SUMIFS('recurring2_based on steps'!$B321:$AY321,'recurring2_based on steps'!$B$1:$AY$1,M$1)+SUMIFS('changes2_based on steps'!$B321:$U321,'changes2_based on steps'!$B$1:$U$1,M$1)</f>
        <v>0</v>
      </c>
      <c r="N321" s="155">
        <f ca="1">SUMIFS('recurring2_based on steps'!$B321:$AY321,'recurring2_based on steps'!$B$1:$AY$1,N$1)+SUMIFS('changes2_based on steps'!$B321:$U321,'changes2_based on steps'!$B$1:$U$1,N$1)</f>
        <v>0</v>
      </c>
      <c r="O321" s="155">
        <f ca="1">SUMIFS('recurring2_based on steps'!$B321:$AY321,'recurring2_based on steps'!$B$1:$AY$1,O$1)+SUMIFS('changes2_based on steps'!$B321:$U321,'changes2_based on steps'!$B$1:$U$1,O$1)</f>
        <v>0</v>
      </c>
      <c r="P321" s="155">
        <f ca="1">SUMIFS('recurring2_based on steps'!$B321:$AY321,'recurring2_based on steps'!$B$1:$AY$1,P$1)+SUMIFS('changes2_based on steps'!$B321:$U321,'changes2_based on steps'!$B$1:$U$1,P$1)</f>
        <v>0</v>
      </c>
      <c r="Q321" s="155">
        <f>SUMIFS('recurring2_based on steps'!$B321:$AY321,'recurring2_based on steps'!$B$1:$AY$1,Q$1)+SUMIFS('changes2_based on steps'!$B321:$U321,'changes2_based on steps'!$B$1:$U$1,Q$1)</f>
        <v>0</v>
      </c>
      <c r="R321" s="155">
        <f ca="1">SUMIFS('recurring2_based on steps'!$B321:$AY321,'recurring2_based on steps'!$B$1:$AY$1,R$1)+SUMIFS('changes2_based on steps'!$B321:$U321,'changes2_based on steps'!$B$1:$U$1,R$1)</f>
        <v>0</v>
      </c>
      <c r="S321" s="155">
        <f ca="1">SUMIFS('recurring2_based on steps'!$B321:$AY321,'recurring2_based on steps'!$B$1:$AY$1,S$1)+SUMIFS('changes2_based on steps'!$B321:$U321,'changes2_based on steps'!$B$1:$U$1,S$1)</f>
        <v>0</v>
      </c>
      <c r="T321" s="155">
        <f>SUMIFS('recurring2_based on steps'!$B321:$AY321,'recurring2_based on steps'!$B$1:$AY$1,T$1)+SUMIFS('changes2_based on steps'!$B321:$U321,'changes2_based on steps'!$B$1:$U$1,T$1)</f>
        <v>0</v>
      </c>
      <c r="U321" s="155">
        <f ca="1">SUMIFS('recurring2_based on steps'!$B321:$AY321,'recurring2_based on steps'!$B$1:$AY$1,U$1)+SUMIFS('changes2_based on steps'!$B321:$U321,'changes2_based on steps'!$B$1:$U$1,U$1)</f>
        <v>0</v>
      </c>
      <c r="V321" s="155">
        <f>SUMIFS('recurring2_based on steps'!$B321:$AY321,'recurring2_based on steps'!$B$1:$AY$1,V$1)+SUMIFS('changes2_based on steps'!$B321:$U321,'changes2_based on steps'!$B$1:$U$1,V$1)</f>
        <v>0</v>
      </c>
      <c r="W321" s="155">
        <f ca="1">SUMIFS('recurring2_based on steps'!$B321:$AY321,'recurring2_based on steps'!$B$1:$AY$1,W$1)+SUMIFS('changes2_based on steps'!$B321:$U321,'changes2_based on steps'!$B$1:$U$1,W$1)</f>
        <v>0</v>
      </c>
      <c r="X321" s="155">
        <f ca="1">SUMIFS('recurring2_based on steps'!$B321:$AY321,'recurring2_based on steps'!$B$1:$AY$1,X$1)+SUMIFS('changes2_based on steps'!$B321:$U321,'changes2_based on steps'!$B$1:$U$1,X$1)</f>
        <v>0</v>
      </c>
      <c r="Y321" s="155">
        <f ca="1">SUMIFS('recurring2_based on steps'!$B321:$AY321,'recurring2_based on steps'!$B$1:$AY$1,Y$1)+SUMIFS('changes2_based on steps'!$B321:$U321,'changes2_based on steps'!$B$1:$U$1,Y$1)</f>
        <v>0</v>
      </c>
      <c r="Z321" s="155">
        <f>SUMIFS('recurring2_based on steps'!$B321:$AY321,'recurring2_based on steps'!$B$1:$AY$1,Z$1)+SUMIFS('changes2_based on steps'!$B321:$U321,'changes2_based on steps'!$B$1:$U$1,Z$1)</f>
        <v>0</v>
      </c>
      <c r="AA321" s="155">
        <f>SUMIFS('recurring2_based on steps'!$B321:$AY321,'recurring2_based on steps'!$B$1:$AY$1,AA$1)+SUMIFS('changes2_based on steps'!$B321:$U321,'changes2_based on steps'!$B$1:$U$1,AA$1)</f>
        <v>0</v>
      </c>
    </row>
    <row r="322" spans="1:27" x14ac:dyDescent="0.2">
      <c r="A322" s="18">
        <f t="shared" ca="1" si="4"/>
        <v>46008</v>
      </c>
      <c r="B322" s="155">
        <f ca="1">SUMIFS('recurring2_based on steps'!$B322:$AY322,'recurring2_based on steps'!$B$1:$AY$1,B$1)+SUMIFS('changes2_based on steps'!$B322:$U322,'changes2_based on steps'!$B$1:$U$1,B$1)</f>
        <v>100</v>
      </c>
      <c r="C322" s="155">
        <f>SUMIFS('recurring2_based on steps'!$B322:$AY322,'recurring2_based on steps'!$B$1:$AY$1,C$1)+SUMIFS('changes2_based on steps'!$B322:$U322,'changes2_based on steps'!$B$1:$U$1,C$1)</f>
        <v>0</v>
      </c>
      <c r="D322" s="155">
        <f>SUMIFS('recurring2_based on steps'!$B322:$AY322,'recurring2_based on steps'!$B$1:$AY$1,D$1)+SUMIFS('changes2_based on steps'!$B322:$U322,'changes2_based on steps'!$B$1:$U$1,D$1)</f>
        <v>0</v>
      </c>
      <c r="E322" s="155">
        <f>SUMIFS('recurring2_based on steps'!$B322:$AY322,'recurring2_based on steps'!$B$1:$AY$1,E$1)+SUMIFS('changes2_based on steps'!$B322:$U322,'changes2_based on steps'!$B$1:$U$1,E$1)</f>
        <v>0</v>
      </c>
      <c r="F322" s="155">
        <f>SUMIFS('recurring2_based on steps'!$B322:$AY322,'recurring2_based on steps'!$B$1:$AY$1,F$1)+SUMIFS('changes2_based on steps'!$B322:$U322,'changes2_based on steps'!$B$1:$U$1,F$1)</f>
        <v>0</v>
      </c>
      <c r="G322" s="155">
        <f>SUMIFS('recurring2_based on steps'!$B322:$AY322,'recurring2_based on steps'!$B$1:$AY$1,G$1)+SUMIFS('changes2_based on steps'!$B322:$U322,'changes2_based on steps'!$B$1:$U$1,G$1)</f>
        <v>0</v>
      </c>
      <c r="H322" s="155">
        <f ca="1">SUMIFS('recurring2_based on steps'!$B322:$AY322,'recurring2_based on steps'!$B$1:$AY$1,H$1)+SUMIFS('changes2_based on steps'!$B322:$U322,'changes2_based on steps'!$B$1:$U$1,H$1)</f>
        <v>0</v>
      </c>
      <c r="I322" s="155">
        <f>SUMIFS('recurring2_based on steps'!$B322:$AY322,'recurring2_based on steps'!$B$1:$AY$1,I$1)+SUMIFS('changes2_based on steps'!$B322:$U322,'changes2_based on steps'!$B$1:$U$1,I$1)</f>
        <v>0</v>
      </c>
      <c r="J322" s="155">
        <f>SUMIFS('recurring2_based on steps'!$B322:$AY322,'recurring2_based on steps'!$B$1:$AY$1,J$1)+SUMIFS('changes2_based on steps'!$B322:$U322,'changes2_based on steps'!$B$1:$U$1,J$1)</f>
        <v>0</v>
      </c>
      <c r="K322" s="155">
        <f>SUMIFS('recurring2_based on steps'!$B322:$AY322,'recurring2_based on steps'!$B$1:$AY$1,K$1)+SUMIFS('changes2_based on steps'!$B322:$U322,'changes2_based on steps'!$B$1:$U$1,K$1)</f>
        <v>0</v>
      </c>
      <c r="L322" s="155">
        <f>SUMIFS('recurring2_based on steps'!$B322:$AY322,'recurring2_based on steps'!$B$1:$AY$1,L$1)+SUMIFS('changes2_based on steps'!$B322:$U322,'changes2_based on steps'!$B$1:$U$1,L$1)</f>
        <v>0</v>
      </c>
      <c r="M322" s="155">
        <f ca="1">SUMIFS('recurring2_based on steps'!$B322:$AY322,'recurring2_based on steps'!$B$1:$AY$1,M$1)+SUMIFS('changes2_based on steps'!$B322:$U322,'changes2_based on steps'!$B$1:$U$1,M$1)</f>
        <v>0</v>
      </c>
      <c r="N322" s="155">
        <f ca="1">SUMIFS('recurring2_based on steps'!$B322:$AY322,'recurring2_based on steps'!$B$1:$AY$1,N$1)+SUMIFS('changes2_based on steps'!$B322:$U322,'changes2_based on steps'!$B$1:$U$1,N$1)</f>
        <v>0</v>
      </c>
      <c r="O322" s="155">
        <f ca="1">SUMIFS('recurring2_based on steps'!$B322:$AY322,'recurring2_based on steps'!$B$1:$AY$1,O$1)+SUMIFS('changes2_based on steps'!$B322:$U322,'changes2_based on steps'!$B$1:$U$1,O$1)</f>
        <v>0</v>
      </c>
      <c r="P322" s="155">
        <f ca="1">SUMIFS('recurring2_based on steps'!$B322:$AY322,'recurring2_based on steps'!$B$1:$AY$1,P$1)+SUMIFS('changes2_based on steps'!$B322:$U322,'changes2_based on steps'!$B$1:$U$1,P$1)</f>
        <v>0</v>
      </c>
      <c r="Q322" s="155">
        <f>SUMIFS('recurring2_based on steps'!$B322:$AY322,'recurring2_based on steps'!$B$1:$AY$1,Q$1)+SUMIFS('changes2_based on steps'!$B322:$U322,'changes2_based on steps'!$B$1:$U$1,Q$1)</f>
        <v>0</v>
      </c>
      <c r="R322" s="155">
        <f ca="1">SUMIFS('recurring2_based on steps'!$B322:$AY322,'recurring2_based on steps'!$B$1:$AY$1,R$1)+SUMIFS('changes2_based on steps'!$B322:$U322,'changes2_based on steps'!$B$1:$U$1,R$1)</f>
        <v>0</v>
      </c>
      <c r="S322" s="155">
        <f ca="1">SUMIFS('recurring2_based on steps'!$B322:$AY322,'recurring2_based on steps'!$B$1:$AY$1,S$1)+SUMIFS('changes2_based on steps'!$B322:$U322,'changes2_based on steps'!$B$1:$U$1,S$1)</f>
        <v>0</v>
      </c>
      <c r="T322" s="155">
        <f>SUMIFS('recurring2_based on steps'!$B322:$AY322,'recurring2_based on steps'!$B$1:$AY$1,T$1)+SUMIFS('changes2_based on steps'!$B322:$U322,'changes2_based on steps'!$B$1:$U$1,T$1)</f>
        <v>0</v>
      </c>
      <c r="U322" s="155">
        <f ca="1">SUMIFS('recurring2_based on steps'!$B322:$AY322,'recurring2_based on steps'!$B$1:$AY$1,U$1)+SUMIFS('changes2_based on steps'!$B322:$U322,'changes2_based on steps'!$B$1:$U$1,U$1)</f>
        <v>15.49</v>
      </c>
      <c r="V322" s="155">
        <f>SUMIFS('recurring2_based on steps'!$B322:$AY322,'recurring2_based on steps'!$B$1:$AY$1,V$1)+SUMIFS('changes2_based on steps'!$B322:$U322,'changes2_based on steps'!$B$1:$U$1,V$1)</f>
        <v>0</v>
      </c>
      <c r="W322" s="155">
        <f ca="1">SUMIFS('recurring2_based on steps'!$B322:$AY322,'recurring2_based on steps'!$B$1:$AY$1,W$1)+SUMIFS('changes2_based on steps'!$B322:$U322,'changes2_based on steps'!$B$1:$U$1,W$1)</f>
        <v>0</v>
      </c>
      <c r="X322" s="155">
        <f ca="1">SUMIFS('recurring2_based on steps'!$B322:$AY322,'recurring2_based on steps'!$B$1:$AY$1,X$1)+SUMIFS('changes2_based on steps'!$B322:$U322,'changes2_based on steps'!$B$1:$U$1,X$1)</f>
        <v>0</v>
      </c>
      <c r="Y322" s="155">
        <f ca="1">SUMIFS('recurring2_based on steps'!$B322:$AY322,'recurring2_based on steps'!$B$1:$AY$1,Y$1)+SUMIFS('changes2_based on steps'!$B322:$U322,'changes2_based on steps'!$B$1:$U$1,Y$1)</f>
        <v>200</v>
      </c>
      <c r="Z322" s="155">
        <f>SUMIFS('recurring2_based on steps'!$B322:$AY322,'recurring2_based on steps'!$B$1:$AY$1,Z$1)+SUMIFS('changes2_based on steps'!$B322:$U322,'changes2_based on steps'!$B$1:$U$1,Z$1)</f>
        <v>0</v>
      </c>
      <c r="AA322" s="155">
        <f>SUMIFS('recurring2_based on steps'!$B322:$AY322,'recurring2_based on steps'!$B$1:$AY$1,AA$1)+SUMIFS('changes2_based on steps'!$B322:$U322,'changes2_based on steps'!$B$1:$U$1,AA$1)</f>
        <v>0</v>
      </c>
    </row>
    <row r="323" spans="1:27" x14ac:dyDescent="0.2">
      <c r="A323" s="18">
        <f t="shared" ca="1" si="4"/>
        <v>46009</v>
      </c>
      <c r="B323" s="155">
        <f ca="1">SUMIFS('recurring2_based on steps'!$B323:$AY323,'recurring2_based on steps'!$B$1:$AY$1,B$1)+SUMIFS('changes2_based on steps'!$B323:$U323,'changes2_based on steps'!$B$1:$U$1,B$1)</f>
        <v>0</v>
      </c>
      <c r="C323" s="155">
        <f>SUMIFS('recurring2_based on steps'!$B323:$AY323,'recurring2_based on steps'!$B$1:$AY$1,C$1)+SUMIFS('changes2_based on steps'!$B323:$U323,'changes2_based on steps'!$B$1:$U$1,C$1)</f>
        <v>0</v>
      </c>
      <c r="D323" s="155">
        <f>SUMIFS('recurring2_based on steps'!$B323:$AY323,'recurring2_based on steps'!$B$1:$AY$1,D$1)+SUMIFS('changes2_based on steps'!$B323:$U323,'changes2_based on steps'!$B$1:$U$1,D$1)</f>
        <v>0</v>
      </c>
      <c r="E323" s="155">
        <f>SUMIFS('recurring2_based on steps'!$B323:$AY323,'recurring2_based on steps'!$B$1:$AY$1,E$1)+SUMIFS('changes2_based on steps'!$B323:$U323,'changes2_based on steps'!$B$1:$U$1,E$1)</f>
        <v>0</v>
      </c>
      <c r="F323" s="155">
        <f>SUMIFS('recurring2_based on steps'!$B323:$AY323,'recurring2_based on steps'!$B$1:$AY$1,F$1)+SUMIFS('changes2_based on steps'!$B323:$U323,'changes2_based on steps'!$B$1:$U$1,F$1)</f>
        <v>0</v>
      </c>
      <c r="G323" s="155">
        <f>SUMIFS('recurring2_based on steps'!$B323:$AY323,'recurring2_based on steps'!$B$1:$AY$1,G$1)+SUMIFS('changes2_based on steps'!$B323:$U323,'changes2_based on steps'!$B$1:$U$1,G$1)</f>
        <v>0</v>
      </c>
      <c r="H323" s="155">
        <f ca="1">SUMIFS('recurring2_based on steps'!$B323:$AY323,'recurring2_based on steps'!$B$1:$AY$1,H$1)+SUMIFS('changes2_based on steps'!$B323:$U323,'changes2_based on steps'!$B$1:$U$1,H$1)</f>
        <v>0</v>
      </c>
      <c r="I323" s="155">
        <f>SUMIFS('recurring2_based on steps'!$B323:$AY323,'recurring2_based on steps'!$B$1:$AY$1,I$1)+SUMIFS('changes2_based on steps'!$B323:$U323,'changes2_based on steps'!$B$1:$U$1,I$1)</f>
        <v>0</v>
      </c>
      <c r="J323" s="155">
        <f>SUMIFS('recurring2_based on steps'!$B323:$AY323,'recurring2_based on steps'!$B$1:$AY$1,J$1)+SUMIFS('changes2_based on steps'!$B323:$U323,'changes2_based on steps'!$B$1:$U$1,J$1)</f>
        <v>0</v>
      </c>
      <c r="K323" s="155">
        <f>SUMIFS('recurring2_based on steps'!$B323:$AY323,'recurring2_based on steps'!$B$1:$AY$1,K$1)+SUMIFS('changes2_based on steps'!$B323:$U323,'changes2_based on steps'!$B$1:$U$1,K$1)</f>
        <v>0</v>
      </c>
      <c r="L323" s="155">
        <f>SUMIFS('recurring2_based on steps'!$B323:$AY323,'recurring2_based on steps'!$B$1:$AY$1,L$1)+SUMIFS('changes2_based on steps'!$B323:$U323,'changes2_based on steps'!$B$1:$U$1,L$1)</f>
        <v>0</v>
      </c>
      <c r="M323" s="155">
        <f ca="1">SUMIFS('recurring2_based on steps'!$B323:$AY323,'recurring2_based on steps'!$B$1:$AY$1,M$1)+SUMIFS('changes2_based on steps'!$B323:$U323,'changes2_based on steps'!$B$1:$U$1,M$1)</f>
        <v>0</v>
      </c>
      <c r="N323" s="155">
        <f ca="1">SUMIFS('recurring2_based on steps'!$B323:$AY323,'recurring2_based on steps'!$B$1:$AY$1,N$1)+SUMIFS('changes2_based on steps'!$B323:$U323,'changes2_based on steps'!$B$1:$U$1,N$1)</f>
        <v>0</v>
      </c>
      <c r="O323" s="155">
        <f ca="1">SUMIFS('recurring2_based on steps'!$B323:$AY323,'recurring2_based on steps'!$B$1:$AY$1,O$1)+SUMIFS('changes2_based on steps'!$B323:$U323,'changes2_based on steps'!$B$1:$U$1,O$1)</f>
        <v>0</v>
      </c>
      <c r="P323" s="155">
        <f ca="1">SUMIFS('recurring2_based on steps'!$B323:$AY323,'recurring2_based on steps'!$B$1:$AY$1,P$1)+SUMIFS('changes2_based on steps'!$B323:$U323,'changes2_based on steps'!$B$1:$U$1,P$1)</f>
        <v>0</v>
      </c>
      <c r="Q323" s="155">
        <f>SUMIFS('recurring2_based on steps'!$B323:$AY323,'recurring2_based on steps'!$B$1:$AY$1,Q$1)+SUMIFS('changes2_based on steps'!$B323:$U323,'changes2_based on steps'!$B$1:$U$1,Q$1)</f>
        <v>0</v>
      </c>
      <c r="R323" s="155">
        <f ca="1">SUMIFS('recurring2_based on steps'!$B323:$AY323,'recurring2_based on steps'!$B$1:$AY$1,R$1)+SUMIFS('changes2_based on steps'!$B323:$U323,'changes2_based on steps'!$B$1:$U$1,R$1)</f>
        <v>0</v>
      </c>
      <c r="S323" s="155">
        <f ca="1">SUMIFS('recurring2_based on steps'!$B323:$AY323,'recurring2_based on steps'!$B$1:$AY$1,S$1)+SUMIFS('changes2_based on steps'!$B323:$U323,'changes2_based on steps'!$B$1:$U$1,S$1)</f>
        <v>0</v>
      </c>
      <c r="T323" s="155">
        <f>SUMIFS('recurring2_based on steps'!$B323:$AY323,'recurring2_based on steps'!$B$1:$AY$1,T$1)+SUMIFS('changes2_based on steps'!$B323:$U323,'changes2_based on steps'!$B$1:$U$1,T$1)</f>
        <v>0</v>
      </c>
      <c r="U323" s="155">
        <f ca="1">SUMIFS('recurring2_based on steps'!$B323:$AY323,'recurring2_based on steps'!$B$1:$AY$1,U$1)+SUMIFS('changes2_based on steps'!$B323:$U323,'changes2_based on steps'!$B$1:$U$1,U$1)</f>
        <v>10.99</v>
      </c>
      <c r="V323" s="155">
        <f>SUMIFS('recurring2_based on steps'!$B323:$AY323,'recurring2_based on steps'!$B$1:$AY$1,V$1)+SUMIFS('changes2_based on steps'!$B323:$U323,'changes2_based on steps'!$B$1:$U$1,V$1)</f>
        <v>0</v>
      </c>
      <c r="W323" s="155">
        <f ca="1">SUMIFS('recurring2_based on steps'!$B323:$AY323,'recurring2_based on steps'!$B$1:$AY$1,W$1)+SUMIFS('changes2_based on steps'!$B323:$U323,'changes2_based on steps'!$B$1:$U$1,W$1)</f>
        <v>0</v>
      </c>
      <c r="X323" s="155">
        <f ca="1">SUMIFS('recurring2_based on steps'!$B323:$AY323,'recurring2_based on steps'!$B$1:$AY$1,X$1)+SUMIFS('changes2_based on steps'!$B323:$U323,'changes2_based on steps'!$B$1:$U$1,X$1)</f>
        <v>0</v>
      </c>
      <c r="Y323" s="155">
        <f ca="1">SUMIFS('recurring2_based on steps'!$B323:$AY323,'recurring2_based on steps'!$B$1:$AY$1,Y$1)+SUMIFS('changes2_based on steps'!$B323:$U323,'changes2_based on steps'!$B$1:$U$1,Y$1)</f>
        <v>0</v>
      </c>
      <c r="Z323" s="155">
        <f>SUMIFS('recurring2_based on steps'!$B323:$AY323,'recurring2_based on steps'!$B$1:$AY$1,Z$1)+SUMIFS('changes2_based on steps'!$B323:$U323,'changes2_based on steps'!$B$1:$U$1,Z$1)</f>
        <v>0</v>
      </c>
      <c r="AA323" s="155">
        <f>SUMIFS('recurring2_based on steps'!$B323:$AY323,'recurring2_based on steps'!$B$1:$AY$1,AA$1)+SUMIFS('changes2_based on steps'!$B323:$U323,'changes2_based on steps'!$B$1:$U$1,AA$1)</f>
        <v>0</v>
      </c>
    </row>
    <row r="324" spans="1:27" x14ac:dyDescent="0.2">
      <c r="A324" s="18">
        <f t="shared" ca="1" si="4"/>
        <v>46010</v>
      </c>
      <c r="B324" s="155">
        <f ca="1">SUMIFS('recurring2_based on steps'!$B324:$AY324,'recurring2_based on steps'!$B$1:$AY$1,B$1)+SUMIFS('changes2_based on steps'!$B324:$U324,'changes2_based on steps'!$B$1:$U$1,B$1)</f>
        <v>0</v>
      </c>
      <c r="C324" s="155">
        <f>SUMIFS('recurring2_based on steps'!$B324:$AY324,'recurring2_based on steps'!$B$1:$AY$1,C$1)+SUMIFS('changes2_based on steps'!$B324:$U324,'changes2_based on steps'!$B$1:$U$1,C$1)</f>
        <v>0</v>
      </c>
      <c r="D324" s="155">
        <f>SUMIFS('recurring2_based on steps'!$B324:$AY324,'recurring2_based on steps'!$B$1:$AY$1,D$1)+SUMIFS('changes2_based on steps'!$B324:$U324,'changes2_based on steps'!$B$1:$U$1,D$1)</f>
        <v>0</v>
      </c>
      <c r="E324" s="155">
        <f>SUMIFS('recurring2_based on steps'!$B324:$AY324,'recurring2_based on steps'!$B$1:$AY$1,E$1)+SUMIFS('changes2_based on steps'!$B324:$U324,'changes2_based on steps'!$B$1:$U$1,E$1)</f>
        <v>0</v>
      </c>
      <c r="F324" s="155">
        <f>SUMIFS('recurring2_based on steps'!$B324:$AY324,'recurring2_based on steps'!$B$1:$AY$1,F$1)+SUMIFS('changes2_based on steps'!$B324:$U324,'changes2_based on steps'!$B$1:$U$1,F$1)</f>
        <v>0</v>
      </c>
      <c r="G324" s="155">
        <f>SUMIFS('recurring2_based on steps'!$B324:$AY324,'recurring2_based on steps'!$B$1:$AY$1,G$1)+SUMIFS('changes2_based on steps'!$B324:$U324,'changes2_based on steps'!$B$1:$U$1,G$1)</f>
        <v>0</v>
      </c>
      <c r="H324" s="155">
        <f ca="1">SUMIFS('recurring2_based on steps'!$B324:$AY324,'recurring2_based on steps'!$B$1:$AY$1,H$1)+SUMIFS('changes2_based on steps'!$B324:$U324,'changes2_based on steps'!$B$1:$U$1,H$1)</f>
        <v>0</v>
      </c>
      <c r="I324" s="155">
        <f>SUMIFS('recurring2_based on steps'!$B324:$AY324,'recurring2_based on steps'!$B$1:$AY$1,I$1)+SUMIFS('changes2_based on steps'!$B324:$U324,'changes2_based on steps'!$B$1:$U$1,I$1)</f>
        <v>0</v>
      </c>
      <c r="J324" s="155">
        <f>SUMIFS('recurring2_based on steps'!$B324:$AY324,'recurring2_based on steps'!$B$1:$AY$1,J$1)+SUMIFS('changes2_based on steps'!$B324:$U324,'changes2_based on steps'!$B$1:$U$1,J$1)</f>
        <v>0</v>
      </c>
      <c r="K324" s="155">
        <f>SUMIFS('recurring2_based on steps'!$B324:$AY324,'recurring2_based on steps'!$B$1:$AY$1,K$1)+SUMIFS('changes2_based on steps'!$B324:$U324,'changes2_based on steps'!$B$1:$U$1,K$1)</f>
        <v>0</v>
      </c>
      <c r="L324" s="155">
        <f>SUMIFS('recurring2_based on steps'!$B324:$AY324,'recurring2_based on steps'!$B$1:$AY$1,L$1)+SUMIFS('changes2_based on steps'!$B324:$U324,'changes2_based on steps'!$B$1:$U$1,L$1)</f>
        <v>0</v>
      </c>
      <c r="M324" s="155">
        <f ca="1">SUMIFS('recurring2_based on steps'!$B324:$AY324,'recurring2_based on steps'!$B$1:$AY$1,M$1)+SUMIFS('changes2_based on steps'!$B324:$U324,'changes2_based on steps'!$B$1:$U$1,M$1)</f>
        <v>0</v>
      </c>
      <c r="N324" s="155">
        <f ca="1">SUMIFS('recurring2_based on steps'!$B324:$AY324,'recurring2_based on steps'!$B$1:$AY$1,N$1)+SUMIFS('changes2_based on steps'!$B324:$U324,'changes2_based on steps'!$B$1:$U$1,N$1)</f>
        <v>0</v>
      </c>
      <c r="O324" s="155">
        <f ca="1">SUMIFS('recurring2_based on steps'!$B324:$AY324,'recurring2_based on steps'!$B$1:$AY$1,O$1)+SUMIFS('changes2_based on steps'!$B324:$U324,'changes2_based on steps'!$B$1:$U$1,O$1)</f>
        <v>0</v>
      </c>
      <c r="P324" s="155">
        <f ca="1">SUMIFS('recurring2_based on steps'!$B324:$AY324,'recurring2_based on steps'!$B$1:$AY$1,P$1)+SUMIFS('changes2_based on steps'!$B324:$U324,'changes2_based on steps'!$B$1:$U$1,P$1)</f>
        <v>0</v>
      </c>
      <c r="Q324" s="155">
        <f>SUMIFS('recurring2_based on steps'!$B324:$AY324,'recurring2_based on steps'!$B$1:$AY$1,Q$1)+SUMIFS('changes2_based on steps'!$B324:$U324,'changes2_based on steps'!$B$1:$U$1,Q$1)</f>
        <v>0</v>
      </c>
      <c r="R324" s="155">
        <f ca="1">SUMIFS('recurring2_based on steps'!$B324:$AY324,'recurring2_based on steps'!$B$1:$AY$1,R$1)+SUMIFS('changes2_based on steps'!$B324:$U324,'changes2_based on steps'!$B$1:$U$1,R$1)</f>
        <v>0</v>
      </c>
      <c r="S324" s="155">
        <f ca="1">SUMIFS('recurring2_based on steps'!$B324:$AY324,'recurring2_based on steps'!$B$1:$AY$1,S$1)+SUMIFS('changes2_based on steps'!$B324:$U324,'changes2_based on steps'!$B$1:$U$1,S$1)</f>
        <v>0</v>
      </c>
      <c r="T324" s="155">
        <f>SUMIFS('recurring2_based on steps'!$B324:$AY324,'recurring2_based on steps'!$B$1:$AY$1,T$1)+SUMIFS('changes2_based on steps'!$B324:$U324,'changes2_based on steps'!$B$1:$U$1,T$1)</f>
        <v>0</v>
      </c>
      <c r="U324" s="155">
        <f ca="1">SUMIFS('recurring2_based on steps'!$B324:$AY324,'recurring2_based on steps'!$B$1:$AY$1,U$1)+SUMIFS('changes2_based on steps'!$B324:$U324,'changes2_based on steps'!$B$1:$U$1,U$1)</f>
        <v>0</v>
      </c>
      <c r="V324" s="155">
        <f>SUMIFS('recurring2_based on steps'!$B324:$AY324,'recurring2_based on steps'!$B$1:$AY$1,V$1)+SUMIFS('changes2_based on steps'!$B324:$U324,'changes2_based on steps'!$B$1:$U$1,V$1)</f>
        <v>0</v>
      </c>
      <c r="W324" s="155">
        <f ca="1">SUMIFS('recurring2_based on steps'!$B324:$AY324,'recurring2_based on steps'!$B$1:$AY$1,W$1)+SUMIFS('changes2_based on steps'!$B324:$U324,'changes2_based on steps'!$B$1:$U$1,W$1)</f>
        <v>0</v>
      </c>
      <c r="X324" s="155">
        <f ca="1">SUMIFS('recurring2_based on steps'!$B324:$AY324,'recurring2_based on steps'!$B$1:$AY$1,X$1)+SUMIFS('changes2_based on steps'!$B324:$U324,'changes2_based on steps'!$B$1:$U$1,X$1)</f>
        <v>0</v>
      </c>
      <c r="Y324" s="155">
        <f ca="1">SUMIFS('recurring2_based on steps'!$B324:$AY324,'recurring2_based on steps'!$B$1:$AY$1,Y$1)+SUMIFS('changes2_based on steps'!$B324:$U324,'changes2_based on steps'!$B$1:$U$1,Y$1)</f>
        <v>0</v>
      </c>
      <c r="Z324" s="155">
        <f>SUMIFS('recurring2_based on steps'!$B324:$AY324,'recurring2_based on steps'!$B$1:$AY$1,Z$1)+SUMIFS('changes2_based on steps'!$B324:$U324,'changes2_based on steps'!$B$1:$U$1,Z$1)</f>
        <v>0</v>
      </c>
      <c r="AA324" s="155">
        <f>SUMIFS('recurring2_based on steps'!$B324:$AY324,'recurring2_based on steps'!$B$1:$AY$1,AA$1)+SUMIFS('changes2_based on steps'!$B324:$U324,'changes2_based on steps'!$B$1:$U$1,AA$1)</f>
        <v>0</v>
      </c>
    </row>
    <row r="325" spans="1:27" x14ac:dyDescent="0.2">
      <c r="A325" s="18">
        <f t="shared" ref="A325:A369" ca="1" si="5">A324+1</f>
        <v>46011</v>
      </c>
      <c r="B325" s="155">
        <f ca="1">SUMIFS('recurring2_based on steps'!$B325:$AY325,'recurring2_based on steps'!$B$1:$AY$1,B$1)+SUMIFS('changes2_based on steps'!$B325:$U325,'changes2_based on steps'!$B$1:$U$1,B$1)</f>
        <v>0</v>
      </c>
      <c r="C325" s="155">
        <f>SUMIFS('recurring2_based on steps'!$B325:$AY325,'recurring2_based on steps'!$B$1:$AY$1,C$1)+SUMIFS('changes2_based on steps'!$B325:$U325,'changes2_based on steps'!$B$1:$U$1,C$1)</f>
        <v>0</v>
      </c>
      <c r="D325" s="155">
        <f>SUMIFS('recurring2_based on steps'!$B325:$AY325,'recurring2_based on steps'!$B$1:$AY$1,D$1)+SUMIFS('changes2_based on steps'!$B325:$U325,'changes2_based on steps'!$B$1:$U$1,D$1)</f>
        <v>0</v>
      </c>
      <c r="E325" s="155">
        <f>SUMIFS('recurring2_based on steps'!$B325:$AY325,'recurring2_based on steps'!$B$1:$AY$1,E$1)+SUMIFS('changes2_based on steps'!$B325:$U325,'changes2_based on steps'!$B$1:$U$1,E$1)</f>
        <v>0</v>
      </c>
      <c r="F325" s="155">
        <f>SUMIFS('recurring2_based on steps'!$B325:$AY325,'recurring2_based on steps'!$B$1:$AY$1,F$1)+SUMIFS('changes2_based on steps'!$B325:$U325,'changes2_based on steps'!$B$1:$U$1,F$1)</f>
        <v>0</v>
      </c>
      <c r="G325" s="155">
        <f>SUMIFS('recurring2_based on steps'!$B325:$AY325,'recurring2_based on steps'!$B$1:$AY$1,G$1)+SUMIFS('changes2_based on steps'!$B325:$U325,'changes2_based on steps'!$B$1:$U$1,G$1)</f>
        <v>0</v>
      </c>
      <c r="H325" s="155">
        <f ca="1">SUMIFS('recurring2_based on steps'!$B325:$AY325,'recurring2_based on steps'!$B$1:$AY$1,H$1)+SUMIFS('changes2_based on steps'!$B325:$U325,'changes2_based on steps'!$B$1:$U$1,H$1)</f>
        <v>0</v>
      </c>
      <c r="I325" s="155">
        <f>SUMIFS('recurring2_based on steps'!$B325:$AY325,'recurring2_based on steps'!$B$1:$AY$1,I$1)+SUMIFS('changes2_based on steps'!$B325:$U325,'changes2_based on steps'!$B$1:$U$1,I$1)</f>
        <v>0</v>
      </c>
      <c r="J325" s="155">
        <f>SUMIFS('recurring2_based on steps'!$B325:$AY325,'recurring2_based on steps'!$B$1:$AY$1,J$1)+SUMIFS('changes2_based on steps'!$B325:$U325,'changes2_based on steps'!$B$1:$U$1,J$1)</f>
        <v>0</v>
      </c>
      <c r="K325" s="155">
        <f>SUMIFS('recurring2_based on steps'!$B325:$AY325,'recurring2_based on steps'!$B$1:$AY$1,K$1)+SUMIFS('changes2_based on steps'!$B325:$U325,'changes2_based on steps'!$B$1:$U$1,K$1)</f>
        <v>0</v>
      </c>
      <c r="L325" s="155">
        <f>SUMIFS('recurring2_based on steps'!$B325:$AY325,'recurring2_based on steps'!$B$1:$AY$1,L$1)+SUMIFS('changes2_based on steps'!$B325:$U325,'changes2_based on steps'!$B$1:$U$1,L$1)</f>
        <v>0</v>
      </c>
      <c r="M325" s="155">
        <f ca="1">SUMIFS('recurring2_based on steps'!$B325:$AY325,'recurring2_based on steps'!$B$1:$AY$1,M$1)+SUMIFS('changes2_based on steps'!$B325:$U325,'changes2_based on steps'!$B$1:$U$1,M$1)</f>
        <v>0</v>
      </c>
      <c r="N325" s="155">
        <f ca="1">SUMIFS('recurring2_based on steps'!$B325:$AY325,'recurring2_based on steps'!$B$1:$AY$1,N$1)+SUMIFS('changes2_based on steps'!$B325:$U325,'changes2_based on steps'!$B$1:$U$1,N$1)</f>
        <v>0</v>
      </c>
      <c r="O325" s="155">
        <f ca="1">SUMIFS('recurring2_based on steps'!$B325:$AY325,'recurring2_based on steps'!$B$1:$AY$1,O$1)+SUMIFS('changes2_based on steps'!$B325:$U325,'changes2_based on steps'!$B$1:$U$1,O$1)</f>
        <v>0</v>
      </c>
      <c r="P325" s="155">
        <f ca="1">SUMIFS('recurring2_based on steps'!$B325:$AY325,'recurring2_based on steps'!$B$1:$AY$1,P$1)+SUMIFS('changes2_based on steps'!$B325:$U325,'changes2_based on steps'!$B$1:$U$1,P$1)</f>
        <v>0</v>
      </c>
      <c r="Q325" s="155">
        <f>SUMIFS('recurring2_based on steps'!$B325:$AY325,'recurring2_based on steps'!$B$1:$AY$1,Q$1)+SUMIFS('changes2_based on steps'!$B325:$U325,'changes2_based on steps'!$B$1:$U$1,Q$1)</f>
        <v>0</v>
      </c>
      <c r="R325" s="155">
        <f ca="1">SUMIFS('recurring2_based on steps'!$B325:$AY325,'recurring2_based on steps'!$B$1:$AY$1,R$1)+SUMIFS('changes2_based on steps'!$B325:$U325,'changes2_based on steps'!$B$1:$U$1,R$1)</f>
        <v>100</v>
      </c>
      <c r="S325" s="155">
        <f ca="1">SUMIFS('recurring2_based on steps'!$B325:$AY325,'recurring2_based on steps'!$B$1:$AY$1,S$1)+SUMIFS('changes2_based on steps'!$B325:$U325,'changes2_based on steps'!$B$1:$U$1,S$1)</f>
        <v>100</v>
      </c>
      <c r="T325" s="155">
        <f>SUMIFS('recurring2_based on steps'!$B325:$AY325,'recurring2_based on steps'!$B$1:$AY$1,T$1)+SUMIFS('changes2_based on steps'!$B325:$U325,'changes2_based on steps'!$B$1:$U$1,T$1)</f>
        <v>0</v>
      </c>
      <c r="U325" s="155">
        <f ca="1">SUMIFS('recurring2_based on steps'!$B325:$AY325,'recurring2_based on steps'!$B$1:$AY$1,U$1)+SUMIFS('changes2_based on steps'!$B325:$U325,'changes2_based on steps'!$B$1:$U$1,U$1)</f>
        <v>0</v>
      </c>
      <c r="V325" s="155">
        <f>SUMIFS('recurring2_based on steps'!$B325:$AY325,'recurring2_based on steps'!$B$1:$AY$1,V$1)+SUMIFS('changes2_based on steps'!$B325:$U325,'changes2_based on steps'!$B$1:$U$1,V$1)</f>
        <v>0</v>
      </c>
      <c r="W325" s="155">
        <f ca="1">SUMIFS('recurring2_based on steps'!$B325:$AY325,'recurring2_based on steps'!$B$1:$AY$1,W$1)+SUMIFS('changes2_based on steps'!$B325:$U325,'changes2_based on steps'!$B$1:$U$1,W$1)</f>
        <v>0</v>
      </c>
      <c r="X325" s="155">
        <f ca="1">SUMIFS('recurring2_based on steps'!$B325:$AY325,'recurring2_based on steps'!$B$1:$AY$1,X$1)+SUMIFS('changes2_based on steps'!$B325:$U325,'changes2_based on steps'!$B$1:$U$1,X$1)</f>
        <v>0</v>
      </c>
      <c r="Y325" s="155">
        <f ca="1">SUMIFS('recurring2_based on steps'!$B325:$AY325,'recurring2_based on steps'!$B$1:$AY$1,Y$1)+SUMIFS('changes2_based on steps'!$B325:$U325,'changes2_based on steps'!$B$1:$U$1,Y$1)</f>
        <v>0</v>
      </c>
      <c r="Z325" s="155">
        <f>SUMIFS('recurring2_based on steps'!$B325:$AY325,'recurring2_based on steps'!$B$1:$AY$1,Z$1)+SUMIFS('changes2_based on steps'!$B325:$U325,'changes2_based on steps'!$B$1:$U$1,Z$1)</f>
        <v>0</v>
      </c>
      <c r="AA325" s="155">
        <f>SUMIFS('recurring2_based on steps'!$B325:$AY325,'recurring2_based on steps'!$B$1:$AY$1,AA$1)+SUMIFS('changes2_based on steps'!$B325:$U325,'changes2_based on steps'!$B$1:$U$1,AA$1)</f>
        <v>0</v>
      </c>
    </row>
    <row r="326" spans="1:27" x14ac:dyDescent="0.2">
      <c r="A326" s="18">
        <f t="shared" ca="1" si="5"/>
        <v>46012</v>
      </c>
      <c r="B326" s="155">
        <f ca="1">SUMIFS('recurring2_based on steps'!$B326:$AY326,'recurring2_based on steps'!$B$1:$AY$1,B$1)+SUMIFS('changes2_based on steps'!$B326:$U326,'changes2_based on steps'!$B$1:$U$1,B$1)</f>
        <v>0</v>
      </c>
      <c r="C326" s="155">
        <f>SUMIFS('recurring2_based on steps'!$B326:$AY326,'recurring2_based on steps'!$B$1:$AY$1,C$1)+SUMIFS('changes2_based on steps'!$B326:$U326,'changes2_based on steps'!$B$1:$U$1,C$1)</f>
        <v>0</v>
      </c>
      <c r="D326" s="155">
        <f>SUMIFS('recurring2_based on steps'!$B326:$AY326,'recurring2_based on steps'!$B$1:$AY$1,D$1)+SUMIFS('changes2_based on steps'!$B326:$U326,'changes2_based on steps'!$B$1:$U$1,D$1)</f>
        <v>0</v>
      </c>
      <c r="E326" s="155">
        <f>SUMIFS('recurring2_based on steps'!$B326:$AY326,'recurring2_based on steps'!$B$1:$AY$1,E$1)+SUMIFS('changes2_based on steps'!$B326:$U326,'changes2_based on steps'!$B$1:$U$1,E$1)</f>
        <v>0</v>
      </c>
      <c r="F326" s="155">
        <f>SUMIFS('recurring2_based on steps'!$B326:$AY326,'recurring2_based on steps'!$B$1:$AY$1,F$1)+SUMIFS('changes2_based on steps'!$B326:$U326,'changes2_based on steps'!$B$1:$U$1,F$1)</f>
        <v>0</v>
      </c>
      <c r="G326" s="155">
        <f>SUMIFS('recurring2_based on steps'!$B326:$AY326,'recurring2_based on steps'!$B$1:$AY$1,G$1)+SUMIFS('changes2_based on steps'!$B326:$U326,'changes2_based on steps'!$B$1:$U$1,G$1)</f>
        <v>0</v>
      </c>
      <c r="H326" s="155">
        <f ca="1">SUMIFS('recurring2_based on steps'!$B326:$AY326,'recurring2_based on steps'!$B$1:$AY$1,H$1)+SUMIFS('changes2_based on steps'!$B326:$U326,'changes2_based on steps'!$B$1:$U$1,H$1)</f>
        <v>0</v>
      </c>
      <c r="I326" s="155">
        <f>SUMIFS('recurring2_based on steps'!$B326:$AY326,'recurring2_based on steps'!$B$1:$AY$1,I$1)+SUMIFS('changes2_based on steps'!$B326:$U326,'changes2_based on steps'!$B$1:$U$1,I$1)</f>
        <v>0</v>
      </c>
      <c r="J326" s="155">
        <f>SUMIFS('recurring2_based on steps'!$B326:$AY326,'recurring2_based on steps'!$B$1:$AY$1,J$1)+SUMIFS('changes2_based on steps'!$B326:$U326,'changes2_based on steps'!$B$1:$U$1,J$1)</f>
        <v>0</v>
      </c>
      <c r="K326" s="155">
        <f>SUMIFS('recurring2_based on steps'!$B326:$AY326,'recurring2_based on steps'!$B$1:$AY$1,K$1)+SUMIFS('changes2_based on steps'!$B326:$U326,'changes2_based on steps'!$B$1:$U$1,K$1)</f>
        <v>0</v>
      </c>
      <c r="L326" s="155">
        <f>SUMIFS('recurring2_based on steps'!$B326:$AY326,'recurring2_based on steps'!$B$1:$AY$1,L$1)+SUMIFS('changes2_based on steps'!$B326:$U326,'changes2_based on steps'!$B$1:$U$1,L$1)</f>
        <v>0</v>
      </c>
      <c r="M326" s="155">
        <f ca="1">SUMIFS('recurring2_based on steps'!$B326:$AY326,'recurring2_based on steps'!$B$1:$AY$1,M$1)+SUMIFS('changes2_based on steps'!$B326:$U326,'changes2_based on steps'!$B$1:$U$1,M$1)</f>
        <v>0</v>
      </c>
      <c r="N326" s="155">
        <f ca="1">SUMIFS('recurring2_based on steps'!$B326:$AY326,'recurring2_based on steps'!$B$1:$AY$1,N$1)+SUMIFS('changes2_based on steps'!$B326:$U326,'changes2_based on steps'!$B$1:$U$1,N$1)</f>
        <v>50</v>
      </c>
      <c r="O326" s="155">
        <f ca="1">SUMIFS('recurring2_based on steps'!$B326:$AY326,'recurring2_based on steps'!$B$1:$AY$1,O$1)+SUMIFS('changes2_based on steps'!$B326:$U326,'changes2_based on steps'!$B$1:$U$1,O$1)</f>
        <v>0</v>
      </c>
      <c r="P326" s="155">
        <f ca="1">SUMIFS('recurring2_based on steps'!$B326:$AY326,'recurring2_based on steps'!$B$1:$AY$1,P$1)+SUMIFS('changes2_based on steps'!$B326:$U326,'changes2_based on steps'!$B$1:$U$1,P$1)</f>
        <v>0</v>
      </c>
      <c r="Q326" s="155">
        <f>SUMIFS('recurring2_based on steps'!$B326:$AY326,'recurring2_based on steps'!$B$1:$AY$1,Q$1)+SUMIFS('changes2_based on steps'!$B326:$U326,'changes2_based on steps'!$B$1:$U$1,Q$1)</f>
        <v>0</v>
      </c>
      <c r="R326" s="155">
        <f ca="1">SUMIFS('recurring2_based on steps'!$B326:$AY326,'recurring2_based on steps'!$B$1:$AY$1,R$1)+SUMIFS('changes2_based on steps'!$B326:$U326,'changes2_based on steps'!$B$1:$U$1,R$1)</f>
        <v>0</v>
      </c>
      <c r="S326" s="155">
        <f ca="1">SUMIFS('recurring2_based on steps'!$B326:$AY326,'recurring2_based on steps'!$B$1:$AY$1,S$1)+SUMIFS('changes2_based on steps'!$B326:$U326,'changes2_based on steps'!$B$1:$U$1,S$1)</f>
        <v>100</v>
      </c>
      <c r="T326" s="155">
        <f>SUMIFS('recurring2_based on steps'!$B326:$AY326,'recurring2_based on steps'!$B$1:$AY$1,T$1)+SUMIFS('changes2_based on steps'!$B326:$U326,'changes2_based on steps'!$B$1:$U$1,T$1)</f>
        <v>0</v>
      </c>
      <c r="U326" s="155">
        <f ca="1">SUMIFS('recurring2_based on steps'!$B326:$AY326,'recurring2_based on steps'!$B$1:$AY$1,U$1)+SUMIFS('changes2_based on steps'!$B326:$U326,'changes2_based on steps'!$B$1:$U$1,U$1)</f>
        <v>0</v>
      </c>
      <c r="V326" s="155">
        <f>SUMIFS('recurring2_based on steps'!$B326:$AY326,'recurring2_based on steps'!$B$1:$AY$1,V$1)+SUMIFS('changes2_based on steps'!$B326:$U326,'changes2_based on steps'!$B$1:$U$1,V$1)</f>
        <v>0</v>
      </c>
      <c r="W326" s="155">
        <f ca="1">SUMIFS('recurring2_based on steps'!$B326:$AY326,'recurring2_based on steps'!$B$1:$AY$1,W$1)+SUMIFS('changes2_based on steps'!$B326:$U326,'changes2_based on steps'!$B$1:$U$1,W$1)</f>
        <v>0</v>
      </c>
      <c r="X326" s="155">
        <f ca="1">SUMIFS('recurring2_based on steps'!$B326:$AY326,'recurring2_based on steps'!$B$1:$AY$1,X$1)+SUMIFS('changes2_based on steps'!$B326:$U326,'changes2_based on steps'!$B$1:$U$1,X$1)</f>
        <v>0</v>
      </c>
      <c r="Y326" s="155">
        <f ca="1">SUMIFS('recurring2_based on steps'!$B326:$AY326,'recurring2_based on steps'!$B$1:$AY$1,Y$1)+SUMIFS('changes2_based on steps'!$B326:$U326,'changes2_based on steps'!$B$1:$U$1,Y$1)</f>
        <v>0</v>
      </c>
      <c r="Z326" s="155">
        <f>SUMIFS('recurring2_based on steps'!$B326:$AY326,'recurring2_based on steps'!$B$1:$AY$1,Z$1)+SUMIFS('changes2_based on steps'!$B326:$U326,'changes2_based on steps'!$B$1:$U$1,Z$1)</f>
        <v>0</v>
      </c>
      <c r="AA326" s="155">
        <f>SUMIFS('recurring2_based on steps'!$B326:$AY326,'recurring2_based on steps'!$B$1:$AY$1,AA$1)+SUMIFS('changes2_based on steps'!$B326:$U326,'changes2_based on steps'!$B$1:$U$1,AA$1)</f>
        <v>0</v>
      </c>
    </row>
    <row r="327" spans="1:27" x14ac:dyDescent="0.2">
      <c r="A327" s="18">
        <f t="shared" ca="1" si="5"/>
        <v>46013</v>
      </c>
      <c r="B327" s="155">
        <f ca="1">SUMIFS('recurring2_based on steps'!$B327:$AY327,'recurring2_based on steps'!$B$1:$AY$1,B$1)+SUMIFS('changes2_based on steps'!$B327:$U327,'changes2_based on steps'!$B$1:$U$1,B$1)</f>
        <v>0</v>
      </c>
      <c r="C327" s="155">
        <f>SUMIFS('recurring2_based on steps'!$B327:$AY327,'recurring2_based on steps'!$B$1:$AY$1,C$1)+SUMIFS('changes2_based on steps'!$B327:$U327,'changes2_based on steps'!$B$1:$U$1,C$1)</f>
        <v>0</v>
      </c>
      <c r="D327" s="155">
        <f>SUMIFS('recurring2_based on steps'!$B327:$AY327,'recurring2_based on steps'!$B$1:$AY$1,D$1)+SUMIFS('changes2_based on steps'!$B327:$U327,'changes2_based on steps'!$B$1:$U$1,D$1)</f>
        <v>0</v>
      </c>
      <c r="E327" s="155">
        <f>SUMIFS('recurring2_based on steps'!$B327:$AY327,'recurring2_based on steps'!$B$1:$AY$1,E$1)+SUMIFS('changes2_based on steps'!$B327:$U327,'changes2_based on steps'!$B$1:$U$1,E$1)</f>
        <v>0</v>
      </c>
      <c r="F327" s="155">
        <f>SUMIFS('recurring2_based on steps'!$B327:$AY327,'recurring2_based on steps'!$B$1:$AY$1,F$1)+SUMIFS('changes2_based on steps'!$B327:$U327,'changes2_based on steps'!$B$1:$U$1,F$1)</f>
        <v>0</v>
      </c>
      <c r="G327" s="155">
        <f>SUMIFS('recurring2_based on steps'!$B327:$AY327,'recurring2_based on steps'!$B$1:$AY$1,G$1)+SUMIFS('changes2_based on steps'!$B327:$U327,'changes2_based on steps'!$B$1:$U$1,G$1)</f>
        <v>0</v>
      </c>
      <c r="H327" s="155">
        <f ca="1">SUMIFS('recurring2_based on steps'!$B327:$AY327,'recurring2_based on steps'!$B$1:$AY$1,H$1)+SUMIFS('changes2_based on steps'!$B327:$U327,'changes2_based on steps'!$B$1:$U$1,H$1)</f>
        <v>0</v>
      </c>
      <c r="I327" s="155">
        <f>SUMIFS('recurring2_based on steps'!$B327:$AY327,'recurring2_based on steps'!$B$1:$AY$1,I$1)+SUMIFS('changes2_based on steps'!$B327:$U327,'changes2_based on steps'!$B$1:$U$1,I$1)</f>
        <v>0</v>
      </c>
      <c r="J327" s="155">
        <f>SUMIFS('recurring2_based on steps'!$B327:$AY327,'recurring2_based on steps'!$B$1:$AY$1,J$1)+SUMIFS('changes2_based on steps'!$B327:$U327,'changes2_based on steps'!$B$1:$U$1,J$1)</f>
        <v>0</v>
      </c>
      <c r="K327" s="155">
        <f>SUMIFS('recurring2_based on steps'!$B327:$AY327,'recurring2_based on steps'!$B$1:$AY$1,K$1)+SUMIFS('changes2_based on steps'!$B327:$U327,'changes2_based on steps'!$B$1:$U$1,K$1)</f>
        <v>0</v>
      </c>
      <c r="L327" s="155">
        <f>SUMIFS('recurring2_based on steps'!$B327:$AY327,'recurring2_based on steps'!$B$1:$AY$1,L$1)+SUMIFS('changes2_based on steps'!$B327:$U327,'changes2_based on steps'!$B$1:$U$1,L$1)</f>
        <v>0</v>
      </c>
      <c r="M327" s="155">
        <f ca="1">SUMIFS('recurring2_based on steps'!$B327:$AY327,'recurring2_based on steps'!$B$1:$AY$1,M$1)+SUMIFS('changes2_based on steps'!$B327:$U327,'changes2_based on steps'!$B$1:$U$1,M$1)</f>
        <v>0</v>
      </c>
      <c r="N327" s="155">
        <f ca="1">SUMIFS('recurring2_based on steps'!$B327:$AY327,'recurring2_based on steps'!$B$1:$AY$1,N$1)+SUMIFS('changes2_based on steps'!$B327:$U327,'changes2_based on steps'!$B$1:$U$1,N$1)</f>
        <v>0</v>
      </c>
      <c r="O327" s="155">
        <f ca="1">SUMIFS('recurring2_based on steps'!$B327:$AY327,'recurring2_based on steps'!$B$1:$AY$1,O$1)+SUMIFS('changes2_based on steps'!$B327:$U327,'changes2_based on steps'!$B$1:$U$1,O$1)</f>
        <v>0</v>
      </c>
      <c r="P327" s="155">
        <f ca="1">SUMIFS('recurring2_based on steps'!$B327:$AY327,'recurring2_based on steps'!$B$1:$AY$1,P$1)+SUMIFS('changes2_based on steps'!$B327:$U327,'changes2_based on steps'!$B$1:$U$1,P$1)</f>
        <v>0</v>
      </c>
      <c r="Q327" s="155">
        <f>SUMIFS('recurring2_based on steps'!$B327:$AY327,'recurring2_based on steps'!$B$1:$AY$1,Q$1)+SUMIFS('changes2_based on steps'!$B327:$U327,'changes2_based on steps'!$B$1:$U$1,Q$1)</f>
        <v>0</v>
      </c>
      <c r="R327" s="155">
        <f ca="1">SUMIFS('recurring2_based on steps'!$B327:$AY327,'recurring2_based on steps'!$B$1:$AY$1,R$1)+SUMIFS('changes2_based on steps'!$B327:$U327,'changes2_based on steps'!$B$1:$U$1,R$1)</f>
        <v>0</v>
      </c>
      <c r="S327" s="155">
        <f ca="1">SUMIFS('recurring2_based on steps'!$B327:$AY327,'recurring2_based on steps'!$B$1:$AY$1,S$1)+SUMIFS('changes2_based on steps'!$B327:$U327,'changes2_based on steps'!$B$1:$U$1,S$1)</f>
        <v>0</v>
      </c>
      <c r="T327" s="155">
        <f>SUMIFS('recurring2_based on steps'!$B327:$AY327,'recurring2_based on steps'!$B$1:$AY$1,T$1)+SUMIFS('changes2_based on steps'!$B327:$U327,'changes2_based on steps'!$B$1:$U$1,T$1)</f>
        <v>0</v>
      </c>
      <c r="U327" s="155">
        <f ca="1">SUMIFS('recurring2_based on steps'!$B327:$AY327,'recurring2_based on steps'!$B$1:$AY$1,U$1)+SUMIFS('changes2_based on steps'!$B327:$U327,'changes2_based on steps'!$B$1:$U$1,U$1)</f>
        <v>0</v>
      </c>
      <c r="V327" s="155">
        <f>SUMIFS('recurring2_based on steps'!$B327:$AY327,'recurring2_based on steps'!$B$1:$AY$1,V$1)+SUMIFS('changes2_based on steps'!$B327:$U327,'changes2_based on steps'!$B$1:$U$1,V$1)</f>
        <v>0</v>
      </c>
      <c r="W327" s="155">
        <f ca="1">SUMIFS('recurring2_based on steps'!$B327:$AY327,'recurring2_based on steps'!$B$1:$AY$1,W$1)+SUMIFS('changes2_based on steps'!$B327:$U327,'changes2_based on steps'!$B$1:$U$1,W$1)</f>
        <v>0</v>
      </c>
      <c r="X327" s="155">
        <f ca="1">SUMIFS('recurring2_based on steps'!$B327:$AY327,'recurring2_based on steps'!$B$1:$AY$1,X$1)+SUMIFS('changes2_based on steps'!$B327:$U327,'changes2_based on steps'!$B$1:$U$1,X$1)</f>
        <v>0</v>
      </c>
      <c r="Y327" s="155">
        <f ca="1">SUMIFS('recurring2_based on steps'!$B327:$AY327,'recurring2_based on steps'!$B$1:$AY$1,Y$1)+SUMIFS('changes2_based on steps'!$B327:$U327,'changes2_based on steps'!$B$1:$U$1,Y$1)</f>
        <v>0</v>
      </c>
      <c r="Z327" s="155">
        <f>SUMIFS('recurring2_based on steps'!$B327:$AY327,'recurring2_based on steps'!$B$1:$AY$1,Z$1)+SUMIFS('changes2_based on steps'!$B327:$U327,'changes2_based on steps'!$B$1:$U$1,Z$1)</f>
        <v>0</v>
      </c>
      <c r="AA327" s="155">
        <f>SUMIFS('recurring2_based on steps'!$B327:$AY327,'recurring2_based on steps'!$B$1:$AY$1,AA$1)+SUMIFS('changes2_based on steps'!$B327:$U327,'changes2_based on steps'!$B$1:$U$1,AA$1)</f>
        <v>0</v>
      </c>
    </row>
    <row r="328" spans="1:27" x14ac:dyDescent="0.2">
      <c r="A328" s="18">
        <f t="shared" ca="1" si="5"/>
        <v>46014</v>
      </c>
      <c r="B328" s="155">
        <f ca="1">SUMIFS('recurring2_based on steps'!$B328:$AY328,'recurring2_based on steps'!$B$1:$AY$1,B$1)+SUMIFS('changes2_based on steps'!$B328:$U328,'changes2_based on steps'!$B$1:$U$1,B$1)</f>
        <v>0</v>
      </c>
      <c r="C328" s="155">
        <f>SUMIFS('recurring2_based on steps'!$B328:$AY328,'recurring2_based on steps'!$B$1:$AY$1,C$1)+SUMIFS('changes2_based on steps'!$B328:$U328,'changes2_based on steps'!$B$1:$U$1,C$1)</f>
        <v>0</v>
      </c>
      <c r="D328" s="155">
        <f>SUMIFS('recurring2_based on steps'!$B328:$AY328,'recurring2_based on steps'!$B$1:$AY$1,D$1)+SUMIFS('changes2_based on steps'!$B328:$U328,'changes2_based on steps'!$B$1:$U$1,D$1)</f>
        <v>0</v>
      </c>
      <c r="E328" s="155">
        <f>SUMIFS('recurring2_based on steps'!$B328:$AY328,'recurring2_based on steps'!$B$1:$AY$1,E$1)+SUMIFS('changes2_based on steps'!$B328:$U328,'changes2_based on steps'!$B$1:$U$1,E$1)</f>
        <v>0</v>
      </c>
      <c r="F328" s="155">
        <f>SUMIFS('recurring2_based on steps'!$B328:$AY328,'recurring2_based on steps'!$B$1:$AY$1,F$1)+SUMIFS('changes2_based on steps'!$B328:$U328,'changes2_based on steps'!$B$1:$U$1,F$1)</f>
        <v>0</v>
      </c>
      <c r="G328" s="155">
        <f>SUMIFS('recurring2_based on steps'!$B328:$AY328,'recurring2_based on steps'!$B$1:$AY$1,G$1)+SUMIFS('changes2_based on steps'!$B328:$U328,'changes2_based on steps'!$B$1:$U$1,G$1)</f>
        <v>0</v>
      </c>
      <c r="H328" s="155">
        <f ca="1">SUMIFS('recurring2_based on steps'!$B328:$AY328,'recurring2_based on steps'!$B$1:$AY$1,H$1)+SUMIFS('changes2_based on steps'!$B328:$U328,'changes2_based on steps'!$B$1:$U$1,H$1)</f>
        <v>0</v>
      </c>
      <c r="I328" s="155">
        <f>SUMIFS('recurring2_based on steps'!$B328:$AY328,'recurring2_based on steps'!$B$1:$AY$1,I$1)+SUMIFS('changes2_based on steps'!$B328:$U328,'changes2_based on steps'!$B$1:$U$1,I$1)</f>
        <v>0</v>
      </c>
      <c r="J328" s="155">
        <f>SUMIFS('recurring2_based on steps'!$B328:$AY328,'recurring2_based on steps'!$B$1:$AY$1,J$1)+SUMIFS('changes2_based on steps'!$B328:$U328,'changes2_based on steps'!$B$1:$U$1,J$1)</f>
        <v>0</v>
      </c>
      <c r="K328" s="155">
        <f>SUMIFS('recurring2_based on steps'!$B328:$AY328,'recurring2_based on steps'!$B$1:$AY$1,K$1)+SUMIFS('changes2_based on steps'!$B328:$U328,'changes2_based on steps'!$B$1:$U$1,K$1)</f>
        <v>0</v>
      </c>
      <c r="L328" s="155">
        <f>SUMIFS('recurring2_based on steps'!$B328:$AY328,'recurring2_based on steps'!$B$1:$AY$1,L$1)+SUMIFS('changes2_based on steps'!$B328:$U328,'changes2_based on steps'!$B$1:$U$1,L$1)</f>
        <v>0</v>
      </c>
      <c r="M328" s="155">
        <f ca="1">SUMIFS('recurring2_based on steps'!$B328:$AY328,'recurring2_based on steps'!$B$1:$AY$1,M$1)+SUMIFS('changes2_based on steps'!$B328:$U328,'changes2_based on steps'!$B$1:$U$1,M$1)</f>
        <v>0</v>
      </c>
      <c r="N328" s="155">
        <f ca="1">SUMIFS('recurring2_based on steps'!$B328:$AY328,'recurring2_based on steps'!$B$1:$AY$1,N$1)+SUMIFS('changes2_based on steps'!$B328:$U328,'changes2_based on steps'!$B$1:$U$1,N$1)</f>
        <v>0</v>
      </c>
      <c r="O328" s="155">
        <f ca="1">SUMIFS('recurring2_based on steps'!$B328:$AY328,'recurring2_based on steps'!$B$1:$AY$1,O$1)+SUMIFS('changes2_based on steps'!$B328:$U328,'changes2_based on steps'!$B$1:$U$1,O$1)</f>
        <v>0</v>
      </c>
      <c r="P328" s="155">
        <f ca="1">SUMIFS('recurring2_based on steps'!$B328:$AY328,'recurring2_based on steps'!$B$1:$AY$1,P$1)+SUMIFS('changes2_based on steps'!$B328:$U328,'changes2_based on steps'!$B$1:$U$1,P$1)</f>
        <v>0</v>
      </c>
      <c r="Q328" s="155">
        <f>SUMIFS('recurring2_based on steps'!$B328:$AY328,'recurring2_based on steps'!$B$1:$AY$1,Q$1)+SUMIFS('changes2_based on steps'!$B328:$U328,'changes2_based on steps'!$B$1:$U$1,Q$1)</f>
        <v>0</v>
      </c>
      <c r="R328" s="155">
        <f ca="1">SUMIFS('recurring2_based on steps'!$B328:$AY328,'recurring2_based on steps'!$B$1:$AY$1,R$1)+SUMIFS('changes2_based on steps'!$B328:$U328,'changes2_based on steps'!$B$1:$U$1,R$1)</f>
        <v>0</v>
      </c>
      <c r="S328" s="155">
        <f ca="1">SUMIFS('recurring2_based on steps'!$B328:$AY328,'recurring2_based on steps'!$B$1:$AY$1,S$1)+SUMIFS('changes2_based on steps'!$B328:$U328,'changes2_based on steps'!$B$1:$U$1,S$1)</f>
        <v>0</v>
      </c>
      <c r="T328" s="155">
        <f>SUMIFS('recurring2_based on steps'!$B328:$AY328,'recurring2_based on steps'!$B$1:$AY$1,T$1)+SUMIFS('changes2_based on steps'!$B328:$U328,'changes2_based on steps'!$B$1:$U$1,T$1)</f>
        <v>0</v>
      </c>
      <c r="U328" s="155">
        <f ca="1">SUMIFS('recurring2_based on steps'!$B328:$AY328,'recurring2_based on steps'!$B$1:$AY$1,U$1)+SUMIFS('changes2_based on steps'!$B328:$U328,'changes2_based on steps'!$B$1:$U$1,U$1)</f>
        <v>0</v>
      </c>
      <c r="V328" s="155">
        <f>SUMIFS('recurring2_based on steps'!$B328:$AY328,'recurring2_based on steps'!$B$1:$AY$1,V$1)+SUMIFS('changes2_based on steps'!$B328:$U328,'changes2_based on steps'!$B$1:$U$1,V$1)</f>
        <v>0</v>
      </c>
      <c r="W328" s="155">
        <f ca="1">SUMIFS('recurring2_based on steps'!$B328:$AY328,'recurring2_based on steps'!$B$1:$AY$1,W$1)+SUMIFS('changes2_based on steps'!$B328:$U328,'changes2_based on steps'!$B$1:$U$1,W$1)</f>
        <v>0</v>
      </c>
      <c r="X328" s="155">
        <f ca="1">SUMIFS('recurring2_based on steps'!$B328:$AY328,'recurring2_based on steps'!$B$1:$AY$1,X$1)+SUMIFS('changes2_based on steps'!$B328:$U328,'changes2_based on steps'!$B$1:$U$1,X$1)</f>
        <v>0</v>
      </c>
      <c r="Y328" s="155">
        <f ca="1">SUMIFS('recurring2_based on steps'!$B328:$AY328,'recurring2_based on steps'!$B$1:$AY$1,Y$1)+SUMIFS('changes2_based on steps'!$B328:$U328,'changes2_based on steps'!$B$1:$U$1,Y$1)</f>
        <v>0</v>
      </c>
      <c r="Z328" s="155">
        <f>SUMIFS('recurring2_based on steps'!$B328:$AY328,'recurring2_based on steps'!$B$1:$AY$1,Z$1)+SUMIFS('changes2_based on steps'!$B328:$U328,'changes2_based on steps'!$B$1:$U$1,Z$1)</f>
        <v>0</v>
      </c>
      <c r="AA328" s="155">
        <f>SUMIFS('recurring2_based on steps'!$B328:$AY328,'recurring2_based on steps'!$B$1:$AY$1,AA$1)+SUMIFS('changes2_based on steps'!$B328:$U328,'changes2_based on steps'!$B$1:$U$1,AA$1)</f>
        <v>0</v>
      </c>
    </row>
    <row r="329" spans="1:27" x14ac:dyDescent="0.2">
      <c r="A329" s="18">
        <f t="shared" ca="1" si="5"/>
        <v>46015</v>
      </c>
      <c r="B329" s="155">
        <f ca="1">SUMIFS('recurring2_based on steps'!$B329:$AY329,'recurring2_based on steps'!$B$1:$AY$1,B$1)+SUMIFS('changes2_based on steps'!$B329:$U329,'changes2_based on steps'!$B$1:$U$1,B$1)</f>
        <v>0</v>
      </c>
      <c r="C329" s="155">
        <f>SUMIFS('recurring2_based on steps'!$B329:$AY329,'recurring2_based on steps'!$B$1:$AY$1,C$1)+SUMIFS('changes2_based on steps'!$B329:$U329,'changes2_based on steps'!$B$1:$U$1,C$1)</f>
        <v>0</v>
      </c>
      <c r="D329" s="155">
        <f>SUMIFS('recurring2_based on steps'!$B329:$AY329,'recurring2_based on steps'!$B$1:$AY$1,D$1)+SUMIFS('changes2_based on steps'!$B329:$U329,'changes2_based on steps'!$B$1:$U$1,D$1)</f>
        <v>0</v>
      </c>
      <c r="E329" s="155">
        <f>SUMIFS('recurring2_based on steps'!$B329:$AY329,'recurring2_based on steps'!$B$1:$AY$1,E$1)+SUMIFS('changes2_based on steps'!$B329:$U329,'changes2_based on steps'!$B$1:$U$1,E$1)</f>
        <v>0</v>
      </c>
      <c r="F329" s="155">
        <f>SUMIFS('recurring2_based on steps'!$B329:$AY329,'recurring2_based on steps'!$B$1:$AY$1,F$1)+SUMIFS('changes2_based on steps'!$B329:$U329,'changes2_based on steps'!$B$1:$U$1,F$1)</f>
        <v>0</v>
      </c>
      <c r="G329" s="155">
        <f>SUMIFS('recurring2_based on steps'!$B329:$AY329,'recurring2_based on steps'!$B$1:$AY$1,G$1)+SUMIFS('changes2_based on steps'!$B329:$U329,'changes2_based on steps'!$B$1:$U$1,G$1)</f>
        <v>0</v>
      </c>
      <c r="H329" s="155">
        <f ca="1">SUMIFS('recurring2_based on steps'!$B329:$AY329,'recurring2_based on steps'!$B$1:$AY$1,H$1)+SUMIFS('changes2_based on steps'!$B329:$U329,'changes2_based on steps'!$B$1:$U$1,H$1)</f>
        <v>0</v>
      </c>
      <c r="I329" s="155">
        <f>SUMIFS('recurring2_based on steps'!$B329:$AY329,'recurring2_based on steps'!$B$1:$AY$1,I$1)+SUMIFS('changes2_based on steps'!$B329:$U329,'changes2_based on steps'!$B$1:$U$1,I$1)</f>
        <v>0</v>
      </c>
      <c r="J329" s="155">
        <f>SUMIFS('recurring2_based on steps'!$B329:$AY329,'recurring2_based on steps'!$B$1:$AY$1,J$1)+SUMIFS('changes2_based on steps'!$B329:$U329,'changes2_based on steps'!$B$1:$U$1,J$1)</f>
        <v>0</v>
      </c>
      <c r="K329" s="155">
        <f>SUMIFS('recurring2_based on steps'!$B329:$AY329,'recurring2_based on steps'!$B$1:$AY$1,K$1)+SUMIFS('changes2_based on steps'!$B329:$U329,'changes2_based on steps'!$B$1:$U$1,K$1)</f>
        <v>0</v>
      </c>
      <c r="L329" s="155">
        <f>SUMIFS('recurring2_based on steps'!$B329:$AY329,'recurring2_based on steps'!$B$1:$AY$1,L$1)+SUMIFS('changes2_based on steps'!$B329:$U329,'changes2_based on steps'!$B$1:$U$1,L$1)</f>
        <v>0</v>
      </c>
      <c r="M329" s="155">
        <f ca="1">SUMIFS('recurring2_based on steps'!$B329:$AY329,'recurring2_based on steps'!$B$1:$AY$1,M$1)+SUMIFS('changes2_based on steps'!$B329:$U329,'changes2_based on steps'!$B$1:$U$1,M$1)</f>
        <v>0</v>
      </c>
      <c r="N329" s="155">
        <f ca="1">SUMIFS('recurring2_based on steps'!$B329:$AY329,'recurring2_based on steps'!$B$1:$AY$1,N$1)+SUMIFS('changes2_based on steps'!$B329:$U329,'changes2_based on steps'!$B$1:$U$1,N$1)</f>
        <v>0</v>
      </c>
      <c r="O329" s="155">
        <f ca="1">SUMIFS('recurring2_based on steps'!$B329:$AY329,'recurring2_based on steps'!$B$1:$AY$1,O$1)+SUMIFS('changes2_based on steps'!$B329:$U329,'changes2_based on steps'!$B$1:$U$1,O$1)</f>
        <v>50</v>
      </c>
      <c r="P329" s="155">
        <f ca="1">SUMIFS('recurring2_based on steps'!$B329:$AY329,'recurring2_based on steps'!$B$1:$AY$1,P$1)+SUMIFS('changes2_based on steps'!$B329:$U329,'changes2_based on steps'!$B$1:$U$1,P$1)</f>
        <v>0</v>
      </c>
      <c r="Q329" s="155">
        <f>SUMIFS('recurring2_based on steps'!$B329:$AY329,'recurring2_based on steps'!$B$1:$AY$1,Q$1)+SUMIFS('changes2_based on steps'!$B329:$U329,'changes2_based on steps'!$B$1:$U$1,Q$1)</f>
        <v>0</v>
      </c>
      <c r="R329" s="155">
        <f ca="1">SUMIFS('recurring2_based on steps'!$B329:$AY329,'recurring2_based on steps'!$B$1:$AY$1,R$1)+SUMIFS('changes2_based on steps'!$B329:$U329,'changes2_based on steps'!$B$1:$U$1,R$1)</f>
        <v>0</v>
      </c>
      <c r="S329" s="155">
        <f ca="1">SUMIFS('recurring2_based on steps'!$B329:$AY329,'recurring2_based on steps'!$B$1:$AY$1,S$1)+SUMIFS('changes2_based on steps'!$B329:$U329,'changes2_based on steps'!$B$1:$U$1,S$1)</f>
        <v>0</v>
      </c>
      <c r="T329" s="155">
        <f>SUMIFS('recurring2_based on steps'!$B329:$AY329,'recurring2_based on steps'!$B$1:$AY$1,T$1)+SUMIFS('changes2_based on steps'!$B329:$U329,'changes2_based on steps'!$B$1:$U$1,T$1)</f>
        <v>0</v>
      </c>
      <c r="U329" s="155">
        <f ca="1">SUMIFS('recurring2_based on steps'!$B329:$AY329,'recurring2_based on steps'!$B$1:$AY$1,U$1)+SUMIFS('changes2_based on steps'!$B329:$U329,'changes2_based on steps'!$B$1:$U$1,U$1)</f>
        <v>0</v>
      </c>
      <c r="V329" s="155">
        <f>SUMIFS('recurring2_based on steps'!$B329:$AY329,'recurring2_based on steps'!$B$1:$AY$1,V$1)+SUMIFS('changes2_based on steps'!$B329:$U329,'changes2_based on steps'!$B$1:$U$1,V$1)</f>
        <v>0</v>
      </c>
      <c r="W329" s="155">
        <f ca="1">SUMIFS('recurring2_based on steps'!$B329:$AY329,'recurring2_based on steps'!$B$1:$AY$1,W$1)+SUMIFS('changes2_based on steps'!$B329:$U329,'changes2_based on steps'!$B$1:$U$1,W$1)</f>
        <v>0</v>
      </c>
      <c r="X329" s="155">
        <f ca="1">SUMIFS('recurring2_based on steps'!$B329:$AY329,'recurring2_based on steps'!$B$1:$AY$1,X$1)+SUMIFS('changes2_based on steps'!$B329:$U329,'changes2_based on steps'!$B$1:$U$1,X$1)</f>
        <v>0</v>
      </c>
      <c r="Y329" s="155">
        <f ca="1">SUMIFS('recurring2_based on steps'!$B329:$AY329,'recurring2_based on steps'!$B$1:$AY$1,Y$1)+SUMIFS('changes2_based on steps'!$B329:$U329,'changes2_based on steps'!$B$1:$U$1,Y$1)</f>
        <v>0</v>
      </c>
      <c r="Z329" s="155">
        <f>SUMIFS('recurring2_based on steps'!$B329:$AY329,'recurring2_based on steps'!$B$1:$AY$1,Z$1)+SUMIFS('changes2_based on steps'!$B329:$U329,'changes2_based on steps'!$B$1:$U$1,Z$1)</f>
        <v>0</v>
      </c>
      <c r="AA329" s="155">
        <f>SUMIFS('recurring2_based on steps'!$B329:$AY329,'recurring2_based on steps'!$B$1:$AY$1,AA$1)+SUMIFS('changes2_based on steps'!$B329:$U329,'changes2_based on steps'!$B$1:$U$1,AA$1)</f>
        <v>0</v>
      </c>
    </row>
    <row r="330" spans="1:27" x14ac:dyDescent="0.2">
      <c r="A330" s="18">
        <f t="shared" ca="1" si="5"/>
        <v>46016</v>
      </c>
      <c r="B330" s="155">
        <f ca="1">SUMIFS('recurring2_based on steps'!$B330:$AY330,'recurring2_based on steps'!$B$1:$AY$1,B$1)+SUMIFS('changes2_based on steps'!$B330:$U330,'changes2_based on steps'!$B$1:$U$1,B$1)</f>
        <v>0</v>
      </c>
      <c r="C330" s="155">
        <f>SUMIFS('recurring2_based on steps'!$B330:$AY330,'recurring2_based on steps'!$B$1:$AY$1,C$1)+SUMIFS('changes2_based on steps'!$B330:$U330,'changes2_based on steps'!$B$1:$U$1,C$1)</f>
        <v>0</v>
      </c>
      <c r="D330" s="155">
        <f>SUMIFS('recurring2_based on steps'!$B330:$AY330,'recurring2_based on steps'!$B$1:$AY$1,D$1)+SUMIFS('changes2_based on steps'!$B330:$U330,'changes2_based on steps'!$B$1:$U$1,D$1)</f>
        <v>0</v>
      </c>
      <c r="E330" s="155">
        <f>SUMIFS('recurring2_based on steps'!$B330:$AY330,'recurring2_based on steps'!$B$1:$AY$1,E$1)+SUMIFS('changes2_based on steps'!$B330:$U330,'changes2_based on steps'!$B$1:$U$1,E$1)</f>
        <v>0</v>
      </c>
      <c r="F330" s="155">
        <f>SUMIFS('recurring2_based on steps'!$B330:$AY330,'recurring2_based on steps'!$B$1:$AY$1,F$1)+SUMIFS('changes2_based on steps'!$B330:$U330,'changes2_based on steps'!$B$1:$U$1,F$1)</f>
        <v>0</v>
      </c>
      <c r="G330" s="155">
        <f>SUMIFS('recurring2_based on steps'!$B330:$AY330,'recurring2_based on steps'!$B$1:$AY$1,G$1)+SUMIFS('changes2_based on steps'!$B330:$U330,'changes2_based on steps'!$B$1:$U$1,G$1)</f>
        <v>0</v>
      </c>
      <c r="H330" s="155">
        <f ca="1">SUMIFS('recurring2_based on steps'!$B330:$AY330,'recurring2_based on steps'!$B$1:$AY$1,H$1)+SUMIFS('changes2_based on steps'!$B330:$U330,'changes2_based on steps'!$B$1:$U$1,H$1)</f>
        <v>0</v>
      </c>
      <c r="I330" s="155">
        <f>SUMIFS('recurring2_based on steps'!$B330:$AY330,'recurring2_based on steps'!$B$1:$AY$1,I$1)+SUMIFS('changes2_based on steps'!$B330:$U330,'changes2_based on steps'!$B$1:$U$1,I$1)</f>
        <v>0</v>
      </c>
      <c r="J330" s="155">
        <f>SUMIFS('recurring2_based on steps'!$B330:$AY330,'recurring2_based on steps'!$B$1:$AY$1,J$1)+SUMIFS('changes2_based on steps'!$B330:$U330,'changes2_based on steps'!$B$1:$U$1,J$1)</f>
        <v>0</v>
      </c>
      <c r="K330" s="155">
        <f>SUMIFS('recurring2_based on steps'!$B330:$AY330,'recurring2_based on steps'!$B$1:$AY$1,K$1)+SUMIFS('changes2_based on steps'!$B330:$U330,'changes2_based on steps'!$B$1:$U$1,K$1)</f>
        <v>0</v>
      </c>
      <c r="L330" s="155">
        <f>SUMIFS('recurring2_based on steps'!$B330:$AY330,'recurring2_based on steps'!$B$1:$AY$1,L$1)+SUMIFS('changes2_based on steps'!$B330:$U330,'changes2_based on steps'!$B$1:$U$1,L$1)</f>
        <v>0</v>
      </c>
      <c r="M330" s="155">
        <f ca="1">SUMIFS('recurring2_based on steps'!$B330:$AY330,'recurring2_based on steps'!$B$1:$AY$1,M$1)+SUMIFS('changes2_based on steps'!$B330:$U330,'changes2_based on steps'!$B$1:$U$1,M$1)</f>
        <v>0</v>
      </c>
      <c r="N330" s="155">
        <f ca="1">SUMIFS('recurring2_based on steps'!$B330:$AY330,'recurring2_based on steps'!$B$1:$AY$1,N$1)+SUMIFS('changes2_based on steps'!$B330:$U330,'changes2_based on steps'!$B$1:$U$1,N$1)</f>
        <v>0</v>
      </c>
      <c r="O330" s="155">
        <f ca="1">SUMIFS('recurring2_based on steps'!$B330:$AY330,'recurring2_based on steps'!$B$1:$AY$1,O$1)+SUMIFS('changes2_based on steps'!$B330:$U330,'changes2_based on steps'!$B$1:$U$1,O$1)</f>
        <v>0</v>
      </c>
      <c r="P330" s="155">
        <f ca="1">SUMIFS('recurring2_based on steps'!$B330:$AY330,'recurring2_based on steps'!$B$1:$AY$1,P$1)+SUMIFS('changes2_based on steps'!$B330:$U330,'changes2_based on steps'!$B$1:$U$1,P$1)</f>
        <v>0</v>
      </c>
      <c r="Q330" s="155">
        <f>SUMIFS('recurring2_based on steps'!$B330:$AY330,'recurring2_based on steps'!$B$1:$AY$1,Q$1)+SUMIFS('changes2_based on steps'!$B330:$U330,'changes2_based on steps'!$B$1:$U$1,Q$1)</f>
        <v>0</v>
      </c>
      <c r="R330" s="155">
        <f ca="1">SUMIFS('recurring2_based on steps'!$B330:$AY330,'recurring2_based on steps'!$B$1:$AY$1,R$1)+SUMIFS('changes2_based on steps'!$B330:$U330,'changes2_based on steps'!$B$1:$U$1,R$1)</f>
        <v>0</v>
      </c>
      <c r="S330" s="155">
        <f ca="1">SUMIFS('recurring2_based on steps'!$B330:$AY330,'recurring2_based on steps'!$B$1:$AY$1,S$1)+SUMIFS('changes2_based on steps'!$B330:$U330,'changes2_based on steps'!$B$1:$U$1,S$1)</f>
        <v>0</v>
      </c>
      <c r="T330" s="155">
        <f>SUMIFS('recurring2_based on steps'!$B330:$AY330,'recurring2_based on steps'!$B$1:$AY$1,T$1)+SUMIFS('changes2_based on steps'!$B330:$U330,'changes2_based on steps'!$B$1:$U$1,T$1)</f>
        <v>0</v>
      </c>
      <c r="U330" s="155">
        <f ca="1">SUMIFS('recurring2_based on steps'!$B330:$AY330,'recurring2_based on steps'!$B$1:$AY$1,U$1)+SUMIFS('changes2_based on steps'!$B330:$U330,'changes2_based on steps'!$B$1:$U$1,U$1)</f>
        <v>0</v>
      </c>
      <c r="V330" s="155">
        <f>SUMIFS('recurring2_based on steps'!$B330:$AY330,'recurring2_based on steps'!$B$1:$AY$1,V$1)+SUMIFS('changes2_based on steps'!$B330:$U330,'changes2_based on steps'!$B$1:$U$1,V$1)</f>
        <v>0</v>
      </c>
      <c r="W330" s="155">
        <f ca="1">SUMIFS('recurring2_based on steps'!$B330:$AY330,'recurring2_based on steps'!$B$1:$AY$1,W$1)+SUMIFS('changes2_based on steps'!$B330:$U330,'changes2_based on steps'!$B$1:$U$1,W$1)</f>
        <v>0</v>
      </c>
      <c r="X330" s="155">
        <f ca="1">SUMIFS('recurring2_based on steps'!$B330:$AY330,'recurring2_based on steps'!$B$1:$AY$1,X$1)+SUMIFS('changes2_based on steps'!$B330:$U330,'changes2_based on steps'!$B$1:$U$1,X$1)</f>
        <v>0</v>
      </c>
      <c r="Y330" s="155">
        <f ca="1">SUMIFS('recurring2_based on steps'!$B330:$AY330,'recurring2_based on steps'!$B$1:$AY$1,Y$1)+SUMIFS('changes2_based on steps'!$B330:$U330,'changes2_based on steps'!$B$1:$U$1,Y$1)</f>
        <v>0</v>
      </c>
      <c r="Z330" s="155">
        <f>SUMIFS('recurring2_based on steps'!$B330:$AY330,'recurring2_based on steps'!$B$1:$AY$1,Z$1)+SUMIFS('changes2_based on steps'!$B330:$U330,'changes2_based on steps'!$B$1:$U$1,Z$1)</f>
        <v>0</v>
      </c>
      <c r="AA330" s="155">
        <f>SUMIFS('recurring2_based on steps'!$B330:$AY330,'recurring2_based on steps'!$B$1:$AY$1,AA$1)+SUMIFS('changes2_based on steps'!$B330:$U330,'changes2_based on steps'!$B$1:$U$1,AA$1)</f>
        <v>0</v>
      </c>
    </row>
    <row r="331" spans="1:27" x14ac:dyDescent="0.2">
      <c r="A331" s="18">
        <f t="shared" ca="1" si="5"/>
        <v>46017</v>
      </c>
      <c r="B331" s="155">
        <f ca="1">SUMIFS('recurring2_based on steps'!$B331:$AY331,'recurring2_based on steps'!$B$1:$AY$1,B$1)+SUMIFS('changes2_based on steps'!$B331:$U331,'changes2_based on steps'!$B$1:$U$1,B$1)</f>
        <v>4000</v>
      </c>
      <c r="C331" s="155">
        <f>SUMIFS('recurring2_based on steps'!$B331:$AY331,'recurring2_based on steps'!$B$1:$AY$1,C$1)+SUMIFS('changes2_based on steps'!$B331:$U331,'changes2_based on steps'!$B$1:$U$1,C$1)</f>
        <v>0</v>
      </c>
      <c r="D331" s="155">
        <f>SUMIFS('recurring2_based on steps'!$B331:$AY331,'recurring2_based on steps'!$B$1:$AY$1,D$1)+SUMIFS('changes2_based on steps'!$B331:$U331,'changes2_based on steps'!$B$1:$U$1,D$1)</f>
        <v>0</v>
      </c>
      <c r="E331" s="155">
        <f>SUMIFS('recurring2_based on steps'!$B331:$AY331,'recurring2_based on steps'!$B$1:$AY$1,E$1)+SUMIFS('changes2_based on steps'!$B331:$U331,'changes2_based on steps'!$B$1:$U$1,E$1)</f>
        <v>0</v>
      </c>
      <c r="F331" s="155">
        <f>SUMIFS('recurring2_based on steps'!$B331:$AY331,'recurring2_based on steps'!$B$1:$AY$1,F$1)+SUMIFS('changes2_based on steps'!$B331:$U331,'changes2_based on steps'!$B$1:$U$1,F$1)</f>
        <v>0</v>
      </c>
      <c r="G331" s="155">
        <f>SUMIFS('recurring2_based on steps'!$B331:$AY331,'recurring2_based on steps'!$B$1:$AY$1,G$1)+SUMIFS('changes2_based on steps'!$B331:$U331,'changes2_based on steps'!$B$1:$U$1,G$1)</f>
        <v>0</v>
      </c>
      <c r="H331" s="155">
        <f ca="1">SUMIFS('recurring2_based on steps'!$B331:$AY331,'recurring2_based on steps'!$B$1:$AY$1,H$1)+SUMIFS('changes2_based on steps'!$B331:$U331,'changes2_based on steps'!$B$1:$U$1,H$1)</f>
        <v>96</v>
      </c>
      <c r="I331" s="155">
        <f>SUMIFS('recurring2_based on steps'!$B331:$AY331,'recurring2_based on steps'!$B$1:$AY$1,I$1)+SUMIFS('changes2_based on steps'!$B331:$U331,'changes2_based on steps'!$B$1:$U$1,I$1)</f>
        <v>0</v>
      </c>
      <c r="J331" s="155">
        <f>SUMIFS('recurring2_based on steps'!$B331:$AY331,'recurring2_based on steps'!$B$1:$AY$1,J$1)+SUMIFS('changes2_based on steps'!$B331:$U331,'changes2_based on steps'!$B$1:$U$1,J$1)</f>
        <v>0</v>
      </c>
      <c r="K331" s="155">
        <f>SUMIFS('recurring2_based on steps'!$B331:$AY331,'recurring2_based on steps'!$B$1:$AY$1,K$1)+SUMIFS('changes2_based on steps'!$B331:$U331,'changes2_based on steps'!$B$1:$U$1,K$1)</f>
        <v>0</v>
      </c>
      <c r="L331" s="155">
        <f>SUMIFS('recurring2_based on steps'!$B331:$AY331,'recurring2_based on steps'!$B$1:$AY$1,L$1)+SUMIFS('changes2_based on steps'!$B331:$U331,'changes2_based on steps'!$B$1:$U$1,L$1)</f>
        <v>0</v>
      </c>
      <c r="M331" s="155">
        <f ca="1">SUMIFS('recurring2_based on steps'!$B331:$AY331,'recurring2_based on steps'!$B$1:$AY$1,M$1)+SUMIFS('changes2_based on steps'!$B331:$U331,'changes2_based on steps'!$B$1:$U$1,M$1)</f>
        <v>0</v>
      </c>
      <c r="N331" s="155">
        <f ca="1">SUMIFS('recurring2_based on steps'!$B331:$AY331,'recurring2_based on steps'!$B$1:$AY$1,N$1)+SUMIFS('changes2_based on steps'!$B331:$U331,'changes2_based on steps'!$B$1:$U$1,N$1)</f>
        <v>0</v>
      </c>
      <c r="O331" s="155">
        <f ca="1">SUMIFS('recurring2_based on steps'!$B331:$AY331,'recurring2_based on steps'!$B$1:$AY$1,O$1)+SUMIFS('changes2_based on steps'!$B331:$U331,'changes2_based on steps'!$B$1:$U$1,O$1)</f>
        <v>0</v>
      </c>
      <c r="P331" s="155">
        <f ca="1">SUMIFS('recurring2_based on steps'!$B331:$AY331,'recurring2_based on steps'!$B$1:$AY$1,P$1)+SUMIFS('changes2_based on steps'!$B331:$U331,'changes2_based on steps'!$B$1:$U$1,P$1)</f>
        <v>0</v>
      </c>
      <c r="Q331" s="155">
        <f>SUMIFS('recurring2_based on steps'!$B331:$AY331,'recurring2_based on steps'!$B$1:$AY$1,Q$1)+SUMIFS('changes2_based on steps'!$B331:$U331,'changes2_based on steps'!$B$1:$U$1,Q$1)</f>
        <v>0</v>
      </c>
      <c r="R331" s="155">
        <f ca="1">SUMIFS('recurring2_based on steps'!$B331:$AY331,'recurring2_based on steps'!$B$1:$AY$1,R$1)+SUMIFS('changes2_based on steps'!$B331:$U331,'changes2_based on steps'!$B$1:$U$1,R$1)</f>
        <v>0</v>
      </c>
      <c r="S331" s="155">
        <f ca="1">SUMIFS('recurring2_based on steps'!$B331:$AY331,'recurring2_based on steps'!$B$1:$AY$1,S$1)+SUMIFS('changes2_based on steps'!$B331:$U331,'changes2_based on steps'!$B$1:$U$1,S$1)</f>
        <v>0</v>
      </c>
      <c r="T331" s="155">
        <f>SUMIFS('recurring2_based on steps'!$B331:$AY331,'recurring2_based on steps'!$B$1:$AY$1,T$1)+SUMIFS('changes2_based on steps'!$B331:$U331,'changes2_based on steps'!$B$1:$U$1,T$1)</f>
        <v>0</v>
      </c>
      <c r="U331" s="155">
        <f ca="1">SUMIFS('recurring2_based on steps'!$B331:$AY331,'recurring2_based on steps'!$B$1:$AY$1,U$1)+SUMIFS('changes2_based on steps'!$B331:$U331,'changes2_based on steps'!$B$1:$U$1,U$1)</f>
        <v>0</v>
      </c>
      <c r="V331" s="155">
        <f>SUMIFS('recurring2_based on steps'!$B331:$AY331,'recurring2_based on steps'!$B$1:$AY$1,V$1)+SUMIFS('changes2_based on steps'!$B331:$U331,'changes2_based on steps'!$B$1:$U$1,V$1)</f>
        <v>0</v>
      </c>
      <c r="W331" s="155">
        <f ca="1">SUMIFS('recurring2_based on steps'!$B331:$AY331,'recurring2_based on steps'!$B$1:$AY$1,W$1)+SUMIFS('changes2_based on steps'!$B331:$U331,'changes2_based on steps'!$B$1:$U$1,W$1)</f>
        <v>50</v>
      </c>
      <c r="X331" s="155">
        <f ca="1">SUMIFS('recurring2_based on steps'!$B331:$AY331,'recurring2_based on steps'!$B$1:$AY$1,X$1)+SUMIFS('changes2_based on steps'!$B331:$U331,'changes2_based on steps'!$B$1:$U$1,X$1)</f>
        <v>200</v>
      </c>
      <c r="Y331" s="155">
        <f ca="1">SUMIFS('recurring2_based on steps'!$B331:$AY331,'recurring2_based on steps'!$B$1:$AY$1,Y$1)+SUMIFS('changes2_based on steps'!$B331:$U331,'changes2_based on steps'!$B$1:$U$1,Y$1)</f>
        <v>0</v>
      </c>
      <c r="Z331" s="155">
        <f>SUMIFS('recurring2_based on steps'!$B331:$AY331,'recurring2_based on steps'!$B$1:$AY$1,Z$1)+SUMIFS('changes2_based on steps'!$B331:$U331,'changes2_based on steps'!$B$1:$U$1,Z$1)</f>
        <v>0</v>
      </c>
      <c r="AA331" s="155">
        <f>SUMIFS('recurring2_based on steps'!$B331:$AY331,'recurring2_based on steps'!$B$1:$AY$1,AA$1)+SUMIFS('changes2_based on steps'!$B331:$U331,'changes2_based on steps'!$B$1:$U$1,AA$1)</f>
        <v>0</v>
      </c>
    </row>
    <row r="332" spans="1:27" x14ac:dyDescent="0.2">
      <c r="A332" s="18">
        <f t="shared" ca="1" si="5"/>
        <v>46018</v>
      </c>
      <c r="B332" s="155">
        <f ca="1">SUMIFS('recurring2_based on steps'!$B332:$AY332,'recurring2_based on steps'!$B$1:$AY$1,B$1)+SUMIFS('changes2_based on steps'!$B332:$U332,'changes2_based on steps'!$B$1:$U$1,B$1)</f>
        <v>0</v>
      </c>
      <c r="C332" s="155">
        <f>SUMIFS('recurring2_based on steps'!$B332:$AY332,'recurring2_based on steps'!$B$1:$AY$1,C$1)+SUMIFS('changes2_based on steps'!$B332:$U332,'changes2_based on steps'!$B$1:$U$1,C$1)</f>
        <v>0</v>
      </c>
      <c r="D332" s="155">
        <f>SUMIFS('recurring2_based on steps'!$B332:$AY332,'recurring2_based on steps'!$B$1:$AY$1,D$1)+SUMIFS('changes2_based on steps'!$B332:$U332,'changes2_based on steps'!$B$1:$U$1,D$1)</f>
        <v>0</v>
      </c>
      <c r="E332" s="155">
        <f>SUMIFS('recurring2_based on steps'!$B332:$AY332,'recurring2_based on steps'!$B$1:$AY$1,E$1)+SUMIFS('changes2_based on steps'!$B332:$U332,'changes2_based on steps'!$B$1:$U$1,E$1)</f>
        <v>0</v>
      </c>
      <c r="F332" s="155">
        <f>SUMIFS('recurring2_based on steps'!$B332:$AY332,'recurring2_based on steps'!$B$1:$AY$1,F$1)+SUMIFS('changes2_based on steps'!$B332:$U332,'changes2_based on steps'!$B$1:$U$1,F$1)</f>
        <v>0</v>
      </c>
      <c r="G332" s="155">
        <f>SUMIFS('recurring2_based on steps'!$B332:$AY332,'recurring2_based on steps'!$B$1:$AY$1,G$1)+SUMIFS('changes2_based on steps'!$B332:$U332,'changes2_based on steps'!$B$1:$U$1,G$1)</f>
        <v>0</v>
      </c>
      <c r="H332" s="155">
        <f ca="1">SUMIFS('recurring2_based on steps'!$B332:$AY332,'recurring2_based on steps'!$B$1:$AY$1,H$1)+SUMIFS('changes2_based on steps'!$B332:$U332,'changes2_based on steps'!$B$1:$U$1,H$1)</f>
        <v>0</v>
      </c>
      <c r="I332" s="155">
        <f>SUMIFS('recurring2_based on steps'!$B332:$AY332,'recurring2_based on steps'!$B$1:$AY$1,I$1)+SUMIFS('changes2_based on steps'!$B332:$U332,'changes2_based on steps'!$B$1:$U$1,I$1)</f>
        <v>0</v>
      </c>
      <c r="J332" s="155">
        <f>SUMIFS('recurring2_based on steps'!$B332:$AY332,'recurring2_based on steps'!$B$1:$AY$1,J$1)+SUMIFS('changes2_based on steps'!$B332:$U332,'changes2_based on steps'!$B$1:$U$1,J$1)</f>
        <v>0</v>
      </c>
      <c r="K332" s="155">
        <f>SUMIFS('recurring2_based on steps'!$B332:$AY332,'recurring2_based on steps'!$B$1:$AY$1,K$1)+SUMIFS('changes2_based on steps'!$B332:$U332,'changes2_based on steps'!$B$1:$U$1,K$1)</f>
        <v>0</v>
      </c>
      <c r="L332" s="155">
        <f>SUMIFS('recurring2_based on steps'!$B332:$AY332,'recurring2_based on steps'!$B$1:$AY$1,L$1)+SUMIFS('changes2_based on steps'!$B332:$U332,'changes2_based on steps'!$B$1:$U$1,L$1)</f>
        <v>0</v>
      </c>
      <c r="M332" s="155">
        <f ca="1">SUMIFS('recurring2_based on steps'!$B332:$AY332,'recurring2_based on steps'!$B$1:$AY$1,M$1)+SUMIFS('changes2_based on steps'!$B332:$U332,'changes2_based on steps'!$B$1:$U$1,M$1)</f>
        <v>0</v>
      </c>
      <c r="N332" s="155">
        <f ca="1">SUMIFS('recurring2_based on steps'!$B332:$AY332,'recurring2_based on steps'!$B$1:$AY$1,N$1)+SUMIFS('changes2_based on steps'!$B332:$U332,'changes2_based on steps'!$B$1:$U$1,N$1)</f>
        <v>0</v>
      </c>
      <c r="O332" s="155">
        <f ca="1">SUMIFS('recurring2_based on steps'!$B332:$AY332,'recurring2_based on steps'!$B$1:$AY$1,O$1)+SUMIFS('changes2_based on steps'!$B332:$U332,'changes2_based on steps'!$B$1:$U$1,O$1)</f>
        <v>0</v>
      </c>
      <c r="P332" s="155">
        <f ca="1">SUMIFS('recurring2_based on steps'!$B332:$AY332,'recurring2_based on steps'!$B$1:$AY$1,P$1)+SUMIFS('changes2_based on steps'!$B332:$U332,'changes2_based on steps'!$B$1:$U$1,P$1)</f>
        <v>0</v>
      </c>
      <c r="Q332" s="155">
        <f>SUMIFS('recurring2_based on steps'!$B332:$AY332,'recurring2_based on steps'!$B$1:$AY$1,Q$1)+SUMIFS('changes2_based on steps'!$B332:$U332,'changes2_based on steps'!$B$1:$U$1,Q$1)</f>
        <v>0</v>
      </c>
      <c r="R332" s="155">
        <f ca="1">SUMIFS('recurring2_based on steps'!$B332:$AY332,'recurring2_based on steps'!$B$1:$AY$1,R$1)+SUMIFS('changes2_based on steps'!$B332:$U332,'changes2_based on steps'!$B$1:$U$1,R$1)</f>
        <v>100</v>
      </c>
      <c r="S332" s="155">
        <f ca="1">SUMIFS('recurring2_based on steps'!$B332:$AY332,'recurring2_based on steps'!$B$1:$AY$1,S$1)+SUMIFS('changes2_based on steps'!$B332:$U332,'changes2_based on steps'!$B$1:$U$1,S$1)</f>
        <v>100</v>
      </c>
      <c r="T332" s="155">
        <f>SUMIFS('recurring2_based on steps'!$B332:$AY332,'recurring2_based on steps'!$B$1:$AY$1,T$1)+SUMIFS('changes2_based on steps'!$B332:$U332,'changes2_based on steps'!$B$1:$U$1,T$1)</f>
        <v>0</v>
      </c>
      <c r="U332" s="155">
        <f ca="1">SUMIFS('recurring2_based on steps'!$B332:$AY332,'recurring2_based on steps'!$B$1:$AY$1,U$1)+SUMIFS('changes2_based on steps'!$B332:$U332,'changes2_based on steps'!$B$1:$U$1,U$1)</f>
        <v>2.99</v>
      </c>
      <c r="V332" s="155">
        <f>SUMIFS('recurring2_based on steps'!$B332:$AY332,'recurring2_based on steps'!$B$1:$AY$1,V$1)+SUMIFS('changes2_based on steps'!$B332:$U332,'changes2_based on steps'!$B$1:$U$1,V$1)</f>
        <v>0</v>
      </c>
      <c r="W332" s="155">
        <f ca="1">SUMIFS('recurring2_based on steps'!$B332:$AY332,'recurring2_based on steps'!$B$1:$AY$1,W$1)+SUMIFS('changes2_based on steps'!$B332:$U332,'changes2_based on steps'!$B$1:$U$1,W$1)</f>
        <v>0</v>
      </c>
      <c r="X332" s="155">
        <f ca="1">SUMIFS('recurring2_based on steps'!$B332:$AY332,'recurring2_based on steps'!$B$1:$AY$1,X$1)+SUMIFS('changes2_based on steps'!$B332:$U332,'changes2_based on steps'!$B$1:$U$1,X$1)</f>
        <v>0</v>
      </c>
      <c r="Y332" s="155">
        <f ca="1">SUMIFS('recurring2_based on steps'!$B332:$AY332,'recurring2_based on steps'!$B$1:$AY$1,Y$1)+SUMIFS('changes2_based on steps'!$B332:$U332,'changes2_based on steps'!$B$1:$U$1,Y$1)</f>
        <v>0</v>
      </c>
      <c r="Z332" s="155">
        <f>SUMIFS('recurring2_based on steps'!$B332:$AY332,'recurring2_based on steps'!$B$1:$AY$1,Z$1)+SUMIFS('changes2_based on steps'!$B332:$U332,'changes2_based on steps'!$B$1:$U$1,Z$1)</f>
        <v>0</v>
      </c>
      <c r="AA332" s="155">
        <f>SUMIFS('recurring2_based on steps'!$B332:$AY332,'recurring2_based on steps'!$B$1:$AY$1,AA$1)+SUMIFS('changes2_based on steps'!$B332:$U332,'changes2_based on steps'!$B$1:$U$1,AA$1)</f>
        <v>0</v>
      </c>
    </row>
    <row r="333" spans="1:27" x14ac:dyDescent="0.2">
      <c r="A333" s="18">
        <f t="shared" ca="1" si="5"/>
        <v>46019</v>
      </c>
      <c r="B333" s="155">
        <f ca="1">SUMIFS('recurring2_based on steps'!$B333:$AY333,'recurring2_based on steps'!$B$1:$AY$1,B$1)+SUMIFS('changes2_based on steps'!$B333:$U333,'changes2_based on steps'!$B$1:$U$1,B$1)</f>
        <v>0</v>
      </c>
      <c r="C333" s="155">
        <f>SUMIFS('recurring2_based on steps'!$B333:$AY333,'recurring2_based on steps'!$B$1:$AY$1,C$1)+SUMIFS('changes2_based on steps'!$B333:$U333,'changes2_based on steps'!$B$1:$U$1,C$1)</f>
        <v>0</v>
      </c>
      <c r="D333" s="155">
        <f>SUMIFS('recurring2_based on steps'!$B333:$AY333,'recurring2_based on steps'!$B$1:$AY$1,D$1)+SUMIFS('changes2_based on steps'!$B333:$U333,'changes2_based on steps'!$B$1:$U$1,D$1)</f>
        <v>0</v>
      </c>
      <c r="E333" s="155">
        <f>SUMIFS('recurring2_based on steps'!$B333:$AY333,'recurring2_based on steps'!$B$1:$AY$1,E$1)+SUMIFS('changes2_based on steps'!$B333:$U333,'changes2_based on steps'!$B$1:$U$1,E$1)</f>
        <v>0</v>
      </c>
      <c r="F333" s="155">
        <f>SUMIFS('recurring2_based on steps'!$B333:$AY333,'recurring2_based on steps'!$B$1:$AY$1,F$1)+SUMIFS('changes2_based on steps'!$B333:$U333,'changes2_based on steps'!$B$1:$U$1,F$1)</f>
        <v>0</v>
      </c>
      <c r="G333" s="155">
        <f>SUMIFS('recurring2_based on steps'!$B333:$AY333,'recurring2_based on steps'!$B$1:$AY$1,G$1)+SUMIFS('changes2_based on steps'!$B333:$U333,'changes2_based on steps'!$B$1:$U$1,G$1)</f>
        <v>0</v>
      </c>
      <c r="H333" s="155">
        <f ca="1">SUMIFS('recurring2_based on steps'!$B333:$AY333,'recurring2_based on steps'!$B$1:$AY$1,H$1)+SUMIFS('changes2_based on steps'!$B333:$U333,'changes2_based on steps'!$B$1:$U$1,H$1)</f>
        <v>0</v>
      </c>
      <c r="I333" s="155">
        <f>SUMIFS('recurring2_based on steps'!$B333:$AY333,'recurring2_based on steps'!$B$1:$AY$1,I$1)+SUMIFS('changes2_based on steps'!$B333:$U333,'changes2_based on steps'!$B$1:$U$1,I$1)</f>
        <v>0</v>
      </c>
      <c r="J333" s="155">
        <f>SUMIFS('recurring2_based on steps'!$B333:$AY333,'recurring2_based on steps'!$B$1:$AY$1,J$1)+SUMIFS('changes2_based on steps'!$B333:$U333,'changes2_based on steps'!$B$1:$U$1,J$1)</f>
        <v>0</v>
      </c>
      <c r="K333" s="155">
        <f>SUMIFS('recurring2_based on steps'!$B333:$AY333,'recurring2_based on steps'!$B$1:$AY$1,K$1)+SUMIFS('changes2_based on steps'!$B333:$U333,'changes2_based on steps'!$B$1:$U$1,K$1)</f>
        <v>0</v>
      </c>
      <c r="L333" s="155">
        <f>SUMIFS('recurring2_based on steps'!$B333:$AY333,'recurring2_based on steps'!$B$1:$AY$1,L$1)+SUMIFS('changes2_based on steps'!$B333:$U333,'changes2_based on steps'!$B$1:$U$1,L$1)</f>
        <v>0</v>
      </c>
      <c r="M333" s="155">
        <f ca="1">SUMIFS('recurring2_based on steps'!$B333:$AY333,'recurring2_based on steps'!$B$1:$AY$1,M$1)+SUMIFS('changes2_based on steps'!$B333:$U333,'changes2_based on steps'!$B$1:$U$1,M$1)</f>
        <v>40</v>
      </c>
      <c r="N333" s="155">
        <f ca="1">SUMIFS('recurring2_based on steps'!$B333:$AY333,'recurring2_based on steps'!$B$1:$AY$1,N$1)+SUMIFS('changes2_based on steps'!$B333:$U333,'changes2_based on steps'!$B$1:$U$1,N$1)</f>
        <v>50</v>
      </c>
      <c r="O333" s="155">
        <f ca="1">SUMIFS('recurring2_based on steps'!$B333:$AY333,'recurring2_based on steps'!$B$1:$AY$1,O$1)+SUMIFS('changes2_based on steps'!$B333:$U333,'changes2_based on steps'!$B$1:$U$1,O$1)</f>
        <v>0</v>
      </c>
      <c r="P333" s="155">
        <f ca="1">SUMIFS('recurring2_based on steps'!$B333:$AY333,'recurring2_based on steps'!$B$1:$AY$1,P$1)+SUMIFS('changes2_based on steps'!$B333:$U333,'changes2_based on steps'!$B$1:$U$1,P$1)</f>
        <v>0</v>
      </c>
      <c r="Q333" s="155">
        <f>SUMIFS('recurring2_based on steps'!$B333:$AY333,'recurring2_based on steps'!$B$1:$AY$1,Q$1)+SUMIFS('changes2_based on steps'!$B333:$U333,'changes2_based on steps'!$B$1:$U$1,Q$1)</f>
        <v>0</v>
      </c>
      <c r="R333" s="155">
        <f ca="1">SUMIFS('recurring2_based on steps'!$B333:$AY333,'recurring2_based on steps'!$B$1:$AY$1,R$1)+SUMIFS('changes2_based on steps'!$B333:$U333,'changes2_based on steps'!$B$1:$U$1,R$1)</f>
        <v>0</v>
      </c>
      <c r="S333" s="155">
        <f ca="1">SUMIFS('recurring2_based on steps'!$B333:$AY333,'recurring2_based on steps'!$B$1:$AY$1,S$1)+SUMIFS('changes2_based on steps'!$B333:$U333,'changes2_based on steps'!$B$1:$U$1,S$1)</f>
        <v>100</v>
      </c>
      <c r="T333" s="155">
        <f>SUMIFS('recurring2_based on steps'!$B333:$AY333,'recurring2_based on steps'!$B$1:$AY$1,T$1)+SUMIFS('changes2_based on steps'!$B333:$U333,'changes2_based on steps'!$B$1:$U$1,T$1)</f>
        <v>0</v>
      </c>
      <c r="U333" s="155">
        <f ca="1">SUMIFS('recurring2_based on steps'!$B333:$AY333,'recurring2_based on steps'!$B$1:$AY$1,U$1)+SUMIFS('changes2_based on steps'!$B333:$U333,'changes2_based on steps'!$B$1:$U$1,U$1)</f>
        <v>0</v>
      </c>
      <c r="V333" s="155">
        <f>SUMIFS('recurring2_based on steps'!$B333:$AY333,'recurring2_based on steps'!$B$1:$AY$1,V$1)+SUMIFS('changes2_based on steps'!$B333:$U333,'changes2_based on steps'!$B$1:$U$1,V$1)</f>
        <v>0</v>
      </c>
      <c r="W333" s="155">
        <f ca="1">SUMIFS('recurring2_based on steps'!$B333:$AY333,'recurring2_based on steps'!$B$1:$AY$1,W$1)+SUMIFS('changes2_based on steps'!$B333:$U333,'changes2_based on steps'!$B$1:$U$1,W$1)</f>
        <v>0</v>
      </c>
      <c r="X333" s="155">
        <f ca="1">SUMIFS('recurring2_based on steps'!$B333:$AY333,'recurring2_based on steps'!$B$1:$AY$1,X$1)+SUMIFS('changes2_based on steps'!$B333:$U333,'changes2_based on steps'!$B$1:$U$1,X$1)</f>
        <v>0</v>
      </c>
      <c r="Y333" s="155">
        <f ca="1">SUMIFS('recurring2_based on steps'!$B333:$AY333,'recurring2_based on steps'!$B$1:$AY$1,Y$1)+SUMIFS('changes2_based on steps'!$B333:$U333,'changes2_based on steps'!$B$1:$U$1,Y$1)</f>
        <v>100</v>
      </c>
      <c r="Z333" s="155">
        <f>SUMIFS('recurring2_based on steps'!$B333:$AY333,'recurring2_based on steps'!$B$1:$AY$1,Z$1)+SUMIFS('changes2_based on steps'!$B333:$U333,'changes2_based on steps'!$B$1:$U$1,Z$1)</f>
        <v>0</v>
      </c>
      <c r="AA333" s="155">
        <f>SUMIFS('recurring2_based on steps'!$B333:$AY333,'recurring2_based on steps'!$B$1:$AY$1,AA$1)+SUMIFS('changes2_based on steps'!$B333:$U333,'changes2_based on steps'!$B$1:$U$1,AA$1)</f>
        <v>0</v>
      </c>
    </row>
    <row r="334" spans="1:27" x14ac:dyDescent="0.2">
      <c r="A334" s="18">
        <f t="shared" ca="1" si="5"/>
        <v>46020</v>
      </c>
      <c r="B334" s="155">
        <f ca="1">SUMIFS('recurring2_based on steps'!$B334:$AY334,'recurring2_based on steps'!$B$1:$AY$1,B$1)+SUMIFS('changes2_based on steps'!$B334:$U334,'changes2_based on steps'!$B$1:$U$1,B$1)</f>
        <v>0</v>
      </c>
      <c r="C334" s="155">
        <f>SUMIFS('recurring2_based on steps'!$B334:$AY334,'recurring2_based on steps'!$B$1:$AY$1,C$1)+SUMIFS('changes2_based on steps'!$B334:$U334,'changes2_based on steps'!$B$1:$U$1,C$1)</f>
        <v>0</v>
      </c>
      <c r="D334" s="155">
        <f>SUMIFS('recurring2_based on steps'!$B334:$AY334,'recurring2_based on steps'!$B$1:$AY$1,D$1)+SUMIFS('changes2_based on steps'!$B334:$U334,'changes2_based on steps'!$B$1:$U$1,D$1)</f>
        <v>0</v>
      </c>
      <c r="E334" s="155">
        <f>SUMIFS('recurring2_based on steps'!$B334:$AY334,'recurring2_based on steps'!$B$1:$AY$1,E$1)+SUMIFS('changes2_based on steps'!$B334:$U334,'changes2_based on steps'!$B$1:$U$1,E$1)</f>
        <v>0</v>
      </c>
      <c r="F334" s="155">
        <f>SUMIFS('recurring2_based on steps'!$B334:$AY334,'recurring2_based on steps'!$B$1:$AY$1,F$1)+SUMIFS('changes2_based on steps'!$B334:$U334,'changes2_based on steps'!$B$1:$U$1,F$1)</f>
        <v>0</v>
      </c>
      <c r="G334" s="155">
        <f>SUMIFS('recurring2_based on steps'!$B334:$AY334,'recurring2_based on steps'!$B$1:$AY$1,G$1)+SUMIFS('changes2_based on steps'!$B334:$U334,'changes2_based on steps'!$B$1:$U$1,G$1)</f>
        <v>0</v>
      </c>
      <c r="H334" s="155">
        <f ca="1">SUMIFS('recurring2_based on steps'!$B334:$AY334,'recurring2_based on steps'!$B$1:$AY$1,H$1)+SUMIFS('changes2_based on steps'!$B334:$U334,'changes2_based on steps'!$B$1:$U$1,H$1)</f>
        <v>0</v>
      </c>
      <c r="I334" s="155">
        <f>SUMIFS('recurring2_based on steps'!$B334:$AY334,'recurring2_based on steps'!$B$1:$AY$1,I$1)+SUMIFS('changes2_based on steps'!$B334:$U334,'changes2_based on steps'!$B$1:$U$1,I$1)</f>
        <v>0</v>
      </c>
      <c r="J334" s="155">
        <f>SUMIFS('recurring2_based on steps'!$B334:$AY334,'recurring2_based on steps'!$B$1:$AY$1,J$1)+SUMIFS('changes2_based on steps'!$B334:$U334,'changes2_based on steps'!$B$1:$U$1,J$1)</f>
        <v>0</v>
      </c>
      <c r="K334" s="155">
        <f>SUMIFS('recurring2_based on steps'!$B334:$AY334,'recurring2_based on steps'!$B$1:$AY$1,K$1)+SUMIFS('changes2_based on steps'!$B334:$U334,'changes2_based on steps'!$B$1:$U$1,K$1)</f>
        <v>0</v>
      </c>
      <c r="L334" s="155">
        <f>SUMIFS('recurring2_based on steps'!$B334:$AY334,'recurring2_based on steps'!$B$1:$AY$1,L$1)+SUMIFS('changes2_based on steps'!$B334:$U334,'changes2_based on steps'!$B$1:$U$1,L$1)</f>
        <v>0</v>
      </c>
      <c r="M334" s="155">
        <f ca="1">SUMIFS('recurring2_based on steps'!$B334:$AY334,'recurring2_based on steps'!$B$1:$AY$1,M$1)+SUMIFS('changes2_based on steps'!$B334:$U334,'changes2_based on steps'!$B$1:$U$1,M$1)</f>
        <v>0</v>
      </c>
      <c r="N334" s="155">
        <f ca="1">SUMIFS('recurring2_based on steps'!$B334:$AY334,'recurring2_based on steps'!$B$1:$AY$1,N$1)+SUMIFS('changes2_based on steps'!$B334:$U334,'changes2_based on steps'!$B$1:$U$1,N$1)</f>
        <v>0</v>
      </c>
      <c r="O334" s="155">
        <f ca="1">SUMIFS('recurring2_based on steps'!$B334:$AY334,'recurring2_based on steps'!$B$1:$AY$1,O$1)+SUMIFS('changes2_based on steps'!$B334:$U334,'changes2_based on steps'!$B$1:$U$1,O$1)</f>
        <v>0</v>
      </c>
      <c r="P334" s="155">
        <f ca="1">SUMIFS('recurring2_based on steps'!$B334:$AY334,'recurring2_based on steps'!$B$1:$AY$1,P$1)+SUMIFS('changes2_based on steps'!$B334:$U334,'changes2_based on steps'!$B$1:$U$1,P$1)</f>
        <v>0</v>
      </c>
      <c r="Q334" s="155">
        <f>SUMIFS('recurring2_based on steps'!$B334:$AY334,'recurring2_based on steps'!$B$1:$AY$1,Q$1)+SUMIFS('changes2_based on steps'!$B334:$U334,'changes2_based on steps'!$B$1:$U$1,Q$1)</f>
        <v>0</v>
      </c>
      <c r="R334" s="155">
        <f ca="1">SUMIFS('recurring2_based on steps'!$B334:$AY334,'recurring2_based on steps'!$B$1:$AY$1,R$1)+SUMIFS('changes2_based on steps'!$B334:$U334,'changes2_based on steps'!$B$1:$U$1,R$1)</f>
        <v>0</v>
      </c>
      <c r="S334" s="155">
        <f ca="1">SUMIFS('recurring2_based on steps'!$B334:$AY334,'recurring2_based on steps'!$B$1:$AY$1,S$1)+SUMIFS('changes2_based on steps'!$B334:$U334,'changes2_based on steps'!$B$1:$U$1,S$1)</f>
        <v>0</v>
      </c>
      <c r="T334" s="155">
        <f>SUMIFS('recurring2_based on steps'!$B334:$AY334,'recurring2_based on steps'!$B$1:$AY$1,T$1)+SUMIFS('changes2_based on steps'!$B334:$U334,'changes2_based on steps'!$B$1:$U$1,T$1)</f>
        <v>0</v>
      </c>
      <c r="U334" s="155">
        <f ca="1">SUMIFS('recurring2_based on steps'!$B334:$AY334,'recurring2_based on steps'!$B$1:$AY$1,U$1)+SUMIFS('changes2_based on steps'!$B334:$U334,'changes2_based on steps'!$B$1:$U$1,U$1)</f>
        <v>0</v>
      </c>
      <c r="V334" s="155">
        <f>SUMIFS('recurring2_based on steps'!$B334:$AY334,'recurring2_based on steps'!$B$1:$AY$1,V$1)+SUMIFS('changes2_based on steps'!$B334:$U334,'changes2_based on steps'!$B$1:$U$1,V$1)</f>
        <v>0</v>
      </c>
      <c r="W334" s="155">
        <f ca="1">SUMIFS('recurring2_based on steps'!$B334:$AY334,'recurring2_based on steps'!$B$1:$AY$1,W$1)+SUMIFS('changes2_based on steps'!$B334:$U334,'changes2_based on steps'!$B$1:$U$1,W$1)</f>
        <v>0</v>
      </c>
      <c r="X334" s="155">
        <f ca="1">SUMIFS('recurring2_based on steps'!$B334:$AY334,'recurring2_based on steps'!$B$1:$AY$1,X$1)+SUMIFS('changes2_based on steps'!$B334:$U334,'changes2_based on steps'!$B$1:$U$1,X$1)</f>
        <v>0</v>
      </c>
      <c r="Y334" s="155">
        <f ca="1">SUMIFS('recurring2_based on steps'!$B334:$AY334,'recurring2_based on steps'!$B$1:$AY$1,Y$1)+SUMIFS('changes2_based on steps'!$B334:$U334,'changes2_based on steps'!$B$1:$U$1,Y$1)</f>
        <v>0</v>
      </c>
      <c r="Z334" s="155">
        <f>SUMIFS('recurring2_based on steps'!$B334:$AY334,'recurring2_based on steps'!$B$1:$AY$1,Z$1)+SUMIFS('changes2_based on steps'!$B334:$U334,'changes2_based on steps'!$B$1:$U$1,Z$1)</f>
        <v>0</v>
      </c>
      <c r="AA334" s="155">
        <f>SUMIFS('recurring2_based on steps'!$B334:$AY334,'recurring2_based on steps'!$B$1:$AY$1,AA$1)+SUMIFS('changes2_based on steps'!$B334:$U334,'changes2_based on steps'!$B$1:$U$1,AA$1)</f>
        <v>0</v>
      </c>
    </row>
    <row r="335" spans="1:27" x14ac:dyDescent="0.2">
      <c r="A335" s="18">
        <f t="shared" ca="1" si="5"/>
        <v>46021</v>
      </c>
      <c r="B335" s="155">
        <f ca="1">SUMIFS('recurring2_based on steps'!$B335:$AY335,'recurring2_based on steps'!$B$1:$AY$1,B$1)+SUMIFS('changes2_based on steps'!$B335:$U335,'changes2_based on steps'!$B$1:$U$1,B$1)</f>
        <v>0</v>
      </c>
      <c r="C335" s="155">
        <f>SUMIFS('recurring2_based on steps'!$B335:$AY335,'recurring2_based on steps'!$B$1:$AY$1,C$1)+SUMIFS('changes2_based on steps'!$B335:$U335,'changes2_based on steps'!$B$1:$U$1,C$1)</f>
        <v>0</v>
      </c>
      <c r="D335" s="155">
        <f>SUMIFS('recurring2_based on steps'!$B335:$AY335,'recurring2_based on steps'!$B$1:$AY$1,D$1)+SUMIFS('changes2_based on steps'!$B335:$U335,'changes2_based on steps'!$B$1:$U$1,D$1)</f>
        <v>0</v>
      </c>
      <c r="E335" s="155">
        <f>SUMIFS('recurring2_based on steps'!$B335:$AY335,'recurring2_based on steps'!$B$1:$AY$1,E$1)+SUMIFS('changes2_based on steps'!$B335:$U335,'changes2_based on steps'!$B$1:$U$1,E$1)</f>
        <v>0</v>
      </c>
      <c r="F335" s="155">
        <f>SUMIFS('recurring2_based on steps'!$B335:$AY335,'recurring2_based on steps'!$B$1:$AY$1,F$1)+SUMIFS('changes2_based on steps'!$B335:$U335,'changes2_based on steps'!$B$1:$U$1,F$1)</f>
        <v>0</v>
      </c>
      <c r="G335" s="155">
        <f>SUMIFS('recurring2_based on steps'!$B335:$AY335,'recurring2_based on steps'!$B$1:$AY$1,G$1)+SUMIFS('changes2_based on steps'!$B335:$U335,'changes2_based on steps'!$B$1:$U$1,G$1)</f>
        <v>0</v>
      </c>
      <c r="H335" s="155">
        <f ca="1">SUMIFS('recurring2_based on steps'!$B335:$AY335,'recurring2_based on steps'!$B$1:$AY$1,H$1)+SUMIFS('changes2_based on steps'!$B335:$U335,'changes2_based on steps'!$B$1:$U$1,H$1)</f>
        <v>0</v>
      </c>
      <c r="I335" s="155">
        <f>SUMIFS('recurring2_based on steps'!$B335:$AY335,'recurring2_based on steps'!$B$1:$AY$1,I$1)+SUMIFS('changes2_based on steps'!$B335:$U335,'changes2_based on steps'!$B$1:$U$1,I$1)</f>
        <v>0</v>
      </c>
      <c r="J335" s="155">
        <f>SUMIFS('recurring2_based on steps'!$B335:$AY335,'recurring2_based on steps'!$B$1:$AY$1,J$1)+SUMIFS('changes2_based on steps'!$B335:$U335,'changes2_based on steps'!$B$1:$U$1,J$1)</f>
        <v>0</v>
      </c>
      <c r="K335" s="155">
        <f>SUMIFS('recurring2_based on steps'!$B335:$AY335,'recurring2_based on steps'!$B$1:$AY$1,K$1)+SUMIFS('changes2_based on steps'!$B335:$U335,'changes2_based on steps'!$B$1:$U$1,K$1)</f>
        <v>0</v>
      </c>
      <c r="L335" s="155">
        <f>SUMIFS('recurring2_based on steps'!$B335:$AY335,'recurring2_based on steps'!$B$1:$AY$1,L$1)+SUMIFS('changes2_based on steps'!$B335:$U335,'changes2_based on steps'!$B$1:$U$1,L$1)</f>
        <v>0</v>
      </c>
      <c r="M335" s="155">
        <f ca="1">SUMIFS('recurring2_based on steps'!$B335:$AY335,'recurring2_based on steps'!$B$1:$AY$1,M$1)+SUMIFS('changes2_based on steps'!$B335:$U335,'changes2_based on steps'!$B$1:$U$1,M$1)</f>
        <v>0</v>
      </c>
      <c r="N335" s="155">
        <f ca="1">SUMIFS('recurring2_based on steps'!$B335:$AY335,'recurring2_based on steps'!$B$1:$AY$1,N$1)+SUMIFS('changes2_based on steps'!$B335:$U335,'changes2_based on steps'!$B$1:$U$1,N$1)</f>
        <v>0</v>
      </c>
      <c r="O335" s="155">
        <f ca="1">SUMIFS('recurring2_based on steps'!$B335:$AY335,'recurring2_based on steps'!$B$1:$AY$1,O$1)+SUMIFS('changes2_based on steps'!$B335:$U335,'changes2_based on steps'!$B$1:$U$1,O$1)</f>
        <v>0</v>
      </c>
      <c r="P335" s="155">
        <f ca="1">SUMIFS('recurring2_based on steps'!$B335:$AY335,'recurring2_based on steps'!$B$1:$AY$1,P$1)+SUMIFS('changes2_based on steps'!$B335:$U335,'changes2_based on steps'!$B$1:$U$1,P$1)</f>
        <v>0</v>
      </c>
      <c r="Q335" s="155">
        <f>SUMIFS('recurring2_based on steps'!$B335:$AY335,'recurring2_based on steps'!$B$1:$AY$1,Q$1)+SUMIFS('changes2_based on steps'!$B335:$U335,'changes2_based on steps'!$B$1:$U$1,Q$1)</f>
        <v>0</v>
      </c>
      <c r="R335" s="155">
        <f ca="1">SUMIFS('recurring2_based on steps'!$B335:$AY335,'recurring2_based on steps'!$B$1:$AY$1,R$1)+SUMIFS('changes2_based on steps'!$B335:$U335,'changes2_based on steps'!$B$1:$U$1,R$1)</f>
        <v>0</v>
      </c>
      <c r="S335" s="155">
        <f ca="1">SUMIFS('recurring2_based on steps'!$B335:$AY335,'recurring2_based on steps'!$B$1:$AY$1,S$1)+SUMIFS('changes2_based on steps'!$B335:$U335,'changes2_based on steps'!$B$1:$U$1,S$1)</f>
        <v>0</v>
      </c>
      <c r="T335" s="155">
        <f>SUMIFS('recurring2_based on steps'!$B335:$AY335,'recurring2_based on steps'!$B$1:$AY$1,T$1)+SUMIFS('changes2_based on steps'!$B335:$U335,'changes2_based on steps'!$B$1:$U$1,T$1)</f>
        <v>0</v>
      </c>
      <c r="U335" s="155">
        <f ca="1">SUMIFS('recurring2_based on steps'!$B335:$AY335,'recurring2_based on steps'!$B$1:$AY$1,U$1)+SUMIFS('changes2_based on steps'!$B335:$U335,'changes2_based on steps'!$B$1:$U$1,U$1)</f>
        <v>0</v>
      </c>
      <c r="V335" s="155">
        <f>SUMIFS('recurring2_based on steps'!$B335:$AY335,'recurring2_based on steps'!$B$1:$AY$1,V$1)+SUMIFS('changes2_based on steps'!$B335:$U335,'changes2_based on steps'!$B$1:$U$1,V$1)</f>
        <v>0</v>
      </c>
      <c r="W335" s="155">
        <f ca="1">SUMIFS('recurring2_based on steps'!$B335:$AY335,'recurring2_based on steps'!$B$1:$AY$1,W$1)+SUMIFS('changes2_based on steps'!$B335:$U335,'changes2_based on steps'!$B$1:$U$1,W$1)</f>
        <v>0</v>
      </c>
      <c r="X335" s="155">
        <f ca="1">SUMIFS('recurring2_based on steps'!$B335:$AY335,'recurring2_based on steps'!$B$1:$AY$1,X$1)+SUMIFS('changes2_based on steps'!$B335:$U335,'changes2_based on steps'!$B$1:$U$1,X$1)</f>
        <v>0</v>
      </c>
      <c r="Y335" s="155">
        <f ca="1">SUMIFS('recurring2_based on steps'!$B335:$AY335,'recurring2_based on steps'!$B$1:$AY$1,Y$1)+SUMIFS('changes2_based on steps'!$B335:$U335,'changes2_based on steps'!$B$1:$U$1,Y$1)</f>
        <v>0</v>
      </c>
      <c r="Z335" s="155">
        <f>SUMIFS('recurring2_based on steps'!$B335:$AY335,'recurring2_based on steps'!$B$1:$AY$1,Z$1)+SUMIFS('changes2_based on steps'!$B335:$U335,'changes2_based on steps'!$B$1:$U$1,Z$1)</f>
        <v>0</v>
      </c>
      <c r="AA335" s="155">
        <f>SUMIFS('recurring2_based on steps'!$B335:$AY335,'recurring2_based on steps'!$B$1:$AY$1,AA$1)+SUMIFS('changes2_based on steps'!$B335:$U335,'changes2_based on steps'!$B$1:$U$1,AA$1)</f>
        <v>0</v>
      </c>
    </row>
    <row r="336" spans="1:27" x14ac:dyDescent="0.2">
      <c r="A336" s="18">
        <f t="shared" ca="1" si="5"/>
        <v>46022</v>
      </c>
      <c r="B336" s="155">
        <f ca="1">SUMIFS('recurring2_based on steps'!$B336:$AY336,'recurring2_based on steps'!$B$1:$AY$1,B$1)+SUMIFS('changes2_based on steps'!$B336:$U336,'changes2_based on steps'!$B$1:$U$1,B$1)</f>
        <v>100</v>
      </c>
      <c r="C336" s="155">
        <f>SUMIFS('recurring2_based on steps'!$B336:$AY336,'recurring2_based on steps'!$B$1:$AY$1,C$1)+SUMIFS('changes2_based on steps'!$B336:$U336,'changes2_based on steps'!$B$1:$U$1,C$1)</f>
        <v>0</v>
      </c>
      <c r="D336" s="155">
        <f>SUMIFS('recurring2_based on steps'!$B336:$AY336,'recurring2_based on steps'!$B$1:$AY$1,D$1)+SUMIFS('changes2_based on steps'!$B336:$U336,'changes2_based on steps'!$B$1:$U$1,D$1)</f>
        <v>0</v>
      </c>
      <c r="E336" s="155">
        <f>SUMIFS('recurring2_based on steps'!$B336:$AY336,'recurring2_based on steps'!$B$1:$AY$1,E$1)+SUMIFS('changes2_based on steps'!$B336:$U336,'changes2_based on steps'!$B$1:$U$1,E$1)</f>
        <v>0</v>
      </c>
      <c r="F336" s="155">
        <f>SUMIFS('recurring2_based on steps'!$B336:$AY336,'recurring2_based on steps'!$B$1:$AY$1,F$1)+SUMIFS('changes2_based on steps'!$B336:$U336,'changes2_based on steps'!$B$1:$U$1,F$1)</f>
        <v>0</v>
      </c>
      <c r="G336" s="155">
        <f>SUMIFS('recurring2_based on steps'!$B336:$AY336,'recurring2_based on steps'!$B$1:$AY$1,G$1)+SUMIFS('changes2_based on steps'!$B336:$U336,'changes2_based on steps'!$B$1:$U$1,G$1)</f>
        <v>0</v>
      </c>
      <c r="H336" s="155">
        <f ca="1">SUMIFS('recurring2_based on steps'!$B336:$AY336,'recurring2_based on steps'!$B$1:$AY$1,H$1)+SUMIFS('changes2_based on steps'!$B336:$U336,'changes2_based on steps'!$B$1:$U$1,H$1)</f>
        <v>0</v>
      </c>
      <c r="I336" s="155">
        <f>SUMIFS('recurring2_based on steps'!$B336:$AY336,'recurring2_based on steps'!$B$1:$AY$1,I$1)+SUMIFS('changes2_based on steps'!$B336:$U336,'changes2_based on steps'!$B$1:$U$1,I$1)</f>
        <v>0</v>
      </c>
      <c r="J336" s="155">
        <f>SUMIFS('recurring2_based on steps'!$B336:$AY336,'recurring2_based on steps'!$B$1:$AY$1,J$1)+SUMIFS('changes2_based on steps'!$B336:$U336,'changes2_based on steps'!$B$1:$U$1,J$1)</f>
        <v>0</v>
      </c>
      <c r="K336" s="155">
        <f>SUMIFS('recurring2_based on steps'!$B336:$AY336,'recurring2_based on steps'!$B$1:$AY$1,K$1)+SUMIFS('changes2_based on steps'!$B336:$U336,'changes2_based on steps'!$B$1:$U$1,K$1)</f>
        <v>0</v>
      </c>
      <c r="L336" s="155">
        <f>SUMIFS('recurring2_based on steps'!$B336:$AY336,'recurring2_based on steps'!$B$1:$AY$1,L$1)+SUMIFS('changes2_based on steps'!$B336:$U336,'changes2_based on steps'!$B$1:$U$1,L$1)</f>
        <v>0</v>
      </c>
      <c r="M336" s="155">
        <f ca="1">SUMIFS('recurring2_based on steps'!$B336:$AY336,'recurring2_based on steps'!$B$1:$AY$1,M$1)+SUMIFS('changes2_based on steps'!$B336:$U336,'changes2_based on steps'!$B$1:$U$1,M$1)</f>
        <v>50</v>
      </c>
      <c r="N336" s="155">
        <f ca="1">SUMIFS('recurring2_based on steps'!$B336:$AY336,'recurring2_based on steps'!$B$1:$AY$1,N$1)+SUMIFS('changes2_based on steps'!$B336:$U336,'changes2_based on steps'!$B$1:$U$1,N$1)</f>
        <v>0</v>
      </c>
      <c r="O336" s="155">
        <f ca="1">SUMIFS('recurring2_based on steps'!$B336:$AY336,'recurring2_based on steps'!$B$1:$AY$1,O$1)+SUMIFS('changes2_based on steps'!$B336:$U336,'changes2_based on steps'!$B$1:$U$1,O$1)</f>
        <v>0</v>
      </c>
      <c r="P336" s="155">
        <f ca="1">SUMIFS('recurring2_based on steps'!$B336:$AY336,'recurring2_based on steps'!$B$1:$AY$1,P$1)+SUMIFS('changes2_based on steps'!$B336:$U336,'changes2_based on steps'!$B$1:$U$1,P$1)</f>
        <v>0</v>
      </c>
      <c r="Q336" s="155">
        <f>SUMIFS('recurring2_based on steps'!$B336:$AY336,'recurring2_based on steps'!$B$1:$AY$1,Q$1)+SUMIFS('changes2_based on steps'!$B336:$U336,'changes2_based on steps'!$B$1:$U$1,Q$1)</f>
        <v>0</v>
      </c>
      <c r="R336" s="155">
        <f ca="1">SUMIFS('recurring2_based on steps'!$B336:$AY336,'recurring2_based on steps'!$B$1:$AY$1,R$1)+SUMIFS('changes2_based on steps'!$B336:$U336,'changes2_based on steps'!$B$1:$U$1,R$1)</f>
        <v>0</v>
      </c>
      <c r="S336" s="155">
        <f ca="1">SUMIFS('recurring2_based on steps'!$B336:$AY336,'recurring2_based on steps'!$B$1:$AY$1,S$1)+SUMIFS('changes2_based on steps'!$B336:$U336,'changes2_based on steps'!$B$1:$U$1,S$1)</f>
        <v>0</v>
      </c>
      <c r="T336" s="155">
        <f>SUMIFS('recurring2_based on steps'!$B336:$AY336,'recurring2_based on steps'!$B$1:$AY$1,T$1)+SUMIFS('changes2_based on steps'!$B336:$U336,'changes2_based on steps'!$B$1:$U$1,T$1)</f>
        <v>0</v>
      </c>
      <c r="U336" s="155">
        <f ca="1">SUMIFS('recurring2_based on steps'!$B336:$AY336,'recurring2_based on steps'!$B$1:$AY$1,U$1)+SUMIFS('changes2_based on steps'!$B336:$U336,'changes2_based on steps'!$B$1:$U$1,U$1)</f>
        <v>0</v>
      </c>
      <c r="V336" s="155">
        <f>SUMIFS('recurring2_based on steps'!$B336:$AY336,'recurring2_based on steps'!$B$1:$AY$1,V$1)+SUMIFS('changes2_based on steps'!$B336:$U336,'changes2_based on steps'!$B$1:$U$1,V$1)</f>
        <v>0</v>
      </c>
      <c r="W336" s="155">
        <f ca="1">SUMIFS('recurring2_based on steps'!$B336:$AY336,'recurring2_based on steps'!$B$1:$AY$1,W$1)+SUMIFS('changes2_based on steps'!$B336:$U336,'changes2_based on steps'!$B$1:$U$1,W$1)</f>
        <v>0</v>
      </c>
      <c r="X336" s="155">
        <f ca="1">SUMIFS('recurring2_based on steps'!$B336:$AY336,'recurring2_based on steps'!$B$1:$AY$1,X$1)+SUMIFS('changes2_based on steps'!$B336:$U336,'changes2_based on steps'!$B$1:$U$1,X$1)</f>
        <v>0</v>
      </c>
      <c r="Y336" s="155">
        <f ca="1">SUMIFS('recurring2_based on steps'!$B336:$AY336,'recurring2_based on steps'!$B$1:$AY$1,Y$1)+SUMIFS('changes2_based on steps'!$B336:$U336,'changes2_based on steps'!$B$1:$U$1,Y$1)</f>
        <v>-100</v>
      </c>
      <c r="Z336" s="155">
        <f>SUMIFS('recurring2_based on steps'!$B336:$AY336,'recurring2_based on steps'!$B$1:$AY$1,Z$1)+SUMIFS('changes2_based on steps'!$B336:$U336,'changes2_based on steps'!$B$1:$U$1,Z$1)</f>
        <v>0</v>
      </c>
      <c r="AA336" s="155">
        <f>SUMIFS('recurring2_based on steps'!$B336:$AY336,'recurring2_based on steps'!$B$1:$AY$1,AA$1)+SUMIFS('changes2_based on steps'!$B336:$U336,'changes2_based on steps'!$B$1:$U$1,AA$1)</f>
        <v>0</v>
      </c>
    </row>
    <row r="337" spans="1:27" x14ac:dyDescent="0.2">
      <c r="A337" s="18">
        <f t="shared" ca="1" si="5"/>
        <v>46023</v>
      </c>
      <c r="B337" s="155">
        <f ca="1">SUMIFS('recurring2_based on steps'!$B337:$AY337,'recurring2_based on steps'!$B$1:$AY$1,B$1)+SUMIFS('changes2_based on steps'!$B337:$U337,'changes2_based on steps'!$B$1:$U$1,B$1)</f>
        <v>0</v>
      </c>
      <c r="C337" s="155">
        <f>SUMIFS('recurring2_based on steps'!$B337:$AY337,'recurring2_based on steps'!$B$1:$AY$1,C$1)+SUMIFS('changes2_based on steps'!$B337:$U337,'changes2_based on steps'!$B$1:$U$1,C$1)</f>
        <v>0</v>
      </c>
      <c r="D337" s="155">
        <f>SUMIFS('recurring2_based on steps'!$B337:$AY337,'recurring2_based on steps'!$B$1:$AY$1,D$1)+SUMIFS('changes2_based on steps'!$B337:$U337,'changes2_based on steps'!$B$1:$U$1,D$1)</f>
        <v>0</v>
      </c>
      <c r="E337" s="155">
        <f>SUMIFS('recurring2_based on steps'!$B337:$AY337,'recurring2_based on steps'!$B$1:$AY$1,E$1)+SUMIFS('changes2_based on steps'!$B337:$U337,'changes2_based on steps'!$B$1:$U$1,E$1)</f>
        <v>0</v>
      </c>
      <c r="F337" s="155">
        <f>SUMIFS('recurring2_based on steps'!$B337:$AY337,'recurring2_based on steps'!$B$1:$AY$1,F$1)+SUMIFS('changes2_based on steps'!$B337:$U337,'changes2_based on steps'!$B$1:$U$1,F$1)</f>
        <v>0</v>
      </c>
      <c r="G337" s="155">
        <f>SUMIFS('recurring2_based on steps'!$B337:$AY337,'recurring2_based on steps'!$B$1:$AY$1,G$1)+SUMIFS('changes2_based on steps'!$B337:$U337,'changes2_based on steps'!$B$1:$U$1,G$1)</f>
        <v>0</v>
      </c>
      <c r="H337" s="155">
        <f ca="1">SUMIFS('recurring2_based on steps'!$B337:$AY337,'recurring2_based on steps'!$B$1:$AY$1,H$1)+SUMIFS('changes2_based on steps'!$B337:$U337,'changes2_based on steps'!$B$1:$U$1,H$1)</f>
        <v>0</v>
      </c>
      <c r="I337" s="155">
        <f>SUMIFS('recurring2_based on steps'!$B337:$AY337,'recurring2_based on steps'!$B$1:$AY$1,I$1)+SUMIFS('changes2_based on steps'!$B337:$U337,'changes2_based on steps'!$B$1:$U$1,I$1)</f>
        <v>0</v>
      </c>
      <c r="J337" s="155">
        <f>SUMIFS('recurring2_based on steps'!$B337:$AY337,'recurring2_based on steps'!$B$1:$AY$1,J$1)+SUMIFS('changes2_based on steps'!$B337:$U337,'changes2_based on steps'!$B$1:$U$1,J$1)</f>
        <v>0</v>
      </c>
      <c r="K337" s="155">
        <f>SUMIFS('recurring2_based on steps'!$B337:$AY337,'recurring2_based on steps'!$B$1:$AY$1,K$1)+SUMIFS('changes2_based on steps'!$B337:$U337,'changes2_based on steps'!$B$1:$U$1,K$1)</f>
        <v>0</v>
      </c>
      <c r="L337" s="155">
        <f>SUMIFS('recurring2_based on steps'!$B337:$AY337,'recurring2_based on steps'!$B$1:$AY$1,L$1)+SUMIFS('changes2_based on steps'!$B337:$U337,'changes2_based on steps'!$B$1:$U$1,L$1)</f>
        <v>0</v>
      </c>
      <c r="M337" s="155">
        <f ca="1">SUMIFS('recurring2_based on steps'!$B337:$AY337,'recurring2_based on steps'!$B$1:$AY$1,M$1)+SUMIFS('changes2_based on steps'!$B337:$U337,'changes2_based on steps'!$B$1:$U$1,M$1)</f>
        <v>2000</v>
      </c>
      <c r="N337" s="155">
        <f ca="1">SUMIFS('recurring2_based on steps'!$B337:$AY337,'recurring2_based on steps'!$B$1:$AY$1,N$1)+SUMIFS('changes2_based on steps'!$B337:$U337,'changes2_based on steps'!$B$1:$U$1,N$1)</f>
        <v>0</v>
      </c>
      <c r="O337" s="155">
        <f ca="1">SUMIFS('recurring2_based on steps'!$B337:$AY337,'recurring2_based on steps'!$B$1:$AY$1,O$1)+SUMIFS('changes2_based on steps'!$B337:$U337,'changes2_based on steps'!$B$1:$U$1,O$1)</f>
        <v>0</v>
      </c>
      <c r="P337" s="155">
        <f ca="1">SUMIFS('recurring2_based on steps'!$B337:$AY337,'recurring2_based on steps'!$B$1:$AY$1,P$1)+SUMIFS('changes2_based on steps'!$B337:$U337,'changes2_based on steps'!$B$1:$U$1,P$1)</f>
        <v>0</v>
      </c>
      <c r="Q337" s="155">
        <f>SUMIFS('recurring2_based on steps'!$B337:$AY337,'recurring2_based on steps'!$B$1:$AY$1,Q$1)+SUMIFS('changes2_based on steps'!$B337:$U337,'changes2_based on steps'!$B$1:$U$1,Q$1)</f>
        <v>0</v>
      </c>
      <c r="R337" s="155">
        <f ca="1">SUMIFS('recurring2_based on steps'!$B337:$AY337,'recurring2_based on steps'!$B$1:$AY$1,R$1)+SUMIFS('changes2_based on steps'!$B337:$U337,'changes2_based on steps'!$B$1:$U$1,R$1)</f>
        <v>0</v>
      </c>
      <c r="S337" s="155">
        <f ca="1">SUMIFS('recurring2_based on steps'!$B337:$AY337,'recurring2_based on steps'!$B$1:$AY$1,S$1)+SUMIFS('changes2_based on steps'!$B337:$U337,'changes2_based on steps'!$B$1:$U$1,S$1)</f>
        <v>0</v>
      </c>
      <c r="T337" s="155">
        <f>SUMIFS('recurring2_based on steps'!$B337:$AY337,'recurring2_based on steps'!$B$1:$AY$1,T$1)+SUMIFS('changes2_based on steps'!$B337:$U337,'changes2_based on steps'!$B$1:$U$1,T$1)</f>
        <v>0</v>
      </c>
      <c r="U337" s="155">
        <f ca="1">SUMIFS('recurring2_based on steps'!$B337:$AY337,'recurring2_based on steps'!$B$1:$AY$1,U$1)+SUMIFS('changes2_based on steps'!$B337:$U337,'changes2_based on steps'!$B$1:$U$1,U$1)</f>
        <v>0</v>
      </c>
      <c r="V337" s="155">
        <f>SUMIFS('recurring2_based on steps'!$B337:$AY337,'recurring2_based on steps'!$B$1:$AY$1,V$1)+SUMIFS('changes2_based on steps'!$B337:$U337,'changes2_based on steps'!$B$1:$U$1,V$1)</f>
        <v>0</v>
      </c>
      <c r="W337" s="155">
        <f ca="1">SUMIFS('recurring2_based on steps'!$B337:$AY337,'recurring2_based on steps'!$B$1:$AY$1,W$1)+SUMIFS('changes2_based on steps'!$B337:$U337,'changes2_based on steps'!$B$1:$U$1,W$1)</f>
        <v>0</v>
      </c>
      <c r="X337" s="155">
        <f ca="1">SUMIFS('recurring2_based on steps'!$B337:$AY337,'recurring2_based on steps'!$B$1:$AY$1,X$1)+SUMIFS('changes2_based on steps'!$B337:$U337,'changes2_based on steps'!$B$1:$U$1,X$1)</f>
        <v>0</v>
      </c>
      <c r="Y337" s="155">
        <f ca="1">SUMIFS('recurring2_based on steps'!$B337:$AY337,'recurring2_based on steps'!$B$1:$AY$1,Y$1)+SUMIFS('changes2_based on steps'!$B337:$U337,'changes2_based on steps'!$B$1:$U$1,Y$1)</f>
        <v>0</v>
      </c>
      <c r="Z337" s="155">
        <f>SUMIFS('recurring2_based on steps'!$B337:$AY337,'recurring2_based on steps'!$B$1:$AY$1,Z$1)+SUMIFS('changes2_based on steps'!$B337:$U337,'changes2_based on steps'!$B$1:$U$1,Z$1)</f>
        <v>0</v>
      </c>
      <c r="AA337" s="155">
        <f>SUMIFS('recurring2_based on steps'!$B337:$AY337,'recurring2_based on steps'!$B$1:$AY$1,AA$1)+SUMIFS('changes2_based on steps'!$B337:$U337,'changes2_based on steps'!$B$1:$U$1,AA$1)</f>
        <v>0</v>
      </c>
    </row>
    <row r="338" spans="1:27" x14ac:dyDescent="0.2">
      <c r="A338" s="18">
        <f t="shared" ca="1" si="5"/>
        <v>46024</v>
      </c>
      <c r="B338" s="155">
        <f ca="1">SUMIFS('recurring2_based on steps'!$B338:$AY338,'recurring2_based on steps'!$B$1:$AY$1,B$1)+SUMIFS('changes2_based on steps'!$B338:$U338,'changes2_based on steps'!$B$1:$U$1,B$1)</f>
        <v>0</v>
      </c>
      <c r="C338" s="155">
        <f>SUMIFS('recurring2_based on steps'!$B338:$AY338,'recurring2_based on steps'!$B$1:$AY$1,C$1)+SUMIFS('changes2_based on steps'!$B338:$U338,'changes2_based on steps'!$B$1:$U$1,C$1)</f>
        <v>0</v>
      </c>
      <c r="D338" s="155">
        <f>SUMIFS('recurring2_based on steps'!$B338:$AY338,'recurring2_based on steps'!$B$1:$AY$1,D$1)+SUMIFS('changes2_based on steps'!$B338:$U338,'changes2_based on steps'!$B$1:$U$1,D$1)</f>
        <v>0</v>
      </c>
      <c r="E338" s="155">
        <f>SUMIFS('recurring2_based on steps'!$B338:$AY338,'recurring2_based on steps'!$B$1:$AY$1,E$1)+SUMIFS('changes2_based on steps'!$B338:$U338,'changes2_based on steps'!$B$1:$U$1,E$1)</f>
        <v>0</v>
      </c>
      <c r="F338" s="155">
        <f>SUMIFS('recurring2_based on steps'!$B338:$AY338,'recurring2_based on steps'!$B$1:$AY$1,F$1)+SUMIFS('changes2_based on steps'!$B338:$U338,'changes2_based on steps'!$B$1:$U$1,F$1)</f>
        <v>0</v>
      </c>
      <c r="G338" s="155">
        <f>SUMIFS('recurring2_based on steps'!$B338:$AY338,'recurring2_based on steps'!$B$1:$AY$1,G$1)+SUMIFS('changes2_based on steps'!$B338:$U338,'changes2_based on steps'!$B$1:$U$1,G$1)</f>
        <v>0</v>
      </c>
      <c r="H338" s="155">
        <f ca="1">SUMIFS('recurring2_based on steps'!$B338:$AY338,'recurring2_based on steps'!$B$1:$AY$1,H$1)+SUMIFS('changes2_based on steps'!$B338:$U338,'changes2_based on steps'!$B$1:$U$1,H$1)</f>
        <v>0</v>
      </c>
      <c r="I338" s="155">
        <f>SUMIFS('recurring2_based on steps'!$B338:$AY338,'recurring2_based on steps'!$B$1:$AY$1,I$1)+SUMIFS('changes2_based on steps'!$B338:$U338,'changes2_based on steps'!$B$1:$U$1,I$1)</f>
        <v>0</v>
      </c>
      <c r="J338" s="155">
        <f>SUMIFS('recurring2_based on steps'!$B338:$AY338,'recurring2_based on steps'!$B$1:$AY$1,J$1)+SUMIFS('changes2_based on steps'!$B338:$U338,'changes2_based on steps'!$B$1:$U$1,J$1)</f>
        <v>0</v>
      </c>
      <c r="K338" s="155">
        <f>SUMIFS('recurring2_based on steps'!$B338:$AY338,'recurring2_based on steps'!$B$1:$AY$1,K$1)+SUMIFS('changes2_based on steps'!$B338:$U338,'changes2_based on steps'!$B$1:$U$1,K$1)</f>
        <v>0</v>
      </c>
      <c r="L338" s="155">
        <f>SUMIFS('recurring2_based on steps'!$B338:$AY338,'recurring2_based on steps'!$B$1:$AY$1,L$1)+SUMIFS('changes2_based on steps'!$B338:$U338,'changes2_based on steps'!$B$1:$U$1,L$1)</f>
        <v>0</v>
      </c>
      <c r="M338" s="155">
        <f ca="1">SUMIFS('recurring2_based on steps'!$B338:$AY338,'recurring2_based on steps'!$B$1:$AY$1,M$1)+SUMIFS('changes2_based on steps'!$B338:$U338,'changes2_based on steps'!$B$1:$U$1,M$1)</f>
        <v>0</v>
      </c>
      <c r="N338" s="155">
        <f ca="1">SUMIFS('recurring2_based on steps'!$B338:$AY338,'recurring2_based on steps'!$B$1:$AY$1,N$1)+SUMIFS('changes2_based on steps'!$B338:$U338,'changes2_based on steps'!$B$1:$U$1,N$1)</f>
        <v>0</v>
      </c>
      <c r="O338" s="155">
        <f ca="1">SUMIFS('recurring2_based on steps'!$B338:$AY338,'recurring2_based on steps'!$B$1:$AY$1,O$1)+SUMIFS('changes2_based on steps'!$B338:$U338,'changes2_based on steps'!$B$1:$U$1,O$1)</f>
        <v>0</v>
      </c>
      <c r="P338" s="155">
        <f ca="1">SUMIFS('recurring2_based on steps'!$B338:$AY338,'recurring2_based on steps'!$B$1:$AY$1,P$1)+SUMIFS('changes2_based on steps'!$B338:$U338,'changes2_based on steps'!$B$1:$U$1,P$1)</f>
        <v>0</v>
      </c>
      <c r="Q338" s="155">
        <f>SUMIFS('recurring2_based on steps'!$B338:$AY338,'recurring2_based on steps'!$B$1:$AY$1,Q$1)+SUMIFS('changes2_based on steps'!$B338:$U338,'changes2_based on steps'!$B$1:$U$1,Q$1)</f>
        <v>0</v>
      </c>
      <c r="R338" s="155">
        <f ca="1">SUMIFS('recurring2_based on steps'!$B338:$AY338,'recurring2_based on steps'!$B$1:$AY$1,R$1)+SUMIFS('changes2_based on steps'!$B338:$U338,'changes2_based on steps'!$B$1:$U$1,R$1)</f>
        <v>0</v>
      </c>
      <c r="S338" s="155">
        <f ca="1">SUMIFS('recurring2_based on steps'!$B338:$AY338,'recurring2_based on steps'!$B$1:$AY$1,S$1)+SUMIFS('changes2_based on steps'!$B338:$U338,'changes2_based on steps'!$B$1:$U$1,S$1)</f>
        <v>0</v>
      </c>
      <c r="T338" s="155">
        <f>SUMIFS('recurring2_based on steps'!$B338:$AY338,'recurring2_based on steps'!$B$1:$AY$1,T$1)+SUMIFS('changes2_based on steps'!$B338:$U338,'changes2_based on steps'!$B$1:$U$1,T$1)</f>
        <v>0</v>
      </c>
      <c r="U338" s="155">
        <f ca="1">SUMIFS('recurring2_based on steps'!$B338:$AY338,'recurring2_based on steps'!$B$1:$AY$1,U$1)+SUMIFS('changes2_based on steps'!$B338:$U338,'changes2_based on steps'!$B$1:$U$1,U$1)</f>
        <v>0</v>
      </c>
      <c r="V338" s="155">
        <f>SUMIFS('recurring2_based on steps'!$B338:$AY338,'recurring2_based on steps'!$B$1:$AY$1,V$1)+SUMIFS('changes2_based on steps'!$B338:$U338,'changes2_based on steps'!$B$1:$U$1,V$1)</f>
        <v>0</v>
      </c>
      <c r="W338" s="155">
        <f ca="1">SUMIFS('recurring2_based on steps'!$B338:$AY338,'recurring2_based on steps'!$B$1:$AY$1,W$1)+SUMIFS('changes2_based on steps'!$B338:$U338,'changes2_based on steps'!$B$1:$U$1,W$1)</f>
        <v>0</v>
      </c>
      <c r="X338" s="155">
        <f ca="1">SUMIFS('recurring2_based on steps'!$B338:$AY338,'recurring2_based on steps'!$B$1:$AY$1,X$1)+SUMIFS('changes2_based on steps'!$B338:$U338,'changes2_based on steps'!$B$1:$U$1,X$1)</f>
        <v>0</v>
      </c>
      <c r="Y338" s="155">
        <f ca="1">SUMIFS('recurring2_based on steps'!$B338:$AY338,'recurring2_based on steps'!$B$1:$AY$1,Y$1)+SUMIFS('changes2_based on steps'!$B338:$U338,'changes2_based on steps'!$B$1:$U$1,Y$1)</f>
        <v>0</v>
      </c>
      <c r="Z338" s="155">
        <f>SUMIFS('recurring2_based on steps'!$B338:$AY338,'recurring2_based on steps'!$B$1:$AY$1,Z$1)+SUMIFS('changes2_based on steps'!$B338:$U338,'changes2_based on steps'!$B$1:$U$1,Z$1)</f>
        <v>0</v>
      </c>
      <c r="AA338" s="155">
        <f>SUMIFS('recurring2_based on steps'!$B338:$AY338,'recurring2_based on steps'!$B$1:$AY$1,AA$1)+SUMIFS('changes2_based on steps'!$B338:$U338,'changes2_based on steps'!$B$1:$U$1,AA$1)</f>
        <v>0</v>
      </c>
    </row>
    <row r="339" spans="1:27" x14ac:dyDescent="0.2">
      <c r="A339" s="18">
        <f t="shared" ca="1" si="5"/>
        <v>46025</v>
      </c>
      <c r="B339" s="155">
        <f ca="1">SUMIFS('recurring2_based on steps'!$B339:$AY339,'recurring2_based on steps'!$B$1:$AY$1,B$1)+SUMIFS('changes2_based on steps'!$B339:$U339,'changes2_based on steps'!$B$1:$U$1,B$1)</f>
        <v>0</v>
      </c>
      <c r="C339" s="155">
        <f>SUMIFS('recurring2_based on steps'!$B339:$AY339,'recurring2_based on steps'!$B$1:$AY$1,C$1)+SUMIFS('changes2_based on steps'!$B339:$U339,'changes2_based on steps'!$B$1:$U$1,C$1)</f>
        <v>0</v>
      </c>
      <c r="D339" s="155">
        <f>SUMIFS('recurring2_based on steps'!$B339:$AY339,'recurring2_based on steps'!$B$1:$AY$1,D$1)+SUMIFS('changes2_based on steps'!$B339:$U339,'changes2_based on steps'!$B$1:$U$1,D$1)</f>
        <v>0</v>
      </c>
      <c r="E339" s="155">
        <f>SUMIFS('recurring2_based on steps'!$B339:$AY339,'recurring2_based on steps'!$B$1:$AY$1,E$1)+SUMIFS('changes2_based on steps'!$B339:$U339,'changes2_based on steps'!$B$1:$U$1,E$1)</f>
        <v>0</v>
      </c>
      <c r="F339" s="155">
        <f>SUMIFS('recurring2_based on steps'!$B339:$AY339,'recurring2_based on steps'!$B$1:$AY$1,F$1)+SUMIFS('changes2_based on steps'!$B339:$U339,'changes2_based on steps'!$B$1:$U$1,F$1)</f>
        <v>0</v>
      </c>
      <c r="G339" s="155">
        <f>SUMIFS('recurring2_based on steps'!$B339:$AY339,'recurring2_based on steps'!$B$1:$AY$1,G$1)+SUMIFS('changes2_based on steps'!$B339:$U339,'changes2_based on steps'!$B$1:$U$1,G$1)</f>
        <v>0</v>
      </c>
      <c r="H339" s="155">
        <f ca="1">SUMIFS('recurring2_based on steps'!$B339:$AY339,'recurring2_based on steps'!$B$1:$AY$1,H$1)+SUMIFS('changes2_based on steps'!$B339:$U339,'changes2_based on steps'!$B$1:$U$1,H$1)</f>
        <v>0</v>
      </c>
      <c r="I339" s="155">
        <f>SUMIFS('recurring2_based on steps'!$B339:$AY339,'recurring2_based on steps'!$B$1:$AY$1,I$1)+SUMIFS('changes2_based on steps'!$B339:$U339,'changes2_based on steps'!$B$1:$U$1,I$1)</f>
        <v>0</v>
      </c>
      <c r="J339" s="155">
        <f>SUMIFS('recurring2_based on steps'!$B339:$AY339,'recurring2_based on steps'!$B$1:$AY$1,J$1)+SUMIFS('changes2_based on steps'!$B339:$U339,'changes2_based on steps'!$B$1:$U$1,J$1)</f>
        <v>0</v>
      </c>
      <c r="K339" s="155">
        <f>SUMIFS('recurring2_based on steps'!$B339:$AY339,'recurring2_based on steps'!$B$1:$AY$1,K$1)+SUMIFS('changes2_based on steps'!$B339:$U339,'changes2_based on steps'!$B$1:$U$1,K$1)</f>
        <v>0</v>
      </c>
      <c r="L339" s="155">
        <f>SUMIFS('recurring2_based on steps'!$B339:$AY339,'recurring2_based on steps'!$B$1:$AY$1,L$1)+SUMIFS('changes2_based on steps'!$B339:$U339,'changes2_based on steps'!$B$1:$U$1,L$1)</f>
        <v>0</v>
      </c>
      <c r="M339" s="155">
        <f ca="1">SUMIFS('recurring2_based on steps'!$B339:$AY339,'recurring2_based on steps'!$B$1:$AY$1,M$1)+SUMIFS('changes2_based on steps'!$B339:$U339,'changes2_based on steps'!$B$1:$U$1,M$1)</f>
        <v>0</v>
      </c>
      <c r="N339" s="155">
        <f ca="1">SUMIFS('recurring2_based on steps'!$B339:$AY339,'recurring2_based on steps'!$B$1:$AY$1,N$1)+SUMIFS('changes2_based on steps'!$B339:$U339,'changes2_based on steps'!$B$1:$U$1,N$1)</f>
        <v>0</v>
      </c>
      <c r="O339" s="155">
        <f ca="1">SUMIFS('recurring2_based on steps'!$B339:$AY339,'recurring2_based on steps'!$B$1:$AY$1,O$1)+SUMIFS('changes2_based on steps'!$B339:$U339,'changes2_based on steps'!$B$1:$U$1,O$1)</f>
        <v>0</v>
      </c>
      <c r="P339" s="155">
        <f ca="1">SUMIFS('recurring2_based on steps'!$B339:$AY339,'recurring2_based on steps'!$B$1:$AY$1,P$1)+SUMIFS('changes2_based on steps'!$B339:$U339,'changes2_based on steps'!$B$1:$U$1,P$1)</f>
        <v>0</v>
      </c>
      <c r="Q339" s="155">
        <f>SUMIFS('recurring2_based on steps'!$B339:$AY339,'recurring2_based on steps'!$B$1:$AY$1,Q$1)+SUMIFS('changes2_based on steps'!$B339:$U339,'changes2_based on steps'!$B$1:$U$1,Q$1)</f>
        <v>0</v>
      </c>
      <c r="R339" s="155">
        <f ca="1">SUMIFS('recurring2_based on steps'!$B339:$AY339,'recurring2_based on steps'!$B$1:$AY$1,R$1)+SUMIFS('changes2_based on steps'!$B339:$U339,'changes2_based on steps'!$B$1:$U$1,R$1)</f>
        <v>100</v>
      </c>
      <c r="S339" s="155">
        <f ca="1">SUMIFS('recurring2_based on steps'!$B339:$AY339,'recurring2_based on steps'!$B$1:$AY$1,S$1)+SUMIFS('changes2_based on steps'!$B339:$U339,'changes2_based on steps'!$B$1:$U$1,S$1)</f>
        <v>100</v>
      </c>
      <c r="T339" s="155">
        <f>SUMIFS('recurring2_based on steps'!$B339:$AY339,'recurring2_based on steps'!$B$1:$AY$1,T$1)+SUMIFS('changes2_based on steps'!$B339:$U339,'changes2_based on steps'!$B$1:$U$1,T$1)</f>
        <v>0</v>
      </c>
      <c r="U339" s="155">
        <f ca="1">SUMIFS('recurring2_based on steps'!$B339:$AY339,'recurring2_based on steps'!$B$1:$AY$1,U$1)+SUMIFS('changes2_based on steps'!$B339:$U339,'changes2_based on steps'!$B$1:$U$1,U$1)</f>
        <v>0</v>
      </c>
      <c r="V339" s="155">
        <f>SUMIFS('recurring2_based on steps'!$B339:$AY339,'recurring2_based on steps'!$B$1:$AY$1,V$1)+SUMIFS('changes2_based on steps'!$B339:$U339,'changes2_based on steps'!$B$1:$U$1,V$1)</f>
        <v>0</v>
      </c>
      <c r="W339" s="155">
        <f ca="1">SUMIFS('recurring2_based on steps'!$B339:$AY339,'recurring2_based on steps'!$B$1:$AY$1,W$1)+SUMIFS('changes2_based on steps'!$B339:$U339,'changes2_based on steps'!$B$1:$U$1,W$1)</f>
        <v>0</v>
      </c>
      <c r="X339" s="155">
        <f ca="1">SUMIFS('recurring2_based on steps'!$B339:$AY339,'recurring2_based on steps'!$B$1:$AY$1,X$1)+SUMIFS('changes2_based on steps'!$B339:$U339,'changes2_based on steps'!$B$1:$U$1,X$1)</f>
        <v>0</v>
      </c>
      <c r="Y339" s="155">
        <f ca="1">SUMIFS('recurring2_based on steps'!$B339:$AY339,'recurring2_based on steps'!$B$1:$AY$1,Y$1)+SUMIFS('changes2_based on steps'!$B339:$U339,'changes2_based on steps'!$B$1:$U$1,Y$1)</f>
        <v>0</v>
      </c>
      <c r="Z339" s="155">
        <f>SUMIFS('recurring2_based on steps'!$B339:$AY339,'recurring2_based on steps'!$B$1:$AY$1,Z$1)+SUMIFS('changes2_based on steps'!$B339:$U339,'changes2_based on steps'!$B$1:$U$1,Z$1)</f>
        <v>0</v>
      </c>
      <c r="AA339" s="155">
        <f>SUMIFS('recurring2_based on steps'!$B339:$AY339,'recurring2_based on steps'!$B$1:$AY$1,AA$1)+SUMIFS('changes2_based on steps'!$B339:$U339,'changes2_based on steps'!$B$1:$U$1,AA$1)</f>
        <v>0</v>
      </c>
    </row>
    <row r="340" spans="1:27" x14ac:dyDescent="0.2">
      <c r="A340" s="18">
        <f t="shared" ca="1" si="5"/>
        <v>46026</v>
      </c>
      <c r="B340" s="155">
        <f ca="1">SUMIFS('recurring2_based on steps'!$B340:$AY340,'recurring2_based on steps'!$B$1:$AY$1,B$1)+SUMIFS('changes2_based on steps'!$B340:$U340,'changes2_based on steps'!$B$1:$U$1,B$1)</f>
        <v>0</v>
      </c>
      <c r="C340" s="155">
        <f>SUMIFS('recurring2_based on steps'!$B340:$AY340,'recurring2_based on steps'!$B$1:$AY$1,C$1)+SUMIFS('changes2_based on steps'!$B340:$U340,'changes2_based on steps'!$B$1:$U$1,C$1)</f>
        <v>0</v>
      </c>
      <c r="D340" s="155">
        <f>SUMIFS('recurring2_based on steps'!$B340:$AY340,'recurring2_based on steps'!$B$1:$AY$1,D$1)+SUMIFS('changes2_based on steps'!$B340:$U340,'changes2_based on steps'!$B$1:$U$1,D$1)</f>
        <v>0</v>
      </c>
      <c r="E340" s="155">
        <f>SUMIFS('recurring2_based on steps'!$B340:$AY340,'recurring2_based on steps'!$B$1:$AY$1,E$1)+SUMIFS('changes2_based on steps'!$B340:$U340,'changes2_based on steps'!$B$1:$U$1,E$1)</f>
        <v>0</v>
      </c>
      <c r="F340" s="155">
        <f>SUMIFS('recurring2_based on steps'!$B340:$AY340,'recurring2_based on steps'!$B$1:$AY$1,F$1)+SUMIFS('changes2_based on steps'!$B340:$U340,'changes2_based on steps'!$B$1:$U$1,F$1)</f>
        <v>0</v>
      </c>
      <c r="G340" s="155">
        <f>SUMIFS('recurring2_based on steps'!$B340:$AY340,'recurring2_based on steps'!$B$1:$AY$1,G$1)+SUMIFS('changes2_based on steps'!$B340:$U340,'changes2_based on steps'!$B$1:$U$1,G$1)</f>
        <v>0</v>
      </c>
      <c r="H340" s="155">
        <f ca="1">SUMIFS('recurring2_based on steps'!$B340:$AY340,'recurring2_based on steps'!$B$1:$AY$1,H$1)+SUMIFS('changes2_based on steps'!$B340:$U340,'changes2_based on steps'!$B$1:$U$1,H$1)</f>
        <v>0</v>
      </c>
      <c r="I340" s="155">
        <f>SUMIFS('recurring2_based on steps'!$B340:$AY340,'recurring2_based on steps'!$B$1:$AY$1,I$1)+SUMIFS('changes2_based on steps'!$B340:$U340,'changes2_based on steps'!$B$1:$U$1,I$1)</f>
        <v>0</v>
      </c>
      <c r="J340" s="155">
        <f>SUMIFS('recurring2_based on steps'!$B340:$AY340,'recurring2_based on steps'!$B$1:$AY$1,J$1)+SUMIFS('changes2_based on steps'!$B340:$U340,'changes2_based on steps'!$B$1:$U$1,J$1)</f>
        <v>0</v>
      </c>
      <c r="K340" s="155">
        <f>SUMIFS('recurring2_based on steps'!$B340:$AY340,'recurring2_based on steps'!$B$1:$AY$1,K$1)+SUMIFS('changes2_based on steps'!$B340:$U340,'changes2_based on steps'!$B$1:$U$1,K$1)</f>
        <v>0</v>
      </c>
      <c r="L340" s="155">
        <f>SUMIFS('recurring2_based on steps'!$B340:$AY340,'recurring2_based on steps'!$B$1:$AY$1,L$1)+SUMIFS('changes2_based on steps'!$B340:$U340,'changes2_based on steps'!$B$1:$U$1,L$1)</f>
        <v>0</v>
      </c>
      <c r="M340" s="155">
        <f ca="1">SUMIFS('recurring2_based on steps'!$B340:$AY340,'recurring2_based on steps'!$B$1:$AY$1,M$1)+SUMIFS('changes2_based on steps'!$B340:$U340,'changes2_based on steps'!$B$1:$U$1,M$1)</f>
        <v>0</v>
      </c>
      <c r="N340" s="155">
        <f ca="1">SUMIFS('recurring2_based on steps'!$B340:$AY340,'recurring2_based on steps'!$B$1:$AY$1,N$1)+SUMIFS('changes2_based on steps'!$B340:$U340,'changes2_based on steps'!$B$1:$U$1,N$1)</f>
        <v>50</v>
      </c>
      <c r="O340" s="155">
        <f ca="1">SUMIFS('recurring2_based on steps'!$B340:$AY340,'recurring2_based on steps'!$B$1:$AY$1,O$1)+SUMIFS('changes2_based on steps'!$B340:$U340,'changes2_based on steps'!$B$1:$U$1,O$1)</f>
        <v>0</v>
      </c>
      <c r="P340" s="155">
        <f ca="1">SUMIFS('recurring2_based on steps'!$B340:$AY340,'recurring2_based on steps'!$B$1:$AY$1,P$1)+SUMIFS('changes2_based on steps'!$B340:$U340,'changes2_based on steps'!$B$1:$U$1,P$1)</f>
        <v>0</v>
      </c>
      <c r="Q340" s="155">
        <f>SUMIFS('recurring2_based on steps'!$B340:$AY340,'recurring2_based on steps'!$B$1:$AY$1,Q$1)+SUMIFS('changes2_based on steps'!$B340:$U340,'changes2_based on steps'!$B$1:$U$1,Q$1)</f>
        <v>0</v>
      </c>
      <c r="R340" s="155">
        <f ca="1">SUMIFS('recurring2_based on steps'!$B340:$AY340,'recurring2_based on steps'!$B$1:$AY$1,R$1)+SUMIFS('changes2_based on steps'!$B340:$U340,'changes2_based on steps'!$B$1:$U$1,R$1)</f>
        <v>0</v>
      </c>
      <c r="S340" s="155">
        <f ca="1">SUMIFS('recurring2_based on steps'!$B340:$AY340,'recurring2_based on steps'!$B$1:$AY$1,S$1)+SUMIFS('changes2_based on steps'!$B340:$U340,'changes2_based on steps'!$B$1:$U$1,S$1)</f>
        <v>100</v>
      </c>
      <c r="T340" s="155">
        <f>SUMIFS('recurring2_based on steps'!$B340:$AY340,'recurring2_based on steps'!$B$1:$AY$1,T$1)+SUMIFS('changes2_based on steps'!$B340:$U340,'changes2_based on steps'!$B$1:$U$1,T$1)</f>
        <v>0</v>
      </c>
      <c r="U340" s="155">
        <f ca="1">SUMIFS('recurring2_based on steps'!$B340:$AY340,'recurring2_based on steps'!$B$1:$AY$1,U$1)+SUMIFS('changes2_based on steps'!$B340:$U340,'changes2_based on steps'!$B$1:$U$1,U$1)</f>
        <v>15</v>
      </c>
      <c r="V340" s="155">
        <f>SUMIFS('recurring2_based on steps'!$B340:$AY340,'recurring2_based on steps'!$B$1:$AY$1,V$1)+SUMIFS('changes2_based on steps'!$B340:$U340,'changes2_based on steps'!$B$1:$U$1,V$1)</f>
        <v>0</v>
      </c>
      <c r="W340" s="155">
        <f ca="1">SUMIFS('recurring2_based on steps'!$B340:$AY340,'recurring2_based on steps'!$B$1:$AY$1,W$1)+SUMIFS('changes2_based on steps'!$B340:$U340,'changes2_based on steps'!$B$1:$U$1,W$1)</f>
        <v>0</v>
      </c>
      <c r="X340" s="155">
        <f ca="1">SUMIFS('recurring2_based on steps'!$B340:$AY340,'recurring2_based on steps'!$B$1:$AY$1,X$1)+SUMIFS('changes2_based on steps'!$B340:$U340,'changes2_based on steps'!$B$1:$U$1,X$1)</f>
        <v>0</v>
      </c>
      <c r="Y340" s="155">
        <f ca="1">SUMIFS('recurring2_based on steps'!$B340:$AY340,'recurring2_based on steps'!$B$1:$AY$1,Y$1)+SUMIFS('changes2_based on steps'!$B340:$U340,'changes2_based on steps'!$B$1:$U$1,Y$1)</f>
        <v>0</v>
      </c>
      <c r="Z340" s="155">
        <f>SUMIFS('recurring2_based on steps'!$B340:$AY340,'recurring2_based on steps'!$B$1:$AY$1,Z$1)+SUMIFS('changes2_based on steps'!$B340:$U340,'changes2_based on steps'!$B$1:$U$1,Z$1)</f>
        <v>0</v>
      </c>
      <c r="AA340" s="155">
        <f>SUMIFS('recurring2_based on steps'!$B340:$AY340,'recurring2_based on steps'!$B$1:$AY$1,AA$1)+SUMIFS('changes2_based on steps'!$B340:$U340,'changes2_based on steps'!$B$1:$U$1,AA$1)</f>
        <v>0</v>
      </c>
    </row>
    <row r="341" spans="1:27" x14ac:dyDescent="0.2">
      <c r="A341" s="18">
        <f t="shared" ca="1" si="5"/>
        <v>46027</v>
      </c>
      <c r="B341" s="155">
        <f ca="1">SUMIFS('recurring2_based on steps'!$B341:$AY341,'recurring2_based on steps'!$B$1:$AY$1,B$1)+SUMIFS('changes2_based on steps'!$B341:$U341,'changes2_based on steps'!$B$1:$U$1,B$1)</f>
        <v>0</v>
      </c>
      <c r="C341" s="155">
        <f>SUMIFS('recurring2_based on steps'!$B341:$AY341,'recurring2_based on steps'!$B$1:$AY$1,C$1)+SUMIFS('changes2_based on steps'!$B341:$U341,'changes2_based on steps'!$B$1:$U$1,C$1)</f>
        <v>0</v>
      </c>
      <c r="D341" s="155">
        <f>SUMIFS('recurring2_based on steps'!$B341:$AY341,'recurring2_based on steps'!$B$1:$AY$1,D$1)+SUMIFS('changes2_based on steps'!$B341:$U341,'changes2_based on steps'!$B$1:$U$1,D$1)</f>
        <v>0</v>
      </c>
      <c r="E341" s="155">
        <f>SUMIFS('recurring2_based on steps'!$B341:$AY341,'recurring2_based on steps'!$B$1:$AY$1,E$1)+SUMIFS('changes2_based on steps'!$B341:$U341,'changes2_based on steps'!$B$1:$U$1,E$1)</f>
        <v>0</v>
      </c>
      <c r="F341" s="155">
        <f>SUMIFS('recurring2_based on steps'!$B341:$AY341,'recurring2_based on steps'!$B$1:$AY$1,F$1)+SUMIFS('changes2_based on steps'!$B341:$U341,'changes2_based on steps'!$B$1:$U$1,F$1)</f>
        <v>0</v>
      </c>
      <c r="G341" s="155">
        <f>SUMIFS('recurring2_based on steps'!$B341:$AY341,'recurring2_based on steps'!$B$1:$AY$1,G$1)+SUMIFS('changes2_based on steps'!$B341:$U341,'changes2_based on steps'!$B$1:$U$1,G$1)</f>
        <v>0</v>
      </c>
      <c r="H341" s="155">
        <f ca="1">SUMIFS('recurring2_based on steps'!$B341:$AY341,'recurring2_based on steps'!$B$1:$AY$1,H$1)+SUMIFS('changes2_based on steps'!$B341:$U341,'changes2_based on steps'!$B$1:$U$1,H$1)</f>
        <v>0</v>
      </c>
      <c r="I341" s="155">
        <f>SUMIFS('recurring2_based on steps'!$B341:$AY341,'recurring2_based on steps'!$B$1:$AY$1,I$1)+SUMIFS('changes2_based on steps'!$B341:$U341,'changes2_based on steps'!$B$1:$U$1,I$1)</f>
        <v>0</v>
      </c>
      <c r="J341" s="155">
        <f>SUMIFS('recurring2_based on steps'!$B341:$AY341,'recurring2_based on steps'!$B$1:$AY$1,J$1)+SUMIFS('changes2_based on steps'!$B341:$U341,'changes2_based on steps'!$B$1:$U$1,J$1)</f>
        <v>0</v>
      </c>
      <c r="K341" s="155">
        <f>SUMIFS('recurring2_based on steps'!$B341:$AY341,'recurring2_based on steps'!$B$1:$AY$1,K$1)+SUMIFS('changes2_based on steps'!$B341:$U341,'changes2_based on steps'!$B$1:$U$1,K$1)</f>
        <v>0</v>
      </c>
      <c r="L341" s="155">
        <f>SUMIFS('recurring2_based on steps'!$B341:$AY341,'recurring2_based on steps'!$B$1:$AY$1,L$1)+SUMIFS('changes2_based on steps'!$B341:$U341,'changes2_based on steps'!$B$1:$U$1,L$1)</f>
        <v>0</v>
      </c>
      <c r="M341" s="155">
        <f ca="1">SUMIFS('recurring2_based on steps'!$B341:$AY341,'recurring2_based on steps'!$B$1:$AY$1,M$1)+SUMIFS('changes2_based on steps'!$B341:$U341,'changes2_based on steps'!$B$1:$U$1,M$1)</f>
        <v>0</v>
      </c>
      <c r="N341" s="155">
        <f ca="1">SUMIFS('recurring2_based on steps'!$B341:$AY341,'recurring2_based on steps'!$B$1:$AY$1,N$1)+SUMIFS('changes2_based on steps'!$B341:$U341,'changes2_based on steps'!$B$1:$U$1,N$1)</f>
        <v>0</v>
      </c>
      <c r="O341" s="155">
        <f ca="1">SUMIFS('recurring2_based on steps'!$B341:$AY341,'recurring2_based on steps'!$B$1:$AY$1,O$1)+SUMIFS('changes2_based on steps'!$B341:$U341,'changes2_based on steps'!$B$1:$U$1,O$1)</f>
        <v>0</v>
      </c>
      <c r="P341" s="155">
        <f ca="1">SUMIFS('recurring2_based on steps'!$B341:$AY341,'recurring2_based on steps'!$B$1:$AY$1,P$1)+SUMIFS('changes2_based on steps'!$B341:$U341,'changes2_based on steps'!$B$1:$U$1,P$1)</f>
        <v>50</v>
      </c>
      <c r="Q341" s="155">
        <f>SUMIFS('recurring2_based on steps'!$B341:$AY341,'recurring2_based on steps'!$B$1:$AY$1,Q$1)+SUMIFS('changes2_based on steps'!$B341:$U341,'changes2_based on steps'!$B$1:$U$1,Q$1)</f>
        <v>0</v>
      </c>
      <c r="R341" s="155">
        <f ca="1">SUMIFS('recurring2_based on steps'!$B341:$AY341,'recurring2_based on steps'!$B$1:$AY$1,R$1)+SUMIFS('changes2_based on steps'!$B341:$U341,'changes2_based on steps'!$B$1:$U$1,R$1)</f>
        <v>0</v>
      </c>
      <c r="S341" s="155">
        <f ca="1">SUMIFS('recurring2_based on steps'!$B341:$AY341,'recurring2_based on steps'!$B$1:$AY$1,S$1)+SUMIFS('changes2_based on steps'!$B341:$U341,'changes2_based on steps'!$B$1:$U$1,S$1)</f>
        <v>0</v>
      </c>
      <c r="T341" s="155">
        <f>SUMIFS('recurring2_based on steps'!$B341:$AY341,'recurring2_based on steps'!$B$1:$AY$1,T$1)+SUMIFS('changes2_based on steps'!$B341:$U341,'changes2_based on steps'!$B$1:$U$1,T$1)</f>
        <v>0</v>
      </c>
      <c r="U341" s="155">
        <f ca="1">SUMIFS('recurring2_based on steps'!$B341:$AY341,'recurring2_based on steps'!$B$1:$AY$1,U$1)+SUMIFS('changes2_based on steps'!$B341:$U341,'changes2_based on steps'!$B$1:$U$1,U$1)</f>
        <v>0</v>
      </c>
      <c r="V341" s="155">
        <f>SUMIFS('recurring2_based on steps'!$B341:$AY341,'recurring2_based on steps'!$B$1:$AY$1,V$1)+SUMIFS('changes2_based on steps'!$B341:$U341,'changes2_based on steps'!$B$1:$U$1,V$1)</f>
        <v>0</v>
      </c>
      <c r="W341" s="155">
        <f ca="1">SUMIFS('recurring2_based on steps'!$B341:$AY341,'recurring2_based on steps'!$B$1:$AY$1,W$1)+SUMIFS('changes2_based on steps'!$B341:$U341,'changes2_based on steps'!$B$1:$U$1,W$1)</f>
        <v>0</v>
      </c>
      <c r="X341" s="155">
        <f ca="1">SUMIFS('recurring2_based on steps'!$B341:$AY341,'recurring2_based on steps'!$B$1:$AY$1,X$1)+SUMIFS('changes2_based on steps'!$B341:$U341,'changes2_based on steps'!$B$1:$U$1,X$1)</f>
        <v>0</v>
      </c>
      <c r="Y341" s="155">
        <f ca="1">SUMIFS('recurring2_based on steps'!$B341:$AY341,'recurring2_based on steps'!$B$1:$AY$1,Y$1)+SUMIFS('changes2_based on steps'!$B341:$U341,'changes2_based on steps'!$B$1:$U$1,Y$1)</f>
        <v>0</v>
      </c>
      <c r="Z341" s="155">
        <f>SUMIFS('recurring2_based on steps'!$B341:$AY341,'recurring2_based on steps'!$B$1:$AY$1,Z$1)+SUMIFS('changes2_based on steps'!$B341:$U341,'changes2_based on steps'!$B$1:$U$1,Z$1)</f>
        <v>0</v>
      </c>
      <c r="AA341" s="155">
        <f>SUMIFS('recurring2_based on steps'!$B341:$AY341,'recurring2_based on steps'!$B$1:$AY$1,AA$1)+SUMIFS('changes2_based on steps'!$B341:$U341,'changes2_based on steps'!$B$1:$U$1,AA$1)</f>
        <v>0</v>
      </c>
    </row>
    <row r="342" spans="1:27" x14ac:dyDescent="0.2">
      <c r="A342" s="18">
        <f t="shared" ca="1" si="5"/>
        <v>46028</v>
      </c>
      <c r="B342" s="155">
        <f ca="1">SUMIFS('recurring2_based on steps'!$B342:$AY342,'recurring2_based on steps'!$B$1:$AY$1,B$1)+SUMIFS('changes2_based on steps'!$B342:$U342,'changes2_based on steps'!$B$1:$U$1,B$1)</f>
        <v>0</v>
      </c>
      <c r="C342" s="155">
        <f>SUMIFS('recurring2_based on steps'!$B342:$AY342,'recurring2_based on steps'!$B$1:$AY$1,C$1)+SUMIFS('changes2_based on steps'!$B342:$U342,'changes2_based on steps'!$B$1:$U$1,C$1)</f>
        <v>0</v>
      </c>
      <c r="D342" s="155">
        <f>SUMIFS('recurring2_based on steps'!$B342:$AY342,'recurring2_based on steps'!$B$1:$AY$1,D$1)+SUMIFS('changes2_based on steps'!$B342:$U342,'changes2_based on steps'!$B$1:$U$1,D$1)</f>
        <v>0</v>
      </c>
      <c r="E342" s="155">
        <f>SUMIFS('recurring2_based on steps'!$B342:$AY342,'recurring2_based on steps'!$B$1:$AY$1,E$1)+SUMIFS('changes2_based on steps'!$B342:$U342,'changes2_based on steps'!$B$1:$U$1,E$1)</f>
        <v>0</v>
      </c>
      <c r="F342" s="155">
        <f>SUMIFS('recurring2_based on steps'!$B342:$AY342,'recurring2_based on steps'!$B$1:$AY$1,F$1)+SUMIFS('changes2_based on steps'!$B342:$U342,'changes2_based on steps'!$B$1:$U$1,F$1)</f>
        <v>0</v>
      </c>
      <c r="G342" s="155">
        <f>SUMIFS('recurring2_based on steps'!$B342:$AY342,'recurring2_based on steps'!$B$1:$AY$1,G$1)+SUMIFS('changes2_based on steps'!$B342:$U342,'changes2_based on steps'!$B$1:$U$1,G$1)</f>
        <v>0</v>
      </c>
      <c r="H342" s="155">
        <f ca="1">SUMIFS('recurring2_based on steps'!$B342:$AY342,'recurring2_based on steps'!$B$1:$AY$1,H$1)+SUMIFS('changes2_based on steps'!$B342:$U342,'changes2_based on steps'!$B$1:$U$1,H$1)</f>
        <v>0</v>
      </c>
      <c r="I342" s="155">
        <f>SUMIFS('recurring2_based on steps'!$B342:$AY342,'recurring2_based on steps'!$B$1:$AY$1,I$1)+SUMIFS('changes2_based on steps'!$B342:$U342,'changes2_based on steps'!$B$1:$U$1,I$1)</f>
        <v>0</v>
      </c>
      <c r="J342" s="155">
        <f>SUMIFS('recurring2_based on steps'!$B342:$AY342,'recurring2_based on steps'!$B$1:$AY$1,J$1)+SUMIFS('changes2_based on steps'!$B342:$U342,'changes2_based on steps'!$B$1:$U$1,J$1)</f>
        <v>0</v>
      </c>
      <c r="K342" s="155">
        <f>SUMIFS('recurring2_based on steps'!$B342:$AY342,'recurring2_based on steps'!$B$1:$AY$1,K$1)+SUMIFS('changes2_based on steps'!$B342:$U342,'changes2_based on steps'!$B$1:$U$1,K$1)</f>
        <v>0</v>
      </c>
      <c r="L342" s="155">
        <f>SUMIFS('recurring2_based on steps'!$B342:$AY342,'recurring2_based on steps'!$B$1:$AY$1,L$1)+SUMIFS('changes2_based on steps'!$B342:$U342,'changes2_based on steps'!$B$1:$U$1,L$1)</f>
        <v>0</v>
      </c>
      <c r="M342" s="155">
        <f ca="1">SUMIFS('recurring2_based on steps'!$B342:$AY342,'recurring2_based on steps'!$B$1:$AY$1,M$1)+SUMIFS('changes2_based on steps'!$B342:$U342,'changes2_based on steps'!$B$1:$U$1,M$1)</f>
        <v>0</v>
      </c>
      <c r="N342" s="155">
        <f ca="1">SUMIFS('recurring2_based on steps'!$B342:$AY342,'recurring2_based on steps'!$B$1:$AY$1,N$1)+SUMIFS('changes2_based on steps'!$B342:$U342,'changes2_based on steps'!$B$1:$U$1,N$1)</f>
        <v>0</v>
      </c>
      <c r="O342" s="155">
        <f ca="1">SUMIFS('recurring2_based on steps'!$B342:$AY342,'recurring2_based on steps'!$B$1:$AY$1,O$1)+SUMIFS('changes2_based on steps'!$B342:$U342,'changes2_based on steps'!$B$1:$U$1,O$1)</f>
        <v>0</v>
      </c>
      <c r="P342" s="155">
        <f ca="1">SUMIFS('recurring2_based on steps'!$B342:$AY342,'recurring2_based on steps'!$B$1:$AY$1,P$1)+SUMIFS('changes2_based on steps'!$B342:$U342,'changes2_based on steps'!$B$1:$U$1,P$1)</f>
        <v>0</v>
      </c>
      <c r="Q342" s="155">
        <f>SUMIFS('recurring2_based on steps'!$B342:$AY342,'recurring2_based on steps'!$B$1:$AY$1,Q$1)+SUMIFS('changes2_based on steps'!$B342:$U342,'changes2_based on steps'!$B$1:$U$1,Q$1)</f>
        <v>0</v>
      </c>
      <c r="R342" s="155">
        <f ca="1">SUMIFS('recurring2_based on steps'!$B342:$AY342,'recurring2_based on steps'!$B$1:$AY$1,R$1)+SUMIFS('changes2_based on steps'!$B342:$U342,'changes2_based on steps'!$B$1:$U$1,R$1)</f>
        <v>0</v>
      </c>
      <c r="S342" s="155">
        <f ca="1">SUMIFS('recurring2_based on steps'!$B342:$AY342,'recurring2_based on steps'!$B$1:$AY$1,S$1)+SUMIFS('changes2_based on steps'!$B342:$U342,'changes2_based on steps'!$B$1:$U$1,S$1)</f>
        <v>0</v>
      </c>
      <c r="T342" s="155">
        <f>SUMIFS('recurring2_based on steps'!$B342:$AY342,'recurring2_based on steps'!$B$1:$AY$1,T$1)+SUMIFS('changes2_based on steps'!$B342:$U342,'changes2_based on steps'!$B$1:$U$1,T$1)</f>
        <v>0</v>
      </c>
      <c r="U342" s="155">
        <f ca="1">SUMIFS('recurring2_based on steps'!$B342:$AY342,'recurring2_based on steps'!$B$1:$AY$1,U$1)+SUMIFS('changes2_based on steps'!$B342:$U342,'changes2_based on steps'!$B$1:$U$1,U$1)</f>
        <v>0</v>
      </c>
      <c r="V342" s="155">
        <f>SUMIFS('recurring2_based on steps'!$B342:$AY342,'recurring2_based on steps'!$B$1:$AY$1,V$1)+SUMIFS('changes2_based on steps'!$B342:$U342,'changes2_based on steps'!$B$1:$U$1,V$1)</f>
        <v>0</v>
      </c>
      <c r="W342" s="155">
        <f ca="1">SUMIFS('recurring2_based on steps'!$B342:$AY342,'recurring2_based on steps'!$B$1:$AY$1,W$1)+SUMIFS('changes2_based on steps'!$B342:$U342,'changes2_based on steps'!$B$1:$U$1,W$1)</f>
        <v>0</v>
      </c>
      <c r="X342" s="155">
        <f ca="1">SUMIFS('recurring2_based on steps'!$B342:$AY342,'recurring2_based on steps'!$B$1:$AY$1,X$1)+SUMIFS('changes2_based on steps'!$B342:$U342,'changes2_based on steps'!$B$1:$U$1,X$1)</f>
        <v>0</v>
      </c>
      <c r="Y342" s="155">
        <f ca="1">SUMIFS('recurring2_based on steps'!$B342:$AY342,'recurring2_based on steps'!$B$1:$AY$1,Y$1)+SUMIFS('changes2_based on steps'!$B342:$U342,'changes2_based on steps'!$B$1:$U$1,Y$1)</f>
        <v>0</v>
      </c>
      <c r="Z342" s="155">
        <f>SUMIFS('recurring2_based on steps'!$B342:$AY342,'recurring2_based on steps'!$B$1:$AY$1,Z$1)+SUMIFS('changes2_based on steps'!$B342:$U342,'changes2_based on steps'!$B$1:$U$1,Z$1)</f>
        <v>0</v>
      </c>
      <c r="AA342" s="155">
        <f>SUMIFS('recurring2_based on steps'!$B342:$AY342,'recurring2_based on steps'!$B$1:$AY$1,AA$1)+SUMIFS('changes2_based on steps'!$B342:$U342,'changes2_based on steps'!$B$1:$U$1,AA$1)</f>
        <v>0</v>
      </c>
    </row>
    <row r="343" spans="1:27" x14ac:dyDescent="0.2">
      <c r="A343" s="18">
        <f t="shared" ca="1" si="5"/>
        <v>46029</v>
      </c>
      <c r="B343" s="155">
        <f ca="1">SUMIFS('recurring2_based on steps'!$B343:$AY343,'recurring2_based on steps'!$B$1:$AY$1,B$1)+SUMIFS('changes2_based on steps'!$B343:$U343,'changes2_based on steps'!$B$1:$U$1,B$1)</f>
        <v>0</v>
      </c>
      <c r="C343" s="155">
        <f>SUMIFS('recurring2_based on steps'!$B343:$AY343,'recurring2_based on steps'!$B$1:$AY$1,C$1)+SUMIFS('changes2_based on steps'!$B343:$U343,'changes2_based on steps'!$B$1:$U$1,C$1)</f>
        <v>0</v>
      </c>
      <c r="D343" s="155">
        <f>SUMIFS('recurring2_based on steps'!$B343:$AY343,'recurring2_based on steps'!$B$1:$AY$1,D$1)+SUMIFS('changes2_based on steps'!$B343:$U343,'changes2_based on steps'!$B$1:$U$1,D$1)</f>
        <v>0</v>
      </c>
      <c r="E343" s="155">
        <f>SUMIFS('recurring2_based on steps'!$B343:$AY343,'recurring2_based on steps'!$B$1:$AY$1,E$1)+SUMIFS('changes2_based on steps'!$B343:$U343,'changes2_based on steps'!$B$1:$U$1,E$1)</f>
        <v>0</v>
      </c>
      <c r="F343" s="155">
        <f>SUMIFS('recurring2_based on steps'!$B343:$AY343,'recurring2_based on steps'!$B$1:$AY$1,F$1)+SUMIFS('changes2_based on steps'!$B343:$U343,'changes2_based on steps'!$B$1:$U$1,F$1)</f>
        <v>0</v>
      </c>
      <c r="G343" s="155">
        <f>SUMIFS('recurring2_based on steps'!$B343:$AY343,'recurring2_based on steps'!$B$1:$AY$1,G$1)+SUMIFS('changes2_based on steps'!$B343:$U343,'changes2_based on steps'!$B$1:$U$1,G$1)</f>
        <v>0</v>
      </c>
      <c r="H343" s="155">
        <f ca="1">SUMIFS('recurring2_based on steps'!$B343:$AY343,'recurring2_based on steps'!$B$1:$AY$1,H$1)+SUMIFS('changes2_based on steps'!$B343:$U343,'changes2_based on steps'!$B$1:$U$1,H$1)</f>
        <v>0</v>
      </c>
      <c r="I343" s="155">
        <f>SUMIFS('recurring2_based on steps'!$B343:$AY343,'recurring2_based on steps'!$B$1:$AY$1,I$1)+SUMIFS('changes2_based on steps'!$B343:$U343,'changes2_based on steps'!$B$1:$U$1,I$1)</f>
        <v>0</v>
      </c>
      <c r="J343" s="155">
        <f>SUMIFS('recurring2_based on steps'!$B343:$AY343,'recurring2_based on steps'!$B$1:$AY$1,J$1)+SUMIFS('changes2_based on steps'!$B343:$U343,'changes2_based on steps'!$B$1:$U$1,J$1)</f>
        <v>0</v>
      </c>
      <c r="K343" s="155">
        <f>SUMIFS('recurring2_based on steps'!$B343:$AY343,'recurring2_based on steps'!$B$1:$AY$1,K$1)+SUMIFS('changes2_based on steps'!$B343:$U343,'changes2_based on steps'!$B$1:$U$1,K$1)</f>
        <v>0</v>
      </c>
      <c r="L343" s="155">
        <f>SUMIFS('recurring2_based on steps'!$B343:$AY343,'recurring2_based on steps'!$B$1:$AY$1,L$1)+SUMIFS('changes2_based on steps'!$B343:$U343,'changes2_based on steps'!$B$1:$U$1,L$1)</f>
        <v>0</v>
      </c>
      <c r="M343" s="155">
        <f ca="1">SUMIFS('recurring2_based on steps'!$B343:$AY343,'recurring2_based on steps'!$B$1:$AY$1,M$1)+SUMIFS('changes2_based on steps'!$B343:$U343,'changes2_based on steps'!$B$1:$U$1,M$1)</f>
        <v>0</v>
      </c>
      <c r="N343" s="155">
        <f ca="1">SUMIFS('recurring2_based on steps'!$B343:$AY343,'recurring2_based on steps'!$B$1:$AY$1,N$1)+SUMIFS('changes2_based on steps'!$B343:$U343,'changes2_based on steps'!$B$1:$U$1,N$1)</f>
        <v>0</v>
      </c>
      <c r="O343" s="155">
        <f ca="1">SUMIFS('recurring2_based on steps'!$B343:$AY343,'recurring2_based on steps'!$B$1:$AY$1,O$1)+SUMIFS('changes2_based on steps'!$B343:$U343,'changes2_based on steps'!$B$1:$U$1,O$1)</f>
        <v>0</v>
      </c>
      <c r="P343" s="155">
        <f ca="1">SUMIFS('recurring2_based on steps'!$B343:$AY343,'recurring2_based on steps'!$B$1:$AY$1,P$1)+SUMIFS('changes2_based on steps'!$B343:$U343,'changes2_based on steps'!$B$1:$U$1,P$1)</f>
        <v>0</v>
      </c>
      <c r="Q343" s="155">
        <f>SUMIFS('recurring2_based on steps'!$B343:$AY343,'recurring2_based on steps'!$B$1:$AY$1,Q$1)+SUMIFS('changes2_based on steps'!$B343:$U343,'changes2_based on steps'!$B$1:$U$1,Q$1)</f>
        <v>0</v>
      </c>
      <c r="R343" s="155">
        <f ca="1">SUMIFS('recurring2_based on steps'!$B343:$AY343,'recurring2_based on steps'!$B$1:$AY$1,R$1)+SUMIFS('changes2_based on steps'!$B343:$U343,'changes2_based on steps'!$B$1:$U$1,R$1)</f>
        <v>0</v>
      </c>
      <c r="S343" s="155">
        <f ca="1">SUMIFS('recurring2_based on steps'!$B343:$AY343,'recurring2_based on steps'!$B$1:$AY$1,S$1)+SUMIFS('changes2_based on steps'!$B343:$U343,'changes2_based on steps'!$B$1:$U$1,S$1)</f>
        <v>0</v>
      </c>
      <c r="T343" s="155">
        <f>SUMIFS('recurring2_based on steps'!$B343:$AY343,'recurring2_based on steps'!$B$1:$AY$1,T$1)+SUMIFS('changes2_based on steps'!$B343:$U343,'changes2_based on steps'!$B$1:$U$1,T$1)</f>
        <v>0</v>
      </c>
      <c r="U343" s="155">
        <f ca="1">SUMIFS('recurring2_based on steps'!$B343:$AY343,'recurring2_based on steps'!$B$1:$AY$1,U$1)+SUMIFS('changes2_based on steps'!$B343:$U343,'changes2_based on steps'!$B$1:$U$1,U$1)</f>
        <v>0</v>
      </c>
      <c r="V343" s="155">
        <f>SUMIFS('recurring2_based on steps'!$B343:$AY343,'recurring2_based on steps'!$B$1:$AY$1,V$1)+SUMIFS('changes2_based on steps'!$B343:$U343,'changes2_based on steps'!$B$1:$U$1,V$1)</f>
        <v>0</v>
      </c>
      <c r="W343" s="155">
        <f ca="1">SUMIFS('recurring2_based on steps'!$B343:$AY343,'recurring2_based on steps'!$B$1:$AY$1,W$1)+SUMIFS('changes2_based on steps'!$B343:$U343,'changes2_based on steps'!$B$1:$U$1,W$1)</f>
        <v>0</v>
      </c>
      <c r="X343" s="155">
        <f ca="1">SUMIFS('recurring2_based on steps'!$B343:$AY343,'recurring2_based on steps'!$B$1:$AY$1,X$1)+SUMIFS('changes2_based on steps'!$B343:$U343,'changes2_based on steps'!$B$1:$U$1,X$1)</f>
        <v>0</v>
      </c>
      <c r="Y343" s="155">
        <f ca="1">SUMIFS('recurring2_based on steps'!$B343:$AY343,'recurring2_based on steps'!$B$1:$AY$1,Y$1)+SUMIFS('changes2_based on steps'!$B343:$U343,'changes2_based on steps'!$B$1:$U$1,Y$1)</f>
        <v>0</v>
      </c>
      <c r="Z343" s="155">
        <f>SUMIFS('recurring2_based on steps'!$B343:$AY343,'recurring2_based on steps'!$B$1:$AY$1,Z$1)+SUMIFS('changes2_based on steps'!$B343:$U343,'changes2_based on steps'!$B$1:$U$1,Z$1)</f>
        <v>0</v>
      </c>
      <c r="AA343" s="155">
        <f>SUMIFS('recurring2_based on steps'!$B343:$AY343,'recurring2_based on steps'!$B$1:$AY$1,AA$1)+SUMIFS('changes2_based on steps'!$B343:$U343,'changes2_based on steps'!$B$1:$U$1,AA$1)</f>
        <v>0</v>
      </c>
    </row>
    <row r="344" spans="1:27" x14ac:dyDescent="0.2">
      <c r="A344" s="18">
        <f t="shared" ca="1" si="5"/>
        <v>46030</v>
      </c>
      <c r="B344" s="155">
        <f ca="1">SUMIFS('recurring2_based on steps'!$B344:$AY344,'recurring2_based on steps'!$B$1:$AY$1,B$1)+SUMIFS('changes2_based on steps'!$B344:$U344,'changes2_based on steps'!$B$1:$U$1,B$1)</f>
        <v>0</v>
      </c>
      <c r="C344" s="155">
        <f>SUMIFS('recurring2_based on steps'!$B344:$AY344,'recurring2_based on steps'!$B$1:$AY$1,C$1)+SUMIFS('changes2_based on steps'!$B344:$U344,'changes2_based on steps'!$B$1:$U$1,C$1)</f>
        <v>0</v>
      </c>
      <c r="D344" s="155">
        <f>SUMIFS('recurring2_based on steps'!$B344:$AY344,'recurring2_based on steps'!$B$1:$AY$1,D$1)+SUMIFS('changes2_based on steps'!$B344:$U344,'changes2_based on steps'!$B$1:$U$1,D$1)</f>
        <v>0</v>
      </c>
      <c r="E344" s="155">
        <f>SUMIFS('recurring2_based on steps'!$B344:$AY344,'recurring2_based on steps'!$B$1:$AY$1,E$1)+SUMIFS('changes2_based on steps'!$B344:$U344,'changes2_based on steps'!$B$1:$U$1,E$1)</f>
        <v>0</v>
      </c>
      <c r="F344" s="155">
        <f>SUMIFS('recurring2_based on steps'!$B344:$AY344,'recurring2_based on steps'!$B$1:$AY$1,F$1)+SUMIFS('changes2_based on steps'!$B344:$U344,'changes2_based on steps'!$B$1:$U$1,F$1)</f>
        <v>0</v>
      </c>
      <c r="G344" s="155">
        <f>SUMIFS('recurring2_based on steps'!$B344:$AY344,'recurring2_based on steps'!$B$1:$AY$1,G$1)+SUMIFS('changes2_based on steps'!$B344:$U344,'changes2_based on steps'!$B$1:$U$1,G$1)</f>
        <v>0</v>
      </c>
      <c r="H344" s="155">
        <f ca="1">SUMIFS('recurring2_based on steps'!$B344:$AY344,'recurring2_based on steps'!$B$1:$AY$1,H$1)+SUMIFS('changes2_based on steps'!$B344:$U344,'changes2_based on steps'!$B$1:$U$1,H$1)</f>
        <v>0</v>
      </c>
      <c r="I344" s="155">
        <f>SUMIFS('recurring2_based on steps'!$B344:$AY344,'recurring2_based on steps'!$B$1:$AY$1,I$1)+SUMIFS('changes2_based on steps'!$B344:$U344,'changes2_based on steps'!$B$1:$U$1,I$1)</f>
        <v>0</v>
      </c>
      <c r="J344" s="155">
        <f>SUMIFS('recurring2_based on steps'!$B344:$AY344,'recurring2_based on steps'!$B$1:$AY$1,J$1)+SUMIFS('changes2_based on steps'!$B344:$U344,'changes2_based on steps'!$B$1:$U$1,J$1)</f>
        <v>0</v>
      </c>
      <c r="K344" s="155">
        <f>SUMIFS('recurring2_based on steps'!$B344:$AY344,'recurring2_based on steps'!$B$1:$AY$1,K$1)+SUMIFS('changes2_based on steps'!$B344:$U344,'changes2_based on steps'!$B$1:$U$1,K$1)</f>
        <v>0</v>
      </c>
      <c r="L344" s="155">
        <f>SUMIFS('recurring2_based on steps'!$B344:$AY344,'recurring2_based on steps'!$B$1:$AY$1,L$1)+SUMIFS('changes2_based on steps'!$B344:$U344,'changes2_based on steps'!$B$1:$U$1,L$1)</f>
        <v>0</v>
      </c>
      <c r="M344" s="155">
        <f ca="1">SUMIFS('recurring2_based on steps'!$B344:$AY344,'recurring2_based on steps'!$B$1:$AY$1,M$1)+SUMIFS('changes2_based on steps'!$B344:$U344,'changes2_based on steps'!$B$1:$U$1,M$1)</f>
        <v>0</v>
      </c>
      <c r="N344" s="155">
        <f ca="1">SUMIFS('recurring2_based on steps'!$B344:$AY344,'recurring2_based on steps'!$B$1:$AY$1,N$1)+SUMIFS('changes2_based on steps'!$B344:$U344,'changes2_based on steps'!$B$1:$U$1,N$1)</f>
        <v>0</v>
      </c>
      <c r="O344" s="155">
        <f ca="1">SUMIFS('recurring2_based on steps'!$B344:$AY344,'recurring2_based on steps'!$B$1:$AY$1,O$1)+SUMIFS('changes2_based on steps'!$B344:$U344,'changes2_based on steps'!$B$1:$U$1,O$1)</f>
        <v>0</v>
      </c>
      <c r="P344" s="155">
        <f ca="1">SUMIFS('recurring2_based on steps'!$B344:$AY344,'recurring2_based on steps'!$B$1:$AY$1,P$1)+SUMIFS('changes2_based on steps'!$B344:$U344,'changes2_based on steps'!$B$1:$U$1,P$1)</f>
        <v>0</v>
      </c>
      <c r="Q344" s="155">
        <f>SUMIFS('recurring2_based on steps'!$B344:$AY344,'recurring2_based on steps'!$B$1:$AY$1,Q$1)+SUMIFS('changes2_based on steps'!$B344:$U344,'changes2_based on steps'!$B$1:$U$1,Q$1)</f>
        <v>0</v>
      </c>
      <c r="R344" s="155">
        <f ca="1">SUMIFS('recurring2_based on steps'!$B344:$AY344,'recurring2_based on steps'!$B$1:$AY$1,R$1)+SUMIFS('changes2_based on steps'!$B344:$U344,'changes2_based on steps'!$B$1:$U$1,R$1)</f>
        <v>0</v>
      </c>
      <c r="S344" s="155">
        <f ca="1">SUMIFS('recurring2_based on steps'!$B344:$AY344,'recurring2_based on steps'!$B$1:$AY$1,S$1)+SUMIFS('changes2_based on steps'!$B344:$U344,'changes2_based on steps'!$B$1:$U$1,S$1)</f>
        <v>0</v>
      </c>
      <c r="T344" s="155">
        <f>SUMIFS('recurring2_based on steps'!$B344:$AY344,'recurring2_based on steps'!$B$1:$AY$1,T$1)+SUMIFS('changes2_based on steps'!$B344:$U344,'changes2_based on steps'!$B$1:$U$1,T$1)</f>
        <v>0</v>
      </c>
      <c r="U344" s="155">
        <f ca="1">SUMIFS('recurring2_based on steps'!$B344:$AY344,'recurring2_based on steps'!$B$1:$AY$1,U$1)+SUMIFS('changes2_based on steps'!$B344:$U344,'changes2_based on steps'!$B$1:$U$1,U$1)</f>
        <v>0</v>
      </c>
      <c r="V344" s="155">
        <f>SUMIFS('recurring2_based on steps'!$B344:$AY344,'recurring2_based on steps'!$B$1:$AY$1,V$1)+SUMIFS('changes2_based on steps'!$B344:$U344,'changes2_based on steps'!$B$1:$U$1,V$1)</f>
        <v>0</v>
      </c>
      <c r="W344" s="155">
        <f ca="1">SUMIFS('recurring2_based on steps'!$B344:$AY344,'recurring2_based on steps'!$B$1:$AY$1,W$1)+SUMIFS('changes2_based on steps'!$B344:$U344,'changes2_based on steps'!$B$1:$U$1,W$1)</f>
        <v>0</v>
      </c>
      <c r="X344" s="155">
        <f ca="1">SUMIFS('recurring2_based on steps'!$B344:$AY344,'recurring2_based on steps'!$B$1:$AY$1,X$1)+SUMIFS('changes2_based on steps'!$B344:$U344,'changes2_based on steps'!$B$1:$U$1,X$1)</f>
        <v>0</v>
      </c>
      <c r="Y344" s="155">
        <f ca="1">SUMIFS('recurring2_based on steps'!$B344:$AY344,'recurring2_based on steps'!$B$1:$AY$1,Y$1)+SUMIFS('changes2_based on steps'!$B344:$U344,'changes2_based on steps'!$B$1:$U$1,Y$1)</f>
        <v>0</v>
      </c>
      <c r="Z344" s="155">
        <f>SUMIFS('recurring2_based on steps'!$B344:$AY344,'recurring2_based on steps'!$B$1:$AY$1,Z$1)+SUMIFS('changes2_based on steps'!$B344:$U344,'changes2_based on steps'!$B$1:$U$1,Z$1)</f>
        <v>0</v>
      </c>
      <c r="AA344" s="155">
        <f>SUMIFS('recurring2_based on steps'!$B344:$AY344,'recurring2_based on steps'!$B$1:$AY$1,AA$1)+SUMIFS('changes2_based on steps'!$B344:$U344,'changes2_based on steps'!$B$1:$U$1,AA$1)</f>
        <v>0</v>
      </c>
    </row>
    <row r="345" spans="1:27" x14ac:dyDescent="0.2">
      <c r="A345" s="18">
        <f t="shared" ca="1" si="5"/>
        <v>46031</v>
      </c>
      <c r="B345" s="155">
        <f ca="1">SUMIFS('recurring2_based on steps'!$B345:$AY345,'recurring2_based on steps'!$B$1:$AY$1,B$1)+SUMIFS('changes2_based on steps'!$B345:$U345,'changes2_based on steps'!$B$1:$U$1,B$1)</f>
        <v>4000</v>
      </c>
      <c r="C345" s="155">
        <f>SUMIFS('recurring2_based on steps'!$B345:$AY345,'recurring2_based on steps'!$B$1:$AY$1,C$1)+SUMIFS('changes2_based on steps'!$B345:$U345,'changes2_based on steps'!$B$1:$U$1,C$1)</f>
        <v>0</v>
      </c>
      <c r="D345" s="155">
        <f>SUMIFS('recurring2_based on steps'!$B345:$AY345,'recurring2_based on steps'!$B$1:$AY$1,D$1)+SUMIFS('changes2_based on steps'!$B345:$U345,'changes2_based on steps'!$B$1:$U$1,D$1)</f>
        <v>0</v>
      </c>
      <c r="E345" s="155">
        <f>SUMIFS('recurring2_based on steps'!$B345:$AY345,'recurring2_based on steps'!$B$1:$AY$1,E$1)+SUMIFS('changes2_based on steps'!$B345:$U345,'changes2_based on steps'!$B$1:$U$1,E$1)</f>
        <v>0</v>
      </c>
      <c r="F345" s="155">
        <f>SUMIFS('recurring2_based on steps'!$B345:$AY345,'recurring2_based on steps'!$B$1:$AY$1,F$1)+SUMIFS('changes2_based on steps'!$B345:$U345,'changes2_based on steps'!$B$1:$U$1,F$1)</f>
        <v>0</v>
      </c>
      <c r="G345" s="155">
        <f>SUMIFS('recurring2_based on steps'!$B345:$AY345,'recurring2_based on steps'!$B$1:$AY$1,G$1)+SUMIFS('changes2_based on steps'!$B345:$U345,'changes2_based on steps'!$B$1:$U$1,G$1)</f>
        <v>0</v>
      </c>
      <c r="H345" s="155">
        <f ca="1">SUMIFS('recurring2_based on steps'!$B345:$AY345,'recurring2_based on steps'!$B$1:$AY$1,H$1)+SUMIFS('changes2_based on steps'!$B345:$U345,'changes2_based on steps'!$B$1:$U$1,H$1)</f>
        <v>96</v>
      </c>
      <c r="I345" s="155">
        <f>SUMIFS('recurring2_based on steps'!$B345:$AY345,'recurring2_based on steps'!$B$1:$AY$1,I$1)+SUMIFS('changes2_based on steps'!$B345:$U345,'changes2_based on steps'!$B$1:$U$1,I$1)</f>
        <v>0</v>
      </c>
      <c r="J345" s="155">
        <f>SUMIFS('recurring2_based on steps'!$B345:$AY345,'recurring2_based on steps'!$B$1:$AY$1,J$1)+SUMIFS('changes2_based on steps'!$B345:$U345,'changes2_based on steps'!$B$1:$U$1,J$1)</f>
        <v>0</v>
      </c>
      <c r="K345" s="155">
        <f>SUMIFS('recurring2_based on steps'!$B345:$AY345,'recurring2_based on steps'!$B$1:$AY$1,K$1)+SUMIFS('changes2_based on steps'!$B345:$U345,'changes2_based on steps'!$B$1:$U$1,K$1)</f>
        <v>0</v>
      </c>
      <c r="L345" s="155">
        <f>SUMIFS('recurring2_based on steps'!$B345:$AY345,'recurring2_based on steps'!$B$1:$AY$1,L$1)+SUMIFS('changes2_based on steps'!$B345:$U345,'changes2_based on steps'!$B$1:$U$1,L$1)</f>
        <v>0</v>
      </c>
      <c r="M345" s="155">
        <f ca="1">SUMIFS('recurring2_based on steps'!$B345:$AY345,'recurring2_based on steps'!$B$1:$AY$1,M$1)+SUMIFS('changes2_based on steps'!$B345:$U345,'changes2_based on steps'!$B$1:$U$1,M$1)</f>
        <v>0</v>
      </c>
      <c r="N345" s="155">
        <f ca="1">SUMIFS('recurring2_based on steps'!$B345:$AY345,'recurring2_based on steps'!$B$1:$AY$1,N$1)+SUMIFS('changes2_based on steps'!$B345:$U345,'changes2_based on steps'!$B$1:$U$1,N$1)</f>
        <v>0</v>
      </c>
      <c r="O345" s="155">
        <f ca="1">SUMIFS('recurring2_based on steps'!$B345:$AY345,'recurring2_based on steps'!$B$1:$AY$1,O$1)+SUMIFS('changes2_based on steps'!$B345:$U345,'changes2_based on steps'!$B$1:$U$1,O$1)</f>
        <v>0</v>
      </c>
      <c r="P345" s="155">
        <f ca="1">SUMIFS('recurring2_based on steps'!$B345:$AY345,'recurring2_based on steps'!$B$1:$AY$1,P$1)+SUMIFS('changes2_based on steps'!$B345:$U345,'changes2_based on steps'!$B$1:$U$1,P$1)</f>
        <v>0</v>
      </c>
      <c r="Q345" s="155">
        <f>SUMIFS('recurring2_based on steps'!$B345:$AY345,'recurring2_based on steps'!$B$1:$AY$1,Q$1)+SUMIFS('changes2_based on steps'!$B345:$U345,'changes2_based on steps'!$B$1:$U$1,Q$1)</f>
        <v>0</v>
      </c>
      <c r="R345" s="155">
        <f ca="1">SUMIFS('recurring2_based on steps'!$B345:$AY345,'recurring2_based on steps'!$B$1:$AY$1,R$1)+SUMIFS('changes2_based on steps'!$B345:$U345,'changes2_based on steps'!$B$1:$U$1,R$1)</f>
        <v>0</v>
      </c>
      <c r="S345" s="155">
        <f ca="1">SUMIFS('recurring2_based on steps'!$B345:$AY345,'recurring2_based on steps'!$B$1:$AY$1,S$1)+SUMIFS('changes2_based on steps'!$B345:$U345,'changes2_based on steps'!$B$1:$U$1,S$1)</f>
        <v>0</v>
      </c>
      <c r="T345" s="155">
        <f>SUMIFS('recurring2_based on steps'!$B345:$AY345,'recurring2_based on steps'!$B$1:$AY$1,T$1)+SUMIFS('changes2_based on steps'!$B345:$U345,'changes2_based on steps'!$B$1:$U$1,T$1)</f>
        <v>0</v>
      </c>
      <c r="U345" s="155">
        <f ca="1">SUMIFS('recurring2_based on steps'!$B345:$AY345,'recurring2_based on steps'!$B$1:$AY$1,U$1)+SUMIFS('changes2_based on steps'!$B345:$U345,'changes2_based on steps'!$B$1:$U$1,U$1)</f>
        <v>0</v>
      </c>
      <c r="V345" s="155">
        <f>SUMIFS('recurring2_based on steps'!$B345:$AY345,'recurring2_based on steps'!$B$1:$AY$1,V$1)+SUMIFS('changes2_based on steps'!$B345:$U345,'changes2_based on steps'!$B$1:$U$1,V$1)</f>
        <v>0</v>
      </c>
      <c r="W345" s="155">
        <f ca="1">SUMIFS('recurring2_based on steps'!$B345:$AY345,'recurring2_based on steps'!$B$1:$AY$1,W$1)+SUMIFS('changes2_based on steps'!$B345:$U345,'changes2_based on steps'!$B$1:$U$1,W$1)</f>
        <v>50</v>
      </c>
      <c r="X345" s="155">
        <f ca="1">SUMIFS('recurring2_based on steps'!$B345:$AY345,'recurring2_based on steps'!$B$1:$AY$1,X$1)+SUMIFS('changes2_based on steps'!$B345:$U345,'changes2_based on steps'!$B$1:$U$1,X$1)</f>
        <v>200</v>
      </c>
      <c r="Y345" s="155">
        <f ca="1">SUMIFS('recurring2_based on steps'!$B345:$AY345,'recurring2_based on steps'!$B$1:$AY$1,Y$1)+SUMIFS('changes2_based on steps'!$B345:$U345,'changes2_based on steps'!$B$1:$U$1,Y$1)</f>
        <v>0</v>
      </c>
      <c r="Z345" s="155">
        <f>SUMIFS('recurring2_based on steps'!$B345:$AY345,'recurring2_based on steps'!$B$1:$AY$1,Z$1)+SUMIFS('changes2_based on steps'!$B345:$U345,'changes2_based on steps'!$B$1:$U$1,Z$1)</f>
        <v>0</v>
      </c>
      <c r="AA345" s="155">
        <f>SUMIFS('recurring2_based on steps'!$B345:$AY345,'recurring2_based on steps'!$B$1:$AY$1,AA$1)+SUMIFS('changes2_based on steps'!$B345:$U345,'changes2_based on steps'!$B$1:$U$1,AA$1)</f>
        <v>0</v>
      </c>
    </row>
    <row r="346" spans="1:27" x14ac:dyDescent="0.2">
      <c r="A346" s="18">
        <f t="shared" ca="1" si="5"/>
        <v>46032</v>
      </c>
      <c r="B346" s="155">
        <f ca="1">SUMIFS('recurring2_based on steps'!$B346:$AY346,'recurring2_based on steps'!$B$1:$AY$1,B$1)+SUMIFS('changes2_based on steps'!$B346:$U346,'changes2_based on steps'!$B$1:$U$1,B$1)</f>
        <v>0</v>
      </c>
      <c r="C346" s="155">
        <f>SUMIFS('recurring2_based on steps'!$B346:$AY346,'recurring2_based on steps'!$B$1:$AY$1,C$1)+SUMIFS('changes2_based on steps'!$B346:$U346,'changes2_based on steps'!$B$1:$U$1,C$1)</f>
        <v>0</v>
      </c>
      <c r="D346" s="155">
        <f>SUMIFS('recurring2_based on steps'!$B346:$AY346,'recurring2_based on steps'!$B$1:$AY$1,D$1)+SUMIFS('changes2_based on steps'!$B346:$U346,'changes2_based on steps'!$B$1:$U$1,D$1)</f>
        <v>0</v>
      </c>
      <c r="E346" s="155">
        <f>SUMIFS('recurring2_based on steps'!$B346:$AY346,'recurring2_based on steps'!$B$1:$AY$1,E$1)+SUMIFS('changes2_based on steps'!$B346:$U346,'changes2_based on steps'!$B$1:$U$1,E$1)</f>
        <v>0</v>
      </c>
      <c r="F346" s="155">
        <f>SUMIFS('recurring2_based on steps'!$B346:$AY346,'recurring2_based on steps'!$B$1:$AY$1,F$1)+SUMIFS('changes2_based on steps'!$B346:$U346,'changes2_based on steps'!$B$1:$U$1,F$1)</f>
        <v>0</v>
      </c>
      <c r="G346" s="155">
        <f>SUMIFS('recurring2_based on steps'!$B346:$AY346,'recurring2_based on steps'!$B$1:$AY$1,G$1)+SUMIFS('changes2_based on steps'!$B346:$U346,'changes2_based on steps'!$B$1:$U$1,G$1)</f>
        <v>0</v>
      </c>
      <c r="H346" s="155">
        <f ca="1">SUMIFS('recurring2_based on steps'!$B346:$AY346,'recurring2_based on steps'!$B$1:$AY$1,H$1)+SUMIFS('changes2_based on steps'!$B346:$U346,'changes2_based on steps'!$B$1:$U$1,H$1)</f>
        <v>0</v>
      </c>
      <c r="I346" s="155">
        <f>SUMIFS('recurring2_based on steps'!$B346:$AY346,'recurring2_based on steps'!$B$1:$AY$1,I$1)+SUMIFS('changes2_based on steps'!$B346:$U346,'changes2_based on steps'!$B$1:$U$1,I$1)</f>
        <v>0</v>
      </c>
      <c r="J346" s="155">
        <f>SUMIFS('recurring2_based on steps'!$B346:$AY346,'recurring2_based on steps'!$B$1:$AY$1,J$1)+SUMIFS('changes2_based on steps'!$B346:$U346,'changes2_based on steps'!$B$1:$U$1,J$1)</f>
        <v>0</v>
      </c>
      <c r="K346" s="155">
        <f>SUMIFS('recurring2_based on steps'!$B346:$AY346,'recurring2_based on steps'!$B$1:$AY$1,K$1)+SUMIFS('changes2_based on steps'!$B346:$U346,'changes2_based on steps'!$B$1:$U$1,K$1)</f>
        <v>0</v>
      </c>
      <c r="L346" s="155">
        <f>SUMIFS('recurring2_based on steps'!$B346:$AY346,'recurring2_based on steps'!$B$1:$AY$1,L$1)+SUMIFS('changes2_based on steps'!$B346:$U346,'changes2_based on steps'!$B$1:$U$1,L$1)</f>
        <v>0</v>
      </c>
      <c r="M346" s="155">
        <f ca="1">SUMIFS('recurring2_based on steps'!$B346:$AY346,'recurring2_based on steps'!$B$1:$AY$1,M$1)+SUMIFS('changes2_based on steps'!$B346:$U346,'changes2_based on steps'!$B$1:$U$1,M$1)</f>
        <v>0</v>
      </c>
      <c r="N346" s="155">
        <f ca="1">SUMIFS('recurring2_based on steps'!$B346:$AY346,'recurring2_based on steps'!$B$1:$AY$1,N$1)+SUMIFS('changes2_based on steps'!$B346:$U346,'changes2_based on steps'!$B$1:$U$1,N$1)</f>
        <v>0</v>
      </c>
      <c r="O346" s="155">
        <f ca="1">SUMIFS('recurring2_based on steps'!$B346:$AY346,'recurring2_based on steps'!$B$1:$AY$1,O$1)+SUMIFS('changes2_based on steps'!$B346:$U346,'changes2_based on steps'!$B$1:$U$1,O$1)</f>
        <v>0</v>
      </c>
      <c r="P346" s="155">
        <f ca="1">SUMIFS('recurring2_based on steps'!$B346:$AY346,'recurring2_based on steps'!$B$1:$AY$1,P$1)+SUMIFS('changes2_based on steps'!$B346:$U346,'changes2_based on steps'!$B$1:$U$1,P$1)</f>
        <v>0</v>
      </c>
      <c r="Q346" s="155">
        <f>SUMIFS('recurring2_based on steps'!$B346:$AY346,'recurring2_based on steps'!$B$1:$AY$1,Q$1)+SUMIFS('changes2_based on steps'!$B346:$U346,'changes2_based on steps'!$B$1:$U$1,Q$1)</f>
        <v>0</v>
      </c>
      <c r="R346" s="155">
        <f ca="1">SUMIFS('recurring2_based on steps'!$B346:$AY346,'recurring2_based on steps'!$B$1:$AY$1,R$1)+SUMIFS('changes2_based on steps'!$B346:$U346,'changes2_based on steps'!$B$1:$U$1,R$1)</f>
        <v>100</v>
      </c>
      <c r="S346" s="155">
        <f ca="1">SUMIFS('recurring2_based on steps'!$B346:$AY346,'recurring2_based on steps'!$B$1:$AY$1,S$1)+SUMIFS('changes2_based on steps'!$B346:$U346,'changes2_based on steps'!$B$1:$U$1,S$1)</f>
        <v>100</v>
      </c>
      <c r="T346" s="155">
        <f>SUMIFS('recurring2_based on steps'!$B346:$AY346,'recurring2_based on steps'!$B$1:$AY$1,T$1)+SUMIFS('changes2_based on steps'!$B346:$U346,'changes2_based on steps'!$B$1:$U$1,T$1)</f>
        <v>0</v>
      </c>
      <c r="U346" s="155">
        <f ca="1">SUMIFS('recurring2_based on steps'!$B346:$AY346,'recurring2_based on steps'!$B$1:$AY$1,U$1)+SUMIFS('changes2_based on steps'!$B346:$U346,'changes2_based on steps'!$B$1:$U$1,U$1)</f>
        <v>0</v>
      </c>
      <c r="V346" s="155">
        <f>SUMIFS('recurring2_based on steps'!$B346:$AY346,'recurring2_based on steps'!$B$1:$AY$1,V$1)+SUMIFS('changes2_based on steps'!$B346:$U346,'changes2_based on steps'!$B$1:$U$1,V$1)</f>
        <v>0</v>
      </c>
      <c r="W346" s="155">
        <f ca="1">SUMIFS('recurring2_based on steps'!$B346:$AY346,'recurring2_based on steps'!$B$1:$AY$1,W$1)+SUMIFS('changes2_based on steps'!$B346:$U346,'changes2_based on steps'!$B$1:$U$1,W$1)</f>
        <v>0</v>
      </c>
      <c r="X346" s="155">
        <f ca="1">SUMIFS('recurring2_based on steps'!$B346:$AY346,'recurring2_based on steps'!$B$1:$AY$1,X$1)+SUMIFS('changes2_based on steps'!$B346:$U346,'changes2_based on steps'!$B$1:$U$1,X$1)</f>
        <v>0</v>
      </c>
      <c r="Y346" s="155">
        <f ca="1">SUMIFS('recurring2_based on steps'!$B346:$AY346,'recurring2_based on steps'!$B$1:$AY$1,Y$1)+SUMIFS('changes2_based on steps'!$B346:$U346,'changes2_based on steps'!$B$1:$U$1,Y$1)</f>
        <v>0</v>
      </c>
      <c r="Z346" s="155">
        <f>SUMIFS('recurring2_based on steps'!$B346:$AY346,'recurring2_based on steps'!$B$1:$AY$1,Z$1)+SUMIFS('changes2_based on steps'!$B346:$U346,'changes2_based on steps'!$B$1:$U$1,Z$1)</f>
        <v>0</v>
      </c>
      <c r="AA346" s="155">
        <f>SUMIFS('recurring2_based on steps'!$B346:$AY346,'recurring2_based on steps'!$B$1:$AY$1,AA$1)+SUMIFS('changes2_based on steps'!$B346:$U346,'changes2_based on steps'!$B$1:$U$1,AA$1)</f>
        <v>0</v>
      </c>
    </row>
    <row r="347" spans="1:27" x14ac:dyDescent="0.2">
      <c r="A347" s="18">
        <f t="shared" ca="1" si="5"/>
        <v>46033</v>
      </c>
      <c r="B347" s="155">
        <f ca="1">SUMIFS('recurring2_based on steps'!$B347:$AY347,'recurring2_based on steps'!$B$1:$AY$1,B$1)+SUMIFS('changes2_based on steps'!$B347:$U347,'changes2_based on steps'!$B$1:$U$1,B$1)</f>
        <v>0</v>
      </c>
      <c r="C347" s="155">
        <f>SUMIFS('recurring2_based on steps'!$B347:$AY347,'recurring2_based on steps'!$B$1:$AY$1,C$1)+SUMIFS('changes2_based on steps'!$B347:$U347,'changes2_based on steps'!$B$1:$U$1,C$1)</f>
        <v>0</v>
      </c>
      <c r="D347" s="155">
        <f>SUMIFS('recurring2_based on steps'!$B347:$AY347,'recurring2_based on steps'!$B$1:$AY$1,D$1)+SUMIFS('changes2_based on steps'!$B347:$U347,'changes2_based on steps'!$B$1:$U$1,D$1)</f>
        <v>0</v>
      </c>
      <c r="E347" s="155">
        <f>SUMIFS('recurring2_based on steps'!$B347:$AY347,'recurring2_based on steps'!$B$1:$AY$1,E$1)+SUMIFS('changes2_based on steps'!$B347:$U347,'changes2_based on steps'!$B$1:$U$1,E$1)</f>
        <v>0</v>
      </c>
      <c r="F347" s="155">
        <f>SUMIFS('recurring2_based on steps'!$B347:$AY347,'recurring2_based on steps'!$B$1:$AY$1,F$1)+SUMIFS('changes2_based on steps'!$B347:$U347,'changes2_based on steps'!$B$1:$U$1,F$1)</f>
        <v>0</v>
      </c>
      <c r="G347" s="155">
        <f>SUMIFS('recurring2_based on steps'!$B347:$AY347,'recurring2_based on steps'!$B$1:$AY$1,G$1)+SUMIFS('changes2_based on steps'!$B347:$U347,'changes2_based on steps'!$B$1:$U$1,G$1)</f>
        <v>0</v>
      </c>
      <c r="H347" s="155">
        <f ca="1">SUMIFS('recurring2_based on steps'!$B347:$AY347,'recurring2_based on steps'!$B$1:$AY$1,H$1)+SUMIFS('changes2_based on steps'!$B347:$U347,'changes2_based on steps'!$B$1:$U$1,H$1)</f>
        <v>0</v>
      </c>
      <c r="I347" s="155">
        <f>SUMIFS('recurring2_based on steps'!$B347:$AY347,'recurring2_based on steps'!$B$1:$AY$1,I$1)+SUMIFS('changes2_based on steps'!$B347:$U347,'changes2_based on steps'!$B$1:$U$1,I$1)</f>
        <v>0</v>
      </c>
      <c r="J347" s="155">
        <f>SUMIFS('recurring2_based on steps'!$B347:$AY347,'recurring2_based on steps'!$B$1:$AY$1,J$1)+SUMIFS('changes2_based on steps'!$B347:$U347,'changes2_based on steps'!$B$1:$U$1,J$1)</f>
        <v>0</v>
      </c>
      <c r="K347" s="155">
        <f>SUMIFS('recurring2_based on steps'!$B347:$AY347,'recurring2_based on steps'!$B$1:$AY$1,K$1)+SUMIFS('changes2_based on steps'!$B347:$U347,'changes2_based on steps'!$B$1:$U$1,K$1)</f>
        <v>0</v>
      </c>
      <c r="L347" s="155">
        <f>SUMIFS('recurring2_based on steps'!$B347:$AY347,'recurring2_based on steps'!$B$1:$AY$1,L$1)+SUMIFS('changes2_based on steps'!$B347:$U347,'changes2_based on steps'!$B$1:$U$1,L$1)</f>
        <v>0</v>
      </c>
      <c r="M347" s="155">
        <f ca="1">SUMIFS('recurring2_based on steps'!$B347:$AY347,'recurring2_based on steps'!$B$1:$AY$1,M$1)+SUMIFS('changes2_based on steps'!$B347:$U347,'changes2_based on steps'!$B$1:$U$1,M$1)</f>
        <v>0</v>
      </c>
      <c r="N347" s="155">
        <f ca="1">SUMIFS('recurring2_based on steps'!$B347:$AY347,'recurring2_based on steps'!$B$1:$AY$1,N$1)+SUMIFS('changes2_based on steps'!$B347:$U347,'changes2_based on steps'!$B$1:$U$1,N$1)</f>
        <v>50</v>
      </c>
      <c r="O347" s="155">
        <f ca="1">SUMIFS('recurring2_based on steps'!$B347:$AY347,'recurring2_based on steps'!$B$1:$AY$1,O$1)+SUMIFS('changes2_based on steps'!$B347:$U347,'changes2_based on steps'!$B$1:$U$1,O$1)</f>
        <v>0</v>
      </c>
      <c r="P347" s="155">
        <f ca="1">SUMIFS('recurring2_based on steps'!$B347:$AY347,'recurring2_based on steps'!$B$1:$AY$1,P$1)+SUMIFS('changes2_based on steps'!$B347:$U347,'changes2_based on steps'!$B$1:$U$1,P$1)</f>
        <v>0</v>
      </c>
      <c r="Q347" s="155">
        <f>SUMIFS('recurring2_based on steps'!$B347:$AY347,'recurring2_based on steps'!$B$1:$AY$1,Q$1)+SUMIFS('changes2_based on steps'!$B347:$U347,'changes2_based on steps'!$B$1:$U$1,Q$1)</f>
        <v>0</v>
      </c>
      <c r="R347" s="155">
        <f ca="1">SUMIFS('recurring2_based on steps'!$B347:$AY347,'recurring2_based on steps'!$B$1:$AY$1,R$1)+SUMIFS('changes2_based on steps'!$B347:$U347,'changes2_based on steps'!$B$1:$U$1,R$1)</f>
        <v>0</v>
      </c>
      <c r="S347" s="155">
        <f ca="1">SUMIFS('recurring2_based on steps'!$B347:$AY347,'recurring2_based on steps'!$B$1:$AY$1,S$1)+SUMIFS('changes2_based on steps'!$B347:$U347,'changes2_based on steps'!$B$1:$U$1,S$1)</f>
        <v>100</v>
      </c>
      <c r="T347" s="155">
        <f>SUMIFS('recurring2_based on steps'!$B347:$AY347,'recurring2_based on steps'!$B$1:$AY$1,T$1)+SUMIFS('changes2_based on steps'!$B347:$U347,'changes2_based on steps'!$B$1:$U$1,T$1)</f>
        <v>0</v>
      </c>
      <c r="U347" s="155">
        <f ca="1">SUMIFS('recurring2_based on steps'!$B347:$AY347,'recurring2_based on steps'!$B$1:$AY$1,U$1)+SUMIFS('changes2_based on steps'!$B347:$U347,'changes2_based on steps'!$B$1:$U$1,U$1)</f>
        <v>0</v>
      </c>
      <c r="V347" s="155">
        <f>SUMIFS('recurring2_based on steps'!$B347:$AY347,'recurring2_based on steps'!$B$1:$AY$1,V$1)+SUMIFS('changes2_based on steps'!$B347:$U347,'changes2_based on steps'!$B$1:$U$1,V$1)</f>
        <v>0</v>
      </c>
      <c r="W347" s="155">
        <f ca="1">SUMIFS('recurring2_based on steps'!$B347:$AY347,'recurring2_based on steps'!$B$1:$AY$1,W$1)+SUMIFS('changes2_based on steps'!$B347:$U347,'changes2_based on steps'!$B$1:$U$1,W$1)</f>
        <v>0</v>
      </c>
      <c r="X347" s="155">
        <f ca="1">SUMIFS('recurring2_based on steps'!$B347:$AY347,'recurring2_based on steps'!$B$1:$AY$1,X$1)+SUMIFS('changes2_based on steps'!$B347:$U347,'changes2_based on steps'!$B$1:$U$1,X$1)</f>
        <v>0</v>
      </c>
      <c r="Y347" s="155">
        <f ca="1">SUMIFS('recurring2_based on steps'!$B347:$AY347,'recurring2_based on steps'!$B$1:$AY$1,Y$1)+SUMIFS('changes2_based on steps'!$B347:$U347,'changes2_based on steps'!$B$1:$U$1,Y$1)</f>
        <v>0</v>
      </c>
      <c r="Z347" s="155">
        <f>SUMIFS('recurring2_based on steps'!$B347:$AY347,'recurring2_based on steps'!$B$1:$AY$1,Z$1)+SUMIFS('changes2_based on steps'!$B347:$U347,'changes2_based on steps'!$B$1:$U$1,Z$1)</f>
        <v>0</v>
      </c>
      <c r="AA347" s="155">
        <f>SUMIFS('recurring2_based on steps'!$B347:$AY347,'recurring2_based on steps'!$B$1:$AY$1,AA$1)+SUMIFS('changes2_based on steps'!$B347:$U347,'changes2_based on steps'!$B$1:$U$1,AA$1)</f>
        <v>0</v>
      </c>
    </row>
    <row r="348" spans="1:27" x14ac:dyDescent="0.2">
      <c r="A348" s="18">
        <f t="shared" ca="1" si="5"/>
        <v>46034</v>
      </c>
      <c r="B348" s="155">
        <f ca="1">SUMIFS('recurring2_based on steps'!$B348:$AY348,'recurring2_based on steps'!$B$1:$AY$1,B$1)+SUMIFS('changes2_based on steps'!$B348:$U348,'changes2_based on steps'!$B$1:$U$1,B$1)</f>
        <v>0</v>
      </c>
      <c r="C348" s="155">
        <f>SUMIFS('recurring2_based on steps'!$B348:$AY348,'recurring2_based on steps'!$B$1:$AY$1,C$1)+SUMIFS('changes2_based on steps'!$B348:$U348,'changes2_based on steps'!$B$1:$U$1,C$1)</f>
        <v>0</v>
      </c>
      <c r="D348" s="155">
        <f>SUMIFS('recurring2_based on steps'!$B348:$AY348,'recurring2_based on steps'!$B$1:$AY$1,D$1)+SUMIFS('changes2_based on steps'!$B348:$U348,'changes2_based on steps'!$B$1:$U$1,D$1)</f>
        <v>0</v>
      </c>
      <c r="E348" s="155">
        <f>SUMIFS('recurring2_based on steps'!$B348:$AY348,'recurring2_based on steps'!$B$1:$AY$1,E$1)+SUMIFS('changes2_based on steps'!$B348:$U348,'changes2_based on steps'!$B$1:$U$1,E$1)</f>
        <v>0</v>
      </c>
      <c r="F348" s="155">
        <f>SUMIFS('recurring2_based on steps'!$B348:$AY348,'recurring2_based on steps'!$B$1:$AY$1,F$1)+SUMIFS('changes2_based on steps'!$B348:$U348,'changes2_based on steps'!$B$1:$U$1,F$1)</f>
        <v>0</v>
      </c>
      <c r="G348" s="155">
        <f>SUMIFS('recurring2_based on steps'!$B348:$AY348,'recurring2_based on steps'!$B$1:$AY$1,G$1)+SUMIFS('changes2_based on steps'!$B348:$U348,'changes2_based on steps'!$B$1:$U$1,G$1)</f>
        <v>0</v>
      </c>
      <c r="H348" s="155">
        <f ca="1">SUMIFS('recurring2_based on steps'!$B348:$AY348,'recurring2_based on steps'!$B$1:$AY$1,H$1)+SUMIFS('changes2_based on steps'!$B348:$U348,'changes2_based on steps'!$B$1:$U$1,H$1)</f>
        <v>0</v>
      </c>
      <c r="I348" s="155">
        <f>SUMIFS('recurring2_based on steps'!$B348:$AY348,'recurring2_based on steps'!$B$1:$AY$1,I$1)+SUMIFS('changes2_based on steps'!$B348:$U348,'changes2_based on steps'!$B$1:$U$1,I$1)</f>
        <v>0</v>
      </c>
      <c r="J348" s="155">
        <f>SUMIFS('recurring2_based on steps'!$B348:$AY348,'recurring2_based on steps'!$B$1:$AY$1,J$1)+SUMIFS('changes2_based on steps'!$B348:$U348,'changes2_based on steps'!$B$1:$U$1,J$1)</f>
        <v>0</v>
      </c>
      <c r="K348" s="155">
        <f>SUMIFS('recurring2_based on steps'!$B348:$AY348,'recurring2_based on steps'!$B$1:$AY$1,K$1)+SUMIFS('changes2_based on steps'!$B348:$U348,'changes2_based on steps'!$B$1:$U$1,K$1)</f>
        <v>0</v>
      </c>
      <c r="L348" s="155">
        <f>SUMIFS('recurring2_based on steps'!$B348:$AY348,'recurring2_based on steps'!$B$1:$AY$1,L$1)+SUMIFS('changes2_based on steps'!$B348:$U348,'changes2_based on steps'!$B$1:$U$1,L$1)</f>
        <v>0</v>
      </c>
      <c r="M348" s="155">
        <f ca="1">SUMIFS('recurring2_based on steps'!$B348:$AY348,'recurring2_based on steps'!$B$1:$AY$1,M$1)+SUMIFS('changes2_based on steps'!$B348:$U348,'changes2_based on steps'!$B$1:$U$1,M$1)</f>
        <v>0</v>
      </c>
      <c r="N348" s="155">
        <f ca="1">SUMIFS('recurring2_based on steps'!$B348:$AY348,'recurring2_based on steps'!$B$1:$AY$1,N$1)+SUMIFS('changes2_based on steps'!$B348:$U348,'changes2_based on steps'!$B$1:$U$1,N$1)</f>
        <v>0</v>
      </c>
      <c r="O348" s="155">
        <f ca="1">SUMIFS('recurring2_based on steps'!$B348:$AY348,'recurring2_based on steps'!$B$1:$AY$1,O$1)+SUMIFS('changes2_based on steps'!$B348:$U348,'changes2_based on steps'!$B$1:$U$1,O$1)</f>
        <v>0</v>
      </c>
      <c r="P348" s="155">
        <f ca="1">SUMIFS('recurring2_based on steps'!$B348:$AY348,'recurring2_based on steps'!$B$1:$AY$1,P$1)+SUMIFS('changes2_based on steps'!$B348:$U348,'changes2_based on steps'!$B$1:$U$1,P$1)</f>
        <v>0</v>
      </c>
      <c r="Q348" s="155">
        <f>SUMIFS('recurring2_based on steps'!$B348:$AY348,'recurring2_based on steps'!$B$1:$AY$1,Q$1)+SUMIFS('changes2_based on steps'!$B348:$U348,'changes2_based on steps'!$B$1:$U$1,Q$1)</f>
        <v>0</v>
      </c>
      <c r="R348" s="155">
        <f ca="1">SUMIFS('recurring2_based on steps'!$B348:$AY348,'recurring2_based on steps'!$B$1:$AY$1,R$1)+SUMIFS('changes2_based on steps'!$B348:$U348,'changes2_based on steps'!$B$1:$U$1,R$1)</f>
        <v>0</v>
      </c>
      <c r="S348" s="155">
        <f ca="1">SUMIFS('recurring2_based on steps'!$B348:$AY348,'recurring2_based on steps'!$B$1:$AY$1,S$1)+SUMIFS('changes2_based on steps'!$B348:$U348,'changes2_based on steps'!$B$1:$U$1,S$1)</f>
        <v>0</v>
      </c>
      <c r="T348" s="155">
        <f>SUMIFS('recurring2_based on steps'!$B348:$AY348,'recurring2_based on steps'!$B$1:$AY$1,T$1)+SUMIFS('changes2_based on steps'!$B348:$U348,'changes2_based on steps'!$B$1:$U$1,T$1)</f>
        <v>0</v>
      </c>
      <c r="U348" s="155">
        <f ca="1">SUMIFS('recurring2_based on steps'!$B348:$AY348,'recurring2_based on steps'!$B$1:$AY$1,U$1)+SUMIFS('changes2_based on steps'!$B348:$U348,'changes2_based on steps'!$B$1:$U$1,U$1)</f>
        <v>0</v>
      </c>
      <c r="V348" s="155">
        <f>SUMIFS('recurring2_based on steps'!$B348:$AY348,'recurring2_based on steps'!$B$1:$AY$1,V$1)+SUMIFS('changes2_based on steps'!$B348:$U348,'changes2_based on steps'!$B$1:$U$1,V$1)</f>
        <v>0</v>
      </c>
      <c r="W348" s="155">
        <f ca="1">SUMIFS('recurring2_based on steps'!$B348:$AY348,'recurring2_based on steps'!$B$1:$AY$1,W$1)+SUMIFS('changes2_based on steps'!$B348:$U348,'changes2_based on steps'!$B$1:$U$1,W$1)</f>
        <v>0</v>
      </c>
      <c r="X348" s="155">
        <f ca="1">SUMIFS('recurring2_based on steps'!$B348:$AY348,'recurring2_based on steps'!$B$1:$AY$1,X$1)+SUMIFS('changes2_based on steps'!$B348:$U348,'changes2_based on steps'!$B$1:$U$1,X$1)</f>
        <v>0</v>
      </c>
      <c r="Y348" s="155">
        <f ca="1">SUMIFS('recurring2_based on steps'!$B348:$AY348,'recurring2_based on steps'!$B$1:$AY$1,Y$1)+SUMIFS('changes2_based on steps'!$B348:$U348,'changes2_based on steps'!$B$1:$U$1,Y$1)</f>
        <v>0</v>
      </c>
      <c r="Z348" s="155">
        <f>SUMIFS('recurring2_based on steps'!$B348:$AY348,'recurring2_based on steps'!$B$1:$AY$1,Z$1)+SUMIFS('changes2_based on steps'!$B348:$U348,'changes2_based on steps'!$B$1:$U$1,Z$1)</f>
        <v>0</v>
      </c>
      <c r="AA348" s="155">
        <f>SUMIFS('recurring2_based on steps'!$B348:$AY348,'recurring2_based on steps'!$B$1:$AY$1,AA$1)+SUMIFS('changes2_based on steps'!$B348:$U348,'changes2_based on steps'!$B$1:$U$1,AA$1)</f>
        <v>0</v>
      </c>
    </row>
    <row r="349" spans="1:27" x14ac:dyDescent="0.2">
      <c r="A349" s="18">
        <f t="shared" ca="1" si="5"/>
        <v>46035</v>
      </c>
      <c r="B349" s="155">
        <f ca="1">SUMIFS('recurring2_based on steps'!$B349:$AY349,'recurring2_based on steps'!$B$1:$AY$1,B$1)+SUMIFS('changes2_based on steps'!$B349:$U349,'changes2_based on steps'!$B$1:$U$1,B$1)</f>
        <v>0</v>
      </c>
      <c r="C349" s="155">
        <f>SUMIFS('recurring2_based on steps'!$B349:$AY349,'recurring2_based on steps'!$B$1:$AY$1,C$1)+SUMIFS('changes2_based on steps'!$B349:$U349,'changes2_based on steps'!$B$1:$U$1,C$1)</f>
        <v>0</v>
      </c>
      <c r="D349" s="155">
        <f>SUMIFS('recurring2_based on steps'!$B349:$AY349,'recurring2_based on steps'!$B$1:$AY$1,D$1)+SUMIFS('changes2_based on steps'!$B349:$U349,'changes2_based on steps'!$B$1:$U$1,D$1)</f>
        <v>0</v>
      </c>
      <c r="E349" s="155">
        <f>SUMIFS('recurring2_based on steps'!$B349:$AY349,'recurring2_based on steps'!$B$1:$AY$1,E$1)+SUMIFS('changes2_based on steps'!$B349:$U349,'changes2_based on steps'!$B$1:$U$1,E$1)</f>
        <v>0</v>
      </c>
      <c r="F349" s="155">
        <f>SUMIFS('recurring2_based on steps'!$B349:$AY349,'recurring2_based on steps'!$B$1:$AY$1,F$1)+SUMIFS('changes2_based on steps'!$B349:$U349,'changes2_based on steps'!$B$1:$U$1,F$1)</f>
        <v>0</v>
      </c>
      <c r="G349" s="155">
        <f>SUMIFS('recurring2_based on steps'!$B349:$AY349,'recurring2_based on steps'!$B$1:$AY$1,G$1)+SUMIFS('changes2_based on steps'!$B349:$U349,'changes2_based on steps'!$B$1:$U$1,G$1)</f>
        <v>0</v>
      </c>
      <c r="H349" s="155">
        <f ca="1">SUMIFS('recurring2_based on steps'!$B349:$AY349,'recurring2_based on steps'!$B$1:$AY$1,H$1)+SUMIFS('changes2_based on steps'!$B349:$U349,'changes2_based on steps'!$B$1:$U$1,H$1)</f>
        <v>0</v>
      </c>
      <c r="I349" s="155">
        <f>SUMIFS('recurring2_based on steps'!$B349:$AY349,'recurring2_based on steps'!$B$1:$AY$1,I$1)+SUMIFS('changes2_based on steps'!$B349:$U349,'changes2_based on steps'!$B$1:$U$1,I$1)</f>
        <v>0</v>
      </c>
      <c r="J349" s="155">
        <f>SUMIFS('recurring2_based on steps'!$B349:$AY349,'recurring2_based on steps'!$B$1:$AY$1,J$1)+SUMIFS('changes2_based on steps'!$B349:$U349,'changes2_based on steps'!$B$1:$U$1,J$1)</f>
        <v>0</v>
      </c>
      <c r="K349" s="155">
        <f>SUMIFS('recurring2_based on steps'!$B349:$AY349,'recurring2_based on steps'!$B$1:$AY$1,K$1)+SUMIFS('changes2_based on steps'!$B349:$U349,'changes2_based on steps'!$B$1:$U$1,K$1)</f>
        <v>0</v>
      </c>
      <c r="L349" s="155">
        <f>SUMIFS('recurring2_based on steps'!$B349:$AY349,'recurring2_based on steps'!$B$1:$AY$1,L$1)+SUMIFS('changes2_based on steps'!$B349:$U349,'changes2_based on steps'!$B$1:$U$1,L$1)</f>
        <v>0</v>
      </c>
      <c r="M349" s="155">
        <f ca="1">SUMIFS('recurring2_based on steps'!$B349:$AY349,'recurring2_based on steps'!$B$1:$AY$1,M$1)+SUMIFS('changes2_based on steps'!$B349:$U349,'changes2_based on steps'!$B$1:$U$1,M$1)</f>
        <v>0</v>
      </c>
      <c r="N349" s="155">
        <f ca="1">SUMIFS('recurring2_based on steps'!$B349:$AY349,'recurring2_based on steps'!$B$1:$AY$1,N$1)+SUMIFS('changes2_based on steps'!$B349:$U349,'changes2_based on steps'!$B$1:$U$1,N$1)</f>
        <v>0</v>
      </c>
      <c r="O349" s="155">
        <f ca="1">SUMIFS('recurring2_based on steps'!$B349:$AY349,'recurring2_based on steps'!$B$1:$AY$1,O$1)+SUMIFS('changes2_based on steps'!$B349:$U349,'changes2_based on steps'!$B$1:$U$1,O$1)</f>
        <v>0</v>
      </c>
      <c r="P349" s="155">
        <f ca="1">SUMIFS('recurring2_based on steps'!$B349:$AY349,'recurring2_based on steps'!$B$1:$AY$1,P$1)+SUMIFS('changes2_based on steps'!$B349:$U349,'changes2_based on steps'!$B$1:$U$1,P$1)</f>
        <v>0</v>
      </c>
      <c r="Q349" s="155">
        <f>SUMIFS('recurring2_based on steps'!$B349:$AY349,'recurring2_based on steps'!$B$1:$AY$1,Q$1)+SUMIFS('changes2_based on steps'!$B349:$U349,'changes2_based on steps'!$B$1:$U$1,Q$1)</f>
        <v>0</v>
      </c>
      <c r="R349" s="155">
        <f ca="1">SUMIFS('recurring2_based on steps'!$B349:$AY349,'recurring2_based on steps'!$B$1:$AY$1,R$1)+SUMIFS('changes2_based on steps'!$B349:$U349,'changes2_based on steps'!$B$1:$U$1,R$1)</f>
        <v>0</v>
      </c>
      <c r="S349" s="155">
        <f ca="1">SUMIFS('recurring2_based on steps'!$B349:$AY349,'recurring2_based on steps'!$B$1:$AY$1,S$1)+SUMIFS('changes2_based on steps'!$B349:$U349,'changes2_based on steps'!$B$1:$U$1,S$1)</f>
        <v>0</v>
      </c>
      <c r="T349" s="155">
        <f>SUMIFS('recurring2_based on steps'!$B349:$AY349,'recurring2_based on steps'!$B$1:$AY$1,T$1)+SUMIFS('changes2_based on steps'!$B349:$U349,'changes2_based on steps'!$B$1:$U$1,T$1)</f>
        <v>0</v>
      </c>
      <c r="U349" s="155">
        <f ca="1">SUMIFS('recurring2_based on steps'!$B349:$AY349,'recurring2_based on steps'!$B$1:$AY$1,U$1)+SUMIFS('changes2_based on steps'!$B349:$U349,'changes2_based on steps'!$B$1:$U$1,U$1)</f>
        <v>0</v>
      </c>
      <c r="V349" s="155">
        <f>SUMIFS('recurring2_based on steps'!$B349:$AY349,'recurring2_based on steps'!$B$1:$AY$1,V$1)+SUMIFS('changes2_based on steps'!$B349:$U349,'changes2_based on steps'!$B$1:$U$1,V$1)</f>
        <v>0</v>
      </c>
      <c r="W349" s="155">
        <f ca="1">SUMIFS('recurring2_based on steps'!$B349:$AY349,'recurring2_based on steps'!$B$1:$AY$1,W$1)+SUMIFS('changes2_based on steps'!$B349:$U349,'changes2_based on steps'!$B$1:$U$1,W$1)</f>
        <v>0</v>
      </c>
      <c r="X349" s="155">
        <f ca="1">SUMIFS('recurring2_based on steps'!$B349:$AY349,'recurring2_based on steps'!$B$1:$AY$1,X$1)+SUMIFS('changes2_based on steps'!$B349:$U349,'changes2_based on steps'!$B$1:$U$1,X$1)</f>
        <v>0</v>
      </c>
      <c r="Y349" s="155">
        <f ca="1">SUMIFS('recurring2_based on steps'!$B349:$AY349,'recurring2_based on steps'!$B$1:$AY$1,Y$1)+SUMIFS('changes2_based on steps'!$B349:$U349,'changes2_based on steps'!$B$1:$U$1,Y$1)</f>
        <v>0</v>
      </c>
      <c r="Z349" s="155">
        <f>SUMIFS('recurring2_based on steps'!$B349:$AY349,'recurring2_based on steps'!$B$1:$AY$1,Z$1)+SUMIFS('changes2_based on steps'!$B349:$U349,'changes2_based on steps'!$B$1:$U$1,Z$1)</f>
        <v>0</v>
      </c>
      <c r="AA349" s="155">
        <f>SUMIFS('recurring2_based on steps'!$B349:$AY349,'recurring2_based on steps'!$B$1:$AY$1,AA$1)+SUMIFS('changes2_based on steps'!$B349:$U349,'changes2_based on steps'!$B$1:$U$1,AA$1)</f>
        <v>0</v>
      </c>
    </row>
    <row r="350" spans="1:27" x14ac:dyDescent="0.2">
      <c r="A350" s="18">
        <f t="shared" ca="1" si="5"/>
        <v>46036</v>
      </c>
      <c r="B350" s="155">
        <f ca="1">SUMIFS('recurring2_based on steps'!$B350:$AY350,'recurring2_based on steps'!$B$1:$AY$1,B$1)+SUMIFS('changes2_based on steps'!$B350:$U350,'changes2_based on steps'!$B$1:$U$1,B$1)</f>
        <v>100</v>
      </c>
      <c r="C350" s="155">
        <f>SUMIFS('recurring2_based on steps'!$B350:$AY350,'recurring2_based on steps'!$B$1:$AY$1,C$1)+SUMIFS('changes2_based on steps'!$B350:$U350,'changes2_based on steps'!$B$1:$U$1,C$1)</f>
        <v>0</v>
      </c>
      <c r="D350" s="155">
        <f>SUMIFS('recurring2_based on steps'!$B350:$AY350,'recurring2_based on steps'!$B$1:$AY$1,D$1)+SUMIFS('changes2_based on steps'!$B350:$U350,'changes2_based on steps'!$B$1:$U$1,D$1)</f>
        <v>0</v>
      </c>
      <c r="E350" s="155">
        <f>SUMIFS('recurring2_based on steps'!$B350:$AY350,'recurring2_based on steps'!$B$1:$AY$1,E$1)+SUMIFS('changes2_based on steps'!$B350:$U350,'changes2_based on steps'!$B$1:$U$1,E$1)</f>
        <v>0</v>
      </c>
      <c r="F350" s="155">
        <f>SUMIFS('recurring2_based on steps'!$B350:$AY350,'recurring2_based on steps'!$B$1:$AY$1,F$1)+SUMIFS('changes2_based on steps'!$B350:$U350,'changes2_based on steps'!$B$1:$U$1,F$1)</f>
        <v>0</v>
      </c>
      <c r="G350" s="155">
        <f>SUMIFS('recurring2_based on steps'!$B350:$AY350,'recurring2_based on steps'!$B$1:$AY$1,G$1)+SUMIFS('changes2_based on steps'!$B350:$U350,'changes2_based on steps'!$B$1:$U$1,G$1)</f>
        <v>0</v>
      </c>
      <c r="H350" s="155">
        <f ca="1">SUMIFS('recurring2_based on steps'!$B350:$AY350,'recurring2_based on steps'!$B$1:$AY$1,H$1)+SUMIFS('changes2_based on steps'!$B350:$U350,'changes2_based on steps'!$B$1:$U$1,H$1)</f>
        <v>0</v>
      </c>
      <c r="I350" s="155">
        <f>SUMIFS('recurring2_based on steps'!$B350:$AY350,'recurring2_based on steps'!$B$1:$AY$1,I$1)+SUMIFS('changes2_based on steps'!$B350:$U350,'changes2_based on steps'!$B$1:$U$1,I$1)</f>
        <v>0</v>
      </c>
      <c r="J350" s="155">
        <f>SUMIFS('recurring2_based on steps'!$B350:$AY350,'recurring2_based on steps'!$B$1:$AY$1,J$1)+SUMIFS('changes2_based on steps'!$B350:$U350,'changes2_based on steps'!$B$1:$U$1,J$1)</f>
        <v>0</v>
      </c>
      <c r="K350" s="155">
        <f>SUMIFS('recurring2_based on steps'!$B350:$AY350,'recurring2_based on steps'!$B$1:$AY$1,K$1)+SUMIFS('changes2_based on steps'!$B350:$U350,'changes2_based on steps'!$B$1:$U$1,K$1)</f>
        <v>0</v>
      </c>
      <c r="L350" s="155">
        <f>SUMIFS('recurring2_based on steps'!$B350:$AY350,'recurring2_based on steps'!$B$1:$AY$1,L$1)+SUMIFS('changes2_based on steps'!$B350:$U350,'changes2_based on steps'!$B$1:$U$1,L$1)</f>
        <v>0</v>
      </c>
      <c r="M350" s="155">
        <f ca="1">SUMIFS('recurring2_based on steps'!$B350:$AY350,'recurring2_based on steps'!$B$1:$AY$1,M$1)+SUMIFS('changes2_based on steps'!$B350:$U350,'changes2_based on steps'!$B$1:$U$1,M$1)</f>
        <v>0</v>
      </c>
      <c r="N350" s="155">
        <f ca="1">SUMIFS('recurring2_based on steps'!$B350:$AY350,'recurring2_based on steps'!$B$1:$AY$1,N$1)+SUMIFS('changes2_based on steps'!$B350:$U350,'changes2_based on steps'!$B$1:$U$1,N$1)</f>
        <v>0</v>
      </c>
      <c r="O350" s="155">
        <f ca="1">SUMIFS('recurring2_based on steps'!$B350:$AY350,'recurring2_based on steps'!$B$1:$AY$1,O$1)+SUMIFS('changes2_based on steps'!$B350:$U350,'changes2_based on steps'!$B$1:$U$1,O$1)</f>
        <v>0</v>
      </c>
      <c r="P350" s="155">
        <f ca="1">SUMIFS('recurring2_based on steps'!$B350:$AY350,'recurring2_based on steps'!$B$1:$AY$1,P$1)+SUMIFS('changes2_based on steps'!$B350:$U350,'changes2_based on steps'!$B$1:$U$1,P$1)</f>
        <v>0</v>
      </c>
      <c r="Q350" s="155">
        <f>SUMIFS('recurring2_based on steps'!$B350:$AY350,'recurring2_based on steps'!$B$1:$AY$1,Q$1)+SUMIFS('changes2_based on steps'!$B350:$U350,'changes2_based on steps'!$B$1:$U$1,Q$1)</f>
        <v>0</v>
      </c>
      <c r="R350" s="155">
        <f ca="1">SUMIFS('recurring2_based on steps'!$B350:$AY350,'recurring2_based on steps'!$B$1:$AY$1,R$1)+SUMIFS('changes2_based on steps'!$B350:$U350,'changes2_based on steps'!$B$1:$U$1,R$1)</f>
        <v>0</v>
      </c>
      <c r="S350" s="155">
        <f ca="1">SUMIFS('recurring2_based on steps'!$B350:$AY350,'recurring2_based on steps'!$B$1:$AY$1,S$1)+SUMIFS('changes2_based on steps'!$B350:$U350,'changes2_based on steps'!$B$1:$U$1,S$1)</f>
        <v>0</v>
      </c>
      <c r="T350" s="155">
        <f>SUMIFS('recurring2_based on steps'!$B350:$AY350,'recurring2_based on steps'!$B$1:$AY$1,T$1)+SUMIFS('changes2_based on steps'!$B350:$U350,'changes2_based on steps'!$B$1:$U$1,T$1)</f>
        <v>0</v>
      </c>
      <c r="U350" s="155">
        <f ca="1">SUMIFS('recurring2_based on steps'!$B350:$AY350,'recurring2_based on steps'!$B$1:$AY$1,U$1)+SUMIFS('changes2_based on steps'!$B350:$U350,'changes2_based on steps'!$B$1:$U$1,U$1)</f>
        <v>0</v>
      </c>
      <c r="V350" s="155">
        <f>SUMIFS('recurring2_based on steps'!$B350:$AY350,'recurring2_based on steps'!$B$1:$AY$1,V$1)+SUMIFS('changes2_based on steps'!$B350:$U350,'changes2_based on steps'!$B$1:$U$1,V$1)</f>
        <v>0</v>
      </c>
      <c r="W350" s="155">
        <f ca="1">SUMIFS('recurring2_based on steps'!$B350:$AY350,'recurring2_based on steps'!$B$1:$AY$1,W$1)+SUMIFS('changes2_based on steps'!$B350:$U350,'changes2_based on steps'!$B$1:$U$1,W$1)</f>
        <v>0</v>
      </c>
      <c r="X350" s="155">
        <f ca="1">SUMIFS('recurring2_based on steps'!$B350:$AY350,'recurring2_based on steps'!$B$1:$AY$1,X$1)+SUMIFS('changes2_based on steps'!$B350:$U350,'changes2_based on steps'!$B$1:$U$1,X$1)</f>
        <v>0</v>
      </c>
      <c r="Y350" s="155">
        <f ca="1">SUMIFS('recurring2_based on steps'!$B350:$AY350,'recurring2_based on steps'!$B$1:$AY$1,Y$1)+SUMIFS('changes2_based on steps'!$B350:$U350,'changes2_based on steps'!$B$1:$U$1,Y$1)</f>
        <v>0</v>
      </c>
      <c r="Z350" s="155">
        <f>SUMIFS('recurring2_based on steps'!$B350:$AY350,'recurring2_based on steps'!$B$1:$AY$1,Z$1)+SUMIFS('changes2_based on steps'!$B350:$U350,'changes2_based on steps'!$B$1:$U$1,Z$1)</f>
        <v>0</v>
      </c>
      <c r="AA350" s="155">
        <f>SUMIFS('recurring2_based on steps'!$B350:$AY350,'recurring2_based on steps'!$B$1:$AY$1,AA$1)+SUMIFS('changes2_based on steps'!$B350:$U350,'changes2_based on steps'!$B$1:$U$1,AA$1)</f>
        <v>0</v>
      </c>
    </row>
    <row r="351" spans="1:27" x14ac:dyDescent="0.2">
      <c r="A351" s="18">
        <f t="shared" ca="1" si="5"/>
        <v>46037</v>
      </c>
      <c r="B351" s="155">
        <f ca="1">SUMIFS('recurring2_based on steps'!$B351:$AY351,'recurring2_based on steps'!$B$1:$AY$1,B$1)+SUMIFS('changes2_based on steps'!$B351:$U351,'changes2_based on steps'!$B$1:$U$1,B$1)</f>
        <v>0</v>
      </c>
      <c r="C351" s="155">
        <f>SUMIFS('recurring2_based on steps'!$B351:$AY351,'recurring2_based on steps'!$B$1:$AY$1,C$1)+SUMIFS('changes2_based on steps'!$B351:$U351,'changes2_based on steps'!$B$1:$U$1,C$1)</f>
        <v>0</v>
      </c>
      <c r="D351" s="155">
        <f>SUMIFS('recurring2_based on steps'!$B351:$AY351,'recurring2_based on steps'!$B$1:$AY$1,D$1)+SUMIFS('changes2_based on steps'!$B351:$U351,'changes2_based on steps'!$B$1:$U$1,D$1)</f>
        <v>0</v>
      </c>
      <c r="E351" s="155">
        <f>SUMIFS('recurring2_based on steps'!$B351:$AY351,'recurring2_based on steps'!$B$1:$AY$1,E$1)+SUMIFS('changes2_based on steps'!$B351:$U351,'changes2_based on steps'!$B$1:$U$1,E$1)</f>
        <v>0</v>
      </c>
      <c r="F351" s="155">
        <f>SUMIFS('recurring2_based on steps'!$B351:$AY351,'recurring2_based on steps'!$B$1:$AY$1,F$1)+SUMIFS('changes2_based on steps'!$B351:$U351,'changes2_based on steps'!$B$1:$U$1,F$1)</f>
        <v>0</v>
      </c>
      <c r="G351" s="155">
        <f>SUMIFS('recurring2_based on steps'!$B351:$AY351,'recurring2_based on steps'!$B$1:$AY$1,G$1)+SUMIFS('changes2_based on steps'!$B351:$U351,'changes2_based on steps'!$B$1:$U$1,G$1)</f>
        <v>0</v>
      </c>
      <c r="H351" s="155">
        <f ca="1">SUMIFS('recurring2_based on steps'!$B351:$AY351,'recurring2_based on steps'!$B$1:$AY$1,H$1)+SUMIFS('changes2_based on steps'!$B351:$U351,'changes2_based on steps'!$B$1:$U$1,H$1)</f>
        <v>0</v>
      </c>
      <c r="I351" s="155">
        <f>SUMIFS('recurring2_based on steps'!$B351:$AY351,'recurring2_based on steps'!$B$1:$AY$1,I$1)+SUMIFS('changes2_based on steps'!$B351:$U351,'changes2_based on steps'!$B$1:$U$1,I$1)</f>
        <v>0</v>
      </c>
      <c r="J351" s="155">
        <f>SUMIFS('recurring2_based on steps'!$B351:$AY351,'recurring2_based on steps'!$B$1:$AY$1,J$1)+SUMIFS('changes2_based on steps'!$B351:$U351,'changes2_based on steps'!$B$1:$U$1,J$1)</f>
        <v>0</v>
      </c>
      <c r="K351" s="155">
        <f>SUMIFS('recurring2_based on steps'!$B351:$AY351,'recurring2_based on steps'!$B$1:$AY$1,K$1)+SUMIFS('changes2_based on steps'!$B351:$U351,'changes2_based on steps'!$B$1:$U$1,K$1)</f>
        <v>0</v>
      </c>
      <c r="L351" s="155">
        <f>SUMIFS('recurring2_based on steps'!$B351:$AY351,'recurring2_based on steps'!$B$1:$AY$1,L$1)+SUMIFS('changes2_based on steps'!$B351:$U351,'changes2_based on steps'!$B$1:$U$1,L$1)</f>
        <v>0</v>
      </c>
      <c r="M351" s="155">
        <f ca="1">SUMIFS('recurring2_based on steps'!$B351:$AY351,'recurring2_based on steps'!$B$1:$AY$1,M$1)+SUMIFS('changes2_based on steps'!$B351:$U351,'changes2_based on steps'!$B$1:$U$1,M$1)</f>
        <v>0</v>
      </c>
      <c r="N351" s="155">
        <f ca="1">SUMIFS('recurring2_based on steps'!$B351:$AY351,'recurring2_based on steps'!$B$1:$AY$1,N$1)+SUMIFS('changes2_based on steps'!$B351:$U351,'changes2_based on steps'!$B$1:$U$1,N$1)</f>
        <v>0</v>
      </c>
      <c r="O351" s="155">
        <f ca="1">SUMIFS('recurring2_based on steps'!$B351:$AY351,'recurring2_based on steps'!$B$1:$AY$1,O$1)+SUMIFS('changes2_based on steps'!$B351:$U351,'changes2_based on steps'!$B$1:$U$1,O$1)</f>
        <v>0</v>
      </c>
      <c r="P351" s="155">
        <f ca="1">SUMIFS('recurring2_based on steps'!$B351:$AY351,'recurring2_based on steps'!$B$1:$AY$1,P$1)+SUMIFS('changes2_based on steps'!$B351:$U351,'changes2_based on steps'!$B$1:$U$1,P$1)</f>
        <v>0</v>
      </c>
      <c r="Q351" s="155">
        <f>SUMIFS('recurring2_based on steps'!$B351:$AY351,'recurring2_based on steps'!$B$1:$AY$1,Q$1)+SUMIFS('changes2_based on steps'!$B351:$U351,'changes2_based on steps'!$B$1:$U$1,Q$1)</f>
        <v>0</v>
      </c>
      <c r="R351" s="155">
        <f ca="1">SUMIFS('recurring2_based on steps'!$B351:$AY351,'recurring2_based on steps'!$B$1:$AY$1,R$1)+SUMIFS('changes2_based on steps'!$B351:$U351,'changes2_based on steps'!$B$1:$U$1,R$1)</f>
        <v>0</v>
      </c>
      <c r="S351" s="155">
        <f ca="1">SUMIFS('recurring2_based on steps'!$B351:$AY351,'recurring2_based on steps'!$B$1:$AY$1,S$1)+SUMIFS('changes2_based on steps'!$B351:$U351,'changes2_based on steps'!$B$1:$U$1,S$1)</f>
        <v>0</v>
      </c>
      <c r="T351" s="155">
        <f>SUMIFS('recurring2_based on steps'!$B351:$AY351,'recurring2_based on steps'!$B$1:$AY$1,T$1)+SUMIFS('changes2_based on steps'!$B351:$U351,'changes2_based on steps'!$B$1:$U$1,T$1)</f>
        <v>0</v>
      </c>
      <c r="U351" s="155">
        <f ca="1">SUMIFS('recurring2_based on steps'!$B351:$AY351,'recurring2_based on steps'!$B$1:$AY$1,U$1)+SUMIFS('changes2_based on steps'!$B351:$U351,'changes2_based on steps'!$B$1:$U$1,U$1)</f>
        <v>0</v>
      </c>
      <c r="V351" s="155">
        <f>SUMIFS('recurring2_based on steps'!$B351:$AY351,'recurring2_based on steps'!$B$1:$AY$1,V$1)+SUMIFS('changes2_based on steps'!$B351:$U351,'changes2_based on steps'!$B$1:$U$1,V$1)</f>
        <v>0</v>
      </c>
      <c r="W351" s="155">
        <f ca="1">SUMIFS('recurring2_based on steps'!$B351:$AY351,'recurring2_based on steps'!$B$1:$AY$1,W$1)+SUMIFS('changes2_based on steps'!$B351:$U351,'changes2_based on steps'!$B$1:$U$1,W$1)</f>
        <v>0</v>
      </c>
      <c r="X351" s="155">
        <f ca="1">SUMIFS('recurring2_based on steps'!$B351:$AY351,'recurring2_based on steps'!$B$1:$AY$1,X$1)+SUMIFS('changes2_based on steps'!$B351:$U351,'changes2_based on steps'!$B$1:$U$1,X$1)</f>
        <v>0</v>
      </c>
      <c r="Y351" s="155">
        <f ca="1">SUMIFS('recurring2_based on steps'!$B351:$AY351,'recurring2_based on steps'!$B$1:$AY$1,Y$1)+SUMIFS('changes2_based on steps'!$B351:$U351,'changes2_based on steps'!$B$1:$U$1,Y$1)</f>
        <v>0</v>
      </c>
      <c r="Z351" s="155">
        <f>SUMIFS('recurring2_based on steps'!$B351:$AY351,'recurring2_based on steps'!$B$1:$AY$1,Z$1)+SUMIFS('changes2_based on steps'!$B351:$U351,'changes2_based on steps'!$B$1:$U$1,Z$1)</f>
        <v>0</v>
      </c>
      <c r="AA351" s="155">
        <f>SUMIFS('recurring2_based on steps'!$B351:$AY351,'recurring2_based on steps'!$B$1:$AY$1,AA$1)+SUMIFS('changes2_based on steps'!$B351:$U351,'changes2_based on steps'!$B$1:$U$1,AA$1)</f>
        <v>0</v>
      </c>
    </row>
    <row r="352" spans="1:27" x14ac:dyDescent="0.2">
      <c r="A352" s="18">
        <f t="shared" ca="1" si="5"/>
        <v>46038</v>
      </c>
      <c r="B352" s="155">
        <f ca="1">SUMIFS('recurring2_based on steps'!$B352:$AY352,'recurring2_based on steps'!$B$1:$AY$1,B$1)+SUMIFS('changes2_based on steps'!$B352:$U352,'changes2_based on steps'!$B$1:$U$1,B$1)</f>
        <v>0</v>
      </c>
      <c r="C352" s="155">
        <f>SUMIFS('recurring2_based on steps'!$B352:$AY352,'recurring2_based on steps'!$B$1:$AY$1,C$1)+SUMIFS('changes2_based on steps'!$B352:$U352,'changes2_based on steps'!$B$1:$U$1,C$1)</f>
        <v>0</v>
      </c>
      <c r="D352" s="155">
        <f>SUMIFS('recurring2_based on steps'!$B352:$AY352,'recurring2_based on steps'!$B$1:$AY$1,D$1)+SUMIFS('changes2_based on steps'!$B352:$U352,'changes2_based on steps'!$B$1:$U$1,D$1)</f>
        <v>0</v>
      </c>
      <c r="E352" s="155">
        <f>SUMIFS('recurring2_based on steps'!$B352:$AY352,'recurring2_based on steps'!$B$1:$AY$1,E$1)+SUMIFS('changes2_based on steps'!$B352:$U352,'changes2_based on steps'!$B$1:$U$1,E$1)</f>
        <v>0</v>
      </c>
      <c r="F352" s="155">
        <f>SUMIFS('recurring2_based on steps'!$B352:$AY352,'recurring2_based on steps'!$B$1:$AY$1,F$1)+SUMIFS('changes2_based on steps'!$B352:$U352,'changes2_based on steps'!$B$1:$U$1,F$1)</f>
        <v>0</v>
      </c>
      <c r="G352" s="155">
        <f>SUMIFS('recurring2_based on steps'!$B352:$AY352,'recurring2_based on steps'!$B$1:$AY$1,G$1)+SUMIFS('changes2_based on steps'!$B352:$U352,'changes2_based on steps'!$B$1:$U$1,G$1)</f>
        <v>0</v>
      </c>
      <c r="H352" s="155">
        <f ca="1">SUMIFS('recurring2_based on steps'!$B352:$AY352,'recurring2_based on steps'!$B$1:$AY$1,H$1)+SUMIFS('changes2_based on steps'!$B352:$U352,'changes2_based on steps'!$B$1:$U$1,H$1)</f>
        <v>0</v>
      </c>
      <c r="I352" s="155">
        <f>SUMIFS('recurring2_based on steps'!$B352:$AY352,'recurring2_based on steps'!$B$1:$AY$1,I$1)+SUMIFS('changes2_based on steps'!$B352:$U352,'changes2_based on steps'!$B$1:$U$1,I$1)</f>
        <v>0</v>
      </c>
      <c r="J352" s="155">
        <f>SUMIFS('recurring2_based on steps'!$B352:$AY352,'recurring2_based on steps'!$B$1:$AY$1,J$1)+SUMIFS('changes2_based on steps'!$B352:$U352,'changes2_based on steps'!$B$1:$U$1,J$1)</f>
        <v>0</v>
      </c>
      <c r="K352" s="155">
        <f>SUMIFS('recurring2_based on steps'!$B352:$AY352,'recurring2_based on steps'!$B$1:$AY$1,K$1)+SUMIFS('changes2_based on steps'!$B352:$U352,'changes2_based on steps'!$B$1:$U$1,K$1)</f>
        <v>0</v>
      </c>
      <c r="L352" s="155">
        <f>SUMIFS('recurring2_based on steps'!$B352:$AY352,'recurring2_based on steps'!$B$1:$AY$1,L$1)+SUMIFS('changes2_based on steps'!$B352:$U352,'changes2_based on steps'!$B$1:$U$1,L$1)</f>
        <v>0</v>
      </c>
      <c r="M352" s="155">
        <f ca="1">SUMIFS('recurring2_based on steps'!$B352:$AY352,'recurring2_based on steps'!$B$1:$AY$1,M$1)+SUMIFS('changes2_based on steps'!$B352:$U352,'changes2_based on steps'!$B$1:$U$1,M$1)</f>
        <v>0</v>
      </c>
      <c r="N352" s="155">
        <f ca="1">SUMIFS('recurring2_based on steps'!$B352:$AY352,'recurring2_based on steps'!$B$1:$AY$1,N$1)+SUMIFS('changes2_based on steps'!$B352:$U352,'changes2_based on steps'!$B$1:$U$1,N$1)</f>
        <v>0</v>
      </c>
      <c r="O352" s="155">
        <f ca="1">SUMIFS('recurring2_based on steps'!$B352:$AY352,'recurring2_based on steps'!$B$1:$AY$1,O$1)+SUMIFS('changes2_based on steps'!$B352:$U352,'changes2_based on steps'!$B$1:$U$1,O$1)</f>
        <v>0</v>
      </c>
      <c r="P352" s="155">
        <f ca="1">SUMIFS('recurring2_based on steps'!$B352:$AY352,'recurring2_based on steps'!$B$1:$AY$1,P$1)+SUMIFS('changes2_based on steps'!$B352:$U352,'changes2_based on steps'!$B$1:$U$1,P$1)</f>
        <v>0</v>
      </c>
      <c r="Q352" s="155">
        <f>SUMIFS('recurring2_based on steps'!$B352:$AY352,'recurring2_based on steps'!$B$1:$AY$1,Q$1)+SUMIFS('changes2_based on steps'!$B352:$U352,'changes2_based on steps'!$B$1:$U$1,Q$1)</f>
        <v>0</v>
      </c>
      <c r="R352" s="155">
        <f ca="1">SUMIFS('recurring2_based on steps'!$B352:$AY352,'recurring2_based on steps'!$B$1:$AY$1,R$1)+SUMIFS('changes2_based on steps'!$B352:$U352,'changes2_based on steps'!$B$1:$U$1,R$1)</f>
        <v>0</v>
      </c>
      <c r="S352" s="155">
        <f ca="1">SUMIFS('recurring2_based on steps'!$B352:$AY352,'recurring2_based on steps'!$B$1:$AY$1,S$1)+SUMIFS('changes2_based on steps'!$B352:$U352,'changes2_based on steps'!$B$1:$U$1,S$1)</f>
        <v>0</v>
      </c>
      <c r="T352" s="155">
        <f>SUMIFS('recurring2_based on steps'!$B352:$AY352,'recurring2_based on steps'!$B$1:$AY$1,T$1)+SUMIFS('changes2_based on steps'!$B352:$U352,'changes2_based on steps'!$B$1:$U$1,T$1)</f>
        <v>0</v>
      </c>
      <c r="U352" s="155">
        <f ca="1">SUMIFS('recurring2_based on steps'!$B352:$AY352,'recurring2_based on steps'!$B$1:$AY$1,U$1)+SUMIFS('changes2_based on steps'!$B352:$U352,'changes2_based on steps'!$B$1:$U$1,U$1)</f>
        <v>0</v>
      </c>
      <c r="V352" s="155">
        <f>SUMIFS('recurring2_based on steps'!$B352:$AY352,'recurring2_based on steps'!$B$1:$AY$1,V$1)+SUMIFS('changes2_based on steps'!$B352:$U352,'changes2_based on steps'!$B$1:$U$1,V$1)</f>
        <v>0</v>
      </c>
      <c r="W352" s="155">
        <f ca="1">SUMIFS('recurring2_based on steps'!$B352:$AY352,'recurring2_based on steps'!$B$1:$AY$1,W$1)+SUMIFS('changes2_based on steps'!$B352:$U352,'changes2_based on steps'!$B$1:$U$1,W$1)</f>
        <v>0</v>
      </c>
      <c r="X352" s="155">
        <f ca="1">SUMIFS('recurring2_based on steps'!$B352:$AY352,'recurring2_based on steps'!$B$1:$AY$1,X$1)+SUMIFS('changes2_based on steps'!$B352:$U352,'changes2_based on steps'!$B$1:$U$1,X$1)</f>
        <v>0</v>
      </c>
      <c r="Y352" s="155">
        <f ca="1">SUMIFS('recurring2_based on steps'!$B352:$AY352,'recurring2_based on steps'!$B$1:$AY$1,Y$1)+SUMIFS('changes2_based on steps'!$B352:$U352,'changes2_based on steps'!$B$1:$U$1,Y$1)</f>
        <v>0</v>
      </c>
      <c r="Z352" s="155">
        <f>SUMIFS('recurring2_based on steps'!$B352:$AY352,'recurring2_based on steps'!$B$1:$AY$1,Z$1)+SUMIFS('changes2_based on steps'!$B352:$U352,'changes2_based on steps'!$B$1:$U$1,Z$1)</f>
        <v>0</v>
      </c>
      <c r="AA352" s="155">
        <f>SUMIFS('recurring2_based on steps'!$B352:$AY352,'recurring2_based on steps'!$B$1:$AY$1,AA$1)+SUMIFS('changes2_based on steps'!$B352:$U352,'changes2_based on steps'!$B$1:$U$1,AA$1)</f>
        <v>0</v>
      </c>
    </row>
    <row r="353" spans="1:27" x14ac:dyDescent="0.2">
      <c r="A353" s="18">
        <f t="shared" ca="1" si="5"/>
        <v>46039</v>
      </c>
      <c r="B353" s="155">
        <f ca="1">SUMIFS('recurring2_based on steps'!$B353:$AY353,'recurring2_based on steps'!$B$1:$AY$1,B$1)+SUMIFS('changes2_based on steps'!$B353:$U353,'changes2_based on steps'!$B$1:$U$1,B$1)</f>
        <v>0</v>
      </c>
      <c r="C353" s="155">
        <f>SUMIFS('recurring2_based on steps'!$B353:$AY353,'recurring2_based on steps'!$B$1:$AY$1,C$1)+SUMIFS('changes2_based on steps'!$B353:$U353,'changes2_based on steps'!$B$1:$U$1,C$1)</f>
        <v>0</v>
      </c>
      <c r="D353" s="155">
        <f>SUMIFS('recurring2_based on steps'!$B353:$AY353,'recurring2_based on steps'!$B$1:$AY$1,D$1)+SUMIFS('changes2_based on steps'!$B353:$U353,'changes2_based on steps'!$B$1:$U$1,D$1)</f>
        <v>0</v>
      </c>
      <c r="E353" s="155">
        <f>SUMIFS('recurring2_based on steps'!$B353:$AY353,'recurring2_based on steps'!$B$1:$AY$1,E$1)+SUMIFS('changes2_based on steps'!$B353:$U353,'changes2_based on steps'!$B$1:$U$1,E$1)</f>
        <v>0</v>
      </c>
      <c r="F353" s="155">
        <f>SUMIFS('recurring2_based on steps'!$B353:$AY353,'recurring2_based on steps'!$B$1:$AY$1,F$1)+SUMIFS('changes2_based on steps'!$B353:$U353,'changes2_based on steps'!$B$1:$U$1,F$1)</f>
        <v>0</v>
      </c>
      <c r="G353" s="155">
        <f>SUMIFS('recurring2_based on steps'!$B353:$AY353,'recurring2_based on steps'!$B$1:$AY$1,G$1)+SUMIFS('changes2_based on steps'!$B353:$U353,'changes2_based on steps'!$B$1:$U$1,G$1)</f>
        <v>0</v>
      </c>
      <c r="H353" s="155">
        <f ca="1">SUMIFS('recurring2_based on steps'!$B353:$AY353,'recurring2_based on steps'!$B$1:$AY$1,H$1)+SUMIFS('changes2_based on steps'!$B353:$U353,'changes2_based on steps'!$B$1:$U$1,H$1)</f>
        <v>0</v>
      </c>
      <c r="I353" s="155">
        <f>SUMIFS('recurring2_based on steps'!$B353:$AY353,'recurring2_based on steps'!$B$1:$AY$1,I$1)+SUMIFS('changes2_based on steps'!$B353:$U353,'changes2_based on steps'!$B$1:$U$1,I$1)</f>
        <v>0</v>
      </c>
      <c r="J353" s="155">
        <f>SUMIFS('recurring2_based on steps'!$B353:$AY353,'recurring2_based on steps'!$B$1:$AY$1,J$1)+SUMIFS('changes2_based on steps'!$B353:$U353,'changes2_based on steps'!$B$1:$U$1,J$1)</f>
        <v>0</v>
      </c>
      <c r="K353" s="155">
        <f>SUMIFS('recurring2_based on steps'!$B353:$AY353,'recurring2_based on steps'!$B$1:$AY$1,K$1)+SUMIFS('changes2_based on steps'!$B353:$U353,'changes2_based on steps'!$B$1:$U$1,K$1)</f>
        <v>0</v>
      </c>
      <c r="L353" s="155">
        <f>SUMIFS('recurring2_based on steps'!$B353:$AY353,'recurring2_based on steps'!$B$1:$AY$1,L$1)+SUMIFS('changes2_based on steps'!$B353:$U353,'changes2_based on steps'!$B$1:$U$1,L$1)</f>
        <v>0</v>
      </c>
      <c r="M353" s="155">
        <f ca="1">SUMIFS('recurring2_based on steps'!$B353:$AY353,'recurring2_based on steps'!$B$1:$AY$1,M$1)+SUMIFS('changes2_based on steps'!$B353:$U353,'changes2_based on steps'!$B$1:$U$1,M$1)</f>
        <v>0</v>
      </c>
      <c r="N353" s="155">
        <f ca="1">SUMIFS('recurring2_based on steps'!$B353:$AY353,'recurring2_based on steps'!$B$1:$AY$1,N$1)+SUMIFS('changes2_based on steps'!$B353:$U353,'changes2_based on steps'!$B$1:$U$1,N$1)</f>
        <v>0</v>
      </c>
      <c r="O353" s="155">
        <f ca="1">SUMIFS('recurring2_based on steps'!$B353:$AY353,'recurring2_based on steps'!$B$1:$AY$1,O$1)+SUMIFS('changes2_based on steps'!$B353:$U353,'changes2_based on steps'!$B$1:$U$1,O$1)</f>
        <v>0</v>
      </c>
      <c r="P353" s="155">
        <f ca="1">SUMIFS('recurring2_based on steps'!$B353:$AY353,'recurring2_based on steps'!$B$1:$AY$1,P$1)+SUMIFS('changes2_based on steps'!$B353:$U353,'changes2_based on steps'!$B$1:$U$1,P$1)</f>
        <v>0</v>
      </c>
      <c r="Q353" s="155">
        <f>SUMIFS('recurring2_based on steps'!$B353:$AY353,'recurring2_based on steps'!$B$1:$AY$1,Q$1)+SUMIFS('changes2_based on steps'!$B353:$U353,'changes2_based on steps'!$B$1:$U$1,Q$1)</f>
        <v>0</v>
      </c>
      <c r="R353" s="155">
        <f ca="1">SUMIFS('recurring2_based on steps'!$B353:$AY353,'recurring2_based on steps'!$B$1:$AY$1,R$1)+SUMIFS('changes2_based on steps'!$B353:$U353,'changes2_based on steps'!$B$1:$U$1,R$1)</f>
        <v>100</v>
      </c>
      <c r="S353" s="155">
        <f ca="1">SUMIFS('recurring2_based on steps'!$B353:$AY353,'recurring2_based on steps'!$B$1:$AY$1,S$1)+SUMIFS('changes2_based on steps'!$B353:$U353,'changes2_based on steps'!$B$1:$U$1,S$1)</f>
        <v>100</v>
      </c>
      <c r="T353" s="155">
        <f>SUMIFS('recurring2_based on steps'!$B353:$AY353,'recurring2_based on steps'!$B$1:$AY$1,T$1)+SUMIFS('changes2_based on steps'!$B353:$U353,'changes2_based on steps'!$B$1:$U$1,T$1)</f>
        <v>0</v>
      </c>
      <c r="U353" s="155">
        <f ca="1">SUMIFS('recurring2_based on steps'!$B353:$AY353,'recurring2_based on steps'!$B$1:$AY$1,U$1)+SUMIFS('changes2_based on steps'!$B353:$U353,'changes2_based on steps'!$B$1:$U$1,U$1)</f>
        <v>15.49</v>
      </c>
      <c r="V353" s="155">
        <f>SUMIFS('recurring2_based on steps'!$B353:$AY353,'recurring2_based on steps'!$B$1:$AY$1,V$1)+SUMIFS('changes2_based on steps'!$B353:$U353,'changes2_based on steps'!$B$1:$U$1,V$1)</f>
        <v>0</v>
      </c>
      <c r="W353" s="155">
        <f ca="1">SUMIFS('recurring2_based on steps'!$B353:$AY353,'recurring2_based on steps'!$B$1:$AY$1,W$1)+SUMIFS('changes2_based on steps'!$B353:$U353,'changes2_based on steps'!$B$1:$U$1,W$1)</f>
        <v>0</v>
      </c>
      <c r="X353" s="155">
        <f ca="1">SUMIFS('recurring2_based on steps'!$B353:$AY353,'recurring2_based on steps'!$B$1:$AY$1,X$1)+SUMIFS('changes2_based on steps'!$B353:$U353,'changes2_based on steps'!$B$1:$U$1,X$1)</f>
        <v>0</v>
      </c>
      <c r="Y353" s="155">
        <f ca="1">SUMIFS('recurring2_based on steps'!$B353:$AY353,'recurring2_based on steps'!$B$1:$AY$1,Y$1)+SUMIFS('changes2_based on steps'!$B353:$U353,'changes2_based on steps'!$B$1:$U$1,Y$1)</f>
        <v>200</v>
      </c>
      <c r="Z353" s="155">
        <f>SUMIFS('recurring2_based on steps'!$B353:$AY353,'recurring2_based on steps'!$B$1:$AY$1,Z$1)+SUMIFS('changes2_based on steps'!$B353:$U353,'changes2_based on steps'!$B$1:$U$1,Z$1)</f>
        <v>0</v>
      </c>
      <c r="AA353" s="155">
        <f>SUMIFS('recurring2_based on steps'!$B353:$AY353,'recurring2_based on steps'!$B$1:$AY$1,AA$1)+SUMIFS('changes2_based on steps'!$B353:$U353,'changes2_based on steps'!$B$1:$U$1,AA$1)</f>
        <v>0</v>
      </c>
    </row>
    <row r="354" spans="1:27" x14ac:dyDescent="0.2">
      <c r="A354" s="18">
        <f t="shared" ca="1" si="5"/>
        <v>46040</v>
      </c>
      <c r="B354" s="155">
        <f ca="1">SUMIFS('recurring2_based on steps'!$B354:$AY354,'recurring2_based on steps'!$B$1:$AY$1,B$1)+SUMIFS('changes2_based on steps'!$B354:$U354,'changes2_based on steps'!$B$1:$U$1,B$1)</f>
        <v>0</v>
      </c>
      <c r="C354" s="155">
        <f>SUMIFS('recurring2_based on steps'!$B354:$AY354,'recurring2_based on steps'!$B$1:$AY$1,C$1)+SUMIFS('changes2_based on steps'!$B354:$U354,'changes2_based on steps'!$B$1:$U$1,C$1)</f>
        <v>0</v>
      </c>
      <c r="D354" s="155">
        <f>SUMIFS('recurring2_based on steps'!$B354:$AY354,'recurring2_based on steps'!$B$1:$AY$1,D$1)+SUMIFS('changes2_based on steps'!$B354:$U354,'changes2_based on steps'!$B$1:$U$1,D$1)</f>
        <v>0</v>
      </c>
      <c r="E354" s="155">
        <f>SUMIFS('recurring2_based on steps'!$B354:$AY354,'recurring2_based on steps'!$B$1:$AY$1,E$1)+SUMIFS('changes2_based on steps'!$B354:$U354,'changes2_based on steps'!$B$1:$U$1,E$1)</f>
        <v>0</v>
      </c>
      <c r="F354" s="155">
        <f>SUMIFS('recurring2_based on steps'!$B354:$AY354,'recurring2_based on steps'!$B$1:$AY$1,F$1)+SUMIFS('changes2_based on steps'!$B354:$U354,'changes2_based on steps'!$B$1:$U$1,F$1)</f>
        <v>0</v>
      </c>
      <c r="G354" s="155">
        <f>SUMIFS('recurring2_based on steps'!$B354:$AY354,'recurring2_based on steps'!$B$1:$AY$1,G$1)+SUMIFS('changes2_based on steps'!$B354:$U354,'changes2_based on steps'!$B$1:$U$1,G$1)</f>
        <v>0</v>
      </c>
      <c r="H354" s="155">
        <f ca="1">SUMIFS('recurring2_based on steps'!$B354:$AY354,'recurring2_based on steps'!$B$1:$AY$1,H$1)+SUMIFS('changes2_based on steps'!$B354:$U354,'changes2_based on steps'!$B$1:$U$1,H$1)</f>
        <v>0</v>
      </c>
      <c r="I354" s="155">
        <f>SUMIFS('recurring2_based on steps'!$B354:$AY354,'recurring2_based on steps'!$B$1:$AY$1,I$1)+SUMIFS('changes2_based on steps'!$B354:$U354,'changes2_based on steps'!$B$1:$U$1,I$1)</f>
        <v>0</v>
      </c>
      <c r="J354" s="155">
        <f>SUMIFS('recurring2_based on steps'!$B354:$AY354,'recurring2_based on steps'!$B$1:$AY$1,J$1)+SUMIFS('changes2_based on steps'!$B354:$U354,'changes2_based on steps'!$B$1:$U$1,J$1)</f>
        <v>0</v>
      </c>
      <c r="K354" s="155">
        <f>SUMIFS('recurring2_based on steps'!$B354:$AY354,'recurring2_based on steps'!$B$1:$AY$1,K$1)+SUMIFS('changes2_based on steps'!$B354:$U354,'changes2_based on steps'!$B$1:$U$1,K$1)</f>
        <v>0</v>
      </c>
      <c r="L354" s="155">
        <f>SUMIFS('recurring2_based on steps'!$B354:$AY354,'recurring2_based on steps'!$B$1:$AY$1,L$1)+SUMIFS('changes2_based on steps'!$B354:$U354,'changes2_based on steps'!$B$1:$U$1,L$1)</f>
        <v>0</v>
      </c>
      <c r="M354" s="155">
        <f ca="1">SUMIFS('recurring2_based on steps'!$B354:$AY354,'recurring2_based on steps'!$B$1:$AY$1,M$1)+SUMIFS('changes2_based on steps'!$B354:$U354,'changes2_based on steps'!$B$1:$U$1,M$1)</f>
        <v>0</v>
      </c>
      <c r="N354" s="155">
        <f ca="1">SUMIFS('recurring2_based on steps'!$B354:$AY354,'recurring2_based on steps'!$B$1:$AY$1,N$1)+SUMIFS('changes2_based on steps'!$B354:$U354,'changes2_based on steps'!$B$1:$U$1,N$1)</f>
        <v>50</v>
      </c>
      <c r="O354" s="155">
        <f ca="1">SUMIFS('recurring2_based on steps'!$B354:$AY354,'recurring2_based on steps'!$B$1:$AY$1,O$1)+SUMIFS('changes2_based on steps'!$B354:$U354,'changes2_based on steps'!$B$1:$U$1,O$1)</f>
        <v>0</v>
      </c>
      <c r="P354" s="155">
        <f ca="1">SUMIFS('recurring2_based on steps'!$B354:$AY354,'recurring2_based on steps'!$B$1:$AY$1,P$1)+SUMIFS('changes2_based on steps'!$B354:$U354,'changes2_based on steps'!$B$1:$U$1,P$1)</f>
        <v>0</v>
      </c>
      <c r="Q354" s="155">
        <f>SUMIFS('recurring2_based on steps'!$B354:$AY354,'recurring2_based on steps'!$B$1:$AY$1,Q$1)+SUMIFS('changes2_based on steps'!$B354:$U354,'changes2_based on steps'!$B$1:$U$1,Q$1)</f>
        <v>0</v>
      </c>
      <c r="R354" s="155">
        <f ca="1">SUMIFS('recurring2_based on steps'!$B354:$AY354,'recurring2_based on steps'!$B$1:$AY$1,R$1)+SUMIFS('changes2_based on steps'!$B354:$U354,'changes2_based on steps'!$B$1:$U$1,R$1)</f>
        <v>0</v>
      </c>
      <c r="S354" s="155">
        <f ca="1">SUMIFS('recurring2_based on steps'!$B354:$AY354,'recurring2_based on steps'!$B$1:$AY$1,S$1)+SUMIFS('changes2_based on steps'!$B354:$U354,'changes2_based on steps'!$B$1:$U$1,S$1)</f>
        <v>100</v>
      </c>
      <c r="T354" s="155">
        <f>SUMIFS('recurring2_based on steps'!$B354:$AY354,'recurring2_based on steps'!$B$1:$AY$1,T$1)+SUMIFS('changes2_based on steps'!$B354:$U354,'changes2_based on steps'!$B$1:$U$1,T$1)</f>
        <v>0</v>
      </c>
      <c r="U354" s="155">
        <f ca="1">SUMIFS('recurring2_based on steps'!$B354:$AY354,'recurring2_based on steps'!$B$1:$AY$1,U$1)+SUMIFS('changes2_based on steps'!$B354:$U354,'changes2_based on steps'!$B$1:$U$1,U$1)</f>
        <v>10.99</v>
      </c>
      <c r="V354" s="155">
        <f>SUMIFS('recurring2_based on steps'!$B354:$AY354,'recurring2_based on steps'!$B$1:$AY$1,V$1)+SUMIFS('changes2_based on steps'!$B354:$U354,'changes2_based on steps'!$B$1:$U$1,V$1)</f>
        <v>0</v>
      </c>
      <c r="W354" s="155">
        <f ca="1">SUMIFS('recurring2_based on steps'!$B354:$AY354,'recurring2_based on steps'!$B$1:$AY$1,W$1)+SUMIFS('changes2_based on steps'!$B354:$U354,'changes2_based on steps'!$B$1:$U$1,W$1)</f>
        <v>0</v>
      </c>
      <c r="X354" s="155">
        <f ca="1">SUMIFS('recurring2_based on steps'!$B354:$AY354,'recurring2_based on steps'!$B$1:$AY$1,X$1)+SUMIFS('changes2_based on steps'!$B354:$U354,'changes2_based on steps'!$B$1:$U$1,X$1)</f>
        <v>0</v>
      </c>
      <c r="Y354" s="155">
        <f ca="1">SUMIFS('recurring2_based on steps'!$B354:$AY354,'recurring2_based on steps'!$B$1:$AY$1,Y$1)+SUMIFS('changes2_based on steps'!$B354:$U354,'changes2_based on steps'!$B$1:$U$1,Y$1)</f>
        <v>0</v>
      </c>
      <c r="Z354" s="155">
        <f>SUMIFS('recurring2_based on steps'!$B354:$AY354,'recurring2_based on steps'!$B$1:$AY$1,Z$1)+SUMIFS('changes2_based on steps'!$B354:$U354,'changes2_based on steps'!$B$1:$U$1,Z$1)</f>
        <v>0</v>
      </c>
      <c r="AA354" s="155">
        <f>SUMIFS('recurring2_based on steps'!$B354:$AY354,'recurring2_based on steps'!$B$1:$AY$1,AA$1)+SUMIFS('changes2_based on steps'!$B354:$U354,'changes2_based on steps'!$B$1:$U$1,AA$1)</f>
        <v>0</v>
      </c>
    </row>
    <row r="355" spans="1:27" x14ac:dyDescent="0.2">
      <c r="A355" s="18">
        <f t="shared" ca="1" si="5"/>
        <v>46041</v>
      </c>
      <c r="B355" s="155">
        <f ca="1">SUMIFS('recurring2_based on steps'!$B355:$AY355,'recurring2_based on steps'!$B$1:$AY$1,B$1)+SUMIFS('changes2_based on steps'!$B355:$U355,'changes2_based on steps'!$B$1:$U$1,B$1)</f>
        <v>0</v>
      </c>
      <c r="C355" s="155">
        <f>SUMIFS('recurring2_based on steps'!$B355:$AY355,'recurring2_based on steps'!$B$1:$AY$1,C$1)+SUMIFS('changes2_based on steps'!$B355:$U355,'changes2_based on steps'!$B$1:$U$1,C$1)</f>
        <v>0</v>
      </c>
      <c r="D355" s="155">
        <f>SUMIFS('recurring2_based on steps'!$B355:$AY355,'recurring2_based on steps'!$B$1:$AY$1,D$1)+SUMIFS('changes2_based on steps'!$B355:$U355,'changes2_based on steps'!$B$1:$U$1,D$1)</f>
        <v>0</v>
      </c>
      <c r="E355" s="155">
        <f>SUMIFS('recurring2_based on steps'!$B355:$AY355,'recurring2_based on steps'!$B$1:$AY$1,E$1)+SUMIFS('changes2_based on steps'!$B355:$U355,'changes2_based on steps'!$B$1:$U$1,E$1)</f>
        <v>0</v>
      </c>
      <c r="F355" s="155">
        <f>SUMIFS('recurring2_based on steps'!$B355:$AY355,'recurring2_based on steps'!$B$1:$AY$1,F$1)+SUMIFS('changes2_based on steps'!$B355:$U355,'changes2_based on steps'!$B$1:$U$1,F$1)</f>
        <v>0</v>
      </c>
      <c r="G355" s="155">
        <f>SUMIFS('recurring2_based on steps'!$B355:$AY355,'recurring2_based on steps'!$B$1:$AY$1,G$1)+SUMIFS('changes2_based on steps'!$B355:$U355,'changes2_based on steps'!$B$1:$U$1,G$1)</f>
        <v>0</v>
      </c>
      <c r="H355" s="155">
        <f ca="1">SUMIFS('recurring2_based on steps'!$B355:$AY355,'recurring2_based on steps'!$B$1:$AY$1,H$1)+SUMIFS('changes2_based on steps'!$B355:$U355,'changes2_based on steps'!$B$1:$U$1,H$1)</f>
        <v>0</v>
      </c>
      <c r="I355" s="155">
        <f>SUMIFS('recurring2_based on steps'!$B355:$AY355,'recurring2_based on steps'!$B$1:$AY$1,I$1)+SUMIFS('changes2_based on steps'!$B355:$U355,'changes2_based on steps'!$B$1:$U$1,I$1)</f>
        <v>0</v>
      </c>
      <c r="J355" s="155">
        <f>SUMIFS('recurring2_based on steps'!$B355:$AY355,'recurring2_based on steps'!$B$1:$AY$1,J$1)+SUMIFS('changes2_based on steps'!$B355:$U355,'changes2_based on steps'!$B$1:$U$1,J$1)</f>
        <v>0</v>
      </c>
      <c r="K355" s="155">
        <f>SUMIFS('recurring2_based on steps'!$B355:$AY355,'recurring2_based on steps'!$B$1:$AY$1,K$1)+SUMIFS('changes2_based on steps'!$B355:$U355,'changes2_based on steps'!$B$1:$U$1,K$1)</f>
        <v>0</v>
      </c>
      <c r="L355" s="155">
        <f>SUMIFS('recurring2_based on steps'!$B355:$AY355,'recurring2_based on steps'!$B$1:$AY$1,L$1)+SUMIFS('changes2_based on steps'!$B355:$U355,'changes2_based on steps'!$B$1:$U$1,L$1)</f>
        <v>0</v>
      </c>
      <c r="M355" s="155">
        <f ca="1">SUMIFS('recurring2_based on steps'!$B355:$AY355,'recurring2_based on steps'!$B$1:$AY$1,M$1)+SUMIFS('changes2_based on steps'!$B355:$U355,'changes2_based on steps'!$B$1:$U$1,M$1)</f>
        <v>0</v>
      </c>
      <c r="N355" s="155">
        <f ca="1">SUMIFS('recurring2_based on steps'!$B355:$AY355,'recurring2_based on steps'!$B$1:$AY$1,N$1)+SUMIFS('changes2_based on steps'!$B355:$U355,'changes2_based on steps'!$B$1:$U$1,N$1)</f>
        <v>0</v>
      </c>
      <c r="O355" s="155">
        <f ca="1">SUMIFS('recurring2_based on steps'!$B355:$AY355,'recurring2_based on steps'!$B$1:$AY$1,O$1)+SUMIFS('changes2_based on steps'!$B355:$U355,'changes2_based on steps'!$B$1:$U$1,O$1)</f>
        <v>0</v>
      </c>
      <c r="P355" s="155">
        <f ca="1">SUMIFS('recurring2_based on steps'!$B355:$AY355,'recurring2_based on steps'!$B$1:$AY$1,P$1)+SUMIFS('changes2_based on steps'!$B355:$U355,'changes2_based on steps'!$B$1:$U$1,P$1)</f>
        <v>0</v>
      </c>
      <c r="Q355" s="155">
        <f>SUMIFS('recurring2_based on steps'!$B355:$AY355,'recurring2_based on steps'!$B$1:$AY$1,Q$1)+SUMIFS('changes2_based on steps'!$B355:$U355,'changes2_based on steps'!$B$1:$U$1,Q$1)</f>
        <v>0</v>
      </c>
      <c r="R355" s="155">
        <f ca="1">SUMIFS('recurring2_based on steps'!$B355:$AY355,'recurring2_based on steps'!$B$1:$AY$1,R$1)+SUMIFS('changes2_based on steps'!$B355:$U355,'changes2_based on steps'!$B$1:$U$1,R$1)</f>
        <v>0</v>
      </c>
      <c r="S355" s="155">
        <f ca="1">SUMIFS('recurring2_based on steps'!$B355:$AY355,'recurring2_based on steps'!$B$1:$AY$1,S$1)+SUMIFS('changes2_based on steps'!$B355:$U355,'changes2_based on steps'!$B$1:$U$1,S$1)</f>
        <v>0</v>
      </c>
      <c r="T355" s="155">
        <f>SUMIFS('recurring2_based on steps'!$B355:$AY355,'recurring2_based on steps'!$B$1:$AY$1,T$1)+SUMIFS('changes2_based on steps'!$B355:$U355,'changes2_based on steps'!$B$1:$U$1,T$1)</f>
        <v>0</v>
      </c>
      <c r="U355" s="155">
        <f ca="1">SUMIFS('recurring2_based on steps'!$B355:$AY355,'recurring2_based on steps'!$B$1:$AY$1,U$1)+SUMIFS('changes2_based on steps'!$B355:$U355,'changes2_based on steps'!$B$1:$U$1,U$1)</f>
        <v>0</v>
      </c>
      <c r="V355" s="155">
        <f>SUMIFS('recurring2_based on steps'!$B355:$AY355,'recurring2_based on steps'!$B$1:$AY$1,V$1)+SUMIFS('changes2_based on steps'!$B355:$U355,'changes2_based on steps'!$B$1:$U$1,V$1)</f>
        <v>0</v>
      </c>
      <c r="W355" s="155">
        <f ca="1">SUMIFS('recurring2_based on steps'!$B355:$AY355,'recurring2_based on steps'!$B$1:$AY$1,W$1)+SUMIFS('changes2_based on steps'!$B355:$U355,'changes2_based on steps'!$B$1:$U$1,W$1)</f>
        <v>0</v>
      </c>
      <c r="X355" s="155">
        <f ca="1">SUMIFS('recurring2_based on steps'!$B355:$AY355,'recurring2_based on steps'!$B$1:$AY$1,X$1)+SUMIFS('changes2_based on steps'!$B355:$U355,'changes2_based on steps'!$B$1:$U$1,X$1)</f>
        <v>0</v>
      </c>
      <c r="Y355" s="155">
        <f ca="1">SUMIFS('recurring2_based on steps'!$B355:$AY355,'recurring2_based on steps'!$B$1:$AY$1,Y$1)+SUMIFS('changes2_based on steps'!$B355:$U355,'changes2_based on steps'!$B$1:$U$1,Y$1)</f>
        <v>0</v>
      </c>
      <c r="Z355" s="155">
        <f>SUMIFS('recurring2_based on steps'!$B355:$AY355,'recurring2_based on steps'!$B$1:$AY$1,Z$1)+SUMIFS('changes2_based on steps'!$B355:$U355,'changes2_based on steps'!$B$1:$U$1,Z$1)</f>
        <v>0</v>
      </c>
      <c r="AA355" s="155">
        <f>SUMIFS('recurring2_based on steps'!$B355:$AY355,'recurring2_based on steps'!$B$1:$AY$1,AA$1)+SUMIFS('changes2_based on steps'!$B355:$U355,'changes2_based on steps'!$B$1:$U$1,AA$1)</f>
        <v>0</v>
      </c>
    </row>
    <row r="356" spans="1:27" x14ac:dyDescent="0.2">
      <c r="A356" s="18">
        <f t="shared" ca="1" si="5"/>
        <v>46042</v>
      </c>
      <c r="B356" s="155">
        <f ca="1">SUMIFS('recurring2_based on steps'!$B356:$AY356,'recurring2_based on steps'!$B$1:$AY$1,B$1)+SUMIFS('changes2_based on steps'!$B356:$U356,'changes2_based on steps'!$B$1:$U$1,B$1)</f>
        <v>0</v>
      </c>
      <c r="C356" s="155">
        <f>SUMIFS('recurring2_based on steps'!$B356:$AY356,'recurring2_based on steps'!$B$1:$AY$1,C$1)+SUMIFS('changes2_based on steps'!$B356:$U356,'changes2_based on steps'!$B$1:$U$1,C$1)</f>
        <v>0</v>
      </c>
      <c r="D356" s="155">
        <f>SUMIFS('recurring2_based on steps'!$B356:$AY356,'recurring2_based on steps'!$B$1:$AY$1,D$1)+SUMIFS('changes2_based on steps'!$B356:$U356,'changes2_based on steps'!$B$1:$U$1,D$1)</f>
        <v>0</v>
      </c>
      <c r="E356" s="155">
        <f>SUMIFS('recurring2_based on steps'!$B356:$AY356,'recurring2_based on steps'!$B$1:$AY$1,E$1)+SUMIFS('changes2_based on steps'!$B356:$U356,'changes2_based on steps'!$B$1:$U$1,E$1)</f>
        <v>0</v>
      </c>
      <c r="F356" s="155">
        <f>SUMIFS('recurring2_based on steps'!$B356:$AY356,'recurring2_based on steps'!$B$1:$AY$1,F$1)+SUMIFS('changes2_based on steps'!$B356:$U356,'changes2_based on steps'!$B$1:$U$1,F$1)</f>
        <v>0</v>
      </c>
      <c r="G356" s="155">
        <f>SUMIFS('recurring2_based on steps'!$B356:$AY356,'recurring2_based on steps'!$B$1:$AY$1,G$1)+SUMIFS('changes2_based on steps'!$B356:$U356,'changes2_based on steps'!$B$1:$U$1,G$1)</f>
        <v>0</v>
      </c>
      <c r="H356" s="155">
        <f ca="1">SUMIFS('recurring2_based on steps'!$B356:$AY356,'recurring2_based on steps'!$B$1:$AY$1,H$1)+SUMIFS('changes2_based on steps'!$B356:$U356,'changes2_based on steps'!$B$1:$U$1,H$1)</f>
        <v>0</v>
      </c>
      <c r="I356" s="155">
        <f>SUMIFS('recurring2_based on steps'!$B356:$AY356,'recurring2_based on steps'!$B$1:$AY$1,I$1)+SUMIFS('changes2_based on steps'!$B356:$U356,'changes2_based on steps'!$B$1:$U$1,I$1)</f>
        <v>0</v>
      </c>
      <c r="J356" s="155">
        <f>SUMIFS('recurring2_based on steps'!$B356:$AY356,'recurring2_based on steps'!$B$1:$AY$1,J$1)+SUMIFS('changes2_based on steps'!$B356:$U356,'changes2_based on steps'!$B$1:$U$1,J$1)</f>
        <v>0</v>
      </c>
      <c r="K356" s="155">
        <f>SUMIFS('recurring2_based on steps'!$B356:$AY356,'recurring2_based on steps'!$B$1:$AY$1,K$1)+SUMIFS('changes2_based on steps'!$B356:$U356,'changes2_based on steps'!$B$1:$U$1,K$1)</f>
        <v>0</v>
      </c>
      <c r="L356" s="155">
        <f>SUMIFS('recurring2_based on steps'!$B356:$AY356,'recurring2_based on steps'!$B$1:$AY$1,L$1)+SUMIFS('changes2_based on steps'!$B356:$U356,'changes2_based on steps'!$B$1:$U$1,L$1)</f>
        <v>0</v>
      </c>
      <c r="M356" s="155">
        <f ca="1">SUMIFS('recurring2_based on steps'!$B356:$AY356,'recurring2_based on steps'!$B$1:$AY$1,M$1)+SUMIFS('changes2_based on steps'!$B356:$U356,'changes2_based on steps'!$B$1:$U$1,M$1)</f>
        <v>0</v>
      </c>
      <c r="N356" s="155">
        <f ca="1">SUMIFS('recurring2_based on steps'!$B356:$AY356,'recurring2_based on steps'!$B$1:$AY$1,N$1)+SUMIFS('changes2_based on steps'!$B356:$U356,'changes2_based on steps'!$B$1:$U$1,N$1)</f>
        <v>0</v>
      </c>
      <c r="O356" s="155">
        <f ca="1">SUMIFS('recurring2_based on steps'!$B356:$AY356,'recurring2_based on steps'!$B$1:$AY$1,O$1)+SUMIFS('changes2_based on steps'!$B356:$U356,'changes2_based on steps'!$B$1:$U$1,O$1)</f>
        <v>0</v>
      </c>
      <c r="P356" s="155">
        <f ca="1">SUMIFS('recurring2_based on steps'!$B356:$AY356,'recurring2_based on steps'!$B$1:$AY$1,P$1)+SUMIFS('changes2_based on steps'!$B356:$U356,'changes2_based on steps'!$B$1:$U$1,P$1)</f>
        <v>0</v>
      </c>
      <c r="Q356" s="155">
        <f>SUMIFS('recurring2_based on steps'!$B356:$AY356,'recurring2_based on steps'!$B$1:$AY$1,Q$1)+SUMIFS('changes2_based on steps'!$B356:$U356,'changes2_based on steps'!$B$1:$U$1,Q$1)</f>
        <v>0</v>
      </c>
      <c r="R356" s="155">
        <f ca="1">SUMIFS('recurring2_based on steps'!$B356:$AY356,'recurring2_based on steps'!$B$1:$AY$1,R$1)+SUMIFS('changes2_based on steps'!$B356:$U356,'changes2_based on steps'!$B$1:$U$1,R$1)</f>
        <v>0</v>
      </c>
      <c r="S356" s="155">
        <f ca="1">SUMIFS('recurring2_based on steps'!$B356:$AY356,'recurring2_based on steps'!$B$1:$AY$1,S$1)+SUMIFS('changes2_based on steps'!$B356:$U356,'changes2_based on steps'!$B$1:$U$1,S$1)</f>
        <v>0</v>
      </c>
      <c r="T356" s="155">
        <f>SUMIFS('recurring2_based on steps'!$B356:$AY356,'recurring2_based on steps'!$B$1:$AY$1,T$1)+SUMIFS('changes2_based on steps'!$B356:$U356,'changes2_based on steps'!$B$1:$U$1,T$1)</f>
        <v>0</v>
      </c>
      <c r="U356" s="155">
        <f ca="1">SUMIFS('recurring2_based on steps'!$B356:$AY356,'recurring2_based on steps'!$B$1:$AY$1,U$1)+SUMIFS('changes2_based on steps'!$B356:$U356,'changes2_based on steps'!$B$1:$U$1,U$1)</f>
        <v>0</v>
      </c>
      <c r="V356" s="155">
        <f>SUMIFS('recurring2_based on steps'!$B356:$AY356,'recurring2_based on steps'!$B$1:$AY$1,V$1)+SUMIFS('changes2_based on steps'!$B356:$U356,'changes2_based on steps'!$B$1:$U$1,V$1)</f>
        <v>0</v>
      </c>
      <c r="W356" s="155">
        <f ca="1">SUMIFS('recurring2_based on steps'!$B356:$AY356,'recurring2_based on steps'!$B$1:$AY$1,W$1)+SUMIFS('changes2_based on steps'!$B356:$U356,'changes2_based on steps'!$B$1:$U$1,W$1)</f>
        <v>0</v>
      </c>
      <c r="X356" s="155">
        <f ca="1">SUMIFS('recurring2_based on steps'!$B356:$AY356,'recurring2_based on steps'!$B$1:$AY$1,X$1)+SUMIFS('changes2_based on steps'!$B356:$U356,'changes2_based on steps'!$B$1:$U$1,X$1)</f>
        <v>0</v>
      </c>
      <c r="Y356" s="155">
        <f ca="1">SUMIFS('recurring2_based on steps'!$B356:$AY356,'recurring2_based on steps'!$B$1:$AY$1,Y$1)+SUMIFS('changes2_based on steps'!$B356:$U356,'changes2_based on steps'!$B$1:$U$1,Y$1)</f>
        <v>0</v>
      </c>
      <c r="Z356" s="155">
        <f>SUMIFS('recurring2_based on steps'!$B356:$AY356,'recurring2_based on steps'!$B$1:$AY$1,Z$1)+SUMIFS('changes2_based on steps'!$B356:$U356,'changes2_based on steps'!$B$1:$U$1,Z$1)</f>
        <v>0</v>
      </c>
      <c r="AA356" s="155">
        <f>SUMIFS('recurring2_based on steps'!$B356:$AY356,'recurring2_based on steps'!$B$1:$AY$1,AA$1)+SUMIFS('changes2_based on steps'!$B356:$U356,'changes2_based on steps'!$B$1:$U$1,AA$1)</f>
        <v>0</v>
      </c>
    </row>
    <row r="357" spans="1:27" x14ac:dyDescent="0.2">
      <c r="A357" s="18">
        <f t="shared" ca="1" si="5"/>
        <v>46043</v>
      </c>
      <c r="B357" s="155">
        <f ca="1">SUMIFS('recurring2_based on steps'!$B357:$AY357,'recurring2_based on steps'!$B$1:$AY$1,B$1)+SUMIFS('changes2_based on steps'!$B357:$U357,'changes2_based on steps'!$B$1:$U$1,B$1)</f>
        <v>0</v>
      </c>
      <c r="C357" s="155">
        <f>SUMIFS('recurring2_based on steps'!$B357:$AY357,'recurring2_based on steps'!$B$1:$AY$1,C$1)+SUMIFS('changes2_based on steps'!$B357:$U357,'changes2_based on steps'!$B$1:$U$1,C$1)</f>
        <v>0</v>
      </c>
      <c r="D357" s="155">
        <f>SUMIFS('recurring2_based on steps'!$B357:$AY357,'recurring2_based on steps'!$B$1:$AY$1,D$1)+SUMIFS('changes2_based on steps'!$B357:$U357,'changes2_based on steps'!$B$1:$U$1,D$1)</f>
        <v>0</v>
      </c>
      <c r="E357" s="155">
        <f>SUMIFS('recurring2_based on steps'!$B357:$AY357,'recurring2_based on steps'!$B$1:$AY$1,E$1)+SUMIFS('changes2_based on steps'!$B357:$U357,'changes2_based on steps'!$B$1:$U$1,E$1)</f>
        <v>0</v>
      </c>
      <c r="F357" s="155">
        <f>SUMIFS('recurring2_based on steps'!$B357:$AY357,'recurring2_based on steps'!$B$1:$AY$1,F$1)+SUMIFS('changes2_based on steps'!$B357:$U357,'changes2_based on steps'!$B$1:$U$1,F$1)</f>
        <v>0</v>
      </c>
      <c r="G357" s="155">
        <f>SUMIFS('recurring2_based on steps'!$B357:$AY357,'recurring2_based on steps'!$B$1:$AY$1,G$1)+SUMIFS('changes2_based on steps'!$B357:$U357,'changes2_based on steps'!$B$1:$U$1,G$1)</f>
        <v>0</v>
      </c>
      <c r="H357" s="155">
        <f ca="1">SUMIFS('recurring2_based on steps'!$B357:$AY357,'recurring2_based on steps'!$B$1:$AY$1,H$1)+SUMIFS('changes2_based on steps'!$B357:$U357,'changes2_based on steps'!$B$1:$U$1,H$1)</f>
        <v>0</v>
      </c>
      <c r="I357" s="155">
        <f>SUMIFS('recurring2_based on steps'!$B357:$AY357,'recurring2_based on steps'!$B$1:$AY$1,I$1)+SUMIFS('changes2_based on steps'!$B357:$U357,'changes2_based on steps'!$B$1:$U$1,I$1)</f>
        <v>0</v>
      </c>
      <c r="J357" s="155">
        <f>SUMIFS('recurring2_based on steps'!$B357:$AY357,'recurring2_based on steps'!$B$1:$AY$1,J$1)+SUMIFS('changes2_based on steps'!$B357:$U357,'changes2_based on steps'!$B$1:$U$1,J$1)</f>
        <v>0</v>
      </c>
      <c r="K357" s="155">
        <f>SUMIFS('recurring2_based on steps'!$B357:$AY357,'recurring2_based on steps'!$B$1:$AY$1,K$1)+SUMIFS('changes2_based on steps'!$B357:$U357,'changes2_based on steps'!$B$1:$U$1,K$1)</f>
        <v>0</v>
      </c>
      <c r="L357" s="155">
        <f>SUMIFS('recurring2_based on steps'!$B357:$AY357,'recurring2_based on steps'!$B$1:$AY$1,L$1)+SUMIFS('changes2_based on steps'!$B357:$U357,'changes2_based on steps'!$B$1:$U$1,L$1)</f>
        <v>0</v>
      </c>
      <c r="M357" s="155">
        <f ca="1">SUMIFS('recurring2_based on steps'!$B357:$AY357,'recurring2_based on steps'!$B$1:$AY$1,M$1)+SUMIFS('changes2_based on steps'!$B357:$U357,'changes2_based on steps'!$B$1:$U$1,M$1)</f>
        <v>0</v>
      </c>
      <c r="N357" s="155">
        <f ca="1">SUMIFS('recurring2_based on steps'!$B357:$AY357,'recurring2_based on steps'!$B$1:$AY$1,N$1)+SUMIFS('changes2_based on steps'!$B357:$U357,'changes2_based on steps'!$B$1:$U$1,N$1)</f>
        <v>0</v>
      </c>
      <c r="O357" s="155">
        <f ca="1">SUMIFS('recurring2_based on steps'!$B357:$AY357,'recurring2_based on steps'!$B$1:$AY$1,O$1)+SUMIFS('changes2_based on steps'!$B357:$U357,'changes2_based on steps'!$B$1:$U$1,O$1)</f>
        <v>0</v>
      </c>
      <c r="P357" s="155">
        <f ca="1">SUMIFS('recurring2_based on steps'!$B357:$AY357,'recurring2_based on steps'!$B$1:$AY$1,P$1)+SUMIFS('changes2_based on steps'!$B357:$U357,'changes2_based on steps'!$B$1:$U$1,P$1)</f>
        <v>0</v>
      </c>
      <c r="Q357" s="155">
        <f>SUMIFS('recurring2_based on steps'!$B357:$AY357,'recurring2_based on steps'!$B$1:$AY$1,Q$1)+SUMIFS('changes2_based on steps'!$B357:$U357,'changes2_based on steps'!$B$1:$U$1,Q$1)</f>
        <v>0</v>
      </c>
      <c r="R357" s="155">
        <f ca="1">SUMIFS('recurring2_based on steps'!$B357:$AY357,'recurring2_based on steps'!$B$1:$AY$1,R$1)+SUMIFS('changes2_based on steps'!$B357:$U357,'changes2_based on steps'!$B$1:$U$1,R$1)</f>
        <v>0</v>
      </c>
      <c r="S357" s="155">
        <f ca="1">SUMIFS('recurring2_based on steps'!$B357:$AY357,'recurring2_based on steps'!$B$1:$AY$1,S$1)+SUMIFS('changes2_based on steps'!$B357:$U357,'changes2_based on steps'!$B$1:$U$1,S$1)</f>
        <v>0</v>
      </c>
      <c r="T357" s="155">
        <f>SUMIFS('recurring2_based on steps'!$B357:$AY357,'recurring2_based on steps'!$B$1:$AY$1,T$1)+SUMIFS('changes2_based on steps'!$B357:$U357,'changes2_based on steps'!$B$1:$U$1,T$1)</f>
        <v>0</v>
      </c>
      <c r="U357" s="155">
        <f ca="1">SUMIFS('recurring2_based on steps'!$B357:$AY357,'recurring2_based on steps'!$B$1:$AY$1,U$1)+SUMIFS('changes2_based on steps'!$B357:$U357,'changes2_based on steps'!$B$1:$U$1,U$1)</f>
        <v>0</v>
      </c>
      <c r="V357" s="155">
        <f>SUMIFS('recurring2_based on steps'!$B357:$AY357,'recurring2_based on steps'!$B$1:$AY$1,V$1)+SUMIFS('changes2_based on steps'!$B357:$U357,'changes2_based on steps'!$B$1:$U$1,V$1)</f>
        <v>0</v>
      </c>
      <c r="W357" s="155">
        <f ca="1">SUMIFS('recurring2_based on steps'!$B357:$AY357,'recurring2_based on steps'!$B$1:$AY$1,W$1)+SUMIFS('changes2_based on steps'!$B357:$U357,'changes2_based on steps'!$B$1:$U$1,W$1)</f>
        <v>0</v>
      </c>
      <c r="X357" s="155">
        <f ca="1">SUMIFS('recurring2_based on steps'!$B357:$AY357,'recurring2_based on steps'!$B$1:$AY$1,X$1)+SUMIFS('changes2_based on steps'!$B357:$U357,'changes2_based on steps'!$B$1:$U$1,X$1)</f>
        <v>0</v>
      </c>
      <c r="Y357" s="155">
        <f ca="1">SUMIFS('recurring2_based on steps'!$B357:$AY357,'recurring2_based on steps'!$B$1:$AY$1,Y$1)+SUMIFS('changes2_based on steps'!$B357:$U357,'changes2_based on steps'!$B$1:$U$1,Y$1)</f>
        <v>0</v>
      </c>
      <c r="Z357" s="155">
        <f>SUMIFS('recurring2_based on steps'!$B357:$AY357,'recurring2_based on steps'!$B$1:$AY$1,Z$1)+SUMIFS('changes2_based on steps'!$B357:$U357,'changes2_based on steps'!$B$1:$U$1,Z$1)</f>
        <v>0</v>
      </c>
      <c r="AA357" s="155">
        <f>SUMIFS('recurring2_based on steps'!$B357:$AY357,'recurring2_based on steps'!$B$1:$AY$1,AA$1)+SUMIFS('changes2_based on steps'!$B357:$U357,'changes2_based on steps'!$B$1:$U$1,AA$1)</f>
        <v>0</v>
      </c>
    </row>
    <row r="358" spans="1:27" x14ac:dyDescent="0.2">
      <c r="A358" s="18">
        <f t="shared" ca="1" si="5"/>
        <v>46044</v>
      </c>
      <c r="B358" s="155">
        <f ca="1">SUMIFS('recurring2_based on steps'!$B358:$AY358,'recurring2_based on steps'!$B$1:$AY$1,B$1)+SUMIFS('changes2_based on steps'!$B358:$U358,'changes2_based on steps'!$B$1:$U$1,B$1)</f>
        <v>0</v>
      </c>
      <c r="C358" s="155">
        <f>SUMIFS('recurring2_based on steps'!$B358:$AY358,'recurring2_based on steps'!$B$1:$AY$1,C$1)+SUMIFS('changes2_based on steps'!$B358:$U358,'changes2_based on steps'!$B$1:$U$1,C$1)</f>
        <v>0</v>
      </c>
      <c r="D358" s="155">
        <f>SUMIFS('recurring2_based on steps'!$B358:$AY358,'recurring2_based on steps'!$B$1:$AY$1,D$1)+SUMIFS('changes2_based on steps'!$B358:$U358,'changes2_based on steps'!$B$1:$U$1,D$1)</f>
        <v>0</v>
      </c>
      <c r="E358" s="155">
        <f>SUMIFS('recurring2_based on steps'!$B358:$AY358,'recurring2_based on steps'!$B$1:$AY$1,E$1)+SUMIFS('changes2_based on steps'!$B358:$U358,'changes2_based on steps'!$B$1:$U$1,E$1)</f>
        <v>0</v>
      </c>
      <c r="F358" s="155">
        <f>SUMIFS('recurring2_based on steps'!$B358:$AY358,'recurring2_based on steps'!$B$1:$AY$1,F$1)+SUMIFS('changes2_based on steps'!$B358:$U358,'changes2_based on steps'!$B$1:$U$1,F$1)</f>
        <v>0</v>
      </c>
      <c r="G358" s="155">
        <f>SUMIFS('recurring2_based on steps'!$B358:$AY358,'recurring2_based on steps'!$B$1:$AY$1,G$1)+SUMIFS('changes2_based on steps'!$B358:$U358,'changes2_based on steps'!$B$1:$U$1,G$1)</f>
        <v>0</v>
      </c>
      <c r="H358" s="155">
        <f ca="1">SUMIFS('recurring2_based on steps'!$B358:$AY358,'recurring2_based on steps'!$B$1:$AY$1,H$1)+SUMIFS('changes2_based on steps'!$B358:$U358,'changes2_based on steps'!$B$1:$U$1,H$1)</f>
        <v>0</v>
      </c>
      <c r="I358" s="155">
        <f>SUMIFS('recurring2_based on steps'!$B358:$AY358,'recurring2_based on steps'!$B$1:$AY$1,I$1)+SUMIFS('changes2_based on steps'!$B358:$U358,'changes2_based on steps'!$B$1:$U$1,I$1)</f>
        <v>0</v>
      </c>
      <c r="J358" s="155">
        <f>SUMIFS('recurring2_based on steps'!$B358:$AY358,'recurring2_based on steps'!$B$1:$AY$1,J$1)+SUMIFS('changes2_based on steps'!$B358:$U358,'changes2_based on steps'!$B$1:$U$1,J$1)</f>
        <v>0</v>
      </c>
      <c r="K358" s="155">
        <f>SUMIFS('recurring2_based on steps'!$B358:$AY358,'recurring2_based on steps'!$B$1:$AY$1,K$1)+SUMIFS('changes2_based on steps'!$B358:$U358,'changes2_based on steps'!$B$1:$U$1,K$1)</f>
        <v>0</v>
      </c>
      <c r="L358" s="155">
        <f>SUMIFS('recurring2_based on steps'!$B358:$AY358,'recurring2_based on steps'!$B$1:$AY$1,L$1)+SUMIFS('changes2_based on steps'!$B358:$U358,'changes2_based on steps'!$B$1:$U$1,L$1)</f>
        <v>0</v>
      </c>
      <c r="M358" s="155">
        <f ca="1">SUMIFS('recurring2_based on steps'!$B358:$AY358,'recurring2_based on steps'!$B$1:$AY$1,M$1)+SUMIFS('changes2_based on steps'!$B358:$U358,'changes2_based on steps'!$B$1:$U$1,M$1)</f>
        <v>0</v>
      </c>
      <c r="N358" s="155">
        <f ca="1">SUMIFS('recurring2_based on steps'!$B358:$AY358,'recurring2_based on steps'!$B$1:$AY$1,N$1)+SUMIFS('changes2_based on steps'!$B358:$U358,'changes2_based on steps'!$B$1:$U$1,N$1)</f>
        <v>0</v>
      </c>
      <c r="O358" s="155">
        <f ca="1">SUMIFS('recurring2_based on steps'!$B358:$AY358,'recurring2_based on steps'!$B$1:$AY$1,O$1)+SUMIFS('changes2_based on steps'!$B358:$U358,'changes2_based on steps'!$B$1:$U$1,O$1)</f>
        <v>0</v>
      </c>
      <c r="P358" s="155">
        <f ca="1">SUMIFS('recurring2_based on steps'!$B358:$AY358,'recurring2_based on steps'!$B$1:$AY$1,P$1)+SUMIFS('changes2_based on steps'!$B358:$U358,'changes2_based on steps'!$B$1:$U$1,P$1)</f>
        <v>0</v>
      </c>
      <c r="Q358" s="155">
        <f>SUMIFS('recurring2_based on steps'!$B358:$AY358,'recurring2_based on steps'!$B$1:$AY$1,Q$1)+SUMIFS('changes2_based on steps'!$B358:$U358,'changes2_based on steps'!$B$1:$U$1,Q$1)</f>
        <v>0</v>
      </c>
      <c r="R358" s="155">
        <f ca="1">SUMIFS('recurring2_based on steps'!$B358:$AY358,'recurring2_based on steps'!$B$1:$AY$1,R$1)+SUMIFS('changes2_based on steps'!$B358:$U358,'changes2_based on steps'!$B$1:$U$1,R$1)</f>
        <v>0</v>
      </c>
      <c r="S358" s="155">
        <f ca="1">SUMIFS('recurring2_based on steps'!$B358:$AY358,'recurring2_based on steps'!$B$1:$AY$1,S$1)+SUMIFS('changes2_based on steps'!$B358:$U358,'changes2_based on steps'!$B$1:$U$1,S$1)</f>
        <v>0</v>
      </c>
      <c r="T358" s="155">
        <f>SUMIFS('recurring2_based on steps'!$B358:$AY358,'recurring2_based on steps'!$B$1:$AY$1,T$1)+SUMIFS('changes2_based on steps'!$B358:$U358,'changes2_based on steps'!$B$1:$U$1,T$1)</f>
        <v>0</v>
      </c>
      <c r="U358" s="155">
        <f ca="1">SUMIFS('recurring2_based on steps'!$B358:$AY358,'recurring2_based on steps'!$B$1:$AY$1,U$1)+SUMIFS('changes2_based on steps'!$B358:$U358,'changes2_based on steps'!$B$1:$U$1,U$1)</f>
        <v>0</v>
      </c>
      <c r="V358" s="155">
        <f>SUMIFS('recurring2_based on steps'!$B358:$AY358,'recurring2_based on steps'!$B$1:$AY$1,V$1)+SUMIFS('changes2_based on steps'!$B358:$U358,'changes2_based on steps'!$B$1:$U$1,V$1)</f>
        <v>0</v>
      </c>
      <c r="W358" s="155">
        <f ca="1">SUMIFS('recurring2_based on steps'!$B358:$AY358,'recurring2_based on steps'!$B$1:$AY$1,W$1)+SUMIFS('changes2_based on steps'!$B358:$U358,'changes2_based on steps'!$B$1:$U$1,W$1)</f>
        <v>0</v>
      </c>
      <c r="X358" s="155">
        <f ca="1">SUMIFS('recurring2_based on steps'!$B358:$AY358,'recurring2_based on steps'!$B$1:$AY$1,X$1)+SUMIFS('changes2_based on steps'!$B358:$U358,'changes2_based on steps'!$B$1:$U$1,X$1)</f>
        <v>0</v>
      </c>
      <c r="Y358" s="155">
        <f ca="1">SUMIFS('recurring2_based on steps'!$B358:$AY358,'recurring2_based on steps'!$B$1:$AY$1,Y$1)+SUMIFS('changes2_based on steps'!$B358:$U358,'changes2_based on steps'!$B$1:$U$1,Y$1)</f>
        <v>0</v>
      </c>
      <c r="Z358" s="155">
        <f>SUMIFS('recurring2_based on steps'!$B358:$AY358,'recurring2_based on steps'!$B$1:$AY$1,Z$1)+SUMIFS('changes2_based on steps'!$B358:$U358,'changes2_based on steps'!$B$1:$U$1,Z$1)</f>
        <v>0</v>
      </c>
      <c r="AA358" s="155">
        <f>SUMIFS('recurring2_based on steps'!$B358:$AY358,'recurring2_based on steps'!$B$1:$AY$1,AA$1)+SUMIFS('changes2_based on steps'!$B358:$U358,'changes2_based on steps'!$B$1:$U$1,AA$1)</f>
        <v>0</v>
      </c>
    </row>
    <row r="359" spans="1:27" x14ac:dyDescent="0.2">
      <c r="A359" s="18">
        <f t="shared" ca="1" si="5"/>
        <v>46045</v>
      </c>
      <c r="B359" s="155">
        <f ca="1">SUMIFS('recurring2_based on steps'!$B359:$AY359,'recurring2_based on steps'!$B$1:$AY$1,B$1)+SUMIFS('changes2_based on steps'!$B359:$U359,'changes2_based on steps'!$B$1:$U$1,B$1)</f>
        <v>4000</v>
      </c>
      <c r="C359" s="155">
        <f>SUMIFS('recurring2_based on steps'!$B359:$AY359,'recurring2_based on steps'!$B$1:$AY$1,C$1)+SUMIFS('changes2_based on steps'!$B359:$U359,'changes2_based on steps'!$B$1:$U$1,C$1)</f>
        <v>0</v>
      </c>
      <c r="D359" s="155">
        <f>SUMIFS('recurring2_based on steps'!$B359:$AY359,'recurring2_based on steps'!$B$1:$AY$1,D$1)+SUMIFS('changes2_based on steps'!$B359:$U359,'changes2_based on steps'!$B$1:$U$1,D$1)</f>
        <v>0</v>
      </c>
      <c r="E359" s="155">
        <f>SUMIFS('recurring2_based on steps'!$B359:$AY359,'recurring2_based on steps'!$B$1:$AY$1,E$1)+SUMIFS('changes2_based on steps'!$B359:$U359,'changes2_based on steps'!$B$1:$U$1,E$1)</f>
        <v>0</v>
      </c>
      <c r="F359" s="155">
        <f>SUMIFS('recurring2_based on steps'!$B359:$AY359,'recurring2_based on steps'!$B$1:$AY$1,F$1)+SUMIFS('changes2_based on steps'!$B359:$U359,'changes2_based on steps'!$B$1:$U$1,F$1)</f>
        <v>0</v>
      </c>
      <c r="G359" s="155">
        <f>SUMIFS('recurring2_based on steps'!$B359:$AY359,'recurring2_based on steps'!$B$1:$AY$1,G$1)+SUMIFS('changes2_based on steps'!$B359:$U359,'changes2_based on steps'!$B$1:$U$1,G$1)</f>
        <v>0</v>
      </c>
      <c r="H359" s="155">
        <f ca="1">SUMIFS('recurring2_based on steps'!$B359:$AY359,'recurring2_based on steps'!$B$1:$AY$1,H$1)+SUMIFS('changes2_based on steps'!$B359:$U359,'changes2_based on steps'!$B$1:$U$1,H$1)</f>
        <v>96</v>
      </c>
      <c r="I359" s="155">
        <f>SUMIFS('recurring2_based on steps'!$B359:$AY359,'recurring2_based on steps'!$B$1:$AY$1,I$1)+SUMIFS('changes2_based on steps'!$B359:$U359,'changes2_based on steps'!$B$1:$U$1,I$1)</f>
        <v>0</v>
      </c>
      <c r="J359" s="155">
        <f>SUMIFS('recurring2_based on steps'!$B359:$AY359,'recurring2_based on steps'!$B$1:$AY$1,J$1)+SUMIFS('changes2_based on steps'!$B359:$U359,'changes2_based on steps'!$B$1:$U$1,J$1)</f>
        <v>0</v>
      </c>
      <c r="K359" s="155">
        <f>SUMIFS('recurring2_based on steps'!$B359:$AY359,'recurring2_based on steps'!$B$1:$AY$1,K$1)+SUMIFS('changes2_based on steps'!$B359:$U359,'changes2_based on steps'!$B$1:$U$1,K$1)</f>
        <v>0</v>
      </c>
      <c r="L359" s="155">
        <f>SUMIFS('recurring2_based on steps'!$B359:$AY359,'recurring2_based on steps'!$B$1:$AY$1,L$1)+SUMIFS('changes2_based on steps'!$B359:$U359,'changes2_based on steps'!$B$1:$U$1,L$1)</f>
        <v>0</v>
      </c>
      <c r="M359" s="155">
        <f ca="1">SUMIFS('recurring2_based on steps'!$B359:$AY359,'recurring2_based on steps'!$B$1:$AY$1,M$1)+SUMIFS('changes2_based on steps'!$B359:$U359,'changes2_based on steps'!$B$1:$U$1,M$1)</f>
        <v>0</v>
      </c>
      <c r="N359" s="155">
        <f ca="1">SUMIFS('recurring2_based on steps'!$B359:$AY359,'recurring2_based on steps'!$B$1:$AY$1,N$1)+SUMIFS('changes2_based on steps'!$B359:$U359,'changes2_based on steps'!$B$1:$U$1,N$1)</f>
        <v>0</v>
      </c>
      <c r="O359" s="155">
        <f ca="1">SUMIFS('recurring2_based on steps'!$B359:$AY359,'recurring2_based on steps'!$B$1:$AY$1,O$1)+SUMIFS('changes2_based on steps'!$B359:$U359,'changes2_based on steps'!$B$1:$U$1,O$1)</f>
        <v>0</v>
      </c>
      <c r="P359" s="155">
        <f ca="1">SUMIFS('recurring2_based on steps'!$B359:$AY359,'recurring2_based on steps'!$B$1:$AY$1,P$1)+SUMIFS('changes2_based on steps'!$B359:$U359,'changes2_based on steps'!$B$1:$U$1,P$1)</f>
        <v>0</v>
      </c>
      <c r="Q359" s="155">
        <f>SUMIFS('recurring2_based on steps'!$B359:$AY359,'recurring2_based on steps'!$B$1:$AY$1,Q$1)+SUMIFS('changes2_based on steps'!$B359:$U359,'changes2_based on steps'!$B$1:$U$1,Q$1)</f>
        <v>0</v>
      </c>
      <c r="R359" s="155">
        <f ca="1">SUMIFS('recurring2_based on steps'!$B359:$AY359,'recurring2_based on steps'!$B$1:$AY$1,R$1)+SUMIFS('changes2_based on steps'!$B359:$U359,'changes2_based on steps'!$B$1:$U$1,R$1)</f>
        <v>0</v>
      </c>
      <c r="S359" s="155">
        <f ca="1">SUMIFS('recurring2_based on steps'!$B359:$AY359,'recurring2_based on steps'!$B$1:$AY$1,S$1)+SUMIFS('changes2_based on steps'!$B359:$U359,'changes2_based on steps'!$B$1:$U$1,S$1)</f>
        <v>0</v>
      </c>
      <c r="T359" s="155">
        <f>SUMIFS('recurring2_based on steps'!$B359:$AY359,'recurring2_based on steps'!$B$1:$AY$1,T$1)+SUMIFS('changes2_based on steps'!$B359:$U359,'changes2_based on steps'!$B$1:$U$1,T$1)</f>
        <v>0</v>
      </c>
      <c r="U359" s="155">
        <f ca="1">SUMIFS('recurring2_based on steps'!$B359:$AY359,'recurring2_based on steps'!$B$1:$AY$1,U$1)+SUMIFS('changes2_based on steps'!$B359:$U359,'changes2_based on steps'!$B$1:$U$1,U$1)</f>
        <v>0</v>
      </c>
      <c r="V359" s="155">
        <f>SUMIFS('recurring2_based on steps'!$B359:$AY359,'recurring2_based on steps'!$B$1:$AY$1,V$1)+SUMIFS('changes2_based on steps'!$B359:$U359,'changes2_based on steps'!$B$1:$U$1,V$1)</f>
        <v>0</v>
      </c>
      <c r="W359" s="155">
        <f ca="1">SUMIFS('recurring2_based on steps'!$B359:$AY359,'recurring2_based on steps'!$B$1:$AY$1,W$1)+SUMIFS('changes2_based on steps'!$B359:$U359,'changes2_based on steps'!$B$1:$U$1,W$1)</f>
        <v>50</v>
      </c>
      <c r="X359" s="155">
        <f ca="1">SUMIFS('recurring2_based on steps'!$B359:$AY359,'recurring2_based on steps'!$B$1:$AY$1,X$1)+SUMIFS('changes2_based on steps'!$B359:$U359,'changes2_based on steps'!$B$1:$U$1,X$1)</f>
        <v>200</v>
      </c>
      <c r="Y359" s="155">
        <f ca="1">SUMIFS('recurring2_based on steps'!$B359:$AY359,'recurring2_based on steps'!$B$1:$AY$1,Y$1)+SUMIFS('changes2_based on steps'!$B359:$U359,'changes2_based on steps'!$B$1:$U$1,Y$1)</f>
        <v>0</v>
      </c>
      <c r="Z359" s="155">
        <f>SUMIFS('recurring2_based on steps'!$B359:$AY359,'recurring2_based on steps'!$B$1:$AY$1,Z$1)+SUMIFS('changes2_based on steps'!$B359:$U359,'changes2_based on steps'!$B$1:$U$1,Z$1)</f>
        <v>0</v>
      </c>
      <c r="AA359" s="155">
        <f>SUMIFS('recurring2_based on steps'!$B359:$AY359,'recurring2_based on steps'!$B$1:$AY$1,AA$1)+SUMIFS('changes2_based on steps'!$B359:$U359,'changes2_based on steps'!$B$1:$U$1,AA$1)</f>
        <v>0</v>
      </c>
    </row>
    <row r="360" spans="1:27" x14ac:dyDescent="0.2">
      <c r="A360" s="18">
        <f t="shared" ca="1" si="5"/>
        <v>46046</v>
      </c>
      <c r="B360" s="155">
        <f ca="1">SUMIFS('recurring2_based on steps'!$B360:$AY360,'recurring2_based on steps'!$B$1:$AY$1,B$1)+SUMIFS('changes2_based on steps'!$B360:$U360,'changes2_based on steps'!$B$1:$U$1,B$1)</f>
        <v>0</v>
      </c>
      <c r="C360" s="155">
        <f>SUMIFS('recurring2_based on steps'!$B360:$AY360,'recurring2_based on steps'!$B$1:$AY$1,C$1)+SUMIFS('changes2_based on steps'!$B360:$U360,'changes2_based on steps'!$B$1:$U$1,C$1)</f>
        <v>0</v>
      </c>
      <c r="D360" s="155">
        <f>SUMIFS('recurring2_based on steps'!$B360:$AY360,'recurring2_based on steps'!$B$1:$AY$1,D$1)+SUMIFS('changes2_based on steps'!$B360:$U360,'changes2_based on steps'!$B$1:$U$1,D$1)</f>
        <v>0</v>
      </c>
      <c r="E360" s="155">
        <f>SUMIFS('recurring2_based on steps'!$B360:$AY360,'recurring2_based on steps'!$B$1:$AY$1,E$1)+SUMIFS('changes2_based on steps'!$B360:$U360,'changes2_based on steps'!$B$1:$U$1,E$1)</f>
        <v>0</v>
      </c>
      <c r="F360" s="155">
        <f>SUMIFS('recurring2_based on steps'!$B360:$AY360,'recurring2_based on steps'!$B$1:$AY$1,F$1)+SUMIFS('changes2_based on steps'!$B360:$U360,'changes2_based on steps'!$B$1:$U$1,F$1)</f>
        <v>0</v>
      </c>
      <c r="G360" s="155">
        <f>SUMIFS('recurring2_based on steps'!$B360:$AY360,'recurring2_based on steps'!$B$1:$AY$1,G$1)+SUMIFS('changes2_based on steps'!$B360:$U360,'changes2_based on steps'!$B$1:$U$1,G$1)</f>
        <v>0</v>
      </c>
      <c r="H360" s="155">
        <f ca="1">SUMIFS('recurring2_based on steps'!$B360:$AY360,'recurring2_based on steps'!$B$1:$AY$1,H$1)+SUMIFS('changes2_based on steps'!$B360:$U360,'changes2_based on steps'!$B$1:$U$1,H$1)</f>
        <v>0</v>
      </c>
      <c r="I360" s="155">
        <f>SUMIFS('recurring2_based on steps'!$B360:$AY360,'recurring2_based on steps'!$B$1:$AY$1,I$1)+SUMIFS('changes2_based on steps'!$B360:$U360,'changes2_based on steps'!$B$1:$U$1,I$1)</f>
        <v>0</v>
      </c>
      <c r="J360" s="155">
        <f>SUMIFS('recurring2_based on steps'!$B360:$AY360,'recurring2_based on steps'!$B$1:$AY$1,J$1)+SUMIFS('changes2_based on steps'!$B360:$U360,'changes2_based on steps'!$B$1:$U$1,J$1)</f>
        <v>0</v>
      </c>
      <c r="K360" s="155">
        <f>SUMIFS('recurring2_based on steps'!$B360:$AY360,'recurring2_based on steps'!$B$1:$AY$1,K$1)+SUMIFS('changes2_based on steps'!$B360:$U360,'changes2_based on steps'!$B$1:$U$1,K$1)</f>
        <v>0</v>
      </c>
      <c r="L360" s="155">
        <f>SUMIFS('recurring2_based on steps'!$B360:$AY360,'recurring2_based on steps'!$B$1:$AY$1,L$1)+SUMIFS('changes2_based on steps'!$B360:$U360,'changes2_based on steps'!$B$1:$U$1,L$1)</f>
        <v>0</v>
      </c>
      <c r="M360" s="155">
        <f ca="1">SUMIFS('recurring2_based on steps'!$B360:$AY360,'recurring2_based on steps'!$B$1:$AY$1,M$1)+SUMIFS('changes2_based on steps'!$B360:$U360,'changes2_based on steps'!$B$1:$U$1,M$1)</f>
        <v>0</v>
      </c>
      <c r="N360" s="155">
        <f ca="1">SUMIFS('recurring2_based on steps'!$B360:$AY360,'recurring2_based on steps'!$B$1:$AY$1,N$1)+SUMIFS('changes2_based on steps'!$B360:$U360,'changes2_based on steps'!$B$1:$U$1,N$1)</f>
        <v>0</v>
      </c>
      <c r="O360" s="155">
        <f ca="1">SUMIFS('recurring2_based on steps'!$B360:$AY360,'recurring2_based on steps'!$B$1:$AY$1,O$1)+SUMIFS('changes2_based on steps'!$B360:$U360,'changes2_based on steps'!$B$1:$U$1,O$1)</f>
        <v>0</v>
      </c>
      <c r="P360" s="155">
        <f ca="1">SUMIFS('recurring2_based on steps'!$B360:$AY360,'recurring2_based on steps'!$B$1:$AY$1,P$1)+SUMIFS('changes2_based on steps'!$B360:$U360,'changes2_based on steps'!$B$1:$U$1,P$1)</f>
        <v>0</v>
      </c>
      <c r="Q360" s="155">
        <f>SUMIFS('recurring2_based on steps'!$B360:$AY360,'recurring2_based on steps'!$B$1:$AY$1,Q$1)+SUMIFS('changes2_based on steps'!$B360:$U360,'changes2_based on steps'!$B$1:$U$1,Q$1)</f>
        <v>0</v>
      </c>
      <c r="R360" s="155">
        <f ca="1">SUMIFS('recurring2_based on steps'!$B360:$AY360,'recurring2_based on steps'!$B$1:$AY$1,R$1)+SUMIFS('changes2_based on steps'!$B360:$U360,'changes2_based on steps'!$B$1:$U$1,R$1)</f>
        <v>100</v>
      </c>
      <c r="S360" s="155">
        <f ca="1">SUMIFS('recurring2_based on steps'!$B360:$AY360,'recurring2_based on steps'!$B$1:$AY$1,S$1)+SUMIFS('changes2_based on steps'!$B360:$U360,'changes2_based on steps'!$B$1:$U$1,S$1)</f>
        <v>100</v>
      </c>
      <c r="T360" s="155">
        <f>SUMIFS('recurring2_based on steps'!$B360:$AY360,'recurring2_based on steps'!$B$1:$AY$1,T$1)+SUMIFS('changes2_based on steps'!$B360:$U360,'changes2_based on steps'!$B$1:$U$1,T$1)</f>
        <v>0</v>
      </c>
      <c r="U360" s="155">
        <f ca="1">SUMIFS('recurring2_based on steps'!$B360:$AY360,'recurring2_based on steps'!$B$1:$AY$1,U$1)+SUMIFS('changes2_based on steps'!$B360:$U360,'changes2_based on steps'!$B$1:$U$1,U$1)</f>
        <v>0</v>
      </c>
      <c r="V360" s="155">
        <f>SUMIFS('recurring2_based on steps'!$B360:$AY360,'recurring2_based on steps'!$B$1:$AY$1,V$1)+SUMIFS('changes2_based on steps'!$B360:$U360,'changes2_based on steps'!$B$1:$U$1,V$1)</f>
        <v>0</v>
      </c>
      <c r="W360" s="155">
        <f ca="1">SUMIFS('recurring2_based on steps'!$B360:$AY360,'recurring2_based on steps'!$B$1:$AY$1,W$1)+SUMIFS('changes2_based on steps'!$B360:$U360,'changes2_based on steps'!$B$1:$U$1,W$1)</f>
        <v>0</v>
      </c>
      <c r="X360" s="155">
        <f ca="1">SUMIFS('recurring2_based on steps'!$B360:$AY360,'recurring2_based on steps'!$B$1:$AY$1,X$1)+SUMIFS('changes2_based on steps'!$B360:$U360,'changes2_based on steps'!$B$1:$U$1,X$1)</f>
        <v>0</v>
      </c>
      <c r="Y360" s="155">
        <f ca="1">SUMIFS('recurring2_based on steps'!$B360:$AY360,'recurring2_based on steps'!$B$1:$AY$1,Y$1)+SUMIFS('changes2_based on steps'!$B360:$U360,'changes2_based on steps'!$B$1:$U$1,Y$1)</f>
        <v>0</v>
      </c>
      <c r="Z360" s="155">
        <f>SUMIFS('recurring2_based on steps'!$B360:$AY360,'recurring2_based on steps'!$B$1:$AY$1,Z$1)+SUMIFS('changes2_based on steps'!$B360:$U360,'changes2_based on steps'!$B$1:$U$1,Z$1)</f>
        <v>0</v>
      </c>
      <c r="AA360" s="155">
        <f>SUMIFS('recurring2_based on steps'!$B360:$AY360,'recurring2_based on steps'!$B$1:$AY$1,AA$1)+SUMIFS('changes2_based on steps'!$B360:$U360,'changes2_based on steps'!$B$1:$U$1,AA$1)</f>
        <v>0</v>
      </c>
    </row>
    <row r="361" spans="1:27" x14ac:dyDescent="0.2">
      <c r="A361" s="18">
        <f t="shared" ca="1" si="5"/>
        <v>46047</v>
      </c>
      <c r="B361" s="155">
        <f ca="1">SUMIFS('recurring2_based on steps'!$B361:$AY361,'recurring2_based on steps'!$B$1:$AY$1,B$1)+SUMIFS('changes2_based on steps'!$B361:$U361,'changes2_based on steps'!$B$1:$U$1,B$1)</f>
        <v>0</v>
      </c>
      <c r="C361" s="155">
        <f>SUMIFS('recurring2_based on steps'!$B361:$AY361,'recurring2_based on steps'!$B$1:$AY$1,C$1)+SUMIFS('changes2_based on steps'!$B361:$U361,'changes2_based on steps'!$B$1:$U$1,C$1)</f>
        <v>0</v>
      </c>
      <c r="D361" s="155">
        <f>SUMIFS('recurring2_based on steps'!$B361:$AY361,'recurring2_based on steps'!$B$1:$AY$1,D$1)+SUMIFS('changes2_based on steps'!$B361:$U361,'changes2_based on steps'!$B$1:$U$1,D$1)</f>
        <v>0</v>
      </c>
      <c r="E361" s="155">
        <f>SUMIFS('recurring2_based on steps'!$B361:$AY361,'recurring2_based on steps'!$B$1:$AY$1,E$1)+SUMIFS('changes2_based on steps'!$B361:$U361,'changes2_based on steps'!$B$1:$U$1,E$1)</f>
        <v>0</v>
      </c>
      <c r="F361" s="155">
        <f>SUMIFS('recurring2_based on steps'!$B361:$AY361,'recurring2_based on steps'!$B$1:$AY$1,F$1)+SUMIFS('changes2_based on steps'!$B361:$U361,'changes2_based on steps'!$B$1:$U$1,F$1)</f>
        <v>0</v>
      </c>
      <c r="G361" s="155">
        <f>SUMIFS('recurring2_based on steps'!$B361:$AY361,'recurring2_based on steps'!$B$1:$AY$1,G$1)+SUMIFS('changes2_based on steps'!$B361:$U361,'changes2_based on steps'!$B$1:$U$1,G$1)</f>
        <v>0</v>
      </c>
      <c r="H361" s="155">
        <f ca="1">SUMIFS('recurring2_based on steps'!$B361:$AY361,'recurring2_based on steps'!$B$1:$AY$1,H$1)+SUMIFS('changes2_based on steps'!$B361:$U361,'changes2_based on steps'!$B$1:$U$1,H$1)</f>
        <v>0</v>
      </c>
      <c r="I361" s="155">
        <f>SUMIFS('recurring2_based on steps'!$B361:$AY361,'recurring2_based on steps'!$B$1:$AY$1,I$1)+SUMIFS('changes2_based on steps'!$B361:$U361,'changes2_based on steps'!$B$1:$U$1,I$1)</f>
        <v>0</v>
      </c>
      <c r="J361" s="155">
        <f>SUMIFS('recurring2_based on steps'!$B361:$AY361,'recurring2_based on steps'!$B$1:$AY$1,J$1)+SUMIFS('changes2_based on steps'!$B361:$U361,'changes2_based on steps'!$B$1:$U$1,J$1)</f>
        <v>0</v>
      </c>
      <c r="K361" s="155">
        <f>SUMIFS('recurring2_based on steps'!$B361:$AY361,'recurring2_based on steps'!$B$1:$AY$1,K$1)+SUMIFS('changes2_based on steps'!$B361:$U361,'changes2_based on steps'!$B$1:$U$1,K$1)</f>
        <v>0</v>
      </c>
      <c r="L361" s="155">
        <f>SUMIFS('recurring2_based on steps'!$B361:$AY361,'recurring2_based on steps'!$B$1:$AY$1,L$1)+SUMIFS('changes2_based on steps'!$B361:$U361,'changes2_based on steps'!$B$1:$U$1,L$1)</f>
        <v>0</v>
      </c>
      <c r="M361" s="155">
        <f ca="1">SUMIFS('recurring2_based on steps'!$B361:$AY361,'recurring2_based on steps'!$B$1:$AY$1,M$1)+SUMIFS('changes2_based on steps'!$B361:$U361,'changes2_based on steps'!$B$1:$U$1,M$1)</f>
        <v>0</v>
      </c>
      <c r="N361" s="155">
        <f ca="1">SUMIFS('recurring2_based on steps'!$B361:$AY361,'recurring2_based on steps'!$B$1:$AY$1,N$1)+SUMIFS('changes2_based on steps'!$B361:$U361,'changes2_based on steps'!$B$1:$U$1,N$1)</f>
        <v>50</v>
      </c>
      <c r="O361" s="155">
        <f ca="1">SUMIFS('recurring2_based on steps'!$B361:$AY361,'recurring2_based on steps'!$B$1:$AY$1,O$1)+SUMIFS('changes2_based on steps'!$B361:$U361,'changes2_based on steps'!$B$1:$U$1,O$1)</f>
        <v>0</v>
      </c>
      <c r="P361" s="155">
        <f ca="1">SUMIFS('recurring2_based on steps'!$B361:$AY361,'recurring2_based on steps'!$B$1:$AY$1,P$1)+SUMIFS('changes2_based on steps'!$B361:$U361,'changes2_based on steps'!$B$1:$U$1,P$1)</f>
        <v>0</v>
      </c>
      <c r="Q361" s="155">
        <f>SUMIFS('recurring2_based on steps'!$B361:$AY361,'recurring2_based on steps'!$B$1:$AY$1,Q$1)+SUMIFS('changes2_based on steps'!$B361:$U361,'changes2_based on steps'!$B$1:$U$1,Q$1)</f>
        <v>0</v>
      </c>
      <c r="R361" s="155">
        <f ca="1">SUMIFS('recurring2_based on steps'!$B361:$AY361,'recurring2_based on steps'!$B$1:$AY$1,R$1)+SUMIFS('changes2_based on steps'!$B361:$U361,'changes2_based on steps'!$B$1:$U$1,R$1)</f>
        <v>0</v>
      </c>
      <c r="S361" s="155">
        <f ca="1">SUMIFS('recurring2_based on steps'!$B361:$AY361,'recurring2_based on steps'!$B$1:$AY$1,S$1)+SUMIFS('changes2_based on steps'!$B361:$U361,'changes2_based on steps'!$B$1:$U$1,S$1)</f>
        <v>100</v>
      </c>
      <c r="T361" s="155">
        <f>SUMIFS('recurring2_based on steps'!$B361:$AY361,'recurring2_based on steps'!$B$1:$AY$1,T$1)+SUMIFS('changes2_based on steps'!$B361:$U361,'changes2_based on steps'!$B$1:$U$1,T$1)</f>
        <v>0</v>
      </c>
      <c r="U361" s="155">
        <f ca="1">SUMIFS('recurring2_based on steps'!$B361:$AY361,'recurring2_based on steps'!$B$1:$AY$1,U$1)+SUMIFS('changes2_based on steps'!$B361:$U361,'changes2_based on steps'!$B$1:$U$1,U$1)</f>
        <v>0</v>
      </c>
      <c r="V361" s="155">
        <f>SUMIFS('recurring2_based on steps'!$B361:$AY361,'recurring2_based on steps'!$B$1:$AY$1,V$1)+SUMIFS('changes2_based on steps'!$B361:$U361,'changes2_based on steps'!$B$1:$U$1,V$1)</f>
        <v>0</v>
      </c>
      <c r="W361" s="155">
        <f ca="1">SUMIFS('recurring2_based on steps'!$B361:$AY361,'recurring2_based on steps'!$B$1:$AY$1,W$1)+SUMIFS('changes2_based on steps'!$B361:$U361,'changes2_based on steps'!$B$1:$U$1,W$1)</f>
        <v>0</v>
      </c>
      <c r="X361" s="155">
        <f ca="1">SUMIFS('recurring2_based on steps'!$B361:$AY361,'recurring2_based on steps'!$B$1:$AY$1,X$1)+SUMIFS('changes2_based on steps'!$B361:$U361,'changes2_based on steps'!$B$1:$U$1,X$1)</f>
        <v>0</v>
      </c>
      <c r="Y361" s="155">
        <f ca="1">SUMIFS('recurring2_based on steps'!$B361:$AY361,'recurring2_based on steps'!$B$1:$AY$1,Y$1)+SUMIFS('changes2_based on steps'!$B361:$U361,'changes2_based on steps'!$B$1:$U$1,Y$1)</f>
        <v>0</v>
      </c>
      <c r="Z361" s="155">
        <f>SUMIFS('recurring2_based on steps'!$B361:$AY361,'recurring2_based on steps'!$B$1:$AY$1,Z$1)+SUMIFS('changes2_based on steps'!$B361:$U361,'changes2_based on steps'!$B$1:$U$1,Z$1)</f>
        <v>0</v>
      </c>
      <c r="AA361" s="155">
        <f>SUMIFS('recurring2_based on steps'!$B361:$AY361,'recurring2_based on steps'!$B$1:$AY$1,AA$1)+SUMIFS('changes2_based on steps'!$B361:$U361,'changes2_based on steps'!$B$1:$U$1,AA$1)</f>
        <v>0</v>
      </c>
    </row>
    <row r="362" spans="1:27" x14ac:dyDescent="0.2">
      <c r="A362" s="18">
        <f t="shared" ca="1" si="5"/>
        <v>46048</v>
      </c>
      <c r="B362" s="155">
        <f ca="1">SUMIFS('recurring2_based on steps'!$B362:$AY362,'recurring2_based on steps'!$B$1:$AY$1,B$1)+SUMIFS('changes2_based on steps'!$B362:$U362,'changes2_based on steps'!$B$1:$U$1,B$1)</f>
        <v>0</v>
      </c>
      <c r="C362" s="155">
        <f>SUMIFS('recurring2_based on steps'!$B362:$AY362,'recurring2_based on steps'!$B$1:$AY$1,C$1)+SUMIFS('changes2_based on steps'!$B362:$U362,'changes2_based on steps'!$B$1:$U$1,C$1)</f>
        <v>0</v>
      </c>
      <c r="D362" s="155">
        <f>SUMIFS('recurring2_based on steps'!$B362:$AY362,'recurring2_based on steps'!$B$1:$AY$1,D$1)+SUMIFS('changes2_based on steps'!$B362:$U362,'changes2_based on steps'!$B$1:$U$1,D$1)</f>
        <v>0</v>
      </c>
      <c r="E362" s="155">
        <f>SUMIFS('recurring2_based on steps'!$B362:$AY362,'recurring2_based on steps'!$B$1:$AY$1,E$1)+SUMIFS('changes2_based on steps'!$B362:$U362,'changes2_based on steps'!$B$1:$U$1,E$1)</f>
        <v>0</v>
      </c>
      <c r="F362" s="155">
        <f>SUMIFS('recurring2_based on steps'!$B362:$AY362,'recurring2_based on steps'!$B$1:$AY$1,F$1)+SUMIFS('changes2_based on steps'!$B362:$U362,'changes2_based on steps'!$B$1:$U$1,F$1)</f>
        <v>0</v>
      </c>
      <c r="G362" s="155">
        <f>SUMIFS('recurring2_based on steps'!$B362:$AY362,'recurring2_based on steps'!$B$1:$AY$1,G$1)+SUMIFS('changes2_based on steps'!$B362:$U362,'changes2_based on steps'!$B$1:$U$1,G$1)</f>
        <v>0</v>
      </c>
      <c r="H362" s="155">
        <f ca="1">SUMIFS('recurring2_based on steps'!$B362:$AY362,'recurring2_based on steps'!$B$1:$AY$1,H$1)+SUMIFS('changes2_based on steps'!$B362:$U362,'changes2_based on steps'!$B$1:$U$1,H$1)</f>
        <v>0</v>
      </c>
      <c r="I362" s="155">
        <f>SUMIFS('recurring2_based on steps'!$B362:$AY362,'recurring2_based on steps'!$B$1:$AY$1,I$1)+SUMIFS('changes2_based on steps'!$B362:$U362,'changes2_based on steps'!$B$1:$U$1,I$1)</f>
        <v>0</v>
      </c>
      <c r="J362" s="155">
        <f>SUMIFS('recurring2_based on steps'!$B362:$AY362,'recurring2_based on steps'!$B$1:$AY$1,J$1)+SUMIFS('changes2_based on steps'!$B362:$U362,'changes2_based on steps'!$B$1:$U$1,J$1)</f>
        <v>0</v>
      </c>
      <c r="K362" s="155">
        <f>SUMIFS('recurring2_based on steps'!$B362:$AY362,'recurring2_based on steps'!$B$1:$AY$1,K$1)+SUMIFS('changes2_based on steps'!$B362:$U362,'changes2_based on steps'!$B$1:$U$1,K$1)</f>
        <v>0</v>
      </c>
      <c r="L362" s="155">
        <f>SUMIFS('recurring2_based on steps'!$B362:$AY362,'recurring2_based on steps'!$B$1:$AY$1,L$1)+SUMIFS('changes2_based on steps'!$B362:$U362,'changes2_based on steps'!$B$1:$U$1,L$1)</f>
        <v>0</v>
      </c>
      <c r="M362" s="155">
        <f ca="1">SUMIFS('recurring2_based on steps'!$B362:$AY362,'recurring2_based on steps'!$B$1:$AY$1,M$1)+SUMIFS('changes2_based on steps'!$B362:$U362,'changes2_based on steps'!$B$1:$U$1,M$1)</f>
        <v>0</v>
      </c>
      <c r="N362" s="155">
        <f ca="1">SUMIFS('recurring2_based on steps'!$B362:$AY362,'recurring2_based on steps'!$B$1:$AY$1,N$1)+SUMIFS('changes2_based on steps'!$B362:$U362,'changes2_based on steps'!$B$1:$U$1,N$1)</f>
        <v>0</v>
      </c>
      <c r="O362" s="155">
        <f ca="1">SUMIFS('recurring2_based on steps'!$B362:$AY362,'recurring2_based on steps'!$B$1:$AY$1,O$1)+SUMIFS('changes2_based on steps'!$B362:$U362,'changes2_based on steps'!$B$1:$U$1,O$1)</f>
        <v>0</v>
      </c>
      <c r="P362" s="155">
        <f ca="1">SUMIFS('recurring2_based on steps'!$B362:$AY362,'recurring2_based on steps'!$B$1:$AY$1,P$1)+SUMIFS('changes2_based on steps'!$B362:$U362,'changes2_based on steps'!$B$1:$U$1,P$1)</f>
        <v>50</v>
      </c>
      <c r="Q362" s="155">
        <f>SUMIFS('recurring2_based on steps'!$B362:$AY362,'recurring2_based on steps'!$B$1:$AY$1,Q$1)+SUMIFS('changes2_based on steps'!$B362:$U362,'changes2_based on steps'!$B$1:$U$1,Q$1)</f>
        <v>0</v>
      </c>
      <c r="R362" s="155">
        <f ca="1">SUMIFS('recurring2_based on steps'!$B362:$AY362,'recurring2_based on steps'!$B$1:$AY$1,R$1)+SUMIFS('changes2_based on steps'!$B362:$U362,'changes2_based on steps'!$B$1:$U$1,R$1)</f>
        <v>0</v>
      </c>
      <c r="S362" s="155">
        <f ca="1">SUMIFS('recurring2_based on steps'!$B362:$AY362,'recurring2_based on steps'!$B$1:$AY$1,S$1)+SUMIFS('changes2_based on steps'!$B362:$U362,'changes2_based on steps'!$B$1:$U$1,S$1)</f>
        <v>0</v>
      </c>
      <c r="T362" s="155">
        <f>SUMIFS('recurring2_based on steps'!$B362:$AY362,'recurring2_based on steps'!$B$1:$AY$1,T$1)+SUMIFS('changes2_based on steps'!$B362:$U362,'changes2_based on steps'!$B$1:$U$1,T$1)</f>
        <v>0</v>
      </c>
      <c r="U362" s="155">
        <f ca="1">SUMIFS('recurring2_based on steps'!$B362:$AY362,'recurring2_based on steps'!$B$1:$AY$1,U$1)+SUMIFS('changes2_based on steps'!$B362:$U362,'changes2_based on steps'!$B$1:$U$1,U$1)</f>
        <v>0</v>
      </c>
      <c r="V362" s="155">
        <f>SUMIFS('recurring2_based on steps'!$B362:$AY362,'recurring2_based on steps'!$B$1:$AY$1,V$1)+SUMIFS('changes2_based on steps'!$B362:$U362,'changes2_based on steps'!$B$1:$U$1,V$1)</f>
        <v>0</v>
      </c>
      <c r="W362" s="155">
        <f ca="1">SUMIFS('recurring2_based on steps'!$B362:$AY362,'recurring2_based on steps'!$B$1:$AY$1,W$1)+SUMIFS('changes2_based on steps'!$B362:$U362,'changes2_based on steps'!$B$1:$U$1,W$1)</f>
        <v>0</v>
      </c>
      <c r="X362" s="155">
        <f ca="1">SUMIFS('recurring2_based on steps'!$B362:$AY362,'recurring2_based on steps'!$B$1:$AY$1,X$1)+SUMIFS('changes2_based on steps'!$B362:$U362,'changes2_based on steps'!$B$1:$U$1,X$1)</f>
        <v>0</v>
      </c>
      <c r="Y362" s="155">
        <f ca="1">SUMIFS('recurring2_based on steps'!$B362:$AY362,'recurring2_based on steps'!$B$1:$AY$1,Y$1)+SUMIFS('changes2_based on steps'!$B362:$U362,'changes2_based on steps'!$B$1:$U$1,Y$1)</f>
        <v>0</v>
      </c>
      <c r="Z362" s="155">
        <f>SUMIFS('recurring2_based on steps'!$B362:$AY362,'recurring2_based on steps'!$B$1:$AY$1,Z$1)+SUMIFS('changes2_based on steps'!$B362:$U362,'changes2_based on steps'!$B$1:$U$1,Z$1)</f>
        <v>0</v>
      </c>
      <c r="AA362" s="155">
        <f>SUMIFS('recurring2_based on steps'!$B362:$AY362,'recurring2_based on steps'!$B$1:$AY$1,AA$1)+SUMIFS('changes2_based on steps'!$B362:$U362,'changes2_based on steps'!$B$1:$U$1,AA$1)</f>
        <v>0</v>
      </c>
    </row>
    <row r="363" spans="1:27" x14ac:dyDescent="0.2">
      <c r="A363" s="18">
        <f t="shared" ca="1" si="5"/>
        <v>46049</v>
      </c>
      <c r="B363" s="155">
        <f ca="1">SUMIFS('recurring2_based on steps'!$B363:$AY363,'recurring2_based on steps'!$B$1:$AY$1,B$1)+SUMIFS('changes2_based on steps'!$B363:$U363,'changes2_based on steps'!$B$1:$U$1,B$1)</f>
        <v>0</v>
      </c>
      <c r="C363" s="155">
        <f>SUMIFS('recurring2_based on steps'!$B363:$AY363,'recurring2_based on steps'!$B$1:$AY$1,C$1)+SUMIFS('changes2_based on steps'!$B363:$U363,'changes2_based on steps'!$B$1:$U$1,C$1)</f>
        <v>0</v>
      </c>
      <c r="D363" s="155">
        <f>SUMIFS('recurring2_based on steps'!$B363:$AY363,'recurring2_based on steps'!$B$1:$AY$1,D$1)+SUMIFS('changes2_based on steps'!$B363:$U363,'changes2_based on steps'!$B$1:$U$1,D$1)</f>
        <v>0</v>
      </c>
      <c r="E363" s="155">
        <f>SUMIFS('recurring2_based on steps'!$B363:$AY363,'recurring2_based on steps'!$B$1:$AY$1,E$1)+SUMIFS('changes2_based on steps'!$B363:$U363,'changes2_based on steps'!$B$1:$U$1,E$1)</f>
        <v>0</v>
      </c>
      <c r="F363" s="155">
        <f>SUMIFS('recurring2_based on steps'!$B363:$AY363,'recurring2_based on steps'!$B$1:$AY$1,F$1)+SUMIFS('changes2_based on steps'!$B363:$U363,'changes2_based on steps'!$B$1:$U$1,F$1)</f>
        <v>0</v>
      </c>
      <c r="G363" s="155">
        <f>SUMIFS('recurring2_based on steps'!$B363:$AY363,'recurring2_based on steps'!$B$1:$AY$1,G$1)+SUMIFS('changes2_based on steps'!$B363:$U363,'changes2_based on steps'!$B$1:$U$1,G$1)</f>
        <v>0</v>
      </c>
      <c r="H363" s="155">
        <f ca="1">SUMIFS('recurring2_based on steps'!$B363:$AY363,'recurring2_based on steps'!$B$1:$AY$1,H$1)+SUMIFS('changes2_based on steps'!$B363:$U363,'changes2_based on steps'!$B$1:$U$1,H$1)</f>
        <v>0</v>
      </c>
      <c r="I363" s="155">
        <f>SUMIFS('recurring2_based on steps'!$B363:$AY363,'recurring2_based on steps'!$B$1:$AY$1,I$1)+SUMIFS('changes2_based on steps'!$B363:$U363,'changes2_based on steps'!$B$1:$U$1,I$1)</f>
        <v>0</v>
      </c>
      <c r="J363" s="155">
        <f>SUMIFS('recurring2_based on steps'!$B363:$AY363,'recurring2_based on steps'!$B$1:$AY$1,J$1)+SUMIFS('changes2_based on steps'!$B363:$U363,'changes2_based on steps'!$B$1:$U$1,J$1)</f>
        <v>0</v>
      </c>
      <c r="K363" s="155">
        <f>SUMIFS('recurring2_based on steps'!$B363:$AY363,'recurring2_based on steps'!$B$1:$AY$1,K$1)+SUMIFS('changes2_based on steps'!$B363:$U363,'changes2_based on steps'!$B$1:$U$1,K$1)</f>
        <v>0</v>
      </c>
      <c r="L363" s="155">
        <f>SUMIFS('recurring2_based on steps'!$B363:$AY363,'recurring2_based on steps'!$B$1:$AY$1,L$1)+SUMIFS('changes2_based on steps'!$B363:$U363,'changes2_based on steps'!$B$1:$U$1,L$1)</f>
        <v>0</v>
      </c>
      <c r="M363" s="155">
        <f ca="1">SUMIFS('recurring2_based on steps'!$B363:$AY363,'recurring2_based on steps'!$B$1:$AY$1,M$1)+SUMIFS('changes2_based on steps'!$B363:$U363,'changes2_based on steps'!$B$1:$U$1,M$1)</f>
        <v>0</v>
      </c>
      <c r="N363" s="155">
        <f ca="1">SUMIFS('recurring2_based on steps'!$B363:$AY363,'recurring2_based on steps'!$B$1:$AY$1,N$1)+SUMIFS('changes2_based on steps'!$B363:$U363,'changes2_based on steps'!$B$1:$U$1,N$1)</f>
        <v>0</v>
      </c>
      <c r="O363" s="155">
        <f ca="1">SUMIFS('recurring2_based on steps'!$B363:$AY363,'recurring2_based on steps'!$B$1:$AY$1,O$1)+SUMIFS('changes2_based on steps'!$B363:$U363,'changes2_based on steps'!$B$1:$U$1,O$1)</f>
        <v>0</v>
      </c>
      <c r="P363" s="155">
        <f ca="1">SUMIFS('recurring2_based on steps'!$B363:$AY363,'recurring2_based on steps'!$B$1:$AY$1,P$1)+SUMIFS('changes2_based on steps'!$B363:$U363,'changes2_based on steps'!$B$1:$U$1,P$1)</f>
        <v>0</v>
      </c>
      <c r="Q363" s="155">
        <f>SUMIFS('recurring2_based on steps'!$B363:$AY363,'recurring2_based on steps'!$B$1:$AY$1,Q$1)+SUMIFS('changes2_based on steps'!$B363:$U363,'changes2_based on steps'!$B$1:$U$1,Q$1)</f>
        <v>0</v>
      </c>
      <c r="R363" s="155">
        <f ca="1">SUMIFS('recurring2_based on steps'!$B363:$AY363,'recurring2_based on steps'!$B$1:$AY$1,R$1)+SUMIFS('changes2_based on steps'!$B363:$U363,'changes2_based on steps'!$B$1:$U$1,R$1)</f>
        <v>0</v>
      </c>
      <c r="S363" s="155">
        <f ca="1">SUMIFS('recurring2_based on steps'!$B363:$AY363,'recurring2_based on steps'!$B$1:$AY$1,S$1)+SUMIFS('changes2_based on steps'!$B363:$U363,'changes2_based on steps'!$B$1:$U$1,S$1)</f>
        <v>0</v>
      </c>
      <c r="T363" s="155">
        <f>SUMIFS('recurring2_based on steps'!$B363:$AY363,'recurring2_based on steps'!$B$1:$AY$1,T$1)+SUMIFS('changes2_based on steps'!$B363:$U363,'changes2_based on steps'!$B$1:$U$1,T$1)</f>
        <v>0</v>
      </c>
      <c r="U363" s="155">
        <f ca="1">SUMIFS('recurring2_based on steps'!$B363:$AY363,'recurring2_based on steps'!$B$1:$AY$1,U$1)+SUMIFS('changes2_based on steps'!$B363:$U363,'changes2_based on steps'!$B$1:$U$1,U$1)</f>
        <v>2.99</v>
      </c>
      <c r="V363" s="155">
        <f>SUMIFS('recurring2_based on steps'!$B363:$AY363,'recurring2_based on steps'!$B$1:$AY$1,V$1)+SUMIFS('changes2_based on steps'!$B363:$U363,'changes2_based on steps'!$B$1:$U$1,V$1)</f>
        <v>0</v>
      </c>
      <c r="W363" s="155">
        <f ca="1">SUMIFS('recurring2_based on steps'!$B363:$AY363,'recurring2_based on steps'!$B$1:$AY$1,W$1)+SUMIFS('changes2_based on steps'!$B363:$U363,'changes2_based on steps'!$B$1:$U$1,W$1)</f>
        <v>0</v>
      </c>
      <c r="X363" s="155">
        <f ca="1">SUMIFS('recurring2_based on steps'!$B363:$AY363,'recurring2_based on steps'!$B$1:$AY$1,X$1)+SUMIFS('changes2_based on steps'!$B363:$U363,'changes2_based on steps'!$B$1:$U$1,X$1)</f>
        <v>0</v>
      </c>
      <c r="Y363" s="155">
        <f ca="1">SUMIFS('recurring2_based on steps'!$B363:$AY363,'recurring2_based on steps'!$B$1:$AY$1,Y$1)+SUMIFS('changes2_based on steps'!$B363:$U363,'changes2_based on steps'!$B$1:$U$1,Y$1)</f>
        <v>0</v>
      </c>
      <c r="Z363" s="155">
        <f>SUMIFS('recurring2_based on steps'!$B363:$AY363,'recurring2_based on steps'!$B$1:$AY$1,Z$1)+SUMIFS('changes2_based on steps'!$B363:$U363,'changes2_based on steps'!$B$1:$U$1,Z$1)</f>
        <v>0</v>
      </c>
      <c r="AA363" s="155">
        <f>SUMIFS('recurring2_based on steps'!$B363:$AY363,'recurring2_based on steps'!$B$1:$AY$1,AA$1)+SUMIFS('changes2_based on steps'!$B363:$U363,'changes2_based on steps'!$B$1:$U$1,AA$1)</f>
        <v>0</v>
      </c>
    </row>
    <row r="364" spans="1:27" x14ac:dyDescent="0.2">
      <c r="A364" s="18">
        <f t="shared" ca="1" si="5"/>
        <v>46050</v>
      </c>
      <c r="B364" s="155">
        <f ca="1">SUMIFS('recurring2_based on steps'!$B364:$AY364,'recurring2_based on steps'!$B$1:$AY$1,B$1)+SUMIFS('changes2_based on steps'!$B364:$U364,'changes2_based on steps'!$B$1:$U$1,B$1)</f>
        <v>100</v>
      </c>
      <c r="C364" s="155">
        <f>SUMIFS('recurring2_based on steps'!$B364:$AY364,'recurring2_based on steps'!$B$1:$AY$1,C$1)+SUMIFS('changes2_based on steps'!$B364:$U364,'changes2_based on steps'!$B$1:$U$1,C$1)</f>
        <v>0</v>
      </c>
      <c r="D364" s="155">
        <f>SUMIFS('recurring2_based on steps'!$B364:$AY364,'recurring2_based on steps'!$B$1:$AY$1,D$1)+SUMIFS('changes2_based on steps'!$B364:$U364,'changes2_based on steps'!$B$1:$U$1,D$1)</f>
        <v>0</v>
      </c>
      <c r="E364" s="155">
        <f>SUMIFS('recurring2_based on steps'!$B364:$AY364,'recurring2_based on steps'!$B$1:$AY$1,E$1)+SUMIFS('changes2_based on steps'!$B364:$U364,'changes2_based on steps'!$B$1:$U$1,E$1)</f>
        <v>0</v>
      </c>
      <c r="F364" s="155">
        <f>SUMIFS('recurring2_based on steps'!$B364:$AY364,'recurring2_based on steps'!$B$1:$AY$1,F$1)+SUMIFS('changes2_based on steps'!$B364:$U364,'changes2_based on steps'!$B$1:$U$1,F$1)</f>
        <v>0</v>
      </c>
      <c r="G364" s="155">
        <f>SUMIFS('recurring2_based on steps'!$B364:$AY364,'recurring2_based on steps'!$B$1:$AY$1,G$1)+SUMIFS('changes2_based on steps'!$B364:$U364,'changes2_based on steps'!$B$1:$U$1,G$1)</f>
        <v>0</v>
      </c>
      <c r="H364" s="155">
        <f ca="1">SUMIFS('recurring2_based on steps'!$B364:$AY364,'recurring2_based on steps'!$B$1:$AY$1,H$1)+SUMIFS('changes2_based on steps'!$B364:$U364,'changes2_based on steps'!$B$1:$U$1,H$1)</f>
        <v>0</v>
      </c>
      <c r="I364" s="155">
        <f>SUMIFS('recurring2_based on steps'!$B364:$AY364,'recurring2_based on steps'!$B$1:$AY$1,I$1)+SUMIFS('changes2_based on steps'!$B364:$U364,'changes2_based on steps'!$B$1:$U$1,I$1)</f>
        <v>0</v>
      </c>
      <c r="J364" s="155">
        <f>SUMIFS('recurring2_based on steps'!$B364:$AY364,'recurring2_based on steps'!$B$1:$AY$1,J$1)+SUMIFS('changes2_based on steps'!$B364:$U364,'changes2_based on steps'!$B$1:$U$1,J$1)</f>
        <v>0</v>
      </c>
      <c r="K364" s="155">
        <f>SUMIFS('recurring2_based on steps'!$B364:$AY364,'recurring2_based on steps'!$B$1:$AY$1,K$1)+SUMIFS('changes2_based on steps'!$B364:$U364,'changes2_based on steps'!$B$1:$U$1,K$1)</f>
        <v>0</v>
      </c>
      <c r="L364" s="155">
        <f>SUMIFS('recurring2_based on steps'!$B364:$AY364,'recurring2_based on steps'!$B$1:$AY$1,L$1)+SUMIFS('changes2_based on steps'!$B364:$U364,'changes2_based on steps'!$B$1:$U$1,L$1)</f>
        <v>0</v>
      </c>
      <c r="M364" s="155">
        <f ca="1">SUMIFS('recurring2_based on steps'!$B364:$AY364,'recurring2_based on steps'!$B$1:$AY$1,M$1)+SUMIFS('changes2_based on steps'!$B364:$U364,'changes2_based on steps'!$B$1:$U$1,M$1)</f>
        <v>40</v>
      </c>
      <c r="N364" s="155">
        <f ca="1">SUMIFS('recurring2_based on steps'!$B364:$AY364,'recurring2_based on steps'!$B$1:$AY$1,N$1)+SUMIFS('changes2_based on steps'!$B364:$U364,'changes2_based on steps'!$B$1:$U$1,N$1)</f>
        <v>0</v>
      </c>
      <c r="O364" s="155">
        <f ca="1">SUMIFS('recurring2_based on steps'!$B364:$AY364,'recurring2_based on steps'!$B$1:$AY$1,O$1)+SUMIFS('changes2_based on steps'!$B364:$U364,'changes2_based on steps'!$B$1:$U$1,O$1)</f>
        <v>0</v>
      </c>
      <c r="P364" s="155">
        <f ca="1">SUMIFS('recurring2_based on steps'!$B364:$AY364,'recurring2_based on steps'!$B$1:$AY$1,P$1)+SUMIFS('changes2_based on steps'!$B364:$U364,'changes2_based on steps'!$B$1:$U$1,P$1)</f>
        <v>0</v>
      </c>
      <c r="Q364" s="155">
        <f>SUMIFS('recurring2_based on steps'!$B364:$AY364,'recurring2_based on steps'!$B$1:$AY$1,Q$1)+SUMIFS('changes2_based on steps'!$B364:$U364,'changes2_based on steps'!$B$1:$U$1,Q$1)</f>
        <v>0</v>
      </c>
      <c r="R364" s="155">
        <f ca="1">SUMIFS('recurring2_based on steps'!$B364:$AY364,'recurring2_based on steps'!$B$1:$AY$1,R$1)+SUMIFS('changes2_based on steps'!$B364:$U364,'changes2_based on steps'!$B$1:$U$1,R$1)</f>
        <v>0</v>
      </c>
      <c r="S364" s="155">
        <f ca="1">SUMIFS('recurring2_based on steps'!$B364:$AY364,'recurring2_based on steps'!$B$1:$AY$1,S$1)+SUMIFS('changes2_based on steps'!$B364:$U364,'changes2_based on steps'!$B$1:$U$1,S$1)</f>
        <v>0</v>
      </c>
      <c r="T364" s="155">
        <f>SUMIFS('recurring2_based on steps'!$B364:$AY364,'recurring2_based on steps'!$B$1:$AY$1,T$1)+SUMIFS('changes2_based on steps'!$B364:$U364,'changes2_based on steps'!$B$1:$U$1,T$1)</f>
        <v>0</v>
      </c>
      <c r="U364" s="155">
        <f ca="1">SUMIFS('recurring2_based on steps'!$B364:$AY364,'recurring2_based on steps'!$B$1:$AY$1,U$1)+SUMIFS('changes2_based on steps'!$B364:$U364,'changes2_based on steps'!$B$1:$U$1,U$1)</f>
        <v>0</v>
      </c>
      <c r="V364" s="155">
        <f>SUMIFS('recurring2_based on steps'!$B364:$AY364,'recurring2_based on steps'!$B$1:$AY$1,V$1)+SUMIFS('changes2_based on steps'!$B364:$U364,'changes2_based on steps'!$B$1:$U$1,V$1)</f>
        <v>0</v>
      </c>
      <c r="W364" s="155">
        <f ca="1">SUMIFS('recurring2_based on steps'!$B364:$AY364,'recurring2_based on steps'!$B$1:$AY$1,W$1)+SUMIFS('changes2_based on steps'!$B364:$U364,'changes2_based on steps'!$B$1:$U$1,W$1)</f>
        <v>0</v>
      </c>
      <c r="X364" s="155">
        <f ca="1">SUMIFS('recurring2_based on steps'!$B364:$AY364,'recurring2_based on steps'!$B$1:$AY$1,X$1)+SUMIFS('changes2_based on steps'!$B364:$U364,'changes2_based on steps'!$B$1:$U$1,X$1)</f>
        <v>0</v>
      </c>
      <c r="Y364" s="155">
        <f ca="1">SUMIFS('recurring2_based on steps'!$B364:$AY364,'recurring2_based on steps'!$B$1:$AY$1,Y$1)+SUMIFS('changes2_based on steps'!$B364:$U364,'changes2_based on steps'!$B$1:$U$1,Y$1)</f>
        <v>100</v>
      </c>
      <c r="Z364" s="155">
        <f>SUMIFS('recurring2_based on steps'!$B364:$AY364,'recurring2_based on steps'!$B$1:$AY$1,Z$1)+SUMIFS('changes2_based on steps'!$B364:$U364,'changes2_based on steps'!$B$1:$U$1,Z$1)</f>
        <v>0</v>
      </c>
      <c r="AA364" s="155">
        <f>SUMIFS('recurring2_based on steps'!$B364:$AY364,'recurring2_based on steps'!$B$1:$AY$1,AA$1)+SUMIFS('changes2_based on steps'!$B364:$U364,'changes2_based on steps'!$B$1:$U$1,AA$1)</f>
        <v>0</v>
      </c>
    </row>
    <row r="365" spans="1:27" x14ac:dyDescent="0.2">
      <c r="A365" s="18">
        <f t="shared" ca="1" si="5"/>
        <v>46051</v>
      </c>
      <c r="B365" s="155">
        <f ca="1">SUMIFS('recurring2_based on steps'!$B365:$AY365,'recurring2_based on steps'!$B$1:$AY$1,B$1)+SUMIFS('changes2_based on steps'!$B365:$U365,'changes2_based on steps'!$B$1:$U$1,B$1)</f>
        <v>0</v>
      </c>
      <c r="C365" s="155">
        <f>SUMIFS('recurring2_based on steps'!$B365:$AY365,'recurring2_based on steps'!$B$1:$AY$1,C$1)+SUMIFS('changes2_based on steps'!$B365:$U365,'changes2_based on steps'!$B$1:$U$1,C$1)</f>
        <v>0</v>
      </c>
      <c r="D365" s="155">
        <f>SUMIFS('recurring2_based on steps'!$B365:$AY365,'recurring2_based on steps'!$B$1:$AY$1,D$1)+SUMIFS('changes2_based on steps'!$B365:$U365,'changes2_based on steps'!$B$1:$U$1,D$1)</f>
        <v>0</v>
      </c>
      <c r="E365" s="155">
        <f>SUMIFS('recurring2_based on steps'!$B365:$AY365,'recurring2_based on steps'!$B$1:$AY$1,E$1)+SUMIFS('changes2_based on steps'!$B365:$U365,'changes2_based on steps'!$B$1:$U$1,E$1)</f>
        <v>0</v>
      </c>
      <c r="F365" s="155">
        <f>SUMIFS('recurring2_based on steps'!$B365:$AY365,'recurring2_based on steps'!$B$1:$AY$1,F$1)+SUMIFS('changes2_based on steps'!$B365:$U365,'changes2_based on steps'!$B$1:$U$1,F$1)</f>
        <v>0</v>
      </c>
      <c r="G365" s="155">
        <f>SUMIFS('recurring2_based on steps'!$B365:$AY365,'recurring2_based on steps'!$B$1:$AY$1,G$1)+SUMIFS('changes2_based on steps'!$B365:$U365,'changes2_based on steps'!$B$1:$U$1,G$1)</f>
        <v>0</v>
      </c>
      <c r="H365" s="155">
        <f ca="1">SUMIFS('recurring2_based on steps'!$B365:$AY365,'recurring2_based on steps'!$B$1:$AY$1,H$1)+SUMIFS('changes2_based on steps'!$B365:$U365,'changes2_based on steps'!$B$1:$U$1,H$1)</f>
        <v>0</v>
      </c>
      <c r="I365" s="155">
        <f>SUMIFS('recurring2_based on steps'!$B365:$AY365,'recurring2_based on steps'!$B$1:$AY$1,I$1)+SUMIFS('changes2_based on steps'!$B365:$U365,'changes2_based on steps'!$B$1:$U$1,I$1)</f>
        <v>0</v>
      </c>
      <c r="J365" s="155">
        <f>SUMIFS('recurring2_based on steps'!$B365:$AY365,'recurring2_based on steps'!$B$1:$AY$1,J$1)+SUMIFS('changes2_based on steps'!$B365:$U365,'changes2_based on steps'!$B$1:$U$1,J$1)</f>
        <v>0</v>
      </c>
      <c r="K365" s="155">
        <f>SUMIFS('recurring2_based on steps'!$B365:$AY365,'recurring2_based on steps'!$B$1:$AY$1,K$1)+SUMIFS('changes2_based on steps'!$B365:$U365,'changes2_based on steps'!$B$1:$U$1,K$1)</f>
        <v>0</v>
      </c>
      <c r="L365" s="155">
        <f>SUMIFS('recurring2_based on steps'!$B365:$AY365,'recurring2_based on steps'!$B$1:$AY$1,L$1)+SUMIFS('changes2_based on steps'!$B365:$U365,'changes2_based on steps'!$B$1:$U$1,L$1)</f>
        <v>0</v>
      </c>
      <c r="M365" s="155">
        <f ca="1">SUMIFS('recurring2_based on steps'!$B365:$AY365,'recurring2_based on steps'!$B$1:$AY$1,M$1)+SUMIFS('changes2_based on steps'!$B365:$U365,'changes2_based on steps'!$B$1:$U$1,M$1)</f>
        <v>0</v>
      </c>
      <c r="N365" s="155">
        <f ca="1">SUMIFS('recurring2_based on steps'!$B365:$AY365,'recurring2_based on steps'!$B$1:$AY$1,N$1)+SUMIFS('changes2_based on steps'!$B365:$U365,'changes2_based on steps'!$B$1:$U$1,N$1)</f>
        <v>0</v>
      </c>
      <c r="O365" s="155">
        <f ca="1">SUMIFS('recurring2_based on steps'!$B365:$AY365,'recurring2_based on steps'!$B$1:$AY$1,O$1)+SUMIFS('changes2_based on steps'!$B365:$U365,'changes2_based on steps'!$B$1:$U$1,O$1)</f>
        <v>0</v>
      </c>
      <c r="P365" s="155">
        <f ca="1">SUMIFS('recurring2_based on steps'!$B365:$AY365,'recurring2_based on steps'!$B$1:$AY$1,P$1)+SUMIFS('changes2_based on steps'!$B365:$U365,'changes2_based on steps'!$B$1:$U$1,P$1)</f>
        <v>0</v>
      </c>
      <c r="Q365" s="155">
        <f>SUMIFS('recurring2_based on steps'!$B365:$AY365,'recurring2_based on steps'!$B$1:$AY$1,Q$1)+SUMIFS('changes2_based on steps'!$B365:$U365,'changes2_based on steps'!$B$1:$U$1,Q$1)</f>
        <v>0</v>
      </c>
      <c r="R365" s="155">
        <f ca="1">SUMIFS('recurring2_based on steps'!$B365:$AY365,'recurring2_based on steps'!$B$1:$AY$1,R$1)+SUMIFS('changes2_based on steps'!$B365:$U365,'changes2_based on steps'!$B$1:$U$1,R$1)</f>
        <v>0</v>
      </c>
      <c r="S365" s="155">
        <f ca="1">SUMIFS('recurring2_based on steps'!$B365:$AY365,'recurring2_based on steps'!$B$1:$AY$1,S$1)+SUMIFS('changes2_based on steps'!$B365:$U365,'changes2_based on steps'!$B$1:$U$1,S$1)</f>
        <v>0</v>
      </c>
      <c r="T365" s="155">
        <f>SUMIFS('recurring2_based on steps'!$B365:$AY365,'recurring2_based on steps'!$B$1:$AY$1,T$1)+SUMIFS('changes2_based on steps'!$B365:$U365,'changes2_based on steps'!$B$1:$U$1,T$1)</f>
        <v>0</v>
      </c>
      <c r="U365" s="155">
        <f ca="1">SUMIFS('recurring2_based on steps'!$B365:$AY365,'recurring2_based on steps'!$B$1:$AY$1,U$1)+SUMIFS('changes2_based on steps'!$B365:$U365,'changes2_based on steps'!$B$1:$U$1,U$1)</f>
        <v>0</v>
      </c>
      <c r="V365" s="155">
        <f>SUMIFS('recurring2_based on steps'!$B365:$AY365,'recurring2_based on steps'!$B$1:$AY$1,V$1)+SUMIFS('changes2_based on steps'!$B365:$U365,'changes2_based on steps'!$B$1:$U$1,V$1)</f>
        <v>0</v>
      </c>
      <c r="W365" s="155">
        <f ca="1">SUMIFS('recurring2_based on steps'!$B365:$AY365,'recurring2_based on steps'!$B$1:$AY$1,W$1)+SUMIFS('changes2_based on steps'!$B365:$U365,'changes2_based on steps'!$B$1:$U$1,W$1)</f>
        <v>0</v>
      </c>
      <c r="X365" s="155">
        <f ca="1">SUMIFS('recurring2_based on steps'!$B365:$AY365,'recurring2_based on steps'!$B$1:$AY$1,X$1)+SUMIFS('changes2_based on steps'!$B365:$U365,'changes2_based on steps'!$B$1:$U$1,X$1)</f>
        <v>0</v>
      </c>
      <c r="Y365" s="155">
        <f ca="1">SUMIFS('recurring2_based on steps'!$B365:$AY365,'recurring2_based on steps'!$B$1:$AY$1,Y$1)+SUMIFS('changes2_based on steps'!$B365:$U365,'changes2_based on steps'!$B$1:$U$1,Y$1)</f>
        <v>0</v>
      </c>
      <c r="Z365" s="155">
        <f>SUMIFS('recurring2_based on steps'!$B365:$AY365,'recurring2_based on steps'!$B$1:$AY$1,Z$1)+SUMIFS('changes2_based on steps'!$B365:$U365,'changes2_based on steps'!$B$1:$U$1,Z$1)</f>
        <v>0</v>
      </c>
      <c r="AA365" s="155">
        <f>SUMIFS('recurring2_based on steps'!$B365:$AY365,'recurring2_based on steps'!$B$1:$AY$1,AA$1)+SUMIFS('changes2_based on steps'!$B365:$U365,'changes2_based on steps'!$B$1:$U$1,AA$1)</f>
        <v>0</v>
      </c>
    </row>
    <row r="366" spans="1:27" x14ac:dyDescent="0.2">
      <c r="A366" s="18">
        <f t="shared" ca="1" si="5"/>
        <v>46052</v>
      </c>
      <c r="B366" s="155">
        <f ca="1">SUMIFS('recurring2_based on steps'!$B366:$AY366,'recurring2_based on steps'!$B$1:$AY$1,B$1)+SUMIFS('changes2_based on steps'!$B366:$U366,'changes2_based on steps'!$B$1:$U$1,B$1)</f>
        <v>0</v>
      </c>
      <c r="C366" s="155">
        <f>SUMIFS('recurring2_based on steps'!$B366:$AY366,'recurring2_based on steps'!$B$1:$AY$1,C$1)+SUMIFS('changes2_based on steps'!$B366:$U366,'changes2_based on steps'!$B$1:$U$1,C$1)</f>
        <v>0</v>
      </c>
      <c r="D366" s="155">
        <f>SUMIFS('recurring2_based on steps'!$B366:$AY366,'recurring2_based on steps'!$B$1:$AY$1,D$1)+SUMIFS('changes2_based on steps'!$B366:$U366,'changes2_based on steps'!$B$1:$U$1,D$1)</f>
        <v>0</v>
      </c>
      <c r="E366" s="155">
        <f>SUMIFS('recurring2_based on steps'!$B366:$AY366,'recurring2_based on steps'!$B$1:$AY$1,E$1)+SUMIFS('changes2_based on steps'!$B366:$U366,'changes2_based on steps'!$B$1:$U$1,E$1)</f>
        <v>0</v>
      </c>
      <c r="F366" s="155">
        <f>SUMIFS('recurring2_based on steps'!$B366:$AY366,'recurring2_based on steps'!$B$1:$AY$1,F$1)+SUMIFS('changes2_based on steps'!$B366:$U366,'changes2_based on steps'!$B$1:$U$1,F$1)</f>
        <v>0</v>
      </c>
      <c r="G366" s="155">
        <f>SUMIFS('recurring2_based on steps'!$B366:$AY366,'recurring2_based on steps'!$B$1:$AY$1,G$1)+SUMIFS('changes2_based on steps'!$B366:$U366,'changes2_based on steps'!$B$1:$U$1,G$1)</f>
        <v>0</v>
      </c>
      <c r="H366" s="155">
        <f ca="1">SUMIFS('recurring2_based on steps'!$B366:$AY366,'recurring2_based on steps'!$B$1:$AY$1,H$1)+SUMIFS('changes2_based on steps'!$B366:$U366,'changes2_based on steps'!$B$1:$U$1,H$1)</f>
        <v>0</v>
      </c>
      <c r="I366" s="155">
        <f>SUMIFS('recurring2_based on steps'!$B366:$AY366,'recurring2_based on steps'!$B$1:$AY$1,I$1)+SUMIFS('changes2_based on steps'!$B366:$U366,'changes2_based on steps'!$B$1:$U$1,I$1)</f>
        <v>0</v>
      </c>
      <c r="J366" s="155">
        <f>SUMIFS('recurring2_based on steps'!$B366:$AY366,'recurring2_based on steps'!$B$1:$AY$1,J$1)+SUMIFS('changes2_based on steps'!$B366:$U366,'changes2_based on steps'!$B$1:$U$1,J$1)</f>
        <v>0</v>
      </c>
      <c r="K366" s="155">
        <f>SUMIFS('recurring2_based on steps'!$B366:$AY366,'recurring2_based on steps'!$B$1:$AY$1,K$1)+SUMIFS('changes2_based on steps'!$B366:$U366,'changes2_based on steps'!$B$1:$U$1,K$1)</f>
        <v>0</v>
      </c>
      <c r="L366" s="155">
        <f>SUMIFS('recurring2_based on steps'!$B366:$AY366,'recurring2_based on steps'!$B$1:$AY$1,L$1)+SUMIFS('changes2_based on steps'!$B366:$U366,'changes2_based on steps'!$B$1:$U$1,L$1)</f>
        <v>0</v>
      </c>
      <c r="M366" s="155">
        <f ca="1">SUMIFS('recurring2_based on steps'!$B366:$AY366,'recurring2_based on steps'!$B$1:$AY$1,M$1)+SUMIFS('changes2_based on steps'!$B366:$U366,'changes2_based on steps'!$B$1:$U$1,M$1)</f>
        <v>0</v>
      </c>
      <c r="N366" s="155">
        <f ca="1">SUMIFS('recurring2_based on steps'!$B366:$AY366,'recurring2_based on steps'!$B$1:$AY$1,N$1)+SUMIFS('changes2_based on steps'!$B366:$U366,'changes2_based on steps'!$B$1:$U$1,N$1)</f>
        <v>0</v>
      </c>
      <c r="O366" s="155">
        <f ca="1">SUMIFS('recurring2_based on steps'!$B366:$AY366,'recurring2_based on steps'!$B$1:$AY$1,O$1)+SUMIFS('changes2_based on steps'!$B366:$U366,'changes2_based on steps'!$B$1:$U$1,O$1)</f>
        <v>0</v>
      </c>
      <c r="P366" s="155">
        <f ca="1">SUMIFS('recurring2_based on steps'!$B366:$AY366,'recurring2_based on steps'!$B$1:$AY$1,P$1)+SUMIFS('changes2_based on steps'!$B366:$U366,'changes2_based on steps'!$B$1:$U$1,P$1)</f>
        <v>0</v>
      </c>
      <c r="Q366" s="155">
        <f>SUMIFS('recurring2_based on steps'!$B366:$AY366,'recurring2_based on steps'!$B$1:$AY$1,Q$1)+SUMIFS('changes2_based on steps'!$B366:$U366,'changes2_based on steps'!$B$1:$U$1,Q$1)</f>
        <v>0</v>
      </c>
      <c r="R366" s="155">
        <f ca="1">SUMIFS('recurring2_based on steps'!$B366:$AY366,'recurring2_based on steps'!$B$1:$AY$1,R$1)+SUMIFS('changes2_based on steps'!$B366:$U366,'changes2_based on steps'!$B$1:$U$1,R$1)</f>
        <v>0</v>
      </c>
      <c r="S366" s="155">
        <f ca="1">SUMIFS('recurring2_based on steps'!$B366:$AY366,'recurring2_based on steps'!$B$1:$AY$1,S$1)+SUMIFS('changes2_based on steps'!$B366:$U366,'changes2_based on steps'!$B$1:$U$1,S$1)</f>
        <v>0</v>
      </c>
      <c r="T366" s="155">
        <f>SUMIFS('recurring2_based on steps'!$B366:$AY366,'recurring2_based on steps'!$B$1:$AY$1,T$1)+SUMIFS('changes2_based on steps'!$B366:$U366,'changes2_based on steps'!$B$1:$U$1,T$1)</f>
        <v>0</v>
      </c>
      <c r="U366" s="155">
        <f ca="1">SUMIFS('recurring2_based on steps'!$B366:$AY366,'recurring2_based on steps'!$B$1:$AY$1,U$1)+SUMIFS('changes2_based on steps'!$B366:$U366,'changes2_based on steps'!$B$1:$U$1,U$1)</f>
        <v>0</v>
      </c>
      <c r="V366" s="155">
        <f>SUMIFS('recurring2_based on steps'!$B366:$AY366,'recurring2_based on steps'!$B$1:$AY$1,V$1)+SUMIFS('changes2_based on steps'!$B366:$U366,'changes2_based on steps'!$B$1:$U$1,V$1)</f>
        <v>0</v>
      </c>
      <c r="W366" s="155">
        <f ca="1">SUMIFS('recurring2_based on steps'!$B366:$AY366,'recurring2_based on steps'!$B$1:$AY$1,W$1)+SUMIFS('changes2_based on steps'!$B366:$U366,'changes2_based on steps'!$B$1:$U$1,W$1)</f>
        <v>0</v>
      </c>
      <c r="X366" s="155">
        <f ca="1">SUMIFS('recurring2_based on steps'!$B366:$AY366,'recurring2_based on steps'!$B$1:$AY$1,X$1)+SUMIFS('changes2_based on steps'!$B366:$U366,'changes2_based on steps'!$B$1:$U$1,X$1)</f>
        <v>0</v>
      </c>
      <c r="Y366" s="155">
        <f ca="1">SUMIFS('recurring2_based on steps'!$B366:$AY366,'recurring2_based on steps'!$B$1:$AY$1,Y$1)+SUMIFS('changes2_based on steps'!$B366:$U366,'changes2_based on steps'!$B$1:$U$1,Y$1)</f>
        <v>0</v>
      </c>
      <c r="Z366" s="155">
        <f>SUMIFS('recurring2_based on steps'!$B366:$AY366,'recurring2_based on steps'!$B$1:$AY$1,Z$1)+SUMIFS('changes2_based on steps'!$B366:$U366,'changes2_based on steps'!$B$1:$U$1,Z$1)</f>
        <v>0</v>
      </c>
      <c r="AA366" s="155">
        <f>SUMIFS('recurring2_based on steps'!$B366:$AY366,'recurring2_based on steps'!$B$1:$AY$1,AA$1)+SUMIFS('changes2_based on steps'!$B366:$U366,'changes2_based on steps'!$B$1:$U$1,AA$1)</f>
        <v>0</v>
      </c>
    </row>
    <row r="367" spans="1:27" x14ac:dyDescent="0.2">
      <c r="A367" s="18">
        <f t="shared" ca="1" si="5"/>
        <v>46053</v>
      </c>
      <c r="B367" s="155">
        <f ca="1">SUMIFS('recurring2_based on steps'!$B367:$AY367,'recurring2_based on steps'!$B$1:$AY$1,B$1)+SUMIFS('changes2_based on steps'!$B367:$U367,'changes2_based on steps'!$B$1:$U$1,B$1)</f>
        <v>0</v>
      </c>
      <c r="C367" s="155">
        <f>SUMIFS('recurring2_based on steps'!$B367:$AY367,'recurring2_based on steps'!$B$1:$AY$1,C$1)+SUMIFS('changes2_based on steps'!$B367:$U367,'changes2_based on steps'!$B$1:$U$1,C$1)</f>
        <v>0</v>
      </c>
      <c r="D367" s="155">
        <f>SUMIFS('recurring2_based on steps'!$B367:$AY367,'recurring2_based on steps'!$B$1:$AY$1,D$1)+SUMIFS('changes2_based on steps'!$B367:$U367,'changes2_based on steps'!$B$1:$U$1,D$1)</f>
        <v>0</v>
      </c>
      <c r="E367" s="155">
        <f>SUMIFS('recurring2_based on steps'!$B367:$AY367,'recurring2_based on steps'!$B$1:$AY$1,E$1)+SUMIFS('changes2_based on steps'!$B367:$U367,'changes2_based on steps'!$B$1:$U$1,E$1)</f>
        <v>0</v>
      </c>
      <c r="F367" s="155">
        <f>SUMIFS('recurring2_based on steps'!$B367:$AY367,'recurring2_based on steps'!$B$1:$AY$1,F$1)+SUMIFS('changes2_based on steps'!$B367:$U367,'changes2_based on steps'!$B$1:$U$1,F$1)</f>
        <v>0</v>
      </c>
      <c r="G367" s="155">
        <f>SUMIFS('recurring2_based on steps'!$B367:$AY367,'recurring2_based on steps'!$B$1:$AY$1,G$1)+SUMIFS('changes2_based on steps'!$B367:$U367,'changes2_based on steps'!$B$1:$U$1,G$1)</f>
        <v>0</v>
      </c>
      <c r="H367" s="155">
        <f ca="1">SUMIFS('recurring2_based on steps'!$B367:$AY367,'recurring2_based on steps'!$B$1:$AY$1,H$1)+SUMIFS('changes2_based on steps'!$B367:$U367,'changes2_based on steps'!$B$1:$U$1,H$1)</f>
        <v>0</v>
      </c>
      <c r="I367" s="155">
        <f>SUMIFS('recurring2_based on steps'!$B367:$AY367,'recurring2_based on steps'!$B$1:$AY$1,I$1)+SUMIFS('changes2_based on steps'!$B367:$U367,'changes2_based on steps'!$B$1:$U$1,I$1)</f>
        <v>0</v>
      </c>
      <c r="J367" s="155">
        <f>SUMIFS('recurring2_based on steps'!$B367:$AY367,'recurring2_based on steps'!$B$1:$AY$1,J$1)+SUMIFS('changes2_based on steps'!$B367:$U367,'changes2_based on steps'!$B$1:$U$1,J$1)</f>
        <v>0</v>
      </c>
      <c r="K367" s="155">
        <f>SUMIFS('recurring2_based on steps'!$B367:$AY367,'recurring2_based on steps'!$B$1:$AY$1,K$1)+SUMIFS('changes2_based on steps'!$B367:$U367,'changes2_based on steps'!$B$1:$U$1,K$1)</f>
        <v>0</v>
      </c>
      <c r="L367" s="155">
        <f>SUMIFS('recurring2_based on steps'!$B367:$AY367,'recurring2_based on steps'!$B$1:$AY$1,L$1)+SUMIFS('changes2_based on steps'!$B367:$U367,'changes2_based on steps'!$B$1:$U$1,L$1)</f>
        <v>0</v>
      </c>
      <c r="M367" s="155">
        <f ca="1">SUMIFS('recurring2_based on steps'!$B367:$AY367,'recurring2_based on steps'!$B$1:$AY$1,M$1)+SUMIFS('changes2_based on steps'!$B367:$U367,'changes2_based on steps'!$B$1:$U$1,M$1)</f>
        <v>50</v>
      </c>
      <c r="N367" s="155">
        <f ca="1">SUMIFS('recurring2_based on steps'!$B367:$AY367,'recurring2_based on steps'!$B$1:$AY$1,N$1)+SUMIFS('changes2_based on steps'!$B367:$U367,'changes2_based on steps'!$B$1:$U$1,N$1)</f>
        <v>0</v>
      </c>
      <c r="O367" s="155">
        <f ca="1">SUMIFS('recurring2_based on steps'!$B367:$AY367,'recurring2_based on steps'!$B$1:$AY$1,O$1)+SUMIFS('changes2_based on steps'!$B367:$U367,'changes2_based on steps'!$B$1:$U$1,O$1)</f>
        <v>0</v>
      </c>
      <c r="P367" s="155">
        <f ca="1">SUMIFS('recurring2_based on steps'!$B367:$AY367,'recurring2_based on steps'!$B$1:$AY$1,P$1)+SUMIFS('changes2_based on steps'!$B367:$U367,'changes2_based on steps'!$B$1:$U$1,P$1)</f>
        <v>0</v>
      </c>
      <c r="Q367" s="155">
        <f>SUMIFS('recurring2_based on steps'!$B367:$AY367,'recurring2_based on steps'!$B$1:$AY$1,Q$1)+SUMIFS('changes2_based on steps'!$B367:$U367,'changes2_based on steps'!$B$1:$U$1,Q$1)</f>
        <v>0</v>
      </c>
      <c r="R367" s="155">
        <f ca="1">SUMIFS('recurring2_based on steps'!$B367:$AY367,'recurring2_based on steps'!$B$1:$AY$1,R$1)+SUMIFS('changes2_based on steps'!$B367:$U367,'changes2_based on steps'!$B$1:$U$1,R$1)</f>
        <v>0</v>
      </c>
      <c r="S367" s="155">
        <f ca="1">SUMIFS('recurring2_based on steps'!$B367:$AY367,'recurring2_based on steps'!$B$1:$AY$1,S$1)+SUMIFS('changes2_based on steps'!$B367:$U367,'changes2_based on steps'!$B$1:$U$1,S$1)</f>
        <v>0</v>
      </c>
      <c r="T367" s="155">
        <f>SUMIFS('recurring2_based on steps'!$B367:$AY367,'recurring2_based on steps'!$B$1:$AY$1,T$1)+SUMIFS('changes2_based on steps'!$B367:$U367,'changes2_based on steps'!$B$1:$U$1,T$1)</f>
        <v>0</v>
      </c>
      <c r="U367" s="155">
        <f ca="1">SUMIFS('recurring2_based on steps'!$B367:$AY367,'recurring2_based on steps'!$B$1:$AY$1,U$1)+SUMIFS('changes2_based on steps'!$B367:$U367,'changes2_based on steps'!$B$1:$U$1,U$1)</f>
        <v>0</v>
      </c>
      <c r="V367" s="155">
        <f>SUMIFS('recurring2_based on steps'!$B367:$AY367,'recurring2_based on steps'!$B$1:$AY$1,V$1)+SUMIFS('changes2_based on steps'!$B367:$U367,'changes2_based on steps'!$B$1:$U$1,V$1)</f>
        <v>0</v>
      </c>
      <c r="W367" s="155">
        <f ca="1">SUMIFS('recurring2_based on steps'!$B367:$AY367,'recurring2_based on steps'!$B$1:$AY$1,W$1)+SUMIFS('changes2_based on steps'!$B367:$U367,'changes2_based on steps'!$B$1:$U$1,W$1)</f>
        <v>0</v>
      </c>
      <c r="X367" s="155">
        <f ca="1">SUMIFS('recurring2_based on steps'!$B367:$AY367,'recurring2_based on steps'!$B$1:$AY$1,X$1)+SUMIFS('changes2_based on steps'!$B367:$U367,'changes2_based on steps'!$B$1:$U$1,X$1)</f>
        <v>0</v>
      </c>
      <c r="Y367" s="155">
        <f ca="1">SUMIFS('recurring2_based on steps'!$B367:$AY367,'recurring2_based on steps'!$B$1:$AY$1,Y$1)+SUMIFS('changes2_based on steps'!$B367:$U367,'changes2_based on steps'!$B$1:$U$1,Y$1)</f>
        <v>-100</v>
      </c>
      <c r="Z367" s="155">
        <f>SUMIFS('recurring2_based on steps'!$B367:$AY367,'recurring2_based on steps'!$B$1:$AY$1,Z$1)+SUMIFS('changes2_based on steps'!$B367:$U367,'changes2_based on steps'!$B$1:$U$1,Z$1)</f>
        <v>0</v>
      </c>
      <c r="AA367" s="155">
        <f>SUMIFS('recurring2_based on steps'!$B367:$AY367,'recurring2_based on steps'!$B$1:$AY$1,AA$1)+SUMIFS('changes2_based on steps'!$B367:$U367,'changes2_based on steps'!$B$1:$U$1,AA$1)</f>
        <v>0</v>
      </c>
    </row>
    <row r="368" spans="1:27" x14ac:dyDescent="0.2">
      <c r="A368" s="18">
        <f t="shared" ca="1" si="5"/>
        <v>46054</v>
      </c>
      <c r="B368" s="155">
        <f ca="1">SUMIFS('recurring2_based on steps'!$B368:$AY368,'recurring2_based on steps'!$B$1:$AY$1,B$1)+SUMIFS('changes2_based on steps'!$B368:$U368,'changes2_based on steps'!$B$1:$U$1,B$1)</f>
        <v>0</v>
      </c>
      <c r="C368" s="155">
        <f>SUMIFS('recurring2_based on steps'!$B368:$AY368,'recurring2_based on steps'!$B$1:$AY$1,C$1)+SUMIFS('changes2_based on steps'!$B368:$U368,'changes2_based on steps'!$B$1:$U$1,C$1)</f>
        <v>0</v>
      </c>
      <c r="D368" s="155">
        <f>SUMIFS('recurring2_based on steps'!$B368:$AY368,'recurring2_based on steps'!$B$1:$AY$1,D$1)+SUMIFS('changes2_based on steps'!$B368:$U368,'changes2_based on steps'!$B$1:$U$1,D$1)</f>
        <v>0</v>
      </c>
      <c r="E368" s="155">
        <f>SUMIFS('recurring2_based on steps'!$B368:$AY368,'recurring2_based on steps'!$B$1:$AY$1,E$1)+SUMIFS('changes2_based on steps'!$B368:$U368,'changes2_based on steps'!$B$1:$U$1,E$1)</f>
        <v>0</v>
      </c>
      <c r="F368" s="155">
        <f>SUMIFS('recurring2_based on steps'!$B368:$AY368,'recurring2_based on steps'!$B$1:$AY$1,F$1)+SUMIFS('changes2_based on steps'!$B368:$U368,'changes2_based on steps'!$B$1:$U$1,F$1)</f>
        <v>0</v>
      </c>
      <c r="G368" s="155">
        <f>SUMIFS('recurring2_based on steps'!$B368:$AY368,'recurring2_based on steps'!$B$1:$AY$1,G$1)+SUMIFS('changes2_based on steps'!$B368:$U368,'changes2_based on steps'!$B$1:$U$1,G$1)</f>
        <v>0</v>
      </c>
      <c r="H368" s="155">
        <f ca="1">SUMIFS('recurring2_based on steps'!$B368:$AY368,'recurring2_based on steps'!$B$1:$AY$1,H$1)+SUMIFS('changes2_based on steps'!$B368:$U368,'changes2_based on steps'!$B$1:$U$1,H$1)</f>
        <v>0</v>
      </c>
      <c r="I368" s="155">
        <f>SUMIFS('recurring2_based on steps'!$B368:$AY368,'recurring2_based on steps'!$B$1:$AY$1,I$1)+SUMIFS('changes2_based on steps'!$B368:$U368,'changes2_based on steps'!$B$1:$U$1,I$1)</f>
        <v>0</v>
      </c>
      <c r="J368" s="155">
        <f>SUMIFS('recurring2_based on steps'!$B368:$AY368,'recurring2_based on steps'!$B$1:$AY$1,J$1)+SUMIFS('changes2_based on steps'!$B368:$U368,'changes2_based on steps'!$B$1:$U$1,J$1)</f>
        <v>0</v>
      </c>
      <c r="K368" s="155">
        <f>SUMIFS('recurring2_based on steps'!$B368:$AY368,'recurring2_based on steps'!$B$1:$AY$1,K$1)+SUMIFS('changes2_based on steps'!$B368:$U368,'changes2_based on steps'!$B$1:$U$1,K$1)</f>
        <v>0</v>
      </c>
      <c r="L368" s="155">
        <f>SUMIFS('recurring2_based on steps'!$B368:$AY368,'recurring2_based on steps'!$B$1:$AY$1,L$1)+SUMIFS('changes2_based on steps'!$B368:$U368,'changes2_based on steps'!$B$1:$U$1,L$1)</f>
        <v>0</v>
      </c>
      <c r="M368" s="155">
        <f ca="1">SUMIFS('recurring2_based on steps'!$B368:$AY368,'recurring2_based on steps'!$B$1:$AY$1,M$1)+SUMIFS('changes2_based on steps'!$B368:$U368,'changes2_based on steps'!$B$1:$U$1,M$1)</f>
        <v>0</v>
      </c>
      <c r="N368" s="155">
        <f ca="1">SUMIFS('recurring2_based on steps'!$B368:$AY368,'recurring2_based on steps'!$B$1:$AY$1,N$1)+SUMIFS('changes2_based on steps'!$B368:$U368,'changes2_based on steps'!$B$1:$U$1,N$1)</f>
        <v>0</v>
      </c>
      <c r="O368" s="155">
        <f ca="1">SUMIFS('recurring2_based on steps'!$B368:$AY368,'recurring2_based on steps'!$B$1:$AY$1,O$1)+SUMIFS('changes2_based on steps'!$B368:$U368,'changes2_based on steps'!$B$1:$U$1,O$1)</f>
        <v>0</v>
      </c>
      <c r="P368" s="155">
        <f ca="1">SUMIFS('recurring2_based on steps'!$B368:$AY368,'recurring2_based on steps'!$B$1:$AY$1,P$1)+SUMIFS('changes2_based on steps'!$B368:$U368,'changes2_based on steps'!$B$1:$U$1,P$1)</f>
        <v>0</v>
      </c>
      <c r="Q368" s="155">
        <f>SUMIFS('recurring2_based on steps'!$B368:$AY368,'recurring2_based on steps'!$B$1:$AY$1,Q$1)+SUMIFS('changes2_based on steps'!$B368:$U368,'changes2_based on steps'!$B$1:$U$1,Q$1)</f>
        <v>0</v>
      </c>
      <c r="R368" s="155">
        <f ca="1">SUMIFS('recurring2_based on steps'!$B368:$AY368,'recurring2_based on steps'!$B$1:$AY$1,R$1)+SUMIFS('changes2_based on steps'!$B368:$U368,'changes2_based on steps'!$B$1:$U$1,R$1)</f>
        <v>0</v>
      </c>
      <c r="S368" s="155">
        <f ca="1">SUMIFS('recurring2_based on steps'!$B368:$AY368,'recurring2_based on steps'!$B$1:$AY$1,S$1)+SUMIFS('changes2_based on steps'!$B368:$U368,'changes2_based on steps'!$B$1:$U$1,S$1)</f>
        <v>0</v>
      </c>
      <c r="T368" s="155">
        <f>SUMIFS('recurring2_based on steps'!$B368:$AY368,'recurring2_based on steps'!$B$1:$AY$1,T$1)+SUMIFS('changes2_based on steps'!$B368:$U368,'changes2_based on steps'!$B$1:$U$1,T$1)</f>
        <v>0</v>
      </c>
      <c r="U368" s="155">
        <f ca="1">SUMIFS('recurring2_based on steps'!$B368:$AY368,'recurring2_based on steps'!$B$1:$AY$1,U$1)+SUMIFS('changes2_based on steps'!$B368:$U368,'changes2_based on steps'!$B$1:$U$1,U$1)</f>
        <v>0</v>
      </c>
      <c r="V368" s="155">
        <f>SUMIFS('recurring2_based on steps'!$B368:$AY368,'recurring2_based on steps'!$B$1:$AY$1,V$1)+SUMIFS('changes2_based on steps'!$B368:$U368,'changes2_based on steps'!$B$1:$U$1,V$1)</f>
        <v>0</v>
      </c>
      <c r="W368" s="155">
        <f ca="1">SUMIFS('recurring2_based on steps'!$B368:$AY368,'recurring2_based on steps'!$B$1:$AY$1,W$1)+SUMIFS('changes2_based on steps'!$B368:$U368,'changes2_based on steps'!$B$1:$U$1,W$1)</f>
        <v>0</v>
      </c>
      <c r="X368" s="155">
        <f ca="1">SUMIFS('recurring2_based on steps'!$B368:$AY368,'recurring2_based on steps'!$B$1:$AY$1,X$1)+SUMIFS('changes2_based on steps'!$B368:$U368,'changes2_based on steps'!$B$1:$U$1,X$1)</f>
        <v>0</v>
      </c>
      <c r="Y368" s="155">
        <f ca="1">SUMIFS('recurring2_based on steps'!$B368:$AY368,'recurring2_based on steps'!$B$1:$AY$1,Y$1)+SUMIFS('changes2_based on steps'!$B368:$U368,'changes2_based on steps'!$B$1:$U$1,Y$1)</f>
        <v>0</v>
      </c>
      <c r="Z368" s="155">
        <f>SUMIFS('recurring2_based on steps'!$B368:$AY368,'recurring2_based on steps'!$B$1:$AY$1,Z$1)+SUMIFS('changes2_based on steps'!$B368:$U368,'changes2_based on steps'!$B$1:$U$1,Z$1)</f>
        <v>0</v>
      </c>
      <c r="AA368" s="155">
        <f>SUMIFS('recurring2_based on steps'!$B368:$AY368,'recurring2_based on steps'!$B$1:$AY$1,AA$1)+SUMIFS('changes2_based on steps'!$B368:$U368,'changes2_based on steps'!$B$1:$U$1,AA$1)</f>
        <v>0</v>
      </c>
    </row>
    <row r="369" spans="1:27" x14ac:dyDescent="0.2">
      <c r="A369" s="18">
        <f t="shared" ca="1" si="5"/>
        <v>46055</v>
      </c>
      <c r="B369" s="155">
        <f ca="1">SUMIFS('recurring2_based on steps'!$B369:$AY369,'recurring2_based on steps'!$B$1:$AY$1,B$1)+SUMIFS('changes2_based on steps'!$B369:$U369,'changes2_based on steps'!$B$1:$U$1,B$1)</f>
        <v>0</v>
      </c>
      <c r="C369" s="155">
        <f>SUMIFS('recurring2_based on steps'!$B369:$AY369,'recurring2_based on steps'!$B$1:$AY$1,C$1)+SUMIFS('changes2_based on steps'!$B369:$U369,'changes2_based on steps'!$B$1:$U$1,C$1)</f>
        <v>0</v>
      </c>
      <c r="D369" s="155">
        <f>SUMIFS('recurring2_based on steps'!$B369:$AY369,'recurring2_based on steps'!$B$1:$AY$1,D$1)+SUMIFS('changes2_based on steps'!$B369:$U369,'changes2_based on steps'!$B$1:$U$1,D$1)</f>
        <v>0</v>
      </c>
      <c r="E369" s="155">
        <f>SUMIFS('recurring2_based on steps'!$B369:$AY369,'recurring2_based on steps'!$B$1:$AY$1,E$1)+SUMIFS('changes2_based on steps'!$B369:$U369,'changes2_based on steps'!$B$1:$U$1,E$1)</f>
        <v>0</v>
      </c>
      <c r="F369" s="155">
        <f>SUMIFS('recurring2_based on steps'!$B369:$AY369,'recurring2_based on steps'!$B$1:$AY$1,F$1)+SUMIFS('changes2_based on steps'!$B369:$U369,'changes2_based on steps'!$B$1:$U$1,F$1)</f>
        <v>0</v>
      </c>
      <c r="G369" s="155">
        <f>SUMIFS('recurring2_based on steps'!$B369:$AY369,'recurring2_based on steps'!$B$1:$AY$1,G$1)+SUMIFS('changes2_based on steps'!$B369:$U369,'changes2_based on steps'!$B$1:$U$1,G$1)</f>
        <v>0</v>
      </c>
      <c r="H369" s="155">
        <f ca="1">SUMIFS('recurring2_based on steps'!$B369:$AY369,'recurring2_based on steps'!$B$1:$AY$1,H$1)+SUMIFS('changes2_based on steps'!$B369:$U369,'changes2_based on steps'!$B$1:$U$1,H$1)</f>
        <v>0</v>
      </c>
      <c r="I369" s="155">
        <f>SUMIFS('recurring2_based on steps'!$B369:$AY369,'recurring2_based on steps'!$B$1:$AY$1,I$1)+SUMIFS('changes2_based on steps'!$B369:$U369,'changes2_based on steps'!$B$1:$U$1,I$1)</f>
        <v>0</v>
      </c>
      <c r="J369" s="155">
        <f>SUMIFS('recurring2_based on steps'!$B369:$AY369,'recurring2_based on steps'!$B$1:$AY$1,J$1)+SUMIFS('changes2_based on steps'!$B369:$U369,'changes2_based on steps'!$B$1:$U$1,J$1)</f>
        <v>0</v>
      </c>
      <c r="K369" s="155">
        <f>SUMIFS('recurring2_based on steps'!$B369:$AY369,'recurring2_based on steps'!$B$1:$AY$1,K$1)+SUMIFS('changes2_based on steps'!$B369:$U369,'changes2_based on steps'!$B$1:$U$1,K$1)</f>
        <v>0</v>
      </c>
      <c r="L369" s="155">
        <f>SUMIFS('recurring2_based on steps'!$B369:$AY369,'recurring2_based on steps'!$B$1:$AY$1,L$1)+SUMIFS('changes2_based on steps'!$B369:$U369,'changes2_based on steps'!$B$1:$U$1,L$1)</f>
        <v>0</v>
      </c>
      <c r="M369" s="155">
        <f ca="1">SUMIFS('recurring2_based on steps'!$B369:$AY369,'recurring2_based on steps'!$B$1:$AY$1,M$1)+SUMIFS('changes2_based on steps'!$B369:$U369,'changes2_based on steps'!$B$1:$U$1,M$1)</f>
        <v>0</v>
      </c>
      <c r="N369" s="155">
        <f ca="1">SUMIFS('recurring2_based on steps'!$B369:$AY369,'recurring2_based on steps'!$B$1:$AY$1,N$1)+SUMIFS('changes2_based on steps'!$B369:$U369,'changes2_based on steps'!$B$1:$U$1,N$1)</f>
        <v>0</v>
      </c>
      <c r="O369" s="155">
        <f ca="1">SUMIFS('recurring2_based on steps'!$B369:$AY369,'recurring2_based on steps'!$B$1:$AY$1,O$1)+SUMIFS('changes2_based on steps'!$B369:$U369,'changes2_based on steps'!$B$1:$U$1,O$1)</f>
        <v>0</v>
      </c>
      <c r="P369" s="155">
        <f ca="1">SUMIFS('recurring2_based on steps'!$B369:$AY369,'recurring2_based on steps'!$B$1:$AY$1,P$1)+SUMIFS('changes2_based on steps'!$B369:$U369,'changes2_based on steps'!$B$1:$U$1,P$1)</f>
        <v>0</v>
      </c>
      <c r="Q369" s="155">
        <f>SUMIFS('recurring2_based on steps'!$B369:$AY369,'recurring2_based on steps'!$B$1:$AY$1,Q$1)+SUMIFS('changes2_based on steps'!$B369:$U369,'changes2_based on steps'!$B$1:$U$1,Q$1)</f>
        <v>0</v>
      </c>
      <c r="R369" s="155">
        <f ca="1">SUMIFS('recurring2_based on steps'!$B369:$AY369,'recurring2_based on steps'!$B$1:$AY$1,R$1)+SUMIFS('changes2_based on steps'!$B369:$U369,'changes2_based on steps'!$B$1:$U$1,R$1)</f>
        <v>0</v>
      </c>
      <c r="S369" s="155">
        <f ca="1">SUMIFS('recurring2_based on steps'!$B369:$AY369,'recurring2_based on steps'!$B$1:$AY$1,S$1)+SUMIFS('changes2_based on steps'!$B369:$U369,'changes2_based on steps'!$B$1:$U$1,S$1)</f>
        <v>0</v>
      </c>
      <c r="T369" s="155">
        <f>SUMIFS('recurring2_based on steps'!$B369:$AY369,'recurring2_based on steps'!$B$1:$AY$1,T$1)+SUMIFS('changes2_based on steps'!$B369:$U369,'changes2_based on steps'!$B$1:$U$1,T$1)</f>
        <v>0</v>
      </c>
      <c r="U369" s="155">
        <f ca="1">SUMIFS('recurring2_based on steps'!$B369:$AY369,'recurring2_based on steps'!$B$1:$AY$1,U$1)+SUMIFS('changes2_based on steps'!$B369:$U369,'changes2_based on steps'!$B$1:$U$1,U$1)</f>
        <v>0</v>
      </c>
      <c r="V369" s="155">
        <f>SUMIFS('recurring2_based on steps'!$B369:$AY369,'recurring2_based on steps'!$B$1:$AY$1,V$1)+SUMIFS('changes2_based on steps'!$B369:$U369,'changes2_based on steps'!$B$1:$U$1,V$1)</f>
        <v>0</v>
      </c>
      <c r="W369" s="155">
        <f ca="1">SUMIFS('recurring2_based on steps'!$B369:$AY369,'recurring2_based on steps'!$B$1:$AY$1,W$1)+SUMIFS('changes2_based on steps'!$B369:$U369,'changes2_based on steps'!$B$1:$U$1,W$1)</f>
        <v>0</v>
      </c>
      <c r="X369" s="155">
        <f ca="1">SUMIFS('recurring2_based on steps'!$B369:$AY369,'recurring2_based on steps'!$B$1:$AY$1,X$1)+SUMIFS('changes2_based on steps'!$B369:$U369,'changes2_based on steps'!$B$1:$U$1,X$1)</f>
        <v>0</v>
      </c>
      <c r="Y369" s="155">
        <f ca="1">SUMIFS('recurring2_based on steps'!$B369:$AY369,'recurring2_based on steps'!$B$1:$AY$1,Y$1)+SUMIFS('changes2_based on steps'!$B369:$U369,'changes2_based on steps'!$B$1:$U$1,Y$1)</f>
        <v>0</v>
      </c>
      <c r="Z369" s="155">
        <f>SUMIFS('recurring2_based on steps'!$B369:$AY369,'recurring2_based on steps'!$B$1:$AY$1,Z$1)+SUMIFS('changes2_based on steps'!$B369:$U369,'changes2_based on steps'!$B$1:$U$1,Z$1)</f>
        <v>0</v>
      </c>
      <c r="AA369" s="155">
        <f>SUMIFS('recurring2_based on steps'!$B369:$AY369,'recurring2_based on steps'!$B$1:$AY$1,AA$1)+SUMIFS('changes2_based on steps'!$B369:$U369,'changes2_based on steps'!$B$1:$U$1,AA$1)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493A-628C-46C4-96C4-DD140CFAE433}">
  <sheetPr codeName="Sheet8"/>
  <dimension ref="A1"/>
  <sheetViews>
    <sheetView workbookViewId="0"/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965A1-ACD1-4985-8533-6D3D83D236D4}">
  <sheetPr codeName="Sheet30">
    <tabColor theme="9"/>
  </sheetPr>
  <dimension ref="A1:F72"/>
  <sheetViews>
    <sheetView topLeftCell="A27" workbookViewId="0"/>
  </sheetViews>
  <sheetFormatPr defaultRowHeight="12.75" x14ac:dyDescent="0.2"/>
  <cols>
    <col min="1" max="1" width="9.7109375" bestFit="1" customWidth="1"/>
    <col min="3" max="3" width="11.7109375" bestFit="1" customWidth="1"/>
    <col min="4" max="4" width="11.7109375" customWidth="1"/>
    <col min="5" max="5" width="23.7109375" bestFit="1" customWidth="1"/>
    <col min="6" max="6" width="30.85546875" bestFit="1" customWidth="1"/>
  </cols>
  <sheetData>
    <row r="1" spans="1:6" ht="15" x14ac:dyDescent="0.35">
      <c r="E1" s="9" t="s">
        <v>218</v>
      </c>
    </row>
    <row r="2" spans="1:6" x14ac:dyDescent="0.2">
      <c r="A2" s="14" t="s">
        <v>307</v>
      </c>
      <c r="B2" t="s">
        <v>88</v>
      </c>
      <c r="C2" t="s">
        <v>87</v>
      </c>
      <c r="D2" t="s">
        <v>116</v>
      </c>
      <c r="E2" t="s">
        <v>42</v>
      </c>
      <c r="F2" t="s">
        <v>0</v>
      </c>
    </row>
    <row r="3" spans="1:6" x14ac:dyDescent="0.2">
      <c r="A3" s="14" t="s">
        <v>307</v>
      </c>
      <c r="B3" t="s">
        <v>88</v>
      </c>
      <c r="C3" t="s">
        <v>87</v>
      </c>
      <c r="D3" t="s">
        <v>116</v>
      </c>
      <c r="E3" t="s">
        <v>42</v>
      </c>
      <c r="F3" t="s">
        <v>62</v>
      </c>
    </row>
    <row r="4" spans="1:6" x14ac:dyDescent="0.2">
      <c r="A4" s="14" t="s">
        <v>307</v>
      </c>
      <c r="B4" t="s">
        <v>88</v>
      </c>
      <c r="C4" t="s">
        <v>87</v>
      </c>
      <c r="D4" t="s">
        <v>116</v>
      </c>
      <c r="E4" t="s">
        <v>42</v>
      </c>
      <c r="F4" t="s">
        <v>63</v>
      </c>
    </row>
    <row r="5" spans="1:6" x14ac:dyDescent="0.2">
      <c r="A5" s="14" t="s">
        <v>307</v>
      </c>
      <c r="B5" t="s">
        <v>88</v>
      </c>
      <c r="C5" t="s">
        <v>87</v>
      </c>
      <c r="D5" t="s">
        <v>116</v>
      </c>
      <c r="E5" t="s">
        <v>42</v>
      </c>
      <c r="F5" t="s">
        <v>64</v>
      </c>
    </row>
    <row r="6" spans="1:6" x14ac:dyDescent="0.2">
      <c r="A6" s="14" t="s">
        <v>307</v>
      </c>
      <c r="B6" t="s">
        <v>88</v>
      </c>
      <c r="C6" t="s">
        <v>87</v>
      </c>
      <c r="D6" t="s">
        <v>116</v>
      </c>
      <c r="E6" t="s">
        <v>42</v>
      </c>
      <c r="F6" t="s">
        <v>65</v>
      </c>
    </row>
    <row r="7" spans="1:6" x14ac:dyDescent="0.2">
      <c r="A7" s="14" t="s">
        <v>307</v>
      </c>
      <c r="B7" t="s">
        <v>88</v>
      </c>
      <c r="C7" t="s">
        <v>87</v>
      </c>
      <c r="D7" t="s">
        <v>116</v>
      </c>
      <c r="E7" t="s">
        <v>3</v>
      </c>
      <c r="F7" t="s">
        <v>197</v>
      </c>
    </row>
    <row r="8" spans="1:6" x14ac:dyDescent="0.2">
      <c r="A8" s="14" t="s">
        <v>307</v>
      </c>
      <c r="B8" t="s">
        <v>88</v>
      </c>
      <c r="C8" t="s">
        <v>87</v>
      </c>
      <c r="D8" t="s">
        <v>116</v>
      </c>
      <c r="E8" t="s">
        <v>3</v>
      </c>
      <c r="F8" s="14" t="s">
        <v>332</v>
      </c>
    </row>
    <row r="9" spans="1:6" x14ac:dyDescent="0.2">
      <c r="A9" s="14" t="s">
        <v>307</v>
      </c>
      <c r="B9" t="s">
        <v>88</v>
      </c>
      <c r="C9" t="s">
        <v>87</v>
      </c>
      <c r="D9" t="s">
        <v>116</v>
      </c>
      <c r="E9" t="s">
        <v>3</v>
      </c>
      <c r="F9" t="s">
        <v>66</v>
      </c>
    </row>
    <row r="10" spans="1:6" x14ac:dyDescent="0.2">
      <c r="A10" s="14" t="s">
        <v>307</v>
      </c>
      <c r="B10" t="s">
        <v>88</v>
      </c>
      <c r="C10" t="s">
        <v>87</v>
      </c>
      <c r="D10" t="s">
        <v>116</v>
      </c>
      <c r="E10" t="s">
        <v>30</v>
      </c>
      <c r="F10" t="s">
        <v>67</v>
      </c>
    </row>
    <row r="11" spans="1:6" x14ac:dyDescent="0.2">
      <c r="A11" s="14" t="s">
        <v>307</v>
      </c>
      <c r="B11" t="s">
        <v>88</v>
      </c>
      <c r="C11" t="s">
        <v>87</v>
      </c>
      <c r="D11" t="s">
        <v>116</v>
      </c>
      <c r="E11" t="s">
        <v>30</v>
      </c>
      <c r="F11" t="s">
        <v>198</v>
      </c>
    </row>
    <row r="12" spans="1:6" x14ac:dyDescent="0.2">
      <c r="A12" s="14" t="s">
        <v>307</v>
      </c>
      <c r="B12" t="s">
        <v>88</v>
      </c>
      <c r="C12" t="s">
        <v>87</v>
      </c>
      <c r="D12" t="s">
        <v>116</v>
      </c>
      <c r="E12" t="s">
        <v>30</v>
      </c>
      <c r="F12" t="s">
        <v>68</v>
      </c>
    </row>
    <row r="13" spans="1:6" x14ac:dyDescent="0.2">
      <c r="A13" s="14" t="s">
        <v>307</v>
      </c>
      <c r="B13" t="s">
        <v>88</v>
      </c>
      <c r="C13" t="s">
        <v>87</v>
      </c>
      <c r="D13" t="s">
        <v>116</v>
      </c>
      <c r="E13" t="s">
        <v>30</v>
      </c>
      <c r="F13" s="14" t="s">
        <v>333</v>
      </c>
    </row>
    <row r="14" spans="1:6" x14ac:dyDescent="0.2">
      <c r="A14" s="14" t="s">
        <v>307</v>
      </c>
      <c r="B14" t="s">
        <v>88</v>
      </c>
      <c r="C14" t="s">
        <v>87</v>
      </c>
      <c r="D14" t="s">
        <v>116</v>
      </c>
      <c r="E14" t="s">
        <v>44</v>
      </c>
      <c r="F14" t="s">
        <v>69</v>
      </c>
    </row>
    <row r="15" spans="1:6" x14ac:dyDescent="0.2">
      <c r="A15" s="14" t="s">
        <v>307</v>
      </c>
      <c r="B15" t="s">
        <v>88</v>
      </c>
      <c r="C15" t="s">
        <v>87</v>
      </c>
      <c r="D15" t="s">
        <v>116</v>
      </c>
      <c r="E15" t="s">
        <v>44</v>
      </c>
      <c r="F15" t="s">
        <v>70</v>
      </c>
    </row>
    <row r="16" spans="1:6" x14ac:dyDescent="0.2">
      <c r="A16" s="14" t="s">
        <v>307</v>
      </c>
      <c r="B16" t="s">
        <v>88</v>
      </c>
      <c r="C16" t="s">
        <v>87</v>
      </c>
      <c r="D16" t="s">
        <v>116</v>
      </c>
      <c r="E16" t="s">
        <v>1</v>
      </c>
      <c r="F16" t="s">
        <v>71</v>
      </c>
    </row>
    <row r="17" spans="1:6" x14ac:dyDescent="0.2">
      <c r="A17" s="14" t="s">
        <v>307</v>
      </c>
      <c r="B17" t="s">
        <v>88</v>
      </c>
      <c r="C17" t="s">
        <v>87</v>
      </c>
      <c r="D17" t="s">
        <v>116</v>
      </c>
      <c r="E17" t="s">
        <v>1</v>
      </c>
      <c r="F17" t="s">
        <v>72</v>
      </c>
    </row>
    <row r="18" spans="1:6" x14ac:dyDescent="0.2">
      <c r="A18" s="14" t="s">
        <v>307</v>
      </c>
      <c r="B18" t="s">
        <v>88</v>
      </c>
      <c r="C18" t="s">
        <v>87</v>
      </c>
      <c r="D18" t="s">
        <v>116</v>
      </c>
      <c r="E18" t="s">
        <v>3</v>
      </c>
      <c r="F18" t="s">
        <v>73</v>
      </c>
    </row>
    <row r="19" spans="1:6" x14ac:dyDescent="0.2">
      <c r="A19" s="14" t="s">
        <v>307</v>
      </c>
      <c r="B19" t="s">
        <v>88</v>
      </c>
      <c r="C19" t="s">
        <v>87</v>
      </c>
      <c r="D19" t="s">
        <v>116</v>
      </c>
      <c r="E19" t="s">
        <v>3</v>
      </c>
      <c r="F19" t="s">
        <v>74</v>
      </c>
    </row>
    <row r="20" spans="1:6" x14ac:dyDescent="0.2">
      <c r="A20" s="14" t="s">
        <v>307</v>
      </c>
      <c r="B20" t="s">
        <v>88</v>
      </c>
      <c r="C20" t="s">
        <v>87</v>
      </c>
      <c r="D20" t="s">
        <v>116</v>
      </c>
      <c r="E20" t="s">
        <v>3</v>
      </c>
      <c r="F20" t="s">
        <v>75</v>
      </c>
    </row>
    <row r="21" spans="1:6" x14ac:dyDescent="0.2">
      <c r="A21" s="14" t="s">
        <v>307</v>
      </c>
      <c r="B21" t="s">
        <v>88</v>
      </c>
      <c r="C21" t="s">
        <v>87</v>
      </c>
      <c r="D21" t="s">
        <v>116</v>
      </c>
      <c r="E21" t="s">
        <v>3</v>
      </c>
      <c r="F21" t="s">
        <v>76</v>
      </c>
    </row>
    <row r="22" spans="1:6" x14ac:dyDescent="0.2">
      <c r="A22" s="14" t="s">
        <v>307</v>
      </c>
      <c r="B22" t="s">
        <v>88</v>
      </c>
      <c r="C22" t="s">
        <v>87</v>
      </c>
      <c r="D22" t="s">
        <v>116</v>
      </c>
      <c r="E22" t="s">
        <v>3</v>
      </c>
      <c r="F22" t="s">
        <v>77</v>
      </c>
    </row>
    <row r="23" spans="1:6" x14ac:dyDescent="0.2">
      <c r="A23" s="14" t="s">
        <v>307</v>
      </c>
      <c r="B23" t="s">
        <v>88</v>
      </c>
      <c r="C23" t="s">
        <v>87</v>
      </c>
      <c r="D23" t="s">
        <v>116</v>
      </c>
      <c r="E23" t="s">
        <v>44</v>
      </c>
      <c r="F23" t="s">
        <v>78</v>
      </c>
    </row>
    <row r="24" spans="1:6" x14ac:dyDescent="0.2">
      <c r="A24" s="14" t="s">
        <v>307</v>
      </c>
      <c r="B24" t="s">
        <v>88</v>
      </c>
      <c r="C24" t="s">
        <v>87</v>
      </c>
      <c r="D24" t="s">
        <v>116</v>
      </c>
      <c r="E24" t="s">
        <v>3</v>
      </c>
      <c r="F24" t="s">
        <v>79</v>
      </c>
    </row>
    <row r="25" spans="1:6" x14ac:dyDescent="0.2">
      <c r="A25" s="14" t="s">
        <v>307</v>
      </c>
      <c r="B25" t="s">
        <v>88</v>
      </c>
      <c r="C25" t="s">
        <v>87</v>
      </c>
      <c r="D25" t="s">
        <v>116</v>
      </c>
      <c r="E25" t="s">
        <v>3</v>
      </c>
      <c r="F25" t="s">
        <v>80</v>
      </c>
    </row>
    <row r="26" spans="1:6" x14ac:dyDescent="0.2">
      <c r="A26" s="14" t="s">
        <v>307</v>
      </c>
      <c r="B26" t="s">
        <v>88</v>
      </c>
      <c r="C26" t="s">
        <v>87</v>
      </c>
      <c r="D26" t="s">
        <v>116</v>
      </c>
      <c r="E26" t="s">
        <v>3</v>
      </c>
      <c r="F26" t="s">
        <v>81</v>
      </c>
    </row>
    <row r="27" spans="1:6" x14ac:dyDescent="0.2">
      <c r="A27" s="14" t="s">
        <v>307</v>
      </c>
      <c r="B27" t="s">
        <v>88</v>
      </c>
      <c r="C27" t="s">
        <v>87</v>
      </c>
      <c r="D27" t="s">
        <v>116</v>
      </c>
      <c r="E27" t="s">
        <v>3</v>
      </c>
      <c r="F27" t="s">
        <v>82</v>
      </c>
    </row>
    <row r="28" spans="1:6" x14ac:dyDescent="0.2">
      <c r="A28" s="14" t="s">
        <v>307</v>
      </c>
      <c r="B28" t="s">
        <v>88</v>
      </c>
      <c r="C28" t="s">
        <v>87</v>
      </c>
      <c r="D28" t="s">
        <v>116</v>
      </c>
      <c r="E28" t="s">
        <v>3</v>
      </c>
      <c r="F28" t="s">
        <v>83</v>
      </c>
    </row>
    <row r="29" spans="1:6" x14ac:dyDescent="0.2">
      <c r="A29" s="14" t="s">
        <v>307</v>
      </c>
      <c r="B29" t="s">
        <v>88</v>
      </c>
      <c r="C29" t="s">
        <v>87</v>
      </c>
      <c r="D29" t="s">
        <v>116</v>
      </c>
      <c r="E29" t="s">
        <v>3</v>
      </c>
      <c r="F29" t="s">
        <v>84</v>
      </c>
    </row>
    <row r="30" spans="1:6" x14ac:dyDescent="0.2">
      <c r="A30" s="14" t="s">
        <v>307</v>
      </c>
      <c r="B30" t="s">
        <v>88</v>
      </c>
      <c r="C30" t="s">
        <v>87</v>
      </c>
      <c r="D30" t="s">
        <v>116</v>
      </c>
      <c r="E30" t="s">
        <v>3</v>
      </c>
      <c r="F30" t="s">
        <v>85</v>
      </c>
    </row>
    <row r="31" spans="1:6" x14ac:dyDescent="0.2">
      <c r="A31" s="14" t="s">
        <v>307</v>
      </c>
      <c r="B31" t="s">
        <v>88</v>
      </c>
      <c r="C31" t="s">
        <v>99</v>
      </c>
      <c r="D31" t="s">
        <v>116</v>
      </c>
      <c r="E31" t="s">
        <v>2</v>
      </c>
      <c r="F31" t="s">
        <v>89</v>
      </c>
    </row>
    <row r="32" spans="1:6" x14ac:dyDescent="0.2">
      <c r="A32" s="14" t="s">
        <v>307</v>
      </c>
      <c r="B32" t="s">
        <v>88</v>
      </c>
      <c r="C32" t="s">
        <v>99</v>
      </c>
      <c r="D32" t="s">
        <v>116</v>
      </c>
      <c r="E32" t="s">
        <v>3</v>
      </c>
      <c r="F32" t="s">
        <v>92</v>
      </c>
    </row>
    <row r="33" spans="1:6" x14ac:dyDescent="0.2">
      <c r="A33" s="14" t="s">
        <v>307</v>
      </c>
      <c r="B33" t="s">
        <v>88</v>
      </c>
      <c r="C33" t="s">
        <v>99</v>
      </c>
      <c r="D33" t="s">
        <v>116</v>
      </c>
      <c r="E33" t="s">
        <v>3</v>
      </c>
      <c r="F33" t="s">
        <v>94</v>
      </c>
    </row>
    <row r="34" spans="1:6" x14ac:dyDescent="0.2">
      <c r="A34" s="14" t="s">
        <v>307</v>
      </c>
      <c r="B34" t="s">
        <v>88</v>
      </c>
      <c r="C34" t="s">
        <v>99</v>
      </c>
      <c r="D34" t="s">
        <v>116</v>
      </c>
      <c r="E34" t="s">
        <v>3</v>
      </c>
      <c r="F34" t="s">
        <v>95</v>
      </c>
    </row>
    <row r="35" spans="1:6" x14ac:dyDescent="0.2">
      <c r="A35" s="14" t="s">
        <v>307</v>
      </c>
      <c r="B35" t="s">
        <v>88</v>
      </c>
      <c r="C35" t="s">
        <v>99</v>
      </c>
      <c r="D35" t="s">
        <v>116</v>
      </c>
      <c r="E35" t="s">
        <v>3</v>
      </c>
      <c r="F35" t="s">
        <v>96</v>
      </c>
    </row>
    <row r="36" spans="1:6" x14ac:dyDescent="0.2">
      <c r="A36" s="14" t="s">
        <v>307</v>
      </c>
      <c r="B36" t="s">
        <v>88</v>
      </c>
      <c r="C36" t="s">
        <v>99</v>
      </c>
      <c r="D36" t="s">
        <v>116</v>
      </c>
      <c r="E36" t="s">
        <v>2</v>
      </c>
      <c r="F36" t="s">
        <v>97</v>
      </c>
    </row>
    <row r="37" spans="1:6" x14ac:dyDescent="0.2">
      <c r="A37" s="14" t="s">
        <v>307</v>
      </c>
      <c r="B37" t="s">
        <v>88</v>
      </c>
      <c r="C37" t="s">
        <v>23</v>
      </c>
      <c r="D37" t="s">
        <v>116</v>
      </c>
      <c r="E37" t="s">
        <v>109</v>
      </c>
      <c r="F37" s="14" t="s">
        <v>334</v>
      </c>
    </row>
    <row r="38" spans="1:6" x14ac:dyDescent="0.2">
      <c r="A38" s="14" t="s">
        <v>307</v>
      </c>
      <c r="B38" t="s">
        <v>88</v>
      </c>
      <c r="C38" t="s">
        <v>23</v>
      </c>
      <c r="D38" t="s">
        <v>116</v>
      </c>
      <c r="E38" t="s">
        <v>110</v>
      </c>
      <c r="F38" s="14" t="s">
        <v>335</v>
      </c>
    </row>
    <row r="39" spans="1:6" x14ac:dyDescent="0.2">
      <c r="A39" s="14" t="s">
        <v>307</v>
      </c>
      <c r="B39" t="s">
        <v>88</v>
      </c>
      <c r="C39" t="s">
        <v>23</v>
      </c>
      <c r="D39" t="s">
        <v>116</v>
      </c>
      <c r="E39" t="s">
        <v>110</v>
      </c>
      <c r="F39" s="14" t="s">
        <v>336</v>
      </c>
    </row>
    <row r="40" spans="1:6" x14ac:dyDescent="0.2">
      <c r="A40" s="14" t="s">
        <v>307</v>
      </c>
      <c r="B40" t="s">
        <v>88</v>
      </c>
      <c r="C40" s="14" t="s">
        <v>87</v>
      </c>
      <c r="D40" s="14" t="s">
        <v>337</v>
      </c>
      <c r="E40" s="14" t="s">
        <v>33</v>
      </c>
    </row>
    <row r="41" spans="1:6" x14ac:dyDescent="0.2">
      <c r="A41" s="14" t="s">
        <v>307</v>
      </c>
      <c r="B41" t="s">
        <v>88</v>
      </c>
      <c r="C41" t="s">
        <v>99</v>
      </c>
      <c r="D41" s="14" t="s">
        <v>337</v>
      </c>
      <c r="E41" s="14" t="s">
        <v>107</v>
      </c>
    </row>
    <row r="42" spans="1:6" x14ac:dyDescent="0.2">
      <c r="A42" s="14" t="s">
        <v>307</v>
      </c>
      <c r="B42" t="s">
        <v>88</v>
      </c>
      <c r="C42" s="14" t="s">
        <v>87</v>
      </c>
      <c r="D42" s="14" t="s">
        <v>337</v>
      </c>
      <c r="E42" t="s">
        <v>118</v>
      </c>
      <c r="F42" t="s">
        <v>74</v>
      </c>
    </row>
    <row r="43" spans="1:6" x14ac:dyDescent="0.2">
      <c r="A43" s="14" t="s">
        <v>307</v>
      </c>
      <c r="B43" t="s">
        <v>88</v>
      </c>
      <c r="C43" s="14" t="s">
        <v>87</v>
      </c>
      <c r="D43" s="14" t="s">
        <v>337</v>
      </c>
      <c r="E43" t="s">
        <v>118</v>
      </c>
      <c r="F43" t="s">
        <v>75</v>
      </c>
    </row>
    <row r="44" spans="1:6" x14ac:dyDescent="0.2">
      <c r="A44" s="14" t="s">
        <v>307</v>
      </c>
      <c r="B44" t="s">
        <v>88</v>
      </c>
      <c r="C44" s="14" t="s">
        <v>87</v>
      </c>
      <c r="D44" s="14" t="s">
        <v>337</v>
      </c>
      <c r="E44" t="s">
        <v>118</v>
      </c>
      <c r="F44" t="s">
        <v>76</v>
      </c>
    </row>
    <row r="45" spans="1:6" x14ac:dyDescent="0.2">
      <c r="A45" s="14" t="s">
        <v>307</v>
      </c>
      <c r="B45" t="s">
        <v>88</v>
      </c>
      <c r="C45" s="14" t="s">
        <v>87</v>
      </c>
      <c r="D45" s="14" t="s">
        <v>337</v>
      </c>
      <c r="E45" t="s">
        <v>118</v>
      </c>
      <c r="F45" t="s">
        <v>77</v>
      </c>
    </row>
    <row r="46" spans="1:6" x14ac:dyDescent="0.2">
      <c r="A46" s="14" t="s">
        <v>307</v>
      </c>
      <c r="B46" t="s">
        <v>88</v>
      </c>
      <c r="C46" t="s">
        <v>99</v>
      </c>
      <c r="D46" s="14" t="s">
        <v>337</v>
      </c>
      <c r="E46" t="s">
        <v>111</v>
      </c>
    </row>
    <row r="47" spans="1:6" x14ac:dyDescent="0.2">
      <c r="A47" s="14" t="s">
        <v>307</v>
      </c>
      <c r="B47" t="s">
        <v>103</v>
      </c>
      <c r="C47" t="s">
        <v>104</v>
      </c>
      <c r="D47" t="s">
        <v>116</v>
      </c>
      <c r="E47" t="s">
        <v>11</v>
      </c>
      <c r="F47" t="s">
        <v>202</v>
      </c>
    </row>
    <row r="48" spans="1:6" x14ac:dyDescent="0.2">
      <c r="A48" s="14" t="s">
        <v>307</v>
      </c>
      <c r="B48" t="s">
        <v>103</v>
      </c>
      <c r="C48" t="s">
        <v>104</v>
      </c>
      <c r="D48" t="s">
        <v>116</v>
      </c>
      <c r="E48" t="s">
        <v>11</v>
      </c>
      <c r="F48" t="s">
        <v>100</v>
      </c>
    </row>
    <row r="49" spans="1:6" x14ac:dyDescent="0.2">
      <c r="A49" s="14" t="s">
        <v>307</v>
      </c>
      <c r="B49" t="s">
        <v>103</v>
      </c>
      <c r="C49" t="s">
        <v>104</v>
      </c>
      <c r="D49" t="s">
        <v>116</v>
      </c>
      <c r="E49" t="s">
        <v>11</v>
      </c>
      <c r="F49" t="s">
        <v>28</v>
      </c>
    </row>
    <row r="50" spans="1:6" x14ac:dyDescent="0.2">
      <c r="A50" s="14" t="s">
        <v>307</v>
      </c>
      <c r="B50" t="s">
        <v>103</v>
      </c>
      <c r="C50" t="s">
        <v>104</v>
      </c>
      <c r="D50" t="s">
        <v>116</v>
      </c>
      <c r="E50" t="s">
        <v>11</v>
      </c>
      <c r="F50" t="s">
        <v>101</v>
      </c>
    </row>
    <row r="51" spans="1:6" x14ac:dyDescent="0.2">
      <c r="A51" s="14" t="s">
        <v>307</v>
      </c>
      <c r="B51" t="s">
        <v>103</v>
      </c>
      <c r="C51" t="s">
        <v>12</v>
      </c>
      <c r="D51" t="s">
        <v>117</v>
      </c>
      <c r="E51" t="s">
        <v>12</v>
      </c>
      <c r="F51" t="s">
        <v>12</v>
      </c>
    </row>
    <row r="52" spans="1:6" x14ac:dyDescent="0.2">
      <c r="A52" s="14" t="s">
        <v>307</v>
      </c>
      <c r="B52" t="s">
        <v>103</v>
      </c>
      <c r="C52" t="s">
        <v>102</v>
      </c>
      <c r="D52" t="s">
        <v>117</v>
      </c>
      <c r="E52" s="14" t="s">
        <v>211</v>
      </c>
      <c r="F52" t="s">
        <v>13</v>
      </c>
    </row>
    <row r="53" spans="1:6" x14ac:dyDescent="0.2">
      <c r="A53" s="14" t="s">
        <v>307</v>
      </c>
      <c r="B53" t="s">
        <v>103</v>
      </c>
      <c r="C53" t="s">
        <v>102</v>
      </c>
      <c r="D53" t="s">
        <v>117</v>
      </c>
      <c r="E53" t="s">
        <v>14</v>
      </c>
      <c r="F53" t="s">
        <v>14</v>
      </c>
    </row>
    <row r="54" spans="1:6" x14ac:dyDescent="0.2">
      <c r="A54" s="14" t="s">
        <v>307</v>
      </c>
      <c r="B54" t="s">
        <v>103</v>
      </c>
      <c r="C54" t="s">
        <v>102</v>
      </c>
      <c r="D54" t="s">
        <v>117</v>
      </c>
      <c r="E54" t="s">
        <v>15</v>
      </c>
      <c r="F54" t="s">
        <v>15</v>
      </c>
    </row>
    <row r="55" spans="1:6" x14ac:dyDescent="0.2">
      <c r="A55" s="14" t="s">
        <v>307</v>
      </c>
      <c r="B55" t="s">
        <v>103</v>
      </c>
      <c r="C55" t="s">
        <v>102</v>
      </c>
      <c r="D55" t="s">
        <v>117</v>
      </c>
      <c r="E55" t="s">
        <v>102</v>
      </c>
      <c r="F55" t="s">
        <v>102</v>
      </c>
    </row>
    <row r="56" spans="1:6" x14ac:dyDescent="0.2">
      <c r="A56" s="14" t="s">
        <v>308</v>
      </c>
      <c r="C56" t="s">
        <v>193</v>
      </c>
      <c r="E56" t="s">
        <v>8</v>
      </c>
    </row>
    <row r="57" spans="1:6" x14ac:dyDescent="0.2">
      <c r="A57" s="14" t="s">
        <v>308</v>
      </c>
      <c r="C57" t="s">
        <v>193</v>
      </c>
      <c r="E57" t="s">
        <v>41</v>
      </c>
    </row>
    <row r="58" spans="1:6" x14ac:dyDescent="0.2">
      <c r="A58" s="14" t="s">
        <v>308</v>
      </c>
      <c r="C58" t="s">
        <v>193</v>
      </c>
      <c r="E58" t="s">
        <v>40</v>
      </c>
    </row>
    <row r="59" spans="1:6" x14ac:dyDescent="0.2">
      <c r="A59" s="14" t="s">
        <v>308</v>
      </c>
      <c r="C59" t="s">
        <v>193</v>
      </c>
      <c r="E59" t="s">
        <v>194</v>
      </c>
      <c r="F59" t="s">
        <v>195</v>
      </c>
    </row>
    <row r="60" spans="1:6" x14ac:dyDescent="0.2">
      <c r="A60" s="14" t="s">
        <v>308</v>
      </c>
      <c r="C60" t="s">
        <v>193</v>
      </c>
      <c r="E60" t="s">
        <v>194</v>
      </c>
      <c r="F60" t="s">
        <v>196</v>
      </c>
    </row>
    <row r="61" spans="1:6" x14ac:dyDescent="0.2">
      <c r="A61" s="14" t="s">
        <v>307</v>
      </c>
      <c r="B61" t="s">
        <v>88</v>
      </c>
      <c r="D61" t="s">
        <v>117</v>
      </c>
      <c r="E61" t="s">
        <v>42</v>
      </c>
      <c r="F61" t="s">
        <v>199</v>
      </c>
    </row>
    <row r="62" spans="1:6" x14ac:dyDescent="0.2">
      <c r="A62" s="14" t="s">
        <v>307</v>
      </c>
      <c r="B62" t="s">
        <v>88</v>
      </c>
      <c r="D62" t="s">
        <v>117</v>
      </c>
      <c r="E62" t="s">
        <v>30</v>
      </c>
      <c r="F62" t="s">
        <v>200</v>
      </c>
    </row>
    <row r="63" spans="1:6" x14ac:dyDescent="0.2">
      <c r="A63" s="14" t="s">
        <v>307</v>
      </c>
      <c r="B63" t="s">
        <v>88</v>
      </c>
      <c r="D63" t="s">
        <v>117</v>
      </c>
      <c r="E63" t="s">
        <v>16</v>
      </c>
      <c r="F63" t="s">
        <v>201</v>
      </c>
    </row>
    <row r="64" spans="1:6" x14ac:dyDescent="0.2">
      <c r="A64" s="14" t="s">
        <v>307</v>
      </c>
      <c r="B64" t="s">
        <v>88</v>
      </c>
      <c r="D64" t="s">
        <v>117</v>
      </c>
      <c r="E64" t="s">
        <v>45</v>
      </c>
      <c r="F64" t="s">
        <v>90</v>
      </c>
    </row>
    <row r="65" spans="1:6" x14ac:dyDescent="0.2">
      <c r="A65" s="14" t="s">
        <v>307</v>
      </c>
      <c r="B65" t="s">
        <v>88</v>
      </c>
      <c r="D65" t="s">
        <v>117</v>
      </c>
      <c r="E65" t="s">
        <v>45</v>
      </c>
      <c r="F65" t="s">
        <v>91</v>
      </c>
    </row>
    <row r="66" spans="1:6" x14ac:dyDescent="0.2">
      <c r="A66" s="14" t="s">
        <v>307</v>
      </c>
      <c r="B66" t="s">
        <v>88</v>
      </c>
      <c r="D66" t="s">
        <v>117</v>
      </c>
      <c r="E66" t="s">
        <v>42</v>
      </c>
      <c r="F66" t="s">
        <v>93</v>
      </c>
    </row>
    <row r="67" spans="1:6" x14ac:dyDescent="0.2">
      <c r="A67" s="14" t="s">
        <v>307</v>
      </c>
      <c r="B67" t="s">
        <v>88</v>
      </c>
      <c r="D67" t="s">
        <v>117</v>
      </c>
      <c r="E67" t="s">
        <v>45</v>
      </c>
      <c r="F67" t="s">
        <v>98</v>
      </c>
    </row>
    <row r="68" spans="1:6" x14ac:dyDescent="0.2">
      <c r="A68" s="14" t="s">
        <v>307</v>
      </c>
      <c r="B68" t="s">
        <v>88</v>
      </c>
      <c r="D68" s="14" t="s">
        <v>116</v>
      </c>
      <c r="E68" s="14" t="s">
        <v>265</v>
      </c>
    </row>
    <row r="69" spans="1:6" x14ac:dyDescent="0.2">
      <c r="A69" s="14" t="s">
        <v>307</v>
      </c>
      <c r="B69" t="s">
        <v>88</v>
      </c>
      <c r="D69" s="14" t="s">
        <v>116</v>
      </c>
      <c r="E69" s="14" t="s">
        <v>37</v>
      </c>
    </row>
    <row r="70" spans="1:6" x14ac:dyDescent="0.2">
      <c r="A70" s="14" t="s">
        <v>307</v>
      </c>
      <c r="B70" t="s">
        <v>88</v>
      </c>
      <c r="D70" t="s">
        <v>117</v>
      </c>
      <c r="E70" s="14" t="s">
        <v>38</v>
      </c>
    </row>
    <row r="71" spans="1:6" x14ac:dyDescent="0.2">
      <c r="A71" s="14" t="s">
        <v>307</v>
      </c>
      <c r="B71" t="s">
        <v>88</v>
      </c>
      <c r="D71" t="s">
        <v>117</v>
      </c>
      <c r="E71" s="14" t="s">
        <v>210</v>
      </c>
    </row>
    <row r="72" spans="1:6" x14ac:dyDescent="0.2">
      <c r="A72" s="14" t="s">
        <v>307</v>
      </c>
      <c r="B72" t="s">
        <v>88</v>
      </c>
      <c r="D72" s="14" t="s">
        <v>116</v>
      </c>
      <c r="E72" s="14" t="s">
        <v>7</v>
      </c>
      <c r="F72" s="14" t="s">
        <v>309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384-6C29-4B16-B77E-1BC8023952CE}">
  <sheetPr codeName="Sheet3">
    <tabColor theme="9"/>
  </sheetPr>
  <dimension ref="A1:C26"/>
  <sheetViews>
    <sheetView workbookViewId="0"/>
  </sheetViews>
  <sheetFormatPr defaultRowHeight="12.75" x14ac:dyDescent="0.2"/>
  <cols>
    <col min="1" max="1" width="10.140625" bestFit="1" customWidth="1"/>
    <col min="2" max="2" width="30.5703125" bestFit="1" customWidth="1"/>
    <col min="3" max="3" width="16.5703125" bestFit="1" customWidth="1"/>
  </cols>
  <sheetData>
    <row r="1" spans="1:3" s="9" customFormat="1" ht="15" x14ac:dyDescent="0.35">
      <c r="A1" s="9" t="s">
        <v>257</v>
      </c>
      <c r="B1" s="9" t="s">
        <v>218</v>
      </c>
      <c r="C1" s="149" t="s">
        <v>221</v>
      </c>
    </row>
    <row r="2" spans="1:3" x14ac:dyDescent="0.2">
      <c r="A2" t="str" cm="1">
        <f t="array" ref="A2:A5">_xlfn.UNIQUE(_xlfn._xlws.FILTER('Categorized Inputs'!$E:$E,'Categorized Inputs'!$C:$C="Asset"))</f>
        <v>Cash</v>
      </c>
      <c r="B2" t="str" cm="1">
        <f t="array" ref="B2:B26">_xlfn.UNIQUE(_xlfn._xlws.FILTER('Categorized Inputs'!$E:$E,'Categorized Inputs'!$A:$A="Cash Flow"))</f>
        <v>Housing</v>
      </c>
      <c r="C2" t="s">
        <v>222</v>
      </c>
    </row>
    <row r="3" spans="1:3" x14ac:dyDescent="0.2">
      <c r="A3" t="str">
        <v>Brokerage</v>
      </c>
      <c r="B3" t="str">
        <v>Dues &amp; Memberships</v>
      </c>
      <c r="C3" t="s">
        <v>223</v>
      </c>
    </row>
    <row r="4" spans="1:3" x14ac:dyDescent="0.2">
      <c r="A4" t="str">
        <v>Retirement</v>
      </c>
      <c r="B4" t="str">
        <v>Transportation</v>
      </c>
      <c r="C4" t="s">
        <v>224</v>
      </c>
    </row>
    <row r="5" spans="1:3" x14ac:dyDescent="0.2">
      <c r="A5" t="str">
        <v>Real Asset</v>
      </c>
      <c r="B5" t="str">
        <v>Health</v>
      </c>
      <c r="C5" t="s">
        <v>225</v>
      </c>
    </row>
    <row r="6" spans="1:3" x14ac:dyDescent="0.2">
      <c r="B6" t="str">
        <v>Groceries</v>
      </c>
    </row>
    <row r="7" spans="1:3" x14ac:dyDescent="0.2">
      <c r="B7" t="str">
        <v>Food &amp; Drinks</v>
      </c>
    </row>
    <row r="8" spans="1:3" x14ac:dyDescent="0.2">
      <c r="B8" t="str">
        <v>Brokerage Contributions</v>
      </c>
    </row>
    <row r="9" spans="1:3" x14ac:dyDescent="0.2">
      <c r="B9" t="str">
        <v>Retirement Contributions</v>
      </c>
    </row>
    <row r="10" spans="1:3" x14ac:dyDescent="0.2">
      <c r="B10" t="str">
        <v>Taxes</v>
      </c>
    </row>
    <row r="11" spans="1:3" x14ac:dyDescent="0.2">
      <c r="B11" t="str">
        <v>Retirement Deductions</v>
      </c>
    </row>
    <row r="12" spans="1:3" x14ac:dyDescent="0.2">
      <c r="B12" t="str">
        <v>Other Deductions</v>
      </c>
    </row>
    <row r="13" spans="1:3" x14ac:dyDescent="0.2">
      <c r="B13" t="str">
        <v>Employer Retirement Contributions</v>
      </c>
    </row>
    <row r="14" spans="1:3" x14ac:dyDescent="0.2">
      <c r="B14" t="str">
        <v>Salary</v>
      </c>
    </row>
    <row r="15" spans="1:3" x14ac:dyDescent="0.2">
      <c r="B15" t="str">
        <v>Bonus</v>
      </c>
    </row>
    <row r="16" spans="1:3" x14ac:dyDescent="0.2">
      <c r="B16" t="str">
        <v>Friend Receivable</v>
      </c>
    </row>
    <row r="17" spans="2:2" x14ac:dyDescent="0.2">
      <c r="B17" t="str">
        <v>Selling &amp; Refunds</v>
      </c>
    </row>
    <row r="18" spans="2:2" x14ac:dyDescent="0.2">
      <c r="B18" t="str">
        <v>Brokerage Cashout</v>
      </c>
    </row>
    <row r="19" spans="2:2" x14ac:dyDescent="0.2">
      <c r="B19" t="str">
        <v>Other</v>
      </c>
    </row>
    <row r="20" spans="2:2" x14ac:dyDescent="0.2">
      <c r="B20" t="str">
        <v>Wishlist</v>
      </c>
    </row>
    <row r="21" spans="2:2" x14ac:dyDescent="0.2">
      <c r="B21" t="str">
        <v>Travel &amp; Events</v>
      </c>
    </row>
    <row r="22" spans="2:2" x14ac:dyDescent="0.2">
      <c r="B22" t="str">
        <v>Medication &amp; Supplements</v>
      </c>
    </row>
    <row r="23" spans="2:2" x14ac:dyDescent="0.2">
      <c r="B23" t="str">
        <v>Other Earnings</v>
      </c>
    </row>
    <row r="24" spans="2:2" x14ac:dyDescent="0.2">
      <c r="B24" t="str">
        <v>Other Inflows</v>
      </c>
    </row>
    <row r="25" spans="2:2" x14ac:dyDescent="0.2">
      <c r="B25" t="str">
        <v>Friend Payment</v>
      </c>
    </row>
    <row r="26" spans="2:2" x14ac:dyDescent="0.2">
      <c r="B26" t="str">
        <v>Loans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51D9-0987-4462-BC45-241C646391CC}">
  <sheetPr codeName="Sheet7">
    <tabColor rgb="FFFF0000"/>
  </sheetPr>
  <dimension ref="A1"/>
  <sheetViews>
    <sheetView workbookViewId="0"/>
  </sheetViews>
  <sheetFormatPr defaultColWidth="9.140625" defaultRowHeight="12.75" x14ac:dyDescent="0.2"/>
  <cols>
    <col min="1" max="1" width="2.7109375" style="13" customWidth="1"/>
    <col min="2" max="16384" width="9.140625" style="13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A20-D9A6-4E50-97AD-C21F6F219053}">
  <sheetPr codeName="Sheet2">
    <tabColor theme="6"/>
  </sheetPr>
  <dimension ref="B2:E38"/>
  <sheetViews>
    <sheetView tabSelected="1" workbookViewId="0">
      <selection activeCell="O21" sqref="O21"/>
    </sheetView>
  </sheetViews>
  <sheetFormatPr defaultRowHeight="12.75" x14ac:dyDescent="0.2"/>
  <cols>
    <col min="1" max="1" width="2.85546875" customWidth="1"/>
    <col min="2" max="2" width="2.7109375" customWidth="1"/>
    <col min="3" max="3" width="20.85546875" bestFit="1" customWidth="1"/>
    <col min="4" max="4" width="2.140625" bestFit="1" customWidth="1"/>
  </cols>
  <sheetData>
    <row r="2" spans="2:5" x14ac:dyDescent="0.2">
      <c r="B2" s="135" t="s">
        <v>320</v>
      </c>
      <c r="C2" s="135"/>
    </row>
    <row r="3" spans="2:5" x14ac:dyDescent="0.2">
      <c r="B3" s="14" t="s">
        <v>321</v>
      </c>
      <c r="C3" s="14" t="s">
        <v>322</v>
      </c>
    </row>
    <row r="4" spans="2:5" x14ac:dyDescent="0.2">
      <c r="B4" s="14" t="s">
        <v>323</v>
      </c>
      <c r="C4" s="14" t="s">
        <v>324</v>
      </c>
    </row>
    <row r="5" spans="2:5" x14ac:dyDescent="0.2">
      <c r="B5" s="14" t="s">
        <v>325</v>
      </c>
      <c r="C5" s="14" t="s">
        <v>339</v>
      </c>
    </row>
    <row r="6" spans="2:5" x14ac:dyDescent="0.2">
      <c r="B6" s="14" t="s">
        <v>326</v>
      </c>
      <c r="C6" s="14" t="s">
        <v>327</v>
      </c>
    </row>
    <row r="7" spans="2:5" x14ac:dyDescent="0.2">
      <c r="B7" s="14"/>
      <c r="C7" s="14"/>
    </row>
    <row r="8" spans="2:5" s="146" customFormat="1" x14ac:dyDescent="0.2">
      <c r="B8" s="42" t="s">
        <v>215</v>
      </c>
      <c r="C8" s="42"/>
    </row>
    <row r="10" spans="2:5" x14ac:dyDescent="0.2">
      <c r="B10" s="135" t="s">
        <v>189</v>
      </c>
      <c r="C10" s="135"/>
    </row>
    <row r="11" spans="2:5" x14ac:dyDescent="0.2">
      <c r="B11" s="14" t="s">
        <v>133</v>
      </c>
      <c r="C11" s="14"/>
      <c r="D11" s="73" t="s">
        <v>120</v>
      </c>
      <c r="E11" s="14" t="s">
        <v>340</v>
      </c>
    </row>
    <row r="12" spans="2:5" x14ac:dyDescent="0.2">
      <c r="B12" s="14" t="s">
        <v>135</v>
      </c>
      <c r="C12" s="14"/>
      <c r="D12" s="73" t="s">
        <v>120</v>
      </c>
      <c r="E12" s="14" t="s">
        <v>134</v>
      </c>
    </row>
    <row r="13" spans="2:5" x14ac:dyDescent="0.2">
      <c r="B13" s="14" t="s">
        <v>41</v>
      </c>
      <c r="C13" s="14"/>
      <c r="D13" s="73" t="s">
        <v>120</v>
      </c>
      <c r="E13" s="14" t="s">
        <v>341</v>
      </c>
    </row>
    <row r="14" spans="2:5" x14ac:dyDescent="0.2">
      <c r="B14" s="14" t="s">
        <v>40</v>
      </c>
      <c r="C14" s="14"/>
      <c r="D14" s="73" t="s">
        <v>120</v>
      </c>
      <c r="E14" s="14" t="s">
        <v>342</v>
      </c>
    </row>
    <row r="15" spans="2:5" x14ac:dyDescent="0.2">
      <c r="B15" s="14" t="s">
        <v>136</v>
      </c>
      <c r="C15" s="14"/>
      <c r="D15" s="73" t="s">
        <v>120</v>
      </c>
      <c r="E15" s="14" t="s">
        <v>343</v>
      </c>
    </row>
    <row r="16" spans="2:5" x14ac:dyDescent="0.2">
      <c r="B16" s="14" t="s">
        <v>8</v>
      </c>
      <c r="C16" s="14"/>
      <c r="D16" s="14" t="s">
        <v>120</v>
      </c>
      <c r="E16" t="s">
        <v>206</v>
      </c>
    </row>
    <row r="18" spans="2:5" x14ac:dyDescent="0.2">
      <c r="B18" s="135" t="s">
        <v>190</v>
      </c>
      <c r="C18" s="135"/>
      <c r="D18" s="73"/>
      <c r="E18" s="14"/>
    </row>
    <row r="19" spans="2:5" x14ac:dyDescent="0.2">
      <c r="B19" s="15" t="s">
        <v>132</v>
      </c>
      <c r="C19" s="15"/>
      <c r="D19" s="73" t="s">
        <v>120</v>
      </c>
      <c r="E19" s="14" t="s">
        <v>180</v>
      </c>
    </row>
    <row r="20" spans="2:5" x14ac:dyDescent="0.2">
      <c r="B20" s="72" t="s">
        <v>131</v>
      </c>
      <c r="C20" s="72"/>
      <c r="D20" s="73" t="s">
        <v>120</v>
      </c>
      <c r="E20" s="14" t="s">
        <v>181</v>
      </c>
    </row>
    <row r="21" spans="2:5" x14ac:dyDescent="0.2">
      <c r="B21" s="71" t="s">
        <v>119</v>
      </c>
      <c r="C21" s="71"/>
      <c r="D21" s="73" t="s">
        <v>120</v>
      </c>
      <c r="E21" s="14" t="s">
        <v>349</v>
      </c>
    </row>
    <row r="22" spans="2:5" x14ac:dyDescent="0.2">
      <c r="B22" s="113"/>
      <c r="C22" s="113"/>
      <c r="D22" s="73"/>
      <c r="E22" s="14"/>
    </row>
    <row r="23" spans="2:5" x14ac:dyDescent="0.2">
      <c r="B23" s="136" t="s">
        <v>318</v>
      </c>
      <c r="C23" s="136"/>
      <c r="D23" s="73"/>
      <c r="E23" s="14"/>
    </row>
    <row r="24" spans="2:5" x14ac:dyDescent="0.2">
      <c r="B24" s="14" t="s">
        <v>182</v>
      </c>
      <c r="C24" s="14"/>
      <c r="D24" s="14" t="s">
        <v>120</v>
      </c>
      <c r="E24" t="s">
        <v>205</v>
      </c>
    </row>
    <row r="25" spans="2:5" x14ac:dyDescent="0.2">
      <c r="B25" s="14" t="s">
        <v>184</v>
      </c>
      <c r="C25" s="14"/>
      <c r="D25" s="14" t="s">
        <v>120</v>
      </c>
      <c r="E25" t="s">
        <v>183</v>
      </c>
    </row>
    <row r="26" spans="2:5" x14ac:dyDescent="0.2">
      <c r="B26" s="14" t="s">
        <v>185</v>
      </c>
      <c r="C26" s="14"/>
      <c r="D26" s="14" t="s">
        <v>120</v>
      </c>
      <c r="E26" t="s">
        <v>188</v>
      </c>
    </row>
    <row r="27" spans="2:5" x14ac:dyDescent="0.2">
      <c r="B27" s="14" t="s">
        <v>186</v>
      </c>
      <c r="C27" s="14"/>
      <c r="D27" s="14" t="s">
        <v>120</v>
      </c>
      <c r="E27" t="s">
        <v>187</v>
      </c>
    </row>
    <row r="34" spans="2:2" s="146" customFormat="1" x14ac:dyDescent="0.2">
      <c r="B34" s="42" t="s">
        <v>319</v>
      </c>
    </row>
    <row r="36" spans="2:2" x14ac:dyDescent="0.2">
      <c r="B36" s="14" t="s">
        <v>338</v>
      </c>
    </row>
    <row r="37" spans="2:2" x14ac:dyDescent="0.2">
      <c r="B37" s="14" t="s">
        <v>214</v>
      </c>
    </row>
    <row r="38" spans="2:2" x14ac:dyDescent="0.2">
      <c r="B38" s="14" t="s">
        <v>213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A0A3-6000-4FCF-9738-A3321631AF9A}">
  <sheetPr codeName="Sheet5"/>
  <dimension ref="A1"/>
  <sheetViews>
    <sheetView workbookViewId="0"/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05C2-B667-4769-8178-2C34FF729726}">
  <sheetPr codeName="Sheet6">
    <tabColor theme="7"/>
  </sheetPr>
  <dimension ref="A1:V10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M17" sqref="M17"/>
    </sheetView>
  </sheetViews>
  <sheetFormatPr defaultColWidth="7.7109375" defaultRowHeight="12.75" x14ac:dyDescent="0.2"/>
  <cols>
    <col min="1" max="1" width="1" style="20" customWidth="1"/>
    <col min="2" max="2" width="30.5703125" style="5" bestFit="1" customWidth="1"/>
    <col min="3" max="3" width="10.28515625" style="5" customWidth="1"/>
    <col min="4" max="11" width="11.28515625" style="5" bestFit="1" customWidth="1"/>
    <col min="12" max="14" width="12.28515625" style="5" bestFit="1" customWidth="1"/>
    <col min="15" max="15" width="1.28515625" style="5" customWidth="1"/>
    <col min="16" max="16" width="10.42578125" style="5" customWidth="1"/>
    <col min="17" max="17" width="1" style="20" customWidth="1"/>
    <col min="18" max="18" width="30.42578125" style="20" bestFit="1" customWidth="1"/>
    <col min="19" max="19" width="9.85546875" style="5" bestFit="1" customWidth="1"/>
    <col min="20" max="20" width="10.42578125" style="5" bestFit="1" customWidth="1"/>
    <col min="21" max="21" width="14.5703125" style="5" customWidth="1"/>
    <col min="22" max="22" width="10.42578125" style="6" bestFit="1" customWidth="1"/>
    <col min="23" max="23" width="10.42578125" style="5" customWidth="1"/>
    <col min="24" max="26" width="9.140625" style="5" customWidth="1"/>
    <col min="27" max="27" width="7.7109375" style="5"/>
    <col min="28" max="28" width="18.85546875" style="5" customWidth="1"/>
    <col min="29" max="29" width="22" style="5" bestFit="1" customWidth="1"/>
    <col min="30" max="30" width="7.7109375" style="5"/>
    <col min="31" max="31" width="10.42578125" style="5" bestFit="1" customWidth="1"/>
    <col min="32" max="33" width="7.7109375" style="5"/>
    <col min="34" max="34" width="10.42578125" style="5" bestFit="1" customWidth="1"/>
    <col min="35" max="16384" width="7.7109375" style="5"/>
  </cols>
  <sheetData>
    <row r="1" spans="1:22" ht="5.0999999999999996" customHeight="1" x14ac:dyDescent="0.2">
      <c r="A1" s="5"/>
      <c r="B1" s="47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31"/>
      <c r="Q1" s="32" t="s">
        <v>53</v>
      </c>
      <c r="V1" s="5"/>
    </row>
    <row r="2" spans="1:22" ht="12.75" customHeight="1" x14ac:dyDescent="0.2">
      <c r="B2" s="48" t="s">
        <v>39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28"/>
    </row>
    <row r="3" spans="1:22" ht="5.0999999999999996" customHeight="1" thickBot="1" x14ac:dyDescent="0.25">
      <c r="A3" s="5"/>
      <c r="B3" s="4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31"/>
      <c r="Q3" s="28"/>
      <c r="V3" s="5"/>
    </row>
    <row r="4" spans="1:22" ht="13.5" thickBot="1" x14ac:dyDescent="0.25">
      <c r="B4" s="49"/>
      <c r="C4" s="126">
        <f ca="1">TODAY()</f>
        <v>45689</v>
      </c>
      <c r="D4" s="7">
        <f ca="1">EOMONTH(C4,0)+1</f>
        <v>45717</v>
      </c>
      <c r="E4" s="7">
        <f t="shared" ref="E4:N4" ca="1" si="0">EDATE(D4,1)</f>
        <v>45748</v>
      </c>
      <c r="F4" s="7">
        <f t="shared" ca="1" si="0"/>
        <v>45778</v>
      </c>
      <c r="G4" s="7">
        <f t="shared" ca="1" si="0"/>
        <v>45809</v>
      </c>
      <c r="H4" s="7">
        <f t="shared" ca="1" si="0"/>
        <v>45839</v>
      </c>
      <c r="I4" s="7">
        <f t="shared" ca="1" si="0"/>
        <v>45870</v>
      </c>
      <c r="J4" s="7">
        <f t="shared" ca="1" si="0"/>
        <v>45901</v>
      </c>
      <c r="K4" s="7">
        <f t="shared" ca="1" si="0"/>
        <v>45931</v>
      </c>
      <c r="L4" s="7">
        <f t="shared" ca="1" si="0"/>
        <v>45962</v>
      </c>
      <c r="M4" s="7">
        <f t="shared" ca="1" si="0"/>
        <v>45992</v>
      </c>
      <c r="N4" s="7">
        <f t="shared" ca="1" si="0"/>
        <v>46023</v>
      </c>
      <c r="O4" s="7"/>
      <c r="P4" s="80" t="s">
        <v>178</v>
      </c>
      <c r="Q4" s="29"/>
    </row>
    <row r="5" spans="1:22" ht="5.0999999999999996" customHeight="1" x14ac:dyDescent="0.2">
      <c r="A5" s="5"/>
      <c r="B5" s="49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4"/>
      <c r="V5" s="5"/>
    </row>
    <row r="6" spans="1:22" x14ac:dyDescent="0.2">
      <c r="A6" s="5"/>
      <c r="B6" s="50" t="s">
        <v>49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4"/>
      <c r="R6" s="50" t="s">
        <v>192</v>
      </c>
      <c r="V6" s="5"/>
    </row>
    <row r="7" spans="1:22" ht="5.0999999999999996" customHeight="1" x14ac:dyDescent="0.2">
      <c r="A7" s="5"/>
      <c r="B7" s="55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7"/>
      <c r="R7" s="28"/>
      <c r="V7" s="5"/>
    </row>
    <row r="8" spans="1:22" ht="12.75" customHeight="1" x14ac:dyDescent="0.2">
      <c r="B8" s="70" t="s">
        <v>121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41"/>
      <c r="Q8" s="37"/>
      <c r="R8" s="28"/>
    </row>
    <row r="9" spans="1:22" ht="12.75" customHeight="1" x14ac:dyDescent="0.2">
      <c r="B9" s="69" t="s">
        <v>50</v>
      </c>
      <c r="C9" s="83">
        <f t="shared" ref="C9:N9" ca="1" si="1">C42</f>
        <v>5023.8310709787402</v>
      </c>
      <c r="D9" s="83">
        <f t="shared" ca="1" si="1"/>
        <v>10908.509319976922</v>
      </c>
      <c r="E9" s="83">
        <f t="shared" ca="1" si="1"/>
        <v>4764.2734298797122</v>
      </c>
      <c r="F9" s="83">
        <f t="shared" ca="1" si="1"/>
        <v>7085.9677859185958</v>
      </c>
      <c r="G9" s="83">
        <f t="shared" ca="1" si="1"/>
        <v>5264.2734298797122</v>
      </c>
      <c r="H9" s="83">
        <f t="shared" ca="1" si="1"/>
        <v>4824.7157887806843</v>
      </c>
      <c r="I9" s="83">
        <f t="shared" ca="1" si="1"/>
        <v>4764.2734298797122</v>
      </c>
      <c r="J9" s="83">
        <f t="shared" ca="1" si="1"/>
        <v>4764.2734298797122</v>
      </c>
      <c r="K9" s="83">
        <f t="shared" ca="1" si="1"/>
        <v>7085.9677859185958</v>
      </c>
      <c r="L9" s="83">
        <f t="shared" ca="1" si="1"/>
        <v>4764.2734298797122</v>
      </c>
      <c r="M9" s="83">
        <f t="shared" ca="1" si="1"/>
        <v>4824.7157887806843</v>
      </c>
      <c r="N9" s="83">
        <f t="shared" ca="1" si="1"/>
        <v>4764.2734298797122</v>
      </c>
      <c r="O9" s="82"/>
      <c r="P9" s="84">
        <f ca="1">SUM(C9:N9)</f>
        <v>68839.348119632501</v>
      </c>
      <c r="Q9" s="37"/>
      <c r="R9" s="28"/>
    </row>
    <row r="10" spans="1:22" ht="12.75" customHeight="1" x14ac:dyDescent="0.2">
      <c r="B10" s="69" t="s">
        <v>51</v>
      </c>
      <c r="C10" s="83">
        <f ca="1">C74</f>
        <v>7684.47</v>
      </c>
      <c r="D10" s="83">
        <f t="shared" ref="D10:N10" ca="1" si="2">D74</f>
        <v>8384.4699999999993</v>
      </c>
      <c r="E10" s="83">
        <f t="shared" ca="1" si="2"/>
        <v>4434.47</v>
      </c>
      <c r="F10" s="83">
        <f t="shared" ca="1" si="2"/>
        <v>5734.47</v>
      </c>
      <c r="G10" s="83">
        <f t="shared" ca="1" si="2"/>
        <v>5103.47</v>
      </c>
      <c r="H10" s="83">
        <f t="shared" ca="1" si="2"/>
        <v>4284.47</v>
      </c>
      <c r="I10" s="83">
        <f t="shared" ca="1" si="2"/>
        <v>4634.47</v>
      </c>
      <c r="J10" s="83">
        <f t="shared" ca="1" si="2"/>
        <v>4384.47</v>
      </c>
      <c r="K10" s="83">
        <f t="shared" ca="1" si="2"/>
        <v>4534.47</v>
      </c>
      <c r="L10" s="83">
        <f t="shared" ca="1" si="2"/>
        <v>4684.47</v>
      </c>
      <c r="M10" s="83">
        <f t="shared" ca="1" si="2"/>
        <v>4834.47</v>
      </c>
      <c r="N10" s="83">
        <f t="shared" ca="1" si="2"/>
        <v>4334.47</v>
      </c>
      <c r="O10" s="82"/>
      <c r="P10" s="84">
        <f ca="1">SUM(C10:N10)</f>
        <v>63032.640000000007</v>
      </c>
      <c r="Q10" s="37"/>
      <c r="R10" s="28"/>
    </row>
    <row r="11" spans="1:22" ht="12.75" customHeight="1" x14ac:dyDescent="0.2">
      <c r="B11" s="51" t="s">
        <v>122</v>
      </c>
      <c r="C11" s="85">
        <f ca="1">C9-C10</f>
        <v>-2660.6389290212601</v>
      </c>
      <c r="D11" s="85">
        <f t="shared" ref="D11:N11" ca="1" si="3">D9-D10</f>
        <v>2524.0393199769223</v>
      </c>
      <c r="E11" s="85">
        <f t="shared" ca="1" si="3"/>
        <v>329.80342987971198</v>
      </c>
      <c r="F11" s="85">
        <f t="shared" ca="1" si="3"/>
        <v>1351.4977859185956</v>
      </c>
      <c r="G11" s="85">
        <f t="shared" ca="1" si="3"/>
        <v>160.80342987971198</v>
      </c>
      <c r="H11" s="85">
        <f t="shared" ca="1" si="3"/>
        <v>540.24578878068405</v>
      </c>
      <c r="I11" s="85">
        <f t="shared" ca="1" si="3"/>
        <v>129.80342987971198</v>
      </c>
      <c r="J11" s="85">
        <f t="shared" ca="1" si="3"/>
        <v>379.80342987971198</v>
      </c>
      <c r="K11" s="85">
        <f t="shared" ca="1" si="3"/>
        <v>2551.4977859185956</v>
      </c>
      <c r="L11" s="85">
        <f t="shared" ca="1" si="3"/>
        <v>79.803429879711985</v>
      </c>
      <c r="M11" s="85">
        <f t="shared" ca="1" si="3"/>
        <v>-9.7542112193159483</v>
      </c>
      <c r="N11" s="85">
        <f t="shared" ca="1" si="3"/>
        <v>429.80342987971198</v>
      </c>
      <c r="O11" s="85"/>
      <c r="P11" s="86">
        <f ca="1">SUM(C11:N11)</f>
        <v>5806.7081196324934</v>
      </c>
      <c r="Q11" s="37"/>
      <c r="R11" s="28"/>
    </row>
    <row r="12" spans="1:22" ht="12.75" customHeight="1" x14ac:dyDescent="0.2">
      <c r="A12" s="5"/>
      <c r="B12" s="145" t="s">
        <v>209</v>
      </c>
      <c r="C12" s="82">
        <f t="shared" ref="C12:N12" ca="1" si="4">C9-SUM(C37)+SUM(C63:C64,C27:C27,C69:C70)</f>
        <v>9733.8310709787402</v>
      </c>
      <c r="D12" s="82">
        <f t="shared" ca="1" si="4"/>
        <v>14628.509319976922</v>
      </c>
      <c r="E12" s="82">
        <f t="shared" ca="1" si="4"/>
        <v>6384.2734298797122</v>
      </c>
      <c r="F12" s="82">
        <f t="shared" ca="1" si="4"/>
        <v>9255.9677859185958</v>
      </c>
      <c r="G12" s="82">
        <f t="shared" ca="1" si="4"/>
        <v>6284.2734298797122</v>
      </c>
      <c r="H12" s="82">
        <f t="shared" ca="1" si="4"/>
        <v>6354.7157887806843</v>
      </c>
      <c r="I12" s="82">
        <f t="shared" ca="1" si="4"/>
        <v>6284.2734298797122</v>
      </c>
      <c r="J12" s="82">
        <f t="shared" ca="1" si="4"/>
        <v>6284.2734298797122</v>
      </c>
      <c r="K12" s="82">
        <f t="shared" ca="1" si="4"/>
        <v>9255.9677859185958</v>
      </c>
      <c r="L12" s="82">
        <f t="shared" ca="1" si="4"/>
        <v>6284.2734298797122</v>
      </c>
      <c r="M12" s="82">
        <f t="shared" ca="1" si="4"/>
        <v>6354.7157887806843</v>
      </c>
      <c r="N12" s="82">
        <f t="shared" ca="1" si="4"/>
        <v>6284.2734298797122</v>
      </c>
      <c r="O12" s="82"/>
      <c r="P12" s="82">
        <f ca="1">P9-SUM(P37)+SUM(P63:P64,P27:P27,P69:P70)</f>
        <v>93389.348119632501</v>
      </c>
      <c r="Q12" s="37"/>
      <c r="R12" s="28"/>
      <c r="V12" s="5"/>
    </row>
    <row r="13" spans="1:22" ht="5.0999999999999996" customHeight="1" x14ac:dyDescent="0.2">
      <c r="A13" s="5"/>
      <c r="B13" s="55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37"/>
      <c r="R13" s="28"/>
      <c r="V13" s="5"/>
    </row>
    <row r="14" spans="1:22" ht="12.75" customHeight="1" x14ac:dyDescent="0.2">
      <c r="B14" s="70" t="s">
        <v>115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7"/>
      <c r="Q14" s="38"/>
      <c r="R14" s="28"/>
    </row>
    <row r="15" spans="1:22" ht="12.75" customHeight="1" x14ac:dyDescent="0.2">
      <c r="B15" s="69" t="s">
        <v>8</v>
      </c>
      <c r="C15" s="83">
        <f ca="1">'Balances &amp; Actions'!C6+C11</f>
        <v>36649.361070978739</v>
      </c>
      <c r="D15" s="83">
        <f t="shared" ref="D15:N15" ca="1" si="5">C15+D11</f>
        <v>39173.400390955663</v>
      </c>
      <c r="E15" s="83">
        <f t="shared" ca="1" si="5"/>
        <v>39503.203820835377</v>
      </c>
      <c r="F15" s="83">
        <f t="shared" ca="1" si="5"/>
        <v>40854.701606753973</v>
      </c>
      <c r="G15" s="83">
        <f t="shared" ca="1" si="5"/>
        <v>41015.505036633687</v>
      </c>
      <c r="H15" s="83">
        <f t="shared" ca="1" si="5"/>
        <v>41555.750825414369</v>
      </c>
      <c r="I15" s="83">
        <f t="shared" ca="1" si="5"/>
        <v>41685.554255294082</v>
      </c>
      <c r="J15" s="83">
        <f t="shared" ca="1" si="5"/>
        <v>42065.357685173796</v>
      </c>
      <c r="K15" s="83">
        <f t="shared" ca="1" si="5"/>
        <v>44616.855471092393</v>
      </c>
      <c r="L15" s="83">
        <f t="shared" ca="1" si="5"/>
        <v>44696.658900972106</v>
      </c>
      <c r="M15" s="83">
        <f t="shared" ca="1" si="5"/>
        <v>44686.904689752788</v>
      </c>
      <c r="N15" s="83">
        <f t="shared" ca="1" si="5"/>
        <v>45116.708119632502</v>
      </c>
      <c r="O15" s="82"/>
      <c r="P15" s="84">
        <f ca="1">N15</f>
        <v>45116.708119632502</v>
      </c>
      <c r="Q15" s="38"/>
      <c r="R15" s="28"/>
    </row>
    <row r="16" spans="1:22" ht="12.75" customHeight="1" x14ac:dyDescent="0.2">
      <c r="B16" s="51" t="s">
        <v>52</v>
      </c>
      <c r="C16" s="85">
        <f t="shared" ref="C16:N16" ca="1" si="6">C97</f>
        <v>146903.36107097875</v>
      </c>
      <c r="D16" s="85">
        <f t="shared" ca="1" si="6"/>
        <v>153875.40039095568</v>
      </c>
      <c r="E16" s="85">
        <f t="shared" ca="1" si="6"/>
        <v>156153.20382083539</v>
      </c>
      <c r="F16" s="85">
        <f t="shared" ca="1" si="6"/>
        <v>160162.70160675398</v>
      </c>
      <c r="G16" s="85">
        <f t="shared" ca="1" si="6"/>
        <v>161671.50503663369</v>
      </c>
      <c r="H16" s="85">
        <f t="shared" ca="1" si="6"/>
        <v>164073.75082541438</v>
      </c>
      <c r="I16" s="85">
        <f t="shared" ca="1" si="6"/>
        <v>166051.55425529409</v>
      </c>
      <c r="J16" s="85">
        <f t="shared" ca="1" si="6"/>
        <v>168279.3576851738</v>
      </c>
      <c r="K16" s="85">
        <f t="shared" ca="1" si="6"/>
        <v>173488.85547109239</v>
      </c>
      <c r="L16" s="85">
        <f t="shared" ca="1" si="6"/>
        <v>175416.65890097211</v>
      </c>
      <c r="M16" s="85">
        <f t="shared" ca="1" si="6"/>
        <v>177268.90468975279</v>
      </c>
      <c r="N16" s="85">
        <f t="shared" ca="1" si="6"/>
        <v>179546.7081196325</v>
      </c>
      <c r="O16" s="85"/>
      <c r="P16" s="86">
        <f ca="1">N16</f>
        <v>179546.7081196325</v>
      </c>
      <c r="Q16" s="38"/>
      <c r="R16" s="28"/>
    </row>
    <row r="18" spans="1:22" ht="12.75" customHeight="1" x14ac:dyDescent="0.2">
      <c r="B18" s="53" t="s">
        <v>34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37"/>
      <c r="R18" s="28"/>
    </row>
    <row r="19" spans="1:22" ht="12.75" customHeight="1" x14ac:dyDescent="0.2">
      <c r="B19" s="54" t="s">
        <v>11</v>
      </c>
      <c r="C19" s="90">
        <f ca="1">_xlfn.LET(
_xlpm.recurring,SUMIFS(INDEX(recurring_master!$A:$AB,,MATCH($B19,recurring_master!$A$1:$AB$1,0)),recurring_master!$A:$A,"&lt;="&amp;EOMONTH(C$4,0),recurring_master!$A:$A,"&gt;="&amp;C$4),
_xlpm.planned,SUMIFS(Planned!$F:$F,Planned!$B:$B,$B19,Planned!$E:$E,"&gt;="&amp;C$4,Planned!$E:$E,"&lt;="&amp;EOMONTH(C$4,0)),
IFERROR(_xlpm.recurring,0)+IFERROR(_xlpm.planned,0))</f>
        <v>8100</v>
      </c>
      <c r="D19" s="90">
        <f ca="1">_xlfn.LET(
_xlpm.recurring,SUMIFS(INDEX(recurring_master!$A:$AB,,MATCH($B19,recurring_master!$A$1:$AB$1,0)),recurring_master!$A:$A,"&lt;="&amp;EOMONTH(D$4,0),recurring_master!$A:$A,"&gt;="&amp;D$4),
_xlpm.planned,SUMIFS(Planned!$F:$F,Planned!$B:$B,$B19,Planned!$E:$E,"&gt;="&amp;D$4,Planned!$E:$E,"&lt;="&amp;EOMONTH(D$4,0)),
IFERROR(_xlpm.recurring,0)+IFERROR(_xlpm.planned,0))</f>
        <v>8200</v>
      </c>
      <c r="E19" s="90">
        <f ca="1">_xlfn.LET(
_xlpm.recurring,SUMIFS(INDEX(recurring_master!$A:$AB,,MATCH($B19,recurring_master!$A$1:$AB$1,0)),recurring_master!$A:$A,"&lt;="&amp;EOMONTH(E$4,0),recurring_master!$A:$A,"&gt;="&amp;E$4),
_xlpm.planned,SUMIFS(Planned!$F:$F,Planned!$B:$B,$B19,Planned!$E:$E,"&gt;="&amp;E$4,Planned!$E:$E,"&lt;="&amp;EOMONTH(E$4,0)),
IFERROR(_xlpm.recurring,0)+IFERROR(_xlpm.planned,0))</f>
        <v>8200</v>
      </c>
      <c r="F19" s="90">
        <f ca="1">_xlfn.LET(
_xlpm.recurring,SUMIFS(INDEX(recurring_master!$A:$AB,,MATCH($B19,recurring_master!$A$1:$AB$1,0)),recurring_master!$A:$A,"&lt;="&amp;EOMONTH(F$4,0),recurring_master!$A:$A,"&gt;="&amp;F$4),
_xlpm.planned,SUMIFS(Planned!$F:$F,Planned!$B:$B,$B19,Planned!$E:$E,"&gt;="&amp;F$4,Planned!$E:$E,"&lt;="&amp;EOMONTH(F$4,0)),
IFERROR(_xlpm.recurring,0)+IFERROR(_xlpm.planned,0))</f>
        <v>12200</v>
      </c>
      <c r="G19" s="90">
        <f ca="1">_xlfn.LET(
_xlpm.recurring,SUMIFS(INDEX(recurring_master!$A:$AB,,MATCH($B19,recurring_master!$A$1:$AB$1,0)),recurring_master!$A:$A,"&lt;="&amp;EOMONTH(G$4,0),recurring_master!$A:$A,"&gt;="&amp;G$4),
_xlpm.planned,SUMIFS(Planned!$F:$F,Planned!$B:$B,$B19,Planned!$E:$E,"&gt;="&amp;G$4,Planned!$E:$E,"&lt;="&amp;EOMONTH(G$4,0)),
IFERROR(_xlpm.recurring,0)+IFERROR(_xlpm.planned,0))</f>
        <v>8200</v>
      </c>
      <c r="H19" s="90">
        <f ca="1">_xlfn.LET(
_xlpm.recurring,SUMIFS(INDEX(recurring_master!$A:$AB,,MATCH($B19,recurring_master!$A$1:$AB$1,0)),recurring_master!$A:$A,"&lt;="&amp;EOMONTH(H$4,0),recurring_master!$A:$A,"&gt;="&amp;H$4),
_xlpm.planned,SUMIFS(Planned!$F:$F,Planned!$B:$B,$B19,Planned!$E:$E,"&gt;="&amp;H$4,Planned!$E:$E,"&lt;="&amp;EOMONTH(H$4,0)),
IFERROR(_xlpm.recurring,0)+IFERROR(_xlpm.planned,0))</f>
        <v>8300</v>
      </c>
      <c r="I19" s="90">
        <f ca="1">_xlfn.LET(
_xlpm.recurring,SUMIFS(INDEX(recurring_master!$A:$AB,,MATCH($B19,recurring_master!$A$1:$AB$1,0)),recurring_master!$A:$A,"&lt;="&amp;EOMONTH(I$4,0),recurring_master!$A:$A,"&gt;="&amp;I$4),
_xlpm.planned,SUMIFS(Planned!$F:$F,Planned!$B:$B,$B19,Planned!$E:$E,"&gt;="&amp;I$4,Planned!$E:$E,"&lt;="&amp;EOMONTH(I$4,0)),
IFERROR(_xlpm.recurring,0)+IFERROR(_xlpm.planned,0))</f>
        <v>8200</v>
      </c>
      <c r="J19" s="90">
        <f ca="1">_xlfn.LET(
_xlpm.recurring,SUMIFS(INDEX(recurring_master!$A:$AB,,MATCH($B19,recurring_master!$A$1:$AB$1,0)),recurring_master!$A:$A,"&lt;="&amp;EOMONTH(J$4,0),recurring_master!$A:$A,"&gt;="&amp;J$4),
_xlpm.planned,SUMIFS(Planned!$F:$F,Planned!$B:$B,$B19,Planned!$E:$E,"&gt;="&amp;J$4,Planned!$E:$E,"&lt;="&amp;EOMONTH(J$4,0)),
IFERROR(_xlpm.recurring,0)+IFERROR(_xlpm.planned,0))</f>
        <v>8200</v>
      </c>
      <c r="K19" s="90">
        <f ca="1">_xlfn.LET(
_xlpm.recurring,SUMIFS(INDEX(recurring_master!$A:$AB,,MATCH($B19,recurring_master!$A$1:$AB$1,0)),recurring_master!$A:$A,"&lt;="&amp;EOMONTH(K$4,0),recurring_master!$A:$A,"&gt;="&amp;K$4),
_xlpm.planned,SUMIFS(Planned!$F:$F,Planned!$B:$B,$B19,Planned!$E:$E,"&gt;="&amp;K$4,Planned!$E:$E,"&lt;="&amp;EOMONTH(K$4,0)),
IFERROR(_xlpm.recurring,0)+IFERROR(_xlpm.planned,0))</f>
        <v>12200</v>
      </c>
      <c r="L19" s="90">
        <f ca="1">_xlfn.LET(
_xlpm.recurring,SUMIFS(INDEX(recurring_master!$A:$AB,,MATCH($B19,recurring_master!$A$1:$AB$1,0)),recurring_master!$A:$A,"&lt;="&amp;EOMONTH(L$4,0),recurring_master!$A:$A,"&gt;="&amp;L$4),
_xlpm.planned,SUMIFS(Planned!$F:$F,Planned!$B:$B,$B19,Planned!$E:$E,"&gt;="&amp;L$4,Planned!$E:$E,"&lt;="&amp;EOMONTH(L$4,0)),
IFERROR(_xlpm.recurring,0)+IFERROR(_xlpm.planned,0))</f>
        <v>8200</v>
      </c>
      <c r="M19" s="90">
        <f ca="1">_xlfn.LET(
_xlpm.recurring,SUMIFS(INDEX(recurring_master!$A:$AB,,MATCH($B19,recurring_master!$A$1:$AB$1,0)),recurring_master!$A:$A,"&lt;="&amp;EOMONTH(M$4,0),recurring_master!$A:$A,"&gt;="&amp;M$4),
_xlpm.planned,SUMIFS(Planned!$F:$F,Planned!$B:$B,$B19,Planned!$E:$E,"&gt;="&amp;M$4,Planned!$E:$E,"&lt;="&amp;EOMONTH(M$4,0)),
IFERROR(_xlpm.recurring,0)+IFERROR(_xlpm.planned,0))</f>
        <v>8300</v>
      </c>
      <c r="N19" s="90">
        <f ca="1">_xlfn.LET(
_xlpm.recurring,SUMIFS(INDEX(recurring_master!$A:$AB,,MATCH($B19,recurring_master!$A$1:$AB$1,0)),recurring_master!$A:$A,"&lt;="&amp;EOMONTH(N$4,0),recurring_master!$A:$A,"&gt;="&amp;N$4),
_xlpm.planned,SUMIFS(Planned!$F:$F,Planned!$B:$B,$B19,Planned!$E:$E,"&gt;="&amp;N$4,Planned!$E:$E,"&lt;="&amp;EOMONTH(N$4,0)),
IFERROR(_xlpm.recurring,0)+IFERROR(_xlpm.planned,0))</f>
        <v>8200</v>
      </c>
      <c r="O19" s="81"/>
      <c r="P19" s="91">
        <f ca="1">SUM(C19:N19)</f>
        <v>106500</v>
      </c>
      <c r="Q19" s="37"/>
      <c r="R19" s="28"/>
    </row>
    <row r="20" spans="1:22" ht="12.75" customHeight="1" x14ac:dyDescent="0.2">
      <c r="B20" s="54" t="s">
        <v>12</v>
      </c>
      <c r="C20" s="90">
        <f ca="1">_xlfn.LET(
_xlpm.recurring,SUMIFS(INDEX(recurring_master!$A:$AB,,MATCH($B20,recurring_master!$A$1:$AB$1,0)),recurring_master!$A:$A,"&lt;="&amp;EOMONTH(C$4,0),recurring_master!$A:$A,"&gt;="&amp;C$4),
_xlpm.planned,SUMIFS(Planned!$F:$F,Planned!$B:$B,$B20,Planned!$E:$E,"&gt;="&amp;C$4,Planned!$E:$E,"&lt;="&amp;EOMONTH(C$4,0)),
IFERROR(_xlpm.recurring,0)+IFERROR(_xlpm.planned,0))</f>
        <v>0</v>
      </c>
      <c r="D20" s="90">
        <f ca="1">_xlfn.LET(
_xlpm.recurring,SUMIFS(INDEX(recurring_master!$A:$AB,,MATCH($B20,recurring_master!$A$1:$AB$1,0)),recurring_master!$A:$A,"&lt;="&amp;EOMONTH(D$4,0),recurring_master!$A:$A,"&gt;="&amp;D$4),
_xlpm.planned,SUMIFS(Planned!$F:$F,Planned!$B:$B,$B20,Planned!$E:$E,"&gt;="&amp;D$4,Planned!$E:$E,"&lt;="&amp;EOMONTH(D$4,0)),
IFERROR(_xlpm.recurring,0)+IFERROR(_xlpm.planned,0))</f>
        <v>10000</v>
      </c>
      <c r="E20" s="90">
        <f ca="1">_xlfn.LET(
_xlpm.recurring,SUMIFS(INDEX(recurring_master!$A:$AB,,MATCH($B20,recurring_master!$A$1:$AB$1,0)),recurring_master!$A:$A,"&lt;="&amp;EOMONTH(E$4,0),recurring_master!$A:$A,"&gt;="&amp;E$4),
_xlpm.planned,SUMIFS(Planned!$F:$F,Planned!$B:$B,$B20,Planned!$E:$E,"&gt;="&amp;E$4,Planned!$E:$E,"&lt;="&amp;EOMONTH(E$4,0)),
IFERROR(_xlpm.recurring,0)+IFERROR(_xlpm.planned,0))</f>
        <v>0</v>
      </c>
      <c r="F20" s="90">
        <f ca="1">_xlfn.LET(
_xlpm.recurring,SUMIFS(INDEX(recurring_master!$A:$AB,,MATCH($B20,recurring_master!$A$1:$AB$1,0)),recurring_master!$A:$A,"&lt;="&amp;EOMONTH(F$4,0),recurring_master!$A:$A,"&gt;="&amp;F$4),
_xlpm.planned,SUMIFS(Planned!$F:$F,Planned!$B:$B,$B20,Planned!$E:$E,"&gt;="&amp;F$4,Planned!$E:$E,"&lt;="&amp;EOMONTH(F$4,0)),
IFERROR(_xlpm.recurring,0)+IFERROR(_xlpm.planned,0))</f>
        <v>0</v>
      </c>
      <c r="G20" s="90">
        <f ca="1">_xlfn.LET(
_xlpm.recurring,SUMIFS(INDEX(recurring_master!$A:$AB,,MATCH($B20,recurring_master!$A$1:$AB$1,0)),recurring_master!$A:$A,"&lt;="&amp;EOMONTH(G$4,0),recurring_master!$A:$A,"&gt;="&amp;G$4),
_xlpm.planned,SUMIFS(Planned!$F:$F,Planned!$B:$B,$B20,Planned!$E:$E,"&gt;="&amp;G$4,Planned!$E:$E,"&lt;="&amp;EOMONTH(G$4,0)),
IFERROR(_xlpm.recurring,0)+IFERROR(_xlpm.planned,0))</f>
        <v>0</v>
      </c>
      <c r="H20" s="90">
        <f ca="1">_xlfn.LET(
_xlpm.recurring,SUMIFS(INDEX(recurring_master!$A:$AB,,MATCH($B20,recurring_master!$A$1:$AB$1,0)),recurring_master!$A:$A,"&lt;="&amp;EOMONTH(H$4,0),recurring_master!$A:$A,"&gt;="&amp;H$4),
_xlpm.planned,SUMIFS(Planned!$F:$F,Planned!$B:$B,$B20,Planned!$E:$E,"&gt;="&amp;H$4,Planned!$E:$E,"&lt;="&amp;EOMONTH(H$4,0)),
IFERROR(_xlpm.recurring,0)+IFERROR(_xlpm.planned,0))</f>
        <v>0</v>
      </c>
      <c r="I20" s="90">
        <f ca="1">_xlfn.LET(
_xlpm.recurring,SUMIFS(INDEX(recurring_master!$A:$AB,,MATCH($B20,recurring_master!$A$1:$AB$1,0)),recurring_master!$A:$A,"&lt;="&amp;EOMONTH(I$4,0),recurring_master!$A:$A,"&gt;="&amp;I$4),
_xlpm.planned,SUMIFS(Planned!$F:$F,Planned!$B:$B,$B20,Planned!$E:$E,"&gt;="&amp;I$4,Planned!$E:$E,"&lt;="&amp;EOMONTH(I$4,0)),
IFERROR(_xlpm.recurring,0)+IFERROR(_xlpm.planned,0))</f>
        <v>0</v>
      </c>
      <c r="J20" s="90">
        <f ca="1">_xlfn.LET(
_xlpm.recurring,SUMIFS(INDEX(recurring_master!$A:$AB,,MATCH($B20,recurring_master!$A$1:$AB$1,0)),recurring_master!$A:$A,"&lt;="&amp;EOMONTH(J$4,0),recurring_master!$A:$A,"&gt;="&amp;J$4),
_xlpm.planned,SUMIFS(Planned!$F:$F,Planned!$B:$B,$B20,Planned!$E:$E,"&gt;="&amp;J$4,Planned!$E:$E,"&lt;="&amp;EOMONTH(J$4,0)),
IFERROR(_xlpm.recurring,0)+IFERROR(_xlpm.planned,0))</f>
        <v>0</v>
      </c>
      <c r="K20" s="90">
        <f ca="1">_xlfn.LET(
_xlpm.recurring,SUMIFS(INDEX(recurring_master!$A:$AB,,MATCH($B20,recurring_master!$A$1:$AB$1,0)),recurring_master!$A:$A,"&lt;="&amp;EOMONTH(K$4,0),recurring_master!$A:$A,"&gt;="&amp;K$4),
_xlpm.planned,SUMIFS(Planned!$F:$F,Planned!$B:$B,$B20,Planned!$E:$E,"&gt;="&amp;K$4,Planned!$E:$E,"&lt;="&amp;EOMONTH(K$4,0)),
IFERROR(_xlpm.recurring,0)+IFERROR(_xlpm.planned,0))</f>
        <v>0</v>
      </c>
      <c r="L20" s="90">
        <f ca="1">_xlfn.LET(
_xlpm.recurring,SUMIFS(INDEX(recurring_master!$A:$AB,,MATCH($B20,recurring_master!$A$1:$AB$1,0)),recurring_master!$A:$A,"&lt;="&amp;EOMONTH(L$4,0),recurring_master!$A:$A,"&gt;="&amp;L$4),
_xlpm.planned,SUMIFS(Planned!$F:$F,Planned!$B:$B,$B20,Planned!$E:$E,"&gt;="&amp;L$4,Planned!$E:$E,"&lt;="&amp;EOMONTH(L$4,0)),
IFERROR(_xlpm.recurring,0)+IFERROR(_xlpm.planned,0))</f>
        <v>0</v>
      </c>
      <c r="M20" s="90">
        <f ca="1">_xlfn.LET(
_xlpm.recurring,SUMIFS(INDEX(recurring_master!$A:$AB,,MATCH($B20,recurring_master!$A$1:$AB$1,0)),recurring_master!$A:$A,"&lt;="&amp;EOMONTH(M$4,0),recurring_master!$A:$A,"&gt;="&amp;M$4),
_xlpm.planned,SUMIFS(Planned!$F:$F,Planned!$B:$B,$B20,Planned!$E:$E,"&gt;="&amp;M$4,Planned!$E:$E,"&lt;="&amp;EOMONTH(M$4,0)),
IFERROR(_xlpm.recurring,0)+IFERROR(_xlpm.planned,0))</f>
        <v>0</v>
      </c>
      <c r="N20" s="90">
        <f ca="1">_xlfn.LET(
_xlpm.recurring,SUMIFS(INDEX(recurring_master!$A:$AB,,MATCH($B20,recurring_master!$A$1:$AB$1,0)),recurring_master!$A:$A,"&lt;="&amp;EOMONTH(N$4,0),recurring_master!$A:$A,"&gt;="&amp;N$4),
_xlpm.planned,SUMIFS(Planned!$F:$F,Planned!$B:$B,$B20,Planned!$E:$E,"&gt;="&amp;N$4,Planned!$E:$E,"&lt;="&amp;EOMONTH(N$4,0)),
IFERROR(_xlpm.recurring,0)+IFERROR(_xlpm.planned,0))</f>
        <v>0</v>
      </c>
      <c r="O20" s="81"/>
      <c r="P20" s="91">
        <f ca="1">SUM(C20:N20)</f>
        <v>10000</v>
      </c>
      <c r="Q20" s="37"/>
      <c r="R20" s="28" t="s">
        <v>249</v>
      </c>
    </row>
    <row r="21" spans="1:22" ht="12.75" customHeight="1" x14ac:dyDescent="0.2">
      <c r="B21" s="54" t="s">
        <v>37</v>
      </c>
      <c r="C21" s="90">
        <f ca="1">_xlfn.LET(
_xlpm.recurring,SUMIFS(INDEX(recurring_master!$A:$AB,,MATCH($B21,recurring_master!$A$1:$AB$1,0)),recurring_master!$A:$A,"&lt;="&amp;EOMONTH(C$4,0),recurring_master!$A:$A,"&gt;="&amp;C$4),
_xlpm.planned,SUMIFS(Planned!$F:$F,Planned!$B:$B,$B21,Planned!$E:$E,"&gt;="&amp;C$4,Planned!$E:$E,"&lt;="&amp;EOMONTH(C$4,0)),
IFERROR(_xlpm.recurring,0)+IFERROR(_xlpm.planned,0))</f>
        <v>0</v>
      </c>
      <c r="D21" s="90">
        <f ca="1">_xlfn.LET(
_xlpm.recurring,SUMIFS(INDEX(recurring_master!$A:$AB,,MATCH($B21,recurring_master!$A$1:$AB$1,0)),recurring_master!$A:$A,"&lt;="&amp;EOMONTH(D$4,0),recurring_master!$A:$A,"&gt;="&amp;D$4),
_xlpm.planned,SUMIFS(Planned!$F:$F,Planned!$B:$B,$B21,Planned!$E:$E,"&gt;="&amp;D$4,Planned!$E:$E,"&lt;="&amp;EOMONTH(D$4,0)),
IFERROR(_xlpm.recurring,0)+IFERROR(_xlpm.planned,0))</f>
        <v>100</v>
      </c>
      <c r="E21" s="90">
        <f ca="1">_xlfn.LET(
_xlpm.recurring,SUMIFS(INDEX(recurring_master!$A:$AB,,MATCH($B21,recurring_master!$A$1:$AB$1,0)),recurring_master!$A:$A,"&lt;="&amp;EOMONTH(E$4,0),recurring_master!$A:$A,"&gt;="&amp;E$4),
_xlpm.planned,SUMIFS(Planned!$F:$F,Planned!$B:$B,$B21,Planned!$E:$E,"&gt;="&amp;E$4,Planned!$E:$E,"&lt;="&amp;EOMONTH(E$4,0)),
IFERROR(_xlpm.recurring,0)+IFERROR(_xlpm.planned,0))</f>
        <v>0</v>
      </c>
      <c r="F21" s="90">
        <f ca="1">_xlfn.LET(
_xlpm.recurring,SUMIFS(INDEX(recurring_master!$A:$AB,,MATCH($B21,recurring_master!$A$1:$AB$1,0)),recurring_master!$A:$A,"&lt;="&amp;EOMONTH(F$4,0),recurring_master!$A:$A,"&gt;="&amp;F$4),
_xlpm.planned,SUMIFS(Planned!$F:$F,Planned!$B:$B,$B21,Planned!$E:$E,"&gt;="&amp;F$4,Planned!$E:$E,"&lt;="&amp;EOMONTH(F$4,0)),
IFERROR(_xlpm.recurring,0)+IFERROR(_xlpm.planned,0))</f>
        <v>0</v>
      </c>
      <c r="G21" s="90">
        <f ca="1">_xlfn.LET(
_xlpm.recurring,SUMIFS(INDEX(recurring_master!$A:$AB,,MATCH($B21,recurring_master!$A$1:$AB$1,0)),recurring_master!$A:$A,"&lt;="&amp;EOMONTH(G$4,0),recurring_master!$A:$A,"&gt;="&amp;G$4),
_xlpm.planned,SUMIFS(Planned!$F:$F,Planned!$B:$B,$B21,Planned!$E:$E,"&gt;="&amp;G$4,Planned!$E:$E,"&lt;="&amp;EOMONTH(G$4,0)),
IFERROR(_xlpm.recurring,0)+IFERROR(_xlpm.planned,0))</f>
        <v>0</v>
      </c>
      <c r="H21" s="90">
        <f ca="1">_xlfn.LET(
_xlpm.recurring,SUMIFS(INDEX(recurring_master!$A:$AB,,MATCH($B21,recurring_master!$A$1:$AB$1,0)),recurring_master!$A:$A,"&lt;="&amp;EOMONTH(H$4,0),recurring_master!$A:$A,"&gt;="&amp;H$4),
_xlpm.planned,SUMIFS(Planned!$F:$F,Planned!$B:$B,$B21,Planned!$E:$E,"&gt;="&amp;H$4,Planned!$E:$E,"&lt;="&amp;EOMONTH(H$4,0)),
IFERROR(_xlpm.recurring,0)+IFERROR(_xlpm.planned,0))</f>
        <v>0</v>
      </c>
      <c r="I21" s="90">
        <f ca="1">_xlfn.LET(
_xlpm.recurring,SUMIFS(INDEX(recurring_master!$A:$AB,,MATCH($B21,recurring_master!$A$1:$AB$1,0)),recurring_master!$A:$A,"&lt;="&amp;EOMONTH(I$4,0),recurring_master!$A:$A,"&gt;="&amp;I$4),
_xlpm.planned,SUMIFS(Planned!$F:$F,Planned!$B:$B,$B21,Planned!$E:$E,"&gt;="&amp;I$4,Planned!$E:$E,"&lt;="&amp;EOMONTH(I$4,0)),
IFERROR(_xlpm.recurring,0)+IFERROR(_xlpm.planned,0))</f>
        <v>0</v>
      </c>
      <c r="J21" s="90">
        <f ca="1">_xlfn.LET(
_xlpm.recurring,SUMIFS(INDEX(recurring_master!$A:$AB,,MATCH($B21,recurring_master!$A$1:$AB$1,0)),recurring_master!$A:$A,"&lt;="&amp;EOMONTH(J$4,0),recurring_master!$A:$A,"&gt;="&amp;J$4),
_xlpm.planned,SUMIFS(Planned!$F:$F,Planned!$B:$B,$B21,Planned!$E:$E,"&gt;="&amp;J$4,Planned!$E:$E,"&lt;="&amp;EOMONTH(J$4,0)),
IFERROR(_xlpm.recurring,0)+IFERROR(_xlpm.planned,0))</f>
        <v>0</v>
      </c>
      <c r="K21" s="90">
        <f ca="1">_xlfn.LET(
_xlpm.recurring,SUMIFS(INDEX(recurring_master!$A:$AB,,MATCH($B21,recurring_master!$A$1:$AB$1,0)),recurring_master!$A:$A,"&lt;="&amp;EOMONTH(K$4,0),recurring_master!$A:$A,"&gt;="&amp;K$4),
_xlpm.planned,SUMIFS(Planned!$F:$F,Planned!$B:$B,$B21,Planned!$E:$E,"&gt;="&amp;K$4,Planned!$E:$E,"&lt;="&amp;EOMONTH(K$4,0)),
IFERROR(_xlpm.recurring,0)+IFERROR(_xlpm.planned,0))</f>
        <v>0</v>
      </c>
      <c r="L21" s="90">
        <f ca="1">_xlfn.LET(
_xlpm.recurring,SUMIFS(INDEX(recurring_master!$A:$AB,,MATCH($B21,recurring_master!$A$1:$AB$1,0)),recurring_master!$A:$A,"&lt;="&amp;EOMONTH(L$4,0),recurring_master!$A:$A,"&gt;="&amp;L$4),
_xlpm.planned,SUMIFS(Planned!$F:$F,Planned!$B:$B,$B21,Planned!$E:$E,"&gt;="&amp;L$4,Planned!$E:$E,"&lt;="&amp;EOMONTH(L$4,0)),
IFERROR(_xlpm.recurring,0)+IFERROR(_xlpm.planned,0))</f>
        <v>0</v>
      </c>
      <c r="M21" s="90">
        <f ca="1">_xlfn.LET(
_xlpm.recurring,SUMIFS(INDEX(recurring_master!$A:$AB,,MATCH($B21,recurring_master!$A$1:$AB$1,0)),recurring_master!$A:$A,"&lt;="&amp;EOMONTH(M$4,0),recurring_master!$A:$A,"&gt;="&amp;M$4),
_xlpm.planned,SUMIFS(Planned!$F:$F,Planned!$B:$B,$B21,Planned!$E:$E,"&gt;="&amp;M$4,Planned!$E:$E,"&lt;="&amp;EOMONTH(M$4,0)),
IFERROR(_xlpm.recurring,0)+IFERROR(_xlpm.planned,0))</f>
        <v>0</v>
      </c>
      <c r="N21" s="90">
        <f ca="1">_xlfn.LET(
_xlpm.recurring,SUMIFS(INDEX(recurring_master!$A:$AB,,MATCH($B21,recurring_master!$A$1:$AB$1,0)),recurring_master!$A:$A,"&lt;="&amp;EOMONTH(N$4,0),recurring_master!$A:$A,"&gt;="&amp;N$4),
_xlpm.planned,SUMIFS(Planned!$F:$F,Planned!$B:$B,$B21,Planned!$E:$E,"&gt;="&amp;N$4,Planned!$E:$E,"&lt;="&amp;EOMONTH(N$4,0)),
IFERROR(_xlpm.recurring,0)+IFERROR(_xlpm.planned,0))</f>
        <v>0</v>
      </c>
      <c r="O21" s="81"/>
      <c r="P21" s="91">
        <f t="shared" ref="P21:P23" ca="1" si="7">SUM(C21:N21)</f>
        <v>100</v>
      </c>
      <c r="Q21" s="37"/>
      <c r="R21" s="28" t="s">
        <v>290</v>
      </c>
    </row>
    <row r="22" spans="1:22" ht="5.0999999999999996" customHeight="1" x14ac:dyDescent="0.2">
      <c r="A22" s="5"/>
      <c r="B22" s="54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91"/>
      <c r="Q22" s="37"/>
      <c r="R22" s="28"/>
      <c r="V22" s="5"/>
    </row>
    <row r="23" spans="1:22" ht="12.75" customHeight="1" x14ac:dyDescent="0.2">
      <c r="B23" s="56" t="s">
        <v>29</v>
      </c>
      <c r="C23" s="92">
        <f t="shared" ref="C23:N23" ca="1" si="8">SUM(C19:C22)</f>
        <v>8100</v>
      </c>
      <c r="D23" s="92">
        <f t="shared" ca="1" si="8"/>
        <v>18300</v>
      </c>
      <c r="E23" s="92">
        <f t="shared" ca="1" si="8"/>
        <v>8200</v>
      </c>
      <c r="F23" s="92">
        <f t="shared" ca="1" si="8"/>
        <v>12200</v>
      </c>
      <c r="G23" s="92">
        <f t="shared" ca="1" si="8"/>
        <v>8200</v>
      </c>
      <c r="H23" s="92">
        <f t="shared" ca="1" si="8"/>
        <v>8300</v>
      </c>
      <c r="I23" s="92">
        <f t="shared" ca="1" si="8"/>
        <v>8200</v>
      </c>
      <c r="J23" s="92">
        <f t="shared" ca="1" si="8"/>
        <v>8200</v>
      </c>
      <c r="K23" s="92">
        <f t="shared" ca="1" si="8"/>
        <v>12200</v>
      </c>
      <c r="L23" s="92">
        <f t="shared" ca="1" si="8"/>
        <v>8200</v>
      </c>
      <c r="M23" s="92">
        <f t="shared" ca="1" si="8"/>
        <v>8300</v>
      </c>
      <c r="N23" s="92">
        <f t="shared" ca="1" si="8"/>
        <v>8200</v>
      </c>
      <c r="O23" s="92"/>
      <c r="P23" s="93">
        <f t="shared" ca="1" si="7"/>
        <v>116600</v>
      </c>
      <c r="Q23" s="37"/>
      <c r="R23" s="28"/>
    </row>
    <row r="24" spans="1:22" ht="5.0999999999999996" customHeight="1" x14ac:dyDescent="0.2">
      <c r="A24" s="5"/>
      <c r="B24" s="54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91"/>
      <c r="Q24" s="37"/>
      <c r="R24" s="28"/>
      <c r="V24" s="5"/>
    </row>
    <row r="25" spans="1:22" x14ac:dyDescent="0.2">
      <c r="A25" s="5"/>
      <c r="B25" s="57" t="s">
        <v>251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91"/>
      <c r="Q25" s="37"/>
      <c r="R25" s="28"/>
      <c r="V25" s="5"/>
    </row>
    <row r="26" spans="1:22" ht="12.75" customHeight="1" x14ac:dyDescent="0.2">
      <c r="B26" s="54" t="s">
        <v>33</v>
      </c>
      <c r="C26" s="178">
        <f ca="1">_xlfn.LET(
_xlpm.recurring,SUMIFS(INDEX(recurring_master!$A:$AB,,MATCH($B26,recurring_master!$A$1:$AB$1,0)),recurring_master!$A:$A,"&lt;="&amp;EOMONTH(C$4,0),recurring_master!$A:$A,"&gt;="&amp;C$4),
_xlpm.planned,SUMIFS(Planned!$F:$F,Planned!$B:$B,$B26,Planned!$E:$E,"&gt;="&amp;C$4,Planned!$E:$E,"&lt;="&amp;EOMONTH(C$4,0)),
_xlpm.precedents,C$19*SUMIFS(Precedents!$E:$E,Precedents!$D:$D,$B$19,Precedents!$B:$B,$B26)+C$20*SUMIFS(Precedents!$E:$E,Precedents!$D:$D,$B$20,Precedents!$B:$B,$B26),
IFERROR(_xlpm.recurring,0)+IFERROR(_xlpm.planned,0)+IFERROR(_xlpm.precedents,0))</f>
        <v>2394.1689290212598</v>
      </c>
      <c r="D26" s="178">
        <f ca="1">_xlfn.LET(
_xlpm.recurring,SUMIFS(INDEX(recurring_master!$A:$AB,,MATCH($B26,recurring_master!$A$1:$AB$1,0)),recurring_master!$A:$A,"&lt;="&amp;EOMONTH(D$4,0),recurring_master!$A:$A,"&gt;="&amp;D$4),
_xlpm.planned,SUMIFS(Planned!$F:$F,Planned!$B:$B,$B26,Planned!$E:$E,"&gt;="&amp;D$4,Planned!$E:$E,"&lt;="&amp;EOMONTH(D$4,0)),
_xlpm.precedents,D$19*SUMIFS(Precedents!$E:$E,Precedents!$D:$D,$B$19,Precedents!$B:$B,$B26)+D$20*SUMIFS(Precedents!$E:$E,Precedents!$D:$D,$B$20,Precedents!$B:$B,$B26),
IFERROR(_xlpm.recurring,0)+IFERROR(_xlpm.planned,0)+IFERROR(_xlpm.precedents,0))</f>
        <v>5379.4906800230774</v>
      </c>
      <c r="E26" s="178">
        <f ca="1">_xlfn.LET(
_xlpm.recurring,SUMIFS(INDEX(recurring_master!$A:$AB,,MATCH($B26,recurring_master!$A$1:$AB$1,0)),recurring_master!$A:$A,"&lt;="&amp;EOMONTH(E$4,0),recurring_master!$A:$A,"&gt;="&amp;E$4),
_xlpm.planned,SUMIFS(Planned!$F:$F,Planned!$B:$B,$B26,Planned!$E:$E,"&gt;="&amp;E$4,Planned!$E:$E,"&lt;="&amp;EOMONTH(E$4,0)),
_xlpm.precedents,E$19*SUMIFS(Precedents!$E:$E,Precedents!$D:$D,$B$19,Precedents!$B:$B,$B26)+E$20*SUMIFS(Precedents!$E:$E,Precedents!$D:$D,$B$20,Precedents!$B:$B,$B26),
IFERROR(_xlpm.recurring,0)+IFERROR(_xlpm.planned,0)+IFERROR(_xlpm.precedents,0))</f>
        <v>2423.7265701202878</v>
      </c>
      <c r="F26" s="178">
        <f ca="1">_xlfn.LET(
_xlpm.recurring,SUMIFS(INDEX(recurring_master!$A:$AB,,MATCH($B26,recurring_master!$A$1:$AB$1,0)),recurring_master!$A:$A,"&lt;="&amp;EOMONTH(F$4,0),recurring_master!$A:$A,"&gt;="&amp;F$4),
_xlpm.planned,SUMIFS(Planned!$F:$F,Planned!$B:$B,$B26,Planned!$E:$E,"&gt;="&amp;F$4,Planned!$E:$E,"&lt;="&amp;EOMONTH(F$4,0)),
_xlpm.precedents,F$19*SUMIFS(Precedents!$E:$E,Precedents!$D:$D,$B$19,Precedents!$B:$B,$B26)+F$20*SUMIFS(Precedents!$E:$E,Precedents!$D:$D,$B$20,Precedents!$B:$B,$B26),
IFERROR(_xlpm.recurring,0)+IFERROR(_xlpm.planned,0)+IFERROR(_xlpm.precedents,0))</f>
        <v>3606.0322140814037</v>
      </c>
      <c r="G26" s="178">
        <f ca="1">_xlfn.LET(
_xlpm.recurring,SUMIFS(INDEX(recurring_master!$A:$AB,,MATCH($B26,recurring_master!$A$1:$AB$1,0)),recurring_master!$A:$A,"&lt;="&amp;EOMONTH(G$4,0),recurring_master!$A:$A,"&gt;="&amp;G$4),
_xlpm.planned,SUMIFS(Planned!$F:$F,Planned!$B:$B,$B26,Planned!$E:$E,"&gt;="&amp;G$4,Planned!$E:$E,"&lt;="&amp;EOMONTH(G$4,0)),
_xlpm.precedents,G$19*SUMIFS(Precedents!$E:$E,Precedents!$D:$D,$B$19,Precedents!$B:$B,$B26)+G$20*SUMIFS(Precedents!$E:$E,Precedents!$D:$D,$B$20,Precedents!$B:$B,$B26),
IFERROR(_xlpm.recurring,0)+IFERROR(_xlpm.planned,0)+IFERROR(_xlpm.precedents,0))</f>
        <v>2423.7265701202878</v>
      </c>
      <c r="H26" s="178">
        <f ca="1">_xlfn.LET(
_xlpm.recurring,SUMIFS(INDEX(recurring_master!$A:$AB,,MATCH($B26,recurring_master!$A$1:$AB$1,0)),recurring_master!$A:$A,"&lt;="&amp;EOMONTH(H$4,0),recurring_master!$A:$A,"&gt;="&amp;H$4),
_xlpm.planned,SUMIFS(Planned!$F:$F,Planned!$B:$B,$B26,Planned!$E:$E,"&gt;="&amp;H$4,Planned!$E:$E,"&lt;="&amp;EOMONTH(H$4,0)),
_xlpm.precedents,H$19*SUMIFS(Precedents!$E:$E,Precedents!$D:$D,$B$19,Precedents!$B:$B,$B26)+H$20*SUMIFS(Precedents!$E:$E,Precedents!$D:$D,$B$20,Precedents!$B:$B,$B26),
IFERROR(_xlpm.recurring,0)+IFERROR(_xlpm.planned,0)+IFERROR(_xlpm.precedents,0))</f>
        <v>2453.2842112193157</v>
      </c>
      <c r="I26" s="178">
        <f ca="1">_xlfn.LET(
_xlpm.recurring,SUMIFS(INDEX(recurring_master!$A:$AB,,MATCH($B26,recurring_master!$A$1:$AB$1,0)),recurring_master!$A:$A,"&lt;="&amp;EOMONTH(I$4,0),recurring_master!$A:$A,"&gt;="&amp;I$4),
_xlpm.planned,SUMIFS(Planned!$F:$F,Planned!$B:$B,$B26,Planned!$E:$E,"&gt;="&amp;I$4,Planned!$E:$E,"&lt;="&amp;EOMONTH(I$4,0)),
_xlpm.precedents,I$19*SUMIFS(Precedents!$E:$E,Precedents!$D:$D,$B$19,Precedents!$B:$B,$B26)+I$20*SUMIFS(Precedents!$E:$E,Precedents!$D:$D,$B$20,Precedents!$B:$B,$B26),
IFERROR(_xlpm.recurring,0)+IFERROR(_xlpm.planned,0)+IFERROR(_xlpm.precedents,0))</f>
        <v>2423.7265701202878</v>
      </c>
      <c r="J26" s="178">
        <f ca="1">_xlfn.LET(
_xlpm.recurring,SUMIFS(INDEX(recurring_master!$A:$AB,,MATCH($B26,recurring_master!$A$1:$AB$1,0)),recurring_master!$A:$A,"&lt;="&amp;EOMONTH(J$4,0),recurring_master!$A:$A,"&gt;="&amp;J$4),
_xlpm.planned,SUMIFS(Planned!$F:$F,Planned!$B:$B,$B26,Planned!$E:$E,"&gt;="&amp;J$4,Planned!$E:$E,"&lt;="&amp;EOMONTH(J$4,0)),
_xlpm.precedents,J$19*SUMIFS(Precedents!$E:$E,Precedents!$D:$D,$B$19,Precedents!$B:$B,$B26)+J$20*SUMIFS(Precedents!$E:$E,Precedents!$D:$D,$B$20,Precedents!$B:$B,$B26),
IFERROR(_xlpm.recurring,0)+IFERROR(_xlpm.planned,0)+IFERROR(_xlpm.precedents,0))</f>
        <v>2423.7265701202878</v>
      </c>
      <c r="K26" s="178">
        <f ca="1">_xlfn.LET(
_xlpm.recurring,SUMIFS(INDEX(recurring_master!$A:$AB,,MATCH($B26,recurring_master!$A$1:$AB$1,0)),recurring_master!$A:$A,"&lt;="&amp;EOMONTH(K$4,0),recurring_master!$A:$A,"&gt;="&amp;K$4),
_xlpm.planned,SUMIFS(Planned!$F:$F,Planned!$B:$B,$B26,Planned!$E:$E,"&gt;="&amp;K$4,Planned!$E:$E,"&lt;="&amp;EOMONTH(K$4,0)),
_xlpm.precedents,K$19*SUMIFS(Precedents!$E:$E,Precedents!$D:$D,$B$19,Precedents!$B:$B,$B26)+K$20*SUMIFS(Precedents!$E:$E,Precedents!$D:$D,$B$20,Precedents!$B:$B,$B26),
IFERROR(_xlpm.recurring,0)+IFERROR(_xlpm.planned,0)+IFERROR(_xlpm.precedents,0))</f>
        <v>3606.0322140814037</v>
      </c>
      <c r="L26" s="178">
        <f ca="1">_xlfn.LET(
_xlpm.recurring,SUMIFS(INDEX(recurring_master!$A:$AB,,MATCH($B26,recurring_master!$A$1:$AB$1,0)),recurring_master!$A:$A,"&lt;="&amp;EOMONTH(L$4,0),recurring_master!$A:$A,"&gt;="&amp;L$4),
_xlpm.planned,SUMIFS(Planned!$F:$F,Planned!$B:$B,$B26,Planned!$E:$E,"&gt;="&amp;L$4,Planned!$E:$E,"&lt;="&amp;EOMONTH(L$4,0)),
_xlpm.precedents,L$19*SUMIFS(Precedents!$E:$E,Precedents!$D:$D,$B$19,Precedents!$B:$B,$B26)+L$20*SUMIFS(Precedents!$E:$E,Precedents!$D:$D,$B$20,Precedents!$B:$B,$B26),
IFERROR(_xlpm.recurring,0)+IFERROR(_xlpm.planned,0)+IFERROR(_xlpm.precedents,0))</f>
        <v>2423.7265701202878</v>
      </c>
      <c r="M26" s="178">
        <f ca="1">_xlfn.LET(
_xlpm.recurring,SUMIFS(INDEX(recurring_master!$A:$AB,,MATCH($B26,recurring_master!$A$1:$AB$1,0)),recurring_master!$A:$A,"&lt;="&amp;EOMONTH(M$4,0),recurring_master!$A:$A,"&gt;="&amp;M$4),
_xlpm.planned,SUMIFS(Planned!$F:$F,Planned!$B:$B,$B26,Planned!$E:$E,"&gt;="&amp;M$4,Planned!$E:$E,"&lt;="&amp;EOMONTH(M$4,0)),
_xlpm.precedents,M$19*SUMIFS(Precedents!$E:$E,Precedents!$D:$D,$B$19,Precedents!$B:$B,$B26)+M$20*SUMIFS(Precedents!$E:$E,Precedents!$D:$D,$B$20,Precedents!$B:$B,$B26),
IFERROR(_xlpm.recurring,0)+IFERROR(_xlpm.planned,0)+IFERROR(_xlpm.precedents,0))</f>
        <v>2453.2842112193157</v>
      </c>
      <c r="N26" s="178">
        <f ca="1">_xlfn.LET(
_xlpm.recurring,SUMIFS(INDEX(recurring_master!$A:$AB,,MATCH($B26,recurring_master!$A$1:$AB$1,0)),recurring_master!$A:$A,"&lt;="&amp;EOMONTH(N$4,0),recurring_master!$A:$A,"&gt;="&amp;N$4),
_xlpm.planned,SUMIFS(Planned!$F:$F,Planned!$B:$B,$B26,Planned!$E:$E,"&gt;="&amp;N$4,Planned!$E:$E,"&lt;="&amp;EOMONTH(N$4,0)),
_xlpm.precedents,N$19*SUMIFS(Precedents!$E:$E,Precedents!$D:$D,$B$19,Precedents!$B:$B,$B26)+N$20*SUMIFS(Precedents!$E:$E,Precedents!$D:$D,$B$20,Precedents!$B:$B,$B26),
IFERROR(_xlpm.recurring,0)+IFERROR(_xlpm.planned,0)+IFERROR(_xlpm.precedents,0))</f>
        <v>2423.7265701202878</v>
      </c>
      <c r="O26" s="81"/>
      <c r="P26" s="91">
        <f ca="1">SUM(C26:N26)</f>
        <v>34434.651880367499</v>
      </c>
      <c r="Q26" s="37"/>
      <c r="R26" s="28"/>
    </row>
    <row r="27" spans="1:22" ht="12.75" customHeight="1" x14ac:dyDescent="0.2">
      <c r="B27" s="54" t="s">
        <v>107</v>
      </c>
      <c r="C27" s="178">
        <f ca="1">_xlfn.LET(
_xlpm.recurring,SUMIFS(INDEX(recurring_master!$A:$AB,,MATCH($B27,recurring_master!$A$1:$AB$1,0)),recurring_master!$A:$A,"&lt;="&amp;EOMONTH(C$4,0),recurring_master!$A:$A,"&gt;="&amp;C$4),
_xlpm.planned,SUMIFS(Planned!$F:$F,Planned!$B:$B,$B27,Planned!$E:$E,"&gt;="&amp;C$4,Planned!$E:$E,"&lt;="&amp;EOMONTH(C$4,0)),
_xlpm.precedents,C$19*SUMIFS(Precedents!$E:$E,Precedents!$D:$D,$B$19,Precedents!$B:$B,$B27)+C$20*SUMIFS(Precedents!$E:$E,Precedents!$D:$D,$B$20,Precedents!$B:$B,$B27),
IFERROR(_xlpm.recurring,0)+IFERROR(_xlpm.planned,0)+IFERROR(_xlpm.precedents,0))</f>
        <v>810</v>
      </c>
      <c r="D27" s="178">
        <f ca="1">_xlfn.LET(
_xlpm.recurring,SUMIFS(INDEX(recurring_master!$A:$AB,,MATCH($B27,recurring_master!$A$1:$AB$1,0)),recurring_master!$A:$A,"&lt;="&amp;EOMONTH(D$4,0),recurring_master!$A:$A,"&gt;="&amp;D$4),
_xlpm.planned,SUMIFS(Planned!$F:$F,Planned!$B:$B,$B27,Planned!$E:$E,"&gt;="&amp;D$4,Planned!$E:$E,"&lt;="&amp;EOMONTH(D$4,0)),
_xlpm.precedents,D$19*SUMIFS(Precedents!$E:$E,Precedents!$D:$D,$B$19,Precedents!$B:$B,$B27)+D$20*SUMIFS(Precedents!$E:$E,Precedents!$D:$D,$B$20,Precedents!$B:$B,$B27),
IFERROR(_xlpm.recurring,0)+IFERROR(_xlpm.planned,0)+IFERROR(_xlpm.precedents,0))</f>
        <v>1820</v>
      </c>
      <c r="E27" s="178">
        <f ca="1">_xlfn.LET(
_xlpm.recurring,SUMIFS(INDEX(recurring_master!$A:$AB,,MATCH($B27,recurring_master!$A$1:$AB$1,0)),recurring_master!$A:$A,"&lt;="&amp;EOMONTH(E$4,0),recurring_master!$A:$A,"&gt;="&amp;E$4),
_xlpm.planned,SUMIFS(Planned!$F:$F,Planned!$B:$B,$B27,Planned!$E:$E,"&gt;="&amp;E$4,Planned!$E:$E,"&lt;="&amp;EOMONTH(E$4,0)),
_xlpm.precedents,E$19*SUMIFS(Precedents!$E:$E,Precedents!$D:$D,$B$19,Precedents!$B:$B,$B27)+E$20*SUMIFS(Precedents!$E:$E,Precedents!$D:$D,$B$20,Precedents!$B:$B,$B27),
IFERROR(_xlpm.recurring,0)+IFERROR(_xlpm.planned,0)+IFERROR(_xlpm.precedents,0))</f>
        <v>820</v>
      </c>
      <c r="F27" s="178">
        <f ca="1">_xlfn.LET(
_xlpm.recurring,SUMIFS(INDEX(recurring_master!$A:$AB,,MATCH($B27,recurring_master!$A$1:$AB$1,0)),recurring_master!$A:$A,"&lt;="&amp;EOMONTH(F$4,0),recurring_master!$A:$A,"&gt;="&amp;F$4),
_xlpm.planned,SUMIFS(Planned!$F:$F,Planned!$B:$B,$B27,Planned!$E:$E,"&gt;="&amp;F$4,Planned!$E:$E,"&lt;="&amp;EOMONTH(F$4,0)),
_xlpm.precedents,F$19*SUMIFS(Precedents!$E:$E,Precedents!$D:$D,$B$19,Precedents!$B:$B,$B27)+F$20*SUMIFS(Precedents!$E:$E,Precedents!$D:$D,$B$20,Precedents!$B:$B,$B27),
IFERROR(_xlpm.recurring,0)+IFERROR(_xlpm.planned,0)+IFERROR(_xlpm.precedents,0))</f>
        <v>1220</v>
      </c>
      <c r="G27" s="178">
        <f ca="1">_xlfn.LET(
_xlpm.recurring,SUMIFS(INDEX(recurring_master!$A:$AB,,MATCH($B27,recurring_master!$A$1:$AB$1,0)),recurring_master!$A:$A,"&lt;="&amp;EOMONTH(G$4,0),recurring_master!$A:$A,"&gt;="&amp;G$4),
_xlpm.planned,SUMIFS(Planned!$F:$F,Planned!$B:$B,$B27,Planned!$E:$E,"&gt;="&amp;G$4,Planned!$E:$E,"&lt;="&amp;EOMONTH(G$4,0)),
_xlpm.precedents,G$19*SUMIFS(Precedents!$E:$E,Precedents!$D:$D,$B$19,Precedents!$B:$B,$B27)+G$20*SUMIFS(Precedents!$E:$E,Precedents!$D:$D,$B$20,Precedents!$B:$B,$B27),
IFERROR(_xlpm.recurring,0)+IFERROR(_xlpm.planned,0)+IFERROR(_xlpm.precedents,0))</f>
        <v>820</v>
      </c>
      <c r="H27" s="178">
        <f ca="1">_xlfn.LET(
_xlpm.recurring,SUMIFS(INDEX(recurring_master!$A:$AB,,MATCH($B27,recurring_master!$A$1:$AB$1,0)),recurring_master!$A:$A,"&lt;="&amp;EOMONTH(H$4,0),recurring_master!$A:$A,"&gt;="&amp;H$4),
_xlpm.planned,SUMIFS(Planned!$F:$F,Planned!$B:$B,$B27,Planned!$E:$E,"&gt;="&amp;H$4,Planned!$E:$E,"&lt;="&amp;EOMONTH(H$4,0)),
_xlpm.precedents,H$19*SUMIFS(Precedents!$E:$E,Precedents!$D:$D,$B$19,Precedents!$B:$B,$B27)+H$20*SUMIFS(Precedents!$E:$E,Precedents!$D:$D,$B$20,Precedents!$B:$B,$B27),
IFERROR(_xlpm.recurring,0)+IFERROR(_xlpm.planned,0)+IFERROR(_xlpm.precedents,0))</f>
        <v>830</v>
      </c>
      <c r="I27" s="178">
        <f ca="1">_xlfn.LET(
_xlpm.recurring,SUMIFS(INDEX(recurring_master!$A:$AB,,MATCH($B27,recurring_master!$A$1:$AB$1,0)),recurring_master!$A:$A,"&lt;="&amp;EOMONTH(I$4,0),recurring_master!$A:$A,"&gt;="&amp;I$4),
_xlpm.planned,SUMIFS(Planned!$F:$F,Planned!$B:$B,$B27,Planned!$E:$E,"&gt;="&amp;I$4,Planned!$E:$E,"&lt;="&amp;EOMONTH(I$4,0)),
_xlpm.precedents,I$19*SUMIFS(Precedents!$E:$E,Precedents!$D:$D,$B$19,Precedents!$B:$B,$B27)+I$20*SUMIFS(Precedents!$E:$E,Precedents!$D:$D,$B$20,Precedents!$B:$B,$B27),
IFERROR(_xlpm.recurring,0)+IFERROR(_xlpm.planned,0)+IFERROR(_xlpm.precedents,0))</f>
        <v>820</v>
      </c>
      <c r="J27" s="178">
        <f ca="1">_xlfn.LET(
_xlpm.recurring,SUMIFS(INDEX(recurring_master!$A:$AB,,MATCH($B27,recurring_master!$A$1:$AB$1,0)),recurring_master!$A:$A,"&lt;="&amp;EOMONTH(J$4,0),recurring_master!$A:$A,"&gt;="&amp;J$4),
_xlpm.planned,SUMIFS(Planned!$F:$F,Planned!$B:$B,$B27,Planned!$E:$E,"&gt;="&amp;J$4,Planned!$E:$E,"&lt;="&amp;EOMONTH(J$4,0)),
_xlpm.precedents,J$19*SUMIFS(Precedents!$E:$E,Precedents!$D:$D,$B$19,Precedents!$B:$B,$B27)+J$20*SUMIFS(Precedents!$E:$E,Precedents!$D:$D,$B$20,Precedents!$B:$B,$B27),
IFERROR(_xlpm.recurring,0)+IFERROR(_xlpm.planned,0)+IFERROR(_xlpm.precedents,0))</f>
        <v>820</v>
      </c>
      <c r="K27" s="178">
        <f ca="1">_xlfn.LET(
_xlpm.recurring,SUMIFS(INDEX(recurring_master!$A:$AB,,MATCH($B27,recurring_master!$A$1:$AB$1,0)),recurring_master!$A:$A,"&lt;="&amp;EOMONTH(K$4,0),recurring_master!$A:$A,"&gt;="&amp;K$4),
_xlpm.planned,SUMIFS(Planned!$F:$F,Planned!$B:$B,$B27,Planned!$E:$E,"&gt;="&amp;K$4,Planned!$E:$E,"&lt;="&amp;EOMONTH(K$4,0)),
_xlpm.precedents,K$19*SUMIFS(Precedents!$E:$E,Precedents!$D:$D,$B$19,Precedents!$B:$B,$B27)+K$20*SUMIFS(Precedents!$E:$E,Precedents!$D:$D,$B$20,Precedents!$B:$B,$B27),
IFERROR(_xlpm.recurring,0)+IFERROR(_xlpm.planned,0)+IFERROR(_xlpm.precedents,0))</f>
        <v>1220</v>
      </c>
      <c r="L27" s="178">
        <f ca="1">_xlfn.LET(
_xlpm.recurring,SUMIFS(INDEX(recurring_master!$A:$AB,,MATCH($B27,recurring_master!$A$1:$AB$1,0)),recurring_master!$A:$A,"&lt;="&amp;EOMONTH(L$4,0),recurring_master!$A:$A,"&gt;="&amp;L$4),
_xlpm.planned,SUMIFS(Planned!$F:$F,Planned!$B:$B,$B27,Planned!$E:$E,"&gt;="&amp;L$4,Planned!$E:$E,"&lt;="&amp;EOMONTH(L$4,0)),
_xlpm.precedents,L$19*SUMIFS(Precedents!$E:$E,Precedents!$D:$D,$B$19,Precedents!$B:$B,$B27)+L$20*SUMIFS(Precedents!$E:$E,Precedents!$D:$D,$B$20,Precedents!$B:$B,$B27),
IFERROR(_xlpm.recurring,0)+IFERROR(_xlpm.planned,0)+IFERROR(_xlpm.precedents,0))</f>
        <v>820</v>
      </c>
      <c r="M27" s="178">
        <f ca="1">_xlfn.LET(
_xlpm.recurring,SUMIFS(INDEX(recurring_master!$A:$AB,,MATCH($B27,recurring_master!$A$1:$AB$1,0)),recurring_master!$A:$A,"&lt;="&amp;EOMONTH(M$4,0),recurring_master!$A:$A,"&gt;="&amp;M$4),
_xlpm.planned,SUMIFS(Planned!$F:$F,Planned!$B:$B,$B27,Planned!$E:$E,"&gt;="&amp;M$4,Planned!$E:$E,"&lt;="&amp;EOMONTH(M$4,0)),
_xlpm.precedents,M$19*SUMIFS(Precedents!$E:$E,Precedents!$D:$D,$B$19,Precedents!$B:$B,$B27)+M$20*SUMIFS(Precedents!$E:$E,Precedents!$D:$D,$B$20,Precedents!$B:$B,$B27),
IFERROR(_xlpm.recurring,0)+IFERROR(_xlpm.planned,0)+IFERROR(_xlpm.precedents,0))</f>
        <v>830</v>
      </c>
      <c r="N27" s="178">
        <f ca="1">_xlfn.LET(
_xlpm.recurring,SUMIFS(INDEX(recurring_master!$A:$AB,,MATCH($B27,recurring_master!$A$1:$AB$1,0)),recurring_master!$A:$A,"&lt;="&amp;EOMONTH(N$4,0),recurring_master!$A:$A,"&gt;="&amp;N$4),
_xlpm.planned,SUMIFS(Planned!$F:$F,Planned!$B:$B,$B27,Planned!$E:$E,"&gt;="&amp;N$4,Planned!$E:$E,"&lt;="&amp;EOMONTH(N$4,0)),
_xlpm.precedents,N$19*SUMIFS(Precedents!$E:$E,Precedents!$D:$D,$B$19,Precedents!$B:$B,$B27)+N$20*SUMIFS(Precedents!$E:$E,Precedents!$D:$D,$B$20,Precedents!$B:$B,$B27),
IFERROR(_xlpm.recurring,0)+IFERROR(_xlpm.planned,0)+IFERROR(_xlpm.precedents,0))</f>
        <v>820</v>
      </c>
      <c r="O27" s="81"/>
      <c r="P27" s="91">
        <f t="shared" ref="P27:P28" ca="1" si="9">SUM(C27:N27)</f>
        <v>11650</v>
      </c>
      <c r="Q27" s="37"/>
      <c r="R27" s="28"/>
    </row>
    <row r="28" spans="1:22" ht="12.75" customHeight="1" x14ac:dyDescent="0.2">
      <c r="B28" s="54" t="s">
        <v>118</v>
      </c>
      <c r="C28" s="178">
        <f ca="1">_xlfn.LET(
_xlpm.recurring,SUMIFS(INDEX(recurring_master!$A:$AB,,MATCH($B28,recurring_master!$A$1:$AB$1,0)),recurring_master!$A:$A,"&lt;="&amp;EOMONTH(C$4,0),recurring_master!$A:$A,"&gt;="&amp;C$4),
_xlpm.planned,SUMIFS(Planned!$F:$F,Planned!$B:$B,$B28,Planned!$E:$E,"&gt;="&amp;C$4,Planned!$E:$E,"&lt;="&amp;EOMONTH(C$4,0)),
_xlpm.precedents,C$19*SUMIFS(Precedents!$E:$E,Precedents!$D:$D,$B$19,Precedents!$B:$B,$B28)+C$20*SUMIFS(Precedents!$E:$E,Precedents!$D:$D,$B$20,Precedents!$B:$B,$B28),
IFERROR(_xlpm.recurring,0)+IFERROR(_xlpm.planned,0)+IFERROR(_xlpm.precedents,0))</f>
        <v>192</v>
      </c>
      <c r="D28" s="178">
        <f ca="1">_xlfn.LET(
_xlpm.recurring,SUMIFS(INDEX(recurring_master!$A:$AB,,MATCH($B28,recurring_master!$A$1:$AB$1,0)),recurring_master!$A:$A,"&lt;="&amp;EOMONTH(D$4,0),recurring_master!$A:$A,"&gt;="&amp;D$4),
_xlpm.planned,SUMIFS(Planned!$F:$F,Planned!$B:$B,$B28,Planned!$E:$E,"&gt;="&amp;D$4,Planned!$E:$E,"&lt;="&amp;EOMONTH(D$4,0)),
_xlpm.precedents,D$19*SUMIFS(Precedents!$E:$E,Precedents!$D:$D,$B$19,Precedents!$B:$B,$B28)+D$20*SUMIFS(Precedents!$E:$E,Precedents!$D:$D,$B$20,Precedents!$B:$B,$B28),
IFERROR(_xlpm.recurring,0)+IFERROR(_xlpm.planned,0)+IFERROR(_xlpm.precedents,0))</f>
        <v>192</v>
      </c>
      <c r="E28" s="178">
        <f ca="1">_xlfn.LET(
_xlpm.recurring,SUMIFS(INDEX(recurring_master!$A:$AB,,MATCH($B28,recurring_master!$A$1:$AB$1,0)),recurring_master!$A:$A,"&lt;="&amp;EOMONTH(E$4,0),recurring_master!$A:$A,"&gt;="&amp;E$4),
_xlpm.planned,SUMIFS(Planned!$F:$F,Planned!$B:$B,$B28,Planned!$E:$E,"&gt;="&amp;E$4,Planned!$E:$E,"&lt;="&amp;EOMONTH(E$4,0)),
_xlpm.precedents,E$19*SUMIFS(Precedents!$E:$E,Precedents!$D:$D,$B$19,Precedents!$B:$B,$B28)+E$20*SUMIFS(Precedents!$E:$E,Precedents!$D:$D,$B$20,Precedents!$B:$B,$B28),
IFERROR(_xlpm.recurring,0)+IFERROR(_xlpm.planned,0)+IFERROR(_xlpm.precedents,0))</f>
        <v>192</v>
      </c>
      <c r="F28" s="178">
        <f ca="1">_xlfn.LET(
_xlpm.recurring,SUMIFS(INDEX(recurring_master!$A:$AB,,MATCH($B28,recurring_master!$A$1:$AB$1,0)),recurring_master!$A:$A,"&lt;="&amp;EOMONTH(F$4,0),recurring_master!$A:$A,"&gt;="&amp;F$4),
_xlpm.planned,SUMIFS(Planned!$F:$F,Planned!$B:$B,$B28,Planned!$E:$E,"&gt;="&amp;F$4,Planned!$E:$E,"&lt;="&amp;EOMONTH(F$4,0)),
_xlpm.precedents,F$19*SUMIFS(Precedents!$E:$E,Precedents!$D:$D,$B$19,Precedents!$B:$B,$B28)+F$20*SUMIFS(Precedents!$E:$E,Precedents!$D:$D,$B$20,Precedents!$B:$B,$B28),
IFERROR(_xlpm.recurring,0)+IFERROR(_xlpm.planned,0)+IFERROR(_xlpm.precedents,0))</f>
        <v>288</v>
      </c>
      <c r="G28" s="178">
        <f ca="1">_xlfn.LET(
_xlpm.recurring,SUMIFS(INDEX(recurring_master!$A:$AB,,MATCH($B28,recurring_master!$A$1:$AB$1,0)),recurring_master!$A:$A,"&lt;="&amp;EOMONTH(G$4,0),recurring_master!$A:$A,"&gt;="&amp;G$4),
_xlpm.planned,SUMIFS(Planned!$F:$F,Planned!$B:$B,$B28,Planned!$E:$E,"&gt;="&amp;G$4,Planned!$E:$E,"&lt;="&amp;EOMONTH(G$4,0)),
_xlpm.precedents,G$19*SUMIFS(Precedents!$E:$E,Precedents!$D:$D,$B$19,Precedents!$B:$B,$B28)+G$20*SUMIFS(Precedents!$E:$E,Precedents!$D:$D,$B$20,Precedents!$B:$B,$B28),
IFERROR(_xlpm.recurring,0)+IFERROR(_xlpm.planned,0)+IFERROR(_xlpm.precedents,0))</f>
        <v>192</v>
      </c>
      <c r="H28" s="178">
        <f ca="1">_xlfn.LET(
_xlpm.recurring,SUMIFS(INDEX(recurring_master!$A:$AB,,MATCH($B28,recurring_master!$A$1:$AB$1,0)),recurring_master!$A:$A,"&lt;="&amp;EOMONTH(H$4,0),recurring_master!$A:$A,"&gt;="&amp;H$4),
_xlpm.planned,SUMIFS(Planned!$F:$F,Planned!$B:$B,$B28,Planned!$E:$E,"&gt;="&amp;H$4,Planned!$E:$E,"&lt;="&amp;EOMONTH(H$4,0)),
_xlpm.precedents,H$19*SUMIFS(Precedents!$E:$E,Precedents!$D:$D,$B$19,Precedents!$B:$B,$B28)+H$20*SUMIFS(Precedents!$E:$E,Precedents!$D:$D,$B$20,Precedents!$B:$B,$B28),
IFERROR(_xlpm.recurring,0)+IFERROR(_xlpm.planned,0)+IFERROR(_xlpm.precedents,0))</f>
        <v>192</v>
      </c>
      <c r="I28" s="178">
        <f ca="1">_xlfn.LET(
_xlpm.recurring,SUMIFS(INDEX(recurring_master!$A:$AB,,MATCH($B28,recurring_master!$A$1:$AB$1,0)),recurring_master!$A:$A,"&lt;="&amp;EOMONTH(I$4,0),recurring_master!$A:$A,"&gt;="&amp;I$4),
_xlpm.planned,SUMIFS(Planned!$F:$F,Planned!$B:$B,$B28,Planned!$E:$E,"&gt;="&amp;I$4,Planned!$E:$E,"&lt;="&amp;EOMONTH(I$4,0)),
_xlpm.precedents,I$19*SUMIFS(Precedents!$E:$E,Precedents!$D:$D,$B$19,Precedents!$B:$B,$B28)+I$20*SUMIFS(Precedents!$E:$E,Precedents!$D:$D,$B$20,Precedents!$B:$B,$B28),
IFERROR(_xlpm.recurring,0)+IFERROR(_xlpm.planned,0)+IFERROR(_xlpm.precedents,0))</f>
        <v>192</v>
      </c>
      <c r="J28" s="178">
        <f ca="1">_xlfn.LET(
_xlpm.recurring,SUMIFS(INDEX(recurring_master!$A:$AB,,MATCH($B28,recurring_master!$A$1:$AB$1,0)),recurring_master!$A:$A,"&lt;="&amp;EOMONTH(J$4,0),recurring_master!$A:$A,"&gt;="&amp;J$4),
_xlpm.planned,SUMIFS(Planned!$F:$F,Planned!$B:$B,$B28,Planned!$E:$E,"&gt;="&amp;J$4,Planned!$E:$E,"&lt;="&amp;EOMONTH(J$4,0)),
_xlpm.precedents,J$19*SUMIFS(Precedents!$E:$E,Precedents!$D:$D,$B$19,Precedents!$B:$B,$B28)+J$20*SUMIFS(Precedents!$E:$E,Precedents!$D:$D,$B$20,Precedents!$B:$B,$B28),
IFERROR(_xlpm.recurring,0)+IFERROR(_xlpm.planned,0)+IFERROR(_xlpm.precedents,0))</f>
        <v>192</v>
      </c>
      <c r="K28" s="178">
        <f ca="1">_xlfn.LET(
_xlpm.recurring,SUMIFS(INDEX(recurring_master!$A:$AB,,MATCH($B28,recurring_master!$A$1:$AB$1,0)),recurring_master!$A:$A,"&lt;="&amp;EOMONTH(K$4,0),recurring_master!$A:$A,"&gt;="&amp;K$4),
_xlpm.planned,SUMIFS(Planned!$F:$F,Planned!$B:$B,$B28,Planned!$E:$E,"&gt;="&amp;K$4,Planned!$E:$E,"&lt;="&amp;EOMONTH(K$4,0)),
_xlpm.precedents,K$19*SUMIFS(Precedents!$E:$E,Precedents!$D:$D,$B$19,Precedents!$B:$B,$B28)+K$20*SUMIFS(Precedents!$E:$E,Precedents!$D:$D,$B$20,Precedents!$B:$B,$B28),
IFERROR(_xlpm.recurring,0)+IFERROR(_xlpm.planned,0)+IFERROR(_xlpm.precedents,0))</f>
        <v>288</v>
      </c>
      <c r="L28" s="178">
        <f ca="1">_xlfn.LET(
_xlpm.recurring,SUMIFS(INDEX(recurring_master!$A:$AB,,MATCH($B28,recurring_master!$A$1:$AB$1,0)),recurring_master!$A:$A,"&lt;="&amp;EOMONTH(L$4,0),recurring_master!$A:$A,"&gt;="&amp;L$4),
_xlpm.planned,SUMIFS(Planned!$F:$F,Planned!$B:$B,$B28,Planned!$E:$E,"&gt;="&amp;L$4,Planned!$E:$E,"&lt;="&amp;EOMONTH(L$4,0)),
_xlpm.precedents,L$19*SUMIFS(Precedents!$E:$E,Precedents!$D:$D,$B$19,Precedents!$B:$B,$B28)+L$20*SUMIFS(Precedents!$E:$E,Precedents!$D:$D,$B$20,Precedents!$B:$B,$B28),
IFERROR(_xlpm.recurring,0)+IFERROR(_xlpm.planned,0)+IFERROR(_xlpm.precedents,0))</f>
        <v>192</v>
      </c>
      <c r="M28" s="178">
        <f ca="1">_xlfn.LET(
_xlpm.recurring,SUMIFS(INDEX(recurring_master!$A:$AB,,MATCH($B28,recurring_master!$A$1:$AB$1,0)),recurring_master!$A:$A,"&lt;="&amp;EOMONTH(M$4,0),recurring_master!$A:$A,"&gt;="&amp;M$4),
_xlpm.planned,SUMIFS(Planned!$F:$F,Planned!$B:$B,$B28,Planned!$E:$E,"&gt;="&amp;M$4,Planned!$E:$E,"&lt;="&amp;EOMONTH(M$4,0)),
_xlpm.precedents,M$19*SUMIFS(Precedents!$E:$E,Precedents!$D:$D,$B$19,Precedents!$B:$B,$B28)+M$20*SUMIFS(Precedents!$E:$E,Precedents!$D:$D,$B$20,Precedents!$B:$B,$B28),
IFERROR(_xlpm.recurring,0)+IFERROR(_xlpm.planned,0)+IFERROR(_xlpm.precedents,0))</f>
        <v>192</v>
      </c>
      <c r="N28" s="178">
        <f ca="1">_xlfn.LET(
_xlpm.recurring,SUMIFS(INDEX(recurring_master!$A:$AB,,MATCH($B28,recurring_master!$A$1:$AB$1,0)),recurring_master!$A:$A,"&lt;="&amp;EOMONTH(N$4,0),recurring_master!$A:$A,"&gt;="&amp;N$4),
_xlpm.planned,SUMIFS(Planned!$F:$F,Planned!$B:$B,$B28,Planned!$E:$E,"&gt;="&amp;N$4,Planned!$E:$E,"&lt;="&amp;EOMONTH(N$4,0)),
_xlpm.precedents,N$19*SUMIFS(Precedents!$E:$E,Precedents!$D:$D,$B$19,Precedents!$B:$B,$B28)+N$20*SUMIFS(Precedents!$E:$E,Precedents!$D:$D,$B$20,Precedents!$B:$B,$B28),
IFERROR(_xlpm.recurring,0)+IFERROR(_xlpm.planned,0)+IFERROR(_xlpm.precedents,0))</f>
        <v>192</v>
      </c>
      <c r="O28" s="81"/>
      <c r="P28" s="91">
        <f t="shared" ca="1" si="9"/>
        <v>2496</v>
      </c>
      <c r="Q28" s="38"/>
      <c r="R28" s="28"/>
    </row>
    <row r="29" spans="1:22" ht="5.0999999999999996" customHeight="1" x14ac:dyDescent="0.2">
      <c r="A29" s="5"/>
      <c r="B29" s="54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91"/>
      <c r="Q29" s="37"/>
      <c r="R29" s="28"/>
      <c r="V29" s="5"/>
    </row>
    <row r="30" spans="1:22" ht="12.75" customHeight="1" x14ac:dyDescent="0.2">
      <c r="B30" s="56" t="s">
        <v>36</v>
      </c>
      <c r="C30" s="92">
        <f t="shared" ref="C30:N30" ca="1" si="10">SUM(C26:C29)</f>
        <v>3396.1689290212598</v>
      </c>
      <c r="D30" s="92">
        <f t="shared" ca="1" si="10"/>
        <v>7391.4906800230774</v>
      </c>
      <c r="E30" s="92">
        <f t="shared" ca="1" si="10"/>
        <v>3435.7265701202878</v>
      </c>
      <c r="F30" s="92">
        <f t="shared" ca="1" si="10"/>
        <v>5114.0322140814042</v>
      </c>
      <c r="G30" s="92">
        <f t="shared" ca="1" si="10"/>
        <v>3435.7265701202878</v>
      </c>
      <c r="H30" s="92">
        <f t="shared" ca="1" si="10"/>
        <v>3475.2842112193157</v>
      </c>
      <c r="I30" s="92">
        <f t="shared" ca="1" si="10"/>
        <v>3435.7265701202878</v>
      </c>
      <c r="J30" s="92">
        <f t="shared" ca="1" si="10"/>
        <v>3435.7265701202878</v>
      </c>
      <c r="K30" s="92">
        <f t="shared" ca="1" si="10"/>
        <v>5114.0322140814042</v>
      </c>
      <c r="L30" s="92">
        <f t="shared" ca="1" si="10"/>
        <v>3435.7265701202878</v>
      </c>
      <c r="M30" s="92">
        <f t="shared" ca="1" si="10"/>
        <v>3475.2842112193157</v>
      </c>
      <c r="N30" s="92">
        <f t="shared" ca="1" si="10"/>
        <v>3435.7265701202878</v>
      </c>
      <c r="O30" s="92"/>
      <c r="P30" s="93">
        <f ca="1">SUM(C30:N30)</f>
        <v>48580.651880367499</v>
      </c>
      <c r="Q30" s="37"/>
      <c r="R30" s="28"/>
    </row>
    <row r="31" spans="1:22" ht="5.0999999999999996" customHeight="1" x14ac:dyDescent="0.2">
      <c r="A31" s="5"/>
      <c r="B31" s="54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91"/>
      <c r="Q31" s="37"/>
      <c r="R31" s="28"/>
      <c r="V31" s="5"/>
    </row>
    <row r="32" spans="1:22" ht="12.75" customHeight="1" x14ac:dyDescent="0.2">
      <c r="B32" s="58" t="s">
        <v>217</v>
      </c>
      <c r="C32" s="94">
        <f t="shared" ref="C32:N32" ca="1" si="11">C23-C30</f>
        <v>4703.8310709787402</v>
      </c>
      <c r="D32" s="94">
        <f t="shared" ca="1" si="11"/>
        <v>10908.509319976922</v>
      </c>
      <c r="E32" s="94">
        <f t="shared" ca="1" si="11"/>
        <v>4764.2734298797122</v>
      </c>
      <c r="F32" s="94">
        <f t="shared" ca="1" si="11"/>
        <v>7085.9677859185958</v>
      </c>
      <c r="G32" s="94">
        <f t="shared" ca="1" si="11"/>
        <v>4764.2734298797122</v>
      </c>
      <c r="H32" s="94">
        <f t="shared" ca="1" si="11"/>
        <v>4824.7157887806843</v>
      </c>
      <c r="I32" s="94">
        <f t="shared" ca="1" si="11"/>
        <v>4764.2734298797122</v>
      </c>
      <c r="J32" s="94">
        <f t="shared" ca="1" si="11"/>
        <v>4764.2734298797122</v>
      </c>
      <c r="K32" s="94">
        <f t="shared" ca="1" si="11"/>
        <v>7085.9677859185958</v>
      </c>
      <c r="L32" s="94">
        <f t="shared" ca="1" si="11"/>
        <v>4764.2734298797122</v>
      </c>
      <c r="M32" s="94">
        <f t="shared" ca="1" si="11"/>
        <v>4824.7157887806843</v>
      </c>
      <c r="N32" s="94">
        <f t="shared" ca="1" si="11"/>
        <v>4764.2734298797122</v>
      </c>
      <c r="O32" s="94"/>
      <c r="P32" s="95">
        <f ca="1">SUM(C32:N32)</f>
        <v>68019.348119632501</v>
      </c>
      <c r="Q32" s="37"/>
      <c r="R32" s="28"/>
    </row>
    <row r="34" spans="1:22" ht="12.75" customHeight="1" x14ac:dyDescent="0.2">
      <c r="B34" s="59" t="s">
        <v>216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1"/>
      <c r="Q34" s="37"/>
      <c r="R34" s="28"/>
    </row>
    <row r="35" spans="1:22" ht="12.75" customHeight="1" x14ac:dyDescent="0.2">
      <c r="B35" s="144" t="s">
        <v>211</v>
      </c>
      <c r="C35" s="90">
        <f ca="1">_xlfn.LET(
_xlpm.recurring,SUMIFS(INDEX(recurring_master!$A:$AB,,MATCH($B35,recurring_master!$A$1:$AB$1,0)),recurring_master!$A:$A,"&lt;="&amp;EOMONTH(C$4,0),recurring_master!$A:$A,"&gt;="&amp;C$4),
_xlpm.planned,SUMIFS(Planned!$F:$F,Planned!$B:$B,$B35,Planned!$E:$E,"&gt;="&amp;C$4,Planned!$E:$E,"&lt;="&amp;EOMONTH(C$4,0)),
IFERROR(_xlpm.recurring,0)+IFERROR(_xlpm.planned,0))</f>
        <v>200</v>
      </c>
      <c r="D35" s="90">
        <f ca="1">_xlfn.LET(
_xlpm.recurring,SUMIFS(INDEX(recurring_master!$A:$AB,,MATCH($B35,recurring_master!$A$1:$AB$1,0)),recurring_master!$A:$A,"&lt;="&amp;EOMONTH(D$4,0),recurring_master!$A:$A,"&gt;="&amp;D$4),
_xlpm.planned,SUMIFS(Planned!$F:$F,Planned!$B:$B,$B35,Planned!$E:$E,"&gt;="&amp;D$4,Planned!$E:$E,"&lt;="&amp;EOMONTH(D$4,0)),
IFERROR(_xlpm.recurring,0)+IFERROR(_xlpm.planned,0))</f>
        <v>0</v>
      </c>
      <c r="E35" s="90">
        <f ca="1">_xlfn.LET(
_xlpm.recurring,SUMIFS(INDEX(recurring_master!$A:$AB,,MATCH($B35,recurring_master!$A$1:$AB$1,0)),recurring_master!$A:$A,"&lt;="&amp;EOMONTH(E$4,0),recurring_master!$A:$A,"&gt;="&amp;E$4),
_xlpm.planned,SUMIFS(Planned!$F:$F,Planned!$B:$B,$B35,Planned!$E:$E,"&gt;="&amp;E$4,Planned!$E:$E,"&lt;="&amp;EOMONTH(E$4,0)),
IFERROR(_xlpm.recurring,0)+IFERROR(_xlpm.planned,0))</f>
        <v>0</v>
      </c>
      <c r="F35" s="90">
        <f ca="1">_xlfn.LET(
_xlpm.recurring,SUMIFS(INDEX(recurring_master!$A:$AB,,MATCH($B35,recurring_master!$A$1:$AB$1,0)),recurring_master!$A:$A,"&lt;="&amp;EOMONTH(F$4,0),recurring_master!$A:$A,"&gt;="&amp;F$4),
_xlpm.planned,SUMIFS(Planned!$F:$F,Planned!$B:$B,$B35,Planned!$E:$E,"&gt;="&amp;F$4,Planned!$E:$E,"&lt;="&amp;EOMONTH(F$4,0)),
IFERROR(_xlpm.recurring,0)+IFERROR(_xlpm.planned,0))</f>
        <v>0</v>
      </c>
      <c r="G35" s="90">
        <f ca="1">_xlfn.LET(
_xlpm.recurring,SUMIFS(INDEX(recurring_master!$A:$AB,,MATCH($B35,recurring_master!$A$1:$AB$1,0)),recurring_master!$A:$A,"&lt;="&amp;EOMONTH(G$4,0),recurring_master!$A:$A,"&gt;="&amp;G$4),
_xlpm.planned,SUMIFS(Planned!$F:$F,Planned!$B:$B,$B35,Planned!$E:$E,"&gt;="&amp;G$4,Planned!$E:$E,"&lt;="&amp;EOMONTH(G$4,0)),
IFERROR(_xlpm.recurring,0)+IFERROR(_xlpm.planned,0))</f>
        <v>0</v>
      </c>
      <c r="H35" s="90">
        <f ca="1">_xlfn.LET(
_xlpm.recurring,SUMIFS(INDEX(recurring_master!$A:$AB,,MATCH($B35,recurring_master!$A$1:$AB$1,0)),recurring_master!$A:$A,"&lt;="&amp;EOMONTH(H$4,0),recurring_master!$A:$A,"&gt;="&amp;H$4),
_xlpm.planned,SUMIFS(Planned!$F:$F,Planned!$B:$B,$B35,Planned!$E:$E,"&gt;="&amp;H$4,Planned!$E:$E,"&lt;="&amp;EOMONTH(H$4,0)),
IFERROR(_xlpm.recurring,0)+IFERROR(_xlpm.planned,0))</f>
        <v>0</v>
      </c>
      <c r="I35" s="90">
        <f ca="1">_xlfn.LET(
_xlpm.recurring,SUMIFS(INDEX(recurring_master!$A:$AB,,MATCH($B35,recurring_master!$A$1:$AB$1,0)),recurring_master!$A:$A,"&lt;="&amp;EOMONTH(I$4,0),recurring_master!$A:$A,"&gt;="&amp;I$4),
_xlpm.planned,SUMIFS(Planned!$F:$F,Planned!$B:$B,$B35,Planned!$E:$E,"&gt;="&amp;I$4,Planned!$E:$E,"&lt;="&amp;EOMONTH(I$4,0)),
IFERROR(_xlpm.recurring,0)+IFERROR(_xlpm.planned,0))</f>
        <v>0</v>
      </c>
      <c r="J35" s="90">
        <f ca="1">_xlfn.LET(
_xlpm.recurring,SUMIFS(INDEX(recurring_master!$A:$AB,,MATCH($B35,recurring_master!$A$1:$AB$1,0)),recurring_master!$A:$A,"&lt;="&amp;EOMONTH(J$4,0),recurring_master!$A:$A,"&gt;="&amp;J$4),
_xlpm.planned,SUMIFS(Planned!$F:$F,Planned!$B:$B,$B35,Planned!$E:$E,"&gt;="&amp;J$4,Planned!$E:$E,"&lt;="&amp;EOMONTH(J$4,0)),
IFERROR(_xlpm.recurring,0)+IFERROR(_xlpm.planned,0))</f>
        <v>0</v>
      </c>
      <c r="K35" s="90">
        <f ca="1">_xlfn.LET(
_xlpm.recurring,SUMIFS(INDEX(recurring_master!$A:$AB,,MATCH($B35,recurring_master!$A$1:$AB$1,0)),recurring_master!$A:$A,"&lt;="&amp;EOMONTH(K$4,0),recurring_master!$A:$A,"&gt;="&amp;K$4),
_xlpm.planned,SUMIFS(Planned!$F:$F,Planned!$B:$B,$B35,Planned!$E:$E,"&gt;="&amp;K$4,Planned!$E:$E,"&lt;="&amp;EOMONTH(K$4,0)),
IFERROR(_xlpm.recurring,0)+IFERROR(_xlpm.planned,0))</f>
        <v>0</v>
      </c>
      <c r="L35" s="90">
        <f ca="1">_xlfn.LET(
_xlpm.recurring,SUMIFS(INDEX(recurring_master!$A:$AB,,MATCH($B35,recurring_master!$A$1:$AB$1,0)),recurring_master!$A:$A,"&lt;="&amp;EOMONTH(L$4,0),recurring_master!$A:$A,"&gt;="&amp;L$4),
_xlpm.planned,SUMIFS(Planned!$F:$F,Planned!$B:$B,$B35,Planned!$E:$E,"&gt;="&amp;L$4,Planned!$E:$E,"&lt;="&amp;EOMONTH(L$4,0)),
IFERROR(_xlpm.recurring,0)+IFERROR(_xlpm.planned,0))</f>
        <v>0</v>
      </c>
      <c r="M35" s="90">
        <f ca="1">_xlfn.LET(
_xlpm.recurring,SUMIFS(INDEX(recurring_master!$A:$AB,,MATCH($B35,recurring_master!$A$1:$AB$1,0)),recurring_master!$A:$A,"&lt;="&amp;EOMONTH(M$4,0),recurring_master!$A:$A,"&gt;="&amp;M$4),
_xlpm.planned,SUMIFS(Planned!$F:$F,Planned!$B:$B,$B35,Planned!$E:$E,"&gt;="&amp;M$4,Planned!$E:$E,"&lt;="&amp;EOMONTH(M$4,0)),
IFERROR(_xlpm.recurring,0)+IFERROR(_xlpm.planned,0))</f>
        <v>0</v>
      </c>
      <c r="N35" s="90">
        <f ca="1">_xlfn.LET(
_xlpm.recurring,SUMIFS(INDEX(recurring_master!$A:$AB,,MATCH($B35,recurring_master!$A$1:$AB$1,0)),recurring_master!$A:$A,"&lt;="&amp;EOMONTH(N$4,0),recurring_master!$A:$A,"&gt;="&amp;N$4),
_xlpm.planned,SUMIFS(Planned!$F:$F,Planned!$B:$B,$B35,Planned!$E:$E,"&gt;="&amp;N$4,Planned!$E:$E,"&lt;="&amp;EOMONTH(N$4,0)),
IFERROR(_xlpm.recurring,0)+IFERROR(_xlpm.planned,0))</f>
        <v>0</v>
      </c>
      <c r="O35" s="81"/>
      <c r="P35" s="91">
        <f ca="1">SUM(C35:N35)</f>
        <v>200</v>
      </c>
      <c r="Q35" s="38"/>
      <c r="R35" s="28" t="s">
        <v>291</v>
      </c>
    </row>
    <row r="36" spans="1:22" ht="12.75" customHeight="1" x14ac:dyDescent="0.2">
      <c r="B36" s="54" t="s">
        <v>14</v>
      </c>
      <c r="C36" s="90">
        <f ca="1">_xlfn.LET(
_xlpm.recurring,SUMIFS(INDEX(recurring_master!$A:$AB,,MATCH($B36,recurring_master!$A$1:$AB$1,0)),recurring_master!$A:$A,"&lt;="&amp;EOMONTH(C$4,0),recurring_master!$A:$A,"&gt;="&amp;C$4),
_xlpm.planned,SUMIFS(Planned!$F:$F,Planned!$B:$B,$B36,Planned!$E:$E,"&gt;="&amp;C$4,Planned!$E:$E,"&lt;="&amp;EOMONTH(C$4,0)),
IFERROR(_xlpm.recurring,0)+IFERROR(_xlpm.planned,0))</f>
        <v>20</v>
      </c>
      <c r="D36" s="90">
        <f ca="1">_xlfn.LET(
_xlpm.recurring,SUMIFS(INDEX(recurring_master!$A:$AB,,MATCH($B36,recurring_master!$A$1:$AB$1,0)),recurring_master!$A:$A,"&lt;="&amp;EOMONTH(D$4,0),recurring_master!$A:$A,"&gt;="&amp;D$4),
_xlpm.planned,SUMIFS(Planned!$F:$F,Planned!$B:$B,$B36,Planned!$E:$E,"&gt;="&amp;D$4,Planned!$E:$E,"&lt;="&amp;EOMONTH(D$4,0)),
IFERROR(_xlpm.recurring,0)+IFERROR(_xlpm.planned,0))</f>
        <v>0</v>
      </c>
      <c r="E36" s="90">
        <f ca="1">_xlfn.LET(
_xlpm.recurring,SUMIFS(INDEX(recurring_master!$A:$AB,,MATCH($B36,recurring_master!$A$1:$AB$1,0)),recurring_master!$A:$A,"&lt;="&amp;EOMONTH(E$4,0),recurring_master!$A:$A,"&gt;="&amp;E$4),
_xlpm.planned,SUMIFS(Planned!$F:$F,Planned!$B:$B,$B36,Planned!$E:$E,"&gt;="&amp;E$4,Planned!$E:$E,"&lt;="&amp;EOMONTH(E$4,0)),
IFERROR(_xlpm.recurring,0)+IFERROR(_xlpm.planned,0))</f>
        <v>0</v>
      </c>
      <c r="F36" s="90">
        <f ca="1">_xlfn.LET(
_xlpm.recurring,SUMIFS(INDEX(recurring_master!$A:$AB,,MATCH($B36,recurring_master!$A$1:$AB$1,0)),recurring_master!$A:$A,"&lt;="&amp;EOMONTH(F$4,0),recurring_master!$A:$A,"&gt;="&amp;F$4),
_xlpm.planned,SUMIFS(Planned!$F:$F,Planned!$B:$B,$B36,Planned!$E:$E,"&gt;="&amp;F$4,Planned!$E:$E,"&lt;="&amp;EOMONTH(F$4,0)),
IFERROR(_xlpm.recurring,0)+IFERROR(_xlpm.planned,0))</f>
        <v>0</v>
      </c>
      <c r="G36" s="90">
        <f ca="1">_xlfn.LET(
_xlpm.recurring,SUMIFS(INDEX(recurring_master!$A:$AB,,MATCH($B36,recurring_master!$A$1:$AB$1,0)),recurring_master!$A:$A,"&lt;="&amp;EOMONTH(G$4,0),recurring_master!$A:$A,"&gt;="&amp;G$4),
_xlpm.planned,SUMIFS(Planned!$F:$F,Planned!$B:$B,$B36,Planned!$E:$E,"&gt;="&amp;G$4,Planned!$E:$E,"&lt;="&amp;EOMONTH(G$4,0)),
IFERROR(_xlpm.recurring,0)+IFERROR(_xlpm.planned,0))</f>
        <v>0</v>
      </c>
      <c r="H36" s="90">
        <f ca="1">_xlfn.LET(
_xlpm.recurring,SUMIFS(INDEX(recurring_master!$A:$AB,,MATCH($B36,recurring_master!$A$1:$AB$1,0)),recurring_master!$A:$A,"&lt;="&amp;EOMONTH(H$4,0),recurring_master!$A:$A,"&gt;="&amp;H$4),
_xlpm.planned,SUMIFS(Planned!$F:$F,Planned!$B:$B,$B36,Planned!$E:$E,"&gt;="&amp;H$4,Planned!$E:$E,"&lt;="&amp;EOMONTH(H$4,0)),
IFERROR(_xlpm.recurring,0)+IFERROR(_xlpm.planned,0))</f>
        <v>0</v>
      </c>
      <c r="I36" s="90">
        <f ca="1">_xlfn.LET(
_xlpm.recurring,SUMIFS(INDEX(recurring_master!$A:$AB,,MATCH($B36,recurring_master!$A$1:$AB$1,0)),recurring_master!$A:$A,"&lt;="&amp;EOMONTH(I$4,0),recurring_master!$A:$A,"&gt;="&amp;I$4),
_xlpm.planned,SUMIFS(Planned!$F:$F,Planned!$B:$B,$B36,Planned!$E:$E,"&gt;="&amp;I$4,Planned!$E:$E,"&lt;="&amp;EOMONTH(I$4,0)),
IFERROR(_xlpm.recurring,0)+IFERROR(_xlpm.planned,0))</f>
        <v>0</v>
      </c>
      <c r="J36" s="90">
        <f ca="1">_xlfn.LET(
_xlpm.recurring,SUMIFS(INDEX(recurring_master!$A:$AB,,MATCH($B36,recurring_master!$A$1:$AB$1,0)),recurring_master!$A:$A,"&lt;="&amp;EOMONTH(J$4,0),recurring_master!$A:$A,"&gt;="&amp;J$4),
_xlpm.planned,SUMIFS(Planned!$F:$F,Planned!$B:$B,$B36,Planned!$E:$E,"&gt;="&amp;J$4,Planned!$E:$E,"&lt;="&amp;EOMONTH(J$4,0)),
IFERROR(_xlpm.recurring,0)+IFERROR(_xlpm.planned,0))</f>
        <v>0</v>
      </c>
      <c r="K36" s="90">
        <f ca="1">_xlfn.LET(
_xlpm.recurring,SUMIFS(INDEX(recurring_master!$A:$AB,,MATCH($B36,recurring_master!$A$1:$AB$1,0)),recurring_master!$A:$A,"&lt;="&amp;EOMONTH(K$4,0),recurring_master!$A:$A,"&gt;="&amp;K$4),
_xlpm.planned,SUMIFS(Planned!$F:$F,Planned!$B:$B,$B36,Planned!$E:$E,"&gt;="&amp;K$4,Planned!$E:$E,"&lt;="&amp;EOMONTH(K$4,0)),
IFERROR(_xlpm.recurring,0)+IFERROR(_xlpm.planned,0))</f>
        <v>0</v>
      </c>
      <c r="L36" s="90">
        <f ca="1">_xlfn.LET(
_xlpm.recurring,SUMIFS(INDEX(recurring_master!$A:$AB,,MATCH($B36,recurring_master!$A$1:$AB$1,0)),recurring_master!$A:$A,"&lt;="&amp;EOMONTH(L$4,0),recurring_master!$A:$A,"&gt;="&amp;L$4),
_xlpm.planned,SUMIFS(Planned!$F:$F,Planned!$B:$B,$B36,Planned!$E:$E,"&gt;="&amp;L$4,Planned!$E:$E,"&lt;="&amp;EOMONTH(L$4,0)),
IFERROR(_xlpm.recurring,0)+IFERROR(_xlpm.planned,0))</f>
        <v>0</v>
      </c>
      <c r="M36" s="90">
        <f ca="1">_xlfn.LET(
_xlpm.recurring,SUMIFS(INDEX(recurring_master!$A:$AB,,MATCH($B36,recurring_master!$A$1:$AB$1,0)),recurring_master!$A:$A,"&lt;="&amp;EOMONTH(M$4,0),recurring_master!$A:$A,"&gt;="&amp;M$4),
_xlpm.planned,SUMIFS(Planned!$F:$F,Planned!$B:$B,$B36,Planned!$E:$E,"&gt;="&amp;M$4,Planned!$E:$E,"&lt;="&amp;EOMONTH(M$4,0)),
IFERROR(_xlpm.recurring,0)+IFERROR(_xlpm.planned,0))</f>
        <v>0</v>
      </c>
      <c r="N36" s="90">
        <f ca="1">_xlfn.LET(
_xlpm.recurring,SUMIFS(INDEX(recurring_master!$A:$AB,,MATCH($B36,recurring_master!$A$1:$AB$1,0)),recurring_master!$A:$A,"&lt;="&amp;EOMONTH(N$4,0),recurring_master!$A:$A,"&gt;="&amp;N$4),
_xlpm.planned,SUMIFS(Planned!$F:$F,Planned!$B:$B,$B36,Planned!$E:$E,"&gt;="&amp;N$4,Planned!$E:$E,"&lt;="&amp;EOMONTH(N$4,0)),
IFERROR(_xlpm.recurring,0)+IFERROR(_xlpm.planned,0))</f>
        <v>0</v>
      </c>
      <c r="O36" s="81"/>
      <c r="P36" s="91">
        <f ca="1">SUM(C36:N36)</f>
        <v>20</v>
      </c>
      <c r="Q36" s="38"/>
      <c r="R36" s="28" t="s">
        <v>292</v>
      </c>
    </row>
    <row r="37" spans="1:22" ht="12.75" customHeight="1" x14ac:dyDescent="0.2">
      <c r="B37" s="54" t="s">
        <v>256</v>
      </c>
      <c r="C37" s="90">
        <f ca="1">_xlfn.LET(
_xlpm.recurring,SUMIFS(INDEX(recurring_master!$A:$AB,,MATCH($B37,recurring_master!$A$1:$AB$1,0)),recurring_master!$A:$A,"&lt;="&amp;EOMONTH(C$4,0),recurring_master!$A:$A,"&gt;="&amp;C$4),
_xlpm.planned,SUMIFS(Planned!$F:$F,Planned!$B:$B,$B37,Planned!$E:$E,"&gt;="&amp;C$4,Planned!$E:$E,"&lt;="&amp;EOMONTH(C$4,0)),
IFERROR(_xlpm.recurring,0)+IFERROR(_xlpm.planned,0))</f>
        <v>0</v>
      </c>
      <c r="D37" s="90">
        <f ca="1">_xlfn.LET(
_xlpm.recurring,SUMIFS(INDEX(recurring_master!$A:$AB,,MATCH($B37,recurring_master!$A$1:$AB$1,0)),recurring_master!$A:$A,"&lt;="&amp;EOMONTH(D$4,0),recurring_master!$A:$A,"&gt;="&amp;D$4),
_xlpm.planned,SUMIFS(Planned!$F:$F,Planned!$B:$B,$B37,Planned!$E:$E,"&gt;="&amp;D$4,Planned!$E:$E,"&lt;="&amp;EOMONTH(D$4,0)),
IFERROR(_xlpm.recurring,0)+IFERROR(_xlpm.planned,0))</f>
        <v>0</v>
      </c>
      <c r="E37" s="90">
        <f ca="1">_xlfn.LET(
_xlpm.recurring,SUMIFS(INDEX(recurring_master!$A:$AB,,MATCH($B37,recurring_master!$A$1:$AB$1,0)),recurring_master!$A:$A,"&lt;="&amp;EOMONTH(E$4,0),recurring_master!$A:$A,"&gt;="&amp;E$4),
_xlpm.planned,SUMIFS(Planned!$F:$F,Planned!$B:$B,$B37,Planned!$E:$E,"&gt;="&amp;E$4,Planned!$E:$E,"&lt;="&amp;EOMONTH(E$4,0)),
IFERROR(_xlpm.recurring,0)+IFERROR(_xlpm.planned,0))</f>
        <v>0</v>
      </c>
      <c r="F37" s="90">
        <f ca="1">_xlfn.LET(
_xlpm.recurring,SUMIFS(INDEX(recurring_master!$A:$AB,,MATCH($B37,recurring_master!$A$1:$AB$1,0)),recurring_master!$A:$A,"&lt;="&amp;EOMONTH(F$4,0),recurring_master!$A:$A,"&gt;="&amp;F$4),
_xlpm.planned,SUMIFS(Planned!$F:$F,Planned!$B:$B,$B37,Planned!$E:$E,"&gt;="&amp;F$4,Planned!$E:$E,"&lt;="&amp;EOMONTH(F$4,0)),
IFERROR(_xlpm.recurring,0)+IFERROR(_xlpm.planned,0))</f>
        <v>0</v>
      </c>
      <c r="G37" s="90">
        <f ca="1">_xlfn.LET(
_xlpm.recurring,SUMIFS(INDEX(recurring_master!$A:$AB,,MATCH($B37,recurring_master!$A$1:$AB$1,0)),recurring_master!$A:$A,"&lt;="&amp;EOMONTH(G$4,0),recurring_master!$A:$A,"&gt;="&amp;G$4),
_xlpm.planned,SUMIFS(Planned!$F:$F,Planned!$B:$B,$B37,Planned!$E:$E,"&gt;="&amp;G$4,Planned!$E:$E,"&lt;="&amp;EOMONTH(G$4,0)),
IFERROR(_xlpm.recurring,0)+IFERROR(_xlpm.planned,0))</f>
        <v>500</v>
      </c>
      <c r="H37" s="90">
        <f ca="1">_xlfn.LET(
_xlpm.recurring,SUMIFS(INDEX(recurring_master!$A:$AB,,MATCH($B37,recurring_master!$A$1:$AB$1,0)),recurring_master!$A:$A,"&lt;="&amp;EOMONTH(H$4,0),recurring_master!$A:$A,"&gt;="&amp;H$4),
_xlpm.planned,SUMIFS(Planned!$F:$F,Planned!$B:$B,$B37,Planned!$E:$E,"&gt;="&amp;H$4,Planned!$E:$E,"&lt;="&amp;EOMONTH(H$4,0)),
IFERROR(_xlpm.recurring,0)+IFERROR(_xlpm.planned,0))</f>
        <v>0</v>
      </c>
      <c r="I37" s="90">
        <f ca="1">_xlfn.LET(
_xlpm.recurring,SUMIFS(INDEX(recurring_master!$A:$AB,,MATCH($B37,recurring_master!$A$1:$AB$1,0)),recurring_master!$A:$A,"&lt;="&amp;EOMONTH(I$4,0),recurring_master!$A:$A,"&gt;="&amp;I$4),
_xlpm.planned,SUMIFS(Planned!$F:$F,Planned!$B:$B,$B37,Planned!$E:$E,"&gt;="&amp;I$4,Planned!$E:$E,"&lt;="&amp;EOMONTH(I$4,0)),
IFERROR(_xlpm.recurring,0)+IFERROR(_xlpm.planned,0))</f>
        <v>0</v>
      </c>
      <c r="J37" s="90">
        <f ca="1">_xlfn.LET(
_xlpm.recurring,SUMIFS(INDEX(recurring_master!$A:$AB,,MATCH($B37,recurring_master!$A$1:$AB$1,0)),recurring_master!$A:$A,"&lt;="&amp;EOMONTH(J$4,0),recurring_master!$A:$A,"&gt;="&amp;J$4),
_xlpm.planned,SUMIFS(Planned!$F:$F,Planned!$B:$B,$B37,Planned!$E:$E,"&gt;="&amp;J$4,Planned!$E:$E,"&lt;="&amp;EOMONTH(J$4,0)),
IFERROR(_xlpm.recurring,0)+IFERROR(_xlpm.planned,0))</f>
        <v>0</v>
      </c>
      <c r="K37" s="90">
        <f ca="1">_xlfn.LET(
_xlpm.recurring,SUMIFS(INDEX(recurring_master!$A:$AB,,MATCH($B37,recurring_master!$A$1:$AB$1,0)),recurring_master!$A:$A,"&lt;="&amp;EOMONTH(K$4,0),recurring_master!$A:$A,"&gt;="&amp;K$4),
_xlpm.planned,SUMIFS(Planned!$F:$F,Planned!$B:$B,$B37,Planned!$E:$E,"&gt;="&amp;K$4,Planned!$E:$E,"&lt;="&amp;EOMONTH(K$4,0)),
IFERROR(_xlpm.recurring,0)+IFERROR(_xlpm.planned,0))</f>
        <v>0</v>
      </c>
      <c r="L37" s="90">
        <f ca="1">_xlfn.LET(
_xlpm.recurring,SUMIFS(INDEX(recurring_master!$A:$AB,,MATCH($B37,recurring_master!$A$1:$AB$1,0)),recurring_master!$A:$A,"&lt;="&amp;EOMONTH(L$4,0),recurring_master!$A:$A,"&gt;="&amp;L$4),
_xlpm.planned,SUMIFS(Planned!$F:$F,Planned!$B:$B,$B37,Planned!$E:$E,"&gt;="&amp;L$4,Planned!$E:$E,"&lt;="&amp;EOMONTH(L$4,0)),
IFERROR(_xlpm.recurring,0)+IFERROR(_xlpm.planned,0))</f>
        <v>0</v>
      </c>
      <c r="M37" s="90">
        <f ca="1">_xlfn.LET(
_xlpm.recurring,SUMIFS(INDEX(recurring_master!$A:$AB,,MATCH($B37,recurring_master!$A$1:$AB$1,0)),recurring_master!$A:$A,"&lt;="&amp;EOMONTH(M$4,0),recurring_master!$A:$A,"&gt;="&amp;M$4),
_xlpm.planned,SUMIFS(Planned!$F:$F,Planned!$B:$B,$B37,Planned!$E:$E,"&gt;="&amp;M$4,Planned!$E:$E,"&lt;="&amp;EOMONTH(M$4,0)),
IFERROR(_xlpm.recurring,0)+IFERROR(_xlpm.planned,0))</f>
        <v>0</v>
      </c>
      <c r="N37" s="90">
        <f ca="1">_xlfn.LET(
_xlpm.recurring,SUMIFS(INDEX(recurring_master!$A:$AB,,MATCH($B37,recurring_master!$A$1:$AB$1,0)),recurring_master!$A:$A,"&lt;="&amp;EOMONTH(N$4,0),recurring_master!$A:$A,"&gt;="&amp;N$4),
_xlpm.planned,SUMIFS(Planned!$F:$F,Planned!$B:$B,$B37,Planned!$E:$E,"&gt;="&amp;N$4,Planned!$E:$E,"&lt;="&amp;EOMONTH(N$4,0)),
IFERROR(_xlpm.recurring,0)+IFERROR(_xlpm.planned,0))</f>
        <v>0</v>
      </c>
      <c r="O37" s="81"/>
      <c r="P37" s="91">
        <f ca="1">SUM(C37:N37)</f>
        <v>500</v>
      </c>
      <c r="Q37" s="38"/>
      <c r="R37" s="28" t="s">
        <v>293</v>
      </c>
    </row>
    <row r="38" spans="1:22" ht="12.75" customHeight="1" x14ac:dyDescent="0.2">
      <c r="B38" s="54" t="s">
        <v>38</v>
      </c>
      <c r="C38" s="90">
        <f ca="1">_xlfn.LET(
_xlpm.recurring,SUMIFS(INDEX(recurring_master!$A:$AB,,MATCH($B38,recurring_master!$A$1:$AB$1,0)),recurring_master!$A:$A,"&lt;="&amp;EOMONTH(C$4,0),recurring_master!$A:$A,"&gt;="&amp;C$4),
_xlpm.planned,SUMIFS(Planned!$F:$F,Planned!$B:$B,$B38,Planned!$E:$E,"&gt;="&amp;C$4,Planned!$E:$E,"&lt;="&amp;EOMONTH(C$4,0)),
IFERROR(_xlpm.recurring,0)+IFERROR(_xlpm.planned,0))</f>
        <v>100</v>
      </c>
      <c r="D38" s="90">
        <f ca="1">_xlfn.LET(
_xlpm.recurring,SUMIFS(INDEX(recurring_master!$A:$AB,,MATCH($B38,recurring_master!$A$1:$AB$1,0)),recurring_master!$A:$A,"&lt;="&amp;EOMONTH(D$4,0),recurring_master!$A:$A,"&gt;="&amp;D$4),
_xlpm.planned,SUMIFS(Planned!$F:$F,Planned!$B:$B,$B38,Planned!$E:$E,"&gt;="&amp;D$4,Planned!$E:$E,"&lt;="&amp;EOMONTH(D$4,0)),
IFERROR(_xlpm.recurring,0)+IFERROR(_xlpm.planned,0))</f>
        <v>0</v>
      </c>
      <c r="E38" s="90">
        <f ca="1">_xlfn.LET(
_xlpm.recurring,SUMIFS(INDEX(recurring_master!$A:$AB,,MATCH($B38,recurring_master!$A$1:$AB$1,0)),recurring_master!$A:$A,"&lt;="&amp;EOMONTH(E$4,0),recurring_master!$A:$A,"&gt;="&amp;E$4),
_xlpm.planned,SUMIFS(Planned!$F:$F,Planned!$B:$B,$B38,Planned!$E:$E,"&gt;="&amp;E$4,Planned!$E:$E,"&lt;="&amp;EOMONTH(E$4,0)),
IFERROR(_xlpm.recurring,0)+IFERROR(_xlpm.planned,0))</f>
        <v>0</v>
      </c>
      <c r="F38" s="90">
        <f ca="1">_xlfn.LET(
_xlpm.recurring,SUMIFS(INDEX(recurring_master!$A:$AB,,MATCH($B38,recurring_master!$A$1:$AB$1,0)),recurring_master!$A:$A,"&lt;="&amp;EOMONTH(F$4,0),recurring_master!$A:$A,"&gt;="&amp;F$4),
_xlpm.planned,SUMIFS(Planned!$F:$F,Planned!$B:$B,$B38,Planned!$E:$E,"&gt;="&amp;F$4,Planned!$E:$E,"&lt;="&amp;EOMONTH(F$4,0)),
IFERROR(_xlpm.recurring,0)+IFERROR(_xlpm.planned,0))</f>
        <v>0</v>
      </c>
      <c r="G38" s="90">
        <f ca="1">_xlfn.LET(
_xlpm.recurring,SUMIFS(INDEX(recurring_master!$A:$AB,,MATCH($B38,recurring_master!$A$1:$AB$1,0)),recurring_master!$A:$A,"&lt;="&amp;EOMONTH(G$4,0),recurring_master!$A:$A,"&gt;="&amp;G$4),
_xlpm.planned,SUMIFS(Planned!$F:$F,Planned!$B:$B,$B38,Planned!$E:$E,"&gt;="&amp;G$4,Planned!$E:$E,"&lt;="&amp;EOMONTH(G$4,0)),
IFERROR(_xlpm.recurring,0)+IFERROR(_xlpm.planned,0))</f>
        <v>0</v>
      </c>
      <c r="H38" s="90">
        <f ca="1">_xlfn.LET(
_xlpm.recurring,SUMIFS(INDEX(recurring_master!$A:$AB,,MATCH($B38,recurring_master!$A$1:$AB$1,0)),recurring_master!$A:$A,"&lt;="&amp;EOMONTH(H$4,0),recurring_master!$A:$A,"&gt;="&amp;H$4),
_xlpm.planned,SUMIFS(Planned!$F:$F,Planned!$B:$B,$B38,Planned!$E:$E,"&gt;="&amp;H$4,Planned!$E:$E,"&lt;="&amp;EOMONTH(H$4,0)),
IFERROR(_xlpm.recurring,0)+IFERROR(_xlpm.planned,0))</f>
        <v>0</v>
      </c>
      <c r="I38" s="90">
        <f ca="1">_xlfn.LET(
_xlpm.recurring,SUMIFS(INDEX(recurring_master!$A:$AB,,MATCH($B38,recurring_master!$A$1:$AB$1,0)),recurring_master!$A:$A,"&lt;="&amp;EOMONTH(I$4,0),recurring_master!$A:$A,"&gt;="&amp;I$4),
_xlpm.planned,SUMIFS(Planned!$F:$F,Planned!$B:$B,$B38,Planned!$E:$E,"&gt;="&amp;I$4,Planned!$E:$E,"&lt;="&amp;EOMONTH(I$4,0)),
IFERROR(_xlpm.recurring,0)+IFERROR(_xlpm.planned,0))</f>
        <v>0</v>
      </c>
      <c r="J38" s="90">
        <f ca="1">_xlfn.LET(
_xlpm.recurring,SUMIFS(INDEX(recurring_master!$A:$AB,,MATCH($B38,recurring_master!$A$1:$AB$1,0)),recurring_master!$A:$A,"&lt;="&amp;EOMONTH(J$4,0),recurring_master!$A:$A,"&gt;="&amp;J$4),
_xlpm.planned,SUMIFS(Planned!$F:$F,Planned!$B:$B,$B38,Planned!$E:$E,"&gt;="&amp;J$4,Planned!$E:$E,"&lt;="&amp;EOMONTH(J$4,0)),
IFERROR(_xlpm.recurring,0)+IFERROR(_xlpm.planned,0))</f>
        <v>0</v>
      </c>
      <c r="K38" s="90">
        <f ca="1">_xlfn.LET(
_xlpm.recurring,SUMIFS(INDEX(recurring_master!$A:$AB,,MATCH($B38,recurring_master!$A$1:$AB$1,0)),recurring_master!$A:$A,"&lt;="&amp;EOMONTH(K$4,0),recurring_master!$A:$A,"&gt;="&amp;K$4),
_xlpm.planned,SUMIFS(Planned!$F:$F,Planned!$B:$B,$B38,Planned!$E:$E,"&gt;="&amp;K$4,Planned!$E:$E,"&lt;="&amp;EOMONTH(K$4,0)),
IFERROR(_xlpm.recurring,0)+IFERROR(_xlpm.planned,0))</f>
        <v>0</v>
      </c>
      <c r="L38" s="90">
        <f ca="1">_xlfn.LET(
_xlpm.recurring,SUMIFS(INDEX(recurring_master!$A:$AB,,MATCH($B38,recurring_master!$A$1:$AB$1,0)),recurring_master!$A:$A,"&lt;="&amp;EOMONTH(L$4,0),recurring_master!$A:$A,"&gt;="&amp;L$4),
_xlpm.planned,SUMIFS(Planned!$F:$F,Planned!$B:$B,$B38,Planned!$E:$E,"&gt;="&amp;L$4,Planned!$E:$E,"&lt;="&amp;EOMONTH(L$4,0)),
IFERROR(_xlpm.recurring,0)+IFERROR(_xlpm.planned,0))</f>
        <v>0</v>
      </c>
      <c r="M38" s="90">
        <f ca="1">_xlfn.LET(
_xlpm.recurring,SUMIFS(INDEX(recurring_master!$A:$AB,,MATCH($B38,recurring_master!$A$1:$AB$1,0)),recurring_master!$A:$A,"&lt;="&amp;EOMONTH(M$4,0),recurring_master!$A:$A,"&gt;="&amp;M$4),
_xlpm.planned,SUMIFS(Planned!$F:$F,Planned!$B:$B,$B38,Planned!$E:$E,"&gt;="&amp;M$4,Planned!$E:$E,"&lt;="&amp;EOMONTH(M$4,0)),
IFERROR(_xlpm.recurring,0)+IFERROR(_xlpm.planned,0))</f>
        <v>0</v>
      </c>
      <c r="N38" s="90">
        <f ca="1">_xlfn.LET(
_xlpm.recurring,SUMIFS(INDEX(recurring_master!$A:$AB,,MATCH($B38,recurring_master!$A$1:$AB$1,0)),recurring_master!$A:$A,"&lt;="&amp;EOMONTH(N$4,0),recurring_master!$A:$A,"&gt;="&amp;N$4),
_xlpm.planned,SUMIFS(Planned!$F:$F,Planned!$B:$B,$B38,Planned!$E:$E,"&gt;="&amp;N$4,Planned!$E:$E,"&lt;="&amp;EOMONTH(N$4,0)),
IFERROR(_xlpm.recurring,0)+IFERROR(_xlpm.planned,0))</f>
        <v>0</v>
      </c>
      <c r="O38" s="81"/>
      <c r="P38" s="91">
        <f ca="1">SUM(C38:N38)</f>
        <v>100</v>
      </c>
      <c r="Q38" s="38"/>
      <c r="R38" s="28" t="s">
        <v>294</v>
      </c>
    </row>
    <row r="39" spans="1:22" ht="5.0999999999999996" customHeight="1" x14ac:dyDescent="0.2">
      <c r="A39" s="5"/>
      <c r="B39" s="54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91"/>
      <c r="Q39" s="37"/>
      <c r="R39" s="28"/>
      <c r="V39" s="5"/>
    </row>
    <row r="40" spans="1:22" ht="12.75" customHeight="1" x14ac:dyDescent="0.2">
      <c r="B40" s="58" t="str">
        <f>"Total "&amp;B34</f>
        <v>Total INFLOWS</v>
      </c>
      <c r="C40" s="94">
        <f t="shared" ref="C40:E40" ca="1" si="12">SUM(C35:C39)</f>
        <v>320</v>
      </c>
      <c r="D40" s="94">
        <f t="shared" ca="1" si="12"/>
        <v>0</v>
      </c>
      <c r="E40" s="94">
        <f t="shared" ca="1" si="12"/>
        <v>0</v>
      </c>
      <c r="F40" s="94">
        <f ca="1">SUM(F35:F39)</f>
        <v>0</v>
      </c>
      <c r="G40" s="94">
        <f t="shared" ref="G40:N40" ca="1" si="13">SUM(G35:G39)</f>
        <v>500</v>
      </c>
      <c r="H40" s="94">
        <f t="shared" ca="1" si="13"/>
        <v>0</v>
      </c>
      <c r="I40" s="94">
        <f t="shared" ca="1" si="13"/>
        <v>0</v>
      </c>
      <c r="J40" s="94">
        <f t="shared" ca="1" si="13"/>
        <v>0</v>
      </c>
      <c r="K40" s="94">
        <f t="shared" ca="1" si="13"/>
        <v>0</v>
      </c>
      <c r="L40" s="94">
        <f t="shared" ca="1" si="13"/>
        <v>0</v>
      </c>
      <c r="M40" s="94">
        <f t="shared" ca="1" si="13"/>
        <v>0</v>
      </c>
      <c r="N40" s="94">
        <f t="shared" ca="1" si="13"/>
        <v>0</v>
      </c>
      <c r="O40" s="94"/>
      <c r="P40" s="95">
        <f ca="1">SUM(P35:P37)</f>
        <v>720</v>
      </c>
      <c r="Q40" s="37"/>
      <c r="R40" s="28"/>
    </row>
    <row r="41" spans="1:22" ht="5.0999999999999996" customHeight="1" x14ac:dyDescent="0.2">
      <c r="B41" s="52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37"/>
      <c r="R41" s="28"/>
    </row>
    <row r="42" spans="1:22" ht="12.75" customHeight="1" x14ac:dyDescent="0.2">
      <c r="B42" s="60" t="s">
        <v>35</v>
      </c>
      <c r="C42" s="96">
        <f t="shared" ref="C42:N42" ca="1" si="14">SUM(C40,C32)</f>
        <v>5023.8310709787402</v>
      </c>
      <c r="D42" s="96">
        <f t="shared" ca="1" si="14"/>
        <v>10908.509319976922</v>
      </c>
      <c r="E42" s="96">
        <f t="shared" ca="1" si="14"/>
        <v>4764.2734298797122</v>
      </c>
      <c r="F42" s="96">
        <f t="shared" ca="1" si="14"/>
        <v>7085.9677859185958</v>
      </c>
      <c r="G42" s="96">
        <f t="shared" ca="1" si="14"/>
        <v>5264.2734298797122</v>
      </c>
      <c r="H42" s="96">
        <f t="shared" ca="1" si="14"/>
        <v>4824.7157887806843</v>
      </c>
      <c r="I42" s="96">
        <f t="shared" ca="1" si="14"/>
        <v>4764.2734298797122</v>
      </c>
      <c r="J42" s="96">
        <f t="shared" ca="1" si="14"/>
        <v>4764.2734298797122</v>
      </c>
      <c r="K42" s="96">
        <f t="shared" ca="1" si="14"/>
        <v>7085.9677859185958</v>
      </c>
      <c r="L42" s="96">
        <f t="shared" ca="1" si="14"/>
        <v>4764.2734298797122</v>
      </c>
      <c r="M42" s="96">
        <f t="shared" ca="1" si="14"/>
        <v>4824.7157887806843</v>
      </c>
      <c r="N42" s="96">
        <f t="shared" ca="1" si="14"/>
        <v>4764.2734298797122</v>
      </c>
      <c r="O42" s="96"/>
      <c r="P42" s="97">
        <f ca="1">SUM(P40,P32)</f>
        <v>68739.348119632501</v>
      </c>
      <c r="Q42" s="40"/>
      <c r="R42" s="28"/>
    </row>
    <row r="43" spans="1:22" x14ac:dyDescent="0.2">
      <c r="B43" s="52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37"/>
      <c r="R43" s="28"/>
    </row>
    <row r="44" spans="1:22" ht="12.75" customHeight="1" x14ac:dyDescent="0.2">
      <c r="B44" s="61" t="s">
        <v>86</v>
      </c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3"/>
      <c r="Q44" s="37"/>
      <c r="R44" s="28"/>
    </row>
    <row r="45" spans="1:22" ht="12.75" customHeight="1" x14ac:dyDescent="0.2">
      <c r="B45" s="54" t="s">
        <v>42</v>
      </c>
      <c r="C45" s="90">
        <f ca="1">_xlfn.LET(
_xlpm.recurring,SUMIFS(INDEX(recurring_master!$A:$AB,,MATCH($B45,recurring_master!$A$1:$AB$1,0)),recurring_master!$A:$A,"&lt;="&amp;EOMONTH(C$4,0),recurring_master!$A:$A,"&gt;="&amp;C$4),
_xlpm.planned,SUMIFS(Planned!$F:$F,Planned!$B:$B,$B45,Planned!$E:$E,"&gt;="&amp;C$4,Planned!$E:$E,"&lt;="&amp;EOMONTH(C$4,0)),
IFERROR(_xlpm.recurring,0)+IFERROR(_xlpm.planned,0))</f>
        <v>2040</v>
      </c>
      <c r="D45" s="90">
        <f ca="1">_xlfn.LET(
_xlpm.recurring,SUMIFS(INDEX(recurring_master!$A:$AB,,MATCH($B45,recurring_master!$A$1:$AB$1,0)),recurring_master!$A:$A,"&lt;="&amp;EOMONTH(D$4,0),recurring_master!$A:$A,"&gt;="&amp;D$4),
_xlpm.planned,SUMIFS(Planned!$F:$F,Planned!$B:$B,$B45,Planned!$E:$E,"&gt;="&amp;D$4,Planned!$E:$E,"&lt;="&amp;EOMONTH(D$4,0)),
IFERROR(_xlpm.recurring,0)+IFERROR(_xlpm.planned,0))</f>
        <v>2090</v>
      </c>
      <c r="E45" s="90">
        <f ca="1">_xlfn.LET(
_xlpm.recurring,SUMIFS(INDEX(recurring_master!$A:$AB,,MATCH($B45,recurring_master!$A$1:$AB$1,0)),recurring_master!$A:$A,"&lt;="&amp;EOMONTH(E$4,0),recurring_master!$A:$A,"&gt;="&amp;E$4),
_xlpm.planned,SUMIFS(Planned!$F:$F,Planned!$B:$B,$B45,Planned!$E:$E,"&gt;="&amp;E$4,Planned!$E:$E,"&lt;="&amp;EOMONTH(E$4,0)),
IFERROR(_xlpm.recurring,0)+IFERROR(_xlpm.planned,0))</f>
        <v>2090</v>
      </c>
      <c r="F45" s="90">
        <f ca="1">_xlfn.LET(
_xlpm.recurring,SUMIFS(INDEX(recurring_master!$A:$AB,,MATCH($B45,recurring_master!$A$1:$AB$1,0)),recurring_master!$A:$A,"&lt;="&amp;EOMONTH(F$4,0),recurring_master!$A:$A,"&gt;="&amp;F$4),
_xlpm.planned,SUMIFS(Planned!$F:$F,Planned!$B:$B,$B45,Planned!$E:$E,"&gt;="&amp;F$4,Planned!$E:$E,"&lt;="&amp;EOMONTH(F$4,0)),
IFERROR(_xlpm.recurring,0)+IFERROR(_xlpm.planned,0))</f>
        <v>2090</v>
      </c>
      <c r="G45" s="90">
        <f ca="1">_xlfn.LET(
_xlpm.recurring,SUMIFS(INDEX(recurring_master!$A:$AB,,MATCH($B45,recurring_master!$A$1:$AB$1,0)),recurring_master!$A:$A,"&lt;="&amp;EOMONTH(G$4,0),recurring_master!$A:$A,"&gt;="&amp;G$4),
_xlpm.planned,SUMIFS(Planned!$F:$F,Planned!$B:$B,$B45,Planned!$E:$E,"&gt;="&amp;G$4,Planned!$E:$E,"&lt;="&amp;EOMONTH(G$4,0)),
IFERROR(_xlpm.recurring,0)+IFERROR(_xlpm.planned,0))</f>
        <v>2090</v>
      </c>
      <c r="H45" s="90">
        <f ca="1">_xlfn.LET(
_xlpm.recurring,SUMIFS(INDEX(recurring_master!$A:$AB,,MATCH($B45,recurring_master!$A$1:$AB$1,0)),recurring_master!$A:$A,"&lt;="&amp;EOMONTH(H$4,0),recurring_master!$A:$A,"&gt;="&amp;H$4),
_xlpm.planned,SUMIFS(Planned!$F:$F,Planned!$B:$B,$B45,Planned!$E:$E,"&gt;="&amp;H$4,Planned!$E:$E,"&lt;="&amp;EOMONTH(H$4,0)),
IFERROR(_xlpm.recurring,0)+IFERROR(_xlpm.planned,0))</f>
        <v>2090</v>
      </c>
      <c r="I45" s="90">
        <f ca="1">_xlfn.LET(
_xlpm.recurring,SUMIFS(INDEX(recurring_master!$A:$AB,,MATCH($B45,recurring_master!$A$1:$AB$1,0)),recurring_master!$A:$A,"&lt;="&amp;EOMONTH(I$4,0),recurring_master!$A:$A,"&gt;="&amp;I$4),
_xlpm.planned,SUMIFS(Planned!$F:$F,Planned!$B:$B,$B45,Planned!$E:$E,"&gt;="&amp;I$4,Planned!$E:$E,"&lt;="&amp;EOMONTH(I$4,0)),
IFERROR(_xlpm.recurring,0)+IFERROR(_xlpm.planned,0))</f>
        <v>2090</v>
      </c>
      <c r="J45" s="90">
        <f ca="1">_xlfn.LET(
_xlpm.recurring,SUMIFS(INDEX(recurring_master!$A:$AB,,MATCH($B45,recurring_master!$A$1:$AB$1,0)),recurring_master!$A:$A,"&lt;="&amp;EOMONTH(J$4,0),recurring_master!$A:$A,"&gt;="&amp;J$4),
_xlpm.planned,SUMIFS(Planned!$F:$F,Planned!$B:$B,$B45,Planned!$E:$E,"&gt;="&amp;J$4,Planned!$E:$E,"&lt;="&amp;EOMONTH(J$4,0)),
IFERROR(_xlpm.recurring,0)+IFERROR(_xlpm.planned,0))</f>
        <v>2090</v>
      </c>
      <c r="K45" s="90">
        <f ca="1">_xlfn.LET(
_xlpm.recurring,SUMIFS(INDEX(recurring_master!$A:$AB,,MATCH($B45,recurring_master!$A$1:$AB$1,0)),recurring_master!$A:$A,"&lt;="&amp;EOMONTH(K$4,0),recurring_master!$A:$A,"&gt;="&amp;K$4),
_xlpm.planned,SUMIFS(Planned!$F:$F,Planned!$B:$B,$B45,Planned!$E:$E,"&gt;="&amp;K$4,Planned!$E:$E,"&lt;="&amp;EOMONTH(K$4,0)),
IFERROR(_xlpm.recurring,0)+IFERROR(_xlpm.planned,0))</f>
        <v>2090</v>
      </c>
      <c r="L45" s="90">
        <f ca="1">_xlfn.LET(
_xlpm.recurring,SUMIFS(INDEX(recurring_master!$A:$AB,,MATCH($B45,recurring_master!$A$1:$AB$1,0)),recurring_master!$A:$A,"&lt;="&amp;EOMONTH(L$4,0),recurring_master!$A:$A,"&gt;="&amp;L$4),
_xlpm.planned,SUMIFS(Planned!$F:$F,Planned!$B:$B,$B45,Planned!$E:$E,"&gt;="&amp;L$4,Planned!$E:$E,"&lt;="&amp;EOMONTH(L$4,0)),
IFERROR(_xlpm.recurring,0)+IFERROR(_xlpm.planned,0))</f>
        <v>2090</v>
      </c>
      <c r="M45" s="90">
        <f ca="1">_xlfn.LET(
_xlpm.recurring,SUMIFS(INDEX(recurring_master!$A:$AB,,MATCH($B45,recurring_master!$A$1:$AB$1,0)),recurring_master!$A:$A,"&lt;="&amp;EOMONTH(M$4,0),recurring_master!$A:$A,"&gt;="&amp;M$4),
_xlpm.planned,SUMIFS(Planned!$F:$F,Planned!$B:$B,$B45,Planned!$E:$E,"&gt;="&amp;M$4,Planned!$E:$E,"&lt;="&amp;EOMONTH(M$4,0)),
IFERROR(_xlpm.recurring,0)+IFERROR(_xlpm.planned,0))</f>
        <v>2090</v>
      </c>
      <c r="N45" s="90">
        <f ca="1">_xlfn.LET(
_xlpm.recurring,SUMIFS(INDEX(recurring_master!$A:$AB,,MATCH($B45,recurring_master!$A$1:$AB$1,0)),recurring_master!$A:$A,"&lt;="&amp;EOMONTH(N$4,0),recurring_master!$A:$A,"&gt;="&amp;N$4),
_xlpm.planned,SUMIFS(Planned!$F:$F,Planned!$B:$B,$B45,Planned!$E:$E,"&gt;="&amp;N$4,Planned!$E:$E,"&lt;="&amp;EOMONTH(N$4,0)),
IFERROR(_xlpm.recurring,0)+IFERROR(_xlpm.planned,0))</f>
        <v>2090</v>
      </c>
      <c r="O45" s="81"/>
      <c r="P45" s="91">
        <f ca="1">SUM(C45:N45)</f>
        <v>25030</v>
      </c>
      <c r="Q45" s="37"/>
      <c r="R45" s="28"/>
    </row>
    <row r="46" spans="1:22" ht="12.75" customHeight="1" x14ac:dyDescent="0.2">
      <c r="B46" s="54" t="s">
        <v>30</v>
      </c>
      <c r="C46" s="90">
        <f ca="1">_xlfn.LET(
_xlpm.recurring,SUMIFS(INDEX(recurring_master!$A:$AB,,MATCH($B46,recurring_master!$A$1:$AB$1,0)),recurring_master!$A:$A,"&lt;="&amp;EOMONTH(C$4,0),recurring_master!$A:$A,"&gt;="&amp;C$4),
_xlpm.planned,SUMIFS(Planned!$F:$F,Planned!$B:$B,$B46,Planned!$E:$E,"&gt;="&amp;C$4,Planned!$E:$E,"&lt;="&amp;EOMONTH(C$4,0)),
IFERROR(_xlpm.recurring,0)+IFERROR(_xlpm.planned,0))</f>
        <v>200</v>
      </c>
      <c r="D46" s="90">
        <f ca="1">_xlfn.LET(
_xlpm.recurring,SUMIFS(INDEX(recurring_master!$A:$AB,,MATCH($B46,recurring_master!$A$1:$AB$1,0)),recurring_master!$A:$A,"&lt;="&amp;EOMONTH(D$4,0),recurring_master!$A:$A,"&gt;="&amp;D$4),
_xlpm.planned,SUMIFS(Planned!$F:$F,Planned!$B:$B,$B46,Planned!$E:$E,"&gt;="&amp;D$4,Planned!$E:$E,"&lt;="&amp;EOMONTH(D$4,0)),
IFERROR(_xlpm.recurring,0)+IFERROR(_xlpm.planned,0))</f>
        <v>250</v>
      </c>
      <c r="E46" s="90">
        <f ca="1">_xlfn.LET(
_xlpm.recurring,SUMIFS(INDEX(recurring_master!$A:$AB,,MATCH($B46,recurring_master!$A$1:$AB$1,0)),recurring_master!$A:$A,"&lt;="&amp;EOMONTH(E$4,0),recurring_master!$A:$A,"&gt;="&amp;E$4),
_xlpm.planned,SUMIFS(Planned!$F:$F,Planned!$B:$B,$B46,Planned!$E:$E,"&gt;="&amp;E$4,Planned!$E:$E,"&lt;="&amp;EOMONTH(E$4,0)),
IFERROR(_xlpm.recurring,0)+IFERROR(_xlpm.planned,0))</f>
        <v>200</v>
      </c>
      <c r="F46" s="90">
        <f ca="1">_xlfn.LET(
_xlpm.recurring,SUMIFS(INDEX(recurring_master!$A:$AB,,MATCH($B46,recurring_master!$A$1:$AB$1,0)),recurring_master!$A:$A,"&lt;="&amp;EOMONTH(F$4,0),recurring_master!$A:$A,"&gt;="&amp;F$4),
_xlpm.planned,SUMIFS(Planned!$F:$F,Planned!$B:$B,$B46,Planned!$E:$E,"&gt;="&amp;F$4,Planned!$E:$E,"&lt;="&amp;EOMONTH(F$4,0)),
IFERROR(_xlpm.recurring,0)+IFERROR(_xlpm.planned,0))</f>
        <v>200</v>
      </c>
      <c r="G46" s="90">
        <f ca="1">_xlfn.LET(
_xlpm.recurring,SUMIFS(INDEX(recurring_master!$A:$AB,,MATCH($B46,recurring_master!$A$1:$AB$1,0)),recurring_master!$A:$A,"&lt;="&amp;EOMONTH(G$4,0),recurring_master!$A:$A,"&gt;="&amp;G$4),
_xlpm.planned,SUMIFS(Planned!$F:$F,Planned!$B:$B,$B46,Planned!$E:$E,"&gt;="&amp;G$4,Planned!$E:$E,"&lt;="&amp;EOMONTH(G$4,0)),
IFERROR(_xlpm.recurring,0)+IFERROR(_xlpm.planned,0))</f>
        <v>750</v>
      </c>
      <c r="H46" s="90">
        <f ca="1">_xlfn.LET(
_xlpm.recurring,SUMIFS(INDEX(recurring_master!$A:$AB,,MATCH($B46,recurring_master!$A$1:$AB$1,0)),recurring_master!$A:$A,"&lt;="&amp;EOMONTH(H$4,0),recurring_master!$A:$A,"&gt;="&amp;H$4),
_xlpm.planned,SUMIFS(Planned!$F:$F,Planned!$B:$B,$B46,Planned!$E:$E,"&gt;="&amp;H$4,Planned!$E:$E,"&lt;="&amp;EOMONTH(H$4,0)),
IFERROR(_xlpm.recurring,0)+IFERROR(_xlpm.planned,0))</f>
        <v>200</v>
      </c>
      <c r="I46" s="90">
        <f ca="1">_xlfn.LET(
_xlpm.recurring,SUMIFS(INDEX(recurring_master!$A:$AB,,MATCH($B46,recurring_master!$A$1:$AB$1,0)),recurring_master!$A:$A,"&lt;="&amp;EOMONTH(I$4,0),recurring_master!$A:$A,"&gt;="&amp;I$4),
_xlpm.planned,SUMIFS(Planned!$F:$F,Planned!$B:$B,$B46,Planned!$E:$E,"&gt;="&amp;I$4,Planned!$E:$E,"&lt;="&amp;EOMONTH(I$4,0)),
IFERROR(_xlpm.recurring,0)+IFERROR(_xlpm.planned,0))</f>
        <v>250</v>
      </c>
      <c r="J46" s="90">
        <f ca="1">_xlfn.LET(
_xlpm.recurring,SUMIFS(INDEX(recurring_master!$A:$AB,,MATCH($B46,recurring_master!$A$1:$AB$1,0)),recurring_master!$A:$A,"&lt;="&amp;EOMONTH(J$4,0),recurring_master!$A:$A,"&gt;="&amp;J$4),
_xlpm.planned,SUMIFS(Planned!$F:$F,Planned!$B:$B,$B46,Planned!$E:$E,"&gt;="&amp;J$4,Planned!$E:$E,"&lt;="&amp;EOMONTH(J$4,0)),
IFERROR(_xlpm.recurring,0)+IFERROR(_xlpm.planned,0))</f>
        <v>200</v>
      </c>
      <c r="K46" s="90">
        <f ca="1">_xlfn.LET(
_xlpm.recurring,SUMIFS(INDEX(recurring_master!$A:$AB,,MATCH($B46,recurring_master!$A$1:$AB$1,0)),recurring_master!$A:$A,"&lt;="&amp;EOMONTH(K$4,0),recurring_master!$A:$A,"&gt;="&amp;K$4),
_xlpm.planned,SUMIFS(Planned!$F:$F,Planned!$B:$B,$B46,Planned!$E:$E,"&gt;="&amp;K$4,Planned!$E:$E,"&lt;="&amp;EOMONTH(K$4,0)),
IFERROR(_xlpm.recurring,0)+IFERROR(_xlpm.planned,0))</f>
        <v>200</v>
      </c>
      <c r="L46" s="90">
        <f ca="1">_xlfn.LET(
_xlpm.recurring,SUMIFS(INDEX(recurring_master!$A:$AB,,MATCH($B46,recurring_master!$A$1:$AB$1,0)),recurring_master!$A:$A,"&lt;="&amp;EOMONTH(L$4,0),recurring_master!$A:$A,"&gt;="&amp;L$4),
_xlpm.planned,SUMIFS(Planned!$F:$F,Planned!$B:$B,$B46,Planned!$E:$E,"&gt;="&amp;L$4,Planned!$E:$E,"&lt;="&amp;EOMONTH(L$4,0)),
IFERROR(_xlpm.recurring,0)+IFERROR(_xlpm.planned,0))</f>
        <v>250</v>
      </c>
      <c r="M46" s="90">
        <f ca="1">_xlfn.LET(
_xlpm.recurring,SUMIFS(INDEX(recurring_master!$A:$AB,,MATCH($B46,recurring_master!$A$1:$AB$1,0)),recurring_master!$A:$A,"&lt;="&amp;EOMONTH(M$4,0),recurring_master!$A:$A,"&gt;="&amp;M$4),
_xlpm.planned,SUMIFS(Planned!$F:$F,Planned!$B:$B,$B46,Planned!$E:$E,"&gt;="&amp;M$4,Planned!$E:$E,"&lt;="&amp;EOMONTH(M$4,0)),
IFERROR(_xlpm.recurring,0)+IFERROR(_xlpm.planned,0))</f>
        <v>700</v>
      </c>
      <c r="N46" s="90">
        <f ca="1">_xlfn.LET(
_xlpm.recurring,SUMIFS(INDEX(recurring_master!$A:$AB,,MATCH($B46,recurring_master!$A$1:$AB$1,0)),recurring_master!$A:$A,"&lt;="&amp;EOMONTH(N$4,0),recurring_master!$A:$A,"&gt;="&amp;N$4),
_xlpm.planned,SUMIFS(Planned!$F:$F,Planned!$B:$B,$B46,Planned!$E:$E,"&gt;="&amp;N$4,Planned!$E:$E,"&lt;="&amp;EOMONTH(N$4,0)),
IFERROR(_xlpm.recurring,0)+IFERROR(_xlpm.planned,0))</f>
        <v>200</v>
      </c>
      <c r="O46" s="81"/>
      <c r="P46" s="91">
        <f ca="1">SUM(C46:N46)</f>
        <v>3600</v>
      </c>
      <c r="Q46" s="38"/>
      <c r="R46" s="28"/>
    </row>
    <row r="47" spans="1:22" ht="12.75" customHeight="1" x14ac:dyDescent="0.2">
      <c r="B47" s="62" t="s">
        <v>265</v>
      </c>
      <c r="C47" s="90">
        <f ca="1">_xlfn.LET(
_xlpm.recurring,SUMIFS(INDEX(recurring_master!$A:$AB,,MATCH($B47,recurring_master!$A$1:$AB$1,0)),recurring_master!$A:$A,"&lt;="&amp;EOMONTH(C$4,0),recurring_master!$A:$A,"&gt;="&amp;C$4),
_xlpm.planned,SUMIFS(Planned!$F:$F,Planned!$B:$B,$B47,Planned!$E:$E,"&gt;="&amp;C$4,Planned!$E:$E,"&lt;="&amp;EOMONTH(C$4,0)),
IFERROR(_xlpm.recurring,0)+IFERROR(_xlpm.planned,0))</f>
        <v>0</v>
      </c>
      <c r="D47" s="90">
        <f ca="1">_xlfn.LET(
_xlpm.recurring,SUMIFS(INDEX(recurring_master!$A:$AB,,MATCH($B47,recurring_master!$A$1:$AB$1,0)),recurring_master!$A:$A,"&lt;="&amp;EOMONTH(D$4,0),recurring_master!$A:$A,"&gt;="&amp;D$4),
_xlpm.planned,SUMIFS(Planned!$F:$F,Planned!$B:$B,$B47,Planned!$E:$E,"&gt;="&amp;D$4,Planned!$E:$E,"&lt;="&amp;EOMONTH(D$4,0)),
IFERROR(_xlpm.recurring,0)+IFERROR(_xlpm.planned,0))</f>
        <v>50</v>
      </c>
      <c r="E47" s="90">
        <f ca="1">_xlfn.LET(
_xlpm.recurring,SUMIFS(INDEX(recurring_master!$A:$AB,,MATCH($B47,recurring_master!$A$1:$AB$1,0)),recurring_master!$A:$A,"&lt;="&amp;EOMONTH(E$4,0),recurring_master!$A:$A,"&gt;="&amp;E$4),
_xlpm.planned,SUMIFS(Planned!$F:$F,Planned!$B:$B,$B47,Planned!$E:$E,"&gt;="&amp;E$4,Planned!$E:$E,"&lt;="&amp;EOMONTH(E$4,0)),
IFERROR(_xlpm.recurring,0)+IFERROR(_xlpm.planned,0))</f>
        <v>0</v>
      </c>
      <c r="F47" s="90">
        <f ca="1">_xlfn.LET(
_xlpm.recurring,SUMIFS(INDEX(recurring_master!$A:$AB,,MATCH($B47,recurring_master!$A$1:$AB$1,0)),recurring_master!$A:$A,"&lt;="&amp;EOMONTH(F$4,0),recurring_master!$A:$A,"&gt;="&amp;F$4),
_xlpm.planned,SUMIFS(Planned!$F:$F,Planned!$B:$B,$B47,Planned!$E:$E,"&gt;="&amp;F$4,Planned!$E:$E,"&lt;="&amp;EOMONTH(F$4,0)),
IFERROR(_xlpm.recurring,0)+IFERROR(_xlpm.planned,0))</f>
        <v>0</v>
      </c>
      <c r="G47" s="90">
        <f ca="1">_xlfn.LET(
_xlpm.recurring,SUMIFS(INDEX(recurring_master!$A:$AB,,MATCH($B47,recurring_master!$A$1:$AB$1,0)),recurring_master!$A:$A,"&lt;="&amp;EOMONTH(G$4,0),recurring_master!$A:$A,"&gt;="&amp;G$4),
_xlpm.planned,SUMIFS(Planned!$F:$F,Planned!$B:$B,$B47,Planned!$E:$E,"&gt;="&amp;G$4,Planned!$E:$E,"&lt;="&amp;EOMONTH(G$4,0)),
IFERROR(_xlpm.recurring,0)+IFERROR(_xlpm.planned,0))</f>
        <v>50</v>
      </c>
      <c r="H47" s="90">
        <f ca="1">_xlfn.LET(
_xlpm.recurring,SUMIFS(INDEX(recurring_master!$A:$AB,,MATCH($B47,recurring_master!$A$1:$AB$1,0)),recurring_master!$A:$A,"&lt;="&amp;EOMONTH(H$4,0),recurring_master!$A:$A,"&gt;="&amp;H$4),
_xlpm.planned,SUMIFS(Planned!$F:$F,Planned!$B:$B,$B47,Planned!$E:$E,"&gt;="&amp;H$4,Planned!$E:$E,"&lt;="&amp;EOMONTH(H$4,0)),
IFERROR(_xlpm.recurring,0)+IFERROR(_xlpm.planned,0))</f>
        <v>0</v>
      </c>
      <c r="I47" s="90">
        <f ca="1">_xlfn.LET(
_xlpm.recurring,SUMIFS(INDEX(recurring_master!$A:$AB,,MATCH($B47,recurring_master!$A$1:$AB$1,0)),recurring_master!$A:$A,"&lt;="&amp;EOMONTH(I$4,0),recurring_master!$A:$A,"&gt;="&amp;I$4),
_xlpm.planned,SUMIFS(Planned!$F:$F,Planned!$B:$B,$B47,Planned!$E:$E,"&gt;="&amp;I$4,Planned!$E:$E,"&lt;="&amp;EOMONTH(I$4,0)),
IFERROR(_xlpm.recurring,0)+IFERROR(_xlpm.planned,0))</f>
        <v>0</v>
      </c>
      <c r="J47" s="90">
        <f ca="1">_xlfn.LET(
_xlpm.recurring,SUMIFS(INDEX(recurring_master!$A:$AB,,MATCH($B47,recurring_master!$A$1:$AB$1,0)),recurring_master!$A:$A,"&lt;="&amp;EOMONTH(J$4,0),recurring_master!$A:$A,"&gt;="&amp;J$4),
_xlpm.planned,SUMIFS(Planned!$F:$F,Planned!$B:$B,$B47,Planned!$E:$E,"&gt;="&amp;J$4,Planned!$E:$E,"&lt;="&amp;EOMONTH(J$4,0)),
IFERROR(_xlpm.recurring,0)+IFERROR(_xlpm.planned,0))</f>
        <v>50</v>
      </c>
      <c r="K47" s="90">
        <f ca="1">_xlfn.LET(
_xlpm.recurring,SUMIFS(INDEX(recurring_master!$A:$AB,,MATCH($B47,recurring_master!$A$1:$AB$1,0)),recurring_master!$A:$A,"&lt;="&amp;EOMONTH(K$4,0),recurring_master!$A:$A,"&gt;="&amp;K$4),
_xlpm.planned,SUMIFS(Planned!$F:$F,Planned!$B:$B,$B47,Planned!$E:$E,"&gt;="&amp;K$4,Planned!$E:$E,"&lt;="&amp;EOMONTH(K$4,0)),
IFERROR(_xlpm.recurring,0)+IFERROR(_xlpm.planned,0))</f>
        <v>0</v>
      </c>
      <c r="L47" s="90">
        <f ca="1">_xlfn.LET(
_xlpm.recurring,SUMIFS(INDEX(recurring_master!$A:$AB,,MATCH($B47,recurring_master!$A$1:$AB$1,0)),recurring_master!$A:$A,"&lt;="&amp;EOMONTH(L$4,0),recurring_master!$A:$A,"&gt;="&amp;L$4),
_xlpm.planned,SUMIFS(Planned!$F:$F,Planned!$B:$B,$B47,Planned!$E:$E,"&gt;="&amp;L$4,Planned!$E:$E,"&lt;="&amp;EOMONTH(L$4,0)),
IFERROR(_xlpm.recurring,0)+IFERROR(_xlpm.planned,0))</f>
        <v>0</v>
      </c>
      <c r="M47" s="90">
        <f ca="1">_xlfn.LET(
_xlpm.recurring,SUMIFS(INDEX(recurring_master!$A:$AB,,MATCH($B47,recurring_master!$A$1:$AB$1,0)),recurring_master!$A:$A,"&lt;="&amp;EOMONTH(M$4,0),recurring_master!$A:$A,"&gt;="&amp;M$4),
_xlpm.planned,SUMIFS(Planned!$F:$F,Planned!$B:$B,$B47,Planned!$E:$E,"&gt;="&amp;M$4,Planned!$E:$E,"&lt;="&amp;EOMONTH(M$4,0)),
IFERROR(_xlpm.recurring,0)+IFERROR(_xlpm.planned,0))</f>
        <v>50</v>
      </c>
      <c r="N47" s="90">
        <f ca="1">_xlfn.LET(
_xlpm.recurring,SUMIFS(INDEX(recurring_master!$A:$AB,,MATCH($B47,recurring_master!$A$1:$AB$1,0)),recurring_master!$A:$A,"&lt;="&amp;EOMONTH(N$4,0),recurring_master!$A:$A,"&gt;="&amp;N$4),
_xlpm.planned,SUMIFS(Planned!$F:$F,Planned!$B:$B,$B47,Planned!$E:$E,"&gt;="&amp;N$4,Planned!$E:$E,"&lt;="&amp;EOMONTH(N$4,0)),
IFERROR(_xlpm.recurring,0)+IFERROR(_xlpm.planned,0))</f>
        <v>0</v>
      </c>
      <c r="O47" s="81"/>
      <c r="P47" s="91">
        <f ca="1">SUM(C47:N47)</f>
        <v>200</v>
      </c>
      <c r="Q47" s="37"/>
      <c r="R47" s="28"/>
    </row>
    <row r="48" spans="1:22" ht="12.75" customHeight="1" x14ac:dyDescent="0.2">
      <c r="B48" s="54" t="s">
        <v>44</v>
      </c>
      <c r="C48" s="90">
        <f ca="1">_xlfn.LET(
_xlpm.recurring,SUMIFS(INDEX(recurring_master!$A:$AB,,MATCH($B48,recurring_master!$A$1:$AB$1,0)),recurring_master!$A:$A,"&lt;="&amp;EOMONTH(C$4,0),recurring_master!$A:$A,"&gt;="&amp;C$4),
_xlpm.planned,SUMIFS(Planned!$F:$F,Planned!$B:$B,$B48,Planned!$E:$E,"&gt;="&amp;C$4,Planned!$E:$E,"&lt;="&amp;EOMONTH(C$4,0)),
IFERROR(_xlpm.recurring,0)+IFERROR(_xlpm.planned,0))</f>
        <v>100</v>
      </c>
      <c r="D48" s="90">
        <f ca="1">_xlfn.LET(
_xlpm.recurring,SUMIFS(INDEX(recurring_master!$A:$AB,,MATCH($B48,recurring_master!$A$1:$AB$1,0)),recurring_master!$A:$A,"&lt;="&amp;EOMONTH(D$4,0),recurring_master!$A:$A,"&gt;="&amp;D$4),
_xlpm.planned,SUMIFS(Planned!$F:$F,Planned!$B:$B,$B48,Planned!$E:$E,"&gt;="&amp;D$4,Planned!$E:$E,"&lt;="&amp;EOMONTH(D$4,0)),
IFERROR(_xlpm.recurring,0)+IFERROR(_xlpm.planned,0))</f>
        <v>50</v>
      </c>
      <c r="E48" s="90">
        <f ca="1">_xlfn.LET(
_xlpm.recurring,SUMIFS(INDEX(recurring_master!$A:$AB,,MATCH($B48,recurring_master!$A$1:$AB$1,0)),recurring_master!$A:$A,"&lt;="&amp;EOMONTH(E$4,0),recurring_master!$A:$A,"&gt;="&amp;E$4),
_xlpm.planned,SUMIFS(Planned!$F:$F,Planned!$B:$B,$B48,Planned!$E:$E,"&gt;="&amp;E$4,Planned!$E:$E,"&lt;="&amp;EOMONTH(E$4,0)),
IFERROR(_xlpm.recurring,0)+IFERROR(_xlpm.planned,0))</f>
        <v>100</v>
      </c>
      <c r="F48" s="90">
        <f ca="1">_xlfn.LET(
_xlpm.recurring,SUMIFS(INDEX(recurring_master!$A:$AB,,MATCH($B48,recurring_master!$A$1:$AB$1,0)),recurring_master!$A:$A,"&lt;="&amp;EOMONTH(F$4,0),recurring_master!$A:$A,"&gt;="&amp;F$4),
_xlpm.planned,SUMIFS(Planned!$F:$F,Planned!$B:$B,$B48,Planned!$E:$E,"&gt;="&amp;F$4,Planned!$E:$E,"&lt;="&amp;EOMONTH(F$4,0)),
IFERROR(_xlpm.recurring,0)+IFERROR(_xlpm.planned,0))</f>
        <v>50</v>
      </c>
      <c r="G48" s="90">
        <f ca="1">_xlfn.LET(
_xlpm.recurring,SUMIFS(INDEX(recurring_master!$A:$AB,,MATCH($B48,recurring_master!$A$1:$AB$1,0)),recurring_master!$A:$A,"&lt;="&amp;EOMONTH(G$4,0),recurring_master!$A:$A,"&gt;="&amp;G$4),
_xlpm.planned,SUMIFS(Planned!$F:$F,Planned!$B:$B,$B48,Planned!$E:$E,"&gt;="&amp;G$4,Planned!$E:$E,"&lt;="&amp;EOMONTH(G$4,0)),
IFERROR(_xlpm.recurring,0)+IFERROR(_xlpm.planned,0))</f>
        <v>100</v>
      </c>
      <c r="H48" s="90">
        <f ca="1">_xlfn.LET(
_xlpm.recurring,SUMIFS(INDEX(recurring_master!$A:$AB,,MATCH($B48,recurring_master!$A$1:$AB$1,0)),recurring_master!$A:$A,"&lt;="&amp;EOMONTH(H$4,0),recurring_master!$A:$A,"&gt;="&amp;H$4),
_xlpm.planned,SUMIFS(Planned!$F:$F,Planned!$B:$B,$B48,Planned!$E:$E,"&gt;="&amp;H$4,Planned!$E:$E,"&lt;="&amp;EOMONTH(H$4,0)),
IFERROR(_xlpm.recurring,0)+IFERROR(_xlpm.planned,0))</f>
        <v>50</v>
      </c>
      <c r="I48" s="90">
        <f ca="1">_xlfn.LET(
_xlpm.recurring,SUMIFS(INDEX(recurring_master!$A:$AB,,MATCH($B48,recurring_master!$A$1:$AB$1,0)),recurring_master!$A:$A,"&lt;="&amp;EOMONTH(I$4,0),recurring_master!$A:$A,"&gt;="&amp;I$4),
_xlpm.planned,SUMIFS(Planned!$F:$F,Planned!$B:$B,$B48,Planned!$E:$E,"&gt;="&amp;I$4,Planned!$E:$E,"&lt;="&amp;EOMONTH(I$4,0)),
IFERROR(_xlpm.recurring,0)+IFERROR(_xlpm.planned,0))</f>
        <v>50</v>
      </c>
      <c r="J48" s="90">
        <f ca="1">_xlfn.LET(
_xlpm.recurring,SUMIFS(INDEX(recurring_master!$A:$AB,,MATCH($B48,recurring_master!$A$1:$AB$1,0)),recurring_master!$A:$A,"&lt;="&amp;EOMONTH(J$4,0),recurring_master!$A:$A,"&gt;="&amp;J$4),
_xlpm.planned,SUMIFS(Planned!$F:$F,Planned!$B:$B,$B48,Planned!$E:$E,"&gt;="&amp;J$4,Planned!$E:$E,"&lt;="&amp;EOMONTH(J$4,0)),
IFERROR(_xlpm.recurring,0)+IFERROR(_xlpm.planned,0))</f>
        <v>100</v>
      </c>
      <c r="K48" s="90">
        <f ca="1">_xlfn.LET(
_xlpm.recurring,SUMIFS(INDEX(recurring_master!$A:$AB,,MATCH($B48,recurring_master!$A$1:$AB$1,0)),recurring_master!$A:$A,"&lt;="&amp;EOMONTH(K$4,0),recurring_master!$A:$A,"&gt;="&amp;K$4),
_xlpm.planned,SUMIFS(Planned!$F:$F,Planned!$B:$B,$B48,Planned!$E:$E,"&gt;="&amp;K$4,Planned!$E:$E,"&lt;="&amp;EOMONTH(K$4,0)),
IFERROR(_xlpm.recurring,0)+IFERROR(_xlpm.planned,0))</f>
        <v>50</v>
      </c>
      <c r="L48" s="90">
        <f ca="1">_xlfn.LET(
_xlpm.recurring,SUMIFS(INDEX(recurring_master!$A:$AB,,MATCH($B48,recurring_master!$A$1:$AB$1,0)),recurring_master!$A:$A,"&lt;="&amp;EOMONTH(L$4,0),recurring_master!$A:$A,"&gt;="&amp;L$4),
_xlpm.planned,SUMIFS(Planned!$F:$F,Planned!$B:$B,$B48,Planned!$E:$E,"&gt;="&amp;L$4,Planned!$E:$E,"&lt;="&amp;EOMONTH(L$4,0)),
IFERROR(_xlpm.recurring,0)+IFERROR(_xlpm.planned,0))</f>
        <v>100</v>
      </c>
      <c r="M48" s="90">
        <f ca="1">_xlfn.LET(
_xlpm.recurring,SUMIFS(INDEX(recurring_master!$A:$AB,,MATCH($B48,recurring_master!$A$1:$AB$1,0)),recurring_master!$A:$A,"&lt;="&amp;EOMONTH(M$4,0),recurring_master!$A:$A,"&gt;="&amp;M$4),
_xlpm.planned,SUMIFS(Planned!$F:$F,Planned!$B:$B,$B48,Planned!$E:$E,"&gt;="&amp;M$4,Planned!$E:$E,"&lt;="&amp;EOMONTH(M$4,0)),
IFERROR(_xlpm.recurring,0)+IFERROR(_xlpm.planned,0))</f>
        <v>50</v>
      </c>
      <c r="N48" s="90">
        <f ca="1">_xlfn.LET(
_xlpm.recurring,SUMIFS(INDEX(recurring_master!$A:$AB,,MATCH($B48,recurring_master!$A$1:$AB$1,0)),recurring_master!$A:$A,"&lt;="&amp;EOMONTH(N$4,0),recurring_master!$A:$A,"&gt;="&amp;N$4),
_xlpm.planned,SUMIFS(Planned!$F:$F,Planned!$B:$B,$B48,Planned!$E:$E,"&gt;="&amp;N$4,Planned!$E:$E,"&lt;="&amp;EOMONTH(N$4,0)),
IFERROR(_xlpm.recurring,0)+IFERROR(_xlpm.planned,0))</f>
        <v>100</v>
      </c>
      <c r="O48" s="81"/>
      <c r="P48" s="91">
        <f ca="1">SUM(C48:N48)</f>
        <v>900</v>
      </c>
      <c r="Q48" s="37"/>
      <c r="R48" s="28"/>
    </row>
    <row r="49" spans="1:22" ht="12.75" customHeight="1" x14ac:dyDescent="0.2">
      <c r="B49" s="144" t="s">
        <v>210</v>
      </c>
      <c r="C49" s="90">
        <f ca="1">_xlfn.LET(
_xlpm.recurring,SUMIFS(INDEX(recurring_master!$A:$AB,,MATCH($B49,recurring_master!$A$1:$AB$1,0)),recurring_master!$A:$A,"&lt;="&amp;EOMONTH(C$4,0),recurring_master!$A:$A,"&gt;="&amp;C$4),
_xlpm.planned,SUMIFS(Planned!$F:$F,Planned!$B:$B,$B49,Planned!$E:$E,"&gt;="&amp;C$4,Planned!$E:$E,"&lt;="&amp;EOMONTH(C$4,0)),
IFERROR(_xlpm.recurring,0)+IFERROR(_xlpm.planned,0))</f>
        <v>200</v>
      </c>
      <c r="D49" s="90">
        <f ca="1">_xlfn.LET(
_xlpm.recurring,SUMIFS(INDEX(recurring_master!$A:$AB,,MATCH($B49,recurring_master!$A$1:$AB$1,0)),recurring_master!$A:$A,"&lt;="&amp;EOMONTH(D$4,0),recurring_master!$A:$A,"&gt;="&amp;D$4),
_xlpm.planned,SUMIFS(Planned!$F:$F,Planned!$B:$B,$B49,Planned!$E:$E,"&gt;="&amp;D$4,Planned!$E:$E,"&lt;="&amp;EOMONTH(D$4,0)),
IFERROR(_xlpm.recurring,0)+IFERROR(_xlpm.planned,0))</f>
        <v>0</v>
      </c>
      <c r="E49" s="90">
        <f ca="1">_xlfn.LET(
_xlpm.recurring,SUMIFS(INDEX(recurring_master!$A:$AB,,MATCH($B49,recurring_master!$A$1:$AB$1,0)),recurring_master!$A:$A,"&lt;="&amp;EOMONTH(E$4,0),recurring_master!$A:$A,"&gt;="&amp;E$4),
_xlpm.planned,SUMIFS(Planned!$F:$F,Planned!$B:$B,$B49,Planned!$E:$E,"&gt;="&amp;E$4,Planned!$E:$E,"&lt;="&amp;EOMONTH(E$4,0)),
IFERROR(_xlpm.recurring,0)+IFERROR(_xlpm.planned,0))</f>
        <v>0</v>
      </c>
      <c r="F49" s="90">
        <f ca="1">_xlfn.LET(
_xlpm.recurring,SUMIFS(INDEX(recurring_master!$A:$AB,,MATCH($B49,recurring_master!$A$1:$AB$1,0)),recurring_master!$A:$A,"&lt;="&amp;EOMONTH(F$4,0),recurring_master!$A:$A,"&gt;="&amp;F$4),
_xlpm.planned,SUMIFS(Planned!$F:$F,Planned!$B:$B,$B49,Planned!$E:$E,"&gt;="&amp;F$4,Planned!$E:$E,"&lt;="&amp;EOMONTH(F$4,0)),
IFERROR(_xlpm.recurring,0)+IFERROR(_xlpm.planned,0))</f>
        <v>0</v>
      </c>
      <c r="G49" s="90">
        <f ca="1">_xlfn.LET(
_xlpm.recurring,SUMIFS(INDEX(recurring_master!$A:$AB,,MATCH($B49,recurring_master!$A$1:$AB$1,0)),recurring_master!$A:$A,"&lt;="&amp;EOMONTH(G$4,0),recurring_master!$A:$A,"&gt;="&amp;G$4),
_xlpm.planned,SUMIFS(Planned!$F:$F,Planned!$B:$B,$B49,Planned!$E:$E,"&gt;="&amp;G$4,Planned!$E:$E,"&lt;="&amp;EOMONTH(G$4,0)),
IFERROR(_xlpm.recurring,0)+IFERROR(_xlpm.planned,0))</f>
        <v>0</v>
      </c>
      <c r="H49" s="90">
        <f ca="1">_xlfn.LET(
_xlpm.recurring,SUMIFS(INDEX(recurring_master!$A:$AB,,MATCH($B49,recurring_master!$A$1:$AB$1,0)),recurring_master!$A:$A,"&lt;="&amp;EOMONTH(H$4,0),recurring_master!$A:$A,"&gt;="&amp;H$4),
_xlpm.planned,SUMIFS(Planned!$F:$F,Planned!$B:$B,$B49,Planned!$E:$E,"&gt;="&amp;H$4,Planned!$E:$E,"&lt;="&amp;EOMONTH(H$4,0)),
IFERROR(_xlpm.recurring,0)+IFERROR(_xlpm.planned,0))</f>
        <v>0</v>
      </c>
      <c r="I49" s="90">
        <f ca="1">_xlfn.LET(
_xlpm.recurring,SUMIFS(INDEX(recurring_master!$A:$AB,,MATCH($B49,recurring_master!$A$1:$AB$1,0)),recurring_master!$A:$A,"&lt;="&amp;EOMONTH(I$4,0),recurring_master!$A:$A,"&gt;="&amp;I$4),
_xlpm.planned,SUMIFS(Planned!$F:$F,Planned!$B:$B,$B49,Planned!$E:$E,"&gt;="&amp;I$4,Planned!$E:$E,"&lt;="&amp;EOMONTH(I$4,0)),
IFERROR(_xlpm.recurring,0)+IFERROR(_xlpm.planned,0))</f>
        <v>0</v>
      </c>
      <c r="J49" s="90">
        <f ca="1">_xlfn.LET(
_xlpm.recurring,SUMIFS(INDEX(recurring_master!$A:$AB,,MATCH($B49,recurring_master!$A$1:$AB$1,0)),recurring_master!$A:$A,"&lt;="&amp;EOMONTH(J$4,0),recurring_master!$A:$A,"&gt;="&amp;J$4),
_xlpm.planned,SUMIFS(Planned!$F:$F,Planned!$B:$B,$B49,Planned!$E:$E,"&gt;="&amp;J$4,Planned!$E:$E,"&lt;="&amp;EOMONTH(J$4,0)),
IFERROR(_xlpm.recurring,0)+IFERROR(_xlpm.planned,0))</f>
        <v>0</v>
      </c>
      <c r="K49" s="90">
        <f ca="1">_xlfn.LET(
_xlpm.recurring,SUMIFS(INDEX(recurring_master!$A:$AB,,MATCH($B49,recurring_master!$A$1:$AB$1,0)),recurring_master!$A:$A,"&lt;="&amp;EOMONTH(K$4,0),recurring_master!$A:$A,"&gt;="&amp;K$4),
_xlpm.planned,SUMIFS(Planned!$F:$F,Planned!$B:$B,$B49,Planned!$E:$E,"&gt;="&amp;K$4,Planned!$E:$E,"&lt;="&amp;EOMONTH(K$4,0)),
IFERROR(_xlpm.recurring,0)+IFERROR(_xlpm.planned,0))</f>
        <v>0</v>
      </c>
      <c r="L49" s="90">
        <f ca="1">_xlfn.LET(
_xlpm.recurring,SUMIFS(INDEX(recurring_master!$A:$AB,,MATCH($B49,recurring_master!$A$1:$AB$1,0)),recurring_master!$A:$A,"&lt;="&amp;EOMONTH(L$4,0),recurring_master!$A:$A,"&gt;="&amp;L$4),
_xlpm.planned,SUMIFS(Planned!$F:$F,Planned!$B:$B,$B49,Planned!$E:$E,"&gt;="&amp;L$4,Planned!$E:$E,"&lt;="&amp;EOMONTH(L$4,0)),
IFERROR(_xlpm.recurring,0)+IFERROR(_xlpm.planned,0))</f>
        <v>0</v>
      </c>
      <c r="M49" s="90">
        <f ca="1">_xlfn.LET(
_xlpm.recurring,SUMIFS(INDEX(recurring_master!$A:$AB,,MATCH($B49,recurring_master!$A$1:$AB$1,0)),recurring_master!$A:$A,"&lt;="&amp;EOMONTH(M$4,0),recurring_master!$A:$A,"&gt;="&amp;M$4),
_xlpm.planned,SUMIFS(Planned!$F:$F,Planned!$B:$B,$B49,Planned!$E:$E,"&gt;="&amp;M$4,Planned!$E:$E,"&lt;="&amp;EOMONTH(M$4,0)),
IFERROR(_xlpm.recurring,0)+IFERROR(_xlpm.planned,0))</f>
        <v>0</v>
      </c>
      <c r="N49" s="90">
        <f ca="1">_xlfn.LET(
_xlpm.recurring,SUMIFS(INDEX(recurring_master!$A:$AB,,MATCH($B49,recurring_master!$A$1:$AB$1,0)),recurring_master!$A:$A,"&lt;="&amp;EOMONTH(N$4,0),recurring_master!$A:$A,"&gt;="&amp;N$4),
_xlpm.planned,SUMIFS(Planned!$F:$F,Planned!$B:$B,$B49,Planned!$E:$E,"&gt;="&amp;N$4,Planned!$E:$E,"&lt;="&amp;EOMONTH(N$4,0)),
IFERROR(_xlpm.recurring,0)+IFERROR(_xlpm.planned,0))</f>
        <v>0</v>
      </c>
      <c r="O49" s="81"/>
      <c r="P49" s="91">
        <f ca="1">SUM(C49:N49)</f>
        <v>200</v>
      </c>
      <c r="Q49" s="37"/>
      <c r="R49" s="28" t="s">
        <v>295</v>
      </c>
    </row>
    <row r="50" spans="1:22" ht="5.0999999999999996" customHeight="1" x14ac:dyDescent="0.2">
      <c r="A50" s="5"/>
      <c r="B50" s="54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91"/>
      <c r="Q50" s="37"/>
      <c r="R50" s="28"/>
      <c r="V50" s="5"/>
    </row>
    <row r="51" spans="1:22" ht="12.75" customHeight="1" x14ac:dyDescent="0.2">
      <c r="B51" s="64" t="s">
        <v>47</v>
      </c>
      <c r="C51" s="98">
        <f ca="1">SUM(C45:C50)</f>
        <v>2540</v>
      </c>
      <c r="D51" s="98">
        <f t="shared" ref="D51:N51" ca="1" si="15">SUM(D45:D50)</f>
        <v>2440</v>
      </c>
      <c r="E51" s="98">
        <f t="shared" ca="1" si="15"/>
        <v>2390</v>
      </c>
      <c r="F51" s="98">
        <f t="shared" ca="1" si="15"/>
        <v>2340</v>
      </c>
      <c r="G51" s="98">
        <f t="shared" ca="1" si="15"/>
        <v>2990</v>
      </c>
      <c r="H51" s="98">
        <f t="shared" ca="1" si="15"/>
        <v>2340</v>
      </c>
      <c r="I51" s="98">
        <f t="shared" ca="1" si="15"/>
        <v>2390</v>
      </c>
      <c r="J51" s="98">
        <f t="shared" ca="1" si="15"/>
        <v>2440</v>
      </c>
      <c r="K51" s="98">
        <f t="shared" ca="1" si="15"/>
        <v>2340</v>
      </c>
      <c r="L51" s="98">
        <f t="shared" ca="1" si="15"/>
        <v>2440</v>
      </c>
      <c r="M51" s="98">
        <f t="shared" ca="1" si="15"/>
        <v>2890</v>
      </c>
      <c r="N51" s="99">
        <f t="shared" ca="1" si="15"/>
        <v>2390</v>
      </c>
      <c r="O51" s="98"/>
      <c r="P51" s="100">
        <f ca="1">SUM(P49:P49)</f>
        <v>200</v>
      </c>
      <c r="Q51" s="37"/>
      <c r="R51" s="28"/>
    </row>
    <row r="52" spans="1:22" ht="5.0999999999999996" customHeight="1" x14ac:dyDescent="0.2">
      <c r="B52" s="52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37"/>
      <c r="R52" s="28"/>
    </row>
    <row r="53" spans="1:22" ht="12.75" customHeight="1" x14ac:dyDescent="0.2">
      <c r="B53" s="61" t="s">
        <v>43</v>
      </c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3"/>
      <c r="Q53" s="37"/>
      <c r="R53" s="28"/>
    </row>
    <row r="54" spans="1:22" ht="12.75" customHeight="1" x14ac:dyDescent="0.2">
      <c r="B54" s="54" t="s">
        <v>1</v>
      </c>
      <c r="C54" s="90">
        <f ca="1">_xlfn.LET(
_xlpm.recurring,SUMIFS(INDEX(recurring_master!$A:$AB,,MATCH($B54,recurring_master!$A$1:$AB$1,0)),recurring_master!$A:$A,"&lt;="&amp;EOMONTH(C$4,0),recurring_master!$A:$A,"&gt;="&amp;C$4),
_xlpm.planned,SUMIFS(Planned!$F:$F,Planned!$B:$B,$B54,Planned!$E:$E,"&gt;="&amp;C$4,Planned!$E:$E,"&lt;="&amp;EOMONTH(C$4,0)),
IFERROR(_xlpm.recurring,0)+IFERROR(_xlpm.planned,0))</f>
        <v>400</v>
      </c>
      <c r="D54" s="90">
        <f ca="1">_xlfn.LET(
_xlpm.recurring,SUMIFS(INDEX(recurring_master!$A:$AB,,MATCH($B54,recurring_master!$A$1:$AB$1,0)),recurring_master!$A:$A,"&lt;="&amp;EOMONTH(D$4,0),recurring_master!$A:$A,"&gt;="&amp;D$4),
_xlpm.planned,SUMIFS(Planned!$F:$F,Planned!$B:$B,$B54,Planned!$E:$E,"&gt;="&amp;D$4,Planned!$E:$E,"&lt;="&amp;EOMONTH(D$4,0)),
IFERROR(_xlpm.recurring,0)+IFERROR(_xlpm.planned,0))</f>
        <v>500</v>
      </c>
      <c r="E54" s="90">
        <f ca="1">_xlfn.LET(
_xlpm.recurring,SUMIFS(INDEX(recurring_master!$A:$AB,,MATCH($B54,recurring_master!$A$1:$AB$1,0)),recurring_master!$A:$A,"&lt;="&amp;EOMONTH(E$4,0),recurring_master!$A:$A,"&gt;="&amp;E$4),
_xlpm.planned,SUMIFS(Planned!$F:$F,Planned!$B:$B,$B54,Planned!$E:$E,"&gt;="&amp;E$4,Planned!$E:$E,"&lt;="&amp;EOMONTH(E$4,0)),
IFERROR(_xlpm.recurring,0)+IFERROR(_xlpm.planned,0))</f>
        <v>400</v>
      </c>
      <c r="F54" s="90">
        <f ca="1">_xlfn.LET(
_xlpm.recurring,SUMIFS(INDEX(recurring_master!$A:$AB,,MATCH($B54,recurring_master!$A$1:$AB$1,0)),recurring_master!$A:$A,"&lt;="&amp;EOMONTH(F$4,0),recurring_master!$A:$A,"&gt;="&amp;F$4),
_xlpm.planned,SUMIFS(Planned!$F:$F,Planned!$B:$B,$B54,Planned!$E:$E,"&gt;="&amp;F$4,Planned!$E:$E,"&lt;="&amp;EOMONTH(F$4,0)),
IFERROR(_xlpm.recurring,0)+IFERROR(_xlpm.planned,0))</f>
        <v>500</v>
      </c>
      <c r="G54" s="90">
        <f ca="1">_xlfn.LET(
_xlpm.recurring,SUMIFS(INDEX(recurring_master!$A:$AB,,MATCH($B54,recurring_master!$A$1:$AB$1,0)),recurring_master!$A:$A,"&lt;="&amp;EOMONTH(G$4,0),recurring_master!$A:$A,"&gt;="&amp;G$4),
_xlpm.planned,SUMIFS(Planned!$F:$F,Planned!$B:$B,$B54,Planned!$E:$E,"&gt;="&amp;G$4,Planned!$E:$E,"&lt;="&amp;EOMONTH(G$4,0)),
IFERROR(_xlpm.recurring,0)+IFERROR(_xlpm.planned,0))</f>
        <v>400</v>
      </c>
      <c r="H54" s="90">
        <f ca="1">_xlfn.LET(
_xlpm.recurring,SUMIFS(INDEX(recurring_master!$A:$AB,,MATCH($B54,recurring_master!$A$1:$AB$1,0)),recurring_master!$A:$A,"&lt;="&amp;EOMONTH(H$4,0),recurring_master!$A:$A,"&gt;="&amp;H$4),
_xlpm.planned,SUMIFS(Planned!$F:$F,Planned!$B:$B,$B54,Planned!$E:$E,"&gt;="&amp;H$4,Planned!$E:$E,"&lt;="&amp;EOMONTH(H$4,0)),
IFERROR(_xlpm.recurring,0)+IFERROR(_xlpm.planned,0))</f>
        <v>400</v>
      </c>
      <c r="I54" s="90">
        <f ca="1">_xlfn.LET(
_xlpm.recurring,SUMIFS(INDEX(recurring_master!$A:$AB,,MATCH($B54,recurring_master!$A$1:$AB$1,0)),recurring_master!$A:$A,"&lt;="&amp;EOMONTH(I$4,0),recurring_master!$A:$A,"&gt;="&amp;I$4),
_xlpm.planned,SUMIFS(Planned!$F:$F,Planned!$B:$B,$B54,Planned!$E:$E,"&gt;="&amp;I$4,Planned!$E:$E,"&lt;="&amp;EOMONTH(I$4,0)),
IFERROR(_xlpm.recurring,0)+IFERROR(_xlpm.planned,0))</f>
        <v>500</v>
      </c>
      <c r="J54" s="90">
        <f ca="1">_xlfn.LET(
_xlpm.recurring,SUMIFS(INDEX(recurring_master!$A:$AB,,MATCH($B54,recurring_master!$A$1:$AB$1,0)),recurring_master!$A:$A,"&lt;="&amp;EOMONTH(J$4,0),recurring_master!$A:$A,"&gt;="&amp;J$4),
_xlpm.planned,SUMIFS(Planned!$F:$F,Planned!$B:$B,$B54,Planned!$E:$E,"&gt;="&amp;J$4,Planned!$E:$E,"&lt;="&amp;EOMONTH(J$4,0)),
IFERROR(_xlpm.recurring,0)+IFERROR(_xlpm.planned,0))</f>
        <v>400</v>
      </c>
      <c r="K54" s="90">
        <f ca="1">_xlfn.LET(
_xlpm.recurring,SUMIFS(INDEX(recurring_master!$A:$AB,,MATCH($B54,recurring_master!$A$1:$AB$1,0)),recurring_master!$A:$A,"&lt;="&amp;EOMONTH(K$4,0),recurring_master!$A:$A,"&gt;="&amp;K$4),
_xlpm.planned,SUMIFS(Planned!$F:$F,Planned!$B:$B,$B54,Planned!$E:$E,"&gt;="&amp;K$4,Planned!$E:$E,"&lt;="&amp;EOMONTH(K$4,0)),
IFERROR(_xlpm.recurring,0)+IFERROR(_xlpm.planned,0))</f>
        <v>400</v>
      </c>
      <c r="L54" s="90">
        <f ca="1">_xlfn.LET(
_xlpm.recurring,SUMIFS(INDEX(recurring_master!$A:$AB,,MATCH($B54,recurring_master!$A$1:$AB$1,0)),recurring_master!$A:$A,"&lt;="&amp;EOMONTH(L$4,0),recurring_master!$A:$A,"&gt;="&amp;L$4),
_xlpm.planned,SUMIFS(Planned!$F:$F,Planned!$B:$B,$B54,Planned!$E:$E,"&gt;="&amp;L$4,Planned!$E:$E,"&lt;="&amp;EOMONTH(L$4,0)),
IFERROR(_xlpm.recurring,0)+IFERROR(_xlpm.planned,0))</f>
        <v>500</v>
      </c>
      <c r="M54" s="90">
        <f ca="1">_xlfn.LET(
_xlpm.recurring,SUMIFS(INDEX(recurring_master!$A:$AB,,MATCH($B54,recurring_master!$A$1:$AB$1,0)),recurring_master!$A:$A,"&lt;="&amp;EOMONTH(M$4,0),recurring_master!$A:$A,"&gt;="&amp;M$4),
_xlpm.planned,SUMIFS(Planned!$F:$F,Planned!$B:$B,$B54,Planned!$E:$E,"&gt;="&amp;M$4,Planned!$E:$E,"&lt;="&amp;EOMONTH(M$4,0)),
IFERROR(_xlpm.recurring,0)+IFERROR(_xlpm.planned,0))</f>
        <v>400</v>
      </c>
      <c r="N54" s="90">
        <f ca="1">_xlfn.LET(
_xlpm.recurring,SUMIFS(INDEX(recurring_master!$A:$AB,,MATCH($B54,recurring_master!$A$1:$AB$1,0)),recurring_master!$A:$A,"&lt;="&amp;EOMONTH(N$4,0),recurring_master!$A:$A,"&gt;="&amp;N$4),
_xlpm.planned,SUMIFS(Planned!$F:$F,Planned!$B:$B,$B54,Planned!$E:$E,"&gt;="&amp;N$4,Planned!$E:$E,"&lt;="&amp;EOMONTH(N$4,0)),
IFERROR(_xlpm.recurring,0)+IFERROR(_xlpm.planned,0))</f>
        <v>400</v>
      </c>
      <c r="O54" s="81"/>
      <c r="P54" s="91">
        <f t="shared" ref="P54:P57" ca="1" si="16">SUM(C54:N54)</f>
        <v>5200</v>
      </c>
      <c r="Q54" s="38"/>
      <c r="R54" s="28"/>
    </row>
    <row r="55" spans="1:22" ht="12.75" customHeight="1" x14ac:dyDescent="0.2">
      <c r="B55" s="54" t="s">
        <v>2</v>
      </c>
      <c r="C55" s="90">
        <f ca="1">_xlfn.LET(
_xlpm.recurring,SUMIFS(INDEX(recurring_master!$A:$AB,,MATCH($B55,recurring_master!$A$1:$AB$1,0)),recurring_master!$A:$A,"&lt;="&amp;EOMONTH(C$4,0),recurring_master!$A:$A,"&gt;="&amp;C$4),
_xlpm.planned,SUMIFS(Planned!$F:$F,Planned!$B:$B,$B55,Planned!$E:$E,"&gt;="&amp;C$4,Planned!$E:$E,"&lt;="&amp;EOMONTH(C$4,0)),
IFERROR(_xlpm.recurring,0)+IFERROR(_xlpm.planned,0))</f>
        <v>800</v>
      </c>
      <c r="D55" s="90">
        <f ca="1">_xlfn.LET(
_xlpm.recurring,SUMIFS(INDEX(recurring_master!$A:$AB,,MATCH($B55,recurring_master!$A$1:$AB$1,0)),recurring_master!$A:$A,"&lt;="&amp;EOMONTH(D$4,0),recurring_master!$A:$A,"&gt;="&amp;D$4),
_xlpm.planned,SUMIFS(Planned!$F:$F,Planned!$B:$B,$B55,Planned!$E:$E,"&gt;="&amp;D$4,Planned!$E:$E,"&lt;="&amp;EOMONTH(D$4,0)),
IFERROR(_xlpm.recurring,0)+IFERROR(_xlpm.planned,0))</f>
        <v>1000</v>
      </c>
      <c r="E55" s="90">
        <f ca="1">_xlfn.LET(
_xlpm.recurring,SUMIFS(INDEX(recurring_master!$A:$AB,,MATCH($B55,recurring_master!$A$1:$AB$1,0)),recurring_master!$A:$A,"&lt;="&amp;EOMONTH(E$4,0),recurring_master!$A:$A,"&gt;="&amp;E$4),
_xlpm.planned,SUMIFS(Planned!$F:$F,Planned!$B:$B,$B55,Planned!$E:$E,"&gt;="&amp;E$4,Planned!$E:$E,"&lt;="&amp;EOMONTH(E$4,0)),
IFERROR(_xlpm.recurring,0)+IFERROR(_xlpm.planned,0))</f>
        <v>800</v>
      </c>
      <c r="F55" s="90">
        <f ca="1">_xlfn.LET(
_xlpm.recurring,SUMIFS(INDEX(recurring_master!$A:$AB,,MATCH($B55,recurring_master!$A$1:$AB$1,0)),recurring_master!$A:$A,"&lt;="&amp;EOMONTH(F$4,0),recurring_master!$A:$A,"&gt;="&amp;F$4),
_xlpm.planned,SUMIFS(Planned!$F:$F,Planned!$B:$B,$B55,Planned!$E:$E,"&gt;="&amp;F$4,Planned!$E:$E,"&lt;="&amp;EOMONTH(F$4,0)),
IFERROR(_xlpm.recurring,0)+IFERROR(_xlpm.planned,0))</f>
        <v>900</v>
      </c>
      <c r="G55" s="90">
        <f ca="1">_xlfn.LET(
_xlpm.recurring,SUMIFS(INDEX(recurring_master!$A:$AB,,MATCH($B55,recurring_master!$A$1:$AB$1,0)),recurring_master!$A:$A,"&lt;="&amp;EOMONTH(G$4,0),recurring_master!$A:$A,"&gt;="&amp;G$4),
_xlpm.planned,SUMIFS(Planned!$F:$F,Planned!$B:$B,$B55,Planned!$E:$E,"&gt;="&amp;G$4,Planned!$E:$E,"&lt;="&amp;EOMONTH(G$4,0)),
IFERROR(_xlpm.recurring,0)+IFERROR(_xlpm.planned,0))</f>
        <v>900</v>
      </c>
      <c r="H55" s="90">
        <f ca="1">_xlfn.LET(
_xlpm.recurring,SUMIFS(INDEX(recurring_master!$A:$AB,,MATCH($B55,recurring_master!$A$1:$AB$1,0)),recurring_master!$A:$A,"&lt;="&amp;EOMONTH(H$4,0),recurring_master!$A:$A,"&gt;="&amp;H$4),
_xlpm.planned,SUMIFS(Planned!$F:$F,Planned!$B:$B,$B55,Planned!$E:$E,"&gt;="&amp;H$4,Planned!$E:$E,"&lt;="&amp;EOMONTH(H$4,0)),
IFERROR(_xlpm.recurring,0)+IFERROR(_xlpm.planned,0))</f>
        <v>800</v>
      </c>
      <c r="I55" s="90">
        <f ca="1">_xlfn.LET(
_xlpm.recurring,SUMIFS(INDEX(recurring_master!$A:$AB,,MATCH($B55,recurring_master!$A$1:$AB$1,0)),recurring_master!$A:$A,"&lt;="&amp;EOMONTH(I$4,0),recurring_master!$A:$A,"&gt;="&amp;I$4),
_xlpm.planned,SUMIFS(Planned!$F:$F,Planned!$B:$B,$B55,Planned!$E:$E,"&gt;="&amp;I$4,Planned!$E:$E,"&lt;="&amp;EOMONTH(I$4,0)),
IFERROR(_xlpm.recurring,0)+IFERROR(_xlpm.planned,0))</f>
        <v>1000</v>
      </c>
      <c r="J55" s="90">
        <f ca="1">_xlfn.LET(
_xlpm.recurring,SUMIFS(INDEX(recurring_master!$A:$AB,,MATCH($B55,recurring_master!$A$1:$AB$1,0)),recurring_master!$A:$A,"&lt;="&amp;EOMONTH(J$4,0),recurring_master!$A:$A,"&gt;="&amp;J$4),
_xlpm.planned,SUMIFS(Planned!$F:$F,Planned!$B:$B,$B55,Planned!$E:$E,"&gt;="&amp;J$4,Planned!$E:$E,"&lt;="&amp;EOMONTH(J$4,0)),
IFERROR(_xlpm.recurring,0)+IFERROR(_xlpm.planned,0))</f>
        <v>800</v>
      </c>
      <c r="K55" s="90">
        <f ca="1">_xlfn.LET(
_xlpm.recurring,SUMIFS(INDEX(recurring_master!$A:$AB,,MATCH($B55,recurring_master!$A$1:$AB$1,0)),recurring_master!$A:$A,"&lt;="&amp;EOMONTH(K$4,0),recurring_master!$A:$A,"&gt;="&amp;K$4),
_xlpm.planned,SUMIFS(Planned!$F:$F,Planned!$B:$B,$B55,Planned!$E:$E,"&gt;="&amp;K$4,Planned!$E:$E,"&lt;="&amp;EOMONTH(K$4,0)),
IFERROR(_xlpm.recurring,0)+IFERROR(_xlpm.planned,0))</f>
        <v>800</v>
      </c>
      <c r="L55" s="90">
        <f ca="1">_xlfn.LET(
_xlpm.recurring,SUMIFS(INDEX(recurring_master!$A:$AB,,MATCH($B55,recurring_master!$A$1:$AB$1,0)),recurring_master!$A:$A,"&lt;="&amp;EOMONTH(L$4,0),recurring_master!$A:$A,"&gt;="&amp;L$4),
_xlpm.planned,SUMIFS(Planned!$F:$F,Planned!$B:$B,$B55,Planned!$E:$E,"&gt;="&amp;L$4,Planned!$E:$E,"&lt;="&amp;EOMONTH(L$4,0)),
IFERROR(_xlpm.recurring,0)+IFERROR(_xlpm.planned,0))</f>
        <v>1000</v>
      </c>
      <c r="M55" s="90">
        <f ca="1">_xlfn.LET(
_xlpm.recurring,SUMIFS(INDEX(recurring_master!$A:$AB,,MATCH($B55,recurring_master!$A$1:$AB$1,0)),recurring_master!$A:$A,"&lt;="&amp;EOMONTH(M$4,0),recurring_master!$A:$A,"&gt;="&amp;M$4),
_xlpm.planned,SUMIFS(Planned!$F:$F,Planned!$B:$B,$B55,Planned!$E:$E,"&gt;="&amp;M$4,Planned!$E:$E,"&lt;="&amp;EOMONTH(M$4,0)),
IFERROR(_xlpm.recurring,0)+IFERROR(_xlpm.planned,0))</f>
        <v>800</v>
      </c>
      <c r="N55" s="90">
        <f ca="1">_xlfn.LET(
_xlpm.recurring,SUMIFS(INDEX(recurring_master!$A:$AB,,MATCH($B55,recurring_master!$A$1:$AB$1,0)),recurring_master!$A:$A,"&lt;="&amp;EOMONTH(N$4,0),recurring_master!$A:$A,"&gt;="&amp;N$4),
_xlpm.planned,SUMIFS(Planned!$F:$F,Planned!$B:$B,$B55,Planned!$E:$E,"&gt;="&amp;N$4,Planned!$E:$E,"&lt;="&amp;EOMONTH(N$4,0)),
IFERROR(_xlpm.recurring,0)+IFERROR(_xlpm.planned,0))</f>
        <v>800</v>
      </c>
      <c r="O55" s="81"/>
      <c r="P55" s="91">
        <f t="shared" ca="1" si="16"/>
        <v>10400</v>
      </c>
      <c r="Q55" s="38"/>
      <c r="R55" s="28"/>
    </row>
    <row r="56" spans="1:22" ht="12.75" customHeight="1" x14ac:dyDescent="0.2">
      <c r="B56" s="54" t="s">
        <v>45</v>
      </c>
      <c r="C56" s="90">
        <f ca="1">_xlfn.LET(
_xlpm.recurring,SUMIFS(INDEX(recurring_master!$A:$AB,,MATCH($B56,recurring_master!$A$1:$AB$1,0)),recurring_master!$A:$A,"&lt;="&amp;EOMONTH(C$4,0),recurring_master!$A:$A,"&gt;="&amp;C$4),
_xlpm.planned,SUMIFS(Planned!$F:$F,Planned!$B:$B,$B56,Planned!$E:$E,"&gt;="&amp;C$4,Planned!$E:$E,"&lt;="&amp;EOMONTH(C$4,0)),
IFERROR(_xlpm.recurring,0)+IFERROR(_xlpm.planned,0))</f>
        <v>0</v>
      </c>
      <c r="D56" s="90">
        <f ca="1">_xlfn.LET(
_xlpm.recurring,SUMIFS(INDEX(recurring_master!$A:$AB,,MATCH($B56,recurring_master!$A$1:$AB$1,0)),recurring_master!$A:$A,"&lt;="&amp;EOMONTH(D$4,0),recurring_master!$A:$A,"&gt;="&amp;D$4),
_xlpm.planned,SUMIFS(Planned!$F:$F,Planned!$B:$B,$B56,Planned!$E:$E,"&gt;="&amp;D$4,Planned!$E:$E,"&lt;="&amp;EOMONTH(D$4,0)),
IFERROR(_xlpm.recurring,0)+IFERROR(_xlpm.planned,0))</f>
        <v>2500</v>
      </c>
      <c r="E56" s="90">
        <f ca="1">_xlfn.LET(
_xlpm.recurring,SUMIFS(INDEX(recurring_master!$A:$AB,,MATCH($B56,recurring_master!$A$1:$AB$1,0)),recurring_master!$A:$A,"&lt;="&amp;EOMONTH(E$4,0),recurring_master!$A:$A,"&gt;="&amp;E$4),
_xlpm.planned,SUMIFS(Planned!$F:$F,Planned!$B:$B,$B56,Planned!$E:$E,"&gt;="&amp;E$4,Planned!$E:$E,"&lt;="&amp;EOMONTH(E$4,0)),
IFERROR(_xlpm.recurring,0)+IFERROR(_xlpm.planned,0))</f>
        <v>0</v>
      </c>
      <c r="F56" s="90">
        <f ca="1">_xlfn.LET(
_xlpm.recurring,SUMIFS(INDEX(recurring_master!$A:$AB,,MATCH($B56,recurring_master!$A$1:$AB$1,0)),recurring_master!$A:$A,"&lt;="&amp;EOMONTH(F$4,0),recurring_master!$A:$A,"&gt;="&amp;F$4),
_xlpm.planned,SUMIFS(Planned!$F:$F,Planned!$B:$B,$B56,Planned!$E:$E,"&gt;="&amp;F$4,Planned!$E:$E,"&lt;="&amp;EOMONTH(F$4,0)),
IFERROR(_xlpm.recurring,0)+IFERROR(_xlpm.planned,0))</f>
        <v>0</v>
      </c>
      <c r="G56" s="90">
        <f ca="1">_xlfn.LET(
_xlpm.recurring,SUMIFS(INDEX(recurring_master!$A:$AB,,MATCH($B56,recurring_master!$A$1:$AB$1,0)),recurring_master!$A:$A,"&lt;="&amp;EOMONTH(G$4,0),recurring_master!$A:$A,"&gt;="&amp;G$4),
_xlpm.planned,SUMIFS(Planned!$F:$F,Planned!$B:$B,$B56,Planned!$E:$E,"&gt;="&amp;G$4,Planned!$E:$E,"&lt;="&amp;EOMONTH(G$4,0)),
IFERROR(_xlpm.recurring,0)+IFERROR(_xlpm.planned,0))</f>
        <v>0</v>
      </c>
      <c r="H56" s="90">
        <f ca="1">_xlfn.LET(
_xlpm.recurring,SUMIFS(INDEX(recurring_master!$A:$AB,,MATCH($B56,recurring_master!$A$1:$AB$1,0)),recurring_master!$A:$A,"&lt;="&amp;EOMONTH(H$4,0),recurring_master!$A:$A,"&gt;="&amp;H$4),
_xlpm.planned,SUMIFS(Planned!$F:$F,Planned!$B:$B,$B56,Planned!$E:$E,"&gt;="&amp;H$4,Planned!$E:$E,"&lt;="&amp;EOMONTH(H$4,0)),
IFERROR(_xlpm.recurring,0)+IFERROR(_xlpm.planned,0))</f>
        <v>0</v>
      </c>
      <c r="I56" s="90">
        <f ca="1">_xlfn.LET(
_xlpm.recurring,SUMIFS(INDEX(recurring_master!$A:$AB,,MATCH($B56,recurring_master!$A$1:$AB$1,0)),recurring_master!$A:$A,"&lt;="&amp;EOMONTH(I$4,0),recurring_master!$A:$A,"&gt;="&amp;I$4),
_xlpm.planned,SUMIFS(Planned!$F:$F,Planned!$B:$B,$B56,Planned!$E:$E,"&gt;="&amp;I$4,Planned!$E:$E,"&lt;="&amp;EOMONTH(I$4,0)),
IFERROR(_xlpm.recurring,0)+IFERROR(_xlpm.planned,0))</f>
        <v>0</v>
      </c>
      <c r="J56" s="90">
        <f ca="1">_xlfn.LET(
_xlpm.recurring,SUMIFS(INDEX(recurring_master!$A:$AB,,MATCH($B56,recurring_master!$A$1:$AB$1,0)),recurring_master!$A:$A,"&lt;="&amp;EOMONTH(J$4,0),recurring_master!$A:$A,"&gt;="&amp;J$4),
_xlpm.planned,SUMIFS(Planned!$F:$F,Planned!$B:$B,$B56,Planned!$E:$E,"&gt;="&amp;J$4,Planned!$E:$E,"&lt;="&amp;EOMONTH(J$4,0)),
IFERROR(_xlpm.recurring,0)+IFERROR(_xlpm.planned,0))</f>
        <v>0</v>
      </c>
      <c r="K56" s="90">
        <f ca="1">_xlfn.LET(
_xlpm.recurring,SUMIFS(INDEX(recurring_master!$A:$AB,,MATCH($B56,recurring_master!$A$1:$AB$1,0)),recurring_master!$A:$A,"&lt;="&amp;EOMONTH(K$4,0),recurring_master!$A:$A,"&gt;="&amp;K$4),
_xlpm.planned,SUMIFS(Planned!$F:$F,Planned!$B:$B,$B56,Planned!$E:$E,"&gt;="&amp;K$4,Planned!$E:$E,"&lt;="&amp;EOMONTH(K$4,0)),
IFERROR(_xlpm.recurring,0)+IFERROR(_xlpm.planned,0))</f>
        <v>0</v>
      </c>
      <c r="L56" s="90">
        <f ca="1">_xlfn.LET(
_xlpm.recurring,SUMIFS(INDEX(recurring_master!$A:$AB,,MATCH($B56,recurring_master!$A$1:$AB$1,0)),recurring_master!$A:$A,"&lt;="&amp;EOMONTH(L$4,0),recurring_master!$A:$A,"&gt;="&amp;L$4),
_xlpm.planned,SUMIFS(Planned!$F:$F,Planned!$B:$B,$B56,Planned!$E:$E,"&gt;="&amp;L$4,Planned!$E:$E,"&lt;="&amp;EOMONTH(L$4,0)),
IFERROR(_xlpm.recurring,0)+IFERROR(_xlpm.planned,0))</f>
        <v>0</v>
      </c>
      <c r="M56" s="90">
        <f ca="1">_xlfn.LET(
_xlpm.recurring,SUMIFS(INDEX(recurring_master!$A:$AB,,MATCH($B56,recurring_master!$A$1:$AB$1,0)),recurring_master!$A:$A,"&lt;="&amp;EOMONTH(M$4,0),recurring_master!$A:$A,"&gt;="&amp;M$4),
_xlpm.planned,SUMIFS(Planned!$F:$F,Planned!$B:$B,$B56,Planned!$E:$E,"&gt;="&amp;M$4,Planned!$E:$E,"&lt;="&amp;EOMONTH(M$4,0)),
IFERROR(_xlpm.recurring,0)+IFERROR(_xlpm.planned,0))</f>
        <v>0</v>
      </c>
      <c r="N56" s="90">
        <f ca="1">_xlfn.LET(
_xlpm.recurring,SUMIFS(INDEX(recurring_master!$A:$AB,,MATCH($B56,recurring_master!$A$1:$AB$1,0)),recurring_master!$A:$A,"&lt;="&amp;EOMONTH(N$4,0),recurring_master!$A:$A,"&gt;="&amp;N$4),
_xlpm.planned,SUMIFS(Planned!$F:$F,Planned!$B:$B,$B56,Planned!$E:$E,"&gt;="&amp;N$4,Planned!$E:$E,"&lt;="&amp;EOMONTH(N$4,0)),
IFERROR(_xlpm.recurring,0)+IFERROR(_xlpm.planned,0))</f>
        <v>0</v>
      </c>
      <c r="O56" s="81"/>
      <c r="P56" s="91">
        <f t="shared" ca="1" si="16"/>
        <v>2500</v>
      </c>
      <c r="Q56" s="37"/>
      <c r="R56" s="28" t="s">
        <v>296</v>
      </c>
    </row>
    <row r="57" spans="1:22" ht="12.75" customHeight="1" x14ac:dyDescent="0.2">
      <c r="B57" s="54" t="s">
        <v>3</v>
      </c>
      <c r="C57" s="90">
        <f ca="1">_xlfn.LET(
_xlpm.recurring,SUMIFS(INDEX(recurring_master!$A:$AB,,MATCH($B57,recurring_master!$A$1:$AB$1,0)),recurring_master!$A:$A,"&lt;="&amp;EOMONTH(C$4,0),recurring_master!$A:$A,"&gt;="&amp;C$4),
_xlpm.planned,SUMIFS(Planned!$F:$F,Planned!$B:$B,$B57,Planned!$E:$E,"&gt;="&amp;C$4,Planned!$E:$E,"&lt;="&amp;EOMONTH(C$4,0)),
IFERROR(_xlpm.recurring,0)+IFERROR(_xlpm.planned,0))</f>
        <v>44.470000000000006</v>
      </c>
      <c r="D57" s="90">
        <f ca="1">_xlfn.LET(
_xlpm.recurring,SUMIFS(INDEX(recurring_master!$A:$AB,,MATCH($B57,recurring_master!$A$1:$AB$1,0)),recurring_master!$A:$A,"&lt;="&amp;EOMONTH(D$4,0),recurring_master!$A:$A,"&gt;="&amp;D$4),
_xlpm.planned,SUMIFS(Planned!$F:$F,Planned!$B:$B,$B57,Planned!$E:$E,"&gt;="&amp;D$4,Planned!$E:$E,"&lt;="&amp;EOMONTH(D$4,0)),
IFERROR(_xlpm.recurring,0)+IFERROR(_xlpm.planned,0))</f>
        <v>44.470000000000006</v>
      </c>
      <c r="E57" s="90">
        <f ca="1">_xlfn.LET(
_xlpm.recurring,SUMIFS(INDEX(recurring_master!$A:$AB,,MATCH($B57,recurring_master!$A$1:$AB$1,0)),recurring_master!$A:$A,"&lt;="&amp;EOMONTH(E$4,0),recurring_master!$A:$A,"&gt;="&amp;E$4),
_xlpm.planned,SUMIFS(Planned!$F:$F,Planned!$B:$B,$B57,Planned!$E:$E,"&gt;="&amp;E$4,Planned!$E:$E,"&lt;="&amp;EOMONTH(E$4,0)),
IFERROR(_xlpm.recurring,0)+IFERROR(_xlpm.planned,0))</f>
        <v>44.470000000000006</v>
      </c>
      <c r="F57" s="90">
        <f ca="1">_xlfn.LET(
_xlpm.recurring,SUMIFS(INDEX(recurring_master!$A:$AB,,MATCH($B57,recurring_master!$A$1:$AB$1,0)),recurring_master!$A:$A,"&lt;="&amp;EOMONTH(F$4,0),recurring_master!$A:$A,"&gt;="&amp;F$4),
_xlpm.planned,SUMIFS(Planned!$F:$F,Planned!$B:$B,$B57,Planned!$E:$E,"&gt;="&amp;F$4,Planned!$E:$E,"&lt;="&amp;EOMONTH(F$4,0)),
IFERROR(_xlpm.recurring,0)+IFERROR(_xlpm.planned,0))</f>
        <v>44.470000000000006</v>
      </c>
      <c r="G57" s="90">
        <f ca="1">_xlfn.LET(
_xlpm.recurring,SUMIFS(INDEX(recurring_master!$A:$AB,,MATCH($B57,recurring_master!$A$1:$AB$1,0)),recurring_master!$A:$A,"&lt;="&amp;EOMONTH(G$4,0),recurring_master!$A:$A,"&gt;="&amp;G$4),
_xlpm.planned,SUMIFS(Planned!$F:$F,Planned!$B:$B,$B57,Planned!$E:$E,"&gt;="&amp;G$4,Planned!$E:$E,"&lt;="&amp;EOMONTH(G$4,0)),
IFERROR(_xlpm.recurring,0)+IFERROR(_xlpm.planned,0))</f>
        <v>113.46999999999998</v>
      </c>
      <c r="H57" s="90">
        <f ca="1">_xlfn.LET(
_xlpm.recurring,SUMIFS(INDEX(recurring_master!$A:$AB,,MATCH($B57,recurring_master!$A$1:$AB$1,0)),recurring_master!$A:$A,"&lt;="&amp;EOMONTH(H$4,0),recurring_master!$A:$A,"&gt;="&amp;H$4),
_xlpm.planned,SUMIFS(Planned!$F:$F,Planned!$B:$B,$B57,Planned!$E:$E,"&gt;="&amp;H$4,Planned!$E:$E,"&lt;="&amp;EOMONTH(H$4,0)),
IFERROR(_xlpm.recurring,0)+IFERROR(_xlpm.planned,0))</f>
        <v>44.470000000000006</v>
      </c>
      <c r="I57" s="90">
        <f ca="1">_xlfn.LET(
_xlpm.recurring,SUMIFS(INDEX(recurring_master!$A:$AB,,MATCH($B57,recurring_master!$A$1:$AB$1,0)),recurring_master!$A:$A,"&lt;="&amp;EOMONTH(I$4,0),recurring_master!$A:$A,"&gt;="&amp;I$4),
_xlpm.planned,SUMIFS(Planned!$F:$F,Planned!$B:$B,$B57,Planned!$E:$E,"&gt;="&amp;I$4,Planned!$E:$E,"&lt;="&amp;EOMONTH(I$4,0)),
IFERROR(_xlpm.recurring,0)+IFERROR(_xlpm.planned,0))</f>
        <v>44.470000000000006</v>
      </c>
      <c r="J57" s="90">
        <f ca="1">_xlfn.LET(
_xlpm.recurring,SUMIFS(INDEX(recurring_master!$A:$AB,,MATCH($B57,recurring_master!$A$1:$AB$1,0)),recurring_master!$A:$A,"&lt;="&amp;EOMONTH(J$4,0),recurring_master!$A:$A,"&gt;="&amp;J$4),
_xlpm.planned,SUMIFS(Planned!$F:$F,Planned!$B:$B,$B57,Planned!$E:$E,"&gt;="&amp;J$4,Planned!$E:$E,"&lt;="&amp;EOMONTH(J$4,0)),
IFERROR(_xlpm.recurring,0)+IFERROR(_xlpm.planned,0))</f>
        <v>44.470000000000006</v>
      </c>
      <c r="K57" s="90">
        <f ca="1">_xlfn.LET(
_xlpm.recurring,SUMIFS(INDEX(recurring_master!$A:$AB,,MATCH($B57,recurring_master!$A$1:$AB$1,0)),recurring_master!$A:$A,"&lt;="&amp;EOMONTH(K$4,0),recurring_master!$A:$A,"&gt;="&amp;K$4),
_xlpm.planned,SUMIFS(Planned!$F:$F,Planned!$B:$B,$B57,Planned!$E:$E,"&gt;="&amp;K$4,Planned!$E:$E,"&lt;="&amp;EOMONTH(K$4,0)),
IFERROR(_xlpm.recurring,0)+IFERROR(_xlpm.planned,0))</f>
        <v>44.470000000000006</v>
      </c>
      <c r="L57" s="90">
        <f ca="1">_xlfn.LET(
_xlpm.recurring,SUMIFS(INDEX(recurring_master!$A:$AB,,MATCH($B57,recurring_master!$A$1:$AB$1,0)),recurring_master!$A:$A,"&lt;="&amp;EOMONTH(L$4,0),recurring_master!$A:$A,"&gt;="&amp;L$4),
_xlpm.planned,SUMIFS(Planned!$F:$F,Planned!$B:$B,$B57,Planned!$E:$E,"&gt;="&amp;L$4,Planned!$E:$E,"&lt;="&amp;EOMONTH(L$4,0)),
IFERROR(_xlpm.recurring,0)+IFERROR(_xlpm.planned,0))</f>
        <v>44.470000000000006</v>
      </c>
      <c r="M57" s="90">
        <f ca="1">_xlfn.LET(
_xlpm.recurring,SUMIFS(INDEX(recurring_master!$A:$AB,,MATCH($B57,recurring_master!$A$1:$AB$1,0)),recurring_master!$A:$A,"&lt;="&amp;EOMONTH(M$4,0),recurring_master!$A:$A,"&gt;="&amp;M$4),
_xlpm.planned,SUMIFS(Planned!$F:$F,Planned!$B:$B,$B57,Planned!$E:$E,"&gt;="&amp;M$4,Planned!$E:$E,"&lt;="&amp;EOMONTH(M$4,0)),
IFERROR(_xlpm.recurring,0)+IFERROR(_xlpm.planned,0))</f>
        <v>44.470000000000006</v>
      </c>
      <c r="N57" s="90">
        <f ca="1">_xlfn.LET(
_xlpm.recurring,SUMIFS(INDEX(recurring_master!$A:$AB,,MATCH($B57,recurring_master!$A$1:$AB$1,0)),recurring_master!$A:$A,"&lt;="&amp;EOMONTH(N$4,0),recurring_master!$A:$A,"&gt;="&amp;N$4),
_xlpm.planned,SUMIFS(Planned!$F:$F,Planned!$B:$B,$B57,Planned!$E:$E,"&gt;="&amp;N$4,Planned!$E:$E,"&lt;="&amp;EOMONTH(N$4,0)),
IFERROR(_xlpm.recurring,0)+IFERROR(_xlpm.planned,0))</f>
        <v>44.470000000000006</v>
      </c>
      <c r="O57" s="81"/>
      <c r="P57" s="91">
        <f t="shared" ca="1" si="16"/>
        <v>602.64000000000021</v>
      </c>
      <c r="Q57" s="38"/>
      <c r="R57" s="28"/>
    </row>
    <row r="58" spans="1:22" ht="12.75" customHeight="1" x14ac:dyDescent="0.2">
      <c r="B58" s="63" t="s">
        <v>16</v>
      </c>
      <c r="C58" s="90">
        <f ca="1">_xlfn.LET(
_xlpm.recurring,SUMIFS(INDEX(recurring_master!$A:$AB,,MATCH($B58,recurring_master!$A$1:$AB$1,0)),recurring_master!$A:$A,"&lt;="&amp;EOMONTH(C$4,0),recurring_master!$A:$A,"&gt;="&amp;C$4),
_xlpm.planned,SUMIFS(Planned!$F:$F,Planned!$B:$B,$B58,Planned!$E:$E,"&gt;="&amp;C$4,Planned!$E:$E,"&lt;="&amp;EOMONTH(C$4,0)),
IFERROR(_xlpm.recurring,0)+IFERROR(_xlpm.planned,0))</f>
        <v>0</v>
      </c>
      <c r="D58" s="90">
        <f ca="1">_xlfn.LET(
_xlpm.recurring,SUMIFS(INDEX(recurring_master!$A:$AB,,MATCH($B58,recurring_master!$A$1:$AB$1,0)),recurring_master!$A:$A,"&lt;="&amp;EOMONTH(D$4,0),recurring_master!$A:$A,"&gt;="&amp;D$4),
_xlpm.planned,SUMIFS(Planned!$F:$F,Planned!$B:$B,$B58,Planned!$E:$E,"&gt;="&amp;D$4,Planned!$E:$E,"&lt;="&amp;EOMONTH(D$4,0)),
IFERROR(_xlpm.recurring,0)+IFERROR(_xlpm.planned,0))</f>
        <v>0</v>
      </c>
      <c r="E58" s="90">
        <f ca="1">_xlfn.LET(
_xlpm.recurring,SUMIFS(INDEX(recurring_master!$A:$AB,,MATCH($B58,recurring_master!$A$1:$AB$1,0)),recurring_master!$A:$A,"&lt;="&amp;EOMONTH(E$4,0),recurring_master!$A:$A,"&gt;="&amp;E$4),
_xlpm.planned,SUMIFS(Planned!$F:$F,Planned!$B:$B,$B58,Planned!$E:$E,"&gt;="&amp;E$4,Planned!$E:$E,"&lt;="&amp;EOMONTH(E$4,0)),
IFERROR(_xlpm.recurring,0)+IFERROR(_xlpm.planned,0))</f>
        <v>0</v>
      </c>
      <c r="F58" s="90">
        <f ca="1">_xlfn.LET(
_xlpm.recurring,SUMIFS(INDEX(recurring_master!$A:$AB,,MATCH($B58,recurring_master!$A$1:$AB$1,0)),recurring_master!$A:$A,"&lt;="&amp;EOMONTH(F$4,0),recurring_master!$A:$A,"&gt;="&amp;F$4),
_xlpm.planned,SUMIFS(Planned!$F:$F,Planned!$B:$B,$B58,Planned!$E:$E,"&gt;="&amp;F$4,Planned!$E:$E,"&lt;="&amp;EOMONTH(F$4,0)),
IFERROR(_xlpm.recurring,0)+IFERROR(_xlpm.planned,0))</f>
        <v>1000</v>
      </c>
      <c r="G58" s="90">
        <f ca="1">_xlfn.LET(
_xlpm.recurring,SUMIFS(INDEX(recurring_master!$A:$AB,,MATCH($B58,recurring_master!$A$1:$AB$1,0)),recurring_master!$A:$A,"&lt;="&amp;EOMONTH(G$4,0),recurring_master!$A:$A,"&gt;="&amp;G$4),
_xlpm.planned,SUMIFS(Planned!$F:$F,Planned!$B:$B,$B58,Planned!$E:$E,"&gt;="&amp;G$4,Planned!$E:$E,"&lt;="&amp;EOMONTH(G$4,0)),
IFERROR(_xlpm.recurring,0)+IFERROR(_xlpm.planned,0))</f>
        <v>0</v>
      </c>
      <c r="H58" s="90">
        <f ca="1">_xlfn.LET(
_xlpm.recurring,SUMIFS(INDEX(recurring_master!$A:$AB,,MATCH($B58,recurring_master!$A$1:$AB$1,0)),recurring_master!$A:$A,"&lt;="&amp;EOMONTH(H$4,0),recurring_master!$A:$A,"&gt;="&amp;H$4),
_xlpm.planned,SUMIFS(Planned!$F:$F,Planned!$B:$B,$B58,Planned!$E:$E,"&gt;="&amp;H$4,Planned!$E:$E,"&lt;="&amp;EOMONTH(H$4,0)),
IFERROR(_xlpm.recurring,0)+IFERROR(_xlpm.planned,0))</f>
        <v>0</v>
      </c>
      <c r="I58" s="90">
        <f ca="1">_xlfn.LET(
_xlpm.recurring,SUMIFS(INDEX(recurring_master!$A:$AB,,MATCH($B58,recurring_master!$A$1:$AB$1,0)),recurring_master!$A:$A,"&lt;="&amp;EOMONTH(I$4,0),recurring_master!$A:$A,"&gt;="&amp;I$4),
_xlpm.planned,SUMIFS(Planned!$F:$F,Planned!$B:$B,$B58,Planned!$E:$E,"&gt;="&amp;I$4,Planned!$E:$E,"&lt;="&amp;EOMONTH(I$4,0)),
IFERROR(_xlpm.recurring,0)+IFERROR(_xlpm.planned,0))</f>
        <v>0</v>
      </c>
      <c r="J58" s="90">
        <f ca="1">_xlfn.LET(
_xlpm.recurring,SUMIFS(INDEX(recurring_master!$A:$AB,,MATCH($B58,recurring_master!$A$1:$AB$1,0)),recurring_master!$A:$A,"&lt;="&amp;EOMONTH(J$4,0),recurring_master!$A:$A,"&gt;="&amp;J$4),
_xlpm.planned,SUMIFS(Planned!$F:$F,Planned!$B:$B,$B58,Planned!$E:$E,"&gt;="&amp;J$4,Planned!$E:$E,"&lt;="&amp;EOMONTH(J$4,0)),
IFERROR(_xlpm.recurring,0)+IFERROR(_xlpm.planned,0))</f>
        <v>0</v>
      </c>
      <c r="K58" s="90">
        <f ca="1">_xlfn.LET(
_xlpm.recurring,SUMIFS(INDEX(recurring_master!$A:$AB,,MATCH($B58,recurring_master!$A$1:$AB$1,0)),recurring_master!$A:$A,"&lt;="&amp;EOMONTH(K$4,0),recurring_master!$A:$A,"&gt;="&amp;K$4),
_xlpm.planned,SUMIFS(Planned!$F:$F,Planned!$B:$B,$B58,Planned!$E:$E,"&gt;="&amp;K$4,Planned!$E:$E,"&lt;="&amp;EOMONTH(K$4,0)),
IFERROR(_xlpm.recurring,0)+IFERROR(_xlpm.planned,0))</f>
        <v>0</v>
      </c>
      <c r="L58" s="90">
        <f ca="1">_xlfn.LET(
_xlpm.recurring,SUMIFS(INDEX(recurring_master!$A:$AB,,MATCH($B58,recurring_master!$A$1:$AB$1,0)),recurring_master!$A:$A,"&lt;="&amp;EOMONTH(L$4,0),recurring_master!$A:$A,"&gt;="&amp;L$4),
_xlpm.planned,SUMIFS(Planned!$F:$F,Planned!$B:$B,$B58,Planned!$E:$E,"&gt;="&amp;L$4,Planned!$E:$E,"&lt;="&amp;EOMONTH(L$4,0)),
IFERROR(_xlpm.recurring,0)+IFERROR(_xlpm.planned,0))</f>
        <v>0</v>
      </c>
      <c r="M58" s="90">
        <f ca="1">_xlfn.LET(
_xlpm.recurring,SUMIFS(INDEX(recurring_master!$A:$AB,,MATCH($B58,recurring_master!$A$1:$AB$1,0)),recurring_master!$A:$A,"&lt;="&amp;EOMONTH(M$4,0),recurring_master!$A:$A,"&gt;="&amp;M$4),
_xlpm.planned,SUMIFS(Planned!$F:$F,Planned!$B:$B,$B58,Planned!$E:$E,"&gt;="&amp;M$4,Planned!$E:$E,"&lt;="&amp;EOMONTH(M$4,0)),
IFERROR(_xlpm.recurring,0)+IFERROR(_xlpm.planned,0))</f>
        <v>0</v>
      </c>
      <c r="N58" s="90">
        <f ca="1">_xlfn.LET(
_xlpm.recurring,SUMIFS(INDEX(recurring_master!$A:$AB,,MATCH($B58,recurring_master!$A$1:$AB$1,0)),recurring_master!$A:$A,"&lt;="&amp;EOMONTH(N$4,0),recurring_master!$A:$A,"&gt;="&amp;N$4),
_xlpm.planned,SUMIFS(Planned!$F:$F,Planned!$B:$B,$B58,Planned!$E:$E,"&gt;="&amp;N$4,Planned!$E:$E,"&lt;="&amp;EOMONTH(N$4,0)),
IFERROR(_xlpm.recurring,0)+IFERROR(_xlpm.planned,0))</f>
        <v>0</v>
      </c>
      <c r="O58" s="81"/>
      <c r="P58" s="91">
        <f ca="1">SUM(C58:N58)</f>
        <v>1000</v>
      </c>
      <c r="Q58" s="37"/>
      <c r="R58" s="28" t="s">
        <v>297</v>
      </c>
    </row>
    <row r="59" spans="1:22" ht="5.0999999999999996" customHeight="1" x14ac:dyDescent="0.2">
      <c r="A59" s="5"/>
      <c r="B59" s="54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91"/>
      <c r="Q59" s="37"/>
      <c r="R59" s="28"/>
      <c r="V59" s="5"/>
    </row>
    <row r="60" spans="1:22" ht="12.75" customHeight="1" x14ac:dyDescent="0.2">
      <c r="B60" s="64" t="str">
        <f>"Total "&amp;B53</f>
        <v>Total FLEXIBLE OUTFLOWS</v>
      </c>
      <c r="C60" s="98">
        <f t="shared" ref="C60:N60" ca="1" si="17">SUM(C53:C59)</f>
        <v>1244.47</v>
      </c>
      <c r="D60" s="98">
        <f t="shared" ca="1" si="17"/>
        <v>4044.47</v>
      </c>
      <c r="E60" s="98">
        <f t="shared" ca="1" si="17"/>
        <v>1244.47</v>
      </c>
      <c r="F60" s="98">
        <f t="shared" ca="1" si="17"/>
        <v>2444.4700000000003</v>
      </c>
      <c r="G60" s="98">
        <f t="shared" ca="1" si="17"/>
        <v>1413.47</v>
      </c>
      <c r="H60" s="98">
        <f t="shared" ca="1" si="17"/>
        <v>1244.47</v>
      </c>
      <c r="I60" s="98">
        <f t="shared" ca="1" si="17"/>
        <v>1544.47</v>
      </c>
      <c r="J60" s="98">
        <f t="shared" ca="1" si="17"/>
        <v>1244.47</v>
      </c>
      <c r="K60" s="98">
        <f t="shared" ca="1" si="17"/>
        <v>1244.47</v>
      </c>
      <c r="L60" s="98">
        <f t="shared" ca="1" si="17"/>
        <v>1544.47</v>
      </c>
      <c r="M60" s="98">
        <f t="shared" ca="1" si="17"/>
        <v>1244.47</v>
      </c>
      <c r="N60" s="99">
        <f t="shared" ca="1" si="17"/>
        <v>1244.47</v>
      </c>
      <c r="O60" s="98"/>
      <c r="P60" s="100">
        <f ca="1">SUM(P45:P53)</f>
        <v>30130</v>
      </c>
      <c r="Q60" s="37"/>
      <c r="R60" s="28"/>
    </row>
    <row r="61" spans="1:22" ht="5.0999999999999996" customHeight="1" x14ac:dyDescent="0.2">
      <c r="B61" s="52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37"/>
      <c r="R61" s="28"/>
    </row>
    <row r="62" spans="1:22" ht="12.75" customHeight="1" x14ac:dyDescent="0.2">
      <c r="B62" s="61" t="s">
        <v>17</v>
      </c>
      <c r="C62" s="142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3"/>
      <c r="Q62" s="37"/>
      <c r="R62" s="28"/>
    </row>
    <row r="63" spans="1:22" ht="12.75" customHeight="1" x14ac:dyDescent="0.2">
      <c r="B63" s="54" t="s">
        <v>109</v>
      </c>
      <c r="C63" s="90">
        <f ca="1">_xlfn.LET(
_xlpm.recurring,SUMIFS(INDEX(recurring_master!$A:$AB,,MATCH($B63,recurring_master!$A$1:$AB$1,0)),recurring_master!$A:$A,"&lt;="&amp;EOMONTH(C$4,0),recurring_master!$A:$A,"&gt;="&amp;C$4),
_xlpm.planned,SUMIFS(Planned!$F:$F,Planned!$B:$B,$B63,Planned!$E:$E,"&gt;="&amp;C$4,Planned!$E:$E,"&lt;="&amp;EOMONTH(C$4,0)),
IFERROR(_xlpm.recurring,0)+IFERROR(_xlpm.planned,0))</f>
        <v>100</v>
      </c>
      <c r="D63" s="90">
        <f ca="1">_xlfn.LET(
_xlpm.recurring,SUMIFS(INDEX(recurring_master!$A:$AB,,MATCH($B63,recurring_master!$A$1:$AB$1,0)),recurring_master!$A:$A,"&lt;="&amp;EOMONTH(D$4,0),recurring_master!$A:$A,"&gt;="&amp;D$4),
_xlpm.planned,SUMIFS(Planned!$F:$F,Planned!$B:$B,$B63,Planned!$E:$E,"&gt;="&amp;D$4,Planned!$E:$E,"&lt;="&amp;EOMONTH(D$4,0)),
IFERROR(_xlpm.recurring,0)+IFERROR(_xlpm.planned,0))</f>
        <v>100</v>
      </c>
      <c r="E63" s="90">
        <f ca="1">_xlfn.LET(
_xlpm.recurring,SUMIFS(INDEX(recurring_master!$A:$AB,,MATCH($B63,recurring_master!$A$1:$AB$1,0)),recurring_master!$A:$A,"&lt;="&amp;EOMONTH(E$4,0),recurring_master!$A:$A,"&gt;="&amp;E$4),
_xlpm.planned,SUMIFS(Planned!$F:$F,Planned!$B:$B,$B63,Planned!$E:$E,"&gt;="&amp;E$4,Planned!$E:$E,"&lt;="&amp;EOMONTH(E$4,0)),
IFERROR(_xlpm.recurring,0)+IFERROR(_xlpm.planned,0))</f>
        <v>100</v>
      </c>
      <c r="F63" s="90">
        <f ca="1">_xlfn.LET(
_xlpm.recurring,SUMIFS(INDEX(recurring_master!$A:$AB,,MATCH($B63,recurring_master!$A$1:$AB$1,0)),recurring_master!$A:$A,"&lt;="&amp;EOMONTH(F$4,0),recurring_master!$A:$A,"&gt;="&amp;F$4),
_xlpm.planned,SUMIFS(Planned!$F:$F,Planned!$B:$B,$B63,Planned!$E:$E,"&gt;="&amp;F$4,Planned!$E:$E,"&lt;="&amp;EOMONTH(F$4,0)),
IFERROR(_xlpm.recurring,0)+IFERROR(_xlpm.planned,0))</f>
        <v>150</v>
      </c>
      <c r="G63" s="90">
        <f ca="1">_xlfn.LET(
_xlpm.recurring,SUMIFS(INDEX(recurring_master!$A:$AB,,MATCH($B63,recurring_master!$A$1:$AB$1,0)),recurring_master!$A:$A,"&lt;="&amp;EOMONTH(G$4,0),recurring_master!$A:$A,"&gt;="&amp;G$4),
_xlpm.planned,SUMIFS(Planned!$F:$F,Planned!$B:$B,$B63,Planned!$E:$E,"&gt;="&amp;G$4,Planned!$E:$E,"&lt;="&amp;EOMONTH(G$4,0)),
IFERROR(_xlpm.recurring,0)+IFERROR(_xlpm.planned,0))</f>
        <v>100</v>
      </c>
      <c r="H63" s="90">
        <f ca="1">_xlfn.LET(
_xlpm.recurring,SUMIFS(INDEX(recurring_master!$A:$AB,,MATCH($B63,recurring_master!$A$1:$AB$1,0)),recurring_master!$A:$A,"&lt;="&amp;EOMONTH(H$4,0),recurring_master!$A:$A,"&gt;="&amp;H$4),
_xlpm.planned,SUMIFS(Planned!$F:$F,Planned!$B:$B,$B63,Planned!$E:$E,"&gt;="&amp;H$4,Planned!$E:$E,"&lt;="&amp;EOMONTH(H$4,0)),
IFERROR(_xlpm.recurring,0)+IFERROR(_xlpm.planned,0))</f>
        <v>100</v>
      </c>
      <c r="I63" s="90">
        <f ca="1">_xlfn.LET(
_xlpm.recurring,SUMIFS(INDEX(recurring_master!$A:$AB,,MATCH($B63,recurring_master!$A$1:$AB$1,0)),recurring_master!$A:$A,"&lt;="&amp;EOMONTH(I$4,0),recurring_master!$A:$A,"&gt;="&amp;I$4),
_xlpm.planned,SUMIFS(Planned!$F:$F,Planned!$B:$B,$B63,Planned!$E:$E,"&gt;="&amp;I$4,Planned!$E:$E,"&lt;="&amp;EOMONTH(I$4,0)),
IFERROR(_xlpm.recurring,0)+IFERROR(_xlpm.planned,0))</f>
        <v>100</v>
      </c>
      <c r="J63" s="90">
        <f ca="1">_xlfn.LET(
_xlpm.recurring,SUMIFS(INDEX(recurring_master!$A:$AB,,MATCH($B63,recurring_master!$A$1:$AB$1,0)),recurring_master!$A:$A,"&lt;="&amp;EOMONTH(J$4,0),recurring_master!$A:$A,"&gt;="&amp;J$4),
_xlpm.planned,SUMIFS(Planned!$F:$F,Planned!$B:$B,$B63,Planned!$E:$E,"&gt;="&amp;J$4,Planned!$E:$E,"&lt;="&amp;EOMONTH(J$4,0)),
IFERROR(_xlpm.recurring,0)+IFERROR(_xlpm.planned,0))</f>
        <v>100</v>
      </c>
      <c r="K63" s="90">
        <f ca="1">_xlfn.LET(
_xlpm.recurring,SUMIFS(INDEX(recurring_master!$A:$AB,,MATCH($B63,recurring_master!$A$1:$AB$1,0)),recurring_master!$A:$A,"&lt;="&amp;EOMONTH(K$4,0),recurring_master!$A:$A,"&gt;="&amp;K$4),
_xlpm.planned,SUMIFS(Planned!$F:$F,Planned!$B:$B,$B63,Planned!$E:$E,"&gt;="&amp;K$4,Planned!$E:$E,"&lt;="&amp;EOMONTH(K$4,0)),
IFERROR(_xlpm.recurring,0)+IFERROR(_xlpm.planned,0))</f>
        <v>150</v>
      </c>
      <c r="L63" s="90">
        <f ca="1">_xlfn.LET(
_xlpm.recurring,SUMIFS(INDEX(recurring_master!$A:$AB,,MATCH($B63,recurring_master!$A$1:$AB$1,0)),recurring_master!$A:$A,"&lt;="&amp;EOMONTH(L$4,0),recurring_master!$A:$A,"&gt;="&amp;L$4),
_xlpm.planned,SUMIFS(Planned!$F:$F,Planned!$B:$B,$B63,Planned!$E:$E,"&gt;="&amp;L$4,Planned!$E:$E,"&lt;="&amp;EOMONTH(L$4,0)),
IFERROR(_xlpm.recurring,0)+IFERROR(_xlpm.planned,0))</f>
        <v>100</v>
      </c>
      <c r="M63" s="90">
        <f ca="1">_xlfn.LET(
_xlpm.recurring,SUMIFS(INDEX(recurring_master!$A:$AB,,MATCH($B63,recurring_master!$A$1:$AB$1,0)),recurring_master!$A:$A,"&lt;="&amp;EOMONTH(M$4,0),recurring_master!$A:$A,"&gt;="&amp;M$4),
_xlpm.planned,SUMIFS(Planned!$F:$F,Planned!$B:$B,$B63,Planned!$E:$E,"&gt;="&amp;M$4,Planned!$E:$E,"&lt;="&amp;EOMONTH(M$4,0)),
IFERROR(_xlpm.recurring,0)+IFERROR(_xlpm.planned,0))</f>
        <v>100</v>
      </c>
      <c r="N63" s="90">
        <f ca="1">_xlfn.LET(
_xlpm.recurring,SUMIFS(INDEX(recurring_master!$A:$AB,,MATCH($B63,recurring_master!$A$1:$AB$1,0)),recurring_master!$A:$A,"&lt;="&amp;EOMONTH(N$4,0),recurring_master!$A:$A,"&gt;="&amp;N$4),
_xlpm.planned,SUMIFS(Planned!$F:$F,Planned!$B:$B,$B63,Planned!$E:$E,"&gt;="&amp;N$4,Planned!$E:$E,"&lt;="&amp;EOMONTH(N$4,0)),
IFERROR(_xlpm.recurring,0)+IFERROR(_xlpm.planned,0))</f>
        <v>100</v>
      </c>
      <c r="O63" s="81"/>
      <c r="P63" s="91">
        <f ca="1">SUM(C63:N63)</f>
        <v>1300</v>
      </c>
      <c r="Q63" s="38"/>
      <c r="R63" s="28"/>
    </row>
    <row r="64" spans="1:22" ht="12.75" customHeight="1" x14ac:dyDescent="0.2">
      <c r="B64" s="54" t="s">
        <v>110</v>
      </c>
      <c r="C64" s="90">
        <f ca="1">_xlfn.LET(
_xlpm.recurring,SUMIFS(INDEX(recurring_master!$A:$AB,,MATCH($B64,recurring_master!$A$1:$AB$1,0)),recurring_master!$A:$A,"&lt;="&amp;EOMONTH(C$4,0),recurring_master!$A:$A,"&gt;="&amp;C$4),
_xlpm.planned,SUMIFS(Planned!$F:$F,Planned!$B:$B,$B64,Planned!$E:$E,"&gt;="&amp;C$4,Planned!$E:$E,"&lt;="&amp;EOMONTH(C$4,0)),
IFERROR(_xlpm.recurring,0)+IFERROR(_xlpm.planned,0))</f>
        <v>400</v>
      </c>
      <c r="D64" s="90">
        <f ca="1">_xlfn.LET(
_xlpm.recurring,SUMIFS(INDEX(recurring_master!$A:$AB,,MATCH($B64,recurring_master!$A$1:$AB$1,0)),recurring_master!$A:$A,"&lt;="&amp;EOMONTH(D$4,0),recurring_master!$A:$A,"&gt;="&amp;D$4),
_xlpm.planned,SUMIFS(Planned!$F:$F,Planned!$B:$B,$B64,Planned!$E:$E,"&gt;="&amp;D$4,Planned!$E:$E,"&lt;="&amp;EOMONTH(D$4,0)),
IFERROR(_xlpm.recurring,0)+IFERROR(_xlpm.planned,0))</f>
        <v>400</v>
      </c>
      <c r="E64" s="90">
        <f ca="1">_xlfn.LET(
_xlpm.recurring,SUMIFS(INDEX(recurring_master!$A:$AB,,MATCH($B64,recurring_master!$A$1:$AB$1,0)),recurring_master!$A:$A,"&lt;="&amp;EOMONTH(E$4,0),recurring_master!$A:$A,"&gt;="&amp;E$4),
_xlpm.planned,SUMIFS(Planned!$F:$F,Planned!$B:$B,$B64,Planned!$E:$E,"&gt;="&amp;E$4,Planned!$E:$E,"&lt;="&amp;EOMONTH(E$4,0)),
IFERROR(_xlpm.recurring,0)+IFERROR(_xlpm.planned,0))</f>
        <v>400</v>
      </c>
      <c r="F64" s="90">
        <f ca="1">_xlfn.LET(
_xlpm.recurring,SUMIFS(INDEX(recurring_master!$A:$AB,,MATCH($B64,recurring_master!$A$1:$AB$1,0)),recurring_master!$A:$A,"&lt;="&amp;EOMONTH(F$4,0),recurring_master!$A:$A,"&gt;="&amp;F$4),
_xlpm.planned,SUMIFS(Planned!$F:$F,Planned!$B:$B,$B64,Planned!$E:$E,"&gt;="&amp;F$4,Planned!$E:$E,"&lt;="&amp;EOMONTH(F$4,0)),
IFERROR(_xlpm.recurring,0)+IFERROR(_xlpm.planned,0))</f>
        <v>600</v>
      </c>
      <c r="G64" s="90">
        <f ca="1">_xlfn.LET(
_xlpm.recurring,SUMIFS(INDEX(recurring_master!$A:$AB,,MATCH($B64,recurring_master!$A$1:$AB$1,0)),recurring_master!$A:$A,"&lt;="&amp;EOMONTH(G$4,0),recurring_master!$A:$A,"&gt;="&amp;G$4),
_xlpm.planned,SUMIFS(Planned!$F:$F,Planned!$B:$B,$B64,Planned!$E:$E,"&gt;="&amp;G$4,Planned!$E:$E,"&lt;="&amp;EOMONTH(G$4,0)),
IFERROR(_xlpm.recurring,0)+IFERROR(_xlpm.planned,0))</f>
        <v>400</v>
      </c>
      <c r="H64" s="90">
        <f ca="1">_xlfn.LET(
_xlpm.recurring,SUMIFS(INDEX(recurring_master!$A:$AB,,MATCH($B64,recurring_master!$A$1:$AB$1,0)),recurring_master!$A:$A,"&lt;="&amp;EOMONTH(H$4,0),recurring_master!$A:$A,"&gt;="&amp;H$4),
_xlpm.planned,SUMIFS(Planned!$F:$F,Planned!$B:$B,$B64,Planned!$E:$E,"&gt;="&amp;H$4,Planned!$E:$E,"&lt;="&amp;EOMONTH(H$4,0)),
IFERROR(_xlpm.recurring,0)+IFERROR(_xlpm.planned,0))</f>
        <v>400</v>
      </c>
      <c r="I64" s="90">
        <f ca="1">_xlfn.LET(
_xlpm.recurring,SUMIFS(INDEX(recurring_master!$A:$AB,,MATCH($B64,recurring_master!$A$1:$AB$1,0)),recurring_master!$A:$A,"&lt;="&amp;EOMONTH(I$4,0),recurring_master!$A:$A,"&gt;="&amp;I$4),
_xlpm.planned,SUMIFS(Planned!$F:$F,Planned!$B:$B,$B64,Planned!$E:$E,"&gt;="&amp;I$4,Planned!$E:$E,"&lt;="&amp;EOMONTH(I$4,0)),
IFERROR(_xlpm.recurring,0)+IFERROR(_xlpm.planned,0))</f>
        <v>400</v>
      </c>
      <c r="J64" s="90">
        <f ca="1">_xlfn.LET(
_xlpm.recurring,SUMIFS(INDEX(recurring_master!$A:$AB,,MATCH($B64,recurring_master!$A$1:$AB$1,0)),recurring_master!$A:$A,"&lt;="&amp;EOMONTH(J$4,0),recurring_master!$A:$A,"&gt;="&amp;J$4),
_xlpm.planned,SUMIFS(Planned!$F:$F,Planned!$B:$B,$B64,Planned!$E:$E,"&gt;="&amp;J$4,Planned!$E:$E,"&lt;="&amp;EOMONTH(J$4,0)),
IFERROR(_xlpm.recurring,0)+IFERROR(_xlpm.planned,0))</f>
        <v>400</v>
      </c>
      <c r="K64" s="90">
        <f ca="1">_xlfn.LET(
_xlpm.recurring,SUMIFS(INDEX(recurring_master!$A:$AB,,MATCH($B64,recurring_master!$A$1:$AB$1,0)),recurring_master!$A:$A,"&lt;="&amp;EOMONTH(K$4,0),recurring_master!$A:$A,"&gt;="&amp;K$4),
_xlpm.planned,SUMIFS(Planned!$F:$F,Planned!$B:$B,$B64,Planned!$E:$E,"&gt;="&amp;K$4,Planned!$E:$E,"&lt;="&amp;EOMONTH(K$4,0)),
IFERROR(_xlpm.recurring,0)+IFERROR(_xlpm.planned,0))</f>
        <v>600</v>
      </c>
      <c r="L64" s="90">
        <f ca="1">_xlfn.LET(
_xlpm.recurring,SUMIFS(INDEX(recurring_master!$A:$AB,,MATCH($B64,recurring_master!$A$1:$AB$1,0)),recurring_master!$A:$A,"&lt;="&amp;EOMONTH(L$4,0),recurring_master!$A:$A,"&gt;="&amp;L$4),
_xlpm.planned,SUMIFS(Planned!$F:$F,Planned!$B:$B,$B64,Planned!$E:$E,"&gt;="&amp;L$4,Planned!$E:$E,"&lt;="&amp;EOMONTH(L$4,0)),
IFERROR(_xlpm.recurring,0)+IFERROR(_xlpm.planned,0))</f>
        <v>400</v>
      </c>
      <c r="M64" s="90">
        <f ca="1">_xlfn.LET(
_xlpm.recurring,SUMIFS(INDEX(recurring_master!$A:$AB,,MATCH($B64,recurring_master!$A$1:$AB$1,0)),recurring_master!$A:$A,"&lt;="&amp;EOMONTH(M$4,0),recurring_master!$A:$A,"&gt;="&amp;M$4),
_xlpm.planned,SUMIFS(Planned!$F:$F,Planned!$B:$B,$B64,Planned!$E:$E,"&gt;="&amp;M$4,Planned!$E:$E,"&lt;="&amp;EOMONTH(M$4,0)),
IFERROR(_xlpm.recurring,0)+IFERROR(_xlpm.planned,0))</f>
        <v>400</v>
      </c>
      <c r="N64" s="90">
        <f ca="1">_xlfn.LET(
_xlpm.recurring,SUMIFS(INDEX(recurring_master!$A:$AB,,MATCH($B64,recurring_master!$A$1:$AB$1,0)),recurring_master!$A:$A,"&lt;="&amp;EOMONTH(N$4,0),recurring_master!$A:$A,"&gt;="&amp;N$4),
_xlpm.planned,SUMIFS(Planned!$F:$F,Planned!$B:$B,$B64,Planned!$E:$E,"&gt;="&amp;N$4,Planned!$E:$E,"&lt;="&amp;EOMONTH(N$4,0)),
IFERROR(_xlpm.recurring,0)+IFERROR(_xlpm.planned,0))</f>
        <v>400</v>
      </c>
      <c r="O64" s="81"/>
      <c r="P64" s="91">
        <f ca="1">SUM(C64:N64)</f>
        <v>5200</v>
      </c>
      <c r="Q64" s="38"/>
      <c r="R64" s="28"/>
    </row>
    <row r="66" spans="1:22" ht="12.75" customHeight="1" x14ac:dyDescent="0.2">
      <c r="B66" s="64" t="str">
        <f>"Total "&amp;B62</f>
        <v>Total INVESTMENTS</v>
      </c>
      <c r="C66" s="98">
        <f ca="1">SUM(C63:C65)</f>
        <v>500</v>
      </c>
      <c r="D66" s="98">
        <f t="shared" ref="D66:N66" ca="1" si="18">SUM(D63:D65)</f>
        <v>500</v>
      </c>
      <c r="E66" s="98">
        <f t="shared" ca="1" si="18"/>
        <v>500</v>
      </c>
      <c r="F66" s="98">
        <f t="shared" ca="1" si="18"/>
        <v>750</v>
      </c>
      <c r="G66" s="98">
        <f t="shared" ca="1" si="18"/>
        <v>500</v>
      </c>
      <c r="H66" s="98">
        <f t="shared" ca="1" si="18"/>
        <v>500</v>
      </c>
      <c r="I66" s="98">
        <f t="shared" ca="1" si="18"/>
        <v>500</v>
      </c>
      <c r="J66" s="98">
        <f t="shared" ca="1" si="18"/>
        <v>500</v>
      </c>
      <c r="K66" s="98">
        <f t="shared" ca="1" si="18"/>
        <v>750</v>
      </c>
      <c r="L66" s="98">
        <f t="shared" ca="1" si="18"/>
        <v>500</v>
      </c>
      <c r="M66" s="98">
        <f t="shared" ca="1" si="18"/>
        <v>500</v>
      </c>
      <c r="N66" s="99">
        <f t="shared" ca="1" si="18"/>
        <v>500</v>
      </c>
      <c r="O66" s="98"/>
      <c r="P66" s="100">
        <f t="shared" ref="P66" ca="1" si="19">SUM(P63:P64)</f>
        <v>6500</v>
      </c>
      <c r="Q66" s="37"/>
      <c r="R66" s="28"/>
    </row>
    <row r="67" spans="1:22" ht="5.0999999999999996" customHeight="1" x14ac:dyDescent="0.2">
      <c r="B67" s="52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37"/>
      <c r="R67" s="28"/>
    </row>
    <row r="68" spans="1:22" s="6" customFormat="1" ht="12.75" customHeight="1" x14ac:dyDescent="0.2">
      <c r="B68" s="61" t="s">
        <v>18</v>
      </c>
      <c r="C68" s="142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3"/>
      <c r="Q68" s="37"/>
      <c r="R68" s="28"/>
    </row>
    <row r="69" spans="1:22" ht="12.75" customHeight="1" x14ac:dyDescent="0.2">
      <c r="B69" s="54" t="s">
        <v>7</v>
      </c>
      <c r="C69" s="90">
        <f ca="1">_xlfn.LET(
_xlpm.recurring,SUMIFS(INDEX(recurring_master!$A:$AB,,MATCH($B69,recurring_master!$A$1:$AB$1,0)),recurring_master!$A:$A,"&lt;="&amp;EOMONTH(C$4,0),recurring_master!$A:$A,"&gt;="&amp;C$4),
_xlpm.planned,SUMIFS(Planned!$F:$F,Planned!$B:$B,$B69,Planned!$E:$E,"&gt;="&amp;C$4,Planned!$E:$E,"&lt;="&amp;EOMONTH(C$4,0)),
IFERROR(_xlpm.recurring,0)+IFERROR(_xlpm.planned,0))</f>
        <v>300</v>
      </c>
      <c r="D69" s="90">
        <f ca="1">_xlfn.LET(
_xlpm.recurring,SUMIFS(INDEX(recurring_master!$A:$AB,,MATCH($B69,recurring_master!$A$1:$AB$1,0)),recurring_master!$A:$A,"&lt;="&amp;EOMONTH(D$4,0),recurring_master!$A:$A,"&gt;="&amp;D$4),
_xlpm.planned,SUMIFS(Planned!$F:$F,Planned!$B:$B,$B69,Planned!$E:$E,"&gt;="&amp;D$4,Planned!$E:$E,"&lt;="&amp;EOMONTH(D$4,0)),
IFERROR(_xlpm.recurring,0)+IFERROR(_xlpm.planned,0))</f>
        <v>300</v>
      </c>
      <c r="E69" s="90">
        <f ca="1">_xlfn.LET(
_xlpm.recurring,SUMIFS(INDEX(recurring_master!$A:$AB,,MATCH($B69,recurring_master!$A$1:$AB$1,0)),recurring_master!$A:$A,"&lt;="&amp;EOMONTH(E$4,0),recurring_master!$A:$A,"&gt;="&amp;E$4),
_xlpm.planned,SUMIFS(Planned!$F:$F,Planned!$B:$B,$B69,Planned!$E:$E,"&gt;="&amp;E$4,Planned!$E:$E,"&lt;="&amp;EOMONTH(E$4,0)),
IFERROR(_xlpm.recurring,0)+IFERROR(_xlpm.planned,0))</f>
        <v>300</v>
      </c>
      <c r="F69" s="90">
        <f ca="1">_xlfn.LET(
_xlpm.recurring,SUMIFS(INDEX(recurring_master!$A:$AB,,MATCH($B69,recurring_master!$A$1:$AB$1,0)),recurring_master!$A:$A,"&lt;="&amp;EOMONTH(F$4,0),recurring_master!$A:$A,"&gt;="&amp;F$4),
_xlpm.planned,SUMIFS(Planned!$F:$F,Planned!$B:$B,$B69,Planned!$E:$E,"&gt;="&amp;F$4,Planned!$E:$E,"&lt;="&amp;EOMONTH(F$4,0)),
IFERROR(_xlpm.recurring,0)+IFERROR(_xlpm.planned,0))</f>
        <v>200</v>
      </c>
      <c r="G69" s="90">
        <f ca="1">_xlfn.LET(
_xlpm.recurring,SUMIFS(INDEX(recurring_master!$A:$AB,,MATCH($B69,recurring_master!$A$1:$AB$1,0)),recurring_master!$A:$A,"&lt;="&amp;EOMONTH(G$4,0),recurring_master!$A:$A,"&gt;="&amp;G$4),
_xlpm.planned,SUMIFS(Planned!$F:$F,Planned!$B:$B,$B69,Planned!$E:$E,"&gt;="&amp;G$4,Planned!$E:$E,"&lt;="&amp;EOMONTH(G$4,0)),
IFERROR(_xlpm.recurring,0)+IFERROR(_xlpm.planned,0))</f>
        <v>200</v>
      </c>
      <c r="H69" s="90">
        <f ca="1">_xlfn.LET(
_xlpm.recurring,SUMIFS(INDEX(recurring_master!$A:$AB,,MATCH($B69,recurring_master!$A$1:$AB$1,0)),recurring_master!$A:$A,"&lt;="&amp;EOMONTH(H$4,0),recurring_master!$A:$A,"&gt;="&amp;H$4),
_xlpm.planned,SUMIFS(Planned!$F:$F,Planned!$B:$B,$B69,Planned!$E:$E,"&gt;="&amp;H$4,Planned!$E:$E,"&lt;="&amp;EOMONTH(H$4,0)),
IFERROR(_xlpm.recurring,0)+IFERROR(_xlpm.planned,0))</f>
        <v>200</v>
      </c>
      <c r="I69" s="90">
        <f ca="1">_xlfn.LET(
_xlpm.recurring,SUMIFS(INDEX(recurring_master!$A:$AB,,MATCH($B69,recurring_master!$A$1:$AB$1,0)),recurring_master!$A:$A,"&lt;="&amp;EOMONTH(I$4,0),recurring_master!$A:$A,"&gt;="&amp;I$4),
_xlpm.planned,SUMIFS(Planned!$F:$F,Planned!$B:$B,$B69,Planned!$E:$E,"&gt;="&amp;I$4,Planned!$E:$E,"&lt;="&amp;EOMONTH(I$4,0)),
IFERROR(_xlpm.recurring,0)+IFERROR(_xlpm.planned,0))</f>
        <v>200</v>
      </c>
      <c r="J69" s="90">
        <f ca="1">_xlfn.LET(
_xlpm.recurring,SUMIFS(INDEX(recurring_master!$A:$AB,,MATCH($B69,recurring_master!$A$1:$AB$1,0)),recurring_master!$A:$A,"&lt;="&amp;EOMONTH(J$4,0),recurring_master!$A:$A,"&gt;="&amp;J$4),
_xlpm.planned,SUMIFS(Planned!$F:$F,Planned!$B:$B,$B69,Planned!$E:$E,"&gt;="&amp;J$4,Planned!$E:$E,"&lt;="&amp;EOMONTH(J$4,0)),
IFERROR(_xlpm.recurring,0)+IFERROR(_xlpm.planned,0))</f>
        <v>200</v>
      </c>
      <c r="K69" s="90">
        <f ca="1">_xlfn.LET(
_xlpm.recurring,SUMIFS(INDEX(recurring_master!$A:$AB,,MATCH($B69,recurring_master!$A$1:$AB$1,0)),recurring_master!$A:$A,"&lt;="&amp;EOMONTH(K$4,0),recurring_master!$A:$A,"&gt;="&amp;K$4),
_xlpm.planned,SUMIFS(Planned!$F:$F,Planned!$B:$B,$B69,Planned!$E:$E,"&gt;="&amp;K$4,Planned!$E:$E,"&lt;="&amp;EOMONTH(K$4,0)),
IFERROR(_xlpm.recurring,0)+IFERROR(_xlpm.planned,0))</f>
        <v>200</v>
      </c>
      <c r="L69" s="90">
        <f ca="1">_xlfn.LET(
_xlpm.recurring,SUMIFS(INDEX(recurring_master!$A:$AB,,MATCH($B69,recurring_master!$A$1:$AB$1,0)),recurring_master!$A:$A,"&lt;="&amp;EOMONTH(L$4,0),recurring_master!$A:$A,"&gt;="&amp;L$4),
_xlpm.planned,SUMIFS(Planned!$F:$F,Planned!$B:$B,$B69,Planned!$E:$E,"&gt;="&amp;L$4,Planned!$E:$E,"&lt;="&amp;EOMONTH(L$4,0)),
IFERROR(_xlpm.recurring,0)+IFERROR(_xlpm.planned,0))</f>
        <v>200</v>
      </c>
      <c r="M69" s="90">
        <f ca="1">_xlfn.LET(
_xlpm.recurring,SUMIFS(INDEX(recurring_master!$A:$AB,,MATCH($B69,recurring_master!$A$1:$AB$1,0)),recurring_master!$A:$A,"&lt;="&amp;EOMONTH(M$4,0),recurring_master!$A:$A,"&gt;="&amp;M$4),
_xlpm.planned,SUMIFS(Planned!$F:$F,Planned!$B:$B,$B69,Planned!$E:$E,"&gt;="&amp;M$4,Planned!$E:$E,"&lt;="&amp;EOMONTH(M$4,0)),
IFERROR(_xlpm.recurring,0)+IFERROR(_xlpm.planned,0))</f>
        <v>200</v>
      </c>
      <c r="N69" s="90">
        <f ca="1">_xlfn.LET(
_xlpm.recurring,SUMIFS(INDEX(recurring_master!$A:$AB,,MATCH($B69,recurring_master!$A$1:$AB$1,0)),recurring_master!$A:$A,"&lt;="&amp;EOMONTH(N$4,0),recurring_master!$A:$A,"&gt;="&amp;N$4),
_xlpm.planned,SUMIFS(Planned!$F:$F,Planned!$B:$B,$B69,Planned!$E:$E,"&gt;="&amp;N$4,Planned!$E:$E,"&lt;="&amp;EOMONTH(N$4,0)),
IFERROR(_xlpm.recurring,0)+IFERROR(_xlpm.planned,0))</f>
        <v>200</v>
      </c>
      <c r="O69" s="81"/>
      <c r="P69" s="91">
        <f ca="1">SUM(C69:N69)</f>
        <v>2700</v>
      </c>
      <c r="Q69" s="38"/>
      <c r="R69" s="28"/>
    </row>
    <row r="70" spans="1:22" ht="12.75" customHeight="1" x14ac:dyDescent="0.2">
      <c r="B70" s="54" t="s">
        <v>25</v>
      </c>
      <c r="C70" s="90">
        <f ca="1">_xlfn.LET(
_xlpm.recurring,SUMIFS(INDEX(recurring_master!$A:$AB,,MATCH($B70,recurring_master!$A$1:$AB$1,0)),recurring_master!$A:$A,"&lt;="&amp;EOMONTH(C$4,0),recurring_master!$A:$A,"&gt;="&amp;C$4),
_xlpm.planned,SUMIFS(Planned!$F:$F,Planned!$B:$B,$B70,Planned!$E:$E,"&gt;="&amp;C$4,Planned!$E:$E,"&lt;="&amp;EOMONTH(C$4,0)),
IFERROR(_xlpm.recurring,0)+IFERROR(_xlpm.planned,0))</f>
        <v>3100</v>
      </c>
      <c r="D70" s="90">
        <f ca="1">_xlfn.LET(
_xlpm.recurring,SUMIFS(INDEX(recurring_master!$A:$AB,,MATCH($B70,recurring_master!$A$1:$AB$1,0)),recurring_master!$A:$A,"&lt;="&amp;EOMONTH(D$4,0),recurring_master!$A:$A,"&gt;="&amp;D$4),
_xlpm.planned,SUMIFS(Planned!$F:$F,Planned!$B:$B,$B70,Planned!$E:$E,"&gt;="&amp;D$4,Planned!$E:$E,"&lt;="&amp;EOMONTH(D$4,0)),
IFERROR(_xlpm.recurring,0)+IFERROR(_xlpm.planned,0))</f>
        <v>1100</v>
      </c>
      <c r="E70" s="90">
        <f ca="1">_xlfn.LET(
_xlpm.recurring,SUMIFS(INDEX(recurring_master!$A:$AB,,MATCH($B70,recurring_master!$A$1:$AB$1,0)),recurring_master!$A:$A,"&lt;="&amp;EOMONTH(E$4,0),recurring_master!$A:$A,"&gt;="&amp;E$4),
_xlpm.planned,SUMIFS(Planned!$F:$F,Planned!$B:$B,$B70,Planned!$E:$E,"&gt;="&amp;E$4,Planned!$E:$E,"&lt;="&amp;EOMONTH(E$4,0)),
IFERROR(_xlpm.recurring,0)+IFERROR(_xlpm.planned,0))</f>
        <v>0</v>
      </c>
      <c r="F70" s="90">
        <f ca="1">_xlfn.LET(
_xlpm.recurring,SUMIFS(INDEX(recurring_master!$A:$AB,,MATCH($B70,recurring_master!$A$1:$AB$1,0)),recurring_master!$A:$A,"&lt;="&amp;EOMONTH(F$4,0),recurring_master!$A:$A,"&gt;="&amp;F$4),
_xlpm.planned,SUMIFS(Planned!$F:$F,Planned!$B:$B,$B70,Planned!$E:$E,"&gt;="&amp;F$4,Planned!$E:$E,"&lt;="&amp;EOMONTH(F$4,0)),
IFERROR(_xlpm.recurring,0)+IFERROR(_xlpm.planned,0))</f>
        <v>0</v>
      </c>
      <c r="G70" s="90">
        <f ca="1">_xlfn.LET(
_xlpm.recurring,SUMIFS(INDEX(recurring_master!$A:$AB,,MATCH($B70,recurring_master!$A$1:$AB$1,0)),recurring_master!$A:$A,"&lt;="&amp;EOMONTH(G$4,0),recurring_master!$A:$A,"&gt;="&amp;G$4),
_xlpm.planned,SUMIFS(Planned!$F:$F,Planned!$B:$B,$B70,Planned!$E:$E,"&gt;="&amp;G$4,Planned!$E:$E,"&lt;="&amp;EOMONTH(G$4,0)),
IFERROR(_xlpm.recurring,0)+IFERROR(_xlpm.planned,0))</f>
        <v>0</v>
      </c>
      <c r="H70" s="90">
        <f ca="1">_xlfn.LET(
_xlpm.recurring,SUMIFS(INDEX(recurring_master!$A:$AB,,MATCH($B70,recurring_master!$A$1:$AB$1,0)),recurring_master!$A:$A,"&lt;="&amp;EOMONTH(H$4,0),recurring_master!$A:$A,"&gt;="&amp;H$4),
_xlpm.planned,SUMIFS(Planned!$F:$F,Planned!$B:$B,$B70,Planned!$E:$E,"&gt;="&amp;H$4,Planned!$E:$E,"&lt;="&amp;EOMONTH(H$4,0)),
IFERROR(_xlpm.recurring,0)+IFERROR(_xlpm.planned,0))</f>
        <v>0</v>
      </c>
      <c r="I70" s="90">
        <f ca="1">_xlfn.LET(
_xlpm.recurring,SUMIFS(INDEX(recurring_master!$A:$AB,,MATCH($B70,recurring_master!$A$1:$AB$1,0)),recurring_master!$A:$A,"&lt;="&amp;EOMONTH(I$4,0),recurring_master!$A:$A,"&gt;="&amp;I$4),
_xlpm.planned,SUMIFS(Planned!$F:$F,Planned!$B:$B,$B70,Planned!$E:$E,"&gt;="&amp;I$4,Planned!$E:$E,"&lt;="&amp;EOMONTH(I$4,0)),
IFERROR(_xlpm.recurring,0)+IFERROR(_xlpm.planned,0))</f>
        <v>0</v>
      </c>
      <c r="J70" s="90">
        <f ca="1">_xlfn.LET(
_xlpm.recurring,SUMIFS(INDEX(recurring_master!$A:$AB,,MATCH($B70,recurring_master!$A$1:$AB$1,0)),recurring_master!$A:$A,"&lt;="&amp;EOMONTH(J$4,0),recurring_master!$A:$A,"&gt;="&amp;J$4),
_xlpm.planned,SUMIFS(Planned!$F:$F,Planned!$B:$B,$B70,Planned!$E:$E,"&gt;="&amp;J$4,Planned!$E:$E,"&lt;="&amp;EOMONTH(J$4,0)),
IFERROR(_xlpm.recurring,0)+IFERROR(_xlpm.planned,0))</f>
        <v>0</v>
      </c>
      <c r="K70" s="90">
        <f ca="1">_xlfn.LET(
_xlpm.recurring,SUMIFS(INDEX(recurring_master!$A:$AB,,MATCH($B70,recurring_master!$A$1:$AB$1,0)),recurring_master!$A:$A,"&lt;="&amp;EOMONTH(K$4,0),recurring_master!$A:$A,"&gt;="&amp;K$4),
_xlpm.planned,SUMIFS(Planned!$F:$F,Planned!$B:$B,$B70,Planned!$E:$E,"&gt;="&amp;K$4,Planned!$E:$E,"&lt;="&amp;EOMONTH(K$4,0)),
IFERROR(_xlpm.recurring,0)+IFERROR(_xlpm.planned,0))</f>
        <v>0</v>
      </c>
      <c r="L70" s="90">
        <f ca="1">_xlfn.LET(
_xlpm.recurring,SUMIFS(INDEX(recurring_master!$A:$AB,,MATCH($B70,recurring_master!$A$1:$AB$1,0)),recurring_master!$A:$A,"&lt;="&amp;EOMONTH(L$4,0),recurring_master!$A:$A,"&gt;="&amp;L$4),
_xlpm.planned,SUMIFS(Planned!$F:$F,Planned!$B:$B,$B70,Planned!$E:$E,"&gt;="&amp;L$4,Planned!$E:$E,"&lt;="&amp;EOMONTH(L$4,0)),
IFERROR(_xlpm.recurring,0)+IFERROR(_xlpm.planned,0))</f>
        <v>0</v>
      </c>
      <c r="M70" s="90">
        <f ca="1">_xlfn.LET(
_xlpm.recurring,SUMIFS(INDEX(recurring_master!$A:$AB,,MATCH($B70,recurring_master!$A$1:$AB$1,0)),recurring_master!$A:$A,"&lt;="&amp;EOMONTH(M$4,0),recurring_master!$A:$A,"&gt;="&amp;M$4),
_xlpm.planned,SUMIFS(Planned!$F:$F,Planned!$B:$B,$B70,Planned!$E:$E,"&gt;="&amp;M$4,Planned!$E:$E,"&lt;="&amp;EOMONTH(M$4,0)),
IFERROR(_xlpm.recurring,0)+IFERROR(_xlpm.planned,0))</f>
        <v>0</v>
      </c>
      <c r="N70" s="90">
        <f ca="1">_xlfn.LET(
_xlpm.recurring,SUMIFS(INDEX(recurring_master!$A:$AB,,MATCH($B70,recurring_master!$A$1:$AB$1,0)),recurring_master!$A:$A,"&lt;="&amp;EOMONTH(N$4,0),recurring_master!$A:$A,"&gt;="&amp;N$4),
_xlpm.planned,SUMIFS(Planned!$F:$F,Planned!$B:$B,$B70,Planned!$E:$E,"&gt;="&amp;N$4,Planned!$E:$E,"&lt;="&amp;EOMONTH(N$4,0)),
IFERROR(_xlpm.recurring,0)+IFERROR(_xlpm.planned,0))</f>
        <v>0</v>
      </c>
      <c r="O70" s="81"/>
      <c r="P70" s="91">
        <f ca="1">SUM(C70:N70)</f>
        <v>4200</v>
      </c>
      <c r="Q70" s="38"/>
      <c r="R70" s="28" t="s">
        <v>298</v>
      </c>
    </row>
    <row r="71" spans="1:22" ht="5.0999999999999996" customHeight="1" x14ac:dyDescent="0.2">
      <c r="A71" s="5"/>
      <c r="B71" s="54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91"/>
      <c r="Q71" s="37"/>
      <c r="R71" s="28"/>
      <c r="V71" s="5"/>
    </row>
    <row r="72" spans="1:22" ht="12.75" customHeight="1" x14ac:dyDescent="0.2">
      <c r="B72" s="64" t="str">
        <f>"Total "&amp;B68</f>
        <v>Total DEBT PAYMENTS</v>
      </c>
      <c r="C72" s="98">
        <f ca="1">SUM(C69:C71)</f>
        <v>3400</v>
      </c>
      <c r="D72" s="98">
        <f t="shared" ref="D72:N72" ca="1" si="20">SUM(D69:D71)</f>
        <v>1400</v>
      </c>
      <c r="E72" s="98">
        <f t="shared" ca="1" si="20"/>
        <v>300</v>
      </c>
      <c r="F72" s="98">
        <f t="shared" ca="1" si="20"/>
        <v>200</v>
      </c>
      <c r="G72" s="98">
        <f t="shared" ca="1" si="20"/>
        <v>200</v>
      </c>
      <c r="H72" s="98">
        <f t="shared" ca="1" si="20"/>
        <v>200</v>
      </c>
      <c r="I72" s="98">
        <f t="shared" ca="1" si="20"/>
        <v>200</v>
      </c>
      <c r="J72" s="98">
        <f t="shared" ca="1" si="20"/>
        <v>200</v>
      </c>
      <c r="K72" s="98">
        <f t="shared" ca="1" si="20"/>
        <v>200</v>
      </c>
      <c r="L72" s="98">
        <f t="shared" ca="1" si="20"/>
        <v>200</v>
      </c>
      <c r="M72" s="98">
        <f t="shared" ca="1" si="20"/>
        <v>200</v>
      </c>
      <c r="N72" s="99">
        <f t="shared" ca="1" si="20"/>
        <v>200</v>
      </c>
      <c r="O72" s="98"/>
      <c r="P72" s="100">
        <f ca="1">SUM(P69:P70)</f>
        <v>6900</v>
      </c>
      <c r="Q72" s="37"/>
      <c r="R72" s="28"/>
    </row>
    <row r="73" spans="1:22" ht="5.0999999999999996" customHeight="1" x14ac:dyDescent="0.2">
      <c r="B73" s="55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37"/>
      <c r="R73" s="28"/>
    </row>
    <row r="74" spans="1:22" ht="12.75" customHeight="1" x14ac:dyDescent="0.2">
      <c r="B74" s="65" t="s">
        <v>46</v>
      </c>
      <c r="C74" s="102">
        <f t="shared" ref="C74:N74" ca="1" si="21">SUM(C72,C66,C60,C51)</f>
        <v>7684.47</v>
      </c>
      <c r="D74" s="102">
        <f t="shared" ca="1" si="21"/>
        <v>8384.4699999999993</v>
      </c>
      <c r="E74" s="102">
        <f t="shared" ca="1" si="21"/>
        <v>4434.47</v>
      </c>
      <c r="F74" s="102">
        <f t="shared" ca="1" si="21"/>
        <v>5734.47</v>
      </c>
      <c r="G74" s="102">
        <f t="shared" ca="1" si="21"/>
        <v>5103.47</v>
      </c>
      <c r="H74" s="102">
        <f t="shared" ca="1" si="21"/>
        <v>4284.47</v>
      </c>
      <c r="I74" s="102">
        <f t="shared" ca="1" si="21"/>
        <v>4634.47</v>
      </c>
      <c r="J74" s="102">
        <f t="shared" ca="1" si="21"/>
        <v>4384.47</v>
      </c>
      <c r="K74" s="102">
        <f t="shared" ca="1" si="21"/>
        <v>4534.47</v>
      </c>
      <c r="L74" s="102">
        <f t="shared" ca="1" si="21"/>
        <v>4684.47</v>
      </c>
      <c r="M74" s="102">
        <f t="shared" ca="1" si="21"/>
        <v>4834.47</v>
      </c>
      <c r="N74" s="102">
        <f t="shared" ca="1" si="21"/>
        <v>4334.47</v>
      </c>
      <c r="O74" s="101"/>
      <c r="P74" s="103">
        <f ca="1">SUM(P72,P66,P60,P51)</f>
        <v>43730</v>
      </c>
      <c r="Q74" s="37"/>
      <c r="R74" s="28"/>
    </row>
    <row r="75" spans="1:22" x14ac:dyDescent="0.2">
      <c r="A75" s="5"/>
      <c r="B75" s="55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37"/>
      <c r="R75" s="28"/>
      <c r="V75" s="5"/>
    </row>
    <row r="76" spans="1:22" ht="12.75" customHeight="1" x14ac:dyDescent="0.2">
      <c r="B76" s="53" t="s">
        <v>106</v>
      </c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9"/>
      <c r="Q76" s="37"/>
      <c r="R76" s="28"/>
    </row>
    <row r="77" spans="1:22" ht="12.75" customHeight="1" x14ac:dyDescent="0.2">
      <c r="B77" s="54" t="s">
        <v>111</v>
      </c>
      <c r="C77" s="178">
        <f ca="1">_xlfn.LET(
_xlpm.recurring,SUMIFS(INDEX(recurring_master!$A:$AB,,MATCH($B77,recurring_master!$A$1:$AB$1,0)),recurring_master!$A:$A,"&lt;="&amp;EOMONTH(C$4,0),recurring_master!$A:$A,"&gt;="&amp;C$4),
_xlpm.planned,SUMIFS(Planned!$F:$F,Planned!$B:$B,$B77,Planned!$E:$E,"&gt;="&amp;C$4,Planned!$E:$E,"&lt;="&amp;EOMONTH(C$4,0)),
_xlpm.precedents,C$19*SUMIFS(Precedents!$E:$E,Precedents!$D:$D,$B$19,Precedents!$B:$B,$B77)+C$20*SUMIFS(Precedents!$E:$E,Precedents!$D:$D,$B$20,Precedents!$B:$B,$B77),
IFERROR(_xlpm.recurring,0)+IFERROR(_xlpm.planned,0)+IFERROR(_xlpm.precedents,0))</f>
        <v>324</v>
      </c>
      <c r="D77" s="178">
        <f ca="1">_xlfn.LET(
_xlpm.recurring,SUMIFS(INDEX(recurring_master!$A:$AB,,MATCH($B77,recurring_master!$A$1:$AB$1,0)),recurring_master!$A:$A,"&lt;="&amp;EOMONTH(D$4,0),recurring_master!$A:$A,"&gt;="&amp;D$4),
_xlpm.planned,SUMIFS(Planned!$F:$F,Planned!$B:$B,$B77,Planned!$E:$E,"&gt;="&amp;D$4,Planned!$E:$E,"&lt;="&amp;EOMONTH(D$4,0)),
_xlpm.precedents,D$19*SUMIFS(Precedents!$E:$E,Precedents!$D:$D,$B$19,Precedents!$B:$B,$B77)+D$20*SUMIFS(Precedents!$E:$E,Precedents!$D:$D,$B$20,Precedents!$B:$B,$B77),
IFERROR(_xlpm.recurring,0)+IFERROR(_xlpm.planned,0)+IFERROR(_xlpm.precedents,0))</f>
        <v>728</v>
      </c>
      <c r="E77" s="178">
        <f ca="1">_xlfn.LET(
_xlpm.recurring,SUMIFS(INDEX(recurring_master!$A:$AB,,MATCH($B77,recurring_master!$A$1:$AB$1,0)),recurring_master!$A:$A,"&lt;="&amp;EOMONTH(E$4,0),recurring_master!$A:$A,"&gt;="&amp;E$4),
_xlpm.planned,SUMIFS(Planned!$F:$F,Planned!$B:$B,$B77,Planned!$E:$E,"&gt;="&amp;E$4,Planned!$E:$E,"&lt;="&amp;EOMONTH(E$4,0)),
_xlpm.precedents,E$19*SUMIFS(Precedents!$E:$E,Precedents!$D:$D,$B$19,Precedents!$B:$B,$B77)+E$20*SUMIFS(Precedents!$E:$E,Precedents!$D:$D,$B$20,Precedents!$B:$B,$B77),
IFERROR(_xlpm.recurring,0)+IFERROR(_xlpm.planned,0)+IFERROR(_xlpm.precedents,0))</f>
        <v>328</v>
      </c>
      <c r="F77" s="178">
        <f ca="1">_xlfn.LET(
_xlpm.recurring,SUMIFS(INDEX(recurring_master!$A:$AB,,MATCH($B77,recurring_master!$A$1:$AB$1,0)),recurring_master!$A:$A,"&lt;="&amp;EOMONTH(F$4,0),recurring_master!$A:$A,"&gt;="&amp;F$4),
_xlpm.planned,SUMIFS(Planned!$F:$F,Planned!$B:$B,$B77,Planned!$E:$E,"&gt;="&amp;F$4,Planned!$E:$E,"&lt;="&amp;EOMONTH(F$4,0)),
_xlpm.precedents,F$19*SUMIFS(Precedents!$E:$E,Precedents!$D:$D,$B$19,Precedents!$B:$B,$B77)+F$20*SUMIFS(Precedents!$E:$E,Precedents!$D:$D,$B$20,Precedents!$B:$B,$B77),
IFERROR(_xlpm.recurring,0)+IFERROR(_xlpm.planned,0)+IFERROR(_xlpm.precedents,0))</f>
        <v>488</v>
      </c>
      <c r="G77" s="178">
        <f ca="1">_xlfn.LET(
_xlpm.recurring,SUMIFS(INDEX(recurring_master!$A:$AB,,MATCH($B77,recurring_master!$A$1:$AB$1,0)),recurring_master!$A:$A,"&lt;="&amp;EOMONTH(G$4,0),recurring_master!$A:$A,"&gt;="&amp;G$4),
_xlpm.planned,SUMIFS(Planned!$F:$F,Planned!$B:$B,$B77,Planned!$E:$E,"&gt;="&amp;G$4,Planned!$E:$E,"&lt;="&amp;EOMONTH(G$4,0)),
_xlpm.precedents,G$19*SUMIFS(Precedents!$E:$E,Precedents!$D:$D,$B$19,Precedents!$B:$B,$B77)+G$20*SUMIFS(Precedents!$E:$E,Precedents!$D:$D,$B$20,Precedents!$B:$B,$B77),
IFERROR(_xlpm.recurring,0)+IFERROR(_xlpm.planned,0)+IFERROR(_xlpm.precedents,0))</f>
        <v>328</v>
      </c>
      <c r="H77" s="178">
        <f ca="1">_xlfn.LET(
_xlpm.recurring,SUMIFS(INDEX(recurring_master!$A:$AB,,MATCH($B77,recurring_master!$A$1:$AB$1,0)),recurring_master!$A:$A,"&lt;="&amp;EOMONTH(H$4,0),recurring_master!$A:$A,"&gt;="&amp;H$4),
_xlpm.planned,SUMIFS(Planned!$F:$F,Planned!$B:$B,$B77,Planned!$E:$E,"&gt;="&amp;H$4,Planned!$E:$E,"&lt;="&amp;EOMONTH(H$4,0)),
_xlpm.precedents,H$19*SUMIFS(Precedents!$E:$E,Precedents!$D:$D,$B$19,Precedents!$B:$B,$B77)+H$20*SUMIFS(Precedents!$E:$E,Precedents!$D:$D,$B$20,Precedents!$B:$B,$B77),
IFERROR(_xlpm.recurring,0)+IFERROR(_xlpm.planned,0)+IFERROR(_xlpm.precedents,0))</f>
        <v>332</v>
      </c>
      <c r="I77" s="178">
        <f ca="1">_xlfn.LET(
_xlpm.recurring,SUMIFS(INDEX(recurring_master!$A:$AB,,MATCH($B77,recurring_master!$A$1:$AB$1,0)),recurring_master!$A:$A,"&lt;="&amp;EOMONTH(I$4,0),recurring_master!$A:$A,"&gt;="&amp;I$4),
_xlpm.planned,SUMIFS(Planned!$F:$F,Planned!$B:$B,$B77,Planned!$E:$E,"&gt;="&amp;I$4,Planned!$E:$E,"&lt;="&amp;EOMONTH(I$4,0)),
_xlpm.precedents,I$19*SUMIFS(Precedents!$E:$E,Precedents!$D:$D,$B$19,Precedents!$B:$B,$B77)+I$20*SUMIFS(Precedents!$E:$E,Precedents!$D:$D,$B$20,Precedents!$B:$B,$B77),
IFERROR(_xlpm.recurring,0)+IFERROR(_xlpm.planned,0)+IFERROR(_xlpm.precedents,0))</f>
        <v>328</v>
      </c>
      <c r="J77" s="178">
        <f ca="1">_xlfn.LET(
_xlpm.recurring,SUMIFS(INDEX(recurring_master!$A:$AB,,MATCH($B77,recurring_master!$A$1:$AB$1,0)),recurring_master!$A:$A,"&lt;="&amp;EOMONTH(J$4,0),recurring_master!$A:$A,"&gt;="&amp;J$4),
_xlpm.planned,SUMIFS(Planned!$F:$F,Planned!$B:$B,$B77,Planned!$E:$E,"&gt;="&amp;J$4,Planned!$E:$E,"&lt;="&amp;EOMONTH(J$4,0)),
_xlpm.precedents,J$19*SUMIFS(Precedents!$E:$E,Precedents!$D:$D,$B$19,Precedents!$B:$B,$B77)+J$20*SUMIFS(Precedents!$E:$E,Precedents!$D:$D,$B$20,Precedents!$B:$B,$B77),
IFERROR(_xlpm.recurring,0)+IFERROR(_xlpm.planned,0)+IFERROR(_xlpm.precedents,0))</f>
        <v>328</v>
      </c>
      <c r="K77" s="178">
        <f ca="1">_xlfn.LET(
_xlpm.recurring,SUMIFS(INDEX(recurring_master!$A:$AB,,MATCH($B77,recurring_master!$A$1:$AB$1,0)),recurring_master!$A:$A,"&lt;="&amp;EOMONTH(K$4,0),recurring_master!$A:$A,"&gt;="&amp;K$4),
_xlpm.planned,SUMIFS(Planned!$F:$F,Planned!$B:$B,$B77,Planned!$E:$E,"&gt;="&amp;K$4,Planned!$E:$E,"&lt;="&amp;EOMONTH(K$4,0)),
_xlpm.precedents,K$19*SUMIFS(Precedents!$E:$E,Precedents!$D:$D,$B$19,Precedents!$B:$B,$B77)+K$20*SUMIFS(Precedents!$E:$E,Precedents!$D:$D,$B$20,Precedents!$B:$B,$B77),
IFERROR(_xlpm.recurring,0)+IFERROR(_xlpm.planned,0)+IFERROR(_xlpm.precedents,0))</f>
        <v>488</v>
      </c>
      <c r="L77" s="178">
        <f ca="1">_xlfn.LET(
_xlpm.recurring,SUMIFS(INDEX(recurring_master!$A:$AB,,MATCH($B77,recurring_master!$A$1:$AB$1,0)),recurring_master!$A:$A,"&lt;="&amp;EOMONTH(L$4,0),recurring_master!$A:$A,"&gt;="&amp;L$4),
_xlpm.planned,SUMIFS(Planned!$F:$F,Planned!$B:$B,$B77,Planned!$E:$E,"&gt;="&amp;L$4,Planned!$E:$E,"&lt;="&amp;EOMONTH(L$4,0)),
_xlpm.precedents,L$19*SUMIFS(Precedents!$E:$E,Precedents!$D:$D,$B$19,Precedents!$B:$B,$B77)+L$20*SUMIFS(Precedents!$E:$E,Precedents!$D:$D,$B$20,Precedents!$B:$B,$B77),
IFERROR(_xlpm.recurring,0)+IFERROR(_xlpm.planned,0)+IFERROR(_xlpm.precedents,0))</f>
        <v>328</v>
      </c>
      <c r="M77" s="178">
        <f ca="1">_xlfn.LET(
_xlpm.recurring,SUMIFS(INDEX(recurring_master!$A:$AB,,MATCH($B77,recurring_master!$A$1:$AB$1,0)),recurring_master!$A:$A,"&lt;="&amp;EOMONTH(M$4,0),recurring_master!$A:$A,"&gt;="&amp;M$4),
_xlpm.planned,SUMIFS(Planned!$F:$F,Planned!$B:$B,$B77,Planned!$E:$E,"&gt;="&amp;M$4,Planned!$E:$E,"&lt;="&amp;EOMONTH(M$4,0)),
_xlpm.precedents,M$19*SUMIFS(Precedents!$E:$E,Precedents!$D:$D,$B$19,Precedents!$B:$B,$B77)+M$20*SUMIFS(Precedents!$E:$E,Precedents!$D:$D,$B$20,Precedents!$B:$B,$B77),
IFERROR(_xlpm.recurring,0)+IFERROR(_xlpm.planned,0)+IFERROR(_xlpm.precedents,0))</f>
        <v>332</v>
      </c>
      <c r="N77" s="178">
        <f ca="1">_xlfn.LET(
_xlpm.recurring,SUMIFS(INDEX(recurring_master!$A:$AB,,MATCH($B77,recurring_master!$A$1:$AB$1,0)),recurring_master!$A:$A,"&lt;="&amp;EOMONTH(N$4,0),recurring_master!$A:$A,"&gt;="&amp;N$4),
_xlpm.planned,SUMIFS(Planned!$F:$F,Planned!$B:$B,$B77,Planned!$E:$E,"&gt;="&amp;N$4,Planned!$E:$E,"&lt;="&amp;EOMONTH(N$4,0)),
_xlpm.precedents,N$19*SUMIFS(Precedents!$E:$E,Precedents!$D:$D,$B$19,Precedents!$B:$B,$B77)+N$20*SUMIFS(Precedents!$E:$E,Precedents!$D:$D,$B$20,Precedents!$B:$B,$B77),
IFERROR(_xlpm.recurring,0)+IFERROR(_xlpm.planned,0)+IFERROR(_xlpm.precedents,0))</f>
        <v>328</v>
      </c>
      <c r="O77" s="81"/>
      <c r="P77" s="91">
        <f ca="1">SUM(C77:N77)</f>
        <v>4660</v>
      </c>
      <c r="Q77" s="37"/>
      <c r="R77" s="28"/>
    </row>
    <row r="78" spans="1:22" ht="5.0999999999999996" customHeight="1" x14ac:dyDescent="0.2">
      <c r="B78" s="54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91"/>
      <c r="Q78" s="37"/>
      <c r="R78" s="28"/>
    </row>
    <row r="79" spans="1:22" ht="12.75" customHeight="1" x14ac:dyDescent="0.2">
      <c r="B79" s="58" t="str">
        <f>"Total "&amp;B76</f>
        <v>Total NON CASH</v>
      </c>
      <c r="C79" s="94">
        <f t="shared" ref="C79:N79" ca="1" si="22">SUM(C77:C78)</f>
        <v>324</v>
      </c>
      <c r="D79" s="94">
        <f t="shared" ca="1" si="22"/>
        <v>728</v>
      </c>
      <c r="E79" s="94">
        <f t="shared" ca="1" si="22"/>
        <v>328</v>
      </c>
      <c r="F79" s="94">
        <f t="shared" ca="1" si="22"/>
        <v>488</v>
      </c>
      <c r="G79" s="94">
        <f t="shared" ca="1" si="22"/>
        <v>328</v>
      </c>
      <c r="H79" s="94">
        <f t="shared" ca="1" si="22"/>
        <v>332</v>
      </c>
      <c r="I79" s="94">
        <f t="shared" ca="1" si="22"/>
        <v>328</v>
      </c>
      <c r="J79" s="94">
        <f t="shared" ca="1" si="22"/>
        <v>328</v>
      </c>
      <c r="K79" s="94">
        <f t="shared" ca="1" si="22"/>
        <v>488</v>
      </c>
      <c r="L79" s="94">
        <f t="shared" ca="1" si="22"/>
        <v>328</v>
      </c>
      <c r="M79" s="94">
        <f t="shared" ca="1" si="22"/>
        <v>332</v>
      </c>
      <c r="N79" s="104">
        <f t="shared" ca="1" si="22"/>
        <v>328</v>
      </c>
      <c r="O79" s="94"/>
      <c r="P79" s="95">
        <f ca="1">SUM(P77:P77)</f>
        <v>4660</v>
      </c>
      <c r="Q79" s="37"/>
      <c r="R79" s="28"/>
    </row>
    <row r="81" spans="1:22" ht="12.75" customHeight="1" x14ac:dyDescent="0.2">
      <c r="B81" s="66" t="s">
        <v>54</v>
      </c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34"/>
    </row>
    <row r="82" spans="1:22" ht="12.75" customHeight="1" x14ac:dyDescent="0.2">
      <c r="B82" s="54" t="s">
        <v>303</v>
      </c>
      <c r="C82" s="90">
        <f t="shared" ref="C82:N82" ca="1" si="23">C15</f>
        <v>36649.361070978739</v>
      </c>
      <c r="D82" s="90">
        <f t="shared" ca="1" si="23"/>
        <v>39173.400390955663</v>
      </c>
      <c r="E82" s="90">
        <f t="shared" ca="1" si="23"/>
        <v>39503.203820835377</v>
      </c>
      <c r="F82" s="90">
        <f t="shared" ca="1" si="23"/>
        <v>40854.701606753973</v>
      </c>
      <c r="G82" s="90">
        <f t="shared" ca="1" si="23"/>
        <v>41015.505036633687</v>
      </c>
      <c r="H82" s="90">
        <f t="shared" ca="1" si="23"/>
        <v>41555.750825414369</v>
      </c>
      <c r="I82" s="90">
        <f t="shared" ca="1" si="23"/>
        <v>41685.554255294082</v>
      </c>
      <c r="J82" s="90">
        <f t="shared" ca="1" si="23"/>
        <v>42065.357685173796</v>
      </c>
      <c r="K82" s="90">
        <f t="shared" ca="1" si="23"/>
        <v>44616.855471092393</v>
      </c>
      <c r="L82" s="90">
        <f t="shared" ca="1" si="23"/>
        <v>44696.658900972106</v>
      </c>
      <c r="M82" s="90">
        <f t="shared" ca="1" si="23"/>
        <v>44686.904689752788</v>
      </c>
      <c r="N82" s="131">
        <f t="shared" ca="1" si="23"/>
        <v>45116.708119632502</v>
      </c>
    </row>
    <row r="83" spans="1:22" ht="12.75" customHeight="1" x14ac:dyDescent="0.2">
      <c r="B83" s="54" t="s">
        <v>304</v>
      </c>
      <c r="C83" s="90">
        <f>'Balances &amp; Actions'!C7</f>
        <v>7720</v>
      </c>
      <c r="D83" s="90">
        <f>C83</f>
        <v>7720</v>
      </c>
      <c r="E83" s="90">
        <f t="shared" ref="E83:N83" si="24">D83</f>
        <v>7720</v>
      </c>
      <c r="F83" s="90">
        <f t="shared" si="24"/>
        <v>7720</v>
      </c>
      <c r="G83" s="90">
        <f t="shared" si="24"/>
        <v>7720</v>
      </c>
      <c r="H83" s="90">
        <f t="shared" si="24"/>
        <v>7720</v>
      </c>
      <c r="I83" s="90">
        <f t="shared" si="24"/>
        <v>7720</v>
      </c>
      <c r="J83" s="90">
        <f t="shared" si="24"/>
        <v>7720</v>
      </c>
      <c r="K83" s="90">
        <f t="shared" si="24"/>
        <v>7720</v>
      </c>
      <c r="L83" s="90">
        <f t="shared" si="24"/>
        <v>7720</v>
      </c>
      <c r="M83" s="90">
        <f t="shared" si="24"/>
        <v>7720</v>
      </c>
      <c r="N83" s="131">
        <f t="shared" si="24"/>
        <v>7720</v>
      </c>
    </row>
    <row r="84" spans="1:22" ht="5.0999999999999996" customHeight="1" x14ac:dyDescent="0.2">
      <c r="A84" s="5"/>
      <c r="B84" s="54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91"/>
      <c r="Q84" s="5"/>
      <c r="R84" s="5"/>
      <c r="V84" s="5"/>
    </row>
    <row r="85" spans="1:22" ht="12.75" customHeight="1" x14ac:dyDescent="0.2">
      <c r="B85" s="54" t="s">
        <v>302</v>
      </c>
      <c r="C85" s="90">
        <f ca="1">'Balances &amp; Actions'!C9+C63-C37</f>
        <v>2100</v>
      </c>
      <c r="D85" s="90">
        <f ca="1">C85+D63-D37</f>
        <v>2200</v>
      </c>
      <c r="E85" s="90">
        <f t="shared" ref="E85:N85" ca="1" si="25">D85+E63-E37</f>
        <v>2300</v>
      </c>
      <c r="F85" s="90">
        <f t="shared" ca="1" si="25"/>
        <v>2450</v>
      </c>
      <c r="G85" s="90">
        <f t="shared" ca="1" si="25"/>
        <v>2050</v>
      </c>
      <c r="H85" s="90">
        <f t="shared" ca="1" si="25"/>
        <v>2150</v>
      </c>
      <c r="I85" s="90">
        <f t="shared" ca="1" si="25"/>
        <v>2250</v>
      </c>
      <c r="J85" s="90">
        <f t="shared" ca="1" si="25"/>
        <v>2350</v>
      </c>
      <c r="K85" s="90">
        <f t="shared" ca="1" si="25"/>
        <v>2500</v>
      </c>
      <c r="L85" s="90">
        <f t="shared" ca="1" si="25"/>
        <v>2600</v>
      </c>
      <c r="M85" s="90">
        <f t="shared" ca="1" si="25"/>
        <v>2700</v>
      </c>
      <c r="N85" s="131">
        <f t="shared" ca="1" si="25"/>
        <v>2800</v>
      </c>
    </row>
    <row r="86" spans="1:22" ht="12.75" customHeight="1" x14ac:dyDescent="0.2">
      <c r="B86" s="54" t="s">
        <v>301</v>
      </c>
      <c r="C86" s="90">
        <f ca="1">'Balances &amp; Actions'!C10+SUM(C64,C27,C77)</f>
        <v>131534</v>
      </c>
      <c r="D86" s="90">
        <f ca="1">C86+SUM(D64,D27,D77)</f>
        <v>134482</v>
      </c>
      <c r="E86" s="90">
        <f t="shared" ref="E86:N86" ca="1" si="26">D86+SUM(E64,E27,E77)</f>
        <v>136030</v>
      </c>
      <c r="F86" s="90">
        <f t="shared" ca="1" si="26"/>
        <v>138338</v>
      </c>
      <c r="G86" s="90">
        <f t="shared" ca="1" si="26"/>
        <v>139886</v>
      </c>
      <c r="H86" s="90">
        <f t="shared" ca="1" si="26"/>
        <v>141448</v>
      </c>
      <c r="I86" s="90">
        <f t="shared" ca="1" si="26"/>
        <v>142996</v>
      </c>
      <c r="J86" s="90">
        <f t="shared" ca="1" si="26"/>
        <v>144544</v>
      </c>
      <c r="K86" s="90">
        <f t="shared" ca="1" si="26"/>
        <v>146852</v>
      </c>
      <c r="L86" s="90">
        <f t="shared" ca="1" si="26"/>
        <v>148400</v>
      </c>
      <c r="M86" s="90">
        <f t="shared" ca="1" si="26"/>
        <v>149962</v>
      </c>
      <c r="N86" s="131">
        <f t="shared" ca="1" si="26"/>
        <v>151510</v>
      </c>
    </row>
    <row r="87" spans="1:22" ht="5.0999999999999996" customHeight="1" x14ac:dyDescent="0.2">
      <c r="A87" s="5"/>
      <c r="B87" s="54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91"/>
      <c r="Q87" s="5"/>
      <c r="R87" s="5"/>
      <c r="V87" s="5"/>
    </row>
    <row r="88" spans="1:22" ht="12.75" customHeight="1" x14ac:dyDescent="0.2">
      <c r="B88" s="54" t="s">
        <v>301</v>
      </c>
      <c r="C88" s="90">
        <f>'Balances &amp; Actions'!C12</f>
        <v>350000</v>
      </c>
      <c r="D88" s="90">
        <f>C88</f>
        <v>350000</v>
      </c>
      <c r="E88" s="90">
        <f t="shared" ref="E88:N88" si="27">D88</f>
        <v>350000</v>
      </c>
      <c r="F88" s="90">
        <f t="shared" si="27"/>
        <v>350000</v>
      </c>
      <c r="G88" s="90">
        <f t="shared" si="27"/>
        <v>350000</v>
      </c>
      <c r="H88" s="90">
        <f t="shared" si="27"/>
        <v>350000</v>
      </c>
      <c r="I88" s="90">
        <f t="shared" si="27"/>
        <v>350000</v>
      </c>
      <c r="J88" s="90">
        <f t="shared" si="27"/>
        <v>350000</v>
      </c>
      <c r="K88" s="90">
        <f t="shared" si="27"/>
        <v>350000</v>
      </c>
      <c r="L88" s="90">
        <f t="shared" si="27"/>
        <v>350000</v>
      </c>
      <c r="M88" s="90">
        <f t="shared" si="27"/>
        <v>350000</v>
      </c>
      <c r="N88" s="131">
        <f t="shared" si="27"/>
        <v>350000</v>
      </c>
    </row>
    <row r="89" spans="1:22" ht="5.0999999999999996" customHeight="1" x14ac:dyDescent="0.2">
      <c r="A89" s="5"/>
      <c r="B89" s="54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91"/>
      <c r="Q89" s="5"/>
      <c r="R89" s="5"/>
      <c r="V89" s="5"/>
    </row>
    <row r="90" spans="1:22" ht="12.75" customHeight="1" x14ac:dyDescent="0.2">
      <c r="B90" s="67" t="s">
        <v>123</v>
      </c>
      <c r="C90" s="106">
        <f t="shared" ref="C90:N90" ca="1" si="28">SUM(C82:C87)</f>
        <v>178003.36107097875</v>
      </c>
      <c r="D90" s="106">
        <f t="shared" ca="1" si="28"/>
        <v>183575.40039095568</v>
      </c>
      <c r="E90" s="106">
        <f t="shared" ca="1" si="28"/>
        <v>185553.20382083539</v>
      </c>
      <c r="F90" s="106">
        <f t="shared" ca="1" si="28"/>
        <v>189362.70160675398</v>
      </c>
      <c r="G90" s="106">
        <f t="shared" ca="1" si="28"/>
        <v>190671.50503663369</v>
      </c>
      <c r="H90" s="106">
        <f t="shared" ca="1" si="28"/>
        <v>192873.75082541438</v>
      </c>
      <c r="I90" s="106">
        <f t="shared" ca="1" si="28"/>
        <v>194651.55425529409</v>
      </c>
      <c r="J90" s="106">
        <f t="shared" ca="1" si="28"/>
        <v>196679.3576851738</v>
      </c>
      <c r="K90" s="106">
        <f t="shared" ca="1" si="28"/>
        <v>201688.85547109239</v>
      </c>
      <c r="L90" s="106">
        <f t="shared" ca="1" si="28"/>
        <v>203416.65890097211</v>
      </c>
      <c r="M90" s="106">
        <f t="shared" ca="1" si="28"/>
        <v>205068.90468975279</v>
      </c>
      <c r="N90" s="132">
        <f t="shared" ca="1" si="28"/>
        <v>207146.7081196325</v>
      </c>
    </row>
    <row r="91" spans="1:22" ht="5.0999999999999996" customHeight="1" x14ac:dyDescent="0.2">
      <c r="A91" s="5"/>
      <c r="B91" s="54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91"/>
      <c r="Q91" s="5"/>
      <c r="R91" s="5"/>
      <c r="V91" s="5"/>
    </row>
    <row r="92" spans="1:22" ht="12.75" customHeight="1" x14ac:dyDescent="0.2">
      <c r="B92" s="54" t="s">
        <v>300</v>
      </c>
      <c r="C92" s="90">
        <f ca="1">'Balances &amp; Actions'!C16-C69</f>
        <v>30000</v>
      </c>
      <c r="D92" s="90">
        <f t="shared" ref="D92:N92" ca="1" si="29">C92-D69</f>
        <v>29700</v>
      </c>
      <c r="E92" s="90">
        <f t="shared" ca="1" si="29"/>
        <v>29400</v>
      </c>
      <c r="F92" s="90">
        <f t="shared" ca="1" si="29"/>
        <v>29200</v>
      </c>
      <c r="G92" s="90">
        <f t="shared" ca="1" si="29"/>
        <v>29000</v>
      </c>
      <c r="H92" s="90">
        <f t="shared" ca="1" si="29"/>
        <v>28800</v>
      </c>
      <c r="I92" s="90">
        <f t="shared" ca="1" si="29"/>
        <v>28600</v>
      </c>
      <c r="J92" s="90">
        <f t="shared" ca="1" si="29"/>
        <v>28400</v>
      </c>
      <c r="K92" s="90">
        <f t="shared" ca="1" si="29"/>
        <v>28200</v>
      </c>
      <c r="L92" s="90">
        <f t="shared" ca="1" si="29"/>
        <v>28000</v>
      </c>
      <c r="M92" s="90">
        <f t="shared" ca="1" si="29"/>
        <v>27800</v>
      </c>
      <c r="N92" s="131">
        <f t="shared" ca="1" si="29"/>
        <v>27600</v>
      </c>
    </row>
    <row r="93" spans="1:22" ht="12.75" customHeight="1" x14ac:dyDescent="0.2">
      <c r="B93" s="54" t="s">
        <v>299</v>
      </c>
      <c r="C93" s="90">
        <f ca="1">'Balances &amp; Actions'!C17-C70</f>
        <v>1100</v>
      </c>
      <c r="D93" s="90">
        <f t="shared" ref="D93:N93" ca="1" si="30">C93-D70</f>
        <v>0</v>
      </c>
      <c r="E93" s="90">
        <f t="shared" ca="1" si="30"/>
        <v>0</v>
      </c>
      <c r="F93" s="90">
        <f t="shared" ca="1" si="30"/>
        <v>0</v>
      </c>
      <c r="G93" s="90">
        <f t="shared" ca="1" si="30"/>
        <v>0</v>
      </c>
      <c r="H93" s="90">
        <f t="shared" ca="1" si="30"/>
        <v>0</v>
      </c>
      <c r="I93" s="90">
        <f t="shared" ca="1" si="30"/>
        <v>0</v>
      </c>
      <c r="J93" s="90">
        <f t="shared" ca="1" si="30"/>
        <v>0</v>
      </c>
      <c r="K93" s="90">
        <f t="shared" ca="1" si="30"/>
        <v>0</v>
      </c>
      <c r="L93" s="90">
        <f t="shared" ca="1" si="30"/>
        <v>0</v>
      </c>
      <c r="M93" s="90">
        <f t="shared" ca="1" si="30"/>
        <v>0</v>
      </c>
      <c r="N93" s="131">
        <f t="shared" ca="1" si="30"/>
        <v>0</v>
      </c>
    </row>
    <row r="94" spans="1:22" ht="5.0999999999999996" customHeight="1" x14ac:dyDescent="0.2">
      <c r="A94" s="5"/>
      <c r="B94" s="54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91"/>
      <c r="Q94" s="5"/>
      <c r="R94" s="5"/>
      <c r="V94" s="5"/>
    </row>
    <row r="95" spans="1:22" ht="12.75" customHeight="1" x14ac:dyDescent="0.2">
      <c r="B95" s="67" t="s">
        <v>124</v>
      </c>
      <c r="C95" s="106">
        <f ca="1">SUM(C91:C94)</f>
        <v>31100</v>
      </c>
      <c r="D95" s="106">
        <f t="shared" ref="D95:N95" ca="1" si="31">SUM(D91:D94)</f>
        <v>29700</v>
      </c>
      <c r="E95" s="106">
        <f t="shared" ca="1" si="31"/>
        <v>29400</v>
      </c>
      <c r="F95" s="106">
        <f t="shared" ca="1" si="31"/>
        <v>29200</v>
      </c>
      <c r="G95" s="106">
        <f t="shared" ca="1" si="31"/>
        <v>29000</v>
      </c>
      <c r="H95" s="106">
        <f t="shared" ca="1" si="31"/>
        <v>28800</v>
      </c>
      <c r="I95" s="106">
        <f t="shared" ca="1" si="31"/>
        <v>28600</v>
      </c>
      <c r="J95" s="106">
        <f t="shared" ca="1" si="31"/>
        <v>28400</v>
      </c>
      <c r="K95" s="106">
        <f t="shared" ca="1" si="31"/>
        <v>28200</v>
      </c>
      <c r="L95" s="106">
        <f t="shared" ca="1" si="31"/>
        <v>28000</v>
      </c>
      <c r="M95" s="106">
        <f t="shared" ca="1" si="31"/>
        <v>27800</v>
      </c>
      <c r="N95" s="132">
        <f t="shared" ca="1" si="31"/>
        <v>27600</v>
      </c>
    </row>
    <row r="97" spans="1:22" ht="12.75" customHeight="1" x14ac:dyDescent="0.2">
      <c r="A97" s="28"/>
      <c r="B97" s="68" t="s">
        <v>52</v>
      </c>
      <c r="C97" s="107">
        <f ca="1">C90-C95</f>
        <v>146903.36107097875</v>
      </c>
      <c r="D97" s="107">
        <f t="shared" ref="D97:N97" ca="1" si="32">D90-D95</f>
        <v>153875.40039095568</v>
      </c>
      <c r="E97" s="107">
        <f t="shared" ca="1" si="32"/>
        <v>156153.20382083539</v>
      </c>
      <c r="F97" s="107">
        <f t="shared" ca="1" si="32"/>
        <v>160162.70160675398</v>
      </c>
      <c r="G97" s="107">
        <f t="shared" ca="1" si="32"/>
        <v>161671.50503663369</v>
      </c>
      <c r="H97" s="107">
        <f t="shared" ca="1" si="32"/>
        <v>164073.75082541438</v>
      </c>
      <c r="I97" s="107">
        <f t="shared" ca="1" si="32"/>
        <v>166051.55425529409</v>
      </c>
      <c r="J97" s="107">
        <f t="shared" ca="1" si="32"/>
        <v>168279.3576851738</v>
      </c>
      <c r="K97" s="107">
        <f t="shared" ca="1" si="32"/>
        <v>173488.85547109239</v>
      </c>
      <c r="L97" s="107">
        <f t="shared" ca="1" si="32"/>
        <v>175416.65890097211</v>
      </c>
      <c r="M97" s="107">
        <f t="shared" ca="1" si="32"/>
        <v>177268.90468975279</v>
      </c>
      <c r="N97" s="133">
        <f t="shared" ca="1" si="32"/>
        <v>179546.7081196325</v>
      </c>
      <c r="O97" s="81"/>
      <c r="P97" s="81"/>
      <c r="Q97" s="37"/>
    </row>
    <row r="98" spans="1:22" ht="5.0999999999999996" customHeight="1" x14ac:dyDescent="0.2">
      <c r="A98" s="32" t="s">
        <v>53</v>
      </c>
      <c r="B98" s="4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81"/>
      <c r="P98" s="81"/>
      <c r="Q98" s="32" t="s">
        <v>53</v>
      </c>
      <c r="R98" s="5"/>
      <c r="V98" s="5"/>
    </row>
    <row r="99" spans="1:22" x14ac:dyDescent="0.2">
      <c r="Q99" s="5"/>
      <c r="R99" s="5"/>
      <c r="V99" s="5"/>
    </row>
    <row r="100" spans="1:22" hidden="1" x14ac:dyDescent="0.2">
      <c r="B100" s="193" t="s">
        <v>212</v>
      </c>
      <c r="C100" s="194">
        <v>1</v>
      </c>
      <c r="D100" s="195">
        <f>C100+1</f>
        <v>2</v>
      </c>
      <c r="E100" s="195">
        <f t="shared" ref="E100:N100" si="33">D100+1</f>
        <v>3</v>
      </c>
      <c r="F100" s="195">
        <f t="shared" si="33"/>
        <v>4</v>
      </c>
      <c r="G100" s="195">
        <f t="shared" si="33"/>
        <v>5</v>
      </c>
      <c r="H100" s="195">
        <f t="shared" si="33"/>
        <v>6</v>
      </c>
      <c r="I100" s="195">
        <f t="shared" si="33"/>
        <v>7</v>
      </c>
      <c r="J100" s="195">
        <f t="shared" si="33"/>
        <v>8</v>
      </c>
      <c r="K100" s="195">
        <f t="shared" si="33"/>
        <v>9</v>
      </c>
      <c r="L100" s="195">
        <f t="shared" si="33"/>
        <v>10</v>
      </c>
      <c r="M100" s="195">
        <f t="shared" si="33"/>
        <v>11</v>
      </c>
      <c r="N100" s="195">
        <f t="shared" si="33"/>
        <v>12</v>
      </c>
      <c r="O100" s="195"/>
      <c r="P100" s="196"/>
      <c r="R100" s="5"/>
      <c r="V100" s="5"/>
    </row>
  </sheetData>
  <conditionalFormatting sqref="C14:O16 C12:O12">
    <cfRule type="cellIs" dxfId="1" priority="3" operator="lessThan">
      <formula>0</formula>
    </cfRule>
  </conditionalFormatting>
  <conditionalFormatting sqref="P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3" r:id="rId4" name="Button 9">
              <controlPr defaultSize="0" print="0" autoFill="0" autoPict="0" macro="[0]!ChangeNotes">
                <anchor mov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35B35-C8A2-48BA-AAB4-31AC32581EB8}">
  <sheetPr codeName="Sheet38">
    <tabColor theme="7"/>
  </sheetPr>
  <dimension ref="A1:E4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28" sqref="N28"/>
    </sheetView>
  </sheetViews>
  <sheetFormatPr defaultRowHeight="12.75" x14ac:dyDescent="0.2"/>
  <cols>
    <col min="1" max="1" width="1" style="20" customWidth="1"/>
    <col min="2" max="2" width="33.28515625" bestFit="1" customWidth="1"/>
    <col min="3" max="4" width="12" customWidth="1"/>
    <col min="5" max="5" width="1" style="20" customWidth="1"/>
  </cols>
  <sheetData>
    <row r="1" spans="1:5" s="5" customFormat="1" ht="5.0999999999999996" customHeight="1" x14ac:dyDescent="0.2">
      <c r="A1" s="32" t="s">
        <v>53</v>
      </c>
      <c r="B1" s="47"/>
      <c r="C1" s="8"/>
      <c r="D1" s="8"/>
      <c r="E1" s="32" t="s">
        <v>53</v>
      </c>
    </row>
    <row r="2" spans="1:5" x14ac:dyDescent="0.2">
      <c r="A2" s="28"/>
      <c r="B2" s="48" t="s">
        <v>115</v>
      </c>
      <c r="C2" s="3"/>
      <c r="D2" s="3"/>
      <c r="E2" s="28"/>
    </row>
    <row r="3" spans="1:5" ht="5.0999999999999996" customHeight="1" thickBot="1" x14ac:dyDescent="0.25">
      <c r="A3" s="32"/>
      <c r="B3" s="47"/>
      <c r="C3" s="8"/>
      <c r="D3" s="8"/>
      <c r="E3" s="32"/>
    </row>
    <row r="4" spans="1:5" ht="13.5" thickBot="1" x14ac:dyDescent="0.25">
      <c r="A4" s="29"/>
      <c r="B4" s="49"/>
      <c r="C4" s="126" t="s">
        <v>176</v>
      </c>
      <c r="D4" s="127" t="s">
        <v>177</v>
      </c>
      <c r="E4" s="29"/>
    </row>
    <row r="5" spans="1:5" ht="5.0999999999999996" customHeight="1" x14ac:dyDescent="0.2">
      <c r="A5" s="29"/>
      <c r="B5" s="47"/>
      <c r="C5" s="8"/>
      <c r="D5" s="8"/>
      <c r="E5" s="29"/>
    </row>
    <row r="6" spans="1:5" x14ac:dyDescent="0.2">
      <c r="A6" s="29"/>
      <c r="B6" s="128" t="s">
        <v>8</v>
      </c>
      <c r="C6" s="129">
        <f>SUMIFS(Assets!$E:$E,Assets!$B:$B,$B6)+SUM('Loyalty Points &amp; Miles'!$G:$G)</f>
        <v>39310</v>
      </c>
      <c r="D6" s="130">
        <f ca="1">NTM!N82</f>
        <v>45116.708119632502</v>
      </c>
      <c r="E6" s="29"/>
    </row>
    <row r="7" spans="1:5" x14ac:dyDescent="0.2">
      <c r="A7" s="28"/>
      <c r="B7" s="54" t="s">
        <v>191</v>
      </c>
      <c r="C7" s="90">
        <f>SUM('Loyalty Points &amp; Miles'!$H:$H)</f>
        <v>7720</v>
      </c>
      <c r="D7" s="131">
        <f>NTM!N83</f>
        <v>7720</v>
      </c>
      <c r="E7" s="28"/>
    </row>
    <row r="8" spans="1:5" ht="5.0999999999999996" customHeight="1" x14ac:dyDescent="0.2">
      <c r="A8" s="28"/>
      <c r="B8" s="54"/>
      <c r="C8" s="81"/>
      <c r="D8" s="91"/>
      <c r="E8" s="28"/>
    </row>
    <row r="9" spans="1:5" x14ac:dyDescent="0.2">
      <c r="A9" s="28"/>
      <c r="B9" s="54" t="s">
        <v>41</v>
      </c>
      <c r="C9" s="90">
        <f>SUMIFS(Assets!$E:$E,Assets!$B:$B,$B9)</f>
        <v>2000</v>
      </c>
      <c r="D9" s="131">
        <f ca="1">NTM!N85</f>
        <v>2800</v>
      </c>
      <c r="E9" s="28"/>
    </row>
    <row r="10" spans="1:5" x14ac:dyDescent="0.2">
      <c r="A10" s="28"/>
      <c r="B10" s="54" t="s">
        <v>40</v>
      </c>
      <c r="C10" s="90">
        <f>SUMIFS(Assets!$E:$E,Assets!$B:$B,$B10)</f>
        <v>130000</v>
      </c>
      <c r="D10" s="131">
        <f ca="1">NTM!N86</f>
        <v>151510</v>
      </c>
      <c r="E10" s="28"/>
    </row>
    <row r="11" spans="1:5" ht="5.0999999999999996" customHeight="1" x14ac:dyDescent="0.2">
      <c r="A11" s="28"/>
      <c r="B11" s="54"/>
      <c r="C11" s="81"/>
      <c r="D11" s="91"/>
      <c r="E11" s="28"/>
    </row>
    <row r="12" spans="1:5" x14ac:dyDescent="0.2">
      <c r="A12" s="28"/>
      <c r="B12" s="54" t="s">
        <v>194</v>
      </c>
      <c r="C12" s="90">
        <f>SUMIFS(Assets!$E:$E,Assets!$B:$B,$B12)</f>
        <v>350000</v>
      </c>
      <c r="D12" s="131">
        <f>NTM!N88</f>
        <v>350000</v>
      </c>
      <c r="E12" s="28"/>
    </row>
    <row r="13" spans="1:5" ht="5.0999999999999996" customHeight="1" x14ac:dyDescent="0.2">
      <c r="A13" s="28"/>
      <c r="B13" s="54"/>
      <c r="C13" s="81"/>
      <c r="D13" s="91"/>
      <c r="E13" s="28"/>
    </row>
    <row r="14" spans="1:5" x14ac:dyDescent="0.2">
      <c r="A14" s="28"/>
      <c r="B14" s="67" t="s">
        <v>123</v>
      </c>
      <c r="C14" s="106">
        <f>SUM(C6:C11)</f>
        <v>179030</v>
      </c>
      <c r="D14" s="132">
        <f ca="1">NTM!N90</f>
        <v>207146.7081196325</v>
      </c>
      <c r="E14" s="28"/>
    </row>
    <row r="15" spans="1:5" ht="5.0999999999999996" customHeight="1" x14ac:dyDescent="0.2">
      <c r="A15" s="28"/>
      <c r="B15" s="54"/>
      <c r="C15" s="81"/>
      <c r="D15" s="91"/>
      <c r="E15" s="28"/>
    </row>
    <row r="16" spans="1:5" x14ac:dyDescent="0.2">
      <c r="A16" s="30"/>
      <c r="B16" s="54" t="s">
        <v>7</v>
      </c>
      <c r="C16" s="90">
        <f>SUM(Loans!C:C)</f>
        <v>30300</v>
      </c>
      <c r="D16" s="131">
        <f ca="1">NTM!N92</f>
        <v>27600</v>
      </c>
      <c r="E16" s="30"/>
    </row>
    <row r="17" spans="1:5" x14ac:dyDescent="0.2">
      <c r="A17" s="30"/>
      <c r="B17" s="54" t="s">
        <v>25</v>
      </c>
      <c r="C17" s="90">
        <f>SUM('Credit Cards'!D:D)</f>
        <v>4200</v>
      </c>
      <c r="D17" s="131">
        <f ca="1">NTM!N93</f>
        <v>0</v>
      </c>
      <c r="E17" s="30"/>
    </row>
    <row r="18" spans="1:5" ht="5.0999999999999996" customHeight="1" x14ac:dyDescent="0.2">
      <c r="A18" s="30"/>
      <c r="B18" s="54"/>
      <c r="C18" s="81"/>
      <c r="D18" s="91"/>
      <c r="E18" s="30"/>
    </row>
    <row r="19" spans="1:5" x14ac:dyDescent="0.2">
      <c r="A19" s="28"/>
      <c r="B19" s="67" t="s">
        <v>124</v>
      </c>
      <c r="C19" s="106">
        <f>SUM(C15:C18)</f>
        <v>34500</v>
      </c>
      <c r="D19" s="132">
        <f ca="1">NTM!N95</f>
        <v>27600</v>
      </c>
      <c r="E19" s="28"/>
    </row>
    <row r="20" spans="1:5" ht="5.0999999999999996" customHeight="1" x14ac:dyDescent="0.2">
      <c r="A20" s="28"/>
      <c r="B20" s="54"/>
      <c r="C20" s="81"/>
      <c r="D20" s="91"/>
      <c r="E20" s="28"/>
    </row>
    <row r="21" spans="1:5" x14ac:dyDescent="0.2">
      <c r="A21" s="28"/>
      <c r="B21" s="68" t="s">
        <v>52</v>
      </c>
      <c r="C21" s="107">
        <f>C14-C19</f>
        <v>144530</v>
      </c>
      <c r="D21" s="133">
        <f ca="1">NTM!N97</f>
        <v>179546.7081196325</v>
      </c>
      <c r="E21" s="28"/>
    </row>
    <row r="22" spans="1:5" s="5" customFormat="1" ht="5.0999999999999996" customHeight="1" x14ac:dyDescent="0.2">
      <c r="A22" s="32" t="s">
        <v>53</v>
      </c>
      <c r="B22" s="47"/>
      <c r="C22" s="8"/>
      <c r="D22" s="8"/>
      <c r="E22" s="32" t="s">
        <v>53</v>
      </c>
    </row>
    <row r="23" spans="1:5" x14ac:dyDescent="0.2">
      <c r="A23" s="28"/>
      <c r="B23" s="77" t="s">
        <v>58</v>
      </c>
      <c r="C23" s="78">
        <f>SUMIFS(Assets!$E:$E,Assets!$D:$D,Blanket!$C$3)</f>
        <v>1000</v>
      </c>
      <c r="D23" s="187"/>
      <c r="E23" s="28"/>
    </row>
    <row r="24" spans="1:5" x14ac:dyDescent="0.2">
      <c r="A24" s="28"/>
      <c r="B24" s="77" t="s">
        <v>144</v>
      </c>
      <c r="C24" s="78">
        <f>SUMIFS(Assets!$E:$E,Assets!$C:$C,Blanket!C4)-C23</f>
        <v>30000</v>
      </c>
      <c r="D24" s="187"/>
      <c r="E24" s="28"/>
    </row>
    <row r="25" spans="1:5" x14ac:dyDescent="0.2">
      <c r="A25" s="28"/>
      <c r="B25" s="77" t="s">
        <v>310</v>
      </c>
      <c r="C25" s="78">
        <f>SUMIFS(Assets!$E:$E,Assets!$B:$B,"Cash")-SUM(C23:C24)</f>
        <v>5310</v>
      </c>
      <c r="D25" s="187"/>
      <c r="E25" s="28"/>
    </row>
    <row r="26" spans="1:5" x14ac:dyDescent="0.2">
      <c r="A26" s="28"/>
      <c r="B26" s="77" t="s">
        <v>311</v>
      </c>
      <c r="C26" s="78">
        <f>SUM('Loyalty Points &amp; Miles'!G:G)</f>
        <v>3000</v>
      </c>
      <c r="D26" s="187"/>
      <c r="E26" s="28"/>
    </row>
    <row r="27" spans="1:5" x14ac:dyDescent="0.2">
      <c r="A27" s="28"/>
      <c r="B27" s="75" t="s">
        <v>151</v>
      </c>
      <c r="C27" s="76">
        <f>SUM(C23:C26)</f>
        <v>39310</v>
      </c>
      <c r="D27" s="187"/>
      <c r="E27" s="28"/>
    </row>
    <row r="28" spans="1:5" s="5" customFormat="1" ht="5.0999999999999996" customHeight="1" x14ac:dyDescent="0.2">
      <c r="A28" s="32" t="s">
        <v>53</v>
      </c>
      <c r="B28" s="47"/>
      <c r="C28" s="8"/>
      <c r="D28" s="8"/>
      <c r="E28" s="32" t="s">
        <v>53</v>
      </c>
    </row>
    <row r="30" spans="1:5" x14ac:dyDescent="0.2">
      <c r="A30"/>
      <c r="B30" s="42" t="s">
        <v>168</v>
      </c>
      <c r="C30" s="43"/>
      <c r="E30"/>
    </row>
    <row r="31" spans="1:5" x14ac:dyDescent="0.2">
      <c r="A31"/>
      <c r="B31" s="77" t="s">
        <v>58</v>
      </c>
      <c r="C31" s="78">
        <f ca="1">SUMIFS(NTM!$C$10:$N$10,NTM!$C$100:$N$100,"&lt;="&amp;Blanket!C7)</f>
        <v>7684.47</v>
      </c>
      <c r="E31"/>
    </row>
    <row r="32" spans="1:5" x14ac:dyDescent="0.2">
      <c r="A32"/>
      <c r="B32" s="77" t="s">
        <v>169</v>
      </c>
      <c r="C32" s="78">
        <f ca="1">SUMIFS(NTM!$C$10:$N$10,NTM!$C$100:$N$100,"&lt;="&amp;Blanket!C12)-C31</f>
        <v>8384.4699999999975</v>
      </c>
      <c r="E32"/>
    </row>
    <row r="33" spans="2:3" x14ac:dyDescent="0.2">
      <c r="B33" s="77" t="s">
        <v>127</v>
      </c>
      <c r="C33" s="78">
        <f ca="1">SUMIFS(NTM!$C$10:$N$10,NTM!$C$100:$N$100,"&lt;="&amp;Blanket!C13)-SUM(C31:C32)</f>
        <v>19556.88</v>
      </c>
    </row>
    <row r="35" spans="2:3" x14ac:dyDescent="0.2">
      <c r="B35" s="42" t="s">
        <v>179</v>
      </c>
      <c r="C35" s="43"/>
    </row>
    <row r="36" spans="2:3" x14ac:dyDescent="0.2">
      <c r="B36" s="79" t="s">
        <v>145</v>
      </c>
      <c r="C36" s="78"/>
    </row>
    <row r="37" spans="2:3" x14ac:dyDescent="0.2">
      <c r="B37" s="77" t="s">
        <v>57</v>
      </c>
      <c r="C37" s="78">
        <f ca="1">'Balances &amp; Actions'!C31-'Balances &amp; Actions'!C23</f>
        <v>6684.47</v>
      </c>
    </row>
    <row r="38" spans="2:3" x14ac:dyDescent="0.2">
      <c r="B38" s="77" t="s">
        <v>137</v>
      </c>
      <c r="C38" s="78">
        <f ca="1">'Balances &amp; Actions'!C32-'Balances &amp; Actions'!C24</f>
        <v>-21615.530000000002</v>
      </c>
    </row>
    <row r="39" spans="2:3" x14ac:dyDescent="0.2">
      <c r="B39" s="75" t="s">
        <v>207</v>
      </c>
      <c r="C39" s="76">
        <f ca="1">SUM(C37:C38)</f>
        <v>-14931.060000000001</v>
      </c>
    </row>
    <row r="40" spans="2:3" x14ac:dyDescent="0.2">
      <c r="B40" s="77" t="s">
        <v>140</v>
      </c>
      <c r="C40" s="78">
        <f ca="1">'Balances &amp; Actions'!C33-'Balances &amp; Actions'!C25</f>
        <v>14246.880000000001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CC09-E2AF-4A4B-B44D-850F09D7B74B}">
  <sheetPr codeName="Sheet11">
    <tabColor theme="7"/>
  </sheetPr>
  <dimension ref="B2:M18"/>
  <sheetViews>
    <sheetView workbookViewId="0">
      <selection activeCell="E32" sqref="E32"/>
    </sheetView>
  </sheetViews>
  <sheetFormatPr defaultRowHeight="12.75" x14ac:dyDescent="0.2"/>
  <cols>
    <col min="1" max="1" width="4" customWidth="1"/>
    <col min="2" max="13" width="10.28515625" customWidth="1"/>
  </cols>
  <sheetData>
    <row r="2" spans="2:13" s="5" customFormat="1" ht="13.5" thickBot="1" x14ac:dyDescent="0.25">
      <c r="B2" s="126">
        <f ca="1">NTM!C4</f>
        <v>45689</v>
      </c>
      <c r="C2" s="7">
        <f ca="1">NTM!D4</f>
        <v>45717</v>
      </c>
      <c r="D2" s="7">
        <f ca="1">NTM!E4</f>
        <v>45748</v>
      </c>
      <c r="E2" s="7">
        <f ca="1">NTM!F4</f>
        <v>45778</v>
      </c>
      <c r="F2" s="7">
        <f ca="1">NTM!G4</f>
        <v>45809</v>
      </c>
      <c r="G2" s="7">
        <f ca="1">NTM!H4</f>
        <v>45839</v>
      </c>
      <c r="H2" s="7">
        <f ca="1">NTM!I4</f>
        <v>45870</v>
      </c>
      <c r="I2" s="7">
        <f ca="1">NTM!J4</f>
        <v>45901</v>
      </c>
      <c r="J2" s="7">
        <f ca="1">NTM!K4</f>
        <v>45931</v>
      </c>
      <c r="K2" s="7">
        <f ca="1">NTM!L4</f>
        <v>45962</v>
      </c>
      <c r="L2" s="7">
        <f ca="1">NTM!M4</f>
        <v>45992</v>
      </c>
      <c r="M2" s="127">
        <f ca="1">NTM!N4</f>
        <v>46023</v>
      </c>
    </row>
    <row r="4" spans="2:13" x14ac:dyDescent="0.2">
      <c r="B4" s="50" t="s">
        <v>122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</row>
    <row r="11" spans="2:13" x14ac:dyDescent="0.2">
      <c r="B11" s="197" t="s">
        <v>216</v>
      </c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</row>
    <row r="18" spans="2:2" x14ac:dyDescent="0.2">
      <c r="B18" s="198" t="s">
        <v>312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F64-B0F0-4F44-809F-E08F8C2497AC}">
  <sheetPr codeName="Sheet34">
    <tabColor theme="7"/>
  </sheetPr>
  <dimension ref="B2:I14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6" sqref="A6:XFD6"/>
    </sheetView>
  </sheetViews>
  <sheetFormatPr defaultColWidth="8" defaultRowHeight="12.75" x14ac:dyDescent="0.2"/>
  <cols>
    <col min="1" max="1" width="3.5703125" style="117" customWidth="1"/>
    <col min="2" max="2" width="9.7109375" style="117" bestFit="1" customWidth="1"/>
    <col min="3" max="3" width="10.140625" style="124" bestFit="1" customWidth="1"/>
    <col min="4" max="9" width="16.5703125" style="125" customWidth="1"/>
    <col min="10" max="10" width="3" style="117" customWidth="1"/>
    <col min="11" max="16384" width="8" style="117"/>
  </cols>
  <sheetData>
    <row r="2" spans="2:9" s="114" customFormat="1" ht="30" x14ac:dyDescent="0.35">
      <c r="C2" s="115" t="s">
        <v>167</v>
      </c>
      <c r="D2" s="116" t="s">
        <v>8</v>
      </c>
      <c r="E2" s="116" t="s">
        <v>171</v>
      </c>
      <c r="F2" s="116" t="s">
        <v>172</v>
      </c>
      <c r="G2" s="116" t="s">
        <v>173</v>
      </c>
      <c r="H2" s="116" t="s">
        <v>174</v>
      </c>
      <c r="I2" s="116" t="s">
        <v>175</v>
      </c>
    </row>
    <row r="3" spans="2:9" s="114" customFormat="1" x14ac:dyDescent="0.2">
      <c r="C3" s="118"/>
      <c r="D3" s="119"/>
      <c r="E3" s="119"/>
      <c r="F3" s="119"/>
      <c r="G3" s="119"/>
      <c r="H3" s="119"/>
      <c r="I3" s="119"/>
    </row>
    <row r="4" spans="2:9" x14ac:dyDescent="0.2">
      <c r="B4" s="120" t="s">
        <v>170</v>
      </c>
      <c r="C4" s="121">
        <f ca="1">TODAY()</f>
        <v>45689</v>
      </c>
      <c r="D4" s="122">
        <f>'Balances &amp; Actions'!$C$6</f>
        <v>39310</v>
      </c>
      <c r="E4" s="122">
        <f>SUM('Balances &amp; Actions'!C9:C10)</f>
        <v>132000</v>
      </c>
      <c r="F4" s="122">
        <f>SUM(D4:E4)</f>
        <v>171310</v>
      </c>
      <c r="G4" s="122">
        <f>'Balances &amp; Actions'!$C$21</f>
        <v>144530</v>
      </c>
      <c r="H4" s="122">
        <f ca="1">NTM!$P$15</f>
        <v>45116.708119632502</v>
      </c>
      <c r="I4" s="123">
        <f ca="1">NTM!$N$90</f>
        <v>207146.7081196325</v>
      </c>
    </row>
    <row r="6" spans="2:9" x14ac:dyDescent="0.2">
      <c r="B6"/>
      <c r="C6" s="124">
        <v>45689</v>
      </c>
      <c r="D6" s="125">
        <v>39310</v>
      </c>
      <c r="E6" s="125">
        <v>132000</v>
      </c>
      <c r="F6" s="125">
        <v>171310</v>
      </c>
      <c r="G6" s="125">
        <v>144530</v>
      </c>
      <c r="H6" s="125">
        <v>45116.708119632502</v>
      </c>
      <c r="I6" s="125">
        <v>207146.7081196325</v>
      </c>
    </row>
    <row r="7" spans="2:9" x14ac:dyDescent="0.2">
      <c r="B7"/>
      <c r="C7" s="124">
        <v>45669</v>
      </c>
      <c r="D7" s="125">
        <v>39310</v>
      </c>
      <c r="E7" s="125">
        <v>132000</v>
      </c>
      <c r="F7" s="125">
        <v>171310</v>
      </c>
      <c r="G7" s="125">
        <v>144530</v>
      </c>
      <c r="H7" s="125">
        <v>45589.129045791669</v>
      </c>
      <c r="I7" s="125">
        <v>206781.12904579166</v>
      </c>
    </row>
    <row r="8" spans="2:9" x14ac:dyDescent="0.2">
      <c r="B8"/>
      <c r="C8" s="124">
        <v>45668</v>
      </c>
      <c r="D8" s="125">
        <v>39310</v>
      </c>
      <c r="E8" s="125">
        <v>132000</v>
      </c>
      <c r="F8" s="125">
        <v>171310</v>
      </c>
      <c r="G8" s="125">
        <v>144530</v>
      </c>
      <c r="H8" s="125">
        <v>-12791.190954208334</v>
      </c>
      <c r="I8" s="125">
        <v>147150.80904579166</v>
      </c>
    </row>
    <row r="9" spans="2:9" x14ac:dyDescent="0.2">
      <c r="B9"/>
      <c r="C9" s="124">
        <v>45667</v>
      </c>
      <c r="D9" s="125">
        <v>44766.27</v>
      </c>
      <c r="E9" s="125">
        <v>150944.01</v>
      </c>
      <c r="F9" s="125">
        <v>195710.28</v>
      </c>
      <c r="G9" s="125">
        <v>152979.07</v>
      </c>
      <c r="H9" s="125">
        <v>126360.37894578118</v>
      </c>
      <c r="I9" s="125">
        <v>291965.38894578116</v>
      </c>
    </row>
    <row r="10" spans="2:9" x14ac:dyDescent="0.2">
      <c r="B10"/>
      <c r="C10" s="124">
        <v>45665</v>
      </c>
      <c r="D10" s="125">
        <v>37390</v>
      </c>
      <c r="E10" s="125">
        <v>113000</v>
      </c>
      <c r="F10" s="125">
        <v>150390</v>
      </c>
      <c r="G10" s="125">
        <v>122927</v>
      </c>
      <c r="H10" s="125">
        <v>21407.859999999986</v>
      </c>
      <c r="I10" s="125">
        <v>135544.85999999999</v>
      </c>
    </row>
    <row r="11" spans="2:9" x14ac:dyDescent="0.2">
      <c r="B11"/>
      <c r="C11" s="124">
        <v>45664</v>
      </c>
      <c r="D11" s="125">
        <v>37390</v>
      </c>
      <c r="E11" s="125">
        <v>113000</v>
      </c>
      <c r="F11" s="125">
        <v>150390</v>
      </c>
      <c r="G11" s="125">
        <v>122927</v>
      </c>
      <c r="H11" s="125">
        <v>21382.859999999986</v>
      </c>
      <c r="I11" s="125">
        <v>135519.85999999999</v>
      </c>
    </row>
    <row r="12" spans="2:9" x14ac:dyDescent="0.2">
      <c r="B12"/>
      <c r="C12" s="124">
        <v>45662</v>
      </c>
      <c r="D12" s="125">
        <v>37390</v>
      </c>
      <c r="E12" s="125">
        <v>113000</v>
      </c>
      <c r="F12" s="125">
        <v>150390</v>
      </c>
      <c r="G12" s="125">
        <v>122927</v>
      </c>
      <c r="H12" s="125">
        <v>21337.859999999986</v>
      </c>
      <c r="I12" s="125">
        <v>135474.85999999999</v>
      </c>
    </row>
    <row r="13" spans="2:9" x14ac:dyDescent="0.2">
      <c r="B13"/>
      <c r="C13" s="124">
        <v>45659</v>
      </c>
      <c r="D13" s="125">
        <v>37390</v>
      </c>
      <c r="E13" s="125">
        <v>113000</v>
      </c>
      <c r="F13" s="125">
        <v>150390</v>
      </c>
      <c r="G13" s="125">
        <v>122927</v>
      </c>
      <c r="H13" s="125">
        <v>78883.359999999986</v>
      </c>
      <c r="I13" s="125">
        <v>208840.36</v>
      </c>
    </row>
    <row r="14" spans="2:9" x14ac:dyDescent="0.2">
      <c r="B14"/>
      <c r="C14" s="124">
        <v>45657</v>
      </c>
      <c r="D14" s="125">
        <v>37390</v>
      </c>
      <c r="E14" s="125">
        <v>113000</v>
      </c>
      <c r="F14" s="125">
        <v>150390</v>
      </c>
      <c r="G14" s="125">
        <v>122927</v>
      </c>
      <c r="H14" s="125">
        <v>75333.329999999987</v>
      </c>
      <c r="I14" s="125">
        <v>204070.33</v>
      </c>
    </row>
  </sheetData>
  <conditionalFormatting sqref="D5:D80">
    <cfRule type="colorScale" priority="22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E5:E80">
    <cfRule type="colorScale" priority="2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F5:F80">
    <cfRule type="colorScale" priority="26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G5:G80">
    <cfRule type="colorScale" priority="28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H5:H80">
    <cfRule type="colorScale" priority="30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I5:I80">
    <cfRule type="colorScale" priority="3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rchive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1</xdr:col>
                    <xdr:colOff>581025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226B-B534-40C3-BD6D-78D5CDFA724A}">
  <sheetPr codeName="Sheet10"/>
  <dimension ref="A1"/>
  <sheetViews>
    <sheetView workbookViewId="0">
      <selection activeCell="G38" sqref="G38"/>
    </sheetView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5454-6767-4ABA-99C6-F62C66F166FD}">
  <sheetPr codeName="Sheet12">
    <tabColor rgb="FF0000FF"/>
  </sheetPr>
  <dimension ref="B1:E20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2.75" x14ac:dyDescent="0.2"/>
  <cols>
    <col min="1" max="1" width="2.140625" customWidth="1"/>
    <col min="2" max="2" width="14" bestFit="1" customWidth="1"/>
    <col min="3" max="3" width="20.42578125" bestFit="1" customWidth="1"/>
    <col min="4" max="4" width="24" bestFit="1" customWidth="1"/>
    <col min="5" max="5" width="17.28515625" style="2" bestFit="1" customWidth="1"/>
  </cols>
  <sheetData>
    <row r="1" spans="2:5" x14ac:dyDescent="0.2">
      <c r="B1" s="72" t="s">
        <v>131</v>
      </c>
      <c r="C1" s="72" t="s">
        <v>131</v>
      </c>
      <c r="D1" s="72" t="s">
        <v>131</v>
      </c>
      <c r="E1" s="15" t="s">
        <v>132</v>
      </c>
    </row>
    <row r="3" spans="2:5" s="9" customFormat="1" ht="15" x14ac:dyDescent="0.35">
      <c r="B3" s="9" t="s">
        <v>31</v>
      </c>
      <c r="C3" s="9" t="s">
        <v>141</v>
      </c>
      <c r="D3" s="9" t="s">
        <v>4</v>
      </c>
      <c r="E3" s="12" t="s">
        <v>5</v>
      </c>
    </row>
    <row r="4" spans="2:5" x14ac:dyDescent="0.2">
      <c r="B4" s="14" t="s">
        <v>8</v>
      </c>
      <c r="C4" s="14" t="s">
        <v>143</v>
      </c>
      <c r="D4" s="14" t="s">
        <v>125</v>
      </c>
      <c r="E4" s="2">
        <f>1000/20</f>
        <v>50</v>
      </c>
    </row>
    <row r="5" spans="2:5" x14ac:dyDescent="0.2">
      <c r="B5" s="14" t="s">
        <v>8</v>
      </c>
      <c r="C5" s="14" t="s">
        <v>152</v>
      </c>
      <c r="D5" s="108" t="s">
        <v>204</v>
      </c>
      <c r="E5" s="2">
        <v>1000</v>
      </c>
    </row>
    <row r="6" spans="2:5" x14ac:dyDescent="0.2">
      <c r="B6" s="14" t="s">
        <v>8</v>
      </c>
      <c r="C6" s="14" t="s">
        <v>152</v>
      </c>
      <c r="D6" s="108" t="s">
        <v>259</v>
      </c>
      <c r="E6" s="2">
        <v>10000</v>
      </c>
    </row>
    <row r="7" spans="2:5" x14ac:dyDescent="0.2">
      <c r="B7" s="14" t="s">
        <v>8</v>
      </c>
      <c r="C7" s="14" t="s">
        <v>152</v>
      </c>
      <c r="D7" s="108" t="s">
        <v>260</v>
      </c>
      <c r="E7" s="2">
        <v>20000</v>
      </c>
    </row>
    <row r="8" spans="2:5" x14ac:dyDescent="0.2">
      <c r="B8" s="14" t="s">
        <v>8</v>
      </c>
      <c r="C8" s="14" t="s">
        <v>24</v>
      </c>
      <c r="E8" s="172">
        <v>50</v>
      </c>
    </row>
    <row r="9" spans="2:5" x14ac:dyDescent="0.2">
      <c r="B9" s="14" t="s">
        <v>8</v>
      </c>
      <c r="C9" t="s">
        <v>229</v>
      </c>
      <c r="E9" s="172">
        <v>50</v>
      </c>
    </row>
    <row r="10" spans="2:5" x14ac:dyDescent="0.2">
      <c r="B10" s="14" t="s">
        <v>8</v>
      </c>
      <c r="C10" s="14" t="s">
        <v>154</v>
      </c>
      <c r="D10" s="171"/>
      <c r="E10" s="2">
        <v>10</v>
      </c>
    </row>
    <row r="11" spans="2:5" x14ac:dyDescent="0.2">
      <c r="B11" s="14" t="s">
        <v>8</v>
      </c>
      <c r="C11" s="14" t="s">
        <v>153</v>
      </c>
      <c r="D11" s="171" t="s">
        <v>8</v>
      </c>
      <c r="E11" s="2">
        <v>50</v>
      </c>
    </row>
    <row r="12" spans="2:5" x14ac:dyDescent="0.2">
      <c r="B12" s="14" t="s">
        <v>40</v>
      </c>
      <c r="C12" s="14" t="s">
        <v>155</v>
      </c>
      <c r="D12" s="171" t="s">
        <v>142</v>
      </c>
      <c r="E12" s="2">
        <v>10000</v>
      </c>
    </row>
    <row r="13" spans="2:5" x14ac:dyDescent="0.2">
      <c r="B13" s="14" t="s">
        <v>8</v>
      </c>
      <c r="C13" s="14" t="s">
        <v>155</v>
      </c>
      <c r="D13" s="190" t="s">
        <v>258</v>
      </c>
      <c r="E13" s="2">
        <v>100</v>
      </c>
    </row>
    <row r="14" spans="2:5" x14ac:dyDescent="0.2">
      <c r="B14" s="14" t="s">
        <v>41</v>
      </c>
      <c r="C14" s="14" t="s">
        <v>155</v>
      </c>
      <c r="D14" s="190" t="s">
        <v>258</v>
      </c>
      <c r="E14" s="2">
        <v>1000</v>
      </c>
    </row>
    <row r="15" spans="2:5" x14ac:dyDescent="0.2">
      <c r="B15" s="14" t="s">
        <v>41</v>
      </c>
      <c r="C15" s="14" t="s">
        <v>156</v>
      </c>
      <c r="D15" s="171" t="s">
        <v>158</v>
      </c>
      <c r="E15" s="2">
        <v>1000</v>
      </c>
    </row>
    <row r="16" spans="2:5" x14ac:dyDescent="0.2">
      <c r="B16" s="14" t="s">
        <v>40</v>
      </c>
      <c r="C16" s="14" t="s">
        <v>156</v>
      </c>
      <c r="D16" s="171" t="s">
        <v>9</v>
      </c>
      <c r="E16" s="2">
        <v>100000</v>
      </c>
    </row>
    <row r="17" spans="2:5" x14ac:dyDescent="0.2">
      <c r="B17" s="14" t="s">
        <v>40</v>
      </c>
      <c r="C17" s="14" t="s">
        <v>156</v>
      </c>
      <c r="D17" s="171" t="s">
        <v>100</v>
      </c>
      <c r="E17" s="2">
        <v>20000</v>
      </c>
    </row>
    <row r="18" spans="2:5" x14ac:dyDescent="0.2">
      <c r="B18" s="14" t="s">
        <v>8</v>
      </c>
      <c r="C18" s="14" t="s">
        <v>156</v>
      </c>
      <c r="D18" s="171" t="s">
        <v>157</v>
      </c>
      <c r="E18" s="2">
        <v>5000</v>
      </c>
    </row>
    <row r="19" spans="2:5" x14ac:dyDescent="0.2">
      <c r="B19" t="s">
        <v>194</v>
      </c>
      <c r="C19" s="14" t="s">
        <v>143</v>
      </c>
      <c r="D19" s="190" t="s">
        <v>195</v>
      </c>
      <c r="E19" s="2">
        <v>50000</v>
      </c>
    </row>
    <row r="20" spans="2:5" x14ac:dyDescent="0.2">
      <c r="B20" t="s">
        <v>194</v>
      </c>
      <c r="C20" s="14" t="s">
        <v>143</v>
      </c>
      <c r="D20" s="14" t="s">
        <v>196</v>
      </c>
      <c r="E20" s="2">
        <v>300000</v>
      </c>
    </row>
  </sheetData>
  <autoFilter ref="B3:E14" xr:uid="{22E25454-6767-4ABA-99C6-F62C66F166FD}"/>
  <sortState xmlns:xlrd2="http://schemas.microsoft.com/office/spreadsheetml/2017/richdata2" ref="B8:E20">
    <sortCondition descending="1" ref="C3:C20"/>
  </sortState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6B24EB6-BE7B-4589-8574-ABCECEDE120C}">
          <x14:formula1>
            <xm:f>'Data Validation'!$A1048526:$A1048529</xm:f>
          </x14:formula1>
          <xm:sqref>B1048564:B1048576</xm:sqref>
        </x14:dataValidation>
        <x14:dataValidation type="list" allowBlank="1" showInputMessage="1" showErrorMessage="1" xr:uid="{69A2E2C0-19C1-4049-AEA5-B84EBADC741A}">
          <x14:formula1>
            <xm:f>'Data Validation'!$A2:$A5</xm:f>
          </x14:formula1>
          <xm:sqref>B21:B1048563</xm:sqref>
        </x14:dataValidation>
        <x14:dataValidation type="list" allowBlank="1" showInputMessage="1" showErrorMessage="1" xr:uid="{F6469DC6-9989-45F8-99EC-1D6C1E67B88A}">
          <x14:formula1>
            <xm:f>'Data Validation'!$A1048563:$A1048566</xm:f>
          </x14:formula1>
          <xm:sqref>B20</xm:sqref>
        </x14:dataValidation>
        <x14:dataValidation type="list" allowBlank="1" showInputMessage="1" showErrorMessage="1" xr:uid="{A689B421-5009-4EDB-A44A-055A5A21037C}">
          <x14:formula1>
            <xm:f>'Data Validation'!$A1048569:$A1048572</xm:f>
          </x14:formula1>
          <xm:sqref>B16:B18</xm:sqref>
        </x14:dataValidation>
        <x14:dataValidation type="list" allowBlank="1" showInputMessage="1" showErrorMessage="1" xr:uid="{FFED935B-3800-42C3-8D5B-6B39FBABD0B5}">
          <x14:formula1>
            <xm:f>'Data Validation'!$A1:$A1048574</xm:f>
          </x14:formula1>
          <xm:sqref>B19</xm:sqref>
        </x14:dataValidation>
        <x14:dataValidation type="list" allowBlank="1" showInputMessage="1" showErrorMessage="1" xr:uid="{CD1939CD-99E9-4FB6-BCE1-C614EAEDB653}">
          <x14:formula1>
            <xm:f>'Data Validation'!$A1:$A4</xm:f>
          </x14:formula1>
          <xm:sqref>B11</xm:sqref>
        </x14:dataValidation>
        <x14:dataValidation type="list" allowBlank="1" showInputMessage="1" showErrorMessage="1" xr:uid="{AF3F224C-41B1-4D83-BAE5-FBFD153900AE}">
          <x14:formula1>
            <xm:f>'Data Validation'!$A1048567:$A1048570</xm:f>
          </x14:formula1>
          <xm:sqref>B15</xm:sqref>
        </x14:dataValidation>
        <x14:dataValidation type="list" allowBlank="1" showInputMessage="1" showErrorMessage="1" xr:uid="{E2456D66-105A-4270-8267-D94DAE8DCABA}">
          <x14:formula1>
            <xm:f>'Data Validation'!$A1048559:$A1048562</xm:f>
          </x14:formula1>
          <xm:sqref>B5:B7</xm:sqref>
        </x14:dataValidation>
        <x14:dataValidation type="list" allowBlank="1" showInputMessage="1" showErrorMessage="1" xr:uid="{5128FC6C-B9BB-4816-B936-A93577616E9D}">
          <x14:formula1>
            <xm:f>'Data Validation'!$A1048568:$A1048571</xm:f>
          </x14:formula1>
          <xm:sqref>B9</xm:sqref>
        </x14:dataValidation>
        <x14:dataValidation type="list" allowBlank="1" showInputMessage="1" showErrorMessage="1" xr:uid="{F228EE3C-C6AD-480E-AC91-5BEAF5B10046}">
          <x14:formula1>
            <xm:f>'Data Validation'!$A1048550:$A1048553</xm:f>
          </x14:formula1>
          <xm:sqref>B8</xm:sqref>
        </x14:dataValidation>
        <x14:dataValidation type="list" allowBlank="1" showInputMessage="1" showErrorMessage="1" xr:uid="{B4630130-5DFF-44A9-85BE-EDB5F3D5993A}">
          <x14:formula1>
            <xm:f>'Data Validation'!$A1048551:$A1048554</xm:f>
          </x14:formula1>
          <xm:sqref>B10</xm:sqref>
        </x14:dataValidation>
        <x14:dataValidation type="list" allowBlank="1" showInputMessage="1" showErrorMessage="1" xr:uid="{25B79E46-FBCD-47D6-B02D-9259BF3594DC}">
          <x14:formula1>
            <xm:f>'Data Validation'!$A1048552:$A1048555</xm:f>
          </x14:formula1>
          <xm:sqref>B12:B14</xm:sqref>
        </x14:dataValidation>
        <x14:dataValidation type="list" allowBlank="1" showInputMessage="1" showErrorMessage="1" xr:uid="{E5E49F53-EF96-4A32-BAFA-64FB2970088A}">
          <x14:formula1>
            <xm:f>'Data Validation'!$A1048562:$A1048565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E42D-8A38-44D8-B035-BDB07D6DC655}">
  <sheetPr codeName="Sheet13">
    <tabColor rgb="FF0000FF"/>
  </sheetPr>
  <dimension ref="B1:J2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22" sqref="F22"/>
    </sheetView>
  </sheetViews>
  <sheetFormatPr defaultRowHeight="12.75" x14ac:dyDescent="0.2"/>
  <cols>
    <col min="1" max="1" width="1.85546875" customWidth="1"/>
    <col min="2" max="2" width="42.7109375" bestFit="1" customWidth="1"/>
    <col min="3" max="3" width="15.42578125" style="1" customWidth="1"/>
    <col min="4" max="5" width="15.42578125" style="2" customWidth="1"/>
    <col min="6" max="6" width="20.5703125" style="2" bestFit="1" customWidth="1"/>
    <col min="7" max="7" width="16.85546875" style="2" customWidth="1"/>
    <col min="8" max="8" width="16.7109375" style="17" bestFit="1" customWidth="1"/>
    <col min="9" max="9" width="15.42578125" style="17" customWidth="1"/>
    <col min="10" max="10" width="10.28515625" style="23" bestFit="1" customWidth="1"/>
  </cols>
  <sheetData>
    <row r="1" spans="2:9" x14ac:dyDescent="0.2">
      <c r="B1" s="72" t="s">
        <v>131</v>
      </c>
      <c r="C1" s="72" t="s">
        <v>131</v>
      </c>
      <c r="D1" s="15" t="s">
        <v>132</v>
      </c>
      <c r="E1" s="15" t="s">
        <v>132</v>
      </c>
      <c r="F1" s="15" t="s">
        <v>132</v>
      </c>
      <c r="G1" s="71" t="s">
        <v>119</v>
      </c>
      <c r="H1" s="71" t="s">
        <v>119</v>
      </c>
      <c r="I1" s="71" t="s">
        <v>119</v>
      </c>
    </row>
    <row r="2" spans="2:9" x14ac:dyDescent="0.2">
      <c r="B2" s="14"/>
    </row>
    <row r="3" spans="2:9" s="9" customFormat="1" ht="15" x14ac:dyDescent="0.35">
      <c r="B3" s="9" t="s">
        <v>4</v>
      </c>
      <c r="C3" s="10" t="s">
        <v>48</v>
      </c>
      <c r="D3" s="12" t="s">
        <v>5</v>
      </c>
      <c r="E3" s="12" t="s">
        <v>6</v>
      </c>
      <c r="F3" s="12" t="s">
        <v>254</v>
      </c>
      <c r="G3" s="12" t="s">
        <v>252</v>
      </c>
      <c r="H3" s="22" t="s">
        <v>253</v>
      </c>
      <c r="I3" s="22" t="s">
        <v>255</v>
      </c>
    </row>
    <row r="4" spans="2:9" x14ac:dyDescent="0.2">
      <c r="B4" t="s">
        <v>159</v>
      </c>
      <c r="C4" s="27">
        <v>5</v>
      </c>
      <c r="D4" s="2">
        <v>4000</v>
      </c>
      <c r="E4" s="2">
        <v>3000</v>
      </c>
      <c r="F4" s="2">
        <v>3000</v>
      </c>
      <c r="G4" s="2" cm="1">
        <f t="array" ref="G4:G24">D4:D24-F4:F24</f>
        <v>1000</v>
      </c>
      <c r="H4" s="23" cm="1">
        <f t="array" aca="1" ref="H4:H24" ca="1">IF(DATE(YEAR(TODAY()),MONTH(TODAY()),C4:C24)&gt;=TODAY(),DATE(YEAR(TODAY()),MONTH(TODAY()),C4:C24),DATE(YEAR(EOMONTH(TODAY(),1)),MONTH(EOMONTH(TODAY(),1)),C4:C24))</f>
        <v>45693</v>
      </c>
      <c r="I4" s="23" cm="1">
        <f t="array" aca="1" ref="I4:I24" ca="1">EDATE(INDEX(H4:H24,_xlfn.SEQUENCE(COUNTA(H4:H24))),1)</f>
        <v>45721</v>
      </c>
    </row>
    <row r="5" spans="2:9" x14ac:dyDescent="0.2">
      <c r="B5" t="s">
        <v>230</v>
      </c>
      <c r="C5" s="27">
        <v>12</v>
      </c>
      <c r="D5" s="2">
        <v>0</v>
      </c>
      <c r="E5" s="2">
        <v>0</v>
      </c>
      <c r="F5" s="2">
        <v>0</v>
      </c>
      <c r="G5" s="2">
        <v>0</v>
      </c>
      <c r="H5" s="23">
        <f ca="1"/>
        <v>45700</v>
      </c>
      <c r="I5" s="23">
        <f ca="1"/>
        <v>45728</v>
      </c>
    </row>
    <row r="6" spans="2:9" x14ac:dyDescent="0.2">
      <c r="B6" t="s">
        <v>231</v>
      </c>
      <c r="C6" s="27">
        <v>18</v>
      </c>
      <c r="D6" s="2">
        <v>0</v>
      </c>
      <c r="E6" s="2">
        <v>0</v>
      </c>
      <c r="F6" s="2">
        <v>0</v>
      </c>
      <c r="G6" s="2">
        <v>0</v>
      </c>
      <c r="H6" s="23">
        <f ca="1"/>
        <v>45706</v>
      </c>
      <c r="I6" s="23">
        <f ca="1"/>
        <v>45734</v>
      </c>
    </row>
    <row r="7" spans="2:9" x14ac:dyDescent="0.2">
      <c r="B7" s="14" t="s">
        <v>153</v>
      </c>
      <c r="C7" s="27" cm="1">
        <f t="array" aca="1" ref="C7" ca="1">EndDayOfCurrentMonth</f>
        <v>28</v>
      </c>
      <c r="D7" s="2">
        <v>200</v>
      </c>
      <c r="E7" s="2">
        <v>100</v>
      </c>
      <c r="F7" s="2">
        <v>100</v>
      </c>
      <c r="G7" s="2">
        <v>100</v>
      </c>
      <c r="H7" s="23">
        <f ca="1"/>
        <v>45716</v>
      </c>
      <c r="I7" s="23">
        <f ca="1"/>
        <v>45744</v>
      </c>
    </row>
    <row r="8" spans="2:9" x14ac:dyDescent="0.2">
      <c r="B8" t="s">
        <v>160</v>
      </c>
      <c r="C8" s="27">
        <v>4</v>
      </c>
      <c r="D8" s="2">
        <v>0</v>
      </c>
      <c r="E8" s="2">
        <v>0</v>
      </c>
      <c r="F8" s="2">
        <v>0</v>
      </c>
      <c r="G8" s="2">
        <v>0</v>
      </c>
      <c r="H8" s="23">
        <f ca="1"/>
        <v>45692</v>
      </c>
      <c r="I8" s="23">
        <f ca="1"/>
        <v>45720</v>
      </c>
    </row>
    <row r="9" spans="2:9" x14ac:dyDescent="0.2">
      <c r="G9" s="2">
        <v>0</v>
      </c>
      <c r="H9" s="17">
        <f ca="1"/>
        <v>45716</v>
      </c>
      <c r="I9" s="17">
        <f ca="1"/>
        <v>45744</v>
      </c>
    </row>
    <row r="10" spans="2:9" x14ac:dyDescent="0.2">
      <c r="G10" s="2">
        <v>0</v>
      </c>
      <c r="H10" s="17">
        <f ca="1"/>
        <v>45716</v>
      </c>
      <c r="I10" s="17">
        <f ca="1"/>
        <v>45744</v>
      </c>
    </row>
    <row r="11" spans="2:9" x14ac:dyDescent="0.2">
      <c r="G11" s="2">
        <v>0</v>
      </c>
      <c r="H11" s="17">
        <f ca="1"/>
        <v>45716</v>
      </c>
      <c r="I11" s="17">
        <f ca="1"/>
        <v>45744</v>
      </c>
    </row>
    <row r="12" spans="2:9" x14ac:dyDescent="0.2">
      <c r="G12" s="2">
        <v>0</v>
      </c>
      <c r="H12" s="17">
        <f ca="1"/>
        <v>45716</v>
      </c>
      <c r="I12" s="17">
        <f ca="1"/>
        <v>45744</v>
      </c>
    </row>
    <row r="13" spans="2:9" x14ac:dyDescent="0.2">
      <c r="G13" s="2">
        <v>0</v>
      </c>
      <c r="H13" s="17">
        <f ca="1"/>
        <v>45716</v>
      </c>
      <c r="I13" s="17">
        <f ca="1"/>
        <v>45744</v>
      </c>
    </row>
    <row r="14" spans="2:9" x14ac:dyDescent="0.2">
      <c r="G14" s="2">
        <v>0</v>
      </c>
      <c r="H14" s="17">
        <f ca="1"/>
        <v>45716</v>
      </c>
      <c r="I14" s="17">
        <f ca="1"/>
        <v>45744</v>
      </c>
    </row>
    <row r="15" spans="2:9" x14ac:dyDescent="0.2">
      <c r="G15" s="2">
        <v>0</v>
      </c>
      <c r="H15" s="17">
        <f ca="1"/>
        <v>45716</v>
      </c>
      <c r="I15" s="17">
        <f ca="1"/>
        <v>45744</v>
      </c>
    </row>
    <row r="16" spans="2:9" x14ac:dyDescent="0.2">
      <c r="G16" s="2">
        <v>0</v>
      </c>
      <c r="H16" s="17">
        <f ca="1"/>
        <v>45716</v>
      </c>
      <c r="I16" s="17">
        <f ca="1"/>
        <v>45744</v>
      </c>
    </row>
    <row r="17" spans="7:9" x14ac:dyDescent="0.2">
      <c r="G17" s="2">
        <v>0</v>
      </c>
      <c r="H17" s="17">
        <f ca="1"/>
        <v>45716</v>
      </c>
      <c r="I17" s="17">
        <f ca="1"/>
        <v>45744</v>
      </c>
    </row>
    <row r="18" spans="7:9" x14ac:dyDescent="0.2">
      <c r="G18" s="2">
        <v>0</v>
      </c>
      <c r="H18" s="17">
        <f ca="1"/>
        <v>45716</v>
      </c>
      <c r="I18" s="17">
        <f ca="1"/>
        <v>45744</v>
      </c>
    </row>
    <row r="19" spans="7:9" x14ac:dyDescent="0.2">
      <c r="G19" s="2">
        <v>0</v>
      </c>
      <c r="H19" s="17">
        <f ca="1"/>
        <v>45716</v>
      </c>
      <c r="I19" s="17">
        <f ca="1"/>
        <v>45744</v>
      </c>
    </row>
    <row r="20" spans="7:9" x14ac:dyDescent="0.2">
      <c r="G20" s="2">
        <v>0</v>
      </c>
      <c r="H20" s="17">
        <f ca="1"/>
        <v>45716</v>
      </c>
      <c r="I20" s="17">
        <f ca="1"/>
        <v>45744</v>
      </c>
    </row>
    <row r="21" spans="7:9" x14ac:dyDescent="0.2">
      <c r="G21" s="2">
        <v>0</v>
      </c>
      <c r="H21" s="17">
        <f ca="1"/>
        <v>45716</v>
      </c>
      <c r="I21" s="17">
        <f ca="1"/>
        <v>45744</v>
      </c>
    </row>
    <row r="22" spans="7:9" x14ac:dyDescent="0.2">
      <c r="G22" s="2">
        <v>0</v>
      </c>
      <c r="H22" s="17">
        <f ca="1"/>
        <v>45716</v>
      </c>
      <c r="I22" s="17">
        <f ca="1"/>
        <v>45744</v>
      </c>
    </row>
    <row r="23" spans="7:9" x14ac:dyDescent="0.2">
      <c r="G23" s="2">
        <v>0</v>
      </c>
      <c r="H23" s="17">
        <f ca="1"/>
        <v>45716</v>
      </c>
      <c r="I23" s="17">
        <f ca="1"/>
        <v>45744</v>
      </c>
    </row>
    <row r="24" spans="7:9" x14ac:dyDescent="0.2">
      <c r="G24" s="2">
        <v>0</v>
      </c>
      <c r="H24" s="17">
        <f ca="1"/>
        <v>45716</v>
      </c>
      <c r="I24" s="17">
        <f ca="1"/>
        <v>45744</v>
      </c>
    </row>
  </sheetData>
  <autoFilter ref="B3:I6" xr:uid="{B267E42D-8A38-44D8-B035-BDB07D6DC655}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86F-EC50-4885-A26B-FECB62B6DE05}">
  <sheetPr codeName="Sheet14">
    <tabColor rgb="FF0000FF"/>
  </sheetPr>
  <dimension ref="B1:C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2.75" x14ac:dyDescent="0.2"/>
  <cols>
    <col min="1" max="1" width="2.140625" customWidth="1"/>
    <col min="2" max="2" width="23" customWidth="1"/>
    <col min="3" max="3" width="15.42578125" style="2" customWidth="1"/>
  </cols>
  <sheetData>
    <row r="1" spans="2:3" x14ac:dyDescent="0.2">
      <c r="B1" s="72" t="s">
        <v>131</v>
      </c>
      <c r="C1" s="15" t="s">
        <v>132</v>
      </c>
    </row>
    <row r="3" spans="2:3" s="9" customFormat="1" ht="15" x14ac:dyDescent="0.35">
      <c r="B3" s="9" t="s">
        <v>4</v>
      </c>
      <c r="C3" s="109" t="s">
        <v>5</v>
      </c>
    </row>
    <row r="4" spans="2:3" x14ac:dyDescent="0.2">
      <c r="B4" s="14" t="s">
        <v>305</v>
      </c>
      <c r="C4" s="173">
        <v>30000</v>
      </c>
    </row>
    <row r="5" spans="2:3" x14ac:dyDescent="0.2">
      <c r="B5" s="14" t="s">
        <v>306</v>
      </c>
      <c r="C5" s="173">
        <v>300</v>
      </c>
    </row>
  </sheetData>
  <autoFilter ref="B3:C5" xr:uid="{097D886F-EC50-4885-A26B-FECB62B6DE05}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F7C3-12C6-4848-B376-9685294E2411}">
  <sheetPr codeName="Sheet15">
    <tabColor rgb="FF0000FF"/>
  </sheetPr>
  <dimension ref="B1:H53"/>
  <sheetViews>
    <sheetView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3" sqref="D3"/>
    </sheetView>
  </sheetViews>
  <sheetFormatPr defaultRowHeight="12.75" x14ac:dyDescent="0.2"/>
  <cols>
    <col min="1" max="1" width="2.140625" customWidth="1"/>
    <col min="2" max="2" width="35" bestFit="1" customWidth="1"/>
    <col min="3" max="3" width="19" bestFit="1" customWidth="1"/>
    <col min="4" max="4" width="26" style="173" bestFit="1" customWidth="1"/>
    <col min="5" max="5" width="19" style="173" customWidth="1"/>
    <col min="6" max="6" width="14.7109375" style="2" bestFit="1" customWidth="1"/>
    <col min="7" max="7" width="12" style="2" bestFit="1" customWidth="1"/>
    <col min="8" max="8" width="14.7109375" style="2" bestFit="1" customWidth="1"/>
  </cols>
  <sheetData>
    <row r="1" spans="2:8" x14ac:dyDescent="0.2">
      <c r="B1" s="72" t="s">
        <v>131</v>
      </c>
      <c r="C1" s="72" t="s">
        <v>131</v>
      </c>
      <c r="D1" s="72" t="s">
        <v>131</v>
      </c>
      <c r="E1" s="72" t="s">
        <v>131</v>
      </c>
      <c r="F1" s="15" t="s">
        <v>132</v>
      </c>
      <c r="G1" s="71" t="s">
        <v>119</v>
      </c>
      <c r="H1" s="71" t="s">
        <v>119</v>
      </c>
    </row>
    <row r="3" spans="2:8" s="9" customFormat="1" ht="15" x14ac:dyDescent="0.35">
      <c r="B3" s="9" t="s">
        <v>4</v>
      </c>
      <c r="C3" s="9" t="s">
        <v>128</v>
      </c>
      <c r="D3" s="188" t="s">
        <v>344</v>
      </c>
      <c r="E3" s="188" t="s">
        <v>19</v>
      </c>
      <c r="F3" s="12" t="s">
        <v>5</v>
      </c>
      <c r="G3" s="12" t="s">
        <v>130</v>
      </c>
      <c r="H3" s="12" t="s">
        <v>129</v>
      </c>
    </row>
    <row r="4" spans="2:8" x14ac:dyDescent="0.2">
      <c r="B4" t="s">
        <v>159</v>
      </c>
      <c r="C4" t="s">
        <v>21</v>
      </c>
      <c r="D4" s="173">
        <v>1</v>
      </c>
      <c r="E4" s="173">
        <v>2.1</v>
      </c>
      <c r="F4" s="2">
        <v>100000</v>
      </c>
      <c r="G4" s="2" cm="1">
        <f t="array" ref="G4:G53">(D4:D53/100)*F4:F53</f>
        <v>1000</v>
      </c>
      <c r="H4" s="2" cm="1">
        <f t="array" ref="H4:H53">(E4:E53/100)*F4:F53-G4:G53</f>
        <v>1100</v>
      </c>
    </row>
    <row r="5" spans="2:8" x14ac:dyDescent="0.2">
      <c r="B5" t="s">
        <v>230</v>
      </c>
      <c r="C5" s="14" t="s">
        <v>232</v>
      </c>
      <c r="D5" s="173">
        <v>0</v>
      </c>
      <c r="E5" s="173">
        <v>0.9</v>
      </c>
      <c r="F5" s="2">
        <v>100000</v>
      </c>
      <c r="G5" s="2">
        <v>0</v>
      </c>
      <c r="H5" s="2">
        <v>900.00000000000011</v>
      </c>
    </row>
    <row r="6" spans="2:8" x14ac:dyDescent="0.2">
      <c r="B6" t="s">
        <v>231</v>
      </c>
      <c r="C6" t="s">
        <v>21</v>
      </c>
      <c r="D6" s="173">
        <v>1</v>
      </c>
      <c r="E6" s="173">
        <v>2.1</v>
      </c>
      <c r="F6" s="2">
        <v>100000</v>
      </c>
      <c r="G6" s="2">
        <v>1000</v>
      </c>
      <c r="H6" s="2">
        <v>1100</v>
      </c>
    </row>
    <row r="7" spans="2:8" x14ac:dyDescent="0.2">
      <c r="B7" t="s">
        <v>160</v>
      </c>
      <c r="C7" t="s">
        <v>233</v>
      </c>
      <c r="D7" s="173">
        <v>1</v>
      </c>
      <c r="E7" s="189">
        <v>1.2</v>
      </c>
      <c r="F7" s="2">
        <v>100000</v>
      </c>
      <c r="G7" s="2">
        <v>1000</v>
      </c>
      <c r="H7" s="2">
        <v>200</v>
      </c>
    </row>
    <row r="8" spans="2:8" x14ac:dyDescent="0.2">
      <c r="B8" s="108" t="s">
        <v>20</v>
      </c>
      <c r="C8" t="s">
        <v>20</v>
      </c>
      <c r="D8" s="173">
        <v>0</v>
      </c>
      <c r="E8" s="189">
        <v>1.2</v>
      </c>
      <c r="F8" s="2">
        <v>100000</v>
      </c>
      <c r="G8" s="2">
        <v>0</v>
      </c>
      <c r="H8" s="2">
        <v>1200</v>
      </c>
    </row>
    <row r="9" spans="2:8" x14ac:dyDescent="0.2">
      <c r="B9" s="108" t="s">
        <v>234</v>
      </c>
      <c r="C9" t="s">
        <v>234</v>
      </c>
      <c r="D9" s="173">
        <v>0</v>
      </c>
      <c r="E9" s="173">
        <v>1.1000000000000001</v>
      </c>
      <c r="F9" s="2">
        <v>100000</v>
      </c>
      <c r="G9" s="2">
        <v>0</v>
      </c>
      <c r="H9" s="2">
        <v>1100</v>
      </c>
    </row>
    <row r="10" spans="2:8" x14ac:dyDescent="0.2">
      <c r="B10" s="108" t="s">
        <v>235</v>
      </c>
      <c r="C10" s="108" t="s">
        <v>235</v>
      </c>
      <c r="D10" s="173">
        <v>0</v>
      </c>
      <c r="E10" s="173">
        <v>1.6</v>
      </c>
      <c r="F10" s="2">
        <v>100000</v>
      </c>
      <c r="G10" s="2">
        <v>0</v>
      </c>
      <c r="H10" s="2">
        <v>1600</v>
      </c>
    </row>
    <row r="11" spans="2:8" x14ac:dyDescent="0.2">
      <c r="B11" s="108" t="s">
        <v>22</v>
      </c>
      <c r="C11" s="108" t="s">
        <v>22</v>
      </c>
      <c r="D11" s="173">
        <v>0</v>
      </c>
      <c r="E11" s="173">
        <v>0.5</v>
      </c>
      <c r="F11" s="2">
        <v>100000</v>
      </c>
      <c r="G11" s="2">
        <v>0</v>
      </c>
      <c r="H11" s="2">
        <v>500</v>
      </c>
    </row>
    <row r="12" spans="2:8" x14ac:dyDescent="0.2">
      <c r="B12" s="108" t="s">
        <v>236</v>
      </c>
      <c r="C12" s="108" t="s">
        <v>236</v>
      </c>
      <c r="D12" s="173">
        <v>0</v>
      </c>
      <c r="E12" s="173">
        <v>0.02</v>
      </c>
      <c r="F12" s="2">
        <v>100000</v>
      </c>
      <c r="G12" s="2">
        <v>0</v>
      </c>
      <c r="H12" s="2">
        <v>20</v>
      </c>
    </row>
    <row r="13" spans="2:8" x14ac:dyDescent="0.2">
      <c r="G13" s="2">
        <v>0</v>
      </c>
      <c r="H13" s="2">
        <v>0</v>
      </c>
    </row>
    <row r="14" spans="2:8" x14ac:dyDescent="0.2">
      <c r="G14" s="2">
        <v>0</v>
      </c>
      <c r="H14" s="2">
        <v>0</v>
      </c>
    </row>
    <row r="15" spans="2:8" x14ac:dyDescent="0.2">
      <c r="G15" s="2">
        <v>0</v>
      </c>
      <c r="H15" s="2">
        <v>0</v>
      </c>
    </row>
    <row r="16" spans="2:8" x14ac:dyDescent="0.2">
      <c r="G16" s="2">
        <v>0</v>
      </c>
      <c r="H16" s="2">
        <v>0</v>
      </c>
    </row>
    <row r="17" spans="7:8" x14ac:dyDescent="0.2">
      <c r="G17" s="2">
        <v>0</v>
      </c>
      <c r="H17" s="2">
        <v>0</v>
      </c>
    </row>
    <row r="18" spans="7:8" x14ac:dyDescent="0.2">
      <c r="G18" s="2">
        <v>0</v>
      </c>
      <c r="H18" s="2">
        <v>0</v>
      </c>
    </row>
    <row r="19" spans="7:8" x14ac:dyDescent="0.2">
      <c r="G19" s="2">
        <v>0</v>
      </c>
      <c r="H19" s="2">
        <v>0</v>
      </c>
    </row>
    <row r="20" spans="7:8" x14ac:dyDescent="0.2">
      <c r="G20" s="2">
        <v>0</v>
      </c>
      <c r="H20" s="2">
        <v>0</v>
      </c>
    </row>
    <row r="21" spans="7:8" x14ac:dyDescent="0.2">
      <c r="G21" s="2">
        <v>0</v>
      </c>
      <c r="H21" s="2">
        <v>0</v>
      </c>
    </row>
    <row r="22" spans="7:8" x14ac:dyDescent="0.2">
      <c r="G22" s="2">
        <v>0</v>
      </c>
      <c r="H22" s="2">
        <v>0</v>
      </c>
    </row>
    <row r="23" spans="7:8" x14ac:dyDescent="0.2">
      <c r="G23" s="2">
        <v>0</v>
      </c>
      <c r="H23" s="2">
        <v>0</v>
      </c>
    </row>
    <row r="24" spans="7:8" x14ac:dyDescent="0.2">
      <c r="G24" s="2">
        <v>0</v>
      </c>
      <c r="H24" s="2">
        <v>0</v>
      </c>
    </row>
    <row r="25" spans="7:8" x14ac:dyDescent="0.2">
      <c r="G25" s="2">
        <v>0</v>
      </c>
      <c r="H25" s="2">
        <v>0</v>
      </c>
    </row>
    <row r="26" spans="7:8" x14ac:dyDescent="0.2">
      <c r="G26" s="2">
        <v>0</v>
      </c>
      <c r="H26" s="2">
        <v>0</v>
      </c>
    </row>
    <row r="27" spans="7:8" x14ac:dyDescent="0.2">
      <c r="G27" s="2">
        <v>0</v>
      </c>
      <c r="H27" s="2">
        <v>0</v>
      </c>
    </row>
    <row r="28" spans="7:8" x14ac:dyDescent="0.2">
      <c r="G28" s="2">
        <v>0</v>
      </c>
      <c r="H28" s="2">
        <v>0</v>
      </c>
    </row>
    <row r="29" spans="7:8" x14ac:dyDescent="0.2">
      <c r="G29" s="2">
        <v>0</v>
      </c>
      <c r="H29" s="2">
        <v>0</v>
      </c>
    </row>
    <row r="30" spans="7:8" x14ac:dyDescent="0.2">
      <c r="G30" s="2">
        <v>0</v>
      </c>
      <c r="H30" s="2">
        <v>0</v>
      </c>
    </row>
    <row r="31" spans="7:8" x14ac:dyDescent="0.2">
      <c r="G31" s="2">
        <v>0</v>
      </c>
      <c r="H31" s="2">
        <v>0</v>
      </c>
    </row>
    <row r="32" spans="7:8" x14ac:dyDescent="0.2">
      <c r="G32" s="2">
        <v>0</v>
      </c>
      <c r="H32" s="2">
        <v>0</v>
      </c>
    </row>
    <row r="33" spans="7:8" x14ac:dyDescent="0.2">
      <c r="G33" s="2">
        <v>0</v>
      </c>
      <c r="H33" s="2">
        <v>0</v>
      </c>
    </row>
    <row r="34" spans="7:8" x14ac:dyDescent="0.2">
      <c r="G34" s="2">
        <v>0</v>
      </c>
      <c r="H34" s="2">
        <v>0</v>
      </c>
    </row>
    <row r="35" spans="7:8" x14ac:dyDescent="0.2">
      <c r="G35" s="2">
        <v>0</v>
      </c>
      <c r="H35" s="2">
        <v>0</v>
      </c>
    </row>
    <row r="36" spans="7:8" x14ac:dyDescent="0.2">
      <c r="G36" s="2">
        <v>0</v>
      </c>
      <c r="H36" s="2">
        <v>0</v>
      </c>
    </row>
    <row r="37" spans="7:8" x14ac:dyDescent="0.2">
      <c r="G37" s="2">
        <v>0</v>
      </c>
      <c r="H37" s="2">
        <v>0</v>
      </c>
    </row>
    <row r="38" spans="7:8" x14ac:dyDescent="0.2">
      <c r="G38" s="2">
        <v>0</v>
      </c>
      <c r="H38" s="2">
        <v>0</v>
      </c>
    </row>
    <row r="39" spans="7:8" x14ac:dyDescent="0.2">
      <c r="G39" s="2">
        <v>0</v>
      </c>
      <c r="H39" s="2">
        <v>0</v>
      </c>
    </row>
    <row r="40" spans="7:8" x14ac:dyDescent="0.2">
      <c r="G40" s="2">
        <v>0</v>
      </c>
      <c r="H40" s="2">
        <v>0</v>
      </c>
    </row>
    <row r="41" spans="7:8" x14ac:dyDescent="0.2">
      <c r="G41" s="2">
        <v>0</v>
      </c>
      <c r="H41" s="2">
        <v>0</v>
      </c>
    </row>
    <row r="42" spans="7:8" x14ac:dyDescent="0.2">
      <c r="G42" s="2">
        <v>0</v>
      </c>
      <c r="H42" s="2">
        <v>0</v>
      </c>
    </row>
    <row r="43" spans="7:8" x14ac:dyDescent="0.2">
      <c r="G43" s="2">
        <v>0</v>
      </c>
      <c r="H43" s="2">
        <v>0</v>
      </c>
    </row>
    <row r="44" spans="7:8" x14ac:dyDescent="0.2">
      <c r="G44" s="2">
        <v>0</v>
      </c>
      <c r="H44" s="2">
        <v>0</v>
      </c>
    </row>
    <row r="45" spans="7:8" x14ac:dyDescent="0.2">
      <c r="G45" s="2">
        <v>0</v>
      </c>
      <c r="H45" s="2">
        <v>0</v>
      </c>
    </row>
    <row r="46" spans="7:8" x14ac:dyDescent="0.2">
      <c r="G46" s="2">
        <v>0</v>
      </c>
      <c r="H46" s="2">
        <v>0</v>
      </c>
    </row>
    <row r="47" spans="7:8" x14ac:dyDescent="0.2">
      <c r="G47" s="2">
        <v>0</v>
      </c>
      <c r="H47" s="2">
        <v>0</v>
      </c>
    </row>
    <row r="48" spans="7:8" x14ac:dyDescent="0.2">
      <c r="G48" s="2">
        <v>0</v>
      </c>
      <c r="H48" s="2">
        <v>0</v>
      </c>
    </row>
    <row r="49" spans="7:8" x14ac:dyDescent="0.2">
      <c r="G49" s="2">
        <v>0</v>
      </c>
      <c r="H49" s="2">
        <v>0</v>
      </c>
    </row>
    <row r="50" spans="7:8" x14ac:dyDescent="0.2">
      <c r="G50" s="2">
        <v>0</v>
      </c>
      <c r="H50" s="2">
        <v>0</v>
      </c>
    </row>
    <row r="51" spans="7:8" x14ac:dyDescent="0.2">
      <c r="G51" s="2">
        <v>0</v>
      </c>
      <c r="H51" s="2">
        <v>0</v>
      </c>
    </row>
    <row r="52" spans="7:8" x14ac:dyDescent="0.2">
      <c r="G52" s="2">
        <v>0</v>
      </c>
      <c r="H52" s="2">
        <v>0</v>
      </c>
    </row>
    <row r="53" spans="7:8" x14ac:dyDescent="0.2">
      <c r="G53" s="2">
        <v>0</v>
      </c>
      <c r="H53" s="2">
        <v>0</v>
      </c>
    </row>
  </sheetData>
  <autoFilter ref="B3:H7" xr:uid="{1A4CF7C3-12C6-4848-B376-9685294E2411}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55F6-D3CB-4342-AF80-F445B78F2F4C}">
  <sheetPr codeName="Sheet16">
    <tabColor rgb="FF0000FF"/>
  </sheetPr>
  <dimension ref="B1:O5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" sqref="E3"/>
    </sheetView>
  </sheetViews>
  <sheetFormatPr defaultRowHeight="12.75" x14ac:dyDescent="0.2"/>
  <cols>
    <col min="1" max="1" width="2.42578125" customWidth="1"/>
    <col min="2" max="3" width="32.140625" customWidth="1"/>
    <col min="4" max="4" width="15.5703125" style="2" customWidth="1"/>
    <col min="5" max="5" width="21.140625" style="148" bestFit="1" customWidth="1"/>
    <col min="6" max="6" width="14.7109375" style="156" bestFit="1" customWidth="1"/>
    <col min="7" max="7" width="16.42578125" style="1" bestFit="1" customWidth="1"/>
    <col min="8" max="8" width="2.28515625" style="1" customWidth="1"/>
    <col min="9" max="9" width="19" bestFit="1" customWidth="1"/>
    <col min="15" max="15" width="10.140625" style="17" bestFit="1" customWidth="1"/>
  </cols>
  <sheetData>
    <row r="1" spans="2:9" x14ac:dyDescent="0.2">
      <c r="B1" s="72" t="s">
        <v>131</v>
      </c>
      <c r="C1" s="72" t="s">
        <v>131</v>
      </c>
      <c r="D1" s="110" t="s">
        <v>131</v>
      </c>
      <c r="E1" s="147" t="s">
        <v>131</v>
      </c>
      <c r="F1" s="166" t="s">
        <v>131</v>
      </c>
      <c r="G1" s="166" t="s">
        <v>131</v>
      </c>
      <c r="H1" s="183"/>
      <c r="I1" s="46" t="s">
        <v>119</v>
      </c>
    </row>
    <row r="2" spans="2:9" x14ac:dyDescent="0.2">
      <c r="F2" s="167"/>
      <c r="G2" s="183"/>
      <c r="H2" s="183"/>
    </row>
    <row r="3" spans="2:9" s="9" customFormat="1" ht="15" x14ac:dyDescent="0.35">
      <c r="B3" s="9" t="s">
        <v>31</v>
      </c>
      <c r="C3" s="24" t="s">
        <v>55</v>
      </c>
      <c r="D3" s="109" t="s">
        <v>56</v>
      </c>
      <c r="E3" s="149" t="s">
        <v>345</v>
      </c>
      <c r="F3" s="168" t="s">
        <v>328</v>
      </c>
      <c r="G3" s="25" t="s">
        <v>329</v>
      </c>
      <c r="H3" s="25" t="s">
        <v>53</v>
      </c>
      <c r="I3" s="9" t="s">
        <v>203</v>
      </c>
    </row>
    <row r="4" spans="2:9" x14ac:dyDescent="0.2">
      <c r="B4" s="14" t="s">
        <v>11</v>
      </c>
      <c r="C4" s="14" t="s">
        <v>152</v>
      </c>
      <c r="D4" s="173">
        <v>4000</v>
      </c>
      <c r="E4" s="148" t="s">
        <v>223</v>
      </c>
      <c r="F4" s="156">
        <v>45639</v>
      </c>
      <c r="G4" s="27">
        <v>2</v>
      </c>
      <c r="H4" s="27"/>
      <c r="I4" s="17" cm="1">
        <f t="array" aca="1" ref="I4" ca="1">_xlfn.LET(
    _xlpm.frequency_type,$E4,
    _xlpm.frequency_value,$G4,
    _xlpm.start_date,$F4,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5" spans="2:9" x14ac:dyDescent="0.2">
      <c r="B5" s="14" t="s">
        <v>110</v>
      </c>
      <c r="C5" s="174" t="s">
        <v>242</v>
      </c>
      <c r="D5" s="173">
        <v>200</v>
      </c>
      <c r="E5" s="148" t="s">
        <v>223</v>
      </c>
      <c r="F5" s="156">
        <v>45667</v>
      </c>
      <c r="G5" s="27">
        <v>2</v>
      </c>
      <c r="H5" s="27"/>
      <c r="I5" s="17" cm="1">
        <f t="array" aca="1" ref="I5" ca="1">_xlfn.LET(
    _xlpm.frequency_type,$E5,
    _xlpm.frequency_value,$G5,
    _xlpm.start_date,$F5,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6" spans="2:9" s="26" customFormat="1" x14ac:dyDescent="0.2">
      <c r="B6" s="14" t="s">
        <v>118</v>
      </c>
      <c r="C6" t="s">
        <v>237</v>
      </c>
      <c r="D6" s="173">
        <v>2</v>
      </c>
      <c r="E6" s="148" t="s">
        <v>223</v>
      </c>
      <c r="F6" s="156">
        <v>45639</v>
      </c>
      <c r="G6" s="27">
        <v>2</v>
      </c>
      <c r="H6" s="27"/>
      <c r="I6" s="17" cm="1">
        <f t="array" aca="1" ref="I6" ca="1">_xlfn.LET(
    _xlpm.frequency_type,$E6,
    _xlpm.frequency_value,$G6,
    _xlpm.start_date,$F6,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7" spans="2:9" s="111" customFormat="1" x14ac:dyDescent="0.2">
      <c r="B7" s="14" t="s">
        <v>118</v>
      </c>
      <c r="C7" t="s">
        <v>238</v>
      </c>
      <c r="D7" s="173">
        <v>40</v>
      </c>
      <c r="E7" s="148" t="s">
        <v>223</v>
      </c>
      <c r="F7" s="156">
        <v>45639</v>
      </c>
      <c r="G7" s="27">
        <v>2</v>
      </c>
      <c r="H7" s="27"/>
      <c r="I7" s="17" cm="1">
        <f t="array" aca="1" ref="I7" ca="1">_xlfn.LET(
    _xlpm.frequency_type,$E7,
    _xlpm.frequency_value,$G7,
    _xlpm.start_date,$F7,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8" spans="2:9" s="26" customFormat="1" x14ac:dyDescent="0.2">
      <c r="B8" s="14" t="s">
        <v>118</v>
      </c>
      <c r="C8" t="s">
        <v>239</v>
      </c>
      <c r="D8" s="173">
        <v>50</v>
      </c>
      <c r="E8" s="148" t="s">
        <v>223</v>
      </c>
      <c r="F8" s="156">
        <v>45639</v>
      </c>
      <c r="G8" s="27">
        <v>2</v>
      </c>
      <c r="H8" s="27"/>
      <c r="I8" s="17" cm="1">
        <f t="array" aca="1" ref="I8" ca="1">_xlfn.LET(
    _xlpm.frequency_type,$E8,
    _xlpm.frequency_value,$G8,
    _xlpm.start_date,$F8,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9" spans="2:9" s="26" customFormat="1" x14ac:dyDescent="0.2">
      <c r="B9" s="14" t="s">
        <v>118</v>
      </c>
      <c r="C9" t="s">
        <v>240</v>
      </c>
      <c r="D9" s="173">
        <v>4</v>
      </c>
      <c r="E9" s="148" t="s">
        <v>223</v>
      </c>
      <c r="F9" s="156">
        <v>45639</v>
      </c>
      <c r="G9" s="27">
        <v>2</v>
      </c>
      <c r="H9" s="27"/>
      <c r="I9" s="17" cm="1">
        <f t="array" aca="1" ref="I9" ca="1">_xlfn.LET(
    _xlpm.frequency_type,$E9,
    _xlpm.frequency_value,$G9,
    _xlpm.start_date,$F9,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10" spans="2:9" x14ac:dyDescent="0.2">
      <c r="B10" s="14" t="s">
        <v>42</v>
      </c>
      <c r="C10" s="14" t="s">
        <v>245</v>
      </c>
      <c r="D10" s="173">
        <v>40</v>
      </c>
      <c r="E10" s="150" t="s">
        <v>224</v>
      </c>
      <c r="F10" s="156">
        <f ca="1">EOMONTH(TODAY(),0)</f>
        <v>45716</v>
      </c>
      <c r="G10" s="184">
        <v>1</v>
      </c>
      <c r="H10" s="184"/>
      <c r="I10" s="17" cm="1">
        <f t="array" aca="1" ref="I10" ca="1">_xlfn.LET(
    _xlpm.frequency_type,$E10,
    _xlpm.frequency_value,$G10,
    _xlpm.start_date,$F10,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45716</v>
      </c>
    </row>
    <row r="11" spans="2:9" x14ac:dyDescent="0.2">
      <c r="B11" s="14" t="s">
        <v>42</v>
      </c>
      <c r="C11" s="14" t="s">
        <v>0</v>
      </c>
      <c r="D11" s="173">
        <v>2000</v>
      </c>
      <c r="E11" s="150" t="s">
        <v>224</v>
      </c>
      <c r="F11" s="156">
        <v>45597</v>
      </c>
      <c r="G11" s="184">
        <v>1</v>
      </c>
      <c r="H11" s="184"/>
      <c r="I11" s="17" cm="1">
        <f t="array" aca="1" ref="I11" ca="1">_xlfn.LET(
    _xlpm.frequency_type,$E11,
    _xlpm.frequency_value,$G11,
    _xlpm.start_date,$F11,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45689</v>
      </c>
    </row>
    <row r="12" spans="2:9" x14ac:dyDescent="0.2">
      <c r="B12" s="14" t="s">
        <v>30</v>
      </c>
      <c r="C12" s="14" t="s">
        <v>263</v>
      </c>
      <c r="D12" s="173">
        <v>500</v>
      </c>
      <c r="E12" s="150" t="s">
        <v>224</v>
      </c>
      <c r="F12" s="156">
        <v>45454</v>
      </c>
      <c r="G12" s="184">
        <v>6</v>
      </c>
      <c r="H12" s="184"/>
      <c r="I12" s="17" cm="1">
        <f t="array" aca="1" ref="I12" ca="1">_xlfn.LET(
    _xlpm.frequency_type,$E12,
    _xlpm.frequency_value,$G12,
    _xlpm.start_date,$F12,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45819</v>
      </c>
    </row>
    <row r="13" spans="2:9" x14ac:dyDescent="0.2">
      <c r="B13" s="14" t="s">
        <v>30</v>
      </c>
      <c r="C13" s="14" t="s">
        <v>264</v>
      </c>
      <c r="D13" s="173">
        <v>50</v>
      </c>
      <c r="E13" s="150" t="s">
        <v>223</v>
      </c>
      <c r="F13" s="156">
        <v>45669</v>
      </c>
      <c r="G13" s="184">
        <v>1</v>
      </c>
      <c r="H13" s="184"/>
      <c r="I13" s="17" cm="1">
        <f t="array" aca="1" ref="I13" ca="1">_xlfn.LET(
    _xlpm.frequency_type,$E13,
    _xlpm.frequency_value,$G13,
    _xlpm.start_date,$F13,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45690</v>
      </c>
    </row>
    <row r="14" spans="2:9" x14ac:dyDescent="0.2">
      <c r="B14" s="14" t="s">
        <v>3</v>
      </c>
      <c r="C14" s="26" t="s">
        <v>161</v>
      </c>
      <c r="D14" s="173">
        <v>69</v>
      </c>
      <c r="E14" s="150" t="s">
        <v>225</v>
      </c>
      <c r="F14" s="169">
        <v>45454</v>
      </c>
      <c r="G14" s="184">
        <v>1</v>
      </c>
      <c r="H14" s="184"/>
      <c r="I14" s="17" cm="1">
        <f t="array" aca="1" ref="I14" ca="1">_xlfn.LET(
    _xlpm.frequency_type,$E14,
    _xlpm.frequency_value,$G14,
    _xlpm.start_date,$F14,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45819</v>
      </c>
    </row>
    <row r="15" spans="2:9" x14ac:dyDescent="0.2">
      <c r="B15" s="14" t="s">
        <v>3</v>
      </c>
      <c r="C15" s="26" t="s">
        <v>162</v>
      </c>
      <c r="D15" s="173">
        <v>15</v>
      </c>
      <c r="E15" s="150" t="s">
        <v>224</v>
      </c>
      <c r="F15" s="170">
        <v>45661</v>
      </c>
      <c r="G15" s="184">
        <v>1</v>
      </c>
      <c r="H15" s="184"/>
      <c r="I15" s="17" cm="1">
        <f t="array" aca="1" ref="I15" ca="1">_xlfn.LET(
    _xlpm.frequency_type,$E15,
    _xlpm.frequency_value,$G15,
    _xlpm.start_date,$F15,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45692</v>
      </c>
    </row>
    <row r="16" spans="2:9" x14ac:dyDescent="0.2">
      <c r="B16" s="14" t="s">
        <v>3</v>
      </c>
      <c r="C16" s="14" t="s">
        <v>163</v>
      </c>
      <c r="D16" s="173">
        <v>15.49</v>
      </c>
      <c r="E16" s="150" t="s">
        <v>224</v>
      </c>
      <c r="F16" s="170">
        <v>45674</v>
      </c>
      <c r="G16" s="184">
        <v>1</v>
      </c>
      <c r="H16" s="184"/>
      <c r="I16" s="17" cm="1">
        <f t="array" aca="1" ref="I16" ca="1">_xlfn.LET(
    _xlpm.frequency_type,$E16,
    _xlpm.frequency_value,$G16,
    _xlpm.start_date,$F16,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45705</v>
      </c>
    </row>
    <row r="17" spans="2:9" x14ac:dyDescent="0.2">
      <c r="B17" s="14" t="s">
        <v>3</v>
      </c>
      <c r="C17" s="14" t="s">
        <v>164</v>
      </c>
      <c r="D17" s="2">
        <v>10.99</v>
      </c>
      <c r="E17" s="150" t="s">
        <v>224</v>
      </c>
      <c r="F17" s="170">
        <v>45675</v>
      </c>
      <c r="G17" s="184">
        <v>1</v>
      </c>
      <c r="H17" s="184"/>
      <c r="I17" s="17" cm="1">
        <f t="array" aca="1" ref="I17" ca="1">_xlfn.LET(
    _xlpm.frequency_type,$E17,
    _xlpm.frequency_value,$G17,
    _xlpm.start_date,$F17,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45706</v>
      </c>
    </row>
    <row r="18" spans="2:9" x14ac:dyDescent="0.2">
      <c r="B18" s="14" t="s">
        <v>3</v>
      </c>
      <c r="C18" s="14" t="s">
        <v>165</v>
      </c>
      <c r="D18" s="173">
        <v>2.99</v>
      </c>
      <c r="E18" s="150" t="s">
        <v>224</v>
      </c>
      <c r="F18" s="170">
        <v>45684</v>
      </c>
      <c r="G18" s="184">
        <v>1</v>
      </c>
      <c r="H18" s="184"/>
      <c r="I18" s="17" cm="1">
        <f t="array" aca="1" ref="I18" ca="1">_xlfn.LET(
    _xlpm.frequency_type,$E18,
    _xlpm.frequency_value,$G18,
    _xlpm.start_date,$F18,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45715</v>
      </c>
    </row>
    <row r="19" spans="2:9" x14ac:dyDescent="0.2">
      <c r="B19" s="14" t="s">
        <v>1</v>
      </c>
      <c r="C19" s="14" t="s">
        <v>275</v>
      </c>
      <c r="D19" s="2">
        <v>100</v>
      </c>
      <c r="E19" s="150" t="s">
        <v>223</v>
      </c>
      <c r="F19" s="170">
        <v>45304</v>
      </c>
      <c r="G19" s="184">
        <v>1</v>
      </c>
      <c r="H19" s="184"/>
      <c r="I19" s="17" cm="1">
        <f t="array" aca="1" ref="I19" ca="1">_xlfn.LET(
    _xlpm.frequency_type,$E19,
    _xlpm.frequency_value,$G19,
    _xlpm.start_date,$F19,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45689</v>
      </c>
    </row>
    <row r="20" spans="2:9" x14ac:dyDescent="0.2">
      <c r="B20" s="14" t="s">
        <v>2</v>
      </c>
      <c r="C20" t="s">
        <v>274</v>
      </c>
      <c r="D20" s="2">
        <v>100</v>
      </c>
      <c r="E20" s="150" t="s">
        <v>223</v>
      </c>
      <c r="F20" s="170">
        <v>45304</v>
      </c>
      <c r="G20" s="184">
        <v>1</v>
      </c>
      <c r="H20" s="184"/>
      <c r="I20" s="21" cm="1">
        <f t="array" aca="1" ref="I20" ca="1">_xlfn.LET(
    _xlpm.frequency_type,$E20,
    _xlpm.frequency_value,$G20,
    _xlpm.start_date,$F20,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45689</v>
      </c>
    </row>
    <row r="21" spans="2:9" x14ac:dyDescent="0.2">
      <c r="B21" s="14" t="s">
        <v>2</v>
      </c>
      <c r="C21" t="s">
        <v>274</v>
      </c>
      <c r="D21" s="2">
        <v>100</v>
      </c>
      <c r="E21" s="150" t="s">
        <v>223</v>
      </c>
      <c r="F21" s="170">
        <v>45305</v>
      </c>
      <c r="G21" s="184">
        <v>1</v>
      </c>
      <c r="H21" s="184"/>
      <c r="I21" s="21" cm="1">
        <f t="array" aca="1" ref="I21" ca="1">_xlfn.LET(
    _xlpm.frequency_type,$E21,
    _xlpm.frequency_value,$G21,
    _xlpm.start_date,$F21,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45690</v>
      </c>
    </row>
    <row r="22" spans="2:9" x14ac:dyDescent="0.2">
      <c r="B22" s="14" t="s">
        <v>44</v>
      </c>
      <c r="C22" s="14" t="s">
        <v>241</v>
      </c>
      <c r="D22" s="173">
        <v>50</v>
      </c>
      <c r="E22" s="148" t="s">
        <v>223</v>
      </c>
      <c r="F22" s="156">
        <v>45670</v>
      </c>
      <c r="G22" s="27">
        <v>3</v>
      </c>
      <c r="H22" s="27"/>
      <c r="I22" s="21" cm="1">
        <f t="array" aca="1" ref="I22" ca="1">_xlfn.LET(
    _xlpm.frequency_type,$E22,
    _xlpm.frequency_value,$G22,
    _xlpm.start_date,$F22,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45691</v>
      </c>
    </row>
    <row r="23" spans="2:9" x14ac:dyDescent="0.2">
      <c r="B23" s="14" t="s">
        <v>265</v>
      </c>
      <c r="C23" s="191" t="s">
        <v>266</v>
      </c>
      <c r="D23" s="182">
        <v>50</v>
      </c>
      <c r="E23" s="186" t="s">
        <v>222</v>
      </c>
      <c r="F23" s="156">
        <v>45655</v>
      </c>
      <c r="G23" s="185">
        <v>90</v>
      </c>
      <c r="H23" s="185"/>
      <c r="I23" s="17" cm="1">
        <f t="array" aca="1" ref="I23" ca="1">_xlfn.LET(
    _xlpm.frequency_type,$E23,
    _xlpm.frequency_value,$G23,
    _xlpm.start_date,$F23,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45745</v>
      </c>
    </row>
    <row r="24" spans="2:9" x14ac:dyDescent="0.2">
      <c r="B24" s="14" t="s">
        <v>7</v>
      </c>
      <c r="C24" s="14" t="s">
        <v>250</v>
      </c>
      <c r="D24" s="2">
        <v>200</v>
      </c>
      <c r="E24" s="186" t="s">
        <v>224</v>
      </c>
      <c r="F24" s="156">
        <v>45674</v>
      </c>
      <c r="G24" s="185">
        <v>1</v>
      </c>
      <c r="H24" s="185"/>
      <c r="I24" s="17" cm="1">
        <f t="array" aca="1" ref="I24" ca="1">_xlfn.LET(
    _xlpm.frequency_type,$E24,
    _xlpm.frequency_value,$G24,
    _xlpm.start_date,$F24,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45705</v>
      </c>
    </row>
    <row r="25" spans="2:9" x14ac:dyDescent="0.2">
      <c r="B25" s="14" t="s">
        <v>7</v>
      </c>
      <c r="C25" s="14" t="s">
        <v>153</v>
      </c>
      <c r="D25" s="2">
        <v>100</v>
      </c>
      <c r="E25" s="186" t="s">
        <v>224</v>
      </c>
      <c r="F25" s="156">
        <v>45688</v>
      </c>
      <c r="G25" s="185">
        <v>1</v>
      </c>
      <c r="H25" s="185"/>
      <c r="I25" s="17" cm="1">
        <f t="array" aca="1" ref="I25" ca="1">_xlfn.LET(
    _xlpm.frequency_type,$E25,
    _xlpm.frequency_value,$G25,
    _xlpm.start_date,$F25,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45716</v>
      </c>
    </row>
    <row r="26" spans="2:9" x14ac:dyDescent="0.2">
      <c r="B26" s="14" t="s">
        <v>109</v>
      </c>
      <c r="C26" s="14" t="s">
        <v>289</v>
      </c>
      <c r="D26" s="2">
        <v>50</v>
      </c>
      <c r="E26" s="148" t="s">
        <v>223</v>
      </c>
      <c r="F26" s="156">
        <v>45639</v>
      </c>
      <c r="G26" s="27">
        <v>2</v>
      </c>
      <c r="H26" s="27"/>
      <c r="I26" s="17" cm="1">
        <f t="array" aca="1" ref="I26" ca="1">_xlfn.LET(
    _xlpm.frequency_type,$E26,
    _xlpm.frequency_value,$G26,
    _xlpm.start_date,$F26,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45695</v>
      </c>
    </row>
    <row r="27" spans="2:9" x14ac:dyDescent="0.2">
      <c r="B27" s="14"/>
      <c r="C27" s="14"/>
      <c r="E27" s="186"/>
      <c r="G27" s="185"/>
      <c r="H27" s="185"/>
      <c r="I27" s="17" t="str" cm="1">
        <f t="array" aca="1" ref="I27" ca="1">_xlfn.LET(
    _xlpm.frequency_type,$E27,
    _xlpm.frequency_value,$G27,
    _xlpm.start_date,$F27,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8" spans="2:9" x14ac:dyDescent="0.2">
      <c r="B28" s="14"/>
      <c r="C28" s="14"/>
      <c r="E28" s="186"/>
      <c r="G28" s="185"/>
      <c r="H28" s="185"/>
      <c r="I28" s="17" t="str" cm="1">
        <f t="array" aca="1" ref="I28" ca="1">_xlfn.LET(
    _xlpm.frequency_type,$E28,
    _xlpm.frequency_value,$G28,
    _xlpm.start_date,$F28,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9" spans="2:9" x14ac:dyDescent="0.2">
      <c r="B29" s="14"/>
      <c r="C29" s="14"/>
      <c r="E29" s="186"/>
      <c r="G29" s="185"/>
      <c r="H29" s="185"/>
      <c r="I29" s="17" t="str" cm="1">
        <f t="array" aca="1" ref="I29" ca="1">_xlfn.LET(
    _xlpm.frequency_type,$E29,
    _xlpm.frequency_value,$G29,
    _xlpm.start_date,$F29,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0" spans="2:9" x14ac:dyDescent="0.2">
      <c r="B30" s="14"/>
      <c r="C30" s="14"/>
      <c r="E30" s="186"/>
      <c r="G30" s="185"/>
      <c r="H30" s="185"/>
      <c r="I30" s="17" t="str" cm="1">
        <f t="array" aca="1" ref="I30" ca="1">_xlfn.LET(
    _xlpm.frequency_type,$E30,
    _xlpm.frequency_value,$G30,
    _xlpm.start_date,$F30,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1" spans="2:9" x14ac:dyDescent="0.2">
      <c r="B31" s="14"/>
      <c r="C31" s="14"/>
      <c r="E31" s="186"/>
      <c r="G31" s="185"/>
      <c r="H31" s="185"/>
      <c r="I31" s="17" t="str" cm="1">
        <f t="array" aca="1" ref="I31" ca="1">_xlfn.LET(
    _xlpm.frequency_type,$E31,
    _xlpm.frequency_value,$G31,
    _xlpm.start_date,$F31,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2" spans="2:9" x14ac:dyDescent="0.2">
      <c r="B32" s="14"/>
      <c r="C32" s="14"/>
      <c r="E32" s="186"/>
      <c r="G32" s="185"/>
      <c r="H32" s="185"/>
      <c r="I32" s="17" t="str" cm="1">
        <f t="array" aca="1" ref="I32" ca="1">_xlfn.LET(
    _xlpm.frequency_type,$E32,
    _xlpm.frequency_value,$G32,
    _xlpm.start_date,$F32,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3" spans="2:9" x14ac:dyDescent="0.2">
      <c r="B33" s="14"/>
      <c r="C33" s="14"/>
      <c r="E33" s="186"/>
      <c r="G33" s="185"/>
      <c r="H33" s="185"/>
      <c r="I33" s="17" t="str" cm="1">
        <f t="array" aca="1" ref="I33" ca="1">_xlfn.LET(
    _xlpm.frequency_type,$E33,
    _xlpm.frequency_value,$G33,
    _xlpm.start_date,$F33,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4" spans="2:9" x14ac:dyDescent="0.2">
      <c r="B34" s="14"/>
      <c r="C34" s="14"/>
      <c r="E34" s="186"/>
      <c r="G34" s="185"/>
      <c r="H34" s="185"/>
      <c r="I34" s="17" t="str" cm="1">
        <f t="array" aca="1" ref="I34" ca="1">_xlfn.LET(
    _xlpm.frequency_type,$E34,
    _xlpm.frequency_value,$G34,
    _xlpm.start_date,$F34,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5" spans="2:9" x14ac:dyDescent="0.2">
      <c r="B35" s="14"/>
      <c r="C35" s="14"/>
      <c r="E35" s="186"/>
      <c r="G35" s="185"/>
      <c r="H35" s="185"/>
      <c r="I35" s="17" t="str" cm="1">
        <f t="array" aca="1" ref="I35" ca="1">_xlfn.LET(
    _xlpm.frequency_type,$E35,
    _xlpm.frequency_value,$G35,
    _xlpm.start_date,$F35,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6" spans="2:9" x14ac:dyDescent="0.2">
      <c r="B36" s="14"/>
      <c r="C36" s="14"/>
      <c r="E36" s="186"/>
      <c r="G36" s="185"/>
      <c r="H36" s="185"/>
      <c r="I36" s="17" t="str" cm="1">
        <f t="array" aca="1" ref="I36" ca="1">_xlfn.LET(
    _xlpm.frequency_type,$E36,
    _xlpm.frequency_value,$G36,
    _xlpm.start_date,$F36,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7" spans="2:9" x14ac:dyDescent="0.2">
      <c r="B37" s="14"/>
      <c r="C37" s="14"/>
      <c r="E37" s="186"/>
      <c r="G37" s="185"/>
      <c r="H37" s="185"/>
      <c r="I37" s="17" t="str" cm="1">
        <f t="array" aca="1" ref="I37" ca="1">_xlfn.LET(
    _xlpm.frequency_type,$E37,
    _xlpm.frequency_value,$G37,
    _xlpm.start_date,$F37,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8" spans="2:9" x14ac:dyDescent="0.2">
      <c r="B38" s="14"/>
      <c r="C38" s="14"/>
      <c r="E38" s="186"/>
      <c r="G38" s="185"/>
      <c r="H38" s="185"/>
      <c r="I38" s="17" t="str" cm="1">
        <f t="array" aca="1" ref="I38" ca="1">_xlfn.LET(
    _xlpm.frequency_type,$E38,
    _xlpm.frequency_value,$G38,
    _xlpm.start_date,$F38,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9" spans="2:9" x14ac:dyDescent="0.2">
      <c r="B39" s="14"/>
      <c r="C39" s="14"/>
      <c r="E39" s="186"/>
      <c r="G39" s="185"/>
      <c r="H39" s="185"/>
      <c r="I39" s="17" t="str" cm="1">
        <f t="array" aca="1" ref="I39" ca="1">_xlfn.LET(
    _xlpm.frequency_type,$E39,
    _xlpm.frequency_value,$G39,
    _xlpm.start_date,$F39,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0" spans="2:9" x14ac:dyDescent="0.2">
      <c r="B40" s="14"/>
      <c r="C40" s="14"/>
      <c r="E40" s="186"/>
      <c r="G40" s="185"/>
      <c r="H40" s="185"/>
      <c r="I40" s="17" t="str" cm="1">
        <f t="array" aca="1" ref="I40" ca="1">_xlfn.LET(
    _xlpm.frequency_type,$E40,
    _xlpm.frequency_value,$G40,
    _xlpm.start_date,$F40,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1" spans="2:9" x14ac:dyDescent="0.2">
      <c r="B41" s="14"/>
      <c r="C41" s="14"/>
      <c r="E41" s="186"/>
      <c r="G41" s="185"/>
      <c r="H41" s="185"/>
      <c r="I41" s="17" t="str" cm="1">
        <f t="array" aca="1" ref="I41" ca="1">_xlfn.LET(
    _xlpm.frequency_type,$E41,
    _xlpm.frequency_value,$G41,
    _xlpm.start_date,$F41,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2" spans="2:9" x14ac:dyDescent="0.2">
      <c r="B42" s="14"/>
      <c r="C42" s="14"/>
      <c r="E42" s="186"/>
      <c r="G42" s="185"/>
      <c r="H42" s="185"/>
      <c r="I42" s="17" t="str" cm="1">
        <f t="array" aca="1" ref="I42" ca="1">_xlfn.LET(
    _xlpm.frequency_type,$E42,
    _xlpm.frequency_value,$G42,
    _xlpm.start_date,$F42,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3" spans="2:9" x14ac:dyDescent="0.2">
      <c r="I43" s="17" t="str" cm="1">
        <f t="array" aca="1" ref="I43" ca="1">_xlfn.LET(
    _xlpm.frequency_type,$E43,
    _xlpm.frequency_value,$G43,
    _xlpm.start_date,$F43,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4" spans="2:9" x14ac:dyDescent="0.2">
      <c r="I44" s="17" t="str" cm="1">
        <f t="array" aca="1" ref="I44" ca="1">_xlfn.LET(
    _xlpm.frequency_type,$E44,
    _xlpm.frequency_value,$G44,
    _xlpm.start_date,$F44,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5" spans="2:9" x14ac:dyDescent="0.2">
      <c r="I45" s="17" t="str" cm="1">
        <f t="array" aca="1" ref="I45" ca="1">_xlfn.LET(
    _xlpm.frequency_type,$E45,
    _xlpm.frequency_value,$G45,
    _xlpm.start_date,$F45,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6" spans="2:9" x14ac:dyDescent="0.2">
      <c r="I46" s="17" t="str" cm="1">
        <f t="array" aca="1" ref="I46" ca="1">_xlfn.LET(
    _xlpm.frequency_type,$E46,
    _xlpm.frequency_value,$G46,
    _xlpm.start_date,$F46,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7" spans="2:9" x14ac:dyDescent="0.2">
      <c r="I47" s="17" t="str" cm="1">
        <f t="array" aca="1" ref="I47" ca="1">_xlfn.LET(
    _xlpm.frequency_type,$E47,
    _xlpm.frequency_value,$G47,
    _xlpm.start_date,$F47,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8" spans="2:9" x14ac:dyDescent="0.2">
      <c r="I48" s="17" t="str" cm="1">
        <f t="array" aca="1" ref="I48" ca="1">_xlfn.LET(
    _xlpm.frequency_type,$E48,
    _xlpm.frequency_value,$G48,
    _xlpm.start_date,$F48,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9" spans="9:9" x14ac:dyDescent="0.2">
      <c r="I49" s="17" t="str" cm="1">
        <f t="array" aca="1" ref="I49" ca="1">_xlfn.LET(
    _xlpm.frequency_type,$E49,
    _xlpm.frequency_value,$G49,
    _xlpm.start_date,$F49,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0" spans="9:9" x14ac:dyDescent="0.2">
      <c r="I50" s="17" t="str" cm="1">
        <f t="array" aca="1" ref="I50" ca="1">_xlfn.LET(
    _xlpm.frequency_type,$E50,
    _xlpm.frequency_value,$G50,
    _xlpm.start_date,$F50,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1" spans="9:9" x14ac:dyDescent="0.2">
      <c r="I51" s="17" t="str" cm="1">
        <f t="array" aca="1" ref="I51" ca="1">_xlfn.LET(
    _xlpm.frequency_type,$E51,
    _xlpm.frequency_value,$G51,
    _xlpm.start_date,$F51,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2" spans="9:9" x14ac:dyDescent="0.2">
      <c r="I52" s="17" t="str" cm="1">
        <f t="array" aca="1" ref="I52" ca="1">_xlfn.LET(
    _xlpm.frequency_type,$E52,
    _xlpm.frequency_value,$G52,
    _xlpm.start_date,$F52,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3" spans="9:9" x14ac:dyDescent="0.2">
      <c r="I53" s="17" t="str" cm="1">
        <f t="array" aca="1" ref="I53" ca="1">_xlfn.LET(
    _xlpm.frequency_type,$E53,
    _xlpm.frequency_value,$G53,
    _xlpm.start_date,$F53,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</sheetData>
  <autoFilter ref="B3:I25" xr:uid="{85FE55F6-D3CB-4342-AF80-F445B78F2F4C}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CB39B3-D641-4D30-A5DD-9A55832BC5B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0B4FF59B-1AA3-4B02-B52A-91F340BEAE88}">
          <x14:formula1>
            <xm:f>'Data Validation'!$C$2:$C$5</xm:f>
          </x14:formula1>
          <xm:sqref>E4:E1048576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666B-B883-454C-B506-3E9C2D4F2687}">
  <sheetPr codeName="Sheet17">
    <tabColor rgb="FF0000FF"/>
  </sheetPr>
  <dimension ref="B1:E1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" sqref="D3"/>
    </sheetView>
  </sheetViews>
  <sheetFormatPr defaultRowHeight="12.75" x14ac:dyDescent="0.2"/>
  <cols>
    <col min="1" max="1" width="2" customWidth="1"/>
    <col min="2" max="2" width="30.5703125" bestFit="1" customWidth="1"/>
    <col min="3" max="3" width="24.140625" bestFit="1" customWidth="1"/>
    <col min="4" max="4" width="14" bestFit="1" customWidth="1"/>
    <col min="5" max="5" width="11.42578125" style="11" bestFit="1" customWidth="1"/>
  </cols>
  <sheetData>
    <row r="1" spans="2:5" x14ac:dyDescent="0.2">
      <c r="B1" s="72" t="s">
        <v>131</v>
      </c>
      <c r="C1" s="72" t="s">
        <v>131</v>
      </c>
      <c r="D1" s="72" t="s">
        <v>131</v>
      </c>
      <c r="E1" s="74" t="s">
        <v>131</v>
      </c>
    </row>
    <row r="3" spans="2:5" s="9" customFormat="1" ht="15" x14ac:dyDescent="0.35">
      <c r="B3" s="9" t="s">
        <v>31</v>
      </c>
      <c r="C3" s="9" t="s">
        <v>55</v>
      </c>
      <c r="D3" s="9" t="s">
        <v>346</v>
      </c>
      <c r="E3" s="16" t="s">
        <v>59</v>
      </c>
    </row>
    <row r="4" spans="2:5" x14ac:dyDescent="0.2">
      <c r="B4" s="14" t="s">
        <v>33</v>
      </c>
      <c r="C4" s="14" t="s">
        <v>243</v>
      </c>
      <c r="D4" t="s">
        <v>11</v>
      </c>
      <c r="E4" s="175">
        <v>6.071368552722535E-2</v>
      </c>
    </row>
    <row r="5" spans="2:5" x14ac:dyDescent="0.2">
      <c r="B5" s="14" t="s">
        <v>33</v>
      </c>
      <c r="C5" s="14" t="s">
        <v>27</v>
      </c>
      <c r="D5" t="s">
        <v>11</v>
      </c>
      <c r="E5" s="175">
        <v>1.4199559598822593E-2</v>
      </c>
    </row>
    <row r="6" spans="2:5" x14ac:dyDescent="0.2">
      <c r="B6" s="14" t="s">
        <v>33</v>
      </c>
      <c r="C6" s="14" t="s">
        <v>166</v>
      </c>
      <c r="D6" t="s">
        <v>11</v>
      </c>
      <c r="E6" s="175">
        <v>4.8473581993101193E-2</v>
      </c>
    </row>
    <row r="7" spans="2:5" x14ac:dyDescent="0.2">
      <c r="B7" s="14" t="s">
        <v>33</v>
      </c>
      <c r="C7" s="14" t="s">
        <v>244</v>
      </c>
      <c r="D7" t="s">
        <v>11</v>
      </c>
      <c r="E7" s="175">
        <v>0.17218958387112981</v>
      </c>
    </row>
    <row r="8" spans="2:5" x14ac:dyDescent="0.2">
      <c r="B8" s="14" t="s">
        <v>33</v>
      </c>
      <c r="C8" s="14" t="s">
        <v>61</v>
      </c>
      <c r="D8" t="s">
        <v>12</v>
      </c>
      <c r="E8" s="175">
        <v>6.071368552722535E-2</v>
      </c>
    </row>
    <row r="9" spans="2:5" x14ac:dyDescent="0.2">
      <c r="B9" s="14" t="s">
        <v>33</v>
      </c>
      <c r="C9" s="14" t="s">
        <v>28</v>
      </c>
      <c r="D9" t="s">
        <v>12</v>
      </c>
      <c r="E9" s="175">
        <v>1.4199559598822593E-2</v>
      </c>
    </row>
    <row r="10" spans="2:5" x14ac:dyDescent="0.2">
      <c r="B10" s="14" t="s">
        <v>33</v>
      </c>
      <c r="C10" s="14" t="s">
        <v>27</v>
      </c>
      <c r="D10" t="s">
        <v>12</v>
      </c>
      <c r="E10" s="175">
        <v>4.8473581993101193E-2</v>
      </c>
    </row>
    <row r="11" spans="2:5" x14ac:dyDescent="0.2">
      <c r="B11" s="14" t="s">
        <v>33</v>
      </c>
      <c r="C11" s="14" t="s">
        <v>60</v>
      </c>
      <c r="D11" t="s">
        <v>12</v>
      </c>
      <c r="E11" s="175">
        <v>0.17218958387112981</v>
      </c>
    </row>
    <row r="12" spans="2:5" x14ac:dyDescent="0.2">
      <c r="B12" s="14" t="s">
        <v>107</v>
      </c>
      <c r="C12" s="14" t="s">
        <v>105</v>
      </c>
      <c r="D12" s="14" t="s">
        <v>11</v>
      </c>
      <c r="E12" s="175">
        <v>0.1</v>
      </c>
    </row>
    <row r="13" spans="2:5" x14ac:dyDescent="0.2">
      <c r="B13" s="14" t="s">
        <v>107</v>
      </c>
      <c r="C13" s="14" t="s">
        <v>105</v>
      </c>
      <c r="D13" s="14" t="s">
        <v>12</v>
      </c>
      <c r="E13" s="175">
        <v>0.1</v>
      </c>
    </row>
    <row r="14" spans="2:5" x14ac:dyDescent="0.2">
      <c r="B14" s="14" t="s">
        <v>111</v>
      </c>
      <c r="C14" s="14" t="s">
        <v>26</v>
      </c>
      <c r="D14" s="14" t="s">
        <v>11</v>
      </c>
      <c r="E14" s="175">
        <v>0.04</v>
      </c>
    </row>
    <row r="15" spans="2:5" x14ac:dyDescent="0.2">
      <c r="B15" s="14" t="s">
        <v>111</v>
      </c>
      <c r="C15" s="14" t="s">
        <v>26</v>
      </c>
      <c r="D15" s="14" t="s">
        <v>12</v>
      </c>
      <c r="E15" s="175">
        <v>0.04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798462-2BA6-4D63-8C0C-8DCA1D039D9E}">
          <x14:formula1>
            <xm:f>'Data Validation'!$B$2:$B$50</xm:f>
          </x14:formula1>
          <xm:sqref>B4:B11 B13:B1048576 B12</xm:sqref>
        </x14:dataValidation>
        <x14:dataValidation type="list" allowBlank="1" showInputMessage="1" showErrorMessage="1" xr:uid="{17E0F38C-18EB-43A9-A16F-F530FFBEAA9F}">
          <x14:formula1>
            <xm:f>'Data Validation'!#REF!</xm:f>
          </x14:formula1>
          <xm:sqref>D16:D1048576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14B2-1527-4A93-9B9E-D57A0533804D}">
  <sheetPr codeName="Sheet20">
    <tabColor rgb="FF0000FF"/>
  </sheetPr>
  <dimension ref="B1:I23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" sqref="E3"/>
    </sheetView>
  </sheetViews>
  <sheetFormatPr defaultColWidth="9.140625" defaultRowHeight="12.75" x14ac:dyDescent="0.2"/>
  <cols>
    <col min="1" max="1" width="2.42578125" style="26" customWidth="1"/>
    <col min="2" max="2" width="20" style="26" bestFit="1" customWidth="1"/>
    <col min="3" max="3" width="20.5703125" style="26" bestFit="1" customWidth="1"/>
    <col min="4" max="4" width="15.5703125" style="27" bestFit="1" customWidth="1"/>
    <col min="5" max="6" width="17" style="26" customWidth="1"/>
    <col min="7" max="7" width="13.140625" style="151" customWidth="1"/>
    <col min="8" max="8" width="17" style="27" customWidth="1"/>
    <col min="9" max="9" width="9.140625" style="45"/>
    <col min="10" max="16384" width="9.140625" style="26"/>
  </cols>
  <sheetData>
    <row r="1" spans="2:8" x14ac:dyDescent="0.2">
      <c r="B1" s="72" t="s">
        <v>131</v>
      </c>
      <c r="C1" s="72" t="s">
        <v>131</v>
      </c>
      <c r="D1" s="72" t="s">
        <v>131</v>
      </c>
      <c r="E1" s="72" t="s">
        <v>131</v>
      </c>
      <c r="F1" s="72" t="s">
        <v>131</v>
      </c>
      <c r="G1" s="72" t="s">
        <v>131</v>
      </c>
      <c r="H1" s="46" t="s">
        <v>119</v>
      </c>
    </row>
    <row r="2" spans="2:8" ht="15" x14ac:dyDescent="0.35">
      <c r="D2" s="44"/>
      <c r="E2" s="44"/>
      <c r="G2" s="154"/>
    </row>
    <row r="3" spans="2:8" s="24" customFormat="1" ht="15" x14ac:dyDescent="0.35">
      <c r="B3" s="24" t="s">
        <v>31</v>
      </c>
      <c r="C3" s="24" t="s">
        <v>55</v>
      </c>
      <c r="D3" s="25" t="s">
        <v>208</v>
      </c>
      <c r="E3" s="24" t="s">
        <v>345</v>
      </c>
      <c r="F3" s="24" t="s">
        <v>32</v>
      </c>
      <c r="G3" s="25" t="s">
        <v>329</v>
      </c>
      <c r="H3" s="25" t="s">
        <v>112</v>
      </c>
    </row>
    <row r="4" spans="2:8" x14ac:dyDescent="0.2">
      <c r="B4" s="26" t="s">
        <v>11</v>
      </c>
      <c r="C4" s="26" t="s">
        <v>113</v>
      </c>
      <c r="D4" s="27">
        <v>100</v>
      </c>
      <c r="E4" s="150" t="s">
        <v>223</v>
      </c>
      <c r="F4" s="112">
        <v>45714</v>
      </c>
      <c r="G4" s="153">
        <v>2</v>
      </c>
      <c r="H4" s="27" t="str" cm="1">
        <f t="array" aca="1" ref="H4:H23" ca="1">TEXT(F4:F23,"mmm")&amp;" "&amp;C4:C23</f>
        <v>Feb Salary bump</v>
      </c>
    </row>
    <row r="5" spans="2:8" x14ac:dyDescent="0.2">
      <c r="B5" s="26" t="s">
        <v>42</v>
      </c>
      <c r="C5" s="26" t="s">
        <v>114</v>
      </c>
      <c r="D5" s="27">
        <v>50</v>
      </c>
      <c r="E5" s="150" t="s">
        <v>224</v>
      </c>
      <c r="F5" s="21">
        <v>45747</v>
      </c>
      <c r="G5" s="153">
        <v>1</v>
      </c>
      <c r="H5" s="27" t="str">
        <f ca="1"/>
        <v>Mar Rent bump</v>
      </c>
    </row>
    <row r="6" spans="2:8" x14ac:dyDescent="0.2">
      <c r="B6" s="26" t="s">
        <v>7</v>
      </c>
      <c r="C6" s="26" t="s">
        <v>282</v>
      </c>
      <c r="D6" s="27">
        <v>-100</v>
      </c>
      <c r="E6" s="150" t="s">
        <v>224</v>
      </c>
      <c r="F6" s="21">
        <f ca="1">EOMONTH(TODAY(),3)</f>
        <v>45808</v>
      </c>
      <c r="G6" s="153">
        <v>1</v>
      </c>
      <c r="H6" s="27" t="str">
        <f ca="1"/>
        <v>May Loan paid off</v>
      </c>
    </row>
    <row r="7" spans="2:8" x14ac:dyDescent="0.2">
      <c r="E7" s="150"/>
      <c r="G7" s="153"/>
      <c r="H7" s="27" t="str">
        <f ca="1"/>
        <v xml:space="preserve">Jan </v>
      </c>
    </row>
    <row r="8" spans="2:8" x14ac:dyDescent="0.2">
      <c r="E8" s="150"/>
      <c r="G8" s="153"/>
      <c r="H8" s="27" t="str">
        <f ca="1"/>
        <v xml:space="preserve">Jan </v>
      </c>
    </row>
    <row r="9" spans="2:8" x14ac:dyDescent="0.2">
      <c r="E9" s="150"/>
      <c r="G9" s="153"/>
      <c r="H9" s="27" t="str">
        <f ca="1"/>
        <v xml:space="preserve">Jan </v>
      </c>
    </row>
    <row r="10" spans="2:8" x14ac:dyDescent="0.2">
      <c r="E10" s="150"/>
      <c r="G10" s="153"/>
      <c r="H10" s="27" t="str">
        <f ca="1"/>
        <v xml:space="preserve">Jan </v>
      </c>
    </row>
    <row r="11" spans="2:8" x14ac:dyDescent="0.2">
      <c r="E11" s="150"/>
      <c r="G11" s="153"/>
      <c r="H11" s="27" t="str">
        <f ca="1"/>
        <v xml:space="preserve">Jan </v>
      </c>
    </row>
    <row r="12" spans="2:8" x14ac:dyDescent="0.2">
      <c r="E12" s="150"/>
      <c r="G12" s="153"/>
      <c r="H12" s="27" t="str">
        <f ca="1"/>
        <v xml:space="preserve">Jan </v>
      </c>
    </row>
    <row r="13" spans="2:8" x14ac:dyDescent="0.2">
      <c r="E13" s="150"/>
      <c r="G13" s="153"/>
      <c r="H13" s="27" t="str">
        <f ca="1"/>
        <v xml:space="preserve">Jan </v>
      </c>
    </row>
    <row r="14" spans="2:8" x14ac:dyDescent="0.2">
      <c r="E14" s="150"/>
      <c r="G14" s="153"/>
      <c r="H14" s="27" t="str">
        <f ca="1"/>
        <v xml:space="preserve">Jan </v>
      </c>
    </row>
    <row r="15" spans="2:8" x14ac:dyDescent="0.2">
      <c r="E15" s="150"/>
      <c r="G15" s="153"/>
      <c r="H15" s="27" t="str">
        <f ca="1"/>
        <v xml:space="preserve">Jan </v>
      </c>
    </row>
    <row r="16" spans="2:8" x14ac:dyDescent="0.2">
      <c r="E16" s="150"/>
      <c r="G16" s="153"/>
      <c r="H16" s="27" t="str">
        <f ca="1"/>
        <v xml:space="preserve">Jan </v>
      </c>
    </row>
    <row r="17" spans="5:8" x14ac:dyDescent="0.2">
      <c r="E17" s="150"/>
      <c r="G17" s="153"/>
      <c r="H17" s="27" t="str">
        <f ca="1"/>
        <v xml:space="preserve">Jan </v>
      </c>
    </row>
    <row r="18" spans="5:8" x14ac:dyDescent="0.2">
      <c r="E18" s="150"/>
      <c r="G18" s="153"/>
      <c r="H18" s="27" t="str">
        <f ca="1"/>
        <v xml:space="preserve">Jan </v>
      </c>
    </row>
    <row r="19" spans="5:8" x14ac:dyDescent="0.2">
      <c r="E19" s="150"/>
      <c r="G19" s="153"/>
      <c r="H19" s="27" t="str">
        <f ca="1"/>
        <v xml:space="preserve">Jan </v>
      </c>
    </row>
    <row r="20" spans="5:8" x14ac:dyDescent="0.2">
      <c r="E20" s="150"/>
      <c r="G20" s="152"/>
      <c r="H20" s="27" t="str">
        <f ca="1"/>
        <v xml:space="preserve">Jan </v>
      </c>
    </row>
    <row r="21" spans="5:8" x14ac:dyDescent="0.2">
      <c r="E21" s="150"/>
      <c r="G21" s="152"/>
      <c r="H21" s="27" t="str">
        <f ca="1"/>
        <v xml:space="preserve">Jan </v>
      </c>
    </row>
    <row r="22" spans="5:8" x14ac:dyDescent="0.2">
      <c r="E22" s="150"/>
      <c r="G22" s="152"/>
      <c r="H22" s="27" t="str">
        <f ca="1"/>
        <v xml:space="preserve">Jan </v>
      </c>
    </row>
    <row r="23" spans="5:8" x14ac:dyDescent="0.2">
      <c r="E23" s="150"/>
      <c r="G23" s="152"/>
      <c r="H23" s="27" t="str">
        <f ca="1"/>
        <v xml:space="preserve">Jan </v>
      </c>
    </row>
  </sheetData>
  <conditionalFormatting sqref="E1:G1048576">
    <cfRule type="cellIs" priority="1" operator="greaterThan">
      <formula>TODAY()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2AA54F-E2C9-4504-A123-9B231BC510F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C2523447-3BD3-4699-8EB4-7CA2E93A9153}">
          <x14:formula1>
            <xm:f>'Data Validation'!#REF!</xm:f>
          </x14:formula1>
          <xm:sqref>F4:F5</xm:sqref>
        </x14:dataValidation>
        <x14:dataValidation type="list" allowBlank="1" showInputMessage="1" showErrorMessage="1" xr:uid="{ED0F8BA5-E765-4ABF-91B0-C6D2515A11B0}">
          <x14:formula1>
            <xm:f>'Data Validation'!$C$2:$C$5</xm:f>
          </x14:formula1>
          <xm:sqref>E4:E23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D182-16A1-43FC-91B8-3BB7D2013D2B}">
  <sheetPr codeName="Sheet21">
    <tabColor rgb="FF0000FF"/>
  </sheetPr>
  <dimension ref="B1:G5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4" sqref="J24"/>
    </sheetView>
  </sheetViews>
  <sheetFormatPr defaultRowHeight="12.75" x14ac:dyDescent="0.2"/>
  <cols>
    <col min="1" max="1" width="2.5703125" customWidth="1"/>
    <col min="2" max="2" width="19.42578125" bestFit="1" customWidth="1"/>
    <col min="3" max="3" width="25" bestFit="1" customWidth="1"/>
    <col min="4" max="4" width="40.28515625" bestFit="1" customWidth="1"/>
    <col min="5" max="5" width="13.7109375" style="21" bestFit="1" customWidth="1"/>
    <col min="6" max="6" width="15.5703125" style="27" customWidth="1"/>
    <col min="7" max="7" width="24.28515625" bestFit="1" customWidth="1"/>
  </cols>
  <sheetData>
    <row r="1" spans="2:7" x14ac:dyDescent="0.2">
      <c r="B1" s="72" t="s">
        <v>131</v>
      </c>
      <c r="C1" s="72" t="s">
        <v>131</v>
      </c>
      <c r="D1" s="72" t="s">
        <v>131</v>
      </c>
      <c r="E1" s="72" t="s">
        <v>131</v>
      </c>
      <c r="F1" s="72" t="s">
        <v>131</v>
      </c>
      <c r="G1" s="46" t="s">
        <v>119</v>
      </c>
    </row>
    <row r="3" spans="2:7" s="9" customFormat="1" ht="15" x14ac:dyDescent="0.35">
      <c r="B3" s="24" t="s">
        <v>31</v>
      </c>
      <c r="C3" s="24" t="s">
        <v>55</v>
      </c>
      <c r="D3" s="24" t="s">
        <v>4</v>
      </c>
      <c r="E3" s="24" t="s">
        <v>32</v>
      </c>
      <c r="F3" s="25" t="s">
        <v>10</v>
      </c>
      <c r="G3" s="24" t="s">
        <v>112</v>
      </c>
    </row>
    <row r="4" spans="2:7" x14ac:dyDescent="0.2">
      <c r="B4" s="26" t="s">
        <v>12</v>
      </c>
      <c r="C4" s="26" t="s">
        <v>12</v>
      </c>
      <c r="D4" s="26"/>
      <c r="E4" s="21">
        <v>45724</v>
      </c>
      <c r="F4" s="176">
        <v>10000</v>
      </c>
      <c r="G4" s="26" t="str" cm="1">
        <f t="array" aca="1" ref="G4:G53" ca="1">TEXT(E4:E53,"mmm")&amp;" "&amp;C4:C53</f>
        <v>Mar Bonus</v>
      </c>
    </row>
    <row r="5" spans="2:7" x14ac:dyDescent="0.2">
      <c r="B5" s="26" t="s">
        <v>45</v>
      </c>
      <c r="C5" s="26" t="s">
        <v>267</v>
      </c>
      <c r="D5" s="26"/>
      <c r="E5" s="21">
        <v>45717</v>
      </c>
      <c r="F5" s="27">
        <v>2500</v>
      </c>
      <c r="G5" s="26" t="str">
        <f ca="1"/>
        <v>Mar Ski trip</v>
      </c>
    </row>
    <row r="6" spans="2:7" x14ac:dyDescent="0.2">
      <c r="B6" s="26" t="s">
        <v>256</v>
      </c>
      <c r="C6" s="26" t="s">
        <v>268</v>
      </c>
      <c r="D6" s="26"/>
      <c r="E6" s="21">
        <v>45828</v>
      </c>
      <c r="F6" s="27">
        <v>500</v>
      </c>
      <c r="G6" s="26" t="str">
        <f ca="1"/>
        <v>Jun Sell stock</v>
      </c>
    </row>
    <row r="7" spans="2:7" x14ac:dyDescent="0.2">
      <c r="B7" s="26" t="s">
        <v>25</v>
      </c>
      <c r="C7" s="26" t="s">
        <v>261</v>
      </c>
      <c r="D7" s="14" t="s">
        <v>159</v>
      </c>
      <c r="E7" s="21" cm="1">
        <f t="array" aca="1" ref="E7" ca="1">CurrentDueDate(D7)</f>
        <v>45693</v>
      </c>
      <c r="F7" s="27" cm="1">
        <f t="array" ref="F7">CurrentPayment(D7)</f>
        <v>3000</v>
      </c>
      <c r="G7" s="26" t="str">
        <f ca="1"/>
        <v>Feb Current payment</v>
      </c>
    </row>
    <row r="8" spans="2:7" x14ac:dyDescent="0.2">
      <c r="B8" s="26" t="s">
        <v>25</v>
      </c>
      <c r="C8" s="26" t="s">
        <v>261</v>
      </c>
      <c r="D8" t="s">
        <v>153</v>
      </c>
      <c r="E8" s="21" cm="1">
        <f t="array" aca="1" ref="E8" ca="1">CurrentDueDate(D8)</f>
        <v>45716</v>
      </c>
      <c r="F8" s="27" cm="1">
        <f t="array" ref="F8">CurrentPayment(D8)</f>
        <v>100</v>
      </c>
      <c r="G8" s="26" t="str">
        <f ca="1"/>
        <v>Feb Current payment</v>
      </c>
    </row>
    <row r="9" spans="2:7" x14ac:dyDescent="0.2">
      <c r="B9" s="26" t="s">
        <v>25</v>
      </c>
      <c r="C9" s="26" t="s">
        <v>262</v>
      </c>
      <c r="D9" t="s">
        <v>159</v>
      </c>
      <c r="E9" s="21" cm="1">
        <f t="array" aca="1" ref="E9" ca="1">NextDueDate(D9)</f>
        <v>45721</v>
      </c>
      <c r="F9" s="27" cm="1">
        <f t="array" ref="F9">NextPayment(D9)</f>
        <v>1000</v>
      </c>
      <c r="G9" s="26" t="str">
        <f ca="1"/>
        <v>Mar Next payment</v>
      </c>
    </row>
    <row r="10" spans="2:7" x14ac:dyDescent="0.2">
      <c r="B10" s="26" t="s">
        <v>25</v>
      </c>
      <c r="C10" s="26" t="s">
        <v>262</v>
      </c>
      <c r="D10" t="s">
        <v>153</v>
      </c>
      <c r="E10" s="21" cm="1">
        <f t="array" aca="1" ref="E10" ca="1">NextDueDate(D10)</f>
        <v>45744</v>
      </c>
      <c r="F10" s="27" cm="1">
        <f t="array" ref="F10">NextPayment(D10)</f>
        <v>100</v>
      </c>
      <c r="G10" s="26" t="str">
        <f ca="1"/>
        <v>Mar Next payment</v>
      </c>
    </row>
    <row r="11" spans="2:7" x14ac:dyDescent="0.2">
      <c r="B11" s="26" t="s">
        <v>37</v>
      </c>
      <c r="C11" s="26" t="s">
        <v>283</v>
      </c>
      <c r="E11" s="21">
        <f ca="1">EDATE(TODAY(),1)</f>
        <v>45717</v>
      </c>
      <c r="F11" s="27">
        <v>100</v>
      </c>
      <c r="G11" t="str">
        <f ca="1"/>
        <v>Mar Dog sitting</v>
      </c>
    </row>
    <row r="12" spans="2:7" x14ac:dyDescent="0.2">
      <c r="B12" s="26" t="s">
        <v>211</v>
      </c>
      <c r="C12" s="26" t="s">
        <v>284</v>
      </c>
      <c r="E12" s="21">
        <f ca="1">TODAY()</f>
        <v>45689</v>
      </c>
      <c r="F12" s="27">
        <v>200</v>
      </c>
      <c r="G12" t="str">
        <f ca="1"/>
        <v>Feb Dinner</v>
      </c>
    </row>
    <row r="13" spans="2:7" x14ac:dyDescent="0.2">
      <c r="B13" s="26" t="s">
        <v>14</v>
      </c>
      <c r="C13" s="26" t="s">
        <v>285</v>
      </c>
      <c r="E13" s="21">
        <f ca="1">TODAY()</f>
        <v>45689</v>
      </c>
      <c r="F13" s="27">
        <v>20</v>
      </c>
      <c r="G13" t="str">
        <f ca="1"/>
        <v>Feb Amazon return</v>
      </c>
    </row>
    <row r="14" spans="2:7" x14ac:dyDescent="0.2">
      <c r="B14" t="s">
        <v>38</v>
      </c>
      <c r="C14" t="s">
        <v>286</v>
      </c>
      <c r="E14" s="21">
        <f ca="1">TODAY()</f>
        <v>45689</v>
      </c>
      <c r="F14" s="27">
        <v>100</v>
      </c>
      <c r="G14" t="str">
        <f ca="1"/>
        <v>Feb Insurance payout</v>
      </c>
    </row>
    <row r="15" spans="2:7" x14ac:dyDescent="0.2">
      <c r="B15" s="26" t="s">
        <v>210</v>
      </c>
      <c r="C15" s="26" t="s">
        <v>287</v>
      </c>
      <c r="E15" s="21">
        <f ca="1">TODAY()</f>
        <v>45689</v>
      </c>
      <c r="F15" s="27">
        <v>200</v>
      </c>
      <c r="G15" t="str">
        <f ca="1"/>
        <v>Feb Hockey game</v>
      </c>
    </row>
    <row r="16" spans="2:7" x14ac:dyDescent="0.2">
      <c r="B16" s="26" t="s">
        <v>16</v>
      </c>
      <c r="C16" s="26" t="s">
        <v>288</v>
      </c>
      <c r="E16" s="21">
        <f ca="1">TODAY()+90</f>
        <v>45779</v>
      </c>
      <c r="F16" s="27">
        <v>1000</v>
      </c>
      <c r="G16" t="str">
        <f ca="1"/>
        <v>May New laptop</v>
      </c>
    </row>
    <row r="17" spans="7:7" x14ac:dyDescent="0.2">
      <c r="G17" t="str">
        <f ca="1"/>
        <v xml:space="preserve">Jan </v>
      </c>
    </row>
    <row r="18" spans="7:7" x14ac:dyDescent="0.2">
      <c r="G18" t="str">
        <f ca="1"/>
        <v xml:space="preserve">Jan </v>
      </c>
    </row>
    <row r="19" spans="7:7" x14ac:dyDescent="0.2">
      <c r="G19" t="str">
        <f ca="1"/>
        <v xml:space="preserve">Jan </v>
      </c>
    </row>
    <row r="20" spans="7:7" x14ac:dyDescent="0.2">
      <c r="G20" t="str">
        <f ca="1"/>
        <v xml:space="preserve">Jan </v>
      </c>
    </row>
    <row r="21" spans="7:7" x14ac:dyDescent="0.2">
      <c r="G21" t="str">
        <f ca="1"/>
        <v xml:space="preserve">Jan </v>
      </c>
    </row>
    <row r="22" spans="7:7" x14ac:dyDescent="0.2">
      <c r="G22" t="str">
        <f ca="1"/>
        <v xml:space="preserve">Jan </v>
      </c>
    </row>
    <row r="23" spans="7:7" x14ac:dyDescent="0.2">
      <c r="G23" t="str">
        <f ca="1"/>
        <v xml:space="preserve">Jan </v>
      </c>
    </row>
    <row r="24" spans="7:7" x14ac:dyDescent="0.2">
      <c r="G24" t="str">
        <f ca="1"/>
        <v xml:space="preserve">Jan </v>
      </c>
    </row>
    <row r="25" spans="7:7" x14ac:dyDescent="0.2">
      <c r="G25" t="str">
        <f ca="1"/>
        <v xml:space="preserve">Jan </v>
      </c>
    </row>
    <row r="26" spans="7:7" x14ac:dyDescent="0.2">
      <c r="G26" t="str">
        <f ca="1"/>
        <v xml:space="preserve">Jan </v>
      </c>
    </row>
    <row r="27" spans="7:7" x14ac:dyDescent="0.2">
      <c r="G27" t="str">
        <f ca="1"/>
        <v xml:space="preserve">Jan </v>
      </c>
    </row>
    <row r="28" spans="7:7" x14ac:dyDescent="0.2">
      <c r="G28" t="str">
        <f ca="1"/>
        <v xml:space="preserve">Jan </v>
      </c>
    </row>
    <row r="29" spans="7:7" x14ac:dyDescent="0.2">
      <c r="G29" t="str">
        <f ca="1"/>
        <v xml:space="preserve">Jan </v>
      </c>
    </row>
    <row r="30" spans="7:7" x14ac:dyDescent="0.2">
      <c r="G30" t="str">
        <f ca="1"/>
        <v xml:space="preserve">Jan </v>
      </c>
    </row>
    <row r="31" spans="7:7" x14ac:dyDescent="0.2">
      <c r="G31" t="str">
        <f ca="1"/>
        <v xml:space="preserve">Jan </v>
      </c>
    </row>
    <row r="32" spans="7:7" x14ac:dyDescent="0.2">
      <c r="G32" t="str">
        <f ca="1"/>
        <v xml:space="preserve">Jan </v>
      </c>
    </row>
    <row r="33" spans="7:7" x14ac:dyDescent="0.2">
      <c r="G33" t="str">
        <f ca="1"/>
        <v xml:space="preserve">Jan </v>
      </c>
    </row>
    <row r="34" spans="7:7" x14ac:dyDescent="0.2">
      <c r="G34" t="str">
        <f ca="1"/>
        <v xml:space="preserve">Jan </v>
      </c>
    </row>
    <row r="35" spans="7:7" x14ac:dyDescent="0.2">
      <c r="G35" t="str">
        <f ca="1"/>
        <v xml:space="preserve">Jan </v>
      </c>
    </row>
    <row r="36" spans="7:7" x14ac:dyDescent="0.2">
      <c r="G36" t="str">
        <f ca="1"/>
        <v xml:space="preserve">Jan </v>
      </c>
    </row>
    <row r="37" spans="7:7" x14ac:dyDescent="0.2">
      <c r="G37" t="str">
        <f ca="1"/>
        <v xml:space="preserve">Jan </v>
      </c>
    </row>
    <row r="38" spans="7:7" x14ac:dyDescent="0.2">
      <c r="G38" t="str">
        <f ca="1"/>
        <v xml:space="preserve">Jan </v>
      </c>
    </row>
    <row r="39" spans="7:7" x14ac:dyDescent="0.2">
      <c r="G39" t="str">
        <f ca="1"/>
        <v xml:space="preserve">Jan </v>
      </c>
    </row>
    <row r="40" spans="7:7" x14ac:dyDescent="0.2">
      <c r="G40" t="str">
        <f ca="1"/>
        <v xml:space="preserve">Jan </v>
      </c>
    </row>
    <row r="41" spans="7:7" x14ac:dyDescent="0.2">
      <c r="G41" t="str">
        <f ca="1"/>
        <v xml:space="preserve">Jan </v>
      </c>
    </row>
    <row r="42" spans="7:7" x14ac:dyDescent="0.2">
      <c r="G42" t="str">
        <f ca="1"/>
        <v xml:space="preserve">Jan </v>
      </c>
    </row>
    <row r="43" spans="7:7" x14ac:dyDescent="0.2">
      <c r="G43" t="str">
        <f ca="1"/>
        <v xml:space="preserve">Jan </v>
      </c>
    </row>
    <row r="44" spans="7:7" x14ac:dyDescent="0.2">
      <c r="G44" t="str">
        <f ca="1"/>
        <v xml:space="preserve">Jan </v>
      </c>
    </row>
    <row r="45" spans="7:7" x14ac:dyDescent="0.2">
      <c r="G45" t="str">
        <f ca="1"/>
        <v xml:space="preserve">Jan </v>
      </c>
    </row>
    <row r="46" spans="7:7" x14ac:dyDescent="0.2">
      <c r="G46" t="str">
        <f ca="1"/>
        <v xml:space="preserve">Jan </v>
      </c>
    </row>
    <row r="47" spans="7:7" x14ac:dyDescent="0.2">
      <c r="G47" t="str">
        <f ca="1"/>
        <v xml:space="preserve">Jan </v>
      </c>
    </row>
    <row r="48" spans="7:7" x14ac:dyDescent="0.2">
      <c r="G48" t="str">
        <f ca="1"/>
        <v xml:space="preserve">Jan </v>
      </c>
    </row>
    <row r="49" spans="7:7" x14ac:dyDescent="0.2">
      <c r="G49" t="str">
        <f ca="1"/>
        <v xml:space="preserve">Jan </v>
      </c>
    </row>
    <row r="50" spans="7:7" x14ac:dyDescent="0.2">
      <c r="G50" t="str">
        <f ca="1"/>
        <v xml:space="preserve">Jan </v>
      </c>
    </row>
    <row r="51" spans="7:7" x14ac:dyDescent="0.2">
      <c r="G51" t="str">
        <f ca="1"/>
        <v xml:space="preserve">Jan </v>
      </c>
    </row>
    <row r="52" spans="7:7" x14ac:dyDescent="0.2">
      <c r="G52" t="str">
        <f ca="1"/>
        <v xml:space="preserve">Jan </v>
      </c>
    </row>
    <row r="53" spans="7:7" x14ac:dyDescent="0.2">
      <c r="G53" t="str">
        <f ca="1"/>
        <v xml:space="preserve">Jan </v>
      </c>
    </row>
  </sheetData>
  <autoFilter ref="B3:F5" xr:uid="{42BDD182-16A1-43FC-91B8-3BB7D2013D2B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1C2ECA-701E-4E92-BA86-EA94B487F47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40EC9BB8-BACF-4841-B6FB-552706D2CC49}">
          <x14:formula1>
            <xm:f>'Credit Cards'!$B$4:$B$24</xm:f>
          </x14:formula1>
          <xm:sqref>D4:D1048576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79487-D0F6-4DEB-84E5-CD9AF42CC274}">
  <sheetPr codeName="Sheet22">
    <tabColor rgb="FF0000FF"/>
  </sheetPr>
  <dimension ref="B1:C13"/>
  <sheetViews>
    <sheetView workbookViewId="0"/>
  </sheetViews>
  <sheetFormatPr defaultRowHeight="12.75" x14ac:dyDescent="0.2"/>
  <cols>
    <col min="1" max="1" width="1.28515625" customWidth="1"/>
    <col min="2" max="2" width="37.42578125" bestFit="1" customWidth="1"/>
    <col min="3" max="3" width="24" bestFit="1" customWidth="1"/>
  </cols>
  <sheetData>
    <row r="1" spans="2:3" x14ac:dyDescent="0.2">
      <c r="C1" s="72" t="s">
        <v>131</v>
      </c>
    </row>
    <row r="3" spans="2:3" x14ac:dyDescent="0.2">
      <c r="B3" s="14" t="s">
        <v>126</v>
      </c>
      <c r="C3" s="108" t="s">
        <v>204</v>
      </c>
    </row>
    <row r="4" spans="2:3" x14ac:dyDescent="0.2">
      <c r="B4" s="14" t="s">
        <v>139</v>
      </c>
      <c r="C4" s="14" t="s">
        <v>152</v>
      </c>
    </row>
    <row r="6" spans="2:3" x14ac:dyDescent="0.2">
      <c r="B6" s="14" t="s">
        <v>138</v>
      </c>
    </row>
    <row r="7" spans="2:3" x14ac:dyDescent="0.2">
      <c r="B7" s="14" t="s">
        <v>133</v>
      </c>
      <c r="C7">
        <v>1</v>
      </c>
    </row>
    <row r="8" spans="2:3" x14ac:dyDescent="0.2">
      <c r="B8" s="73" t="s">
        <v>146</v>
      </c>
      <c r="C8">
        <v>1</v>
      </c>
    </row>
    <row r="9" spans="2:3" x14ac:dyDescent="0.2">
      <c r="B9" s="73" t="s">
        <v>147</v>
      </c>
      <c r="C9">
        <v>4</v>
      </c>
    </row>
    <row r="11" spans="2:3" x14ac:dyDescent="0.2">
      <c r="B11" s="14" t="s">
        <v>148</v>
      </c>
    </row>
    <row r="12" spans="2:3" x14ac:dyDescent="0.2">
      <c r="B12" s="14" t="s">
        <v>149</v>
      </c>
      <c r="C12" s="137">
        <f>SUM($C$7:C8)</f>
        <v>2</v>
      </c>
    </row>
    <row r="13" spans="2:3" x14ac:dyDescent="0.2">
      <c r="B13" s="14" t="s">
        <v>150</v>
      </c>
      <c r="C13" s="137">
        <f>SUM($C$7:C9)</f>
        <v>6</v>
      </c>
    </row>
  </sheetData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814F-4FA7-4FFF-A9E0-68C44DE08E21}">
  <sheetPr codeName="Sheet23"/>
  <dimension ref="A1"/>
  <sheetViews>
    <sheetView workbookViewId="0"/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1967-AA51-40D6-89A0-C108D6A64ACA}">
  <sheetPr codeName="Sheet31"/>
  <dimension ref="A1"/>
  <sheetViews>
    <sheetView workbookViewId="0"/>
  </sheetViews>
  <sheetFormatPr defaultColWidth="9.140625" defaultRowHeight="12.75" x14ac:dyDescent="0.2"/>
  <cols>
    <col min="1" max="16384" width="9.140625" style="13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0CBD-899A-44D3-99BD-628F4595449B}">
  <sheetPr codeName="Sheet4">
    <tabColor theme="6"/>
  </sheetPr>
  <dimension ref="B2:C10"/>
  <sheetViews>
    <sheetView workbookViewId="0">
      <selection activeCell="B2" sqref="B2:C10"/>
    </sheetView>
  </sheetViews>
  <sheetFormatPr defaultRowHeight="12.75" x14ac:dyDescent="0.2"/>
  <cols>
    <col min="1" max="1" width="1.85546875" customWidth="1"/>
    <col min="2" max="2" width="2" bestFit="1" customWidth="1"/>
  </cols>
  <sheetData>
    <row r="2" spans="2:3" x14ac:dyDescent="0.2">
      <c r="B2" s="192" t="s">
        <v>272</v>
      </c>
    </row>
    <row r="3" spans="2:3" x14ac:dyDescent="0.2">
      <c r="B3" s="14" t="s">
        <v>270</v>
      </c>
      <c r="C3" s="14" t="s">
        <v>271</v>
      </c>
    </row>
    <row r="4" spans="2:3" x14ac:dyDescent="0.2">
      <c r="B4" s="14" t="s">
        <v>270</v>
      </c>
      <c r="C4" s="14" t="s">
        <v>279</v>
      </c>
    </row>
    <row r="5" spans="2:3" x14ac:dyDescent="0.2">
      <c r="B5" s="14" t="s">
        <v>270</v>
      </c>
      <c r="C5" s="14" t="s">
        <v>273</v>
      </c>
    </row>
    <row r="6" spans="2:3" x14ac:dyDescent="0.2">
      <c r="B6" s="14" t="s">
        <v>270</v>
      </c>
      <c r="C6" s="14" t="s">
        <v>281</v>
      </c>
    </row>
    <row r="7" spans="2:3" x14ac:dyDescent="0.2">
      <c r="B7" s="14" t="s">
        <v>270</v>
      </c>
      <c r="C7" s="14" t="s">
        <v>276</v>
      </c>
    </row>
    <row r="8" spans="2:3" x14ac:dyDescent="0.2">
      <c r="B8" s="14" t="s">
        <v>270</v>
      </c>
      <c r="C8" s="14" t="s">
        <v>277</v>
      </c>
    </row>
    <row r="9" spans="2:3" x14ac:dyDescent="0.2">
      <c r="B9" s="14" t="s">
        <v>270</v>
      </c>
      <c r="C9" s="14" t="s">
        <v>278</v>
      </c>
    </row>
    <row r="10" spans="2:3" x14ac:dyDescent="0.2">
      <c r="B10" s="14" t="s">
        <v>270</v>
      </c>
      <c r="C10" s="14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README</vt:lpstr>
      <vt:lpstr>SUMMARIES→</vt:lpstr>
      <vt:lpstr>NTM</vt:lpstr>
      <vt:lpstr>Balances &amp; Actions</vt:lpstr>
      <vt:lpstr>Visuals</vt:lpstr>
      <vt:lpstr>Archive</vt:lpstr>
      <vt:lpstr>WORKING→</vt:lpstr>
      <vt:lpstr>Assets</vt:lpstr>
      <vt:lpstr>Credit Cards</vt:lpstr>
      <vt:lpstr>Loans</vt:lpstr>
      <vt:lpstr>Loyalty Points &amp; Miles</vt:lpstr>
      <vt:lpstr>Recurring</vt:lpstr>
      <vt:lpstr>Precedents</vt:lpstr>
      <vt:lpstr>Changes</vt:lpstr>
      <vt:lpstr>Planned</vt:lpstr>
      <vt:lpstr>Blanket</vt:lpstr>
      <vt:lpstr>AD HOC→</vt:lpstr>
      <vt:lpstr>FOOTNOTES→</vt:lpstr>
      <vt:lpstr>Version Change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Renner</dc:creator>
  <cp:lastModifiedBy>Joe Renner</cp:lastModifiedBy>
  <dcterms:created xsi:type="dcterms:W3CDTF">2024-07-21T15:21:17Z</dcterms:created>
  <dcterms:modified xsi:type="dcterms:W3CDTF">2025-02-01T20:50:03Z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{BD615B06-A48D-4D0C-973D-A2E12A3B67B8}</vt:lpwstr>
  </property>
  <property fmtid="{D5CDD505-2E9C-101B-9397-08002B2CF9AE}" pid="3" name="MSIP_Label_6f394ca5-8759-4293-b832-700b1d8eee0b_Enabled">
    <vt:lpwstr>true</vt:lpwstr>
  </property>
  <property fmtid="{D5CDD505-2E9C-101B-9397-08002B2CF9AE}" pid="4" name="MSIP_Label_6f394ca5-8759-4293-b832-700b1d8eee0b_SetDate">
    <vt:lpwstr>2025-01-06T03:35:24Z</vt:lpwstr>
  </property>
  <property fmtid="{D5CDD505-2E9C-101B-9397-08002B2CF9AE}" pid="5" name="MSIP_Label_6f394ca5-8759-4293-b832-700b1d8eee0b_Method">
    <vt:lpwstr>Standard</vt:lpwstr>
  </property>
  <property fmtid="{D5CDD505-2E9C-101B-9397-08002B2CF9AE}" pid="6" name="MSIP_Label_6f394ca5-8759-4293-b832-700b1d8eee0b_Name">
    <vt:lpwstr>6f394ca5-8759-4293-b832-700b1d8eee0b</vt:lpwstr>
  </property>
  <property fmtid="{D5CDD505-2E9C-101B-9397-08002B2CF9AE}" pid="7" name="MSIP_Label_6f394ca5-8759-4293-b832-700b1d8eee0b_SiteId">
    <vt:lpwstr>5d25c963-07db-4627-9db3-720b2ff89865</vt:lpwstr>
  </property>
  <property fmtid="{D5CDD505-2E9C-101B-9397-08002B2CF9AE}" pid="8" name="MSIP_Label_6f394ca5-8759-4293-b832-700b1d8eee0b_ActionId">
    <vt:lpwstr>edc02eb2-ca68-4a46-a48e-ea2b2125ea69</vt:lpwstr>
  </property>
  <property fmtid="{D5CDD505-2E9C-101B-9397-08002B2CF9AE}" pid="9" name="MSIP_Label_6f394ca5-8759-4293-b832-700b1d8eee0b_ContentBits">
    <vt:lpwstr>0</vt:lpwstr>
  </property>
</Properties>
</file>